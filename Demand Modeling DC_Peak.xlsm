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Analytics\Network_model\Scenarios\Scenario_C_4rth_rerun\"/>
    </mc:Choice>
  </mc:AlternateContent>
  <bookViews>
    <workbookView xWindow="0" yWindow="0" windowWidth="23040" windowHeight="9108"/>
  </bookViews>
  <sheets>
    <sheet name="Demand_Modeling" sheetId="6" r:id="rId1"/>
    <sheet name="Validation" sheetId="13" r:id="rId2"/>
    <sheet name="Demand_Modeling_Week_level" sheetId="12" r:id="rId3"/>
    <sheet name="Capacity" sheetId="1" r:id="rId4"/>
    <sheet name="DC_Xref" sheetId="4" r:id="rId5"/>
    <sheet name="Demand" sheetId="2" r:id="rId6"/>
    <sheet name="Demand_Brand_Level" sheetId="11" r:id="rId7"/>
  </sheets>
  <functionGroups builtInGroupCount="18"/>
  <definedNames>
    <definedName name="_xlnm._FilterDatabase" localSheetId="3" hidden="1">Capacity!$C$1:$H$2820</definedName>
    <definedName name="_xlnm._FilterDatabase" localSheetId="0" hidden="1">Demand_Modeling!$A$13:$BA$49</definedName>
    <definedName name="_xlnm._FilterDatabase" localSheetId="2" hidden="1">Demand_Modeling_Week_level!$A$2:$P$434</definedName>
    <definedName name="FormulaInCell">GET.CELL(48,INDIRECT("rc",FALSE))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6" l="1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O6" i="2" l="1"/>
  <c r="O13" i="2"/>
  <c r="O20" i="2"/>
  <c r="O27" i="2"/>
  <c r="O34" i="2"/>
  <c r="O41" i="2"/>
  <c r="O48" i="2"/>
  <c r="O55" i="2"/>
  <c r="O59" i="2"/>
  <c r="O69" i="2"/>
  <c r="O76" i="2"/>
  <c r="O83" i="2"/>
  <c r="O90" i="2"/>
  <c r="O97" i="2"/>
  <c r="O104" i="2"/>
  <c r="O111" i="2"/>
  <c r="O118" i="2"/>
  <c r="O125" i="2"/>
  <c r="O132" i="2"/>
  <c r="O139" i="2"/>
  <c r="O146" i="2"/>
  <c r="O153" i="2"/>
  <c r="O160" i="2"/>
  <c r="O167" i="2"/>
  <c r="O174" i="2"/>
  <c r="O181" i="2"/>
  <c r="O188" i="2"/>
  <c r="O195" i="2"/>
  <c r="O202" i="2"/>
  <c r="O209" i="2"/>
  <c r="O219" i="2"/>
  <c r="O226" i="2"/>
  <c r="O230" i="2"/>
  <c r="O237" i="2"/>
  <c r="O244" i="2"/>
  <c r="O251" i="2"/>
  <c r="O258" i="2"/>
  <c r="O265" i="2"/>
  <c r="O272" i="2"/>
  <c r="O279" i="2"/>
  <c r="O286" i="2"/>
  <c r="O293" i="2"/>
  <c r="O300" i="2"/>
  <c r="O310" i="2"/>
  <c r="O314" i="2"/>
  <c r="O321" i="2"/>
  <c r="O328" i="2"/>
  <c r="O335" i="2"/>
  <c r="O342" i="2"/>
  <c r="O349" i="2"/>
  <c r="O356" i="2"/>
  <c r="O363" i="2"/>
  <c r="O370" i="2"/>
  <c r="O377" i="2"/>
  <c r="O382" i="2"/>
  <c r="O391" i="2"/>
  <c r="O398" i="2"/>
  <c r="O405" i="2"/>
  <c r="O412" i="2"/>
  <c r="O419" i="2"/>
  <c r="O426" i="2"/>
  <c r="O433" i="2"/>
  <c r="O440" i="2"/>
  <c r="O447" i="2"/>
  <c r="O454" i="2"/>
  <c r="O461" i="2"/>
  <c r="O468" i="2"/>
  <c r="O475" i="2"/>
  <c r="O482" i="2"/>
  <c r="O492" i="2"/>
  <c r="O499" i="2"/>
  <c r="O503" i="2"/>
  <c r="O510" i="2"/>
  <c r="O517" i="2"/>
  <c r="O524" i="2"/>
  <c r="O531" i="2"/>
  <c r="O538" i="2"/>
  <c r="O545" i="2"/>
  <c r="O552" i="2"/>
  <c r="O559" i="2"/>
  <c r="O566" i="2"/>
  <c r="O573" i="2"/>
  <c r="O580" i="2"/>
  <c r="O587" i="2"/>
  <c r="O594" i="2"/>
  <c r="O601" i="2"/>
  <c r="O608" i="2"/>
  <c r="O615" i="2"/>
  <c r="O622" i="2"/>
  <c r="O629" i="2"/>
  <c r="O636" i="2"/>
  <c r="O643" i="2"/>
  <c r="O650" i="2"/>
  <c r="O657" i="2"/>
  <c r="O664" i="2"/>
  <c r="O671" i="2"/>
  <c r="O678" i="2"/>
  <c r="O685" i="2"/>
  <c r="O692" i="2"/>
  <c r="O699" i="2"/>
  <c r="O706" i="2"/>
  <c r="O713" i="2"/>
  <c r="O720" i="2"/>
  <c r="O727" i="2"/>
  <c r="O734" i="2"/>
  <c r="O741" i="2"/>
  <c r="O748" i="2"/>
  <c r="O755" i="2"/>
  <c r="O762" i="2"/>
  <c r="O769" i="2"/>
  <c r="O776" i="2"/>
  <c r="O783" i="2"/>
  <c r="O790" i="2"/>
  <c r="O797" i="2"/>
  <c r="O804" i="2"/>
  <c r="O811" i="2"/>
  <c r="O818" i="2"/>
  <c r="O825" i="2"/>
  <c r="O832" i="2"/>
  <c r="O839" i="2"/>
  <c r="O846" i="2"/>
  <c r="O853" i="2"/>
  <c r="O860" i="2"/>
  <c r="O867" i="2"/>
  <c r="O874" i="2"/>
  <c r="O881" i="2"/>
  <c r="O888" i="2"/>
  <c r="O895" i="2"/>
  <c r="O902" i="2"/>
  <c r="O909" i="2"/>
  <c r="O916" i="2"/>
  <c r="O923" i="2"/>
  <c r="O930" i="2"/>
  <c r="O937" i="2"/>
  <c r="O944" i="2"/>
  <c r="O951" i="2"/>
  <c r="O958" i="2"/>
  <c r="O965" i="2"/>
  <c r="O972" i="2"/>
  <c r="O979" i="2"/>
  <c r="O986" i="2"/>
  <c r="O993" i="2"/>
  <c r="O1000" i="2"/>
  <c r="O1007" i="2"/>
  <c r="O1014" i="2"/>
  <c r="O1021" i="2"/>
  <c r="O1028" i="2"/>
  <c r="O1035" i="2"/>
  <c r="O1042" i="2"/>
  <c r="O1049" i="2"/>
  <c r="O1056" i="2"/>
  <c r="O1063" i="2"/>
  <c r="O1070" i="2"/>
  <c r="O1077" i="2"/>
  <c r="O1084" i="2"/>
  <c r="O1091" i="2"/>
  <c r="O1098" i="2"/>
  <c r="O1105" i="2"/>
  <c r="O1112" i="2"/>
  <c r="O1119" i="2"/>
  <c r="O1126" i="2"/>
  <c r="O1133" i="2"/>
  <c r="O1140" i="2"/>
  <c r="O1147" i="2"/>
  <c r="O1154" i="2"/>
  <c r="O1161" i="2"/>
  <c r="O1168" i="2"/>
  <c r="O1175" i="2"/>
  <c r="O1182" i="2"/>
  <c r="O1189" i="2"/>
  <c r="O1195" i="2"/>
  <c r="O1203" i="2"/>
  <c r="O1210" i="2"/>
  <c r="O1217" i="2"/>
  <c r="O1224" i="2"/>
  <c r="O1231" i="2"/>
  <c r="O1238" i="2"/>
  <c r="O1245" i="2"/>
  <c r="O1252" i="2"/>
  <c r="O1259" i="2"/>
  <c r="O1266" i="2"/>
  <c r="O1273" i="2"/>
  <c r="O1280" i="2"/>
  <c r="O1287" i="2"/>
  <c r="O1294" i="2"/>
  <c r="O1301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N6" i="2"/>
  <c r="N13" i="2"/>
  <c r="N20" i="2"/>
  <c r="N27" i="2"/>
  <c r="N34" i="2"/>
  <c r="N41" i="2"/>
  <c r="N48" i="2"/>
  <c r="N55" i="2"/>
  <c r="N59" i="2"/>
  <c r="N69" i="2"/>
  <c r="N76" i="2"/>
  <c r="N83" i="2"/>
  <c r="N90" i="2"/>
  <c r="N97" i="2"/>
  <c r="N104" i="2"/>
  <c r="N111" i="2"/>
  <c r="N118" i="2"/>
  <c r="N125" i="2"/>
  <c r="N132" i="2"/>
  <c r="N139" i="2"/>
  <c r="N146" i="2"/>
  <c r="N153" i="2"/>
  <c r="N160" i="2"/>
  <c r="N167" i="2"/>
  <c r="N174" i="2"/>
  <c r="N181" i="2"/>
  <c r="N188" i="2"/>
  <c r="N195" i="2"/>
  <c r="N202" i="2"/>
  <c r="N209" i="2"/>
  <c r="N219" i="2"/>
  <c r="N226" i="2"/>
  <c r="N230" i="2"/>
  <c r="N237" i="2"/>
  <c r="N244" i="2"/>
  <c r="N251" i="2"/>
  <c r="N258" i="2"/>
  <c r="N265" i="2"/>
  <c r="N272" i="2"/>
  <c r="N279" i="2"/>
  <c r="N286" i="2"/>
  <c r="N293" i="2"/>
  <c r="N300" i="2"/>
  <c r="N310" i="2"/>
  <c r="N314" i="2"/>
  <c r="N321" i="2"/>
  <c r="N328" i="2"/>
  <c r="N335" i="2"/>
  <c r="N342" i="2"/>
  <c r="N349" i="2"/>
  <c r="N356" i="2"/>
  <c r="N363" i="2"/>
  <c r="N370" i="2"/>
  <c r="N377" i="2"/>
  <c r="N382" i="2"/>
  <c r="N391" i="2"/>
  <c r="N398" i="2"/>
  <c r="N405" i="2"/>
  <c r="N412" i="2"/>
  <c r="N419" i="2"/>
  <c r="N426" i="2"/>
  <c r="N433" i="2"/>
  <c r="N440" i="2"/>
  <c r="N447" i="2"/>
  <c r="N454" i="2"/>
  <c r="N461" i="2"/>
  <c r="N468" i="2"/>
  <c r="N475" i="2"/>
  <c r="N482" i="2"/>
  <c r="N492" i="2"/>
  <c r="N499" i="2"/>
  <c r="N503" i="2"/>
  <c r="N510" i="2"/>
  <c r="N517" i="2"/>
  <c r="N524" i="2"/>
  <c r="N531" i="2"/>
  <c r="N538" i="2"/>
  <c r="N545" i="2"/>
  <c r="N552" i="2"/>
  <c r="N559" i="2"/>
  <c r="N566" i="2"/>
  <c r="N573" i="2"/>
  <c r="N580" i="2"/>
  <c r="N587" i="2"/>
  <c r="N594" i="2"/>
  <c r="N601" i="2"/>
  <c r="N608" i="2"/>
  <c r="N615" i="2"/>
  <c r="N622" i="2"/>
  <c r="N629" i="2"/>
  <c r="N636" i="2"/>
  <c r="N643" i="2"/>
  <c r="N650" i="2"/>
  <c r="N657" i="2"/>
  <c r="N664" i="2"/>
  <c r="N671" i="2"/>
  <c r="N678" i="2"/>
  <c r="N685" i="2"/>
  <c r="N692" i="2"/>
  <c r="N699" i="2"/>
  <c r="N706" i="2"/>
  <c r="N713" i="2"/>
  <c r="N720" i="2"/>
  <c r="N727" i="2"/>
  <c r="N734" i="2"/>
  <c r="N741" i="2"/>
  <c r="N748" i="2"/>
  <c r="N755" i="2"/>
  <c r="N762" i="2"/>
  <c r="N769" i="2"/>
  <c r="N776" i="2"/>
  <c r="N783" i="2"/>
  <c r="N790" i="2"/>
  <c r="N797" i="2"/>
  <c r="N804" i="2"/>
  <c r="N811" i="2"/>
  <c r="N818" i="2"/>
  <c r="N825" i="2"/>
  <c r="N832" i="2"/>
  <c r="N839" i="2"/>
  <c r="N846" i="2"/>
  <c r="N853" i="2"/>
  <c r="N860" i="2"/>
  <c r="N867" i="2"/>
  <c r="N874" i="2"/>
  <c r="N881" i="2"/>
  <c r="N888" i="2"/>
  <c r="N895" i="2"/>
  <c r="N902" i="2"/>
  <c r="N909" i="2"/>
  <c r="N916" i="2"/>
  <c r="N923" i="2"/>
  <c r="N930" i="2"/>
  <c r="N937" i="2"/>
  <c r="N944" i="2"/>
  <c r="N951" i="2"/>
  <c r="N958" i="2"/>
  <c r="N965" i="2"/>
  <c r="N972" i="2"/>
  <c r="N979" i="2"/>
  <c r="N986" i="2"/>
  <c r="N993" i="2"/>
  <c r="N1000" i="2"/>
  <c r="N1007" i="2"/>
  <c r="N1014" i="2"/>
  <c r="N1021" i="2"/>
  <c r="N1028" i="2"/>
  <c r="N1035" i="2"/>
  <c r="N1042" i="2"/>
  <c r="N1049" i="2"/>
  <c r="N1056" i="2"/>
  <c r="N1063" i="2"/>
  <c r="N1070" i="2"/>
  <c r="N1077" i="2"/>
  <c r="N1084" i="2"/>
  <c r="N1091" i="2"/>
  <c r="N1098" i="2"/>
  <c r="N1105" i="2"/>
  <c r="N1112" i="2"/>
  <c r="N1119" i="2"/>
  <c r="N1126" i="2"/>
  <c r="N1133" i="2"/>
  <c r="N1140" i="2"/>
  <c r="N1147" i="2"/>
  <c r="N1154" i="2"/>
  <c r="N1161" i="2"/>
  <c r="N1168" i="2"/>
  <c r="N1175" i="2"/>
  <c r="N1182" i="2"/>
  <c r="N1189" i="2"/>
  <c r="N1195" i="2"/>
  <c r="N1203" i="2"/>
  <c r="N1210" i="2"/>
  <c r="N1217" i="2"/>
  <c r="N1224" i="2"/>
  <c r="N1231" i="2"/>
  <c r="N1238" i="2"/>
  <c r="N1245" i="2"/>
  <c r="N1252" i="2"/>
  <c r="N1259" i="2"/>
  <c r="N1266" i="2"/>
  <c r="N1273" i="2"/>
  <c r="N1280" i="2"/>
  <c r="N1287" i="2"/>
  <c r="N1294" i="2"/>
  <c r="N1301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U3" i="13" l="1"/>
  <c r="V3" i="13"/>
  <c r="W3" i="13"/>
  <c r="X3" i="13"/>
  <c r="Y3" i="13"/>
  <c r="Z3" i="13"/>
  <c r="U4" i="13"/>
  <c r="V4" i="13"/>
  <c r="W4" i="13"/>
  <c r="X4" i="13"/>
  <c r="Y4" i="13"/>
  <c r="Z4" i="13"/>
  <c r="U5" i="13"/>
  <c r="V5" i="13"/>
  <c r="W5" i="13"/>
  <c r="X5" i="13"/>
  <c r="Y5" i="13"/>
  <c r="Z5" i="13"/>
  <c r="U6" i="13"/>
  <c r="V6" i="13"/>
  <c r="W6" i="13"/>
  <c r="X6" i="13"/>
  <c r="Y6" i="13"/>
  <c r="Z6" i="13"/>
  <c r="U7" i="13"/>
  <c r="V7" i="13"/>
  <c r="W7" i="13"/>
  <c r="X7" i="13"/>
  <c r="Y7" i="13"/>
  <c r="Z7" i="13"/>
  <c r="U8" i="13"/>
  <c r="V8" i="13"/>
  <c r="W8" i="13"/>
  <c r="X8" i="13"/>
  <c r="Y8" i="13"/>
  <c r="Z8" i="13"/>
  <c r="U9" i="13"/>
  <c r="V9" i="13"/>
  <c r="W9" i="13"/>
  <c r="X9" i="13"/>
  <c r="Y9" i="13"/>
  <c r="Z9" i="13"/>
  <c r="U10" i="13"/>
  <c r="V10" i="13"/>
  <c r="W10" i="13"/>
  <c r="X10" i="13"/>
  <c r="Y10" i="13"/>
  <c r="Z10" i="13"/>
  <c r="U11" i="13"/>
  <c r="V11" i="13"/>
  <c r="W11" i="13"/>
  <c r="X11" i="13"/>
  <c r="Y11" i="13"/>
  <c r="Z11" i="13"/>
  <c r="U12" i="13"/>
  <c r="V12" i="13"/>
  <c r="W12" i="13"/>
  <c r="X12" i="13"/>
  <c r="Y12" i="13"/>
  <c r="Z12" i="13"/>
  <c r="U13" i="13"/>
  <c r="V13" i="13"/>
  <c r="W13" i="13"/>
  <c r="X13" i="13"/>
  <c r="Y13" i="13"/>
  <c r="Z13" i="13"/>
  <c r="U14" i="13"/>
  <c r="V14" i="13"/>
  <c r="W14" i="13"/>
  <c r="X14" i="13"/>
  <c r="Y14" i="13"/>
  <c r="Z14" i="13"/>
  <c r="U15" i="13"/>
  <c r="V15" i="13"/>
  <c r="W15" i="13"/>
  <c r="X15" i="13"/>
  <c r="Y15" i="13"/>
  <c r="Z15" i="13"/>
  <c r="U16" i="13"/>
  <c r="V16" i="13"/>
  <c r="W16" i="13"/>
  <c r="X16" i="13"/>
  <c r="Y16" i="13"/>
  <c r="Z16" i="13"/>
  <c r="U17" i="13"/>
  <c r="V17" i="13"/>
  <c r="W17" i="13"/>
  <c r="X17" i="13"/>
  <c r="Y17" i="13"/>
  <c r="Z17" i="13"/>
  <c r="U18" i="13"/>
  <c r="V18" i="13"/>
  <c r="W18" i="13"/>
  <c r="X18" i="13"/>
  <c r="Y18" i="13"/>
  <c r="Z18" i="13"/>
  <c r="U19" i="13"/>
  <c r="V19" i="13"/>
  <c r="W19" i="13"/>
  <c r="X19" i="13"/>
  <c r="Y19" i="13"/>
  <c r="Z19" i="13"/>
  <c r="U20" i="13"/>
  <c r="V20" i="13"/>
  <c r="W20" i="13"/>
  <c r="X20" i="13"/>
  <c r="Y20" i="13"/>
  <c r="Z20" i="13"/>
  <c r="U21" i="13"/>
  <c r="V21" i="13"/>
  <c r="W21" i="13"/>
  <c r="X21" i="13"/>
  <c r="Y21" i="13"/>
  <c r="Z21" i="13"/>
  <c r="U22" i="13"/>
  <c r="V22" i="13"/>
  <c r="W22" i="13"/>
  <c r="X22" i="13"/>
  <c r="Y22" i="13"/>
  <c r="Z22" i="13"/>
  <c r="U23" i="13"/>
  <c r="V23" i="13"/>
  <c r="W23" i="13"/>
  <c r="X23" i="13"/>
  <c r="Y23" i="13"/>
  <c r="Z23" i="13"/>
  <c r="U24" i="13"/>
  <c r="V24" i="13"/>
  <c r="W24" i="13"/>
  <c r="X24" i="13"/>
  <c r="Y24" i="13"/>
  <c r="Z24" i="13"/>
  <c r="U25" i="13"/>
  <c r="V25" i="13"/>
  <c r="W25" i="13"/>
  <c r="X25" i="13"/>
  <c r="Y25" i="13"/>
  <c r="Z25" i="13"/>
  <c r="U26" i="13"/>
  <c r="V26" i="13"/>
  <c r="W26" i="13"/>
  <c r="X26" i="13"/>
  <c r="Y26" i="13"/>
  <c r="Z26" i="13"/>
  <c r="U27" i="13"/>
  <c r="V27" i="13"/>
  <c r="W27" i="13"/>
  <c r="X27" i="13"/>
  <c r="Y27" i="13"/>
  <c r="Z27" i="13"/>
  <c r="U28" i="13"/>
  <c r="V28" i="13"/>
  <c r="W28" i="13"/>
  <c r="X28" i="13"/>
  <c r="Y28" i="13"/>
  <c r="Z28" i="13"/>
  <c r="U29" i="13"/>
  <c r="V29" i="13"/>
  <c r="W29" i="13"/>
  <c r="X29" i="13"/>
  <c r="Y29" i="13"/>
  <c r="Z29" i="13"/>
  <c r="U30" i="13"/>
  <c r="V30" i="13"/>
  <c r="W30" i="13"/>
  <c r="X30" i="13"/>
  <c r="Y30" i="13"/>
  <c r="Z30" i="13"/>
  <c r="U31" i="13"/>
  <c r="V31" i="13"/>
  <c r="W31" i="13"/>
  <c r="X31" i="13"/>
  <c r="Y31" i="13"/>
  <c r="Z31" i="13"/>
  <c r="U32" i="13"/>
  <c r="V32" i="13"/>
  <c r="W32" i="13"/>
  <c r="X32" i="13"/>
  <c r="Y32" i="13"/>
  <c r="Z32" i="13"/>
  <c r="U33" i="13"/>
  <c r="V33" i="13"/>
  <c r="W33" i="13"/>
  <c r="X33" i="13"/>
  <c r="Y33" i="13"/>
  <c r="Z33" i="13"/>
  <c r="U34" i="13"/>
  <c r="V34" i="13"/>
  <c r="W34" i="13"/>
  <c r="X34" i="13"/>
  <c r="Y34" i="13"/>
  <c r="Z34" i="13"/>
  <c r="U35" i="13"/>
  <c r="V35" i="13"/>
  <c r="W35" i="13"/>
  <c r="X35" i="13"/>
  <c r="Y35" i="13"/>
  <c r="Z35" i="13"/>
  <c r="U36" i="13"/>
  <c r="V36" i="13"/>
  <c r="W36" i="13"/>
  <c r="X36" i="13"/>
  <c r="Y36" i="13"/>
  <c r="Z36" i="13"/>
  <c r="U37" i="13"/>
  <c r="V37" i="13"/>
  <c r="W37" i="13"/>
  <c r="X37" i="13"/>
  <c r="Y37" i="13"/>
  <c r="Z37" i="13"/>
  <c r="U38" i="13"/>
  <c r="V38" i="13"/>
  <c r="W38" i="13"/>
  <c r="X38" i="13"/>
  <c r="Y38" i="13"/>
  <c r="Z38" i="13"/>
  <c r="S4" i="6" l="1"/>
  <c r="S5" i="6" s="1"/>
  <c r="S6" i="6" s="1"/>
  <c r="S7" i="6" s="1"/>
  <c r="S8" i="6" s="1"/>
  <c r="K5" i="6"/>
  <c r="K6" i="6" s="1"/>
  <c r="K7" i="6" s="1"/>
  <c r="K8" i="6" s="1"/>
  <c r="K4" i="6"/>
  <c r="B363" i="12"/>
  <c r="A363" i="12" s="1"/>
  <c r="B291" i="12"/>
  <c r="A291" i="12" s="1"/>
  <c r="B220" i="12"/>
  <c r="A220" i="12" s="1"/>
  <c r="B219" i="12"/>
  <c r="A219" i="12" s="1"/>
  <c r="B148" i="12"/>
  <c r="A148" i="12" s="1"/>
  <c r="B147" i="12"/>
  <c r="A147" i="12" s="1"/>
  <c r="B75" i="12"/>
  <c r="A75" i="12" s="1"/>
  <c r="B3" i="12"/>
  <c r="A3" i="12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V435" i="11"/>
  <c r="V434" i="11"/>
  <c r="V433" i="11"/>
  <c r="V432" i="11"/>
  <c r="V431" i="11"/>
  <c r="V430" i="11"/>
  <c r="V429" i="11"/>
  <c r="V428" i="11"/>
  <c r="V427" i="11"/>
  <c r="V426" i="11"/>
  <c r="V425" i="11"/>
  <c r="V424" i="11"/>
  <c r="V423" i="11"/>
  <c r="V422" i="11"/>
  <c r="V421" i="11"/>
  <c r="V420" i="11"/>
  <c r="V419" i="11"/>
  <c r="V418" i="11"/>
  <c r="V417" i="11"/>
  <c r="V416" i="11"/>
  <c r="V415" i="11"/>
  <c r="V414" i="11"/>
  <c r="V413" i="11"/>
  <c r="V412" i="11"/>
  <c r="V411" i="11"/>
  <c r="V410" i="11"/>
  <c r="V409" i="11"/>
  <c r="V408" i="11"/>
  <c r="V407" i="11"/>
  <c r="V406" i="11"/>
  <c r="V405" i="11"/>
  <c r="V404" i="11"/>
  <c r="V403" i="11"/>
  <c r="V402" i="11"/>
  <c r="V401" i="11"/>
  <c r="V400" i="11"/>
  <c r="V399" i="11"/>
  <c r="V398" i="11"/>
  <c r="V397" i="11"/>
  <c r="V396" i="11"/>
  <c r="V395" i="11"/>
  <c r="V394" i="11"/>
  <c r="V393" i="11"/>
  <c r="V392" i="11"/>
  <c r="V391" i="11"/>
  <c r="V390" i="11"/>
  <c r="V389" i="11"/>
  <c r="V388" i="11"/>
  <c r="V387" i="11"/>
  <c r="V386" i="11"/>
  <c r="V385" i="11"/>
  <c r="V384" i="11"/>
  <c r="V383" i="11"/>
  <c r="V382" i="11"/>
  <c r="V381" i="11"/>
  <c r="V380" i="11"/>
  <c r="V379" i="11"/>
  <c r="V378" i="11"/>
  <c r="V377" i="11"/>
  <c r="V376" i="11"/>
  <c r="V375" i="11"/>
  <c r="V374" i="11"/>
  <c r="V373" i="11"/>
  <c r="V372" i="11"/>
  <c r="V371" i="11"/>
  <c r="V370" i="11"/>
  <c r="V369" i="11"/>
  <c r="V368" i="11"/>
  <c r="V367" i="11"/>
  <c r="V366" i="11"/>
  <c r="V365" i="11"/>
  <c r="V364" i="11"/>
  <c r="V363" i="11"/>
  <c r="V362" i="11"/>
  <c r="V361" i="11"/>
  <c r="V360" i="11"/>
  <c r="V359" i="11"/>
  <c r="V358" i="11"/>
  <c r="V357" i="11"/>
  <c r="V356" i="11"/>
  <c r="V355" i="11"/>
  <c r="V354" i="11"/>
  <c r="V353" i="11"/>
  <c r="V352" i="11"/>
  <c r="V351" i="11"/>
  <c r="V350" i="11"/>
  <c r="V349" i="11"/>
  <c r="V348" i="11"/>
  <c r="V347" i="11"/>
  <c r="V346" i="11"/>
  <c r="V345" i="11"/>
  <c r="V344" i="11"/>
  <c r="V343" i="11"/>
  <c r="V342" i="11"/>
  <c r="V341" i="11"/>
  <c r="V340" i="11"/>
  <c r="V339" i="11"/>
  <c r="V338" i="11"/>
  <c r="V337" i="11"/>
  <c r="V336" i="11"/>
  <c r="V335" i="11"/>
  <c r="V334" i="11"/>
  <c r="V333" i="11"/>
  <c r="V332" i="11"/>
  <c r="V331" i="11"/>
  <c r="V330" i="11"/>
  <c r="V329" i="11"/>
  <c r="V328" i="11"/>
  <c r="V327" i="11"/>
  <c r="V326" i="11"/>
  <c r="V325" i="11"/>
  <c r="V324" i="11"/>
  <c r="V323" i="11"/>
  <c r="V322" i="11"/>
  <c r="V321" i="11"/>
  <c r="V320" i="11"/>
  <c r="V319" i="11"/>
  <c r="V318" i="11"/>
  <c r="V317" i="11"/>
  <c r="V316" i="11"/>
  <c r="V315" i="11"/>
  <c r="V314" i="11"/>
  <c r="V313" i="11"/>
  <c r="V312" i="11"/>
  <c r="V311" i="11"/>
  <c r="V310" i="11"/>
  <c r="V309" i="11"/>
  <c r="V308" i="11"/>
  <c r="V307" i="11"/>
  <c r="V306" i="11"/>
  <c r="V305" i="11"/>
  <c r="V304" i="11"/>
  <c r="V303" i="11"/>
  <c r="V302" i="11"/>
  <c r="V301" i="11"/>
  <c r="V300" i="11"/>
  <c r="V299" i="11"/>
  <c r="V298" i="11"/>
  <c r="V297" i="11"/>
  <c r="V296" i="11"/>
  <c r="V295" i="11"/>
  <c r="V294" i="11"/>
  <c r="V293" i="11"/>
  <c r="V292" i="11"/>
  <c r="V291" i="11"/>
  <c r="V290" i="11"/>
  <c r="V289" i="11"/>
  <c r="V288" i="11"/>
  <c r="V287" i="11"/>
  <c r="V286" i="11"/>
  <c r="V285" i="11"/>
  <c r="V284" i="11"/>
  <c r="V283" i="11"/>
  <c r="V282" i="11"/>
  <c r="V281" i="11"/>
  <c r="V280" i="11"/>
  <c r="V279" i="11"/>
  <c r="V278" i="11"/>
  <c r="V277" i="11"/>
  <c r="V276" i="11"/>
  <c r="V275" i="11"/>
  <c r="V274" i="11"/>
  <c r="V273" i="11"/>
  <c r="V272" i="11"/>
  <c r="V271" i="11"/>
  <c r="V270" i="11"/>
  <c r="V269" i="11"/>
  <c r="V268" i="11"/>
  <c r="V267" i="11"/>
  <c r="V266" i="11"/>
  <c r="V265" i="11"/>
  <c r="V264" i="11"/>
  <c r="V263" i="11"/>
  <c r="V262" i="11"/>
  <c r="V261" i="11"/>
  <c r="V260" i="11"/>
  <c r="V259" i="11"/>
  <c r="V258" i="11"/>
  <c r="V257" i="11"/>
  <c r="V256" i="11"/>
  <c r="V255" i="11"/>
  <c r="V254" i="11"/>
  <c r="V253" i="11"/>
  <c r="V252" i="11"/>
  <c r="V251" i="11"/>
  <c r="V250" i="11"/>
  <c r="V249" i="11"/>
  <c r="V248" i="11"/>
  <c r="V247" i="11"/>
  <c r="V246" i="11"/>
  <c r="V245" i="11"/>
  <c r="V244" i="11"/>
  <c r="V243" i="11"/>
  <c r="V242" i="11"/>
  <c r="V241" i="11"/>
  <c r="V240" i="11"/>
  <c r="V239" i="11"/>
  <c r="V238" i="11"/>
  <c r="V237" i="11"/>
  <c r="V236" i="11"/>
  <c r="V235" i="11"/>
  <c r="V234" i="11"/>
  <c r="V233" i="11"/>
  <c r="V232" i="11"/>
  <c r="V231" i="11"/>
  <c r="V230" i="11"/>
  <c r="V229" i="11"/>
  <c r="V228" i="11"/>
  <c r="V227" i="11"/>
  <c r="V226" i="11"/>
  <c r="V225" i="11"/>
  <c r="V224" i="11"/>
  <c r="V223" i="11"/>
  <c r="V222" i="11"/>
  <c r="V221" i="11"/>
  <c r="V220" i="11"/>
  <c r="V219" i="11"/>
  <c r="V218" i="11"/>
  <c r="V217" i="11"/>
  <c r="V216" i="11"/>
  <c r="V215" i="11"/>
  <c r="V214" i="11"/>
  <c r="V213" i="11"/>
  <c r="V212" i="11"/>
  <c r="V211" i="11"/>
  <c r="V210" i="11"/>
  <c r="V209" i="11"/>
  <c r="V208" i="11"/>
  <c r="V207" i="11"/>
  <c r="V206" i="11"/>
  <c r="V205" i="11"/>
  <c r="V204" i="11"/>
  <c r="V203" i="11"/>
  <c r="V202" i="11"/>
  <c r="V201" i="11"/>
  <c r="V200" i="11"/>
  <c r="V199" i="11"/>
  <c r="V198" i="11"/>
  <c r="V197" i="11"/>
  <c r="V196" i="11"/>
  <c r="V195" i="11"/>
  <c r="V194" i="11"/>
  <c r="V193" i="11"/>
  <c r="V192" i="11"/>
  <c r="V191" i="11"/>
  <c r="V190" i="11"/>
  <c r="V189" i="11"/>
  <c r="V188" i="11"/>
  <c r="V187" i="11"/>
  <c r="V186" i="11"/>
  <c r="V185" i="11"/>
  <c r="V184" i="11"/>
  <c r="V183" i="11"/>
  <c r="V182" i="11"/>
  <c r="V181" i="11"/>
  <c r="V180" i="11"/>
  <c r="V179" i="11"/>
  <c r="V178" i="11"/>
  <c r="V177" i="11"/>
  <c r="V176" i="11"/>
  <c r="V175" i="11"/>
  <c r="V174" i="11"/>
  <c r="V173" i="11"/>
  <c r="V172" i="11"/>
  <c r="V171" i="11"/>
  <c r="V170" i="11"/>
  <c r="V169" i="11"/>
  <c r="V168" i="11"/>
  <c r="V167" i="11"/>
  <c r="V166" i="11"/>
  <c r="V165" i="11"/>
  <c r="V164" i="11"/>
  <c r="V163" i="11"/>
  <c r="V162" i="11"/>
  <c r="V161" i="11"/>
  <c r="V160" i="11"/>
  <c r="V159" i="11"/>
  <c r="V158" i="11"/>
  <c r="V157" i="11"/>
  <c r="V156" i="11"/>
  <c r="V155" i="11"/>
  <c r="V154" i="11"/>
  <c r="V153" i="11"/>
  <c r="V152" i="11"/>
  <c r="V151" i="11"/>
  <c r="V150" i="11"/>
  <c r="V149" i="11"/>
  <c r="V148" i="11"/>
  <c r="V147" i="11"/>
  <c r="V146" i="11"/>
  <c r="V145" i="11"/>
  <c r="V144" i="11"/>
  <c r="V143" i="11"/>
  <c r="V142" i="11"/>
  <c r="V141" i="11"/>
  <c r="V140" i="11"/>
  <c r="V139" i="11"/>
  <c r="V138" i="11"/>
  <c r="V137" i="11"/>
  <c r="V136" i="11"/>
  <c r="V135" i="11"/>
  <c r="V134" i="11"/>
  <c r="V133" i="11"/>
  <c r="V132" i="11"/>
  <c r="V131" i="11"/>
  <c r="V130" i="11"/>
  <c r="V129" i="11"/>
  <c r="V128" i="11"/>
  <c r="V127" i="11"/>
  <c r="V126" i="11"/>
  <c r="V125" i="11"/>
  <c r="V124" i="11"/>
  <c r="V123" i="11"/>
  <c r="V122" i="11"/>
  <c r="V121" i="11"/>
  <c r="V120" i="11"/>
  <c r="V119" i="11"/>
  <c r="V118" i="11"/>
  <c r="V117" i="11"/>
  <c r="V116" i="11"/>
  <c r="V115" i="11"/>
  <c r="V114" i="11"/>
  <c r="V113" i="11"/>
  <c r="V112" i="11"/>
  <c r="V111" i="11"/>
  <c r="V110" i="11"/>
  <c r="V109" i="11"/>
  <c r="V108" i="11"/>
  <c r="V107" i="11"/>
  <c r="V106" i="11"/>
  <c r="V105" i="11"/>
  <c r="V104" i="11"/>
  <c r="V103" i="11"/>
  <c r="V102" i="11"/>
  <c r="V101" i="11"/>
  <c r="V100" i="11"/>
  <c r="V99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U435" i="11"/>
  <c r="U434" i="11"/>
  <c r="U433" i="11"/>
  <c r="U432" i="11"/>
  <c r="U431" i="11"/>
  <c r="U430" i="11"/>
  <c r="U429" i="11"/>
  <c r="U428" i="11"/>
  <c r="U427" i="11"/>
  <c r="U426" i="11"/>
  <c r="U425" i="11"/>
  <c r="U424" i="11"/>
  <c r="U423" i="11"/>
  <c r="U422" i="11"/>
  <c r="U421" i="11"/>
  <c r="U420" i="11"/>
  <c r="U419" i="11"/>
  <c r="U418" i="11"/>
  <c r="U417" i="11"/>
  <c r="U416" i="11"/>
  <c r="U415" i="11"/>
  <c r="U414" i="11"/>
  <c r="U413" i="11"/>
  <c r="U412" i="11"/>
  <c r="U411" i="11"/>
  <c r="U410" i="11"/>
  <c r="U409" i="11"/>
  <c r="U408" i="11"/>
  <c r="U407" i="11"/>
  <c r="U406" i="11"/>
  <c r="U405" i="11"/>
  <c r="U404" i="11"/>
  <c r="U403" i="11"/>
  <c r="U402" i="11"/>
  <c r="U401" i="11"/>
  <c r="U400" i="11"/>
  <c r="U399" i="11"/>
  <c r="U398" i="11"/>
  <c r="U397" i="11"/>
  <c r="U396" i="11"/>
  <c r="U395" i="11"/>
  <c r="U394" i="11"/>
  <c r="U393" i="11"/>
  <c r="U392" i="11"/>
  <c r="U391" i="11"/>
  <c r="U390" i="11"/>
  <c r="U389" i="11"/>
  <c r="U388" i="11"/>
  <c r="U387" i="11"/>
  <c r="U386" i="11"/>
  <c r="U385" i="11"/>
  <c r="U384" i="11"/>
  <c r="U383" i="11"/>
  <c r="U382" i="11"/>
  <c r="U381" i="11"/>
  <c r="U380" i="11"/>
  <c r="U379" i="11"/>
  <c r="U378" i="11"/>
  <c r="U377" i="11"/>
  <c r="U376" i="11"/>
  <c r="U375" i="11"/>
  <c r="U374" i="11"/>
  <c r="U373" i="11"/>
  <c r="U372" i="11"/>
  <c r="U371" i="11"/>
  <c r="U370" i="11"/>
  <c r="U369" i="11"/>
  <c r="U368" i="11"/>
  <c r="U367" i="11"/>
  <c r="U366" i="11"/>
  <c r="U365" i="11"/>
  <c r="U364" i="11"/>
  <c r="U363" i="11"/>
  <c r="U362" i="11"/>
  <c r="U361" i="11"/>
  <c r="U360" i="11"/>
  <c r="U359" i="11"/>
  <c r="U358" i="11"/>
  <c r="U357" i="11"/>
  <c r="U356" i="11"/>
  <c r="U355" i="11"/>
  <c r="U354" i="11"/>
  <c r="U353" i="11"/>
  <c r="U352" i="11"/>
  <c r="U351" i="11"/>
  <c r="U350" i="11"/>
  <c r="U349" i="11"/>
  <c r="U348" i="11"/>
  <c r="U347" i="11"/>
  <c r="U346" i="11"/>
  <c r="U345" i="11"/>
  <c r="U344" i="11"/>
  <c r="U343" i="11"/>
  <c r="U342" i="11"/>
  <c r="U341" i="11"/>
  <c r="U340" i="11"/>
  <c r="U339" i="11"/>
  <c r="U338" i="11"/>
  <c r="U337" i="11"/>
  <c r="U336" i="11"/>
  <c r="U335" i="11"/>
  <c r="U334" i="11"/>
  <c r="U333" i="11"/>
  <c r="U332" i="11"/>
  <c r="U331" i="11"/>
  <c r="U330" i="11"/>
  <c r="U329" i="11"/>
  <c r="U328" i="11"/>
  <c r="U327" i="11"/>
  <c r="U326" i="11"/>
  <c r="U325" i="11"/>
  <c r="U324" i="11"/>
  <c r="U323" i="11"/>
  <c r="U322" i="11"/>
  <c r="U321" i="11"/>
  <c r="U320" i="11"/>
  <c r="U319" i="11"/>
  <c r="U318" i="11"/>
  <c r="U317" i="11"/>
  <c r="U316" i="11"/>
  <c r="U315" i="11"/>
  <c r="U314" i="11"/>
  <c r="U313" i="11"/>
  <c r="U312" i="11"/>
  <c r="U311" i="11"/>
  <c r="U310" i="11"/>
  <c r="U309" i="11"/>
  <c r="U308" i="11"/>
  <c r="U307" i="11"/>
  <c r="U306" i="11"/>
  <c r="U305" i="11"/>
  <c r="U304" i="11"/>
  <c r="U303" i="11"/>
  <c r="U302" i="11"/>
  <c r="U301" i="11"/>
  <c r="U300" i="11"/>
  <c r="U299" i="11"/>
  <c r="U298" i="11"/>
  <c r="U297" i="11"/>
  <c r="U296" i="11"/>
  <c r="U295" i="11"/>
  <c r="U294" i="11"/>
  <c r="U293" i="11"/>
  <c r="U292" i="11"/>
  <c r="U291" i="11"/>
  <c r="U290" i="11"/>
  <c r="U289" i="11"/>
  <c r="U288" i="11"/>
  <c r="U287" i="11"/>
  <c r="U286" i="11"/>
  <c r="U285" i="11"/>
  <c r="U284" i="11"/>
  <c r="U283" i="11"/>
  <c r="U282" i="11"/>
  <c r="U281" i="11"/>
  <c r="U280" i="11"/>
  <c r="U279" i="11"/>
  <c r="U278" i="11"/>
  <c r="U277" i="11"/>
  <c r="U276" i="11"/>
  <c r="U275" i="11"/>
  <c r="U274" i="11"/>
  <c r="U273" i="11"/>
  <c r="U272" i="11"/>
  <c r="U271" i="11"/>
  <c r="U270" i="11"/>
  <c r="U269" i="11"/>
  <c r="U268" i="11"/>
  <c r="U267" i="11"/>
  <c r="U266" i="11"/>
  <c r="U265" i="11"/>
  <c r="U264" i="11"/>
  <c r="U263" i="11"/>
  <c r="U262" i="11"/>
  <c r="U261" i="11"/>
  <c r="U260" i="11"/>
  <c r="U259" i="11"/>
  <c r="U258" i="11"/>
  <c r="U257" i="11"/>
  <c r="U256" i="11"/>
  <c r="U255" i="11"/>
  <c r="U254" i="11"/>
  <c r="U253" i="11"/>
  <c r="U252" i="11"/>
  <c r="U251" i="11"/>
  <c r="U250" i="11"/>
  <c r="U249" i="11"/>
  <c r="U248" i="11"/>
  <c r="U247" i="11"/>
  <c r="U246" i="11"/>
  <c r="U245" i="11"/>
  <c r="U244" i="11"/>
  <c r="U243" i="11"/>
  <c r="U242" i="11"/>
  <c r="U241" i="11"/>
  <c r="U240" i="11"/>
  <c r="U239" i="11"/>
  <c r="U238" i="11"/>
  <c r="U237" i="11"/>
  <c r="U236" i="11"/>
  <c r="U235" i="11"/>
  <c r="U234" i="11"/>
  <c r="U233" i="11"/>
  <c r="U232" i="11"/>
  <c r="U231" i="11"/>
  <c r="U230" i="11"/>
  <c r="U229" i="11"/>
  <c r="U228" i="11"/>
  <c r="U227" i="11"/>
  <c r="U226" i="11"/>
  <c r="U225" i="11"/>
  <c r="U224" i="11"/>
  <c r="U223" i="11"/>
  <c r="U222" i="11"/>
  <c r="U221" i="11"/>
  <c r="U220" i="11"/>
  <c r="U219" i="11"/>
  <c r="U218" i="11"/>
  <c r="U217" i="11"/>
  <c r="U216" i="11"/>
  <c r="U215" i="11"/>
  <c r="U214" i="11"/>
  <c r="U213" i="11"/>
  <c r="U212" i="11"/>
  <c r="U211" i="11"/>
  <c r="U210" i="11"/>
  <c r="U209" i="11"/>
  <c r="U208" i="11"/>
  <c r="U207" i="11"/>
  <c r="U206" i="11"/>
  <c r="U205" i="11"/>
  <c r="U204" i="11"/>
  <c r="U203" i="11"/>
  <c r="U202" i="11"/>
  <c r="U201" i="11"/>
  <c r="U200" i="11"/>
  <c r="U199" i="11"/>
  <c r="U198" i="11"/>
  <c r="U197" i="11"/>
  <c r="U196" i="11"/>
  <c r="U195" i="11"/>
  <c r="U194" i="11"/>
  <c r="U193" i="11"/>
  <c r="U192" i="11"/>
  <c r="U191" i="11"/>
  <c r="U190" i="11"/>
  <c r="U189" i="11"/>
  <c r="U188" i="11"/>
  <c r="U187" i="11"/>
  <c r="U186" i="11"/>
  <c r="U185" i="11"/>
  <c r="U184" i="11"/>
  <c r="U183" i="11"/>
  <c r="U182" i="11"/>
  <c r="U181" i="11"/>
  <c r="U180" i="11"/>
  <c r="U179" i="11"/>
  <c r="U178" i="11"/>
  <c r="U177" i="11"/>
  <c r="U176" i="11"/>
  <c r="U175" i="11"/>
  <c r="U174" i="11"/>
  <c r="U173" i="11"/>
  <c r="U172" i="11"/>
  <c r="U171" i="11"/>
  <c r="U170" i="11"/>
  <c r="U169" i="11"/>
  <c r="U168" i="11"/>
  <c r="U167" i="11"/>
  <c r="U166" i="11"/>
  <c r="U165" i="11"/>
  <c r="U164" i="11"/>
  <c r="U163" i="11"/>
  <c r="U162" i="11"/>
  <c r="U161" i="11"/>
  <c r="U160" i="11"/>
  <c r="U159" i="11"/>
  <c r="U158" i="11"/>
  <c r="U157" i="11"/>
  <c r="U156" i="11"/>
  <c r="U155" i="11"/>
  <c r="U154" i="11"/>
  <c r="U153" i="11"/>
  <c r="U152" i="11"/>
  <c r="U151" i="11"/>
  <c r="U150" i="11"/>
  <c r="U149" i="11"/>
  <c r="U148" i="11"/>
  <c r="U147" i="11"/>
  <c r="U146" i="11"/>
  <c r="U145" i="11"/>
  <c r="U144" i="11"/>
  <c r="U143" i="11"/>
  <c r="U142" i="11"/>
  <c r="U141" i="11"/>
  <c r="U140" i="11"/>
  <c r="U139" i="11"/>
  <c r="U138" i="11"/>
  <c r="U137" i="11"/>
  <c r="U136" i="11"/>
  <c r="U135" i="11"/>
  <c r="U134" i="11"/>
  <c r="U133" i="11"/>
  <c r="U132" i="11"/>
  <c r="U131" i="11"/>
  <c r="U130" i="11"/>
  <c r="U129" i="11"/>
  <c r="U128" i="11"/>
  <c r="U127" i="11"/>
  <c r="U126" i="11"/>
  <c r="U125" i="11"/>
  <c r="U124" i="11"/>
  <c r="U123" i="11"/>
  <c r="U122" i="11"/>
  <c r="U121" i="11"/>
  <c r="U120" i="11"/>
  <c r="U119" i="11"/>
  <c r="U118" i="11"/>
  <c r="U117" i="11"/>
  <c r="U116" i="11"/>
  <c r="U115" i="11"/>
  <c r="U114" i="11"/>
  <c r="U113" i="11"/>
  <c r="U112" i="11"/>
  <c r="U111" i="11"/>
  <c r="U110" i="11"/>
  <c r="U109" i="11"/>
  <c r="U108" i="11"/>
  <c r="U107" i="11"/>
  <c r="U106" i="11"/>
  <c r="U105" i="11"/>
  <c r="U104" i="11"/>
  <c r="U103" i="11"/>
  <c r="U102" i="11"/>
  <c r="U101" i="11"/>
  <c r="U100" i="11"/>
  <c r="U99" i="11"/>
  <c r="U98" i="11"/>
  <c r="U97" i="11"/>
  <c r="U96" i="11"/>
  <c r="U95" i="11"/>
  <c r="U94" i="11"/>
  <c r="U93" i="11"/>
  <c r="U92" i="11"/>
  <c r="U91" i="11"/>
  <c r="U90" i="11"/>
  <c r="U89" i="11"/>
  <c r="U88" i="11"/>
  <c r="U87" i="11"/>
  <c r="U86" i="11"/>
  <c r="U85" i="11"/>
  <c r="U84" i="11"/>
  <c r="U83" i="11"/>
  <c r="U82" i="11"/>
  <c r="U81" i="11"/>
  <c r="U80" i="11"/>
  <c r="U79" i="11"/>
  <c r="U78" i="11"/>
  <c r="U77" i="11"/>
  <c r="U76" i="11"/>
  <c r="U75" i="11"/>
  <c r="U74" i="11"/>
  <c r="U73" i="11"/>
  <c r="U72" i="11"/>
  <c r="U71" i="11"/>
  <c r="U70" i="11"/>
  <c r="U69" i="11"/>
  <c r="U68" i="11"/>
  <c r="U67" i="11"/>
  <c r="U66" i="11"/>
  <c r="U65" i="11"/>
  <c r="U64" i="11"/>
  <c r="U63" i="11"/>
  <c r="U62" i="11"/>
  <c r="U61" i="11"/>
  <c r="U60" i="11"/>
  <c r="U59" i="11"/>
  <c r="U58" i="11"/>
  <c r="U57" i="11"/>
  <c r="U56" i="11"/>
  <c r="U55" i="11"/>
  <c r="U54" i="11"/>
  <c r="U53" i="11"/>
  <c r="U52" i="11"/>
  <c r="U51" i="11"/>
  <c r="U50" i="11"/>
  <c r="U49" i="11"/>
  <c r="U48" i="11"/>
  <c r="U47" i="11"/>
  <c r="U46" i="11"/>
  <c r="U45" i="11"/>
  <c r="U44" i="11"/>
  <c r="U43" i="11"/>
  <c r="U4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S435" i="11"/>
  <c r="S434" i="11"/>
  <c r="S433" i="11"/>
  <c r="S432" i="11"/>
  <c r="S431" i="11"/>
  <c r="S430" i="11"/>
  <c r="S429" i="11"/>
  <c r="S428" i="11"/>
  <c r="S427" i="11"/>
  <c r="S426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405" i="11"/>
  <c r="S404" i="11"/>
  <c r="S403" i="11"/>
  <c r="S402" i="11"/>
  <c r="S401" i="11"/>
  <c r="S400" i="11"/>
  <c r="S399" i="11"/>
  <c r="S398" i="11"/>
  <c r="S397" i="11"/>
  <c r="S39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75" i="11"/>
  <c r="S374" i="11"/>
  <c r="S373" i="11"/>
  <c r="S372" i="11"/>
  <c r="S371" i="11"/>
  <c r="S370" i="11"/>
  <c r="S369" i="11"/>
  <c r="S368" i="11"/>
  <c r="S367" i="11"/>
  <c r="S36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45" i="11"/>
  <c r="S344" i="11"/>
  <c r="S343" i="11"/>
  <c r="S342" i="11"/>
  <c r="S341" i="11"/>
  <c r="S340" i="11"/>
  <c r="S339" i="11"/>
  <c r="S338" i="11"/>
  <c r="S337" i="11"/>
  <c r="S33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15" i="11"/>
  <c r="S314" i="11"/>
  <c r="S313" i="11"/>
  <c r="S312" i="11"/>
  <c r="S311" i="11"/>
  <c r="S310" i="11"/>
  <c r="S309" i="11"/>
  <c r="S308" i="11"/>
  <c r="S307" i="11"/>
  <c r="S30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85" i="11"/>
  <c r="S284" i="11"/>
  <c r="S283" i="11"/>
  <c r="S282" i="11"/>
  <c r="S281" i="11"/>
  <c r="S280" i="11"/>
  <c r="S279" i="11"/>
  <c r="S278" i="11"/>
  <c r="S277" i="11"/>
  <c r="S276" i="11"/>
  <c r="S275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54" i="11"/>
  <c r="S253" i="11"/>
  <c r="S252" i="11"/>
  <c r="S251" i="11"/>
  <c r="S250" i="11"/>
  <c r="S249" i="11"/>
  <c r="S248" i="11"/>
  <c r="S247" i="11"/>
  <c r="S246" i="11"/>
  <c r="S245" i="11"/>
  <c r="S244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23" i="11"/>
  <c r="S222" i="11"/>
  <c r="S221" i="11"/>
  <c r="S220" i="11"/>
  <c r="S219" i="11"/>
  <c r="S218" i="11"/>
  <c r="S217" i="11"/>
  <c r="S216" i="11"/>
  <c r="S215" i="11"/>
  <c r="S214" i="11"/>
  <c r="S213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92" i="11"/>
  <c r="S191" i="11"/>
  <c r="S190" i="11"/>
  <c r="S189" i="11"/>
  <c r="S188" i="11"/>
  <c r="S187" i="11"/>
  <c r="S186" i="11"/>
  <c r="S185" i="11"/>
  <c r="S184" i="11"/>
  <c r="S18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62" i="11"/>
  <c r="S161" i="11"/>
  <c r="S160" i="11"/>
  <c r="S159" i="11"/>
  <c r="S158" i="11"/>
  <c r="S157" i="11"/>
  <c r="S156" i="11"/>
  <c r="S155" i="11"/>
  <c r="S154" i="11"/>
  <c r="S15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32" i="11"/>
  <c r="S131" i="11"/>
  <c r="S130" i="11"/>
  <c r="S129" i="11"/>
  <c r="S128" i="11"/>
  <c r="S127" i="11"/>
  <c r="S126" i="11"/>
  <c r="S125" i="11"/>
  <c r="S124" i="11"/>
  <c r="S123" i="11"/>
  <c r="S122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" i="11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K1286" i="2"/>
  <c r="A1286" i="2" s="1"/>
  <c r="K1287" i="2"/>
  <c r="A1287" i="2" s="1"/>
  <c r="K1288" i="2"/>
  <c r="A1288" i="2" s="1"/>
  <c r="K1289" i="2"/>
  <c r="A1289" i="2" s="1"/>
  <c r="K1290" i="2"/>
  <c r="A1290" i="2" s="1"/>
  <c r="K1291" i="2"/>
  <c r="A1291" i="2" s="1"/>
  <c r="K1292" i="2"/>
  <c r="A1292" i="2" s="1"/>
  <c r="K1293" i="2"/>
  <c r="A1293" i="2" s="1"/>
  <c r="K1294" i="2"/>
  <c r="A1294" i="2" s="1"/>
  <c r="K1295" i="2"/>
  <c r="A1295" i="2" s="1"/>
  <c r="K1296" i="2"/>
  <c r="A1296" i="2" s="1"/>
  <c r="K1297" i="2"/>
  <c r="A1297" i="2" s="1"/>
  <c r="K1298" i="2"/>
  <c r="A1298" i="2" s="1"/>
  <c r="K1299" i="2"/>
  <c r="A1299" i="2" s="1"/>
  <c r="K1300" i="2"/>
  <c r="A1300" i="2" s="1"/>
  <c r="K1301" i="2"/>
  <c r="A1301" i="2" s="1"/>
  <c r="K1302" i="2"/>
  <c r="A1302" i="2" s="1"/>
  <c r="K1303" i="2"/>
  <c r="A1303" i="2" s="1"/>
  <c r="K1304" i="2"/>
  <c r="A1304" i="2" s="1"/>
  <c r="K1305" i="2"/>
  <c r="A1305" i="2" s="1"/>
  <c r="K1306" i="2"/>
  <c r="A1306" i="2" s="1"/>
  <c r="K1307" i="2"/>
  <c r="A1307" i="2" s="1"/>
  <c r="K1308" i="2"/>
  <c r="A1308" i="2" s="1"/>
  <c r="K1309" i="2"/>
  <c r="A1309" i="2" s="1"/>
  <c r="K1310" i="2"/>
  <c r="A1310" i="2" s="1"/>
  <c r="K1311" i="2"/>
  <c r="A1311" i="2" s="1"/>
  <c r="K1312" i="2"/>
  <c r="A1312" i="2" s="1"/>
  <c r="K1313" i="2"/>
  <c r="A1313" i="2" s="1"/>
  <c r="K1314" i="2"/>
  <c r="A1314" i="2" s="1"/>
  <c r="K1315" i="2"/>
  <c r="A1315" i="2" s="1"/>
  <c r="K1316" i="2"/>
  <c r="A1316" i="2" s="1"/>
  <c r="K1317" i="2"/>
  <c r="A1317" i="2" s="1"/>
  <c r="K1318" i="2"/>
  <c r="A1318" i="2" s="1"/>
  <c r="K1319" i="2"/>
  <c r="A1319" i="2" s="1"/>
  <c r="K1320" i="2"/>
  <c r="A1320" i="2" s="1"/>
  <c r="K1321" i="2"/>
  <c r="A1321" i="2" s="1"/>
  <c r="K1322" i="2"/>
  <c r="A1322" i="2" s="1"/>
  <c r="K1323" i="2"/>
  <c r="A1323" i="2" s="1"/>
  <c r="K1324" i="2"/>
  <c r="A1324" i="2" s="1"/>
  <c r="K1325" i="2"/>
  <c r="A1325" i="2" s="1"/>
  <c r="K1326" i="2"/>
  <c r="A1326" i="2" s="1"/>
  <c r="K1327" i="2"/>
  <c r="A1327" i="2" s="1"/>
  <c r="K1328" i="2"/>
  <c r="A1328" i="2" s="1"/>
  <c r="K1329" i="2"/>
  <c r="A1329" i="2" s="1"/>
  <c r="K1330" i="2"/>
  <c r="A1330" i="2" s="1"/>
  <c r="K1331" i="2"/>
  <c r="A1331" i="2" s="1"/>
  <c r="K1332" i="2"/>
  <c r="A1332" i="2" s="1"/>
  <c r="K1333" i="2"/>
  <c r="A1333" i="2" s="1"/>
  <c r="K1334" i="2"/>
  <c r="A1334" i="2" s="1"/>
  <c r="K1335" i="2"/>
  <c r="A1335" i="2" s="1"/>
  <c r="K1336" i="2"/>
  <c r="A1336" i="2" s="1"/>
  <c r="K1337" i="2"/>
  <c r="A1337" i="2" s="1"/>
  <c r="K1338" i="2"/>
  <c r="A1338" i="2" s="1"/>
  <c r="K1339" i="2"/>
  <c r="A1339" i="2" s="1"/>
  <c r="K1340" i="2"/>
  <c r="A1340" i="2" s="1"/>
  <c r="K1341" i="2"/>
  <c r="A1341" i="2" s="1"/>
  <c r="K1342" i="2"/>
  <c r="A1342" i="2" s="1"/>
  <c r="K1343" i="2"/>
  <c r="A1343" i="2" s="1"/>
  <c r="K1344" i="2"/>
  <c r="A1344" i="2" s="1"/>
  <c r="K1345" i="2"/>
  <c r="A1345" i="2" s="1"/>
  <c r="K1346" i="2"/>
  <c r="A1346" i="2" s="1"/>
  <c r="K1347" i="2"/>
  <c r="A1347" i="2" s="1"/>
  <c r="K1348" i="2"/>
  <c r="A1348" i="2" s="1"/>
  <c r="K1349" i="2"/>
  <c r="A1349" i="2" s="1"/>
  <c r="K1350" i="2"/>
  <c r="A1350" i="2" s="1"/>
  <c r="K1351" i="2"/>
  <c r="A1351" i="2" s="1"/>
  <c r="K1352" i="2"/>
  <c r="A1352" i="2" s="1"/>
  <c r="K1353" i="2"/>
  <c r="A1353" i="2" s="1"/>
  <c r="K1354" i="2"/>
  <c r="A1354" i="2" s="1"/>
  <c r="K1355" i="2"/>
  <c r="A1355" i="2" s="1"/>
  <c r="K1356" i="2"/>
  <c r="A1356" i="2" s="1"/>
  <c r="K1357" i="2"/>
  <c r="A1357" i="2" s="1"/>
  <c r="K1358" i="2"/>
  <c r="A1358" i="2" s="1"/>
  <c r="K1359" i="2"/>
  <c r="A1359" i="2" s="1"/>
  <c r="K1360" i="2"/>
  <c r="A1360" i="2" s="1"/>
  <c r="K1361" i="2"/>
  <c r="A1361" i="2" s="1"/>
  <c r="K1362" i="2"/>
  <c r="A1362" i="2" s="1"/>
  <c r="K1363" i="2"/>
  <c r="A1363" i="2" s="1"/>
  <c r="K1364" i="2"/>
  <c r="A1364" i="2" s="1"/>
  <c r="K1365" i="2"/>
  <c r="A1365" i="2" s="1"/>
  <c r="K1366" i="2"/>
  <c r="A1366" i="2" s="1"/>
  <c r="K1367" i="2"/>
  <c r="A1367" i="2" s="1"/>
  <c r="K1368" i="2"/>
  <c r="A1368" i="2" s="1"/>
  <c r="K1369" i="2"/>
  <c r="A1369" i="2" s="1"/>
  <c r="K1370" i="2"/>
  <c r="A1370" i="2" s="1"/>
  <c r="K1371" i="2"/>
  <c r="A1371" i="2" s="1"/>
  <c r="K1372" i="2"/>
  <c r="A1372" i="2" s="1"/>
  <c r="K1373" i="2"/>
  <c r="A1373" i="2" s="1"/>
  <c r="K1374" i="2"/>
  <c r="A1374" i="2" s="1"/>
  <c r="K1375" i="2"/>
  <c r="A1375" i="2" s="1"/>
  <c r="K1376" i="2"/>
  <c r="A1376" i="2" s="1"/>
  <c r="K1377" i="2"/>
  <c r="A1377" i="2" s="1"/>
  <c r="K1378" i="2"/>
  <c r="A1378" i="2" s="1"/>
  <c r="K1379" i="2"/>
  <c r="A1379" i="2" s="1"/>
  <c r="K1380" i="2"/>
  <c r="A1380" i="2" s="1"/>
  <c r="K1381" i="2"/>
  <c r="A1381" i="2" s="1"/>
  <c r="K1382" i="2"/>
  <c r="A1382" i="2" s="1"/>
  <c r="K1383" i="2"/>
  <c r="A1383" i="2" s="1"/>
  <c r="K1384" i="2"/>
  <c r="A1384" i="2" s="1"/>
  <c r="K1385" i="2"/>
  <c r="A1385" i="2" s="1"/>
  <c r="K1386" i="2"/>
  <c r="A1386" i="2" s="1"/>
  <c r="K1387" i="2"/>
  <c r="A1387" i="2" s="1"/>
  <c r="K1388" i="2"/>
  <c r="A1388" i="2" s="1"/>
  <c r="K1389" i="2"/>
  <c r="A1389" i="2" s="1"/>
  <c r="K1390" i="2"/>
  <c r="A1390" i="2" s="1"/>
  <c r="K1391" i="2"/>
  <c r="A1391" i="2" s="1"/>
  <c r="K1392" i="2"/>
  <c r="A1392" i="2" s="1"/>
  <c r="K1393" i="2"/>
  <c r="A1393" i="2" s="1"/>
  <c r="K1394" i="2"/>
  <c r="A1394" i="2" s="1"/>
  <c r="K1395" i="2"/>
  <c r="A1395" i="2" s="1"/>
  <c r="K1396" i="2"/>
  <c r="A1396" i="2" s="1"/>
  <c r="K1397" i="2"/>
  <c r="A1397" i="2" s="1"/>
  <c r="K1398" i="2"/>
  <c r="A1398" i="2" s="1"/>
  <c r="K1399" i="2"/>
  <c r="A1399" i="2" s="1"/>
  <c r="K1400" i="2"/>
  <c r="A1400" i="2" s="1"/>
  <c r="K1401" i="2"/>
  <c r="A1401" i="2" s="1"/>
  <c r="K1402" i="2"/>
  <c r="A1402" i="2" s="1"/>
  <c r="K1403" i="2"/>
  <c r="A1403" i="2" s="1"/>
  <c r="K1404" i="2"/>
  <c r="A1404" i="2" s="1"/>
  <c r="K1405" i="2"/>
  <c r="A1405" i="2" s="1"/>
  <c r="K1406" i="2"/>
  <c r="A1406" i="2" s="1"/>
  <c r="K1407" i="2"/>
  <c r="A1407" i="2" s="1"/>
  <c r="K1408" i="2"/>
  <c r="A1408" i="2" s="1"/>
  <c r="K1409" i="2"/>
  <c r="A1409" i="2" s="1"/>
  <c r="K1410" i="2"/>
  <c r="A1410" i="2" s="1"/>
  <c r="K1411" i="2"/>
  <c r="A1411" i="2" s="1"/>
  <c r="K1412" i="2"/>
  <c r="A1412" i="2" s="1"/>
  <c r="K1413" i="2"/>
  <c r="A1413" i="2" s="1"/>
  <c r="K1414" i="2"/>
  <c r="A1414" i="2" s="1"/>
  <c r="K1415" i="2"/>
  <c r="A1415" i="2" s="1"/>
  <c r="K1416" i="2"/>
  <c r="A1416" i="2" s="1"/>
  <c r="K1417" i="2"/>
  <c r="A1417" i="2" s="1"/>
  <c r="K1418" i="2"/>
  <c r="A1418" i="2" s="1"/>
  <c r="K1419" i="2"/>
  <c r="A1419" i="2" s="1"/>
  <c r="K1420" i="2"/>
  <c r="A1420" i="2" s="1"/>
  <c r="K1421" i="2"/>
  <c r="A1421" i="2" s="1"/>
  <c r="K1422" i="2"/>
  <c r="A1422" i="2" s="1"/>
  <c r="K1423" i="2"/>
  <c r="A1423" i="2" s="1"/>
  <c r="K1424" i="2"/>
  <c r="A1424" i="2" s="1"/>
  <c r="K1425" i="2"/>
  <c r="A1425" i="2" s="1"/>
  <c r="K1426" i="2"/>
  <c r="A1426" i="2" s="1"/>
  <c r="K1427" i="2"/>
  <c r="A1427" i="2" s="1"/>
  <c r="K1428" i="2"/>
  <c r="A1428" i="2" s="1"/>
  <c r="K1429" i="2"/>
  <c r="A1429" i="2" s="1"/>
  <c r="K1430" i="2"/>
  <c r="A1430" i="2" s="1"/>
  <c r="K1431" i="2"/>
  <c r="A1431" i="2" s="1"/>
  <c r="K1432" i="2"/>
  <c r="A1432" i="2" s="1"/>
  <c r="K1433" i="2"/>
  <c r="A1433" i="2" s="1"/>
  <c r="K1434" i="2"/>
  <c r="A1434" i="2" s="1"/>
  <c r="K1435" i="2"/>
  <c r="A1435" i="2" s="1"/>
  <c r="K1436" i="2"/>
  <c r="A1436" i="2" s="1"/>
  <c r="K1437" i="2"/>
  <c r="A1437" i="2" s="1"/>
  <c r="K1438" i="2"/>
  <c r="A1438" i="2" s="1"/>
  <c r="K1439" i="2"/>
  <c r="A1439" i="2" s="1"/>
  <c r="K1440" i="2"/>
  <c r="A1440" i="2" s="1"/>
  <c r="K1441" i="2"/>
  <c r="A1441" i="2" s="1"/>
  <c r="K1442" i="2"/>
  <c r="A1442" i="2" s="1"/>
  <c r="K1443" i="2"/>
  <c r="A1443" i="2" s="1"/>
  <c r="K1444" i="2"/>
  <c r="A1444" i="2" s="1"/>
  <c r="K1445" i="2"/>
  <c r="A1445" i="2" s="1"/>
  <c r="K1446" i="2"/>
  <c r="A1446" i="2" s="1"/>
  <c r="K1447" i="2"/>
  <c r="A1447" i="2" s="1"/>
  <c r="K1448" i="2"/>
  <c r="A1448" i="2" s="1"/>
  <c r="K1449" i="2"/>
  <c r="A1449" i="2" s="1"/>
  <c r="K1450" i="2"/>
  <c r="A1450" i="2" s="1"/>
  <c r="K1451" i="2"/>
  <c r="A1451" i="2" s="1"/>
  <c r="K1452" i="2"/>
  <c r="A1452" i="2" s="1"/>
  <c r="K1453" i="2"/>
  <c r="A1453" i="2" s="1"/>
  <c r="K1454" i="2"/>
  <c r="A1454" i="2" s="1"/>
  <c r="K1455" i="2"/>
  <c r="A1455" i="2" s="1"/>
  <c r="K1456" i="2"/>
  <c r="A1456" i="2" s="1"/>
  <c r="K1457" i="2"/>
  <c r="A1457" i="2" s="1"/>
  <c r="K1458" i="2"/>
  <c r="A1458" i="2" s="1"/>
  <c r="K1459" i="2"/>
  <c r="A1459" i="2" s="1"/>
  <c r="K1460" i="2"/>
  <c r="A1460" i="2" s="1"/>
  <c r="K1461" i="2"/>
  <c r="A1461" i="2" s="1"/>
  <c r="K1462" i="2"/>
  <c r="A1462" i="2" s="1"/>
  <c r="K1463" i="2"/>
  <c r="A1463" i="2" s="1"/>
  <c r="K1464" i="2"/>
  <c r="A1464" i="2" s="1"/>
  <c r="K1465" i="2"/>
  <c r="A1465" i="2" s="1"/>
  <c r="K1466" i="2"/>
  <c r="A1466" i="2" s="1"/>
  <c r="K1467" i="2"/>
  <c r="A1467" i="2" s="1"/>
  <c r="K1468" i="2"/>
  <c r="A1468" i="2" s="1"/>
  <c r="K1469" i="2"/>
  <c r="A1469" i="2" s="1"/>
  <c r="K1470" i="2"/>
  <c r="A1470" i="2" s="1"/>
  <c r="K1471" i="2"/>
  <c r="A1471" i="2" s="1"/>
  <c r="K1472" i="2"/>
  <c r="A1472" i="2" s="1"/>
  <c r="K1473" i="2"/>
  <c r="A1473" i="2" s="1"/>
  <c r="K1474" i="2"/>
  <c r="A1474" i="2" s="1"/>
  <c r="K1475" i="2"/>
  <c r="A1475" i="2" s="1"/>
  <c r="K1476" i="2"/>
  <c r="A1476" i="2" s="1"/>
  <c r="K1477" i="2"/>
  <c r="A1477" i="2" s="1"/>
  <c r="K1478" i="2"/>
  <c r="A1478" i="2" s="1"/>
  <c r="K1479" i="2"/>
  <c r="A1479" i="2" s="1"/>
  <c r="K1480" i="2"/>
  <c r="A1480" i="2" s="1"/>
  <c r="K1481" i="2"/>
  <c r="A1481" i="2" s="1"/>
  <c r="K1482" i="2"/>
  <c r="A1482" i="2" s="1"/>
  <c r="K1483" i="2"/>
  <c r="A1483" i="2" s="1"/>
  <c r="K1484" i="2"/>
  <c r="A1484" i="2" s="1"/>
  <c r="K1485" i="2"/>
  <c r="A1485" i="2" s="1"/>
  <c r="K1486" i="2"/>
  <c r="A1486" i="2" s="1"/>
  <c r="K1487" i="2"/>
  <c r="A1487" i="2" s="1"/>
  <c r="K1488" i="2"/>
  <c r="A1488" i="2" s="1"/>
  <c r="K1489" i="2"/>
  <c r="A1489" i="2" s="1"/>
  <c r="K1490" i="2"/>
  <c r="A1490" i="2" s="1"/>
  <c r="K1491" i="2"/>
  <c r="A1491" i="2" s="1"/>
  <c r="K1492" i="2"/>
  <c r="A1492" i="2" s="1"/>
  <c r="K1493" i="2"/>
  <c r="A1493" i="2" s="1"/>
  <c r="K1494" i="2"/>
  <c r="A1494" i="2" s="1"/>
  <c r="K1495" i="2"/>
  <c r="A1495" i="2" s="1"/>
  <c r="K1496" i="2"/>
  <c r="A1496" i="2" s="1"/>
  <c r="K1497" i="2"/>
  <c r="A1497" i="2" s="1"/>
  <c r="K1498" i="2"/>
  <c r="A1498" i="2" s="1"/>
  <c r="K1499" i="2"/>
  <c r="A1499" i="2" s="1"/>
  <c r="K1500" i="2"/>
  <c r="A1500" i="2" s="1"/>
  <c r="K1501" i="2"/>
  <c r="A1501" i="2" s="1"/>
  <c r="K1502" i="2"/>
  <c r="A1502" i="2" s="1"/>
  <c r="K1503" i="2"/>
  <c r="A1503" i="2" s="1"/>
  <c r="K1504" i="2"/>
  <c r="A1504" i="2" s="1"/>
  <c r="K1505" i="2"/>
  <c r="A1505" i="2" s="1"/>
  <c r="K1506" i="2"/>
  <c r="A1506" i="2" s="1"/>
  <c r="K1507" i="2"/>
  <c r="A1507" i="2" s="1"/>
  <c r="K1508" i="2"/>
  <c r="A1508" i="2" s="1"/>
  <c r="K1509" i="2"/>
  <c r="A1509" i="2" s="1"/>
  <c r="K1510" i="2"/>
  <c r="A1510" i="2" s="1"/>
  <c r="K1511" i="2"/>
  <c r="A1511" i="2" s="1"/>
  <c r="K1512" i="2"/>
  <c r="A1512" i="2" s="1"/>
  <c r="K1513" i="2"/>
  <c r="A1513" i="2" s="1"/>
  <c r="K1514" i="2"/>
  <c r="A1514" i="2" s="1"/>
  <c r="K1515" i="2"/>
  <c r="A1515" i="2" s="1"/>
  <c r="K1516" i="2"/>
  <c r="A1516" i="2" s="1"/>
  <c r="K1517" i="2"/>
  <c r="A1517" i="2" s="1"/>
  <c r="K1518" i="2"/>
  <c r="A1518" i="2" s="1"/>
  <c r="K1519" i="2"/>
  <c r="A1519" i="2" s="1"/>
  <c r="K1520" i="2"/>
  <c r="A1520" i="2" s="1"/>
  <c r="K1521" i="2"/>
  <c r="A1521" i="2" s="1"/>
  <c r="K1522" i="2"/>
  <c r="A1522" i="2" s="1"/>
  <c r="K1523" i="2"/>
  <c r="A1523" i="2" s="1"/>
  <c r="K1524" i="2"/>
  <c r="A1524" i="2" s="1"/>
  <c r="K1525" i="2"/>
  <c r="A1525" i="2" s="1"/>
  <c r="K1526" i="2"/>
  <c r="A1526" i="2" s="1"/>
  <c r="K1527" i="2"/>
  <c r="A1527" i="2" s="1"/>
  <c r="K1528" i="2"/>
  <c r="A1528" i="2" s="1"/>
  <c r="K1529" i="2"/>
  <c r="K1530" i="2"/>
  <c r="A1530" i="2" s="1"/>
  <c r="K1531" i="2"/>
  <c r="A1531" i="2" s="1"/>
  <c r="K1532" i="2"/>
  <c r="A1532" i="2" s="1"/>
  <c r="K1533" i="2"/>
  <c r="A1533" i="2" s="1"/>
  <c r="K1534" i="2"/>
  <c r="A1534" i="2" s="1"/>
  <c r="K1535" i="2"/>
  <c r="A1535" i="2" s="1"/>
  <c r="K1536" i="2"/>
  <c r="A1536" i="2" s="1"/>
  <c r="K1537" i="2"/>
  <c r="A1537" i="2" s="1"/>
  <c r="K1538" i="2"/>
  <c r="A1538" i="2" s="1"/>
  <c r="K1539" i="2"/>
  <c r="A1539" i="2" s="1"/>
  <c r="K1540" i="2"/>
  <c r="A1540" i="2" s="1"/>
  <c r="K1541" i="2"/>
  <c r="A1541" i="2" s="1"/>
  <c r="K1542" i="2"/>
  <c r="A1542" i="2" s="1"/>
  <c r="K1543" i="2"/>
  <c r="A1543" i="2" s="1"/>
  <c r="K1544" i="2"/>
  <c r="A1544" i="2" s="1"/>
  <c r="K1545" i="2"/>
  <c r="A1545" i="2" s="1"/>
  <c r="K1546" i="2"/>
  <c r="A1546" i="2" s="1"/>
  <c r="K1547" i="2"/>
  <c r="A1547" i="2" s="1"/>
  <c r="K1548" i="2"/>
  <c r="A1548" i="2" s="1"/>
  <c r="K1549" i="2"/>
  <c r="A1549" i="2" s="1"/>
  <c r="K1550" i="2"/>
  <c r="A1550" i="2" s="1"/>
  <c r="K1551" i="2"/>
  <c r="A1551" i="2" s="1"/>
  <c r="K1552" i="2"/>
  <c r="A1552" i="2" s="1"/>
  <c r="K1553" i="2"/>
  <c r="A1553" i="2" s="1"/>
  <c r="K1554" i="2"/>
  <c r="A1554" i="2" s="1"/>
  <c r="K1555" i="2"/>
  <c r="A1555" i="2" s="1"/>
  <c r="K1556" i="2"/>
  <c r="A1556" i="2" s="1"/>
  <c r="K1557" i="2"/>
  <c r="A1557" i="2" s="1"/>
  <c r="K1558" i="2"/>
  <c r="A1558" i="2" s="1"/>
  <c r="K1559" i="2"/>
  <c r="A1559" i="2" s="1"/>
  <c r="K1560" i="2"/>
  <c r="A1560" i="2" s="1"/>
  <c r="K1561" i="2"/>
  <c r="A1561" i="2" s="1"/>
  <c r="K1562" i="2"/>
  <c r="A1562" i="2" s="1"/>
  <c r="K1563" i="2"/>
  <c r="A1563" i="2" s="1"/>
  <c r="K1564" i="2"/>
  <c r="A1564" i="2" s="1"/>
  <c r="K1565" i="2"/>
  <c r="A1565" i="2" s="1"/>
  <c r="K1566" i="2"/>
  <c r="A1566" i="2" s="1"/>
  <c r="K1567" i="2"/>
  <c r="A1567" i="2" s="1"/>
  <c r="K1568" i="2"/>
  <c r="A1568" i="2" s="1"/>
  <c r="K1569" i="2"/>
  <c r="A1569" i="2" s="1"/>
  <c r="K1570" i="2"/>
  <c r="A1570" i="2" s="1"/>
  <c r="K1571" i="2"/>
  <c r="A1571" i="2" s="1"/>
  <c r="K1572" i="2"/>
  <c r="A1572" i="2" s="1"/>
  <c r="K1573" i="2"/>
  <c r="A1573" i="2" s="1"/>
  <c r="K1574" i="2"/>
  <c r="A1574" i="2" s="1"/>
  <c r="K1575" i="2"/>
  <c r="A1575" i="2" s="1"/>
  <c r="K1576" i="2"/>
  <c r="A1576" i="2" s="1"/>
  <c r="K1577" i="2"/>
  <c r="A1577" i="2" s="1"/>
  <c r="K1578" i="2"/>
  <c r="A1578" i="2" s="1"/>
  <c r="K1579" i="2"/>
  <c r="A1579" i="2" s="1"/>
  <c r="K1580" i="2"/>
  <c r="A1580" i="2" s="1"/>
  <c r="K1581" i="2"/>
  <c r="A1581" i="2" s="1"/>
  <c r="K1582" i="2"/>
  <c r="A1582" i="2" s="1"/>
  <c r="K1583" i="2"/>
  <c r="A1583" i="2" s="1"/>
  <c r="K1584" i="2"/>
  <c r="A1584" i="2" s="1"/>
  <c r="K1585" i="2"/>
  <c r="A1585" i="2" s="1"/>
  <c r="K1586" i="2"/>
  <c r="A1586" i="2" s="1"/>
  <c r="K1587" i="2"/>
  <c r="A1587" i="2" s="1"/>
  <c r="K1588" i="2"/>
  <c r="A1588" i="2" s="1"/>
  <c r="K1589" i="2"/>
  <c r="A1589" i="2" s="1"/>
  <c r="K1590" i="2"/>
  <c r="A1590" i="2" s="1"/>
  <c r="K1591" i="2"/>
  <c r="A1591" i="2" s="1"/>
  <c r="K1592" i="2"/>
  <c r="A1592" i="2" s="1"/>
  <c r="K1593" i="2"/>
  <c r="A1593" i="2" s="1"/>
  <c r="K1594" i="2"/>
  <c r="A1594" i="2" s="1"/>
  <c r="K1595" i="2"/>
  <c r="A1595" i="2" s="1"/>
  <c r="K1596" i="2"/>
  <c r="A1596" i="2" s="1"/>
  <c r="K1597" i="2"/>
  <c r="A1597" i="2" s="1"/>
  <c r="K1598" i="2"/>
  <c r="A1598" i="2" s="1"/>
  <c r="K1599" i="2"/>
  <c r="A1599" i="2" s="1"/>
  <c r="K1600" i="2"/>
  <c r="A1600" i="2" s="1"/>
  <c r="K1601" i="2"/>
  <c r="A1601" i="2" s="1"/>
  <c r="K1602" i="2"/>
  <c r="A1602" i="2" s="1"/>
  <c r="K1603" i="2"/>
  <c r="A1603" i="2" s="1"/>
  <c r="K1604" i="2"/>
  <c r="A1604" i="2" s="1"/>
  <c r="K1605" i="2"/>
  <c r="A1605" i="2" s="1"/>
  <c r="K1606" i="2"/>
  <c r="A1606" i="2" s="1"/>
  <c r="K1607" i="2"/>
  <c r="A1607" i="2" s="1"/>
  <c r="K1608" i="2"/>
  <c r="A1608" i="2" s="1"/>
  <c r="K1609" i="2"/>
  <c r="A1609" i="2" s="1"/>
  <c r="K1610" i="2"/>
  <c r="A1610" i="2" s="1"/>
  <c r="K1611" i="2"/>
  <c r="A1611" i="2" s="1"/>
  <c r="K1612" i="2"/>
  <c r="A1612" i="2" s="1"/>
  <c r="K1613" i="2"/>
  <c r="A1613" i="2" s="1"/>
  <c r="K1614" i="2"/>
  <c r="A1614" i="2" s="1"/>
  <c r="K1615" i="2"/>
  <c r="A1615" i="2" s="1"/>
  <c r="K1616" i="2"/>
  <c r="A1616" i="2" s="1"/>
  <c r="K1617" i="2"/>
  <c r="A1617" i="2" s="1"/>
  <c r="K1618" i="2"/>
  <c r="A1618" i="2" s="1"/>
  <c r="K1619" i="2"/>
  <c r="A1619" i="2" s="1"/>
  <c r="K1620" i="2"/>
  <c r="A1620" i="2" s="1"/>
  <c r="K1621" i="2"/>
  <c r="A1621" i="2" s="1"/>
  <c r="K1622" i="2"/>
  <c r="A1622" i="2" s="1"/>
  <c r="K1623" i="2"/>
  <c r="A1623" i="2" s="1"/>
  <c r="K1624" i="2"/>
  <c r="A1624" i="2" s="1"/>
  <c r="K1625" i="2"/>
  <c r="A1625" i="2" s="1"/>
  <c r="K1626" i="2"/>
  <c r="A1626" i="2" s="1"/>
  <c r="K1627" i="2"/>
  <c r="A1627" i="2" s="1"/>
  <c r="K1628" i="2"/>
  <c r="A1628" i="2" s="1"/>
  <c r="K1629" i="2"/>
  <c r="A1629" i="2" s="1"/>
  <c r="K1630" i="2"/>
  <c r="A1630" i="2" s="1"/>
  <c r="K1631" i="2"/>
  <c r="A1631" i="2" s="1"/>
  <c r="K1632" i="2"/>
  <c r="A1632" i="2" s="1"/>
  <c r="K1633" i="2"/>
  <c r="A1633" i="2" s="1"/>
  <c r="K1634" i="2"/>
  <c r="A1634" i="2" s="1"/>
  <c r="K1635" i="2"/>
  <c r="A1635" i="2" s="1"/>
  <c r="K1636" i="2"/>
  <c r="A1636" i="2" s="1"/>
  <c r="K1637" i="2"/>
  <c r="A1637" i="2" s="1"/>
  <c r="K1638" i="2"/>
  <c r="A1638" i="2" s="1"/>
  <c r="K1639" i="2"/>
  <c r="A1639" i="2" s="1"/>
  <c r="K1640" i="2"/>
  <c r="A1640" i="2" s="1"/>
  <c r="K1641" i="2"/>
  <c r="A1641" i="2" s="1"/>
  <c r="K1642" i="2"/>
  <c r="A1642" i="2" s="1"/>
  <c r="K1643" i="2"/>
  <c r="A1643" i="2" s="1"/>
  <c r="K1644" i="2"/>
  <c r="A1644" i="2" s="1"/>
  <c r="K1645" i="2"/>
  <c r="A1645" i="2" s="1"/>
  <c r="K1646" i="2"/>
  <c r="A1646" i="2" s="1"/>
  <c r="K1647" i="2"/>
  <c r="A1647" i="2" s="1"/>
  <c r="K1648" i="2"/>
  <c r="A1648" i="2" s="1"/>
  <c r="K1649" i="2"/>
  <c r="A1649" i="2" s="1"/>
  <c r="K1650" i="2"/>
  <c r="A1650" i="2" s="1"/>
  <c r="K1651" i="2"/>
  <c r="A1651" i="2" s="1"/>
  <c r="K1652" i="2"/>
  <c r="A1652" i="2" s="1"/>
  <c r="K1653" i="2"/>
  <c r="A1653" i="2" s="1"/>
  <c r="K1654" i="2"/>
  <c r="A1654" i="2" s="1"/>
  <c r="K1655" i="2"/>
  <c r="A1655" i="2" s="1"/>
  <c r="K1656" i="2"/>
  <c r="A1656" i="2" s="1"/>
  <c r="K1657" i="2"/>
  <c r="A1657" i="2" s="1"/>
  <c r="K1658" i="2"/>
  <c r="A1658" i="2" s="1"/>
  <c r="K1659" i="2"/>
  <c r="A1659" i="2" s="1"/>
  <c r="K1660" i="2"/>
  <c r="A1660" i="2" s="1"/>
  <c r="K1661" i="2"/>
  <c r="A1661" i="2" s="1"/>
  <c r="K1662" i="2"/>
  <c r="A1662" i="2" s="1"/>
  <c r="K1663" i="2"/>
  <c r="A1663" i="2" s="1"/>
  <c r="K1664" i="2"/>
  <c r="A1664" i="2" s="1"/>
  <c r="K1665" i="2"/>
  <c r="A1665" i="2" s="1"/>
  <c r="K1666" i="2"/>
  <c r="A1666" i="2" s="1"/>
  <c r="K1667" i="2"/>
  <c r="A1667" i="2" s="1"/>
  <c r="K1668" i="2"/>
  <c r="A1668" i="2" s="1"/>
  <c r="K1669" i="2"/>
  <c r="A1669" i="2" s="1"/>
  <c r="K1670" i="2"/>
  <c r="A1670" i="2" s="1"/>
  <c r="K1671" i="2"/>
  <c r="A1671" i="2" s="1"/>
  <c r="K1672" i="2"/>
  <c r="A1672" i="2" s="1"/>
  <c r="K1673" i="2"/>
  <c r="A1673" i="2" s="1"/>
  <c r="K1674" i="2"/>
  <c r="A1674" i="2" s="1"/>
  <c r="K1675" i="2"/>
  <c r="A1675" i="2" s="1"/>
  <c r="K1676" i="2"/>
  <c r="A1676" i="2" s="1"/>
  <c r="K1677" i="2"/>
  <c r="A1677" i="2" s="1"/>
  <c r="K1678" i="2"/>
  <c r="A1678" i="2" s="1"/>
  <c r="K1679" i="2"/>
  <c r="A1679" i="2" s="1"/>
  <c r="K1680" i="2"/>
  <c r="A1680" i="2" s="1"/>
  <c r="K1681" i="2"/>
  <c r="A1681" i="2" s="1"/>
  <c r="K1682" i="2"/>
  <c r="A1682" i="2" s="1"/>
  <c r="K1683" i="2"/>
  <c r="A1683" i="2" s="1"/>
  <c r="K1684" i="2"/>
  <c r="A1684" i="2" s="1"/>
  <c r="K1685" i="2"/>
  <c r="A1685" i="2" s="1"/>
  <c r="K1686" i="2"/>
  <c r="A1686" i="2" s="1"/>
  <c r="K1687" i="2"/>
  <c r="A1687" i="2" s="1"/>
  <c r="K1688" i="2"/>
  <c r="A1688" i="2" s="1"/>
  <c r="K1689" i="2"/>
  <c r="A1689" i="2" s="1"/>
  <c r="K1690" i="2"/>
  <c r="A1690" i="2" s="1"/>
  <c r="K1691" i="2"/>
  <c r="A1691" i="2" s="1"/>
  <c r="K1692" i="2"/>
  <c r="A1692" i="2" s="1"/>
  <c r="K1693" i="2"/>
  <c r="A1693" i="2" s="1"/>
  <c r="K1694" i="2"/>
  <c r="A1694" i="2" s="1"/>
  <c r="K1695" i="2"/>
  <c r="A1695" i="2" s="1"/>
  <c r="K1696" i="2"/>
  <c r="A1696" i="2" s="1"/>
  <c r="K1697" i="2"/>
  <c r="A1697" i="2" s="1"/>
  <c r="K1698" i="2"/>
  <c r="A1698" i="2" s="1"/>
  <c r="K1699" i="2"/>
  <c r="A1699" i="2" s="1"/>
  <c r="K1700" i="2"/>
  <c r="A1700" i="2" s="1"/>
  <c r="K1701" i="2"/>
  <c r="A1701" i="2" s="1"/>
  <c r="K1702" i="2"/>
  <c r="A1702" i="2" s="1"/>
  <c r="K1703" i="2"/>
  <c r="A1703" i="2" s="1"/>
  <c r="K1704" i="2"/>
  <c r="A1704" i="2" s="1"/>
  <c r="K1705" i="2"/>
  <c r="A1705" i="2" s="1"/>
  <c r="K1706" i="2"/>
  <c r="A1706" i="2" s="1"/>
  <c r="K1707" i="2"/>
  <c r="A1707" i="2" s="1"/>
  <c r="K1708" i="2"/>
  <c r="A1708" i="2" s="1"/>
  <c r="K1709" i="2"/>
  <c r="A1709" i="2" s="1"/>
  <c r="K1710" i="2"/>
  <c r="A1710" i="2" s="1"/>
  <c r="K1711" i="2"/>
  <c r="A1711" i="2" s="1"/>
  <c r="K1712" i="2"/>
  <c r="A1712" i="2" s="1"/>
  <c r="K1713" i="2"/>
  <c r="A1713" i="2" s="1"/>
  <c r="K1714" i="2"/>
  <c r="A1714" i="2" s="1"/>
  <c r="K1715" i="2"/>
  <c r="A1715" i="2" s="1"/>
  <c r="K1716" i="2"/>
  <c r="A1716" i="2" s="1"/>
  <c r="K1717" i="2"/>
  <c r="A1717" i="2" s="1"/>
  <c r="K1718" i="2"/>
  <c r="A1718" i="2" s="1"/>
  <c r="K1719" i="2"/>
  <c r="A1719" i="2" s="1"/>
  <c r="K1720" i="2"/>
  <c r="A1720" i="2" s="1"/>
  <c r="K1721" i="2"/>
  <c r="A1721" i="2" s="1"/>
  <c r="K1722" i="2"/>
  <c r="A1722" i="2" s="1"/>
  <c r="K1723" i="2"/>
  <c r="A1723" i="2" s="1"/>
  <c r="K1724" i="2"/>
  <c r="A1724" i="2" s="1"/>
  <c r="K1725" i="2"/>
  <c r="A1725" i="2" s="1"/>
  <c r="K1726" i="2"/>
  <c r="A1726" i="2" s="1"/>
  <c r="K1727" i="2"/>
  <c r="A1727" i="2" s="1"/>
  <c r="K1728" i="2"/>
  <c r="A1728" i="2" s="1"/>
  <c r="K1729" i="2"/>
  <c r="A1729" i="2" s="1"/>
  <c r="K1730" i="2"/>
  <c r="A1730" i="2" s="1"/>
  <c r="K1731" i="2"/>
  <c r="A1731" i="2" s="1"/>
  <c r="K1732" i="2"/>
  <c r="A1732" i="2" s="1"/>
  <c r="K1733" i="2"/>
  <c r="A1733" i="2" s="1"/>
  <c r="K1734" i="2"/>
  <c r="A1734" i="2" s="1"/>
  <c r="K1735" i="2"/>
  <c r="A1735" i="2" s="1"/>
  <c r="K1736" i="2"/>
  <c r="A1736" i="2" s="1"/>
  <c r="K1737" i="2"/>
  <c r="A1737" i="2" s="1"/>
  <c r="K1738" i="2"/>
  <c r="A1738" i="2" s="1"/>
  <c r="K1739" i="2"/>
  <c r="A1739" i="2" s="1"/>
  <c r="K1740" i="2"/>
  <c r="A1740" i="2" s="1"/>
  <c r="K1741" i="2"/>
  <c r="A1741" i="2" s="1"/>
  <c r="K1742" i="2"/>
  <c r="A1742" i="2" s="1"/>
  <c r="K1743" i="2"/>
  <c r="A1743" i="2" s="1"/>
  <c r="K1744" i="2"/>
  <c r="A1744" i="2" s="1"/>
  <c r="K1745" i="2"/>
  <c r="A1745" i="2" s="1"/>
  <c r="K1746" i="2"/>
  <c r="A1746" i="2" s="1"/>
  <c r="K1747" i="2"/>
  <c r="A1747" i="2" s="1"/>
  <c r="K1748" i="2"/>
  <c r="A1748" i="2" s="1"/>
  <c r="K1749" i="2"/>
  <c r="A1749" i="2" s="1"/>
  <c r="K1750" i="2"/>
  <c r="A1750" i="2" s="1"/>
  <c r="K1751" i="2"/>
  <c r="A1751" i="2" s="1"/>
  <c r="K1752" i="2"/>
  <c r="A1752" i="2" s="1"/>
  <c r="K1753" i="2"/>
  <c r="A1753" i="2" s="1"/>
  <c r="K1754" i="2"/>
  <c r="A1754" i="2" s="1"/>
  <c r="K1755" i="2"/>
  <c r="A1755" i="2" s="1"/>
  <c r="K1756" i="2"/>
  <c r="A1756" i="2" s="1"/>
  <c r="K1757" i="2"/>
  <c r="A1757" i="2" s="1"/>
  <c r="K1758" i="2"/>
  <c r="A1758" i="2" s="1"/>
  <c r="K1759" i="2"/>
  <c r="A1759" i="2" s="1"/>
  <c r="K1760" i="2"/>
  <c r="A1760" i="2" s="1"/>
  <c r="K1761" i="2"/>
  <c r="A1761" i="2" s="1"/>
  <c r="K1762" i="2"/>
  <c r="A1762" i="2" s="1"/>
  <c r="K1763" i="2"/>
  <c r="A1763" i="2" s="1"/>
  <c r="K1764" i="2"/>
  <c r="A1764" i="2" s="1"/>
  <c r="K1765" i="2"/>
  <c r="A1765" i="2" s="1"/>
  <c r="K1766" i="2"/>
  <c r="A1766" i="2" s="1"/>
  <c r="K1767" i="2"/>
  <c r="A1767" i="2" s="1"/>
  <c r="K1768" i="2"/>
  <c r="A1768" i="2" s="1"/>
  <c r="K1769" i="2"/>
  <c r="A1769" i="2" s="1"/>
  <c r="K1770" i="2"/>
  <c r="A1770" i="2" s="1"/>
  <c r="K1771" i="2"/>
  <c r="A1771" i="2" s="1"/>
  <c r="K1772" i="2"/>
  <c r="A1772" i="2" s="1"/>
  <c r="K1773" i="2"/>
  <c r="A1773" i="2" s="1"/>
  <c r="K1774" i="2"/>
  <c r="A1774" i="2" s="1"/>
  <c r="K1775" i="2"/>
  <c r="A1775" i="2" s="1"/>
  <c r="K1776" i="2"/>
  <c r="A1776" i="2" s="1"/>
  <c r="K1777" i="2"/>
  <c r="A1777" i="2" s="1"/>
  <c r="K1778" i="2"/>
  <c r="A1778" i="2" s="1"/>
  <c r="K1779" i="2"/>
  <c r="A1779" i="2" s="1"/>
  <c r="K1780" i="2"/>
  <c r="A1780" i="2" s="1"/>
  <c r="K1781" i="2"/>
  <c r="A1781" i="2" s="1"/>
  <c r="K1782" i="2"/>
  <c r="A1782" i="2" s="1"/>
  <c r="K1783" i="2"/>
  <c r="A1783" i="2" s="1"/>
  <c r="K1784" i="2"/>
  <c r="A1784" i="2" s="1"/>
  <c r="K1785" i="2"/>
  <c r="A1785" i="2" s="1"/>
  <c r="K1786" i="2"/>
  <c r="A1786" i="2" s="1"/>
  <c r="K1787" i="2"/>
  <c r="A1787" i="2" s="1"/>
  <c r="K1788" i="2"/>
  <c r="A1788" i="2" s="1"/>
  <c r="K1789" i="2"/>
  <c r="A1789" i="2" s="1"/>
  <c r="K1790" i="2"/>
  <c r="A1790" i="2" s="1"/>
  <c r="K1791" i="2"/>
  <c r="A1791" i="2" s="1"/>
  <c r="K1792" i="2"/>
  <c r="A1792" i="2" s="1"/>
  <c r="K1793" i="2"/>
  <c r="A1793" i="2" s="1"/>
  <c r="K1794" i="2"/>
  <c r="A1794" i="2" s="1"/>
  <c r="K1795" i="2"/>
  <c r="A1795" i="2" s="1"/>
  <c r="K1796" i="2"/>
  <c r="A1796" i="2" s="1"/>
  <c r="K1797" i="2"/>
  <c r="A1797" i="2" s="1"/>
  <c r="K1798" i="2"/>
  <c r="A1798" i="2" s="1"/>
  <c r="K1799" i="2"/>
  <c r="A1799" i="2" s="1"/>
  <c r="K1800" i="2"/>
  <c r="A1800" i="2" s="1"/>
  <c r="K1801" i="2"/>
  <c r="A1801" i="2" s="1"/>
  <c r="K1802" i="2"/>
  <c r="A1802" i="2" s="1"/>
  <c r="K1803" i="2"/>
  <c r="A1803" i="2" s="1"/>
  <c r="K1804" i="2"/>
  <c r="A1804" i="2" s="1"/>
  <c r="K1805" i="2"/>
  <c r="A1805" i="2" s="1"/>
  <c r="K1806" i="2"/>
  <c r="A1806" i="2" s="1"/>
  <c r="K1807" i="2"/>
  <c r="A1807" i="2" s="1"/>
  <c r="K1808" i="2"/>
  <c r="A1808" i="2" s="1"/>
  <c r="K1809" i="2"/>
  <c r="A1809" i="2" s="1"/>
  <c r="K1810" i="2"/>
  <c r="A1810" i="2" s="1"/>
  <c r="K1811" i="2"/>
  <c r="A1811" i="2" s="1"/>
  <c r="K1812" i="2"/>
  <c r="A1812" i="2" s="1"/>
  <c r="K1813" i="2"/>
  <c r="A1813" i="2" s="1"/>
  <c r="K1814" i="2"/>
  <c r="A1814" i="2" s="1"/>
  <c r="K1815" i="2"/>
  <c r="A1815" i="2" s="1"/>
  <c r="K1816" i="2"/>
  <c r="A1816" i="2" s="1"/>
  <c r="K1817" i="2"/>
  <c r="A1817" i="2" s="1"/>
  <c r="K1818" i="2"/>
  <c r="A1818" i="2" s="1"/>
  <c r="K1819" i="2"/>
  <c r="A1819" i="2" s="1"/>
  <c r="K1820" i="2"/>
  <c r="A1820" i="2" s="1"/>
  <c r="K1821" i="2"/>
  <c r="A1821" i="2" s="1"/>
  <c r="K1822" i="2"/>
  <c r="A1822" i="2" s="1"/>
  <c r="K1823" i="2"/>
  <c r="A1823" i="2" s="1"/>
  <c r="K1824" i="2"/>
  <c r="A1824" i="2" s="1"/>
  <c r="K1825" i="2"/>
  <c r="A1825" i="2" s="1"/>
  <c r="K1826" i="2"/>
  <c r="A1826" i="2" s="1"/>
  <c r="K1827" i="2"/>
  <c r="A1827" i="2" s="1"/>
  <c r="K1828" i="2"/>
  <c r="A1828" i="2" s="1"/>
  <c r="K1829" i="2"/>
  <c r="A1829" i="2" s="1"/>
  <c r="K1830" i="2"/>
  <c r="A1830" i="2" s="1"/>
  <c r="K1831" i="2"/>
  <c r="A1831" i="2" s="1"/>
  <c r="K1832" i="2"/>
  <c r="A1832" i="2" s="1"/>
  <c r="K1833" i="2"/>
  <c r="A1833" i="2" s="1"/>
  <c r="K1834" i="2"/>
  <c r="A1834" i="2" s="1"/>
  <c r="K1835" i="2"/>
  <c r="A1835" i="2" s="1"/>
  <c r="K1836" i="2"/>
  <c r="A1836" i="2" s="1"/>
  <c r="K1837" i="2"/>
  <c r="A1837" i="2" s="1"/>
  <c r="K1838" i="2"/>
  <c r="A1838" i="2" s="1"/>
  <c r="K1839" i="2"/>
  <c r="A1839" i="2" s="1"/>
  <c r="K1840" i="2"/>
  <c r="A1840" i="2" s="1"/>
  <c r="K1841" i="2"/>
  <c r="A1841" i="2" s="1"/>
  <c r="K1842" i="2"/>
  <c r="A1842" i="2" s="1"/>
  <c r="K1843" i="2"/>
  <c r="A1843" i="2" s="1"/>
  <c r="K1844" i="2"/>
  <c r="A1844" i="2" s="1"/>
  <c r="K1845" i="2"/>
  <c r="A1845" i="2" s="1"/>
  <c r="K1846" i="2"/>
  <c r="A1846" i="2" s="1"/>
  <c r="K1847" i="2"/>
  <c r="A1847" i="2" s="1"/>
  <c r="K1848" i="2"/>
  <c r="A1848" i="2" s="1"/>
  <c r="K1849" i="2"/>
  <c r="A1849" i="2" s="1"/>
  <c r="K1850" i="2"/>
  <c r="A1850" i="2" s="1"/>
  <c r="K1851" i="2"/>
  <c r="A1851" i="2" s="1"/>
  <c r="K1852" i="2"/>
  <c r="A1852" i="2" s="1"/>
  <c r="K1853" i="2"/>
  <c r="A1853" i="2" s="1"/>
  <c r="K1854" i="2"/>
  <c r="A1854" i="2" s="1"/>
  <c r="K1855" i="2"/>
  <c r="A1855" i="2" s="1"/>
  <c r="K1856" i="2"/>
  <c r="A1856" i="2" s="1"/>
  <c r="K1857" i="2"/>
  <c r="A1857" i="2" s="1"/>
  <c r="K1858" i="2"/>
  <c r="A1858" i="2" s="1"/>
  <c r="K1859" i="2"/>
  <c r="A1859" i="2" s="1"/>
  <c r="K1860" i="2"/>
  <c r="A1860" i="2" s="1"/>
  <c r="K1861" i="2"/>
  <c r="A1861" i="2" s="1"/>
  <c r="K1862" i="2"/>
  <c r="A1862" i="2" s="1"/>
  <c r="K1863" i="2"/>
  <c r="A1863" i="2" s="1"/>
  <c r="K1864" i="2"/>
  <c r="A1864" i="2" s="1"/>
  <c r="K1865" i="2"/>
  <c r="A1865" i="2" s="1"/>
  <c r="K1866" i="2"/>
  <c r="A1866" i="2" s="1"/>
  <c r="K1867" i="2"/>
  <c r="A1867" i="2" s="1"/>
  <c r="K1868" i="2"/>
  <c r="A1868" i="2" s="1"/>
  <c r="K1869" i="2"/>
  <c r="A1869" i="2" s="1"/>
  <c r="K1870" i="2"/>
  <c r="A1870" i="2" s="1"/>
  <c r="K1871" i="2"/>
  <c r="A1871" i="2" s="1"/>
  <c r="K1872" i="2"/>
  <c r="A1872" i="2" s="1"/>
  <c r="K1873" i="2"/>
  <c r="A1873" i="2" s="1"/>
  <c r="K1874" i="2"/>
  <c r="A1874" i="2" s="1"/>
  <c r="K1875" i="2"/>
  <c r="A1875" i="2" s="1"/>
  <c r="K1876" i="2"/>
  <c r="A1876" i="2" s="1"/>
  <c r="K1877" i="2"/>
  <c r="A1877" i="2" s="1"/>
  <c r="K1878" i="2"/>
  <c r="A1878" i="2" s="1"/>
  <c r="K1879" i="2"/>
  <c r="A1879" i="2" s="1"/>
  <c r="K1880" i="2"/>
  <c r="A1880" i="2" s="1"/>
  <c r="K1881" i="2"/>
  <c r="A1881" i="2" s="1"/>
  <c r="K1882" i="2"/>
  <c r="A1882" i="2" s="1"/>
  <c r="K1883" i="2"/>
  <c r="A1883" i="2" s="1"/>
  <c r="K1884" i="2"/>
  <c r="A1884" i="2" s="1"/>
  <c r="K1885" i="2"/>
  <c r="A1885" i="2" s="1"/>
  <c r="K1886" i="2"/>
  <c r="A1886" i="2" s="1"/>
  <c r="K1887" i="2"/>
  <c r="A1887" i="2" s="1"/>
  <c r="K1888" i="2"/>
  <c r="A1888" i="2" s="1"/>
  <c r="K1889" i="2"/>
  <c r="A1889" i="2" s="1"/>
  <c r="K1890" i="2"/>
  <c r="A1890" i="2" s="1"/>
  <c r="K1891" i="2"/>
  <c r="A1891" i="2" s="1"/>
  <c r="K1892" i="2"/>
  <c r="A1892" i="2" s="1"/>
  <c r="K1893" i="2"/>
  <c r="A1893" i="2" s="1"/>
  <c r="K1894" i="2"/>
  <c r="A1894" i="2" s="1"/>
  <c r="K1895" i="2"/>
  <c r="A1895" i="2" s="1"/>
  <c r="K1896" i="2"/>
  <c r="A1896" i="2" s="1"/>
  <c r="K1897" i="2"/>
  <c r="A1897" i="2" s="1"/>
  <c r="K1898" i="2"/>
  <c r="A1898" i="2" s="1"/>
  <c r="K1899" i="2"/>
  <c r="A1899" i="2" s="1"/>
  <c r="K1900" i="2"/>
  <c r="A1900" i="2" s="1"/>
  <c r="K1901" i="2"/>
  <c r="A1901" i="2" s="1"/>
  <c r="K1902" i="2"/>
  <c r="A1902" i="2" s="1"/>
  <c r="K1903" i="2"/>
  <c r="A1903" i="2" s="1"/>
  <c r="K1904" i="2"/>
  <c r="A1904" i="2" s="1"/>
  <c r="K1905" i="2"/>
  <c r="A1905" i="2" s="1"/>
  <c r="K1906" i="2"/>
  <c r="A1906" i="2" s="1"/>
  <c r="K1907" i="2"/>
  <c r="A1907" i="2" s="1"/>
  <c r="K1908" i="2"/>
  <c r="A1908" i="2" s="1"/>
  <c r="K1909" i="2"/>
  <c r="A1909" i="2" s="1"/>
  <c r="K1910" i="2"/>
  <c r="A1910" i="2" s="1"/>
  <c r="K1911" i="2"/>
  <c r="A1911" i="2" s="1"/>
  <c r="K1912" i="2"/>
  <c r="A1912" i="2" s="1"/>
  <c r="K1913" i="2"/>
  <c r="A1913" i="2" s="1"/>
  <c r="K1914" i="2"/>
  <c r="A1914" i="2" s="1"/>
  <c r="K1915" i="2"/>
  <c r="A1915" i="2" s="1"/>
  <c r="K1916" i="2"/>
  <c r="A1916" i="2" s="1"/>
  <c r="K1917" i="2"/>
  <c r="A1917" i="2" s="1"/>
  <c r="K1918" i="2"/>
  <c r="A1918" i="2" s="1"/>
  <c r="K1919" i="2"/>
  <c r="A1919" i="2" s="1"/>
  <c r="K1920" i="2"/>
  <c r="A1920" i="2" s="1"/>
  <c r="K1921" i="2"/>
  <c r="A1921" i="2" s="1"/>
  <c r="K1922" i="2"/>
  <c r="A1922" i="2" s="1"/>
  <c r="K1923" i="2"/>
  <c r="A1923" i="2" s="1"/>
  <c r="K1924" i="2"/>
  <c r="A1924" i="2" s="1"/>
  <c r="K1925" i="2"/>
  <c r="A1925" i="2" s="1"/>
  <c r="K1926" i="2"/>
  <c r="A1926" i="2" s="1"/>
  <c r="K1927" i="2"/>
  <c r="A1927" i="2" s="1"/>
  <c r="K1928" i="2"/>
  <c r="A1928" i="2" s="1"/>
  <c r="K1929" i="2"/>
  <c r="A1929" i="2" s="1"/>
  <c r="K1930" i="2"/>
  <c r="A1930" i="2" s="1"/>
  <c r="K1931" i="2"/>
  <c r="A1931" i="2" s="1"/>
  <c r="K1932" i="2"/>
  <c r="A1932" i="2" s="1"/>
  <c r="K1933" i="2"/>
  <c r="A1933" i="2" s="1"/>
  <c r="K1934" i="2"/>
  <c r="A1934" i="2" s="1"/>
  <c r="K1935" i="2"/>
  <c r="A1935" i="2" s="1"/>
  <c r="K1936" i="2"/>
  <c r="A1936" i="2" s="1"/>
  <c r="K1937" i="2"/>
  <c r="A1937" i="2" s="1"/>
  <c r="K1938" i="2"/>
  <c r="A1938" i="2" s="1"/>
  <c r="K1939" i="2"/>
  <c r="A1939" i="2" s="1"/>
  <c r="K1940" i="2"/>
  <c r="A1940" i="2" s="1"/>
  <c r="K1941" i="2"/>
  <c r="A1941" i="2" s="1"/>
  <c r="K1942" i="2"/>
  <c r="A1942" i="2" s="1"/>
  <c r="K1943" i="2"/>
  <c r="A1943" i="2" s="1"/>
  <c r="K1944" i="2"/>
  <c r="A1944" i="2" s="1"/>
  <c r="K1945" i="2"/>
  <c r="A1945" i="2" s="1"/>
  <c r="K1946" i="2"/>
  <c r="A1946" i="2" s="1"/>
  <c r="K1947" i="2"/>
  <c r="A1947" i="2" s="1"/>
  <c r="K1948" i="2"/>
  <c r="A1948" i="2" s="1"/>
  <c r="K1949" i="2"/>
  <c r="A1949" i="2" s="1"/>
  <c r="K1950" i="2"/>
  <c r="A1950" i="2" s="1"/>
  <c r="K1951" i="2"/>
  <c r="A1951" i="2" s="1"/>
  <c r="K1952" i="2"/>
  <c r="A1952" i="2" s="1"/>
  <c r="K1953" i="2"/>
  <c r="A1953" i="2" s="1"/>
  <c r="K1954" i="2"/>
  <c r="A1954" i="2" s="1"/>
  <c r="K1955" i="2"/>
  <c r="A1955" i="2" s="1"/>
  <c r="K1956" i="2"/>
  <c r="A1956" i="2" s="1"/>
  <c r="K1957" i="2"/>
  <c r="A1957" i="2" s="1"/>
  <c r="K1958" i="2"/>
  <c r="A1958" i="2" s="1"/>
  <c r="K1959" i="2"/>
  <c r="A1959" i="2" s="1"/>
  <c r="K1960" i="2"/>
  <c r="A1960" i="2" s="1"/>
  <c r="K1961" i="2"/>
  <c r="A1961" i="2" s="1"/>
  <c r="K1962" i="2"/>
  <c r="A1962" i="2" s="1"/>
  <c r="K1963" i="2"/>
  <c r="A1963" i="2" s="1"/>
  <c r="K1964" i="2"/>
  <c r="A1964" i="2" s="1"/>
  <c r="K1965" i="2"/>
  <c r="A1965" i="2" s="1"/>
  <c r="K1966" i="2"/>
  <c r="A1966" i="2" s="1"/>
  <c r="K1967" i="2"/>
  <c r="A1967" i="2" s="1"/>
  <c r="K1968" i="2"/>
  <c r="A1968" i="2" s="1"/>
  <c r="K1969" i="2"/>
  <c r="A1969" i="2" s="1"/>
  <c r="K1970" i="2"/>
  <c r="A1970" i="2" s="1"/>
  <c r="K1971" i="2"/>
  <c r="A1971" i="2" s="1"/>
  <c r="K1972" i="2"/>
  <c r="A1972" i="2" s="1"/>
  <c r="K1973" i="2"/>
  <c r="A1973" i="2" s="1"/>
  <c r="K1974" i="2"/>
  <c r="A1974" i="2" s="1"/>
  <c r="K1975" i="2"/>
  <c r="A1975" i="2" s="1"/>
  <c r="K1976" i="2"/>
  <c r="A1976" i="2" s="1"/>
  <c r="K1977" i="2"/>
  <c r="A1977" i="2" s="1"/>
  <c r="K1978" i="2"/>
  <c r="A1978" i="2" s="1"/>
  <c r="K1979" i="2"/>
  <c r="A1979" i="2" s="1"/>
  <c r="K1980" i="2"/>
  <c r="A1980" i="2" s="1"/>
  <c r="K1981" i="2"/>
  <c r="A1981" i="2" s="1"/>
  <c r="K1982" i="2"/>
  <c r="A1982" i="2" s="1"/>
  <c r="K1983" i="2"/>
  <c r="A1983" i="2" s="1"/>
  <c r="K1984" i="2"/>
  <c r="A1984" i="2" s="1"/>
  <c r="K1985" i="2"/>
  <c r="A1985" i="2" s="1"/>
  <c r="K1986" i="2"/>
  <c r="A1986" i="2" s="1"/>
  <c r="K1987" i="2"/>
  <c r="A1987" i="2" s="1"/>
  <c r="K1988" i="2"/>
  <c r="A1988" i="2" s="1"/>
  <c r="K1989" i="2"/>
  <c r="A1989" i="2" s="1"/>
  <c r="K1990" i="2"/>
  <c r="A1990" i="2" s="1"/>
  <c r="K1991" i="2"/>
  <c r="A1991" i="2" s="1"/>
  <c r="K1992" i="2"/>
  <c r="A1992" i="2" s="1"/>
  <c r="K1993" i="2"/>
  <c r="A1993" i="2" s="1"/>
  <c r="K1994" i="2"/>
  <c r="A1994" i="2" s="1"/>
  <c r="K1995" i="2"/>
  <c r="A1995" i="2" s="1"/>
  <c r="K1996" i="2"/>
  <c r="A1996" i="2" s="1"/>
  <c r="K1997" i="2"/>
  <c r="A1997" i="2" s="1"/>
  <c r="K1998" i="2"/>
  <c r="A1998" i="2" s="1"/>
  <c r="K1999" i="2"/>
  <c r="A1999" i="2" s="1"/>
  <c r="K2000" i="2"/>
  <c r="A2000" i="2" s="1"/>
  <c r="K2001" i="2"/>
  <c r="A2001" i="2" s="1"/>
  <c r="K2002" i="2"/>
  <c r="A2002" i="2" s="1"/>
  <c r="K2003" i="2"/>
  <c r="A2003" i="2" s="1"/>
  <c r="K2004" i="2"/>
  <c r="A2004" i="2" s="1"/>
  <c r="K2005" i="2"/>
  <c r="A2005" i="2" s="1"/>
  <c r="K2006" i="2"/>
  <c r="A2006" i="2" s="1"/>
  <c r="K2007" i="2"/>
  <c r="A2007" i="2" s="1"/>
  <c r="K2008" i="2"/>
  <c r="A2008" i="2" s="1"/>
  <c r="K2009" i="2"/>
  <c r="A2009" i="2" s="1"/>
  <c r="K2010" i="2"/>
  <c r="A2010" i="2" s="1"/>
  <c r="K2011" i="2"/>
  <c r="A2011" i="2" s="1"/>
  <c r="K2012" i="2"/>
  <c r="A2012" i="2" s="1"/>
  <c r="K2013" i="2"/>
  <c r="A2013" i="2" s="1"/>
  <c r="K2014" i="2"/>
  <c r="A2014" i="2" s="1"/>
  <c r="K2015" i="2"/>
  <c r="A2015" i="2" s="1"/>
  <c r="K2016" i="2"/>
  <c r="A2016" i="2" s="1"/>
  <c r="K2017" i="2"/>
  <c r="A2017" i="2" s="1"/>
  <c r="K2018" i="2"/>
  <c r="A2018" i="2" s="1"/>
  <c r="K2019" i="2"/>
  <c r="A2019" i="2" s="1"/>
  <c r="K2020" i="2"/>
  <c r="A2020" i="2" s="1"/>
  <c r="K2021" i="2"/>
  <c r="A2021" i="2" s="1"/>
  <c r="K2022" i="2"/>
  <c r="A2022" i="2" s="1"/>
  <c r="K2023" i="2"/>
  <c r="A2023" i="2" s="1"/>
  <c r="K2024" i="2"/>
  <c r="A2024" i="2" s="1"/>
  <c r="K2025" i="2"/>
  <c r="A2025" i="2" s="1"/>
  <c r="K2026" i="2"/>
  <c r="A2026" i="2" s="1"/>
  <c r="K2027" i="2"/>
  <c r="A2027" i="2" s="1"/>
  <c r="K2028" i="2"/>
  <c r="A2028" i="2" s="1"/>
  <c r="K2029" i="2"/>
  <c r="A2029" i="2" s="1"/>
  <c r="K2030" i="2"/>
  <c r="A2030" i="2" s="1"/>
  <c r="K2031" i="2"/>
  <c r="A2031" i="2" s="1"/>
  <c r="K2032" i="2"/>
  <c r="A2032" i="2" s="1"/>
  <c r="K2033" i="2"/>
  <c r="A2033" i="2" s="1"/>
  <c r="K2034" i="2"/>
  <c r="A2034" i="2" s="1"/>
  <c r="K2035" i="2"/>
  <c r="A2035" i="2" s="1"/>
  <c r="K2036" i="2"/>
  <c r="A2036" i="2" s="1"/>
  <c r="K2037" i="2"/>
  <c r="A2037" i="2" s="1"/>
  <c r="K2038" i="2"/>
  <c r="A2038" i="2" s="1"/>
  <c r="K2039" i="2"/>
  <c r="A2039" i="2" s="1"/>
  <c r="K2040" i="2"/>
  <c r="A2040" i="2" s="1"/>
  <c r="K2041" i="2"/>
  <c r="A2041" i="2" s="1"/>
  <c r="K2042" i="2"/>
  <c r="A2042" i="2" s="1"/>
  <c r="K2043" i="2"/>
  <c r="A2043" i="2" s="1"/>
  <c r="K2044" i="2"/>
  <c r="A2044" i="2" s="1"/>
  <c r="K2045" i="2"/>
  <c r="A2045" i="2" s="1"/>
  <c r="K2046" i="2"/>
  <c r="A2046" i="2" s="1"/>
  <c r="K2047" i="2"/>
  <c r="A2047" i="2" s="1"/>
  <c r="K2048" i="2"/>
  <c r="A2048" i="2" s="1"/>
  <c r="K2049" i="2"/>
  <c r="A2049" i="2" s="1"/>
  <c r="K2050" i="2"/>
  <c r="A2050" i="2" s="1"/>
  <c r="K2051" i="2"/>
  <c r="A2051" i="2" s="1"/>
  <c r="K2052" i="2"/>
  <c r="A2052" i="2" s="1"/>
  <c r="K2053" i="2"/>
  <c r="A2053" i="2" s="1"/>
  <c r="K2054" i="2"/>
  <c r="A2054" i="2" s="1"/>
  <c r="K2055" i="2"/>
  <c r="A2055" i="2" s="1"/>
  <c r="K2056" i="2"/>
  <c r="A2056" i="2" s="1"/>
  <c r="K2057" i="2"/>
  <c r="A2057" i="2" s="1"/>
  <c r="K2058" i="2"/>
  <c r="A2058" i="2" s="1"/>
  <c r="K2059" i="2"/>
  <c r="A2059" i="2" s="1"/>
  <c r="K2060" i="2"/>
  <c r="A2060" i="2" s="1"/>
  <c r="K2061" i="2"/>
  <c r="A2061" i="2" s="1"/>
  <c r="K2062" i="2"/>
  <c r="A2062" i="2" s="1"/>
  <c r="K2063" i="2"/>
  <c r="A2063" i="2" s="1"/>
  <c r="K2064" i="2"/>
  <c r="A2064" i="2" s="1"/>
  <c r="K2065" i="2"/>
  <c r="A2065" i="2" s="1"/>
  <c r="K2066" i="2"/>
  <c r="A2066" i="2" s="1"/>
  <c r="K2067" i="2"/>
  <c r="A2067" i="2" s="1"/>
  <c r="K2068" i="2"/>
  <c r="A2068" i="2" s="1"/>
  <c r="K2069" i="2"/>
  <c r="A2069" i="2" s="1"/>
  <c r="K2070" i="2"/>
  <c r="A2070" i="2" s="1"/>
  <c r="K2071" i="2"/>
  <c r="A2071" i="2" s="1"/>
  <c r="K2072" i="2"/>
  <c r="A2072" i="2" s="1"/>
  <c r="K2073" i="2"/>
  <c r="A2073" i="2" s="1"/>
  <c r="K2074" i="2"/>
  <c r="A2074" i="2" s="1"/>
  <c r="K2075" i="2"/>
  <c r="A2075" i="2" s="1"/>
  <c r="K2076" i="2"/>
  <c r="A2076" i="2" s="1"/>
  <c r="K2077" i="2"/>
  <c r="A2077" i="2" s="1"/>
  <c r="K2078" i="2"/>
  <c r="A2078" i="2" s="1"/>
  <c r="K2079" i="2"/>
  <c r="A2079" i="2" s="1"/>
  <c r="K2080" i="2"/>
  <c r="A2080" i="2" s="1"/>
  <c r="K2081" i="2"/>
  <c r="A2081" i="2" s="1"/>
  <c r="K2082" i="2"/>
  <c r="A2082" i="2" s="1"/>
  <c r="K2083" i="2"/>
  <c r="A2083" i="2" s="1"/>
  <c r="K2084" i="2"/>
  <c r="A2084" i="2" s="1"/>
  <c r="K2085" i="2"/>
  <c r="A2085" i="2" s="1"/>
  <c r="K2086" i="2"/>
  <c r="A2086" i="2" s="1"/>
  <c r="K2087" i="2"/>
  <c r="A2087" i="2" s="1"/>
  <c r="K2088" i="2"/>
  <c r="A2088" i="2" s="1"/>
  <c r="K2089" i="2"/>
  <c r="A2089" i="2" s="1"/>
  <c r="K2090" i="2"/>
  <c r="A2090" i="2" s="1"/>
  <c r="K2091" i="2"/>
  <c r="A2091" i="2" s="1"/>
  <c r="K2092" i="2"/>
  <c r="A2092" i="2" s="1"/>
  <c r="K2093" i="2"/>
  <c r="A2093" i="2" s="1"/>
  <c r="K2094" i="2"/>
  <c r="A2094" i="2" s="1"/>
  <c r="K2095" i="2"/>
  <c r="A2095" i="2" s="1"/>
  <c r="K2096" i="2"/>
  <c r="A2096" i="2" s="1"/>
  <c r="K2097" i="2"/>
  <c r="A2097" i="2" s="1"/>
  <c r="K2098" i="2"/>
  <c r="A2098" i="2" s="1"/>
  <c r="K2099" i="2"/>
  <c r="A2099" i="2" s="1"/>
  <c r="K2100" i="2"/>
  <c r="A2100" i="2" s="1"/>
  <c r="K2101" i="2"/>
  <c r="A2101" i="2" s="1"/>
  <c r="K2102" i="2"/>
  <c r="A2102" i="2" s="1"/>
  <c r="K2103" i="2"/>
  <c r="A2103" i="2" s="1"/>
  <c r="K2104" i="2"/>
  <c r="A2104" i="2" s="1"/>
  <c r="K2105" i="2"/>
  <c r="A2105" i="2" s="1"/>
  <c r="K2106" i="2"/>
  <c r="A2106" i="2" s="1"/>
  <c r="K2107" i="2"/>
  <c r="A2107" i="2" s="1"/>
  <c r="K2108" i="2"/>
  <c r="A2108" i="2" s="1"/>
  <c r="K2109" i="2"/>
  <c r="A2109" i="2" s="1"/>
  <c r="K2110" i="2"/>
  <c r="A2110" i="2" s="1"/>
  <c r="K2111" i="2"/>
  <c r="A2111" i="2" s="1"/>
  <c r="K2112" i="2"/>
  <c r="A2112" i="2" s="1"/>
  <c r="K2113" i="2"/>
  <c r="A2113" i="2" s="1"/>
  <c r="K2114" i="2"/>
  <c r="A2114" i="2" s="1"/>
  <c r="K2115" i="2"/>
  <c r="A2115" i="2" s="1"/>
  <c r="K2116" i="2"/>
  <c r="A2116" i="2" s="1"/>
  <c r="K2117" i="2"/>
  <c r="A2117" i="2" s="1"/>
  <c r="K2118" i="2"/>
  <c r="A2118" i="2" s="1"/>
  <c r="K2119" i="2"/>
  <c r="A2119" i="2" s="1"/>
  <c r="K2120" i="2"/>
  <c r="A2120" i="2" s="1"/>
  <c r="K2121" i="2"/>
  <c r="A2121" i="2" s="1"/>
  <c r="K2122" i="2"/>
  <c r="A2122" i="2" s="1"/>
  <c r="K2123" i="2"/>
  <c r="A2123" i="2" s="1"/>
  <c r="K2124" i="2"/>
  <c r="A2124" i="2" s="1"/>
  <c r="K2125" i="2"/>
  <c r="A2125" i="2" s="1"/>
  <c r="K2126" i="2"/>
  <c r="A2126" i="2" s="1"/>
  <c r="K2127" i="2"/>
  <c r="A2127" i="2" s="1"/>
  <c r="K2128" i="2"/>
  <c r="A2128" i="2" s="1"/>
  <c r="K2129" i="2"/>
  <c r="A2129" i="2" s="1"/>
  <c r="K2130" i="2"/>
  <c r="A2130" i="2" s="1"/>
  <c r="K2131" i="2"/>
  <c r="A2131" i="2" s="1"/>
  <c r="K2132" i="2"/>
  <c r="A2132" i="2" s="1"/>
  <c r="K2133" i="2"/>
  <c r="A2133" i="2" s="1"/>
  <c r="K2134" i="2"/>
  <c r="A2134" i="2" s="1"/>
  <c r="K2135" i="2"/>
  <c r="A2135" i="2" s="1"/>
  <c r="K2136" i="2"/>
  <c r="A2136" i="2" s="1"/>
  <c r="K2137" i="2"/>
  <c r="A2137" i="2" s="1"/>
  <c r="K2138" i="2"/>
  <c r="A2138" i="2" s="1"/>
  <c r="K2139" i="2"/>
  <c r="A2139" i="2" s="1"/>
  <c r="K2140" i="2"/>
  <c r="A2140" i="2" s="1"/>
  <c r="K2141" i="2"/>
  <c r="A2141" i="2" s="1"/>
  <c r="K2142" i="2"/>
  <c r="A2142" i="2" s="1"/>
  <c r="K2143" i="2"/>
  <c r="A2143" i="2" s="1"/>
  <c r="K2144" i="2"/>
  <c r="A2144" i="2" s="1"/>
  <c r="K2145" i="2"/>
  <c r="A2145" i="2" s="1"/>
  <c r="K2146" i="2"/>
  <c r="A2146" i="2" s="1"/>
  <c r="K2147" i="2"/>
  <c r="A2147" i="2" s="1"/>
  <c r="K2148" i="2"/>
  <c r="A2148" i="2" s="1"/>
  <c r="K2149" i="2"/>
  <c r="A2149" i="2" s="1"/>
  <c r="K2150" i="2"/>
  <c r="A2150" i="2" s="1"/>
  <c r="K2151" i="2"/>
  <c r="A2151" i="2" s="1"/>
  <c r="K2152" i="2"/>
  <c r="A2152" i="2" s="1"/>
  <c r="K2153" i="2"/>
  <c r="A2153" i="2" s="1"/>
  <c r="K2154" i="2"/>
  <c r="A2154" i="2" s="1"/>
  <c r="K2155" i="2"/>
  <c r="A2155" i="2" s="1"/>
  <c r="K2156" i="2"/>
  <c r="A2156" i="2" s="1"/>
  <c r="K2157" i="2"/>
  <c r="A2157" i="2" s="1"/>
  <c r="K2158" i="2"/>
  <c r="A2158" i="2" s="1"/>
  <c r="K2159" i="2"/>
  <c r="A2159" i="2" s="1"/>
  <c r="K2160" i="2"/>
  <c r="A2160" i="2" s="1"/>
  <c r="K2161" i="2"/>
  <c r="A2161" i="2" s="1"/>
  <c r="K2162" i="2"/>
  <c r="A2162" i="2" s="1"/>
  <c r="K2163" i="2"/>
  <c r="A2163" i="2" s="1"/>
  <c r="K2164" i="2"/>
  <c r="A2164" i="2" s="1"/>
  <c r="K2165" i="2"/>
  <c r="A2165" i="2" s="1"/>
  <c r="K2166" i="2"/>
  <c r="A2166" i="2" s="1"/>
  <c r="K2167" i="2"/>
  <c r="A2167" i="2" s="1"/>
  <c r="K2168" i="2"/>
  <c r="A2168" i="2" s="1"/>
  <c r="K2169" i="2"/>
  <c r="A2169" i="2" s="1"/>
  <c r="K2170" i="2"/>
  <c r="A2170" i="2" s="1"/>
  <c r="K2171" i="2"/>
  <c r="A2171" i="2" s="1"/>
  <c r="K2172" i="2"/>
  <c r="A2172" i="2" s="1"/>
  <c r="K2173" i="2"/>
  <c r="A2173" i="2" s="1"/>
  <c r="K2174" i="2"/>
  <c r="A2174" i="2" s="1"/>
  <c r="K2175" i="2"/>
  <c r="A2175" i="2" s="1"/>
  <c r="K2176" i="2"/>
  <c r="A2176" i="2" s="1"/>
  <c r="K2177" i="2"/>
  <c r="A2177" i="2" s="1"/>
  <c r="K2178" i="2"/>
  <c r="A2178" i="2" s="1"/>
  <c r="K2179" i="2"/>
  <c r="A2179" i="2" s="1"/>
  <c r="K2180" i="2"/>
  <c r="A2180" i="2" s="1"/>
  <c r="K2181" i="2"/>
  <c r="A2181" i="2" s="1"/>
  <c r="K2182" i="2"/>
  <c r="A2182" i="2" s="1"/>
  <c r="K2183" i="2"/>
  <c r="A2183" i="2" s="1"/>
  <c r="K2184" i="2"/>
  <c r="A2184" i="2" s="1"/>
  <c r="K2185" i="2"/>
  <c r="A2185" i="2" s="1"/>
  <c r="K2186" i="2"/>
  <c r="A2186" i="2" s="1"/>
  <c r="K2187" i="2"/>
  <c r="A2187" i="2" s="1"/>
  <c r="K2188" i="2"/>
  <c r="A2188" i="2" s="1"/>
  <c r="K2189" i="2"/>
  <c r="A2189" i="2" s="1"/>
  <c r="K2190" i="2"/>
  <c r="A2190" i="2" s="1"/>
  <c r="K2191" i="2"/>
  <c r="A2191" i="2" s="1"/>
  <c r="K2192" i="2"/>
  <c r="A2192" i="2" s="1"/>
  <c r="K2193" i="2"/>
  <c r="A2193" i="2" s="1"/>
  <c r="K2194" i="2"/>
  <c r="A2194" i="2" s="1"/>
  <c r="K2195" i="2"/>
  <c r="A2195" i="2" s="1"/>
  <c r="K2196" i="2"/>
  <c r="A2196" i="2" s="1"/>
  <c r="K2197" i="2"/>
  <c r="A2197" i="2" s="1"/>
  <c r="K2198" i="2"/>
  <c r="A2198" i="2" s="1"/>
  <c r="K2199" i="2"/>
  <c r="A2199" i="2" s="1"/>
  <c r="K2200" i="2"/>
  <c r="A2200" i="2" s="1"/>
  <c r="K2201" i="2"/>
  <c r="A2201" i="2" s="1"/>
  <c r="K2202" i="2"/>
  <c r="A2202" i="2" s="1"/>
  <c r="K2203" i="2"/>
  <c r="A2203" i="2" s="1"/>
  <c r="K2204" i="2"/>
  <c r="A2204" i="2" s="1"/>
  <c r="K2205" i="2"/>
  <c r="A2205" i="2" s="1"/>
  <c r="K2206" i="2"/>
  <c r="A2206" i="2" s="1"/>
  <c r="K2207" i="2"/>
  <c r="A2207" i="2" s="1"/>
  <c r="K2208" i="2"/>
  <c r="A2208" i="2" s="1"/>
  <c r="K2209" i="2"/>
  <c r="A2209" i="2" s="1"/>
  <c r="K2210" i="2"/>
  <c r="A2210" i="2" s="1"/>
  <c r="K2211" i="2"/>
  <c r="A2211" i="2" s="1"/>
  <c r="K2212" i="2"/>
  <c r="A2212" i="2" s="1"/>
  <c r="K2213" i="2"/>
  <c r="A2213" i="2" s="1"/>
  <c r="K2214" i="2"/>
  <c r="A2214" i="2" s="1"/>
  <c r="K2215" i="2"/>
  <c r="A2215" i="2" s="1"/>
  <c r="K2216" i="2"/>
  <c r="A2216" i="2" s="1"/>
  <c r="K2217" i="2"/>
  <c r="A2217" i="2" s="1"/>
  <c r="K2218" i="2"/>
  <c r="A2218" i="2" s="1"/>
  <c r="K2219" i="2"/>
  <c r="A2219" i="2" s="1"/>
  <c r="K2220" i="2"/>
  <c r="A2220" i="2" s="1"/>
  <c r="K2221" i="2"/>
  <c r="A2221" i="2" s="1"/>
  <c r="K2222" i="2"/>
  <c r="A2222" i="2" s="1"/>
  <c r="K2223" i="2"/>
  <c r="A2223" i="2" s="1"/>
  <c r="K2224" i="2"/>
  <c r="A2224" i="2" s="1"/>
  <c r="K2225" i="2"/>
  <c r="A2225" i="2" s="1"/>
  <c r="K2226" i="2"/>
  <c r="A2226" i="2" s="1"/>
  <c r="K2227" i="2"/>
  <c r="A2227" i="2" s="1"/>
  <c r="K2228" i="2"/>
  <c r="A2228" i="2" s="1"/>
  <c r="K2229" i="2"/>
  <c r="A2229" i="2" s="1"/>
  <c r="K2230" i="2"/>
  <c r="A2230" i="2" s="1"/>
  <c r="K2231" i="2"/>
  <c r="A2231" i="2" s="1"/>
  <c r="K2232" i="2"/>
  <c r="A2232" i="2" s="1"/>
  <c r="K2233" i="2"/>
  <c r="A2233" i="2" s="1"/>
  <c r="K2234" i="2"/>
  <c r="A2234" i="2" s="1"/>
  <c r="K2235" i="2"/>
  <c r="A2235" i="2" s="1"/>
  <c r="K2236" i="2"/>
  <c r="A2236" i="2" s="1"/>
  <c r="K2237" i="2"/>
  <c r="A2237" i="2" s="1"/>
  <c r="K2238" i="2"/>
  <c r="A2238" i="2" s="1"/>
  <c r="K2239" i="2"/>
  <c r="A2239" i="2" s="1"/>
  <c r="K2240" i="2"/>
  <c r="A2240" i="2" s="1"/>
  <c r="K2241" i="2"/>
  <c r="A2241" i="2" s="1"/>
  <c r="K2242" i="2"/>
  <c r="A2242" i="2" s="1"/>
  <c r="K2243" i="2"/>
  <c r="A2243" i="2" s="1"/>
  <c r="K2244" i="2"/>
  <c r="A2244" i="2" s="1"/>
  <c r="K2245" i="2"/>
  <c r="A2245" i="2" s="1"/>
  <c r="K2246" i="2"/>
  <c r="A2246" i="2" s="1"/>
  <c r="K2247" i="2"/>
  <c r="A2247" i="2" s="1"/>
  <c r="K2248" i="2"/>
  <c r="A2248" i="2" s="1"/>
  <c r="K2249" i="2"/>
  <c r="A2249" i="2" s="1"/>
  <c r="K2250" i="2"/>
  <c r="A2250" i="2" s="1"/>
  <c r="K2251" i="2"/>
  <c r="A2251" i="2" s="1"/>
  <c r="K2252" i="2"/>
  <c r="A2252" i="2" s="1"/>
  <c r="K2253" i="2"/>
  <c r="A2253" i="2" s="1"/>
  <c r="K2254" i="2"/>
  <c r="A2254" i="2" s="1"/>
  <c r="K2255" i="2"/>
  <c r="A2255" i="2" s="1"/>
  <c r="K2256" i="2"/>
  <c r="A2256" i="2" s="1"/>
  <c r="K2257" i="2"/>
  <c r="A2257" i="2" s="1"/>
  <c r="K2258" i="2"/>
  <c r="A2258" i="2" s="1"/>
  <c r="K2259" i="2"/>
  <c r="A2259" i="2" s="1"/>
  <c r="K2260" i="2"/>
  <c r="A2260" i="2" s="1"/>
  <c r="K2261" i="2"/>
  <c r="A2261" i="2" s="1"/>
  <c r="K2262" i="2"/>
  <c r="A2262" i="2" s="1"/>
  <c r="K2263" i="2"/>
  <c r="A2263" i="2" s="1"/>
  <c r="K2264" i="2"/>
  <c r="A2264" i="2" s="1"/>
  <c r="K2265" i="2"/>
  <c r="A2265" i="2" s="1"/>
  <c r="K2266" i="2"/>
  <c r="A2266" i="2" s="1"/>
  <c r="K2267" i="2"/>
  <c r="A2267" i="2" s="1"/>
  <c r="K2268" i="2"/>
  <c r="A2268" i="2" s="1"/>
  <c r="K2269" i="2"/>
  <c r="A2269" i="2" s="1"/>
  <c r="K2270" i="2"/>
  <c r="A2270" i="2" s="1"/>
  <c r="K2271" i="2"/>
  <c r="A2271" i="2" s="1"/>
  <c r="K2272" i="2"/>
  <c r="A2272" i="2" s="1"/>
  <c r="K2273" i="2"/>
  <c r="A2273" i="2" s="1"/>
  <c r="K2274" i="2"/>
  <c r="A2274" i="2" s="1"/>
  <c r="K2275" i="2"/>
  <c r="A2275" i="2" s="1"/>
  <c r="K2276" i="2"/>
  <c r="A2276" i="2" s="1"/>
  <c r="K2277" i="2"/>
  <c r="A2277" i="2" s="1"/>
  <c r="K2278" i="2"/>
  <c r="A2278" i="2" s="1"/>
  <c r="K2279" i="2"/>
  <c r="A2279" i="2" s="1"/>
  <c r="K2280" i="2"/>
  <c r="A2280" i="2" s="1"/>
  <c r="K2281" i="2"/>
  <c r="A2281" i="2" s="1"/>
  <c r="K2282" i="2"/>
  <c r="A2282" i="2" s="1"/>
  <c r="K2283" i="2"/>
  <c r="A2283" i="2" s="1"/>
  <c r="K2284" i="2"/>
  <c r="A2284" i="2" s="1"/>
  <c r="K2285" i="2"/>
  <c r="A2285" i="2" s="1"/>
  <c r="K2286" i="2"/>
  <c r="A2286" i="2" s="1"/>
  <c r="K2287" i="2"/>
  <c r="A2287" i="2" s="1"/>
  <c r="K2288" i="2"/>
  <c r="A2288" i="2" s="1"/>
  <c r="K2289" i="2"/>
  <c r="A2289" i="2" s="1"/>
  <c r="K2290" i="2"/>
  <c r="A2290" i="2" s="1"/>
  <c r="K2291" i="2"/>
  <c r="A2291" i="2" s="1"/>
  <c r="K2292" i="2"/>
  <c r="A2292" i="2" s="1"/>
  <c r="K2293" i="2"/>
  <c r="A2293" i="2" s="1"/>
  <c r="K2294" i="2"/>
  <c r="A2294" i="2" s="1"/>
  <c r="K2295" i="2"/>
  <c r="A2295" i="2" s="1"/>
  <c r="K2296" i="2"/>
  <c r="A2296" i="2" s="1"/>
  <c r="K2297" i="2"/>
  <c r="A2297" i="2" s="1"/>
  <c r="K2298" i="2"/>
  <c r="A2298" i="2" s="1"/>
  <c r="K2299" i="2"/>
  <c r="A2299" i="2" s="1"/>
  <c r="K2300" i="2"/>
  <c r="A2300" i="2" s="1"/>
  <c r="K2301" i="2"/>
  <c r="A2301" i="2" s="1"/>
  <c r="K2302" i="2"/>
  <c r="A2302" i="2" s="1"/>
  <c r="K2303" i="2"/>
  <c r="A2303" i="2" s="1"/>
  <c r="K2304" i="2"/>
  <c r="A2304" i="2" s="1"/>
  <c r="K2305" i="2"/>
  <c r="A2305" i="2" s="1"/>
  <c r="K2306" i="2"/>
  <c r="A2306" i="2" s="1"/>
  <c r="K2307" i="2"/>
  <c r="A2307" i="2" s="1"/>
  <c r="K2308" i="2"/>
  <c r="A2308" i="2" s="1"/>
  <c r="K2309" i="2"/>
  <c r="A2309" i="2" s="1"/>
  <c r="K2310" i="2"/>
  <c r="A2310" i="2" s="1"/>
  <c r="K2311" i="2"/>
  <c r="A2311" i="2" s="1"/>
  <c r="K2312" i="2"/>
  <c r="A2312" i="2" s="1"/>
  <c r="K2313" i="2"/>
  <c r="A2313" i="2" s="1"/>
  <c r="K2314" i="2"/>
  <c r="A2314" i="2" s="1"/>
  <c r="K2315" i="2"/>
  <c r="A2315" i="2" s="1"/>
  <c r="K2316" i="2"/>
  <c r="A2316" i="2" s="1"/>
  <c r="K2317" i="2"/>
  <c r="A2317" i="2" s="1"/>
  <c r="K2318" i="2"/>
  <c r="A2318" i="2" s="1"/>
  <c r="K2319" i="2"/>
  <c r="A2319" i="2" s="1"/>
  <c r="K2320" i="2"/>
  <c r="A2320" i="2" s="1"/>
  <c r="K2321" i="2"/>
  <c r="A2321" i="2" s="1"/>
  <c r="K2322" i="2"/>
  <c r="A2322" i="2" s="1"/>
  <c r="K2323" i="2"/>
  <c r="A2323" i="2" s="1"/>
  <c r="K2324" i="2"/>
  <c r="A2324" i="2" s="1"/>
  <c r="K2325" i="2"/>
  <c r="A2325" i="2" s="1"/>
  <c r="K2326" i="2"/>
  <c r="A2326" i="2" s="1"/>
  <c r="K2327" i="2"/>
  <c r="A2327" i="2" s="1"/>
  <c r="K2328" i="2"/>
  <c r="A2328" i="2" s="1"/>
  <c r="K2329" i="2"/>
  <c r="A2329" i="2" s="1"/>
  <c r="K2330" i="2"/>
  <c r="A2330" i="2" s="1"/>
  <c r="K2331" i="2"/>
  <c r="A2331" i="2" s="1"/>
  <c r="K2332" i="2"/>
  <c r="A2332" i="2" s="1"/>
  <c r="K2333" i="2"/>
  <c r="A2333" i="2" s="1"/>
  <c r="K2334" i="2"/>
  <c r="A2334" i="2" s="1"/>
  <c r="K2335" i="2"/>
  <c r="A2335" i="2" s="1"/>
  <c r="K2336" i="2"/>
  <c r="A2336" i="2" s="1"/>
  <c r="K2337" i="2"/>
  <c r="A2337" i="2" s="1"/>
  <c r="K2338" i="2"/>
  <c r="A2338" i="2" s="1"/>
  <c r="K2339" i="2"/>
  <c r="A2339" i="2" s="1"/>
  <c r="K2340" i="2"/>
  <c r="A2340" i="2" s="1"/>
  <c r="K2341" i="2"/>
  <c r="A2341" i="2" s="1"/>
  <c r="K2342" i="2"/>
  <c r="A2342" i="2" s="1"/>
  <c r="K2343" i="2"/>
  <c r="A2343" i="2" s="1"/>
  <c r="K2344" i="2"/>
  <c r="A2344" i="2" s="1"/>
  <c r="K2345" i="2"/>
  <c r="A2345" i="2" s="1"/>
  <c r="K2346" i="2"/>
  <c r="A2346" i="2" s="1"/>
  <c r="K2347" i="2"/>
  <c r="A2347" i="2" s="1"/>
  <c r="K2348" i="2"/>
  <c r="A2348" i="2" s="1"/>
  <c r="K2349" i="2"/>
  <c r="A2349" i="2" s="1"/>
  <c r="K2350" i="2"/>
  <c r="A2350" i="2" s="1"/>
  <c r="K2351" i="2"/>
  <c r="A2351" i="2" s="1"/>
  <c r="K2352" i="2"/>
  <c r="A2352" i="2" s="1"/>
  <c r="K2353" i="2"/>
  <c r="A2353" i="2" s="1"/>
  <c r="K2354" i="2"/>
  <c r="A2354" i="2" s="1"/>
  <c r="K2355" i="2"/>
  <c r="A2355" i="2" s="1"/>
  <c r="K2356" i="2"/>
  <c r="A2356" i="2" s="1"/>
  <c r="K2357" i="2"/>
  <c r="A2357" i="2" s="1"/>
  <c r="K2358" i="2"/>
  <c r="A2358" i="2" s="1"/>
  <c r="K2359" i="2"/>
  <c r="A2359" i="2" s="1"/>
  <c r="K2360" i="2"/>
  <c r="A2360" i="2" s="1"/>
  <c r="K2361" i="2"/>
  <c r="A2361" i="2" s="1"/>
  <c r="K2362" i="2"/>
  <c r="A2362" i="2" s="1"/>
  <c r="K2363" i="2"/>
  <c r="A2363" i="2" s="1"/>
  <c r="K2364" i="2"/>
  <c r="A2364" i="2" s="1"/>
  <c r="K2365" i="2"/>
  <c r="A2365" i="2" s="1"/>
  <c r="K2366" i="2"/>
  <c r="A2366" i="2" s="1"/>
  <c r="K2367" i="2"/>
  <c r="A2367" i="2" s="1"/>
  <c r="K2368" i="2"/>
  <c r="A2368" i="2" s="1"/>
  <c r="K2369" i="2"/>
  <c r="A2369" i="2" s="1"/>
  <c r="K2370" i="2"/>
  <c r="A2370" i="2" s="1"/>
  <c r="K2371" i="2"/>
  <c r="A2371" i="2" s="1"/>
  <c r="K2372" i="2"/>
  <c r="A2372" i="2" s="1"/>
  <c r="K2373" i="2"/>
  <c r="A2373" i="2" s="1"/>
  <c r="K2374" i="2"/>
  <c r="A2374" i="2" s="1"/>
  <c r="K2375" i="2"/>
  <c r="A2375" i="2" s="1"/>
  <c r="K2376" i="2"/>
  <c r="A2376" i="2" s="1"/>
  <c r="K2377" i="2"/>
  <c r="A2377" i="2" s="1"/>
  <c r="K2378" i="2"/>
  <c r="A2378" i="2" s="1"/>
  <c r="K2379" i="2"/>
  <c r="A2379" i="2" s="1"/>
  <c r="K2380" i="2"/>
  <c r="A2380" i="2" s="1"/>
  <c r="K2381" i="2"/>
  <c r="A2381" i="2" s="1"/>
  <c r="K2382" i="2"/>
  <c r="A2382" i="2" s="1"/>
  <c r="K2383" i="2"/>
  <c r="A2383" i="2" s="1"/>
  <c r="K2384" i="2"/>
  <c r="A2384" i="2" s="1"/>
  <c r="K2385" i="2"/>
  <c r="A2385" i="2" s="1"/>
  <c r="K2386" i="2"/>
  <c r="A2386" i="2" s="1"/>
  <c r="K2387" i="2"/>
  <c r="A2387" i="2" s="1"/>
  <c r="K2388" i="2"/>
  <c r="A2388" i="2" s="1"/>
  <c r="K2389" i="2"/>
  <c r="A2389" i="2" s="1"/>
  <c r="K2390" i="2"/>
  <c r="A2390" i="2" s="1"/>
  <c r="K2391" i="2"/>
  <c r="A2391" i="2" s="1"/>
  <c r="K2392" i="2"/>
  <c r="A2392" i="2" s="1"/>
  <c r="K2393" i="2"/>
  <c r="A2393" i="2" s="1"/>
  <c r="K2394" i="2"/>
  <c r="A2394" i="2" s="1"/>
  <c r="K2395" i="2"/>
  <c r="A2395" i="2" s="1"/>
  <c r="K2396" i="2"/>
  <c r="A2396" i="2" s="1"/>
  <c r="K2397" i="2"/>
  <c r="A2397" i="2" s="1"/>
  <c r="K2398" i="2"/>
  <c r="A2398" i="2" s="1"/>
  <c r="K2399" i="2"/>
  <c r="A2399" i="2" s="1"/>
  <c r="K2400" i="2"/>
  <c r="A2400" i="2" s="1"/>
  <c r="K2401" i="2"/>
  <c r="A2401" i="2" s="1"/>
  <c r="K2402" i="2"/>
  <c r="A2402" i="2" s="1"/>
  <c r="K2403" i="2"/>
  <c r="A2403" i="2" s="1"/>
  <c r="K2404" i="2"/>
  <c r="A2404" i="2" s="1"/>
  <c r="K2405" i="2"/>
  <c r="A2405" i="2" s="1"/>
  <c r="K2406" i="2"/>
  <c r="A2406" i="2" s="1"/>
  <c r="K2407" i="2"/>
  <c r="A2407" i="2" s="1"/>
  <c r="K2408" i="2"/>
  <c r="A2408" i="2" s="1"/>
  <c r="K2409" i="2"/>
  <c r="A2409" i="2" s="1"/>
  <c r="K2410" i="2"/>
  <c r="A2410" i="2" s="1"/>
  <c r="K2411" i="2"/>
  <c r="A2411" i="2" s="1"/>
  <c r="K2412" i="2"/>
  <c r="A2412" i="2" s="1"/>
  <c r="K2413" i="2"/>
  <c r="A2413" i="2" s="1"/>
  <c r="K2414" i="2"/>
  <c r="A2414" i="2" s="1"/>
  <c r="K2415" i="2"/>
  <c r="A2415" i="2" s="1"/>
  <c r="K2416" i="2"/>
  <c r="A2416" i="2" s="1"/>
  <c r="K2417" i="2"/>
  <c r="A2417" i="2" s="1"/>
  <c r="K2418" i="2"/>
  <c r="A2418" i="2" s="1"/>
  <c r="K2419" i="2"/>
  <c r="A2419" i="2" s="1"/>
  <c r="K2420" i="2"/>
  <c r="A2420" i="2" s="1"/>
  <c r="K2421" i="2"/>
  <c r="A2421" i="2" s="1"/>
  <c r="K2422" i="2"/>
  <c r="A2422" i="2" s="1"/>
  <c r="K2423" i="2"/>
  <c r="A2423" i="2" s="1"/>
  <c r="K2424" i="2"/>
  <c r="A2424" i="2" s="1"/>
  <c r="K2425" i="2"/>
  <c r="A2425" i="2" s="1"/>
  <c r="K2426" i="2"/>
  <c r="A2426" i="2" s="1"/>
  <c r="K2427" i="2"/>
  <c r="A2427" i="2" s="1"/>
  <c r="K2428" i="2"/>
  <c r="A2428" i="2" s="1"/>
  <c r="K2429" i="2"/>
  <c r="A2429" i="2" s="1"/>
  <c r="K2430" i="2"/>
  <c r="A2430" i="2" s="1"/>
  <c r="K2431" i="2"/>
  <c r="A2431" i="2" s="1"/>
  <c r="K2432" i="2"/>
  <c r="A2432" i="2" s="1"/>
  <c r="K2433" i="2"/>
  <c r="A2433" i="2" s="1"/>
  <c r="K2434" i="2"/>
  <c r="A2434" i="2" s="1"/>
  <c r="K2435" i="2"/>
  <c r="A2435" i="2" s="1"/>
  <c r="K2436" i="2"/>
  <c r="A2436" i="2" s="1"/>
  <c r="K2437" i="2"/>
  <c r="A2437" i="2" s="1"/>
  <c r="K2438" i="2"/>
  <c r="A2438" i="2" s="1"/>
  <c r="K2439" i="2"/>
  <c r="A2439" i="2" s="1"/>
  <c r="K2440" i="2"/>
  <c r="A2440" i="2" s="1"/>
  <c r="K2441" i="2"/>
  <c r="A2441" i="2" s="1"/>
  <c r="K2442" i="2"/>
  <c r="A2442" i="2" s="1"/>
  <c r="K2443" i="2"/>
  <c r="A2443" i="2" s="1"/>
  <c r="K2444" i="2"/>
  <c r="A2444" i="2" s="1"/>
  <c r="K2445" i="2"/>
  <c r="A2445" i="2" s="1"/>
  <c r="K2446" i="2"/>
  <c r="A2446" i="2" s="1"/>
  <c r="K2447" i="2"/>
  <c r="A2447" i="2" s="1"/>
  <c r="K2448" i="2"/>
  <c r="A2448" i="2" s="1"/>
  <c r="K2449" i="2"/>
  <c r="A2449" i="2" s="1"/>
  <c r="K2450" i="2"/>
  <c r="A2450" i="2" s="1"/>
  <c r="K2451" i="2"/>
  <c r="A2451" i="2" s="1"/>
  <c r="K2452" i="2"/>
  <c r="A2452" i="2" s="1"/>
  <c r="K2453" i="2"/>
  <c r="A2453" i="2" s="1"/>
  <c r="K2454" i="2"/>
  <c r="A2454" i="2" s="1"/>
  <c r="K2455" i="2"/>
  <c r="A2455" i="2" s="1"/>
  <c r="K2456" i="2"/>
  <c r="A2456" i="2" s="1"/>
  <c r="K2457" i="2"/>
  <c r="A2457" i="2" s="1"/>
  <c r="K2458" i="2"/>
  <c r="A2458" i="2" s="1"/>
  <c r="K2459" i="2"/>
  <c r="A2459" i="2" s="1"/>
  <c r="K2460" i="2"/>
  <c r="A2460" i="2" s="1"/>
  <c r="K2461" i="2"/>
  <c r="A2461" i="2" s="1"/>
  <c r="K2462" i="2"/>
  <c r="A2462" i="2" s="1"/>
  <c r="K2463" i="2"/>
  <c r="A2463" i="2" s="1"/>
  <c r="K2464" i="2"/>
  <c r="A2464" i="2" s="1"/>
  <c r="K2465" i="2"/>
  <c r="A2465" i="2" s="1"/>
  <c r="K2466" i="2"/>
  <c r="A2466" i="2" s="1"/>
  <c r="K2467" i="2"/>
  <c r="A2467" i="2" s="1"/>
  <c r="K2468" i="2"/>
  <c r="A2468" i="2" s="1"/>
  <c r="K2469" i="2"/>
  <c r="A2469" i="2" s="1"/>
  <c r="K2470" i="2"/>
  <c r="A2470" i="2" s="1"/>
  <c r="K2471" i="2"/>
  <c r="A2471" i="2" s="1"/>
  <c r="K2472" i="2"/>
  <c r="A2472" i="2" s="1"/>
  <c r="K2473" i="2"/>
  <c r="A2473" i="2" s="1"/>
  <c r="K2474" i="2"/>
  <c r="A2474" i="2" s="1"/>
  <c r="K2475" i="2"/>
  <c r="A2475" i="2" s="1"/>
  <c r="K2476" i="2"/>
  <c r="A2476" i="2" s="1"/>
  <c r="K2477" i="2"/>
  <c r="A2477" i="2" s="1"/>
  <c r="K2478" i="2"/>
  <c r="A2478" i="2" s="1"/>
  <c r="K2479" i="2"/>
  <c r="A2479" i="2" s="1"/>
  <c r="K2480" i="2"/>
  <c r="A2480" i="2" s="1"/>
  <c r="K2481" i="2"/>
  <c r="A2481" i="2" s="1"/>
  <c r="K2482" i="2"/>
  <c r="A2482" i="2" s="1"/>
  <c r="K2483" i="2"/>
  <c r="A2483" i="2" s="1"/>
  <c r="K2484" i="2"/>
  <c r="A2484" i="2" s="1"/>
  <c r="K2485" i="2"/>
  <c r="A2485" i="2" s="1"/>
  <c r="K2486" i="2"/>
  <c r="A2486" i="2" s="1"/>
  <c r="K2487" i="2"/>
  <c r="A2487" i="2" s="1"/>
  <c r="K2488" i="2"/>
  <c r="A2488" i="2" s="1"/>
  <c r="K2489" i="2"/>
  <c r="A2489" i="2" s="1"/>
  <c r="K2490" i="2"/>
  <c r="A2490" i="2" s="1"/>
  <c r="K2491" i="2"/>
  <c r="A2491" i="2" s="1"/>
  <c r="K2492" i="2"/>
  <c r="A2492" i="2" s="1"/>
  <c r="K2493" i="2"/>
  <c r="A2493" i="2" s="1"/>
  <c r="K2494" i="2"/>
  <c r="A2494" i="2" s="1"/>
  <c r="K2495" i="2"/>
  <c r="A2495" i="2" s="1"/>
  <c r="K2496" i="2"/>
  <c r="A2496" i="2" s="1"/>
  <c r="K2497" i="2"/>
  <c r="A2497" i="2" s="1"/>
  <c r="K2498" i="2"/>
  <c r="A2498" i="2" s="1"/>
  <c r="K2499" i="2"/>
  <c r="A2499" i="2" s="1"/>
  <c r="K2500" i="2"/>
  <c r="A2500" i="2" s="1"/>
  <c r="K2501" i="2"/>
  <c r="A2501" i="2" s="1"/>
  <c r="K2502" i="2"/>
  <c r="A2502" i="2" s="1"/>
  <c r="K2503" i="2"/>
  <c r="A2503" i="2" s="1"/>
  <c r="K2504" i="2"/>
  <c r="A2504" i="2" s="1"/>
  <c r="K2505" i="2"/>
  <c r="A2505" i="2" s="1"/>
  <c r="K2506" i="2"/>
  <c r="A2506" i="2" s="1"/>
  <c r="K2507" i="2"/>
  <c r="A2507" i="2" s="1"/>
  <c r="K2508" i="2"/>
  <c r="A2508" i="2" s="1"/>
  <c r="K2509" i="2"/>
  <c r="A2509" i="2" s="1"/>
  <c r="K2510" i="2"/>
  <c r="A2510" i="2" s="1"/>
  <c r="K2511" i="2"/>
  <c r="A2511" i="2" s="1"/>
  <c r="K2512" i="2"/>
  <c r="A2512" i="2" s="1"/>
  <c r="K2513" i="2"/>
  <c r="A2513" i="2" s="1"/>
  <c r="K2514" i="2"/>
  <c r="A2514" i="2" s="1"/>
  <c r="K2515" i="2"/>
  <c r="A2515" i="2" s="1"/>
  <c r="K2516" i="2"/>
  <c r="A2516" i="2" s="1"/>
  <c r="K2517" i="2"/>
  <c r="A2517" i="2" s="1"/>
  <c r="K2518" i="2"/>
  <c r="A2518" i="2" s="1"/>
  <c r="K2519" i="2"/>
  <c r="A2519" i="2" s="1"/>
  <c r="K2520" i="2"/>
  <c r="A2520" i="2" s="1"/>
  <c r="K2521" i="2"/>
  <c r="A2521" i="2" s="1"/>
  <c r="K2522" i="2"/>
  <c r="A2522" i="2" s="1"/>
  <c r="K2523" i="2"/>
  <c r="A2523" i="2" s="1"/>
  <c r="K2524" i="2"/>
  <c r="A2524" i="2" s="1"/>
  <c r="K2525" i="2"/>
  <c r="A2525" i="2" s="1"/>
  <c r="K2526" i="2"/>
  <c r="A2526" i="2" s="1"/>
  <c r="K2527" i="2"/>
  <c r="A2527" i="2" s="1"/>
  <c r="K2528" i="2"/>
  <c r="A2528" i="2" s="1"/>
  <c r="K2529" i="2"/>
  <c r="A2529" i="2" s="1"/>
  <c r="K2530" i="2"/>
  <c r="A2530" i="2" s="1"/>
  <c r="K2531" i="2"/>
  <c r="A2531" i="2" s="1"/>
  <c r="K2532" i="2"/>
  <c r="A2532" i="2" s="1"/>
  <c r="K2533" i="2"/>
  <c r="A2533" i="2" s="1"/>
  <c r="K2534" i="2"/>
  <c r="A2534" i="2" s="1"/>
  <c r="K2535" i="2"/>
  <c r="A2535" i="2" s="1"/>
  <c r="K2536" i="2"/>
  <c r="A2536" i="2" s="1"/>
  <c r="K2537" i="2"/>
  <c r="A2537" i="2" s="1"/>
  <c r="K2538" i="2"/>
  <c r="A2538" i="2" s="1"/>
  <c r="K2539" i="2"/>
  <c r="A2539" i="2" s="1"/>
  <c r="K2540" i="2"/>
  <c r="A2540" i="2" s="1"/>
  <c r="K2541" i="2"/>
  <c r="A2541" i="2" s="1"/>
  <c r="K2542" i="2"/>
  <c r="A2542" i="2" s="1"/>
  <c r="K2543" i="2"/>
  <c r="A2543" i="2" s="1"/>
  <c r="K2544" i="2"/>
  <c r="A2544" i="2" s="1"/>
  <c r="K2545" i="2"/>
  <c r="A2545" i="2" s="1"/>
  <c r="K2546" i="2"/>
  <c r="A2546" i="2" s="1"/>
  <c r="K2547" i="2"/>
  <c r="A2547" i="2" s="1"/>
  <c r="K2548" i="2"/>
  <c r="A2548" i="2" s="1"/>
  <c r="K2549" i="2"/>
  <c r="A2549" i="2" s="1"/>
  <c r="K2550" i="2"/>
  <c r="A2550" i="2" s="1"/>
  <c r="K2551" i="2"/>
  <c r="A2551" i="2" s="1"/>
  <c r="K2552" i="2"/>
  <c r="A2552" i="2" s="1"/>
  <c r="K2553" i="2"/>
  <c r="A2553" i="2" s="1"/>
  <c r="K2554" i="2"/>
  <c r="A2554" i="2" s="1"/>
  <c r="K2555" i="2"/>
  <c r="A2555" i="2" s="1"/>
  <c r="K2556" i="2"/>
  <c r="A2556" i="2" s="1"/>
  <c r="K2557" i="2"/>
  <c r="A2557" i="2" s="1"/>
  <c r="K2558" i="2"/>
  <c r="A2558" i="2" s="1"/>
  <c r="K2559" i="2"/>
  <c r="A2559" i="2" s="1"/>
  <c r="K2560" i="2"/>
  <c r="A2560" i="2" s="1"/>
  <c r="K2561" i="2"/>
  <c r="A2561" i="2" s="1"/>
  <c r="K2562" i="2"/>
  <c r="A2562" i="2" s="1"/>
  <c r="K2563" i="2"/>
  <c r="A2563" i="2" s="1"/>
  <c r="K2564" i="2"/>
  <c r="A2564" i="2" s="1"/>
  <c r="K2565" i="2"/>
  <c r="A2565" i="2" s="1"/>
  <c r="K2566" i="2"/>
  <c r="A2566" i="2" s="1"/>
  <c r="K2567" i="2"/>
  <c r="A2567" i="2" s="1"/>
  <c r="K2568" i="2"/>
  <c r="A2568" i="2" s="1"/>
  <c r="K2569" i="2"/>
  <c r="A2569" i="2" s="1"/>
  <c r="K2570" i="2"/>
  <c r="A2570" i="2" s="1"/>
  <c r="K2571" i="2"/>
  <c r="A2571" i="2" s="1"/>
  <c r="K2572" i="2"/>
  <c r="A2572" i="2" s="1"/>
  <c r="K2573" i="2"/>
  <c r="A2573" i="2" s="1"/>
  <c r="K2574" i="2"/>
  <c r="A2574" i="2" s="1"/>
  <c r="K2575" i="2"/>
  <c r="A2575" i="2" s="1"/>
  <c r="K2576" i="2"/>
  <c r="A2576" i="2" s="1"/>
  <c r="K2577" i="2"/>
  <c r="A2577" i="2" s="1"/>
  <c r="K2578" i="2"/>
  <c r="K2579" i="2"/>
  <c r="A2579" i="2" s="1"/>
  <c r="K2580" i="2"/>
  <c r="A2580" i="2" s="1"/>
  <c r="K2581" i="2"/>
  <c r="A2581" i="2" s="1"/>
  <c r="K2582" i="2"/>
  <c r="A2582" i="2" s="1"/>
  <c r="K2583" i="2"/>
  <c r="A2583" i="2" s="1"/>
  <c r="K2584" i="2"/>
  <c r="A2584" i="2" s="1"/>
  <c r="K2585" i="2"/>
  <c r="A2585" i="2" s="1"/>
  <c r="K2586" i="2"/>
  <c r="A2586" i="2" s="1"/>
  <c r="K2587" i="2"/>
  <c r="A2587" i="2" s="1"/>
  <c r="K2588" i="2"/>
  <c r="A2588" i="2" s="1"/>
  <c r="K2589" i="2"/>
  <c r="A2589" i="2" s="1"/>
  <c r="K2590" i="2"/>
  <c r="A2590" i="2" s="1"/>
  <c r="K2591" i="2"/>
  <c r="A2591" i="2" s="1"/>
  <c r="K2592" i="2"/>
  <c r="A2592" i="2" s="1"/>
  <c r="K2593" i="2"/>
  <c r="A2593" i="2" s="1"/>
  <c r="A1529" i="2" l="1"/>
  <c r="A2578" i="2"/>
  <c r="Q5" i="11"/>
  <c r="Q9" i="11"/>
  <c r="Q13" i="11"/>
  <c r="Q17" i="11"/>
  <c r="Q21" i="11"/>
  <c r="Q25" i="11"/>
  <c r="Q29" i="11"/>
  <c r="Q33" i="11"/>
  <c r="Q37" i="11"/>
  <c r="Q41" i="11"/>
  <c r="Q45" i="11"/>
  <c r="Q49" i="11"/>
  <c r="Q53" i="11"/>
  <c r="Q57" i="11"/>
  <c r="Q61" i="11"/>
  <c r="Q65" i="11"/>
  <c r="Q69" i="11"/>
  <c r="Q73" i="11"/>
  <c r="Q77" i="11"/>
  <c r="Q81" i="11"/>
  <c r="Q85" i="11"/>
  <c r="Q89" i="11"/>
  <c r="Q93" i="11"/>
  <c r="Q97" i="11"/>
  <c r="Q6" i="11"/>
  <c r="Q10" i="11"/>
  <c r="Q14" i="11"/>
  <c r="Q18" i="11"/>
  <c r="Q22" i="11"/>
  <c r="Q26" i="11"/>
  <c r="Q30" i="11"/>
  <c r="Q34" i="11"/>
  <c r="Q38" i="11"/>
  <c r="Q42" i="11"/>
  <c r="Q46" i="11"/>
  <c r="Q50" i="11"/>
  <c r="Q54" i="11"/>
  <c r="Q58" i="11"/>
  <c r="Q62" i="11"/>
  <c r="Q66" i="11"/>
  <c r="Q70" i="11"/>
  <c r="Q74" i="11"/>
  <c r="Q78" i="11"/>
  <c r="Q82" i="11"/>
  <c r="Q86" i="11"/>
  <c r="Q90" i="11"/>
  <c r="Q94" i="11"/>
  <c r="Q98" i="11"/>
  <c r="Q102" i="11"/>
  <c r="Q106" i="11"/>
  <c r="Q110" i="11"/>
  <c r="Q114" i="11"/>
  <c r="Q7" i="11"/>
  <c r="Q11" i="11"/>
  <c r="Q15" i="11"/>
  <c r="Q19" i="11"/>
  <c r="Q23" i="11"/>
  <c r="Q27" i="11"/>
  <c r="Q31" i="11"/>
  <c r="Q35" i="11"/>
  <c r="Q39" i="11"/>
  <c r="Q43" i="11"/>
  <c r="Q47" i="11"/>
  <c r="Q51" i="11"/>
  <c r="Q55" i="11"/>
  <c r="Q59" i="11"/>
  <c r="Q63" i="11"/>
  <c r="Q67" i="11"/>
  <c r="Q71" i="11"/>
  <c r="Q75" i="11"/>
  <c r="Q79" i="11"/>
  <c r="Q83" i="11"/>
  <c r="Q87" i="11"/>
  <c r="Q91" i="11"/>
  <c r="Q95" i="11"/>
  <c r="Q99" i="11"/>
  <c r="Q103" i="11"/>
  <c r="Q4" i="11"/>
  <c r="Q8" i="11"/>
  <c r="Q12" i="11"/>
  <c r="Q16" i="11"/>
  <c r="Q20" i="11"/>
  <c r="Q24" i="11"/>
  <c r="Q28" i="11"/>
  <c r="Q32" i="11"/>
  <c r="Q36" i="11"/>
  <c r="Q40" i="11"/>
  <c r="Q44" i="11"/>
  <c r="Q48" i="11"/>
  <c r="Q52" i="11"/>
  <c r="Q56" i="11"/>
  <c r="Q60" i="11"/>
  <c r="Q64" i="11"/>
  <c r="Q68" i="11"/>
  <c r="Q72" i="11"/>
  <c r="Q76" i="11"/>
  <c r="Q80" i="11"/>
  <c r="Q84" i="11"/>
  <c r="Q88" i="11"/>
  <c r="Q92" i="11"/>
  <c r="Q101" i="11"/>
  <c r="Q105" i="11"/>
  <c r="Q109" i="11"/>
  <c r="Q113" i="11"/>
  <c r="Q117" i="11"/>
  <c r="Q121" i="11"/>
  <c r="Q125" i="11"/>
  <c r="Q129" i="11"/>
  <c r="Q133" i="11"/>
  <c r="Q137" i="11"/>
  <c r="Q141" i="11"/>
  <c r="Q145" i="11"/>
  <c r="Q149" i="11"/>
  <c r="Q153" i="11"/>
  <c r="Q157" i="11"/>
  <c r="Q161" i="11"/>
  <c r="Q165" i="11"/>
  <c r="Q169" i="11"/>
  <c r="Q173" i="11"/>
  <c r="Q177" i="11"/>
  <c r="Q181" i="11"/>
  <c r="Q185" i="11"/>
  <c r="Q189" i="11"/>
  <c r="Q193" i="11"/>
  <c r="Q197" i="11"/>
  <c r="Q201" i="11"/>
  <c r="Q205" i="11"/>
  <c r="Q209" i="11"/>
  <c r="Q213" i="11"/>
  <c r="Q217" i="11"/>
  <c r="Q221" i="11"/>
  <c r="Q225" i="11"/>
  <c r="Q229" i="11"/>
  <c r="Q233" i="11"/>
  <c r="Q237" i="11"/>
  <c r="Q241" i="11"/>
  <c r="Q245" i="11"/>
  <c r="Q249" i="11"/>
  <c r="Q253" i="11"/>
  <c r="Q257" i="11"/>
  <c r="Q261" i="11"/>
  <c r="Q265" i="11"/>
  <c r="Q269" i="11"/>
  <c r="Q273" i="11"/>
  <c r="Q277" i="11"/>
  <c r="Q281" i="11"/>
  <c r="Q285" i="11"/>
  <c r="Q289" i="11"/>
  <c r="Q293" i="11"/>
  <c r="Q297" i="11"/>
  <c r="Q301" i="11"/>
  <c r="Q305" i="11"/>
  <c r="Q309" i="11"/>
  <c r="Q313" i="11"/>
  <c r="Q317" i="11"/>
  <c r="Q321" i="11"/>
  <c r="Q325" i="11"/>
  <c r="Q329" i="11"/>
  <c r="Q333" i="11"/>
  <c r="Q337" i="11"/>
  <c r="Q341" i="11"/>
  <c r="Q345" i="11"/>
  <c r="Q349" i="11"/>
  <c r="Q353" i="11"/>
  <c r="Q357" i="11"/>
  <c r="Q361" i="11"/>
  <c r="Q365" i="11"/>
  <c r="Q369" i="11"/>
  <c r="Q373" i="11"/>
  <c r="Q377" i="11"/>
  <c r="Q381" i="11"/>
  <c r="Q385" i="11"/>
  <c r="Q389" i="11"/>
  <c r="Q393" i="11"/>
  <c r="Q397" i="11"/>
  <c r="Q401" i="11"/>
  <c r="Q405" i="11"/>
  <c r="Q409" i="11"/>
  <c r="Q413" i="11"/>
  <c r="Q417" i="11"/>
  <c r="Q421" i="11"/>
  <c r="Q425" i="11"/>
  <c r="Q429" i="11"/>
  <c r="Q433" i="11"/>
  <c r="Q118" i="11"/>
  <c r="Q122" i="11"/>
  <c r="Q126" i="11"/>
  <c r="Q130" i="11"/>
  <c r="Q134" i="11"/>
  <c r="Q138" i="11"/>
  <c r="Q142" i="11"/>
  <c r="Q146" i="11"/>
  <c r="Q150" i="11"/>
  <c r="Q154" i="11"/>
  <c r="Q158" i="11"/>
  <c r="Q162" i="11"/>
  <c r="Q166" i="11"/>
  <c r="Q170" i="11"/>
  <c r="Q174" i="11"/>
  <c r="Q178" i="11"/>
  <c r="Q182" i="11"/>
  <c r="Q186" i="11"/>
  <c r="Q190" i="11"/>
  <c r="Q194" i="11"/>
  <c r="Q198" i="11"/>
  <c r="Q202" i="11"/>
  <c r="Q206" i="11"/>
  <c r="Q210" i="11"/>
  <c r="Q214" i="11"/>
  <c r="Q218" i="11"/>
  <c r="Q222" i="11"/>
  <c r="Q226" i="11"/>
  <c r="Q230" i="11"/>
  <c r="Q234" i="11"/>
  <c r="Q238" i="11"/>
  <c r="Q242" i="11"/>
  <c r="Q246" i="11"/>
  <c r="Q250" i="11"/>
  <c r="Q254" i="11"/>
  <c r="Q258" i="11"/>
  <c r="Q262" i="11"/>
  <c r="Q266" i="11"/>
  <c r="Q270" i="11"/>
  <c r="Q274" i="11"/>
  <c r="Q278" i="11"/>
  <c r="Q282" i="11"/>
  <c r="Q286" i="11"/>
  <c r="Q290" i="11"/>
  <c r="Q294" i="11"/>
  <c r="Q298" i="11"/>
  <c r="Q302" i="11"/>
  <c r="Q306" i="11"/>
  <c r="Q310" i="11"/>
  <c r="Q314" i="11"/>
  <c r="Q318" i="11"/>
  <c r="Q322" i="11"/>
  <c r="Q326" i="11"/>
  <c r="Q330" i="11"/>
  <c r="Q334" i="11"/>
  <c r="Q338" i="11"/>
  <c r="Q342" i="11"/>
  <c r="Q346" i="11"/>
  <c r="Q350" i="11"/>
  <c r="Q354" i="11"/>
  <c r="Q358" i="11"/>
  <c r="Q362" i="11"/>
  <c r="Q366" i="11"/>
  <c r="Q370" i="11"/>
  <c r="Q374" i="11"/>
  <c r="Q378" i="11"/>
  <c r="Q382" i="11"/>
  <c r="Q386" i="11"/>
  <c r="Q390" i="11"/>
  <c r="Q394" i="11"/>
  <c r="Q398" i="11"/>
  <c r="Q402" i="11"/>
  <c r="Q406" i="11"/>
  <c r="Q410" i="11"/>
  <c r="Q414" i="11"/>
  <c r="Q418" i="11"/>
  <c r="Q422" i="11"/>
  <c r="Q426" i="11"/>
  <c r="Q430" i="11"/>
  <c r="Q434" i="11"/>
  <c r="Q107" i="11"/>
  <c r="Q111" i="11"/>
  <c r="Q115" i="11"/>
  <c r="Q119" i="11"/>
  <c r="Q123" i="11"/>
  <c r="Q127" i="11"/>
  <c r="Q131" i="11"/>
  <c r="Q135" i="11"/>
  <c r="Q139" i="11"/>
  <c r="Q143" i="11"/>
  <c r="Q147" i="11"/>
  <c r="Q151" i="11"/>
  <c r="Q155" i="11"/>
  <c r="Q159" i="11"/>
  <c r="Q163" i="11"/>
  <c r="Q167" i="11"/>
  <c r="Q171" i="11"/>
  <c r="Q175" i="11"/>
  <c r="Q179" i="11"/>
  <c r="Q183" i="11"/>
  <c r="Q187" i="11"/>
  <c r="Q191" i="11"/>
  <c r="Q195" i="11"/>
  <c r="Q199" i="11"/>
  <c r="Q203" i="11"/>
  <c r="Q207" i="11"/>
  <c r="Q211" i="11"/>
  <c r="Q215" i="11"/>
  <c r="Q219" i="11"/>
  <c r="Q223" i="11"/>
  <c r="Q227" i="11"/>
  <c r="Q231" i="11"/>
  <c r="Q235" i="11"/>
  <c r="Q239" i="11"/>
  <c r="Q243" i="11"/>
  <c r="Q247" i="11"/>
  <c r="Q251" i="11"/>
  <c r="Q255" i="11"/>
  <c r="Q259" i="11"/>
  <c r="Q263" i="11"/>
  <c r="Q267" i="11"/>
  <c r="Q271" i="11"/>
  <c r="Q275" i="11"/>
  <c r="Q279" i="11"/>
  <c r="Q283" i="11"/>
  <c r="Q287" i="11"/>
  <c r="Q291" i="11"/>
  <c r="Q295" i="11"/>
  <c r="Q299" i="11"/>
  <c r="Q303" i="11"/>
  <c r="Q307" i="11"/>
  <c r="Q311" i="11"/>
  <c r="Q315" i="11"/>
  <c r="Q319" i="11"/>
  <c r="Q323" i="11"/>
  <c r="Q327" i="11"/>
  <c r="Q331" i="11"/>
  <c r="Q335" i="11"/>
  <c r="Q339" i="11"/>
  <c r="Q343" i="11"/>
  <c r="Q347" i="11"/>
  <c r="Q351" i="11"/>
  <c r="Q355" i="11"/>
  <c r="Q359" i="11"/>
  <c r="Q363" i="11"/>
  <c r="Q367" i="11"/>
  <c r="Q371" i="11"/>
  <c r="Q375" i="11"/>
  <c r="Q379" i="11"/>
  <c r="Q383" i="11"/>
  <c r="Q387" i="11"/>
  <c r="Q391" i="11"/>
  <c r="Q395" i="11"/>
  <c r="Q399" i="11"/>
  <c r="Q403" i="11"/>
  <c r="Q407" i="11"/>
  <c r="Q411" i="11"/>
  <c r="Q415" i="11"/>
  <c r="Q419" i="11"/>
  <c r="Q423" i="11"/>
  <c r="Q427" i="11"/>
  <c r="Q431" i="11"/>
  <c r="Q435" i="11"/>
  <c r="Q96" i="11"/>
  <c r="Q100" i="11"/>
  <c r="Q104" i="11"/>
  <c r="Q108" i="11"/>
  <c r="Q112" i="11"/>
  <c r="Q116" i="11"/>
  <c r="Q120" i="11"/>
  <c r="Q124" i="11"/>
  <c r="Q128" i="11"/>
  <c r="Q132" i="11"/>
  <c r="Q136" i="11"/>
  <c r="Q140" i="11"/>
  <c r="Q144" i="11"/>
  <c r="Q148" i="11"/>
  <c r="Q152" i="11"/>
  <c r="Q156" i="11"/>
  <c r="Q160" i="11"/>
  <c r="Q164" i="11"/>
  <c r="Q168" i="11"/>
  <c r="Q172" i="11"/>
  <c r="Q176" i="11"/>
  <c r="Q180" i="11"/>
  <c r="Q184" i="11"/>
  <c r="Q188" i="11"/>
  <c r="Q192" i="11"/>
  <c r="Q196" i="11"/>
  <c r="Q200" i="11"/>
  <c r="Q204" i="11"/>
  <c r="Q208" i="11"/>
  <c r="Q212" i="11"/>
  <c r="Q216" i="11"/>
  <c r="Q220" i="11"/>
  <c r="Q224" i="11"/>
  <c r="Q228" i="11"/>
  <c r="Q232" i="11"/>
  <c r="Q236" i="11"/>
  <c r="Q240" i="11"/>
  <c r="Q244" i="11"/>
  <c r="Q248" i="11"/>
  <c r="Q252" i="11"/>
  <c r="Q256" i="11"/>
  <c r="Q260" i="11"/>
  <c r="Q264" i="11"/>
  <c r="Q268" i="11"/>
  <c r="Q272" i="11"/>
  <c r="Q276" i="11"/>
  <c r="Q280" i="11"/>
  <c r="Q284" i="11"/>
  <c r="Q288" i="11"/>
  <c r="Q292" i="11"/>
  <c r="Q296" i="11"/>
  <c r="Q300" i="11"/>
  <c r="Q304" i="11"/>
  <c r="Q308" i="11"/>
  <c r="Q312" i="11"/>
  <c r="Q316" i="11"/>
  <c r="Q320" i="11"/>
  <c r="Q324" i="11"/>
  <c r="Q328" i="11"/>
  <c r="Q332" i="11"/>
  <c r="Q336" i="11"/>
  <c r="Q340" i="11"/>
  <c r="Q344" i="11"/>
  <c r="Q348" i="11"/>
  <c r="Q352" i="11"/>
  <c r="Q356" i="11"/>
  <c r="Q360" i="11"/>
  <c r="Q364" i="11"/>
  <c r="Q368" i="11"/>
  <c r="Q372" i="11"/>
  <c r="Q376" i="11"/>
  <c r="Q380" i="11"/>
  <c r="Q384" i="11"/>
  <c r="Q388" i="11"/>
  <c r="Q392" i="11"/>
  <c r="Q396" i="11"/>
  <c r="Q400" i="11"/>
  <c r="Q404" i="11"/>
  <c r="Q408" i="11"/>
  <c r="Q412" i="11"/>
  <c r="Q416" i="11"/>
  <c r="Q420" i="11"/>
  <c r="Q424" i="11"/>
  <c r="Q428" i="11"/>
  <c r="Q432" i="11"/>
  <c r="B150" i="12"/>
  <c r="A150" i="12" s="1"/>
  <c r="B293" i="12"/>
  <c r="A293" i="12" s="1"/>
  <c r="B4" i="12"/>
  <c r="A4" i="12" s="1"/>
  <c r="M2432" i="2"/>
  <c r="M2408" i="2"/>
  <c r="M2546" i="2"/>
  <c r="M2015" i="2"/>
  <c r="M2284" i="2"/>
  <c r="M2526" i="2"/>
  <c r="M2563" i="2"/>
  <c r="M2494" i="2"/>
  <c r="M2510" i="2"/>
  <c r="M2585" i="2"/>
  <c r="M2569" i="2"/>
  <c r="M2553" i="2"/>
  <c r="M2475" i="2"/>
  <c r="M2558" i="2"/>
  <c r="M2538" i="2"/>
  <c r="M1714" i="2"/>
  <c r="B364" i="12"/>
  <c r="A364" i="12" s="1"/>
  <c r="B292" i="12"/>
  <c r="A292" i="12" s="1"/>
  <c r="B76" i="12"/>
  <c r="A76" i="12" s="1"/>
  <c r="M2380" i="2"/>
  <c r="M2588" i="2"/>
  <c r="M2584" i="2"/>
  <c r="M2572" i="2"/>
  <c r="M2560" i="2"/>
  <c r="M2448" i="2"/>
  <c r="M2300" i="2"/>
  <c r="M2415" i="2"/>
  <c r="M2359" i="2"/>
  <c r="M2148" i="2"/>
  <c r="M2140" i="2"/>
  <c r="M2136" i="2"/>
  <c r="M2128" i="2"/>
  <c r="M2079" i="2"/>
  <c r="M1626" i="2"/>
  <c r="M1704" i="2"/>
  <c r="M1456" i="2"/>
  <c r="M1647" i="2"/>
  <c r="M2196" i="2"/>
  <c r="M2580" i="2"/>
  <c r="M2564" i="2"/>
  <c r="M2464" i="2"/>
  <c r="M2372" i="2"/>
  <c r="M2316" i="2"/>
  <c r="M2220" i="2"/>
  <c r="M2330" i="2"/>
  <c r="M2160" i="2"/>
  <c r="M2574" i="2"/>
  <c r="M2454" i="2"/>
  <c r="M2351" i="2"/>
  <c r="M2579" i="2"/>
  <c r="M2592" i="2"/>
  <c r="M2576" i="2"/>
  <c r="M2568" i="2"/>
  <c r="M2480" i="2"/>
  <c r="M2344" i="2"/>
  <c r="M2308" i="2"/>
  <c r="M2587" i="2"/>
  <c r="M2438" i="2"/>
  <c r="M2152" i="2"/>
  <c r="M2555" i="2"/>
  <c r="M2590" i="2"/>
  <c r="M2323" i="2"/>
  <c r="M2556" i="2"/>
  <c r="M2540" i="2"/>
  <c r="M2532" i="2"/>
  <c r="M2516" i="2"/>
  <c r="M2508" i="2"/>
  <c r="M2496" i="2"/>
  <c r="M2484" i="2"/>
  <c r="M2460" i="2"/>
  <c r="M2444" i="2"/>
  <c r="M2428" i="2"/>
  <c r="M2420" i="2"/>
  <c r="M2400" i="2"/>
  <c r="M2384" i="2"/>
  <c r="M2368" i="2"/>
  <c r="M2352" i="2"/>
  <c r="M2340" i="2"/>
  <c r="M2328" i="2"/>
  <c r="M2304" i="2"/>
  <c r="M2292" i="2"/>
  <c r="M2276" i="2"/>
  <c r="M2264" i="2"/>
  <c r="M2252" i="2"/>
  <c r="M2240" i="2"/>
  <c r="M2228" i="2"/>
  <c r="M2208" i="2"/>
  <c r="M2184" i="2"/>
  <c r="M2181" i="2"/>
  <c r="M2255" i="2"/>
  <c r="M2271" i="2"/>
  <c r="M2433" i="2"/>
  <c r="M2437" i="2"/>
  <c r="M2481" i="2"/>
  <c r="M2485" i="2"/>
  <c r="M2182" i="2"/>
  <c r="M2254" i="2"/>
  <c r="M2270" i="2"/>
  <c r="M2275" i="2"/>
  <c r="M2180" i="2"/>
  <c r="M2231" i="2"/>
  <c r="M2274" i="2"/>
  <c r="M2370" i="2"/>
  <c r="M2435" i="2"/>
  <c r="M2483" i="2"/>
  <c r="M2371" i="2"/>
  <c r="M2386" i="2"/>
  <c r="M2493" i="2"/>
  <c r="M2497" i="2"/>
  <c r="M2525" i="2"/>
  <c r="M2339" i="2"/>
  <c r="M2367" i="2"/>
  <c r="M2434" i="2"/>
  <c r="M2482" i="2"/>
  <c r="M2495" i="2"/>
  <c r="M2523" i="2"/>
  <c r="M2527" i="2"/>
  <c r="M2177" i="2"/>
  <c r="M2176" i="2"/>
  <c r="M2266" i="2"/>
  <c r="M2315" i="2"/>
  <c r="M2411" i="2"/>
  <c r="M2445" i="2"/>
  <c r="M2449" i="2"/>
  <c r="M2465" i="2"/>
  <c r="M2174" i="2"/>
  <c r="M2211" i="2"/>
  <c r="M2291" i="2"/>
  <c r="M2210" i="2"/>
  <c r="M2446" i="2"/>
  <c r="M2462" i="2"/>
  <c r="M2467" i="2"/>
  <c r="M2215" i="2"/>
  <c r="M2314" i="2"/>
  <c r="M2350" i="2"/>
  <c r="M2447" i="2"/>
  <c r="M2463" i="2"/>
  <c r="M2513" i="2"/>
  <c r="M2290" i="2"/>
  <c r="M2410" i="2"/>
  <c r="M2466" i="2"/>
  <c r="M2511" i="2"/>
  <c r="M2515" i="2"/>
  <c r="M2582" i="2"/>
  <c r="M2577" i="2"/>
  <c r="M2571" i="2"/>
  <c r="M2566" i="2"/>
  <c r="M2561" i="2"/>
  <c r="M2591" i="2"/>
  <c r="M2586" i="2"/>
  <c r="M2581" i="2"/>
  <c r="M2575" i="2"/>
  <c r="M2570" i="2"/>
  <c r="M2565" i="2"/>
  <c r="M2559" i="2"/>
  <c r="M2554" i="2"/>
  <c r="M2547" i="2"/>
  <c r="M2539" i="2"/>
  <c r="M2530" i="2"/>
  <c r="M2514" i="2"/>
  <c r="M2498" i="2"/>
  <c r="M2459" i="2"/>
  <c r="M2387" i="2"/>
  <c r="M2548" i="2"/>
  <c r="M2536" i="2"/>
  <c r="M2524" i="2"/>
  <c r="M2512" i="2"/>
  <c r="M2500" i="2"/>
  <c r="M2488" i="2"/>
  <c r="M2472" i="2"/>
  <c r="M2456" i="2"/>
  <c r="M2440" i="2"/>
  <c r="M2424" i="2"/>
  <c r="M2412" i="2"/>
  <c r="M2396" i="2"/>
  <c r="M2392" i="2"/>
  <c r="M2376" i="2"/>
  <c r="M2360" i="2"/>
  <c r="M2348" i="2"/>
  <c r="M2332" i="2"/>
  <c r="M2320" i="2"/>
  <c r="M2296" i="2"/>
  <c r="M2280" i="2"/>
  <c r="M2268" i="2"/>
  <c r="M2256" i="2"/>
  <c r="M2244" i="2"/>
  <c r="M2232" i="2"/>
  <c r="M2224" i="2"/>
  <c r="M2212" i="2"/>
  <c r="M2200" i="2"/>
  <c r="M2193" i="2"/>
  <c r="M2192" i="2"/>
  <c r="M2298" i="2"/>
  <c r="M2294" i="2"/>
  <c r="M2299" i="2"/>
  <c r="M2326" i="2"/>
  <c r="M2363" i="2"/>
  <c r="M2379" i="2"/>
  <c r="M2477" i="2"/>
  <c r="M2198" i="2"/>
  <c r="M2243" i="2"/>
  <c r="M2295" i="2"/>
  <c r="M2327" i="2"/>
  <c r="M2362" i="2"/>
  <c r="M2383" i="2"/>
  <c r="M2419" i="2"/>
  <c r="M2478" i="2"/>
  <c r="M2378" i="2"/>
  <c r="M2414" i="2"/>
  <c r="M2474" i="2"/>
  <c r="M2479" i="2"/>
  <c r="M2501" i="2"/>
  <c r="M2541" i="2"/>
  <c r="M2545" i="2"/>
  <c r="M2382" i="2"/>
  <c r="M2418" i="2"/>
  <c r="M2499" i="2"/>
  <c r="M2503" i="2"/>
  <c r="M2189" i="2"/>
  <c r="M2207" i="2"/>
  <c r="M2250" i="2"/>
  <c r="M2331" i="2"/>
  <c r="M2342" i="2"/>
  <c r="M2347" i="2"/>
  <c r="M2429" i="2"/>
  <c r="M2457" i="2"/>
  <c r="M2461" i="2"/>
  <c r="M2190" i="2"/>
  <c r="M2206" i="2"/>
  <c r="M2334" i="2"/>
  <c r="M2398" i="2"/>
  <c r="M2430" i="2"/>
  <c r="M2188" i="2"/>
  <c r="M2279" i="2"/>
  <c r="M2335" i="2"/>
  <c r="M2343" i="2"/>
  <c r="M2399" i="2"/>
  <c r="M2426" i="2"/>
  <c r="M2431" i="2"/>
  <c r="M2458" i="2"/>
  <c r="M2505" i="2"/>
  <c r="M2509" i="2"/>
  <c r="M2529" i="2"/>
  <c r="M2533" i="2"/>
  <c r="M2247" i="2"/>
  <c r="M2346" i="2"/>
  <c r="M2507" i="2"/>
  <c r="M2531" i="2"/>
  <c r="M2118" i="2"/>
  <c r="M2123" i="2"/>
  <c r="M2059" i="2"/>
  <c r="M2081" i="2"/>
  <c r="M2043" i="2"/>
  <c r="M2049" i="2"/>
  <c r="M2017" i="2"/>
  <c r="M2006" i="2"/>
  <c r="M2033" i="2"/>
  <c r="M1995" i="2"/>
  <c r="M1969" i="2"/>
  <c r="M1934" i="2"/>
  <c r="M1926" i="2"/>
  <c r="M1953" i="2"/>
  <c r="M1941" i="2"/>
  <c r="M1958" i="2"/>
  <c r="M1872" i="2"/>
  <c r="M1856" i="2"/>
  <c r="M1768" i="2"/>
  <c r="M1951" i="2"/>
  <c r="M2090" i="2"/>
  <c r="M2037" i="2"/>
  <c r="M2130" i="2"/>
  <c r="M2552" i="2"/>
  <c r="M2544" i="2"/>
  <c r="M2528" i="2"/>
  <c r="M2520" i="2"/>
  <c r="M2504" i="2"/>
  <c r="M2492" i="2"/>
  <c r="M2476" i="2"/>
  <c r="M2468" i="2"/>
  <c r="M2452" i="2"/>
  <c r="M2436" i="2"/>
  <c r="M2416" i="2"/>
  <c r="M2404" i="2"/>
  <c r="M2388" i="2"/>
  <c r="M2364" i="2"/>
  <c r="M2356" i="2"/>
  <c r="M2336" i="2"/>
  <c r="M2324" i="2"/>
  <c r="M2312" i="2"/>
  <c r="M2288" i="2"/>
  <c r="M2272" i="2"/>
  <c r="M2260" i="2"/>
  <c r="M2248" i="2"/>
  <c r="M2236" i="2"/>
  <c r="M2216" i="2"/>
  <c r="M2204" i="2"/>
  <c r="M2172" i="2"/>
  <c r="M2171" i="2"/>
  <c r="M2218" i="2"/>
  <c r="M2303" i="2"/>
  <c r="M2219" i="2"/>
  <c r="M2310" i="2"/>
  <c r="M2374" i="2"/>
  <c r="M2390" i="2"/>
  <c r="M2395" i="2"/>
  <c r="M2441" i="2"/>
  <c r="M2469" i="2"/>
  <c r="M2473" i="2"/>
  <c r="M2259" i="2"/>
  <c r="M2306" i="2"/>
  <c r="M2391" i="2"/>
  <c r="M2258" i="2"/>
  <c r="M2307" i="2"/>
  <c r="M2442" i="2"/>
  <c r="M2489" i="2"/>
  <c r="M2537" i="2"/>
  <c r="M2302" i="2"/>
  <c r="M2311" i="2"/>
  <c r="M2375" i="2"/>
  <c r="M2439" i="2"/>
  <c r="M2471" i="2"/>
  <c r="M2487" i="2"/>
  <c r="M2491" i="2"/>
  <c r="M2166" i="2"/>
  <c r="M2167" i="2"/>
  <c r="M2223" i="2"/>
  <c r="M2234" i="2"/>
  <c r="M2239" i="2"/>
  <c r="M2282" i="2"/>
  <c r="M2287" i="2"/>
  <c r="M2283" i="2"/>
  <c r="M2358" i="2"/>
  <c r="M2406" i="2"/>
  <c r="M2421" i="2"/>
  <c r="M2425" i="2"/>
  <c r="M2453" i="2"/>
  <c r="M2165" i="2"/>
  <c r="M2222" i="2"/>
  <c r="M2227" i="2"/>
  <c r="M2238" i="2"/>
  <c r="M2286" i="2"/>
  <c r="M2319" i="2"/>
  <c r="M2355" i="2"/>
  <c r="M2451" i="2"/>
  <c r="M2322" i="2"/>
  <c r="M2407" i="2"/>
  <c r="M2517" i="2"/>
  <c r="M2521" i="2"/>
  <c r="M2549" i="2"/>
  <c r="M2226" i="2"/>
  <c r="M2318" i="2"/>
  <c r="M2354" i="2"/>
  <c r="M2403" i="2"/>
  <c r="M2423" i="2"/>
  <c r="M2450" i="2"/>
  <c r="M2455" i="2"/>
  <c r="M2519" i="2"/>
  <c r="M2070" i="2"/>
  <c r="M2593" i="2"/>
  <c r="M2589" i="2"/>
  <c r="M2583" i="2"/>
  <c r="M2578" i="2"/>
  <c r="M2573" i="2"/>
  <c r="M2567" i="2"/>
  <c r="M2562" i="2"/>
  <c r="M2557" i="2"/>
  <c r="M2551" i="2"/>
  <c r="M2543" i="2"/>
  <c r="M2535" i="2"/>
  <c r="M2522" i="2"/>
  <c r="M2506" i="2"/>
  <c r="M2490" i="2"/>
  <c r="M2470" i="2"/>
  <c r="M2427" i="2"/>
  <c r="M2402" i="2"/>
  <c r="M2263" i="2"/>
  <c r="M2162" i="2"/>
  <c r="M1925" i="2"/>
  <c r="M2550" i="2"/>
  <c r="M2542" i="2"/>
  <c r="M2534" i="2"/>
  <c r="M2518" i="2"/>
  <c r="M2502" i="2"/>
  <c r="M2486" i="2"/>
  <c r="M2443" i="2"/>
  <c r="M2422" i="2"/>
  <c r="M2394" i="2"/>
  <c r="M2366" i="2"/>
  <c r="M2338" i="2"/>
  <c r="M2242" i="2"/>
  <c r="M2122" i="2"/>
  <c r="M2149" i="2"/>
  <c r="M2129" i="2"/>
  <c r="M2109" i="2"/>
  <c r="M2077" i="2"/>
  <c r="M2053" i="2"/>
  <c r="M1989" i="2"/>
  <c r="M1832" i="2"/>
  <c r="M1892" i="2"/>
  <c r="M1802" i="2"/>
  <c r="M1747" i="2"/>
  <c r="M1770" i="2"/>
  <c r="M1940" i="2"/>
  <c r="M2137" i="2"/>
  <c r="M1932" i="2"/>
  <c r="M1924" i="2"/>
  <c r="M1916" i="2"/>
  <c r="M2121" i="2"/>
  <c r="M1904" i="2"/>
  <c r="M2110" i="2"/>
  <c r="M2115" i="2"/>
  <c r="M1888" i="2"/>
  <c r="M1844" i="2"/>
  <c r="M1840" i="2"/>
  <c r="M2105" i="2"/>
  <c r="M1812" i="2"/>
  <c r="M2099" i="2"/>
  <c r="M2089" i="2"/>
  <c r="M1878" i="2"/>
  <c r="M1910" i="2"/>
  <c r="M1962" i="2"/>
  <c r="M2026" i="2"/>
  <c r="M2085" i="2"/>
  <c r="M2106" i="2"/>
  <c r="M2087" i="2"/>
  <c r="M1870" i="2"/>
  <c r="M2103" i="2"/>
  <c r="M2154" i="2"/>
  <c r="M1759" i="2"/>
  <c r="M1823" i="2"/>
  <c r="M2005" i="2"/>
  <c r="M2117" i="2"/>
  <c r="M2157" i="2"/>
  <c r="M1967" i="2"/>
  <c r="M2119" i="2"/>
  <c r="M2159" i="2"/>
  <c r="M2021" i="2"/>
  <c r="M2071" i="2"/>
  <c r="M2114" i="2"/>
  <c r="M2035" i="2"/>
  <c r="M2074" i="2"/>
  <c r="M2031" i="2"/>
  <c r="M1999" i="2"/>
  <c r="M2143" i="2"/>
  <c r="M1987" i="2"/>
  <c r="M1983" i="2"/>
  <c r="M2095" i="2"/>
  <c r="M2135" i="2"/>
  <c r="M1791" i="2"/>
  <c r="M1978" i="2"/>
  <c r="M2093" i="2"/>
  <c r="M2133" i="2"/>
  <c r="M2146" i="2"/>
  <c r="M1738" i="2"/>
  <c r="M1957" i="2"/>
  <c r="M2082" i="2"/>
  <c r="M2125" i="2"/>
  <c r="M1971" i="2"/>
  <c r="M2047" i="2"/>
  <c r="M2063" i="2"/>
  <c r="M2127" i="2"/>
  <c r="M2042" i="2"/>
  <c r="M2061" i="2"/>
  <c r="M1658" i="2"/>
  <c r="M1720" i="2"/>
  <c r="M1668" i="2"/>
  <c r="M1640" i="2"/>
  <c r="M1636" i="2"/>
  <c r="M1588" i="2"/>
  <c r="M1679" i="2"/>
  <c r="M1711" i="2"/>
  <c r="M1706" i="2"/>
  <c r="M1614" i="2"/>
  <c r="M1662" i="2"/>
  <c r="M1695" i="2"/>
  <c r="M1699" i="2"/>
  <c r="M1698" i="2"/>
  <c r="M1727" i="2"/>
  <c r="M1726" i="2"/>
  <c r="M1683" i="2"/>
  <c r="M2151" i="2"/>
  <c r="M2111" i="2"/>
  <c r="M2069" i="2"/>
  <c r="M1994" i="2"/>
  <c r="M1897" i="2"/>
  <c r="M1690" i="2"/>
  <c r="M2141" i="2"/>
  <c r="M2101" i="2"/>
  <c r="M2058" i="2"/>
  <c r="M1973" i="2"/>
  <c r="M2278" i="2"/>
  <c r="M2262" i="2"/>
  <c r="M2246" i="2"/>
  <c r="M2230" i="2"/>
  <c r="M2214" i="2"/>
  <c r="M2202" i="2"/>
  <c r="M2194" i="2"/>
  <c r="M2186" i="2"/>
  <c r="M2178" i="2"/>
  <c r="M2267" i="2"/>
  <c r="M2170" i="2"/>
  <c r="M2235" i="2"/>
  <c r="M2138" i="2"/>
  <c r="M2098" i="2"/>
  <c r="M2066" i="2"/>
  <c r="M2010" i="2"/>
  <c r="M1946" i="2"/>
  <c r="M1918" i="2"/>
  <c r="M2073" i="2"/>
  <c r="M2057" i="2"/>
  <c r="M2041" i="2"/>
  <c r="M2025" i="2"/>
  <c r="M2009" i="2"/>
  <c r="M1993" i="2"/>
  <c r="M1977" i="2"/>
  <c r="M1961" i="2"/>
  <c r="M1945" i="2"/>
  <c r="M1937" i="2"/>
  <c r="M1909" i="2"/>
  <c r="M1877" i="2"/>
  <c r="M2251" i="2"/>
  <c r="M2046" i="2"/>
  <c r="M2030" i="2"/>
  <c r="M2014" i="2"/>
  <c r="M1998" i="2"/>
  <c r="M1982" i="2"/>
  <c r="M1966" i="2"/>
  <c r="M1950" i="2"/>
  <c r="M1930" i="2"/>
  <c r="M1902" i="2"/>
  <c r="M1894" i="2"/>
  <c r="M1886" i="2"/>
  <c r="M1866" i="2"/>
  <c r="M1854" i="2"/>
  <c r="M1790" i="2"/>
  <c r="M2203" i="2"/>
  <c r="M2199" i="2"/>
  <c r="M2195" i="2"/>
  <c r="M2191" i="2"/>
  <c r="M2187" i="2"/>
  <c r="M2183" i="2"/>
  <c r="M2179" i="2"/>
  <c r="M2175" i="2"/>
  <c r="M2161" i="2"/>
  <c r="M2155" i="2"/>
  <c r="M2150" i="2"/>
  <c r="M2145" i="2"/>
  <c r="M2139" i="2"/>
  <c r="M2134" i="2"/>
  <c r="M2113" i="2"/>
  <c r="M2107" i="2"/>
  <c r="M2102" i="2"/>
  <c r="M2097" i="2"/>
  <c r="M2091" i="2"/>
  <c r="M2086" i="2"/>
  <c r="M2075" i="2"/>
  <c r="M2065" i="2"/>
  <c r="M2054" i="2"/>
  <c r="M2038" i="2"/>
  <c r="M2027" i="2"/>
  <c r="M2022" i="2"/>
  <c r="M2011" i="2"/>
  <c r="M2001" i="2"/>
  <c r="M1990" i="2"/>
  <c r="M1985" i="2"/>
  <c r="M1979" i="2"/>
  <c r="M1974" i="2"/>
  <c r="M1963" i="2"/>
  <c r="M1947" i="2"/>
  <c r="M1920" i="2"/>
  <c r="M1913" i="2"/>
  <c r="M1905" i="2"/>
  <c r="M1898" i="2"/>
  <c r="M1881" i="2"/>
  <c r="M1861" i="2"/>
  <c r="M1845" i="2"/>
  <c r="M1933" i="2"/>
  <c r="M1917" i="2"/>
  <c r="M1901" i="2"/>
  <c r="M1889" i="2"/>
  <c r="M1885" i="2"/>
  <c r="M1869" i="2"/>
  <c r="M1857" i="2"/>
  <c r="M1853" i="2"/>
  <c r="M1849" i="2"/>
  <c r="M1841" i="2"/>
  <c r="M1837" i="2"/>
  <c r="M1763" i="2"/>
  <c r="M1774" i="2"/>
  <c r="M2168" i="2"/>
  <c r="M2164" i="2"/>
  <c r="M2156" i="2"/>
  <c r="M2144" i="2"/>
  <c r="M2132" i="2"/>
  <c r="M2124" i="2"/>
  <c r="M2120" i="2"/>
  <c r="M2116" i="2"/>
  <c r="M2112" i="2"/>
  <c r="M2108" i="2"/>
  <c r="M2104" i="2"/>
  <c r="M2100" i="2"/>
  <c r="M2096" i="2"/>
  <c r="M2092" i="2"/>
  <c r="M2088" i="2"/>
  <c r="M2084" i="2"/>
  <c r="M2080" i="2"/>
  <c r="M2076" i="2"/>
  <c r="M2072" i="2"/>
  <c r="M2068" i="2"/>
  <c r="M2064" i="2"/>
  <c r="M2060" i="2"/>
  <c r="M2056" i="2"/>
  <c r="M2052" i="2"/>
  <c r="M2048" i="2"/>
  <c r="M2044" i="2"/>
  <c r="M2040" i="2"/>
  <c r="M2036" i="2"/>
  <c r="M2032" i="2"/>
  <c r="M2028" i="2"/>
  <c r="M2024" i="2"/>
  <c r="M2020" i="2"/>
  <c r="M2016" i="2"/>
  <c r="M2012" i="2"/>
  <c r="M2008" i="2"/>
  <c r="M2004" i="2"/>
  <c r="M2000" i="2"/>
  <c r="M1996" i="2"/>
  <c r="M1992" i="2"/>
  <c r="M1988" i="2"/>
  <c r="M1984" i="2"/>
  <c r="M1980" i="2"/>
  <c r="M1976" i="2"/>
  <c r="M1972" i="2"/>
  <c r="M1968" i="2"/>
  <c r="M1964" i="2"/>
  <c r="M1960" i="2"/>
  <c r="M1956" i="2"/>
  <c r="M1952" i="2"/>
  <c r="M1948" i="2"/>
  <c r="M1944" i="2"/>
  <c r="M1928" i="2"/>
  <c r="M1912" i="2"/>
  <c r="M1896" i="2"/>
  <c r="M1876" i="2"/>
  <c r="M1868" i="2"/>
  <c r="M1860" i="2"/>
  <c r="M1800" i="2"/>
  <c r="M1736" i="2"/>
  <c r="M1692" i="2"/>
  <c r="M1672" i="2"/>
  <c r="M1719" i="2"/>
  <c r="M2417" i="2"/>
  <c r="M2413" i="2"/>
  <c r="M2409" i="2"/>
  <c r="M2405" i="2"/>
  <c r="M2401" i="2"/>
  <c r="M2397" i="2"/>
  <c r="M2393" i="2"/>
  <c r="M2389" i="2"/>
  <c r="M2385" i="2"/>
  <c r="M2381" i="2"/>
  <c r="M2377" i="2"/>
  <c r="M2373" i="2"/>
  <c r="M2369" i="2"/>
  <c r="M2365" i="2"/>
  <c r="M2361" i="2"/>
  <c r="M2357" i="2"/>
  <c r="M2353" i="2"/>
  <c r="M2349" i="2"/>
  <c r="M2345" i="2"/>
  <c r="M2341" i="2"/>
  <c r="M2337" i="2"/>
  <c r="M2333" i="2"/>
  <c r="M2329" i="2"/>
  <c r="M2325" i="2"/>
  <c r="M2321" i="2"/>
  <c r="M2317" i="2"/>
  <c r="M2313" i="2"/>
  <c r="M2309" i="2"/>
  <c r="M2305" i="2"/>
  <c r="M2301" i="2"/>
  <c r="M2297" i="2"/>
  <c r="M2293" i="2"/>
  <c r="M2289" i="2"/>
  <c r="M2285" i="2"/>
  <c r="M2281" i="2"/>
  <c r="M2277" i="2"/>
  <c r="M2273" i="2"/>
  <c r="M2269" i="2"/>
  <c r="M2265" i="2"/>
  <c r="M2261" i="2"/>
  <c r="M2257" i="2"/>
  <c r="M2253" i="2"/>
  <c r="M2249" i="2"/>
  <c r="M2245" i="2"/>
  <c r="M2241" i="2"/>
  <c r="M2237" i="2"/>
  <c r="M2233" i="2"/>
  <c r="M2229" i="2"/>
  <c r="M2225" i="2"/>
  <c r="M2221" i="2"/>
  <c r="M2217" i="2"/>
  <c r="M2213" i="2"/>
  <c r="M2209" i="2"/>
  <c r="M2205" i="2"/>
  <c r="M2201" i="2"/>
  <c r="M2197" i="2"/>
  <c r="M2185" i="2"/>
  <c r="M2173" i="2"/>
  <c r="M2169" i="2"/>
  <c r="M2163" i="2"/>
  <c r="M2158" i="2"/>
  <c r="M2153" i="2"/>
  <c r="M2147" i="2"/>
  <c r="M2142" i="2"/>
  <c r="M2131" i="2"/>
  <c r="M2126" i="2"/>
  <c r="M2094" i="2"/>
  <c r="M2083" i="2"/>
  <c r="M2078" i="2"/>
  <c r="M2067" i="2"/>
  <c r="M2062" i="2"/>
  <c r="M2051" i="2"/>
  <c r="M2019" i="2"/>
  <c r="M2003" i="2"/>
  <c r="M1955" i="2"/>
  <c r="M2055" i="2"/>
  <c r="M2050" i="2"/>
  <c r="M2045" i="2"/>
  <c r="M2039" i="2"/>
  <c r="M2034" i="2"/>
  <c r="M2029" i="2"/>
  <c r="M2023" i="2"/>
  <c r="M2018" i="2"/>
  <c r="M2013" i="2"/>
  <c r="M2007" i="2"/>
  <c r="M2002" i="2"/>
  <c r="M1997" i="2"/>
  <c r="M1991" i="2"/>
  <c r="M1986" i="2"/>
  <c r="M1981" i="2"/>
  <c r="M1975" i="2"/>
  <c r="M1970" i="2"/>
  <c r="M1965" i="2"/>
  <c r="M1959" i="2"/>
  <c r="M1954" i="2"/>
  <c r="M1949" i="2"/>
  <c r="M1942" i="2"/>
  <c r="M1936" i="2"/>
  <c r="M1929" i="2"/>
  <c r="M1921" i="2"/>
  <c r="M1914" i="2"/>
  <c r="M1908" i="2"/>
  <c r="M1900" i="2"/>
  <c r="M1893" i="2"/>
  <c r="M1884" i="2"/>
  <c r="M1873" i="2"/>
  <c r="M1865" i="2"/>
  <c r="M1850" i="2"/>
  <c r="M1834" i="2"/>
  <c r="M1811" i="2"/>
  <c r="M1780" i="2"/>
  <c r="M1748" i="2"/>
  <c r="M1938" i="2"/>
  <c r="M1922" i="2"/>
  <c r="M1906" i="2"/>
  <c r="M1882" i="2"/>
  <c r="M1838" i="2"/>
  <c r="M1822" i="2"/>
  <c r="M1758" i="2"/>
  <c r="M1779" i="2"/>
  <c r="M1630" i="2"/>
  <c r="M1546" i="2"/>
  <c r="M1651" i="2"/>
  <c r="M1752" i="2"/>
  <c r="M1742" i="2"/>
  <c r="M1784" i="2"/>
  <c r="M1731" i="2"/>
  <c r="M1729" i="2"/>
  <c r="M1724" i="2"/>
  <c r="M1721" i="2"/>
  <c r="M1717" i="2"/>
  <c r="M1715" i="2"/>
  <c r="M1709" i="2"/>
  <c r="M1705" i="2"/>
  <c r="M1700" i="2"/>
  <c r="M1697" i="2"/>
  <c r="M1520" i="2"/>
  <c r="M1488" i="2"/>
  <c r="M1567" i="2"/>
  <c r="M1339" i="2"/>
  <c r="M1619" i="2"/>
  <c r="M1556" i="2"/>
  <c r="M1890" i="2"/>
  <c r="M1880" i="2"/>
  <c r="M1874" i="2"/>
  <c r="M1864" i="2"/>
  <c r="M1858" i="2"/>
  <c r="M1848" i="2"/>
  <c r="M1842" i="2"/>
  <c r="M1828" i="2"/>
  <c r="M1818" i="2"/>
  <c r="M1807" i="2"/>
  <c r="M1796" i="2"/>
  <c r="M1786" i="2"/>
  <c r="M1775" i="2"/>
  <c r="M1764" i="2"/>
  <c r="M1754" i="2"/>
  <c r="M1743" i="2"/>
  <c r="M1732" i="2"/>
  <c r="M1716" i="2"/>
  <c r="M1710" i="2"/>
  <c r="M1703" i="2"/>
  <c r="M1688" i="2"/>
  <c r="M1678" i="2"/>
  <c r="M1667" i="2"/>
  <c r="M1656" i="2"/>
  <c r="M1646" i="2"/>
  <c r="M1635" i="2"/>
  <c r="M1624" i="2"/>
  <c r="M1608" i="2"/>
  <c r="M1578" i="2"/>
  <c r="M1535" i="2"/>
  <c r="M1424" i="2"/>
  <c r="M1862" i="2"/>
  <c r="M1852" i="2"/>
  <c r="M1846" i="2"/>
  <c r="M1836" i="2"/>
  <c r="M1827" i="2"/>
  <c r="M1816" i="2"/>
  <c r="M1806" i="2"/>
  <c r="M1795" i="2"/>
  <c r="M1722" i="2"/>
  <c r="M1708" i="2"/>
  <c r="M1694" i="2"/>
  <c r="M1684" i="2"/>
  <c r="M1674" i="2"/>
  <c r="M1663" i="2"/>
  <c r="M1652" i="2"/>
  <c r="M1642" i="2"/>
  <c r="M1631" i="2"/>
  <c r="M1620" i="2"/>
  <c r="M1603" i="2"/>
  <c r="M1382" i="2"/>
  <c r="M1598" i="2"/>
  <c r="M1943" i="2"/>
  <c r="M1833" i="2"/>
  <c r="M1919" i="2"/>
  <c r="M1788" i="2"/>
  <c r="M1829" i="2"/>
  <c r="M1911" i="2"/>
  <c r="M1915" i="2"/>
  <c r="M1762" i="2"/>
  <c r="M1767" i="2"/>
  <c r="M1826" i="2"/>
  <c r="M1831" i="2"/>
  <c r="M1825" i="2"/>
  <c r="M1821" i="2"/>
  <c r="M1931" i="2"/>
  <c r="M1772" i="2"/>
  <c r="M1820" i="2"/>
  <c r="M1817" i="2"/>
  <c r="M1813" i="2"/>
  <c r="M1809" i="2"/>
  <c r="M1805" i="2"/>
  <c r="M1801" i="2"/>
  <c r="M1797" i="2"/>
  <c r="M1793" i="2"/>
  <c r="M1789" i="2"/>
  <c r="M1785" i="2"/>
  <c r="M1781" i="2"/>
  <c r="M1777" i="2"/>
  <c r="M1773" i="2"/>
  <c r="M1769" i="2"/>
  <c r="M1765" i="2"/>
  <c r="M1761" i="2"/>
  <c r="M1757" i="2"/>
  <c r="M1753" i="2"/>
  <c r="M1749" i="2"/>
  <c r="M1745" i="2"/>
  <c r="M1741" i="2"/>
  <c r="M1737" i="2"/>
  <c r="M1733" i="2"/>
  <c r="M1725" i="2"/>
  <c r="M1713" i="2"/>
  <c r="M1701" i="2"/>
  <c r="M1693" i="2"/>
  <c r="M1689" i="2"/>
  <c r="M1685" i="2"/>
  <c r="M1681" i="2"/>
  <c r="M1677" i="2"/>
  <c r="M1673" i="2"/>
  <c r="M1669" i="2"/>
  <c r="M1665" i="2"/>
  <c r="M1661" i="2"/>
  <c r="M1657" i="2"/>
  <c r="M1653" i="2"/>
  <c r="M1649" i="2"/>
  <c r="M1645" i="2"/>
  <c r="M1641" i="2"/>
  <c r="M1637" i="2"/>
  <c r="M1633" i="2"/>
  <c r="M1629" i="2"/>
  <c r="M1625" i="2"/>
  <c r="M1621" i="2"/>
  <c r="M1617" i="2"/>
  <c r="M1613" i="2"/>
  <c r="M1609" i="2"/>
  <c r="M1605" i="2"/>
  <c r="M1601" i="2"/>
  <c r="M1597" i="2"/>
  <c r="M1593" i="2"/>
  <c r="M1589" i="2"/>
  <c r="M1585" i="2"/>
  <c r="M1581" i="2"/>
  <c r="M1577" i="2"/>
  <c r="M1573" i="2"/>
  <c r="M1569" i="2"/>
  <c r="M1565" i="2"/>
  <c r="M1561" i="2"/>
  <c r="M1557" i="2"/>
  <c r="M1553" i="2"/>
  <c r="M1549" i="2"/>
  <c r="M1545" i="2"/>
  <c r="M1541" i="2"/>
  <c r="M1559" i="2"/>
  <c r="M1560" i="2"/>
  <c r="M1537" i="2"/>
  <c r="M1533" i="2"/>
  <c r="M1580" i="2"/>
  <c r="M1582" i="2"/>
  <c r="M1529" i="2"/>
  <c r="M1525" i="2"/>
  <c r="M1521" i="2"/>
  <c r="M1596" i="2"/>
  <c r="M1592" i="2"/>
  <c r="M1517" i="2"/>
  <c r="M1513" i="2"/>
  <c r="M1591" i="2"/>
  <c r="M1815" i="2"/>
  <c r="M1810" i="2"/>
  <c r="M1804" i="2"/>
  <c r="M1799" i="2"/>
  <c r="M1794" i="2"/>
  <c r="M1783" i="2"/>
  <c r="M1778" i="2"/>
  <c r="M1756" i="2"/>
  <c r="M1751" i="2"/>
  <c r="M1746" i="2"/>
  <c r="M1740" i="2"/>
  <c r="M1735" i="2"/>
  <c r="M1730" i="2"/>
  <c r="M1687" i="2"/>
  <c r="M1682" i="2"/>
  <c r="M1676" i="2"/>
  <c r="M1671" i="2"/>
  <c r="M1666" i="2"/>
  <c r="M1660" i="2"/>
  <c r="M1655" i="2"/>
  <c r="M1650" i="2"/>
  <c r="M1644" i="2"/>
  <c r="M1639" i="2"/>
  <c r="M1634" i="2"/>
  <c r="M1628" i="2"/>
  <c r="M1623" i="2"/>
  <c r="M1618" i="2"/>
  <c r="M1612" i="2"/>
  <c r="M1607" i="2"/>
  <c r="M1602" i="2"/>
  <c r="M1595" i="2"/>
  <c r="M1584" i="2"/>
  <c r="M1574" i="2"/>
  <c r="M1563" i="2"/>
  <c r="M1552" i="2"/>
  <c r="M1542" i="2"/>
  <c r="M1531" i="2"/>
  <c r="M1508" i="2"/>
  <c r="M1476" i="2"/>
  <c r="M1444" i="2"/>
  <c r="M1408" i="2"/>
  <c r="M1366" i="2"/>
  <c r="M1323" i="2"/>
  <c r="M1939" i="2"/>
  <c r="M1935" i="2"/>
  <c r="M1927" i="2"/>
  <c r="M1923" i="2"/>
  <c r="M1907" i="2"/>
  <c r="M1903" i="2"/>
  <c r="M1899" i="2"/>
  <c r="M1895" i="2"/>
  <c r="M1891" i="2"/>
  <c r="M1887" i="2"/>
  <c r="M1883" i="2"/>
  <c r="M1879" i="2"/>
  <c r="M1875" i="2"/>
  <c r="M1871" i="2"/>
  <c r="M1867" i="2"/>
  <c r="M1863" i="2"/>
  <c r="M1859" i="2"/>
  <c r="M1855" i="2"/>
  <c r="M1851" i="2"/>
  <c r="M1847" i="2"/>
  <c r="M1843" i="2"/>
  <c r="M1839" i="2"/>
  <c r="M1835" i="2"/>
  <c r="M1830" i="2"/>
  <c r="M1824" i="2"/>
  <c r="M1819" i="2"/>
  <c r="M1814" i="2"/>
  <c r="M1808" i="2"/>
  <c r="M1803" i="2"/>
  <c r="M1798" i="2"/>
  <c r="M1792" i="2"/>
  <c r="M1787" i="2"/>
  <c r="M1782" i="2"/>
  <c r="M1776" i="2"/>
  <c r="M1771" i="2"/>
  <c r="M1766" i="2"/>
  <c r="M1760" i="2"/>
  <c r="M1755" i="2"/>
  <c r="M1750" i="2"/>
  <c r="M1744" i="2"/>
  <c r="M1739" i="2"/>
  <c r="M1734" i="2"/>
  <c r="M1728" i="2"/>
  <c r="M1723" i="2"/>
  <c r="M1718" i="2"/>
  <c r="M1712" i="2"/>
  <c r="M1707" i="2"/>
  <c r="M1702" i="2"/>
  <c r="M1696" i="2"/>
  <c r="M1691" i="2"/>
  <c r="M1686" i="2"/>
  <c r="M1680" i="2"/>
  <c r="M1675" i="2"/>
  <c r="M1670" i="2"/>
  <c r="M1664" i="2"/>
  <c r="M1659" i="2"/>
  <c r="M1654" i="2"/>
  <c r="M1648" i="2"/>
  <c r="M1643" i="2"/>
  <c r="M1638" i="2"/>
  <c r="M1632" i="2"/>
  <c r="M1627" i="2"/>
  <c r="M1622" i="2"/>
  <c r="M1616" i="2"/>
  <c r="M1611" i="2"/>
  <c r="M1606" i="2"/>
  <c r="M1600" i="2"/>
  <c r="M1594" i="2"/>
  <c r="M1583" i="2"/>
  <c r="M1572" i="2"/>
  <c r="M1562" i="2"/>
  <c r="M1551" i="2"/>
  <c r="M1540" i="2"/>
  <c r="M1530" i="2"/>
  <c r="M1504" i="2"/>
  <c r="M1472" i="2"/>
  <c r="M1440" i="2"/>
  <c r="M1403" i="2"/>
  <c r="M1360" i="2"/>
  <c r="M1318" i="2"/>
  <c r="M1615" i="2"/>
  <c r="M1610" i="2"/>
  <c r="M1604" i="2"/>
  <c r="M1599" i="2"/>
  <c r="M1590" i="2"/>
  <c r="M1579" i="2"/>
  <c r="M1568" i="2"/>
  <c r="M1558" i="2"/>
  <c r="M1547" i="2"/>
  <c r="M1536" i="2"/>
  <c r="M1524" i="2"/>
  <c r="M1492" i="2"/>
  <c r="M1460" i="2"/>
  <c r="M1428" i="2"/>
  <c r="M1387" i="2"/>
  <c r="M1344" i="2"/>
  <c r="M1509" i="2"/>
  <c r="M1505" i="2"/>
  <c r="M1501" i="2"/>
  <c r="M1497" i="2"/>
  <c r="M1493" i="2"/>
  <c r="M1489" i="2"/>
  <c r="M1485" i="2"/>
  <c r="M1481" i="2"/>
  <c r="M1477" i="2"/>
  <c r="M1473" i="2"/>
  <c r="M1469" i="2"/>
  <c r="M1465" i="2"/>
  <c r="M1461" i="2"/>
  <c r="M1457" i="2"/>
  <c r="M1453" i="2"/>
  <c r="M1449" i="2"/>
  <c r="M1445" i="2"/>
  <c r="M1441" i="2"/>
  <c r="M1437" i="2"/>
  <c r="M1433" i="2"/>
  <c r="M1429" i="2"/>
  <c r="M1425" i="2"/>
  <c r="M1330" i="2"/>
  <c r="M1367" i="2"/>
  <c r="M1378" i="2"/>
  <c r="M1415" i="2"/>
  <c r="M1331" i="2"/>
  <c r="M1368" i="2"/>
  <c r="M1379" i="2"/>
  <c r="M1416" i="2"/>
  <c r="M1450" i="2"/>
  <c r="M1498" i="2"/>
  <c r="M1522" i="2"/>
  <c r="M1332" i="2"/>
  <c r="M1364" i="2"/>
  <c r="M1380" i="2"/>
  <c r="M1412" i="2"/>
  <c r="M1451" i="2"/>
  <c r="M1499" i="2"/>
  <c r="M1523" i="2"/>
  <c r="M1324" i="2"/>
  <c r="M1356" i="2"/>
  <c r="M1383" i="2"/>
  <c r="M1326" i="2"/>
  <c r="M1352" i="2"/>
  <c r="M1384" i="2"/>
  <c r="M1430" i="2"/>
  <c r="M1434" i="2"/>
  <c r="M1462" i="2"/>
  <c r="M1486" i="2"/>
  <c r="M1322" i="2"/>
  <c r="M1327" i="2"/>
  <c r="M1354" i="2"/>
  <c r="M1386" i="2"/>
  <c r="M1431" i="2"/>
  <c r="M1435" i="2"/>
  <c r="M1463" i="2"/>
  <c r="M1487" i="2"/>
  <c r="M1319" i="2"/>
  <c r="M1362" i="2"/>
  <c r="M1372" i="2"/>
  <c r="M1410" i="2"/>
  <c r="M1320" i="2"/>
  <c r="M1358" i="2"/>
  <c r="M1363" i="2"/>
  <c r="M1374" i="2"/>
  <c r="M1406" i="2"/>
  <c r="M1411" i="2"/>
  <c r="M1466" i="2"/>
  <c r="M1470" i="2"/>
  <c r="M1490" i="2"/>
  <c r="M1494" i="2"/>
  <c r="M1316" i="2"/>
  <c r="M1359" i="2"/>
  <c r="M1370" i="2"/>
  <c r="M1375" i="2"/>
  <c r="M1407" i="2"/>
  <c r="M1467" i="2"/>
  <c r="M1471" i="2"/>
  <c r="M1491" i="2"/>
  <c r="M1495" i="2"/>
  <c r="M1527" i="2"/>
  <c r="M1314" i="2"/>
  <c r="M1335" i="2"/>
  <c r="M1388" i="2"/>
  <c r="M1310" i="2"/>
  <c r="M1315" i="2"/>
  <c r="M1336" i="2"/>
  <c r="M1390" i="2"/>
  <c r="M1438" i="2"/>
  <c r="M1474" i="2"/>
  <c r="M1510" i="2"/>
  <c r="M1514" i="2"/>
  <c r="M1518" i="2"/>
  <c r="M1311" i="2"/>
  <c r="M1338" i="2"/>
  <c r="M1391" i="2"/>
  <c r="M1439" i="2"/>
  <c r="M1475" i="2"/>
  <c r="M1511" i="2"/>
  <c r="M1515" i="2"/>
  <c r="M1519" i="2"/>
  <c r="M1308" i="2"/>
  <c r="M1346" i="2"/>
  <c r="M1351" i="2"/>
  <c r="M1404" i="2"/>
  <c r="M1347" i="2"/>
  <c r="M1400" i="2"/>
  <c r="M1426" i="2"/>
  <c r="M1454" i="2"/>
  <c r="M1458" i="2"/>
  <c r="M1502" i="2"/>
  <c r="M1506" i="2"/>
  <c r="M1306" i="2"/>
  <c r="M1348" i="2"/>
  <c r="M1402" i="2"/>
  <c r="M1427" i="2"/>
  <c r="M1455" i="2"/>
  <c r="M1459" i="2"/>
  <c r="M1503" i="2"/>
  <c r="M1507" i="2"/>
  <c r="M1340" i="2"/>
  <c r="M1394" i="2"/>
  <c r="M1399" i="2"/>
  <c r="M1420" i="2"/>
  <c r="M1342" i="2"/>
  <c r="M1395" i="2"/>
  <c r="M1422" i="2"/>
  <c r="M1442" i="2"/>
  <c r="M1446" i="2"/>
  <c r="M1478" i="2"/>
  <c r="M1482" i="2"/>
  <c r="M1343" i="2"/>
  <c r="M1396" i="2"/>
  <c r="M1418" i="2"/>
  <c r="M1423" i="2"/>
  <c r="M1443" i="2"/>
  <c r="M1447" i="2"/>
  <c r="M1479" i="2"/>
  <c r="M1483" i="2"/>
  <c r="M1587" i="2"/>
  <c r="M1576" i="2"/>
  <c r="M1571" i="2"/>
  <c r="M1566" i="2"/>
  <c r="M1555" i="2"/>
  <c r="M1550" i="2"/>
  <c r="M1544" i="2"/>
  <c r="M1539" i="2"/>
  <c r="M1534" i="2"/>
  <c r="M1528" i="2"/>
  <c r="M1516" i="2"/>
  <c r="M1500" i="2"/>
  <c r="M1484" i="2"/>
  <c r="M1468" i="2"/>
  <c r="M1452" i="2"/>
  <c r="M1436" i="2"/>
  <c r="M1419" i="2"/>
  <c r="M1398" i="2"/>
  <c r="M1376" i="2"/>
  <c r="M1355" i="2"/>
  <c r="M1334" i="2"/>
  <c r="M1312" i="2"/>
  <c r="M1586" i="2"/>
  <c r="M1575" i="2"/>
  <c r="M1570" i="2"/>
  <c r="M1564" i="2"/>
  <c r="M1554" i="2"/>
  <c r="M1548" i="2"/>
  <c r="M1543" i="2"/>
  <c r="M1538" i="2"/>
  <c r="M1532" i="2"/>
  <c r="M1526" i="2"/>
  <c r="M1512" i="2"/>
  <c r="M1496" i="2"/>
  <c r="M1480" i="2"/>
  <c r="M1464" i="2"/>
  <c r="M1448" i="2"/>
  <c r="M1432" i="2"/>
  <c r="M1414" i="2"/>
  <c r="M1392" i="2"/>
  <c r="M1371" i="2"/>
  <c r="M1350" i="2"/>
  <c r="M1328" i="2"/>
  <c r="M1307" i="2"/>
  <c r="L2590" i="2"/>
  <c r="L2586" i="2"/>
  <c r="L2578" i="2"/>
  <c r="L2574" i="2"/>
  <c r="L2566" i="2"/>
  <c r="L2562" i="2"/>
  <c r="L2158" i="2"/>
  <c r="L2154" i="2"/>
  <c r="L2146" i="2"/>
  <c r="L2142" i="2"/>
  <c r="L2134" i="2"/>
  <c r="L2130" i="2"/>
  <c r="L1726" i="2"/>
  <c r="L1722" i="2"/>
  <c r="L1714" i="2"/>
  <c r="L1710" i="2"/>
  <c r="L1702" i="2"/>
  <c r="L1698" i="2"/>
  <c r="L2593" i="2"/>
  <c r="L2589" i="2"/>
  <c r="L2585" i="2"/>
  <c r="L2581" i="2"/>
  <c r="L2577" i="2"/>
  <c r="L2573" i="2"/>
  <c r="L2569" i="2"/>
  <c r="L2565" i="2"/>
  <c r="L2561" i="2"/>
  <c r="L2557" i="2"/>
  <c r="L2553" i="2"/>
  <c r="L2549" i="2"/>
  <c r="L2545" i="2"/>
  <c r="L2541" i="2"/>
  <c r="L2537" i="2"/>
  <c r="L2533" i="2"/>
  <c r="L2529" i="2"/>
  <c r="L2525" i="2"/>
  <c r="L2521" i="2"/>
  <c r="L2517" i="2"/>
  <c r="L2513" i="2"/>
  <c r="L2509" i="2"/>
  <c r="L2505" i="2"/>
  <c r="L2501" i="2"/>
  <c r="L2497" i="2"/>
  <c r="L2493" i="2"/>
  <c r="L2489" i="2"/>
  <c r="L2485" i="2"/>
  <c r="L2481" i="2"/>
  <c r="L2477" i="2"/>
  <c r="L2473" i="2"/>
  <c r="L2469" i="2"/>
  <c r="L2465" i="2"/>
  <c r="L2461" i="2"/>
  <c r="L2457" i="2"/>
  <c r="L2453" i="2"/>
  <c r="L2449" i="2"/>
  <c r="L2445" i="2"/>
  <c r="L2441" i="2"/>
  <c r="L2437" i="2"/>
  <c r="L2433" i="2"/>
  <c r="L2429" i="2"/>
  <c r="L2425" i="2"/>
  <c r="L2421" i="2"/>
  <c r="L2417" i="2"/>
  <c r="L2413" i="2"/>
  <c r="L2409" i="2"/>
  <c r="L2405" i="2"/>
  <c r="L2401" i="2"/>
  <c r="L2397" i="2"/>
  <c r="L2393" i="2"/>
  <c r="L2389" i="2"/>
  <c r="L2385" i="2"/>
  <c r="L2381" i="2"/>
  <c r="L2377" i="2"/>
  <c r="L2373" i="2"/>
  <c r="L2369" i="2"/>
  <c r="L2365" i="2"/>
  <c r="L2361" i="2"/>
  <c r="L2357" i="2"/>
  <c r="L2353" i="2"/>
  <c r="L2349" i="2"/>
  <c r="L2345" i="2"/>
  <c r="L2341" i="2"/>
  <c r="L2337" i="2"/>
  <c r="L2333" i="2"/>
  <c r="L2329" i="2"/>
  <c r="L2325" i="2"/>
  <c r="L2321" i="2"/>
  <c r="L2317" i="2"/>
  <c r="L2313" i="2"/>
  <c r="L2309" i="2"/>
  <c r="L2305" i="2"/>
  <c r="L2301" i="2"/>
  <c r="L2297" i="2"/>
  <c r="L2293" i="2"/>
  <c r="L2289" i="2"/>
  <c r="L2285" i="2"/>
  <c r="L2281" i="2"/>
  <c r="L2277" i="2"/>
  <c r="L2273" i="2"/>
  <c r="L2269" i="2"/>
  <c r="L2265" i="2"/>
  <c r="L2261" i="2"/>
  <c r="L2257" i="2"/>
  <c r="L2253" i="2"/>
  <c r="L2249" i="2"/>
  <c r="L2245" i="2"/>
  <c r="L2241" i="2"/>
  <c r="L2237" i="2"/>
  <c r="L2233" i="2"/>
  <c r="L2229" i="2"/>
  <c r="L2225" i="2"/>
  <c r="L2221" i="2"/>
  <c r="L2217" i="2"/>
  <c r="L2213" i="2"/>
  <c r="L2209" i="2"/>
  <c r="L2205" i="2"/>
  <c r="L2201" i="2"/>
  <c r="L2197" i="2"/>
  <c r="L2193" i="2"/>
  <c r="L2189" i="2"/>
  <c r="L2185" i="2"/>
  <c r="L2181" i="2"/>
  <c r="L2177" i="2"/>
  <c r="L2173" i="2"/>
  <c r="L2169" i="2"/>
  <c r="L2165" i="2"/>
  <c r="L2161" i="2"/>
  <c r="L2157" i="2"/>
  <c r="L2153" i="2"/>
  <c r="L2149" i="2"/>
  <c r="L2145" i="2"/>
  <c r="L2141" i="2"/>
  <c r="L2137" i="2"/>
  <c r="L2133" i="2"/>
  <c r="L2129" i="2"/>
  <c r="L2125" i="2"/>
  <c r="L2121" i="2"/>
  <c r="L2117" i="2"/>
  <c r="L2113" i="2"/>
  <c r="L2109" i="2"/>
  <c r="L2105" i="2"/>
  <c r="L2101" i="2"/>
  <c r="L2097" i="2"/>
  <c r="L2093" i="2"/>
  <c r="L2089" i="2"/>
  <c r="L2085" i="2"/>
  <c r="L2081" i="2"/>
  <c r="L2077" i="2"/>
  <c r="L2073" i="2"/>
  <c r="L2069" i="2"/>
  <c r="L2065" i="2"/>
  <c r="L2061" i="2"/>
  <c r="L2057" i="2"/>
  <c r="L2053" i="2"/>
  <c r="L2049" i="2"/>
  <c r="L2045" i="2"/>
  <c r="L2041" i="2"/>
  <c r="L2037" i="2"/>
  <c r="L2033" i="2"/>
  <c r="L2029" i="2"/>
  <c r="L2025" i="2"/>
  <c r="L2021" i="2"/>
  <c r="L2017" i="2"/>
  <c r="L2013" i="2"/>
  <c r="L2009" i="2"/>
  <c r="L2005" i="2"/>
  <c r="L2001" i="2"/>
  <c r="L1997" i="2"/>
  <c r="L1993" i="2"/>
  <c r="L1989" i="2"/>
  <c r="L1985" i="2"/>
  <c r="L1981" i="2"/>
  <c r="L1977" i="2"/>
  <c r="L1973" i="2"/>
  <c r="L1969" i="2"/>
  <c r="L1965" i="2"/>
  <c r="L1961" i="2"/>
  <c r="L1957" i="2"/>
  <c r="L1953" i="2"/>
  <c r="L1949" i="2"/>
  <c r="L1945" i="2"/>
  <c r="L1941" i="2"/>
  <c r="L1937" i="2"/>
  <c r="L1933" i="2"/>
  <c r="L1449" i="2"/>
  <c r="L1417" i="2"/>
  <c r="L1385" i="2"/>
  <c r="L1321" i="2"/>
  <c r="L2592" i="2"/>
  <c r="L2588" i="2"/>
  <c r="L2584" i="2"/>
  <c r="L2580" i="2"/>
  <c r="L2576" i="2"/>
  <c r="L2572" i="2"/>
  <c r="L2568" i="2"/>
  <c r="L2564" i="2"/>
  <c r="L2560" i="2"/>
  <c r="L2556" i="2"/>
  <c r="L2552" i="2"/>
  <c r="L2548" i="2"/>
  <c r="L2544" i="2"/>
  <c r="L2540" i="2"/>
  <c r="L2536" i="2"/>
  <c r="L2532" i="2"/>
  <c r="L2528" i="2"/>
  <c r="L2524" i="2"/>
  <c r="L2520" i="2"/>
  <c r="L2516" i="2"/>
  <c r="L2512" i="2"/>
  <c r="L2508" i="2"/>
  <c r="L2504" i="2"/>
  <c r="L2500" i="2"/>
  <c r="L2496" i="2"/>
  <c r="L2492" i="2"/>
  <c r="L2488" i="2"/>
  <c r="L2484" i="2"/>
  <c r="L2480" i="2"/>
  <c r="L2476" i="2"/>
  <c r="L2472" i="2"/>
  <c r="L2468" i="2"/>
  <c r="L2464" i="2"/>
  <c r="L2460" i="2"/>
  <c r="L2456" i="2"/>
  <c r="L2452" i="2"/>
  <c r="L2448" i="2"/>
  <c r="L2444" i="2"/>
  <c r="L2440" i="2"/>
  <c r="L2436" i="2"/>
  <c r="L2432" i="2"/>
  <c r="L2428" i="2"/>
  <c r="L2424" i="2"/>
  <c r="L2420" i="2"/>
  <c r="L2416" i="2"/>
  <c r="L2412" i="2"/>
  <c r="L2408" i="2"/>
  <c r="L2404" i="2"/>
  <c r="L2400" i="2"/>
  <c r="L2396" i="2"/>
  <c r="L2392" i="2"/>
  <c r="L2388" i="2"/>
  <c r="L2384" i="2"/>
  <c r="L2380" i="2"/>
  <c r="L2376" i="2"/>
  <c r="L2372" i="2"/>
  <c r="L2368" i="2"/>
  <c r="L2364" i="2"/>
  <c r="L2360" i="2"/>
  <c r="L2356" i="2"/>
  <c r="L2352" i="2"/>
  <c r="L2348" i="2"/>
  <c r="L2344" i="2"/>
  <c r="L2340" i="2"/>
  <c r="L2336" i="2"/>
  <c r="L2332" i="2"/>
  <c r="L2328" i="2"/>
  <c r="L2324" i="2"/>
  <c r="L2320" i="2"/>
  <c r="L2316" i="2"/>
  <c r="L2312" i="2"/>
  <c r="L2308" i="2"/>
  <c r="L2304" i="2"/>
  <c r="L2300" i="2"/>
  <c r="L2296" i="2"/>
  <c r="L2292" i="2"/>
  <c r="L2288" i="2"/>
  <c r="L2284" i="2"/>
  <c r="L2280" i="2"/>
  <c r="L2276" i="2"/>
  <c r="L2272" i="2"/>
  <c r="L2268" i="2"/>
  <c r="L2264" i="2"/>
  <c r="L2260" i="2"/>
  <c r="L2256" i="2"/>
  <c r="L2252" i="2"/>
  <c r="L2248" i="2"/>
  <c r="L2244" i="2"/>
  <c r="L2240" i="2"/>
  <c r="L2236" i="2"/>
  <c r="L2232" i="2"/>
  <c r="L2228" i="2"/>
  <c r="L2224" i="2"/>
  <c r="L2220" i="2"/>
  <c r="L2216" i="2"/>
  <c r="L2212" i="2"/>
  <c r="L2208" i="2"/>
  <c r="L2204" i="2"/>
  <c r="L2200" i="2"/>
  <c r="L2196" i="2"/>
  <c r="L2192" i="2"/>
  <c r="L2188" i="2"/>
  <c r="L2184" i="2"/>
  <c r="L2180" i="2"/>
  <c r="L2176" i="2"/>
  <c r="L2172" i="2"/>
  <c r="L2168" i="2"/>
  <c r="L2164" i="2"/>
  <c r="L2160" i="2"/>
  <c r="L2156" i="2"/>
  <c r="L2152" i="2"/>
  <c r="L2148" i="2"/>
  <c r="L2144" i="2"/>
  <c r="L2140" i="2"/>
  <c r="L2136" i="2"/>
  <c r="L2132" i="2"/>
  <c r="L2128" i="2"/>
  <c r="L2124" i="2"/>
  <c r="L2120" i="2"/>
  <c r="L2116" i="2"/>
  <c r="L2112" i="2"/>
  <c r="L2108" i="2"/>
  <c r="L2104" i="2"/>
  <c r="L2100" i="2"/>
  <c r="L2096" i="2"/>
  <c r="L2092" i="2"/>
  <c r="L2088" i="2"/>
  <c r="L2084" i="2"/>
  <c r="L2080" i="2"/>
  <c r="L2076" i="2"/>
  <c r="L2072" i="2"/>
  <c r="L2068" i="2"/>
  <c r="L2064" i="2"/>
  <c r="L2060" i="2"/>
  <c r="L2056" i="2"/>
  <c r="L2052" i="2"/>
  <c r="L2048" i="2"/>
  <c r="L2044" i="2"/>
  <c r="L2040" i="2"/>
  <c r="L2036" i="2"/>
  <c r="L2032" i="2"/>
  <c r="L2028" i="2"/>
  <c r="L2024" i="2"/>
  <c r="L2020" i="2"/>
  <c r="L2016" i="2"/>
  <c r="L2012" i="2"/>
  <c r="L2008" i="2"/>
  <c r="L2004" i="2"/>
  <c r="L2000" i="2"/>
  <c r="L1996" i="2"/>
  <c r="L1992" i="2"/>
  <c r="L1988" i="2"/>
  <c r="L1984" i="2"/>
  <c r="L1980" i="2"/>
  <c r="L1976" i="2"/>
  <c r="L1972" i="2"/>
  <c r="L2591" i="2"/>
  <c r="L2587" i="2"/>
  <c r="L2583" i="2"/>
  <c r="L2579" i="2"/>
  <c r="L2575" i="2"/>
  <c r="L2571" i="2"/>
  <c r="L2567" i="2"/>
  <c r="L2563" i="2"/>
  <c r="L2559" i="2"/>
  <c r="L2555" i="2"/>
  <c r="L2551" i="2"/>
  <c r="L2547" i="2"/>
  <c r="L2543" i="2"/>
  <c r="L2539" i="2"/>
  <c r="L2535" i="2"/>
  <c r="L2531" i="2"/>
  <c r="L2527" i="2"/>
  <c r="L2523" i="2"/>
  <c r="L2519" i="2"/>
  <c r="L2515" i="2"/>
  <c r="L2511" i="2"/>
  <c r="L2507" i="2"/>
  <c r="L2503" i="2"/>
  <c r="L2499" i="2"/>
  <c r="L2495" i="2"/>
  <c r="L2491" i="2"/>
  <c r="L2487" i="2"/>
  <c r="L2483" i="2"/>
  <c r="L2479" i="2"/>
  <c r="L2475" i="2"/>
  <c r="L2471" i="2"/>
  <c r="L2467" i="2"/>
  <c r="L2463" i="2"/>
  <c r="L2459" i="2"/>
  <c r="L2455" i="2"/>
  <c r="L2451" i="2"/>
  <c r="L2447" i="2"/>
  <c r="L2443" i="2"/>
  <c r="L2439" i="2"/>
  <c r="L2435" i="2"/>
  <c r="L2431" i="2"/>
  <c r="L2427" i="2"/>
  <c r="L2423" i="2"/>
  <c r="L2419" i="2"/>
  <c r="L2415" i="2"/>
  <c r="L2411" i="2"/>
  <c r="L2407" i="2"/>
  <c r="L2403" i="2"/>
  <c r="L2399" i="2"/>
  <c r="L2395" i="2"/>
  <c r="L2391" i="2"/>
  <c r="L2387" i="2"/>
  <c r="L2383" i="2"/>
  <c r="L2379" i="2"/>
  <c r="L2375" i="2"/>
  <c r="L2371" i="2"/>
  <c r="L2367" i="2"/>
  <c r="L2363" i="2"/>
  <c r="L2359" i="2"/>
  <c r="L2355" i="2"/>
  <c r="L2351" i="2"/>
  <c r="L2347" i="2"/>
  <c r="L2343" i="2"/>
  <c r="L2339" i="2"/>
  <c r="L2335" i="2"/>
  <c r="L2331" i="2"/>
  <c r="L2327" i="2"/>
  <c r="L2323" i="2"/>
  <c r="L2319" i="2"/>
  <c r="L2315" i="2"/>
  <c r="L2311" i="2"/>
  <c r="L2307" i="2"/>
  <c r="L2303" i="2"/>
  <c r="L2299" i="2"/>
  <c r="L2295" i="2"/>
  <c r="L2291" i="2"/>
  <c r="L2287" i="2"/>
  <c r="L2283" i="2"/>
  <c r="L2279" i="2"/>
  <c r="L2275" i="2"/>
  <c r="L2271" i="2"/>
  <c r="L2267" i="2"/>
  <c r="L2263" i="2"/>
  <c r="L2259" i="2"/>
  <c r="L2255" i="2"/>
  <c r="L2251" i="2"/>
  <c r="L2247" i="2"/>
  <c r="L2243" i="2"/>
  <c r="L2239" i="2"/>
  <c r="L2235" i="2"/>
  <c r="L2231" i="2"/>
  <c r="L2227" i="2"/>
  <c r="L2223" i="2"/>
  <c r="L2219" i="2"/>
  <c r="L2215" i="2"/>
  <c r="L2211" i="2"/>
  <c r="L2207" i="2"/>
  <c r="L2203" i="2"/>
  <c r="L2199" i="2"/>
  <c r="L2195" i="2"/>
  <c r="L2191" i="2"/>
  <c r="L2187" i="2"/>
  <c r="L2183" i="2"/>
  <c r="L2179" i="2"/>
  <c r="L2175" i="2"/>
  <c r="L2171" i="2"/>
  <c r="L2167" i="2"/>
  <c r="L2163" i="2"/>
  <c r="L2159" i="2"/>
  <c r="L2155" i="2"/>
  <c r="L2151" i="2"/>
  <c r="L2147" i="2"/>
  <c r="L2143" i="2"/>
  <c r="L2139" i="2"/>
  <c r="L2135" i="2"/>
  <c r="L2131" i="2"/>
  <c r="L2127" i="2"/>
  <c r="L2123" i="2"/>
  <c r="L2119" i="2"/>
  <c r="L2115" i="2"/>
  <c r="L2111" i="2"/>
  <c r="L2107" i="2"/>
  <c r="L2103" i="2"/>
  <c r="L2099" i="2"/>
  <c r="L2095" i="2"/>
  <c r="L2091" i="2"/>
  <c r="L2087" i="2"/>
  <c r="L2083" i="2"/>
  <c r="L2079" i="2"/>
  <c r="L2075" i="2"/>
  <c r="L2071" i="2"/>
  <c r="L2067" i="2"/>
  <c r="L2063" i="2"/>
  <c r="L2059" i="2"/>
  <c r="L2055" i="2"/>
  <c r="L2051" i="2"/>
  <c r="L2047" i="2"/>
  <c r="L2043" i="2"/>
  <c r="L2039" i="2"/>
  <c r="L1927" i="2"/>
  <c r="L1915" i="2"/>
  <c r="L1907" i="2"/>
  <c r="L1899" i="2"/>
  <c r="L1891" i="2"/>
  <c r="L1883" i="2"/>
  <c r="L1875" i="2"/>
  <c r="L1867" i="2"/>
  <c r="L1859" i="2"/>
  <c r="L1851" i="2"/>
  <c r="L1843" i="2"/>
  <c r="L1835" i="2"/>
  <c r="L1827" i="2"/>
  <c r="L1819" i="2"/>
  <c r="L1811" i="2"/>
  <c r="L1803" i="2"/>
  <c r="L1795" i="2"/>
  <c r="L1787" i="2"/>
  <c r="L1779" i="2"/>
  <c r="L1771" i="2"/>
  <c r="L1763" i="2"/>
  <c r="L1755" i="2"/>
  <c r="L1747" i="2"/>
  <c r="L1739" i="2"/>
  <c r="L1731" i="2"/>
  <c r="L1715" i="2"/>
  <c r="L1699" i="2"/>
  <c r="L1683" i="2"/>
  <c r="L1667" i="2"/>
  <c r="L1651" i="2"/>
  <c r="L1635" i="2"/>
  <c r="L1619" i="2"/>
  <c r="L1603" i="2"/>
  <c r="L1587" i="2"/>
  <c r="L1571" i="2"/>
  <c r="L1555" i="2"/>
  <c r="L1539" i="2"/>
  <c r="L1523" i="2"/>
  <c r="L1507" i="2"/>
  <c r="L1491" i="2"/>
  <c r="L1475" i="2"/>
  <c r="L2582" i="2"/>
  <c r="L2570" i="2"/>
  <c r="L2558" i="2"/>
  <c r="L2554" i="2"/>
  <c r="L2550" i="2"/>
  <c r="L2546" i="2"/>
  <c r="L2542" i="2"/>
  <c r="L2538" i="2"/>
  <c r="L2534" i="2"/>
  <c r="L2530" i="2"/>
  <c r="L2526" i="2"/>
  <c r="L2522" i="2"/>
  <c r="L2518" i="2"/>
  <c r="L2514" i="2"/>
  <c r="L2510" i="2"/>
  <c r="L2506" i="2"/>
  <c r="L2502" i="2"/>
  <c r="L2498" i="2"/>
  <c r="L2494" i="2"/>
  <c r="L2490" i="2"/>
  <c r="L2486" i="2"/>
  <c r="L2482" i="2"/>
  <c r="L2478" i="2"/>
  <c r="L2474" i="2"/>
  <c r="L2470" i="2"/>
  <c r="L2466" i="2"/>
  <c r="L2462" i="2"/>
  <c r="L2458" i="2"/>
  <c r="L2454" i="2"/>
  <c r="L2450" i="2"/>
  <c r="L2446" i="2"/>
  <c r="L2442" i="2"/>
  <c r="L2438" i="2"/>
  <c r="L2434" i="2"/>
  <c r="L2430" i="2"/>
  <c r="L2426" i="2"/>
  <c r="L2422" i="2"/>
  <c r="L2418" i="2"/>
  <c r="L2414" i="2"/>
  <c r="L2410" i="2"/>
  <c r="L2406" i="2"/>
  <c r="L2402" i="2"/>
  <c r="L2398" i="2"/>
  <c r="L2394" i="2"/>
  <c r="L2390" i="2"/>
  <c r="L2386" i="2"/>
  <c r="L2382" i="2"/>
  <c r="L2378" i="2"/>
  <c r="L2374" i="2"/>
  <c r="L2370" i="2"/>
  <c r="L2366" i="2"/>
  <c r="L2362" i="2"/>
  <c r="L2358" i="2"/>
  <c r="L2354" i="2"/>
  <c r="L2350" i="2"/>
  <c r="L2346" i="2"/>
  <c r="L2342" i="2"/>
  <c r="L2338" i="2"/>
  <c r="L2334" i="2"/>
  <c r="L2330" i="2"/>
  <c r="L2326" i="2"/>
  <c r="L2322" i="2"/>
  <c r="L2318" i="2"/>
  <c r="L2314" i="2"/>
  <c r="L2310" i="2"/>
  <c r="L2306" i="2"/>
  <c r="L2302" i="2"/>
  <c r="L2298" i="2"/>
  <c r="L2294" i="2"/>
  <c r="L2290" i="2"/>
  <c r="L2286" i="2"/>
  <c r="L2282" i="2"/>
  <c r="L2278" i="2"/>
  <c r="L2274" i="2"/>
  <c r="L2270" i="2"/>
  <c r="L2266" i="2"/>
  <c r="L2262" i="2"/>
  <c r="L2258" i="2"/>
  <c r="L2254" i="2"/>
  <c r="L2250" i="2"/>
  <c r="L2246" i="2"/>
  <c r="L2242" i="2"/>
  <c r="L2238" i="2"/>
  <c r="L2234" i="2"/>
  <c r="L2230" i="2"/>
  <c r="L2226" i="2"/>
  <c r="L2222" i="2"/>
  <c r="L2218" i="2"/>
  <c r="L2214" i="2"/>
  <c r="L2210" i="2"/>
  <c r="L2206" i="2"/>
  <c r="L2202" i="2"/>
  <c r="L2198" i="2"/>
  <c r="L2194" i="2"/>
  <c r="L2190" i="2"/>
  <c r="L2186" i="2"/>
  <c r="L2182" i="2"/>
  <c r="L2178" i="2"/>
  <c r="L2174" i="2"/>
  <c r="L2170" i="2"/>
  <c r="L2166" i="2"/>
  <c r="L2162" i="2"/>
  <c r="L2150" i="2"/>
  <c r="L2138" i="2"/>
  <c r="L2126" i="2"/>
  <c r="L2122" i="2"/>
  <c r="L2118" i="2"/>
  <c r="L2114" i="2"/>
  <c r="L2110" i="2"/>
  <c r="L2106" i="2"/>
  <c r="L2102" i="2"/>
  <c r="L2098" i="2"/>
  <c r="L2094" i="2"/>
  <c r="L2090" i="2"/>
  <c r="L2086" i="2"/>
  <c r="L2082" i="2"/>
  <c r="L2078" i="2"/>
  <c r="L2074" i="2"/>
  <c r="L2070" i="2"/>
  <c r="L2066" i="2"/>
  <c r="L2062" i="2"/>
  <c r="L2058" i="2"/>
  <c r="L2054" i="2"/>
  <c r="L2050" i="2"/>
  <c r="L2046" i="2"/>
  <c r="L2042" i="2"/>
  <c r="L2038" i="2"/>
  <c r="L2034" i="2"/>
  <c r="L2030" i="2"/>
  <c r="L2026" i="2"/>
  <c r="L2022" i="2"/>
  <c r="L2018" i="2"/>
  <c r="L2014" i="2"/>
  <c r="L2010" i="2"/>
  <c r="L2006" i="2"/>
  <c r="L2002" i="2"/>
  <c r="L1998" i="2"/>
  <c r="L1994" i="2"/>
  <c r="L1990" i="2"/>
  <c r="L1986" i="2"/>
  <c r="L1982" i="2"/>
  <c r="L1978" i="2"/>
  <c r="L1974" i="2"/>
  <c r="L1970" i="2"/>
  <c r="L1966" i="2"/>
  <c r="L1962" i="2"/>
  <c r="L1958" i="2"/>
  <c r="L1954" i="2"/>
  <c r="L1950" i="2"/>
  <c r="L1946" i="2"/>
  <c r="L1942" i="2"/>
  <c r="L1938" i="2"/>
  <c r="L1934" i="2"/>
  <c r="L1930" i="2"/>
  <c r="L1926" i="2"/>
  <c r="L1922" i="2"/>
  <c r="L1918" i="2"/>
  <c r="L1914" i="2"/>
  <c r="L1910" i="2"/>
  <c r="L1906" i="2"/>
  <c r="L1902" i="2"/>
  <c r="L1898" i="2"/>
  <c r="L1894" i="2"/>
  <c r="L1890" i="2"/>
  <c r="L1886" i="2"/>
  <c r="L1882" i="2"/>
  <c r="L1878" i="2"/>
  <c r="L1874" i="2"/>
  <c r="L1870" i="2"/>
  <c r="L1866" i="2"/>
  <c r="L1862" i="2"/>
  <c r="L1858" i="2"/>
  <c r="L1854" i="2"/>
  <c r="L1850" i="2"/>
  <c r="L1846" i="2"/>
  <c r="L1842" i="2"/>
  <c r="L1838" i="2"/>
  <c r="L1834" i="2"/>
  <c r="L1830" i="2"/>
  <c r="L1826" i="2"/>
  <c r="L1822" i="2"/>
  <c r="L1818" i="2"/>
  <c r="L1814" i="2"/>
  <c r="L1810" i="2"/>
  <c r="L1806" i="2"/>
  <c r="L1802" i="2"/>
  <c r="L1798" i="2"/>
  <c r="L1794" i="2"/>
  <c r="L1790" i="2"/>
  <c r="L1786" i="2"/>
  <c r="L1782" i="2"/>
  <c r="L1778" i="2"/>
  <c r="L1774" i="2"/>
  <c r="L1770" i="2"/>
  <c r="L1766" i="2"/>
  <c r="L1762" i="2"/>
  <c r="L1758" i="2"/>
  <c r="L1754" i="2"/>
  <c r="L1750" i="2"/>
  <c r="L1746" i="2"/>
  <c r="L1742" i="2"/>
  <c r="L1738" i="2"/>
  <c r="L1734" i="2"/>
  <c r="L1730" i="2"/>
  <c r="L1718" i="2"/>
  <c r="L1706" i="2"/>
  <c r="L1694" i="2"/>
  <c r="L1690" i="2"/>
  <c r="L1686" i="2"/>
  <c r="L1682" i="2"/>
  <c r="L1678" i="2"/>
  <c r="L1674" i="2"/>
  <c r="L1670" i="2"/>
  <c r="L1666" i="2"/>
  <c r="L1662" i="2"/>
  <c r="L1658" i="2"/>
  <c r="L1654" i="2"/>
  <c r="L1650" i="2"/>
  <c r="L1646" i="2"/>
  <c r="L1642" i="2"/>
  <c r="L1638" i="2"/>
  <c r="L1634" i="2"/>
  <c r="L1630" i="2"/>
  <c r="L1626" i="2"/>
  <c r="L1622" i="2"/>
  <c r="L1618" i="2"/>
  <c r="L1614" i="2"/>
  <c r="L1610" i="2"/>
  <c r="L1606" i="2"/>
  <c r="L1602" i="2"/>
  <c r="L1598" i="2"/>
  <c r="L1594" i="2"/>
  <c r="L1590" i="2"/>
  <c r="L1586" i="2"/>
  <c r="L1582" i="2"/>
  <c r="L1578" i="2"/>
  <c r="L1574" i="2"/>
  <c r="L1570" i="2"/>
  <c r="L1566" i="2"/>
  <c r="L1562" i="2"/>
  <c r="L1558" i="2"/>
  <c r="L1554" i="2"/>
  <c r="L1550" i="2"/>
  <c r="L1546" i="2"/>
  <c r="L1542" i="2"/>
  <c r="L1538" i="2"/>
  <c r="M1397" i="2"/>
  <c r="M1421" i="2"/>
  <c r="L1534" i="2"/>
  <c r="L1530" i="2"/>
  <c r="L1526" i="2"/>
  <c r="M1409" i="2"/>
  <c r="L1522" i="2"/>
  <c r="M1413" i="2"/>
  <c r="M1417" i="2"/>
  <c r="L1518" i="2"/>
  <c r="L1514" i="2"/>
  <c r="L1510" i="2"/>
  <c r="M1389" i="2"/>
  <c r="M1393" i="2"/>
  <c r="L1968" i="2"/>
  <c r="L1964" i="2"/>
  <c r="L1960" i="2"/>
  <c r="L1956" i="2"/>
  <c r="L1952" i="2"/>
  <c r="L1948" i="2"/>
  <c r="L1944" i="2"/>
  <c r="L1940" i="2"/>
  <c r="L1936" i="2"/>
  <c r="L1932" i="2"/>
  <c r="L1928" i="2"/>
  <c r="L1924" i="2"/>
  <c r="L1920" i="2"/>
  <c r="L1916" i="2"/>
  <c r="L1912" i="2"/>
  <c r="L1908" i="2"/>
  <c r="L1904" i="2"/>
  <c r="L1900" i="2"/>
  <c r="L1896" i="2"/>
  <c r="L1892" i="2"/>
  <c r="L1888" i="2"/>
  <c r="L1884" i="2"/>
  <c r="L1880" i="2"/>
  <c r="L1876" i="2"/>
  <c r="L1872" i="2"/>
  <c r="L1868" i="2"/>
  <c r="L1864" i="2"/>
  <c r="L1860" i="2"/>
  <c r="L1856" i="2"/>
  <c r="L1852" i="2"/>
  <c r="L1848" i="2"/>
  <c r="L1844" i="2"/>
  <c r="L1840" i="2"/>
  <c r="L1836" i="2"/>
  <c r="L1832" i="2"/>
  <c r="L1828" i="2"/>
  <c r="L1824" i="2"/>
  <c r="L1820" i="2"/>
  <c r="L1816" i="2"/>
  <c r="L1812" i="2"/>
  <c r="L1808" i="2"/>
  <c r="L1804" i="2"/>
  <c r="L1800" i="2"/>
  <c r="L1796" i="2"/>
  <c r="L1792" i="2"/>
  <c r="L1788" i="2"/>
  <c r="L1784" i="2"/>
  <c r="L1780" i="2"/>
  <c r="L1776" i="2"/>
  <c r="L1772" i="2"/>
  <c r="L1768" i="2"/>
  <c r="L1764" i="2"/>
  <c r="L1760" i="2"/>
  <c r="L1756" i="2"/>
  <c r="L1752" i="2"/>
  <c r="L1748" i="2"/>
  <c r="L1744" i="2"/>
  <c r="L1740" i="2"/>
  <c r="L1736" i="2"/>
  <c r="L1732" i="2"/>
  <c r="L1728" i="2"/>
  <c r="L1724" i="2"/>
  <c r="L1720" i="2"/>
  <c r="L1716" i="2"/>
  <c r="L1712" i="2"/>
  <c r="L1708" i="2"/>
  <c r="L1704" i="2"/>
  <c r="L1700" i="2"/>
  <c r="L1696" i="2"/>
  <c r="L1692" i="2"/>
  <c r="L1688" i="2"/>
  <c r="L1684" i="2"/>
  <c r="L1680" i="2"/>
  <c r="L1676" i="2"/>
  <c r="L1672" i="2"/>
  <c r="L1668" i="2"/>
  <c r="L1664" i="2"/>
  <c r="L1660" i="2"/>
  <c r="L1656" i="2"/>
  <c r="L1652" i="2"/>
  <c r="L1648" i="2"/>
  <c r="L1644" i="2"/>
  <c r="L1640" i="2"/>
  <c r="L1636" i="2"/>
  <c r="L1632" i="2"/>
  <c r="L1628" i="2"/>
  <c r="L1624" i="2"/>
  <c r="L1620" i="2"/>
  <c r="L1616" i="2"/>
  <c r="L1612" i="2"/>
  <c r="L1608" i="2"/>
  <c r="L1604" i="2"/>
  <c r="L1600" i="2"/>
  <c r="L1596" i="2"/>
  <c r="L1592" i="2"/>
  <c r="L1588" i="2"/>
  <c r="L1584" i="2"/>
  <c r="L1580" i="2"/>
  <c r="L1576" i="2"/>
  <c r="L1572" i="2"/>
  <c r="L1568" i="2"/>
  <c r="L1564" i="2"/>
  <c r="L1560" i="2"/>
  <c r="L1556" i="2"/>
  <c r="L1552" i="2"/>
  <c r="L1548" i="2"/>
  <c r="L1544" i="2"/>
  <c r="L1540" i="2"/>
  <c r="L1536" i="2"/>
  <c r="L1532" i="2"/>
  <c r="L1528" i="2"/>
  <c r="L1524" i="2"/>
  <c r="L1520" i="2"/>
  <c r="L1516" i="2"/>
  <c r="L1512" i="2"/>
  <c r="L1508" i="2"/>
  <c r="L1504" i="2"/>
  <c r="L1500" i="2"/>
  <c r="L1496" i="2"/>
  <c r="L1492" i="2"/>
  <c r="L1488" i="2"/>
  <c r="L1484" i="2"/>
  <c r="L1480" i="2"/>
  <c r="L1476" i="2"/>
  <c r="L1472" i="2"/>
  <c r="L1468" i="2"/>
  <c r="L1464" i="2"/>
  <c r="L1460" i="2"/>
  <c r="L1456" i="2"/>
  <c r="L1452" i="2"/>
  <c r="L1448" i="2"/>
  <c r="L1444" i="2"/>
  <c r="L1440" i="2"/>
  <c r="L1436" i="2"/>
  <c r="L1432" i="2"/>
  <c r="L1428" i="2"/>
  <c r="L1424" i="2"/>
  <c r="L1420" i="2"/>
  <c r="L1416" i="2"/>
  <c r="L1412" i="2"/>
  <c r="L1408" i="2"/>
  <c r="L1404" i="2"/>
  <c r="L1400" i="2"/>
  <c r="L1396" i="2"/>
  <c r="L1392" i="2"/>
  <c r="L1388" i="2"/>
  <c r="L1384" i="2"/>
  <c r="L1380" i="2"/>
  <c r="L1376" i="2"/>
  <c r="L1372" i="2"/>
  <c r="L1368" i="2"/>
  <c r="L1364" i="2"/>
  <c r="L1360" i="2"/>
  <c r="L1356" i="2"/>
  <c r="L1352" i="2"/>
  <c r="L1348" i="2"/>
  <c r="L1344" i="2"/>
  <c r="L1340" i="2"/>
  <c r="L1336" i="2"/>
  <c r="L1332" i="2"/>
  <c r="L1328" i="2"/>
  <c r="L1324" i="2"/>
  <c r="L1320" i="2"/>
  <c r="L1316" i="2"/>
  <c r="L1312" i="2"/>
  <c r="L1308" i="2"/>
  <c r="L2035" i="2"/>
  <c r="L2031" i="2"/>
  <c r="L2027" i="2"/>
  <c r="L2023" i="2"/>
  <c r="L2019" i="2"/>
  <c r="L2015" i="2"/>
  <c r="L2011" i="2"/>
  <c r="L2007" i="2"/>
  <c r="L2003" i="2"/>
  <c r="L1999" i="2"/>
  <c r="L1995" i="2"/>
  <c r="L1991" i="2"/>
  <c r="L1987" i="2"/>
  <c r="L1983" i="2"/>
  <c r="L1979" i="2"/>
  <c r="L1975" i="2"/>
  <c r="L1971" i="2"/>
  <c r="L1967" i="2"/>
  <c r="L1963" i="2"/>
  <c r="L1959" i="2"/>
  <c r="L1955" i="2"/>
  <c r="L1951" i="2"/>
  <c r="L1947" i="2"/>
  <c r="L1943" i="2"/>
  <c r="L1939" i="2"/>
  <c r="L1935" i="2"/>
  <c r="L1931" i="2"/>
  <c r="L1923" i="2"/>
  <c r="L1919" i="2"/>
  <c r="L1911" i="2"/>
  <c r="L1903" i="2"/>
  <c r="L1895" i="2"/>
  <c r="L1887" i="2"/>
  <c r="L1879" i="2"/>
  <c r="L1871" i="2"/>
  <c r="L1863" i="2"/>
  <c r="L1855" i="2"/>
  <c r="L1847" i="2"/>
  <c r="L1839" i="2"/>
  <c r="L1831" i="2"/>
  <c r="L1823" i="2"/>
  <c r="L1815" i="2"/>
  <c r="L1807" i="2"/>
  <c r="L1799" i="2"/>
  <c r="L1791" i="2"/>
  <c r="L1783" i="2"/>
  <c r="L1775" i="2"/>
  <c r="L1767" i="2"/>
  <c r="L1759" i="2"/>
  <c r="L1751" i="2"/>
  <c r="L1743" i="2"/>
  <c r="L1735" i="2"/>
  <c r="L1727" i="2"/>
  <c r="L1723" i="2"/>
  <c r="L1719" i="2"/>
  <c r="L1711" i="2"/>
  <c r="L1707" i="2"/>
  <c r="L1703" i="2"/>
  <c r="L1695" i="2"/>
  <c r="L1691" i="2"/>
  <c r="L1687" i="2"/>
  <c r="L1679" i="2"/>
  <c r="L1675" i="2"/>
  <c r="L1671" i="2"/>
  <c r="L1663" i="2"/>
  <c r="L1659" i="2"/>
  <c r="L1655" i="2"/>
  <c r="L1647" i="2"/>
  <c r="L1643" i="2"/>
  <c r="L1639" i="2"/>
  <c r="L1631" i="2"/>
  <c r="L1627" i="2"/>
  <c r="L1623" i="2"/>
  <c r="L1615" i="2"/>
  <c r="L1611" i="2"/>
  <c r="L1607" i="2"/>
  <c r="L1599" i="2"/>
  <c r="L1595" i="2"/>
  <c r="L1591" i="2"/>
  <c r="L1583" i="2"/>
  <c r="L1579" i="2"/>
  <c r="L1575" i="2"/>
  <c r="L1567" i="2"/>
  <c r="L1563" i="2"/>
  <c r="L1559" i="2"/>
  <c r="L1551" i="2"/>
  <c r="L1547" i="2"/>
  <c r="L1543" i="2"/>
  <c r="L1535" i="2"/>
  <c r="L1531" i="2"/>
  <c r="L1527" i="2"/>
  <c r="L1519" i="2"/>
  <c r="L1515" i="2"/>
  <c r="L1511" i="2"/>
  <c r="L1503" i="2"/>
  <c r="L1499" i="2"/>
  <c r="L1495" i="2"/>
  <c r="L1487" i="2"/>
  <c r="L1483" i="2"/>
  <c r="L1479" i="2"/>
  <c r="L1471" i="2"/>
  <c r="L1467" i="2"/>
  <c r="L1463" i="2"/>
  <c r="L1459" i="2"/>
  <c r="L1455" i="2"/>
  <c r="L1451" i="2"/>
  <c r="L1447" i="2"/>
  <c r="L1443" i="2"/>
  <c r="L1439" i="2"/>
  <c r="L1435" i="2"/>
  <c r="L1431" i="2"/>
  <c r="L1427" i="2"/>
  <c r="L1423" i="2"/>
  <c r="L1419" i="2"/>
  <c r="L1415" i="2"/>
  <c r="L1411" i="2"/>
  <c r="L1407" i="2"/>
  <c r="L1403" i="2"/>
  <c r="L1399" i="2"/>
  <c r="L1395" i="2"/>
  <c r="L1391" i="2"/>
  <c r="L1387" i="2"/>
  <c r="L1383" i="2"/>
  <c r="L1379" i="2"/>
  <c r="L1375" i="2"/>
  <c r="L1371" i="2"/>
  <c r="L1367" i="2"/>
  <c r="L1363" i="2"/>
  <c r="L1359" i="2"/>
  <c r="L1355" i="2"/>
  <c r="L1351" i="2"/>
  <c r="L1347" i="2"/>
  <c r="L1343" i="2"/>
  <c r="L1339" i="2"/>
  <c r="L1335" i="2"/>
  <c r="L1331" i="2"/>
  <c r="L1327" i="2"/>
  <c r="L1323" i="2"/>
  <c r="L1319" i="2"/>
  <c r="L1315" i="2"/>
  <c r="L1311" i="2"/>
  <c r="L1307" i="2"/>
  <c r="L1353" i="2"/>
  <c r="L1506" i="2"/>
  <c r="L1502" i="2"/>
  <c r="L1498" i="2"/>
  <c r="L1494" i="2"/>
  <c r="L1490" i="2"/>
  <c r="L1486" i="2"/>
  <c r="L1482" i="2"/>
  <c r="L1478" i="2"/>
  <c r="L1474" i="2"/>
  <c r="L1470" i="2"/>
  <c r="L1466" i="2"/>
  <c r="L1462" i="2"/>
  <c r="L1458" i="2"/>
  <c r="L1454" i="2"/>
  <c r="L1450" i="2"/>
  <c r="L1446" i="2"/>
  <c r="L1442" i="2"/>
  <c r="L1438" i="2"/>
  <c r="L1434" i="2"/>
  <c r="L1430" i="2"/>
  <c r="L1426" i="2"/>
  <c r="L1422" i="2"/>
  <c r="L1418" i="2"/>
  <c r="L1414" i="2"/>
  <c r="L1410" i="2"/>
  <c r="L1406" i="2"/>
  <c r="L1402" i="2"/>
  <c r="L1398" i="2"/>
  <c r="L1394" i="2"/>
  <c r="L1390" i="2"/>
  <c r="L1386" i="2"/>
  <c r="L1382" i="2"/>
  <c r="L1378" i="2"/>
  <c r="L1374" i="2"/>
  <c r="L1370" i="2"/>
  <c r="L1366" i="2"/>
  <c r="L1362" i="2"/>
  <c r="L1358" i="2"/>
  <c r="L1354" i="2"/>
  <c r="L1350" i="2"/>
  <c r="L1346" i="2"/>
  <c r="L1342" i="2"/>
  <c r="L1338" i="2"/>
  <c r="L1334" i="2"/>
  <c r="L1330" i="2"/>
  <c r="L1326" i="2"/>
  <c r="L1322" i="2"/>
  <c r="L1318" i="2"/>
  <c r="L1314" i="2"/>
  <c r="L1310" i="2"/>
  <c r="L1306" i="2"/>
  <c r="M1405" i="2"/>
  <c r="M1401" i="2"/>
  <c r="M1385" i="2"/>
  <c r="M1381" i="2"/>
  <c r="M1377" i="2"/>
  <c r="M1373" i="2"/>
  <c r="M1369" i="2"/>
  <c r="M1365" i="2"/>
  <c r="M1361" i="2"/>
  <c r="M1357" i="2"/>
  <c r="M1353" i="2"/>
  <c r="M1349" i="2"/>
  <c r="M1345" i="2"/>
  <c r="M1341" i="2"/>
  <c r="M1337" i="2"/>
  <c r="M1333" i="2"/>
  <c r="M1329" i="2"/>
  <c r="M1325" i="2"/>
  <c r="M1321" i="2"/>
  <c r="M1317" i="2"/>
  <c r="M1313" i="2"/>
  <c r="M1309" i="2"/>
  <c r="M1305" i="2"/>
  <c r="L1929" i="2"/>
  <c r="L1925" i="2"/>
  <c r="L1921" i="2"/>
  <c r="L1917" i="2"/>
  <c r="L1913" i="2"/>
  <c r="L1909" i="2"/>
  <c r="L1905" i="2"/>
  <c r="L1901" i="2"/>
  <c r="L1897" i="2"/>
  <c r="L1893" i="2"/>
  <c r="L1889" i="2"/>
  <c r="L1885" i="2"/>
  <c r="L1881" i="2"/>
  <c r="L1877" i="2"/>
  <c r="L1873" i="2"/>
  <c r="L1869" i="2"/>
  <c r="L1865" i="2"/>
  <c r="L1861" i="2"/>
  <c r="L1857" i="2"/>
  <c r="L1853" i="2"/>
  <c r="L1849" i="2"/>
  <c r="L1845" i="2"/>
  <c r="L1841" i="2"/>
  <c r="L1837" i="2"/>
  <c r="L1833" i="2"/>
  <c r="L1829" i="2"/>
  <c r="L1825" i="2"/>
  <c r="L1821" i="2"/>
  <c r="L1817" i="2"/>
  <c r="L1813" i="2"/>
  <c r="L1809" i="2"/>
  <c r="L1805" i="2"/>
  <c r="L1801" i="2"/>
  <c r="L1797" i="2"/>
  <c r="L1793" i="2"/>
  <c r="L1789" i="2"/>
  <c r="L1785" i="2"/>
  <c r="L1781" i="2"/>
  <c r="L1777" i="2"/>
  <c r="L1773" i="2"/>
  <c r="L1769" i="2"/>
  <c r="L1765" i="2"/>
  <c r="L1761" i="2"/>
  <c r="L1757" i="2"/>
  <c r="L1753" i="2"/>
  <c r="L1749" i="2"/>
  <c r="L1745" i="2"/>
  <c r="L1741" i="2"/>
  <c r="L1737" i="2"/>
  <c r="L1733" i="2"/>
  <c r="L1729" i="2"/>
  <c r="L1725" i="2"/>
  <c r="L1721" i="2"/>
  <c r="L1717" i="2"/>
  <c r="L1713" i="2"/>
  <c r="L1709" i="2"/>
  <c r="L1705" i="2"/>
  <c r="L1701" i="2"/>
  <c r="L1697" i="2"/>
  <c r="L1693" i="2"/>
  <c r="L1689" i="2"/>
  <c r="L1685" i="2"/>
  <c r="L1681" i="2"/>
  <c r="L1677" i="2"/>
  <c r="L1673" i="2"/>
  <c r="L1669" i="2"/>
  <c r="L1665" i="2"/>
  <c r="L1661" i="2"/>
  <c r="L1657" i="2"/>
  <c r="L1653" i="2"/>
  <c r="L1649" i="2"/>
  <c r="L1645" i="2"/>
  <c r="L1641" i="2"/>
  <c r="L1637" i="2"/>
  <c r="L1633" i="2"/>
  <c r="L1629" i="2"/>
  <c r="L1625" i="2"/>
  <c r="L1621" i="2"/>
  <c r="L1617" i="2"/>
  <c r="L1613" i="2"/>
  <c r="L1609" i="2"/>
  <c r="L1605" i="2"/>
  <c r="L1601" i="2"/>
  <c r="L1597" i="2"/>
  <c r="L1593" i="2"/>
  <c r="L1589" i="2"/>
  <c r="L1585" i="2"/>
  <c r="L1581" i="2"/>
  <c r="L1577" i="2"/>
  <c r="L1573" i="2"/>
  <c r="L1569" i="2"/>
  <c r="L1565" i="2"/>
  <c r="L1561" i="2"/>
  <c r="L1557" i="2"/>
  <c r="L1553" i="2"/>
  <c r="L1549" i="2"/>
  <c r="L1545" i="2"/>
  <c r="L1541" i="2"/>
  <c r="L1537" i="2"/>
  <c r="L1533" i="2"/>
  <c r="L1529" i="2"/>
  <c r="L1525" i="2"/>
  <c r="L1521" i="2"/>
  <c r="L1517" i="2"/>
  <c r="L1513" i="2"/>
  <c r="L1509" i="2"/>
  <c r="L1505" i="2"/>
  <c r="L1501" i="2"/>
  <c r="L1497" i="2"/>
  <c r="L1493" i="2"/>
  <c r="L1489" i="2"/>
  <c r="L1485" i="2"/>
  <c r="L1481" i="2"/>
  <c r="L1477" i="2"/>
  <c r="L1473" i="2"/>
  <c r="L1469" i="2"/>
  <c r="L1465" i="2"/>
  <c r="L1461" i="2"/>
  <c r="L1457" i="2"/>
  <c r="L1453" i="2"/>
  <c r="L1445" i="2"/>
  <c r="L1441" i="2"/>
  <c r="L1437" i="2"/>
  <c r="L1433" i="2"/>
  <c r="L1429" i="2"/>
  <c r="L1425" i="2"/>
  <c r="L1421" i="2"/>
  <c r="L1413" i="2"/>
  <c r="L1409" i="2"/>
  <c r="L1405" i="2"/>
  <c r="L1401" i="2"/>
  <c r="L1397" i="2"/>
  <c r="L1393" i="2"/>
  <c r="L1389" i="2"/>
  <c r="L1381" i="2"/>
  <c r="L1377" i="2"/>
  <c r="L1373" i="2"/>
  <c r="L1369" i="2"/>
  <c r="L1365" i="2"/>
  <c r="L1361" i="2"/>
  <c r="L1357" i="2"/>
  <c r="L1349" i="2"/>
  <c r="L1345" i="2"/>
  <c r="L1341" i="2"/>
  <c r="L1337" i="2"/>
  <c r="L1333" i="2"/>
  <c r="L1329" i="2"/>
  <c r="L1325" i="2"/>
  <c r="L1317" i="2"/>
  <c r="L1313" i="2"/>
  <c r="L1309" i="2"/>
  <c r="L1305" i="2"/>
  <c r="R409" i="11"/>
  <c r="R402" i="11"/>
  <c r="R378" i="11"/>
  <c r="R358" i="11"/>
  <c r="R334" i="11"/>
  <c r="R318" i="11"/>
  <c r="R294" i="11"/>
  <c r="R278" i="11"/>
  <c r="R270" i="11"/>
  <c r="R258" i="11"/>
  <c r="R246" i="11"/>
  <c r="R230" i="11"/>
  <c r="R222" i="11"/>
  <c r="R214" i="11"/>
  <c r="R206" i="11"/>
  <c r="R198" i="11"/>
  <c r="R194" i="11"/>
  <c r="R190" i="11"/>
  <c r="R182" i="11"/>
  <c r="R174" i="11"/>
  <c r="R166" i="11"/>
  <c r="R158" i="11"/>
  <c r="R150" i="11"/>
  <c r="R142" i="11"/>
  <c r="R126" i="11"/>
  <c r="R118" i="11"/>
  <c r="R110" i="11"/>
  <c r="R102" i="11"/>
  <c r="R94" i="11"/>
  <c r="R86" i="11"/>
  <c r="R78" i="11"/>
  <c r="R70" i="11"/>
  <c r="R62" i="11"/>
  <c r="R54" i="11"/>
  <c r="R46" i="11"/>
  <c r="R38" i="11"/>
  <c r="R30" i="11"/>
  <c r="R22" i="11"/>
  <c r="R14" i="11"/>
  <c r="R10" i="11"/>
  <c r="R429" i="11"/>
  <c r="R421" i="11"/>
  <c r="R397" i="11"/>
  <c r="R393" i="11"/>
  <c r="R389" i="11"/>
  <c r="R377" i="11"/>
  <c r="R373" i="11"/>
  <c r="R361" i="11"/>
  <c r="R349" i="11"/>
  <c r="R345" i="11"/>
  <c r="R333" i="11"/>
  <c r="R329" i="11"/>
  <c r="R325" i="11"/>
  <c r="R317" i="11"/>
  <c r="R313" i="11"/>
  <c r="R305" i="11"/>
  <c r="R301" i="11"/>
  <c r="R297" i="11"/>
  <c r="R289" i="11"/>
  <c r="R281" i="11"/>
  <c r="R273" i="11"/>
  <c r="R261" i="11"/>
  <c r="R257" i="11"/>
  <c r="R253" i="11"/>
  <c r="R249" i="11"/>
  <c r="R241" i="11"/>
  <c r="R237" i="11"/>
  <c r="R233" i="11"/>
  <c r="R229" i="11"/>
  <c r="R221" i="11"/>
  <c r="R217" i="11"/>
  <c r="R205" i="11"/>
  <c r="R197" i="11"/>
  <c r="R193" i="11"/>
  <c r="R185" i="11"/>
  <c r="R177" i="11"/>
  <c r="R165" i="11"/>
  <c r="R157" i="11"/>
  <c r="R153" i="11"/>
  <c r="R145" i="11"/>
  <c r="R141" i="11"/>
  <c r="R133" i="11"/>
  <c r="R125" i="11"/>
  <c r="R117" i="11"/>
  <c r="R109" i="11"/>
  <c r="R105" i="11"/>
  <c r="R93" i="11"/>
  <c r="R85" i="11"/>
  <c r="R77" i="11"/>
  <c r="R69" i="11"/>
  <c r="R65" i="11"/>
  <c r="R57" i="11"/>
  <c r="R53" i="11"/>
  <c r="R45" i="11"/>
  <c r="R37" i="11"/>
  <c r="R29" i="11"/>
  <c r="R17" i="11"/>
  <c r="R426" i="11"/>
  <c r="R418" i="11"/>
  <c r="R410" i="11"/>
  <c r="R390" i="11"/>
  <c r="R374" i="11"/>
  <c r="R362" i="11"/>
  <c r="R346" i="11"/>
  <c r="R322" i="11"/>
  <c r="R314" i="11"/>
  <c r="R306" i="11"/>
  <c r="R298" i="11"/>
  <c r="R290" i="11"/>
  <c r="R282" i="11"/>
  <c r="R262" i="11"/>
  <c r="R250" i="11"/>
  <c r="R242" i="11"/>
  <c r="R234" i="11"/>
  <c r="R226" i="11"/>
  <c r="R218" i="11"/>
  <c r="R210" i="11"/>
  <c r="R202" i="11"/>
  <c r="R186" i="11"/>
  <c r="R178" i="11"/>
  <c r="R170" i="11"/>
  <c r="R162" i="11"/>
  <c r="R154" i="11"/>
  <c r="R146" i="11"/>
  <c r="R138" i="11"/>
  <c r="R130" i="11"/>
  <c r="R122" i="11"/>
  <c r="R114" i="11"/>
  <c r="R106" i="11"/>
  <c r="R98" i="11"/>
  <c r="R90" i="11"/>
  <c r="R82" i="11"/>
  <c r="R74" i="11"/>
  <c r="R66" i="11"/>
  <c r="R58" i="11"/>
  <c r="R50" i="11"/>
  <c r="R42" i="11"/>
  <c r="R34" i="11"/>
  <c r="R26" i="11"/>
  <c r="R18" i="11"/>
  <c r="R6" i="11"/>
  <c r="R4" i="11"/>
  <c r="R432" i="11"/>
  <c r="R428" i="11"/>
  <c r="R424" i="11"/>
  <c r="R420" i="11"/>
  <c r="R416" i="11"/>
  <c r="R412" i="11"/>
  <c r="R408" i="11"/>
  <c r="R404" i="11"/>
  <c r="R400" i="11"/>
  <c r="R396" i="11"/>
  <c r="R392" i="11"/>
  <c r="R388" i="11"/>
  <c r="R384" i="11"/>
  <c r="R380" i="11"/>
  <c r="R376" i="11"/>
  <c r="R372" i="11"/>
  <c r="R368" i="11"/>
  <c r="R364" i="11"/>
  <c r="R360" i="11"/>
  <c r="R356" i="11"/>
  <c r="R352" i="11"/>
  <c r="R348" i="11"/>
  <c r="R344" i="11"/>
  <c r="R340" i="11"/>
  <c r="R336" i="11"/>
  <c r="R332" i="11"/>
  <c r="R328" i="11"/>
  <c r="R324" i="11"/>
  <c r="R320" i="11"/>
  <c r="R316" i="11"/>
  <c r="R312" i="11"/>
  <c r="R308" i="11"/>
  <c r="R304" i="11"/>
  <c r="R300" i="11"/>
  <c r="R296" i="11"/>
  <c r="R292" i="11"/>
  <c r="R288" i="11"/>
  <c r="R284" i="11"/>
  <c r="R280" i="11"/>
  <c r="R276" i="11"/>
  <c r="R272" i="11"/>
  <c r="R268" i="11"/>
  <c r="R264" i="11"/>
  <c r="R260" i="11"/>
  <c r="R256" i="11"/>
  <c r="R252" i="11"/>
  <c r="R248" i="11"/>
  <c r="R244" i="11"/>
  <c r="R240" i="11"/>
  <c r="R236" i="11"/>
  <c r="R232" i="11"/>
  <c r="R228" i="11"/>
  <c r="R224" i="11"/>
  <c r="R220" i="11"/>
  <c r="R216" i="11"/>
  <c r="R212" i="11"/>
  <c r="R208" i="11"/>
  <c r="R204" i="11"/>
  <c r="R200" i="11"/>
  <c r="R196" i="11"/>
  <c r="R192" i="11"/>
  <c r="R188" i="11"/>
  <c r="R184" i="11"/>
  <c r="R180" i="11"/>
  <c r="R176" i="11"/>
  <c r="R172" i="11"/>
  <c r="R168" i="11"/>
  <c r="R164" i="11"/>
  <c r="R160" i="11"/>
  <c r="R156" i="11"/>
  <c r="R152" i="11"/>
  <c r="R148" i="11"/>
  <c r="R144" i="11"/>
  <c r="R140" i="11"/>
  <c r="R136" i="11"/>
  <c r="R132" i="11"/>
  <c r="R128" i="11"/>
  <c r="R124" i="11"/>
  <c r="R120" i="11"/>
  <c r="R116" i="11"/>
  <c r="R112" i="11"/>
  <c r="R108" i="11"/>
  <c r="R104" i="11"/>
  <c r="R100" i="11"/>
  <c r="R96" i="11"/>
  <c r="R92" i="11"/>
  <c r="R88" i="11"/>
  <c r="R84" i="11"/>
  <c r="R80" i="11"/>
  <c r="R76" i="11"/>
  <c r="R72" i="11"/>
  <c r="R68" i="11"/>
  <c r="R64" i="11"/>
  <c r="R60" i="11"/>
  <c r="R56" i="11"/>
  <c r="R52" i="11"/>
  <c r="R48" i="11"/>
  <c r="R44" i="11"/>
  <c r="R40" i="11"/>
  <c r="R36" i="11"/>
  <c r="R32" i="11"/>
  <c r="R28" i="11"/>
  <c r="R24" i="11"/>
  <c r="R20" i="11"/>
  <c r="R16" i="11"/>
  <c r="R12" i="11"/>
  <c r="R8" i="11"/>
  <c r="R435" i="11"/>
  <c r="R431" i="11"/>
  <c r="R427" i="11"/>
  <c r="R423" i="11"/>
  <c r="R419" i="11"/>
  <c r="R415" i="11"/>
  <c r="R411" i="11"/>
  <c r="R407" i="11"/>
  <c r="R403" i="11"/>
  <c r="R399" i="11"/>
  <c r="R395" i="11"/>
  <c r="R391" i="11"/>
  <c r="R387" i="11"/>
  <c r="R383" i="11"/>
  <c r="R379" i="11"/>
  <c r="R375" i="11"/>
  <c r="R371" i="11"/>
  <c r="R367" i="11"/>
  <c r="R363" i="11"/>
  <c r="R359" i="11"/>
  <c r="R355" i="11"/>
  <c r="R351" i="11"/>
  <c r="R347" i="11"/>
  <c r="R343" i="11"/>
  <c r="R339" i="11"/>
  <c r="R335" i="11"/>
  <c r="R331" i="11"/>
  <c r="R327" i="11"/>
  <c r="R323" i="11"/>
  <c r="R319" i="11"/>
  <c r="R315" i="11"/>
  <c r="R311" i="11"/>
  <c r="R307" i="11"/>
  <c r="R303" i="11"/>
  <c r="R299" i="11"/>
  <c r="R295" i="11"/>
  <c r="R291" i="11"/>
  <c r="R287" i="11"/>
  <c r="R283" i="11"/>
  <c r="R279" i="11"/>
  <c r="R275" i="11"/>
  <c r="R271" i="11"/>
  <c r="R267" i="11"/>
  <c r="R263" i="11"/>
  <c r="R259" i="11"/>
  <c r="R255" i="11"/>
  <c r="R251" i="11"/>
  <c r="R247" i="11"/>
  <c r="R243" i="11"/>
  <c r="R239" i="11"/>
  <c r="R235" i="11"/>
  <c r="R231" i="11"/>
  <c r="R227" i="11"/>
  <c r="R223" i="11"/>
  <c r="R219" i="11"/>
  <c r="R215" i="11"/>
  <c r="R211" i="11"/>
  <c r="R207" i="11"/>
  <c r="R203" i="11"/>
  <c r="R199" i="11"/>
  <c r="R195" i="11"/>
  <c r="R191" i="11"/>
  <c r="R187" i="11"/>
  <c r="R183" i="11"/>
  <c r="R179" i="11"/>
  <c r="R175" i="11"/>
  <c r="R171" i="11"/>
  <c r="R167" i="11"/>
  <c r="R163" i="11"/>
  <c r="R159" i="11"/>
  <c r="R155" i="11"/>
  <c r="R151" i="11"/>
  <c r="R147" i="11"/>
  <c r="R143" i="11"/>
  <c r="R139" i="11"/>
  <c r="R135" i="11"/>
  <c r="R131" i="11"/>
  <c r="R127" i="11"/>
  <c r="R123" i="11"/>
  <c r="R119" i="11"/>
  <c r="R115" i="11"/>
  <c r="R111" i="11"/>
  <c r="R107" i="11"/>
  <c r="R103" i="11"/>
  <c r="R99" i="11"/>
  <c r="R95" i="11"/>
  <c r="R91" i="11"/>
  <c r="R87" i="11"/>
  <c r="R83" i="11"/>
  <c r="R79" i="11"/>
  <c r="R75" i="11"/>
  <c r="R71" i="11"/>
  <c r="R67" i="11"/>
  <c r="R63" i="11"/>
  <c r="R59" i="11"/>
  <c r="R55" i="11"/>
  <c r="R51" i="11"/>
  <c r="R47" i="11"/>
  <c r="R43" i="11"/>
  <c r="R39" i="11"/>
  <c r="R35" i="11"/>
  <c r="R31" i="11"/>
  <c r="R27" i="11"/>
  <c r="R23" i="11"/>
  <c r="R19" i="11"/>
  <c r="R15" i="11"/>
  <c r="R11" i="11"/>
  <c r="R7" i="11"/>
  <c r="R434" i="11"/>
  <c r="R430" i="11"/>
  <c r="R422" i="11"/>
  <c r="R414" i="11"/>
  <c r="R406" i="11"/>
  <c r="R398" i="11"/>
  <c r="R394" i="11"/>
  <c r="R386" i="11"/>
  <c r="R382" i="11"/>
  <c r="R370" i="11"/>
  <c r="R366" i="11"/>
  <c r="R354" i="11"/>
  <c r="R350" i="11"/>
  <c r="R342" i="11"/>
  <c r="R338" i="11"/>
  <c r="R330" i="11"/>
  <c r="R326" i="11"/>
  <c r="R310" i="11"/>
  <c r="R302" i="11"/>
  <c r="R286" i="11"/>
  <c r="R274" i="11"/>
  <c r="R266" i="11"/>
  <c r="R254" i="11"/>
  <c r="R238" i="11"/>
  <c r="R134" i="11"/>
  <c r="R433" i="11"/>
  <c r="R425" i="11"/>
  <c r="R417" i="11"/>
  <c r="R413" i="11"/>
  <c r="R405" i="11"/>
  <c r="R401" i="11"/>
  <c r="R385" i="11"/>
  <c r="R381" i="11"/>
  <c r="R369" i="11"/>
  <c r="R365" i="11"/>
  <c r="R357" i="11"/>
  <c r="R353" i="11"/>
  <c r="R341" i="11"/>
  <c r="R337" i="11"/>
  <c r="R321" i="11"/>
  <c r="R309" i="11"/>
  <c r="R293" i="11"/>
  <c r="R285" i="11"/>
  <c r="R277" i="11"/>
  <c r="R269" i="11"/>
  <c r="R265" i="11"/>
  <c r="R245" i="11"/>
  <c r="R225" i="11"/>
  <c r="R213" i="11"/>
  <c r="R209" i="11"/>
  <c r="R201" i="11"/>
  <c r="R189" i="11"/>
  <c r="R181" i="11"/>
  <c r="R173" i="11"/>
  <c r="R169" i="11"/>
  <c r="R161" i="11"/>
  <c r="R149" i="11"/>
  <c r="R137" i="11"/>
  <c r="R129" i="11"/>
  <c r="R121" i="11"/>
  <c r="R113" i="11"/>
  <c r="R101" i="11"/>
  <c r="R97" i="11"/>
  <c r="R89" i="11"/>
  <c r="R81" i="11"/>
  <c r="R73" i="11"/>
  <c r="R61" i="11"/>
  <c r="R49" i="11"/>
  <c r="R41" i="11"/>
  <c r="R33" i="11"/>
  <c r="R25" i="11"/>
  <c r="R21" i="11"/>
  <c r="R13" i="11"/>
  <c r="R9" i="11"/>
  <c r="R5" i="11"/>
  <c r="B151" i="12" l="1"/>
  <c r="A151" i="12" s="1"/>
  <c r="B294" i="12"/>
  <c r="A294" i="12" s="1"/>
  <c r="B149" i="12"/>
  <c r="A149" i="12" s="1"/>
  <c r="B221" i="12"/>
  <c r="A221" i="12" s="1"/>
  <c r="B5" i="12"/>
  <c r="A5" i="12" s="1"/>
  <c r="B365" i="12"/>
  <c r="A365" i="12" s="1"/>
  <c r="B295" i="12"/>
  <c r="A295" i="12" s="1"/>
  <c r="B222" i="12"/>
  <c r="A222" i="12" s="1"/>
  <c r="B77" i="12"/>
  <c r="A77" i="12" s="1"/>
  <c r="B152" i="12" l="1"/>
  <c r="A152" i="12" s="1"/>
  <c r="B6" i="12"/>
  <c r="A6" i="12" s="1"/>
  <c r="B366" i="12"/>
  <c r="A366" i="12" s="1"/>
  <c r="B296" i="12"/>
  <c r="A296" i="12" s="1"/>
  <c r="B223" i="12"/>
  <c r="A223" i="12" s="1"/>
  <c r="B78" i="12"/>
  <c r="A78" i="12" s="1"/>
  <c r="B7" i="12" l="1"/>
  <c r="A7" i="12" s="1"/>
  <c r="B367" i="12"/>
  <c r="A367" i="12" s="1"/>
  <c r="B297" i="12"/>
  <c r="A297" i="12" s="1"/>
  <c r="B224" i="12"/>
  <c r="A224" i="12" s="1"/>
  <c r="B153" i="12"/>
  <c r="A153" i="12" s="1"/>
  <c r="B79" i="12"/>
  <c r="A79" i="12" s="1"/>
  <c r="C6" i="6"/>
  <c r="C7" i="6" s="1"/>
  <c r="C8" i="6" s="1"/>
  <c r="C5" i="6"/>
  <c r="C4" i="6"/>
  <c r="B8" i="12" l="1"/>
  <c r="A8" i="12" s="1"/>
  <c r="B368" i="12"/>
  <c r="A368" i="12" s="1"/>
  <c r="B298" i="12"/>
  <c r="A298" i="12" s="1"/>
  <c r="B225" i="12"/>
  <c r="A225" i="12" s="1"/>
  <c r="B154" i="12"/>
  <c r="A154" i="12" s="1"/>
  <c r="B80" i="12"/>
  <c r="A80" i="12" s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14" i="6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Q49" i="6" l="1"/>
  <c r="AQ45" i="6"/>
  <c r="AQ48" i="6"/>
  <c r="AQ44" i="6"/>
  <c r="AQ47" i="6"/>
  <c r="AQ46" i="6"/>
  <c r="AQ41" i="6"/>
  <c r="AQ43" i="6"/>
  <c r="AQ39" i="6"/>
  <c r="AQ40" i="6"/>
  <c r="AQ42" i="6"/>
  <c r="AQ38" i="6"/>
  <c r="AQ37" i="6"/>
  <c r="AQ33" i="6"/>
  <c r="AQ36" i="6"/>
  <c r="AQ32" i="6"/>
  <c r="AQ35" i="6"/>
  <c r="AQ34" i="6"/>
  <c r="AQ29" i="6"/>
  <c r="AQ27" i="6"/>
  <c r="AQ28" i="6"/>
  <c r="AQ31" i="6"/>
  <c r="AQ30" i="6"/>
  <c r="AQ26" i="6"/>
  <c r="AQ25" i="6"/>
  <c r="AQ21" i="6"/>
  <c r="AQ24" i="6"/>
  <c r="AQ20" i="6"/>
  <c r="AQ23" i="6"/>
  <c r="AQ22" i="6"/>
  <c r="AQ17" i="6"/>
  <c r="AQ19" i="6"/>
  <c r="AQ15" i="6"/>
  <c r="AQ16" i="6"/>
  <c r="AQ18" i="6"/>
  <c r="AQ14" i="6"/>
  <c r="B9" i="12"/>
  <c r="A9" i="12" s="1"/>
  <c r="B369" i="12"/>
  <c r="A369" i="12" s="1"/>
  <c r="B299" i="12"/>
  <c r="A299" i="12" s="1"/>
  <c r="B226" i="12"/>
  <c r="A226" i="12" s="1"/>
  <c r="B155" i="12"/>
  <c r="A155" i="12" s="1"/>
  <c r="B81" i="12"/>
  <c r="A81" i="12" s="1"/>
  <c r="AH357" i="6"/>
  <c r="AI357" i="6"/>
  <c r="AH358" i="6"/>
  <c r="AI358" i="6"/>
  <c r="AH359" i="6"/>
  <c r="AI359" i="6"/>
  <c r="AH360" i="6"/>
  <c r="AI360" i="6"/>
  <c r="AH361" i="6"/>
  <c r="AI361" i="6"/>
  <c r="AH362" i="6"/>
  <c r="AI362" i="6"/>
  <c r="AH363" i="6"/>
  <c r="AI363" i="6"/>
  <c r="AH364" i="6"/>
  <c r="AI364" i="6"/>
  <c r="AH365" i="6"/>
  <c r="AI365" i="6"/>
  <c r="AH366" i="6"/>
  <c r="AI366" i="6"/>
  <c r="AH367" i="6"/>
  <c r="AI367" i="6"/>
  <c r="AH368" i="6"/>
  <c r="AI368" i="6"/>
  <c r="AH369" i="6"/>
  <c r="AI369" i="6"/>
  <c r="AH370" i="6"/>
  <c r="AI370" i="6"/>
  <c r="AH371" i="6"/>
  <c r="AI371" i="6"/>
  <c r="AH372" i="6"/>
  <c r="AI372" i="6"/>
  <c r="AH373" i="6"/>
  <c r="AI373" i="6"/>
  <c r="AH374" i="6"/>
  <c r="AI374" i="6"/>
  <c r="AH375" i="6"/>
  <c r="AI375" i="6"/>
  <c r="AH376" i="6"/>
  <c r="AI376" i="6"/>
  <c r="AH377" i="6"/>
  <c r="AI377" i="6"/>
  <c r="AH378" i="6"/>
  <c r="AI378" i="6"/>
  <c r="AH379" i="6"/>
  <c r="AI379" i="6"/>
  <c r="AH380" i="6"/>
  <c r="AI380" i="6"/>
  <c r="AH381" i="6"/>
  <c r="AI381" i="6"/>
  <c r="AH382" i="6"/>
  <c r="AI382" i="6"/>
  <c r="AH383" i="6"/>
  <c r="AI383" i="6"/>
  <c r="AH384" i="6"/>
  <c r="AI384" i="6"/>
  <c r="AH385" i="6"/>
  <c r="AI385" i="6"/>
  <c r="AH386" i="6"/>
  <c r="AI386" i="6"/>
  <c r="AJ386" i="6"/>
  <c r="AK386" i="6"/>
  <c r="AL386" i="6"/>
  <c r="AM386" i="6"/>
  <c r="AN386" i="6"/>
  <c r="AO386" i="6"/>
  <c r="AH387" i="6"/>
  <c r="AI387" i="6"/>
  <c r="AJ387" i="6"/>
  <c r="AK387" i="6"/>
  <c r="AL387" i="6"/>
  <c r="AM387" i="6"/>
  <c r="AN387" i="6"/>
  <c r="AO387" i="6"/>
  <c r="AH388" i="6"/>
  <c r="AI388" i="6"/>
  <c r="AJ388" i="6"/>
  <c r="AK388" i="6"/>
  <c r="AL388" i="6"/>
  <c r="AM388" i="6"/>
  <c r="AN388" i="6"/>
  <c r="AO388" i="6"/>
  <c r="AH389" i="6"/>
  <c r="AI389" i="6"/>
  <c r="AJ389" i="6"/>
  <c r="AK389" i="6"/>
  <c r="AL389" i="6"/>
  <c r="AM389" i="6"/>
  <c r="AN389" i="6"/>
  <c r="AO389" i="6"/>
  <c r="AH390" i="6"/>
  <c r="AI390" i="6"/>
  <c r="AJ390" i="6"/>
  <c r="AK390" i="6"/>
  <c r="AL390" i="6"/>
  <c r="AM390" i="6"/>
  <c r="AN390" i="6"/>
  <c r="AO390" i="6"/>
  <c r="AH391" i="6"/>
  <c r="AI391" i="6"/>
  <c r="AJ391" i="6"/>
  <c r="AK391" i="6"/>
  <c r="AL391" i="6"/>
  <c r="AM391" i="6"/>
  <c r="AN391" i="6"/>
  <c r="AO391" i="6"/>
  <c r="AH392" i="6"/>
  <c r="AI392" i="6"/>
  <c r="AJ392" i="6"/>
  <c r="AK392" i="6"/>
  <c r="AL392" i="6"/>
  <c r="AM392" i="6"/>
  <c r="AN392" i="6"/>
  <c r="AO392" i="6"/>
  <c r="AH393" i="6"/>
  <c r="AI393" i="6"/>
  <c r="AJ393" i="6"/>
  <c r="AK393" i="6"/>
  <c r="AL393" i="6"/>
  <c r="AM393" i="6"/>
  <c r="AN393" i="6"/>
  <c r="AO393" i="6"/>
  <c r="AH394" i="6"/>
  <c r="AI394" i="6"/>
  <c r="AJ394" i="6"/>
  <c r="AK394" i="6"/>
  <c r="AL394" i="6"/>
  <c r="AM394" i="6"/>
  <c r="AN394" i="6"/>
  <c r="AO394" i="6"/>
  <c r="AH395" i="6"/>
  <c r="AI395" i="6"/>
  <c r="AJ395" i="6"/>
  <c r="AK395" i="6"/>
  <c r="AL395" i="6"/>
  <c r="AM395" i="6"/>
  <c r="AN395" i="6"/>
  <c r="AO395" i="6"/>
  <c r="AH396" i="6"/>
  <c r="AI396" i="6"/>
  <c r="AJ396" i="6"/>
  <c r="AK396" i="6"/>
  <c r="AL396" i="6"/>
  <c r="AM396" i="6"/>
  <c r="AN396" i="6"/>
  <c r="AO396" i="6"/>
  <c r="AH397" i="6"/>
  <c r="AI397" i="6"/>
  <c r="AJ397" i="6"/>
  <c r="AK397" i="6"/>
  <c r="AL397" i="6"/>
  <c r="AM397" i="6"/>
  <c r="AN397" i="6"/>
  <c r="AO397" i="6"/>
  <c r="AH398" i="6"/>
  <c r="AI398" i="6"/>
  <c r="AJ398" i="6"/>
  <c r="AK398" i="6"/>
  <c r="AL398" i="6"/>
  <c r="AM398" i="6"/>
  <c r="AN398" i="6"/>
  <c r="AO398" i="6"/>
  <c r="AH399" i="6"/>
  <c r="AI399" i="6"/>
  <c r="AJ399" i="6"/>
  <c r="AK399" i="6"/>
  <c r="AL399" i="6"/>
  <c r="AM399" i="6"/>
  <c r="AN399" i="6"/>
  <c r="AO399" i="6"/>
  <c r="AH400" i="6"/>
  <c r="AI400" i="6"/>
  <c r="AJ400" i="6"/>
  <c r="AK400" i="6"/>
  <c r="AL400" i="6"/>
  <c r="AM400" i="6"/>
  <c r="AN400" i="6"/>
  <c r="AO400" i="6"/>
  <c r="AH401" i="6"/>
  <c r="AI401" i="6"/>
  <c r="AJ401" i="6"/>
  <c r="AK401" i="6"/>
  <c r="AL401" i="6"/>
  <c r="AM401" i="6"/>
  <c r="AN401" i="6"/>
  <c r="AO401" i="6"/>
  <c r="AH402" i="6"/>
  <c r="AI402" i="6"/>
  <c r="AJ402" i="6"/>
  <c r="AK402" i="6"/>
  <c r="AL402" i="6"/>
  <c r="AM402" i="6"/>
  <c r="AN402" i="6"/>
  <c r="AO402" i="6"/>
  <c r="AH403" i="6"/>
  <c r="AI403" i="6"/>
  <c r="AJ403" i="6"/>
  <c r="AK403" i="6"/>
  <c r="AL403" i="6"/>
  <c r="AM403" i="6"/>
  <c r="AN403" i="6"/>
  <c r="AO403" i="6"/>
  <c r="AH404" i="6"/>
  <c r="AI404" i="6"/>
  <c r="AJ404" i="6"/>
  <c r="AK404" i="6"/>
  <c r="AL404" i="6"/>
  <c r="AM404" i="6"/>
  <c r="AN404" i="6"/>
  <c r="AO404" i="6"/>
  <c r="AH405" i="6"/>
  <c r="AI405" i="6"/>
  <c r="AJ405" i="6"/>
  <c r="AK405" i="6"/>
  <c r="AL405" i="6"/>
  <c r="AM405" i="6"/>
  <c r="AN405" i="6"/>
  <c r="AO405" i="6"/>
  <c r="AH406" i="6"/>
  <c r="AI406" i="6"/>
  <c r="AJ406" i="6"/>
  <c r="AK406" i="6"/>
  <c r="AL406" i="6"/>
  <c r="AM406" i="6"/>
  <c r="AN406" i="6"/>
  <c r="AO406" i="6"/>
  <c r="AH407" i="6"/>
  <c r="AI407" i="6"/>
  <c r="AJ407" i="6"/>
  <c r="AK407" i="6"/>
  <c r="AL407" i="6"/>
  <c r="AM407" i="6"/>
  <c r="AN407" i="6"/>
  <c r="AO407" i="6"/>
  <c r="AH408" i="6"/>
  <c r="AI408" i="6"/>
  <c r="AJ408" i="6"/>
  <c r="AK408" i="6"/>
  <c r="AL408" i="6"/>
  <c r="AM408" i="6"/>
  <c r="AN408" i="6"/>
  <c r="AO408" i="6"/>
  <c r="AH409" i="6"/>
  <c r="AI409" i="6"/>
  <c r="AJ409" i="6"/>
  <c r="AK409" i="6"/>
  <c r="AL409" i="6"/>
  <c r="AM409" i="6"/>
  <c r="AN409" i="6"/>
  <c r="AO409" i="6"/>
  <c r="AH410" i="6"/>
  <c r="AI410" i="6"/>
  <c r="AJ410" i="6"/>
  <c r="AK410" i="6"/>
  <c r="AL410" i="6"/>
  <c r="AM410" i="6"/>
  <c r="AN410" i="6"/>
  <c r="AO410" i="6"/>
  <c r="AH411" i="6"/>
  <c r="AI411" i="6"/>
  <c r="AJ411" i="6"/>
  <c r="AK411" i="6"/>
  <c r="AL411" i="6"/>
  <c r="AM411" i="6"/>
  <c r="AN411" i="6"/>
  <c r="AO411" i="6"/>
  <c r="AH412" i="6"/>
  <c r="AI412" i="6"/>
  <c r="AJ412" i="6"/>
  <c r="AK412" i="6"/>
  <c r="AL412" i="6"/>
  <c r="AM412" i="6"/>
  <c r="AN412" i="6"/>
  <c r="AO412" i="6"/>
  <c r="AH413" i="6"/>
  <c r="AI413" i="6"/>
  <c r="AJ413" i="6"/>
  <c r="AK413" i="6"/>
  <c r="AL413" i="6"/>
  <c r="AM413" i="6"/>
  <c r="AN413" i="6"/>
  <c r="AO413" i="6"/>
  <c r="AH414" i="6"/>
  <c r="AI414" i="6"/>
  <c r="AJ414" i="6"/>
  <c r="AK414" i="6"/>
  <c r="AL414" i="6"/>
  <c r="AM414" i="6"/>
  <c r="AN414" i="6"/>
  <c r="AO414" i="6"/>
  <c r="AH415" i="6"/>
  <c r="AI415" i="6"/>
  <c r="AJ415" i="6"/>
  <c r="AK415" i="6"/>
  <c r="AL415" i="6"/>
  <c r="AM415" i="6"/>
  <c r="AN415" i="6"/>
  <c r="AO415" i="6"/>
  <c r="AH416" i="6"/>
  <c r="AI416" i="6"/>
  <c r="AJ416" i="6"/>
  <c r="AK416" i="6"/>
  <c r="AL416" i="6"/>
  <c r="AM416" i="6"/>
  <c r="AN416" i="6"/>
  <c r="AO416" i="6"/>
  <c r="AH417" i="6"/>
  <c r="AI417" i="6"/>
  <c r="AJ417" i="6"/>
  <c r="AK417" i="6"/>
  <c r="AL417" i="6"/>
  <c r="AM417" i="6"/>
  <c r="AN417" i="6"/>
  <c r="AO417" i="6"/>
  <c r="AH418" i="6"/>
  <c r="AI418" i="6"/>
  <c r="AJ418" i="6"/>
  <c r="AK418" i="6"/>
  <c r="AL418" i="6"/>
  <c r="AM418" i="6"/>
  <c r="AN418" i="6"/>
  <c r="AO418" i="6"/>
  <c r="AH419" i="6"/>
  <c r="AI419" i="6"/>
  <c r="AJ419" i="6"/>
  <c r="AK419" i="6"/>
  <c r="AL419" i="6"/>
  <c r="AM419" i="6"/>
  <c r="AN419" i="6"/>
  <c r="AO419" i="6"/>
  <c r="AH420" i="6"/>
  <c r="AI420" i="6"/>
  <c r="AJ420" i="6"/>
  <c r="AK420" i="6"/>
  <c r="AL420" i="6"/>
  <c r="AM420" i="6"/>
  <c r="AN420" i="6"/>
  <c r="AO420" i="6"/>
  <c r="AH421" i="6"/>
  <c r="AI421" i="6"/>
  <c r="AJ421" i="6"/>
  <c r="AK421" i="6"/>
  <c r="AL421" i="6"/>
  <c r="AM421" i="6"/>
  <c r="AN421" i="6"/>
  <c r="AO421" i="6"/>
  <c r="AH422" i="6"/>
  <c r="AI422" i="6"/>
  <c r="AJ422" i="6"/>
  <c r="AK422" i="6"/>
  <c r="AL422" i="6"/>
  <c r="AM422" i="6"/>
  <c r="AN422" i="6"/>
  <c r="AO422" i="6"/>
  <c r="AH423" i="6"/>
  <c r="AI423" i="6"/>
  <c r="AJ423" i="6"/>
  <c r="AK423" i="6"/>
  <c r="AL423" i="6"/>
  <c r="AM423" i="6"/>
  <c r="AN423" i="6"/>
  <c r="AO423" i="6"/>
  <c r="AH424" i="6"/>
  <c r="AI424" i="6"/>
  <c r="AJ424" i="6"/>
  <c r="AK424" i="6"/>
  <c r="AL424" i="6"/>
  <c r="AM424" i="6"/>
  <c r="AN424" i="6"/>
  <c r="AO424" i="6"/>
  <c r="AH425" i="6"/>
  <c r="AI425" i="6"/>
  <c r="AJ425" i="6"/>
  <c r="AK425" i="6"/>
  <c r="AL425" i="6"/>
  <c r="AM425" i="6"/>
  <c r="AN425" i="6"/>
  <c r="AO425" i="6"/>
  <c r="AH426" i="6"/>
  <c r="AI426" i="6"/>
  <c r="AJ426" i="6"/>
  <c r="AK426" i="6"/>
  <c r="AL426" i="6"/>
  <c r="AM426" i="6"/>
  <c r="AN426" i="6"/>
  <c r="AO426" i="6"/>
  <c r="AH427" i="6"/>
  <c r="AI427" i="6"/>
  <c r="AJ427" i="6"/>
  <c r="AK427" i="6"/>
  <c r="AL427" i="6"/>
  <c r="AM427" i="6"/>
  <c r="AN427" i="6"/>
  <c r="AO427" i="6"/>
  <c r="AH428" i="6"/>
  <c r="AI428" i="6"/>
  <c r="AJ428" i="6"/>
  <c r="AK428" i="6"/>
  <c r="AL428" i="6"/>
  <c r="AM428" i="6"/>
  <c r="AN428" i="6"/>
  <c r="AO428" i="6"/>
  <c r="AH429" i="6"/>
  <c r="AI429" i="6"/>
  <c r="AJ429" i="6"/>
  <c r="AK429" i="6"/>
  <c r="AL429" i="6"/>
  <c r="AM429" i="6"/>
  <c r="AN429" i="6"/>
  <c r="AO429" i="6"/>
  <c r="AH430" i="6"/>
  <c r="AI430" i="6"/>
  <c r="AJ430" i="6"/>
  <c r="AK430" i="6"/>
  <c r="AL430" i="6"/>
  <c r="AM430" i="6"/>
  <c r="AN430" i="6"/>
  <c r="AO430" i="6"/>
  <c r="AH431" i="6"/>
  <c r="AI431" i="6"/>
  <c r="AJ431" i="6"/>
  <c r="AK431" i="6"/>
  <c r="AL431" i="6"/>
  <c r="AM431" i="6"/>
  <c r="AN431" i="6"/>
  <c r="AO431" i="6"/>
  <c r="AH432" i="6"/>
  <c r="AI432" i="6"/>
  <c r="AJ432" i="6"/>
  <c r="AK432" i="6"/>
  <c r="AL432" i="6"/>
  <c r="AM432" i="6"/>
  <c r="AN432" i="6"/>
  <c r="AO432" i="6"/>
  <c r="AH433" i="6"/>
  <c r="AI433" i="6"/>
  <c r="AJ433" i="6"/>
  <c r="AK433" i="6"/>
  <c r="AL433" i="6"/>
  <c r="AM433" i="6"/>
  <c r="AN433" i="6"/>
  <c r="AO433" i="6"/>
  <c r="AH434" i="6"/>
  <c r="AI434" i="6"/>
  <c r="AJ434" i="6"/>
  <c r="AK434" i="6"/>
  <c r="AL434" i="6"/>
  <c r="AM434" i="6"/>
  <c r="AN434" i="6"/>
  <c r="AO434" i="6"/>
  <c r="AH435" i="6"/>
  <c r="AI435" i="6"/>
  <c r="AJ435" i="6"/>
  <c r="AK435" i="6"/>
  <c r="AL435" i="6"/>
  <c r="AM435" i="6"/>
  <c r="AN435" i="6"/>
  <c r="AO435" i="6"/>
  <c r="AH436" i="6"/>
  <c r="AI436" i="6"/>
  <c r="AJ436" i="6"/>
  <c r="AK436" i="6"/>
  <c r="AL436" i="6"/>
  <c r="AM436" i="6"/>
  <c r="AN436" i="6"/>
  <c r="AO436" i="6"/>
  <c r="AH437" i="6"/>
  <c r="AI437" i="6"/>
  <c r="AJ437" i="6"/>
  <c r="AK437" i="6"/>
  <c r="AL437" i="6"/>
  <c r="AM437" i="6"/>
  <c r="AN437" i="6"/>
  <c r="AO437" i="6"/>
  <c r="AH438" i="6"/>
  <c r="AI438" i="6"/>
  <c r="AJ438" i="6"/>
  <c r="AK438" i="6"/>
  <c r="AL438" i="6"/>
  <c r="AM438" i="6"/>
  <c r="AN438" i="6"/>
  <c r="AO438" i="6"/>
  <c r="AH439" i="6"/>
  <c r="AI439" i="6"/>
  <c r="AJ439" i="6"/>
  <c r="AK439" i="6"/>
  <c r="AL439" i="6"/>
  <c r="AM439" i="6"/>
  <c r="AN439" i="6"/>
  <c r="AO439" i="6"/>
  <c r="AH440" i="6"/>
  <c r="AI440" i="6"/>
  <c r="AJ440" i="6"/>
  <c r="AK440" i="6"/>
  <c r="AL440" i="6"/>
  <c r="AM440" i="6"/>
  <c r="AN440" i="6"/>
  <c r="AO440" i="6"/>
  <c r="AH441" i="6"/>
  <c r="AI441" i="6"/>
  <c r="AJ441" i="6"/>
  <c r="AK441" i="6"/>
  <c r="AL441" i="6"/>
  <c r="AM441" i="6"/>
  <c r="AN441" i="6"/>
  <c r="AO441" i="6"/>
  <c r="AH442" i="6"/>
  <c r="AI442" i="6"/>
  <c r="AJ442" i="6"/>
  <c r="AK442" i="6"/>
  <c r="AL442" i="6"/>
  <c r="AM442" i="6"/>
  <c r="AN442" i="6"/>
  <c r="AO442" i="6"/>
  <c r="AH443" i="6"/>
  <c r="AI443" i="6"/>
  <c r="AJ443" i="6"/>
  <c r="AK443" i="6"/>
  <c r="AL443" i="6"/>
  <c r="AM443" i="6"/>
  <c r="AN443" i="6"/>
  <c r="AO443" i="6"/>
  <c r="AH444" i="6"/>
  <c r="AI444" i="6"/>
  <c r="AJ444" i="6"/>
  <c r="AK444" i="6"/>
  <c r="AL444" i="6"/>
  <c r="AM444" i="6"/>
  <c r="AN444" i="6"/>
  <c r="AO444" i="6"/>
  <c r="AH445" i="6"/>
  <c r="AI445" i="6"/>
  <c r="AJ445" i="6"/>
  <c r="AK445" i="6"/>
  <c r="AL445" i="6"/>
  <c r="AM445" i="6"/>
  <c r="AN445" i="6"/>
  <c r="AO445" i="6"/>
  <c r="AH446" i="6"/>
  <c r="AI446" i="6"/>
  <c r="AJ446" i="6"/>
  <c r="AK446" i="6"/>
  <c r="AL446" i="6"/>
  <c r="AM446" i="6"/>
  <c r="AN446" i="6"/>
  <c r="AO446" i="6"/>
  <c r="AH447" i="6"/>
  <c r="AI447" i="6"/>
  <c r="AJ447" i="6"/>
  <c r="AK447" i="6"/>
  <c r="AL447" i="6"/>
  <c r="AM447" i="6"/>
  <c r="AN447" i="6"/>
  <c r="AO447" i="6"/>
  <c r="AH448" i="6"/>
  <c r="AI448" i="6"/>
  <c r="AJ448" i="6"/>
  <c r="AK448" i="6"/>
  <c r="AL448" i="6"/>
  <c r="AM448" i="6"/>
  <c r="AN448" i="6"/>
  <c r="AO448" i="6"/>
  <c r="AH449" i="6"/>
  <c r="AI449" i="6"/>
  <c r="AJ449" i="6"/>
  <c r="AK449" i="6"/>
  <c r="AL449" i="6"/>
  <c r="AM449" i="6"/>
  <c r="AN449" i="6"/>
  <c r="AO449" i="6"/>
  <c r="AH450" i="6"/>
  <c r="AI450" i="6"/>
  <c r="AJ450" i="6"/>
  <c r="AK450" i="6"/>
  <c r="AL450" i="6"/>
  <c r="AM450" i="6"/>
  <c r="AN450" i="6"/>
  <c r="AO450" i="6"/>
  <c r="AH451" i="6"/>
  <c r="AI451" i="6"/>
  <c r="AJ451" i="6"/>
  <c r="AK451" i="6"/>
  <c r="AL451" i="6"/>
  <c r="AM451" i="6"/>
  <c r="AN451" i="6"/>
  <c r="AO451" i="6"/>
  <c r="AH452" i="6"/>
  <c r="AI452" i="6"/>
  <c r="AJ452" i="6"/>
  <c r="AK452" i="6"/>
  <c r="AL452" i="6"/>
  <c r="AM452" i="6"/>
  <c r="AN452" i="6"/>
  <c r="AO452" i="6"/>
  <c r="AH453" i="6"/>
  <c r="AI453" i="6"/>
  <c r="AJ453" i="6"/>
  <c r="AK453" i="6"/>
  <c r="AL453" i="6"/>
  <c r="AM453" i="6"/>
  <c r="AN453" i="6"/>
  <c r="AO453" i="6"/>
  <c r="AH454" i="6"/>
  <c r="AI454" i="6"/>
  <c r="AJ454" i="6"/>
  <c r="AK454" i="6"/>
  <c r="AL454" i="6"/>
  <c r="AM454" i="6"/>
  <c r="AN454" i="6"/>
  <c r="AO454" i="6"/>
  <c r="AH455" i="6"/>
  <c r="AI455" i="6"/>
  <c r="AJ455" i="6"/>
  <c r="AK455" i="6"/>
  <c r="AL455" i="6"/>
  <c r="AM455" i="6"/>
  <c r="AN455" i="6"/>
  <c r="AO455" i="6"/>
  <c r="AH456" i="6"/>
  <c r="AI456" i="6"/>
  <c r="AJ456" i="6"/>
  <c r="AK456" i="6"/>
  <c r="AL456" i="6"/>
  <c r="AM456" i="6"/>
  <c r="AN456" i="6"/>
  <c r="AO456" i="6"/>
  <c r="AH457" i="6"/>
  <c r="AI457" i="6"/>
  <c r="AJ457" i="6"/>
  <c r="AK457" i="6"/>
  <c r="AL457" i="6"/>
  <c r="AM457" i="6"/>
  <c r="AN457" i="6"/>
  <c r="AO457" i="6"/>
  <c r="AH458" i="6"/>
  <c r="AI458" i="6"/>
  <c r="AJ458" i="6"/>
  <c r="AK458" i="6"/>
  <c r="AL458" i="6"/>
  <c r="AM458" i="6"/>
  <c r="AN458" i="6"/>
  <c r="AO458" i="6"/>
  <c r="AH459" i="6"/>
  <c r="AI459" i="6"/>
  <c r="AJ459" i="6"/>
  <c r="AK459" i="6"/>
  <c r="AL459" i="6"/>
  <c r="AM459" i="6"/>
  <c r="AN459" i="6"/>
  <c r="AO459" i="6"/>
  <c r="AH460" i="6"/>
  <c r="AI460" i="6"/>
  <c r="AJ460" i="6"/>
  <c r="AK460" i="6"/>
  <c r="AL460" i="6"/>
  <c r="AM460" i="6"/>
  <c r="AN460" i="6"/>
  <c r="AO460" i="6"/>
  <c r="AH461" i="6"/>
  <c r="AI461" i="6"/>
  <c r="AJ461" i="6"/>
  <c r="AK461" i="6"/>
  <c r="AL461" i="6"/>
  <c r="AM461" i="6"/>
  <c r="AN461" i="6"/>
  <c r="AO461" i="6"/>
  <c r="AH462" i="6"/>
  <c r="AI462" i="6"/>
  <c r="AJ462" i="6"/>
  <c r="AK462" i="6"/>
  <c r="AL462" i="6"/>
  <c r="AM462" i="6"/>
  <c r="AN462" i="6"/>
  <c r="AO462" i="6"/>
  <c r="AH463" i="6"/>
  <c r="AI463" i="6"/>
  <c r="AJ463" i="6"/>
  <c r="AK463" i="6"/>
  <c r="AL463" i="6"/>
  <c r="AM463" i="6"/>
  <c r="AN463" i="6"/>
  <c r="AO463" i="6"/>
  <c r="AH464" i="6"/>
  <c r="AI464" i="6"/>
  <c r="AJ464" i="6"/>
  <c r="AK464" i="6"/>
  <c r="AL464" i="6"/>
  <c r="AM464" i="6"/>
  <c r="AN464" i="6"/>
  <c r="AO464" i="6"/>
  <c r="AH465" i="6"/>
  <c r="AI465" i="6"/>
  <c r="AJ465" i="6"/>
  <c r="AK465" i="6"/>
  <c r="AL465" i="6"/>
  <c r="AM465" i="6"/>
  <c r="AN465" i="6"/>
  <c r="AO465" i="6"/>
  <c r="AH466" i="6"/>
  <c r="AI466" i="6"/>
  <c r="AJ466" i="6"/>
  <c r="AK466" i="6"/>
  <c r="AL466" i="6"/>
  <c r="AM466" i="6"/>
  <c r="AN466" i="6"/>
  <c r="AO466" i="6"/>
  <c r="AH467" i="6"/>
  <c r="AI467" i="6"/>
  <c r="AJ467" i="6"/>
  <c r="AK467" i="6"/>
  <c r="AL467" i="6"/>
  <c r="AM467" i="6"/>
  <c r="AN467" i="6"/>
  <c r="AO467" i="6"/>
  <c r="AH468" i="6"/>
  <c r="AI468" i="6"/>
  <c r="AJ468" i="6"/>
  <c r="AK468" i="6"/>
  <c r="AL468" i="6"/>
  <c r="AM468" i="6"/>
  <c r="AN468" i="6"/>
  <c r="AO468" i="6"/>
  <c r="AH469" i="6"/>
  <c r="AI469" i="6"/>
  <c r="AJ469" i="6"/>
  <c r="AK469" i="6"/>
  <c r="AL469" i="6"/>
  <c r="AM469" i="6"/>
  <c r="AN469" i="6"/>
  <c r="AO469" i="6"/>
  <c r="AH470" i="6"/>
  <c r="AI470" i="6"/>
  <c r="AJ470" i="6"/>
  <c r="AK470" i="6"/>
  <c r="AL470" i="6"/>
  <c r="AM470" i="6"/>
  <c r="AN470" i="6"/>
  <c r="AO470" i="6"/>
  <c r="AH471" i="6"/>
  <c r="AI471" i="6"/>
  <c r="AJ471" i="6"/>
  <c r="AK471" i="6"/>
  <c r="AL471" i="6"/>
  <c r="AM471" i="6"/>
  <c r="AN471" i="6"/>
  <c r="AO471" i="6"/>
  <c r="AH336" i="6"/>
  <c r="AI336" i="6"/>
  <c r="AH337" i="6"/>
  <c r="AI337" i="6"/>
  <c r="AH338" i="6"/>
  <c r="AI338" i="6"/>
  <c r="AH339" i="6"/>
  <c r="AI339" i="6"/>
  <c r="AH340" i="6"/>
  <c r="AI340" i="6"/>
  <c r="AH341" i="6"/>
  <c r="AI341" i="6"/>
  <c r="AH342" i="6"/>
  <c r="AI342" i="6"/>
  <c r="AH343" i="6"/>
  <c r="AI343" i="6"/>
  <c r="AH344" i="6"/>
  <c r="AI344" i="6"/>
  <c r="AH345" i="6"/>
  <c r="AI345" i="6"/>
  <c r="AH346" i="6"/>
  <c r="AI346" i="6"/>
  <c r="AH347" i="6"/>
  <c r="AI347" i="6"/>
  <c r="AH348" i="6"/>
  <c r="AI348" i="6"/>
  <c r="AH349" i="6"/>
  <c r="AI349" i="6"/>
  <c r="AH350" i="6"/>
  <c r="AI350" i="6"/>
  <c r="AH351" i="6"/>
  <c r="AI351" i="6"/>
  <c r="AH352" i="6"/>
  <c r="AI352" i="6"/>
  <c r="AH353" i="6"/>
  <c r="AI353" i="6"/>
  <c r="AH354" i="6"/>
  <c r="AI354" i="6"/>
  <c r="AH355" i="6"/>
  <c r="AI355" i="6"/>
  <c r="AH356" i="6"/>
  <c r="AI356" i="6"/>
  <c r="AH307" i="6"/>
  <c r="AI307" i="6"/>
  <c r="AH308" i="6"/>
  <c r="AI308" i="6"/>
  <c r="AH309" i="6"/>
  <c r="AI309" i="6"/>
  <c r="AH310" i="6"/>
  <c r="AI310" i="6"/>
  <c r="AH311" i="6"/>
  <c r="AI311" i="6"/>
  <c r="AH312" i="6"/>
  <c r="AI312" i="6"/>
  <c r="AH313" i="6"/>
  <c r="AI313" i="6"/>
  <c r="AH314" i="6"/>
  <c r="AI314" i="6"/>
  <c r="AH315" i="6"/>
  <c r="AI315" i="6"/>
  <c r="AH316" i="6"/>
  <c r="AI316" i="6"/>
  <c r="AH317" i="6"/>
  <c r="AI317" i="6"/>
  <c r="AH318" i="6"/>
  <c r="AI318" i="6"/>
  <c r="AH319" i="6"/>
  <c r="AI319" i="6"/>
  <c r="AH320" i="6"/>
  <c r="AI320" i="6"/>
  <c r="AH321" i="6"/>
  <c r="AI321" i="6"/>
  <c r="AH322" i="6"/>
  <c r="AI322" i="6"/>
  <c r="AH323" i="6"/>
  <c r="AI323" i="6"/>
  <c r="AH324" i="6"/>
  <c r="AI324" i="6"/>
  <c r="AH325" i="6"/>
  <c r="AI325" i="6"/>
  <c r="AH326" i="6"/>
  <c r="AI326" i="6"/>
  <c r="AH327" i="6"/>
  <c r="AI327" i="6"/>
  <c r="AH328" i="6"/>
  <c r="AI328" i="6"/>
  <c r="AH329" i="6"/>
  <c r="AI329" i="6"/>
  <c r="AH330" i="6"/>
  <c r="AI330" i="6"/>
  <c r="AH331" i="6"/>
  <c r="AI331" i="6"/>
  <c r="AH332" i="6"/>
  <c r="AI332" i="6"/>
  <c r="AH333" i="6"/>
  <c r="AI333" i="6"/>
  <c r="AH334" i="6"/>
  <c r="AI334" i="6"/>
  <c r="AH335" i="6"/>
  <c r="AI335" i="6"/>
  <c r="AH191" i="6"/>
  <c r="AI191" i="6"/>
  <c r="AH192" i="6"/>
  <c r="AI192" i="6"/>
  <c r="AH193" i="6"/>
  <c r="AI193" i="6"/>
  <c r="AH194" i="6"/>
  <c r="AI194" i="6"/>
  <c r="AH195" i="6"/>
  <c r="AI195" i="6"/>
  <c r="AH196" i="6"/>
  <c r="AI196" i="6"/>
  <c r="AH197" i="6"/>
  <c r="AI197" i="6"/>
  <c r="AH198" i="6"/>
  <c r="AI198" i="6"/>
  <c r="AH199" i="6"/>
  <c r="AI199" i="6"/>
  <c r="AH200" i="6"/>
  <c r="AI200" i="6"/>
  <c r="AH201" i="6"/>
  <c r="AI201" i="6"/>
  <c r="AH202" i="6"/>
  <c r="AI202" i="6"/>
  <c r="AH203" i="6"/>
  <c r="AI203" i="6"/>
  <c r="AH204" i="6"/>
  <c r="AI204" i="6"/>
  <c r="AH205" i="6"/>
  <c r="AI205" i="6"/>
  <c r="AH206" i="6"/>
  <c r="AI206" i="6"/>
  <c r="AH207" i="6"/>
  <c r="AI207" i="6"/>
  <c r="AH208" i="6"/>
  <c r="AI208" i="6"/>
  <c r="AH209" i="6"/>
  <c r="AI209" i="6"/>
  <c r="AH210" i="6"/>
  <c r="AI210" i="6"/>
  <c r="AH211" i="6"/>
  <c r="AI211" i="6"/>
  <c r="AH212" i="6"/>
  <c r="AI212" i="6"/>
  <c r="AH213" i="6"/>
  <c r="AI213" i="6"/>
  <c r="AH214" i="6"/>
  <c r="AI214" i="6"/>
  <c r="AH215" i="6"/>
  <c r="AI215" i="6"/>
  <c r="AH216" i="6"/>
  <c r="AI216" i="6"/>
  <c r="AH217" i="6"/>
  <c r="AI217" i="6"/>
  <c r="AH218" i="6"/>
  <c r="AI218" i="6"/>
  <c r="AH219" i="6"/>
  <c r="AI219" i="6"/>
  <c r="AH220" i="6"/>
  <c r="AI220" i="6"/>
  <c r="AH221" i="6"/>
  <c r="AI221" i="6"/>
  <c r="AH222" i="6"/>
  <c r="AI222" i="6"/>
  <c r="AH223" i="6"/>
  <c r="AI223" i="6"/>
  <c r="AH224" i="6"/>
  <c r="AI224" i="6"/>
  <c r="AH225" i="6"/>
  <c r="AI225" i="6"/>
  <c r="AH226" i="6"/>
  <c r="AI226" i="6"/>
  <c r="AH227" i="6"/>
  <c r="AI227" i="6"/>
  <c r="AH228" i="6"/>
  <c r="AI228" i="6"/>
  <c r="AH229" i="6"/>
  <c r="AI229" i="6"/>
  <c r="AH230" i="6"/>
  <c r="AI230" i="6"/>
  <c r="AH231" i="6"/>
  <c r="AI231" i="6"/>
  <c r="AH232" i="6"/>
  <c r="AI232" i="6"/>
  <c r="AH233" i="6"/>
  <c r="AI233" i="6"/>
  <c r="AH234" i="6"/>
  <c r="AI234" i="6"/>
  <c r="AH235" i="6"/>
  <c r="AI235" i="6"/>
  <c r="AH236" i="6"/>
  <c r="AI236" i="6"/>
  <c r="AH237" i="6"/>
  <c r="AI237" i="6"/>
  <c r="AH238" i="6"/>
  <c r="AI238" i="6"/>
  <c r="AH239" i="6"/>
  <c r="AI239" i="6"/>
  <c r="AH240" i="6"/>
  <c r="AI240" i="6"/>
  <c r="AH241" i="6"/>
  <c r="AI241" i="6"/>
  <c r="AH242" i="6"/>
  <c r="AI242" i="6"/>
  <c r="AH243" i="6"/>
  <c r="AI243" i="6"/>
  <c r="AH244" i="6"/>
  <c r="AI244" i="6"/>
  <c r="AH245" i="6"/>
  <c r="AI245" i="6"/>
  <c r="AH246" i="6"/>
  <c r="AI246" i="6"/>
  <c r="AH247" i="6"/>
  <c r="AI247" i="6"/>
  <c r="AH248" i="6"/>
  <c r="AI248" i="6"/>
  <c r="AH249" i="6"/>
  <c r="AI249" i="6"/>
  <c r="AH250" i="6"/>
  <c r="AI250" i="6"/>
  <c r="AH251" i="6"/>
  <c r="AI251" i="6"/>
  <c r="AH252" i="6"/>
  <c r="AI252" i="6"/>
  <c r="AH253" i="6"/>
  <c r="AI253" i="6"/>
  <c r="AH254" i="6"/>
  <c r="AI254" i="6"/>
  <c r="AH255" i="6"/>
  <c r="AI255" i="6"/>
  <c r="AH256" i="6"/>
  <c r="AI256" i="6"/>
  <c r="AH257" i="6"/>
  <c r="AI257" i="6"/>
  <c r="AH258" i="6"/>
  <c r="AI258" i="6"/>
  <c r="AH259" i="6"/>
  <c r="AI259" i="6"/>
  <c r="AH260" i="6"/>
  <c r="AI260" i="6"/>
  <c r="AH261" i="6"/>
  <c r="AI261" i="6"/>
  <c r="AH262" i="6"/>
  <c r="AI262" i="6"/>
  <c r="AH263" i="6"/>
  <c r="AI263" i="6"/>
  <c r="AH264" i="6"/>
  <c r="AI264" i="6"/>
  <c r="AH265" i="6"/>
  <c r="AI265" i="6"/>
  <c r="AH266" i="6"/>
  <c r="AI266" i="6"/>
  <c r="AH267" i="6"/>
  <c r="AI267" i="6"/>
  <c r="AH268" i="6"/>
  <c r="AI268" i="6"/>
  <c r="AH269" i="6"/>
  <c r="AI269" i="6"/>
  <c r="AH270" i="6"/>
  <c r="AI270" i="6"/>
  <c r="AH271" i="6"/>
  <c r="AI271" i="6"/>
  <c r="AH272" i="6"/>
  <c r="AI272" i="6"/>
  <c r="AH273" i="6"/>
  <c r="AI273" i="6"/>
  <c r="AH274" i="6"/>
  <c r="AI274" i="6"/>
  <c r="AH275" i="6"/>
  <c r="AI275" i="6"/>
  <c r="AH276" i="6"/>
  <c r="AI276" i="6"/>
  <c r="AH277" i="6"/>
  <c r="AI277" i="6"/>
  <c r="AH278" i="6"/>
  <c r="AI278" i="6"/>
  <c r="AH279" i="6"/>
  <c r="AI279" i="6"/>
  <c r="AH280" i="6"/>
  <c r="AI280" i="6"/>
  <c r="AH281" i="6"/>
  <c r="AI281" i="6"/>
  <c r="AH282" i="6"/>
  <c r="AI282" i="6"/>
  <c r="AH283" i="6"/>
  <c r="AI283" i="6"/>
  <c r="AH284" i="6"/>
  <c r="AI284" i="6"/>
  <c r="AH285" i="6"/>
  <c r="AI285" i="6"/>
  <c r="AH286" i="6"/>
  <c r="AI286" i="6"/>
  <c r="AH287" i="6"/>
  <c r="AI287" i="6"/>
  <c r="AH288" i="6"/>
  <c r="AI288" i="6"/>
  <c r="AH289" i="6"/>
  <c r="AI289" i="6"/>
  <c r="AH290" i="6"/>
  <c r="AI290" i="6"/>
  <c r="AH291" i="6"/>
  <c r="AI291" i="6"/>
  <c r="AH292" i="6"/>
  <c r="AI292" i="6"/>
  <c r="AH293" i="6"/>
  <c r="AI293" i="6"/>
  <c r="AH294" i="6"/>
  <c r="AI294" i="6"/>
  <c r="AH295" i="6"/>
  <c r="AI295" i="6"/>
  <c r="AH296" i="6"/>
  <c r="AI296" i="6"/>
  <c r="AH297" i="6"/>
  <c r="AI297" i="6"/>
  <c r="AH298" i="6"/>
  <c r="AI298" i="6"/>
  <c r="AH299" i="6"/>
  <c r="AI299" i="6"/>
  <c r="AH300" i="6"/>
  <c r="AI300" i="6"/>
  <c r="AH301" i="6"/>
  <c r="AI301" i="6"/>
  <c r="AH302" i="6"/>
  <c r="AI302" i="6"/>
  <c r="AH303" i="6"/>
  <c r="AI303" i="6"/>
  <c r="AH304" i="6"/>
  <c r="AI304" i="6"/>
  <c r="AH305" i="6"/>
  <c r="AI305" i="6"/>
  <c r="AH306" i="6"/>
  <c r="AI306" i="6"/>
  <c r="AH50" i="6"/>
  <c r="AI50" i="6"/>
  <c r="AH51" i="6"/>
  <c r="AI51" i="6"/>
  <c r="AH52" i="6"/>
  <c r="AI52" i="6"/>
  <c r="AH53" i="6"/>
  <c r="AI53" i="6"/>
  <c r="AH54" i="6"/>
  <c r="AI54" i="6"/>
  <c r="AH55" i="6"/>
  <c r="AI55" i="6"/>
  <c r="AH56" i="6"/>
  <c r="AI56" i="6"/>
  <c r="AH57" i="6"/>
  <c r="AI57" i="6"/>
  <c r="AH58" i="6"/>
  <c r="AI58" i="6"/>
  <c r="AH59" i="6"/>
  <c r="AI59" i="6"/>
  <c r="AH60" i="6"/>
  <c r="AI60" i="6"/>
  <c r="AH61" i="6"/>
  <c r="AI61" i="6"/>
  <c r="AH62" i="6"/>
  <c r="AI62" i="6"/>
  <c r="AH63" i="6"/>
  <c r="AI63" i="6"/>
  <c r="AH64" i="6"/>
  <c r="AI64" i="6"/>
  <c r="AH65" i="6"/>
  <c r="AI65" i="6"/>
  <c r="AH66" i="6"/>
  <c r="AI66" i="6"/>
  <c r="AH67" i="6"/>
  <c r="AI67" i="6"/>
  <c r="AH68" i="6"/>
  <c r="AI68" i="6"/>
  <c r="AH69" i="6"/>
  <c r="AI69" i="6"/>
  <c r="AH70" i="6"/>
  <c r="AI70" i="6"/>
  <c r="AH71" i="6"/>
  <c r="AI71" i="6"/>
  <c r="AH72" i="6"/>
  <c r="AI72" i="6"/>
  <c r="AH73" i="6"/>
  <c r="AI73" i="6"/>
  <c r="AH74" i="6"/>
  <c r="AI74" i="6"/>
  <c r="AH75" i="6"/>
  <c r="AI75" i="6"/>
  <c r="AH76" i="6"/>
  <c r="AI76" i="6"/>
  <c r="AH77" i="6"/>
  <c r="AI77" i="6"/>
  <c r="AH78" i="6"/>
  <c r="AI78" i="6"/>
  <c r="AH79" i="6"/>
  <c r="AI79" i="6"/>
  <c r="AH80" i="6"/>
  <c r="AI80" i="6"/>
  <c r="AH81" i="6"/>
  <c r="AI81" i="6"/>
  <c r="AH82" i="6"/>
  <c r="AI82" i="6"/>
  <c r="AH83" i="6"/>
  <c r="AI83" i="6"/>
  <c r="AH84" i="6"/>
  <c r="AI84" i="6"/>
  <c r="AH85" i="6"/>
  <c r="AI85" i="6"/>
  <c r="AH86" i="6"/>
  <c r="AI86" i="6"/>
  <c r="AH87" i="6"/>
  <c r="AI87" i="6"/>
  <c r="AH88" i="6"/>
  <c r="AI88" i="6"/>
  <c r="AH89" i="6"/>
  <c r="AI89" i="6"/>
  <c r="AH90" i="6"/>
  <c r="AI90" i="6"/>
  <c r="AH91" i="6"/>
  <c r="AI91" i="6"/>
  <c r="AH92" i="6"/>
  <c r="AI92" i="6"/>
  <c r="AH93" i="6"/>
  <c r="AI93" i="6"/>
  <c r="AH94" i="6"/>
  <c r="AI94" i="6"/>
  <c r="AH95" i="6"/>
  <c r="AI95" i="6"/>
  <c r="AH96" i="6"/>
  <c r="AI96" i="6"/>
  <c r="AH97" i="6"/>
  <c r="AI97" i="6"/>
  <c r="AH98" i="6"/>
  <c r="AI98" i="6"/>
  <c r="AH99" i="6"/>
  <c r="AI99" i="6"/>
  <c r="AH100" i="6"/>
  <c r="AI100" i="6"/>
  <c r="AH101" i="6"/>
  <c r="AI101" i="6"/>
  <c r="AH102" i="6"/>
  <c r="AI102" i="6"/>
  <c r="AH103" i="6"/>
  <c r="AI103" i="6"/>
  <c r="AH104" i="6"/>
  <c r="AI104" i="6"/>
  <c r="AH105" i="6"/>
  <c r="AI105" i="6"/>
  <c r="AH106" i="6"/>
  <c r="AI106" i="6"/>
  <c r="AH107" i="6"/>
  <c r="AI107" i="6"/>
  <c r="AH108" i="6"/>
  <c r="AI108" i="6"/>
  <c r="AH109" i="6"/>
  <c r="AI109" i="6"/>
  <c r="AH110" i="6"/>
  <c r="AI110" i="6"/>
  <c r="AH111" i="6"/>
  <c r="AI111" i="6"/>
  <c r="AH112" i="6"/>
  <c r="AI112" i="6"/>
  <c r="AH113" i="6"/>
  <c r="AI113" i="6"/>
  <c r="AH114" i="6"/>
  <c r="AI114" i="6"/>
  <c r="AH115" i="6"/>
  <c r="AI115" i="6"/>
  <c r="AH116" i="6"/>
  <c r="AI116" i="6"/>
  <c r="AH117" i="6"/>
  <c r="AI117" i="6"/>
  <c r="AH118" i="6"/>
  <c r="AI118" i="6"/>
  <c r="AH119" i="6"/>
  <c r="AI119" i="6"/>
  <c r="AH120" i="6"/>
  <c r="AI120" i="6"/>
  <c r="AH121" i="6"/>
  <c r="AI121" i="6"/>
  <c r="AH122" i="6"/>
  <c r="AI122" i="6"/>
  <c r="AH123" i="6"/>
  <c r="AI123" i="6"/>
  <c r="AH124" i="6"/>
  <c r="AI124" i="6"/>
  <c r="AH125" i="6"/>
  <c r="AI125" i="6"/>
  <c r="AH126" i="6"/>
  <c r="AI126" i="6"/>
  <c r="AH127" i="6"/>
  <c r="AI127" i="6"/>
  <c r="AH128" i="6"/>
  <c r="AI128" i="6"/>
  <c r="AH129" i="6"/>
  <c r="AI129" i="6"/>
  <c r="AH130" i="6"/>
  <c r="AI130" i="6"/>
  <c r="AH131" i="6"/>
  <c r="AI131" i="6"/>
  <c r="AH132" i="6"/>
  <c r="AI132" i="6"/>
  <c r="AH133" i="6"/>
  <c r="AI133" i="6"/>
  <c r="AH134" i="6"/>
  <c r="AI134" i="6"/>
  <c r="AH135" i="6"/>
  <c r="AI135" i="6"/>
  <c r="AH136" i="6"/>
  <c r="AI136" i="6"/>
  <c r="AH137" i="6"/>
  <c r="AI137" i="6"/>
  <c r="AH138" i="6"/>
  <c r="AI138" i="6"/>
  <c r="AH139" i="6"/>
  <c r="AI139" i="6"/>
  <c r="AH140" i="6"/>
  <c r="AI140" i="6"/>
  <c r="AH141" i="6"/>
  <c r="AI141" i="6"/>
  <c r="AH142" i="6"/>
  <c r="AI142" i="6"/>
  <c r="AH143" i="6"/>
  <c r="AI143" i="6"/>
  <c r="AH144" i="6"/>
  <c r="AI144" i="6"/>
  <c r="AH145" i="6"/>
  <c r="AI145" i="6"/>
  <c r="AH146" i="6"/>
  <c r="AI146" i="6"/>
  <c r="AH147" i="6"/>
  <c r="AI147" i="6"/>
  <c r="AH148" i="6"/>
  <c r="AI148" i="6"/>
  <c r="AH149" i="6"/>
  <c r="AI149" i="6"/>
  <c r="AH150" i="6"/>
  <c r="AI150" i="6"/>
  <c r="AH151" i="6"/>
  <c r="AI151" i="6"/>
  <c r="AH152" i="6"/>
  <c r="AI152" i="6"/>
  <c r="AH153" i="6"/>
  <c r="AI153" i="6"/>
  <c r="AH154" i="6"/>
  <c r="AI154" i="6"/>
  <c r="AH155" i="6"/>
  <c r="AI155" i="6"/>
  <c r="AH156" i="6"/>
  <c r="AI156" i="6"/>
  <c r="AH157" i="6"/>
  <c r="AI157" i="6"/>
  <c r="AH158" i="6"/>
  <c r="AI158" i="6"/>
  <c r="AH159" i="6"/>
  <c r="AI159" i="6"/>
  <c r="AH160" i="6"/>
  <c r="AI160" i="6"/>
  <c r="AH161" i="6"/>
  <c r="AI161" i="6"/>
  <c r="AH162" i="6"/>
  <c r="AI162" i="6"/>
  <c r="AH163" i="6"/>
  <c r="AI163" i="6"/>
  <c r="AH164" i="6"/>
  <c r="AI164" i="6"/>
  <c r="AH165" i="6"/>
  <c r="AI165" i="6"/>
  <c r="AH166" i="6"/>
  <c r="AI166" i="6"/>
  <c r="AH167" i="6"/>
  <c r="AI167" i="6"/>
  <c r="AH168" i="6"/>
  <c r="AI168" i="6"/>
  <c r="AH169" i="6"/>
  <c r="AI169" i="6"/>
  <c r="AH170" i="6"/>
  <c r="AI170" i="6"/>
  <c r="AH171" i="6"/>
  <c r="AI171" i="6"/>
  <c r="AH172" i="6"/>
  <c r="AI172" i="6"/>
  <c r="AH173" i="6"/>
  <c r="AI173" i="6"/>
  <c r="AH174" i="6"/>
  <c r="AI174" i="6"/>
  <c r="AH175" i="6"/>
  <c r="AI175" i="6"/>
  <c r="AH176" i="6"/>
  <c r="AI176" i="6"/>
  <c r="AH177" i="6"/>
  <c r="AI177" i="6"/>
  <c r="AH178" i="6"/>
  <c r="AI178" i="6"/>
  <c r="AH179" i="6"/>
  <c r="AI179" i="6"/>
  <c r="AH180" i="6"/>
  <c r="AI180" i="6"/>
  <c r="AH181" i="6"/>
  <c r="AI181" i="6"/>
  <c r="AH182" i="6"/>
  <c r="AI182" i="6"/>
  <c r="AH183" i="6"/>
  <c r="AI183" i="6"/>
  <c r="AH184" i="6"/>
  <c r="AI184" i="6"/>
  <c r="AH185" i="6"/>
  <c r="AI185" i="6"/>
  <c r="AH186" i="6"/>
  <c r="AI186" i="6"/>
  <c r="AH187" i="6"/>
  <c r="AI187" i="6"/>
  <c r="AH188" i="6"/>
  <c r="AI188" i="6"/>
  <c r="AH189" i="6"/>
  <c r="AI189" i="6"/>
  <c r="AH190" i="6"/>
  <c r="AI190" i="6"/>
  <c r="B10" i="12" l="1"/>
  <c r="A10" i="12" s="1"/>
  <c r="B370" i="12"/>
  <c r="A370" i="12" s="1"/>
  <c r="B300" i="12"/>
  <c r="A300" i="12" s="1"/>
  <c r="B227" i="12"/>
  <c r="A227" i="12" s="1"/>
  <c r="B156" i="12"/>
  <c r="A156" i="12" s="1"/>
  <c r="B82" i="12"/>
  <c r="A82" i="12" s="1"/>
  <c r="AG188" i="6"/>
  <c r="AG187" i="6"/>
  <c r="AG185" i="6"/>
  <c r="AG183" i="6"/>
  <c r="AG180" i="6"/>
  <c r="AG178" i="6"/>
  <c r="AG175" i="6"/>
  <c r="AG174" i="6"/>
  <c r="AG172" i="6"/>
  <c r="AG167" i="6"/>
  <c r="AG166" i="6"/>
  <c r="AG163" i="6"/>
  <c r="AG162" i="6"/>
  <c r="AG158" i="6"/>
  <c r="AG157" i="6"/>
  <c r="AG152" i="6"/>
  <c r="AG147" i="6"/>
  <c r="AG145" i="6"/>
  <c r="AG142" i="6"/>
  <c r="AG139" i="6"/>
  <c r="AG190" i="6"/>
  <c r="AG189" i="6"/>
  <c r="AG186" i="6"/>
  <c r="AG184" i="6"/>
  <c r="AG182" i="6"/>
  <c r="AG181" i="6"/>
  <c r="AG179" i="6"/>
  <c r="AG177" i="6"/>
  <c r="AG176" i="6"/>
  <c r="AG173" i="6"/>
  <c r="AG171" i="6"/>
  <c r="AG170" i="6"/>
  <c r="AG169" i="6"/>
  <c r="AG168" i="6"/>
  <c r="AG165" i="6"/>
  <c r="AG164" i="6"/>
  <c r="AG161" i="6"/>
  <c r="AG160" i="6"/>
  <c r="AG159" i="6"/>
  <c r="AG156" i="6"/>
  <c r="AG155" i="6"/>
  <c r="AG154" i="6"/>
  <c r="AG153" i="6"/>
  <c r="AG151" i="6"/>
  <c r="AG150" i="6"/>
  <c r="AG149" i="6"/>
  <c r="AG148" i="6"/>
  <c r="AG146" i="6"/>
  <c r="AG144" i="6"/>
  <c r="AG143" i="6"/>
  <c r="AG141" i="6"/>
  <c r="AG140" i="6"/>
  <c r="AG138" i="6"/>
  <c r="AG137" i="6"/>
  <c r="AG135" i="6"/>
  <c r="AG133" i="6"/>
  <c r="AG131" i="6"/>
  <c r="AG129" i="6"/>
  <c r="AG127" i="6"/>
  <c r="AG124" i="6"/>
  <c r="AG121" i="6"/>
  <c r="AG120" i="6"/>
  <c r="AG118" i="6"/>
  <c r="AG116" i="6"/>
  <c r="AG113" i="6"/>
  <c r="AG111" i="6"/>
  <c r="AG109" i="6"/>
  <c r="AG107" i="6"/>
  <c r="AG106" i="6"/>
  <c r="AG104" i="6"/>
  <c r="AG102" i="6"/>
  <c r="AG101" i="6"/>
  <c r="AG98" i="6"/>
  <c r="AG97" i="6"/>
  <c r="AG95" i="6"/>
  <c r="AG93" i="6"/>
  <c r="AG90" i="6"/>
  <c r="AG89" i="6"/>
  <c r="AG87" i="6"/>
  <c r="AG84" i="6"/>
  <c r="AG82" i="6"/>
  <c r="AG80" i="6"/>
  <c r="AG78" i="6"/>
  <c r="AG76" i="6"/>
  <c r="AG75" i="6"/>
  <c r="AG72" i="6"/>
  <c r="AG71" i="6"/>
  <c r="AG68" i="6"/>
  <c r="AG66" i="6"/>
  <c r="AG63" i="6"/>
  <c r="AG61" i="6"/>
  <c r="AG58" i="6"/>
  <c r="AG57" i="6"/>
  <c r="AG54" i="6"/>
  <c r="AG53" i="6"/>
  <c r="AG50" i="6"/>
  <c r="AG305" i="6"/>
  <c r="AG302" i="6"/>
  <c r="AG300" i="6"/>
  <c r="AG299" i="6"/>
  <c r="AG296" i="6"/>
  <c r="AG294" i="6"/>
  <c r="AG292" i="6"/>
  <c r="AG289" i="6"/>
  <c r="AG288" i="6"/>
  <c r="AG285" i="6"/>
  <c r="AG282" i="6"/>
  <c r="AG281" i="6"/>
  <c r="AG279" i="6"/>
  <c r="AG276" i="6"/>
  <c r="AG275" i="6"/>
  <c r="AG272" i="6"/>
  <c r="AG271" i="6"/>
  <c r="AG268" i="6"/>
  <c r="AG266" i="6"/>
  <c r="AG263" i="6"/>
  <c r="AG261" i="6"/>
  <c r="AG259" i="6"/>
  <c r="AG258" i="6"/>
  <c r="AG256" i="6"/>
  <c r="AG252" i="6"/>
  <c r="AG246" i="6"/>
  <c r="AG197" i="6"/>
  <c r="AG136" i="6"/>
  <c r="AG134" i="6"/>
  <c r="AG132" i="6"/>
  <c r="AG130" i="6"/>
  <c r="AG128" i="6"/>
  <c r="AG126" i="6"/>
  <c r="AG125" i="6"/>
  <c r="AG123" i="6"/>
  <c r="AG122" i="6"/>
  <c r="AG119" i="6"/>
  <c r="AG117" i="6"/>
  <c r="AG115" i="6"/>
  <c r="AG114" i="6"/>
  <c r="AG112" i="6"/>
  <c r="AG110" i="6"/>
  <c r="AG108" i="6"/>
  <c r="AG105" i="6"/>
  <c r="AG103" i="6"/>
  <c r="AG100" i="6"/>
  <c r="AG99" i="6"/>
  <c r="AG96" i="6"/>
  <c r="AG94" i="6"/>
  <c r="AG92" i="6"/>
  <c r="AG91" i="6"/>
  <c r="AG88" i="6"/>
  <c r="AG86" i="6"/>
  <c r="AG85" i="6"/>
  <c r="AG83" i="6"/>
  <c r="AG81" i="6"/>
  <c r="AG79" i="6"/>
  <c r="AG77" i="6"/>
  <c r="AG74" i="6"/>
  <c r="AG73" i="6"/>
  <c r="AG70" i="6"/>
  <c r="AG69" i="6"/>
  <c r="AG67" i="6"/>
  <c r="AG65" i="6"/>
  <c r="AG64" i="6"/>
  <c r="AG62" i="6"/>
  <c r="AG60" i="6"/>
  <c r="AG59" i="6"/>
  <c r="AG56" i="6"/>
  <c r="AG55" i="6"/>
  <c r="AG52" i="6"/>
  <c r="AG51" i="6"/>
  <c r="AG306" i="6"/>
  <c r="AG304" i="6"/>
  <c r="AG303" i="6"/>
  <c r="AG301" i="6"/>
  <c r="AG298" i="6"/>
  <c r="AG297" i="6"/>
  <c r="AG295" i="6"/>
  <c r="AG293" i="6"/>
  <c r="AG291" i="6"/>
  <c r="AG290" i="6"/>
  <c r="AG287" i="6"/>
  <c r="AG286" i="6"/>
  <c r="AG284" i="6"/>
  <c r="AG283" i="6"/>
  <c r="AG280" i="6"/>
  <c r="AG278" i="6"/>
  <c r="AG277" i="6"/>
  <c r="AG274" i="6"/>
  <c r="AG273" i="6"/>
  <c r="AG270" i="6"/>
  <c r="AG269" i="6"/>
  <c r="AG267" i="6"/>
  <c r="AG265" i="6"/>
  <c r="AG264" i="6"/>
  <c r="AG262" i="6"/>
  <c r="AG260" i="6"/>
  <c r="AG257" i="6"/>
  <c r="AG255" i="6"/>
  <c r="AG254" i="6"/>
  <c r="AG253" i="6"/>
  <c r="AG251" i="6"/>
  <c r="AG250" i="6"/>
  <c r="AG249" i="6"/>
  <c r="AG248" i="6"/>
  <c r="AG247" i="6"/>
  <c r="AG245" i="6"/>
  <c r="AG244" i="6"/>
  <c r="AG243" i="6"/>
  <c r="AG242" i="6"/>
  <c r="AG241" i="6"/>
  <c r="AG240" i="6"/>
  <c r="AG239" i="6"/>
  <c r="AG238" i="6"/>
  <c r="AG237" i="6"/>
  <c r="AG236" i="6"/>
  <c r="AG235" i="6"/>
  <c r="AG234" i="6"/>
  <c r="AG233" i="6"/>
  <c r="AG232" i="6"/>
  <c r="AG231" i="6"/>
  <c r="AG230" i="6"/>
  <c r="AG229" i="6"/>
  <c r="AG228" i="6"/>
  <c r="AG227" i="6"/>
  <c r="AG226" i="6"/>
  <c r="AG225" i="6"/>
  <c r="AG224" i="6"/>
  <c r="AG223" i="6"/>
  <c r="AG222" i="6"/>
  <c r="AG221" i="6"/>
  <c r="AG220" i="6"/>
  <c r="AG219" i="6"/>
  <c r="AG218" i="6"/>
  <c r="AG217" i="6"/>
  <c r="AG216" i="6"/>
  <c r="AG215" i="6"/>
  <c r="AG214" i="6"/>
  <c r="AG213" i="6"/>
  <c r="AG212" i="6"/>
  <c r="AG211" i="6"/>
  <c r="AG210" i="6"/>
  <c r="AG209" i="6"/>
  <c r="AG208" i="6"/>
  <c r="AG207" i="6"/>
  <c r="AG206" i="6"/>
  <c r="AG205" i="6"/>
  <c r="AG204" i="6"/>
  <c r="AG203" i="6"/>
  <c r="AG202" i="6"/>
  <c r="AG201" i="6"/>
  <c r="AG200" i="6"/>
  <c r="AG199" i="6"/>
  <c r="AG198" i="6"/>
  <c r="AG196" i="6"/>
  <c r="AG195" i="6"/>
  <c r="AG194" i="6"/>
  <c r="AG193" i="6"/>
  <c r="AG192" i="6"/>
  <c r="AG191" i="6"/>
  <c r="AG335" i="6"/>
  <c r="AG334" i="6"/>
  <c r="AG333" i="6"/>
  <c r="AG332" i="6"/>
  <c r="AG331" i="6"/>
  <c r="AG330" i="6"/>
  <c r="AG329" i="6"/>
  <c r="AG328" i="6"/>
  <c r="AG327" i="6"/>
  <c r="AG326" i="6"/>
  <c r="AG325" i="6"/>
  <c r="AG324" i="6"/>
  <c r="AG323" i="6"/>
  <c r="AG322" i="6"/>
  <c r="AG321" i="6"/>
  <c r="AG320" i="6"/>
  <c r="AG319" i="6"/>
  <c r="AG318" i="6"/>
  <c r="AG317" i="6"/>
  <c r="AG316" i="6"/>
  <c r="AG315" i="6"/>
  <c r="AG314" i="6"/>
  <c r="AG313" i="6"/>
  <c r="AG312" i="6"/>
  <c r="AG311" i="6"/>
  <c r="AG310" i="6"/>
  <c r="AG309" i="6"/>
  <c r="AG308" i="6"/>
  <c r="AG307" i="6"/>
  <c r="AG356" i="6"/>
  <c r="AG355" i="6"/>
  <c r="AG354" i="6"/>
  <c r="AG353" i="6"/>
  <c r="AG352" i="6"/>
  <c r="AG351" i="6"/>
  <c r="AG350" i="6"/>
  <c r="AG349" i="6"/>
  <c r="AG348" i="6"/>
  <c r="AG347" i="6"/>
  <c r="AG346" i="6"/>
  <c r="AG345" i="6"/>
  <c r="AG344" i="6"/>
  <c r="AG343" i="6"/>
  <c r="AG342" i="6"/>
  <c r="AG341" i="6"/>
  <c r="AG340" i="6"/>
  <c r="AG339" i="6"/>
  <c r="AG338" i="6"/>
  <c r="AG337" i="6"/>
  <c r="AG336" i="6"/>
  <c r="AG471" i="6"/>
  <c r="AG470" i="6"/>
  <c r="AG469" i="6"/>
  <c r="AG468" i="6"/>
  <c r="AG467" i="6"/>
  <c r="AG464" i="6"/>
  <c r="AG463" i="6"/>
  <c r="AG456" i="6"/>
  <c r="AG452" i="6"/>
  <c r="AG448" i="6"/>
  <c r="AG443" i="6"/>
  <c r="AG440" i="6"/>
  <c r="AG432" i="6"/>
  <c r="AG431" i="6"/>
  <c r="AG424" i="6"/>
  <c r="AG420" i="6"/>
  <c r="AG416" i="6"/>
  <c r="AG411" i="6"/>
  <c r="AG408" i="6"/>
  <c r="AG400" i="6"/>
  <c r="AG399" i="6"/>
  <c r="AG392" i="6"/>
  <c r="AG388" i="6"/>
  <c r="AG384" i="6"/>
  <c r="AG379" i="6"/>
  <c r="AG376" i="6"/>
  <c r="AG368" i="6"/>
  <c r="AG367" i="6"/>
  <c r="AG360" i="6"/>
  <c r="AG460" i="6"/>
  <c r="AG459" i="6"/>
  <c r="AG455" i="6"/>
  <c r="AG451" i="6"/>
  <c r="AG447" i="6"/>
  <c r="AG444" i="6"/>
  <c r="AG439" i="6"/>
  <c r="AG436" i="6"/>
  <c r="AG435" i="6"/>
  <c r="AG428" i="6"/>
  <c r="AG427" i="6"/>
  <c r="AG423" i="6"/>
  <c r="AG419" i="6"/>
  <c r="AG415" i="6"/>
  <c r="AG412" i="6"/>
  <c r="AG407" i="6"/>
  <c r="AG404" i="6"/>
  <c r="AG403" i="6"/>
  <c r="AG396" i="6"/>
  <c r="AG395" i="6"/>
  <c r="AG391" i="6"/>
  <c r="AG387" i="6"/>
  <c r="AG383" i="6"/>
  <c r="AG380" i="6"/>
  <c r="AG375" i="6"/>
  <c r="AG372" i="6"/>
  <c r="AG371" i="6"/>
  <c r="AG364" i="6"/>
  <c r="AG363" i="6"/>
  <c r="AG359" i="6"/>
  <c r="AG466" i="6"/>
  <c r="AG465" i="6"/>
  <c r="AG462" i="6"/>
  <c r="AG461" i="6"/>
  <c r="AG458" i="6"/>
  <c r="AG457" i="6"/>
  <c r="AG454" i="6"/>
  <c r="AG453" i="6"/>
  <c r="AG450" i="6"/>
  <c r="AG449" i="6"/>
  <c r="AG446" i="6"/>
  <c r="AG445" i="6"/>
  <c r="AG442" i="6"/>
  <c r="AG441" i="6"/>
  <c r="AG438" i="6"/>
  <c r="AG437" i="6"/>
  <c r="AG434" i="6"/>
  <c r="AG433" i="6"/>
  <c r="AG430" i="6"/>
  <c r="AG429" i="6"/>
  <c r="AG426" i="6"/>
  <c r="AG425" i="6"/>
  <c r="AG422" i="6"/>
  <c r="AG421" i="6"/>
  <c r="AG418" i="6"/>
  <c r="AG417" i="6"/>
  <c r="AG414" i="6"/>
  <c r="AG413" i="6"/>
  <c r="AG410" i="6"/>
  <c r="AG409" i="6"/>
  <c r="AG406" i="6"/>
  <c r="AG405" i="6"/>
  <c r="AG402" i="6"/>
  <c r="AG401" i="6"/>
  <c r="AG398" i="6"/>
  <c r="AG397" i="6"/>
  <c r="AG394" i="6"/>
  <c r="AG393" i="6"/>
  <c r="AG390" i="6"/>
  <c r="AG389" i="6"/>
  <c r="AG386" i="6"/>
  <c r="AG385" i="6"/>
  <c r="AG382" i="6"/>
  <c r="AG381" i="6"/>
  <c r="AG378" i="6"/>
  <c r="AG377" i="6"/>
  <c r="AG374" i="6"/>
  <c r="AG373" i="6"/>
  <c r="AG370" i="6"/>
  <c r="AG369" i="6"/>
  <c r="AG366" i="6"/>
  <c r="AG365" i="6"/>
  <c r="AG362" i="6"/>
  <c r="AG361" i="6"/>
  <c r="AG358" i="6"/>
  <c r="AG357" i="6"/>
  <c r="AJ50" i="6"/>
  <c r="AK50" i="6"/>
  <c r="AL50" i="6"/>
  <c r="AN50" i="6"/>
  <c r="AO50" i="6"/>
  <c r="AJ51" i="6"/>
  <c r="AK51" i="6"/>
  <c r="AL51" i="6"/>
  <c r="AM51" i="6"/>
  <c r="AN51" i="6"/>
  <c r="AO51" i="6"/>
  <c r="AJ52" i="6"/>
  <c r="AK52" i="6"/>
  <c r="AL52" i="6"/>
  <c r="AM52" i="6"/>
  <c r="AN52" i="6"/>
  <c r="AO52" i="6"/>
  <c r="AJ53" i="6"/>
  <c r="AK53" i="6"/>
  <c r="AL53" i="6"/>
  <c r="AN53" i="6"/>
  <c r="AO53" i="6"/>
  <c r="AJ54" i="6"/>
  <c r="AK54" i="6"/>
  <c r="AL54" i="6"/>
  <c r="AN54" i="6"/>
  <c r="AO54" i="6"/>
  <c r="AJ55" i="6"/>
  <c r="AK55" i="6"/>
  <c r="AL55" i="6"/>
  <c r="AM55" i="6"/>
  <c r="AN55" i="6"/>
  <c r="AO55" i="6"/>
  <c r="AJ56" i="6"/>
  <c r="AK56" i="6"/>
  <c r="AL56" i="6"/>
  <c r="AM56" i="6"/>
  <c r="AN56" i="6"/>
  <c r="AO56" i="6"/>
  <c r="AJ57" i="6"/>
  <c r="AK57" i="6"/>
  <c r="AL57" i="6"/>
  <c r="AM57" i="6"/>
  <c r="AN57" i="6"/>
  <c r="AO57" i="6"/>
  <c r="AJ58" i="6"/>
  <c r="AK58" i="6"/>
  <c r="AL58" i="6"/>
  <c r="AN58" i="6"/>
  <c r="AO58" i="6"/>
  <c r="AJ59" i="6"/>
  <c r="AK59" i="6"/>
  <c r="AL59" i="6"/>
  <c r="AM59" i="6"/>
  <c r="AN59" i="6"/>
  <c r="AO59" i="6"/>
  <c r="AJ60" i="6"/>
  <c r="AK60" i="6"/>
  <c r="AL60" i="6"/>
  <c r="AM60" i="6"/>
  <c r="AN60" i="6"/>
  <c r="AO60" i="6"/>
  <c r="AJ61" i="6"/>
  <c r="AK61" i="6"/>
  <c r="AL61" i="6"/>
  <c r="AM61" i="6"/>
  <c r="AN61" i="6"/>
  <c r="AO61" i="6"/>
  <c r="AJ62" i="6"/>
  <c r="AK62" i="6"/>
  <c r="AL62" i="6"/>
  <c r="AN62" i="6"/>
  <c r="AO62" i="6"/>
  <c r="AJ63" i="6"/>
  <c r="AK63" i="6"/>
  <c r="AL63" i="6"/>
  <c r="AM63" i="6"/>
  <c r="AN63" i="6"/>
  <c r="AO63" i="6"/>
  <c r="AJ64" i="6"/>
  <c r="AK64" i="6"/>
  <c r="AL64" i="6"/>
  <c r="AM64" i="6"/>
  <c r="AN64" i="6"/>
  <c r="AO64" i="6"/>
  <c r="AK65" i="6"/>
  <c r="AL65" i="6"/>
  <c r="AM65" i="6"/>
  <c r="AN65" i="6"/>
  <c r="AO65" i="6"/>
  <c r="AJ66" i="6"/>
  <c r="AK66" i="6"/>
  <c r="AL66" i="6"/>
  <c r="AN66" i="6"/>
  <c r="AO66" i="6"/>
  <c r="AJ67" i="6"/>
  <c r="AK67" i="6"/>
  <c r="AL67" i="6"/>
  <c r="AM67" i="6"/>
  <c r="AN67" i="6"/>
  <c r="AO67" i="6"/>
  <c r="AJ68" i="6"/>
  <c r="AK68" i="6"/>
  <c r="AL68" i="6"/>
  <c r="AM68" i="6"/>
  <c r="AN68" i="6"/>
  <c r="AO68" i="6"/>
  <c r="AJ69" i="6"/>
  <c r="AK69" i="6"/>
  <c r="AL69" i="6"/>
  <c r="AM69" i="6"/>
  <c r="AN69" i="6"/>
  <c r="AO69" i="6"/>
  <c r="AJ70" i="6"/>
  <c r="AL70" i="6"/>
  <c r="AM70" i="6"/>
  <c r="AN70" i="6"/>
  <c r="AO70" i="6"/>
  <c r="AJ71" i="6"/>
  <c r="AK71" i="6"/>
  <c r="AL71" i="6"/>
  <c r="AM71" i="6"/>
  <c r="AN71" i="6"/>
  <c r="AO71" i="6"/>
  <c r="AJ72" i="6"/>
  <c r="AK72" i="6"/>
  <c r="AL72" i="6"/>
  <c r="AM72" i="6"/>
  <c r="AN72" i="6"/>
  <c r="AO72" i="6"/>
  <c r="AJ73" i="6"/>
  <c r="AK73" i="6"/>
  <c r="AL73" i="6"/>
  <c r="AM73" i="6"/>
  <c r="AN73" i="6"/>
  <c r="AO73" i="6"/>
  <c r="AJ74" i="6"/>
  <c r="AK74" i="6"/>
  <c r="AL74" i="6"/>
  <c r="AN74" i="6"/>
  <c r="AO74" i="6"/>
  <c r="AJ75" i="6"/>
  <c r="AK75" i="6"/>
  <c r="AL75" i="6"/>
  <c r="AM75" i="6"/>
  <c r="AN75" i="6"/>
  <c r="AO75" i="6"/>
  <c r="AJ76" i="6"/>
  <c r="AK76" i="6"/>
  <c r="AL76" i="6"/>
  <c r="AM76" i="6"/>
  <c r="AN76" i="6"/>
  <c r="AO76" i="6"/>
  <c r="AJ77" i="6"/>
  <c r="AK77" i="6"/>
  <c r="AL77" i="6"/>
  <c r="AM77" i="6"/>
  <c r="AN77" i="6"/>
  <c r="AO77" i="6"/>
  <c r="AJ78" i="6"/>
  <c r="AK78" i="6"/>
  <c r="AL78" i="6"/>
  <c r="AN78" i="6"/>
  <c r="AO78" i="6"/>
  <c r="AJ79" i="6"/>
  <c r="AK79" i="6"/>
  <c r="AL79" i="6"/>
  <c r="AM79" i="6"/>
  <c r="AN79" i="6"/>
  <c r="AO79" i="6"/>
  <c r="AJ80" i="6"/>
  <c r="AK80" i="6"/>
  <c r="AL80" i="6"/>
  <c r="AM80" i="6"/>
  <c r="AN80" i="6"/>
  <c r="AO80" i="6"/>
  <c r="AK81" i="6"/>
  <c r="AL81" i="6"/>
  <c r="AM81" i="6"/>
  <c r="AN81" i="6"/>
  <c r="AO81" i="6"/>
  <c r="AJ82" i="6"/>
  <c r="AK82" i="6"/>
  <c r="AL82" i="6"/>
  <c r="AN82" i="6"/>
  <c r="AO82" i="6"/>
  <c r="AJ83" i="6"/>
  <c r="AK83" i="6"/>
  <c r="AL83" i="6"/>
  <c r="AM83" i="6"/>
  <c r="AN83" i="6"/>
  <c r="AO83" i="6"/>
  <c r="AJ84" i="6"/>
  <c r="AK84" i="6"/>
  <c r="AL84" i="6"/>
  <c r="AM84" i="6"/>
  <c r="AN84" i="6"/>
  <c r="AO84" i="6"/>
  <c r="AJ85" i="6"/>
  <c r="AK85" i="6"/>
  <c r="AL85" i="6"/>
  <c r="AM85" i="6"/>
  <c r="AN85" i="6"/>
  <c r="AO85" i="6"/>
  <c r="AJ86" i="6"/>
  <c r="AL86" i="6"/>
  <c r="AM86" i="6"/>
  <c r="AN86" i="6"/>
  <c r="AO86" i="6"/>
  <c r="AJ87" i="6"/>
  <c r="AK87" i="6"/>
  <c r="AL87" i="6"/>
  <c r="AM87" i="6"/>
  <c r="AN87" i="6"/>
  <c r="AO87" i="6"/>
  <c r="AJ88" i="6"/>
  <c r="AK88" i="6"/>
  <c r="AL88" i="6"/>
  <c r="AM88" i="6"/>
  <c r="AN88" i="6"/>
  <c r="AO88" i="6"/>
  <c r="AJ89" i="6"/>
  <c r="AK89" i="6"/>
  <c r="AL89" i="6"/>
  <c r="AM89" i="6"/>
  <c r="AN89" i="6"/>
  <c r="AO89" i="6"/>
  <c r="AJ90" i="6"/>
  <c r="AK90" i="6"/>
  <c r="AL90" i="6"/>
  <c r="AN90" i="6"/>
  <c r="AO90" i="6"/>
  <c r="AJ91" i="6"/>
  <c r="AK91" i="6"/>
  <c r="AL91" i="6"/>
  <c r="AM91" i="6"/>
  <c r="AN91" i="6"/>
  <c r="AO91" i="6"/>
  <c r="AJ92" i="6"/>
  <c r="AK92" i="6"/>
  <c r="AL92" i="6"/>
  <c r="AM92" i="6"/>
  <c r="AN92" i="6"/>
  <c r="AO92" i="6"/>
  <c r="AJ93" i="6"/>
  <c r="AK93" i="6"/>
  <c r="AL93" i="6"/>
  <c r="AM93" i="6"/>
  <c r="AN93" i="6"/>
  <c r="AO93" i="6"/>
  <c r="AJ94" i="6"/>
  <c r="AK94" i="6"/>
  <c r="AL94" i="6"/>
  <c r="AN94" i="6"/>
  <c r="AO94" i="6"/>
  <c r="AJ95" i="6"/>
  <c r="AK95" i="6"/>
  <c r="AL95" i="6"/>
  <c r="AM95" i="6"/>
  <c r="AN95" i="6"/>
  <c r="AO95" i="6"/>
  <c r="AJ96" i="6"/>
  <c r="AK96" i="6"/>
  <c r="AL96" i="6"/>
  <c r="AM96" i="6"/>
  <c r="AN96" i="6"/>
  <c r="AO96" i="6"/>
  <c r="AK97" i="6"/>
  <c r="AL97" i="6"/>
  <c r="AM97" i="6"/>
  <c r="AN97" i="6"/>
  <c r="AO97" i="6"/>
  <c r="AJ98" i="6"/>
  <c r="AK98" i="6"/>
  <c r="AL98" i="6"/>
  <c r="AN98" i="6"/>
  <c r="AO98" i="6"/>
  <c r="AJ99" i="6"/>
  <c r="AK99" i="6"/>
  <c r="AL99" i="6"/>
  <c r="AM99" i="6"/>
  <c r="AN99" i="6"/>
  <c r="AO99" i="6"/>
  <c r="AJ100" i="6"/>
  <c r="AK100" i="6"/>
  <c r="AL100" i="6"/>
  <c r="AM100" i="6"/>
  <c r="AN100" i="6"/>
  <c r="AO100" i="6"/>
  <c r="AJ101" i="6"/>
  <c r="AK101" i="6"/>
  <c r="AL101" i="6"/>
  <c r="AM101" i="6"/>
  <c r="AN101" i="6"/>
  <c r="AO101" i="6"/>
  <c r="AJ102" i="6"/>
  <c r="AL102" i="6"/>
  <c r="AM102" i="6"/>
  <c r="AN102" i="6"/>
  <c r="AO102" i="6"/>
  <c r="AJ103" i="6"/>
  <c r="AK103" i="6"/>
  <c r="AL103" i="6"/>
  <c r="AM103" i="6"/>
  <c r="AN103" i="6"/>
  <c r="AO103" i="6"/>
  <c r="AJ104" i="6"/>
  <c r="AK104" i="6"/>
  <c r="AL104" i="6"/>
  <c r="AM104" i="6"/>
  <c r="AN104" i="6"/>
  <c r="AO104" i="6"/>
  <c r="AJ105" i="6"/>
  <c r="AK105" i="6"/>
  <c r="AL105" i="6"/>
  <c r="AM105" i="6"/>
  <c r="AN105" i="6"/>
  <c r="AO105" i="6"/>
  <c r="AJ106" i="6"/>
  <c r="AK106" i="6"/>
  <c r="AL106" i="6"/>
  <c r="AN106" i="6"/>
  <c r="AO106" i="6"/>
  <c r="AJ107" i="6"/>
  <c r="AK107" i="6"/>
  <c r="AL107" i="6"/>
  <c r="AM107" i="6"/>
  <c r="AN107" i="6"/>
  <c r="AO107" i="6"/>
  <c r="AJ108" i="6"/>
  <c r="AK108" i="6"/>
  <c r="AL108" i="6"/>
  <c r="AM108" i="6"/>
  <c r="AN108" i="6"/>
  <c r="AO108" i="6"/>
  <c r="AJ109" i="6"/>
  <c r="AK109" i="6"/>
  <c r="AL109" i="6"/>
  <c r="AM109" i="6"/>
  <c r="AN109" i="6"/>
  <c r="AO109" i="6"/>
  <c r="AJ110" i="6"/>
  <c r="AK110" i="6"/>
  <c r="AL110" i="6"/>
  <c r="AN110" i="6"/>
  <c r="AO110" i="6"/>
  <c r="AJ111" i="6"/>
  <c r="AK111" i="6"/>
  <c r="AL111" i="6"/>
  <c r="AM111" i="6"/>
  <c r="AN111" i="6"/>
  <c r="AO111" i="6"/>
  <c r="AJ112" i="6"/>
  <c r="AK112" i="6"/>
  <c r="AL112" i="6"/>
  <c r="AM112" i="6"/>
  <c r="AN112" i="6"/>
  <c r="AO112" i="6"/>
  <c r="AK113" i="6"/>
  <c r="AL113" i="6"/>
  <c r="AM113" i="6"/>
  <c r="AN113" i="6"/>
  <c r="AO113" i="6"/>
  <c r="AJ114" i="6"/>
  <c r="AK114" i="6"/>
  <c r="AL114" i="6"/>
  <c r="AN114" i="6"/>
  <c r="AO114" i="6"/>
  <c r="AJ115" i="6"/>
  <c r="AK115" i="6"/>
  <c r="AL115" i="6"/>
  <c r="AM115" i="6"/>
  <c r="AN115" i="6"/>
  <c r="AO115" i="6"/>
  <c r="AJ116" i="6"/>
  <c r="AK116" i="6"/>
  <c r="AL116" i="6"/>
  <c r="AM116" i="6"/>
  <c r="AN116" i="6"/>
  <c r="AO116" i="6"/>
  <c r="AJ117" i="6"/>
  <c r="AK117" i="6"/>
  <c r="AL117" i="6"/>
  <c r="AM117" i="6"/>
  <c r="AN117" i="6"/>
  <c r="AO117" i="6"/>
  <c r="AJ118" i="6"/>
  <c r="AL118" i="6"/>
  <c r="AM118" i="6"/>
  <c r="AN118" i="6"/>
  <c r="AO118" i="6"/>
  <c r="AJ119" i="6"/>
  <c r="AK119" i="6"/>
  <c r="AL119" i="6"/>
  <c r="AM119" i="6"/>
  <c r="AN119" i="6"/>
  <c r="AO119" i="6"/>
  <c r="AJ120" i="6"/>
  <c r="AK120" i="6"/>
  <c r="AL120" i="6"/>
  <c r="AM120" i="6"/>
  <c r="AN120" i="6"/>
  <c r="AO120" i="6"/>
  <c r="AJ121" i="6"/>
  <c r="AK121" i="6"/>
  <c r="AL121" i="6"/>
  <c r="AM121" i="6"/>
  <c r="AN121" i="6"/>
  <c r="AO121" i="6"/>
  <c r="AJ122" i="6"/>
  <c r="AK122" i="6"/>
  <c r="AL122" i="6"/>
  <c r="AN122" i="6"/>
  <c r="AO122" i="6"/>
  <c r="AJ123" i="6"/>
  <c r="AK123" i="6"/>
  <c r="AL123" i="6"/>
  <c r="AM123" i="6"/>
  <c r="AN123" i="6"/>
  <c r="AO123" i="6"/>
  <c r="AJ124" i="6"/>
  <c r="AK124" i="6"/>
  <c r="AL124" i="6"/>
  <c r="AM124" i="6"/>
  <c r="AN124" i="6"/>
  <c r="AO124" i="6"/>
  <c r="AJ125" i="6"/>
  <c r="AK125" i="6"/>
  <c r="AL125" i="6"/>
  <c r="AM125" i="6"/>
  <c r="AN125" i="6"/>
  <c r="AO125" i="6"/>
  <c r="AJ126" i="6"/>
  <c r="AK126" i="6"/>
  <c r="AL126" i="6"/>
  <c r="AN126" i="6"/>
  <c r="AO126" i="6"/>
  <c r="AJ127" i="6"/>
  <c r="AK127" i="6"/>
  <c r="AL127" i="6"/>
  <c r="AM127" i="6"/>
  <c r="AN127" i="6"/>
  <c r="AO127" i="6"/>
  <c r="AJ128" i="6"/>
  <c r="AK128" i="6"/>
  <c r="AL128" i="6"/>
  <c r="AM128" i="6"/>
  <c r="AN128" i="6"/>
  <c r="AO128" i="6"/>
  <c r="AK129" i="6"/>
  <c r="AL129" i="6"/>
  <c r="AM129" i="6"/>
  <c r="AN129" i="6"/>
  <c r="AO129" i="6"/>
  <c r="AJ130" i="6"/>
  <c r="AK130" i="6"/>
  <c r="AL130" i="6"/>
  <c r="AN130" i="6"/>
  <c r="AO130" i="6"/>
  <c r="AJ131" i="6"/>
  <c r="AK131" i="6"/>
  <c r="AL131" i="6"/>
  <c r="AM131" i="6"/>
  <c r="AN131" i="6"/>
  <c r="AO131" i="6"/>
  <c r="AJ132" i="6"/>
  <c r="AK132" i="6"/>
  <c r="AL132" i="6"/>
  <c r="AM132" i="6"/>
  <c r="AN132" i="6"/>
  <c r="AO132" i="6"/>
  <c r="AJ133" i="6"/>
  <c r="AK133" i="6"/>
  <c r="AL133" i="6"/>
  <c r="AM133" i="6"/>
  <c r="AN133" i="6"/>
  <c r="AO133" i="6"/>
  <c r="AJ134" i="6"/>
  <c r="AL134" i="6"/>
  <c r="AM134" i="6"/>
  <c r="AN134" i="6"/>
  <c r="AO134" i="6"/>
  <c r="AJ135" i="6"/>
  <c r="AK135" i="6"/>
  <c r="AL135" i="6"/>
  <c r="AM135" i="6"/>
  <c r="AN135" i="6"/>
  <c r="AO135" i="6"/>
  <c r="AJ136" i="6"/>
  <c r="AK136" i="6"/>
  <c r="AL136" i="6"/>
  <c r="AM136" i="6"/>
  <c r="AN136" i="6"/>
  <c r="AO136" i="6"/>
  <c r="AJ137" i="6"/>
  <c r="AK137" i="6"/>
  <c r="AL137" i="6"/>
  <c r="AM137" i="6"/>
  <c r="AN137" i="6"/>
  <c r="AO137" i="6"/>
  <c r="AJ138" i="6"/>
  <c r="AK138" i="6"/>
  <c r="AL138" i="6"/>
  <c r="AN138" i="6"/>
  <c r="AO138" i="6"/>
  <c r="AJ139" i="6"/>
  <c r="AK139" i="6"/>
  <c r="AL139" i="6"/>
  <c r="AM139" i="6"/>
  <c r="AN139" i="6"/>
  <c r="AO139" i="6"/>
  <c r="AJ140" i="6"/>
  <c r="AK140" i="6"/>
  <c r="AL140" i="6"/>
  <c r="AM140" i="6"/>
  <c r="AN140" i="6"/>
  <c r="AO140" i="6"/>
  <c r="AJ141" i="6"/>
  <c r="AK141" i="6"/>
  <c r="AL141" i="6"/>
  <c r="AM141" i="6"/>
  <c r="AN141" i="6"/>
  <c r="AO141" i="6"/>
  <c r="AJ142" i="6"/>
  <c r="AK142" i="6"/>
  <c r="AL142" i="6"/>
  <c r="AN142" i="6"/>
  <c r="AO142" i="6"/>
  <c r="AJ143" i="6"/>
  <c r="AK143" i="6"/>
  <c r="AL143" i="6"/>
  <c r="AM143" i="6"/>
  <c r="AN143" i="6"/>
  <c r="AO143" i="6"/>
  <c r="AJ144" i="6"/>
  <c r="AK144" i="6"/>
  <c r="AL144" i="6"/>
  <c r="AM144" i="6"/>
  <c r="AN144" i="6"/>
  <c r="AO144" i="6"/>
  <c r="AK145" i="6"/>
  <c r="AL145" i="6"/>
  <c r="AM145" i="6"/>
  <c r="AN145" i="6"/>
  <c r="AO145" i="6"/>
  <c r="AJ146" i="6"/>
  <c r="AK146" i="6"/>
  <c r="AL146" i="6"/>
  <c r="AN146" i="6"/>
  <c r="AO146" i="6"/>
  <c r="AJ147" i="6"/>
  <c r="AK147" i="6"/>
  <c r="AL147" i="6"/>
  <c r="AM147" i="6"/>
  <c r="AN147" i="6"/>
  <c r="AO147" i="6"/>
  <c r="AJ148" i="6"/>
  <c r="AK148" i="6"/>
  <c r="AL148" i="6"/>
  <c r="AM148" i="6"/>
  <c r="AN148" i="6"/>
  <c r="AO148" i="6"/>
  <c r="AJ149" i="6"/>
  <c r="AK149" i="6"/>
  <c r="AL149" i="6"/>
  <c r="AM149" i="6"/>
  <c r="AN149" i="6"/>
  <c r="AO149" i="6"/>
  <c r="AJ150" i="6"/>
  <c r="AL150" i="6"/>
  <c r="AM150" i="6"/>
  <c r="AN150" i="6"/>
  <c r="AO150" i="6"/>
  <c r="AJ151" i="6"/>
  <c r="AK151" i="6"/>
  <c r="AL151" i="6"/>
  <c r="AM151" i="6"/>
  <c r="AN151" i="6"/>
  <c r="AO151" i="6"/>
  <c r="AJ152" i="6"/>
  <c r="AK152" i="6"/>
  <c r="AL152" i="6"/>
  <c r="AM152" i="6"/>
  <c r="AN152" i="6"/>
  <c r="AO152" i="6"/>
  <c r="AJ153" i="6"/>
  <c r="AK153" i="6"/>
  <c r="AL153" i="6"/>
  <c r="AM153" i="6"/>
  <c r="AN153" i="6"/>
  <c r="AO153" i="6"/>
  <c r="AJ154" i="6"/>
  <c r="AK154" i="6"/>
  <c r="AL154" i="6"/>
  <c r="AN154" i="6"/>
  <c r="AO154" i="6"/>
  <c r="AJ155" i="6"/>
  <c r="AK155" i="6"/>
  <c r="AL155" i="6"/>
  <c r="AM155" i="6"/>
  <c r="AN155" i="6"/>
  <c r="AO155" i="6"/>
  <c r="AJ156" i="6"/>
  <c r="AK156" i="6"/>
  <c r="AL156" i="6"/>
  <c r="AM156" i="6"/>
  <c r="AN156" i="6"/>
  <c r="AO156" i="6"/>
  <c r="AJ157" i="6"/>
  <c r="AK157" i="6"/>
  <c r="AL157" i="6"/>
  <c r="AM157" i="6"/>
  <c r="AN157" i="6"/>
  <c r="AO157" i="6"/>
  <c r="AJ158" i="6"/>
  <c r="AK158" i="6"/>
  <c r="AL158" i="6"/>
  <c r="AN158" i="6"/>
  <c r="AO158" i="6"/>
  <c r="AJ159" i="6"/>
  <c r="AK159" i="6"/>
  <c r="AL159" i="6"/>
  <c r="AM159" i="6"/>
  <c r="AN159" i="6"/>
  <c r="AO159" i="6"/>
  <c r="AJ160" i="6"/>
  <c r="AK160" i="6"/>
  <c r="AL160" i="6"/>
  <c r="AM160" i="6"/>
  <c r="AN160" i="6"/>
  <c r="AO160" i="6"/>
  <c r="AK161" i="6"/>
  <c r="AL161" i="6"/>
  <c r="AM161" i="6"/>
  <c r="AN161" i="6"/>
  <c r="AO161" i="6"/>
  <c r="AJ162" i="6"/>
  <c r="AK162" i="6"/>
  <c r="AL162" i="6"/>
  <c r="AN162" i="6"/>
  <c r="AO162" i="6"/>
  <c r="AJ163" i="6"/>
  <c r="AK163" i="6"/>
  <c r="AL163" i="6"/>
  <c r="AM163" i="6"/>
  <c r="AN163" i="6"/>
  <c r="AO163" i="6"/>
  <c r="AJ164" i="6"/>
  <c r="AK164" i="6"/>
  <c r="AL164" i="6"/>
  <c r="AM164" i="6"/>
  <c r="AN164" i="6"/>
  <c r="AO164" i="6"/>
  <c r="AJ165" i="6"/>
  <c r="AK165" i="6"/>
  <c r="AL165" i="6"/>
  <c r="AM165" i="6"/>
  <c r="AN165" i="6"/>
  <c r="AO165" i="6"/>
  <c r="AJ166" i="6"/>
  <c r="AL166" i="6"/>
  <c r="AM166" i="6"/>
  <c r="AN166" i="6"/>
  <c r="AO166" i="6"/>
  <c r="AJ167" i="6"/>
  <c r="AK167" i="6"/>
  <c r="AL167" i="6"/>
  <c r="AM167" i="6"/>
  <c r="AN167" i="6"/>
  <c r="AO167" i="6"/>
  <c r="AJ168" i="6"/>
  <c r="AK168" i="6"/>
  <c r="AL168" i="6"/>
  <c r="AM168" i="6"/>
  <c r="AN168" i="6"/>
  <c r="AO168" i="6"/>
  <c r="AJ169" i="6"/>
  <c r="AK169" i="6"/>
  <c r="AL169" i="6"/>
  <c r="AM169" i="6"/>
  <c r="AN169" i="6"/>
  <c r="AO169" i="6"/>
  <c r="AJ170" i="6"/>
  <c r="AK170" i="6"/>
  <c r="AL170" i="6"/>
  <c r="AN170" i="6"/>
  <c r="AO170" i="6"/>
  <c r="AJ171" i="6"/>
  <c r="AK171" i="6"/>
  <c r="AL171" i="6"/>
  <c r="AM171" i="6"/>
  <c r="AN171" i="6"/>
  <c r="AO171" i="6"/>
  <c r="AJ172" i="6"/>
  <c r="AK172" i="6"/>
  <c r="AL172" i="6"/>
  <c r="AM172" i="6"/>
  <c r="AN172" i="6"/>
  <c r="AO172" i="6"/>
  <c r="AJ173" i="6"/>
  <c r="AK173" i="6"/>
  <c r="AL173" i="6"/>
  <c r="AM173" i="6"/>
  <c r="AN173" i="6"/>
  <c r="AO173" i="6"/>
  <c r="AJ174" i="6"/>
  <c r="AK174" i="6"/>
  <c r="AL174" i="6"/>
  <c r="AN174" i="6"/>
  <c r="AO174" i="6"/>
  <c r="AJ175" i="6"/>
  <c r="AK175" i="6"/>
  <c r="AL175" i="6"/>
  <c r="AM175" i="6"/>
  <c r="AN175" i="6"/>
  <c r="AO175" i="6"/>
  <c r="AJ176" i="6"/>
  <c r="AK176" i="6"/>
  <c r="AL176" i="6"/>
  <c r="AM176" i="6"/>
  <c r="AN176" i="6"/>
  <c r="AO176" i="6"/>
  <c r="AK177" i="6"/>
  <c r="AL177" i="6"/>
  <c r="AM177" i="6"/>
  <c r="AN177" i="6"/>
  <c r="AO177" i="6"/>
  <c r="AJ178" i="6"/>
  <c r="AK178" i="6"/>
  <c r="AL178" i="6"/>
  <c r="AN178" i="6"/>
  <c r="AO178" i="6"/>
  <c r="AJ179" i="6"/>
  <c r="AK179" i="6"/>
  <c r="AL179" i="6"/>
  <c r="AM179" i="6"/>
  <c r="AN179" i="6"/>
  <c r="AO179" i="6"/>
  <c r="AJ180" i="6"/>
  <c r="AK180" i="6"/>
  <c r="AL180" i="6"/>
  <c r="AM180" i="6"/>
  <c r="AN180" i="6"/>
  <c r="AO180" i="6"/>
  <c r="AJ181" i="6"/>
  <c r="AK181" i="6"/>
  <c r="AL181" i="6"/>
  <c r="AM181" i="6"/>
  <c r="AN181" i="6"/>
  <c r="AO181" i="6"/>
  <c r="AJ182" i="6"/>
  <c r="AL182" i="6"/>
  <c r="AM182" i="6"/>
  <c r="AN182" i="6"/>
  <c r="AO182" i="6"/>
  <c r="AJ183" i="6"/>
  <c r="AK183" i="6"/>
  <c r="AL183" i="6"/>
  <c r="AM183" i="6"/>
  <c r="AN183" i="6"/>
  <c r="AO183" i="6"/>
  <c r="AJ184" i="6"/>
  <c r="AK184" i="6"/>
  <c r="AL184" i="6"/>
  <c r="AM184" i="6"/>
  <c r="AN184" i="6"/>
  <c r="AO184" i="6"/>
  <c r="AJ185" i="6"/>
  <c r="AK185" i="6"/>
  <c r="AL185" i="6"/>
  <c r="AM185" i="6"/>
  <c r="AN185" i="6"/>
  <c r="AO185" i="6"/>
  <c r="AJ186" i="6"/>
  <c r="AK186" i="6"/>
  <c r="AL186" i="6"/>
  <c r="AN186" i="6"/>
  <c r="AO186" i="6"/>
  <c r="AJ187" i="6"/>
  <c r="AK187" i="6"/>
  <c r="AL187" i="6"/>
  <c r="AM187" i="6"/>
  <c r="AN187" i="6"/>
  <c r="AO187" i="6"/>
  <c r="AJ188" i="6"/>
  <c r="AK188" i="6"/>
  <c r="AL188" i="6"/>
  <c r="AM188" i="6"/>
  <c r="AN188" i="6"/>
  <c r="AO188" i="6"/>
  <c r="AJ189" i="6"/>
  <c r="AK189" i="6"/>
  <c r="AL189" i="6"/>
  <c r="AM189" i="6"/>
  <c r="AN189" i="6"/>
  <c r="AO189" i="6"/>
  <c r="AJ190" i="6"/>
  <c r="AK190" i="6"/>
  <c r="AL190" i="6"/>
  <c r="AN190" i="6"/>
  <c r="AO190" i="6"/>
  <c r="AJ191" i="6"/>
  <c r="AK191" i="6"/>
  <c r="AL191" i="6"/>
  <c r="AM191" i="6"/>
  <c r="AN191" i="6"/>
  <c r="AO191" i="6"/>
  <c r="AJ192" i="6"/>
  <c r="AK192" i="6"/>
  <c r="AL192" i="6"/>
  <c r="AM192" i="6"/>
  <c r="AN192" i="6"/>
  <c r="AO192" i="6"/>
  <c r="AK193" i="6"/>
  <c r="AL193" i="6"/>
  <c r="AM193" i="6"/>
  <c r="AN193" i="6"/>
  <c r="AO193" i="6"/>
  <c r="AJ194" i="6"/>
  <c r="AK194" i="6"/>
  <c r="AL194" i="6"/>
  <c r="AN194" i="6"/>
  <c r="AO194" i="6"/>
  <c r="AJ195" i="6"/>
  <c r="AK195" i="6"/>
  <c r="AL195" i="6"/>
  <c r="AM195" i="6"/>
  <c r="AN195" i="6"/>
  <c r="AO195" i="6"/>
  <c r="AJ196" i="6"/>
  <c r="AK196" i="6"/>
  <c r="AL196" i="6"/>
  <c r="AM196" i="6"/>
  <c r="AN196" i="6"/>
  <c r="AO196" i="6"/>
  <c r="AJ197" i="6"/>
  <c r="AK197" i="6"/>
  <c r="AL197" i="6"/>
  <c r="AM197" i="6"/>
  <c r="AN197" i="6"/>
  <c r="AO197" i="6"/>
  <c r="AJ198" i="6"/>
  <c r="AL198" i="6"/>
  <c r="AM198" i="6"/>
  <c r="AN198" i="6"/>
  <c r="AO198" i="6"/>
  <c r="AJ199" i="6"/>
  <c r="AK199" i="6"/>
  <c r="AL199" i="6"/>
  <c r="AM199" i="6"/>
  <c r="AN199" i="6"/>
  <c r="AO199" i="6"/>
  <c r="AJ200" i="6"/>
  <c r="AK200" i="6"/>
  <c r="AL200" i="6"/>
  <c r="AM200" i="6"/>
  <c r="AN200" i="6"/>
  <c r="AO200" i="6"/>
  <c r="AJ201" i="6"/>
  <c r="AK201" i="6"/>
  <c r="AL201" i="6"/>
  <c r="AM201" i="6"/>
  <c r="AN201" i="6"/>
  <c r="AO201" i="6"/>
  <c r="AJ202" i="6"/>
  <c r="AK202" i="6"/>
  <c r="AL202" i="6"/>
  <c r="AN202" i="6"/>
  <c r="AO202" i="6"/>
  <c r="AJ203" i="6"/>
  <c r="AK203" i="6"/>
  <c r="AL203" i="6"/>
  <c r="AM203" i="6"/>
  <c r="AN203" i="6"/>
  <c r="AO203" i="6"/>
  <c r="AJ204" i="6"/>
  <c r="AK204" i="6"/>
  <c r="AL204" i="6"/>
  <c r="AM204" i="6"/>
  <c r="AN204" i="6"/>
  <c r="AO204" i="6"/>
  <c r="AJ205" i="6"/>
  <c r="AK205" i="6"/>
  <c r="AL205" i="6"/>
  <c r="AM205" i="6"/>
  <c r="AN205" i="6"/>
  <c r="AO205" i="6"/>
  <c r="AJ206" i="6"/>
  <c r="AK206" i="6"/>
  <c r="AL206" i="6"/>
  <c r="AM206" i="6"/>
  <c r="AN206" i="6"/>
  <c r="AO206" i="6"/>
  <c r="AJ207" i="6"/>
  <c r="AK207" i="6"/>
  <c r="AL207" i="6"/>
  <c r="AM207" i="6"/>
  <c r="AN207" i="6"/>
  <c r="AO207" i="6"/>
  <c r="AJ208" i="6"/>
  <c r="AK208" i="6"/>
  <c r="AL208" i="6"/>
  <c r="AM208" i="6"/>
  <c r="AN208" i="6"/>
  <c r="AO208" i="6"/>
  <c r="AK209" i="6"/>
  <c r="AL209" i="6"/>
  <c r="AM209" i="6"/>
  <c r="AN209" i="6"/>
  <c r="AO209" i="6"/>
  <c r="AJ210" i="6"/>
  <c r="AK210" i="6"/>
  <c r="AL210" i="6"/>
  <c r="AN210" i="6"/>
  <c r="AO210" i="6"/>
  <c r="AJ211" i="6"/>
  <c r="AK211" i="6"/>
  <c r="AL211" i="6"/>
  <c r="AM211" i="6"/>
  <c r="AN211" i="6"/>
  <c r="AO211" i="6"/>
  <c r="AJ212" i="6"/>
  <c r="AK212" i="6"/>
  <c r="AL212" i="6"/>
  <c r="AM212" i="6"/>
  <c r="AN212" i="6"/>
  <c r="AO212" i="6"/>
  <c r="AJ213" i="6"/>
  <c r="AK213" i="6"/>
  <c r="AL213" i="6"/>
  <c r="AM213" i="6"/>
  <c r="AN213" i="6"/>
  <c r="AO213" i="6"/>
  <c r="AJ214" i="6"/>
  <c r="AL214" i="6"/>
  <c r="AM214" i="6"/>
  <c r="AN214" i="6"/>
  <c r="AO214" i="6"/>
  <c r="AJ215" i="6"/>
  <c r="AK215" i="6"/>
  <c r="AL215" i="6"/>
  <c r="AM215" i="6"/>
  <c r="AN215" i="6"/>
  <c r="AO215" i="6"/>
  <c r="AJ216" i="6"/>
  <c r="AK216" i="6"/>
  <c r="AL216" i="6"/>
  <c r="AM216" i="6"/>
  <c r="AN216" i="6"/>
  <c r="AO216" i="6"/>
  <c r="AJ217" i="6"/>
  <c r="AK217" i="6"/>
  <c r="AL217" i="6"/>
  <c r="AM217" i="6"/>
  <c r="AN217" i="6"/>
  <c r="AO217" i="6"/>
  <c r="AJ218" i="6"/>
  <c r="AK218" i="6"/>
  <c r="AL218" i="6"/>
  <c r="AN218" i="6"/>
  <c r="AO218" i="6"/>
  <c r="AJ219" i="6"/>
  <c r="AK219" i="6"/>
  <c r="AL219" i="6"/>
  <c r="AM219" i="6"/>
  <c r="AN219" i="6"/>
  <c r="AO219" i="6"/>
  <c r="AJ220" i="6"/>
  <c r="AK220" i="6"/>
  <c r="AL220" i="6"/>
  <c r="AM220" i="6"/>
  <c r="AN220" i="6"/>
  <c r="AO220" i="6"/>
  <c r="AJ221" i="6"/>
  <c r="AK221" i="6"/>
  <c r="AL221" i="6"/>
  <c r="AM221" i="6"/>
  <c r="AN221" i="6"/>
  <c r="AO221" i="6"/>
  <c r="AJ222" i="6"/>
  <c r="AK222" i="6"/>
  <c r="AL222" i="6"/>
  <c r="AM222" i="6"/>
  <c r="AN222" i="6"/>
  <c r="AO222" i="6"/>
  <c r="AJ223" i="6"/>
  <c r="AK223" i="6"/>
  <c r="AL223" i="6"/>
  <c r="AM223" i="6"/>
  <c r="AN223" i="6"/>
  <c r="AO223" i="6"/>
  <c r="AJ224" i="6"/>
  <c r="AK224" i="6"/>
  <c r="AL224" i="6"/>
  <c r="AM224" i="6"/>
  <c r="AN224" i="6"/>
  <c r="AO224" i="6"/>
  <c r="AK225" i="6"/>
  <c r="AL225" i="6"/>
  <c r="AM225" i="6"/>
  <c r="AN225" i="6"/>
  <c r="AO225" i="6"/>
  <c r="AJ226" i="6"/>
  <c r="AK226" i="6"/>
  <c r="AL226" i="6"/>
  <c r="AN226" i="6"/>
  <c r="AO226" i="6"/>
  <c r="AJ227" i="6"/>
  <c r="AK227" i="6"/>
  <c r="AL227" i="6"/>
  <c r="AM227" i="6"/>
  <c r="AN227" i="6"/>
  <c r="AO227" i="6"/>
  <c r="AJ228" i="6"/>
  <c r="AK228" i="6"/>
  <c r="AL228" i="6"/>
  <c r="AM228" i="6"/>
  <c r="AN228" i="6"/>
  <c r="AO228" i="6"/>
  <c r="AJ229" i="6"/>
  <c r="AK229" i="6"/>
  <c r="AL229" i="6"/>
  <c r="AM229" i="6"/>
  <c r="AN229" i="6"/>
  <c r="AO229" i="6"/>
  <c r="AJ230" i="6"/>
  <c r="AL230" i="6"/>
  <c r="AM230" i="6"/>
  <c r="AN230" i="6"/>
  <c r="AO230" i="6"/>
  <c r="AJ231" i="6"/>
  <c r="AK231" i="6"/>
  <c r="AL231" i="6"/>
  <c r="AM231" i="6"/>
  <c r="AN231" i="6"/>
  <c r="AO231" i="6"/>
  <c r="AJ232" i="6"/>
  <c r="AK232" i="6"/>
  <c r="AL232" i="6"/>
  <c r="AM232" i="6"/>
  <c r="AN232" i="6"/>
  <c r="AO232" i="6"/>
  <c r="AJ233" i="6"/>
  <c r="AK233" i="6"/>
  <c r="AL233" i="6"/>
  <c r="AM233" i="6"/>
  <c r="AN233" i="6"/>
  <c r="AO233" i="6"/>
  <c r="AJ234" i="6"/>
  <c r="AK234" i="6"/>
  <c r="AL234" i="6"/>
  <c r="AN234" i="6"/>
  <c r="AO234" i="6"/>
  <c r="AJ235" i="6"/>
  <c r="AK235" i="6"/>
  <c r="AL235" i="6"/>
  <c r="AM235" i="6"/>
  <c r="AN235" i="6"/>
  <c r="AO235" i="6"/>
  <c r="AJ236" i="6"/>
  <c r="AK236" i="6"/>
  <c r="AL236" i="6"/>
  <c r="AM236" i="6"/>
  <c r="AN236" i="6"/>
  <c r="AO236" i="6"/>
  <c r="AJ237" i="6"/>
  <c r="AK237" i="6"/>
  <c r="AL237" i="6"/>
  <c r="AM237" i="6"/>
  <c r="AN237" i="6"/>
  <c r="AO237" i="6"/>
  <c r="AJ238" i="6"/>
  <c r="AK238" i="6"/>
  <c r="AL238" i="6"/>
  <c r="AM238" i="6"/>
  <c r="AN238" i="6"/>
  <c r="AO238" i="6"/>
  <c r="AJ239" i="6"/>
  <c r="AK239" i="6"/>
  <c r="AL239" i="6"/>
  <c r="AM239" i="6"/>
  <c r="AN239" i="6"/>
  <c r="AO239" i="6"/>
  <c r="AJ240" i="6"/>
  <c r="AK240" i="6"/>
  <c r="AL240" i="6"/>
  <c r="AM240" i="6"/>
  <c r="AN240" i="6"/>
  <c r="AO240" i="6"/>
  <c r="AK241" i="6"/>
  <c r="AL241" i="6"/>
  <c r="AM241" i="6"/>
  <c r="AN241" i="6"/>
  <c r="AO241" i="6"/>
  <c r="AJ242" i="6"/>
  <c r="AK242" i="6"/>
  <c r="AL242" i="6"/>
  <c r="AN242" i="6"/>
  <c r="AO242" i="6"/>
  <c r="AJ243" i="6"/>
  <c r="AK243" i="6"/>
  <c r="AL243" i="6"/>
  <c r="AM243" i="6"/>
  <c r="AN243" i="6"/>
  <c r="AO243" i="6"/>
  <c r="AJ244" i="6"/>
  <c r="AK244" i="6"/>
  <c r="AL244" i="6"/>
  <c r="AM244" i="6"/>
  <c r="AN244" i="6"/>
  <c r="AO244" i="6"/>
  <c r="AJ245" i="6"/>
  <c r="AK245" i="6"/>
  <c r="AL245" i="6"/>
  <c r="AM245" i="6"/>
  <c r="AN245" i="6"/>
  <c r="AO245" i="6"/>
  <c r="AJ246" i="6"/>
  <c r="AL246" i="6"/>
  <c r="AM246" i="6"/>
  <c r="AN246" i="6"/>
  <c r="AO246" i="6"/>
  <c r="AJ247" i="6"/>
  <c r="AK247" i="6"/>
  <c r="AL247" i="6"/>
  <c r="AM247" i="6"/>
  <c r="AN247" i="6"/>
  <c r="AO247" i="6"/>
  <c r="AJ248" i="6"/>
  <c r="AK248" i="6"/>
  <c r="AL248" i="6"/>
  <c r="AM248" i="6"/>
  <c r="AN248" i="6"/>
  <c r="AO248" i="6"/>
  <c r="AJ249" i="6"/>
  <c r="AK249" i="6"/>
  <c r="AL249" i="6"/>
  <c r="AM249" i="6"/>
  <c r="AN249" i="6"/>
  <c r="AO249" i="6"/>
  <c r="AJ250" i="6"/>
  <c r="AK250" i="6"/>
  <c r="AL250" i="6"/>
  <c r="AN250" i="6"/>
  <c r="AO250" i="6"/>
  <c r="AJ251" i="6"/>
  <c r="AK251" i="6"/>
  <c r="AL251" i="6"/>
  <c r="AM251" i="6"/>
  <c r="AN251" i="6"/>
  <c r="AO251" i="6"/>
  <c r="AJ252" i="6"/>
  <c r="AK252" i="6"/>
  <c r="AL252" i="6"/>
  <c r="AM252" i="6"/>
  <c r="AN252" i="6"/>
  <c r="AO252" i="6"/>
  <c r="AJ253" i="6"/>
  <c r="AK253" i="6"/>
  <c r="AL253" i="6"/>
  <c r="AM253" i="6"/>
  <c r="AN253" i="6"/>
  <c r="AO253" i="6"/>
  <c r="AJ254" i="6"/>
  <c r="AK254" i="6"/>
  <c r="AL254" i="6"/>
  <c r="AM254" i="6"/>
  <c r="AN254" i="6"/>
  <c r="AO254" i="6"/>
  <c r="AJ255" i="6"/>
  <c r="AK255" i="6"/>
  <c r="AL255" i="6"/>
  <c r="AM255" i="6"/>
  <c r="AN255" i="6"/>
  <c r="AO255" i="6"/>
  <c r="AJ256" i="6"/>
  <c r="AK256" i="6"/>
  <c r="AL256" i="6"/>
  <c r="AM256" i="6"/>
  <c r="AN256" i="6"/>
  <c r="AO256" i="6"/>
  <c r="AK257" i="6"/>
  <c r="AL257" i="6"/>
  <c r="AM257" i="6"/>
  <c r="AN257" i="6"/>
  <c r="AO257" i="6"/>
  <c r="AJ258" i="6"/>
  <c r="AK258" i="6"/>
  <c r="AL258" i="6"/>
  <c r="AN258" i="6"/>
  <c r="AO258" i="6"/>
  <c r="AJ259" i="6"/>
  <c r="AK259" i="6"/>
  <c r="AL259" i="6"/>
  <c r="AM259" i="6"/>
  <c r="AN259" i="6"/>
  <c r="AO259" i="6"/>
  <c r="AJ260" i="6"/>
  <c r="AK260" i="6"/>
  <c r="AL260" i="6"/>
  <c r="AM260" i="6"/>
  <c r="AN260" i="6"/>
  <c r="AO260" i="6"/>
  <c r="AJ261" i="6"/>
  <c r="AK261" i="6"/>
  <c r="AL261" i="6"/>
  <c r="AM261" i="6"/>
  <c r="AN261" i="6"/>
  <c r="AO261" i="6"/>
  <c r="AJ262" i="6"/>
  <c r="AL262" i="6"/>
  <c r="AM262" i="6"/>
  <c r="AN262" i="6"/>
  <c r="AO262" i="6"/>
  <c r="AJ263" i="6"/>
  <c r="AK263" i="6"/>
  <c r="AL263" i="6"/>
  <c r="AM263" i="6"/>
  <c r="AN263" i="6"/>
  <c r="AO263" i="6"/>
  <c r="AJ264" i="6"/>
  <c r="AK264" i="6"/>
  <c r="AL264" i="6"/>
  <c r="AM264" i="6"/>
  <c r="AN264" i="6"/>
  <c r="AO264" i="6"/>
  <c r="AJ265" i="6"/>
  <c r="AK265" i="6"/>
  <c r="AL265" i="6"/>
  <c r="AM265" i="6"/>
  <c r="AN265" i="6"/>
  <c r="AO265" i="6"/>
  <c r="AJ266" i="6"/>
  <c r="AK266" i="6"/>
  <c r="AL266" i="6"/>
  <c r="AN266" i="6"/>
  <c r="AO266" i="6"/>
  <c r="AJ267" i="6"/>
  <c r="AK267" i="6"/>
  <c r="AL267" i="6"/>
  <c r="AM267" i="6"/>
  <c r="AN267" i="6"/>
  <c r="AO267" i="6"/>
  <c r="AJ268" i="6"/>
  <c r="AK268" i="6"/>
  <c r="AL268" i="6"/>
  <c r="AM268" i="6"/>
  <c r="AN268" i="6"/>
  <c r="AO268" i="6"/>
  <c r="AJ269" i="6"/>
  <c r="AK269" i="6"/>
  <c r="AL269" i="6"/>
  <c r="AM269" i="6"/>
  <c r="AN269" i="6"/>
  <c r="AO269" i="6"/>
  <c r="AJ270" i="6"/>
  <c r="AL270" i="6"/>
  <c r="AM270" i="6"/>
  <c r="AN270" i="6"/>
  <c r="AO270" i="6"/>
  <c r="AJ271" i="6"/>
  <c r="AK271" i="6"/>
  <c r="AL271" i="6"/>
  <c r="AM271" i="6"/>
  <c r="AN271" i="6"/>
  <c r="AO271" i="6"/>
  <c r="AJ272" i="6"/>
  <c r="AK272" i="6"/>
  <c r="AL272" i="6"/>
  <c r="AM272" i="6"/>
  <c r="AN272" i="6"/>
  <c r="AO272" i="6"/>
  <c r="AJ273" i="6"/>
  <c r="AK273" i="6"/>
  <c r="AL273" i="6"/>
  <c r="AM273" i="6"/>
  <c r="AN273" i="6"/>
  <c r="AO273" i="6"/>
  <c r="AJ274" i="6"/>
  <c r="AK274" i="6"/>
  <c r="AL274" i="6"/>
  <c r="AN274" i="6"/>
  <c r="AO274" i="6"/>
  <c r="AJ275" i="6"/>
  <c r="AK275" i="6"/>
  <c r="AL275" i="6"/>
  <c r="AM275" i="6"/>
  <c r="AN275" i="6"/>
  <c r="AO275" i="6"/>
  <c r="AJ276" i="6"/>
  <c r="AK276" i="6"/>
  <c r="AL276" i="6"/>
  <c r="AM276" i="6"/>
  <c r="AN276" i="6"/>
  <c r="AO276" i="6"/>
  <c r="AJ277" i="6"/>
  <c r="AK277" i="6"/>
  <c r="AL277" i="6"/>
  <c r="AM277" i="6"/>
  <c r="AN277" i="6"/>
  <c r="AO277" i="6"/>
  <c r="AJ278" i="6"/>
  <c r="AL278" i="6"/>
  <c r="AM278" i="6"/>
  <c r="AN278" i="6"/>
  <c r="AO278" i="6"/>
  <c r="AJ279" i="6"/>
  <c r="AK279" i="6"/>
  <c r="AL279" i="6"/>
  <c r="AM279" i="6"/>
  <c r="AN279" i="6"/>
  <c r="AO279" i="6"/>
  <c r="AJ280" i="6"/>
  <c r="AK280" i="6"/>
  <c r="AL280" i="6"/>
  <c r="AM280" i="6"/>
  <c r="AN280" i="6"/>
  <c r="AO280" i="6"/>
  <c r="AJ281" i="6"/>
  <c r="AK281" i="6"/>
  <c r="AL281" i="6"/>
  <c r="AM281" i="6"/>
  <c r="AN281" i="6"/>
  <c r="AO281" i="6"/>
  <c r="AJ282" i="6"/>
  <c r="AK282" i="6"/>
  <c r="AL282" i="6"/>
  <c r="AN282" i="6"/>
  <c r="AO282" i="6"/>
  <c r="AJ283" i="6"/>
  <c r="AK283" i="6"/>
  <c r="AL283" i="6"/>
  <c r="AM283" i="6"/>
  <c r="AN283" i="6"/>
  <c r="AO283" i="6"/>
  <c r="AJ284" i="6"/>
  <c r="AK284" i="6"/>
  <c r="AL284" i="6"/>
  <c r="AM284" i="6"/>
  <c r="AN284" i="6"/>
  <c r="AO284" i="6"/>
  <c r="AJ285" i="6"/>
  <c r="AL285" i="6"/>
  <c r="AM285" i="6"/>
  <c r="AN285" i="6"/>
  <c r="AO285" i="6"/>
  <c r="AJ286" i="6"/>
  <c r="AK286" i="6"/>
  <c r="AL286" i="6"/>
  <c r="AN286" i="6"/>
  <c r="AO286" i="6"/>
  <c r="AJ287" i="6"/>
  <c r="AK287" i="6"/>
  <c r="AL287" i="6"/>
  <c r="AM287" i="6"/>
  <c r="AN287" i="6"/>
  <c r="AO287" i="6"/>
  <c r="AJ288" i="6"/>
  <c r="AK288" i="6"/>
  <c r="AL288" i="6"/>
  <c r="AM288" i="6"/>
  <c r="AN288" i="6"/>
  <c r="AO288" i="6"/>
  <c r="AJ289" i="6"/>
  <c r="AK289" i="6"/>
  <c r="AL289" i="6"/>
  <c r="AM289" i="6"/>
  <c r="AN289" i="6"/>
  <c r="AO289" i="6"/>
  <c r="AJ290" i="6"/>
  <c r="AK290" i="6"/>
  <c r="AL290" i="6"/>
  <c r="AN290" i="6"/>
  <c r="AO290" i="6"/>
  <c r="AJ291" i="6"/>
  <c r="AK291" i="6"/>
  <c r="AL291" i="6"/>
  <c r="AM291" i="6"/>
  <c r="AN291" i="6"/>
  <c r="AO291" i="6"/>
  <c r="AJ292" i="6"/>
  <c r="AK292" i="6"/>
  <c r="AL292" i="6"/>
  <c r="AM292" i="6"/>
  <c r="AN292" i="6"/>
  <c r="AO292" i="6"/>
  <c r="AJ293" i="6"/>
  <c r="AL293" i="6"/>
  <c r="AM293" i="6"/>
  <c r="AN293" i="6"/>
  <c r="AO293" i="6"/>
  <c r="AJ294" i="6"/>
  <c r="AK294" i="6"/>
  <c r="AL294" i="6"/>
  <c r="AN294" i="6"/>
  <c r="AO294" i="6"/>
  <c r="AJ295" i="6"/>
  <c r="AK295" i="6"/>
  <c r="AL295" i="6"/>
  <c r="AM295" i="6"/>
  <c r="AN295" i="6"/>
  <c r="AO295" i="6"/>
  <c r="AJ296" i="6"/>
  <c r="AK296" i="6"/>
  <c r="AL296" i="6"/>
  <c r="AM296" i="6"/>
  <c r="AN296" i="6"/>
  <c r="AO296" i="6"/>
  <c r="AJ297" i="6"/>
  <c r="AK297" i="6"/>
  <c r="AL297" i="6"/>
  <c r="AM297" i="6"/>
  <c r="AN297" i="6"/>
  <c r="AO297" i="6"/>
  <c r="AJ298" i="6"/>
  <c r="AK298" i="6"/>
  <c r="AL298" i="6"/>
  <c r="AN298" i="6"/>
  <c r="AO298" i="6"/>
  <c r="AJ299" i="6"/>
  <c r="AK299" i="6"/>
  <c r="AL299" i="6"/>
  <c r="AM299" i="6"/>
  <c r="AN299" i="6"/>
  <c r="AO299" i="6"/>
  <c r="AJ300" i="6"/>
  <c r="AK300" i="6"/>
  <c r="AL300" i="6"/>
  <c r="AM300" i="6"/>
  <c r="AN300" i="6"/>
  <c r="AO300" i="6"/>
  <c r="AJ301" i="6"/>
  <c r="AL301" i="6"/>
  <c r="AM301" i="6"/>
  <c r="AN301" i="6"/>
  <c r="AO301" i="6"/>
  <c r="AJ302" i="6"/>
  <c r="AL302" i="6"/>
  <c r="AM302" i="6"/>
  <c r="AN302" i="6"/>
  <c r="AO302" i="6"/>
  <c r="AJ303" i="6"/>
  <c r="AK303" i="6"/>
  <c r="AL303" i="6"/>
  <c r="AM303" i="6"/>
  <c r="AN303" i="6"/>
  <c r="AO303" i="6"/>
  <c r="AJ304" i="6"/>
  <c r="AK304" i="6"/>
  <c r="AL304" i="6"/>
  <c r="AM304" i="6"/>
  <c r="AN304" i="6"/>
  <c r="AO304" i="6"/>
  <c r="AJ305" i="6"/>
  <c r="AK305" i="6"/>
  <c r="AL305" i="6"/>
  <c r="AM305" i="6"/>
  <c r="AN305" i="6"/>
  <c r="AO305" i="6"/>
  <c r="AJ306" i="6"/>
  <c r="AK306" i="6"/>
  <c r="AL306" i="6"/>
  <c r="AN306" i="6"/>
  <c r="AO306" i="6"/>
  <c r="AJ307" i="6"/>
  <c r="AK307" i="6"/>
  <c r="AL307" i="6"/>
  <c r="AM307" i="6"/>
  <c r="AN307" i="6"/>
  <c r="AO307" i="6"/>
  <c r="AJ308" i="6"/>
  <c r="AK308" i="6"/>
  <c r="AL308" i="6"/>
  <c r="AM308" i="6"/>
  <c r="AN308" i="6"/>
  <c r="AO308" i="6"/>
  <c r="AJ309" i="6"/>
  <c r="AL309" i="6"/>
  <c r="AM309" i="6"/>
  <c r="AN309" i="6"/>
  <c r="AO309" i="6"/>
  <c r="AJ310" i="6"/>
  <c r="AK310" i="6"/>
  <c r="AL310" i="6"/>
  <c r="AN310" i="6"/>
  <c r="AO310" i="6"/>
  <c r="AJ311" i="6"/>
  <c r="AK311" i="6"/>
  <c r="AL311" i="6"/>
  <c r="AM311" i="6"/>
  <c r="AN311" i="6"/>
  <c r="AO311" i="6"/>
  <c r="AJ312" i="6"/>
  <c r="AK312" i="6"/>
  <c r="AL312" i="6"/>
  <c r="AM312" i="6"/>
  <c r="AN312" i="6"/>
  <c r="AO312" i="6"/>
  <c r="AJ313" i="6"/>
  <c r="AK313" i="6"/>
  <c r="AL313" i="6"/>
  <c r="AM313" i="6"/>
  <c r="AN313" i="6"/>
  <c r="AO313" i="6"/>
  <c r="AJ314" i="6"/>
  <c r="AK314" i="6"/>
  <c r="AL314" i="6"/>
  <c r="AN314" i="6"/>
  <c r="AO314" i="6"/>
  <c r="AJ315" i="6"/>
  <c r="AK315" i="6"/>
  <c r="AL315" i="6"/>
  <c r="AM315" i="6"/>
  <c r="AN315" i="6"/>
  <c r="AO315" i="6"/>
  <c r="AJ316" i="6"/>
  <c r="AK316" i="6"/>
  <c r="AL316" i="6"/>
  <c r="AM316" i="6"/>
  <c r="AN316" i="6"/>
  <c r="AO316" i="6"/>
  <c r="AJ317" i="6"/>
  <c r="AL317" i="6"/>
  <c r="AM317" i="6"/>
  <c r="AN317" i="6"/>
  <c r="AO317" i="6"/>
  <c r="AJ318" i="6"/>
  <c r="AK318" i="6"/>
  <c r="AL318" i="6"/>
  <c r="AN318" i="6"/>
  <c r="AO318" i="6"/>
  <c r="AJ319" i="6"/>
  <c r="AK319" i="6"/>
  <c r="AL319" i="6"/>
  <c r="AM319" i="6"/>
  <c r="AN319" i="6"/>
  <c r="AO319" i="6"/>
  <c r="AJ320" i="6"/>
  <c r="AK320" i="6"/>
  <c r="AL320" i="6"/>
  <c r="AM320" i="6"/>
  <c r="AN320" i="6"/>
  <c r="AO320" i="6"/>
  <c r="AJ321" i="6"/>
  <c r="AK321" i="6"/>
  <c r="AL321" i="6"/>
  <c r="AM321" i="6"/>
  <c r="AN321" i="6"/>
  <c r="AO321" i="6"/>
  <c r="AJ322" i="6"/>
  <c r="AK322" i="6"/>
  <c r="AL322" i="6"/>
  <c r="AN322" i="6"/>
  <c r="AO322" i="6"/>
  <c r="AJ323" i="6"/>
  <c r="AK323" i="6"/>
  <c r="AL323" i="6"/>
  <c r="AM323" i="6"/>
  <c r="AN323" i="6"/>
  <c r="AO323" i="6"/>
  <c r="AJ324" i="6"/>
  <c r="AK324" i="6"/>
  <c r="AL324" i="6"/>
  <c r="AM324" i="6"/>
  <c r="AN324" i="6"/>
  <c r="AO324" i="6"/>
  <c r="AJ325" i="6"/>
  <c r="AL325" i="6"/>
  <c r="AM325" i="6"/>
  <c r="AN325" i="6"/>
  <c r="AO325" i="6"/>
  <c r="AJ326" i="6"/>
  <c r="AK326" i="6"/>
  <c r="AL326" i="6"/>
  <c r="AN326" i="6"/>
  <c r="AO326" i="6"/>
  <c r="AJ327" i="6"/>
  <c r="AK327" i="6"/>
  <c r="AL327" i="6"/>
  <c r="AM327" i="6"/>
  <c r="AN327" i="6"/>
  <c r="AO327" i="6"/>
  <c r="AJ328" i="6"/>
  <c r="AK328" i="6"/>
  <c r="AL328" i="6"/>
  <c r="AM328" i="6"/>
  <c r="AN328" i="6"/>
  <c r="AO328" i="6"/>
  <c r="AJ329" i="6"/>
  <c r="AK329" i="6"/>
  <c r="AL329" i="6"/>
  <c r="AM329" i="6"/>
  <c r="AN329" i="6"/>
  <c r="AO329" i="6"/>
  <c r="AJ330" i="6"/>
  <c r="AK330" i="6"/>
  <c r="AL330" i="6"/>
  <c r="AN330" i="6"/>
  <c r="AO330" i="6"/>
  <c r="AJ331" i="6"/>
  <c r="AK331" i="6"/>
  <c r="AL331" i="6"/>
  <c r="AM331" i="6"/>
  <c r="AN331" i="6"/>
  <c r="AO331" i="6"/>
  <c r="AJ332" i="6"/>
  <c r="AK332" i="6"/>
  <c r="AL332" i="6"/>
  <c r="AM332" i="6"/>
  <c r="AN332" i="6"/>
  <c r="AO332" i="6"/>
  <c r="AJ333" i="6"/>
  <c r="AL333" i="6"/>
  <c r="AM333" i="6"/>
  <c r="AN333" i="6"/>
  <c r="AO333" i="6"/>
  <c r="AJ334" i="6"/>
  <c r="AL334" i="6"/>
  <c r="AM334" i="6"/>
  <c r="AN334" i="6"/>
  <c r="AO334" i="6"/>
  <c r="AJ335" i="6"/>
  <c r="AK335" i="6"/>
  <c r="AL335" i="6"/>
  <c r="AM335" i="6"/>
  <c r="AN335" i="6"/>
  <c r="AO335" i="6"/>
  <c r="AJ336" i="6"/>
  <c r="AK336" i="6"/>
  <c r="AL336" i="6"/>
  <c r="AM336" i="6"/>
  <c r="AN336" i="6"/>
  <c r="AO336" i="6"/>
  <c r="AJ337" i="6"/>
  <c r="AK337" i="6"/>
  <c r="AL337" i="6"/>
  <c r="AM337" i="6"/>
  <c r="AN337" i="6"/>
  <c r="AO337" i="6"/>
  <c r="AJ338" i="6"/>
  <c r="AK338" i="6"/>
  <c r="AL338" i="6"/>
  <c r="AN338" i="6"/>
  <c r="AO338" i="6"/>
  <c r="AJ339" i="6"/>
  <c r="AK339" i="6"/>
  <c r="AL339" i="6"/>
  <c r="AM339" i="6"/>
  <c r="AN339" i="6"/>
  <c r="AO339" i="6"/>
  <c r="AJ340" i="6"/>
  <c r="AK340" i="6"/>
  <c r="AL340" i="6"/>
  <c r="AM340" i="6"/>
  <c r="AN340" i="6"/>
  <c r="AO340" i="6"/>
  <c r="AJ341" i="6"/>
  <c r="AL341" i="6"/>
  <c r="AM341" i="6"/>
  <c r="AN341" i="6"/>
  <c r="AO341" i="6"/>
  <c r="AJ342" i="6"/>
  <c r="AK342" i="6"/>
  <c r="AL342" i="6"/>
  <c r="AN342" i="6"/>
  <c r="AO342" i="6"/>
  <c r="AJ343" i="6"/>
  <c r="AK343" i="6"/>
  <c r="AL343" i="6"/>
  <c r="AM343" i="6"/>
  <c r="AN343" i="6"/>
  <c r="AO343" i="6"/>
  <c r="AJ344" i="6"/>
  <c r="AK344" i="6"/>
  <c r="AL344" i="6"/>
  <c r="AM344" i="6"/>
  <c r="AN344" i="6"/>
  <c r="AO344" i="6"/>
  <c r="AJ345" i="6"/>
  <c r="AK345" i="6"/>
  <c r="AL345" i="6"/>
  <c r="AM345" i="6"/>
  <c r="AN345" i="6"/>
  <c r="AO345" i="6"/>
  <c r="AJ346" i="6"/>
  <c r="AK346" i="6"/>
  <c r="AL346" i="6"/>
  <c r="AN346" i="6"/>
  <c r="AO346" i="6"/>
  <c r="AJ347" i="6"/>
  <c r="AK347" i="6"/>
  <c r="AL347" i="6"/>
  <c r="AM347" i="6"/>
  <c r="AN347" i="6"/>
  <c r="AO347" i="6"/>
  <c r="AJ348" i="6"/>
  <c r="AK348" i="6"/>
  <c r="AL348" i="6"/>
  <c r="AM348" i="6"/>
  <c r="AN348" i="6"/>
  <c r="AO348" i="6"/>
  <c r="AJ349" i="6"/>
  <c r="AL349" i="6"/>
  <c r="AM349" i="6"/>
  <c r="AN349" i="6"/>
  <c r="AO349" i="6"/>
  <c r="AJ350" i="6"/>
  <c r="AK350" i="6"/>
  <c r="AL350" i="6"/>
  <c r="AN350" i="6"/>
  <c r="AO350" i="6"/>
  <c r="AJ351" i="6"/>
  <c r="AK351" i="6"/>
  <c r="AL351" i="6"/>
  <c r="AM351" i="6"/>
  <c r="AN351" i="6"/>
  <c r="AO351" i="6"/>
  <c r="AJ352" i="6"/>
  <c r="AK352" i="6"/>
  <c r="AL352" i="6"/>
  <c r="AM352" i="6"/>
  <c r="AN352" i="6"/>
  <c r="AO352" i="6"/>
  <c r="AJ353" i="6"/>
  <c r="AK353" i="6"/>
  <c r="AL353" i="6"/>
  <c r="AM353" i="6"/>
  <c r="AN353" i="6"/>
  <c r="AO353" i="6"/>
  <c r="AJ354" i="6"/>
  <c r="AK354" i="6"/>
  <c r="AL354" i="6"/>
  <c r="AN354" i="6"/>
  <c r="AO354" i="6"/>
  <c r="AJ355" i="6"/>
  <c r="AK355" i="6"/>
  <c r="AL355" i="6"/>
  <c r="AM355" i="6"/>
  <c r="AN355" i="6"/>
  <c r="AO355" i="6"/>
  <c r="AJ356" i="6"/>
  <c r="AK356" i="6"/>
  <c r="AL356" i="6"/>
  <c r="AM356" i="6"/>
  <c r="AN356" i="6"/>
  <c r="AO356" i="6"/>
  <c r="AJ357" i="6"/>
  <c r="AL357" i="6"/>
  <c r="AM357" i="6"/>
  <c r="AN357" i="6"/>
  <c r="AO357" i="6"/>
  <c r="AJ358" i="6"/>
  <c r="AK358" i="6"/>
  <c r="AL358" i="6"/>
  <c r="AN358" i="6"/>
  <c r="AO358" i="6"/>
  <c r="AJ359" i="6"/>
  <c r="AK359" i="6"/>
  <c r="AL359" i="6"/>
  <c r="AM359" i="6"/>
  <c r="AN359" i="6"/>
  <c r="AO359" i="6"/>
  <c r="AJ360" i="6"/>
  <c r="AK360" i="6"/>
  <c r="AL360" i="6"/>
  <c r="AM360" i="6"/>
  <c r="AN360" i="6"/>
  <c r="AO360" i="6"/>
  <c r="AJ361" i="6"/>
  <c r="AK361" i="6"/>
  <c r="AL361" i="6"/>
  <c r="AM361" i="6"/>
  <c r="AN361" i="6"/>
  <c r="AO361" i="6"/>
  <c r="AJ362" i="6"/>
  <c r="AK362" i="6"/>
  <c r="AL362" i="6"/>
  <c r="AN362" i="6"/>
  <c r="AO362" i="6"/>
  <c r="AJ363" i="6"/>
  <c r="AK363" i="6"/>
  <c r="AL363" i="6"/>
  <c r="AM363" i="6"/>
  <c r="AN363" i="6"/>
  <c r="AO363" i="6"/>
  <c r="AJ364" i="6"/>
  <c r="AK364" i="6"/>
  <c r="AL364" i="6"/>
  <c r="AM364" i="6"/>
  <c r="AN364" i="6"/>
  <c r="AO364" i="6"/>
  <c r="AJ365" i="6"/>
  <c r="AL365" i="6"/>
  <c r="AM365" i="6"/>
  <c r="AN365" i="6"/>
  <c r="AO365" i="6"/>
  <c r="AJ366" i="6"/>
  <c r="AL366" i="6"/>
  <c r="AM366" i="6"/>
  <c r="AN366" i="6"/>
  <c r="AO366" i="6"/>
  <c r="AJ367" i="6"/>
  <c r="AK367" i="6"/>
  <c r="AL367" i="6"/>
  <c r="AM367" i="6"/>
  <c r="AN367" i="6"/>
  <c r="AO367" i="6"/>
  <c r="AJ368" i="6"/>
  <c r="AK368" i="6"/>
  <c r="AL368" i="6"/>
  <c r="AM368" i="6"/>
  <c r="AN368" i="6"/>
  <c r="AO368" i="6"/>
  <c r="AJ369" i="6"/>
  <c r="AK369" i="6"/>
  <c r="AL369" i="6"/>
  <c r="AM369" i="6"/>
  <c r="AN369" i="6"/>
  <c r="AO369" i="6"/>
  <c r="AJ370" i="6"/>
  <c r="AK370" i="6"/>
  <c r="AL370" i="6"/>
  <c r="AN370" i="6"/>
  <c r="AO370" i="6"/>
  <c r="AJ371" i="6"/>
  <c r="AK371" i="6"/>
  <c r="AL371" i="6"/>
  <c r="AM371" i="6"/>
  <c r="AN371" i="6"/>
  <c r="AO371" i="6"/>
  <c r="AJ372" i="6"/>
  <c r="AK372" i="6"/>
  <c r="AL372" i="6"/>
  <c r="AM372" i="6"/>
  <c r="AN372" i="6"/>
  <c r="AO372" i="6"/>
  <c r="AJ373" i="6"/>
  <c r="AL373" i="6"/>
  <c r="AM373" i="6"/>
  <c r="AN373" i="6"/>
  <c r="AO373" i="6"/>
  <c r="AJ374" i="6"/>
  <c r="AK374" i="6"/>
  <c r="AL374" i="6"/>
  <c r="AN374" i="6"/>
  <c r="AO374" i="6"/>
  <c r="AJ375" i="6"/>
  <c r="AK375" i="6"/>
  <c r="AL375" i="6"/>
  <c r="AM375" i="6"/>
  <c r="AN375" i="6"/>
  <c r="AO375" i="6"/>
  <c r="AJ376" i="6"/>
  <c r="AK376" i="6"/>
  <c r="AL376" i="6"/>
  <c r="AM376" i="6"/>
  <c r="AN376" i="6"/>
  <c r="AO376" i="6"/>
  <c r="AJ377" i="6"/>
  <c r="AK377" i="6"/>
  <c r="AL377" i="6"/>
  <c r="AM377" i="6"/>
  <c r="AN377" i="6"/>
  <c r="AO377" i="6"/>
  <c r="AJ378" i="6"/>
  <c r="AK378" i="6"/>
  <c r="AL378" i="6"/>
  <c r="AN378" i="6"/>
  <c r="AO378" i="6"/>
  <c r="AJ379" i="6"/>
  <c r="AK379" i="6"/>
  <c r="AL379" i="6"/>
  <c r="AM379" i="6"/>
  <c r="AN379" i="6"/>
  <c r="AO379" i="6"/>
  <c r="AJ380" i="6"/>
  <c r="AK380" i="6"/>
  <c r="AL380" i="6"/>
  <c r="AM380" i="6"/>
  <c r="AN380" i="6"/>
  <c r="AO380" i="6"/>
  <c r="AJ381" i="6"/>
  <c r="AL381" i="6"/>
  <c r="AM381" i="6"/>
  <c r="AN381" i="6"/>
  <c r="AO381" i="6"/>
  <c r="AJ382" i="6"/>
  <c r="AK382" i="6"/>
  <c r="AL382" i="6"/>
  <c r="AN382" i="6"/>
  <c r="AO382" i="6"/>
  <c r="AJ383" i="6"/>
  <c r="AK383" i="6"/>
  <c r="AL383" i="6"/>
  <c r="AM383" i="6"/>
  <c r="AN383" i="6"/>
  <c r="AO383" i="6"/>
  <c r="AJ384" i="6"/>
  <c r="AK384" i="6"/>
  <c r="AL384" i="6"/>
  <c r="AM384" i="6"/>
  <c r="AN384" i="6"/>
  <c r="AO384" i="6"/>
  <c r="AJ385" i="6"/>
  <c r="AK385" i="6"/>
  <c r="AL385" i="6"/>
  <c r="AM385" i="6"/>
  <c r="AN385" i="6"/>
  <c r="AO385" i="6"/>
  <c r="I2" i="1"/>
  <c r="B2" i="1" s="1"/>
  <c r="I3" i="1"/>
  <c r="B3" i="1" s="1"/>
  <c r="I4" i="1"/>
  <c r="B4" i="1" s="1"/>
  <c r="I5" i="1"/>
  <c r="I6" i="1"/>
  <c r="B6" i="1" s="1"/>
  <c r="I7" i="1"/>
  <c r="B7" i="1" s="1"/>
  <c r="I8" i="1"/>
  <c r="B8" i="1" s="1"/>
  <c r="I9" i="1"/>
  <c r="I10" i="1"/>
  <c r="B10" i="1" s="1"/>
  <c r="I11" i="1"/>
  <c r="B11" i="1" s="1"/>
  <c r="I12" i="1"/>
  <c r="B12" i="1" s="1"/>
  <c r="I13" i="1"/>
  <c r="I14" i="1"/>
  <c r="B14" i="1" s="1"/>
  <c r="I15" i="1"/>
  <c r="B15" i="1" s="1"/>
  <c r="I16" i="1"/>
  <c r="B16" i="1" s="1"/>
  <c r="I17" i="1"/>
  <c r="I18" i="1"/>
  <c r="B18" i="1" s="1"/>
  <c r="I19" i="1"/>
  <c r="B19" i="1" s="1"/>
  <c r="I20" i="1"/>
  <c r="B20" i="1" s="1"/>
  <c r="I21" i="1"/>
  <c r="I22" i="1"/>
  <c r="B22" i="1" s="1"/>
  <c r="I23" i="1"/>
  <c r="B23" i="1" s="1"/>
  <c r="I24" i="1"/>
  <c r="B24" i="1" s="1"/>
  <c r="I25" i="1"/>
  <c r="I26" i="1"/>
  <c r="B26" i="1" s="1"/>
  <c r="I27" i="1"/>
  <c r="B27" i="1" s="1"/>
  <c r="I28" i="1"/>
  <c r="B28" i="1" s="1"/>
  <c r="I29" i="1"/>
  <c r="I30" i="1"/>
  <c r="B30" i="1" s="1"/>
  <c r="I31" i="1"/>
  <c r="B31" i="1" s="1"/>
  <c r="I32" i="1"/>
  <c r="B32" i="1" s="1"/>
  <c r="I33" i="1"/>
  <c r="I34" i="1"/>
  <c r="B34" i="1" s="1"/>
  <c r="I35" i="1"/>
  <c r="B35" i="1" s="1"/>
  <c r="I36" i="1"/>
  <c r="B36" i="1" s="1"/>
  <c r="I37" i="1"/>
  <c r="I38" i="1"/>
  <c r="B38" i="1" s="1"/>
  <c r="I39" i="1"/>
  <c r="B39" i="1" s="1"/>
  <c r="I40" i="1"/>
  <c r="B40" i="1" s="1"/>
  <c r="I41" i="1"/>
  <c r="I42" i="1"/>
  <c r="B42" i="1" s="1"/>
  <c r="I43" i="1"/>
  <c r="B43" i="1" s="1"/>
  <c r="I44" i="1"/>
  <c r="B44" i="1" s="1"/>
  <c r="I45" i="1"/>
  <c r="I46" i="1"/>
  <c r="B46" i="1" s="1"/>
  <c r="I47" i="1"/>
  <c r="B47" i="1" s="1"/>
  <c r="I48" i="1"/>
  <c r="B48" i="1" s="1"/>
  <c r="I49" i="1"/>
  <c r="I50" i="1"/>
  <c r="B50" i="1" s="1"/>
  <c r="I51" i="1"/>
  <c r="B51" i="1" s="1"/>
  <c r="I52" i="1"/>
  <c r="B52" i="1" s="1"/>
  <c r="I53" i="1"/>
  <c r="I54" i="1"/>
  <c r="I55" i="1"/>
  <c r="B55" i="1" s="1"/>
  <c r="I56" i="1"/>
  <c r="B56" i="1" s="1"/>
  <c r="I57" i="1"/>
  <c r="I58" i="1"/>
  <c r="B58" i="1" s="1"/>
  <c r="I59" i="1"/>
  <c r="B59" i="1" s="1"/>
  <c r="I60" i="1"/>
  <c r="B60" i="1" s="1"/>
  <c r="I61" i="1"/>
  <c r="I62" i="1"/>
  <c r="B62" i="1" s="1"/>
  <c r="I63" i="1"/>
  <c r="B63" i="1" s="1"/>
  <c r="I64" i="1"/>
  <c r="B64" i="1" s="1"/>
  <c r="I65" i="1"/>
  <c r="I66" i="1"/>
  <c r="B66" i="1" s="1"/>
  <c r="I67" i="1"/>
  <c r="B67" i="1" s="1"/>
  <c r="I68" i="1"/>
  <c r="B68" i="1" s="1"/>
  <c r="I69" i="1"/>
  <c r="I70" i="1"/>
  <c r="B70" i="1" s="1"/>
  <c r="I71" i="1"/>
  <c r="B71" i="1" s="1"/>
  <c r="I72" i="1"/>
  <c r="B72" i="1" s="1"/>
  <c r="I73" i="1"/>
  <c r="I74" i="1"/>
  <c r="B74" i="1" s="1"/>
  <c r="I75" i="1"/>
  <c r="B75" i="1" s="1"/>
  <c r="I76" i="1"/>
  <c r="B76" i="1" s="1"/>
  <c r="I77" i="1"/>
  <c r="I78" i="1"/>
  <c r="B78" i="1" s="1"/>
  <c r="I79" i="1"/>
  <c r="B79" i="1" s="1"/>
  <c r="I80" i="1"/>
  <c r="B80" i="1" s="1"/>
  <c r="I81" i="1"/>
  <c r="I82" i="1"/>
  <c r="B82" i="1" s="1"/>
  <c r="I83" i="1"/>
  <c r="B83" i="1" s="1"/>
  <c r="I84" i="1"/>
  <c r="B84" i="1" s="1"/>
  <c r="I85" i="1"/>
  <c r="I86" i="1"/>
  <c r="B86" i="1" s="1"/>
  <c r="I87" i="1"/>
  <c r="B87" i="1" s="1"/>
  <c r="I88" i="1"/>
  <c r="B88" i="1" s="1"/>
  <c r="I89" i="1"/>
  <c r="I90" i="1"/>
  <c r="B90" i="1" s="1"/>
  <c r="I91" i="1"/>
  <c r="B91" i="1" s="1"/>
  <c r="I92" i="1"/>
  <c r="B92" i="1" s="1"/>
  <c r="I93" i="1"/>
  <c r="I94" i="1"/>
  <c r="B94" i="1" s="1"/>
  <c r="I95" i="1"/>
  <c r="B95" i="1" s="1"/>
  <c r="I96" i="1"/>
  <c r="B96" i="1" s="1"/>
  <c r="I97" i="1"/>
  <c r="I98" i="1"/>
  <c r="B98" i="1" s="1"/>
  <c r="I99" i="1"/>
  <c r="B99" i="1" s="1"/>
  <c r="I100" i="1"/>
  <c r="B100" i="1" s="1"/>
  <c r="I101" i="1"/>
  <c r="I102" i="1"/>
  <c r="I103" i="1"/>
  <c r="B103" i="1" s="1"/>
  <c r="I104" i="1"/>
  <c r="B104" i="1" s="1"/>
  <c r="I105" i="1"/>
  <c r="I106" i="1"/>
  <c r="I107" i="1"/>
  <c r="B107" i="1" s="1"/>
  <c r="I108" i="1"/>
  <c r="B108" i="1" s="1"/>
  <c r="I109" i="1"/>
  <c r="I110" i="1"/>
  <c r="B110" i="1" s="1"/>
  <c r="I111" i="1"/>
  <c r="B111" i="1" s="1"/>
  <c r="I112" i="1"/>
  <c r="B112" i="1" s="1"/>
  <c r="I113" i="1"/>
  <c r="I114" i="1"/>
  <c r="B114" i="1" s="1"/>
  <c r="I115" i="1"/>
  <c r="B115" i="1" s="1"/>
  <c r="I116" i="1"/>
  <c r="B116" i="1" s="1"/>
  <c r="I117" i="1"/>
  <c r="I118" i="1"/>
  <c r="B118" i="1" s="1"/>
  <c r="I119" i="1"/>
  <c r="I120" i="1"/>
  <c r="B120" i="1" s="1"/>
  <c r="I121" i="1"/>
  <c r="I122" i="1"/>
  <c r="B122" i="1" s="1"/>
  <c r="I123" i="1"/>
  <c r="B123" i="1" s="1"/>
  <c r="I124" i="1"/>
  <c r="B124" i="1" s="1"/>
  <c r="I125" i="1"/>
  <c r="I126" i="1"/>
  <c r="B126" i="1" s="1"/>
  <c r="I127" i="1"/>
  <c r="B127" i="1" s="1"/>
  <c r="I128" i="1"/>
  <c r="B128" i="1" s="1"/>
  <c r="I129" i="1"/>
  <c r="I130" i="1"/>
  <c r="B130" i="1" s="1"/>
  <c r="I131" i="1"/>
  <c r="B131" i="1" s="1"/>
  <c r="I132" i="1"/>
  <c r="B132" i="1" s="1"/>
  <c r="I133" i="1"/>
  <c r="I134" i="1"/>
  <c r="B134" i="1" s="1"/>
  <c r="I135" i="1"/>
  <c r="B135" i="1" s="1"/>
  <c r="I136" i="1"/>
  <c r="B136" i="1" s="1"/>
  <c r="I137" i="1"/>
  <c r="I138" i="1"/>
  <c r="B138" i="1" s="1"/>
  <c r="I139" i="1"/>
  <c r="B139" i="1" s="1"/>
  <c r="I140" i="1"/>
  <c r="B140" i="1" s="1"/>
  <c r="I141" i="1"/>
  <c r="I142" i="1"/>
  <c r="B142" i="1" s="1"/>
  <c r="I143" i="1"/>
  <c r="B143" i="1" s="1"/>
  <c r="I144" i="1"/>
  <c r="B144" i="1" s="1"/>
  <c r="I145" i="1"/>
  <c r="I146" i="1"/>
  <c r="B146" i="1" s="1"/>
  <c r="I147" i="1"/>
  <c r="B147" i="1" s="1"/>
  <c r="I148" i="1"/>
  <c r="B148" i="1" s="1"/>
  <c r="I149" i="1"/>
  <c r="I150" i="1"/>
  <c r="B150" i="1" s="1"/>
  <c r="I151" i="1"/>
  <c r="B151" i="1" s="1"/>
  <c r="I152" i="1"/>
  <c r="B152" i="1" s="1"/>
  <c r="I153" i="1"/>
  <c r="I154" i="1"/>
  <c r="B154" i="1" s="1"/>
  <c r="I155" i="1"/>
  <c r="B155" i="1" s="1"/>
  <c r="I156" i="1"/>
  <c r="B156" i="1" s="1"/>
  <c r="I157" i="1"/>
  <c r="I158" i="1"/>
  <c r="I159" i="1"/>
  <c r="B159" i="1" s="1"/>
  <c r="I160" i="1"/>
  <c r="B160" i="1" s="1"/>
  <c r="I161" i="1"/>
  <c r="I162" i="1"/>
  <c r="B162" i="1" s="1"/>
  <c r="I163" i="1"/>
  <c r="B163" i="1" s="1"/>
  <c r="I164" i="1"/>
  <c r="B164" i="1" s="1"/>
  <c r="I165" i="1"/>
  <c r="I166" i="1"/>
  <c r="B166" i="1" s="1"/>
  <c r="I167" i="1"/>
  <c r="B167" i="1" s="1"/>
  <c r="I168" i="1"/>
  <c r="B168" i="1" s="1"/>
  <c r="I169" i="1"/>
  <c r="I170" i="1"/>
  <c r="B170" i="1" s="1"/>
  <c r="I171" i="1"/>
  <c r="B171" i="1" s="1"/>
  <c r="I172" i="1"/>
  <c r="B172" i="1" s="1"/>
  <c r="I173" i="1"/>
  <c r="I174" i="1"/>
  <c r="B174" i="1" s="1"/>
  <c r="I175" i="1"/>
  <c r="B175" i="1" s="1"/>
  <c r="I176" i="1"/>
  <c r="B176" i="1" s="1"/>
  <c r="I177" i="1"/>
  <c r="I178" i="1"/>
  <c r="B178" i="1" s="1"/>
  <c r="I179" i="1"/>
  <c r="B179" i="1" s="1"/>
  <c r="I180" i="1"/>
  <c r="B180" i="1" s="1"/>
  <c r="I181" i="1"/>
  <c r="I182" i="1"/>
  <c r="B182" i="1" s="1"/>
  <c r="I183" i="1"/>
  <c r="B183" i="1" s="1"/>
  <c r="I184" i="1"/>
  <c r="B184" i="1" s="1"/>
  <c r="I185" i="1"/>
  <c r="I186" i="1"/>
  <c r="I187" i="1"/>
  <c r="B187" i="1" s="1"/>
  <c r="I188" i="1"/>
  <c r="B188" i="1" s="1"/>
  <c r="I189" i="1"/>
  <c r="I190" i="1"/>
  <c r="B190" i="1" s="1"/>
  <c r="I191" i="1"/>
  <c r="B191" i="1" s="1"/>
  <c r="I192" i="1"/>
  <c r="B192" i="1" s="1"/>
  <c r="I193" i="1"/>
  <c r="I194" i="1"/>
  <c r="B194" i="1" s="1"/>
  <c r="I195" i="1"/>
  <c r="B195" i="1" s="1"/>
  <c r="I196" i="1"/>
  <c r="B196" i="1" s="1"/>
  <c r="I197" i="1"/>
  <c r="I198" i="1"/>
  <c r="B198" i="1" s="1"/>
  <c r="I199" i="1"/>
  <c r="B199" i="1" s="1"/>
  <c r="I200" i="1"/>
  <c r="B200" i="1" s="1"/>
  <c r="I201" i="1"/>
  <c r="I202" i="1"/>
  <c r="B202" i="1" s="1"/>
  <c r="I203" i="1"/>
  <c r="B203" i="1" s="1"/>
  <c r="I204" i="1"/>
  <c r="B204" i="1" s="1"/>
  <c r="I205" i="1"/>
  <c r="I206" i="1"/>
  <c r="B206" i="1" s="1"/>
  <c r="I207" i="1"/>
  <c r="B207" i="1" s="1"/>
  <c r="I208" i="1"/>
  <c r="B208" i="1" s="1"/>
  <c r="I209" i="1"/>
  <c r="I210" i="1"/>
  <c r="I211" i="1"/>
  <c r="B211" i="1" s="1"/>
  <c r="I212" i="1"/>
  <c r="B212" i="1" s="1"/>
  <c r="I213" i="1"/>
  <c r="I214" i="1"/>
  <c r="B214" i="1" s="1"/>
  <c r="I215" i="1"/>
  <c r="B215" i="1" s="1"/>
  <c r="I216" i="1"/>
  <c r="B216" i="1" s="1"/>
  <c r="I217" i="1"/>
  <c r="I218" i="1"/>
  <c r="B218" i="1" s="1"/>
  <c r="I219" i="1"/>
  <c r="B219" i="1" s="1"/>
  <c r="I220" i="1"/>
  <c r="B220" i="1" s="1"/>
  <c r="I221" i="1"/>
  <c r="I222" i="1"/>
  <c r="B222" i="1" s="1"/>
  <c r="I223" i="1"/>
  <c r="B223" i="1" s="1"/>
  <c r="I224" i="1"/>
  <c r="B224" i="1" s="1"/>
  <c r="I225" i="1"/>
  <c r="I226" i="1"/>
  <c r="B226" i="1" s="1"/>
  <c r="I227" i="1"/>
  <c r="B227" i="1" s="1"/>
  <c r="I228" i="1"/>
  <c r="B228" i="1" s="1"/>
  <c r="I229" i="1"/>
  <c r="I230" i="1"/>
  <c r="B230" i="1" s="1"/>
  <c r="I231" i="1"/>
  <c r="B231" i="1" s="1"/>
  <c r="I232" i="1"/>
  <c r="B232" i="1" s="1"/>
  <c r="I233" i="1"/>
  <c r="I234" i="1"/>
  <c r="B234" i="1" s="1"/>
  <c r="I235" i="1"/>
  <c r="B235" i="1" s="1"/>
  <c r="I236" i="1"/>
  <c r="B236" i="1" s="1"/>
  <c r="I237" i="1"/>
  <c r="I238" i="1"/>
  <c r="B238" i="1" s="1"/>
  <c r="I239" i="1"/>
  <c r="B239" i="1" s="1"/>
  <c r="I240" i="1"/>
  <c r="B240" i="1" s="1"/>
  <c r="I241" i="1"/>
  <c r="I242" i="1"/>
  <c r="B242" i="1" s="1"/>
  <c r="I243" i="1"/>
  <c r="B243" i="1" s="1"/>
  <c r="I244" i="1"/>
  <c r="B244" i="1" s="1"/>
  <c r="I245" i="1"/>
  <c r="I246" i="1"/>
  <c r="B246" i="1" s="1"/>
  <c r="I247" i="1"/>
  <c r="B247" i="1" s="1"/>
  <c r="I248" i="1"/>
  <c r="B248" i="1" s="1"/>
  <c r="I249" i="1"/>
  <c r="I250" i="1"/>
  <c r="B250" i="1" s="1"/>
  <c r="I251" i="1"/>
  <c r="B251" i="1" s="1"/>
  <c r="I252" i="1"/>
  <c r="B252" i="1" s="1"/>
  <c r="I253" i="1"/>
  <c r="I254" i="1"/>
  <c r="B254" i="1" s="1"/>
  <c r="I255" i="1"/>
  <c r="B255" i="1" s="1"/>
  <c r="I256" i="1"/>
  <c r="B256" i="1" s="1"/>
  <c r="I257" i="1"/>
  <c r="I258" i="1"/>
  <c r="B258" i="1" s="1"/>
  <c r="I259" i="1"/>
  <c r="B259" i="1" s="1"/>
  <c r="I260" i="1"/>
  <c r="B260" i="1" s="1"/>
  <c r="I261" i="1"/>
  <c r="I262" i="1"/>
  <c r="I263" i="1"/>
  <c r="B263" i="1" s="1"/>
  <c r="I264" i="1"/>
  <c r="B264" i="1" s="1"/>
  <c r="I265" i="1"/>
  <c r="I266" i="1"/>
  <c r="B266" i="1" s="1"/>
  <c r="I267" i="1"/>
  <c r="B267" i="1" s="1"/>
  <c r="I268" i="1"/>
  <c r="B268" i="1" s="1"/>
  <c r="I269" i="1"/>
  <c r="I270" i="1"/>
  <c r="B270" i="1" s="1"/>
  <c r="I271" i="1"/>
  <c r="B271" i="1" s="1"/>
  <c r="I272" i="1"/>
  <c r="B272" i="1" s="1"/>
  <c r="I273" i="1"/>
  <c r="I274" i="1"/>
  <c r="B274" i="1" s="1"/>
  <c r="I275" i="1"/>
  <c r="B275" i="1" s="1"/>
  <c r="I276" i="1"/>
  <c r="B276" i="1" s="1"/>
  <c r="I277" i="1"/>
  <c r="I278" i="1"/>
  <c r="B278" i="1" s="1"/>
  <c r="I279" i="1"/>
  <c r="B279" i="1" s="1"/>
  <c r="I280" i="1"/>
  <c r="B280" i="1" s="1"/>
  <c r="I281" i="1"/>
  <c r="I282" i="1"/>
  <c r="B282" i="1" s="1"/>
  <c r="I283" i="1"/>
  <c r="B283" i="1" s="1"/>
  <c r="I284" i="1"/>
  <c r="B284" i="1" s="1"/>
  <c r="I285" i="1"/>
  <c r="I286" i="1"/>
  <c r="B286" i="1" s="1"/>
  <c r="I287" i="1"/>
  <c r="B287" i="1" s="1"/>
  <c r="I288" i="1"/>
  <c r="B288" i="1" s="1"/>
  <c r="I289" i="1"/>
  <c r="I290" i="1"/>
  <c r="B290" i="1" s="1"/>
  <c r="I291" i="1"/>
  <c r="B291" i="1" s="1"/>
  <c r="I292" i="1"/>
  <c r="B292" i="1" s="1"/>
  <c r="I293" i="1"/>
  <c r="I294" i="1"/>
  <c r="B294" i="1" s="1"/>
  <c r="I295" i="1"/>
  <c r="B295" i="1" s="1"/>
  <c r="I296" i="1"/>
  <c r="B296" i="1" s="1"/>
  <c r="I297" i="1"/>
  <c r="I298" i="1"/>
  <c r="B298" i="1" s="1"/>
  <c r="I299" i="1"/>
  <c r="B299" i="1" s="1"/>
  <c r="I300" i="1"/>
  <c r="B300" i="1" s="1"/>
  <c r="I301" i="1"/>
  <c r="I302" i="1"/>
  <c r="B302" i="1" s="1"/>
  <c r="I303" i="1"/>
  <c r="B303" i="1" s="1"/>
  <c r="I304" i="1"/>
  <c r="B304" i="1" s="1"/>
  <c r="I305" i="1"/>
  <c r="I306" i="1"/>
  <c r="B306" i="1" s="1"/>
  <c r="I307" i="1"/>
  <c r="B307" i="1" s="1"/>
  <c r="I308" i="1"/>
  <c r="B308" i="1" s="1"/>
  <c r="I309" i="1"/>
  <c r="I310" i="1"/>
  <c r="I311" i="1"/>
  <c r="B311" i="1" s="1"/>
  <c r="I312" i="1"/>
  <c r="B312" i="1" s="1"/>
  <c r="I313" i="1"/>
  <c r="I314" i="1"/>
  <c r="I315" i="1"/>
  <c r="B315" i="1" s="1"/>
  <c r="I316" i="1"/>
  <c r="B316" i="1" s="1"/>
  <c r="I317" i="1"/>
  <c r="I318" i="1"/>
  <c r="B318" i="1" s="1"/>
  <c r="I319" i="1"/>
  <c r="B319" i="1" s="1"/>
  <c r="I320" i="1"/>
  <c r="B320" i="1" s="1"/>
  <c r="I321" i="1"/>
  <c r="I322" i="1"/>
  <c r="B322" i="1" s="1"/>
  <c r="I323" i="1"/>
  <c r="B323" i="1" s="1"/>
  <c r="I324" i="1"/>
  <c r="I325" i="1"/>
  <c r="I326" i="1"/>
  <c r="B326" i="1" s="1"/>
  <c r="I327" i="1"/>
  <c r="I328" i="1"/>
  <c r="B328" i="1" s="1"/>
  <c r="I329" i="1"/>
  <c r="I330" i="1"/>
  <c r="B330" i="1" s="1"/>
  <c r="I331" i="1"/>
  <c r="B331" i="1" s="1"/>
  <c r="I332" i="1"/>
  <c r="I333" i="1"/>
  <c r="I334" i="1"/>
  <c r="B334" i="1" s="1"/>
  <c r="I335" i="1"/>
  <c r="B335" i="1" s="1"/>
  <c r="I336" i="1"/>
  <c r="B336" i="1" s="1"/>
  <c r="I337" i="1"/>
  <c r="I338" i="1"/>
  <c r="B338" i="1" s="1"/>
  <c r="I339" i="1"/>
  <c r="B339" i="1" s="1"/>
  <c r="I340" i="1"/>
  <c r="I341" i="1"/>
  <c r="I342" i="1"/>
  <c r="B342" i="1" s="1"/>
  <c r="I343" i="1"/>
  <c r="B343" i="1" s="1"/>
  <c r="I344" i="1"/>
  <c r="B344" i="1" s="1"/>
  <c r="I345" i="1"/>
  <c r="I346" i="1"/>
  <c r="B346" i="1" s="1"/>
  <c r="I347" i="1"/>
  <c r="B347" i="1" s="1"/>
  <c r="I348" i="1"/>
  <c r="B348" i="1" s="1"/>
  <c r="I349" i="1"/>
  <c r="I350" i="1"/>
  <c r="B350" i="1" s="1"/>
  <c r="I351" i="1"/>
  <c r="B351" i="1" s="1"/>
  <c r="I352" i="1"/>
  <c r="I353" i="1"/>
  <c r="I354" i="1"/>
  <c r="B354" i="1" s="1"/>
  <c r="I355" i="1"/>
  <c r="B355" i="1" s="1"/>
  <c r="I356" i="1"/>
  <c r="B356" i="1" s="1"/>
  <c r="I357" i="1"/>
  <c r="I358" i="1"/>
  <c r="B358" i="1" s="1"/>
  <c r="I359" i="1"/>
  <c r="I360" i="1"/>
  <c r="B360" i="1" s="1"/>
  <c r="I361" i="1"/>
  <c r="I362" i="1"/>
  <c r="B362" i="1" s="1"/>
  <c r="I363" i="1"/>
  <c r="B363" i="1" s="1"/>
  <c r="I364" i="1"/>
  <c r="B364" i="1" s="1"/>
  <c r="I365" i="1"/>
  <c r="I366" i="1"/>
  <c r="I367" i="1"/>
  <c r="B367" i="1" s="1"/>
  <c r="I368" i="1"/>
  <c r="B368" i="1" s="1"/>
  <c r="I369" i="1"/>
  <c r="I370" i="1"/>
  <c r="B370" i="1" s="1"/>
  <c r="I371" i="1"/>
  <c r="B371" i="1" s="1"/>
  <c r="I372" i="1"/>
  <c r="B372" i="1" s="1"/>
  <c r="I373" i="1"/>
  <c r="I374" i="1"/>
  <c r="B374" i="1" s="1"/>
  <c r="I375" i="1"/>
  <c r="B375" i="1" s="1"/>
  <c r="I376" i="1"/>
  <c r="I377" i="1"/>
  <c r="I378" i="1"/>
  <c r="B378" i="1" s="1"/>
  <c r="I379" i="1"/>
  <c r="B379" i="1" s="1"/>
  <c r="I380" i="1"/>
  <c r="B380" i="1" s="1"/>
  <c r="I381" i="1"/>
  <c r="I382" i="1"/>
  <c r="B382" i="1" s="1"/>
  <c r="I383" i="1"/>
  <c r="B383" i="1" s="1"/>
  <c r="I384" i="1"/>
  <c r="B384" i="1" s="1"/>
  <c r="I385" i="1"/>
  <c r="I386" i="1"/>
  <c r="B386" i="1" s="1"/>
  <c r="I387" i="1"/>
  <c r="B387" i="1" s="1"/>
  <c r="I388" i="1"/>
  <c r="I389" i="1"/>
  <c r="I390" i="1"/>
  <c r="B390" i="1" s="1"/>
  <c r="I391" i="1"/>
  <c r="I392" i="1"/>
  <c r="B392" i="1" s="1"/>
  <c r="I393" i="1"/>
  <c r="I394" i="1"/>
  <c r="B394" i="1" s="1"/>
  <c r="I395" i="1"/>
  <c r="B395" i="1" s="1"/>
  <c r="I396" i="1"/>
  <c r="I397" i="1"/>
  <c r="I398" i="1"/>
  <c r="B398" i="1" s="1"/>
  <c r="I399" i="1"/>
  <c r="B399" i="1" s="1"/>
  <c r="I400" i="1"/>
  <c r="B400" i="1" s="1"/>
  <c r="I401" i="1"/>
  <c r="I402" i="1"/>
  <c r="B402" i="1" s="1"/>
  <c r="I403" i="1"/>
  <c r="B403" i="1" s="1"/>
  <c r="I404" i="1"/>
  <c r="I405" i="1"/>
  <c r="I406" i="1"/>
  <c r="B406" i="1" s="1"/>
  <c r="I407" i="1"/>
  <c r="B407" i="1" s="1"/>
  <c r="I408" i="1"/>
  <c r="B408" i="1" s="1"/>
  <c r="I409" i="1"/>
  <c r="I410" i="1"/>
  <c r="B410" i="1" s="1"/>
  <c r="I411" i="1"/>
  <c r="B411" i="1" s="1"/>
  <c r="I412" i="1"/>
  <c r="B412" i="1" s="1"/>
  <c r="I413" i="1"/>
  <c r="I414" i="1"/>
  <c r="B414" i="1" s="1"/>
  <c r="I415" i="1"/>
  <c r="B415" i="1" s="1"/>
  <c r="I416" i="1"/>
  <c r="I417" i="1"/>
  <c r="I418" i="1"/>
  <c r="B418" i="1" s="1"/>
  <c r="I419" i="1"/>
  <c r="B419" i="1" s="1"/>
  <c r="I420" i="1"/>
  <c r="B420" i="1" s="1"/>
  <c r="I421" i="1"/>
  <c r="I422" i="1"/>
  <c r="B422" i="1" s="1"/>
  <c r="I423" i="1"/>
  <c r="I424" i="1"/>
  <c r="B424" i="1" s="1"/>
  <c r="I425" i="1"/>
  <c r="I426" i="1"/>
  <c r="B426" i="1" s="1"/>
  <c r="I427" i="1"/>
  <c r="B427" i="1" s="1"/>
  <c r="I428" i="1"/>
  <c r="B428" i="1" s="1"/>
  <c r="I429" i="1"/>
  <c r="I430" i="1"/>
  <c r="I431" i="1"/>
  <c r="B431" i="1" s="1"/>
  <c r="I432" i="1"/>
  <c r="B432" i="1" s="1"/>
  <c r="I433" i="1"/>
  <c r="I434" i="1"/>
  <c r="B434" i="1" s="1"/>
  <c r="I435" i="1"/>
  <c r="B435" i="1" s="1"/>
  <c r="I436" i="1"/>
  <c r="B436" i="1" s="1"/>
  <c r="I437" i="1"/>
  <c r="I438" i="1"/>
  <c r="B438" i="1" s="1"/>
  <c r="I439" i="1"/>
  <c r="B439" i="1" s="1"/>
  <c r="I440" i="1"/>
  <c r="I441" i="1"/>
  <c r="I442" i="1"/>
  <c r="B442" i="1" s="1"/>
  <c r="I443" i="1"/>
  <c r="B443" i="1" s="1"/>
  <c r="I444" i="1"/>
  <c r="B444" i="1" s="1"/>
  <c r="I445" i="1"/>
  <c r="I446" i="1"/>
  <c r="B446" i="1" s="1"/>
  <c r="I447" i="1"/>
  <c r="B447" i="1" s="1"/>
  <c r="I448" i="1"/>
  <c r="B448" i="1" s="1"/>
  <c r="I449" i="1"/>
  <c r="I450" i="1"/>
  <c r="B450" i="1" s="1"/>
  <c r="I451" i="1"/>
  <c r="B451" i="1" s="1"/>
  <c r="I452" i="1"/>
  <c r="I453" i="1"/>
  <c r="I454" i="1"/>
  <c r="B454" i="1" s="1"/>
  <c r="I455" i="1"/>
  <c r="I456" i="1"/>
  <c r="B456" i="1" s="1"/>
  <c r="I457" i="1"/>
  <c r="I458" i="1"/>
  <c r="B458" i="1" s="1"/>
  <c r="I459" i="1"/>
  <c r="B459" i="1" s="1"/>
  <c r="I460" i="1"/>
  <c r="I461" i="1"/>
  <c r="I462" i="1"/>
  <c r="B462" i="1" s="1"/>
  <c r="I463" i="1"/>
  <c r="B463" i="1" s="1"/>
  <c r="I464" i="1"/>
  <c r="B464" i="1" s="1"/>
  <c r="I465" i="1"/>
  <c r="I466" i="1"/>
  <c r="B466" i="1" s="1"/>
  <c r="I467" i="1"/>
  <c r="B467" i="1" s="1"/>
  <c r="I468" i="1"/>
  <c r="I469" i="1"/>
  <c r="I470" i="1"/>
  <c r="B470" i="1" s="1"/>
  <c r="I471" i="1"/>
  <c r="B471" i="1" s="1"/>
  <c r="I472" i="1"/>
  <c r="B472" i="1" s="1"/>
  <c r="I473" i="1"/>
  <c r="I474" i="1"/>
  <c r="B474" i="1" s="1"/>
  <c r="I475" i="1"/>
  <c r="B475" i="1" s="1"/>
  <c r="I476" i="1"/>
  <c r="B476" i="1" s="1"/>
  <c r="I477" i="1"/>
  <c r="I478" i="1"/>
  <c r="B478" i="1" s="1"/>
  <c r="I479" i="1"/>
  <c r="B479" i="1" s="1"/>
  <c r="I480" i="1"/>
  <c r="I481" i="1"/>
  <c r="I482" i="1"/>
  <c r="B482" i="1" s="1"/>
  <c r="I483" i="1"/>
  <c r="B483" i="1" s="1"/>
  <c r="I484" i="1"/>
  <c r="B484" i="1" s="1"/>
  <c r="I485" i="1"/>
  <c r="I486" i="1"/>
  <c r="B486" i="1" s="1"/>
  <c r="I487" i="1"/>
  <c r="I488" i="1"/>
  <c r="B488" i="1" s="1"/>
  <c r="I489" i="1"/>
  <c r="I490" i="1"/>
  <c r="B490" i="1" s="1"/>
  <c r="I491" i="1"/>
  <c r="B491" i="1" s="1"/>
  <c r="I492" i="1"/>
  <c r="B492" i="1" s="1"/>
  <c r="I493" i="1"/>
  <c r="I494" i="1"/>
  <c r="I495" i="1"/>
  <c r="B495" i="1" s="1"/>
  <c r="I496" i="1"/>
  <c r="B496" i="1" s="1"/>
  <c r="I497" i="1"/>
  <c r="I498" i="1"/>
  <c r="B498" i="1" s="1"/>
  <c r="I499" i="1"/>
  <c r="B499" i="1" s="1"/>
  <c r="I500" i="1"/>
  <c r="B500" i="1" s="1"/>
  <c r="I501" i="1"/>
  <c r="I502" i="1"/>
  <c r="B502" i="1" s="1"/>
  <c r="I503" i="1"/>
  <c r="B503" i="1" s="1"/>
  <c r="I504" i="1"/>
  <c r="I505" i="1"/>
  <c r="I506" i="1"/>
  <c r="B506" i="1" s="1"/>
  <c r="I507" i="1"/>
  <c r="B507" i="1" s="1"/>
  <c r="I508" i="1"/>
  <c r="B508" i="1" s="1"/>
  <c r="I509" i="1"/>
  <c r="I510" i="1"/>
  <c r="B510" i="1" s="1"/>
  <c r="I511" i="1"/>
  <c r="B511" i="1" s="1"/>
  <c r="I512" i="1"/>
  <c r="B512" i="1" s="1"/>
  <c r="I513" i="1"/>
  <c r="I514" i="1"/>
  <c r="B514" i="1" s="1"/>
  <c r="I515" i="1"/>
  <c r="B515" i="1" s="1"/>
  <c r="I516" i="1"/>
  <c r="I517" i="1"/>
  <c r="I518" i="1"/>
  <c r="B518" i="1" s="1"/>
  <c r="I519" i="1"/>
  <c r="I520" i="1"/>
  <c r="B520" i="1" s="1"/>
  <c r="I521" i="1"/>
  <c r="I522" i="1"/>
  <c r="B522" i="1" s="1"/>
  <c r="I523" i="1"/>
  <c r="B523" i="1" s="1"/>
  <c r="I524" i="1"/>
  <c r="I525" i="1"/>
  <c r="I526" i="1"/>
  <c r="B526" i="1" s="1"/>
  <c r="I527" i="1"/>
  <c r="B527" i="1" s="1"/>
  <c r="I528" i="1"/>
  <c r="B528" i="1" s="1"/>
  <c r="I529" i="1"/>
  <c r="I530" i="1"/>
  <c r="B530" i="1" s="1"/>
  <c r="I531" i="1"/>
  <c r="B531" i="1" s="1"/>
  <c r="I532" i="1"/>
  <c r="I533" i="1"/>
  <c r="I534" i="1"/>
  <c r="B534" i="1" s="1"/>
  <c r="I535" i="1"/>
  <c r="B535" i="1" s="1"/>
  <c r="I536" i="1"/>
  <c r="B536" i="1" s="1"/>
  <c r="I537" i="1"/>
  <c r="I538" i="1"/>
  <c r="B538" i="1" s="1"/>
  <c r="I539" i="1"/>
  <c r="B539" i="1" s="1"/>
  <c r="I540" i="1"/>
  <c r="B540" i="1" s="1"/>
  <c r="I541" i="1"/>
  <c r="I542" i="1"/>
  <c r="B542" i="1" s="1"/>
  <c r="I543" i="1"/>
  <c r="B543" i="1" s="1"/>
  <c r="I544" i="1"/>
  <c r="I545" i="1"/>
  <c r="I546" i="1"/>
  <c r="B546" i="1" s="1"/>
  <c r="I547" i="1"/>
  <c r="B547" i="1" s="1"/>
  <c r="I548" i="1"/>
  <c r="B548" i="1" s="1"/>
  <c r="I549" i="1"/>
  <c r="I550" i="1"/>
  <c r="B550" i="1" s="1"/>
  <c r="I551" i="1"/>
  <c r="I552" i="1"/>
  <c r="B552" i="1" s="1"/>
  <c r="I553" i="1"/>
  <c r="I554" i="1"/>
  <c r="B554" i="1" s="1"/>
  <c r="I555" i="1"/>
  <c r="B555" i="1" s="1"/>
  <c r="I556" i="1"/>
  <c r="B556" i="1" s="1"/>
  <c r="I557" i="1"/>
  <c r="I558" i="1"/>
  <c r="I559" i="1"/>
  <c r="B559" i="1" s="1"/>
  <c r="I560" i="1"/>
  <c r="B560" i="1" s="1"/>
  <c r="I561" i="1"/>
  <c r="I562" i="1"/>
  <c r="B562" i="1" s="1"/>
  <c r="I563" i="1"/>
  <c r="B563" i="1" s="1"/>
  <c r="I564" i="1"/>
  <c r="B564" i="1" s="1"/>
  <c r="I565" i="1"/>
  <c r="I566" i="1"/>
  <c r="B566" i="1" s="1"/>
  <c r="I567" i="1"/>
  <c r="B567" i="1" s="1"/>
  <c r="I568" i="1"/>
  <c r="I569" i="1"/>
  <c r="I570" i="1"/>
  <c r="B570" i="1" s="1"/>
  <c r="I571" i="1"/>
  <c r="B571" i="1" s="1"/>
  <c r="I572" i="1"/>
  <c r="B572" i="1" s="1"/>
  <c r="I573" i="1"/>
  <c r="I574" i="1"/>
  <c r="B574" i="1" s="1"/>
  <c r="I575" i="1"/>
  <c r="B575" i="1" s="1"/>
  <c r="I576" i="1"/>
  <c r="B576" i="1" s="1"/>
  <c r="I577" i="1"/>
  <c r="I578" i="1"/>
  <c r="B578" i="1" s="1"/>
  <c r="I579" i="1"/>
  <c r="B579" i="1" s="1"/>
  <c r="I580" i="1"/>
  <c r="I581" i="1"/>
  <c r="I582" i="1"/>
  <c r="B582" i="1" s="1"/>
  <c r="I583" i="1"/>
  <c r="I584" i="1"/>
  <c r="B584" i="1" s="1"/>
  <c r="I585" i="1"/>
  <c r="I586" i="1"/>
  <c r="B586" i="1" s="1"/>
  <c r="I587" i="1"/>
  <c r="B587" i="1" s="1"/>
  <c r="I588" i="1"/>
  <c r="I589" i="1"/>
  <c r="I590" i="1"/>
  <c r="B590" i="1" s="1"/>
  <c r="I591" i="1"/>
  <c r="B591" i="1" s="1"/>
  <c r="I592" i="1"/>
  <c r="B592" i="1" s="1"/>
  <c r="I593" i="1"/>
  <c r="I594" i="1"/>
  <c r="B594" i="1" s="1"/>
  <c r="I595" i="1"/>
  <c r="B595" i="1" s="1"/>
  <c r="I596" i="1"/>
  <c r="I597" i="1"/>
  <c r="I598" i="1"/>
  <c r="B598" i="1" s="1"/>
  <c r="I599" i="1"/>
  <c r="B599" i="1" s="1"/>
  <c r="I600" i="1"/>
  <c r="B600" i="1" s="1"/>
  <c r="I601" i="1"/>
  <c r="I602" i="1"/>
  <c r="B602" i="1" s="1"/>
  <c r="I603" i="1"/>
  <c r="B603" i="1" s="1"/>
  <c r="I604" i="1"/>
  <c r="B604" i="1" s="1"/>
  <c r="I605" i="1"/>
  <c r="I606" i="1"/>
  <c r="B606" i="1" s="1"/>
  <c r="I607" i="1"/>
  <c r="B607" i="1" s="1"/>
  <c r="I608" i="1"/>
  <c r="I609" i="1"/>
  <c r="I610" i="1"/>
  <c r="B610" i="1" s="1"/>
  <c r="I611" i="1"/>
  <c r="B611" i="1" s="1"/>
  <c r="I612" i="1"/>
  <c r="B612" i="1" s="1"/>
  <c r="I613" i="1"/>
  <c r="I614" i="1"/>
  <c r="B614" i="1" s="1"/>
  <c r="I615" i="1"/>
  <c r="I616" i="1"/>
  <c r="B616" i="1" s="1"/>
  <c r="I617" i="1"/>
  <c r="I618" i="1"/>
  <c r="B618" i="1" s="1"/>
  <c r="I619" i="1"/>
  <c r="B619" i="1" s="1"/>
  <c r="I620" i="1"/>
  <c r="B620" i="1" s="1"/>
  <c r="I621" i="1"/>
  <c r="I622" i="1"/>
  <c r="I623" i="1"/>
  <c r="B623" i="1" s="1"/>
  <c r="I624" i="1"/>
  <c r="B624" i="1" s="1"/>
  <c r="I625" i="1"/>
  <c r="I626" i="1"/>
  <c r="B626" i="1" s="1"/>
  <c r="I627" i="1"/>
  <c r="B627" i="1" s="1"/>
  <c r="I628" i="1"/>
  <c r="B628" i="1" s="1"/>
  <c r="I629" i="1"/>
  <c r="I630" i="1"/>
  <c r="B630" i="1" s="1"/>
  <c r="I631" i="1"/>
  <c r="B631" i="1" s="1"/>
  <c r="I632" i="1"/>
  <c r="I633" i="1"/>
  <c r="I634" i="1"/>
  <c r="B634" i="1" s="1"/>
  <c r="I635" i="1"/>
  <c r="B635" i="1" s="1"/>
  <c r="I636" i="1"/>
  <c r="B636" i="1" s="1"/>
  <c r="I637" i="1"/>
  <c r="I638" i="1"/>
  <c r="B638" i="1" s="1"/>
  <c r="I639" i="1"/>
  <c r="B639" i="1" s="1"/>
  <c r="I640" i="1"/>
  <c r="B640" i="1" s="1"/>
  <c r="I641" i="1"/>
  <c r="I642" i="1"/>
  <c r="B642" i="1" s="1"/>
  <c r="I643" i="1"/>
  <c r="B643" i="1" s="1"/>
  <c r="I644" i="1"/>
  <c r="I645" i="1"/>
  <c r="I646" i="1"/>
  <c r="B646" i="1" s="1"/>
  <c r="I647" i="1"/>
  <c r="I648" i="1"/>
  <c r="B648" i="1" s="1"/>
  <c r="I649" i="1"/>
  <c r="I650" i="1"/>
  <c r="B650" i="1" s="1"/>
  <c r="I651" i="1"/>
  <c r="B651" i="1" s="1"/>
  <c r="I652" i="1"/>
  <c r="I653" i="1"/>
  <c r="I654" i="1"/>
  <c r="B654" i="1" s="1"/>
  <c r="I655" i="1"/>
  <c r="B655" i="1" s="1"/>
  <c r="I656" i="1"/>
  <c r="B656" i="1" s="1"/>
  <c r="I657" i="1"/>
  <c r="I658" i="1"/>
  <c r="B658" i="1" s="1"/>
  <c r="I659" i="1"/>
  <c r="B659" i="1" s="1"/>
  <c r="I660" i="1"/>
  <c r="I661" i="1"/>
  <c r="I662" i="1"/>
  <c r="B662" i="1" s="1"/>
  <c r="I663" i="1"/>
  <c r="B663" i="1" s="1"/>
  <c r="I664" i="1"/>
  <c r="B664" i="1" s="1"/>
  <c r="I665" i="1"/>
  <c r="I666" i="1"/>
  <c r="B666" i="1" s="1"/>
  <c r="I667" i="1"/>
  <c r="B667" i="1" s="1"/>
  <c r="I668" i="1"/>
  <c r="B668" i="1" s="1"/>
  <c r="I669" i="1"/>
  <c r="I670" i="1"/>
  <c r="B670" i="1" s="1"/>
  <c r="I671" i="1"/>
  <c r="B671" i="1" s="1"/>
  <c r="I672" i="1"/>
  <c r="I673" i="1"/>
  <c r="I674" i="1"/>
  <c r="B674" i="1" s="1"/>
  <c r="I675" i="1"/>
  <c r="B675" i="1" s="1"/>
  <c r="I676" i="1"/>
  <c r="B676" i="1" s="1"/>
  <c r="I677" i="1"/>
  <c r="I678" i="1"/>
  <c r="B678" i="1" s="1"/>
  <c r="I679" i="1"/>
  <c r="I680" i="1"/>
  <c r="B680" i="1" s="1"/>
  <c r="I681" i="1"/>
  <c r="I682" i="1"/>
  <c r="B682" i="1" s="1"/>
  <c r="I683" i="1"/>
  <c r="B683" i="1" s="1"/>
  <c r="I684" i="1"/>
  <c r="B684" i="1" s="1"/>
  <c r="I685" i="1"/>
  <c r="I686" i="1"/>
  <c r="I687" i="1"/>
  <c r="B687" i="1" s="1"/>
  <c r="I688" i="1"/>
  <c r="B688" i="1" s="1"/>
  <c r="I689" i="1"/>
  <c r="I690" i="1"/>
  <c r="B690" i="1" s="1"/>
  <c r="I691" i="1"/>
  <c r="B691" i="1" s="1"/>
  <c r="I692" i="1"/>
  <c r="B692" i="1" s="1"/>
  <c r="I693" i="1"/>
  <c r="I694" i="1"/>
  <c r="B694" i="1" s="1"/>
  <c r="I695" i="1"/>
  <c r="B695" i="1" s="1"/>
  <c r="I696" i="1"/>
  <c r="I697" i="1"/>
  <c r="I698" i="1"/>
  <c r="B698" i="1" s="1"/>
  <c r="I699" i="1"/>
  <c r="B699" i="1" s="1"/>
  <c r="I700" i="1"/>
  <c r="B700" i="1" s="1"/>
  <c r="I701" i="1"/>
  <c r="I702" i="1"/>
  <c r="B702" i="1" s="1"/>
  <c r="I703" i="1"/>
  <c r="B703" i="1" s="1"/>
  <c r="I704" i="1"/>
  <c r="B704" i="1" s="1"/>
  <c r="I705" i="1"/>
  <c r="I706" i="1"/>
  <c r="B706" i="1" s="1"/>
  <c r="I707" i="1"/>
  <c r="B707" i="1" s="1"/>
  <c r="I708" i="1"/>
  <c r="I709" i="1"/>
  <c r="I710" i="1"/>
  <c r="B710" i="1" s="1"/>
  <c r="I711" i="1"/>
  <c r="I712" i="1"/>
  <c r="B712" i="1" s="1"/>
  <c r="I713" i="1"/>
  <c r="I714" i="1"/>
  <c r="B714" i="1" s="1"/>
  <c r="I715" i="1"/>
  <c r="B715" i="1" s="1"/>
  <c r="I716" i="1"/>
  <c r="I717" i="1"/>
  <c r="I718" i="1"/>
  <c r="B718" i="1" s="1"/>
  <c r="I719" i="1"/>
  <c r="B719" i="1" s="1"/>
  <c r="I720" i="1"/>
  <c r="B720" i="1" s="1"/>
  <c r="I721" i="1"/>
  <c r="I722" i="1"/>
  <c r="B722" i="1" s="1"/>
  <c r="I723" i="1"/>
  <c r="B723" i="1" s="1"/>
  <c r="I724" i="1"/>
  <c r="I725" i="1"/>
  <c r="I726" i="1"/>
  <c r="B726" i="1" s="1"/>
  <c r="I727" i="1"/>
  <c r="B727" i="1" s="1"/>
  <c r="I728" i="1"/>
  <c r="B728" i="1" s="1"/>
  <c r="I729" i="1"/>
  <c r="I730" i="1"/>
  <c r="B730" i="1" s="1"/>
  <c r="I731" i="1"/>
  <c r="B731" i="1" s="1"/>
  <c r="I732" i="1"/>
  <c r="B732" i="1" s="1"/>
  <c r="I733" i="1"/>
  <c r="I734" i="1"/>
  <c r="B734" i="1" s="1"/>
  <c r="I735" i="1"/>
  <c r="B735" i="1" s="1"/>
  <c r="I736" i="1"/>
  <c r="I737" i="1"/>
  <c r="I738" i="1"/>
  <c r="B738" i="1" s="1"/>
  <c r="I739" i="1"/>
  <c r="B739" i="1" s="1"/>
  <c r="I740" i="1"/>
  <c r="B740" i="1" s="1"/>
  <c r="I741" i="1"/>
  <c r="I742" i="1"/>
  <c r="B742" i="1" s="1"/>
  <c r="I743" i="1"/>
  <c r="I744" i="1"/>
  <c r="B744" i="1" s="1"/>
  <c r="I745" i="1"/>
  <c r="I746" i="1"/>
  <c r="B746" i="1" s="1"/>
  <c r="I747" i="1"/>
  <c r="B747" i="1" s="1"/>
  <c r="I748" i="1"/>
  <c r="B748" i="1" s="1"/>
  <c r="I749" i="1"/>
  <c r="I750" i="1"/>
  <c r="I751" i="1"/>
  <c r="B751" i="1" s="1"/>
  <c r="I752" i="1"/>
  <c r="B752" i="1" s="1"/>
  <c r="I753" i="1"/>
  <c r="I754" i="1"/>
  <c r="B754" i="1" s="1"/>
  <c r="I755" i="1"/>
  <c r="B755" i="1" s="1"/>
  <c r="I756" i="1"/>
  <c r="B756" i="1" s="1"/>
  <c r="I757" i="1"/>
  <c r="I758" i="1"/>
  <c r="B758" i="1" s="1"/>
  <c r="I759" i="1"/>
  <c r="B759" i="1" s="1"/>
  <c r="I760" i="1"/>
  <c r="I761" i="1"/>
  <c r="I762" i="1"/>
  <c r="B762" i="1" s="1"/>
  <c r="I763" i="1"/>
  <c r="B763" i="1" s="1"/>
  <c r="I764" i="1"/>
  <c r="B764" i="1" s="1"/>
  <c r="I765" i="1"/>
  <c r="I766" i="1"/>
  <c r="B766" i="1" s="1"/>
  <c r="I767" i="1"/>
  <c r="B767" i="1" s="1"/>
  <c r="I768" i="1"/>
  <c r="B768" i="1" s="1"/>
  <c r="I769" i="1"/>
  <c r="I770" i="1"/>
  <c r="I771" i="1"/>
  <c r="B771" i="1" s="1"/>
  <c r="I772" i="1"/>
  <c r="I773" i="1"/>
  <c r="I774" i="1"/>
  <c r="I775" i="1"/>
  <c r="I776" i="1"/>
  <c r="I777" i="1"/>
  <c r="I778" i="1"/>
  <c r="I779" i="1"/>
  <c r="B779" i="1" s="1"/>
  <c r="I780" i="1"/>
  <c r="I781" i="1"/>
  <c r="I782" i="1"/>
  <c r="I783" i="1"/>
  <c r="I784" i="1"/>
  <c r="I785" i="1"/>
  <c r="I786" i="1"/>
  <c r="I787" i="1"/>
  <c r="B787" i="1" s="1"/>
  <c r="I788" i="1"/>
  <c r="I789" i="1"/>
  <c r="I790" i="1"/>
  <c r="I791" i="1"/>
  <c r="I792" i="1"/>
  <c r="I793" i="1"/>
  <c r="I794" i="1"/>
  <c r="I795" i="1"/>
  <c r="B795" i="1" s="1"/>
  <c r="I796" i="1"/>
  <c r="I797" i="1"/>
  <c r="I798" i="1"/>
  <c r="I799" i="1"/>
  <c r="I800" i="1"/>
  <c r="I801" i="1"/>
  <c r="I802" i="1"/>
  <c r="I803" i="1"/>
  <c r="B803" i="1" s="1"/>
  <c r="I804" i="1"/>
  <c r="I805" i="1"/>
  <c r="I806" i="1"/>
  <c r="I807" i="1"/>
  <c r="I808" i="1"/>
  <c r="I809" i="1"/>
  <c r="I810" i="1"/>
  <c r="I811" i="1"/>
  <c r="B811" i="1" s="1"/>
  <c r="I812" i="1"/>
  <c r="I813" i="1"/>
  <c r="I814" i="1"/>
  <c r="I815" i="1"/>
  <c r="I816" i="1"/>
  <c r="I817" i="1"/>
  <c r="I818" i="1"/>
  <c r="I819" i="1"/>
  <c r="B819" i="1" s="1"/>
  <c r="I820" i="1"/>
  <c r="I821" i="1"/>
  <c r="I822" i="1"/>
  <c r="I823" i="1"/>
  <c r="I824" i="1"/>
  <c r="I825" i="1"/>
  <c r="I826" i="1"/>
  <c r="I827" i="1"/>
  <c r="B827" i="1" s="1"/>
  <c r="I828" i="1"/>
  <c r="I829" i="1"/>
  <c r="I830" i="1"/>
  <c r="I831" i="1"/>
  <c r="I832" i="1"/>
  <c r="I833" i="1"/>
  <c r="I834" i="1"/>
  <c r="I835" i="1"/>
  <c r="B835" i="1" s="1"/>
  <c r="I836" i="1"/>
  <c r="I837" i="1"/>
  <c r="I838" i="1"/>
  <c r="I839" i="1"/>
  <c r="I840" i="1"/>
  <c r="I841" i="1"/>
  <c r="I842" i="1"/>
  <c r="I843" i="1"/>
  <c r="B843" i="1" s="1"/>
  <c r="I844" i="1"/>
  <c r="I845" i="1"/>
  <c r="I846" i="1"/>
  <c r="I847" i="1"/>
  <c r="I848" i="1"/>
  <c r="I849" i="1"/>
  <c r="I850" i="1"/>
  <c r="I851" i="1"/>
  <c r="B851" i="1" s="1"/>
  <c r="I852" i="1"/>
  <c r="I853" i="1"/>
  <c r="I854" i="1"/>
  <c r="I855" i="1"/>
  <c r="I856" i="1"/>
  <c r="I857" i="1"/>
  <c r="I858" i="1"/>
  <c r="I859" i="1"/>
  <c r="B859" i="1" s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K216" i="2"/>
  <c r="K217" i="2"/>
  <c r="K218" i="2"/>
  <c r="K430" i="2"/>
  <c r="K1072" i="2"/>
  <c r="K431" i="2"/>
  <c r="K858" i="2"/>
  <c r="K1073" i="2"/>
  <c r="K2" i="2"/>
  <c r="K3" i="2"/>
  <c r="K432" i="2"/>
  <c r="K644" i="2"/>
  <c r="K219" i="2"/>
  <c r="K859" i="2"/>
  <c r="K4" i="2"/>
  <c r="K860" i="2"/>
  <c r="K433" i="2"/>
  <c r="K5" i="2"/>
  <c r="K434" i="2"/>
  <c r="K435" i="2"/>
  <c r="K436" i="2"/>
  <c r="K1074" i="2"/>
  <c r="K437" i="2"/>
  <c r="K220" i="2"/>
  <c r="K645" i="2"/>
  <c r="K646" i="2"/>
  <c r="K861" i="2"/>
  <c r="K862" i="2"/>
  <c r="K1075" i="2"/>
  <c r="K221" i="2"/>
  <c r="K222" i="2"/>
  <c r="K438" i="2"/>
  <c r="K647" i="2"/>
  <c r="K439" i="2"/>
  <c r="K6" i="2"/>
  <c r="K1076" i="2"/>
  <c r="K863" i="2"/>
  <c r="K223" i="2"/>
  <c r="K1077" i="2"/>
  <c r="K1078" i="2"/>
  <c r="K440" i="2"/>
  <c r="K224" i="2"/>
  <c r="K7" i="2"/>
  <c r="K1079" i="2"/>
  <c r="K441" i="2"/>
  <c r="K225" i="2"/>
  <c r="K864" i="2"/>
  <c r="K442" i="2"/>
  <c r="K648" i="2"/>
  <c r="K8" i="2"/>
  <c r="K9" i="2"/>
  <c r="K649" i="2"/>
  <c r="K865" i="2"/>
  <c r="K226" i="2"/>
  <c r="K10" i="2"/>
  <c r="K443" i="2"/>
  <c r="K866" i="2"/>
  <c r="K867" i="2"/>
  <c r="K227" i="2"/>
  <c r="K1080" i="2"/>
  <c r="K650" i="2"/>
  <c r="K444" i="2"/>
  <c r="K1081" i="2"/>
  <c r="K1082" i="2"/>
  <c r="K868" i="2"/>
  <c r="K651" i="2"/>
  <c r="K228" i="2"/>
  <c r="K1083" i="2"/>
  <c r="K652" i="2"/>
  <c r="K1084" i="2"/>
  <c r="K1085" i="2"/>
  <c r="K445" i="2"/>
  <c r="K869" i="2"/>
  <c r="K1086" i="2"/>
  <c r="K446" i="2"/>
  <c r="K870" i="2"/>
  <c r="K871" i="2"/>
  <c r="K1087" i="2"/>
  <c r="K229" i="2"/>
  <c r="K11" i="2"/>
  <c r="K1088" i="2"/>
  <c r="K872" i="2"/>
  <c r="K230" i="2"/>
  <c r="K447" i="2"/>
  <c r="K12" i="2"/>
  <c r="K873" i="2"/>
  <c r="K1089" i="2"/>
  <c r="K653" i="2"/>
  <c r="K448" i="2"/>
  <c r="K231" i="2"/>
  <c r="K232" i="2"/>
  <c r="K233" i="2"/>
  <c r="K654" i="2"/>
  <c r="K13" i="2"/>
  <c r="K655" i="2"/>
  <c r="K14" i="2"/>
  <c r="K15" i="2"/>
  <c r="K449" i="2"/>
  <c r="K656" i="2"/>
  <c r="K1090" i="2"/>
  <c r="K450" i="2"/>
  <c r="K451" i="2"/>
  <c r="K657" i="2"/>
  <c r="K452" i="2"/>
  <c r="K1091" i="2"/>
  <c r="K453" i="2"/>
  <c r="K874" i="2"/>
  <c r="K658" i="2"/>
  <c r="K875" i="2"/>
  <c r="K659" i="2"/>
  <c r="K876" i="2"/>
  <c r="K660" i="2"/>
  <c r="K661" i="2"/>
  <c r="K454" i="2"/>
  <c r="K234" i="2"/>
  <c r="K455" i="2"/>
  <c r="K1092" i="2"/>
  <c r="K16" i="2"/>
  <c r="K1093" i="2"/>
  <c r="K1094" i="2"/>
  <c r="K662" i="2"/>
  <c r="K17" i="2"/>
  <c r="K663" i="2"/>
  <c r="K1095" i="2"/>
  <c r="K235" i="2"/>
  <c r="K18" i="2"/>
  <c r="K236" i="2"/>
  <c r="K877" i="2"/>
  <c r="K878" i="2"/>
  <c r="K1096" i="2"/>
  <c r="K19" i="2"/>
  <c r="K664" i="2"/>
  <c r="K665" i="2"/>
  <c r="K1097" i="2"/>
  <c r="K456" i="2"/>
  <c r="K666" i="2"/>
  <c r="K667" i="2"/>
  <c r="K20" i="2"/>
  <c r="K21" i="2"/>
  <c r="K1098" i="2"/>
  <c r="K237" i="2"/>
  <c r="K22" i="2"/>
  <c r="K668" i="2"/>
  <c r="K238" i="2"/>
  <c r="K669" i="2"/>
  <c r="K670" i="2"/>
  <c r="K1099" i="2"/>
  <c r="K1100" i="2"/>
  <c r="K1101" i="2"/>
  <c r="K457" i="2"/>
  <c r="K1102" i="2"/>
  <c r="K458" i="2"/>
  <c r="K239" i="2"/>
  <c r="K671" i="2"/>
  <c r="K240" i="2"/>
  <c r="K1103" i="2"/>
  <c r="K672" i="2"/>
  <c r="K241" i="2"/>
  <c r="K1104" i="2"/>
  <c r="K879" i="2"/>
  <c r="K23" i="2"/>
  <c r="K242" i="2"/>
  <c r="K673" i="2"/>
  <c r="K674" i="2"/>
  <c r="K675" i="2"/>
  <c r="K24" i="2"/>
  <c r="K25" i="2"/>
  <c r="K880" i="2"/>
  <c r="K1105" i="2"/>
  <c r="K1106" i="2"/>
  <c r="K459" i="2"/>
  <c r="K460" i="2"/>
  <c r="K676" i="2"/>
  <c r="K26" i="2"/>
  <c r="K461" i="2"/>
  <c r="K677" i="2"/>
  <c r="K881" i="2"/>
  <c r="K27" i="2"/>
  <c r="K1107" i="2"/>
  <c r="K882" i="2"/>
  <c r="K28" i="2"/>
  <c r="K678" i="2"/>
  <c r="K462" i="2"/>
  <c r="K883" i="2"/>
  <c r="K463" i="2"/>
  <c r="K29" i="2"/>
  <c r="K679" i="2"/>
  <c r="K243" i="2"/>
  <c r="K1108" i="2"/>
  <c r="K464" i="2"/>
  <c r="K244" i="2"/>
  <c r="K680" i="2"/>
  <c r="K30" i="2"/>
  <c r="K884" i="2"/>
  <c r="K31" i="2"/>
  <c r="K465" i="2"/>
  <c r="K32" i="2"/>
  <c r="K245" i="2"/>
  <c r="K246" i="2"/>
  <c r="K466" i="2"/>
  <c r="K681" i="2"/>
  <c r="K467" i="2"/>
  <c r="K1109" i="2"/>
  <c r="K247" i="2"/>
  <c r="K682" i="2"/>
  <c r="K468" i="2"/>
  <c r="K248" i="2"/>
  <c r="K33" i="2"/>
  <c r="K1110" i="2"/>
  <c r="K683" i="2"/>
  <c r="K469" i="2"/>
  <c r="K470" i="2"/>
  <c r="K684" i="2"/>
  <c r="K249" i="2"/>
  <c r="K885" i="2"/>
  <c r="K34" i="2"/>
  <c r="K250" i="2"/>
  <c r="K35" i="2"/>
  <c r="K685" i="2"/>
  <c r="K36" i="2"/>
  <c r="K1111" i="2"/>
  <c r="K686" i="2"/>
  <c r="K886" i="2"/>
  <c r="K251" i="2"/>
  <c r="K887" i="2"/>
  <c r="K687" i="2"/>
  <c r="K471" i="2"/>
  <c r="K472" i="2"/>
  <c r="K473" i="2"/>
  <c r="K37" i="2"/>
  <c r="K252" i="2"/>
  <c r="K1112" i="2"/>
  <c r="K688" i="2"/>
  <c r="K38" i="2"/>
  <c r="K1113" i="2"/>
  <c r="K888" i="2"/>
  <c r="K39" i="2"/>
  <c r="K889" i="2"/>
  <c r="K689" i="2"/>
  <c r="K690" i="2"/>
  <c r="K890" i="2"/>
  <c r="K40" i="2"/>
  <c r="K1114" i="2"/>
  <c r="K1115" i="2"/>
  <c r="K691" i="2"/>
  <c r="K1116" i="2"/>
  <c r="K891" i="2"/>
  <c r="K892" i="2"/>
  <c r="K253" i="2"/>
  <c r="K893" i="2"/>
  <c r="K474" i="2"/>
  <c r="K475" i="2"/>
  <c r="K692" i="2"/>
  <c r="K476" i="2"/>
  <c r="K477" i="2"/>
  <c r="K41" i="2"/>
  <c r="K42" i="2"/>
  <c r="K894" i="2"/>
  <c r="K254" i="2"/>
  <c r="K43" i="2"/>
  <c r="K1117" i="2"/>
  <c r="K255" i="2"/>
  <c r="K895" i="2"/>
  <c r="K693" i="2"/>
  <c r="K256" i="2"/>
  <c r="K478" i="2"/>
  <c r="K694" i="2"/>
  <c r="K257" i="2"/>
  <c r="K896" i="2"/>
  <c r="K258" i="2"/>
  <c r="K897" i="2"/>
  <c r="K695" i="2"/>
  <c r="K44" i="2"/>
  <c r="K696" i="2"/>
  <c r="K697" i="2"/>
  <c r="K1118" i="2"/>
  <c r="K479" i="2"/>
  <c r="K45" i="2"/>
  <c r="K698" i="2"/>
  <c r="K480" i="2"/>
  <c r="K46" i="2"/>
  <c r="K47" i="2"/>
  <c r="K259" i="2"/>
  <c r="K898" i="2"/>
  <c r="K899" i="2"/>
  <c r="K48" i="2"/>
  <c r="K699" i="2"/>
  <c r="K260" i="2"/>
  <c r="K261" i="2"/>
  <c r="K262" i="2"/>
  <c r="K49" i="2"/>
  <c r="K481" i="2"/>
  <c r="K482" i="2"/>
  <c r="K900" i="2"/>
  <c r="K263" i="2"/>
  <c r="K483" i="2"/>
  <c r="K484" i="2"/>
  <c r="K901" i="2"/>
  <c r="K264" i="2"/>
  <c r="K50" i="2"/>
  <c r="K1119" i="2"/>
  <c r="K902" i="2"/>
  <c r="K485" i="2"/>
  <c r="K903" i="2"/>
  <c r="K700" i="2"/>
  <c r="K904" i="2"/>
  <c r="K1120" i="2"/>
  <c r="K701" i="2"/>
  <c r="K905" i="2"/>
  <c r="K51" i="2"/>
  <c r="K1121" i="2"/>
  <c r="K52" i="2"/>
  <c r="K265" i="2"/>
  <c r="K1122" i="2"/>
  <c r="K266" i="2"/>
  <c r="K486" i="2"/>
  <c r="K1123" i="2"/>
  <c r="K267" i="2"/>
  <c r="K702" i="2"/>
  <c r="K268" i="2"/>
  <c r="K53" i="2"/>
  <c r="K269" i="2"/>
  <c r="K703" i="2"/>
  <c r="K906" i="2"/>
  <c r="K704" i="2"/>
  <c r="K1124" i="2"/>
  <c r="K1125" i="2"/>
  <c r="K487" i="2"/>
  <c r="K907" i="2"/>
  <c r="K908" i="2"/>
  <c r="K1126" i="2"/>
  <c r="K1127" i="2"/>
  <c r="K488" i="2"/>
  <c r="K909" i="2"/>
  <c r="K910" i="2"/>
  <c r="K1128" i="2"/>
  <c r="K270" i="2"/>
  <c r="K54" i="2"/>
  <c r="K911" i="2"/>
  <c r="K1129" i="2"/>
  <c r="K271" i="2"/>
  <c r="K1130" i="2"/>
  <c r="K55" i="2"/>
  <c r="K272" i="2"/>
  <c r="K705" i="2"/>
  <c r="K706" i="2"/>
  <c r="K912" i="2"/>
  <c r="K273" i="2"/>
  <c r="K913" i="2"/>
  <c r="K274" i="2"/>
  <c r="K1131" i="2"/>
  <c r="K275" i="2"/>
  <c r="K914" i="2"/>
  <c r="K707" i="2"/>
  <c r="K915" i="2"/>
  <c r="K489" i="2"/>
  <c r="K916" i="2"/>
  <c r="K56" i="2"/>
  <c r="K490" i="2"/>
  <c r="K57" i="2"/>
  <c r="K491" i="2"/>
  <c r="K492" i="2"/>
  <c r="K708" i="2"/>
  <c r="K709" i="2"/>
  <c r="K58" i="2"/>
  <c r="K1132" i="2"/>
  <c r="K276" i="2"/>
  <c r="K710" i="2"/>
  <c r="K493" i="2"/>
  <c r="K277" i="2"/>
  <c r="K711" i="2"/>
  <c r="K59" i="2"/>
  <c r="K494" i="2"/>
  <c r="K1133" i="2"/>
  <c r="K1134" i="2"/>
  <c r="K917" i="2"/>
  <c r="K60" i="2"/>
  <c r="K278" i="2"/>
  <c r="K918" i="2"/>
  <c r="K495" i="2"/>
  <c r="K919" i="2"/>
  <c r="K496" i="2"/>
  <c r="K61" i="2"/>
  <c r="K279" i="2"/>
  <c r="K280" i="2"/>
  <c r="K920" i="2"/>
  <c r="K62" i="2"/>
  <c r="K712" i="2"/>
  <c r="K497" i="2"/>
  <c r="K1135" i="2"/>
  <c r="K498" i="2"/>
  <c r="K281" i="2"/>
  <c r="K282" i="2"/>
  <c r="K283" i="2"/>
  <c r="K63" i="2"/>
  <c r="K284" i="2"/>
  <c r="K1136" i="2"/>
  <c r="K713" i="2"/>
  <c r="K285" i="2"/>
  <c r="K921" i="2"/>
  <c r="K922" i="2"/>
  <c r="K64" i="2"/>
  <c r="K286" i="2"/>
  <c r="K1137" i="2"/>
  <c r="K287" i="2"/>
  <c r="K499" i="2"/>
  <c r="K714" i="2"/>
  <c r="K288" i="2"/>
  <c r="K500" i="2"/>
  <c r="K501" i="2"/>
  <c r="K502" i="2"/>
  <c r="K1138" i="2"/>
  <c r="K65" i="2"/>
  <c r="K66" i="2"/>
  <c r="K715" i="2"/>
  <c r="K923" i="2"/>
  <c r="K289" i="2"/>
  <c r="K503" i="2"/>
  <c r="K924" i="2"/>
  <c r="K1139" i="2"/>
  <c r="K716" i="2"/>
  <c r="K717" i="2"/>
  <c r="K504" i="2"/>
  <c r="K505" i="2"/>
  <c r="K1140" i="2"/>
  <c r="K718" i="2"/>
  <c r="K290" i="2"/>
  <c r="K291" i="2"/>
  <c r="K292" i="2"/>
  <c r="K506" i="2"/>
  <c r="K1141" i="2"/>
  <c r="K293" i="2"/>
  <c r="K1142" i="2"/>
  <c r="K925" i="2"/>
  <c r="K719" i="2"/>
  <c r="K67" i="2"/>
  <c r="K926" i="2"/>
  <c r="K294" i="2"/>
  <c r="K295" i="2"/>
  <c r="K927" i="2"/>
  <c r="K720" i="2"/>
  <c r="K721" i="2"/>
  <c r="K296" i="2"/>
  <c r="K297" i="2"/>
  <c r="K928" i="2"/>
  <c r="K507" i="2"/>
  <c r="K298" i="2"/>
  <c r="K722" i="2"/>
  <c r="K1143" i="2"/>
  <c r="K1144" i="2"/>
  <c r="K1145" i="2"/>
  <c r="K299" i="2"/>
  <c r="K508" i="2"/>
  <c r="K723" i="2"/>
  <c r="K724" i="2"/>
  <c r="K68" i="2"/>
  <c r="K300" i="2"/>
  <c r="K725" i="2"/>
  <c r="K509" i="2"/>
  <c r="K69" i="2"/>
  <c r="K70" i="2"/>
  <c r="K1146" i="2"/>
  <c r="K301" i="2"/>
  <c r="K302" i="2"/>
  <c r="K929" i="2"/>
  <c r="K510" i="2"/>
  <c r="K1147" i="2"/>
  <c r="K930" i="2"/>
  <c r="K1148" i="2"/>
  <c r="K71" i="2"/>
  <c r="K1149" i="2"/>
  <c r="K726" i="2"/>
  <c r="K72" i="2"/>
  <c r="K727" i="2"/>
  <c r="K931" i="2"/>
  <c r="K303" i="2"/>
  <c r="K73" i="2"/>
  <c r="K728" i="2"/>
  <c r="K511" i="2"/>
  <c r="K932" i="2"/>
  <c r="K512" i="2"/>
  <c r="K1150" i="2"/>
  <c r="K933" i="2"/>
  <c r="K74" i="2"/>
  <c r="K934" i="2"/>
  <c r="K513" i="2"/>
  <c r="K729" i="2"/>
  <c r="K514" i="2"/>
  <c r="K730" i="2"/>
  <c r="K731" i="2"/>
  <c r="K732" i="2"/>
  <c r="K1151" i="2"/>
  <c r="K515" i="2"/>
  <c r="K733" i="2"/>
  <c r="K75" i="2"/>
  <c r="K734" i="2"/>
  <c r="K76" i="2"/>
  <c r="K735" i="2"/>
  <c r="K77" i="2"/>
  <c r="K78" i="2"/>
  <c r="K736" i="2"/>
  <c r="K304" i="2"/>
  <c r="K305" i="2"/>
  <c r="K737" i="2"/>
  <c r="K79" i="2"/>
  <c r="K1152" i="2"/>
  <c r="K306" i="2"/>
  <c r="K80" i="2"/>
  <c r="K935" i="2"/>
  <c r="K81" i="2"/>
  <c r="K1153" i="2"/>
  <c r="K516" i="2"/>
  <c r="K307" i="2"/>
  <c r="K738" i="2"/>
  <c r="K82" i="2"/>
  <c r="K1154" i="2"/>
  <c r="K1155" i="2"/>
  <c r="K1156" i="2"/>
  <c r="K739" i="2"/>
  <c r="K740" i="2"/>
  <c r="K83" i="2"/>
  <c r="K1157" i="2"/>
  <c r="K936" i="2"/>
  <c r="K517" i="2"/>
  <c r="K1158" i="2"/>
  <c r="K937" i="2"/>
  <c r="K518" i="2"/>
  <c r="K1159" i="2"/>
  <c r="K308" i="2"/>
  <c r="K741" i="2"/>
  <c r="K519" i="2"/>
  <c r="K84" i="2"/>
  <c r="K520" i="2"/>
  <c r="K521" i="2"/>
  <c r="K742" i="2"/>
  <c r="K85" i="2"/>
  <c r="K938" i="2"/>
  <c r="K86" i="2"/>
  <c r="K1160" i="2"/>
  <c r="K1161" i="2"/>
  <c r="K939" i="2"/>
  <c r="K1162" i="2"/>
  <c r="K940" i="2"/>
  <c r="K87" i="2"/>
  <c r="K309" i="2"/>
  <c r="K743" i="2"/>
  <c r="K1163" i="2"/>
  <c r="K310" i="2"/>
  <c r="K311" i="2"/>
  <c r="K522" i="2"/>
  <c r="K88" i="2"/>
  <c r="K1164" i="2"/>
  <c r="K941" i="2"/>
  <c r="K744" i="2"/>
  <c r="K942" i="2"/>
  <c r="K89" i="2"/>
  <c r="K90" i="2"/>
  <c r="K91" i="2"/>
  <c r="K1165" i="2"/>
  <c r="K943" i="2"/>
  <c r="K312" i="2"/>
  <c r="K523" i="2"/>
  <c r="K92" i="2"/>
  <c r="K1166" i="2"/>
  <c r="K944" i="2"/>
  <c r="K313" i="2"/>
  <c r="K524" i="2"/>
  <c r="K945" i="2"/>
  <c r="K525" i="2"/>
  <c r="K1167" i="2"/>
  <c r="K93" i="2"/>
  <c r="K94" i="2"/>
  <c r="K1168" i="2"/>
  <c r="K526" i="2"/>
  <c r="K95" i="2"/>
  <c r="K745" i="2"/>
  <c r="K1169" i="2"/>
  <c r="K946" i="2"/>
  <c r="K314" i="2"/>
  <c r="K96" i="2"/>
  <c r="K947" i="2"/>
  <c r="K948" i="2"/>
  <c r="K527" i="2"/>
  <c r="K97" i="2"/>
  <c r="K746" i="2"/>
  <c r="K949" i="2"/>
  <c r="K950" i="2"/>
  <c r="K747" i="2"/>
  <c r="K1170" i="2"/>
  <c r="K951" i="2"/>
  <c r="K98" i="2"/>
  <c r="K528" i="2"/>
  <c r="K529" i="2"/>
  <c r="K315" i="2"/>
  <c r="K1171" i="2"/>
  <c r="K99" i="2"/>
  <c r="K952" i="2"/>
  <c r="K316" i="2"/>
  <c r="K530" i="2"/>
  <c r="K1172" i="2"/>
  <c r="K953" i="2"/>
  <c r="K748" i="2"/>
  <c r="K531" i="2"/>
  <c r="K1173" i="2"/>
  <c r="K954" i="2"/>
  <c r="K955" i="2"/>
  <c r="K532" i="2"/>
  <c r="K100" i="2"/>
  <c r="K317" i="2"/>
  <c r="K318" i="2"/>
  <c r="K956" i="2"/>
  <c r="K957" i="2"/>
  <c r="K749" i="2"/>
  <c r="K958" i="2"/>
  <c r="K1174" i="2"/>
  <c r="K750" i="2"/>
  <c r="K1175" i="2"/>
  <c r="K101" i="2"/>
  <c r="K751" i="2"/>
  <c r="K752" i="2"/>
  <c r="K102" i="2"/>
  <c r="K753" i="2"/>
  <c r="K533" i="2"/>
  <c r="K319" i="2"/>
  <c r="K534" i="2"/>
  <c r="K320" i="2"/>
  <c r="K754" i="2"/>
  <c r="K321" i="2"/>
  <c r="K322" i="2"/>
  <c r="K959" i="2"/>
  <c r="K755" i="2"/>
  <c r="K535" i="2"/>
  <c r="K1176" i="2"/>
  <c r="K1177" i="2"/>
  <c r="K103" i="2"/>
  <c r="K756" i="2"/>
  <c r="K104" i="2"/>
  <c r="K105" i="2"/>
  <c r="K323" i="2"/>
  <c r="K324" i="2"/>
  <c r="K106" i="2"/>
  <c r="K757" i="2"/>
  <c r="K536" i="2"/>
  <c r="K758" i="2"/>
  <c r="K325" i="2"/>
  <c r="K537" i="2"/>
  <c r="K960" i="2"/>
  <c r="K107" i="2"/>
  <c r="K1178" i="2"/>
  <c r="K538" i="2"/>
  <c r="K326" i="2"/>
  <c r="K759" i="2"/>
  <c r="K327" i="2"/>
  <c r="K539" i="2"/>
  <c r="K961" i="2"/>
  <c r="K328" i="2"/>
  <c r="K540" i="2"/>
  <c r="K760" i="2"/>
  <c r="K1179" i="2"/>
  <c r="K541" i="2"/>
  <c r="K962" i="2"/>
  <c r="K963" i="2"/>
  <c r="K964" i="2"/>
  <c r="K1180" i="2"/>
  <c r="K329" i="2"/>
  <c r="K542" i="2"/>
  <c r="K1181" i="2"/>
  <c r="K108" i="2"/>
  <c r="K330" i="2"/>
  <c r="K761" i="2"/>
  <c r="K331" i="2"/>
  <c r="K762" i="2"/>
  <c r="K109" i="2"/>
  <c r="K763" i="2"/>
  <c r="K764" i="2"/>
  <c r="K332" i="2"/>
  <c r="K543" i="2"/>
  <c r="K965" i="2"/>
  <c r="K544" i="2"/>
  <c r="K110" i="2"/>
  <c r="K545" i="2"/>
  <c r="K333" i="2"/>
  <c r="K546" i="2"/>
  <c r="K111" i="2"/>
  <c r="K334" i="2"/>
  <c r="K765" i="2"/>
  <c r="K335" i="2"/>
  <c r="K547" i="2"/>
  <c r="K112" i="2"/>
  <c r="K1182" i="2"/>
  <c r="K113" i="2"/>
  <c r="K766" i="2"/>
  <c r="K966" i="2"/>
  <c r="K1183" i="2"/>
  <c r="K548" i="2"/>
  <c r="K767" i="2"/>
  <c r="K768" i="2"/>
  <c r="K967" i="2"/>
  <c r="K336" i="2"/>
  <c r="K769" i="2"/>
  <c r="K114" i="2"/>
  <c r="K968" i="2"/>
  <c r="K549" i="2"/>
  <c r="K337" i="2"/>
  <c r="K115" i="2"/>
  <c r="K770" i="2"/>
  <c r="K550" i="2"/>
  <c r="K969" i="2"/>
  <c r="K970" i="2"/>
  <c r="K971" i="2"/>
  <c r="K551" i="2"/>
  <c r="K552" i="2"/>
  <c r="K553" i="2"/>
  <c r="K338" i="2"/>
  <c r="K1184" i="2"/>
  <c r="K339" i="2"/>
  <c r="K116" i="2"/>
  <c r="K340" i="2"/>
  <c r="K972" i="2"/>
  <c r="K117" i="2"/>
  <c r="K1185" i="2"/>
  <c r="K341" i="2"/>
  <c r="K973" i="2"/>
  <c r="K771" i="2"/>
  <c r="K342" i="2"/>
  <c r="K118" i="2"/>
  <c r="K974" i="2"/>
  <c r="K1186" i="2"/>
  <c r="K975" i="2"/>
  <c r="K1187" i="2"/>
  <c r="K554" i="2"/>
  <c r="K772" i="2"/>
  <c r="K119" i="2"/>
  <c r="K773" i="2"/>
  <c r="K976" i="2"/>
  <c r="K343" i="2"/>
  <c r="K977" i="2"/>
  <c r="K344" i="2"/>
  <c r="K120" i="2"/>
  <c r="K1188" i="2"/>
  <c r="K1189" i="2"/>
  <c r="K121" i="2"/>
  <c r="K122" i="2"/>
  <c r="K774" i="2"/>
  <c r="K345" i="2"/>
  <c r="K555" i="2"/>
  <c r="K1190" i="2"/>
  <c r="K1191" i="2"/>
  <c r="K775" i="2"/>
  <c r="K123" i="2"/>
  <c r="K1192" i="2"/>
  <c r="K346" i="2"/>
  <c r="K776" i="2"/>
  <c r="K556" i="2"/>
  <c r="K777" i="2"/>
  <c r="K1193" i="2"/>
  <c r="K557" i="2"/>
  <c r="K558" i="2"/>
  <c r="K124" i="2"/>
  <c r="K1194" i="2"/>
  <c r="K125" i="2"/>
  <c r="K126" i="2"/>
  <c r="K347" i="2"/>
  <c r="K1195" i="2"/>
  <c r="K348" i="2"/>
  <c r="K778" i="2"/>
  <c r="K978" i="2"/>
  <c r="K979" i="2"/>
  <c r="K779" i="2"/>
  <c r="K349" i="2"/>
  <c r="K780" i="2"/>
  <c r="K980" i="2"/>
  <c r="K1196" i="2"/>
  <c r="K559" i="2"/>
  <c r="K560" i="2"/>
  <c r="K781" i="2"/>
  <c r="K127" i="2"/>
  <c r="K1197" i="2"/>
  <c r="K1198" i="2"/>
  <c r="K981" i="2"/>
  <c r="K561" i="2"/>
  <c r="K1199" i="2"/>
  <c r="K562" i="2"/>
  <c r="K350" i="2"/>
  <c r="K128" i="2"/>
  <c r="K982" i="2"/>
  <c r="K1200" i="2"/>
  <c r="K351" i="2"/>
  <c r="K1201" i="2"/>
  <c r="K1202" i="2"/>
  <c r="K1203" i="2"/>
  <c r="K563" i="2"/>
  <c r="K564" i="2"/>
  <c r="K565" i="2"/>
  <c r="K782" i="2"/>
  <c r="K983" i="2"/>
  <c r="K1204" i="2"/>
  <c r="K129" i="2"/>
  <c r="K566" i="2"/>
  <c r="K783" i="2"/>
  <c r="K784" i="2"/>
  <c r="K130" i="2"/>
  <c r="K352" i="2"/>
  <c r="K131" i="2"/>
  <c r="K567" i="2"/>
  <c r="K984" i="2"/>
  <c r="K1205" i="2"/>
  <c r="K985" i="2"/>
  <c r="K785" i="2"/>
  <c r="K1206" i="2"/>
  <c r="K1207" i="2"/>
  <c r="K786" i="2"/>
  <c r="K787" i="2"/>
  <c r="K1208" i="2"/>
  <c r="K986" i="2"/>
  <c r="K132" i="2"/>
  <c r="K788" i="2"/>
  <c r="K568" i="2"/>
  <c r="K569" i="2"/>
  <c r="K789" i="2"/>
  <c r="K987" i="2"/>
  <c r="K790" i="2"/>
  <c r="K353" i="2"/>
  <c r="K570" i="2"/>
  <c r="K571" i="2"/>
  <c r="K791" i="2"/>
  <c r="K1209" i="2"/>
  <c r="K988" i="2"/>
  <c r="K989" i="2"/>
  <c r="K990" i="2"/>
  <c r="K133" i="2"/>
  <c r="K792" i="2"/>
  <c r="K991" i="2"/>
  <c r="K572" i="2"/>
  <c r="K354" i="2"/>
  <c r="K992" i="2"/>
  <c r="K355" i="2"/>
  <c r="K1210" i="2"/>
  <c r="K134" i="2"/>
  <c r="K356" i="2"/>
  <c r="K793" i="2"/>
  <c r="K993" i="2"/>
  <c r="K1211" i="2"/>
  <c r="K994" i="2"/>
  <c r="K357" i="2"/>
  <c r="K794" i="2"/>
  <c r="K1212" i="2"/>
  <c r="K995" i="2"/>
  <c r="K1213" i="2"/>
  <c r="K358" i="2"/>
  <c r="K795" i="2"/>
  <c r="K573" i="2"/>
  <c r="K574" i="2"/>
  <c r="K359" i="2"/>
  <c r="K996" i="2"/>
  <c r="K997" i="2"/>
  <c r="K360" i="2"/>
  <c r="K575" i="2"/>
  <c r="K998" i="2"/>
  <c r="K1214" i="2"/>
  <c r="K1215" i="2"/>
  <c r="K361" i="2"/>
  <c r="K796" i="2"/>
  <c r="K999" i="2"/>
  <c r="K576" i="2"/>
  <c r="K1216" i="2"/>
  <c r="K577" i="2"/>
  <c r="K362" i="2"/>
  <c r="K135" i="2"/>
  <c r="K797" i="2"/>
  <c r="K578" i="2"/>
  <c r="K1000" i="2"/>
  <c r="K579" i="2"/>
  <c r="K136" i="2"/>
  <c r="K363" i="2"/>
  <c r="K798" i="2"/>
  <c r="K137" i="2"/>
  <c r="K138" i="2"/>
  <c r="K364" i="2"/>
  <c r="K1217" i="2"/>
  <c r="K1001" i="2"/>
  <c r="K580" i="2"/>
  <c r="K1002" i="2"/>
  <c r="K139" i="2"/>
  <c r="K799" i="2"/>
  <c r="K1218" i="2"/>
  <c r="K1219" i="2"/>
  <c r="K581" i="2"/>
  <c r="K1220" i="2"/>
  <c r="K365" i="2"/>
  <c r="K366" i="2"/>
  <c r="K1221" i="2"/>
  <c r="K367" i="2"/>
  <c r="K140" i="2"/>
  <c r="K368" i="2"/>
  <c r="K800" i="2"/>
  <c r="K141" i="2"/>
  <c r="K369" i="2"/>
  <c r="K801" i="2"/>
  <c r="K370" i="2"/>
  <c r="K142" i="2"/>
  <c r="K1003" i="2"/>
  <c r="K371" i="2"/>
  <c r="K143" i="2"/>
  <c r="K802" i="2"/>
  <c r="K1222" i="2"/>
  <c r="K582" i="2"/>
  <c r="K803" i="2"/>
  <c r="K1223" i="2"/>
  <c r="K1004" i="2"/>
  <c r="K372" i="2"/>
  <c r="K373" i="2"/>
  <c r="K374" i="2"/>
  <c r="K1005" i="2"/>
  <c r="K375" i="2"/>
  <c r="K583" i="2"/>
  <c r="K1006" i="2"/>
  <c r="K1224" i="2"/>
  <c r="K1007" i="2"/>
  <c r="K144" i="2"/>
  <c r="K804" i="2"/>
  <c r="K1008" i="2"/>
  <c r="K805" i="2"/>
  <c r="K584" i="2"/>
  <c r="K1009" i="2"/>
  <c r="K376" i="2"/>
  <c r="K1010" i="2"/>
  <c r="K377" i="2"/>
  <c r="K1011" i="2"/>
  <c r="K1012" i="2"/>
  <c r="K1225" i="2"/>
  <c r="K806" i="2"/>
  <c r="K145" i="2"/>
  <c r="K585" i="2"/>
  <c r="K1226" i="2"/>
  <c r="K586" i="2"/>
  <c r="K378" i="2"/>
  <c r="K146" i="2"/>
  <c r="K147" i="2"/>
  <c r="K1013" i="2"/>
  <c r="K379" i="2"/>
  <c r="K148" i="2"/>
  <c r="K1227" i="2"/>
  <c r="K1014" i="2"/>
  <c r="K149" i="2"/>
  <c r="K150" i="2"/>
  <c r="K380" i="2"/>
  <c r="K807" i="2"/>
  <c r="K587" i="2"/>
  <c r="K808" i="2"/>
  <c r="K809" i="2"/>
  <c r="K588" i="2"/>
  <c r="K1228" i="2"/>
  <c r="K151" i="2"/>
  <c r="K381" i="2"/>
  <c r="K589" i="2"/>
  <c r="K382" i="2"/>
  <c r="K590" i="2"/>
  <c r="K591" i="2"/>
  <c r="K1015" i="2"/>
  <c r="K383" i="2"/>
  <c r="K384" i="2"/>
  <c r="K385" i="2"/>
  <c r="K810" i="2"/>
  <c r="K1016" i="2"/>
  <c r="K1229" i="2"/>
  <c r="K811" i="2"/>
  <c r="K1230" i="2"/>
  <c r="K1231" i="2"/>
  <c r="K386" i="2"/>
  <c r="K387" i="2"/>
  <c r="K812" i="2"/>
  <c r="K813" i="2"/>
  <c r="K152" i="2"/>
  <c r="K814" i="2"/>
  <c r="K1017" i="2"/>
  <c r="K388" i="2"/>
  <c r="K1232" i="2"/>
  <c r="K1233" i="2"/>
  <c r="K1234" i="2"/>
  <c r="K1018" i="2"/>
  <c r="K1019" i="2"/>
  <c r="K1020" i="2"/>
  <c r="K1235" i="2"/>
  <c r="K153" i="2"/>
  <c r="K815" i="2"/>
  <c r="K1236" i="2"/>
  <c r="K1237" i="2"/>
  <c r="K1238" i="2"/>
  <c r="K154" i="2"/>
  <c r="K592" i="2"/>
  <c r="K593" i="2"/>
  <c r="K816" i="2"/>
  <c r="K1021" i="2"/>
  <c r="K389" i="2"/>
  <c r="K1239" i="2"/>
  <c r="K817" i="2"/>
  <c r="K594" i="2"/>
  <c r="K1240" i="2"/>
  <c r="K1241" i="2"/>
  <c r="K390" i="2"/>
  <c r="K391" i="2"/>
  <c r="K155" i="2"/>
  <c r="K392" i="2"/>
  <c r="K393" i="2"/>
  <c r="K394" i="2"/>
  <c r="K1022" i="2"/>
  <c r="K595" i="2"/>
  <c r="K156" i="2"/>
  <c r="K818" i="2"/>
  <c r="K157" i="2"/>
  <c r="K596" i="2"/>
  <c r="K1023" i="2"/>
  <c r="K597" i="2"/>
  <c r="K1242" i="2"/>
  <c r="K598" i="2"/>
  <c r="K1024" i="2"/>
  <c r="K158" i="2"/>
  <c r="K819" i="2"/>
  <c r="K159" i="2"/>
  <c r="K160" i="2"/>
  <c r="K1025" i="2"/>
  <c r="K161" i="2"/>
  <c r="K162" i="2"/>
  <c r="K599" i="2"/>
  <c r="K395" i="2"/>
  <c r="K1026" i="2"/>
  <c r="K1243" i="2"/>
  <c r="K396" i="2"/>
  <c r="K163" i="2"/>
  <c r="K600" i="2"/>
  <c r="K164" i="2"/>
  <c r="K1027" i="2"/>
  <c r="K1244" i="2"/>
  <c r="K165" i="2"/>
  <c r="K1028" i="2"/>
  <c r="K397" i="2"/>
  <c r="K166" i="2"/>
  <c r="K1029" i="2"/>
  <c r="K167" i="2"/>
  <c r="K601" i="2"/>
  <c r="K1245" i="2"/>
  <c r="K398" i="2"/>
  <c r="K602" i="2"/>
  <c r="K1030" i="2"/>
  <c r="K1246" i="2"/>
  <c r="K1247" i="2"/>
  <c r="K820" i="2"/>
  <c r="K1031" i="2"/>
  <c r="K1032" i="2"/>
  <c r="K168" i="2"/>
  <c r="K603" i="2"/>
  <c r="K399" i="2"/>
  <c r="K1248" i="2"/>
  <c r="K1033" i="2"/>
  <c r="K604" i="2"/>
  <c r="K1249" i="2"/>
  <c r="K605" i="2"/>
  <c r="K1034" i="2"/>
  <c r="K400" i="2"/>
  <c r="K606" i="2"/>
  <c r="K169" i="2"/>
  <c r="K170" i="2"/>
  <c r="K171" i="2"/>
  <c r="K821" i="2"/>
  <c r="K172" i="2"/>
  <c r="K607" i="2"/>
  <c r="K401" i="2"/>
  <c r="K1035" i="2"/>
  <c r="K822" i="2"/>
  <c r="K173" i="2"/>
  <c r="K608" i="2"/>
  <c r="K1036" i="2"/>
  <c r="K823" i="2"/>
  <c r="K824" i="2"/>
  <c r="K402" i="2"/>
  <c r="K1037" i="2"/>
  <c r="K1250" i="2"/>
  <c r="K174" i="2"/>
  <c r="K1038" i="2"/>
  <c r="K403" i="2"/>
  <c r="K609" i="2"/>
  <c r="K404" i="2"/>
  <c r="K825" i="2"/>
  <c r="K175" i="2"/>
  <c r="K1251" i="2"/>
  <c r="K176" i="2"/>
  <c r="K826" i="2"/>
  <c r="K177" i="2"/>
  <c r="K610" i="2"/>
  <c r="K1039" i="2"/>
  <c r="K827" i="2"/>
  <c r="K828" i="2"/>
  <c r="K1252" i="2"/>
  <c r="K611" i="2"/>
  <c r="K178" i="2"/>
  <c r="K1253" i="2"/>
  <c r="K612" i="2"/>
  <c r="K179" i="2"/>
  <c r="K1254" i="2"/>
  <c r="K613" i="2"/>
  <c r="K405" i="2"/>
  <c r="K1255" i="2"/>
  <c r="K406" i="2"/>
  <c r="K180" i="2"/>
  <c r="K829" i="2"/>
  <c r="K407" i="2"/>
  <c r="K1256" i="2"/>
  <c r="K1040" i="2"/>
  <c r="K408" i="2"/>
  <c r="K181" i="2"/>
  <c r="K182" i="2"/>
  <c r="K830" i="2"/>
  <c r="K183" i="2"/>
  <c r="K1257" i="2"/>
  <c r="K184" i="2"/>
  <c r="K614" i="2"/>
  <c r="K185" i="2"/>
  <c r="K831" i="2"/>
  <c r="K186" i="2"/>
  <c r="K409" i="2"/>
  <c r="K1041" i="2"/>
  <c r="K187" i="2"/>
  <c r="K615" i="2"/>
  <c r="K410" i="2"/>
  <c r="K1258" i="2"/>
  <c r="K188" i="2"/>
  <c r="K616" i="2"/>
  <c r="K832" i="2"/>
  <c r="K189" i="2"/>
  <c r="K617" i="2"/>
  <c r="K618" i="2"/>
  <c r="K619" i="2"/>
  <c r="K411" i="2"/>
  <c r="K620" i="2"/>
  <c r="K190" i="2"/>
  <c r="K1259" i="2"/>
  <c r="K1260" i="2"/>
  <c r="K1261" i="2"/>
  <c r="K1042" i="2"/>
  <c r="K191" i="2"/>
  <c r="K833" i="2"/>
  <c r="K1262" i="2"/>
  <c r="K621" i="2"/>
  <c r="K192" i="2"/>
  <c r="K834" i="2"/>
  <c r="K1043" i="2"/>
  <c r="K193" i="2"/>
  <c r="K622" i="2"/>
  <c r="K835" i="2"/>
  <c r="K623" i="2"/>
  <c r="K1044" i="2"/>
  <c r="K1263" i="2"/>
  <c r="K624" i="2"/>
  <c r="K625" i="2"/>
  <c r="K626" i="2"/>
  <c r="K1045" i="2"/>
  <c r="K627" i="2"/>
  <c r="K194" i="2"/>
  <c r="K1264" i="2"/>
  <c r="K1265" i="2"/>
  <c r="K412" i="2"/>
  <c r="K1266" i="2"/>
  <c r="K628" i="2"/>
  <c r="K195" i="2"/>
  <c r="K1046" i="2"/>
  <c r="K836" i="2"/>
  <c r="K196" i="2"/>
  <c r="K1267" i="2"/>
  <c r="K629" i="2"/>
  <c r="K837" i="2"/>
  <c r="K197" i="2"/>
  <c r="K413" i="2"/>
  <c r="K1268" i="2"/>
  <c r="K198" i="2"/>
  <c r="K414" i="2"/>
  <c r="K838" i="2"/>
  <c r="K1269" i="2"/>
  <c r="K1047" i="2"/>
  <c r="K415" i="2"/>
  <c r="K839" i="2"/>
  <c r="K416" i="2"/>
  <c r="K417" i="2"/>
  <c r="K418" i="2"/>
  <c r="K419" i="2"/>
  <c r="K1270" i="2"/>
  <c r="K1048" i="2"/>
  <c r="K1271" i="2"/>
  <c r="K1272" i="2"/>
  <c r="K1049" i="2"/>
  <c r="K1050" i="2"/>
  <c r="K1273" i="2"/>
  <c r="K1274" i="2"/>
  <c r="K199" i="2"/>
  <c r="K1051" i="2"/>
  <c r="K630" i="2"/>
  <c r="K631" i="2"/>
  <c r="K840" i="2"/>
  <c r="K632" i="2"/>
  <c r="K420" i="2"/>
  <c r="K841" i="2"/>
  <c r="K1275" i="2"/>
  <c r="K1276" i="2"/>
  <c r="K1052" i="2"/>
  <c r="K200" i="2"/>
  <c r="K1053" i="2"/>
  <c r="K201" i="2"/>
  <c r="K842" i="2"/>
  <c r="K843" i="2"/>
  <c r="K844" i="2"/>
  <c r="K845" i="2"/>
  <c r="K1054" i="2"/>
  <c r="K1055" i="2"/>
  <c r="K633" i="2"/>
  <c r="K421" i="2"/>
  <c r="K202" i="2"/>
  <c r="K422" i="2"/>
  <c r="K1056" i="2"/>
  <c r="K203" i="2"/>
  <c r="K1057" i="2"/>
  <c r="K846" i="2"/>
  <c r="K204" i="2"/>
  <c r="K634" i="2"/>
  <c r="K635" i="2"/>
  <c r="K1277" i="2"/>
  <c r="K1058" i="2"/>
  <c r="K636" i="2"/>
  <c r="K637" i="2"/>
  <c r="K638" i="2"/>
  <c r="K847" i="2"/>
  <c r="K1059" i="2"/>
  <c r="K423" i="2"/>
  <c r="K1278" i="2"/>
  <c r="K1279" i="2"/>
  <c r="K848" i="2"/>
  <c r="K205" i="2"/>
  <c r="K424" i="2"/>
  <c r="K1060" i="2"/>
  <c r="K206" i="2"/>
  <c r="K639" i="2"/>
  <c r="K1061" i="2"/>
  <c r="K425" i="2"/>
  <c r="K1062" i="2"/>
  <c r="K1280" i="2"/>
  <c r="K849" i="2"/>
  <c r="K1063" i="2"/>
  <c r="K1281" i="2"/>
  <c r="K207" i="2"/>
  <c r="K640" i="2"/>
  <c r="K641" i="2"/>
  <c r="K1064" i="2"/>
  <c r="K208" i="2"/>
  <c r="K209" i="2"/>
  <c r="K850" i="2"/>
  <c r="K1065" i="2"/>
  <c r="K426" i="2"/>
  <c r="K1066" i="2"/>
  <c r="K1067" i="2"/>
  <c r="K1068" i="2"/>
  <c r="K427" i="2"/>
  <c r="K851" i="2"/>
  <c r="K1282" i="2"/>
  <c r="K852" i="2"/>
  <c r="K1069" i="2"/>
  <c r="K1283" i="2"/>
  <c r="K1284" i="2"/>
  <c r="K642" i="2"/>
  <c r="K210" i="2"/>
  <c r="K211" i="2"/>
  <c r="K853" i="2"/>
  <c r="K212" i="2"/>
  <c r="K854" i="2"/>
  <c r="K855" i="2"/>
  <c r="K213" i="2"/>
  <c r="K1285" i="2"/>
  <c r="K1070" i="2"/>
  <c r="K643" i="2"/>
  <c r="K214" i="2"/>
  <c r="K428" i="2"/>
  <c r="K856" i="2"/>
  <c r="K857" i="2"/>
  <c r="K1071" i="2"/>
  <c r="K429" i="2"/>
  <c r="K215" i="2"/>
  <c r="B102" i="1"/>
  <c r="B119" i="1"/>
  <c r="B186" i="1"/>
  <c r="B310" i="1"/>
  <c r="B324" i="1"/>
  <c r="B327" i="1"/>
  <c r="B332" i="1"/>
  <c r="B340" i="1"/>
  <c r="B352" i="1"/>
  <c r="B359" i="1"/>
  <c r="B366" i="1"/>
  <c r="B376" i="1"/>
  <c r="B388" i="1"/>
  <c r="B391" i="1"/>
  <c r="B396" i="1"/>
  <c r="B404" i="1"/>
  <c r="B416" i="1"/>
  <c r="B423" i="1"/>
  <c r="B430" i="1"/>
  <c r="B440" i="1"/>
  <c r="B452" i="1"/>
  <c r="B455" i="1"/>
  <c r="B460" i="1"/>
  <c r="B468" i="1"/>
  <c r="B480" i="1"/>
  <c r="B487" i="1"/>
  <c r="B494" i="1"/>
  <c r="B504" i="1"/>
  <c r="B516" i="1"/>
  <c r="B519" i="1"/>
  <c r="B524" i="1"/>
  <c r="B532" i="1"/>
  <c r="B544" i="1"/>
  <c r="B551" i="1"/>
  <c r="B558" i="1"/>
  <c r="B568" i="1"/>
  <c r="B580" i="1"/>
  <c r="B583" i="1"/>
  <c r="B588" i="1"/>
  <c r="B596" i="1"/>
  <c r="B608" i="1"/>
  <c r="B615" i="1"/>
  <c r="B622" i="1"/>
  <c r="B632" i="1"/>
  <c r="B644" i="1"/>
  <c r="B647" i="1"/>
  <c r="B652" i="1"/>
  <c r="B660" i="1"/>
  <c r="B672" i="1"/>
  <c r="B679" i="1"/>
  <c r="B686" i="1"/>
  <c r="B696" i="1"/>
  <c r="B708" i="1"/>
  <c r="B711" i="1"/>
  <c r="B716" i="1"/>
  <c r="B724" i="1"/>
  <c r="B736" i="1"/>
  <c r="B743" i="1"/>
  <c r="B750" i="1"/>
  <c r="B760" i="1"/>
  <c r="B770" i="1"/>
  <c r="B772" i="1"/>
  <c r="B774" i="1"/>
  <c r="B775" i="1"/>
  <c r="B776" i="1"/>
  <c r="B778" i="1"/>
  <c r="B780" i="1"/>
  <c r="B782" i="1"/>
  <c r="B783" i="1"/>
  <c r="B784" i="1"/>
  <c r="B786" i="1"/>
  <c r="B788" i="1"/>
  <c r="B790" i="1"/>
  <c r="B791" i="1"/>
  <c r="B792" i="1"/>
  <c r="B794" i="1"/>
  <c r="B796" i="1"/>
  <c r="B798" i="1"/>
  <c r="B799" i="1"/>
  <c r="B800" i="1"/>
  <c r="B802" i="1"/>
  <c r="B804" i="1"/>
  <c r="B806" i="1"/>
  <c r="B807" i="1"/>
  <c r="B808" i="1"/>
  <c r="B810" i="1"/>
  <c r="B812" i="1"/>
  <c r="B814" i="1"/>
  <c r="B815" i="1"/>
  <c r="B816" i="1"/>
  <c r="B818" i="1"/>
  <c r="B820" i="1"/>
  <c r="B822" i="1"/>
  <c r="B823" i="1"/>
  <c r="B824" i="1"/>
  <c r="B826" i="1"/>
  <c r="B828" i="1"/>
  <c r="B830" i="1"/>
  <c r="B831" i="1"/>
  <c r="B832" i="1"/>
  <c r="B834" i="1"/>
  <c r="B836" i="1"/>
  <c r="B838" i="1"/>
  <c r="B839" i="1"/>
  <c r="B840" i="1"/>
  <c r="B842" i="1"/>
  <c r="B844" i="1"/>
  <c r="B846" i="1"/>
  <c r="B847" i="1"/>
  <c r="B848" i="1"/>
  <c r="B850" i="1"/>
  <c r="B852" i="1"/>
  <c r="B854" i="1"/>
  <c r="B855" i="1"/>
  <c r="B856" i="1"/>
  <c r="B858" i="1"/>
  <c r="B860" i="1"/>
  <c r="B862" i="1"/>
  <c r="B863" i="1"/>
  <c r="B864" i="1"/>
  <c r="B866" i="1"/>
  <c r="B867" i="1"/>
  <c r="B868" i="1"/>
  <c r="B870" i="1"/>
  <c r="B871" i="1"/>
  <c r="B872" i="1"/>
  <c r="B874" i="1"/>
  <c r="B875" i="1"/>
  <c r="B876" i="1"/>
  <c r="B878" i="1"/>
  <c r="B879" i="1"/>
  <c r="B880" i="1"/>
  <c r="B882" i="1"/>
  <c r="B883" i="1"/>
  <c r="B884" i="1"/>
  <c r="B886" i="1"/>
  <c r="B887" i="1"/>
  <c r="B888" i="1"/>
  <c r="B890" i="1"/>
  <c r="B891" i="1"/>
  <c r="B892" i="1"/>
  <c r="B894" i="1"/>
  <c r="B895" i="1"/>
  <c r="B896" i="1"/>
  <c r="B898" i="1"/>
  <c r="B899" i="1"/>
  <c r="B900" i="1"/>
  <c r="B902" i="1"/>
  <c r="B903" i="1"/>
  <c r="B904" i="1"/>
  <c r="B906" i="1"/>
  <c r="B907" i="1"/>
  <c r="B908" i="1"/>
  <c r="B910" i="1"/>
  <c r="B911" i="1"/>
  <c r="B912" i="1"/>
  <c r="B914" i="1"/>
  <c r="B915" i="1"/>
  <c r="B916" i="1"/>
  <c r="B918" i="1"/>
  <c r="B919" i="1"/>
  <c r="B920" i="1"/>
  <c r="B922" i="1"/>
  <c r="B923" i="1"/>
  <c r="B924" i="1"/>
  <c r="B926" i="1"/>
  <c r="B927" i="1"/>
  <c r="B928" i="1"/>
  <c r="B930" i="1"/>
  <c r="B931" i="1"/>
  <c r="B932" i="1"/>
  <c r="B934" i="1"/>
  <c r="B935" i="1"/>
  <c r="B936" i="1"/>
  <c r="B938" i="1"/>
  <c r="B939" i="1"/>
  <c r="B940" i="1"/>
  <c r="B942" i="1"/>
  <c r="B943" i="1"/>
  <c r="B944" i="1"/>
  <c r="B946" i="1"/>
  <c r="B947" i="1"/>
  <c r="B948" i="1"/>
  <c r="B950" i="1"/>
  <c r="B951" i="1"/>
  <c r="B952" i="1"/>
  <c r="B954" i="1"/>
  <c r="B955" i="1"/>
  <c r="B956" i="1"/>
  <c r="B958" i="1"/>
  <c r="B959" i="1"/>
  <c r="B960" i="1"/>
  <c r="B962" i="1"/>
  <c r="B963" i="1"/>
  <c r="B964" i="1"/>
  <c r="B966" i="1"/>
  <c r="B967" i="1"/>
  <c r="B968" i="1"/>
  <c r="B970" i="1"/>
  <c r="B971" i="1"/>
  <c r="B972" i="1"/>
  <c r="B974" i="1"/>
  <c r="B975" i="1"/>
  <c r="B976" i="1"/>
  <c r="B978" i="1"/>
  <c r="B979" i="1"/>
  <c r="B980" i="1"/>
  <c r="B982" i="1"/>
  <c r="B983" i="1"/>
  <c r="B984" i="1"/>
  <c r="B986" i="1"/>
  <c r="B987" i="1"/>
  <c r="B988" i="1"/>
  <c r="B990" i="1"/>
  <c r="B991" i="1"/>
  <c r="B992" i="1"/>
  <c r="B994" i="1"/>
  <c r="B995" i="1"/>
  <c r="B996" i="1"/>
  <c r="B998" i="1"/>
  <c r="B999" i="1"/>
  <c r="B1000" i="1"/>
  <c r="B1002" i="1"/>
  <c r="B1003" i="1"/>
  <c r="B1004" i="1"/>
  <c r="B1006" i="1"/>
  <c r="B1007" i="1"/>
  <c r="B1008" i="1"/>
  <c r="B1010" i="1"/>
  <c r="B1011" i="1"/>
  <c r="B1012" i="1"/>
  <c r="B1014" i="1"/>
  <c r="B1015" i="1"/>
  <c r="B1016" i="1"/>
  <c r="B1018" i="1"/>
  <c r="B1019" i="1"/>
  <c r="B1020" i="1"/>
  <c r="B1022" i="1"/>
  <c r="B1023" i="1"/>
  <c r="B1024" i="1"/>
  <c r="B1026" i="1"/>
  <c r="B1027" i="1"/>
  <c r="B1028" i="1"/>
  <c r="B1030" i="1"/>
  <c r="B1031" i="1"/>
  <c r="B1032" i="1"/>
  <c r="B1034" i="1"/>
  <c r="B1035" i="1"/>
  <c r="B1036" i="1"/>
  <c r="B1038" i="1"/>
  <c r="B1039" i="1"/>
  <c r="B1040" i="1"/>
  <c r="B1042" i="1"/>
  <c r="B1043" i="1"/>
  <c r="B1044" i="1"/>
  <c r="B1046" i="1"/>
  <c r="B1047" i="1"/>
  <c r="B1048" i="1"/>
  <c r="B1050" i="1"/>
  <c r="B1051" i="1"/>
  <c r="B1052" i="1"/>
  <c r="B1054" i="1"/>
  <c r="B1055" i="1"/>
  <c r="B1056" i="1"/>
  <c r="B1058" i="1"/>
  <c r="B1059" i="1"/>
  <c r="B1060" i="1"/>
  <c r="B1062" i="1"/>
  <c r="B1063" i="1"/>
  <c r="B1064" i="1"/>
  <c r="B1066" i="1"/>
  <c r="B1067" i="1"/>
  <c r="B1068" i="1"/>
  <c r="B1070" i="1"/>
  <c r="B1071" i="1"/>
  <c r="B1072" i="1"/>
  <c r="B1074" i="1"/>
  <c r="B1075" i="1"/>
  <c r="B1076" i="1"/>
  <c r="B1078" i="1"/>
  <c r="B1079" i="1"/>
  <c r="B1080" i="1"/>
  <c r="B1082" i="1"/>
  <c r="B1083" i="1"/>
  <c r="B1084" i="1"/>
  <c r="B1086" i="1"/>
  <c r="B1087" i="1"/>
  <c r="B1088" i="1"/>
  <c r="B1090" i="1"/>
  <c r="B1091" i="1"/>
  <c r="B1092" i="1"/>
  <c r="B1094" i="1"/>
  <c r="B1095" i="1"/>
  <c r="B1096" i="1"/>
  <c r="B1098" i="1"/>
  <c r="B1099" i="1"/>
  <c r="B1100" i="1"/>
  <c r="B1102" i="1"/>
  <c r="B1103" i="1"/>
  <c r="B1104" i="1"/>
  <c r="B1106" i="1"/>
  <c r="B1107" i="1"/>
  <c r="B1108" i="1"/>
  <c r="B1110" i="1"/>
  <c r="B1111" i="1"/>
  <c r="B1112" i="1"/>
  <c r="B1114" i="1"/>
  <c r="B1115" i="1"/>
  <c r="B1116" i="1"/>
  <c r="B1118" i="1"/>
  <c r="B1119" i="1"/>
  <c r="B1120" i="1"/>
  <c r="B1122" i="1"/>
  <c r="B1123" i="1"/>
  <c r="B1124" i="1"/>
  <c r="B1126" i="1"/>
  <c r="B1127" i="1"/>
  <c r="B1128" i="1"/>
  <c r="B1130" i="1"/>
  <c r="B1131" i="1"/>
  <c r="B1132" i="1"/>
  <c r="B1134" i="1"/>
  <c r="B1135" i="1"/>
  <c r="B1136" i="1"/>
  <c r="B1138" i="1"/>
  <c r="B1139" i="1"/>
  <c r="B1140" i="1"/>
  <c r="B1142" i="1"/>
  <c r="B1143" i="1"/>
  <c r="B1144" i="1"/>
  <c r="B1146" i="1"/>
  <c r="B1147" i="1"/>
  <c r="B1148" i="1"/>
  <c r="B1150" i="1"/>
  <c r="B1151" i="1"/>
  <c r="B1152" i="1"/>
  <c r="B1154" i="1"/>
  <c r="B1155" i="1"/>
  <c r="B1156" i="1"/>
  <c r="B1158" i="1"/>
  <c r="B1159" i="1"/>
  <c r="B1160" i="1"/>
  <c r="B1162" i="1"/>
  <c r="B1163" i="1"/>
  <c r="B1164" i="1"/>
  <c r="B1166" i="1"/>
  <c r="B1167" i="1"/>
  <c r="B1168" i="1"/>
  <c r="B1170" i="1"/>
  <c r="B1171" i="1"/>
  <c r="B1172" i="1"/>
  <c r="B1174" i="1"/>
  <c r="B1175" i="1"/>
  <c r="B1176" i="1"/>
  <c r="B1178" i="1"/>
  <c r="B1179" i="1"/>
  <c r="B1180" i="1"/>
  <c r="B1182" i="1"/>
  <c r="B1183" i="1"/>
  <c r="B1184" i="1"/>
  <c r="B1186" i="1"/>
  <c r="B1187" i="1"/>
  <c r="B1188" i="1"/>
  <c r="B1190" i="1"/>
  <c r="B1191" i="1"/>
  <c r="B1192" i="1"/>
  <c r="B1194" i="1"/>
  <c r="B1195" i="1"/>
  <c r="B1196" i="1"/>
  <c r="B1198" i="1"/>
  <c r="B1199" i="1"/>
  <c r="B1200" i="1"/>
  <c r="B1202" i="1"/>
  <c r="B1203" i="1"/>
  <c r="B1204" i="1"/>
  <c r="B1206" i="1"/>
  <c r="B1207" i="1"/>
  <c r="B1208" i="1"/>
  <c r="B1210" i="1"/>
  <c r="B1211" i="1"/>
  <c r="B1212" i="1"/>
  <c r="B1214" i="1"/>
  <c r="B1215" i="1"/>
  <c r="B1216" i="1"/>
  <c r="B1218" i="1"/>
  <c r="B1219" i="1"/>
  <c r="B1220" i="1"/>
  <c r="B1222" i="1"/>
  <c r="B1223" i="1"/>
  <c r="B1224" i="1"/>
  <c r="B1226" i="1"/>
  <c r="B1227" i="1"/>
  <c r="B1228" i="1"/>
  <c r="B1230" i="1"/>
  <c r="B1231" i="1"/>
  <c r="B1232" i="1"/>
  <c r="B1234" i="1"/>
  <c r="B1235" i="1"/>
  <c r="B1236" i="1"/>
  <c r="B1238" i="1"/>
  <c r="B1239" i="1"/>
  <c r="B1240" i="1"/>
  <c r="B1242" i="1"/>
  <c r="B1243" i="1"/>
  <c r="B1244" i="1"/>
  <c r="B1246" i="1"/>
  <c r="B1247" i="1"/>
  <c r="B1248" i="1"/>
  <c r="B1250" i="1"/>
  <c r="B1251" i="1"/>
  <c r="B1252" i="1"/>
  <c r="B1254" i="1"/>
  <c r="B1255" i="1"/>
  <c r="B1256" i="1"/>
  <c r="B1258" i="1"/>
  <c r="B1259" i="1"/>
  <c r="B1260" i="1"/>
  <c r="B1262" i="1"/>
  <c r="B1263" i="1"/>
  <c r="B1264" i="1"/>
  <c r="B1266" i="1"/>
  <c r="B1267" i="1"/>
  <c r="B1268" i="1"/>
  <c r="B1270" i="1"/>
  <c r="B1271" i="1"/>
  <c r="B1272" i="1"/>
  <c r="B1274" i="1"/>
  <c r="B1275" i="1"/>
  <c r="B1276" i="1"/>
  <c r="B1278" i="1"/>
  <c r="B1279" i="1"/>
  <c r="B1280" i="1"/>
  <c r="B1282" i="1"/>
  <c r="B1283" i="1"/>
  <c r="B1284" i="1"/>
  <c r="B1286" i="1"/>
  <c r="B1287" i="1"/>
  <c r="B1288" i="1"/>
  <c r="B1290" i="1"/>
  <c r="B1291" i="1"/>
  <c r="B1292" i="1"/>
  <c r="B1294" i="1"/>
  <c r="B1295" i="1"/>
  <c r="B1296" i="1"/>
  <c r="B1298" i="1"/>
  <c r="B1299" i="1"/>
  <c r="B1300" i="1"/>
  <c r="B1302" i="1"/>
  <c r="B1303" i="1"/>
  <c r="B1304" i="1"/>
  <c r="B1306" i="1"/>
  <c r="B1307" i="1"/>
  <c r="B1308" i="1"/>
  <c r="B1310" i="1"/>
  <c r="B1311" i="1"/>
  <c r="B1312" i="1"/>
  <c r="B1314" i="1"/>
  <c r="B1315" i="1"/>
  <c r="B1316" i="1"/>
  <c r="B1318" i="1"/>
  <c r="B1319" i="1"/>
  <c r="B1320" i="1"/>
  <c r="B1322" i="1"/>
  <c r="B1323" i="1"/>
  <c r="B1324" i="1"/>
  <c r="B1326" i="1"/>
  <c r="B1327" i="1"/>
  <c r="B1328" i="1"/>
  <c r="B1330" i="1"/>
  <c r="B1331" i="1"/>
  <c r="B1332" i="1"/>
  <c r="B1334" i="1"/>
  <c r="B1335" i="1"/>
  <c r="B1336" i="1"/>
  <c r="B1338" i="1"/>
  <c r="B1339" i="1"/>
  <c r="B1340" i="1"/>
  <c r="B1342" i="1"/>
  <c r="B1343" i="1"/>
  <c r="B1344" i="1"/>
  <c r="B1346" i="1"/>
  <c r="B1347" i="1"/>
  <c r="B1348" i="1"/>
  <c r="B1350" i="1"/>
  <c r="B1351" i="1"/>
  <c r="B1352" i="1"/>
  <c r="B1354" i="1"/>
  <c r="B1355" i="1"/>
  <c r="B1356" i="1"/>
  <c r="B1358" i="1"/>
  <c r="B1359" i="1"/>
  <c r="B1360" i="1"/>
  <c r="B1362" i="1"/>
  <c r="B1363" i="1"/>
  <c r="B1364" i="1"/>
  <c r="B1366" i="1"/>
  <c r="B1367" i="1"/>
  <c r="B1368" i="1"/>
  <c r="B1370" i="1"/>
  <c r="B1371" i="1"/>
  <c r="B1372" i="1"/>
  <c r="B1374" i="1"/>
  <c r="B1375" i="1"/>
  <c r="B1376" i="1"/>
  <c r="B1378" i="1"/>
  <c r="B1379" i="1"/>
  <c r="B1380" i="1"/>
  <c r="B1382" i="1"/>
  <c r="B1383" i="1"/>
  <c r="B1384" i="1"/>
  <c r="B1386" i="1"/>
  <c r="B1387" i="1"/>
  <c r="B1388" i="1"/>
  <c r="B1390" i="1"/>
  <c r="B1391" i="1"/>
  <c r="B1392" i="1"/>
  <c r="B1394" i="1"/>
  <c r="B1395" i="1"/>
  <c r="B1396" i="1"/>
  <c r="B1398" i="1"/>
  <c r="B1399" i="1"/>
  <c r="B1400" i="1"/>
  <c r="B1402" i="1"/>
  <c r="B1403" i="1"/>
  <c r="B1404" i="1"/>
  <c r="B1406" i="1"/>
  <c r="B1407" i="1"/>
  <c r="B1408" i="1"/>
  <c r="B1410" i="1"/>
  <c r="B1411" i="1"/>
  <c r="B1412" i="1"/>
  <c r="B1414" i="1"/>
  <c r="B1415" i="1"/>
  <c r="B1416" i="1"/>
  <c r="B1418" i="1"/>
  <c r="B1419" i="1"/>
  <c r="B1420" i="1"/>
  <c r="B1422" i="1"/>
  <c r="B1423" i="1"/>
  <c r="B1424" i="1"/>
  <c r="B1426" i="1"/>
  <c r="B1427" i="1"/>
  <c r="B1428" i="1"/>
  <c r="B1430" i="1"/>
  <c r="B1431" i="1"/>
  <c r="B1432" i="1"/>
  <c r="B1434" i="1"/>
  <c r="B1435" i="1"/>
  <c r="B1436" i="1"/>
  <c r="B1438" i="1"/>
  <c r="B1439" i="1"/>
  <c r="B1440" i="1"/>
  <c r="B1442" i="1"/>
  <c r="B1443" i="1"/>
  <c r="B1444" i="1"/>
  <c r="B1446" i="1"/>
  <c r="B1447" i="1"/>
  <c r="B1448" i="1"/>
  <c r="B1450" i="1"/>
  <c r="B1451" i="1"/>
  <c r="B1452" i="1"/>
  <c r="B1454" i="1"/>
  <c r="B1455" i="1"/>
  <c r="B1456" i="1"/>
  <c r="B1458" i="1"/>
  <c r="B1459" i="1"/>
  <c r="B1460" i="1"/>
  <c r="B1462" i="1"/>
  <c r="B1463" i="1"/>
  <c r="B1464" i="1"/>
  <c r="B1466" i="1"/>
  <c r="B1467" i="1"/>
  <c r="B1468" i="1"/>
  <c r="B1470" i="1"/>
  <c r="B1471" i="1"/>
  <c r="B1472" i="1"/>
  <c r="B1474" i="1"/>
  <c r="B1475" i="1"/>
  <c r="B1476" i="1"/>
  <c r="B1478" i="1"/>
  <c r="B1479" i="1"/>
  <c r="B1480" i="1"/>
  <c r="B1482" i="1"/>
  <c r="B1483" i="1"/>
  <c r="B1484" i="1"/>
  <c r="B1486" i="1"/>
  <c r="B1487" i="1"/>
  <c r="B1488" i="1"/>
  <c r="B1490" i="1"/>
  <c r="B1491" i="1"/>
  <c r="B1492" i="1"/>
  <c r="B1494" i="1"/>
  <c r="B1495" i="1"/>
  <c r="B1496" i="1"/>
  <c r="B1498" i="1"/>
  <c r="B1499" i="1"/>
  <c r="B1500" i="1"/>
  <c r="B1502" i="1"/>
  <c r="B1503" i="1"/>
  <c r="B1504" i="1"/>
  <c r="B1506" i="1"/>
  <c r="B1507" i="1"/>
  <c r="B1508" i="1"/>
  <c r="B1510" i="1"/>
  <c r="B1511" i="1"/>
  <c r="B1512" i="1"/>
  <c r="B1514" i="1"/>
  <c r="B1515" i="1"/>
  <c r="B1516" i="1"/>
  <c r="B1518" i="1"/>
  <c r="B1519" i="1"/>
  <c r="B1520" i="1"/>
  <c r="B1522" i="1"/>
  <c r="B1523" i="1"/>
  <c r="B1524" i="1"/>
  <c r="B1526" i="1"/>
  <c r="B1527" i="1"/>
  <c r="B1528" i="1"/>
  <c r="B1530" i="1"/>
  <c r="B1531" i="1"/>
  <c r="B1532" i="1"/>
  <c r="B1534" i="1"/>
  <c r="B1535" i="1"/>
  <c r="B1536" i="1"/>
  <c r="B1538" i="1"/>
  <c r="B1539" i="1"/>
  <c r="B1540" i="1"/>
  <c r="B1542" i="1"/>
  <c r="B1543" i="1"/>
  <c r="B1544" i="1"/>
  <c r="B1546" i="1"/>
  <c r="B1547" i="1"/>
  <c r="B1548" i="1"/>
  <c r="B1550" i="1"/>
  <c r="B1551" i="1"/>
  <c r="B1552" i="1"/>
  <c r="B1554" i="1"/>
  <c r="B1555" i="1"/>
  <c r="B1556" i="1"/>
  <c r="B1558" i="1"/>
  <c r="B1559" i="1"/>
  <c r="B1560" i="1"/>
  <c r="B1562" i="1"/>
  <c r="B1563" i="1"/>
  <c r="B1564" i="1"/>
  <c r="B1566" i="1"/>
  <c r="B1567" i="1"/>
  <c r="B1568" i="1"/>
  <c r="B1570" i="1"/>
  <c r="B1571" i="1"/>
  <c r="B1572" i="1"/>
  <c r="B1574" i="1"/>
  <c r="B1575" i="1"/>
  <c r="B1576" i="1"/>
  <c r="B1578" i="1"/>
  <c r="B1579" i="1"/>
  <c r="B1580" i="1"/>
  <c r="B1582" i="1"/>
  <c r="B1583" i="1"/>
  <c r="B1584" i="1"/>
  <c r="B1586" i="1"/>
  <c r="B1587" i="1"/>
  <c r="B1588" i="1"/>
  <c r="B1590" i="1"/>
  <c r="B1591" i="1"/>
  <c r="B1592" i="1"/>
  <c r="B1594" i="1"/>
  <c r="B1595" i="1"/>
  <c r="B1596" i="1"/>
  <c r="B1598" i="1"/>
  <c r="B1599" i="1"/>
  <c r="B1600" i="1"/>
  <c r="B1602" i="1"/>
  <c r="B1603" i="1"/>
  <c r="B1604" i="1"/>
  <c r="B1606" i="1"/>
  <c r="B1607" i="1"/>
  <c r="B1608" i="1"/>
  <c r="B1610" i="1"/>
  <c r="B1611" i="1"/>
  <c r="B1612" i="1"/>
  <c r="B1614" i="1"/>
  <c r="B1615" i="1"/>
  <c r="B1616" i="1"/>
  <c r="B1618" i="1"/>
  <c r="B1619" i="1"/>
  <c r="B1620" i="1"/>
  <c r="B1622" i="1"/>
  <c r="B1623" i="1"/>
  <c r="B1624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J216" i="2"/>
  <c r="J217" i="2"/>
  <c r="J218" i="2"/>
  <c r="J430" i="2"/>
  <c r="J1072" i="2"/>
  <c r="J431" i="2"/>
  <c r="J858" i="2"/>
  <c r="J1073" i="2"/>
  <c r="J2" i="2"/>
  <c r="J3" i="2"/>
  <c r="J432" i="2"/>
  <c r="J644" i="2"/>
  <c r="J219" i="2"/>
  <c r="J859" i="2"/>
  <c r="J4" i="2"/>
  <c r="J860" i="2"/>
  <c r="J433" i="2"/>
  <c r="J5" i="2"/>
  <c r="J434" i="2"/>
  <c r="J435" i="2"/>
  <c r="J436" i="2"/>
  <c r="J1074" i="2"/>
  <c r="J437" i="2"/>
  <c r="J220" i="2"/>
  <c r="J645" i="2"/>
  <c r="J646" i="2"/>
  <c r="J861" i="2"/>
  <c r="J862" i="2"/>
  <c r="J1075" i="2"/>
  <c r="J221" i="2"/>
  <c r="J222" i="2"/>
  <c r="J438" i="2"/>
  <c r="J647" i="2"/>
  <c r="J439" i="2"/>
  <c r="J6" i="2"/>
  <c r="J1076" i="2"/>
  <c r="J863" i="2"/>
  <c r="J223" i="2"/>
  <c r="J1077" i="2"/>
  <c r="J1078" i="2"/>
  <c r="J440" i="2"/>
  <c r="J224" i="2"/>
  <c r="J7" i="2"/>
  <c r="J1079" i="2"/>
  <c r="J441" i="2"/>
  <c r="J225" i="2"/>
  <c r="J864" i="2"/>
  <c r="J442" i="2"/>
  <c r="J648" i="2"/>
  <c r="J8" i="2"/>
  <c r="J9" i="2"/>
  <c r="J649" i="2"/>
  <c r="J865" i="2"/>
  <c r="J226" i="2"/>
  <c r="J10" i="2"/>
  <c r="J443" i="2"/>
  <c r="J866" i="2"/>
  <c r="J867" i="2"/>
  <c r="J227" i="2"/>
  <c r="J1080" i="2"/>
  <c r="J650" i="2"/>
  <c r="J444" i="2"/>
  <c r="J1081" i="2"/>
  <c r="J1082" i="2"/>
  <c r="J868" i="2"/>
  <c r="J651" i="2"/>
  <c r="J228" i="2"/>
  <c r="J1083" i="2"/>
  <c r="J652" i="2"/>
  <c r="J1084" i="2"/>
  <c r="J1085" i="2"/>
  <c r="J445" i="2"/>
  <c r="J869" i="2"/>
  <c r="J1086" i="2"/>
  <c r="J446" i="2"/>
  <c r="J870" i="2"/>
  <c r="J871" i="2"/>
  <c r="J1087" i="2"/>
  <c r="J229" i="2"/>
  <c r="J11" i="2"/>
  <c r="J1088" i="2"/>
  <c r="J872" i="2"/>
  <c r="J230" i="2"/>
  <c r="J447" i="2"/>
  <c r="J12" i="2"/>
  <c r="J873" i="2"/>
  <c r="J1089" i="2"/>
  <c r="J653" i="2"/>
  <c r="J448" i="2"/>
  <c r="J231" i="2"/>
  <c r="J232" i="2"/>
  <c r="J233" i="2"/>
  <c r="J654" i="2"/>
  <c r="J13" i="2"/>
  <c r="J655" i="2"/>
  <c r="J14" i="2"/>
  <c r="J15" i="2"/>
  <c r="J449" i="2"/>
  <c r="J656" i="2"/>
  <c r="J1090" i="2"/>
  <c r="J450" i="2"/>
  <c r="J451" i="2"/>
  <c r="J657" i="2"/>
  <c r="J452" i="2"/>
  <c r="J1091" i="2"/>
  <c r="J453" i="2"/>
  <c r="J874" i="2"/>
  <c r="J658" i="2"/>
  <c r="J875" i="2"/>
  <c r="J659" i="2"/>
  <c r="J876" i="2"/>
  <c r="J660" i="2"/>
  <c r="J661" i="2"/>
  <c r="J454" i="2"/>
  <c r="J234" i="2"/>
  <c r="J455" i="2"/>
  <c r="J1092" i="2"/>
  <c r="J16" i="2"/>
  <c r="J1093" i="2"/>
  <c r="J1094" i="2"/>
  <c r="J662" i="2"/>
  <c r="J17" i="2"/>
  <c r="J663" i="2"/>
  <c r="J1095" i="2"/>
  <c r="J235" i="2"/>
  <c r="J18" i="2"/>
  <c r="J236" i="2"/>
  <c r="J877" i="2"/>
  <c r="J878" i="2"/>
  <c r="J1096" i="2"/>
  <c r="J19" i="2"/>
  <c r="J664" i="2"/>
  <c r="J665" i="2"/>
  <c r="J1097" i="2"/>
  <c r="J456" i="2"/>
  <c r="J666" i="2"/>
  <c r="J667" i="2"/>
  <c r="J20" i="2"/>
  <c r="J21" i="2"/>
  <c r="J1098" i="2"/>
  <c r="J237" i="2"/>
  <c r="J22" i="2"/>
  <c r="J668" i="2"/>
  <c r="J238" i="2"/>
  <c r="J669" i="2"/>
  <c r="J670" i="2"/>
  <c r="J1099" i="2"/>
  <c r="J1100" i="2"/>
  <c r="J1101" i="2"/>
  <c r="J457" i="2"/>
  <c r="J1102" i="2"/>
  <c r="J458" i="2"/>
  <c r="J239" i="2"/>
  <c r="J671" i="2"/>
  <c r="J240" i="2"/>
  <c r="J1103" i="2"/>
  <c r="J672" i="2"/>
  <c r="J241" i="2"/>
  <c r="J1104" i="2"/>
  <c r="J879" i="2"/>
  <c r="J23" i="2"/>
  <c r="J242" i="2"/>
  <c r="J673" i="2"/>
  <c r="J674" i="2"/>
  <c r="J675" i="2"/>
  <c r="J24" i="2"/>
  <c r="J25" i="2"/>
  <c r="J880" i="2"/>
  <c r="J1105" i="2"/>
  <c r="J1106" i="2"/>
  <c r="J459" i="2"/>
  <c r="J460" i="2"/>
  <c r="J676" i="2"/>
  <c r="J26" i="2"/>
  <c r="J461" i="2"/>
  <c r="J677" i="2"/>
  <c r="J881" i="2"/>
  <c r="J27" i="2"/>
  <c r="J1107" i="2"/>
  <c r="J882" i="2"/>
  <c r="J28" i="2"/>
  <c r="J678" i="2"/>
  <c r="J462" i="2"/>
  <c r="J883" i="2"/>
  <c r="J463" i="2"/>
  <c r="J29" i="2"/>
  <c r="J679" i="2"/>
  <c r="J243" i="2"/>
  <c r="J1108" i="2"/>
  <c r="J464" i="2"/>
  <c r="J244" i="2"/>
  <c r="J680" i="2"/>
  <c r="J30" i="2"/>
  <c r="J884" i="2"/>
  <c r="J31" i="2"/>
  <c r="J465" i="2"/>
  <c r="J32" i="2"/>
  <c r="J245" i="2"/>
  <c r="J246" i="2"/>
  <c r="J466" i="2"/>
  <c r="J681" i="2"/>
  <c r="J467" i="2"/>
  <c r="J1109" i="2"/>
  <c r="J247" i="2"/>
  <c r="J682" i="2"/>
  <c r="J468" i="2"/>
  <c r="J248" i="2"/>
  <c r="J33" i="2"/>
  <c r="J1110" i="2"/>
  <c r="J683" i="2"/>
  <c r="J469" i="2"/>
  <c r="J470" i="2"/>
  <c r="J684" i="2"/>
  <c r="J249" i="2"/>
  <c r="J885" i="2"/>
  <c r="J34" i="2"/>
  <c r="J250" i="2"/>
  <c r="J35" i="2"/>
  <c r="J685" i="2"/>
  <c r="J36" i="2"/>
  <c r="J1111" i="2"/>
  <c r="J686" i="2"/>
  <c r="J886" i="2"/>
  <c r="J251" i="2"/>
  <c r="J887" i="2"/>
  <c r="J687" i="2"/>
  <c r="J471" i="2"/>
  <c r="J472" i="2"/>
  <c r="J473" i="2"/>
  <c r="J37" i="2"/>
  <c r="J252" i="2"/>
  <c r="J1112" i="2"/>
  <c r="J688" i="2"/>
  <c r="J38" i="2"/>
  <c r="J1113" i="2"/>
  <c r="J888" i="2"/>
  <c r="J39" i="2"/>
  <c r="J889" i="2"/>
  <c r="J689" i="2"/>
  <c r="J690" i="2"/>
  <c r="J890" i="2"/>
  <c r="J40" i="2"/>
  <c r="J1114" i="2"/>
  <c r="J1115" i="2"/>
  <c r="J691" i="2"/>
  <c r="J1116" i="2"/>
  <c r="J891" i="2"/>
  <c r="J892" i="2"/>
  <c r="J253" i="2"/>
  <c r="J893" i="2"/>
  <c r="J474" i="2"/>
  <c r="J475" i="2"/>
  <c r="J692" i="2"/>
  <c r="J476" i="2"/>
  <c r="J477" i="2"/>
  <c r="J41" i="2"/>
  <c r="J42" i="2"/>
  <c r="J894" i="2"/>
  <c r="J254" i="2"/>
  <c r="J43" i="2"/>
  <c r="J1117" i="2"/>
  <c r="J255" i="2"/>
  <c r="J895" i="2"/>
  <c r="J693" i="2"/>
  <c r="J256" i="2"/>
  <c r="J478" i="2"/>
  <c r="J694" i="2"/>
  <c r="J257" i="2"/>
  <c r="J896" i="2"/>
  <c r="J258" i="2"/>
  <c r="J897" i="2"/>
  <c r="J695" i="2"/>
  <c r="J44" i="2"/>
  <c r="J696" i="2"/>
  <c r="J697" i="2"/>
  <c r="J1118" i="2"/>
  <c r="J479" i="2"/>
  <c r="J45" i="2"/>
  <c r="J698" i="2"/>
  <c r="J480" i="2"/>
  <c r="J46" i="2"/>
  <c r="J47" i="2"/>
  <c r="J259" i="2"/>
  <c r="J898" i="2"/>
  <c r="J899" i="2"/>
  <c r="J48" i="2"/>
  <c r="J699" i="2"/>
  <c r="J260" i="2"/>
  <c r="J261" i="2"/>
  <c r="J262" i="2"/>
  <c r="J49" i="2"/>
  <c r="J481" i="2"/>
  <c r="J482" i="2"/>
  <c r="J900" i="2"/>
  <c r="J263" i="2"/>
  <c r="J483" i="2"/>
  <c r="J484" i="2"/>
  <c r="J901" i="2"/>
  <c r="J264" i="2"/>
  <c r="J50" i="2"/>
  <c r="J1119" i="2"/>
  <c r="J902" i="2"/>
  <c r="J485" i="2"/>
  <c r="J903" i="2"/>
  <c r="J700" i="2"/>
  <c r="J904" i="2"/>
  <c r="J1120" i="2"/>
  <c r="J701" i="2"/>
  <c r="J905" i="2"/>
  <c r="J51" i="2"/>
  <c r="J1121" i="2"/>
  <c r="J52" i="2"/>
  <c r="J265" i="2"/>
  <c r="J1122" i="2"/>
  <c r="J266" i="2"/>
  <c r="J486" i="2"/>
  <c r="J1123" i="2"/>
  <c r="J267" i="2"/>
  <c r="J702" i="2"/>
  <c r="J268" i="2"/>
  <c r="J53" i="2"/>
  <c r="J269" i="2"/>
  <c r="J703" i="2"/>
  <c r="J906" i="2"/>
  <c r="J704" i="2"/>
  <c r="J1124" i="2"/>
  <c r="J1125" i="2"/>
  <c r="J487" i="2"/>
  <c r="J907" i="2"/>
  <c r="J908" i="2"/>
  <c r="J1126" i="2"/>
  <c r="J1127" i="2"/>
  <c r="J488" i="2"/>
  <c r="J909" i="2"/>
  <c r="J910" i="2"/>
  <c r="J1128" i="2"/>
  <c r="J270" i="2"/>
  <c r="J54" i="2"/>
  <c r="J911" i="2"/>
  <c r="J1129" i="2"/>
  <c r="J271" i="2"/>
  <c r="J1130" i="2"/>
  <c r="J55" i="2"/>
  <c r="J272" i="2"/>
  <c r="J705" i="2"/>
  <c r="J706" i="2"/>
  <c r="J912" i="2"/>
  <c r="J273" i="2"/>
  <c r="J913" i="2"/>
  <c r="J274" i="2"/>
  <c r="J1131" i="2"/>
  <c r="J275" i="2"/>
  <c r="J914" i="2"/>
  <c r="J707" i="2"/>
  <c r="J915" i="2"/>
  <c r="J489" i="2"/>
  <c r="J916" i="2"/>
  <c r="J56" i="2"/>
  <c r="J490" i="2"/>
  <c r="J57" i="2"/>
  <c r="J491" i="2"/>
  <c r="J492" i="2"/>
  <c r="J708" i="2"/>
  <c r="J709" i="2"/>
  <c r="J58" i="2"/>
  <c r="J1132" i="2"/>
  <c r="J276" i="2"/>
  <c r="J710" i="2"/>
  <c r="J493" i="2"/>
  <c r="J277" i="2"/>
  <c r="J711" i="2"/>
  <c r="J59" i="2"/>
  <c r="J494" i="2"/>
  <c r="J1133" i="2"/>
  <c r="J1134" i="2"/>
  <c r="J917" i="2"/>
  <c r="J60" i="2"/>
  <c r="J278" i="2"/>
  <c r="J918" i="2"/>
  <c r="J495" i="2"/>
  <c r="J919" i="2"/>
  <c r="J496" i="2"/>
  <c r="J61" i="2"/>
  <c r="J279" i="2"/>
  <c r="J280" i="2"/>
  <c r="J920" i="2"/>
  <c r="J62" i="2"/>
  <c r="J712" i="2"/>
  <c r="J497" i="2"/>
  <c r="J1135" i="2"/>
  <c r="J498" i="2"/>
  <c r="J281" i="2"/>
  <c r="J282" i="2"/>
  <c r="J283" i="2"/>
  <c r="J63" i="2"/>
  <c r="J284" i="2"/>
  <c r="J1136" i="2"/>
  <c r="J713" i="2"/>
  <c r="J285" i="2"/>
  <c r="J921" i="2"/>
  <c r="J922" i="2"/>
  <c r="J64" i="2"/>
  <c r="J286" i="2"/>
  <c r="J1137" i="2"/>
  <c r="J287" i="2"/>
  <c r="J499" i="2"/>
  <c r="J714" i="2"/>
  <c r="J288" i="2"/>
  <c r="J500" i="2"/>
  <c r="J501" i="2"/>
  <c r="J502" i="2"/>
  <c r="J1138" i="2"/>
  <c r="J65" i="2"/>
  <c r="J66" i="2"/>
  <c r="J715" i="2"/>
  <c r="J923" i="2"/>
  <c r="J289" i="2"/>
  <c r="J503" i="2"/>
  <c r="J924" i="2"/>
  <c r="J1139" i="2"/>
  <c r="J716" i="2"/>
  <c r="J717" i="2"/>
  <c r="J504" i="2"/>
  <c r="J505" i="2"/>
  <c r="J1140" i="2"/>
  <c r="J718" i="2"/>
  <c r="J290" i="2"/>
  <c r="J291" i="2"/>
  <c r="J292" i="2"/>
  <c r="J506" i="2"/>
  <c r="J1141" i="2"/>
  <c r="J293" i="2"/>
  <c r="J1142" i="2"/>
  <c r="J925" i="2"/>
  <c r="J719" i="2"/>
  <c r="J67" i="2"/>
  <c r="J926" i="2"/>
  <c r="J294" i="2"/>
  <c r="J295" i="2"/>
  <c r="J927" i="2"/>
  <c r="J720" i="2"/>
  <c r="J721" i="2"/>
  <c r="J296" i="2"/>
  <c r="J297" i="2"/>
  <c r="J928" i="2"/>
  <c r="J507" i="2"/>
  <c r="J298" i="2"/>
  <c r="J722" i="2"/>
  <c r="J1143" i="2"/>
  <c r="J1144" i="2"/>
  <c r="J1145" i="2"/>
  <c r="J299" i="2"/>
  <c r="J508" i="2"/>
  <c r="J723" i="2"/>
  <c r="J724" i="2"/>
  <c r="J68" i="2"/>
  <c r="J300" i="2"/>
  <c r="J725" i="2"/>
  <c r="J509" i="2"/>
  <c r="J69" i="2"/>
  <c r="J70" i="2"/>
  <c r="J1146" i="2"/>
  <c r="J301" i="2"/>
  <c r="J302" i="2"/>
  <c r="J929" i="2"/>
  <c r="J510" i="2"/>
  <c r="J1147" i="2"/>
  <c r="J930" i="2"/>
  <c r="J1148" i="2"/>
  <c r="J71" i="2"/>
  <c r="J1149" i="2"/>
  <c r="J726" i="2"/>
  <c r="J72" i="2"/>
  <c r="J727" i="2"/>
  <c r="J931" i="2"/>
  <c r="J303" i="2"/>
  <c r="J73" i="2"/>
  <c r="J728" i="2"/>
  <c r="J511" i="2"/>
  <c r="J932" i="2"/>
  <c r="J512" i="2"/>
  <c r="J1150" i="2"/>
  <c r="J933" i="2"/>
  <c r="J74" i="2"/>
  <c r="J934" i="2"/>
  <c r="J513" i="2"/>
  <c r="J729" i="2"/>
  <c r="J514" i="2"/>
  <c r="J730" i="2"/>
  <c r="J731" i="2"/>
  <c r="J732" i="2"/>
  <c r="J1151" i="2"/>
  <c r="J515" i="2"/>
  <c r="J733" i="2"/>
  <c r="J75" i="2"/>
  <c r="J734" i="2"/>
  <c r="J76" i="2"/>
  <c r="J735" i="2"/>
  <c r="J77" i="2"/>
  <c r="J78" i="2"/>
  <c r="J736" i="2"/>
  <c r="J304" i="2"/>
  <c r="J305" i="2"/>
  <c r="J737" i="2"/>
  <c r="J79" i="2"/>
  <c r="J1152" i="2"/>
  <c r="J306" i="2"/>
  <c r="J80" i="2"/>
  <c r="J935" i="2"/>
  <c r="J81" i="2"/>
  <c r="J1153" i="2"/>
  <c r="J516" i="2"/>
  <c r="J307" i="2"/>
  <c r="J738" i="2"/>
  <c r="J82" i="2"/>
  <c r="J1154" i="2"/>
  <c r="J1155" i="2"/>
  <c r="J1156" i="2"/>
  <c r="J739" i="2"/>
  <c r="J740" i="2"/>
  <c r="J83" i="2"/>
  <c r="J1157" i="2"/>
  <c r="J936" i="2"/>
  <c r="J517" i="2"/>
  <c r="J1158" i="2"/>
  <c r="J937" i="2"/>
  <c r="J518" i="2"/>
  <c r="J1159" i="2"/>
  <c r="J308" i="2"/>
  <c r="J741" i="2"/>
  <c r="J519" i="2"/>
  <c r="J84" i="2"/>
  <c r="J520" i="2"/>
  <c r="J521" i="2"/>
  <c r="J742" i="2"/>
  <c r="J85" i="2"/>
  <c r="J938" i="2"/>
  <c r="J86" i="2"/>
  <c r="J1160" i="2"/>
  <c r="J1161" i="2"/>
  <c r="J939" i="2"/>
  <c r="J1162" i="2"/>
  <c r="J940" i="2"/>
  <c r="J87" i="2"/>
  <c r="J309" i="2"/>
  <c r="J743" i="2"/>
  <c r="J1163" i="2"/>
  <c r="J310" i="2"/>
  <c r="J311" i="2"/>
  <c r="J522" i="2"/>
  <c r="J88" i="2"/>
  <c r="J1164" i="2"/>
  <c r="J941" i="2"/>
  <c r="J744" i="2"/>
  <c r="J942" i="2"/>
  <c r="J89" i="2"/>
  <c r="J90" i="2"/>
  <c r="J91" i="2"/>
  <c r="J1165" i="2"/>
  <c r="J943" i="2"/>
  <c r="J312" i="2"/>
  <c r="J523" i="2"/>
  <c r="J92" i="2"/>
  <c r="J1166" i="2"/>
  <c r="J944" i="2"/>
  <c r="J313" i="2"/>
  <c r="J524" i="2"/>
  <c r="J945" i="2"/>
  <c r="J525" i="2"/>
  <c r="J1167" i="2"/>
  <c r="J93" i="2"/>
  <c r="J94" i="2"/>
  <c r="J1168" i="2"/>
  <c r="J526" i="2"/>
  <c r="J95" i="2"/>
  <c r="J745" i="2"/>
  <c r="J1169" i="2"/>
  <c r="J946" i="2"/>
  <c r="J314" i="2"/>
  <c r="J96" i="2"/>
  <c r="J947" i="2"/>
  <c r="J948" i="2"/>
  <c r="J527" i="2"/>
  <c r="J97" i="2"/>
  <c r="J746" i="2"/>
  <c r="J949" i="2"/>
  <c r="J950" i="2"/>
  <c r="J747" i="2"/>
  <c r="J1170" i="2"/>
  <c r="J951" i="2"/>
  <c r="J98" i="2"/>
  <c r="J528" i="2"/>
  <c r="J529" i="2"/>
  <c r="J315" i="2"/>
  <c r="J1171" i="2"/>
  <c r="J99" i="2"/>
  <c r="J952" i="2"/>
  <c r="J316" i="2"/>
  <c r="J530" i="2"/>
  <c r="J1172" i="2"/>
  <c r="J953" i="2"/>
  <c r="J748" i="2"/>
  <c r="J531" i="2"/>
  <c r="J1173" i="2"/>
  <c r="J954" i="2"/>
  <c r="J955" i="2"/>
  <c r="J532" i="2"/>
  <c r="J100" i="2"/>
  <c r="J317" i="2"/>
  <c r="J318" i="2"/>
  <c r="J956" i="2"/>
  <c r="J957" i="2"/>
  <c r="J749" i="2"/>
  <c r="J958" i="2"/>
  <c r="J1174" i="2"/>
  <c r="J750" i="2"/>
  <c r="J1175" i="2"/>
  <c r="J101" i="2"/>
  <c r="J751" i="2"/>
  <c r="J752" i="2"/>
  <c r="J102" i="2"/>
  <c r="J753" i="2"/>
  <c r="J533" i="2"/>
  <c r="J319" i="2"/>
  <c r="J534" i="2"/>
  <c r="J320" i="2"/>
  <c r="J754" i="2"/>
  <c r="J321" i="2"/>
  <c r="J322" i="2"/>
  <c r="J959" i="2"/>
  <c r="J755" i="2"/>
  <c r="J535" i="2"/>
  <c r="J1176" i="2"/>
  <c r="J1177" i="2"/>
  <c r="J103" i="2"/>
  <c r="J756" i="2"/>
  <c r="J104" i="2"/>
  <c r="J105" i="2"/>
  <c r="J323" i="2"/>
  <c r="J324" i="2"/>
  <c r="J106" i="2"/>
  <c r="J757" i="2"/>
  <c r="J536" i="2"/>
  <c r="J758" i="2"/>
  <c r="J325" i="2"/>
  <c r="J537" i="2"/>
  <c r="J960" i="2"/>
  <c r="J107" i="2"/>
  <c r="J1178" i="2"/>
  <c r="J538" i="2"/>
  <c r="J326" i="2"/>
  <c r="J759" i="2"/>
  <c r="J327" i="2"/>
  <c r="J539" i="2"/>
  <c r="J961" i="2"/>
  <c r="J328" i="2"/>
  <c r="J540" i="2"/>
  <c r="J760" i="2"/>
  <c r="J1179" i="2"/>
  <c r="J541" i="2"/>
  <c r="J962" i="2"/>
  <c r="J963" i="2"/>
  <c r="J964" i="2"/>
  <c r="J1180" i="2"/>
  <c r="J329" i="2"/>
  <c r="J542" i="2"/>
  <c r="J1181" i="2"/>
  <c r="J108" i="2"/>
  <c r="J330" i="2"/>
  <c r="J761" i="2"/>
  <c r="J331" i="2"/>
  <c r="J762" i="2"/>
  <c r="J109" i="2"/>
  <c r="J763" i="2"/>
  <c r="J764" i="2"/>
  <c r="J332" i="2"/>
  <c r="J543" i="2"/>
  <c r="J965" i="2"/>
  <c r="J544" i="2"/>
  <c r="J110" i="2"/>
  <c r="J545" i="2"/>
  <c r="J333" i="2"/>
  <c r="J546" i="2"/>
  <c r="J111" i="2"/>
  <c r="J334" i="2"/>
  <c r="J765" i="2"/>
  <c r="J335" i="2"/>
  <c r="J547" i="2"/>
  <c r="J112" i="2"/>
  <c r="J1182" i="2"/>
  <c r="J113" i="2"/>
  <c r="J766" i="2"/>
  <c r="J966" i="2"/>
  <c r="J1183" i="2"/>
  <c r="J548" i="2"/>
  <c r="J767" i="2"/>
  <c r="J768" i="2"/>
  <c r="J967" i="2"/>
  <c r="J336" i="2"/>
  <c r="J769" i="2"/>
  <c r="J114" i="2"/>
  <c r="J968" i="2"/>
  <c r="J549" i="2"/>
  <c r="J337" i="2"/>
  <c r="J115" i="2"/>
  <c r="J770" i="2"/>
  <c r="J550" i="2"/>
  <c r="J969" i="2"/>
  <c r="J970" i="2"/>
  <c r="J971" i="2"/>
  <c r="J551" i="2"/>
  <c r="J552" i="2"/>
  <c r="J553" i="2"/>
  <c r="J338" i="2"/>
  <c r="J1184" i="2"/>
  <c r="J339" i="2"/>
  <c r="J116" i="2"/>
  <c r="J340" i="2"/>
  <c r="J972" i="2"/>
  <c r="J117" i="2"/>
  <c r="J1185" i="2"/>
  <c r="J341" i="2"/>
  <c r="J973" i="2"/>
  <c r="J771" i="2"/>
  <c r="J342" i="2"/>
  <c r="J118" i="2"/>
  <c r="J974" i="2"/>
  <c r="J1186" i="2"/>
  <c r="J975" i="2"/>
  <c r="J1187" i="2"/>
  <c r="J554" i="2"/>
  <c r="J772" i="2"/>
  <c r="J119" i="2"/>
  <c r="J773" i="2"/>
  <c r="J976" i="2"/>
  <c r="J343" i="2"/>
  <c r="J977" i="2"/>
  <c r="J344" i="2"/>
  <c r="J120" i="2"/>
  <c r="J1188" i="2"/>
  <c r="J1189" i="2"/>
  <c r="J121" i="2"/>
  <c r="J122" i="2"/>
  <c r="J774" i="2"/>
  <c r="J345" i="2"/>
  <c r="J555" i="2"/>
  <c r="J1190" i="2"/>
  <c r="J1191" i="2"/>
  <c r="J775" i="2"/>
  <c r="J123" i="2"/>
  <c r="J1192" i="2"/>
  <c r="J346" i="2"/>
  <c r="J776" i="2"/>
  <c r="J556" i="2"/>
  <c r="J777" i="2"/>
  <c r="J1193" i="2"/>
  <c r="J557" i="2"/>
  <c r="J558" i="2"/>
  <c r="J124" i="2"/>
  <c r="J1194" i="2"/>
  <c r="J125" i="2"/>
  <c r="J126" i="2"/>
  <c r="J347" i="2"/>
  <c r="J1195" i="2"/>
  <c r="J348" i="2"/>
  <c r="J778" i="2"/>
  <c r="J978" i="2"/>
  <c r="J979" i="2"/>
  <c r="J779" i="2"/>
  <c r="J349" i="2"/>
  <c r="J780" i="2"/>
  <c r="J980" i="2"/>
  <c r="J1196" i="2"/>
  <c r="J559" i="2"/>
  <c r="J560" i="2"/>
  <c r="J781" i="2"/>
  <c r="J127" i="2"/>
  <c r="J1197" i="2"/>
  <c r="J1198" i="2"/>
  <c r="J981" i="2"/>
  <c r="J561" i="2"/>
  <c r="J1199" i="2"/>
  <c r="J562" i="2"/>
  <c r="J350" i="2"/>
  <c r="J128" i="2"/>
  <c r="J982" i="2"/>
  <c r="J1200" i="2"/>
  <c r="J351" i="2"/>
  <c r="J1201" i="2"/>
  <c r="J1202" i="2"/>
  <c r="J1203" i="2"/>
  <c r="J563" i="2"/>
  <c r="J564" i="2"/>
  <c r="J565" i="2"/>
  <c r="J782" i="2"/>
  <c r="J983" i="2"/>
  <c r="J1204" i="2"/>
  <c r="J129" i="2"/>
  <c r="J566" i="2"/>
  <c r="J783" i="2"/>
  <c r="J784" i="2"/>
  <c r="J130" i="2"/>
  <c r="J352" i="2"/>
  <c r="J131" i="2"/>
  <c r="J567" i="2"/>
  <c r="J984" i="2"/>
  <c r="J1205" i="2"/>
  <c r="J985" i="2"/>
  <c r="J785" i="2"/>
  <c r="J1206" i="2"/>
  <c r="J1207" i="2"/>
  <c r="J786" i="2"/>
  <c r="J787" i="2"/>
  <c r="J1208" i="2"/>
  <c r="J986" i="2"/>
  <c r="J132" i="2"/>
  <c r="J788" i="2"/>
  <c r="J568" i="2"/>
  <c r="J569" i="2"/>
  <c r="J789" i="2"/>
  <c r="J987" i="2"/>
  <c r="J790" i="2"/>
  <c r="J353" i="2"/>
  <c r="J570" i="2"/>
  <c r="J571" i="2"/>
  <c r="J791" i="2"/>
  <c r="J1209" i="2"/>
  <c r="J988" i="2"/>
  <c r="J989" i="2"/>
  <c r="J990" i="2"/>
  <c r="J133" i="2"/>
  <c r="J792" i="2"/>
  <c r="J991" i="2"/>
  <c r="J572" i="2"/>
  <c r="J354" i="2"/>
  <c r="J992" i="2"/>
  <c r="J355" i="2"/>
  <c r="J1210" i="2"/>
  <c r="J134" i="2"/>
  <c r="J356" i="2"/>
  <c r="J793" i="2"/>
  <c r="J993" i="2"/>
  <c r="J1211" i="2"/>
  <c r="J994" i="2"/>
  <c r="J357" i="2"/>
  <c r="J794" i="2"/>
  <c r="J1212" i="2"/>
  <c r="J995" i="2"/>
  <c r="J1213" i="2"/>
  <c r="J358" i="2"/>
  <c r="J795" i="2"/>
  <c r="J573" i="2"/>
  <c r="J574" i="2"/>
  <c r="J359" i="2"/>
  <c r="J996" i="2"/>
  <c r="J997" i="2"/>
  <c r="J360" i="2"/>
  <c r="J575" i="2"/>
  <c r="J998" i="2"/>
  <c r="J1214" i="2"/>
  <c r="J1215" i="2"/>
  <c r="J361" i="2"/>
  <c r="J796" i="2"/>
  <c r="J999" i="2"/>
  <c r="J576" i="2"/>
  <c r="J1216" i="2"/>
  <c r="J577" i="2"/>
  <c r="J362" i="2"/>
  <c r="J135" i="2"/>
  <c r="J797" i="2"/>
  <c r="J578" i="2"/>
  <c r="J1000" i="2"/>
  <c r="J579" i="2"/>
  <c r="J136" i="2"/>
  <c r="J363" i="2"/>
  <c r="J798" i="2"/>
  <c r="J137" i="2"/>
  <c r="J138" i="2"/>
  <c r="J364" i="2"/>
  <c r="J1217" i="2"/>
  <c r="J1001" i="2"/>
  <c r="J580" i="2"/>
  <c r="J1002" i="2"/>
  <c r="J139" i="2"/>
  <c r="J799" i="2"/>
  <c r="J1218" i="2"/>
  <c r="J1219" i="2"/>
  <c r="J581" i="2"/>
  <c r="J1220" i="2"/>
  <c r="J365" i="2"/>
  <c r="J366" i="2"/>
  <c r="J1221" i="2"/>
  <c r="J367" i="2"/>
  <c r="J140" i="2"/>
  <c r="J368" i="2"/>
  <c r="J800" i="2"/>
  <c r="J141" i="2"/>
  <c r="J369" i="2"/>
  <c r="J801" i="2"/>
  <c r="J370" i="2"/>
  <c r="J142" i="2"/>
  <c r="J1003" i="2"/>
  <c r="J371" i="2"/>
  <c r="J143" i="2"/>
  <c r="J802" i="2"/>
  <c r="J1222" i="2"/>
  <c r="J582" i="2"/>
  <c r="J803" i="2"/>
  <c r="J1223" i="2"/>
  <c r="J1004" i="2"/>
  <c r="J372" i="2"/>
  <c r="J373" i="2"/>
  <c r="J374" i="2"/>
  <c r="J1005" i="2"/>
  <c r="J375" i="2"/>
  <c r="J583" i="2"/>
  <c r="J1006" i="2"/>
  <c r="J1224" i="2"/>
  <c r="J1007" i="2"/>
  <c r="J144" i="2"/>
  <c r="J804" i="2"/>
  <c r="J1008" i="2"/>
  <c r="J805" i="2"/>
  <c r="J584" i="2"/>
  <c r="J1009" i="2"/>
  <c r="J376" i="2"/>
  <c r="J1010" i="2"/>
  <c r="J377" i="2"/>
  <c r="J1011" i="2"/>
  <c r="J1012" i="2"/>
  <c r="J1225" i="2"/>
  <c r="J806" i="2"/>
  <c r="J145" i="2"/>
  <c r="J585" i="2"/>
  <c r="J1226" i="2"/>
  <c r="J586" i="2"/>
  <c r="J378" i="2"/>
  <c r="J146" i="2"/>
  <c r="J147" i="2"/>
  <c r="J1013" i="2"/>
  <c r="J379" i="2"/>
  <c r="J148" i="2"/>
  <c r="J1227" i="2"/>
  <c r="J1014" i="2"/>
  <c r="J149" i="2"/>
  <c r="J150" i="2"/>
  <c r="J380" i="2"/>
  <c r="J807" i="2"/>
  <c r="J587" i="2"/>
  <c r="J808" i="2"/>
  <c r="J809" i="2"/>
  <c r="J588" i="2"/>
  <c r="J1228" i="2"/>
  <c r="J151" i="2"/>
  <c r="J381" i="2"/>
  <c r="J589" i="2"/>
  <c r="J382" i="2"/>
  <c r="J590" i="2"/>
  <c r="J591" i="2"/>
  <c r="J1015" i="2"/>
  <c r="J383" i="2"/>
  <c r="J384" i="2"/>
  <c r="J385" i="2"/>
  <c r="J810" i="2"/>
  <c r="J1016" i="2"/>
  <c r="J1229" i="2"/>
  <c r="J811" i="2"/>
  <c r="J1230" i="2"/>
  <c r="J1231" i="2"/>
  <c r="J386" i="2"/>
  <c r="J387" i="2"/>
  <c r="J812" i="2"/>
  <c r="J813" i="2"/>
  <c r="J152" i="2"/>
  <c r="J814" i="2"/>
  <c r="J1017" i="2"/>
  <c r="J388" i="2"/>
  <c r="J1232" i="2"/>
  <c r="J1233" i="2"/>
  <c r="J1234" i="2"/>
  <c r="J1018" i="2"/>
  <c r="J1019" i="2"/>
  <c r="J1020" i="2"/>
  <c r="J1235" i="2"/>
  <c r="J153" i="2"/>
  <c r="J815" i="2"/>
  <c r="J1236" i="2"/>
  <c r="J1237" i="2"/>
  <c r="J1238" i="2"/>
  <c r="J154" i="2"/>
  <c r="J592" i="2"/>
  <c r="J593" i="2"/>
  <c r="J816" i="2"/>
  <c r="J1021" i="2"/>
  <c r="J389" i="2"/>
  <c r="J1239" i="2"/>
  <c r="J817" i="2"/>
  <c r="J594" i="2"/>
  <c r="J1240" i="2"/>
  <c r="J1241" i="2"/>
  <c r="J390" i="2"/>
  <c r="J391" i="2"/>
  <c r="J155" i="2"/>
  <c r="J392" i="2"/>
  <c r="J393" i="2"/>
  <c r="J394" i="2"/>
  <c r="J1022" i="2"/>
  <c r="J595" i="2"/>
  <c r="J156" i="2"/>
  <c r="J818" i="2"/>
  <c r="J157" i="2"/>
  <c r="J596" i="2"/>
  <c r="J1023" i="2"/>
  <c r="J597" i="2"/>
  <c r="J1242" i="2"/>
  <c r="J598" i="2"/>
  <c r="J1024" i="2"/>
  <c r="J158" i="2"/>
  <c r="J819" i="2"/>
  <c r="J159" i="2"/>
  <c r="J160" i="2"/>
  <c r="J1025" i="2"/>
  <c r="J161" i="2"/>
  <c r="J162" i="2"/>
  <c r="J599" i="2"/>
  <c r="J395" i="2"/>
  <c r="J1026" i="2"/>
  <c r="J1243" i="2"/>
  <c r="J396" i="2"/>
  <c r="J163" i="2"/>
  <c r="J600" i="2"/>
  <c r="J164" i="2"/>
  <c r="J1027" i="2"/>
  <c r="J1244" i="2"/>
  <c r="J165" i="2"/>
  <c r="J1028" i="2"/>
  <c r="J397" i="2"/>
  <c r="J166" i="2"/>
  <c r="J1029" i="2"/>
  <c r="J167" i="2"/>
  <c r="J601" i="2"/>
  <c r="J1245" i="2"/>
  <c r="J398" i="2"/>
  <c r="J602" i="2"/>
  <c r="J1030" i="2"/>
  <c r="J1246" i="2"/>
  <c r="J1247" i="2"/>
  <c r="J820" i="2"/>
  <c r="J1031" i="2"/>
  <c r="J1032" i="2"/>
  <c r="J168" i="2"/>
  <c r="J603" i="2"/>
  <c r="J399" i="2"/>
  <c r="J1248" i="2"/>
  <c r="J1033" i="2"/>
  <c r="J604" i="2"/>
  <c r="J1249" i="2"/>
  <c r="J605" i="2"/>
  <c r="J1034" i="2"/>
  <c r="J400" i="2"/>
  <c r="J606" i="2"/>
  <c r="J169" i="2"/>
  <c r="J170" i="2"/>
  <c r="J171" i="2"/>
  <c r="J821" i="2"/>
  <c r="J172" i="2"/>
  <c r="J607" i="2"/>
  <c r="J401" i="2"/>
  <c r="J1035" i="2"/>
  <c r="J822" i="2"/>
  <c r="J173" i="2"/>
  <c r="J608" i="2"/>
  <c r="J1036" i="2"/>
  <c r="J823" i="2"/>
  <c r="J824" i="2"/>
  <c r="J402" i="2"/>
  <c r="J1037" i="2"/>
  <c r="J1250" i="2"/>
  <c r="J174" i="2"/>
  <c r="J1038" i="2"/>
  <c r="J403" i="2"/>
  <c r="J609" i="2"/>
  <c r="J404" i="2"/>
  <c r="J825" i="2"/>
  <c r="J175" i="2"/>
  <c r="J1251" i="2"/>
  <c r="J176" i="2"/>
  <c r="J826" i="2"/>
  <c r="J177" i="2"/>
  <c r="J610" i="2"/>
  <c r="J1039" i="2"/>
  <c r="J827" i="2"/>
  <c r="J828" i="2"/>
  <c r="J1252" i="2"/>
  <c r="J611" i="2"/>
  <c r="J178" i="2"/>
  <c r="J1253" i="2"/>
  <c r="J612" i="2"/>
  <c r="J179" i="2"/>
  <c r="J1254" i="2"/>
  <c r="J613" i="2"/>
  <c r="J405" i="2"/>
  <c r="J1255" i="2"/>
  <c r="J406" i="2"/>
  <c r="J180" i="2"/>
  <c r="J829" i="2"/>
  <c r="J407" i="2"/>
  <c r="J1256" i="2"/>
  <c r="J1040" i="2"/>
  <c r="J408" i="2"/>
  <c r="J181" i="2"/>
  <c r="J182" i="2"/>
  <c r="J830" i="2"/>
  <c r="J183" i="2"/>
  <c r="J1257" i="2"/>
  <c r="J184" i="2"/>
  <c r="J614" i="2"/>
  <c r="J185" i="2"/>
  <c r="J831" i="2"/>
  <c r="J186" i="2"/>
  <c r="J409" i="2"/>
  <c r="J1041" i="2"/>
  <c r="J187" i="2"/>
  <c r="J615" i="2"/>
  <c r="J410" i="2"/>
  <c r="J1258" i="2"/>
  <c r="J188" i="2"/>
  <c r="J616" i="2"/>
  <c r="J832" i="2"/>
  <c r="J189" i="2"/>
  <c r="J617" i="2"/>
  <c r="J618" i="2"/>
  <c r="J619" i="2"/>
  <c r="J411" i="2"/>
  <c r="J620" i="2"/>
  <c r="J190" i="2"/>
  <c r="J1259" i="2"/>
  <c r="J1260" i="2"/>
  <c r="J1261" i="2"/>
  <c r="J1042" i="2"/>
  <c r="J191" i="2"/>
  <c r="J833" i="2"/>
  <c r="J1262" i="2"/>
  <c r="J621" i="2"/>
  <c r="J192" i="2"/>
  <c r="J834" i="2"/>
  <c r="J1043" i="2"/>
  <c r="J193" i="2"/>
  <c r="J622" i="2"/>
  <c r="J835" i="2"/>
  <c r="J623" i="2"/>
  <c r="J1044" i="2"/>
  <c r="J1263" i="2"/>
  <c r="J624" i="2"/>
  <c r="J625" i="2"/>
  <c r="J626" i="2"/>
  <c r="J1045" i="2"/>
  <c r="J627" i="2"/>
  <c r="J194" i="2"/>
  <c r="J1264" i="2"/>
  <c r="J1265" i="2"/>
  <c r="J412" i="2"/>
  <c r="J1266" i="2"/>
  <c r="J628" i="2"/>
  <c r="J195" i="2"/>
  <c r="J1046" i="2"/>
  <c r="J836" i="2"/>
  <c r="J196" i="2"/>
  <c r="J1267" i="2"/>
  <c r="J629" i="2"/>
  <c r="J837" i="2"/>
  <c r="J197" i="2"/>
  <c r="J413" i="2"/>
  <c r="J1268" i="2"/>
  <c r="J198" i="2"/>
  <c r="J414" i="2"/>
  <c r="J838" i="2"/>
  <c r="J1269" i="2"/>
  <c r="J1047" i="2"/>
  <c r="J415" i="2"/>
  <c r="J839" i="2"/>
  <c r="J416" i="2"/>
  <c r="J417" i="2"/>
  <c r="J418" i="2"/>
  <c r="J419" i="2"/>
  <c r="J1270" i="2"/>
  <c r="J1048" i="2"/>
  <c r="J1271" i="2"/>
  <c r="J1272" i="2"/>
  <c r="J1049" i="2"/>
  <c r="J1050" i="2"/>
  <c r="J1273" i="2"/>
  <c r="J1274" i="2"/>
  <c r="J199" i="2"/>
  <c r="J1051" i="2"/>
  <c r="J630" i="2"/>
  <c r="J631" i="2"/>
  <c r="J840" i="2"/>
  <c r="J632" i="2"/>
  <c r="J420" i="2"/>
  <c r="J841" i="2"/>
  <c r="J1275" i="2"/>
  <c r="J1276" i="2"/>
  <c r="J1052" i="2"/>
  <c r="J200" i="2"/>
  <c r="J1053" i="2"/>
  <c r="J201" i="2"/>
  <c r="J842" i="2"/>
  <c r="J843" i="2"/>
  <c r="J844" i="2"/>
  <c r="J845" i="2"/>
  <c r="J1054" i="2"/>
  <c r="J1055" i="2"/>
  <c r="J633" i="2"/>
  <c r="J421" i="2"/>
  <c r="J202" i="2"/>
  <c r="J422" i="2"/>
  <c r="J1056" i="2"/>
  <c r="J203" i="2"/>
  <c r="J1057" i="2"/>
  <c r="J846" i="2"/>
  <c r="J204" i="2"/>
  <c r="J634" i="2"/>
  <c r="J635" i="2"/>
  <c r="J1277" i="2"/>
  <c r="J1058" i="2"/>
  <c r="J636" i="2"/>
  <c r="J637" i="2"/>
  <c r="J638" i="2"/>
  <c r="J847" i="2"/>
  <c r="J1059" i="2"/>
  <c r="J423" i="2"/>
  <c r="J1278" i="2"/>
  <c r="J1279" i="2"/>
  <c r="J848" i="2"/>
  <c r="J205" i="2"/>
  <c r="J424" i="2"/>
  <c r="J1060" i="2"/>
  <c r="J206" i="2"/>
  <c r="J639" i="2"/>
  <c r="J1061" i="2"/>
  <c r="J425" i="2"/>
  <c r="J1062" i="2"/>
  <c r="J1280" i="2"/>
  <c r="J849" i="2"/>
  <c r="J1063" i="2"/>
  <c r="J1281" i="2"/>
  <c r="J207" i="2"/>
  <c r="J640" i="2"/>
  <c r="J641" i="2"/>
  <c r="J1064" i="2"/>
  <c r="J208" i="2"/>
  <c r="J209" i="2"/>
  <c r="J850" i="2"/>
  <c r="J1065" i="2"/>
  <c r="J426" i="2"/>
  <c r="J1066" i="2"/>
  <c r="J1067" i="2"/>
  <c r="J1068" i="2"/>
  <c r="J427" i="2"/>
  <c r="J851" i="2"/>
  <c r="J1282" i="2"/>
  <c r="J852" i="2"/>
  <c r="J1069" i="2"/>
  <c r="J1283" i="2"/>
  <c r="J1284" i="2"/>
  <c r="J642" i="2"/>
  <c r="J210" i="2"/>
  <c r="J211" i="2"/>
  <c r="J853" i="2"/>
  <c r="J212" i="2"/>
  <c r="J854" i="2"/>
  <c r="J855" i="2"/>
  <c r="J213" i="2"/>
  <c r="J1285" i="2"/>
  <c r="J1070" i="2"/>
  <c r="J643" i="2"/>
  <c r="J214" i="2"/>
  <c r="J428" i="2"/>
  <c r="J856" i="2"/>
  <c r="J857" i="2"/>
  <c r="J1071" i="2"/>
  <c r="J429" i="2"/>
  <c r="J215" i="2"/>
  <c r="AL42" i="6" l="1"/>
  <c r="AL41" i="6"/>
  <c r="AN35" i="6"/>
  <c r="AN34" i="6"/>
  <c r="AK38" i="6"/>
  <c r="AJ35" i="6"/>
  <c r="AJ34" i="6"/>
  <c r="AN24" i="6"/>
  <c r="AN42" i="6"/>
  <c r="AN48" i="6"/>
  <c r="AJ47" i="6"/>
  <c r="AL48" i="6"/>
  <c r="AL49" i="6"/>
  <c r="AM33" i="6"/>
  <c r="AM32" i="6"/>
  <c r="AJ30" i="6"/>
  <c r="AJ29" i="6"/>
  <c r="AN30" i="6"/>
  <c r="AN29" i="6"/>
  <c r="AM45" i="6"/>
  <c r="AL34" i="6"/>
  <c r="AM28" i="6"/>
  <c r="AM26" i="6"/>
  <c r="AK29" i="6"/>
  <c r="AJ42" i="6"/>
  <c r="AM40" i="6"/>
  <c r="AM39" i="6"/>
  <c r="AM38" i="6"/>
  <c r="AM41" i="6"/>
  <c r="AI28" i="6"/>
  <c r="AI30" i="6"/>
  <c r="AI29" i="6"/>
  <c r="AI23" i="6"/>
  <c r="AI24" i="6"/>
  <c r="AM22" i="6"/>
  <c r="AM20" i="6"/>
  <c r="AM21" i="6"/>
  <c r="AM23" i="6"/>
  <c r="AK46" i="6"/>
  <c r="AK45" i="6"/>
  <c r="AK48" i="6"/>
  <c r="M1299" i="2"/>
  <c r="M1300" i="2"/>
  <c r="L1300" i="2"/>
  <c r="L1299" i="2"/>
  <c r="L1302" i="2"/>
  <c r="L1298" i="2"/>
  <c r="M1302" i="2"/>
  <c r="L1303" i="2"/>
  <c r="L1301" i="2"/>
  <c r="M1301" i="2"/>
  <c r="M1303" i="2"/>
  <c r="L1304" i="2"/>
  <c r="M1304" i="2"/>
  <c r="M1298" i="2"/>
  <c r="AI15" i="6"/>
  <c r="AI39" i="6"/>
  <c r="AI38" i="6"/>
  <c r="AI41" i="6"/>
  <c r="AL30" i="6"/>
  <c r="AL29" i="6"/>
  <c r="AL31" i="6"/>
  <c r="AL28" i="6"/>
  <c r="AI18" i="6"/>
  <c r="AI16" i="6"/>
  <c r="AI17" i="6"/>
  <c r="AI19" i="6"/>
  <c r="AL36" i="6"/>
  <c r="AO46" i="6"/>
  <c r="AR46" i="6" s="1"/>
  <c r="AO45" i="6"/>
  <c r="AR45" i="6" s="1"/>
  <c r="AO48" i="6"/>
  <c r="AR48" i="6" s="1"/>
  <c r="AO44" i="6"/>
  <c r="AR44" i="6" s="1"/>
  <c r="AO49" i="6"/>
  <c r="AR49" i="6" s="1"/>
  <c r="AO47" i="6"/>
  <c r="AR47" i="6" s="1"/>
  <c r="AO35" i="6"/>
  <c r="AR35" i="6" s="1"/>
  <c r="AO37" i="6"/>
  <c r="AR37" i="6" s="1"/>
  <c r="AO34" i="6"/>
  <c r="AR34" i="6" s="1"/>
  <c r="AO33" i="6"/>
  <c r="AR33" i="6" s="1"/>
  <c r="AO32" i="6"/>
  <c r="AR32" i="6" s="1"/>
  <c r="AO36" i="6"/>
  <c r="AR36" i="6" s="1"/>
  <c r="AO41" i="6"/>
  <c r="AR41" i="6" s="1"/>
  <c r="AO39" i="6"/>
  <c r="AR39" i="6" s="1"/>
  <c r="AO38" i="6"/>
  <c r="AR38" i="6" s="1"/>
  <c r="AO42" i="6"/>
  <c r="AR42" i="6" s="1"/>
  <c r="AO40" i="6"/>
  <c r="AR40" i="6" s="1"/>
  <c r="AO43" i="6"/>
  <c r="AR43" i="6" s="1"/>
  <c r="AI14" i="6"/>
  <c r="A215" i="2"/>
  <c r="A856" i="2"/>
  <c r="A1070" i="2"/>
  <c r="A854" i="2"/>
  <c r="A210" i="2"/>
  <c r="A1069" i="2"/>
  <c r="A427" i="2"/>
  <c r="A426" i="2"/>
  <c r="A208" i="2"/>
  <c r="A207" i="2"/>
  <c r="A1280" i="2"/>
  <c r="A639" i="2"/>
  <c r="A205" i="2"/>
  <c r="A423" i="2"/>
  <c r="A637" i="2"/>
  <c r="A635" i="2"/>
  <c r="A1057" i="2"/>
  <c r="A202" i="2"/>
  <c r="A1054" i="2"/>
  <c r="A842" i="2"/>
  <c r="A1052" i="2"/>
  <c r="A420" i="2"/>
  <c r="A630" i="2"/>
  <c r="A1273" i="2"/>
  <c r="A1271" i="2"/>
  <c r="A418" i="2"/>
  <c r="A415" i="2"/>
  <c r="A414" i="2"/>
  <c r="A197" i="2"/>
  <c r="A196" i="2"/>
  <c r="A628" i="2"/>
  <c r="A1264" i="2"/>
  <c r="A626" i="2"/>
  <c r="A1044" i="2"/>
  <c r="A193" i="2"/>
  <c r="A621" i="2"/>
  <c r="A1042" i="2"/>
  <c r="A190" i="2"/>
  <c r="A618" i="2"/>
  <c r="A616" i="2"/>
  <c r="A615" i="2"/>
  <c r="A186" i="2"/>
  <c r="A184" i="2"/>
  <c r="A182" i="2"/>
  <c r="A1256" i="2"/>
  <c r="A406" i="2"/>
  <c r="A1254" i="2"/>
  <c r="A178" i="2"/>
  <c r="A827" i="2"/>
  <c r="A826" i="2"/>
  <c r="A825" i="2"/>
  <c r="A1038" i="2"/>
  <c r="A402" i="2"/>
  <c r="A608" i="2"/>
  <c r="A401" i="2"/>
  <c r="A171" i="2"/>
  <c r="A400" i="2"/>
  <c r="A604" i="2"/>
  <c r="A603" i="2"/>
  <c r="A820" i="2"/>
  <c r="A602" i="2"/>
  <c r="A167" i="2"/>
  <c r="A1028" i="2"/>
  <c r="A164" i="2"/>
  <c r="A1243" i="2"/>
  <c r="A162" i="2"/>
  <c r="A159" i="2"/>
  <c r="A598" i="2"/>
  <c r="A596" i="2"/>
  <c r="A595" i="2"/>
  <c r="A392" i="2"/>
  <c r="A1241" i="2"/>
  <c r="A1239" i="2"/>
  <c r="A593" i="2"/>
  <c r="A1237" i="2"/>
  <c r="A1235" i="2"/>
  <c r="A1234" i="2"/>
  <c r="A1017" i="2"/>
  <c r="A812" i="2"/>
  <c r="A1230" i="2"/>
  <c r="A429" i="2"/>
  <c r="A428" i="2"/>
  <c r="A1285" i="2"/>
  <c r="A212" i="2"/>
  <c r="A642" i="2"/>
  <c r="A852" i="2"/>
  <c r="A1068" i="2"/>
  <c r="A1065" i="2"/>
  <c r="A1064" i="2"/>
  <c r="A1281" i="2"/>
  <c r="A1062" i="2"/>
  <c r="A206" i="2"/>
  <c r="A848" i="2"/>
  <c r="A1059" i="2"/>
  <c r="A636" i="2"/>
  <c r="A634" i="2"/>
  <c r="A203" i="2"/>
  <c r="A421" i="2"/>
  <c r="A845" i="2"/>
  <c r="A201" i="2"/>
  <c r="A1276" i="2"/>
  <c r="A632" i="2"/>
  <c r="A1051" i="2"/>
  <c r="A1050" i="2"/>
  <c r="A1048" i="2"/>
  <c r="A417" i="2"/>
  <c r="A1047" i="2"/>
  <c r="A198" i="2"/>
  <c r="A837" i="2"/>
  <c r="A836" i="2"/>
  <c r="A1266" i="2"/>
  <c r="A194" i="2"/>
  <c r="A625" i="2"/>
  <c r="A623" i="2"/>
  <c r="A1043" i="2"/>
  <c r="A1262" i="2"/>
  <c r="A1261" i="2"/>
  <c r="A620" i="2"/>
  <c r="A617" i="2"/>
  <c r="A188" i="2"/>
  <c r="A187" i="2"/>
  <c r="A831" i="2"/>
  <c r="A1257" i="2"/>
  <c r="A181" i="2"/>
  <c r="A407" i="2"/>
  <c r="A1255" i="2"/>
  <c r="A179" i="2"/>
  <c r="A611" i="2"/>
  <c r="A1039" i="2"/>
  <c r="A176" i="2"/>
  <c r="A404" i="2"/>
  <c r="A174" i="2"/>
  <c r="A824" i="2"/>
  <c r="A173" i="2"/>
  <c r="A607" i="2"/>
  <c r="A170" i="2"/>
  <c r="A1034" i="2"/>
  <c r="A1033" i="2"/>
  <c r="A168" i="2"/>
  <c r="A1247" i="2"/>
  <c r="A398" i="2"/>
  <c r="A1029" i="2"/>
  <c r="A165" i="2"/>
  <c r="A600" i="2"/>
  <c r="A1026" i="2"/>
  <c r="A161" i="2"/>
  <c r="A819" i="2"/>
  <c r="A1242" i="2"/>
  <c r="A157" i="2"/>
  <c r="A1022" i="2"/>
  <c r="A155" i="2"/>
  <c r="A1240" i="2"/>
  <c r="A389" i="2"/>
  <c r="A592" i="2"/>
  <c r="A1236" i="2"/>
  <c r="A1020" i="2"/>
  <c r="A1233" i="2"/>
  <c r="A814" i="2"/>
  <c r="A387" i="2"/>
  <c r="A811" i="2"/>
  <c r="A385" i="2"/>
  <c r="A591" i="2"/>
  <c r="A381" i="2"/>
  <c r="A809" i="2"/>
  <c r="A380" i="2"/>
  <c r="A1227" i="2"/>
  <c r="A147" i="2"/>
  <c r="A1226" i="2"/>
  <c r="A1225" i="2"/>
  <c r="A1010" i="2"/>
  <c r="A805" i="2"/>
  <c r="A1007" i="2"/>
  <c r="A375" i="2"/>
  <c r="A372" i="2"/>
  <c r="A582" i="2"/>
  <c r="A1071" i="2"/>
  <c r="A214" i="2"/>
  <c r="A213" i="2"/>
  <c r="A853" i="2"/>
  <c r="A1284" i="2"/>
  <c r="A1282" i="2"/>
  <c r="A1067" i="2"/>
  <c r="A850" i="2"/>
  <c r="A641" i="2"/>
  <c r="A1063" i="2"/>
  <c r="A425" i="2"/>
  <c r="A1060" i="2"/>
  <c r="A1279" i="2"/>
  <c r="A847" i="2"/>
  <c r="A1058" i="2"/>
  <c r="A204" i="2"/>
  <c r="A1056" i="2"/>
  <c r="A633" i="2"/>
  <c r="A844" i="2"/>
  <c r="A1053" i="2"/>
  <c r="A1275" i="2"/>
  <c r="A840" i="2"/>
  <c r="A199" i="2"/>
  <c r="A1049" i="2"/>
  <c r="A1270" i="2"/>
  <c r="A416" i="2"/>
  <c r="A1269" i="2"/>
  <c r="A1268" i="2"/>
  <c r="A629" i="2"/>
  <c r="A1046" i="2"/>
  <c r="A412" i="2"/>
  <c r="A627" i="2"/>
  <c r="A624" i="2"/>
  <c r="A835" i="2"/>
  <c r="A834" i="2"/>
  <c r="A833" i="2"/>
  <c r="A1260" i="2"/>
  <c r="A411" i="2"/>
  <c r="A189" i="2"/>
  <c r="A1258" i="2"/>
  <c r="A1041" i="2"/>
  <c r="A185" i="2"/>
  <c r="A183" i="2"/>
  <c r="A408" i="2"/>
  <c r="A829" i="2"/>
  <c r="A405" i="2"/>
  <c r="A612" i="2"/>
  <c r="A1252" i="2"/>
  <c r="A610" i="2"/>
  <c r="A1251" i="2"/>
  <c r="A609" i="2"/>
  <c r="A1250" i="2"/>
  <c r="A823" i="2"/>
  <c r="A822" i="2"/>
  <c r="A172" i="2"/>
  <c r="A169" i="2"/>
  <c r="A605" i="2"/>
  <c r="A1248" i="2"/>
  <c r="A1032" i="2"/>
  <c r="A1246" i="2"/>
  <c r="A1245" i="2"/>
  <c r="A166" i="2"/>
  <c r="A1244" i="2"/>
  <c r="A163" i="2"/>
  <c r="A395" i="2"/>
  <c r="A1025" i="2"/>
  <c r="A158" i="2"/>
  <c r="A597" i="2"/>
  <c r="A818" i="2"/>
  <c r="A394" i="2"/>
  <c r="A391" i="2"/>
  <c r="A594" i="2"/>
  <c r="A1021" i="2"/>
  <c r="A154" i="2"/>
  <c r="A815" i="2"/>
  <c r="A1019" i="2"/>
  <c r="A1232" i="2"/>
  <c r="A152" i="2"/>
  <c r="A386" i="2"/>
  <c r="A1229" i="2"/>
  <c r="A384" i="2"/>
  <c r="A590" i="2"/>
  <c r="A151" i="2"/>
  <c r="A808" i="2"/>
  <c r="A150" i="2"/>
  <c r="A148" i="2"/>
  <c r="A146" i="2"/>
  <c r="A585" i="2"/>
  <c r="A1012" i="2"/>
  <c r="A376" i="2"/>
  <c r="A857" i="2"/>
  <c r="A643" i="2"/>
  <c r="A855" i="2"/>
  <c r="A211" i="2"/>
  <c r="A1283" i="2"/>
  <c r="A851" i="2"/>
  <c r="A1066" i="2"/>
  <c r="A209" i="2"/>
  <c r="A640" i="2"/>
  <c r="A849" i="2"/>
  <c r="A1061" i="2"/>
  <c r="A424" i="2"/>
  <c r="A1278" i="2"/>
  <c r="A638" i="2"/>
  <c r="A1277" i="2"/>
  <c r="A846" i="2"/>
  <c r="A422" i="2"/>
  <c r="A1055" i="2"/>
  <c r="A843" i="2"/>
  <c r="A200" i="2"/>
  <c r="A841" i="2"/>
  <c r="A631" i="2"/>
  <c r="A1274" i="2"/>
  <c r="A1272" i="2"/>
  <c r="A419" i="2"/>
  <c r="A839" i="2"/>
  <c r="A838" i="2"/>
  <c r="A413" i="2"/>
  <c r="A1267" i="2"/>
  <c r="A195" i="2"/>
  <c r="A1265" i="2"/>
  <c r="A1045" i="2"/>
  <c r="A1263" i="2"/>
  <c r="A622" i="2"/>
  <c r="A192" i="2"/>
  <c r="A191" i="2"/>
  <c r="A1259" i="2"/>
  <c r="A619" i="2"/>
  <c r="A832" i="2"/>
  <c r="A410" i="2"/>
  <c r="A409" i="2"/>
  <c r="A614" i="2"/>
  <c r="A830" i="2"/>
  <c r="A1040" i="2"/>
  <c r="A180" i="2"/>
  <c r="A613" i="2"/>
  <c r="A1253" i="2"/>
  <c r="A828" i="2"/>
  <c r="A177" i="2"/>
  <c r="A175" i="2"/>
  <c r="A403" i="2"/>
  <c r="A1037" i="2"/>
  <c r="A1036" i="2"/>
  <c r="A1035" i="2"/>
  <c r="A821" i="2"/>
  <c r="A606" i="2"/>
  <c r="A1249" i="2"/>
  <c r="A399" i="2"/>
  <c r="A1031" i="2"/>
  <c r="A1030" i="2"/>
  <c r="A601" i="2"/>
  <c r="A397" i="2"/>
  <c r="A1027" i="2"/>
  <c r="A396" i="2"/>
  <c r="A599" i="2"/>
  <c r="A160" i="2"/>
  <c r="A1024" i="2"/>
  <c r="A1023" i="2"/>
  <c r="A156" i="2"/>
  <c r="A393" i="2"/>
  <c r="A390" i="2"/>
  <c r="A817" i="2"/>
  <c r="A816" i="2"/>
  <c r="A1238" i="2"/>
  <c r="A153" i="2"/>
  <c r="A1018" i="2"/>
  <c r="A388" i="2"/>
  <c r="A813" i="2"/>
  <c r="A1231" i="2"/>
  <c r="A1016" i="2"/>
  <c r="A383" i="2"/>
  <c r="A382" i="2"/>
  <c r="A1228" i="2"/>
  <c r="A587" i="2"/>
  <c r="A149" i="2"/>
  <c r="A810" i="2"/>
  <c r="A1015" i="2"/>
  <c r="A589" i="2"/>
  <c r="A588" i="2"/>
  <c r="A807" i="2"/>
  <c r="A1014" i="2"/>
  <c r="A1013" i="2"/>
  <c r="A586" i="2"/>
  <c r="A806" i="2"/>
  <c r="A377" i="2"/>
  <c r="A584" i="2"/>
  <c r="A144" i="2"/>
  <c r="A583" i="2"/>
  <c r="A373" i="2"/>
  <c r="A803" i="2"/>
  <c r="A143" i="2"/>
  <c r="A370" i="2"/>
  <c r="A800" i="2"/>
  <c r="A1221" i="2"/>
  <c r="A581" i="2"/>
  <c r="A139" i="2"/>
  <c r="A1217" i="2"/>
  <c r="A798" i="2"/>
  <c r="A1000" i="2"/>
  <c r="A362" i="2"/>
  <c r="A999" i="2"/>
  <c r="A1214" i="2"/>
  <c r="A997" i="2"/>
  <c r="A573" i="2"/>
  <c r="A995" i="2"/>
  <c r="A994" i="2"/>
  <c r="A356" i="2"/>
  <c r="A992" i="2"/>
  <c r="A792" i="2"/>
  <c r="A988" i="2"/>
  <c r="A570" i="2"/>
  <c r="A789" i="2"/>
  <c r="A132" i="2"/>
  <c r="A786" i="2"/>
  <c r="A985" i="2"/>
  <c r="A131" i="2"/>
  <c r="A783" i="2"/>
  <c r="A983" i="2"/>
  <c r="A563" i="2"/>
  <c r="A351" i="2"/>
  <c r="A350" i="2"/>
  <c r="A981" i="2"/>
  <c r="A781" i="2"/>
  <c r="A980" i="2"/>
  <c r="A979" i="2"/>
  <c r="A1195" i="2"/>
  <c r="A1194" i="2"/>
  <c r="A1193" i="2"/>
  <c r="A346" i="2"/>
  <c r="A1191" i="2"/>
  <c r="A774" i="2"/>
  <c r="A1188" i="2"/>
  <c r="A343" i="2"/>
  <c r="A772" i="2"/>
  <c r="A1186" i="2"/>
  <c r="A771" i="2"/>
  <c r="A117" i="2"/>
  <c r="A339" i="2"/>
  <c r="A552" i="2"/>
  <c r="A969" i="2"/>
  <c r="A337" i="2"/>
  <c r="A769" i="2"/>
  <c r="A767" i="2"/>
  <c r="A766" i="2"/>
  <c r="A547" i="2"/>
  <c r="A111" i="2"/>
  <c r="A110" i="2"/>
  <c r="A332" i="2"/>
  <c r="A762" i="2"/>
  <c r="A108" i="2"/>
  <c r="A1180" i="2"/>
  <c r="A541" i="2"/>
  <c r="A328" i="2"/>
  <c r="A759" i="2"/>
  <c r="A107" i="2"/>
  <c r="A758" i="2"/>
  <c r="A324" i="2"/>
  <c r="A756" i="2"/>
  <c r="A535" i="2"/>
  <c r="A321" i="2"/>
  <c r="A319" i="2"/>
  <c r="A752" i="2"/>
  <c r="A750" i="2"/>
  <c r="A957" i="2"/>
  <c r="A100" i="2"/>
  <c r="A1173" i="2"/>
  <c r="A1172" i="2"/>
  <c r="A99" i="2"/>
  <c r="A528" i="2"/>
  <c r="A747" i="2"/>
  <c r="A97" i="2"/>
  <c r="A96" i="2"/>
  <c r="A745" i="2"/>
  <c r="A94" i="2"/>
  <c r="A945" i="2"/>
  <c r="A1166" i="2"/>
  <c r="A943" i="2"/>
  <c r="A89" i="2"/>
  <c r="A1164" i="2"/>
  <c r="A310" i="2"/>
  <c r="A87" i="2"/>
  <c r="A1161" i="2"/>
  <c r="A85" i="2"/>
  <c r="A84" i="2"/>
  <c r="A1159" i="2"/>
  <c r="A517" i="2"/>
  <c r="A740" i="2"/>
  <c r="A1154" i="2"/>
  <c r="A516" i="2"/>
  <c r="A80" i="2"/>
  <c r="A737" i="2"/>
  <c r="A78" i="2"/>
  <c r="A734" i="2"/>
  <c r="A1151" i="2"/>
  <c r="A514" i="2"/>
  <c r="A74" i="2"/>
  <c r="A932" i="2"/>
  <c r="A303" i="2"/>
  <c r="A726" i="2"/>
  <c r="A930" i="2"/>
  <c r="A302" i="2"/>
  <c r="A69" i="2"/>
  <c r="A68" i="2"/>
  <c r="A299" i="2"/>
  <c r="A722" i="2"/>
  <c r="A297" i="2"/>
  <c r="A927" i="2"/>
  <c r="A67" i="2"/>
  <c r="A293" i="2"/>
  <c r="A291" i="2"/>
  <c r="A505" i="2"/>
  <c r="A1139" i="2"/>
  <c r="A923" i="2"/>
  <c r="A1138" i="2"/>
  <c r="A288" i="2"/>
  <c r="A1137" i="2"/>
  <c r="A921" i="2"/>
  <c r="A284" i="2"/>
  <c r="A281" i="2"/>
  <c r="A712" i="2"/>
  <c r="A279" i="2"/>
  <c r="A495" i="2"/>
  <c r="A917" i="2"/>
  <c r="A59" i="2"/>
  <c r="A710" i="2"/>
  <c r="A709" i="2"/>
  <c r="A57" i="2"/>
  <c r="A489" i="2"/>
  <c r="A275" i="2"/>
  <c r="A273" i="2"/>
  <c r="A272" i="2"/>
  <c r="A1129" i="2"/>
  <c r="A1128" i="2"/>
  <c r="A1127" i="2"/>
  <c r="A487" i="2"/>
  <c r="A906" i="2"/>
  <c r="A268" i="2"/>
  <c r="A486" i="2"/>
  <c r="A52" i="2"/>
  <c r="A701" i="2"/>
  <c r="A903" i="2"/>
  <c r="A50" i="2"/>
  <c r="A483" i="2"/>
  <c r="A481" i="2"/>
  <c r="A260" i="2"/>
  <c r="A371" i="2"/>
  <c r="A801" i="2"/>
  <c r="A368" i="2"/>
  <c r="A366" i="2"/>
  <c r="A1219" i="2"/>
  <c r="A1002" i="2"/>
  <c r="A364" i="2"/>
  <c r="A363" i="2"/>
  <c r="A578" i="2"/>
  <c r="A577" i="2"/>
  <c r="A796" i="2"/>
  <c r="A998" i="2"/>
  <c r="A996" i="2"/>
  <c r="A795" i="2"/>
  <c r="A1212" i="2"/>
  <c r="A1211" i="2"/>
  <c r="A134" i="2"/>
  <c r="A354" i="2"/>
  <c r="A133" i="2"/>
  <c r="A1209" i="2"/>
  <c r="A353" i="2"/>
  <c r="A569" i="2"/>
  <c r="A986" i="2"/>
  <c r="A1207" i="2"/>
  <c r="A1205" i="2"/>
  <c r="A352" i="2"/>
  <c r="A566" i="2"/>
  <c r="A782" i="2"/>
  <c r="A1203" i="2"/>
  <c r="A1200" i="2"/>
  <c r="A562" i="2"/>
  <c r="A1198" i="2"/>
  <c r="A560" i="2"/>
  <c r="A780" i="2"/>
  <c r="A978" i="2"/>
  <c r="A347" i="2"/>
  <c r="A124" i="2"/>
  <c r="A777" i="2"/>
  <c r="A1192" i="2"/>
  <c r="A1190" i="2"/>
  <c r="A122" i="2"/>
  <c r="A120" i="2"/>
  <c r="A976" i="2"/>
  <c r="A554" i="2"/>
  <c r="A974" i="2"/>
  <c r="A973" i="2"/>
  <c r="A972" i="2"/>
  <c r="A1184" i="2"/>
  <c r="A551" i="2"/>
  <c r="A550" i="2"/>
  <c r="A549" i="2"/>
  <c r="A336" i="2"/>
  <c r="A548" i="2"/>
  <c r="A113" i="2"/>
  <c r="A335" i="2"/>
  <c r="A546" i="2"/>
  <c r="A544" i="2"/>
  <c r="A764" i="2"/>
  <c r="A331" i="2"/>
  <c r="A1181" i="2"/>
  <c r="A964" i="2"/>
  <c r="A1179" i="2"/>
  <c r="A961" i="2"/>
  <c r="A326" i="2"/>
  <c r="A960" i="2"/>
  <c r="A536" i="2"/>
  <c r="A323" i="2"/>
  <c r="A103" i="2"/>
  <c r="A755" i="2"/>
  <c r="A754" i="2"/>
  <c r="A533" i="2"/>
  <c r="A751" i="2"/>
  <c r="A1174" i="2"/>
  <c r="A956" i="2"/>
  <c r="A532" i="2"/>
  <c r="A531" i="2"/>
  <c r="A530" i="2"/>
  <c r="A1171" i="2"/>
  <c r="A98" i="2"/>
  <c r="A950" i="2"/>
  <c r="A527" i="2"/>
  <c r="A314" i="2"/>
  <c r="A95" i="2"/>
  <c r="A93" i="2"/>
  <c r="A524" i="2"/>
  <c r="A92" i="2"/>
  <c r="A1165" i="2"/>
  <c r="A942" i="2"/>
  <c r="A88" i="2"/>
  <c r="A1163" i="2"/>
  <c r="A940" i="2"/>
  <c r="A1160" i="2"/>
  <c r="A742" i="2"/>
  <c r="A519" i="2"/>
  <c r="A518" i="2"/>
  <c r="A936" i="2"/>
  <c r="A739" i="2"/>
  <c r="A82" i="2"/>
  <c r="A1153" i="2"/>
  <c r="A306" i="2"/>
  <c r="A305" i="2"/>
  <c r="A77" i="2"/>
  <c r="A75" i="2"/>
  <c r="A732" i="2"/>
  <c r="A729" i="2"/>
  <c r="A933" i="2"/>
  <c r="A511" i="2"/>
  <c r="A931" i="2"/>
  <c r="A1149" i="2"/>
  <c r="A1147" i="2"/>
  <c r="A301" i="2"/>
  <c r="A509" i="2"/>
  <c r="A724" i="2"/>
  <c r="A1145" i="2"/>
  <c r="A298" i="2"/>
  <c r="A296" i="2"/>
  <c r="A295" i="2"/>
  <c r="A719" i="2"/>
  <c r="A1141" i="2"/>
  <c r="A290" i="2"/>
  <c r="A504" i="2"/>
  <c r="A924" i="2"/>
  <c r="A715" i="2"/>
  <c r="A502" i="2"/>
  <c r="A714" i="2"/>
  <c r="A286" i="2"/>
  <c r="A285" i="2"/>
  <c r="A63" i="2"/>
  <c r="A498" i="2"/>
  <c r="A62" i="2"/>
  <c r="A61" i="2"/>
  <c r="A918" i="2"/>
  <c r="A1134" i="2"/>
  <c r="A711" i="2"/>
  <c r="A276" i="2"/>
  <c r="A708" i="2"/>
  <c r="A490" i="2"/>
  <c r="A915" i="2"/>
  <c r="A1131" i="2"/>
  <c r="A912" i="2"/>
  <c r="A55" i="2"/>
  <c r="A911" i="2"/>
  <c r="A910" i="2"/>
  <c r="A1126" i="2"/>
  <c r="A1125" i="2"/>
  <c r="A703" i="2"/>
  <c r="A1008" i="2"/>
  <c r="A1224" i="2"/>
  <c r="A1005" i="2"/>
  <c r="A1004" i="2"/>
  <c r="A1222" i="2"/>
  <c r="A1003" i="2"/>
  <c r="A369" i="2"/>
  <c r="A140" i="2"/>
  <c r="A365" i="2"/>
  <c r="A1218" i="2"/>
  <c r="A580" i="2"/>
  <c r="A138" i="2"/>
  <c r="A136" i="2"/>
  <c r="A797" i="2"/>
  <c r="A1216" i="2"/>
  <c r="A361" i="2"/>
  <c r="A575" i="2"/>
  <c r="A359" i="2"/>
  <c r="A358" i="2"/>
  <c r="A794" i="2"/>
  <c r="A993" i="2"/>
  <c r="A1210" i="2"/>
  <c r="A572" i="2"/>
  <c r="A990" i="2"/>
  <c r="A791" i="2"/>
  <c r="A790" i="2"/>
  <c r="A568" i="2"/>
  <c r="A1208" i="2"/>
  <c r="A1206" i="2"/>
  <c r="A984" i="2"/>
  <c r="A130" i="2"/>
  <c r="A129" i="2"/>
  <c r="A565" i="2"/>
  <c r="A1202" i="2"/>
  <c r="A982" i="2"/>
  <c r="A1199" i="2"/>
  <c r="A1197" i="2"/>
  <c r="A559" i="2"/>
  <c r="A349" i="2"/>
  <c r="A778" i="2"/>
  <c r="A126" i="2"/>
  <c r="A558" i="2"/>
  <c r="A556" i="2"/>
  <c r="A123" i="2"/>
  <c r="A555" i="2"/>
  <c r="A121" i="2"/>
  <c r="A344" i="2"/>
  <c r="A773" i="2"/>
  <c r="A1187" i="2"/>
  <c r="A118" i="2"/>
  <c r="A341" i="2"/>
  <c r="A340" i="2"/>
  <c r="A338" i="2"/>
  <c r="A971" i="2"/>
  <c r="A770" i="2"/>
  <c r="A968" i="2"/>
  <c r="A967" i="2"/>
  <c r="A1183" i="2"/>
  <c r="A1182" i="2"/>
  <c r="A765" i="2"/>
  <c r="A333" i="2"/>
  <c r="A965" i="2"/>
  <c r="A763" i="2"/>
  <c r="A761" i="2"/>
  <c r="A542" i="2"/>
  <c r="A963" i="2"/>
  <c r="A760" i="2"/>
  <c r="A539" i="2"/>
  <c r="A538" i="2"/>
  <c r="A537" i="2"/>
  <c r="A757" i="2"/>
  <c r="A105" i="2"/>
  <c r="A1177" i="2"/>
  <c r="A959" i="2"/>
  <c r="A320" i="2"/>
  <c r="A753" i="2"/>
  <c r="A101" i="2"/>
  <c r="A958" i="2"/>
  <c r="A318" i="2"/>
  <c r="A955" i="2"/>
  <c r="A748" i="2"/>
  <c r="A316" i="2"/>
  <c r="A315" i="2"/>
  <c r="A951" i="2"/>
  <c r="A949" i="2"/>
  <c r="A948" i="2"/>
  <c r="A946" i="2"/>
  <c r="A526" i="2"/>
  <c r="A1167" i="2"/>
  <c r="A313" i="2"/>
  <c r="A523" i="2"/>
  <c r="A91" i="2"/>
  <c r="A744" i="2"/>
  <c r="A522" i="2"/>
  <c r="A743" i="2"/>
  <c r="A1162" i="2"/>
  <c r="A86" i="2"/>
  <c r="A521" i="2"/>
  <c r="A741" i="2"/>
  <c r="A937" i="2"/>
  <c r="A1157" i="2"/>
  <c r="A1156" i="2"/>
  <c r="A738" i="2"/>
  <c r="A81" i="2"/>
  <c r="A1152" i="2"/>
  <c r="A304" i="2"/>
  <c r="A735" i="2"/>
  <c r="A733" i="2"/>
  <c r="A731" i="2"/>
  <c r="A513" i="2"/>
  <c r="A1150" i="2"/>
  <c r="A728" i="2"/>
  <c r="A727" i="2"/>
  <c r="A71" i="2"/>
  <c r="A510" i="2"/>
  <c r="A1146" i="2"/>
  <c r="A725" i="2"/>
  <c r="A723" i="2"/>
  <c r="A1144" i="2"/>
  <c r="A507" i="2"/>
  <c r="A721" i="2"/>
  <c r="A294" i="2"/>
  <c r="A925" i="2"/>
  <c r="A506" i="2"/>
  <c r="A718" i="2"/>
  <c r="A717" i="2"/>
  <c r="A503" i="2"/>
  <c r="A66" i="2"/>
  <c r="A501" i="2"/>
  <c r="A499" i="2"/>
  <c r="A64" i="2"/>
  <c r="A713" i="2"/>
  <c r="A283" i="2"/>
  <c r="A1135" i="2"/>
  <c r="A920" i="2"/>
  <c r="A496" i="2"/>
  <c r="A278" i="2"/>
  <c r="A1133" i="2"/>
  <c r="A277" i="2"/>
  <c r="A1132" i="2"/>
  <c r="A492" i="2"/>
  <c r="A56" i="2"/>
  <c r="A707" i="2"/>
  <c r="A274" i="2"/>
  <c r="A706" i="2"/>
  <c r="A1130" i="2"/>
  <c r="A54" i="2"/>
  <c r="A909" i="2"/>
  <c r="A908" i="2"/>
  <c r="A1124" i="2"/>
  <c r="A379" i="2"/>
  <c r="A378" i="2"/>
  <c r="A145" i="2"/>
  <c r="A1011" i="2"/>
  <c r="A1009" i="2"/>
  <c r="A804" i="2"/>
  <c r="A1006" i="2"/>
  <c r="A374" i="2"/>
  <c r="A1223" i="2"/>
  <c r="A802" i="2"/>
  <c r="A142" i="2"/>
  <c r="A141" i="2"/>
  <c r="A367" i="2"/>
  <c r="A1220" i="2"/>
  <c r="A799" i="2"/>
  <c r="A1001" i="2"/>
  <c r="A137" i="2"/>
  <c r="A579" i="2"/>
  <c r="A135" i="2"/>
  <c r="A576" i="2"/>
  <c r="A1215" i="2"/>
  <c r="A360" i="2"/>
  <c r="A574" i="2"/>
  <c r="A1213" i="2"/>
  <c r="A357" i="2"/>
  <c r="A793" i="2"/>
  <c r="A355" i="2"/>
  <c r="A991" i="2"/>
  <c r="A989" i="2"/>
  <c r="A571" i="2"/>
  <c r="A987" i="2"/>
  <c r="A788" i="2"/>
  <c r="A787" i="2"/>
  <c r="A785" i="2"/>
  <c r="A567" i="2"/>
  <c r="A784" i="2"/>
  <c r="A1204" i="2"/>
  <c r="A564" i="2"/>
  <c r="A1201" i="2"/>
  <c r="A128" i="2"/>
  <c r="A561" i="2"/>
  <c r="A127" i="2"/>
  <c r="A1196" i="2"/>
  <c r="A779" i="2"/>
  <c r="A348" i="2"/>
  <c r="A125" i="2"/>
  <c r="A557" i="2"/>
  <c r="A776" i="2"/>
  <c r="A775" i="2"/>
  <c r="A345" i="2"/>
  <c r="A1189" i="2"/>
  <c r="A977" i="2"/>
  <c r="A119" i="2"/>
  <c r="A975" i="2"/>
  <c r="A342" i="2"/>
  <c r="A1185" i="2"/>
  <c r="A116" i="2"/>
  <c r="A553" i="2"/>
  <c r="A970" i="2"/>
  <c r="A115" i="2"/>
  <c r="A114" i="2"/>
  <c r="A768" i="2"/>
  <c r="A966" i="2"/>
  <c r="A112" i="2"/>
  <c r="A334" i="2"/>
  <c r="A545" i="2"/>
  <c r="A543" i="2"/>
  <c r="A109" i="2"/>
  <c r="A330" i="2"/>
  <c r="A329" i="2"/>
  <c r="A962" i="2"/>
  <c r="A540" i="2"/>
  <c r="A327" i="2"/>
  <c r="A1178" i="2"/>
  <c r="A325" i="2"/>
  <c r="A106" i="2"/>
  <c r="A104" i="2"/>
  <c r="A1176" i="2"/>
  <c r="A322" i="2"/>
  <c r="A534" i="2"/>
  <c r="A102" i="2"/>
  <c r="A1175" i="2"/>
  <c r="A749" i="2"/>
  <c r="A317" i="2"/>
  <c r="A954" i="2"/>
  <c r="A953" i="2"/>
  <c r="A952" i="2"/>
  <c r="A529" i="2"/>
  <c r="A1170" i="2"/>
  <c r="A746" i="2"/>
  <c r="A947" i="2"/>
  <c r="A1169" i="2"/>
  <c r="A1168" i="2"/>
  <c r="A525" i="2"/>
  <c r="A944" i="2"/>
  <c r="A312" i="2"/>
  <c r="A90" i="2"/>
  <c r="A941" i="2"/>
  <c r="A311" i="2"/>
  <c r="A309" i="2"/>
  <c r="A939" i="2"/>
  <c r="A938" i="2"/>
  <c r="A520" i="2"/>
  <c r="A308" i="2"/>
  <c r="A1158" i="2"/>
  <c r="A83" i="2"/>
  <c r="A1155" i="2"/>
  <c r="A307" i="2"/>
  <c r="A935" i="2"/>
  <c r="A79" i="2"/>
  <c r="A736" i="2"/>
  <c r="A76" i="2"/>
  <c r="A515" i="2"/>
  <c r="A730" i="2"/>
  <c r="A934" i="2"/>
  <c r="A512" i="2"/>
  <c r="A73" i="2"/>
  <c r="A72" i="2"/>
  <c r="A1148" i="2"/>
  <c r="A929" i="2"/>
  <c r="A70" i="2"/>
  <c r="A300" i="2"/>
  <c r="A508" i="2"/>
  <c r="A1143" i="2"/>
  <c r="A928" i="2"/>
  <c r="A720" i="2"/>
  <c r="A926" i="2"/>
  <c r="A1142" i="2"/>
  <c r="A292" i="2"/>
  <c r="A1140" i="2"/>
  <c r="A716" i="2"/>
  <c r="A289" i="2"/>
  <c r="A65" i="2"/>
  <c r="A500" i="2"/>
  <c r="A287" i="2"/>
  <c r="A922" i="2"/>
  <c r="A1136" i="2"/>
  <c r="A282" i="2"/>
  <c r="A497" i="2"/>
  <c r="A280" i="2"/>
  <c r="A919" i="2"/>
  <c r="A60" i="2"/>
  <c r="A494" i="2"/>
  <c r="A493" i="2"/>
  <c r="A58" i="2"/>
  <c r="A491" i="2"/>
  <c r="A916" i="2"/>
  <c r="A914" i="2"/>
  <c r="A913" i="2"/>
  <c r="A705" i="2"/>
  <c r="A271" i="2"/>
  <c r="A270" i="2"/>
  <c r="A488" i="2"/>
  <c r="A907" i="2"/>
  <c r="A704" i="2"/>
  <c r="A53" i="2"/>
  <c r="A1123" i="2"/>
  <c r="A265" i="2"/>
  <c r="A905" i="2"/>
  <c r="A700" i="2"/>
  <c r="A1119" i="2"/>
  <c r="A484" i="2"/>
  <c r="A482" i="2"/>
  <c r="A261" i="2"/>
  <c r="A269" i="2"/>
  <c r="A267" i="2"/>
  <c r="A1122" i="2"/>
  <c r="A51" i="2"/>
  <c r="A904" i="2"/>
  <c r="A902" i="2"/>
  <c r="A901" i="2"/>
  <c r="A900" i="2"/>
  <c r="A262" i="2"/>
  <c r="A48" i="2"/>
  <c r="A47" i="2"/>
  <c r="A45" i="2"/>
  <c r="A696" i="2"/>
  <c r="A258" i="2"/>
  <c r="A478" i="2"/>
  <c r="A255" i="2"/>
  <c r="A894" i="2"/>
  <c r="A476" i="2"/>
  <c r="A893" i="2"/>
  <c r="A1116" i="2"/>
  <c r="A40" i="2"/>
  <c r="A889" i="2"/>
  <c r="A38" i="2"/>
  <c r="A37" i="2"/>
  <c r="A687" i="2"/>
  <c r="A686" i="2"/>
  <c r="A35" i="2"/>
  <c r="A249" i="2"/>
  <c r="A683" i="2"/>
  <c r="A468" i="2"/>
  <c r="A467" i="2"/>
  <c r="A245" i="2"/>
  <c r="A884" i="2"/>
  <c r="A464" i="2"/>
  <c r="A29" i="2"/>
  <c r="A678" i="2"/>
  <c r="A27" i="2"/>
  <c r="A26" i="2"/>
  <c r="A1106" i="2"/>
  <c r="A24" i="2"/>
  <c r="A242" i="2"/>
  <c r="A241" i="2"/>
  <c r="A671" i="2"/>
  <c r="A457" i="2"/>
  <c r="A670" i="2"/>
  <c r="A22" i="2"/>
  <c r="A20" i="2"/>
  <c r="A1097" i="2"/>
  <c r="A1096" i="2"/>
  <c r="A18" i="2"/>
  <c r="A17" i="2"/>
  <c r="A16" i="2"/>
  <c r="A454" i="2"/>
  <c r="A659" i="2"/>
  <c r="A453" i="2"/>
  <c r="A451" i="2"/>
  <c r="A449" i="2"/>
  <c r="A13" i="2"/>
  <c r="A231" i="2"/>
  <c r="A873" i="2"/>
  <c r="A872" i="2"/>
  <c r="A1087" i="2"/>
  <c r="A1086" i="2"/>
  <c r="A1084" i="2"/>
  <c r="A651" i="2"/>
  <c r="A444" i="2"/>
  <c r="A867" i="2"/>
  <c r="A226" i="2"/>
  <c r="A8" i="2"/>
  <c r="A225" i="2"/>
  <c r="A224" i="2"/>
  <c r="A223" i="2"/>
  <c r="A439" i="2"/>
  <c r="A221" i="2"/>
  <c r="A646" i="2"/>
  <c r="A1074" i="2"/>
  <c r="A5" i="2"/>
  <c r="A859" i="2"/>
  <c r="A3" i="2"/>
  <c r="A431" i="2"/>
  <c r="A217" i="2"/>
  <c r="A899" i="2"/>
  <c r="A46" i="2"/>
  <c r="A479" i="2"/>
  <c r="A44" i="2"/>
  <c r="A896" i="2"/>
  <c r="A256" i="2"/>
  <c r="A1117" i="2"/>
  <c r="A42" i="2"/>
  <c r="A692" i="2"/>
  <c r="A253" i="2"/>
  <c r="A691" i="2"/>
  <c r="A890" i="2"/>
  <c r="A39" i="2"/>
  <c r="A688" i="2"/>
  <c r="A473" i="2"/>
  <c r="A887" i="2"/>
  <c r="A1111" i="2"/>
  <c r="A250" i="2"/>
  <c r="A684" i="2"/>
  <c r="A1110" i="2"/>
  <c r="A682" i="2"/>
  <c r="A681" i="2"/>
  <c r="A32" i="2"/>
  <c r="A30" i="2"/>
  <c r="A1108" i="2"/>
  <c r="A463" i="2"/>
  <c r="A28" i="2"/>
  <c r="A881" i="2"/>
  <c r="A676" i="2"/>
  <c r="A1105" i="2"/>
  <c r="A675" i="2"/>
  <c r="A23" i="2"/>
  <c r="A672" i="2"/>
  <c r="A239" i="2"/>
  <c r="A1101" i="2"/>
  <c r="A669" i="2"/>
  <c r="A237" i="2"/>
  <c r="A667" i="2"/>
  <c r="A665" i="2"/>
  <c r="A878" i="2"/>
  <c r="A235" i="2"/>
  <c r="A662" i="2"/>
  <c r="A1092" i="2"/>
  <c r="A661" i="2"/>
  <c r="A875" i="2"/>
  <c r="A1091" i="2"/>
  <c r="A450" i="2"/>
  <c r="A15" i="2"/>
  <c r="A654" i="2"/>
  <c r="A448" i="2"/>
  <c r="A12" i="2"/>
  <c r="A1088" i="2"/>
  <c r="A871" i="2"/>
  <c r="A869" i="2"/>
  <c r="A652" i="2"/>
  <c r="A868" i="2"/>
  <c r="A650" i="2"/>
  <c r="A866" i="2"/>
  <c r="A865" i="2"/>
  <c r="A648" i="2"/>
  <c r="A441" i="2"/>
  <c r="A440" i="2"/>
  <c r="A863" i="2"/>
  <c r="A647" i="2"/>
  <c r="A1075" i="2"/>
  <c r="A645" i="2"/>
  <c r="A436" i="2"/>
  <c r="A433" i="2"/>
  <c r="A219" i="2"/>
  <c r="A2" i="2"/>
  <c r="A1072" i="2"/>
  <c r="A216" i="2"/>
  <c r="A898" i="2"/>
  <c r="A480" i="2"/>
  <c r="A1118" i="2"/>
  <c r="A695" i="2"/>
  <c r="A257" i="2"/>
  <c r="A693" i="2"/>
  <c r="A43" i="2"/>
  <c r="A41" i="2"/>
  <c r="A475" i="2"/>
  <c r="A892" i="2"/>
  <c r="A1115" i="2"/>
  <c r="A690" i="2"/>
  <c r="A888" i="2"/>
  <c r="A1112" i="2"/>
  <c r="A472" i="2"/>
  <c r="A251" i="2"/>
  <c r="A36" i="2"/>
  <c r="A34" i="2"/>
  <c r="A470" i="2"/>
  <c r="A33" i="2"/>
  <c r="A247" i="2"/>
  <c r="A466" i="2"/>
  <c r="A465" i="2"/>
  <c r="A680" i="2"/>
  <c r="A243" i="2"/>
  <c r="A883" i="2"/>
  <c r="A882" i="2"/>
  <c r="A677" i="2"/>
  <c r="A460" i="2"/>
  <c r="A880" i="2"/>
  <c r="A674" i="2"/>
  <c r="A879" i="2"/>
  <c r="A1103" i="2"/>
  <c r="A458" i="2"/>
  <c r="A1100" i="2"/>
  <c r="A238" i="2"/>
  <c r="A1098" i="2"/>
  <c r="A666" i="2"/>
  <c r="A664" i="2"/>
  <c r="A877" i="2"/>
  <c r="A1095" i="2"/>
  <c r="A1094" i="2"/>
  <c r="A455" i="2"/>
  <c r="A660" i="2"/>
  <c r="A658" i="2"/>
  <c r="A452" i="2"/>
  <c r="A1090" i="2"/>
  <c r="A14" i="2"/>
  <c r="A233" i="2"/>
  <c r="A653" i="2"/>
  <c r="A447" i="2"/>
  <c r="A11" i="2"/>
  <c r="A870" i="2"/>
  <c r="A445" i="2"/>
  <c r="A1083" i="2"/>
  <c r="A1082" i="2"/>
  <c r="A1080" i="2"/>
  <c r="A443" i="2"/>
  <c r="A649" i="2"/>
  <c r="A442" i="2"/>
  <c r="A1079" i="2"/>
  <c r="A1078" i="2"/>
  <c r="A1076" i="2"/>
  <c r="A438" i="2"/>
  <c r="A862" i="2"/>
  <c r="A220" i="2"/>
  <c r="A435" i="2"/>
  <c r="A860" i="2"/>
  <c r="A644" i="2"/>
  <c r="A1073" i="2"/>
  <c r="A430" i="2"/>
  <c r="A702" i="2"/>
  <c r="A266" i="2"/>
  <c r="A1121" i="2"/>
  <c r="A1120" i="2"/>
  <c r="A485" i="2"/>
  <c r="A264" i="2"/>
  <c r="A263" i="2"/>
  <c r="A49" i="2"/>
  <c r="A699" i="2"/>
  <c r="A259" i="2"/>
  <c r="A698" i="2"/>
  <c r="A697" i="2"/>
  <c r="A897" i="2"/>
  <c r="A694" i="2"/>
  <c r="A895" i="2"/>
  <c r="A254" i="2"/>
  <c r="A477" i="2"/>
  <c r="A474" i="2"/>
  <c r="A891" i="2"/>
  <c r="A1114" i="2"/>
  <c r="A689" i="2"/>
  <c r="A1113" i="2"/>
  <c r="A252" i="2"/>
  <c r="A471" i="2"/>
  <c r="A886" i="2"/>
  <c r="A685" i="2"/>
  <c r="A885" i="2"/>
  <c r="A469" i="2"/>
  <c r="A248" i="2"/>
  <c r="A1109" i="2"/>
  <c r="A246" i="2"/>
  <c r="A31" i="2"/>
  <c r="A244" i="2"/>
  <c r="A679" i="2"/>
  <c r="A462" i="2"/>
  <c r="A1107" i="2"/>
  <c r="A461" i="2"/>
  <c r="A459" i="2"/>
  <c r="A25" i="2"/>
  <c r="A673" i="2"/>
  <c r="A1104" i="2"/>
  <c r="A240" i="2"/>
  <c r="A1102" i="2"/>
  <c r="A1099" i="2"/>
  <c r="A668" i="2"/>
  <c r="A21" i="2"/>
  <c r="A456" i="2"/>
  <c r="A19" i="2"/>
  <c r="A236" i="2"/>
  <c r="A663" i="2"/>
  <c r="A1093" i="2"/>
  <c r="A234" i="2"/>
  <c r="A876" i="2"/>
  <c r="A874" i="2"/>
  <c r="A657" i="2"/>
  <c r="A656" i="2"/>
  <c r="A655" i="2"/>
  <c r="A232" i="2"/>
  <c r="A1089" i="2"/>
  <c r="A230" i="2"/>
  <c r="A229" i="2"/>
  <c r="A446" i="2"/>
  <c r="A1085" i="2"/>
  <c r="A228" i="2"/>
  <c r="A1081" i="2"/>
  <c r="A227" i="2"/>
  <c r="A10" i="2"/>
  <c r="A9" i="2"/>
  <c r="A864" i="2"/>
  <c r="A7" i="2"/>
  <c r="A1077" i="2"/>
  <c r="A6" i="2"/>
  <c r="A222" i="2"/>
  <c r="A861" i="2"/>
  <c r="A437" i="2"/>
  <c r="A434" i="2"/>
  <c r="A4" i="2"/>
  <c r="A432" i="2"/>
  <c r="A858" i="2"/>
  <c r="A218" i="2"/>
  <c r="B11" i="12"/>
  <c r="A11" i="12" s="1"/>
  <c r="AO21" i="6"/>
  <c r="AR21" i="6" s="1"/>
  <c r="AO23" i="6"/>
  <c r="AR23" i="6" s="1"/>
  <c r="AO20" i="6"/>
  <c r="AR20" i="6" s="1"/>
  <c r="AO24" i="6"/>
  <c r="AR24" i="6" s="1"/>
  <c r="AO22" i="6"/>
  <c r="AR22" i="6" s="1"/>
  <c r="AO25" i="6"/>
  <c r="AR25" i="6" s="1"/>
  <c r="AO29" i="6"/>
  <c r="AR29" i="6" s="1"/>
  <c r="AO31" i="6"/>
  <c r="AR31" i="6" s="1"/>
  <c r="AO28" i="6"/>
  <c r="AR28" i="6" s="1"/>
  <c r="AO26" i="6"/>
  <c r="AR26" i="6" s="1"/>
  <c r="AO30" i="6"/>
  <c r="AR30" i="6" s="1"/>
  <c r="AO27" i="6"/>
  <c r="AR27" i="6" s="1"/>
  <c r="AO18" i="6"/>
  <c r="AR18" i="6" s="1"/>
  <c r="AO15" i="6"/>
  <c r="AR15" i="6" s="1"/>
  <c r="AO19" i="6"/>
  <c r="AR19" i="6" s="1"/>
  <c r="AO16" i="6"/>
  <c r="AR16" i="6" s="1"/>
  <c r="AO14" i="6"/>
  <c r="AR14" i="6" s="1"/>
  <c r="AO17" i="6"/>
  <c r="AR17" i="6" s="1"/>
  <c r="B371" i="12"/>
  <c r="A371" i="12" s="1"/>
  <c r="B301" i="12"/>
  <c r="A301" i="12" s="1"/>
  <c r="B228" i="12"/>
  <c r="A228" i="12" s="1"/>
  <c r="B157" i="12"/>
  <c r="A157" i="12" s="1"/>
  <c r="B83" i="12"/>
  <c r="A83" i="12" s="1"/>
  <c r="L1282" i="2"/>
  <c r="L1270" i="2"/>
  <c r="L214" i="2"/>
  <c r="L1060" i="2"/>
  <c r="L412" i="2"/>
  <c r="L1067" i="2"/>
  <c r="L850" i="2"/>
  <c r="L641" i="2"/>
  <c r="L1063" i="2"/>
  <c r="L425" i="2"/>
  <c r="L844" i="2"/>
  <c r="L1053" i="2"/>
  <c r="L1275" i="2"/>
  <c r="L840" i="2"/>
  <c r="L199" i="2"/>
  <c r="L1049" i="2"/>
  <c r="L1252" i="2"/>
  <c r="L857" i="2"/>
  <c r="L643" i="2"/>
  <c r="L855" i="2"/>
  <c r="L211" i="2"/>
  <c r="L1283" i="2"/>
  <c r="L851" i="2"/>
  <c r="L838" i="2"/>
  <c r="L413" i="2"/>
  <c r="L1267" i="2"/>
  <c r="L195" i="2"/>
  <c r="L1265" i="2"/>
  <c r="L1045" i="2"/>
  <c r="L1263" i="2"/>
  <c r="L215" i="2"/>
  <c r="L856" i="2"/>
  <c r="L1070" i="2"/>
  <c r="L854" i="2"/>
  <c r="L210" i="2"/>
  <c r="L1069" i="2"/>
  <c r="L427" i="2"/>
  <c r="L426" i="2"/>
  <c r="L208" i="2"/>
  <c r="L207" i="2"/>
  <c r="L1280" i="2"/>
  <c r="L639" i="2"/>
  <c r="L205" i="2"/>
  <c r="L423" i="2"/>
  <c r="L637" i="2"/>
  <c r="L635" i="2"/>
  <c r="L1057" i="2"/>
  <c r="L202" i="2"/>
  <c r="L628" i="2"/>
  <c r="L1264" i="2"/>
  <c r="L626" i="2"/>
  <c r="L1044" i="2"/>
  <c r="L193" i="2"/>
  <c r="L621" i="2"/>
  <c r="L1042" i="2"/>
  <c r="L190" i="2"/>
  <c r="L618" i="2"/>
  <c r="L616" i="2"/>
  <c r="L615" i="2"/>
  <c r="L186" i="2"/>
  <c r="L184" i="2"/>
  <c r="L182" i="2"/>
  <c r="L1256" i="2"/>
  <c r="L406" i="2"/>
  <c r="L1254" i="2"/>
  <c r="L178" i="2"/>
  <c r="L827" i="2"/>
  <c r="L826" i="2"/>
  <c r="L825" i="2"/>
  <c r="L1038" i="2"/>
  <c r="L402" i="2"/>
  <c r="L608" i="2"/>
  <c r="L401" i="2"/>
  <c r="L171" i="2"/>
  <c r="L400" i="2"/>
  <c r="L604" i="2"/>
  <c r="L603" i="2"/>
  <c r="L820" i="2"/>
  <c r="L602" i="2"/>
  <c r="L167" i="2"/>
  <c r="L1028" i="2"/>
  <c r="L164" i="2"/>
  <c r="L1243" i="2"/>
  <c r="L162" i="2"/>
  <c r="L159" i="2"/>
  <c r="L598" i="2"/>
  <c r="L596" i="2"/>
  <c r="L595" i="2"/>
  <c r="L392" i="2"/>
  <c r="L1241" i="2"/>
  <c r="L1239" i="2"/>
  <c r="L593" i="2"/>
  <c r="L1237" i="2"/>
  <c r="L1235" i="2"/>
  <c r="L1234" i="2"/>
  <c r="L1017" i="2"/>
  <c r="L812" i="2"/>
  <c r="L1230" i="2"/>
  <c r="L810" i="2"/>
  <c r="L1015" i="2"/>
  <c r="L589" i="2"/>
  <c r="L588" i="2"/>
  <c r="L807" i="2"/>
  <c r="L1014" i="2"/>
  <c r="L1013" i="2"/>
  <c r="L586" i="2"/>
  <c r="L806" i="2"/>
  <c r="L377" i="2"/>
  <c r="L584" i="2"/>
  <c r="L144" i="2"/>
  <c r="L583" i="2"/>
  <c r="L373" i="2"/>
  <c r="L803" i="2"/>
  <c r="L143" i="2"/>
  <c r="L370" i="2"/>
  <c r="L800" i="2"/>
  <c r="L1221" i="2"/>
  <c r="L581" i="2"/>
  <c r="L139" i="2"/>
  <c r="L1217" i="2"/>
  <c r="L798" i="2"/>
  <c r="L1000" i="2"/>
  <c r="L362" i="2"/>
  <c r="L999" i="2"/>
  <c r="L1214" i="2"/>
  <c r="L997" i="2"/>
  <c r="L573" i="2"/>
  <c r="L995" i="2"/>
  <c r="L994" i="2"/>
  <c r="L356" i="2"/>
  <c r="L992" i="2"/>
  <c r="L792" i="2"/>
  <c r="L988" i="2"/>
  <c r="L570" i="2"/>
  <c r="L789" i="2"/>
  <c r="L132" i="2"/>
  <c r="L786" i="2"/>
  <c r="L985" i="2"/>
  <c r="L131" i="2"/>
  <c r="L783" i="2"/>
  <c r="L983" i="2"/>
  <c r="L563" i="2"/>
  <c r="L351" i="2"/>
  <c r="L350" i="2"/>
  <c r="L981" i="2"/>
  <c r="L781" i="2"/>
  <c r="L980" i="2"/>
  <c r="L979" i="2"/>
  <c r="L1195" i="2"/>
  <c r="L1194" i="2"/>
  <c r="L1193" i="2"/>
  <c r="L346" i="2"/>
  <c r="L1191" i="2"/>
  <c r="L774" i="2"/>
  <c r="L1188" i="2"/>
  <c r="L343" i="2"/>
  <c r="L772" i="2"/>
  <c r="L1186" i="2"/>
  <c r="L771" i="2"/>
  <c r="L117" i="2"/>
  <c r="L339" i="2"/>
  <c r="L552" i="2"/>
  <c r="L969" i="2"/>
  <c r="L337" i="2"/>
  <c r="L769" i="2"/>
  <c r="L767" i="2"/>
  <c r="L766" i="2"/>
  <c r="L547" i="2"/>
  <c r="L111" i="2"/>
  <c r="L110" i="2"/>
  <c r="L332" i="2"/>
  <c r="L762" i="2"/>
  <c r="L108" i="2"/>
  <c r="L1180" i="2"/>
  <c r="L541" i="2"/>
  <c r="L328" i="2"/>
  <c r="L759" i="2"/>
  <c r="L107" i="2"/>
  <c r="L758" i="2"/>
  <c r="L324" i="2"/>
  <c r="L756" i="2"/>
  <c r="L535" i="2"/>
  <c r="L321" i="2"/>
  <c r="L319" i="2"/>
  <c r="L752" i="2"/>
  <c r="L750" i="2"/>
  <c r="L957" i="2"/>
  <c r="L100" i="2"/>
  <c r="L1173" i="2"/>
  <c r="L1172" i="2"/>
  <c r="L99" i="2"/>
  <c r="L528" i="2"/>
  <c r="L747" i="2"/>
  <c r="L97" i="2"/>
  <c r="L96" i="2"/>
  <c r="L745" i="2"/>
  <c r="L94" i="2"/>
  <c r="L945" i="2"/>
  <c r="L1166" i="2"/>
  <c r="L943" i="2"/>
  <c r="L89" i="2"/>
  <c r="L1164" i="2"/>
  <c r="L310" i="2"/>
  <c r="L87" i="2"/>
  <c r="L1161" i="2"/>
  <c r="L85" i="2"/>
  <c r="L84" i="2"/>
  <c r="L1159" i="2"/>
  <c r="L517" i="2"/>
  <c r="L740" i="2"/>
  <c r="L1154" i="2"/>
  <c r="L516" i="2"/>
  <c r="L80" i="2"/>
  <c r="L737" i="2"/>
  <c r="L78" i="2"/>
  <c r="L734" i="2"/>
  <c r="L1151" i="2"/>
  <c r="L514" i="2"/>
  <c r="L74" i="2"/>
  <c r="L932" i="2"/>
  <c r="L303" i="2"/>
  <c r="L726" i="2"/>
  <c r="L930" i="2"/>
  <c r="L302" i="2"/>
  <c r="L69" i="2"/>
  <c r="L68" i="2"/>
  <c r="L299" i="2"/>
  <c r="L722" i="2"/>
  <c r="L297" i="2"/>
  <c r="L927" i="2"/>
  <c r="L67" i="2"/>
  <c r="L293" i="2"/>
  <c r="L291" i="2"/>
  <c r="L505" i="2"/>
  <c r="L1139" i="2"/>
  <c r="L923" i="2"/>
  <c r="L1138" i="2"/>
  <c r="L288" i="2"/>
  <c r="L1137" i="2"/>
  <c r="L921" i="2"/>
  <c r="L284" i="2"/>
  <c r="L281" i="2"/>
  <c r="L712" i="2"/>
  <c r="L279" i="2"/>
  <c r="L495" i="2"/>
  <c r="L917" i="2"/>
  <c r="L59" i="2"/>
  <c r="L710" i="2"/>
  <c r="L709" i="2"/>
  <c r="L57" i="2"/>
  <c r="L489" i="2"/>
  <c r="L275" i="2"/>
  <c r="L273" i="2"/>
  <c r="L272" i="2"/>
  <c r="L1129" i="2"/>
  <c r="L1128" i="2"/>
  <c r="L1127" i="2"/>
  <c r="L487" i="2"/>
  <c r="L906" i="2"/>
  <c r="L268" i="2"/>
  <c r="L486" i="2"/>
  <c r="L52" i="2"/>
  <c r="L701" i="2"/>
  <c r="L903" i="2"/>
  <c r="L50" i="2"/>
  <c r="L483" i="2"/>
  <c r="L481" i="2"/>
  <c r="L260" i="2"/>
  <c r="L898" i="2"/>
  <c r="L480" i="2"/>
  <c r="L1118" i="2"/>
  <c r="L695" i="2"/>
  <c r="L257" i="2"/>
  <c r="L693" i="2"/>
  <c r="L43" i="2"/>
  <c r="L41" i="2"/>
  <c r="L475" i="2"/>
  <c r="L892" i="2"/>
  <c r="L1115" i="2"/>
  <c r="L690" i="2"/>
  <c r="L888" i="2"/>
  <c r="L1112" i="2"/>
  <c r="L472" i="2"/>
  <c r="L251" i="2"/>
  <c r="L36" i="2"/>
  <c r="L34" i="2"/>
  <c r="L470" i="2"/>
  <c r="L33" i="2"/>
  <c r="L247" i="2"/>
  <c r="L466" i="2"/>
  <c r="L465" i="2"/>
  <c r="L680" i="2"/>
  <c r="L243" i="2"/>
  <c r="L883" i="2"/>
  <c r="L882" i="2"/>
  <c r="L677" i="2"/>
  <c r="L460" i="2"/>
  <c r="L880" i="2"/>
  <c r="L674" i="2"/>
  <c r="L879" i="2"/>
  <c r="L1103" i="2"/>
  <c r="L458" i="2"/>
  <c r="L1100" i="2"/>
  <c r="L238" i="2"/>
  <c r="L1098" i="2"/>
  <c r="L666" i="2"/>
  <c r="L664" i="2"/>
  <c r="L877" i="2"/>
  <c r="L1095" i="2"/>
  <c r="L1094" i="2"/>
  <c r="L455" i="2"/>
  <c r="L660" i="2"/>
  <c r="L658" i="2"/>
  <c r="L452" i="2"/>
  <c r="L1090" i="2"/>
  <c r="L14" i="2"/>
  <c r="L233" i="2"/>
  <c r="L653" i="2"/>
  <c r="L447" i="2"/>
  <c r="L11" i="2"/>
  <c r="L870" i="2"/>
  <c r="L445" i="2"/>
  <c r="L1083" i="2"/>
  <c r="L1082" i="2"/>
  <c r="L1080" i="2"/>
  <c r="L443" i="2"/>
  <c r="L649" i="2"/>
  <c r="L442" i="2"/>
  <c r="L1079" i="2"/>
  <c r="L1078" i="2"/>
  <c r="L1076" i="2"/>
  <c r="L438" i="2"/>
  <c r="L862" i="2"/>
  <c r="L220" i="2"/>
  <c r="L435" i="2"/>
  <c r="L860" i="2"/>
  <c r="L644" i="2"/>
  <c r="L1073" i="2"/>
  <c r="L430" i="2"/>
  <c r="L1279" i="2"/>
  <c r="L847" i="2"/>
  <c r="L1058" i="2"/>
  <c r="L204" i="2"/>
  <c r="L1056" i="2"/>
  <c r="L633" i="2"/>
  <c r="L1258" i="2"/>
  <c r="L1041" i="2"/>
  <c r="L185" i="2"/>
  <c r="L183" i="2"/>
  <c r="L408" i="2"/>
  <c r="L829" i="2"/>
  <c r="L405" i="2"/>
  <c r="L612" i="2"/>
  <c r="L640" i="2"/>
  <c r="L849" i="2"/>
  <c r="L1061" i="2"/>
  <c r="L424" i="2"/>
  <c r="L1278" i="2"/>
  <c r="L638" i="2"/>
  <c r="L1277" i="2"/>
  <c r="L846" i="2"/>
  <c r="L422" i="2"/>
  <c r="L1055" i="2"/>
  <c r="L843" i="2"/>
  <c r="L200" i="2"/>
  <c r="L841" i="2"/>
  <c r="L631" i="2"/>
  <c r="L1274" i="2"/>
  <c r="L1272" i="2"/>
  <c r="L419" i="2"/>
  <c r="L839" i="2"/>
  <c r="L1054" i="2"/>
  <c r="L842" i="2"/>
  <c r="L1052" i="2"/>
  <c r="L420" i="2"/>
  <c r="L630" i="2"/>
  <c r="L1273" i="2"/>
  <c r="L1271" i="2"/>
  <c r="L418" i="2"/>
  <c r="L415" i="2"/>
  <c r="L414" i="2"/>
  <c r="L197" i="2"/>
  <c r="L196" i="2"/>
  <c r="L429" i="2"/>
  <c r="L428" i="2"/>
  <c r="L1285" i="2"/>
  <c r="L212" i="2"/>
  <c r="L642" i="2"/>
  <c r="L852" i="2"/>
  <c r="L1068" i="2"/>
  <c r="L1065" i="2"/>
  <c r="L1064" i="2"/>
  <c r="L1281" i="2"/>
  <c r="L1062" i="2"/>
  <c r="L206" i="2"/>
  <c r="L848" i="2"/>
  <c r="L1059" i="2"/>
  <c r="L636" i="2"/>
  <c r="L634" i="2"/>
  <c r="L203" i="2"/>
  <c r="L421" i="2"/>
  <c r="L845" i="2"/>
  <c r="L201" i="2"/>
  <c r="L1276" i="2"/>
  <c r="L632" i="2"/>
  <c r="L1051" i="2"/>
  <c r="L1050" i="2"/>
  <c r="L1048" i="2"/>
  <c r="L417" i="2"/>
  <c r="L1047" i="2"/>
  <c r="L198" i="2"/>
  <c r="L837" i="2"/>
  <c r="L836" i="2"/>
  <c r="L1266" i="2"/>
  <c r="L194" i="2"/>
  <c r="L625" i="2"/>
  <c r="L623" i="2"/>
  <c r="L1043" i="2"/>
  <c r="L1262" i="2"/>
  <c r="L1261" i="2"/>
  <c r="L620" i="2"/>
  <c r="L617" i="2"/>
  <c r="L188" i="2"/>
  <c r="L187" i="2"/>
  <c r="L831" i="2"/>
  <c r="L1257" i="2"/>
  <c r="L181" i="2"/>
  <c r="L407" i="2"/>
  <c r="L1255" i="2"/>
  <c r="L179" i="2"/>
  <c r="L611" i="2"/>
  <c r="L1039" i="2"/>
  <c r="L176" i="2"/>
  <c r="L404" i="2"/>
  <c r="L174" i="2"/>
  <c r="L824" i="2"/>
  <c r="L173" i="2"/>
  <c r="L607" i="2"/>
  <c r="L170" i="2"/>
  <c r="L1034" i="2"/>
  <c r="L1033" i="2"/>
  <c r="L168" i="2"/>
  <c r="L1247" i="2"/>
  <c r="L398" i="2"/>
  <c r="L1029" i="2"/>
  <c r="L165" i="2"/>
  <c r="L600" i="2"/>
  <c r="L1026" i="2"/>
  <c r="L161" i="2"/>
  <c r="L819" i="2"/>
  <c r="L1242" i="2"/>
  <c r="L157" i="2"/>
  <c r="L1022" i="2"/>
  <c r="L155" i="2"/>
  <c r="L1240" i="2"/>
  <c r="L389" i="2"/>
  <c r="L592" i="2"/>
  <c r="L1236" i="2"/>
  <c r="L1020" i="2"/>
  <c r="L1233" i="2"/>
  <c r="L814" i="2"/>
  <c r="L387" i="2"/>
  <c r="L811" i="2"/>
  <c r="L385" i="2"/>
  <c r="L591" i="2"/>
  <c r="L381" i="2"/>
  <c r="L809" i="2"/>
  <c r="L380" i="2"/>
  <c r="L1227" i="2"/>
  <c r="L147" i="2"/>
  <c r="L1226" i="2"/>
  <c r="L1225" i="2"/>
  <c r="L1010" i="2"/>
  <c r="L805" i="2"/>
  <c r="L1007" i="2"/>
  <c r="L375" i="2"/>
  <c r="L372" i="2"/>
  <c r="L582" i="2"/>
  <c r="L371" i="2"/>
  <c r="L801" i="2"/>
  <c r="L368" i="2"/>
  <c r="L366" i="2"/>
  <c r="L1219" i="2"/>
  <c r="L1002" i="2"/>
  <c r="L364" i="2"/>
  <c r="L363" i="2"/>
  <c r="L578" i="2"/>
  <c r="L577" i="2"/>
  <c r="L796" i="2"/>
  <c r="L998" i="2"/>
  <c r="L996" i="2"/>
  <c r="L795" i="2"/>
  <c r="L1212" i="2"/>
  <c r="L1211" i="2"/>
  <c r="L134" i="2"/>
  <c r="L354" i="2"/>
  <c r="L133" i="2"/>
  <c r="L1209" i="2"/>
  <c r="L353" i="2"/>
  <c r="L569" i="2"/>
  <c r="L986" i="2"/>
  <c r="L1207" i="2"/>
  <c r="L1205" i="2"/>
  <c r="L352" i="2"/>
  <c r="L566" i="2"/>
  <c r="L782" i="2"/>
  <c r="L1203" i="2"/>
  <c r="L1200" i="2"/>
  <c r="L562" i="2"/>
  <c r="L1198" i="2"/>
  <c r="L560" i="2"/>
  <c r="L780" i="2"/>
  <c r="L978" i="2"/>
  <c r="L347" i="2"/>
  <c r="L124" i="2"/>
  <c r="L777" i="2"/>
  <c r="L1192" i="2"/>
  <c r="L1190" i="2"/>
  <c r="L122" i="2"/>
  <c r="L120" i="2"/>
  <c r="L976" i="2"/>
  <c r="L554" i="2"/>
  <c r="L974" i="2"/>
  <c r="L973" i="2"/>
  <c r="L972" i="2"/>
  <c r="L1184" i="2"/>
  <c r="L551" i="2"/>
  <c r="L550" i="2"/>
  <c r="L549" i="2"/>
  <c r="L336" i="2"/>
  <c r="L548" i="2"/>
  <c r="L113" i="2"/>
  <c r="L335" i="2"/>
  <c r="L546" i="2"/>
  <c r="L544" i="2"/>
  <c r="L764" i="2"/>
  <c r="L331" i="2"/>
  <c r="L1181" i="2"/>
  <c r="L964" i="2"/>
  <c r="L1179" i="2"/>
  <c r="L961" i="2"/>
  <c r="L326" i="2"/>
  <c r="L960" i="2"/>
  <c r="L536" i="2"/>
  <c r="L323" i="2"/>
  <c r="L103" i="2"/>
  <c r="L755" i="2"/>
  <c r="L754" i="2"/>
  <c r="L533" i="2"/>
  <c r="L751" i="2"/>
  <c r="L1174" i="2"/>
  <c r="L956" i="2"/>
  <c r="L532" i="2"/>
  <c r="L531" i="2"/>
  <c r="L530" i="2"/>
  <c r="L1171" i="2"/>
  <c r="L98" i="2"/>
  <c r="L950" i="2"/>
  <c r="L527" i="2"/>
  <c r="L314" i="2"/>
  <c r="L95" i="2"/>
  <c r="L93" i="2"/>
  <c r="L524" i="2"/>
  <c r="L92" i="2"/>
  <c r="L1165" i="2"/>
  <c r="L942" i="2"/>
  <c r="L88" i="2"/>
  <c r="L1163" i="2"/>
  <c r="L940" i="2"/>
  <c r="L1160" i="2"/>
  <c r="L742" i="2"/>
  <c r="L519" i="2"/>
  <c r="L518" i="2"/>
  <c r="L936" i="2"/>
  <c r="L739" i="2"/>
  <c r="L82" i="2"/>
  <c r="L1153" i="2"/>
  <c r="L306" i="2"/>
  <c r="L305" i="2"/>
  <c r="L77" i="2"/>
  <c r="L75" i="2"/>
  <c r="L732" i="2"/>
  <c r="L729" i="2"/>
  <c r="L933" i="2"/>
  <c r="L511" i="2"/>
  <c r="L931" i="2"/>
  <c r="L1149" i="2"/>
  <c r="L1147" i="2"/>
  <c r="L301" i="2"/>
  <c r="L509" i="2"/>
  <c r="L724" i="2"/>
  <c r="L1145" i="2"/>
  <c r="L298" i="2"/>
  <c r="L296" i="2"/>
  <c r="L295" i="2"/>
  <c r="L719" i="2"/>
  <c r="L1141" i="2"/>
  <c r="L290" i="2"/>
  <c r="L504" i="2"/>
  <c r="L924" i="2"/>
  <c r="L715" i="2"/>
  <c r="L502" i="2"/>
  <c r="L714" i="2"/>
  <c r="L286" i="2"/>
  <c r="L285" i="2"/>
  <c r="L63" i="2"/>
  <c r="L498" i="2"/>
  <c r="L62" i="2"/>
  <c r="L61" i="2"/>
  <c r="L918" i="2"/>
  <c r="L1134" i="2"/>
  <c r="L711" i="2"/>
  <c r="L276" i="2"/>
  <c r="L708" i="2"/>
  <c r="L490" i="2"/>
  <c r="L915" i="2"/>
  <c r="L1131" i="2"/>
  <c r="L912" i="2"/>
  <c r="L55" i="2"/>
  <c r="L911" i="2"/>
  <c r="L910" i="2"/>
  <c r="L1126" i="2"/>
  <c r="L1125" i="2"/>
  <c r="L703" i="2"/>
  <c r="L702" i="2"/>
  <c r="L266" i="2"/>
  <c r="L1121" i="2"/>
  <c r="L1120" i="2"/>
  <c r="L485" i="2"/>
  <c r="L264" i="2"/>
  <c r="L263" i="2"/>
  <c r="L49" i="2"/>
  <c r="L699" i="2"/>
  <c r="L259" i="2"/>
  <c r="L698" i="2"/>
  <c r="L697" i="2"/>
  <c r="L897" i="2"/>
  <c r="L694" i="2"/>
  <c r="L895" i="2"/>
  <c r="L254" i="2"/>
  <c r="L477" i="2"/>
  <c r="L474" i="2"/>
  <c r="L891" i="2"/>
  <c r="L1114" i="2"/>
  <c r="L689" i="2"/>
  <c r="L1113" i="2"/>
  <c r="L252" i="2"/>
  <c r="L471" i="2"/>
  <c r="L886" i="2"/>
  <c r="L685" i="2"/>
  <c r="L885" i="2"/>
  <c r="L469" i="2"/>
  <c r="L248" i="2"/>
  <c r="L1109" i="2"/>
  <c r="L246" i="2"/>
  <c r="L31" i="2"/>
  <c r="L244" i="2"/>
  <c r="L679" i="2"/>
  <c r="L462" i="2"/>
  <c r="L1107" i="2"/>
  <c r="L461" i="2"/>
  <c r="L459" i="2"/>
  <c r="L25" i="2"/>
  <c r="L673" i="2"/>
  <c r="L1104" i="2"/>
  <c r="L240" i="2"/>
  <c r="L1102" i="2"/>
  <c r="L1099" i="2"/>
  <c r="L668" i="2"/>
  <c r="L21" i="2"/>
  <c r="L456" i="2"/>
  <c r="L19" i="2"/>
  <c r="L236" i="2"/>
  <c r="L663" i="2"/>
  <c r="L1093" i="2"/>
  <c r="L234" i="2"/>
  <c r="L876" i="2"/>
  <c r="L874" i="2"/>
  <c r="L657" i="2"/>
  <c r="L656" i="2"/>
  <c r="L655" i="2"/>
  <c r="L232" i="2"/>
  <c r="L1089" i="2"/>
  <c r="L230" i="2"/>
  <c r="L229" i="2"/>
  <c r="L446" i="2"/>
  <c r="L1085" i="2"/>
  <c r="L228" i="2"/>
  <c r="L1081" i="2"/>
  <c r="L227" i="2"/>
  <c r="L10" i="2"/>
  <c r="L9" i="2"/>
  <c r="L864" i="2"/>
  <c r="L7" i="2"/>
  <c r="L1077" i="2"/>
  <c r="L6" i="2"/>
  <c r="L222" i="2"/>
  <c r="L861" i="2"/>
  <c r="L437" i="2"/>
  <c r="L434" i="2"/>
  <c r="L4" i="2"/>
  <c r="L432" i="2"/>
  <c r="L858" i="2"/>
  <c r="L218" i="2"/>
  <c r="L213" i="2"/>
  <c r="L853" i="2"/>
  <c r="L1284" i="2"/>
  <c r="L627" i="2"/>
  <c r="L624" i="2"/>
  <c r="L835" i="2"/>
  <c r="L834" i="2"/>
  <c r="L833" i="2"/>
  <c r="L1260" i="2"/>
  <c r="L411" i="2"/>
  <c r="L189" i="2"/>
  <c r="L610" i="2"/>
  <c r="L1251" i="2"/>
  <c r="L609" i="2"/>
  <c r="L1250" i="2"/>
  <c r="L823" i="2"/>
  <c r="L822" i="2"/>
  <c r="L172" i="2"/>
  <c r="L169" i="2"/>
  <c r="L605" i="2"/>
  <c r="L1248" i="2"/>
  <c r="L1032" i="2"/>
  <c r="L1246" i="2"/>
  <c r="L1245" i="2"/>
  <c r="L166" i="2"/>
  <c r="L1244" i="2"/>
  <c r="L163" i="2"/>
  <c r="L395" i="2"/>
  <c r="L1025" i="2"/>
  <c r="L158" i="2"/>
  <c r="L597" i="2"/>
  <c r="L818" i="2"/>
  <c r="L394" i="2"/>
  <c r="L391" i="2"/>
  <c r="L594" i="2"/>
  <c r="L1021" i="2"/>
  <c r="L154" i="2"/>
  <c r="L815" i="2"/>
  <c r="L1019" i="2"/>
  <c r="L1232" i="2"/>
  <c r="L152" i="2"/>
  <c r="L386" i="2"/>
  <c r="L1229" i="2"/>
  <c r="L384" i="2"/>
  <c r="L590" i="2"/>
  <c r="L151" i="2"/>
  <c r="L808" i="2"/>
  <c r="L150" i="2"/>
  <c r="L148" i="2"/>
  <c r="L146" i="2"/>
  <c r="L585" i="2"/>
  <c r="L1012" i="2"/>
  <c r="L376" i="2"/>
  <c r="L1008" i="2"/>
  <c r="L1224" i="2"/>
  <c r="L1005" i="2"/>
  <c r="L1004" i="2"/>
  <c r="L1222" i="2"/>
  <c r="L1003" i="2"/>
  <c r="L369" i="2"/>
  <c r="L140" i="2"/>
  <c r="L365" i="2"/>
  <c r="L1218" i="2"/>
  <c r="L580" i="2"/>
  <c r="L138" i="2"/>
  <c r="L136" i="2"/>
  <c r="L797" i="2"/>
  <c r="L1216" i="2"/>
  <c r="L361" i="2"/>
  <c r="L575" i="2"/>
  <c r="L359" i="2"/>
  <c r="L358" i="2"/>
  <c r="L794" i="2"/>
  <c r="L993" i="2"/>
  <c r="L1210" i="2"/>
  <c r="L572" i="2"/>
  <c r="L990" i="2"/>
  <c r="L791" i="2"/>
  <c r="L790" i="2"/>
  <c r="L568" i="2"/>
  <c r="L1208" i="2"/>
  <c r="L1206" i="2"/>
  <c r="L984" i="2"/>
  <c r="L130" i="2"/>
  <c r="L129" i="2"/>
  <c r="L565" i="2"/>
  <c r="L1202" i="2"/>
  <c r="L982" i="2"/>
  <c r="L1199" i="2"/>
  <c r="L1197" i="2"/>
  <c r="L559" i="2"/>
  <c r="L349" i="2"/>
  <c r="L778" i="2"/>
  <c r="L126" i="2"/>
  <c r="L558" i="2"/>
  <c r="L556" i="2"/>
  <c r="L123" i="2"/>
  <c r="L555" i="2"/>
  <c r="L121" i="2"/>
  <c r="L344" i="2"/>
  <c r="L773" i="2"/>
  <c r="L1187" i="2"/>
  <c r="L118" i="2"/>
  <c r="L341" i="2"/>
  <c r="L340" i="2"/>
  <c r="L338" i="2"/>
  <c r="L971" i="2"/>
  <c r="L770" i="2"/>
  <c r="L968" i="2"/>
  <c r="L967" i="2"/>
  <c r="L1183" i="2"/>
  <c r="L1182" i="2"/>
  <c r="L765" i="2"/>
  <c r="L333" i="2"/>
  <c r="L965" i="2"/>
  <c r="L763" i="2"/>
  <c r="L761" i="2"/>
  <c r="L542" i="2"/>
  <c r="L963" i="2"/>
  <c r="L760" i="2"/>
  <c r="L539" i="2"/>
  <c r="L538" i="2"/>
  <c r="L537" i="2"/>
  <c r="L757" i="2"/>
  <c r="L105" i="2"/>
  <c r="L1177" i="2"/>
  <c r="L959" i="2"/>
  <c r="L320" i="2"/>
  <c r="L753" i="2"/>
  <c r="L101" i="2"/>
  <c r="L958" i="2"/>
  <c r="L318" i="2"/>
  <c r="L955" i="2"/>
  <c r="L748" i="2"/>
  <c r="L316" i="2"/>
  <c r="L315" i="2"/>
  <c r="L951" i="2"/>
  <c r="L949" i="2"/>
  <c r="L948" i="2"/>
  <c r="L946" i="2"/>
  <c r="L526" i="2"/>
  <c r="L1167" i="2"/>
  <c r="L313" i="2"/>
  <c r="L523" i="2"/>
  <c r="L91" i="2"/>
  <c r="L744" i="2"/>
  <c r="L522" i="2"/>
  <c r="L743" i="2"/>
  <c r="L1162" i="2"/>
  <c r="L86" i="2"/>
  <c r="L521" i="2"/>
  <c r="L741" i="2"/>
  <c r="L937" i="2"/>
  <c r="L1157" i="2"/>
  <c r="L1156" i="2"/>
  <c r="L738" i="2"/>
  <c r="L81" i="2"/>
  <c r="L1152" i="2"/>
  <c r="L304" i="2"/>
  <c r="L735" i="2"/>
  <c r="L733" i="2"/>
  <c r="L731" i="2"/>
  <c r="L513" i="2"/>
  <c r="L1150" i="2"/>
  <c r="L728" i="2"/>
  <c r="L727" i="2"/>
  <c r="L71" i="2"/>
  <c r="L510" i="2"/>
  <c r="L1146" i="2"/>
  <c r="L725" i="2"/>
  <c r="L723" i="2"/>
  <c r="L1144" i="2"/>
  <c r="L507" i="2"/>
  <c r="L721" i="2"/>
  <c r="L294" i="2"/>
  <c r="L925" i="2"/>
  <c r="L506" i="2"/>
  <c r="L718" i="2"/>
  <c r="L717" i="2"/>
  <c r="L503" i="2"/>
  <c r="L66" i="2"/>
  <c r="L501" i="2"/>
  <c r="L499" i="2"/>
  <c r="L64" i="2"/>
  <c r="L713" i="2"/>
  <c r="L283" i="2"/>
  <c r="L1135" i="2"/>
  <c r="L920" i="2"/>
  <c r="L496" i="2"/>
  <c r="L278" i="2"/>
  <c r="L1133" i="2"/>
  <c r="L277" i="2"/>
  <c r="L1132" i="2"/>
  <c r="L492" i="2"/>
  <c r="L56" i="2"/>
  <c r="L707" i="2"/>
  <c r="L274" i="2"/>
  <c r="L706" i="2"/>
  <c r="L1130" i="2"/>
  <c r="L54" i="2"/>
  <c r="L909" i="2"/>
  <c r="L908" i="2"/>
  <c r="L1124" i="2"/>
  <c r="L269" i="2"/>
  <c r="L267" i="2"/>
  <c r="L1122" i="2"/>
  <c r="L51" i="2"/>
  <c r="L904" i="2"/>
  <c r="L902" i="2"/>
  <c r="L901" i="2"/>
  <c r="L900" i="2"/>
  <c r="L262" i="2"/>
  <c r="L48" i="2"/>
  <c r="L47" i="2"/>
  <c r="L45" i="2"/>
  <c r="L696" i="2"/>
  <c r="L258" i="2"/>
  <c r="L478" i="2"/>
  <c r="L255" i="2"/>
  <c r="L894" i="2"/>
  <c r="L476" i="2"/>
  <c r="L893" i="2"/>
  <c r="L1116" i="2"/>
  <c r="L40" i="2"/>
  <c r="L889" i="2"/>
  <c r="L38" i="2"/>
  <c r="L37" i="2"/>
  <c r="L687" i="2"/>
  <c r="L686" i="2"/>
  <c r="L35" i="2"/>
  <c r="L249" i="2"/>
  <c r="L683" i="2"/>
  <c r="L468" i="2"/>
  <c r="L467" i="2"/>
  <c r="L245" i="2"/>
  <c r="L884" i="2"/>
  <c r="L464" i="2"/>
  <c r="L29" i="2"/>
  <c r="L678" i="2"/>
  <c r="L27" i="2"/>
  <c r="L26" i="2"/>
  <c r="L1106" i="2"/>
  <c r="L24" i="2"/>
  <c r="L242" i="2"/>
  <c r="L241" i="2"/>
  <c r="L671" i="2"/>
  <c r="L457" i="2"/>
  <c r="L670" i="2"/>
  <c r="L22" i="2"/>
  <c r="L20" i="2"/>
  <c r="L1097" i="2"/>
  <c r="L1096" i="2"/>
  <c r="L18" i="2"/>
  <c r="L17" i="2"/>
  <c r="L16" i="2"/>
  <c r="L454" i="2"/>
  <c r="L659" i="2"/>
  <c r="L453" i="2"/>
  <c r="L451" i="2"/>
  <c r="L449" i="2"/>
  <c r="L13" i="2"/>
  <c r="L231" i="2"/>
  <c r="L873" i="2"/>
  <c r="L872" i="2"/>
  <c r="L1287" i="2"/>
  <c r="L1290" i="2"/>
  <c r="L1288" i="2"/>
  <c r="L1286" i="2"/>
  <c r="L1289" i="2"/>
  <c r="L1291" i="2"/>
  <c r="L1087" i="2"/>
  <c r="L1086" i="2"/>
  <c r="L1084" i="2"/>
  <c r="L651" i="2"/>
  <c r="L444" i="2"/>
  <c r="L867" i="2"/>
  <c r="L226" i="2"/>
  <c r="L8" i="2"/>
  <c r="L225" i="2"/>
  <c r="L224" i="2"/>
  <c r="L223" i="2"/>
  <c r="L439" i="2"/>
  <c r="L221" i="2"/>
  <c r="L646" i="2"/>
  <c r="L1074" i="2"/>
  <c r="L5" i="2"/>
  <c r="L859" i="2"/>
  <c r="L3" i="2"/>
  <c r="L431" i="2"/>
  <c r="L217" i="2"/>
  <c r="L1071" i="2"/>
  <c r="L416" i="2"/>
  <c r="L1269" i="2"/>
  <c r="L1268" i="2"/>
  <c r="L629" i="2"/>
  <c r="L1046" i="2"/>
  <c r="L1066" i="2"/>
  <c r="L209" i="2"/>
  <c r="L622" i="2"/>
  <c r="L192" i="2"/>
  <c r="L191" i="2"/>
  <c r="L1259" i="2"/>
  <c r="L619" i="2"/>
  <c r="L832" i="2"/>
  <c r="L410" i="2"/>
  <c r="L409" i="2"/>
  <c r="L614" i="2"/>
  <c r="L830" i="2"/>
  <c r="L1040" i="2"/>
  <c r="L180" i="2"/>
  <c r="L613" i="2"/>
  <c r="L1253" i="2"/>
  <c r="L828" i="2"/>
  <c r="L177" i="2"/>
  <c r="L175" i="2"/>
  <c r="L403" i="2"/>
  <c r="L1037" i="2"/>
  <c r="L1036" i="2"/>
  <c r="L1035" i="2"/>
  <c r="L821" i="2"/>
  <c r="L606" i="2"/>
  <c r="L1249" i="2"/>
  <c r="L399" i="2"/>
  <c r="L1031" i="2"/>
  <c r="L1030" i="2"/>
  <c r="L601" i="2"/>
  <c r="L397" i="2"/>
  <c r="L1027" i="2"/>
  <c r="L396" i="2"/>
  <c r="L599" i="2"/>
  <c r="L160" i="2"/>
  <c r="L1024" i="2"/>
  <c r="L1023" i="2"/>
  <c r="L156" i="2"/>
  <c r="L393" i="2"/>
  <c r="L390" i="2"/>
  <c r="L817" i="2"/>
  <c r="L816" i="2"/>
  <c r="L1238" i="2"/>
  <c r="L153" i="2"/>
  <c r="L1018" i="2"/>
  <c r="L388" i="2"/>
  <c r="L813" i="2"/>
  <c r="L1231" i="2"/>
  <c r="L1016" i="2"/>
  <c r="L383" i="2"/>
  <c r="L382" i="2"/>
  <c r="L1228" i="2"/>
  <c r="L587" i="2"/>
  <c r="L149" i="2"/>
  <c r="L379" i="2"/>
  <c r="L378" i="2"/>
  <c r="L145" i="2"/>
  <c r="L1011" i="2"/>
  <c r="L1009" i="2"/>
  <c r="L804" i="2"/>
  <c r="L1006" i="2"/>
  <c r="L374" i="2"/>
  <c r="L1223" i="2"/>
  <c r="L802" i="2"/>
  <c r="L142" i="2"/>
  <c r="L141" i="2"/>
  <c r="L367" i="2"/>
  <c r="L1220" i="2"/>
  <c r="L799" i="2"/>
  <c r="L1001" i="2"/>
  <c r="L137" i="2"/>
  <c r="L579" i="2"/>
  <c r="L135" i="2"/>
  <c r="L576" i="2"/>
  <c r="L1215" i="2"/>
  <c r="L360" i="2"/>
  <c r="L574" i="2"/>
  <c r="L1213" i="2"/>
  <c r="L357" i="2"/>
  <c r="L793" i="2"/>
  <c r="L355" i="2"/>
  <c r="L991" i="2"/>
  <c r="L989" i="2"/>
  <c r="L571" i="2"/>
  <c r="L987" i="2"/>
  <c r="L788" i="2"/>
  <c r="L787" i="2"/>
  <c r="L785" i="2"/>
  <c r="L567" i="2"/>
  <c r="L784" i="2"/>
  <c r="L1204" i="2"/>
  <c r="L564" i="2"/>
  <c r="L1201" i="2"/>
  <c r="L128" i="2"/>
  <c r="L561" i="2"/>
  <c r="L127" i="2"/>
  <c r="L1196" i="2"/>
  <c r="L779" i="2"/>
  <c r="L348" i="2"/>
  <c r="L125" i="2"/>
  <c r="L557" i="2"/>
  <c r="L776" i="2"/>
  <c r="L775" i="2"/>
  <c r="L345" i="2"/>
  <c r="L1189" i="2"/>
  <c r="L977" i="2"/>
  <c r="L119" i="2"/>
  <c r="L975" i="2"/>
  <c r="L342" i="2"/>
  <c r="L1185" i="2"/>
  <c r="L116" i="2"/>
  <c r="L553" i="2"/>
  <c r="L970" i="2"/>
  <c r="L115" i="2"/>
  <c r="L114" i="2"/>
  <c r="L768" i="2"/>
  <c r="L966" i="2"/>
  <c r="L112" i="2"/>
  <c r="L334" i="2"/>
  <c r="L545" i="2"/>
  <c r="L543" i="2"/>
  <c r="L109" i="2"/>
  <c r="L330" i="2"/>
  <c r="L329" i="2"/>
  <c r="L962" i="2"/>
  <c r="L540" i="2"/>
  <c r="L327" i="2"/>
  <c r="L1178" i="2"/>
  <c r="L325" i="2"/>
  <c r="L106" i="2"/>
  <c r="L104" i="2"/>
  <c r="L1176" i="2"/>
  <c r="L322" i="2"/>
  <c r="L534" i="2"/>
  <c r="L102" i="2"/>
  <c r="L1175" i="2"/>
  <c r="L749" i="2"/>
  <c r="L317" i="2"/>
  <c r="L954" i="2"/>
  <c r="L953" i="2"/>
  <c r="L952" i="2"/>
  <c r="L529" i="2"/>
  <c r="L1170" i="2"/>
  <c r="L746" i="2"/>
  <c r="L947" i="2"/>
  <c r="L1169" i="2"/>
  <c r="L1168" i="2"/>
  <c r="L525" i="2"/>
  <c r="L944" i="2"/>
  <c r="L312" i="2"/>
  <c r="L90" i="2"/>
  <c r="L941" i="2"/>
  <c r="L311" i="2"/>
  <c r="L309" i="2"/>
  <c r="L939" i="2"/>
  <c r="L938" i="2"/>
  <c r="L520" i="2"/>
  <c r="L308" i="2"/>
  <c r="L1158" i="2"/>
  <c r="L83" i="2"/>
  <c r="L1155" i="2"/>
  <c r="L307" i="2"/>
  <c r="L935" i="2"/>
  <c r="L79" i="2"/>
  <c r="L736" i="2"/>
  <c r="L76" i="2"/>
  <c r="L515" i="2"/>
  <c r="L730" i="2"/>
  <c r="L934" i="2"/>
  <c r="L512" i="2"/>
  <c r="L73" i="2"/>
  <c r="L72" i="2"/>
  <c r="L1148" i="2"/>
  <c r="L929" i="2"/>
  <c r="L70" i="2"/>
  <c r="L300" i="2"/>
  <c r="L508" i="2"/>
  <c r="L1143" i="2"/>
  <c r="L928" i="2"/>
  <c r="L720" i="2"/>
  <c r="L926" i="2"/>
  <c r="L1142" i="2"/>
  <c r="L292" i="2"/>
  <c r="L1140" i="2"/>
  <c r="L716" i="2"/>
  <c r="L289" i="2"/>
  <c r="L65" i="2"/>
  <c r="L500" i="2"/>
  <c r="L287" i="2"/>
  <c r="L922" i="2"/>
  <c r="L1136" i="2"/>
  <c r="L282" i="2"/>
  <c r="L497" i="2"/>
  <c r="L280" i="2"/>
  <c r="L919" i="2"/>
  <c r="L60" i="2"/>
  <c r="L494" i="2"/>
  <c r="L493" i="2"/>
  <c r="L58" i="2"/>
  <c r="L491" i="2"/>
  <c r="L916" i="2"/>
  <c r="L914" i="2"/>
  <c r="L913" i="2"/>
  <c r="L705" i="2"/>
  <c r="L271" i="2"/>
  <c r="L270" i="2"/>
  <c r="L488" i="2"/>
  <c r="L907" i="2"/>
  <c r="L704" i="2"/>
  <c r="L53" i="2"/>
  <c r="L1123" i="2"/>
  <c r="L265" i="2"/>
  <c r="L905" i="2"/>
  <c r="L700" i="2"/>
  <c r="L1119" i="2"/>
  <c r="L484" i="2"/>
  <c r="L482" i="2"/>
  <c r="L261" i="2"/>
  <c r="L899" i="2"/>
  <c r="L46" i="2"/>
  <c r="L479" i="2"/>
  <c r="L44" i="2"/>
  <c r="L896" i="2"/>
  <c r="L256" i="2"/>
  <c r="L1117" i="2"/>
  <c r="L42" i="2"/>
  <c r="L692" i="2"/>
  <c r="L253" i="2"/>
  <c r="L691" i="2"/>
  <c r="L890" i="2"/>
  <c r="L39" i="2"/>
  <c r="L688" i="2"/>
  <c r="L473" i="2"/>
  <c r="L887" i="2"/>
  <c r="L1111" i="2"/>
  <c r="L250" i="2"/>
  <c r="L684" i="2"/>
  <c r="L1110" i="2"/>
  <c r="L682" i="2"/>
  <c r="L681" i="2"/>
  <c r="L32" i="2"/>
  <c r="L30" i="2"/>
  <c r="L1108" i="2"/>
  <c r="L463" i="2"/>
  <c r="L28" i="2"/>
  <c r="L881" i="2"/>
  <c r="L676" i="2"/>
  <c r="L1105" i="2"/>
  <c r="L675" i="2"/>
  <c r="L23" i="2"/>
  <c r="L672" i="2"/>
  <c r="L239" i="2"/>
  <c r="L1101" i="2"/>
  <c r="L669" i="2"/>
  <c r="L237" i="2"/>
  <c r="L667" i="2"/>
  <c r="L665" i="2"/>
  <c r="L878" i="2"/>
  <c r="L235" i="2"/>
  <c r="L662" i="2"/>
  <c r="L1092" i="2"/>
  <c r="L661" i="2"/>
  <c r="L875" i="2"/>
  <c r="L1091" i="2"/>
  <c r="L450" i="2"/>
  <c r="L15" i="2"/>
  <c r="L654" i="2"/>
  <c r="L448" i="2"/>
  <c r="L12" i="2"/>
  <c r="L1088" i="2"/>
  <c r="L871" i="2"/>
  <c r="L869" i="2"/>
  <c r="L652" i="2"/>
  <c r="L868" i="2"/>
  <c r="L650" i="2"/>
  <c r="L866" i="2"/>
  <c r="L1292" i="2"/>
  <c r="L1293" i="2"/>
  <c r="L1295" i="2"/>
  <c r="L1296" i="2"/>
  <c r="L1294" i="2"/>
  <c r="L1297" i="2"/>
  <c r="L865" i="2"/>
  <c r="L648" i="2"/>
  <c r="L441" i="2"/>
  <c r="L440" i="2"/>
  <c r="L863" i="2"/>
  <c r="L647" i="2"/>
  <c r="L1075" i="2"/>
  <c r="L645" i="2"/>
  <c r="L436" i="2"/>
  <c r="L433" i="2"/>
  <c r="L219" i="2"/>
  <c r="L2" i="2"/>
  <c r="L1072" i="2"/>
  <c r="L216" i="2"/>
  <c r="M1286" i="2"/>
  <c r="M1290" i="2"/>
  <c r="M1287" i="2"/>
  <c r="M1291" i="2"/>
  <c r="M1288" i="2"/>
  <c r="M1289" i="2"/>
  <c r="M1294" i="2"/>
  <c r="M1295" i="2"/>
  <c r="M1292" i="2"/>
  <c r="M1296" i="2"/>
  <c r="M1293" i="2"/>
  <c r="M1297" i="2"/>
  <c r="AN18" i="6"/>
  <c r="AN19" i="6"/>
  <c r="AL39" i="6"/>
  <c r="AL43" i="6"/>
  <c r="AL40" i="6"/>
  <c r="AL38" i="6"/>
  <c r="AJ33" i="6"/>
  <c r="AJ37" i="6"/>
  <c r="AJ32" i="6"/>
  <c r="AJ36" i="6"/>
  <c r="AN39" i="6"/>
  <c r="AN43" i="6"/>
  <c r="AN40" i="6"/>
  <c r="AN41" i="6"/>
  <c r="AN38" i="6"/>
  <c r="AI44" i="6"/>
  <c r="AI48" i="6"/>
  <c r="AI45" i="6"/>
  <c r="AI49" i="6"/>
  <c r="AI46" i="6"/>
  <c r="AI47" i="6"/>
  <c r="AM48" i="6"/>
  <c r="AM49" i="6"/>
  <c r="AM47" i="6"/>
  <c r="AM46" i="6"/>
  <c r="AM44" i="6"/>
  <c r="AN27" i="6"/>
  <c r="AN31" i="6"/>
  <c r="AN28" i="6"/>
  <c r="AN26" i="6"/>
  <c r="AI42" i="6"/>
  <c r="AI43" i="6"/>
  <c r="AL33" i="6"/>
  <c r="AL37" i="6"/>
  <c r="AL35" i="6"/>
  <c r="AL32" i="6"/>
  <c r="AN45" i="6"/>
  <c r="AN47" i="6"/>
  <c r="AN44" i="6"/>
  <c r="AN49" i="6"/>
  <c r="AI26" i="6"/>
  <c r="AI27" i="6"/>
  <c r="AI31" i="6"/>
  <c r="AL27" i="6"/>
  <c r="AL26" i="6"/>
  <c r="AL45" i="6"/>
  <c r="AL47" i="6"/>
  <c r="AL46" i="6"/>
  <c r="AL44" i="6"/>
  <c r="AK41" i="6"/>
  <c r="AK42" i="6"/>
  <c r="AK39" i="6"/>
  <c r="AK43" i="6"/>
  <c r="AK26" i="6"/>
  <c r="AK30" i="6"/>
  <c r="AK27" i="6"/>
  <c r="AK31" i="6"/>
  <c r="AK28" i="6"/>
  <c r="AN33" i="6"/>
  <c r="AN37" i="6"/>
  <c r="AN32" i="6"/>
  <c r="AN36" i="6"/>
  <c r="AJ39" i="6"/>
  <c r="AJ43" i="6"/>
  <c r="AJ40" i="6"/>
  <c r="AJ41" i="6"/>
  <c r="AJ38" i="6"/>
  <c r="AJ27" i="6"/>
  <c r="AJ31" i="6"/>
  <c r="AJ28" i="6"/>
  <c r="AJ26" i="6"/>
  <c r="AM24" i="6"/>
  <c r="AM25" i="6"/>
  <c r="AM35" i="6"/>
  <c r="AM36" i="6"/>
  <c r="AM37" i="6"/>
  <c r="AK44" i="6"/>
  <c r="AK49" i="6"/>
  <c r="AK47" i="6"/>
  <c r="AM29" i="6"/>
  <c r="AM30" i="6"/>
  <c r="AM27" i="6"/>
  <c r="AM31" i="6"/>
  <c r="AI35" i="6"/>
  <c r="AI32" i="6"/>
  <c r="AI36" i="6"/>
  <c r="AI33" i="6"/>
  <c r="AI37" i="6"/>
  <c r="AI34" i="6"/>
  <c r="AM42" i="6"/>
  <c r="AM43" i="6"/>
  <c r="AK35" i="6"/>
  <c r="AK32" i="6"/>
  <c r="AK36" i="6"/>
  <c r="AK33" i="6"/>
  <c r="AK37" i="6"/>
  <c r="AK34" i="6"/>
  <c r="AJ45" i="6"/>
  <c r="AJ46" i="6"/>
  <c r="AJ49" i="6"/>
  <c r="AJ44" i="6"/>
  <c r="AJ48" i="6"/>
  <c r="M857" i="2"/>
  <c r="M643" i="2"/>
  <c r="M855" i="2"/>
  <c r="M641" i="2"/>
  <c r="M205" i="2"/>
  <c r="M636" i="2"/>
  <c r="M634" i="2"/>
  <c r="M1057" i="2"/>
  <c r="M843" i="2"/>
  <c r="M1275" i="2"/>
  <c r="M419" i="2"/>
  <c r="M839" i="2"/>
  <c r="M836" i="2"/>
  <c r="M1258" i="2"/>
  <c r="M614" i="2"/>
  <c r="M826" i="2"/>
  <c r="M399" i="2"/>
  <c r="M355" i="2"/>
  <c r="M324" i="2"/>
  <c r="M1173" i="2"/>
  <c r="M1071" i="2"/>
  <c r="M214" i="2"/>
  <c r="M213" i="2"/>
  <c r="M212" i="2"/>
  <c r="M1284" i="2"/>
  <c r="M1282" i="2"/>
  <c r="M1068" i="2"/>
  <c r="M426" i="2"/>
  <c r="M209" i="2"/>
  <c r="M1281" i="2"/>
  <c r="M639" i="2"/>
  <c r="M422" i="2"/>
  <c r="M1053" i="2"/>
  <c r="M1049" i="2"/>
  <c r="M186" i="2"/>
  <c r="M1026" i="2"/>
  <c r="M853" i="2"/>
  <c r="M1283" i="2"/>
  <c r="M208" i="2"/>
  <c r="M1062" i="2"/>
  <c r="M1272" i="2"/>
  <c r="M194" i="2"/>
  <c r="M625" i="2"/>
  <c r="M1044" i="2"/>
  <c r="M193" i="2"/>
  <c r="M192" i="2"/>
  <c r="M191" i="2"/>
  <c r="M1259" i="2"/>
  <c r="M619" i="2"/>
  <c r="M189" i="2"/>
  <c r="M612" i="2"/>
  <c r="M1244" i="2"/>
  <c r="M395" i="2"/>
  <c r="M597" i="2"/>
  <c r="M390" i="2"/>
  <c r="M1020" i="2"/>
  <c r="M1016" i="2"/>
  <c r="M383" i="2"/>
  <c r="M1225" i="2"/>
  <c r="M1006" i="2"/>
  <c r="M374" i="2"/>
  <c r="M801" i="2"/>
  <c r="M1218" i="2"/>
  <c r="M364" i="2"/>
  <c r="M579" i="2"/>
  <c r="M577" i="2"/>
  <c r="M998" i="2"/>
  <c r="M793" i="2"/>
  <c r="M990" i="2"/>
  <c r="M569" i="2"/>
  <c r="M785" i="2"/>
  <c r="M1203" i="2"/>
  <c r="M128" i="2"/>
  <c r="M1195" i="2"/>
  <c r="M125" i="2"/>
  <c r="M555" i="2"/>
  <c r="M120" i="2"/>
  <c r="M772" i="2"/>
  <c r="M550" i="2"/>
  <c r="M766" i="2"/>
  <c r="M544" i="2"/>
  <c r="M962" i="2"/>
  <c r="M539" i="2"/>
  <c r="M960" i="2"/>
  <c r="M1047" i="2"/>
  <c r="M1268" i="2"/>
  <c r="M187" i="2"/>
  <c r="M183" i="2"/>
  <c r="M181" i="2"/>
  <c r="M406" i="2"/>
  <c r="M405" i="2"/>
  <c r="M1252" i="2"/>
  <c r="M610" i="2"/>
  <c r="M403" i="2"/>
  <c r="M822" i="2"/>
  <c r="M604" i="2"/>
  <c r="M1245" i="2"/>
  <c r="M166" i="2"/>
  <c r="M1025" i="2"/>
  <c r="M158" i="2"/>
  <c r="M157" i="2"/>
  <c r="M817" i="2"/>
  <c r="M1233" i="2"/>
  <c r="M1228" i="2"/>
  <c r="M150" i="2"/>
  <c r="M148" i="2"/>
  <c r="M147" i="2"/>
  <c r="M1010" i="2"/>
  <c r="M803" i="2"/>
  <c r="M371" i="2"/>
  <c r="M1220" i="2"/>
  <c r="M791" i="2"/>
  <c r="M353" i="2"/>
  <c r="M786" i="2"/>
  <c r="M130" i="2"/>
  <c r="M782" i="2"/>
  <c r="M351" i="2"/>
  <c r="M980" i="2"/>
  <c r="M557" i="2"/>
  <c r="M123" i="2"/>
  <c r="M122" i="2"/>
  <c r="M1186" i="2"/>
  <c r="M338" i="2"/>
  <c r="M549" i="2"/>
  <c r="M547" i="2"/>
  <c r="M762" i="2"/>
  <c r="M108" i="2"/>
  <c r="M540" i="2"/>
  <c r="M326" i="2"/>
  <c r="M1278" i="2"/>
  <c r="M847" i="2"/>
  <c r="M202" i="2"/>
  <c r="M1055" i="2"/>
  <c r="M1274" i="2"/>
  <c r="M414" i="2"/>
  <c r="M1266" i="2"/>
  <c r="M175" i="2"/>
  <c r="M823" i="2"/>
  <c r="M172" i="2"/>
  <c r="M169" i="2"/>
  <c r="M1246" i="2"/>
  <c r="M1243" i="2"/>
  <c r="M1022" i="2"/>
  <c r="M1236" i="2"/>
  <c r="M1231" i="2"/>
  <c r="M382" i="2"/>
  <c r="M1226" i="2"/>
  <c r="M804" i="2"/>
  <c r="M1222" i="2"/>
  <c r="M800" i="2"/>
  <c r="M1002" i="2"/>
  <c r="M363" i="2"/>
  <c r="M797" i="2"/>
  <c r="M796" i="2"/>
  <c r="M573" i="2"/>
  <c r="M357" i="2"/>
  <c r="M991" i="2"/>
  <c r="M986" i="2"/>
  <c r="M567" i="2"/>
  <c r="M129" i="2"/>
  <c r="M1197" i="2"/>
  <c r="M979" i="2"/>
  <c r="M556" i="2"/>
  <c r="M976" i="2"/>
  <c r="M771" i="2"/>
  <c r="M117" i="2"/>
  <c r="M767" i="2"/>
  <c r="M764" i="2"/>
  <c r="M1280" i="2"/>
  <c r="M424" i="2"/>
  <c r="M1059" i="2"/>
  <c r="M635" i="2"/>
  <c r="M633" i="2"/>
  <c r="M844" i="2"/>
  <c r="M1276" i="2"/>
  <c r="M632" i="2"/>
  <c r="M630" i="2"/>
  <c r="M1270" i="2"/>
  <c r="M416" i="2"/>
  <c r="M415" i="2"/>
  <c r="M198" i="2"/>
  <c r="M837" i="2"/>
  <c r="M196" i="2"/>
  <c r="M628" i="2"/>
  <c r="M1264" i="2"/>
  <c r="M626" i="2"/>
  <c r="M1263" i="2"/>
  <c r="M622" i="2"/>
  <c r="M834" i="2"/>
  <c r="M833" i="2"/>
  <c r="M1260" i="2"/>
  <c r="M411" i="2"/>
  <c r="M617" i="2"/>
  <c r="M188" i="2"/>
  <c r="M185" i="2"/>
  <c r="M182" i="2"/>
  <c r="M1256" i="2"/>
  <c r="M180" i="2"/>
  <c r="M179" i="2"/>
  <c r="M611" i="2"/>
  <c r="M1039" i="2"/>
  <c r="M609" i="2"/>
  <c r="M174" i="2"/>
  <c r="M402" i="2"/>
  <c r="M824" i="2"/>
  <c r="M173" i="2"/>
  <c r="M758" i="2"/>
  <c r="M756" i="2"/>
  <c r="M1176" i="2"/>
  <c r="M322" i="2"/>
  <c r="M320" i="2"/>
  <c r="M533" i="2"/>
  <c r="M751" i="2"/>
  <c r="M1174" i="2"/>
  <c r="M957" i="2"/>
  <c r="M100" i="2"/>
  <c r="M953" i="2"/>
  <c r="M316" i="2"/>
  <c r="M315" i="2"/>
  <c r="M98" i="2"/>
  <c r="M746" i="2"/>
  <c r="M947" i="2"/>
  <c r="M946" i="2"/>
  <c r="M95" i="2"/>
  <c r="M93" i="2"/>
  <c r="M313" i="2"/>
  <c r="M92" i="2"/>
  <c r="M1165" i="2"/>
  <c r="M942" i="2"/>
  <c r="M311" i="2"/>
  <c r="M743" i="2"/>
  <c r="M1162" i="2"/>
  <c r="M938" i="2"/>
  <c r="M519" i="2"/>
  <c r="M518" i="2"/>
  <c r="M740" i="2"/>
  <c r="M1154" i="2"/>
  <c r="M516" i="2"/>
  <c r="M80" i="2"/>
  <c r="M737" i="2"/>
  <c r="M75" i="2"/>
  <c r="M730" i="2"/>
  <c r="M513" i="2"/>
  <c r="M1150" i="2"/>
  <c r="M511" i="2"/>
  <c r="M931" i="2"/>
  <c r="M1149" i="2"/>
  <c r="M302" i="2"/>
  <c r="M70" i="2"/>
  <c r="M300" i="2"/>
  <c r="M508" i="2"/>
  <c r="M1143" i="2"/>
  <c r="M721" i="2"/>
  <c r="M294" i="2"/>
  <c r="M925" i="2"/>
  <c r="M293" i="2"/>
  <c r="M291" i="2"/>
  <c r="M505" i="2"/>
  <c r="M1139" i="2"/>
  <c r="M289" i="2"/>
  <c r="M66" i="2"/>
  <c r="M502" i="2"/>
  <c r="M714" i="2"/>
  <c r="M1137" i="2"/>
  <c r="M922" i="2"/>
  <c r="M713" i="2"/>
  <c r="M63" i="2"/>
  <c r="M281" i="2"/>
  <c r="M712" i="2"/>
  <c r="M279" i="2"/>
  <c r="M495" i="2"/>
  <c r="M917" i="2"/>
  <c r="M59" i="2"/>
  <c r="M493" i="2"/>
  <c r="M58" i="2"/>
  <c r="M492" i="2"/>
  <c r="M490" i="2"/>
  <c r="M915" i="2"/>
  <c r="M1131" i="2"/>
  <c r="M912" i="2"/>
  <c r="M55" i="2"/>
  <c r="M911" i="2"/>
  <c r="M1128" i="2"/>
  <c r="M1127" i="2"/>
  <c r="M907" i="2"/>
  <c r="M1124" i="2"/>
  <c r="M1123" i="2"/>
  <c r="M1122" i="2"/>
  <c r="M51" i="2"/>
  <c r="M904" i="2"/>
  <c r="M902" i="2"/>
  <c r="M901" i="2"/>
  <c r="M49" i="2"/>
  <c r="M699" i="2"/>
  <c r="M259" i="2"/>
  <c r="M696" i="2"/>
  <c r="M897" i="2"/>
  <c r="M694" i="2"/>
  <c r="M693" i="2"/>
  <c r="M43" i="2"/>
  <c r="M42" i="2"/>
  <c r="M692" i="2"/>
  <c r="M893" i="2"/>
  <c r="M891" i="2"/>
  <c r="M1114" i="2"/>
  <c r="M690" i="2"/>
  <c r="M688" i="2"/>
  <c r="M473" i="2"/>
  <c r="M887" i="2"/>
  <c r="M1111" i="2"/>
  <c r="M250" i="2"/>
  <c r="M249" i="2"/>
  <c r="M683" i="2"/>
  <c r="M682" i="2"/>
  <c r="M681" i="2"/>
  <c r="M32" i="2"/>
  <c r="M884" i="2"/>
  <c r="M464" i="2"/>
  <c r="M29" i="2"/>
  <c r="M462" i="2"/>
  <c r="M882" i="2"/>
  <c r="M677" i="2"/>
  <c r="M460" i="2"/>
  <c r="M1105" i="2"/>
  <c r="M675" i="2"/>
  <c r="M1104" i="2"/>
  <c r="M1103" i="2"/>
  <c r="M457" i="2"/>
  <c r="M670" i="2"/>
  <c r="M666" i="2"/>
  <c r="M1097" i="2"/>
  <c r="M18" i="2"/>
  <c r="M663" i="2"/>
  <c r="M1093" i="2"/>
  <c r="M1092" i="2"/>
  <c r="M661" i="2"/>
  <c r="M875" i="2"/>
  <c r="M1091" i="2"/>
  <c r="M450" i="2"/>
  <c r="M15" i="2"/>
  <c r="M654" i="2"/>
  <c r="M653" i="2"/>
  <c r="M12" i="2"/>
  <c r="M872" i="2"/>
  <c r="M11" i="2"/>
  <c r="M870" i="2"/>
  <c r="M1085" i="2"/>
  <c r="M1083" i="2"/>
  <c r="M868" i="2"/>
  <c r="M444" i="2"/>
  <c r="M867" i="2"/>
  <c r="M226" i="2"/>
  <c r="M9" i="2"/>
  <c r="M864" i="2"/>
  <c r="M7" i="2"/>
  <c r="M1078" i="2"/>
  <c r="M1076" i="2"/>
  <c r="M647" i="2"/>
  <c r="M646" i="2"/>
  <c r="M1074" i="2"/>
  <c r="M434" i="2"/>
  <c r="M4" i="2"/>
  <c r="M1073" i="2"/>
  <c r="M430" i="2"/>
  <c r="M215" i="2"/>
  <c r="M856" i="2"/>
  <c r="M1070" i="2"/>
  <c r="M210" i="2"/>
  <c r="M1069" i="2"/>
  <c r="M851" i="2"/>
  <c r="M1067" i="2"/>
  <c r="M1065" i="2"/>
  <c r="M1064" i="2"/>
  <c r="M640" i="2"/>
  <c r="M1063" i="2"/>
  <c r="M425" i="2"/>
  <c r="M206" i="2"/>
  <c r="M848" i="2"/>
  <c r="M638" i="2"/>
  <c r="M1058" i="2"/>
  <c r="M204" i="2"/>
  <c r="M203" i="2"/>
  <c r="M1054" i="2"/>
  <c r="M842" i="2"/>
  <c r="M200" i="2"/>
  <c r="M841" i="2"/>
  <c r="M840" i="2"/>
  <c r="M1051" i="2"/>
  <c r="M1273" i="2"/>
  <c r="M1271" i="2"/>
  <c r="M418" i="2"/>
  <c r="M1269" i="2"/>
  <c r="M413" i="2"/>
  <c r="M629" i="2"/>
  <c r="M1046" i="2"/>
  <c r="M412" i="2"/>
  <c r="M627" i="2"/>
  <c r="M624" i="2"/>
  <c r="M623" i="2"/>
  <c r="M621" i="2"/>
  <c r="M1042" i="2"/>
  <c r="M190" i="2"/>
  <c r="M832" i="2"/>
  <c r="M410" i="2"/>
  <c r="M1041" i="2"/>
  <c r="M831" i="2"/>
  <c r="M184" i="2"/>
  <c r="M830" i="2"/>
  <c r="M1040" i="2"/>
  <c r="M407" i="2"/>
  <c r="M1255" i="2"/>
  <c r="M613" i="2"/>
  <c r="M1253" i="2"/>
  <c r="M828" i="2"/>
  <c r="M177" i="2"/>
  <c r="M176" i="2"/>
  <c r="M825" i="2"/>
  <c r="M1038" i="2"/>
  <c r="M1250" i="2"/>
  <c r="M1036" i="2"/>
  <c r="M1035" i="2"/>
  <c r="M821" i="2"/>
  <c r="M606" i="2"/>
  <c r="M1033" i="2"/>
  <c r="M603" i="2"/>
  <c r="M1031" i="2"/>
  <c r="M1030" i="2"/>
  <c r="M601" i="2"/>
  <c r="M397" i="2"/>
  <c r="M1027" i="2"/>
  <c r="M163" i="2"/>
  <c r="M599" i="2"/>
  <c r="M160" i="2"/>
  <c r="M1024" i="2"/>
  <c r="M1023" i="2"/>
  <c r="M818" i="2"/>
  <c r="M394" i="2"/>
  <c r="M155" i="2"/>
  <c r="M1241" i="2"/>
  <c r="M1239" i="2"/>
  <c r="M816" i="2"/>
  <c r="M154" i="2"/>
  <c r="M815" i="2"/>
  <c r="M1019" i="2"/>
  <c r="M1232" i="2"/>
  <c r="M814" i="2"/>
  <c r="M812" i="2"/>
  <c r="M1230" i="2"/>
  <c r="M810" i="2"/>
  <c r="M1015" i="2"/>
  <c r="M589" i="2"/>
  <c r="M588" i="2"/>
  <c r="M587" i="2"/>
  <c r="M149" i="2"/>
  <c r="M379" i="2"/>
  <c r="M146" i="2"/>
  <c r="M585" i="2"/>
  <c r="M1012" i="2"/>
  <c r="M376" i="2"/>
  <c r="M584" i="2"/>
  <c r="M144" i="2"/>
  <c r="M583" i="2"/>
  <c r="M373" i="2"/>
  <c r="M802" i="2"/>
  <c r="M1003" i="2"/>
  <c r="M368" i="2"/>
  <c r="M1221" i="2"/>
  <c r="M580" i="2"/>
  <c r="M138" i="2"/>
  <c r="M1000" i="2"/>
  <c r="M135" i="2"/>
  <c r="M1216" i="2"/>
  <c r="M361" i="2"/>
  <c r="M575" i="2"/>
  <c r="M996" i="2"/>
  <c r="M795" i="2"/>
  <c r="M995" i="2"/>
  <c r="M994" i="2"/>
  <c r="M356" i="2"/>
  <c r="M992" i="2"/>
  <c r="M792" i="2"/>
  <c r="M989" i="2"/>
  <c r="M790" i="2"/>
  <c r="M568" i="2"/>
  <c r="M985" i="2"/>
  <c r="M784" i="2"/>
  <c r="M1204" i="2"/>
  <c r="M565" i="2"/>
  <c r="M1202" i="2"/>
  <c r="M1200" i="2"/>
  <c r="M350" i="2"/>
  <c r="M561" i="2"/>
  <c r="M127" i="2"/>
  <c r="M560" i="2"/>
  <c r="M780" i="2"/>
  <c r="M978" i="2"/>
  <c r="M347" i="2"/>
  <c r="M1194" i="2"/>
  <c r="M1193" i="2"/>
  <c r="M776" i="2"/>
  <c r="M775" i="2"/>
  <c r="M121" i="2"/>
  <c r="M344" i="2"/>
  <c r="M554" i="2"/>
  <c r="M974" i="2"/>
  <c r="M972" i="2"/>
  <c r="M339" i="2"/>
  <c r="M553" i="2"/>
  <c r="M971" i="2"/>
  <c r="M770" i="2"/>
  <c r="M968" i="2"/>
  <c r="M336" i="2"/>
  <c r="M548" i="2"/>
  <c r="M113" i="2"/>
  <c r="M335" i="2"/>
  <c r="M333" i="2"/>
  <c r="M965" i="2"/>
  <c r="M763" i="2"/>
  <c r="M331" i="2"/>
  <c r="M1181" i="2"/>
  <c r="M1180" i="2"/>
  <c r="M541" i="2"/>
  <c r="M328" i="2"/>
  <c r="M327" i="2"/>
  <c r="M538" i="2"/>
  <c r="M537" i="2"/>
  <c r="M536" i="2"/>
  <c r="M323" i="2"/>
  <c r="M103" i="2"/>
  <c r="M535" i="2"/>
  <c r="M321" i="2"/>
  <c r="M534" i="2"/>
  <c r="M753" i="2"/>
  <c r="M101" i="2"/>
  <c r="M958" i="2"/>
  <c r="M956" i="2"/>
  <c r="M532" i="2"/>
  <c r="M531" i="2"/>
  <c r="M952" i="2"/>
  <c r="M529" i="2"/>
  <c r="M747" i="2"/>
  <c r="M97" i="2"/>
  <c r="M526" i="2"/>
  <c r="M523" i="2"/>
  <c r="M91" i="2"/>
  <c r="M744" i="2"/>
  <c r="M88" i="2"/>
  <c r="M310" i="2"/>
  <c r="M309" i="2"/>
  <c r="M1160" i="2"/>
  <c r="M85" i="2"/>
  <c r="M521" i="2"/>
  <c r="M741" i="2"/>
  <c r="M937" i="2"/>
  <c r="M936" i="2"/>
  <c r="M739" i="2"/>
  <c r="M82" i="2"/>
  <c r="M1153" i="2"/>
  <c r="M306" i="2"/>
  <c r="M305" i="2"/>
  <c r="M78" i="2"/>
  <c r="M733" i="2"/>
  <c r="M732" i="2"/>
  <c r="M514" i="2"/>
  <c r="M934" i="2"/>
  <c r="M512" i="2"/>
  <c r="M728" i="2"/>
  <c r="M727" i="2"/>
  <c r="M71" i="2"/>
  <c r="M1147" i="2"/>
  <c r="M301" i="2"/>
  <c r="M69" i="2"/>
  <c r="M68" i="2"/>
  <c r="M299" i="2"/>
  <c r="M722" i="2"/>
  <c r="M928" i="2"/>
  <c r="M720" i="2"/>
  <c r="M926" i="2"/>
  <c r="M290" i="2"/>
  <c r="M504" i="2"/>
  <c r="M924" i="2"/>
  <c r="M923" i="2"/>
  <c r="M65" i="2"/>
  <c r="M501" i="2"/>
  <c r="M499" i="2"/>
  <c r="M286" i="2"/>
  <c r="M498" i="2"/>
  <c r="M62" i="2"/>
  <c r="M61" i="2"/>
  <c r="M918" i="2"/>
  <c r="M1134" i="2"/>
  <c r="M711" i="2"/>
  <c r="M710" i="2"/>
  <c r="M491" i="2"/>
  <c r="M56" i="2"/>
  <c r="M707" i="2"/>
  <c r="M274" i="2"/>
  <c r="M706" i="2"/>
  <c r="M1130" i="2"/>
  <c r="M910" i="2"/>
  <c r="M487" i="2"/>
  <c r="M704" i="2"/>
  <c r="M268" i="2"/>
  <c r="M486" i="2"/>
  <c r="M265" i="2"/>
  <c r="M905" i="2"/>
  <c r="M700" i="2"/>
  <c r="M1119" i="2"/>
  <c r="M484" i="2"/>
  <c r="M900" i="2"/>
  <c r="M262" i="2"/>
  <c r="M48" i="2"/>
  <c r="M47" i="2"/>
  <c r="M698" i="2"/>
  <c r="M479" i="2"/>
  <c r="M258" i="2"/>
  <c r="M478" i="2"/>
  <c r="M895" i="2"/>
  <c r="M254" i="2"/>
  <c r="M41" i="2"/>
  <c r="M253" i="2"/>
  <c r="M1116" i="2"/>
  <c r="M689" i="2"/>
  <c r="M888" i="2"/>
  <c r="M1112" i="2"/>
  <c r="M472" i="2"/>
  <c r="M251" i="2"/>
  <c r="M36" i="2"/>
  <c r="M684" i="2"/>
  <c r="M33" i="2"/>
  <c r="M247" i="2"/>
  <c r="M466" i="2"/>
  <c r="M30" i="2"/>
  <c r="M1108" i="2"/>
  <c r="M463" i="2"/>
  <c r="M678" i="2"/>
  <c r="M1107" i="2"/>
  <c r="M461" i="2"/>
  <c r="M880" i="2"/>
  <c r="M674" i="2"/>
  <c r="M242" i="2"/>
  <c r="M240" i="2"/>
  <c r="M239" i="2"/>
  <c r="M1101" i="2"/>
  <c r="M669" i="2"/>
  <c r="M22" i="2"/>
  <c r="M21" i="2"/>
  <c r="M665" i="2"/>
  <c r="M1096" i="2"/>
  <c r="M877" i="2"/>
  <c r="M235" i="2"/>
  <c r="M17" i="2"/>
  <c r="M455" i="2"/>
  <c r="M660" i="2"/>
  <c r="M658" i="2"/>
  <c r="M452" i="2"/>
  <c r="M1090" i="2"/>
  <c r="M14" i="2"/>
  <c r="M232" i="2"/>
  <c r="M447" i="2"/>
  <c r="M1088" i="2"/>
  <c r="M229" i="2"/>
  <c r="M869" i="2"/>
  <c r="M228" i="2"/>
  <c r="M1082" i="2"/>
  <c r="M650" i="2"/>
  <c r="M866" i="2"/>
  <c r="M8" i="2"/>
  <c r="M225" i="2"/>
  <c r="M224" i="2"/>
  <c r="M1077" i="2"/>
  <c r="M6" i="2"/>
  <c r="M438" i="2"/>
  <c r="M1075" i="2"/>
  <c r="M645" i="2"/>
  <c r="M5" i="2"/>
  <c r="M859" i="2"/>
  <c r="M432" i="2"/>
  <c r="M858" i="2"/>
  <c r="M218" i="2"/>
  <c r="M429" i="2"/>
  <c r="M428" i="2"/>
  <c r="M1285" i="2"/>
  <c r="M854" i="2"/>
  <c r="M211" i="2"/>
  <c r="M642" i="2"/>
  <c r="M852" i="2"/>
  <c r="M427" i="2"/>
  <c r="M1066" i="2"/>
  <c r="M850" i="2"/>
  <c r="M207" i="2"/>
  <c r="M849" i="2"/>
  <c r="M1061" i="2"/>
  <c r="M1060" i="2"/>
  <c r="M1279" i="2"/>
  <c r="M423" i="2"/>
  <c r="M637" i="2"/>
  <c r="M1277" i="2"/>
  <c r="M846" i="2"/>
  <c r="M1056" i="2"/>
  <c r="M421" i="2"/>
  <c r="M845" i="2"/>
  <c r="M201" i="2"/>
  <c r="M1052" i="2"/>
  <c r="M420" i="2"/>
  <c r="M631" i="2"/>
  <c r="M199" i="2"/>
  <c r="M1050" i="2"/>
  <c r="M1048" i="2"/>
  <c r="M417" i="2"/>
  <c r="M838" i="2"/>
  <c r="M197" i="2"/>
  <c r="M1267" i="2"/>
  <c r="M195" i="2"/>
  <c r="M1265" i="2"/>
  <c r="M1045" i="2"/>
  <c r="M835" i="2"/>
  <c r="M1043" i="2"/>
  <c r="M1262" i="2"/>
  <c r="M1261" i="2"/>
  <c r="M620" i="2"/>
  <c r="M618" i="2"/>
  <c r="M616" i="2"/>
  <c r="M615" i="2"/>
  <c r="M409" i="2"/>
  <c r="M1257" i="2"/>
  <c r="M408" i="2"/>
  <c r="M829" i="2"/>
  <c r="M1254" i="2"/>
  <c r="M178" i="2"/>
  <c r="M827" i="2"/>
  <c r="M1251" i="2"/>
  <c r="M404" i="2"/>
  <c r="M1037" i="2"/>
  <c r="M608" i="2"/>
  <c r="M401" i="2"/>
  <c r="M171" i="2"/>
  <c r="M400" i="2"/>
  <c r="M605" i="2"/>
  <c r="M168" i="2"/>
  <c r="M820" i="2"/>
  <c r="M602" i="2"/>
  <c r="M167" i="2"/>
  <c r="M1028" i="2"/>
  <c r="M164" i="2"/>
  <c r="M396" i="2"/>
  <c r="M162" i="2"/>
  <c r="M159" i="2"/>
  <c r="M598" i="2"/>
  <c r="M156" i="2"/>
  <c r="M393" i="2"/>
  <c r="M1240" i="2"/>
  <c r="M389" i="2"/>
  <c r="M593" i="2"/>
  <c r="M1238" i="2"/>
  <c r="M153" i="2"/>
  <c r="M1018" i="2"/>
  <c r="M388" i="2"/>
  <c r="M152" i="2"/>
  <c r="M387" i="2"/>
  <c r="M811" i="2"/>
  <c r="M385" i="2"/>
  <c r="M591" i="2"/>
  <c r="M381" i="2"/>
  <c r="M809" i="2"/>
  <c r="M807" i="2"/>
  <c r="M1014" i="2"/>
  <c r="M1013" i="2"/>
  <c r="M378" i="2"/>
  <c r="M145" i="2"/>
  <c r="M1011" i="2"/>
  <c r="M805" i="2"/>
  <c r="M1007" i="2"/>
  <c r="M375" i="2"/>
  <c r="M372" i="2"/>
  <c r="M582" i="2"/>
  <c r="M142" i="2"/>
  <c r="M369" i="2"/>
  <c r="M140" i="2"/>
  <c r="M366" i="2"/>
  <c r="M581" i="2"/>
  <c r="M799" i="2"/>
  <c r="M1001" i="2"/>
  <c r="M137" i="2"/>
  <c r="M136" i="2"/>
  <c r="M362" i="2"/>
  <c r="M576" i="2"/>
  <c r="M1215" i="2"/>
  <c r="M360" i="2"/>
  <c r="M359" i="2"/>
  <c r="M358" i="2"/>
  <c r="M1212" i="2"/>
  <c r="M1211" i="2"/>
  <c r="M134" i="2"/>
  <c r="M354" i="2"/>
  <c r="M988" i="2"/>
  <c r="M571" i="2"/>
  <c r="M987" i="2"/>
  <c r="M788" i="2"/>
  <c r="M1208" i="2"/>
  <c r="M1207" i="2"/>
  <c r="M1205" i="2"/>
  <c r="M131" i="2"/>
  <c r="M783" i="2"/>
  <c r="M983" i="2"/>
  <c r="M564" i="2"/>
  <c r="M1201" i="2"/>
  <c r="M562" i="2"/>
  <c r="M981" i="2"/>
  <c r="M559" i="2"/>
  <c r="M1196" i="2"/>
  <c r="M349" i="2"/>
  <c r="M778" i="2"/>
  <c r="M126" i="2"/>
  <c r="M124" i="2"/>
  <c r="M777" i="2"/>
  <c r="M346" i="2"/>
  <c r="M1191" i="2"/>
  <c r="M345" i="2"/>
  <c r="M1189" i="2"/>
  <c r="M977" i="2"/>
  <c r="M773" i="2"/>
  <c r="M1187" i="2"/>
  <c r="M118" i="2"/>
  <c r="M341" i="2"/>
  <c r="M340" i="2"/>
  <c r="M552" i="2"/>
  <c r="M970" i="2"/>
  <c r="M115" i="2"/>
  <c r="M114" i="2"/>
  <c r="M967" i="2"/>
  <c r="M1183" i="2"/>
  <c r="M1182" i="2"/>
  <c r="M765" i="2"/>
  <c r="M111" i="2"/>
  <c r="M545" i="2"/>
  <c r="M543" i="2"/>
  <c r="M761" i="2"/>
  <c r="M542" i="2"/>
  <c r="M964" i="2"/>
  <c r="M1179" i="2"/>
  <c r="M961" i="2"/>
  <c r="M1178" i="2"/>
  <c r="M325" i="2"/>
  <c r="M757" i="2"/>
  <c r="M105" i="2"/>
  <c r="M755" i="2"/>
  <c r="M319" i="2"/>
  <c r="M102" i="2"/>
  <c r="M1175" i="2"/>
  <c r="M318" i="2"/>
  <c r="M955" i="2"/>
  <c r="M748" i="2"/>
  <c r="M1172" i="2"/>
  <c r="M99" i="2"/>
  <c r="M951" i="2"/>
  <c r="M950" i="2"/>
  <c r="M527" i="2"/>
  <c r="M96" i="2"/>
  <c r="M1169" i="2"/>
  <c r="M1168" i="2"/>
  <c r="M1167" i="2"/>
  <c r="M945" i="2"/>
  <c r="M944" i="2"/>
  <c r="M312" i="2"/>
  <c r="M90" i="2"/>
  <c r="M941" i="2"/>
  <c r="M522" i="2"/>
  <c r="M1163" i="2"/>
  <c r="M87" i="2"/>
  <c r="M939" i="2"/>
  <c r="M86" i="2"/>
  <c r="M742" i="2"/>
  <c r="M520" i="2"/>
  <c r="M308" i="2"/>
  <c r="M1158" i="2"/>
  <c r="M1157" i="2"/>
  <c r="M1156" i="2"/>
  <c r="M738" i="2"/>
  <c r="M81" i="2"/>
  <c r="M1152" i="2"/>
  <c r="M304" i="2"/>
  <c r="M77" i="2"/>
  <c r="M76" i="2"/>
  <c r="M515" i="2"/>
  <c r="M74" i="2"/>
  <c r="M73" i="2"/>
  <c r="M72" i="2"/>
  <c r="M1148" i="2"/>
  <c r="M510" i="2"/>
  <c r="M1146" i="2"/>
  <c r="M509" i="2"/>
  <c r="M724" i="2"/>
  <c r="M1145" i="2"/>
  <c r="M298" i="2"/>
  <c r="M297" i="2"/>
  <c r="M927" i="2"/>
  <c r="M67" i="2"/>
  <c r="M1142" i="2"/>
  <c r="M1141" i="2"/>
  <c r="M506" i="2"/>
  <c r="M718" i="2"/>
  <c r="M717" i="2"/>
  <c r="M503" i="2"/>
  <c r="M1138" i="2"/>
  <c r="M500" i="2"/>
  <c r="M64" i="2"/>
  <c r="M921" i="2"/>
  <c r="M1136" i="2"/>
  <c r="M283" i="2"/>
  <c r="M1135" i="2"/>
  <c r="M920" i="2"/>
  <c r="M496" i="2"/>
  <c r="M278" i="2"/>
  <c r="M1133" i="2"/>
  <c r="M276" i="2"/>
  <c r="M709" i="2"/>
  <c r="M916" i="2"/>
  <c r="M914" i="2"/>
  <c r="M913" i="2"/>
  <c r="M705" i="2"/>
  <c r="M271" i="2"/>
  <c r="M54" i="2"/>
  <c r="M909" i="2"/>
  <c r="M1126" i="2"/>
  <c r="M906" i="2"/>
  <c r="M269" i="2"/>
  <c r="M702" i="2"/>
  <c r="M266" i="2"/>
  <c r="M52" i="2"/>
  <c r="M701" i="2"/>
  <c r="M903" i="2"/>
  <c r="M50" i="2"/>
  <c r="M483" i="2"/>
  <c r="M482" i="2"/>
  <c r="M261" i="2"/>
  <c r="M899" i="2"/>
  <c r="M46" i="2"/>
  <c r="M1118" i="2"/>
  <c r="M44" i="2"/>
  <c r="M896" i="2"/>
  <c r="M256" i="2"/>
  <c r="M255" i="2"/>
  <c r="M477" i="2"/>
  <c r="M475" i="2"/>
  <c r="M892" i="2"/>
  <c r="M691" i="2"/>
  <c r="M40" i="2"/>
  <c r="M889" i="2"/>
  <c r="M1113" i="2"/>
  <c r="M252" i="2"/>
  <c r="M471" i="2"/>
  <c r="M886" i="2"/>
  <c r="M685" i="2"/>
  <c r="M34" i="2"/>
  <c r="M470" i="2"/>
  <c r="M1110" i="2"/>
  <c r="M248" i="2"/>
  <c r="M1109" i="2"/>
  <c r="M246" i="2"/>
  <c r="M465" i="2"/>
  <c r="M680" i="2"/>
  <c r="M243" i="2"/>
  <c r="M27" i="2"/>
  <c r="M26" i="2"/>
  <c r="M459" i="2"/>
  <c r="M25" i="2"/>
  <c r="M673" i="2"/>
  <c r="M23" i="2"/>
  <c r="M241" i="2"/>
  <c r="M671" i="2"/>
  <c r="M458" i="2"/>
  <c r="M1100" i="2"/>
  <c r="M238" i="2"/>
  <c r="M237" i="2"/>
  <c r="M20" i="2"/>
  <c r="M456" i="2"/>
  <c r="M664" i="2"/>
  <c r="M662" i="2"/>
  <c r="M234" i="2"/>
  <c r="M876" i="2"/>
  <c r="M874" i="2"/>
  <c r="M657" i="2"/>
  <c r="M656" i="2"/>
  <c r="M655" i="2"/>
  <c r="M233" i="2"/>
  <c r="M231" i="2"/>
  <c r="M1089" i="2"/>
  <c r="M230" i="2"/>
  <c r="M1087" i="2"/>
  <c r="M446" i="2"/>
  <c r="M445" i="2"/>
  <c r="M1084" i="2"/>
  <c r="M1080" i="2"/>
  <c r="M443" i="2"/>
  <c r="M865" i="2"/>
  <c r="M648" i="2"/>
  <c r="M441" i="2"/>
  <c r="M223" i="2"/>
  <c r="M439" i="2"/>
  <c r="M222" i="2"/>
  <c r="M862" i="2"/>
  <c r="M220" i="2"/>
  <c r="M436" i="2"/>
  <c r="M433" i="2"/>
  <c r="M219" i="2"/>
  <c r="M3" i="2"/>
  <c r="M431" i="2"/>
  <c r="M217" i="2"/>
  <c r="M607" i="2"/>
  <c r="M170" i="2"/>
  <c r="M1034" i="2"/>
  <c r="M1249" i="2"/>
  <c r="M1248" i="2"/>
  <c r="M1032" i="2"/>
  <c r="M1247" i="2"/>
  <c r="M398" i="2"/>
  <c r="M1029" i="2"/>
  <c r="M165" i="2"/>
  <c r="M600" i="2"/>
  <c r="M161" i="2"/>
  <c r="M819" i="2"/>
  <c r="M1242" i="2"/>
  <c r="M596" i="2"/>
  <c r="M595" i="2"/>
  <c r="M392" i="2"/>
  <c r="M391" i="2"/>
  <c r="M594" i="2"/>
  <c r="M1021" i="2"/>
  <c r="M592" i="2"/>
  <c r="M1237" i="2"/>
  <c r="M1235" i="2"/>
  <c r="M1234" i="2"/>
  <c r="M1017" i="2"/>
  <c r="M813" i="2"/>
  <c r="M386" i="2"/>
  <c r="M1229" i="2"/>
  <c r="M384" i="2"/>
  <c r="M590" i="2"/>
  <c r="M151" i="2"/>
  <c r="M808" i="2"/>
  <c r="M380" i="2"/>
  <c r="M1227" i="2"/>
  <c r="M586" i="2"/>
  <c r="M806" i="2"/>
  <c r="M377" i="2"/>
  <c r="M1009" i="2"/>
  <c r="M1008" i="2"/>
  <c r="M1224" i="2"/>
  <c r="M1005" i="2"/>
  <c r="M1004" i="2"/>
  <c r="M1223" i="2"/>
  <c r="M143" i="2"/>
  <c r="M370" i="2"/>
  <c r="M141" i="2"/>
  <c r="M367" i="2"/>
  <c r="M365" i="2"/>
  <c r="M1219" i="2"/>
  <c r="M139" i="2"/>
  <c r="M1217" i="2"/>
  <c r="M798" i="2"/>
  <c r="M578" i="2"/>
  <c r="M999" i="2"/>
  <c r="M1214" i="2"/>
  <c r="M997" i="2"/>
  <c r="M574" i="2"/>
  <c r="M1213" i="2"/>
  <c r="M794" i="2"/>
  <c r="M993" i="2"/>
  <c r="M1210" i="2"/>
  <c r="M572" i="2"/>
  <c r="M133" i="2"/>
  <c r="M1209" i="2"/>
  <c r="M570" i="2"/>
  <c r="M789" i="2"/>
  <c r="M132" i="2"/>
  <c r="M787" i="2"/>
  <c r="M1206" i="2"/>
  <c r="M984" i="2"/>
  <c r="M352" i="2"/>
  <c r="M566" i="2"/>
  <c r="M563" i="2"/>
  <c r="M982" i="2"/>
  <c r="M1199" i="2"/>
  <c r="M1198" i="2"/>
  <c r="M781" i="2"/>
  <c r="M779" i="2"/>
  <c r="M348" i="2"/>
  <c r="M558" i="2"/>
  <c r="M1192" i="2"/>
  <c r="M1190" i="2"/>
  <c r="M774" i="2"/>
  <c r="M1188" i="2"/>
  <c r="M343" i="2"/>
  <c r="M119" i="2"/>
  <c r="M975" i="2"/>
  <c r="M342" i="2"/>
  <c r="M973" i="2"/>
  <c r="M1185" i="2"/>
  <c r="M116" i="2"/>
  <c r="M1184" i="2"/>
  <c r="M551" i="2"/>
  <c r="M969" i="2"/>
  <c r="M337" i="2"/>
  <c r="M769" i="2"/>
  <c r="M768" i="2"/>
  <c r="M966" i="2"/>
  <c r="M112" i="2"/>
  <c r="M334" i="2"/>
  <c r="M546" i="2"/>
  <c r="M110" i="2"/>
  <c r="M332" i="2"/>
  <c r="M109" i="2"/>
  <c r="M330" i="2"/>
  <c r="M329" i="2"/>
  <c r="M963" i="2"/>
  <c r="M760" i="2"/>
  <c r="M759" i="2"/>
  <c r="M107" i="2"/>
  <c r="M106" i="2"/>
  <c r="M104" i="2"/>
  <c r="M1177" i="2"/>
  <c r="M959" i="2"/>
  <c r="M754" i="2"/>
  <c r="M752" i="2"/>
  <c r="M750" i="2"/>
  <c r="M749" i="2"/>
  <c r="M317" i="2"/>
  <c r="M954" i="2"/>
  <c r="M530" i="2"/>
  <c r="M1171" i="2"/>
  <c r="M528" i="2"/>
  <c r="M1170" i="2"/>
  <c r="M949" i="2"/>
  <c r="M948" i="2"/>
  <c r="M314" i="2"/>
  <c r="M745" i="2"/>
  <c r="M94" i="2"/>
  <c r="M525" i="2"/>
  <c r="M524" i="2"/>
  <c r="M1166" i="2"/>
  <c r="M943" i="2"/>
  <c r="M89" i="2"/>
  <c r="M1164" i="2"/>
  <c r="M940" i="2"/>
  <c r="M1161" i="2"/>
  <c r="M84" i="2"/>
  <c r="M1159" i="2"/>
  <c r="M517" i="2"/>
  <c r="M83" i="2"/>
  <c r="M1155" i="2"/>
  <c r="M307" i="2"/>
  <c r="M935" i="2"/>
  <c r="M79" i="2"/>
  <c r="M736" i="2"/>
  <c r="M735" i="2"/>
  <c r="M734" i="2"/>
  <c r="M1151" i="2"/>
  <c r="M731" i="2"/>
  <c r="M729" i="2"/>
  <c r="M933" i="2"/>
  <c r="M932" i="2"/>
  <c r="M303" i="2"/>
  <c r="M726" i="2"/>
  <c r="M930" i="2"/>
  <c r="M929" i="2"/>
  <c r="M725" i="2"/>
  <c r="M723" i="2"/>
  <c r="M1144" i="2"/>
  <c r="M507" i="2"/>
  <c r="M296" i="2"/>
  <c r="M295" i="2"/>
  <c r="M719" i="2"/>
  <c r="M292" i="2"/>
  <c r="M1140" i="2"/>
  <c r="M716" i="2"/>
  <c r="M715" i="2"/>
  <c r="M288" i="2"/>
  <c r="M287" i="2"/>
  <c r="M285" i="2"/>
  <c r="M284" i="2"/>
  <c r="M282" i="2"/>
  <c r="M497" i="2"/>
  <c r="M280" i="2"/>
  <c r="M919" i="2"/>
  <c r="M60" i="2"/>
  <c r="M494" i="2"/>
  <c r="M277" i="2"/>
  <c r="M1132" i="2"/>
  <c r="M708" i="2"/>
  <c r="M57" i="2"/>
  <c r="M489" i="2"/>
  <c r="M275" i="2"/>
  <c r="M273" i="2"/>
  <c r="M272" i="2"/>
  <c r="M1129" i="2"/>
  <c r="M270" i="2"/>
  <c r="M488" i="2"/>
  <c r="M908" i="2"/>
  <c r="M1125" i="2"/>
  <c r="M703" i="2"/>
  <c r="M53" i="2"/>
  <c r="M267" i="2"/>
  <c r="M1121" i="2"/>
  <c r="M1120" i="2"/>
  <c r="M485" i="2"/>
  <c r="M264" i="2"/>
  <c r="M263" i="2"/>
  <c r="M481" i="2"/>
  <c r="M260" i="2"/>
  <c r="M898" i="2"/>
  <c r="M480" i="2"/>
  <c r="M45" i="2"/>
  <c r="M697" i="2"/>
  <c r="M695" i="2"/>
  <c r="M257" i="2"/>
  <c r="M1117" i="2"/>
  <c r="M894" i="2"/>
  <c r="M476" i="2"/>
  <c r="M474" i="2"/>
  <c r="M1115" i="2"/>
  <c r="M890" i="2"/>
  <c r="M39" i="2"/>
  <c r="M38" i="2"/>
  <c r="M37" i="2"/>
  <c r="M687" i="2"/>
  <c r="M686" i="2"/>
  <c r="M35" i="2"/>
  <c r="M885" i="2"/>
  <c r="M469" i="2"/>
  <c r="M468" i="2"/>
  <c r="M467" i="2"/>
  <c r="M245" i="2"/>
  <c r="M31" i="2"/>
  <c r="M244" i="2"/>
  <c r="M679" i="2"/>
  <c r="M883" i="2"/>
  <c r="M28" i="2"/>
  <c r="M881" i="2"/>
  <c r="M676" i="2"/>
  <c r="M1106" i="2"/>
  <c r="M24" i="2"/>
  <c r="M879" i="2"/>
  <c r="M672" i="2"/>
  <c r="M1102" i="2"/>
  <c r="M1099" i="2"/>
  <c r="M668" i="2"/>
  <c r="M1098" i="2"/>
  <c r="M667" i="2"/>
  <c r="M19" i="2"/>
  <c r="M878" i="2"/>
  <c r="M236" i="2"/>
  <c r="M1095" i="2"/>
  <c r="M1094" i="2"/>
  <c r="M16" i="2"/>
  <c r="M454" i="2"/>
  <c r="M659" i="2"/>
  <c r="M453" i="2"/>
  <c r="M451" i="2"/>
  <c r="M449" i="2"/>
  <c r="M13" i="2"/>
  <c r="M448" i="2"/>
  <c r="M873" i="2"/>
  <c r="M871" i="2"/>
  <c r="M1086" i="2"/>
  <c r="M652" i="2"/>
  <c r="M651" i="2"/>
  <c r="M1081" i="2"/>
  <c r="M227" i="2"/>
  <c r="M10" i="2"/>
  <c r="M649" i="2"/>
  <c r="M442" i="2"/>
  <c r="M1079" i="2"/>
  <c r="M440" i="2"/>
  <c r="M863" i="2"/>
  <c r="M221" i="2"/>
  <c r="M861" i="2"/>
  <c r="M437" i="2"/>
  <c r="M435" i="2"/>
  <c r="M860" i="2"/>
  <c r="M644" i="2"/>
  <c r="M2" i="2"/>
  <c r="M1072" i="2"/>
  <c r="M216" i="2"/>
  <c r="B1625" i="1"/>
  <c r="B1621" i="1"/>
  <c r="B1617" i="1"/>
  <c r="B1613" i="1"/>
  <c r="B1609" i="1"/>
  <c r="B1605" i="1"/>
  <c r="B1601" i="1"/>
  <c r="B1597" i="1"/>
  <c r="B1593" i="1"/>
  <c r="B1589" i="1"/>
  <c r="B1585" i="1"/>
  <c r="B1581" i="1"/>
  <c r="B1577" i="1"/>
  <c r="B1573" i="1"/>
  <c r="B1569" i="1"/>
  <c r="B1565" i="1"/>
  <c r="B1561" i="1"/>
  <c r="B1557" i="1"/>
  <c r="B1553" i="1"/>
  <c r="B1549" i="1"/>
  <c r="B1545" i="1"/>
  <c r="B1541" i="1"/>
  <c r="B1537" i="1"/>
  <c r="B1533" i="1"/>
  <c r="B1529" i="1"/>
  <c r="B1525" i="1"/>
  <c r="B1521" i="1"/>
  <c r="B1517" i="1"/>
  <c r="B1513" i="1"/>
  <c r="B1509" i="1"/>
  <c r="B1505" i="1"/>
  <c r="B1501" i="1"/>
  <c r="B1497" i="1"/>
  <c r="B1493" i="1"/>
  <c r="B1489" i="1"/>
  <c r="B1485" i="1"/>
  <c r="B1481" i="1"/>
  <c r="B1477" i="1"/>
  <c r="B1473" i="1"/>
  <c r="B1469" i="1"/>
  <c r="B1465" i="1"/>
  <c r="B1461" i="1"/>
  <c r="B1457" i="1"/>
  <c r="B1453" i="1"/>
  <c r="B1449" i="1"/>
  <c r="B1445" i="1"/>
  <c r="B1441" i="1"/>
  <c r="B1437" i="1"/>
  <c r="B1433" i="1"/>
  <c r="B1429" i="1"/>
  <c r="B1425" i="1"/>
  <c r="B1421" i="1"/>
  <c r="B1417" i="1"/>
  <c r="B1413" i="1"/>
  <c r="B1409" i="1"/>
  <c r="B1405" i="1"/>
  <c r="B1401" i="1"/>
  <c r="B1397" i="1"/>
  <c r="B1393" i="1"/>
  <c r="B1389" i="1"/>
  <c r="B1385" i="1"/>
  <c r="B1381" i="1"/>
  <c r="B1377" i="1"/>
  <c r="B1373" i="1"/>
  <c r="B1369" i="1"/>
  <c r="B1365" i="1"/>
  <c r="B1361" i="1"/>
  <c r="B1357" i="1"/>
  <c r="B1353" i="1"/>
  <c r="B1349" i="1"/>
  <c r="B1345" i="1"/>
  <c r="B1341" i="1"/>
  <c r="B1337" i="1"/>
  <c r="B1333" i="1"/>
  <c r="B1329" i="1"/>
  <c r="B1325" i="1"/>
  <c r="B1321" i="1"/>
  <c r="B1317" i="1"/>
  <c r="B1313" i="1"/>
  <c r="B1309" i="1"/>
  <c r="B1305" i="1"/>
  <c r="B1301" i="1"/>
  <c r="B1297" i="1"/>
  <c r="B1293" i="1"/>
  <c r="B1289" i="1"/>
  <c r="B1285" i="1"/>
  <c r="B1281" i="1"/>
  <c r="B1277" i="1"/>
  <c r="B1273" i="1"/>
  <c r="B1269" i="1"/>
  <c r="B1265" i="1"/>
  <c r="B1261" i="1"/>
  <c r="B1257" i="1"/>
  <c r="B1253" i="1"/>
  <c r="B1249" i="1"/>
  <c r="B1245" i="1"/>
  <c r="B1241" i="1"/>
  <c r="B1237" i="1"/>
  <c r="B1233" i="1"/>
  <c r="B1229" i="1"/>
  <c r="B1225" i="1"/>
  <c r="B1221" i="1"/>
  <c r="B1217" i="1"/>
  <c r="B1213" i="1"/>
  <c r="B1209" i="1"/>
  <c r="B1205" i="1"/>
  <c r="B1201" i="1"/>
  <c r="B1197" i="1"/>
  <c r="B1193" i="1"/>
  <c r="B1189" i="1"/>
  <c r="B1185" i="1"/>
  <c r="B1181" i="1"/>
  <c r="B1177" i="1"/>
  <c r="B1173" i="1"/>
  <c r="B1169" i="1"/>
  <c r="B1165" i="1"/>
  <c r="B1161" i="1"/>
  <c r="B1157" i="1"/>
  <c r="B1153" i="1"/>
  <c r="B1149" i="1"/>
  <c r="B1145" i="1"/>
  <c r="B1141" i="1"/>
  <c r="B1137" i="1"/>
  <c r="B1133" i="1"/>
  <c r="B1129" i="1"/>
  <c r="B1125" i="1"/>
  <c r="B1121" i="1"/>
  <c r="B1117" i="1"/>
  <c r="B1113" i="1"/>
  <c r="B1109" i="1"/>
  <c r="B1105" i="1"/>
  <c r="B1101" i="1"/>
  <c r="B1097" i="1"/>
  <c r="B1093" i="1"/>
  <c r="B1089" i="1"/>
  <c r="B1085" i="1"/>
  <c r="B1081" i="1"/>
  <c r="B1077" i="1"/>
  <c r="B1073" i="1"/>
  <c r="B1069" i="1"/>
  <c r="B1065" i="1"/>
  <c r="B1061" i="1"/>
  <c r="B1057" i="1"/>
  <c r="B1053" i="1"/>
  <c r="B1049" i="1"/>
  <c r="B1045" i="1"/>
  <c r="B1041" i="1"/>
  <c r="B1037" i="1"/>
  <c r="B1033" i="1"/>
  <c r="B1029" i="1"/>
  <c r="B1025" i="1"/>
  <c r="B1021" i="1"/>
  <c r="B1017" i="1"/>
  <c r="B1013" i="1"/>
  <c r="B1009" i="1"/>
  <c r="B1005" i="1"/>
  <c r="B1001" i="1"/>
  <c r="B997" i="1"/>
  <c r="B993" i="1"/>
  <c r="B989" i="1"/>
  <c r="B985" i="1"/>
  <c r="B981" i="1"/>
  <c r="B977" i="1"/>
  <c r="B973" i="1"/>
  <c r="B969" i="1"/>
  <c r="B965" i="1"/>
  <c r="B961" i="1"/>
  <c r="B957" i="1"/>
  <c r="B953" i="1"/>
  <c r="B949" i="1"/>
  <c r="B945" i="1"/>
  <c r="B941" i="1"/>
  <c r="B937" i="1"/>
  <c r="B933" i="1"/>
  <c r="B929" i="1"/>
  <c r="B925" i="1"/>
  <c r="B921" i="1"/>
  <c r="B917" i="1"/>
  <c r="B913" i="1"/>
  <c r="B909" i="1"/>
  <c r="B905" i="1"/>
  <c r="B901" i="1"/>
  <c r="B897" i="1"/>
  <c r="B893" i="1"/>
  <c r="B889" i="1"/>
  <c r="B885" i="1"/>
  <c r="B881" i="1"/>
  <c r="B877" i="1"/>
  <c r="B873" i="1"/>
  <c r="B869" i="1"/>
  <c r="B865" i="1"/>
  <c r="B861" i="1"/>
  <c r="B857" i="1"/>
  <c r="B853" i="1"/>
  <c r="B849" i="1"/>
  <c r="B845" i="1"/>
  <c r="B841" i="1"/>
  <c r="B837" i="1"/>
  <c r="B833" i="1"/>
  <c r="B829" i="1"/>
  <c r="B825" i="1"/>
  <c r="B821" i="1"/>
  <c r="B817" i="1"/>
  <c r="B813" i="1"/>
  <c r="B809" i="1"/>
  <c r="B805" i="1"/>
  <c r="B801" i="1"/>
  <c r="B797" i="1"/>
  <c r="B793" i="1"/>
  <c r="B789" i="1"/>
  <c r="B785" i="1"/>
  <c r="B781" i="1"/>
  <c r="B777" i="1"/>
  <c r="B773" i="1"/>
  <c r="B769" i="1"/>
  <c r="B765" i="1"/>
  <c r="B761" i="1"/>
  <c r="B757" i="1"/>
  <c r="B753" i="1"/>
  <c r="B749" i="1"/>
  <c r="B745" i="1"/>
  <c r="B741" i="1"/>
  <c r="B737" i="1"/>
  <c r="B733" i="1"/>
  <c r="B729" i="1"/>
  <c r="B725" i="1"/>
  <c r="B721" i="1"/>
  <c r="B717" i="1"/>
  <c r="B713" i="1"/>
  <c r="B709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41" i="1"/>
  <c r="B137" i="1"/>
  <c r="B133" i="1"/>
  <c r="B129" i="1"/>
  <c r="B125" i="1"/>
  <c r="B121" i="1"/>
  <c r="B117" i="1"/>
  <c r="B113" i="1"/>
  <c r="B109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49" i="1"/>
  <c r="B45" i="1"/>
  <c r="B41" i="1"/>
  <c r="B37" i="1"/>
  <c r="B33" i="1"/>
  <c r="B29" i="1"/>
  <c r="B25" i="1"/>
  <c r="B21" i="1"/>
  <c r="B17" i="1"/>
  <c r="B13" i="1"/>
  <c r="B9" i="1"/>
  <c r="B5" i="1"/>
  <c r="U47" i="6"/>
  <c r="U48" i="6"/>
  <c r="U49" i="6"/>
  <c r="U45" i="6"/>
  <c r="AK18" i="6"/>
  <c r="AK14" i="6"/>
  <c r="AK16" i="6"/>
  <c r="AK19" i="6"/>
  <c r="AK17" i="6"/>
  <c r="AK15" i="6"/>
  <c r="Q30" i="6"/>
  <c r="Q27" i="6"/>
  <c r="Q31" i="6"/>
  <c r="Q29" i="6"/>
  <c r="Q18" i="6"/>
  <c r="Q15" i="6"/>
  <c r="Q19" i="6"/>
  <c r="T37" i="6"/>
  <c r="T35" i="6"/>
  <c r="T33" i="6"/>
  <c r="U24" i="6"/>
  <c r="U25" i="6"/>
  <c r="T30" i="6"/>
  <c r="T31" i="6"/>
  <c r="T27" i="6"/>
  <c r="V16" i="6"/>
  <c r="V18" i="6"/>
  <c r="V17" i="6"/>
  <c r="V15" i="6"/>
  <c r="V19" i="6"/>
  <c r="S36" i="6"/>
  <c r="S33" i="6"/>
  <c r="S37" i="6"/>
  <c r="S35" i="6"/>
  <c r="R30" i="6"/>
  <c r="R29" i="6"/>
  <c r="R27" i="6"/>
  <c r="R31" i="6"/>
  <c r="V37" i="6"/>
  <c r="V33" i="6"/>
  <c r="V36" i="6"/>
  <c r="V35" i="6"/>
  <c r="W41" i="6"/>
  <c r="V43" i="6"/>
  <c r="V39" i="6"/>
  <c r="W43" i="6"/>
  <c r="W39" i="6"/>
  <c r="W42" i="6"/>
  <c r="W38" i="6"/>
  <c r="W40" i="6"/>
  <c r="V42" i="6"/>
  <c r="V41" i="6"/>
  <c r="S30" i="6"/>
  <c r="S31" i="6"/>
  <c r="S29" i="6"/>
  <c r="S27" i="6"/>
  <c r="V22" i="6"/>
  <c r="V24" i="6"/>
  <c r="V25" i="6"/>
  <c r="V23" i="6"/>
  <c r="V21" i="6"/>
  <c r="S47" i="6"/>
  <c r="S48" i="6"/>
  <c r="S49" i="6"/>
  <c r="W49" i="6"/>
  <c r="W45" i="6"/>
  <c r="R49" i="6"/>
  <c r="R45" i="6"/>
  <c r="W47" i="6"/>
  <c r="W46" i="6"/>
  <c r="W44" i="6"/>
  <c r="R48" i="6"/>
  <c r="W48" i="6"/>
  <c r="R47" i="6"/>
  <c r="W29" i="6"/>
  <c r="W31" i="6"/>
  <c r="W27" i="6"/>
  <c r="W30" i="6"/>
  <c r="W26" i="6"/>
  <c r="W28" i="6"/>
  <c r="V30" i="6"/>
  <c r="V29" i="6"/>
  <c r="V27" i="6"/>
  <c r="V31" i="6"/>
  <c r="AK24" i="6"/>
  <c r="AK20" i="6"/>
  <c r="AK22" i="6"/>
  <c r="AK21" i="6"/>
  <c r="AK25" i="6"/>
  <c r="AK23" i="6"/>
  <c r="U35" i="6"/>
  <c r="U36" i="6"/>
  <c r="U37" i="6"/>
  <c r="U33" i="6"/>
  <c r="T49" i="6"/>
  <c r="T45" i="6"/>
  <c r="T48" i="6"/>
  <c r="T47" i="6"/>
  <c r="Q47" i="6"/>
  <c r="Q48" i="6"/>
  <c r="Q49" i="6"/>
  <c r="Q45" i="6"/>
  <c r="V49" i="6"/>
  <c r="V45" i="6"/>
  <c r="V48" i="6"/>
  <c r="V47" i="6"/>
  <c r="R36" i="6"/>
  <c r="R37" i="6"/>
  <c r="R35" i="6"/>
  <c r="R33" i="6"/>
  <c r="W25" i="6"/>
  <c r="W21" i="6"/>
  <c r="W23" i="6"/>
  <c r="W22" i="6"/>
  <c r="AJ22" i="6"/>
  <c r="W24" i="6"/>
  <c r="W20" i="6"/>
  <c r="AJ24" i="6"/>
  <c r="AJ20" i="6"/>
  <c r="AJ25" i="6"/>
  <c r="AJ23" i="6"/>
  <c r="AJ21" i="6"/>
  <c r="T43" i="6"/>
  <c r="T39" i="6"/>
  <c r="T42" i="6"/>
  <c r="T41" i="6"/>
  <c r="W37" i="6"/>
  <c r="W33" i="6"/>
  <c r="W35" i="6"/>
  <c r="W34" i="6"/>
  <c r="Q36" i="6"/>
  <c r="W36" i="6"/>
  <c r="W32" i="6"/>
  <c r="Q37" i="6"/>
  <c r="Q35" i="6"/>
  <c r="Q33" i="6"/>
  <c r="AM18" i="6"/>
  <c r="AM14" i="6"/>
  <c r="AM16" i="6"/>
  <c r="AM15" i="6"/>
  <c r="AM19" i="6"/>
  <c r="AM17" i="6"/>
  <c r="AI20" i="6"/>
  <c r="AI22" i="6"/>
  <c r="AI25" i="6"/>
  <c r="AI21" i="6"/>
  <c r="U30" i="6"/>
  <c r="U26" i="6"/>
  <c r="U27" i="6"/>
  <c r="U31" i="6"/>
  <c r="U29" i="6"/>
  <c r="U41" i="6"/>
  <c r="U42" i="6"/>
  <c r="U39" i="6"/>
  <c r="U43" i="6"/>
  <c r="R43" i="6"/>
  <c r="R39" i="6"/>
  <c r="R42" i="6"/>
  <c r="R41" i="6"/>
  <c r="T22" i="6"/>
  <c r="T24" i="6"/>
  <c r="T23" i="6"/>
  <c r="T21" i="6"/>
  <c r="T25" i="6"/>
  <c r="Q42" i="6"/>
  <c r="Q39" i="6"/>
  <c r="Q43" i="6"/>
  <c r="S41" i="6"/>
  <c r="S42" i="6"/>
  <c r="S43" i="6"/>
  <c r="S39" i="6"/>
  <c r="AJ16" i="6"/>
  <c r="AJ18" i="6"/>
  <c r="AJ14" i="6"/>
  <c r="AJ17" i="6"/>
  <c r="AJ15" i="6"/>
  <c r="AJ19" i="6"/>
  <c r="W17" i="6"/>
  <c r="W19" i="6"/>
  <c r="W15" i="6"/>
  <c r="W18" i="6"/>
  <c r="W14" i="6"/>
  <c r="T16" i="6"/>
  <c r="AL18" i="6"/>
  <c r="W16" i="6"/>
  <c r="T19" i="6"/>
  <c r="T17" i="6"/>
  <c r="T15" i="6"/>
  <c r="B314" i="1"/>
  <c r="Y47" i="6"/>
  <c r="Y44" i="6"/>
  <c r="Y48" i="6"/>
  <c r="Y45" i="6"/>
  <c r="Y49" i="6"/>
  <c r="Y46" i="6"/>
  <c r="B262" i="1"/>
  <c r="Y39" i="6"/>
  <c r="Y43" i="6"/>
  <c r="Y40" i="6"/>
  <c r="Y41" i="6"/>
  <c r="Y38" i="6"/>
  <c r="Y42" i="6"/>
  <c r="B210" i="1"/>
  <c r="Y35" i="6"/>
  <c r="Y32" i="6"/>
  <c r="Y36" i="6"/>
  <c r="Y33" i="6"/>
  <c r="Y37" i="6"/>
  <c r="Y34" i="6"/>
  <c r="B158" i="1"/>
  <c r="Y27" i="6"/>
  <c r="Y31" i="6"/>
  <c r="Y28" i="6"/>
  <c r="Y29" i="6"/>
  <c r="Y26" i="6"/>
  <c r="Y30" i="6"/>
  <c r="B106" i="1"/>
  <c r="Y23" i="6"/>
  <c r="Y20" i="6"/>
  <c r="Y24" i="6"/>
  <c r="Y21" i="6"/>
  <c r="Y25" i="6"/>
  <c r="Y22" i="6"/>
  <c r="B54" i="1"/>
  <c r="Y15" i="6"/>
  <c r="Y19" i="6"/>
  <c r="Y16" i="6"/>
  <c r="Y17" i="6"/>
  <c r="Y18" i="6"/>
  <c r="Y14" i="6"/>
  <c r="AK357" i="6"/>
  <c r="AM354" i="6"/>
  <c r="AK325" i="6"/>
  <c r="AM322" i="6"/>
  <c r="AK293" i="6"/>
  <c r="AM290" i="6"/>
  <c r="AK278" i="6"/>
  <c r="AM250" i="6"/>
  <c r="AK230" i="6"/>
  <c r="AJ209" i="6"/>
  <c r="AM190" i="6"/>
  <c r="AM186" i="6"/>
  <c r="AK166" i="6"/>
  <c r="AJ145" i="6"/>
  <c r="AM126" i="6"/>
  <c r="AM122" i="6"/>
  <c r="AK102" i="6"/>
  <c r="AJ81" i="6"/>
  <c r="AM62" i="6"/>
  <c r="AM58" i="6"/>
  <c r="AM330" i="6"/>
  <c r="AM298" i="6"/>
  <c r="AM266" i="6"/>
  <c r="AK246" i="6"/>
  <c r="AM202" i="6"/>
  <c r="AK182" i="6"/>
  <c r="AM142" i="6"/>
  <c r="AK118" i="6"/>
  <c r="AM53" i="6"/>
  <c r="AK381" i="6"/>
  <c r="AM378" i="6"/>
  <c r="AK366" i="6"/>
  <c r="AK349" i="6"/>
  <c r="AM346" i="6"/>
  <c r="AK334" i="6"/>
  <c r="AK317" i="6"/>
  <c r="AM314" i="6"/>
  <c r="AK302" i="6"/>
  <c r="AK285" i="6"/>
  <c r="AM282" i="6"/>
  <c r="AK270" i="6"/>
  <c r="AJ257" i="6"/>
  <c r="AM234" i="6"/>
  <c r="AK214" i="6"/>
  <c r="AJ193" i="6"/>
  <c r="AM174" i="6"/>
  <c r="AM170" i="6"/>
  <c r="AK150" i="6"/>
  <c r="AJ129" i="6"/>
  <c r="AM110" i="6"/>
  <c r="AM106" i="6"/>
  <c r="AK86" i="6"/>
  <c r="AJ65" i="6"/>
  <c r="AK365" i="6"/>
  <c r="AM362" i="6"/>
  <c r="AK333" i="6"/>
  <c r="AK301" i="6"/>
  <c r="AJ225" i="6"/>
  <c r="AJ161" i="6"/>
  <c r="AM138" i="6"/>
  <c r="AJ97" i="6"/>
  <c r="AM78" i="6"/>
  <c r="AM74" i="6"/>
  <c r="AK373" i="6"/>
  <c r="AM370" i="6"/>
  <c r="AK341" i="6"/>
  <c r="AM338" i="6"/>
  <c r="AK309" i="6"/>
  <c r="AM306" i="6"/>
  <c r="AM274" i="6"/>
  <c r="AK262" i="6"/>
  <c r="AJ241" i="6"/>
  <c r="AM218" i="6"/>
  <c r="AK198" i="6"/>
  <c r="AJ177" i="6"/>
  <c r="AM158" i="6"/>
  <c r="AM154" i="6"/>
  <c r="AK134" i="6"/>
  <c r="AJ113" i="6"/>
  <c r="AM94" i="6"/>
  <c r="AM90" i="6"/>
  <c r="AK70" i="6"/>
  <c r="AM374" i="6"/>
  <c r="AM358" i="6"/>
  <c r="AM342" i="6"/>
  <c r="AM326" i="6"/>
  <c r="AM310" i="6"/>
  <c r="AM294" i="6"/>
  <c r="AM54" i="6"/>
  <c r="AM210" i="6"/>
  <c r="AM194" i="6"/>
  <c r="AM178" i="6"/>
  <c r="AM162" i="6"/>
  <c r="AM146" i="6"/>
  <c r="AM130" i="6"/>
  <c r="AM114" i="6"/>
  <c r="AM98" i="6"/>
  <c r="AM82" i="6"/>
  <c r="AM66" i="6"/>
  <c r="AM50" i="6"/>
  <c r="AM258" i="6"/>
  <c r="AM242" i="6"/>
  <c r="AM226" i="6"/>
  <c r="AM382" i="6"/>
  <c r="AM350" i="6"/>
  <c r="AM318" i="6"/>
  <c r="AM286" i="6"/>
  <c r="AP136" i="6"/>
  <c r="AW136" i="6" s="1"/>
  <c r="AP361" i="6"/>
  <c r="AT361" i="6" s="1"/>
  <c r="AP369" i="6"/>
  <c r="AX369" i="6" s="1"/>
  <c r="AP377" i="6"/>
  <c r="AV377" i="6" s="1"/>
  <c r="AP385" i="6"/>
  <c r="AS385" i="6" s="1"/>
  <c r="AP393" i="6"/>
  <c r="AP401" i="6"/>
  <c r="AP409" i="6"/>
  <c r="AP417" i="6"/>
  <c r="AP425" i="6"/>
  <c r="AP433" i="6"/>
  <c r="AP441" i="6"/>
  <c r="AP449" i="6"/>
  <c r="AP457" i="6"/>
  <c r="AP465" i="6"/>
  <c r="AP364" i="6"/>
  <c r="AP380" i="6"/>
  <c r="AS380" i="6" s="1"/>
  <c r="AP395" i="6"/>
  <c r="AP407" i="6"/>
  <c r="AP423" i="6"/>
  <c r="AP436" i="6"/>
  <c r="AP451" i="6"/>
  <c r="AP360" i="6"/>
  <c r="AP379" i="6"/>
  <c r="AW379" i="6" s="1"/>
  <c r="AP399" i="6"/>
  <c r="AP416" i="6"/>
  <c r="AP432" i="6"/>
  <c r="AP452" i="6"/>
  <c r="AP467" i="6"/>
  <c r="AP471" i="6"/>
  <c r="AP339" i="6"/>
  <c r="AS339" i="6" s="1"/>
  <c r="AP343" i="6"/>
  <c r="AP347" i="6"/>
  <c r="AP351" i="6"/>
  <c r="AX351" i="6" s="1"/>
  <c r="AP355" i="6"/>
  <c r="AX355" i="6" s="1"/>
  <c r="AP309" i="6"/>
  <c r="AP313" i="6"/>
  <c r="AV313" i="6" s="1"/>
  <c r="AP317" i="6"/>
  <c r="AP321" i="6"/>
  <c r="AP325" i="6"/>
  <c r="AU325" i="6" s="1"/>
  <c r="AP329" i="6"/>
  <c r="AU329" i="6" s="1"/>
  <c r="AP333" i="6"/>
  <c r="AP192" i="6"/>
  <c r="AW192" i="6" s="1"/>
  <c r="AP196" i="6"/>
  <c r="AV196" i="6" s="1"/>
  <c r="AP201" i="6"/>
  <c r="AP205" i="6"/>
  <c r="AP209" i="6"/>
  <c r="AP213" i="6"/>
  <c r="AX213" i="6" s="1"/>
  <c r="AP217" i="6"/>
  <c r="AP221" i="6"/>
  <c r="AP225" i="6"/>
  <c r="AP229" i="6"/>
  <c r="AX229" i="6" s="1"/>
  <c r="AP233" i="6"/>
  <c r="AX233" i="6" s="1"/>
  <c r="AP237" i="6"/>
  <c r="AV237" i="6" s="1"/>
  <c r="AP241" i="6"/>
  <c r="AW241" i="6" s="1"/>
  <c r="AP245" i="6"/>
  <c r="AU245" i="6" s="1"/>
  <c r="AP250" i="6"/>
  <c r="AP255" i="6"/>
  <c r="AU255" i="6" s="1"/>
  <c r="AP264" i="6"/>
  <c r="AP270" i="6"/>
  <c r="AU270" i="6" s="1"/>
  <c r="AP278" i="6"/>
  <c r="AV278" i="6" s="1"/>
  <c r="AP286" i="6"/>
  <c r="AW286" i="6" s="1"/>
  <c r="AP293" i="6"/>
  <c r="AX293" i="6" s="1"/>
  <c r="AP301" i="6"/>
  <c r="AW301" i="6" s="1"/>
  <c r="AP52" i="6"/>
  <c r="AU52" i="6" s="1"/>
  <c r="AP60" i="6"/>
  <c r="AW60" i="6" s="1"/>
  <c r="AP67" i="6"/>
  <c r="AV67" i="6" s="1"/>
  <c r="AP74" i="6"/>
  <c r="AX74" i="6" s="1"/>
  <c r="AP83" i="6"/>
  <c r="AV83" i="6" s="1"/>
  <c r="AP91" i="6"/>
  <c r="AW91" i="6" s="1"/>
  <c r="AP99" i="6"/>
  <c r="AP108" i="6"/>
  <c r="AU108" i="6" s="1"/>
  <c r="AP115" i="6"/>
  <c r="AV115" i="6" s="1"/>
  <c r="AP123" i="6"/>
  <c r="AP130" i="6"/>
  <c r="AT130" i="6" s="1"/>
  <c r="AP197" i="6"/>
  <c r="AP258" i="6"/>
  <c r="AU258" i="6" s="1"/>
  <c r="AP266" i="6"/>
  <c r="AS266" i="6" s="1"/>
  <c r="AP275" i="6"/>
  <c r="AP282" i="6"/>
  <c r="AP292" i="6"/>
  <c r="AP300" i="6"/>
  <c r="AW300" i="6" s="1"/>
  <c r="AP53" i="6"/>
  <c r="AP61" i="6"/>
  <c r="AU61" i="6" s="1"/>
  <c r="AP71" i="6"/>
  <c r="AU71" i="6" s="1"/>
  <c r="AP78" i="6"/>
  <c r="AU78" i="6" s="1"/>
  <c r="AP87" i="6"/>
  <c r="AP95" i="6"/>
  <c r="AP102" i="6"/>
  <c r="AW102" i="6" s="1"/>
  <c r="AP109" i="6"/>
  <c r="AW109" i="6" s="1"/>
  <c r="AP118" i="6"/>
  <c r="AS118" i="6" s="1"/>
  <c r="AP127" i="6"/>
  <c r="AX127" i="6" s="1"/>
  <c r="AP135" i="6"/>
  <c r="AW135" i="6" s="1"/>
  <c r="AP141" i="6"/>
  <c r="AP148" i="6"/>
  <c r="AV148" i="6" s="1"/>
  <c r="AP153" i="6"/>
  <c r="AP159" i="6"/>
  <c r="AX159" i="6" s="1"/>
  <c r="AP165" i="6"/>
  <c r="AP171" i="6"/>
  <c r="AX171" i="6" s="1"/>
  <c r="AP179" i="6"/>
  <c r="AX179" i="6" s="1"/>
  <c r="AP186" i="6"/>
  <c r="AS186" i="6" s="1"/>
  <c r="AP142" i="6"/>
  <c r="AU142" i="6" s="1"/>
  <c r="AP157" i="6"/>
  <c r="AT157" i="6" s="1"/>
  <c r="AP166" i="6"/>
  <c r="AW166" i="6" s="1"/>
  <c r="AP175" i="6"/>
  <c r="AW175" i="6" s="1"/>
  <c r="AP185" i="6"/>
  <c r="AW185" i="6" s="1"/>
  <c r="AP306" i="6"/>
  <c r="AW306" i="6" s="1"/>
  <c r="AP362" i="6"/>
  <c r="AP370" i="6"/>
  <c r="AP378" i="6"/>
  <c r="AX378" i="6" s="1"/>
  <c r="AP386" i="6"/>
  <c r="AP394" i="6"/>
  <c r="AP402" i="6"/>
  <c r="AP410" i="6"/>
  <c r="AP418" i="6"/>
  <c r="AP426" i="6"/>
  <c r="AP434" i="6"/>
  <c r="AP442" i="6"/>
  <c r="AP450" i="6"/>
  <c r="AP458" i="6"/>
  <c r="AP466" i="6"/>
  <c r="AP371" i="6"/>
  <c r="AP383" i="6"/>
  <c r="AX383" i="6" s="1"/>
  <c r="AP396" i="6"/>
  <c r="AP412" i="6"/>
  <c r="AP427" i="6"/>
  <c r="AP439" i="6"/>
  <c r="AP455" i="6"/>
  <c r="AP367" i="6"/>
  <c r="AW367" i="6" s="1"/>
  <c r="AP384" i="6"/>
  <c r="AW384" i="6" s="1"/>
  <c r="AP400" i="6"/>
  <c r="AP420" i="6"/>
  <c r="AP440" i="6"/>
  <c r="AP456" i="6"/>
  <c r="AP468" i="6"/>
  <c r="AP336" i="6"/>
  <c r="AV336" i="6" s="1"/>
  <c r="AP340" i="6"/>
  <c r="AS340" i="6" s="1"/>
  <c r="AP344" i="6"/>
  <c r="AT344" i="6" s="1"/>
  <c r="AP348" i="6"/>
  <c r="AU348" i="6" s="1"/>
  <c r="AP352" i="6"/>
  <c r="AT352" i="6" s="1"/>
  <c r="AP356" i="6"/>
  <c r="AS356" i="6" s="1"/>
  <c r="AP310" i="6"/>
  <c r="AP314" i="6"/>
  <c r="AT314" i="6" s="1"/>
  <c r="AP318" i="6"/>
  <c r="AP322" i="6"/>
  <c r="AU322" i="6" s="1"/>
  <c r="AP326" i="6"/>
  <c r="AP330" i="6"/>
  <c r="AS330" i="6" s="1"/>
  <c r="AP334" i="6"/>
  <c r="AX334" i="6" s="1"/>
  <c r="AP193" i="6"/>
  <c r="AT193" i="6" s="1"/>
  <c r="AP198" i="6"/>
  <c r="AP202" i="6"/>
  <c r="AT202" i="6" s="1"/>
  <c r="AP206" i="6"/>
  <c r="AX206" i="6" s="1"/>
  <c r="AP210" i="6"/>
  <c r="AS210" i="6" s="1"/>
  <c r="AP214" i="6"/>
  <c r="AP218" i="6"/>
  <c r="AP222" i="6"/>
  <c r="AU222" i="6" s="1"/>
  <c r="AP226" i="6"/>
  <c r="AP230" i="6"/>
  <c r="AS230" i="6" s="1"/>
  <c r="AP234" i="6"/>
  <c r="AP238" i="6"/>
  <c r="AV238" i="6" s="1"/>
  <c r="AP242" i="6"/>
  <c r="AU242" i="6" s="1"/>
  <c r="AP247" i="6"/>
  <c r="AW247" i="6" s="1"/>
  <c r="AP251" i="6"/>
  <c r="AP257" i="6"/>
  <c r="AP265" i="6"/>
  <c r="AV265" i="6" s="1"/>
  <c r="AP273" i="6"/>
  <c r="AV273" i="6" s="1"/>
  <c r="AP280" i="6"/>
  <c r="AX280" i="6" s="1"/>
  <c r="AP287" i="6"/>
  <c r="AX287" i="6" s="1"/>
  <c r="AP295" i="6"/>
  <c r="AS295" i="6" s="1"/>
  <c r="AP303" i="6"/>
  <c r="AW303" i="6" s="1"/>
  <c r="AP55" i="6"/>
  <c r="AP62" i="6"/>
  <c r="AU62" i="6" s="1"/>
  <c r="AP69" i="6"/>
  <c r="AV69" i="6" s="1"/>
  <c r="AP77" i="6"/>
  <c r="AW77" i="6" s="1"/>
  <c r="AP85" i="6"/>
  <c r="AP92" i="6"/>
  <c r="AV92" i="6" s="1"/>
  <c r="AP100" i="6"/>
  <c r="AP110" i="6"/>
  <c r="AU110" i="6" s="1"/>
  <c r="AP117" i="6"/>
  <c r="AV117" i="6" s="1"/>
  <c r="AP125" i="6"/>
  <c r="AP132" i="6"/>
  <c r="AX132" i="6" s="1"/>
  <c r="AP246" i="6"/>
  <c r="AV246" i="6" s="1"/>
  <c r="AP259" i="6"/>
  <c r="AV259" i="6" s="1"/>
  <c r="AP268" i="6"/>
  <c r="AX268" i="6" s="1"/>
  <c r="AP276" i="6"/>
  <c r="AP285" i="6"/>
  <c r="AW285" i="6" s="1"/>
  <c r="AP294" i="6"/>
  <c r="AP302" i="6"/>
  <c r="AU302" i="6" s="1"/>
  <c r="AP54" i="6"/>
  <c r="AS54" i="6" s="1"/>
  <c r="AP63" i="6"/>
  <c r="AU63" i="6" s="1"/>
  <c r="AP72" i="6"/>
  <c r="AW72" i="6" s="1"/>
  <c r="AP80" i="6"/>
  <c r="AP89" i="6"/>
  <c r="AT89" i="6" s="1"/>
  <c r="AP97" i="6"/>
  <c r="AV97" i="6" s="1"/>
  <c r="AP104" i="6"/>
  <c r="AV104" i="6" s="1"/>
  <c r="AP111" i="6"/>
  <c r="AW111" i="6" s="1"/>
  <c r="AP120" i="6"/>
  <c r="AV120" i="6" s="1"/>
  <c r="AP129" i="6"/>
  <c r="AT129" i="6" s="1"/>
  <c r="AP137" i="6"/>
  <c r="AS137" i="6" s="1"/>
  <c r="AP143" i="6"/>
  <c r="AU143" i="6" s="1"/>
  <c r="AP149" i="6"/>
  <c r="AT149" i="6" s="1"/>
  <c r="AP154" i="6"/>
  <c r="AW154" i="6" s="1"/>
  <c r="AP160" i="6"/>
  <c r="AU160" i="6" s="1"/>
  <c r="AP168" i="6"/>
  <c r="AP173" i="6"/>
  <c r="AW173" i="6" s="1"/>
  <c r="AP181" i="6"/>
  <c r="AV181" i="6" s="1"/>
  <c r="AP189" i="6"/>
  <c r="AW189" i="6" s="1"/>
  <c r="AP145" i="6"/>
  <c r="AT145" i="6" s="1"/>
  <c r="AP158" i="6"/>
  <c r="AU158" i="6" s="1"/>
  <c r="AP167" i="6"/>
  <c r="AT167" i="6" s="1"/>
  <c r="AP178" i="6"/>
  <c r="AU178" i="6" s="1"/>
  <c r="AP187" i="6"/>
  <c r="AS187" i="6" s="1"/>
  <c r="AP357" i="6"/>
  <c r="AP365" i="6"/>
  <c r="AP373" i="6"/>
  <c r="AU373" i="6" s="1"/>
  <c r="AP381" i="6"/>
  <c r="AP389" i="6"/>
  <c r="AP397" i="6"/>
  <c r="AP405" i="6"/>
  <c r="AP413" i="6"/>
  <c r="AP421" i="6"/>
  <c r="AP429" i="6"/>
  <c r="AP437" i="6"/>
  <c r="AP445" i="6"/>
  <c r="AP453" i="6"/>
  <c r="AP461" i="6"/>
  <c r="AP359" i="6"/>
  <c r="AV359" i="6" s="1"/>
  <c r="AP372" i="6"/>
  <c r="AP387" i="6"/>
  <c r="AP403" i="6"/>
  <c r="AP415" i="6"/>
  <c r="AP428" i="6"/>
  <c r="AP444" i="6"/>
  <c r="AP459" i="6"/>
  <c r="AP368" i="6"/>
  <c r="AU368" i="6" s="1"/>
  <c r="AP388" i="6"/>
  <c r="AP408" i="6"/>
  <c r="AP424" i="6"/>
  <c r="AP443" i="6"/>
  <c r="AP463" i="6"/>
  <c r="AP469" i="6"/>
  <c r="AP337" i="6"/>
  <c r="AW337" i="6" s="1"/>
  <c r="AP341" i="6"/>
  <c r="AP345" i="6"/>
  <c r="AP349" i="6"/>
  <c r="AP353" i="6"/>
  <c r="AP307" i="6"/>
  <c r="AS307" i="6" s="1"/>
  <c r="AP311" i="6"/>
  <c r="AX311" i="6" s="1"/>
  <c r="AP315" i="6"/>
  <c r="AV315" i="6" s="1"/>
  <c r="AP319" i="6"/>
  <c r="AP323" i="6"/>
  <c r="AW323" i="6" s="1"/>
  <c r="AP327" i="6"/>
  <c r="AS327" i="6" s="1"/>
  <c r="AP331" i="6"/>
  <c r="AW331" i="6" s="1"/>
  <c r="AP335" i="6"/>
  <c r="AP194" i="6"/>
  <c r="AT194" i="6" s="1"/>
  <c r="AP199" i="6"/>
  <c r="AW199" i="6" s="1"/>
  <c r="AP203" i="6"/>
  <c r="AS203" i="6" s="1"/>
  <c r="AP207" i="6"/>
  <c r="AX207" i="6" s="1"/>
  <c r="AP211" i="6"/>
  <c r="AX211" i="6" s="1"/>
  <c r="AP215" i="6"/>
  <c r="AU215" i="6" s="1"/>
  <c r="AP219" i="6"/>
  <c r="AP223" i="6"/>
  <c r="AS223" i="6" s="1"/>
  <c r="AP227" i="6"/>
  <c r="AW227" i="6" s="1"/>
  <c r="AP231" i="6"/>
  <c r="AP235" i="6"/>
  <c r="AP239" i="6"/>
  <c r="AX239" i="6" s="1"/>
  <c r="AP243" i="6"/>
  <c r="AP248" i="6"/>
  <c r="AT248" i="6" s="1"/>
  <c r="AP253" i="6"/>
  <c r="AP260" i="6"/>
  <c r="AP267" i="6"/>
  <c r="AS267" i="6" s="1"/>
  <c r="AP274" i="6"/>
  <c r="AU274" i="6" s="1"/>
  <c r="AP283" i="6"/>
  <c r="AW283" i="6" s="1"/>
  <c r="AP290" i="6"/>
  <c r="AP297" i="6"/>
  <c r="AP304" i="6"/>
  <c r="AT304" i="6" s="1"/>
  <c r="AP56" i="6"/>
  <c r="AT56" i="6" s="1"/>
  <c r="AP64" i="6"/>
  <c r="AW64" i="6" s="1"/>
  <c r="AP70" i="6"/>
  <c r="AP79" i="6"/>
  <c r="AV79" i="6" s="1"/>
  <c r="AP86" i="6"/>
  <c r="AW86" i="6" s="1"/>
  <c r="AP94" i="6"/>
  <c r="AU94" i="6" s="1"/>
  <c r="AP103" i="6"/>
  <c r="AP112" i="6"/>
  <c r="AU112" i="6" s="1"/>
  <c r="AP119" i="6"/>
  <c r="AT119" i="6" s="1"/>
  <c r="AP126" i="6"/>
  <c r="AU126" i="6" s="1"/>
  <c r="AP134" i="6"/>
  <c r="AW134" i="6" s="1"/>
  <c r="AP252" i="6"/>
  <c r="AP261" i="6"/>
  <c r="AS261" i="6" s="1"/>
  <c r="AP271" i="6"/>
  <c r="AP279" i="6"/>
  <c r="AS279" i="6" s="1"/>
  <c r="AP288" i="6"/>
  <c r="AU288" i="6" s="1"/>
  <c r="AP296" i="6"/>
  <c r="AP305" i="6"/>
  <c r="AV305" i="6" s="1"/>
  <c r="AP57" i="6"/>
  <c r="AP66" i="6"/>
  <c r="AX66" i="6" s="1"/>
  <c r="AP75" i="6"/>
  <c r="AW75" i="6" s="1"/>
  <c r="AP82" i="6"/>
  <c r="AX82" i="6" s="1"/>
  <c r="AP90" i="6"/>
  <c r="AU90" i="6" s="1"/>
  <c r="AP98" i="6"/>
  <c r="AS98" i="6" s="1"/>
  <c r="AP106" i="6"/>
  <c r="AP113" i="6"/>
  <c r="AV113" i="6" s="1"/>
  <c r="AP121" i="6"/>
  <c r="AW121" i="6" s="1"/>
  <c r="AP131" i="6"/>
  <c r="AV131" i="6" s="1"/>
  <c r="AP138" i="6"/>
  <c r="AX138" i="6" s="1"/>
  <c r="AP144" i="6"/>
  <c r="AS144" i="6" s="1"/>
  <c r="AP150" i="6"/>
  <c r="AW150" i="6" s="1"/>
  <c r="AP155" i="6"/>
  <c r="AP161" i="6"/>
  <c r="AV161" i="6" s="1"/>
  <c r="AP169" i="6"/>
  <c r="AS169" i="6" s="1"/>
  <c r="AP176" i="6"/>
  <c r="AU176" i="6" s="1"/>
  <c r="AP182" i="6"/>
  <c r="AW182" i="6" s="1"/>
  <c r="AP190" i="6"/>
  <c r="AP147" i="6"/>
  <c r="AT147" i="6" s="1"/>
  <c r="AP162" i="6"/>
  <c r="AS162" i="6" s="1"/>
  <c r="AP172" i="6"/>
  <c r="AP180" i="6"/>
  <c r="AV180" i="6" s="1"/>
  <c r="AP188" i="6"/>
  <c r="AP358" i="6"/>
  <c r="AP366" i="6"/>
  <c r="AV366" i="6" s="1"/>
  <c r="AP374" i="6"/>
  <c r="AX374" i="6" s="1"/>
  <c r="AP382" i="6"/>
  <c r="AP390" i="6"/>
  <c r="AP398" i="6"/>
  <c r="AP406" i="6"/>
  <c r="AP414" i="6"/>
  <c r="AP422" i="6"/>
  <c r="AP430" i="6"/>
  <c r="AP438" i="6"/>
  <c r="AP446" i="6"/>
  <c r="AP454" i="6"/>
  <c r="AP462" i="6"/>
  <c r="AP363" i="6"/>
  <c r="AP375" i="6"/>
  <c r="AV375" i="6" s="1"/>
  <c r="AP391" i="6"/>
  <c r="AP404" i="6"/>
  <c r="AP419" i="6"/>
  <c r="AP435" i="6"/>
  <c r="AP447" i="6"/>
  <c r="AP460" i="6"/>
  <c r="AP376" i="6"/>
  <c r="AP392" i="6"/>
  <c r="AP411" i="6"/>
  <c r="AP431" i="6"/>
  <c r="AP448" i="6"/>
  <c r="AP464" i="6"/>
  <c r="AP470" i="6"/>
  <c r="AP338" i="6"/>
  <c r="AX338" i="6" s="1"/>
  <c r="AP342" i="6"/>
  <c r="AS342" i="6" s="1"/>
  <c r="AP346" i="6"/>
  <c r="AP350" i="6"/>
  <c r="AW350" i="6" s="1"/>
  <c r="AP354" i="6"/>
  <c r="AP308" i="6"/>
  <c r="AP312" i="6"/>
  <c r="AP316" i="6"/>
  <c r="AV316" i="6" s="1"/>
  <c r="AP320" i="6"/>
  <c r="AU320" i="6" s="1"/>
  <c r="AP324" i="6"/>
  <c r="AP328" i="6"/>
  <c r="AX328" i="6" s="1"/>
  <c r="AP332" i="6"/>
  <c r="AT332" i="6" s="1"/>
  <c r="AP191" i="6"/>
  <c r="AU191" i="6" s="1"/>
  <c r="AP195" i="6"/>
  <c r="AU195" i="6" s="1"/>
  <c r="AP200" i="6"/>
  <c r="AP204" i="6"/>
  <c r="AP208" i="6"/>
  <c r="AP212" i="6"/>
  <c r="AP216" i="6"/>
  <c r="AT216" i="6" s="1"/>
  <c r="AP220" i="6"/>
  <c r="AP224" i="6"/>
  <c r="AV224" i="6" s="1"/>
  <c r="AP228" i="6"/>
  <c r="AT228" i="6" s="1"/>
  <c r="AP232" i="6"/>
  <c r="AP236" i="6"/>
  <c r="AX236" i="6" s="1"/>
  <c r="AP240" i="6"/>
  <c r="AP244" i="6"/>
  <c r="AP249" i="6"/>
  <c r="AX249" i="6" s="1"/>
  <c r="AP254" i="6"/>
  <c r="AP262" i="6"/>
  <c r="AW262" i="6" s="1"/>
  <c r="AP269" i="6"/>
  <c r="AP277" i="6"/>
  <c r="AU277" i="6" s="1"/>
  <c r="AP284" i="6"/>
  <c r="AP291" i="6"/>
  <c r="AW291" i="6" s="1"/>
  <c r="AP298" i="6"/>
  <c r="AP51" i="6"/>
  <c r="AV51" i="6" s="1"/>
  <c r="AP59" i="6"/>
  <c r="AP65" i="6"/>
  <c r="AU65" i="6" s="1"/>
  <c r="AP73" i="6"/>
  <c r="AP81" i="6"/>
  <c r="AP88" i="6"/>
  <c r="AT88" i="6" s="1"/>
  <c r="AP96" i="6"/>
  <c r="AP105" i="6"/>
  <c r="AS105" i="6" s="1"/>
  <c r="AP114" i="6"/>
  <c r="AP122" i="6"/>
  <c r="AS122" i="6" s="1"/>
  <c r="AP128" i="6"/>
  <c r="AW128" i="6" s="1"/>
  <c r="AP256" i="6"/>
  <c r="AU256" i="6" s="1"/>
  <c r="AP263" i="6"/>
  <c r="AP272" i="6"/>
  <c r="AX272" i="6" s="1"/>
  <c r="AP281" i="6"/>
  <c r="AU281" i="6" s="1"/>
  <c r="AP289" i="6"/>
  <c r="AP299" i="6"/>
  <c r="AT299" i="6" s="1"/>
  <c r="AP50" i="6"/>
  <c r="AP58" i="6"/>
  <c r="AU58" i="6" s="1"/>
  <c r="AP68" i="6"/>
  <c r="AP76" i="6"/>
  <c r="AU76" i="6" s="1"/>
  <c r="AP84" i="6"/>
  <c r="AP93" i="6"/>
  <c r="AT93" i="6" s="1"/>
  <c r="AP101" i="6"/>
  <c r="AV101" i="6" s="1"/>
  <c r="AP107" i="6"/>
  <c r="AX107" i="6" s="1"/>
  <c r="AP116" i="6"/>
  <c r="AV116" i="6" s="1"/>
  <c r="AP124" i="6"/>
  <c r="AP133" i="6"/>
  <c r="AV133" i="6" s="1"/>
  <c r="AP140" i="6"/>
  <c r="AP146" i="6"/>
  <c r="AP151" i="6"/>
  <c r="AP156" i="6"/>
  <c r="AT156" i="6" s="1"/>
  <c r="AP164" i="6"/>
  <c r="AP170" i="6"/>
  <c r="AP177" i="6"/>
  <c r="AV177" i="6" s="1"/>
  <c r="AP184" i="6"/>
  <c r="AT184" i="6" s="1"/>
  <c r="AP139" i="6"/>
  <c r="AP152" i="6"/>
  <c r="AV152" i="6" s="1"/>
  <c r="AP163" i="6"/>
  <c r="AP174" i="6"/>
  <c r="AU174" i="6" s="1"/>
  <c r="AP183" i="6"/>
  <c r="AT183" i="6" s="1"/>
  <c r="Q41" i="6" l="1"/>
  <c r="S45" i="6"/>
  <c r="T29" i="6"/>
  <c r="U23" i="6"/>
  <c r="U21" i="6"/>
  <c r="T36" i="6"/>
  <c r="Q17" i="6"/>
  <c r="N75" i="12"/>
  <c r="N148" i="12"/>
  <c r="N227" i="12"/>
  <c r="N369" i="12"/>
  <c r="N367" i="12"/>
  <c r="N78" i="12"/>
  <c r="N147" i="12"/>
  <c r="N10" i="12"/>
  <c r="N9" i="12"/>
  <c r="N299" i="12"/>
  <c r="N225" i="12"/>
  <c r="N153" i="12"/>
  <c r="N297" i="12"/>
  <c r="N223" i="12"/>
  <c r="N149" i="12"/>
  <c r="N222" i="12"/>
  <c r="N293" i="12"/>
  <c r="N364" i="12"/>
  <c r="N3" i="12"/>
  <c r="N363" i="12"/>
  <c r="N370" i="12"/>
  <c r="N156" i="12"/>
  <c r="N155" i="12"/>
  <c r="N80" i="12"/>
  <c r="N368" i="12"/>
  <c r="N224" i="12"/>
  <c r="N296" i="12"/>
  <c r="N366" i="12"/>
  <c r="N221" i="12"/>
  <c r="N151" i="12"/>
  <c r="N150" i="12"/>
  <c r="N219" i="12"/>
  <c r="N82" i="12"/>
  <c r="N81" i="12"/>
  <c r="N298" i="12"/>
  <c r="N79" i="12"/>
  <c r="N295" i="12"/>
  <c r="N5" i="12"/>
  <c r="N294" i="12"/>
  <c r="N76" i="12"/>
  <c r="N291" i="12"/>
  <c r="N300" i="12"/>
  <c r="N226" i="12"/>
  <c r="N8" i="12"/>
  <c r="N154" i="12"/>
  <c r="N7" i="12"/>
  <c r="N6" i="12"/>
  <c r="N152" i="12"/>
  <c r="N365" i="12"/>
  <c r="N77" i="12"/>
  <c r="N4" i="12"/>
  <c r="N292" i="12"/>
  <c r="N220" i="12"/>
  <c r="AL16" i="6"/>
  <c r="J49" i="11"/>
  <c r="J25" i="11"/>
  <c r="J13" i="11"/>
  <c r="J73" i="11"/>
  <c r="J31" i="11"/>
  <c r="J7" i="11"/>
  <c r="N39" i="2" s="1"/>
  <c r="J61" i="11"/>
  <c r="J37" i="11"/>
  <c r="J67" i="11"/>
  <c r="J43" i="11"/>
  <c r="N256" i="2" s="1"/>
  <c r="J55" i="11"/>
  <c r="J19" i="11"/>
  <c r="AL15" i="6"/>
  <c r="I31" i="11"/>
  <c r="I61" i="11"/>
  <c r="I7" i="11"/>
  <c r="N38" i="2" s="1"/>
  <c r="I49" i="11"/>
  <c r="I37" i="11"/>
  <c r="I55" i="11"/>
  <c r="I19" i="11"/>
  <c r="I25" i="11"/>
  <c r="I67" i="11"/>
  <c r="I73" i="11"/>
  <c r="I13" i="11"/>
  <c r="I43" i="11"/>
  <c r="N255" i="2" s="1"/>
  <c r="AN23" i="6"/>
  <c r="K117" i="11"/>
  <c r="K147" i="11"/>
  <c r="K105" i="11"/>
  <c r="K93" i="11"/>
  <c r="K141" i="11"/>
  <c r="K129" i="11"/>
  <c r="K123" i="11"/>
  <c r="K81" i="11"/>
  <c r="K135" i="11"/>
  <c r="K111" i="11"/>
  <c r="K99" i="11"/>
  <c r="K87" i="11"/>
  <c r="AN21" i="6"/>
  <c r="I141" i="11"/>
  <c r="I129" i="11"/>
  <c r="I81" i="11"/>
  <c r="I87" i="11"/>
  <c r="I111" i="11"/>
  <c r="I117" i="11"/>
  <c r="I147" i="11"/>
  <c r="I99" i="11"/>
  <c r="I105" i="11"/>
  <c r="I135" i="11"/>
  <c r="I93" i="11"/>
  <c r="I123" i="11"/>
  <c r="AL20" i="6"/>
  <c r="H91" i="11"/>
  <c r="N597" i="2" s="1"/>
  <c r="H121" i="11"/>
  <c r="N814" i="2" s="1"/>
  <c r="H97" i="11"/>
  <c r="N632" i="2" s="1"/>
  <c r="H139" i="11"/>
  <c r="N926" i="2" s="1"/>
  <c r="H127" i="11"/>
  <c r="N877" i="2" s="1"/>
  <c r="H103" i="11"/>
  <c r="N709" i="2" s="1"/>
  <c r="H79" i="11"/>
  <c r="N527" i="2" s="1"/>
  <c r="H133" i="11"/>
  <c r="N898" i="2" s="1"/>
  <c r="H85" i="11"/>
  <c r="N583" i="2" s="1"/>
  <c r="H115" i="11"/>
  <c r="N779" i="2" s="1"/>
  <c r="H109" i="11"/>
  <c r="N723" i="2" s="1"/>
  <c r="H145" i="11"/>
  <c r="N968" i="2" s="1"/>
  <c r="AN14" i="6"/>
  <c r="H39" i="11"/>
  <c r="H27" i="11"/>
  <c r="H15" i="11"/>
  <c r="H69" i="11"/>
  <c r="H57" i="11"/>
  <c r="N352" i="2" s="1"/>
  <c r="H45" i="11"/>
  <c r="H33" i="11"/>
  <c r="H9" i="11"/>
  <c r="H21" i="11"/>
  <c r="H63" i="11"/>
  <c r="H75" i="11"/>
  <c r="H51" i="11"/>
  <c r="L10" i="12"/>
  <c r="AL17" i="6"/>
  <c r="K25" i="11"/>
  <c r="K37" i="11"/>
  <c r="K67" i="11"/>
  <c r="K55" i="11"/>
  <c r="K73" i="11"/>
  <c r="K13" i="11"/>
  <c r="K61" i="11"/>
  <c r="K19" i="11"/>
  <c r="K49" i="11"/>
  <c r="K43" i="11"/>
  <c r="N257" i="2" s="1"/>
  <c r="K31" i="11"/>
  <c r="K7" i="11"/>
  <c r="N40" i="2" s="1"/>
  <c r="AL19" i="6"/>
  <c r="M73" i="11"/>
  <c r="M13" i="11"/>
  <c r="M43" i="11"/>
  <c r="M61" i="11"/>
  <c r="M49" i="11"/>
  <c r="M67" i="11"/>
  <c r="M37" i="11"/>
  <c r="M25" i="11"/>
  <c r="M19" i="11"/>
  <c r="M55" i="11"/>
  <c r="M7" i="11"/>
  <c r="M31" i="11"/>
  <c r="AN22" i="6"/>
  <c r="J135" i="11"/>
  <c r="J99" i="11"/>
  <c r="J129" i="11"/>
  <c r="J117" i="11"/>
  <c r="J93" i="11"/>
  <c r="J141" i="11"/>
  <c r="J81" i="11"/>
  <c r="J105" i="11"/>
  <c r="J147" i="11"/>
  <c r="J123" i="11"/>
  <c r="J111" i="11"/>
  <c r="J87" i="11"/>
  <c r="AN25" i="6"/>
  <c r="M105" i="11"/>
  <c r="M93" i="11"/>
  <c r="M123" i="11"/>
  <c r="M111" i="11"/>
  <c r="M141" i="11"/>
  <c r="M81" i="11"/>
  <c r="M129" i="11"/>
  <c r="M117" i="11"/>
  <c r="M147" i="11"/>
  <c r="M135" i="11"/>
  <c r="M99" i="11"/>
  <c r="M87" i="11"/>
  <c r="AL24" i="6"/>
  <c r="L127" i="11"/>
  <c r="L91" i="11"/>
  <c r="L97" i="11"/>
  <c r="L121" i="11"/>
  <c r="L145" i="11"/>
  <c r="L79" i="11"/>
  <c r="L109" i="11"/>
  <c r="L133" i="11"/>
  <c r="L85" i="11"/>
  <c r="L139" i="11"/>
  <c r="L115" i="11"/>
  <c r="L103" i="11"/>
  <c r="AL14" i="6"/>
  <c r="H73" i="11"/>
  <c r="H13" i="11"/>
  <c r="H43" i="11"/>
  <c r="N254" i="2" s="1"/>
  <c r="H31" i="11"/>
  <c r="H19" i="11"/>
  <c r="H61" i="11"/>
  <c r="H49" i="11"/>
  <c r="H67" i="11"/>
  <c r="H7" i="11"/>
  <c r="N37" i="2" s="1"/>
  <c r="H25" i="11"/>
  <c r="H37" i="11"/>
  <c r="H55" i="11"/>
  <c r="AN20" i="6"/>
  <c r="H93" i="11"/>
  <c r="H123" i="11"/>
  <c r="H141" i="11"/>
  <c r="H81" i="11"/>
  <c r="H135" i="11"/>
  <c r="H111" i="11"/>
  <c r="H87" i="11"/>
  <c r="H129" i="11"/>
  <c r="H105" i="11"/>
  <c r="H147" i="11"/>
  <c r="H117" i="11"/>
  <c r="H99" i="11"/>
  <c r="AL22" i="6"/>
  <c r="J121" i="11"/>
  <c r="J97" i="11"/>
  <c r="J145" i="11"/>
  <c r="J115" i="11"/>
  <c r="J109" i="11"/>
  <c r="N725" i="2" s="1"/>
  <c r="J85" i="11"/>
  <c r="J133" i="11"/>
  <c r="J127" i="11"/>
  <c r="J103" i="11"/>
  <c r="J91" i="11"/>
  <c r="J79" i="11"/>
  <c r="J139" i="11"/>
  <c r="AL21" i="6"/>
  <c r="I139" i="11"/>
  <c r="I103" i="11"/>
  <c r="I127" i="11"/>
  <c r="I109" i="11"/>
  <c r="N724" i="2" s="1"/>
  <c r="I145" i="11"/>
  <c r="I115" i="11"/>
  <c r="I91" i="11"/>
  <c r="I85" i="11"/>
  <c r="I97" i="11"/>
  <c r="I121" i="11"/>
  <c r="I133" i="11"/>
  <c r="I79" i="11"/>
  <c r="AN16" i="6"/>
  <c r="J33" i="11"/>
  <c r="J9" i="11"/>
  <c r="J21" i="11"/>
  <c r="J75" i="11"/>
  <c r="J45" i="11"/>
  <c r="J63" i="11"/>
  <c r="J39" i="11"/>
  <c r="J51" i="11"/>
  <c r="J57" i="11"/>
  <c r="N354" i="2" s="1"/>
  <c r="J69" i="11"/>
  <c r="J15" i="11"/>
  <c r="J27" i="11"/>
  <c r="AN15" i="6"/>
  <c r="I63" i="11"/>
  <c r="I69" i="11"/>
  <c r="I57" i="11"/>
  <c r="N353" i="2" s="1"/>
  <c r="I45" i="11"/>
  <c r="I33" i="11"/>
  <c r="I51" i="11"/>
  <c r="I27" i="11"/>
  <c r="I15" i="11"/>
  <c r="I39" i="11"/>
  <c r="I75" i="11"/>
  <c r="I9" i="11"/>
  <c r="I21" i="11"/>
  <c r="AL23" i="6"/>
  <c r="K109" i="11"/>
  <c r="N726" i="2" s="1"/>
  <c r="K85" i="11"/>
  <c r="K133" i="11"/>
  <c r="K79" i="11"/>
  <c r="K121" i="11"/>
  <c r="K97" i="11"/>
  <c r="K139" i="11"/>
  <c r="K127" i="11"/>
  <c r="K115" i="11"/>
  <c r="K103" i="11"/>
  <c r="K91" i="11"/>
  <c r="K145" i="11"/>
  <c r="AL25" i="6"/>
  <c r="M121" i="11"/>
  <c r="M97" i="11"/>
  <c r="M145" i="11"/>
  <c r="M139" i="11"/>
  <c r="M103" i="11"/>
  <c r="M85" i="11"/>
  <c r="M115" i="11"/>
  <c r="M109" i="11"/>
  <c r="N728" i="2" s="1"/>
  <c r="M127" i="11"/>
  <c r="M91" i="11"/>
  <c r="M79" i="11"/>
  <c r="M133" i="11"/>
  <c r="AN17" i="6"/>
  <c r="K63" i="11"/>
  <c r="K51" i="11"/>
  <c r="K21" i="11"/>
  <c r="K69" i="11"/>
  <c r="K57" i="11"/>
  <c r="N355" i="2" s="1"/>
  <c r="K33" i="11"/>
  <c r="K45" i="11"/>
  <c r="K75" i="11"/>
  <c r="K39" i="11"/>
  <c r="K9" i="11"/>
  <c r="K27" i="11"/>
  <c r="K15" i="11"/>
  <c r="L156" i="12"/>
  <c r="L227" i="12"/>
  <c r="L300" i="12"/>
  <c r="L82" i="12"/>
  <c r="L370" i="12"/>
  <c r="L3" i="12"/>
  <c r="L147" i="12"/>
  <c r="L219" i="12"/>
  <c r="L75" i="12"/>
  <c r="L148" i="12"/>
  <c r="L291" i="12"/>
  <c r="O291" i="12" s="1"/>
  <c r="L220" i="12"/>
  <c r="L363" i="12"/>
  <c r="L76" i="12"/>
  <c r="O76" i="12" s="1"/>
  <c r="L150" i="12"/>
  <c r="L364" i="12"/>
  <c r="O364" i="12" s="1"/>
  <c r="L292" i="12"/>
  <c r="L293" i="12"/>
  <c r="L4" i="12"/>
  <c r="L149" i="12"/>
  <c r="L5" i="12"/>
  <c r="L222" i="12"/>
  <c r="O222" i="12" s="1"/>
  <c r="L294" i="12"/>
  <c r="L77" i="12"/>
  <c r="L221" i="12"/>
  <c r="L295" i="12"/>
  <c r="L365" i="12"/>
  <c r="O365" i="12" s="1"/>
  <c r="L151" i="12"/>
  <c r="O151" i="12" s="1"/>
  <c r="L366" i="12"/>
  <c r="L78" i="12"/>
  <c r="L6" i="12"/>
  <c r="L152" i="12"/>
  <c r="L296" i="12"/>
  <c r="O296" i="12" s="1"/>
  <c r="L223" i="12"/>
  <c r="L79" i="12"/>
  <c r="L7" i="12"/>
  <c r="L297" i="12"/>
  <c r="L367" i="12"/>
  <c r="L224" i="12"/>
  <c r="L153" i="12"/>
  <c r="L368" i="12"/>
  <c r="L298" i="12"/>
  <c r="L154" i="12"/>
  <c r="O154" i="12" s="1"/>
  <c r="L80" i="12"/>
  <c r="L225" i="12"/>
  <c r="O225" i="12" s="1"/>
  <c r="L8" i="12"/>
  <c r="O8" i="12" s="1"/>
  <c r="L81" i="12"/>
  <c r="L226" i="12"/>
  <c r="L299" i="12"/>
  <c r="L369" i="12"/>
  <c r="O369" i="12" s="1"/>
  <c r="L155" i="12"/>
  <c r="L9" i="12"/>
  <c r="S34" i="6"/>
  <c r="Q34" i="6"/>
  <c r="Q28" i="6"/>
  <c r="N11" i="12"/>
  <c r="L11" i="12"/>
  <c r="B12" i="12"/>
  <c r="A12" i="12" s="1"/>
  <c r="N228" i="12"/>
  <c r="L228" i="12"/>
  <c r="N83" i="12"/>
  <c r="L83" i="12"/>
  <c r="N371" i="12"/>
  <c r="L371" i="12"/>
  <c r="N157" i="12"/>
  <c r="L157" i="12"/>
  <c r="N301" i="12"/>
  <c r="L301" i="12"/>
  <c r="V40" i="6"/>
  <c r="T28" i="6"/>
  <c r="T40" i="6"/>
  <c r="Q46" i="6"/>
  <c r="U34" i="6"/>
  <c r="AM34" i="6"/>
  <c r="S40" i="6"/>
  <c r="AK40" i="6"/>
  <c r="V46" i="6"/>
  <c r="AN46" i="6"/>
  <c r="Q40" i="6"/>
  <c r="AI40" i="6"/>
  <c r="B372" i="12"/>
  <c r="A372" i="12" s="1"/>
  <c r="B302" i="12"/>
  <c r="A302" i="12" s="1"/>
  <c r="B229" i="12"/>
  <c r="A229" i="12" s="1"/>
  <c r="B158" i="12"/>
  <c r="A158" i="12" s="1"/>
  <c r="B84" i="12"/>
  <c r="A84" i="12" s="1"/>
  <c r="Q25" i="6"/>
  <c r="M142" i="11"/>
  <c r="N980" i="2" s="1"/>
  <c r="M94" i="11"/>
  <c r="N672" i="2" s="1"/>
  <c r="M88" i="11"/>
  <c r="N609" i="2" s="1"/>
  <c r="M76" i="11"/>
  <c r="N539" i="2" s="1"/>
  <c r="M130" i="11"/>
  <c r="N917" i="2" s="1"/>
  <c r="M82" i="11"/>
  <c r="N581" i="2" s="1"/>
  <c r="M124" i="11"/>
  <c r="N868" i="2" s="1"/>
  <c r="M100" i="11"/>
  <c r="N700" i="2" s="1"/>
  <c r="M118" i="11"/>
  <c r="N840" i="2" s="1"/>
  <c r="M106" i="11"/>
  <c r="N735" i="2" s="1"/>
  <c r="M136" i="11"/>
  <c r="N952" i="2" s="1"/>
  <c r="M112" i="11"/>
  <c r="N770" i="2" s="1"/>
  <c r="T18" i="6"/>
  <c r="L73" i="11"/>
  <c r="N505" i="2" s="1"/>
  <c r="L49" i="11"/>
  <c r="N323" i="2" s="1"/>
  <c r="L25" i="11"/>
  <c r="N148" i="2" s="1"/>
  <c r="L37" i="11"/>
  <c r="N232" i="2" s="1"/>
  <c r="L61" i="11"/>
  <c r="N400" i="2" s="1"/>
  <c r="L13" i="11"/>
  <c r="N71" i="2" s="1"/>
  <c r="L67" i="11"/>
  <c r="N442" i="2" s="1"/>
  <c r="L55" i="11"/>
  <c r="N372" i="2" s="1"/>
  <c r="L43" i="11"/>
  <c r="N260" i="2" s="1"/>
  <c r="L31" i="11"/>
  <c r="N183" i="2" s="1"/>
  <c r="L7" i="11"/>
  <c r="N43" i="2" s="1"/>
  <c r="L19" i="11"/>
  <c r="N113" i="2" s="1"/>
  <c r="U15" i="6"/>
  <c r="I38" i="11"/>
  <c r="N234" i="2" s="1"/>
  <c r="I74" i="11"/>
  <c r="N489" i="2" s="1"/>
  <c r="I26" i="11"/>
  <c r="N136" i="2" s="1"/>
  <c r="I56" i="11"/>
  <c r="N339" i="2" s="1"/>
  <c r="I44" i="11"/>
  <c r="N262" i="2" s="1"/>
  <c r="I32" i="11"/>
  <c r="N171" i="2" s="1"/>
  <c r="I20" i="11"/>
  <c r="N122" i="2" s="1"/>
  <c r="I8" i="11"/>
  <c r="N3" i="2" s="1"/>
  <c r="I14" i="11"/>
  <c r="N52" i="2" s="1"/>
  <c r="I68" i="11"/>
  <c r="N451" i="2" s="1"/>
  <c r="I50" i="11"/>
  <c r="N332" i="2" s="1"/>
  <c r="I62" i="11"/>
  <c r="N409" i="2" s="1"/>
  <c r="R21" i="6"/>
  <c r="I95" i="11"/>
  <c r="N647" i="2" s="1"/>
  <c r="I137" i="11"/>
  <c r="N962" i="2" s="1"/>
  <c r="I89" i="11"/>
  <c r="N626" i="2" s="1"/>
  <c r="I125" i="11"/>
  <c r="N857" i="2" s="1"/>
  <c r="I77" i="11"/>
  <c r="N507" i="2" s="1"/>
  <c r="I119" i="11"/>
  <c r="N829" i="2" s="1"/>
  <c r="I113" i="11"/>
  <c r="N794" i="2" s="1"/>
  <c r="I131" i="11"/>
  <c r="N906" i="2" s="1"/>
  <c r="I107" i="11"/>
  <c r="N745" i="2" s="1"/>
  <c r="I101" i="11"/>
  <c r="N703" i="2" s="1"/>
  <c r="I83" i="11"/>
  <c r="N563" i="2" s="1"/>
  <c r="I143" i="11"/>
  <c r="N997" i="2" s="1"/>
  <c r="S21" i="6"/>
  <c r="I102" i="11"/>
  <c r="N682" i="2" s="1"/>
  <c r="I144" i="11"/>
  <c r="N1004" i="2" s="1"/>
  <c r="I120" i="11"/>
  <c r="N808" i="2" s="1"/>
  <c r="I138" i="11"/>
  <c r="N941" i="2" s="1"/>
  <c r="I90" i="11"/>
  <c r="N612" i="2" s="1"/>
  <c r="I132" i="11"/>
  <c r="N920" i="2" s="1"/>
  <c r="I108" i="11"/>
  <c r="N752" i="2" s="1"/>
  <c r="I96" i="11"/>
  <c r="N661" i="2" s="1"/>
  <c r="I78" i="11"/>
  <c r="N514" i="2" s="1"/>
  <c r="I84" i="11"/>
  <c r="N549" i="2" s="1"/>
  <c r="I114" i="11"/>
  <c r="N787" i="2" s="1"/>
  <c r="I126" i="11"/>
  <c r="N871" i="2" s="1"/>
  <c r="S15" i="6"/>
  <c r="I54" i="11"/>
  <c r="N374" i="2" s="1"/>
  <c r="I6" i="11"/>
  <c r="N17" i="2" s="1"/>
  <c r="I42" i="11"/>
  <c r="N283" i="2" s="1"/>
  <c r="I72" i="11"/>
  <c r="N479" i="2" s="1"/>
  <c r="I48" i="11"/>
  <c r="N307" i="2" s="1"/>
  <c r="I36" i="11"/>
  <c r="N223" i="2" s="1"/>
  <c r="I24" i="11"/>
  <c r="N164" i="2" s="1"/>
  <c r="I12" i="11"/>
  <c r="N63" i="2" s="1"/>
  <c r="I66" i="11"/>
  <c r="N444" i="2" s="1"/>
  <c r="I60" i="11"/>
  <c r="N388" i="2" s="1"/>
  <c r="I18" i="11"/>
  <c r="N87" i="2" s="1"/>
  <c r="I30" i="11"/>
  <c r="N199" i="2" s="1"/>
  <c r="H60" i="11"/>
  <c r="N387" i="2" s="1"/>
  <c r="H42" i="11"/>
  <c r="N282" i="2" s="1"/>
  <c r="H36" i="11"/>
  <c r="N222" i="2" s="1"/>
  <c r="H24" i="11"/>
  <c r="N163" i="2" s="1"/>
  <c r="H72" i="11"/>
  <c r="N478" i="2" s="1"/>
  <c r="H30" i="11"/>
  <c r="N198" i="2" s="1"/>
  <c r="H54" i="11"/>
  <c r="N373" i="2" s="1"/>
  <c r="H66" i="11"/>
  <c r="N443" i="2" s="1"/>
  <c r="H6" i="11"/>
  <c r="N16" i="2" s="1"/>
  <c r="H12" i="11"/>
  <c r="N62" i="2" s="1"/>
  <c r="H18" i="11"/>
  <c r="N86" i="2" s="1"/>
  <c r="H48" i="11"/>
  <c r="N306" i="2" s="1"/>
  <c r="L365" i="11"/>
  <c r="L413" i="11"/>
  <c r="L401" i="11"/>
  <c r="L389" i="11"/>
  <c r="L377" i="11"/>
  <c r="L431" i="11"/>
  <c r="L407" i="11"/>
  <c r="L395" i="11"/>
  <c r="L371" i="11"/>
  <c r="L425" i="11"/>
  <c r="L419" i="11"/>
  <c r="L383" i="11"/>
  <c r="L129" i="11"/>
  <c r="N855" i="2" s="1"/>
  <c r="L105" i="11"/>
  <c r="N694" i="2" s="1"/>
  <c r="L81" i="11"/>
  <c r="N547" i="2" s="1"/>
  <c r="L117" i="11"/>
  <c r="N764" i="2" s="1"/>
  <c r="L141" i="11"/>
  <c r="N960" i="2" s="1"/>
  <c r="L147" i="11"/>
  <c r="N995" i="2" s="1"/>
  <c r="L135" i="11"/>
  <c r="N897" i="2" s="1"/>
  <c r="L123" i="11"/>
  <c r="N827" i="2" s="1"/>
  <c r="L93" i="11"/>
  <c r="N624" i="2" s="1"/>
  <c r="L111" i="11"/>
  <c r="N722" i="2" s="1"/>
  <c r="L99" i="11"/>
  <c r="N659" i="2" s="1"/>
  <c r="L87" i="11"/>
  <c r="N575" i="2" s="1"/>
  <c r="L270" i="11"/>
  <c r="L222" i="11"/>
  <c r="L264" i="11"/>
  <c r="L228" i="11"/>
  <c r="L276" i="11"/>
  <c r="L282" i="11"/>
  <c r="L252" i="11"/>
  <c r="L240" i="11"/>
  <c r="L234" i="11"/>
  <c r="L258" i="11"/>
  <c r="L246" i="11"/>
  <c r="L288" i="11"/>
  <c r="M362" i="11"/>
  <c r="M314" i="11"/>
  <c r="M356" i="11"/>
  <c r="M344" i="11"/>
  <c r="M296" i="11"/>
  <c r="M350" i="11"/>
  <c r="M302" i="11"/>
  <c r="M308" i="11"/>
  <c r="M326" i="11"/>
  <c r="M338" i="11"/>
  <c r="M332" i="11"/>
  <c r="M320" i="11"/>
  <c r="K338" i="11"/>
  <c r="K320" i="11"/>
  <c r="K326" i="11"/>
  <c r="K332" i="11"/>
  <c r="K302" i="11"/>
  <c r="K308" i="11"/>
  <c r="K356" i="11"/>
  <c r="K314" i="11"/>
  <c r="K296" i="11"/>
  <c r="K350" i="11"/>
  <c r="K362" i="11"/>
  <c r="K344" i="11"/>
  <c r="L286" i="11"/>
  <c r="L238" i="11"/>
  <c r="L280" i="11"/>
  <c r="L232" i="11"/>
  <c r="L274" i="11"/>
  <c r="L244" i="11"/>
  <c r="L220" i="11"/>
  <c r="L250" i="11"/>
  <c r="L262" i="11"/>
  <c r="L268" i="11"/>
  <c r="L226" i="11"/>
  <c r="L256" i="11"/>
  <c r="M218" i="11"/>
  <c r="M170" i="11"/>
  <c r="N1162" i="2" s="1"/>
  <c r="M206" i="11"/>
  <c r="M194" i="11"/>
  <c r="M158" i="11"/>
  <c r="N1071" i="2" s="1"/>
  <c r="M212" i="11"/>
  <c r="M188" i="11"/>
  <c r="N1267" i="2" s="1"/>
  <c r="M164" i="11"/>
  <c r="N1099" i="2" s="1"/>
  <c r="M182" i="11"/>
  <c r="N1246" i="2" s="1"/>
  <c r="M152" i="11"/>
  <c r="N1015" i="2" s="1"/>
  <c r="M200" i="11"/>
  <c r="M176" i="11"/>
  <c r="N1218" i="2" s="1"/>
  <c r="K194" i="11"/>
  <c r="K200" i="11"/>
  <c r="K176" i="11"/>
  <c r="N1216" i="2" s="1"/>
  <c r="K182" i="11"/>
  <c r="N1244" i="2" s="1"/>
  <c r="K152" i="11"/>
  <c r="N1013" i="2" s="1"/>
  <c r="K164" i="11"/>
  <c r="N1097" i="2" s="1"/>
  <c r="K206" i="11"/>
  <c r="K218" i="11"/>
  <c r="K158" i="11"/>
  <c r="N1069" i="2" s="1"/>
  <c r="K212" i="11"/>
  <c r="K188" i="11"/>
  <c r="N1265" i="2" s="1"/>
  <c r="K170" i="11"/>
  <c r="N1160" i="2" s="1"/>
  <c r="I378" i="11"/>
  <c r="I420" i="11"/>
  <c r="I426" i="11"/>
  <c r="I402" i="11"/>
  <c r="I366" i="11"/>
  <c r="I396" i="11"/>
  <c r="I408" i="11"/>
  <c r="I414" i="11"/>
  <c r="I390" i="11"/>
  <c r="I372" i="11"/>
  <c r="I432" i="11"/>
  <c r="I384" i="11"/>
  <c r="M266" i="11"/>
  <c r="M284" i="11"/>
  <c r="M236" i="11"/>
  <c r="M290" i="11"/>
  <c r="M254" i="11"/>
  <c r="M242" i="11"/>
  <c r="M248" i="11"/>
  <c r="M230" i="11"/>
  <c r="M272" i="11"/>
  <c r="M260" i="11"/>
  <c r="M278" i="11"/>
  <c r="M224" i="11"/>
  <c r="K290" i="11"/>
  <c r="K242" i="11"/>
  <c r="K260" i="11"/>
  <c r="K224" i="11"/>
  <c r="K278" i="11"/>
  <c r="K230" i="11"/>
  <c r="K272" i="11"/>
  <c r="K284" i="11"/>
  <c r="K254" i="11"/>
  <c r="K248" i="11"/>
  <c r="K266" i="11"/>
  <c r="K236" i="11"/>
  <c r="H92" i="11"/>
  <c r="N590" i="2" s="1"/>
  <c r="H122" i="11"/>
  <c r="N800" i="2" s="1"/>
  <c r="H140" i="11"/>
  <c r="N933" i="2" s="1"/>
  <c r="H110" i="11"/>
  <c r="N737" i="2" s="1"/>
  <c r="H116" i="11"/>
  <c r="N772" i="2" s="1"/>
  <c r="H86" i="11"/>
  <c r="N555" i="2" s="1"/>
  <c r="H98" i="11"/>
  <c r="N639" i="2" s="1"/>
  <c r="H104" i="11"/>
  <c r="N674" i="2" s="1"/>
  <c r="H134" i="11"/>
  <c r="N884" i="2" s="1"/>
  <c r="H146" i="11"/>
  <c r="N982" i="2" s="1"/>
  <c r="H128" i="11"/>
  <c r="N842" i="2" s="1"/>
  <c r="H80" i="11"/>
  <c r="N520" i="2" s="1"/>
  <c r="H149" i="11"/>
  <c r="N1024" i="2" s="1"/>
  <c r="H161" i="11"/>
  <c r="N1115" i="2" s="1"/>
  <c r="H209" i="11"/>
  <c r="H197" i="11"/>
  <c r="H185" i="11"/>
  <c r="N1269" i="2" s="1"/>
  <c r="H215" i="11"/>
  <c r="H203" i="11"/>
  <c r="H167" i="11"/>
  <c r="N1150" i="2" s="1"/>
  <c r="H155" i="11"/>
  <c r="N1052" i="2" s="1"/>
  <c r="H173" i="11"/>
  <c r="N1198" i="2" s="1"/>
  <c r="H191" i="11"/>
  <c r="H179" i="11"/>
  <c r="N1248" i="2" s="1"/>
  <c r="I149" i="11"/>
  <c r="N1025" i="2" s="1"/>
  <c r="I185" i="11"/>
  <c r="N1270" i="2" s="1"/>
  <c r="I173" i="11"/>
  <c r="N1192" i="2" s="1"/>
  <c r="I161" i="11"/>
  <c r="N1116" i="2" s="1"/>
  <c r="I197" i="11"/>
  <c r="I203" i="11"/>
  <c r="I191" i="11"/>
  <c r="I155" i="11"/>
  <c r="N1053" i="2" s="1"/>
  <c r="I209" i="11"/>
  <c r="I215" i="11"/>
  <c r="I179" i="11"/>
  <c r="N1249" i="2" s="1"/>
  <c r="I167" i="11"/>
  <c r="N1151" i="2" s="1"/>
  <c r="H225" i="11"/>
  <c r="H237" i="11"/>
  <c r="H279" i="11"/>
  <c r="H249" i="11"/>
  <c r="H291" i="11"/>
  <c r="H243" i="11"/>
  <c r="H261" i="11"/>
  <c r="H285" i="11"/>
  <c r="H255" i="11"/>
  <c r="H231" i="11"/>
  <c r="H273" i="11"/>
  <c r="H267" i="11"/>
  <c r="I261" i="11"/>
  <c r="I225" i="11"/>
  <c r="I249" i="11"/>
  <c r="I291" i="11"/>
  <c r="I243" i="11"/>
  <c r="I285" i="11"/>
  <c r="I255" i="11"/>
  <c r="I273" i="11"/>
  <c r="I267" i="11"/>
  <c r="I237" i="11"/>
  <c r="I279" i="11"/>
  <c r="I231" i="11"/>
  <c r="L174" i="11"/>
  <c r="N1205" i="2" s="1"/>
  <c r="L210" i="11"/>
  <c r="L216" i="11"/>
  <c r="L204" i="11"/>
  <c r="L192" i="11"/>
  <c r="L180" i="11"/>
  <c r="N1226" i="2" s="1"/>
  <c r="L168" i="11"/>
  <c r="N1170" i="2" s="1"/>
  <c r="L186" i="11"/>
  <c r="N1303" i="2" s="1"/>
  <c r="L198" i="11"/>
  <c r="L156" i="11"/>
  <c r="N1086" i="2" s="1"/>
  <c r="L162" i="11"/>
  <c r="N1107" i="2" s="1"/>
  <c r="L150" i="11"/>
  <c r="N1051" i="2" s="1"/>
  <c r="M330" i="11"/>
  <c r="M312" i="11"/>
  <c r="M318" i="11"/>
  <c r="M306" i="11"/>
  <c r="M324" i="11"/>
  <c r="M294" i="11"/>
  <c r="M360" i="11"/>
  <c r="M348" i="11"/>
  <c r="M336" i="11"/>
  <c r="M342" i="11"/>
  <c r="M300" i="11"/>
  <c r="M354" i="11"/>
  <c r="K354" i="11"/>
  <c r="K306" i="11"/>
  <c r="K336" i="11"/>
  <c r="K342" i="11"/>
  <c r="K294" i="11"/>
  <c r="K360" i="11"/>
  <c r="K348" i="11"/>
  <c r="K300" i="11"/>
  <c r="K318" i="11"/>
  <c r="K324" i="11"/>
  <c r="K330" i="11"/>
  <c r="K312" i="11"/>
  <c r="H217" i="11"/>
  <c r="H205" i="11"/>
  <c r="H193" i="11"/>
  <c r="H181" i="11"/>
  <c r="N1255" i="2" s="1"/>
  <c r="H169" i="11"/>
  <c r="N1136" i="2" s="1"/>
  <c r="H157" i="11"/>
  <c r="N1073" i="2" s="1"/>
  <c r="H199" i="11"/>
  <c r="H187" i="11"/>
  <c r="N1290" i="2" s="1"/>
  <c r="H151" i="11"/>
  <c r="N1031" i="2" s="1"/>
  <c r="H175" i="11"/>
  <c r="N1185" i="2" s="1"/>
  <c r="H163" i="11"/>
  <c r="N1108" i="2" s="1"/>
  <c r="H211" i="11"/>
  <c r="I193" i="11"/>
  <c r="I157" i="11"/>
  <c r="N1074" i="2" s="1"/>
  <c r="I205" i="11"/>
  <c r="I217" i="11"/>
  <c r="I169" i="11"/>
  <c r="N1137" i="2" s="1"/>
  <c r="I187" i="11"/>
  <c r="N1291" i="2" s="1"/>
  <c r="I175" i="11"/>
  <c r="N1186" i="2" s="1"/>
  <c r="I181" i="11"/>
  <c r="N1256" i="2" s="1"/>
  <c r="I151" i="11"/>
  <c r="N1032" i="2" s="1"/>
  <c r="I211" i="11"/>
  <c r="I199" i="11"/>
  <c r="I163" i="11"/>
  <c r="N1109" i="2" s="1"/>
  <c r="L190" i="11"/>
  <c r="L208" i="11"/>
  <c r="L196" i="11"/>
  <c r="L184" i="11"/>
  <c r="N1289" i="2" s="1"/>
  <c r="L172" i="11"/>
  <c r="N1212" i="2" s="1"/>
  <c r="L154" i="11"/>
  <c r="N1093" i="2" s="1"/>
  <c r="L178" i="11"/>
  <c r="N1240" i="2" s="1"/>
  <c r="L166" i="11"/>
  <c r="N1149" i="2" s="1"/>
  <c r="L148" i="11"/>
  <c r="N1044" i="2" s="1"/>
  <c r="L202" i="11"/>
  <c r="L214" i="11"/>
  <c r="L160" i="11"/>
  <c r="N1128" i="2" s="1"/>
  <c r="L405" i="11"/>
  <c r="L381" i="11"/>
  <c r="L423" i="11"/>
  <c r="L411" i="11"/>
  <c r="L393" i="11"/>
  <c r="L429" i="11"/>
  <c r="L417" i="11"/>
  <c r="L369" i="11"/>
  <c r="L375" i="11"/>
  <c r="L435" i="11"/>
  <c r="L399" i="11"/>
  <c r="L387" i="11"/>
  <c r="I417" i="11"/>
  <c r="I405" i="11"/>
  <c r="I393" i="11"/>
  <c r="I381" i="11"/>
  <c r="I369" i="11"/>
  <c r="I435" i="11"/>
  <c r="I423" i="11"/>
  <c r="I411" i="11"/>
  <c r="I399" i="11"/>
  <c r="I387" i="11"/>
  <c r="I429" i="11"/>
  <c r="I375" i="11"/>
  <c r="M346" i="11"/>
  <c r="M298" i="11"/>
  <c r="M328" i="11"/>
  <c r="M334" i="11"/>
  <c r="M322" i="11"/>
  <c r="M340" i="11"/>
  <c r="M292" i="11"/>
  <c r="M358" i="11"/>
  <c r="M316" i="11"/>
  <c r="M304" i="11"/>
  <c r="M310" i="11"/>
  <c r="M352" i="11"/>
  <c r="K322" i="11"/>
  <c r="K352" i="11"/>
  <c r="K304" i="11"/>
  <c r="K292" i="11"/>
  <c r="K358" i="11"/>
  <c r="K310" i="11"/>
  <c r="K316" i="11"/>
  <c r="K334" i="11"/>
  <c r="K340" i="11"/>
  <c r="K346" i="11"/>
  <c r="K328" i="11"/>
  <c r="K298" i="11"/>
  <c r="L434" i="11"/>
  <c r="L422" i="11"/>
  <c r="L410" i="11"/>
  <c r="L398" i="11"/>
  <c r="L386" i="11"/>
  <c r="L428" i="11"/>
  <c r="L416" i="11"/>
  <c r="L368" i="11"/>
  <c r="L380" i="11"/>
  <c r="L404" i="11"/>
  <c r="L392" i="11"/>
  <c r="L374" i="11"/>
  <c r="I364" i="11"/>
  <c r="I424" i="11"/>
  <c r="I376" i="11"/>
  <c r="I418" i="11"/>
  <c r="I394" i="11"/>
  <c r="I400" i="11"/>
  <c r="I412" i="11"/>
  <c r="I370" i="11"/>
  <c r="I388" i="11"/>
  <c r="I430" i="11"/>
  <c r="I406" i="11"/>
  <c r="I382" i="11"/>
  <c r="H309" i="11"/>
  <c r="H333" i="11"/>
  <c r="H297" i="11"/>
  <c r="H345" i="11"/>
  <c r="H321" i="11"/>
  <c r="H327" i="11"/>
  <c r="H339" i="11"/>
  <c r="H351" i="11"/>
  <c r="H303" i="11"/>
  <c r="H357" i="11"/>
  <c r="H363" i="11"/>
  <c r="H315" i="11"/>
  <c r="I339" i="11"/>
  <c r="I357" i="11"/>
  <c r="I345" i="11"/>
  <c r="I333" i="11"/>
  <c r="I321" i="11"/>
  <c r="I309" i="11"/>
  <c r="I297" i="11"/>
  <c r="I351" i="11"/>
  <c r="I303" i="11"/>
  <c r="I363" i="11"/>
  <c r="I315" i="11"/>
  <c r="I327" i="11"/>
  <c r="H337" i="11"/>
  <c r="H361" i="11"/>
  <c r="H313" i="11"/>
  <c r="H349" i="11"/>
  <c r="H301" i="11"/>
  <c r="H343" i="11"/>
  <c r="H355" i="11"/>
  <c r="H307" i="11"/>
  <c r="H325" i="11"/>
  <c r="H319" i="11"/>
  <c r="H331" i="11"/>
  <c r="H295" i="11"/>
  <c r="I355" i="11"/>
  <c r="I307" i="11"/>
  <c r="I361" i="11"/>
  <c r="I337" i="11"/>
  <c r="I313" i="11"/>
  <c r="I319" i="11"/>
  <c r="I331" i="11"/>
  <c r="I295" i="11"/>
  <c r="I349" i="11"/>
  <c r="I325" i="11"/>
  <c r="I301" i="11"/>
  <c r="I343" i="11"/>
  <c r="H17" i="11"/>
  <c r="N114" i="2" s="1"/>
  <c r="H53" i="11"/>
  <c r="N359" i="2" s="1"/>
  <c r="H5" i="11"/>
  <c r="N23" i="2" s="1"/>
  <c r="H41" i="11"/>
  <c r="N268" i="2" s="1"/>
  <c r="H29" i="11"/>
  <c r="N184" i="2" s="1"/>
  <c r="H23" i="11"/>
  <c r="N149" i="2" s="1"/>
  <c r="H11" i="11"/>
  <c r="N44" i="2" s="1"/>
  <c r="H65" i="11"/>
  <c r="N457" i="2" s="1"/>
  <c r="H71" i="11"/>
  <c r="N464" i="2" s="1"/>
  <c r="H35" i="11"/>
  <c r="N240" i="2" s="1"/>
  <c r="H47" i="11"/>
  <c r="N303" i="2" s="1"/>
  <c r="H59" i="11"/>
  <c r="N401" i="2" s="1"/>
  <c r="R25" i="6"/>
  <c r="M137" i="11"/>
  <c r="N966" i="2" s="1"/>
  <c r="M101" i="11"/>
  <c r="N707" i="2" s="1"/>
  <c r="M89" i="11"/>
  <c r="N630" i="2" s="1"/>
  <c r="M125" i="11"/>
  <c r="N861" i="2" s="1"/>
  <c r="M77" i="11"/>
  <c r="N511" i="2" s="1"/>
  <c r="M143" i="11"/>
  <c r="N1001" i="2" s="1"/>
  <c r="M131" i="11"/>
  <c r="N910" i="2" s="1"/>
  <c r="M119" i="11"/>
  <c r="N833" i="2" s="1"/>
  <c r="M113" i="11"/>
  <c r="N798" i="2" s="1"/>
  <c r="M107" i="11"/>
  <c r="N749" i="2" s="1"/>
  <c r="M95" i="11"/>
  <c r="N651" i="2" s="1"/>
  <c r="M83" i="11"/>
  <c r="N567" i="2" s="1"/>
  <c r="R15" i="6"/>
  <c r="I47" i="11"/>
  <c r="N304" i="2" s="1"/>
  <c r="I17" i="11"/>
  <c r="N115" i="2" s="1"/>
  <c r="I41" i="11"/>
  <c r="N269" i="2" s="1"/>
  <c r="I29" i="11"/>
  <c r="N185" i="2" s="1"/>
  <c r="I35" i="11"/>
  <c r="N241" i="2" s="1"/>
  <c r="I23" i="11"/>
  <c r="N150" i="2" s="1"/>
  <c r="I11" i="11"/>
  <c r="N45" i="2" s="1"/>
  <c r="I65" i="11"/>
  <c r="N458" i="2" s="1"/>
  <c r="I53" i="11"/>
  <c r="N360" i="2" s="1"/>
  <c r="I5" i="11"/>
  <c r="N24" i="2" s="1"/>
  <c r="I71" i="11"/>
  <c r="N465" i="2" s="1"/>
  <c r="I59" i="11"/>
  <c r="N402" i="2" s="1"/>
  <c r="Q21" i="6"/>
  <c r="I118" i="11"/>
  <c r="N836" i="2" s="1"/>
  <c r="I136" i="11"/>
  <c r="N948" i="2" s="1"/>
  <c r="I112" i="11"/>
  <c r="N766" i="2" s="1"/>
  <c r="I106" i="11"/>
  <c r="N731" i="2" s="1"/>
  <c r="I124" i="11"/>
  <c r="N864" i="2" s="1"/>
  <c r="I100" i="11"/>
  <c r="N696" i="2" s="1"/>
  <c r="I88" i="11"/>
  <c r="N605" i="2" s="1"/>
  <c r="I130" i="11"/>
  <c r="N913" i="2" s="1"/>
  <c r="I142" i="11"/>
  <c r="N976" i="2" s="1"/>
  <c r="I76" i="11"/>
  <c r="N535" i="2" s="1"/>
  <c r="I82" i="11"/>
  <c r="N577" i="2" s="1"/>
  <c r="I94" i="11"/>
  <c r="N668" i="2" s="1"/>
  <c r="H106" i="11"/>
  <c r="N730" i="2" s="1"/>
  <c r="H100" i="11"/>
  <c r="N695" i="2" s="1"/>
  <c r="H88" i="11"/>
  <c r="N604" i="2" s="1"/>
  <c r="H124" i="11"/>
  <c r="N863" i="2" s="1"/>
  <c r="H142" i="11"/>
  <c r="N975" i="2" s="1"/>
  <c r="H94" i="11"/>
  <c r="N667" i="2" s="1"/>
  <c r="H118" i="11"/>
  <c r="N835" i="2" s="1"/>
  <c r="H136" i="11"/>
  <c r="N947" i="2" s="1"/>
  <c r="H130" i="11"/>
  <c r="N912" i="2" s="1"/>
  <c r="H76" i="11"/>
  <c r="N534" i="2" s="1"/>
  <c r="H82" i="11"/>
  <c r="N576" i="2" s="1"/>
  <c r="H112" i="11"/>
  <c r="N765" i="2" s="1"/>
  <c r="R24" i="6"/>
  <c r="L137" i="11"/>
  <c r="N967" i="2" s="1"/>
  <c r="L113" i="11"/>
  <c r="N799" i="2" s="1"/>
  <c r="L101" i="11"/>
  <c r="N708" i="2" s="1"/>
  <c r="L95" i="11"/>
  <c r="N652" i="2" s="1"/>
  <c r="L83" i="11"/>
  <c r="N568" i="2" s="1"/>
  <c r="L89" i="11"/>
  <c r="N631" i="2" s="1"/>
  <c r="L125" i="11"/>
  <c r="N862" i="2" s="1"/>
  <c r="L77" i="11"/>
  <c r="N512" i="2" s="1"/>
  <c r="L143" i="11"/>
  <c r="N1002" i="2" s="1"/>
  <c r="L131" i="11"/>
  <c r="N911" i="2" s="1"/>
  <c r="L119" i="11"/>
  <c r="N834" i="2" s="1"/>
  <c r="L107" i="11"/>
  <c r="N750" i="2" s="1"/>
  <c r="R17" i="6"/>
  <c r="K29" i="11"/>
  <c r="N187" i="2" s="1"/>
  <c r="K65" i="11"/>
  <c r="N460" i="2" s="1"/>
  <c r="K17" i="11"/>
  <c r="N117" i="2" s="1"/>
  <c r="K53" i="11"/>
  <c r="N362" i="2" s="1"/>
  <c r="K41" i="11"/>
  <c r="N271" i="2" s="1"/>
  <c r="K5" i="11"/>
  <c r="N26" i="2" s="1"/>
  <c r="K71" i="11"/>
  <c r="N467" i="2" s="1"/>
  <c r="K59" i="11"/>
  <c r="N404" i="2" s="1"/>
  <c r="K47" i="11"/>
  <c r="N313" i="2" s="1"/>
  <c r="K35" i="11"/>
  <c r="N243" i="2" s="1"/>
  <c r="K23" i="11"/>
  <c r="N152" i="2" s="1"/>
  <c r="K11" i="11"/>
  <c r="N47" i="2" s="1"/>
  <c r="Q23" i="6"/>
  <c r="K130" i="11"/>
  <c r="N915" i="2" s="1"/>
  <c r="K82" i="11"/>
  <c r="N579" i="2" s="1"/>
  <c r="K124" i="11"/>
  <c r="N866" i="2" s="1"/>
  <c r="K100" i="11"/>
  <c r="N698" i="2" s="1"/>
  <c r="K118" i="11"/>
  <c r="N838" i="2" s="1"/>
  <c r="K136" i="11"/>
  <c r="N950" i="2" s="1"/>
  <c r="K112" i="11"/>
  <c r="N768" i="2" s="1"/>
  <c r="K76" i="11"/>
  <c r="N537" i="2" s="1"/>
  <c r="K142" i="11"/>
  <c r="N978" i="2" s="1"/>
  <c r="K94" i="11"/>
  <c r="N670" i="2" s="1"/>
  <c r="K106" i="11"/>
  <c r="N733" i="2" s="1"/>
  <c r="K88" i="11"/>
  <c r="N607" i="2" s="1"/>
  <c r="Q24" i="6"/>
  <c r="L106" i="11"/>
  <c r="N736" i="2" s="1"/>
  <c r="L142" i="11"/>
  <c r="N981" i="2" s="1"/>
  <c r="L94" i="11"/>
  <c r="N673" i="2" s="1"/>
  <c r="L76" i="11"/>
  <c r="N540" i="2" s="1"/>
  <c r="L82" i="11"/>
  <c r="N582" i="2" s="1"/>
  <c r="L124" i="11"/>
  <c r="N869" i="2" s="1"/>
  <c r="L100" i="11"/>
  <c r="N701" i="2" s="1"/>
  <c r="L88" i="11"/>
  <c r="N610" i="2" s="1"/>
  <c r="L130" i="11"/>
  <c r="N918" i="2" s="1"/>
  <c r="L118" i="11"/>
  <c r="N841" i="2" s="1"/>
  <c r="L136" i="11"/>
  <c r="N953" i="2" s="1"/>
  <c r="L112" i="11"/>
  <c r="N771" i="2" s="1"/>
  <c r="R23" i="6"/>
  <c r="K125" i="11"/>
  <c r="N859" i="2" s="1"/>
  <c r="K77" i="11"/>
  <c r="N509" i="2" s="1"/>
  <c r="K137" i="11"/>
  <c r="N964" i="2" s="1"/>
  <c r="K113" i="11"/>
  <c r="N796" i="2" s="1"/>
  <c r="K107" i="11"/>
  <c r="N747" i="2" s="1"/>
  <c r="K101" i="11"/>
  <c r="N705" i="2" s="1"/>
  <c r="K95" i="11"/>
  <c r="N649" i="2" s="1"/>
  <c r="K83" i="11"/>
  <c r="N565" i="2" s="1"/>
  <c r="K89" i="11"/>
  <c r="N628" i="2" s="1"/>
  <c r="K119" i="11"/>
  <c r="N831" i="2" s="1"/>
  <c r="K143" i="11"/>
  <c r="N999" i="2" s="1"/>
  <c r="K131" i="11"/>
  <c r="N908" i="2" s="1"/>
  <c r="S17" i="6"/>
  <c r="K66" i="11"/>
  <c r="N446" i="2" s="1"/>
  <c r="K18" i="11"/>
  <c r="N89" i="2" s="1"/>
  <c r="K54" i="11"/>
  <c r="N376" i="2" s="1"/>
  <c r="K6" i="11"/>
  <c r="N19" i="2" s="1"/>
  <c r="K60" i="11"/>
  <c r="N390" i="2" s="1"/>
  <c r="K36" i="11"/>
  <c r="N225" i="2" s="1"/>
  <c r="K12" i="11"/>
  <c r="N58" i="2" s="1"/>
  <c r="K30" i="11"/>
  <c r="N201" i="2" s="1"/>
  <c r="K42" i="11"/>
  <c r="N285" i="2" s="1"/>
  <c r="K72" i="11"/>
  <c r="N481" i="2" s="1"/>
  <c r="K48" i="11"/>
  <c r="N309" i="2" s="1"/>
  <c r="K24" i="11"/>
  <c r="N166" i="2" s="1"/>
  <c r="S18" i="6"/>
  <c r="L42" i="11"/>
  <c r="N288" i="2" s="1"/>
  <c r="L30" i="11"/>
  <c r="N204" i="2" s="1"/>
  <c r="L60" i="11"/>
  <c r="N393" i="2" s="1"/>
  <c r="L36" i="11"/>
  <c r="N228" i="2" s="1"/>
  <c r="L12" i="11"/>
  <c r="N61" i="2" s="1"/>
  <c r="L18" i="11"/>
  <c r="N92" i="2" s="1"/>
  <c r="L6" i="11"/>
  <c r="N22" i="2" s="1"/>
  <c r="L72" i="11"/>
  <c r="N484" i="2" s="1"/>
  <c r="L48" i="11"/>
  <c r="N312" i="2" s="1"/>
  <c r="L24" i="11"/>
  <c r="N169" i="2" s="1"/>
  <c r="L66" i="11"/>
  <c r="N449" i="2" s="1"/>
  <c r="L54" i="11"/>
  <c r="N379" i="2" s="1"/>
  <c r="H401" i="11"/>
  <c r="H419" i="11"/>
  <c r="H431" i="11"/>
  <c r="H395" i="11"/>
  <c r="H407" i="11"/>
  <c r="H413" i="11"/>
  <c r="H377" i="11"/>
  <c r="H365" i="11"/>
  <c r="H371" i="11"/>
  <c r="H389" i="11"/>
  <c r="H383" i="11"/>
  <c r="H425" i="11"/>
  <c r="I425" i="11"/>
  <c r="I377" i="11"/>
  <c r="I371" i="11"/>
  <c r="I365" i="11"/>
  <c r="I413" i="11"/>
  <c r="I389" i="11"/>
  <c r="I431" i="11"/>
  <c r="I419" i="11"/>
  <c r="I407" i="11"/>
  <c r="I395" i="11"/>
  <c r="I383" i="11"/>
  <c r="I401" i="11"/>
  <c r="K70" i="11"/>
  <c r="N498" i="2" s="1"/>
  <c r="K34" i="11"/>
  <c r="N250" i="2" s="1"/>
  <c r="K22" i="11"/>
  <c r="N159" i="2" s="1"/>
  <c r="K52" i="11"/>
  <c r="N348" i="2" s="1"/>
  <c r="K46" i="11"/>
  <c r="N327" i="2" s="1"/>
  <c r="K58" i="11"/>
  <c r="N418" i="2" s="1"/>
  <c r="K4" i="11"/>
  <c r="N12" i="2" s="1"/>
  <c r="K28" i="11"/>
  <c r="N194" i="2" s="1"/>
  <c r="K10" i="11"/>
  <c r="N82" i="2" s="1"/>
  <c r="K64" i="11"/>
  <c r="N425" i="2" s="1"/>
  <c r="K40" i="11"/>
  <c r="N292" i="2" s="1"/>
  <c r="K16" i="11"/>
  <c r="N96" i="2" s="1"/>
  <c r="H282" i="11"/>
  <c r="H234" i="11"/>
  <c r="H252" i="11"/>
  <c r="H228" i="11"/>
  <c r="H270" i="11"/>
  <c r="H222" i="11"/>
  <c r="H246" i="11"/>
  <c r="H276" i="11"/>
  <c r="H264" i="11"/>
  <c r="H258" i="11"/>
  <c r="H288" i="11"/>
  <c r="H240" i="11"/>
  <c r="I344" i="11"/>
  <c r="I326" i="11"/>
  <c r="I332" i="11"/>
  <c r="I362" i="11"/>
  <c r="I314" i="11"/>
  <c r="I356" i="11"/>
  <c r="I296" i="11"/>
  <c r="I302" i="11"/>
  <c r="I308" i="11"/>
  <c r="I338" i="11"/>
  <c r="I350" i="11"/>
  <c r="I320" i="11"/>
  <c r="H232" i="11"/>
  <c r="H280" i="11"/>
  <c r="H250" i="11"/>
  <c r="H286" i="11"/>
  <c r="H238" i="11"/>
  <c r="H268" i="11"/>
  <c r="H244" i="11"/>
  <c r="H226" i="11"/>
  <c r="H220" i="11"/>
  <c r="H262" i="11"/>
  <c r="H274" i="11"/>
  <c r="H256" i="11"/>
  <c r="I182" i="11"/>
  <c r="N1242" i="2" s="1"/>
  <c r="I212" i="11"/>
  <c r="I188" i="11"/>
  <c r="N1263" i="2" s="1"/>
  <c r="I164" i="11"/>
  <c r="N1095" i="2" s="1"/>
  <c r="I152" i="11"/>
  <c r="N1011" i="2" s="1"/>
  <c r="I218" i="11"/>
  <c r="I170" i="11"/>
  <c r="N1158" i="2" s="1"/>
  <c r="I194" i="11"/>
  <c r="I200" i="11"/>
  <c r="I176" i="11"/>
  <c r="N1214" i="2" s="1"/>
  <c r="I206" i="11"/>
  <c r="I158" i="11"/>
  <c r="N1067" i="2" s="1"/>
  <c r="K420" i="11"/>
  <c r="K396" i="11"/>
  <c r="K408" i="11"/>
  <c r="K426" i="11"/>
  <c r="K402" i="11"/>
  <c r="K366" i="11"/>
  <c r="K384" i="11"/>
  <c r="K378" i="11"/>
  <c r="K372" i="11"/>
  <c r="K414" i="11"/>
  <c r="K390" i="11"/>
  <c r="K432" i="11"/>
  <c r="L426" i="11"/>
  <c r="L414" i="11"/>
  <c r="L402" i="11"/>
  <c r="L390" i="11"/>
  <c r="L366" i="11"/>
  <c r="L384" i="11"/>
  <c r="L396" i="11"/>
  <c r="L378" i="11"/>
  <c r="L372" i="11"/>
  <c r="L432" i="11"/>
  <c r="L420" i="11"/>
  <c r="L408" i="11"/>
  <c r="I248" i="11"/>
  <c r="I278" i="11"/>
  <c r="I230" i="11"/>
  <c r="I236" i="11"/>
  <c r="I284" i="11"/>
  <c r="I266" i="11"/>
  <c r="I290" i="11"/>
  <c r="I224" i="11"/>
  <c r="I272" i="11"/>
  <c r="I242" i="11"/>
  <c r="I260" i="11"/>
  <c r="I254" i="11"/>
  <c r="M110" i="11"/>
  <c r="N742" i="2" s="1"/>
  <c r="M98" i="11"/>
  <c r="N644" i="2" s="1"/>
  <c r="M92" i="11"/>
  <c r="N595" i="2" s="1"/>
  <c r="M80" i="11"/>
  <c r="N525" i="2" s="1"/>
  <c r="M146" i="11"/>
  <c r="N987" i="2" s="1"/>
  <c r="M134" i="11"/>
  <c r="N889" i="2" s="1"/>
  <c r="M122" i="11"/>
  <c r="N805" i="2" s="1"/>
  <c r="M140" i="11"/>
  <c r="N938" i="2" s="1"/>
  <c r="M116" i="11"/>
  <c r="N777" i="2" s="1"/>
  <c r="M86" i="11"/>
  <c r="N560" i="2" s="1"/>
  <c r="M128" i="11"/>
  <c r="N847" i="2" s="1"/>
  <c r="M104" i="11"/>
  <c r="N679" i="2" s="1"/>
  <c r="K146" i="11"/>
  <c r="N985" i="2" s="1"/>
  <c r="K140" i="11"/>
  <c r="N936" i="2" s="1"/>
  <c r="K116" i="11"/>
  <c r="N775" i="2" s="1"/>
  <c r="K134" i="11"/>
  <c r="N887" i="2" s="1"/>
  <c r="K98" i="11"/>
  <c r="N642" i="2" s="1"/>
  <c r="K86" i="11"/>
  <c r="N558" i="2" s="1"/>
  <c r="K128" i="11"/>
  <c r="N845" i="2" s="1"/>
  <c r="K104" i="11"/>
  <c r="N677" i="2" s="1"/>
  <c r="K92" i="11"/>
  <c r="N593" i="2" s="1"/>
  <c r="K110" i="11"/>
  <c r="N740" i="2" s="1"/>
  <c r="K122" i="11"/>
  <c r="N803" i="2" s="1"/>
  <c r="K80" i="11"/>
  <c r="N523" i="2" s="1"/>
  <c r="K185" i="11"/>
  <c r="N1272" i="2" s="1"/>
  <c r="K161" i="11"/>
  <c r="N1118" i="2" s="1"/>
  <c r="K173" i="11"/>
  <c r="N1194" i="2" s="1"/>
  <c r="K209" i="11"/>
  <c r="K179" i="11"/>
  <c r="N1251" i="2" s="1"/>
  <c r="K149" i="11"/>
  <c r="N1027" i="2" s="1"/>
  <c r="K197" i="11"/>
  <c r="K203" i="11"/>
  <c r="K191" i="11"/>
  <c r="K167" i="11"/>
  <c r="N1153" i="2" s="1"/>
  <c r="K155" i="11"/>
  <c r="N1055" i="2" s="1"/>
  <c r="K215" i="11"/>
  <c r="L353" i="11"/>
  <c r="L341" i="11"/>
  <c r="L329" i="11"/>
  <c r="L317" i="11"/>
  <c r="L305" i="11"/>
  <c r="L293" i="11"/>
  <c r="L347" i="11"/>
  <c r="L299" i="11"/>
  <c r="L359" i="11"/>
  <c r="L323" i="11"/>
  <c r="L311" i="11"/>
  <c r="L335" i="11"/>
  <c r="M353" i="11"/>
  <c r="M341" i="11"/>
  <c r="M329" i="11"/>
  <c r="M317" i="11"/>
  <c r="M305" i="11"/>
  <c r="M293" i="11"/>
  <c r="M359" i="11"/>
  <c r="M311" i="11"/>
  <c r="M323" i="11"/>
  <c r="M335" i="11"/>
  <c r="M347" i="11"/>
  <c r="M299" i="11"/>
  <c r="K249" i="11"/>
  <c r="K261" i="11"/>
  <c r="K285" i="11"/>
  <c r="K267" i="11"/>
  <c r="K255" i="11"/>
  <c r="K225" i="11"/>
  <c r="K273" i="11"/>
  <c r="K279" i="11"/>
  <c r="K231" i="11"/>
  <c r="K237" i="11"/>
  <c r="K291" i="11"/>
  <c r="K243" i="11"/>
  <c r="H204" i="11"/>
  <c r="H186" i="11"/>
  <c r="N1297" i="2" s="1"/>
  <c r="H168" i="11"/>
  <c r="N1164" i="2" s="1"/>
  <c r="H216" i="11"/>
  <c r="H156" i="11"/>
  <c r="N1080" i="2" s="1"/>
  <c r="H174" i="11"/>
  <c r="N1199" i="2" s="1"/>
  <c r="H180" i="11"/>
  <c r="N1220" i="2" s="1"/>
  <c r="H150" i="11"/>
  <c r="N1045" i="2" s="1"/>
  <c r="H162" i="11"/>
  <c r="N1101" i="2" s="1"/>
  <c r="H198" i="11"/>
  <c r="H210" i="11"/>
  <c r="H192" i="11"/>
  <c r="I348" i="11"/>
  <c r="I342" i="11"/>
  <c r="I294" i="11"/>
  <c r="I360" i="11"/>
  <c r="I300" i="11"/>
  <c r="I312" i="11"/>
  <c r="I330" i="11"/>
  <c r="I354" i="11"/>
  <c r="I324" i="11"/>
  <c r="I336" i="11"/>
  <c r="I306" i="11"/>
  <c r="I318" i="11"/>
  <c r="M409" i="11"/>
  <c r="M397" i="11"/>
  <c r="M385" i="11"/>
  <c r="M373" i="11"/>
  <c r="M433" i="11"/>
  <c r="M427" i="11"/>
  <c r="M415" i="11"/>
  <c r="M403" i="11"/>
  <c r="M391" i="11"/>
  <c r="M367" i="11"/>
  <c r="M421" i="11"/>
  <c r="M379" i="11"/>
  <c r="K409" i="11"/>
  <c r="K397" i="11"/>
  <c r="K385" i="11"/>
  <c r="K433" i="11"/>
  <c r="K421" i="11"/>
  <c r="K427" i="11"/>
  <c r="K415" i="11"/>
  <c r="K403" i="11"/>
  <c r="K379" i="11"/>
  <c r="K367" i="11"/>
  <c r="K373" i="11"/>
  <c r="K391" i="11"/>
  <c r="K205" i="11"/>
  <c r="K193" i="11"/>
  <c r="K157" i="11"/>
  <c r="N1076" i="2" s="1"/>
  <c r="K151" i="11"/>
  <c r="N1034" i="2" s="1"/>
  <c r="K211" i="11"/>
  <c r="K163" i="11"/>
  <c r="N1111" i="2" s="1"/>
  <c r="K217" i="11"/>
  <c r="K181" i="11"/>
  <c r="N1258" i="2" s="1"/>
  <c r="K169" i="11"/>
  <c r="N1139" i="2" s="1"/>
  <c r="K187" i="11"/>
  <c r="N1293" i="2" s="1"/>
  <c r="K175" i="11"/>
  <c r="N1188" i="2" s="1"/>
  <c r="K199" i="11"/>
  <c r="H172" i="11"/>
  <c r="N1206" i="2" s="1"/>
  <c r="H202" i="11"/>
  <c r="H154" i="11"/>
  <c r="N1087" i="2" s="1"/>
  <c r="H184" i="11"/>
  <c r="N1283" i="2" s="1"/>
  <c r="H190" i="11"/>
  <c r="H214" i="11"/>
  <c r="H148" i="11"/>
  <c r="N1038" i="2" s="1"/>
  <c r="H160" i="11"/>
  <c r="N1122" i="2" s="1"/>
  <c r="H166" i="11"/>
  <c r="N1143" i="2" s="1"/>
  <c r="H208" i="11"/>
  <c r="H178" i="11"/>
  <c r="N1234" i="2" s="1"/>
  <c r="H196" i="11"/>
  <c r="H369" i="11"/>
  <c r="H435" i="11"/>
  <c r="H399" i="11"/>
  <c r="H417" i="11"/>
  <c r="H393" i="11"/>
  <c r="H429" i="11"/>
  <c r="H405" i="11"/>
  <c r="H381" i="11"/>
  <c r="H423" i="11"/>
  <c r="H387" i="11"/>
  <c r="H375" i="11"/>
  <c r="H411" i="11"/>
  <c r="L241" i="11"/>
  <c r="L289" i="11"/>
  <c r="L229" i="11"/>
  <c r="L265" i="11"/>
  <c r="L283" i="11"/>
  <c r="L235" i="11"/>
  <c r="L277" i="11"/>
  <c r="L253" i="11"/>
  <c r="L259" i="11"/>
  <c r="L247" i="11"/>
  <c r="L223" i="11"/>
  <c r="L271" i="11"/>
  <c r="M277" i="11"/>
  <c r="M229" i="11"/>
  <c r="M241" i="11"/>
  <c r="M289" i="11"/>
  <c r="M265" i="11"/>
  <c r="M247" i="11"/>
  <c r="M253" i="11"/>
  <c r="M259" i="11"/>
  <c r="M223" i="11"/>
  <c r="M271" i="11"/>
  <c r="M283" i="11"/>
  <c r="M235" i="11"/>
  <c r="I328" i="11"/>
  <c r="I358" i="11"/>
  <c r="I310" i="11"/>
  <c r="I340" i="11"/>
  <c r="I346" i="11"/>
  <c r="I298" i="11"/>
  <c r="I292" i="11"/>
  <c r="I322" i="11"/>
  <c r="I334" i="11"/>
  <c r="I316" i="11"/>
  <c r="I304" i="11"/>
  <c r="I352" i="11"/>
  <c r="L165" i="11"/>
  <c r="N1135" i="2" s="1"/>
  <c r="L153" i="11"/>
  <c r="N1023" i="2" s="1"/>
  <c r="L177" i="11"/>
  <c r="N1184" i="2" s="1"/>
  <c r="L201" i="11"/>
  <c r="L195" i="11"/>
  <c r="L183" i="11"/>
  <c r="N1233" i="2" s="1"/>
  <c r="L189" i="11"/>
  <c r="N1282" i="2" s="1"/>
  <c r="L207" i="11"/>
  <c r="L159" i="11"/>
  <c r="N1065" i="2" s="1"/>
  <c r="L213" i="11"/>
  <c r="L171" i="11"/>
  <c r="N1177" i="2" s="1"/>
  <c r="L219" i="11"/>
  <c r="M165" i="11"/>
  <c r="N1134" i="2" s="1"/>
  <c r="M153" i="11"/>
  <c r="N1022" i="2" s="1"/>
  <c r="M201" i="11"/>
  <c r="M177" i="11"/>
  <c r="N1183" i="2" s="1"/>
  <c r="M189" i="11"/>
  <c r="N1281" i="2" s="1"/>
  <c r="M207" i="11"/>
  <c r="M159" i="11"/>
  <c r="N1064" i="2" s="1"/>
  <c r="M213" i="11"/>
  <c r="M219" i="11"/>
  <c r="M171" i="11"/>
  <c r="N1176" i="2" s="1"/>
  <c r="M183" i="11"/>
  <c r="N1232" i="2" s="1"/>
  <c r="M195" i="11"/>
  <c r="K380" i="11"/>
  <c r="K374" i="11"/>
  <c r="K392" i="11"/>
  <c r="K434" i="11"/>
  <c r="K410" i="11"/>
  <c r="K386" i="11"/>
  <c r="K428" i="11"/>
  <c r="K416" i="11"/>
  <c r="K404" i="11"/>
  <c r="K422" i="11"/>
  <c r="K398" i="11"/>
  <c r="K368" i="11"/>
  <c r="K370" i="11"/>
  <c r="K424" i="11"/>
  <c r="K412" i="11"/>
  <c r="K364" i="11"/>
  <c r="K376" i="11"/>
  <c r="K418" i="11"/>
  <c r="K394" i="11"/>
  <c r="K430" i="11"/>
  <c r="K406" i="11"/>
  <c r="K382" i="11"/>
  <c r="K400" i="11"/>
  <c r="K388" i="11"/>
  <c r="L430" i="11"/>
  <c r="L418" i="11"/>
  <c r="L406" i="11"/>
  <c r="L394" i="11"/>
  <c r="L382" i="11"/>
  <c r="L400" i="11"/>
  <c r="L370" i="11"/>
  <c r="L424" i="11"/>
  <c r="L412" i="11"/>
  <c r="L364" i="11"/>
  <c r="L388" i="11"/>
  <c r="L376" i="11"/>
  <c r="K357" i="11"/>
  <c r="K345" i="11"/>
  <c r="K333" i="11"/>
  <c r="K321" i="11"/>
  <c r="K309" i="11"/>
  <c r="K297" i="11"/>
  <c r="K363" i="11"/>
  <c r="K351" i="11"/>
  <c r="K315" i="11"/>
  <c r="K303" i="11"/>
  <c r="K327" i="11"/>
  <c r="K339" i="11"/>
  <c r="L281" i="11"/>
  <c r="L257" i="11"/>
  <c r="L233" i="11"/>
  <c r="L269" i="11"/>
  <c r="L221" i="11"/>
  <c r="L251" i="11"/>
  <c r="L227" i="11"/>
  <c r="L275" i="11"/>
  <c r="L263" i="11"/>
  <c r="L245" i="11"/>
  <c r="L287" i="11"/>
  <c r="L239" i="11"/>
  <c r="M281" i="11"/>
  <c r="M269" i="11"/>
  <c r="M221" i="11"/>
  <c r="M263" i="11"/>
  <c r="M227" i="11"/>
  <c r="M275" i="11"/>
  <c r="M245" i="11"/>
  <c r="M287" i="11"/>
  <c r="M239" i="11"/>
  <c r="M257" i="11"/>
  <c r="M233" i="11"/>
  <c r="M251" i="11"/>
  <c r="K361" i="11"/>
  <c r="K337" i="11"/>
  <c r="K313" i="11"/>
  <c r="K331" i="11"/>
  <c r="K319" i="11"/>
  <c r="K343" i="11"/>
  <c r="K295" i="11"/>
  <c r="K349" i="11"/>
  <c r="K325" i="11"/>
  <c r="K301" i="11"/>
  <c r="K355" i="11"/>
  <c r="K307" i="11"/>
  <c r="M33" i="11"/>
  <c r="N210" i="2" s="1"/>
  <c r="M69" i="11"/>
  <c r="N434" i="2" s="1"/>
  <c r="M45" i="11"/>
  <c r="N280" i="2" s="1"/>
  <c r="M57" i="11"/>
  <c r="N357" i="2" s="1"/>
  <c r="M15" i="11"/>
  <c r="N77" i="2" s="1"/>
  <c r="M75" i="11"/>
  <c r="N476" i="2" s="1"/>
  <c r="M9" i="11"/>
  <c r="N35" i="2" s="1"/>
  <c r="M21" i="11"/>
  <c r="N105" i="2" s="1"/>
  <c r="M63" i="11"/>
  <c r="N383" i="2" s="1"/>
  <c r="M51" i="11"/>
  <c r="N301" i="2" s="1"/>
  <c r="M39" i="11"/>
  <c r="N220" i="2" s="1"/>
  <c r="M27" i="11"/>
  <c r="N133" i="2" s="1"/>
  <c r="H74" i="11"/>
  <c r="N488" i="2" s="1"/>
  <c r="H26" i="11"/>
  <c r="N135" i="2" s="1"/>
  <c r="H56" i="11"/>
  <c r="N338" i="2" s="1"/>
  <c r="H8" i="11"/>
  <c r="N2" i="2" s="1"/>
  <c r="H62" i="11"/>
  <c r="N408" i="2" s="1"/>
  <c r="H14" i="11"/>
  <c r="N51" i="2" s="1"/>
  <c r="H20" i="11"/>
  <c r="N121" i="2" s="1"/>
  <c r="H32" i="11"/>
  <c r="N170" i="2" s="1"/>
  <c r="H44" i="11"/>
  <c r="N261" i="2" s="1"/>
  <c r="H38" i="11"/>
  <c r="N233" i="2" s="1"/>
  <c r="H50" i="11"/>
  <c r="N331" i="2" s="1"/>
  <c r="H68" i="11"/>
  <c r="N450" i="2" s="1"/>
  <c r="H120" i="11"/>
  <c r="N807" i="2" s="1"/>
  <c r="H138" i="11"/>
  <c r="N940" i="2" s="1"/>
  <c r="H90" i="11"/>
  <c r="N611" i="2" s="1"/>
  <c r="H108" i="11"/>
  <c r="N751" i="2" s="1"/>
  <c r="H126" i="11"/>
  <c r="N870" i="2" s="1"/>
  <c r="H78" i="11"/>
  <c r="N513" i="2" s="1"/>
  <c r="H132" i="11"/>
  <c r="N919" i="2" s="1"/>
  <c r="H96" i="11"/>
  <c r="N660" i="2" s="1"/>
  <c r="H102" i="11"/>
  <c r="N681" i="2" s="1"/>
  <c r="H84" i="11"/>
  <c r="N548" i="2" s="1"/>
  <c r="H114" i="11"/>
  <c r="N786" i="2" s="1"/>
  <c r="H144" i="11"/>
  <c r="N1003" i="2" s="1"/>
  <c r="M425" i="11"/>
  <c r="M377" i="11"/>
  <c r="M365" i="11"/>
  <c r="M413" i="11"/>
  <c r="M401" i="11"/>
  <c r="M389" i="11"/>
  <c r="M371" i="11"/>
  <c r="M431" i="11"/>
  <c r="M419" i="11"/>
  <c r="M407" i="11"/>
  <c r="M395" i="11"/>
  <c r="M383" i="11"/>
  <c r="H28" i="11"/>
  <c r="N191" i="2" s="1"/>
  <c r="H58" i="11"/>
  <c r="N415" i="2" s="1"/>
  <c r="H10" i="11"/>
  <c r="N79" i="2" s="1"/>
  <c r="H40" i="11"/>
  <c r="N289" i="2" s="1"/>
  <c r="H46" i="11"/>
  <c r="N324" i="2" s="1"/>
  <c r="H52" i="11"/>
  <c r="N345" i="2" s="1"/>
  <c r="H22" i="11"/>
  <c r="N156" i="2" s="1"/>
  <c r="H34" i="11"/>
  <c r="N247" i="2" s="1"/>
  <c r="H4" i="11"/>
  <c r="N9" i="2" s="1"/>
  <c r="H70" i="11"/>
  <c r="N495" i="2" s="1"/>
  <c r="H64" i="11"/>
  <c r="N422" i="2" s="1"/>
  <c r="H16" i="11"/>
  <c r="N93" i="2" s="1"/>
  <c r="I70" i="11"/>
  <c r="N496" i="2" s="1"/>
  <c r="I22" i="11"/>
  <c r="N157" i="2" s="1"/>
  <c r="I58" i="11"/>
  <c r="N416" i="2" s="1"/>
  <c r="I10" i="11"/>
  <c r="N80" i="2" s="1"/>
  <c r="I4" i="11"/>
  <c r="N10" i="2" s="1"/>
  <c r="I64" i="11"/>
  <c r="N423" i="2" s="1"/>
  <c r="I40" i="11"/>
  <c r="N290" i="2" s="1"/>
  <c r="I28" i="11"/>
  <c r="N192" i="2" s="1"/>
  <c r="I16" i="11"/>
  <c r="N94" i="2" s="1"/>
  <c r="I34" i="11"/>
  <c r="N248" i="2" s="1"/>
  <c r="I46" i="11"/>
  <c r="N325" i="2" s="1"/>
  <c r="I52" i="11"/>
  <c r="N346" i="2" s="1"/>
  <c r="M282" i="11"/>
  <c r="M234" i="11"/>
  <c r="M252" i="11"/>
  <c r="M270" i="11"/>
  <c r="M258" i="11"/>
  <c r="M222" i="11"/>
  <c r="M264" i="11"/>
  <c r="M228" i="11"/>
  <c r="M240" i="11"/>
  <c r="M246" i="11"/>
  <c r="M288" i="11"/>
  <c r="M276" i="11"/>
  <c r="K258" i="11"/>
  <c r="K276" i="11"/>
  <c r="K246" i="11"/>
  <c r="K288" i="11"/>
  <c r="K240" i="11"/>
  <c r="K270" i="11"/>
  <c r="K264" i="11"/>
  <c r="K282" i="11"/>
  <c r="K252" i="11"/>
  <c r="K228" i="11"/>
  <c r="K222" i="11"/>
  <c r="K234" i="11"/>
  <c r="L350" i="11"/>
  <c r="L302" i="11"/>
  <c r="L308" i="11"/>
  <c r="L338" i="11"/>
  <c r="L320" i="11"/>
  <c r="L314" i="11"/>
  <c r="L296" i="11"/>
  <c r="L326" i="11"/>
  <c r="L362" i="11"/>
  <c r="L356" i="11"/>
  <c r="L344" i="11"/>
  <c r="L332" i="11"/>
  <c r="M250" i="11"/>
  <c r="M226" i="11"/>
  <c r="M268" i="11"/>
  <c r="M286" i="11"/>
  <c r="M238" i="11"/>
  <c r="M280" i="11"/>
  <c r="M232" i="11"/>
  <c r="M262" i="11"/>
  <c r="M274" i="11"/>
  <c r="M220" i="11"/>
  <c r="M256" i="11"/>
  <c r="M244" i="11"/>
  <c r="K274" i="11"/>
  <c r="K244" i="11"/>
  <c r="K262" i="11"/>
  <c r="K226" i="11"/>
  <c r="K256" i="11"/>
  <c r="K238" i="11"/>
  <c r="K232" i="11"/>
  <c r="K250" i="11"/>
  <c r="K286" i="11"/>
  <c r="K280" i="11"/>
  <c r="K220" i="11"/>
  <c r="K268" i="11"/>
  <c r="L206" i="11"/>
  <c r="L158" i="11"/>
  <c r="N1072" i="2" s="1"/>
  <c r="L212" i="11"/>
  <c r="L200" i="11"/>
  <c r="L188" i="11"/>
  <c r="N1268" i="2" s="1"/>
  <c r="L176" i="11"/>
  <c r="N1219" i="2" s="1"/>
  <c r="L164" i="11"/>
  <c r="N1100" i="2" s="1"/>
  <c r="L218" i="11"/>
  <c r="L170" i="11"/>
  <c r="N1163" i="2" s="1"/>
  <c r="L194" i="11"/>
  <c r="L182" i="11"/>
  <c r="N1247" i="2" s="1"/>
  <c r="L152" i="11"/>
  <c r="N1016" i="2" s="1"/>
  <c r="H384" i="11"/>
  <c r="H378" i="11"/>
  <c r="H432" i="11"/>
  <c r="H420" i="11"/>
  <c r="H408" i="11"/>
  <c r="H396" i="11"/>
  <c r="H366" i="11"/>
  <c r="H402" i="11"/>
  <c r="H414" i="11"/>
  <c r="H426" i="11"/>
  <c r="H372" i="11"/>
  <c r="H390" i="11"/>
  <c r="L254" i="11"/>
  <c r="L248" i="11"/>
  <c r="L260" i="11"/>
  <c r="L224" i="11"/>
  <c r="L284" i="11"/>
  <c r="L242" i="11"/>
  <c r="L230" i="11"/>
  <c r="L272" i="11"/>
  <c r="L266" i="11"/>
  <c r="L236" i="11"/>
  <c r="L290" i="11"/>
  <c r="L278" i="11"/>
  <c r="I134" i="11"/>
  <c r="N885" i="2" s="1"/>
  <c r="I86" i="11"/>
  <c r="N556" i="2" s="1"/>
  <c r="I128" i="11"/>
  <c r="N843" i="2" s="1"/>
  <c r="I104" i="11"/>
  <c r="N675" i="2" s="1"/>
  <c r="I122" i="11"/>
  <c r="N801" i="2" s="1"/>
  <c r="I140" i="11"/>
  <c r="N934" i="2" s="1"/>
  <c r="I116" i="11"/>
  <c r="N773" i="2" s="1"/>
  <c r="I80" i="11"/>
  <c r="N521" i="2" s="1"/>
  <c r="I98" i="11"/>
  <c r="N640" i="2" s="1"/>
  <c r="I110" i="11"/>
  <c r="N738" i="2" s="1"/>
  <c r="I92" i="11"/>
  <c r="N591" i="2" s="1"/>
  <c r="I146" i="11"/>
  <c r="N983" i="2" s="1"/>
  <c r="H329" i="11"/>
  <c r="H341" i="11"/>
  <c r="H293" i="11"/>
  <c r="H353" i="11"/>
  <c r="H359" i="11"/>
  <c r="H311" i="11"/>
  <c r="H323" i="11"/>
  <c r="H305" i="11"/>
  <c r="H335" i="11"/>
  <c r="H317" i="11"/>
  <c r="H347" i="11"/>
  <c r="H299" i="11"/>
  <c r="I329" i="11"/>
  <c r="I323" i="11"/>
  <c r="I317" i="11"/>
  <c r="I335" i="11"/>
  <c r="I353" i="11"/>
  <c r="I305" i="11"/>
  <c r="I347" i="11"/>
  <c r="I299" i="11"/>
  <c r="I341" i="11"/>
  <c r="I293" i="11"/>
  <c r="I359" i="11"/>
  <c r="I311" i="11"/>
  <c r="M186" i="11"/>
  <c r="N1302" i="2" s="1"/>
  <c r="M162" i="11"/>
  <c r="N1106" i="2" s="1"/>
  <c r="M174" i="11"/>
  <c r="N1204" i="2" s="1"/>
  <c r="M198" i="11"/>
  <c r="M156" i="11"/>
  <c r="N1085" i="2" s="1"/>
  <c r="M210" i="11"/>
  <c r="M204" i="11"/>
  <c r="M180" i="11"/>
  <c r="N1225" i="2" s="1"/>
  <c r="M150" i="11"/>
  <c r="N1050" i="2" s="1"/>
  <c r="M216" i="11"/>
  <c r="M192" i="11"/>
  <c r="M168" i="11"/>
  <c r="N1169" i="2" s="1"/>
  <c r="K210" i="11"/>
  <c r="K216" i="11"/>
  <c r="K192" i="11"/>
  <c r="K168" i="11"/>
  <c r="N1167" i="2" s="1"/>
  <c r="K156" i="11"/>
  <c r="N1083" i="2" s="1"/>
  <c r="K198" i="11"/>
  <c r="K162" i="11"/>
  <c r="N1104" i="2" s="1"/>
  <c r="K150" i="11"/>
  <c r="N1048" i="2" s="1"/>
  <c r="K174" i="11"/>
  <c r="N1202" i="2" s="1"/>
  <c r="K186" i="11"/>
  <c r="N1300" i="2" s="1"/>
  <c r="K204" i="11"/>
  <c r="K180" i="11"/>
  <c r="N1223" i="2" s="1"/>
  <c r="L318" i="11"/>
  <c r="L324" i="11"/>
  <c r="L354" i="11"/>
  <c r="L336" i="11"/>
  <c r="L306" i="11"/>
  <c r="L294" i="11"/>
  <c r="L360" i="11"/>
  <c r="L348" i="11"/>
  <c r="L330" i="11"/>
  <c r="L312" i="11"/>
  <c r="L342" i="11"/>
  <c r="L300" i="11"/>
  <c r="L397" i="11"/>
  <c r="L385" i="11"/>
  <c r="L373" i="11"/>
  <c r="L409" i="11"/>
  <c r="L421" i="11"/>
  <c r="L391" i="11"/>
  <c r="L379" i="11"/>
  <c r="L433" i="11"/>
  <c r="L427" i="11"/>
  <c r="L415" i="11"/>
  <c r="L403" i="11"/>
  <c r="L367" i="11"/>
  <c r="I433" i="11"/>
  <c r="I421" i="11"/>
  <c r="I409" i="11"/>
  <c r="I427" i="11"/>
  <c r="I415" i="11"/>
  <c r="I403" i="11"/>
  <c r="I391" i="11"/>
  <c r="I367" i="11"/>
  <c r="I397" i="11"/>
  <c r="I379" i="11"/>
  <c r="I385" i="11"/>
  <c r="I373" i="11"/>
  <c r="M202" i="11"/>
  <c r="M154" i="11"/>
  <c r="N1092" i="2" s="1"/>
  <c r="M190" i="11"/>
  <c r="M178" i="11"/>
  <c r="N1239" i="2" s="1"/>
  <c r="M166" i="11"/>
  <c r="N1148" i="2" s="1"/>
  <c r="M148" i="11"/>
  <c r="N1043" i="2" s="1"/>
  <c r="M196" i="11"/>
  <c r="M172" i="11"/>
  <c r="N1211" i="2" s="1"/>
  <c r="M214" i="11"/>
  <c r="M160" i="11"/>
  <c r="N1127" i="2" s="1"/>
  <c r="M208" i="11"/>
  <c r="M184" i="11"/>
  <c r="N1288" i="2" s="1"/>
  <c r="K178" i="11"/>
  <c r="N1237" i="2" s="1"/>
  <c r="K208" i="11"/>
  <c r="K184" i="11"/>
  <c r="N1286" i="2" s="1"/>
  <c r="K148" i="11"/>
  <c r="N1041" i="2" s="1"/>
  <c r="K214" i="11"/>
  <c r="K166" i="11"/>
  <c r="N1146" i="2" s="1"/>
  <c r="K160" i="11"/>
  <c r="N1125" i="2" s="1"/>
  <c r="K154" i="11"/>
  <c r="N1090" i="2" s="1"/>
  <c r="K190" i="11"/>
  <c r="K196" i="11"/>
  <c r="K172" i="11"/>
  <c r="N1209" i="2" s="1"/>
  <c r="K202" i="11"/>
  <c r="K429" i="11"/>
  <c r="K417" i="11"/>
  <c r="K405" i="11"/>
  <c r="K393" i="11"/>
  <c r="K381" i="11"/>
  <c r="K369" i="11"/>
  <c r="K435" i="11"/>
  <c r="K399" i="11"/>
  <c r="K387" i="11"/>
  <c r="K375" i="11"/>
  <c r="K423" i="11"/>
  <c r="K411" i="11"/>
  <c r="H277" i="11"/>
  <c r="H241" i="11"/>
  <c r="H289" i="11"/>
  <c r="H229" i="11"/>
  <c r="H265" i="11"/>
  <c r="H247" i="11"/>
  <c r="H223" i="11"/>
  <c r="H253" i="11"/>
  <c r="H259" i="11"/>
  <c r="H271" i="11"/>
  <c r="H283" i="11"/>
  <c r="H235" i="11"/>
  <c r="I277" i="11"/>
  <c r="I229" i="11"/>
  <c r="I253" i="11"/>
  <c r="I259" i="11"/>
  <c r="I289" i="11"/>
  <c r="I271" i="11"/>
  <c r="I223" i="11"/>
  <c r="I283" i="11"/>
  <c r="I235" i="11"/>
  <c r="I241" i="11"/>
  <c r="I265" i="11"/>
  <c r="I247" i="11"/>
  <c r="L334" i="11"/>
  <c r="L340" i="11"/>
  <c r="L292" i="11"/>
  <c r="L352" i="11"/>
  <c r="L304" i="11"/>
  <c r="L346" i="11"/>
  <c r="L328" i="11"/>
  <c r="L358" i="11"/>
  <c r="L316" i="11"/>
  <c r="L298" i="11"/>
  <c r="L322" i="11"/>
  <c r="L310" i="11"/>
  <c r="H213" i="11"/>
  <c r="H153" i="11"/>
  <c r="N1017" i="2" s="1"/>
  <c r="H189" i="11"/>
  <c r="N1276" i="2" s="1"/>
  <c r="H165" i="11"/>
  <c r="N1129" i="2" s="1"/>
  <c r="H201" i="11"/>
  <c r="H219" i="11"/>
  <c r="H183" i="11"/>
  <c r="N1227" i="2" s="1"/>
  <c r="H171" i="11"/>
  <c r="N1171" i="2" s="1"/>
  <c r="H177" i="11"/>
  <c r="N1178" i="2" s="1"/>
  <c r="H159" i="11"/>
  <c r="N1059" i="2" s="1"/>
  <c r="H207" i="11"/>
  <c r="H195" i="11"/>
  <c r="I189" i="11"/>
  <c r="N1277" i="2" s="1"/>
  <c r="I201" i="11"/>
  <c r="I219" i="11"/>
  <c r="I207" i="11"/>
  <c r="I171" i="11"/>
  <c r="N1172" i="2" s="1"/>
  <c r="I159" i="11"/>
  <c r="N1060" i="2" s="1"/>
  <c r="I177" i="11"/>
  <c r="N1179" i="2" s="1"/>
  <c r="I153" i="11"/>
  <c r="N1018" i="2" s="1"/>
  <c r="I165" i="11"/>
  <c r="N1130" i="2" s="1"/>
  <c r="I195" i="11"/>
  <c r="I183" i="11"/>
  <c r="N1228" i="2" s="1"/>
  <c r="I213" i="11"/>
  <c r="M404" i="11"/>
  <c r="M434" i="11"/>
  <c r="M422" i="11"/>
  <c r="M410" i="11"/>
  <c r="M398" i="11"/>
  <c r="M386" i="11"/>
  <c r="M428" i="11"/>
  <c r="M416" i="11"/>
  <c r="M368" i="11"/>
  <c r="M392" i="11"/>
  <c r="M380" i="11"/>
  <c r="M374" i="11"/>
  <c r="H388" i="11"/>
  <c r="H376" i="11"/>
  <c r="H400" i="11"/>
  <c r="H382" i="11"/>
  <c r="H424" i="11"/>
  <c r="H418" i="11"/>
  <c r="H412" i="11"/>
  <c r="H430" i="11"/>
  <c r="H370" i="11"/>
  <c r="H394" i="11"/>
  <c r="H364" i="11"/>
  <c r="H406" i="11"/>
  <c r="H281" i="11"/>
  <c r="H263" i="11"/>
  <c r="H227" i="11"/>
  <c r="H257" i="11"/>
  <c r="H275" i="11"/>
  <c r="H269" i="11"/>
  <c r="H245" i="11"/>
  <c r="H287" i="11"/>
  <c r="H239" i="11"/>
  <c r="H233" i="11"/>
  <c r="H221" i="11"/>
  <c r="H251" i="11"/>
  <c r="I269" i="11"/>
  <c r="I281" i="11"/>
  <c r="I257" i="11"/>
  <c r="I275" i="11"/>
  <c r="I221" i="11"/>
  <c r="I245" i="11"/>
  <c r="I287" i="11"/>
  <c r="I239" i="11"/>
  <c r="I233" i="11"/>
  <c r="I251" i="11"/>
  <c r="I263" i="11"/>
  <c r="I227" i="11"/>
  <c r="L9" i="11"/>
  <c r="N36" i="2" s="1"/>
  <c r="L69" i="11"/>
  <c r="N435" i="2" s="1"/>
  <c r="L57" i="11"/>
  <c r="N358" i="2" s="1"/>
  <c r="L21" i="11"/>
  <c r="N106" i="2" s="1"/>
  <c r="L27" i="11"/>
  <c r="N134" i="2" s="1"/>
  <c r="L15" i="11"/>
  <c r="N78" i="2" s="1"/>
  <c r="L33" i="11"/>
  <c r="N211" i="2" s="1"/>
  <c r="L45" i="11"/>
  <c r="N281" i="2" s="1"/>
  <c r="L75" i="11"/>
  <c r="N477" i="2" s="1"/>
  <c r="L39" i="11"/>
  <c r="N221" i="2" s="1"/>
  <c r="L51" i="11"/>
  <c r="N302" i="2" s="1"/>
  <c r="L63" i="11"/>
  <c r="N384" i="2" s="1"/>
  <c r="U17" i="6"/>
  <c r="K50" i="11"/>
  <c r="N334" i="2" s="1"/>
  <c r="K38" i="11"/>
  <c r="N236" i="2" s="1"/>
  <c r="K68" i="11"/>
  <c r="N453" i="2" s="1"/>
  <c r="K14" i="11"/>
  <c r="N54" i="2" s="1"/>
  <c r="K26" i="11"/>
  <c r="N138" i="2" s="1"/>
  <c r="K44" i="11"/>
  <c r="N264" i="2" s="1"/>
  <c r="K20" i="11"/>
  <c r="N124" i="2" s="1"/>
  <c r="K62" i="11"/>
  <c r="N411" i="2" s="1"/>
  <c r="K74" i="11"/>
  <c r="N491" i="2" s="1"/>
  <c r="K56" i="11"/>
  <c r="N341" i="2" s="1"/>
  <c r="K32" i="11"/>
  <c r="N173" i="2" s="1"/>
  <c r="K8" i="11"/>
  <c r="N5" i="2" s="1"/>
  <c r="S23" i="6"/>
  <c r="K114" i="11"/>
  <c r="N789" i="2" s="1"/>
  <c r="K132" i="11"/>
  <c r="N922" i="2" s="1"/>
  <c r="K108" i="11"/>
  <c r="N754" i="2" s="1"/>
  <c r="K102" i="11"/>
  <c r="N684" i="2" s="1"/>
  <c r="K144" i="11"/>
  <c r="N1006" i="2" s="1"/>
  <c r="K120" i="11"/>
  <c r="N810" i="2" s="1"/>
  <c r="K84" i="11"/>
  <c r="N551" i="2" s="1"/>
  <c r="K78" i="11"/>
  <c r="N516" i="2" s="1"/>
  <c r="K90" i="11"/>
  <c r="N614" i="2" s="1"/>
  <c r="K126" i="11"/>
  <c r="N873" i="2" s="1"/>
  <c r="K138" i="11"/>
  <c r="N943" i="2" s="1"/>
  <c r="K96" i="11"/>
  <c r="N663" i="2" s="1"/>
  <c r="S19" i="6"/>
  <c r="M30" i="11"/>
  <c r="N203" i="2" s="1"/>
  <c r="M72" i="11"/>
  <c r="N483" i="2" s="1"/>
  <c r="M60" i="11"/>
  <c r="N392" i="2" s="1"/>
  <c r="M48" i="11"/>
  <c r="N311" i="2" s="1"/>
  <c r="M36" i="11"/>
  <c r="N227" i="2" s="1"/>
  <c r="M24" i="11"/>
  <c r="N168" i="2" s="1"/>
  <c r="M12" i="11"/>
  <c r="N60" i="2" s="1"/>
  <c r="M66" i="11"/>
  <c r="N448" i="2" s="1"/>
  <c r="M18" i="11"/>
  <c r="N91" i="2" s="1"/>
  <c r="M6" i="11"/>
  <c r="N21" i="2" s="1"/>
  <c r="M54" i="11"/>
  <c r="N378" i="2" s="1"/>
  <c r="M42" i="11"/>
  <c r="N287" i="2" s="1"/>
  <c r="R19" i="6"/>
  <c r="M17" i="11"/>
  <c r="N119" i="2" s="1"/>
  <c r="M53" i="11"/>
  <c r="N364" i="2" s="1"/>
  <c r="M5" i="11"/>
  <c r="N28" i="2" s="1"/>
  <c r="M41" i="11"/>
  <c r="N273" i="2" s="1"/>
  <c r="M47" i="11"/>
  <c r="N315" i="2" s="1"/>
  <c r="M35" i="11"/>
  <c r="N245" i="2" s="1"/>
  <c r="M29" i="11"/>
  <c r="N189" i="2" s="1"/>
  <c r="M23" i="11"/>
  <c r="N154" i="2" s="1"/>
  <c r="M11" i="11"/>
  <c r="N49" i="2" s="1"/>
  <c r="M65" i="11"/>
  <c r="N462" i="2" s="1"/>
  <c r="M59" i="11"/>
  <c r="N406" i="2" s="1"/>
  <c r="M71" i="11"/>
  <c r="N469" i="2" s="1"/>
  <c r="R18" i="6"/>
  <c r="L65" i="11"/>
  <c r="N463" i="2" s="1"/>
  <c r="L17" i="11"/>
  <c r="N120" i="2" s="1"/>
  <c r="L53" i="11"/>
  <c r="N365" i="2" s="1"/>
  <c r="L5" i="11"/>
  <c r="N29" i="2" s="1"/>
  <c r="L71" i="11"/>
  <c r="N470" i="2" s="1"/>
  <c r="L59" i="11"/>
  <c r="N407" i="2" s="1"/>
  <c r="L47" i="11"/>
  <c r="N316" i="2" s="1"/>
  <c r="L35" i="11"/>
  <c r="N246" i="2" s="1"/>
  <c r="L41" i="11"/>
  <c r="N274" i="2" s="1"/>
  <c r="L29" i="11"/>
  <c r="N190" i="2" s="1"/>
  <c r="L23" i="11"/>
  <c r="N155" i="2" s="1"/>
  <c r="L11" i="11"/>
  <c r="N50" i="2" s="1"/>
  <c r="U19" i="6"/>
  <c r="M62" i="11"/>
  <c r="N413" i="2" s="1"/>
  <c r="M50" i="11"/>
  <c r="N336" i="2" s="1"/>
  <c r="M14" i="11"/>
  <c r="N56" i="2" s="1"/>
  <c r="M68" i="11"/>
  <c r="N455" i="2" s="1"/>
  <c r="M56" i="11"/>
  <c r="N343" i="2" s="1"/>
  <c r="M44" i="11"/>
  <c r="N266" i="2" s="1"/>
  <c r="M32" i="11"/>
  <c r="N175" i="2" s="1"/>
  <c r="M20" i="11"/>
  <c r="N126" i="2" s="1"/>
  <c r="M8" i="11"/>
  <c r="N7" i="2" s="1"/>
  <c r="M38" i="11"/>
  <c r="N238" i="2" s="1"/>
  <c r="M26" i="11"/>
  <c r="N140" i="2" s="1"/>
  <c r="M74" i="11"/>
  <c r="N493" i="2" s="1"/>
  <c r="U18" i="6"/>
  <c r="L74" i="11"/>
  <c r="N494" i="2" s="1"/>
  <c r="L26" i="11"/>
  <c r="N141" i="2" s="1"/>
  <c r="L62" i="11"/>
  <c r="N414" i="2" s="1"/>
  <c r="L14" i="11"/>
  <c r="N57" i="2" s="1"/>
  <c r="L68" i="11"/>
  <c r="N456" i="2" s="1"/>
  <c r="L44" i="11"/>
  <c r="N267" i="2" s="1"/>
  <c r="L20" i="11"/>
  <c r="N127" i="2" s="1"/>
  <c r="L50" i="11"/>
  <c r="N337" i="2" s="1"/>
  <c r="L38" i="11"/>
  <c r="N239" i="2" s="1"/>
  <c r="L56" i="11"/>
  <c r="N344" i="2" s="1"/>
  <c r="L32" i="11"/>
  <c r="N176" i="2" s="1"/>
  <c r="L8" i="11"/>
  <c r="N8" i="2" s="1"/>
  <c r="H137" i="11"/>
  <c r="N961" i="2" s="1"/>
  <c r="H101" i="11"/>
  <c r="N702" i="2" s="1"/>
  <c r="H89" i="11"/>
  <c r="N625" i="2" s="1"/>
  <c r="H143" i="11"/>
  <c r="N996" i="2" s="1"/>
  <c r="H131" i="11"/>
  <c r="N905" i="2" s="1"/>
  <c r="H125" i="11"/>
  <c r="N856" i="2" s="1"/>
  <c r="H77" i="11"/>
  <c r="N506" i="2" s="1"/>
  <c r="H119" i="11"/>
  <c r="N828" i="2" s="1"/>
  <c r="H113" i="11"/>
  <c r="N793" i="2" s="1"/>
  <c r="H107" i="11"/>
  <c r="N744" i="2" s="1"/>
  <c r="H95" i="11"/>
  <c r="N646" i="2" s="1"/>
  <c r="H83" i="11"/>
  <c r="N562" i="2" s="1"/>
  <c r="S25" i="6"/>
  <c r="M126" i="11"/>
  <c r="N875" i="2" s="1"/>
  <c r="M78" i="11"/>
  <c r="N518" i="2" s="1"/>
  <c r="M96" i="11"/>
  <c r="N665" i="2" s="1"/>
  <c r="M84" i="11"/>
  <c r="N553" i="2" s="1"/>
  <c r="M114" i="11"/>
  <c r="N791" i="2" s="1"/>
  <c r="M102" i="11"/>
  <c r="N686" i="2" s="1"/>
  <c r="M90" i="11"/>
  <c r="N616" i="2" s="1"/>
  <c r="M132" i="11"/>
  <c r="N924" i="2" s="1"/>
  <c r="M108" i="11"/>
  <c r="N756" i="2" s="1"/>
  <c r="M138" i="11"/>
  <c r="N945" i="2" s="1"/>
  <c r="M144" i="11"/>
  <c r="N1008" i="2" s="1"/>
  <c r="M120" i="11"/>
  <c r="N812" i="2" s="1"/>
  <c r="S24" i="6"/>
  <c r="L138" i="11"/>
  <c r="N946" i="2" s="1"/>
  <c r="L90" i="11"/>
  <c r="N617" i="2" s="1"/>
  <c r="L126" i="11"/>
  <c r="N876" i="2" s="1"/>
  <c r="L78" i="11"/>
  <c r="N519" i="2" s="1"/>
  <c r="L84" i="11"/>
  <c r="N554" i="2" s="1"/>
  <c r="L114" i="11"/>
  <c r="N792" i="2" s="1"/>
  <c r="L102" i="11"/>
  <c r="N687" i="2" s="1"/>
  <c r="L132" i="11"/>
  <c r="N925" i="2" s="1"/>
  <c r="L108" i="11"/>
  <c r="N757" i="2" s="1"/>
  <c r="L96" i="11"/>
  <c r="N666" i="2" s="1"/>
  <c r="L144" i="11"/>
  <c r="N1009" i="2" s="1"/>
  <c r="L120" i="11"/>
  <c r="N813" i="2" s="1"/>
  <c r="K377" i="11"/>
  <c r="K365" i="11"/>
  <c r="K425" i="11"/>
  <c r="K413" i="11"/>
  <c r="K389" i="11"/>
  <c r="K419" i="11"/>
  <c r="K383" i="11"/>
  <c r="K401" i="11"/>
  <c r="K431" i="11"/>
  <c r="K407" i="11"/>
  <c r="K395" i="11"/>
  <c r="K371" i="11"/>
  <c r="L58" i="11"/>
  <c r="N421" i="2" s="1"/>
  <c r="L10" i="11"/>
  <c r="N85" i="2" s="1"/>
  <c r="L46" i="11"/>
  <c r="N330" i="2" s="1"/>
  <c r="L4" i="11"/>
  <c r="N15" i="2" s="1"/>
  <c r="L52" i="11"/>
  <c r="N351" i="2" s="1"/>
  <c r="L28" i="11"/>
  <c r="N197" i="2" s="1"/>
  <c r="L70" i="11"/>
  <c r="N501" i="2" s="1"/>
  <c r="L64" i="11"/>
  <c r="N428" i="2" s="1"/>
  <c r="L40" i="11"/>
  <c r="N295" i="2" s="1"/>
  <c r="L16" i="11"/>
  <c r="N99" i="2" s="1"/>
  <c r="L34" i="11"/>
  <c r="N253" i="2" s="1"/>
  <c r="L22" i="11"/>
  <c r="N162" i="2" s="1"/>
  <c r="M46" i="11"/>
  <c r="N329" i="2" s="1"/>
  <c r="M34" i="11"/>
  <c r="N252" i="2" s="1"/>
  <c r="M4" i="11"/>
  <c r="N14" i="2" s="1"/>
  <c r="M64" i="11"/>
  <c r="N427" i="2" s="1"/>
  <c r="M52" i="11"/>
  <c r="N350" i="2" s="1"/>
  <c r="M40" i="11"/>
  <c r="N294" i="2" s="1"/>
  <c r="M28" i="11"/>
  <c r="N196" i="2" s="1"/>
  <c r="M16" i="11"/>
  <c r="N98" i="2" s="1"/>
  <c r="M70" i="11"/>
  <c r="N500" i="2" s="1"/>
  <c r="M58" i="11"/>
  <c r="N420" i="2" s="1"/>
  <c r="M22" i="11"/>
  <c r="N161" i="2" s="1"/>
  <c r="M10" i="11"/>
  <c r="N84" i="2" s="1"/>
  <c r="I264" i="11"/>
  <c r="I246" i="11"/>
  <c r="I276" i="11"/>
  <c r="I252" i="11"/>
  <c r="I282" i="11"/>
  <c r="I234" i="11"/>
  <c r="I258" i="11"/>
  <c r="I270" i="11"/>
  <c r="I228" i="11"/>
  <c r="I222" i="11"/>
  <c r="I240" i="11"/>
  <c r="I288" i="11"/>
  <c r="H296" i="11"/>
  <c r="H362" i="11"/>
  <c r="H314" i="11"/>
  <c r="H344" i="11"/>
  <c r="H320" i="11"/>
  <c r="H350" i="11"/>
  <c r="H302" i="11"/>
  <c r="H356" i="11"/>
  <c r="H326" i="11"/>
  <c r="H338" i="11"/>
  <c r="H308" i="11"/>
  <c r="H332" i="11"/>
  <c r="I262" i="11"/>
  <c r="I220" i="11"/>
  <c r="I268" i="11"/>
  <c r="I280" i="11"/>
  <c r="I250" i="11"/>
  <c r="I226" i="11"/>
  <c r="I238" i="11"/>
  <c r="I232" i="11"/>
  <c r="I274" i="11"/>
  <c r="I286" i="11"/>
  <c r="I244" i="11"/>
  <c r="I256" i="11"/>
  <c r="H152" i="11"/>
  <c r="N1010" i="2" s="1"/>
  <c r="H218" i="11"/>
  <c r="H170" i="11"/>
  <c r="N1157" i="2" s="1"/>
  <c r="H164" i="11"/>
  <c r="N1094" i="2" s="1"/>
  <c r="H200" i="11"/>
  <c r="H206" i="11"/>
  <c r="H158" i="11"/>
  <c r="N1066" i="2" s="1"/>
  <c r="H182" i="11"/>
  <c r="N1241" i="2" s="1"/>
  <c r="H194" i="11"/>
  <c r="H212" i="11"/>
  <c r="H188" i="11"/>
  <c r="N1262" i="2" s="1"/>
  <c r="H176" i="11"/>
  <c r="N1213" i="2" s="1"/>
  <c r="M378" i="11"/>
  <c r="M432" i="11"/>
  <c r="M372" i="11"/>
  <c r="M426" i="11"/>
  <c r="M414" i="11"/>
  <c r="M402" i="11"/>
  <c r="M390" i="11"/>
  <c r="M366" i="11"/>
  <c r="M384" i="11"/>
  <c r="M420" i="11"/>
  <c r="M408" i="11"/>
  <c r="M396" i="11"/>
  <c r="H266" i="11"/>
  <c r="H248" i="11"/>
  <c r="H254" i="11"/>
  <c r="H278" i="11"/>
  <c r="H236" i="11"/>
  <c r="H290" i="11"/>
  <c r="H260" i="11"/>
  <c r="H224" i="11"/>
  <c r="H230" i="11"/>
  <c r="H272" i="11"/>
  <c r="H242" i="11"/>
  <c r="H284" i="11"/>
  <c r="L122" i="11"/>
  <c r="N806" i="2" s="1"/>
  <c r="L110" i="11"/>
  <c r="N743" i="2" s="1"/>
  <c r="L92" i="11"/>
  <c r="N596" i="2" s="1"/>
  <c r="L146" i="11"/>
  <c r="N988" i="2" s="1"/>
  <c r="L134" i="11"/>
  <c r="N890" i="2" s="1"/>
  <c r="L140" i="11"/>
  <c r="N939" i="2" s="1"/>
  <c r="L116" i="11"/>
  <c r="N778" i="2" s="1"/>
  <c r="L80" i="11"/>
  <c r="N526" i="2" s="1"/>
  <c r="L98" i="11"/>
  <c r="N645" i="2" s="1"/>
  <c r="L86" i="11"/>
  <c r="N561" i="2" s="1"/>
  <c r="L128" i="11"/>
  <c r="N848" i="2" s="1"/>
  <c r="L104" i="11"/>
  <c r="N680" i="2" s="1"/>
  <c r="L173" i="11"/>
  <c r="N1197" i="2" s="1"/>
  <c r="L161" i="11"/>
  <c r="N1121" i="2" s="1"/>
  <c r="L185" i="11"/>
  <c r="N1275" i="2" s="1"/>
  <c r="L209" i="11"/>
  <c r="L215" i="11"/>
  <c r="L179" i="11"/>
  <c r="N1254" i="2" s="1"/>
  <c r="L167" i="11"/>
  <c r="N1156" i="2" s="1"/>
  <c r="L149" i="11"/>
  <c r="N1030" i="2" s="1"/>
  <c r="L197" i="11"/>
  <c r="L191" i="11"/>
  <c r="L155" i="11"/>
  <c r="N1058" i="2" s="1"/>
  <c r="L203" i="11"/>
  <c r="M149" i="11"/>
  <c r="N1029" i="2" s="1"/>
  <c r="M173" i="11"/>
  <c r="N1196" i="2" s="1"/>
  <c r="M161" i="11"/>
  <c r="N1120" i="2" s="1"/>
  <c r="M209" i="11"/>
  <c r="M197" i="11"/>
  <c r="M191" i="11"/>
  <c r="M203" i="11"/>
  <c r="M155" i="11"/>
  <c r="N1057" i="2" s="1"/>
  <c r="M185" i="11"/>
  <c r="N1274" i="2" s="1"/>
  <c r="M215" i="11"/>
  <c r="M167" i="11"/>
  <c r="N1155" i="2" s="1"/>
  <c r="M179" i="11"/>
  <c r="N1253" i="2" s="1"/>
  <c r="K353" i="11"/>
  <c r="K341" i="11"/>
  <c r="K329" i="11"/>
  <c r="K317" i="11"/>
  <c r="K305" i="11"/>
  <c r="K293" i="11"/>
  <c r="K347" i="11"/>
  <c r="K335" i="11"/>
  <c r="K299" i="11"/>
  <c r="K359" i="11"/>
  <c r="K311" i="11"/>
  <c r="K323" i="11"/>
  <c r="L237" i="11"/>
  <c r="L249" i="11"/>
  <c r="L225" i="11"/>
  <c r="L273" i="11"/>
  <c r="L261" i="11"/>
  <c r="L267" i="11"/>
  <c r="L291" i="11"/>
  <c r="L279" i="11"/>
  <c r="L243" i="11"/>
  <c r="L285" i="11"/>
  <c r="L255" i="11"/>
  <c r="L231" i="11"/>
  <c r="M225" i="11"/>
  <c r="M237" i="11"/>
  <c r="M261" i="11"/>
  <c r="M279" i="11"/>
  <c r="M231" i="11"/>
  <c r="M291" i="11"/>
  <c r="M243" i="11"/>
  <c r="M285" i="11"/>
  <c r="M255" i="11"/>
  <c r="M249" i="11"/>
  <c r="M273" i="11"/>
  <c r="M267" i="11"/>
  <c r="I198" i="11"/>
  <c r="I150" i="11"/>
  <c r="N1046" i="2" s="1"/>
  <c r="I204" i="11"/>
  <c r="I180" i="11"/>
  <c r="N1221" i="2" s="1"/>
  <c r="I186" i="11"/>
  <c r="N1298" i="2" s="1"/>
  <c r="I156" i="11"/>
  <c r="N1081" i="2" s="1"/>
  <c r="I162" i="11"/>
  <c r="N1102" i="2" s="1"/>
  <c r="I216" i="11"/>
  <c r="I192" i="11"/>
  <c r="I168" i="11"/>
  <c r="N1165" i="2" s="1"/>
  <c r="I174" i="11"/>
  <c r="N1200" i="2" s="1"/>
  <c r="I210" i="11"/>
  <c r="H330" i="11"/>
  <c r="H312" i="11"/>
  <c r="H360" i="11"/>
  <c r="H318" i="11"/>
  <c r="H342" i="11"/>
  <c r="H354" i="11"/>
  <c r="H324" i="11"/>
  <c r="H336" i="11"/>
  <c r="H294" i="11"/>
  <c r="H348" i="11"/>
  <c r="H306" i="11"/>
  <c r="H300" i="11"/>
  <c r="H421" i="11"/>
  <c r="H403" i="11"/>
  <c r="H397" i="11"/>
  <c r="H415" i="11"/>
  <c r="H409" i="11"/>
  <c r="H433" i="11"/>
  <c r="H427" i="11"/>
  <c r="H385" i="11"/>
  <c r="H373" i="11"/>
  <c r="H391" i="11"/>
  <c r="H367" i="11"/>
  <c r="H379" i="11"/>
  <c r="L205" i="11"/>
  <c r="L211" i="11"/>
  <c r="L199" i="11"/>
  <c r="L163" i="11"/>
  <c r="N1114" i="2" s="1"/>
  <c r="L217" i="11"/>
  <c r="L181" i="11"/>
  <c r="N1261" i="2" s="1"/>
  <c r="L169" i="11"/>
  <c r="N1142" i="2" s="1"/>
  <c r="L175" i="11"/>
  <c r="N1191" i="2" s="1"/>
  <c r="L193" i="11"/>
  <c r="L157" i="11"/>
  <c r="N1079" i="2" s="1"/>
  <c r="L187" i="11"/>
  <c r="N1296" i="2" s="1"/>
  <c r="L151" i="11"/>
  <c r="N1037" i="2" s="1"/>
  <c r="M217" i="11"/>
  <c r="M205" i="11"/>
  <c r="M181" i="11"/>
  <c r="N1260" i="2" s="1"/>
  <c r="M169" i="11"/>
  <c r="N1141" i="2" s="1"/>
  <c r="M175" i="11"/>
  <c r="N1190" i="2" s="1"/>
  <c r="M193" i="11"/>
  <c r="M157" i="11"/>
  <c r="N1078" i="2" s="1"/>
  <c r="M187" i="11"/>
  <c r="N1295" i="2" s="1"/>
  <c r="M199" i="11"/>
  <c r="M151" i="11"/>
  <c r="N1036" i="2" s="1"/>
  <c r="M211" i="11"/>
  <c r="M163" i="11"/>
  <c r="N1113" i="2" s="1"/>
  <c r="I214" i="11"/>
  <c r="I166" i="11"/>
  <c r="N1144" i="2" s="1"/>
  <c r="I196" i="11"/>
  <c r="I172" i="11"/>
  <c r="N1207" i="2" s="1"/>
  <c r="I160" i="11"/>
  <c r="N1123" i="2" s="1"/>
  <c r="I202" i="11"/>
  <c r="I154" i="11"/>
  <c r="N1088" i="2" s="1"/>
  <c r="I148" i="11"/>
  <c r="N1039" i="2" s="1"/>
  <c r="I208" i="11"/>
  <c r="I184" i="11"/>
  <c r="N1284" i="2" s="1"/>
  <c r="I178" i="11"/>
  <c r="N1235" i="2" s="1"/>
  <c r="I190" i="11"/>
  <c r="M429" i="11"/>
  <c r="M375" i="11"/>
  <c r="M417" i="11"/>
  <c r="M369" i="11"/>
  <c r="M393" i="11"/>
  <c r="M435" i="11"/>
  <c r="M423" i="11"/>
  <c r="M411" i="11"/>
  <c r="M399" i="11"/>
  <c r="M387" i="11"/>
  <c r="M405" i="11"/>
  <c r="M381" i="11"/>
  <c r="K289" i="11"/>
  <c r="K283" i="11"/>
  <c r="K271" i="11"/>
  <c r="K235" i="11"/>
  <c r="K229" i="11"/>
  <c r="K247" i="11"/>
  <c r="K241" i="11"/>
  <c r="K265" i="11"/>
  <c r="K277" i="11"/>
  <c r="K253" i="11"/>
  <c r="K259" i="11"/>
  <c r="K223" i="11"/>
  <c r="H304" i="11"/>
  <c r="H346" i="11"/>
  <c r="H298" i="11"/>
  <c r="H292" i="11"/>
  <c r="H352" i="11"/>
  <c r="H334" i="11"/>
  <c r="H328" i="11"/>
  <c r="H310" i="11"/>
  <c r="H322" i="11"/>
  <c r="H358" i="11"/>
  <c r="H316" i="11"/>
  <c r="H340" i="11"/>
  <c r="K177" i="11"/>
  <c r="N1181" i="2" s="1"/>
  <c r="K213" i="11"/>
  <c r="K201" i="11"/>
  <c r="K165" i="11"/>
  <c r="N1132" i="2" s="1"/>
  <c r="K153" i="11"/>
  <c r="N1020" i="2" s="1"/>
  <c r="K195" i="11"/>
  <c r="K189" i="11"/>
  <c r="N1279" i="2" s="1"/>
  <c r="K219" i="11"/>
  <c r="K207" i="11"/>
  <c r="K171" i="11"/>
  <c r="N1174" i="2" s="1"/>
  <c r="K159" i="11"/>
  <c r="N1062" i="2" s="1"/>
  <c r="K183" i="11"/>
  <c r="N1230" i="2" s="1"/>
  <c r="H404" i="11"/>
  <c r="H416" i="11"/>
  <c r="H428" i="11"/>
  <c r="H392" i="11"/>
  <c r="H368" i="11"/>
  <c r="H374" i="11"/>
  <c r="H434" i="11"/>
  <c r="H386" i="11"/>
  <c r="H398" i="11"/>
  <c r="H380" i="11"/>
  <c r="H410" i="11"/>
  <c r="H422" i="11"/>
  <c r="I374" i="11"/>
  <c r="I404" i="11"/>
  <c r="I380" i="11"/>
  <c r="I392" i="11"/>
  <c r="I428" i="11"/>
  <c r="I434" i="11"/>
  <c r="I410" i="11"/>
  <c r="I386" i="11"/>
  <c r="I422" i="11"/>
  <c r="I398" i="11"/>
  <c r="I368" i="11"/>
  <c r="I416" i="11"/>
  <c r="M388" i="11"/>
  <c r="M430" i="11"/>
  <c r="M418" i="11"/>
  <c r="M406" i="11"/>
  <c r="M394" i="11"/>
  <c r="M382" i="11"/>
  <c r="M400" i="11"/>
  <c r="M370" i="11"/>
  <c r="M424" i="11"/>
  <c r="M412" i="11"/>
  <c r="M376" i="11"/>
  <c r="M364" i="11"/>
  <c r="L357" i="11"/>
  <c r="L363" i="11"/>
  <c r="L315" i="11"/>
  <c r="L345" i="11"/>
  <c r="L339" i="11"/>
  <c r="L327" i="11"/>
  <c r="L333" i="11"/>
  <c r="L321" i="11"/>
  <c r="L309" i="11"/>
  <c r="L297" i="11"/>
  <c r="L351" i="11"/>
  <c r="L303" i="11"/>
  <c r="M327" i="11"/>
  <c r="M339" i="11"/>
  <c r="M333" i="11"/>
  <c r="M321" i="11"/>
  <c r="M309" i="11"/>
  <c r="M297" i="11"/>
  <c r="M351" i="11"/>
  <c r="M303" i="11"/>
  <c r="M357" i="11"/>
  <c r="M345" i="11"/>
  <c r="M363" i="11"/>
  <c r="M315" i="11"/>
  <c r="K257" i="11"/>
  <c r="K269" i="11"/>
  <c r="K281" i="11"/>
  <c r="K245" i="11"/>
  <c r="K287" i="11"/>
  <c r="K251" i="11"/>
  <c r="K239" i="11"/>
  <c r="K233" i="11"/>
  <c r="K263" i="11"/>
  <c r="K221" i="11"/>
  <c r="K227" i="11"/>
  <c r="K275" i="11"/>
  <c r="L349" i="11"/>
  <c r="L337" i="11"/>
  <c r="L325" i="11"/>
  <c r="L313" i="11"/>
  <c r="L301" i="11"/>
  <c r="L361" i="11"/>
  <c r="L295" i="11"/>
  <c r="L331" i="11"/>
  <c r="L355" i="11"/>
  <c r="L343" i="11"/>
  <c r="L307" i="11"/>
  <c r="L319" i="11"/>
  <c r="M349" i="11"/>
  <c r="M337" i="11"/>
  <c r="M325" i="11"/>
  <c r="M313" i="11"/>
  <c r="M301" i="11"/>
  <c r="M361" i="11"/>
  <c r="M343" i="11"/>
  <c r="M295" i="11"/>
  <c r="M355" i="11"/>
  <c r="M307" i="11"/>
  <c r="M319" i="11"/>
  <c r="M331" i="11"/>
  <c r="J137" i="11"/>
  <c r="N963" i="2" s="1"/>
  <c r="J119" i="11"/>
  <c r="N830" i="2" s="1"/>
  <c r="J95" i="11"/>
  <c r="N648" i="2" s="1"/>
  <c r="J89" i="11"/>
  <c r="N627" i="2" s="1"/>
  <c r="J83" i="11"/>
  <c r="N564" i="2" s="1"/>
  <c r="J113" i="11"/>
  <c r="N795" i="2" s="1"/>
  <c r="J143" i="11"/>
  <c r="N998" i="2" s="1"/>
  <c r="J107" i="11"/>
  <c r="N746" i="2" s="1"/>
  <c r="J77" i="11"/>
  <c r="N508" i="2" s="1"/>
  <c r="J125" i="11"/>
  <c r="N858" i="2" s="1"/>
  <c r="J131" i="11"/>
  <c r="N907" i="2" s="1"/>
  <c r="J101" i="11"/>
  <c r="N704" i="2" s="1"/>
  <c r="R40" i="6"/>
  <c r="J329" i="11"/>
  <c r="J317" i="11"/>
  <c r="J359" i="11"/>
  <c r="J335" i="11"/>
  <c r="J353" i="11"/>
  <c r="J305" i="11"/>
  <c r="J347" i="11"/>
  <c r="J311" i="11"/>
  <c r="J299" i="11"/>
  <c r="J341" i="11"/>
  <c r="J293" i="11"/>
  <c r="J323" i="11"/>
  <c r="J59" i="11"/>
  <c r="N403" i="2" s="1"/>
  <c r="J23" i="11"/>
  <c r="N151" i="2" s="1"/>
  <c r="J17" i="11"/>
  <c r="N116" i="2" s="1"/>
  <c r="J65" i="11"/>
  <c r="N459" i="2" s="1"/>
  <c r="J41" i="11"/>
  <c r="N270" i="2" s="1"/>
  <c r="J5" i="11"/>
  <c r="N25" i="2" s="1"/>
  <c r="J47" i="11"/>
  <c r="N305" i="2" s="1"/>
  <c r="J29" i="11"/>
  <c r="N186" i="2" s="1"/>
  <c r="J11" i="11"/>
  <c r="N46" i="2" s="1"/>
  <c r="J71" i="11"/>
  <c r="N466" i="2" s="1"/>
  <c r="J53" i="11"/>
  <c r="N361" i="2" s="1"/>
  <c r="J35" i="11"/>
  <c r="N242" i="2" s="1"/>
  <c r="J124" i="11"/>
  <c r="N865" i="2" s="1"/>
  <c r="J112" i="11"/>
  <c r="N767" i="2" s="1"/>
  <c r="J142" i="11"/>
  <c r="N977" i="2" s="1"/>
  <c r="J118" i="11"/>
  <c r="N837" i="2" s="1"/>
  <c r="J94" i="11"/>
  <c r="N669" i="2" s="1"/>
  <c r="J136" i="11"/>
  <c r="N949" i="2" s="1"/>
  <c r="J88" i="11"/>
  <c r="N606" i="2" s="1"/>
  <c r="J76" i="11"/>
  <c r="N536" i="2" s="1"/>
  <c r="J100" i="11"/>
  <c r="N697" i="2" s="1"/>
  <c r="J106" i="11"/>
  <c r="N732" i="2" s="1"/>
  <c r="J82" i="11"/>
  <c r="N578" i="2" s="1"/>
  <c r="J130" i="11"/>
  <c r="N914" i="2" s="1"/>
  <c r="J144" i="11"/>
  <c r="N1005" i="2" s="1"/>
  <c r="J108" i="11"/>
  <c r="N753" i="2" s="1"/>
  <c r="J126" i="11"/>
  <c r="N872" i="2" s="1"/>
  <c r="J102" i="11"/>
  <c r="N683" i="2" s="1"/>
  <c r="J78" i="11"/>
  <c r="N515" i="2" s="1"/>
  <c r="J120" i="11"/>
  <c r="N809" i="2" s="1"/>
  <c r="J132" i="11"/>
  <c r="N921" i="2" s="1"/>
  <c r="J84" i="11"/>
  <c r="N550" i="2" s="1"/>
  <c r="J138" i="11"/>
  <c r="N942" i="2" s="1"/>
  <c r="J90" i="11"/>
  <c r="N613" i="2" s="1"/>
  <c r="J96" i="11"/>
  <c r="N662" i="2" s="1"/>
  <c r="J114" i="11"/>
  <c r="N788" i="2" s="1"/>
  <c r="U40" i="6"/>
  <c r="J332" i="11"/>
  <c r="J308" i="11"/>
  <c r="J350" i="11"/>
  <c r="J326" i="11"/>
  <c r="J302" i="11"/>
  <c r="J356" i="11"/>
  <c r="J344" i="11"/>
  <c r="J320" i="11"/>
  <c r="J296" i="11"/>
  <c r="J362" i="11"/>
  <c r="J338" i="11"/>
  <c r="J314" i="11"/>
  <c r="J206" i="11"/>
  <c r="J182" i="11"/>
  <c r="N1243" i="2" s="1"/>
  <c r="J158" i="11"/>
  <c r="N1068" i="2" s="1"/>
  <c r="J188" i="11"/>
  <c r="N1264" i="2" s="1"/>
  <c r="J176" i="11"/>
  <c r="N1215" i="2" s="1"/>
  <c r="J152" i="11"/>
  <c r="N1012" i="2" s="1"/>
  <c r="J194" i="11"/>
  <c r="J164" i="11"/>
  <c r="N1096" i="2" s="1"/>
  <c r="J170" i="11"/>
  <c r="N1159" i="2" s="1"/>
  <c r="J212" i="11"/>
  <c r="J218" i="11"/>
  <c r="J200" i="11"/>
  <c r="J272" i="11"/>
  <c r="J248" i="11"/>
  <c r="J278" i="11"/>
  <c r="J254" i="11"/>
  <c r="J230" i="11"/>
  <c r="J224" i="11"/>
  <c r="J290" i="11"/>
  <c r="J260" i="11"/>
  <c r="J236" i="11"/>
  <c r="J242" i="11"/>
  <c r="J284" i="11"/>
  <c r="J266" i="11"/>
  <c r="J348" i="11"/>
  <c r="J324" i="11"/>
  <c r="J300" i="11"/>
  <c r="J342" i="11"/>
  <c r="J318" i="11"/>
  <c r="J294" i="11"/>
  <c r="J336" i="11"/>
  <c r="J312" i="11"/>
  <c r="J360" i="11"/>
  <c r="J354" i="11"/>
  <c r="J330" i="11"/>
  <c r="J306" i="11"/>
  <c r="J399" i="11"/>
  <c r="J417" i="11"/>
  <c r="J369" i="11"/>
  <c r="J429" i="11"/>
  <c r="J405" i="11"/>
  <c r="J411" i="11"/>
  <c r="J393" i="11"/>
  <c r="J435" i="11"/>
  <c r="J375" i="11"/>
  <c r="J387" i="11"/>
  <c r="J423" i="11"/>
  <c r="J381" i="11"/>
  <c r="J340" i="11"/>
  <c r="J316" i="11"/>
  <c r="J292" i="11"/>
  <c r="J358" i="11"/>
  <c r="J334" i="11"/>
  <c r="J310" i="11"/>
  <c r="J352" i="11"/>
  <c r="J328" i="11"/>
  <c r="J304" i="11"/>
  <c r="J322" i="11"/>
  <c r="J298" i="11"/>
  <c r="J346" i="11"/>
  <c r="Q16" i="6"/>
  <c r="J40" i="11"/>
  <c r="N291" i="2" s="1"/>
  <c r="J28" i="11"/>
  <c r="N193" i="2" s="1"/>
  <c r="J70" i="11"/>
  <c r="N497" i="2" s="1"/>
  <c r="J46" i="11"/>
  <c r="N326" i="2" s="1"/>
  <c r="J22" i="11"/>
  <c r="N158" i="2" s="1"/>
  <c r="J16" i="11"/>
  <c r="N95" i="2" s="1"/>
  <c r="J58" i="11"/>
  <c r="N417" i="2" s="1"/>
  <c r="J34" i="11"/>
  <c r="N249" i="2" s="1"/>
  <c r="J4" i="11"/>
  <c r="N11" i="2" s="1"/>
  <c r="J52" i="11"/>
  <c r="N347" i="2" s="1"/>
  <c r="J10" i="11"/>
  <c r="N81" i="2" s="1"/>
  <c r="J64" i="11"/>
  <c r="N424" i="2" s="1"/>
  <c r="T34" i="6"/>
  <c r="J223" i="11"/>
  <c r="J271" i="11"/>
  <c r="J289" i="11"/>
  <c r="J235" i="11"/>
  <c r="J253" i="11"/>
  <c r="J277" i="11"/>
  <c r="J229" i="11"/>
  <c r="J283" i="11"/>
  <c r="J247" i="11"/>
  <c r="J241" i="11"/>
  <c r="J265" i="11"/>
  <c r="J259" i="11"/>
  <c r="V28" i="6"/>
  <c r="J201" i="11"/>
  <c r="J165" i="11"/>
  <c r="N1131" i="2" s="1"/>
  <c r="J177" i="11"/>
  <c r="N1180" i="2" s="1"/>
  <c r="J207" i="11"/>
  <c r="J219" i="11"/>
  <c r="J183" i="11"/>
  <c r="N1229" i="2" s="1"/>
  <c r="J159" i="11"/>
  <c r="N1061" i="2" s="1"/>
  <c r="J189" i="11"/>
  <c r="N1278" i="2" s="1"/>
  <c r="J195" i="11"/>
  <c r="J171" i="11"/>
  <c r="N1173" i="2" s="1"/>
  <c r="J213" i="11"/>
  <c r="J153" i="11"/>
  <c r="N1019" i="2" s="1"/>
  <c r="U46" i="6"/>
  <c r="J434" i="11"/>
  <c r="J386" i="11"/>
  <c r="J398" i="11"/>
  <c r="J374" i="11"/>
  <c r="J404" i="11"/>
  <c r="J380" i="11"/>
  <c r="J410" i="11"/>
  <c r="J428" i="11"/>
  <c r="J416" i="11"/>
  <c r="J392" i="11"/>
  <c r="J368" i="11"/>
  <c r="J422" i="11"/>
  <c r="R34" i="6"/>
  <c r="J287" i="11"/>
  <c r="J275" i="11"/>
  <c r="J251" i="11"/>
  <c r="J239" i="11"/>
  <c r="J281" i="11"/>
  <c r="J257" i="11"/>
  <c r="J233" i="11"/>
  <c r="J227" i="11"/>
  <c r="J269" i="11"/>
  <c r="J221" i="11"/>
  <c r="J263" i="11"/>
  <c r="J245" i="11"/>
  <c r="J44" i="11"/>
  <c r="N263" i="2" s="1"/>
  <c r="J8" i="11"/>
  <c r="N4" i="2" s="1"/>
  <c r="J62" i="11"/>
  <c r="N410" i="2" s="1"/>
  <c r="J38" i="11"/>
  <c r="N235" i="2" s="1"/>
  <c r="J14" i="11"/>
  <c r="N53" i="2" s="1"/>
  <c r="J56" i="11"/>
  <c r="N340" i="2" s="1"/>
  <c r="J32" i="11"/>
  <c r="N172" i="2" s="1"/>
  <c r="J20" i="11"/>
  <c r="N123" i="2" s="1"/>
  <c r="J50" i="11"/>
  <c r="N333" i="2" s="1"/>
  <c r="J68" i="11"/>
  <c r="N452" i="2" s="1"/>
  <c r="J74" i="11"/>
  <c r="N490" i="2" s="1"/>
  <c r="J26" i="11"/>
  <c r="N137" i="2" s="1"/>
  <c r="J288" i="11"/>
  <c r="J264" i="11"/>
  <c r="J240" i="11"/>
  <c r="J228" i="11"/>
  <c r="J270" i="11"/>
  <c r="J246" i="11"/>
  <c r="J222" i="11"/>
  <c r="J258" i="11"/>
  <c r="J276" i="11"/>
  <c r="J282" i="11"/>
  <c r="J252" i="11"/>
  <c r="J234" i="11"/>
  <c r="J280" i="11"/>
  <c r="J256" i="11"/>
  <c r="J232" i="11"/>
  <c r="J286" i="11"/>
  <c r="J262" i="11"/>
  <c r="J238" i="11"/>
  <c r="J220" i="11"/>
  <c r="J226" i="11"/>
  <c r="J268" i="11"/>
  <c r="J274" i="11"/>
  <c r="J244" i="11"/>
  <c r="J250" i="11"/>
  <c r="S28" i="6"/>
  <c r="J156" i="11"/>
  <c r="N1082" i="2" s="1"/>
  <c r="J198" i="11"/>
  <c r="J174" i="11"/>
  <c r="N1201" i="2" s="1"/>
  <c r="J150" i="11"/>
  <c r="N1047" i="2" s="1"/>
  <c r="J204" i="11"/>
  <c r="J192" i="11"/>
  <c r="J162" i="11"/>
  <c r="N1103" i="2" s="1"/>
  <c r="J168" i="11"/>
  <c r="N1166" i="2" s="1"/>
  <c r="J216" i="11"/>
  <c r="J210" i="11"/>
  <c r="J186" i="11"/>
  <c r="N1299" i="2" s="1"/>
  <c r="J180" i="11"/>
  <c r="N1222" i="2" s="1"/>
  <c r="J160" i="11"/>
  <c r="N1124" i="2" s="1"/>
  <c r="J214" i="11"/>
  <c r="J190" i="11"/>
  <c r="J166" i="11"/>
  <c r="N1145" i="2" s="1"/>
  <c r="J208" i="11"/>
  <c r="J172" i="11"/>
  <c r="N1208" i="2" s="1"/>
  <c r="J148" i="11"/>
  <c r="N1040" i="2" s="1"/>
  <c r="J178" i="11"/>
  <c r="N1236" i="2" s="1"/>
  <c r="J154" i="11"/>
  <c r="N1089" i="2" s="1"/>
  <c r="J202" i="11"/>
  <c r="J184" i="11"/>
  <c r="N1285" i="2" s="1"/>
  <c r="J196" i="11"/>
  <c r="R46" i="6"/>
  <c r="J377" i="11"/>
  <c r="J389" i="11"/>
  <c r="J395" i="11"/>
  <c r="J365" i="11"/>
  <c r="J431" i="11"/>
  <c r="J419" i="11"/>
  <c r="J413" i="11"/>
  <c r="J407" i="11"/>
  <c r="J371" i="11"/>
  <c r="J425" i="11"/>
  <c r="J401" i="11"/>
  <c r="J383" i="11"/>
  <c r="T46" i="6"/>
  <c r="J415" i="11"/>
  <c r="J403" i="11"/>
  <c r="J379" i="11"/>
  <c r="J367" i="11"/>
  <c r="J409" i="11"/>
  <c r="J373" i="11"/>
  <c r="J391" i="11"/>
  <c r="J397" i="11"/>
  <c r="J433" i="11"/>
  <c r="J421" i="11"/>
  <c r="J427" i="11"/>
  <c r="J385" i="11"/>
  <c r="J24" i="11"/>
  <c r="N165" i="2" s="1"/>
  <c r="J12" i="11"/>
  <c r="N64" i="2" s="1"/>
  <c r="J54" i="11"/>
  <c r="N375" i="2" s="1"/>
  <c r="J30" i="11"/>
  <c r="N200" i="2" s="1"/>
  <c r="J6" i="11"/>
  <c r="N18" i="2" s="1"/>
  <c r="J72" i="11"/>
  <c r="N480" i="2" s="1"/>
  <c r="J60" i="11"/>
  <c r="N389" i="2" s="1"/>
  <c r="J48" i="11"/>
  <c r="N308" i="2" s="1"/>
  <c r="J36" i="11"/>
  <c r="N224" i="2" s="1"/>
  <c r="J18" i="11"/>
  <c r="N88" i="2" s="1"/>
  <c r="J66" i="11"/>
  <c r="N445" i="2" s="1"/>
  <c r="J42" i="11"/>
  <c r="N284" i="2" s="1"/>
  <c r="S46" i="6"/>
  <c r="J402" i="11"/>
  <c r="J414" i="11"/>
  <c r="J366" i="11"/>
  <c r="J396" i="11"/>
  <c r="J372" i="11"/>
  <c r="J426" i="11"/>
  <c r="J420" i="11"/>
  <c r="J408" i="11"/>
  <c r="J384" i="11"/>
  <c r="J390" i="11"/>
  <c r="J432" i="11"/>
  <c r="J378" i="11"/>
  <c r="J140" i="11"/>
  <c r="N935" i="2" s="1"/>
  <c r="J128" i="11"/>
  <c r="N844" i="2" s="1"/>
  <c r="J134" i="11"/>
  <c r="N886" i="2" s="1"/>
  <c r="J110" i="11"/>
  <c r="N739" i="2" s="1"/>
  <c r="J86" i="11"/>
  <c r="N557" i="2" s="1"/>
  <c r="J104" i="11"/>
  <c r="N676" i="2" s="1"/>
  <c r="J92" i="11"/>
  <c r="N592" i="2" s="1"/>
  <c r="J98" i="11"/>
  <c r="N641" i="2" s="1"/>
  <c r="J116" i="11"/>
  <c r="N774" i="2" s="1"/>
  <c r="J122" i="11"/>
  <c r="N802" i="2" s="1"/>
  <c r="J146" i="11"/>
  <c r="N984" i="2" s="1"/>
  <c r="J80" i="11"/>
  <c r="N522" i="2" s="1"/>
  <c r="R28" i="6"/>
  <c r="J173" i="11"/>
  <c r="N1193" i="2" s="1"/>
  <c r="J149" i="11"/>
  <c r="N1026" i="2" s="1"/>
  <c r="J209" i="11"/>
  <c r="J215" i="11"/>
  <c r="J179" i="11"/>
  <c r="N1250" i="2" s="1"/>
  <c r="J155" i="11"/>
  <c r="N1054" i="2" s="1"/>
  <c r="J203" i="11"/>
  <c r="J167" i="11"/>
  <c r="N1152" i="2" s="1"/>
  <c r="J185" i="11"/>
  <c r="N1271" i="2" s="1"/>
  <c r="J197" i="11"/>
  <c r="J191" i="11"/>
  <c r="J161" i="11"/>
  <c r="N1117" i="2" s="1"/>
  <c r="V34" i="6"/>
  <c r="J261" i="11"/>
  <c r="J237" i="11"/>
  <c r="J279" i="11"/>
  <c r="J225" i="11"/>
  <c r="J273" i="11"/>
  <c r="J291" i="11"/>
  <c r="J267" i="11"/>
  <c r="J231" i="11"/>
  <c r="J255" i="11"/>
  <c r="J249" i="11"/>
  <c r="J243" i="11"/>
  <c r="J285" i="11"/>
  <c r="J181" i="11"/>
  <c r="N1257" i="2" s="1"/>
  <c r="J211" i="11"/>
  <c r="J187" i="11"/>
  <c r="N1292" i="2" s="1"/>
  <c r="J163" i="11"/>
  <c r="N1110" i="2" s="1"/>
  <c r="J205" i="11"/>
  <c r="J193" i="11"/>
  <c r="J157" i="11"/>
  <c r="N1075" i="2" s="1"/>
  <c r="J175" i="11"/>
  <c r="N1187" i="2" s="1"/>
  <c r="J151" i="11"/>
  <c r="N1033" i="2" s="1"/>
  <c r="J169" i="11"/>
  <c r="N1138" i="2" s="1"/>
  <c r="J199" i="11"/>
  <c r="J217" i="11"/>
  <c r="J418" i="11"/>
  <c r="J430" i="11"/>
  <c r="J382" i="11"/>
  <c r="J412" i="11"/>
  <c r="J388" i="11"/>
  <c r="J364" i="11"/>
  <c r="J394" i="11"/>
  <c r="J400" i="11"/>
  <c r="J376" i="11"/>
  <c r="J406" i="11"/>
  <c r="J370" i="11"/>
  <c r="J424" i="11"/>
  <c r="J351" i="11"/>
  <c r="J321" i="11"/>
  <c r="J339" i="11"/>
  <c r="J315" i="11"/>
  <c r="J357" i="11"/>
  <c r="J309" i="11"/>
  <c r="J345" i="11"/>
  <c r="J297" i="11"/>
  <c r="J333" i="11"/>
  <c r="J303" i="11"/>
  <c r="J363" i="11"/>
  <c r="J327" i="11"/>
  <c r="J337" i="11"/>
  <c r="J343" i="11"/>
  <c r="J295" i="11"/>
  <c r="J319" i="11"/>
  <c r="J361" i="11"/>
  <c r="J325" i="11"/>
  <c r="J355" i="11"/>
  <c r="J331" i="11"/>
  <c r="J313" i="11"/>
  <c r="J307" i="11"/>
  <c r="J349" i="11"/>
  <c r="J301" i="11"/>
  <c r="R16" i="6"/>
  <c r="R22" i="6"/>
  <c r="U16" i="6"/>
  <c r="S22" i="6"/>
  <c r="S16" i="6"/>
  <c r="Q22" i="6"/>
  <c r="U22" i="6"/>
  <c r="AQ178" i="6"/>
  <c r="AZ178" i="6" s="1"/>
  <c r="AQ177" i="6"/>
  <c r="AZ177" i="6" s="1"/>
  <c r="Z19" i="6"/>
  <c r="Z38" i="6"/>
  <c r="Z43" i="6"/>
  <c r="Z20" i="6"/>
  <c r="Z26" i="6"/>
  <c r="Z27" i="6"/>
  <c r="Z42" i="6"/>
  <c r="Z30" i="6"/>
  <c r="Z39" i="6"/>
  <c r="Z24" i="6"/>
  <c r="Z31" i="6"/>
  <c r="Z21" i="6"/>
  <c r="Z28" i="6"/>
  <c r="Z34" i="6"/>
  <c r="Z45" i="6"/>
  <c r="Z40" i="6"/>
  <c r="Z46" i="6"/>
  <c r="Z25" i="6"/>
  <c r="Z29" i="6"/>
  <c r="Z36" i="6"/>
  <c r="Z49" i="6"/>
  <c r="Z47" i="6"/>
  <c r="Z37" i="6"/>
  <c r="Z35" i="6"/>
  <c r="Z41" i="6"/>
  <c r="Z48" i="6"/>
  <c r="Z23" i="6"/>
  <c r="Z32" i="6"/>
  <c r="Z22" i="6"/>
  <c r="Z44" i="6"/>
  <c r="Z17" i="6"/>
  <c r="AQ396" i="6"/>
  <c r="AZ396" i="6" s="1"/>
  <c r="AQ222" i="6"/>
  <c r="AZ222" i="6" s="1"/>
  <c r="AQ124" i="6"/>
  <c r="AZ124" i="6" s="1"/>
  <c r="AQ259" i="6"/>
  <c r="AZ259" i="6" s="1"/>
  <c r="AQ58" i="6"/>
  <c r="AZ58" i="6" s="1"/>
  <c r="AQ290" i="6"/>
  <c r="AZ290" i="6" s="1"/>
  <c r="AQ281" i="6"/>
  <c r="AZ281" i="6" s="1"/>
  <c r="AQ337" i="6"/>
  <c r="AZ337" i="6" s="1"/>
  <c r="AQ352" i="6"/>
  <c r="AZ352" i="6" s="1"/>
  <c r="AQ299" i="6"/>
  <c r="AZ299" i="6" s="1"/>
  <c r="AQ459" i="6"/>
  <c r="AQ85" i="6"/>
  <c r="AZ85" i="6" s="1"/>
  <c r="AQ163" i="6"/>
  <c r="AZ163" i="6" s="1"/>
  <c r="AQ93" i="6"/>
  <c r="AZ93" i="6" s="1"/>
  <c r="AQ207" i="6"/>
  <c r="AZ207" i="6" s="1"/>
  <c r="AQ104" i="6"/>
  <c r="AZ104" i="6" s="1"/>
  <c r="AQ183" i="6"/>
  <c r="AZ183" i="6" s="1"/>
  <c r="AQ164" i="6"/>
  <c r="AZ164" i="6" s="1"/>
  <c r="AQ107" i="6"/>
  <c r="AZ107" i="6" s="1"/>
  <c r="AZ41" i="6"/>
  <c r="AQ263" i="6"/>
  <c r="AZ263" i="6" s="1"/>
  <c r="AQ319" i="6"/>
  <c r="AZ319" i="6" s="1"/>
  <c r="AQ397" i="6"/>
  <c r="AZ397" i="6" s="1"/>
  <c r="AZ37" i="6"/>
  <c r="AQ257" i="6"/>
  <c r="AZ257" i="6" s="1"/>
  <c r="AQ420" i="6"/>
  <c r="AZ420" i="6" s="1"/>
  <c r="AQ140" i="6"/>
  <c r="AZ140" i="6" s="1"/>
  <c r="AQ239" i="6"/>
  <c r="AZ239" i="6" s="1"/>
  <c r="AQ139" i="6"/>
  <c r="AZ139" i="6" s="1"/>
  <c r="AQ76" i="6"/>
  <c r="AZ76" i="6" s="1"/>
  <c r="AQ160" i="6"/>
  <c r="AZ160" i="6" s="1"/>
  <c r="AQ334" i="6"/>
  <c r="AZ334" i="6" s="1"/>
  <c r="AQ151" i="6"/>
  <c r="AZ151" i="6" s="1"/>
  <c r="AZ25" i="6"/>
  <c r="AQ461" i="6"/>
  <c r="AZ24" i="6"/>
  <c r="AQ371" i="6"/>
  <c r="AZ371" i="6" s="1"/>
  <c r="Z16" i="6"/>
  <c r="Z33" i="6"/>
  <c r="Z18" i="6"/>
  <c r="S38" i="6"/>
  <c r="J40" i="6"/>
  <c r="J17" i="6"/>
  <c r="T14" i="6"/>
  <c r="J18" i="6"/>
  <c r="U14" i="6"/>
  <c r="Q32" i="6"/>
  <c r="J32" i="6"/>
  <c r="T44" i="6"/>
  <c r="J47" i="6"/>
  <c r="J28" i="6"/>
  <c r="S26" i="6"/>
  <c r="J24" i="6"/>
  <c r="U20" i="6"/>
  <c r="T32" i="6"/>
  <c r="J35" i="6"/>
  <c r="J16" i="6"/>
  <c r="S14" i="6"/>
  <c r="U38" i="6"/>
  <c r="J42" i="6"/>
  <c r="J25" i="6"/>
  <c r="V20" i="6"/>
  <c r="V38" i="6"/>
  <c r="J43" i="6"/>
  <c r="J29" i="6"/>
  <c r="T26" i="6"/>
  <c r="Q14" i="6"/>
  <c r="J14" i="6"/>
  <c r="U44" i="6"/>
  <c r="J48" i="6"/>
  <c r="J23" i="6"/>
  <c r="T20" i="6"/>
  <c r="Z14" i="6"/>
  <c r="R38" i="6"/>
  <c r="J39" i="6"/>
  <c r="J20" i="6"/>
  <c r="Q20" i="6"/>
  <c r="J22" i="6"/>
  <c r="S20" i="6"/>
  <c r="R44" i="6"/>
  <c r="J45" i="6"/>
  <c r="S32" i="6"/>
  <c r="J34" i="6"/>
  <c r="J26" i="6"/>
  <c r="Q26" i="6"/>
  <c r="Z15" i="6"/>
  <c r="J15" i="6"/>
  <c r="R14" i="6"/>
  <c r="Q38" i="6"/>
  <c r="J38" i="6"/>
  <c r="J30" i="6"/>
  <c r="U28" i="6"/>
  <c r="T38" i="6"/>
  <c r="J41" i="6"/>
  <c r="J21" i="6"/>
  <c r="R20" i="6"/>
  <c r="R32" i="6"/>
  <c r="J33" i="6"/>
  <c r="V44" i="6"/>
  <c r="J49" i="6"/>
  <c r="Q44" i="6"/>
  <c r="J44" i="6"/>
  <c r="U32" i="6"/>
  <c r="J36" i="6"/>
  <c r="J31" i="6"/>
  <c r="V26" i="6"/>
  <c r="S44" i="6"/>
  <c r="J46" i="6"/>
  <c r="V32" i="6"/>
  <c r="J37" i="6"/>
  <c r="J27" i="6"/>
  <c r="R26" i="6"/>
  <c r="J19" i="6"/>
  <c r="V14" i="6"/>
  <c r="AZ14" i="6"/>
  <c r="AQ152" i="6"/>
  <c r="AZ152" i="6" s="1"/>
  <c r="AQ170" i="6"/>
  <c r="AZ170" i="6" s="1"/>
  <c r="AQ146" i="6"/>
  <c r="AZ146" i="6" s="1"/>
  <c r="AQ116" i="6"/>
  <c r="AZ116" i="6" s="1"/>
  <c r="AQ84" i="6"/>
  <c r="AZ84" i="6" s="1"/>
  <c r="AQ50" i="6"/>
  <c r="AZ50" i="6" s="1"/>
  <c r="AZ15" i="6"/>
  <c r="AQ272" i="6"/>
  <c r="AZ272" i="6" s="1"/>
  <c r="AQ122" i="6"/>
  <c r="AZ122" i="6" s="1"/>
  <c r="AQ88" i="6"/>
  <c r="AZ88" i="6" s="1"/>
  <c r="AQ59" i="6"/>
  <c r="AZ59" i="6" s="1"/>
  <c r="AZ20" i="6"/>
  <c r="AQ277" i="6"/>
  <c r="AZ277" i="6" s="1"/>
  <c r="AQ249" i="6"/>
  <c r="AZ249" i="6" s="1"/>
  <c r="AQ232" i="6"/>
  <c r="AZ232" i="6" s="1"/>
  <c r="AQ216" i="6"/>
  <c r="AZ216" i="6" s="1"/>
  <c r="AQ200" i="6"/>
  <c r="AZ200" i="6" s="1"/>
  <c r="AQ328" i="6"/>
  <c r="AZ328" i="6" s="1"/>
  <c r="AQ312" i="6"/>
  <c r="AZ312" i="6" s="1"/>
  <c r="AQ346" i="6"/>
  <c r="AZ346" i="6" s="1"/>
  <c r="AQ464" i="6"/>
  <c r="AQ392" i="6"/>
  <c r="AZ392" i="6" s="1"/>
  <c r="AQ435" i="6"/>
  <c r="AZ435" i="6" s="1"/>
  <c r="AQ375" i="6"/>
  <c r="AZ375" i="6" s="1"/>
  <c r="AQ446" i="6"/>
  <c r="AQ414" i="6"/>
  <c r="AZ414" i="6" s="1"/>
  <c r="AQ382" i="6"/>
  <c r="AZ382" i="6" s="1"/>
  <c r="AQ188" i="6"/>
  <c r="AZ188" i="6" s="1"/>
  <c r="AQ147" i="6"/>
  <c r="AZ147" i="6" s="1"/>
  <c r="AQ169" i="6"/>
  <c r="AZ169" i="6" s="1"/>
  <c r="AQ144" i="6"/>
  <c r="AZ144" i="6" s="1"/>
  <c r="AQ131" i="6"/>
  <c r="AZ131" i="6" s="1"/>
  <c r="AQ98" i="6"/>
  <c r="AZ98" i="6" s="1"/>
  <c r="AQ66" i="6"/>
  <c r="AZ66" i="6" s="1"/>
  <c r="AZ30" i="6"/>
  <c r="AQ288" i="6"/>
  <c r="AZ288" i="6" s="1"/>
  <c r="AQ252" i="6"/>
  <c r="AZ252" i="6" s="1"/>
  <c r="AQ94" i="6"/>
  <c r="AZ94" i="6" s="1"/>
  <c r="AZ27" i="6"/>
  <c r="AQ260" i="6"/>
  <c r="AZ260" i="6" s="1"/>
  <c r="AQ223" i="6"/>
  <c r="AZ223" i="6" s="1"/>
  <c r="AQ335" i="6"/>
  <c r="AZ335" i="6" s="1"/>
  <c r="AQ353" i="6"/>
  <c r="AZ353" i="6" s="1"/>
  <c r="AQ424" i="6"/>
  <c r="AZ424" i="6" s="1"/>
  <c r="AQ403" i="6"/>
  <c r="AZ403" i="6" s="1"/>
  <c r="AQ429" i="6"/>
  <c r="AZ429" i="6" s="1"/>
  <c r="AQ365" i="6"/>
  <c r="AZ365" i="6" s="1"/>
  <c r="AQ189" i="6"/>
  <c r="AZ189" i="6" s="1"/>
  <c r="AQ137" i="6"/>
  <c r="AZ137" i="6" s="1"/>
  <c r="AQ72" i="6"/>
  <c r="AZ72" i="6" s="1"/>
  <c r="AQ294" i="6"/>
  <c r="AZ294" i="6" s="1"/>
  <c r="AQ117" i="6"/>
  <c r="AZ117" i="6" s="1"/>
  <c r="AQ55" i="6"/>
  <c r="AZ55" i="6" s="1"/>
  <c r="AQ287" i="6"/>
  <c r="AZ287" i="6" s="1"/>
  <c r="AQ238" i="6"/>
  <c r="AZ238" i="6" s="1"/>
  <c r="AQ206" i="6"/>
  <c r="AZ206" i="6" s="1"/>
  <c r="AQ318" i="6"/>
  <c r="AZ318" i="6" s="1"/>
  <c r="AQ336" i="6"/>
  <c r="AZ336" i="6" s="1"/>
  <c r="AQ455" i="6"/>
  <c r="AQ458" i="6"/>
  <c r="AQ128" i="6"/>
  <c r="AZ128" i="6" s="1"/>
  <c r="AQ114" i="6"/>
  <c r="AZ114" i="6" s="1"/>
  <c r="AQ96" i="6"/>
  <c r="AZ96" i="6" s="1"/>
  <c r="AQ81" i="6"/>
  <c r="AZ81" i="6" s="1"/>
  <c r="AQ65" i="6"/>
  <c r="AZ65" i="6" s="1"/>
  <c r="AQ51" i="6"/>
  <c r="AZ51" i="6" s="1"/>
  <c r="AZ36" i="6"/>
  <c r="AQ298" i="6"/>
  <c r="AZ298" i="6" s="1"/>
  <c r="AQ284" i="6"/>
  <c r="AZ284" i="6" s="1"/>
  <c r="AQ269" i="6"/>
  <c r="AZ269" i="6" s="1"/>
  <c r="AQ254" i="6"/>
  <c r="AZ254" i="6" s="1"/>
  <c r="AQ244" i="6"/>
  <c r="AZ244" i="6" s="1"/>
  <c r="AQ236" i="6"/>
  <c r="AZ236" i="6" s="1"/>
  <c r="AQ228" i="6"/>
  <c r="AZ228" i="6" s="1"/>
  <c r="AQ220" i="6"/>
  <c r="AZ220" i="6" s="1"/>
  <c r="AQ212" i="6"/>
  <c r="AZ212" i="6" s="1"/>
  <c r="AQ204" i="6"/>
  <c r="AZ204" i="6" s="1"/>
  <c r="AQ195" i="6"/>
  <c r="AZ195" i="6" s="1"/>
  <c r="AQ332" i="6"/>
  <c r="AZ332" i="6" s="1"/>
  <c r="AQ324" i="6"/>
  <c r="AZ324" i="6" s="1"/>
  <c r="AQ316" i="6"/>
  <c r="AZ316" i="6" s="1"/>
  <c r="AQ308" i="6"/>
  <c r="AZ308" i="6" s="1"/>
  <c r="AQ350" i="6"/>
  <c r="AZ350" i="6" s="1"/>
  <c r="AQ342" i="6"/>
  <c r="AZ342" i="6" s="1"/>
  <c r="AQ470" i="6"/>
  <c r="AQ448" i="6"/>
  <c r="AQ411" i="6"/>
  <c r="AZ411" i="6" s="1"/>
  <c r="AQ376" i="6"/>
  <c r="AZ376" i="6" s="1"/>
  <c r="AQ447" i="6"/>
  <c r="AQ419" i="6"/>
  <c r="AZ419" i="6" s="1"/>
  <c r="AQ391" i="6"/>
  <c r="AZ391" i="6" s="1"/>
  <c r="AQ363" i="6"/>
  <c r="AZ363" i="6" s="1"/>
  <c r="AQ454" i="6"/>
  <c r="AQ438" i="6"/>
  <c r="AZ438" i="6" s="1"/>
  <c r="AQ422" i="6"/>
  <c r="AZ422" i="6" s="1"/>
  <c r="AQ406" i="6"/>
  <c r="AZ406" i="6" s="1"/>
  <c r="AQ390" i="6"/>
  <c r="AZ390" i="6" s="1"/>
  <c r="AQ374" i="6"/>
  <c r="AZ374" i="6" s="1"/>
  <c r="AQ358" i="6"/>
  <c r="AZ358" i="6" s="1"/>
  <c r="AQ180" i="6"/>
  <c r="AZ180" i="6" s="1"/>
  <c r="AQ162" i="6"/>
  <c r="AZ162" i="6" s="1"/>
  <c r="AQ190" i="6"/>
  <c r="AZ190" i="6" s="1"/>
  <c r="AQ176" i="6"/>
  <c r="AZ176" i="6" s="1"/>
  <c r="AQ161" i="6"/>
  <c r="AZ161" i="6" s="1"/>
  <c r="AQ150" i="6"/>
  <c r="AZ150" i="6" s="1"/>
  <c r="AQ138" i="6"/>
  <c r="AZ138" i="6" s="1"/>
  <c r="AQ121" i="6"/>
  <c r="AZ121" i="6" s="1"/>
  <c r="AQ106" i="6"/>
  <c r="AZ106" i="6" s="1"/>
  <c r="AQ90" i="6"/>
  <c r="AZ90" i="6" s="1"/>
  <c r="AQ75" i="6"/>
  <c r="AZ75" i="6" s="1"/>
  <c r="AQ57" i="6"/>
  <c r="AZ57" i="6" s="1"/>
  <c r="AZ38" i="6"/>
  <c r="AZ22" i="6"/>
  <c r="AQ296" i="6"/>
  <c r="AZ296" i="6" s="1"/>
  <c r="AQ279" i="6"/>
  <c r="AZ279" i="6" s="1"/>
  <c r="AQ261" i="6"/>
  <c r="AZ261" i="6" s="1"/>
  <c r="AQ134" i="6"/>
  <c r="AZ134" i="6" s="1"/>
  <c r="AQ119" i="6"/>
  <c r="AZ119" i="6" s="1"/>
  <c r="AQ103" i="6"/>
  <c r="AZ103" i="6" s="1"/>
  <c r="AQ86" i="6"/>
  <c r="AZ86" i="6" s="1"/>
  <c r="AQ70" i="6"/>
  <c r="AZ70" i="6" s="1"/>
  <c r="AQ56" i="6"/>
  <c r="AZ56" i="6" s="1"/>
  <c r="AZ42" i="6"/>
  <c r="AQ274" i="6"/>
  <c r="AZ274" i="6" s="1"/>
  <c r="AQ231" i="6"/>
  <c r="AZ231" i="6" s="1"/>
  <c r="AQ199" i="6"/>
  <c r="AZ199" i="6" s="1"/>
  <c r="AQ311" i="6"/>
  <c r="AZ311" i="6" s="1"/>
  <c r="AQ463" i="6"/>
  <c r="AQ428" i="6"/>
  <c r="AZ428" i="6" s="1"/>
  <c r="AQ445" i="6"/>
  <c r="AQ381" i="6"/>
  <c r="AZ381" i="6" s="1"/>
  <c r="AQ158" i="6"/>
  <c r="AZ158" i="6" s="1"/>
  <c r="AQ149" i="6"/>
  <c r="AZ149" i="6" s="1"/>
  <c r="AQ89" i="6"/>
  <c r="AZ89" i="6" s="1"/>
  <c r="AZ21" i="6"/>
  <c r="AQ132" i="6"/>
  <c r="AZ132" i="6" s="1"/>
  <c r="AQ69" i="6"/>
  <c r="AZ69" i="6" s="1"/>
  <c r="AQ303" i="6"/>
  <c r="AZ303" i="6" s="1"/>
  <c r="AQ247" i="6"/>
  <c r="AZ247" i="6" s="1"/>
  <c r="AQ214" i="6"/>
  <c r="AZ214" i="6" s="1"/>
  <c r="AQ326" i="6"/>
  <c r="AZ326" i="6" s="1"/>
  <c r="AQ344" i="6"/>
  <c r="AZ344" i="6" s="1"/>
  <c r="AQ384" i="6"/>
  <c r="AZ384" i="6" s="1"/>
  <c r="AQ205" i="6"/>
  <c r="AZ205" i="6" s="1"/>
  <c r="AQ229" i="6"/>
  <c r="AZ229" i="6" s="1"/>
  <c r="AQ245" i="6"/>
  <c r="AZ245" i="6" s="1"/>
  <c r="AQ255" i="6"/>
  <c r="AZ255" i="6" s="1"/>
  <c r="AQ286" i="6"/>
  <c r="AZ286" i="6" s="1"/>
  <c r="AZ23" i="6"/>
  <c r="AQ52" i="6"/>
  <c r="AZ52" i="6" s="1"/>
  <c r="AQ83" i="6"/>
  <c r="AZ83" i="6" s="1"/>
  <c r="AQ115" i="6"/>
  <c r="AZ115" i="6" s="1"/>
  <c r="AQ275" i="6"/>
  <c r="AZ275" i="6" s="1"/>
  <c r="AZ18" i="6"/>
  <c r="AQ53" i="6"/>
  <c r="AZ53" i="6" s="1"/>
  <c r="AQ87" i="6"/>
  <c r="AZ87" i="6" s="1"/>
  <c r="AQ102" i="6"/>
  <c r="AZ102" i="6" s="1"/>
  <c r="AQ148" i="6"/>
  <c r="AZ148" i="6" s="1"/>
  <c r="AQ171" i="6"/>
  <c r="AZ171" i="6" s="1"/>
  <c r="AQ157" i="6"/>
  <c r="AZ157" i="6" s="1"/>
  <c r="AQ306" i="6"/>
  <c r="AZ306" i="6" s="1"/>
  <c r="AQ370" i="6"/>
  <c r="AZ370" i="6" s="1"/>
  <c r="AQ418" i="6"/>
  <c r="AZ418" i="6" s="1"/>
  <c r="AQ434" i="6"/>
  <c r="AZ434" i="6" s="1"/>
  <c r="AQ383" i="6"/>
  <c r="AZ383" i="6" s="1"/>
  <c r="AQ412" i="6"/>
  <c r="AZ412" i="6" s="1"/>
  <c r="AQ367" i="6"/>
  <c r="AZ367" i="6" s="1"/>
  <c r="AQ440" i="6"/>
  <c r="AZ440" i="6" s="1"/>
  <c r="AQ340" i="6"/>
  <c r="AZ340" i="6" s="1"/>
  <c r="AQ356" i="6"/>
  <c r="AZ356" i="6" s="1"/>
  <c r="AQ322" i="6"/>
  <c r="AZ322" i="6" s="1"/>
  <c r="AQ193" i="6"/>
  <c r="AZ193" i="6" s="1"/>
  <c r="AQ218" i="6"/>
  <c r="AZ218" i="6" s="1"/>
  <c r="AQ226" i="6"/>
  <c r="AZ226" i="6" s="1"/>
  <c r="AQ251" i="6"/>
  <c r="AZ251" i="6" s="1"/>
  <c r="AQ280" i="6"/>
  <c r="AZ280" i="6" s="1"/>
  <c r="AZ17" i="6"/>
  <c r="AZ48" i="6"/>
  <c r="AQ77" i="6"/>
  <c r="AZ77" i="6" s="1"/>
  <c r="AQ110" i="6"/>
  <c r="AZ110" i="6" s="1"/>
  <c r="AQ246" i="6"/>
  <c r="AZ246" i="6" s="1"/>
  <c r="AQ285" i="6"/>
  <c r="AZ285" i="6" s="1"/>
  <c r="AZ29" i="6"/>
  <c r="AQ63" i="6"/>
  <c r="AZ63" i="6" s="1"/>
  <c r="AQ97" i="6"/>
  <c r="AZ97" i="6" s="1"/>
  <c r="AQ129" i="6"/>
  <c r="AZ129" i="6" s="1"/>
  <c r="AQ154" i="6"/>
  <c r="AZ154" i="6" s="1"/>
  <c r="AQ181" i="6"/>
  <c r="AZ181" i="6" s="1"/>
  <c r="AQ167" i="6"/>
  <c r="AZ167" i="6" s="1"/>
  <c r="AQ357" i="6"/>
  <c r="AZ357" i="6" s="1"/>
  <c r="AQ373" i="6"/>
  <c r="AZ373" i="6" s="1"/>
  <c r="AQ405" i="6"/>
  <c r="AZ405" i="6" s="1"/>
  <c r="AQ437" i="6"/>
  <c r="AZ437" i="6" s="1"/>
  <c r="AQ359" i="6"/>
  <c r="AZ359" i="6" s="1"/>
  <c r="AQ415" i="6"/>
  <c r="AZ415" i="6" s="1"/>
  <c r="AQ408" i="6"/>
  <c r="AZ408" i="6" s="1"/>
  <c r="AQ443" i="6"/>
  <c r="AQ341" i="6"/>
  <c r="AZ341" i="6" s="1"/>
  <c r="AQ307" i="6"/>
  <c r="AZ307" i="6" s="1"/>
  <c r="AQ323" i="6"/>
  <c r="AZ323" i="6" s="1"/>
  <c r="AQ203" i="6"/>
  <c r="AZ203" i="6" s="1"/>
  <c r="AQ219" i="6"/>
  <c r="AZ219" i="6" s="1"/>
  <c r="AQ235" i="6"/>
  <c r="AZ235" i="6" s="1"/>
  <c r="AQ243" i="6"/>
  <c r="AZ243" i="6" s="1"/>
  <c r="AQ267" i="6"/>
  <c r="AZ267" i="6" s="1"/>
  <c r="AQ297" i="6"/>
  <c r="AZ297" i="6" s="1"/>
  <c r="AZ34" i="6"/>
  <c r="AQ136" i="6"/>
  <c r="AZ136" i="6" s="1"/>
  <c r="AQ369" i="6"/>
  <c r="AZ369" i="6" s="1"/>
  <c r="AQ385" i="6"/>
  <c r="AZ385" i="6" s="1"/>
  <c r="AQ401" i="6"/>
  <c r="AZ401" i="6" s="1"/>
  <c r="AQ417" i="6"/>
  <c r="AZ417" i="6" s="1"/>
  <c r="AQ433" i="6"/>
  <c r="AZ433" i="6" s="1"/>
  <c r="AQ449" i="6"/>
  <c r="AQ465" i="6"/>
  <c r="AQ380" i="6"/>
  <c r="AZ380" i="6" s="1"/>
  <c r="AQ407" i="6"/>
  <c r="AZ407" i="6" s="1"/>
  <c r="AQ436" i="6"/>
  <c r="AZ436" i="6" s="1"/>
  <c r="AQ360" i="6"/>
  <c r="AZ360" i="6" s="1"/>
  <c r="AQ399" i="6"/>
  <c r="AZ399" i="6" s="1"/>
  <c r="AQ432" i="6"/>
  <c r="AZ432" i="6" s="1"/>
  <c r="AQ467" i="6"/>
  <c r="AQ339" i="6"/>
  <c r="AZ339" i="6" s="1"/>
  <c r="AQ347" i="6"/>
  <c r="AZ347" i="6" s="1"/>
  <c r="AQ355" i="6"/>
  <c r="AZ355" i="6" s="1"/>
  <c r="AQ313" i="6"/>
  <c r="AZ313" i="6" s="1"/>
  <c r="AQ321" i="6"/>
  <c r="AZ321" i="6" s="1"/>
  <c r="AQ329" i="6"/>
  <c r="AZ329" i="6" s="1"/>
  <c r="AQ192" i="6"/>
  <c r="AZ192" i="6" s="1"/>
  <c r="AQ201" i="6"/>
  <c r="AZ201" i="6" s="1"/>
  <c r="AQ209" i="6"/>
  <c r="AZ209" i="6" s="1"/>
  <c r="AQ217" i="6"/>
  <c r="AZ217" i="6" s="1"/>
  <c r="AQ225" i="6"/>
  <c r="AZ225" i="6" s="1"/>
  <c r="AQ233" i="6"/>
  <c r="AZ233" i="6" s="1"/>
  <c r="AQ241" i="6"/>
  <c r="AZ241" i="6" s="1"/>
  <c r="AQ250" i="6"/>
  <c r="AZ250" i="6" s="1"/>
  <c r="AQ264" i="6"/>
  <c r="AZ264" i="6" s="1"/>
  <c r="AQ278" i="6"/>
  <c r="AZ278" i="6" s="1"/>
  <c r="AQ293" i="6"/>
  <c r="AZ293" i="6" s="1"/>
  <c r="AZ16" i="6"/>
  <c r="AZ31" i="6"/>
  <c r="AZ46" i="6"/>
  <c r="AQ60" i="6"/>
  <c r="AZ60" i="6" s="1"/>
  <c r="AQ74" i="6"/>
  <c r="AZ74" i="6" s="1"/>
  <c r="AQ91" i="6"/>
  <c r="AZ91" i="6" s="1"/>
  <c r="AQ108" i="6"/>
  <c r="AZ108" i="6" s="1"/>
  <c r="AQ123" i="6"/>
  <c r="AZ123" i="6" s="1"/>
  <c r="AQ197" i="6"/>
  <c r="AZ197" i="6" s="1"/>
  <c r="AQ266" i="6"/>
  <c r="AZ266" i="6" s="1"/>
  <c r="AQ282" i="6"/>
  <c r="AZ282" i="6" s="1"/>
  <c r="AQ300" i="6"/>
  <c r="AZ300" i="6" s="1"/>
  <c r="AZ26" i="6"/>
  <c r="AZ43" i="6"/>
  <c r="AQ61" i="6"/>
  <c r="AZ61" i="6" s="1"/>
  <c r="AQ78" i="6"/>
  <c r="AZ78" i="6" s="1"/>
  <c r="AQ95" i="6"/>
  <c r="AZ95" i="6" s="1"/>
  <c r="AQ109" i="6"/>
  <c r="AZ109" i="6" s="1"/>
  <c r="AQ127" i="6"/>
  <c r="AZ127" i="6" s="1"/>
  <c r="AQ141" i="6"/>
  <c r="AZ141" i="6" s="1"/>
  <c r="AQ153" i="6"/>
  <c r="AZ153" i="6" s="1"/>
  <c r="AQ165" i="6"/>
  <c r="AZ165" i="6" s="1"/>
  <c r="AQ179" i="6"/>
  <c r="AZ179" i="6" s="1"/>
  <c r="AQ142" i="6"/>
  <c r="AZ142" i="6" s="1"/>
  <c r="AQ166" i="6"/>
  <c r="AZ166" i="6" s="1"/>
  <c r="AQ185" i="6"/>
  <c r="AZ185" i="6" s="1"/>
  <c r="AQ362" i="6"/>
  <c r="AZ362" i="6" s="1"/>
  <c r="AQ378" i="6"/>
  <c r="AZ378" i="6" s="1"/>
  <c r="AQ394" i="6"/>
  <c r="AZ394" i="6" s="1"/>
  <c r="AQ410" i="6"/>
  <c r="AZ410" i="6" s="1"/>
  <c r="AQ426" i="6"/>
  <c r="AZ426" i="6" s="1"/>
  <c r="AQ361" i="6"/>
  <c r="AZ361" i="6" s="1"/>
  <c r="AQ377" i="6"/>
  <c r="AZ377" i="6" s="1"/>
  <c r="AQ393" i="6"/>
  <c r="AZ393" i="6" s="1"/>
  <c r="AQ409" i="6"/>
  <c r="AZ409" i="6" s="1"/>
  <c r="AQ425" i="6"/>
  <c r="AZ425" i="6" s="1"/>
  <c r="AQ441" i="6"/>
  <c r="AZ441" i="6" s="1"/>
  <c r="AQ457" i="6"/>
  <c r="AQ364" i="6"/>
  <c r="AZ364" i="6" s="1"/>
  <c r="AQ395" i="6"/>
  <c r="AZ395" i="6" s="1"/>
  <c r="AQ423" i="6"/>
  <c r="AZ423" i="6" s="1"/>
  <c r="AQ451" i="6"/>
  <c r="AQ379" i="6"/>
  <c r="AZ379" i="6" s="1"/>
  <c r="AQ416" i="6"/>
  <c r="AZ416" i="6" s="1"/>
  <c r="AQ452" i="6"/>
  <c r="AQ471" i="6"/>
  <c r="AQ343" i="6"/>
  <c r="AZ343" i="6" s="1"/>
  <c r="AQ351" i="6"/>
  <c r="AZ351" i="6" s="1"/>
  <c r="AQ309" i="6"/>
  <c r="AZ309" i="6" s="1"/>
  <c r="AQ317" i="6"/>
  <c r="AZ317" i="6" s="1"/>
  <c r="AQ325" i="6"/>
  <c r="AZ325" i="6" s="1"/>
  <c r="AQ333" i="6"/>
  <c r="AZ333" i="6" s="1"/>
  <c r="AQ196" i="6"/>
  <c r="AZ196" i="6" s="1"/>
  <c r="AQ213" i="6"/>
  <c r="AZ213" i="6" s="1"/>
  <c r="AQ221" i="6"/>
  <c r="AZ221" i="6" s="1"/>
  <c r="AQ237" i="6"/>
  <c r="AZ237" i="6" s="1"/>
  <c r="AQ270" i="6"/>
  <c r="AZ270" i="6" s="1"/>
  <c r="AQ301" i="6"/>
  <c r="AZ301" i="6" s="1"/>
  <c r="AZ39" i="6"/>
  <c r="AQ67" i="6"/>
  <c r="AZ67" i="6" s="1"/>
  <c r="AQ99" i="6"/>
  <c r="AZ99" i="6" s="1"/>
  <c r="AQ130" i="6"/>
  <c r="AZ130" i="6" s="1"/>
  <c r="AQ258" i="6"/>
  <c r="AZ258" i="6" s="1"/>
  <c r="AQ292" i="6"/>
  <c r="AZ292" i="6" s="1"/>
  <c r="AZ35" i="6"/>
  <c r="AQ71" i="6"/>
  <c r="AZ71" i="6" s="1"/>
  <c r="AQ118" i="6"/>
  <c r="AZ118" i="6" s="1"/>
  <c r="AQ135" i="6"/>
  <c r="AZ135" i="6" s="1"/>
  <c r="AQ159" i="6"/>
  <c r="AZ159" i="6" s="1"/>
  <c r="AQ186" i="6"/>
  <c r="AZ186" i="6" s="1"/>
  <c r="AQ175" i="6"/>
  <c r="AZ175" i="6" s="1"/>
  <c r="AQ386" i="6"/>
  <c r="AZ386" i="6" s="1"/>
  <c r="AQ402" i="6"/>
  <c r="AZ402" i="6" s="1"/>
  <c r="AQ450" i="6"/>
  <c r="AQ466" i="6"/>
  <c r="AQ439" i="6"/>
  <c r="AZ439" i="6" s="1"/>
  <c r="AQ400" i="6"/>
  <c r="AZ400" i="6" s="1"/>
  <c r="AQ468" i="6"/>
  <c r="AQ348" i="6"/>
  <c r="AZ348" i="6" s="1"/>
  <c r="AQ314" i="6"/>
  <c r="AZ314" i="6" s="1"/>
  <c r="AQ330" i="6"/>
  <c r="AZ330" i="6" s="1"/>
  <c r="AQ202" i="6"/>
  <c r="AZ202" i="6" s="1"/>
  <c r="AQ210" i="6"/>
  <c r="AZ210" i="6" s="1"/>
  <c r="AQ234" i="6"/>
  <c r="AZ234" i="6" s="1"/>
  <c r="AQ242" i="6"/>
  <c r="AZ242" i="6" s="1"/>
  <c r="AQ265" i="6"/>
  <c r="AZ265" i="6" s="1"/>
  <c r="AQ295" i="6"/>
  <c r="AZ295" i="6" s="1"/>
  <c r="AZ32" i="6"/>
  <c r="AQ62" i="6"/>
  <c r="AZ62" i="6" s="1"/>
  <c r="AQ92" i="6"/>
  <c r="AZ92" i="6" s="1"/>
  <c r="AQ125" i="6"/>
  <c r="AZ125" i="6" s="1"/>
  <c r="AQ268" i="6"/>
  <c r="AZ268" i="6" s="1"/>
  <c r="AQ302" i="6"/>
  <c r="AZ302" i="6" s="1"/>
  <c r="AZ45" i="6"/>
  <c r="AQ80" i="6"/>
  <c r="AZ80" i="6" s="1"/>
  <c r="AQ111" i="6"/>
  <c r="AZ111" i="6" s="1"/>
  <c r="AQ143" i="6"/>
  <c r="AZ143" i="6" s="1"/>
  <c r="AQ168" i="6"/>
  <c r="AZ168" i="6" s="1"/>
  <c r="AQ145" i="6"/>
  <c r="AZ145" i="6" s="1"/>
  <c r="AQ187" i="6"/>
  <c r="AZ187" i="6" s="1"/>
  <c r="AQ389" i="6"/>
  <c r="AZ389" i="6" s="1"/>
  <c r="AQ421" i="6"/>
  <c r="AZ421" i="6" s="1"/>
  <c r="AQ453" i="6"/>
  <c r="AQ387" i="6"/>
  <c r="AZ387" i="6" s="1"/>
  <c r="AQ444" i="6"/>
  <c r="AQ368" i="6"/>
  <c r="AZ368" i="6" s="1"/>
  <c r="AQ469" i="6"/>
  <c r="AQ349" i="6"/>
  <c r="AZ349" i="6" s="1"/>
  <c r="AQ315" i="6"/>
  <c r="AZ315" i="6" s="1"/>
  <c r="AQ331" i="6"/>
  <c r="AZ331" i="6" s="1"/>
  <c r="AQ194" i="6"/>
  <c r="AZ194" i="6" s="1"/>
  <c r="AQ211" i="6"/>
  <c r="AZ211" i="6" s="1"/>
  <c r="AQ227" i="6"/>
  <c r="AZ227" i="6" s="1"/>
  <c r="AQ253" i="6"/>
  <c r="AZ253" i="6" s="1"/>
  <c r="AQ283" i="6"/>
  <c r="AZ283" i="6" s="1"/>
  <c r="AZ19" i="6"/>
  <c r="AQ174" i="6"/>
  <c r="AZ174" i="6" s="1"/>
  <c r="AQ184" i="6"/>
  <c r="AZ184" i="6" s="1"/>
  <c r="AQ156" i="6"/>
  <c r="AZ156" i="6" s="1"/>
  <c r="AQ133" i="6"/>
  <c r="AZ133" i="6" s="1"/>
  <c r="AQ101" i="6"/>
  <c r="AZ101" i="6" s="1"/>
  <c r="AQ68" i="6"/>
  <c r="AZ68" i="6" s="1"/>
  <c r="AZ33" i="6"/>
  <c r="AQ289" i="6"/>
  <c r="AZ289" i="6" s="1"/>
  <c r="AQ256" i="6"/>
  <c r="AZ256" i="6" s="1"/>
  <c r="AQ105" i="6"/>
  <c r="AZ105" i="6" s="1"/>
  <c r="AQ73" i="6"/>
  <c r="AZ73" i="6" s="1"/>
  <c r="AZ44" i="6"/>
  <c r="AQ291" i="6"/>
  <c r="AZ291" i="6" s="1"/>
  <c r="AQ262" i="6"/>
  <c r="AZ262" i="6" s="1"/>
  <c r="AQ240" i="6"/>
  <c r="AZ240" i="6" s="1"/>
  <c r="AQ224" i="6"/>
  <c r="AZ224" i="6" s="1"/>
  <c r="AQ208" i="6"/>
  <c r="AZ208" i="6" s="1"/>
  <c r="AQ191" i="6"/>
  <c r="AZ191" i="6" s="1"/>
  <c r="AQ320" i="6"/>
  <c r="AZ320" i="6" s="1"/>
  <c r="AQ354" i="6"/>
  <c r="AZ354" i="6" s="1"/>
  <c r="AQ338" i="6"/>
  <c r="AZ338" i="6" s="1"/>
  <c r="AQ431" i="6"/>
  <c r="AZ431" i="6" s="1"/>
  <c r="AQ460" i="6"/>
  <c r="AQ404" i="6"/>
  <c r="AZ404" i="6" s="1"/>
  <c r="AQ462" i="6"/>
  <c r="AQ430" i="6"/>
  <c r="AZ430" i="6" s="1"/>
  <c r="AQ398" i="6"/>
  <c r="AZ398" i="6" s="1"/>
  <c r="AQ366" i="6"/>
  <c r="AZ366" i="6" s="1"/>
  <c r="AQ172" i="6"/>
  <c r="AZ172" i="6" s="1"/>
  <c r="AQ182" i="6"/>
  <c r="AZ182" i="6" s="1"/>
  <c r="AQ155" i="6"/>
  <c r="AZ155" i="6" s="1"/>
  <c r="AQ113" i="6"/>
  <c r="AZ113" i="6" s="1"/>
  <c r="AQ82" i="6"/>
  <c r="AZ82" i="6" s="1"/>
  <c r="AZ47" i="6"/>
  <c r="AQ305" i="6"/>
  <c r="AZ305" i="6" s="1"/>
  <c r="AQ271" i="6"/>
  <c r="AZ271" i="6" s="1"/>
  <c r="AQ126" i="6"/>
  <c r="AZ126" i="6" s="1"/>
  <c r="AQ112" i="6"/>
  <c r="AZ112" i="6" s="1"/>
  <c r="AQ79" i="6"/>
  <c r="AZ79" i="6" s="1"/>
  <c r="AQ64" i="6"/>
  <c r="AZ64" i="6" s="1"/>
  <c r="AZ49" i="6"/>
  <c r="AQ304" i="6"/>
  <c r="AZ304" i="6" s="1"/>
  <c r="AQ248" i="6"/>
  <c r="AZ248" i="6" s="1"/>
  <c r="AQ215" i="6"/>
  <c r="AZ215" i="6" s="1"/>
  <c r="AQ327" i="6"/>
  <c r="AZ327" i="6" s="1"/>
  <c r="AQ345" i="6"/>
  <c r="AZ345" i="6" s="1"/>
  <c r="AQ388" i="6"/>
  <c r="AZ388" i="6" s="1"/>
  <c r="AQ372" i="6"/>
  <c r="AZ372" i="6" s="1"/>
  <c r="AQ413" i="6"/>
  <c r="AZ413" i="6" s="1"/>
  <c r="AZ28" i="6"/>
  <c r="AQ173" i="6"/>
  <c r="AZ173" i="6" s="1"/>
  <c r="AQ120" i="6"/>
  <c r="AZ120" i="6" s="1"/>
  <c r="AQ54" i="6"/>
  <c r="AZ54" i="6" s="1"/>
  <c r="AQ276" i="6"/>
  <c r="AZ276" i="6" s="1"/>
  <c r="AQ100" i="6"/>
  <c r="AZ100" i="6" s="1"/>
  <c r="AZ40" i="6"/>
  <c r="AQ273" i="6"/>
  <c r="AZ273" i="6" s="1"/>
  <c r="AQ230" i="6"/>
  <c r="AZ230" i="6" s="1"/>
  <c r="AQ198" i="6"/>
  <c r="AZ198" i="6" s="1"/>
  <c r="AQ310" i="6"/>
  <c r="AZ310" i="6" s="1"/>
  <c r="AQ456" i="6"/>
  <c r="AQ427" i="6"/>
  <c r="AZ427" i="6" s="1"/>
  <c r="AQ442" i="6"/>
  <c r="AZ442" i="6" s="1"/>
  <c r="AU66" i="6"/>
  <c r="AU98" i="6"/>
  <c r="AT152" i="6"/>
  <c r="AW186" i="6"/>
  <c r="AU237" i="6"/>
  <c r="AT213" i="6"/>
  <c r="AS77" i="6"/>
  <c r="AV213" i="6"/>
  <c r="AV202" i="6"/>
  <c r="AX246" i="6"/>
  <c r="AX98" i="6"/>
  <c r="AU77" i="6"/>
  <c r="AX111" i="6"/>
  <c r="AU194" i="6"/>
  <c r="AS245" i="6"/>
  <c r="AW144" i="6"/>
  <c r="AX202" i="6"/>
  <c r="AX79" i="6"/>
  <c r="AU130" i="6"/>
  <c r="AX175" i="6"/>
  <c r="AW202" i="6"/>
  <c r="AV295" i="6"/>
  <c r="AU331" i="6"/>
  <c r="AT367" i="6"/>
  <c r="AT245" i="6"/>
  <c r="AX67" i="6"/>
  <c r="AU193" i="6"/>
  <c r="AT377" i="6"/>
  <c r="AU305" i="6"/>
  <c r="AX143" i="6"/>
  <c r="AT280" i="6"/>
  <c r="AW224" i="6"/>
  <c r="AV258" i="6"/>
  <c r="AV52" i="6"/>
  <c r="AU111" i="6"/>
  <c r="AU175" i="6"/>
  <c r="AW66" i="6"/>
  <c r="AU366" i="6"/>
  <c r="AX196" i="6"/>
  <c r="AV338" i="6"/>
  <c r="AX331" i="6"/>
  <c r="AV122" i="6"/>
  <c r="AV163" i="6"/>
  <c r="AU163" i="6"/>
  <c r="AW139" i="6"/>
  <c r="AV139" i="6"/>
  <c r="AT139" i="6"/>
  <c r="AU124" i="6"/>
  <c r="AT124" i="6"/>
  <c r="AS114" i="6"/>
  <c r="AX114" i="6"/>
  <c r="AT114" i="6"/>
  <c r="AU96" i="6"/>
  <c r="AS96" i="6"/>
  <c r="AT298" i="6"/>
  <c r="AS298" i="6"/>
  <c r="AV269" i="6"/>
  <c r="AW269" i="6"/>
  <c r="AU254" i="6"/>
  <c r="AV254" i="6"/>
  <c r="AV220" i="6"/>
  <c r="AU220" i="6"/>
  <c r="AT308" i="6"/>
  <c r="AU308" i="6"/>
  <c r="AV376" i="6"/>
  <c r="AU376" i="6"/>
  <c r="AS376" i="6"/>
  <c r="AU190" i="6"/>
  <c r="AX190" i="6"/>
  <c r="AS106" i="6"/>
  <c r="AT106" i="6"/>
  <c r="AT57" i="6"/>
  <c r="AW57" i="6"/>
  <c r="AT103" i="6"/>
  <c r="AU103" i="6"/>
  <c r="AW103" i="6"/>
  <c r="AW70" i="6"/>
  <c r="AS70" i="6"/>
  <c r="AV70" i="6"/>
  <c r="AT290" i="6"/>
  <c r="AU290" i="6"/>
  <c r="AW290" i="6"/>
  <c r="AX231" i="6"/>
  <c r="AU231" i="6"/>
  <c r="AS345" i="6"/>
  <c r="AX345" i="6"/>
  <c r="AS372" i="6"/>
  <c r="AU372" i="6"/>
  <c r="AT85" i="6"/>
  <c r="AV85" i="6"/>
  <c r="AX85" i="6"/>
  <c r="AT55" i="6"/>
  <c r="AX55" i="6"/>
  <c r="AS55" i="6"/>
  <c r="AS326" i="6"/>
  <c r="AT326" i="6"/>
  <c r="AT318" i="6"/>
  <c r="AU318" i="6"/>
  <c r="AW310" i="6"/>
  <c r="AU310" i="6"/>
  <c r="AX310" i="6"/>
  <c r="AU362" i="6"/>
  <c r="AS362" i="6"/>
  <c r="AU165" i="6"/>
  <c r="AV165" i="6"/>
  <c r="AX141" i="6"/>
  <c r="AW141" i="6"/>
  <c r="AW95" i="6"/>
  <c r="AS95" i="6"/>
  <c r="AT282" i="6"/>
  <c r="AW282" i="6"/>
  <c r="AV197" i="6"/>
  <c r="AS197" i="6"/>
  <c r="AW264" i="6"/>
  <c r="AT264" i="6"/>
  <c r="AU250" i="6"/>
  <c r="AT250" i="6"/>
  <c r="AW250" i="6"/>
  <c r="AX225" i="6"/>
  <c r="AW225" i="6"/>
  <c r="AT217" i="6"/>
  <c r="AS217" i="6"/>
  <c r="AW321" i="6"/>
  <c r="AU321" i="6"/>
  <c r="AU109" i="6"/>
  <c r="AT120" i="6"/>
  <c r="AU141" i="6"/>
  <c r="AU162" i="6"/>
  <c r="AU173" i="6"/>
  <c r="AS316" i="6"/>
  <c r="AV93" i="6"/>
  <c r="AX108" i="6"/>
  <c r="AT142" i="6"/>
  <c r="AV95" i="6"/>
  <c r="AV136" i="6"/>
  <c r="AU179" i="6"/>
  <c r="AW230" i="6"/>
  <c r="AX350" i="6"/>
  <c r="AX290" i="6"/>
  <c r="AV308" i="6"/>
  <c r="AU352" i="6"/>
  <c r="AT362" i="6"/>
  <c r="AU183" i="6"/>
  <c r="AS273" i="6"/>
  <c r="AU336" i="6"/>
  <c r="AW58" i="6"/>
  <c r="AS69" i="6"/>
  <c r="AW90" i="6"/>
  <c r="AS101" i="6"/>
  <c r="AW122" i="6"/>
  <c r="AS133" i="6"/>
  <c r="AS165" i="6"/>
  <c r="AX223" i="6"/>
  <c r="AW266" i="6"/>
  <c r="AT303" i="6"/>
  <c r="AT60" i="6"/>
  <c r="AS119" i="6"/>
  <c r="AX149" i="6"/>
  <c r="AV178" i="6"/>
  <c r="AT215" i="6"/>
  <c r="AU259" i="6"/>
  <c r="AV337" i="6"/>
  <c r="AU128" i="6"/>
  <c r="AX298" i="6"/>
  <c r="AX282" i="6"/>
  <c r="AW313" i="6"/>
  <c r="AU342" i="6"/>
  <c r="AS384" i="6"/>
  <c r="AS152" i="6"/>
  <c r="AU152" i="6"/>
  <c r="AU184" i="6"/>
  <c r="AV184" i="6"/>
  <c r="AS170" i="6"/>
  <c r="AT170" i="6"/>
  <c r="AS146" i="6"/>
  <c r="AX146" i="6"/>
  <c r="AV84" i="6"/>
  <c r="AW84" i="6"/>
  <c r="AS68" i="6"/>
  <c r="AX68" i="6"/>
  <c r="AW50" i="6"/>
  <c r="AS50" i="6"/>
  <c r="AT289" i="6"/>
  <c r="AU289" i="6"/>
  <c r="AS88" i="6"/>
  <c r="AU88" i="6"/>
  <c r="AV73" i="6"/>
  <c r="AX73" i="6"/>
  <c r="AS73" i="6"/>
  <c r="AU59" i="6"/>
  <c r="AX59" i="6"/>
  <c r="AS59" i="6"/>
  <c r="AT240" i="6"/>
  <c r="AU240" i="6"/>
  <c r="AX232" i="6"/>
  <c r="AT232" i="6"/>
  <c r="AU232" i="6"/>
  <c r="AX216" i="6"/>
  <c r="AW216" i="6"/>
  <c r="AS208" i="6"/>
  <c r="AU208" i="6"/>
  <c r="AW200" i="6"/>
  <c r="AT200" i="6"/>
  <c r="AT312" i="6"/>
  <c r="AW312" i="6"/>
  <c r="AX354" i="6"/>
  <c r="AU354" i="6"/>
  <c r="AX346" i="6"/>
  <c r="AW346" i="6"/>
  <c r="AU382" i="6"/>
  <c r="AT382" i="6"/>
  <c r="AU188" i="6"/>
  <c r="AT188" i="6"/>
  <c r="AU172" i="6"/>
  <c r="AX172" i="6"/>
  <c r="AV147" i="6"/>
  <c r="AU147" i="6"/>
  <c r="AW155" i="6"/>
  <c r="AT155" i="6"/>
  <c r="AU271" i="6"/>
  <c r="AX271" i="6"/>
  <c r="AU252" i="6"/>
  <c r="AX252" i="6"/>
  <c r="AW253" i="6"/>
  <c r="AU253" i="6"/>
  <c r="AU243" i="6"/>
  <c r="AV243" i="6"/>
  <c r="AV235" i="6"/>
  <c r="AX235" i="6"/>
  <c r="AW235" i="6"/>
  <c r="AX219" i="6"/>
  <c r="AV219" i="6"/>
  <c r="AT219" i="6"/>
  <c r="AU323" i="6"/>
  <c r="AX323" i="6"/>
  <c r="AV349" i="6"/>
  <c r="AU349" i="6"/>
  <c r="AU341" i="6"/>
  <c r="AV341" i="6"/>
  <c r="AW359" i="6"/>
  <c r="AU359" i="6"/>
  <c r="AW357" i="6"/>
  <c r="AV357" i="6"/>
  <c r="AU168" i="6"/>
  <c r="AV168" i="6"/>
  <c r="AT154" i="6"/>
  <c r="AX154" i="6"/>
  <c r="AT80" i="6"/>
  <c r="AU80" i="6"/>
  <c r="AW80" i="6"/>
  <c r="AV285" i="6"/>
  <c r="AX285" i="6"/>
  <c r="AU285" i="6"/>
  <c r="AV125" i="6"/>
  <c r="AW125" i="6"/>
  <c r="AT251" i="6"/>
  <c r="AS251" i="6"/>
  <c r="AU234" i="6"/>
  <c r="AX234" i="6"/>
  <c r="AW226" i="6"/>
  <c r="AX226" i="6"/>
  <c r="AU218" i="6"/>
  <c r="AW218" i="6"/>
  <c r="AX210" i="6"/>
  <c r="AU210" i="6"/>
  <c r="AU370" i="6"/>
  <c r="AX370" i="6"/>
  <c r="AU87" i="6"/>
  <c r="AX87" i="6"/>
  <c r="AS53" i="6"/>
  <c r="AU53" i="6"/>
  <c r="AW292" i="6"/>
  <c r="AV292" i="6"/>
  <c r="AT275" i="6"/>
  <c r="AU275" i="6"/>
  <c r="AS258" i="6"/>
  <c r="AX258" i="6"/>
  <c r="AV99" i="6"/>
  <c r="AU99" i="6"/>
  <c r="AU229" i="6"/>
  <c r="AS229" i="6"/>
  <c r="AX221" i="6"/>
  <c r="AU221" i="6"/>
  <c r="AS205" i="6"/>
  <c r="AT205" i="6"/>
  <c r="AW205" i="6"/>
  <c r="AV317" i="6"/>
  <c r="AS317" i="6"/>
  <c r="AV309" i="6"/>
  <c r="AU309" i="6"/>
  <c r="AT343" i="6"/>
  <c r="AS343" i="6"/>
  <c r="AU343" i="6"/>
  <c r="AV364" i="6"/>
  <c r="AW364" i="6"/>
  <c r="AS51" i="6"/>
  <c r="AT72" i="6"/>
  <c r="AU82" i="6"/>
  <c r="AU93" i="6"/>
  <c r="AT104" i="6"/>
  <c r="AU114" i="6"/>
  <c r="AU125" i="6"/>
  <c r="AT136" i="6"/>
  <c r="AU146" i="6"/>
  <c r="AU157" i="6"/>
  <c r="AT168" i="6"/>
  <c r="AU189" i="6"/>
  <c r="AU205" i="6"/>
  <c r="AU226" i="6"/>
  <c r="AU269" i="6"/>
  <c r="AX305" i="6"/>
  <c r="AS334" i="6"/>
  <c r="AS240" i="6"/>
  <c r="AX62" i="6"/>
  <c r="AV75" i="6"/>
  <c r="AT83" i="6"/>
  <c r="AX126" i="6"/>
  <c r="AX131" i="6"/>
  <c r="AV157" i="6"/>
  <c r="AT165" i="6"/>
  <c r="AX80" i="6"/>
  <c r="AU115" i="6"/>
  <c r="AW157" i="6"/>
  <c r="AV200" i="6"/>
  <c r="AX240" i="6"/>
  <c r="AV264" i="6"/>
  <c r="AS322" i="6"/>
  <c r="AT91" i="6"/>
  <c r="AW152" i="6"/>
  <c r="AV274" i="6"/>
  <c r="AT283" i="6"/>
  <c r="AV179" i="6"/>
  <c r="AU55" i="6"/>
  <c r="AV250" i="6"/>
  <c r="AW53" i="6"/>
  <c r="AX63" i="6"/>
  <c r="AW74" i="6"/>
  <c r="AS85" i="6"/>
  <c r="AX95" i="6"/>
  <c r="AW106" i="6"/>
  <c r="AS117" i="6"/>
  <c r="AW138" i="6"/>
  <c r="AS149" i="6"/>
  <c r="AW170" i="6"/>
  <c r="AS181" i="6"/>
  <c r="AX191" i="6"/>
  <c r="AS213" i="6"/>
  <c r="AW234" i="6"/>
  <c r="AX255" i="6"/>
  <c r="AS277" i="6"/>
  <c r="AS293" i="6"/>
  <c r="AT321" i="6"/>
  <c r="AW341" i="6"/>
  <c r="AS357" i="6"/>
  <c r="AT385" i="6"/>
  <c r="AT222" i="6"/>
  <c r="AT227" i="6"/>
  <c r="AT78" i="6"/>
  <c r="AX90" i="6"/>
  <c r="AT101" i="6"/>
  <c r="AU129" i="6"/>
  <c r="AV134" i="6"/>
  <c r="AS160" i="6"/>
  <c r="AW167" i="6"/>
  <c r="AS183" i="6"/>
  <c r="AV63" i="6"/>
  <c r="AS91" i="6"/>
  <c r="AU131" i="6"/>
  <c r="AV225" i="6"/>
  <c r="AS246" i="6"/>
  <c r="AV280" i="6"/>
  <c r="AU298" i="6"/>
  <c r="AW88" i="6"/>
  <c r="AV323" i="6"/>
  <c r="AT266" i="6"/>
  <c r="AX187" i="6"/>
  <c r="AS303" i="6"/>
  <c r="AV114" i="6"/>
  <c r="AS161" i="6"/>
  <c r="AV170" i="6"/>
  <c r="AV53" i="6"/>
  <c r="AT357" i="6"/>
  <c r="AV50" i="6"/>
  <c r="AV210" i="6"/>
  <c r="AT349" i="6"/>
  <c r="AV298" i="6"/>
  <c r="AY340" i="6"/>
  <c r="AT164" i="6"/>
  <c r="AW164" i="6"/>
  <c r="AS164" i="6"/>
  <c r="AT151" i="6"/>
  <c r="AU151" i="6"/>
  <c r="AU140" i="6"/>
  <c r="AV140" i="6"/>
  <c r="AT107" i="6"/>
  <c r="AW107" i="6"/>
  <c r="AW299" i="6"/>
  <c r="AX299" i="6"/>
  <c r="AV299" i="6"/>
  <c r="AS299" i="6"/>
  <c r="AX281" i="6"/>
  <c r="AS281" i="6"/>
  <c r="AT281" i="6"/>
  <c r="AS263" i="6"/>
  <c r="AT263" i="6"/>
  <c r="AW81" i="6"/>
  <c r="AV81" i="6"/>
  <c r="AW65" i="6"/>
  <c r="AV65" i="6"/>
  <c r="AU284" i="6"/>
  <c r="AT284" i="6"/>
  <c r="AV284" i="6"/>
  <c r="AT244" i="6"/>
  <c r="AW244" i="6"/>
  <c r="AT212" i="6"/>
  <c r="AS212" i="6"/>
  <c r="AV204" i="6"/>
  <c r="AU204" i="6"/>
  <c r="AV195" i="6"/>
  <c r="AX195" i="6"/>
  <c r="AV332" i="6"/>
  <c r="AX332" i="6"/>
  <c r="AX324" i="6"/>
  <c r="AV324" i="6"/>
  <c r="AT324" i="6"/>
  <c r="AX316" i="6"/>
  <c r="AT316" i="6"/>
  <c r="AS308" i="6"/>
  <c r="AX308" i="6"/>
  <c r="AY342" i="6"/>
  <c r="BA342" i="6" s="1"/>
  <c r="AU411" i="6"/>
  <c r="AS411" i="6"/>
  <c r="AY411" i="6" s="1"/>
  <c r="AW411" i="6"/>
  <c r="AV411" i="6"/>
  <c r="AT411" i="6"/>
  <c r="AX411" i="6"/>
  <c r="AU419" i="6"/>
  <c r="AS419" i="6"/>
  <c r="AY419" i="6" s="1"/>
  <c r="AW419" i="6"/>
  <c r="AV419" i="6"/>
  <c r="AT419" i="6"/>
  <c r="AX419" i="6"/>
  <c r="AU391" i="6"/>
  <c r="AS391" i="6"/>
  <c r="AY391" i="6" s="1"/>
  <c r="AW391" i="6"/>
  <c r="AV391" i="6"/>
  <c r="AT391" i="6"/>
  <c r="AX391" i="6"/>
  <c r="AV363" i="6"/>
  <c r="AX363" i="6"/>
  <c r="AU438" i="6"/>
  <c r="AS438" i="6"/>
  <c r="AY438" i="6" s="1"/>
  <c r="BA438" i="6" s="1"/>
  <c r="AW438" i="6"/>
  <c r="AV438" i="6"/>
  <c r="AT438" i="6"/>
  <c r="AX438" i="6"/>
  <c r="AU422" i="6"/>
  <c r="AS422" i="6"/>
  <c r="AY422" i="6" s="1"/>
  <c r="AW422" i="6"/>
  <c r="AV422" i="6"/>
  <c r="AT422" i="6"/>
  <c r="AX422" i="6"/>
  <c r="AU406" i="6"/>
  <c r="AS406" i="6"/>
  <c r="AY406" i="6" s="1"/>
  <c r="AW406" i="6"/>
  <c r="AV406" i="6"/>
  <c r="AT406" i="6"/>
  <c r="AX406" i="6"/>
  <c r="AU390" i="6"/>
  <c r="AS390" i="6"/>
  <c r="AY390" i="6" s="1"/>
  <c r="AW390" i="6"/>
  <c r="AV390" i="6"/>
  <c r="AT390" i="6"/>
  <c r="AX390" i="6"/>
  <c r="AU374" i="6"/>
  <c r="AW374" i="6"/>
  <c r="AU358" i="6"/>
  <c r="AW358" i="6"/>
  <c r="AT180" i="6"/>
  <c r="AW180" i="6"/>
  <c r="AX180" i="6"/>
  <c r="AS180" i="6"/>
  <c r="AX121" i="6"/>
  <c r="AT121" i="6"/>
  <c r="AS296" i="6"/>
  <c r="AW296" i="6"/>
  <c r="AV296" i="6"/>
  <c r="AT279" i="6"/>
  <c r="AW279" i="6"/>
  <c r="AX261" i="6"/>
  <c r="AT261" i="6"/>
  <c r="AW56" i="6"/>
  <c r="AS56" i="6"/>
  <c r="AU304" i="6"/>
  <c r="AW304" i="6"/>
  <c r="AS304" i="6"/>
  <c r="AX304" i="6"/>
  <c r="AX274" i="6"/>
  <c r="AS274" i="6"/>
  <c r="AT274" i="6"/>
  <c r="AT260" i="6"/>
  <c r="AW260" i="6"/>
  <c r="AS260" i="6"/>
  <c r="AW248" i="6"/>
  <c r="AS248" i="6"/>
  <c r="AW239" i="6"/>
  <c r="AS239" i="6"/>
  <c r="AV239" i="6"/>
  <c r="AW207" i="6"/>
  <c r="AS207" i="6"/>
  <c r="AT199" i="6"/>
  <c r="AU199" i="6"/>
  <c r="AW335" i="6"/>
  <c r="AS335" i="6"/>
  <c r="AW327" i="6"/>
  <c r="AX327" i="6"/>
  <c r="AW319" i="6"/>
  <c r="AU319" i="6"/>
  <c r="AS319" i="6"/>
  <c r="AU311" i="6"/>
  <c r="AW311" i="6"/>
  <c r="AU353" i="6"/>
  <c r="AW353" i="6"/>
  <c r="AU424" i="6"/>
  <c r="AS424" i="6"/>
  <c r="AY424" i="6" s="1"/>
  <c r="AW424" i="6"/>
  <c r="AT424" i="6"/>
  <c r="AX424" i="6"/>
  <c r="AV424" i="6"/>
  <c r="AU388" i="6"/>
  <c r="AS388" i="6"/>
  <c r="AY388" i="6" s="1"/>
  <c r="AW388" i="6"/>
  <c r="AX388" i="6"/>
  <c r="AT388" i="6"/>
  <c r="AV388" i="6"/>
  <c r="AU428" i="6"/>
  <c r="AS428" i="6"/>
  <c r="AY428" i="6" s="1"/>
  <c r="AW428" i="6"/>
  <c r="AX428" i="6"/>
  <c r="AT428" i="6"/>
  <c r="AV428" i="6"/>
  <c r="AU403" i="6"/>
  <c r="AS403" i="6"/>
  <c r="AY403" i="6" s="1"/>
  <c r="AW403" i="6"/>
  <c r="AV403" i="6"/>
  <c r="AT403" i="6"/>
  <c r="AX403" i="6"/>
  <c r="AT372" i="6"/>
  <c r="AW372" i="6"/>
  <c r="AU429" i="6"/>
  <c r="AS429" i="6"/>
  <c r="AY429" i="6" s="1"/>
  <c r="AW429" i="6"/>
  <c r="AV429" i="6"/>
  <c r="AX429" i="6"/>
  <c r="AT429" i="6"/>
  <c r="AU413" i="6"/>
  <c r="AS413" i="6"/>
  <c r="AY413" i="6" s="1"/>
  <c r="AW413" i="6"/>
  <c r="AV413" i="6"/>
  <c r="AX413" i="6"/>
  <c r="AT413" i="6"/>
  <c r="AU397" i="6"/>
  <c r="AS397" i="6"/>
  <c r="AY397" i="6" s="1"/>
  <c r="AW397" i="6"/>
  <c r="AV397" i="6"/>
  <c r="AT397" i="6"/>
  <c r="AX397" i="6"/>
  <c r="AX381" i="6"/>
  <c r="AS381" i="6"/>
  <c r="AS365" i="6"/>
  <c r="AX365" i="6"/>
  <c r="AS178" i="6"/>
  <c r="AX178" i="6"/>
  <c r="AX189" i="6"/>
  <c r="AT189" i="6"/>
  <c r="AX173" i="6"/>
  <c r="AT173" i="6"/>
  <c r="AX137" i="6"/>
  <c r="AT137" i="6"/>
  <c r="AW120" i="6"/>
  <c r="AS120" i="6"/>
  <c r="AW104" i="6"/>
  <c r="AS104" i="6"/>
  <c r="AU294" i="6"/>
  <c r="AS294" i="6"/>
  <c r="AW276" i="6"/>
  <c r="AX276" i="6"/>
  <c r="AS276" i="6"/>
  <c r="AW132" i="6"/>
  <c r="AS132" i="6"/>
  <c r="AT100" i="6"/>
  <c r="AW100" i="6"/>
  <c r="AS100" i="6"/>
  <c r="AW287" i="6"/>
  <c r="AS287" i="6"/>
  <c r="AW257" i="6"/>
  <c r="AV257" i="6"/>
  <c r="AX247" i="6"/>
  <c r="AT247" i="6"/>
  <c r="AW214" i="6"/>
  <c r="AS214" i="6"/>
  <c r="AU206" i="6"/>
  <c r="AT206" i="6"/>
  <c r="AW198" i="6"/>
  <c r="AV198" i="6"/>
  <c r="AW344" i="6"/>
  <c r="AV344" i="6"/>
  <c r="AS344" i="6"/>
  <c r="AU344" i="6"/>
  <c r="AW336" i="6"/>
  <c r="AX336" i="6"/>
  <c r="AS336" i="6"/>
  <c r="AT336" i="6"/>
  <c r="AU420" i="6"/>
  <c r="AS420" i="6"/>
  <c r="AY420" i="6" s="1"/>
  <c r="AW420" i="6"/>
  <c r="AX420" i="6"/>
  <c r="AT420" i="6"/>
  <c r="AV420" i="6"/>
  <c r="AU427" i="6"/>
  <c r="AS427" i="6"/>
  <c r="AY427" i="6" s="1"/>
  <c r="AW427" i="6"/>
  <c r="AV427" i="6"/>
  <c r="AT427" i="6"/>
  <c r="AX427" i="6"/>
  <c r="AU396" i="6"/>
  <c r="AS396" i="6"/>
  <c r="AY396" i="6" s="1"/>
  <c r="AW396" i="6"/>
  <c r="AX396" i="6"/>
  <c r="AT396" i="6"/>
  <c r="AV396" i="6"/>
  <c r="AT371" i="6"/>
  <c r="AV371" i="6"/>
  <c r="AU442" i="6"/>
  <c r="AS442" i="6"/>
  <c r="AY442" i="6" s="1"/>
  <c r="AW442" i="6"/>
  <c r="AV442" i="6"/>
  <c r="AT442" i="6"/>
  <c r="AX442" i="6"/>
  <c r="AU426" i="6"/>
  <c r="AS426" i="6"/>
  <c r="AY426" i="6" s="1"/>
  <c r="AW426" i="6"/>
  <c r="AV426" i="6"/>
  <c r="AT426" i="6"/>
  <c r="AX426" i="6"/>
  <c r="AU410" i="6"/>
  <c r="AS410" i="6"/>
  <c r="AY410" i="6" s="1"/>
  <c r="AW410" i="6"/>
  <c r="AV410" i="6"/>
  <c r="AT410" i="6"/>
  <c r="AX410" i="6"/>
  <c r="AU394" i="6"/>
  <c r="AS394" i="6"/>
  <c r="AY394" i="6" s="1"/>
  <c r="AW394" i="6"/>
  <c r="AV394" i="6"/>
  <c r="AT394" i="6"/>
  <c r="AX394" i="6"/>
  <c r="AT378" i="6"/>
  <c r="AU378" i="6"/>
  <c r="AX185" i="6"/>
  <c r="AT185" i="6"/>
  <c r="AX153" i="6"/>
  <c r="AT153" i="6"/>
  <c r="AW127" i="6"/>
  <c r="AV127" i="6"/>
  <c r="AS127" i="6"/>
  <c r="AX109" i="6"/>
  <c r="AT109" i="6"/>
  <c r="AX61" i="6"/>
  <c r="AT61" i="6"/>
  <c r="AV300" i="6"/>
  <c r="AT300" i="6"/>
  <c r="AT123" i="6"/>
  <c r="AW123" i="6"/>
  <c r="AX278" i="6"/>
  <c r="AW278" i="6"/>
  <c r="AW209" i="6"/>
  <c r="AV209" i="6"/>
  <c r="AX201" i="6"/>
  <c r="AU201" i="6"/>
  <c r="AT201" i="6"/>
  <c r="AS201" i="6"/>
  <c r="AS313" i="6"/>
  <c r="AT313" i="6"/>
  <c r="AU313" i="6"/>
  <c r="AS347" i="6"/>
  <c r="AV347" i="6"/>
  <c r="AT339" i="6"/>
  <c r="AU339" i="6"/>
  <c r="AU432" i="6"/>
  <c r="AS432" i="6"/>
  <c r="AY432" i="6" s="1"/>
  <c r="AW432" i="6"/>
  <c r="AT432" i="6"/>
  <c r="AX432" i="6"/>
  <c r="AV432" i="6"/>
  <c r="AU399" i="6"/>
  <c r="AS399" i="6"/>
  <c r="AY399" i="6" s="1"/>
  <c r="AW399" i="6"/>
  <c r="AV399" i="6"/>
  <c r="AT399" i="6"/>
  <c r="AX399" i="6"/>
  <c r="AW360" i="6"/>
  <c r="AS360" i="6"/>
  <c r="AU436" i="6"/>
  <c r="AS436" i="6"/>
  <c r="AY436" i="6" s="1"/>
  <c r="AW436" i="6"/>
  <c r="AX436" i="6"/>
  <c r="AT436" i="6"/>
  <c r="AV436" i="6"/>
  <c r="AU407" i="6"/>
  <c r="AS407" i="6"/>
  <c r="AY407" i="6" s="1"/>
  <c r="AW407" i="6"/>
  <c r="AV407" i="6"/>
  <c r="AT407" i="6"/>
  <c r="AX407" i="6"/>
  <c r="AX380" i="6"/>
  <c r="AU380" i="6"/>
  <c r="AU433" i="6"/>
  <c r="AS433" i="6"/>
  <c r="AY433" i="6" s="1"/>
  <c r="AW433" i="6"/>
  <c r="AV433" i="6"/>
  <c r="AX433" i="6"/>
  <c r="AT433" i="6"/>
  <c r="AU417" i="6"/>
  <c r="AS417" i="6"/>
  <c r="AY417" i="6" s="1"/>
  <c r="AW417" i="6"/>
  <c r="AV417" i="6"/>
  <c r="AX417" i="6"/>
  <c r="AT417" i="6"/>
  <c r="AU401" i="6"/>
  <c r="AS401" i="6"/>
  <c r="AY401" i="6" s="1"/>
  <c r="AW401" i="6"/>
  <c r="AV401" i="6"/>
  <c r="AT401" i="6"/>
  <c r="AX401" i="6"/>
  <c r="AU385" i="6"/>
  <c r="AW385" i="6"/>
  <c r="AV385" i="6"/>
  <c r="AW369" i="6"/>
  <c r="AS369" i="6"/>
  <c r="AW51" i="6"/>
  <c r="AT54" i="6"/>
  <c r="AX56" i="6"/>
  <c r="AS62" i="6"/>
  <c r="AV64" i="6"/>
  <c r="AS67" i="6"/>
  <c r="AW69" i="6"/>
  <c r="AX72" i="6"/>
  <c r="AU75" i="6"/>
  <c r="AS78" i="6"/>
  <c r="AV80" i="6"/>
  <c r="AS83" i="6"/>
  <c r="AW85" i="6"/>
  <c r="AX88" i="6"/>
  <c r="AU91" i="6"/>
  <c r="AS94" i="6"/>
  <c r="AV96" i="6"/>
  <c r="AS99" i="6"/>
  <c r="AW101" i="6"/>
  <c r="AX104" i="6"/>
  <c r="AU107" i="6"/>
  <c r="AS110" i="6"/>
  <c r="AV112" i="6"/>
  <c r="AS115" i="6"/>
  <c r="AW117" i="6"/>
  <c r="AX120" i="6"/>
  <c r="AU123" i="6"/>
  <c r="AS126" i="6"/>
  <c r="AV128" i="6"/>
  <c r="AS131" i="6"/>
  <c r="AW133" i="6"/>
  <c r="AX136" i="6"/>
  <c r="AU139" i="6"/>
  <c r="AS142" i="6"/>
  <c r="AV144" i="6"/>
  <c r="AS147" i="6"/>
  <c r="AW149" i="6"/>
  <c r="AX152" i="6"/>
  <c r="AU155" i="6"/>
  <c r="AS158" i="6"/>
  <c r="AV160" i="6"/>
  <c r="AS163" i="6"/>
  <c r="AW165" i="6"/>
  <c r="AX168" i="6"/>
  <c r="AU171" i="6"/>
  <c r="AS174" i="6"/>
  <c r="AV176" i="6"/>
  <c r="AS179" i="6"/>
  <c r="AW181" i="6"/>
  <c r="AX184" i="6"/>
  <c r="AU187" i="6"/>
  <c r="AS190" i="6"/>
  <c r="AV192" i="6"/>
  <c r="AS195" i="6"/>
  <c r="AW197" i="6"/>
  <c r="AX200" i="6"/>
  <c r="AU203" i="6"/>
  <c r="AS206" i="6"/>
  <c r="AV208" i="6"/>
  <c r="AS211" i="6"/>
  <c r="AW213" i="6"/>
  <c r="AU219" i="6"/>
  <c r="AS222" i="6"/>
  <c r="AS227" i="6"/>
  <c r="AW229" i="6"/>
  <c r="AU235" i="6"/>
  <c r="AS238" i="6"/>
  <c r="AV240" i="6"/>
  <c r="AS243" i="6"/>
  <c r="AW245" i="6"/>
  <c r="AX248" i="6"/>
  <c r="AU251" i="6"/>
  <c r="AS254" i="6"/>
  <c r="AV256" i="6"/>
  <c r="AS259" i="6"/>
  <c r="AW261" i="6"/>
  <c r="AX264" i="6"/>
  <c r="AU267" i="6"/>
  <c r="AS270" i="6"/>
  <c r="AV272" i="6"/>
  <c r="AS275" i="6"/>
  <c r="AW277" i="6"/>
  <c r="AU283" i="6"/>
  <c r="AV286" i="6"/>
  <c r="AV288" i="6"/>
  <c r="AS291" i="6"/>
  <c r="AW293" i="6"/>
  <c r="AT296" i="6"/>
  <c r="AW298" i="6"/>
  <c r="AU301" i="6"/>
  <c r="AX303" i="6"/>
  <c r="AU306" i="6"/>
  <c r="AS309" i="6"/>
  <c r="AV311" i="6"/>
  <c r="AS314" i="6"/>
  <c r="AW316" i="6"/>
  <c r="AT319" i="6"/>
  <c r="AX321" i="6"/>
  <c r="AU324" i="6"/>
  <c r="AX326" i="6"/>
  <c r="AV329" i="6"/>
  <c r="AS332" i="6"/>
  <c r="AW334" i="6"/>
  <c r="AT337" i="6"/>
  <c r="AW339" i="6"/>
  <c r="AT342" i="6"/>
  <c r="AX344" i="6"/>
  <c r="AU347" i="6"/>
  <c r="AV350" i="6"/>
  <c r="AV352" i="6"/>
  <c r="AS355" i="6"/>
  <c r="AT360" i="6"/>
  <c r="AW362" i="6"/>
  <c r="AU365" i="6"/>
  <c r="AX367" i="6"/>
  <c r="AS373" i="6"/>
  <c r="AS378" i="6"/>
  <c r="AW380" i="6"/>
  <c r="AT383" i="6"/>
  <c r="AX385" i="6"/>
  <c r="AW217" i="6"/>
  <c r="AT220" i="6"/>
  <c r="AX222" i="6"/>
  <c r="AU225" i="6"/>
  <c r="AX227" i="6"/>
  <c r="AV230" i="6"/>
  <c r="AS233" i="6"/>
  <c r="AT238" i="6"/>
  <c r="AW240" i="6"/>
  <c r="AT243" i="6"/>
  <c r="AX245" i="6"/>
  <c r="AU248" i="6"/>
  <c r="AX250" i="6"/>
  <c r="AV253" i="6"/>
  <c r="AS256" i="6"/>
  <c r="AT53" i="6"/>
  <c r="AW55" i="6"/>
  <c r="AT58" i="6"/>
  <c r="AX60" i="6"/>
  <c r="AV66" i="6"/>
  <c r="AV68" i="6"/>
  <c r="AS71" i="6"/>
  <c r="AW73" i="6"/>
  <c r="AT76" i="6"/>
  <c r="AX78" i="6"/>
  <c r="AU81" i="6"/>
  <c r="AX83" i="6"/>
  <c r="AV86" i="6"/>
  <c r="AS89" i="6"/>
  <c r="AV91" i="6"/>
  <c r="AT94" i="6"/>
  <c r="AW96" i="6"/>
  <c r="AT99" i="6"/>
  <c r="AX101" i="6"/>
  <c r="AU104" i="6"/>
  <c r="AX106" i="6"/>
  <c r="AV109" i="6"/>
  <c r="AS112" i="6"/>
  <c r="AT117" i="6"/>
  <c r="AW119" i="6"/>
  <c r="AT122" i="6"/>
  <c r="AX124" i="6"/>
  <c r="AU127" i="6"/>
  <c r="AV130" i="6"/>
  <c r="AV132" i="6"/>
  <c r="AS135" i="6"/>
  <c r="AW137" i="6"/>
  <c r="AT140" i="6"/>
  <c r="AX142" i="6"/>
  <c r="AU145" i="6"/>
  <c r="AX147" i="6"/>
  <c r="AV150" i="6"/>
  <c r="AS153" i="6"/>
  <c r="AV155" i="6"/>
  <c r="AT158" i="6"/>
  <c r="AW160" i="6"/>
  <c r="AT163" i="6"/>
  <c r="AX165" i="6"/>
  <c r="AX170" i="6"/>
  <c r="AV173" i="6"/>
  <c r="AS176" i="6"/>
  <c r="AT181" i="6"/>
  <c r="AW183" i="6"/>
  <c r="AT186" i="6"/>
  <c r="AX188" i="6"/>
  <c r="AV194" i="6"/>
  <c r="AT197" i="6"/>
  <c r="AU200" i="6"/>
  <c r="AT204" i="6"/>
  <c r="AU207" i="6"/>
  <c r="AV214" i="6"/>
  <c r="AV54" i="6"/>
  <c r="AV56" i="6"/>
  <c r="AU60" i="6"/>
  <c r="AT64" i="6"/>
  <c r="AU67" i="6"/>
  <c r="AT71" i="6"/>
  <c r="AU74" i="6"/>
  <c r="AS82" i="6"/>
  <c r="AU85" i="6"/>
  <c r="AV88" i="6"/>
  <c r="AU92" i="6"/>
  <c r="AT96" i="6"/>
  <c r="AU101" i="6"/>
  <c r="AU106" i="6"/>
  <c r="AT112" i="6"/>
  <c r="AU117" i="6"/>
  <c r="AU122" i="6"/>
  <c r="AT128" i="6"/>
  <c r="AU133" i="6"/>
  <c r="AU138" i="6"/>
  <c r="AT144" i="6"/>
  <c r="AU149" i="6"/>
  <c r="AU154" i="6"/>
  <c r="AT160" i="6"/>
  <c r="AU170" i="6"/>
  <c r="AY170" i="6" s="1"/>
  <c r="BA170" i="6" s="1"/>
  <c r="AT176" i="6"/>
  <c r="AU181" i="6"/>
  <c r="AU186" i="6"/>
  <c r="AT192" i="6"/>
  <c r="AU197" i="6"/>
  <c r="AU202" i="6"/>
  <c r="AW210" i="6"/>
  <c r="AX215" i="6"/>
  <c r="AS221" i="6"/>
  <c r="AS226" i="6"/>
  <c r="AT231" i="6"/>
  <c r="AU236" i="6"/>
  <c r="AV241" i="6"/>
  <c r="AW246" i="6"/>
  <c r="AW251" i="6"/>
  <c r="AT256" i="6"/>
  <c r="AU261" i="6"/>
  <c r="AU266" i="6"/>
  <c r="AT272" i="6"/>
  <c r="AU282" i="6"/>
  <c r="AV287" i="6"/>
  <c r="AT295" i="6"/>
  <c r="AU300" i="6"/>
  <c r="AS306" i="6"/>
  <c r="AX313" i="6"/>
  <c r="AX318" i="6"/>
  <c r="AS324" i="6"/>
  <c r="AT327" i="6"/>
  <c r="AY327" i="6" s="1"/>
  <c r="AU332" i="6"/>
  <c r="AS338" i="6"/>
  <c r="AW347" i="6"/>
  <c r="AX352" i="6"/>
  <c r="AV358" i="6"/>
  <c r="AS363" i="6"/>
  <c r="AX368" i="6"/>
  <c r="AV374" i="6"/>
  <c r="AS379" i="6"/>
  <c r="AT384" i="6"/>
  <c r="AY384" i="6" s="1"/>
  <c r="AU89" i="6"/>
  <c r="AX91" i="6"/>
  <c r="AW113" i="6"/>
  <c r="AU153" i="6"/>
  <c r="AX155" i="6"/>
  <c r="AW177" i="6"/>
  <c r="AU217" i="6"/>
  <c r="AX260" i="6"/>
  <c r="AX262" i="6"/>
  <c r="AU286" i="6"/>
  <c r="AV291" i="6"/>
  <c r="AV306" i="6"/>
  <c r="AV325" i="6"/>
  <c r="AS353" i="6"/>
  <c r="AU367" i="6"/>
  <c r="AX371" i="6"/>
  <c r="AX373" i="6"/>
  <c r="AX52" i="6"/>
  <c r="AX75" i="6"/>
  <c r="AS136" i="6"/>
  <c r="AX139" i="6"/>
  <c r="AW161" i="6"/>
  <c r="AV206" i="6"/>
  <c r="AV245" i="6"/>
  <c r="AV283" i="6"/>
  <c r="AT348" i="6"/>
  <c r="AV381" i="6"/>
  <c r="AT82" i="6"/>
  <c r="AU105" i="6"/>
  <c r="AV108" i="6"/>
  <c r="AX148" i="6"/>
  <c r="AX150" i="6"/>
  <c r="AV174" i="6"/>
  <c r="AT210" i="6"/>
  <c r="AU233" i="6"/>
  <c r="AV236" i="6"/>
  <c r="AS257" i="6"/>
  <c r="AX266" i="6"/>
  <c r="AX283" i="6"/>
  <c r="AW295" i="6"/>
  <c r="AX300" i="6"/>
  <c r="AX302" i="6"/>
  <c r="AS329" i="6"/>
  <c r="AU345" i="6"/>
  <c r="AT347" i="6"/>
  <c r="AX349" i="6"/>
  <c r="AX362" i="6"/>
  <c r="AW376" i="6"/>
  <c r="AV380" i="6"/>
  <c r="AT75" i="6"/>
  <c r="AX244" i="6"/>
  <c r="AS264" i="6"/>
  <c r="AX269" i="6"/>
  <c r="AW294" i="6"/>
  <c r="AX314" i="6"/>
  <c r="AV330" i="6"/>
  <c r="AW345" i="6"/>
  <c r="AT363" i="6"/>
  <c r="AV379" i="6"/>
  <c r="AU57" i="6"/>
  <c r="AV60" i="6"/>
  <c r="AX100" i="6"/>
  <c r="AX102" i="6"/>
  <c r="AV126" i="6"/>
  <c r="AT162" i="6"/>
  <c r="AU185" i="6"/>
  <c r="AV188" i="6"/>
  <c r="AX228" i="6"/>
  <c r="AX230" i="6"/>
  <c r="AV260" i="6"/>
  <c r="AW273" i="6"/>
  <c r="AT278" i="6"/>
  <c r="AV290" i="6"/>
  <c r="AS305" i="6"/>
  <c r="AS318" i="6"/>
  <c r="AS337" i="6"/>
  <c r="AS350" i="6"/>
  <c r="AX372" i="6"/>
  <c r="AX54" i="6"/>
  <c r="AV57" i="6"/>
  <c r="AS60" i="6"/>
  <c r="AW62" i="6"/>
  <c r="AT65" i="6"/>
  <c r="AW67" i="6"/>
  <c r="AU70" i="6"/>
  <c r="AS76" i="6"/>
  <c r="AW78" i="6"/>
  <c r="AT81" i="6"/>
  <c r="AW83" i="6"/>
  <c r="AU86" i="6"/>
  <c r="AV89" i="6"/>
  <c r="AS92" i="6"/>
  <c r="AW94" i="6"/>
  <c r="AT97" i="6"/>
  <c r="AW99" i="6"/>
  <c r="AU102" i="6"/>
  <c r="AV105" i="6"/>
  <c r="AS108" i="6"/>
  <c r="AW110" i="6"/>
  <c r="AT113" i="6"/>
  <c r="AW115" i="6"/>
  <c r="AU118" i="6"/>
  <c r="AV121" i="6"/>
  <c r="AS124" i="6"/>
  <c r="AW126" i="6"/>
  <c r="AW131" i="6"/>
  <c r="AU134" i="6"/>
  <c r="AV137" i="6"/>
  <c r="AS140" i="6"/>
  <c r="AW142" i="6"/>
  <c r="AW147" i="6"/>
  <c r="AU150" i="6"/>
  <c r="AV153" i="6"/>
  <c r="AS156" i="6"/>
  <c r="AW158" i="6"/>
  <c r="AT161" i="6"/>
  <c r="AW163" i="6"/>
  <c r="AU166" i="6"/>
  <c r="AV169" i="6"/>
  <c r="AS172" i="6"/>
  <c r="AW174" i="6"/>
  <c r="AT177" i="6"/>
  <c r="AW179" i="6"/>
  <c r="AU182" i="6"/>
  <c r="AV185" i="6"/>
  <c r="AS188" i="6"/>
  <c r="AW190" i="6"/>
  <c r="AW195" i="6"/>
  <c r="AU198" i="6"/>
  <c r="AV201" i="6"/>
  <c r="AS204" i="6"/>
  <c r="AW206" i="6"/>
  <c r="AT209" i="6"/>
  <c r="AW211" i="6"/>
  <c r="AU214" i="6"/>
  <c r="AV217" i="6"/>
  <c r="AS220" i="6"/>
  <c r="AW222" i="6"/>
  <c r="AT225" i="6"/>
  <c r="AU230" i="6"/>
  <c r="AV233" i="6"/>
  <c r="AS236" i="6"/>
  <c r="AW238" i="6"/>
  <c r="AT241" i="6"/>
  <c r="AW243" i="6"/>
  <c r="AU246" i="6"/>
  <c r="AV249" i="6"/>
  <c r="AS252" i="6"/>
  <c r="AW254" i="6"/>
  <c r="AT257" i="6"/>
  <c r="AW259" i="6"/>
  <c r="AU262" i="6"/>
  <c r="AS268" i="6"/>
  <c r="AW270" i="6"/>
  <c r="AT273" i="6"/>
  <c r="AW275" i="6"/>
  <c r="AU278" i="6"/>
  <c r="AV281" i="6"/>
  <c r="AS284" i="6"/>
  <c r="AT294" i="6"/>
  <c r="AX296" i="6"/>
  <c r="AU299" i="6"/>
  <c r="AS302" i="6"/>
  <c r="AV304" i="6"/>
  <c r="AW309" i="6"/>
  <c r="AW314" i="6"/>
  <c r="AU317" i="6"/>
  <c r="AX319" i="6"/>
  <c r="AS325" i="6"/>
  <c r="AV327" i="6"/>
  <c r="AW332" i="6"/>
  <c r="AT335" i="6"/>
  <c r="AX337" i="6"/>
  <c r="AU340" i="6"/>
  <c r="AX342" i="6"/>
  <c r="AV345" i="6"/>
  <c r="AY345" i="6" s="1"/>
  <c r="AS348" i="6"/>
  <c r="AT353" i="6"/>
  <c r="AW355" i="6"/>
  <c r="AT358" i="6"/>
  <c r="AX360" i="6"/>
  <c r="AU363" i="6"/>
  <c r="AS366" i="6"/>
  <c r="AV368" i="6"/>
  <c r="AS371" i="6"/>
  <c r="AW373" i="6"/>
  <c r="AT376" i="6"/>
  <c r="AW378" i="6"/>
  <c r="AU381" i="6"/>
  <c r="AT218" i="6"/>
  <c r="AX220" i="6"/>
  <c r="AU223" i="6"/>
  <c r="AV226" i="6"/>
  <c r="AV228" i="6"/>
  <c r="AS231" i="6"/>
  <c r="AW233" i="6"/>
  <c r="AT236" i="6"/>
  <c r="AX238" i="6"/>
  <c r="AU241" i="6"/>
  <c r="AX243" i="6"/>
  <c r="AS249" i="6"/>
  <c r="AV251" i="6"/>
  <c r="AT254" i="6"/>
  <c r="AW256" i="6"/>
  <c r="AT259" i="6"/>
  <c r="AT51" i="6"/>
  <c r="AX53" i="6"/>
  <c r="AU56" i="6"/>
  <c r="AX58" i="6"/>
  <c r="AV61" i="6"/>
  <c r="AS64" i="6"/>
  <c r="AT69" i="6"/>
  <c r="AW71" i="6"/>
  <c r="AT74" i="6"/>
  <c r="AX76" i="6"/>
  <c r="AU79" i="6"/>
  <c r="AV82" i="6"/>
  <c r="AS87" i="6"/>
  <c r="AW89" i="6"/>
  <c r="AT92" i="6"/>
  <c r="AX94" i="6"/>
  <c r="AU97" i="6"/>
  <c r="AX99" i="6"/>
  <c r="AV102" i="6"/>
  <c r="AV107" i="6"/>
  <c r="AT110" i="6"/>
  <c r="AW112" i="6"/>
  <c r="AT115" i="6"/>
  <c r="AX117" i="6"/>
  <c r="AU120" i="6"/>
  <c r="AX122" i="6"/>
  <c r="AS128" i="6"/>
  <c r="AT133" i="6"/>
  <c r="AT138" i="6"/>
  <c r="AX140" i="6"/>
  <c r="AV146" i="6"/>
  <c r="AS151" i="6"/>
  <c r="AW153" i="6"/>
  <c r="AX158" i="6"/>
  <c r="AU161" i="6"/>
  <c r="AX163" i="6"/>
  <c r="AV166" i="6"/>
  <c r="AV171" i="6"/>
  <c r="AT174" i="6"/>
  <c r="AW176" i="6"/>
  <c r="AT179" i="6"/>
  <c r="AX181" i="6"/>
  <c r="AX186" i="6"/>
  <c r="AV189" i="6"/>
  <c r="AS192" i="6"/>
  <c r="AX197" i="6"/>
  <c r="AW201" i="6"/>
  <c r="AX204" i="6"/>
  <c r="AS215" i="6"/>
  <c r="AU51" i="6"/>
  <c r="AX57" i="6"/>
  <c r="AS61" i="6"/>
  <c r="AX64" i="6"/>
  <c r="AW68" i="6"/>
  <c r="AX71" i="6"/>
  <c r="AS75" i="6"/>
  <c r="AW82" i="6"/>
  <c r="AS86" i="6"/>
  <c r="AX89" i="6"/>
  <c r="AS93" i="6"/>
  <c r="AX96" i="6"/>
  <c r="AS102" i="6"/>
  <c r="AS107" i="6"/>
  <c r="AX112" i="6"/>
  <c r="AS123" i="6"/>
  <c r="AX128" i="6"/>
  <c r="AS134" i="6"/>
  <c r="AS139" i="6"/>
  <c r="AX144" i="6"/>
  <c r="AS150" i="6"/>
  <c r="AS155" i="6"/>
  <c r="AY155" i="6" s="1"/>
  <c r="AX160" i="6"/>
  <c r="AS166" i="6"/>
  <c r="AS171" i="6"/>
  <c r="AX176" i="6"/>
  <c r="AS182" i="6"/>
  <c r="AX192" i="6"/>
  <c r="AS198" i="6"/>
  <c r="AV207" i="6"/>
  <c r="AW212" i="6"/>
  <c r="AX217" i="6"/>
  <c r="AS228" i="6"/>
  <c r="AT233" i="6"/>
  <c r="AU238" i="6"/>
  <c r="AV248" i="6"/>
  <c r="AX256" i="6"/>
  <c r="AS262" i="6"/>
  <c r="AS278" i="6"/>
  <c r="AS283" i="6"/>
  <c r="AT288" i="6"/>
  <c r="AU293" i="6"/>
  <c r="AX295" i="6"/>
  <c r="AS301" i="6"/>
  <c r="AU314" i="6"/>
  <c r="AV319" i="6"/>
  <c r="AW324" i="6"/>
  <c r="AT329" i="6"/>
  <c r="AU334" i="6"/>
  <c r="AV353" i="6"/>
  <c r="AW363" i="6"/>
  <c r="AV369" i="6"/>
  <c r="AX384" i="6"/>
  <c r="AT66" i="6"/>
  <c r="AT70" i="6"/>
  <c r="AX93" i="6"/>
  <c r="AT134" i="6"/>
  <c r="AX157" i="6"/>
  <c r="AT198" i="6"/>
  <c r="AV261" i="6"/>
  <c r="AX275" i="6"/>
  <c r="AV293" i="6"/>
  <c r="AS321" i="6"/>
  <c r="AU335" i="6"/>
  <c r="AX339" i="6"/>
  <c r="AX341" i="6"/>
  <c r="AU369" i="6"/>
  <c r="AV372" i="6"/>
  <c r="AS72" i="6"/>
  <c r="AU137" i="6"/>
  <c r="AT141" i="6"/>
  <c r="AU263" i="6"/>
  <c r="AX284" i="6"/>
  <c r="AU64" i="6"/>
  <c r="AV106" i="6"/>
  <c r="AV149" i="6"/>
  <c r="AU167" i="6"/>
  <c r="AU192" i="6"/>
  <c r="AV234" i="6"/>
  <c r="AW263" i="6"/>
  <c r="AX270" i="6"/>
  <c r="AU296" i="6"/>
  <c r="AV301" i="6"/>
  <c r="AS310" i="6"/>
  <c r="AV314" i="6"/>
  <c r="AW329" i="6"/>
  <c r="AT334" i="6"/>
  <c r="AX347" i="6"/>
  <c r="AX364" i="6"/>
  <c r="AX366" i="6"/>
  <c r="AV76" i="6"/>
  <c r="AT118" i="6"/>
  <c r="AV142" i="6"/>
  <c r="AT182" i="6"/>
  <c r="AX205" i="6"/>
  <c r="AV270" i="6"/>
  <c r="AU295" i="6"/>
  <c r="AV302" i="6"/>
  <c r="AW326" i="6"/>
  <c r="AT380" i="6"/>
  <c r="AY380" i="6" s="1"/>
  <c r="AV58" i="6"/>
  <c r="AU119" i="6"/>
  <c r="AX123" i="6"/>
  <c r="AU144" i="6"/>
  <c r="AX162" i="6"/>
  <c r="AV186" i="6"/>
  <c r="AV229" i="6"/>
  <c r="AU247" i="6"/>
  <c r="AX251" i="6"/>
  <c r="AV262" i="6"/>
  <c r="AV275" i="6"/>
  <c r="AW305" i="6"/>
  <c r="AW318" i="6"/>
  <c r="AT325" i="6"/>
  <c r="AS352" i="6"/>
  <c r="AT355" i="6"/>
  <c r="AV373" i="6"/>
  <c r="AW184" i="6"/>
  <c r="AS184" i="6"/>
  <c r="AU156" i="6"/>
  <c r="AV156" i="6"/>
  <c r="AX116" i="6"/>
  <c r="AW116" i="6"/>
  <c r="AT116" i="6"/>
  <c r="AS116" i="6"/>
  <c r="AT84" i="6"/>
  <c r="AS84" i="6"/>
  <c r="AX50" i="6"/>
  <c r="AT50" i="6"/>
  <c r="AV289" i="6"/>
  <c r="AW289" i="6"/>
  <c r="AU272" i="6"/>
  <c r="AW272" i="6"/>
  <c r="AS272" i="6"/>
  <c r="AX105" i="6"/>
  <c r="AT105" i="6"/>
  <c r="AU73" i="6"/>
  <c r="AT73" i="6"/>
  <c r="AT59" i="6"/>
  <c r="AW59" i="6"/>
  <c r="AT291" i="6"/>
  <c r="AU291" i="6"/>
  <c r="AV277" i="6"/>
  <c r="AX277" i="6"/>
  <c r="AT277" i="6"/>
  <c r="AW232" i="6"/>
  <c r="AV232" i="6"/>
  <c r="AS232" i="6"/>
  <c r="AX224" i="6"/>
  <c r="AU224" i="6"/>
  <c r="AT224" i="6"/>
  <c r="AS216" i="6"/>
  <c r="AV216" i="6"/>
  <c r="AU216" i="6"/>
  <c r="AX208" i="6"/>
  <c r="AW208" i="6"/>
  <c r="AW191" i="6"/>
  <c r="AV191" i="6"/>
  <c r="AS191" i="6"/>
  <c r="AU328" i="6"/>
  <c r="AS328" i="6"/>
  <c r="AV328" i="6"/>
  <c r="AW328" i="6"/>
  <c r="AS320" i="6"/>
  <c r="AX320" i="6"/>
  <c r="AT320" i="6"/>
  <c r="AU312" i="6"/>
  <c r="AV312" i="6"/>
  <c r="AT354" i="6"/>
  <c r="AW354" i="6"/>
  <c r="AS354" i="6"/>
  <c r="AT346" i="6"/>
  <c r="AU346" i="6"/>
  <c r="AT338" i="6"/>
  <c r="AW338" i="6"/>
  <c r="AU431" i="6"/>
  <c r="AS431" i="6"/>
  <c r="AY431" i="6" s="1"/>
  <c r="AW431" i="6"/>
  <c r="AV431" i="6"/>
  <c r="AT431" i="6"/>
  <c r="AX431" i="6"/>
  <c r="AU392" i="6"/>
  <c r="AS392" i="6"/>
  <c r="AY392" i="6" s="1"/>
  <c r="AW392" i="6"/>
  <c r="AT392" i="6"/>
  <c r="AX392" i="6"/>
  <c r="AV392" i="6"/>
  <c r="AU435" i="6"/>
  <c r="AS435" i="6"/>
  <c r="AY435" i="6" s="1"/>
  <c r="BA435" i="6" s="1"/>
  <c r="AW435" i="6"/>
  <c r="AV435" i="6"/>
  <c r="AT435" i="6"/>
  <c r="AX435" i="6"/>
  <c r="AU404" i="6"/>
  <c r="AS404" i="6"/>
  <c r="AY404" i="6" s="1"/>
  <c r="AW404" i="6"/>
  <c r="AX404" i="6"/>
  <c r="AT404" i="6"/>
  <c r="AV404" i="6"/>
  <c r="AU375" i="6"/>
  <c r="AX375" i="6"/>
  <c r="AS375" i="6"/>
  <c r="AY375" i="6" s="1"/>
  <c r="BA375" i="6" s="1"/>
  <c r="AT375" i="6"/>
  <c r="AU430" i="6"/>
  <c r="AS430" i="6"/>
  <c r="AY430" i="6" s="1"/>
  <c r="AW430" i="6"/>
  <c r="AV430" i="6"/>
  <c r="AT430" i="6"/>
  <c r="AX430" i="6"/>
  <c r="AU414" i="6"/>
  <c r="AS414" i="6"/>
  <c r="AY414" i="6" s="1"/>
  <c r="AW414" i="6"/>
  <c r="AV414" i="6"/>
  <c r="AT414" i="6"/>
  <c r="AX414" i="6"/>
  <c r="AU398" i="6"/>
  <c r="AS398" i="6"/>
  <c r="AY398" i="6" s="1"/>
  <c r="AW398" i="6"/>
  <c r="AV398" i="6"/>
  <c r="AT398" i="6"/>
  <c r="AX398" i="6"/>
  <c r="AW382" i="6"/>
  <c r="AS382" i="6"/>
  <c r="AX382" i="6"/>
  <c r="AX169" i="6"/>
  <c r="AT169" i="6"/>
  <c r="AW288" i="6"/>
  <c r="AS288" i="6"/>
  <c r="AX288" i="6"/>
  <c r="AV271" i="6"/>
  <c r="AW271" i="6"/>
  <c r="AW79" i="6"/>
  <c r="AS79" i="6"/>
  <c r="AW297" i="6"/>
  <c r="AT297" i="6"/>
  <c r="AS297" i="6"/>
  <c r="AX267" i="6"/>
  <c r="AT267" i="6"/>
  <c r="AV267" i="6"/>
  <c r="AW267" i="6"/>
  <c r="AX253" i="6"/>
  <c r="AS253" i="6"/>
  <c r="AT253" i="6"/>
  <c r="AT235" i="6"/>
  <c r="AS235" i="6"/>
  <c r="AU227" i="6"/>
  <c r="AV227" i="6"/>
  <c r="AW219" i="6"/>
  <c r="AS219" i="6"/>
  <c r="AV211" i="6"/>
  <c r="AU211" i="6"/>
  <c r="AT211" i="6"/>
  <c r="AT203" i="6"/>
  <c r="AX203" i="6"/>
  <c r="AW203" i="6"/>
  <c r="AV203" i="6"/>
  <c r="AS194" i="6"/>
  <c r="AX194" i="6"/>
  <c r="AS331" i="6"/>
  <c r="AT331" i="6"/>
  <c r="AX315" i="6"/>
  <c r="AW315" i="6"/>
  <c r="AT315" i="6"/>
  <c r="AS315" i="6"/>
  <c r="AT307" i="6"/>
  <c r="AU307" i="6"/>
  <c r="AW349" i="6"/>
  <c r="AS349" i="6"/>
  <c r="AY349" i="6" s="1"/>
  <c r="AU408" i="6"/>
  <c r="AS408" i="6"/>
  <c r="AY408" i="6" s="1"/>
  <c r="BA408" i="6" s="1"/>
  <c r="AW408" i="6"/>
  <c r="AT408" i="6"/>
  <c r="AX408" i="6"/>
  <c r="AV408" i="6"/>
  <c r="AW368" i="6"/>
  <c r="AT368" i="6"/>
  <c r="AS368" i="6"/>
  <c r="AY368" i="6" s="1"/>
  <c r="AU415" i="6"/>
  <c r="AS415" i="6"/>
  <c r="AY415" i="6" s="1"/>
  <c r="AW415" i="6"/>
  <c r="AV415" i="6"/>
  <c r="AT415" i="6"/>
  <c r="AX415" i="6"/>
  <c r="AU387" i="6"/>
  <c r="AS387" i="6"/>
  <c r="AY387" i="6" s="1"/>
  <c r="BA387" i="6" s="1"/>
  <c r="AW387" i="6"/>
  <c r="AV387" i="6"/>
  <c r="AT387" i="6"/>
  <c r="AX387" i="6"/>
  <c r="AS359" i="6"/>
  <c r="AX359" i="6"/>
  <c r="AT359" i="6"/>
  <c r="AU437" i="6"/>
  <c r="AS437" i="6"/>
  <c r="AY437" i="6" s="1"/>
  <c r="AW437" i="6"/>
  <c r="AV437" i="6"/>
  <c r="AX437" i="6"/>
  <c r="AT437" i="6"/>
  <c r="AU421" i="6"/>
  <c r="AS421" i="6"/>
  <c r="AY421" i="6" s="1"/>
  <c r="AW421" i="6"/>
  <c r="AV421" i="6"/>
  <c r="AX421" i="6"/>
  <c r="AT421" i="6"/>
  <c r="AU405" i="6"/>
  <c r="AS405" i="6"/>
  <c r="AY405" i="6" s="1"/>
  <c r="BA405" i="6" s="1"/>
  <c r="AW405" i="6"/>
  <c r="AV405" i="6"/>
  <c r="AT405" i="6"/>
  <c r="AX405" i="6"/>
  <c r="AU389" i="6"/>
  <c r="AS389" i="6"/>
  <c r="AY389" i="6" s="1"/>
  <c r="AW389" i="6"/>
  <c r="AV389" i="6"/>
  <c r="AT389" i="6"/>
  <c r="AX389" i="6"/>
  <c r="AU357" i="6"/>
  <c r="AX357" i="6"/>
  <c r="AT187" i="6"/>
  <c r="AW187" i="6"/>
  <c r="AW145" i="6"/>
  <c r="AV145" i="6"/>
  <c r="AW168" i="6"/>
  <c r="AS168" i="6"/>
  <c r="AW143" i="6"/>
  <c r="AV143" i="6"/>
  <c r="AS143" i="6"/>
  <c r="AW129" i="6"/>
  <c r="AV129" i="6"/>
  <c r="AS111" i="6"/>
  <c r="AV111" i="6"/>
  <c r="AW63" i="6"/>
  <c r="AS63" i="6"/>
  <c r="AV268" i="6"/>
  <c r="AT268" i="6"/>
  <c r="AU268" i="6"/>
  <c r="AX125" i="6"/>
  <c r="AT125" i="6"/>
  <c r="AX77" i="6"/>
  <c r="AT77" i="6"/>
  <c r="AU280" i="6"/>
  <c r="AW280" i="6"/>
  <c r="AS280" i="6"/>
  <c r="AW265" i="6"/>
  <c r="AX265" i="6"/>
  <c r="AS265" i="6"/>
  <c r="AU265" i="6"/>
  <c r="AT265" i="6"/>
  <c r="AX242" i="6"/>
  <c r="AW242" i="6"/>
  <c r="AT242" i="6"/>
  <c r="AS242" i="6"/>
  <c r="AW193" i="6"/>
  <c r="AV193" i="6"/>
  <c r="AX330" i="6"/>
  <c r="AT330" i="6"/>
  <c r="AY330" i="6" s="1"/>
  <c r="AU330" i="6"/>
  <c r="AT322" i="6"/>
  <c r="AW322" i="6"/>
  <c r="AV356" i="6"/>
  <c r="AX356" i="6"/>
  <c r="AT356" i="6"/>
  <c r="AY356" i="6" s="1"/>
  <c r="AW356" i="6"/>
  <c r="AX348" i="6"/>
  <c r="AV348" i="6"/>
  <c r="AX340" i="6"/>
  <c r="AT340" i="6"/>
  <c r="AU440" i="6"/>
  <c r="AS440" i="6"/>
  <c r="AY440" i="6" s="1"/>
  <c r="AW440" i="6"/>
  <c r="AT440" i="6"/>
  <c r="AX440" i="6"/>
  <c r="AV440" i="6"/>
  <c r="AU400" i="6"/>
  <c r="AS400" i="6"/>
  <c r="AY400" i="6" s="1"/>
  <c r="AW400" i="6"/>
  <c r="AT400" i="6"/>
  <c r="AX400" i="6"/>
  <c r="AV400" i="6"/>
  <c r="AS367" i="6"/>
  <c r="AV367" i="6"/>
  <c r="AU439" i="6"/>
  <c r="AS439" i="6"/>
  <c r="AY439" i="6" s="1"/>
  <c r="AW439" i="6"/>
  <c r="AV439" i="6"/>
  <c r="AT439" i="6"/>
  <c r="AX439" i="6"/>
  <c r="AU412" i="6"/>
  <c r="AS412" i="6"/>
  <c r="AY412" i="6" s="1"/>
  <c r="AW412" i="6"/>
  <c r="AX412" i="6"/>
  <c r="AT412" i="6"/>
  <c r="AV412" i="6"/>
  <c r="AW383" i="6"/>
  <c r="AV383" i="6"/>
  <c r="AS383" i="6"/>
  <c r="AY383" i="6" s="1"/>
  <c r="AU434" i="6"/>
  <c r="AS434" i="6"/>
  <c r="AY434" i="6" s="1"/>
  <c r="BA434" i="6" s="1"/>
  <c r="AW434" i="6"/>
  <c r="AV434" i="6"/>
  <c r="AT434" i="6"/>
  <c r="AX434" i="6"/>
  <c r="AU418" i="6"/>
  <c r="AS418" i="6"/>
  <c r="AY418" i="6" s="1"/>
  <c r="AW418" i="6"/>
  <c r="AV418" i="6"/>
  <c r="AT418" i="6"/>
  <c r="AX418" i="6"/>
  <c r="AU402" i="6"/>
  <c r="AS402" i="6"/>
  <c r="AY402" i="6" s="1"/>
  <c r="BA402" i="6" s="1"/>
  <c r="AW402" i="6"/>
  <c r="AV402" i="6"/>
  <c r="AT402" i="6"/>
  <c r="AX402" i="6"/>
  <c r="AU386" i="6"/>
  <c r="AS386" i="6"/>
  <c r="AY386" i="6" s="1"/>
  <c r="AW386" i="6"/>
  <c r="AV386" i="6"/>
  <c r="AT386" i="6"/>
  <c r="AX386" i="6"/>
  <c r="AW370" i="6"/>
  <c r="AS370" i="6"/>
  <c r="AX306" i="6"/>
  <c r="AT306" i="6"/>
  <c r="AS175" i="6"/>
  <c r="AV175" i="6"/>
  <c r="AT171" i="6"/>
  <c r="AW171" i="6"/>
  <c r="AV159" i="6"/>
  <c r="AS159" i="6"/>
  <c r="AW159" i="6"/>
  <c r="AT148" i="6"/>
  <c r="AW148" i="6"/>
  <c r="AS148" i="6"/>
  <c r="AU135" i="6"/>
  <c r="AT135" i="6"/>
  <c r="AX118" i="6"/>
  <c r="AW118" i="6"/>
  <c r="AX292" i="6"/>
  <c r="AS292" i="6"/>
  <c r="AT292" i="6"/>
  <c r="AS130" i="6"/>
  <c r="AX130" i="6"/>
  <c r="AT52" i="6"/>
  <c r="AS52" i="6"/>
  <c r="AS286" i="6"/>
  <c r="AX286" i="6"/>
  <c r="AT286" i="6"/>
  <c r="AV255" i="6"/>
  <c r="AW255" i="6"/>
  <c r="AX237" i="6"/>
  <c r="AW237" i="6"/>
  <c r="AT237" i="6"/>
  <c r="AS237" i="6"/>
  <c r="AT221" i="6"/>
  <c r="AW221" i="6"/>
  <c r="AW196" i="6"/>
  <c r="AS196" i="6"/>
  <c r="AV333" i="6"/>
  <c r="AW333" i="6"/>
  <c r="AS333" i="6"/>
  <c r="AY333" i="6" s="1"/>
  <c r="AX317" i="6"/>
  <c r="AW317" i="6"/>
  <c r="AU351" i="6"/>
  <c r="AW351" i="6"/>
  <c r="AS351" i="6"/>
  <c r="AV351" i="6"/>
  <c r="AW343" i="6"/>
  <c r="AX343" i="6"/>
  <c r="AU416" i="6"/>
  <c r="AS416" i="6"/>
  <c r="AY416" i="6" s="1"/>
  <c r="AW416" i="6"/>
  <c r="AT416" i="6"/>
  <c r="AX416" i="6"/>
  <c r="AV416" i="6"/>
  <c r="AX379" i="6"/>
  <c r="AT379" i="6"/>
  <c r="AU423" i="6"/>
  <c r="AS423" i="6"/>
  <c r="AY423" i="6" s="1"/>
  <c r="AW423" i="6"/>
  <c r="AV423" i="6"/>
  <c r="AT423" i="6"/>
  <c r="AX423" i="6"/>
  <c r="AU395" i="6"/>
  <c r="AS395" i="6"/>
  <c r="AY395" i="6" s="1"/>
  <c r="AW395" i="6"/>
  <c r="AV395" i="6"/>
  <c r="AT395" i="6"/>
  <c r="AX395" i="6"/>
  <c r="AT364" i="6"/>
  <c r="AU364" i="6"/>
  <c r="AU441" i="6"/>
  <c r="AS441" i="6"/>
  <c r="AY441" i="6" s="1"/>
  <c r="AW441" i="6"/>
  <c r="AV441" i="6"/>
  <c r="AX441" i="6"/>
  <c r="AT441" i="6"/>
  <c r="AU425" i="6"/>
  <c r="AS425" i="6"/>
  <c r="AY425" i="6" s="1"/>
  <c r="AW425" i="6"/>
  <c r="AV425" i="6"/>
  <c r="AX425" i="6"/>
  <c r="AT425" i="6"/>
  <c r="AU409" i="6"/>
  <c r="AS409" i="6"/>
  <c r="AY409" i="6" s="1"/>
  <c r="AW409" i="6"/>
  <c r="AV409" i="6"/>
  <c r="AX409" i="6"/>
  <c r="AT409" i="6"/>
  <c r="AU393" i="6"/>
  <c r="AS393" i="6"/>
  <c r="AY393" i="6" s="1"/>
  <c r="AW393" i="6"/>
  <c r="AV393" i="6"/>
  <c r="AT393" i="6"/>
  <c r="AX393" i="6"/>
  <c r="AS377" i="6"/>
  <c r="AY377" i="6" s="1"/>
  <c r="AW377" i="6"/>
  <c r="AU377" i="6"/>
  <c r="AX377" i="6"/>
  <c r="AU361" i="6"/>
  <c r="AW361" i="6"/>
  <c r="AS361" i="6"/>
  <c r="AX361" i="6"/>
  <c r="AU50" i="6"/>
  <c r="AV55" i="6"/>
  <c r="AS58" i="6"/>
  <c r="AT63" i="6"/>
  <c r="AX65" i="6"/>
  <c r="AU68" i="6"/>
  <c r="AV71" i="6"/>
  <c r="AS74" i="6"/>
  <c r="AW76" i="6"/>
  <c r="AT79" i="6"/>
  <c r="AX81" i="6"/>
  <c r="AU84" i="6"/>
  <c r="AV87" i="6"/>
  <c r="AS90" i="6"/>
  <c r="AW92" i="6"/>
  <c r="AT95" i="6"/>
  <c r="AX97" i="6"/>
  <c r="AU100" i="6"/>
  <c r="AV103" i="6"/>
  <c r="AW108" i="6"/>
  <c r="AT111" i="6"/>
  <c r="AX113" i="6"/>
  <c r="AU116" i="6"/>
  <c r="AV119" i="6"/>
  <c r="AW124" i="6"/>
  <c r="AT127" i="6"/>
  <c r="AX129" i="6"/>
  <c r="AU132" i="6"/>
  <c r="AV135" i="6"/>
  <c r="AS138" i="6"/>
  <c r="AW140" i="6"/>
  <c r="AT143" i="6"/>
  <c r="AX145" i="6"/>
  <c r="AU148" i="6"/>
  <c r="AV151" i="6"/>
  <c r="AS154" i="6"/>
  <c r="AW156" i="6"/>
  <c r="AT159" i="6"/>
  <c r="AX161" i="6"/>
  <c r="AU164" i="6"/>
  <c r="AV167" i="6"/>
  <c r="AW172" i="6"/>
  <c r="AT175" i="6"/>
  <c r="AX177" i="6"/>
  <c r="AU180" i="6"/>
  <c r="AV183" i="6"/>
  <c r="AW188" i="6"/>
  <c r="AT191" i="6"/>
  <c r="AX193" i="6"/>
  <c r="AU196" i="6"/>
  <c r="AV199" i="6"/>
  <c r="AS202" i="6"/>
  <c r="AW204" i="6"/>
  <c r="AT207" i="6"/>
  <c r="AX209" i="6"/>
  <c r="AU212" i="6"/>
  <c r="AV215" i="6"/>
  <c r="AS218" i="6"/>
  <c r="AW220" i="6"/>
  <c r="AT223" i="6"/>
  <c r="AU228" i="6"/>
  <c r="AV231" i="6"/>
  <c r="AS234" i="6"/>
  <c r="AW236" i="6"/>
  <c r="AT239" i="6"/>
  <c r="AX241" i="6"/>
  <c r="AU244" i="6"/>
  <c r="AV247" i="6"/>
  <c r="AS250" i="6"/>
  <c r="AW252" i="6"/>
  <c r="AT255" i="6"/>
  <c r="AX257" i="6"/>
  <c r="AU260" i="6"/>
  <c r="AV263" i="6"/>
  <c r="AW268" i="6"/>
  <c r="AT271" i="6"/>
  <c r="AX273" i="6"/>
  <c r="AU276" i="6"/>
  <c r="AV279" i="6"/>
  <c r="AS282" i="6"/>
  <c r="AW284" i="6"/>
  <c r="AT287" i="6"/>
  <c r="AX289" i="6"/>
  <c r="AU292" i="6"/>
  <c r="AX294" i="6"/>
  <c r="AV297" i="6"/>
  <c r="AS300" i="6"/>
  <c r="AW302" i="6"/>
  <c r="AT305" i="6"/>
  <c r="AW307" i="6"/>
  <c r="AT310" i="6"/>
  <c r="AX312" i="6"/>
  <c r="AU315" i="6"/>
  <c r="AV318" i="6"/>
  <c r="AV320" i="6"/>
  <c r="AS323" i="6"/>
  <c r="AW325" i="6"/>
  <c r="AT328" i="6"/>
  <c r="AW330" i="6"/>
  <c r="AU333" i="6"/>
  <c r="AX335" i="6"/>
  <c r="AU338" i="6"/>
  <c r="AS341" i="6"/>
  <c r="AV343" i="6"/>
  <c r="AS346" i="6"/>
  <c r="AW348" i="6"/>
  <c r="AT351" i="6"/>
  <c r="AX353" i="6"/>
  <c r="AU356" i="6"/>
  <c r="AX358" i="6"/>
  <c r="AV361" i="6"/>
  <c r="AS364" i="6"/>
  <c r="AW366" i="6"/>
  <c r="AT369" i="6"/>
  <c r="AW371" i="6"/>
  <c r="AT374" i="6"/>
  <c r="AX376" i="6"/>
  <c r="AU379" i="6"/>
  <c r="AV382" i="6"/>
  <c r="AV384" i="6"/>
  <c r="AX218" i="6"/>
  <c r="AV221" i="6"/>
  <c r="AS224" i="6"/>
  <c r="AT229" i="6"/>
  <c r="AW231" i="6"/>
  <c r="AT234" i="6"/>
  <c r="AU239" i="6"/>
  <c r="AV242" i="6"/>
  <c r="AV244" i="6"/>
  <c r="AS247" i="6"/>
  <c r="AW249" i="6"/>
  <c r="AT252" i="6"/>
  <c r="AX254" i="6"/>
  <c r="AU257" i="6"/>
  <c r="AX259" i="6"/>
  <c r="AX51" i="6"/>
  <c r="AU54" i="6"/>
  <c r="AS57" i="6"/>
  <c r="AV59" i="6"/>
  <c r="AT62" i="6"/>
  <c r="AT67" i="6"/>
  <c r="AX69" i="6"/>
  <c r="AU72" i="6"/>
  <c r="AV77" i="6"/>
  <c r="AS80" i="6"/>
  <c r="AW87" i="6"/>
  <c r="AT90" i="6"/>
  <c r="AX92" i="6"/>
  <c r="AU95" i="6"/>
  <c r="AV98" i="6"/>
  <c r="AV100" i="6"/>
  <c r="AS103" i="6"/>
  <c r="AW105" i="6"/>
  <c r="AT108" i="6"/>
  <c r="AX110" i="6"/>
  <c r="AU113" i="6"/>
  <c r="AX115" i="6"/>
  <c r="AV118" i="6"/>
  <c r="AS121" i="6"/>
  <c r="AV123" i="6"/>
  <c r="AT126" i="6"/>
  <c r="AT131" i="6"/>
  <c r="AX133" i="6"/>
  <c r="AU136" i="6"/>
  <c r="AV141" i="6"/>
  <c r="AW151" i="6"/>
  <c r="AX156" i="6"/>
  <c r="AU159" i="6"/>
  <c r="AV162" i="6"/>
  <c r="AV164" i="6"/>
  <c r="AS167" i="6"/>
  <c r="AW169" i="6"/>
  <c r="AT172" i="6"/>
  <c r="AX174" i="6"/>
  <c r="AU177" i="6"/>
  <c r="AV182" i="6"/>
  <c r="AS185" i="6"/>
  <c r="AY185" i="6" s="1"/>
  <c r="AV187" i="6"/>
  <c r="AT190" i="6"/>
  <c r="AT195" i="6"/>
  <c r="AS199" i="6"/>
  <c r="AV205" i="6"/>
  <c r="AU209" i="6"/>
  <c r="AV212" i="6"/>
  <c r="AW215" i="6"/>
  <c r="AW52" i="6"/>
  <c r="AW61" i="6"/>
  <c r="AS66" i="6"/>
  <c r="AU69" i="6"/>
  <c r="AV72" i="6"/>
  <c r="AU83" i="6"/>
  <c r="AT87" i="6"/>
  <c r="AW93" i="6"/>
  <c r="AW98" i="6"/>
  <c r="AX103" i="6"/>
  <c r="AS109" i="6"/>
  <c r="AW114" i="6"/>
  <c r="AX119" i="6"/>
  <c r="AS125" i="6"/>
  <c r="AW130" i="6"/>
  <c r="AX135" i="6"/>
  <c r="AS141" i="6"/>
  <c r="AW146" i="6"/>
  <c r="AX151" i="6"/>
  <c r="AS157" i="6"/>
  <c r="AW162" i="6"/>
  <c r="AX167" i="6"/>
  <c r="AS173" i="6"/>
  <c r="AW178" i="6"/>
  <c r="AX183" i="6"/>
  <c r="AS189" i="6"/>
  <c r="AW194" i="6"/>
  <c r="AX199" i="6"/>
  <c r="AT208" i="6"/>
  <c r="AU213" i="6"/>
  <c r="AV223" i="6"/>
  <c r="AW228" i="6"/>
  <c r="AS244" i="6"/>
  <c r="AT249" i="6"/>
  <c r="AW258" i="6"/>
  <c r="AX263" i="6"/>
  <c r="AS269" i="6"/>
  <c r="AW274" i="6"/>
  <c r="AX279" i="6"/>
  <c r="AS285" i="6"/>
  <c r="AS290" i="6"/>
  <c r="AX297" i="6"/>
  <c r="AV303" i="6"/>
  <c r="AW308" i="6"/>
  <c r="AT311" i="6"/>
  <c r="AU316" i="6"/>
  <c r="AV321" i="6"/>
  <c r="AX329" i="6"/>
  <c r="AV335" i="6"/>
  <c r="AW340" i="6"/>
  <c r="AT345" i="6"/>
  <c r="AT350" i="6"/>
  <c r="AU355" i="6"/>
  <c r="AV360" i="6"/>
  <c r="AW365" i="6"/>
  <c r="AU371" i="6"/>
  <c r="AW381" i="6"/>
  <c r="AT68" i="6"/>
  <c r="AX70" i="6"/>
  <c r="AT132" i="6"/>
  <c r="AX134" i="6"/>
  <c r="AT196" i="6"/>
  <c r="AX198" i="6"/>
  <c r="AV222" i="6"/>
  <c r="AT258" i="6"/>
  <c r="AU273" i="6"/>
  <c r="AV276" i="6"/>
  <c r="AS289" i="6"/>
  <c r="AU303" i="6"/>
  <c r="AX307" i="6"/>
  <c r="AX309" i="6"/>
  <c r="AX322" i="6"/>
  <c r="AU337" i="6"/>
  <c r="AV340" i="6"/>
  <c r="AU350" i="6"/>
  <c r="AV355" i="6"/>
  <c r="AV370" i="6"/>
  <c r="AU384" i="6"/>
  <c r="AV78" i="6"/>
  <c r="AW97" i="6"/>
  <c r="AS200" i="6"/>
  <c r="AS225" i="6"/>
  <c r="AT269" i="6"/>
  <c r="AU297" i="6"/>
  <c r="AX301" i="6"/>
  <c r="AV334" i="6"/>
  <c r="AV362" i="6"/>
  <c r="AX84" i="6"/>
  <c r="AX86" i="6"/>
  <c r="AV110" i="6"/>
  <c r="AT146" i="6"/>
  <c r="AU169" i="6"/>
  <c r="AV172" i="6"/>
  <c r="AX212" i="6"/>
  <c r="AX214" i="6"/>
  <c r="AS255" i="6"/>
  <c r="AU264" i="6"/>
  <c r="AU279" i="6"/>
  <c r="AT285" i="6"/>
  <c r="AS312" i="6"/>
  <c r="AU326" i="6"/>
  <c r="AV331" i="6"/>
  <c r="AW342" i="6"/>
  <c r="AU360" i="6"/>
  <c r="AV365" i="6"/>
  <c r="AS374" i="6"/>
  <c r="AV378" i="6"/>
  <c r="AT178" i="6"/>
  <c r="AX182" i="6"/>
  <c r="AW223" i="6"/>
  <c r="AV266" i="6"/>
  <c r="AW281" i="6"/>
  <c r="AS311" i="6"/>
  <c r="AU327" i="6"/>
  <c r="AX333" i="6"/>
  <c r="AS358" i="6"/>
  <c r="AW375" i="6"/>
  <c r="AW54" i="6"/>
  <c r="AV62" i="6"/>
  <c r="AT98" i="6"/>
  <c r="AU121" i="6"/>
  <c r="AV124" i="6"/>
  <c r="AX164" i="6"/>
  <c r="AX166" i="6"/>
  <c r="AV190" i="6"/>
  <c r="AT226" i="6"/>
  <c r="AU249" i="6"/>
  <c r="AV252" i="6"/>
  <c r="AS271" i="6"/>
  <c r="AT276" i="6"/>
  <c r="AU287" i="6"/>
  <c r="AX291" i="6"/>
  <c r="AV307" i="6"/>
  <c r="AW320" i="6"/>
  <c r="AT323" i="6"/>
  <c r="AX325" i="6"/>
  <c r="AV339" i="6"/>
  <c r="AW352" i="6"/>
  <c r="AT370" i="6"/>
  <c r="AU383" i="6"/>
  <c r="AV294" i="6"/>
  <c r="AV310" i="6"/>
  <c r="AV90" i="6"/>
  <c r="AV94" i="6"/>
  <c r="AV154" i="6"/>
  <c r="AV158" i="6"/>
  <c r="AV218" i="6"/>
  <c r="AS241" i="6"/>
  <c r="AV138" i="6"/>
  <c r="AT301" i="6"/>
  <c r="AT333" i="6"/>
  <c r="AS65" i="6"/>
  <c r="AY65" i="6" s="1"/>
  <c r="AS129" i="6"/>
  <c r="AS193" i="6"/>
  <c r="AV282" i="6"/>
  <c r="AT317" i="6"/>
  <c r="AV346" i="6"/>
  <c r="AT381" i="6"/>
  <c r="AS81" i="6"/>
  <c r="AS145" i="6"/>
  <c r="AS209" i="6"/>
  <c r="AV322" i="6"/>
  <c r="AV326" i="6"/>
  <c r="AV342" i="6"/>
  <c r="AS113" i="6"/>
  <c r="AS177" i="6"/>
  <c r="AT262" i="6"/>
  <c r="AT309" i="6"/>
  <c r="AT341" i="6"/>
  <c r="AT373" i="6"/>
  <c r="AV74" i="6"/>
  <c r="AS97" i="6"/>
  <c r="AT365" i="6"/>
  <c r="AT86" i="6"/>
  <c r="AT150" i="6"/>
  <c r="AT214" i="6"/>
  <c r="AT270" i="6"/>
  <c r="AT302" i="6"/>
  <c r="AT366" i="6"/>
  <c r="AT246" i="6"/>
  <c r="AT102" i="6"/>
  <c r="AT166" i="6"/>
  <c r="AT230" i="6"/>
  <c r="AT293" i="6"/>
  <c r="AV354" i="6"/>
  <c r="Z15" i="11" l="1"/>
  <c r="O75" i="2" s="1"/>
  <c r="N75" i="2"/>
  <c r="AB121" i="11"/>
  <c r="O819" i="2" s="1"/>
  <c r="N819" i="2"/>
  <c r="Z97" i="11"/>
  <c r="O635" i="2" s="1"/>
  <c r="N635" i="2"/>
  <c r="X9" i="11"/>
  <c r="O31" i="2" s="1"/>
  <c r="N31" i="2"/>
  <c r="Y51" i="11"/>
  <c r="O298" i="2" s="1"/>
  <c r="N298" i="2"/>
  <c r="X145" i="11"/>
  <c r="O969" i="2" s="1"/>
  <c r="N969" i="2"/>
  <c r="Y85" i="11"/>
  <c r="O585" i="2" s="1"/>
  <c r="N585" i="2"/>
  <c r="W87" i="11"/>
  <c r="O569" i="2" s="1"/>
  <c r="N569" i="2"/>
  <c r="W67" i="11"/>
  <c r="O436" i="2" s="1"/>
  <c r="N436" i="2"/>
  <c r="AA85" i="11"/>
  <c r="O589" i="2" s="1"/>
  <c r="N589" i="2"/>
  <c r="AB135" i="11"/>
  <c r="O896" i="2" s="1"/>
  <c r="N896" i="2"/>
  <c r="Y111" i="11"/>
  <c r="O718" i="2" s="1"/>
  <c r="N718" i="2"/>
  <c r="AB31" i="11"/>
  <c r="O182" i="2" s="1"/>
  <c r="N182" i="2"/>
  <c r="Z49" i="11"/>
  <c r="O320" i="2" s="1"/>
  <c r="N320" i="2"/>
  <c r="Z27" i="11"/>
  <c r="O131" i="2" s="1"/>
  <c r="N131" i="2"/>
  <c r="Z45" i="11"/>
  <c r="O278" i="2" s="1"/>
  <c r="N278" i="2"/>
  <c r="Z21" i="11"/>
  <c r="O103" i="2" s="1"/>
  <c r="N103" i="2"/>
  <c r="AB133" i="11"/>
  <c r="O903" i="2" s="1"/>
  <c r="N903" i="2"/>
  <c r="AB139" i="11"/>
  <c r="O931" i="2" s="1"/>
  <c r="N931" i="2"/>
  <c r="Z115" i="11"/>
  <c r="O782" i="2" s="1"/>
  <c r="N782" i="2"/>
  <c r="Z121" i="11"/>
  <c r="O817" i="2" s="1"/>
  <c r="N817" i="2"/>
  <c r="X75" i="11"/>
  <c r="O472" i="2" s="1"/>
  <c r="N472" i="2"/>
  <c r="X51" i="11"/>
  <c r="O297" i="2" s="1"/>
  <c r="N297" i="2"/>
  <c r="X69" i="11"/>
  <c r="O430" i="2" s="1"/>
  <c r="N430" i="2"/>
  <c r="Y15" i="11"/>
  <c r="O74" i="2" s="1"/>
  <c r="N74" i="2"/>
  <c r="Y39" i="11"/>
  <c r="O217" i="2" s="1"/>
  <c r="N217" i="2"/>
  <c r="Y21" i="11"/>
  <c r="O102" i="2" s="1"/>
  <c r="N102" i="2"/>
  <c r="X79" i="11"/>
  <c r="O528" i="2" s="1"/>
  <c r="N528" i="2"/>
  <c r="X85" i="11"/>
  <c r="O584" i="2" s="1"/>
  <c r="N584" i="2"/>
  <c r="Y103" i="11"/>
  <c r="O711" i="2" s="1"/>
  <c r="N711" i="2"/>
  <c r="Y121" i="11"/>
  <c r="O816" i="2" s="1"/>
  <c r="N816" i="2"/>
  <c r="W147" i="11"/>
  <c r="O989" i="2" s="1"/>
  <c r="N989" i="2"/>
  <c r="W111" i="11"/>
  <c r="O716" i="2" s="1"/>
  <c r="N716" i="2"/>
  <c r="W123" i="11"/>
  <c r="O821" i="2" s="1"/>
  <c r="N821" i="2"/>
  <c r="W37" i="11"/>
  <c r="O212" i="2" s="1"/>
  <c r="N212" i="2"/>
  <c r="W49" i="11"/>
  <c r="O317" i="2" s="1"/>
  <c r="N317" i="2"/>
  <c r="AA103" i="11"/>
  <c r="O715" i="2" s="1"/>
  <c r="N715" i="2"/>
  <c r="AA133" i="11"/>
  <c r="O904" i="2" s="1"/>
  <c r="N904" i="2"/>
  <c r="AA121" i="11"/>
  <c r="O820" i="2" s="1"/>
  <c r="N820" i="2"/>
  <c r="AB147" i="11"/>
  <c r="O994" i="2" s="1"/>
  <c r="N994" i="2"/>
  <c r="AB141" i="11"/>
  <c r="O959" i="2" s="1"/>
  <c r="N959" i="2"/>
  <c r="AB105" i="11"/>
  <c r="O693" i="2" s="1"/>
  <c r="N693" i="2"/>
  <c r="Y123" i="11"/>
  <c r="O823" i="2" s="1"/>
  <c r="N823" i="2"/>
  <c r="Y141" i="11"/>
  <c r="O956" i="2" s="1"/>
  <c r="N956" i="2"/>
  <c r="Y99" i="11"/>
  <c r="O655" i="2" s="1"/>
  <c r="N655" i="2"/>
  <c r="AB7" i="11"/>
  <c r="O42" i="2" s="1"/>
  <c r="N42" i="2"/>
  <c r="AB37" i="11"/>
  <c r="O231" i="2" s="1"/>
  <c r="N231" i="2"/>
  <c r="AB43" i="11"/>
  <c r="O259" i="2" s="1"/>
  <c r="N259" i="2"/>
  <c r="Z19" i="11"/>
  <c r="O110" i="2" s="1"/>
  <c r="N110" i="2"/>
  <c r="Z55" i="11"/>
  <c r="O369" i="2" s="1"/>
  <c r="N369" i="2"/>
  <c r="W63" i="11"/>
  <c r="O385" i="2" s="1"/>
  <c r="N385" i="2"/>
  <c r="W45" i="11"/>
  <c r="O275" i="2" s="1"/>
  <c r="N275" i="2"/>
  <c r="W27" i="11"/>
  <c r="O128" i="2" s="1"/>
  <c r="N128" i="2"/>
  <c r="X123" i="11"/>
  <c r="O822" i="2" s="1"/>
  <c r="N822" i="2"/>
  <c r="X99" i="11"/>
  <c r="O654" i="2" s="1"/>
  <c r="N654" i="2"/>
  <c r="X87" i="11"/>
  <c r="O570" i="2" s="1"/>
  <c r="N570" i="2"/>
  <c r="Z135" i="11"/>
  <c r="O894" i="2" s="1"/>
  <c r="N894" i="2"/>
  <c r="Z141" i="11"/>
  <c r="O957" i="2" s="1"/>
  <c r="N957" i="2"/>
  <c r="Z117" i="11"/>
  <c r="O761" i="2" s="1"/>
  <c r="N761" i="2"/>
  <c r="X73" i="11"/>
  <c r="O486" i="2" s="1"/>
  <c r="N486" i="2"/>
  <c r="X55" i="11"/>
  <c r="O367" i="2" s="1"/>
  <c r="N367" i="2"/>
  <c r="X61" i="11"/>
  <c r="O395" i="2" s="1"/>
  <c r="N395" i="2"/>
  <c r="Y55" i="11"/>
  <c r="O368" i="2" s="1"/>
  <c r="N368" i="2"/>
  <c r="Y61" i="11"/>
  <c r="O396" i="2" s="1"/>
  <c r="N396" i="2"/>
  <c r="Y13" i="11"/>
  <c r="O67" i="2" s="1"/>
  <c r="N67" i="2"/>
  <c r="Z75" i="11"/>
  <c r="O474" i="2" s="1"/>
  <c r="N474" i="2"/>
  <c r="AB127" i="11"/>
  <c r="O882" i="2" s="1"/>
  <c r="N882" i="2"/>
  <c r="Z103" i="11"/>
  <c r="O712" i="2" s="1"/>
  <c r="N712" i="2"/>
  <c r="Z85" i="11"/>
  <c r="O586" i="2" s="1"/>
  <c r="N586" i="2"/>
  <c r="X27" i="11"/>
  <c r="O129" i="2" s="1"/>
  <c r="N129" i="2"/>
  <c r="Y27" i="11"/>
  <c r="O130" i="2" s="1"/>
  <c r="N130" i="2"/>
  <c r="X139" i="11"/>
  <c r="O927" i="2" s="1"/>
  <c r="N927" i="2"/>
  <c r="Y97" i="11"/>
  <c r="O634" i="2" s="1"/>
  <c r="N634" i="2"/>
  <c r="W141" i="11"/>
  <c r="O954" i="2" s="1"/>
  <c r="N954" i="2"/>
  <c r="W31" i="11"/>
  <c r="O177" i="2" s="1"/>
  <c r="N177" i="2"/>
  <c r="AA145" i="11"/>
  <c r="O974" i="2" s="1"/>
  <c r="N974" i="2"/>
  <c r="AB81" i="11"/>
  <c r="O546" i="2" s="1"/>
  <c r="N546" i="2"/>
  <c r="Y129" i="11"/>
  <c r="O851" i="2" s="1"/>
  <c r="N851" i="2"/>
  <c r="AB25" i="11"/>
  <c r="O147" i="2" s="1"/>
  <c r="N147" i="2"/>
  <c r="W75" i="11"/>
  <c r="O471" i="2" s="1"/>
  <c r="N471" i="2"/>
  <c r="W15" i="11"/>
  <c r="O72" i="2" s="1"/>
  <c r="N72" i="2"/>
  <c r="X111" i="11"/>
  <c r="O717" i="2" s="1"/>
  <c r="N717" i="2"/>
  <c r="Z111" i="11"/>
  <c r="O719" i="2" s="1"/>
  <c r="N719" i="2"/>
  <c r="Z147" i="11"/>
  <c r="O992" i="2" s="1"/>
  <c r="N992" i="2"/>
  <c r="X13" i="11"/>
  <c r="O66" i="2" s="1"/>
  <c r="N66" i="2"/>
  <c r="X19" i="11"/>
  <c r="O108" i="2" s="1"/>
  <c r="N108" i="2"/>
  <c r="Y19" i="11"/>
  <c r="O109" i="2" s="1"/>
  <c r="N109" i="2"/>
  <c r="Y73" i="11"/>
  <c r="O487" i="2" s="1"/>
  <c r="N487" i="2"/>
  <c r="Z9" i="11"/>
  <c r="O33" i="2" s="1"/>
  <c r="N33" i="2"/>
  <c r="Z33" i="11"/>
  <c r="O208" i="2" s="1"/>
  <c r="N208" i="2"/>
  <c r="Z51" i="11"/>
  <c r="O299" i="2" s="1"/>
  <c r="N299" i="2"/>
  <c r="AB79" i="11"/>
  <c r="O532" i="2" s="1"/>
  <c r="N532" i="2"/>
  <c r="AB115" i="11"/>
  <c r="O784" i="2" s="1"/>
  <c r="N784" i="2"/>
  <c r="AB145" i="11"/>
  <c r="O973" i="2" s="1"/>
  <c r="N973" i="2"/>
  <c r="Z145" i="11"/>
  <c r="O971" i="2" s="1"/>
  <c r="N971" i="2"/>
  <c r="Z127" i="11"/>
  <c r="O880" i="2" s="1"/>
  <c r="N880" i="2"/>
  <c r="Z79" i="11"/>
  <c r="O530" i="2" s="1"/>
  <c r="N530" i="2"/>
  <c r="X39" i="11"/>
  <c r="O216" i="2" s="1"/>
  <c r="N216" i="2"/>
  <c r="X33" i="11"/>
  <c r="O206" i="2" s="1"/>
  <c r="N206" i="2"/>
  <c r="X63" i="11"/>
  <c r="O386" i="2" s="1"/>
  <c r="N386" i="2"/>
  <c r="Y69" i="11"/>
  <c r="O431" i="2" s="1"/>
  <c r="N431" i="2"/>
  <c r="Y63" i="11"/>
  <c r="O380" i="2" s="1"/>
  <c r="N380" i="2"/>
  <c r="Y9" i="11"/>
  <c r="O32" i="2" s="1"/>
  <c r="N32" i="2"/>
  <c r="X133" i="11"/>
  <c r="O899" i="2" s="1"/>
  <c r="N899" i="2"/>
  <c r="X91" i="11"/>
  <c r="O598" i="2" s="1"/>
  <c r="N598" i="2"/>
  <c r="X127" i="11"/>
  <c r="O878" i="2" s="1"/>
  <c r="N878" i="2"/>
  <c r="Y139" i="11"/>
  <c r="O928" i="2" s="1"/>
  <c r="N928" i="2"/>
  <c r="Y127" i="11"/>
  <c r="O879" i="2" s="1"/>
  <c r="N879" i="2"/>
  <c r="Y115" i="11"/>
  <c r="O781" i="2" s="1"/>
  <c r="N781" i="2"/>
  <c r="W105" i="11"/>
  <c r="O688" i="2" s="1"/>
  <c r="N688" i="2"/>
  <c r="W135" i="11"/>
  <c r="O891" i="2" s="1"/>
  <c r="N891" i="2"/>
  <c r="W93" i="11"/>
  <c r="O618" i="2" s="1"/>
  <c r="N618" i="2"/>
  <c r="W25" i="11"/>
  <c r="O142" i="2" s="1"/>
  <c r="N142" i="2"/>
  <c r="W61" i="11"/>
  <c r="O394" i="2" s="1"/>
  <c r="N394" i="2"/>
  <c r="W13" i="11"/>
  <c r="O65" i="2" s="1"/>
  <c r="N65" i="2"/>
  <c r="AA115" i="11"/>
  <c r="O785" i="2" s="1"/>
  <c r="N785" i="2"/>
  <c r="AA109" i="11"/>
  <c r="O729" i="2" s="1"/>
  <c r="N729" i="2"/>
  <c r="AA97" i="11"/>
  <c r="O638" i="2" s="1"/>
  <c r="N638" i="2"/>
  <c r="AB87" i="11"/>
  <c r="O574" i="2" s="1"/>
  <c r="N574" i="2"/>
  <c r="AB117" i="11"/>
  <c r="O763" i="2" s="1"/>
  <c r="N763" i="2"/>
  <c r="AB111" i="11"/>
  <c r="O721" i="2" s="1"/>
  <c r="N721" i="2"/>
  <c r="Y147" i="11"/>
  <c r="O991" i="2" s="1"/>
  <c r="N991" i="2"/>
  <c r="Y93" i="11"/>
  <c r="O620" i="2" s="1"/>
  <c r="N620" i="2"/>
  <c r="Y135" i="11"/>
  <c r="O893" i="2" s="1"/>
  <c r="N893" i="2"/>
  <c r="AB55" i="11"/>
  <c r="O371" i="2" s="1"/>
  <c r="N371" i="2"/>
  <c r="AB67" i="11"/>
  <c r="O441" i="2" s="1"/>
  <c r="N441" i="2"/>
  <c r="AB13" i="11"/>
  <c r="O70" i="2" s="1"/>
  <c r="N70" i="2"/>
  <c r="Z31" i="11"/>
  <c r="O180" i="2" s="1"/>
  <c r="N180" i="2"/>
  <c r="Z61" i="11"/>
  <c r="O397" i="2" s="1"/>
  <c r="N397" i="2"/>
  <c r="Z67" i="11"/>
  <c r="O439" i="2" s="1"/>
  <c r="N439" i="2"/>
  <c r="W21" i="11"/>
  <c r="O100" i="2" s="1"/>
  <c r="N100" i="2"/>
  <c r="W39" i="11"/>
  <c r="O215" i="2" s="1"/>
  <c r="N215" i="2"/>
  <c r="X93" i="11"/>
  <c r="O619" i="2" s="1"/>
  <c r="N619" i="2"/>
  <c r="X147" i="11"/>
  <c r="O990" i="2" s="1"/>
  <c r="N990" i="2"/>
  <c r="X81" i="11"/>
  <c r="O542" i="2" s="1"/>
  <c r="N542" i="2"/>
  <c r="Z87" i="11"/>
  <c r="O572" i="2" s="1"/>
  <c r="N572" i="2"/>
  <c r="Z81" i="11"/>
  <c r="O544" i="2" s="1"/>
  <c r="N544" i="2"/>
  <c r="Z93" i="11"/>
  <c r="O621" i="2" s="1"/>
  <c r="N621" i="2"/>
  <c r="X67" i="11"/>
  <c r="O437" i="2" s="1"/>
  <c r="N437" i="2"/>
  <c r="X37" i="11"/>
  <c r="O213" i="2" s="1"/>
  <c r="N213" i="2"/>
  <c r="X31" i="11"/>
  <c r="O178" i="2" s="1"/>
  <c r="N178" i="2"/>
  <c r="Y25" i="11"/>
  <c r="O144" i="2" s="1"/>
  <c r="N144" i="2"/>
  <c r="Z69" i="11"/>
  <c r="O432" i="2" s="1"/>
  <c r="N432" i="2"/>
  <c r="AB103" i="11"/>
  <c r="O714" i="2" s="1"/>
  <c r="N714" i="2"/>
  <c r="Y75" i="11"/>
  <c r="O473" i="2" s="1"/>
  <c r="N473" i="2"/>
  <c r="X97" i="11"/>
  <c r="O633" i="2" s="1"/>
  <c r="N633" i="2"/>
  <c r="Y91" i="11"/>
  <c r="O599" i="2" s="1"/>
  <c r="N599" i="2"/>
  <c r="W117" i="11"/>
  <c r="O758" i="2" s="1"/>
  <c r="N758" i="2"/>
  <c r="W55" i="11"/>
  <c r="O366" i="2" s="1"/>
  <c r="N366" i="2"/>
  <c r="AA127" i="11"/>
  <c r="O883" i="2" s="1"/>
  <c r="N883" i="2"/>
  <c r="AB93" i="11"/>
  <c r="O623" i="2" s="1"/>
  <c r="N623" i="2"/>
  <c r="Y81" i="11"/>
  <c r="O543" i="2" s="1"/>
  <c r="N543" i="2"/>
  <c r="AB61" i="11"/>
  <c r="O399" i="2" s="1"/>
  <c r="N399" i="2"/>
  <c r="Z73" i="11"/>
  <c r="O502" i="2" s="1"/>
  <c r="N502" i="2"/>
  <c r="Z25" i="11"/>
  <c r="O145" i="2" s="1"/>
  <c r="N145" i="2"/>
  <c r="W33" i="11"/>
  <c r="O205" i="2" s="1"/>
  <c r="N205" i="2"/>
  <c r="X105" i="11"/>
  <c r="O689" i="2" s="1"/>
  <c r="N689" i="2"/>
  <c r="X141" i="11"/>
  <c r="O955" i="2" s="1"/>
  <c r="N955" i="2"/>
  <c r="Z129" i="11"/>
  <c r="O852" i="2" s="1"/>
  <c r="N852" i="2"/>
  <c r="Y37" i="11"/>
  <c r="O214" i="2" s="1"/>
  <c r="N214" i="2"/>
  <c r="Z39" i="11"/>
  <c r="O218" i="2" s="1"/>
  <c r="N218" i="2"/>
  <c r="Z63" i="11"/>
  <c r="O381" i="2" s="1"/>
  <c r="N381" i="2"/>
  <c r="AB91" i="11"/>
  <c r="O602" i="2" s="1"/>
  <c r="N602" i="2"/>
  <c r="AB85" i="11"/>
  <c r="O588" i="2" s="1"/>
  <c r="N588" i="2"/>
  <c r="AB97" i="11"/>
  <c r="O637" i="2" s="1"/>
  <c r="N637" i="2"/>
  <c r="Z91" i="11"/>
  <c r="O600" i="2" s="1"/>
  <c r="N600" i="2"/>
  <c r="Z139" i="11"/>
  <c r="O929" i="2" s="1"/>
  <c r="N929" i="2"/>
  <c r="Z133" i="11"/>
  <c r="O901" i="2" s="1"/>
  <c r="N901" i="2"/>
  <c r="X21" i="11"/>
  <c r="O101" i="2" s="1"/>
  <c r="N101" i="2"/>
  <c r="X15" i="11"/>
  <c r="O73" i="2" s="1"/>
  <c r="N73" i="2"/>
  <c r="X45" i="11"/>
  <c r="O276" i="2" s="1"/>
  <c r="N276" i="2"/>
  <c r="Y45" i="11"/>
  <c r="O277" i="2" s="1"/>
  <c r="N277" i="2"/>
  <c r="Y33" i="11"/>
  <c r="O207" i="2" s="1"/>
  <c r="N207" i="2"/>
  <c r="X121" i="11"/>
  <c r="O815" i="2" s="1"/>
  <c r="N815" i="2"/>
  <c r="X115" i="11"/>
  <c r="O780" i="2" s="1"/>
  <c r="N780" i="2"/>
  <c r="X103" i="11"/>
  <c r="O710" i="2" s="1"/>
  <c r="N710" i="2"/>
  <c r="Y79" i="11"/>
  <c r="O529" i="2" s="1"/>
  <c r="N529" i="2"/>
  <c r="Y133" i="11"/>
  <c r="O900" i="2" s="1"/>
  <c r="N900" i="2"/>
  <c r="Y145" i="11"/>
  <c r="O970" i="2" s="1"/>
  <c r="N970" i="2"/>
  <c r="W99" i="11"/>
  <c r="O653" i="2" s="1"/>
  <c r="N653" i="2"/>
  <c r="W129" i="11"/>
  <c r="O849" i="2" s="1"/>
  <c r="N849" i="2"/>
  <c r="W81" i="11"/>
  <c r="O541" i="2" s="1"/>
  <c r="N541" i="2"/>
  <c r="W19" i="11"/>
  <c r="O107" i="2" s="1"/>
  <c r="N107" i="2"/>
  <c r="W73" i="11"/>
  <c r="O485" i="2" s="1"/>
  <c r="N485" i="2"/>
  <c r="AA139" i="11"/>
  <c r="O932" i="2" s="1"/>
  <c r="N932" i="2"/>
  <c r="AA79" i="11"/>
  <c r="O533" i="2" s="1"/>
  <c r="N533" i="2"/>
  <c r="AA91" i="11"/>
  <c r="O603" i="2" s="1"/>
  <c r="N603" i="2"/>
  <c r="AB99" i="11"/>
  <c r="O658" i="2" s="1"/>
  <c r="N658" i="2"/>
  <c r="AB129" i="11"/>
  <c r="O854" i="2" s="1"/>
  <c r="N854" i="2"/>
  <c r="AB123" i="11"/>
  <c r="O826" i="2" s="1"/>
  <c r="N826" i="2"/>
  <c r="Y87" i="11"/>
  <c r="O571" i="2" s="1"/>
  <c r="N571" i="2"/>
  <c r="Y105" i="11"/>
  <c r="O690" i="2" s="1"/>
  <c r="N690" i="2"/>
  <c r="Y117" i="11"/>
  <c r="O760" i="2" s="1"/>
  <c r="N760" i="2"/>
  <c r="AB19" i="11"/>
  <c r="O112" i="2" s="1"/>
  <c r="N112" i="2"/>
  <c r="AB49" i="11"/>
  <c r="O322" i="2" s="1"/>
  <c r="N322" i="2"/>
  <c r="AB73" i="11"/>
  <c r="O504" i="2" s="1"/>
  <c r="N504" i="2"/>
  <c r="Z13" i="11"/>
  <c r="O68" i="2" s="1"/>
  <c r="N68" i="2"/>
  <c r="Z37" i="11"/>
  <c r="O229" i="2" s="1"/>
  <c r="N229" i="2"/>
  <c r="W51" i="11"/>
  <c r="O296" i="2" s="1"/>
  <c r="N296" i="2"/>
  <c r="W9" i="11"/>
  <c r="O30" i="2" s="1"/>
  <c r="N30" i="2"/>
  <c r="W69" i="11"/>
  <c r="O429" i="2" s="1"/>
  <c r="N429" i="2"/>
  <c r="X135" i="11"/>
  <c r="O892" i="2" s="1"/>
  <c r="N892" i="2"/>
  <c r="X117" i="11"/>
  <c r="O759" i="2" s="1"/>
  <c r="N759" i="2"/>
  <c r="X129" i="11"/>
  <c r="O850" i="2" s="1"/>
  <c r="N850" i="2"/>
  <c r="Z99" i="11"/>
  <c r="O656" i="2" s="1"/>
  <c r="N656" i="2"/>
  <c r="Z123" i="11"/>
  <c r="O824" i="2" s="1"/>
  <c r="N824" i="2"/>
  <c r="Z105" i="11"/>
  <c r="O691" i="2" s="1"/>
  <c r="N691" i="2"/>
  <c r="X25" i="11"/>
  <c r="O143" i="2" s="1"/>
  <c r="N143" i="2"/>
  <c r="X49" i="11"/>
  <c r="O318" i="2" s="1"/>
  <c r="N318" i="2"/>
  <c r="Y67" i="11"/>
  <c r="O438" i="2" s="1"/>
  <c r="N438" i="2"/>
  <c r="Y31" i="11"/>
  <c r="O179" i="2" s="1"/>
  <c r="N179" i="2"/>
  <c r="Y49" i="11"/>
  <c r="O319" i="2" s="1"/>
  <c r="N319" i="2"/>
  <c r="O7" i="12"/>
  <c r="O77" i="12"/>
  <c r="O156" i="12"/>
  <c r="O298" i="12"/>
  <c r="O223" i="12"/>
  <c r="O78" i="12"/>
  <c r="O148" i="12"/>
  <c r="O3" i="12"/>
  <c r="O227" i="12"/>
  <c r="O226" i="12"/>
  <c r="O149" i="12"/>
  <c r="BA377" i="6"/>
  <c r="BA327" i="6"/>
  <c r="BA406" i="6"/>
  <c r="O155" i="12"/>
  <c r="O6" i="12"/>
  <c r="O294" i="12"/>
  <c r="O150" i="12"/>
  <c r="O147" i="12"/>
  <c r="O367" i="12"/>
  <c r="O295" i="12"/>
  <c r="O293" i="12"/>
  <c r="BA390" i="6"/>
  <c r="BA419" i="6"/>
  <c r="O368" i="12"/>
  <c r="O297" i="12"/>
  <c r="O221" i="12"/>
  <c r="O75" i="12"/>
  <c r="O370" i="12"/>
  <c r="O9" i="12"/>
  <c r="O220" i="12"/>
  <c r="O82" i="12"/>
  <c r="O10" i="12"/>
  <c r="BA386" i="6"/>
  <c r="BA418" i="6"/>
  <c r="BA425" i="6"/>
  <c r="BA416" i="6"/>
  <c r="BA415" i="6"/>
  <c r="BA420" i="6"/>
  <c r="BA384" i="6"/>
  <c r="BA422" i="6"/>
  <c r="O11" i="12"/>
  <c r="BA391" i="6"/>
  <c r="BA411" i="6"/>
  <c r="O153" i="12"/>
  <c r="O219" i="12"/>
  <c r="BA409" i="6"/>
  <c r="BA441" i="6"/>
  <c r="BA412" i="6"/>
  <c r="BA440" i="6"/>
  <c r="BA417" i="6"/>
  <c r="BA399" i="6"/>
  <c r="BA394" i="6"/>
  <c r="BA424" i="6"/>
  <c r="O81" i="12"/>
  <c r="O224" i="12"/>
  <c r="O79" i="12"/>
  <c r="O4" i="12"/>
  <c r="O300" i="12"/>
  <c r="BA423" i="6"/>
  <c r="BA414" i="6"/>
  <c r="BA392" i="6"/>
  <c r="BA396" i="6"/>
  <c r="BA397" i="6"/>
  <c r="BA429" i="6"/>
  <c r="O299" i="12"/>
  <c r="O366" i="12"/>
  <c r="O5" i="12"/>
  <c r="O292" i="12"/>
  <c r="O363" i="12"/>
  <c r="BA155" i="6"/>
  <c r="O80" i="12"/>
  <c r="O152" i="12"/>
  <c r="Z7" i="11"/>
  <c r="O40" i="2" s="1"/>
  <c r="W79" i="11"/>
  <c r="N79" i="11"/>
  <c r="W57" i="11"/>
  <c r="O352" i="2" s="1"/>
  <c r="N115" i="11"/>
  <c r="W115" i="11"/>
  <c r="N103" i="11"/>
  <c r="W103" i="11"/>
  <c r="N121" i="11"/>
  <c r="W121" i="11"/>
  <c r="Y43" i="11"/>
  <c r="O256" i="2" s="1"/>
  <c r="Y7" i="11"/>
  <c r="O39" i="2" s="1"/>
  <c r="Y109" i="11"/>
  <c r="O725" i="2" s="1"/>
  <c r="Z57" i="11"/>
  <c r="O355" i="2" s="1"/>
  <c r="Y57" i="11"/>
  <c r="O354" i="2" s="1"/>
  <c r="W7" i="11"/>
  <c r="O37" i="2" s="1"/>
  <c r="Z43" i="11"/>
  <c r="O257" i="2" s="1"/>
  <c r="N85" i="11"/>
  <c r="W85" i="11"/>
  <c r="N127" i="11"/>
  <c r="W127" i="11"/>
  <c r="W91" i="11"/>
  <c r="N91" i="11"/>
  <c r="X43" i="11"/>
  <c r="O255" i="2" s="1"/>
  <c r="AB109" i="11"/>
  <c r="O728" i="2" s="1"/>
  <c r="Z109" i="11"/>
  <c r="O726" i="2" s="1"/>
  <c r="X109" i="11"/>
  <c r="O724" i="2" s="1"/>
  <c r="W43" i="11"/>
  <c r="O254" i="2" s="1"/>
  <c r="W109" i="11"/>
  <c r="O723" i="2" s="1"/>
  <c r="N109" i="11"/>
  <c r="W97" i="11"/>
  <c r="N97" i="11"/>
  <c r="X57" i="11"/>
  <c r="O353" i="2" s="1"/>
  <c r="W145" i="11"/>
  <c r="N145" i="11"/>
  <c r="N133" i="11"/>
  <c r="W133" i="11"/>
  <c r="W139" i="11"/>
  <c r="N139" i="11"/>
  <c r="X7" i="11"/>
  <c r="O38" i="2" s="1"/>
  <c r="O83" i="12"/>
  <c r="O301" i="12"/>
  <c r="O157" i="12"/>
  <c r="O228" i="12"/>
  <c r="N12" i="12"/>
  <c r="L12" i="12"/>
  <c r="N84" i="12"/>
  <c r="L84" i="12"/>
  <c r="N372" i="12"/>
  <c r="L372" i="12"/>
  <c r="N229" i="12"/>
  <c r="L229" i="12"/>
  <c r="B13" i="12"/>
  <c r="A13" i="12" s="1"/>
  <c r="N158" i="12"/>
  <c r="L158" i="12"/>
  <c r="N302" i="12"/>
  <c r="L302" i="12"/>
  <c r="O371" i="12"/>
  <c r="B373" i="12"/>
  <c r="A373" i="12" s="1"/>
  <c r="B303" i="12"/>
  <c r="A303" i="12" s="1"/>
  <c r="B230" i="12"/>
  <c r="A230" i="12" s="1"/>
  <c r="B159" i="12"/>
  <c r="A159" i="12" s="1"/>
  <c r="B85" i="12"/>
  <c r="A85" i="12" s="1"/>
  <c r="AB319" i="11"/>
  <c r="AB343" i="11"/>
  <c r="AB325" i="11"/>
  <c r="AA307" i="11"/>
  <c r="AA295" i="11"/>
  <c r="AA325" i="11"/>
  <c r="Z227" i="11"/>
  <c r="Z239" i="11"/>
  <c r="Z281" i="11"/>
  <c r="AB363" i="11"/>
  <c r="AB351" i="11"/>
  <c r="AB333" i="11"/>
  <c r="AA351" i="11"/>
  <c r="AA333" i="11"/>
  <c r="AA315" i="11"/>
  <c r="AB376" i="11"/>
  <c r="AB400" i="11"/>
  <c r="AB418" i="11"/>
  <c r="X368" i="11"/>
  <c r="X410" i="11"/>
  <c r="X380" i="11"/>
  <c r="W410" i="11"/>
  <c r="W434" i="11"/>
  <c r="W428" i="11"/>
  <c r="Z159" i="11"/>
  <c r="O1062" i="2" s="1"/>
  <c r="Z189" i="11"/>
  <c r="O1279" i="2" s="1"/>
  <c r="Z201" i="11"/>
  <c r="W316" i="11"/>
  <c r="W328" i="11"/>
  <c r="W298" i="11"/>
  <c r="Z259" i="11"/>
  <c r="Z241" i="11"/>
  <c r="Z271" i="11"/>
  <c r="AB405" i="11"/>
  <c r="AB423" i="11"/>
  <c r="AB417" i="11"/>
  <c r="X178" i="11"/>
  <c r="O1235" i="2" s="1"/>
  <c r="X154" i="11"/>
  <c r="O1088" i="2" s="1"/>
  <c r="X196" i="11"/>
  <c r="AB211" i="11"/>
  <c r="AB157" i="11"/>
  <c r="O1078" i="2" s="1"/>
  <c r="AB181" i="11"/>
  <c r="O1260" i="2" s="1"/>
  <c r="AA187" i="11"/>
  <c r="O1296" i="2" s="1"/>
  <c r="AA169" i="11"/>
  <c r="O1142" i="2" s="1"/>
  <c r="AA199" i="11"/>
  <c r="W367" i="11"/>
  <c r="W427" i="11"/>
  <c r="W397" i="11"/>
  <c r="W306" i="11"/>
  <c r="W324" i="11"/>
  <c r="W360" i="11"/>
  <c r="X174" i="11"/>
  <c r="O1200" i="2" s="1"/>
  <c r="X162" i="11"/>
  <c r="O1102" i="2" s="1"/>
  <c r="X204" i="11"/>
  <c r="AB273" i="11"/>
  <c r="AB243" i="11"/>
  <c r="AB261" i="11"/>
  <c r="AA255" i="11"/>
  <c r="AA291" i="11"/>
  <c r="AA225" i="11"/>
  <c r="Z311" i="11"/>
  <c r="Z347" i="11"/>
  <c r="Z329" i="11"/>
  <c r="AB167" i="11"/>
  <c r="O1155" i="2" s="1"/>
  <c r="AB203" i="11"/>
  <c r="AB161" i="11"/>
  <c r="O1120" i="2" s="1"/>
  <c r="AA155" i="11"/>
  <c r="O1058" i="2" s="1"/>
  <c r="AA167" i="11"/>
  <c r="O1156" i="2" s="1"/>
  <c r="AA185" i="11"/>
  <c r="O1275" i="2" s="1"/>
  <c r="AA128" i="11"/>
  <c r="O848" i="2" s="1"/>
  <c r="AA116" i="11"/>
  <c r="O778" i="2" s="1"/>
  <c r="AA92" i="11"/>
  <c r="O596" i="2" s="1"/>
  <c r="W242" i="11"/>
  <c r="W260" i="11"/>
  <c r="W254" i="11"/>
  <c r="AB408" i="11"/>
  <c r="AB390" i="11"/>
  <c r="AB372" i="11"/>
  <c r="W188" i="11"/>
  <c r="O1262" i="2" s="1"/>
  <c r="W158" i="11"/>
  <c r="O1066" i="2" s="1"/>
  <c r="W170" i="11"/>
  <c r="O1157" i="2" s="1"/>
  <c r="X244" i="11"/>
  <c r="X238" i="11"/>
  <c r="X268" i="11"/>
  <c r="W308" i="11"/>
  <c r="W302" i="11"/>
  <c r="W314" i="11"/>
  <c r="X240" i="11"/>
  <c r="X258" i="11"/>
  <c r="X276" i="11"/>
  <c r="AB22" i="11"/>
  <c r="O161" i="2" s="1"/>
  <c r="AB28" i="11"/>
  <c r="O196" i="2" s="1"/>
  <c r="AB4" i="11"/>
  <c r="O14" i="2" s="1"/>
  <c r="AA34" i="11"/>
  <c r="O253" i="2" s="1"/>
  <c r="AA70" i="11"/>
  <c r="O501" i="2" s="1"/>
  <c r="AA46" i="11"/>
  <c r="O330" i="2" s="1"/>
  <c r="Z395" i="11"/>
  <c r="Z383" i="11"/>
  <c r="Z425" i="11"/>
  <c r="AA144" i="11"/>
  <c r="O1009" i="2" s="1"/>
  <c r="AA102" i="11"/>
  <c r="O687" i="2" s="1"/>
  <c r="AA126" i="11"/>
  <c r="O876" i="2" s="1"/>
  <c r="AB120" i="11"/>
  <c r="O812" i="2" s="1"/>
  <c r="AB132" i="11"/>
  <c r="O924" i="2" s="1"/>
  <c r="AB84" i="11"/>
  <c r="O553" i="2" s="1"/>
  <c r="W113" i="11"/>
  <c r="O793" i="2" s="1"/>
  <c r="W131" i="11"/>
  <c r="O905" i="2" s="1"/>
  <c r="W137" i="11"/>
  <c r="O961" i="2" s="1"/>
  <c r="AA38" i="11"/>
  <c r="O239" i="2" s="1"/>
  <c r="AA68" i="11"/>
  <c r="O456" i="2" s="1"/>
  <c r="AA74" i="11"/>
  <c r="O494" i="2" s="1"/>
  <c r="AB38" i="11"/>
  <c r="O238" i="2" s="1"/>
  <c r="AB44" i="11"/>
  <c r="O266" i="2" s="1"/>
  <c r="AB50" i="11"/>
  <c r="O336" i="2" s="1"/>
  <c r="AA23" i="11"/>
  <c r="O155" i="2" s="1"/>
  <c r="AA47" i="11"/>
  <c r="O316" i="2" s="1"/>
  <c r="AA53" i="11"/>
  <c r="O365" i="2" s="1"/>
  <c r="AB71" i="11"/>
  <c r="O469" i="2" s="1"/>
  <c r="AB23" i="11"/>
  <c r="O154" i="2" s="1"/>
  <c r="AB41" i="11"/>
  <c r="O273" i="2" s="1"/>
  <c r="AB18" i="11"/>
  <c r="O91" i="2" s="1"/>
  <c r="AB36" i="11"/>
  <c r="O227" i="2" s="1"/>
  <c r="AB30" i="11"/>
  <c r="O203" i="2" s="1"/>
  <c r="Z126" i="11"/>
  <c r="O873" i="2" s="1"/>
  <c r="Z120" i="11"/>
  <c r="O810" i="2" s="1"/>
  <c r="Z132" i="11"/>
  <c r="O922" i="2" s="1"/>
  <c r="Z32" i="11"/>
  <c r="O173" i="2" s="1"/>
  <c r="Z20" i="11"/>
  <c r="O124" i="2" s="1"/>
  <c r="Z68" i="11"/>
  <c r="O453" i="2" s="1"/>
  <c r="X227" i="11"/>
  <c r="X239" i="11"/>
  <c r="X275" i="11"/>
  <c r="W251" i="11"/>
  <c r="W287" i="11"/>
  <c r="W257" i="11"/>
  <c r="W406" i="11"/>
  <c r="W430" i="11"/>
  <c r="W382" i="11"/>
  <c r="AB374" i="11"/>
  <c r="AB416" i="11"/>
  <c r="AB410" i="11"/>
  <c r="X213" i="11"/>
  <c r="X153" i="11"/>
  <c r="O1018" i="2" s="1"/>
  <c r="X207" i="11"/>
  <c r="W195" i="11"/>
  <c r="W171" i="11"/>
  <c r="O1171" i="2" s="1"/>
  <c r="W165" i="11"/>
  <c r="O1129" i="2" s="1"/>
  <c r="AA310" i="11"/>
  <c r="AA358" i="11"/>
  <c r="AA352" i="11"/>
  <c r="X247" i="11"/>
  <c r="X283" i="11"/>
  <c r="X259" i="11"/>
  <c r="W235" i="11"/>
  <c r="W253" i="11"/>
  <c r="W229" i="11"/>
  <c r="Z411" i="11"/>
  <c r="Z399" i="11"/>
  <c r="Z393" i="11"/>
  <c r="Z202" i="11"/>
  <c r="Z154" i="11"/>
  <c r="O1090" i="2" s="1"/>
  <c r="Z148" i="11"/>
  <c r="O1041" i="2" s="1"/>
  <c r="AB184" i="11"/>
  <c r="O1288" i="2" s="1"/>
  <c r="AB172" i="11"/>
  <c r="O1211" i="2" s="1"/>
  <c r="AB178" i="11"/>
  <c r="O1239" i="2" s="1"/>
  <c r="X373" i="11"/>
  <c r="X367" i="11"/>
  <c r="X427" i="11"/>
  <c r="AA367" i="11"/>
  <c r="AA433" i="11"/>
  <c r="AA409" i="11"/>
  <c r="AA300" i="11"/>
  <c r="AA348" i="11"/>
  <c r="AA336" i="11"/>
  <c r="Z180" i="11"/>
  <c r="O1223" i="2" s="1"/>
  <c r="Z150" i="11"/>
  <c r="O1048" i="2" s="1"/>
  <c r="Z168" i="11"/>
  <c r="O1167" i="2" s="1"/>
  <c r="AB168" i="11"/>
  <c r="O1169" i="2" s="1"/>
  <c r="AB180" i="11"/>
  <c r="O1225" i="2" s="1"/>
  <c r="AB198" i="11"/>
  <c r="X311" i="11"/>
  <c r="X299" i="11"/>
  <c r="X335" i="11"/>
  <c r="W299" i="11"/>
  <c r="W305" i="11"/>
  <c r="W353" i="11"/>
  <c r="X146" i="11"/>
  <c r="O983" i="2" s="1"/>
  <c r="X80" i="11"/>
  <c r="O521" i="2" s="1"/>
  <c r="X104" i="11"/>
  <c r="O675" i="2" s="1"/>
  <c r="AA278" i="11"/>
  <c r="AA272" i="11"/>
  <c r="AA224" i="11"/>
  <c r="W390" i="11"/>
  <c r="W402" i="11"/>
  <c r="W420" i="11"/>
  <c r="AA152" i="11"/>
  <c r="O1016" i="2" s="1"/>
  <c r="AA218" i="11"/>
  <c r="AA200" i="11"/>
  <c r="Z268" i="11"/>
  <c r="Z250" i="11"/>
  <c r="Z226" i="11"/>
  <c r="AB244" i="11"/>
  <c r="AB262" i="11"/>
  <c r="AB286" i="11"/>
  <c r="AA332" i="11"/>
  <c r="AA326" i="11"/>
  <c r="AA338" i="11"/>
  <c r="Z234" i="11"/>
  <c r="Z282" i="11"/>
  <c r="Z288" i="11"/>
  <c r="AB276" i="11"/>
  <c r="AB228" i="11"/>
  <c r="AB270" i="11"/>
  <c r="X52" i="11"/>
  <c r="O346" i="2" s="1"/>
  <c r="X28" i="11"/>
  <c r="O192" i="2" s="1"/>
  <c r="X10" i="11"/>
  <c r="O80" i="2" s="1"/>
  <c r="W16" i="11"/>
  <c r="O93" i="2" s="1"/>
  <c r="W34" i="11"/>
  <c r="O247" i="2" s="1"/>
  <c r="W40" i="11"/>
  <c r="O289" i="2" s="1"/>
  <c r="AB383" i="11"/>
  <c r="AB431" i="11"/>
  <c r="AB413" i="11"/>
  <c r="W144" i="11"/>
  <c r="O1003" i="2" s="1"/>
  <c r="W96" i="11"/>
  <c r="O660" i="2" s="1"/>
  <c r="W108" i="11"/>
  <c r="O751" i="2" s="1"/>
  <c r="W68" i="11"/>
  <c r="O450" i="2" s="1"/>
  <c r="W32" i="11"/>
  <c r="O170" i="2" s="1"/>
  <c r="W8" i="11"/>
  <c r="O2" i="2" s="1"/>
  <c r="AB27" i="11"/>
  <c r="O133" i="2" s="1"/>
  <c r="AB21" i="11"/>
  <c r="O105" i="2" s="1"/>
  <c r="AB57" i="11"/>
  <c r="O357" i="2" s="1"/>
  <c r="Z307" i="11"/>
  <c r="Z349" i="11"/>
  <c r="Z331" i="11"/>
  <c r="AB251" i="11"/>
  <c r="AB287" i="11"/>
  <c r="AB263" i="11"/>
  <c r="AA239" i="11"/>
  <c r="AA275" i="11"/>
  <c r="AA269" i="11"/>
  <c r="Z339" i="11"/>
  <c r="Z351" i="11"/>
  <c r="Z321" i="11"/>
  <c r="AA376" i="11"/>
  <c r="AA424" i="11"/>
  <c r="AA394" i="11"/>
  <c r="Z388" i="11"/>
  <c r="Z430" i="11"/>
  <c r="Z364" i="11"/>
  <c r="Z368" i="11"/>
  <c r="Z416" i="11"/>
  <c r="Z434" i="11"/>
  <c r="AB195" i="11"/>
  <c r="AB213" i="11"/>
  <c r="AB177" i="11"/>
  <c r="O1183" i="2" s="1"/>
  <c r="AA219" i="11"/>
  <c r="AA207" i="11"/>
  <c r="AA201" i="11"/>
  <c r="X352" i="11"/>
  <c r="X322" i="11"/>
  <c r="X340" i="11"/>
  <c r="AB235" i="11"/>
  <c r="AB259" i="11"/>
  <c r="AB289" i="11"/>
  <c r="AA271" i="11"/>
  <c r="AA253" i="11"/>
  <c r="AA265" i="11"/>
  <c r="W411" i="11"/>
  <c r="W381" i="11"/>
  <c r="W417" i="11"/>
  <c r="W196" i="11"/>
  <c r="W160" i="11"/>
  <c r="O1122" i="2" s="1"/>
  <c r="W184" i="11"/>
  <c r="O1283" i="2" s="1"/>
  <c r="Z199" i="11"/>
  <c r="Z181" i="11"/>
  <c r="O1258" i="2" s="1"/>
  <c r="Z151" i="11"/>
  <c r="O1034" i="2" s="1"/>
  <c r="Z391" i="11"/>
  <c r="Z403" i="11"/>
  <c r="Z433" i="11"/>
  <c r="AB379" i="11"/>
  <c r="AB403" i="11"/>
  <c r="AB373" i="11"/>
  <c r="X318" i="11"/>
  <c r="X354" i="11"/>
  <c r="X360" i="11"/>
  <c r="W192" i="11"/>
  <c r="W150" i="11"/>
  <c r="O1045" i="2" s="1"/>
  <c r="W216" i="11"/>
  <c r="Z243" i="11"/>
  <c r="Z279" i="11"/>
  <c r="Z267" i="11"/>
  <c r="AB299" i="11"/>
  <c r="AB311" i="11"/>
  <c r="AB317" i="11"/>
  <c r="AA335" i="11"/>
  <c r="AA299" i="11"/>
  <c r="AA317" i="11"/>
  <c r="Z215" i="11"/>
  <c r="Z203" i="11"/>
  <c r="Z209" i="11"/>
  <c r="Z80" i="11"/>
  <c r="O523" i="2" s="1"/>
  <c r="Z104" i="11"/>
  <c r="O677" i="2" s="1"/>
  <c r="Z134" i="11"/>
  <c r="O887" i="2" s="1"/>
  <c r="AB104" i="11"/>
  <c r="O679" i="2" s="1"/>
  <c r="AB140" i="11"/>
  <c r="O938" i="2" s="1"/>
  <c r="AB80" i="11"/>
  <c r="O525" i="2" s="1"/>
  <c r="X254" i="11"/>
  <c r="X224" i="11"/>
  <c r="X236" i="11"/>
  <c r="AA408" i="11"/>
  <c r="AA378" i="11"/>
  <c r="AA390" i="11"/>
  <c r="Z432" i="11"/>
  <c r="Z378" i="11"/>
  <c r="Z426" i="11"/>
  <c r="X158" i="11"/>
  <c r="O1067" i="2" s="1"/>
  <c r="X194" i="11"/>
  <c r="X164" i="11"/>
  <c r="O1095" i="2" s="1"/>
  <c r="W256" i="11"/>
  <c r="W226" i="11"/>
  <c r="W286" i="11"/>
  <c r="X320" i="11"/>
  <c r="X302" i="11"/>
  <c r="X362" i="11"/>
  <c r="W240" i="11"/>
  <c r="W276" i="11"/>
  <c r="W228" i="11"/>
  <c r="Z16" i="11"/>
  <c r="O96" i="2" s="1"/>
  <c r="Z28" i="11"/>
  <c r="O194" i="2" s="1"/>
  <c r="Z52" i="11"/>
  <c r="O348" i="2" s="1"/>
  <c r="X401" i="11"/>
  <c r="X419" i="11"/>
  <c r="X365" i="11"/>
  <c r="W425" i="11"/>
  <c r="W365" i="11"/>
  <c r="W395" i="11"/>
  <c r="AA54" i="11"/>
  <c r="O379" i="2" s="1"/>
  <c r="AA72" i="11"/>
  <c r="O484" i="2" s="1"/>
  <c r="AA36" i="11"/>
  <c r="O228" i="2" s="1"/>
  <c r="Z42" i="11"/>
  <c r="O285" i="2" s="1"/>
  <c r="Z60" i="11"/>
  <c r="O390" i="2" s="1"/>
  <c r="Z66" i="11"/>
  <c r="O446" i="2" s="1"/>
  <c r="Z119" i="11"/>
  <c r="O831" i="2" s="1"/>
  <c r="Z101" i="11"/>
  <c r="O705" i="2" s="1"/>
  <c r="Z77" i="11"/>
  <c r="O509" i="2" s="1"/>
  <c r="AA136" i="11"/>
  <c r="O953" i="2" s="1"/>
  <c r="AA100" i="11"/>
  <c r="O701" i="2" s="1"/>
  <c r="AA94" i="11"/>
  <c r="O673" i="2" s="1"/>
  <c r="Z88" i="11"/>
  <c r="O607" i="2" s="1"/>
  <c r="Z76" i="11"/>
  <c r="O537" i="2" s="1"/>
  <c r="Z100" i="11"/>
  <c r="O698" i="2" s="1"/>
  <c r="Z47" i="11"/>
  <c r="O313" i="2" s="1"/>
  <c r="Z41" i="11"/>
  <c r="O271" i="2" s="1"/>
  <c r="Z29" i="11"/>
  <c r="O187" i="2" s="1"/>
  <c r="AA131" i="11"/>
  <c r="O911" i="2" s="1"/>
  <c r="AA89" i="11"/>
  <c r="O631" i="2" s="1"/>
  <c r="AA113" i="11"/>
  <c r="O799" i="2" s="1"/>
  <c r="W82" i="11"/>
  <c r="O576" i="2" s="1"/>
  <c r="W118" i="11"/>
  <c r="O835" i="2" s="1"/>
  <c r="W88" i="11"/>
  <c r="O604" i="2" s="1"/>
  <c r="X82" i="11"/>
  <c r="O577" i="2" s="1"/>
  <c r="X88" i="11"/>
  <c r="O605" i="2" s="1"/>
  <c r="X112" i="11"/>
  <c r="O766" i="2" s="1"/>
  <c r="X59" i="11"/>
  <c r="O402" i="2" s="1"/>
  <c r="X65" i="11"/>
  <c r="O458" i="2" s="1"/>
  <c r="X29" i="11"/>
  <c r="O185" i="2" s="1"/>
  <c r="AB113" i="11"/>
  <c r="O798" i="2" s="1"/>
  <c r="AB77" i="11"/>
  <c r="O511" i="2" s="1"/>
  <c r="AB137" i="11"/>
  <c r="O966" i="2" s="1"/>
  <c r="W35" i="11"/>
  <c r="O240" i="2" s="1"/>
  <c r="W23" i="11"/>
  <c r="O149" i="2" s="1"/>
  <c r="W53" i="11"/>
  <c r="O359" i="2" s="1"/>
  <c r="X325" i="11"/>
  <c r="X319" i="11"/>
  <c r="X307" i="11"/>
  <c r="W319" i="11"/>
  <c r="W343" i="11"/>
  <c r="W361" i="11"/>
  <c r="X363" i="11"/>
  <c r="X309" i="11"/>
  <c r="X357" i="11"/>
  <c r="W357" i="11"/>
  <c r="W327" i="11"/>
  <c r="W333" i="11"/>
  <c r="X430" i="11"/>
  <c r="X400" i="11"/>
  <c r="X424" i="11"/>
  <c r="AA404" i="11"/>
  <c r="AA428" i="11"/>
  <c r="AA422" i="11"/>
  <c r="Z346" i="11"/>
  <c r="Z310" i="11"/>
  <c r="Z352" i="11"/>
  <c r="AB304" i="11"/>
  <c r="AB340" i="11"/>
  <c r="AB298" i="11"/>
  <c r="X387" i="11"/>
  <c r="X435" i="11"/>
  <c r="X405" i="11"/>
  <c r="AA435" i="11"/>
  <c r="AA429" i="11"/>
  <c r="AA381" i="11"/>
  <c r="AA202" i="11"/>
  <c r="AA154" i="11"/>
  <c r="O1093" i="2" s="1"/>
  <c r="AA208" i="11"/>
  <c r="X211" i="11"/>
  <c r="X187" i="11"/>
  <c r="O1291" i="2" s="1"/>
  <c r="X157" i="11"/>
  <c r="O1074" i="2" s="1"/>
  <c r="W175" i="11"/>
  <c r="O1185" i="2" s="1"/>
  <c r="W157" i="11"/>
  <c r="O1073" i="2" s="1"/>
  <c r="W205" i="11"/>
  <c r="Z324" i="11"/>
  <c r="Z360" i="11"/>
  <c r="Z306" i="11"/>
  <c r="AB342" i="11"/>
  <c r="AB294" i="11"/>
  <c r="AB312" i="11"/>
  <c r="AA156" i="11"/>
  <c r="O1086" i="2" s="1"/>
  <c r="AA180" i="11"/>
  <c r="O1226" i="2" s="1"/>
  <c r="AA210" i="11"/>
  <c r="X237" i="11"/>
  <c r="X285" i="11"/>
  <c r="X225" i="11"/>
  <c r="W231" i="11"/>
  <c r="W243" i="11"/>
  <c r="W237" i="11"/>
  <c r="X215" i="11"/>
  <c r="X203" i="11"/>
  <c r="X185" i="11"/>
  <c r="O1270" i="2" s="1"/>
  <c r="W173" i="11"/>
  <c r="O1198" i="2" s="1"/>
  <c r="W215" i="11"/>
  <c r="W161" i="11"/>
  <c r="O1115" i="2" s="1"/>
  <c r="W146" i="11"/>
  <c r="O982" i="2" s="1"/>
  <c r="W86" i="11"/>
  <c r="O555" i="2" s="1"/>
  <c r="W122" i="11"/>
  <c r="O800" i="2" s="1"/>
  <c r="Z248" i="11"/>
  <c r="Z230" i="11"/>
  <c r="Z242" i="11"/>
  <c r="AB260" i="11"/>
  <c r="AB242" i="11"/>
  <c r="AB284" i="11"/>
  <c r="X372" i="11"/>
  <c r="X396" i="11"/>
  <c r="X420" i="11"/>
  <c r="Z212" i="11"/>
  <c r="Z164" i="11"/>
  <c r="O1097" i="2" s="1"/>
  <c r="Z200" i="11"/>
  <c r="AB152" i="11"/>
  <c r="O1015" i="2" s="1"/>
  <c r="AB212" i="11"/>
  <c r="AB170" i="11"/>
  <c r="O1162" i="2" s="1"/>
  <c r="AA268" i="11"/>
  <c r="AA244" i="11"/>
  <c r="AA238" i="11"/>
  <c r="Z350" i="11"/>
  <c r="Z308" i="11"/>
  <c r="Z320" i="11"/>
  <c r="AB338" i="11"/>
  <c r="AB350" i="11"/>
  <c r="AB314" i="11"/>
  <c r="AA258" i="11"/>
  <c r="AA282" i="11"/>
  <c r="AA222" i="11"/>
  <c r="AA425" i="11"/>
  <c r="AA431" i="11"/>
  <c r="AA413" i="11"/>
  <c r="W12" i="11"/>
  <c r="O62" i="2" s="1"/>
  <c r="W30" i="11"/>
  <c r="O198" i="2" s="1"/>
  <c r="W42" i="11"/>
  <c r="O282" i="2" s="1"/>
  <c r="X60" i="11"/>
  <c r="O388" i="2" s="1"/>
  <c r="X36" i="11"/>
  <c r="O223" i="2" s="1"/>
  <c r="X6" i="11"/>
  <c r="O17" i="2" s="1"/>
  <c r="X114" i="11"/>
  <c r="O787" i="2" s="1"/>
  <c r="X108" i="11"/>
  <c r="O752" i="2" s="1"/>
  <c r="X120" i="11"/>
  <c r="O808" i="2" s="1"/>
  <c r="X143" i="11"/>
  <c r="O997" i="2" s="1"/>
  <c r="X131" i="11"/>
  <c r="O906" i="2" s="1"/>
  <c r="X125" i="11"/>
  <c r="O857" i="2" s="1"/>
  <c r="X14" i="11"/>
  <c r="O52" i="2" s="1"/>
  <c r="X44" i="11"/>
  <c r="O262" i="2" s="1"/>
  <c r="X38" i="11"/>
  <c r="O234" i="2" s="1"/>
  <c r="AB136" i="11"/>
  <c r="O952" i="2" s="1"/>
  <c r="AB124" i="11"/>
  <c r="O868" i="2" s="1"/>
  <c r="AB88" i="11"/>
  <c r="O609" i="2" s="1"/>
  <c r="AB307" i="11"/>
  <c r="AB361" i="11"/>
  <c r="AB337" i="11"/>
  <c r="AA343" i="11"/>
  <c r="AA361" i="11"/>
  <c r="AA337" i="11"/>
  <c r="Z221" i="11"/>
  <c r="Z251" i="11"/>
  <c r="Z269" i="11"/>
  <c r="AB345" i="11"/>
  <c r="AB297" i="11"/>
  <c r="AB339" i="11"/>
  <c r="AA297" i="11"/>
  <c r="AA327" i="11"/>
  <c r="AA363" i="11"/>
  <c r="AB412" i="11"/>
  <c r="AB382" i="11"/>
  <c r="AB430" i="11"/>
  <c r="X398" i="11"/>
  <c r="X434" i="11"/>
  <c r="X404" i="11"/>
  <c r="W380" i="11"/>
  <c r="W374" i="11"/>
  <c r="W416" i="11"/>
  <c r="Z171" i="11"/>
  <c r="O1174" i="2" s="1"/>
  <c r="Z195" i="11"/>
  <c r="Z213" i="11"/>
  <c r="W358" i="11"/>
  <c r="W334" i="11"/>
  <c r="W346" i="11"/>
  <c r="Z253" i="11"/>
  <c r="Z247" i="11"/>
  <c r="Z283" i="11"/>
  <c r="AB387" i="11"/>
  <c r="AB435" i="11"/>
  <c r="AB375" i="11"/>
  <c r="X184" i="11"/>
  <c r="O1284" i="2" s="1"/>
  <c r="X202" i="11"/>
  <c r="X166" i="11"/>
  <c r="O1144" i="2" s="1"/>
  <c r="AB151" i="11"/>
  <c r="O1036" i="2" s="1"/>
  <c r="AB193" i="11"/>
  <c r="AB205" i="11"/>
  <c r="AA157" i="11"/>
  <c r="O1079" i="2" s="1"/>
  <c r="AA181" i="11"/>
  <c r="O1261" i="2" s="1"/>
  <c r="AA211" i="11"/>
  <c r="W391" i="11"/>
  <c r="W433" i="11"/>
  <c r="W403" i="11"/>
  <c r="W348" i="11"/>
  <c r="W354" i="11"/>
  <c r="W312" i="11"/>
  <c r="X168" i="11"/>
  <c r="O1165" i="2" s="1"/>
  <c r="X156" i="11"/>
  <c r="O1081" i="2" s="1"/>
  <c r="X150" i="11"/>
  <c r="O1046" i="2" s="1"/>
  <c r="AB249" i="11"/>
  <c r="AB291" i="11"/>
  <c r="AB237" i="11"/>
  <c r="AA285" i="11"/>
  <c r="AA267" i="11"/>
  <c r="AA249" i="11"/>
  <c r="Z359" i="11"/>
  <c r="Z293" i="11"/>
  <c r="Z341" i="11"/>
  <c r="AB215" i="11"/>
  <c r="AB191" i="11"/>
  <c r="AB173" i="11"/>
  <c r="O1196" i="2" s="1"/>
  <c r="AA191" i="11"/>
  <c r="AA179" i="11"/>
  <c r="O1254" i="2" s="1"/>
  <c r="AA161" i="11"/>
  <c r="O1121" i="2" s="1"/>
  <c r="AA86" i="11"/>
  <c r="O561" i="2" s="1"/>
  <c r="AA140" i="11"/>
  <c r="O939" i="2" s="1"/>
  <c r="AA110" i="11"/>
  <c r="O743" i="2" s="1"/>
  <c r="W272" i="11"/>
  <c r="W290" i="11"/>
  <c r="W248" i="11"/>
  <c r="AB420" i="11"/>
  <c r="AB402" i="11"/>
  <c r="AB432" i="11"/>
  <c r="W212" i="11"/>
  <c r="W206" i="11"/>
  <c r="W218" i="11"/>
  <c r="X286" i="11"/>
  <c r="X226" i="11"/>
  <c r="X220" i="11"/>
  <c r="W338" i="11"/>
  <c r="W350" i="11"/>
  <c r="W362" i="11"/>
  <c r="X222" i="11"/>
  <c r="X234" i="11"/>
  <c r="X246" i="11"/>
  <c r="AB58" i="11"/>
  <c r="O420" i="2" s="1"/>
  <c r="AB40" i="11"/>
  <c r="O294" i="2" s="1"/>
  <c r="AB34" i="11"/>
  <c r="O252" i="2" s="1"/>
  <c r="AA16" i="11"/>
  <c r="O99" i="2" s="1"/>
  <c r="AA28" i="11"/>
  <c r="O197" i="2" s="1"/>
  <c r="AA10" i="11"/>
  <c r="O85" i="2" s="1"/>
  <c r="Z407" i="11"/>
  <c r="Z419" i="11"/>
  <c r="Z365" i="11"/>
  <c r="AA96" i="11"/>
  <c r="O666" i="2" s="1"/>
  <c r="AA114" i="11"/>
  <c r="O792" i="2" s="1"/>
  <c r="AA90" i="11"/>
  <c r="O617" i="2" s="1"/>
  <c r="AB144" i="11"/>
  <c r="O1008" i="2" s="1"/>
  <c r="AB90" i="11"/>
  <c r="O616" i="2" s="1"/>
  <c r="AB96" i="11"/>
  <c r="O665" i="2" s="1"/>
  <c r="W83" i="11"/>
  <c r="O562" i="2" s="1"/>
  <c r="W119" i="11"/>
  <c r="O828" i="2" s="1"/>
  <c r="W143" i="11"/>
  <c r="O996" i="2" s="1"/>
  <c r="AA8" i="11"/>
  <c r="O8" i="2" s="1"/>
  <c r="AA50" i="11"/>
  <c r="O337" i="2" s="1"/>
  <c r="AA14" i="11"/>
  <c r="O57" i="2" s="1"/>
  <c r="AB8" i="11"/>
  <c r="O7" i="2" s="1"/>
  <c r="AB56" i="11"/>
  <c r="O343" i="2" s="1"/>
  <c r="AB62" i="11"/>
  <c r="O413" i="2" s="1"/>
  <c r="AA29" i="11"/>
  <c r="O190" i="2" s="1"/>
  <c r="AA59" i="11"/>
  <c r="O407" i="2" s="1"/>
  <c r="AA17" i="11"/>
  <c r="O120" i="2" s="1"/>
  <c r="AB59" i="11"/>
  <c r="O406" i="2" s="1"/>
  <c r="AB29" i="11"/>
  <c r="O189" i="2" s="1"/>
  <c r="AB5" i="11"/>
  <c r="O28" i="2" s="1"/>
  <c r="AB42" i="11"/>
  <c r="O287" i="2" s="1"/>
  <c r="AB66" i="11"/>
  <c r="O448" i="2" s="1"/>
  <c r="AB48" i="11"/>
  <c r="O311" i="2" s="1"/>
  <c r="Z90" i="11"/>
  <c r="O614" i="2" s="1"/>
  <c r="Z144" i="11"/>
  <c r="O1006" i="2" s="1"/>
  <c r="Z114" i="11"/>
  <c r="O789" i="2" s="1"/>
  <c r="Z56" i="11"/>
  <c r="O341" i="2" s="1"/>
  <c r="Z44" i="11"/>
  <c r="O264" i="2" s="1"/>
  <c r="Z38" i="11"/>
  <c r="O236" i="2" s="1"/>
  <c r="X263" i="11"/>
  <c r="X287" i="11"/>
  <c r="X257" i="11"/>
  <c r="W221" i="11"/>
  <c r="W245" i="11"/>
  <c r="W227" i="11"/>
  <c r="W364" i="11"/>
  <c r="W412" i="11"/>
  <c r="W400" i="11"/>
  <c r="AB380" i="11"/>
  <c r="AB428" i="11"/>
  <c r="AB422" i="11"/>
  <c r="X183" i="11"/>
  <c r="O1228" i="2" s="1"/>
  <c r="X177" i="11"/>
  <c r="O1179" i="2" s="1"/>
  <c r="X219" i="11"/>
  <c r="W207" i="11"/>
  <c r="W183" i="11"/>
  <c r="O1227" i="2" s="1"/>
  <c r="W189" i="11"/>
  <c r="O1276" i="2" s="1"/>
  <c r="AA322" i="11"/>
  <c r="AA328" i="11"/>
  <c r="AA292" i="11"/>
  <c r="X265" i="11"/>
  <c r="X223" i="11"/>
  <c r="X253" i="11"/>
  <c r="W283" i="11"/>
  <c r="W223" i="11"/>
  <c r="W289" i="11"/>
  <c r="Z423" i="11"/>
  <c r="Z435" i="11"/>
  <c r="Z405" i="11"/>
  <c r="Z172" i="11"/>
  <c r="O1209" i="2" s="1"/>
  <c r="Z160" i="11"/>
  <c r="O1125" i="2" s="1"/>
  <c r="Z184" i="11"/>
  <c r="O1286" i="2" s="1"/>
  <c r="AB208" i="11"/>
  <c r="AB196" i="11"/>
  <c r="AB190" i="11"/>
  <c r="X385" i="11"/>
  <c r="X391" i="11"/>
  <c r="X409" i="11"/>
  <c r="AA403" i="11"/>
  <c r="AA379" i="11"/>
  <c r="AA373" i="11"/>
  <c r="AA342" i="11"/>
  <c r="AA360" i="11"/>
  <c r="AA354" i="11"/>
  <c r="Z204" i="11"/>
  <c r="Z162" i="11"/>
  <c r="O1104" i="2" s="1"/>
  <c r="Z192" i="11"/>
  <c r="AB192" i="11"/>
  <c r="AB204" i="11"/>
  <c r="AB174" i="11"/>
  <c r="O1204" i="2" s="1"/>
  <c r="X359" i="11"/>
  <c r="X347" i="11"/>
  <c r="X317" i="11"/>
  <c r="W347" i="11"/>
  <c r="W323" i="11"/>
  <c r="W293" i="11"/>
  <c r="X92" i="11"/>
  <c r="O591" i="2" s="1"/>
  <c r="X116" i="11"/>
  <c r="O773" i="2" s="1"/>
  <c r="X128" i="11"/>
  <c r="O843" i="2" s="1"/>
  <c r="AA290" i="11"/>
  <c r="AA230" i="11"/>
  <c r="AA260" i="11"/>
  <c r="W372" i="11"/>
  <c r="W366" i="11"/>
  <c r="W432" i="11"/>
  <c r="AA182" i="11"/>
  <c r="O1247" i="2" s="1"/>
  <c r="AA164" i="11"/>
  <c r="O1100" i="2" s="1"/>
  <c r="AA212" i="11"/>
  <c r="Z220" i="11"/>
  <c r="Z232" i="11"/>
  <c r="Z262" i="11"/>
  <c r="AB256" i="11"/>
  <c r="AB232" i="11"/>
  <c r="AB268" i="11"/>
  <c r="AA344" i="11"/>
  <c r="AA296" i="11"/>
  <c r="AA308" i="11"/>
  <c r="Z222" i="11"/>
  <c r="Z264" i="11"/>
  <c r="Z246" i="11"/>
  <c r="AB288" i="11"/>
  <c r="AB264" i="11"/>
  <c r="AB252" i="11"/>
  <c r="X46" i="11"/>
  <c r="O325" i="2" s="1"/>
  <c r="X40" i="11"/>
  <c r="O290" i="2" s="1"/>
  <c r="X58" i="11"/>
  <c r="O416" i="2" s="1"/>
  <c r="W64" i="11"/>
  <c r="O422" i="2" s="1"/>
  <c r="W22" i="11"/>
  <c r="O156" i="2" s="1"/>
  <c r="W10" i="11"/>
  <c r="O79" i="2" s="1"/>
  <c r="AB395" i="11"/>
  <c r="AB371" i="11"/>
  <c r="AB365" i="11"/>
  <c r="W114" i="11"/>
  <c r="O786" i="2" s="1"/>
  <c r="W132" i="11"/>
  <c r="O919" i="2" s="1"/>
  <c r="W90" i="11"/>
  <c r="O611" i="2" s="1"/>
  <c r="W50" i="11"/>
  <c r="O331" i="2" s="1"/>
  <c r="W20" i="11"/>
  <c r="O121" i="2" s="1"/>
  <c r="W56" i="11"/>
  <c r="O338" i="2" s="1"/>
  <c r="AB39" i="11"/>
  <c r="O220" i="2" s="1"/>
  <c r="AB9" i="11"/>
  <c r="O35" i="2" s="1"/>
  <c r="AB45" i="11"/>
  <c r="O280" i="2" s="1"/>
  <c r="Z355" i="11"/>
  <c r="Z295" i="11"/>
  <c r="Z313" i="11"/>
  <c r="AB233" i="11"/>
  <c r="AB245" i="11"/>
  <c r="AB221" i="11"/>
  <c r="AA287" i="11"/>
  <c r="AA227" i="11"/>
  <c r="AA233" i="11"/>
  <c r="Z327" i="11"/>
  <c r="Z363" i="11"/>
  <c r="Z333" i="11"/>
  <c r="AA388" i="11"/>
  <c r="AA370" i="11"/>
  <c r="AA406" i="11"/>
  <c r="Z400" i="11"/>
  <c r="Z394" i="11"/>
  <c r="Z412" i="11"/>
  <c r="Z398" i="11"/>
  <c r="Z428" i="11"/>
  <c r="Z392" i="11"/>
  <c r="AB183" i="11"/>
  <c r="O1232" i="2" s="1"/>
  <c r="AB159" i="11"/>
  <c r="O1064" i="2" s="1"/>
  <c r="AB201" i="11"/>
  <c r="AA171" i="11"/>
  <c r="O1177" i="2" s="1"/>
  <c r="AA189" i="11"/>
  <c r="O1282" i="2" s="1"/>
  <c r="AA177" i="11"/>
  <c r="O1184" i="2" s="1"/>
  <c r="X304" i="11"/>
  <c r="X292" i="11"/>
  <c r="X310" i="11"/>
  <c r="AB283" i="11"/>
  <c r="AB253" i="11"/>
  <c r="AB241" i="11"/>
  <c r="AA223" i="11"/>
  <c r="AA277" i="11"/>
  <c r="AA229" i="11"/>
  <c r="W375" i="11"/>
  <c r="W405" i="11"/>
  <c r="W399" i="11"/>
  <c r="W178" i="11"/>
  <c r="O1234" i="2" s="1"/>
  <c r="W148" i="11"/>
  <c r="O1038" i="2" s="1"/>
  <c r="W154" i="11"/>
  <c r="O1087" i="2" s="1"/>
  <c r="Z175" i="11"/>
  <c r="O1188" i="2" s="1"/>
  <c r="Z217" i="11"/>
  <c r="Z157" i="11"/>
  <c r="O1076" i="2" s="1"/>
  <c r="Z373" i="11"/>
  <c r="Z415" i="11"/>
  <c r="Z385" i="11"/>
  <c r="AB421" i="11"/>
  <c r="AB415" i="11"/>
  <c r="AB385" i="11"/>
  <c r="X306" i="11"/>
  <c r="X330" i="11"/>
  <c r="X294" i="11"/>
  <c r="W210" i="11"/>
  <c r="W180" i="11"/>
  <c r="O1220" i="2" s="1"/>
  <c r="W168" i="11"/>
  <c r="O1164" i="2" s="1"/>
  <c r="Z291" i="11"/>
  <c r="Z273" i="11"/>
  <c r="Z285" i="11"/>
  <c r="AB347" i="11"/>
  <c r="AB359" i="11"/>
  <c r="AB329" i="11"/>
  <c r="AA311" i="11"/>
  <c r="AA347" i="11"/>
  <c r="AA329" i="11"/>
  <c r="Z155" i="11"/>
  <c r="O1055" i="2" s="1"/>
  <c r="Z197" i="11"/>
  <c r="Z173" i="11"/>
  <c r="O1194" i="2" s="1"/>
  <c r="Z122" i="11"/>
  <c r="O803" i="2" s="1"/>
  <c r="Z128" i="11"/>
  <c r="O845" i="2" s="1"/>
  <c r="Z116" i="11"/>
  <c r="O775" i="2" s="1"/>
  <c r="AB128" i="11"/>
  <c r="O847" i="2" s="1"/>
  <c r="AB122" i="11"/>
  <c r="O805" i="2" s="1"/>
  <c r="AB92" i="11"/>
  <c r="O595" i="2" s="1"/>
  <c r="X260" i="11"/>
  <c r="X290" i="11"/>
  <c r="X230" i="11"/>
  <c r="AA420" i="11"/>
  <c r="AA396" i="11"/>
  <c r="AA402" i="11"/>
  <c r="Z390" i="11"/>
  <c r="Z384" i="11"/>
  <c r="Z408" i="11"/>
  <c r="X206" i="11"/>
  <c r="X170" i="11"/>
  <c r="O1158" i="2" s="1"/>
  <c r="X188" i="11"/>
  <c r="O1263" i="2" s="1"/>
  <c r="W274" i="11"/>
  <c r="W244" i="11"/>
  <c r="W250" i="11"/>
  <c r="X350" i="11"/>
  <c r="X296" i="11"/>
  <c r="X332" i="11"/>
  <c r="W288" i="11"/>
  <c r="W246" i="11"/>
  <c r="W252" i="11"/>
  <c r="Z40" i="11"/>
  <c r="O292" i="2" s="1"/>
  <c r="Z4" i="11"/>
  <c r="O12" i="2" s="1"/>
  <c r="Z22" i="11"/>
  <c r="O159" i="2" s="1"/>
  <c r="X383" i="11"/>
  <c r="X431" i="11"/>
  <c r="X371" i="11"/>
  <c r="W383" i="11"/>
  <c r="W377" i="11"/>
  <c r="W431" i="11"/>
  <c r="AA66" i="11"/>
  <c r="O449" i="2" s="1"/>
  <c r="AA6" i="11"/>
  <c r="O22" i="2" s="1"/>
  <c r="AA60" i="11"/>
  <c r="O393" i="2" s="1"/>
  <c r="Z24" i="11"/>
  <c r="O166" i="2" s="1"/>
  <c r="Z30" i="11"/>
  <c r="O201" i="2" s="1"/>
  <c r="Z6" i="11"/>
  <c r="O19" i="2" s="1"/>
  <c r="Z89" i="11"/>
  <c r="O628" i="2" s="1"/>
  <c r="Z107" i="11"/>
  <c r="O747" i="2" s="1"/>
  <c r="Z125" i="11"/>
  <c r="O859" i="2" s="1"/>
  <c r="AA118" i="11"/>
  <c r="O841" i="2" s="1"/>
  <c r="AA124" i="11"/>
  <c r="O869" i="2" s="1"/>
  <c r="AA142" i="11"/>
  <c r="O981" i="2" s="1"/>
  <c r="Z106" i="11"/>
  <c r="O733" i="2" s="1"/>
  <c r="Z112" i="11"/>
  <c r="O768" i="2" s="1"/>
  <c r="Z124" i="11"/>
  <c r="O866" i="2" s="1"/>
  <c r="Z11" i="11"/>
  <c r="O47" i="2" s="1"/>
  <c r="Z59" i="11"/>
  <c r="O404" i="2" s="1"/>
  <c r="Z53" i="11"/>
  <c r="O362" i="2" s="1"/>
  <c r="AA143" i="11"/>
  <c r="O1002" i="2" s="1"/>
  <c r="AA83" i="11"/>
  <c r="O568" i="2" s="1"/>
  <c r="AA137" i="11"/>
  <c r="O967" i="2" s="1"/>
  <c r="W76" i="11"/>
  <c r="O534" i="2" s="1"/>
  <c r="W94" i="11"/>
  <c r="O667" i="2" s="1"/>
  <c r="W100" i="11"/>
  <c r="O695" i="2" s="1"/>
  <c r="X76" i="11"/>
  <c r="O535" i="2" s="1"/>
  <c r="X100" i="11"/>
  <c r="O696" i="2" s="1"/>
  <c r="X136" i="11"/>
  <c r="O948" i="2" s="1"/>
  <c r="X71" i="11"/>
  <c r="O465" i="2" s="1"/>
  <c r="X11" i="11"/>
  <c r="O45" i="2" s="1"/>
  <c r="X41" i="11"/>
  <c r="O269" i="2" s="1"/>
  <c r="AB83" i="11"/>
  <c r="O567" i="2" s="1"/>
  <c r="AB119" i="11"/>
  <c r="O833" i="2" s="1"/>
  <c r="AB125" i="11"/>
  <c r="O861" i="2" s="1"/>
  <c r="W71" i="11"/>
  <c r="O464" i="2" s="1"/>
  <c r="W29" i="11"/>
  <c r="O184" i="2" s="1"/>
  <c r="W17" i="11"/>
  <c r="O114" i="2" s="1"/>
  <c r="X349" i="11"/>
  <c r="X313" i="11"/>
  <c r="X355" i="11"/>
  <c r="W325" i="11"/>
  <c r="W301" i="11"/>
  <c r="W337" i="11"/>
  <c r="X303" i="11"/>
  <c r="X321" i="11"/>
  <c r="X339" i="11"/>
  <c r="W303" i="11"/>
  <c r="W321" i="11"/>
  <c r="W309" i="11"/>
  <c r="X388" i="11"/>
  <c r="X394" i="11"/>
  <c r="X364" i="11"/>
  <c r="AA380" i="11"/>
  <c r="AA386" i="11"/>
  <c r="AA434" i="11"/>
  <c r="Z340" i="11"/>
  <c r="Z358" i="11"/>
  <c r="Z322" i="11"/>
  <c r="AB316" i="11"/>
  <c r="AB322" i="11"/>
  <c r="AB346" i="11"/>
  <c r="X399" i="11"/>
  <c r="X369" i="11"/>
  <c r="X417" i="11"/>
  <c r="AA375" i="11"/>
  <c r="AA393" i="11"/>
  <c r="AA405" i="11"/>
  <c r="AA148" i="11"/>
  <c r="O1044" i="2" s="1"/>
  <c r="AA172" i="11"/>
  <c r="O1212" i="2" s="1"/>
  <c r="AA190" i="11"/>
  <c r="X151" i="11"/>
  <c r="O1032" i="2" s="1"/>
  <c r="X169" i="11"/>
  <c r="O1137" i="2" s="1"/>
  <c r="X193" i="11"/>
  <c r="W151" i="11"/>
  <c r="O1031" i="2" s="1"/>
  <c r="W169" i="11"/>
  <c r="O1136" i="2" s="1"/>
  <c r="W217" i="11"/>
  <c r="Z318" i="11"/>
  <c r="Z294" i="11"/>
  <c r="Z354" i="11"/>
  <c r="AB336" i="11"/>
  <c r="AB324" i="11"/>
  <c r="AB330" i="11"/>
  <c r="AA198" i="11"/>
  <c r="AA192" i="11"/>
  <c r="AA174" i="11"/>
  <c r="O1205" i="2" s="1"/>
  <c r="X267" i="11"/>
  <c r="X243" i="11"/>
  <c r="X261" i="11"/>
  <c r="W255" i="11"/>
  <c r="W291" i="11"/>
  <c r="W225" i="11"/>
  <c r="X209" i="11"/>
  <c r="X197" i="11"/>
  <c r="X149" i="11"/>
  <c r="O1025" i="2" s="1"/>
  <c r="W155" i="11"/>
  <c r="O1052" i="2" s="1"/>
  <c r="W185" i="11"/>
  <c r="O1269" i="2" s="1"/>
  <c r="W149" i="11"/>
  <c r="O1024" i="2" s="1"/>
  <c r="W134" i="11"/>
  <c r="O884" i="2" s="1"/>
  <c r="W116" i="11"/>
  <c r="O772" i="2" s="1"/>
  <c r="W92" i="11"/>
  <c r="O590" i="2" s="1"/>
  <c r="Z254" i="11"/>
  <c r="Z278" i="11"/>
  <c r="Z290" i="11"/>
  <c r="AB272" i="11"/>
  <c r="AB254" i="11"/>
  <c r="AB266" i="11"/>
  <c r="X390" i="11"/>
  <c r="X366" i="11"/>
  <c r="X378" i="11"/>
  <c r="Z158" i="11"/>
  <c r="O1069" i="2" s="1"/>
  <c r="Z152" i="11"/>
  <c r="O1013" i="2" s="1"/>
  <c r="Z194" i="11"/>
  <c r="AB182" i="11"/>
  <c r="O1246" i="2" s="1"/>
  <c r="AB158" i="11"/>
  <c r="O1071" i="2" s="1"/>
  <c r="AB218" i="11"/>
  <c r="AA262" i="11"/>
  <c r="AA274" i="11"/>
  <c r="AA286" i="11"/>
  <c r="Z296" i="11"/>
  <c r="Z302" i="11"/>
  <c r="Z338" i="11"/>
  <c r="AB326" i="11"/>
  <c r="AB296" i="11"/>
  <c r="AB362" i="11"/>
  <c r="AA234" i="11"/>
  <c r="AA276" i="11"/>
  <c r="AA270" i="11"/>
  <c r="AA371" i="11"/>
  <c r="AA377" i="11"/>
  <c r="AA365" i="11"/>
  <c r="W6" i="11"/>
  <c r="O16" i="2" s="1"/>
  <c r="W72" i="11"/>
  <c r="O478" i="2" s="1"/>
  <c r="W60" i="11"/>
  <c r="O387" i="2" s="1"/>
  <c r="X66" i="11"/>
  <c r="O444" i="2" s="1"/>
  <c r="X48" i="11"/>
  <c r="O307" i="2" s="1"/>
  <c r="X54" i="11"/>
  <c r="O374" i="2" s="1"/>
  <c r="X84" i="11"/>
  <c r="O549" i="2" s="1"/>
  <c r="X132" i="11"/>
  <c r="O920" i="2" s="1"/>
  <c r="X144" i="11"/>
  <c r="O1004" i="2" s="1"/>
  <c r="X83" i="11"/>
  <c r="O563" i="2" s="1"/>
  <c r="X113" i="11"/>
  <c r="O794" i="2" s="1"/>
  <c r="X89" i="11"/>
  <c r="O626" i="2" s="1"/>
  <c r="X62" i="11"/>
  <c r="O409" i="2" s="1"/>
  <c r="X8" i="11"/>
  <c r="O3" i="2" s="1"/>
  <c r="X56" i="11"/>
  <c r="O339" i="2" s="1"/>
  <c r="AB106" i="11"/>
  <c r="O735" i="2" s="1"/>
  <c r="AB82" i="11"/>
  <c r="O581" i="2" s="1"/>
  <c r="AB94" i="11"/>
  <c r="O672" i="2" s="1"/>
  <c r="AB355" i="11"/>
  <c r="AB301" i="11"/>
  <c r="AB349" i="11"/>
  <c r="AA355" i="11"/>
  <c r="AA301" i="11"/>
  <c r="AA349" i="11"/>
  <c r="Z263" i="11"/>
  <c r="Z287" i="11"/>
  <c r="Z257" i="11"/>
  <c r="AB357" i="11"/>
  <c r="AB309" i="11"/>
  <c r="AB327" i="11"/>
  <c r="AA309" i="11"/>
  <c r="AA339" i="11"/>
  <c r="AA357" i="11"/>
  <c r="AB424" i="11"/>
  <c r="AB394" i="11"/>
  <c r="AB388" i="11"/>
  <c r="X422" i="11"/>
  <c r="X428" i="11"/>
  <c r="X374" i="11"/>
  <c r="W398" i="11"/>
  <c r="W368" i="11"/>
  <c r="W404" i="11"/>
  <c r="Z207" i="11"/>
  <c r="Z153" i="11"/>
  <c r="O1020" i="2" s="1"/>
  <c r="Z177" i="11"/>
  <c r="O1181" i="2" s="1"/>
  <c r="W322" i="11"/>
  <c r="W352" i="11"/>
  <c r="W304" i="11"/>
  <c r="Z277" i="11"/>
  <c r="Z229" i="11"/>
  <c r="Z289" i="11"/>
  <c r="AB399" i="11"/>
  <c r="AB393" i="11"/>
  <c r="AB429" i="11"/>
  <c r="X208" i="11"/>
  <c r="X160" i="11"/>
  <c r="O1123" i="2" s="1"/>
  <c r="X214" i="11"/>
  <c r="AB199" i="11"/>
  <c r="AB175" i="11"/>
  <c r="O1190" i="2" s="1"/>
  <c r="AB217" i="11"/>
  <c r="AA193" i="11"/>
  <c r="AA217" i="11"/>
  <c r="AA205" i="11"/>
  <c r="W373" i="11"/>
  <c r="W409" i="11"/>
  <c r="W421" i="11"/>
  <c r="W294" i="11"/>
  <c r="W342" i="11"/>
  <c r="W330" i="11"/>
  <c r="X192" i="11"/>
  <c r="X186" i="11"/>
  <c r="O1298" i="2" s="1"/>
  <c r="X198" i="11"/>
  <c r="AB255" i="11"/>
  <c r="AB231" i="11"/>
  <c r="AB225" i="11"/>
  <c r="AA243" i="11"/>
  <c r="AA261" i="11"/>
  <c r="AA237" i="11"/>
  <c r="Z299" i="11"/>
  <c r="Z305" i="11"/>
  <c r="Z353" i="11"/>
  <c r="AB185" i="11"/>
  <c r="O1274" i="2" s="1"/>
  <c r="AB197" i="11"/>
  <c r="AB149" i="11"/>
  <c r="O1029" i="2" s="1"/>
  <c r="AA197" i="11"/>
  <c r="AA215" i="11"/>
  <c r="AA173" i="11"/>
  <c r="O1197" i="2" s="1"/>
  <c r="AA98" i="11"/>
  <c r="O645" i="2" s="1"/>
  <c r="AA134" i="11"/>
  <c r="O890" i="2" s="1"/>
  <c r="AA122" i="11"/>
  <c r="O806" i="2" s="1"/>
  <c r="W230" i="11"/>
  <c r="W236" i="11"/>
  <c r="W266" i="11"/>
  <c r="AB384" i="11"/>
  <c r="AB414" i="11"/>
  <c r="AB378" i="11"/>
  <c r="W194" i="11"/>
  <c r="W200" i="11"/>
  <c r="W152" i="11"/>
  <c r="O1010" i="2" s="1"/>
  <c r="X274" i="11"/>
  <c r="X250" i="11"/>
  <c r="X262" i="11"/>
  <c r="W326" i="11"/>
  <c r="W320" i="11"/>
  <c r="W296" i="11"/>
  <c r="X228" i="11"/>
  <c r="X282" i="11"/>
  <c r="X264" i="11"/>
  <c r="AB70" i="11"/>
  <c r="O500" i="2" s="1"/>
  <c r="AB52" i="11"/>
  <c r="O350" i="2" s="1"/>
  <c r="AB46" i="11"/>
  <c r="O329" i="2" s="1"/>
  <c r="AA40" i="11"/>
  <c r="O295" i="2" s="1"/>
  <c r="AA52" i="11"/>
  <c r="O351" i="2" s="1"/>
  <c r="AA58" i="11"/>
  <c r="O421" i="2" s="1"/>
  <c r="Z431" i="11"/>
  <c r="Z389" i="11"/>
  <c r="Z377" i="11"/>
  <c r="AA108" i="11"/>
  <c r="O757" i="2" s="1"/>
  <c r="AA84" i="11"/>
  <c r="O554" i="2" s="1"/>
  <c r="AA138" i="11"/>
  <c r="O946" i="2" s="1"/>
  <c r="AB138" i="11"/>
  <c r="O945" i="2" s="1"/>
  <c r="AB102" i="11"/>
  <c r="O686" i="2" s="1"/>
  <c r="AB78" i="11"/>
  <c r="O518" i="2" s="1"/>
  <c r="W95" i="11"/>
  <c r="O646" i="2" s="1"/>
  <c r="W77" i="11"/>
  <c r="O506" i="2" s="1"/>
  <c r="W89" i="11"/>
  <c r="O625" i="2" s="1"/>
  <c r="AA32" i="11"/>
  <c r="O176" i="2" s="1"/>
  <c r="AA20" i="11"/>
  <c r="O127" i="2" s="1"/>
  <c r="AA62" i="11"/>
  <c r="O414" i="2" s="1"/>
  <c r="AB74" i="11"/>
  <c r="O493" i="2" s="1"/>
  <c r="AB20" i="11"/>
  <c r="O126" i="2" s="1"/>
  <c r="AB68" i="11"/>
  <c r="O455" i="2" s="1"/>
  <c r="AA41" i="11"/>
  <c r="O274" i="2" s="1"/>
  <c r="AA71" i="11"/>
  <c r="O470" i="2" s="1"/>
  <c r="AA65" i="11"/>
  <c r="O463" i="2" s="1"/>
  <c r="AB65" i="11"/>
  <c r="O462" i="2" s="1"/>
  <c r="AB35" i="11"/>
  <c r="O245" i="2" s="1"/>
  <c r="AB53" i="11"/>
  <c r="O364" i="2" s="1"/>
  <c r="AB54" i="11"/>
  <c r="O378" i="2" s="1"/>
  <c r="AB12" i="11"/>
  <c r="O60" i="2" s="1"/>
  <c r="AB60" i="11"/>
  <c r="O392" i="2" s="1"/>
  <c r="Z96" i="11"/>
  <c r="O663" i="2" s="1"/>
  <c r="Z78" i="11"/>
  <c r="O516" i="2" s="1"/>
  <c r="Z102" i="11"/>
  <c r="O684" i="2" s="1"/>
  <c r="Z74" i="11"/>
  <c r="O491" i="2" s="1"/>
  <c r="Z26" i="11"/>
  <c r="O138" i="2" s="1"/>
  <c r="Z50" i="11"/>
  <c r="O334" i="2" s="1"/>
  <c r="X251" i="11"/>
  <c r="X245" i="11"/>
  <c r="X281" i="11"/>
  <c r="W233" i="11"/>
  <c r="W269" i="11"/>
  <c r="W263" i="11"/>
  <c r="W394" i="11"/>
  <c r="W418" i="11"/>
  <c r="W376" i="11"/>
  <c r="AB392" i="11"/>
  <c r="AB386" i="11"/>
  <c r="AB434" i="11"/>
  <c r="X195" i="11"/>
  <c r="X159" i="11"/>
  <c r="O1060" i="2" s="1"/>
  <c r="X201" i="11"/>
  <c r="W159" i="11"/>
  <c r="O1059" i="2" s="1"/>
  <c r="W219" i="11"/>
  <c r="W153" i="11"/>
  <c r="O1017" i="2" s="1"/>
  <c r="AA298" i="11"/>
  <c r="AA346" i="11"/>
  <c r="AA340" i="11"/>
  <c r="X241" i="11"/>
  <c r="X271" i="11"/>
  <c r="X229" i="11"/>
  <c r="W271" i="11"/>
  <c r="W247" i="11"/>
  <c r="W241" i="11"/>
  <c r="Z375" i="11"/>
  <c r="Z369" i="11"/>
  <c r="Z417" i="11"/>
  <c r="Z196" i="11"/>
  <c r="Z166" i="11"/>
  <c r="O1146" i="2" s="1"/>
  <c r="Z208" i="11"/>
  <c r="AB160" i="11"/>
  <c r="O1127" i="2" s="1"/>
  <c r="AB148" i="11"/>
  <c r="O1043" i="2" s="1"/>
  <c r="AB154" i="11"/>
  <c r="O1092" i="2" s="1"/>
  <c r="X379" i="11"/>
  <c r="X403" i="11"/>
  <c r="X421" i="11"/>
  <c r="AA415" i="11"/>
  <c r="AA391" i="11"/>
  <c r="AA385" i="11"/>
  <c r="AA312" i="11"/>
  <c r="AA294" i="11"/>
  <c r="AA324" i="11"/>
  <c r="Z186" i="11"/>
  <c r="O1300" i="2" s="1"/>
  <c r="Z198" i="11"/>
  <c r="Z216" i="11"/>
  <c r="AB216" i="11"/>
  <c r="AB210" i="11"/>
  <c r="AB162" i="11"/>
  <c r="O1106" i="2" s="1"/>
  <c r="X293" i="11"/>
  <c r="X305" i="11"/>
  <c r="X323" i="11"/>
  <c r="W317" i="11"/>
  <c r="W311" i="11"/>
  <c r="W341" i="11"/>
  <c r="X110" i="11"/>
  <c r="O738" i="2" s="1"/>
  <c r="X140" i="11"/>
  <c r="O934" i="2" s="1"/>
  <c r="X86" i="11"/>
  <c r="O556" i="2" s="1"/>
  <c r="AA236" i="11"/>
  <c r="AA242" i="11"/>
  <c r="AA248" i="11"/>
  <c r="W426" i="11"/>
  <c r="W396" i="11"/>
  <c r="W378" i="11"/>
  <c r="AA194" i="11"/>
  <c r="AA176" i="11"/>
  <c r="O1219" i="2" s="1"/>
  <c r="AA158" i="11"/>
  <c r="O1072" i="2" s="1"/>
  <c r="Z280" i="11"/>
  <c r="Z238" i="11"/>
  <c r="Z244" i="11"/>
  <c r="AB220" i="11"/>
  <c r="AB280" i="11"/>
  <c r="AB226" i="11"/>
  <c r="AA356" i="11"/>
  <c r="AA314" i="11"/>
  <c r="AA302" i="11"/>
  <c r="Z228" i="11"/>
  <c r="Z270" i="11"/>
  <c r="Z276" i="11"/>
  <c r="AB246" i="11"/>
  <c r="AB222" i="11"/>
  <c r="AB234" i="11"/>
  <c r="X34" i="11"/>
  <c r="O248" i="2" s="1"/>
  <c r="X64" i="11"/>
  <c r="O423" i="2" s="1"/>
  <c r="X22" i="11"/>
  <c r="O157" i="2" s="1"/>
  <c r="W70" i="11"/>
  <c r="O495" i="2" s="1"/>
  <c r="W52" i="11"/>
  <c r="O345" i="2" s="1"/>
  <c r="W58" i="11"/>
  <c r="O415" i="2" s="1"/>
  <c r="AB407" i="11"/>
  <c r="AB389" i="11"/>
  <c r="AB377" i="11"/>
  <c r="W84" i="11"/>
  <c r="O548" i="2" s="1"/>
  <c r="W78" i="11"/>
  <c r="O513" i="2" s="1"/>
  <c r="W138" i="11"/>
  <c r="O940" i="2" s="1"/>
  <c r="W38" i="11"/>
  <c r="O233" i="2" s="1"/>
  <c r="W14" i="11"/>
  <c r="O51" i="2" s="1"/>
  <c r="W26" i="11"/>
  <c r="O135" i="2" s="1"/>
  <c r="AB51" i="11"/>
  <c r="O301" i="2" s="1"/>
  <c r="AB75" i="11"/>
  <c r="O476" i="2" s="1"/>
  <c r="AB69" i="11"/>
  <c r="O434" i="2" s="1"/>
  <c r="Z301" i="11"/>
  <c r="Z343" i="11"/>
  <c r="Z337" i="11"/>
  <c r="AB257" i="11"/>
  <c r="AB275" i="11"/>
  <c r="AB269" i="11"/>
  <c r="AA245" i="11"/>
  <c r="AA251" i="11"/>
  <c r="AA257" i="11"/>
  <c r="Z303" i="11"/>
  <c r="Z297" i="11"/>
  <c r="Z345" i="11"/>
  <c r="AA364" i="11"/>
  <c r="AA400" i="11"/>
  <c r="AA418" i="11"/>
  <c r="Z382" i="11"/>
  <c r="Z418" i="11"/>
  <c r="Z424" i="11"/>
  <c r="Z422" i="11"/>
  <c r="Z386" i="11"/>
  <c r="Z374" i="11"/>
  <c r="AB171" i="11"/>
  <c r="O1176" i="2" s="1"/>
  <c r="AB207" i="11"/>
  <c r="AB153" i="11"/>
  <c r="O1022" i="2" s="1"/>
  <c r="AA213" i="11"/>
  <c r="AA183" i="11"/>
  <c r="O1233" i="2" s="1"/>
  <c r="AA153" i="11"/>
  <c r="O1023" i="2" s="1"/>
  <c r="X316" i="11"/>
  <c r="X298" i="11"/>
  <c r="X358" i="11"/>
  <c r="AB271" i="11"/>
  <c r="AB247" i="11"/>
  <c r="AB229" i="11"/>
  <c r="AA247" i="11"/>
  <c r="AA235" i="11"/>
  <c r="AA289" i="11"/>
  <c r="W387" i="11"/>
  <c r="W429" i="11"/>
  <c r="W435" i="11"/>
  <c r="W208" i="11"/>
  <c r="W214" i="11"/>
  <c r="W202" i="11"/>
  <c r="Z187" i="11"/>
  <c r="O1293" i="2" s="1"/>
  <c r="Z163" i="11"/>
  <c r="O1111" i="2" s="1"/>
  <c r="Z193" i="11"/>
  <c r="Z367" i="11"/>
  <c r="Z427" i="11"/>
  <c r="Z397" i="11"/>
  <c r="AB367" i="11"/>
  <c r="AB427" i="11"/>
  <c r="AB397" i="11"/>
  <c r="X336" i="11"/>
  <c r="X312" i="11"/>
  <c r="X342" i="11"/>
  <c r="W198" i="11"/>
  <c r="W174" i="11"/>
  <c r="O1199" i="2" s="1"/>
  <c r="W186" i="11"/>
  <c r="O1297" i="2" s="1"/>
  <c r="Z237" i="11"/>
  <c r="Z225" i="11"/>
  <c r="Z261" i="11"/>
  <c r="AB335" i="11"/>
  <c r="AB293" i="11"/>
  <c r="AB341" i="11"/>
  <c r="AA323" i="11"/>
  <c r="AA293" i="11"/>
  <c r="AA341" i="11"/>
  <c r="Z167" i="11"/>
  <c r="O1153" i="2" s="1"/>
  <c r="Z149" i="11"/>
  <c r="O1027" i="2" s="1"/>
  <c r="Z161" i="11"/>
  <c r="O1118" i="2" s="1"/>
  <c r="Z110" i="11"/>
  <c r="O740" i="2" s="1"/>
  <c r="Z86" i="11"/>
  <c r="O558" i="2" s="1"/>
  <c r="Z140" i="11"/>
  <c r="O936" i="2" s="1"/>
  <c r="AB86" i="11"/>
  <c r="O560" i="2" s="1"/>
  <c r="AB134" i="11"/>
  <c r="O889" i="2" s="1"/>
  <c r="AB98" i="11"/>
  <c r="O644" i="2" s="1"/>
  <c r="X242" i="11"/>
  <c r="X266" i="11"/>
  <c r="X278" i="11"/>
  <c r="AA432" i="11"/>
  <c r="AA384" i="11"/>
  <c r="AA414" i="11"/>
  <c r="Z414" i="11"/>
  <c r="Z366" i="11"/>
  <c r="Z396" i="11"/>
  <c r="X176" i="11"/>
  <c r="O1214" i="2" s="1"/>
  <c r="X218" i="11"/>
  <c r="X212" i="11"/>
  <c r="W262" i="11"/>
  <c r="W268" i="11"/>
  <c r="W280" i="11"/>
  <c r="X338" i="11"/>
  <c r="X356" i="11"/>
  <c r="X326" i="11"/>
  <c r="W258" i="11"/>
  <c r="W222" i="11"/>
  <c r="W234" i="11"/>
  <c r="Z64" i="11"/>
  <c r="O425" i="2" s="1"/>
  <c r="Z58" i="11"/>
  <c r="O418" i="2" s="1"/>
  <c r="Z34" i="11"/>
  <c r="O250" i="2" s="1"/>
  <c r="X395" i="11"/>
  <c r="X389" i="11"/>
  <c r="X377" i="11"/>
  <c r="W389" i="11"/>
  <c r="W413" i="11"/>
  <c r="W419" i="11"/>
  <c r="AA24" i="11"/>
  <c r="O169" i="2" s="1"/>
  <c r="AA18" i="11"/>
  <c r="O92" i="2" s="1"/>
  <c r="AA30" i="11"/>
  <c r="O204" i="2" s="1"/>
  <c r="Z48" i="11"/>
  <c r="O309" i="2" s="1"/>
  <c r="Z12" i="11"/>
  <c r="O58" i="2" s="1"/>
  <c r="Z54" i="11"/>
  <c r="O376" i="2" s="1"/>
  <c r="Z131" i="11"/>
  <c r="O908" i="2" s="1"/>
  <c r="Z83" i="11"/>
  <c r="O565" i="2" s="1"/>
  <c r="Z113" i="11"/>
  <c r="O796" i="2" s="1"/>
  <c r="AA130" i="11"/>
  <c r="O918" i="2" s="1"/>
  <c r="AA82" i="11"/>
  <c r="O582" i="2" s="1"/>
  <c r="AA106" i="11"/>
  <c r="O736" i="2" s="1"/>
  <c r="Z94" i="11"/>
  <c r="O670" i="2" s="1"/>
  <c r="Z136" i="11"/>
  <c r="O950" i="2" s="1"/>
  <c r="Z82" i="11"/>
  <c r="O579" i="2" s="1"/>
  <c r="Z23" i="11"/>
  <c r="O152" i="2" s="1"/>
  <c r="Z71" i="11"/>
  <c r="O467" i="2" s="1"/>
  <c r="Z17" i="11"/>
  <c r="O117" i="2" s="1"/>
  <c r="AA107" i="11"/>
  <c r="O750" i="2" s="1"/>
  <c r="AA77" i="11"/>
  <c r="O512" i="2" s="1"/>
  <c r="AA95" i="11"/>
  <c r="O652" i="2" s="1"/>
  <c r="W130" i="11"/>
  <c r="O912" i="2" s="1"/>
  <c r="W142" i="11"/>
  <c r="O975" i="2" s="1"/>
  <c r="W106" i="11"/>
  <c r="O730" i="2" s="1"/>
  <c r="X142" i="11"/>
  <c r="O976" i="2" s="1"/>
  <c r="X124" i="11"/>
  <c r="O864" i="2" s="1"/>
  <c r="X118" i="11"/>
  <c r="O836" i="2" s="1"/>
  <c r="X5" i="11"/>
  <c r="O24" i="2" s="1"/>
  <c r="X23" i="11"/>
  <c r="O150" i="2" s="1"/>
  <c r="X17" i="11"/>
  <c r="O115" i="2" s="1"/>
  <c r="AB95" i="11"/>
  <c r="O651" i="2" s="1"/>
  <c r="AB131" i="11"/>
  <c r="O910" i="2" s="1"/>
  <c r="AB89" i="11"/>
  <c r="O630" i="2" s="1"/>
  <c r="W59" i="11"/>
  <c r="O401" i="2" s="1"/>
  <c r="W65" i="11"/>
  <c r="O457" i="2" s="1"/>
  <c r="W41" i="11"/>
  <c r="O268" i="2" s="1"/>
  <c r="X343" i="11"/>
  <c r="X295" i="11"/>
  <c r="X337" i="11"/>
  <c r="W295" i="11"/>
  <c r="W307" i="11"/>
  <c r="W349" i="11"/>
  <c r="X327" i="11"/>
  <c r="X351" i="11"/>
  <c r="X333" i="11"/>
  <c r="W315" i="11"/>
  <c r="W351" i="11"/>
  <c r="W345" i="11"/>
  <c r="X382" i="11"/>
  <c r="X370" i="11"/>
  <c r="X418" i="11"/>
  <c r="AA374" i="11"/>
  <c r="AA368" i="11"/>
  <c r="AA398" i="11"/>
  <c r="Z298" i="11"/>
  <c r="Z334" i="11"/>
  <c r="Z292" i="11"/>
  <c r="AB352" i="11"/>
  <c r="AB358" i="11"/>
  <c r="AB334" i="11"/>
  <c r="X375" i="11"/>
  <c r="X411" i="11"/>
  <c r="X381" i="11"/>
  <c r="AA387" i="11"/>
  <c r="AA369" i="11"/>
  <c r="AA411" i="11"/>
  <c r="AA160" i="11"/>
  <c r="O1128" i="2" s="1"/>
  <c r="AA166" i="11"/>
  <c r="O1149" i="2" s="1"/>
  <c r="AA184" i="11"/>
  <c r="O1289" i="2" s="1"/>
  <c r="X163" i="11"/>
  <c r="O1109" i="2" s="1"/>
  <c r="X181" i="11"/>
  <c r="O1256" i="2" s="1"/>
  <c r="X217" i="11"/>
  <c r="W211" i="11"/>
  <c r="W187" i="11"/>
  <c r="O1290" i="2" s="1"/>
  <c r="W181" i="11"/>
  <c r="O1255" i="2" s="1"/>
  <c r="Z312" i="11"/>
  <c r="Z300" i="11"/>
  <c r="Z342" i="11"/>
  <c r="AB354" i="11"/>
  <c r="AB348" i="11"/>
  <c r="AB306" i="11"/>
  <c r="AA150" i="11"/>
  <c r="O1051" i="2" s="1"/>
  <c r="AA186" i="11"/>
  <c r="O1303" i="2" s="1"/>
  <c r="AA204" i="11"/>
  <c r="X231" i="11"/>
  <c r="X273" i="11"/>
  <c r="X291" i="11"/>
  <c r="W267" i="11"/>
  <c r="W285" i="11"/>
  <c r="W249" i="11"/>
  <c r="X167" i="11"/>
  <c r="O1151" i="2" s="1"/>
  <c r="X155" i="11"/>
  <c r="O1053" i="2" s="1"/>
  <c r="X161" i="11"/>
  <c r="O1116" i="2" s="1"/>
  <c r="W179" i="11"/>
  <c r="O1248" i="2" s="1"/>
  <c r="W167" i="11"/>
  <c r="O1150" i="2" s="1"/>
  <c r="W197" i="11"/>
  <c r="W80" i="11"/>
  <c r="O520" i="2" s="1"/>
  <c r="W104" i="11"/>
  <c r="O674" i="2" s="1"/>
  <c r="W110" i="11"/>
  <c r="O737" i="2" s="1"/>
  <c r="Z236" i="11"/>
  <c r="Z284" i="11"/>
  <c r="Z224" i="11"/>
  <c r="AB224" i="11"/>
  <c r="AB230" i="11"/>
  <c r="AB290" i="11"/>
  <c r="X384" i="11"/>
  <c r="X414" i="11"/>
  <c r="X402" i="11"/>
  <c r="Z170" i="11"/>
  <c r="O1160" i="2" s="1"/>
  <c r="Z218" i="11"/>
  <c r="Z182" i="11"/>
  <c r="O1244" i="2" s="1"/>
  <c r="AB176" i="11"/>
  <c r="O1218" i="2" s="1"/>
  <c r="AB164" i="11"/>
  <c r="O1099" i="2" s="1"/>
  <c r="AB194" i="11"/>
  <c r="AA256" i="11"/>
  <c r="AA250" i="11"/>
  <c r="AA232" i="11"/>
  <c r="Z344" i="11"/>
  <c r="Z314" i="11"/>
  <c r="Z332" i="11"/>
  <c r="AB320" i="11"/>
  <c r="AB308" i="11"/>
  <c r="AB344" i="11"/>
  <c r="AA288" i="11"/>
  <c r="AA240" i="11"/>
  <c r="AA228" i="11"/>
  <c r="AA383" i="11"/>
  <c r="AA395" i="11"/>
  <c r="AA389" i="11"/>
  <c r="W48" i="11"/>
  <c r="O306" i="2" s="1"/>
  <c r="W66" i="11"/>
  <c r="O443" i="2" s="1"/>
  <c r="W24" i="11"/>
  <c r="O163" i="2" s="1"/>
  <c r="X30" i="11"/>
  <c r="O199" i="2" s="1"/>
  <c r="X12" i="11"/>
  <c r="O63" i="2" s="1"/>
  <c r="X72" i="11"/>
  <c r="O479" i="2" s="1"/>
  <c r="X78" i="11"/>
  <c r="O514" i="2" s="1"/>
  <c r="X90" i="11"/>
  <c r="O612" i="2" s="1"/>
  <c r="X102" i="11"/>
  <c r="O682" i="2" s="1"/>
  <c r="X101" i="11"/>
  <c r="O703" i="2" s="1"/>
  <c r="X119" i="11"/>
  <c r="O829" i="2" s="1"/>
  <c r="X137" i="11"/>
  <c r="O962" i="2" s="1"/>
  <c r="X50" i="11"/>
  <c r="O332" i="2" s="1"/>
  <c r="X20" i="11"/>
  <c r="O122" i="2" s="1"/>
  <c r="X26" i="11"/>
  <c r="O136" i="2" s="1"/>
  <c r="AB118" i="11"/>
  <c r="O840" i="2" s="1"/>
  <c r="AB130" i="11"/>
  <c r="O917" i="2" s="1"/>
  <c r="AB142" i="11"/>
  <c r="O980" i="2" s="1"/>
  <c r="AB331" i="11"/>
  <c r="AB295" i="11"/>
  <c r="AB313" i="11"/>
  <c r="AA319" i="11"/>
  <c r="AA331" i="11"/>
  <c r="AA313" i="11"/>
  <c r="Z275" i="11"/>
  <c r="Z233" i="11"/>
  <c r="Z245" i="11"/>
  <c r="AB315" i="11"/>
  <c r="AB303" i="11"/>
  <c r="AB321" i="11"/>
  <c r="AA303" i="11"/>
  <c r="AA321" i="11"/>
  <c r="AA345" i="11"/>
  <c r="AB364" i="11"/>
  <c r="AB370" i="11"/>
  <c r="AB406" i="11"/>
  <c r="X416" i="11"/>
  <c r="X386" i="11"/>
  <c r="X392" i="11"/>
  <c r="W422" i="11"/>
  <c r="W386" i="11"/>
  <c r="W392" i="11"/>
  <c r="Z183" i="11"/>
  <c r="O1230" i="2" s="1"/>
  <c r="Z219" i="11"/>
  <c r="Z165" i="11"/>
  <c r="O1132" i="2" s="1"/>
  <c r="W340" i="11"/>
  <c r="W310" i="11"/>
  <c r="W292" i="11"/>
  <c r="Z223" i="11"/>
  <c r="Z265" i="11"/>
  <c r="Z235" i="11"/>
  <c r="AB381" i="11"/>
  <c r="AB411" i="11"/>
  <c r="AB369" i="11"/>
  <c r="X190" i="11"/>
  <c r="X148" i="11"/>
  <c r="O1039" i="2" s="1"/>
  <c r="X172" i="11"/>
  <c r="O1207" i="2" s="1"/>
  <c r="AB163" i="11"/>
  <c r="O1113" i="2" s="1"/>
  <c r="AB187" i="11"/>
  <c r="O1295" i="2" s="1"/>
  <c r="AB169" i="11"/>
  <c r="O1141" i="2" s="1"/>
  <c r="AA151" i="11"/>
  <c r="O1037" i="2" s="1"/>
  <c r="AA175" i="11"/>
  <c r="O1191" i="2" s="1"/>
  <c r="AA163" i="11"/>
  <c r="O1114" i="2" s="1"/>
  <c r="W379" i="11"/>
  <c r="W385" i="11"/>
  <c r="W415" i="11"/>
  <c r="W300" i="11"/>
  <c r="W336" i="11"/>
  <c r="W318" i="11"/>
  <c r="X210" i="11"/>
  <c r="X216" i="11"/>
  <c r="X180" i="11"/>
  <c r="O1221" i="2" s="1"/>
  <c r="AB267" i="11"/>
  <c r="AB285" i="11"/>
  <c r="AB279" i="11"/>
  <c r="AA231" i="11"/>
  <c r="AA279" i="11"/>
  <c r="AA273" i="11"/>
  <c r="Z323" i="11"/>
  <c r="Z335" i="11"/>
  <c r="Z317" i="11"/>
  <c r="AB179" i="11"/>
  <c r="O1253" i="2" s="1"/>
  <c r="AB155" i="11"/>
  <c r="O1057" i="2" s="1"/>
  <c r="AB209" i="11"/>
  <c r="AA203" i="11"/>
  <c r="AA149" i="11"/>
  <c r="O1030" i="2" s="1"/>
  <c r="AA209" i="11"/>
  <c r="AA104" i="11"/>
  <c r="O680" i="2" s="1"/>
  <c r="AA80" i="11"/>
  <c r="O526" i="2" s="1"/>
  <c r="AA146" i="11"/>
  <c r="O988" i="2" s="1"/>
  <c r="W284" i="11"/>
  <c r="W224" i="11"/>
  <c r="W278" i="11"/>
  <c r="AB396" i="11"/>
  <c r="AB366" i="11"/>
  <c r="AB426" i="11"/>
  <c r="W176" i="11"/>
  <c r="O1213" i="2" s="1"/>
  <c r="W182" i="11"/>
  <c r="O1241" i="2" s="1"/>
  <c r="W164" i="11"/>
  <c r="O1094" i="2" s="1"/>
  <c r="X256" i="11"/>
  <c r="X232" i="11"/>
  <c r="X280" i="11"/>
  <c r="W332" i="11"/>
  <c r="W356" i="11"/>
  <c r="W344" i="11"/>
  <c r="X288" i="11"/>
  <c r="X270" i="11"/>
  <c r="X252" i="11"/>
  <c r="AB10" i="11"/>
  <c r="O84" i="2" s="1"/>
  <c r="AB16" i="11"/>
  <c r="O98" i="2" s="1"/>
  <c r="AB64" i="11"/>
  <c r="O427" i="2" s="1"/>
  <c r="AA22" i="11"/>
  <c r="O162" i="2" s="1"/>
  <c r="AA64" i="11"/>
  <c r="O428" i="2" s="1"/>
  <c r="AA4" i="11"/>
  <c r="O15" i="2" s="1"/>
  <c r="Z371" i="11"/>
  <c r="Z401" i="11"/>
  <c r="Z413" i="11"/>
  <c r="AA120" i="11"/>
  <c r="O813" i="2" s="1"/>
  <c r="AA132" i="11"/>
  <c r="O925" i="2" s="1"/>
  <c r="AA78" i="11"/>
  <c r="O519" i="2" s="1"/>
  <c r="AB108" i="11"/>
  <c r="O756" i="2" s="1"/>
  <c r="AB114" i="11"/>
  <c r="O791" i="2" s="1"/>
  <c r="AB126" i="11"/>
  <c r="O875" i="2" s="1"/>
  <c r="W107" i="11"/>
  <c r="O744" i="2" s="1"/>
  <c r="W125" i="11"/>
  <c r="O856" i="2" s="1"/>
  <c r="W101" i="11"/>
  <c r="O702" i="2" s="1"/>
  <c r="AA56" i="11"/>
  <c r="O344" i="2" s="1"/>
  <c r="AA44" i="11"/>
  <c r="O267" i="2" s="1"/>
  <c r="AA26" i="11"/>
  <c r="O141" i="2" s="1"/>
  <c r="AB26" i="11"/>
  <c r="O140" i="2" s="1"/>
  <c r="AB32" i="11"/>
  <c r="O175" i="2" s="1"/>
  <c r="AB14" i="11"/>
  <c r="O56" i="2" s="1"/>
  <c r="AA11" i="11"/>
  <c r="O50" i="2" s="1"/>
  <c r="AA35" i="11"/>
  <c r="O246" i="2" s="1"/>
  <c r="AA5" i="11"/>
  <c r="O29" i="2" s="1"/>
  <c r="AB11" i="11"/>
  <c r="O49" i="2" s="1"/>
  <c r="AB47" i="11"/>
  <c r="O315" i="2" s="1"/>
  <c r="AB17" i="11"/>
  <c r="O119" i="2" s="1"/>
  <c r="AB6" i="11"/>
  <c r="O21" i="2" s="1"/>
  <c r="AB24" i="11"/>
  <c r="O168" i="2" s="1"/>
  <c r="AB72" i="11"/>
  <c r="O483" i="2" s="1"/>
  <c r="Z138" i="11"/>
  <c r="O943" i="2" s="1"/>
  <c r="Z84" i="11"/>
  <c r="O551" i="2" s="1"/>
  <c r="Z108" i="11"/>
  <c r="O754" i="2" s="1"/>
  <c r="Z8" i="11"/>
  <c r="O5" i="2" s="1"/>
  <c r="Z62" i="11"/>
  <c r="O411" i="2" s="1"/>
  <c r="Z14" i="11"/>
  <c r="O54" i="2" s="1"/>
  <c r="X233" i="11"/>
  <c r="X221" i="11"/>
  <c r="X269" i="11"/>
  <c r="W239" i="11"/>
  <c r="W275" i="11"/>
  <c r="W281" i="11"/>
  <c r="W370" i="11"/>
  <c r="W424" i="11"/>
  <c r="W388" i="11"/>
  <c r="AB368" i="11"/>
  <c r="AB398" i="11"/>
  <c r="AB404" i="11"/>
  <c r="X165" i="11"/>
  <c r="O1130" i="2" s="1"/>
  <c r="X171" i="11"/>
  <c r="O1172" i="2" s="1"/>
  <c r="X189" i="11"/>
  <c r="O1277" i="2" s="1"/>
  <c r="W177" i="11"/>
  <c r="O1178" i="2" s="1"/>
  <c r="W201" i="11"/>
  <c r="W213" i="11"/>
  <c r="AA316" i="11"/>
  <c r="AA304" i="11"/>
  <c r="AA334" i="11"/>
  <c r="X235" i="11"/>
  <c r="X289" i="11"/>
  <c r="X277" i="11"/>
  <c r="W259" i="11"/>
  <c r="W265" i="11"/>
  <c r="W277" i="11"/>
  <c r="Z387" i="11"/>
  <c r="Z381" i="11"/>
  <c r="Z429" i="11"/>
  <c r="Z190" i="11"/>
  <c r="Z214" i="11"/>
  <c r="Z178" i="11"/>
  <c r="O1237" i="2" s="1"/>
  <c r="AB214" i="11"/>
  <c r="AB166" i="11"/>
  <c r="O1148" i="2" s="1"/>
  <c r="AB202" i="11"/>
  <c r="X397" i="11"/>
  <c r="X415" i="11"/>
  <c r="X433" i="11"/>
  <c r="AA427" i="11"/>
  <c r="AA421" i="11"/>
  <c r="AA397" i="11"/>
  <c r="AA330" i="11"/>
  <c r="AA306" i="11"/>
  <c r="AA318" i="11"/>
  <c r="Z174" i="11"/>
  <c r="O1202" i="2" s="1"/>
  <c r="Z156" i="11"/>
  <c r="O1083" i="2" s="1"/>
  <c r="Z210" i="11"/>
  <c r="AB150" i="11"/>
  <c r="O1050" i="2" s="1"/>
  <c r="AB156" i="11"/>
  <c r="O1085" i="2" s="1"/>
  <c r="AB186" i="11"/>
  <c r="O1302" i="2" s="1"/>
  <c r="X341" i="11"/>
  <c r="X353" i="11"/>
  <c r="X329" i="11"/>
  <c r="W335" i="11"/>
  <c r="W359" i="11"/>
  <c r="W329" i="11"/>
  <c r="X98" i="11"/>
  <c r="O640" i="2" s="1"/>
  <c r="X122" i="11"/>
  <c r="O801" i="2" s="1"/>
  <c r="X134" i="11"/>
  <c r="O885" i="2" s="1"/>
  <c r="AA266" i="11"/>
  <c r="AA284" i="11"/>
  <c r="AA254" i="11"/>
  <c r="W414" i="11"/>
  <c r="W408" i="11"/>
  <c r="W384" i="11"/>
  <c r="AA170" i="11"/>
  <c r="O1163" i="2" s="1"/>
  <c r="AA188" i="11"/>
  <c r="O1268" i="2" s="1"/>
  <c r="AA206" i="11"/>
  <c r="Z286" i="11"/>
  <c r="Z256" i="11"/>
  <c r="Z274" i="11"/>
  <c r="AB274" i="11"/>
  <c r="AB238" i="11"/>
  <c r="AB250" i="11"/>
  <c r="AA362" i="11"/>
  <c r="AA320" i="11"/>
  <c r="AA350" i="11"/>
  <c r="Z252" i="11"/>
  <c r="Z240" i="11"/>
  <c r="Z258" i="11"/>
  <c r="AB240" i="11"/>
  <c r="AB258" i="11"/>
  <c r="AB282" i="11"/>
  <c r="X16" i="11"/>
  <c r="O94" i="2" s="1"/>
  <c r="X4" i="11"/>
  <c r="O10" i="2" s="1"/>
  <c r="X70" i="11"/>
  <c r="O496" i="2" s="1"/>
  <c r="W4" i="11"/>
  <c r="O9" i="2" s="1"/>
  <c r="W46" i="11"/>
  <c r="O324" i="2" s="1"/>
  <c r="W28" i="11"/>
  <c r="O191" i="2" s="1"/>
  <c r="AB419" i="11"/>
  <c r="AB401" i="11"/>
  <c r="AB425" i="11"/>
  <c r="W102" i="11"/>
  <c r="O681" i="2" s="1"/>
  <c r="W126" i="11"/>
  <c r="O870" i="2" s="1"/>
  <c r="W120" i="11"/>
  <c r="O807" i="2" s="1"/>
  <c r="W44" i="11"/>
  <c r="O261" i="2" s="1"/>
  <c r="W62" i="11"/>
  <c r="O408" i="2" s="1"/>
  <c r="W74" i="11"/>
  <c r="O488" i="2" s="1"/>
  <c r="AB63" i="11"/>
  <c r="O383" i="2" s="1"/>
  <c r="AB15" i="11"/>
  <c r="O77" i="2" s="1"/>
  <c r="AB33" i="11"/>
  <c r="O210" i="2" s="1"/>
  <c r="Z325" i="11"/>
  <c r="Z319" i="11"/>
  <c r="Z361" i="11"/>
  <c r="AB239" i="11"/>
  <c r="AB227" i="11"/>
  <c r="AB281" i="11"/>
  <c r="AA263" i="11"/>
  <c r="AA221" i="11"/>
  <c r="AA281" i="11"/>
  <c r="Z315" i="11"/>
  <c r="Z309" i="11"/>
  <c r="Z357" i="11"/>
  <c r="AA412" i="11"/>
  <c r="AA382" i="11"/>
  <c r="AA430" i="11"/>
  <c r="Z406" i="11"/>
  <c r="Z376" i="11"/>
  <c r="Z370" i="11"/>
  <c r="Z404" i="11"/>
  <c r="Z410" i="11"/>
  <c r="Z380" i="11"/>
  <c r="AB219" i="11"/>
  <c r="AB189" i="11"/>
  <c r="O1281" i="2" s="1"/>
  <c r="AB165" i="11"/>
  <c r="O1134" i="2" s="1"/>
  <c r="AA159" i="11"/>
  <c r="O1065" i="2" s="1"/>
  <c r="AA195" i="11"/>
  <c r="AA165" i="11"/>
  <c r="O1135" i="2" s="1"/>
  <c r="X334" i="11"/>
  <c r="X346" i="11"/>
  <c r="X328" i="11"/>
  <c r="AB223" i="11"/>
  <c r="AB265" i="11"/>
  <c r="AB277" i="11"/>
  <c r="AA259" i="11"/>
  <c r="AA283" i="11"/>
  <c r="AA241" i="11"/>
  <c r="W423" i="11"/>
  <c r="W393" i="11"/>
  <c r="W369" i="11"/>
  <c r="W166" i="11"/>
  <c r="O1143" i="2" s="1"/>
  <c r="W190" i="11"/>
  <c r="W172" i="11"/>
  <c r="O1206" i="2" s="1"/>
  <c r="Z169" i="11"/>
  <c r="O1139" i="2" s="1"/>
  <c r="Z211" i="11"/>
  <c r="Z205" i="11"/>
  <c r="Z379" i="11"/>
  <c r="Z421" i="11"/>
  <c r="Z409" i="11"/>
  <c r="AB391" i="11"/>
  <c r="AB433" i="11"/>
  <c r="AB409" i="11"/>
  <c r="X324" i="11"/>
  <c r="X300" i="11"/>
  <c r="X348" i="11"/>
  <c r="W162" i="11"/>
  <c r="O1101" i="2" s="1"/>
  <c r="W156" i="11"/>
  <c r="O1080" i="2" s="1"/>
  <c r="W204" i="11"/>
  <c r="Z231" i="11"/>
  <c r="Z255" i="11"/>
  <c r="Z249" i="11"/>
  <c r="AB323" i="11"/>
  <c r="AB305" i="11"/>
  <c r="AB353" i="11"/>
  <c r="AA359" i="11"/>
  <c r="AA305" i="11"/>
  <c r="AA353" i="11"/>
  <c r="Z191" i="11"/>
  <c r="Z179" i="11"/>
  <c r="O1251" i="2" s="1"/>
  <c r="Z185" i="11"/>
  <c r="O1272" i="2" s="1"/>
  <c r="Z92" i="11"/>
  <c r="O593" i="2" s="1"/>
  <c r="Z98" i="11"/>
  <c r="O642" i="2" s="1"/>
  <c r="Z146" i="11"/>
  <c r="O985" i="2" s="1"/>
  <c r="AB116" i="11"/>
  <c r="O777" i="2" s="1"/>
  <c r="AB146" i="11"/>
  <c r="O987" i="2" s="1"/>
  <c r="AB110" i="11"/>
  <c r="O742" i="2" s="1"/>
  <c r="X272" i="11"/>
  <c r="X284" i="11"/>
  <c r="X248" i="11"/>
  <c r="AA372" i="11"/>
  <c r="AA366" i="11"/>
  <c r="AA426" i="11"/>
  <c r="Z372" i="11"/>
  <c r="Z402" i="11"/>
  <c r="Z420" i="11"/>
  <c r="X200" i="11"/>
  <c r="X152" i="11"/>
  <c r="O1011" i="2" s="1"/>
  <c r="X182" i="11"/>
  <c r="O1242" i="2" s="1"/>
  <c r="W220" i="11"/>
  <c r="W238" i="11"/>
  <c r="W232" i="11"/>
  <c r="X308" i="11"/>
  <c r="X314" i="11"/>
  <c r="X344" i="11"/>
  <c r="W264" i="11"/>
  <c r="W270" i="11"/>
  <c r="W282" i="11"/>
  <c r="Z10" i="11"/>
  <c r="O82" i="2" s="1"/>
  <c r="Z46" i="11"/>
  <c r="O327" i="2" s="1"/>
  <c r="Z70" i="11"/>
  <c r="O498" i="2" s="1"/>
  <c r="X407" i="11"/>
  <c r="X413" i="11"/>
  <c r="X425" i="11"/>
  <c r="W371" i="11"/>
  <c r="W407" i="11"/>
  <c r="W401" i="11"/>
  <c r="AA48" i="11"/>
  <c r="O312" i="2" s="1"/>
  <c r="AA12" i="11"/>
  <c r="O61" i="2" s="1"/>
  <c r="AA42" i="11"/>
  <c r="O288" i="2" s="1"/>
  <c r="Z72" i="11"/>
  <c r="O481" i="2" s="1"/>
  <c r="Z36" i="11"/>
  <c r="O225" i="2" s="1"/>
  <c r="Z18" i="11"/>
  <c r="O89" i="2" s="1"/>
  <c r="Z143" i="11"/>
  <c r="O999" i="2" s="1"/>
  <c r="Z95" i="11"/>
  <c r="O649" i="2" s="1"/>
  <c r="Z137" i="11"/>
  <c r="O964" i="2" s="1"/>
  <c r="AA112" i="11"/>
  <c r="O771" i="2" s="1"/>
  <c r="AA88" i="11"/>
  <c r="O610" i="2" s="1"/>
  <c r="AA76" i="11"/>
  <c r="O540" i="2" s="1"/>
  <c r="Z142" i="11"/>
  <c r="O978" i="2" s="1"/>
  <c r="Z118" i="11"/>
  <c r="O838" i="2" s="1"/>
  <c r="Z130" i="11"/>
  <c r="O915" i="2" s="1"/>
  <c r="Z35" i="11"/>
  <c r="O243" i="2" s="1"/>
  <c r="Z5" i="11"/>
  <c r="O26" i="2" s="1"/>
  <c r="Z65" i="11"/>
  <c r="O460" i="2" s="1"/>
  <c r="AA119" i="11"/>
  <c r="O834" i="2" s="1"/>
  <c r="AA125" i="11"/>
  <c r="O862" i="2" s="1"/>
  <c r="AA101" i="11"/>
  <c r="O708" i="2" s="1"/>
  <c r="W112" i="11"/>
  <c r="O765" i="2" s="1"/>
  <c r="W136" i="11"/>
  <c r="O947" i="2" s="1"/>
  <c r="W124" i="11"/>
  <c r="O863" i="2" s="1"/>
  <c r="X94" i="11"/>
  <c r="O668" i="2" s="1"/>
  <c r="X130" i="11"/>
  <c r="O913" i="2" s="1"/>
  <c r="X106" i="11"/>
  <c r="O731" i="2" s="1"/>
  <c r="X53" i="11"/>
  <c r="O360" i="2" s="1"/>
  <c r="X35" i="11"/>
  <c r="O241" i="2" s="1"/>
  <c r="X47" i="11"/>
  <c r="O304" i="2" s="1"/>
  <c r="AB107" i="11"/>
  <c r="O749" i="2" s="1"/>
  <c r="AB143" i="11"/>
  <c r="O1001" i="2" s="1"/>
  <c r="AB101" i="11"/>
  <c r="O707" i="2" s="1"/>
  <c r="W47" i="11"/>
  <c r="O303" i="2" s="1"/>
  <c r="W11" i="11"/>
  <c r="O44" i="2" s="1"/>
  <c r="W5" i="11"/>
  <c r="O23" i="2" s="1"/>
  <c r="X301" i="11"/>
  <c r="X331" i="11"/>
  <c r="X361" i="11"/>
  <c r="W331" i="11"/>
  <c r="W355" i="11"/>
  <c r="W313" i="11"/>
  <c r="X315" i="11"/>
  <c r="X297" i="11"/>
  <c r="X345" i="11"/>
  <c r="W363" i="11"/>
  <c r="W339" i="11"/>
  <c r="W297" i="11"/>
  <c r="X406" i="11"/>
  <c r="X412" i="11"/>
  <c r="X376" i="11"/>
  <c r="AA392" i="11"/>
  <c r="AA416" i="11"/>
  <c r="AA410" i="11"/>
  <c r="Z328" i="11"/>
  <c r="Z316" i="11"/>
  <c r="Z304" i="11"/>
  <c r="AB310" i="11"/>
  <c r="AB292" i="11"/>
  <c r="AB328" i="11"/>
  <c r="X429" i="11"/>
  <c r="X423" i="11"/>
  <c r="X393" i="11"/>
  <c r="AA399" i="11"/>
  <c r="AA417" i="11"/>
  <c r="AA423" i="11"/>
  <c r="AA214" i="11"/>
  <c r="AA178" i="11"/>
  <c r="O1240" i="2" s="1"/>
  <c r="AA196" i="11"/>
  <c r="X199" i="11"/>
  <c r="X175" i="11"/>
  <c r="O1186" i="2" s="1"/>
  <c r="X205" i="11"/>
  <c r="W163" i="11"/>
  <c r="O1108" i="2" s="1"/>
  <c r="W199" i="11"/>
  <c r="W193" i="11"/>
  <c r="Z330" i="11"/>
  <c r="Z348" i="11"/>
  <c r="Z336" i="11"/>
  <c r="AB300" i="11"/>
  <c r="AB360" i="11"/>
  <c r="AB318" i="11"/>
  <c r="AA162" i="11"/>
  <c r="O1107" i="2" s="1"/>
  <c r="AA168" i="11"/>
  <c r="O1170" i="2" s="1"/>
  <c r="AA216" i="11"/>
  <c r="X279" i="11"/>
  <c r="X255" i="11"/>
  <c r="X249" i="11"/>
  <c r="W273" i="11"/>
  <c r="W261" i="11"/>
  <c r="W279" i="11"/>
  <c r="X179" i="11"/>
  <c r="O1249" i="2" s="1"/>
  <c r="X191" i="11"/>
  <c r="X173" i="11"/>
  <c r="O1192" i="2" s="1"/>
  <c r="W191" i="11"/>
  <c r="W203" i="11"/>
  <c r="W209" i="11"/>
  <c r="W128" i="11"/>
  <c r="O842" i="2" s="1"/>
  <c r="W98" i="11"/>
  <c r="O639" i="2" s="1"/>
  <c r="W140" i="11"/>
  <c r="O933" i="2" s="1"/>
  <c r="Z266" i="11"/>
  <c r="Z272" i="11"/>
  <c r="Z260" i="11"/>
  <c r="AB278" i="11"/>
  <c r="AB248" i="11"/>
  <c r="AB236" i="11"/>
  <c r="X432" i="11"/>
  <c r="X408" i="11"/>
  <c r="X426" i="11"/>
  <c r="Z188" i="11"/>
  <c r="O1265" i="2" s="1"/>
  <c r="Z206" i="11"/>
  <c r="Z176" i="11"/>
  <c r="O1216" i="2" s="1"/>
  <c r="AB200" i="11"/>
  <c r="AB188" i="11"/>
  <c r="O1267" i="2" s="1"/>
  <c r="AB206" i="11"/>
  <c r="AA226" i="11"/>
  <c r="AA220" i="11"/>
  <c r="AA280" i="11"/>
  <c r="Z362" i="11"/>
  <c r="Z356" i="11"/>
  <c r="Z326" i="11"/>
  <c r="AB332" i="11"/>
  <c r="AB302" i="11"/>
  <c r="AB356" i="11"/>
  <c r="AA246" i="11"/>
  <c r="AA252" i="11"/>
  <c r="AA264" i="11"/>
  <c r="AA419" i="11"/>
  <c r="AA407" i="11"/>
  <c r="AA401" i="11"/>
  <c r="W18" i="11"/>
  <c r="O86" i="2" s="1"/>
  <c r="W54" i="11"/>
  <c r="O373" i="2" s="1"/>
  <c r="W36" i="11"/>
  <c r="O222" i="2" s="1"/>
  <c r="X18" i="11"/>
  <c r="O87" i="2" s="1"/>
  <c r="X24" i="11"/>
  <c r="O164" i="2" s="1"/>
  <c r="X42" i="11"/>
  <c r="O283" i="2" s="1"/>
  <c r="X126" i="11"/>
  <c r="O871" i="2" s="1"/>
  <c r="X96" i="11"/>
  <c r="O661" i="2" s="1"/>
  <c r="X138" i="11"/>
  <c r="O941" i="2" s="1"/>
  <c r="X107" i="11"/>
  <c r="O745" i="2" s="1"/>
  <c r="X77" i="11"/>
  <c r="O507" i="2" s="1"/>
  <c r="X95" i="11"/>
  <c r="O647" i="2" s="1"/>
  <c r="X68" i="11"/>
  <c r="O451" i="2" s="1"/>
  <c r="X32" i="11"/>
  <c r="O171" i="2" s="1"/>
  <c r="X74" i="11"/>
  <c r="O489" i="2" s="1"/>
  <c r="AB112" i="11"/>
  <c r="O770" i="2" s="1"/>
  <c r="AB100" i="11"/>
  <c r="O700" i="2" s="1"/>
  <c r="AB76" i="11"/>
  <c r="O539" i="2" s="1"/>
  <c r="AA63" i="11"/>
  <c r="O384" i="2" s="1"/>
  <c r="N63" i="11"/>
  <c r="AA45" i="11"/>
  <c r="O281" i="2" s="1"/>
  <c r="N45" i="11"/>
  <c r="AA21" i="11"/>
  <c r="O106" i="2" s="1"/>
  <c r="N21" i="11"/>
  <c r="AA111" i="11"/>
  <c r="O722" i="2" s="1"/>
  <c r="N111" i="11"/>
  <c r="AA147" i="11"/>
  <c r="O995" i="2" s="1"/>
  <c r="N147" i="11"/>
  <c r="AA105" i="11"/>
  <c r="O694" i="2" s="1"/>
  <c r="N105" i="11"/>
  <c r="AA31" i="11"/>
  <c r="O183" i="2" s="1"/>
  <c r="N31" i="11"/>
  <c r="AA13" i="11"/>
  <c r="O71" i="2" s="1"/>
  <c r="N13" i="11"/>
  <c r="AA49" i="11"/>
  <c r="O323" i="2" s="1"/>
  <c r="N49" i="11"/>
  <c r="AA51" i="11"/>
  <c r="O302" i="2" s="1"/>
  <c r="N51" i="11"/>
  <c r="AA33" i="11"/>
  <c r="O211" i="2" s="1"/>
  <c r="N33" i="11"/>
  <c r="AA57" i="11"/>
  <c r="O358" i="2" s="1"/>
  <c r="N57" i="11"/>
  <c r="AA93" i="11"/>
  <c r="O624" i="2" s="1"/>
  <c r="N93" i="11"/>
  <c r="AA141" i="11"/>
  <c r="O960" i="2" s="1"/>
  <c r="N141" i="11"/>
  <c r="AA129" i="11"/>
  <c r="O855" i="2" s="1"/>
  <c r="N129" i="11"/>
  <c r="AA43" i="11"/>
  <c r="O260" i="2" s="1"/>
  <c r="N43" i="11"/>
  <c r="AA61" i="11"/>
  <c r="O400" i="2" s="1"/>
  <c r="N61" i="11"/>
  <c r="AA73" i="11"/>
  <c r="O505" i="2" s="1"/>
  <c r="N73" i="11"/>
  <c r="AA39" i="11"/>
  <c r="O221" i="2" s="1"/>
  <c r="N39" i="11"/>
  <c r="AA15" i="11"/>
  <c r="O78" i="2" s="1"/>
  <c r="N15" i="11"/>
  <c r="AA69" i="11"/>
  <c r="O435" i="2" s="1"/>
  <c r="N69" i="11"/>
  <c r="AA87" i="11"/>
  <c r="O575" i="2" s="1"/>
  <c r="N87" i="11"/>
  <c r="AA123" i="11"/>
  <c r="O827" i="2" s="1"/>
  <c r="N123" i="11"/>
  <c r="AA117" i="11"/>
  <c r="O764" i="2" s="1"/>
  <c r="N117" i="11"/>
  <c r="AA19" i="11"/>
  <c r="O113" i="2" s="1"/>
  <c r="N19" i="11"/>
  <c r="AA55" i="11"/>
  <c r="O372" i="2" s="1"/>
  <c r="N55" i="11"/>
  <c r="AA37" i="11"/>
  <c r="O232" i="2" s="1"/>
  <c r="N37" i="11"/>
  <c r="AA75" i="11"/>
  <c r="O477" i="2" s="1"/>
  <c r="N75" i="11"/>
  <c r="AA27" i="11"/>
  <c r="O134" i="2" s="1"/>
  <c r="N27" i="11"/>
  <c r="AA9" i="11"/>
  <c r="O36" i="2" s="1"/>
  <c r="N9" i="11"/>
  <c r="AA99" i="11"/>
  <c r="O659" i="2" s="1"/>
  <c r="N99" i="11"/>
  <c r="AA135" i="11"/>
  <c r="O897" i="2" s="1"/>
  <c r="N135" i="11"/>
  <c r="AA81" i="11"/>
  <c r="O547" i="2" s="1"/>
  <c r="N81" i="11"/>
  <c r="AA7" i="11"/>
  <c r="O43" i="2" s="1"/>
  <c r="N7" i="11"/>
  <c r="AA67" i="11"/>
  <c r="O442" i="2" s="1"/>
  <c r="N67" i="11"/>
  <c r="AA25" i="11"/>
  <c r="O148" i="2" s="1"/>
  <c r="N25" i="11"/>
  <c r="N343" i="11"/>
  <c r="Y343" i="11"/>
  <c r="N301" i="11"/>
  <c r="Y301" i="11"/>
  <c r="N361" i="11"/>
  <c r="Y361" i="11"/>
  <c r="N339" i="11"/>
  <c r="Y339" i="11"/>
  <c r="N333" i="11"/>
  <c r="Y333" i="11"/>
  <c r="N309" i="11"/>
  <c r="Y309" i="11"/>
  <c r="N364" i="11"/>
  <c r="Y364" i="11"/>
  <c r="N430" i="11"/>
  <c r="Y430" i="11"/>
  <c r="N394" i="11"/>
  <c r="Y394" i="11"/>
  <c r="N187" i="11"/>
  <c r="Y187" i="11"/>
  <c r="O1292" i="2" s="1"/>
  <c r="N193" i="11"/>
  <c r="Y193" i="11"/>
  <c r="N199" i="11"/>
  <c r="Y199" i="11"/>
  <c r="N243" i="11"/>
  <c r="Y243" i="11"/>
  <c r="N273" i="11"/>
  <c r="Y273" i="11"/>
  <c r="N249" i="11"/>
  <c r="Y249" i="11"/>
  <c r="N209" i="11"/>
  <c r="Y209" i="11"/>
  <c r="N185" i="11"/>
  <c r="Y185" i="11"/>
  <c r="O1271" i="2" s="1"/>
  <c r="N167" i="11"/>
  <c r="Y167" i="11"/>
  <c r="O1152" i="2" s="1"/>
  <c r="N396" i="11"/>
  <c r="Y396" i="11"/>
  <c r="N402" i="11"/>
  <c r="Y402" i="11"/>
  <c r="N384" i="11"/>
  <c r="Y384" i="11"/>
  <c r="N195" i="11"/>
  <c r="Y195" i="11"/>
  <c r="N159" i="11"/>
  <c r="Y159" i="11"/>
  <c r="O1061" i="2" s="1"/>
  <c r="N213" i="11"/>
  <c r="Y213" i="11"/>
  <c r="N305" i="11"/>
  <c r="Y305" i="11"/>
  <c r="N317" i="11"/>
  <c r="Y317" i="11"/>
  <c r="N347" i="11"/>
  <c r="Y347" i="11"/>
  <c r="N196" i="11"/>
  <c r="Y196" i="11"/>
  <c r="N208" i="11"/>
  <c r="Y208" i="11"/>
  <c r="N202" i="11"/>
  <c r="Y202" i="11"/>
  <c r="N162" i="11"/>
  <c r="Y162" i="11"/>
  <c r="O1103" i="2" s="1"/>
  <c r="N216" i="11"/>
  <c r="Y216" i="11"/>
  <c r="N186" i="11"/>
  <c r="Y186" i="11"/>
  <c r="O1299" i="2" s="1"/>
  <c r="N244" i="11"/>
  <c r="Y244" i="11"/>
  <c r="N256" i="11"/>
  <c r="Y256" i="11"/>
  <c r="N232" i="11"/>
  <c r="Y232" i="11"/>
  <c r="N264" i="11"/>
  <c r="Y264" i="11"/>
  <c r="N240" i="11"/>
  <c r="Y240" i="11"/>
  <c r="N228" i="11"/>
  <c r="Y228" i="11"/>
  <c r="N94" i="11"/>
  <c r="Y94" i="11"/>
  <c r="O669" i="2" s="1"/>
  <c r="N142" i="11"/>
  <c r="Y142" i="11"/>
  <c r="O977" i="2" s="1"/>
  <c r="N82" i="11"/>
  <c r="Y82" i="11"/>
  <c r="O578" i="2" s="1"/>
  <c r="N245" i="11"/>
  <c r="Y245" i="11"/>
  <c r="N221" i="11"/>
  <c r="Y221" i="11"/>
  <c r="N257" i="11"/>
  <c r="Y257" i="11"/>
  <c r="N398" i="11"/>
  <c r="Y398" i="11"/>
  <c r="N374" i="11"/>
  <c r="Y374" i="11"/>
  <c r="N386" i="11"/>
  <c r="Y386" i="11"/>
  <c r="N247" i="11"/>
  <c r="Y247" i="11"/>
  <c r="N235" i="11"/>
  <c r="Y235" i="11"/>
  <c r="N223" i="11"/>
  <c r="Y223" i="11"/>
  <c r="N401" i="11"/>
  <c r="Y401" i="11"/>
  <c r="N395" i="11"/>
  <c r="Y395" i="11"/>
  <c r="N407" i="11"/>
  <c r="Y407" i="11"/>
  <c r="N292" i="11"/>
  <c r="Y292" i="11"/>
  <c r="N346" i="11"/>
  <c r="Y346" i="11"/>
  <c r="N316" i="11"/>
  <c r="Y316" i="11"/>
  <c r="N405" i="11"/>
  <c r="Y405" i="11"/>
  <c r="N435" i="11"/>
  <c r="Y435" i="11"/>
  <c r="N429" i="11"/>
  <c r="Y429" i="11"/>
  <c r="N300" i="11"/>
  <c r="Y300" i="11"/>
  <c r="N330" i="11"/>
  <c r="Y330" i="11"/>
  <c r="N306" i="11"/>
  <c r="Y306" i="11"/>
  <c r="N284" i="11"/>
  <c r="Y284" i="11"/>
  <c r="N224" i="11"/>
  <c r="Y224" i="11"/>
  <c r="N242" i="11"/>
  <c r="Y242" i="11"/>
  <c r="N188" i="11"/>
  <c r="Y188" i="11"/>
  <c r="O1264" i="2" s="1"/>
  <c r="N182" i="11"/>
  <c r="Y182" i="11"/>
  <c r="O1243" i="2" s="1"/>
  <c r="N176" i="11"/>
  <c r="Y176" i="11"/>
  <c r="O1215" i="2" s="1"/>
  <c r="N308" i="11"/>
  <c r="Y308" i="11"/>
  <c r="N332" i="11"/>
  <c r="Y332" i="11"/>
  <c r="N356" i="11"/>
  <c r="Y356" i="11"/>
  <c r="N42" i="11"/>
  <c r="Y42" i="11"/>
  <c r="O284" i="2" s="1"/>
  <c r="N6" i="11"/>
  <c r="Y6" i="11"/>
  <c r="O18" i="2" s="1"/>
  <c r="N12" i="11"/>
  <c r="Y12" i="11"/>
  <c r="O64" i="2" s="1"/>
  <c r="N84" i="11"/>
  <c r="Y84" i="11"/>
  <c r="O550" i="2" s="1"/>
  <c r="N144" i="11"/>
  <c r="Y144" i="11"/>
  <c r="O1005" i="2" s="1"/>
  <c r="N120" i="11"/>
  <c r="Y120" i="11"/>
  <c r="O809" i="2" s="1"/>
  <c r="N74" i="11"/>
  <c r="Y74" i="11"/>
  <c r="O490" i="2" s="1"/>
  <c r="N50" i="11"/>
  <c r="Y50" i="11"/>
  <c r="O333" i="2" s="1"/>
  <c r="N26" i="11"/>
  <c r="Y26" i="11"/>
  <c r="O137" i="2" s="1"/>
  <c r="N86" i="11"/>
  <c r="Y86" i="11"/>
  <c r="O557" i="2" s="1"/>
  <c r="N110" i="11"/>
  <c r="Y110" i="11"/>
  <c r="O739" i="2" s="1"/>
  <c r="N80" i="11"/>
  <c r="Y80" i="11"/>
  <c r="O522" i="2" s="1"/>
  <c r="N137" i="11"/>
  <c r="Y137" i="11"/>
  <c r="O963" i="2" s="1"/>
  <c r="N125" i="11"/>
  <c r="Y125" i="11"/>
  <c r="O858" i="2" s="1"/>
  <c r="N77" i="11"/>
  <c r="Y77" i="11"/>
  <c r="O508" i="2" s="1"/>
  <c r="N35" i="11"/>
  <c r="Y35" i="11"/>
  <c r="O242" i="2" s="1"/>
  <c r="N29" i="11"/>
  <c r="Y29" i="11"/>
  <c r="O186" i="2" s="1"/>
  <c r="N11" i="11"/>
  <c r="Y11" i="11"/>
  <c r="O46" i="2" s="1"/>
  <c r="N391" i="11"/>
  <c r="Y391" i="11"/>
  <c r="N427" i="11"/>
  <c r="Y427" i="11"/>
  <c r="N433" i="11"/>
  <c r="Y433" i="11"/>
  <c r="N4" i="11"/>
  <c r="Y4" i="11"/>
  <c r="O11" i="2" s="1"/>
  <c r="N64" i="11"/>
  <c r="Y64" i="11"/>
  <c r="O424" i="2" s="1"/>
  <c r="N28" i="11"/>
  <c r="Y28" i="11"/>
  <c r="O193" i="2" s="1"/>
  <c r="N307" i="11"/>
  <c r="Y307" i="11"/>
  <c r="N313" i="11"/>
  <c r="Y313" i="11"/>
  <c r="N337" i="11"/>
  <c r="Y337" i="11"/>
  <c r="N363" i="11"/>
  <c r="Y363" i="11"/>
  <c r="N297" i="11"/>
  <c r="Y297" i="11"/>
  <c r="N351" i="11"/>
  <c r="Y351" i="11"/>
  <c r="N418" i="11"/>
  <c r="Y418" i="11"/>
  <c r="N388" i="11"/>
  <c r="Y388" i="11"/>
  <c r="N406" i="11"/>
  <c r="Y406" i="11"/>
  <c r="N181" i="11"/>
  <c r="Y181" i="11"/>
  <c r="O1257" i="2" s="1"/>
  <c r="N157" i="11"/>
  <c r="Y157" i="11"/>
  <c r="O1075" i="2" s="1"/>
  <c r="N211" i="11"/>
  <c r="Y211" i="11"/>
  <c r="N237" i="11"/>
  <c r="Y237" i="11"/>
  <c r="N267" i="11"/>
  <c r="Y267" i="11"/>
  <c r="N231" i="11"/>
  <c r="Y231" i="11"/>
  <c r="N179" i="11"/>
  <c r="Y179" i="11"/>
  <c r="O1250" i="2" s="1"/>
  <c r="N197" i="11"/>
  <c r="Y197" i="11"/>
  <c r="N191" i="11"/>
  <c r="Y191" i="11"/>
  <c r="N432" i="11"/>
  <c r="Y432" i="11"/>
  <c r="N420" i="11"/>
  <c r="Y420" i="11"/>
  <c r="N366" i="11"/>
  <c r="Y366" i="11"/>
  <c r="N219" i="11"/>
  <c r="Y219" i="11"/>
  <c r="N177" i="11"/>
  <c r="Y177" i="11"/>
  <c r="O1180" i="2" s="1"/>
  <c r="N165" i="11"/>
  <c r="Y165" i="11"/>
  <c r="O1131" i="2" s="1"/>
  <c r="N299" i="11"/>
  <c r="Y299" i="11"/>
  <c r="N341" i="11"/>
  <c r="Y341" i="11"/>
  <c r="N353" i="11"/>
  <c r="Y353" i="11"/>
  <c r="N184" i="11"/>
  <c r="Y184" i="11"/>
  <c r="O1285" i="2" s="1"/>
  <c r="N148" i="11"/>
  <c r="Y148" i="11"/>
  <c r="O1040" i="2" s="1"/>
  <c r="N214" i="11"/>
  <c r="Y214" i="11"/>
  <c r="N150" i="11"/>
  <c r="Y150" i="11"/>
  <c r="O1047" i="2" s="1"/>
  <c r="N174" i="11"/>
  <c r="Y174" i="11"/>
  <c r="O1201" i="2" s="1"/>
  <c r="N192" i="11"/>
  <c r="Y192" i="11"/>
  <c r="N220" i="11"/>
  <c r="Y220" i="11"/>
  <c r="N250" i="11"/>
  <c r="Y250" i="11"/>
  <c r="N280" i="11"/>
  <c r="Y280" i="11"/>
  <c r="N276" i="11"/>
  <c r="Y276" i="11"/>
  <c r="N234" i="11"/>
  <c r="Y234" i="11"/>
  <c r="N246" i="11"/>
  <c r="Y246" i="11"/>
  <c r="N76" i="11"/>
  <c r="Y76" i="11"/>
  <c r="O536" i="2" s="1"/>
  <c r="N106" i="11"/>
  <c r="Y106" i="11"/>
  <c r="O732" i="2" s="1"/>
  <c r="N124" i="11"/>
  <c r="Y124" i="11"/>
  <c r="O865" i="2" s="1"/>
  <c r="N227" i="11"/>
  <c r="Y227" i="11"/>
  <c r="N233" i="11"/>
  <c r="Y233" i="11"/>
  <c r="N269" i="11"/>
  <c r="Y269" i="11"/>
  <c r="N434" i="11"/>
  <c r="Y434" i="11"/>
  <c r="N392" i="11"/>
  <c r="Y392" i="11"/>
  <c r="N422" i="11"/>
  <c r="Y422" i="11"/>
  <c r="N265" i="11"/>
  <c r="Y265" i="11"/>
  <c r="N241" i="11"/>
  <c r="Y241" i="11"/>
  <c r="N283" i="11"/>
  <c r="Y283" i="11"/>
  <c r="N365" i="11"/>
  <c r="Y365" i="11"/>
  <c r="N419" i="11"/>
  <c r="Y419" i="11"/>
  <c r="N431" i="11"/>
  <c r="Y431" i="11"/>
  <c r="N340" i="11"/>
  <c r="Y340" i="11"/>
  <c r="N358" i="11"/>
  <c r="Y358" i="11"/>
  <c r="N310" i="11"/>
  <c r="Y310" i="11"/>
  <c r="N387" i="11"/>
  <c r="Y387" i="11"/>
  <c r="N381" i="11"/>
  <c r="Y381" i="11"/>
  <c r="N393" i="11"/>
  <c r="Y393" i="11"/>
  <c r="N324" i="11"/>
  <c r="Y324" i="11"/>
  <c r="N342" i="11"/>
  <c r="Y342" i="11"/>
  <c r="N336" i="11"/>
  <c r="Y336" i="11"/>
  <c r="N254" i="11"/>
  <c r="Y254" i="11"/>
  <c r="N260" i="11"/>
  <c r="Y260" i="11"/>
  <c r="N278" i="11"/>
  <c r="Y278" i="11"/>
  <c r="N212" i="11"/>
  <c r="Y212" i="11"/>
  <c r="N218" i="11"/>
  <c r="Y218" i="11"/>
  <c r="N158" i="11"/>
  <c r="Y158" i="11"/>
  <c r="O1068" i="2" s="1"/>
  <c r="N338" i="11"/>
  <c r="Y338" i="11"/>
  <c r="N350" i="11"/>
  <c r="Y350" i="11"/>
  <c r="N302" i="11"/>
  <c r="Y302" i="11"/>
  <c r="N30" i="11"/>
  <c r="Y30" i="11"/>
  <c r="O200" i="2" s="1"/>
  <c r="N24" i="11"/>
  <c r="Y24" i="11"/>
  <c r="O165" i="2" s="1"/>
  <c r="N48" i="11"/>
  <c r="Y48" i="11"/>
  <c r="O308" i="2" s="1"/>
  <c r="N90" i="11"/>
  <c r="Y90" i="11"/>
  <c r="O613" i="2" s="1"/>
  <c r="N78" i="11"/>
  <c r="Y78" i="11"/>
  <c r="O515" i="2" s="1"/>
  <c r="N102" i="11"/>
  <c r="Y102" i="11"/>
  <c r="O683" i="2" s="1"/>
  <c r="N56" i="11"/>
  <c r="Y56" i="11"/>
  <c r="O340" i="2" s="1"/>
  <c r="N8" i="11"/>
  <c r="Y8" i="11"/>
  <c r="O4" i="2" s="1"/>
  <c r="N20" i="11"/>
  <c r="Y20" i="11"/>
  <c r="O123" i="2" s="1"/>
  <c r="N116" i="11"/>
  <c r="Y116" i="11"/>
  <c r="O774" i="2" s="1"/>
  <c r="N140" i="11"/>
  <c r="Y140" i="11"/>
  <c r="O935" i="2" s="1"/>
  <c r="N122" i="11"/>
  <c r="Y122" i="11"/>
  <c r="O802" i="2" s="1"/>
  <c r="N83" i="11"/>
  <c r="Y83" i="11"/>
  <c r="O564" i="2" s="1"/>
  <c r="N107" i="11"/>
  <c r="Y107" i="11"/>
  <c r="O746" i="2" s="1"/>
  <c r="N143" i="11"/>
  <c r="Y143" i="11"/>
  <c r="O998" i="2" s="1"/>
  <c r="N47" i="11"/>
  <c r="Y47" i="11"/>
  <c r="O305" i="2" s="1"/>
  <c r="N41" i="11"/>
  <c r="Y41" i="11"/>
  <c r="O270" i="2" s="1"/>
  <c r="N23" i="11"/>
  <c r="Y23" i="11"/>
  <c r="O151" i="2" s="1"/>
  <c r="N397" i="11"/>
  <c r="Y397" i="11"/>
  <c r="N385" i="11"/>
  <c r="Y385" i="11"/>
  <c r="N373" i="11"/>
  <c r="Y373" i="11"/>
  <c r="N46" i="11"/>
  <c r="Y46" i="11"/>
  <c r="O326" i="2" s="1"/>
  <c r="N70" i="11"/>
  <c r="Y70" i="11"/>
  <c r="O497" i="2" s="1"/>
  <c r="N34" i="11"/>
  <c r="Y34" i="11"/>
  <c r="O249" i="2" s="1"/>
  <c r="N331" i="11"/>
  <c r="Y331" i="11"/>
  <c r="N349" i="11"/>
  <c r="Y349" i="11"/>
  <c r="N319" i="11"/>
  <c r="Y319" i="11"/>
  <c r="N315" i="11"/>
  <c r="Y315" i="11"/>
  <c r="N357" i="11"/>
  <c r="Y357" i="11"/>
  <c r="N303" i="11"/>
  <c r="Y303" i="11"/>
  <c r="N412" i="11"/>
  <c r="Y412" i="11"/>
  <c r="N424" i="11"/>
  <c r="Y424" i="11"/>
  <c r="N400" i="11"/>
  <c r="Y400" i="11"/>
  <c r="N205" i="11"/>
  <c r="Y205" i="11"/>
  <c r="N169" i="11"/>
  <c r="Y169" i="11"/>
  <c r="O1138" i="2" s="1"/>
  <c r="N151" i="11"/>
  <c r="Y151" i="11"/>
  <c r="O1033" i="2" s="1"/>
  <c r="N261" i="11"/>
  <c r="Y261" i="11"/>
  <c r="N291" i="11"/>
  <c r="Y291" i="11"/>
  <c r="N255" i="11"/>
  <c r="Y255" i="11"/>
  <c r="N203" i="11"/>
  <c r="Y203" i="11"/>
  <c r="N173" i="11"/>
  <c r="Y173" i="11"/>
  <c r="O1193" i="2" s="1"/>
  <c r="N215" i="11"/>
  <c r="Y215" i="11"/>
  <c r="N378" i="11"/>
  <c r="Y378" i="11"/>
  <c r="N426" i="11"/>
  <c r="Y426" i="11"/>
  <c r="N372" i="11"/>
  <c r="Y372" i="11"/>
  <c r="N153" i="11"/>
  <c r="Y153" i="11"/>
  <c r="O1019" i="2" s="1"/>
  <c r="N171" i="11"/>
  <c r="Y171" i="11"/>
  <c r="O1173" i="2" s="1"/>
  <c r="N207" i="11"/>
  <c r="Y207" i="11"/>
  <c r="N323" i="11"/>
  <c r="Y323" i="11"/>
  <c r="N293" i="11"/>
  <c r="Y293" i="11"/>
  <c r="N335" i="11"/>
  <c r="Y335" i="11"/>
  <c r="N154" i="11"/>
  <c r="Y154" i="11"/>
  <c r="O1089" i="2" s="1"/>
  <c r="N190" i="11"/>
  <c r="Y190" i="11"/>
  <c r="N172" i="11"/>
  <c r="Y172" i="11"/>
  <c r="O1208" i="2" s="1"/>
  <c r="N198" i="11"/>
  <c r="Y198" i="11"/>
  <c r="N180" i="11"/>
  <c r="Y180" i="11"/>
  <c r="O1222" i="2" s="1"/>
  <c r="N210" i="11"/>
  <c r="Y210" i="11"/>
  <c r="N262" i="11"/>
  <c r="Y262" i="11"/>
  <c r="N238" i="11"/>
  <c r="Y238" i="11"/>
  <c r="N286" i="11"/>
  <c r="Y286" i="11"/>
  <c r="N282" i="11"/>
  <c r="Y282" i="11"/>
  <c r="N258" i="11"/>
  <c r="Y258" i="11"/>
  <c r="N222" i="11"/>
  <c r="Y222" i="11"/>
  <c r="N130" i="11"/>
  <c r="Y130" i="11"/>
  <c r="O914" i="2" s="1"/>
  <c r="N88" i="11"/>
  <c r="Y88" i="11"/>
  <c r="O606" i="2" s="1"/>
  <c r="N100" i="11"/>
  <c r="Y100" i="11"/>
  <c r="O697" i="2" s="1"/>
  <c r="N251" i="11"/>
  <c r="Y251" i="11"/>
  <c r="N281" i="11"/>
  <c r="Y281" i="11"/>
  <c r="N287" i="11"/>
  <c r="Y287" i="11"/>
  <c r="N380" i="11"/>
  <c r="Y380" i="11"/>
  <c r="N410" i="11"/>
  <c r="Y410" i="11"/>
  <c r="N428" i="11"/>
  <c r="Y428" i="11"/>
  <c r="N259" i="11"/>
  <c r="Y259" i="11"/>
  <c r="N253" i="11"/>
  <c r="Y253" i="11"/>
  <c r="N271" i="11"/>
  <c r="Y271" i="11"/>
  <c r="N425" i="11"/>
  <c r="Y425" i="11"/>
  <c r="N389" i="11"/>
  <c r="Y389" i="11"/>
  <c r="N383" i="11"/>
  <c r="Y383" i="11"/>
  <c r="N298" i="11"/>
  <c r="Y298" i="11"/>
  <c r="N352" i="11"/>
  <c r="Y352" i="11"/>
  <c r="N322" i="11"/>
  <c r="Y322" i="11"/>
  <c r="N369" i="11"/>
  <c r="Y369" i="11"/>
  <c r="N423" i="11"/>
  <c r="Y423" i="11"/>
  <c r="N399" i="11"/>
  <c r="Y399" i="11"/>
  <c r="N360" i="11"/>
  <c r="Y360" i="11"/>
  <c r="N348" i="11"/>
  <c r="Y348" i="11"/>
  <c r="N318" i="11"/>
  <c r="Y318" i="11"/>
  <c r="N266" i="11"/>
  <c r="Y266" i="11"/>
  <c r="N272" i="11"/>
  <c r="Y272" i="11"/>
  <c r="N236" i="11"/>
  <c r="Y236" i="11"/>
  <c r="N206" i="11"/>
  <c r="Y206" i="11"/>
  <c r="N194" i="11"/>
  <c r="Y194" i="11"/>
  <c r="N164" i="11"/>
  <c r="Y164" i="11"/>
  <c r="O1096" i="2" s="1"/>
  <c r="N314" i="11"/>
  <c r="Y314" i="11"/>
  <c r="N296" i="11"/>
  <c r="Y296" i="11"/>
  <c r="N326" i="11"/>
  <c r="Y326" i="11"/>
  <c r="N66" i="11"/>
  <c r="Y66" i="11"/>
  <c r="O445" i="2" s="1"/>
  <c r="N72" i="11"/>
  <c r="Y72" i="11"/>
  <c r="O480" i="2" s="1"/>
  <c r="N60" i="11"/>
  <c r="Y60" i="11"/>
  <c r="O389" i="2" s="1"/>
  <c r="N126" i="11"/>
  <c r="Y126" i="11"/>
  <c r="O872" i="2" s="1"/>
  <c r="N96" i="11"/>
  <c r="Y96" i="11"/>
  <c r="O662" i="2" s="1"/>
  <c r="N114" i="11"/>
  <c r="Y114" i="11"/>
  <c r="O788" i="2" s="1"/>
  <c r="N38" i="11"/>
  <c r="Y38" i="11"/>
  <c r="O235" i="2" s="1"/>
  <c r="N44" i="11"/>
  <c r="Y44" i="11"/>
  <c r="O263" i="2" s="1"/>
  <c r="N32" i="11"/>
  <c r="Y32" i="11"/>
  <c r="O172" i="2" s="1"/>
  <c r="N98" i="11"/>
  <c r="Y98" i="11"/>
  <c r="O641" i="2" s="1"/>
  <c r="N146" i="11"/>
  <c r="Y146" i="11"/>
  <c r="O984" i="2" s="1"/>
  <c r="N92" i="11"/>
  <c r="Y92" i="11"/>
  <c r="O592" i="2" s="1"/>
  <c r="N89" i="11"/>
  <c r="Y89" i="11"/>
  <c r="O627" i="2" s="1"/>
  <c r="N119" i="11"/>
  <c r="Y119" i="11"/>
  <c r="O830" i="2" s="1"/>
  <c r="N101" i="11"/>
  <c r="Y101" i="11"/>
  <c r="O704" i="2" s="1"/>
  <c r="N59" i="11"/>
  <c r="Y59" i="11"/>
  <c r="O403" i="2" s="1"/>
  <c r="N17" i="11"/>
  <c r="Y17" i="11"/>
  <c r="O116" i="2" s="1"/>
  <c r="N65" i="11"/>
  <c r="Y65" i="11"/>
  <c r="O459" i="2" s="1"/>
  <c r="N421" i="11"/>
  <c r="Y421" i="11"/>
  <c r="N409" i="11"/>
  <c r="Y409" i="11"/>
  <c r="N415" i="11"/>
  <c r="Y415" i="11"/>
  <c r="N58" i="11"/>
  <c r="Y58" i="11"/>
  <c r="O417" i="2" s="1"/>
  <c r="N10" i="11"/>
  <c r="Y10" i="11"/>
  <c r="O81" i="2" s="1"/>
  <c r="N22" i="11"/>
  <c r="Y22" i="11"/>
  <c r="O158" i="2" s="1"/>
  <c r="N325" i="11"/>
  <c r="Y325" i="11"/>
  <c r="N355" i="11"/>
  <c r="Y355" i="11"/>
  <c r="N295" i="11"/>
  <c r="Y295" i="11"/>
  <c r="N327" i="11"/>
  <c r="Y327" i="11"/>
  <c r="N321" i="11"/>
  <c r="Y321" i="11"/>
  <c r="N345" i="11"/>
  <c r="Y345" i="11"/>
  <c r="N370" i="11"/>
  <c r="Y370" i="11"/>
  <c r="N376" i="11"/>
  <c r="Y376" i="11"/>
  <c r="N382" i="11"/>
  <c r="Y382" i="11"/>
  <c r="N163" i="11"/>
  <c r="Y163" i="11"/>
  <c r="O1110" i="2" s="1"/>
  <c r="N217" i="11"/>
  <c r="Y217" i="11"/>
  <c r="N175" i="11"/>
  <c r="Y175" i="11"/>
  <c r="O1187" i="2" s="1"/>
  <c r="N225" i="11"/>
  <c r="Y225" i="11"/>
  <c r="N285" i="11"/>
  <c r="Y285" i="11"/>
  <c r="N279" i="11"/>
  <c r="Y279" i="11"/>
  <c r="N161" i="11"/>
  <c r="Y161" i="11"/>
  <c r="O1117" i="2" s="1"/>
  <c r="N149" i="11"/>
  <c r="Y149" i="11"/>
  <c r="O1026" i="2" s="1"/>
  <c r="N155" i="11"/>
  <c r="Y155" i="11"/>
  <c r="O1054" i="2" s="1"/>
  <c r="N408" i="11"/>
  <c r="Y408" i="11"/>
  <c r="N390" i="11"/>
  <c r="Y390" i="11"/>
  <c r="N414" i="11"/>
  <c r="Y414" i="11"/>
  <c r="N183" i="11"/>
  <c r="Y183" i="11"/>
  <c r="O1229" i="2" s="1"/>
  <c r="N189" i="11"/>
  <c r="Y189" i="11"/>
  <c r="O1278" i="2" s="1"/>
  <c r="N201" i="11"/>
  <c r="Y201" i="11"/>
  <c r="N311" i="11"/>
  <c r="Y311" i="11"/>
  <c r="N329" i="11"/>
  <c r="Y329" i="11"/>
  <c r="N359" i="11"/>
  <c r="Y359" i="11"/>
  <c r="N178" i="11"/>
  <c r="Y178" i="11"/>
  <c r="O1236" i="2" s="1"/>
  <c r="N160" i="11"/>
  <c r="Y160" i="11"/>
  <c r="O1124" i="2" s="1"/>
  <c r="N166" i="11"/>
  <c r="Y166" i="11"/>
  <c r="O1145" i="2" s="1"/>
  <c r="N168" i="11"/>
  <c r="Y168" i="11"/>
  <c r="O1166" i="2" s="1"/>
  <c r="N204" i="11"/>
  <c r="Y204" i="11"/>
  <c r="N156" i="11"/>
  <c r="Y156" i="11"/>
  <c r="O1082" i="2" s="1"/>
  <c r="N268" i="11"/>
  <c r="Y268" i="11"/>
  <c r="N274" i="11"/>
  <c r="Y274" i="11"/>
  <c r="N226" i="11"/>
  <c r="Y226" i="11"/>
  <c r="N252" i="11"/>
  <c r="Y252" i="11"/>
  <c r="N288" i="11"/>
  <c r="Y288" i="11"/>
  <c r="N270" i="11"/>
  <c r="Y270" i="11"/>
  <c r="N136" i="11"/>
  <c r="Y136" i="11"/>
  <c r="O949" i="2" s="1"/>
  <c r="N118" i="11"/>
  <c r="Y118" i="11"/>
  <c r="O837" i="2" s="1"/>
  <c r="N112" i="11"/>
  <c r="Y112" i="11"/>
  <c r="O767" i="2" s="1"/>
  <c r="N263" i="11"/>
  <c r="Y263" i="11"/>
  <c r="N275" i="11"/>
  <c r="Y275" i="11"/>
  <c r="N239" i="11"/>
  <c r="Y239" i="11"/>
  <c r="N368" i="11"/>
  <c r="Y368" i="11"/>
  <c r="N404" i="11"/>
  <c r="Y404" i="11"/>
  <c r="N416" i="11"/>
  <c r="Y416" i="11"/>
  <c r="N229" i="11"/>
  <c r="Y229" i="11"/>
  <c r="N277" i="11"/>
  <c r="Y277" i="11"/>
  <c r="N289" i="11"/>
  <c r="Y289" i="11"/>
  <c r="N377" i="11"/>
  <c r="Y377" i="11"/>
  <c r="N371" i="11"/>
  <c r="Y371" i="11"/>
  <c r="N413" i="11"/>
  <c r="Y413" i="11"/>
  <c r="N328" i="11"/>
  <c r="Y328" i="11"/>
  <c r="N334" i="11"/>
  <c r="Y334" i="11"/>
  <c r="N304" i="11"/>
  <c r="Y304" i="11"/>
  <c r="N375" i="11"/>
  <c r="Y375" i="11"/>
  <c r="N417" i="11"/>
  <c r="Y417" i="11"/>
  <c r="N411" i="11"/>
  <c r="Y411" i="11"/>
  <c r="N312" i="11"/>
  <c r="Y312" i="11"/>
  <c r="N294" i="11"/>
  <c r="Y294" i="11"/>
  <c r="N354" i="11"/>
  <c r="Y354" i="11"/>
  <c r="N248" i="11"/>
  <c r="Y248" i="11"/>
  <c r="N290" i="11"/>
  <c r="Y290" i="11"/>
  <c r="N230" i="11"/>
  <c r="Y230" i="11"/>
  <c r="N200" i="11"/>
  <c r="Y200" i="11"/>
  <c r="N170" i="11"/>
  <c r="Y170" i="11"/>
  <c r="O1159" i="2" s="1"/>
  <c r="N152" i="11"/>
  <c r="Y152" i="11"/>
  <c r="O1012" i="2" s="1"/>
  <c r="N344" i="11"/>
  <c r="Y344" i="11"/>
  <c r="N362" i="11"/>
  <c r="Y362" i="11"/>
  <c r="N320" i="11"/>
  <c r="Y320" i="11"/>
  <c r="N54" i="11"/>
  <c r="Y54" i="11"/>
  <c r="O375" i="2" s="1"/>
  <c r="N36" i="11"/>
  <c r="Y36" i="11"/>
  <c r="O224" i="2" s="1"/>
  <c r="N18" i="11"/>
  <c r="Y18" i="11"/>
  <c r="O88" i="2" s="1"/>
  <c r="N132" i="11"/>
  <c r="Y132" i="11"/>
  <c r="O921" i="2" s="1"/>
  <c r="N108" i="11"/>
  <c r="Y108" i="11"/>
  <c r="O753" i="2" s="1"/>
  <c r="N138" i="11"/>
  <c r="Y138" i="11"/>
  <c r="O942" i="2" s="1"/>
  <c r="N62" i="11"/>
  <c r="Y62" i="11"/>
  <c r="O410" i="2" s="1"/>
  <c r="N14" i="11"/>
  <c r="Y14" i="11"/>
  <c r="O53" i="2" s="1"/>
  <c r="N68" i="11"/>
  <c r="Y68" i="11"/>
  <c r="O452" i="2" s="1"/>
  <c r="N104" i="11"/>
  <c r="Y104" i="11"/>
  <c r="O676" i="2" s="1"/>
  <c r="N128" i="11"/>
  <c r="Y128" i="11"/>
  <c r="O844" i="2" s="1"/>
  <c r="N134" i="11"/>
  <c r="Y134" i="11"/>
  <c r="O886" i="2" s="1"/>
  <c r="N113" i="11"/>
  <c r="Y113" i="11"/>
  <c r="O795" i="2" s="1"/>
  <c r="N131" i="11"/>
  <c r="Y131" i="11"/>
  <c r="O907" i="2" s="1"/>
  <c r="N95" i="11"/>
  <c r="Y95" i="11"/>
  <c r="O648" i="2" s="1"/>
  <c r="N5" i="11"/>
  <c r="Y5" i="11"/>
  <c r="O25" i="2" s="1"/>
  <c r="N71" i="11"/>
  <c r="Y71" i="11"/>
  <c r="O466" i="2" s="1"/>
  <c r="N53" i="11"/>
  <c r="Y53" i="11"/>
  <c r="O361" i="2" s="1"/>
  <c r="N403" i="11"/>
  <c r="Y403" i="11"/>
  <c r="N379" i="11"/>
  <c r="Y379" i="11"/>
  <c r="N367" i="11"/>
  <c r="Y367" i="11"/>
  <c r="N52" i="11"/>
  <c r="Y52" i="11"/>
  <c r="O347" i="2" s="1"/>
  <c r="N16" i="11"/>
  <c r="Y16" i="11"/>
  <c r="O95" i="2" s="1"/>
  <c r="N40" i="11"/>
  <c r="Y40" i="11"/>
  <c r="O291" i="2" s="1"/>
  <c r="BA395" i="6"/>
  <c r="BA333" i="6"/>
  <c r="BA439" i="6"/>
  <c r="BA401" i="6"/>
  <c r="BA403" i="6"/>
  <c r="BA65" i="6"/>
  <c r="BA433" i="6"/>
  <c r="BA407" i="6"/>
  <c r="BA432" i="6"/>
  <c r="BA428" i="6"/>
  <c r="BA356" i="6"/>
  <c r="BA349" i="6"/>
  <c r="BA436" i="6"/>
  <c r="AY373" i="6"/>
  <c r="BA373" i="6" s="1"/>
  <c r="AY341" i="6"/>
  <c r="BA341" i="6" s="1"/>
  <c r="AY55" i="6"/>
  <c r="BA55" i="6" s="1"/>
  <c r="BA437" i="6"/>
  <c r="BA340" i="6"/>
  <c r="BA383" i="6"/>
  <c r="BA393" i="6"/>
  <c r="BA345" i="6"/>
  <c r="BA427" i="6"/>
  <c r="BA330" i="6"/>
  <c r="BA368" i="6"/>
  <c r="BA430" i="6"/>
  <c r="BA431" i="6"/>
  <c r="BA380" i="6"/>
  <c r="BA185" i="6"/>
  <c r="BA400" i="6"/>
  <c r="BA389" i="6"/>
  <c r="BA421" i="6"/>
  <c r="BA410" i="6"/>
  <c r="BA413" i="6"/>
  <c r="BA398" i="6"/>
  <c r="BA442" i="6"/>
  <c r="BA404" i="6"/>
  <c r="BA426" i="6"/>
  <c r="BA388" i="6"/>
  <c r="AY241" i="6"/>
  <c r="BA241" i="6" s="1"/>
  <c r="AY88" i="6"/>
  <c r="BA88" i="6" s="1"/>
  <c r="AY152" i="6"/>
  <c r="BA152" i="6" s="1"/>
  <c r="AY146" i="6"/>
  <c r="BA146" i="6" s="1"/>
  <c r="AY213" i="6"/>
  <c r="BA213" i="6" s="1"/>
  <c r="AY343" i="6"/>
  <c r="BA343" i="6" s="1"/>
  <c r="AY202" i="6"/>
  <c r="BA202" i="6" s="1"/>
  <c r="AY210" i="6"/>
  <c r="BA210" i="6" s="1"/>
  <c r="AY334" i="6"/>
  <c r="BA334" i="6" s="1"/>
  <c r="AY376" i="6"/>
  <c r="BA376" i="6" s="1"/>
  <c r="AY293" i="6"/>
  <c r="BA293" i="6" s="1"/>
  <c r="AY246" i="6"/>
  <c r="BA246" i="6" s="1"/>
  <c r="AY177" i="6"/>
  <c r="BA177" i="6" s="1"/>
  <c r="AY323" i="6"/>
  <c r="BA323" i="6" s="1"/>
  <c r="AY68" i="6"/>
  <c r="BA68" i="6" s="1"/>
  <c r="AY208" i="6"/>
  <c r="BA208" i="6" s="1"/>
  <c r="AY205" i="6"/>
  <c r="BA205" i="6" s="1"/>
  <c r="AY357" i="6"/>
  <c r="BA357" i="6" s="1"/>
  <c r="AY203" i="6"/>
  <c r="BA203" i="6" s="1"/>
  <c r="AY219" i="6"/>
  <c r="BA219" i="6" s="1"/>
  <c r="AY277" i="6"/>
  <c r="BA277" i="6" s="1"/>
  <c r="AY230" i="6"/>
  <c r="BA230" i="6" s="1"/>
  <c r="AY113" i="6"/>
  <c r="BA113" i="6" s="1"/>
  <c r="AY317" i="6"/>
  <c r="BA317" i="6" s="1"/>
  <c r="AY276" i="6"/>
  <c r="BA276" i="6" s="1"/>
  <c r="AY200" i="6"/>
  <c r="BA200" i="6" s="1"/>
  <c r="AY157" i="6"/>
  <c r="BA157" i="6" s="1"/>
  <c r="AY114" i="6"/>
  <c r="BA114" i="6" s="1"/>
  <c r="AY80" i="6"/>
  <c r="BA80" i="6" s="1"/>
  <c r="AY184" i="6"/>
  <c r="BA184" i="6" s="1"/>
  <c r="AY295" i="6"/>
  <c r="BA295" i="6" s="1"/>
  <c r="AY372" i="6"/>
  <c r="BA372" i="6" s="1"/>
  <c r="AY283" i="6"/>
  <c r="BA283" i="6" s="1"/>
  <c r="AY304" i="6"/>
  <c r="BA304" i="6" s="1"/>
  <c r="AY245" i="6"/>
  <c r="BA245" i="6" s="1"/>
  <c r="AY101" i="6"/>
  <c r="BA101" i="6" s="1"/>
  <c r="AY85" i="6"/>
  <c r="BA85" i="6" s="1"/>
  <c r="AY362" i="6"/>
  <c r="BA362" i="6" s="1"/>
  <c r="AY298" i="6"/>
  <c r="BA298" i="6" s="1"/>
  <c r="AY165" i="6"/>
  <c r="BA165" i="6" s="1"/>
  <c r="AY271" i="6"/>
  <c r="BA271" i="6" s="1"/>
  <c r="AY190" i="6"/>
  <c r="BA190" i="6" s="1"/>
  <c r="AY312" i="6"/>
  <c r="BA312" i="6" s="1"/>
  <c r="AY109" i="6"/>
  <c r="BA109" i="6" s="1"/>
  <c r="AY103" i="6"/>
  <c r="BA103" i="6" s="1"/>
  <c r="AY229" i="6"/>
  <c r="BA229" i="6" s="1"/>
  <c r="AY250" i="6"/>
  <c r="BA250" i="6" s="1"/>
  <c r="AY73" i="6"/>
  <c r="BA73" i="6" s="1"/>
  <c r="AY278" i="6"/>
  <c r="BA278" i="6" s="1"/>
  <c r="AY227" i="6"/>
  <c r="BA227" i="6" s="1"/>
  <c r="AY311" i="6"/>
  <c r="BA311" i="6" s="1"/>
  <c r="AY322" i="6"/>
  <c r="BA322" i="6" s="1"/>
  <c r="AY265" i="6"/>
  <c r="BA265" i="6" s="1"/>
  <c r="AY166" i="6"/>
  <c r="BA166" i="6" s="1"/>
  <c r="AY123" i="6"/>
  <c r="BA123" i="6" s="1"/>
  <c r="AY87" i="6"/>
  <c r="BA87" i="6" s="1"/>
  <c r="AY51" i="6"/>
  <c r="BA51" i="6" s="1"/>
  <c r="AY251" i="6"/>
  <c r="BA251" i="6" s="1"/>
  <c r="AY228" i="6"/>
  <c r="BA228" i="6" s="1"/>
  <c r="AY161" i="6"/>
  <c r="BA161" i="6" s="1"/>
  <c r="AY92" i="6"/>
  <c r="BA92" i="6" s="1"/>
  <c r="AY162" i="6"/>
  <c r="BA162" i="6" s="1"/>
  <c r="AY136" i="6"/>
  <c r="BA136" i="6" s="1"/>
  <c r="AY217" i="6"/>
  <c r="BA217" i="6" s="1"/>
  <c r="AY306" i="6"/>
  <c r="BA306" i="6" s="1"/>
  <c r="AY144" i="6"/>
  <c r="BA144" i="6" s="1"/>
  <c r="AY122" i="6"/>
  <c r="BA122" i="6" s="1"/>
  <c r="AY53" i="6"/>
  <c r="BA53" i="6" s="1"/>
  <c r="AY309" i="6"/>
  <c r="BA309" i="6" s="1"/>
  <c r="AY275" i="6"/>
  <c r="BA275" i="6" s="1"/>
  <c r="AY181" i="6"/>
  <c r="BA181" i="6" s="1"/>
  <c r="AY117" i="6"/>
  <c r="BA117" i="6" s="1"/>
  <c r="AY96" i="6"/>
  <c r="BA96" i="6" s="1"/>
  <c r="AY239" i="6"/>
  <c r="BA239" i="6" s="1"/>
  <c r="AY274" i="6"/>
  <c r="BA274" i="6" s="1"/>
  <c r="AY56" i="6"/>
  <c r="BA56" i="6" s="1"/>
  <c r="AY279" i="6"/>
  <c r="BA279" i="6" s="1"/>
  <c r="AY98" i="6"/>
  <c r="BA98" i="6" s="1"/>
  <c r="AY223" i="6"/>
  <c r="BA223" i="6" s="1"/>
  <c r="AY95" i="6"/>
  <c r="BA95" i="6" s="1"/>
  <c r="AY175" i="6"/>
  <c r="BA175" i="6" s="1"/>
  <c r="AY169" i="6"/>
  <c r="BA169" i="6" s="1"/>
  <c r="AY272" i="6"/>
  <c r="BA272" i="6" s="1"/>
  <c r="AY50" i="6"/>
  <c r="BA50" i="6" s="1"/>
  <c r="AY118" i="6"/>
  <c r="BA118" i="6" s="1"/>
  <c r="AY70" i="6"/>
  <c r="BA70" i="6" s="1"/>
  <c r="AY133" i="6"/>
  <c r="BA133" i="6" s="1"/>
  <c r="AY259" i="6"/>
  <c r="BA259" i="6" s="1"/>
  <c r="AY273" i="6"/>
  <c r="BA273" i="6" s="1"/>
  <c r="AY160" i="6"/>
  <c r="BA160" i="6" s="1"/>
  <c r="AY197" i="6"/>
  <c r="BA197" i="6" s="1"/>
  <c r="AY240" i="6"/>
  <c r="BA240" i="6" s="1"/>
  <c r="AY299" i="6"/>
  <c r="BA299" i="6" s="1"/>
  <c r="AY164" i="6"/>
  <c r="BA164" i="6" s="1"/>
  <c r="AY77" i="6"/>
  <c r="BA77" i="6" s="1"/>
  <c r="AY63" i="6"/>
  <c r="BA63" i="6" s="1"/>
  <c r="AY194" i="6"/>
  <c r="BA194" i="6" s="1"/>
  <c r="AY69" i="6"/>
  <c r="BA69" i="6" s="1"/>
  <c r="AY266" i="6"/>
  <c r="BA266" i="6" s="1"/>
  <c r="AY91" i="6"/>
  <c r="BA91" i="6" s="1"/>
  <c r="AY137" i="6"/>
  <c r="BA137" i="6" s="1"/>
  <c r="AY261" i="6"/>
  <c r="BA261" i="6" s="1"/>
  <c r="AY316" i="6"/>
  <c r="BA316" i="6" s="1"/>
  <c r="AY303" i="6"/>
  <c r="BA303" i="6" s="1"/>
  <c r="AY258" i="6"/>
  <c r="BA258" i="6" s="1"/>
  <c r="AY285" i="6"/>
  <c r="BA285" i="6" s="1"/>
  <c r="AY54" i="6"/>
  <c r="BA54" i="6" s="1"/>
  <c r="AY287" i="6"/>
  <c r="BA287" i="6" s="1"/>
  <c r="AY183" i="6"/>
  <c r="BA183" i="6" s="1"/>
  <c r="AY138" i="6"/>
  <c r="BA138" i="6" s="1"/>
  <c r="AY90" i="6"/>
  <c r="BA90" i="6" s="1"/>
  <c r="AY52" i="6"/>
  <c r="BA52" i="6" s="1"/>
  <c r="AY168" i="6"/>
  <c r="BA168" i="6" s="1"/>
  <c r="AY211" i="6"/>
  <c r="BA211" i="6" s="1"/>
  <c r="AY59" i="6"/>
  <c r="BA59" i="6" s="1"/>
  <c r="AY105" i="6"/>
  <c r="BA105" i="6" s="1"/>
  <c r="AY119" i="6"/>
  <c r="BA119" i="6" s="1"/>
  <c r="AY149" i="6"/>
  <c r="BA149" i="6" s="1"/>
  <c r="AY106" i="6"/>
  <c r="BA106" i="6" s="1"/>
  <c r="AY180" i="6"/>
  <c r="BA180" i="6" s="1"/>
  <c r="AY365" i="6"/>
  <c r="BA365" i="6" s="1"/>
  <c r="AY307" i="6"/>
  <c r="BA307" i="6" s="1"/>
  <c r="AY369" i="6"/>
  <c r="BA369" i="6" s="1"/>
  <c r="AY378" i="6"/>
  <c r="BA378" i="6" s="1"/>
  <c r="AY97" i="6"/>
  <c r="BA97" i="6" s="1"/>
  <c r="AY209" i="6"/>
  <c r="BA209" i="6" s="1"/>
  <c r="AY255" i="6"/>
  <c r="BA255" i="6" s="1"/>
  <c r="AY289" i="6"/>
  <c r="BA289" i="6" s="1"/>
  <c r="AY346" i="6"/>
  <c r="BA346" i="6" s="1"/>
  <c r="AY242" i="6"/>
  <c r="BA242" i="6" s="1"/>
  <c r="AY268" i="6"/>
  <c r="BA268" i="6" s="1"/>
  <c r="AY315" i="6"/>
  <c r="BA315" i="6" s="1"/>
  <c r="AY328" i="6"/>
  <c r="BA328" i="6" s="1"/>
  <c r="AY291" i="6"/>
  <c r="BA291" i="6" s="1"/>
  <c r="AY116" i="6"/>
  <c r="BA116" i="6" s="1"/>
  <c r="AY72" i="6"/>
  <c r="BA72" i="6" s="1"/>
  <c r="AY321" i="6"/>
  <c r="BA321" i="6" s="1"/>
  <c r="AY182" i="6"/>
  <c r="BA182" i="6" s="1"/>
  <c r="AY139" i="6"/>
  <c r="BA139" i="6" s="1"/>
  <c r="AY93" i="6"/>
  <c r="BA93" i="6" s="1"/>
  <c r="AY75" i="6"/>
  <c r="BA75" i="6" s="1"/>
  <c r="AY61" i="6"/>
  <c r="BA61" i="6" s="1"/>
  <c r="AY151" i="6"/>
  <c r="BA151" i="6" s="1"/>
  <c r="AY249" i="6"/>
  <c r="BA249" i="6" s="1"/>
  <c r="AY236" i="6"/>
  <c r="BA236" i="6" s="1"/>
  <c r="AY366" i="6"/>
  <c r="BA366" i="6" s="1"/>
  <c r="AY302" i="6"/>
  <c r="BA302" i="6" s="1"/>
  <c r="AY284" i="6"/>
  <c r="BA284" i="6" s="1"/>
  <c r="AY204" i="6"/>
  <c r="BA204" i="6" s="1"/>
  <c r="AY337" i="6"/>
  <c r="BA337" i="6" s="1"/>
  <c r="AY264" i="6"/>
  <c r="BA264" i="6" s="1"/>
  <c r="AY329" i="6"/>
  <c r="BA329" i="6" s="1"/>
  <c r="AY381" i="6"/>
  <c r="BA381" i="6" s="1"/>
  <c r="AY324" i="6"/>
  <c r="BA324" i="6" s="1"/>
  <c r="AY82" i="6"/>
  <c r="BA82" i="6" s="1"/>
  <c r="AY256" i="6"/>
  <c r="BA256" i="6" s="1"/>
  <c r="AY233" i="6"/>
  <c r="BA233" i="6" s="1"/>
  <c r="AY179" i="6"/>
  <c r="BA179" i="6" s="1"/>
  <c r="AY158" i="6"/>
  <c r="BA158" i="6" s="1"/>
  <c r="AY147" i="6"/>
  <c r="BA147" i="6" s="1"/>
  <c r="AY126" i="6"/>
  <c r="BA126" i="6" s="1"/>
  <c r="AY115" i="6"/>
  <c r="BA115" i="6" s="1"/>
  <c r="AY94" i="6"/>
  <c r="BA94" i="6" s="1"/>
  <c r="AY83" i="6"/>
  <c r="BA83" i="6" s="1"/>
  <c r="AY62" i="6"/>
  <c r="BA62" i="6" s="1"/>
  <c r="AY339" i="6"/>
  <c r="BA339" i="6" s="1"/>
  <c r="AY336" i="6"/>
  <c r="BA336" i="6" s="1"/>
  <c r="AY214" i="6"/>
  <c r="BA214" i="6" s="1"/>
  <c r="AY132" i="6"/>
  <c r="BA132" i="6" s="1"/>
  <c r="AY104" i="6"/>
  <c r="BA104" i="6" s="1"/>
  <c r="AY218" i="6"/>
  <c r="BA218" i="6" s="1"/>
  <c r="AY79" i="6"/>
  <c r="BA79" i="6" s="1"/>
  <c r="AY301" i="6"/>
  <c r="BA301" i="6" s="1"/>
  <c r="AY192" i="6"/>
  <c r="BA192" i="6" s="1"/>
  <c r="AY335" i="6"/>
  <c r="BA335" i="6" s="1"/>
  <c r="AY350" i="6"/>
  <c r="BA350" i="6" s="1"/>
  <c r="AY254" i="6"/>
  <c r="BA254" i="6" s="1"/>
  <c r="AY127" i="6"/>
  <c r="BA127" i="6" s="1"/>
  <c r="AY296" i="6"/>
  <c r="BA296" i="6" s="1"/>
  <c r="AY263" i="6"/>
  <c r="BA263" i="6" s="1"/>
  <c r="AY66" i="6"/>
  <c r="BA66" i="6" s="1"/>
  <c r="AY252" i="6"/>
  <c r="BA252" i="6" s="1"/>
  <c r="AY367" i="6"/>
  <c r="BA367" i="6" s="1"/>
  <c r="AY235" i="6"/>
  <c r="BA235" i="6" s="1"/>
  <c r="AY297" i="6"/>
  <c r="BA297" i="6" s="1"/>
  <c r="AY326" i="6"/>
  <c r="BA326" i="6" s="1"/>
  <c r="AY145" i="6"/>
  <c r="BA145" i="6" s="1"/>
  <c r="AY193" i="6"/>
  <c r="BA193" i="6" s="1"/>
  <c r="AY310" i="6"/>
  <c r="BA310" i="6" s="1"/>
  <c r="AY358" i="6"/>
  <c r="BA358" i="6" s="1"/>
  <c r="AY189" i="6"/>
  <c r="BA189" i="6" s="1"/>
  <c r="AY125" i="6"/>
  <c r="BA125" i="6" s="1"/>
  <c r="AY167" i="6"/>
  <c r="BA167" i="6" s="1"/>
  <c r="AY121" i="6"/>
  <c r="BA121" i="6" s="1"/>
  <c r="AY224" i="6"/>
  <c r="BA224" i="6" s="1"/>
  <c r="AY364" i="6"/>
  <c r="BA364" i="6" s="1"/>
  <c r="AY282" i="6"/>
  <c r="BA282" i="6" s="1"/>
  <c r="AY154" i="6"/>
  <c r="BA154" i="6" s="1"/>
  <c r="AY74" i="6"/>
  <c r="BA74" i="6" s="1"/>
  <c r="AY143" i="6"/>
  <c r="BA143" i="6" s="1"/>
  <c r="AY187" i="6"/>
  <c r="BA187" i="6" s="1"/>
  <c r="AY331" i="6"/>
  <c r="BA331" i="6" s="1"/>
  <c r="AY216" i="6"/>
  <c r="BA216" i="6" s="1"/>
  <c r="AY232" i="6"/>
  <c r="BA232" i="6" s="1"/>
  <c r="AY352" i="6"/>
  <c r="BA352" i="6" s="1"/>
  <c r="AY353" i="6"/>
  <c r="BA353" i="6" s="1"/>
  <c r="AY262" i="6"/>
  <c r="BA262" i="6" s="1"/>
  <c r="AY134" i="6"/>
  <c r="BA134" i="6" s="1"/>
  <c r="AY107" i="6"/>
  <c r="BA107" i="6" s="1"/>
  <c r="AY128" i="6"/>
  <c r="BA128" i="6" s="1"/>
  <c r="AY188" i="6"/>
  <c r="BA188" i="6" s="1"/>
  <c r="AY156" i="6"/>
  <c r="BA156" i="6" s="1"/>
  <c r="AY108" i="6"/>
  <c r="BA108" i="6" s="1"/>
  <c r="AY76" i="6"/>
  <c r="BA76" i="6" s="1"/>
  <c r="AY318" i="6"/>
  <c r="BA318" i="6" s="1"/>
  <c r="AY363" i="6"/>
  <c r="BA363" i="6" s="1"/>
  <c r="AY338" i="6"/>
  <c r="BA338" i="6" s="1"/>
  <c r="AY226" i="6"/>
  <c r="BA226" i="6" s="1"/>
  <c r="AY135" i="6"/>
  <c r="BA135" i="6" s="1"/>
  <c r="AY112" i="6"/>
  <c r="BA112" i="6" s="1"/>
  <c r="AY71" i="6"/>
  <c r="BA71" i="6" s="1"/>
  <c r="AY243" i="6"/>
  <c r="BA243" i="6" s="1"/>
  <c r="AY220" i="6"/>
  <c r="BA220" i="6" s="1"/>
  <c r="AY355" i="6"/>
  <c r="BA355" i="6" s="1"/>
  <c r="AY314" i="6"/>
  <c r="BA314" i="6" s="1"/>
  <c r="AY270" i="6"/>
  <c r="BA270" i="6" s="1"/>
  <c r="AY238" i="6"/>
  <c r="BA238" i="6" s="1"/>
  <c r="AY222" i="6"/>
  <c r="BA222" i="6" s="1"/>
  <c r="AY360" i="6"/>
  <c r="BA360" i="6" s="1"/>
  <c r="AY313" i="6"/>
  <c r="BA313" i="6" s="1"/>
  <c r="AY344" i="6"/>
  <c r="BA344" i="6" s="1"/>
  <c r="AY100" i="6"/>
  <c r="BA100" i="6" s="1"/>
  <c r="AY248" i="6"/>
  <c r="BA248" i="6" s="1"/>
  <c r="AY260" i="6"/>
  <c r="BA260" i="6" s="1"/>
  <c r="AY308" i="6"/>
  <c r="BA308" i="6" s="1"/>
  <c r="AY244" i="6"/>
  <c r="BA244" i="6" s="1"/>
  <c r="AY281" i="6"/>
  <c r="BA281" i="6" s="1"/>
  <c r="AY172" i="6"/>
  <c r="BA172" i="6" s="1"/>
  <c r="AY320" i="6"/>
  <c r="BA320" i="6" s="1"/>
  <c r="AY215" i="6"/>
  <c r="BA215" i="6" s="1"/>
  <c r="AY124" i="6"/>
  <c r="BA124" i="6" s="1"/>
  <c r="AY319" i="6"/>
  <c r="BA319" i="6" s="1"/>
  <c r="AY178" i="6"/>
  <c r="BA178" i="6" s="1"/>
  <c r="AY207" i="6"/>
  <c r="BA207" i="6" s="1"/>
  <c r="AY81" i="6"/>
  <c r="BA81" i="6" s="1"/>
  <c r="AY129" i="6"/>
  <c r="BA129" i="6" s="1"/>
  <c r="AY294" i="6"/>
  <c r="BA294" i="6" s="1"/>
  <c r="AY374" i="6"/>
  <c r="BA374" i="6" s="1"/>
  <c r="AY225" i="6"/>
  <c r="BA225" i="6" s="1"/>
  <c r="AY290" i="6"/>
  <c r="BA290" i="6" s="1"/>
  <c r="AY269" i="6"/>
  <c r="BA269" i="6" s="1"/>
  <c r="AY141" i="6"/>
  <c r="BA141" i="6" s="1"/>
  <c r="AY57" i="6"/>
  <c r="BA57" i="6" s="1"/>
  <c r="AY247" i="6"/>
  <c r="BA247" i="6" s="1"/>
  <c r="AY361" i="6"/>
  <c r="BA361" i="6" s="1"/>
  <c r="AY300" i="6"/>
  <c r="BA300" i="6" s="1"/>
  <c r="AY234" i="6"/>
  <c r="BA234" i="6" s="1"/>
  <c r="AY58" i="6"/>
  <c r="BA58" i="6" s="1"/>
  <c r="AY351" i="6"/>
  <c r="BA351" i="6" s="1"/>
  <c r="AY196" i="6"/>
  <c r="BA196" i="6" s="1"/>
  <c r="AY237" i="6"/>
  <c r="BA237" i="6" s="1"/>
  <c r="AY286" i="6"/>
  <c r="BA286" i="6" s="1"/>
  <c r="AY130" i="6"/>
  <c r="BA130" i="6" s="1"/>
  <c r="AY292" i="6"/>
  <c r="BA292" i="6" s="1"/>
  <c r="AY148" i="6"/>
  <c r="BA148" i="6" s="1"/>
  <c r="AY159" i="6"/>
  <c r="BA159" i="6" s="1"/>
  <c r="AY370" i="6"/>
  <c r="BA370" i="6" s="1"/>
  <c r="AY280" i="6"/>
  <c r="BA280" i="6" s="1"/>
  <c r="AY111" i="6"/>
  <c r="BA111" i="6" s="1"/>
  <c r="AY359" i="6"/>
  <c r="BA359" i="6" s="1"/>
  <c r="AY253" i="6"/>
  <c r="BA253" i="6" s="1"/>
  <c r="AY267" i="6"/>
  <c r="BA267" i="6" s="1"/>
  <c r="AY382" i="6"/>
  <c r="BA382" i="6" s="1"/>
  <c r="AY354" i="6"/>
  <c r="BA354" i="6" s="1"/>
  <c r="AY191" i="6"/>
  <c r="BA191" i="6" s="1"/>
  <c r="AY84" i="6"/>
  <c r="BA84" i="6" s="1"/>
  <c r="AY186" i="6"/>
  <c r="BA186" i="6" s="1"/>
  <c r="AY288" i="6"/>
  <c r="BA288" i="6" s="1"/>
  <c r="AY198" i="6"/>
  <c r="BA198" i="6" s="1"/>
  <c r="AY150" i="6"/>
  <c r="BA150" i="6" s="1"/>
  <c r="AY102" i="6"/>
  <c r="BA102" i="6" s="1"/>
  <c r="AY86" i="6"/>
  <c r="BA86" i="6" s="1"/>
  <c r="AY171" i="6"/>
  <c r="BA171" i="6" s="1"/>
  <c r="AY64" i="6"/>
  <c r="BA64" i="6" s="1"/>
  <c r="AY231" i="6"/>
  <c r="BA231" i="6" s="1"/>
  <c r="AY371" i="6"/>
  <c r="BA371" i="6" s="1"/>
  <c r="AY348" i="6"/>
  <c r="BA348" i="6" s="1"/>
  <c r="AY325" i="6"/>
  <c r="BA325" i="6" s="1"/>
  <c r="AY140" i="6"/>
  <c r="BA140" i="6" s="1"/>
  <c r="AY60" i="6"/>
  <c r="BA60" i="6" s="1"/>
  <c r="AY305" i="6"/>
  <c r="BA305" i="6" s="1"/>
  <c r="AY257" i="6"/>
  <c r="BA257" i="6" s="1"/>
  <c r="AY379" i="6"/>
  <c r="BA379" i="6" s="1"/>
  <c r="AY221" i="6"/>
  <c r="BA221" i="6" s="1"/>
  <c r="AY176" i="6"/>
  <c r="BA176" i="6" s="1"/>
  <c r="AY153" i="6"/>
  <c r="BA153" i="6" s="1"/>
  <c r="AY89" i="6"/>
  <c r="BA89" i="6" s="1"/>
  <c r="AY332" i="6"/>
  <c r="BA332" i="6" s="1"/>
  <c r="AY206" i="6"/>
  <c r="BA206" i="6" s="1"/>
  <c r="AY195" i="6"/>
  <c r="BA195" i="6" s="1"/>
  <c r="AY174" i="6"/>
  <c r="BA174" i="6" s="1"/>
  <c r="AY163" i="6"/>
  <c r="BA163" i="6" s="1"/>
  <c r="AY142" i="6"/>
  <c r="BA142" i="6" s="1"/>
  <c r="AY131" i="6"/>
  <c r="BA131" i="6" s="1"/>
  <c r="AY110" i="6"/>
  <c r="BA110" i="6" s="1"/>
  <c r="AY99" i="6"/>
  <c r="BA99" i="6" s="1"/>
  <c r="AY78" i="6"/>
  <c r="BA78" i="6" s="1"/>
  <c r="AY67" i="6"/>
  <c r="BA67" i="6" s="1"/>
  <c r="AY385" i="6"/>
  <c r="BA385" i="6" s="1"/>
  <c r="AY347" i="6"/>
  <c r="BA347" i="6" s="1"/>
  <c r="AY201" i="6"/>
  <c r="BA201" i="6" s="1"/>
  <c r="AY120" i="6"/>
  <c r="BA120" i="6" s="1"/>
  <c r="AY173" i="6"/>
  <c r="BA173" i="6" s="1"/>
  <c r="AY199" i="6"/>
  <c r="BA199" i="6" s="1"/>
  <c r="AY212" i="6"/>
  <c r="BA212" i="6" s="1"/>
  <c r="AC85" i="11" l="1"/>
  <c r="AD85" i="11" s="1"/>
  <c r="O583" i="2"/>
  <c r="AC139" i="11"/>
  <c r="AD139" i="11" s="1"/>
  <c r="O926" i="2"/>
  <c r="AC145" i="11"/>
  <c r="AD145" i="11" s="1"/>
  <c r="O968" i="2"/>
  <c r="AC91" i="11"/>
  <c r="AD91" i="11" s="1"/>
  <c r="O597" i="2"/>
  <c r="AC121" i="11"/>
  <c r="AD121" i="11" s="1"/>
  <c r="O814" i="2"/>
  <c r="AC115" i="11"/>
  <c r="AD115" i="11" s="1"/>
  <c r="O779" i="2"/>
  <c r="AC79" i="11"/>
  <c r="AD79" i="11" s="1"/>
  <c r="O527" i="2"/>
  <c r="AC97" i="11"/>
  <c r="AD97" i="11" s="1"/>
  <c r="O632" i="2"/>
  <c r="AC133" i="11"/>
  <c r="AD133" i="11" s="1"/>
  <c r="O898" i="2"/>
  <c r="AC127" i="11"/>
  <c r="AD127" i="11" s="1"/>
  <c r="O877" i="2"/>
  <c r="AC103" i="11"/>
  <c r="AD103" i="11" s="1"/>
  <c r="O709" i="2"/>
  <c r="I158" i="12" s="1"/>
  <c r="I223" i="12"/>
  <c r="K221" i="12"/>
  <c r="H223" i="12"/>
  <c r="G159" i="12"/>
  <c r="J300" i="12"/>
  <c r="F298" i="12"/>
  <c r="K220" i="12"/>
  <c r="J298" i="12"/>
  <c r="J297" i="12"/>
  <c r="K223" i="12"/>
  <c r="G367" i="12"/>
  <c r="K3" i="12"/>
  <c r="K151" i="12"/>
  <c r="K4" i="12"/>
  <c r="K5" i="12"/>
  <c r="K8" i="12"/>
  <c r="J159" i="12"/>
  <c r="AC109" i="11"/>
  <c r="AD109" i="11" s="1"/>
  <c r="J365" i="12"/>
  <c r="J296" i="12"/>
  <c r="H79" i="12"/>
  <c r="J228" i="12"/>
  <c r="H367" i="12"/>
  <c r="G364" i="12"/>
  <c r="I157" i="12"/>
  <c r="K367" i="12"/>
  <c r="I5" i="12"/>
  <c r="H221" i="12"/>
  <c r="H77" i="12"/>
  <c r="I4" i="12"/>
  <c r="F303" i="12"/>
  <c r="H151" i="12"/>
  <c r="K10" i="12"/>
  <c r="F149" i="12"/>
  <c r="K77" i="12"/>
  <c r="I221" i="12"/>
  <c r="K76" i="12"/>
  <c r="H292" i="12"/>
  <c r="J291" i="12"/>
  <c r="I229" i="12"/>
  <c r="H366" i="12"/>
  <c r="J369" i="12"/>
  <c r="F373" i="12"/>
  <c r="K6" i="12"/>
  <c r="H220" i="12"/>
  <c r="I85" i="12"/>
  <c r="H148" i="12"/>
  <c r="H370" i="12"/>
  <c r="F159" i="12"/>
  <c r="F302" i="12"/>
  <c r="G302" i="12"/>
  <c r="J366" i="12"/>
  <c r="G363" i="12"/>
  <c r="I367" i="12"/>
  <c r="I364" i="12"/>
  <c r="K303" i="12"/>
  <c r="J364" i="12"/>
  <c r="I295" i="12"/>
  <c r="H230" i="12"/>
  <c r="J151" i="12"/>
  <c r="J223" i="12"/>
  <c r="G298" i="12"/>
  <c r="I363" i="12"/>
  <c r="F297" i="12"/>
  <c r="H303" i="12"/>
  <c r="I373" i="12"/>
  <c r="O158" i="12"/>
  <c r="O84" i="12"/>
  <c r="O302" i="12"/>
  <c r="O229" i="12"/>
  <c r="O372" i="12"/>
  <c r="O12" i="12"/>
  <c r="N85" i="12"/>
  <c r="L85" i="12"/>
  <c r="N373" i="12"/>
  <c r="L373" i="12"/>
  <c r="L13" i="12"/>
  <c r="N13" i="12"/>
  <c r="N230" i="12"/>
  <c r="L230" i="12"/>
  <c r="B14" i="12"/>
  <c r="A14" i="12" s="1"/>
  <c r="N159" i="12"/>
  <c r="L159" i="12"/>
  <c r="N303" i="12"/>
  <c r="L303" i="12"/>
  <c r="B374" i="12"/>
  <c r="A374" i="12" s="1"/>
  <c r="B304" i="12"/>
  <c r="A304" i="12" s="1"/>
  <c r="B231" i="12"/>
  <c r="A231" i="12" s="1"/>
  <c r="B160" i="12"/>
  <c r="A160" i="12" s="1"/>
  <c r="B86" i="12"/>
  <c r="A86" i="12" s="1"/>
  <c r="AC117" i="11"/>
  <c r="AD117" i="11" s="1"/>
  <c r="AC15" i="11"/>
  <c r="AD15" i="11" s="1"/>
  <c r="AC43" i="11"/>
  <c r="AD43" i="11" s="1"/>
  <c r="AC57" i="11"/>
  <c r="AD57" i="11" s="1"/>
  <c r="AC13" i="11"/>
  <c r="AD13" i="11" s="1"/>
  <c r="AC111" i="11"/>
  <c r="AD111" i="11" s="1"/>
  <c r="AC45" i="11"/>
  <c r="AD45" i="11" s="1"/>
  <c r="AC67" i="11"/>
  <c r="AD67" i="11" s="1"/>
  <c r="AC37" i="11"/>
  <c r="AD37" i="11" s="1"/>
  <c r="AC40" i="11"/>
  <c r="AD40" i="11" s="1"/>
  <c r="AC52" i="11"/>
  <c r="AD52" i="11" s="1"/>
  <c r="AC379" i="11"/>
  <c r="AD379" i="11" s="1"/>
  <c r="AC53" i="11"/>
  <c r="AD53" i="11" s="1"/>
  <c r="AC131" i="11"/>
  <c r="AD131" i="11" s="1"/>
  <c r="AC134" i="11"/>
  <c r="AD134" i="11" s="1"/>
  <c r="AC104" i="11"/>
  <c r="AD104" i="11" s="1"/>
  <c r="AC14" i="11"/>
  <c r="AD14" i="11" s="1"/>
  <c r="AC138" i="11"/>
  <c r="AD138" i="11" s="1"/>
  <c r="AC132" i="11"/>
  <c r="AD132" i="11" s="1"/>
  <c r="AC36" i="11"/>
  <c r="AD36" i="11" s="1"/>
  <c r="AC320" i="11"/>
  <c r="AD320" i="11" s="1"/>
  <c r="AC344" i="11"/>
  <c r="AD344" i="11" s="1"/>
  <c r="AC170" i="11"/>
  <c r="AD170" i="11" s="1"/>
  <c r="AC230" i="11"/>
  <c r="AD230" i="11" s="1"/>
  <c r="AC248" i="11"/>
  <c r="AD248" i="11" s="1"/>
  <c r="AC411" i="11"/>
  <c r="AD411" i="11" s="1"/>
  <c r="AC375" i="11"/>
  <c r="AD375" i="11" s="1"/>
  <c r="AC334" i="11"/>
  <c r="AD334" i="11" s="1"/>
  <c r="AC413" i="11"/>
  <c r="AD413" i="11" s="1"/>
  <c r="AC377" i="11"/>
  <c r="AD377" i="11" s="1"/>
  <c r="AC277" i="11"/>
  <c r="AD277" i="11" s="1"/>
  <c r="AC416" i="11"/>
  <c r="AD416" i="11" s="1"/>
  <c r="AC275" i="11"/>
  <c r="AD275" i="11" s="1"/>
  <c r="AC112" i="11"/>
  <c r="AD112" i="11" s="1"/>
  <c r="AC136" i="11"/>
  <c r="AD136" i="11" s="1"/>
  <c r="AC288" i="11"/>
  <c r="AD288" i="11" s="1"/>
  <c r="AC226" i="11"/>
  <c r="AD226" i="11" s="1"/>
  <c r="AC268" i="11"/>
  <c r="AD268" i="11" s="1"/>
  <c r="AC204" i="11"/>
  <c r="AD204" i="11" s="1"/>
  <c r="AC166" i="11"/>
  <c r="AD166" i="11" s="1"/>
  <c r="AC178" i="11"/>
  <c r="AD178" i="11" s="1"/>
  <c r="AC329" i="11"/>
  <c r="AD329" i="11" s="1"/>
  <c r="AC201" i="11"/>
  <c r="AD201" i="11" s="1"/>
  <c r="AC183" i="11"/>
  <c r="AD183" i="11" s="1"/>
  <c r="AC390" i="11"/>
  <c r="AD390" i="11" s="1"/>
  <c r="AC155" i="11"/>
  <c r="AD155" i="11" s="1"/>
  <c r="AC161" i="11"/>
  <c r="AD161" i="11" s="1"/>
  <c r="AC285" i="11"/>
  <c r="AD285" i="11" s="1"/>
  <c r="AC175" i="11"/>
  <c r="AD175" i="11" s="1"/>
  <c r="AC163" i="11"/>
  <c r="AD163" i="11" s="1"/>
  <c r="AC376" i="11"/>
  <c r="AD376" i="11" s="1"/>
  <c r="AC345" i="11"/>
  <c r="AD345" i="11" s="1"/>
  <c r="AC327" i="11"/>
  <c r="AD327" i="11" s="1"/>
  <c r="AC355" i="11"/>
  <c r="AD355" i="11" s="1"/>
  <c r="AC22" i="11"/>
  <c r="AD22" i="11" s="1"/>
  <c r="AC58" i="11"/>
  <c r="AD58" i="11" s="1"/>
  <c r="AC409" i="11"/>
  <c r="AD409" i="11" s="1"/>
  <c r="AC65" i="11"/>
  <c r="AD65" i="11" s="1"/>
  <c r="AC59" i="11"/>
  <c r="AD59" i="11" s="1"/>
  <c r="AC119" i="11"/>
  <c r="AD119" i="11" s="1"/>
  <c r="AC92" i="11"/>
  <c r="AD92" i="11" s="1"/>
  <c r="AC98" i="11"/>
  <c r="AD98" i="11" s="1"/>
  <c r="AC44" i="11"/>
  <c r="AD44" i="11" s="1"/>
  <c r="AC114" i="11"/>
  <c r="AD114" i="11" s="1"/>
  <c r="AC126" i="11"/>
  <c r="AD126" i="11" s="1"/>
  <c r="AC72" i="11"/>
  <c r="AD72" i="11" s="1"/>
  <c r="AC326" i="11"/>
  <c r="AD326" i="11" s="1"/>
  <c r="AC314" i="11"/>
  <c r="AD314" i="11" s="1"/>
  <c r="AC194" i="11"/>
  <c r="AD194" i="11" s="1"/>
  <c r="AC236" i="11"/>
  <c r="AD236" i="11" s="1"/>
  <c r="AC266" i="11"/>
  <c r="AD266" i="11" s="1"/>
  <c r="AC348" i="11"/>
  <c r="AD348" i="11" s="1"/>
  <c r="AC399" i="11"/>
  <c r="AD399" i="11" s="1"/>
  <c r="AC352" i="11"/>
  <c r="AD352" i="11" s="1"/>
  <c r="AC383" i="11"/>
  <c r="AD383" i="11" s="1"/>
  <c r="AC425" i="11"/>
  <c r="AD425" i="11" s="1"/>
  <c r="AC253" i="11"/>
  <c r="AD253" i="11" s="1"/>
  <c r="AC428" i="11"/>
  <c r="AD428" i="11" s="1"/>
  <c r="AC380" i="11"/>
  <c r="AD380" i="11" s="1"/>
  <c r="AC281" i="11"/>
  <c r="AD281" i="11" s="1"/>
  <c r="AC100" i="11"/>
  <c r="AD100" i="11" s="1"/>
  <c r="AC130" i="11"/>
  <c r="AD130" i="11" s="1"/>
  <c r="AC258" i="11"/>
  <c r="AD258" i="11" s="1"/>
  <c r="AC286" i="11"/>
  <c r="AD286" i="11" s="1"/>
  <c r="AC262" i="11"/>
  <c r="AD262" i="11" s="1"/>
  <c r="AC180" i="11"/>
  <c r="AD180" i="11" s="1"/>
  <c r="AC172" i="11"/>
  <c r="AD172" i="11" s="1"/>
  <c r="AC154" i="11"/>
  <c r="AD154" i="11" s="1"/>
  <c r="AC207" i="11"/>
  <c r="AD207" i="11" s="1"/>
  <c r="AC426" i="11"/>
  <c r="AD426" i="11" s="1"/>
  <c r="AC215" i="11"/>
  <c r="AD215" i="11" s="1"/>
  <c r="AC203" i="11"/>
  <c r="AD203" i="11" s="1"/>
  <c r="AC291" i="11"/>
  <c r="AD291" i="11" s="1"/>
  <c r="AC205" i="11"/>
  <c r="AD205" i="11" s="1"/>
  <c r="AC424" i="11"/>
  <c r="AD424" i="11" s="1"/>
  <c r="AC303" i="11"/>
  <c r="AD303" i="11" s="1"/>
  <c r="AC315" i="11"/>
  <c r="AD315" i="11" s="1"/>
  <c r="AC349" i="11"/>
  <c r="AD349" i="11" s="1"/>
  <c r="AC34" i="11"/>
  <c r="AD34" i="11" s="1"/>
  <c r="AC46" i="11"/>
  <c r="AD46" i="11" s="1"/>
  <c r="AC385" i="11"/>
  <c r="AD385" i="11" s="1"/>
  <c r="AC23" i="11"/>
  <c r="AD23" i="11" s="1"/>
  <c r="AC47" i="11"/>
  <c r="AD47" i="11" s="1"/>
  <c r="AC107" i="11"/>
  <c r="AD107" i="11" s="1"/>
  <c r="AC122" i="11"/>
  <c r="AD122" i="11" s="1"/>
  <c r="AC116" i="11"/>
  <c r="AD116" i="11" s="1"/>
  <c r="AC102" i="11"/>
  <c r="AD102" i="11" s="1"/>
  <c r="AC90" i="11"/>
  <c r="AD90" i="11" s="1"/>
  <c r="AC24" i="11"/>
  <c r="AD24" i="11" s="1"/>
  <c r="AC302" i="11"/>
  <c r="AD302" i="11" s="1"/>
  <c r="AC338" i="11"/>
  <c r="AD338" i="11" s="1"/>
  <c r="AC218" i="11"/>
  <c r="AD218" i="11" s="1"/>
  <c r="AC278" i="11"/>
  <c r="AD278" i="11" s="1"/>
  <c r="AC254" i="11"/>
  <c r="AD254" i="11" s="1"/>
  <c r="AC342" i="11"/>
  <c r="AD342" i="11" s="1"/>
  <c r="AC393" i="11"/>
  <c r="AD393" i="11" s="1"/>
  <c r="AC387" i="11"/>
  <c r="AD387" i="11" s="1"/>
  <c r="AC358" i="11"/>
  <c r="AD358" i="11" s="1"/>
  <c r="AC431" i="11"/>
  <c r="AD431" i="11" s="1"/>
  <c r="AC241" i="11"/>
  <c r="AD241" i="11" s="1"/>
  <c r="AC422" i="11"/>
  <c r="AD422" i="11" s="1"/>
  <c r="AC434" i="11"/>
  <c r="AD434" i="11" s="1"/>
  <c r="AC233" i="11"/>
  <c r="AD233" i="11" s="1"/>
  <c r="AC124" i="11"/>
  <c r="AD124" i="11" s="1"/>
  <c r="AC234" i="11"/>
  <c r="AD234" i="11" s="1"/>
  <c r="AC280" i="11"/>
  <c r="AD280" i="11" s="1"/>
  <c r="AC174" i="11"/>
  <c r="AD174" i="11" s="1"/>
  <c r="AC214" i="11"/>
  <c r="AD214" i="11" s="1"/>
  <c r="AC184" i="11"/>
  <c r="AD184" i="11" s="1"/>
  <c r="AC341" i="11"/>
  <c r="AD341" i="11" s="1"/>
  <c r="AC165" i="11"/>
  <c r="AD165" i="11" s="1"/>
  <c r="AC219" i="11"/>
  <c r="AD219" i="11" s="1"/>
  <c r="AC420" i="11"/>
  <c r="AD420" i="11" s="1"/>
  <c r="AC191" i="11"/>
  <c r="AD191" i="11" s="1"/>
  <c r="AC179" i="11"/>
  <c r="AD179" i="11" s="1"/>
  <c r="AC267" i="11"/>
  <c r="AD267" i="11" s="1"/>
  <c r="AC211" i="11"/>
  <c r="AD211" i="11" s="1"/>
  <c r="AC181" i="11"/>
  <c r="AD181" i="11" s="1"/>
  <c r="AC388" i="11"/>
  <c r="AD388" i="11" s="1"/>
  <c r="AC351" i="11"/>
  <c r="AD351" i="11" s="1"/>
  <c r="AC363" i="11"/>
  <c r="AD363" i="11" s="1"/>
  <c r="AC313" i="11"/>
  <c r="AD313" i="11" s="1"/>
  <c r="AC28" i="11"/>
  <c r="AD28" i="11" s="1"/>
  <c r="AC427" i="11"/>
  <c r="AD427" i="11" s="1"/>
  <c r="AC11" i="11"/>
  <c r="AD11" i="11" s="1"/>
  <c r="AC35" i="11"/>
  <c r="AD35" i="11" s="1"/>
  <c r="AC125" i="11"/>
  <c r="AD125" i="11" s="1"/>
  <c r="AC86" i="11"/>
  <c r="AD86" i="11" s="1"/>
  <c r="AC50" i="11"/>
  <c r="AD50" i="11" s="1"/>
  <c r="AC120" i="11"/>
  <c r="AD120" i="11" s="1"/>
  <c r="AC84" i="11"/>
  <c r="AD84" i="11" s="1"/>
  <c r="AC356" i="11"/>
  <c r="AD356" i="11" s="1"/>
  <c r="AC308" i="11"/>
  <c r="AD308" i="11" s="1"/>
  <c r="AC182" i="11"/>
  <c r="AD182" i="11" s="1"/>
  <c r="AC242" i="11"/>
  <c r="AD242" i="11" s="1"/>
  <c r="AC284" i="11"/>
  <c r="AD284" i="11" s="1"/>
  <c r="AC330" i="11"/>
  <c r="AD330" i="11" s="1"/>
  <c r="AC429" i="11"/>
  <c r="AD429" i="11" s="1"/>
  <c r="AC405" i="11"/>
  <c r="AD405" i="11" s="1"/>
  <c r="AC346" i="11"/>
  <c r="AD346" i="11" s="1"/>
  <c r="AC407" i="11"/>
  <c r="AD407" i="11" s="1"/>
  <c r="AC401" i="11"/>
  <c r="AD401" i="11" s="1"/>
  <c r="AC235" i="11"/>
  <c r="AD235" i="11" s="1"/>
  <c r="AC386" i="11"/>
  <c r="AD386" i="11" s="1"/>
  <c r="AC398" i="11"/>
  <c r="AD398" i="11" s="1"/>
  <c r="AC82" i="11"/>
  <c r="AD82" i="11" s="1"/>
  <c r="AC94" i="11"/>
  <c r="AD94" i="11" s="1"/>
  <c r="AC240" i="11"/>
  <c r="AD240" i="11" s="1"/>
  <c r="AC232" i="11"/>
  <c r="AD232" i="11" s="1"/>
  <c r="AC244" i="11"/>
  <c r="AD244" i="11" s="1"/>
  <c r="AC216" i="11"/>
  <c r="AD216" i="11" s="1"/>
  <c r="AC202" i="11"/>
  <c r="AD202" i="11" s="1"/>
  <c r="AC196" i="11"/>
  <c r="AD196" i="11" s="1"/>
  <c r="AC317" i="11"/>
  <c r="AD317" i="11" s="1"/>
  <c r="AC213" i="11"/>
  <c r="AD213" i="11" s="1"/>
  <c r="AC195" i="11"/>
  <c r="AD195" i="11" s="1"/>
  <c r="AC402" i="11"/>
  <c r="AD402" i="11" s="1"/>
  <c r="AC167" i="11"/>
  <c r="AD167" i="11" s="1"/>
  <c r="AC209" i="11"/>
  <c r="AD209" i="11" s="1"/>
  <c r="AC273" i="11"/>
  <c r="AD273" i="11" s="1"/>
  <c r="AC199" i="11"/>
  <c r="AD199" i="11" s="1"/>
  <c r="AC187" i="11"/>
  <c r="AD187" i="11" s="1"/>
  <c r="AC430" i="11"/>
  <c r="AD430" i="11" s="1"/>
  <c r="AC309" i="11"/>
  <c r="AD309" i="11" s="1"/>
  <c r="AC339" i="11"/>
  <c r="AD339" i="11" s="1"/>
  <c r="AC301" i="11"/>
  <c r="AD301" i="11" s="1"/>
  <c r="AC25" i="11"/>
  <c r="AD25" i="11" s="1"/>
  <c r="AC135" i="11"/>
  <c r="AD135" i="11" s="1"/>
  <c r="AC55" i="11"/>
  <c r="AD55" i="11" s="1"/>
  <c r="AC87" i="11"/>
  <c r="AD87" i="11" s="1"/>
  <c r="K85" i="12"/>
  <c r="AC73" i="11"/>
  <c r="AD73" i="11" s="1"/>
  <c r="AC141" i="11"/>
  <c r="AD141" i="11" s="1"/>
  <c r="AC51" i="11"/>
  <c r="AD51" i="11" s="1"/>
  <c r="AC105" i="11"/>
  <c r="AD105" i="11" s="1"/>
  <c r="AC16" i="11"/>
  <c r="AD16" i="11" s="1"/>
  <c r="AC403" i="11"/>
  <c r="AD403" i="11" s="1"/>
  <c r="AC71" i="11"/>
  <c r="AD71" i="11" s="1"/>
  <c r="AC95" i="11"/>
  <c r="AD95" i="11" s="1"/>
  <c r="AC113" i="11"/>
  <c r="AD113" i="11" s="1"/>
  <c r="AC128" i="11"/>
  <c r="AD128" i="11" s="1"/>
  <c r="AC68" i="11"/>
  <c r="AD68" i="11" s="1"/>
  <c r="AC62" i="11"/>
  <c r="AD62" i="11" s="1"/>
  <c r="AC108" i="11"/>
  <c r="AD108" i="11" s="1"/>
  <c r="AC18" i="11"/>
  <c r="AD18" i="11" s="1"/>
  <c r="AC54" i="11"/>
  <c r="AD54" i="11" s="1"/>
  <c r="AC362" i="11"/>
  <c r="AD362" i="11" s="1"/>
  <c r="AC200" i="11"/>
  <c r="AD200" i="11" s="1"/>
  <c r="AC290" i="11"/>
  <c r="AD290" i="11" s="1"/>
  <c r="AC354" i="11"/>
  <c r="AD354" i="11" s="1"/>
  <c r="AC312" i="11"/>
  <c r="AD312" i="11" s="1"/>
  <c r="AC417" i="11"/>
  <c r="AD417" i="11" s="1"/>
  <c r="AC304" i="11"/>
  <c r="AD304" i="11" s="1"/>
  <c r="AC328" i="11"/>
  <c r="AD328" i="11" s="1"/>
  <c r="AC371" i="11"/>
  <c r="AD371" i="11" s="1"/>
  <c r="AC289" i="11"/>
  <c r="AD289" i="11" s="1"/>
  <c r="AC229" i="11"/>
  <c r="AD229" i="11" s="1"/>
  <c r="AC404" i="11"/>
  <c r="AD404" i="11" s="1"/>
  <c r="AC239" i="11"/>
  <c r="AD239" i="11" s="1"/>
  <c r="AC263" i="11"/>
  <c r="AD263" i="11" s="1"/>
  <c r="AC118" i="11"/>
  <c r="AD118" i="11" s="1"/>
  <c r="AC270" i="11"/>
  <c r="AD270" i="11" s="1"/>
  <c r="AC252" i="11"/>
  <c r="AD252" i="11" s="1"/>
  <c r="AC274" i="11"/>
  <c r="AD274" i="11" s="1"/>
  <c r="AC156" i="11"/>
  <c r="AD156" i="11" s="1"/>
  <c r="AC168" i="11"/>
  <c r="AD168" i="11" s="1"/>
  <c r="AC160" i="11"/>
  <c r="AD160" i="11" s="1"/>
  <c r="AC359" i="11"/>
  <c r="AD359" i="11" s="1"/>
  <c r="AC311" i="11"/>
  <c r="AD311" i="11" s="1"/>
  <c r="AC189" i="11"/>
  <c r="AD189" i="11" s="1"/>
  <c r="AC414" i="11"/>
  <c r="AD414" i="11" s="1"/>
  <c r="AC408" i="11"/>
  <c r="AD408" i="11" s="1"/>
  <c r="AC279" i="11"/>
  <c r="AD279" i="11" s="1"/>
  <c r="AC217" i="11"/>
  <c r="AD217" i="11" s="1"/>
  <c r="AC382" i="11"/>
  <c r="AD382" i="11" s="1"/>
  <c r="AC370" i="11"/>
  <c r="AD370" i="11" s="1"/>
  <c r="AC321" i="11"/>
  <c r="AD321" i="11" s="1"/>
  <c r="AC325" i="11"/>
  <c r="AD325" i="11" s="1"/>
  <c r="AC10" i="11"/>
  <c r="AD10" i="11" s="1"/>
  <c r="AC415" i="11"/>
  <c r="AD415" i="11" s="1"/>
  <c r="AC421" i="11"/>
  <c r="AD421" i="11" s="1"/>
  <c r="AC17" i="11"/>
  <c r="AD17" i="11" s="1"/>
  <c r="AC101" i="11"/>
  <c r="AD101" i="11" s="1"/>
  <c r="AC89" i="11"/>
  <c r="AD89" i="11" s="1"/>
  <c r="AC146" i="11"/>
  <c r="AD146" i="11" s="1"/>
  <c r="AC32" i="11"/>
  <c r="AD32" i="11" s="1"/>
  <c r="AC38" i="11"/>
  <c r="AD38" i="11" s="1"/>
  <c r="AC96" i="11"/>
  <c r="AD96" i="11" s="1"/>
  <c r="AC60" i="11"/>
  <c r="AD60" i="11" s="1"/>
  <c r="AC66" i="11"/>
  <c r="AD66" i="11" s="1"/>
  <c r="AC164" i="11"/>
  <c r="AD164" i="11" s="1"/>
  <c r="AC206" i="11"/>
  <c r="AD206" i="11" s="1"/>
  <c r="AC272" i="11"/>
  <c r="AD272" i="11" s="1"/>
  <c r="AC318" i="11"/>
  <c r="AD318" i="11" s="1"/>
  <c r="AC360" i="11"/>
  <c r="AD360" i="11" s="1"/>
  <c r="AC423" i="11"/>
  <c r="AD423" i="11" s="1"/>
  <c r="AC322" i="11"/>
  <c r="AD322" i="11" s="1"/>
  <c r="AC298" i="11"/>
  <c r="AD298" i="11" s="1"/>
  <c r="AC389" i="11"/>
  <c r="AD389" i="11" s="1"/>
  <c r="AC271" i="11"/>
  <c r="AD271" i="11" s="1"/>
  <c r="AC259" i="11"/>
  <c r="AD259" i="11" s="1"/>
  <c r="AC410" i="11"/>
  <c r="AD410" i="11" s="1"/>
  <c r="AC287" i="11"/>
  <c r="AD287" i="11" s="1"/>
  <c r="AC251" i="11"/>
  <c r="AD251" i="11" s="1"/>
  <c r="AC88" i="11"/>
  <c r="AD88" i="11" s="1"/>
  <c r="AC282" i="11"/>
  <c r="AD282" i="11" s="1"/>
  <c r="AC238" i="11"/>
  <c r="AD238" i="11" s="1"/>
  <c r="AC210" i="11"/>
  <c r="AD210" i="11" s="1"/>
  <c r="AC198" i="11"/>
  <c r="AD198" i="11" s="1"/>
  <c r="AC190" i="11"/>
  <c r="AD190" i="11" s="1"/>
  <c r="AC335" i="11"/>
  <c r="AD335" i="11" s="1"/>
  <c r="AC323" i="11"/>
  <c r="AD323" i="11" s="1"/>
  <c r="AC171" i="11"/>
  <c r="AD171" i="11" s="1"/>
  <c r="AC372" i="11"/>
  <c r="AD372" i="11" s="1"/>
  <c r="H371" i="12"/>
  <c r="AC378" i="11"/>
  <c r="AD378" i="11" s="1"/>
  <c r="AC173" i="11"/>
  <c r="AD173" i="11" s="1"/>
  <c r="AC255" i="11"/>
  <c r="AD255" i="11" s="1"/>
  <c r="AC261" i="11"/>
  <c r="AD261" i="11" s="1"/>
  <c r="AC169" i="11"/>
  <c r="AD169" i="11" s="1"/>
  <c r="AC400" i="11"/>
  <c r="AD400" i="11" s="1"/>
  <c r="AC412" i="11"/>
  <c r="AD412" i="11" s="1"/>
  <c r="AC357" i="11"/>
  <c r="AD357" i="11" s="1"/>
  <c r="AC319" i="11"/>
  <c r="AD319" i="11" s="1"/>
  <c r="AC331" i="11"/>
  <c r="AD331" i="11" s="1"/>
  <c r="AC70" i="11"/>
  <c r="AD70" i="11" s="1"/>
  <c r="AC373" i="11"/>
  <c r="AD373" i="11" s="1"/>
  <c r="AC397" i="11"/>
  <c r="AD397" i="11" s="1"/>
  <c r="AC41" i="11"/>
  <c r="AD41" i="11" s="1"/>
  <c r="AC143" i="11"/>
  <c r="AD143" i="11" s="1"/>
  <c r="AC83" i="11"/>
  <c r="AD83" i="11" s="1"/>
  <c r="AC140" i="11"/>
  <c r="AD140" i="11" s="1"/>
  <c r="AC20" i="11"/>
  <c r="AD20" i="11" s="1"/>
  <c r="AC56" i="11"/>
  <c r="AD56" i="11" s="1"/>
  <c r="AC48" i="11"/>
  <c r="AD48" i="11" s="1"/>
  <c r="AC30" i="11"/>
  <c r="AD30" i="11" s="1"/>
  <c r="AC350" i="11"/>
  <c r="AD350" i="11" s="1"/>
  <c r="AC158" i="11"/>
  <c r="AD158" i="11" s="1"/>
  <c r="AC212" i="11"/>
  <c r="AD212" i="11" s="1"/>
  <c r="AC260" i="11"/>
  <c r="AD260" i="11" s="1"/>
  <c r="AC336" i="11"/>
  <c r="AD336" i="11" s="1"/>
  <c r="AC324" i="11"/>
  <c r="AD324" i="11" s="1"/>
  <c r="AC381" i="11"/>
  <c r="AD381" i="11" s="1"/>
  <c r="AC310" i="11"/>
  <c r="AD310" i="11" s="1"/>
  <c r="AC340" i="11"/>
  <c r="AD340" i="11" s="1"/>
  <c r="AC419" i="11"/>
  <c r="AD419" i="11" s="1"/>
  <c r="AC283" i="11"/>
  <c r="AD283" i="11" s="1"/>
  <c r="AC265" i="11"/>
  <c r="AD265" i="11" s="1"/>
  <c r="AC392" i="11"/>
  <c r="AD392" i="11" s="1"/>
  <c r="AC269" i="11"/>
  <c r="AD269" i="11" s="1"/>
  <c r="AC227" i="11"/>
  <c r="AD227" i="11" s="1"/>
  <c r="AC106" i="11"/>
  <c r="AD106" i="11" s="1"/>
  <c r="AC246" i="11"/>
  <c r="AD246" i="11" s="1"/>
  <c r="AC276" i="11"/>
  <c r="AD276" i="11" s="1"/>
  <c r="AC250" i="11"/>
  <c r="AD250" i="11" s="1"/>
  <c r="AC192" i="11"/>
  <c r="AD192" i="11" s="1"/>
  <c r="AC353" i="11"/>
  <c r="AD353" i="11" s="1"/>
  <c r="AC299" i="11"/>
  <c r="AD299" i="11" s="1"/>
  <c r="AC177" i="11"/>
  <c r="AD177" i="11" s="1"/>
  <c r="AC432" i="11"/>
  <c r="AD432" i="11" s="1"/>
  <c r="AC197" i="11"/>
  <c r="AD197" i="11" s="1"/>
  <c r="AC231" i="11"/>
  <c r="AD231" i="11" s="1"/>
  <c r="AC237" i="11"/>
  <c r="AD237" i="11" s="1"/>
  <c r="AC157" i="11"/>
  <c r="AD157" i="11" s="1"/>
  <c r="AC406" i="11"/>
  <c r="AD406" i="11" s="1"/>
  <c r="AC418" i="11"/>
  <c r="AD418" i="11" s="1"/>
  <c r="AC337" i="11"/>
  <c r="AD337" i="11" s="1"/>
  <c r="AC307" i="11"/>
  <c r="AD307" i="11" s="1"/>
  <c r="AC64" i="11"/>
  <c r="AD64" i="11" s="1"/>
  <c r="AC433" i="11"/>
  <c r="AD433" i="11" s="1"/>
  <c r="AC391" i="11"/>
  <c r="AD391" i="11" s="1"/>
  <c r="AC29" i="11"/>
  <c r="AD29" i="11" s="1"/>
  <c r="AC137" i="11"/>
  <c r="AD137" i="11" s="1"/>
  <c r="AC110" i="11"/>
  <c r="AD110" i="11" s="1"/>
  <c r="AC26" i="11"/>
  <c r="AD26" i="11" s="1"/>
  <c r="AC74" i="11"/>
  <c r="AD74" i="11" s="1"/>
  <c r="AC144" i="11"/>
  <c r="AD144" i="11" s="1"/>
  <c r="AC12" i="11"/>
  <c r="AD12" i="11" s="1"/>
  <c r="AC42" i="11"/>
  <c r="AD42" i="11" s="1"/>
  <c r="AC332" i="11"/>
  <c r="AD332" i="11" s="1"/>
  <c r="AC176" i="11"/>
  <c r="AD176" i="11" s="1"/>
  <c r="AC188" i="11"/>
  <c r="AD188" i="11" s="1"/>
  <c r="AC306" i="11"/>
  <c r="AD306" i="11" s="1"/>
  <c r="AC300" i="11"/>
  <c r="AD300" i="11" s="1"/>
  <c r="H299" i="12"/>
  <c r="AC435" i="11"/>
  <c r="AD435" i="11" s="1"/>
  <c r="AC316" i="11"/>
  <c r="AD316" i="11" s="1"/>
  <c r="AC395" i="11"/>
  <c r="AD395" i="11" s="1"/>
  <c r="AC247" i="11"/>
  <c r="AD247" i="11" s="1"/>
  <c r="AC374" i="11"/>
  <c r="AD374" i="11" s="1"/>
  <c r="J371" i="12"/>
  <c r="AC257" i="11"/>
  <c r="AD257" i="11" s="1"/>
  <c r="AC245" i="11"/>
  <c r="AD245" i="11" s="1"/>
  <c r="AC142" i="11"/>
  <c r="AD142" i="11" s="1"/>
  <c r="AC228" i="11"/>
  <c r="AD228" i="11" s="1"/>
  <c r="AC264" i="11"/>
  <c r="AD264" i="11" s="1"/>
  <c r="AC256" i="11"/>
  <c r="AD256" i="11" s="1"/>
  <c r="AC186" i="11"/>
  <c r="AD186" i="11" s="1"/>
  <c r="AC162" i="11"/>
  <c r="AD162" i="11" s="1"/>
  <c r="AC208" i="11"/>
  <c r="AD208" i="11" s="1"/>
  <c r="AC347" i="11"/>
  <c r="AD347" i="11" s="1"/>
  <c r="AC305" i="11"/>
  <c r="AD305" i="11" s="1"/>
  <c r="AC159" i="11"/>
  <c r="AD159" i="11" s="1"/>
  <c r="AC384" i="11"/>
  <c r="AD384" i="11" s="1"/>
  <c r="AC396" i="11"/>
  <c r="AD396" i="11" s="1"/>
  <c r="AC185" i="11"/>
  <c r="AD185" i="11" s="1"/>
  <c r="AC249" i="11"/>
  <c r="AD249" i="11" s="1"/>
  <c r="AC243" i="11"/>
  <c r="AD243" i="11" s="1"/>
  <c r="AC193" i="11"/>
  <c r="AD193" i="11" s="1"/>
  <c r="AC394" i="11"/>
  <c r="AD394" i="11" s="1"/>
  <c r="AC333" i="11"/>
  <c r="AD333" i="11" s="1"/>
  <c r="AC361" i="11"/>
  <c r="AD361" i="11" s="1"/>
  <c r="AC343" i="11"/>
  <c r="AD343" i="11" s="1"/>
  <c r="AC75" i="11"/>
  <c r="AD75" i="11" s="1"/>
  <c r="AC99" i="11"/>
  <c r="AD99" i="11" s="1"/>
  <c r="AC27" i="11"/>
  <c r="AD27" i="11" s="1"/>
  <c r="AC19" i="11"/>
  <c r="AD19" i="11" s="1"/>
  <c r="AC123" i="11"/>
  <c r="AD123" i="11" s="1"/>
  <c r="AC69" i="11"/>
  <c r="AD69" i="11" s="1"/>
  <c r="AC39" i="11"/>
  <c r="AD39" i="11" s="1"/>
  <c r="AC61" i="11"/>
  <c r="AD61" i="11" s="1"/>
  <c r="AC129" i="11"/>
  <c r="AD129" i="11" s="1"/>
  <c r="AC93" i="11"/>
  <c r="AD93" i="11" s="1"/>
  <c r="AC33" i="11"/>
  <c r="AD33" i="11" s="1"/>
  <c r="AC49" i="11"/>
  <c r="AD49" i="11" s="1"/>
  <c r="AC31" i="11"/>
  <c r="AD31" i="11" s="1"/>
  <c r="AC147" i="11"/>
  <c r="AD147" i="11" s="1"/>
  <c r="AC21" i="11"/>
  <c r="AD21" i="11" s="1"/>
  <c r="AC63" i="11"/>
  <c r="AD63" i="11" s="1"/>
  <c r="AC7" i="11"/>
  <c r="AD7" i="11" s="1"/>
  <c r="AC9" i="11"/>
  <c r="AD9" i="11" s="1"/>
  <c r="AC81" i="11"/>
  <c r="AD81" i="11" s="1"/>
  <c r="AC5" i="11"/>
  <c r="AD5" i="11" s="1"/>
  <c r="AC294" i="11"/>
  <c r="AD294" i="11" s="1"/>
  <c r="AC368" i="11"/>
  <c r="AD368" i="11" s="1"/>
  <c r="AC369" i="11"/>
  <c r="AD369" i="11" s="1"/>
  <c r="AC293" i="11"/>
  <c r="AD293" i="11" s="1"/>
  <c r="AC153" i="11"/>
  <c r="AD153" i="11" s="1"/>
  <c r="AC151" i="11"/>
  <c r="AD151" i="11" s="1"/>
  <c r="AC8" i="11"/>
  <c r="AD8" i="11" s="1"/>
  <c r="AC365" i="11"/>
  <c r="AD365" i="11" s="1"/>
  <c r="AC76" i="11"/>
  <c r="AD76" i="11" s="1"/>
  <c r="AC220" i="11"/>
  <c r="AD220" i="11" s="1"/>
  <c r="AC4" i="11"/>
  <c r="AD4" i="11" s="1"/>
  <c r="AC80" i="11"/>
  <c r="AD80" i="11" s="1"/>
  <c r="AC6" i="11"/>
  <c r="AD6" i="11" s="1"/>
  <c r="AC221" i="11"/>
  <c r="AD221" i="11" s="1"/>
  <c r="AC367" i="11"/>
  <c r="AD367" i="11" s="1"/>
  <c r="AC152" i="11"/>
  <c r="AD152" i="11" s="1"/>
  <c r="AC149" i="11"/>
  <c r="AD149" i="11" s="1"/>
  <c r="AC225" i="11"/>
  <c r="AD225" i="11" s="1"/>
  <c r="AC295" i="11"/>
  <c r="AD295" i="11" s="1"/>
  <c r="AC296" i="11"/>
  <c r="AD296" i="11" s="1"/>
  <c r="AC222" i="11"/>
  <c r="AD222" i="11" s="1"/>
  <c r="AC78" i="11"/>
  <c r="AD78" i="11" s="1"/>
  <c r="AC150" i="11"/>
  <c r="AD150" i="11" s="1"/>
  <c r="AC148" i="11"/>
  <c r="AD148" i="11" s="1"/>
  <c r="AC366" i="11"/>
  <c r="AD366" i="11" s="1"/>
  <c r="AC297" i="11"/>
  <c r="AD297" i="11" s="1"/>
  <c r="AC77" i="11"/>
  <c r="AD77" i="11" s="1"/>
  <c r="AC224" i="11"/>
  <c r="AD224" i="11" s="1"/>
  <c r="AC292" i="11"/>
  <c r="AD292" i="11" s="1"/>
  <c r="AC223" i="11"/>
  <c r="AD223" i="11" s="1"/>
  <c r="AC364" i="11"/>
  <c r="AD364" i="11" s="1"/>
  <c r="I156" i="12" l="1"/>
  <c r="K230" i="12"/>
  <c r="K9" i="12"/>
  <c r="J6" i="12"/>
  <c r="H158" i="12"/>
  <c r="J12" i="12"/>
  <c r="F228" i="12"/>
  <c r="H75" i="12"/>
  <c r="K225" i="12"/>
  <c r="J220" i="12"/>
  <c r="G228" i="12"/>
  <c r="K78" i="12"/>
  <c r="H219" i="12"/>
  <c r="K156" i="12"/>
  <c r="I6" i="12"/>
  <c r="I3" i="12"/>
  <c r="I8" i="12"/>
  <c r="K81" i="12"/>
  <c r="G222" i="12"/>
  <c r="I155" i="12"/>
  <c r="H155" i="12"/>
  <c r="F83" i="12"/>
  <c r="K150" i="12"/>
  <c r="G11" i="12"/>
  <c r="J3" i="12"/>
  <c r="K158" i="12"/>
  <c r="K80" i="12"/>
  <c r="K226" i="12"/>
  <c r="H225" i="12"/>
  <c r="G226" i="12"/>
  <c r="K75" i="12"/>
  <c r="F226" i="12"/>
  <c r="H222" i="12"/>
  <c r="K152" i="12"/>
  <c r="H81" i="12"/>
  <c r="K82" i="12"/>
  <c r="F147" i="12"/>
  <c r="G147" i="12"/>
  <c r="H82" i="12"/>
  <c r="K219" i="12"/>
  <c r="J154" i="12"/>
  <c r="I159" i="12"/>
  <c r="K370" i="12"/>
  <c r="I224" i="12"/>
  <c r="G79" i="12"/>
  <c r="H4" i="12"/>
  <c r="G224" i="12"/>
  <c r="G303" i="12"/>
  <c r="J157" i="12"/>
  <c r="H365" i="12"/>
  <c r="I225" i="12"/>
  <c r="F10" i="12"/>
  <c r="H363" i="12"/>
  <c r="K229" i="12"/>
  <c r="H86" i="12"/>
  <c r="I78" i="12"/>
  <c r="G300" i="12"/>
  <c r="G296" i="12"/>
  <c r="J302" i="12"/>
  <c r="H159" i="12"/>
  <c r="F154" i="12"/>
  <c r="I219" i="12"/>
  <c r="J149" i="12"/>
  <c r="H301" i="12"/>
  <c r="F292" i="12"/>
  <c r="I76" i="12"/>
  <c r="G291" i="12"/>
  <c r="H7" i="12"/>
  <c r="F7" i="12"/>
  <c r="K13" i="12"/>
  <c r="J153" i="12"/>
  <c r="F150" i="12"/>
  <c r="G157" i="12"/>
  <c r="K224" i="12"/>
  <c r="I13" i="12"/>
  <c r="J373" i="12"/>
  <c r="G75" i="12"/>
  <c r="K372" i="12"/>
  <c r="K301" i="12"/>
  <c r="F300" i="12"/>
  <c r="J152" i="12"/>
  <c r="K369" i="12"/>
  <c r="K373" i="12"/>
  <c r="G373" i="12"/>
  <c r="J229" i="12"/>
  <c r="J226" i="12"/>
  <c r="G227" i="12"/>
  <c r="H6" i="12"/>
  <c r="J4" i="12"/>
  <c r="I369" i="12"/>
  <c r="K159" i="12"/>
  <c r="X31" i="6"/>
  <c r="AA31" i="6" s="1"/>
  <c r="I5" i="6" s="1"/>
  <c r="X25" i="6"/>
  <c r="AA25" i="6" s="1"/>
  <c r="I4" i="6" s="1"/>
  <c r="I301" i="12"/>
  <c r="K222" i="12"/>
  <c r="X48" i="6"/>
  <c r="AA48" i="6" s="1"/>
  <c r="H8" i="6" s="1"/>
  <c r="X36" i="6"/>
  <c r="AA36" i="6" s="1"/>
  <c r="H6" i="6" s="1"/>
  <c r="X21" i="6"/>
  <c r="AA21" i="6" s="1"/>
  <c r="E4" i="6" s="1"/>
  <c r="AP42" i="6"/>
  <c r="AS42" i="6" s="1"/>
  <c r="H147" i="12"/>
  <c r="I80" i="12"/>
  <c r="G294" i="12"/>
  <c r="F9" i="12"/>
  <c r="X32" i="6"/>
  <c r="AA32" i="6" s="1"/>
  <c r="D6" i="6" s="1"/>
  <c r="H11" i="12"/>
  <c r="K227" i="12"/>
  <c r="J303" i="12"/>
  <c r="J76" i="12"/>
  <c r="H152" i="12"/>
  <c r="G154" i="12"/>
  <c r="H296" i="12"/>
  <c r="I77" i="12"/>
  <c r="F148" i="12"/>
  <c r="J372" i="12"/>
  <c r="H5" i="12"/>
  <c r="F157" i="12"/>
  <c r="J13" i="12"/>
  <c r="I226" i="12"/>
  <c r="I372" i="12"/>
  <c r="K147" i="12"/>
  <c r="H224" i="12"/>
  <c r="F77" i="12"/>
  <c r="J301" i="12"/>
  <c r="K11" i="12"/>
  <c r="X20" i="6"/>
  <c r="AA20" i="6" s="1"/>
  <c r="D4" i="6" s="1"/>
  <c r="G219" i="12"/>
  <c r="F153" i="12"/>
  <c r="K12" i="12"/>
  <c r="F368" i="12"/>
  <c r="I228" i="12"/>
  <c r="F78" i="12"/>
  <c r="F76" i="12"/>
  <c r="H227" i="12"/>
  <c r="I371" i="12"/>
  <c r="X15" i="6"/>
  <c r="AA15" i="6" s="1"/>
  <c r="E3" i="6" s="1"/>
  <c r="F363" i="12"/>
  <c r="J7" i="12"/>
  <c r="F369" i="12"/>
  <c r="K228" i="12"/>
  <c r="F75" i="12"/>
  <c r="J299" i="12"/>
  <c r="H291" i="12"/>
  <c r="F84" i="12"/>
  <c r="K84" i="12"/>
  <c r="H9" i="12"/>
  <c r="K149" i="12"/>
  <c r="F80" i="12"/>
  <c r="F79" i="12"/>
  <c r="X41" i="6"/>
  <c r="AA41" i="6" s="1"/>
  <c r="G7" i="6" s="1"/>
  <c r="X19" i="6"/>
  <c r="AA19" i="6" s="1"/>
  <c r="I3" i="6" s="1"/>
  <c r="K374" i="12"/>
  <c r="G297" i="12"/>
  <c r="AP43" i="6"/>
  <c r="AU43" i="6" s="1"/>
  <c r="F365" i="12"/>
  <c r="F366" i="12"/>
  <c r="F295" i="12"/>
  <c r="J294" i="12"/>
  <c r="G370" i="12"/>
  <c r="G368" i="12"/>
  <c r="K364" i="12"/>
  <c r="H373" i="12"/>
  <c r="F13" i="12"/>
  <c r="X49" i="6"/>
  <c r="AA49" i="6" s="1"/>
  <c r="I8" i="6" s="1"/>
  <c r="X29" i="6"/>
  <c r="AA29" i="6" s="1"/>
  <c r="G5" i="6" s="1"/>
  <c r="X23" i="6"/>
  <c r="AA23" i="6" s="1"/>
  <c r="G4" i="6" s="1"/>
  <c r="AP39" i="6"/>
  <c r="AU39" i="6" s="1"/>
  <c r="I150" i="12"/>
  <c r="AP25" i="6"/>
  <c r="AS25" i="6" s="1"/>
  <c r="X17" i="6"/>
  <c r="AA17" i="6" s="1"/>
  <c r="G3" i="6" s="1"/>
  <c r="X26" i="6"/>
  <c r="AA26" i="6" s="1"/>
  <c r="D5" i="6" s="1"/>
  <c r="F220" i="12"/>
  <c r="K300" i="12"/>
  <c r="I365" i="12"/>
  <c r="I75" i="12"/>
  <c r="F294" i="12"/>
  <c r="J158" i="12"/>
  <c r="K366" i="12"/>
  <c r="G7" i="12"/>
  <c r="G293" i="12"/>
  <c r="F223" i="12"/>
  <c r="F81" i="12"/>
  <c r="K296" i="12"/>
  <c r="F82" i="12"/>
  <c r="F5" i="12"/>
  <c r="F85" i="12"/>
  <c r="K291" i="12"/>
  <c r="F225" i="12"/>
  <c r="I148" i="12"/>
  <c r="G292" i="12"/>
  <c r="F151" i="12"/>
  <c r="H84" i="12"/>
  <c r="G151" i="12"/>
  <c r="K295" i="12"/>
  <c r="F6" i="12"/>
  <c r="F8" i="12"/>
  <c r="K293" i="12"/>
  <c r="H10" i="12"/>
  <c r="F4" i="12"/>
  <c r="K7" i="12"/>
  <c r="J155" i="12"/>
  <c r="J83" i="12"/>
  <c r="H369" i="12"/>
  <c r="G229" i="12"/>
  <c r="K154" i="12"/>
  <c r="J222" i="12"/>
  <c r="K298" i="12"/>
  <c r="I147" i="12"/>
  <c r="J156" i="12"/>
  <c r="G221" i="12"/>
  <c r="F12" i="12"/>
  <c r="I79" i="12"/>
  <c r="I370" i="12"/>
  <c r="K148" i="12"/>
  <c r="H13" i="12"/>
  <c r="K294" i="12"/>
  <c r="I299" i="12"/>
  <c r="I303" i="12"/>
  <c r="G85" i="12"/>
  <c r="K153" i="12"/>
  <c r="K368" i="12"/>
  <c r="F293" i="12"/>
  <c r="G149" i="12"/>
  <c r="F230" i="12"/>
  <c r="I302" i="12"/>
  <c r="I149" i="12"/>
  <c r="J224" i="12"/>
  <c r="H12" i="12"/>
  <c r="K292" i="12"/>
  <c r="F3" i="12"/>
  <c r="X43" i="6"/>
  <c r="AA43" i="6" s="1"/>
  <c r="I7" i="6" s="1"/>
  <c r="X42" i="6"/>
  <c r="AA42" i="6" s="1"/>
  <c r="H7" i="6" s="1"/>
  <c r="AP20" i="6"/>
  <c r="AS20" i="6" s="1"/>
  <c r="X45" i="6"/>
  <c r="AA45" i="6" s="1"/>
  <c r="E8" i="6" s="1"/>
  <c r="I220" i="12"/>
  <c r="F11" i="12"/>
  <c r="X38" i="6"/>
  <c r="AA38" i="6" s="1"/>
  <c r="D7" i="6" s="1"/>
  <c r="X44" i="6"/>
  <c r="AA44" i="6" s="1"/>
  <c r="D8" i="6" s="1"/>
  <c r="X39" i="6"/>
  <c r="AA39" i="6" s="1"/>
  <c r="E7" i="6" s="1"/>
  <c r="X47" i="6"/>
  <c r="AA47" i="6" s="1"/>
  <c r="G8" i="6" s="1"/>
  <c r="AP32" i="6"/>
  <c r="AW32" i="6" s="1"/>
  <c r="G371" i="12"/>
  <c r="AP14" i="6"/>
  <c r="AS14" i="6" s="1"/>
  <c r="AP15" i="6"/>
  <c r="AV15" i="6" s="1"/>
  <c r="X37" i="6"/>
  <c r="AA37" i="6" s="1"/>
  <c r="I6" i="6" s="1"/>
  <c r="AP17" i="6"/>
  <c r="AW17" i="6" s="1"/>
  <c r="AP23" i="6"/>
  <c r="AT23" i="6" s="1"/>
  <c r="I10" i="12"/>
  <c r="X30" i="6"/>
  <c r="AA30" i="6" s="1"/>
  <c r="H5" i="6" s="1"/>
  <c r="X14" i="6"/>
  <c r="AA14" i="6" s="1"/>
  <c r="D3" i="6" s="1"/>
  <c r="X27" i="6"/>
  <c r="AA27" i="6" s="1"/>
  <c r="E5" i="6" s="1"/>
  <c r="AP27" i="6"/>
  <c r="AX27" i="6" s="1"/>
  <c r="AP48" i="6"/>
  <c r="AT48" i="6" s="1"/>
  <c r="AP21" i="6"/>
  <c r="AT21" i="6" s="1"/>
  <c r="AP47" i="6"/>
  <c r="AW47" i="6" s="1"/>
  <c r="F156" i="12"/>
  <c r="J82" i="12"/>
  <c r="I293" i="12"/>
  <c r="I82" i="12"/>
  <c r="AP45" i="6"/>
  <c r="AS45" i="6" s="1"/>
  <c r="AP36" i="6"/>
  <c r="AW36" i="6" s="1"/>
  <c r="X35" i="6"/>
  <c r="AA35" i="6" s="1"/>
  <c r="G6" i="6" s="1"/>
  <c r="AP49" i="6"/>
  <c r="AV49" i="6" s="1"/>
  <c r="AP37" i="6"/>
  <c r="AT37" i="6" s="1"/>
  <c r="AP30" i="6"/>
  <c r="AW30" i="6" s="1"/>
  <c r="AP19" i="6"/>
  <c r="AU19" i="6" s="1"/>
  <c r="AP31" i="6"/>
  <c r="AS31" i="6" s="1"/>
  <c r="AP41" i="6"/>
  <c r="AW41" i="6" s="1"/>
  <c r="G78" i="12"/>
  <c r="I81" i="12"/>
  <c r="J8" i="12"/>
  <c r="G9" i="12"/>
  <c r="K299" i="12"/>
  <c r="L23" i="6"/>
  <c r="M23" i="6" s="1"/>
  <c r="G76" i="12"/>
  <c r="G77" i="12"/>
  <c r="G5" i="12"/>
  <c r="G3" i="12"/>
  <c r="K79" i="12"/>
  <c r="I227" i="12"/>
  <c r="X33" i="6"/>
  <c r="AA33" i="6" s="1"/>
  <c r="E6" i="6" s="1"/>
  <c r="G156" i="12"/>
  <c r="AP26" i="6"/>
  <c r="AW26" i="6" s="1"/>
  <c r="AP44" i="6"/>
  <c r="AT44" i="6" s="1"/>
  <c r="AP29" i="6"/>
  <c r="AX29" i="6" s="1"/>
  <c r="AP33" i="6"/>
  <c r="AS33" i="6" s="1"/>
  <c r="J80" i="12"/>
  <c r="J293" i="12"/>
  <c r="G83" i="12"/>
  <c r="I83" i="12"/>
  <c r="F371" i="12"/>
  <c r="K371" i="12"/>
  <c r="J11" i="12"/>
  <c r="AP38" i="6"/>
  <c r="AX38" i="6" s="1"/>
  <c r="AP35" i="6"/>
  <c r="AS35" i="6" s="1"/>
  <c r="G13" i="12"/>
  <c r="G301" i="12"/>
  <c r="G80" i="12"/>
  <c r="J295" i="12"/>
  <c r="G366" i="12"/>
  <c r="G225" i="12"/>
  <c r="F222" i="12"/>
  <c r="H3" i="12"/>
  <c r="J363" i="12"/>
  <c r="K157" i="12"/>
  <c r="H149" i="12"/>
  <c r="H228" i="12"/>
  <c r="I368" i="12"/>
  <c r="J79" i="12"/>
  <c r="G220" i="12"/>
  <c r="J84" i="12"/>
  <c r="G4" i="12"/>
  <c r="K302" i="12"/>
  <c r="I9" i="12"/>
  <c r="F221" i="12"/>
  <c r="F291" i="12"/>
  <c r="J227" i="12"/>
  <c r="J85" i="12"/>
  <c r="J10" i="12"/>
  <c r="K297" i="12"/>
  <c r="G153" i="12"/>
  <c r="J147" i="12"/>
  <c r="H85" i="12"/>
  <c r="G150" i="12"/>
  <c r="K363" i="12"/>
  <c r="G369" i="12"/>
  <c r="I230" i="12"/>
  <c r="H229" i="12"/>
  <c r="G372" i="12"/>
  <c r="G223" i="12"/>
  <c r="H364" i="12"/>
  <c r="G152" i="12"/>
  <c r="F370" i="12"/>
  <c r="J230" i="12"/>
  <c r="G158" i="12"/>
  <c r="F372" i="12"/>
  <c r="G365" i="12"/>
  <c r="K365" i="12"/>
  <c r="J75" i="12"/>
  <c r="J219" i="12"/>
  <c r="G230" i="12"/>
  <c r="J148" i="12"/>
  <c r="G299" i="12"/>
  <c r="F155" i="12"/>
  <c r="G155" i="12"/>
  <c r="H150" i="12"/>
  <c r="J78" i="12"/>
  <c r="I154" i="12"/>
  <c r="J81" i="12"/>
  <c r="I152" i="12"/>
  <c r="G81" i="12"/>
  <c r="G8" i="12"/>
  <c r="J150" i="12"/>
  <c r="H154" i="12"/>
  <c r="I294" i="12"/>
  <c r="J225" i="12"/>
  <c r="H295" i="12"/>
  <c r="J9" i="12"/>
  <c r="F224" i="12"/>
  <c r="I300" i="12"/>
  <c r="G295" i="12"/>
  <c r="G84" i="12"/>
  <c r="I84" i="12"/>
  <c r="I292" i="12"/>
  <c r="I222" i="12"/>
  <c r="H8" i="12"/>
  <c r="G6" i="12"/>
  <c r="I7" i="12"/>
  <c r="G10" i="12"/>
  <c r="G82" i="12"/>
  <c r="H226" i="12"/>
  <c r="F301" i="12"/>
  <c r="I151" i="12"/>
  <c r="H368" i="12"/>
  <c r="H153" i="12"/>
  <c r="I298" i="12"/>
  <c r="J77" i="12"/>
  <c r="J5" i="12"/>
  <c r="I296" i="12"/>
  <c r="F219" i="12"/>
  <c r="F299" i="12"/>
  <c r="H83" i="12"/>
  <c r="K83" i="12"/>
  <c r="F227" i="12"/>
  <c r="I153" i="12"/>
  <c r="H157" i="12"/>
  <c r="G12" i="12"/>
  <c r="I12" i="12"/>
  <c r="J292" i="12"/>
  <c r="J370" i="12"/>
  <c r="H80" i="12"/>
  <c r="H78" i="12"/>
  <c r="F158" i="12"/>
  <c r="I366" i="12"/>
  <c r="J367" i="12"/>
  <c r="J221" i="12"/>
  <c r="F367" i="12"/>
  <c r="H76" i="12"/>
  <c r="H297" i="12"/>
  <c r="F296" i="12"/>
  <c r="I297" i="12"/>
  <c r="F364" i="12"/>
  <c r="H294" i="12"/>
  <c r="G148" i="12"/>
  <c r="F152" i="12"/>
  <c r="I291" i="12"/>
  <c r="J368" i="12"/>
  <c r="H372" i="12"/>
  <c r="F229" i="12"/>
  <c r="I11" i="12"/>
  <c r="H293" i="12"/>
  <c r="H300" i="12"/>
  <c r="H156" i="12"/>
  <c r="H298" i="12"/>
  <c r="H302" i="12"/>
  <c r="O85" i="12"/>
  <c r="O13" i="12"/>
  <c r="O303" i="12"/>
  <c r="O373" i="12"/>
  <c r="N231" i="12"/>
  <c r="L231" i="12"/>
  <c r="F231" i="12"/>
  <c r="G231" i="12"/>
  <c r="J231" i="12"/>
  <c r="K231" i="12"/>
  <c r="H231" i="12"/>
  <c r="I231" i="12"/>
  <c r="O159" i="12"/>
  <c r="B15" i="12"/>
  <c r="A15" i="12" s="1"/>
  <c r="N160" i="12"/>
  <c r="L160" i="12"/>
  <c r="F160" i="12"/>
  <c r="G160" i="12"/>
  <c r="I160" i="12"/>
  <c r="K160" i="12"/>
  <c r="J160" i="12"/>
  <c r="N304" i="12"/>
  <c r="L304" i="12"/>
  <c r="F304" i="12"/>
  <c r="H304" i="12"/>
  <c r="G304" i="12"/>
  <c r="J304" i="12"/>
  <c r="K304" i="12"/>
  <c r="O230" i="12"/>
  <c r="N86" i="12"/>
  <c r="L86" i="12"/>
  <c r="K86" i="12"/>
  <c r="I86" i="12"/>
  <c r="J86" i="12"/>
  <c r="F86" i="12"/>
  <c r="G86" i="12"/>
  <c r="N374" i="12"/>
  <c r="L374" i="12"/>
  <c r="I374" i="12"/>
  <c r="F374" i="12"/>
  <c r="G374" i="12"/>
  <c r="H374" i="12"/>
  <c r="N14" i="12"/>
  <c r="L14" i="12"/>
  <c r="I14" i="12"/>
  <c r="K14" i="12"/>
  <c r="J14" i="12"/>
  <c r="F14" i="12"/>
  <c r="G14" i="12"/>
  <c r="H14" i="12"/>
  <c r="H160" i="12"/>
  <c r="J374" i="12"/>
  <c r="I304" i="12"/>
  <c r="AP28" i="6"/>
  <c r="AU28" i="6" s="1"/>
  <c r="K155" i="12"/>
  <c r="AP46" i="6"/>
  <c r="AS46" i="6" s="1"/>
  <c r="AP16" i="6"/>
  <c r="AT16" i="6" s="1"/>
  <c r="AP24" i="6"/>
  <c r="AS24" i="6" s="1"/>
  <c r="AP40" i="6"/>
  <c r="AX40" i="6" s="1"/>
  <c r="AP22" i="6"/>
  <c r="AX22" i="6" s="1"/>
  <c r="AP18" i="6"/>
  <c r="AW18" i="6" s="1"/>
  <c r="AP34" i="6"/>
  <c r="AX34" i="6" s="1"/>
  <c r="AX17" i="6"/>
  <c r="B375" i="12"/>
  <c r="A375" i="12" s="1"/>
  <c r="B305" i="12"/>
  <c r="A305" i="12" s="1"/>
  <c r="I305" i="12" s="1"/>
  <c r="B232" i="12"/>
  <c r="A232" i="12" s="1"/>
  <c r="B161" i="12"/>
  <c r="A161" i="12" s="1"/>
  <c r="J161" i="12" s="1"/>
  <c r="B87" i="12"/>
  <c r="A87" i="12" s="1"/>
  <c r="L19" i="6"/>
  <c r="M19" i="6" s="1"/>
  <c r="L25" i="6"/>
  <c r="M25" i="6" s="1"/>
  <c r="X24" i="6"/>
  <c r="AA24" i="6" s="1"/>
  <c r="H4" i="6" s="1"/>
  <c r="X18" i="6"/>
  <c r="AA18" i="6" s="1"/>
  <c r="H3" i="6" s="1"/>
  <c r="L17" i="6"/>
  <c r="M17" i="6" s="1"/>
  <c r="L21" i="6"/>
  <c r="M21" i="6" s="1"/>
  <c r="L26" i="6"/>
  <c r="M26" i="6" s="1"/>
  <c r="L42" i="6"/>
  <c r="M42" i="6" s="1"/>
  <c r="L35" i="6"/>
  <c r="M35" i="6" s="1"/>
  <c r="L38" i="6"/>
  <c r="M38" i="6" s="1"/>
  <c r="L32" i="6"/>
  <c r="M32" i="6" s="1"/>
  <c r="L29" i="6"/>
  <c r="M29" i="6" s="1"/>
  <c r="L31" i="6"/>
  <c r="M31" i="6" s="1"/>
  <c r="L44" i="6"/>
  <c r="M44" i="6" s="1"/>
  <c r="L43" i="6"/>
  <c r="M43" i="6" s="1"/>
  <c r="L46" i="6"/>
  <c r="M46" i="6" s="1"/>
  <c r="X28" i="6"/>
  <c r="AA28" i="6" s="1"/>
  <c r="F5" i="6" s="1"/>
  <c r="L28" i="6"/>
  <c r="M28" i="6" s="1"/>
  <c r="L22" i="6"/>
  <c r="M22" i="6" s="1"/>
  <c r="L27" i="6"/>
  <c r="M27" i="6" s="1"/>
  <c r="L30" i="6"/>
  <c r="M30" i="6" s="1"/>
  <c r="L47" i="6"/>
  <c r="M47" i="6" s="1"/>
  <c r="L24" i="6"/>
  <c r="M24" i="6" s="1"/>
  <c r="L15" i="6"/>
  <c r="M15" i="6" s="1"/>
  <c r="X16" i="6"/>
  <c r="AA16" i="6" s="1"/>
  <c r="F3" i="6" s="1"/>
  <c r="L36" i="6"/>
  <c r="M36" i="6" s="1"/>
  <c r="L34" i="6"/>
  <c r="M34" i="6" s="1"/>
  <c r="L41" i="6"/>
  <c r="M41" i="6" s="1"/>
  <c r="L37" i="6"/>
  <c r="M37" i="6" s="1"/>
  <c r="L16" i="6"/>
  <c r="M16" i="6" s="1"/>
  <c r="X22" i="6"/>
  <c r="AA22" i="6" s="1"/>
  <c r="F4" i="6" s="1"/>
  <c r="L20" i="6"/>
  <c r="M20" i="6" s="1"/>
  <c r="L45" i="6"/>
  <c r="M45" i="6" s="1"/>
  <c r="X46" i="6"/>
  <c r="AA46" i="6" s="1"/>
  <c r="F8" i="6" s="1"/>
  <c r="L49" i="6"/>
  <c r="M49" i="6" s="1"/>
  <c r="L48" i="6"/>
  <c r="M48" i="6" s="1"/>
  <c r="X34" i="6"/>
  <c r="AA34" i="6" s="1"/>
  <c r="F6" i="6" s="1"/>
  <c r="L33" i="6"/>
  <c r="M33" i="6" s="1"/>
  <c r="L14" i="6"/>
  <c r="M14" i="6" s="1"/>
  <c r="L18" i="6"/>
  <c r="M18" i="6" s="1"/>
  <c r="L39" i="6"/>
  <c r="M39" i="6" s="1"/>
  <c r="L40" i="6"/>
  <c r="M40" i="6" s="1"/>
  <c r="X40" i="6"/>
  <c r="AA40" i="6" s="1"/>
  <c r="F7" i="6" s="1"/>
  <c r="M226" i="12" l="1"/>
  <c r="P226" i="12" s="1"/>
  <c r="AU25" i="6"/>
  <c r="AV43" i="6"/>
  <c r="AW43" i="6"/>
  <c r="AW25" i="6"/>
  <c r="AU20" i="6"/>
  <c r="AX25" i="6"/>
  <c r="AV20" i="6"/>
  <c r="M6" i="12"/>
  <c r="P6" i="12" s="1"/>
  <c r="AT25" i="6"/>
  <c r="AT20" i="6"/>
  <c r="AU21" i="6"/>
  <c r="AT43" i="6"/>
  <c r="AV17" i="6"/>
  <c r="AX21" i="6"/>
  <c r="AS43" i="6"/>
  <c r="AS17" i="6"/>
  <c r="AV21" i="6"/>
  <c r="AT17" i="6"/>
  <c r="AX19" i="6"/>
  <c r="AV25" i="6"/>
  <c r="AT36" i="6"/>
  <c r="M300" i="12"/>
  <c r="P300" i="12" s="1"/>
  <c r="M159" i="12"/>
  <c r="P159" i="12" s="1"/>
  <c r="AS39" i="6"/>
  <c r="AT29" i="6"/>
  <c r="AX33" i="6"/>
  <c r="AV38" i="6"/>
  <c r="AW21" i="6"/>
  <c r="AS21" i="6"/>
  <c r="AX43" i="6"/>
  <c r="AU17" i="6"/>
  <c r="AV19" i="6"/>
  <c r="AU38" i="6"/>
  <c r="AS19" i="6"/>
  <c r="M303" i="12"/>
  <c r="P303" i="12" s="1"/>
  <c r="M373" i="12"/>
  <c r="P373" i="12" s="1"/>
  <c r="AW19" i="6"/>
  <c r="AT33" i="6"/>
  <c r="AT38" i="6"/>
  <c r="AU42" i="6"/>
  <c r="AT19" i="6"/>
  <c r="AV33" i="6"/>
  <c r="AS38" i="6"/>
  <c r="AU44" i="6"/>
  <c r="AW42" i="6"/>
  <c r="AU27" i="6"/>
  <c r="AU45" i="6"/>
  <c r="AT42" i="6"/>
  <c r="AX42" i="6"/>
  <c r="AV37" i="6"/>
  <c r="AS27" i="6"/>
  <c r="AW45" i="6"/>
  <c r="AX15" i="6"/>
  <c r="AV42" i="6"/>
  <c r="AU33" i="6"/>
  <c r="AS37" i="6"/>
  <c r="AW38" i="6"/>
  <c r="AU41" i="6"/>
  <c r="M224" i="12"/>
  <c r="P224" i="12" s="1"/>
  <c r="M228" i="12"/>
  <c r="P228" i="12" s="1"/>
  <c r="AV23" i="6"/>
  <c r="AT14" i="6"/>
  <c r="AX39" i="6"/>
  <c r="AX23" i="6"/>
  <c r="AT39" i="6"/>
  <c r="AW33" i="6"/>
  <c r="AU23" i="6"/>
  <c r="AX14" i="6"/>
  <c r="AU47" i="6"/>
  <c r="AS23" i="6"/>
  <c r="AX26" i="6"/>
  <c r="AT47" i="6"/>
  <c r="AX49" i="6"/>
  <c r="AS47" i="6"/>
  <c r="AT35" i="6"/>
  <c r="AW49" i="6"/>
  <c r="AS26" i="6"/>
  <c r="AW35" i="6"/>
  <c r="AV47" i="6"/>
  <c r="AU31" i="6"/>
  <c r="AU49" i="6"/>
  <c r="AV26" i="6"/>
  <c r="AW31" i="6"/>
  <c r="AS49" i="6"/>
  <c r="AU26" i="6"/>
  <c r="M85" i="12"/>
  <c r="P85" i="12" s="1"/>
  <c r="AX35" i="6"/>
  <c r="AU35" i="6"/>
  <c r="AV39" i="6"/>
  <c r="AX47" i="6"/>
  <c r="AW23" i="6"/>
  <c r="AV31" i="6"/>
  <c r="AT31" i="6"/>
  <c r="AU14" i="6"/>
  <c r="AW14" i="6"/>
  <c r="AT49" i="6"/>
  <c r="AT26" i="6"/>
  <c r="M364" i="12"/>
  <c r="P364" i="12" s="1"/>
  <c r="M76" i="12"/>
  <c r="P76" i="12" s="1"/>
  <c r="M369" i="12"/>
  <c r="P369" i="12" s="1"/>
  <c r="M220" i="12"/>
  <c r="P220" i="12" s="1"/>
  <c r="M149" i="12"/>
  <c r="P149" i="12" s="1"/>
  <c r="AV35" i="6"/>
  <c r="AW39" i="6"/>
  <c r="AX31" i="6"/>
  <c r="AV14" i="6"/>
  <c r="M158" i="12"/>
  <c r="P158" i="12" s="1"/>
  <c r="M299" i="12"/>
  <c r="P299" i="12" s="1"/>
  <c r="M151" i="12"/>
  <c r="P151" i="12" s="1"/>
  <c r="M295" i="12"/>
  <c r="P295" i="12" s="1"/>
  <c r="M219" i="12"/>
  <c r="P219" i="12" s="1"/>
  <c r="M7" i="12"/>
  <c r="P7" i="12" s="1"/>
  <c r="M4" i="12"/>
  <c r="P4" i="12" s="1"/>
  <c r="M13" i="12"/>
  <c r="P13" i="12" s="1"/>
  <c r="M371" i="12"/>
  <c r="P371" i="12" s="1"/>
  <c r="AU15" i="6"/>
  <c r="AS15" i="6"/>
  <c r="AX44" i="6"/>
  <c r="AS44" i="6"/>
  <c r="AX37" i="6"/>
  <c r="AV27" i="6"/>
  <c r="AT41" i="6"/>
  <c r="AS41" i="6"/>
  <c r="AV45" i="6"/>
  <c r="AW15" i="6"/>
  <c r="AW44" i="6"/>
  <c r="AW37" i="6"/>
  <c r="AU37" i="6"/>
  <c r="AW27" i="6"/>
  <c r="AT27" i="6"/>
  <c r="AX41" i="6"/>
  <c r="AX45" i="6"/>
  <c r="M156" i="12"/>
  <c r="P156" i="12" s="1"/>
  <c r="M229" i="12"/>
  <c r="P229" i="12" s="1"/>
  <c r="M152" i="12"/>
  <c r="P152" i="12" s="1"/>
  <c r="M77" i="12"/>
  <c r="P77" i="12" s="1"/>
  <c r="M10" i="12"/>
  <c r="P10" i="12" s="1"/>
  <c r="M79" i="12"/>
  <c r="P79" i="12" s="1"/>
  <c r="AT15" i="6"/>
  <c r="AV44" i="6"/>
  <c r="AV41" i="6"/>
  <c r="AT45" i="6"/>
  <c r="M294" i="12"/>
  <c r="P294" i="12" s="1"/>
  <c r="AX48" i="6"/>
  <c r="AW20" i="6"/>
  <c r="M75" i="12"/>
  <c r="P75" i="12" s="1"/>
  <c r="M3" i="12"/>
  <c r="P3" i="12" s="1"/>
  <c r="AS30" i="6"/>
  <c r="AS48" i="6"/>
  <c r="AU32" i="6"/>
  <c r="M147" i="12"/>
  <c r="P147" i="12" s="1"/>
  <c r="M298" i="12"/>
  <c r="P298" i="12" s="1"/>
  <c r="M227" i="12"/>
  <c r="P227" i="12" s="1"/>
  <c r="M11" i="12"/>
  <c r="P11" i="12" s="1"/>
  <c r="AT30" i="6"/>
  <c r="AU48" i="6"/>
  <c r="AX36" i="6"/>
  <c r="AX32" i="6"/>
  <c r="AV32" i="6"/>
  <c r="M148" i="12"/>
  <c r="P148" i="12" s="1"/>
  <c r="AX30" i="6"/>
  <c r="AW48" i="6"/>
  <c r="AX20" i="6"/>
  <c r="AS36" i="6"/>
  <c r="AT32" i="6"/>
  <c r="AS32" i="6"/>
  <c r="M293" i="12"/>
  <c r="P293" i="12" s="1"/>
  <c r="AU30" i="6"/>
  <c r="AV48" i="6"/>
  <c r="AV36" i="6"/>
  <c r="AW29" i="6"/>
  <c r="AU29" i="6"/>
  <c r="AS29" i="6"/>
  <c r="M78" i="12"/>
  <c r="P78" i="12" s="1"/>
  <c r="M301" i="12"/>
  <c r="P301" i="12" s="1"/>
  <c r="AV30" i="6"/>
  <c r="AU36" i="6"/>
  <c r="AV29" i="6"/>
  <c r="M302" i="12"/>
  <c r="P302" i="12" s="1"/>
  <c r="M155" i="12"/>
  <c r="P155" i="12" s="1"/>
  <c r="M157" i="12"/>
  <c r="P157" i="12" s="1"/>
  <c r="M5" i="12"/>
  <c r="P5" i="12" s="1"/>
  <c r="M82" i="12"/>
  <c r="P82" i="12" s="1"/>
  <c r="M223" i="12"/>
  <c r="P223" i="12" s="1"/>
  <c r="O304" i="12"/>
  <c r="M297" i="12"/>
  <c r="P297" i="12" s="1"/>
  <c r="M83" i="12"/>
  <c r="P83" i="12" s="1"/>
  <c r="M154" i="12"/>
  <c r="P154" i="12" s="1"/>
  <c r="M230" i="12"/>
  <c r="P230" i="12" s="1"/>
  <c r="M296" i="12"/>
  <c r="P296" i="12" s="1"/>
  <c r="M363" i="12"/>
  <c r="P363" i="12" s="1"/>
  <c r="M367" i="12"/>
  <c r="P367" i="12" s="1"/>
  <c r="M365" i="12"/>
  <c r="P365" i="12" s="1"/>
  <c r="M292" i="12"/>
  <c r="P292" i="12" s="1"/>
  <c r="M8" i="12"/>
  <c r="P8" i="12" s="1"/>
  <c r="M372" i="12"/>
  <c r="P372" i="12" s="1"/>
  <c r="M150" i="12"/>
  <c r="P150" i="12" s="1"/>
  <c r="M291" i="12"/>
  <c r="P291" i="12" s="1"/>
  <c r="M366" i="12"/>
  <c r="P366" i="12" s="1"/>
  <c r="M12" i="12"/>
  <c r="P12" i="12" s="1"/>
  <c r="M81" i="12"/>
  <c r="P81" i="12" s="1"/>
  <c r="M221" i="12"/>
  <c r="P221" i="12" s="1"/>
  <c r="M368" i="12"/>
  <c r="P368" i="12" s="1"/>
  <c r="M84" i="12"/>
  <c r="P84" i="12" s="1"/>
  <c r="M9" i="12"/>
  <c r="P9" i="12" s="1"/>
  <c r="M222" i="12"/>
  <c r="P222" i="12" s="1"/>
  <c r="M80" i="12"/>
  <c r="P80" i="12" s="1"/>
  <c r="M370" i="12"/>
  <c r="P370" i="12" s="1"/>
  <c r="M153" i="12"/>
  <c r="P153" i="12" s="1"/>
  <c r="M225" i="12"/>
  <c r="P225" i="12" s="1"/>
  <c r="AX28" i="6"/>
  <c r="AS40" i="6"/>
  <c r="AV40" i="6"/>
  <c r="AU40" i="6"/>
  <c r="AT40" i="6"/>
  <c r="AV22" i="6"/>
  <c r="AT46" i="6"/>
  <c r="AW40" i="6"/>
  <c r="AW46" i="6"/>
  <c r="O231" i="12"/>
  <c r="O14" i="12"/>
  <c r="O160" i="12"/>
  <c r="N232" i="12"/>
  <c r="L232" i="12"/>
  <c r="G232" i="12"/>
  <c r="I232" i="12"/>
  <c r="H232" i="12"/>
  <c r="F232" i="12"/>
  <c r="K232" i="12"/>
  <c r="J232" i="12"/>
  <c r="M374" i="12"/>
  <c r="P374" i="12" s="1"/>
  <c r="J305" i="12"/>
  <c r="H305" i="12"/>
  <c r="H161" i="12"/>
  <c r="B16" i="12"/>
  <c r="A16" i="12" s="1"/>
  <c r="N161" i="12"/>
  <c r="L161" i="12"/>
  <c r="N305" i="12"/>
  <c r="L305" i="12"/>
  <c r="M86" i="12"/>
  <c r="P86" i="12" s="1"/>
  <c r="O86" i="12"/>
  <c r="F305" i="12"/>
  <c r="F161" i="12"/>
  <c r="K161" i="12"/>
  <c r="I161" i="12"/>
  <c r="O374" i="12"/>
  <c r="K305" i="12"/>
  <c r="M160" i="12"/>
  <c r="P160" i="12" s="1"/>
  <c r="N87" i="12"/>
  <c r="L87" i="12"/>
  <c r="K87" i="12"/>
  <c r="I87" i="12"/>
  <c r="J87" i="12"/>
  <c r="H87" i="12"/>
  <c r="F87" i="12"/>
  <c r="G87" i="12"/>
  <c r="L375" i="12"/>
  <c r="N375" i="12"/>
  <c r="H375" i="12"/>
  <c r="G375" i="12"/>
  <c r="I375" i="12"/>
  <c r="F375" i="12"/>
  <c r="J375" i="12"/>
  <c r="K375" i="12"/>
  <c r="M14" i="12"/>
  <c r="P14" i="12" s="1"/>
  <c r="G305" i="12"/>
  <c r="M304" i="12"/>
  <c r="P304" i="12" s="1"/>
  <c r="G161" i="12"/>
  <c r="N15" i="12"/>
  <c r="L15" i="12"/>
  <c r="I15" i="12"/>
  <c r="K15" i="12"/>
  <c r="G15" i="12"/>
  <c r="H15" i="12"/>
  <c r="J15" i="12"/>
  <c r="F15" i="12"/>
  <c r="M231" i="12"/>
  <c r="P231" i="12" s="1"/>
  <c r="AV28" i="6"/>
  <c r="AV46" i="6"/>
  <c r="AS22" i="6"/>
  <c r="AV24" i="6"/>
  <c r="AU34" i="6"/>
  <c r="AS16" i="6"/>
  <c r="AT28" i="6"/>
  <c r="AX24" i="6"/>
  <c r="AX18" i="6"/>
  <c r="AW16" i="6"/>
  <c r="AT22" i="6"/>
  <c r="AV16" i="6"/>
  <c r="AS28" i="6"/>
  <c r="AX46" i="6"/>
  <c r="AW24" i="6"/>
  <c r="AW22" i="6"/>
  <c r="AX16" i="6"/>
  <c r="AS18" i="6"/>
  <c r="AV18" i="6"/>
  <c r="AU22" i="6"/>
  <c r="AU16" i="6"/>
  <c r="AT18" i="6"/>
  <c r="AW28" i="6"/>
  <c r="AU46" i="6"/>
  <c r="AU24" i="6"/>
  <c r="AU18" i="6"/>
  <c r="AT34" i="6"/>
  <c r="AS34" i="6"/>
  <c r="AT24" i="6"/>
  <c r="AV34" i="6"/>
  <c r="AW34" i="6"/>
  <c r="B376" i="12"/>
  <c r="A376" i="12" s="1"/>
  <c r="B306" i="12"/>
  <c r="A306" i="12" s="1"/>
  <c r="B233" i="12"/>
  <c r="A233" i="12" s="1"/>
  <c r="B162" i="12"/>
  <c r="A162" i="12" s="1"/>
  <c r="B88" i="12"/>
  <c r="A88" i="12" s="1"/>
  <c r="AY25" i="6" l="1"/>
  <c r="BA25" i="6" s="1"/>
  <c r="AY17" i="6"/>
  <c r="BA17" i="6" s="1"/>
  <c r="AY43" i="6"/>
  <c r="BA43" i="6" s="1"/>
  <c r="AY21" i="6"/>
  <c r="BA21" i="6" s="1"/>
  <c r="AY33" i="6"/>
  <c r="BA33" i="6" s="1"/>
  <c r="AY38" i="6"/>
  <c r="BA38" i="6" s="1"/>
  <c r="AY19" i="6"/>
  <c r="BA19" i="6" s="1"/>
  <c r="AY37" i="6"/>
  <c r="BA37" i="6" s="1"/>
  <c r="AY47" i="6"/>
  <c r="BA47" i="6" s="1"/>
  <c r="AY42" i="6"/>
  <c r="BA42" i="6" s="1"/>
  <c r="AY35" i="6"/>
  <c r="BA35" i="6" s="1"/>
  <c r="AY49" i="6"/>
  <c r="BA49" i="6" s="1"/>
  <c r="AY23" i="6"/>
  <c r="BA23" i="6" s="1"/>
  <c r="AY20" i="6"/>
  <c r="BA20" i="6" s="1"/>
  <c r="AY41" i="6"/>
  <c r="BA41" i="6" s="1"/>
  <c r="AY31" i="6"/>
  <c r="BA31" i="6" s="1"/>
  <c r="AY39" i="6"/>
  <c r="BA39" i="6" s="1"/>
  <c r="AY26" i="6"/>
  <c r="BA26" i="6" s="1"/>
  <c r="AY30" i="6"/>
  <c r="BA30" i="6" s="1"/>
  <c r="AY15" i="6"/>
  <c r="BA15" i="6" s="1"/>
  <c r="AY14" i="6"/>
  <c r="BA14" i="6" s="1"/>
  <c r="AY32" i="6"/>
  <c r="BA32" i="6" s="1"/>
  <c r="AY29" i="6"/>
  <c r="BA29" i="6" s="1"/>
  <c r="AY45" i="6"/>
  <c r="BA45" i="6" s="1"/>
  <c r="AY36" i="6"/>
  <c r="BA36" i="6" s="1"/>
  <c r="AY48" i="6"/>
  <c r="BA48" i="6" s="1"/>
  <c r="AY27" i="6"/>
  <c r="BA27" i="6" s="1"/>
  <c r="AY44" i="6"/>
  <c r="BA44" i="6" s="1"/>
  <c r="AY40" i="6"/>
  <c r="BA40" i="6" s="1"/>
  <c r="M15" i="12"/>
  <c r="P15" i="12" s="1"/>
  <c r="M87" i="12"/>
  <c r="P87" i="12" s="1"/>
  <c r="O305" i="12"/>
  <c r="O232" i="12"/>
  <c r="O375" i="12"/>
  <c r="O161" i="12"/>
  <c r="M161" i="12"/>
  <c r="P161" i="12" s="1"/>
  <c r="N16" i="12"/>
  <c r="L16" i="12"/>
  <c r="K16" i="12"/>
  <c r="I16" i="12"/>
  <c r="F16" i="12"/>
  <c r="G16" i="12"/>
  <c r="J16" i="12"/>
  <c r="H16" i="12"/>
  <c r="M232" i="12"/>
  <c r="P232" i="12" s="1"/>
  <c r="N233" i="12"/>
  <c r="L233" i="12"/>
  <c r="J233" i="12"/>
  <c r="K233" i="12"/>
  <c r="H233" i="12"/>
  <c r="I233" i="12"/>
  <c r="G233" i="12"/>
  <c r="F233" i="12"/>
  <c r="O15" i="12"/>
  <c r="M375" i="12"/>
  <c r="P375" i="12" s="1"/>
  <c r="O87" i="12"/>
  <c r="M305" i="12"/>
  <c r="P305" i="12" s="1"/>
  <c r="B17" i="12"/>
  <c r="A17" i="12" s="1"/>
  <c r="N88" i="12"/>
  <c r="L88" i="12"/>
  <c r="I88" i="12"/>
  <c r="K88" i="12"/>
  <c r="G88" i="12"/>
  <c r="F88" i="12"/>
  <c r="J88" i="12"/>
  <c r="H88" i="12"/>
  <c r="N376" i="12"/>
  <c r="L376" i="12"/>
  <c r="G376" i="12"/>
  <c r="F376" i="12"/>
  <c r="K376" i="12"/>
  <c r="I376" i="12"/>
  <c r="H376" i="12"/>
  <c r="J376" i="12"/>
  <c r="N162" i="12"/>
  <c r="L162" i="12"/>
  <c r="G162" i="12"/>
  <c r="K162" i="12"/>
  <c r="H162" i="12"/>
  <c r="J162" i="12"/>
  <c r="I162" i="12"/>
  <c r="F162" i="12"/>
  <c r="N306" i="12"/>
  <c r="L306" i="12"/>
  <c r="K306" i="12"/>
  <c r="H306" i="12"/>
  <c r="F306" i="12"/>
  <c r="G306" i="12"/>
  <c r="I306" i="12"/>
  <c r="J306" i="12"/>
  <c r="AY22" i="6"/>
  <c r="BA22" i="6" s="1"/>
  <c r="AY24" i="6"/>
  <c r="BA24" i="6" s="1"/>
  <c r="AY28" i="6"/>
  <c r="BA28" i="6" s="1"/>
  <c r="AY16" i="6"/>
  <c r="BA16" i="6" s="1"/>
  <c r="AY46" i="6"/>
  <c r="BA46" i="6" s="1"/>
  <c r="AY18" i="6"/>
  <c r="BA18" i="6" s="1"/>
  <c r="AY34" i="6"/>
  <c r="BA34" i="6" s="1"/>
  <c r="B377" i="12"/>
  <c r="A377" i="12" s="1"/>
  <c r="B307" i="12"/>
  <c r="A307" i="12" s="1"/>
  <c r="B234" i="12"/>
  <c r="A234" i="12" s="1"/>
  <c r="B163" i="12"/>
  <c r="A163" i="12" s="1"/>
  <c r="B89" i="12"/>
  <c r="A89" i="12" s="1"/>
  <c r="O306" i="12" l="1"/>
  <c r="O162" i="12"/>
  <c r="O376" i="12"/>
  <c r="M88" i="12"/>
  <c r="P88" i="12" s="1"/>
  <c r="O88" i="12"/>
  <c r="O16" i="12"/>
  <c r="N17" i="12"/>
  <c r="L17" i="12"/>
  <c r="K17" i="12"/>
  <c r="I17" i="12"/>
  <c r="J17" i="12"/>
  <c r="F17" i="12"/>
  <c r="G17" i="12"/>
  <c r="H17" i="12"/>
  <c r="O233" i="12"/>
  <c r="N89" i="12"/>
  <c r="L89" i="12"/>
  <c r="I89" i="12"/>
  <c r="K89" i="12"/>
  <c r="F89" i="12"/>
  <c r="J89" i="12"/>
  <c r="G89" i="12"/>
  <c r="H89" i="12"/>
  <c r="N377" i="12"/>
  <c r="L377" i="12"/>
  <c r="J377" i="12"/>
  <c r="K377" i="12"/>
  <c r="I377" i="12"/>
  <c r="F377" i="12"/>
  <c r="G377" i="12"/>
  <c r="H377" i="12"/>
  <c r="N234" i="12"/>
  <c r="L234" i="12"/>
  <c r="I234" i="12"/>
  <c r="F234" i="12"/>
  <c r="G234" i="12"/>
  <c r="K234" i="12"/>
  <c r="J234" i="12"/>
  <c r="H234" i="12"/>
  <c r="M306" i="12"/>
  <c r="P306" i="12" s="1"/>
  <c r="M233" i="12"/>
  <c r="P233" i="12" s="1"/>
  <c r="M16" i="12"/>
  <c r="P16" i="12" s="1"/>
  <c r="B18" i="12"/>
  <c r="A18" i="12" s="1"/>
  <c r="N163" i="12"/>
  <c r="L163" i="12"/>
  <c r="I163" i="12"/>
  <c r="K163" i="12"/>
  <c r="F163" i="12"/>
  <c r="H163" i="12"/>
  <c r="J163" i="12"/>
  <c r="G163" i="12"/>
  <c r="N307" i="12"/>
  <c r="L307" i="12"/>
  <c r="K307" i="12"/>
  <c r="H307" i="12"/>
  <c r="F307" i="12"/>
  <c r="G307" i="12"/>
  <c r="J307" i="12"/>
  <c r="I307" i="12"/>
  <c r="M162" i="12"/>
  <c r="P162" i="12" s="1"/>
  <c r="M376" i="12"/>
  <c r="P376" i="12" s="1"/>
  <c r="B378" i="12"/>
  <c r="A378" i="12" s="1"/>
  <c r="B308" i="12"/>
  <c r="A308" i="12" s="1"/>
  <c r="B235" i="12"/>
  <c r="A235" i="12" s="1"/>
  <c r="B164" i="12"/>
  <c r="A164" i="12" s="1"/>
  <c r="B90" i="12"/>
  <c r="A90" i="12" s="1"/>
  <c r="O17" i="12" l="1"/>
  <c r="O234" i="12"/>
  <c r="O377" i="12"/>
  <c r="O89" i="12"/>
  <c r="O307" i="12"/>
  <c r="M17" i="12"/>
  <c r="P17" i="12" s="1"/>
  <c r="O163" i="12"/>
  <c r="N235" i="12"/>
  <c r="L235" i="12"/>
  <c r="I235" i="12"/>
  <c r="H235" i="12"/>
  <c r="G235" i="12"/>
  <c r="J235" i="12"/>
  <c r="F235" i="12"/>
  <c r="K235" i="12"/>
  <c r="M307" i="12"/>
  <c r="P307" i="12" s="1"/>
  <c r="M163" i="12"/>
  <c r="P163" i="12" s="1"/>
  <c r="M377" i="12"/>
  <c r="P377" i="12" s="1"/>
  <c r="N90" i="12"/>
  <c r="L90" i="12"/>
  <c r="I90" i="12"/>
  <c r="K90" i="12"/>
  <c r="H90" i="12"/>
  <c r="J90" i="12"/>
  <c r="G90" i="12"/>
  <c r="F90" i="12"/>
  <c r="L378" i="12"/>
  <c r="N378" i="12"/>
  <c r="F378" i="12"/>
  <c r="I378" i="12"/>
  <c r="K378" i="12"/>
  <c r="G378" i="12"/>
  <c r="J378" i="12"/>
  <c r="H378" i="12"/>
  <c r="N18" i="12"/>
  <c r="L18" i="12"/>
  <c r="K18" i="12"/>
  <c r="I18" i="12"/>
  <c r="H18" i="12"/>
  <c r="G18" i="12"/>
  <c r="F18" i="12"/>
  <c r="J18" i="12"/>
  <c r="M89" i="12"/>
  <c r="P89" i="12" s="1"/>
  <c r="B19" i="12"/>
  <c r="A19" i="12" s="1"/>
  <c r="M234" i="12"/>
  <c r="P234" i="12" s="1"/>
  <c r="N164" i="12"/>
  <c r="L164" i="12"/>
  <c r="I164" i="12"/>
  <c r="G164" i="12"/>
  <c r="K164" i="12"/>
  <c r="F164" i="12"/>
  <c r="H164" i="12"/>
  <c r="J164" i="12"/>
  <c r="N308" i="12"/>
  <c r="L308" i="12"/>
  <c r="H308" i="12"/>
  <c r="F308" i="12"/>
  <c r="G308" i="12"/>
  <c r="K308" i="12"/>
  <c r="I308" i="12"/>
  <c r="J308" i="12"/>
  <c r="B379" i="12"/>
  <c r="A379" i="12" s="1"/>
  <c r="B309" i="12"/>
  <c r="A309" i="12" s="1"/>
  <c r="B236" i="12"/>
  <c r="A236" i="12" s="1"/>
  <c r="B165" i="12"/>
  <c r="A165" i="12" s="1"/>
  <c r="B91" i="12"/>
  <c r="A91" i="12" s="1"/>
  <c r="O235" i="12" l="1"/>
  <c r="O378" i="12"/>
  <c r="M235" i="12"/>
  <c r="P235" i="12" s="1"/>
  <c r="N165" i="12"/>
  <c r="L165" i="12"/>
  <c r="G165" i="12"/>
  <c r="I165" i="12"/>
  <c r="H165" i="12"/>
  <c r="F165" i="12"/>
  <c r="K165" i="12"/>
  <c r="J165" i="12"/>
  <c r="N309" i="12"/>
  <c r="L309" i="12"/>
  <c r="K309" i="12"/>
  <c r="H309" i="12"/>
  <c r="I309" i="12"/>
  <c r="F309" i="12"/>
  <c r="G309" i="12"/>
  <c r="J309" i="12"/>
  <c r="N236" i="12"/>
  <c r="L236" i="12"/>
  <c r="J236" i="12"/>
  <c r="G236" i="12"/>
  <c r="F236" i="12"/>
  <c r="K236" i="12"/>
  <c r="H236" i="12"/>
  <c r="I236" i="12"/>
  <c r="M18" i="12"/>
  <c r="P18" i="12" s="1"/>
  <c r="M378" i="12"/>
  <c r="P378" i="12" s="1"/>
  <c r="M308" i="12"/>
  <c r="P308" i="12" s="1"/>
  <c r="M90" i="12"/>
  <c r="P90" i="12" s="1"/>
  <c r="N19" i="12"/>
  <c r="L19" i="12"/>
  <c r="F19" i="12"/>
  <c r="J19" i="12"/>
  <c r="H19" i="12"/>
  <c r="G19" i="12"/>
  <c r="I19" i="12"/>
  <c r="K19" i="12"/>
  <c r="N91" i="12"/>
  <c r="L91" i="12"/>
  <c r="I91" i="12"/>
  <c r="H91" i="12"/>
  <c r="F91" i="12"/>
  <c r="G91" i="12"/>
  <c r="J91" i="12"/>
  <c r="K91" i="12"/>
  <c r="N379" i="12"/>
  <c r="L379" i="12"/>
  <c r="F379" i="12"/>
  <c r="G379" i="12"/>
  <c r="K379" i="12"/>
  <c r="J379" i="12"/>
  <c r="I379" i="12"/>
  <c r="H379" i="12"/>
  <c r="O308" i="12"/>
  <c r="M164" i="12"/>
  <c r="P164" i="12" s="1"/>
  <c r="O164" i="12"/>
  <c r="B20" i="12"/>
  <c r="A20" i="12" s="1"/>
  <c r="O18" i="12"/>
  <c r="O90" i="12"/>
  <c r="B380" i="12"/>
  <c r="A380" i="12" s="1"/>
  <c r="B310" i="12"/>
  <c r="A310" i="12" s="1"/>
  <c r="B237" i="12"/>
  <c r="A237" i="12" s="1"/>
  <c r="B166" i="12"/>
  <c r="A166" i="12" s="1"/>
  <c r="B92" i="12"/>
  <c r="A92" i="12" s="1"/>
  <c r="O379" i="12" l="1"/>
  <c r="O91" i="12"/>
  <c r="O19" i="12"/>
  <c r="O236" i="12"/>
  <c r="O309" i="12"/>
  <c r="O165" i="12"/>
  <c r="M91" i="12"/>
  <c r="P91" i="12" s="1"/>
  <c r="N237" i="12"/>
  <c r="L237" i="12"/>
  <c r="I237" i="12"/>
  <c r="F237" i="12"/>
  <c r="G237" i="12"/>
  <c r="J237" i="12"/>
  <c r="K237" i="12"/>
  <c r="H237" i="12"/>
  <c r="B21" i="12"/>
  <c r="A21" i="12" s="1"/>
  <c r="M19" i="12"/>
  <c r="P19" i="12" s="1"/>
  <c r="M379" i="12"/>
  <c r="P379" i="12" s="1"/>
  <c r="N166" i="12"/>
  <c r="L166" i="12"/>
  <c r="F166" i="12"/>
  <c r="K166" i="12"/>
  <c r="J166" i="12"/>
  <c r="I166" i="12"/>
  <c r="G166" i="12"/>
  <c r="H166" i="12"/>
  <c r="N310" i="12"/>
  <c r="L310" i="12"/>
  <c r="K310" i="12"/>
  <c r="H310" i="12"/>
  <c r="J310" i="12"/>
  <c r="F310" i="12"/>
  <c r="I310" i="12"/>
  <c r="G310" i="12"/>
  <c r="M309" i="12"/>
  <c r="P309" i="12" s="1"/>
  <c r="M165" i="12"/>
  <c r="P165" i="12" s="1"/>
  <c r="N92" i="12"/>
  <c r="L92" i="12"/>
  <c r="I92" i="12"/>
  <c r="K92" i="12"/>
  <c r="H92" i="12"/>
  <c r="G92" i="12"/>
  <c r="J92" i="12"/>
  <c r="F92" i="12"/>
  <c r="N380" i="12"/>
  <c r="L380" i="12"/>
  <c r="G380" i="12"/>
  <c r="K380" i="12"/>
  <c r="J380" i="12"/>
  <c r="H380" i="12"/>
  <c r="F380" i="12"/>
  <c r="I380" i="12"/>
  <c r="N20" i="12"/>
  <c r="L20" i="12"/>
  <c r="I20" i="12"/>
  <c r="G20" i="12"/>
  <c r="F20" i="12"/>
  <c r="J20" i="12"/>
  <c r="K20" i="12"/>
  <c r="H20" i="12"/>
  <c r="M236" i="12"/>
  <c r="P236" i="12" s="1"/>
  <c r="B381" i="12"/>
  <c r="A381" i="12" s="1"/>
  <c r="B311" i="12"/>
  <c r="A311" i="12" s="1"/>
  <c r="B238" i="12"/>
  <c r="A238" i="12" s="1"/>
  <c r="B167" i="12"/>
  <c r="A167" i="12" s="1"/>
  <c r="B93" i="12"/>
  <c r="A93" i="12" s="1"/>
  <c r="O20" i="12" l="1"/>
  <c r="O310" i="12"/>
  <c r="O166" i="12"/>
  <c r="O237" i="12"/>
  <c r="O380" i="12"/>
  <c r="O92" i="12"/>
  <c r="M237" i="12"/>
  <c r="P237" i="12" s="1"/>
  <c r="N167" i="12"/>
  <c r="L167" i="12"/>
  <c r="K167" i="12"/>
  <c r="G167" i="12"/>
  <c r="I167" i="12"/>
  <c r="F167" i="12"/>
  <c r="J167" i="12"/>
  <c r="H167" i="12"/>
  <c r="N311" i="12"/>
  <c r="L311" i="12"/>
  <c r="I311" i="12"/>
  <c r="J311" i="12"/>
  <c r="G311" i="12"/>
  <c r="F311" i="12"/>
  <c r="K311" i="12"/>
  <c r="H311" i="12"/>
  <c r="M20" i="12"/>
  <c r="P20" i="12" s="1"/>
  <c r="M166" i="12"/>
  <c r="P166" i="12" s="1"/>
  <c r="M92" i="12"/>
  <c r="P92" i="12" s="1"/>
  <c r="M310" i="12"/>
  <c r="P310" i="12" s="1"/>
  <c r="N21" i="12"/>
  <c r="L21" i="12"/>
  <c r="I21" i="12"/>
  <c r="K21" i="12"/>
  <c r="H21" i="12"/>
  <c r="F21" i="12"/>
  <c r="J21" i="12"/>
  <c r="G21" i="12"/>
  <c r="N238" i="12"/>
  <c r="L238" i="12"/>
  <c r="J238" i="12"/>
  <c r="I238" i="12"/>
  <c r="K238" i="12"/>
  <c r="H238" i="12"/>
  <c r="G238" i="12"/>
  <c r="F238" i="12"/>
  <c r="L93" i="12"/>
  <c r="N93" i="12"/>
  <c r="I93" i="12"/>
  <c r="K93" i="12"/>
  <c r="J93" i="12"/>
  <c r="H93" i="12"/>
  <c r="G93" i="12"/>
  <c r="F93" i="12"/>
  <c r="N381" i="12"/>
  <c r="L381" i="12"/>
  <c r="I381" i="12"/>
  <c r="K381" i="12"/>
  <c r="G381" i="12"/>
  <c r="H381" i="12"/>
  <c r="J381" i="12"/>
  <c r="F381" i="12"/>
  <c r="M380" i="12"/>
  <c r="P380" i="12" s="1"/>
  <c r="B22" i="12"/>
  <c r="A22" i="12" s="1"/>
  <c r="B382" i="12"/>
  <c r="A382" i="12" s="1"/>
  <c r="B312" i="12"/>
  <c r="A312" i="12" s="1"/>
  <c r="B239" i="12"/>
  <c r="A239" i="12" s="1"/>
  <c r="B168" i="12"/>
  <c r="A168" i="12" s="1"/>
  <c r="B94" i="12"/>
  <c r="A94" i="12" s="1"/>
  <c r="O381" i="12" l="1"/>
  <c r="O238" i="12"/>
  <c r="M21" i="12"/>
  <c r="P21" i="12" s="1"/>
  <c r="O21" i="12"/>
  <c r="M311" i="12"/>
  <c r="P311" i="12" s="1"/>
  <c r="O311" i="12"/>
  <c r="M167" i="12"/>
  <c r="P167" i="12" s="1"/>
  <c r="O167" i="12"/>
  <c r="B23" i="12"/>
  <c r="A23" i="12" s="1"/>
  <c r="N168" i="12"/>
  <c r="L168" i="12"/>
  <c r="I168" i="12"/>
  <c r="G168" i="12"/>
  <c r="J168" i="12"/>
  <c r="F168" i="12"/>
  <c r="K168" i="12"/>
  <c r="H168" i="12"/>
  <c r="N312" i="12"/>
  <c r="L312" i="12"/>
  <c r="J312" i="12"/>
  <c r="H312" i="12"/>
  <c r="K312" i="12"/>
  <c r="F312" i="12"/>
  <c r="I312" i="12"/>
  <c r="G312" i="12"/>
  <c r="N22" i="12"/>
  <c r="L22" i="12"/>
  <c r="I22" i="12"/>
  <c r="K22" i="12"/>
  <c r="G22" i="12"/>
  <c r="J22" i="12"/>
  <c r="H22" i="12"/>
  <c r="F22" i="12"/>
  <c r="N94" i="12"/>
  <c r="L94" i="12"/>
  <c r="K94" i="12"/>
  <c r="I94" i="12"/>
  <c r="G94" i="12"/>
  <c r="F94" i="12"/>
  <c r="H94" i="12"/>
  <c r="J94" i="12"/>
  <c r="N382" i="12"/>
  <c r="L382" i="12"/>
  <c r="J382" i="12"/>
  <c r="F382" i="12"/>
  <c r="I382" i="12"/>
  <c r="G382" i="12"/>
  <c r="H382" i="12"/>
  <c r="K382" i="12"/>
  <c r="O93" i="12"/>
  <c r="N239" i="12"/>
  <c r="L239" i="12"/>
  <c r="K239" i="12"/>
  <c r="G239" i="12"/>
  <c r="H239" i="12"/>
  <c r="J239" i="12"/>
  <c r="F239" i="12"/>
  <c r="I239" i="12"/>
  <c r="M381" i="12"/>
  <c r="P381" i="12" s="1"/>
  <c r="M93" i="12"/>
  <c r="P93" i="12" s="1"/>
  <c r="M238" i="12"/>
  <c r="P238" i="12" s="1"/>
  <c r="B383" i="12"/>
  <c r="A383" i="12" s="1"/>
  <c r="B313" i="12"/>
  <c r="A313" i="12" s="1"/>
  <c r="B240" i="12"/>
  <c r="A240" i="12" s="1"/>
  <c r="B169" i="12"/>
  <c r="A169" i="12" s="1"/>
  <c r="B95" i="12"/>
  <c r="A95" i="12" s="1"/>
  <c r="N240" i="12" l="1"/>
  <c r="L240" i="12"/>
  <c r="J240" i="12"/>
  <c r="H240" i="12"/>
  <c r="F240" i="12"/>
  <c r="I240" i="12"/>
  <c r="G240" i="12"/>
  <c r="K240" i="12"/>
  <c r="N95" i="12"/>
  <c r="L95" i="12"/>
  <c r="I95" i="12"/>
  <c r="K95" i="12"/>
  <c r="J95" i="12"/>
  <c r="F95" i="12"/>
  <c r="G95" i="12"/>
  <c r="H95" i="12"/>
  <c r="L383" i="12"/>
  <c r="N383" i="12"/>
  <c r="K383" i="12"/>
  <c r="I383" i="12"/>
  <c r="J383" i="12"/>
  <c r="G383" i="12"/>
  <c r="F383" i="12"/>
  <c r="H383" i="12"/>
  <c r="O382" i="12"/>
  <c r="M94" i="12"/>
  <c r="P94" i="12" s="1"/>
  <c r="O94" i="12"/>
  <c r="O22" i="12"/>
  <c r="M312" i="12"/>
  <c r="P312" i="12" s="1"/>
  <c r="O312" i="12"/>
  <c r="M168" i="12"/>
  <c r="P168" i="12" s="1"/>
  <c r="O168" i="12"/>
  <c r="M239" i="12"/>
  <c r="P239" i="12" s="1"/>
  <c r="M382" i="12"/>
  <c r="P382" i="12" s="1"/>
  <c r="M22" i="12"/>
  <c r="P22" i="12" s="1"/>
  <c r="N23" i="12"/>
  <c r="L23" i="12"/>
  <c r="I23" i="12"/>
  <c r="K23" i="12"/>
  <c r="F23" i="12"/>
  <c r="G23" i="12"/>
  <c r="H23" i="12"/>
  <c r="J23" i="12"/>
  <c r="N169" i="12"/>
  <c r="L169" i="12"/>
  <c r="H169" i="12"/>
  <c r="K169" i="12"/>
  <c r="J169" i="12"/>
  <c r="F169" i="12"/>
  <c r="G169" i="12"/>
  <c r="I169" i="12"/>
  <c r="N313" i="12"/>
  <c r="L313" i="12"/>
  <c r="J313" i="12"/>
  <c r="H313" i="12"/>
  <c r="F313" i="12"/>
  <c r="I313" i="12"/>
  <c r="G313" i="12"/>
  <c r="K313" i="12"/>
  <c r="O239" i="12"/>
  <c r="B24" i="12"/>
  <c r="A24" i="12" s="1"/>
  <c r="B384" i="12"/>
  <c r="A384" i="12" s="1"/>
  <c r="B314" i="12"/>
  <c r="A314" i="12" s="1"/>
  <c r="B241" i="12"/>
  <c r="A241" i="12" s="1"/>
  <c r="B170" i="12"/>
  <c r="A170" i="12" s="1"/>
  <c r="B96" i="12"/>
  <c r="A96" i="12" s="1"/>
  <c r="O95" i="12" l="1"/>
  <c r="O240" i="12"/>
  <c r="M383" i="12"/>
  <c r="P383" i="12" s="1"/>
  <c r="N170" i="12"/>
  <c r="L170" i="12"/>
  <c r="K170" i="12"/>
  <c r="H170" i="12"/>
  <c r="J170" i="12"/>
  <c r="F170" i="12"/>
  <c r="I170" i="12"/>
  <c r="G170" i="12"/>
  <c r="N314" i="12"/>
  <c r="L314" i="12"/>
  <c r="K314" i="12"/>
  <c r="F314" i="12"/>
  <c r="I314" i="12"/>
  <c r="J314" i="12"/>
  <c r="H314" i="12"/>
  <c r="G314" i="12"/>
  <c r="N24" i="12"/>
  <c r="L24" i="12"/>
  <c r="I24" i="12"/>
  <c r="K24" i="12"/>
  <c r="J24" i="12"/>
  <c r="F24" i="12"/>
  <c r="G24" i="12"/>
  <c r="H24" i="12"/>
  <c r="N96" i="12"/>
  <c r="L96" i="12"/>
  <c r="I96" i="12"/>
  <c r="K96" i="12"/>
  <c r="J96" i="12"/>
  <c r="F96" i="12"/>
  <c r="H96" i="12"/>
  <c r="G96" i="12"/>
  <c r="N384" i="12"/>
  <c r="L384" i="12"/>
  <c r="J384" i="12"/>
  <c r="K384" i="12"/>
  <c r="H384" i="12"/>
  <c r="G384" i="12"/>
  <c r="F384" i="12"/>
  <c r="I384" i="12"/>
  <c r="M313" i="12"/>
  <c r="P313" i="12" s="1"/>
  <c r="M23" i="12"/>
  <c r="P23" i="12" s="1"/>
  <c r="M95" i="12"/>
  <c r="P95" i="12" s="1"/>
  <c r="N241" i="12"/>
  <c r="L241" i="12"/>
  <c r="I241" i="12"/>
  <c r="H241" i="12"/>
  <c r="J241" i="12"/>
  <c r="K241" i="12"/>
  <c r="G241" i="12"/>
  <c r="F241" i="12"/>
  <c r="B25" i="12"/>
  <c r="A25" i="12" s="1"/>
  <c r="O313" i="12"/>
  <c r="M169" i="12"/>
  <c r="P169" i="12" s="1"/>
  <c r="O169" i="12"/>
  <c r="O23" i="12"/>
  <c r="O383" i="12"/>
  <c r="M240" i="12"/>
  <c r="P240" i="12" s="1"/>
  <c r="B385" i="12"/>
  <c r="A385" i="12" s="1"/>
  <c r="B315" i="12"/>
  <c r="A315" i="12" s="1"/>
  <c r="B242" i="12"/>
  <c r="A242" i="12" s="1"/>
  <c r="B171" i="12"/>
  <c r="A171" i="12" s="1"/>
  <c r="B97" i="12"/>
  <c r="A97" i="12" s="1"/>
  <c r="O384" i="12" l="1"/>
  <c r="O96" i="12"/>
  <c r="O24" i="12"/>
  <c r="O314" i="12"/>
  <c r="O170" i="12"/>
  <c r="M314" i="12"/>
  <c r="P314" i="12" s="1"/>
  <c r="M241" i="12"/>
  <c r="P241" i="12" s="1"/>
  <c r="M96" i="12"/>
  <c r="P96" i="12" s="1"/>
  <c r="M24" i="12"/>
  <c r="P24" i="12" s="1"/>
  <c r="M170" i="12"/>
  <c r="P170" i="12" s="1"/>
  <c r="N242" i="12"/>
  <c r="L242" i="12"/>
  <c r="J242" i="12"/>
  <c r="I242" i="12"/>
  <c r="K242" i="12"/>
  <c r="H242" i="12"/>
  <c r="G242" i="12"/>
  <c r="F242" i="12"/>
  <c r="B26" i="12"/>
  <c r="A26" i="12" s="1"/>
  <c r="N171" i="12"/>
  <c r="L171" i="12"/>
  <c r="K171" i="12"/>
  <c r="F171" i="12"/>
  <c r="J171" i="12"/>
  <c r="H171" i="12"/>
  <c r="G171" i="12"/>
  <c r="I171" i="12"/>
  <c r="N315" i="12"/>
  <c r="L315" i="12"/>
  <c r="K315" i="12"/>
  <c r="I315" i="12"/>
  <c r="G315" i="12"/>
  <c r="H315" i="12"/>
  <c r="J315" i="12"/>
  <c r="F315" i="12"/>
  <c r="M384" i="12"/>
  <c r="P384" i="12" s="1"/>
  <c r="N97" i="12"/>
  <c r="L97" i="12"/>
  <c r="I97" i="12"/>
  <c r="G97" i="12"/>
  <c r="F97" i="12"/>
  <c r="J97" i="12"/>
  <c r="H97" i="12"/>
  <c r="K97" i="12"/>
  <c r="L385" i="12"/>
  <c r="N385" i="12"/>
  <c r="G385" i="12"/>
  <c r="I385" i="12"/>
  <c r="J385" i="12"/>
  <c r="F385" i="12"/>
  <c r="K385" i="12"/>
  <c r="H385" i="12"/>
  <c r="N25" i="12"/>
  <c r="L25" i="12"/>
  <c r="J25" i="12"/>
  <c r="F25" i="12"/>
  <c r="H25" i="12"/>
  <c r="G25" i="12"/>
  <c r="K25" i="12"/>
  <c r="I25" i="12"/>
  <c r="O241" i="12"/>
  <c r="B386" i="12"/>
  <c r="A386" i="12" s="1"/>
  <c r="B316" i="12"/>
  <c r="A316" i="12" s="1"/>
  <c r="B243" i="12"/>
  <c r="A243" i="12" s="1"/>
  <c r="B172" i="12"/>
  <c r="A172" i="12" s="1"/>
  <c r="B98" i="12"/>
  <c r="A98" i="12" s="1"/>
  <c r="O25" i="12" l="1"/>
  <c r="O97" i="12"/>
  <c r="O315" i="12"/>
  <c r="O171" i="12"/>
  <c r="O242" i="12"/>
  <c r="M315" i="12"/>
  <c r="P315" i="12" s="1"/>
  <c r="O385" i="12"/>
  <c r="M242" i="12"/>
  <c r="P242" i="12" s="1"/>
  <c r="M25" i="12"/>
  <c r="P25" i="12" s="1"/>
  <c r="M97" i="12"/>
  <c r="P97" i="12" s="1"/>
  <c r="N98" i="12"/>
  <c r="L98" i="12"/>
  <c r="K98" i="12"/>
  <c r="I98" i="12"/>
  <c r="F98" i="12"/>
  <c r="H98" i="12"/>
  <c r="J98" i="12"/>
  <c r="G98" i="12"/>
  <c r="N386" i="12"/>
  <c r="L386" i="12"/>
  <c r="H386" i="12"/>
  <c r="J386" i="12"/>
  <c r="F386" i="12"/>
  <c r="I386" i="12"/>
  <c r="G386" i="12"/>
  <c r="K386" i="12"/>
  <c r="M171" i="12"/>
  <c r="P171" i="12" s="1"/>
  <c r="N26" i="12"/>
  <c r="L26" i="12"/>
  <c r="I26" i="12"/>
  <c r="H26" i="12"/>
  <c r="J26" i="12"/>
  <c r="G26" i="12"/>
  <c r="F26" i="12"/>
  <c r="K26" i="12"/>
  <c r="M385" i="12"/>
  <c r="P385" i="12" s="1"/>
  <c r="B27" i="12"/>
  <c r="A27" i="12" s="1"/>
  <c r="N243" i="12"/>
  <c r="L243" i="12"/>
  <c r="I243" i="12"/>
  <c r="J243" i="12"/>
  <c r="H243" i="12"/>
  <c r="K243" i="12"/>
  <c r="F243" i="12"/>
  <c r="G243" i="12"/>
  <c r="N172" i="12"/>
  <c r="L172" i="12"/>
  <c r="H172" i="12"/>
  <c r="G172" i="12"/>
  <c r="I172" i="12"/>
  <c r="J172" i="12"/>
  <c r="F172" i="12"/>
  <c r="K172" i="12"/>
  <c r="N316" i="12"/>
  <c r="L316" i="12"/>
  <c r="G316" i="12"/>
  <c r="K316" i="12"/>
  <c r="I316" i="12"/>
  <c r="J316" i="12"/>
  <c r="F316" i="12"/>
  <c r="H316" i="12"/>
  <c r="B387" i="12"/>
  <c r="A387" i="12" s="1"/>
  <c r="B317" i="12"/>
  <c r="A317" i="12" s="1"/>
  <c r="B244" i="12"/>
  <c r="A244" i="12" s="1"/>
  <c r="B173" i="12"/>
  <c r="A173" i="12" s="1"/>
  <c r="B99" i="12"/>
  <c r="A99" i="12" s="1"/>
  <c r="O316" i="12" l="1"/>
  <c r="O172" i="12"/>
  <c r="O386" i="12"/>
  <c r="O243" i="12"/>
  <c r="O98" i="12"/>
  <c r="O26" i="12"/>
  <c r="M26" i="12"/>
  <c r="P26" i="12" s="1"/>
  <c r="N173" i="12"/>
  <c r="L173" i="12"/>
  <c r="J173" i="12"/>
  <c r="H173" i="12"/>
  <c r="F173" i="12"/>
  <c r="G173" i="12"/>
  <c r="K173" i="12"/>
  <c r="I173" i="12"/>
  <c r="M316" i="12"/>
  <c r="P316" i="12" s="1"/>
  <c r="M172" i="12"/>
  <c r="P172" i="12" s="1"/>
  <c r="N99" i="12"/>
  <c r="L99" i="12"/>
  <c r="I99" i="12"/>
  <c r="K99" i="12"/>
  <c r="J99" i="12"/>
  <c r="H99" i="12"/>
  <c r="F99" i="12"/>
  <c r="G99" i="12"/>
  <c r="N387" i="12"/>
  <c r="L387" i="12"/>
  <c r="F387" i="12"/>
  <c r="G387" i="12"/>
  <c r="J387" i="12"/>
  <c r="K387" i="12"/>
  <c r="I387" i="12"/>
  <c r="H387" i="12"/>
  <c r="N244" i="12"/>
  <c r="L244" i="12"/>
  <c r="G244" i="12"/>
  <c r="J244" i="12"/>
  <c r="K244" i="12"/>
  <c r="H244" i="12"/>
  <c r="I244" i="12"/>
  <c r="F244" i="12"/>
  <c r="M386" i="12"/>
  <c r="P386" i="12" s="1"/>
  <c r="M98" i="12"/>
  <c r="P98" i="12" s="1"/>
  <c r="N317" i="12"/>
  <c r="L317" i="12"/>
  <c r="H317" i="12"/>
  <c r="K317" i="12"/>
  <c r="G317" i="12"/>
  <c r="I317" i="12"/>
  <c r="J317" i="12"/>
  <c r="F317" i="12"/>
  <c r="N27" i="12"/>
  <c r="L27" i="12"/>
  <c r="K27" i="12"/>
  <c r="I27" i="12"/>
  <c r="G27" i="12"/>
  <c r="F27" i="12"/>
  <c r="J27" i="12"/>
  <c r="H27" i="12"/>
  <c r="M243" i="12"/>
  <c r="P243" i="12" s="1"/>
  <c r="B28" i="12"/>
  <c r="A28" i="12" s="1"/>
  <c r="B388" i="12"/>
  <c r="A388" i="12" s="1"/>
  <c r="B318" i="12"/>
  <c r="A318" i="12" s="1"/>
  <c r="B245" i="12"/>
  <c r="A245" i="12" s="1"/>
  <c r="B174" i="12"/>
  <c r="A174" i="12" s="1"/>
  <c r="B100" i="12"/>
  <c r="A100" i="12" s="1"/>
  <c r="O99" i="12" l="1"/>
  <c r="O387" i="12"/>
  <c r="O244" i="12"/>
  <c r="O27" i="12"/>
  <c r="O317" i="12"/>
  <c r="O173" i="12"/>
  <c r="M27" i="12"/>
  <c r="P27" i="12" s="1"/>
  <c r="M244" i="12"/>
  <c r="P244" i="12" s="1"/>
  <c r="M317" i="12"/>
  <c r="P317" i="12" s="1"/>
  <c r="N174" i="12"/>
  <c r="L174" i="12"/>
  <c r="K174" i="12"/>
  <c r="F174" i="12"/>
  <c r="H174" i="12"/>
  <c r="G174" i="12"/>
  <c r="J174" i="12"/>
  <c r="I174" i="12"/>
  <c r="N318" i="12"/>
  <c r="L318" i="12"/>
  <c r="J318" i="12"/>
  <c r="I318" i="12"/>
  <c r="G318" i="12"/>
  <c r="F318" i="12"/>
  <c r="H318" i="12"/>
  <c r="K318" i="12"/>
  <c r="N28" i="12"/>
  <c r="L28" i="12"/>
  <c r="K28" i="12"/>
  <c r="I28" i="12"/>
  <c r="H28" i="12"/>
  <c r="G28" i="12"/>
  <c r="J28" i="12"/>
  <c r="F28" i="12"/>
  <c r="N245" i="12"/>
  <c r="L245" i="12"/>
  <c r="K245" i="12"/>
  <c r="G245" i="12"/>
  <c r="F245" i="12"/>
  <c r="J245" i="12"/>
  <c r="H245" i="12"/>
  <c r="I245" i="12"/>
  <c r="B29" i="12"/>
  <c r="A29" i="12" s="1"/>
  <c r="N100" i="12"/>
  <c r="L100" i="12"/>
  <c r="I100" i="12"/>
  <c r="K100" i="12"/>
  <c r="H100" i="12"/>
  <c r="F100" i="12"/>
  <c r="G100" i="12"/>
  <c r="J100" i="12"/>
  <c r="N388" i="12"/>
  <c r="L388" i="12"/>
  <c r="H388" i="12"/>
  <c r="I388" i="12"/>
  <c r="K388" i="12"/>
  <c r="G388" i="12"/>
  <c r="J388" i="12"/>
  <c r="F388" i="12"/>
  <c r="M387" i="12"/>
  <c r="P387" i="12" s="1"/>
  <c r="M99" i="12"/>
  <c r="P99" i="12" s="1"/>
  <c r="M173" i="12"/>
  <c r="P173" i="12" s="1"/>
  <c r="B389" i="12"/>
  <c r="A389" i="12" s="1"/>
  <c r="B319" i="12"/>
  <c r="A319" i="12" s="1"/>
  <c r="B246" i="12"/>
  <c r="A246" i="12" s="1"/>
  <c r="B175" i="12"/>
  <c r="A175" i="12" s="1"/>
  <c r="B101" i="12"/>
  <c r="A101" i="12" s="1"/>
  <c r="O245" i="12" l="1"/>
  <c r="O28" i="12"/>
  <c r="O318" i="12"/>
  <c r="O174" i="12"/>
  <c r="O388" i="12"/>
  <c r="M100" i="12"/>
  <c r="P100" i="12" s="1"/>
  <c r="O100" i="12"/>
  <c r="M28" i="12"/>
  <c r="P28" i="12" s="1"/>
  <c r="M388" i="12"/>
  <c r="P388" i="12" s="1"/>
  <c r="L29" i="12"/>
  <c r="N29" i="12"/>
  <c r="K29" i="12"/>
  <c r="I29" i="12"/>
  <c r="F29" i="12"/>
  <c r="J29" i="12"/>
  <c r="H29" i="12"/>
  <c r="G29" i="12"/>
  <c r="M318" i="12"/>
  <c r="P318" i="12" s="1"/>
  <c r="L101" i="12"/>
  <c r="N101" i="12"/>
  <c r="K101" i="12"/>
  <c r="I101" i="12"/>
  <c r="H101" i="12"/>
  <c r="G101" i="12"/>
  <c r="J101" i="12"/>
  <c r="F101" i="12"/>
  <c r="L389" i="12"/>
  <c r="N389" i="12"/>
  <c r="I389" i="12"/>
  <c r="H389" i="12"/>
  <c r="J389" i="12"/>
  <c r="K389" i="12"/>
  <c r="F389" i="12"/>
  <c r="G389" i="12"/>
  <c r="N246" i="12"/>
  <c r="L246" i="12"/>
  <c r="G246" i="12"/>
  <c r="K246" i="12"/>
  <c r="F246" i="12"/>
  <c r="J246" i="12"/>
  <c r="H246" i="12"/>
  <c r="I246" i="12"/>
  <c r="N175" i="12"/>
  <c r="L175" i="12"/>
  <c r="G175" i="12"/>
  <c r="I175" i="12"/>
  <c r="F175" i="12"/>
  <c r="H175" i="12"/>
  <c r="J175" i="12"/>
  <c r="K175" i="12"/>
  <c r="N319" i="12"/>
  <c r="L319" i="12"/>
  <c r="J319" i="12"/>
  <c r="I319" i="12"/>
  <c r="H319" i="12"/>
  <c r="F319" i="12"/>
  <c r="K319" i="12"/>
  <c r="G319" i="12"/>
  <c r="B30" i="12"/>
  <c r="A30" i="12" s="1"/>
  <c r="M245" i="12"/>
  <c r="P245" i="12" s="1"/>
  <c r="M174" i="12"/>
  <c r="P174" i="12" s="1"/>
  <c r="B390" i="12"/>
  <c r="A390" i="12" s="1"/>
  <c r="B320" i="12"/>
  <c r="A320" i="12" s="1"/>
  <c r="B247" i="12"/>
  <c r="A247" i="12" s="1"/>
  <c r="B176" i="12"/>
  <c r="A176" i="12" s="1"/>
  <c r="B102" i="12"/>
  <c r="A102" i="12" s="1"/>
  <c r="O389" i="12" l="1"/>
  <c r="O319" i="12"/>
  <c r="O175" i="12"/>
  <c r="O246" i="12"/>
  <c r="O29" i="12"/>
  <c r="M389" i="12"/>
  <c r="P389" i="12" s="1"/>
  <c r="M319" i="12"/>
  <c r="P319" i="12" s="1"/>
  <c r="N102" i="12"/>
  <c r="L102" i="12"/>
  <c r="I102" i="12"/>
  <c r="K102" i="12"/>
  <c r="H102" i="12"/>
  <c r="G102" i="12"/>
  <c r="F102" i="12"/>
  <c r="J102" i="12"/>
  <c r="L390" i="12"/>
  <c r="N390" i="12"/>
  <c r="J390" i="12"/>
  <c r="G390" i="12"/>
  <c r="H390" i="12"/>
  <c r="K390" i="12"/>
  <c r="F390" i="12"/>
  <c r="I390" i="12"/>
  <c r="N30" i="12"/>
  <c r="L30" i="12"/>
  <c r="I30" i="12"/>
  <c r="K30" i="12"/>
  <c r="H30" i="12"/>
  <c r="G30" i="12"/>
  <c r="F30" i="12"/>
  <c r="J30" i="12"/>
  <c r="N247" i="12"/>
  <c r="L247" i="12"/>
  <c r="H247" i="12"/>
  <c r="J247" i="12"/>
  <c r="I247" i="12"/>
  <c r="F247" i="12"/>
  <c r="K247" i="12"/>
  <c r="G247" i="12"/>
  <c r="B31" i="12"/>
  <c r="A31" i="12" s="1"/>
  <c r="M175" i="12"/>
  <c r="P175" i="12" s="1"/>
  <c r="M246" i="12"/>
  <c r="P246" i="12" s="1"/>
  <c r="O101" i="12"/>
  <c r="M101" i="12"/>
  <c r="P101" i="12" s="1"/>
  <c r="M29" i="12"/>
  <c r="P29" i="12" s="1"/>
  <c r="N176" i="12"/>
  <c r="L176" i="12"/>
  <c r="G176" i="12"/>
  <c r="F176" i="12"/>
  <c r="I176" i="12"/>
  <c r="H176" i="12"/>
  <c r="J176" i="12"/>
  <c r="K176" i="12"/>
  <c r="N320" i="12"/>
  <c r="L320" i="12"/>
  <c r="K320" i="12"/>
  <c r="F320" i="12"/>
  <c r="G320" i="12"/>
  <c r="H320" i="12"/>
  <c r="J320" i="12"/>
  <c r="I320" i="12"/>
  <c r="B391" i="12"/>
  <c r="A391" i="12" s="1"/>
  <c r="B321" i="12"/>
  <c r="A321" i="12" s="1"/>
  <c r="B248" i="12"/>
  <c r="A248" i="12" s="1"/>
  <c r="B177" i="12"/>
  <c r="A177" i="12" s="1"/>
  <c r="B103" i="12"/>
  <c r="A103" i="12" s="1"/>
  <c r="O247" i="12" l="1"/>
  <c r="O30" i="12"/>
  <c r="O102" i="12"/>
  <c r="N248" i="12"/>
  <c r="L248" i="12"/>
  <c r="H248" i="12"/>
  <c r="I248" i="12"/>
  <c r="K248" i="12"/>
  <c r="G248" i="12"/>
  <c r="J248" i="12"/>
  <c r="F248" i="12"/>
  <c r="N177" i="12"/>
  <c r="L177" i="12"/>
  <c r="F177" i="12"/>
  <c r="G177" i="12"/>
  <c r="J177" i="12"/>
  <c r="I177" i="12"/>
  <c r="K177" i="12"/>
  <c r="H177" i="12"/>
  <c r="N321" i="12"/>
  <c r="L321" i="12"/>
  <c r="F321" i="12"/>
  <c r="J321" i="12"/>
  <c r="I321" i="12"/>
  <c r="G321" i="12"/>
  <c r="H321" i="12"/>
  <c r="K321" i="12"/>
  <c r="M176" i="12"/>
  <c r="P176" i="12" s="1"/>
  <c r="M30" i="12"/>
  <c r="P30" i="12" s="1"/>
  <c r="M102" i="12"/>
  <c r="P102" i="12" s="1"/>
  <c r="M320" i="12"/>
  <c r="P320" i="12" s="1"/>
  <c r="N31" i="12"/>
  <c r="L31" i="12"/>
  <c r="G31" i="12"/>
  <c r="J31" i="12"/>
  <c r="H31" i="12"/>
  <c r="F31" i="12"/>
  <c r="I31" i="12"/>
  <c r="K31" i="12"/>
  <c r="M247" i="12"/>
  <c r="P247" i="12" s="1"/>
  <c r="N103" i="12"/>
  <c r="L103" i="12"/>
  <c r="I103" i="12"/>
  <c r="G103" i="12"/>
  <c r="J103" i="12"/>
  <c r="F103" i="12"/>
  <c r="H103" i="12"/>
  <c r="K103" i="12"/>
  <c r="N391" i="12"/>
  <c r="L391" i="12"/>
  <c r="K391" i="12"/>
  <c r="J391" i="12"/>
  <c r="I391" i="12"/>
  <c r="F391" i="12"/>
  <c r="H391" i="12"/>
  <c r="G391" i="12"/>
  <c r="O320" i="12"/>
  <c r="O176" i="12"/>
  <c r="B32" i="12"/>
  <c r="A32" i="12" s="1"/>
  <c r="O390" i="12"/>
  <c r="M390" i="12"/>
  <c r="P390" i="12" s="1"/>
  <c r="B392" i="12"/>
  <c r="A392" i="12" s="1"/>
  <c r="B322" i="12"/>
  <c r="A322" i="12" s="1"/>
  <c r="B249" i="12"/>
  <c r="A249" i="12" s="1"/>
  <c r="B178" i="12"/>
  <c r="A178" i="12" s="1"/>
  <c r="B104" i="12"/>
  <c r="A104" i="12" s="1"/>
  <c r="O103" i="12" l="1"/>
  <c r="O31" i="12"/>
  <c r="O321" i="12"/>
  <c r="O177" i="12"/>
  <c r="O248" i="12"/>
  <c r="O391" i="12"/>
  <c r="M31" i="12"/>
  <c r="P31" i="12" s="1"/>
  <c r="M248" i="12"/>
  <c r="P248" i="12" s="1"/>
  <c r="M391" i="12"/>
  <c r="P391" i="12" s="1"/>
  <c r="M321" i="12"/>
  <c r="P321" i="12" s="1"/>
  <c r="M177" i="12"/>
  <c r="P177" i="12" s="1"/>
  <c r="N322" i="12"/>
  <c r="L322" i="12"/>
  <c r="G322" i="12"/>
  <c r="F322" i="12"/>
  <c r="J322" i="12"/>
  <c r="H322" i="12"/>
  <c r="K322" i="12"/>
  <c r="I322" i="12"/>
  <c r="N249" i="12"/>
  <c r="L249" i="12"/>
  <c r="K249" i="12"/>
  <c r="F249" i="12"/>
  <c r="H249" i="12"/>
  <c r="I249" i="12"/>
  <c r="J249" i="12"/>
  <c r="G249" i="12"/>
  <c r="B33" i="12"/>
  <c r="A33" i="12" s="1"/>
  <c r="N178" i="12"/>
  <c r="L178" i="12"/>
  <c r="G178" i="12"/>
  <c r="J178" i="12"/>
  <c r="H178" i="12"/>
  <c r="I178" i="12"/>
  <c r="K178" i="12"/>
  <c r="F178" i="12"/>
  <c r="N104" i="12"/>
  <c r="L104" i="12"/>
  <c r="I104" i="12"/>
  <c r="K104" i="12"/>
  <c r="H104" i="12"/>
  <c r="J104" i="12"/>
  <c r="G104" i="12"/>
  <c r="F104" i="12"/>
  <c r="N392" i="12"/>
  <c r="L392" i="12"/>
  <c r="K392" i="12"/>
  <c r="I392" i="12"/>
  <c r="F392" i="12"/>
  <c r="J392" i="12"/>
  <c r="G392" i="12"/>
  <c r="H392" i="12"/>
  <c r="N32" i="12"/>
  <c r="L32" i="12"/>
  <c r="I32" i="12"/>
  <c r="K32" i="12"/>
  <c r="J32" i="12"/>
  <c r="G32" i="12"/>
  <c r="F32" i="12"/>
  <c r="H32" i="12"/>
  <c r="M103" i="12"/>
  <c r="P103" i="12" s="1"/>
  <c r="B393" i="12"/>
  <c r="A393" i="12" s="1"/>
  <c r="B323" i="12"/>
  <c r="A323" i="12" s="1"/>
  <c r="B250" i="12"/>
  <c r="A250" i="12" s="1"/>
  <c r="B179" i="12"/>
  <c r="A179" i="12" s="1"/>
  <c r="B105" i="12"/>
  <c r="A105" i="12" s="1"/>
  <c r="O104" i="12" l="1"/>
  <c r="O178" i="12"/>
  <c r="O32" i="12"/>
  <c r="O392" i="12"/>
  <c r="O249" i="12"/>
  <c r="O322" i="12"/>
  <c r="M104" i="12"/>
  <c r="P104" i="12" s="1"/>
  <c r="M249" i="12"/>
  <c r="P249" i="12" s="1"/>
  <c r="M322" i="12"/>
  <c r="P322" i="12" s="1"/>
  <c r="N105" i="12"/>
  <c r="L105" i="12"/>
  <c r="K105" i="12"/>
  <c r="I105" i="12"/>
  <c r="G105" i="12"/>
  <c r="J105" i="12"/>
  <c r="F105" i="12"/>
  <c r="H105" i="12"/>
  <c r="L393" i="12"/>
  <c r="N393" i="12"/>
  <c r="H393" i="12"/>
  <c r="F393" i="12"/>
  <c r="J393" i="12"/>
  <c r="I393" i="12"/>
  <c r="K393" i="12"/>
  <c r="G393" i="12"/>
  <c r="N250" i="12"/>
  <c r="L250" i="12"/>
  <c r="K250" i="12"/>
  <c r="H250" i="12"/>
  <c r="F250" i="12"/>
  <c r="I250" i="12"/>
  <c r="G250" i="12"/>
  <c r="J250" i="12"/>
  <c r="N179" i="12"/>
  <c r="L179" i="12"/>
  <c r="H179" i="12"/>
  <c r="G179" i="12"/>
  <c r="I179" i="12"/>
  <c r="J179" i="12"/>
  <c r="F179" i="12"/>
  <c r="K179" i="12"/>
  <c r="N323" i="12"/>
  <c r="L323" i="12"/>
  <c r="F323" i="12"/>
  <c r="G323" i="12"/>
  <c r="I323" i="12"/>
  <c r="K323" i="12"/>
  <c r="J323" i="12"/>
  <c r="H323" i="12"/>
  <c r="M392" i="12"/>
  <c r="P392" i="12" s="1"/>
  <c r="M178" i="12"/>
  <c r="P178" i="12" s="1"/>
  <c r="N33" i="12"/>
  <c r="L33" i="12"/>
  <c r="I33" i="12"/>
  <c r="K33" i="12"/>
  <c r="H33" i="12"/>
  <c r="G33" i="12"/>
  <c r="J33" i="12"/>
  <c r="F33" i="12"/>
  <c r="M32" i="12"/>
  <c r="P32" i="12" s="1"/>
  <c r="B34" i="12"/>
  <c r="A34" i="12" s="1"/>
  <c r="B394" i="12"/>
  <c r="A394" i="12" s="1"/>
  <c r="B324" i="12"/>
  <c r="A324" i="12" s="1"/>
  <c r="B251" i="12"/>
  <c r="A251" i="12" s="1"/>
  <c r="B180" i="12"/>
  <c r="A180" i="12" s="1"/>
  <c r="B106" i="12"/>
  <c r="A106" i="12" s="1"/>
  <c r="O33" i="12" l="1"/>
  <c r="M250" i="12"/>
  <c r="P250" i="12" s="1"/>
  <c r="O393" i="12"/>
  <c r="N180" i="12"/>
  <c r="L180" i="12"/>
  <c r="G180" i="12"/>
  <c r="F180" i="12"/>
  <c r="J180" i="12"/>
  <c r="K180" i="12"/>
  <c r="I180" i="12"/>
  <c r="H180" i="12"/>
  <c r="N324" i="12"/>
  <c r="L324" i="12"/>
  <c r="G324" i="12"/>
  <c r="F324" i="12"/>
  <c r="K324" i="12"/>
  <c r="J324" i="12"/>
  <c r="H324" i="12"/>
  <c r="I324" i="12"/>
  <c r="N34" i="12"/>
  <c r="L34" i="12"/>
  <c r="K34" i="12"/>
  <c r="I34" i="12"/>
  <c r="G34" i="12"/>
  <c r="F34" i="12"/>
  <c r="J34" i="12"/>
  <c r="H34" i="12"/>
  <c r="N251" i="12"/>
  <c r="L251" i="12"/>
  <c r="G251" i="12"/>
  <c r="F251" i="12"/>
  <c r="I251" i="12"/>
  <c r="K251" i="12"/>
  <c r="J251" i="12"/>
  <c r="H251" i="12"/>
  <c r="M33" i="12"/>
  <c r="P33" i="12" s="1"/>
  <c r="O323" i="12"/>
  <c r="O179" i="12"/>
  <c r="O250" i="12"/>
  <c r="O105" i="12"/>
  <c r="B35" i="12"/>
  <c r="A35" i="12" s="1"/>
  <c r="M393" i="12"/>
  <c r="P393" i="12" s="1"/>
  <c r="N106" i="12"/>
  <c r="L106" i="12"/>
  <c r="I106" i="12"/>
  <c r="K106" i="12"/>
  <c r="G106" i="12"/>
  <c r="F106" i="12"/>
  <c r="J106" i="12"/>
  <c r="H106" i="12"/>
  <c r="L394" i="12"/>
  <c r="N394" i="12"/>
  <c r="G394" i="12"/>
  <c r="I394" i="12"/>
  <c r="K394" i="12"/>
  <c r="J394" i="12"/>
  <c r="F394" i="12"/>
  <c r="H394" i="12"/>
  <c r="M323" i="12"/>
  <c r="P323" i="12" s="1"/>
  <c r="M179" i="12"/>
  <c r="P179" i="12" s="1"/>
  <c r="M105" i="12"/>
  <c r="P105" i="12" s="1"/>
  <c r="B395" i="12"/>
  <c r="A395" i="12" s="1"/>
  <c r="B325" i="12"/>
  <c r="A325" i="12" s="1"/>
  <c r="B252" i="12"/>
  <c r="A252" i="12" s="1"/>
  <c r="B181" i="12"/>
  <c r="A181" i="12" s="1"/>
  <c r="B107" i="12"/>
  <c r="A107" i="12" s="1"/>
  <c r="O106" i="12" l="1"/>
  <c r="O251" i="12"/>
  <c r="O34" i="12"/>
  <c r="O324" i="12"/>
  <c r="O180" i="12"/>
  <c r="M251" i="12"/>
  <c r="P251" i="12" s="1"/>
  <c r="M324" i="12"/>
  <c r="P324" i="12" s="1"/>
  <c r="M180" i="12"/>
  <c r="P180" i="12" s="1"/>
  <c r="M394" i="12"/>
  <c r="P394" i="12" s="1"/>
  <c r="N35" i="12"/>
  <c r="L35" i="12"/>
  <c r="K35" i="12"/>
  <c r="I35" i="12"/>
  <c r="J35" i="12"/>
  <c r="H35" i="12"/>
  <c r="F35" i="12"/>
  <c r="G35" i="12"/>
  <c r="N252" i="12"/>
  <c r="L252" i="12"/>
  <c r="I252" i="12"/>
  <c r="K252" i="12"/>
  <c r="H252" i="12"/>
  <c r="J252" i="12"/>
  <c r="G252" i="12"/>
  <c r="F252" i="12"/>
  <c r="B36" i="12"/>
  <c r="A36" i="12" s="1"/>
  <c r="M34" i="12"/>
  <c r="P34" i="12" s="1"/>
  <c r="N181" i="12"/>
  <c r="L181" i="12"/>
  <c r="K181" i="12"/>
  <c r="F181" i="12"/>
  <c r="G181" i="12"/>
  <c r="J181" i="12"/>
  <c r="H181" i="12"/>
  <c r="I181" i="12"/>
  <c r="N325" i="12"/>
  <c r="L325" i="12"/>
  <c r="F325" i="12"/>
  <c r="H325" i="12"/>
  <c r="G325" i="12"/>
  <c r="I325" i="12"/>
  <c r="K325" i="12"/>
  <c r="J325" i="12"/>
  <c r="M106" i="12"/>
  <c r="P106" i="12" s="1"/>
  <c r="N107" i="12"/>
  <c r="L107" i="12"/>
  <c r="I107" i="12"/>
  <c r="K107" i="12"/>
  <c r="G107" i="12"/>
  <c r="J107" i="12"/>
  <c r="H107" i="12"/>
  <c r="F107" i="12"/>
  <c r="N395" i="12"/>
  <c r="L395" i="12"/>
  <c r="F395" i="12"/>
  <c r="I395" i="12"/>
  <c r="H395" i="12"/>
  <c r="G395" i="12"/>
  <c r="J395" i="12"/>
  <c r="K395" i="12"/>
  <c r="O394" i="12"/>
  <c r="B396" i="12"/>
  <c r="A396" i="12" s="1"/>
  <c r="B326" i="12"/>
  <c r="A326" i="12" s="1"/>
  <c r="B253" i="12"/>
  <c r="A253" i="12" s="1"/>
  <c r="B182" i="12"/>
  <c r="A182" i="12" s="1"/>
  <c r="B108" i="12"/>
  <c r="A108" i="12" s="1"/>
  <c r="O35" i="12" l="1"/>
  <c r="O395" i="12"/>
  <c r="O107" i="12"/>
  <c r="O252" i="12"/>
  <c r="M35" i="12"/>
  <c r="P35" i="12" s="1"/>
  <c r="N108" i="12"/>
  <c r="L108" i="12"/>
  <c r="I108" i="12"/>
  <c r="K108" i="12"/>
  <c r="F108" i="12"/>
  <c r="J108" i="12"/>
  <c r="H108" i="12"/>
  <c r="G108" i="12"/>
  <c r="N396" i="12"/>
  <c r="L396" i="12"/>
  <c r="F396" i="12"/>
  <c r="H396" i="12"/>
  <c r="K396" i="12"/>
  <c r="I396" i="12"/>
  <c r="J396" i="12"/>
  <c r="G396" i="12"/>
  <c r="M107" i="12"/>
  <c r="P107" i="12" s="1"/>
  <c r="M252" i="12"/>
  <c r="P252" i="12" s="1"/>
  <c r="N253" i="12"/>
  <c r="L253" i="12"/>
  <c r="H253" i="12"/>
  <c r="G253" i="12"/>
  <c r="F253" i="12"/>
  <c r="J253" i="12"/>
  <c r="K253" i="12"/>
  <c r="I253" i="12"/>
  <c r="M325" i="12"/>
  <c r="P325" i="12" s="1"/>
  <c r="N36" i="12"/>
  <c r="L36" i="12"/>
  <c r="K36" i="12"/>
  <c r="I36" i="12"/>
  <c r="G36" i="12"/>
  <c r="F36" i="12"/>
  <c r="H36" i="12"/>
  <c r="J36" i="12"/>
  <c r="M395" i="12"/>
  <c r="P395" i="12" s="1"/>
  <c r="M181" i="12"/>
  <c r="P181" i="12" s="1"/>
  <c r="N182" i="12"/>
  <c r="L182" i="12"/>
  <c r="J182" i="12"/>
  <c r="G182" i="12"/>
  <c r="I182" i="12"/>
  <c r="K182" i="12"/>
  <c r="H182" i="12"/>
  <c r="F182" i="12"/>
  <c r="N326" i="12"/>
  <c r="L326" i="12"/>
  <c r="G326" i="12"/>
  <c r="K326" i="12"/>
  <c r="J326" i="12"/>
  <c r="H326" i="12"/>
  <c r="F326" i="12"/>
  <c r="I326" i="12"/>
  <c r="O325" i="12"/>
  <c r="O181" i="12"/>
  <c r="B37" i="12"/>
  <c r="A37" i="12" s="1"/>
  <c r="B397" i="12"/>
  <c r="A397" i="12" s="1"/>
  <c r="B327" i="12"/>
  <c r="A327" i="12" s="1"/>
  <c r="B254" i="12"/>
  <c r="A254" i="12" s="1"/>
  <c r="B183" i="12"/>
  <c r="A183" i="12" s="1"/>
  <c r="B109" i="12"/>
  <c r="A109" i="12" s="1"/>
  <c r="O396" i="12" l="1"/>
  <c r="O108" i="12"/>
  <c r="O326" i="12"/>
  <c r="O182" i="12"/>
  <c r="M253" i="12"/>
  <c r="P253" i="12" s="1"/>
  <c r="L109" i="12"/>
  <c r="N109" i="12"/>
  <c r="I109" i="12"/>
  <c r="F109" i="12"/>
  <c r="G109" i="12"/>
  <c r="H109" i="12"/>
  <c r="J109" i="12"/>
  <c r="K109" i="12"/>
  <c r="B38" i="12"/>
  <c r="A38" i="12" s="1"/>
  <c r="M326" i="12"/>
  <c r="P326" i="12" s="1"/>
  <c r="O253" i="12"/>
  <c r="M396" i="12"/>
  <c r="P396" i="12" s="1"/>
  <c r="N397" i="12"/>
  <c r="L397" i="12"/>
  <c r="J397" i="12"/>
  <c r="H397" i="12"/>
  <c r="I397" i="12"/>
  <c r="K397" i="12"/>
  <c r="G397" i="12"/>
  <c r="F397" i="12"/>
  <c r="N254" i="12"/>
  <c r="L254" i="12"/>
  <c r="K254" i="12"/>
  <c r="H254" i="12"/>
  <c r="F254" i="12"/>
  <c r="J254" i="12"/>
  <c r="I254" i="12"/>
  <c r="G254" i="12"/>
  <c r="N183" i="12"/>
  <c r="L183" i="12"/>
  <c r="I183" i="12"/>
  <c r="K183" i="12"/>
  <c r="G183" i="12"/>
  <c r="H183" i="12"/>
  <c r="J183" i="12"/>
  <c r="F183" i="12"/>
  <c r="N327" i="12"/>
  <c r="L327" i="12"/>
  <c r="J327" i="12"/>
  <c r="I327" i="12"/>
  <c r="K327" i="12"/>
  <c r="G327" i="12"/>
  <c r="H327" i="12"/>
  <c r="F327" i="12"/>
  <c r="L37" i="12"/>
  <c r="N37" i="12"/>
  <c r="F37" i="12"/>
  <c r="G37" i="12"/>
  <c r="H37" i="12"/>
  <c r="J37" i="12"/>
  <c r="I37" i="12"/>
  <c r="K37" i="12"/>
  <c r="M182" i="12"/>
  <c r="P182" i="12" s="1"/>
  <c r="M36" i="12"/>
  <c r="P36" i="12" s="1"/>
  <c r="O36" i="12"/>
  <c r="M108" i="12"/>
  <c r="P108" i="12" s="1"/>
  <c r="B398" i="12"/>
  <c r="A398" i="12" s="1"/>
  <c r="B328" i="12"/>
  <c r="A328" i="12" s="1"/>
  <c r="B255" i="12"/>
  <c r="A255" i="12" s="1"/>
  <c r="B184" i="12"/>
  <c r="A184" i="12" s="1"/>
  <c r="B110" i="12"/>
  <c r="A110" i="12" s="1"/>
  <c r="O254" i="12" l="1"/>
  <c r="O397" i="12"/>
  <c r="O327" i="12"/>
  <c r="O183" i="12"/>
  <c r="O109" i="12"/>
  <c r="M37" i="12"/>
  <c r="P37" i="12" s="1"/>
  <c r="M109" i="12"/>
  <c r="P109" i="12" s="1"/>
  <c r="N184" i="12"/>
  <c r="L184" i="12"/>
  <c r="J184" i="12"/>
  <c r="K184" i="12"/>
  <c r="H184" i="12"/>
  <c r="F184" i="12"/>
  <c r="I184" i="12"/>
  <c r="G184" i="12"/>
  <c r="N328" i="12"/>
  <c r="L328" i="12"/>
  <c r="I328" i="12"/>
  <c r="G328" i="12"/>
  <c r="J328" i="12"/>
  <c r="F328" i="12"/>
  <c r="K328" i="12"/>
  <c r="H328" i="12"/>
  <c r="N110" i="12"/>
  <c r="L110" i="12"/>
  <c r="I110" i="12"/>
  <c r="K110" i="12"/>
  <c r="F110" i="12"/>
  <c r="H110" i="12"/>
  <c r="J110" i="12"/>
  <c r="G110" i="12"/>
  <c r="N398" i="12"/>
  <c r="L398" i="12"/>
  <c r="I398" i="12"/>
  <c r="G398" i="12"/>
  <c r="K398" i="12"/>
  <c r="J398" i="12"/>
  <c r="H398" i="12"/>
  <c r="F398" i="12"/>
  <c r="N255" i="12"/>
  <c r="L255" i="12"/>
  <c r="I255" i="12"/>
  <c r="H255" i="12"/>
  <c r="J255" i="12"/>
  <c r="K255" i="12"/>
  <c r="F255" i="12"/>
  <c r="G255" i="12"/>
  <c r="O37" i="12"/>
  <c r="M254" i="12"/>
  <c r="P254" i="12" s="1"/>
  <c r="N38" i="12"/>
  <c r="L38" i="12"/>
  <c r="I38" i="12"/>
  <c r="G38" i="12"/>
  <c r="F38" i="12"/>
  <c r="K38" i="12"/>
  <c r="H38" i="12"/>
  <c r="J38" i="12"/>
  <c r="M327" i="12"/>
  <c r="P327" i="12" s="1"/>
  <c r="M183" i="12"/>
  <c r="P183" i="12" s="1"/>
  <c r="M397" i="12"/>
  <c r="P397" i="12" s="1"/>
  <c r="B39" i="12"/>
  <c r="A39" i="12" s="1"/>
  <c r="B399" i="12"/>
  <c r="A399" i="12" s="1"/>
  <c r="B329" i="12"/>
  <c r="A329" i="12" s="1"/>
  <c r="B256" i="12"/>
  <c r="A256" i="12" s="1"/>
  <c r="B185" i="12"/>
  <c r="A185" i="12" s="1"/>
  <c r="B111" i="12"/>
  <c r="A111" i="12" s="1"/>
  <c r="O255" i="12" l="1"/>
  <c r="O398" i="12"/>
  <c r="O110" i="12"/>
  <c r="O328" i="12"/>
  <c r="O184" i="12"/>
  <c r="O38" i="12"/>
  <c r="M255" i="12"/>
  <c r="P255" i="12" s="1"/>
  <c r="B40" i="12"/>
  <c r="A40" i="12" s="1"/>
  <c r="M328" i="12"/>
  <c r="P328" i="12" s="1"/>
  <c r="M184" i="12"/>
  <c r="P184" i="12" s="1"/>
  <c r="N185" i="12"/>
  <c r="L185" i="12"/>
  <c r="J185" i="12"/>
  <c r="K185" i="12"/>
  <c r="G185" i="12"/>
  <c r="H185" i="12"/>
  <c r="I185" i="12"/>
  <c r="F185" i="12"/>
  <c r="N329" i="12"/>
  <c r="L329" i="12"/>
  <c r="G329" i="12"/>
  <c r="J329" i="12"/>
  <c r="F329" i="12"/>
  <c r="H329" i="12"/>
  <c r="K329" i="12"/>
  <c r="I329" i="12"/>
  <c r="N39" i="12"/>
  <c r="L39" i="12"/>
  <c r="I39" i="12"/>
  <c r="K39" i="12"/>
  <c r="G39" i="12"/>
  <c r="J39" i="12"/>
  <c r="H39" i="12"/>
  <c r="F39" i="12"/>
  <c r="N111" i="12"/>
  <c r="L111" i="12"/>
  <c r="I111" i="12"/>
  <c r="K111" i="12"/>
  <c r="J111" i="12"/>
  <c r="H111" i="12"/>
  <c r="F111" i="12"/>
  <c r="G111" i="12"/>
  <c r="N399" i="12"/>
  <c r="L399" i="12"/>
  <c r="K399" i="12"/>
  <c r="F399" i="12"/>
  <c r="H399" i="12"/>
  <c r="G399" i="12"/>
  <c r="J399" i="12"/>
  <c r="I399" i="12"/>
  <c r="M110" i="12"/>
  <c r="P110" i="12" s="1"/>
  <c r="N256" i="12"/>
  <c r="L256" i="12"/>
  <c r="K256" i="12"/>
  <c r="F256" i="12"/>
  <c r="G256" i="12"/>
  <c r="J256" i="12"/>
  <c r="H256" i="12"/>
  <c r="I256" i="12"/>
  <c r="M398" i="12"/>
  <c r="P398" i="12" s="1"/>
  <c r="M38" i="12"/>
  <c r="P38" i="12" s="1"/>
  <c r="B400" i="12"/>
  <c r="A400" i="12" s="1"/>
  <c r="B330" i="12"/>
  <c r="A330" i="12" s="1"/>
  <c r="B257" i="12"/>
  <c r="A257" i="12" s="1"/>
  <c r="B186" i="12"/>
  <c r="A186" i="12" s="1"/>
  <c r="B112" i="12"/>
  <c r="A112" i="12" s="1"/>
  <c r="O399" i="12" l="1"/>
  <c r="O111" i="12"/>
  <c r="O39" i="12"/>
  <c r="O329" i="12"/>
  <c r="O185" i="12"/>
  <c r="M39" i="12"/>
  <c r="P39" i="12" s="1"/>
  <c r="O256" i="12"/>
  <c r="N186" i="12"/>
  <c r="L186" i="12"/>
  <c r="K186" i="12"/>
  <c r="G186" i="12"/>
  <c r="H186" i="12"/>
  <c r="I186" i="12"/>
  <c r="J186" i="12"/>
  <c r="F186" i="12"/>
  <c r="N330" i="12"/>
  <c r="L330" i="12"/>
  <c r="F330" i="12"/>
  <c r="H330" i="12"/>
  <c r="J330" i="12"/>
  <c r="I330" i="12"/>
  <c r="K330" i="12"/>
  <c r="G330" i="12"/>
  <c r="M111" i="12"/>
  <c r="P111" i="12" s="1"/>
  <c r="N40" i="12"/>
  <c r="L40" i="12"/>
  <c r="I40" i="12"/>
  <c r="K40" i="12"/>
  <c r="H40" i="12"/>
  <c r="F40" i="12"/>
  <c r="G40" i="12"/>
  <c r="J40" i="12"/>
  <c r="N257" i="12"/>
  <c r="L257" i="12"/>
  <c r="F257" i="12"/>
  <c r="J257" i="12"/>
  <c r="G257" i="12"/>
  <c r="K257" i="12"/>
  <c r="I257" i="12"/>
  <c r="H257" i="12"/>
  <c r="M399" i="12"/>
  <c r="P399" i="12" s="1"/>
  <c r="N112" i="12"/>
  <c r="L112" i="12"/>
  <c r="I112" i="12"/>
  <c r="K112" i="12"/>
  <c r="G112" i="12"/>
  <c r="H112" i="12"/>
  <c r="J112" i="12"/>
  <c r="F112" i="12"/>
  <c r="N400" i="12"/>
  <c r="L400" i="12"/>
  <c r="H400" i="12"/>
  <c r="F400" i="12"/>
  <c r="J400" i="12"/>
  <c r="I400" i="12"/>
  <c r="K400" i="12"/>
  <c r="G400" i="12"/>
  <c r="M256" i="12"/>
  <c r="P256" i="12" s="1"/>
  <c r="M329" i="12"/>
  <c r="P329" i="12" s="1"/>
  <c r="B41" i="12"/>
  <c r="A41" i="12" s="1"/>
  <c r="M185" i="12"/>
  <c r="P185" i="12" s="1"/>
  <c r="B401" i="12"/>
  <c r="A401" i="12" s="1"/>
  <c r="B331" i="12"/>
  <c r="A331" i="12" s="1"/>
  <c r="B258" i="12"/>
  <c r="A258" i="12" s="1"/>
  <c r="B187" i="12"/>
  <c r="A187" i="12" s="1"/>
  <c r="B113" i="12"/>
  <c r="A113" i="12" s="1"/>
  <c r="O400" i="12" l="1"/>
  <c r="O112" i="12"/>
  <c r="O257" i="12"/>
  <c r="O40" i="12"/>
  <c r="O330" i="12"/>
  <c r="O186" i="12"/>
  <c r="M257" i="12"/>
  <c r="P257" i="12" s="1"/>
  <c r="M186" i="12"/>
  <c r="P186" i="12" s="1"/>
  <c r="N187" i="12"/>
  <c r="L187" i="12"/>
  <c r="F187" i="12"/>
  <c r="J187" i="12"/>
  <c r="K187" i="12"/>
  <c r="H187" i="12"/>
  <c r="I187" i="12"/>
  <c r="G187" i="12"/>
  <c r="N331" i="12"/>
  <c r="L331" i="12"/>
  <c r="F331" i="12"/>
  <c r="I331" i="12"/>
  <c r="G331" i="12"/>
  <c r="K331" i="12"/>
  <c r="H331" i="12"/>
  <c r="J331" i="12"/>
  <c r="M40" i="12"/>
  <c r="P40" i="12" s="1"/>
  <c r="M330" i="12"/>
  <c r="P330" i="12" s="1"/>
  <c r="N113" i="12"/>
  <c r="L113" i="12"/>
  <c r="K113" i="12"/>
  <c r="I113" i="12"/>
  <c r="G113" i="12"/>
  <c r="F113" i="12"/>
  <c r="J113" i="12"/>
  <c r="H113" i="12"/>
  <c r="N401" i="12"/>
  <c r="L401" i="12"/>
  <c r="K401" i="12"/>
  <c r="F401" i="12"/>
  <c r="I401" i="12"/>
  <c r="G401" i="12"/>
  <c r="J401" i="12"/>
  <c r="H401" i="12"/>
  <c r="B42" i="12"/>
  <c r="A42" i="12" s="1"/>
  <c r="N258" i="12"/>
  <c r="L258" i="12"/>
  <c r="J258" i="12"/>
  <c r="K258" i="12"/>
  <c r="H258" i="12"/>
  <c r="F258" i="12"/>
  <c r="G258" i="12"/>
  <c r="I258" i="12"/>
  <c r="N41" i="12"/>
  <c r="L41" i="12"/>
  <c r="I41" i="12"/>
  <c r="K41" i="12"/>
  <c r="J41" i="12"/>
  <c r="H41" i="12"/>
  <c r="F41" i="12"/>
  <c r="G41" i="12"/>
  <c r="M400" i="12"/>
  <c r="P400" i="12" s="1"/>
  <c r="M112" i="12"/>
  <c r="P112" i="12" s="1"/>
  <c r="B402" i="12"/>
  <c r="A402" i="12" s="1"/>
  <c r="B332" i="12"/>
  <c r="A332" i="12" s="1"/>
  <c r="B259" i="12"/>
  <c r="A259" i="12" s="1"/>
  <c r="B188" i="12"/>
  <c r="A188" i="12" s="1"/>
  <c r="B114" i="12"/>
  <c r="A114" i="12" s="1"/>
  <c r="O41" i="12" l="1"/>
  <c r="O258" i="12"/>
  <c r="O331" i="12"/>
  <c r="O187" i="12"/>
  <c r="O401" i="12"/>
  <c r="O113" i="12"/>
  <c r="M113" i="12"/>
  <c r="P113" i="12" s="1"/>
  <c r="M41" i="12"/>
  <c r="P41" i="12" s="1"/>
  <c r="N188" i="12"/>
  <c r="L188" i="12"/>
  <c r="G188" i="12"/>
  <c r="J188" i="12"/>
  <c r="H188" i="12"/>
  <c r="K188" i="12"/>
  <c r="I188" i="12"/>
  <c r="F188" i="12"/>
  <c r="N332" i="12"/>
  <c r="L332" i="12"/>
  <c r="I332" i="12"/>
  <c r="F332" i="12"/>
  <c r="G332" i="12"/>
  <c r="J332" i="12"/>
  <c r="H332" i="12"/>
  <c r="K332" i="12"/>
  <c r="M258" i="12"/>
  <c r="P258" i="12" s="1"/>
  <c r="M401" i="12"/>
  <c r="P401" i="12" s="1"/>
  <c r="N114" i="12"/>
  <c r="L114" i="12"/>
  <c r="I114" i="12"/>
  <c r="K114" i="12"/>
  <c r="G114" i="12"/>
  <c r="J114" i="12"/>
  <c r="F114" i="12"/>
  <c r="H114" i="12"/>
  <c r="N402" i="12"/>
  <c r="L402" i="12"/>
  <c r="J402" i="12"/>
  <c r="K402" i="12"/>
  <c r="G402" i="12"/>
  <c r="F402" i="12"/>
  <c r="I402" i="12"/>
  <c r="H402" i="12"/>
  <c r="N42" i="12"/>
  <c r="L42" i="12"/>
  <c r="K42" i="12"/>
  <c r="I42" i="12"/>
  <c r="H42" i="12"/>
  <c r="J42" i="12"/>
  <c r="F42" i="12"/>
  <c r="G42" i="12"/>
  <c r="N259" i="12"/>
  <c r="L259" i="12"/>
  <c r="I259" i="12"/>
  <c r="H259" i="12"/>
  <c r="J259" i="12"/>
  <c r="G259" i="12"/>
  <c r="K259" i="12"/>
  <c r="F259" i="12"/>
  <c r="B43" i="12"/>
  <c r="A43" i="12" s="1"/>
  <c r="M331" i="12"/>
  <c r="P331" i="12" s="1"/>
  <c r="M187" i="12"/>
  <c r="P187" i="12" s="1"/>
  <c r="B403" i="12"/>
  <c r="A403" i="12" s="1"/>
  <c r="B333" i="12"/>
  <c r="A333" i="12" s="1"/>
  <c r="B260" i="12"/>
  <c r="A260" i="12" s="1"/>
  <c r="B189" i="12"/>
  <c r="A189" i="12" s="1"/>
  <c r="B115" i="12"/>
  <c r="A115" i="12" s="1"/>
  <c r="O259" i="12" l="1"/>
  <c r="O42" i="12"/>
  <c r="O402" i="12"/>
  <c r="O114" i="12"/>
  <c r="O332" i="12"/>
  <c r="O188" i="12"/>
  <c r="M188" i="12"/>
  <c r="P188" i="12" s="1"/>
  <c r="N189" i="12"/>
  <c r="L189" i="12"/>
  <c r="I189" i="12"/>
  <c r="G189" i="12"/>
  <c r="F189" i="12"/>
  <c r="J189" i="12"/>
  <c r="H189" i="12"/>
  <c r="K189" i="12"/>
  <c r="N333" i="12"/>
  <c r="L333" i="12"/>
  <c r="J333" i="12"/>
  <c r="F333" i="12"/>
  <c r="I333" i="12"/>
  <c r="K333" i="12"/>
  <c r="G333" i="12"/>
  <c r="H333" i="12"/>
  <c r="N115" i="12"/>
  <c r="L115" i="12"/>
  <c r="I115" i="12"/>
  <c r="H115" i="12"/>
  <c r="F115" i="12"/>
  <c r="J115" i="12"/>
  <c r="G115" i="12"/>
  <c r="K115" i="12"/>
  <c r="N403" i="12"/>
  <c r="L403" i="12"/>
  <c r="F403" i="12"/>
  <c r="G403" i="12"/>
  <c r="K403" i="12"/>
  <c r="I403" i="12"/>
  <c r="J403" i="12"/>
  <c r="H403" i="12"/>
  <c r="N43" i="12"/>
  <c r="L43" i="12"/>
  <c r="H43" i="12"/>
  <c r="F43" i="12"/>
  <c r="J43" i="12"/>
  <c r="G43" i="12"/>
  <c r="I43" i="12"/>
  <c r="K43" i="12"/>
  <c r="N260" i="12"/>
  <c r="L260" i="12"/>
  <c r="F260" i="12"/>
  <c r="H260" i="12"/>
  <c r="G260" i="12"/>
  <c r="J260" i="12"/>
  <c r="I260" i="12"/>
  <c r="K260" i="12"/>
  <c r="B44" i="12"/>
  <c r="A44" i="12" s="1"/>
  <c r="M259" i="12"/>
  <c r="P259" i="12" s="1"/>
  <c r="M42" i="12"/>
  <c r="P42" i="12" s="1"/>
  <c r="M114" i="12"/>
  <c r="P114" i="12" s="1"/>
  <c r="M402" i="12"/>
  <c r="P402" i="12" s="1"/>
  <c r="M332" i="12"/>
  <c r="P332" i="12" s="1"/>
  <c r="B404" i="12"/>
  <c r="A404" i="12" s="1"/>
  <c r="B334" i="12"/>
  <c r="A334" i="12" s="1"/>
  <c r="B261" i="12"/>
  <c r="A261" i="12" s="1"/>
  <c r="B190" i="12"/>
  <c r="A190" i="12" s="1"/>
  <c r="B116" i="12"/>
  <c r="A116" i="12" s="1"/>
  <c r="O260" i="12" l="1"/>
  <c r="O43" i="12"/>
  <c r="O403" i="12"/>
  <c r="O115" i="12"/>
  <c r="O333" i="12"/>
  <c r="O189" i="12"/>
  <c r="M43" i="12"/>
  <c r="P43" i="12" s="1"/>
  <c r="M403" i="12"/>
  <c r="P403" i="12" s="1"/>
  <c r="M115" i="12"/>
  <c r="P115" i="12" s="1"/>
  <c r="M333" i="12"/>
  <c r="P333" i="12" s="1"/>
  <c r="N261" i="12"/>
  <c r="L261" i="12"/>
  <c r="J261" i="12"/>
  <c r="I261" i="12"/>
  <c r="K261" i="12"/>
  <c r="H261" i="12"/>
  <c r="G261" i="12"/>
  <c r="F261" i="12"/>
  <c r="M260" i="12"/>
  <c r="P260" i="12" s="1"/>
  <c r="N44" i="12"/>
  <c r="L44" i="12"/>
  <c r="I44" i="12"/>
  <c r="H44" i="12"/>
  <c r="K44" i="12"/>
  <c r="F44" i="12"/>
  <c r="G44" i="12"/>
  <c r="J44" i="12"/>
  <c r="N190" i="12"/>
  <c r="L190" i="12"/>
  <c r="G190" i="12"/>
  <c r="K190" i="12"/>
  <c r="H190" i="12"/>
  <c r="I190" i="12"/>
  <c r="F190" i="12"/>
  <c r="J190" i="12"/>
  <c r="N334" i="12"/>
  <c r="L334" i="12"/>
  <c r="J334" i="12"/>
  <c r="K334" i="12"/>
  <c r="H334" i="12"/>
  <c r="F334" i="12"/>
  <c r="I334" i="12"/>
  <c r="G334" i="12"/>
  <c r="N116" i="12"/>
  <c r="L116" i="12"/>
  <c r="I116" i="12"/>
  <c r="K116" i="12"/>
  <c r="H116" i="12"/>
  <c r="F116" i="12"/>
  <c r="J116" i="12"/>
  <c r="G116" i="12"/>
  <c r="N404" i="12"/>
  <c r="L404" i="12"/>
  <c r="G404" i="12"/>
  <c r="J404" i="12"/>
  <c r="H404" i="12"/>
  <c r="I404" i="12"/>
  <c r="K404" i="12"/>
  <c r="F404" i="12"/>
  <c r="B45" i="12"/>
  <c r="A45" i="12" s="1"/>
  <c r="M189" i="12"/>
  <c r="P189" i="12" s="1"/>
  <c r="B405" i="12"/>
  <c r="A405" i="12" s="1"/>
  <c r="B335" i="12"/>
  <c r="A335" i="12" s="1"/>
  <c r="B262" i="12"/>
  <c r="A262" i="12" s="1"/>
  <c r="B191" i="12"/>
  <c r="A191" i="12" s="1"/>
  <c r="B117" i="12"/>
  <c r="A117" i="12" s="1"/>
  <c r="O261" i="12" l="1"/>
  <c r="M190" i="12"/>
  <c r="P190" i="12" s="1"/>
  <c r="O404" i="12"/>
  <c r="O116" i="12"/>
  <c r="O334" i="12"/>
  <c r="O190" i="12"/>
  <c r="O44" i="12"/>
  <c r="N262" i="12"/>
  <c r="L262" i="12"/>
  <c r="F262" i="12"/>
  <c r="K262" i="12"/>
  <c r="G262" i="12"/>
  <c r="J262" i="12"/>
  <c r="H262" i="12"/>
  <c r="I262" i="12"/>
  <c r="M404" i="12"/>
  <c r="P404" i="12" s="1"/>
  <c r="M261" i="12"/>
  <c r="P261" i="12" s="1"/>
  <c r="N191" i="12"/>
  <c r="L191" i="12"/>
  <c r="H191" i="12"/>
  <c r="G191" i="12"/>
  <c r="F191" i="12"/>
  <c r="J191" i="12"/>
  <c r="K191" i="12"/>
  <c r="I191" i="12"/>
  <c r="N335" i="12"/>
  <c r="L335" i="12"/>
  <c r="J335" i="12"/>
  <c r="G335" i="12"/>
  <c r="H335" i="12"/>
  <c r="I335" i="12"/>
  <c r="K335" i="12"/>
  <c r="F335" i="12"/>
  <c r="L45" i="12"/>
  <c r="N45" i="12"/>
  <c r="K45" i="12"/>
  <c r="I45" i="12"/>
  <c r="G45" i="12"/>
  <c r="F45" i="12"/>
  <c r="H45" i="12"/>
  <c r="J45" i="12"/>
  <c r="M334" i="12"/>
  <c r="P334" i="12" s="1"/>
  <c r="M44" i="12"/>
  <c r="P44" i="12" s="1"/>
  <c r="M116" i="12"/>
  <c r="P116" i="12" s="1"/>
  <c r="N117" i="12"/>
  <c r="L117" i="12"/>
  <c r="I117" i="12"/>
  <c r="K117" i="12"/>
  <c r="G117" i="12"/>
  <c r="H117" i="12"/>
  <c r="F117" i="12"/>
  <c r="J117" i="12"/>
  <c r="N405" i="12"/>
  <c r="L405" i="12"/>
  <c r="F405" i="12"/>
  <c r="K405" i="12"/>
  <c r="G405" i="12"/>
  <c r="H405" i="12"/>
  <c r="I405" i="12"/>
  <c r="J405" i="12"/>
  <c r="B46" i="12"/>
  <c r="A46" i="12" s="1"/>
  <c r="B406" i="12"/>
  <c r="A406" i="12" s="1"/>
  <c r="B336" i="12"/>
  <c r="A336" i="12" s="1"/>
  <c r="B263" i="12"/>
  <c r="A263" i="12" s="1"/>
  <c r="B192" i="12"/>
  <c r="A192" i="12" s="1"/>
  <c r="B118" i="12"/>
  <c r="A118" i="12" s="1"/>
  <c r="O262" i="12" l="1"/>
  <c r="O405" i="12"/>
  <c r="O117" i="12"/>
  <c r="O45" i="12"/>
  <c r="M191" i="12"/>
  <c r="P191" i="12" s="1"/>
  <c r="N263" i="12"/>
  <c r="L263" i="12"/>
  <c r="J263" i="12"/>
  <c r="I263" i="12"/>
  <c r="F263" i="12"/>
  <c r="G263" i="12"/>
  <c r="H263" i="12"/>
  <c r="K263" i="12"/>
  <c r="M117" i="12"/>
  <c r="P117" i="12" s="1"/>
  <c r="M45" i="12"/>
  <c r="P45" i="12" s="1"/>
  <c r="O335" i="12"/>
  <c r="O191" i="12"/>
  <c r="M262" i="12"/>
  <c r="P262" i="12" s="1"/>
  <c r="B47" i="12"/>
  <c r="A47" i="12" s="1"/>
  <c r="M335" i="12"/>
  <c r="P335" i="12" s="1"/>
  <c r="N192" i="12"/>
  <c r="L192" i="12"/>
  <c r="F192" i="12"/>
  <c r="G192" i="12"/>
  <c r="I192" i="12"/>
  <c r="J192" i="12"/>
  <c r="H192" i="12"/>
  <c r="K192" i="12"/>
  <c r="N336" i="12"/>
  <c r="L336" i="12"/>
  <c r="H336" i="12"/>
  <c r="J336" i="12"/>
  <c r="I336" i="12"/>
  <c r="G336" i="12"/>
  <c r="F336" i="12"/>
  <c r="K336" i="12"/>
  <c r="N46" i="12"/>
  <c r="L46" i="12"/>
  <c r="I46" i="12"/>
  <c r="K46" i="12"/>
  <c r="F46" i="12"/>
  <c r="H46" i="12"/>
  <c r="G46" i="12"/>
  <c r="J46" i="12"/>
  <c r="M405" i="12"/>
  <c r="P405" i="12" s="1"/>
  <c r="N118" i="12"/>
  <c r="L118" i="12"/>
  <c r="K118" i="12"/>
  <c r="I118" i="12"/>
  <c r="G118" i="12"/>
  <c r="J118" i="12"/>
  <c r="F118" i="12"/>
  <c r="H118" i="12"/>
  <c r="N406" i="12"/>
  <c r="L406" i="12"/>
  <c r="H406" i="12"/>
  <c r="K406" i="12"/>
  <c r="I406" i="12"/>
  <c r="F406" i="12"/>
  <c r="G406" i="12"/>
  <c r="J406" i="12"/>
  <c r="B407" i="12"/>
  <c r="A407" i="12" s="1"/>
  <c r="B337" i="12"/>
  <c r="A337" i="12" s="1"/>
  <c r="B264" i="12"/>
  <c r="A264" i="12" s="1"/>
  <c r="B193" i="12"/>
  <c r="A193" i="12" s="1"/>
  <c r="B119" i="12"/>
  <c r="A119" i="12" s="1"/>
  <c r="O46" i="12" l="1"/>
  <c r="O336" i="12"/>
  <c r="O192" i="12"/>
  <c r="O263" i="12"/>
  <c r="N264" i="12"/>
  <c r="L264" i="12"/>
  <c r="G264" i="12"/>
  <c r="J264" i="12"/>
  <c r="I264" i="12"/>
  <c r="H264" i="12"/>
  <c r="F264" i="12"/>
  <c r="K264" i="12"/>
  <c r="B48" i="12"/>
  <c r="A48" i="12" s="1"/>
  <c r="M118" i="12"/>
  <c r="P118" i="12" s="1"/>
  <c r="N119" i="12"/>
  <c r="L119" i="12"/>
  <c r="K119" i="12"/>
  <c r="I119" i="12"/>
  <c r="F119" i="12"/>
  <c r="H119" i="12"/>
  <c r="G119" i="12"/>
  <c r="J119" i="12"/>
  <c r="N407" i="12"/>
  <c r="L407" i="12"/>
  <c r="F407" i="12"/>
  <c r="H407" i="12"/>
  <c r="K407" i="12"/>
  <c r="J407" i="12"/>
  <c r="G407" i="12"/>
  <c r="I407" i="12"/>
  <c r="M406" i="12"/>
  <c r="P406" i="12" s="1"/>
  <c r="O406" i="12"/>
  <c r="O118" i="12"/>
  <c r="M336" i="12"/>
  <c r="P336" i="12" s="1"/>
  <c r="M192" i="12"/>
  <c r="P192" i="12" s="1"/>
  <c r="N47" i="12"/>
  <c r="L47" i="12"/>
  <c r="I47" i="12"/>
  <c r="K47" i="12"/>
  <c r="G47" i="12"/>
  <c r="H47" i="12"/>
  <c r="J47" i="12"/>
  <c r="F47" i="12"/>
  <c r="N193" i="12"/>
  <c r="L193" i="12"/>
  <c r="K193" i="12"/>
  <c r="I193" i="12"/>
  <c r="G193" i="12"/>
  <c r="H193" i="12"/>
  <c r="J193" i="12"/>
  <c r="F193" i="12"/>
  <c r="N337" i="12"/>
  <c r="L337" i="12"/>
  <c r="K337" i="12"/>
  <c r="H337" i="12"/>
  <c r="F337" i="12"/>
  <c r="I337" i="12"/>
  <c r="G337" i="12"/>
  <c r="J337" i="12"/>
  <c r="M46" i="12"/>
  <c r="P46" i="12" s="1"/>
  <c r="M263" i="12"/>
  <c r="P263" i="12" s="1"/>
  <c r="B408" i="12"/>
  <c r="A408" i="12" s="1"/>
  <c r="B338" i="12"/>
  <c r="A338" i="12" s="1"/>
  <c r="B265" i="12"/>
  <c r="A265" i="12" s="1"/>
  <c r="B194" i="12"/>
  <c r="A194" i="12" s="1"/>
  <c r="B120" i="12"/>
  <c r="A120" i="12" s="1"/>
  <c r="O337" i="12" l="1"/>
  <c r="O193" i="12"/>
  <c r="O47" i="12"/>
  <c r="O264" i="12"/>
  <c r="O407" i="12"/>
  <c r="N120" i="12"/>
  <c r="L120" i="12"/>
  <c r="K120" i="12"/>
  <c r="I120" i="12"/>
  <c r="J120" i="12"/>
  <c r="F120" i="12"/>
  <c r="G120" i="12"/>
  <c r="H120" i="12"/>
  <c r="N408" i="12"/>
  <c r="L408" i="12"/>
  <c r="I408" i="12"/>
  <c r="F408" i="12"/>
  <c r="H408" i="12"/>
  <c r="G408" i="12"/>
  <c r="J408" i="12"/>
  <c r="K408" i="12"/>
  <c r="M193" i="12"/>
  <c r="P193" i="12" s="1"/>
  <c r="M47" i="12"/>
  <c r="P47" i="12" s="1"/>
  <c r="M119" i="12"/>
  <c r="P119" i="12" s="1"/>
  <c r="M264" i="12"/>
  <c r="P264" i="12" s="1"/>
  <c r="N265" i="12"/>
  <c r="L265" i="12"/>
  <c r="J265" i="12"/>
  <c r="F265" i="12"/>
  <c r="K265" i="12"/>
  <c r="G265" i="12"/>
  <c r="H265" i="12"/>
  <c r="I265" i="12"/>
  <c r="M407" i="12"/>
  <c r="P407" i="12" s="1"/>
  <c r="N48" i="12"/>
  <c r="L48" i="12"/>
  <c r="K48" i="12"/>
  <c r="I48" i="12"/>
  <c r="H48" i="12"/>
  <c r="J48" i="12"/>
  <c r="G48" i="12"/>
  <c r="F48" i="12"/>
  <c r="N194" i="12"/>
  <c r="L194" i="12"/>
  <c r="J194" i="12"/>
  <c r="F194" i="12"/>
  <c r="G194" i="12"/>
  <c r="I194" i="12"/>
  <c r="H194" i="12"/>
  <c r="K194" i="12"/>
  <c r="L338" i="12"/>
  <c r="N338" i="12"/>
  <c r="F338" i="12"/>
  <c r="I338" i="12"/>
  <c r="G338" i="12"/>
  <c r="H338" i="12"/>
  <c r="K338" i="12"/>
  <c r="J338" i="12"/>
  <c r="M337" i="12"/>
  <c r="P337" i="12" s="1"/>
  <c r="O119" i="12"/>
  <c r="B49" i="12"/>
  <c r="A49" i="12" s="1"/>
  <c r="B409" i="12"/>
  <c r="A409" i="12" s="1"/>
  <c r="B339" i="12"/>
  <c r="A339" i="12" s="1"/>
  <c r="B266" i="12"/>
  <c r="A266" i="12" s="1"/>
  <c r="B195" i="12"/>
  <c r="A195" i="12" s="1"/>
  <c r="B121" i="12"/>
  <c r="A121" i="12" s="1"/>
  <c r="O265" i="12" l="1"/>
  <c r="O408" i="12"/>
  <c r="O120" i="12"/>
  <c r="M338" i="12"/>
  <c r="P338" i="12" s="1"/>
  <c r="O194" i="12"/>
  <c r="O48" i="12"/>
  <c r="B50" i="12"/>
  <c r="A50" i="12" s="1"/>
  <c r="M265" i="12"/>
  <c r="P265" i="12" s="1"/>
  <c r="M408" i="12"/>
  <c r="P408" i="12" s="1"/>
  <c r="N121" i="12"/>
  <c r="L121" i="12"/>
  <c r="I121" i="12"/>
  <c r="H121" i="12"/>
  <c r="G121" i="12"/>
  <c r="F121" i="12"/>
  <c r="J121" i="12"/>
  <c r="K121" i="12"/>
  <c r="N409" i="12"/>
  <c r="L409" i="12"/>
  <c r="J409" i="12"/>
  <c r="F409" i="12"/>
  <c r="G409" i="12"/>
  <c r="K409" i="12"/>
  <c r="H409" i="12"/>
  <c r="I409" i="12"/>
  <c r="N266" i="12"/>
  <c r="L266" i="12"/>
  <c r="K266" i="12"/>
  <c r="J266" i="12"/>
  <c r="I266" i="12"/>
  <c r="H266" i="12"/>
  <c r="F266" i="12"/>
  <c r="G266" i="12"/>
  <c r="O338" i="12"/>
  <c r="M120" i="12"/>
  <c r="P120" i="12" s="1"/>
  <c r="N195" i="12"/>
  <c r="L195" i="12"/>
  <c r="K195" i="12"/>
  <c r="G195" i="12"/>
  <c r="H195" i="12"/>
  <c r="I195" i="12"/>
  <c r="J195" i="12"/>
  <c r="F195" i="12"/>
  <c r="N339" i="12"/>
  <c r="L339" i="12"/>
  <c r="F339" i="12"/>
  <c r="G339" i="12"/>
  <c r="H339" i="12"/>
  <c r="J339" i="12"/>
  <c r="K339" i="12"/>
  <c r="I339" i="12"/>
  <c r="N49" i="12"/>
  <c r="L49" i="12"/>
  <c r="H49" i="12"/>
  <c r="G49" i="12"/>
  <c r="J49" i="12"/>
  <c r="F49" i="12"/>
  <c r="I49" i="12"/>
  <c r="K49" i="12"/>
  <c r="M194" i="12"/>
  <c r="P194" i="12" s="1"/>
  <c r="M48" i="12"/>
  <c r="P48" i="12" s="1"/>
  <c r="B410" i="12"/>
  <c r="A410" i="12" s="1"/>
  <c r="B340" i="12"/>
  <c r="A340" i="12" s="1"/>
  <c r="B267" i="12"/>
  <c r="A267" i="12" s="1"/>
  <c r="B196" i="12"/>
  <c r="A196" i="12" s="1"/>
  <c r="B122" i="12"/>
  <c r="A122" i="12" s="1"/>
  <c r="O49" i="12" l="1"/>
  <c r="O339" i="12"/>
  <c r="O195" i="12"/>
  <c r="M121" i="12"/>
  <c r="P121" i="12" s="1"/>
  <c r="O266" i="12"/>
  <c r="O409" i="12"/>
  <c r="O121" i="12"/>
  <c r="N122" i="12"/>
  <c r="L122" i="12"/>
  <c r="I122" i="12"/>
  <c r="K122" i="12"/>
  <c r="J122" i="12"/>
  <c r="G122" i="12"/>
  <c r="F122" i="12"/>
  <c r="H122" i="12"/>
  <c r="N410" i="12"/>
  <c r="L410" i="12"/>
  <c r="I410" i="12"/>
  <c r="K410" i="12"/>
  <c r="G410" i="12"/>
  <c r="F410" i="12"/>
  <c r="H410" i="12"/>
  <c r="J410" i="12"/>
  <c r="N196" i="12"/>
  <c r="L196" i="12"/>
  <c r="I196" i="12"/>
  <c r="K196" i="12"/>
  <c r="H196" i="12"/>
  <c r="G196" i="12"/>
  <c r="J196" i="12"/>
  <c r="F196" i="12"/>
  <c r="N340" i="12"/>
  <c r="L340" i="12"/>
  <c r="G340" i="12"/>
  <c r="I340" i="12"/>
  <c r="H340" i="12"/>
  <c r="J340" i="12"/>
  <c r="K340" i="12"/>
  <c r="F340" i="12"/>
  <c r="M266" i="12"/>
  <c r="P266" i="12" s="1"/>
  <c r="M195" i="12"/>
  <c r="P195" i="12" s="1"/>
  <c r="N50" i="12"/>
  <c r="L50" i="12"/>
  <c r="I50" i="12"/>
  <c r="H50" i="12"/>
  <c r="F50" i="12"/>
  <c r="G50" i="12"/>
  <c r="K50" i="12"/>
  <c r="J50" i="12"/>
  <c r="N267" i="12"/>
  <c r="L267" i="12"/>
  <c r="I267" i="12"/>
  <c r="G267" i="12"/>
  <c r="H267" i="12"/>
  <c r="F267" i="12"/>
  <c r="J267" i="12"/>
  <c r="K267" i="12"/>
  <c r="M49" i="12"/>
  <c r="P49" i="12" s="1"/>
  <c r="M339" i="12"/>
  <c r="P339" i="12" s="1"/>
  <c r="M409" i="12"/>
  <c r="P409" i="12" s="1"/>
  <c r="B51" i="12"/>
  <c r="A51" i="12" s="1"/>
  <c r="B411" i="12"/>
  <c r="A411" i="12" s="1"/>
  <c r="B341" i="12"/>
  <c r="A341" i="12" s="1"/>
  <c r="B268" i="12"/>
  <c r="A268" i="12" s="1"/>
  <c r="B197" i="12"/>
  <c r="A197" i="12" s="1"/>
  <c r="B123" i="12"/>
  <c r="A123" i="12" s="1"/>
  <c r="O267" i="12" l="1"/>
  <c r="O50" i="12"/>
  <c r="O340" i="12"/>
  <c r="O196" i="12"/>
  <c r="O410" i="12"/>
  <c r="O122" i="12"/>
  <c r="M267" i="12"/>
  <c r="P267" i="12" s="1"/>
  <c r="M122" i="12"/>
  <c r="P122" i="12" s="1"/>
  <c r="M340" i="12"/>
  <c r="P340" i="12" s="1"/>
  <c r="M196" i="12"/>
  <c r="P196" i="12" s="1"/>
  <c r="M50" i="12"/>
  <c r="P50" i="12" s="1"/>
  <c r="N268" i="12"/>
  <c r="L268" i="12"/>
  <c r="F268" i="12"/>
  <c r="J268" i="12"/>
  <c r="K268" i="12"/>
  <c r="I268" i="12"/>
  <c r="H268" i="12"/>
  <c r="G268" i="12"/>
  <c r="M410" i="12"/>
  <c r="P410" i="12" s="1"/>
  <c r="N197" i="12"/>
  <c r="L197" i="12"/>
  <c r="J197" i="12"/>
  <c r="I197" i="12"/>
  <c r="F197" i="12"/>
  <c r="H197" i="12"/>
  <c r="G197" i="12"/>
  <c r="K197" i="12"/>
  <c r="N341" i="12"/>
  <c r="L341" i="12"/>
  <c r="J341" i="12"/>
  <c r="K341" i="12"/>
  <c r="I341" i="12"/>
  <c r="H341" i="12"/>
  <c r="G341" i="12"/>
  <c r="F341" i="12"/>
  <c r="N51" i="12"/>
  <c r="L51" i="12"/>
  <c r="K51" i="12"/>
  <c r="I51" i="12"/>
  <c r="H51" i="12"/>
  <c r="J51" i="12"/>
  <c r="F51" i="12"/>
  <c r="G51" i="12"/>
  <c r="B52" i="12"/>
  <c r="A52" i="12" s="1"/>
  <c r="N123" i="12"/>
  <c r="L123" i="12"/>
  <c r="I123" i="12"/>
  <c r="K123" i="12"/>
  <c r="J123" i="12"/>
  <c r="F123" i="12"/>
  <c r="H123" i="12"/>
  <c r="G123" i="12"/>
  <c r="L411" i="12"/>
  <c r="N411" i="12"/>
  <c r="I411" i="12"/>
  <c r="H411" i="12"/>
  <c r="F411" i="12"/>
  <c r="G411" i="12"/>
  <c r="K411" i="12"/>
  <c r="J411" i="12"/>
  <c r="B412" i="12"/>
  <c r="A412" i="12" s="1"/>
  <c r="B342" i="12"/>
  <c r="A342" i="12" s="1"/>
  <c r="B269" i="12"/>
  <c r="A269" i="12" s="1"/>
  <c r="B198" i="12"/>
  <c r="A198" i="12" s="1"/>
  <c r="B124" i="12"/>
  <c r="A124" i="12" s="1"/>
  <c r="O51" i="12" l="1"/>
  <c r="O341" i="12"/>
  <c r="O197" i="12"/>
  <c r="O411" i="12"/>
  <c r="M51" i="12"/>
  <c r="P51" i="12" s="1"/>
  <c r="M411" i="12"/>
  <c r="P411" i="12" s="1"/>
  <c r="O268" i="12"/>
  <c r="N269" i="12"/>
  <c r="L269" i="12"/>
  <c r="H269" i="12"/>
  <c r="J269" i="12"/>
  <c r="I269" i="12"/>
  <c r="F269" i="12"/>
  <c r="G269" i="12"/>
  <c r="K269" i="12"/>
  <c r="N198" i="12"/>
  <c r="L198" i="12"/>
  <c r="H198" i="12"/>
  <c r="G198" i="12"/>
  <c r="I198" i="12"/>
  <c r="F198" i="12"/>
  <c r="J198" i="12"/>
  <c r="K198" i="12"/>
  <c r="N342" i="12"/>
  <c r="L342" i="12"/>
  <c r="J342" i="12"/>
  <c r="I342" i="12"/>
  <c r="F342" i="12"/>
  <c r="K342" i="12"/>
  <c r="G342" i="12"/>
  <c r="H342" i="12"/>
  <c r="N124" i="12"/>
  <c r="L124" i="12"/>
  <c r="I124" i="12"/>
  <c r="K124" i="12"/>
  <c r="J124" i="12"/>
  <c r="H124" i="12"/>
  <c r="F124" i="12"/>
  <c r="G124" i="12"/>
  <c r="N412" i="12"/>
  <c r="L412" i="12"/>
  <c r="J412" i="12"/>
  <c r="I412" i="12"/>
  <c r="K412" i="12"/>
  <c r="F412" i="12"/>
  <c r="H412" i="12"/>
  <c r="G412" i="12"/>
  <c r="M123" i="12"/>
  <c r="P123" i="12" s="1"/>
  <c r="O123" i="12"/>
  <c r="M341" i="12"/>
  <c r="P341" i="12" s="1"/>
  <c r="N52" i="12"/>
  <c r="L52" i="12"/>
  <c r="I52" i="12"/>
  <c r="K52" i="12"/>
  <c r="H52" i="12"/>
  <c r="F52" i="12"/>
  <c r="J52" i="12"/>
  <c r="G52" i="12"/>
  <c r="M268" i="12"/>
  <c r="P268" i="12" s="1"/>
  <c r="B53" i="12"/>
  <c r="A53" i="12" s="1"/>
  <c r="M197" i="12"/>
  <c r="P197" i="12" s="1"/>
  <c r="B413" i="12"/>
  <c r="A413" i="12" s="1"/>
  <c r="B343" i="12"/>
  <c r="A343" i="12" s="1"/>
  <c r="B270" i="12"/>
  <c r="A270" i="12" s="1"/>
  <c r="B199" i="12"/>
  <c r="A199" i="12" s="1"/>
  <c r="B125" i="12"/>
  <c r="A125" i="12" s="1"/>
  <c r="O412" i="12" l="1"/>
  <c r="O124" i="12"/>
  <c r="O342" i="12"/>
  <c r="O198" i="12"/>
  <c r="O269" i="12"/>
  <c r="M124" i="12"/>
  <c r="P124" i="12" s="1"/>
  <c r="M269" i="12"/>
  <c r="P269" i="12" s="1"/>
  <c r="N270" i="12"/>
  <c r="L270" i="12"/>
  <c r="H270" i="12"/>
  <c r="G270" i="12"/>
  <c r="J270" i="12"/>
  <c r="K270" i="12"/>
  <c r="I270" i="12"/>
  <c r="F270" i="12"/>
  <c r="N199" i="12"/>
  <c r="L199" i="12"/>
  <c r="H199" i="12"/>
  <c r="F199" i="12"/>
  <c r="G199" i="12"/>
  <c r="J199" i="12"/>
  <c r="K199" i="12"/>
  <c r="I199" i="12"/>
  <c r="L343" i="12"/>
  <c r="N343" i="12"/>
  <c r="J343" i="12"/>
  <c r="G343" i="12"/>
  <c r="K343" i="12"/>
  <c r="H343" i="12"/>
  <c r="F343" i="12"/>
  <c r="I343" i="12"/>
  <c r="N53" i="12"/>
  <c r="L53" i="12"/>
  <c r="I53" i="12"/>
  <c r="K53" i="12"/>
  <c r="G53" i="12"/>
  <c r="H53" i="12"/>
  <c r="F53" i="12"/>
  <c r="J53" i="12"/>
  <c r="M198" i="12"/>
  <c r="P198" i="12" s="1"/>
  <c r="M412" i="12"/>
  <c r="P412" i="12" s="1"/>
  <c r="L125" i="12"/>
  <c r="N125" i="12"/>
  <c r="K125" i="12"/>
  <c r="I125" i="12"/>
  <c r="J125" i="12"/>
  <c r="F125" i="12"/>
  <c r="G125" i="12"/>
  <c r="H125" i="12"/>
  <c r="N413" i="12"/>
  <c r="L413" i="12"/>
  <c r="F413" i="12"/>
  <c r="H413" i="12"/>
  <c r="J413" i="12"/>
  <c r="K413" i="12"/>
  <c r="G413" i="12"/>
  <c r="I413" i="12"/>
  <c r="B54" i="12"/>
  <c r="A54" i="12" s="1"/>
  <c r="M52" i="12"/>
  <c r="P52" i="12" s="1"/>
  <c r="O52" i="12"/>
  <c r="M342" i="12"/>
  <c r="P342" i="12" s="1"/>
  <c r="B414" i="12"/>
  <c r="A414" i="12" s="1"/>
  <c r="B344" i="12"/>
  <c r="A344" i="12" s="1"/>
  <c r="B271" i="12"/>
  <c r="A271" i="12" s="1"/>
  <c r="B200" i="12"/>
  <c r="A200" i="12" s="1"/>
  <c r="B126" i="12"/>
  <c r="A126" i="12" s="1"/>
  <c r="O125" i="12" l="1"/>
  <c r="O53" i="12"/>
  <c r="O199" i="12"/>
  <c r="O270" i="12"/>
  <c r="O413" i="12"/>
  <c r="M270" i="12"/>
  <c r="P270" i="12" s="1"/>
  <c r="M53" i="12"/>
  <c r="P53" i="12" s="1"/>
  <c r="M343" i="12"/>
  <c r="P343" i="12" s="1"/>
  <c r="N271" i="12"/>
  <c r="L271" i="12"/>
  <c r="G271" i="12"/>
  <c r="K271" i="12"/>
  <c r="H271" i="12"/>
  <c r="J271" i="12"/>
  <c r="I271" i="12"/>
  <c r="F271" i="12"/>
  <c r="N54" i="12"/>
  <c r="L54" i="12"/>
  <c r="K54" i="12"/>
  <c r="I54" i="12"/>
  <c r="H54" i="12"/>
  <c r="F54" i="12"/>
  <c r="G54" i="12"/>
  <c r="J54" i="12"/>
  <c r="M125" i="12"/>
  <c r="P125" i="12" s="1"/>
  <c r="M199" i="12"/>
  <c r="P199" i="12" s="1"/>
  <c r="N200" i="12"/>
  <c r="L200" i="12"/>
  <c r="G200" i="12"/>
  <c r="K200" i="12"/>
  <c r="F200" i="12"/>
  <c r="J200" i="12"/>
  <c r="I200" i="12"/>
  <c r="H200" i="12"/>
  <c r="N344" i="12"/>
  <c r="L344" i="12"/>
  <c r="I344" i="12"/>
  <c r="G344" i="12"/>
  <c r="J344" i="12"/>
  <c r="H344" i="12"/>
  <c r="F344" i="12"/>
  <c r="K344" i="12"/>
  <c r="B55" i="12"/>
  <c r="A55" i="12" s="1"/>
  <c r="N126" i="12"/>
  <c r="L126" i="12"/>
  <c r="K126" i="12"/>
  <c r="I126" i="12"/>
  <c r="J126" i="12"/>
  <c r="H126" i="12"/>
  <c r="G126" i="12"/>
  <c r="F126" i="12"/>
  <c r="N414" i="12"/>
  <c r="L414" i="12"/>
  <c r="K414" i="12"/>
  <c r="F414" i="12"/>
  <c r="I414" i="12"/>
  <c r="H414" i="12"/>
  <c r="G414" i="12"/>
  <c r="J414" i="12"/>
  <c r="M413" i="12"/>
  <c r="P413" i="12" s="1"/>
  <c r="O343" i="12"/>
  <c r="B415" i="12"/>
  <c r="A415" i="12" s="1"/>
  <c r="B345" i="12"/>
  <c r="A345" i="12" s="1"/>
  <c r="B272" i="12"/>
  <c r="A272" i="12" s="1"/>
  <c r="B201" i="12"/>
  <c r="A201" i="12" s="1"/>
  <c r="B127" i="12"/>
  <c r="A127" i="12" s="1"/>
  <c r="O414" i="12" l="1"/>
  <c r="O126" i="12"/>
  <c r="O54" i="12"/>
  <c r="O271" i="12"/>
  <c r="O344" i="12"/>
  <c r="O200" i="12"/>
  <c r="M271" i="12"/>
  <c r="P271" i="12" s="1"/>
  <c r="M126" i="12"/>
  <c r="P126" i="12" s="1"/>
  <c r="N415" i="12"/>
  <c r="L415" i="12"/>
  <c r="K415" i="12"/>
  <c r="H415" i="12"/>
  <c r="J415" i="12"/>
  <c r="I415" i="12"/>
  <c r="F415" i="12"/>
  <c r="G415" i="12"/>
  <c r="N55" i="12"/>
  <c r="L55" i="12"/>
  <c r="F55" i="12"/>
  <c r="J55" i="12"/>
  <c r="H55" i="12"/>
  <c r="G55" i="12"/>
  <c r="K55" i="12"/>
  <c r="I55" i="12"/>
  <c r="N272" i="12"/>
  <c r="L272" i="12"/>
  <c r="J272" i="12"/>
  <c r="G272" i="12"/>
  <c r="I272" i="12"/>
  <c r="F272" i="12"/>
  <c r="K272" i="12"/>
  <c r="H272" i="12"/>
  <c r="B56" i="12"/>
  <c r="A56" i="12" s="1"/>
  <c r="M200" i="12"/>
  <c r="P200" i="12" s="1"/>
  <c r="M414" i="12"/>
  <c r="P414" i="12" s="1"/>
  <c r="N201" i="12"/>
  <c r="L201" i="12"/>
  <c r="F201" i="12"/>
  <c r="G201" i="12"/>
  <c r="K201" i="12"/>
  <c r="H201" i="12"/>
  <c r="J201" i="12"/>
  <c r="I201" i="12"/>
  <c r="N345" i="12"/>
  <c r="L345" i="12"/>
  <c r="G345" i="12"/>
  <c r="K345" i="12"/>
  <c r="J345" i="12"/>
  <c r="I345" i="12"/>
  <c r="H345" i="12"/>
  <c r="F345" i="12"/>
  <c r="M54" i="12"/>
  <c r="P54" i="12" s="1"/>
  <c r="N127" i="12"/>
  <c r="L127" i="12"/>
  <c r="I127" i="12"/>
  <c r="H127" i="12"/>
  <c r="F127" i="12"/>
  <c r="J127" i="12"/>
  <c r="G127" i="12"/>
  <c r="K127" i="12"/>
  <c r="M344" i="12"/>
  <c r="P344" i="12" s="1"/>
  <c r="B416" i="12"/>
  <c r="A416" i="12" s="1"/>
  <c r="B346" i="12"/>
  <c r="A346" i="12" s="1"/>
  <c r="B273" i="12"/>
  <c r="A273" i="12" s="1"/>
  <c r="B202" i="12"/>
  <c r="A202" i="12" s="1"/>
  <c r="B128" i="12"/>
  <c r="A128" i="12" s="1"/>
  <c r="O127" i="12" l="1"/>
  <c r="O345" i="12"/>
  <c r="O201" i="12"/>
  <c r="O272" i="12"/>
  <c r="O55" i="12"/>
  <c r="O415" i="12"/>
  <c r="M345" i="12"/>
  <c r="P345" i="12" s="1"/>
  <c r="M415" i="12"/>
  <c r="P415" i="12" s="1"/>
  <c r="N128" i="12"/>
  <c r="L128" i="12"/>
  <c r="I128" i="12"/>
  <c r="K128" i="12"/>
  <c r="H128" i="12"/>
  <c r="G128" i="12"/>
  <c r="F128" i="12"/>
  <c r="J128" i="12"/>
  <c r="N416" i="12"/>
  <c r="L416" i="12"/>
  <c r="K416" i="12"/>
  <c r="I416" i="12"/>
  <c r="J416" i="12"/>
  <c r="H416" i="12"/>
  <c r="F416" i="12"/>
  <c r="G416" i="12"/>
  <c r="M55" i="12"/>
  <c r="P55" i="12" s="1"/>
  <c r="M201" i="12"/>
  <c r="P201" i="12" s="1"/>
  <c r="N56" i="12"/>
  <c r="L56" i="12"/>
  <c r="I56" i="12"/>
  <c r="G56" i="12"/>
  <c r="J56" i="12"/>
  <c r="F56" i="12"/>
  <c r="H56" i="12"/>
  <c r="K56" i="12"/>
  <c r="M272" i="12"/>
  <c r="P272" i="12" s="1"/>
  <c r="N273" i="12"/>
  <c r="L273" i="12"/>
  <c r="F273" i="12"/>
  <c r="H273" i="12"/>
  <c r="J273" i="12"/>
  <c r="K273" i="12"/>
  <c r="G273" i="12"/>
  <c r="I273" i="12"/>
  <c r="N202" i="12"/>
  <c r="L202" i="12"/>
  <c r="G202" i="12"/>
  <c r="K202" i="12"/>
  <c r="J202" i="12"/>
  <c r="I202" i="12"/>
  <c r="H202" i="12"/>
  <c r="F202" i="12"/>
  <c r="L346" i="12"/>
  <c r="N346" i="12"/>
  <c r="H346" i="12"/>
  <c r="F346" i="12"/>
  <c r="K346" i="12"/>
  <c r="G346" i="12"/>
  <c r="J346" i="12"/>
  <c r="I346" i="12"/>
  <c r="M127" i="12"/>
  <c r="P127" i="12" s="1"/>
  <c r="B57" i="12"/>
  <c r="A57" i="12" s="1"/>
  <c r="B417" i="12"/>
  <c r="A417" i="12" s="1"/>
  <c r="B347" i="12"/>
  <c r="A347" i="12" s="1"/>
  <c r="B274" i="12"/>
  <c r="A274" i="12" s="1"/>
  <c r="B203" i="12"/>
  <c r="A203" i="12" s="1"/>
  <c r="B129" i="12"/>
  <c r="A129" i="12" s="1"/>
  <c r="O56" i="12" l="1"/>
  <c r="O416" i="12"/>
  <c r="O128" i="12"/>
  <c r="O346" i="12"/>
  <c r="M56" i="12"/>
  <c r="P56" i="12" s="1"/>
  <c r="N347" i="12"/>
  <c r="L347" i="12"/>
  <c r="F347" i="12"/>
  <c r="K347" i="12"/>
  <c r="G347" i="12"/>
  <c r="I347" i="12"/>
  <c r="H347" i="12"/>
  <c r="J347" i="12"/>
  <c r="N57" i="12"/>
  <c r="L57" i="12"/>
  <c r="I57" i="12"/>
  <c r="K57" i="12"/>
  <c r="F57" i="12"/>
  <c r="J57" i="12"/>
  <c r="G57" i="12"/>
  <c r="H57" i="12"/>
  <c r="N129" i="12"/>
  <c r="L129" i="12"/>
  <c r="I129" i="12"/>
  <c r="K129" i="12"/>
  <c r="F129" i="12"/>
  <c r="J129" i="12"/>
  <c r="H129" i="12"/>
  <c r="G129" i="12"/>
  <c r="N417" i="12"/>
  <c r="L417" i="12"/>
  <c r="K417" i="12"/>
  <c r="G417" i="12"/>
  <c r="I417" i="12"/>
  <c r="J417" i="12"/>
  <c r="F417" i="12"/>
  <c r="H417" i="12"/>
  <c r="M346" i="12"/>
  <c r="P346" i="12" s="1"/>
  <c r="M202" i="12"/>
  <c r="P202" i="12" s="1"/>
  <c r="M416" i="12"/>
  <c r="P416" i="12" s="1"/>
  <c r="M128" i="12"/>
  <c r="P128" i="12" s="1"/>
  <c r="M273" i="12"/>
  <c r="P273" i="12" s="1"/>
  <c r="N274" i="12"/>
  <c r="L274" i="12"/>
  <c r="I274" i="12"/>
  <c r="J274" i="12"/>
  <c r="F274" i="12"/>
  <c r="G274" i="12"/>
  <c r="H274" i="12"/>
  <c r="K274" i="12"/>
  <c r="N203" i="12"/>
  <c r="L203" i="12"/>
  <c r="H203" i="12"/>
  <c r="I203" i="12"/>
  <c r="J203" i="12"/>
  <c r="G203" i="12"/>
  <c r="K203" i="12"/>
  <c r="F203" i="12"/>
  <c r="B58" i="12"/>
  <c r="A58" i="12" s="1"/>
  <c r="O202" i="12"/>
  <c r="O273" i="12"/>
  <c r="B418" i="12"/>
  <c r="A418" i="12" s="1"/>
  <c r="B348" i="12"/>
  <c r="A348" i="12" s="1"/>
  <c r="B275" i="12"/>
  <c r="A275" i="12" s="1"/>
  <c r="B204" i="12"/>
  <c r="A204" i="12" s="1"/>
  <c r="B130" i="12"/>
  <c r="A130" i="12" s="1"/>
  <c r="O203" i="12" l="1"/>
  <c r="O274" i="12"/>
  <c r="O417" i="12"/>
  <c r="O129" i="12"/>
  <c r="O57" i="12"/>
  <c r="O347" i="12"/>
  <c r="M417" i="12"/>
  <c r="P417" i="12" s="1"/>
  <c r="N204" i="12"/>
  <c r="L204" i="12"/>
  <c r="J204" i="12"/>
  <c r="H204" i="12"/>
  <c r="K204" i="12"/>
  <c r="F204" i="12"/>
  <c r="I204" i="12"/>
  <c r="G204" i="12"/>
  <c r="N130" i="12"/>
  <c r="L130" i="12"/>
  <c r="I130" i="12"/>
  <c r="K130" i="12"/>
  <c r="F130" i="12"/>
  <c r="G130" i="12"/>
  <c r="J130" i="12"/>
  <c r="H130" i="12"/>
  <c r="N275" i="12"/>
  <c r="L275" i="12"/>
  <c r="F275" i="12"/>
  <c r="G275" i="12"/>
  <c r="I275" i="12"/>
  <c r="H275" i="12"/>
  <c r="J275" i="12"/>
  <c r="K275" i="12"/>
  <c r="N418" i="12"/>
  <c r="L418" i="12"/>
  <c r="K418" i="12"/>
  <c r="G418" i="12"/>
  <c r="I418" i="12"/>
  <c r="J418" i="12"/>
  <c r="F418" i="12"/>
  <c r="H418" i="12"/>
  <c r="N58" i="12"/>
  <c r="L58" i="12"/>
  <c r="I58" i="12"/>
  <c r="K58" i="12"/>
  <c r="J58" i="12"/>
  <c r="G58" i="12"/>
  <c r="F58" i="12"/>
  <c r="H58" i="12"/>
  <c r="M274" i="12"/>
  <c r="P274" i="12" s="1"/>
  <c r="B59" i="12"/>
  <c r="A59" i="12" s="1"/>
  <c r="N348" i="12"/>
  <c r="L348" i="12"/>
  <c r="K348" i="12"/>
  <c r="H348" i="12"/>
  <c r="G348" i="12"/>
  <c r="J348" i="12"/>
  <c r="F348" i="12"/>
  <c r="I348" i="12"/>
  <c r="M203" i="12"/>
  <c r="P203" i="12" s="1"/>
  <c r="M129" i="12"/>
  <c r="P129" i="12" s="1"/>
  <c r="M57" i="12"/>
  <c r="P57" i="12" s="1"/>
  <c r="M347" i="12"/>
  <c r="P347" i="12" s="1"/>
  <c r="B419" i="12"/>
  <c r="A419" i="12" s="1"/>
  <c r="B349" i="12"/>
  <c r="A349" i="12" s="1"/>
  <c r="B276" i="12"/>
  <c r="A276" i="12" s="1"/>
  <c r="B205" i="12"/>
  <c r="A205" i="12" s="1"/>
  <c r="B131" i="12"/>
  <c r="A131" i="12" s="1"/>
  <c r="O58" i="12" l="1"/>
  <c r="O418" i="12"/>
  <c r="O275" i="12"/>
  <c r="O130" i="12"/>
  <c r="O204" i="12"/>
  <c r="M418" i="12"/>
  <c r="P418" i="12" s="1"/>
  <c r="M58" i="12"/>
  <c r="P58" i="12" s="1"/>
  <c r="N349" i="12"/>
  <c r="L349" i="12"/>
  <c r="I349" i="12"/>
  <c r="G349" i="12"/>
  <c r="J349" i="12"/>
  <c r="F349" i="12"/>
  <c r="H349" i="12"/>
  <c r="K349" i="12"/>
  <c r="M275" i="12"/>
  <c r="P275" i="12" s="1"/>
  <c r="N59" i="12"/>
  <c r="L59" i="12"/>
  <c r="K59" i="12"/>
  <c r="I59" i="12"/>
  <c r="H59" i="12"/>
  <c r="G59" i="12"/>
  <c r="F59" i="12"/>
  <c r="J59" i="12"/>
  <c r="N205" i="12"/>
  <c r="L205" i="12"/>
  <c r="J205" i="12"/>
  <c r="G205" i="12"/>
  <c r="H205" i="12"/>
  <c r="I205" i="12"/>
  <c r="K205" i="12"/>
  <c r="F205" i="12"/>
  <c r="B60" i="12"/>
  <c r="A60" i="12" s="1"/>
  <c r="M204" i="12"/>
  <c r="P204" i="12" s="1"/>
  <c r="M348" i="12"/>
  <c r="P348" i="12" s="1"/>
  <c r="N131" i="12"/>
  <c r="L131" i="12"/>
  <c r="I131" i="12"/>
  <c r="K131" i="12"/>
  <c r="G131" i="12"/>
  <c r="H131" i="12"/>
  <c r="F131" i="12"/>
  <c r="J131" i="12"/>
  <c r="N276" i="12"/>
  <c r="L276" i="12"/>
  <c r="F276" i="12"/>
  <c r="H276" i="12"/>
  <c r="K276" i="12"/>
  <c r="G276" i="12"/>
  <c r="I276" i="12"/>
  <c r="J276" i="12"/>
  <c r="N419" i="12"/>
  <c r="L419" i="12"/>
  <c r="I419" i="12"/>
  <c r="F419" i="12"/>
  <c r="H419" i="12"/>
  <c r="G419" i="12"/>
  <c r="J419" i="12"/>
  <c r="K419" i="12"/>
  <c r="O348" i="12"/>
  <c r="M130" i="12"/>
  <c r="P130" i="12" s="1"/>
  <c r="B420" i="12"/>
  <c r="A420" i="12" s="1"/>
  <c r="B350" i="12"/>
  <c r="A350" i="12" s="1"/>
  <c r="B277" i="12"/>
  <c r="A277" i="12" s="1"/>
  <c r="B206" i="12"/>
  <c r="A206" i="12" s="1"/>
  <c r="B132" i="12"/>
  <c r="A132" i="12" s="1"/>
  <c r="O419" i="12" l="1"/>
  <c r="O276" i="12"/>
  <c r="O131" i="12"/>
  <c r="O205" i="12"/>
  <c r="O59" i="12"/>
  <c r="O349" i="12"/>
  <c r="M131" i="12"/>
  <c r="P131" i="12" s="1"/>
  <c r="M59" i="12"/>
  <c r="P59" i="12" s="1"/>
  <c r="N132" i="12"/>
  <c r="L132" i="12"/>
  <c r="K132" i="12"/>
  <c r="I132" i="12"/>
  <c r="G132" i="12"/>
  <c r="H132" i="12"/>
  <c r="F132" i="12"/>
  <c r="J132" i="12"/>
  <c r="N277" i="12"/>
  <c r="L277" i="12"/>
  <c r="K277" i="12"/>
  <c r="F277" i="12"/>
  <c r="H277" i="12"/>
  <c r="I277" i="12"/>
  <c r="G277" i="12"/>
  <c r="J277" i="12"/>
  <c r="N420" i="12"/>
  <c r="L420" i="12"/>
  <c r="F420" i="12"/>
  <c r="G420" i="12"/>
  <c r="K420" i="12"/>
  <c r="I420" i="12"/>
  <c r="J420" i="12"/>
  <c r="H420" i="12"/>
  <c r="M276" i="12"/>
  <c r="P276" i="12" s="1"/>
  <c r="N60" i="12"/>
  <c r="L60" i="12"/>
  <c r="K60" i="12"/>
  <c r="I60" i="12"/>
  <c r="J60" i="12"/>
  <c r="G60" i="12"/>
  <c r="F60" i="12"/>
  <c r="H60" i="12"/>
  <c r="N350" i="12"/>
  <c r="L350" i="12"/>
  <c r="H350" i="12"/>
  <c r="J350" i="12"/>
  <c r="F350" i="12"/>
  <c r="G350" i="12"/>
  <c r="I350" i="12"/>
  <c r="K350" i="12"/>
  <c r="N206" i="12"/>
  <c r="L206" i="12"/>
  <c r="K206" i="12"/>
  <c r="F206" i="12"/>
  <c r="J206" i="12"/>
  <c r="H206" i="12"/>
  <c r="I206" i="12"/>
  <c r="G206" i="12"/>
  <c r="B61" i="12"/>
  <c r="A61" i="12" s="1"/>
  <c r="M349" i="12"/>
  <c r="P349" i="12" s="1"/>
  <c r="M419" i="12"/>
  <c r="P419" i="12" s="1"/>
  <c r="M205" i="12"/>
  <c r="P205" i="12" s="1"/>
  <c r="B421" i="12"/>
  <c r="A421" i="12" s="1"/>
  <c r="B351" i="12"/>
  <c r="A351" i="12" s="1"/>
  <c r="B278" i="12"/>
  <c r="A278" i="12" s="1"/>
  <c r="B207" i="12"/>
  <c r="A207" i="12" s="1"/>
  <c r="B133" i="12"/>
  <c r="A133" i="12" s="1"/>
  <c r="O206" i="12" l="1"/>
  <c r="O350" i="12"/>
  <c r="O420" i="12"/>
  <c r="O277" i="12"/>
  <c r="O132" i="12"/>
  <c r="M60" i="12"/>
  <c r="P60" i="12" s="1"/>
  <c r="O60" i="12"/>
  <c r="M277" i="12"/>
  <c r="P277" i="12" s="1"/>
  <c r="L61" i="12"/>
  <c r="N61" i="12"/>
  <c r="F61" i="12"/>
  <c r="J61" i="12"/>
  <c r="H61" i="12"/>
  <c r="G61" i="12"/>
  <c r="K61" i="12"/>
  <c r="I61" i="12"/>
  <c r="M420" i="12"/>
  <c r="P420" i="12" s="1"/>
  <c r="M132" i="12"/>
  <c r="P132" i="12" s="1"/>
  <c r="N133" i="12"/>
  <c r="L133" i="12"/>
  <c r="I133" i="12"/>
  <c r="H133" i="12"/>
  <c r="F133" i="12"/>
  <c r="J133" i="12"/>
  <c r="G133" i="12"/>
  <c r="K133" i="12"/>
  <c r="N278" i="12"/>
  <c r="L278" i="12"/>
  <c r="K278" i="12"/>
  <c r="J278" i="12"/>
  <c r="G278" i="12"/>
  <c r="F278" i="12"/>
  <c r="I278" i="12"/>
  <c r="H278" i="12"/>
  <c r="N421" i="12"/>
  <c r="L421" i="12"/>
  <c r="I421" i="12"/>
  <c r="H421" i="12"/>
  <c r="G421" i="12"/>
  <c r="K421" i="12"/>
  <c r="F421" i="12"/>
  <c r="J421" i="12"/>
  <c r="L351" i="12"/>
  <c r="N351" i="12"/>
  <c r="I351" i="12"/>
  <c r="J351" i="12"/>
  <c r="K351" i="12"/>
  <c r="G351" i="12"/>
  <c r="F351" i="12"/>
  <c r="H351" i="12"/>
  <c r="B62" i="12"/>
  <c r="A62" i="12" s="1"/>
  <c r="M350" i="12"/>
  <c r="P350" i="12" s="1"/>
  <c r="N207" i="12"/>
  <c r="L207" i="12"/>
  <c r="F207" i="12"/>
  <c r="H207" i="12"/>
  <c r="I207" i="12"/>
  <c r="J207" i="12"/>
  <c r="K207" i="12"/>
  <c r="G207" i="12"/>
  <c r="M206" i="12"/>
  <c r="P206" i="12" s="1"/>
  <c r="B422" i="12"/>
  <c r="A422" i="12" s="1"/>
  <c r="B352" i="12"/>
  <c r="A352" i="12" s="1"/>
  <c r="B279" i="12"/>
  <c r="A279" i="12" s="1"/>
  <c r="B208" i="12"/>
  <c r="A208" i="12" s="1"/>
  <c r="B134" i="12"/>
  <c r="A134" i="12" s="1"/>
  <c r="O421" i="12" l="1"/>
  <c r="O278" i="12"/>
  <c r="O133" i="12"/>
  <c r="M351" i="12"/>
  <c r="P351" i="12" s="1"/>
  <c r="O61" i="12"/>
  <c r="N134" i="12"/>
  <c r="L134" i="12"/>
  <c r="I134" i="12"/>
  <c r="K134" i="12"/>
  <c r="F134" i="12"/>
  <c r="J134" i="12"/>
  <c r="G134" i="12"/>
  <c r="H134" i="12"/>
  <c r="N279" i="12"/>
  <c r="L279" i="12"/>
  <c r="H279" i="12"/>
  <c r="G279" i="12"/>
  <c r="J279" i="12"/>
  <c r="F279" i="12"/>
  <c r="K279" i="12"/>
  <c r="I279" i="12"/>
  <c r="N422" i="12"/>
  <c r="L422" i="12"/>
  <c r="J422" i="12"/>
  <c r="I422" i="12"/>
  <c r="F422" i="12"/>
  <c r="G422" i="12"/>
  <c r="H422" i="12"/>
  <c r="K422" i="12"/>
  <c r="M207" i="12"/>
  <c r="P207" i="12" s="1"/>
  <c r="N62" i="12"/>
  <c r="L62" i="12"/>
  <c r="I62" i="12"/>
  <c r="J62" i="12"/>
  <c r="K62" i="12"/>
  <c r="F62" i="12"/>
  <c r="H62" i="12"/>
  <c r="G62" i="12"/>
  <c r="O207" i="12"/>
  <c r="B63" i="12"/>
  <c r="A63" i="12" s="1"/>
  <c r="O351" i="12"/>
  <c r="M61" i="12"/>
  <c r="P61" i="12" s="1"/>
  <c r="N208" i="12"/>
  <c r="L208" i="12"/>
  <c r="I208" i="12"/>
  <c r="K208" i="12"/>
  <c r="J208" i="12"/>
  <c r="H208" i="12"/>
  <c r="G208" i="12"/>
  <c r="F208" i="12"/>
  <c r="N352" i="12"/>
  <c r="L352" i="12"/>
  <c r="G352" i="12"/>
  <c r="J352" i="12"/>
  <c r="I352" i="12"/>
  <c r="H352" i="12"/>
  <c r="F352" i="12"/>
  <c r="K352" i="12"/>
  <c r="M133" i="12"/>
  <c r="P133" i="12" s="1"/>
  <c r="M421" i="12"/>
  <c r="P421" i="12" s="1"/>
  <c r="M278" i="12"/>
  <c r="P278" i="12" s="1"/>
  <c r="B423" i="12"/>
  <c r="A423" i="12" s="1"/>
  <c r="B353" i="12"/>
  <c r="A353" i="12" s="1"/>
  <c r="B280" i="12"/>
  <c r="A280" i="12" s="1"/>
  <c r="B209" i="12"/>
  <c r="A209" i="12" s="1"/>
  <c r="B135" i="12"/>
  <c r="A135" i="12" s="1"/>
  <c r="O422" i="12" l="1"/>
  <c r="O279" i="12"/>
  <c r="O352" i="12"/>
  <c r="O208" i="12"/>
  <c r="O62" i="12"/>
  <c r="M134" i="12"/>
  <c r="P134" i="12" s="1"/>
  <c r="M62" i="12"/>
  <c r="P62" i="12" s="1"/>
  <c r="N63" i="12"/>
  <c r="L63" i="12"/>
  <c r="K63" i="12"/>
  <c r="I63" i="12"/>
  <c r="G63" i="12"/>
  <c r="H63" i="12"/>
  <c r="F63" i="12"/>
  <c r="J63" i="12"/>
  <c r="N135" i="12"/>
  <c r="L135" i="12"/>
  <c r="I135" i="12"/>
  <c r="K135" i="12"/>
  <c r="J135" i="12"/>
  <c r="G135" i="12"/>
  <c r="H135" i="12"/>
  <c r="F135" i="12"/>
  <c r="N280" i="12"/>
  <c r="L280" i="12"/>
  <c r="I280" i="12"/>
  <c r="J280" i="12"/>
  <c r="G280" i="12"/>
  <c r="K280" i="12"/>
  <c r="F280" i="12"/>
  <c r="H280" i="12"/>
  <c r="N423" i="12"/>
  <c r="L423" i="12"/>
  <c r="G423" i="12"/>
  <c r="H423" i="12"/>
  <c r="K423" i="12"/>
  <c r="F423" i="12"/>
  <c r="I423" i="12"/>
  <c r="J423" i="12"/>
  <c r="B64" i="12"/>
  <c r="A64" i="12" s="1"/>
  <c r="N353" i="12"/>
  <c r="L353" i="12"/>
  <c r="J353" i="12"/>
  <c r="I353" i="12"/>
  <c r="G353" i="12"/>
  <c r="F353" i="12"/>
  <c r="H353" i="12"/>
  <c r="K353" i="12"/>
  <c r="N209" i="12"/>
  <c r="L209" i="12"/>
  <c r="K209" i="12"/>
  <c r="F209" i="12"/>
  <c r="H209" i="12"/>
  <c r="G209" i="12"/>
  <c r="J209" i="12"/>
  <c r="I209" i="12"/>
  <c r="M208" i="12"/>
  <c r="P208" i="12" s="1"/>
  <c r="M279" i="12"/>
  <c r="P279" i="12" s="1"/>
  <c r="O134" i="12"/>
  <c r="M352" i="12"/>
  <c r="P352" i="12" s="1"/>
  <c r="M422" i="12"/>
  <c r="P422" i="12" s="1"/>
  <c r="B424" i="12"/>
  <c r="A424" i="12" s="1"/>
  <c r="B354" i="12"/>
  <c r="A354" i="12" s="1"/>
  <c r="B281" i="12"/>
  <c r="A281" i="12" s="1"/>
  <c r="B210" i="12"/>
  <c r="A210" i="12" s="1"/>
  <c r="B136" i="12"/>
  <c r="A136" i="12" s="1"/>
  <c r="O209" i="12" l="1"/>
  <c r="O353" i="12"/>
  <c r="O423" i="12"/>
  <c r="O280" i="12"/>
  <c r="O135" i="12"/>
  <c r="O63" i="12"/>
  <c r="M280" i="12"/>
  <c r="P280" i="12" s="1"/>
  <c r="M63" i="12"/>
  <c r="P63" i="12" s="1"/>
  <c r="M135" i="12"/>
  <c r="P135" i="12" s="1"/>
  <c r="L354" i="12"/>
  <c r="N354" i="12"/>
  <c r="K354" i="12"/>
  <c r="I354" i="12"/>
  <c r="H354" i="12"/>
  <c r="J354" i="12"/>
  <c r="G354" i="12"/>
  <c r="F354" i="12"/>
  <c r="M353" i="12"/>
  <c r="P353" i="12" s="1"/>
  <c r="N64" i="12"/>
  <c r="L64" i="12"/>
  <c r="I64" i="12"/>
  <c r="K64" i="12"/>
  <c r="J64" i="12"/>
  <c r="H64" i="12"/>
  <c r="F64" i="12"/>
  <c r="G64" i="12"/>
  <c r="M423" i="12"/>
  <c r="P423" i="12" s="1"/>
  <c r="N210" i="12"/>
  <c r="L210" i="12"/>
  <c r="H210" i="12"/>
  <c r="F210" i="12"/>
  <c r="I210" i="12"/>
  <c r="K210" i="12"/>
  <c r="G210" i="12"/>
  <c r="J210" i="12"/>
  <c r="M209" i="12"/>
  <c r="P209" i="12" s="1"/>
  <c r="N136" i="12"/>
  <c r="L136" i="12"/>
  <c r="K136" i="12"/>
  <c r="I136" i="12"/>
  <c r="F136" i="12"/>
  <c r="H136" i="12"/>
  <c r="J136" i="12"/>
  <c r="G136" i="12"/>
  <c r="N281" i="12"/>
  <c r="L281" i="12"/>
  <c r="F281" i="12"/>
  <c r="J281" i="12"/>
  <c r="I281" i="12"/>
  <c r="G281" i="12"/>
  <c r="K281" i="12"/>
  <c r="H281" i="12"/>
  <c r="N424" i="12"/>
  <c r="L424" i="12"/>
  <c r="H424" i="12"/>
  <c r="G424" i="12"/>
  <c r="J424" i="12"/>
  <c r="K424" i="12"/>
  <c r="I424" i="12"/>
  <c r="F424" i="12"/>
  <c r="B65" i="12"/>
  <c r="A65" i="12" s="1"/>
  <c r="B425" i="12"/>
  <c r="A425" i="12" s="1"/>
  <c r="B355" i="12"/>
  <c r="A355" i="12" s="1"/>
  <c r="B282" i="12"/>
  <c r="A282" i="12" s="1"/>
  <c r="B211" i="12"/>
  <c r="A211" i="12" s="1"/>
  <c r="B137" i="12"/>
  <c r="A137" i="12" s="1"/>
  <c r="O210" i="12" l="1"/>
  <c r="O354" i="12"/>
  <c r="M64" i="12"/>
  <c r="P64" i="12" s="1"/>
  <c r="M354" i="12"/>
  <c r="P354" i="12" s="1"/>
  <c r="O64" i="12"/>
  <c r="M424" i="12"/>
  <c r="P424" i="12" s="1"/>
  <c r="O424" i="12"/>
  <c r="O281" i="12"/>
  <c r="O136" i="12"/>
  <c r="M281" i="12"/>
  <c r="P281" i="12" s="1"/>
  <c r="M210" i="12"/>
  <c r="P210" i="12" s="1"/>
  <c r="N137" i="12"/>
  <c r="L137" i="12"/>
  <c r="K137" i="12"/>
  <c r="I137" i="12"/>
  <c r="G137" i="12"/>
  <c r="H137" i="12"/>
  <c r="J137" i="12"/>
  <c r="F137" i="12"/>
  <c r="N282" i="12"/>
  <c r="L282" i="12"/>
  <c r="J282" i="12"/>
  <c r="K282" i="12"/>
  <c r="F282" i="12"/>
  <c r="I282" i="12"/>
  <c r="H282" i="12"/>
  <c r="G282" i="12"/>
  <c r="N425" i="12"/>
  <c r="L425" i="12"/>
  <c r="J425" i="12"/>
  <c r="F425" i="12"/>
  <c r="K425" i="12"/>
  <c r="G425" i="12"/>
  <c r="H425" i="12"/>
  <c r="I425" i="12"/>
  <c r="N355" i="12"/>
  <c r="L355" i="12"/>
  <c r="G355" i="12"/>
  <c r="K355" i="12"/>
  <c r="I355" i="12"/>
  <c r="H355" i="12"/>
  <c r="F355" i="12"/>
  <c r="J355" i="12"/>
  <c r="N65" i="12"/>
  <c r="L65" i="12"/>
  <c r="K65" i="12"/>
  <c r="I65" i="12"/>
  <c r="G65" i="12"/>
  <c r="F65" i="12"/>
  <c r="H65" i="12"/>
  <c r="J65" i="12"/>
  <c r="N211" i="12"/>
  <c r="L211" i="12"/>
  <c r="I211" i="12"/>
  <c r="G211" i="12"/>
  <c r="K211" i="12"/>
  <c r="J211" i="12"/>
  <c r="H211" i="12"/>
  <c r="F211" i="12"/>
  <c r="B66" i="12"/>
  <c r="A66" i="12" s="1"/>
  <c r="M136" i="12"/>
  <c r="P136" i="12" s="1"/>
  <c r="B426" i="12"/>
  <c r="A426" i="12" s="1"/>
  <c r="B356" i="12"/>
  <c r="A356" i="12" s="1"/>
  <c r="B283" i="12"/>
  <c r="A283" i="12" s="1"/>
  <c r="B212" i="12"/>
  <c r="A212" i="12" s="1"/>
  <c r="B138" i="12"/>
  <c r="A138" i="12" s="1"/>
  <c r="O211" i="12" l="1"/>
  <c r="O65" i="12"/>
  <c r="O355" i="12"/>
  <c r="O425" i="12"/>
  <c r="O282" i="12"/>
  <c r="O137" i="12"/>
  <c r="M65" i="12"/>
  <c r="P65" i="12" s="1"/>
  <c r="N212" i="12"/>
  <c r="L212" i="12"/>
  <c r="G212" i="12"/>
  <c r="F212" i="12"/>
  <c r="H212" i="12"/>
  <c r="I212" i="12"/>
  <c r="K212" i="12"/>
  <c r="J212" i="12"/>
  <c r="N66" i="12"/>
  <c r="L66" i="12"/>
  <c r="K66" i="12"/>
  <c r="I66" i="12"/>
  <c r="F66" i="12"/>
  <c r="G66" i="12"/>
  <c r="H66" i="12"/>
  <c r="J66" i="12"/>
  <c r="N138" i="12"/>
  <c r="L138" i="12"/>
  <c r="I138" i="12"/>
  <c r="K138" i="12"/>
  <c r="G138" i="12"/>
  <c r="F138" i="12"/>
  <c r="H138" i="12"/>
  <c r="J138" i="12"/>
  <c r="N283" i="12"/>
  <c r="L283" i="12"/>
  <c r="F283" i="12"/>
  <c r="G283" i="12"/>
  <c r="K283" i="12"/>
  <c r="I283" i="12"/>
  <c r="J283" i="12"/>
  <c r="H283" i="12"/>
  <c r="N426" i="12"/>
  <c r="L426" i="12"/>
  <c r="J426" i="12"/>
  <c r="K426" i="12"/>
  <c r="I426" i="12"/>
  <c r="F426" i="12"/>
  <c r="H426" i="12"/>
  <c r="G426" i="12"/>
  <c r="B67" i="12"/>
  <c r="A67" i="12" s="1"/>
  <c r="M282" i="12"/>
  <c r="P282" i="12" s="1"/>
  <c r="M211" i="12"/>
  <c r="P211" i="12" s="1"/>
  <c r="M425" i="12"/>
  <c r="P425" i="12" s="1"/>
  <c r="M137" i="12"/>
  <c r="P137" i="12" s="1"/>
  <c r="N356" i="12"/>
  <c r="L356" i="12"/>
  <c r="G356" i="12"/>
  <c r="I356" i="12"/>
  <c r="H356" i="12"/>
  <c r="K356" i="12"/>
  <c r="F356" i="12"/>
  <c r="J356" i="12"/>
  <c r="M355" i="12"/>
  <c r="P355" i="12" s="1"/>
  <c r="B427" i="12"/>
  <c r="A427" i="12" s="1"/>
  <c r="B357" i="12"/>
  <c r="A357" i="12" s="1"/>
  <c r="B284" i="12"/>
  <c r="A284" i="12" s="1"/>
  <c r="B213" i="12"/>
  <c r="A213" i="12" s="1"/>
  <c r="B139" i="12"/>
  <c r="A139" i="12" s="1"/>
  <c r="O356" i="12" l="1"/>
  <c r="O426" i="12"/>
  <c r="O283" i="12"/>
  <c r="O138" i="12"/>
  <c r="O66" i="12"/>
  <c r="O212" i="12"/>
  <c r="M283" i="12"/>
  <c r="P283" i="12" s="1"/>
  <c r="N357" i="12"/>
  <c r="L357" i="12"/>
  <c r="G357" i="12"/>
  <c r="I357" i="12"/>
  <c r="K357" i="12"/>
  <c r="J357" i="12"/>
  <c r="H357" i="12"/>
  <c r="F357" i="12"/>
  <c r="M426" i="12"/>
  <c r="P426" i="12" s="1"/>
  <c r="M138" i="12"/>
  <c r="P138" i="12" s="1"/>
  <c r="N213" i="12"/>
  <c r="L213" i="12"/>
  <c r="I213" i="12"/>
  <c r="J213" i="12"/>
  <c r="K213" i="12"/>
  <c r="F213" i="12"/>
  <c r="H213" i="12"/>
  <c r="G213" i="12"/>
  <c r="N67" i="12"/>
  <c r="L67" i="12"/>
  <c r="F67" i="12"/>
  <c r="J67" i="12"/>
  <c r="G67" i="12"/>
  <c r="H67" i="12"/>
  <c r="K67" i="12"/>
  <c r="I67" i="12"/>
  <c r="N139" i="12"/>
  <c r="L139" i="12"/>
  <c r="I139" i="12"/>
  <c r="G139" i="12"/>
  <c r="H139" i="12"/>
  <c r="J139" i="12"/>
  <c r="F139" i="12"/>
  <c r="K139" i="12"/>
  <c r="N284" i="12"/>
  <c r="L284" i="12"/>
  <c r="H284" i="12"/>
  <c r="K284" i="12"/>
  <c r="F284" i="12"/>
  <c r="I284" i="12"/>
  <c r="G284" i="12"/>
  <c r="J284" i="12"/>
  <c r="L427" i="12"/>
  <c r="N427" i="12"/>
  <c r="I427" i="12"/>
  <c r="H427" i="12"/>
  <c r="G427" i="12"/>
  <c r="J427" i="12"/>
  <c r="K427" i="12"/>
  <c r="F427" i="12"/>
  <c r="M356" i="12"/>
  <c r="P356" i="12" s="1"/>
  <c r="B68" i="12"/>
  <c r="A68" i="12" s="1"/>
  <c r="M66" i="12"/>
  <c r="P66" i="12" s="1"/>
  <c r="M212" i="12"/>
  <c r="P212" i="12" s="1"/>
  <c r="B428" i="12"/>
  <c r="A428" i="12" s="1"/>
  <c r="B358" i="12"/>
  <c r="A358" i="12" s="1"/>
  <c r="B285" i="12"/>
  <c r="A285" i="12" s="1"/>
  <c r="B214" i="12"/>
  <c r="A214" i="12" s="1"/>
  <c r="B140" i="12"/>
  <c r="A140" i="12" s="1"/>
  <c r="O284" i="12" l="1"/>
  <c r="O139" i="12"/>
  <c r="O67" i="12"/>
  <c r="O213" i="12"/>
  <c r="M427" i="12"/>
  <c r="P427" i="12" s="1"/>
  <c r="O357" i="12"/>
  <c r="M139" i="12"/>
  <c r="P139" i="12" s="1"/>
  <c r="M357" i="12"/>
  <c r="P357" i="12" s="1"/>
  <c r="M213" i="12"/>
  <c r="P213" i="12" s="1"/>
  <c r="B69" i="12"/>
  <c r="A69" i="12" s="1"/>
  <c r="N358" i="12"/>
  <c r="L358" i="12"/>
  <c r="G358" i="12"/>
  <c r="J358" i="12"/>
  <c r="I358" i="12"/>
  <c r="F358" i="12"/>
  <c r="K358" i="12"/>
  <c r="H358" i="12"/>
  <c r="O427" i="12"/>
  <c r="N214" i="12"/>
  <c r="L214" i="12"/>
  <c r="J214" i="12"/>
  <c r="I214" i="12"/>
  <c r="H214" i="12"/>
  <c r="F214" i="12"/>
  <c r="K214" i="12"/>
  <c r="G214" i="12"/>
  <c r="M284" i="12"/>
  <c r="P284" i="12" s="1"/>
  <c r="M67" i="12"/>
  <c r="P67" i="12" s="1"/>
  <c r="N140" i="12"/>
  <c r="L140" i="12"/>
  <c r="I140" i="12"/>
  <c r="K140" i="12"/>
  <c r="H140" i="12"/>
  <c r="J140" i="12"/>
  <c r="F140" i="12"/>
  <c r="G140" i="12"/>
  <c r="N285" i="12"/>
  <c r="L285" i="12"/>
  <c r="H285" i="12"/>
  <c r="G285" i="12"/>
  <c r="I285" i="12"/>
  <c r="J285" i="12"/>
  <c r="K285" i="12"/>
  <c r="F285" i="12"/>
  <c r="N428" i="12"/>
  <c r="L428" i="12"/>
  <c r="G428" i="12"/>
  <c r="J428" i="12"/>
  <c r="K428" i="12"/>
  <c r="H428" i="12"/>
  <c r="I428" i="12"/>
  <c r="F428" i="12"/>
  <c r="N68" i="12"/>
  <c r="L68" i="12"/>
  <c r="I68" i="12"/>
  <c r="G68" i="12"/>
  <c r="K68" i="12"/>
  <c r="H68" i="12"/>
  <c r="F68" i="12"/>
  <c r="J68" i="12"/>
  <c r="B429" i="12"/>
  <c r="A429" i="12" s="1"/>
  <c r="B359" i="12"/>
  <c r="A359" i="12" s="1"/>
  <c r="B286" i="12"/>
  <c r="A286" i="12" s="1"/>
  <c r="B215" i="12"/>
  <c r="A215" i="12" s="1"/>
  <c r="B141" i="12"/>
  <c r="A141" i="12" s="1"/>
  <c r="O358" i="12" l="1"/>
  <c r="O214" i="12"/>
  <c r="O68" i="12"/>
  <c r="O428" i="12"/>
  <c r="O285" i="12"/>
  <c r="M428" i="12"/>
  <c r="P428" i="12" s="1"/>
  <c r="M285" i="12"/>
  <c r="P285" i="12" s="1"/>
  <c r="M140" i="12"/>
  <c r="P140" i="12" s="1"/>
  <c r="M358" i="12"/>
  <c r="P358" i="12" s="1"/>
  <c r="N359" i="12"/>
  <c r="L359" i="12"/>
  <c r="F359" i="12"/>
  <c r="H359" i="12"/>
  <c r="K359" i="12"/>
  <c r="J359" i="12"/>
  <c r="G359" i="12"/>
  <c r="I359" i="12"/>
  <c r="M68" i="12"/>
  <c r="P68" i="12" s="1"/>
  <c r="N141" i="12"/>
  <c r="L141" i="12"/>
  <c r="K141" i="12"/>
  <c r="I141" i="12"/>
  <c r="F141" i="12"/>
  <c r="G141" i="12"/>
  <c r="H141" i="12"/>
  <c r="J141" i="12"/>
  <c r="N286" i="12"/>
  <c r="L286" i="12"/>
  <c r="K286" i="12"/>
  <c r="I286" i="12"/>
  <c r="H286" i="12"/>
  <c r="J286" i="12"/>
  <c r="G286" i="12"/>
  <c r="F286" i="12"/>
  <c r="N429" i="12"/>
  <c r="L429" i="12"/>
  <c r="H429" i="12"/>
  <c r="K429" i="12"/>
  <c r="I429" i="12"/>
  <c r="G429" i="12"/>
  <c r="J429" i="12"/>
  <c r="F429" i="12"/>
  <c r="O140" i="12"/>
  <c r="N215" i="12"/>
  <c r="L215" i="12"/>
  <c r="K215" i="12"/>
  <c r="H215" i="12"/>
  <c r="G215" i="12"/>
  <c r="I215" i="12"/>
  <c r="F215" i="12"/>
  <c r="J215" i="12"/>
  <c r="L69" i="12"/>
  <c r="N69" i="12"/>
  <c r="I69" i="12"/>
  <c r="K69" i="12"/>
  <c r="J69" i="12"/>
  <c r="F69" i="12"/>
  <c r="G69" i="12"/>
  <c r="H69" i="12"/>
  <c r="M214" i="12"/>
  <c r="P214" i="12" s="1"/>
  <c r="B70" i="12"/>
  <c r="A70" i="12" s="1"/>
  <c r="B430" i="12"/>
  <c r="A430" i="12" s="1"/>
  <c r="B360" i="12"/>
  <c r="A360" i="12" s="1"/>
  <c r="B287" i="12"/>
  <c r="A287" i="12" s="1"/>
  <c r="B216" i="12"/>
  <c r="A216" i="12" s="1"/>
  <c r="B142" i="12"/>
  <c r="A142" i="12" s="1"/>
  <c r="O286" i="12" l="1"/>
  <c r="O141" i="12"/>
  <c r="O359" i="12"/>
  <c r="O429" i="12"/>
  <c r="O215" i="12"/>
  <c r="N360" i="12"/>
  <c r="L360" i="12"/>
  <c r="J360" i="12"/>
  <c r="I360" i="12"/>
  <c r="F360" i="12"/>
  <c r="G360" i="12"/>
  <c r="K360" i="12"/>
  <c r="H360" i="12"/>
  <c r="N70" i="12"/>
  <c r="L70" i="12"/>
  <c r="I70" i="12"/>
  <c r="K70" i="12"/>
  <c r="H70" i="12"/>
  <c r="G70" i="12"/>
  <c r="J70" i="12"/>
  <c r="F70" i="12"/>
  <c r="M141" i="12"/>
  <c r="P141" i="12" s="1"/>
  <c r="M215" i="12"/>
  <c r="P215" i="12" s="1"/>
  <c r="M429" i="12"/>
  <c r="P429" i="12" s="1"/>
  <c r="M286" i="12"/>
  <c r="P286" i="12" s="1"/>
  <c r="N216" i="12"/>
  <c r="L216" i="12"/>
  <c r="F216" i="12"/>
  <c r="H216" i="12"/>
  <c r="I216" i="12"/>
  <c r="K216" i="12"/>
  <c r="J216" i="12"/>
  <c r="G216" i="12"/>
  <c r="B71" i="12"/>
  <c r="A71" i="12" s="1"/>
  <c r="M69" i="12"/>
  <c r="P69" i="12" s="1"/>
  <c r="N142" i="12"/>
  <c r="L142" i="12"/>
  <c r="I142" i="12"/>
  <c r="K142" i="12"/>
  <c r="H142" i="12"/>
  <c r="F142" i="12"/>
  <c r="G142" i="12"/>
  <c r="J142" i="12"/>
  <c r="N287" i="12"/>
  <c r="L287" i="12"/>
  <c r="I287" i="12"/>
  <c r="J287" i="12"/>
  <c r="G287" i="12"/>
  <c r="F287" i="12"/>
  <c r="K287" i="12"/>
  <c r="H287" i="12"/>
  <c r="N430" i="12"/>
  <c r="L430" i="12"/>
  <c r="I430" i="12"/>
  <c r="G430" i="12"/>
  <c r="H430" i="12"/>
  <c r="K430" i="12"/>
  <c r="J430" i="12"/>
  <c r="F430" i="12"/>
  <c r="O69" i="12"/>
  <c r="M359" i="12"/>
  <c r="P359" i="12" s="1"/>
  <c r="B431" i="12"/>
  <c r="A431" i="12" s="1"/>
  <c r="B362" i="12"/>
  <c r="A362" i="12" s="1"/>
  <c r="B361" i="12"/>
  <c r="A361" i="12" s="1"/>
  <c r="B288" i="12"/>
  <c r="A288" i="12" s="1"/>
  <c r="B217" i="12"/>
  <c r="A217" i="12" s="1"/>
  <c r="B218" i="12"/>
  <c r="A218" i="12" s="1"/>
  <c r="B143" i="12"/>
  <c r="A143" i="12" s="1"/>
  <c r="O216" i="12" l="1"/>
  <c r="O70" i="12"/>
  <c r="O360" i="12"/>
  <c r="M430" i="12"/>
  <c r="P430" i="12" s="1"/>
  <c r="N143" i="12"/>
  <c r="L143" i="12"/>
  <c r="K143" i="12"/>
  <c r="I143" i="12"/>
  <c r="G143" i="12"/>
  <c r="F143" i="12"/>
  <c r="J143" i="12"/>
  <c r="H143" i="12"/>
  <c r="N431" i="12"/>
  <c r="L431" i="12"/>
  <c r="H431" i="12"/>
  <c r="F431" i="12"/>
  <c r="G431" i="12"/>
  <c r="K431" i="12"/>
  <c r="J431" i="12"/>
  <c r="I431" i="12"/>
  <c r="N217" i="12"/>
  <c r="L217" i="12"/>
  <c r="G217" i="12"/>
  <c r="H217" i="12"/>
  <c r="I217" i="12"/>
  <c r="F217" i="12"/>
  <c r="K217" i="12"/>
  <c r="J217" i="12"/>
  <c r="L362" i="12"/>
  <c r="N362" i="12"/>
  <c r="J362" i="12"/>
  <c r="G362" i="12"/>
  <c r="K362" i="12"/>
  <c r="F362" i="12"/>
  <c r="H362" i="12"/>
  <c r="I362" i="12"/>
  <c r="M287" i="12"/>
  <c r="P287" i="12" s="1"/>
  <c r="M70" i="12"/>
  <c r="P70" i="12" s="1"/>
  <c r="M216" i="12"/>
  <c r="P216" i="12" s="1"/>
  <c r="N288" i="12"/>
  <c r="L288" i="12"/>
  <c r="F288" i="12"/>
  <c r="I288" i="12"/>
  <c r="J288" i="12"/>
  <c r="K288" i="12"/>
  <c r="G288" i="12"/>
  <c r="H288" i="12"/>
  <c r="N71" i="12"/>
  <c r="L71" i="12"/>
  <c r="I71" i="12"/>
  <c r="K71" i="12"/>
  <c r="G71" i="12"/>
  <c r="J71" i="12"/>
  <c r="F71" i="12"/>
  <c r="H71" i="12"/>
  <c r="N218" i="12"/>
  <c r="L218" i="12"/>
  <c r="H218" i="12"/>
  <c r="G218" i="12"/>
  <c r="I218" i="12"/>
  <c r="K218" i="12"/>
  <c r="F218" i="12"/>
  <c r="J218" i="12"/>
  <c r="N361" i="12"/>
  <c r="L361" i="12"/>
  <c r="K361" i="12"/>
  <c r="I361" i="12"/>
  <c r="G361" i="12"/>
  <c r="H361" i="12"/>
  <c r="J361" i="12"/>
  <c r="F361" i="12"/>
  <c r="O430" i="12"/>
  <c r="O287" i="12"/>
  <c r="M142" i="12"/>
  <c r="P142" i="12" s="1"/>
  <c r="O142" i="12"/>
  <c r="B72" i="12"/>
  <c r="A72" i="12" s="1"/>
  <c r="M360" i="12"/>
  <c r="P360" i="12" s="1"/>
  <c r="B432" i="12"/>
  <c r="A432" i="12" s="1"/>
  <c r="B290" i="12"/>
  <c r="A290" i="12" s="1"/>
  <c r="B289" i="12"/>
  <c r="A289" i="12" s="1"/>
  <c r="B144" i="12"/>
  <c r="A144" i="12" s="1"/>
  <c r="O217" i="12" l="1"/>
  <c r="O431" i="12"/>
  <c r="O143" i="12"/>
  <c r="N289" i="12"/>
  <c r="L289" i="12"/>
  <c r="H289" i="12"/>
  <c r="G289" i="12"/>
  <c r="J289" i="12"/>
  <c r="F289" i="12"/>
  <c r="I289" i="12"/>
  <c r="K289" i="12"/>
  <c r="N144" i="12"/>
  <c r="L144" i="12"/>
  <c r="I144" i="12"/>
  <c r="K144" i="12"/>
  <c r="G144" i="12"/>
  <c r="H144" i="12"/>
  <c r="F144" i="12"/>
  <c r="J144" i="12"/>
  <c r="N432" i="12"/>
  <c r="L432" i="12"/>
  <c r="J432" i="12"/>
  <c r="K432" i="12"/>
  <c r="F432" i="12"/>
  <c r="G432" i="12"/>
  <c r="H432" i="12"/>
  <c r="I432" i="12"/>
  <c r="B74" i="12"/>
  <c r="A74" i="12" s="1"/>
  <c r="B73" i="12"/>
  <c r="A73" i="12" s="1"/>
  <c r="M361" i="12"/>
  <c r="P361" i="12" s="1"/>
  <c r="M431" i="12"/>
  <c r="P431" i="12" s="1"/>
  <c r="M218" i="12"/>
  <c r="P218" i="12" s="1"/>
  <c r="M71" i="12"/>
  <c r="P71" i="12" s="1"/>
  <c r="M288" i="12"/>
  <c r="P288" i="12" s="1"/>
  <c r="M362" i="12"/>
  <c r="P362" i="12" s="1"/>
  <c r="M217" i="12"/>
  <c r="P217" i="12" s="1"/>
  <c r="M143" i="12"/>
  <c r="P143" i="12" s="1"/>
  <c r="N290" i="12"/>
  <c r="L290" i="12"/>
  <c r="G290" i="12"/>
  <c r="H290" i="12"/>
  <c r="K290" i="12"/>
  <c r="I290" i="12"/>
  <c r="J290" i="12"/>
  <c r="F290" i="12"/>
  <c r="N72" i="12"/>
  <c r="L72" i="12"/>
  <c r="I72" i="12"/>
  <c r="K72" i="12"/>
  <c r="F72" i="12"/>
  <c r="H72" i="12"/>
  <c r="J72" i="12"/>
  <c r="G72" i="12"/>
  <c r="O361" i="12"/>
  <c r="O218" i="12"/>
  <c r="O71" i="12"/>
  <c r="O288" i="12"/>
  <c r="O362" i="12"/>
  <c r="B433" i="12"/>
  <c r="A433" i="12" s="1"/>
  <c r="B146" i="12"/>
  <c r="A146" i="12" s="1"/>
  <c r="B145" i="12"/>
  <c r="A145" i="12" s="1"/>
  <c r="O72" i="12" l="1"/>
  <c r="O290" i="12"/>
  <c r="O432" i="12"/>
  <c r="O144" i="12"/>
  <c r="O289" i="12"/>
  <c r="M144" i="12"/>
  <c r="P144" i="12" s="1"/>
  <c r="W4" i="6" s="1"/>
  <c r="T5" i="6"/>
  <c r="W7" i="6"/>
  <c r="U6" i="6"/>
  <c r="T7" i="6"/>
  <c r="X7" i="6"/>
  <c r="T8" i="6"/>
  <c r="X5" i="6"/>
  <c r="V6" i="6"/>
  <c r="T6" i="6"/>
  <c r="W6" i="6"/>
  <c r="V7" i="6"/>
  <c r="W5" i="6"/>
  <c r="Y7" i="6"/>
  <c r="U7" i="6"/>
  <c r="T4" i="6"/>
  <c r="U3" i="6"/>
  <c r="T3" i="6"/>
  <c r="B434" i="12"/>
  <c r="A434" i="12" s="1"/>
  <c r="N7" i="6"/>
  <c r="P5" i="6"/>
  <c r="L6" i="6"/>
  <c r="L8" i="6"/>
  <c r="Q7" i="6"/>
  <c r="N6" i="6"/>
  <c r="L4" i="6"/>
  <c r="P7" i="6"/>
  <c r="O5" i="6"/>
  <c r="O6" i="6"/>
  <c r="M6" i="6"/>
  <c r="O7" i="6"/>
  <c r="M7" i="6"/>
  <c r="L7" i="6"/>
  <c r="L5" i="6"/>
  <c r="N3" i="6"/>
  <c r="L3" i="6"/>
  <c r="M72" i="12"/>
  <c r="P72" i="12" s="1"/>
  <c r="O3" i="6" s="1"/>
  <c r="N145" i="12"/>
  <c r="L145" i="12"/>
  <c r="I145" i="12"/>
  <c r="F145" i="12"/>
  <c r="G145" i="12"/>
  <c r="J145" i="12"/>
  <c r="H145" i="12"/>
  <c r="K145" i="12"/>
  <c r="N146" i="12"/>
  <c r="L146" i="12"/>
  <c r="K146" i="12"/>
  <c r="I146" i="12"/>
  <c r="G146" i="12"/>
  <c r="J146" i="12"/>
  <c r="F146" i="12"/>
  <c r="H146" i="12"/>
  <c r="M290" i="12"/>
  <c r="P290" i="12" s="1"/>
  <c r="Q6" i="6" s="1"/>
  <c r="N73" i="12"/>
  <c r="L73" i="12"/>
  <c r="G73" i="12"/>
  <c r="H73" i="12"/>
  <c r="J73" i="12"/>
  <c r="F73" i="12"/>
  <c r="I73" i="12"/>
  <c r="K73" i="12"/>
  <c r="M289" i="12"/>
  <c r="P289" i="12" s="1"/>
  <c r="P6" i="6" s="1"/>
  <c r="N433" i="12"/>
  <c r="L433" i="12"/>
  <c r="H433" i="12"/>
  <c r="J433" i="12"/>
  <c r="F433" i="12"/>
  <c r="K433" i="12"/>
  <c r="I433" i="12"/>
  <c r="G433" i="12"/>
  <c r="N74" i="12"/>
  <c r="L74" i="12"/>
  <c r="I74" i="12"/>
  <c r="J74" i="12"/>
  <c r="G74" i="12"/>
  <c r="H74" i="12"/>
  <c r="F74" i="12"/>
  <c r="K74" i="12"/>
  <c r="M432" i="12"/>
  <c r="P432" i="12" s="1"/>
  <c r="O8" i="6" s="1"/>
  <c r="N8" i="6" l="1"/>
  <c r="V8" i="6"/>
  <c r="M8" i="6"/>
  <c r="U8" i="6"/>
  <c r="O4" i="6"/>
  <c r="O73" i="12"/>
  <c r="O146" i="12"/>
  <c r="O145" i="12"/>
  <c r="O74" i="12"/>
  <c r="O433" i="12"/>
  <c r="W3" i="6"/>
  <c r="W8" i="6"/>
  <c r="X6" i="6"/>
  <c r="Y6" i="6"/>
  <c r="M73" i="12"/>
  <c r="P73" i="12" s="1"/>
  <c r="M146" i="12"/>
  <c r="P146" i="12" s="1"/>
  <c r="M145" i="12"/>
  <c r="P145" i="12" s="1"/>
  <c r="M433" i="12"/>
  <c r="P433" i="12" s="1"/>
  <c r="M74" i="12"/>
  <c r="P74" i="12" s="1"/>
  <c r="N434" i="12"/>
  <c r="L434" i="12"/>
  <c r="H434" i="12"/>
  <c r="I434" i="12"/>
  <c r="J434" i="12"/>
  <c r="K434" i="12"/>
  <c r="F434" i="12"/>
  <c r="G434" i="12"/>
  <c r="N5" i="6" l="1"/>
  <c r="V5" i="6"/>
  <c r="V4" i="6"/>
  <c r="N4" i="6"/>
  <c r="M5" i="6"/>
  <c r="U5" i="6"/>
  <c r="Q5" i="6"/>
  <c r="Y5" i="6"/>
  <c r="P3" i="6"/>
  <c r="M4" i="6"/>
  <c r="U4" i="6"/>
  <c r="O434" i="12"/>
  <c r="P8" i="6"/>
  <c r="X8" i="6"/>
  <c r="P4" i="6"/>
  <c r="X4" i="6"/>
  <c r="Q4" i="6"/>
  <c r="Y4" i="6"/>
  <c r="M434" i="12"/>
  <c r="P434" i="12" s="1"/>
  <c r="Y3" i="6" l="1"/>
  <c r="X3" i="6"/>
  <c r="V3" i="6"/>
  <c r="Y8" i="6"/>
  <c r="Q3" i="6"/>
  <c r="M3" i="6"/>
  <c r="Q8" i="6"/>
</calcChain>
</file>

<file path=xl/sharedStrings.xml><?xml version="1.0" encoding="utf-8"?>
<sst xmlns="http://schemas.openxmlformats.org/spreadsheetml/2006/main" count="3849" uniqueCount="100">
  <si>
    <t>Fiscal_Year</t>
  </si>
  <si>
    <t>Fiscal_Month</t>
  </si>
  <si>
    <t>DC_id</t>
  </si>
  <si>
    <t>DC_name</t>
  </si>
  <si>
    <t>Capacity</t>
  </si>
  <si>
    <t>OFC</t>
  </si>
  <si>
    <t>TFC</t>
  </si>
  <si>
    <t>WFC</t>
  </si>
  <si>
    <t>EAO</t>
  </si>
  <si>
    <t>ODC</t>
  </si>
  <si>
    <t>WEO</t>
  </si>
  <si>
    <t>OCC</t>
  </si>
  <si>
    <t>SFS</t>
  </si>
  <si>
    <t>BRAND</t>
  </si>
  <si>
    <t>Modeled DC Name</t>
  </si>
  <si>
    <t>Demand</t>
  </si>
  <si>
    <t>Gap</t>
  </si>
  <si>
    <t>BR Factory Store</t>
  </si>
  <si>
    <t>Banana Republic</t>
  </si>
  <si>
    <t>Athleta</t>
  </si>
  <si>
    <t>Old Navy</t>
  </si>
  <si>
    <t>CEO</t>
  </si>
  <si>
    <t>Gap Factory Store</t>
  </si>
  <si>
    <t>FFC-ODC</t>
  </si>
  <si>
    <t>Modeled DC</t>
  </si>
  <si>
    <t>Total</t>
  </si>
  <si>
    <t>DC_name_Xref</t>
  </si>
  <si>
    <t>DC</t>
  </si>
  <si>
    <t>DCS</t>
  </si>
  <si>
    <t>Key</t>
  </si>
  <si>
    <t>Total_Demand</t>
  </si>
  <si>
    <t>Current</t>
  </si>
  <si>
    <t>% Allocation</t>
  </si>
  <si>
    <t>Ratio</t>
  </si>
  <si>
    <t>Year</t>
  </si>
  <si>
    <t>Brand</t>
  </si>
  <si>
    <t>Total Capacity</t>
  </si>
  <si>
    <t>Key_Year</t>
  </si>
  <si>
    <t>Modeled_Demand</t>
  </si>
  <si>
    <t>Demand_Intial_MonthlyPercentage</t>
  </si>
  <si>
    <t>Demand_Intial_Yearly_Perc</t>
  </si>
  <si>
    <t>Initial Demand</t>
  </si>
  <si>
    <t>Modeled Demand</t>
  </si>
  <si>
    <t>Initial Total Demand</t>
  </si>
  <si>
    <t>Modeled_Demand_Final_Year_Perc</t>
  </si>
  <si>
    <t>Ratio_Initial_Demand</t>
  </si>
  <si>
    <t>Ratio_Modeled_Demand</t>
  </si>
  <si>
    <t>Demand_Delta</t>
  </si>
  <si>
    <t>Demand to Capacity Ratio</t>
  </si>
  <si>
    <t>DC_ID</t>
  </si>
  <si>
    <t>Demand%</t>
  </si>
  <si>
    <t>Variance</t>
  </si>
  <si>
    <t>Total_Modeled_Demand</t>
  </si>
  <si>
    <t>Key_Year_Month_Brand</t>
  </si>
  <si>
    <t>MIN</t>
  </si>
  <si>
    <t>MAX</t>
  </si>
  <si>
    <t xml:space="preserve"> Run the query to update this table</t>
  </si>
  <si>
    <t>2018-Athleta</t>
  </si>
  <si>
    <t>2018-Banana Republic</t>
  </si>
  <si>
    <t>2018-BR Factory Store</t>
  </si>
  <si>
    <t>2018-Gap</t>
  </si>
  <si>
    <t>2018-Gap Factory Store</t>
  </si>
  <si>
    <t>2018-Old Navy</t>
  </si>
  <si>
    <t>2019-Athleta</t>
  </si>
  <si>
    <t>2019-Banana Republic</t>
  </si>
  <si>
    <t>2019-BR Factory Store</t>
  </si>
  <si>
    <t>2019-Gap</t>
  </si>
  <si>
    <t>2019-Gap Factory Store</t>
  </si>
  <si>
    <t>2019-Old Navy</t>
  </si>
  <si>
    <t>2020-Athleta</t>
  </si>
  <si>
    <t>2020-Banana Republic</t>
  </si>
  <si>
    <t>2020-BR Factory Store</t>
  </si>
  <si>
    <t>2020-Gap</t>
  </si>
  <si>
    <t>2020-Gap Factory Store</t>
  </si>
  <si>
    <t>2020-Old Navy</t>
  </si>
  <si>
    <t>2021-Athleta</t>
  </si>
  <si>
    <t>2021-Banana Republic</t>
  </si>
  <si>
    <t>2021-BR Factory Store</t>
  </si>
  <si>
    <t>2021-Gap</t>
  </si>
  <si>
    <t>2021-Gap Factory Store</t>
  </si>
  <si>
    <t>2021-Old Navy</t>
  </si>
  <si>
    <t>2022-Athleta</t>
  </si>
  <si>
    <t>2022-Banana Republic</t>
  </si>
  <si>
    <t>2022-BR Factory Store</t>
  </si>
  <si>
    <t>2022-Gap</t>
  </si>
  <si>
    <t>2022-Gap Factory Store</t>
  </si>
  <si>
    <t>2022-Old Navy</t>
  </si>
  <si>
    <t>2023-Athleta</t>
  </si>
  <si>
    <t>2023-Banana Republic</t>
  </si>
  <si>
    <t>2023-BR Factory Store</t>
  </si>
  <si>
    <t>2023-Gap</t>
  </si>
  <si>
    <t>2023-Gap Factory Store</t>
  </si>
  <si>
    <t>2023-Old Navy</t>
  </si>
  <si>
    <t>Fiscal_Week</t>
  </si>
  <si>
    <t>Key_Year_week_DC</t>
  </si>
  <si>
    <t>Fiscal_week</t>
  </si>
  <si>
    <t>Key_Year_Week</t>
  </si>
  <si>
    <t>Year_Week</t>
  </si>
  <si>
    <t>Key_Year_Week_Brand</t>
  </si>
  <si>
    <t>Update from SQL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</si>
</sst>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0" fontId="0" fillId="0" borderId="0" xfId="0" applyNumberFormat="1"/>
    <xf numFmtId="0" fontId="1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/>
    <xf numFmtId="2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Font="1"/>
    <xf numFmtId="0" fontId="2" fillId="0" borderId="0" xfId="0" applyFont="1"/>
    <xf numFmtId="0" fontId="2" fillId="2" borderId="0" xfId="0" applyFont="1" applyFill="1"/>
    <xf numFmtId="10" fontId="2" fillId="2" borderId="0" xfId="0" applyNumberFormat="1" applyFont="1" applyFill="1"/>
    <xf numFmtId="0" fontId="0" fillId="0" borderId="0" xfId="0" applyFont="1" applyAlignment="1">
      <alignment horizontal="left"/>
    </xf>
    <xf numFmtId="10" fontId="0" fillId="0" borderId="0" xfId="0" applyNumberFormat="1" applyFont="1"/>
    <xf numFmtId="0" fontId="0" fillId="0" borderId="0" xfId="0" applyFont="1" applyAlignment="1">
      <alignment horizontal="center"/>
    </xf>
    <xf numFmtId="10" fontId="0" fillId="0" borderId="0" xfId="0" applyNumberFormat="1" applyFont="1" applyAlignment="1">
      <alignment horizontal="center"/>
    </xf>
    <xf numFmtId="0" fontId="0" fillId="0" borderId="0" xfId="0" applyNumberFormat="1"/>
    <xf numFmtId="9" fontId="0" fillId="0" borderId="0" xfId="0" applyNumberFormat="1"/>
    <xf numFmtId="0" fontId="0" fillId="0" borderId="0" xfId="0" quotePrefix="1"/>
    <xf numFmtId="0" fontId="3" fillId="2" borderId="0" xfId="0" applyFont="1" applyFill="1"/>
    <xf numFmtId="0" fontId="1" fillId="2" borderId="0" xfId="0" applyFont="1" applyFill="1"/>
    <xf numFmtId="0" fontId="0" fillId="2" borderId="0" xfId="0" applyFont="1" applyFill="1"/>
    <xf numFmtId="0" fontId="3" fillId="0" borderId="0" xfId="0" applyFont="1"/>
    <xf numFmtId="10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1:I2820" totalsRowShown="0">
  <autoFilter ref="A1:I2820"/>
  <tableColumns count="9">
    <tableColumn id="1" name="Key_Year">
      <calculatedColumnFormula>C2&amp;"-"&amp;F2</calculatedColumnFormula>
    </tableColumn>
    <tableColumn id="2" name="Key_Year_Week">
      <calculatedColumnFormula>I2&amp;"-"&amp;H2</calculatedColumnFormula>
    </tableColumn>
    <tableColumn id="3" name="Fiscal_Year"/>
    <tableColumn id="4" name="Fiscal_Month"/>
    <tableColumn id="6" name="DC_id"/>
    <tableColumn id="7" name="DC_name"/>
    <tableColumn id="8" name="Capacity"/>
    <tableColumn id="9" name="DC_name_Xref" dataDxfId="27">
      <calculatedColumnFormula>IFERROR(VLOOKUP(E2,DC_Xref!A:B,2,FALSE),"")</calculatedColumnFormula>
    </tableColumn>
    <tableColumn id="10" name="Year_Week">
      <calculatedColumnFormula>C2*100+D2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O2593" totalsRowShown="0">
  <sortState ref="D2:M1285">
    <sortCondition ref="D1"/>
  </sortState>
  <tableColumns count="15">
    <tableColumn id="15" name="Key_Year_week_DC" dataDxfId="26">
      <calculatedColumnFormula>Table1[[#This Row],[Year_Week]]&amp;"-"&amp;Table1[[#This Row],[DC_name_Xref]]</calculatedColumnFormula>
    </tableColumn>
    <tableColumn id="3" name="Key_Year_Week_Brand" dataDxfId="25">
      <calculatedColumnFormula>Table1[[#This Row],[Fiscal_Year]]*100+Table1[[#This Row],[Fiscal_Week]] &amp; "-" &amp;Table1[[#This Row],[BRAND]]</calculatedColumnFormula>
    </tableColumn>
    <tableColumn id="13" name="Key" dataDxfId="24">
      <calculatedColumnFormula>Table1[[#This Row],[Fiscal_Year]]&amp;"-"&amp;Table1[[#This Row],[BRAND]]</calculatedColumnFormula>
    </tableColumn>
    <tableColumn id="1" name="Fiscal_Year"/>
    <tableColumn id="2" name="Fiscal_Week"/>
    <tableColumn id="4" name="BRAND"/>
    <tableColumn id="5" name="Modeled DC Name"/>
    <tableColumn id="6" name="Modeled DC"/>
    <tableColumn id="7" name="Demand"/>
    <tableColumn id="8" name="DC_name_Xref">
      <calculatedColumnFormula>VLOOKUP(H2,DC_Xref!A:B,2,FALSE)</calculatedColumnFormula>
    </tableColumn>
    <tableColumn id="9" name="Year_Week">
      <calculatedColumnFormula>D2*100+E2</calculatedColumnFormula>
    </tableColumn>
    <tableColumn id="10" name="Demand_Intial_MonthlyPercentage" dataDxfId="23">
      <calculatedColumnFormula>IFERROR(Table1[[#This Row],[Demand]]/SUMIFS(Table1[Demand],Table1[Fiscal_Year],Table1[[#This Row],[Fiscal_Year]],Table1[BRAND],Table1[[#This Row],[BRAND]],Table1[DC_name_Xref],Table1[[#This Row],[DC_name_Xref]]),0)</calculatedColumnFormula>
    </tableColumn>
    <tableColumn id="11" name="Demand_Intial_Yearly_Perc" dataDxfId="22">
      <calculatedColumnFormula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calculatedColumnFormula>
    </tableColumn>
    <tableColumn id="12" name="Modeled_Demand_Final_Year_Perc" dataDxfId="21">
      <calculatedColumnFormula>IFERROR(INDEX(Table3[#All],MATCH(Table1[[#This Row],[Key_Year_Week_Brand]],Table3[[#All],[Key_Year_Week_Brand]],0),MATCH(Table1[[#This Row],[DC_name_Xref]],Table3[#Headers],0)),0)</calculatedColumnFormula>
    </tableColumn>
    <tableColumn id="14" name="Modeled_Demand" dataDxfId="20">
      <calculatedColumnFormula>IFERROR(INDEX(Table35[#All],MATCH(Table1[[#This Row],[Key_Year_Week_Brand]],Table35[[#All],[Key_Year_Month_Brand]],0),MATCH(Table1[[#This Row],[DC_name_Xref]],Table35[#Headers],0)),0)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3:N435" totalsRowShown="0" headerRowDxfId="19">
  <tableColumns count="13">
    <tableColumn id="13" name="Key_Year_Week_Brand" dataDxfId="18">
      <calculatedColumnFormula>Table3[[#This Row],[Fiscal_Year]]*100+Table3[[#This Row],[Fiscal_Week]] &amp; "-" &amp;Table3[[#This Row],[Brand]]</calculatedColumnFormula>
    </tableColumn>
    <tableColumn id="1" name="Key">
      <calculatedColumnFormula>D4&amp;"-"&amp;F4</calculatedColumnFormula>
    </tableColumn>
    <tableColumn id="2" name="Fiscal_Year"/>
    <tableColumn id="3" name="Fiscal_Week"/>
    <tableColumn id="4" name="Brand"/>
    <tableColumn id="5" name="Demand"/>
    <tableColumn id="6" name="OFC" dataDxfId="17">
      <calculatedColumnFormula>INDEX(Demand_Modeling!$A$13:$I$49,MATCH(Table3[[#This Row],[Key]],Demand_Modeling!$A$13:$A$49,0),MATCH(Table3[[#Headers],[OFC]],Demand_Modeling!$A$13:$I$13,0))</calculatedColumnFormula>
    </tableColumn>
    <tableColumn id="7" name="TFC" dataDxfId="16">
      <calculatedColumnFormula>INDEX(Demand_Modeling!$A$13:$I$49,MATCH(Table3[[#This Row],[Key]],Demand_Modeling!$A$13:$A$49,0),MATCH(Table3[[#Headers],[TFC]],Demand_Modeling!$A$13:$I$13,0))</calculatedColumnFormula>
    </tableColumn>
    <tableColumn id="8" name="WFC" dataDxfId="15">
      <calculatedColumnFormula>INDEX(Demand_Modeling!$A$13:$I$49,MATCH(Table3[[#This Row],[Key]],Demand_Modeling!$A$13:$A$49,0),MATCH(Table3[[#Headers],[WFC]],Demand_Modeling!$A$13:$I$13,0))</calculatedColumnFormula>
    </tableColumn>
    <tableColumn id="9" name="EAO" dataDxfId="14">
      <calculatedColumnFormula>INDEX(Demand_Modeling!$A$13:$I$49,MATCH(Table3[[#This Row],[Key]],Demand_Modeling!$A$13:$A$49,0),MATCH(Table3[[#Headers],[EAO]],Demand_Modeling!$A$13:$I$13,0))</calculatedColumnFormula>
    </tableColumn>
    <tableColumn id="10" name="OCC" dataDxfId="13">
      <calculatedColumnFormula>INDEX(Demand_Modeling!$A$13:$I$49,MATCH(Table3[[#This Row],[Key]],Demand_Modeling!$A$13:$A$49,0),MATCH(Table3[[#Headers],[OCC]],Demand_Modeling!$A$13:$I$13,0))</calculatedColumnFormula>
    </tableColumn>
    <tableColumn id="11" name="WEO" dataDxfId="12">
      <calculatedColumnFormula>INDEX(Demand_Modeling!$A$13:$I$49,MATCH(Table3[[#This Row],[Key]],Demand_Modeling!$A$13:$A$49,0),MATCH(Table3[[#Headers],[WEO]],Demand_Modeling!$A$13:$I$13,0))</calculatedColumnFormula>
    </tableColumn>
    <tableColumn id="12" name="Total" dataDxfId="11">
      <calculatedColumnFormula>SUM(Table3[[#This Row],[OFC]:[WEO]])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Q3:AD435" totalsRowShown="0" headerRowDxfId="10">
  <autoFilter ref="Q3:AD435"/>
  <tableColumns count="14">
    <tableColumn id="14" name="Key_Year_Month_Brand" dataDxfId="9">
      <calculatedColumnFormula>Table35[[#This Row],[Fiscal_Year]]*100+Table35[[#This Row],[Fiscal_Week]] &amp; "-" &amp;Table35[[#This Row],[Brand]]</calculatedColumnFormula>
    </tableColumn>
    <tableColumn id="1" name="Key" dataDxfId="8">
      <calculatedColumnFormula>Table3[[#This Row],[Key]]</calculatedColumnFormula>
    </tableColumn>
    <tableColumn id="2" name="Fiscal_Year"/>
    <tableColumn id="3" name="Fiscal_Week"/>
    <tableColumn id="4" name="Brand"/>
    <tableColumn id="5" name="Demand"/>
    <tableColumn id="6" name="OFC" dataDxfId="7">
      <calculatedColumnFormula>Table3[[#This Row],[OFC]]*Table3[[#This Row],[Demand]]</calculatedColumnFormula>
    </tableColumn>
    <tableColumn id="7" name="TFC" dataDxfId="6">
      <calculatedColumnFormula>Table3[[#This Row],[TFC]]*Table3[[#This Row],[Demand]]</calculatedColumnFormula>
    </tableColumn>
    <tableColumn id="8" name="WFC" dataDxfId="5">
      <calculatedColumnFormula>Table3[[#This Row],[WFC]]*Table3[[#This Row],[Demand]]</calculatedColumnFormula>
    </tableColumn>
    <tableColumn id="9" name="EAO" dataDxfId="4">
      <calculatedColumnFormula>Table3[[#This Row],[EAO]]*Table3[[#This Row],[Demand]]</calculatedColumnFormula>
    </tableColumn>
    <tableColumn id="10" name="OCC" dataDxfId="3">
      <calculatedColumnFormula>Table3[[#This Row],[OCC]]*Table3[[#This Row],[Demand]]</calculatedColumnFormula>
    </tableColumn>
    <tableColumn id="11" name="WEO" dataDxfId="2">
      <calculatedColumnFormula>Table3[[#This Row],[WEO]]*Table3[[#This Row],[Demand]]</calculatedColumnFormula>
    </tableColumn>
    <tableColumn id="12" name="Total_Modeled_Demand" dataDxfId="1">
      <calculatedColumnFormula>SUM(Table35[[#This Row],[OFC]:[WEO]])</calculatedColumnFormula>
    </tableColumn>
    <tableColumn id="13" name="Variance" dataDxfId="0">
      <calculatedColumnFormula>Table35[[#This Row],[Demand]]-Table35[[#This Row],[Total_Modeled_Demand]]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471"/>
  <sheetViews>
    <sheetView tabSelected="1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D14" sqref="D14:I19"/>
    </sheetView>
  </sheetViews>
  <sheetFormatPr defaultRowHeight="14.4" x14ac:dyDescent="0.3"/>
  <cols>
    <col min="1" max="1" width="20.44140625" bestFit="1" customWidth="1"/>
    <col min="2" max="2" width="8.88671875" style="11"/>
    <col min="3" max="3" width="15.6640625" style="11" bestFit="1" customWidth="1"/>
    <col min="4" max="10" width="8.88671875" style="11"/>
    <col min="11" max="11" width="12.6640625" style="11" bestFit="1" customWidth="1"/>
    <col min="12" max="12" width="15.5546875" style="11" bestFit="1" customWidth="1"/>
    <col min="13" max="15" width="8.88671875" style="11" customWidth="1"/>
    <col min="16" max="17" width="8.88671875" style="11"/>
    <col min="18" max="18" width="14.5546875" style="11" bestFit="1" customWidth="1"/>
    <col min="19" max="19" width="8.88671875" style="11" customWidth="1"/>
    <col min="20" max="20" width="8.88671875" style="11"/>
    <col min="21" max="21" width="8.88671875" style="11" customWidth="1"/>
    <col min="22" max="22" width="8.88671875" style="11"/>
    <col min="23" max="25" width="8.88671875" style="11" customWidth="1"/>
    <col min="26" max="26" width="18.88671875" style="11" bestFit="1" customWidth="1"/>
    <col min="27" max="31" width="8.88671875" style="11"/>
    <col min="33" max="34" width="11.109375" bestFit="1" customWidth="1"/>
    <col min="42" max="42" width="14.109375" bestFit="1" customWidth="1"/>
    <col min="45" max="45" width="8" style="2" bestFit="1" customWidth="1"/>
    <col min="46" max="46" width="15.109375" style="2" bestFit="1" customWidth="1"/>
    <col min="47" max="47" width="14.88671875" style="2" bestFit="1" customWidth="1"/>
    <col min="48" max="48" width="8" style="2" bestFit="1" customWidth="1"/>
    <col min="49" max="49" width="16" style="2" bestFit="1" customWidth="1"/>
    <col min="50" max="50" width="8.6640625" style="2" bestFit="1" customWidth="1"/>
    <col min="51" max="51" width="13.44140625" style="2" bestFit="1" customWidth="1"/>
    <col min="52" max="52" width="9" style="2" bestFit="1" customWidth="1"/>
    <col min="53" max="53" width="8" style="2" bestFit="1" customWidth="1"/>
  </cols>
  <sheetData>
    <row r="1" spans="1:53" x14ac:dyDescent="0.3">
      <c r="C1" s="28" t="s">
        <v>48</v>
      </c>
      <c r="D1" s="28"/>
      <c r="E1" s="28"/>
      <c r="F1" s="28"/>
      <c r="G1" s="28"/>
      <c r="H1" s="28"/>
      <c r="I1" s="28"/>
      <c r="L1" s="29" t="s">
        <v>54</v>
      </c>
      <c r="M1" s="29"/>
      <c r="N1" s="29"/>
      <c r="O1" s="29"/>
      <c r="P1" s="29"/>
      <c r="Q1" s="29"/>
      <c r="T1" s="29" t="s">
        <v>55</v>
      </c>
      <c r="U1" s="29"/>
      <c r="V1" s="29"/>
      <c r="W1" s="29"/>
      <c r="X1" s="29"/>
      <c r="Y1" s="29"/>
      <c r="AS1" s="6"/>
      <c r="AT1" s="6"/>
      <c r="AU1" s="6"/>
      <c r="AV1" s="6"/>
      <c r="AW1" s="6"/>
      <c r="AX1" s="6"/>
      <c r="AY1" s="6"/>
      <c r="AZ1" s="6"/>
      <c r="BA1" s="6"/>
    </row>
    <row r="2" spans="1:53" ht="43.95" customHeight="1" x14ac:dyDescent="0.3">
      <c r="C2" s="11" t="s">
        <v>34</v>
      </c>
      <c r="D2" s="17" t="s">
        <v>5</v>
      </c>
      <c r="E2" s="17" t="s">
        <v>6</v>
      </c>
      <c r="F2" s="17" t="s">
        <v>7</v>
      </c>
      <c r="G2" s="17" t="s">
        <v>8</v>
      </c>
      <c r="H2" s="17" t="s">
        <v>11</v>
      </c>
      <c r="I2" s="17" t="s">
        <v>10</v>
      </c>
      <c r="J2" s="17"/>
      <c r="K2" s="11" t="s">
        <v>34</v>
      </c>
      <c r="L2" s="17" t="s">
        <v>5</v>
      </c>
      <c r="M2" s="17" t="s">
        <v>6</v>
      </c>
      <c r="N2" s="17" t="s">
        <v>7</v>
      </c>
      <c r="O2" s="17" t="s">
        <v>8</v>
      </c>
      <c r="P2" s="17" t="s">
        <v>11</v>
      </c>
      <c r="Q2" s="17" t="s">
        <v>10</v>
      </c>
      <c r="S2" s="11" t="s">
        <v>34</v>
      </c>
      <c r="T2" s="17" t="s">
        <v>5</v>
      </c>
      <c r="U2" s="17" t="s">
        <v>6</v>
      </c>
      <c r="V2" s="17" t="s">
        <v>7</v>
      </c>
      <c r="W2" s="17" t="s">
        <v>8</v>
      </c>
      <c r="X2" s="17" t="s">
        <v>11</v>
      </c>
      <c r="Y2" s="17" t="s">
        <v>10</v>
      </c>
      <c r="AI2" s="27" t="s">
        <v>28</v>
      </c>
      <c r="AJ2" s="27"/>
      <c r="AK2" s="27"/>
      <c r="AL2" s="27"/>
      <c r="AM2" s="27"/>
      <c r="AN2" s="27"/>
      <c r="AO2" s="27"/>
      <c r="AP2" s="2"/>
    </row>
    <row r="3" spans="1:53" x14ac:dyDescent="0.3">
      <c r="C3" s="15">
        <v>2018</v>
      </c>
      <c r="D3" s="18">
        <f>SUMIFS($AA$14:$AA$49,$O$14:$O$49,$C3,$P$14:$P$49,D$2)</f>
        <v>0.58932961817571927</v>
      </c>
      <c r="E3" s="18">
        <f t="shared" ref="E3:I8" si="0">SUMIFS($AA$14:$AA$49,$O$14:$O$49,$C3,$P$14:$P$49,E$2)</f>
        <v>0.57848218444025923</v>
      </c>
      <c r="F3" s="18">
        <f t="shared" si="0"/>
        <v>0.57401799532402398</v>
      </c>
      <c r="G3" s="18">
        <f t="shared" si="0"/>
        <v>0.56296188694342442</v>
      </c>
      <c r="H3" s="26">
        <f t="shared" si="0"/>
        <v>0</v>
      </c>
      <c r="I3" s="18">
        <f t="shared" si="0"/>
        <v>0.55781404631737808</v>
      </c>
      <c r="J3" s="16"/>
      <c r="K3" s="15">
        <v>2018</v>
      </c>
      <c r="L3" s="18">
        <f>_xlfn.MINIFS(Demand_Modeling_Week_level!$P$3:$P$434,Demand_Modeling_Week_level!$D$3:$D$434,$K3,Demand_Modeling_Week_level!$C$3:$C$434,L$2)</f>
        <v>0</v>
      </c>
      <c r="M3" s="18">
        <f>_xlfn.MINIFS(Demand_Modeling_Week_level!$P$3:$P$434,Demand_Modeling_Week_level!$D$3:$D$434,$K3,Demand_Modeling_Week_level!$C$3:$C$434,M$2)</f>
        <v>0</v>
      </c>
      <c r="N3" s="18">
        <f>_xlfn.MINIFS(Demand_Modeling_Week_level!$P$3:$P$434,Demand_Modeling_Week_level!$D$3:$D$434,$K3,Demand_Modeling_Week_level!$C$3:$C$434,N$2)</f>
        <v>0</v>
      </c>
      <c r="O3" s="18">
        <f>_xlfn.MINIFS(Demand_Modeling_Week_level!$P$3:$P$434,Demand_Modeling_Week_level!$D$3:$D$434,$K3,Demand_Modeling_Week_level!$C$3:$C$434,O$2)</f>
        <v>0</v>
      </c>
      <c r="P3" s="26">
        <f>_xlfn.MINIFS(Demand_Modeling_Week_level!$P$3:$P$434,Demand_Modeling_Week_level!$D$3:$D$434,$K3,Demand_Modeling_Week_level!$C$3:$C$434,P$2)</f>
        <v>0</v>
      </c>
      <c r="Q3" s="18">
        <f>_xlfn.MINIFS(Demand_Modeling_Week_level!$P$3:$P$434,Demand_Modeling_Week_level!$D$3:$D$434,$K3,Demand_Modeling_Week_level!$C$3:$C$434,Q$2)</f>
        <v>0</v>
      </c>
      <c r="S3" s="15">
        <v>2018</v>
      </c>
      <c r="T3" s="18">
        <f>_xlfn.MAXIFS(Demand_Modeling_Week_level!$P$3:$P$434,Demand_Modeling_Week_level!$D$3:$D$434,$S3,Demand_Modeling_Week_level!$C$3:$C$434,T$2)</f>
        <v>1.2596835056267155</v>
      </c>
      <c r="U3" s="18">
        <f>_xlfn.MAXIFS(Demand_Modeling_Week_level!$P$3:$P$434,Demand_Modeling_Week_level!$D$3:$D$434,$S3,Demand_Modeling_Week_level!$C$3:$C$434,U$2)</f>
        <v>1.1353740573584186</v>
      </c>
      <c r="V3" s="18">
        <f>_xlfn.MAXIFS(Demand_Modeling_Week_level!$P$3:$P$434,Demand_Modeling_Week_level!$D$3:$D$434,$S3,Demand_Modeling_Week_level!$C$3:$C$434,V$2)</f>
        <v>1.2005310452452975</v>
      </c>
      <c r="W3" s="18">
        <f>_xlfn.MAXIFS(Demand_Modeling_Week_level!$P$3:$P$434,Demand_Modeling_Week_level!$D$3:$D$434,$S3,Demand_Modeling_Week_level!$C$3:$C$434,W$2)</f>
        <v>1.1066128818570247</v>
      </c>
      <c r="X3" s="26">
        <f>_xlfn.MAXIFS(Demand_Modeling_Week_level!$P$3:$P$434,Demand_Modeling_Week_level!$D$3:$D$434,$S3,Demand_Modeling_Week_level!$C$3:$C$434,X$2)</f>
        <v>0</v>
      </c>
      <c r="Y3" s="18">
        <f>_xlfn.MAXIFS(Demand_Modeling_Week_level!$P$3:$P$434,Demand_Modeling_Week_level!$D$3:$D$434,$S3,Demand_Modeling_Week_level!$C$3:$C$434,Y$2)</f>
        <v>1.208779280775264</v>
      </c>
      <c r="AI3" s="2"/>
      <c r="AJ3" s="28" t="s">
        <v>32</v>
      </c>
      <c r="AK3" s="28"/>
      <c r="AL3" s="28"/>
      <c r="AM3" s="28"/>
      <c r="AN3" s="28"/>
      <c r="AO3" s="28"/>
      <c r="AP3" s="28" t="s">
        <v>31</v>
      </c>
      <c r="AQ3" s="28"/>
    </row>
    <row r="4" spans="1:53" x14ac:dyDescent="0.3">
      <c r="C4" s="15">
        <f>C3+1</f>
        <v>2019</v>
      </c>
      <c r="D4" s="18">
        <f t="shared" ref="D4:D8" si="1">SUMIFS($AA$14:$AA$49,$O$14:$O$49,$C4,$P$14:$P$49,D$2)</f>
        <v>0.52754225323882731</v>
      </c>
      <c r="E4" s="18">
        <f t="shared" si="0"/>
        <v>0.56931833218473427</v>
      </c>
      <c r="F4" s="18">
        <f t="shared" si="0"/>
        <v>0.48528432640477293</v>
      </c>
      <c r="G4" s="18">
        <f t="shared" si="0"/>
        <v>0.53345067983619809</v>
      </c>
      <c r="H4" s="26">
        <f t="shared" si="0"/>
        <v>0</v>
      </c>
      <c r="I4" s="18">
        <f t="shared" si="0"/>
        <v>0.52741760201840726</v>
      </c>
      <c r="J4" s="16"/>
      <c r="K4" s="15">
        <f>K3+1</f>
        <v>2019</v>
      </c>
      <c r="L4" s="18">
        <f>_xlfn.MINIFS(Demand_Modeling_Week_level!$P$3:$P$434,Demand_Modeling_Week_level!$D$3:$D$434,$K4,Demand_Modeling_Week_level!$C$3:$C$434,L$2)</f>
        <v>0</v>
      </c>
      <c r="M4" s="18">
        <f>_xlfn.MINIFS(Demand_Modeling_Week_level!$P$3:$P$434,Demand_Modeling_Week_level!$D$3:$D$434,$K4,Demand_Modeling_Week_level!$C$3:$C$434,M$2)</f>
        <v>0</v>
      </c>
      <c r="N4" s="18">
        <f>_xlfn.MINIFS(Demand_Modeling_Week_level!$P$3:$P$434,Demand_Modeling_Week_level!$D$3:$D$434,$K4,Demand_Modeling_Week_level!$C$3:$C$434,N$2)</f>
        <v>0</v>
      </c>
      <c r="O4" s="18">
        <f>_xlfn.MINIFS(Demand_Modeling_Week_level!$P$3:$P$434,Demand_Modeling_Week_level!$D$3:$D$434,$K4,Demand_Modeling_Week_level!$C$3:$C$434,O$2)</f>
        <v>0</v>
      </c>
      <c r="P4" s="26">
        <f>_xlfn.MINIFS(Demand_Modeling_Week_level!$P$3:$P$434,Demand_Modeling_Week_level!$D$3:$D$434,$K4,Demand_Modeling_Week_level!$C$3:$C$434,P$2)</f>
        <v>0</v>
      </c>
      <c r="Q4" s="18">
        <f>_xlfn.MINIFS(Demand_Modeling_Week_level!$P$3:$P$434,Demand_Modeling_Week_level!$D$3:$D$434,$K4,Demand_Modeling_Week_level!$C$3:$C$434,Q$2)</f>
        <v>0</v>
      </c>
      <c r="S4" s="15">
        <f>S3+1</f>
        <v>2019</v>
      </c>
      <c r="T4" s="18">
        <f>_xlfn.MAXIFS(Demand_Modeling_Week_level!$P$3:$P$434,Demand_Modeling_Week_level!$D$3:$D$434,$S4,Demand_Modeling_Week_level!$C$3:$C$434,T$2)</f>
        <v>1.1621709684623427</v>
      </c>
      <c r="U4" s="18">
        <f>_xlfn.MAXIFS(Demand_Modeling_Week_level!$P$3:$P$434,Demand_Modeling_Week_level!$D$3:$D$434,$S4,Demand_Modeling_Week_level!$C$3:$C$434,U$2)</f>
        <v>1.1152913583708874</v>
      </c>
      <c r="V4" s="18">
        <f>_xlfn.MAXIFS(Demand_Modeling_Week_level!$P$3:$P$434,Demand_Modeling_Week_level!$D$3:$D$434,$S4,Demand_Modeling_Week_level!$C$3:$C$434,V$2)</f>
        <v>1.0725321689506122</v>
      </c>
      <c r="W4" s="18">
        <f>_xlfn.MAXIFS(Demand_Modeling_Week_level!$P$3:$P$434,Demand_Modeling_Week_level!$D$3:$D$434,$S4,Demand_Modeling_Week_level!$C$3:$C$434,W$2)</f>
        <v>1.0486032717858333</v>
      </c>
      <c r="X4" s="26">
        <f>_xlfn.MAXIFS(Demand_Modeling_Week_level!$P$3:$P$434,Demand_Modeling_Week_level!$D$3:$D$434,$S4,Demand_Modeling_Week_level!$C$3:$C$434,X$2)</f>
        <v>0</v>
      </c>
      <c r="Y4" s="18">
        <f>_xlfn.MAXIFS(Demand_Modeling_Week_level!$P$3:$P$434,Demand_Modeling_Week_level!$D$3:$D$434,$S4,Demand_Modeling_Week_level!$C$3:$C$434,Y$2)</f>
        <v>1.1126522917641222</v>
      </c>
      <c r="AI4" s="6"/>
      <c r="AJ4" s="7"/>
      <c r="AK4" s="7"/>
      <c r="AL4" s="7"/>
      <c r="AM4" s="7"/>
      <c r="AN4" s="7"/>
      <c r="AO4" s="7"/>
      <c r="AP4" s="7"/>
      <c r="AQ4" s="7"/>
      <c r="AS4" s="6"/>
      <c r="AT4" s="6"/>
      <c r="AU4" s="6"/>
      <c r="AV4" s="6"/>
      <c r="AW4" s="6"/>
      <c r="AX4" s="6"/>
      <c r="AY4" s="6"/>
      <c r="AZ4" s="6"/>
      <c r="BA4" s="6"/>
    </row>
    <row r="5" spans="1:53" x14ac:dyDescent="0.3">
      <c r="C5" s="15">
        <f t="shared" ref="C5:C8" si="2">C4+1</f>
        <v>2020</v>
      </c>
      <c r="D5" s="18">
        <f t="shared" si="1"/>
        <v>0.66772104658114195</v>
      </c>
      <c r="E5" s="18">
        <f t="shared" si="0"/>
        <v>0.55320832403656595</v>
      </c>
      <c r="F5" s="18">
        <f t="shared" si="0"/>
        <v>0.60928971931217479</v>
      </c>
      <c r="G5" s="18">
        <f t="shared" si="0"/>
        <v>0.66147927456671229</v>
      </c>
      <c r="H5" s="26">
        <f t="shared" si="0"/>
        <v>0</v>
      </c>
      <c r="I5" s="18">
        <f t="shared" si="0"/>
        <v>0.5688436118762864</v>
      </c>
      <c r="J5" s="16"/>
      <c r="K5" s="15">
        <f t="shared" ref="K5:K8" si="3">K4+1</f>
        <v>2020</v>
      </c>
      <c r="L5" s="18">
        <f>_xlfn.MINIFS(Demand_Modeling_Week_level!$P$3:$P$434,Demand_Modeling_Week_level!$D$3:$D$434,$K5,Demand_Modeling_Week_level!$C$3:$C$434,L$2)</f>
        <v>0</v>
      </c>
      <c r="M5" s="18">
        <f>_xlfn.MINIFS(Demand_Modeling_Week_level!$P$3:$P$434,Demand_Modeling_Week_level!$D$3:$D$434,$K5,Demand_Modeling_Week_level!$C$3:$C$434,M$2)</f>
        <v>0</v>
      </c>
      <c r="N5" s="18">
        <f>_xlfn.MINIFS(Demand_Modeling_Week_level!$P$3:$P$434,Demand_Modeling_Week_level!$D$3:$D$434,$K5,Demand_Modeling_Week_level!$C$3:$C$434,N$2)</f>
        <v>0</v>
      </c>
      <c r="O5" s="18">
        <f>_xlfn.MINIFS(Demand_Modeling_Week_level!$P$3:$P$434,Demand_Modeling_Week_level!$D$3:$D$434,$K5,Demand_Modeling_Week_level!$C$3:$C$434,O$2)</f>
        <v>0</v>
      </c>
      <c r="P5" s="26">
        <f>_xlfn.MINIFS(Demand_Modeling_Week_level!$P$3:$P$434,Demand_Modeling_Week_level!$D$3:$D$434,$K5,Demand_Modeling_Week_level!$C$3:$C$434,P$2)</f>
        <v>0</v>
      </c>
      <c r="Q5" s="18">
        <f>_xlfn.MINIFS(Demand_Modeling_Week_level!$P$3:$P$434,Demand_Modeling_Week_level!$D$3:$D$434,$K5,Demand_Modeling_Week_level!$C$3:$C$434,Q$2)</f>
        <v>0</v>
      </c>
      <c r="S5" s="15">
        <f t="shared" ref="S5:S8" si="4">S4+1</f>
        <v>2020</v>
      </c>
      <c r="T5" s="18">
        <f>_xlfn.MAXIFS(Demand_Modeling_Week_level!$P$3:$P$434,Demand_Modeling_Week_level!$D$3:$D$434,$S5,Demand_Modeling_Week_level!$C$3:$C$434,T$2)</f>
        <v>1.5000493504823891</v>
      </c>
      <c r="U5" s="18">
        <f>_xlfn.MAXIFS(Demand_Modeling_Week_level!$P$3:$P$434,Demand_Modeling_Week_level!$D$3:$D$434,$S5,Demand_Modeling_Week_level!$C$3:$C$434,U$2)</f>
        <v>1.0813111273810667</v>
      </c>
      <c r="V5" s="18">
        <f>_xlfn.MAXIFS(Demand_Modeling_Week_level!$P$3:$P$434,Demand_Modeling_Week_level!$D$3:$D$434,$S5,Demand_Modeling_Week_level!$C$3:$C$434,V$2)</f>
        <v>1.3471278106161924</v>
      </c>
      <c r="W5" s="18">
        <f>_xlfn.MAXIFS(Demand_Modeling_Week_level!$P$3:$P$434,Demand_Modeling_Week_level!$D$3:$D$434,$S5,Demand_Modeling_Week_level!$C$3:$C$434,W$2)</f>
        <v>1.3002688681705803</v>
      </c>
      <c r="X5" s="26">
        <f>_xlfn.MAXIFS(Demand_Modeling_Week_level!$P$3:$P$434,Demand_Modeling_Week_level!$D$3:$D$434,$S5,Demand_Modeling_Week_level!$C$3:$C$434,X$2)</f>
        <v>0</v>
      </c>
      <c r="Y5" s="18">
        <f>_xlfn.MAXIFS(Demand_Modeling_Week_level!$P$3:$P$434,Demand_Modeling_Week_level!$D$3:$D$434,$S5,Demand_Modeling_Week_level!$C$3:$C$434,Y$2)</f>
        <v>1.191748706055398</v>
      </c>
      <c r="AI5" s="6"/>
      <c r="AJ5" s="7"/>
      <c r="AK5" s="7"/>
      <c r="AL5" s="7"/>
      <c r="AM5" s="7"/>
      <c r="AN5" s="7"/>
      <c r="AO5" s="7"/>
      <c r="AP5" s="7"/>
      <c r="AQ5" s="7"/>
      <c r="AS5" s="6"/>
      <c r="AT5" s="6"/>
      <c r="AU5" s="6"/>
      <c r="AV5" s="6"/>
      <c r="AW5" s="6"/>
      <c r="AX5" s="6"/>
      <c r="AY5" s="6"/>
      <c r="AZ5" s="6"/>
      <c r="BA5" s="6"/>
    </row>
    <row r="6" spans="1:53" x14ac:dyDescent="0.3">
      <c r="C6" s="15">
        <f t="shared" si="2"/>
        <v>2021</v>
      </c>
      <c r="D6" s="18">
        <f t="shared" si="1"/>
        <v>0.55600117056870013</v>
      </c>
      <c r="E6" s="18">
        <f t="shared" si="0"/>
        <v>0.55467979203524054</v>
      </c>
      <c r="F6" s="18">
        <f t="shared" si="0"/>
        <v>0.5793050166059982</v>
      </c>
      <c r="G6" s="18">
        <f t="shared" si="0"/>
        <v>0.53176574846300861</v>
      </c>
      <c r="H6" s="26">
        <f t="shared" si="0"/>
        <v>0.5440659623424714</v>
      </c>
      <c r="I6" s="18">
        <f t="shared" si="0"/>
        <v>0.5595104425725137</v>
      </c>
      <c r="J6" s="16"/>
      <c r="K6" s="15">
        <f t="shared" si="3"/>
        <v>2021</v>
      </c>
      <c r="L6" s="18">
        <f>_xlfn.MINIFS(Demand_Modeling_Week_level!$P$3:$P$434,Demand_Modeling_Week_level!$D$3:$D$434,$K6,Demand_Modeling_Week_level!$C$3:$C$434,L$2)</f>
        <v>0</v>
      </c>
      <c r="M6" s="18">
        <f>_xlfn.MINIFS(Demand_Modeling_Week_level!$P$3:$P$434,Demand_Modeling_Week_level!$D$3:$D$434,$K6,Demand_Modeling_Week_level!$C$3:$C$434,M$2)</f>
        <v>0</v>
      </c>
      <c r="N6" s="18">
        <f>_xlfn.MINIFS(Demand_Modeling_Week_level!$P$3:$P$434,Demand_Modeling_Week_level!$D$3:$D$434,$K6,Demand_Modeling_Week_level!$C$3:$C$434,N$2)</f>
        <v>0</v>
      </c>
      <c r="O6" s="18">
        <f>_xlfn.MINIFS(Demand_Modeling_Week_level!$P$3:$P$434,Demand_Modeling_Week_level!$D$3:$D$434,$K6,Demand_Modeling_Week_level!$C$3:$C$434,O$2)</f>
        <v>0</v>
      </c>
      <c r="P6" s="26">
        <f>_xlfn.MINIFS(Demand_Modeling_Week_level!$P$3:$P$434,Demand_Modeling_Week_level!$D$3:$D$434,$K6,Demand_Modeling_Week_level!$C$3:$C$434,P$2)</f>
        <v>0</v>
      </c>
      <c r="Q6" s="18">
        <f>_xlfn.MINIFS(Demand_Modeling_Week_level!$P$3:$P$434,Demand_Modeling_Week_level!$D$3:$D$434,$K6,Demand_Modeling_Week_level!$C$3:$C$434,Q$2)</f>
        <v>0</v>
      </c>
      <c r="S6" s="15">
        <f t="shared" si="4"/>
        <v>2021</v>
      </c>
      <c r="T6" s="18">
        <f>_xlfn.MAXIFS(Demand_Modeling_Week_level!$P$3:$P$434,Demand_Modeling_Week_level!$D$3:$D$434,$S6,Demand_Modeling_Week_level!$C$3:$C$434,T$2)</f>
        <v>1.2262038808972315</v>
      </c>
      <c r="U6" s="18">
        <f>_xlfn.MAXIFS(Demand_Modeling_Week_level!$P$3:$P$434,Demand_Modeling_Week_level!$D$3:$D$434,$S6,Demand_Modeling_Week_level!$C$3:$C$434,U$2)</f>
        <v>1.0839926722513906</v>
      </c>
      <c r="V6" s="18">
        <f>_xlfn.MAXIFS(Demand_Modeling_Week_level!$P$3:$P$434,Demand_Modeling_Week_level!$D$3:$D$434,$S6,Demand_Modeling_Week_level!$C$3:$C$434,V$2)</f>
        <v>1.3210650011220328</v>
      </c>
      <c r="W6" s="18">
        <f>_xlfn.MAXIFS(Demand_Modeling_Week_level!$P$3:$P$434,Demand_Modeling_Week_level!$D$3:$D$434,$S6,Demand_Modeling_Week_level!$C$3:$C$434,W$2)</f>
        <v>1.0452903058020087</v>
      </c>
      <c r="X6" s="26">
        <f>_xlfn.MAXIFS(Demand_Modeling_Week_level!$P$3:$P$434,Demand_Modeling_Week_level!$D$3:$D$434,$S6,Demand_Modeling_Week_level!$C$3:$C$434,X$2)</f>
        <v>1.1423999889121699</v>
      </c>
      <c r="Y6" s="18">
        <f>_xlfn.MAXIFS(Demand_Modeling_Week_level!$P$3:$P$434,Demand_Modeling_Week_level!$D$3:$D$434,$S6,Demand_Modeling_Week_level!$C$3:$C$434,Y$2)</f>
        <v>1.1776206730557917</v>
      </c>
      <c r="AI6" s="6"/>
      <c r="AJ6" s="7"/>
      <c r="AK6" s="7"/>
      <c r="AL6" s="7"/>
      <c r="AM6" s="7"/>
      <c r="AN6" s="7"/>
      <c r="AO6" s="7"/>
      <c r="AP6" s="7"/>
      <c r="AQ6" s="7"/>
      <c r="AS6" s="6"/>
      <c r="AT6" s="6"/>
      <c r="AU6" s="6"/>
      <c r="AV6" s="6"/>
      <c r="AW6" s="6"/>
      <c r="AX6" s="6"/>
      <c r="AY6" s="6"/>
      <c r="AZ6" s="6"/>
      <c r="BA6" s="6"/>
    </row>
    <row r="7" spans="1:53" x14ac:dyDescent="0.3">
      <c r="C7" s="15">
        <f t="shared" si="2"/>
        <v>2022</v>
      </c>
      <c r="D7" s="18">
        <f t="shared" si="1"/>
        <v>0.56909562459040119</v>
      </c>
      <c r="E7" s="18">
        <f t="shared" si="0"/>
        <v>0.60431505458492074</v>
      </c>
      <c r="F7" s="18">
        <f t="shared" si="0"/>
        <v>0</v>
      </c>
      <c r="G7" s="18">
        <f t="shared" si="0"/>
        <v>0.49605360763105538</v>
      </c>
      <c r="H7" s="26">
        <f t="shared" si="0"/>
        <v>0.49978768994910089</v>
      </c>
      <c r="I7" s="18">
        <f t="shared" si="0"/>
        <v>0.55691645765504227</v>
      </c>
      <c r="J7" s="16"/>
      <c r="K7" s="15">
        <f t="shared" si="3"/>
        <v>2022</v>
      </c>
      <c r="L7" s="18">
        <f>_xlfn.MINIFS(Demand_Modeling_Week_level!$P$3:$P$434,Demand_Modeling_Week_level!$D$3:$D$434,$K7,Demand_Modeling_Week_level!$C$3:$C$434,L$2)</f>
        <v>0</v>
      </c>
      <c r="M7" s="18">
        <f>_xlfn.MINIFS(Demand_Modeling_Week_level!$P$3:$P$434,Demand_Modeling_Week_level!$D$3:$D$434,$K7,Demand_Modeling_Week_level!$C$3:$C$434,M$2)</f>
        <v>0</v>
      </c>
      <c r="N7" s="18">
        <f>_xlfn.MINIFS(Demand_Modeling_Week_level!$P$3:$P$434,Demand_Modeling_Week_level!$D$3:$D$434,$K7,Demand_Modeling_Week_level!$C$3:$C$434,N$2)</f>
        <v>0</v>
      </c>
      <c r="O7" s="18">
        <f>_xlfn.MINIFS(Demand_Modeling_Week_level!$P$3:$P$434,Demand_Modeling_Week_level!$D$3:$D$434,$K7,Demand_Modeling_Week_level!$C$3:$C$434,O$2)</f>
        <v>0</v>
      </c>
      <c r="P7" s="26">
        <f>_xlfn.MINIFS(Demand_Modeling_Week_level!$P$3:$P$434,Demand_Modeling_Week_level!$D$3:$D$434,$K7,Demand_Modeling_Week_level!$C$3:$C$434,P$2)</f>
        <v>0</v>
      </c>
      <c r="Q7" s="18">
        <f>_xlfn.MINIFS(Demand_Modeling_Week_level!$P$3:$P$434,Demand_Modeling_Week_level!$D$3:$D$434,$K7,Demand_Modeling_Week_level!$C$3:$C$434,Q$2)</f>
        <v>0</v>
      </c>
      <c r="S7" s="15">
        <f t="shared" si="4"/>
        <v>2022</v>
      </c>
      <c r="T7" s="18">
        <f>_xlfn.MAXIFS(Demand_Modeling_Week_level!$P$3:$P$434,Demand_Modeling_Week_level!$D$3:$D$434,$S7,Demand_Modeling_Week_level!$C$3:$C$434,T$2)</f>
        <v>1.286591644825877</v>
      </c>
      <c r="U7" s="18">
        <f>_xlfn.MAXIFS(Demand_Modeling_Week_level!$P$3:$P$434,Demand_Modeling_Week_level!$D$3:$D$434,$S7,Demand_Modeling_Week_level!$C$3:$C$434,U$2)</f>
        <v>1.1918034385587835</v>
      </c>
      <c r="V7" s="18">
        <f>_xlfn.MAXIFS(Demand_Modeling_Week_level!$P$3:$P$434,Demand_Modeling_Week_level!$D$3:$D$434,$S7,Demand_Modeling_Week_level!$C$3:$C$434,V$2)</f>
        <v>0</v>
      </c>
      <c r="W7" s="18">
        <f>_xlfn.MAXIFS(Demand_Modeling_Week_level!$P$3:$P$434,Demand_Modeling_Week_level!$D$3:$D$434,$S7,Demand_Modeling_Week_level!$C$3:$C$434,W$2)</f>
        <v>0.97509046098370222</v>
      </c>
      <c r="X7" s="26">
        <f>_xlfn.MAXIFS(Demand_Modeling_Week_level!$P$3:$P$434,Demand_Modeling_Week_level!$D$3:$D$434,$S7,Demand_Modeling_Week_level!$C$3:$C$434,X$2)</f>
        <v>1.0202520084188271</v>
      </c>
      <c r="Y7" s="18">
        <f>_xlfn.MAXIFS(Demand_Modeling_Week_level!$P$3:$P$434,Demand_Modeling_Week_level!$D$3:$D$434,$S7,Demand_Modeling_Week_level!$C$3:$C$434,Y$2)</f>
        <v>1.2006234293943026</v>
      </c>
      <c r="AI7" s="6"/>
      <c r="AJ7" s="7"/>
      <c r="AK7" s="7"/>
      <c r="AL7" s="7"/>
      <c r="AM7" s="7"/>
      <c r="AN7" s="7"/>
      <c r="AO7" s="7"/>
      <c r="AP7" s="7"/>
      <c r="AQ7" s="7"/>
      <c r="AS7" s="6"/>
      <c r="AT7" s="6"/>
      <c r="AU7" s="6"/>
      <c r="AV7" s="6"/>
      <c r="AW7" s="6"/>
      <c r="AX7" s="6"/>
      <c r="AY7" s="6"/>
      <c r="AZ7" s="6"/>
      <c r="BA7" s="6"/>
    </row>
    <row r="8" spans="1:53" x14ac:dyDescent="0.3">
      <c r="C8" s="15">
        <f t="shared" si="2"/>
        <v>2023</v>
      </c>
      <c r="D8" s="18">
        <f t="shared" si="1"/>
        <v>0.48016364700904096</v>
      </c>
      <c r="E8" s="18">
        <f t="shared" si="0"/>
        <v>0.51165918162295165</v>
      </c>
      <c r="F8" s="18">
        <f t="shared" si="0"/>
        <v>0</v>
      </c>
      <c r="G8" s="18">
        <f t="shared" si="0"/>
        <v>0.54966794834800126</v>
      </c>
      <c r="H8" s="26">
        <f t="shared" si="0"/>
        <v>0.48528175696058079</v>
      </c>
      <c r="I8" s="18">
        <f t="shared" si="0"/>
        <v>0.51353174301586024</v>
      </c>
      <c r="J8" s="16"/>
      <c r="K8" s="15">
        <f t="shared" si="3"/>
        <v>2023</v>
      </c>
      <c r="L8" s="18">
        <f>_xlfn.MINIFS(Demand_Modeling_Week_level!$P$3:$P$434,Demand_Modeling_Week_level!$D$3:$D$434,$K8,Demand_Modeling_Week_level!$C$3:$C$434,L$2)</f>
        <v>0.175990333590964</v>
      </c>
      <c r="M8" s="18">
        <f>_xlfn.MINIFS(Demand_Modeling_Week_level!$P$3:$P$434,Demand_Modeling_Week_level!$D$3:$D$434,$K8,Demand_Modeling_Week_level!$C$3:$C$434,M$2)</f>
        <v>0.31075462926190262</v>
      </c>
      <c r="N8" s="18">
        <f>_xlfn.MINIFS(Demand_Modeling_Week_level!$P$3:$P$434,Demand_Modeling_Week_level!$D$3:$D$434,$K8,Demand_Modeling_Week_level!$C$3:$C$434,N$2)</f>
        <v>0</v>
      </c>
      <c r="O8" s="18">
        <f>_xlfn.MINIFS(Demand_Modeling_Week_level!$P$3:$P$434,Demand_Modeling_Week_level!$D$3:$D$434,$K8,Demand_Modeling_Week_level!$C$3:$C$434,O$2)</f>
        <v>0.1989822601852588</v>
      </c>
      <c r="P8" s="26">
        <f>_xlfn.MINIFS(Demand_Modeling_Week_level!$P$3:$P$434,Demand_Modeling_Week_level!$D$3:$D$434,$K8,Demand_Modeling_Week_level!$C$3:$C$434,P$2)</f>
        <v>0.18345191295619448</v>
      </c>
      <c r="Q8" s="18">
        <f>_xlfn.MINIFS(Demand_Modeling_Week_level!$P$3:$P$434,Demand_Modeling_Week_level!$D$3:$D$434,$K8,Demand_Modeling_Week_level!$C$3:$C$434,Q$2)</f>
        <v>0.2216989016104208</v>
      </c>
      <c r="S8" s="15">
        <f t="shared" si="4"/>
        <v>2023</v>
      </c>
      <c r="T8" s="18">
        <f>_xlfn.MAXIFS(Demand_Modeling_Week_level!$P$3:$P$434,Demand_Modeling_Week_level!$D$3:$D$434,$S8,Demand_Modeling_Week_level!$C$3:$C$434,T$2)</f>
        <v>1.2627304310386831</v>
      </c>
      <c r="U8" s="18">
        <f>_xlfn.MAXIFS(Demand_Modeling_Week_level!$P$3:$P$434,Demand_Modeling_Week_level!$D$3:$D$434,$S8,Demand_Modeling_Week_level!$C$3:$C$434,U$2)</f>
        <v>1.0352095209550427</v>
      </c>
      <c r="V8" s="18">
        <f>_xlfn.MAXIFS(Demand_Modeling_Week_level!$P$3:$P$434,Demand_Modeling_Week_level!$D$3:$D$434,$S8,Demand_Modeling_Week_level!$C$3:$C$434,V$2)</f>
        <v>0</v>
      </c>
      <c r="W8" s="18">
        <f>_xlfn.MAXIFS(Demand_Modeling_Week_level!$P$3:$P$434,Demand_Modeling_Week_level!$D$3:$D$434,$S8,Demand_Modeling_Week_level!$C$3:$C$434,W$2)</f>
        <v>1.1798598009252437</v>
      </c>
      <c r="X8" s="26">
        <f>_xlfn.MAXIFS(Demand_Modeling_Week_level!$P$3:$P$434,Demand_Modeling_Week_level!$D$3:$D$434,$S8,Demand_Modeling_Week_level!$C$3:$C$434,X$2)</f>
        <v>1.0689923894952784</v>
      </c>
      <c r="Y8" s="18">
        <f>_xlfn.MAXIFS(Demand_Modeling_Week_level!$P$3:$P$434,Demand_Modeling_Week_level!$D$3:$D$434,$S8,Demand_Modeling_Week_level!$C$3:$C$434,Y$2)</f>
        <v>1.228022474662998</v>
      </c>
      <c r="AI8" s="6"/>
      <c r="AJ8" s="7"/>
      <c r="AK8" s="7"/>
      <c r="AL8" s="7"/>
      <c r="AM8" s="7"/>
      <c r="AN8" s="7"/>
      <c r="AO8" s="7"/>
      <c r="AP8" s="7"/>
      <c r="AQ8" s="7"/>
      <c r="AS8" s="6"/>
      <c r="AT8" s="6"/>
      <c r="AU8" s="6"/>
      <c r="AV8" s="6"/>
      <c r="AW8" s="6"/>
      <c r="AX8" s="6"/>
      <c r="AY8" s="6"/>
      <c r="AZ8" s="6"/>
      <c r="BA8" s="6"/>
    </row>
    <row r="9" spans="1:53" x14ac:dyDescent="0.3">
      <c r="AI9" s="6"/>
      <c r="AJ9" s="7"/>
      <c r="AK9" s="7"/>
      <c r="AL9" s="7"/>
      <c r="AM9" s="7"/>
      <c r="AN9" s="7"/>
      <c r="AO9" s="7"/>
      <c r="AP9" s="7"/>
      <c r="AQ9" s="7"/>
      <c r="AS9" s="6"/>
      <c r="AT9" s="6"/>
      <c r="AU9" s="6"/>
      <c r="AV9" s="6"/>
      <c r="AW9" s="6"/>
      <c r="AX9" s="6"/>
      <c r="AY9" s="6"/>
      <c r="AZ9" s="6"/>
      <c r="BA9" s="6"/>
    </row>
    <row r="10" spans="1:53" x14ac:dyDescent="0.3">
      <c r="AI10" s="6"/>
      <c r="AJ10" s="7"/>
      <c r="AK10" s="7"/>
      <c r="AL10" s="7"/>
      <c r="AM10" s="7"/>
      <c r="AN10" s="7"/>
      <c r="AO10" s="7"/>
      <c r="AP10" s="7"/>
      <c r="AQ10" s="7"/>
      <c r="AS10" s="6"/>
      <c r="AT10" s="6"/>
      <c r="AU10" s="6"/>
      <c r="AV10" s="6"/>
      <c r="AW10" s="6"/>
      <c r="AX10" s="6"/>
      <c r="AY10" s="6"/>
      <c r="AZ10" s="6"/>
      <c r="BA10" s="6"/>
    </row>
    <row r="11" spans="1:53" x14ac:dyDescent="0.3">
      <c r="AI11" s="6"/>
      <c r="AJ11" s="7"/>
      <c r="AK11" s="7"/>
      <c r="AL11" s="7"/>
      <c r="AM11" s="7"/>
      <c r="AN11" s="7"/>
      <c r="AO11" s="7"/>
      <c r="AP11" s="7"/>
      <c r="AQ11" s="7"/>
      <c r="AS11" s="6"/>
      <c r="AT11" s="6"/>
      <c r="AU11" s="6"/>
      <c r="AV11" s="6"/>
      <c r="AW11" s="6"/>
      <c r="AX11" s="6"/>
      <c r="AY11" s="6"/>
      <c r="AZ11" s="6"/>
      <c r="BA11" s="6"/>
    </row>
    <row r="12" spans="1:53" x14ac:dyDescent="0.3">
      <c r="AI12" s="6"/>
      <c r="AJ12" s="7"/>
      <c r="AK12" s="7"/>
      <c r="AL12" s="7"/>
      <c r="AM12" s="7"/>
      <c r="AN12" s="7"/>
      <c r="AO12" s="7"/>
      <c r="AP12" s="7"/>
      <c r="AQ12" s="7"/>
      <c r="AS12" s="6"/>
      <c r="AT12" s="6"/>
      <c r="AU12" s="6"/>
      <c r="AV12" s="6"/>
      <c r="AW12" s="6"/>
      <c r="AX12" s="6"/>
      <c r="AY12" s="6"/>
      <c r="AZ12" s="6"/>
      <c r="BA12" s="6"/>
    </row>
    <row r="13" spans="1:53" x14ac:dyDescent="0.3">
      <c r="A13" s="12" t="s">
        <v>29</v>
      </c>
      <c r="B13" s="12" t="s">
        <v>34</v>
      </c>
      <c r="C13" s="11" t="s">
        <v>35</v>
      </c>
      <c r="D13" s="11" t="s">
        <v>5</v>
      </c>
      <c r="E13" s="11" t="s">
        <v>6</v>
      </c>
      <c r="F13" s="11" t="s">
        <v>7</v>
      </c>
      <c r="G13" s="11" t="s">
        <v>8</v>
      </c>
      <c r="H13" s="11" t="s">
        <v>11</v>
      </c>
      <c r="I13" s="11" t="s">
        <v>10</v>
      </c>
      <c r="J13" s="11" t="s">
        <v>25</v>
      </c>
      <c r="K13" s="11" t="s">
        <v>41</v>
      </c>
      <c r="L13" s="11" t="s">
        <v>42</v>
      </c>
      <c r="M13" s="11" t="s">
        <v>47</v>
      </c>
      <c r="Q13" s="1" t="s">
        <v>19</v>
      </c>
      <c r="R13" s="11" t="s">
        <v>18</v>
      </c>
      <c r="S13" s="11" t="s">
        <v>17</v>
      </c>
      <c r="T13" s="11" t="s">
        <v>16</v>
      </c>
      <c r="U13" s="11" t="s">
        <v>22</v>
      </c>
      <c r="V13" s="11" t="s">
        <v>20</v>
      </c>
      <c r="W13" s="11" t="s">
        <v>43</v>
      </c>
      <c r="X13" s="11" t="s">
        <v>38</v>
      </c>
      <c r="Y13" s="11" t="s">
        <v>36</v>
      </c>
      <c r="Z13" s="11" t="s">
        <v>45</v>
      </c>
      <c r="AA13" s="11" t="s">
        <v>46</v>
      </c>
      <c r="AG13" s="11"/>
      <c r="AH13" s="11"/>
      <c r="AI13" s="1" t="s">
        <v>19</v>
      </c>
      <c r="AJ13" s="11" t="s">
        <v>18</v>
      </c>
      <c r="AK13" s="11" t="s">
        <v>17</v>
      </c>
      <c r="AL13" s="11" t="s">
        <v>16</v>
      </c>
      <c r="AM13" s="11" t="s">
        <v>22</v>
      </c>
      <c r="AN13" s="11" t="s">
        <v>20</v>
      </c>
      <c r="AO13" s="11" t="s">
        <v>43</v>
      </c>
      <c r="AP13" s="11" t="s">
        <v>38</v>
      </c>
      <c r="AQ13" s="11" t="s">
        <v>36</v>
      </c>
      <c r="AR13" s="11" t="s">
        <v>45</v>
      </c>
      <c r="AS13" s="11" t="s">
        <v>46</v>
      </c>
      <c r="AT13" s="4" t="s">
        <v>18</v>
      </c>
      <c r="AU13" s="4" t="s">
        <v>17</v>
      </c>
      <c r="AV13" s="4" t="s">
        <v>16</v>
      </c>
      <c r="AW13" s="4" t="s">
        <v>22</v>
      </c>
      <c r="AX13" s="4" t="s">
        <v>20</v>
      </c>
      <c r="AY13" s="4" t="s">
        <v>30</v>
      </c>
      <c r="AZ13" s="4" t="s">
        <v>4</v>
      </c>
      <c r="BA13" s="4" t="s">
        <v>33</v>
      </c>
    </row>
    <row r="14" spans="1:53" x14ac:dyDescent="0.3">
      <c r="A14" s="12" t="str">
        <f>B14&amp;"-"&amp;C14</f>
        <v>2018-Athleta</v>
      </c>
      <c r="B14" s="11">
        <v>2018</v>
      </c>
      <c r="C14" s="1" t="s">
        <v>19</v>
      </c>
      <c r="D14" s="3"/>
      <c r="E14" s="3">
        <v>1</v>
      </c>
      <c r="F14" s="3">
        <v>0</v>
      </c>
      <c r="G14" s="3">
        <v>3.447122356821831E-5</v>
      </c>
      <c r="H14" s="3">
        <f>SUMIFS(Table1[Demand],Table1[Fiscal_Year],Demand_Modeling!$B14,Table1[BRAND],Demand_Modeling!$C14,Table1[DC_name_Xref],Demand_Modeling!H$13)/SUMIFS(Table1[Demand],Table1[Fiscal_Year],Demand_Modeling!$B14,Table1[BRAND],Demand_Modeling!$C14)</f>
        <v>0</v>
      </c>
      <c r="I14" s="3">
        <v>0</v>
      </c>
      <c r="J14" s="3">
        <f>SUM(D14:I14)</f>
        <v>1.0000344712235683</v>
      </c>
      <c r="K14" s="8">
        <f>SUMIFS(Table1[Demand],Table1[Fiscal_Year],Demand_Modeling!$B14,Table1[BRAND],Demand_Modeling!$C14)</f>
        <v>1019658</v>
      </c>
      <c r="L14" s="8">
        <f>SUMIFS(Table1[Modeled_Demand],Table1[Fiscal_Year],Demand_Modeling!$B14,Table1[BRAND],Demand_Modeling!$C14)</f>
        <v>1019693.1488588811</v>
      </c>
      <c r="M14" s="3">
        <f>1-(L14/K14)</f>
        <v>-3.4471223568255382E-5</v>
      </c>
      <c r="N14" s="3"/>
      <c r="O14" s="8">
        <v>2018</v>
      </c>
      <c r="P14" s="11" t="s">
        <v>5</v>
      </c>
      <c r="Q14" s="3">
        <f t="shared" ref="Q14:V23" si="5">INDEX($A$13:$J$49,MATCH($O14&amp;"-"&amp;Q$13,$A$13:$A$49,0),MATCH($P14,$A$13:$J$13,0))</f>
        <v>0</v>
      </c>
      <c r="R14" s="3">
        <f t="shared" si="5"/>
        <v>0</v>
      </c>
      <c r="S14" s="3">
        <f t="shared" si="5"/>
        <v>1</v>
      </c>
      <c r="T14" s="3">
        <f t="shared" si="5"/>
        <v>0.25</v>
      </c>
      <c r="U14" s="3">
        <f t="shared" si="5"/>
        <v>1</v>
      </c>
      <c r="V14" s="3">
        <f t="shared" si="5"/>
        <v>0.27</v>
      </c>
      <c r="W14" s="8">
        <f>SUMIFS(Table1[Demand],Table1[Fiscal_Year],Demand_Modeling!$O14,Table1[DC_name_Xref],Demand_Modeling!$P14)</f>
        <v>13644055</v>
      </c>
      <c r="X14" s="8">
        <f>SUMIFS(Table1[Modeled_Demand],Table1[Fiscal_Year],Demand_Modeling!$O14,Table1[DC_name_Xref],Demand_Modeling!$P14)</f>
        <v>9560345.0999999996</v>
      </c>
      <c r="Y14" s="8">
        <f>SUMIFS(Table2[Capacity],Table2[Fiscal_Year],Demand_Modeling!$O14,Table2[DC_name_Xref],Demand_Modeling!$P14)</f>
        <v>16222407.299999999</v>
      </c>
      <c r="Z14" s="3">
        <f>IFERROR(W14/Y14,0)</f>
        <v>0.84106228796265037</v>
      </c>
      <c r="AA14" s="3">
        <f>IFERROR((X14/Y14),0)</f>
        <v>0.58932961817571927</v>
      </c>
      <c r="AB14" s="3"/>
      <c r="AC14" s="3"/>
      <c r="AD14" s="3"/>
      <c r="AG14" s="8">
        <v>201801</v>
      </c>
      <c r="AH14" s="11" t="s">
        <v>5</v>
      </c>
      <c r="AI14" s="3">
        <f t="shared" ref="AI14:AN29" si="6">INDEX($A$13:$J$49,MATCH($O14&amp;"-"&amp;AI$13,$A$13:$A$49,0),MATCH($P14,$A$13:$J$13,0))</f>
        <v>0</v>
      </c>
      <c r="AJ14" s="3">
        <f t="shared" si="6"/>
        <v>0</v>
      </c>
      <c r="AK14" s="3">
        <f t="shared" si="6"/>
        <v>1</v>
      </c>
      <c r="AL14" s="3">
        <f t="shared" si="6"/>
        <v>0.25</v>
      </c>
      <c r="AM14" s="3">
        <f t="shared" si="6"/>
        <v>1</v>
      </c>
      <c r="AN14" s="3">
        <f t="shared" si="6"/>
        <v>0.27</v>
      </c>
      <c r="AO14" s="8">
        <f>SUMIFS(Table1[Demand],Table1[Fiscal_Year],Demand_Modeling!$O14,Table1[DC_name_Xref],Demand_Modeling!$P14)</f>
        <v>13644055</v>
      </c>
      <c r="AP14" s="8">
        <f>SUMIFS(Table1[Modeled_Demand],Table1[Fiscal_Year],Demand_Modeling!$O14,Table1[DC_name_Xref],Demand_Modeling!$P14)</f>
        <v>9560345.0999999996</v>
      </c>
      <c r="AQ14" s="8">
        <f>SUMIFS(Table2[Capacity],Table2[Fiscal_Year],Demand_Modeling!$O14,Table2[DC_name_Xref],Demand_Modeling!$P14)</f>
        <v>16222407.299999999</v>
      </c>
      <c r="AR14" s="3">
        <f>IFERROR(AO14/AQ14,0)</f>
        <v>0.84106228796265037</v>
      </c>
      <c r="AS14" s="3">
        <f>IFERROR((AP14/AQ14),0)</f>
        <v>0.58932961817571927</v>
      </c>
      <c r="AT14" s="2">
        <f t="shared" ref="AT14:AX14" si="7">AK14*$AP14</f>
        <v>9560345.0999999996</v>
      </c>
      <c r="AU14" s="2">
        <f t="shared" si="7"/>
        <v>2390086.2749999999</v>
      </c>
      <c r="AV14" s="2">
        <f t="shared" si="7"/>
        <v>9560345.0999999996</v>
      </c>
      <c r="AW14" s="2">
        <f t="shared" si="7"/>
        <v>2581293.1770000001</v>
      </c>
      <c r="AX14" s="2">
        <f t="shared" si="7"/>
        <v>130441874363380.5</v>
      </c>
      <c r="AY14" s="2">
        <f>SUM(AS14:AX14)</f>
        <v>130441898455450.73</v>
      </c>
      <c r="AZ14" s="10">
        <f>AQ14</f>
        <v>16222407.299999999</v>
      </c>
      <c r="BA14" s="5">
        <f>AY14/AZ14</f>
        <v>8040847.2086291872</v>
      </c>
    </row>
    <row r="15" spans="1:53" x14ac:dyDescent="0.3">
      <c r="A15" s="12" t="str">
        <f t="shared" ref="A15:A49" si="8">B15&amp;"-"&amp;C15</f>
        <v>2018-Banana Republic</v>
      </c>
      <c r="B15" s="11">
        <v>2018</v>
      </c>
      <c r="C15" s="11" t="s">
        <v>18</v>
      </c>
      <c r="D15" s="3"/>
      <c r="E15" s="3">
        <v>1</v>
      </c>
      <c r="F15" s="3">
        <v>3.4959629396853166E-6</v>
      </c>
      <c r="G15" s="3">
        <v>4.2339995602855504E-5</v>
      </c>
      <c r="H15" s="3">
        <f>SUMIFS(Table1[Demand],Table1[Fiscal_Year],Demand_Modeling!$B15,Table1[BRAND],Demand_Modeling!$C15,Table1[DC_name_Xref],Demand_Modeling!H$13)/SUMIFS(Table1[Demand],Table1[Fiscal_Year],Demand_Modeling!$B15,Table1[BRAND],Demand_Modeling!$C15)</f>
        <v>0</v>
      </c>
      <c r="I15" s="3">
        <v>0</v>
      </c>
      <c r="J15" s="3">
        <f t="shared" ref="J15:J31" si="9">SUM(D15:I15)</f>
        <v>1.0000458359585425</v>
      </c>
      <c r="K15" s="8">
        <f>SUMIFS(Table1[Demand],Table1[Fiscal_Year],Demand_Modeling!$B15,Table1[BRAND],Demand_Modeling!$C15)</f>
        <v>1605020</v>
      </c>
      <c r="L15" s="8">
        <f>SUMIFS(Table1[Modeled_Demand],Table1[Fiscal_Year],Demand_Modeling!$B15,Table1[BRAND],Demand_Modeling!$C15)</f>
        <v>1605093.5676301797</v>
      </c>
      <c r="M15" s="3">
        <f t="shared" ref="M15:M49" si="10">1-(L15/K15)</f>
        <v>-4.5835958542461697E-5</v>
      </c>
      <c r="N15" s="3"/>
      <c r="O15" s="8">
        <v>2018</v>
      </c>
      <c r="P15" s="11" t="s">
        <v>6</v>
      </c>
      <c r="Q15" s="3">
        <f t="shared" si="5"/>
        <v>1</v>
      </c>
      <c r="R15" s="3">
        <f t="shared" si="5"/>
        <v>1</v>
      </c>
      <c r="S15" s="3">
        <f t="shared" si="5"/>
        <v>0</v>
      </c>
      <c r="T15" s="3">
        <f t="shared" si="5"/>
        <v>0.2</v>
      </c>
      <c r="U15" s="3">
        <f t="shared" si="5"/>
        <v>0</v>
      </c>
      <c r="V15" s="3">
        <f t="shared" si="5"/>
        <v>0.25</v>
      </c>
      <c r="W15" s="8">
        <f>SUMIFS(Table1[Demand],Table1[Fiscal_Year],Demand_Modeling!$O15,Table1[DC_name_Xref],Demand_Modeling!$P15)</f>
        <v>5657642</v>
      </c>
      <c r="X15" s="8">
        <f>SUMIFS(Table1[Modeled_Demand],Table1[Fiscal_Year],Demand_Modeling!$O15,Table1[DC_name_Xref],Demand_Modeling!$P15)</f>
        <v>8937621.25</v>
      </c>
      <c r="Y15" s="8">
        <f>SUMIFS(Table2[Capacity],Table2[Fiscal_Year],Demand_Modeling!$O15,Table2[DC_name_Xref],Demand_Modeling!$P15)</f>
        <v>15450123.599999998</v>
      </c>
      <c r="Z15" s="3">
        <f t="shared" ref="Z15:Z49" si="11">IFERROR(W15/Y15,0)</f>
        <v>0.36618749121204447</v>
      </c>
      <c r="AA15" s="3">
        <f t="shared" ref="AA15:AA49" si="12">IFERROR((X15/Y15),0)</f>
        <v>0.57848218444025923</v>
      </c>
      <c r="AB15" s="3"/>
      <c r="AC15" s="3"/>
      <c r="AD15" s="3"/>
      <c r="AG15" s="8">
        <v>2018</v>
      </c>
      <c r="AH15" s="11" t="s">
        <v>6</v>
      </c>
      <c r="AI15" s="3">
        <f t="shared" si="6"/>
        <v>1</v>
      </c>
      <c r="AJ15" s="3">
        <f t="shared" si="6"/>
        <v>1</v>
      </c>
      <c r="AK15" s="3">
        <f t="shared" si="6"/>
        <v>0</v>
      </c>
      <c r="AL15" s="3">
        <f t="shared" si="6"/>
        <v>0.2</v>
      </c>
      <c r="AM15" s="3">
        <f t="shared" si="6"/>
        <v>0</v>
      </c>
      <c r="AN15" s="3">
        <f t="shared" si="6"/>
        <v>0.25</v>
      </c>
      <c r="AO15" s="8">
        <f>SUMIFS(Table1[Demand],Table1[Fiscal_Year],Demand_Modeling!$O15,Table1[DC_name_Xref],Demand_Modeling!$P15)</f>
        <v>5657642</v>
      </c>
      <c r="AP15" s="8">
        <f>SUMIFS(Table1[Modeled_Demand],Table1[Fiscal_Year],Demand_Modeling!$O15,Table1[DC_name_Xref],Demand_Modeling!$P15)</f>
        <v>8937621.25</v>
      </c>
      <c r="AQ15" s="8">
        <f>SUMIFS(Table2[Capacity],Table2[Fiscal_Year],Demand_Modeling!$O15,Table2[DC_name_Xref],Demand_Modeling!$P15)</f>
        <v>15450123.599999998</v>
      </c>
      <c r="AR15" s="3">
        <f t="shared" ref="AR15:AR49" si="13">IFERROR(AO15/AQ15,0)</f>
        <v>0.36618749121204447</v>
      </c>
      <c r="AS15" s="3">
        <f t="shared" ref="AS15:AS49" si="14">IFERROR((AP15/AQ15),0)</f>
        <v>0.57848218444025923</v>
      </c>
      <c r="AT15" s="2">
        <f t="shared" ref="AT15:AT78" si="15">AK15*$AP15</f>
        <v>0</v>
      </c>
      <c r="AU15" s="2">
        <f t="shared" ref="AU15:AU78" si="16">AL15*$AP15</f>
        <v>1787524.25</v>
      </c>
      <c r="AV15" s="2">
        <f t="shared" ref="AV15:AV78" si="17">AM15*$AP15</f>
        <v>0</v>
      </c>
      <c r="AW15" s="2">
        <f t="shared" ref="AW15:AW78" si="18">AN15*$AP15</f>
        <v>2234405.3125</v>
      </c>
      <c r="AX15" s="2">
        <f t="shared" ref="AX15:AX78" si="19">AO15*$AP15</f>
        <v>50565861364092.5</v>
      </c>
      <c r="AY15" s="2">
        <f t="shared" ref="AY15:AY78" si="20">SUM(AS15:AX15)</f>
        <v>50565865386022.641</v>
      </c>
      <c r="AZ15" s="10">
        <f t="shared" ref="AZ15:AZ78" si="21">AQ15</f>
        <v>15450123.599999998</v>
      </c>
      <c r="BA15" s="5">
        <f t="shared" ref="BA15:BA78" si="22">AY15/AZ15</f>
        <v>3272845.3632579772</v>
      </c>
    </row>
    <row r="16" spans="1:53" x14ac:dyDescent="0.3">
      <c r="A16" s="12" t="str">
        <f t="shared" si="8"/>
        <v>2018-BR Factory Store</v>
      </c>
      <c r="B16" s="11">
        <v>2018</v>
      </c>
      <c r="C16" s="11" t="s">
        <v>17</v>
      </c>
      <c r="D16" s="3">
        <v>1</v>
      </c>
      <c r="E16" s="3">
        <v>0</v>
      </c>
      <c r="F16" s="3">
        <v>0</v>
      </c>
      <c r="G16" s="3">
        <v>0</v>
      </c>
      <c r="H16" s="3">
        <f>SUMIFS(Table1[Demand],Table1[Fiscal_Year],Demand_Modeling!$B16,Table1[BRAND],Demand_Modeling!$C16,Table1[DC_name_Xref],Demand_Modeling!H$13)/SUMIFS(Table1[Demand],Table1[Fiscal_Year],Demand_Modeling!$B16,Table1[BRAND],Demand_Modeling!$C16)</f>
        <v>0</v>
      </c>
      <c r="I16" s="3">
        <v>0</v>
      </c>
      <c r="J16" s="3">
        <f t="shared" si="9"/>
        <v>1</v>
      </c>
      <c r="K16" s="8">
        <f>SUMIFS(Table1[Demand],Table1[Fiscal_Year],Demand_Modeling!$B16,Table1[BRAND],Demand_Modeling!$C16)</f>
        <v>660947</v>
      </c>
      <c r="L16" s="8">
        <f>SUMIFS(Table1[Modeled_Demand],Table1[Fiscal_Year],Demand_Modeling!$B16,Table1[BRAND],Demand_Modeling!$C16)</f>
        <v>660947</v>
      </c>
      <c r="M16" s="3">
        <f t="shared" si="10"/>
        <v>0</v>
      </c>
      <c r="N16" s="3"/>
      <c r="O16" s="8">
        <v>2018</v>
      </c>
      <c r="P16" s="11" t="s">
        <v>7</v>
      </c>
      <c r="Q16" s="3">
        <f t="shared" si="5"/>
        <v>0</v>
      </c>
      <c r="R16" s="3">
        <f t="shared" si="5"/>
        <v>3.4959629396853166E-6</v>
      </c>
      <c r="S16" s="3">
        <f t="shared" si="5"/>
        <v>0</v>
      </c>
      <c r="T16" s="3">
        <f t="shared" si="5"/>
        <v>0.15</v>
      </c>
      <c r="U16" s="3">
        <f t="shared" si="5"/>
        <v>0</v>
      </c>
      <c r="V16" s="3">
        <f t="shared" si="5"/>
        <v>0.1</v>
      </c>
      <c r="W16" s="8">
        <f>SUMIFS(Table1[Demand],Table1[Fiscal_Year],Demand_Modeling!$O16,Table1[DC_name_Xref],Demand_Modeling!$P16)</f>
        <v>3955765</v>
      </c>
      <c r="X16" s="8">
        <f>SUMIFS(Table1[Modeled_Demand],Table1[Fiscal_Year],Demand_Modeling!$O16,Table1[DC_name_Xref],Demand_Modeling!$P16)</f>
        <v>3103931.361090437</v>
      </c>
      <c r="Y16" s="8">
        <f>SUMIFS(Table2[Capacity],Table2[Fiscal_Year],Demand_Modeling!$O16,Table2[DC_name_Xref],Demand_Modeling!$P16)</f>
        <v>5407376.3999999985</v>
      </c>
      <c r="Z16" s="3">
        <f t="shared" si="11"/>
        <v>0.73154977707858493</v>
      </c>
      <c r="AA16" s="3">
        <f t="shared" si="12"/>
        <v>0.57401799532402398</v>
      </c>
      <c r="AB16" s="3"/>
      <c r="AC16" s="3"/>
      <c r="AD16" s="3"/>
      <c r="AG16" s="8">
        <v>2018</v>
      </c>
      <c r="AH16" s="11" t="s">
        <v>7</v>
      </c>
      <c r="AI16" s="3">
        <f t="shared" si="6"/>
        <v>0</v>
      </c>
      <c r="AJ16" s="3">
        <f t="shared" si="6"/>
        <v>3.4959629396853166E-6</v>
      </c>
      <c r="AK16" s="3">
        <f t="shared" si="6"/>
        <v>0</v>
      </c>
      <c r="AL16" s="3">
        <f t="shared" si="6"/>
        <v>0.15</v>
      </c>
      <c r="AM16" s="3">
        <f t="shared" si="6"/>
        <v>0</v>
      </c>
      <c r="AN16" s="3">
        <f t="shared" si="6"/>
        <v>0.1</v>
      </c>
      <c r="AO16" s="8">
        <f>SUMIFS(Table1[Demand],Table1[Fiscal_Year],Demand_Modeling!$O16,Table1[DC_name_Xref],Demand_Modeling!$P16)</f>
        <v>3955765</v>
      </c>
      <c r="AP16" s="8">
        <f>SUMIFS(Table1[Modeled_Demand],Table1[Fiscal_Year],Demand_Modeling!$O16,Table1[DC_name_Xref],Demand_Modeling!$P16)</f>
        <v>3103931.361090437</v>
      </c>
      <c r="AQ16" s="8">
        <f>SUMIFS(Table2[Capacity],Table2[Fiscal_Year],Demand_Modeling!$O16,Table2[DC_name_Xref],Demand_Modeling!$P16)</f>
        <v>5407376.3999999985</v>
      </c>
      <c r="AR16" s="3">
        <f t="shared" si="13"/>
        <v>0.73154977707858493</v>
      </c>
      <c r="AS16" s="3">
        <f t="shared" si="14"/>
        <v>0.57401799532402398</v>
      </c>
      <c r="AT16" s="2">
        <f t="shared" si="15"/>
        <v>0</v>
      </c>
      <c r="AU16" s="2">
        <f t="shared" si="16"/>
        <v>465589.70416356553</v>
      </c>
      <c r="AV16" s="2">
        <f t="shared" si="17"/>
        <v>0</v>
      </c>
      <c r="AW16" s="2">
        <f t="shared" si="18"/>
        <v>310393.13610904373</v>
      </c>
      <c r="AX16" s="2">
        <f t="shared" si="19"/>
        <v>12278423040603.912</v>
      </c>
      <c r="AY16" s="2">
        <f t="shared" si="20"/>
        <v>12278423816587.326</v>
      </c>
      <c r="AZ16" s="10">
        <f t="shared" si="21"/>
        <v>5407376.3999999985</v>
      </c>
      <c r="BA16" s="5">
        <f t="shared" si="22"/>
        <v>2270680.4387775427</v>
      </c>
    </row>
    <row r="17" spans="1:53" x14ac:dyDescent="0.3">
      <c r="A17" s="12" t="str">
        <f t="shared" si="8"/>
        <v>2018-Gap</v>
      </c>
      <c r="B17" s="11">
        <v>2018</v>
      </c>
      <c r="C17" s="11" t="s">
        <v>16</v>
      </c>
      <c r="D17" s="3">
        <v>0.25</v>
      </c>
      <c r="E17" s="3">
        <v>0.2</v>
      </c>
      <c r="F17" s="3">
        <v>0.15</v>
      </c>
      <c r="G17" s="3">
        <v>0</v>
      </c>
      <c r="H17" s="3">
        <f>SUMIFS(Table1[Demand],Table1[Fiscal_Year],Demand_Modeling!$B17,Table1[BRAND],Demand_Modeling!$C17,Table1[DC_name_Xref],Demand_Modeling!H$13)/SUMIFS(Table1[Demand],Table1[Fiscal_Year],Demand_Modeling!$B17,Table1[BRAND],Demand_Modeling!$C17)</f>
        <v>0</v>
      </c>
      <c r="I17" s="3">
        <v>0.4</v>
      </c>
      <c r="J17" s="3">
        <f t="shared" si="9"/>
        <v>1</v>
      </c>
      <c r="K17" s="8">
        <f>SUMIFS(Table1[Demand],Table1[Fiscal_Year],Demand_Modeling!$B17,Table1[BRAND],Demand_Modeling!$C17)</f>
        <v>8267835</v>
      </c>
      <c r="L17" s="8">
        <f>SUMIFS(Table1[Modeled_Demand],Table1[Fiscal_Year],Demand_Modeling!$B17,Table1[BRAND],Demand_Modeling!$C17)</f>
        <v>8267835.0000000009</v>
      </c>
      <c r="M17" s="3">
        <f t="shared" si="10"/>
        <v>0</v>
      </c>
      <c r="N17" s="3"/>
      <c r="O17" s="8">
        <v>2018</v>
      </c>
      <c r="P17" s="11" t="s">
        <v>8</v>
      </c>
      <c r="Q17" s="3">
        <f t="shared" si="5"/>
        <v>3.447122356821831E-5</v>
      </c>
      <c r="R17" s="3">
        <f t="shared" si="5"/>
        <v>4.2339995602855504E-5</v>
      </c>
      <c r="S17" s="3">
        <f t="shared" si="5"/>
        <v>0</v>
      </c>
      <c r="T17" s="3">
        <f t="shared" si="5"/>
        <v>0</v>
      </c>
      <c r="U17" s="3">
        <f t="shared" si="5"/>
        <v>0</v>
      </c>
      <c r="V17" s="3">
        <f t="shared" si="5"/>
        <v>0.28000000000000003</v>
      </c>
      <c r="W17" s="8">
        <f>SUMIFS(Table1[Demand],Table1[Fiscal_Year],Demand_Modeling!$O17,Table1[DC_name_Xref],Demand_Modeling!$P17)</f>
        <v>6196111</v>
      </c>
      <c r="X17" s="8">
        <f>SUMIFS(Table1[Modeled_Demand],Table1[Fiscal_Year],Demand_Modeling!$O17,Table1[DC_name_Xref],Demand_Modeling!$P17)</f>
        <v>5218604.5053986236</v>
      </c>
      <c r="Y17" s="8">
        <f>SUMIFS(Table2[Capacity],Table2[Fiscal_Year],Demand_Modeling!$O17,Table2[DC_name_Xref],Demand_Modeling!$P17)</f>
        <v>9269907.2999999989</v>
      </c>
      <c r="Z17" s="3">
        <f t="shared" si="11"/>
        <v>0.66841132273242909</v>
      </c>
      <c r="AA17" s="3">
        <f t="shared" si="12"/>
        <v>0.56296188694342442</v>
      </c>
      <c r="AB17" s="3"/>
      <c r="AC17" s="3"/>
      <c r="AD17" s="3"/>
      <c r="AG17" s="8">
        <v>2018</v>
      </c>
      <c r="AH17" s="11" t="s">
        <v>8</v>
      </c>
      <c r="AI17" s="3">
        <f t="shared" si="6"/>
        <v>3.447122356821831E-5</v>
      </c>
      <c r="AJ17" s="3">
        <f t="shared" si="6"/>
        <v>4.2339995602855504E-5</v>
      </c>
      <c r="AK17" s="3">
        <f t="shared" si="6"/>
        <v>0</v>
      </c>
      <c r="AL17" s="3">
        <f t="shared" si="6"/>
        <v>0</v>
      </c>
      <c r="AM17" s="3">
        <f t="shared" si="6"/>
        <v>0</v>
      </c>
      <c r="AN17" s="3">
        <f t="shared" si="6"/>
        <v>0.28000000000000003</v>
      </c>
      <c r="AO17" s="8">
        <f>SUMIFS(Table1[Demand],Table1[Fiscal_Year],Demand_Modeling!$O17,Table1[DC_name_Xref],Demand_Modeling!$P17)</f>
        <v>6196111</v>
      </c>
      <c r="AP17" s="8">
        <f>SUMIFS(Table1[Modeled_Demand],Table1[Fiscal_Year],Demand_Modeling!$O17,Table1[DC_name_Xref],Demand_Modeling!$P17)</f>
        <v>5218604.5053986236</v>
      </c>
      <c r="AQ17" s="8">
        <f>SUMIFS(Table2[Capacity],Table2[Fiscal_Year],Demand_Modeling!$O17,Table2[DC_name_Xref],Demand_Modeling!$P17)</f>
        <v>9269907.2999999989</v>
      </c>
      <c r="AR17" s="3">
        <f t="shared" si="13"/>
        <v>0.66841132273242909</v>
      </c>
      <c r="AS17" s="3">
        <f t="shared" si="14"/>
        <v>0.56296188694342442</v>
      </c>
      <c r="AT17" s="2">
        <f t="shared" si="15"/>
        <v>0</v>
      </c>
      <c r="AU17" s="2">
        <f t="shared" si="16"/>
        <v>0</v>
      </c>
      <c r="AV17" s="2">
        <f t="shared" si="17"/>
        <v>0</v>
      </c>
      <c r="AW17" s="2">
        <f t="shared" si="18"/>
        <v>1461209.2615116148</v>
      </c>
      <c r="AX17" s="2">
        <f t="shared" si="19"/>
        <v>32335052780549.973</v>
      </c>
      <c r="AY17" s="2">
        <f t="shared" si="20"/>
        <v>32335054241759.797</v>
      </c>
      <c r="AZ17" s="10">
        <f t="shared" si="21"/>
        <v>9269907.2999999989</v>
      </c>
      <c r="BA17" s="5">
        <f t="shared" si="22"/>
        <v>3488174.4979002974</v>
      </c>
    </row>
    <row r="18" spans="1:53" x14ac:dyDescent="0.3">
      <c r="A18" s="12" t="str">
        <f t="shared" si="8"/>
        <v>2018-Gap Factory Store</v>
      </c>
      <c r="B18" s="11">
        <v>2018</v>
      </c>
      <c r="C18" s="11" t="s">
        <v>22</v>
      </c>
      <c r="D18" s="3">
        <v>1</v>
      </c>
      <c r="E18" s="3">
        <v>0</v>
      </c>
      <c r="F18" s="3">
        <v>0</v>
      </c>
      <c r="G18" s="3">
        <v>0</v>
      </c>
      <c r="H18" s="3">
        <f>SUMIFS(Table1[Demand],Table1[Fiscal_Year],Demand_Modeling!$B18,Table1[BRAND],Demand_Modeling!$C18,Table1[DC_name_Xref],Demand_Modeling!H$13)/SUMIFS(Table1[Demand],Table1[Fiscal_Year],Demand_Modeling!$B18,Table1[BRAND],Demand_Modeling!$C18)</f>
        <v>0</v>
      </c>
      <c r="I18" s="3">
        <v>0</v>
      </c>
      <c r="J18" s="3">
        <f t="shared" si="9"/>
        <v>1</v>
      </c>
      <c r="K18" s="8">
        <f>SUMIFS(Table1[Demand],Table1[Fiscal_Year],Demand_Modeling!$B18,Table1[BRAND],Demand_Modeling!$C18)</f>
        <v>1800313</v>
      </c>
      <c r="L18" s="8">
        <f>SUMIFS(Table1[Modeled_Demand],Table1[Fiscal_Year],Demand_Modeling!$B18,Table1[BRAND],Demand_Modeling!$C18)</f>
        <v>1800313</v>
      </c>
      <c r="M18" s="3">
        <f t="shared" si="10"/>
        <v>0</v>
      </c>
      <c r="N18" s="3"/>
      <c r="O18" s="8">
        <v>2018</v>
      </c>
      <c r="P18" s="11" t="s">
        <v>11</v>
      </c>
      <c r="Q18" s="3">
        <f t="shared" si="5"/>
        <v>0</v>
      </c>
      <c r="R18" s="3">
        <f t="shared" si="5"/>
        <v>0</v>
      </c>
      <c r="S18" s="3">
        <f t="shared" si="5"/>
        <v>0</v>
      </c>
      <c r="T18" s="3">
        <f t="shared" si="5"/>
        <v>0</v>
      </c>
      <c r="U18" s="3">
        <f t="shared" si="5"/>
        <v>0</v>
      </c>
      <c r="V18" s="3">
        <f t="shared" si="5"/>
        <v>0</v>
      </c>
      <c r="W18" s="8">
        <f>SUMIFS(Table1[Demand],Table1[Fiscal_Year],Demand_Modeling!$O18,Table1[DC_name_Xref],Demand_Modeling!$P18)</f>
        <v>0</v>
      </c>
      <c r="X18" s="8">
        <f>SUMIFS(Table1[Modeled_Demand],Table1[Fiscal_Year],Demand_Modeling!$O18,Table1[DC_name_Xref],Demand_Modeling!$P18)</f>
        <v>0</v>
      </c>
      <c r="Y18" s="8">
        <f>SUMIFS(Table2[Capacity],Table2[Fiscal_Year],Demand_Modeling!$O18,Table2[DC_name_Xref],Demand_Modeling!$P18)</f>
        <v>0</v>
      </c>
      <c r="Z18" s="3">
        <f t="shared" si="11"/>
        <v>0</v>
      </c>
      <c r="AA18" s="3">
        <f t="shared" si="12"/>
        <v>0</v>
      </c>
      <c r="AB18" s="3"/>
      <c r="AC18" s="3"/>
      <c r="AD18" s="3"/>
      <c r="AG18" s="8">
        <v>2018</v>
      </c>
      <c r="AH18" s="11" t="s">
        <v>23</v>
      </c>
      <c r="AI18" s="3">
        <f t="shared" si="6"/>
        <v>0</v>
      </c>
      <c r="AJ18" s="3">
        <f t="shared" si="6"/>
        <v>0</v>
      </c>
      <c r="AK18" s="3">
        <f t="shared" si="6"/>
        <v>0</v>
      </c>
      <c r="AL18" s="3">
        <f t="shared" si="6"/>
        <v>0</v>
      </c>
      <c r="AM18" s="3">
        <f t="shared" si="6"/>
        <v>0</v>
      </c>
      <c r="AN18" s="3">
        <f t="shared" si="6"/>
        <v>0</v>
      </c>
      <c r="AO18" s="8">
        <f>SUMIFS(Table1[Demand],Table1[Fiscal_Year],Demand_Modeling!$O18,Table1[DC_name_Xref],Demand_Modeling!$P18)</f>
        <v>0</v>
      </c>
      <c r="AP18" s="8">
        <f>SUMIFS(Table1[Modeled_Demand],Table1[Fiscal_Year],Demand_Modeling!$O18,Table1[DC_name_Xref],Demand_Modeling!$P18)</f>
        <v>0</v>
      </c>
      <c r="AQ18" s="8">
        <f>SUMIFS(Table2[Capacity],Table2[Fiscal_Year],Demand_Modeling!$O18,Table2[DC_name_Xref],Demand_Modeling!$P18)</f>
        <v>0</v>
      </c>
      <c r="AR18" s="3">
        <f t="shared" si="13"/>
        <v>0</v>
      </c>
      <c r="AS18" s="3">
        <f t="shared" si="14"/>
        <v>0</v>
      </c>
      <c r="AT18" s="2">
        <f t="shared" si="15"/>
        <v>0</v>
      </c>
      <c r="AU18" s="2">
        <f t="shared" si="16"/>
        <v>0</v>
      </c>
      <c r="AV18" s="2">
        <f t="shared" si="17"/>
        <v>0</v>
      </c>
      <c r="AW18" s="2">
        <f t="shared" si="18"/>
        <v>0</v>
      </c>
      <c r="AX18" s="2">
        <f t="shared" si="19"/>
        <v>0</v>
      </c>
      <c r="AY18" s="2">
        <f t="shared" si="20"/>
        <v>0</v>
      </c>
      <c r="AZ18" s="10">
        <f t="shared" si="21"/>
        <v>0</v>
      </c>
      <c r="BA18" s="5" t="e">
        <f t="shared" si="22"/>
        <v>#DIV/0!</v>
      </c>
    </row>
    <row r="19" spans="1:53" x14ac:dyDescent="0.3">
      <c r="A19" s="12" t="str">
        <f t="shared" si="8"/>
        <v>2018-Old Navy</v>
      </c>
      <c r="B19" s="11">
        <v>2018</v>
      </c>
      <c r="C19" s="11" t="s">
        <v>20</v>
      </c>
      <c r="D19" s="3">
        <v>0.27</v>
      </c>
      <c r="E19" s="3">
        <v>0.25</v>
      </c>
      <c r="F19" s="3">
        <v>0.1</v>
      </c>
      <c r="G19" s="3">
        <v>0.28000000000000003</v>
      </c>
      <c r="H19" s="3">
        <f>SUMIFS(Table1[Demand],Table1[Fiscal_Year],Demand_Modeling!$B19,Table1[BRAND],Demand_Modeling!$C19,Table1[DC_name_Xref],Demand_Modeling!H$13)/SUMIFS(Table1[Demand],Table1[Fiscal_Year],Demand_Modeling!$B19,Table1[BRAND],Demand_Modeling!$C19)</f>
        <v>0</v>
      </c>
      <c r="I19" s="3">
        <v>0.1</v>
      </c>
      <c r="J19" s="3">
        <f t="shared" si="9"/>
        <v>1</v>
      </c>
      <c r="K19" s="8">
        <f>SUMIFS(Table1[Demand],Table1[Fiscal_Year],Demand_Modeling!$B19,Table1[BRAND],Demand_Modeling!$C19)</f>
        <v>18637505</v>
      </c>
      <c r="L19" s="8">
        <f>SUMIFS(Table1[Modeled_Demand],Table1[Fiscal_Year],Demand_Modeling!$B19,Table1[BRAND],Demand_Modeling!$C19)</f>
        <v>18637504.999999996</v>
      </c>
      <c r="M19" s="3">
        <f t="shared" si="10"/>
        <v>0</v>
      </c>
      <c r="N19" s="3"/>
      <c r="O19" s="8">
        <v>2018</v>
      </c>
      <c r="P19" s="11" t="s">
        <v>10</v>
      </c>
      <c r="Q19" s="3">
        <f t="shared" si="5"/>
        <v>0</v>
      </c>
      <c r="R19" s="3">
        <f t="shared" si="5"/>
        <v>0</v>
      </c>
      <c r="S19" s="3">
        <f t="shared" si="5"/>
        <v>0</v>
      </c>
      <c r="T19" s="3">
        <f t="shared" si="5"/>
        <v>0.4</v>
      </c>
      <c r="U19" s="3">
        <f t="shared" si="5"/>
        <v>0</v>
      </c>
      <c r="V19" s="3">
        <f t="shared" si="5"/>
        <v>0.1</v>
      </c>
      <c r="W19" s="8">
        <f>SUMIFS(Table1[Demand],Table1[Fiscal_Year],Demand_Modeling!$O19,Table1[DC_name_Xref],Demand_Modeling!$P19)</f>
        <v>2537705</v>
      </c>
      <c r="X19" s="8">
        <f>SUMIFS(Table1[Modeled_Demand],Table1[Fiscal_Year],Demand_Modeling!$O19,Table1[DC_name_Xref],Demand_Modeling!$P19)</f>
        <v>5170884.5000000009</v>
      </c>
      <c r="Y19" s="8">
        <f>SUMIFS(Table2[Capacity],Table2[Fiscal_Year],Demand_Modeling!$O19,Table2[DC_name_Xref],Demand_Modeling!$P19)</f>
        <v>9269907.2999999989</v>
      </c>
      <c r="Z19" s="3">
        <f t="shared" si="11"/>
        <v>0.27375732225499172</v>
      </c>
      <c r="AA19" s="3">
        <f t="shared" si="12"/>
        <v>0.55781404631737808</v>
      </c>
      <c r="AB19" s="3"/>
      <c r="AC19" s="3"/>
      <c r="AD19" s="3"/>
      <c r="AG19" s="8">
        <v>2018</v>
      </c>
      <c r="AH19" s="11" t="s">
        <v>10</v>
      </c>
      <c r="AI19" s="3">
        <f t="shared" si="6"/>
        <v>0</v>
      </c>
      <c r="AJ19" s="3">
        <f t="shared" si="6"/>
        <v>0</v>
      </c>
      <c r="AK19" s="3">
        <f t="shared" si="6"/>
        <v>0</v>
      </c>
      <c r="AL19" s="3">
        <f t="shared" si="6"/>
        <v>0.4</v>
      </c>
      <c r="AM19" s="3">
        <f t="shared" si="6"/>
        <v>0</v>
      </c>
      <c r="AN19" s="3">
        <f t="shared" si="6"/>
        <v>0.1</v>
      </c>
      <c r="AO19" s="8">
        <f>SUMIFS(Table1[Demand],Table1[Fiscal_Year],Demand_Modeling!$O19,Table1[DC_name_Xref],Demand_Modeling!$P19)</f>
        <v>2537705</v>
      </c>
      <c r="AP19" s="8">
        <f>SUMIFS(Table1[Modeled_Demand],Table1[Fiscal_Year],Demand_Modeling!$O19,Table1[DC_name_Xref],Demand_Modeling!$P19)</f>
        <v>5170884.5000000009</v>
      </c>
      <c r="AQ19" s="8">
        <f>SUMIFS(Table2[Capacity],Table2[Fiscal_Year],Demand_Modeling!$O19,Table2[DC_name_Xref],Demand_Modeling!$P19)</f>
        <v>9269907.2999999989</v>
      </c>
      <c r="AR19" s="3">
        <f t="shared" si="13"/>
        <v>0.27375732225499172</v>
      </c>
      <c r="AS19" s="3">
        <f t="shared" si="14"/>
        <v>0.55781404631737808</v>
      </c>
      <c r="AT19" s="2">
        <f t="shared" si="15"/>
        <v>0</v>
      </c>
      <c r="AU19" s="2">
        <f t="shared" si="16"/>
        <v>2068353.8000000005</v>
      </c>
      <c r="AV19" s="2">
        <f t="shared" si="17"/>
        <v>0</v>
      </c>
      <c r="AW19" s="2">
        <f t="shared" si="18"/>
        <v>517088.45000000013</v>
      </c>
      <c r="AX19" s="2">
        <f t="shared" si="19"/>
        <v>13122179450072.502</v>
      </c>
      <c r="AY19" s="2">
        <f t="shared" si="20"/>
        <v>13122182035515.311</v>
      </c>
      <c r="AZ19" s="10">
        <f t="shared" si="21"/>
        <v>9269907.2999999989</v>
      </c>
      <c r="BA19" s="5">
        <f t="shared" si="22"/>
        <v>1415567.7733169254</v>
      </c>
    </row>
    <row r="20" spans="1:53" x14ac:dyDescent="0.3">
      <c r="A20" s="12" t="str">
        <f t="shared" si="8"/>
        <v>2019-Athleta</v>
      </c>
      <c r="B20" s="11">
        <v>2019</v>
      </c>
      <c r="C20" s="1" t="s">
        <v>19</v>
      </c>
      <c r="D20" s="3"/>
      <c r="E20" s="3">
        <v>1</v>
      </c>
      <c r="F20" s="3">
        <v>0</v>
      </c>
      <c r="G20" s="3">
        <v>3.447122356821831E-5</v>
      </c>
      <c r="H20" s="3">
        <f>SUMIFS(Table1[Demand],Table1[Fiscal_Year],Demand_Modeling!$B20,Table1[BRAND],Demand_Modeling!$C20,Table1[DC_name_Xref],Demand_Modeling!H$13)/SUMIFS(Table1[Demand],Table1[Fiscal_Year],Demand_Modeling!$B20,Table1[BRAND],Demand_Modeling!$C20)</f>
        <v>0</v>
      </c>
      <c r="I20" s="3">
        <v>0</v>
      </c>
      <c r="J20" s="3">
        <f t="shared" si="9"/>
        <v>1.0000344712235683</v>
      </c>
      <c r="K20" s="8">
        <f>SUMIFS(Table1[Demand],Table1[Fiscal_Year],Demand_Modeling!$B20,Table1[BRAND],Demand_Modeling!$C20)</f>
        <v>1251635</v>
      </c>
      <c r="L20" s="8">
        <f>SUMIFS(Table1[Modeled_Demand],Table1[Fiscal_Year],Demand_Modeling!$B20,Table1[BRAND],Demand_Modeling!$C20)</f>
        <v>1251678.1453899108</v>
      </c>
      <c r="M20" s="3">
        <f t="shared" si="10"/>
        <v>-3.4471223568255382E-5</v>
      </c>
      <c r="N20" s="3"/>
      <c r="O20" s="8">
        <v>2019</v>
      </c>
      <c r="P20" s="11" t="s">
        <v>5</v>
      </c>
      <c r="Q20" s="3">
        <f t="shared" si="5"/>
        <v>0</v>
      </c>
      <c r="R20" s="3">
        <f t="shared" si="5"/>
        <v>0</v>
      </c>
      <c r="S20" s="3">
        <f t="shared" si="5"/>
        <v>1</v>
      </c>
      <c r="T20" s="3">
        <f t="shared" si="5"/>
        <v>0.25</v>
      </c>
      <c r="U20" s="3">
        <f t="shared" si="5"/>
        <v>1</v>
      </c>
      <c r="V20" s="3">
        <f t="shared" si="5"/>
        <v>0.15</v>
      </c>
      <c r="W20" s="8">
        <f>SUMIFS(Table1[Demand],Table1[Fiscal_Year],Demand_Modeling!$O20,Table1[DC_name_Xref],Demand_Modeling!$P20)</f>
        <v>15555540</v>
      </c>
      <c r="X20" s="8">
        <f>SUMIFS(Table1[Modeled_Demand],Table1[Fiscal_Year],Demand_Modeling!$O20,Table1[DC_name_Xref],Demand_Modeling!$P20)</f>
        <v>8558005.3000000007</v>
      </c>
      <c r="Y20" s="8">
        <f>SUMIFS(Table2[Capacity],Table2[Fiscal_Year],Demand_Modeling!$O20,Table2[DC_name_Xref],Demand_Modeling!$P20)</f>
        <v>16222407.299999999</v>
      </c>
      <c r="Z20" s="3">
        <f t="shared" si="11"/>
        <v>0.95889221077564735</v>
      </c>
      <c r="AA20" s="3">
        <f t="shared" si="12"/>
        <v>0.52754225323882731</v>
      </c>
      <c r="AB20" s="3"/>
      <c r="AC20" s="3"/>
      <c r="AD20" s="3"/>
      <c r="AG20" s="8">
        <v>2019</v>
      </c>
      <c r="AH20" s="11" t="s">
        <v>5</v>
      </c>
      <c r="AI20" s="3">
        <f t="shared" si="6"/>
        <v>0</v>
      </c>
      <c r="AJ20" s="3">
        <f t="shared" si="6"/>
        <v>0</v>
      </c>
      <c r="AK20" s="3">
        <f t="shared" si="6"/>
        <v>1</v>
      </c>
      <c r="AL20" s="3">
        <f t="shared" si="6"/>
        <v>0.25</v>
      </c>
      <c r="AM20" s="3">
        <f t="shared" si="6"/>
        <v>1</v>
      </c>
      <c r="AN20" s="3">
        <f t="shared" si="6"/>
        <v>0.15</v>
      </c>
      <c r="AO20" s="8">
        <f>SUMIFS(Table1[Demand],Table1[Fiscal_Year],Demand_Modeling!$O20,Table1[DC_name_Xref],Demand_Modeling!$P20)</f>
        <v>15555540</v>
      </c>
      <c r="AP20" s="8">
        <f>SUMIFS(Table1[Modeled_Demand],Table1[Fiscal_Year],Demand_Modeling!$O20,Table1[DC_name_Xref],Demand_Modeling!$P20)</f>
        <v>8558005.3000000007</v>
      </c>
      <c r="AQ20" s="8">
        <f>SUMIFS(Table2[Capacity],Table2[Fiscal_Year],Demand_Modeling!$O20,Table2[DC_name_Xref],Demand_Modeling!$P20)</f>
        <v>16222407.299999999</v>
      </c>
      <c r="AR20" s="3">
        <f t="shared" si="13"/>
        <v>0.95889221077564735</v>
      </c>
      <c r="AS20" s="3">
        <f t="shared" si="14"/>
        <v>0.52754225323882731</v>
      </c>
      <c r="AT20" s="2">
        <f t="shared" si="15"/>
        <v>8558005.3000000007</v>
      </c>
      <c r="AU20" s="2">
        <f t="shared" si="16"/>
        <v>2139501.3250000002</v>
      </c>
      <c r="AV20" s="2">
        <f t="shared" si="17"/>
        <v>8558005.3000000007</v>
      </c>
      <c r="AW20" s="2">
        <f t="shared" si="18"/>
        <v>1283700.7950000002</v>
      </c>
      <c r="AX20" s="2">
        <f t="shared" si="19"/>
        <v>133124393764362.02</v>
      </c>
      <c r="AY20" s="2">
        <f t="shared" si="20"/>
        <v>133124414303575.27</v>
      </c>
      <c r="AZ20" s="10">
        <f t="shared" si="21"/>
        <v>16222407.299999999</v>
      </c>
      <c r="BA20" s="5">
        <f t="shared" si="22"/>
        <v>8206205.8880481487</v>
      </c>
    </row>
    <row r="21" spans="1:53" x14ac:dyDescent="0.3">
      <c r="A21" s="12" t="str">
        <f t="shared" si="8"/>
        <v>2019-Banana Republic</v>
      </c>
      <c r="B21" s="11">
        <v>2019</v>
      </c>
      <c r="C21" s="11" t="s">
        <v>18</v>
      </c>
      <c r="D21" s="3"/>
      <c r="E21" s="3">
        <v>1</v>
      </c>
      <c r="F21" s="3">
        <v>3.4959629396853166E-6</v>
      </c>
      <c r="G21" s="3">
        <v>4.2339995602855504E-5</v>
      </c>
      <c r="H21" s="3">
        <f>SUMIFS(Table1[Demand],Table1[Fiscal_Year],Demand_Modeling!$B21,Table1[BRAND],Demand_Modeling!$C21,Table1[DC_name_Xref],Demand_Modeling!H$13)/SUMIFS(Table1[Demand],Table1[Fiscal_Year],Demand_Modeling!$B21,Table1[BRAND],Demand_Modeling!$C21)</f>
        <v>0</v>
      </c>
      <c r="I21" s="3">
        <v>0</v>
      </c>
      <c r="J21" s="3">
        <f t="shared" si="9"/>
        <v>1.0000458359585425</v>
      </c>
      <c r="K21" s="8">
        <f>SUMIFS(Table1[Demand],Table1[Fiscal_Year],Demand_Modeling!$B21,Table1[BRAND],Demand_Modeling!$C21)</f>
        <v>1660902</v>
      </c>
      <c r="L21" s="8">
        <f>SUMIFS(Table1[Modeled_Demand],Table1[Fiscal_Year],Demand_Modeling!$B21,Table1[BRAND],Demand_Modeling!$C21)</f>
        <v>1660978.1290352149</v>
      </c>
      <c r="M21" s="3">
        <f t="shared" si="10"/>
        <v>-4.5835958542239652E-5</v>
      </c>
      <c r="N21" s="3"/>
      <c r="O21" s="8">
        <v>2019</v>
      </c>
      <c r="P21" s="11" t="s">
        <v>6</v>
      </c>
      <c r="Q21" s="3">
        <f t="shared" si="5"/>
        <v>1</v>
      </c>
      <c r="R21" s="3">
        <f t="shared" si="5"/>
        <v>1</v>
      </c>
      <c r="S21" s="3">
        <f t="shared" si="5"/>
        <v>0</v>
      </c>
      <c r="T21" s="3">
        <f t="shared" si="5"/>
        <v>0.2</v>
      </c>
      <c r="U21" s="3">
        <f t="shared" si="5"/>
        <v>0</v>
      </c>
      <c r="V21" s="3">
        <f t="shared" si="5"/>
        <v>0.2</v>
      </c>
      <c r="W21" s="8">
        <f>SUMIFS(Table1[Demand],Table1[Fiscal_Year],Demand_Modeling!$O21,Table1[DC_name_Xref],Demand_Modeling!$P21)</f>
        <v>6169955</v>
      </c>
      <c r="X21" s="8">
        <f>SUMIFS(Table1[Modeled_Demand],Table1[Fiscal_Year],Demand_Modeling!$O21,Table1[DC_name_Xref],Demand_Modeling!$P21)</f>
        <v>8796038.6000000015</v>
      </c>
      <c r="Y21" s="8">
        <f>SUMIFS(Table2[Capacity],Table2[Fiscal_Year],Demand_Modeling!$O21,Table2[DC_name_Xref],Demand_Modeling!$P21)</f>
        <v>15450123.599999998</v>
      </c>
      <c r="Z21" s="3">
        <f t="shared" si="11"/>
        <v>0.399346643414555</v>
      </c>
      <c r="AA21" s="3">
        <f t="shared" si="12"/>
        <v>0.56931833218473427</v>
      </c>
      <c r="AB21" s="3"/>
      <c r="AC21" s="3"/>
      <c r="AD21" s="3"/>
      <c r="AG21" s="8">
        <v>2019</v>
      </c>
      <c r="AH21" s="11" t="s">
        <v>6</v>
      </c>
      <c r="AI21" s="3">
        <f t="shared" si="6"/>
        <v>1</v>
      </c>
      <c r="AJ21" s="3">
        <f t="shared" si="6"/>
        <v>1</v>
      </c>
      <c r="AK21" s="3">
        <f t="shared" si="6"/>
        <v>0</v>
      </c>
      <c r="AL21" s="3">
        <f t="shared" si="6"/>
        <v>0.2</v>
      </c>
      <c r="AM21" s="3">
        <f t="shared" si="6"/>
        <v>0</v>
      </c>
      <c r="AN21" s="3">
        <f t="shared" si="6"/>
        <v>0.2</v>
      </c>
      <c r="AO21" s="8">
        <f>SUMIFS(Table1[Demand],Table1[Fiscal_Year],Demand_Modeling!$O21,Table1[DC_name_Xref],Demand_Modeling!$P21)</f>
        <v>6169955</v>
      </c>
      <c r="AP21" s="8">
        <f>SUMIFS(Table1[Modeled_Demand],Table1[Fiscal_Year],Demand_Modeling!$O21,Table1[DC_name_Xref],Demand_Modeling!$P21)</f>
        <v>8796038.6000000015</v>
      </c>
      <c r="AQ21" s="8">
        <f>SUMIFS(Table2[Capacity],Table2[Fiscal_Year],Demand_Modeling!$O21,Table2[DC_name_Xref],Demand_Modeling!$P21)</f>
        <v>15450123.599999998</v>
      </c>
      <c r="AR21" s="3">
        <f t="shared" si="13"/>
        <v>0.399346643414555</v>
      </c>
      <c r="AS21" s="3">
        <f t="shared" si="14"/>
        <v>0.56931833218473427</v>
      </c>
      <c r="AT21" s="2">
        <f t="shared" si="15"/>
        <v>0</v>
      </c>
      <c r="AU21" s="2">
        <f t="shared" si="16"/>
        <v>1759207.7200000004</v>
      </c>
      <c r="AV21" s="2">
        <f t="shared" si="17"/>
        <v>0</v>
      </c>
      <c r="AW21" s="2">
        <f t="shared" si="18"/>
        <v>1759207.7200000004</v>
      </c>
      <c r="AX21" s="2">
        <f t="shared" si="19"/>
        <v>54271162340263.008</v>
      </c>
      <c r="AY21" s="2">
        <f t="shared" si="20"/>
        <v>54271165858679.016</v>
      </c>
      <c r="AZ21" s="10">
        <f t="shared" si="21"/>
        <v>15450123.599999998</v>
      </c>
      <c r="BA21" s="5">
        <f t="shared" si="22"/>
        <v>3512668.7179822316</v>
      </c>
    </row>
    <row r="22" spans="1:53" x14ac:dyDescent="0.3">
      <c r="A22" s="12" t="str">
        <f t="shared" si="8"/>
        <v>2019-BR Factory Store</v>
      </c>
      <c r="B22" s="11">
        <v>2019</v>
      </c>
      <c r="C22" s="11" t="s">
        <v>17</v>
      </c>
      <c r="D22" s="3">
        <v>1</v>
      </c>
      <c r="E22" s="3">
        <v>0</v>
      </c>
      <c r="F22" s="3">
        <v>0</v>
      </c>
      <c r="G22" s="3">
        <v>0</v>
      </c>
      <c r="H22" s="3">
        <f>SUMIFS(Table1[Demand],Table1[Fiscal_Year],Demand_Modeling!$B22,Table1[BRAND],Demand_Modeling!$C22,Table1[DC_name_Xref],Demand_Modeling!H$13)/SUMIFS(Table1[Demand],Table1[Fiscal_Year],Demand_Modeling!$B22,Table1[BRAND],Demand_Modeling!$C22)</f>
        <v>0</v>
      </c>
      <c r="I22" s="3">
        <v>0</v>
      </c>
      <c r="J22" s="3">
        <f t="shared" si="9"/>
        <v>1</v>
      </c>
      <c r="K22" s="8">
        <f>SUMIFS(Table1[Demand],Table1[Fiscal_Year],Demand_Modeling!$B22,Table1[BRAND],Demand_Modeling!$C22)</f>
        <v>927417</v>
      </c>
      <c r="L22" s="8">
        <f>SUMIFS(Table1[Modeled_Demand],Table1[Fiscal_Year],Demand_Modeling!$B22,Table1[BRAND],Demand_Modeling!$C22)</f>
        <v>927417</v>
      </c>
      <c r="M22" s="3">
        <f t="shared" si="10"/>
        <v>0</v>
      </c>
      <c r="N22" s="3"/>
      <c r="O22" s="8">
        <v>2019</v>
      </c>
      <c r="P22" s="11" t="s">
        <v>7</v>
      </c>
      <c r="Q22" s="3">
        <f t="shared" si="5"/>
        <v>0</v>
      </c>
      <c r="R22" s="3">
        <f t="shared" si="5"/>
        <v>3.4959629396853166E-6</v>
      </c>
      <c r="S22" s="3">
        <f t="shared" si="5"/>
        <v>0</v>
      </c>
      <c r="T22" s="3">
        <f t="shared" si="5"/>
        <v>0.15</v>
      </c>
      <c r="U22" s="3">
        <f t="shared" si="5"/>
        <v>0</v>
      </c>
      <c r="V22" s="3">
        <f t="shared" si="5"/>
        <v>0.02</v>
      </c>
      <c r="W22" s="8">
        <f>SUMIFS(Table1[Demand],Table1[Fiscal_Year],Demand_Modeling!$O22,Table1[DC_name_Xref],Demand_Modeling!$P22)</f>
        <v>4276056</v>
      </c>
      <c r="X22" s="8">
        <f>SUMIFS(Table1[Modeled_Demand],Table1[Fiscal_Year],Demand_Modeling!$O22,Table1[DC_name_Xref],Demand_Modeling!$P22)</f>
        <v>1799389.2964518387</v>
      </c>
      <c r="Y22" s="8">
        <f>SUMIFS(Table2[Capacity],Table2[Fiscal_Year],Demand_Modeling!$O22,Table2[DC_name_Xref],Demand_Modeling!$P22)</f>
        <v>3707907.2999999966</v>
      </c>
      <c r="Z22" s="3">
        <f t="shared" si="11"/>
        <v>1.1532262416592789</v>
      </c>
      <c r="AA22" s="3">
        <f t="shared" si="12"/>
        <v>0.48528432640477293</v>
      </c>
      <c r="AB22" s="3"/>
      <c r="AC22" s="3"/>
      <c r="AD22" s="3"/>
      <c r="AG22" s="8">
        <v>2019</v>
      </c>
      <c r="AH22" s="11" t="s">
        <v>7</v>
      </c>
      <c r="AI22" s="3">
        <f t="shared" si="6"/>
        <v>0</v>
      </c>
      <c r="AJ22" s="3">
        <f t="shared" si="6"/>
        <v>3.4959629396853166E-6</v>
      </c>
      <c r="AK22" s="3">
        <f t="shared" si="6"/>
        <v>0</v>
      </c>
      <c r="AL22" s="3">
        <f t="shared" si="6"/>
        <v>0.15</v>
      </c>
      <c r="AM22" s="3">
        <f t="shared" si="6"/>
        <v>0</v>
      </c>
      <c r="AN22" s="3">
        <f t="shared" si="6"/>
        <v>0.02</v>
      </c>
      <c r="AO22" s="8">
        <f>SUMIFS(Table1[Demand],Table1[Fiscal_Year],Demand_Modeling!$O22,Table1[DC_name_Xref],Demand_Modeling!$P22)</f>
        <v>4276056</v>
      </c>
      <c r="AP22" s="8">
        <f>SUMIFS(Table1[Modeled_Demand],Table1[Fiscal_Year],Demand_Modeling!$O22,Table1[DC_name_Xref],Demand_Modeling!$P22)</f>
        <v>1799389.2964518387</v>
      </c>
      <c r="AQ22" s="8">
        <f>SUMIFS(Table2[Capacity],Table2[Fiscal_Year],Demand_Modeling!$O22,Table2[DC_name_Xref],Demand_Modeling!$P22)</f>
        <v>3707907.2999999966</v>
      </c>
      <c r="AR22" s="3">
        <f t="shared" si="13"/>
        <v>1.1532262416592789</v>
      </c>
      <c r="AS22" s="3">
        <f t="shared" si="14"/>
        <v>0.48528432640477293</v>
      </c>
      <c r="AT22" s="2">
        <f t="shared" si="15"/>
        <v>0</v>
      </c>
      <c r="AU22" s="2">
        <f t="shared" si="16"/>
        <v>269908.39446777577</v>
      </c>
      <c r="AV22" s="2">
        <f t="shared" si="17"/>
        <v>0</v>
      </c>
      <c r="AW22" s="2">
        <f t="shared" si="18"/>
        <v>35987.785929036778</v>
      </c>
      <c r="AX22" s="2">
        <f t="shared" si="19"/>
        <v>7694289397428.6631</v>
      </c>
      <c r="AY22" s="2">
        <f t="shared" si="20"/>
        <v>7694289703325.3291</v>
      </c>
      <c r="AZ22" s="10">
        <f t="shared" si="21"/>
        <v>3707907.2999999966</v>
      </c>
      <c r="BA22" s="5">
        <f t="shared" si="22"/>
        <v>2075103.0381275541</v>
      </c>
    </row>
    <row r="23" spans="1:53" x14ac:dyDescent="0.3">
      <c r="A23" s="12" t="str">
        <f t="shared" si="8"/>
        <v>2019-Gap</v>
      </c>
      <c r="B23" s="11">
        <v>2019</v>
      </c>
      <c r="C23" s="11" t="s">
        <v>16</v>
      </c>
      <c r="D23" s="3">
        <v>0.25</v>
      </c>
      <c r="E23" s="3">
        <v>0.2</v>
      </c>
      <c r="F23" s="3">
        <v>0.15</v>
      </c>
      <c r="G23" s="3">
        <v>0</v>
      </c>
      <c r="H23" s="3">
        <f>SUMIFS(Table1[Demand],Table1[Fiscal_Year],Demand_Modeling!$B23,Table1[BRAND],Demand_Modeling!$C23,Table1[DC_name_Xref],Demand_Modeling!H$13)/SUMIFS(Table1[Demand],Table1[Fiscal_Year],Demand_Modeling!$B23,Table1[BRAND],Demand_Modeling!$C23)</f>
        <v>0</v>
      </c>
      <c r="I23" s="3">
        <v>0.4</v>
      </c>
      <c r="J23" s="3">
        <f t="shared" si="9"/>
        <v>1</v>
      </c>
      <c r="K23" s="8">
        <f>SUMIFS(Table1[Demand],Table1[Fiscal_Year],Demand_Modeling!$B23,Table1[BRAND],Demand_Modeling!$C23)</f>
        <v>9315641</v>
      </c>
      <c r="L23" s="8">
        <f>SUMIFS(Table1[Modeled_Demand],Table1[Fiscal_Year],Demand_Modeling!$B23,Table1[BRAND],Demand_Modeling!$C23)</f>
        <v>9315641</v>
      </c>
      <c r="M23" s="3">
        <f t="shared" si="10"/>
        <v>0</v>
      </c>
      <c r="N23" s="3"/>
      <c r="O23" s="8">
        <v>2019</v>
      </c>
      <c r="P23" s="11" t="s">
        <v>8</v>
      </c>
      <c r="Q23" s="3">
        <f t="shared" si="5"/>
        <v>3.447122356821831E-5</v>
      </c>
      <c r="R23" s="3">
        <f t="shared" si="5"/>
        <v>4.2339995602855504E-5</v>
      </c>
      <c r="S23" s="3">
        <f t="shared" si="5"/>
        <v>0</v>
      </c>
      <c r="T23" s="3">
        <f t="shared" si="5"/>
        <v>0</v>
      </c>
      <c r="U23" s="3">
        <f t="shared" si="5"/>
        <v>0</v>
      </c>
      <c r="V23" s="3">
        <f t="shared" si="5"/>
        <v>0.41</v>
      </c>
      <c r="W23" s="8">
        <f>SUMIFS(Table1[Demand],Table1[Fiscal_Year],Demand_Modeling!$O23,Table1[DC_name_Xref],Demand_Modeling!$P23)</f>
        <v>6682994</v>
      </c>
      <c r="X23" s="8">
        <f>SUMIFS(Table1[Modeled_Demand],Table1[Fiscal_Year],Demand_Modeling!$O23,Table1[DC_name_Xref],Demand_Modeling!$P23)</f>
        <v>8241878.937973287</v>
      </c>
      <c r="Y23" s="8">
        <f>SUMIFS(Table2[Capacity],Table2[Fiscal_Year],Demand_Modeling!$O23,Table2[DC_name_Xref],Demand_Modeling!$P23)</f>
        <v>15450123.599999998</v>
      </c>
      <c r="Z23" s="3">
        <f t="shared" si="11"/>
        <v>0.43255278553240833</v>
      </c>
      <c r="AA23" s="3">
        <f t="shared" si="12"/>
        <v>0.53345067983619809</v>
      </c>
      <c r="AB23" s="3"/>
      <c r="AC23" s="3"/>
      <c r="AD23" s="3"/>
      <c r="AG23" s="8">
        <v>2019</v>
      </c>
      <c r="AH23" s="11" t="s">
        <v>8</v>
      </c>
      <c r="AI23" s="3">
        <f t="shared" si="6"/>
        <v>3.447122356821831E-5</v>
      </c>
      <c r="AJ23" s="3">
        <f t="shared" si="6"/>
        <v>4.2339995602855504E-5</v>
      </c>
      <c r="AK23" s="3">
        <f t="shared" si="6"/>
        <v>0</v>
      </c>
      <c r="AL23" s="3">
        <f t="shared" si="6"/>
        <v>0</v>
      </c>
      <c r="AM23" s="3">
        <f t="shared" si="6"/>
        <v>0</v>
      </c>
      <c r="AN23" s="3">
        <f t="shared" si="6"/>
        <v>0.41</v>
      </c>
      <c r="AO23" s="8">
        <f>SUMIFS(Table1[Demand],Table1[Fiscal_Year],Demand_Modeling!$O23,Table1[DC_name_Xref],Demand_Modeling!$P23)</f>
        <v>6682994</v>
      </c>
      <c r="AP23" s="8">
        <f>SUMIFS(Table1[Modeled_Demand],Table1[Fiscal_Year],Demand_Modeling!$O23,Table1[DC_name_Xref],Demand_Modeling!$P23)</f>
        <v>8241878.937973287</v>
      </c>
      <c r="AQ23" s="8">
        <f>SUMIFS(Table2[Capacity],Table2[Fiscal_Year],Demand_Modeling!$O23,Table2[DC_name_Xref],Demand_Modeling!$P23)</f>
        <v>15450123.599999998</v>
      </c>
      <c r="AR23" s="3">
        <f t="shared" si="13"/>
        <v>0.43255278553240833</v>
      </c>
      <c r="AS23" s="3">
        <f t="shared" si="14"/>
        <v>0.53345067983619809</v>
      </c>
      <c r="AT23" s="2">
        <f t="shared" si="15"/>
        <v>0</v>
      </c>
      <c r="AU23" s="2">
        <f t="shared" si="16"/>
        <v>0</v>
      </c>
      <c r="AV23" s="2">
        <f t="shared" si="17"/>
        <v>0</v>
      </c>
      <c r="AW23" s="2">
        <f t="shared" si="18"/>
        <v>3379170.3645690475</v>
      </c>
      <c r="AX23" s="2">
        <f t="shared" si="19"/>
        <v>55080427491201.852</v>
      </c>
      <c r="AY23" s="2">
        <f t="shared" si="20"/>
        <v>55080430870372.75</v>
      </c>
      <c r="AZ23" s="10">
        <f t="shared" si="21"/>
        <v>15450123.599999998</v>
      </c>
      <c r="BA23" s="5">
        <f t="shared" si="22"/>
        <v>3565047.9113560463</v>
      </c>
    </row>
    <row r="24" spans="1:53" x14ac:dyDescent="0.3">
      <c r="A24" s="12" t="str">
        <f t="shared" si="8"/>
        <v>2019-Gap Factory Store</v>
      </c>
      <c r="B24" s="11">
        <v>2019</v>
      </c>
      <c r="C24" s="11" t="s">
        <v>22</v>
      </c>
      <c r="D24" s="3">
        <v>1</v>
      </c>
      <c r="E24" s="3">
        <v>0</v>
      </c>
      <c r="F24" s="3">
        <v>0</v>
      </c>
      <c r="G24" s="3">
        <v>0</v>
      </c>
      <c r="H24" s="3">
        <f>SUMIFS(Table1[Demand],Table1[Fiscal_Year],Demand_Modeling!$B24,Table1[BRAND],Demand_Modeling!$C24,Table1[DC_name_Xref],Demand_Modeling!H$13)/SUMIFS(Table1[Demand],Table1[Fiscal_Year],Demand_Modeling!$B24,Table1[BRAND],Demand_Modeling!$C24)</f>
        <v>0</v>
      </c>
      <c r="I24" s="3">
        <v>0</v>
      </c>
      <c r="J24" s="3">
        <f t="shared" si="9"/>
        <v>1</v>
      </c>
      <c r="K24" s="8">
        <f>SUMIFS(Table1[Demand],Table1[Fiscal_Year],Demand_Modeling!$B24,Table1[BRAND],Demand_Modeling!$C24)</f>
        <v>2286398</v>
      </c>
      <c r="L24" s="8">
        <f>SUMIFS(Table1[Modeled_Demand],Table1[Fiscal_Year],Demand_Modeling!$B24,Table1[BRAND],Demand_Modeling!$C24)</f>
        <v>2286398</v>
      </c>
      <c r="M24" s="3">
        <f t="shared" si="10"/>
        <v>0</v>
      </c>
      <c r="N24" s="3"/>
      <c r="O24" s="8">
        <v>2019</v>
      </c>
      <c r="P24" s="11" t="s">
        <v>11</v>
      </c>
      <c r="Q24" s="3">
        <f t="shared" ref="Q24:V33" si="23">INDEX($A$13:$J$49,MATCH($O24&amp;"-"&amp;Q$13,$A$13:$A$49,0),MATCH($P24,$A$13:$J$13,0))</f>
        <v>0</v>
      </c>
      <c r="R24" s="3">
        <f t="shared" si="23"/>
        <v>0</v>
      </c>
      <c r="S24" s="3">
        <f t="shared" si="23"/>
        <v>0</v>
      </c>
      <c r="T24" s="3">
        <f t="shared" si="23"/>
        <v>0</v>
      </c>
      <c r="U24" s="3">
        <f t="shared" si="23"/>
        <v>0</v>
      </c>
      <c r="V24" s="3">
        <f t="shared" si="23"/>
        <v>0</v>
      </c>
      <c r="W24" s="8">
        <f>SUMIFS(Table1[Demand],Table1[Fiscal_Year],Demand_Modeling!$O24,Table1[DC_name_Xref],Demand_Modeling!$P24)</f>
        <v>0</v>
      </c>
      <c r="X24" s="8">
        <f>SUMIFS(Table1[Modeled_Demand],Table1[Fiscal_Year],Demand_Modeling!$O24,Table1[DC_name_Xref],Demand_Modeling!$P24)</f>
        <v>0</v>
      </c>
      <c r="Y24" s="8">
        <f>SUMIFS(Table2[Capacity],Table2[Fiscal_Year],Demand_Modeling!$O24,Table2[DC_name_Xref],Demand_Modeling!$P24)</f>
        <v>0</v>
      </c>
      <c r="Z24" s="3">
        <f t="shared" si="11"/>
        <v>0</v>
      </c>
      <c r="AA24" s="3">
        <f t="shared" si="12"/>
        <v>0</v>
      </c>
      <c r="AB24" s="3"/>
      <c r="AC24" s="3"/>
      <c r="AD24" s="3"/>
      <c r="AG24" s="8">
        <v>2019</v>
      </c>
      <c r="AH24" s="11" t="s">
        <v>23</v>
      </c>
      <c r="AI24" s="3">
        <f t="shared" si="6"/>
        <v>0</v>
      </c>
      <c r="AJ24" s="3">
        <f t="shared" si="6"/>
        <v>0</v>
      </c>
      <c r="AK24" s="3">
        <f t="shared" si="6"/>
        <v>0</v>
      </c>
      <c r="AL24" s="3">
        <f t="shared" si="6"/>
        <v>0</v>
      </c>
      <c r="AM24" s="3">
        <f t="shared" si="6"/>
        <v>0</v>
      </c>
      <c r="AN24" s="3">
        <f t="shared" si="6"/>
        <v>0</v>
      </c>
      <c r="AO24" s="8">
        <f>SUMIFS(Table1[Demand],Table1[Fiscal_Year],Demand_Modeling!$O24,Table1[DC_name_Xref],Demand_Modeling!$P24)</f>
        <v>0</v>
      </c>
      <c r="AP24" s="8">
        <f>SUMIFS(Table1[Modeled_Demand],Table1[Fiscal_Year],Demand_Modeling!$O24,Table1[DC_name_Xref],Demand_Modeling!$P24)</f>
        <v>0</v>
      </c>
      <c r="AQ24" s="8">
        <f>SUMIFS(Table2[Capacity],Table2[Fiscal_Year],Demand_Modeling!$O24,Table2[DC_name_Xref],Demand_Modeling!$P24)</f>
        <v>0</v>
      </c>
      <c r="AR24" s="3">
        <f t="shared" si="13"/>
        <v>0</v>
      </c>
      <c r="AS24" s="3">
        <f t="shared" si="14"/>
        <v>0</v>
      </c>
      <c r="AT24" s="2">
        <f t="shared" si="15"/>
        <v>0</v>
      </c>
      <c r="AU24" s="2">
        <f t="shared" si="16"/>
        <v>0</v>
      </c>
      <c r="AV24" s="2">
        <f t="shared" si="17"/>
        <v>0</v>
      </c>
      <c r="AW24" s="2">
        <f t="shared" si="18"/>
        <v>0</v>
      </c>
      <c r="AX24" s="2">
        <f t="shared" si="19"/>
        <v>0</v>
      </c>
      <c r="AY24" s="2">
        <f t="shared" si="20"/>
        <v>0</v>
      </c>
      <c r="AZ24" s="10">
        <f t="shared" si="21"/>
        <v>0</v>
      </c>
      <c r="BA24" s="5" t="e">
        <f t="shared" si="22"/>
        <v>#DIV/0!</v>
      </c>
    </row>
    <row r="25" spans="1:53" x14ac:dyDescent="0.3">
      <c r="A25" s="12" t="str">
        <f t="shared" si="8"/>
        <v>2019-Old Navy</v>
      </c>
      <c r="B25" s="11">
        <v>2019</v>
      </c>
      <c r="C25" s="11" t="s">
        <v>20</v>
      </c>
      <c r="D25" s="3">
        <v>0.15</v>
      </c>
      <c r="E25" s="3">
        <v>0.2</v>
      </c>
      <c r="F25" s="3">
        <v>0.02</v>
      </c>
      <c r="G25" s="3">
        <v>0.41</v>
      </c>
      <c r="H25" s="3">
        <f>SUMIFS(Table1[Demand],Table1[Fiscal_Year],Demand_Modeling!$B25,Table1[BRAND],Demand_Modeling!$C25,Table1[DC_name_Xref],Demand_Modeling!H$13)/SUMIFS(Table1[Demand],Table1[Fiscal_Year],Demand_Modeling!$B25,Table1[BRAND],Demand_Modeling!$C25)</f>
        <v>0</v>
      </c>
      <c r="I25" s="3">
        <v>0.22</v>
      </c>
      <c r="J25" s="3">
        <f t="shared" si="9"/>
        <v>1</v>
      </c>
      <c r="K25" s="8">
        <f>SUMIFS(Table1[Demand],Table1[Fiscal_Year],Demand_Modeling!$B25,Table1[BRAND],Demand_Modeling!$C25)</f>
        <v>20101867</v>
      </c>
      <c r="L25" s="8">
        <f>SUMIFS(Table1[Modeled_Demand],Table1[Fiscal_Year],Demand_Modeling!$B25,Table1[BRAND],Demand_Modeling!$C25)</f>
        <v>20101866.999999996</v>
      </c>
      <c r="M25" s="3">
        <f t="shared" si="10"/>
        <v>0</v>
      </c>
      <c r="N25" s="3"/>
      <c r="O25" s="8">
        <v>2019</v>
      </c>
      <c r="P25" s="11" t="s">
        <v>10</v>
      </c>
      <c r="Q25" s="3">
        <f t="shared" si="23"/>
        <v>0</v>
      </c>
      <c r="R25" s="3">
        <f t="shared" si="23"/>
        <v>0</v>
      </c>
      <c r="S25" s="3">
        <f t="shared" si="23"/>
        <v>0</v>
      </c>
      <c r="T25" s="3">
        <f t="shared" si="23"/>
        <v>0.4</v>
      </c>
      <c r="U25" s="3">
        <f t="shared" si="23"/>
        <v>0</v>
      </c>
      <c r="V25" s="3">
        <f t="shared" si="23"/>
        <v>0.22</v>
      </c>
      <c r="W25" s="8">
        <f>SUMIFS(Table1[Demand],Table1[Fiscal_Year],Demand_Modeling!$O25,Table1[DC_name_Xref],Demand_Modeling!$P25)</f>
        <v>2859315</v>
      </c>
      <c r="X25" s="8">
        <f>SUMIFS(Table1[Modeled_Demand],Table1[Fiscal_Year],Demand_Modeling!$O25,Table1[DC_name_Xref],Demand_Modeling!$P25)</f>
        <v>8148667.1399999997</v>
      </c>
      <c r="Y25" s="8">
        <f>SUMIFS(Table2[Capacity],Table2[Fiscal_Year],Demand_Modeling!$O25,Table2[DC_name_Xref],Demand_Modeling!$P25)</f>
        <v>15450123.599999998</v>
      </c>
      <c r="Z25" s="3">
        <f t="shared" si="11"/>
        <v>0.18506745149922299</v>
      </c>
      <c r="AA25" s="3">
        <f t="shared" si="12"/>
        <v>0.52741760201840726</v>
      </c>
      <c r="AB25" s="3"/>
      <c r="AC25" s="3"/>
      <c r="AD25" s="3"/>
      <c r="AG25" s="8">
        <v>2019</v>
      </c>
      <c r="AH25" s="11" t="s">
        <v>10</v>
      </c>
      <c r="AI25" s="3">
        <f t="shared" si="6"/>
        <v>0</v>
      </c>
      <c r="AJ25" s="3">
        <f t="shared" si="6"/>
        <v>0</v>
      </c>
      <c r="AK25" s="3">
        <f t="shared" si="6"/>
        <v>0</v>
      </c>
      <c r="AL25" s="3">
        <f t="shared" si="6"/>
        <v>0.4</v>
      </c>
      <c r="AM25" s="3">
        <f t="shared" si="6"/>
        <v>0</v>
      </c>
      <c r="AN25" s="3">
        <f t="shared" si="6"/>
        <v>0.22</v>
      </c>
      <c r="AO25" s="8">
        <f>SUMIFS(Table1[Demand],Table1[Fiscal_Year],Demand_Modeling!$O25,Table1[DC_name_Xref],Demand_Modeling!$P25)</f>
        <v>2859315</v>
      </c>
      <c r="AP25" s="8">
        <f>SUMIFS(Table1[Modeled_Demand],Table1[Fiscal_Year],Demand_Modeling!$O25,Table1[DC_name_Xref],Demand_Modeling!$P25)</f>
        <v>8148667.1399999997</v>
      </c>
      <c r="AQ25" s="8">
        <f>SUMIFS(Table2[Capacity],Table2[Fiscal_Year],Demand_Modeling!$O25,Table2[DC_name_Xref],Demand_Modeling!$P25)</f>
        <v>15450123.599999998</v>
      </c>
      <c r="AR25" s="3">
        <f t="shared" si="13"/>
        <v>0.18506745149922299</v>
      </c>
      <c r="AS25" s="3">
        <f t="shared" si="14"/>
        <v>0.52741760201840726</v>
      </c>
      <c r="AT25" s="2">
        <f t="shared" si="15"/>
        <v>0</v>
      </c>
      <c r="AU25" s="2">
        <f t="shared" si="16"/>
        <v>3259466.8560000001</v>
      </c>
      <c r="AV25" s="2">
        <f t="shared" si="17"/>
        <v>0</v>
      </c>
      <c r="AW25" s="2">
        <f t="shared" si="18"/>
        <v>1792706.7707999998</v>
      </c>
      <c r="AX25" s="2">
        <f t="shared" si="19"/>
        <v>23299606183409.098</v>
      </c>
      <c r="AY25" s="2">
        <f t="shared" si="20"/>
        <v>23299611235583.25</v>
      </c>
      <c r="AZ25" s="10">
        <f t="shared" si="21"/>
        <v>15450123.599999998</v>
      </c>
      <c r="BA25" s="5">
        <f t="shared" si="22"/>
        <v>1508053.3877142093</v>
      </c>
    </row>
    <row r="26" spans="1:53" x14ac:dyDescent="0.3">
      <c r="A26" s="12" t="str">
        <f t="shared" si="8"/>
        <v>2020-Athleta</v>
      </c>
      <c r="B26" s="11">
        <v>2020</v>
      </c>
      <c r="C26" s="1" t="s">
        <v>19</v>
      </c>
      <c r="D26" s="3"/>
      <c r="E26" s="3">
        <v>1</v>
      </c>
      <c r="F26" s="3">
        <v>0</v>
      </c>
      <c r="G26" s="3">
        <v>3.447122356821831E-5</v>
      </c>
      <c r="H26" s="3">
        <f>SUMIFS(Table1[Demand],Table1[Fiscal_Year],Demand_Modeling!$B26,Table1[BRAND],Demand_Modeling!$C26,Table1[DC_name_Xref],Demand_Modeling!H$13)/SUMIFS(Table1[Demand],Table1[Fiscal_Year],Demand_Modeling!$B26,Table1[BRAND],Demand_Modeling!$C26)</f>
        <v>0</v>
      </c>
      <c r="I26" s="3">
        <v>0</v>
      </c>
      <c r="J26" s="3">
        <f t="shared" si="9"/>
        <v>1.0000344712235683</v>
      </c>
      <c r="K26" s="8">
        <f>SUMIFS(Table1[Demand],Table1[Fiscal_Year],Demand_Modeling!$B26,Table1[BRAND],Demand_Modeling!$C26)</f>
        <v>1702226</v>
      </c>
      <c r="L26" s="8">
        <f>SUMIFS(Table1[Modeled_Demand],Table1[Fiscal_Year],Demand_Modeling!$B26,Table1[BRAND],Demand_Modeling!$C26)</f>
        <v>1702284.6778130096</v>
      </c>
      <c r="M26" s="3">
        <f t="shared" si="10"/>
        <v>-3.4471223568255382E-5</v>
      </c>
      <c r="N26" s="3"/>
      <c r="O26" s="8">
        <v>2020</v>
      </c>
      <c r="P26" s="11" t="s">
        <v>5</v>
      </c>
      <c r="Q26" s="3">
        <f t="shared" si="23"/>
        <v>0</v>
      </c>
      <c r="R26" s="3">
        <f t="shared" si="23"/>
        <v>0</v>
      </c>
      <c r="S26" s="3">
        <f t="shared" si="23"/>
        <v>1</v>
      </c>
      <c r="T26" s="3">
        <f t="shared" si="23"/>
        <v>0.25</v>
      </c>
      <c r="U26" s="3">
        <f t="shared" si="23"/>
        <v>1</v>
      </c>
      <c r="V26" s="3">
        <f t="shared" si="23"/>
        <v>0.1</v>
      </c>
      <c r="W26" s="8">
        <f>SUMIFS(Table1[Demand],Table1[Fiscal_Year],Demand_Modeling!$O26,Table1[DC_name_Xref],Demand_Modeling!$P26)</f>
        <v>20333275</v>
      </c>
      <c r="X26" s="8">
        <f>SUMIFS(Table1[Modeled_Demand],Table1[Fiscal_Year],Demand_Modeling!$O26,Table1[DC_name_Xref],Demand_Modeling!$P26)</f>
        <v>10316372.699999999</v>
      </c>
      <c r="Y26" s="8">
        <f>SUMIFS(Table2[Capacity],Table2[Fiscal_Year],Demand_Modeling!$O26,Table2[DC_name_Xref],Demand_Modeling!$P26)</f>
        <v>15450123.599999998</v>
      </c>
      <c r="Z26" s="3">
        <f t="shared" si="11"/>
        <v>1.3160590508156196</v>
      </c>
      <c r="AA26" s="3">
        <f t="shared" si="12"/>
        <v>0.66772104658114195</v>
      </c>
      <c r="AB26" s="3"/>
      <c r="AC26" s="3"/>
      <c r="AD26" s="3"/>
      <c r="AG26" s="8">
        <v>2020</v>
      </c>
      <c r="AH26" s="11" t="s">
        <v>5</v>
      </c>
      <c r="AI26" s="3">
        <f t="shared" si="6"/>
        <v>0</v>
      </c>
      <c r="AJ26" s="3">
        <f t="shared" si="6"/>
        <v>0</v>
      </c>
      <c r="AK26" s="3">
        <f t="shared" si="6"/>
        <v>1</v>
      </c>
      <c r="AL26" s="3">
        <f t="shared" si="6"/>
        <v>0.25</v>
      </c>
      <c r="AM26" s="3">
        <f t="shared" si="6"/>
        <v>1</v>
      </c>
      <c r="AN26" s="3">
        <f t="shared" si="6"/>
        <v>0.1</v>
      </c>
      <c r="AO26" s="8">
        <f>SUMIFS(Table1[Demand],Table1[Fiscal_Year],Demand_Modeling!$O26,Table1[DC_name_Xref],Demand_Modeling!$P26)</f>
        <v>20333275</v>
      </c>
      <c r="AP26" s="8">
        <f>SUMIFS(Table1[Modeled_Demand],Table1[Fiscal_Year],Demand_Modeling!$O26,Table1[DC_name_Xref],Demand_Modeling!$P26)</f>
        <v>10316372.699999999</v>
      </c>
      <c r="AQ26" s="8">
        <f>SUMIFS(Table2[Capacity],Table2[Fiscal_Year],Demand_Modeling!$O26,Table2[DC_name_Xref],Demand_Modeling!$P26)</f>
        <v>15450123.599999998</v>
      </c>
      <c r="AR26" s="3">
        <f t="shared" si="13"/>
        <v>1.3160590508156196</v>
      </c>
      <c r="AS26" s="3">
        <f t="shared" si="14"/>
        <v>0.66772104658114195</v>
      </c>
      <c r="AT26" s="2">
        <f t="shared" si="15"/>
        <v>10316372.699999999</v>
      </c>
      <c r="AU26" s="2">
        <f t="shared" si="16"/>
        <v>2579093.1749999998</v>
      </c>
      <c r="AV26" s="2">
        <f t="shared" si="17"/>
        <v>10316372.699999999</v>
      </c>
      <c r="AW26" s="2">
        <f t="shared" si="18"/>
        <v>1031637.27</v>
      </c>
      <c r="AX26" s="2">
        <f t="shared" si="19"/>
        <v>209765643111592.5</v>
      </c>
      <c r="AY26" s="2">
        <f t="shared" si="20"/>
        <v>209765667355069</v>
      </c>
      <c r="AZ26" s="10">
        <f t="shared" si="21"/>
        <v>15450123.599999998</v>
      </c>
      <c r="BA26" s="5">
        <f t="shared" si="22"/>
        <v>13576957.232566671</v>
      </c>
    </row>
    <row r="27" spans="1:53" x14ac:dyDescent="0.3">
      <c r="A27" s="12" t="str">
        <f t="shared" si="8"/>
        <v>2020-Banana Republic</v>
      </c>
      <c r="B27" s="11">
        <v>2020</v>
      </c>
      <c r="C27" s="11" t="s">
        <v>18</v>
      </c>
      <c r="D27" s="3"/>
      <c r="E27" s="3">
        <v>1</v>
      </c>
      <c r="F27" s="3">
        <v>3.4959629396853166E-6</v>
      </c>
      <c r="G27" s="3">
        <v>4.2339995602855504E-5</v>
      </c>
      <c r="H27" s="3">
        <f>SUMIFS(Table1[Demand],Table1[Fiscal_Year],Demand_Modeling!$B27,Table1[BRAND],Demand_Modeling!$C27,Table1[DC_name_Xref],Demand_Modeling!H$13)/SUMIFS(Table1[Demand],Table1[Fiscal_Year],Demand_Modeling!$B27,Table1[BRAND],Demand_Modeling!$C27)</f>
        <v>0</v>
      </c>
      <c r="I27" s="3">
        <v>0</v>
      </c>
      <c r="J27" s="3">
        <f t="shared" si="9"/>
        <v>1.0000458359585425</v>
      </c>
      <c r="K27" s="8">
        <f>SUMIFS(Table1[Demand],Table1[Fiscal_Year],Demand_Modeling!$B27,Table1[BRAND],Demand_Modeling!$C27)</f>
        <v>2076124</v>
      </c>
      <c r="L27" s="8">
        <f>SUMIFS(Table1[Modeled_Demand],Table1[Fiscal_Year],Demand_Modeling!$B27,Table1[BRAND],Demand_Modeling!$C27)</f>
        <v>2076219.1611335932</v>
      </c>
      <c r="M27" s="3">
        <f t="shared" si="10"/>
        <v>-4.5835958542461697E-5</v>
      </c>
      <c r="N27" s="3"/>
      <c r="O27" s="8">
        <v>2020</v>
      </c>
      <c r="P27" s="11" t="s">
        <v>6</v>
      </c>
      <c r="Q27" s="3">
        <f t="shared" si="23"/>
        <v>1</v>
      </c>
      <c r="R27" s="3">
        <f t="shared" si="23"/>
        <v>1</v>
      </c>
      <c r="S27" s="3">
        <f t="shared" si="23"/>
        <v>0</v>
      </c>
      <c r="T27" s="3">
        <f t="shared" si="23"/>
        <v>0.2</v>
      </c>
      <c r="U27" s="3">
        <f t="shared" si="23"/>
        <v>0</v>
      </c>
      <c r="V27" s="3">
        <f t="shared" si="23"/>
        <v>0.2</v>
      </c>
      <c r="W27" s="8">
        <f>SUMIFS(Table1[Demand],Table1[Fiscal_Year],Demand_Modeling!$O27,Table1[DC_name_Xref],Demand_Modeling!$P27)</f>
        <v>7801984</v>
      </c>
      <c r="X27" s="8">
        <f>SUMIFS(Table1[Modeled_Demand],Table1[Fiscal_Year],Demand_Modeling!$O27,Table1[DC_name_Xref],Demand_Modeling!$P27)</f>
        <v>11111155.000000002</v>
      </c>
      <c r="Y27" s="8">
        <f>SUMIFS(Table2[Capacity],Table2[Fiscal_Year],Demand_Modeling!$O27,Table2[DC_name_Xref],Demand_Modeling!$P27)</f>
        <v>20084938.199999999</v>
      </c>
      <c r="Z27" s="3">
        <f t="shared" si="11"/>
        <v>0.38844948997652384</v>
      </c>
      <c r="AA27" s="3">
        <f t="shared" si="12"/>
        <v>0.55320832403656595</v>
      </c>
      <c r="AB27" s="3"/>
      <c r="AC27" s="3"/>
      <c r="AD27" s="3"/>
      <c r="AG27" s="8">
        <v>2020</v>
      </c>
      <c r="AH27" s="11" t="s">
        <v>6</v>
      </c>
      <c r="AI27" s="3">
        <f t="shared" si="6"/>
        <v>1</v>
      </c>
      <c r="AJ27" s="3">
        <f t="shared" si="6"/>
        <v>1</v>
      </c>
      <c r="AK27" s="3">
        <f t="shared" si="6"/>
        <v>0</v>
      </c>
      <c r="AL27" s="3">
        <f t="shared" si="6"/>
        <v>0.2</v>
      </c>
      <c r="AM27" s="3">
        <f t="shared" si="6"/>
        <v>0</v>
      </c>
      <c r="AN27" s="3">
        <f t="shared" si="6"/>
        <v>0.2</v>
      </c>
      <c r="AO27" s="8">
        <f>SUMIFS(Table1[Demand],Table1[Fiscal_Year],Demand_Modeling!$O27,Table1[DC_name_Xref],Demand_Modeling!$P27)</f>
        <v>7801984</v>
      </c>
      <c r="AP27" s="8">
        <f>SUMIFS(Table1[Modeled_Demand],Table1[Fiscal_Year],Demand_Modeling!$O27,Table1[DC_name_Xref],Demand_Modeling!$P27)</f>
        <v>11111155.000000002</v>
      </c>
      <c r="AQ27" s="8">
        <f>SUMIFS(Table2[Capacity],Table2[Fiscal_Year],Demand_Modeling!$O27,Table2[DC_name_Xref],Demand_Modeling!$P27)</f>
        <v>20084938.199999999</v>
      </c>
      <c r="AR27" s="3">
        <f t="shared" si="13"/>
        <v>0.38844948997652384</v>
      </c>
      <c r="AS27" s="3">
        <f t="shared" si="14"/>
        <v>0.55320832403656595</v>
      </c>
      <c r="AT27" s="2">
        <f t="shared" si="15"/>
        <v>0</v>
      </c>
      <c r="AU27" s="2">
        <f t="shared" si="16"/>
        <v>2222231.0000000005</v>
      </c>
      <c r="AV27" s="2">
        <f t="shared" si="17"/>
        <v>0</v>
      </c>
      <c r="AW27" s="2">
        <f t="shared" si="18"/>
        <v>2222231.0000000005</v>
      </c>
      <c r="AX27" s="2">
        <f t="shared" si="19"/>
        <v>86689053531520.016</v>
      </c>
      <c r="AY27" s="2">
        <f t="shared" si="20"/>
        <v>86689057975982.563</v>
      </c>
      <c r="AZ27" s="10">
        <f t="shared" si="21"/>
        <v>20084938.199999999</v>
      </c>
      <c r="BA27" s="5">
        <f t="shared" si="22"/>
        <v>4316122.7140834602</v>
      </c>
    </row>
    <row r="28" spans="1:53" x14ac:dyDescent="0.3">
      <c r="A28" s="12" t="str">
        <f t="shared" si="8"/>
        <v>2020-BR Factory Store</v>
      </c>
      <c r="B28" s="11">
        <v>2020</v>
      </c>
      <c r="C28" s="11" t="s">
        <v>17</v>
      </c>
      <c r="D28" s="3">
        <v>1</v>
      </c>
      <c r="E28" s="3">
        <v>0</v>
      </c>
      <c r="F28" s="3">
        <v>0</v>
      </c>
      <c r="G28" s="3">
        <v>0</v>
      </c>
      <c r="H28" s="3">
        <f>SUMIFS(Table1[Demand],Table1[Fiscal_Year],Demand_Modeling!$B28,Table1[BRAND],Demand_Modeling!$C28,Table1[DC_name_Xref],Demand_Modeling!H$13)/SUMIFS(Table1[Demand],Table1[Fiscal_Year],Demand_Modeling!$B28,Table1[BRAND],Demand_Modeling!$C28)</f>
        <v>0</v>
      </c>
      <c r="I28" s="3">
        <v>0</v>
      </c>
      <c r="J28" s="3">
        <f t="shared" si="9"/>
        <v>1</v>
      </c>
      <c r="K28" s="8">
        <f>SUMIFS(Table1[Demand],Table1[Fiscal_Year],Demand_Modeling!$B28,Table1[BRAND],Demand_Modeling!$C28)</f>
        <v>1391125</v>
      </c>
      <c r="L28" s="8">
        <f>SUMIFS(Table1[Modeled_Demand],Table1[Fiscal_Year],Demand_Modeling!$B28,Table1[BRAND],Demand_Modeling!$C28)</f>
        <v>1391125</v>
      </c>
      <c r="M28" s="3">
        <f t="shared" si="10"/>
        <v>0</v>
      </c>
      <c r="N28" s="3"/>
      <c r="O28" s="8">
        <v>2020</v>
      </c>
      <c r="P28" s="11" t="s">
        <v>7</v>
      </c>
      <c r="Q28" s="3">
        <f t="shared" si="23"/>
        <v>0</v>
      </c>
      <c r="R28" s="3">
        <f t="shared" si="23"/>
        <v>3.4959629396853166E-6</v>
      </c>
      <c r="S28" s="3">
        <f t="shared" si="23"/>
        <v>0</v>
      </c>
      <c r="T28" s="3">
        <f t="shared" si="23"/>
        <v>0.15</v>
      </c>
      <c r="U28" s="3">
        <f t="shared" si="23"/>
        <v>0</v>
      </c>
      <c r="V28" s="3">
        <f t="shared" si="23"/>
        <v>0.02</v>
      </c>
      <c r="W28" s="8">
        <f>SUMIFS(Table1[Demand],Table1[Fiscal_Year],Demand_Modeling!$O28,Table1[DC_name_Xref],Demand_Modeling!$P28)</f>
        <v>5306748</v>
      </c>
      <c r="X28" s="8">
        <f>SUMIFS(Table1[Modeled_Demand],Table1[Fiscal_Year],Demand_Modeling!$O28,Table1[DC_name_Xref],Demand_Modeling!$P28)</f>
        <v>2259189.7980525619</v>
      </c>
      <c r="Y28" s="8">
        <f>SUMIFS(Table2[Capacity],Table2[Fiscal_Year],Demand_Modeling!$O28,Table2[DC_name_Xref],Demand_Modeling!$P28)</f>
        <v>3707907.2999999966</v>
      </c>
      <c r="Z28" s="3">
        <f t="shared" si="11"/>
        <v>1.4311975922375419</v>
      </c>
      <c r="AA28" s="3">
        <f t="shared" si="12"/>
        <v>0.60928971931217479</v>
      </c>
      <c r="AB28" s="3"/>
      <c r="AC28" s="3"/>
      <c r="AD28" s="3"/>
      <c r="AG28" s="8">
        <v>2020</v>
      </c>
      <c r="AH28" s="11" t="s">
        <v>7</v>
      </c>
      <c r="AI28" s="3">
        <f t="shared" si="6"/>
        <v>0</v>
      </c>
      <c r="AJ28" s="3">
        <f t="shared" si="6"/>
        <v>3.4959629396853166E-6</v>
      </c>
      <c r="AK28" s="3">
        <f t="shared" si="6"/>
        <v>0</v>
      </c>
      <c r="AL28" s="3">
        <f t="shared" si="6"/>
        <v>0.15</v>
      </c>
      <c r="AM28" s="3">
        <f t="shared" si="6"/>
        <v>0</v>
      </c>
      <c r="AN28" s="3">
        <f t="shared" si="6"/>
        <v>0.02</v>
      </c>
      <c r="AO28" s="8">
        <f>SUMIFS(Table1[Demand],Table1[Fiscal_Year],Demand_Modeling!$O28,Table1[DC_name_Xref],Demand_Modeling!$P28)</f>
        <v>5306748</v>
      </c>
      <c r="AP28" s="8">
        <f>SUMIFS(Table1[Modeled_Demand],Table1[Fiscal_Year],Demand_Modeling!$O28,Table1[DC_name_Xref],Demand_Modeling!$P28)</f>
        <v>2259189.7980525619</v>
      </c>
      <c r="AQ28" s="8">
        <f>SUMIFS(Table2[Capacity],Table2[Fiscal_Year],Demand_Modeling!$O28,Table2[DC_name_Xref],Demand_Modeling!$P28)</f>
        <v>3707907.2999999966</v>
      </c>
      <c r="AR28" s="3">
        <f t="shared" si="13"/>
        <v>1.4311975922375419</v>
      </c>
      <c r="AS28" s="3">
        <f t="shared" si="14"/>
        <v>0.60928971931217479</v>
      </c>
      <c r="AT28" s="2">
        <f t="shared" si="15"/>
        <v>0</v>
      </c>
      <c r="AU28" s="2">
        <f t="shared" si="16"/>
        <v>338878.4697078843</v>
      </c>
      <c r="AV28" s="2">
        <f t="shared" si="17"/>
        <v>0</v>
      </c>
      <c r="AW28" s="2">
        <f t="shared" si="18"/>
        <v>45183.795961051241</v>
      </c>
      <c r="AX28" s="2">
        <f t="shared" si="19"/>
        <v>11988950942435.838</v>
      </c>
      <c r="AY28" s="2">
        <f t="shared" si="20"/>
        <v>11988951326498.713</v>
      </c>
      <c r="AZ28" s="10">
        <f t="shared" si="21"/>
        <v>3707907.2999999966</v>
      </c>
      <c r="BA28" s="5">
        <f t="shared" si="22"/>
        <v>3233347.102959862</v>
      </c>
    </row>
    <row r="29" spans="1:53" x14ac:dyDescent="0.3">
      <c r="A29" s="12" t="str">
        <f t="shared" si="8"/>
        <v>2020-Gap</v>
      </c>
      <c r="B29" s="11">
        <v>2020</v>
      </c>
      <c r="C29" s="11" t="s">
        <v>16</v>
      </c>
      <c r="D29" s="3">
        <v>0.25</v>
      </c>
      <c r="E29" s="3">
        <v>0.2</v>
      </c>
      <c r="F29" s="3">
        <v>0.15</v>
      </c>
      <c r="G29" s="3">
        <v>0</v>
      </c>
      <c r="H29" s="3">
        <f>SUMIFS(Table1[Demand],Table1[Fiscal_Year],Demand_Modeling!$B29,Table1[BRAND],Demand_Modeling!$C29,Table1[DC_name_Xref],Demand_Modeling!H$13)/SUMIFS(Table1[Demand],Table1[Fiscal_Year],Demand_Modeling!$B29,Table1[BRAND],Demand_Modeling!$C29)</f>
        <v>0</v>
      </c>
      <c r="I29" s="3">
        <v>0.4</v>
      </c>
      <c r="J29" s="3">
        <f t="shared" si="9"/>
        <v>1</v>
      </c>
      <c r="K29" s="8">
        <f>SUMIFS(Table1[Demand],Table1[Fiscal_Year],Demand_Modeling!$B29,Table1[BRAND],Demand_Modeling!$C29)</f>
        <v>11737708</v>
      </c>
      <c r="L29" s="8">
        <f>SUMIFS(Table1[Modeled_Demand],Table1[Fiscal_Year],Demand_Modeling!$B29,Table1[BRAND],Demand_Modeling!$C29)</f>
        <v>11737707.999999998</v>
      </c>
      <c r="M29" s="3">
        <f t="shared" si="10"/>
        <v>0</v>
      </c>
      <c r="N29" s="3"/>
      <c r="O29" s="8">
        <v>2020</v>
      </c>
      <c r="P29" s="11" t="s">
        <v>8</v>
      </c>
      <c r="Q29" s="3">
        <f t="shared" si="23"/>
        <v>3.447122356821831E-5</v>
      </c>
      <c r="R29" s="3">
        <f t="shared" si="23"/>
        <v>4.2339995602855504E-5</v>
      </c>
      <c r="S29" s="3">
        <f t="shared" si="23"/>
        <v>0</v>
      </c>
      <c r="T29" s="3">
        <f t="shared" si="23"/>
        <v>0</v>
      </c>
      <c r="U29" s="3">
        <f t="shared" si="23"/>
        <v>0</v>
      </c>
      <c r="V29" s="3">
        <f t="shared" si="23"/>
        <v>0.41</v>
      </c>
      <c r="W29" s="8">
        <f>SUMIFS(Table1[Demand],Table1[Fiscal_Year],Demand_Modeling!$O29,Table1[DC_name_Xref],Demand_Modeling!$P29)</f>
        <v>8286945</v>
      </c>
      <c r="X29" s="8">
        <f>SUMIFS(Table1[Modeled_Demand],Table1[Fiscal_Year],Demand_Modeling!$O29,Table1[DC_name_Xref],Demand_Modeling!$P29)</f>
        <v>10219936.550894041</v>
      </c>
      <c r="Y29" s="8">
        <f>SUMIFS(Table2[Capacity],Table2[Fiscal_Year],Demand_Modeling!$O29,Table2[DC_name_Xref],Demand_Modeling!$P29)</f>
        <v>15450123.599999998</v>
      </c>
      <c r="Z29" s="3">
        <f t="shared" si="11"/>
        <v>0.53636755371976452</v>
      </c>
      <c r="AA29" s="3">
        <f t="shared" si="12"/>
        <v>0.66147927456671229</v>
      </c>
      <c r="AB29" s="3"/>
      <c r="AC29" s="3"/>
      <c r="AD29" s="3"/>
      <c r="AG29" s="8">
        <v>2020</v>
      </c>
      <c r="AH29" s="11" t="s">
        <v>8</v>
      </c>
      <c r="AI29" s="3">
        <f t="shared" si="6"/>
        <v>3.447122356821831E-5</v>
      </c>
      <c r="AJ29" s="3">
        <f t="shared" si="6"/>
        <v>4.2339995602855504E-5</v>
      </c>
      <c r="AK29" s="3">
        <f t="shared" si="6"/>
        <v>0</v>
      </c>
      <c r="AL29" s="3">
        <f t="shared" si="6"/>
        <v>0</v>
      </c>
      <c r="AM29" s="3">
        <f t="shared" si="6"/>
        <v>0</v>
      </c>
      <c r="AN29" s="3">
        <f t="shared" si="6"/>
        <v>0.41</v>
      </c>
      <c r="AO29" s="8">
        <f>SUMIFS(Table1[Demand],Table1[Fiscal_Year],Demand_Modeling!$O29,Table1[DC_name_Xref],Demand_Modeling!$P29)</f>
        <v>8286945</v>
      </c>
      <c r="AP29" s="8">
        <f>SUMIFS(Table1[Modeled_Demand],Table1[Fiscal_Year],Demand_Modeling!$O29,Table1[DC_name_Xref],Demand_Modeling!$P29)</f>
        <v>10219936.550894041</v>
      </c>
      <c r="AQ29" s="8">
        <f>SUMIFS(Table2[Capacity],Table2[Fiscal_Year],Demand_Modeling!$O29,Table2[DC_name_Xref],Demand_Modeling!$P29)</f>
        <v>15450123.599999998</v>
      </c>
      <c r="AR29" s="3">
        <f t="shared" si="13"/>
        <v>0.53636755371976452</v>
      </c>
      <c r="AS29" s="3">
        <f t="shared" si="14"/>
        <v>0.66147927456671229</v>
      </c>
      <c r="AT29" s="2">
        <f t="shared" si="15"/>
        <v>0</v>
      </c>
      <c r="AU29" s="2">
        <f t="shared" si="16"/>
        <v>0</v>
      </c>
      <c r="AV29" s="2">
        <f t="shared" si="17"/>
        <v>0</v>
      </c>
      <c r="AW29" s="2">
        <f t="shared" si="18"/>
        <v>4190173.9858665564</v>
      </c>
      <c r="AX29" s="2">
        <f t="shared" si="19"/>
        <v>84692052100748.609</v>
      </c>
      <c r="AY29" s="2">
        <f t="shared" si="20"/>
        <v>84692056290923.25</v>
      </c>
      <c r="AZ29" s="10">
        <f t="shared" si="21"/>
        <v>15450123.599999998</v>
      </c>
      <c r="BA29" s="5">
        <f t="shared" si="22"/>
        <v>5481642.6381807886</v>
      </c>
    </row>
    <row r="30" spans="1:53" x14ac:dyDescent="0.3">
      <c r="A30" s="12" t="str">
        <f t="shared" si="8"/>
        <v>2020-Gap Factory Store</v>
      </c>
      <c r="B30" s="11">
        <v>2020</v>
      </c>
      <c r="C30" s="11" t="s">
        <v>22</v>
      </c>
      <c r="D30" s="3">
        <v>1</v>
      </c>
      <c r="E30" s="3">
        <v>0</v>
      </c>
      <c r="F30" s="3">
        <v>0</v>
      </c>
      <c r="G30" s="3">
        <v>0</v>
      </c>
      <c r="H30" s="3">
        <f>SUMIFS(Table1[Demand],Table1[Fiscal_Year],Demand_Modeling!$B30,Table1[BRAND],Demand_Modeling!$C30,Table1[DC_name_Xref],Demand_Modeling!H$13)/SUMIFS(Table1[Demand],Table1[Fiscal_Year],Demand_Modeling!$B30,Table1[BRAND],Demand_Modeling!$C30)</f>
        <v>0</v>
      </c>
      <c r="I30" s="3">
        <v>0</v>
      </c>
      <c r="J30" s="3">
        <f t="shared" si="9"/>
        <v>1</v>
      </c>
      <c r="K30" s="8">
        <f>SUMIFS(Table1[Demand],Table1[Fiscal_Year],Demand_Modeling!$B30,Table1[BRAND],Demand_Modeling!$C30)</f>
        <v>3498189</v>
      </c>
      <c r="L30" s="8">
        <f>SUMIFS(Table1[Modeled_Demand],Table1[Fiscal_Year],Demand_Modeling!$B30,Table1[BRAND],Demand_Modeling!$C30)</f>
        <v>3498189</v>
      </c>
      <c r="M30" s="3">
        <f t="shared" si="10"/>
        <v>0</v>
      </c>
      <c r="N30" s="3"/>
      <c r="O30" s="8">
        <v>2020</v>
      </c>
      <c r="P30" s="11" t="s">
        <v>11</v>
      </c>
      <c r="Q30" s="3">
        <f t="shared" si="23"/>
        <v>0</v>
      </c>
      <c r="R30" s="3">
        <f t="shared" si="23"/>
        <v>0</v>
      </c>
      <c r="S30" s="3">
        <f t="shared" si="23"/>
        <v>0</v>
      </c>
      <c r="T30" s="3">
        <f t="shared" si="23"/>
        <v>0</v>
      </c>
      <c r="U30" s="3">
        <f t="shared" si="23"/>
        <v>0</v>
      </c>
      <c r="V30" s="3">
        <f t="shared" si="23"/>
        <v>0</v>
      </c>
      <c r="W30" s="8">
        <f>SUMIFS(Table1[Demand],Table1[Fiscal_Year],Demand_Modeling!$O30,Table1[DC_name_Xref],Demand_Modeling!$P30)</f>
        <v>0</v>
      </c>
      <c r="X30" s="8">
        <f>SUMIFS(Table1[Modeled_Demand],Table1[Fiscal_Year],Demand_Modeling!$O30,Table1[DC_name_Xref],Demand_Modeling!$P30)</f>
        <v>0</v>
      </c>
      <c r="Y30" s="8">
        <f>SUMIFS(Table2[Capacity],Table2[Fiscal_Year],Demand_Modeling!$O30,Table2[DC_name_Xref],Demand_Modeling!$P30)</f>
        <v>0</v>
      </c>
      <c r="Z30" s="3">
        <f t="shared" si="11"/>
        <v>0</v>
      </c>
      <c r="AA30" s="3">
        <f t="shared" si="12"/>
        <v>0</v>
      </c>
      <c r="AB30" s="3"/>
      <c r="AC30" s="3"/>
      <c r="AD30" s="3"/>
      <c r="AG30" s="8">
        <v>2020</v>
      </c>
      <c r="AH30" s="11" t="s">
        <v>23</v>
      </c>
      <c r="AI30" s="3">
        <f t="shared" ref="AI30:AN45" si="24">INDEX($A$13:$J$49,MATCH($O30&amp;"-"&amp;AI$13,$A$13:$A$49,0),MATCH($P30,$A$13:$J$13,0))</f>
        <v>0</v>
      </c>
      <c r="AJ30" s="3">
        <f t="shared" si="24"/>
        <v>0</v>
      </c>
      <c r="AK30" s="3">
        <f t="shared" si="24"/>
        <v>0</v>
      </c>
      <c r="AL30" s="3">
        <f t="shared" si="24"/>
        <v>0</v>
      </c>
      <c r="AM30" s="3">
        <f t="shared" si="24"/>
        <v>0</v>
      </c>
      <c r="AN30" s="3">
        <f t="shared" si="24"/>
        <v>0</v>
      </c>
      <c r="AO30" s="8">
        <f>SUMIFS(Table1[Demand],Table1[Fiscal_Year],Demand_Modeling!$O30,Table1[DC_name_Xref],Demand_Modeling!$P30)</f>
        <v>0</v>
      </c>
      <c r="AP30" s="8">
        <f>SUMIFS(Table1[Modeled_Demand],Table1[Fiscal_Year],Demand_Modeling!$O30,Table1[DC_name_Xref],Demand_Modeling!$P30)</f>
        <v>0</v>
      </c>
      <c r="AQ30" s="8">
        <f>SUMIFS(Table2[Capacity],Table2[Fiscal_Year],Demand_Modeling!$O30,Table2[DC_name_Xref],Demand_Modeling!$P30)</f>
        <v>0</v>
      </c>
      <c r="AR30" s="3">
        <f t="shared" si="13"/>
        <v>0</v>
      </c>
      <c r="AS30" s="3">
        <f t="shared" si="14"/>
        <v>0</v>
      </c>
      <c r="AT30" s="2">
        <f t="shared" si="15"/>
        <v>0</v>
      </c>
      <c r="AU30" s="2">
        <f t="shared" si="16"/>
        <v>0</v>
      </c>
      <c r="AV30" s="2">
        <f t="shared" si="17"/>
        <v>0</v>
      </c>
      <c r="AW30" s="2">
        <f t="shared" si="18"/>
        <v>0</v>
      </c>
      <c r="AX30" s="2">
        <f t="shared" si="19"/>
        <v>0</v>
      </c>
      <c r="AY30" s="2">
        <f t="shared" si="20"/>
        <v>0</v>
      </c>
      <c r="AZ30" s="10">
        <f t="shared" si="21"/>
        <v>0</v>
      </c>
      <c r="BA30" s="5" t="e">
        <f t="shared" si="22"/>
        <v>#DIV/0!</v>
      </c>
    </row>
    <row r="31" spans="1:53" x14ac:dyDescent="0.3">
      <c r="A31" s="12" t="str">
        <f t="shared" si="8"/>
        <v>2020-Old Navy</v>
      </c>
      <c r="B31" s="11">
        <v>2020</v>
      </c>
      <c r="C31" s="11" t="s">
        <v>20</v>
      </c>
      <c r="D31" s="3">
        <v>0.1</v>
      </c>
      <c r="E31" s="3">
        <v>0.2</v>
      </c>
      <c r="F31" s="3">
        <v>0.02</v>
      </c>
      <c r="G31" s="3">
        <v>0.41</v>
      </c>
      <c r="H31" s="3">
        <f>SUMIFS(Table1[Demand],Table1[Fiscal_Year],Demand_Modeling!$B31,Table1[BRAND],Demand_Modeling!$C31,Table1[DC_name_Xref],Demand_Modeling!H$13)/SUMIFS(Table1[Demand],Table1[Fiscal_Year],Demand_Modeling!$B31,Table1[BRAND],Demand_Modeling!$C31)</f>
        <v>0</v>
      </c>
      <c r="I31" s="3">
        <v>0.27</v>
      </c>
      <c r="J31" s="3">
        <f t="shared" si="9"/>
        <v>1</v>
      </c>
      <c r="K31" s="8">
        <f>SUMIFS(Table1[Demand],Table1[Fiscal_Year],Demand_Modeling!$B31,Table1[BRAND],Demand_Modeling!$C31)</f>
        <v>24926317</v>
      </c>
      <c r="L31" s="8">
        <f>SUMIFS(Table1[Modeled_Demand],Table1[Fiscal_Year],Demand_Modeling!$B31,Table1[BRAND],Demand_Modeling!$C31)</f>
        <v>24926317</v>
      </c>
      <c r="M31" s="3">
        <f t="shared" si="10"/>
        <v>0</v>
      </c>
      <c r="N31" s="3"/>
      <c r="O31" s="8">
        <v>2020</v>
      </c>
      <c r="P31" s="11" t="s">
        <v>10</v>
      </c>
      <c r="Q31" s="3">
        <f t="shared" si="23"/>
        <v>0</v>
      </c>
      <c r="R31" s="3">
        <f t="shared" si="23"/>
        <v>0</v>
      </c>
      <c r="S31" s="3">
        <f t="shared" si="23"/>
        <v>0</v>
      </c>
      <c r="T31" s="3">
        <f t="shared" si="23"/>
        <v>0.4</v>
      </c>
      <c r="U31" s="3">
        <f t="shared" si="23"/>
        <v>0</v>
      </c>
      <c r="V31" s="3">
        <f t="shared" si="23"/>
        <v>0.27</v>
      </c>
      <c r="W31" s="8">
        <f>SUMIFS(Table1[Demand],Table1[Fiscal_Year],Demand_Modeling!$O31,Table1[DC_name_Xref],Demand_Modeling!$P31)</f>
        <v>3602737</v>
      </c>
      <c r="X31" s="8">
        <f>SUMIFS(Table1[Modeled_Demand],Table1[Fiscal_Year],Demand_Modeling!$O31,Table1[DC_name_Xref],Demand_Modeling!$P31)</f>
        <v>11425188.789999999</v>
      </c>
      <c r="Y31" s="8">
        <f>SUMIFS(Table2[Capacity],Table2[Fiscal_Year],Demand_Modeling!$O31,Table2[DC_name_Xref],Demand_Modeling!$P31)</f>
        <v>20084938.199999999</v>
      </c>
      <c r="Z31" s="3">
        <f t="shared" si="11"/>
        <v>0.17937506026281924</v>
      </c>
      <c r="AA31" s="3">
        <f t="shared" si="12"/>
        <v>0.5688436118762864</v>
      </c>
      <c r="AB31" s="3"/>
      <c r="AC31" s="3"/>
      <c r="AD31" s="3"/>
      <c r="AG31" s="8">
        <v>2020</v>
      </c>
      <c r="AH31" s="11" t="s">
        <v>10</v>
      </c>
      <c r="AI31" s="3">
        <f t="shared" si="24"/>
        <v>0</v>
      </c>
      <c r="AJ31" s="3">
        <f t="shared" si="24"/>
        <v>0</v>
      </c>
      <c r="AK31" s="3">
        <f t="shared" si="24"/>
        <v>0</v>
      </c>
      <c r="AL31" s="3">
        <f t="shared" si="24"/>
        <v>0.4</v>
      </c>
      <c r="AM31" s="3">
        <f t="shared" si="24"/>
        <v>0</v>
      </c>
      <c r="AN31" s="3">
        <f t="shared" si="24"/>
        <v>0.27</v>
      </c>
      <c r="AO31" s="8">
        <f>SUMIFS(Table1[Demand],Table1[Fiscal_Year],Demand_Modeling!$O31,Table1[DC_name_Xref],Demand_Modeling!$P31)</f>
        <v>3602737</v>
      </c>
      <c r="AP31" s="8">
        <f>SUMIFS(Table1[Modeled_Demand],Table1[Fiscal_Year],Demand_Modeling!$O31,Table1[DC_name_Xref],Demand_Modeling!$P31)</f>
        <v>11425188.789999999</v>
      </c>
      <c r="AQ31" s="8">
        <f>SUMIFS(Table2[Capacity],Table2[Fiscal_Year],Demand_Modeling!$O31,Table2[DC_name_Xref],Demand_Modeling!$P31)</f>
        <v>20084938.199999999</v>
      </c>
      <c r="AR31" s="3">
        <f t="shared" si="13"/>
        <v>0.17937506026281924</v>
      </c>
      <c r="AS31" s="3">
        <f t="shared" si="14"/>
        <v>0.5688436118762864</v>
      </c>
      <c r="AT31" s="2">
        <f t="shared" si="15"/>
        <v>0</v>
      </c>
      <c r="AU31" s="2">
        <f t="shared" si="16"/>
        <v>4570075.5159999998</v>
      </c>
      <c r="AV31" s="2">
        <f t="shared" si="17"/>
        <v>0</v>
      </c>
      <c r="AW31" s="2">
        <f t="shared" si="18"/>
        <v>3084800.9733000002</v>
      </c>
      <c r="AX31" s="2">
        <f t="shared" si="19"/>
        <v>41161950385718.227</v>
      </c>
      <c r="AY31" s="2">
        <f t="shared" si="20"/>
        <v>41161958040595.281</v>
      </c>
      <c r="AZ31" s="10">
        <f t="shared" si="21"/>
        <v>20084938.199999999</v>
      </c>
      <c r="BA31" s="5">
        <f t="shared" si="22"/>
        <v>2049394.3088455847</v>
      </c>
    </row>
    <row r="32" spans="1:53" x14ac:dyDescent="0.3">
      <c r="A32" s="12" t="str">
        <f t="shared" si="8"/>
        <v>2021-Athleta</v>
      </c>
      <c r="B32" s="11">
        <v>2021</v>
      </c>
      <c r="C32" s="1" t="s">
        <v>19</v>
      </c>
      <c r="D32" s="3"/>
      <c r="E32" s="3">
        <v>1</v>
      </c>
      <c r="F32" s="3">
        <v>0</v>
      </c>
      <c r="G32" s="3">
        <v>3.447122356821831E-5</v>
      </c>
      <c r="H32" s="3">
        <v>0</v>
      </c>
      <c r="I32" s="3">
        <v>0</v>
      </c>
      <c r="J32" s="3">
        <f t="shared" ref="J32:J37" si="25">SUM(D32:I32)</f>
        <v>1.0000344712235683</v>
      </c>
      <c r="K32" s="8">
        <f>SUMIFS(Table1[Demand],Table1[Fiscal_Year],Demand_Modeling!$B32,Table1[BRAND],Demand_Modeling!$C32)</f>
        <v>2059689</v>
      </c>
      <c r="L32" s="8">
        <f>SUMIFS(Table1[Modeled_Demand],Table1[Fiscal_Year],Demand_Modeling!$B32,Table1[BRAND],Demand_Modeling!$C32)</f>
        <v>2059760</v>
      </c>
      <c r="M32" s="3">
        <f t="shared" si="10"/>
        <v>-3.4471223568255382E-5</v>
      </c>
      <c r="N32" s="3"/>
      <c r="O32" s="8">
        <v>2021</v>
      </c>
      <c r="P32" s="11" t="s">
        <v>5</v>
      </c>
      <c r="Q32" s="3">
        <f t="shared" si="23"/>
        <v>0</v>
      </c>
      <c r="R32" s="3">
        <f t="shared" si="23"/>
        <v>0</v>
      </c>
      <c r="S32" s="3">
        <f t="shared" si="23"/>
        <v>1</v>
      </c>
      <c r="T32" s="3">
        <f t="shared" si="23"/>
        <v>0</v>
      </c>
      <c r="U32" s="3">
        <f t="shared" si="23"/>
        <v>1</v>
      </c>
      <c r="V32" s="3">
        <f t="shared" si="23"/>
        <v>0.15</v>
      </c>
      <c r="W32" s="8">
        <f>SUMIFS(Table1[Demand],Table1[Fiscal_Year],Demand_Modeling!$O32,Table1[DC_name_Xref],Demand_Modeling!$P32)</f>
        <v>25410170</v>
      </c>
      <c r="X32" s="8">
        <f>SUMIFS(Table1[Modeled_Demand],Table1[Fiscal_Year],Demand_Modeling!$O32,Table1[DC_name_Xref],Demand_Modeling!$P32)</f>
        <v>11167249.15</v>
      </c>
      <c r="Y32" s="8">
        <f>SUMIFS(Table2[Capacity],Table2[Fiscal_Year],Demand_Modeling!$O32,Table2[DC_name_Xref],Demand_Modeling!$P32)</f>
        <v>20084938.199999999</v>
      </c>
      <c r="Z32" s="3">
        <f t="shared" si="11"/>
        <v>1.2651355830410274</v>
      </c>
      <c r="AA32" s="3">
        <f t="shared" si="12"/>
        <v>0.55600117056870013</v>
      </c>
      <c r="AB32" s="3"/>
      <c r="AC32" s="3"/>
      <c r="AD32" s="3"/>
      <c r="AG32" s="8">
        <v>2021</v>
      </c>
      <c r="AH32" s="11" t="s">
        <v>5</v>
      </c>
      <c r="AI32" s="3">
        <f t="shared" si="24"/>
        <v>0</v>
      </c>
      <c r="AJ32" s="3">
        <f t="shared" si="24"/>
        <v>0</v>
      </c>
      <c r="AK32" s="3">
        <f t="shared" si="24"/>
        <v>1</v>
      </c>
      <c r="AL32" s="3">
        <f t="shared" si="24"/>
        <v>0</v>
      </c>
      <c r="AM32" s="3">
        <f t="shared" si="24"/>
        <v>1</v>
      </c>
      <c r="AN32" s="3">
        <f t="shared" si="24"/>
        <v>0.15</v>
      </c>
      <c r="AO32" s="8">
        <f>SUMIFS(Table1[Demand],Table1[Fiscal_Year],Demand_Modeling!$O32,Table1[DC_name_Xref],Demand_Modeling!$P32)</f>
        <v>25410170</v>
      </c>
      <c r="AP32" s="8">
        <f>SUMIFS(Table1[Modeled_Demand],Table1[Fiscal_Year],Demand_Modeling!$O32,Table1[DC_name_Xref],Demand_Modeling!$P32)</f>
        <v>11167249.15</v>
      </c>
      <c r="AQ32" s="8">
        <f>SUMIFS(Table2[Capacity],Table2[Fiscal_Year],Demand_Modeling!$O32,Table2[DC_name_Xref],Demand_Modeling!$P32)</f>
        <v>20084938.199999999</v>
      </c>
      <c r="AR32" s="3">
        <f t="shared" si="13"/>
        <v>1.2651355830410274</v>
      </c>
      <c r="AS32" s="3">
        <f t="shared" si="14"/>
        <v>0.55600117056870013</v>
      </c>
      <c r="AT32" s="2">
        <f t="shared" si="15"/>
        <v>11167249.15</v>
      </c>
      <c r="AU32" s="2">
        <f t="shared" si="16"/>
        <v>0</v>
      </c>
      <c r="AV32" s="2">
        <f t="shared" si="17"/>
        <v>11167249.15</v>
      </c>
      <c r="AW32" s="2">
        <f t="shared" si="18"/>
        <v>1675087.3725000001</v>
      </c>
      <c r="AX32" s="2">
        <f t="shared" si="19"/>
        <v>283761699333855.5</v>
      </c>
      <c r="AY32" s="2">
        <f t="shared" si="20"/>
        <v>283761723343441.75</v>
      </c>
      <c r="AZ32" s="10">
        <f t="shared" si="21"/>
        <v>20084938.199999999</v>
      </c>
      <c r="BA32" s="5">
        <f t="shared" si="22"/>
        <v>14128085.459752211</v>
      </c>
    </row>
    <row r="33" spans="1:53" x14ac:dyDescent="0.3">
      <c r="A33" s="12" t="str">
        <f t="shared" si="8"/>
        <v>2021-Banana Republic</v>
      </c>
      <c r="B33" s="11">
        <v>2021</v>
      </c>
      <c r="C33" s="11" t="s">
        <v>18</v>
      </c>
      <c r="D33" s="3"/>
      <c r="E33" s="3">
        <v>1</v>
      </c>
      <c r="F33" s="3">
        <v>3.4959629396853166E-6</v>
      </c>
      <c r="G33" s="3">
        <v>4.2339995602855504E-5</v>
      </c>
      <c r="H33" s="3">
        <v>0</v>
      </c>
      <c r="I33" s="3">
        <v>0</v>
      </c>
      <c r="J33" s="3">
        <f t="shared" si="25"/>
        <v>1.0000458359585425</v>
      </c>
      <c r="K33" s="8">
        <f>SUMIFS(Table1[Demand],Table1[Fiscal_Year],Demand_Modeling!$B33,Table1[BRAND],Demand_Modeling!$C33)</f>
        <v>2574398</v>
      </c>
      <c r="L33" s="8">
        <f>SUMIFS(Table1[Modeled_Demand],Table1[Fiscal_Year],Demand_Modeling!$B33,Table1[BRAND],Demand_Modeling!$C33)</f>
        <v>2574516.0000000005</v>
      </c>
      <c r="M33" s="3">
        <f t="shared" si="10"/>
        <v>-4.5835958542683741E-5</v>
      </c>
      <c r="N33" s="3"/>
      <c r="O33" s="8">
        <v>2021</v>
      </c>
      <c r="P33" s="11" t="s">
        <v>6</v>
      </c>
      <c r="Q33" s="3">
        <f t="shared" si="23"/>
        <v>1</v>
      </c>
      <c r="R33" s="3">
        <f t="shared" si="23"/>
        <v>1</v>
      </c>
      <c r="S33" s="3">
        <f t="shared" si="23"/>
        <v>0</v>
      </c>
      <c r="T33" s="3">
        <f t="shared" si="23"/>
        <v>0.2</v>
      </c>
      <c r="U33" s="3">
        <f t="shared" si="23"/>
        <v>0</v>
      </c>
      <c r="V33" s="3">
        <f t="shared" si="23"/>
        <v>0.17760000000000001</v>
      </c>
      <c r="W33" s="8">
        <f>SUMIFS(Table1[Demand],Table1[Fiscal_Year],Demand_Modeling!$O33,Table1[DC_name_Xref],Demand_Modeling!$P33)</f>
        <v>9501367</v>
      </c>
      <c r="X33" s="8">
        <f>SUMIFS(Table1[Modeled_Demand],Table1[Fiscal_Year],Demand_Modeling!$O33,Table1[DC_name_Xref],Demand_Modeling!$P33)</f>
        <v>12854652.761599999</v>
      </c>
      <c r="Y33" s="8">
        <f>SUMIFS(Table2[Capacity],Table2[Fiscal_Year],Demand_Modeling!$O33,Table2[DC_name_Xref],Demand_Modeling!$P33)</f>
        <v>23174907.300000038</v>
      </c>
      <c r="Z33" s="3">
        <f t="shared" si="11"/>
        <v>0.40998511351111139</v>
      </c>
      <c r="AA33" s="3">
        <f t="shared" si="12"/>
        <v>0.55467979203524054</v>
      </c>
      <c r="AB33" s="3"/>
      <c r="AC33" s="3"/>
      <c r="AD33" s="3"/>
      <c r="AG33" s="8">
        <v>2021</v>
      </c>
      <c r="AH33" s="11" t="s">
        <v>6</v>
      </c>
      <c r="AI33" s="3">
        <f t="shared" si="24"/>
        <v>1</v>
      </c>
      <c r="AJ33" s="3">
        <f t="shared" si="24"/>
        <v>1</v>
      </c>
      <c r="AK33" s="3">
        <f t="shared" si="24"/>
        <v>0</v>
      </c>
      <c r="AL33" s="3">
        <f t="shared" si="24"/>
        <v>0.2</v>
      </c>
      <c r="AM33" s="3">
        <f t="shared" si="24"/>
        <v>0</v>
      </c>
      <c r="AN33" s="3">
        <f t="shared" si="24"/>
        <v>0.17760000000000001</v>
      </c>
      <c r="AO33" s="8">
        <f>SUMIFS(Table1[Demand],Table1[Fiscal_Year],Demand_Modeling!$O33,Table1[DC_name_Xref],Demand_Modeling!$P33)</f>
        <v>9501367</v>
      </c>
      <c r="AP33" s="8">
        <f>SUMIFS(Table1[Modeled_Demand],Table1[Fiscal_Year],Demand_Modeling!$O33,Table1[DC_name_Xref],Demand_Modeling!$P33)</f>
        <v>12854652.761599999</v>
      </c>
      <c r="AQ33" s="8">
        <f>SUMIFS(Table2[Capacity],Table2[Fiscal_Year],Demand_Modeling!$O33,Table2[DC_name_Xref],Demand_Modeling!$P33)</f>
        <v>23174907.300000038</v>
      </c>
      <c r="AR33" s="3">
        <f t="shared" si="13"/>
        <v>0.40998511351111139</v>
      </c>
      <c r="AS33" s="3">
        <f t="shared" si="14"/>
        <v>0.55467979203524054</v>
      </c>
      <c r="AT33" s="2">
        <f t="shared" si="15"/>
        <v>0</v>
      </c>
      <c r="AU33" s="2">
        <f t="shared" si="16"/>
        <v>2570930.5523199998</v>
      </c>
      <c r="AV33" s="2">
        <f t="shared" si="17"/>
        <v>0</v>
      </c>
      <c r="AW33" s="2">
        <f t="shared" si="18"/>
        <v>2282986.33046016</v>
      </c>
      <c r="AX33" s="2">
        <f t="shared" si="19"/>
        <v>122136773545525.09</v>
      </c>
      <c r="AY33" s="2">
        <f t="shared" si="20"/>
        <v>122136778399442.53</v>
      </c>
      <c r="AZ33" s="10">
        <f t="shared" si="21"/>
        <v>23174907.300000038</v>
      </c>
      <c r="BA33" s="5">
        <f t="shared" si="22"/>
        <v>5270216.4810576104</v>
      </c>
    </row>
    <row r="34" spans="1:53" x14ac:dyDescent="0.3">
      <c r="A34" s="12" t="str">
        <f t="shared" si="8"/>
        <v>2021-BR Factory Store</v>
      </c>
      <c r="B34" s="11">
        <v>2021</v>
      </c>
      <c r="C34" s="11" t="s">
        <v>17</v>
      </c>
      <c r="D34" s="3">
        <v>1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f t="shared" si="25"/>
        <v>1</v>
      </c>
      <c r="K34" s="8">
        <f>SUMIFS(Table1[Demand],Table1[Fiscal_Year],Demand_Modeling!$B34,Table1[BRAND],Demand_Modeling!$C34)</f>
        <v>1780640</v>
      </c>
      <c r="L34" s="8">
        <f>SUMIFS(Table1[Modeled_Demand],Table1[Fiscal_Year],Demand_Modeling!$B34,Table1[BRAND],Demand_Modeling!$C34)</f>
        <v>1780640</v>
      </c>
      <c r="M34" s="3">
        <f t="shared" si="10"/>
        <v>0</v>
      </c>
      <c r="N34" s="3"/>
      <c r="O34" s="8">
        <v>2021</v>
      </c>
      <c r="P34" s="11" t="s">
        <v>7</v>
      </c>
      <c r="Q34" s="3">
        <f t="shared" ref="Q34:V43" si="26">INDEX($A$13:$J$49,MATCH($O34&amp;"-"&amp;Q$13,$A$13:$A$49,0),MATCH($P34,$A$13:$J$13,0))</f>
        <v>0</v>
      </c>
      <c r="R34" s="3">
        <f t="shared" si="26"/>
        <v>3.4959629396853166E-6</v>
      </c>
      <c r="S34" s="3">
        <f t="shared" si="26"/>
        <v>0</v>
      </c>
      <c r="T34" s="3">
        <f t="shared" si="26"/>
        <v>0.15</v>
      </c>
      <c r="U34" s="3">
        <f t="shared" si="26"/>
        <v>0</v>
      </c>
      <c r="V34" s="3">
        <f t="shared" si="26"/>
        <v>0</v>
      </c>
      <c r="W34" s="8">
        <f>SUMIFS(Table1[Demand],Table1[Fiscal_Year],Demand_Modeling!$O34,Table1[DC_name_Xref],Demand_Modeling!$P34)</f>
        <v>6423962</v>
      </c>
      <c r="X34" s="8">
        <f>SUMIFS(Table1[Modeled_Demand],Table1[Fiscal_Year],Demand_Modeling!$O34,Table1[DC_name_Xref],Demand_Modeling!$P34)</f>
        <v>2148009.2999999998</v>
      </c>
      <c r="Y34" s="8">
        <f>SUMIFS(Table2[Capacity],Table2[Fiscal_Year],Demand_Modeling!$O34,Table2[DC_name_Xref],Demand_Modeling!$P34)</f>
        <v>3707907.2999999966</v>
      </c>
      <c r="Z34" s="3">
        <f t="shared" si="11"/>
        <v>1.7325033988848659</v>
      </c>
      <c r="AA34" s="3">
        <f t="shared" si="12"/>
        <v>0.5793050166059982</v>
      </c>
      <c r="AB34" s="3"/>
      <c r="AC34" s="3"/>
      <c r="AD34" s="3"/>
      <c r="AG34" s="8">
        <v>2021</v>
      </c>
      <c r="AH34" s="11" t="s">
        <v>7</v>
      </c>
      <c r="AI34" s="3">
        <f t="shared" si="24"/>
        <v>0</v>
      </c>
      <c r="AJ34" s="3">
        <f t="shared" si="24"/>
        <v>3.4959629396853166E-6</v>
      </c>
      <c r="AK34" s="3">
        <f t="shared" si="24"/>
        <v>0</v>
      </c>
      <c r="AL34" s="3">
        <f t="shared" si="24"/>
        <v>0.15</v>
      </c>
      <c r="AM34" s="3">
        <f t="shared" si="24"/>
        <v>0</v>
      </c>
      <c r="AN34" s="3">
        <f t="shared" si="24"/>
        <v>0</v>
      </c>
      <c r="AO34" s="8">
        <f>SUMIFS(Table1[Demand],Table1[Fiscal_Year],Demand_Modeling!$O34,Table1[DC_name_Xref],Demand_Modeling!$P34)</f>
        <v>6423962</v>
      </c>
      <c r="AP34" s="8">
        <f>SUMIFS(Table1[Modeled_Demand],Table1[Fiscal_Year],Demand_Modeling!$O34,Table1[DC_name_Xref],Demand_Modeling!$P34)</f>
        <v>2148009.2999999998</v>
      </c>
      <c r="AQ34" s="8">
        <f>SUMIFS(Table2[Capacity],Table2[Fiscal_Year],Demand_Modeling!$O34,Table2[DC_name_Xref],Demand_Modeling!$P34)</f>
        <v>3707907.2999999966</v>
      </c>
      <c r="AR34" s="3">
        <f t="shared" si="13"/>
        <v>1.7325033988848659</v>
      </c>
      <c r="AS34" s="3">
        <f t="shared" si="14"/>
        <v>0.5793050166059982</v>
      </c>
      <c r="AT34" s="2">
        <f t="shared" si="15"/>
        <v>0</v>
      </c>
      <c r="AU34" s="2">
        <f t="shared" si="16"/>
        <v>322201.39499999996</v>
      </c>
      <c r="AV34" s="2">
        <f t="shared" si="17"/>
        <v>0</v>
      </c>
      <c r="AW34" s="2">
        <f t="shared" si="18"/>
        <v>0</v>
      </c>
      <c r="AX34" s="2">
        <f t="shared" si="19"/>
        <v>13798730118846.6</v>
      </c>
      <c r="AY34" s="2">
        <f t="shared" si="20"/>
        <v>13798730441048.574</v>
      </c>
      <c r="AZ34" s="10">
        <f t="shared" si="21"/>
        <v>3707907.2999999966</v>
      </c>
      <c r="BA34" s="5">
        <f t="shared" si="22"/>
        <v>3721433.4999822103</v>
      </c>
    </row>
    <row r="35" spans="1:53" x14ac:dyDescent="0.3">
      <c r="A35" s="12" t="str">
        <f t="shared" si="8"/>
        <v>2021-Gap</v>
      </c>
      <c r="B35" s="11">
        <v>2021</v>
      </c>
      <c r="C35" s="11" t="s">
        <v>16</v>
      </c>
      <c r="D35" s="3">
        <v>0</v>
      </c>
      <c r="E35" s="3">
        <v>0.2</v>
      </c>
      <c r="F35" s="3">
        <v>0.15</v>
      </c>
      <c r="G35" s="3">
        <v>0</v>
      </c>
      <c r="H35" s="3">
        <v>0.25</v>
      </c>
      <c r="I35" s="3">
        <v>0.4</v>
      </c>
      <c r="J35" s="3">
        <f t="shared" si="25"/>
        <v>1</v>
      </c>
      <c r="K35" s="8">
        <f>SUMIFS(Table1[Demand],Table1[Fiscal_Year],Demand_Modeling!$B35,Table1[BRAND],Demand_Modeling!$C35)</f>
        <v>14320002</v>
      </c>
      <c r="L35" s="8">
        <f>SUMIFS(Table1[Modeled_Demand],Table1[Fiscal_Year],Demand_Modeling!$B35,Table1[BRAND],Demand_Modeling!$C35)</f>
        <v>14320001.999999998</v>
      </c>
      <c r="M35" s="3">
        <f t="shared" si="10"/>
        <v>0</v>
      </c>
      <c r="N35" s="3"/>
      <c r="O35" s="8">
        <v>2021</v>
      </c>
      <c r="P35" s="11" t="s">
        <v>8</v>
      </c>
      <c r="Q35" s="3">
        <f t="shared" si="26"/>
        <v>3.447122356821831E-5</v>
      </c>
      <c r="R35" s="3">
        <f t="shared" si="26"/>
        <v>4.2339995602855504E-5</v>
      </c>
      <c r="S35" s="3">
        <f t="shared" si="26"/>
        <v>0</v>
      </c>
      <c r="T35" s="3">
        <f t="shared" si="26"/>
        <v>0</v>
      </c>
      <c r="U35" s="3">
        <f t="shared" si="26"/>
        <v>0</v>
      </c>
      <c r="V35" s="3">
        <f t="shared" si="26"/>
        <v>0.27239514110365798</v>
      </c>
      <c r="W35" s="8">
        <f>SUMIFS(Table1[Demand],Table1[Fiscal_Year],Demand_Modeling!$O35,Table1[DC_name_Xref],Demand_Modeling!$P35)</f>
        <v>10027216</v>
      </c>
      <c r="X35" s="8">
        <f>SUMIFS(Table1[Modeled_Demand],Table1[Fiscal_Year],Demand_Modeling!$O35,Table1[DC_name_Xref],Demand_Modeling!$P35)</f>
        <v>8215846.5399999926</v>
      </c>
      <c r="Y35" s="8">
        <f>SUMIFS(Table2[Capacity],Table2[Fiscal_Year],Demand_Modeling!$O35,Table2[DC_name_Xref],Demand_Modeling!$P35)</f>
        <v>15450123.599999998</v>
      </c>
      <c r="Z35" s="3">
        <f t="shared" si="11"/>
        <v>0.64900555229215129</v>
      </c>
      <c r="AA35" s="3">
        <f t="shared" si="12"/>
        <v>0.53176574846300861</v>
      </c>
      <c r="AB35" s="3"/>
      <c r="AC35" s="3"/>
      <c r="AD35" s="3"/>
      <c r="AG35" s="8">
        <v>2021</v>
      </c>
      <c r="AH35" s="11" t="s">
        <v>8</v>
      </c>
      <c r="AI35" s="3">
        <f t="shared" si="24"/>
        <v>3.447122356821831E-5</v>
      </c>
      <c r="AJ35" s="3">
        <f t="shared" si="24"/>
        <v>4.2339995602855504E-5</v>
      </c>
      <c r="AK35" s="3">
        <f t="shared" si="24"/>
        <v>0</v>
      </c>
      <c r="AL35" s="3">
        <f t="shared" si="24"/>
        <v>0</v>
      </c>
      <c r="AM35" s="3">
        <f t="shared" si="24"/>
        <v>0</v>
      </c>
      <c r="AN35" s="3">
        <f t="shared" si="24"/>
        <v>0.27239514110365798</v>
      </c>
      <c r="AO35" s="8">
        <f>SUMIFS(Table1[Demand],Table1[Fiscal_Year],Demand_Modeling!$O35,Table1[DC_name_Xref],Demand_Modeling!$P35)</f>
        <v>10027216</v>
      </c>
      <c r="AP35" s="8">
        <f>SUMIFS(Table1[Modeled_Demand],Table1[Fiscal_Year],Demand_Modeling!$O35,Table1[DC_name_Xref],Demand_Modeling!$P35)</f>
        <v>8215846.5399999926</v>
      </c>
      <c r="AQ35" s="8">
        <f>SUMIFS(Table2[Capacity],Table2[Fiscal_Year],Demand_Modeling!$O35,Table2[DC_name_Xref],Demand_Modeling!$P35)</f>
        <v>15450123.599999998</v>
      </c>
      <c r="AR35" s="3">
        <f t="shared" si="13"/>
        <v>0.64900555229215129</v>
      </c>
      <c r="AS35" s="3">
        <f t="shared" si="14"/>
        <v>0.53176574846300861</v>
      </c>
      <c r="AT35" s="2">
        <f t="shared" si="15"/>
        <v>0</v>
      </c>
      <c r="AU35" s="2">
        <f t="shared" si="16"/>
        <v>0</v>
      </c>
      <c r="AV35" s="2">
        <f t="shared" si="17"/>
        <v>0</v>
      </c>
      <c r="AW35" s="2">
        <f t="shared" si="18"/>
        <v>2237956.6775492984</v>
      </c>
      <c r="AX35" s="2">
        <f t="shared" si="19"/>
        <v>82382067879432.563</v>
      </c>
      <c r="AY35" s="2">
        <f t="shared" si="20"/>
        <v>82382070117389.766</v>
      </c>
      <c r="AZ35" s="10">
        <f t="shared" si="21"/>
        <v>15450123.599999998</v>
      </c>
      <c r="BA35" s="5">
        <f t="shared" si="22"/>
        <v>5332130.1660906961</v>
      </c>
    </row>
    <row r="36" spans="1:53" x14ac:dyDescent="0.3">
      <c r="A36" s="12" t="str">
        <f t="shared" si="8"/>
        <v>2021-Gap Factory Store</v>
      </c>
      <c r="B36" s="11">
        <v>2021</v>
      </c>
      <c r="C36" s="11" t="s">
        <v>22</v>
      </c>
      <c r="D36" s="3">
        <v>1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f t="shared" si="25"/>
        <v>1</v>
      </c>
      <c r="K36" s="8">
        <f>SUMIFS(Table1[Demand],Table1[Fiscal_Year],Demand_Modeling!$B36,Table1[BRAND],Demand_Modeling!$C36)</f>
        <v>4862483</v>
      </c>
      <c r="L36" s="8">
        <f>SUMIFS(Table1[Modeled_Demand],Table1[Fiscal_Year],Demand_Modeling!$B36,Table1[BRAND],Demand_Modeling!$C36)</f>
        <v>4862483</v>
      </c>
      <c r="M36" s="3">
        <f t="shared" si="10"/>
        <v>0</v>
      </c>
      <c r="N36" s="3"/>
      <c r="O36" s="8">
        <v>2021</v>
      </c>
      <c r="P36" s="11" t="s">
        <v>11</v>
      </c>
      <c r="Q36" s="3">
        <f t="shared" si="26"/>
        <v>0</v>
      </c>
      <c r="R36" s="3">
        <f t="shared" si="26"/>
        <v>0</v>
      </c>
      <c r="S36" s="3">
        <f t="shared" si="26"/>
        <v>0</v>
      </c>
      <c r="T36" s="3">
        <f t="shared" si="26"/>
        <v>0.25</v>
      </c>
      <c r="U36" s="3">
        <f t="shared" si="26"/>
        <v>0</v>
      </c>
      <c r="V36" s="3">
        <f t="shared" si="26"/>
        <v>0.16</v>
      </c>
      <c r="W36" s="8">
        <f>SUMIFS(Table1[Demand],Table1[Fiscal_Year],Demand_Modeling!$O36,Table1[DC_name_Xref],Demand_Modeling!$P36)</f>
        <v>0</v>
      </c>
      <c r="X36" s="8">
        <f>SUMIFS(Table1[Modeled_Demand],Table1[Fiscal_Year],Demand_Modeling!$O36,Table1[DC_name_Xref],Demand_Modeling!$P36)</f>
        <v>8405735.0600000005</v>
      </c>
      <c r="Y36" s="8">
        <f>SUMIFS(Table2[Capacity],Table2[Fiscal_Year],Demand_Modeling!$O36,Table2[DC_name_Xref],Demand_Modeling!$P36)</f>
        <v>15449845.5</v>
      </c>
      <c r="Z36" s="3">
        <f t="shared" si="11"/>
        <v>0</v>
      </c>
      <c r="AA36" s="3">
        <f t="shared" si="12"/>
        <v>0.5440659623424714</v>
      </c>
      <c r="AB36" s="3"/>
      <c r="AC36" s="3"/>
      <c r="AD36" s="3"/>
      <c r="AG36" s="8">
        <v>2021</v>
      </c>
      <c r="AH36" s="11" t="s">
        <v>23</v>
      </c>
      <c r="AI36" s="3">
        <f t="shared" si="24"/>
        <v>0</v>
      </c>
      <c r="AJ36" s="3">
        <f t="shared" si="24"/>
        <v>0</v>
      </c>
      <c r="AK36" s="3">
        <f t="shared" si="24"/>
        <v>0</v>
      </c>
      <c r="AL36" s="3">
        <f t="shared" si="24"/>
        <v>0.25</v>
      </c>
      <c r="AM36" s="3">
        <f t="shared" si="24"/>
        <v>0</v>
      </c>
      <c r="AN36" s="3">
        <f t="shared" si="24"/>
        <v>0.16</v>
      </c>
      <c r="AO36" s="8">
        <f>SUMIFS(Table1[Demand],Table1[Fiscal_Year],Demand_Modeling!$O36,Table1[DC_name_Xref],Demand_Modeling!$P36)</f>
        <v>0</v>
      </c>
      <c r="AP36" s="8">
        <f>SUMIFS(Table1[Modeled_Demand],Table1[Fiscal_Year],Demand_Modeling!$O36,Table1[DC_name_Xref],Demand_Modeling!$P36)</f>
        <v>8405735.0600000005</v>
      </c>
      <c r="AQ36" s="8">
        <f>SUMIFS(Table2[Capacity],Table2[Fiscal_Year],Demand_Modeling!$O36,Table2[DC_name_Xref],Demand_Modeling!$P36)</f>
        <v>15449845.5</v>
      </c>
      <c r="AR36" s="3">
        <f t="shared" si="13"/>
        <v>0</v>
      </c>
      <c r="AS36" s="3">
        <f t="shared" si="14"/>
        <v>0.5440659623424714</v>
      </c>
      <c r="AT36" s="2">
        <f t="shared" si="15"/>
        <v>0</v>
      </c>
      <c r="AU36" s="2">
        <f t="shared" si="16"/>
        <v>2101433.7650000001</v>
      </c>
      <c r="AV36" s="2">
        <f t="shared" si="17"/>
        <v>0</v>
      </c>
      <c r="AW36" s="2">
        <f t="shared" si="18"/>
        <v>1344917.6096000001</v>
      </c>
      <c r="AX36" s="2">
        <f t="shared" si="19"/>
        <v>0</v>
      </c>
      <c r="AY36" s="2">
        <f t="shared" si="20"/>
        <v>3446351.9186659628</v>
      </c>
      <c r="AZ36" s="10">
        <f t="shared" si="21"/>
        <v>15449845.5</v>
      </c>
      <c r="BA36" s="5">
        <f t="shared" si="22"/>
        <v>0.22306707977539081</v>
      </c>
    </row>
    <row r="37" spans="1:53" x14ac:dyDescent="0.3">
      <c r="A37" s="12" t="str">
        <f t="shared" si="8"/>
        <v>2021-Old Navy</v>
      </c>
      <c r="B37" s="11">
        <v>2021</v>
      </c>
      <c r="C37" s="11" t="s">
        <v>20</v>
      </c>
      <c r="D37" s="3">
        <v>0.15</v>
      </c>
      <c r="E37" s="3">
        <v>0.17760000000000001</v>
      </c>
      <c r="F37" s="3">
        <v>0</v>
      </c>
      <c r="G37" s="3">
        <v>0.27239514110365798</v>
      </c>
      <c r="H37" s="3">
        <v>0.16</v>
      </c>
      <c r="I37" s="3">
        <v>0.24</v>
      </c>
      <c r="J37" s="3">
        <f t="shared" si="25"/>
        <v>0.99999514110365795</v>
      </c>
      <c r="K37" s="8">
        <f>SUMIFS(Table1[Demand],Table1[Fiscal_Year],Demand_Modeling!$B37,Table1[BRAND],Demand_Modeling!$C37)</f>
        <v>30160841</v>
      </c>
      <c r="L37" s="8">
        <f>SUMIFS(Table1[Modeled_Demand],Table1[Fiscal_Year],Demand_Modeling!$B37,Table1[BRAND],Demand_Modeling!$C37)</f>
        <v>30160694.451600004</v>
      </c>
      <c r="M37" s="3">
        <f t="shared" si="10"/>
        <v>4.8588963416085207E-6</v>
      </c>
      <c r="N37" s="3"/>
      <c r="O37" s="8">
        <v>2021</v>
      </c>
      <c r="P37" s="11" t="s">
        <v>10</v>
      </c>
      <c r="Q37" s="3">
        <f t="shared" si="26"/>
        <v>0</v>
      </c>
      <c r="R37" s="3">
        <f t="shared" si="26"/>
        <v>0</v>
      </c>
      <c r="S37" s="3">
        <f t="shared" si="26"/>
        <v>0</v>
      </c>
      <c r="T37" s="3">
        <f t="shared" si="26"/>
        <v>0.4</v>
      </c>
      <c r="U37" s="3">
        <f t="shared" si="26"/>
        <v>0</v>
      </c>
      <c r="V37" s="3">
        <f t="shared" si="26"/>
        <v>0.24</v>
      </c>
      <c r="W37" s="8">
        <f>SUMIFS(Table1[Demand],Table1[Fiscal_Year],Demand_Modeling!$O37,Table1[DC_name_Xref],Demand_Modeling!$P37)</f>
        <v>4395338</v>
      </c>
      <c r="X37" s="8">
        <f>SUMIFS(Table1[Modeled_Demand],Table1[Fiscal_Year],Demand_Modeling!$O37,Table1[DC_name_Xref],Demand_Modeling!$P37)</f>
        <v>12966602.639999999</v>
      </c>
      <c r="Y37" s="8">
        <f>SUMIFS(Table2[Capacity],Table2[Fiscal_Year],Demand_Modeling!$O37,Table2[DC_name_Xref],Demand_Modeling!$P37)</f>
        <v>23174907.300000038</v>
      </c>
      <c r="Z37" s="3">
        <f t="shared" si="11"/>
        <v>0.18965935626417771</v>
      </c>
      <c r="AA37" s="3">
        <f t="shared" si="12"/>
        <v>0.5595104425725137</v>
      </c>
      <c r="AB37" s="3"/>
      <c r="AC37" s="3"/>
      <c r="AD37" s="3"/>
      <c r="AG37" s="8">
        <v>2021</v>
      </c>
      <c r="AH37" s="11" t="s">
        <v>10</v>
      </c>
      <c r="AI37" s="3">
        <f t="shared" si="24"/>
        <v>0</v>
      </c>
      <c r="AJ37" s="3">
        <f t="shared" si="24"/>
        <v>0</v>
      </c>
      <c r="AK37" s="3">
        <f t="shared" si="24"/>
        <v>0</v>
      </c>
      <c r="AL37" s="3">
        <f t="shared" si="24"/>
        <v>0.4</v>
      </c>
      <c r="AM37" s="3">
        <f t="shared" si="24"/>
        <v>0</v>
      </c>
      <c r="AN37" s="3">
        <f t="shared" si="24"/>
        <v>0.24</v>
      </c>
      <c r="AO37" s="8">
        <f>SUMIFS(Table1[Demand],Table1[Fiscal_Year],Demand_Modeling!$O37,Table1[DC_name_Xref],Demand_Modeling!$P37)</f>
        <v>4395338</v>
      </c>
      <c r="AP37" s="8">
        <f>SUMIFS(Table1[Modeled_Demand],Table1[Fiscal_Year],Demand_Modeling!$O37,Table1[DC_name_Xref],Demand_Modeling!$P37)</f>
        <v>12966602.639999999</v>
      </c>
      <c r="AQ37" s="8">
        <f>SUMIFS(Table2[Capacity],Table2[Fiscal_Year],Demand_Modeling!$O37,Table2[DC_name_Xref],Demand_Modeling!$P37)</f>
        <v>23174907.300000038</v>
      </c>
      <c r="AR37" s="3">
        <f t="shared" si="13"/>
        <v>0.18965935626417771</v>
      </c>
      <c r="AS37" s="3">
        <f t="shared" si="14"/>
        <v>0.5595104425725137</v>
      </c>
      <c r="AT37" s="2">
        <f t="shared" si="15"/>
        <v>0</v>
      </c>
      <c r="AU37" s="2">
        <f t="shared" si="16"/>
        <v>5186641.0559999999</v>
      </c>
      <c r="AV37" s="2">
        <f t="shared" si="17"/>
        <v>0</v>
      </c>
      <c r="AW37" s="2">
        <f t="shared" si="18"/>
        <v>3111984.6335999994</v>
      </c>
      <c r="AX37" s="2">
        <f t="shared" si="19"/>
        <v>56992601314492.313</v>
      </c>
      <c r="AY37" s="2">
        <f t="shared" si="20"/>
        <v>56992609613118.563</v>
      </c>
      <c r="AZ37" s="10">
        <f t="shared" si="21"/>
        <v>23174907.300000038</v>
      </c>
      <c r="BA37" s="5">
        <f t="shared" si="22"/>
        <v>2459237.8677224945</v>
      </c>
    </row>
    <row r="38" spans="1:53" x14ac:dyDescent="0.3">
      <c r="A38" s="12" t="str">
        <f t="shared" si="8"/>
        <v>2022-Athleta</v>
      </c>
      <c r="B38" s="11">
        <v>2022</v>
      </c>
      <c r="C38" s="1" t="s">
        <v>19</v>
      </c>
      <c r="D38" s="3"/>
      <c r="E38" s="3">
        <v>1</v>
      </c>
      <c r="F38" s="3">
        <v>0</v>
      </c>
      <c r="G38" s="3">
        <v>3.447122356821831E-5</v>
      </c>
      <c r="H38" s="3">
        <v>0</v>
      </c>
      <c r="I38" s="3">
        <v>0</v>
      </c>
      <c r="J38" s="3">
        <f t="shared" ref="J38:J43" si="27">SUM(D38:I38)</f>
        <v>1.0000344712235683</v>
      </c>
      <c r="K38" s="8">
        <f>SUMIFS(Table1[Demand],Table1[Fiscal_Year],Demand_Modeling!$B38,Table1[BRAND],Demand_Modeling!$C38)</f>
        <v>2492228</v>
      </c>
      <c r="L38" s="8">
        <f>SUMIFS(Table1[Modeled_Demand],Table1[Fiscal_Year],Demand_Modeling!$B38,Table1[BRAND],Demand_Modeling!$C38)</f>
        <v>2492313.9101485712</v>
      </c>
      <c r="M38" s="3">
        <f t="shared" si="10"/>
        <v>-3.4471223568255382E-5</v>
      </c>
      <c r="N38" s="3"/>
      <c r="O38" s="8">
        <v>2022</v>
      </c>
      <c r="P38" s="11" t="s">
        <v>5</v>
      </c>
      <c r="Q38" s="3">
        <f t="shared" si="26"/>
        <v>0</v>
      </c>
      <c r="R38" s="3">
        <f t="shared" si="26"/>
        <v>0</v>
      </c>
      <c r="S38" s="3">
        <f t="shared" si="26"/>
        <v>1</v>
      </c>
      <c r="T38" s="3">
        <f t="shared" si="26"/>
        <v>0</v>
      </c>
      <c r="U38" s="3">
        <f t="shared" si="26"/>
        <v>1</v>
      </c>
      <c r="V38" s="3">
        <f t="shared" si="26"/>
        <v>0.09</v>
      </c>
      <c r="W38" s="8">
        <f>SUMIFS(Table1[Demand],Table1[Fiscal_Year],Demand_Modeling!$O38,Table1[DC_name_Xref],Demand_Modeling!$P38)</f>
        <v>31734285</v>
      </c>
      <c r="X38" s="8">
        <f>SUMIFS(Table1[Modeled_Demand],Table1[Fiscal_Year],Demand_Modeling!$O38,Table1[DC_name_Xref],Demand_Modeling!$P38)</f>
        <v>12309573.529999999</v>
      </c>
      <c r="Y38" s="8">
        <f>SUMIFS(Table2[Capacity],Table2[Fiscal_Year],Demand_Modeling!$O38,Table2[DC_name_Xref],Demand_Modeling!$P38)</f>
        <v>21630061.800000038</v>
      </c>
      <c r="Z38" s="3">
        <f t="shared" si="11"/>
        <v>1.4671379718388018</v>
      </c>
      <c r="AA38" s="3">
        <f t="shared" si="12"/>
        <v>0.56909562459040119</v>
      </c>
      <c r="AB38" s="3"/>
      <c r="AC38" s="3"/>
      <c r="AD38" s="3"/>
      <c r="AG38" s="8">
        <v>2022</v>
      </c>
      <c r="AH38" s="11" t="s">
        <v>5</v>
      </c>
      <c r="AI38" s="3">
        <f t="shared" si="24"/>
        <v>0</v>
      </c>
      <c r="AJ38" s="3">
        <f t="shared" si="24"/>
        <v>0</v>
      </c>
      <c r="AK38" s="3">
        <f t="shared" si="24"/>
        <v>1</v>
      </c>
      <c r="AL38" s="3">
        <f t="shared" si="24"/>
        <v>0</v>
      </c>
      <c r="AM38" s="3">
        <f t="shared" si="24"/>
        <v>1</v>
      </c>
      <c r="AN38" s="3">
        <f t="shared" si="24"/>
        <v>0.09</v>
      </c>
      <c r="AO38" s="8">
        <f>SUMIFS(Table1[Demand],Table1[Fiscal_Year],Demand_Modeling!$O38,Table1[DC_name_Xref],Demand_Modeling!$P38)</f>
        <v>31734285</v>
      </c>
      <c r="AP38" s="8">
        <f>SUMIFS(Table1[Modeled_Demand],Table1[Fiscal_Year],Demand_Modeling!$O38,Table1[DC_name_Xref],Demand_Modeling!$P38)</f>
        <v>12309573.529999999</v>
      </c>
      <c r="AQ38" s="8">
        <f>SUMIFS(Table2[Capacity],Table2[Fiscal_Year],Demand_Modeling!$O38,Table2[DC_name_Xref],Demand_Modeling!$P38)</f>
        <v>21630061.800000038</v>
      </c>
      <c r="AR38" s="3">
        <f t="shared" si="13"/>
        <v>1.4671379718388018</v>
      </c>
      <c r="AS38" s="3">
        <f t="shared" si="14"/>
        <v>0.56909562459040119</v>
      </c>
      <c r="AT38" s="2">
        <f t="shared" si="15"/>
        <v>12309573.529999999</v>
      </c>
      <c r="AU38" s="2">
        <f t="shared" si="16"/>
        <v>0</v>
      </c>
      <c r="AV38" s="2">
        <f t="shared" si="17"/>
        <v>12309573.529999999</v>
      </c>
      <c r="AW38" s="2">
        <f t="shared" si="18"/>
        <v>1107861.6176999998</v>
      </c>
      <c r="AX38" s="2">
        <f t="shared" si="19"/>
        <v>390635514629476</v>
      </c>
      <c r="AY38" s="2">
        <f t="shared" si="20"/>
        <v>390635540356485.25</v>
      </c>
      <c r="AZ38" s="10">
        <f t="shared" si="21"/>
        <v>21630061.800000038</v>
      </c>
      <c r="BA38" s="5">
        <f t="shared" si="22"/>
        <v>18059843.932414681</v>
      </c>
    </row>
    <row r="39" spans="1:53" x14ac:dyDescent="0.3">
      <c r="A39" s="12" t="str">
        <f t="shared" si="8"/>
        <v>2022-Banana Republic</v>
      </c>
      <c r="B39" s="11">
        <v>2022</v>
      </c>
      <c r="C39" s="11" t="s">
        <v>18</v>
      </c>
      <c r="D39" s="3"/>
      <c r="E39" s="3">
        <v>1</v>
      </c>
      <c r="F39" s="3">
        <v>3.4959629396853166E-6</v>
      </c>
      <c r="G39" s="3">
        <v>4.2339995602855504E-5</v>
      </c>
      <c r="H39" s="3">
        <v>0</v>
      </c>
      <c r="I39" s="3">
        <v>0</v>
      </c>
      <c r="J39" s="3">
        <f t="shared" si="27"/>
        <v>1.0000458359585425</v>
      </c>
      <c r="K39" s="8">
        <f>SUMIFS(Table1[Demand],Table1[Fiscal_Year],Demand_Modeling!$B39,Table1[BRAND],Demand_Modeling!$C39)</f>
        <v>3166509</v>
      </c>
      <c r="L39" s="8">
        <f>SUMIFS(Table1[Modeled_Demand],Table1[Fiscal_Year],Demand_Modeling!$B39,Table1[BRAND],Demand_Modeling!$C39)</f>
        <v>3166654.1399752484</v>
      </c>
      <c r="M39" s="3">
        <f t="shared" si="10"/>
        <v>-4.5835958542461697E-5</v>
      </c>
      <c r="N39" s="3"/>
      <c r="O39" s="8">
        <v>2022</v>
      </c>
      <c r="P39" s="11" t="s">
        <v>6</v>
      </c>
      <c r="Q39" s="3">
        <f t="shared" si="26"/>
        <v>1</v>
      </c>
      <c r="R39" s="3">
        <f t="shared" si="26"/>
        <v>1</v>
      </c>
      <c r="S39" s="3">
        <f t="shared" si="26"/>
        <v>0</v>
      </c>
      <c r="T39" s="3">
        <f t="shared" si="26"/>
        <v>0.25</v>
      </c>
      <c r="U39" s="3">
        <f t="shared" si="26"/>
        <v>0</v>
      </c>
      <c r="V39" s="3">
        <f t="shared" si="26"/>
        <v>0.11</v>
      </c>
      <c r="W39" s="8">
        <f>SUMIFS(Table1[Demand],Table1[Fiscal_Year],Demand_Modeling!$O39,Table1[DC_name_Xref],Demand_Modeling!$P39)</f>
        <v>11547044</v>
      </c>
      <c r="X39" s="8">
        <f>SUMIFS(Table1[Modeled_Demand],Table1[Fiscal_Year],Demand_Modeling!$O39,Table1[DC_name_Xref],Demand_Modeling!$P39)</f>
        <v>14004945.370000001</v>
      </c>
      <c r="Y39" s="8">
        <f>SUMIFS(Table2[Capacity],Table2[Fiscal_Year],Demand_Modeling!$O39,Table2[DC_name_Xref],Demand_Modeling!$P39)</f>
        <v>23174907.300000038</v>
      </c>
      <c r="Z39" s="3">
        <f t="shared" si="11"/>
        <v>0.4982563188073672</v>
      </c>
      <c r="AA39" s="3">
        <f t="shared" si="12"/>
        <v>0.60431505458492074</v>
      </c>
      <c r="AB39" s="3"/>
      <c r="AC39" s="3"/>
      <c r="AD39" s="3"/>
      <c r="AG39" s="8">
        <v>2022</v>
      </c>
      <c r="AH39" s="11" t="s">
        <v>6</v>
      </c>
      <c r="AI39" s="3">
        <f t="shared" si="24"/>
        <v>1</v>
      </c>
      <c r="AJ39" s="3">
        <f t="shared" si="24"/>
        <v>1</v>
      </c>
      <c r="AK39" s="3">
        <f t="shared" si="24"/>
        <v>0</v>
      </c>
      <c r="AL39" s="3">
        <f t="shared" si="24"/>
        <v>0.25</v>
      </c>
      <c r="AM39" s="3">
        <f t="shared" si="24"/>
        <v>0</v>
      </c>
      <c r="AN39" s="3">
        <f t="shared" si="24"/>
        <v>0.11</v>
      </c>
      <c r="AO39" s="8">
        <f>SUMIFS(Table1[Demand],Table1[Fiscal_Year],Demand_Modeling!$O39,Table1[DC_name_Xref],Demand_Modeling!$P39)</f>
        <v>11547044</v>
      </c>
      <c r="AP39" s="8">
        <f>SUMIFS(Table1[Modeled_Demand],Table1[Fiscal_Year],Demand_Modeling!$O39,Table1[DC_name_Xref],Demand_Modeling!$P39)</f>
        <v>14004945.370000001</v>
      </c>
      <c r="AQ39" s="8">
        <f>SUMIFS(Table2[Capacity],Table2[Fiscal_Year],Demand_Modeling!$O39,Table2[DC_name_Xref],Demand_Modeling!$P39)</f>
        <v>23174907.300000038</v>
      </c>
      <c r="AR39" s="3">
        <f t="shared" si="13"/>
        <v>0.4982563188073672</v>
      </c>
      <c r="AS39" s="3">
        <f t="shared" si="14"/>
        <v>0.60431505458492074</v>
      </c>
      <c r="AT39" s="2">
        <f t="shared" si="15"/>
        <v>0</v>
      </c>
      <c r="AU39" s="2">
        <f t="shared" si="16"/>
        <v>3501236.3425000003</v>
      </c>
      <c r="AV39" s="2">
        <f t="shared" si="17"/>
        <v>0</v>
      </c>
      <c r="AW39" s="2">
        <f t="shared" si="18"/>
        <v>1540543.9907000002</v>
      </c>
      <c r="AX39" s="2">
        <f t="shared" si="19"/>
        <v>161715720404986.28</v>
      </c>
      <c r="AY39" s="2">
        <f t="shared" si="20"/>
        <v>161715725446767.22</v>
      </c>
      <c r="AZ39" s="10">
        <f t="shared" si="21"/>
        <v>23174907.300000038</v>
      </c>
      <c r="BA39" s="5">
        <f t="shared" si="22"/>
        <v>6978052.7427079268</v>
      </c>
    </row>
    <row r="40" spans="1:53" x14ac:dyDescent="0.3">
      <c r="A40" s="12" t="str">
        <f t="shared" si="8"/>
        <v>2022-BR Factory Store</v>
      </c>
      <c r="B40" s="11">
        <v>2022</v>
      </c>
      <c r="C40" s="11" t="s">
        <v>17</v>
      </c>
      <c r="D40" s="3">
        <v>1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f t="shared" si="27"/>
        <v>1</v>
      </c>
      <c r="K40" s="8">
        <f>SUMIFS(Table1[Demand],Table1[Fiscal_Year],Demand_Modeling!$B40,Table1[BRAND],Demand_Modeling!$C40)</f>
        <v>2314831</v>
      </c>
      <c r="L40" s="8">
        <f>SUMIFS(Table1[Modeled_Demand],Table1[Fiscal_Year],Demand_Modeling!$B40,Table1[BRAND],Demand_Modeling!$C40)</f>
        <v>2314831</v>
      </c>
      <c r="M40" s="3">
        <f t="shared" si="10"/>
        <v>0</v>
      </c>
      <c r="N40" s="3"/>
      <c r="O40" s="8">
        <v>2022</v>
      </c>
      <c r="P40" s="11" t="s">
        <v>7</v>
      </c>
      <c r="Q40" s="3">
        <f t="shared" si="26"/>
        <v>0</v>
      </c>
      <c r="R40" s="3">
        <f t="shared" si="26"/>
        <v>3.4959629396853166E-6</v>
      </c>
      <c r="S40" s="3">
        <f t="shared" si="26"/>
        <v>0</v>
      </c>
      <c r="T40" s="3">
        <f t="shared" si="26"/>
        <v>0</v>
      </c>
      <c r="U40" s="3">
        <f t="shared" si="26"/>
        <v>0</v>
      </c>
      <c r="V40" s="3">
        <f t="shared" si="26"/>
        <v>0</v>
      </c>
      <c r="W40" s="8">
        <f>SUMIFS(Table1[Demand],Table1[Fiscal_Year],Demand_Modeling!$O40,Table1[DC_name_Xref],Demand_Modeling!$P40)</f>
        <v>7772994</v>
      </c>
      <c r="X40" s="8">
        <f>SUMIFS(Table1[Modeled_Demand],Table1[Fiscal_Year],Demand_Modeling!$O40,Table1[DC_name_Xref],Demand_Modeling!$P40)</f>
        <v>11.069998112180013</v>
      </c>
      <c r="Y40" s="8">
        <f>SUMIFS(Table2[Capacity],Table2[Fiscal_Year],Demand_Modeling!$O40,Table2[DC_name_Xref],Demand_Modeling!$P40)</f>
        <v>0</v>
      </c>
      <c r="Z40" s="3">
        <f t="shared" si="11"/>
        <v>0</v>
      </c>
      <c r="AA40" s="3">
        <f t="shared" si="12"/>
        <v>0</v>
      </c>
      <c r="AB40" s="3"/>
      <c r="AC40" s="3"/>
      <c r="AD40" s="3"/>
      <c r="AG40" s="8">
        <v>2022</v>
      </c>
      <c r="AH40" s="11" t="s">
        <v>7</v>
      </c>
      <c r="AI40" s="3">
        <f t="shared" si="24"/>
        <v>0</v>
      </c>
      <c r="AJ40" s="3">
        <f t="shared" si="24"/>
        <v>3.4959629396853166E-6</v>
      </c>
      <c r="AK40" s="3">
        <f t="shared" si="24"/>
        <v>0</v>
      </c>
      <c r="AL40" s="3">
        <f t="shared" si="24"/>
        <v>0</v>
      </c>
      <c r="AM40" s="3">
        <f t="shared" si="24"/>
        <v>0</v>
      </c>
      <c r="AN40" s="3">
        <f t="shared" si="24"/>
        <v>0</v>
      </c>
      <c r="AO40" s="8">
        <f>SUMIFS(Table1[Demand],Table1[Fiscal_Year],Demand_Modeling!$O40,Table1[DC_name_Xref],Demand_Modeling!$P40)</f>
        <v>7772994</v>
      </c>
      <c r="AP40" s="8">
        <f>SUMIFS(Table1[Modeled_Demand],Table1[Fiscal_Year],Demand_Modeling!$O40,Table1[DC_name_Xref],Demand_Modeling!$P40)</f>
        <v>11.069998112180013</v>
      </c>
      <c r="AQ40" s="8">
        <f>SUMIFS(Table2[Capacity],Table2[Fiscal_Year],Demand_Modeling!$O40,Table2[DC_name_Xref],Demand_Modeling!$P40)</f>
        <v>0</v>
      </c>
      <c r="AR40" s="3">
        <f t="shared" si="13"/>
        <v>0</v>
      </c>
      <c r="AS40" s="3">
        <f t="shared" si="14"/>
        <v>0</v>
      </c>
      <c r="AT40" s="2">
        <f t="shared" si="15"/>
        <v>0</v>
      </c>
      <c r="AU40" s="2">
        <f t="shared" si="16"/>
        <v>0</v>
      </c>
      <c r="AV40" s="2">
        <f t="shared" si="17"/>
        <v>0</v>
      </c>
      <c r="AW40" s="2">
        <f t="shared" si="18"/>
        <v>0</v>
      </c>
      <c r="AX40" s="2">
        <f t="shared" si="19"/>
        <v>86047028.905986562</v>
      </c>
      <c r="AY40" s="2">
        <f t="shared" si="20"/>
        <v>86047028.905986562</v>
      </c>
      <c r="AZ40" s="10">
        <f t="shared" si="21"/>
        <v>0</v>
      </c>
      <c r="BA40" s="5" t="e">
        <f t="shared" si="22"/>
        <v>#DIV/0!</v>
      </c>
    </row>
    <row r="41" spans="1:53" x14ac:dyDescent="0.3">
      <c r="A41" s="12" t="str">
        <f t="shared" si="8"/>
        <v>2022-Gap</v>
      </c>
      <c r="B41" s="11">
        <v>2022</v>
      </c>
      <c r="C41" s="11" t="s">
        <v>16</v>
      </c>
      <c r="D41" s="3">
        <v>0</v>
      </c>
      <c r="E41" s="3">
        <v>0.25</v>
      </c>
      <c r="F41" s="3">
        <v>0</v>
      </c>
      <c r="G41" s="3">
        <v>0</v>
      </c>
      <c r="H41" s="3">
        <v>0.3</v>
      </c>
      <c r="I41" s="3">
        <v>0.45</v>
      </c>
      <c r="J41" s="3">
        <f t="shared" si="27"/>
        <v>1</v>
      </c>
      <c r="K41" s="8">
        <f>SUMIFS(Table1[Demand],Table1[Fiscal_Year],Demand_Modeling!$B41,Table1[BRAND],Demand_Modeling!$C41)</f>
        <v>17327202</v>
      </c>
      <c r="L41" s="8">
        <f>SUMIFS(Table1[Modeled_Demand],Table1[Fiscal_Year],Demand_Modeling!$B41,Table1[BRAND],Demand_Modeling!$C41)</f>
        <v>17327202</v>
      </c>
      <c r="M41" s="3">
        <f t="shared" si="10"/>
        <v>0</v>
      </c>
      <c r="N41" s="3"/>
      <c r="O41" s="8">
        <v>2022</v>
      </c>
      <c r="P41" s="11" t="s">
        <v>8</v>
      </c>
      <c r="Q41" s="3">
        <f t="shared" si="26"/>
        <v>3.447122356821831E-5</v>
      </c>
      <c r="R41" s="3">
        <f t="shared" si="26"/>
        <v>4.2339995602855504E-5</v>
      </c>
      <c r="S41" s="3">
        <f t="shared" si="26"/>
        <v>0</v>
      </c>
      <c r="T41" s="3">
        <f t="shared" si="26"/>
        <v>0</v>
      </c>
      <c r="U41" s="3">
        <f t="shared" si="26"/>
        <v>0</v>
      </c>
      <c r="V41" s="3">
        <f t="shared" si="26"/>
        <v>0.21</v>
      </c>
      <c r="W41" s="8">
        <f>SUMIFS(Table1[Demand],Table1[Fiscal_Year],Demand_Modeling!$O41,Table1[DC_name_Xref],Demand_Modeling!$P41)</f>
        <v>12132933</v>
      </c>
      <c r="X41" s="8">
        <f>SUMIFS(Table1[Modeled_Demand],Table1[Fiscal_Year],Demand_Modeling!$O41,Table1[DC_name_Xref],Demand_Modeling!$P41)</f>
        <v>7664089.5501257079</v>
      </c>
      <c r="Y41" s="8">
        <f>SUMIFS(Table2[Capacity],Table2[Fiscal_Year],Demand_Modeling!$O41,Table2[DC_name_Xref],Demand_Modeling!$P41)</f>
        <v>15450123.599999998</v>
      </c>
      <c r="Z41" s="3">
        <f t="shared" si="11"/>
        <v>0.78529682442152127</v>
      </c>
      <c r="AA41" s="3">
        <f t="shared" si="12"/>
        <v>0.49605360763105538</v>
      </c>
      <c r="AB41" s="3"/>
      <c r="AC41" s="3"/>
      <c r="AD41" s="3"/>
      <c r="AG41" s="8">
        <v>2022</v>
      </c>
      <c r="AH41" s="11" t="s">
        <v>8</v>
      </c>
      <c r="AI41" s="3">
        <f t="shared" si="24"/>
        <v>3.447122356821831E-5</v>
      </c>
      <c r="AJ41" s="3">
        <f t="shared" si="24"/>
        <v>4.2339995602855504E-5</v>
      </c>
      <c r="AK41" s="3">
        <f t="shared" si="24"/>
        <v>0</v>
      </c>
      <c r="AL41" s="3">
        <f t="shared" si="24"/>
        <v>0</v>
      </c>
      <c r="AM41" s="3">
        <f t="shared" si="24"/>
        <v>0</v>
      </c>
      <c r="AN41" s="3">
        <f t="shared" si="24"/>
        <v>0.21</v>
      </c>
      <c r="AO41" s="8">
        <f>SUMIFS(Table1[Demand],Table1[Fiscal_Year],Demand_Modeling!$O41,Table1[DC_name_Xref],Demand_Modeling!$P41)</f>
        <v>12132933</v>
      </c>
      <c r="AP41" s="8">
        <f>SUMIFS(Table1[Modeled_Demand],Table1[Fiscal_Year],Demand_Modeling!$O41,Table1[DC_name_Xref],Demand_Modeling!$P41)</f>
        <v>7664089.5501257079</v>
      </c>
      <c r="AQ41" s="8">
        <f>SUMIFS(Table2[Capacity],Table2[Fiscal_Year],Demand_Modeling!$O41,Table2[DC_name_Xref],Demand_Modeling!$P41)</f>
        <v>15450123.599999998</v>
      </c>
      <c r="AR41" s="3">
        <f t="shared" si="13"/>
        <v>0.78529682442152127</v>
      </c>
      <c r="AS41" s="3">
        <f t="shared" si="14"/>
        <v>0.49605360763105538</v>
      </c>
      <c r="AT41" s="2">
        <f t="shared" si="15"/>
        <v>0</v>
      </c>
      <c r="AU41" s="2">
        <f t="shared" si="16"/>
        <v>0</v>
      </c>
      <c r="AV41" s="2">
        <f t="shared" si="17"/>
        <v>0</v>
      </c>
      <c r="AW41" s="2">
        <f t="shared" si="18"/>
        <v>1609458.8055263986</v>
      </c>
      <c r="AX41" s="2">
        <f t="shared" si="19"/>
        <v>92987885017675.359</v>
      </c>
      <c r="AY41" s="2">
        <f t="shared" si="20"/>
        <v>92987886627134.656</v>
      </c>
      <c r="AZ41" s="10">
        <f t="shared" si="21"/>
        <v>15450123.599999998</v>
      </c>
      <c r="BA41" s="5">
        <f t="shared" si="22"/>
        <v>6018585.2899671737</v>
      </c>
    </row>
    <row r="42" spans="1:53" x14ac:dyDescent="0.3">
      <c r="A42" s="12" t="str">
        <f t="shared" si="8"/>
        <v>2022-Gap Factory Store</v>
      </c>
      <c r="B42" s="11">
        <v>2022</v>
      </c>
      <c r="C42" s="11" t="s">
        <v>22</v>
      </c>
      <c r="D42" s="3">
        <v>1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f t="shared" si="27"/>
        <v>1</v>
      </c>
      <c r="K42" s="8">
        <f>SUMIFS(Table1[Demand],Table1[Fiscal_Year],Demand_Modeling!$B42,Table1[BRAND],Demand_Modeling!$C42)</f>
        <v>6710227</v>
      </c>
      <c r="L42" s="8">
        <f>SUMIFS(Table1[Modeled_Demand],Table1[Fiscal_Year],Demand_Modeling!$B42,Table1[BRAND],Demand_Modeling!$C42)</f>
        <v>6710227</v>
      </c>
      <c r="M42" s="3">
        <f t="shared" si="10"/>
        <v>0</v>
      </c>
      <c r="N42" s="3"/>
      <c r="O42" s="8">
        <v>2022</v>
      </c>
      <c r="P42" s="11" t="s">
        <v>11</v>
      </c>
      <c r="Q42" s="3">
        <f t="shared" si="26"/>
        <v>0</v>
      </c>
      <c r="R42" s="3">
        <f t="shared" si="26"/>
        <v>0</v>
      </c>
      <c r="S42" s="3">
        <f t="shared" si="26"/>
        <v>0</v>
      </c>
      <c r="T42" s="3">
        <f t="shared" si="26"/>
        <v>0.3</v>
      </c>
      <c r="U42" s="3">
        <f t="shared" si="26"/>
        <v>0</v>
      </c>
      <c r="V42" s="3">
        <f t="shared" si="26"/>
        <v>0.45</v>
      </c>
      <c r="W42" s="8">
        <f>SUMIFS(Table1[Demand],Table1[Fiscal_Year],Demand_Modeling!$O42,Table1[DC_name_Xref],Demand_Modeling!$P42)</f>
        <v>0</v>
      </c>
      <c r="X42" s="8">
        <f>SUMIFS(Table1[Modeled_Demand],Table1[Fiscal_Year],Demand_Modeling!$O42,Table1[DC_name_Xref],Demand_Modeling!$P42)</f>
        <v>21620738.250000007</v>
      </c>
      <c r="Y42" s="8">
        <f>SUMIFS(Table2[Capacity],Table2[Fiscal_Year],Demand_Modeling!$O42,Table2[DC_name_Xref],Demand_Modeling!$P42)</f>
        <v>43259845.5</v>
      </c>
      <c r="Z42" s="3">
        <f t="shared" si="11"/>
        <v>0</v>
      </c>
      <c r="AA42" s="3">
        <f t="shared" si="12"/>
        <v>0.49978768994910089</v>
      </c>
      <c r="AB42" s="3"/>
      <c r="AC42" s="3"/>
      <c r="AD42" s="3"/>
      <c r="AG42" s="8">
        <v>2022</v>
      </c>
      <c r="AH42" s="11" t="s">
        <v>23</v>
      </c>
      <c r="AI42" s="3">
        <f t="shared" si="24"/>
        <v>0</v>
      </c>
      <c r="AJ42" s="3">
        <f t="shared" si="24"/>
        <v>0</v>
      </c>
      <c r="AK42" s="3">
        <f t="shared" si="24"/>
        <v>0</v>
      </c>
      <c r="AL42" s="3">
        <f t="shared" si="24"/>
        <v>0.3</v>
      </c>
      <c r="AM42" s="3">
        <f t="shared" si="24"/>
        <v>0</v>
      </c>
      <c r="AN42" s="3">
        <f t="shared" si="24"/>
        <v>0.45</v>
      </c>
      <c r="AO42" s="8">
        <f>SUMIFS(Table1[Demand],Table1[Fiscal_Year],Demand_Modeling!$O42,Table1[DC_name_Xref],Demand_Modeling!$P42)</f>
        <v>0</v>
      </c>
      <c r="AP42" s="8">
        <f>SUMIFS(Table1[Modeled_Demand],Table1[Fiscal_Year],Demand_Modeling!$O42,Table1[DC_name_Xref],Demand_Modeling!$P42)</f>
        <v>21620738.250000007</v>
      </c>
      <c r="AQ42" s="8">
        <f>SUMIFS(Table2[Capacity],Table2[Fiscal_Year],Demand_Modeling!$O42,Table2[DC_name_Xref],Demand_Modeling!$P42)</f>
        <v>43259845.5</v>
      </c>
      <c r="AR42" s="3">
        <f t="shared" si="13"/>
        <v>0</v>
      </c>
      <c r="AS42" s="3">
        <f t="shared" si="14"/>
        <v>0.49978768994910089</v>
      </c>
      <c r="AT42" s="2">
        <f t="shared" si="15"/>
        <v>0</v>
      </c>
      <c r="AU42" s="2">
        <f t="shared" si="16"/>
        <v>6486221.4750000024</v>
      </c>
      <c r="AV42" s="2">
        <f t="shared" si="17"/>
        <v>0</v>
      </c>
      <c r="AW42" s="2">
        <f t="shared" si="18"/>
        <v>9729332.2125000041</v>
      </c>
      <c r="AX42" s="2">
        <f t="shared" si="19"/>
        <v>0</v>
      </c>
      <c r="AY42" s="2">
        <f t="shared" si="20"/>
        <v>16215554.187287696</v>
      </c>
      <c r="AZ42" s="10">
        <f t="shared" si="21"/>
        <v>43259845.5</v>
      </c>
      <c r="BA42" s="5">
        <f t="shared" si="22"/>
        <v>0.37484077901498042</v>
      </c>
    </row>
    <row r="43" spans="1:53" x14ac:dyDescent="0.3">
      <c r="A43" s="12" t="str">
        <f t="shared" si="8"/>
        <v>2022-Old Navy</v>
      </c>
      <c r="B43" s="11">
        <v>2022</v>
      </c>
      <c r="C43" s="11" t="s">
        <v>20</v>
      </c>
      <c r="D43" s="3">
        <v>0.09</v>
      </c>
      <c r="E43" s="3">
        <v>0.11</v>
      </c>
      <c r="F43" s="3">
        <v>0</v>
      </c>
      <c r="G43" s="3">
        <v>0.21</v>
      </c>
      <c r="H43" s="3">
        <v>0.45</v>
      </c>
      <c r="I43" s="3">
        <v>0.14000000000000001</v>
      </c>
      <c r="J43" s="3">
        <f t="shared" si="27"/>
        <v>1</v>
      </c>
      <c r="K43" s="8">
        <f>SUMIFS(Table1[Demand],Table1[Fiscal_Year],Demand_Modeling!$B43,Table1[BRAND],Demand_Modeling!$C43)</f>
        <v>36494617</v>
      </c>
      <c r="L43" s="8">
        <f>SUMIFS(Table1[Modeled_Demand],Table1[Fiscal_Year],Demand_Modeling!$B43,Table1[BRAND],Demand_Modeling!$C43)</f>
        <v>36494617</v>
      </c>
      <c r="M43" s="3">
        <f t="shared" si="10"/>
        <v>0</v>
      </c>
      <c r="N43" s="3"/>
      <c r="O43" s="8">
        <v>2022</v>
      </c>
      <c r="P43" s="11" t="s">
        <v>10</v>
      </c>
      <c r="Q43" s="3">
        <f t="shared" si="26"/>
        <v>0</v>
      </c>
      <c r="R43" s="3">
        <f t="shared" si="26"/>
        <v>0</v>
      </c>
      <c r="S43" s="3">
        <f t="shared" si="26"/>
        <v>0</v>
      </c>
      <c r="T43" s="3">
        <f t="shared" si="26"/>
        <v>0.45</v>
      </c>
      <c r="U43" s="3">
        <f t="shared" si="26"/>
        <v>0</v>
      </c>
      <c r="V43" s="3">
        <f t="shared" si="26"/>
        <v>0.14000000000000001</v>
      </c>
      <c r="W43" s="8">
        <f>SUMIFS(Table1[Demand],Table1[Fiscal_Year],Demand_Modeling!$O43,Table1[DC_name_Xref],Demand_Modeling!$P43)</f>
        <v>5318358</v>
      </c>
      <c r="X43" s="8">
        <f>SUMIFS(Table1[Modeled_Demand],Table1[Fiscal_Year],Demand_Modeling!$O43,Table1[DC_name_Xref],Demand_Modeling!$P43)</f>
        <v>12906487.280000001</v>
      </c>
      <c r="Y43" s="8">
        <f>SUMIFS(Table2[Capacity],Table2[Fiscal_Year],Demand_Modeling!$O43,Table2[DC_name_Xref],Demand_Modeling!$P43)</f>
        <v>23174907.300000038</v>
      </c>
      <c r="Z43" s="3">
        <f t="shared" si="11"/>
        <v>0.22948777879253873</v>
      </c>
      <c r="AA43" s="3">
        <f t="shared" si="12"/>
        <v>0.55691645765504227</v>
      </c>
      <c r="AB43" s="3"/>
      <c r="AC43" s="3"/>
      <c r="AD43" s="3"/>
      <c r="AG43" s="8">
        <v>2022</v>
      </c>
      <c r="AH43" s="11" t="s">
        <v>10</v>
      </c>
      <c r="AI43" s="3">
        <f t="shared" si="24"/>
        <v>0</v>
      </c>
      <c r="AJ43" s="3">
        <f t="shared" si="24"/>
        <v>0</v>
      </c>
      <c r="AK43" s="3">
        <f t="shared" si="24"/>
        <v>0</v>
      </c>
      <c r="AL43" s="3">
        <f t="shared" si="24"/>
        <v>0.45</v>
      </c>
      <c r="AM43" s="3">
        <f t="shared" si="24"/>
        <v>0</v>
      </c>
      <c r="AN43" s="3">
        <f t="shared" si="24"/>
        <v>0.14000000000000001</v>
      </c>
      <c r="AO43" s="8">
        <f>SUMIFS(Table1[Demand],Table1[Fiscal_Year],Demand_Modeling!$O43,Table1[DC_name_Xref],Demand_Modeling!$P43)</f>
        <v>5318358</v>
      </c>
      <c r="AP43" s="8">
        <f>SUMIFS(Table1[Modeled_Demand],Table1[Fiscal_Year],Demand_Modeling!$O43,Table1[DC_name_Xref],Demand_Modeling!$P43)</f>
        <v>12906487.280000001</v>
      </c>
      <c r="AQ43" s="8">
        <f>SUMIFS(Table2[Capacity],Table2[Fiscal_Year],Demand_Modeling!$O43,Table2[DC_name_Xref],Demand_Modeling!$P43)</f>
        <v>23174907.300000038</v>
      </c>
      <c r="AR43" s="3">
        <f t="shared" si="13"/>
        <v>0.22948777879253873</v>
      </c>
      <c r="AS43" s="3">
        <f t="shared" si="14"/>
        <v>0.55691645765504227</v>
      </c>
      <c r="AT43" s="2">
        <f t="shared" si="15"/>
        <v>0</v>
      </c>
      <c r="AU43" s="2">
        <f t="shared" si="16"/>
        <v>5807919.2760000005</v>
      </c>
      <c r="AV43" s="2">
        <f t="shared" si="17"/>
        <v>0</v>
      </c>
      <c r="AW43" s="2">
        <f t="shared" si="18"/>
        <v>1806908.2192000004</v>
      </c>
      <c r="AX43" s="2">
        <f t="shared" si="19"/>
        <v>68641319877486.25</v>
      </c>
      <c r="AY43" s="2">
        <f t="shared" si="20"/>
        <v>68641327492314.305</v>
      </c>
      <c r="AZ43" s="10">
        <f t="shared" si="21"/>
        <v>23174907.300000038</v>
      </c>
      <c r="BA43" s="5">
        <f t="shared" si="22"/>
        <v>2961881.4264820898</v>
      </c>
    </row>
    <row r="44" spans="1:53" x14ac:dyDescent="0.3">
      <c r="A44" s="12" t="str">
        <f t="shared" si="8"/>
        <v>2023-Athleta</v>
      </c>
      <c r="B44" s="11">
        <v>2023</v>
      </c>
      <c r="C44" s="1" t="s">
        <v>19</v>
      </c>
      <c r="D44" s="3"/>
      <c r="E44" s="3">
        <v>1</v>
      </c>
      <c r="F44" s="3">
        <v>0</v>
      </c>
      <c r="G44" s="3">
        <v>3.447122356821831E-5</v>
      </c>
      <c r="H44" s="3">
        <v>0</v>
      </c>
      <c r="I44" s="3">
        <v>0</v>
      </c>
      <c r="J44" s="3">
        <f t="shared" ref="J44:J49" si="28">SUM(D44:I44)</f>
        <v>1.0000344712235683</v>
      </c>
      <c r="K44" s="8">
        <f>SUMIFS(Table1[Demand],Table1[Fiscal_Year],Demand_Modeling!$B44,Table1[BRAND],Demand_Modeling!$C44)</f>
        <v>3833012</v>
      </c>
      <c r="L44" s="8">
        <f>SUMIFS(Table1[Modeled_Demand],Table1[Fiscal_Year],Demand_Modeling!$B44,Table1[BRAND],Demand_Modeling!$C44)</f>
        <v>3833144.1286135917</v>
      </c>
      <c r="M44" s="3">
        <f t="shared" si="10"/>
        <v>-3.4471223568255382E-5</v>
      </c>
      <c r="N44" s="3"/>
      <c r="O44" s="8">
        <v>2023</v>
      </c>
      <c r="P44" s="11" t="s">
        <v>5</v>
      </c>
      <c r="Q44" s="3">
        <f t="shared" ref="Q44:V49" si="29">INDEX($A$13:$J$49,MATCH($O44&amp;"-"&amp;Q$13,$A$13:$A$49,0),MATCH($P44,$A$13:$J$13,0))</f>
        <v>0</v>
      </c>
      <c r="R44" s="3">
        <f t="shared" si="29"/>
        <v>0</v>
      </c>
      <c r="S44" s="3">
        <f t="shared" si="29"/>
        <v>1</v>
      </c>
      <c r="T44" s="3">
        <f t="shared" si="29"/>
        <v>0</v>
      </c>
      <c r="U44" s="3">
        <f t="shared" si="29"/>
        <v>1</v>
      </c>
      <c r="V44" s="3">
        <f t="shared" si="29"/>
        <v>0</v>
      </c>
      <c r="W44" s="8">
        <f>SUMIFS(Table1[Demand],Table1[Fiscal_Year],Demand_Modeling!$O44,Table1[DC_name_Xref],Demand_Modeling!$P44)</f>
        <v>43055092</v>
      </c>
      <c r="X44" s="8">
        <f>SUMIFS(Table1[Modeled_Demand],Table1[Fiscal_Year],Demand_Modeling!$O44,Table1[DC_name_Xref],Demand_Modeling!$P44)</f>
        <v>13072403</v>
      </c>
      <c r="Y44" s="8">
        <f>SUMIFS(Table2[Capacity],Table2[Fiscal_Year],Demand_Modeling!$O44,Table2[DC_name_Xref],Demand_Modeling!$P44)</f>
        <v>27224891.100000039</v>
      </c>
      <c r="Z44" s="3">
        <f t="shared" si="11"/>
        <v>1.5814605774492865</v>
      </c>
      <c r="AA44" s="3">
        <f t="shared" si="12"/>
        <v>0.48016364700904096</v>
      </c>
      <c r="AB44" s="3"/>
      <c r="AC44" s="3"/>
      <c r="AD44" s="3"/>
      <c r="AG44" s="8">
        <v>2023</v>
      </c>
      <c r="AH44" s="11" t="s">
        <v>5</v>
      </c>
      <c r="AI44" s="3">
        <f t="shared" si="24"/>
        <v>0</v>
      </c>
      <c r="AJ44" s="3">
        <f t="shared" si="24"/>
        <v>0</v>
      </c>
      <c r="AK44" s="3">
        <f t="shared" si="24"/>
        <v>1</v>
      </c>
      <c r="AL44" s="3">
        <f t="shared" si="24"/>
        <v>0</v>
      </c>
      <c r="AM44" s="3">
        <f t="shared" si="24"/>
        <v>1</v>
      </c>
      <c r="AN44" s="3">
        <f t="shared" si="24"/>
        <v>0</v>
      </c>
      <c r="AO44" s="8">
        <f>SUMIFS(Table1[Demand],Table1[Fiscal_Year],Demand_Modeling!$O44,Table1[DC_name_Xref],Demand_Modeling!$P44)</f>
        <v>43055092</v>
      </c>
      <c r="AP44" s="8">
        <f>SUMIFS(Table1[Modeled_Demand],Table1[Fiscal_Year],Demand_Modeling!$O44,Table1[DC_name_Xref],Demand_Modeling!$P44)</f>
        <v>13072403</v>
      </c>
      <c r="AQ44" s="8">
        <f>SUMIFS(Table2[Capacity],Table2[Fiscal_Year],Demand_Modeling!$O44,Table2[DC_name_Xref],Demand_Modeling!$P44)</f>
        <v>27224891.100000039</v>
      </c>
      <c r="AR44" s="3">
        <f t="shared" si="13"/>
        <v>1.5814605774492865</v>
      </c>
      <c r="AS44" s="3">
        <f t="shared" si="14"/>
        <v>0.48016364700904096</v>
      </c>
      <c r="AT44" s="2">
        <f t="shared" si="15"/>
        <v>13072403</v>
      </c>
      <c r="AU44" s="2">
        <f t="shared" si="16"/>
        <v>0</v>
      </c>
      <c r="AV44" s="2">
        <f t="shared" si="17"/>
        <v>13072403</v>
      </c>
      <c r="AW44" s="2">
        <f t="shared" si="18"/>
        <v>0</v>
      </c>
      <c r="AX44" s="2">
        <f t="shared" si="19"/>
        <v>562833513826076</v>
      </c>
      <c r="AY44" s="2">
        <f t="shared" si="20"/>
        <v>562833539970882.5</v>
      </c>
      <c r="AZ44" s="10">
        <f t="shared" si="21"/>
        <v>27224891.100000039</v>
      </c>
      <c r="BA44" s="5">
        <f t="shared" si="22"/>
        <v>20673490.957357097</v>
      </c>
    </row>
    <row r="45" spans="1:53" x14ac:dyDescent="0.3">
      <c r="A45" s="12" t="str">
        <f t="shared" si="8"/>
        <v>2023-Banana Republic</v>
      </c>
      <c r="B45" s="11">
        <v>2023</v>
      </c>
      <c r="C45" s="11" t="s">
        <v>18</v>
      </c>
      <c r="D45" s="3"/>
      <c r="E45" s="3">
        <v>1</v>
      </c>
      <c r="F45" s="3">
        <v>3.4959629396853166E-6</v>
      </c>
      <c r="G45" s="3">
        <v>4.2339995602855504E-5</v>
      </c>
      <c r="H45" s="3">
        <v>0</v>
      </c>
      <c r="I45" s="3">
        <v>0</v>
      </c>
      <c r="J45" s="3">
        <f t="shared" si="28"/>
        <v>1.0000458359585425</v>
      </c>
      <c r="K45" s="8">
        <f>SUMIFS(Table1[Demand],Table1[Fiscal_Year],Demand_Modeling!$B45,Table1[BRAND],Demand_Modeling!$C45)</f>
        <v>4441089</v>
      </c>
      <c r="L45" s="8">
        <f>SUMIFS(Table1[Modeled_Demand],Table1[Fiscal_Year],Demand_Modeling!$B45,Table1[BRAND],Demand_Modeling!$C45)</f>
        <v>4441292.561571287</v>
      </c>
      <c r="M45" s="3">
        <f t="shared" si="10"/>
        <v>-4.5835958542461697E-5</v>
      </c>
      <c r="N45" s="3"/>
      <c r="O45" s="8">
        <v>2023</v>
      </c>
      <c r="P45" s="11" t="s">
        <v>6</v>
      </c>
      <c r="Q45" s="3">
        <f t="shared" si="29"/>
        <v>1</v>
      </c>
      <c r="R45" s="3">
        <f t="shared" si="29"/>
        <v>1</v>
      </c>
      <c r="S45" s="3">
        <f t="shared" si="29"/>
        <v>0</v>
      </c>
      <c r="T45" s="3">
        <f t="shared" si="29"/>
        <v>0.25</v>
      </c>
      <c r="U45" s="3">
        <f t="shared" si="29"/>
        <v>0</v>
      </c>
      <c r="V45" s="3">
        <f t="shared" si="29"/>
        <v>0</v>
      </c>
      <c r="W45" s="8">
        <f>SUMIFS(Table1[Demand],Table1[Fiscal_Year],Demand_Modeling!$O45,Table1[DC_name_Xref],Demand_Modeling!$P45)</f>
        <v>15816315</v>
      </c>
      <c r="X45" s="8">
        <f>SUMIFS(Table1[Modeled_Demand],Table1[Fiscal_Year],Demand_Modeling!$O45,Table1[DC_name_Xref],Demand_Modeling!$P45)</f>
        <v>13929865.5</v>
      </c>
      <c r="Y45" s="8">
        <f>SUMIFS(Table2[Capacity],Table2[Fiscal_Year],Demand_Modeling!$O45,Table2[DC_name_Xref],Demand_Modeling!$P45)</f>
        <v>27224891.100000039</v>
      </c>
      <c r="Z45" s="3">
        <f t="shared" si="11"/>
        <v>0.58095053316852308</v>
      </c>
      <c r="AA45" s="3">
        <f t="shared" si="12"/>
        <v>0.51165918162295165</v>
      </c>
      <c r="AB45" s="3"/>
      <c r="AC45" s="3"/>
      <c r="AD45" s="3"/>
      <c r="AG45" s="8">
        <v>2023</v>
      </c>
      <c r="AH45" s="11" t="s">
        <v>6</v>
      </c>
      <c r="AI45" s="3">
        <f t="shared" si="24"/>
        <v>1</v>
      </c>
      <c r="AJ45" s="3">
        <f t="shared" si="24"/>
        <v>1</v>
      </c>
      <c r="AK45" s="3">
        <f t="shared" si="24"/>
        <v>0</v>
      </c>
      <c r="AL45" s="3">
        <f t="shared" si="24"/>
        <v>0.25</v>
      </c>
      <c r="AM45" s="3">
        <f t="shared" si="24"/>
        <v>0</v>
      </c>
      <c r="AN45" s="3">
        <f t="shared" si="24"/>
        <v>0</v>
      </c>
      <c r="AO45" s="8">
        <f>SUMIFS(Table1[Demand],Table1[Fiscal_Year],Demand_Modeling!$O45,Table1[DC_name_Xref],Demand_Modeling!$P45)</f>
        <v>15816315</v>
      </c>
      <c r="AP45" s="8">
        <f>SUMIFS(Table1[Modeled_Demand],Table1[Fiscal_Year],Demand_Modeling!$O45,Table1[DC_name_Xref],Demand_Modeling!$P45)</f>
        <v>13929865.5</v>
      </c>
      <c r="AQ45" s="8">
        <f>SUMIFS(Table2[Capacity],Table2[Fiscal_Year],Demand_Modeling!$O45,Table2[DC_name_Xref],Demand_Modeling!$P45)</f>
        <v>27224891.100000039</v>
      </c>
      <c r="AR45" s="3">
        <f t="shared" si="13"/>
        <v>0.58095053316852308</v>
      </c>
      <c r="AS45" s="3">
        <f t="shared" si="14"/>
        <v>0.51165918162295165</v>
      </c>
      <c r="AT45" s="2">
        <f t="shared" si="15"/>
        <v>0</v>
      </c>
      <c r="AU45" s="2">
        <f t="shared" si="16"/>
        <v>3482466.375</v>
      </c>
      <c r="AV45" s="2">
        <f t="shared" si="17"/>
        <v>0</v>
      </c>
      <c r="AW45" s="2">
        <f t="shared" si="18"/>
        <v>0</v>
      </c>
      <c r="AX45" s="2">
        <f t="shared" si="19"/>
        <v>220319140655632.5</v>
      </c>
      <c r="AY45" s="2">
        <f t="shared" si="20"/>
        <v>220319144138099.38</v>
      </c>
      <c r="AZ45" s="10">
        <f t="shared" si="21"/>
        <v>27224891.100000039</v>
      </c>
      <c r="BA45" s="5">
        <f t="shared" si="22"/>
        <v>8092562.9171056282</v>
      </c>
    </row>
    <row r="46" spans="1:53" x14ac:dyDescent="0.3">
      <c r="A46" s="12" t="str">
        <f t="shared" si="8"/>
        <v>2023-BR Factory Store</v>
      </c>
      <c r="B46" s="11">
        <v>2023</v>
      </c>
      <c r="C46" s="11" t="s">
        <v>17</v>
      </c>
      <c r="D46" s="3">
        <v>1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f t="shared" si="28"/>
        <v>1</v>
      </c>
      <c r="K46" s="8">
        <f>SUMIFS(Table1[Demand],Table1[Fiscal_Year],Demand_Modeling!$B46,Table1[BRAND],Demand_Modeling!$C46)</f>
        <v>3356709</v>
      </c>
      <c r="L46" s="8">
        <f>SUMIFS(Table1[Modeled_Demand],Table1[Fiscal_Year],Demand_Modeling!$B46,Table1[BRAND],Demand_Modeling!$C46)</f>
        <v>3356709</v>
      </c>
      <c r="M46" s="3">
        <f t="shared" si="10"/>
        <v>0</v>
      </c>
      <c r="N46" s="3"/>
      <c r="O46" s="8">
        <v>2023</v>
      </c>
      <c r="P46" s="11" t="s">
        <v>7</v>
      </c>
      <c r="Q46" s="3">
        <f t="shared" si="29"/>
        <v>0</v>
      </c>
      <c r="R46" s="3">
        <f t="shared" si="29"/>
        <v>3.4959629396853166E-6</v>
      </c>
      <c r="S46" s="3">
        <f t="shared" si="29"/>
        <v>0</v>
      </c>
      <c r="T46" s="3">
        <f t="shared" si="29"/>
        <v>0</v>
      </c>
      <c r="U46" s="3">
        <f t="shared" si="29"/>
        <v>0</v>
      </c>
      <c r="V46" s="3">
        <f t="shared" si="29"/>
        <v>0</v>
      </c>
      <c r="W46" s="8">
        <f>SUMIFS(Table1[Demand],Table1[Fiscal_Year],Demand_Modeling!$O46,Table1[DC_name_Xref],Demand_Modeling!$P46)</f>
        <v>10292365</v>
      </c>
      <c r="X46" s="8">
        <f>SUMIFS(Table1[Modeled_Demand],Table1[Fiscal_Year],Demand_Modeling!$O46,Table1[DC_name_Xref],Demand_Modeling!$P46)</f>
        <v>15.525882555844124</v>
      </c>
      <c r="Y46" s="8">
        <f>SUMIFS(Table2[Capacity],Table2[Fiscal_Year],Demand_Modeling!$O46,Table2[DC_name_Xref],Demand_Modeling!$P46)</f>
        <v>0</v>
      </c>
      <c r="Z46" s="3">
        <f t="shared" si="11"/>
        <v>0</v>
      </c>
      <c r="AA46" s="3">
        <f t="shared" si="12"/>
        <v>0</v>
      </c>
      <c r="AB46" s="3"/>
      <c r="AC46" s="3"/>
      <c r="AD46" s="3"/>
      <c r="AG46" s="8">
        <v>2023</v>
      </c>
      <c r="AH46" s="11" t="s">
        <v>7</v>
      </c>
      <c r="AI46" s="3">
        <f t="shared" ref="AI46:AN49" si="30">INDEX($A$13:$J$49,MATCH($O46&amp;"-"&amp;AI$13,$A$13:$A$49,0),MATCH($P46,$A$13:$J$13,0))</f>
        <v>0</v>
      </c>
      <c r="AJ46" s="3">
        <f t="shared" si="30"/>
        <v>3.4959629396853166E-6</v>
      </c>
      <c r="AK46" s="3">
        <f t="shared" si="30"/>
        <v>0</v>
      </c>
      <c r="AL46" s="3">
        <f t="shared" si="30"/>
        <v>0</v>
      </c>
      <c r="AM46" s="3">
        <f t="shared" si="30"/>
        <v>0</v>
      </c>
      <c r="AN46" s="3">
        <f t="shared" si="30"/>
        <v>0</v>
      </c>
      <c r="AO46" s="8">
        <f>SUMIFS(Table1[Demand],Table1[Fiscal_Year],Demand_Modeling!$O46,Table1[DC_name_Xref],Demand_Modeling!$P46)</f>
        <v>10292365</v>
      </c>
      <c r="AP46" s="8">
        <f>SUMIFS(Table1[Modeled_Demand],Table1[Fiscal_Year],Demand_Modeling!$O46,Table1[DC_name_Xref],Demand_Modeling!$P46)</f>
        <v>15.525882555844124</v>
      </c>
      <c r="AQ46" s="8">
        <f>SUMIFS(Table2[Capacity],Table2[Fiscal_Year],Demand_Modeling!$O46,Table2[DC_name_Xref],Demand_Modeling!$P46)</f>
        <v>0</v>
      </c>
      <c r="AR46" s="3">
        <f t="shared" si="13"/>
        <v>0</v>
      </c>
      <c r="AS46" s="3">
        <f t="shared" si="14"/>
        <v>0</v>
      </c>
      <c r="AT46" s="2">
        <f t="shared" si="15"/>
        <v>0</v>
      </c>
      <c r="AU46" s="2">
        <f t="shared" si="16"/>
        <v>0</v>
      </c>
      <c r="AV46" s="2">
        <f t="shared" si="17"/>
        <v>0</v>
      </c>
      <c r="AW46" s="2">
        <f t="shared" si="18"/>
        <v>0</v>
      </c>
      <c r="AX46" s="2">
        <f t="shared" si="19"/>
        <v>159798050.21188059</v>
      </c>
      <c r="AY46" s="2">
        <f t="shared" si="20"/>
        <v>159798050.21188059</v>
      </c>
      <c r="AZ46" s="10">
        <f t="shared" si="21"/>
        <v>0</v>
      </c>
      <c r="BA46" s="5" t="e">
        <f t="shared" si="22"/>
        <v>#DIV/0!</v>
      </c>
    </row>
    <row r="47" spans="1:53" x14ac:dyDescent="0.3">
      <c r="A47" s="12" t="str">
        <f t="shared" si="8"/>
        <v>2023-Gap</v>
      </c>
      <c r="B47" s="11">
        <v>2023</v>
      </c>
      <c r="C47" s="11" t="s">
        <v>16</v>
      </c>
      <c r="D47" s="3">
        <v>0</v>
      </c>
      <c r="E47" s="3">
        <v>0.25</v>
      </c>
      <c r="F47" s="3">
        <v>0</v>
      </c>
      <c r="G47" s="3">
        <v>0</v>
      </c>
      <c r="H47" s="3">
        <v>0.3</v>
      </c>
      <c r="I47" s="3">
        <v>0.45</v>
      </c>
      <c r="J47" s="3">
        <f t="shared" si="28"/>
        <v>1</v>
      </c>
      <c r="K47" s="8">
        <f>SUMIFS(Table1[Demand],Table1[Fiscal_Year],Demand_Modeling!$B47,Table1[BRAND],Demand_Modeling!$C47)</f>
        <v>22623058</v>
      </c>
      <c r="L47" s="8">
        <f>SUMIFS(Table1[Modeled_Demand],Table1[Fiscal_Year],Demand_Modeling!$B47,Table1[BRAND],Demand_Modeling!$C47)</f>
        <v>22623058</v>
      </c>
      <c r="M47" s="3">
        <f t="shared" si="10"/>
        <v>0</v>
      </c>
      <c r="N47" s="3"/>
      <c r="O47" s="8">
        <v>2023</v>
      </c>
      <c r="P47" s="11" t="s">
        <v>8</v>
      </c>
      <c r="Q47" s="3">
        <f t="shared" si="29"/>
        <v>3.447122356821831E-5</v>
      </c>
      <c r="R47" s="3">
        <f t="shared" si="29"/>
        <v>4.2339995602855504E-5</v>
      </c>
      <c r="S47" s="3">
        <f t="shared" si="29"/>
        <v>0</v>
      </c>
      <c r="T47" s="3">
        <f t="shared" si="29"/>
        <v>0</v>
      </c>
      <c r="U47" s="3">
        <f t="shared" si="29"/>
        <v>0</v>
      </c>
      <c r="V47" s="3">
        <f t="shared" si="29"/>
        <v>0.21</v>
      </c>
      <c r="W47" s="8">
        <f>SUMIFS(Table1[Demand],Table1[Fiscal_Year],Demand_Modeling!$O47,Table1[DC_name_Xref],Demand_Modeling!$P47)</f>
        <v>15698187</v>
      </c>
      <c r="X47" s="8">
        <f>SUMIFS(Table1[Modeled_Demand],Table1[Fiscal_Year],Demand_Modeling!$O47,Table1[DC_name_Xref],Demand_Modeling!$P47)</f>
        <v>9976553.0743023232</v>
      </c>
      <c r="Y47" s="8">
        <f>SUMIFS(Table2[Capacity],Table2[Fiscal_Year],Demand_Modeling!$O47,Table2[DC_name_Xref],Demand_Modeling!$P47)</f>
        <v>18150145.199999999</v>
      </c>
      <c r="Z47" s="3">
        <f t="shared" si="11"/>
        <v>0.86490696504180031</v>
      </c>
      <c r="AA47" s="3">
        <f t="shared" si="12"/>
        <v>0.54966794834800126</v>
      </c>
      <c r="AB47" s="3"/>
      <c r="AC47" s="3"/>
      <c r="AD47" s="3"/>
      <c r="AG47" s="8">
        <v>2023</v>
      </c>
      <c r="AH47" s="11" t="s">
        <v>8</v>
      </c>
      <c r="AI47" s="3">
        <f t="shared" si="30"/>
        <v>3.447122356821831E-5</v>
      </c>
      <c r="AJ47" s="3">
        <f t="shared" si="30"/>
        <v>4.2339995602855504E-5</v>
      </c>
      <c r="AK47" s="3">
        <f t="shared" si="30"/>
        <v>0</v>
      </c>
      <c r="AL47" s="3">
        <f t="shared" si="30"/>
        <v>0</v>
      </c>
      <c r="AM47" s="3">
        <f t="shared" si="30"/>
        <v>0</v>
      </c>
      <c r="AN47" s="3">
        <f t="shared" si="30"/>
        <v>0.21</v>
      </c>
      <c r="AO47" s="8">
        <f>SUMIFS(Table1[Demand],Table1[Fiscal_Year],Demand_Modeling!$O47,Table1[DC_name_Xref],Demand_Modeling!$P47)</f>
        <v>15698187</v>
      </c>
      <c r="AP47" s="8">
        <f>SUMIFS(Table1[Modeled_Demand],Table1[Fiscal_Year],Demand_Modeling!$O47,Table1[DC_name_Xref],Demand_Modeling!$P47)</f>
        <v>9976553.0743023232</v>
      </c>
      <c r="AQ47" s="8">
        <f>SUMIFS(Table2[Capacity],Table2[Fiscal_Year],Demand_Modeling!$O47,Table2[DC_name_Xref],Demand_Modeling!$P47)</f>
        <v>18150145.199999999</v>
      </c>
      <c r="AR47" s="3">
        <f t="shared" si="13"/>
        <v>0.86490696504180031</v>
      </c>
      <c r="AS47" s="3">
        <f t="shared" si="14"/>
        <v>0.54966794834800126</v>
      </c>
      <c r="AT47" s="2">
        <f t="shared" si="15"/>
        <v>0</v>
      </c>
      <c r="AU47" s="2">
        <f t="shared" si="16"/>
        <v>0</v>
      </c>
      <c r="AV47" s="2">
        <f t="shared" si="17"/>
        <v>0</v>
      </c>
      <c r="AW47" s="2">
        <f t="shared" si="18"/>
        <v>2095076.1456034877</v>
      </c>
      <c r="AX47" s="2">
        <f t="shared" si="19"/>
        <v>156613795775822.75</v>
      </c>
      <c r="AY47" s="2">
        <f t="shared" si="20"/>
        <v>156613797870899.44</v>
      </c>
      <c r="AZ47" s="10">
        <f t="shared" si="21"/>
        <v>18150145.199999999</v>
      </c>
      <c r="BA47" s="5">
        <f t="shared" si="22"/>
        <v>8628790.356503563</v>
      </c>
    </row>
    <row r="48" spans="1:53" x14ac:dyDescent="0.3">
      <c r="A48" s="12" t="str">
        <f t="shared" si="8"/>
        <v>2023-Gap Factory Store</v>
      </c>
      <c r="B48" s="11">
        <v>2023</v>
      </c>
      <c r="C48" s="11" t="s">
        <v>22</v>
      </c>
      <c r="D48" s="3">
        <v>1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f t="shared" si="28"/>
        <v>1</v>
      </c>
      <c r="K48" s="8">
        <f>SUMIFS(Table1[Demand],Table1[Fiscal_Year],Demand_Modeling!$B48,Table1[BRAND],Demand_Modeling!$C48)</f>
        <v>9715694</v>
      </c>
      <c r="L48" s="8">
        <f>SUMIFS(Table1[Modeled_Demand],Table1[Fiscal_Year],Demand_Modeling!$B48,Table1[BRAND],Demand_Modeling!$C48)</f>
        <v>9715694</v>
      </c>
      <c r="M48" s="3">
        <f t="shared" si="10"/>
        <v>0</v>
      </c>
      <c r="N48" s="3"/>
      <c r="O48" s="8">
        <v>2023</v>
      </c>
      <c r="P48" s="11" t="s">
        <v>11</v>
      </c>
      <c r="Q48" s="3">
        <f t="shared" si="29"/>
        <v>0</v>
      </c>
      <c r="R48" s="3">
        <f t="shared" si="29"/>
        <v>0</v>
      </c>
      <c r="S48" s="3">
        <f t="shared" si="29"/>
        <v>0</v>
      </c>
      <c r="T48" s="3">
        <f t="shared" si="29"/>
        <v>0.3</v>
      </c>
      <c r="U48" s="3">
        <f t="shared" si="29"/>
        <v>0</v>
      </c>
      <c r="V48" s="3">
        <f t="shared" si="29"/>
        <v>0.71</v>
      </c>
      <c r="W48" s="8">
        <f>SUMIFS(Table1[Demand],Table1[Fiscal_Year],Demand_Modeling!$O48,Table1[DC_name_Xref],Demand_Modeling!$P48)</f>
        <v>0</v>
      </c>
      <c r="X48" s="8">
        <f>SUMIFS(Table1[Modeled_Demand],Table1[Fiscal_Year],Demand_Modeling!$O48,Table1[DC_name_Xref],Demand_Modeling!$P48)</f>
        <v>40516085.810000002</v>
      </c>
      <c r="Y48" s="8">
        <f>SUMIFS(Table2[Capacity],Table2[Fiscal_Year],Demand_Modeling!$O48,Table2[DC_name_Xref],Demand_Modeling!$P48)</f>
        <v>83489818.5</v>
      </c>
      <c r="Z48" s="3">
        <f t="shared" si="11"/>
        <v>0</v>
      </c>
      <c r="AA48" s="3">
        <f t="shared" si="12"/>
        <v>0.48528175696058079</v>
      </c>
      <c r="AB48" s="3"/>
      <c r="AC48" s="3"/>
      <c r="AD48" s="3"/>
      <c r="AG48" s="8">
        <v>2023</v>
      </c>
      <c r="AH48" s="11" t="s">
        <v>23</v>
      </c>
      <c r="AI48" s="3">
        <f t="shared" si="30"/>
        <v>0</v>
      </c>
      <c r="AJ48" s="3">
        <f t="shared" si="30"/>
        <v>0</v>
      </c>
      <c r="AK48" s="3">
        <f t="shared" si="30"/>
        <v>0</v>
      </c>
      <c r="AL48" s="3">
        <f t="shared" si="30"/>
        <v>0.3</v>
      </c>
      <c r="AM48" s="3">
        <f t="shared" si="30"/>
        <v>0</v>
      </c>
      <c r="AN48" s="3">
        <f t="shared" si="30"/>
        <v>0.71</v>
      </c>
      <c r="AO48" s="8">
        <f>SUMIFS(Table1[Demand],Table1[Fiscal_Year],Demand_Modeling!$O48,Table1[DC_name_Xref],Demand_Modeling!$P48)</f>
        <v>0</v>
      </c>
      <c r="AP48" s="8">
        <f>SUMIFS(Table1[Modeled_Demand],Table1[Fiscal_Year],Demand_Modeling!$O48,Table1[DC_name_Xref],Demand_Modeling!$P48)</f>
        <v>40516085.810000002</v>
      </c>
      <c r="AQ48" s="8">
        <f>SUMIFS(Table2[Capacity],Table2[Fiscal_Year],Demand_Modeling!$O48,Table2[DC_name_Xref],Demand_Modeling!$P48)</f>
        <v>83489818.5</v>
      </c>
      <c r="AR48" s="3">
        <f t="shared" si="13"/>
        <v>0</v>
      </c>
      <c r="AS48" s="3">
        <f t="shared" si="14"/>
        <v>0.48528175696058079</v>
      </c>
      <c r="AT48" s="2">
        <f t="shared" si="15"/>
        <v>0</v>
      </c>
      <c r="AU48" s="2">
        <f t="shared" si="16"/>
        <v>12154825.743000001</v>
      </c>
      <c r="AV48" s="2">
        <f t="shared" si="17"/>
        <v>0</v>
      </c>
      <c r="AW48" s="2">
        <f t="shared" si="18"/>
        <v>28766420.925099999</v>
      </c>
      <c r="AX48" s="2">
        <f t="shared" si="19"/>
        <v>0</v>
      </c>
      <c r="AY48" s="2">
        <f t="shared" si="20"/>
        <v>40921247.153381757</v>
      </c>
      <c r="AZ48" s="10">
        <f t="shared" si="21"/>
        <v>83489818.5</v>
      </c>
      <c r="BA48" s="5">
        <f t="shared" si="22"/>
        <v>0.49013458034265289</v>
      </c>
    </row>
    <row r="49" spans="1:53" x14ac:dyDescent="0.3">
      <c r="A49" s="12" t="str">
        <f t="shared" si="8"/>
        <v>2023-Old Navy</v>
      </c>
      <c r="B49" s="11">
        <v>2023</v>
      </c>
      <c r="C49" s="11" t="s">
        <v>20</v>
      </c>
      <c r="D49" s="3">
        <v>0</v>
      </c>
      <c r="E49" s="3">
        <v>0</v>
      </c>
      <c r="F49" s="3">
        <v>0</v>
      </c>
      <c r="G49" s="3">
        <v>0.21</v>
      </c>
      <c r="H49" s="3">
        <v>0.71</v>
      </c>
      <c r="I49" s="3">
        <v>0.08</v>
      </c>
      <c r="J49" s="3">
        <f t="shared" si="28"/>
        <v>0.99999999999999989</v>
      </c>
      <c r="K49" s="8">
        <f>SUMIFS(Table1[Demand],Table1[Fiscal_Year],Demand_Modeling!$B49,Table1[BRAND],Demand_Modeling!$C49)</f>
        <v>47505871</v>
      </c>
      <c r="L49" s="8">
        <f>SUMIFS(Table1[Modeled_Demand],Table1[Fiscal_Year],Demand_Modeling!$B49,Table1[BRAND],Demand_Modeling!$C49)</f>
        <v>47505870.999999985</v>
      </c>
      <c r="M49" s="3">
        <f t="shared" si="10"/>
        <v>0</v>
      </c>
      <c r="N49" s="3"/>
      <c r="O49" s="8">
        <v>2023</v>
      </c>
      <c r="P49" s="11" t="s">
        <v>10</v>
      </c>
      <c r="Q49" s="3">
        <f t="shared" si="29"/>
        <v>0</v>
      </c>
      <c r="R49" s="3">
        <f t="shared" si="29"/>
        <v>0</v>
      </c>
      <c r="S49" s="3">
        <f t="shared" si="29"/>
        <v>0</v>
      </c>
      <c r="T49" s="3">
        <f t="shared" si="29"/>
        <v>0.45</v>
      </c>
      <c r="U49" s="3">
        <f t="shared" si="29"/>
        <v>0</v>
      </c>
      <c r="V49" s="3">
        <f t="shared" si="29"/>
        <v>0.08</v>
      </c>
      <c r="W49" s="8">
        <f>SUMIFS(Table1[Demand],Table1[Fiscal_Year],Demand_Modeling!$O49,Table1[DC_name_Xref],Demand_Modeling!$P49)</f>
        <v>6613474</v>
      </c>
      <c r="X49" s="8">
        <f>SUMIFS(Table1[Modeled_Demand],Table1[Fiscal_Year],Demand_Modeling!$O49,Table1[DC_name_Xref],Demand_Modeling!$P49)</f>
        <v>13980845.780000001</v>
      </c>
      <c r="Y49" s="8">
        <f>SUMIFS(Table2[Capacity],Table2[Fiscal_Year],Demand_Modeling!$O49,Table2[DC_name_Xref],Demand_Modeling!$P49)</f>
        <v>27224891.100000039</v>
      </c>
      <c r="Z49" s="3">
        <f t="shared" si="11"/>
        <v>0.24292012686875322</v>
      </c>
      <c r="AA49" s="3">
        <f t="shared" si="12"/>
        <v>0.51353174301586024</v>
      </c>
      <c r="AB49" s="3"/>
      <c r="AC49" s="3"/>
      <c r="AD49" s="3"/>
      <c r="AG49" s="8">
        <v>2023</v>
      </c>
      <c r="AH49" s="11" t="s">
        <v>10</v>
      </c>
      <c r="AI49" s="3">
        <f t="shared" si="30"/>
        <v>0</v>
      </c>
      <c r="AJ49" s="3">
        <f t="shared" si="30"/>
        <v>0</v>
      </c>
      <c r="AK49" s="3">
        <f t="shared" si="30"/>
        <v>0</v>
      </c>
      <c r="AL49" s="3">
        <f t="shared" si="30"/>
        <v>0.45</v>
      </c>
      <c r="AM49" s="3">
        <f t="shared" si="30"/>
        <v>0</v>
      </c>
      <c r="AN49" s="3">
        <f t="shared" si="30"/>
        <v>0.08</v>
      </c>
      <c r="AO49" s="8">
        <f>SUMIFS(Table1[Demand],Table1[Fiscal_Year],Demand_Modeling!$O49,Table1[DC_name_Xref],Demand_Modeling!$P49)</f>
        <v>6613474</v>
      </c>
      <c r="AP49" s="8">
        <f>SUMIFS(Table1[Modeled_Demand],Table1[Fiscal_Year],Demand_Modeling!$O49,Table1[DC_name_Xref],Demand_Modeling!$P49)</f>
        <v>13980845.780000001</v>
      </c>
      <c r="AQ49" s="8">
        <f>SUMIFS(Table2[Capacity],Table2[Fiscal_Year],Demand_Modeling!$O49,Table2[DC_name_Xref],Demand_Modeling!$P49)</f>
        <v>27224891.100000039</v>
      </c>
      <c r="AR49" s="3">
        <f t="shared" si="13"/>
        <v>0.24292012686875322</v>
      </c>
      <c r="AS49" s="3">
        <f t="shared" si="14"/>
        <v>0.51353174301586024</v>
      </c>
      <c r="AT49" s="2">
        <f t="shared" si="15"/>
        <v>0</v>
      </c>
      <c r="AU49" s="2">
        <f t="shared" si="16"/>
        <v>6291380.6010000007</v>
      </c>
      <c r="AV49" s="2">
        <f t="shared" si="17"/>
        <v>0</v>
      </c>
      <c r="AW49" s="2">
        <f t="shared" si="18"/>
        <v>1118467.6624</v>
      </c>
      <c r="AX49" s="2">
        <f t="shared" si="19"/>
        <v>92461960064039.734</v>
      </c>
      <c r="AY49" s="2">
        <f t="shared" si="20"/>
        <v>92461967473888.516</v>
      </c>
      <c r="AZ49" s="10">
        <f t="shared" si="21"/>
        <v>27224891.100000039</v>
      </c>
      <c r="BA49" s="5">
        <f t="shared" si="22"/>
        <v>3396229.1027819165</v>
      </c>
    </row>
    <row r="50" spans="1:53" x14ac:dyDescent="0.3">
      <c r="AG50" t="e">
        <f t="shared" ref="AG50:AG78" si="31">AH50&amp;"-"&amp;AI50</f>
        <v>#REF!</v>
      </c>
      <c r="AH50" t="e">
        <f>#REF!</f>
        <v>#REF!</v>
      </c>
      <c r="AI50" t="e">
        <f>#REF!</f>
        <v>#REF!</v>
      </c>
      <c r="AJ50" s="3" t="e">
        <f>#REF!</f>
        <v>#REF!</v>
      </c>
      <c r="AK50" s="3" t="e">
        <f>#REF!</f>
        <v>#REF!</v>
      </c>
      <c r="AL50" s="3" t="e">
        <f>#REF!</f>
        <v>#REF!</v>
      </c>
      <c r="AM50" s="3" t="e">
        <f>#REF!</f>
        <v>#REF!</v>
      </c>
      <c r="AN50" s="3" t="e">
        <f>#REF!</f>
        <v>#REF!</v>
      </c>
      <c r="AO50" s="3" t="e">
        <f>#REF!</f>
        <v>#REF!</v>
      </c>
      <c r="AP50" s="9" t="e">
        <f>VLOOKUP(AG50,#REF!,10,FALSE)</f>
        <v>#REF!</v>
      </c>
      <c r="AQ50" s="8">
        <f>SUMIFS(Capacity!$G$2:$G$2820,Capacity!$B$2:$B$2820,Demand_Modeling!AG50)</f>
        <v>0</v>
      </c>
      <c r="AS50" s="2" t="e">
        <f t="shared" ref="AS50:AS78" si="32">AJ50*$AP50</f>
        <v>#REF!</v>
      </c>
      <c r="AT50" s="2" t="e">
        <f t="shared" si="15"/>
        <v>#REF!</v>
      </c>
      <c r="AU50" s="2" t="e">
        <f t="shared" si="16"/>
        <v>#REF!</v>
      </c>
      <c r="AV50" s="2" t="e">
        <f t="shared" si="17"/>
        <v>#REF!</v>
      </c>
      <c r="AW50" s="2" t="e">
        <f t="shared" si="18"/>
        <v>#REF!</v>
      </c>
      <c r="AX50" s="2" t="e">
        <f t="shared" si="19"/>
        <v>#REF!</v>
      </c>
      <c r="AY50" s="2" t="e">
        <f t="shared" si="20"/>
        <v>#REF!</v>
      </c>
      <c r="AZ50" s="10">
        <f t="shared" si="21"/>
        <v>0</v>
      </c>
      <c r="BA50" s="5" t="e">
        <f t="shared" si="22"/>
        <v>#REF!</v>
      </c>
    </row>
    <row r="51" spans="1:53" x14ac:dyDescent="0.3">
      <c r="AG51" t="e">
        <f t="shared" si="31"/>
        <v>#REF!</v>
      </c>
      <c r="AH51" t="e">
        <f>#REF!</f>
        <v>#REF!</v>
      </c>
      <c r="AI51" t="e">
        <f>#REF!</f>
        <v>#REF!</v>
      </c>
      <c r="AJ51" s="3" t="e">
        <f>#REF!</f>
        <v>#REF!</v>
      </c>
      <c r="AK51" s="3" t="e">
        <f>#REF!</f>
        <v>#REF!</v>
      </c>
      <c r="AL51" s="3" t="e">
        <f>#REF!</f>
        <v>#REF!</v>
      </c>
      <c r="AM51" s="3" t="e">
        <f>#REF!</f>
        <v>#REF!</v>
      </c>
      <c r="AN51" s="3" t="e">
        <f>#REF!</f>
        <v>#REF!</v>
      </c>
      <c r="AO51" s="3" t="e">
        <f>#REF!</f>
        <v>#REF!</v>
      </c>
      <c r="AP51" s="9" t="e">
        <f>VLOOKUP(AG51,#REF!,10,FALSE)</f>
        <v>#REF!</v>
      </c>
      <c r="AQ51" s="8">
        <f>SUMIFS(Capacity!$G$2:$G$2820,Capacity!$B$2:$B$2820,Demand_Modeling!AG51)</f>
        <v>0</v>
      </c>
      <c r="AS51" s="2" t="e">
        <f t="shared" si="32"/>
        <v>#REF!</v>
      </c>
      <c r="AT51" s="2" t="e">
        <f t="shared" si="15"/>
        <v>#REF!</v>
      </c>
      <c r="AU51" s="2" t="e">
        <f t="shared" si="16"/>
        <v>#REF!</v>
      </c>
      <c r="AV51" s="2" t="e">
        <f t="shared" si="17"/>
        <v>#REF!</v>
      </c>
      <c r="AW51" s="2" t="e">
        <f t="shared" si="18"/>
        <v>#REF!</v>
      </c>
      <c r="AX51" s="2" t="e">
        <f t="shared" si="19"/>
        <v>#REF!</v>
      </c>
      <c r="AY51" s="2" t="e">
        <f t="shared" si="20"/>
        <v>#REF!</v>
      </c>
      <c r="AZ51" s="10">
        <f t="shared" si="21"/>
        <v>0</v>
      </c>
      <c r="BA51" s="5" t="e">
        <f t="shared" si="22"/>
        <v>#REF!</v>
      </c>
    </row>
    <row r="52" spans="1:53" x14ac:dyDescent="0.3">
      <c r="AG52" t="e">
        <f t="shared" si="31"/>
        <v>#REF!</v>
      </c>
      <c r="AH52" t="e">
        <f>#REF!</f>
        <v>#REF!</v>
      </c>
      <c r="AI52" t="e">
        <f>#REF!</f>
        <v>#REF!</v>
      </c>
      <c r="AJ52" s="3" t="e">
        <f>#REF!</f>
        <v>#REF!</v>
      </c>
      <c r="AK52" s="3" t="e">
        <f>#REF!</f>
        <v>#REF!</v>
      </c>
      <c r="AL52" s="3" t="e">
        <f>#REF!</f>
        <v>#REF!</v>
      </c>
      <c r="AM52" s="3" t="e">
        <f>#REF!</f>
        <v>#REF!</v>
      </c>
      <c r="AN52" s="3" t="e">
        <f>#REF!</f>
        <v>#REF!</v>
      </c>
      <c r="AO52" s="3" t="e">
        <f>#REF!</f>
        <v>#REF!</v>
      </c>
      <c r="AP52" s="9" t="e">
        <f>VLOOKUP(AG52,#REF!,10,FALSE)</f>
        <v>#REF!</v>
      </c>
      <c r="AQ52" s="8">
        <f>SUMIFS(Capacity!$G$2:$G$2820,Capacity!$B$2:$B$2820,Demand_Modeling!AG52)</f>
        <v>0</v>
      </c>
      <c r="AS52" s="2" t="e">
        <f t="shared" si="32"/>
        <v>#REF!</v>
      </c>
      <c r="AT52" s="2" t="e">
        <f t="shared" si="15"/>
        <v>#REF!</v>
      </c>
      <c r="AU52" s="2" t="e">
        <f t="shared" si="16"/>
        <v>#REF!</v>
      </c>
      <c r="AV52" s="2" t="e">
        <f t="shared" si="17"/>
        <v>#REF!</v>
      </c>
      <c r="AW52" s="2" t="e">
        <f t="shared" si="18"/>
        <v>#REF!</v>
      </c>
      <c r="AX52" s="2" t="e">
        <f t="shared" si="19"/>
        <v>#REF!</v>
      </c>
      <c r="AY52" s="2" t="e">
        <f t="shared" si="20"/>
        <v>#REF!</v>
      </c>
      <c r="AZ52" s="10">
        <f t="shared" si="21"/>
        <v>0</v>
      </c>
      <c r="BA52" s="5" t="e">
        <f t="shared" si="22"/>
        <v>#REF!</v>
      </c>
    </row>
    <row r="53" spans="1:53" x14ac:dyDescent="0.3">
      <c r="AG53" t="e">
        <f t="shared" si="31"/>
        <v>#REF!</v>
      </c>
      <c r="AH53" t="e">
        <f>#REF!</f>
        <v>#REF!</v>
      </c>
      <c r="AI53" t="e">
        <f>#REF!</f>
        <v>#REF!</v>
      </c>
      <c r="AJ53" s="3" t="e">
        <f>#REF!</f>
        <v>#REF!</v>
      </c>
      <c r="AK53" s="3" t="e">
        <f>#REF!</f>
        <v>#REF!</v>
      </c>
      <c r="AL53" s="3" t="e">
        <f>#REF!</f>
        <v>#REF!</v>
      </c>
      <c r="AM53" s="3" t="e">
        <f>#REF!</f>
        <v>#REF!</v>
      </c>
      <c r="AN53" s="3" t="e">
        <f>#REF!</f>
        <v>#REF!</v>
      </c>
      <c r="AO53" s="3" t="e">
        <f>#REF!</f>
        <v>#REF!</v>
      </c>
      <c r="AP53" s="9" t="e">
        <f>VLOOKUP(AG53,#REF!,10,FALSE)</f>
        <v>#REF!</v>
      </c>
      <c r="AQ53" s="8">
        <f>SUMIFS(Capacity!$G$2:$G$2820,Capacity!$B$2:$B$2820,Demand_Modeling!AG53)</f>
        <v>0</v>
      </c>
      <c r="AS53" s="2" t="e">
        <f t="shared" si="32"/>
        <v>#REF!</v>
      </c>
      <c r="AT53" s="2" t="e">
        <f t="shared" si="15"/>
        <v>#REF!</v>
      </c>
      <c r="AU53" s="2" t="e">
        <f t="shared" si="16"/>
        <v>#REF!</v>
      </c>
      <c r="AV53" s="2" t="e">
        <f t="shared" si="17"/>
        <v>#REF!</v>
      </c>
      <c r="AW53" s="2" t="e">
        <f t="shared" si="18"/>
        <v>#REF!</v>
      </c>
      <c r="AX53" s="2" t="e">
        <f t="shared" si="19"/>
        <v>#REF!</v>
      </c>
      <c r="AY53" s="2" t="e">
        <f t="shared" si="20"/>
        <v>#REF!</v>
      </c>
      <c r="AZ53" s="10">
        <f t="shared" si="21"/>
        <v>0</v>
      </c>
      <c r="BA53" s="5" t="e">
        <f t="shared" si="22"/>
        <v>#REF!</v>
      </c>
    </row>
    <row r="54" spans="1:53" x14ac:dyDescent="0.3">
      <c r="AG54" t="e">
        <f t="shared" si="31"/>
        <v>#REF!</v>
      </c>
      <c r="AH54" t="e">
        <f>#REF!</f>
        <v>#REF!</v>
      </c>
      <c r="AI54" t="e">
        <f>#REF!</f>
        <v>#REF!</v>
      </c>
      <c r="AJ54" s="3" t="e">
        <f>#REF!</f>
        <v>#REF!</v>
      </c>
      <c r="AK54" s="3" t="e">
        <f>#REF!</f>
        <v>#REF!</v>
      </c>
      <c r="AL54" s="3" t="e">
        <f>#REF!</f>
        <v>#REF!</v>
      </c>
      <c r="AM54" s="3" t="e">
        <f>#REF!</f>
        <v>#REF!</v>
      </c>
      <c r="AN54" s="3" t="e">
        <f>#REF!</f>
        <v>#REF!</v>
      </c>
      <c r="AO54" s="3" t="e">
        <f>#REF!</f>
        <v>#REF!</v>
      </c>
      <c r="AP54" s="9" t="e">
        <f>VLOOKUP(AG54,#REF!,10,FALSE)</f>
        <v>#REF!</v>
      </c>
      <c r="AQ54" s="8">
        <f>SUMIFS(Capacity!$G$2:$G$2820,Capacity!$B$2:$B$2820,Demand_Modeling!AG54)</f>
        <v>0</v>
      </c>
      <c r="AS54" s="2" t="e">
        <f t="shared" si="32"/>
        <v>#REF!</v>
      </c>
      <c r="AT54" s="2" t="e">
        <f t="shared" si="15"/>
        <v>#REF!</v>
      </c>
      <c r="AU54" s="2" t="e">
        <f t="shared" si="16"/>
        <v>#REF!</v>
      </c>
      <c r="AV54" s="2" t="e">
        <f t="shared" si="17"/>
        <v>#REF!</v>
      </c>
      <c r="AW54" s="2" t="e">
        <f t="shared" si="18"/>
        <v>#REF!</v>
      </c>
      <c r="AX54" s="2" t="e">
        <f t="shared" si="19"/>
        <v>#REF!</v>
      </c>
      <c r="AY54" s="2" t="e">
        <f t="shared" si="20"/>
        <v>#REF!</v>
      </c>
      <c r="AZ54" s="10">
        <f t="shared" si="21"/>
        <v>0</v>
      </c>
      <c r="BA54" s="5" t="e">
        <f t="shared" si="22"/>
        <v>#REF!</v>
      </c>
    </row>
    <row r="55" spans="1:53" x14ac:dyDescent="0.3">
      <c r="AG55" t="e">
        <f t="shared" si="31"/>
        <v>#REF!</v>
      </c>
      <c r="AH55" t="e">
        <f>#REF!</f>
        <v>#REF!</v>
      </c>
      <c r="AI55" t="e">
        <f>#REF!</f>
        <v>#REF!</v>
      </c>
      <c r="AJ55" s="3" t="e">
        <f>#REF!</f>
        <v>#REF!</v>
      </c>
      <c r="AK55" s="3" t="e">
        <f>#REF!</f>
        <v>#REF!</v>
      </c>
      <c r="AL55" s="3" t="e">
        <f>#REF!</f>
        <v>#REF!</v>
      </c>
      <c r="AM55" s="3" t="e">
        <f>#REF!</f>
        <v>#REF!</v>
      </c>
      <c r="AN55" s="3" t="e">
        <f>#REF!</f>
        <v>#REF!</v>
      </c>
      <c r="AO55" s="3" t="e">
        <f>#REF!</f>
        <v>#REF!</v>
      </c>
      <c r="AP55" s="9" t="e">
        <f>VLOOKUP(AG55,#REF!,10,FALSE)</f>
        <v>#REF!</v>
      </c>
      <c r="AQ55" s="8">
        <f>SUMIFS(Capacity!$G$2:$G$2820,Capacity!$B$2:$B$2820,Demand_Modeling!AG55)</f>
        <v>0</v>
      </c>
      <c r="AS55" s="2" t="e">
        <f t="shared" si="32"/>
        <v>#REF!</v>
      </c>
      <c r="AT55" s="2" t="e">
        <f t="shared" si="15"/>
        <v>#REF!</v>
      </c>
      <c r="AU55" s="2" t="e">
        <f t="shared" si="16"/>
        <v>#REF!</v>
      </c>
      <c r="AV55" s="2" t="e">
        <f t="shared" si="17"/>
        <v>#REF!</v>
      </c>
      <c r="AW55" s="2" t="e">
        <f t="shared" si="18"/>
        <v>#REF!</v>
      </c>
      <c r="AX55" s="2" t="e">
        <f t="shared" si="19"/>
        <v>#REF!</v>
      </c>
      <c r="AY55" s="2" t="e">
        <f t="shared" si="20"/>
        <v>#REF!</v>
      </c>
      <c r="AZ55" s="10">
        <f t="shared" si="21"/>
        <v>0</v>
      </c>
      <c r="BA55" s="5" t="e">
        <f t="shared" si="22"/>
        <v>#REF!</v>
      </c>
    </row>
    <row r="56" spans="1:53" x14ac:dyDescent="0.3">
      <c r="AG56" t="e">
        <f t="shared" si="31"/>
        <v>#REF!</v>
      </c>
      <c r="AH56" t="e">
        <f>#REF!</f>
        <v>#REF!</v>
      </c>
      <c r="AI56" t="e">
        <f>#REF!</f>
        <v>#REF!</v>
      </c>
      <c r="AJ56" s="3" t="e">
        <f>#REF!</f>
        <v>#REF!</v>
      </c>
      <c r="AK56" s="3" t="e">
        <f>#REF!</f>
        <v>#REF!</v>
      </c>
      <c r="AL56" s="3" t="e">
        <f>#REF!</f>
        <v>#REF!</v>
      </c>
      <c r="AM56" s="3" t="e">
        <f>#REF!</f>
        <v>#REF!</v>
      </c>
      <c r="AN56" s="3" t="e">
        <f>#REF!</f>
        <v>#REF!</v>
      </c>
      <c r="AO56" s="3" t="e">
        <f>#REF!</f>
        <v>#REF!</v>
      </c>
      <c r="AP56" s="9" t="e">
        <f>VLOOKUP(AG56,#REF!,10,FALSE)</f>
        <v>#REF!</v>
      </c>
      <c r="AQ56" s="8">
        <f>SUMIFS(Capacity!$G$2:$G$2820,Capacity!$B$2:$B$2820,Demand_Modeling!AG56)</f>
        <v>0</v>
      </c>
      <c r="AS56" s="2" t="e">
        <f t="shared" si="32"/>
        <v>#REF!</v>
      </c>
      <c r="AT56" s="2" t="e">
        <f t="shared" si="15"/>
        <v>#REF!</v>
      </c>
      <c r="AU56" s="2" t="e">
        <f t="shared" si="16"/>
        <v>#REF!</v>
      </c>
      <c r="AV56" s="2" t="e">
        <f t="shared" si="17"/>
        <v>#REF!</v>
      </c>
      <c r="AW56" s="2" t="e">
        <f t="shared" si="18"/>
        <v>#REF!</v>
      </c>
      <c r="AX56" s="2" t="e">
        <f t="shared" si="19"/>
        <v>#REF!</v>
      </c>
      <c r="AY56" s="2" t="e">
        <f t="shared" si="20"/>
        <v>#REF!</v>
      </c>
      <c r="AZ56" s="10">
        <f t="shared" si="21"/>
        <v>0</v>
      </c>
      <c r="BA56" s="5" t="e">
        <f t="shared" si="22"/>
        <v>#REF!</v>
      </c>
    </row>
    <row r="57" spans="1:53" x14ac:dyDescent="0.3">
      <c r="AG57" t="e">
        <f t="shared" si="31"/>
        <v>#REF!</v>
      </c>
      <c r="AH57" t="e">
        <f>#REF!</f>
        <v>#REF!</v>
      </c>
      <c r="AI57" t="e">
        <f>#REF!</f>
        <v>#REF!</v>
      </c>
      <c r="AJ57" s="3" t="e">
        <f>#REF!</f>
        <v>#REF!</v>
      </c>
      <c r="AK57" s="3" t="e">
        <f>#REF!</f>
        <v>#REF!</v>
      </c>
      <c r="AL57" s="3" t="e">
        <f>#REF!</f>
        <v>#REF!</v>
      </c>
      <c r="AM57" s="3" t="e">
        <f>#REF!</f>
        <v>#REF!</v>
      </c>
      <c r="AN57" s="3" t="e">
        <f>#REF!</f>
        <v>#REF!</v>
      </c>
      <c r="AO57" s="3" t="e">
        <f>#REF!</f>
        <v>#REF!</v>
      </c>
      <c r="AP57" s="9" t="e">
        <f>VLOOKUP(AG57,#REF!,10,FALSE)</f>
        <v>#REF!</v>
      </c>
      <c r="AQ57" s="8">
        <f>SUMIFS(Capacity!$G$2:$G$2820,Capacity!$B$2:$B$2820,Demand_Modeling!AG57)</f>
        <v>0</v>
      </c>
      <c r="AS57" s="2" t="e">
        <f t="shared" si="32"/>
        <v>#REF!</v>
      </c>
      <c r="AT57" s="2" t="e">
        <f t="shared" si="15"/>
        <v>#REF!</v>
      </c>
      <c r="AU57" s="2" t="e">
        <f t="shared" si="16"/>
        <v>#REF!</v>
      </c>
      <c r="AV57" s="2" t="e">
        <f t="shared" si="17"/>
        <v>#REF!</v>
      </c>
      <c r="AW57" s="2" t="e">
        <f t="shared" si="18"/>
        <v>#REF!</v>
      </c>
      <c r="AX57" s="2" t="e">
        <f t="shared" si="19"/>
        <v>#REF!</v>
      </c>
      <c r="AY57" s="2" t="e">
        <f t="shared" si="20"/>
        <v>#REF!</v>
      </c>
      <c r="AZ57" s="10">
        <f t="shared" si="21"/>
        <v>0</v>
      </c>
      <c r="BA57" s="5" t="e">
        <f t="shared" si="22"/>
        <v>#REF!</v>
      </c>
    </row>
    <row r="58" spans="1:53" x14ac:dyDescent="0.3">
      <c r="AG58" t="e">
        <f t="shared" si="31"/>
        <v>#REF!</v>
      </c>
      <c r="AH58" t="e">
        <f>#REF!</f>
        <v>#REF!</v>
      </c>
      <c r="AI58" t="e">
        <f>#REF!</f>
        <v>#REF!</v>
      </c>
      <c r="AJ58" s="3" t="e">
        <f>#REF!</f>
        <v>#REF!</v>
      </c>
      <c r="AK58" s="3" t="e">
        <f>#REF!</f>
        <v>#REF!</v>
      </c>
      <c r="AL58" s="3" t="e">
        <f>#REF!</f>
        <v>#REF!</v>
      </c>
      <c r="AM58" s="3" t="e">
        <f>#REF!</f>
        <v>#REF!</v>
      </c>
      <c r="AN58" s="3" t="e">
        <f>#REF!</f>
        <v>#REF!</v>
      </c>
      <c r="AO58" s="3" t="e">
        <f>#REF!</f>
        <v>#REF!</v>
      </c>
      <c r="AP58" s="9" t="e">
        <f>VLOOKUP(AG58,#REF!,10,FALSE)</f>
        <v>#REF!</v>
      </c>
      <c r="AQ58" s="8">
        <f>SUMIFS(Capacity!$G$2:$G$2820,Capacity!$B$2:$B$2820,Demand_Modeling!AG58)</f>
        <v>0</v>
      </c>
      <c r="AS58" s="2" t="e">
        <f t="shared" si="32"/>
        <v>#REF!</v>
      </c>
      <c r="AT58" s="2" t="e">
        <f t="shared" si="15"/>
        <v>#REF!</v>
      </c>
      <c r="AU58" s="2" t="e">
        <f t="shared" si="16"/>
        <v>#REF!</v>
      </c>
      <c r="AV58" s="2" t="e">
        <f t="shared" si="17"/>
        <v>#REF!</v>
      </c>
      <c r="AW58" s="2" t="e">
        <f t="shared" si="18"/>
        <v>#REF!</v>
      </c>
      <c r="AX58" s="2" t="e">
        <f t="shared" si="19"/>
        <v>#REF!</v>
      </c>
      <c r="AY58" s="2" t="e">
        <f t="shared" si="20"/>
        <v>#REF!</v>
      </c>
      <c r="AZ58" s="10">
        <f t="shared" si="21"/>
        <v>0</v>
      </c>
      <c r="BA58" s="5" t="e">
        <f t="shared" si="22"/>
        <v>#REF!</v>
      </c>
    </row>
    <row r="59" spans="1:53" x14ac:dyDescent="0.3">
      <c r="AG59" t="e">
        <f t="shared" si="31"/>
        <v>#REF!</v>
      </c>
      <c r="AH59" t="e">
        <f>#REF!</f>
        <v>#REF!</v>
      </c>
      <c r="AI59" t="e">
        <f>#REF!</f>
        <v>#REF!</v>
      </c>
      <c r="AJ59" s="3" t="e">
        <f>#REF!</f>
        <v>#REF!</v>
      </c>
      <c r="AK59" s="3" t="e">
        <f>#REF!</f>
        <v>#REF!</v>
      </c>
      <c r="AL59" s="3" t="e">
        <f>#REF!</f>
        <v>#REF!</v>
      </c>
      <c r="AM59" s="3" t="e">
        <f>#REF!</f>
        <v>#REF!</v>
      </c>
      <c r="AN59" s="3" t="e">
        <f>#REF!</f>
        <v>#REF!</v>
      </c>
      <c r="AO59" s="3" t="e">
        <f>#REF!</f>
        <v>#REF!</v>
      </c>
      <c r="AP59" s="9" t="e">
        <f>VLOOKUP(AG59,#REF!,10,FALSE)</f>
        <v>#REF!</v>
      </c>
      <c r="AQ59" s="8">
        <f>SUMIFS(Capacity!$G$2:$G$2820,Capacity!$B$2:$B$2820,Demand_Modeling!AG59)</f>
        <v>0</v>
      </c>
      <c r="AS59" s="2" t="e">
        <f t="shared" si="32"/>
        <v>#REF!</v>
      </c>
      <c r="AT59" s="2" t="e">
        <f t="shared" si="15"/>
        <v>#REF!</v>
      </c>
      <c r="AU59" s="2" t="e">
        <f t="shared" si="16"/>
        <v>#REF!</v>
      </c>
      <c r="AV59" s="2" t="e">
        <f t="shared" si="17"/>
        <v>#REF!</v>
      </c>
      <c r="AW59" s="2" t="e">
        <f t="shared" si="18"/>
        <v>#REF!</v>
      </c>
      <c r="AX59" s="2" t="e">
        <f t="shared" si="19"/>
        <v>#REF!</v>
      </c>
      <c r="AY59" s="2" t="e">
        <f t="shared" si="20"/>
        <v>#REF!</v>
      </c>
      <c r="AZ59" s="10">
        <f t="shared" si="21"/>
        <v>0</v>
      </c>
      <c r="BA59" s="5" t="e">
        <f t="shared" si="22"/>
        <v>#REF!</v>
      </c>
    </row>
    <row r="60" spans="1:53" x14ac:dyDescent="0.3">
      <c r="AG60" t="e">
        <f t="shared" si="31"/>
        <v>#REF!</v>
      </c>
      <c r="AH60" t="e">
        <f>#REF!</f>
        <v>#REF!</v>
      </c>
      <c r="AI60" t="e">
        <f>#REF!</f>
        <v>#REF!</v>
      </c>
      <c r="AJ60" s="3" t="e">
        <f>#REF!</f>
        <v>#REF!</v>
      </c>
      <c r="AK60" s="3" t="e">
        <f>#REF!</f>
        <v>#REF!</v>
      </c>
      <c r="AL60" s="3" t="e">
        <f>#REF!</f>
        <v>#REF!</v>
      </c>
      <c r="AM60" s="3" t="e">
        <f>#REF!</f>
        <v>#REF!</v>
      </c>
      <c r="AN60" s="3" t="e">
        <f>#REF!</f>
        <v>#REF!</v>
      </c>
      <c r="AO60" s="3" t="e">
        <f>#REF!</f>
        <v>#REF!</v>
      </c>
      <c r="AP60" s="9" t="e">
        <f>VLOOKUP(AG60,#REF!,10,FALSE)</f>
        <v>#REF!</v>
      </c>
      <c r="AQ60" s="8">
        <f>SUMIFS(Capacity!$G$2:$G$2820,Capacity!$B$2:$B$2820,Demand_Modeling!AG60)</f>
        <v>0</v>
      </c>
      <c r="AS60" s="2" t="e">
        <f t="shared" si="32"/>
        <v>#REF!</v>
      </c>
      <c r="AT60" s="2" t="e">
        <f t="shared" si="15"/>
        <v>#REF!</v>
      </c>
      <c r="AU60" s="2" t="e">
        <f t="shared" si="16"/>
        <v>#REF!</v>
      </c>
      <c r="AV60" s="2" t="e">
        <f t="shared" si="17"/>
        <v>#REF!</v>
      </c>
      <c r="AW60" s="2" t="e">
        <f t="shared" si="18"/>
        <v>#REF!</v>
      </c>
      <c r="AX60" s="2" t="e">
        <f t="shared" si="19"/>
        <v>#REF!</v>
      </c>
      <c r="AY60" s="2" t="e">
        <f t="shared" si="20"/>
        <v>#REF!</v>
      </c>
      <c r="AZ60" s="10">
        <f t="shared" si="21"/>
        <v>0</v>
      </c>
      <c r="BA60" s="5" t="e">
        <f t="shared" si="22"/>
        <v>#REF!</v>
      </c>
    </row>
    <row r="61" spans="1:53" x14ac:dyDescent="0.3">
      <c r="AG61" t="e">
        <f t="shared" si="31"/>
        <v>#REF!</v>
      </c>
      <c r="AH61" t="e">
        <f>#REF!</f>
        <v>#REF!</v>
      </c>
      <c r="AI61" t="e">
        <f>#REF!</f>
        <v>#REF!</v>
      </c>
      <c r="AJ61" s="3" t="e">
        <f>#REF!</f>
        <v>#REF!</v>
      </c>
      <c r="AK61" s="3" t="e">
        <f>#REF!</f>
        <v>#REF!</v>
      </c>
      <c r="AL61" s="3" t="e">
        <f>#REF!</f>
        <v>#REF!</v>
      </c>
      <c r="AM61" s="3" t="e">
        <f>#REF!</f>
        <v>#REF!</v>
      </c>
      <c r="AN61" s="3" t="e">
        <f>#REF!</f>
        <v>#REF!</v>
      </c>
      <c r="AO61" s="3" t="e">
        <f>#REF!</f>
        <v>#REF!</v>
      </c>
      <c r="AP61" s="9" t="e">
        <f>VLOOKUP(AG61,#REF!,10,FALSE)</f>
        <v>#REF!</v>
      </c>
      <c r="AQ61" s="8">
        <f>SUMIFS(Capacity!$G$2:$G$2820,Capacity!$B$2:$B$2820,Demand_Modeling!AG61)</f>
        <v>0</v>
      </c>
      <c r="AS61" s="2" t="e">
        <f t="shared" si="32"/>
        <v>#REF!</v>
      </c>
      <c r="AT61" s="2" t="e">
        <f t="shared" si="15"/>
        <v>#REF!</v>
      </c>
      <c r="AU61" s="2" t="e">
        <f t="shared" si="16"/>
        <v>#REF!</v>
      </c>
      <c r="AV61" s="2" t="e">
        <f t="shared" si="17"/>
        <v>#REF!</v>
      </c>
      <c r="AW61" s="2" t="e">
        <f t="shared" si="18"/>
        <v>#REF!</v>
      </c>
      <c r="AX61" s="2" t="e">
        <f t="shared" si="19"/>
        <v>#REF!</v>
      </c>
      <c r="AY61" s="2" t="e">
        <f t="shared" si="20"/>
        <v>#REF!</v>
      </c>
      <c r="AZ61" s="10">
        <f t="shared" si="21"/>
        <v>0</v>
      </c>
      <c r="BA61" s="5" t="e">
        <f t="shared" si="22"/>
        <v>#REF!</v>
      </c>
    </row>
    <row r="62" spans="1:53" x14ac:dyDescent="0.3">
      <c r="AG62" t="e">
        <f t="shared" si="31"/>
        <v>#REF!</v>
      </c>
      <c r="AH62" t="e">
        <f>#REF!</f>
        <v>#REF!</v>
      </c>
      <c r="AI62" t="e">
        <f>#REF!</f>
        <v>#REF!</v>
      </c>
      <c r="AJ62" s="3" t="e">
        <f>#REF!</f>
        <v>#REF!</v>
      </c>
      <c r="AK62" s="3" t="e">
        <f>#REF!</f>
        <v>#REF!</v>
      </c>
      <c r="AL62" s="3" t="e">
        <f>#REF!</f>
        <v>#REF!</v>
      </c>
      <c r="AM62" s="3" t="e">
        <f>#REF!</f>
        <v>#REF!</v>
      </c>
      <c r="AN62" s="3" t="e">
        <f>#REF!</f>
        <v>#REF!</v>
      </c>
      <c r="AO62" s="3" t="e">
        <f>#REF!</f>
        <v>#REF!</v>
      </c>
      <c r="AP62" s="9" t="e">
        <f>VLOOKUP(AG62,#REF!,10,FALSE)</f>
        <v>#REF!</v>
      </c>
      <c r="AQ62" s="8">
        <f>SUMIFS(Capacity!$G$2:$G$2820,Capacity!$B$2:$B$2820,Demand_Modeling!AG62)</f>
        <v>0</v>
      </c>
      <c r="AS62" s="2" t="e">
        <f t="shared" si="32"/>
        <v>#REF!</v>
      </c>
      <c r="AT62" s="2" t="e">
        <f t="shared" si="15"/>
        <v>#REF!</v>
      </c>
      <c r="AU62" s="2" t="e">
        <f t="shared" si="16"/>
        <v>#REF!</v>
      </c>
      <c r="AV62" s="2" t="e">
        <f t="shared" si="17"/>
        <v>#REF!</v>
      </c>
      <c r="AW62" s="2" t="e">
        <f t="shared" si="18"/>
        <v>#REF!</v>
      </c>
      <c r="AX62" s="2" t="e">
        <f t="shared" si="19"/>
        <v>#REF!</v>
      </c>
      <c r="AY62" s="2" t="e">
        <f t="shared" si="20"/>
        <v>#REF!</v>
      </c>
      <c r="AZ62" s="10">
        <f t="shared" si="21"/>
        <v>0</v>
      </c>
      <c r="BA62" s="5" t="e">
        <f t="shared" si="22"/>
        <v>#REF!</v>
      </c>
    </row>
    <row r="63" spans="1:53" x14ac:dyDescent="0.3">
      <c r="AG63" t="e">
        <f t="shared" si="31"/>
        <v>#REF!</v>
      </c>
      <c r="AH63" t="e">
        <f>#REF!</f>
        <v>#REF!</v>
      </c>
      <c r="AI63" t="e">
        <f>#REF!</f>
        <v>#REF!</v>
      </c>
      <c r="AJ63" s="3" t="e">
        <f>#REF!</f>
        <v>#REF!</v>
      </c>
      <c r="AK63" s="3" t="e">
        <f>#REF!</f>
        <v>#REF!</v>
      </c>
      <c r="AL63" s="3" t="e">
        <f>#REF!</f>
        <v>#REF!</v>
      </c>
      <c r="AM63" s="3" t="e">
        <f>#REF!</f>
        <v>#REF!</v>
      </c>
      <c r="AN63" s="3" t="e">
        <f>#REF!</f>
        <v>#REF!</v>
      </c>
      <c r="AO63" s="3" t="e">
        <f>#REF!</f>
        <v>#REF!</v>
      </c>
      <c r="AP63" s="9" t="e">
        <f>VLOOKUP(AG63,#REF!,10,FALSE)</f>
        <v>#REF!</v>
      </c>
      <c r="AQ63" s="8">
        <f>SUMIFS(Capacity!$G$2:$G$2820,Capacity!$B$2:$B$2820,Demand_Modeling!AG63)</f>
        <v>0</v>
      </c>
      <c r="AS63" s="2" t="e">
        <f t="shared" si="32"/>
        <v>#REF!</v>
      </c>
      <c r="AT63" s="2" t="e">
        <f t="shared" si="15"/>
        <v>#REF!</v>
      </c>
      <c r="AU63" s="2" t="e">
        <f t="shared" si="16"/>
        <v>#REF!</v>
      </c>
      <c r="AV63" s="2" t="e">
        <f t="shared" si="17"/>
        <v>#REF!</v>
      </c>
      <c r="AW63" s="2" t="e">
        <f t="shared" si="18"/>
        <v>#REF!</v>
      </c>
      <c r="AX63" s="2" t="e">
        <f t="shared" si="19"/>
        <v>#REF!</v>
      </c>
      <c r="AY63" s="2" t="e">
        <f t="shared" si="20"/>
        <v>#REF!</v>
      </c>
      <c r="AZ63" s="10">
        <f t="shared" si="21"/>
        <v>0</v>
      </c>
      <c r="BA63" s="5" t="e">
        <f t="shared" si="22"/>
        <v>#REF!</v>
      </c>
    </row>
    <row r="64" spans="1:53" x14ac:dyDescent="0.3">
      <c r="AG64" t="e">
        <f t="shared" si="31"/>
        <v>#REF!</v>
      </c>
      <c r="AH64" t="e">
        <f>#REF!</f>
        <v>#REF!</v>
      </c>
      <c r="AI64" t="e">
        <f>#REF!</f>
        <v>#REF!</v>
      </c>
      <c r="AJ64" s="3" t="e">
        <f>#REF!</f>
        <v>#REF!</v>
      </c>
      <c r="AK64" s="3" t="e">
        <f>#REF!</f>
        <v>#REF!</v>
      </c>
      <c r="AL64" s="3" t="e">
        <f>#REF!</f>
        <v>#REF!</v>
      </c>
      <c r="AM64" s="3" t="e">
        <f>#REF!</f>
        <v>#REF!</v>
      </c>
      <c r="AN64" s="3" t="e">
        <f>#REF!</f>
        <v>#REF!</v>
      </c>
      <c r="AO64" s="3" t="e">
        <f>#REF!</f>
        <v>#REF!</v>
      </c>
      <c r="AP64" s="9" t="e">
        <f>VLOOKUP(AG64,#REF!,10,FALSE)</f>
        <v>#REF!</v>
      </c>
      <c r="AQ64" s="8">
        <f>SUMIFS(Capacity!$G$2:$G$2820,Capacity!$B$2:$B$2820,Demand_Modeling!AG64)</f>
        <v>0</v>
      </c>
      <c r="AS64" s="2" t="e">
        <f t="shared" si="32"/>
        <v>#REF!</v>
      </c>
      <c r="AT64" s="2" t="e">
        <f t="shared" si="15"/>
        <v>#REF!</v>
      </c>
      <c r="AU64" s="2" t="e">
        <f t="shared" si="16"/>
        <v>#REF!</v>
      </c>
      <c r="AV64" s="2" t="e">
        <f t="shared" si="17"/>
        <v>#REF!</v>
      </c>
      <c r="AW64" s="2" t="e">
        <f t="shared" si="18"/>
        <v>#REF!</v>
      </c>
      <c r="AX64" s="2" t="e">
        <f t="shared" si="19"/>
        <v>#REF!</v>
      </c>
      <c r="AY64" s="2" t="e">
        <f t="shared" si="20"/>
        <v>#REF!</v>
      </c>
      <c r="AZ64" s="10">
        <f t="shared" si="21"/>
        <v>0</v>
      </c>
      <c r="BA64" s="5" t="e">
        <f t="shared" si="22"/>
        <v>#REF!</v>
      </c>
    </row>
    <row r="65" spans="33:53" x14ac:dyDescent="0.3">
      <c r="AG65" t="e">
        <f t="shared" si="31"/>
        <v>#REF!</v>
      </c>
      <c r="AH65" t="e">
        <f>#REF!</f>
        <v>#REF!</v>
      </c>
      <c r="AI65" t="e">
        <f>#REF!</f>
        <v>#REF!</v>
      </c>
      <c r="AJ65" s="3" t="e">
        <f>#REF!</f>
        <v>#REF!</v>
      </c>
      <c r="AK65" s="3" t="e">
        <f>#REF!</f>
        <v>#REF!</v>
      </c>
      <c r="AL65" s="3" t="e">
        <f>#REF!</f>
        <v>#REF!</v>
      </c>
      <c r="AM65" s="3" t="e">
        <f>#REF!</f>
        <v>#REF!</v>
      </c>
      <c r="AN65" s="3" t="e">
        <f>#REF!</f>
        <v>#REF!</v>
      </c>
      <c r="AO65" s="3" t="e">
        <f>#REF!</f>
        <v>#REF!</v>
      </c>
      <c r="AP65" s="9" t="e">
        <f>VLOOKUP(AG65,#REF!,10,FALSE)</f>
        <v>#REF!</v>
      </c>
      <c r="AQ65" s="8">
        <f>SUMIFS(Capacity!$G$2:$G$2820,Capacity!$B$2:$B$2820,Demand_Modeling!AG65)</f>
        <v>0</v>
      </c>
      <c r="AS65" s="2" t="e">
        <f t="shared" si="32"/>
        <v>#REF!</v>
      </c>
      <c r="AT65" s="2" t="e">
        <f t="shared" si="15"/>
        <v>#REF!</v>
      </c>
      <c r="AU65" s="2" t="e">
        <f t="shared" si="16"/>
        <v>#REF!</v>
      </c>
      <c r="AV65" s="2" t="e">
        <f t="shared" si="17"/>
        <v>#REF!</v>
      </c>
      <c r="AW65" s="2" t="e">
        <f t="shared" si="18"/>
        <v>#REF!</v>
      </c>
      <c r="AX65" s="2" t="e">
        <f t="shared" si="19"/>
        <v>#REF!</v>
      </c>
      <c r="AY65" s="2" t="e">
        <f t="shared" si="20"/>
        <v>#REF!</v>
      </c>
      <c r="AZ65" s="10">
        <f t="shared" si="21"/>
        <v>0</v>
      </c>
      <c r="BA65" s="5" t="e">
        <f t="shared" si="22"/>
        <v>#REF!</v>
      </c>
    </row>
    <row r="66" spans="33:53" x14ac:dyDescent="0.3">
      <c r="AG66" t="e">
        <f t="shared" si="31"/>
        <v>#REF!</v>
      </c>
      <c r="AH66" t="e">
        <f>#REF!</f>
        <v>#REF!</v>
      </c>
      <c r="AI66" t="e">
        <f>#REF!</f>
        <v>#REF!</v>
      </c>
      <c r="AJ66" s="3" t="e">
        <f>#REF!</f>
        <v>#REF!</v>
      </c>
      <c r="AK66" s="3" t="e">
        <f>#REF!</f>
        <v>#REF!</v>
      </c>
      <c r="AL66" s="3" t="e">
        <f>#REF!</f>
        <v>#REF!</v>
      </c>
      <c r="AM66" s="3" t="e">
        <f>#REF!</f>
        <v>#REF!</v>
      </c>
      <c r="AN66" s="3" t="e">
        <f>#REF!</f>
        <v>#REF!</v>
      </c>
      <c r="AO66" s="3" t="e">
        <f>#REF!</f>
        <v>#REF!</v>
      </c>
      <c r="AP66" s="9" t="e">
        <f>VLOOKUP(AG66,#REF!,10,FALSE)</f>
        <v>#REF!</v>
      </c>
      <c r="AQ66" s="8">
        <f>SUMIFS(Capacity!$G$2:$G$2820,Capacity!$B$2:$B$2820,Demand_Modeling!AG66)</f>
        <v>0</v>
      </c>
      <c r="AS66" s="2" t="e">
        <f t="shared" si="32"/>
        <v>#REF!</v>
      </c>
      <c r="AT66" s="2" t="e">
        <f t="shared" si="15"/>
        <v>#REF!</v>
      </c>
      <c r="AU66" s="2" t="e">
        <f t="shared" si="16"/>
        <v>#REF!</v>
      </c>
      <c r="AV66" s="2" t="e">
        <f t="shared" si="17"/>
        <v>#REF!</v>
      </c>
      <c r="AW66" s="2" t="e">
        <f t="shared" si="18"/>
        <v>#REF!</v>
      </c>
      <c r="AX66" s="2" t="e">
        <f t="shared" si="19"/>
        <v>#REF!</v>
      </c>
      <c r="AY66" s="2" t="e">
        <f t="shared" si="20"/>
        <v>#REF!</v>
      </c>
      <c r="AZ66" s="10">
        <f t="shared" si="21"/>
        <v>0</v>
      </c>
      <c r="BA66" s="5" t="e">
        <f t="shared" si="22"/>
        <v>#REF!</v>
      </c>
    </row>
    <row r="67" spans="33:53" x14ac:dyDescent="0.3">
      <c r="AG67" t="e">
        <f t="shared" si="31"/>
        <v>#REF!</v>
      </c>
      <c r="AH67" t="e">
        <f>#REF!</f>
        <v>#REF!</v>
      </c>
      <c r="AI67" t="e">
        <f>#REF!</f>
        <v>#REF!</v>
      </c>
      <c r="AJ67" s="3" t="e">
        <f>#REF!</f>
        <v>#REF!</v>
      </c>
      <c r="AK67" s="3" t="e">
        <f>#REF!</f>
        <v>#REF!</v>
      </c>
      <c r="AL67" s="3" t="e">
        <f>#REF!</f>
        <v>#REF!</v>
      </c>
      <c r="AM67" s="3" t="e">
        <f>#REF!</f>
        <v>#REF!</v>
      </c>
      <c r="AN67" s="3" t="e">
        <f>#REF!</f>
        <v>#REF!</v>
      </c>
      <c r="AO67" s="3" t="e">
        <f>#REF!</f>
        <v>#REF!</v>
      </c>
      <c r="AP67" s="9" t="e">
        <f>VLOOKUP(AG67,#REF!,10,FALSE)</f>
        <v>#REF!</v>
      </c>
      <c r="AQ67" s="8">
        <f>SUMIFS(Capacity!$G$2:$G$2820,Capacity!$B$2:$B$2820,Demand_Modeling!AG67)</f>
        <v>0</v>
      </c>
      <c r="AS67" s="2" t="e">
        <f t="shared" si="32"/>
        <v>#REF!</v>
      </c>
      <c r="AT67" s="2" t="e">
        <f t="shared" si="15"/>
        <v>#REF!</v>
      </c>
      <c r="AU67" s="2" t="e">
        <f t="shared" si="16"/>
        <v>#REF!</v>
      </c>
      <c r="AV67" s="2" t="e">
        <f t="shared" si="17"/>
        <v>#REF!</v>
      </c>
      <c r="AW67" s="2" t="e">
        <f t="shared" si="18"/>
        <v>#REF!</v>
      </c>
      <c r="AX67" s="2" t="e">
        <f t="shared" si="19"/>
        <v>#REF!</v>
      </c>
      <c r="AY67" s="2" t="e">
        <f t="shared" si="20"/>
        <v>#REF!</v>
      </c>
      <c r="AZ67" s="10">
        <f t="shared" si="21"/>
        <v>0</v>
      </c>
      <c r="BA67" s="5" t="e">
        <f t="shared" si="22"/>
        <v>#REF!</v>
      </c>
    </row>
    <row r="68" spans="33:53" x14ac:dyDescent="0.3">
      <c r="AG68" t="e">
        <f t="shared" si="31"/>
        <v>#REF!</v>
      </c>
      <c r="AH68" t="e">
        <f>#REF!</f>
        <v>#REF!</v>
      </c>
      <c r="AI68" t="e">
        <f>#REF!</f>
        <v>#REF!</v>
      </c>
      <c r="AJ68" s="3" t="e">
        <f>#REF!</f>
        <v>#REF!</v>
      </c>
      <c r="AK68" s="3" t="e">
        <f>#REF!</f>
        <v>#REF!</v>
      </c>
      <c r="AL68" s="3" t="e">
        <f>#REF!</f>
        <v>#REF!</v>
      </c>
      <c r="AM68" s="3" t="e">
        <f>#REF!</f>
        <v>#REF!</v>
      </c>
      <c r="AN68" s="3" t="e">
        <f>#REF!</f>
        <v>#REF!</v>
      </c>
      <c r="AO68" s="3" t="e">
        <f>#REF!</f>
        <v>#REF!</v>
      </c>
      <c r="AP68" s="9" t="e">
        <f>VLOOKUP(AG68,#REF!,10,FALSE)</f>
        <v>#REF!</v>
      </c>
      <c r="AQ68" s="8">
        <f>SUMIFS(Capacity!$G$2:$G$2820,Capacity!$B$2:$B$2820,Demand_Modeling!AG68)</f>
        <v>0</v>
      </c>
      <c r="AS68" s="2" t="e">
        <f t="shared" si="32"/>
        <v>#REF!</v>
      </c>
      <c r="AT68" s="2" t="e">
        <f t="shared" si="15"/>
        <v>#REF!</v>
      </c>
      <c r="AU68" s="2" t="e">
        <f t="shared" si="16"/>
        <v>#REF!</v>
      </c>
      <c r="AV68" s="2" t="e">
        <f t="shared" si="17"/>
        <v>#REF!</v>
      </c>
      <c r="AW68" s="2" t="e">
        <f t="shared" si="18"/>
        <v>#REF!</v>
      </c>
      <c r="AX68" s="2" t="e">
        <f t="shared" si="19"/>
        <v>#REF!</v>
      </c>
      <c r="AY68" s="2" t="e">
        <f t="shared" si="20"/>
        <v>#REF!</v>
      </c>
      <c r="AZ68" s="10">
        <f t="shared" si="21"/>
        <v>0</v>
      </c>
      <c r="BA68" s="5" t="e">
        <f t="shared" si="22"/>
        <v>#REF!</v>
      </c>
    </row>
    <row r="69" spans="33:53" x14ac:dyDescent="0.3">
      <c r="AG69" t="e">
        <f t="shared" si="31"/>
        <v>#REF!</v>
      </c>
      <c r="AH69" t="e">
        <f>#REF!</f>
        <v>#REF!</v>
      </c>
      <c r="AI69" t="e">
        <f>#REF!</f>
        <v>#REF!</v>
      </c>
      <c r="AJ69" s="3" t="e">
        <f>#REF!</f>
        <v>#REF!</v>
      </c>
      <c r="AK69" s="3" t="e">
        <f>#REF!</f>
        <v>#REF!</v>
      </c>
      <c r="AL69" s="3" t="e">
        <f>#REF!</f>
        <v>#REF!</v>
      </c>
      <c r="AM69" s="3" t="e">
        <f>#REF!</f>
        <v>#REF!</v>
      </c>
      <c r="AN69" s="3" t="e">
        <f>#REF!</f>
        <v>#REF!</v>
      </c>
      <c r="AO69" s="3" t="e">
        <f>#REF!</f>
        <v>#REF!</v>
      </c>
      <c r="AP69" s="9" t="e">
        <f>VLOOKUP(AG69,#REF!,10,FALSE)</f>
        <v>#REF!</v>
      </c>
      <c r="AQ69" s="8">
        <f>SUMIFS(Capacity!$G$2:$G$2820,Capacity!$B$2:$B$2820,Demand_Modeling!AG69)</f>
        <v>0</v>
      </c>
      <c r="AS69" s="2" t="e">
        <f t="shared" si="32"/>
        <v>#REF!</v>
      </c>
      <c r="AT69" s="2" t="e">
        <f t="shared" si="15"/>
        <v>#REF!</v>
      </c>
      <c r="AU69" s="2" t="e">
        <f t="shared" si="16"/>
        <v>#REF!</v>
      </c>
      <c r="AV69" s="2" t="e">
        <f t="shared" si="17"/>
        <v>#REF!</v>
      </c>
      <c r="AW69" s="2" t="e">
        <f t="shared" si="18"/>
        <v>#REF!</v>
      </c>
      <c r="AX69" s="2" t="e">
        <f t="shared" si="19"/>
        <v>#REF!</v>
      </c>
      <c r="AY69" s="2" t="e">
        <f t="shared" si="20"/>
        <v>#REF!</v>
      </c>
      <c r="AZ69" s="10">
        <f t="shared" si="21"/>
        <v>0</v>
      </c>
      <c r="BA69" s="5" t="e">
        <f t="shared" si="22"/>
        <v>#REF!</v>
      </c>
    </row>
    <row r="70" spans="33:53" x14ac:dyDescent="0.3">
      <c r="AG70" t="e">
        <f t="shared" si="31"/>
        <v>#REF!</v>
      </c>
      <c r="AH70" t="e">
        <f>#REF!</f>
        <v>#REF!</v>
      </c>
      <c r="AI70" t="e">
        <f>#REF!</f>
        <v>#REF!</v>
      </c>
      <c r="AJ70" s="3" t="e">
        <f>#REF!</f>
        <v>#REF!</v>
      </c>
      <c r="AK70" s="3" t="e">
        <f>#REF!</f>
        <v>#REF!</v>
      </c>
      <c r="AL70" s="3" t="e">
        <f>#REF!</f>
        <v>#REF!</v>
      </c>
      <c r="AM70" s="3" t="e">
        <f>#REF!</f>
        <v>#REF!</v>
      </c>
      <c r="AN70" s="3" t="e">
        <f>#REF!</f>
        <v>#REF!</v>
      </c>
      <c r="AO70" s="3" t="e">
        <f>#REF!</f>
        <v>#REF!</v>
      </c>
      <c r="AP70" s="9" t="e">
        <f>VLOOKUP(AG70,#REF!,10,FALSE)</f>
        <v>#REF!</v>
      </c>
      <c r="AQ70" s="8">
        <f>SUMIFS(Capacity!$G$2:$G$2820,Capacity!$B$2:$B$2820,Demand_Modeling!AG70)</f>
        <v>0</v>
      </c>
      <c r="AS70" s="2" t="e">
        <f t="shared" si="32"/>
        <v>#REF!</v>
      </c>
      <c r="AT70" s="2" t="e">
        <f t="shared" si="15"/>
        <v>#REF!</v>
      </c>
      <c r="AU70" s="2" t="e">
        <f t="shared" si="16"/>
        <v>#REF!</v>
      </c>
      <c r="AV70" s="2" t="e">
        <f t="shared" si="17"/>
        <v>#REF!</v>
      </c>
      <c r="AW70" s="2" t="e">
        <f t="shared" si="18"/>
        <v>#REF!</v>
      </c>
      <c r="AX70" s="2" t="e">
        <f t="shared" si="19"/>
        <v>#REF!</v>
      </c>
      <c r="AY70" s="2" t="e">
        <f t="shared" si="20"/>
        <v>#REF!</v>
      </c>
      <c r="AZ70" s="10">
        <f t="shared" si="21"/>
        <v>0</v>
      </c>
      <c r="BA70" s="5" t="e">
        <f t="shared" si="22"/>
        <v>#REF!</v>
      </c>
    </row>
    <row r="71" spans="33:53" x14ac:dyDescent="0.3">
      <c r="AG71" t="e">
        <f t="shared" si="31"/>
        <v>#REF!</v>
      </c>
      <c r="AH71" t="e">
        <f>#REF!</f>
        <v>#REF!</v>
      </c>
      <c r="AI71" t="e">
        <f>#REF!</f>
        <v>#REF!</v>
      </c>
      <c r="AJ71" s="3" t="e">
        <f>#REF!</f>
        <v>#REF!</v>
      </c>
      <c r="AK71" s="3" t="e">
        <f>#REF!</f>
        <v>#REF!</v>
      </c>
      <c r="AL71" s="3" t="e">
        <f>#REF!</f>
        <v>#REF!</v>
      </c>
      <c r="AM71" s="3" t="e">
        <f>#REF!</f>
        <v>#REF!</v>
      </c>
      <c r="AN71" s="3" t="e">
        <f>#REF!</f>
        <v>#REF!</v>
      </c>
      <c r="AO71" s="3" t="e">
        <f>#REF!</f>
        <v>#REF!</v>
      </c>
      <c r="AP71" s="9" t="e">
        <f>VLOOKUP(AG71,#REF!,10,FALSE)</f>
        <v>#REF!</v>
      </c>
      <c r="AQ71" s="8">
        <f>SUMIFS(Capacity!$G$2:$G$2820,Capacity!$B$2:$B$2820,Demand_Modeling!AG71)</f>
        <v>0</v>
      </c>
      <c r="AS71" s="2" t="e">
        <f t="shared" si="32"/>
        <v>#REF!</v>
      </c>
      <c r="AT71" s="2" t="e">
        <f t="shared" si="15"/>
        <v>#REF!</v>
      </c>
      <c r="AU71" s="2" t="e">
        <f t="shared" si="16"/>
        <v>#REF!</v>
      </c>
      <c r="AV71" s="2" t="e">
        <f t="shared" si="17"/>
        <v>#REF!</v>
      </c>
      <c r="AW71" s="2" t="e">
        <f t="shared" si="18"/>
        <v>#REF!</v>
      </c>
      <c r="AX71" s="2" t="e">
        <f t="shared" si="19"/>
        <v>#REF!</v>
      </c>
      <c r="AY71" s="2" t="e">
        <f t="shared" si="20"/>
        <v>#REF!</v>
      </c>
      <c r="AZ71" s="10">
        <f t="shared" si="21"/>
        <v>0</v>
      </c>
      <c r="BA71" s="5" t="e">
        <f t="shared" si="22"/>
        <v>#REF!</v>
      </c>
    </row>
    <row r="72" spans="33:53" x14ac:dyDescent="0.3">
      <c r="AG72" t="e">
        <f t="shared" si="31"/>
        <v>#REF!</v>
      </c>
      <c r="AH72" t="e">
        <f>#REF!</f>
        <v>#REF!</v>
      </c>
      <c r="AI72" t="e">
        <f>#REF!</f>
        <v>#REF!</v>
      </c>
      <c r="AJ72" s="3" t="e">
        <f>#REF!</f>
        <v>#REF!</v>
      </c>
      <c r="AK72" s="3" t="e">
        <f>#REF!</f>
        <v>#REF!</v>
      </c>
      <c r="AL72" s="3" t="e">
        <f>#REF!</f>
        <v>#REF!</v>
      </c>
      <c r="AM72" s="3" t="e">
        <f>#REF!</f>
        <v>#REF!</v>
      </c>
      <c r="AN72" s="3" t="e">
        <f>#REF!</f>
        <v>#REF!</v>
      </c>
      <c r="AO72" s="3" t="e">
        <f>#REF!</f>
        <v>#REF!</v>
      </c>
      <c r="AP72" s="9" t="e">
        <f>VLOOKUP(AG72,#REF!,10,FALSE)</f>
        <v>#REF!</v>
      </c>
      <c r="AQ72" s="8">
        <f>SUMIFS(Capacity!$G$2:$G$2820,Capacity!$B$2:$B$2820,Demand_Modeling!AG72)</f>
        <v>0</v>
      </c>
      <c r="AS72" s="2" t="e">
        <f t="shared" si="32"/>
        <v>#REF!</v>
      </c>
      <c r="AT72" s="2" t="e">
        <f t="shared" si="15"/>
        <v>#REF!</v>
      </c>
      <c r="AU72" s="2" t="e">
        <f t="shared" si="16"/>
        <v>#REF!</v>
      </c>
      <c r="AV72" s="2" t="e">
        <f t="shared" si="17"/>
        <v>#REF!</v>
      </c>
      <c r="AW72" s="2" t="e">
        <f t="shared" si="18"/>
        <v>#REF!</v>
      </c>
      <c r="AX72" s="2" t="e">
        <f t="shared" si="19"/>
        <v>#REF!</v>
      </c>
      <c r="AY72" s="2" t="e">
        <f t="shared" si="20"/>
        <v>#REF!</v>
      </c>
      <c r="AZ72" s="10">
        <f t="shared" si="21"/>
        <v>0</v>
      </c>
      <c r="BA72" s="5" t="e">
        <f t="shared" si="22"/>
        <v>#REF!</v>
      </c>
    </row>
    <row r="73" spans="33:53" x14ac:dyDescent="0.3">
      <c r="AG73" t="e">
        <f t="shared" si="31"/>
        <v>#REF!</v>
      </c>
      <c r="AH73" t="e">
        <f>#REF!</f>
        <v>#REF!</v>
      </c>
      <c r="AI73" t="e">
        <f>#REF!</f>
        <v>#REF!</v>
      </c>
      <c r="AJ73" s="3" t="e">
        <f>#REF!</f>
        <v>#REF!</v>
      </c>
      <c r="AK73" s="3" t="e">
        <f>#REF!</f>
        <v>#REF!</v>
      </c>
      <c r="AL73" s="3" t="e">
        <f>#REF!</f>
        <v>#REF!</v>
      </c>
      <c r="AM73" s="3" t="e">
        <f>#REF!</f>
        <v>#REF!</v>
      </c>
      <c r="AN73" s="3" t="e">
        <f>#REF!</f>
        <v>#REF!</v>
      </c>
      <c r="AO73" s="3" t="e">
        <f>#REF!</f>
        <v>#REF!</v>
      </c>
      <c r="AP73" s="9" t="e">
        <f>VLOOKUP(AG73,#REF!,10,FALSE)</f>
        <v>#REF!</v>
      </c>
      <c r="AQ73" s="8">
        <f>SUMIFS(Capacity!$G$2:$G$2820,Capacity!$B$2:$B$2820,Demand_Modeling!AG73)</f>
        <v>0</v>
      </c>
      <c r="AS73" s="2" t="e">
        <f t="shared" si="32"/>
        <v>#REF!</v>
      </c>
      <c r="AT73" s="2" t="e">
        <f t="shared" si="15"/>
        <v>#REF!</v>
      </c>
      <c r="AU73" s="2" t="e">
        <f t="shared" si="16"/>
        <v>#REF!</v>
      </c>
      <c r="AV73" s="2" t="e">
        <f t="shared" si="17"/>
        <v>#REF!</v>
      </c>
      <c r="AW73" s="2" t="e">
        <f t="shared" si="18"/>
        <v>#REF!</v>
      </c>
      <c r="AX73" s="2" t="e">
        <f t="shared" si="19"/>
        <v>#REF!</v>
      </c>
      <c r="AY73" s="2" t="e">
        <f t="shared" si="20"/>
        <v>#REF!</v>
      </c>
      <c r="AZ73" s="10">
        <f t="shared" si="21"/>
        <v>0</v>
      </c>
      <c r="BA73" s="5" t="e">
        <f t="shared" si="22"/>
        <v>#REF!</v>
      </c>
    </row>
    <row r="74" spans="33:53" x14ac:dyDescent="0.3">
      <c r="AG74" t="e">
        <f t="shared" si="31"/>
        <v>#REF!</v>
      </c>
      <c r="AH74" t="e">
        <f>#REF!</f>
        <v>#REF!</v>
      </c>
      <c r="AI74" t="e">
        <f>#REF!</f>
        <v>#REF!</v>
      </c>
      <c r="AJ74" s="3" t="e">
        <f>#REF!</f>
        <v>#REF!</v>
      </c>
      <c r="AK74" s="3" t="e">
        <f>#REF!</f>
        <v>#REF!</v>
      </c>
      <c r="AL74" s="3" t="e">
        <f>#REF!</f>
        <v>#REF!</v>
      </c>
      <c r="AM74" s="3" t="e">
        <f>#REF!</f>
        <v>#REF!</v>
      </c>
      <c r="AN74" s="3" t="e">
        <f>#REF!</f>
        <v>#REF!</v>
      </c>
      <c r="AO74" s="3" t="e">
        <f>#REF!</f>
        <v>#REF!</v>
      </c>
      <c r="AP74" s="9" t="e">
        <f>VLOOKUP(AG74,#REF!,10,FALSE)</f>
        <v>#REF!</v>
      </c>
      <c r="AQ74" s="8">
        <f>SUMIFS(Capacity!$G$2:$G$2820,Capacity!$B$2:$B$2820,Demand_Modeling!AG74)</f>
        <v>0</v>
      </c>
      <c r="AS74" s="2" t="e">
        <f t="shared" si="32"/>
        <v>#REF!</v>
      </c>
      <c r="AT74" s="2" t="e">
        <f t="shared" si="15"/>
        <v>#REF!</v>
      </c>
      <c r="AU74" s="2" t="e">
        <f t="shared" si="16"/>
        <v>#REF!</v>
      </c>
      <c r="AV74" s="2" t="e">
        <f t="shared" si="17"/>
        <v>#REF!</v>
      </c>
      <c r="AW74" s="2" t="e">
        <f t="shared" si="18"/>
        <v>#REF!</v>
      </c>
      <c r="AX74" s="2" t="e">
        <f t="shared" si="19"/>
        <v>#REF!</v>
      </c>
      <c r="AY74" s="2" t="e">
        <f t="shared" si="20"/>
        <v>#REF!</v>
      </c>
      <c r="AZ74" s="10">
        <f t="shared" si="21"/>
        <v>0</v>
      </c>
      <c r="BA74" s="5" t="e">
        <f t="shared" si="22"/>
        <v>#REF!</v>
      </c>
    </row>
    <row r="75" spans="33:53" x14ac:dyDescent="0.3">
      <c r="AG75" t="e">
        <f t="shared" si="31"/>
        <v>#REF!</v>
      </c>
      <c r="AH75" t="e">
        <f>#REF!</f>
        <v>#REF!</v>
      </c>
      <c r="AI75" t="e">
        <f>#REF!</f>
        <v>#REF!</v>
      </c>
      <c r="AJ75" s="3" t="e">
        <f>#REF!</f>
        <v>#REF!</v>
      </c>
      <c r="AK75" s="3" t="e">
        <f>#REF!</f>
        <v>#REF!</v>
      </c>
      <c r="AL75" s="3" t="e">
        <f>#REF!</f>
        <v>#REF!</v>
      </c>
      <c r="AM75" s="3" t="e">
        <f>#REF!</f>
        <v>#REF!</v>
      </c>
      <c r="AN75" s="3" t="e">
        <f>#REF!</f>
        <v>#REF!</v>
      </c>
      <c r="AO75" s="3" t="e">
        <f>#REF!</f>
        <v>#REF!</v>
      </c>
      <c r="AP75" s="9" t="e">
        <f>VLOOKUP(AG75,#REF!,10,FALSE)</f>
        <v>#REF!</v>
      </c>
      <c r="AQ75" s="8">
        <f>SUMIFS(Capacity!$G$2:$G$2820,Capacity!$B$2:$B$2820,Demand_Modeling!AG75)</f>
        <v>0</v>
      </c>
      <c r="AS75" s="2" t="e">
        <f t="shared" si="32"/>
        <v>#REF!</v>
      </c>
      <c r="AT75" s="2" t="e">
        <f t="shared" si="15"/>
        <v>#REF!</v>
      </c>
      <c r="AU75" s="2" t="e">
        <f t="shared" si="16"/>
        <v>#REF!</v>
      </c>
      <c r="AV75" s="2" t="e">
        <f t="shared" si="17"/>
        <v>#REF!</v>
      </c>
      <c r="AW75" s="2" t="e">
        <f t="shared" si="18"/>
        <v>#REF!</v>
      </c>
      <c r="AX75" s="2" t="e">
        <f t="shared" si="19"/>
        <v>#REF!</v>
      </c>
      <c r="AY75" s="2" t="e">
        <f t="shared" si="20"/>
        <v>#REF!</v>
      </c>
      <c r="AZ75" s="10">
        <f t="shared" si="21"/>
        <v>0</v>
      </c>
      <c r="BA75" s="5" t="e">
        <f t="shared" si="22"/>
        <v>#REF!</v>
      </c>
    </row>
    <row r="76" spans="33:53" x14ac:dyDescent="0.3">
      <c r="AG76" t="e">
        <f t="shared" si="31"/>
        <v>#REF!</v>
      </c>
      <c r="AH76" t="e">
        <f>#REF!</f>
        <v>#REF!</v>
      </c>
      <c r="AI76" t="e">
        <f>#REF!</f>
        <v>#REF!</v>
      </c>
      <c r="AJ76" s="3" t="e">
        <f>#REF!</f>
        <v>#REF!</v>
      </c>
      <c r="AK76" s="3" t="e">
        <f>#REF!</f>
        <v>#REF!</v>
      </c>
      <c r="AL76" s="3" t="e">
        <f>#REF!</f>
        <v>#REF!</v>
      </c>
      <c r="AM76" s="3" t="e">
        <f>#REF!</f>
        <v>#REF!</v>
      </c>
      <c r="AN76" s="3" t="e">
        <f>#REF!</f>
        <v>#REF!</v>
      </c>
      <c r="AO76" s="3" t="e">
        <f>#REF!</f>
        <v>#REF!</v>
      </c>
      <c r="AP76" s="9" t="e">
        <f>VLOOKUP(AG76,#REF!,10,FALSE)</f>
        <v>#REF!</v>
      </c>
      <c r="AQ76" s="8">
        <f>SUMIFS(Capacity!$G$2:$G$2820,Capacity!$B$2:$B$2820,Demand_Modeling!AG76)</f>
        <v>0</v>
      </c>
      <c r="AS76" s="2" t="e">
        <f t="shared" si="32"/>
        <v>#REF!</v>
      </c>
      <c r="AT76" s="2" t="e">
        <f t="shared" si="15"/>
        <v>#REF!</v>
      </c>
      <c r="AU76" s="2" t="e">
        <f t="shared" si="16"/>
        <v>#REF!</v>
      </c>
      <c r="AV76" s="2" t="e">
        <f t="shared" si="17"/>
        <v>#REF!</v>
      </c>
      <c r="AW76" s="2" t="e">
        <f t="shared" si="18"/>
        <v>#REF!</v>
      </c>
      <c r="AX76" s="2" t="e">
        <f t="shared" si="19"/>
        <v>#REF!</v>
      </c>
      <c r="AY76" s="2" t="e">
        <f t="shared" si="20"/>
        <v>#REF!</v>
      </c>
      <c r="AZ76" s="10">
        <f t="shared" si="21"/>
        <v>0</v>
      </c>
      <c r="BA76" s="5" t="e">
        <f t="shared" si="22"/>
        <v>#REF!</v>
      </c>
    </row>
    <row r="77" spans="33:53" x14ac:dyDescent="0.3">
      <c r="AG77" t="e">
        <f t="shared" si="31"/>
        <v>#REF!</v>
      </c>
      <c r="AH77" t="e">
        <f>#REF!</f>
        <v>#REF!</v>
      </c>
      <c r="AI77" t="e">
        <f>#REF!</f>
        <v>#REF!</v>
      </c>
      <c r="AJ77" s="3" t="e">
        <f>#REF!</f>
        <v>#REF!</v>
      </c>
      <c r="AK77" s="3" t="e">
        <f>#REF!</f>
        <v>#REF!</v>
      </c>
      <c r="AL77" s="3" t="e">
        <f>#REF!</f>
        <v>#REF!</v>
      </c>
      <c r="AM77" s="3" t="e">
        <f>#REF!</f>
        <v>#REF!</v>
      </c>
      <c r="AN77" s="3" t="e">
        <f>#REF!</f>
        <v>#REF!</v>
      </c>
      <c r="AO77" s="3" t="e">
        <f>#REF!</f>
        <v>#REF!</v>
      </c>
      <c r="AP77" s="9" t="e">
        <f>VLOOKUP(AG77,#REF!,10,FALSE)</f>
        <v>#REF!</v>
      </c>
      <c r="AQ77" s="8">
        <f>SUMIFS(Capacity!$G$2:$G$2820,Capacity!$B$2:$B$2820,Demand_Modeling!AG77)</f>
        <v>0</v>
      </c>
      <c r="AS77" s="2" t="e">
        <f t="shared" si="32"/>
        <v>#REF!</v>
      </c>
      <c r="AT77" s="2" t="e">
        <f t="shared" si="15"/>
        <v>#REF!</v>
      </c>
      <c r="AU77" s="2" t="e">
        <f t="shared" si="16"/>
        <v>#REF!</v>
      </c>
      <c r="AV77" s="2" t="e">
        <f t="shared" si="17"/>
        <v>#REF!</v>
      </c>
      <c r="AW77" s="2" t="e">
        <f t="shared" si="18"/>
        <v>#REF!</v>
      </c>
      <c r="AX77" s="2" t="e">
        <f t="shared" si="19"/>
        <v>#REF!</v>
      </c>
      <c r="AY77" s="2" t="e">
        <f t="shared" si="20"/>
        <v>#REF!</v>
      </c>
      <c r="AZ77" s="10">
        <f t="shared" si="21"/>
        <v>0</v>
      </c>
      <c r="BA77" s="5" t="e">
        <f t="shared" si="22"/>
        <v>#REF!</v>
      </c>
    </row>
    <row r="78" spans="33:53" x14ac:dyDescent="0.3">
      <c r="AG78" t="e">
        <f t="shared" si="31"/>
        <v>#REF!</v>
      </c>
      <c r="AH78" t="e">
        <f>#REF!</f>
        <v>#REF!</v>
      </c>
      <c r="AI78" t="e">
        <f>#REF!</f>
        <v>#REF!</v>
      </c>
      <c r="AJ78" s="3" t="e">
        <f>#REF!</f>
        <v>#REF!</v>
      </c>
      <c r="AK78" s="3" t="e">
        <f>#REF!</f>
        <v>#REF!</v>
      </c>
      <c r="AL78" s="3" t="e">
        <f>#REF!</f>
        <v>#REF!</v>
      </c>
      <c r="AM78" s="3" t="e">
        <f>#REF!</f>
        <v>#REF!</v>
      </c>
      <c r="AN78" s="3" t="e">
        <f>#REF!</f>
        <v>#REF!</v>
      </c>
      <c r="AO78" s="3" t="e">
        <f>#REF!</f>
        <v>#REF!</v>
      </c>
      <c r="AP78" s="9" t="e">
        <f>VLOOKUP(AG78,#REF!,10,FALSE)</f>
        <v>#REF!</v>
      </c>
      <c r="AQ78" s="8">
        <f>SUMIFS(Capacity!$G$2:$G$2820,Capacity!$B$2:$B$2820,Demand_Modeling!AG78)</f>
        <v>0</v>
      </c>
      <c r="AS78" s="2" t="e">
        <f t="shared" si="32"/>
        <v>#REF!</v>
      </c>
      <c r="AT78" s="2" t="e">
        <f t="shared" si="15"/>
        <v>#REF!</v>
      </c>
      <c r="AU78" s="2" t="e">
        <f t="shared" si="16"/>
        <v>#REF!</v>
      </c>
      <c r="AV78" s="2" t="e">
        <f t="shared" si="17"/>
        <v>#REF!</v>
      </c>
      <c r="AW78" s="2" t="e">
        <f t="shared" si="18"/>
        <v>#REF!</v>
      </c>
      <c r="AX78" s="2" t="e">
        <f t="shared" si="19"/>
        <v>#REF!</v>
      </c>
      <c r="AY78" s="2" t="e">
        <f t="shared" si="20"/>
        <v>#REF!</v>
      </c>
      <c r="AZ78" s="10">
        <f t="shared" si="21"/>
        <v>0</v>
      </c>
      <c r="BA78" s="5" t="e">
        <f t="shared" si="22"/>
        <v>#REF!</v>
      </c>
    </row>
    <row r="79" spans="33:53" x14ac:dyDescent="0.3">
      <c r="AG79" t="e">
        <f t="shared" ref="AG79:AG142" si="33">AH79&amp;"-"&amp;AI79</f>
        <v>#REF!</v>
      </c>
      <c r="AH79" t="e">
        <f>#REF!</f>
        <v>#REF!</v>
      </c>
      <c r="AI79" t="e">
        <f>#REF!</f>
        <v>#REF!</v>
      </c>
      <c r="AJ79" s="3" t="e">
        <f>#REF!</f>
        <v>#REF!</v>
      </c>
      <c r="AK79" s="3" t="e">
        <f>#REF!</f>
        <v>#REF!</v>
      </c>
      <c r="AL79" s="3" t="e">
        <f>#REF!</f>
        <v>#REF!</v>
      </c>
      <c r="AM79" s="3" t="e">
        <f>#REF!</f>
        <v>#REF!</v>
      </c>
      <c r="AN79" s="3" t="e">
        <f>#REF!</f>
        <v>#REF!</v>
      </c>
      <c r="AO79" s="3" t="e">
        <f>#REF!</f>
        <v>#REF!</v>
      </c>
      <c r="AP79" s="9" t="e">
        <f>VLOOKUP(AG79,#REF!,10,FALSE)</f>
        <v>#REF!</v>
      </c>
      <c r="AQ79" s="8">
        <f>SUMIFS(Capacity!$G$2:$G$2820,Capacity!$B$2:$B$2820,Demand_Modeling!AG79)</f>
        <v>0</v>
      </c>
      <c r="AS79" s="2" t="e">
        <f t="shared" ref="AS79:AS142" si="34">AJ79*$AP79</f>
        <v>#REF!</v>
      </c>
      <c r="AT79" s="2" t="e">
        <f t="shared" ref="AT79:AT142" si="35">AK79*$AP79</f>
        <v>#REF!</v>
      </c>
      <c r="AU79" s="2" t="e">
        <f t="shared" ref="AU79:AU142" si="36">AL79*$AP79</f>
        <v>#REF!</v>
      </c>
      <c r="AV79" s="2" t="e">
        <f t="shared" ref="AV79:AV142" si="37">AM79*$AP79</f>
        <v>#REF!</v>
      </c>
      <c r="AW79" s="2" t="e">
        <f t="shared" ref="AW79:AW142" si="38">AN79*$AP79</f>
        <v>#REF!</v>
      </c>
      <c r="AX79" s="2" t="e">
        <f t="shared" ref="AX79:AX142" si="39">AO79*$AP79</f>
        <v>#REF!</v>
      </c>
      <c r="AY79" s="2" t="e">
        <f t="shared" ref="AY79:AY142" si="40">SUM(AS79:AX79)</f>
        <v>#REF!</v>
      </c>
      <c r="AZ79" s="10">
        <f t="shared" ref="AZ79:AZ142" si="41">AQ79</f>
        <v>0</v>
      </c>
      <c r="BA79" s="5" t="e">
        <f t="shared" ref="BA79:BA142" si="42">AY79/AZ79</f>
        <v>#REF!</v>
      </c>
    </row>
    <row r="80" spans="33:53" x14ac:dyDescent="0.3">
      <c r="AG80" t="e">
        <f t="shared" si="33"/>
        <v>#REF!</v>
      </c>
      <c r="AH80" t="e">
        <f>#REF!</f>
        <v>#REF!</v>
      </c>
      <c r="AI80" t="e">
        <f>#REF!</f>
        <v>#REF!</v>
      </c>
      <c r="AJ80" s="3" t="e">
        <f>#REF!</f>
        <v>#REF!</v>
      </c>
      <c r="AK80" s="3" t="e">
        <f>#REF!</f>
        <v>#REF!</v>
      </c>
      <c r="AL80" s="3" t="e">
        <f>#REF!</f>
        <v>#REF!</v>
      </c>
      <c r="AM80" s="3" t="e">
        <f>#REF!</f>
        <v>#REF!</v>
      </c>
      <c r="AN80" s="3" t="e">
        <f>#REF!</f>
        <v>#REF!</v>
      </c>
      <c r="AO80" s="3" t="e">
        <f>#REF!</f>
        <v>#REF!</v>
      </c>
      <c r="AP80" s="9" t="e">
        <f>VLOOKUP(AG80,#REF!,10,FALSE)</f>
        <v>#REF!</v>
      </c>
      <c r="AQ80" s="8">
        <f>SUMIFS(Capacity!$G$2:$G$2820,Capacity!$B$2:$B$2820,Demand_Modeling!AG80)</f>
        <v>0</v>
      </c>
      <c r="AS80" s="2" t="e">
        <f t="shared" si="34"/>
        <v>#REF!</v>
      </c>
      <c r="AT80" s="2" t="e">
        <f t="shared" si="35"/>
        <v>#REF!</v>
      </c>
      <c r="AU80" s="2" t="e">
        <f t="shared" si="36"/>
        <v>#REF!</v>
      </c>
      <c r="AV80" s="2" t="e">
        <f t="shared" si="37"/>
        <v>#REF!</v>
      </c>
      <c r="AW80" s="2" t="e">
        <f t="shared" si="38"/>
        <v>#REF!</v>
      </c>
      <c r="AX80" s="2" t="e">
        <f t="shared" si="39"/>
        <v>#REF!</v>
      </c>
      <c r="AY80" s="2" t="e">
        <f t="shared" si="40"/>
        <v>#REF!</v>
      </c>
      <c r="AZ80" s="10">
        <f t="shared" si="41"/>
        <v>0</v>
      </c>
      <c r="BA80" s="5" t="e">
        <f t="shared" si="42"/>
        <v>#REF!</v>
      </c>
    </row>
    <row r="81" spans="33:53" x14ac:dyDescent="0.3">
      <c r="AG81" t="e">
        <f t="shared" si="33"/>
        <v>#REF!</v>
      </c>
      <c r="AH81" t="e">
        <f>#REF!</f>
        <v>#REF!</v>
      </c>
      <c r="AI81" t="e">
        <f>#REF!</f>
        <v>#REF!</v>
      </c>
      <c r="AJ81" s="3" t="e">
        <f>#REF!</f>
        <v>#REF!</v>
      </c>
      <c r="AK81" s="3" t="e">
        <f>#REF!</f>
        <v>#REF!</v>
      </c>
      <c r="AL81" s="3" t="e">
        <f>#REF!</f>
        <v>#REF!</v>
      </c>
      <c r="AM81" s="3" t="e">
        <f>#REF!</f>
        <v>#REF!</v>
      </c>
      <c r="AN81" s="3" t="e">
        <f>#REF!</f>
        <v>#REF!</v>
      </c>
      <c r="AO81" s="3" t="e">
        <f>#REF!</f>
        <v>#REF!</v>
      </c>
      <c r="AP81" s="9" t="e">
        <f>VLOOKUP(AG81,#REF!,10,FALSE)</f>
        <v>#REF!</v>
      </c>
      <c r="AQ81" s="8">
        <f>SUMIFS(Capacity!$G$2:$G$2820,Capacity!$B$2:$B$2820,Demand_Modeling!AG81)</f>
        <v>0</v>
      </c>
      <c r="AS81" s="2" t="e">
        <f t="shared" si="34"/>
        <v>#REF!</v>
      </c>
      <c r="AT81" s="2" t="e">
        <f t="shared" si="35"/>
        <v>#REF!</v>
      </c>
      <c r="AU81" s="2" t="e">
        <f t="shared" si="36"/>
        <v>#REF!</v>
      </c>
      <c r="AV81" s="2" t="e">
        <f t="shared" si="37"/>
        <v>#REF!</v>
      </c>
      <c r="AW81" s="2" t="e">
        <f t="shared" si="38"/>
        <v>#REF!</v>
      </c>
      <c r="AX81" s="2" t="e">
        <f t="shared" si="39"/>
        <v>#REF!</v>
      </c>
      <c r="AY81" s="2" t="e">
        <f t="shared" si="40"/>
        <v>#REF!</v>
      </c>
      <c r="AZ81" s="10">
        <f t="shared" si="41"/>
        <v>0</v>
      </c>
      <c r="BA81" s="5" t="e">
        <f t="shared" si="42"/>
        <v>#REF!</v>
      </c>
    </row>
    <row r="82" spans="33:53" x14ac:dyDescent="0.3">
      <c r="AG82" t="e">
        <f t="shared" si="33"/>
        <v>#REF!</v>
      </c>
      <c r="AH82" t="e">
        <f>#REF!</f>
        <v>#REF!</v>
      </c>
      <c r="AI82" t="e">
        <f>#REF!</f>
        <v>#REF!</v>
      </c>
      <c r="AJ82" s="3" t="e">
        <f>#REF!</f>
        <v>#REF!</v>
      </c>
      <c r="AK82" s="3" t="e">
        <f>#REF!</f>
        <v>#REF!</v>
      </c>
      <c r="AL82" s="3" t="e">
        <f>#REF!</f>
        <v>#REF!</v>
      </c>
      <c r="AM82" s="3" t="e">
        <f>#REF!</f>
        <v>#REF!</v>
      </c>
      <c r="AN82" s="3" t="e">
        <f>#REF!</f>
        <v>#REF!</v>
      </c>
      <c r="AO82" s="3" t="e">
        <f>#REF!</f>
        <v>#REF!</v>
      </c>
      <c r="AP82" s="9" t="e">
        <f>VLOOKUP(AG82,#REF!,10,FALSE)</f>
        <v>#REF!</v>
      </c>
      <c r="AQ82" s="8">
        <f>SUMIFS(Capacity!$G$2:$G$2820,Capacity!$B$2:$B$2820,Demand_Modeling!AG82)</f>
        <v>0</v>
      </c>
      <c r="AS82" s="2" t="e">
        <f t="shared" si="34"/>
        <v>#REF!</v>
      </c>
      <c r="AT82" s="2" t="e">
        <f t="shared" si="35"/>
        <v>#REF!</v>
      </c>
      <c r="AU82" s="2" t="e">
        <f t="shared" si="36"/>
        <v>#REF!</v>
      </c>
      <c r="AV82" s="2" t="e">
        <f t="shared" si="37"/>
        <v>#REF!</v>
      </c>
      <c r="AW82" s="2" t="e">
        <f t="shared" si="38"/>
        <v>#REF!</v>
      </c>
      <c r="AX82" s="2" t="e">
        <f t="shared" si="39"/>
        <v>#REF!</v>
      </c>
      <c r="AY82" s="2" t="e">
        <f t="shared" si="40"/>
        <v>#REF!</v>
      </c>
      <c r="AZ82" s="10">
        <f t="shared" si="41"/>
        <v>0</v>
      </c>
      <c r="BA82" s="5" t="e">
        <f t="shared" si="42"/>
        <v>#REF!</v>
      </c>
    </row>
    <row r="83" spans="33:53" x14ac:dyDescent="0.3">
      <c r="AG83" t="e">
        <f t="shared" si="33"/>
        <v>#REF!</v>
      </c>
      <c r="AH83" t="e">
        <f>#REF!</f>
        <v>#REF!</v>
      </c>
      <c r="AI83" t="e">
        <f>#REF!</f>
        <v>#REF!</v>
      </c>
      <c r="AJ83" s="3" t="e">
        <f>#REF!</f>
        <v>#REF!</v>
      </c>
      <c r="AK83" s="3" t="e">
        <f>#REF!</f>
        <v>#REF!</v>
      </c>
      <c r="AL83" s="3" t="e">
        <f>#REF!</f>
        <v>#REF!</v>
      </c>
      <c r="AM83" s="3" t="e">
        <f>#REF!</f>
        <v>#REF!</v>
      </c>
      <c r="AN83" s="3" t="e">
        <f>#REF!</f>
        <v>#REF!</v>
      </c>
      <c r="AO83" s="3" t="e">
        <f>#REF!</f>
        <v>#REF!</v>
      </c>
      <c r="AP83" s="9" t="e">
        <f>VLOOKUP(AG83,#REF!,10,FALSE)</f>
        <v>#REF!</v>
      </c>
      <c r="AQ83" s="8">
        <f>SUMIFS(Capacity!$G$2:$G$2820,Capacity!$B$2:$B$2820,Demand_Modeling!AG83)</f>
        <v>0</v>
      </c>
      <c r="AS83" s="2" t="e">
        <f t="shared" si="34"/>
        <v>#REF!</v>
      </c>
      <c r="AT83" s="2" t="e">
        <f t="shared" si="35"/>
        <v>#REF!</v>
      </c>
      <c r="AU83" s="2" t="e">
        <f t="shared" si="36"/>
        <v>#REF!</v>
      </c>
      <c r="AV83" s="2" t="e">
        <f t="shared" si="37"/>
        <v>#REF!</v>
      </c>
      <c r="AW83" s="2" t="e">
        <f t="shared" si="38"/>
        <v>#REF!</v>
      </c>
      <c r="AX83" s="2" t="e">
        <f t="shared" si="39"/>
        <v>#REF!</v>
      </c>
      <c r="AY83" s="2" t="e">
        <f t="shared" si="40"/>
        <v>#REF!</v>
      </c>
      <c r="AZ83" s="10">
        <f t="shared" si="41"/>
        <v>0</v>
      </c>
      <c r="BA83" s="5" t="e">
        <f t="shared" si="42"/>
        <v>#REF!</v>
      </c>
    </row>
    <row r="84" spans="33:53" x14ac:dyDescent="0.3">
      <c r="AG84" t="e">
        <f t="shared" si="33"/>
        <v>#REF!</v>
      </c>
      <c r="AH84" t="e">
        <f>#REF!</f>
        <v>#REF!</v>
      </c>
      <c r="AI84" t="e">
        <f>#REF!</f>
        <v>#REF!</v>
      </c>
      <c r="AJ84" s="3" t="e">
        <f>#REF!</f>
        <v>#REF!</v>
      </c>
      <c r="AK84" s="3" t="e">
        <f>#REF!</f>
        <v>#REF!</v>
      </c>
      <c r="AL84" s="3" t="e">
        <f>#REF!</f>
        <v>#REF!</v>
      </c>
      <c r="AM84" s="3" t="e">
        <f>#REF!</f>
        <v>#REF!</v>
      </c>
      <c r="AN84" s="3" t="e">
        <f>#REF!</f>
        <v>#REF!</v>
      </c>
      <c r="AO84" s="3" t="e">
        <f>#REF!</f>
        <v>#REF!</v>
      </c>
      <c r="AP84" s="9" t="e">
        <f>VLOOKUP(AG84,#REF!,10,FALSE)</f>
        <v>#REF!</v>
      </c>
      <c r="AQ84" s="8">
        <f>SUMIFS(Capacity!$G$2:$G$2820,Capacity!$B$2:$B$2820,Demand_Modeling!AG84)</f>
        <v>0</v>
      </c>
      <c r="AS84" s="2" t="e">
        <f t="shared" si="34"/>
        <v>#REF!</v>
      </c>
      <c r="AT84" s="2" t="e">
        <f t="shared" si="35"/>
        <v>#REF!</v>
      </c>
      <c r="AU84" s="2" t="e">
        <f t="shared" si="36"/>
        <v>#REF!</v>
      </c>
      <c r="AV84" s="2" t="e">
        <f t="shared" si="37"/>
        <v>#REF!</v>
      </c>
      <c r="AW84" s="2" t="e">
        <f t="shared" si="38"/>
        <v>#REF!</v>
      </c>
      <c r="AX84" s="2" t="e">
        <f t="shared" si="39"/>
        <v>#REF!</v>
      </c>
      <c r="AY84" s="2" t="e">
        <f t="shared" si="40"/>
        <v>#REF!</v>
      </c>
      <c r="AZ84" s="10">
        <f t="shared" si="41"/>
        <v>0</v>
      </c>
      <c r="BA84" s="5" t="e">
        <f t="shared" si="42"/>
        <v>#REF!</v>
      </c>
    </row>
    <row r="85" spans="33:53" x14ac:dyDescent="0.3">
      <c r="AG85" t="e">
        <f t="shared" si="33"/>
        <v>#REF!</v>
      </c>
      <c r="AH85" t="e">
        <f>#REF!</f>
        <v>#REF!</v>
      </c>
      <c r="AI85" t="e">
        <f>#REF!</f>
        <v>#REF!</v>
      </c>
      <c r="AJ85" s="3" t="e">
        <f>#REF!</f>
        <v>#REF!</v>
      </c>
      <c r="AK85" s="3" t="e">
        <f>#REF!</f>
        <v>#REF!</v>
      </c>
      <c r="AL85" s="3" t="e">
        <f>#REF!</f>
        <v>#REF!</v>
      </c>
      <c r="AM85" s="3" t="e">
        <f>#REF!</f>
        <v>#REF!</v>
      </c>
      <c r="AN85" s="3" t="e">
        <f>#REF!</f>
        <v>#REF!</v>
      </c>
      <c r="AO85" s="3" t="e">
        <f>#REF!</f>
        <v>#REF!</v>
      </c>
      <c r="AP85" s="9" t="e">
        <f>VLOOKUP(AG85,#REF!,10,FALSE)</f>
        <v>#REF!</v>
      </c>
      <c r="AQ85" s="8">
        <f>SUMIFS(Capacity!$G$2:$G$2820,Capacity!$B$2:$B$2820,Demand_Modeling!AG85)</f>
        <v>0</v>
      </c>
      <c r="AS85" s="2" t="e">
        <f t="shared" si="34"/>
        <v>#REF!</v>
      </c>
      <c r="AT85" s="2" t="e">
        <f t="shared" si="35"/>
        <v>#REF!</v>
      </c>
      <c r="AU85" s="2" t="e">
        <f t="shared" si="36"/>
        <v>#REF!</v>
      </c>
      <c r="AV85" s="2" t="e">
        <f t="shared" si="37"/>
        <v>#REF!</v>
      </c>
      <c r="AW85" s="2" t="e">
        <f t="shared" si="38"/>
        <v>#REF!</v>
      </c>
      <c r="AX85" s="2" t="e">
        <f t="shared" si="39"/>
        <v>#REF!</v>
      </c>
      <c r="AY85" s="2" t="e">
        <f t="shared" si="40"/>
        <v>#REF!</v>
      </c>
      <c r="AZ85" s="10">
        <f t="shared" si="41"/>
        <v>0</v>
      </c>
      <c r="BA85" s="5" t="e">
        <f t="shared" si="42"/>
        <v>#REF!</v>
      </c>
    </row>
    <row r="86" spans="33:53" x14ac:dyDescent="0.3">
      <c r="AG86" t="e">
        <f t="shared" si="33"/>
        <v>#REF!</v>
      </c>
      <c r="AH86" t="e">
        <f>#REF!</f>
        <v>#REF!</v>
      </c>
      <c r="AI86" t="e">
        <f>#REF!</f>
        <v>#REF!</v>
      </c>
      <c r="AJ86" s="3" t="e">
        <f>#REF!</f>
        <v>#REF!</v>
      </c>
      <c r="AK86" s="3" t="e">
        <f>#REF!</f>
        <v>#REF!</v>
      </c>
      <c r="AL86" s="3" t="e">
        <f>#REF!</f>
        <v>#REF!</v>
      </c>
      <c r="AM86" s="3" t="e">
        <f>#REF!</f>
        <v>#REF!</v>
      </c>
      <c r="AN86" s="3" t="e">
        <f>#REF!</f>
        <v>#REF!</v>
      </c>
      <c r="AO86" s="3" t="e">
        <f>#REF!</f>
        <v>#REF!</v>
      </c>
      <c r="AP86" s="9" t="e">
        <f>VLOOKUP(AG86,#REF!,10,FALSE)</f>
        <v>#REF!</v>
      </c>
      <c r="AQ86" s="8">
        <f>SUMIFS(Capacity!$G$2:$G$2820,Capacity!$B$2:$B$2820,Demand_Modeling!AG86)</f>
        <v>0</v>
      </c>
      <c r="AS86" s="2" t="e">
        <f t="shared" si="34"/>
        <v>#REF!</v>
      </c>
      <c r="AT86" s="2" t="e">
        <f t="shared" si="35"/>
        <v>#REF!</v>
      </c>
      <c r="AU86" s="2" t="e">
        <f t="shared" si="36"/>
        <v>#REF!</v>
      </c>
      <c r="AV86" s="2" t="e">
        <f t="shared" si="37"/>
        <v>#REF!</v>
      </c>
      <c r="AW86" s="2" t="e">
        <f t="shared" si="38"/>
        <v>#REF!</v>
      </c>
      <c r="AX86" s="2" t="e">
        <f t="shared" si="39"/>
        <v>#REF!</v>
      </c>
      <c r="AY86" s="2" t="e">
        <f t="shared" si="40"/>
        <v>#REF!</v>
      </c>
      <c r="AZ86" s="10">
        <f t="shared" si="41"/>
        <v>0</v>
      </c>
      <c r="BA86" s="5" t="e">
        <f t="shared" si="42"/>
        <v>#REF!</v>
      </c>
    </row>
    <row r="87" spans="33:53" x14ac:dyDescent="0.3">
      <c r="AG87" t="e">
        <f t="shared" si="33"/>
        <v>#REF!</v>
      </c>
      <c r="AH87" t="e">
        <f>#REF!</f>
        <v>#REF!</v>
      </c>
      <c r="AI87" t="e">
        <f>#REF!</f>
        <v>#REF!</v>
      </c>
      <c r="AJ87" s="3" t="e">
        <f>#REF!</f>
        <v>#REF!</v>
      </c>
      <c r="AK87" s="3" t="e">
        <f>#REF!</f>
        <v>#REF!</v>
      </c>
      <c r="AL87" s="3" t="e">
        <f>#REF!</f>
        <v>#REF!</v>
      </c>
      <c r="AM87" s="3" t="e">
        <f>#REF!</f>
        <v>#REF!</v>
      </c>
      <c r="AN87" s="3" t="e">
        <f>#REF!</f>
        <v>#REF!</v>
      </c>
      <c r="AO87" s="3" t="e">
        <f>#REF!</f>
        <v>#REF!</v>
      </c>
      <c r="AP87" s="9" t="e">
        <f>VLOOKUP(AG87,#REF!,10,FALSE)</f>
        <v>#REF!</v>
      </c>
      <c r="AQ87" s="8">
        <f>SUMIFS(Capacity!$G$2:$G$2820,Capacity!$B$2:$B$2820,Demand_Modeling!AG87)</f>
        <v>0</v>
      </c>
      <c r="AS87" s="2" t="e">
        <f t="shared" si="34"/>
        <v>#REF!</v>
      </c>
      <c r="AT87" s="2" t="e">
        <f t="shared" si="35"/>
        <v>#REF!</v>
      </c>
      <c r="AU87" s="2" t="e">
        <f t="shared" si="36"/>
        <v>#REF!</v>
      </c>
      <c r="AV87" s="2" t="e">
        <f t="shared" si="37"/>
        <v>#REF!</v>
      </c>
      <c r="AW87" s="2" t="e">
        <f t="shared" si="38"/>
        <v>#REF!</v>
      </c>
      <c r="AX87" s="2" t="e">
        <f t="shared" si="39"/>
        <v>#REF!</v>
      </c>
      <c r="AY87" s="2" t="e">
        <f t="shared" si="40"/>
        <v>#REF!</v>
      </c>
      <c r="AZ87" s="10">
        <f t="shared" si="41"/>
        <v>0</v>
      </c>
      <c r="BA87" s="5" t="e">
        <f t="shared" si="42"/>
        <v>#REF!</v>
      </c>
    </row>
    <row r="88" spans="33:53" x14ac:dyDescent="0.3">
      <c r="AG88" t="e">
        <f t="shared" si="33"/>
        <v>#REF!</v>
      </c>
      <c r="AH88" t="e">
        <f>#REF!</f>
        <v>#REF!</v>
      </c>
      <c r="AI88" t="e">
        <f>#REF!</f>
        <v>#REF!</v>
      </c>
      <c r="AJ88" s="3" t="e">
        <f>#REF!</f>
        <v>#REF!</v>
      </c>
      <c r="AK88" s="3" t="e">
        <f>#REF!</f>
        <v>#REF!</v>
      </c>
      <c r="AL88" s="3" t="e">
        <f>#REF!</f>
        <v>#REF!</v>
      </c>
      <c r="AM88" s="3" t="e">
        <f>#REF!</f>
        <v>#REF!</v>
      </c>
      <c r="AN88" s="3" t="e">
        <f>#REF!</f>
        <v>#REF!</v>
      </c>
      <c r="AO88" s="3" t="e">
        <f>#REF!</f>
        <v>#REF!</v>
      </c>
      <c r="AP88" s="9" t="e">
        <f>VLOOKUP(AG88,#REF!,10,FALSE)</f>
        <v>#REF!</v>
      </c>
      <c r="AQ88" s="8">
        <f>SUMIFS(Capacity!$G$2:$G$2820,Capacity!$B$2:$B$2820,Demand_Modeling!AG88)</f>
        <v>0</v>
      </c>
      <c r="AS88" s="2" t="e">
        <f t="shared" si="34"/>
        <v>#REF!</v>
      </c>
      <c r="AT88" s="2" t="e">
        <f t="shared" si="35"/>
        <v>#REF!</v>
      </c>
      <c r="AU88" s="2" t="e">
        <f t="shared" si="36"/>
        <v>#REF!</v>
      </c>
      <c r="AV88" s="2" t="e">
        <f t="shared" si="37"/>
        <v>#REF!</v>
      </c>
      <c r="AW88" s="2" t="e">
        <f t="shared" si="38"/>
        <v>#REF!</v>
      </c>
      <c r="AX88" s="2" t="e">
        <f t="shared" si="39"/>
        <v>#REF!</v>
      </c>
      <c r="AY88" s="2" t="e">
        <f t="shared" si="40"/>
        <v>#REF!</v>
      </c>
      <c r="AZ88" s="10">
        <f t="shared" si="41"/>
        <v>0</v>
      </c>
      <c r="BA88" s="5" t="e">
        <f t="shared" si="42"/>
        <v>#REF!</v>
      </c>
    </row>
    <row r="89" spans="33:53" x14ac:dyDescent="0.3">
      <c r="AG89" t="e">
        <f t="shared" si="33"/>
        <v>#REF!</v>
      </c>
      <c r="AH89" t="e">
        <f>#REF!</f>
        <v>#REF!</v>
      </c>
      <c r="AI89" t="e">
        <f>#REF!</f>
        <v>#REF!</v>
      </c>
      <c r="AJ89" s="3" t="e">
        <f>#REF!</f>
        <v>#REF!</v>
      </c>
      <c r="AK89" s="3" t="e">
        <f>#REF!</f>
        <v>#REF!</v>
      </c>
      <c r="AL89" s="3" t="e">
        <f>#REF!</f>
        <v>#REF!</v>
      </c>
      <c r="AM89" s="3" t="e">
        <f>#REF!</f>
        <v>#REF!</v>
      </c>
      <c r="AN89" s="3" t="e">
        <f>#REF!</f>
        <v>#REF!</v>
      </c>
      <c r="AO89" s="3" t="e">
        <f>#REF!</f>
        <v>#REF!</v>
      </c>
      <c r="AP89" s="9" t="e">
        <f>VLOOKUP(AG89,#REF!,10,FALSE)</f>
        <v>#REF!</v>
      </c>
      <c r="AQ89" s="8">
        <f>SUMIFS(Capacity!$G$2:$G$2820,Capacity!$B$2:$B$2820,Demand_Modeling!AG89)</f>
        <v>0</v>
      </c>
      <c r="AS89" s="2" t="e">
        <f t="shared" si="34"/>
        <v>#REF!</v>
      </c>
      <c r="AT89" s="2" t="e">
        <f t="shared" si="35"/>
        <v>#REF!</v>
      </c>
      <c r="AU89" s="2" t="e">
        <f t="shared" si="36"/>
        <v>#REF!</v>
      </c>
      <c r="AV89" s="2" t="e">
        <f t="shared" si="37"/>
        <v>#REF!</v>
      </c>
      <c r="AW89" s="2" t="e">
        <f t="shared" si="38"/>
        <v>#REF!</v>
      </c>
      <c r="AX89" s="2" t="e">
        <f t="shared" si="39"/>
        <v>#REF!</v>
      </c>
      <c r="AY89" s="2" t="e">
        <f t="shared" si="40"/>
        <v>#REF!</v>
      </c>
      <c r="AZ89" s="10">
        <f t="shared" si="41"/>
        <v>0</v>
      </c>
      <c r="BA89" s="5" t="e">
        <f t="shared" si="42"/>
        <v>#REF!</v>
      </c>
    </row>
    <row r="90" spans="33:53" x14ac:dyDescent="0.3">
      <c r="AG90" t="e">
        <f t="shared" si="33"/>
        <v>#REF!</v>
      </c>
      <c r="AH90" t="e">
        <f>#REF!</f>
        <v>#REF!</v>
      </c>
      <c r="AI90" t="e">
        <f>#REF!</f>
        <v>#REF!</v>
      </c>
      <c r="AJ90" s="3" t="e">
        <f>#REF!</f>
        <v>#REF!</v>
      </c>
      <c r="AK90" s="3" t="e">
        <f>#REF!</f>
        <v>#REF!</v>
      </c>
      <c r="AL90" s="3" t="e">
        <f>#REF!</f>
        <v>#REF!</v>
      </c>
      <c r="AM90" s="3" t="e">
        <f>#REF!</f>
        <v>#REF!</v>
      </c>
      <c r="AN90" s="3" t="e">
        <f>#REF!</f>
        <v>#REF!</v>
      </c>
      <c r="AO90" s="3" t="e">
        <f>#REF!</f>
        <v>#REF!</v>
      </c>
      <c r="AP90" s="9" t="e">
        <f>VLOOKUP(AG90,#REF!,10,FALSE)</f>
        <v>#REF!</v>
      </c>
      <c r="AQ90" s="8">
        <f>SUMIFS(Capacity!$G$2:$G$2820,Capacity!$B$2:$B$2820,Demand_Modeling!AG90)</f>
        <v>0</v>
      </c>
      <c r="AS90" s="2" t="e">
        <f t="shared" si="34"/>
        <v>#REF!</v>
      </c>
      <c r="AT90" s="2" t="e">
        <f t="shared" si="35"/>
        <v>#REF!</v>
      </c>
      <c r="AU90" s="2" t="e">
        <f t="shared" si="36"/>
        <v>#REF!</v>
      </c>
      <c r="AV90" s="2" t="e">
        <f t="shared" si="37"/>
        <v>#REF!</v>
      </c>
      <c r="AW90" s="2" t="e">
        <f t="shared" si="38"/>
        <v>#REF!</v>
      </c>
      <c r="AX90" s="2" t="e">
        <f t="shared" si="39"/>
        <v>#REF!</v>
      </c>
      <c r="AY90" s="2" t="e">
        <f t="shared" si="40"/>
        <v>#REF!</v>
      </c>
      <c r="AZ90" s="10">
        <f t="shared" si="41"/>
        <v>0</v>
      </c>
      <c r="BA90" s="5" t="e">
        <f t="shared" si="42"/>
        <v>#REF!</v>
      </c>
    </row>
    <row r="91" spans="33:53" x14ac:dyDescent="0.3">
      <c r="AG91" t="e">
        <f t="shared" si="33"/>
        <v>#REF!</v>
      </c>
      <c r="AH91" t="e">
        <f>#REF!</f>
        <v>#REF!</v>
      </c>
      <c r="AI91" t="e">
        <f>#REF!</f>
        <v>#REF!</v>
      </c>
      <c r="AJ91" s="3" t="e">
        <f>#REF!</f>
        <v>#REF!</v>
      </c>
      <c r="AK91" s="3" t="e">
        <f>#REF!</f>
        <v>#REF!</v>
      </c>
      <c r="AL91" s="3" t="e">
        <f>#REF!</f>
        <v>#REF!</v>
      </c>
      <c r="AM91" s="3" t="e">
        <f>#REF!</f>
        <v>#REF!</v>
      </c>
      <c r="AN91" s="3" t="e">
        <f>#REF!</f>
        <v>#REF!</v>
      </c>
      <c r="AO91" s="3" t="e">
        <f>#REF!</f>
        <v>#REF!</v>
      </c>
      <c r="AP91" s="9" t="e">
        <f>VLOOKUP(AG91,#REF!,10,FALSE)</f>
        <v>#REF!</v>
      </c>
      <c r="AQ91" s="8">
        <f>SUMIFS(Capacity!$G$2:$G$2820,Capacity!$B$2:$B$2820,Demand_Modeling!AG91)</f>
        <v>0</v>
      </c>
      <c r="AS91" s="2" t="e">
        <f t="shared" si="34"/>
        <v>#REF!</v>
      </c>
      <c r="AT91" s="2" t="e">
        <f t="shared" si="35"/>
        <v>#REF!</v>
      </c>
      <c r="AU91" s="2" t="e">
        <f t="shared" si="36"/>
        <v>#REF!</v>
      </c>
      <c r="AV91" s="2" t="e">
        <f t="shared" si="37"/>
        <v>#REF!</v>
      </c>
      <c r="AW91" s="2" t="e">
        <f t="shared" si="38"/>
        <v>#REF!</v>
      </c>
      <c r="AX91" s="2" t="e">
        <f t="shared" si="39"/>
        <v>#REF!</v>
      </c>
      <c r="AY91" s="2" t="e">
        <f t="shared" si="40"/>
        <v>#REF!</v>
      </c>
      <c r="AZ91" s="10">
        <f t="shared" si="41"/>
        <v>0</v>
      </c>
      <c r="BA91" s="5" t="e">
        <f t="shared" si="42"/>
        <v>#REF!</v>
      </c>
    </row>
    <row r="92" spans="33:53" x14ac:dyDescent="0.3">
      <c r="AG92" t="e">
        <f t="shared" si="33"/>
        <v>#REF!</v>
      </c>
      <c r="AH92" t="e">
        <f>#REF!</f>
        <v>#REF!</v>
      </c>
      <c r="AI92" t="e">
        <f>#REF!</f>
        <v>#REF!</v>
      </c>
      <c r="AJ92" s="3" t="e">
        <f>#REF!</f>
        <v>#REF!</v>
      </c>
      <c r="AK92" s="3" t="e">
        <f>#REF!</f>
        <v>#REF!</v>
      </c>
      <c r="AL92" s="3" t="e">
        <f>#REF!</f>
        <v>#REF!</v>
      </c>
      <c r="AM92" s="3" t="e">
        <f>#REF!</f>
        <v>#REF!</v>
      </c>
      <c r="AN92" s="3" t="e">
        <f>#REF!</f>
        <v>#REF!</v>
      </c>
      <c r="AO92" s="3" t="e">
        <f>#REF!</f>
        <v>#REF!</v>
      </c>
      <c r="AP92" s="9" t="e">
        <f>VLOOKUP(AG92,#REF!,10,FALSE)</f>
        <v>#REF!</v>
      </c>
      <c r="AQ92" s="8">
        <f>SUMIFS(Capacity!$G$2:$G$2820,Capacity!$B$2:$B$2820,Demand_Modeling!AG92)</f>
        <v>0</v>
      </c>
      <c r="AS92" s="2" t="e">
        <f t="shared" si="34"/>
        <v>#REF!</v>
      </c>
      <c r="AT92" s="2" t="e">
        <f t="shared" si="35"/>
        <v>#REF!</v>
      </c>
      <c r="AU92" s="2" t="e">
        <f t="shared" si="36"/>
        <v>#REF!</v>
      </c>
      <c r="AV92" s="2" t="e">
        <f t="shared" si="37"/>
        <v>#REF!</v>
      </c>
      <c r="AW92" s="2" t="e">
        <f t="shared" si="38"/>
        <v>#REF!</v>
      </c>
      <c r="AX92" s="2" t="e">
        <f t="shared" si="39"/>
        <v>#REF!</v>
      </c>
      <c r="AY92" s="2" t="e">
        <f t="shared" si="40"/>
        <v>#REF!</v>
      </c>
      <c r="AZ92" s="10">
        <f t="shared" si="41"/>
        <v>0</v>
      </c>
      <c r="BA92" s="5" t="e">
        <f t="shared" si="42"/>
        <v>#REF!</v>
      </c>
    </row>
    <row r="93" spans="33:53" x14ac:dyDescent="0.3">
      <c r="AG93" t="e">
        <f t="shared" si="33"/>
        <v>#REF!</v>
      </c>
      <c r="AH93" t="e">
        <f>#REF!</f>
        <v>#REF!</v>
      </c>
      <c r="AI93" t="e">
        <f>#REF!</f>
        <v>#REF!</v>
      </c>
      <c r="AJ93" s="3" t="e">
        <f>#REF!</f>
        <v>#REF!</v>
      </c>
      <c r="AK93" s="3" t="e">
        <f>#REF!</f>
        <v>#REF!</v>
      </c>
      <c r="AL93" s="3" t="e">
        <f>#REF!</f>
        <v>#REF!</v>
      </c>
      <c r="AM93" s="3" t="e">
        <f>#REF!</f>
        <v>#REF!</v>
      </c>
      <c r="AN93" s="3" t="e">
        <f>#REF!</f>
        <v>#REF!</v>
      </c>
      <c r="AO93" s="3" t="e">
        <f>#REF!</f>
        <v>#REF!</v>
      </c>
      <c r="AP93" s="9" t="e">
        <f>VLOOKUP(AG93,#REF!,10,FALSE)</f>
        <v>#REF!</v>
      </c>
      <c r="AQ93" s="8">
        <f>SUMIFS(Capacity!$G$2:$G$2820,Capacity!$B$2:$B$2820,Demand_Modeling!AG93)</f>
        <v>0</v>
      </c>
      <c r="AS93" s="2" t="e">
        <f t="shared" si="34"/>
        <v>#REF!</v>
      </c>
      <c r="AT93" s="2" t="e">
        <f t="shared" si="35"/>
        <v>#REF!</v>
      </c>
      <c r="AU93" s="2" t="e">
        <f t="shared" si="36"/>
        <v>#REF!</v>
      </c>
      <c r="AV93" s="2" t="e">
        <f t="shared" si="37"/>
        <v>#REF!</v>
      </c>
      <c r="AW93" s="2" t="e">
        <f t="shared" si="38"/>
        <v>#REF!</v>
      </c>
      <c r="AX93" s="2" t="e">
        <f t="shared" si="39"/>
        <v>#REF!</v>
      </c>
      <c r="AY93" s="2" t="e">
        <f t="shared" si="40"/>
        <v>#REF!</v>
      </c>
      <c r="AZ93" s="10">
        <f t="shared" si="41"/>
        <v>0</v>
      </c>
      <c r="BA93" s="5" t="e">
        <f t="shared" si="42"/>
        <v>#REF!</v>
      </c>
    </row>
    <row r="94" spans="33:53" x14ac:dyDescent="0.3">
      <c r="AG94" t="e">
        <f t="shared" si="33"/>
        <v>#REF!</v>
      </c>
      <c r="AH94" t="e">
        <f>#REF!</f>
        <v>#REF!</v>
      </c>
      <c r="AI94" t="e">
        <f>#REF!</f>
        <v>#REF!</v>
      </c>
      <c r="AJ94" s="3" t="e">
        <f>#REF!</f>
        <v>#REF!</v>
      </c>
      <c r="AK94" s="3" t="e">
        <f>#REF!</f>
        <v>#REF!</v>
      </c>
      <c r="AL94" s="3" t="e">
        <f>#REF!</f>
        <v>#REF!</v>
      </c>
      <c r="AM94" s="3" t="e">
        <f>#REF!</f>
        <v>#REF!</v>
      </c>
      <c r="AN94" s="3" t="e">
        <f>#REF!</f>
        <v>#REF!</v>
      </c>
      <c r="AO94" s="3" t="e">
        <f>#REF!</f>
        <v>#REF!</v>
      </c>
      <c r="AP94" s="9" t="e">
        <f>VLOOKUP(AG94,#REF!,10,FALSE)</f>
        <v>#REF!</v>
      </c>
      <c r="AQ94" s="8">
        <f>SUMIFS(Capacity!$G$2:$G$2820,Capacity!$B$2:$B$2820,Demand_Modeling!AG94)</f>
        <v>0</v>
      </c>
      <c r="AS94" s="2" t="e">
        <f t="shared" si="34"/>
        <v>#REF!</v>
      </c>
      <c r="AT94" s="2" t="e">
        <f t="shared" si="35"/>
        <v>#REF!</v>
      </c>
      <c r="AU94" s="2" t="e">
        <f t="shared" si="36"/>
        <v>#REF!</v>
      </c>
      <c r="AV94" s="2" t="e">
        <f t="shared" si="37"/>
        <v>#REF!</v>
      </c>
      <c r="AW94" s="2" t="e">
        <f t="shared" si="38"/>
        <v>#REF!</v>
      </c>
      <c r="AX94" s="2" t="e">
        <f t="shared" si="39"/>
        <v>#REF!</v>
      </c>
      <c r="AY94" s="2" t="e">
        <f t="shared" si="40"/>
        <v>#REF!</v>
      </c>
      <c r="AZ94" s="10">
        <f t="shared" si="41"/>
        <v>0</v>
      </c>
      <c r="BA94" s="5" t="e">
        <f t="shared" si="42"/>
        <v>#REF!</v>
      </c>
    </row>
    <row r="95" spans="33:53" x14ac:dyDescent="0.3">
      <c r="AG95" t="e">
        <f t="shared" si="33"/>
        <v>#REF!</v>
      </c>
      <c r="AH95" t="e">
        <f>#REF!</f>
        <v>#REF!</v>
      </c>
      <c r="AI95" t="e">
        <f>#REF!</f>
        <v>#REF!</v>
      </c>
      <c r="AJ95" s="3" t="e">
        <f>#REF!</f>
        <v>#REF!</v>
      </c>
      <c r="AK95" s="3" t="e">
        <f>#REF!</f>
        <v>#REF!</v>
      </c>
      <c r="AL95" s="3" t="e">
        <f>#REF!</f>
        <v>#REF!</v>
      </c>
      <c r="AM95" s="3" t="e">
        <f>#REF!</f>
        <v>#REF!</v>
      </c>
      <c r="AN95" s="3" t="e">
        <f>#REF!</f>
        <v>#REF!</v>
      </c>
      <c r="AO95" s="3" t="e">
        <f>#REF!</f>
        <v>#REF!</v>
      </c>
      <c r="AP95" s="9" t="e">
        <f>VLOOKUP(AG95,#REF!,10,FALSE)</f>
        <v>#REF!</v>
      </c>
      <c r="AQ95" s="8">
        <f>SUMIFS(Capacity!$G$2:$G$2820,Capacity!$B$2:$B$2820,Demand_Modeling!AG95)</f>
        <v>0</v>
      </c>
      <c r="AS95" s="2" t="e">
        <f t="shared" si="34"/>
        <v>#REF!</v>
      </c>
      <c r="AT95" s="2" t="e">
        <f t="shared" si="35"/>
        <v>#REF!</v>
      </c>
      <c r="AU95" s="2" t="e">
        <f t="shared" si="36"/>
        <v>#REF!</v>
      </c>
      <c r="AV95" s="2" t="e">
        <f t="shared" si="37"/>
        <v>#REF!</v>
      </c>
      <c r="AW95" s="2" t="e">
        <f t="shared" si="38"/>
        <v>#REF!</v>
      </c>
      <c r="AX95" s="2" t="e">
        <f t="shared" si="39"/>
        <v>#REF!</v>
      </c>
      <c r="AY95" s="2" t="e">
        <f t="shared" si="40"/>
        <v>#REF!</v>
      </c>
      <c r="AZ95" s="10">
        <f t="shared" si="41"/>
        <v>0</v>
      </c>
      <c r="BA95" s="5" t="e">
        <f t="shared" si="42"/>
        <v>#REF!</v>
      </c>
    </row>
    <row r="96" spans="33:53" x14ac:dyDescent="0.3">
      <c r="AG96" t="e">
        <f t="shared" si="33"/>
        <v>#REF!</v>
      </c>
      <c r="AH96" t="e">
        <f>#REF!</f>
        <v>#REF!</v>
      </c>
      <c r="AI96" t="e">
        <f>#REF!</f>
        <v>#REF!</v>
      </c>
      <c r="AJ96" s="3" t="e">
        <f>#REF!</f>
        <v>#REF!</v>
      </c>
      <c r="AK96" s="3" t="e">
        <f>#REF!</f>
        <v>#REF!</v>
      </c>
      <c r="AL96" s="3" t="e">
        <f>#REF!</f>
        <v>#REF!</v>
      </c>
      <c r="AM96" s="3" t="e">
        <f>#REF!</f>
        <v>#REF!</v>
      </c>
      <c r="AN96" s="3" t="e">
        <f>#REF!</f>
        <v>#REF!</v>
      </c>
      <c r="AO96" s="3" t="e">
        <f>#REF!</f>
        <v>#REF!</v>
      </c>
      <c r="AP96" s="9" t="e">
        <f>VLOOKUP(AG96,#REF!,10,FALSE)</f>
        <v>#REF!</v>
      </c>
      <c r="AQ96" s="8">
        <f>SUMIFS(Capacity!$G$2:$G$2820,Capacity!$B$2:$B$2820,Demand_Modeling!AG96)</f>
        <v>0</v>
      </c>
      <c r="AS96" s="2" t="e">
        <f t="shared" si="34"/>
        <v>#REF!</v>
      </c>
      <c r="AT96" s="2" t="e">
        <f t="shared" si="35"/>
        <v>#REF!</v>
      </c>
      <c r="AU96" s="2" t="e">
        <f t="shared" si="36"/>
        <v>#REF!</v>
      </c>
      <c r="AV96" s="2" t="e">
        <f t="shared" si="37"/>
        <v>#REF!</v>
      </c>
      <c r="AW96" s="2" t="e">
        <f t="shared" si="38"/>
        <v>#REF!</v>
      </c>
      <c r="AX96" s="2" t="e">
        <f t="shared" si="39"/>
        <v>#REF!</v>
      </c>
      <c r="AY96" s="2" t="e">
        <f t="shared" si="40"/>
        <v>#REF!</v>
      </c>
      <c r="AZ96" s="10">
        <f t="shared" si="41"/>
        <v>0</v>
      </c>
      <c r="BA96" s="5" t="e">
        <f t="shared" si="42"/>
        <v>#REF!</v>
      </c>
    </row>
    <row r="97" spans="33:53" x14ac:dyDescent="0.3">
      <c r="AG97" t="e">
        <f t="shared" si="33"/>
        <v>#REF!</v>
      </c>
      <c r="AH97" t="e">
        <f>#REF!</f>
        <v>#REF!</v>
      </c>
      <c r="AI97" t="e">
        <f>#REF!</f>
        <v>#REF!</v>
      </c>
      <c r="AJ97" s="3" t="e">
        <f>#REF!</f>
        <v>#REF!</v>
      </c>
      <c r="AK97" s="3" t="e">
        <f>#REF!</f>
        <v>#REF!</v>
      </c>
      <c r="AL97" s="3" t="e">
        <f>#REF!</f>
        <v>#REF!</v>
      </c>
      <c r="AM97" s="3" t="e">
        <f>#REF!</f>
        <v>#REF!</v>
      </c>
      <c r="AN97" s="3" t="e">
        <f>#REF!</f>
        <v>#REF!</v>
      </c>
      <c r="AO97" s="3" t="e">
        <f>#REF!</f>
        <v>#REF!</v>
      </c>
      <c r="AP97" s="9" t="e">
        <f>VLOOKUP(AG97,#REF!,10,FALSE)</f>
        <v>#REF!</v>
      </c>
      <c r="AQ97" s="8">
        <f>SUMIFS(Capacity!$G$2:$G$2820,Capacity!$B$2:$B$2820,Demand_Modeling!AG97)</f>
        <v>0</v>
      </c>
      <c r="AS97" s="2" t="e">
        <f t="shared" si="34"/>
        <v>#REF!</v>
      </c>
      <c r="AT97" s="2" t="e">
        <f t="shared" si="35"/>
        <v>#REF!</v>
      </c>
      <c r="AU97" s="2" t="e">
        <f t="shared" si="36"/>
        <v>#REF!</v>
      </c>
      <c r="AV97" s="2" t="e">
        <f t="shared" si="37"/>
        <v>#REF!</v>
      </c>
      <c r="AW97" s="2" t="e">
        <f t="shared" si="38"/>
        <v>#REF!</v>
      </c>
      <c r="AX97" s="2" t="e">
        <f t="shared" si="39"/>
        <v>#REF!</v>
      </c>
      <c r="AY97" s="2" t="e">
        <f t="shared" si="40"/>
        <v>#REF!</v>
      </c>
      <c r="AZ97" s="10">
        <f t="shared" si="41"/>
        <v>0</v>
      </c>
      <c r="BA97" s="5" t="e">
        <f t="shared" si="42"/>
        <v>#REF!</v>
      </c>
    </row>
    <row r="98" spans="33:53" x14ac:dyDescent="0.3">
      <c r="AG98" t="e">
        <f t="shared" si="33"/>
        <v>#REF!</v>
      </c>
      <c r="AH98" t="e">
        <f>#REF!</f>
        <v>#REF!</v>
      </c>
      <c r="AI98" t="e">
        <f>#REF!</f>
        <v>#REF!</v>
      </c>
      <c r="AJ98" s="3" t="e">
        <f>#REF!</f>
        <v>#REF!</v>
      </c>
      <c r="AK98" s="3" t="e">
        <f>#REF!</f>
        <v>#REF!</v>
      </c>
      <c r="AL98" s="3" t="e">
        <f>#REF!</f>
        <v>#REF!</v>
      </c>
      <c r="AM98" s="3" t="e">
        <f>#REF!</f>
        <v>#REF!</v>
      </c>
      <c r="AN98" s="3" t="e">
        <f>#REF!</f>
        <v>#REF!</v>
      </c>
      <c r="AO98" s="3" t="e">
        <f>#REF!</f>
        <v>#REF!</v>
      </c>
      <c r="AP98" s="9" t="e">
        <f>VLOOKUP(AG98,#REF!,10,FALSE)</f>
        <v>#REF!</v>
      </c>
      <c r="AQ98" s="8">
        <f>SUMIFS(Capacity!$G$2:$G$2820,Capacity!$B$2:$B$2820,Demand_Modeling!AG98)</f>
        <v>0</v>
      </c>
      <c r="AS98" s="2" t="e">
        <f t="shared" si="34"/>
        <v>#REF!</v>
      </c>
      <c r="AT98" s="2" t="e">
        <f t="shared" si="35"/>
        <v>#REF!</v>
      </c>
      <c r="AU98" s="2" t="e">
        <f t="shared" si="36"/>
        <v>#REF!</v>
      </c>
      <c r="AV98" s="2" t="e">
        <f t="shared" si="37"/>
        <v>#REF!</v>
      </c>
      <c r="AW98" s="2" t="e">
        <f t="shared" si="38"/>
        <v>#REF!</v>
      </c>
      <c r="AX98" s="2" t="e">
        <f t="shared" si="39"/>
        <v>#REF!</v>
      </c>
      <c r="AY98" s="2" t="e">
        <f t="shared" si="40"/>
        <v>#REF!</v>
      </c>
      <c r="AZ98" s="10">
        <f t="shared" si="41"/>
        <v>0</v>
      </c>
      <c r="BA98" s="5" t="e">
        <f t="shared" si="42"/>
        <v>#REF!</v>
      </c>
    </row>
    <row r="99" spans="33:53" x14ac:dyDescent="0.3">
      <c r="AG99" t="e">
        <f t="shared" si="33"/>
        <v>#REF!</v>
      </c>
      <c r="AH99" t="e">
        <f>#REF!</f>
        <v>#REF!</v>
      </c>
      <c r="AI99" t="e">
        <f>#REF!</f>
        <v>#REF!</v>
      </c>
      <c r="AJ99" s="3" t="e">
        <f>#REF!</f>
        <v>#REF!</v>
      </c>
      <c r="AK99" s="3" t="e">
        <f>#REF!</f>
        <v>#REF!</v>
      </c>
      <c r="AL99" s="3" t="e">
        <f>#REF!</f>
        <v>#REF!</v>
      </c>
      <c r="AM99" s="3" t="e">
        <f>#REF!</f>
        <v>#REF!</v>
      </c>
      <c r="AN99" s="3" t="e">
        <f>#REF!</f>
        <v>#REF!</v>
      </c>
      <c r="AO99" s="3" t="e">
        <f>#REF!</f>
        <v>#REF!</v>
      </c>
      <c r="AP99" s="9" t="e">
        <f>VLOOKUP(AG99,#REF!,10,FALSE)</f>
        <v>#REF!</v>
      </c>
      <c r="AQ99" s="8">
        <f>SUMIFS(Capacity!$G$2:$G$2820,Capacity!$B$2:$B$2820,Demand_Modeling!AG99)</f>
        <v>0</v>
      </c>
      <c r="AS99" s="2" t="e">
        <f t="shared" si="34"/>
        <v>#REF!</v>
      </c>
      <c r="AT99" s="2" t="e">
        <f t="shared" si="35"/>
        <v>#REF!</v>
      </c>
      <c r="AU99" s="2" t="e">
        <f t="shared" si="36"/>
        <v>#REF!</v>
      </c>
      <c r="AV99" s="2" t="e">
        <f t="shared" si="37"/>
        <v>#REF!</v>
      </c>
      <c r="AW99" s="2" t="e">
        <f t="shared" si="38"/>
        <v>#REF!</v>
      </c>
      <c r="AX99" s="2" t="e">
        <f t="shared" si="39"/>
        <v>#REF!</v>
      </c>
      <c r="AY99" s="2" t="e">
        <f t="shared" si="40"/>
        <v>#REF!</v>
      </c>
      <c r="AZ99" s="10">
        <f t="shared" si="41"/>
        <v>0</v>
      </c>
      <c r="BA99" s="5" t="e">
        <f t="shared" si="42"/>
        <v>#REF!</v>
      </c>
    </row>
    <row r="100" spans="33:53" x14ac:dyDescent="0.3">
      <c r="AG100" t="e">
        <f t="shared" si="33"/>
        <v>#REF!</v>
      </c>
      <c r="AH100" t="e">
        <f>#REF!</f>
        <v>#REF!</v>
      </c>
      <c r="AI100" t="e">
        <f>#REF!</f>
        <v>#REF!</v>
      </c>
      <c r="AJ100" s="3" t="e">
        <f>#REF!</f>
        <v>#REF!</v>
      </c>
      <c r="AK100" s="3" t="e">
        <f>#REF!</f>
        <v>#REF!</v>
      </c>
      <c r="AL100" s="3" t="e">
        <f>#REF!</f>
        <v>#REF!</v>
      </c>
      <c r="AM100" s="3" t="e">
        <f>#REF!</f>
        <v>#REF!</v>
      </c>
      <c r="AN100" s="3" t="e">
        <f>#REF!</f>
        <v>#REF!</v>
      </c>
      <c r="AO100" s="3" t="e">
        <f>#REF!</f>
        <v>#REF!</v>
      </c>
      <c r="AP100" s="9" t="e">
        <f>VLOOKUP(AG100,#REF!,10,FALSE)</f>
        <v>#REF!</v>
      </c>
      <c r="AQ100" s="8">
        <f>SUMIFS(Capacity!$G$2:$G$2820,Capacity!$B$2:$B$2820,Demand_Modeling!AG100)</f>
        <v>0</v>
      </c>
      <c r="AS100" s="2" t="e">
        <f t="shared" si="34"/>
        <v>#REF!</v>
      </c>
      <c r="AT100" s="2" t="e">
        <f t="shared" si="35"/>
        <v>#REF!</v>
      </c>
      <c r="AU100" s="2" t="e">
        <f t="shared" si="36"/>
        <v>#REF!</v>
      </c>
      <c r="AV100" s="2" t="e">
        <f t="shared" si="37"/>
        <v>#REF!</v>
      </c>
      <c r="AW100" s="2" t="e">
        <f t="shared" si="38"/>
        <v>#REF!</v>
      </c>
      <c r="AX100" s="2" t="e">
        <f t="shared" si="39"/>
        <v>#REF!</v>
      </c>
      <c r="AY100" s="2" t="e">
        <f t="shared" si="40"/>
        <v>#REF!</v>
      </c>
      <c r="AZ100" s="10">
        <f t="shared" si="41"/>
        <v>0</v>
      </c>
      <c r="BA100" s="5" t="e">
        <f t="shared" si="42"/>
        <v>#REF!</v>
      </c>
    </row>
    <row r="101" spans="33:53" x14ac:dyDescent="0.3">
      <c r="AG101" t="e">
        <f t="shared" si="33"/>
        <v>#REF!</v>
      </c>
      <c r="AH101" t="e">
        <f>#REF!</f>
        <v>#REF!</v>
      </c>
      <c r="AI101" t="e">
        <f>#REF!</f>
        <v>#REF!</v>
      </c>
      <c r="AJ101" s="3" t="e">
        <f>#REF!</f>
        <v>#REF!</v>
      </c>
      <c r="AK101" s="3" t="e">
        <f>#REF!</f>
        <v>#REF!</v>
      </c>
      <c r="AL101" s="3" t="e">
        <f>#REF!</f>
        <v>#REF!</v>
      </c>
      <c r="AM101" s="3" t="e">
        <f>#REF!</f>
        <v>#REF!</v>
      </c>
      <c r="AN101" s="3" t="e">
        <f>#REF!</f>
        <v>#REF!</v>
      </c>
      <c r="AO101" s="3" t="e">
        <f>#REF!</f>
        <v>#REF!</v>
      </c>
      <c r="AP101" s="9" t="e">
        <f>VLOOKUP(AG101,#REF!,10,FALSE)</f>
        <v>#REF!</v>
      </c>
      <c r="AQ101" s="8">
        <f>SUMIFS(Capacity!$G$2:$G$2820,Capacity!$B$2:$B$2820,Demand_Modeling!AG101)</f>
        <v>0</v>
      </c>
      <c r="AS101" s="2" t="e">
        <f t="shared" si="34"/>
        <v>#REF!</v>
      </c>
      <c r="AT101" s="2" t="e">
        <f t="shared" si="35"/>
        <v>#REF!</v>
      </c>
      <c r="AU101" s="2" t="e">
        <f t="shared" si="36"/>
        <v>#REF!</v>
      </c>
      <c r="AV101" s="2" t="e">
        <f t="shared" si="37"/>
        <v>#REF!</v>
      </c>
      <c r="AW101" s="2" t="e">
        <f t="shared" si="38"/>
        <v>#REF!</v>
      </c>
      <c r="AX101" s="2" t="e">
        <f t="shared" si="39"/>
        <v>#REF!</v>
      </c>
      <c r="AY101" s="2" t="e">
        <f t="shared" si="40"/>
        <v>#REF!</v>
      </c>
      <c r="AZ101" s="10">
        <f t="shared" si="41"/>
        <v>0</v>
      </c>
      <c r="BA101" s="5" t="e">
        <f t="shared" si="42"/>
        <v>#REF!</v>
      </c>
    </row>
    <row r="102" spans="33:53" x14ac:dyDescent="0.3">
      <c r="AG102" t="e">
        <f t="shared" si="33"/>
        <v>#REF!</v>
      </c>
      <c r="AH102" t="e">
        <f>#REF!</f>
        <v>#REF!</v>
      </c>
      <c r="AI102" t="e">
        <f>#REF!</f>
        <v>#REF!</v>
      </c>
      <c r="AJ102" s="3" t="e">
        <f>#REF!</f>
        <v>#REF!</v>
      </c>
      <c r="AK102" s="3" t="e">
        <f>#REF!</f>
        <v>#REF!</v>
      </c>
      <c r="AL102" s="3" t="e">
        <f>#REF!</f>
        <v>#REF!</v>
      </c>
      <c r="AM102" s="3" t="e">
        <f>#REF!</f>
        <v>#REF!</v>
      </c>
      <c r="AN102" s="3" t="e">
        <f>#REF!</f>
        <v>#REF!</v>
      </c>
      <c r="AO102" s="3" t="e">
        <f>#REF!</f>
        <v>#REF!</v>
      </c>
      <c r="AP102" s="9" t="e">
        <f>VLOOKUP(AG102,#REF!,10,FALSE)</f>
        <v>#REF!</v>
      </c>
      <c r="AQ102" s="8">
        <f>SUMIFS(Capacity!$G$2:$G$2820,Capacity!$B$2:$B$2820,Demand_Modeling!AG102)</f>
        <v>0</v>
      </c>
      <c r="AS102" s="2" t="e">
        <f t="shared" si="34"/>
        <v>#REF!</v>
      </c>
      <c r="AT102" s="2" t="e">
        <f t="shared" si="35"/>
        <v>#REF!</v>
      </c>
      <c r="AU102" s="2" t="e">
        <f t="shared" si="36"/>
        <v>#REF!</v>
      </c>
      <c r="AV102" s="2" t="e">
        <f t="shared" si="37"/>
        <v>#REF!</v>
      </c>
      <c r="AW102" s="2" t="e">
        <f t="shared" si="38"/>
        <v>#REF!</v>
      </c>
      <c r="AX102" s="2" t="e">
        <f t="shared" si="39"/>
        <v>#REF!</v>
      </c>
      <c r="AY102" s="2" t="e">
        <f t="shared" si="40"/>
        <v>#REF!</v>
      </c>
      <c r="AZ102" s="10">
        <f t="shared" si="41"/>
        <v>0</v>
      </c>
      <c r="BA102" s="5" t="e">
        <f t="shared" si="42"/>
        <v>#REF!</v>
      </c>
    </row>
    <row r="103" spans="33:53" x14ac:dyDescent="0.3">
      <c r="AG103" t="e">
        <f t="shared" si="33"/>
        <v>#REF!</v>
      </c>
      <c r="AH103" t="e">
        <f>#REF!</f>
        <v>#REF!</v>
      </c>
      <c r="AI103" t="e">
        <f>#REF!</f>
        <v>#REF!</v>
      </c>
      <c r="AJ103" s="3" t="e">
        <f>#REF!</f>
        <v>#REF!</v>
      </c>
      <c r="AK103" s="3" t="e">
        <f>#REF!</f>
        <v>#REF!</v>
      </c>
      <c r="AL103" s="3" t="e">
        <f>#REF!</f>
        <v>#REF!</v>
      </c>
      <c r="AM103" s="3" t="e">
        <f>#REF!</f>
        <v>#REF!</v>
      </c>
      <c r="AN103" s="3" t="e">
        <f>#REF!</f>
        <v>#REF!</v>
      </c>
      <c r="AO103" s="3" t="e">
        <f>#REF!</f>
        <v>#REF!</v>
      </c>
      <c r="AP103" s="9" t="e">
        <f>VLOOKUP(AG103,#REF!,10,FALSE)</f>
        <v>#REF!</v>
      </c>
      <c r="AQ103" s="8">
        <f>SUMIFS(Capacity!$G$2:$G$2820,Capacity!$B$2:$B$2820,Demand_Modeling!AG103)</f>
        <v>0</v>
      </c>
      <c r="AS103" s="2" t="e">
        <f t="shared" si="34"/>
        <v>#REF!</v>
      </c>
      <c r="AT103" s="2" t="e">
        <f t="shared" si="35"/>
        <v>#REF!</v>
      </c>
      <c r="AU103" s="2" t="e">
        <f t="shared" si="36"/>
        <v>#REF!</v>
      </c>
      <c r="AV103" s="2" t="e">
        <f t="shared" si="37"/>
        <v>#REF!</v>
      </c>
      <c r="AW103" s="2" t="e">
        <f t="shared" si="38"/>
        <v>#REF!</v>
      </c>
      <c r="AX103" s="2" t="e">
        <f t="shared" si="39"/>
        <v>#REF!</v>
      </c>
      <c r="AY103" s="2" t="e">
        <f t="shared" si="40"/>
        <v>#REF!</v>
      </c>
      <c r="AZ103" s="10">
        <f t="shared" si="41"/>
        <v>0</v>
      </c>
      <c r="BA103" s="5" t="e">
        <f t="shared" si="42"/>
        <v>#REF!</v>
      </c>
    </row>
    <row r="104" spans="33:53" x14ac:dyDescent="0.3">
      <c r="AG104" t="e">
        <f t="shared" si="33"/>
        <v>#REF!</v>
      </c>
      <c r="AH104" t="e">
        <f>#REF!</f>
        <v>#REF!</v>
      </c>
      <c r="AI104" t="e">
        <f>#REF!</f>
        <v>#REF!</v>
      </c>
      <c r="AJ104" s="3" t="e">
        <f>#REF!</f>
        <v>#REF!</v>
      </c>
      <c r="AK104" s="3" t="e">
        <f>#REF!</f>
        <v>#REF!</v>
      </c>
      <c r="AL104" s="3" t="e">
        <f>#REF!</f>
        <v>#REF!</v>
      </c>
      <c r="AM104" s="3" t="e">
        <f>#REF!</f>
        <v>#REF!</v>
      </c>
      <c r="AN104" s="3" t="e">
        <f>#REF!</f>
        <v>#REF!</v>
      </c>
      <c r="AO104" s="3" t="e">
        <f>#REF!</f>
        <v>#REF!</v>
      </c>
      <c r="AP104" s="9" t="e">
        <f>VLOOKUP(AG104,#REF!,10,FALSE)</f>
        <v>#REF!</v>
      </c>
      <c r="AQ104" s="8">
        <f>SUMIFS(Capacity!$G$2:$G$2820,Capacity!$B$2:$B$2820,Demand_Modeling!AG104)</f>
        <v>0</v>
      </c>
      <c r="AS104" s="2" t="e">
        <f t="shared" si="34"/>
        <v>#REF!</v>
      </c>
      <c r="AT104" s="2" t="e">
        <f t="shared" si="35"/>
        <v>#REF!</v>
      </c>
      <c r="AU104" s="2" t="e">
        <f t="shared" si="36"/>
        <v>#REF!</v>
      </c>
      <c r="AV104" s="2" t="e">
        <f t="shared" si="37"/>
        <v>#REF!</v>
      </c>
      <c r="AW104" s="2" t="e">
        <f t="shared" si="38"/>
        <v>#REF!</v>
      </c>
      <c r="AX104" s="2" t="e">
        <f t="shared" si="39"/>
        <v>#REF!</v>
      </c>
      <c r="AY104" s="2" t="e">
        <f t="shared" si="40"/>
        <v>#REF!</v>
      </c>
      <c r="AZ104" s="10">
        <f t="shared" si="41"/>
        <v>0</v>
      </c>
      <c r="BA104" s="5" t="e">
        <f t="shared" si="42"/>
        <v>#REF!</v>
      </c>
    </row>
    <row r="105" spans="33:53" x14ac:dyDescent="0.3">
      <c r="AG105" t="e">
        <f t="shared" si="33"/>
        <v>#REF!</v>
      </c>
      <c r="AH105" t="e">
        <f>#REF!</f>
        <v>#REF!</v>
      </c>
      <c r="AI105" t="e">
        <f>#REF!</f>
        <v>#REF!</v>
      </c>
      <c r="AJ105" s="3" t="e">
        <f>#REF!</f>
        <v>#REF!</v>
      </c>
      <c r="AK105" s="3" t="e">
        <f>#REF!</f>
        <v>#REF!</v>
      </c>
      <c r="AL105" s="3" t="e">
        <f>#REF!</f>
        <v>#REF!</v>
      </c>
      <c r="AM105" s="3" t="e">
        <f>#REF!</f>
        <v>#REF!</v>
      </c>
      <c r="AN105" s="3" t="e">
        <f>#REF!</f>
        <v>#REF!</v>
      </c>
      <c r="AO105" s="3" t="e">
        <f>#REF!</f>
        <v>#REF!</v>
      </c>
      <c r="AP105" s="9" t="e">
        <f>VLOOKUP(AG105,#REF!,10,FALSE)</f>
        <v>#REF!</v>
      </c>
      <c r="AQ105" s="8">
        <f>SUMIFS(Capacity!$G$2:$G$2820,Capacity!$B$2:$B$2820,Demand_Modeling!AG105)</f>
        <v>0</v>
      </c>
      <c r="AS105" s="2" t="e">
        <f t="shared" si="34"/>
        <v>#REF!</v>
      </c>
      <c r="AT105" s="2" t="e">
        <f t="shared" si="35"/>
        <v>#REF!</v>
      </c>
      <c r="AU105" s="2" t="e">
        <f t="shared" si="36"/>
        <v>#REF!</v>
      </c>
      <c r="AV105" s="2" t="e">
        <f t="shared" si="37"/>
        <v>#REF!</v>
      </c>
      <c r="AW105" s="2" t="e">
        <f t="shared" si="38"/>
        <v>#REF!</v>
      </c>
      <c r="AX105" s="2" t="e">
        <f t="shared" si="39"/>
        <v>#REF!</v>
      </c>
      <c r="AY105" s="2" t="e">
        <f t="shared" si="40"/>
        <v>#REF!</v>
      </c>
      <c r="AZ105" s="10">
        <f t="shared" si="41"/>
        <v>0</v>
      </c>
      <c r="BA105" s="5" t="e">
        <f t="shared" si="42"/>
        <v>#REF!</v>
      </c>
    </row>
    <row r="106" spans="33:53" x14ac:dyDescent="0.3">
      <c r="AG106" t="e">
        <f t="shared" si="33"/>
        <v>#REF!</v>
      </c>
      <c r="AH106" t="e">
        <f>#REF!</f>
        <v>#REF!</v>
      </c>
      <c r="AI106" t="e">
        <f>#REF!</f>
        <v>#REF!</v>
      </c>
      <c r="AJ106" s="3" t="e">
        <f>#REF!</f>
        <v>#REF!</v>
      </c>
      <c r="AK106" s="3" t="e">
        <f>#REF!</f>
        <v>#REF!</v>
      </c>
      <c r="AL106" s="3" t="e">
        <f>#REF!</f>
        <v>#REF!</v>
      </c>
      <c r="AM106" s="3" t="e">
        <f>#REF!</f>
        <v>#REF!</v>
      </c>
      <c r="AN106" s="3" t="e">
        <f>#REF!</f>
        <v>#REF!</v>
      </c>
      <c r="AO106" s="3" t="e">
        <f>#REF!</f>
        <v>#REF!</v>
      </c>
      <c r="AP106" s="9" t="e">
        <f>VLOOKUP(AG106,#REF!,10,FALSE)</f>
        <v>#REF!</v>
      </c>
      <c r="AQ106" s="8">
        <f>SUMIFS(Capacity!$G$2:$G$2820,Capacity!$B$2:$B$2820,Demand_Modeling!AG106)</f>
        <v>0</v>
      </c>
      <c r="AS106" s="2" t="e">
        <f t="shared" si="34"/>
        <v>#REF!</v>
      </c>
      <c r="AT106" s="2" t="e">
        <f t="shared" si="35"/>
        <v>#REF!</v>
      </c>
      <c r="AU106" s="2" t="e">
        <f t="shared" si="36"/>
        <v>#REF!</v>
      </c>
      <c r="AV106" s="2" t="e">
        <f t="shared" si="37"/>
        <v>#REF!</v>
      </c>
      <c r="AW106" s="2" t="e">
        <f t="shared" si="38"/>
        <v>#REF!</v>
      </c>
      <c r="AX106" s="2" t="e">
        <f t="shared" si="39"/>
        <v>#REF!</v>
      </c>
      <c r="AY106" s="2" t="e">
        <f t="shared" si="40"/>
        <v>#REF!</v>
      </c>
      <c r="AZ106" s="10">
        <f t="shared" si="41"/>
        <v>0</v>
      </c>
      <c r="BA106" s="5" t="e">
        <f t="shared" si="42"/>
        <v>#REF!</v>
      </c>
    </row>
    <row r="107" spans="33:53" x14ac:dyDescent="0.3">
      <c r="AG107" t="e">
        <f t="shared" si="33"/>
        <v>#REF!</v>
      </c>
      <c r="AH107" t="e">
        <f>#REF!</f>
        <v>#REF!</v>
      </c>
      <c r="AI107" t="e">
        <f>#REF!</f>
        <v>#REF!</v>
      </c>
      <c r="AJ107" s="3" t="e">
        <f>#REF!</f>
        <v>#REF!</v>
      </c>
      <c r="AK107" s="3" t="e">
        <f>#REF!</f>
        <v>#REF!</v>
      </c>
      <c r="AL107" s="3" t="e">
        <f>#REF!</f>
        <v>#REF!</v>
      </c>
      <c r="AM107" s="3" t="e">
        <f>#REF!</f>
        <v>#REF!</v>
      </c>
      <c r="AN107" s="3" t="e">
        <f>#REF!</f>
        <v>#REF!</v>
      </c>
      <c r="AO107" s="3" t="e">
        <f>#REF!</f>
        <v>#REF!</v>
      </c>
      <c r="AP107" s="9" t="e">
        <f>VLOOKUP(AG107,#REF!,10,FALSE)</f>
        <v>#REF!</v>
      </c>
      <c r="AQ107" s="8">
        <f>SUMIFS(Capacity!$G$2:$G$2820,Capacity!$B$2:$B$2820,Demand_Modeling!AG107)</f>
        <v>0</v>
      </c>
      <c r="AS107" s="2" t="e">
        <f t="shared" si="34"/>
        <v>#REF!</v>
      </c>
      <c r="AT107" s="2" t="e">
        <f t="shared" si="35"/>
        <v>#REF!</v>
      </c>
      <c r="AU107" s="2" t="e">
        <f t="shared" si="36"/>
        <v>#REF!</v>
      </c>
      <c r="AV107" s="2" t="e">
        <f t="shared" si="37"/>
        <v>#REF!</v>
      </c>
      <c r="AW107" s="2" t="e">
        <f t="shared" si="38"/>
        <v>#REF!</v>
      </c>
      <c r="AX107" s="2" t="e">
        <f t="shared" si="39"/>
        <v>#REF!</v>
      </c>
      <c r="AY107" s="2" t="e">
        <f t="shared" si="40"/>
        <v>#REF!</v>
      </c>
      <c r="AZ107" s="10">
        <f t="shared" si="41"/>
        <v>0</v>
      </c>
      <c r="BA107" s="5" t="e">
        <f t="shared" si="42"/>
        <v>#REF!</v>
      </c>
    </row>
    <row r="108" spans="33:53" x14ac:dyDescent="0.3">
      <c r="AG108" t="e">
        <f t="shared" si="33"/>
        <v>#REF!</v>
      </c>
      <c r="AH108" t="e">
        <f>#REF!</f>
        <v>#REF!</v>
      </c>
      <c r="AI108" t="e">
        <f>#REF!</f>
        <v>#REF!</v>
      </c>
      <c r="AJ108" s="3" t="e">
        <f>#REF!</f>
        <v>#REF!</v>
      </c>
      <c r="AK108" s="3" t="e">
        <f>#REF!</f>
        <v>#REF!</v>
      </c>
      <c r="AL108" s="3" t="e">
        <f>#REF!</f>
        <v>#REF!</v>
      </c>
      <c r="AM108" s="3" t="e">
        <f>#REF!</f>
        <v>#REF!</v>
      </c>
      <c r="AN108" s="3" t="e">
        <f>#REF!</f>
        <v>#REF!</v>
      </c>
      <c r="AO108" s="3" t="e">
        <f>#REF!</f>
        <v>#REF!</v>
      </c>
      <c r="AP108" s="9" t="e">
        <f>VLOOKUP(AG108,#REF!,10,FALSE)</f>
        <v>#REF!</v>
      </c>
      <c r="AQ108" s="8">
        <f>SUMIFS(Capacity!$G$2:$G$2820,Capacity!$B$2:$B$2820,Demand_Modeling!AG108)</f>
        <v>0</v>
      </c>
      <c r="AS108" s="2" t="e">
        <f t="shared" si="34"/>
        <v>#REF!</v>
      </c>
      <c r="AT108" s="2" t="e">
        <f t="shared" si="35"/>
        <v>#REF!</v>
      </c>
      <c r="AU108" s="2" t="e">
        <f t="shared" si="36"/>
        <v>#REF!</v>
      </c>
      <c r="AV108" s="2" t="e">
        <f t="shared" si="37"/>
        <v>#REF!</v>
      </c>
      <c r="AW108" s="2" t="e">
        <f t="shared" si="38"/>
        <v>#REF!</v>
      </c>
      <c r="AX108" s="2" t="e">
        <f t="shared" si="39"/>
        <v>#REF!</v>
      </c>
      <c r="AY108" s="2" t="e">
        <f t="shared" si="40"/>
        <v>#REF!</v>
      </c>
      <c r="AZ108" s="10">
        <f t="shared" si="41"/>
        <v>0</v>
      </c>
      <c r="BA108" s="5" t="e">
        <f t="shared" si="42"/>
        <v>#REF!</v>
      </c>
    </row>
    <row r="109" spans="33:53" x14ac:dyDescent="0.3">
      <c r="AG109" t="e">
        <f t="shared" si="33"/>
        <v>#REF!</v>
      </c>
      <c r="AH109" t="e">
        <f>#REF!</f>
        <v>#REF!</v>
      </c>
      <c r="AI109" t="e">
        <f>#REF!</f>
        <v>#REF!</v>
      </c>
      <c r="AJ109" s="3" t="e">
        <f>#REF!</f>
        <v>#REF!</v>
      </c>
      <c r="AK109" s="3" t="e">
        <f>#REF!</f>
        <v>#REF!</v>
      </c>
      <c r="AL109" s="3" t="e">
        <f>#REF!</f>
        <v>#REF!</v>
      </c>
      <c r="AM109" s="3" t="e">
        <f>#REF!</f>
        <v>#REF!</v>
      </c>
      <c r="AN109" s="3" t="e">
        <f>#REF!</f>
        <v>#REF!</v>
      </c>
      <c r="AO109" s="3" t="e">
        <f>#REF!</f>
        <v>#REF!</v>
      </c>
      <c r="AP109" s="9" t="e">
        <f>VLOOKUP(AG109,#REF!,10,FALSE)</f>
        <v>#REF!</v>
      </c>
      <c r="AQ109" s="8">
        <f>SUMIFS(Capacity!$G$2:$G$2820,Capacity!$B$2:$B$2820,Demand_Modeling!AG109)</f>
        <v>0</v>
      </c>
      <c r="AS109" s="2" t="e">
        <f t="shared" si="34"/>
        <v>#REF!</v>
      </c>
      <c r="AT109" s="2" t="e">
        <f t="shared" si="35"/>
        <v>#REF!</v>
      </c>
      <c r="AU109" s="2" t="e">
        <f t="shared" si="36"/>
        <v>#REF!</v>
      </c>
      <c r="AV109" s="2" t="e">
        <f t="shared" si="37"/>
        <v>#REF!</v>
      </c>
      <c r="AW109" s="2" t="e">
        <f t="shared" si="38"/>
        <v>#REF!</v>
      </c>
      <c r="AX109" s="2" t="e">
        <f t="shared" si="39"/>
        <v>#REF!</v>
      </c>
      <c r="AY109" s="2" t="e">
        <f t="shared" si="40"/>
        <v>#REF!</v>
      </c>
      <c r="AZ109" s="10">
        <f t="shared" si="41"/>
        <v>0</v>
      </c>
      <c r="BA109" s="5" t="e">
        <f t="shared" si="42"/>
        <v>#REF!</v>
      </c>
    </row>
    <row r="110" spans="33:53" x14ac:dyDescent="0.3">
      <c r="AG110" t="e">
        <f t="shared" si="33"/>
        <v>#REF!</v>
      </c>
      <c r="AH110" t="e">
        <f>#REF!</f>
        <v>#REF!</v>
      </c>
      <c r="AI110" t="e">
        <f>#REF!</f>
        <v>#REF!</v>
      </c>
      <c r="AJ110" s="3" t="e">
        <f>#REF!</f>
        <v>#REF!</v>
      </c>
      <c r="AK110" s="3" t="e">
        <f>#REF!</f>
        <v>#REF!</v>
      </c>
      <c r="AL110" s="3" t="e">
        <f>#REF!</f>
        <v>#REF!</v>
      </c>
      <c r="AM110" s="3" t="e">
        <f>#REF!</f>
        <v>#REF!</v>
      </c>
      <c r="AN110" s="3" t="e">
        <f>#REF!</f>
        <v>#REF!</v>
      </c>
      <c r="AO110" s="3" t="e">
        <f>#REF!</f>
        <v>#REF!</v>
      </c>
      <c r="AP110" s="9" t="e">
        <f>VLOOKUP(AG110,#REF!,10,FALSE)</f>
        <v>#REF!</v>
      </c>
      <c r="AQ110" s="8">
        <f>SUMIFS(Capacity!$G$2:$G$2820,Capacity!$B$2:$B$2820,Demand_Modeling!AG110)</f>
        <v>0</v>
      </c>
      <c r="AS110" s="2" t="e">
        <f t="shared" si="34"/>
        <v>#REF!</v>
      </c>
      <c r="AT110" s="2" t="e">
        <f t="shared" si="35"/>
        <v>#REF!</v>
      </c>
      <c r="AU110" s="2" t="e">
        <f t="shared" si="36"/>
        <v>#REF!</v>
      </c>
      <c r="AV110" s="2" t="e">
        <f t="shared" si="37"/>
        <v>#REF!</v>
      </c>
      <c r="AW110" s="2" t="e">
        <f t="shared" si="38"/>
        <v>#REF!</v>
      </c>
      <c r="AX110" s="2" t="e">
        <f t="shared" si="39"/>
        <v>#REF!</v>
      </c>
      <c r="AY110" s="2" t="e">
        <f t="shared" si="40"/>
        <v>#REF!</v>
      </c>
      <c r="AZ110" s="10">
        <f t="shared" si="41"/>
        <v>0</v>
      </c>
      <c r="BA110" s="5" t="e">
        <f t="shared" si="42"/>
        <v>#REF!</v>
      </c>
    </row>
    <row r="111" spans="33:53" x14ac:dyDescent="0.3">
      <c r="AG111" t="e">
        <f t="shared" si="33"/>
        <v>#REF!</v>
      </c>
      <c r="AH111" t="e">
        <f>#REF!</f>
        <v>#REF!</v>
      </c>
      <c r="AI111" t="e">
        <f>#REF!</f>
        <v>#REF!</v>
      </c>
      <c r="AJ111" s="3" t="e">
        <f>#REF!</f>
        <v>#REF!</v>
      </c>
      <c r="AK111" s="3" t="e">
        <f>#REF!</f>
        <v>#REF!</v>
      </c>
      <c r="AL111" s="3" t="e">
        <f>#REF!</f>
        <v>#REF!</v>
      </c>
      <c r="AM111" s="3" t="e">
        <f>#REF!</f>
        <v>#REF!</v>
      </c>
      <c r="AN111" s="3" t="e">
        <f>#REF!</f>
        <v>#REF!</v>
      </c>
      <c r="AO111" s="3" t="e">
        <f>#REF!</f>
        <v>#REF!</v>
      </c>
      <c r="AP111" s="9" t="e">
        <f>VLOOKUP(AG111,#REF!,10,FALSE)</f>
        <v>#REF!</v>
      </c>
      <c r="AQ111" s="8">
        <f>SUMIFS(Capacity!$G$2:$G$2820,Capacity!$B$2:$B$2820,Demand_Modeling!AG111)</f>
        <v>0</v>
      </c>
      <c r="AS111" s="2" t="e">
        <f t="shared" si="34"/>
        <v>#REF!</v>
      </c>
      <c r="AT111" s="2" t="e">
        <f t="shared" si="35"/>
        <v>#REF!</v>
      </c>
      <c r="AU111" s="2" t="e">
        <f t="shared" si="36"/>
        <v>#REF!</v>
      </c>
      <c r="AV111" s="2" t="e">
        <f t="shared" si="37"/>
        <v>#REF!</v>
      </c>
      <c r="AW111" s="2" t="e">
        <f t="shared" si="38"/>
        <v>#REF!</v>
      </c>
      <c r="AX111" s="2" t="e">
        <f t="shared" si="39"/>
        <v>#REF!</v>
      </c>
      <c r="AY111" s="2" t="e">
        <f t="shared" si="40"/>
        <v>#REF!</v>
      </c>
      <c r="AZ111" s="10">
        <f t="shared" si="41"/>
        <v>0</v>
      </c>
      <c r="BA111" s="5" t="e">
        <f t="shared" si="42"/>
        <v>#REF!</v>
      </c>
    </row>
    <row r="112" spans="33:53" x14ac:dyDescent="0.3">
      <c r="AG112" t="e">
        <f t="shared" si="33"/>
        <v>#REF!</v>
      </c>
      <c r="AH112" t="e">
        <f>#REF!</f>
        <v>#REF!</v>
      </c>
      <c r="AI112" t="e">
        <f>#REF!</f>
        <v>#REF!</v>
      </c>
      <c r="AJ112" s="3" t="e">
        <f>#REF!</f>
        <v>#REF!</v>
      </c>
      <c r="AK112" s="3" t="e">
        <f>#REF!</f>
        <v>#REF!</v>
      </c>
      <c r="AL112" s="3" t="e">
        <f>#REF!</f>
        <v>#REF!</v>
      </c>
      <c r="AM112" s="3" t="e">
        <f>#REF!</f>
        <v>#REF!</v>
      </c>
      <c r="AN112" s="3" t="e">
        <f>#REF!</f>
        <v>#REF!</v>
      </c>
      <c r="AO112" s="3" t="e">
        <f>#REF!</f>
        <v>#REF!</v>
      </c>
      <c r="AP112" s="9" t="e">
        <f>VLOOKUP(AG112,#REF!,10,FALSE)</f>
        <v>#REF!</v>
      </c>
      <c r="AQ112" s="8">
        <f>SUMIFS(Capacity!$G$2:$G$2820,Capacity!$B$2:$B$2820,Demand_Modeling!AG112)</f>
        <v>0</v>
      </c>
      <c r="AS112" s="2" t="e">
        <f t="shared" si="34"/>
        <v>#REF!</v>
      </c>
      <c r="AT112" s="2" t="e">
        <f t="shared" si="35"/>
        <v>#REF!</v>
      </c>
      <c r="AU112" s="2" t="e">
        <f t="shared" si="36"/>
        <v>#REF!</v>
      </c>
      <c r="AV112" s="2" t="e">
        <f t="shared" si="37"/>
        <v>#REF!</v>
      </c>
      <c r="AW112" s="2" t="e">
        <f t="shared" si="38"/>
        <v>#REF!</v>
      </c>
      <c r="AX112" s="2" t="e">
        <f t="shared" si="39"/>
        <v>#REF!</v>
      </c>
      <c r="AY112" s="2" t="e">
        <f t="shared" si="40"/>
        <v>#REF!</v>
      </c>
      <c r="AZ112" s="10">
        <f t="shared" si="41"/>
        <v>0</v>
      </c>
      <c r="BA112" s="5" t="e">
        <f t="shared" si="42"/>
        <v>#REF!</v>
      </c>
    </row>
    <row r="113" spans="33:53" x14ac:dyDescent="0.3">
      <c r="AG113" t="e">
        <f t="shared" si="33"/>
        <v>#REF!</v>
      </c>
      <c r="AH113" t="e">
        <f>#REF!</f>
        <v>#REF!</v>
      </c>
      <c r="AI113" t="e">
        <f>#REF!</f>
        <v>#REF!</v>
      </c>
      <c r="AJ113" s="3" t="e">
        <f>#REF!</f>
        <v>#REF!</v>
      </c>
      <c r="AK113" s="3" t="e">
        <f>#REF!</f>
        <v>#REF!</v>
      </c>
      <c r="AL113" s="3" t="e">
        <f>#REF!</f>
        <v>#REF!</v>
      </c>
      <c r="AM113" s="3" t="e">
        <f>#REF!</f>
        <v>#REF!</v>
      </c>
      <c r="AN113" s="3" t="e">
        <f>#REF!</f>
        <v>#REF!</v>
      </c>
      <c r="AO113" s="3" t="e">
        <f>#REF!</f>
        <v>#REF!</v>
      </c>
      <c r="AP113" s="9" t="e">
        <f>VLOOKUP(AG113,#REF!,10,FALSE)</f>
        <v>#REF!</v>
      </c>
      <c r="AQ113" s="8">
        <f>SUMIFS(Capacity!$G$2:$G$2820,Capacity!$B$2:$B$2820,Demand_Modeling!AG113)</f>
        <v>0</v>
      </c>
      <c r="AS113" s="2" t="e">
        <f t="shared" si="34"/>
        <v>#REF!</v>
      </c>
      <c r="AT113" s="2" t="e">
        <f t="shared" si="35"/>
        <v>#REF!</v>
      </c>
      <c r="AU113" s="2" t="e">
        <f t="shared" si="36"/>
        <v>#REF!</v>
      </c>
      <c r="AV113" s="2" t="e">
        <f t="shared" si="37"/>
        <v>#REF!</v>
      </c>
      <c r="AW113" s="2" t="e">
        <f t="shared" si="38"/>
        <v>#REF!</v>
      </c>
      <c r="AX113" s="2" t="e">
        <f t="shared" si="39"/>
        <v>#REF!</v>
      </c>
      <c r="AY113" s="2" t="e">
        <f t="shared" si="40"/>
        <v>#REF!</v>
      </c>
      <c r="AZ113" s="10">
        <f t="shared" si="41"/>
        <v>0</v>
      </c>
      <c r="BA113" s="5" t="e">
        <f t="shared" si="42"/>
        <v>#REF!</v>
      </c>
    </row>
    <row r="114" spans="33:53" x14ac:dyDescent="0.3">
      <c r="AG114" t="e">
        <f t="shared" si="33"/>
        <v>#REF!</v>
      </c>
      <c r="AH114" t="e">
        <f>#REF!</f>
        <v>#REF!</v>
      </c>
      <c r="AI114" t="e">
        <f>#REF!</f>
        <v>#REF!</v>
      </c>
      <c r="AJ114" s="3" t="e">
        <f>#REF!</f>
        <v>#REF!</v>
      </c>
      <c r="AK114" s="3" t="e">
        <f>#REF!</f>
        <v>#REF!</v>
      </c>
      <c r="AL114" s="3" t="e">
        <f>#REF!</f>
        <v>#REF!</v>
      </c>
      <c r="AM114" s="3" t="e">
        <f>#REF!</f>
        <v>#REF!</v>
      </c>
      <c r="AN114" s="3" t="e">
        <f>#REF!</f>
        <v>#REF!</v>
      </c>
      <c r="AO114" s="3" t="e">
        <f>#REF!</f>
        <v>#REF!</v>
      </c>
      <c r="AP114" s="9" t="e">
        <f>VLOOKUP(AG114,#REF!,10,FALSE)</f>
        <v>#REF!</v>
      </c>
      <c r="AQ114" s="8">
        <f>SUMIFS(Capacity!$G$2:$G$2820,Capacity!$B$2:$B$2820,Demand_Modeling!AG114)</f>
        <v>0</v>
      </c>
      <c r="AS114" s="2" t="e">
        <f t="shared" si="34"/>
        <v>#REF!</v>
      </c>
      <c r="AT114" s="2" t="e">
        <f t="shared" si="35"/>
        <v>#REF!</v>
      </c>
      <c r="AU114" s="2" t="e">
        <f t="shared" si="36"/>
        <v>#REF!</v>
      </c>
      <c r="AV114" s="2" t="e">
        <f t="shared" si="37"/>
        <v>#REF!</v>
      </c>
      <c r="AW114" s="2" t="e">
        <f t="shared" si="38"/>
        <v>#REF!</v>
      </c>
      <c r="AX114" s="2" t="e">
        <f t="shared" si="39"/>
        <v>#REF!</v>
      </c>
      <c r="AY114" s="2" t="e">
        <f t="shared" si="40"/>
        <v>#REF!</v>
      </c>
      <c r="AZ114" s="10">
        <f t="shared" si="41"/>
        <v>0</v>
      </c>
      <c r="BA114" s="5" t="e">
        <f t="shared" si="42"/>
        <v>#REF!</v>
      </c>
    </row>
    <row r="115" spans="33:53" x14ac:dyDescent="0.3">
      <c r="AG115" t="e">
        <f t="shared" si="33"/>
        <v>#REF!</v>
      </c>
      <c r="AH115" t="e">
        <f>#REF!</f>
        <v>#REF!</v>
      </c>
      <c r="AI115" t="e">
        <f>#REF!</f>
        <v>#REF!</v>
      </c>
      <c r="AJ115" s="3" t="e">
        <f>#REF!</f>
        <v>#REF!</v>
      </c>
      <c r="AK115" s="3" t="e">
        <f>#REF!</f>
        <v>#REF!</v>
      </c>
      <c r="AL115" s="3" t="e">
        <f>#REF!</f>
        <v>#REF!</v>
      </c>
      <c r="AM115" s="3" t="e">
        <f>#REF!</f>
        <v>#REF!</v>
      </c>
      <c r="AN115" s="3" t="e">
        <f>#REF!</f>
        <v>#REF!</v>
      </c>
      <c r="AO115" s="3" t="e">
        <f>#REF!</f>
        <v>#REF!</v>
      </c>
      <c r="AP115" s="9" t="e">
        <f>VLOOKUP(AG115,#REF!,10,FALSE)</f>
        <v>#REF!</v>
      </c>
      <c r="AQ115" s="8">
        <f>SUMIFS(Capacity!$G$2:$G$2820,Capacity!$B$2:$B$2820,Demand_Modeling!AG115)</f>
        <v>0</v>
      </c>
      <c r="AS115" s="2" t="e">
        <f t="shared" si="34"/>
        <v>#REF!</v>
      </c>
      <c r="AT115" s="2" t="e">
        <f t="shared" si="35"/>
        <v>#REF!</v>
      </c>
      <c r="AU115" s="2" t="e">
        <f t="shared" si="36"/>
        <v>#REF!</v>
      </c>
      <c r="AV115" s="2" t="e">
        <f t="shared" si="37"/>
        <v>#REF!</v>
      </c>
      <c r="AW115" s="2" t="e">
        <f t="shared" si="38"/>
        <v>#REF!</v>
      </c>
      <c r="AX115" s="2" t="e">
        <f t="shared" si="39"/>
        <v>#REF!</v>
      </c>
      <c r="AY115" s="2" t="e">
        <f t="shared" si="40"/>
        <v>#REF!</v>
      </c>
      <c r="AZ115" s="10">
        <f t="shared" si="41"/>
        <v>0</v>
      </c>
      <c r="BA115" s="5" t="e">
        <f t="shared" si="42"/>
        <v>#REF!</v>
      </c>
    </row>
    <row r="116" spans="33:53" x14ac:dyDescent="0.3">
      <c r="AG116" t="e">
        <f t="shared" si="33"/>
        <v>#REF!</v>
      </c>
      <c r="AH116" t="e">
        <f>#REF!</f>
        <v>#REF!</v>
      </c>
      <c r="AI116" t="e">
        <f>#REF!</f>
        <v>#REF!</v>
      </c>
      <c r="AJ116" s="3" t="e">
        <f>#REF!</f>
        <v>#REF!</v>
      </c>
      <c r="AK116" s="3" t="e">
        <f>#REF!</f>
        <v>#REF!</v>
      </c>
      <c r="AL116" s="3" t="e">
        <f>#REF!</f>
        <v>#REF!</v>
      </c>
      <c r="AM116" s="3" t="e">
        <f>#REF!</f>
        <v>#REF!</v>
      </c>
      <c r="AN116" s="3" t="e">
        <f>#REF!</f>
        <v>#REF!</v>
      </c>
      <c r="AO116" s="3" t="e">
        <f>#REF!</f>
        <v>#REF!</v>
      </c>
      <c r="AP116" s="9" t="e">
        <f>VLOOKUP(AG116,#REF!,10,FALSE)</f>
        <v>#REF!</v>
      </c>
      <c r="AQ116" s="8">
        <f>SUMIFS(Capacity!$G$2:$G$2820,Capacity!$B$2:$B$2820,Demand_Modeling!AG116)</f>
        <v>0</v>
      </c>
      <c r="AS116" s="2" t="e">
        <f t="shared" si="34"/>
        <v>#REF!</v>
      </c>
      <c r="AT116" s="2" t="e">
        <f t="shared" si="35"/>
        <v>#REF!</v>
      </c>
      <c r="AU116" s="2" t="e">
        <f t="shared" si="36"/>
        <v>#REF!</v>
      </c>
      <c r="AV116" s="2" t="e">
        <f t="shared" si="37"/>
        <v>#REF!</v>
      </c>
      <c r="AW116" s="2" t="e">
        <f t="shared" si="38"/>
        <v>#REF!</v>
      </c>
      <c r="AX116" s="2" t="e">
        <f t="shared" si="39"/>
        <v>#REF!</v>
      </c>
      <c r="AY116" s="2" t="e">
        <f t="shared" si="40"/>
        <v>#REF!</v>
      </c>
      <c r="AZ116" s="10">
        <f t="shared" si="41"/>
        <v>0</v>
      </c>
      <c r="BA116" s="5" t="e">
        <f t="shared" si="42"/>
        <v>#REF!</v>
      </c>
    </row>
    <row r="117" spans="33:53" x14ac:dyDescent="0.3">
      <c r="AG117" t="e">
        <f t="shared" si="33"/>
        <v>#REF!</v>
      </c>
      <c r="AH117" t="e">
        <f>#REF!</f>
        <v>#REF!</v>
      </c>
      <c r="AI117" t="e">
        <f>#REF!</f>
        <v>#REF!</v>
      </c>
      <c r="AJ117" s="3" t="e">
        <f>#REF!</f>
        <v>#REF!</v>
      </c>
      <c r="AK117" s="3" t="e">
        <f>#REF!</f>
        <v>#REF!</v>
      </c>
      <c r="AL117" s="3" t="e">
        <f>#REF!</f>
        <v>#REF!</v>
      </c>
      <c r="AM117" s="3" t="e">
        <f>#REF!</f>
        <v>#REF!</v>
      </c>
      <c r="AN117" s="3" t="e">
        <f>#REF!</f>
        <v>#REF!</v>
      </c>
      <c r="AO117" s="3" t="e">
        <f>#REF!</f>
        <v>#REF!</v>
      </c>
      <c r="AP117" s="9" t="e">
        <f>VLOOKUP(AG117,#REF!,10,FALSE)</f>
        <v>#REF!</v>
      </c>
      <c r="AQ117" s="8">
        <f>SUMIFS(Capacity!$G$2:$G$2820,Capacity!$B$2:$B$2820,Demand_Modeling!AG117)</f>
        <v>0</v>
      </c>
      <c r="AS117" s="2" t="e">
        <f t="shared" si="34"/>
        <v>#REF!</v>
      </c>
      <c r="AT117" s="2" t="e">
        <f t="shared" si="35"/>
        <v>#REF!</v>
      </c>
      <c r="AU117" s="2" t="e">
        <f t="shared" si="36"/>
        <v>#REF!</v>
      </c>
      <c r="AV117" s="2" t="e">
        <f t="shared" si="37"/>
        <v>#REF!</v>
      </c>
      <c r="AW117" s="2" t="e">
        <f t="shared" si="38"/>
        <v>#REF!</v>
      </c>
      <c r="AX117" s="2" t="e">
        <f t="shared" si="39"/>
        <v>#REF!</v>
      </c>
      <c r="AY117" s="2" t="e">
        <f t="shared" si="40"/>
        <v>#REF!</v>
      </c>
      <c r="AZ117" s="10">
        <f t="shared" si="41"/>
        <v>0</v>
      </c>
      <c r="BA117" s="5" t="e">
        <f t="shared" si="42"/>
        <v>#REF!</v>
      </c>
    </row>
    <row r="118" spans="33:53" x14ac:dyDescent="0.3">
      <c r="AG118" t="e">
        <f t="shared" si="33"/>
        <v>#REF!</v>
      </c>
      <c r="AH118" t="e">
        <f>#REF!</f>
        <v>#REF!</v>
      </c>
      <c r="AI118" t="e">
        <f>#REF!</f>
        <v>#REF!</v>
      </c>
      <c r="AJ118" s="3" t="e">
        <f>#REF!</f>
        <v>#REF!</v>
      </c>
      <c r="AK118" s="3" t="e">
        <f>#REF!</f>
        <v>#REF!</v>
      </c>
      <c r="AL118" s="3" t="e">
        <f>#REF!</f>
        <v>#REF!</v>
      </c>
      <c r="AM118" s="3" t="e">
        <f>#REF!</f>
        <v>#REF!</v>
      </c>
      <c r="AN118" s="3" t="e">
        <f>#REF!</f>
        <v>#REF!</v>
      </c>
      <c r="AO118" s="3" t="e">
        <f>#REF!</f>
        <v>#REF!</v>
      </c>
      <c r="AP118" s="9" t="e">
        <f>VLOOKUP(AG118,#REF!,10,FALSE)</f>
        <v>#REF!</v>
      </c>
      <c r="AQ118" s="8">
        <f>SUMIFS(Capacity!$G$2:$G$2820,Capacity!$B$2:$B$2820,Demand_Modeling!AG118)</f>
        <v>0</v>
      </c>
      <c r="AS118" s="2" t="e">
        <f t="shared" si="34"/>
        <v>#REF!</v>
      </c>
      <c r="AT118" s="2" t="e">
        <f t="shared" si="35"/>
        <v>#REF!</v>
      </c>
      <c r="AU118" s="2" t="e">
        <f t="shared" si="36"/>
        <v>#REF!</v>
      </c>
      <c r="AV118" s="2" t="e">
        <f t="shared" si="37"/>
        <v>#REF!</v>
      </c>
      <c r="AW118" s="2" t="e">
        <f t="shared" si="38"/>
        <v>#REF!</v>
      </c>
      <c r="AX118" s="2" t="e">
        <f t="shared" si="39"/>
        <v>#REF!</v>
      </c>
      <c r="AY118" s="2" t="e">
        <f t="shared" si="40"/>
        <v>#REF!</v>
      </c>
      <c r="AZ118" s="10">
        <f t="shared" si="41"/>
        <v>0</v>
      </c>
      <c r="BA118" s="5" t="e">
        <f t="shared" si="42"/>
        <v>#REF!</v>
      </c>
    </row>
    <row r="119" spans="33:53" x14ac:dyDescent="0.3">
      <c r="AG119" t="e">
        <f t="shared" si="33"/>
        <v>#REF!</v>
      </c>
      <c r="AH119" t="e">
        <f>#REF!</f>
        <v>#REF!</v>
      </c>
      <c r="AI119" t="e">
        <f>#REF!</f>
        <v>#REF!</v>
      </c>
      <c r="AJ119" s="3" t="e">
        <f>#REF!</f>
        <v>#REF!</v>
      </c>
      <c r="AK119" s="3" t="e">
        <f>#REF!</f>
        <v>#REF!</v>
      </c>
      <c r="AL119" s="3" t="e">
        <f>#REF!</f>
        <v>#REF!</v>
      </c>
      <c r="AM119" s="3" t="e">
        <f>#REF!</f>
        <v>#REF!</v>
      </c>
      <c r="AN119" s="3" t="e">
        <f>#REF!</f>
        <v>#REF!</v>
      </c>
      <c r="AO119" s="3" t="e">
        <f>#REF!</f>
        <v>#REF!</v>
      </c>
      <c r="AP119" s="9" t="e">
        <f>VLOOKUP(AG119,#REF!,10,FALSE)</f>
        <v>#REF!</v>
      </c>
      <c r="AQ119" s="8">
        <f>SUMIFS(Capacity!$G$2:$G$2820,Capacity!$B$2:$B$2820,Demand_Modeling!AG119)</f>
        <v>0</v>
      </c>
      <c r="AS119" s="2" t="e">
        <f t="shared" si="34"/>
        <v>#REF!</v>
      </c>
      <c r="AT119" s="2" t="e">
        <f t="shared" si="35"/>
        <v>#REF!</v>
      </c>
      <c r="AU119" s="2" t="e">
        <f t="shared" si="36"/>
        <v>#REF!</v>
      </c>
      <c r="AV119" s="2" t="e">
        <f t="shared" si="37"/>
        <v>#REF!</v>
      </c>
      <c r="AW119" s="2" t="e">
        <f t="shared" si="38"/>
        <v>#REF!</v>
      </c>
      <c r="AX119" s="2" t="e">
        <f t="shared" si="39"/>
        <v>#REF!</v>
      </c>
      <c r="AY119" s="2" t="e">
        <f t="shared" si="40"/>
        <v>#REF!</v>
      </c>
      <c r="AZ119" s="10">
        <f t="shared" si="41"/>
        <v>0</v>
      </c>
      <c r="BA119" s="5" t="e">
        <f t="shared" si="42"/>
        <v>#REF!</v>
      </c>
    </row>
    <row r="120" spans="33:53" x14ac:dyDescent="0.3">
      <c r="AG120" t="e">
        <f t="shared" si="33"/>
        <v>#REF!</v>
      </c>
      <c r="AH120" t="e">
        <f>#REF!</f>
        <v>#REF!</v>
      </c>
      <c r="AI120" t="e">
        <f>#REF!</f>
        <v>#REF!</v>
      </c>
      <c r="AJ120" s="3" t="e">
        <f>#REF!</f>
        <v>#REF!</v>
      </c>
      <c r="AK120" s="3" t="e">
        <f>#REF!</f>
        <v>#REF!</v>
      </c>
      <c r="AL120" s="3" t="e">
        <f>#REF!</f>
        <v>#REF!</v>
      </c>
      <c r="AM120" s="3" t="e">
        <f>#REF!</f>
        <v>#REF!</v>
      </c>
      <c r="AN120" s="3" t="e">
        <f>#REF!</f>
        <v>#REF!</v>
      </c>
      <c r="AO120" s="3" t="e">
        <f>#REF!</f>
        <v>#REF!</v>
      </c>
      <c r="AP120" s="9" t="e">
        <f>VLOOKUP(AG120,#REF!,10,FALSE)</f>
        <v>#REF!</v>
      </c>
      <c r="AQ120" s="8">
        <f>SUMIFS(Capacity!$G$2:$G$2820,Capacity!$B$2:$B$2820,Demand_Modeling!AG120)</f>
        <v>0</v>
      </c>
      <c r="AS120" s="2" t="e">
        <f t="shared" si="34"/>
        <v>#REF!</v>
      </c>
      <c r="AT120" s="2" t="e">
        <f t="shared" si="35"/>
        <v>#REF!</v>
      </c>
      <c r="AU120" s="2" t="e">
        <f t="shared" si="36"/>
        <v>#REF!</v>
      </c>
      <c r="AV120" s="2" t="e">
        <f t="shared" si="37"/>
        <v>#REF!</v>
      </c>
      <c r="AW120" s="2" t="e">
        <f t="shared" si="38"/>
        <v>#REF!</v>
      </c>
      <c r="AX120" s="2" t="e">
        <f t="shared" si="39"/>
        <v>#REF!</v>
      </c>
      <c r="AY120" s="2" t="e">
        <f t="shared" si="40"/>
        <v>#REF!</v>
      </c>
      <c r="AZ120" s="10">
        <f t="shared" si="41"/>
        <v>0</v>
      </c>
      <c r="BA120" s="5" t="e">
        <f t="shared" si="42"/>
        <v>#REF!</v>
      </c>
    </row>
    <row r="121" spans="33:53" x14ac:dyDescent="0.3">
      <c r="AG121" t="e">
        <f t="shared" si="33"/>
        <v>#REF!</v>
      </c>
      <c r="AH121" t="e">
        <f>#REF!</f>
        <v>#REF!</v>
      </c>
      <c r="AI121" t="e">
        <f>#REF!</f>
        <v>#REF!</v>
      </c>
      <c r="AJ121" s="3" t="e">
        <f>#REF!</f>
        <v>#REF!</v>
      </c>
      <c r="AK121" s="3" t="e">
        <f>#REF!</f>
        <v>#REF!</v>
      </c>
      <c r="AL121" s="3" t="e">
        <f>#REF!</f>
        <v>#REF!</v>
      </c>
      <c r="AM121" s="3" t="e">
        <f>#REF!</f>
        <v>#REF!</v>
      </c>
      <c r="AN121" s="3" t="e">
        <f>#REF!</f>
        <v>#REF!</v>
      </c>
      <c r="AO121" s="3" t="e">
        <f>#REF!</f>
        <v>#REF!</v>
      </c>
      <c r="AP121" s="9" t="e">
        <f>VLOOKUP(AG121,#REF!,10,FALSE)</f>
        <v>#REF!</v>
      </c>
      <c r="AQ121" s="8">
        <f>SUMIFS(Capacity!$G$2:$G$2820,Capacity!$B$2:$B$2820,Demand_Modeling!AG121)</f>
        <v>0</v>
      </c>
      <c r="AS121" s="2" t="e">
        <f t="shared" si="34"/>
        <v>#REF!</v>
      </c>
      <c r="AT121" s="2" t="e">
        <f t="shared" si="35"/>
        <v>#REF!</v>
      </c>
      <c r="AU121" s="2" t="e">
        <f t="shared" si="36"/>
        <v>#REF!</v>
      </c>
      <c r="AV121" s="2" t="e">
        <f t="shared" si="37"/>
        <v>#REF!</v>
      </c>
      <c r="AW121" s="2" t="e">
        <f t="shared" si="38"/>
        <v>#REF!</v>
      </c>
      <c r="AX121" s="2" t="e">
        <f t="shared" si="39"/>
        <v>#REF!</v>
      </c>
      <c r="AY121" s="2" t="e">
        <f t="shared" si="40"/>
        <v>#REF!</v>
      </c>
      <c r="AZ121" s="10">
        <f t="shared" si="41"/>
        <v>0</v>
      </c>
      <c r="BA121" s="5" t="e">
        <f t="shared" si="42"/>
        <v>#REF!</v>
      </c>
    </row>
    <row r="122" spans="33:53" x14ac:dyDescent="0.3">
      <c r="AG122" t="e">
        <f t="shared" si="33"/>
        <v>#REF!</v>
      </c>
      <c r="AH122" t="e">
        <f>#REF!</f>
        <v>#REF!</v>
      </c>
      <c r="AI122" t="e">
        <f>#REF!</f>
        <v>#REF!</v>
      </c>
      <c r="AJ122" s="3" t="e">
        <f>#REF!</f>
        <v>#REF!</v>
      </c>
      <c r="AK122" s="3" t="e">
        <f>#REF!</f>
        <v>#REF!</v>
      </c>
      <c r="AL122" s="3" t="e">
        <f>#REF!</f>
        <v>#REF!</v>
      </c>
      <c r="AM122" s="3" t="e">
        <f>#REF!</f>
        <v>#REF!</v>
      </c>
      <c r="AN122" s="3" t="e">
        <f>#REF!</f>
        <v>#REF!</v>
      </c>
      <c r="AO122" s="3" t="e">
        <f>#REF!</f>
        <v>#REF!</v>
      </c>
      <c r="AP122" s="9" t="e">
        <f>VLOOKUP(AG122,#REF!,10,FALSE)</f>
        <v>#REF!</v>
      </c>
      <c r="AQ122" s="8">
        <f>SUMIFS(Capacity!$G$2:$G$2820,Capacity!$B$2:$B$2820,Demand_Modeling!AG122)</f>
        <v>0</v>
      </c>
      <c r="AS122" s="2" t="e">
        <f t="shared" si="34"/>
        <v>#REF!</v>
      </c>
      <c r="AT122" s="2" t="e">
        <f t="shared" si="35"/>
        <v>#REF!</v>
      </c>
      <c r="AU122" s="2" t="e">
        <f t="shared" si="36"/>
        <v>#REF!</v>
      </c>
      <c r="AV122" s="2" t="e">
        <f t="shared" si="37"/>
        <v>#REF!</v>
      </c>
      <c r="AW122" s="2" t="e">
        <f t="shared" si="38"/>
        <v>#REF!</v>
      </c>
      <c r="AX122" s="2" t="e">
        <f t="shared" si="39"/>
        <v>#REF!</v>
      </c>
      <c r="AY122" s="2" t="e">
        <f t="shared" si="40"/>
        <v>#REF!</v>
      </c>
      <c r="AZ122" s="10">
        <f t="shared" si="41"/>
        <v>0</v>
      </c>
      <c r="BA122" s="5" t="e">
        <f t="shared" si="42"/>
        <v>#REF!</v>
      </c>
    </row>
    <row r="123" spans="33:53" x14ac:dyDescent="0.3">
      <c r="AG123" t="e">
        <f t="shared" si="33"/>
        <v>#REF!</v>
      </c>
      <c r="AH123" t="e">
        <f>#REF!</f>
        <v>#REF!</v>
      </c>
      <c r="AI123" t="e">
        <f>#REF!</f>
        <v>#REF!</v>
      </c>
      <c r="AJ123" s="3" t="e">
        <f>#REF!</f>
        <v>#REF!</v>
      </c>
      <c r="AK123" s="3" t="e">
        <f>#REF!</f>
        <v>#REF!</v>
      </c>
      <c r="AL123" s="3" t="e">
        <f>#REF!</f>
        <v>#REF!</v>
      </c>
      <c r="AM123" s="3" t="e">
        <f>#REF!</f>
        <v>#REF!</v>
      </c>
      <c r="AN123" s="3" t="e">
        <f>#REF!</f>
        <v>#REF!</v>
      </c>
      <c r="AO123" s="3" t="e">
        <f>#REF!</f>
        <v>#REF!</v>
      </c>
      <c r="AP123" s="9" t="e">
        <f>VLOOKUP(AG123,#REF!,10,FALSE)</f>
        <v>#REF!</v>
      </c>
      <c r="AQ123" s="8">
        <f>SUMIFS(Capacity!$G$2:$G$2820,Capacity!$B$2:$B$2820,Demand_Modeling!AG123)</f>
        <v>0</v>
      </c>
      <c r="AS123" s="2" t="e">
        <f t="shared" si="34"/>
        <v>#REF!</v>
      </c>
      <c r="AT123" s="2" t="e">
        <f t="shared" si="35"/>
        <v>#REF!</v>
      </c>
      <c r="AU123" s="2" t="e">
        <f t="shared" si="36"/>
        <v>#REF!</v>
      </c>
      <c r="AV123" s="2" t="e">
        <f t="shared" si="37"/>
        <v>#REF!</v>
      </c>
      <c r="AW123" s="2" t="e">
        <f t="shared" si="38"/>
        <v>#REF!</v>
      </c>
      <c r="AX123" s="2" t="e">
        <f t="shared" si="39"/>
        <v>#REF!</v>
      </c>
      <c r="AY123" s="2" t="e">
        <f t="shared" si="40"/>
        <v>#REF!</v>
      </c>
      <c r="AZ123" s="10">
        <f t="shared" si="41"/>
        <v>0</v>
      </c>
      <c r="BA123" s="5" t="e">
        <f t="shared" si="42"/>
        <v>#REF!</v>
      </c>
    </row>
    <row r="124" spans="33:53" x14ac:dyDescent="0.3">
      <c r="AG124" t="e">
        <f t="shared" si="33"/>
        <v>#REF!</v>
      </c>
      <c r="AH124" t="e">
        <f>#REF!</f>
        <v>#REF!</v>
      </c>
      <c r="AI124" t="e">
        <f>#REF!</f>
        <v>#REF!</v>
      </c>
      <c r="AJ124" s="3" t="e">
        <f>#REF!</f>
        <v>#REF!</v>
      </c>
      <c r="AK124" s="3" t="e">
        <f>#REF!</f>
        <v>#REF!</v>
      </c>
      <c r="AL124" s="3" t="e">
        <f>#REF!</f>
        <v>#REF!</v>
      </c>
      <c r="AM124" s="3" t="e">
        <f>#REF!</f>
        <v>#REF!</v>
      </c>
      <c r="AN124" s="3" t="e">
        <f>#REF!</f>
        <v>#REF!</v>
      </c>
      <c r="AO124" s="3" t="e">
        <f>#REF!</f>
        <v>#REF!</v>
      </c>
      <c r="AP124" s="9" t="e">
        <f>VLOOKUP(AG124,#REF!,10,FALSE)</f>
        <v>#REF!</v>
      </c>
      <c r="AQ124" s="8">
        <f>SUMIFS(Capacity!$G$2:$G$2820,Capacity!$B$2:$B$2820,Demand_Modeling!AG124)</f>
        <v>0</v>
      </c>
      <c r="AS124" s="2" t="e">
        <f t="shared" si="34"/>
        <v>#REF!</v>
      </c>
      <c r="AT124" s="2" t="e">
        <f t="shared" si="35"/>
        <v>#REF!</v>
      </c>
      <c r="AU124" s="2" t="e">
        <f t="shared" si="36"/>
        <v>#REF!</v>
      </c>
      <c r="AV124" s="2" t="e">
        <f t="shared" si="37"/>
        <v>#REF!</v>
      </c>
      <c r="AW124" s="2" t="e">
        <f t="shared" si="38"/>
        <v>#REF!</v>
      </c>
      <c r="AX124" s="2" t="e">
        <f t="shared" si="39"/>
        <v>#REF!</v>
      </c>
      <c r="AY124" s="2" t="e">
        <f t="shared" si="40"/>
        <v>#REF!</v>
      </c>
      <c r="AZ124" s="10">
        <f t="shared" si="41"/>
        <v>0</v>
      </c>
      <c r="BA124" s="5" t="e">
        <f t="shared" si="42"/>
        <v>#REF!</v>
      </c>
    </row>
    <row r="125" spans="33:53" x14ac:dyDescent="0.3">
      <c r="AG125" t="e">
        <f t="shared" si="33"/>
        <v>#REF!</v>
      </c>
      <c r="AH125" t="e">
        <f>#REF!</f>
        <v>#REF!</v>
      </c>
      <c r="AI125" t="e">
        <f>#REF!</f>
        <v>#REF!</v>
      </c>
      <c r="AJ125" s="3" t="e">
        <f>#REF!</f>
        <v>#REF!</v>
      </c>
      <c r="AK125" s="3" t="e">
        <f>#REF!</f>
        <v>#REF!</v>
      </c>
      <c r="AL125" s="3" t="e">
        <f>#REF!</f>
        <v>#REF!</v>
      </c>
      <c r="AM125" s="3" t="e">
        <f>#REF!</f>
        <v>#REF!</v>
      </c>
      <c r="AN125" s="3" t="e">
        <f>#REF!</f>
        <v>#REF!</v>
      </c>
      <c r="AO125" s="3" t="e">
        <f>#REF!</f>
        <v>#REF!</v>
      </c>
      <c r="AP125" s="9" t="e">
        <f>VLOOKUP(AG125,#REF!,10,FALSE)</f>
        <v>#REF!</v>
      </c>
      <c r="AQ125" s="8">
        <f>SUMIFS(Capacity!$G$2:$G$2820,Capacity!$B$2:$B$2820,Demand_Modeling!AG125)</f>
        <v>0</v>
      </c>
      <c r="AS125" s="2" t="e">
        <f t="shared" si="34"/>
        <v>#REF!</v>
      </c>
      <c r="AT125" s="2" t="e">
        <f t="shared" si="35"/>
        <v>#REF!</v>
      </c>
      <c r="AU125" s="2" t="e">
        <f t="shared" si="36"/>
        <v>#REF!</v>
      </c>
      <c r="AV125" s="2" t="e">
        <f t="shared" si="37"/>
        <v>#REF!</v>
      </c>
      <c r="AW125" s="2" t="e">
        <f t="shared" si="38"/>
        <v>#REF!</v>
      </c>
      <c r="AX125" s="2" t="e">
        <f t="shared" si="39"/>
        <v>#REF!</v>
      </c>
      <c r="AY125" s="2" t="e">
        <f t="shared" si="40"/>
        <v>#REF!</v>
      </c>
      <c r="AZ125" s="10">
        <f t="shared" si="41"/>
        <v>0</v>
      </c>
      <c r="BA125" s="5" t="e">
        <f t="shared" si="42"/>
        <v>#REF!</v>
      </c>
    </row>
    <row r="126" spans="33:53" x14ac:dyDescent="0.3">
      <c r="AG126" t="e">
        <f t="shared" si="33"/>
        <v>#REF!</v>
      </c>
      <c r="AH126" t="e">
        <f>#REF!</f>
        <v>#REF!</v>
      </c>
      <c r="AI126" t="e">
        <f>#REF!</f>
        <v>#REF!</v>
      </c>
      <c r="AJ126" s="3" t="e">
        <f>#REF!</f>
        <v>#REF!</v>
      </c>
      <c r="AK126" s="3" t="e">
        <f>#REF!</f>
        <v>#REF!</v>
      </c>
      <c r="AL126" s="3" t="e">
        <f>#REF!</f>
        <v>#REF!</v>
      </c>
      <c r="AM126" s="3" t="e">
        <f>#REF!</f>
        <v>#REF!</v>
      </c>
      <c r="AN126" s="3" t="e">
        <f>#REF!</f>
        <v>#REF!</v>
      </c>
      <c r="AO126" s="3" t="e">
        <f>#REF!</f>
        <v>#REF!</v>
      </c>
      <c r="AP126" s="9" t="e">
        <f>VLOOKUP(AG126,#REF!,10,FALSE)</f>
        <v>#REF!</v>
      </c>
      <c r="AQ126" s="8">
        <f>SUMIFS(Capacity!$G$2:$G$2820,Capacity!$B$2:$B$2820,Demand_Modeling!AG126)</f>
        <v>0</v>
      </c>
      <c r="AS126" s="2" t="e">
        <f t="shared" si="34"/>
        <v>#REF!</v>
      </c>
      <c r="AT126" s="2" t="e">
        <f t="shared" si="35"/>
        <v>#REF!</v>
      </c>
      <c r="AU126" s="2" t="e">
        <f t="shared" si="36"/>
        <v>#REF!</v>
      </c>
      <c r="AV126" s="2" t="e">
        <f t="shared" si="37"/>
        <v>#REF!</v>
      </c>
      <c r="AW126" s="2" t="e">
        <f t="shared" si="38"/>
        <v>#REF!</v>
      </c>
      <c r="AX126" s="2" t="e">
        <f t="shared" si="39"/>
        <v>#REF!</v>
      </c>
      <c r="AY126" s="2" t="e">
        <f t="shared" si="40"/>
        <v>#REF!</v>
      </c>
      <c r="AZ126" s="10">
        <f t="shared" si="41"/>
        <v>0</v>
      </c>
      <c r="BA126" s="5" t="e">
        <f t="shared" si="42"/>
        <v>#REF!</v>
      </c>
    </row>
    <row r="127" spans="33:53" x14ac:dyDescent="0.3">
      <c r="AG127" t="e">
        <f t="shared" si="33"/>
        <v>#REF!</v>
      </c>
      <c r="AH127" t="e">
        <f>#REF!</f>
        <v>#REF!</v>
      </c>
      <c r="AI127" t="e">
        <f>#REF!</f>
        <v>#REF!</v>
      </c>
      <c r="AJ127" s="3" t="e">
        <f>#REF!</f>
        <v>#REF!</v>
      </c>
      <c r="AK127" s="3" t="e">
        <f>#REF!</f>
        <v>#REF!</v>
      </c>
      <c r="AL127" s="3" t="e">
        <f>#REF!</f>
        <v>#REF!</v>
      </c>
      <c r="AM127" s="3" t="e">
        <f>#REF!</f>
        <v>#REF!</v>
      </c>
      <c r="AN127" s="3" t="e">
        <f>#REF!</f>
        <v>#REF!</v>
      </c>
      <c r="AO127" s="3" t="e">
        <f>#REF!</f>
        <v>#REF!</v>
      </c>
      <c r="AP127" s="9" t="e">
        <f>VLOOKUP(AG127,#REF!,10,FALSE)</f>
        <v>#REF!</v>
      </c>
      <c r="AQ127" s="8">
        <f>SUMIFS(Capacity!$G$2:$G$2820,Capacity!$B$2:$B$2820,Demand_Modeling!AG127)</f>
        <v>0</v>
      </c>
      <c r="AS127" s="2" t="e">
        <f t="shared" si="34"/>
        <v>#REF!</v>
      </c>
      <c r="AT127" s="2" t="e">
        <f t="shared" si="35"/>
        <v>#REF!</v>
      </c>
      <c r="AU127" s="2" t="e">
        <f t="shared" si="36"/>
        <v>#REF!</v>
      </c>
      <c r="AV127" s="2" t="e">
        <f t="shared" si="37"/>
        <v>#REF!</v>
      </c>
      <c r="AW127" s="2" t="e">
        <f t="shared" si="38"/>
        <v>#REF!</v>
      </c>
      <c r="AX127" s="2" t="e">
        <f t="shared" si="39"/>
        <v>#REF!</v>
      </c>
      <c r="AY127" s="2" t="e">
        <f t="shared" si="40"/>
        <v>#REF!</v>
      </c>
      <c r="AZ127" s="10">
        <f t="shared" si="41"/>
        <v>0</v>
      </c>
      <c r="BA127" s="5" t="e">
        <f t="shared" si="42"/>
        <v>#REF!</v>
      </c>
    </row>
    <row r="128" spans="33:53" x14ac:dyDescent="0.3">
      <c r="AG128" t="e">
        <f t="shared" si="33"/>
        <v>#REF!</v>
      </c>
      <c r="AH128" t="e">
        <f>#REF!</f>
        <v>#REF!</v>
      </c>
      <c r="AI128" t="e">
        <f>#REF!</f>
        <v>#REF!</v>
      </c>
      <c r="AJ128" s="3" t="e">
        <f>#REF!</f>
        <v>#REF!</v>
      </c>
      <c r="AK128" s="3" t="e">
        <f>#REF!</f>
        <v>#REF!</v>
      </c>
      <c r="AL128" s="3" t="e">
        <f>#REF!</f>
        <v>#REF!</v>
      </c>
      <c r="AM128" s="3" t="e">
        <f>#REF!</f>
        <v>#REF!</v>
      </c>
      <c r="AN128" s="3" t="e">
        <f>#REF!</f>
        <v>#REF!</v>
      </c>
      <c r="AO128" s="3" t="e">
        <f>#REF!</f>
        <v>#REF!</v>
      </c>
      <c r="AP128" s="9" t="e">
        <f>VLOOKUP(AG128,#REF!,10,FALSE)</f>
        <v>#REF!</v>
      </c>
      <c r="AQ128" s="8">
        <f>SUMIFS(Capacity!$G$2:$G$2820,Capacity!$B$2:$B$2820,Demand_Modeling!AG128)</f>
        <v>0</v>
      </c>
      <c r="AS128" s="2" t="e">
        <f t="shared" si="34"/>
        <v>#REF!</v>
      </c>
      <c r="AT128" s="2" t="e">
        <f t="shared" si="35"/>
        <v>#REF!</v>
      </c>
      <c r="AU128" s="2" t="e">
        <f t="shared" si="36"/>
        <v>#REF!</v>
      </c>
      <c r="AV128" s="2" t="e">
        <f t="shared" si="37"/>
        <v>#REF!</v>
      </c>
      <c r="AW128" s="2" t="e">
        <f t="shared" si="38"/>
        <v>#REF!</v>
      </c>
      <c r="AX128" s="2" t="e">
        <f t="shared" si="39"/>
        <v>#REF!</v>
      </c>
      <c r="AY128" s="2" t="e">
        <f t="shared" si="40"/>
        <v>#REF!</v>
      </c>
      <c r="AZ128" s="10">
        <f t="shared" si="41"/>
        <v>0</v>
      </c>
      <c r="BA128" s="5" t="e">
        <f t="shared" si="42"/>
        <v>#REF!</v>
      </c>
    </row>
    <row r="129" spans="33:53" x14ac:dyDescent="0.3">
      <c r="AG129" t="e">
        <f t="shared" si="33"/>
        <v>#REF!</v>
      </c>
      <c r="AH129" t="e">
        <f>#REF!</f>
        <v>#REF!</v>
      </c>
      <c r="AI129" t="e">
        <f>#REF!</f>
        <v>#REF!</v>
      </c>
      <c r="AJ129" s="3" t="e">
        <f>#REF!</f>
        <v>#REF!</v>
      </c>
      <c r="AK129" s="3" t="e">
        <f>#REF!</f>
        <v>#REF!</v>
      </c>
      <c r="AL129" s="3" t="e">
        <f>#REF!</f>
        <v>#REF!</v>
      </c>
      <c r="AM129" s="3" t="e">
        <f>#REF!</f>
        <v>#REF!</v>
      </c>
      <c r="AN129" s="3" t="e">
        <f>#REF!</f>
        <v>#REF!</v>
      </c>
      <c r="AO129" s="3" t="e">
        <f>#REF!</f>
        <v>#REF!</v>
      </c>
      <c r="AP129" s="9" t="e">
        <f>VLOOKUP(AG129,#REF!,10,FALSE)</f>
        <v>#REF!</v>
      </c>
      <c r="AQ129" s="8">
        <f>SUMIFS(Capacity!$G$2:$G$2820,Capacity!$B$2:$B$2820,Demand_Modeling!AG129)</f>
        <v>0</v>
      </c>
      <c r="AS129" s="2" t="e">
        <f t="shared" si="34"/>
        <v>#REF!</v>
      </c>
      <c r="AT129" s="2" t="e">
        <f t="shared" si="35"/>
        <v>#REF!</v>
      </c>
      <c r="AU129" s="2" t="e">
        <f t="shared" si="36"/>
        <v>#REF!</v>
      </c>
      <c r="AV129" s="2" t="e">
        <f t="shared" si="37"/>
        <v>#REF!</v>
      </c>
      <c r="AW129" s="2" t="e">
        <f t="shared" si="38"/>
        <v>#REF!</v>
      </c>
      <c r="AX129" s="2" t="e">
        <f t="shared" si="39"/>
        <v>#REF!</v>
      </c>
      <c r="AY129" s="2" t="e">
        <f t="shared" si="40"/>
        <v>#REF!</v>
      </c>
      <c r="AZ129" s="10">
        <f t="shared" si="41"/>
        <v>0</v>
      </c>
      <c r="BA129" s="5" t="e">
        <f t="shared" si="42"/>
        <v>#REF!</v>
      </c>
    </row>
    <row r="130" spans="33:53" x14ac:dyDescent="0.3">
      <c r="AG130" t="e">
        <f t="shared" si="33"/>
        <v>#REF!</v>
      </c>
      <c r="AH130" t="e">
        <f>#REF!</f>
        <v>#REF!</v>
      </c>
      <c r="AI130" t="e">
        <f>#REF!</f>
        <v>#REF!</v>
      </c>
      <c r="AJ130" s="3" t="e">
        <f>#REF!</f>
        <v>#REF!</v>
      </c>
      <c r="AK130" s="3" t="e">
        <f>#REF!</f>
        <v>#REF!</v>
      </c>
      <c r="AL130" s="3" t="e">
        <f>#REF!</f>
        <v>#REF!</v>
      </c>
      <c r="AM130" s="3" t="e">
        <f>#REF!</f>
        <v>#REF!</v>
      </c>
      <c r="AN130" s="3" t="e">
        <f>#REF!</f>
        <v>#REF!</v>
      </c>
      <c r="AO130" s="3" t="e">
        <f>#REF!</f>
        <v>#REF!</v>
      </c>
      <c r="AP130" s="9" t="e">
        <f>VLOOKUP(AG130,#REF!,10,FALSE)</f>
        <v>#REF!</v>
      </c>
      <c r="AQ130" s="8">
        <f>SUMIFS(Capacity!$G$2:$G$2820,Capacity!$B$2:$B$2820,Demand_Modeling!AG130)</f>
        <v>0</v>
      </c>
      <c r="AS130" s="2" t="e">
        <f t="shared" si="34"/>
        <v>#REF!</v>
      </c>
      <c r="AT130" s="2" t="e">
        <f t="shared" si="35"/>
        <v>#REF!</v>
      </c>
      <c r="AU130" s="2" t="e">
        <f t="shared" si="36"/>
        <v>#REF!</v>
      </c>
      <c r="AV130" s="2" t="e">
        <f t="shared" si="37"/>
        <v>#REF!</v>
      </c>
      <c r="AW130" s="2" t="e">
        <f t="shared" si="38"/>
        <v>#REF!</v>
      </c>
      <c r="AX130" s="2" t="e">
        <f t="shared" si="39"/>
        <v>#REF!</v>
      </c>
      <c r="AY130" s="2" t="e">
        <f t="shared" si="40"/>
        <v>#REF!</v>
      </c>
      <c r="AZ130" s="10">
        <f t="shared" si="41"/>
        <v>0</v>
      </c>
      <c r="BA130" s="5" t="e">
        <f t="shared" si="42"/>
        <v>#REF!</v>
      </c>
    </row>
    <row r="131" spans="33:53" x14ac:dyDescent="0.3">
      <c r="AG131" t="e">
        <f t="shared" si="33"/>
        <v>#REF!</v>
      </c>
      <c r="AH131" t="e">
        <f>#REF!</f>
        <v>#REF!</v>
      </c>
      <c r="AI131" t="e">
        <f>#REF!</f>
        <v>#REF!</v>
      </c>
      <c r="AJ131" s="3" t="e">
        <f>#REF!</f>
        <v>#REF!</v>
      </c>
      <c r="AK131" s="3" t="e">
        <f>#REF!</f>
        <v>#REF!</v>
      </c>
      <c r="AL131" s="3" t="e">
        <f>#REF!</f>
        <v>#REF!</v>
      </c>
      <c r="AM131" s="3" t="e">
        <f>#REF!</f>
        <v>#REF!</v>
      </c>
      <c r="AN131" s="3" t="e">
        <f>#REF!</f>
        <v>#REF!</v>
      </c>
      <c r="AO131" s="3" t="e">
        <f>#REF!</f>
        <v>#REF!</v>
      </c>
      <c r="AP131" s="9" t="e">
        <f>VLOOKUP(AG131,#REF!,10,FALSE)</f>
        <v>#REF!</v>
      </c>
      <c r="AQ131" s="8">
        <f>SUMIFS(Capacity!$G$2:$G$2820,Capacity!$B$2:$B$2820,Demand_Modeling!AG131)</f>
        <v>0</v>
      </c>
      <c r="AS131" s="2" t="e">
        <f t="shared" si="34"/>
        <v>#REF!</v>
      </c>
      <c r="AT131" s="2" t="e">
        <f t="shared" si="35"/>
        <v>#REF!</v>
      </c>
      <c r="AU131" s="2" t="e">
        <f t="shared" si="36"/>
        <v>#REF!</v>
      </c>
      <c r="AV131" s="2" t="e">
        <f t="shared" si="37"/>
        <v>#REF!</v>
      </c>
      <c r="AW131" s="2" t="e">
        <f t="shared" si="38"/>
        <v>#REF!</v>
      </c>
      <c r="AX131" s="2" t="e">
        <f t="shared" si="39"/>
        <v>#REF!</v>
      </c>
      <c r="AY131" s="2" t="e">
        <f t="shared" si="40"/>
        <v>#REF!</v>
      </c>
      <c r="AZ131" s="10">
        <f t="shared" si="41"/>
        <v>0</v>
      </c>
      <c r="BA131" s="5" t="e">
        <f t="shared" si="42"/>
        <v>#REF!</v>
      </c>
    </row>
    <row r="132" spans="33:53" x14ac:dyDescent="0.3">
      <c r="AG132" t="e">
        <f t="shared" si="33"/>
        <v>#REF!</v>
      </c>
      <c r="AH132" t="e">
        <f>#REF!</f>
        <v>#REF!</v>
      </c>
      <c r="AI132" t="e">
        <f>#REF!</f>
        <v>#REF!</v>
      </c>
      <c r="AJ132" s="3" t="e">
        <f>#REF!</f>
        <v>#REF!</v>
      </c>
      <c r="AK132" s="3" t="e">
        <f>#REF!</f>
        <v>#REF!</v>
      </c>
      <c r="AL132" s="3" t="e">
        <f>#REF!</f>
        <v>#REF!</v>
      </c>
      <c r="AM132" s="3" t="e">
        <f>#REF!</f>
        <v>#REF!</v>
      </c>
      <c r="AN132" s="3" t="e">
        <f>#REF!</f>
        <v>#REF!</v>
      </c>
      <c r="AO132" s="3" t="e">
        <f>#REF!</f>
        <v>#REF!</v>
      </c>
      <c r="AP132" s="9" t="e">
        <f>VLOOKUP(AG132,#REF!,10,FALSE)</f>
        <v>#REF!</v>
      </c>
      <c r="AQ132" s="8">
        <f>SUMIFS(Capacity!$G$2:$G$2820,Capacity!$B$2:$B$2820,Demand_Modeling!AG132)</f>
        <v>0</v>
      </c>
      <c r="AS132" s="2" t="e">
        <f t="shared" si="34"/>
        <v>#REF!</v>
      </c>
      <c r="AT132" s="2" t="e">
        <f t="shared" si="35"/>
        <v>#REF!</v>
      </c>
      <c r="AU132" s="2" t="e">
        <f t="shared" si="36"/>
        <v>#REF!</v>
      </c>
      <c r="AV132" s="2" t="e">
        <f t="shared" si="37"/>
        <v>#REF!</v>
      </c>
      <c r="AW132" s="2" t="e">
        <f t="shared" si="38"/>
        <v>#REF!</v>
      </c>
      <c r="AX132" s="2" t="e">
        <f t="shared" si="39"/>
        <v>#REF!</v>
      </c>
      <c r="AY132" s="2" t="e">
        <f t="shared" si="40"/>
        <v>#REF!</v>
      </c>
      <c r="AZ132" s="10">
        <f t="shared" si="41"/>
        <v>0</v>
      </c>
      <c r="BA132" s="5" t="e">
        <f t="shared" si="42"/>
        <v>#REF!</v>
      </c>
    </row>
    <row r="133" spans="33:53" x14ac:dyDescent="0.3">
      <c r="AG133" t="e">
        <f t="shared" si="33"/>
        <v>#REF!</v>
      </c>
      <c r="AH133" t="e">
        <f>#REF!</f>
        <v>#REF!</v>
      </c>
      <c r="AI133" t="e">
        <f>#REF!</f>
        <v>#REF!</v>
      </c>
      <c r="AJ133" s="3" t="e">
        <f>#REF!</f>
        <v>#REF!</v>
      </c>
      <c r="AK133" s="3" t="e">
        <f>#REF!</f>
        <v>#REF!</v>
      </c>
      <c r="AL133" s="3" t="e">
        <f>#REF!</f>
        <v>#REF!</v>
      </c>
      <c r="AM133" s="3" t="e">
        <f>#REF!</f>
        <v>#REF!</v>
      </c>
      <c r="AN133" s="3" t="e">
        <f>#REF!</f>
        <v>#REF!</v>
      </c>
      <c r="AO133" s="3" t="e">
        <f>#REF!</f>
        <v>#REF!</v>
      </c>
      <c r="AP133" s="9" t="e">
        <f>VLOOKUP(AG133,#REF!,10,FALSE)</f>
        <v>#REF!</v>
      </c>
      <c r="AQ133" s="8">
        <f>SUMIFS(Capacity!$G$2:$G$2820,Capacity!$B$2:$B$2820,Demand_Modeling!AG133)</f>
        <v>0</v>
      </c>
      <c r="AS133" s="2" t="e">
        <f t="shared" si="34"/>
        <v>#REF!</v>
      </c>
      <c r="AT133" s="2" t="e">
        <f t="shared" si="35"/>
        <v>#REF!</v>
      </c>
      <c r="AU133" s="2" t="e">
        <f t="shared" si="36"/>
        <v>#REF!</v>
      </c>
      <c r="AV133" s="2" t="e">
        <f t="shared" si="37"/>
        <v>#REF!</v>
      </c>
      <c r="AW133" s="2" t="e">
        <f t="shared" si="38"/>
        <v>#REF!</v>
      </c>
      <c r="AX133" s="2" t="e">
        <f t="shared" si="39"/>
        <v>#REF!</v>
      </c>
      <c r="AY133" s="2" t="e">
        <f t="shared" si="40"/>
        <v>#REF!</v>
      </c>
      <c r="AZ133" s="10">
        <f t="shared" si="41"/>
        <v>0</v>
      </c>
      <c r="BA133" s="5" t="e">
        <f t="shared" si="42"/>
        <v>#REF!</v>
      </c>
    </row>
    <row r="134" spans="33:53" x14ac:dyDescent="0.3">
      <c r="AG134" t="e">
        <f t="shared" si="33"/>
        <v>#REF!</v>
      </c>
      <c r="AH134" t="e">
        <f>#REF!</f>
        <v>#REF!</v>
      </c>
      <c r="AI134" t="e">
        <f>#REF!</f>
        <v>#REF!</v>
      </c>
      <c r="AJ134" s="3" t="e">
        <f>#REF!</f>
        <v>#REF!</v>
      </c>
      <c r="AK134" s="3" t="e">
        <f>#REF!</f>
        <v>#REF!</v>
      </c>
      <c r="AL134" s="3" t="e">
        <f>#REF!</f>
        <v>#REF!</v>
      </c>
      <c r="AM134" s="3" t="e">
        <f>#REF!</f>
        <v>#REF!</v>
      </c>
      <c r="AN134" s="3" t="e">
        <f>#REF!</f>
        <v>#REF!</v>
      </c>
      <c r="AO134" s="3" t="e">
        <f>#REF!</f>
        <v>#REF!</v>
      </c>
      <c r="AP134" s="9" t="e">
        <f>VLOOKUP(AG134,#REF!,10,FALSE)</f>
        <v>#REF!</v>
      </c>
      <c r="AQ134" s="8">
        <f>SUMIFS(Capacity!$G$2:$G$2820,Capacity!$B$2:$B$2820,Demand_Modeling!AG134)</f>
        <v>0</v>
      </c>
      <c r="AS134" s="2" t="e">
        <f t="shared" si="34"/>
        <v>#REF!</v>
      </c>
      <c r="AT134" s="2" t="e">
        <f t="shared" si="35"/>
        <v>#REF!</v>
      </c>
      <c r="AU134" s="2" t="e">
        <f t="shared" si="36"/>
        <v>#REF!</v>
      </c>
      <c r="AV134" s="2" t="e">
        <f t="shared" si="37"/>
        <v>#REF!</v>
      </c>
      <c r="AW134" s="2" t="e">
        <f t="shared" si="38"/>
        <v>#REF!</v>
      </c>
      <c r="AX134" s="2" t="e">
        <f t="shared" si="39"/>
        <v>#REF!</v>
      </c>
      <c r="AY134" s="2" t="e">
        <f t="shared" si="40"/>
        <v>#REF!</v>
      </c>
      <c r="AZ134" s="10">
        <f t="shared" si="41"/>
        <v>0</v>
      </c>
      <c r="BA134" s="5" t="e">
        <f t="shared" si="42"/>
        <v>#REF!</v>
      </c>
    </row>
    <row r="135" spans="33:53" x14ac:dyDescent="0.3">
      <c r="AG135" t="e">
        <f t="shared" si="33"/>
        <v>#REF!</v>
      </c>
      <c r="AH135" t="e">
        <f>#REF!</f>
        <v>#REF!</v>
      </c>
      <c r="AI135" t="e">
        <f>#REF!</f>
        <v>#REF!</v>
      </c>
      <c r="AJ135" s="3" t="e">
        <f>#REF!</f>
        <v>#REF!</v>
      </c>
      <c r="AK135" s="3" t="e">
        <f>#REF!</f>
        <v>#REF!</v>
      </c>
      <c r="AL135" s="3" t="e">
        <f>#REF!</f>
        <v>#REF!</v>
      </c>
      <c r="AM135" s="3" t="e">
        <f>#REF!</f>
        <v>#REF!</v>
      </c>
      <c r="AN135" s="3" t="e">
        <f>#REF!</f>
        <v>#REF!</v>
      </c>
      <c r="AO135" s="3" t="e">
        <f>#REF!</f>
        <v>#REF!</v>
      </c>
      <c r="AP135" s="9" t="e">
        <f>VLOOKUP(AG135,#REF!,10,FALSE)</f>
        <v>#REF!</v>
      </c>
      <c r="AQ135" s="8">
        <f>SUMIFS(Capacity!$G$2:$G$2820,Capacity!$B$2:$B$2820,Demand_Modeling!AG135)</f>
        <v>0</v>
      </c>
      <c r="AS135" s="2" t="e">
        <f t="shared" si="34"/>
        <v>#REF!</v>
      </c>
      <c r="AT135" s="2" t="e">
        <f t="shared" si="35"/>
        <v>#REF!</v>
      </c>
      <c r="AU135" s="2" t="e">
        <f t="shared" si="36"/>
        <v>#REF!</v>
      </c>
      <c r="AV135" s="2" t="e">
        <f t="shared" si="37"/>
        <v>#REF!</v>
      </c>
      <c r="AW135" s="2" t="e">
        <f t="shared" si="38"/>
        <v>#REF!</v>
      </c>
      <c r="AX135" s="2" t="e">
        <f t="shared" si="39"/>
        <v>#REF!</v>
      </c>
      <c r="AY135" s="2" t="e">
        <f t="shared" si="40"/>
        <v>#REF!</v>
      </c>
      <c r="AZ135" s="10">
        <f t="shared" si="41"/>
        <v>0</v>
      </c>
      <c r="BA135" s="5" t="e">
        <f t="shared" si="42"/>
        <v>#REF!</v>
      </c>
    </row>
    <row r="136" spans="33:53" x14ac:dyDescent="0.3">
      <c r="AG136" t="e">
        <f t="shared" si="33"/>
        <v>#REF!</v>
      </c>
      <c r="AH136" t="e">
        <f>#REF!</f>
        <v>#REF!</v>
      </c>
      <c r="AI136" t="e">
        <f>#REF!</f>
        <v>#REF!</v>
      </c>
      <c r="AJ136" s="3" t="e">
        <f>#REF!</f>
        <v>#REF!</v>
      </c>
      <c r="AK136" s="3" t="e">
        <f>#REF!</f>
        <v>#REF!</v>
      </c>
      <c r="AL136" s="3" t="e">
        <f>#REF!</f>
        <v>#REF!</v>
      </c>
      <c r="AM136" s="3" t="e">
        <f>#REF!</f>
        <v>#REF!</v>
      </c>
      <c r="AN136" s="3" t="e">
        <f>#REF!</f>
        <v>#REF!</v>
      </c>
      <c r="AO136" s="3" t="e">
        <f>#REF!</f>
        <v>#REF!</v>
      </c>
      <c r="AP136" s="9" t="e">
        <f>VLOOKUP(AG136,#REF!,10,FALSE)</f>
        <v>#REF!</v>
      </c>
      <c r="AQ136" s="8">
        <f>SUMIFS(Capacity!$G$2:$G$2820,Capacity!$B$2:$B$2820,Demand_Modeling!AG136)</f>
        <v>0</v>
      </c>
      <c r="AS136" s="2" t="e">
        <f t="shared" si="34"/>
        <v>#REF!</v>
      </c>
      <c r="AT136" s="2" t="e">
        <f t="shared" si="35"/>
        <v>#REF!</v>
      </c>
      <c r="AU136" s="2" t="e">
        <f t="shared" si="36"/>
        <v>#REF!</v>
      </c>
      <c r="AV136" s="2" t="e">
        <f t="shared" si="37"/>
        <v>#REF!</v>
      </c>
      <c r="AW136" s="2" t="e">
        <f t="shared" si="38"/>
        <v>#REF!</v>
      </c>
      <c r="AX136" s="2" t="e">
        <f t="shared" si="39"/>
        <v>#REF!</v>
      </c>
      <c r="AY136" s="2" t="e">
        <f t="shared" si="40"/>
        <v>#REF!</v>
      </c>
      <c r="AZ136" s="10">
        <f t="shared" si="41"/>
        <v>0</v>
      </c>
      <c r="BA136" s="5" t="e">
        <f t="shared" si="42"/>
        <v>#REF!</v>
      </c>
    </row>
    <row r="137" spans="33:53" x14ac:dyDescent="0.3">
      <c r="AG137" t="e">
        <f t="shared" si="33"/>
        <v>#REF!</v>
      </c>
      <c r="AH137" t="e">
        <f>#REF!</f>
        <v>#REF!</v>
      </c>
      <c r="AI137" t="e">
        <f>#REF!</f>
        <v>#REF!</v>
      </c>
      <c r="AJ137" s="3" t="e">
        <f>#REF!</f>
        <v>#REF!</v>
      </c>
      <c r="AK137" s="3" t="e">
        <f>#REF!</f>
        <v>#REF!</v>
      </c>
      <c r="AL137" s="3" t="e">
        <f>#REF!</f>
        <v>#REF!</v>
      </c>
      <c r="AM137" s="3" t="e">
        <f>#REF!</f>
        <v>#REF!</v>
      </c>
      <c r="AN137" s="3" t="e">
        <f>#REF!</f>
        <v>#REF!</v>
      </c>
      <c r="AO137" s="3" t="e">
        <f>#REF!</f>
        <v>#REF!</v>
      </c>
      <c r="AP137" s="9" t="e">
        <f>VLOOKUP(AG137,#REF!,10,FALSE)</f>
        <v>#REF!</v>
      </c>
      <c r="AQ137" s="8">
        <f>SUMIFS(Capacity!$G$2:$G$2820,Capacity!$B$2:$B$2820,Demand_Modeling!AG137)</f>
        <v>0</v>
      </c>
      <c r="AS137" s="2" t="e">
        <f t="shared" si="34"/>
        <v>#REF!</v>
      </c>
      <c r="AT137" s="2" t="e">
        <f t="shared" si="35"/>
        <v>#REF!</v>
      </c>
      <c r="AU137" s="2" t="e">
        <f t="shared" si="36"/>
        <v>#REF!</v>
      </c>
      <c r="AV137" s="2" t="e">
        <f t="shared" si="37"/>
        <v>#REF!</v>
      </c>
      <c r="AW137" s="2" t="e">
        <f t="shared" si="38"/>
        <v>#REF!</v>
      </c>
      <c r="AX137" s="2" t="e">
        <f t="shared" si="39"/>
        <v>#REF!</v>
      </c>
      <c r="AY137" s="2" t="e">
        <f t="shared" si="40"/>
        <v>#REF!</v>
      </c>
      <c r="AZ137" s="10">
        <f t="shared" si="41"/>
        <v>0</v>
      </c>
      <c r="BA137" s="5" t="e">
        <f t="shared" si="42"/>
        <v>#REF!</v>
      </c>
    </row>
    <row r="138" spans="33:53" x14ac:dyDescent="0.3">
      <c r="AG138" t="e">
        <f t="shared" si="33"/>
        <v>#REF!</v>
      </c>
      <c r="AH138" t="e">
        <f>#REF!</f>
        <v>#REF!</v>
      </c>
      <c r="AI138" t="e">
        <f>#REF!</f>
        <v>#REF!</v>
      </c>
      <c r="AJ138" s="3" t="e">
        <f>#REF!</f>
        <v>#REF!</v>
      </c>
      <c r="AK138" s="3" t="e">
        <f>#REF!</f>
        <v>#REF!</v>
      </c>
      <c r="AL138" s="3" t="e">
        <f>#REF!</f>
        <v>#REF!</v>
      </c>
      <c r="AM138" s="3" t="e">
        <f>#REF!</f>
        <v>#REF!</v>
      </c>
      <c r="AN138" s="3" t="e">
        <f>#REF!</f>
        <v>#REF!</v>
      </c>
      <c r="AO138" s="3" t="e">
        <f>#REF!</f>
        <v>#REF!</v>
      </c>
      <c r="AP138" s="9" t="e">
        <f>VLOOKUP(AG138,#REF!,10,FALSE)</f>
        <v>#REF!</v>
      </c>
      <c r="AQ138" s="8">
        <f>SUMIFS(Capacity!$G$2:$G$2820,Capacity!$B$2:$B$2820,Demand_Modeling!AG138)</f>
        <v>0</v>
      </c>
      <c r="AS138" s="2" t="e">
        <f t="shared" si="34"/>
        <v>#REF!</v>
      </c>
      <c r="AT138" s="2" t="e">
        <f t="shared" si="35"/>
        <v>#REF!</v>
      </c>
      <c r="AU138" s="2" t="e">
        <f t="shared" si="36"/>
        <v>#REF!</v>
      </c>
      <c r="AV138" s="2" t="e">
        <f t="shared" si="37"/>
        <v>#REF!</v>
      </c>
      <c r="AW138" s="2" t="e">
        <f t="shared" si="38"/>
        <v>#REF!</v>
      </c>
      <c r="AX138" s="2" t="e">
        <f t="shared" si="39"/>
        <v>#REF!</v>
      </c>
      <c r="AY138" s="2" t="e">
        <f t="shared" si="40"/>
        <v>#REF!</v>
      </c>
      <c r="AZ138" s="10">
        <f t="shared" si="41"/>
        <v>0</v>
      </c>
      <c r="BA138" s="5" t="e">
        <f t="shared" si="42"/>
        <v>#REF!</v>
      </c>
    </row>
    <row r="139" spans="33:53" x14ac:dyDescent="0.3">
      <c r="AG139" t="e">
        <f t="shared" si="33"/>
        <v>#REF!</v>
      </c>
      <c r="AH139" t="e">
        <f>#REF!</f>
        <v>#REF!</v>
      </c>
      <c r="AI139" t="e">
        <f>#REF!</f>
        <v>#REF!</v>
      </c>
      <c r="AJ139" s="3" t="e">
        <f>#REF!</f>
        <v>#REF!</v>
      </c>
      <c r="AK139" s="3" t="e">
        <f>#REF!</f>
        <v>#REF!</v>
      </c>
      <c r="AL139" s="3" t="e">
        <f>#REF!</f>
        <v>#REF!</v>
      </c>
      <c r="AM139" s="3" t="e">
        <f>#REF!</f>
        <v>#REF!</v>
      </c>
      <c r="AN139" s="3" t="e">
        <f>#REF!</f>
        <v>#REF!</v>
      </c>
      <c r="AO139" s="3" t="e">
        <f>#REF!</f>
        <v>#REF!</v>
      </c>
      <c r="AP139" s="9" t="e">
        <f>VLOOKUP(AG139,#REF!,10,FALSE)</f>
        <v>#REF!</v>
      </c>
      <c r="AQ139" s="8">
        <f>SUMIFS(Capacity!$G$2:$G$2820,Capacity!$B$2:$B$2820,Demand_Modeling!AG139)</f>
        <v>0</v>
      </c>
      <c r="AS139" s="2" t="e">
        <f t="shared" si="34"/>
        <v>#REF!</v>
      </c>
      <c r="AT139" s="2" t="e">
        <f t="shared" si="35"/>
        <v>#REF!</v>
      </c>
      <c r="AU139" s="2" t="e">
        <f t="shared" si="36"/>
        <v>#REF!</v>
      </c>
      <c r="AV139" s="2" t="e">
        <f t="shared" si="37"/>
        <v>#REF!</v>
      </c>
      <c r="AW139" s="2" t="e">
        <f t="shared" si="38"/>
        <v>#REF!</v>
      </c>
      <c r="AX139" s="2" t="e">
        <f t="shared" si="39"/>
        <v>#REF!</v>
      </c>
      <c r="AY139" s="2" t="e">
        <f t="shared" si="40"/>
        <v>#REF!</v>
      </c>
      <c r="AZ139" s="10">
        <f t="shared" si="41"/>
        <v>0</v>
      </c>
      <c r="BA139" s="5" t="e">
        <f t="shared" si="42"/>
        <v>#REF!</v>
      </c>
    </row>
    <row r="140" spans="33:53" x14ac:dyDescent="0.3">
      <c r="AG140" t="e">
        <f t="shared" si="33"/>
        <v>#REF!</v>
      </c>
      <c r="AH140" t="e">
        <f>#REF!</f>
        <v>#REF!</v>
      </c>
      <c r="AI140" t="e">
        <f>#REF!</f>
        <v>#REF!</v>
      </c>
      <c r="AJ140" s="3" t="e">
        <f>#REF!</f>
        <v>#REF!</v>
      </c>
      <c r="AK140" s="3" t="e">
        <f>#REF!</f>
        <v>#REF!</v>
      </c>
      <c r="AL140" s="3" t="e">
        <f>#REF!</f>
        <v>#REF!</v>
      </c>
      <c r="AM140" s="3" t="e">
        <f>#REF!</f>
        <v>#REF!</v>
      </c>
      <c r="AN140" s="3" t="e">
        <f>#REF!</f>
        <v>#REF!</v>
      </c>
      <c r="AO140" s="3" t="e">
        <f>#REF!</f>
        <v>#REF!</v>
      </c>
      <c r="AP140" s="9" t="e">
        <f>VLOOKUP(AG140,#REF!,10,FALSE)</f>
        <v>#REF!</v>
      </c>
      <c r="AQ140" s="8">
        <f>SUMIFS(Capacity!$G$2:$G$2820,Capacity!$B$2:$B$2820,Demand_Modeling!AG140)</f>
        <v>0</v>
      </c>
      <c r="AS140" s="2" t="e">
        <f t="shared" si="34"/>
        <v>#REF!</v>
      </c>
      <c r="AT140" s="2" t="e">
        <f t="shared" si="35"/>
        <v>#REF!</v>
      </c>
      <c r="AU140" s="2" t="e">
        <f t="shared" si="36"/>
        <v>#REF!</v>
      </c>
      <c r="AV140" s="2" t="e">
        <f t="shared" si="37"/>
        <v>#REF!</v>
      </c>
      <c r="AW140" s="2" t="e">
        <f t="shared" si="38"/>
        <v>#REF!</v>
      </c>
      <c r="AX140" s="2" t="e">
        <f t="shared" si="39"/>
        <v>#REF!</v>
      </c>
      <c r="AY140" s="2" t="e">
        <f t="shared" si="40"/>
        <v>#REF!</v>
      </c>
      <c r="AZ140" s="10">
        <f t="shared" si="41"/>
        <v>0</v>
      </c>
      <c r="BA140" s="5" t="e">
        <f t="shared" si="42"/>
        <v>#REF!</v>
      </c>
    </row>
    <row r="141" spans="33:53" x14ac:dyDescent="0.3">
      <c r="AG141" t="e">
        <f t="shared" si="33"/>
        <v>#REF!</v>
      </c>
      <c r="AH141" t="e">
        <f>#REF!</f>
        <v>#REF!</v>
      </c>
      <c r="AI141" t="e">
        <f>#REF!</f>
        <v>#REF!</v>
      </c>
      <c r="AJ141" s="3" t="e">
        <f>#REF!</f>
        <v>#REF!</v>
      </c>
      <c r="AK141" s="3" t="e">
        <f>#REF!</f>
        <v>#REF!</v>
      </c>
      <c r="AL141" s="3" t="e">
        <f>#REF!</f>
        <v>#REF!</v>
      </c>
      <c r="AM141" s="3" t="e">
        <f>#REF!</f>
        <v>#REF!</v>
      </c>
      <c r="AN141" s="3" t="e">
        <f>#REF!</f>
        <v>#REF!</v>
      </c>
      <c r="AO141" s="3" t="e">
        <f>#REF!</f>
        <v>#REF!</v>
      </c>
      <c r="AP141" s="9" t="e">
        <f>VLOOKUP(AG141,#REF!,10,FALSE)</f>
        <v>#REF!</v>
      </c>
      <c r="AQ141" s="8">
        <f>SUMIFS(Capacity!$G$2:$G$2820,Capacity!$B$2:$B$2820,Demand_Modeling!AG141)</f>
        <v>0</v>
      </c>
      <c r="AS141" s="2" t="e">
        <f t="shared" si="34"/>
        <v>#REF!</v>
      </c>
      <c r="AT141" s="2" t="e">
        <f t="shared" si="35"/>
        <v>#REF!</v>
      </c>
      <c r="AU141" s="2" t="e">
        <f t="shared" si="36"/>
        <v>#REF!</v>
      </c>
      <c r="AV141" s="2" t="e">
        <f t="shared" si="37"/>
        <v>#REF!</v>
      </c>
      <c r="AW141" s="2" t="e">
        <f t="shared" si="38"/>
        <v>#REF!</v>
      </c>
      <c r="AX141" s="2" t="e">
        <f t="shared" si="39"/>
        <v>#REF!</v>
      </c>
      <c r="AY141" s="2" t="e">
        <f t="shared" si="40"/>
        <v>#REF!</v>
      </c>
      <c r="AZ141" s="10">
        <f t="shared" si="41"/>
        <v>0</v>
      </c>
      <c r="BA141" s="5" t="e">
        <f t="shared" si="42"/>
        <v>#REF!</v>
      </c>
    </row>
    <row r="142" spans="33:53" x14ac:dyDescent="0.3">
      <c r="AG142" t="e">
        <f t="shared" si="33"/>
        <v>#REF!</v>
      </c>
      <c r="AH142" t="e">
        <f>#REF!</f>
        <v>#REF!</v>
      </c>
      <c r="AI142" t="e">
        <f>#REF!</f>
        <v>#REF!</v>
      </c>
      <c r="AJ142" s="3" t="e">
        <f>#REF!</f>
        <v>#REF!</v>
      </c>
      <c r="AK142" s="3" t="e">
        <f>#REF!</f>
        <v>#REF!</v>
      </c>
      <c r="AL142" s="3" t="e">
        <f>#REF!</f>
        <v>#REF!</v>
      </c>
      <c r="AM142" s="3" t="e">
        <f>#REF!</f>
        <v>#REF!</v>
      </c>
      <c r="AN142" s="3" t="e">
        <f>#REF!</f>
        <v>#REF!</v>
      </c>
      <c r="AO142" s="3" t="e">
        <f>#REF!</f>
        <v>#REF!</v>
      </c>
      <c r="AP142" s="9" t="e">
        <f>VLOOKUP(AG142,#REF!,10,FALSE)</f>
        <v>#REF!</v>
      </c>
      <c r="AQ142" s="8">
        <f>SUMIFS(Capacity!$G$2:$G$2820,Capacity!$B$2:$B$2820,Demand_Modeling!AG142)</f>
        <v>0</v>
      </c>
      <c r="AS142" s="2" t="e">
        <f t="shared" si="34"/>
        <v>#REF!</v>
      </c>
      <c r="AT142" s="2" t="e">
        <f t="shared" si="35"/>
        <v>#REF!</v>
      </c>
      <c r="AU142" s="2" t="e">
        <f t="shared" si="36"/>
        <v>#REF!</v>
      </c>
      <c r="AV142" s="2" t="e">
        <f t="shared" si="37"/>
        <v>#REF!</v>
      </c>
      <c r="AW142" s="2" t="e">
        <f t="shared" si="38"/>
        <v>#REF!</v>
      </c>
      <c r="AX142" s="2" t="e">
        <f t="shared" si="39"/>
        <v>#REF!</v>
      </c>
      <c r="AY142" s="2" t="e">
        <f t="shared" si="40"/>
        <v>#REF!</v>
      </c>
      <c r="AZ142" s="10">
        <f t="shared" si="41"/>
        <v>0</v>
      </c>
      <c r="BA142" s="5" t="e">
        <f t="shared" si="42"/>
        <v>#REF!</v>
      </c>
    </row>
    <row r="143" spans="33:53" x14ac:dyDescent="0.3">
      <c r="AG143" t="e">
        <f t="shared" ref="AG143:AG206" si="43">AH143&amp;"-"&amp;AI143</f>
        <v>#REF!</v>
      </c>
      <c r="AH143" t="e">
        <f>#REF!</f>
        <v>#REF!</v>
      </c>
      <c r="AI143" t="e">
        <f>#REF!</f>
        <v>#REF!</v>
      </c>
      <c r="AJ143" s="3" t="e">
        <f>#REF!</f>
        <v>#REF!</v>
      </c>
      <c r="AK143" s="3" t="e">
        <f>#REF!</f>
        <v>#REF!</v>
      </c>
      <c r="AL143" s="3" t="e">
        <f>#REF!</f>
        <v>#REF!</v>
      </c>
      <c r="AM143" s="3" t="e">
        <f>#REF!</f>
        <v>#REF!</v>
      </c>
      <c r="AN143" s="3" t="e">
        <f>#REF!</f>
        <v>#REF!</v>
      </c>
      <c r="AO143" s="3" t="e">
        <f>#REF!</f>
        <v>#REF!</v>
      </c>
      <c r="AP143" s="9" t="e">
        <f>VLOOKUP(AG143,#REF!,10,FALSE)</f>
        <v>#REF!</v>
      </c>
      <c r="AQ143" s="8">
        <f>SUMIFS(Capacity!$G$2:$G$2820,Capacity!$B$2:$B$2820,Demand_Modeling!AG143)</f>
        <v>0</v>
      </c>
      <c r="AS143" s="2" t="e">
        <f t="shared" ref="AS143:AS206" si="44">AJ143*$AP143</f>
        <v>#REF!</v>
      </c>
      <c r="AT143" s="2" t="e">
        <f t="shared" ref="AT143:AT206" si="45">AK143*$AP143</f>
        <v>#REF!</v>
      </c>
      <c r="AU143" s="2" t="e">
        <f t="shared" ref="AU143:AU206" si="46">AL143*$AP143</f>
        <v>#REF!</v>
      </c>
      <c r="AV143" s="2" t="e">
        <f t="shared" ref="AV143:AV206" si="47">AM143*$AP143</f>
        <v>#REF!</v>
      </c>
      <c r="AW143" s="2" t="e">
        <f t="shared" ref="AW143:AW206" si="48">AN143*$AP143</f>
        <v>#REF!</v>
      </c>
      <c r="AX143" s="2" t="e">
        <f t="shared" ref="AX143:AX206" si="49">AO143*$AP143</f>
        <v>#REF!</v>
      </c>
      <c r="AY143" s="2" t="e">
        <f t="shared" ref="AY143:AY206" si="50">SUM(AS143:AX143)</f>
        <v>#REF!</v>
      </c>
      <c r="AZ143" s="10">
        <f t="shared" ref="AZ143:AZ206" si="51">AQ143</f>
        <v>0</v>
      </c>
      <c r="BA143" s="5" t="e">
        <f t="shared" ref="BA143:BA206" si="52">AY143/AZ143</f>
        <v>#REF!</v>
      </c>
    </row>
    <row r="144" spans="33:53" x14ac:dyDescent="0.3">
      <c r="AG144" t="e">
        <f t="shared" si="43"/>
        <v>#REF!</v>
      </c>
      <c r="AH144" t="e">
        <f>#REF!</f>
        <v>#REF!</v>
      </c>
      <c r="AI144" t="e">
        <f>#REF!</f>
        <v>#REF!</v>
      </c>
      <c r="AJ144" s="3" t="e">
        <f>#REF!</f>
        <v>#REF!</v>
      </c>
      <c r="AK144" s="3" t="e">
        <f>#REF!</f>
        <v>#REF!</v>
      </c>
      <c r="AL144" s="3" t="e">
        <f>#REF!</f>
        <v>#REF!</v>
      </c>
      <c r="AM144" s="3" t="e">
        <f>#REF!</f>
        <v>#REF!</v>
      </c>
      <c r="AN144" s="3" t="e">
        <f>#REF!</f>
        <v>#REF!</v>
      </c>
      <c r="AO144" s="3" t="e">
        <f>#REF!</f>
        <v>#REF!</v>
      </c>
      <c r="AP144" s="9" t="e">
        <f>VLOOKUP(AG144,#REF!,10,FALSE)</f>
        <v>#REF!</v>
      </c>
      <c r="AQ144" s="8">
        <f>SUMIFS(Capacity!$G$2:$G$2820,Capacity!$B$2:$B$2820,Demand_Modeling!AG144)</f>
        <v>0</v>
      </c>
      <c r="AS144" s="2" t="e">
        <f t="shared" si="44"/>
        <v>#REF!</v>
      </c>
      <c r="AT144" s="2" t="e">
        <f t="shared" si="45"/>
        <v>#REF!</v>
      </c>
      <c r="AU144" s="2" t="e">
        <f t="shared" si="46"/>
        <v>#REF!</v>
      </c>
      <c r="AV144" s="2" t="e">
        <f t="shared" si="47"/>
        <v>#REF!</v>
      </c>
      <c r="AW144" s="2" t="e">
        <f t="shared" si="48"/>
        <v>#REF!</v>
      </c>
      <c r="AX144" s="2" t="e">
        <f t="shared" si="49"/>
        <v>#REF!</v>
      </c>
      <c r="AY144" s="2" t="e">
        <f t="shared" si="50"/>
        <v>#REF!</v>
      </c>
      <c r="AZ144" s="10">
        <f t="shared" si="51"/>
        <v>0</v>
      </c>
      <c r="BA144" s="5" t="e">
        <f t="shared" si="52"/>
        <v>#REF!</v>
      </c>
    </row>
    <row r="145" spans="33:53" x14ac:dyDescent="0.3">
      <c r="AG145" t="e">
        <f t="shared" si="43"/>
        <v>#REF!</v>
      </c>
      <c r="AH145" t="e">
        <f>#REF!</f>
        <v>#REF!</v>
      </c>
      <c r="AI145" t="e">
        <f>#REF!</f>
        <v>#REF!</v>
      </c>
      <c r="AJ145" s="3" t="e">
        <f>#REF!</f>
        <v>#REF!</v>
      </c>
      <c r="AK145" s="3" t="e">
        <f>#REF!</f>
        <v>#REF!</v>
      </c>
      <c r="AL145" s="3" t="e">
        <f>#REF!</f>
        <v>#REF!</v>
      </c>
      <c r="AM145" s="3" t="e">
        <f>#REF!</f>
        <v>#REF!</v>
      </c>
      <c r="AN145" s="3" t="e">
        <f>#REF!</f>
        <v>#REF!</v>
      </c>
      <c r="AO145" s="3" t="e">
        <f>#REF!</f>
        <v>#REF!</v>
      </c>
      <c r="AP145" s="9" t="e">
        <f>VLOOKUP(AG145,#REF!,10,FALSE)</f>
        <v>#REF!</v>
      </c>
      <c r="AQ145" s="8">
        <f>SUMIFS(Capacity!$G$2:$G$2820,Capacity!$B$2:$B$2820,Demand_Modeling!AG145)</f>
        <v>0</v>
      </c>
      <c r="AS145" s="2" t="e">
        <f t="shared" si="44"/>
        <v>#REF!</v>
      </c>
      <c r="AT145" s="2" t="e">
        <f t="shared" si="45"/>
        <v>#REF!</v>
      </c>
      <c r="AU145" s="2" t="e">
        <f t="shared" si="46"/>
        <v>#REF!</v>
      </c>
      <c r="AV145" s="2" t="e">
        <f t="shared" si="47"/>
        <v>#REF!</v>
      </c>
      <c r="AW145" s="2" t="e">
        <f t="shared" si="48"/>
        <v>#REF!</v>
      </c>
      <c r="AX145" s="2" t="e">
        <f t="shared" si="49"/>
        <v>#REF!</v>
      </c>
      <c r="AY145" s="2" t="e">
        <f t="shared" si="50"/>
        <v>#REF!</v>
      </c>
      <c r="AZ145" s="10">
        <f t="shared" si="51"/>
        <v>0</v>
      </c>
      <c r="BA145" s="5" t="e">
        <f t="shared" si="52"/>
        <v>#REF!</v>
      </c>
    </row>
    <row r="146" spans="33:53" x14ac:dyDescent="0.3">
      <c r="AG146" t="e">
        <f t="shared" si="43"/>
        <v>#REF!</v>
      </c>
      <c r="AH146" t="e">
        <f>#REF!</f>
        <v>#REF!</v>
      </c>
      <c r="AI146" t="e">
        <f>#REF!</f>
        <v>#REF!</v>
      </c>
      <c r="AJ146" s="3" t="e">
        <f>#REF!</f>
        <v>#REF!</v>
      </c>
      <c r="AK146" s="3" t="e">
        <f>#REF!</f>
        <v>#REF!</v>
      </c>
      <c r="AL146" s="3" t="e">
        <f>#REF!</f>
        <v>#REF!</v>
      </c>
      <c r="AM146" s="3" t="e">
        <f>#REF!</f>
        <v>#REF!</v>
      </c>
      <c r="AN146" s="3" t="e">
        <f>#REF!</f>
        <v>#REF!</v>
      </c>
      <c r="AO146" s="3" t="e">
        <f>#REF!</f>
        <v>#REF!</v>
      </c>
      <c r="AP146" s="9" t="e">
        <f>VLOOKUP(AG146,#REF!,10,FALSE)</f>
        <v>#REF!</v>
      </c>
      <c r="AQ146" s="8">
        <f>SUMIFS(Capacity!$G$2:$G$2820,Capacity!$B$2:$B$2820,Demand_Modeling!AG146)</f>
        <v>0</v>
      </c>
      <c r="AS146" s="2" t="e">
        <f t="shared" si="44"/>
        <v>#REF!</v>
      </c>
      <c r="AT146" s="2" t="e">
        <f t="shared" si="45"/>
        <v>#REF!</v>
      </c>
      <c r="AU146" s="2" t="e">
        <f t="shared" si="46"/>
        <v>#REF!</v>
      </c>
      <c r="AV146" s="2" t="e">
        <f t="shared" si="47"/>
        <v>#REF!</v>
      </c>
      <c r="AW146" s="2" t="e">
        <f t="shared" si="48"/>
        <v>#REF!</v>
      </c>
      <c r="AX146" s="2" t="e">
        <f t="shared" si="49"/>
        <v>#REF!</v>
      </c>
      <c r="AY146" s="2" t="e">
        <f t="shared" si="50"/>
        <v>#REF!</v>
      </c>
      <c r="AZ146" s="10">
        <f t="shared" si="51"/>
        <v>0</v>
      </c>
      <c r="BA146" s="5" t="e">
        <f t="shared" si="52"/>
        <v>#REF!</v>
      </c>
    </row>
    <row r="147" spans="33:53" x14ac:dyDescent="0.3">
      <c r="AG147" t="e">
        <f t="shared" si="43"/>
        <v>#REF!</v>
      </c>
      <c r="AH147" t="e">
        <f>#REF!</f>
        <v>#REF!</v>
      </c>
      <c r="AI147" t="e">
        <f>#REF!</f>
        <v>#REF!</v>
      </c>
      <c r="AJ147" s="3" t="e">
        <f>#REF!</f>
        <v>#REF!</v>
      </c>
      <c r="AK147" s="3" t="e">
        <f>#REF!</f>
        <v>#REF!</v>
      </c>
      <c r="AL147" s="3" t="e">
        <f>#REF!</f>
        <v>#REF!</v>
      </c>
      <c r="AM147" s="3" t="e">
        <f>#REF!</f>
        <v>#REF!</v>
      </c>
      <c r="AN147" s="3" t="e">
        <f>#REF!</f>
        <v>#REF!</v>
      </c>
      <c r="AO147" s="3" t="e">
        <f>#REF!</f>
        <v>#REF!</v>
      </c>
      <c r="AP147" s="9" t="e">
        <f>VLOOKUP(AG147,#REF!,10,FALSE)</f>
        <v>#REF!</v>
      </c>
      <c r="AQ147" s="8">
        <f>SUMIFS(Capacity!$G$2:$G$2820,Capacity!$B$2:$B$2820,Demand_Modeling!AG147)</f>
        <v>0</v>
      </c>
      <c r="AS147" s="2" t="e">
        <f t="shared" si="44"/>
        <v>#REF!</v>
      </c>
      <c r="AT147" s="2" t="e">
        <f t="shared" si="45"/>
        <v>#REF!</v>
      </c>
      <c r="AU147" s="2" t="e">
        <f t="shared" si="46"/>
        <v>#REF!</v>
      </c>
      <c r="AV147" s="2" t="e">
        <f t="shared" si="47"/>
        <v>#REF!</v>
      </c>
      <c r="AW147" s="2" t="e">
        <f t="shared" si="48"/>
        <v>#REF!</v>
      </c>
      <c r="AX147" s="2" t="e">
        <f t="shared" si="49"/>
        <v>#REF!</v>
      </c>
      <c r="AY147" s="2" t="e">
        <f t="shared" si="50"/>
        <v>#REF!</v>
      </c>
      <c r="AZ147" s="10">
        <f t="shared" si="51"/>
        <v>0</v>
      </c>
      <c r="BA147" s="5" t="e">
        <f t="shared" si="52"/>
        <v>#REF!</v>
      </c>
    </row>
    <row r="148" spans="33:53" x14ac:dyDescent="0.3">
      <c r="AG148" t="e">
        <f t="shared" si="43"/>
        <v>#REF!</v>
      </c>
      <c r="AH148" t="e">
        <f>#REF!</f>
        <v>#REF!</v>
      </c>
      <c r="AI148" t="e">
        <f>#REF!</f>
        <v>#REF!</v>
      </c>
      <c r="AJ148" s="3" t="e">
        <f>#REF!</f>
        <v>#REF!</v>
      </c>
      <c r="AK148" s="3" t="e">
        <f>#REF!</f>
        <v>#REF!</v>
      </c>
      <c r="AL148" s="3" t="e">
        <f>#REF!</f>
        <v>#REF!</v>
      </c>
      <c r="AM148" s="3" t="e">
        <f>#REF!</f>
        <v>#REF!</v>
      </c>
      <c r="AN148" s="3" t="e">
        <f>#REF!</f>
        <v>#REF!</v>
      </c>
      <c r="AO148" s="3" t="e">
        <f>#REF!</f>
        <v>#REF!</v>
      </c>
      <c r="AP148" s="9" t="e">
        <f>VLOOKUP(AG148,#REF!,10,FALSE)</f>
        <v>#REF!</v>
      </c>
      <c r="AQ148" s="8">
        <f>SUMIFS(Capacity!$G$2:$G$2820,Capacity!$B$2:$B$2820,Demand_Modeling!AG148)</f>
        <v>0</v>
      </c>
      <c r="AS148" s="2" t="e">
        <f t="shared" si="44"/>
        <v>#REF!</v>
      </c>
      <c r="AT148" s="2" t="e">
        <f t="shared" si="45"/>
        <v>#REF!</v>
      </c>
      <c r="AU148" s="2" t="e">
        <f t="shared" si="46"/>
        <v>#REF!</v>
      </c>
      <c r="AV148" s="2" t="e">
        <f t="shared" si="47"/>
        <v>#REF!</v>
      </c>
      <c r="AW148" s="2" t="e">
        <f t="shared" si="48"/>
        <v>#REF!</v>
      </c>
      <c r="AX148" s="2" t="e">
        <f t="shared" si="49"/>
        <v>#REF!</v>
      </c>
      <c r="AY148" s="2" t="e">
        <f t="shared" si="50"/>
        <v>#REF!</v>
      </c>
      <c r="AZ148" s="10">
        <f t="shared" si="51"/>
        <v>0</v>
      </c>
      <c r="BA148" s="5" t="e">
        <f t="shared" si="52"/>
        <v>#REF!</v>
      </c>
    </row>
    <row r="149" spans="33:53" x14ac:dyDescent="0.3">
      <c r="AG149" t="e">
        <f t="shared" si="43"/>
        <v>#REF!</v>
      </c>
      <c r="AH149" t="e">
        <f>#REF!</f>
        <v>#REF!</v>
      </c>
      <c r="AI149" t="e">
        <f>#REF!</f>
        <v>#REF!</v>
      </c>
      <c r="AJ149" s="3" t="e">
        <f>#REF!</f>
        <v>#REF!</v>
      </c>
      <c r="AK149" s="3" t="e">
        <f>#REF!</f>
        <v>#REF!</v>
      </c>
      <c r="AL149" s="3" t="e">
        <f>#REF!</f>
        <v>#REF!</v>
      </c>
      <c r="AM149" s="3" t="e">
        <f>#REF!</f>
        <v>#REF!</v>
      </c>
      <c r="AN149" s="3" t="e">
        <f>#REF!</f>
        <v>#REF!</v>
      </c>
      <c r="AO149" s="3" t="e">
        <f>#REF!</f>
        <v>#REF!</v>
      </c>
      <c r="AP149" s="9" t="e">
        <f>VLOOKUP(AG149,#REF!,10,FALSE)</f>
        <v>#REF!</v>
      </c>
      <c r="AQ149" s="8">
        <f>SUMIFS(Capacity!$G$2:$G$2820,Capacity!$B$2:$B$2820,Demand_Modeling!AG149)</f>
        <v>0</v>
      </c>
      <c r="AS149" s="2" t="e">
        <f t="shared" si="44"/>
        <v>#REF!</v>
      </c>
      <c r="AT149" s="2" t="e">
        <f t="shared" si="45"/>
        <v>#REF!</v>
      </c>
      <c r="AU149" s="2" t="e">
        <f t="shared" si="46"/>
        <v>#REF!</v>
      </c>
      <c r="AV149" s="2" t="e">
        <f t="shared" si="47"/>
        <v>#REF!</v>
      </c>
      <c r="AW149" s="2" t="e">
        <f t="shared" si="48"/>
        <v>#REF!</v>
      </c>
      <c r="AX149" s="2" t="e">
        <f t="shared" si="49"/>
        <v>#REF!</v>
      </c>
      <c r="AY149" s="2" t="e">
        <f t="shared" si="50"/>
        <v>#REF!</v>
      </c>
      <c r="AZ149" s="10">
        <f t="shared" si="51"/>
        <v>0</v>
      </c>
      <c r="BA149" s="5" t="e">
        <f t="shared" si="52"/>
        <v>#REF!</v>
      </c>
    </row>
    <row r="150" spans="33:53" x14ac:dyDescent="0.3">
      <c r="AG150" t="e">
        <f t="shared" si="43"/>
        <v>#REF!</v>
      </c>
      <c r="AH150" t="e">
        <f>#REF!</f>
        <v>#REF!</v>
      </c>
      <c r="AI150" t="e">
        <f>#REF!</f>
        <v>#REF!</v>
      </c>
      <c r="AJ150" s="3" t="e">
        <f>#REF!</f>
        <v>#REF!</v>
      </c>
      <c r="AK150" s="3" t="e">
        <f>#REF!</f>
        <v>#REF!</v>
      </c>
      <c r="AL150" s="3" t="e">
        <f>#REF!</f>
        <v>#REF!</v>
      </c>
      <c r="AM150" s="3" t="e">
        <f>#REF!</f>
        <v>#REF!</v>
      </c>
      <c r="AN150" s="3" t="e">
        <f>#REF!</f>
        <v>#REF!</v>
      </c>
      <c r="AO150" s="3" t="e">
        <f>#REF!</f>
        <v>#REF!</v>
      </c>
      <c r="AP150" s="9" t="e">
        <f>VLOOKUP(AG150,#REF!,10,FALSE)</f>
        <v>#REF!</v>
      </c>
      <c r="AQ150" s="8">
        <f>SUMIFS(Capacity!$G$2:$G$2820,Capacity!$B$2:$B$2820,Demand_Modeling!AG150)</f>
        <v>0</v>
      </c>
      <c r="AS150" s="2" t="e">
        <f t="shared" si="44"/>
        <v>#REF!</v>
      </c>
      <c r="AT150" s="2" t="e">
        <f t="shared" si="45"/>
        <v>#REF!</v>
      </c>
      <c r="AU150" s="2" t="e">
        <f t="shared" si="46"/>
        <v>#REF!</v>
      </c>
      <c r="AV150" s="2" t="e">
        <f t="shared" si="47"/>
        <v>#REF!</v>
      </c>
      <c r="AW150" s="2" t="e">
        <f t="shared" si="48"/>
        <v>#REF!</v>
      </c>
      <c r="AX150" s="2" t="e">
        <f t="shared" si="49"/>
        <v>#REF!</v>
      </c>
      <c r="AY150" s="2" t="e">
        <f t="shared" si="50"/>
        <v>#REF!</v>
      </c>
      <c r="AZ150" s="10">
        <f t="shared" si="51"/>
        <v>0</v>
      </c>
      <c r="BA150" s="5" t="e">
        <f t="shared" si="52"/>
        <v>#REF!</v>
      </c>
    </row>
    <row r="151" spans="33:53" x14ac:dyDescent="0.3">
      <c r="AG151" t="e">
        <f t="shared" si="43"/>
        <v>#REF!</v>
      </c>
      <c r="AH151" t="e">
        <f>#REF!</f>
        <v>#REF!</v>
      </c>
      <c r="AI151" t="e">
        <f>#REF!</f>
        <v>#REF!</v>
      </c>
      <c r="AJ151" s="3" t="e">
        <f>#REF!</f>
        <v>#REF!</v>
      </c>
      <c r="AK151" s="3" t="e">
        <f>#REF!</f>
        <v>#REF!</v>
      </c>
      <c r="AL151" s="3" t="e">
        <f>#REF!</f>
        <v>#REF!</v>
      </c>
      <c r="AM151" s="3" t="e">
        <f>#REF!</f>
        <v>#REF!</v>
      </c>
      <c r="AN151" s="3" t="e">
        <f>#REF!</f>
        <v>#REF!</v>
      </c>
      <c r="AO151" s="3" t="e">
        <f>#REF!</f>
        <v>#REF!</v>
      </c>
      <c r="AP151" s="9" t="e">
        <f>VLOOKUP(AG151,#REF!,10,FALSE)</f>
        <v>#REF!</v>
      </c>
      <c r="AQ151" s="8">
        <f>SUMIFS(Capacity!$G$2:$G$2820,Capacity!$B$2:$B$2820,Demand_Modeling!AG151)</f>
        <v>0</v>
      </c>
      <c r="AS151" s="2" t="e">
        <f t="shared" si="44"/>
        <v>#REF!</v>
      </c>
      <c r="AT151" s="2" t="e">
        <f t="shared" si="45"/>
        <v>#REF!</v>
      </c>
      <c r="AU151" s="2" t="e">
        <f t="shared" si="46"/>
        <v>#REF!</v>
      </c>
      <c r="AV151" s="2" t="e">
        <f t="shared" si="47"/>
        <v>#REF!</v>
      </c>
      <c r="AW151" s="2" t="e">
        <f t="shared" si="48"/>
        <v>#REF!</v>
      </c>
      <c r="AX151" s="2" t="e">
        <f t="shared" si="49"/>
        <v>#REF!</v>
      </c>
      <c r="AY151" s="2" t="e">
        <f t="shared" si="50"/>
        <v>#REF!</v>
      </c>
      <c r="AZ151" s="10">
        <f t="shared" si="51"/>
        <v>0</v>
      </c>
      <c r="BA151" s="5" t="e">
        <f t="shared" si="52"/>
        <v>#REF!</v>
      </c>
    </row>
    <row r="152" spans="33:53" x14ac:dyDescent="0.3">
      <c r="AG152" t="e">
        <f t="shared" si="43"/>
        <v>#REF!</v>
      </c>
      <c r="AH152" t="e">
        <f>#REF!</f>
        <v>#REF!</v>
      </c>
      <c r="AI152" t="e">
        <f>#REF!</f>
        <v>#REF!</v>
      </c>
      <c r="AJ152" s="3" t="e">
        <f>#REF!</f>
        <v>#REF!</v>
      </c>
      <c r="AK152" s="3" t="e">
        <f>#REF!</f>
        <v>#REF!</v>
      </c>
      <c r="AL152" s="3" t="e">
        <f>#REF!</f>
        <v>#REF!</v>
      </c>
      <c r="AM152" s="3" t="e">
        <f>#REF!</f>
        <v>#REF!</v>
      </c>
      <c r="AN152" s="3" t="e">
        <f>#REF!</f>
        <v>#REF!</v>
      </c>
      <c r="AO152" s="3" t="e">
        <f>#REF!</f>
        <v>#REF!</v>
      </c>
      <c r="AP152" s="9" t="e">
        <f>VLOOKUP(AG152,#REF!,10,FALSE)</f>
        <v>#REF!</v>
      </c>
      <c r="AQ152" s="8">
        <f>SUMIFS(Capacity!$G$2:$G$2820,Capacity!$B$2:$B$2820,Demand_Modeling!AG152)</f>
        <v>0</v>
      </c>
      <c r="AS152" s="2" t="e">
        <f t="shared" si="44"/>
        <v>#REF!</v>
      </c>
      <c r="AT152" s="2" t="e">
        <f t="shared" si="45"/>
        <v>#REF!</v>
      </c>
      <c r="AU152" s="2" t="e">
        <f t="shared" si="46"/>
        <v>#REF!</v>
      </c>
      <c r="AV152" s="2" t="e">
        <f t="shared" si="47"/>
        <v>#REF!</v>
      </c>
      <c r="AW152" s="2" t="e">
        <f t="shared" si="48"/>
        <v>#REF!</v>
      </c>
      <c r="AX152" s="2" t="e">
        <f t="shared" si="49"/>
        <v>#REF!</v>
      </c>
      <c r="AY152" s="2" t="e">
        <f t="shared" si="50"/>
        <v>#REF!</v>
      </c>
      <c r="AZ152" s="10">
        <f t="shared" si="51"/>
        <v>0</v>
      </c>
      <c r="BA152" s="5" t="e">
        <f t="shared" si="52"/>
        <v>#REF!</v>
      </c>
    </row>
    <row r="153" spans="33:53" x14ac:dyDescent="0.3">
      <c r="AG153" t="e">
        <f t="shared" si="43"/>
        <v>#REF!</v>
      </c>
      <c r="AH153" t="e">
        <f>#REF!</f>
        <v>#REF!</v>
      </c>
      <c r="AI153" t="e">
        <f>#REF!</f>
        <v>#REF!</v>
      </c>
      <c r="AJ153" s="3" t="e">
        <f>#REF!</f>
        <v>#REF!</v>
      </c>
      <c r="AK153" s="3" t="e">
        <f>#REF!</f>
        <v>#REF!</v>
      </c>
      <c r="AL153" s="3" t="e">
        <f>#REF!</f>
        <v>#REF!</v>
      </c>
      <c r="AM153" s="3" t="e">
        <f>#REF!</f>
        <v>#REF!</v>
      </c>
      <c r="AN153" s="3" t="e">
        <f>#REF!</f>
        <v>#REF!</v>
      </c>
      <c r="AO153" s="3" t="e">
        <f>#REF!</f>
        <v>#REF!</v>
      </c>
      <c r="AP153" s="9" t="e">
        <f>VLOOKUP(AG153,#REF!,10,FALSE)</f>
        <v>#REF!</v>
      </c>
      <c r="AQ153" s="8">
        <f>SUMIFS(Capacity!$G$2:$G$2820,Capacity!$B$2:$B$2820,Demand_Modeling!AG153)</f>
        <v>0</v>
      </c>
      <c r="AS153" s="2" t="e">
        <f t="shared" si="44"/>
        <v>#REF!</v>
      </c>
      <c r="AT153" s="2" t="e">
        <f t="shared" si="45"/>
        <v>#REF!</v>
      </c>
      <c r="AU153" s="2" t="e">
        <f t="shared" si="46"/>
        <v>#REF!</v>
      </c>
      <c r="AV153" s="2" t="e">
        <f t="shared" si="47"/>
        <v>#REF!</v>
      </c>
      <c r="AW153" s="2" t="e">
        <f t="shared" si="48"/>
        <v>#REF!</v>
      </c>
      <c r="AX153" s="2" t="e">
        <f t="shared" si="49"/>
        <v>#REF!</v>
      </c>
      <c r="AY153" s="2" t="e">
        <f t="shared" si="50"/>
        <v>#REF!</v>
      </c>
      <c r="AZ153" s="10">
        <f t="shared" si="51"/>
        <v>0</v>
      </c>
      <c r="BA153" s="5" t="e">
        <f t="shared" si="52"/>
        <v>#REF!</v>
      </c>
    </row>
    <row r="154" spans="33:53" x14ac:dyDescent="0.3">
      <c r="AG154" t="e">
        <f t="shared" si="43"/>
        <v>#REF!</v>
      </c>
      <c r="AH154" t="e">
        <f>#REF!</f>
        <v>#REF!</v>
      </c>
      <c r="AI154" t="e">
        <f>#REF!</f>
        <v>#REF!</v>
      </c>
      <c r="AJ154" s="3" t="e">
        <f>#REF!</f>
        <v>#REF!</v>
      </c>
      <c r="AK154" s="3" t="e">
        <f>#REF!</f>
        <v>#REF!</v>
      </c>
      <c r="AL154" s="3" t="e">
        <f>#REF!</f>
        <v>#REF!</v>
      </c>
      <c r="AM154" s="3" t="e">
        <f>#REF!</f>
        <v>#REF!</v>
      </c>
      <c r="AN154" s="3" t="e">
        <f>#REF!</f>
        <v>#REF!</v>
      </c>
      <c r="AO154" s="3" t="e">
        <f>#REF!</f>
        <v>#REF!</v>
      </c>
      <c r="AP154" s="9" t="e">
        <f>VLOOKUP(AG154,#REF!,10,FALSE)</f>
        <v>#REF!</v>
      </c>
      <c r="AQ154" s="8">
        <f>SUMIFS(Capacity!$G$2:$G$2820,Capacity!$B$2:$B$2820,Demand_Modeling!AG154)</f>
        <v>0</v>
      </c>
      <c r="AS154" s="2" t="e">
        <f t="shared" si="44"/>
        <v>#REF!</v>
      </c>
      <c r="AT154" s="2" t="e">
        <f t="shared" si="45"/>
        <v>#REF!</v>
      </c>
      <c r="AU154" s="2" t="e">
        <f t="shared" si="46"/>
        <v>#REF!</v>
      </c>
      <c r="AV154" s="2" t="e">
        <f t="shared" si="47"/>
        <v>#REF!</v>
      </c>
      <c r="AW154" s="2" t="e">
        <f t="shared" si="48"/>
        <v>#REF!</v>
      </c>
      <c r="AX154" s="2" t="e">
        <f t="shared" si="49"/>
        <v>#REF!</v>
      </c>
      <c r="AY154" s="2" t="e">
        <f t="shared" si="50"/>
        <v>#REF!</v>
      </c>
      <c r="AZ154" s="10">
        <f t="shared" si="51"/>
        <v>0</v>
      </c>
      <c r="BA154" s="5" t="e">
        <f t="shared" si="52"/>
        <v>#REF!</v>
      </c>
    </row>
    <row r="155" spans="33:53" x14ac:dyDescent="0.3">
      <c r="AG155" t="e">
        <f t="shared" si="43"/>
        <v>#REF!</v>
      </c>
      <c r="AH155" t="e">
        <f>#REF!</f>
        <v>#REF!</v>
      </c>
      <c r="AI155" t="e">
        <f>#REF!</f>
        <v>#REF!</v>
      </c>
      <c r="AJ155" s="3" t="e">
        <f>#REF!</f>
        <v>#REF!</v>
      </c>
      <c r="AK155" s="3" t="e">
        <f>#REF!</f>
        <v>#REF!</v>
      </c>
      <c r="AL155" s="3" t="e">
        <f>#REF!</f>
        <v>#REF!</v>
      </c>
      <c r="AM155" s="3" t="e">
        <f>#REF!</f>
        <v>#REF!</v>
      </c>
      <c r="AN155" s="3" t="e">
        <f>#REF!</f>
        <v>#REF!</v>
      </c>
      <c r="AO155" s="3" t="e">
        <f>#REF!</f>
        <v>#REF!</v>
      </c>
      <c r="AP155" s="9" t="e">
        <f>VLOOKUP(AG155,#REF!,10,FALSE)</f>
        <v>#REF!</v>
      </c>
      <c r="AQ155" s="8">
        <f>SUMIFS(Capacity!$G$2:$G$2820,Capacity!$B$2:$B$2820,Demand_Modeling!AG155)</f>
        <v>0</v>
      </c>
      <c r="AS155" s="2" t="e">
        <f t="shared" si="44"/>
        <v>#REF!</v>
      </c>
      <c r="AT155" s="2" t="e">
        <f t="shared" si="45"/>
        <v>#REF!</v>
      </c>
      <c r="AU155" s="2" t="e">
        <f t="shared" si="46"/>
        <v>#REF!</v>
      </c>
      <c r="AV155" s="2" t="e">
        <f t="shared" si="47"/>
        <v>#REF!</v>
      </c>
      <c r="AW155" s="2" t="e">
        <f t="shared" si="48"/>
        <v>#REF!</v>
      </c>
      <c r="AX155" s="2" t="e">
        <f t="shared" si="49"/>
        <v>#REF!</v>
      </c>
      <c r="AY155" s="2" t="e">
        <f t="shared" si="50"/>
        <v>#REF!</v>
      </c>
      <c r="AZ155" s="10">
        <f t="shared" si="51"/>
        <v>0</v>
      </c>
      <c r="BA155" s="5" t="e">
        <f t="shared" si="52"/>
        <v>#REF!</v>
      </c>
    </row>
    <row r="156" spans="33:53" x14ac:dyDescent="0.3">
      <c r="AG156" t="e">
        <f t="shared" si="43"/>
        <v>#REF!</v>
      </c>
      <c r="AH156" t="e">
        <f>#REF!</f>
        <v>#REF!</v>
      </c>
      <c r="AI156" t="e">
        <f>#REF!</f>
        <v>#REF!</v>
      </c>
      <c r="AJ156" s="3" t="e">
        <f>#REF!</f>
        <v>#REF!</v>
      </c>
      <c r="AK156" s="3" t="e">
        <f>#REF!</f>
        <v>#REF!</v>
      </c>
      <c r="AL156" s="3" t="e">
        <f>#REF!</f>
        <v>#REF!</v>
      </c>
      <c r="AM156" s="3" t="e">
        <f>#REF!</f>
        <v>#REF!</v>
      </c>
      <c r="AN156" s="3" t="e">
        <f>#REF!</f>
        <v>#REF!</v>
      </c>
      <c r="AO156" s="3" t="e">
        <f>#REF!</f>
        <v>#REF!</v>
      </c>
      <c r="AP156" s="9" t="e">
        <f>VLOOKUP(AG156,#REF!,10,FALSE)</f>
        <v>#REF!</v>
      </c>
      <c r="AQ156" s="8">
        <f>SUMIFS(Capacity!$G$2:$G$2820,Capacity!$B$2:$B$2820,Demand_Modeling!AG156)</f>
        <v>0</v>
      </c>
      <c r="AS156" s="2" t="e">
        <f t="shared" si="44"/>
        <v>#REF!</v>
      </c>
      <c r="AT156" s="2" t="e">
        <f t="shared" si="45"/>
        <v>#REF!</v>
      </c>
      <c r="AU156" s="2" t="e">
        <f t="shared" si="46"/>
        <v>#REF!</v>
      </c>
      <c r="AV156" s="2" t="e">
        <f t="shared" si="47"/>
        <v>#REF!</v>
      </c>
      <c r="AW156" s="2" t="e">
        <f t="shared" si="48"/>
        <v>#REF!</v>
      </c>
      <c r="AX156" s="2" t="e">
        <f t="shared" si="49"/>
        <v>#REF!</v>
      </c>
      <c r="AY156" s="2" t="e">
        <f t="shared" si="50"/>
        <v>#REF!</v>
      </c>
      <c r="AZ156" s="10">
        <f t="shared" si="51"/>
        <v>0</v>
      </c>
      <c r="BA156" s="5" t="e">
        <f t="shared" si="52"/>
        <v>#REF!</v>
      </c>
    </row>
    <row r="157" spans="33:53" x14ac:dyDescent="0.3">
      <c r="AG157" t="e">
        <f t="shared" si="43"/>
        <v>#REF!</v>
      </c>
      <c r="AH157" t="e">
        <f>#REF!</f>
        <v>#REF!</v>
      </c>
      <c r="AI157" t="e">
        <f>#REF!</f>
        <v>#REF!</v>
      </c>
      <c r="AJ157" s="3" t="e">
        <f>#REF!</f>
        <v>#REF!</v>
      </c>
      <c r="AK157" s="3" t="e">
        <f>#REF!</f>
        <v>#REF!</v>
      </c>
      <c r="AL157" s="3" t="e">
        <f>#REF!</f>
        <v>#REF!</v>
      </c>
      <c r="AM157" s="3" t="e">
        <f>#REF!</f>
        <v>#REF!</v>
      </c>
      <c r="AN157" s="3" t="e">
        <f>#REF!</f>
        <v>#REF!</v>
      </c>
      <c r="AO157" s="3" t="e">
        <f>#REF!</f>
        <v>#REF!</v>
      </c>
      <c r="AP157" s="9" t="e">
        <f>VLOOKUP(AG157,#REF!,10,FALSE)</f>
        <v>#REF!</v>
      </c>
      <c r="AQ157" s="8">
        <f>SUMIFS(Capacity!$G$2:$G$2820,Capacity!$B$2:$B$2820,Demand_Modeling!AG157)</f>
        <v>0</v>
      </c>
      <c r="AS157" s="2" t="e">
        <f t="shared" si="44"/>
        <v>#REF!</v>
      </c>
      <c r="AT157" s="2" t="e">
        <f t="shared" si="45"/>
        <v>#REF!</v>
      </c>
      <c r="AU157" s="2" t="e">
        <f t="shared" si="46"/>
        <v>#REF!</v>
      </c>
      <c r="AV157" s="2" t="e">
        <f t="shared" si="47"/>
        <v>#REF!</v>
      </c>
      <c r="AW157" s="2" t="e">
        <f t="shared" si="48"/>
        <v>#REF!</v>
      </c>
      <c r="AX157" s="2" t="e">
        <f t="shared" si="49"/>
        <v>#REF!</v>
      </c>
      <c r="AY157" s="2" t="e">
        <f t="shared" si="50"/>
        <v>#REF!</v>
      </c>
      <c r="AZ157" s="10">
        <f t="shared" si="51"/>
        <v>0</v>
      </c>
      <c r="BA157" s="5" t="e">
        <f t="shared" si="52"/>
        <v>#REF!</v>
      </c>
    </row>
    <row r="158" spans="33:53" x14ac:dyDescent="0.3">
      <c r="AG158" t="e">
        <f t="shared" si="43"/>
        <v>#REF!</v>
      </c>
      <c r="AH158" t="e">
        <f>#REF!</f>
        <v>#REF!</v>
      </c>
      <c r="AI158" t="e">
        <f>#REF!</f>
        <v>#REF!</v>
      </c>
      <c r="AJ158" s="3" t="e">
        <f>#REF!</f>
        <v>#REF!</v>
      </c>
      <c r="AK158" s="3" t="e">
        <f>#REF!</f>
        <v>#REF!</v>
      </c>
      <c r="AL158" s="3" t="e">
        <f>#REF!</f>
        <v>#REF!</v>
      </c>
      <c r="AM158" s="3" t="e">
        <f>#REF!</f>
        <v>#REF!</v>
      </c>
      <c r="AN158" s="3" t="e">
        <f>#REF!</f>
        <v>#REF!</v>
      </c>
      <c r="AO158" s="3" t="e">
        <f>#REF!</f>
        <v>#REF!</v>
      </c>
      <c r="AP158" s="9" t="e">
        <f>VLOOKUP(AG158,#REF!,10,FALSE)</f>
        <v>#REF!</v>
      </c>
      <c r="AQ158" s="8">
        <f>SUMIFS(Capacity!$G$2:$G$2820,Capacity!$B$2:$B$2820,Demand_Modeling!AG158)</f>
        <v>0</v>
      </c>
      <c r="AS158" s="2" t="e">
        <f t="shared" si="44"/>
        <v>#REF!</v>
      </c>
      <c r="AT158" s="2" t="e">
        <f t="shared" si="45"/>
        <v>#REF!</v>
      </c>
      <c r="AU158" s="2" t="e">
        <f t="shared" si="46"/>
        <v>#REF!</v>
      </c>
      <c r="AV158" s="2" t="e">
        <f t="shared" si="47"/>
        <v>#REF!</v>
      </c>
      <c r="AW158" s="2" t="e">
        <f t="shared" si="48"/>
        <v>#REF!</v>
      </c>
      <c r="AX158" s="2" t="e">
        <f t="shared" si="49"/>
        <v>#REF!</v>
      </c>
      <c r="AY158" s="2" t="e">
        <f t="shared" si="50"/>
        <v>#REF!</v>
      </c>
      <c r="AZ158" s="10">
        <f t="shared" si="51"/>
        <v>0</v>
      </c>
      <c r="BA158" s="5" t="e">
        <f t="shared" si="52"/>
        <v>#REF!</v>
      </c>
    </row>
    <row r="159" spans="33:53" x14ac:dyDescent="0.3">
      <c r="AG159" t="e">
        <f t="shared" si="43"/>
        <v>#REF!</v>
      </c>
      <c r="AH159" t="e">
        <f>#REF!</f>
        <v>#REF!</v>
      </c>
      <c r="AI159" t="e">
        <f>#REF!</f>
        <v>#REF!</v>
      </c>
      <c r="AJ159" s="3" t="e">
        <f>#REF!</f>
        <v>#REF!</v>
      </c>
      <c r="AK159" s="3" t="e">
        <f>#REF!</f>
        <v>#REF!</v>
      </c>
      <c r="AL159" s="3" t="e">
        <f>#REF!</f>
        <v>#REF!</v>
      </c>
      <c r="AM159" s="3" t="e">
        <f>#REF!</f>
        <v>#REF!</v>
      </c>
      <c r="AN159" s="3" t="e">
        <f>#REF!</f>
        <v>#REF!</v>
      </c>
      <c r="AO159" s="3" t="e">
        <f>#REF!</f>
        <v>#REF!</v>
      </c>
      <c r="AP159" s="9" t="e">
        <f>VLOOKUP(AG159,#REF!,10,FALSE)</f>
        <v>#REF!</v>
      </c>
      <c r="AQ159" s="8">
        <f>SUMIFS(Capacity!$G$2:$G$2820,Capacity!$B$2:$B$2820,Demand_Modeling!AG159)</f>
        <v>0</v>
      </c>
      <c r="AS159" s="2" t="e">
        <f t="shared" si="44"/>
        <v>#REF!</v>
      </c>
      <c r="AT159" s="2" t="e">
        <f t="shared" si="45"/>
        <v>#REF!</v>
      </c>
      <c r="AU159" s="2" t="e">
        <f t="shared" si="46"/>
        <v>#REF!</v>
      </c>
      <c r="AV159" s="2" t="e">
        <f t="shared" si="47"/>
        <v>#REF!</v>
      </c>
      <c r="AW159" s="2" t="e">
        <f t="shared" si="48"/>
        <v>#REF!</v>
      </c>
      <c r="AX159" s="2" t="e">
        <f t="shared" si="49"/>
        <v>#REF!</v>
      </c>
      <c r="AY159" s="2" t="e">
        <f t="shared" si="50"/>
        <v>#REF!</v>
      </c>
      <c r="AZ159" s="10">
        <f t="shared" si="51"/>
        <v>0</v>
      </c>
      <c r="BA159" s="5" t="e">
        <f t="shared" si="52"/>
        <v>#REF!</v>
      </c>
    </row>
    <row r="160" spans="33:53" x14ac:dyDescent="0.3">
      <c r="AG160" t="e">
        <f t="shared" si="43"/>
        <v>#REF!</v>
      </c>
      <c r="AH160" t="e">
        <f>#REF!</f>
        <v>#REF!</v>
      </c>
      <c r="AI160" t="e">
        <f>#REF!</f>
        <v>#REF!</v>
      </c>
      <c r="AJ160" s="3" t="e">
        <f>#REF!</f>
        <v>#REF!</v>
      </c>
      <c r="AK160" s="3" t="e">
        <f>#REF!</f>
        <v>#REF!</v>
      </c>
      <c r="AL160" s="3" t="e">
        <f>#REF!</f>
        <v>#REF!</v>
      </c>
      <c r="AM160" s="3" t="e">
        <f>#REF!</f>
        <v>#REF!</v>
      </c>
      <c r="AN160" s="3" t="e">
        <f>#REF!</f>
        <v>#REF!</v>
      </c>
      <c r="AO160" s="3" t="e">
        <f>#REF!</f>
        <v>#REF!</v>
      </c>
      <c r="AP160" s="9" t="e">
        <f>VLOOKUP(AG160,#REF!,10,FALSE)</f>
        <v>#REF!</v>
      </c>
      <c r="AQ160" s="8">
        <f>SUMIFS(Capacity!$G$2:$G$2820,Capacity!$B$2:$B$2820,Demand_Modeling!AG160)</f>
        <v>0</v>
      </c>
      <c r="AS160" s="2" t="e">
        <f t="shared" si="44"/>
        <v>#REF!</v>
      </c>
      <c r="AT160" s="2" t="e">
        <f t="shared" si="45"/>
        <v>#REF!</v>
      </c>
      <c r="AU160" s="2" t="e">
        <f t="shared" si="46"/>
        <v>#REF!</v>
      </c>
      <c r="AV160" s="2" t="e">
        <f t="shared" si="47"/>
        <v>#REF!</v>
      </c>
      <c r="AW160" s="2" t="e">
        <f t="shared" si="48"/>
        <v>#REF!</v>
      </c>
      <c r="AX160" s="2" t="e">
        <f t="shared" si="49"/>
        <v>#REF!</v>
      </c>
      <c r="AY160" s="2" t="e">
        <f t="shared" si="50"/>
        <v>#REF!</v>
      </c>
      <c r="AZ160" s="10">
        <f t="shared" si="51"/>
        <v>0</v>
      </c>
      <c r="BA160" s="5" t="e">
        <f t="shared" si="52"/>
        <v>#REF!</v>
      </c>
    </row>
    <row r="161" spans="33:53" x14ac:dyDescent="0.3">
      <c r="AG161" t="e">
        <f t="shared" si="43"/>
        <v>#REF!</v>
      </c>
      <c r="AH161" t="e">
        <f>#REF!</f>
        <v>#REF!</v>
      </c>
      <c r="AI161" t="e">
        <f>#REF!</f>
        <v>#REF!</v>
      </c>
      <c r="AJ161" s="3" t="e">
        <f>#REF!</f>
        <v>#REF!</v>
      </c>
      <c r="AK161" s="3" t="e">
        <f>#REF!</f>
        <v>#REF!</v>
      </c>
      <c r="AL161" s="3" t="e">
        <f>#REF!</f>
        <v>#REF!</v>
      </c>
      <c r="AM161" s="3" t="e">
        <f>#REF!</f>
        <v>#REF!</v>
      </c>
      <c r="AN161" s="3" t="e">
        <f>#REF!</f>
        <v>#REF!</v>
      </c>
      <c r="AO161" s="3" t="e">
        <f>#REF!</f>
        <v>#REF!</v>
      </c>
      <c r="AP161" s="9" t="e">
        <f>VLOOKUP(AG161,#REF!,10,FALSE)</f>
        <v>#REF!</v>
      </c>
      <c r="AQ161" s="8">
        <f>SUMIFS(Capacity!$G$2:$G$2820,Capacity!$B$2:$B$2820,Demand_Modeling!AG161)</f>
        <v>0</v>
      </c>
      <c r="AS161" s="2" t="e">
        <f t="shared" si="44"/>
        <v>#REF!</v>
      </c>
      <c r="AT161" s="2" t="e">
        <f t="shared" si="45"/>
        <v>#REF!</v>
      </c>
      <c r="AU161" s="2" t="e">
        <f t="shared" si="46"/>
        <v>#REF!</v>
      </c>
      <c r="AV161" s="2" t="e">
        <f t="shared" si="47"/>
        <v>#REF!</v>
      </c>
      <c r="AW161" s="2" t="e">
        <f t="shared" si="48"/>
        <v>#REF!</v>
      </c>
      <c r="AX161" s="2" t="e">
        <f t="shared" si="49"/>
        <v>#REF!</v>
      </c>
      <c r="AY161" s="2" t="e">
        <f t="shared" si="50"/>
        <v>#REF!</v>
      </c>
      <c r="AZ161" s="10">
        <f t="shared" si="51"/>
        <v>0</v>
      </c>
      <c r="BA161" s="5" t="e">
        <f t="shared" si="52"/>
        <v>#REF!</v>
      </c>
    </row>
    <row r="162" spans="33:53" x14ac:dyDescent="0.3">
      <c r="AG162" t="e">
        <f t="shared" si="43"/>
        <v>#REF!</v>
      </c>
      <c r="AH162" t="e">
        <f>#REF!</f>
        <v>#REF!</v>
      </c>
      <c r="AI162" t="e">
        <f>#REF!</f>
        <v>#REF!</v>
      </c>
      <c r="AJ162" s="3" t="e">
        <f>#REF!</f>
        <v>#REF!</v>
      </c>
      <c r="AK162" s="3" t="e">
        <f>#REF!</f>
        <v>#REF!</v>
      </c>
      <c r="AL162" s="3" t="e">
        <f>#REF!</f>
        <v>#REF!</v>
      </c>
      <c r="AM162" s="3" t="e">
        <f>#REF!</f>
        <v>#REF!</v>
      </c>
      <c r="AN162" s="3" t="e">
        <f>#REF!</f>
        <v>#REF!</v>
      </c>
      <c r="AO162" s="3" t="e">
        <f>#REF!</f>
        <v>#REF!</v>
      </c>
      <c r="AP162" s="9" t="e">
        <f>VLOOKUP(AG162,#REF!,10,FALSE)</f>
        <v>#REF!</v>
      </c>
      <c r="AQ162" s="8">
        <f>SUMIFS(Capacity!$G$2:$G$2820,Capacity!$B$2:$B$2820,Demand_Modeling!AG162)</f>
        <v>0</v>
      </c>
      <c r="AS162" s="2" t="e">
        <f t="shared" si="44"/>
        <v>#REF!</v>
      </c>
      <c r="AT162" s="2" t="e">
        <f t="shared" si="45"/>
        <v>#REF!</v>
      </c>
      <c r="AU162" s="2" t="e">
        <f t="shared" si="46"/>
        <v>#REF!</v>
      </c>
      <c r="AV162" s="2" t="e">
        <f t="shared" si="47"/>
        <v>#REF!</v>
      </c>
      <c r="AW162" s="2" t="e">
        <f t="shared" si="48"/>
        <v>#REF!</v>
      </c>
      <c r="AX162" s="2" t="e">
        <f t="shared" si="49"/>
        <v>#REF!</v>
      </c>
      <c r="AY162" s="2" t="e">
        <f t="shared" si="50"/>
        <v>#REF!</v>
      </c>
      <c r="AZ162" s="10">
        <f t="shared" si="51"/>
        <v>0</v>
      </c>
      <c r="BA162" s="5" t="e">
        <f t="shared" si="52"/>
        <v>#REF!</v>
      </c>
    </row>
    <row r="163" spans="33:53" x14ac:dyDescent="0.3">
      <c r="AG163" t="e">
        <f t="shared" si="43"/>
        <v>#REF!</v>
      </c>
      <c r="AH163" t="e">
        <f>#REF!</f>
        <v>#REF!</v>
      </c>
      <c r="AI163" t="e">
        <f>#REF!</f>
        <v>#REF!</v>
      </c>
      <c r="AJ163" s="3" t="e">
        <f>#REF!</f>
        <v>#REF!</v>
      </c>
      <c r="AK163" s="3" t="e">
        <f>#REF!</f>
        <v>#REF!</v>
      </c>
      <c r="AL163" s="3" t="e">
        <f>#REF!</f>
        <v>#REF!</v>
      </c>
      <c r="AM163" s="3" t="e">
        <f>#REF!</f>
        <v>#REF!</v>
      </c>
      <c r="AN163" s="3" t="e">
        <f>#REF!</f>
        <v>#REF!</v>
      </c>
      <c r="AO163" s="3" t="e">
        <f>#REF!</f>
        <v>#REF!</v>
      </c>
      <c r="AP163" s="9" t="e">
        <f>VLOOKUP(AG163,#REF!,10,FALSE)</f>
        <v>#REF!</v>
      </c>
      <c r="AQ163" s="8">
        <f>SUMIFS(Capacity!$G$2:$G$2820,Capacity!$B$2:$B$2820,Demand_Modeling!AG163)</f>
        <v>0</v>
      </c>
      <c r="AS163" s="2" t="e">
        <f t="shared" si="44"/>
        <v>#REF!</v>
      </c>
      <c r="AT163" s="2" t="e">
        <f t="shared" si="45"/>
        <v>#REF!</v>
      </c>
      <c r="AU163" s="2" t="e">
        <f t="shared" si="46"/>
        <v>#REF!</v>
      </c>
      <c r="AV163" s="2" t="e">
        <f t="shared" si="47"/>
        <v>#REF!</v>
      </c>
      <c r="AW163" s="2" t="e">
        <f t="shared" si="48"/>
        <v>#REF!</v>
      </c>
      <c r="AX163" s="2" t="e">
        <f t="shared" si="49"/>
        <v>#REF!</v>
      </c>
      <c r="AY163" s="2" t="e">
        <f t="shared" si="50"/>
        <v>#REF!</v>
      </c>
      <c r="AZ163" s="10">
        <f t="shared" si="51"/>
        <v>0</v>
      </c>
      <c r="BA163" s="5" t="e">
        <f t="shared" si="52"/>
        <v>#REF!</v>
      </c>
    </row>
    <row r="164" spans="33:53" x14ac:dyDescent="0.3">
      <c r="AG164" t="e">
        <f t="shared" si="43"/>
        <v>#REF!</v>
      </c>
      <c r="AH164" t="e">
        <f>#REF!</f>
        <v>#REF!</v>
      </c>
      <c r="AI164" t="e">
        <f>#REF!</f>
        <v>#REF!</v>
      </c>
      <c r="AJ164" s="3" t="e">
        <f>#REF!</f>
        <v>#REF!</v>
      </c>
      <c r="AK164" s="3" t="e">
        <f>#REF!</f>
        <v>#REF!</v>
      </c>
      <c r="AL164" s="3" t="e">
        <f>#REF!</f>
        <v>#REF!</v>
      </c>
      <c r="AM164" s="3" t="e">
        <f>#REF!</f>
        <v>#REF!</v>
      </c>
      <c r="AN164" s="3" t="e">
        <f>#REF!</f>
        <v>#REF!</v>
      </c>
      <c r="AO164" s="3" t="e">
        <f>#REF!</f>
        <v>#REF!</v>
      </c>
      <c r="AP164" s="9" t="e">
        <f>VLOOKUP(AG164,#REF!,10,FALSE)</f>
        <v>#REF!</v>
      </c>
      <c r="AQ164" s="8">
        <f>SUMIFS(Capacity!$G$2:$G$2820,Capacity!$B$2:$B$2820,Demand_Modeling!AG164)</f>
        <v>0</v>
      </c>
      <c r="AS164" s="2" t="e">
        <f t="shared" si="44"/>
        <v>#REF!</v>
      </c>
      <c r="AT164" s="2" t="e">
        <f t="shared" si="45"/>
        <v>#REF!</v>
      </c>
      <c r="AU164" s="2" t="e">
        <f t="shared" si="46"/>
        <v>#REF!</v>
      </c>
      <c r="AV164" s="2" t="e">
        <f t="shared" si="47"/>
        <v>#REF!</v>
      </c>
      <c r="AW164" s="2" t="e">
        <f t="shared" si="48"/>
        <v>#REF!</v>
      </c>
      <c r="AX164" s="2" t="e">
        <f t="shared" si="49"/>
        <v>#REF!</v>
      </c>
      <c r="AY164" s="2" t="e">
        <f t="shared" si="50"/>
        <v>#REF!</v>
      </c>
      <c r="AZ164" s="10">
        <f t="shared" si="51"/>
        <v>0</v>
      </c>
      <c r="BA164" s="5" t="e">
        <f t="shared" si="52"/>
        <v>#REF!</v>
      </c>
    </row>
    <row r="165" spans="33:53" x14ac:dyDescent="0.3">
      <c r="AG165" t="e">
        <f t="shared" si="43"/>
        <v>#REF!</v>
      </c>
      <c r="AH165" t="e">
        <f>#REF!</f>
        <v>#REF!</v>
      </c>
      <c r="AI165" t="e">
        <f>#REF!</f>
        <v>#REF!</v>
      </c>
      <c r="AJ165" s="3" t="e">
        <f>#REF!</f>
        <v>#REF!</v>
      </c>
      <c r="AK165" s="3" t="e">
        <f>#REF!</f>
        <v>#REF!</v>
      </c>
      <c r="AL165" s="3" t="e">
        <f>#REF!</f>
        <v>#REF!</v>
      </c>
      <c r="AM165" s="3" t="e">
        <f>#REF!</f>
        <v>#REF!</v>
      </c>
      <c r="AN165" s="3" t="e">
        <f>#REF!</f>
        <v>#REF!</v>
      </c>
      <c r="AO165" s="3" t="e">
        <f>#REF!</f>
        <v>#REF!</v>
      </c>
      <c r="AP165" s="9" t="e">
        <f>VLOOKUP(AG165,#REF!,10,FALSE)</f>
        <v>#REF!</v>
      </c>
      <c r="AQ165" s="8">
        <f>SUMIFS(Capacity!$G$2:$G$2820,Capacity!$B$2:$B$2820,Demand_Modeling!AG165)</f>
        <v>0</v>
      </c>
      <c r="AS165" s="2" t="e">
        <f t="shared" si="44"/>
        <v>#REF!</v>
      </c>
      <c r="AT165" s="2" t="e">
        <f t="shared" si="45"/>
        <v>#REF!</v>
      </c>
      <c r="AU165" s="2" t="e">
        <f t="shared" si="46"/>
        <v>#REF!</v>
      </c>
      <c r="AV165" s="2" t="e">
        <f t="shared" si="47"/>
        <v>#REF!</v>
      </c>
      <c r="AW165" s="2" t="e">
        <f t="shared" si="48"/>
        <v>#REF!</v>
      </c>
      <c r="AX165" s="2" t="e">
        <f t="shared" si="49"/>
        <v>#REF!</v>
      </c>
      <c r="AY165" s="2" t="e">
        <f t="shared" si="50"/>
        <v>#REF!</v>
      </c>
      <c r="AZ165" s="10">
        <f t="shared" si="51"/>
        <v>0</v>
      </c>
      <c r="BA165" s="5" t="e">
        <f t="shared" si="52"/>
        <v>#REF!</v>
      </c>
    </row>
    <row r="166" spans="33:53" x14ac:dyDescent="0.3">
      <c r="AG166" t="e">
        <f t="shared" si="43"/>
        <v>#REF!</v>
      </c>
      <c r="AH166" t="e">
        <f>#REF!</f>
        <v>#REF!</v>
      </c>
      <c r="AI166" t="e">
        <f>#REF!</f>
        <v>#REF!</v>
      </c>
      <c r="AJ166" s="3" t="e">
        <f>#REF!</f>
        <v>#REF!</v>
      </c>
      <c r="AK166" s="3" t="e">
        <f>#REF!</f>
        <v>#REF!</v>
      </c>
      <c r="AL166" s="3" t="e">
        <f>#REF!</f>
        <v>#REF!</v>
      </c>
      <c r="AM166" s="3" t="e">
        <f>#REF!</f>
        <v>#REF!</v>
      </c>
      <c r="AN166" s="3" t="e">
        <f>#REF!</f>
        <v>#REF!</v>
      </c>
      <c r="AO166" s="3" t="e">
        <f>#REF!</f>
        <v>#REF!</v>
      </c>
      <c r="AP166" s="9" t="e">
        <f>VLOOKUP(AG166,#REF!,10,FALSE)</f>
        <v>#REF!</v>
      </c>
      <c r="AQ166" s="8">
        <f>SUMIFS(Capacity!$G$2:$G$2820,Capacity!$B$2:$B$2820,Demand_Modeling!AG166)</f>
        <v>0</v>
      </c>
      <c r="AS166" s="2" t="e">
        <f t="shared" si="44"/>
        <v>#REF!</v>
      </c>
      <c r="AT166" s="2" t="e">
        <f t="shared" si="45"/>
        <v>#REF!</v>
      </c>
      <c r="AU166" s="2" t="e">
        <f t="shared" si="46"/>
        <v>#REF!</v>
      </c>
      <c r="AV166" s="2" t="e">
        <f t="shared" si="47"/>
        <v>#REF!</v>
      </c>
      <c r="AW166" s="2" t="e">
        <f t="shared" si="48"/>
        <v>#REF!</v>
      </c>
      <c r="AX166" s="2" t="e">
        <f t="shared" si="49"/>
        <v>#REF!</v>
      </c>
      <c r="AY166" s="2" t="e">
        <f t="shared" si="50"/>
        <v>#REF!</v>
      </c>
      <c r="AZ166" s="10">
        <f t="shared" si="51"/>
        <v>0</v>
      </c>
      <c r="BA166" s="5" t="e">
        <f t="shared" si="52"/>
        <v>#REF!</v>
      </c>
    </row>
    <row r="167" spans="33:53" x14ac:dyDescent="0.3">
      <c r="AG167" t="e">
        <f t="shared" si="43"/>
        <v>#REF!</v>
      </c>
      <c r="AH167" t="e">
        <f>#REF!</f>
        <v>#REF!</v>
      </c>
      <c r="AI167" t="e">
        <f>#REF!</f>
        <v>#REF!</v>
      </c>
      <c r="AJ167" s="3" t="e">
        <f>#REF!</f>
        <v>#REF!</v>
      </c>
      <c r="AK167" s="3" t="e">
        <f>#REF!</f>
        <v>#REF!</v>
      </c>
      <c r="AL167" s="3" t="e">
        <f>#REF!</f>
        <v>#REF!</v>
      </c>
      <c r="AM167" s="3" t="e">
        <f>#REF!</f>
        <v>#REF!</v>
      </c>
      <c r="AN167" s="3" t="e">
        <f>#REF!</f>
        <v>#REF!</v>
      </c>
      <c r="AO167" s="3" t="e">
        <f>#REF!</f>
        <v>#REF!</v>
      </c>
      <c r="AP167" s="9" t="e">
        <f>VLOOKUP(AG167,#REF!,10,FALSE)</f>
        <v>#REF!</v>
      </c>
      <c r="AQ167" s="8">
        <f>SUMIFS(Capacity!$G$2:$G$2820,Capacity!$B$2:$B$2820,Demand_Modeling!AG167)</f>
        <v>0</v>
      </c>
      <c r="AS167" s="2" t="e">
        <f t="shared" si="44"/>
        <v>#REF!</v>
      </c>
      <c r="AT167" s="2" t="e">
        <f t="shared" si="45"/>
        <v>#REF!</v>
      </c>
      <c r="AU167" s="2" t="e">
        <f t="shared" si="46"/>
        <v>#REF!</v>
      </c>
      <c r="AV167" s="2" t="e">
        <f t="shared" si="47"/>
        <v>#REF!</v>
      </c>
      <c r="AW167" s="2" t="e">
        <f t="shared" si="48"/>
        <v>#REF!</v>
      </c>
      <c r="AX167" s="2" t="e">
        <f t="shared" si="49"/>
        <v>#REF!</v>
      </c>
      <c r="AY167" s="2" t="e">
        <f t="shared" si="50"/>
        <v>#REF!</v>
      </c>
      <c r="AZ167" s="10">
        <f t="shared" si="51"/>
        <v>0</v>
      </c>
      <c r="BA167" s="5" t="e">
        <f t="shared" si="52"/>
        <v>#REF!</v>
      </c>
    </row>
    <row r="168" spans="33:53" x14ac:dyDescent="0.3">
      <c r="AG168" t="e">
        <f t="shared" si="43"/>
        <v>#REF!</v>
      </c>
      <c r="AH168" t="e">
        <f>#REF!</f>
        <v>#REF!</v>
      </c>
      <c r="AI168" t="e">
        <f>#REF!</f>
        <v>#REF!</v>
      </c>
      <c r="AJ168" s="3" t="e">
        <f>#REF!</f>
        <v>#REF!</v>
      </c>
      <c r="AK168" s="3" t="e">
        <f>#REF!</f>
        <v>#REF!</v>
      </c>
      <c r="AL168" s="3" t="e">
        <f>#REF!</f>
        <v>#REF!</v>
      </c>
      <c r="AM168" s="3" t="e">
        <f>#REF!</f>
        <v>#REF!</v>
      </c>
      <c r="AN168" s="3" t="e">
        <f>#REF!</f>
        <v>#REF!</v>
      </c>
      <c r="AO168" s="3" t="e">
        <f>#REF!</f>
        <v>#REF!</v>
      </c>
      <c r="AP168" s="9" t="e">
        <f>VLOOKUP(AG168,#REF!,10,FALSE)</f>
        <v>#REF!</v>
      </c>
      <c r="AQ168" s="8">
        <f>SUMIFS(Capacity!$G$2:$G$2820,Capacity!$B$2:$B$2820,Demand_Modeling!AG168)</f>
        <v>0</v>
      </c>
      <c r="AS168" s="2" t="e">
        <f t="shared" si="44"/>
        <v>#REF!</v>
      </c>
      <c r="AT168" s="2" t="e">
        <f t="shared" si="45"/>
        <v>#REF!</v>
      </c>
      <c r="AU168" s="2" t="e">
        <f t="shared" si="46"/>
        <v>#REF!</v>
      </c>
      <c r="AV168" s="2" t="e">
        <f t="shared" si="47"/>
        <v>#REF!</v>
      </c>
      <c r="AW168" s="2" t="e">
        <f t="shared" si="48"/>
        <v>#REF!</v>
      </c>
      <c r="AX168" s="2" t="e">
        <f t="shared" si="49"/>
        <v>#REF!</v>
      </c>
      <c r="AY168" s="2" t="e">
        <f t="shared" si="50"/>
        <v>#REF!</v>
      </c>
      <c r="AZ168" s="10">
        <f t="shared" si="51"/>
        <v>0</v>
      </c>
      <c r="BA168" s="5" t="e">
        <f t="shared" si="52"/>
        <v>#REF!</v>
      </c>
    </row>
    <row r="169" spans="33:53" x14ac:dyDescent="0.3">
      <c r="AG169" t="e">
        <f t="shared" si="43"/>
        <v>#REF!</v>
      </c>
      <c r="AH169" t="e">
        <f>#REF!</f>
        <v>#REF!</v>
      </c>
      <c r="AI169" t="e">
        <f>#REF!</f>
        <v>#REF!</v>
      </c>
      <c r="AJ169" s="3" t="e">
        <f>#REF!</f>
        <v>#REF!</v>
      </c>
      <c r="AK169" s="3" t="e">
        <f>#REF!</f>
        <v>#REF!</v>
      </c>
      <c r="AL169" s="3" t="e">
        <f>#REF!</f>
        <v>#REF!</v>
      </c>
      <c r="AM169" s="3" t="e">
        <f>#REF!</f>
        <v>#REF!</v>
      </c>
      <c r="AN169" s="3" t="e">
        <f>#REF!</f>
        <v>#REF!</v>
      </c>
      <c r="AO169" s="3" t="e">
        <f>#REF!</f>
        <v>#REF!</v>
      </c>
      <c r="AP169" s="9" t="e">
        <f>VLOOKUP(AG169,#REF!,10,FALSE)</f>
        <v>#REF!</v>
      </c>
      <c r="AQ169" s="8">
        <f>SUMIFS(Capacity!$G$2:$G$2820,Capacity!$B$2:$B$2820,Demand_Modeling!AG169)</f>
        <v>0</v>
      </c>
      <c r="AS169" s="2" t="e">
        <f t="shared" si="44"/>
        <v>#REF!</v>
      </c>
      <c r="AT169" s="2" t="e">
        <f t="shared" si="45"/>
        <v>#REF!</v>
      </c>
      <c r="AU169" s="2" t="e">
        <f t="shared" si="46"/>
        <v>#REF!</v>
      </c>
      <c r="AV169" s="2" t="e">
        <f t="shared" si="47"/>
        <v>#REF!</v>
      </c>
      <c r="AW169" s="2" t="e">
        <f t="shared" si="48"/>
        <v>#REF!</v>
      </c>
      <c r="AX169" s="2" t="e">
        <f t="shared" si="49"/>
        <v>#REF!</v>
      </c>
      <c r="AY169" s="2" t="e">
        <f t="shared" si="50"/>
        <v>#REF!</v>
      </c>
      <c r="AZ169" s="10">
        <f t="shared" si="51"/>
        <v>0</v>
      </c>
      <c r="BA169" s="5" t="e">
        <f t="shared" si="52"/>
        <v>#REF!</v>
      </c>
    </row>
    <row r="170" spans="33:53" x14ac:dyDescent="0.3">
      <c r="AG170" t="e">
        <f t="shared" si="43"/>
        <v>#REF!</v>
      </c>
      <c r="AH170" t="e">
        <f>#REF!</f>
        <v>#REF!</v>
      </c>
      <c r="AI170" t="e">
        <f>#REF!</f>
        <v>#REF!</v>
      </c>
      <c r="AJ170" s="3" t="e">
        <f>#REF!</f>
        <v>#REF!</v>
      </c>
      <c r="AK170" s="3" t="e">
        <f>#REF!</f>
        <v>#REF!</v>
      </c>
      <c r="AL170" s="3" t="e">
        <f>#REF!</f>
        <v>#REF!</v>
      </c>
      <c r="AM170" s="3" t="e">
        <f>#REF!</f>
        <v>#REF!</v>
      </c>
      <c r="AN170" s="3" t="e">
        <f>#REF!</f>
        <v>#REF!</v>
      </c>
      <c r="AO170" s="3" t="e">
        <f>#REF!</f>
        <v>#REF!</v>
      </c>
      <c r="AP170" s="9" t="e">
        <f>VLOOKUP(AG170,#REF!,10,FALSE)</f>
        <v>#REF!</v>
      </c>
      <c r="AQ170" s="8">
        <f>SUMIFS(Capacity!$G$2:$G$2820,Capacity!$B$2:$B$2820,Demand_Modeling!AG170)</f>
        <v>0</v>
      </c>
      <c r="AS170" s="2" t="e">
        <f t="shared" si="44"/>
        <v>#REF!</v>
      </c>
      <c r="AT170" s="2" t="e">
        <f t="shared" si="45"/>
        <v>#REF!</v>
      </c>
      <c r="AU170" s="2" t="e">
        <f t="shared" si="46"/>
        <v>#REF!</v>
      </c>
      <c r="AV170" s="2" t="e">
        <f t="shared" si="47"/>
        <v>#REF!</v>
      </c>
      <c r="AW170" s="2" t="e">
        <f t="shared" si="48"/>
        <v>#REF!</v>
      </c>
      <c r="AX170" s="2" t="e">
        <f t="shared" si="49"/>
        <v>#REF!</v>
      </c>
      <c r="AY170" s="2" t="e">
        <f t="shared" si="50"/>
        <v>#REF!</v>
      </c>
      <c r="AZ170" s="10">
        <f t="shared" si="51"/>
        <v>0</v>
      </c>
      <c r="BA170" s="5" t="e">
        <f t="shared" si="52"/>
        <v>#REF!</v>
      </c>
    </row>
    <row r="171" spans="33:53" x14ac:dyDescent="0.3">
      <c r="AG171" t="e">
        <f t="shared" si="43"/>
        <v>#REF!</v>
      </c>
      <c r="AH171" t="e">
        <f>#REF!</f>
        <v>#REF!</v>
      </c>
      <c r="AI171" t="e">
        <f>#REF!</f>
        <v>#REF!</v>
      </c>
      <c r="AJ171" s="3" t="e">
        <f>#REF!</f>
        <v>#REF!</v>
      </c>
      <c r="AK171" s="3" t="e">
        <f>#REF!</f>
        <v>#REF!</v>
      </c>
      <c r="AL171" s="3" t="e">
        <f>#REF!</f>
        <v>#REF!</v>
      </c>
      <c r="AM171" s="3" t="e">
        <f>#REF!</f>
        <v>#REF!</v>
      </c>
      <c r="AN171" s="3" t="e">
        <f>#REF!</f>
        <v>#REF!</v>
      </c>
      <c r="AO171" s="3" t="e">
        <f>#REF!</f>
        <v>#REF!</v>
      </c>
      <c r="AP171" s="9" t="e">
        <f>VLOOKUP(AG171,#REF!,10,FALSE)</f>
        <v>#REF!</v>
      </c>
      <c r="AQ171" s="8">
        <f>SUMIFS(Capacity!$G$2:$G$2820,Capacity!$B$2:$B$2820,Demand_Modeling!AG171)</f>
        <v>0</v>
      </c>
      <c r="AS171" s="2" t="e">
        <f t="shared" si="44"/>
        <v>#REF!</v>
      </c>
      <c r="AT171" s="2" t="e">
        <f t="shared" si="45"/>
        <v>#REF!</v>
      </c>
      <c r="AU171" s="2" t="e">
        <f t="shared" si="46"/>
        <v>#REF!</v>
      </c>
      <c r="AV171" s="2" t="e">
        <f t="shared" si="47"/>
        <v>#REF!</v>
      </c>
      <c r="AW171" s="2" t="e">
        <f t="shared" si="48"/>
        <v>#REF!</v>
      </c>
      <c r="AX171" s="2" t="e">
        <f t="shared" si="49"/>
        <v>#REF!</v>
      </c>
      <c r="AY171" s="2" t="e">
        <f t="shared" si="50"/>
        <v>#REF!</v>
      </c>
      <c r="AZ171" s="10">
        <f t="shared" si="51"/>
        <v>0</v>
      </c>
      <c r="BA171" s="5" t="e">
        <f t="shared" si="52"/>
        <v>#REF!</v>
      </c>
    </row>
    <row r="172" spans="33:53" x14ac:dyDescent="0.3">
      <c r="AG172" t="e">
        <f t="shared" si="43"/>
        <v>#REF!</v>
      </c>
      <c r="AH172" t="e">
        <f>#REF!</f>
        <v>#REF!</v>
      </c>
      <c r="AI172" t="e">
        <f>#REF!</f>
        <v>#REF!</v>
      </c>
      <c r="AJ172" s="3" t="e">
        <f>#REF!</f>
        <v>#REF!</v>
      </c>
      <c r="AK172" s="3" t="e">
        <f>#REF!</f>
        <v>#REF!</v>
      </c>
      <c r="AL172" s="3" t="e">
        <f>#REF!</f>
        <v>#REF!</v>
      </c>
      <c r="AM172" s="3" t="e">
        <f>#REF!</f>
        <v>#REF!</v>
      </c>
      <c r="AN172" s="3" t="e">
        <f>#REF!</f>
        <v>#REF!</v>
      </c>
      <c r="AO172" s="3" t="e">
        <f>#REF!</f>
        <v>#REF!</v>
      </c>
      <c r="AP172" s="9" t="e">
        <f>VLOOKUP(AG172,#REF!,10,FALSE)</f>
        <v>#REF!</v>
      </c>
      <c r="AQ172" s="8">
        <f>SUMIFS(Capacity!$G$2:$G$2820,Capacity!$B$2:$B$2820,Demand_Modeling!AG172)</f>
        <v>0</v>
      </c>
      <c r="AS172" s="2" t="e">
        <f t="shared" si="44"/>
        <v>#REF!</v>
      </c>
      <c r="AT172" s="2" t="e">
        <f t="shared" si="45"/>
        <v>#REF!</v>
      </c>
      <c r="AU172" s="2" t="e">
        <f t="shared" si="46"/>
        <v>#REF!</v>
      </c>
      <c r="AV172" s="2" t="e">
        <f t="shared" si="47"/>
        <v>#REF!</v>
      </c>
      <c r="AW172" s="2" t="e">
        <f t="shared" si="48"/>
        <v>#REF!</v>
      </c>
      <c r="AX172" s="2" t="e">
        <f t="shared" si="49"/>
        <v>#REF!</v>
      </c>
      <c r="AY172" s="2" t="e">
        <f t="shared" si="50"/>
        <v>#REF!</v>
      </c>
      <c r="AZ172" s="10">
        <f t="shared" si="51"/>
        <v>0</v>
      </c>
      <c r="BA172" s="5" t="e">
        <f t="shared" si="52"/>
        <v>#REF!</v>
      </c>
    </row>
    <row r="173" spans="33:53" x14ac:dyDescent="0.3">
      <c r="AG173" t="e">
        <f t="shared" si="43"/>
        <v>#REF!</v>
      </c>
      <c r="AH173" t="e">
        <f>#REF!</f>
        <v>#REF!</v>
      </c>
      <c r="AI173" t="e">
        <f>#REF!</f>
        <v>#REF!</v>
      </c>
      <c r="AJ173" s="3" t="e">
        <f>#REF!</f>
        <v>#REF!</v>
      </c>
      <c r="AK173" s="3" t="e">
        <f>#REF!</f>
        <v>#REF!</v>
      </c>
      <c r="AL173" s="3" t="e">
        <f>#REF!</f>
        <v>#REF!</v>
      </c>
      <c r="AM173" s="3" t="e">
        <f>#REF!</f>
        <v>#REF!</v>
      </c>
      <c r="AN173" s="3" t="e">
        <f>#REF!</f>
        <v>#REF!</v>
      </c>
      <c r="AO173" s="3" t="e">
        <f>#REF!</f>
        <v>#REF!</v>
      </c>
      <c r="AP173" s="9" t="e">
        <f>VLOOKUP(AG173,#REF!,10,FALSE)</f>
        <v>#REF!</v>
      </c>
      <c r="AQ173" s="8">
        <f>SUMIFS(Capacity!$G$2:$G$2820,Capacity!$B$2:$B$2820,Demand_Modeling!AG173)</f>
        <v>0</v>
      </c>
      <c r="AS173" s="2" t="e">
        <f t="shared" si="44"/>
        <v>#REF!</v>
      </c>
      <c r="AT173" s="2" t="e">
        <f t="shared" si="45"/>
        <v>#REF!</v>
      </c>
      <c r="AU173" s="2" t="e">
        <f t="shared" si="46"/>
        <v>#REF!</v>
      </c>
      <c r="AV173" s="2" t="e">
        <f t="shared" si="47"/>
        <v>#REF!</v>
      </c>
      <c r="AW173" s="2" t="e">
        <f t="shared" si="48"/>
        <v>#REF!</v>
      </c>
      <c r="AX173" s="2" t="e">
        <f t="shared" si="49"/>
        <v>#REF!</v>
      </c>
      <c r="AY173" s="2" t="e">
        <f t="shared" si="50"/>
        <v>#REF!</v>
      </c>
      <c r="AZ173" s="10">
        <f t="shared" si="51"/>
        <v>0</v>
      </c>
      <c r="BA173" s="5" t="e">
        <f t="shared" si="52"/>
        <v>#REF!</v>
      </c>
    </row>
    <row r="174" spans="33:53" x14ac:dyDescent="0.3">
      <c r="AG174" t="e">
        <f t="shared" si="43"/>
        <v>#REF!</v>
      </c>
      <c r="AH174" t="e">
        <f>#REF!</f>
        <v>#REF!</v>
      </c>
      <c r="AI174" t="e">
        <f>#REF!</f>
        <v>#REF!</v>
      </c>
      <c r="AJ174" s="3" t="e">
        <f>#REF!</f>
        <v>#REF!</v>
      </c>
      <c r="AK174" s="3" t="e">
        <f>#REF!</f>
        <v>#REF!</v>
      </c>
      <c r="AL174" s="3" t="e">
        <f>#REF!</f>
        <v>#REF!</v>
      </c>
      <c r="AM174" s="3" t="e">
        <f>#REF!</f>
        <v>#REF!</v>
      </c>
      <c r="AN174" s="3" t="e">
        <f>#REF!</f>
        <v>#REF!</v>
      </c>
      <c r="AO174" s="3" t="e">
        <f>#REF!</f>
        <v>#REF!</v>
      </c>
      <c r="AP174" s="9" t="e">
        <f>VLOOKUP(AG174,#REF!,10,FALSE)</f>
        <v>#REF!</v>
      </c>
      <c r="AQ174" s="8">
        <f>SUMIFS(Capacity!$G$2:$G$2820,Capacity!$B$2:$B$2820,Demand_Modeling!AG174)</f>
        <v>0</v>
      </c>
      <c r="AS174" s="2" t="e">
        <f t="shared" si="44"/>
        <v>#REF!</v>
      </c>
      <c r="AT174" s="2" t="e">
        <f t="shared" si="45"/>
        <v>#REF!</v>
      </c>
      <c r="AU174" s="2" t="e">
        <f t="shared" si="46"/>
        <v>#REF!</v>
      </c>
      <c r="AV174" s="2" t="e">
        <f t="shared" si="47"/>
        <v>#REF!</v>
      </c>
      <c r="AW174" s="2" t="e">
        <f t="shared" si="48"/>
        <v>#REF!</v>
      </c>
      <c r="AX174" s="2" t="e">
        <f t="shared" si="49"/>
        <v>#REF!</v>
      </c>
      <c r="AY174" s="2" t="e">
        <f t="shared" si="50"/>
        <v>#REF!</v>
      </c>
      <c r="AZ174" s="10">
        <f t="shared" si="51"/>
        <v>0</v>
      </c>
      <c r="BA174" s="5" t="e">
        <f t="shared" si="52"/>
        <v>#REF!</v>
      </c>
    </row>
    <row r="175" spans="33:53" x14ac:dyDescent="0.3">
      <c r="AG175" t="e">
        <f t="shared" si="43"/>
        <v>#REF!</v>
      </c>
      <c r="AH175" t="e">
        <f>#REF!</f>
        <v>#REF!</v>
      </c>
      <c r="AI175" t="e">
        <f>#REF!</f>
        <v>#REF!</v>
      </c>
      <c r="AJ175" s="3" t="e">
        <f>#REF!</f>
        <v>#REF!</v>
      </c>
      <c r="AK175" s="3" t="e">
        <f>#REF!</f>
        <v>#REF!</v>
      </c>
      <c r="AL175" s="3" t="e">
        <f>#REF!</f>
        <v>#REF!</v>
      </c>
      <c r="AM175" s="3" t="e">
        <f>#REF!</f>
        <v>#REF!</v>
      </c>
      <c r="AN175" s="3" t="e">
        <f>#REF!</f>
        <v>#REF!</v>
      </c>
      <c r="AO175" s="3" t="e">
        <f>#REF!</f>
        <v>#REF!</v>
      </c>
      <c r="AP175" s="9" t="e">
        <f>VLOOKUP(AG175,#REF!,10,FALSE)</f>
        <v>#REF!</v>
      </c>
      <c r="AQ175" s="8">
        <f>SUMIFS(Capacity!$G$2:$G$2820,Capacity!$B$2:$B$2820,Demand_Modeling!AG175)</f>
        <v>0</v>
      </c>
      <c r="AS175" s="2" t="e">
        <f t="shared" si="44"/>
        <v>#REF!</v>
      </c>
      <c r="AT175" s="2" t="e">
        <f t="shared" si="45"/>
        <v>#REF!</v>
      </c>
      <c r="AU175" s="2" t="e">
        <f t="shared" si="46"/>
        <v>#REF!</v>
      </c>
      <c r="AV175" s="2" t="e">
        <f t="shared" si="47"/>
        <v>#REF!</v>
      </c>
      <c r="AW175" s="2" t="e">
        <f t="shared" si="48"/>
        <v>#REF!</v>
      </c>
      <c r="AX175" s="2" t="e">
        <f t="shared" si="49"/>
        <v>#REF!</v>
      </c>
      <c r="AY175" s="2" t="e">
        <f t="shared" si="50"/>
        <v>#REF!</v>
      </c>
      <c r="AZ175" s="10">
        <f t="shared" si="51"/>
        <v>0</v>
      </c>
      <c r="BA175" s="5" t="e">
        <f t="shared" si="52"/>
        <v>#REF!</v>
      </c>
    </row>
    <row r="176" spans="33:53" x14ac:dyDescent="0.3">
      <c r="AG176" t="e">
        <f t="shared" si="43"/>
        <v>#REF!</v>
      </c>
      <c r="AH176" t="e">
        <f>#REF!</f>
        <v>#REF!</v>
      </c>
      <c r="AI176" t="e">
        <f>#REF!</f>
        <v>#REF!</v>
      </c>
      <c r="AJ176" s="3" t="e">
        <f>#REF!</f>
        <v>#REF!</v>
      </c>
      <c r="AK176" s="3" t="e">
        <f>#REF!</f>
        <v>#REF!</v>
      </c>
      <c r="AL176" s="3" t="e">
        <f>#REF!</f>
        <v>#REF!</v>
      </c>
      <c r="AM176" s="3" t="e">
        <f>#REF!</f>
        <v>#REF!</v>
      </c>
      <c r="AN176" s="3" t="e">
        <f>#REF!</f>
        <v>#REF!</v>
      </c>
      <c r="AO176" s="3" t="e">
        <f>#REF!</f>
        <v>#REF!</v>
      </c>
      <c r="AP176" s="9" t="e">
        <f>VLOOKUP(AG176,#REF!,10,FALSE)</f>
        <v>#REF!</v>
      </c>
      <c r="AQ176" s="8">
        <f>SUMIFS(Capacity!$G$2:$G$2820,Capacity!$B$2:$B$2820,Demand_Modeling!AG176)</f>
        <v>0</v>
      </c>
      <c r="AS176" s="2" t="e">
        <f t="shared" si="44"/>
        <v>#REF!</v>
      </c>
      <c r="AT176" s="2" t="e">
        <f t="shared" si="45"/>
        <v>#REF!</v>
      </c>
      <c r="AU176" s="2" t="e">
        <f t="shared" si="46"/>
        <v>#REF!</v>
      </c>
      <c r="AV176" s="2" t="e">
        <f t="shared" si="47"/>
        <v>#REF!</v>
      </c>
      <c r="AW176" s="2" t="e">
        <f t="shared" si="48"/>
        <v>#REF!</v>
      </c>
      <c r="AX176" s="2" t="e">
        <f t="shared" si="49"/>
        <v>#REF!</v>
      </c>
      <c r="AY176" s="2" t="e">
        <f t="shared" si="50"/>
        <v>#REF!</v>
      </c>
      <c r="AZ176" s="10">
        <f t="shared" si="51"/>
        <v>0</v>
      </c>
      <c r="BA176" s="5" t="e">
        <f t="shared" si="52"/>
        <v>#REF!</v>
      </c>
    </row>
    <row r="177" spans="33:53" x14ac:dyDescent="0.3">
      <c r="AG177" t="e">
        <f t="shared" si="43"/>
        <v>#REF!</v>
      </c>
      <c r="AH177" t="e">
        <f>#REF!</f>
        <v>#REF!</v>
      </c>
      <c r="AI177" t="e">
        <f>#REF!</f>
        <v>#REF!</v>
      </c>
      <c r="AJ177" s="3" t="e">
        <f>#REF!</f>
        <v>#REF!</v>
      </c>
      <c r="AK177" s="3" t="e">
        <f>#REF!</f>
        <v>#REF!</v>
      </c>
      <c r="AL177" s="3" t="e">
        <f>#REF!</f>
        <v>#REF!</v>
      </c>
      <c r="AM177" s="3" t="e">
        <f>#REF!</f>
        <v>#REF!</v>
      </c>
      <c r="AN177" s="3" t="e">
        <f>#REF!</f>
        <v>#REF!</v>
      </c>
      <c r="AO177" s="3" t="e">
        <f>#REF!</f>
        <v>#REF!</v>
      </c>
      <c r="AP177" s="9" t="e">
        <f>VLOOKUP(AG177,#REF!,10,FALSE)</f>
        <v>#REF!</v>
      </c>
      <c r="AQ177" s="8">
        <f>SUMIFS(Capacity!$G$2:$G$2820,Capacity!$B$2:$B$2820,Demand_Modeling!AG177)</f>
        <v>0</v>
      </c>
      <c r="AS177" s="2" t="e">
        <f t="shared" si="44"/>
        <v>#REF!</v>
      </c>
      <c r="AT177" s="2" t="e">
        <f t="shared" si="45"/>
        <v>#REF!</v>
      </c>
      <c r="AU177" s="2" t="e">
        <f t="shared" si="46"/>
        <v>#REF!</v>
      </c>
      <c r="AV177" s="2" t="e">
        <f t="shared" si="47"/>
        <v>#REF!</v>
      </c>
      <c r="AW177" s="2" t="e">
        <f t="shared" si="48"/>
        <v>#REF!</v>
      </c>
      <c r="AX177" s="2" t="e">
        <f t="shared" si="49"/>
        <v>#REF!</v>
      </c>
      <c r="AY177" s="2" t="e">
        <f t="shared" si="50"/>
        <v>#REF!</v>
      </c>
      <c r="AZ177" s="10">
        <f t="shared" si="51"/>
        <v>0</v>
      </c>
      <c r="BA177" s="5" t="e">
        <f t="shared" si="52"/>
        <v>#REF!</v>
      </c>
    </row>
    <row r="178" spans="33:53" x14ac:dyDescent="0.3">
      <c r="AG178" t="e">
        <f t="shared" si="43"/>
        <v>#REF!</v>
      </c>
      <c r="AH178" t="e">
        <f>#REF!</f>
        <v>#REF!</v>
      </c>
      <c r="AI178" t="e">
        <f>#REF!</f>
        <v>#REF!</v>
      </c>
      <c r="AJ178" s="3" t="e">
        <f>#REF!</f>
        <v>#REF!</v>
      </c>
      <c r="AK178" s="3" t="e">
        <f>#REF!</f>
        <v>#REF!</v>
      </c>
      <c r="AL178" s="3" t="e">
        <f>#REF!</f>
        <v>#REF!</v>
      </c>
      <c r="AM178" s="3" t="e">
        <f>#REF!</f>
        <v>#REF!</v>
      </c>
      <c r="AN178" s="3" t="e">
        <f>#REF!</f>
        <v>#REF!</v>
      </c>
      <c r="AO178" s="3" t="e">
        <f>#REF!</f>
        <v>#REF!</v>
      </c>
      <c r="AP178" s="9" t="e">
        <f>VLOOKUP(AG178,#REF!,10,FALSE)</f>
        <v>#REF!</v>
      </c>
      <c r="AQ178" s="8">
        <f>SUMIFS(Capacity!$G$2:$G$2820,Capacity!$B$2:$B$2820,Demand_Modeling!AG178)</f>
        <v>0</v>
      </c>
      <c r="AS178" s="2" t="e">
        <f t="shared" si="44"/>
        <v>#REF!</v>
      </c>
      <c r="AT178" s="2" t="e">
        <f t="shared" si="45"/>
        <v>#REF!</v>
      </c>
      <c r="AU178" s="2" t="e">
        <f t="shared" si="46"/>
        <v>#REF!</v>
      </c>
      <c r="AV178" s="2" t="e">
        <f t="shared" si="47"/>
        <v>#REF!</v>
      </c>
      <c r="AW178" s="2" t="e">
        <f t="shared" si="48"/>
        <v>#REF!</v>
      </c>
      <c r="AX178" s="2" t="e">
        <f t="shared" si="49"/>
        <v>#REF!</v>
      </c>
      <c r="AY178" s="2" t="e">
        <f t="shared" si="50"/>
        <v>#REF!</v>
      </c>
      <c r="AZ178" s="10">
        <f t="shared" si="51"/>
        <v>0</v>
      </c>
      <c r="BA178" s="5" t="e">
        <f t="shared" si="52"/>
        <v>#REF!</v>
      </c>
    </row>
    <row r="179" spans="33:53" x14ac:dyDescent="0.3">
      <c r="AG179" t="e">
        <f t="shared" si="43"/>
        <v>#REF!</v>
      </c>
      <c r="AH179" t="e">
        <f>#REF!</f>
        <v>#REF!</v>
      </c>
      <c r="AI179" t="e">
        <f>#REF!</f>
        <v>#REF!</v>
      </c>
      <c r="AJ179" s="3" t="e">
        <f>#REF!</f>
        <v>#REF!</v>
      </c>
      <c r="AK179" s="3" t="e">
        <f>#REF!</f>
        <v>#REF!</v>
      </c>
      <c r="AL179" s="3" t="e">
        <f>#REF!</f>
        <v>#REF!</v>
      </c>
      <c r="AM179" s="3" t="e">
        <f>#REF!</f>
        <v>#REF!</v>
      </c>
      <c r="AN179" s="3" t="e">
        <f>#REF!</f>
        <v>#REF!</v>
      </c>
      <c r="AO179" s="3" t="e">
        <f>#REF!</f>
        <v>#REF!</v>
      </c>
      <c r="AP179" s="9" t="e">
        <f>VLOOKUP(AG179,#REF!,10,FALSE)</f>
        <v>#REF!</v>
      </c>
      <c r="AQ179" s="8">
        <f>SUMIFS(Capacity!$G$2:$G$2820,Capacity!$B$2:$B$2820,Demand_Modeling!AG179)</f>
        <v>0</v>
      </c>
      <c r="AS179" s="2" t="e">
        <f t="shared" si="44"/>
        <v>#REF!</v>
      </c>
      <c r="AT179" s="2" t="e">
        <f t="shared" si="45"/>
        <v>#REF!</v>
      </c>
      <c r="AU179" s="2" t="e">
        <f t="shared" si="46"/>
        <v>#REF!</v>
      </c>
      <c r="AV179" s="2" t="e">
        <f t="shared" si="47"/>
        <v>#REF!</v>
      </c>
      <c r="AW179" s="2" t="e">
        <f t="shared" si="48"/>
        <v>#REF!</v>
      </c>
      <c r="AX179" s="2" t="e">
        <f t="shared" si="49"/>
        <v>#REF!</v>
      </c>
      <c r="AY179" s="2" t="e">
        <f t="shared" si="50"/>
        <v>#REF!</v>
      </c>
      <c r="AZ179" s="10">
        <f t="shared" si="51"/>
        <v>0</v>
      </c>
      <c r="BA179" s="5" t="e">
        <f t="shared" si="52"/>
        <v>#REF!</v>
      </c>
    </row>
    <row r="180" spans="33:53" x14ac:dyDescent="0.3">
      <c r="AG180" t="e">
        <f t="shared" si="43"/>
        <v>#REF!</v>
      </c>
      <c r="AH180" t="e">
        <f>#REF!</f>
        <v>#REF!</v>
      </c>
      <c r="AI180" t="e">
        <f>#REF!</f>
        <v>#REF!</v>
      </c>
      <c r="AJ180" s="3" t="e">
        <f>#REF!</f>
        <v>#REF!</v>
      </c>
      <c r="AK180" s="3" t="e">
        <f>#REF!</f>
        <v>#REF!</v>
      </c>
      <c r="AL180" s="3" t="e">
        <f>#REF!</f>
        <v>#REF!</v>
      </c>
      <c r="AM180" s="3" t="e">
        <f>#REF!</f>
        <v>#REF!</v>
      </c>
      <c r="AN180" s="3" t="e">
        <f>#REF!</f>
        <v>#REF!</v>
      </c>
      <c r="AO180" s="3" t="e">
        <f>#REF!</f>
        <v>#REF!</v>
      </c>
      <c r="AP180" s="9" t="e">
        <f>VLOOKUP(AG180,#REF!,10,FALSE)</f>
        <v>#REF!</v>
      </c>
      <c r="AQ180" s="8">
        <f>SUMIFS(Capacity!$G$2:$G$2820,Capacity!$B$2:$B$2820,Demand_Modeling!AG180)</f>
        <v>0</v>
      </c>
      <c r="AS180" s="2" t="e">
        <f t="shared" si="44"/>
        <v>#REF!</v>
      </c>
      <c r="AT180" s="2" t="e">
        <f t="shared" si="45"/>
        <v>#REF!</v>
      </c>
      <c r="AU180" s="2" t="e">
        <f t="shared" si="46"/>
        <v>#REF!</v>
      </c>
      <c r="AV180" s="2" t="e">
        <f t="shared" si="47"/>
        <v>#REF!</v>
      </c>
      <c r="AW180" s="2" t="e">
        <f t="shared" si="48"/>
        <v>#REF!</v>
      </c>
      <c r="AX180" s="2" t="e">
        <f t="shared" si="49"/>
        <v>#REF!</v>
      </c>
      <c r="AY180" s="2" t="e">
        <f t="shared" si="50"/>
        <v>#REF!</v>
      </c>
      <c r="AZ180" s="10">
        <f t="shared" si="51"/>
        <v>0</v>
      </c>
      <c r="BA180" s="5" t="e">
        <f t="shared" si="52"/>
        <v>#REF!</v>
      </c>
    </row>
    <row r="181" spans="33:53" x14ac:dyDescent="0.3">
      <c r="AG181" t="e">
        <f t="shared" si="43"/>
        <v>#REF!</v>
      </c>
      <c r="AH181" t="e">
        <f>#REF!</f>
        <v>#REF!</v>
      </c>
      <c r="AI181" t="e">
        <f>#REF!</f>
        <v>#REF!</v>
      </c>
      <c r="AJ181" s="3" t="e">
        <f>#REF!</f>
        <v>#REF!</v>
      </c>
      <c r="AK181" s="3" t="e">
        <f>#REF!</f>
        <v>#REF!</v>
      </c>
      <c r="AL181" s="3" t="e">
        <f>#REF!</f>
        <v>#REF!</v>
      </c>
      <c r="AM181" s="3" t="e">
        <f>#REF!</f>
        <v>#REF!</v>
      </c>
      <c r="AN181" s="3" t="e">
        <f>#REF!</f>
        <v>#REF!</v>
      </c>
      <c r="AO181" s="3" t="e">
        <f>#REF!</f>
        <v>#REF!</v>
      </c>
      <c r="AP181" s="9" t="e">
        <f>VLOOKUP(AG181,#REF!,10,FALSE)</f>
        <v>#REF!</v>
      </c>
      <c r="AQ181" s="8">
        <f>SUMIFS(Capacity!$G$2:$G$2820,Capacity!$B$2:$B$2820,Demand_Modeling!AG181)</f>
        <v>0</v>
      </c>
      <c r="AS181" s="2" t="e">
        <f t="shared" si="44"/>
        <v>#REF!</v>
      </c>
      <c r="AT181" s="2" t="e">
        <f t="shared" si="45"/>
        <v>#REF!</v>
      </c>
      <c r="AU181" s="2" t="e">
        <f t="shared" si="46"/>
        <v>#REF!</v>
      </c>
      <c r="AV181" s="2" t="e">
        <f t="shared" si="47"/>
        <v>#REF!</v>
      </c>
      <c r="AW181" s="2" t="e">
        <f t="shared" si="48"/>
        <v>#REF!</v>
      </c>
      <c r="AX181" s="2" t="e">
        <f t="shared" si="49"/>
        <v>#REF!</v>
      </c>
      <c r="AY181" s="2" t="e">
        <f t="shared" si="50"/>
        <v>#REF!</v>
      </c>
      <c r="AZ181" s="10">
        <f t="shared" si="51"/>
        <v>0</v>
      </c>
      <c r="BA181" s="5" t="e">
        <f t="shared" si="52"/>
        <v>#REF!</v>
      </c>
    </row>
    <row r="182" spans="33:53" x14ac:dyDescent="0.3">
      <c r="AG182" t="e">
        <f t="shared" si="43"/>
        <v>#REF!</v>
      </c>
      <c r="AH182" t="e">
        <f>#REF!</f>
        <v>#REF!</v>
      </c>
      <c r="AI182" t="e">
        <f>#REF!</f>
        <v>#REF!</v>
      </c>
      <c r="AJ182" s="3" t="e">
        <f>#REF!</f>
        <v>#REF!</v>
      </c>
      <c r="AK182" s="3" t="e">
        <f>#REF!</f>
        <v>#REF!</v>
      </c>
      <c r="AL182" s="3" t="e">
        <f>#REF!</f>
        <v>#REF!</v>
      </c>
      <c r="AM182" s="3" t="e">
        <f>#REF!</f>
        <v>#REF!</v>
      </c>
      <c r="AN182" s="3" t="e">
        <f>#REF!</f>
        <v>#REF!</v>
      </c>
      <c r="AO182" s="3" t="e">
        <f>#REF!</f>
        <v>#REF!</v>
      </c>
      <c r="AP182" s="9" t="e">
        <f>VLOOKUP(AG182,#REF!,10,FALSE)</f>
        <v>#REF!</v>
      </c>
      <c r="AQ182" s="8">
        <f>SUMIFS(Capacity!$G$2:$G$2820,Capacity!$B$2:$B$2820,Demand_Modeling!AG182)</f>
        <v>0</v>
      </c>
      <c r="AS182" s="2" t="e">
        <f t="shared" si="44"/>
        <v>#REF!</v>
      </c>
      <c r="AT182" s="2" t="e">
        <f t="shared" si="45"/>
        <v>#REF!</v>
      </c>
      <c r="AU182" s="2" t="e">
        <f t="shared" si="46"/>
        <v>#REF!</v>
      </c>
      <c r="AV182" s="2" t="e">
        <f t="shared" si="47"/>
        <v>#REF!</v>
      </c>
      <c r="AW182" s="2" t="e">
        <f t="shared" si="48"/>
        <v>#REF!</v>
      </c>
      <c r="AX182" s="2" t="e">
        <f t="shared" si="49"/>
        <v>#REF!</v>
      </c>
      <c r="AY182" s="2" t="e">
        <f t="shared" si="50"/>
        <v>#REF!</v>
      </c>
      <c r="AZ182" s="10">
        <f t="shared" si="51"/>
        <v>0</v>
      </c>
      <c r="BA182" s="5" t="e">
        <f t="shared" si="52"/>
        <v>#REF!</v>
      </c>
    </row>
    <row r="183" spans="33:53" x14ac:dyDescent="0.3">
      <c r="AG183" t="e">
        <f t="shared" si="43"/>
        <v>#REF!</v>
      </c>
      <c r="AH183" t="e">
        <f>#REF!</f>
        <v>#REF!</v>
      </c>
      <c r="AI183" t="e">
        <f>#REF!</f>
        <v>#REF!</v>
      </c>
      <c r="AJ183" s="3" t="e">
        <f>#REF!</f>
        <v>#REF!</v>
      </c>
      <c r="AK183" s="3" t="e">
        <f>#REF!</f>
        <v>#REF!</v>
      </c>
      <c r="AL183" s="3" t="e">
        <f>#REF!</f>
        <v>#REF!</v>
      </c>
      <c r="AM183" s="3" t="e">
        <f>#REF!</f>
        <v>#REF!</v>
      </c>
      <c r="AN183" s="3" t="e">
        <f>#REF!</f>
        <v>#REF!</v>
      </c>
      <c r="AO183" s="3" t="e">
        <f>#REF!</f>
        <v>#REF!</v>
      </c>
      <c r="AP183" s="9" t="e">
        <f>VLOOKUP(AG183,#REF!,10,FALSE)</f>
        <v>#REF!</v>
      </c>
      <c r="AQ183" s="8">
        <f>SUMIFS(Capacity!$G$2:$G$2820,Capacity!$B$2:$B$2820,Demand_Modeling!AG183)</f>
        <v>0</v>
      </c>
      <c r="AS183" s="2" t="e">
        <f t="shared" si="44"/>
        <v>#REF!</v>
      </c>
      <c r="AT183" s="2" t="e">
        <f t="shared" si="45"/>
        <v>#REF!</v>
      </c>
      <c r="AU183" s="2" t="e">
        <f t="shared" si="46"/>
        <v>#REF!</v>
      </c>
      <c r="AV183" s="2" t="e">
        <f t="shared" si="47"/>
        <v>#REF!</v>
      </c>
      <c r="AW183" s="2" t="e">
        <f t="shared" si="48"/>
        <v>#REF!</v>
      </c>
      <c r="AX183" s="2" t="e">
        <f t="shared" si="49"/>
        <v>#REF!</v>
      </c>
      <c r="AY183" s="2" t="e">
        <f t="shared" si="50"/>
        <v>#REF!</v>
      </c>
      <c r="AZ183" s="10">
        <f t="shared" si="51"/>
        <v>0</v>
      </c>
      <c r="BA183" s="5" t="e">
        <f t="shared" si="52"/>
        <v>#REF!</v>
      </c>
    </row>
    <row r="184" spans="33:53" x14ac:dyDescent="0.3">
      <c r="AG184" t="e">
        <f t="shared" si="43"/>
        <v>#REF!</v>
      </c>
      <c r="AH184" t="e">
        <f>#REF!</f>
        <v>#REF!</v>
      </c>
      <c r="AI184" t="e">
        <f>#REF!</f>
        <v>#REF!</v>
      </c>
      <c r="AJ184" s="3" t="e">
        <f>#REF!</f>
        <v>#REF!</v>
      </c>
      <c r="AK184" s="3" t="e">
        <f>#REF!</f>
        <v>#REF!</v>
      </c>
      <c r="AL184" s="3" t="e">
        <f>#REF!</f>
        <v>#REF!</v>
      </c>
      <c r="AM184" s="3" t="e">
        <f>#REF!</f>
        <v>#REF!</v>
      </c>
      <c r="AN184" s="3" t="e">
        <f>#REF!</f>
        <v>#REF!</v>
      </c>
      <c r="AO184" s="3" t="e">
        <f>#REF!</f>
        <v>#REF!</v>
      </c>
      <c r="AP184" s="9" t="e">
        <f>VLOOKUP(AG184,#REF!,10,FALSE)</f>
        <v>#REF!</v>
      </c>
      <c r="AQ184" s="8">
        <f>SUMIFS(Capacity!$G$2:$G$2820,Capacity!$B$2:$B$2820,Demand_Modeling!AG184)</f>
        <v>0</v>
      </c>
      <c r="AS184" s="2" t="e">
        <f t="shared" si="44"/>
        <v>#REF!</v>
      </c>
      <c r="AT184" s="2" t="e">
        <f t="shared" si="45"/>
        <v>#REF!</v>
      </c>
      <c r="AU184" s="2" t="e">
        <f t="shared" si="46"/>
        <v>#REF!</v>
      </c>
      <c r="AV184" s="2" t="e">
        <f t="shared" si="47"/>
        <v>#REF!</v>
      </c>
      <c r="AW184" s="2" t="e">
        <f t="shared" si="48"/>
        <v>#REF!</v>
      </c>
      <c r="AX184" s="2" t="e">
        <f t="shared" si="49"/>
        <v>#REF!</v>
      </c>
      <c r="AY184" s="2" t="e">
        <f t="shared" si="50"/>
        <v>#REF!</v>
      </c>
      <c r="AZ184" s="10">
        <f t="shared" si="51"/>
        <v>0</v>
      </c>
      <c r="BA184" s="5" t="e">
        <f t="shared" si="52"/>
        <v>#REF!</v>
      </c>
    </row>
    <row r="185" spans="33:53" x14ac:dyDescent="0.3">
      <c r="AG185" t="e">
        <f t="shared" si="43"/>
        <v>#REF!</v>
      </c>
      <c r="AH185" t="e">
        <f>#REF!</f>
        <v>#REF!</v>
      </c>
      <c r="AI185" t="e">
        <f>#REF!</f>
        <v>#REF!</v>
      </c>
      <c r="AJ185" s="3" t="e">
        <f>#REF!</f>
        <v>#REF!</v>
      </c>
      <c r="AK185" s="3" t="e">
        <f>#REF!</f>
        <v>#REF!</v>
      </c>
      <c r="AL185" s="3" t="e">
        <f>#REF!</f>
        <v>#REF!</v>
      </c>
      <c r="AM185" s="3" t="e">
        <f>#REF!</f>
        <v>#REF!</v>
      </c>
      <c r="AN185" s="3" t="e">
        <f>#REF!</f>
        <v>#REF!</v>
      </c>
      <c r="AO185" s="3" t="e">
        <f>#REF!</f>
        <v>#REF!</v>
      </c>
      <c r="AP185" s="9" t="e">
        <f>VLOOKUP(AG185,#REF!,10,FALSE)</f>
        <v>#REF!</v>
      </c>
      <c r="AQ185" s="8">
        <f>SUMIFS(Capacity!$G$2:$G$2820,Capacity!$B$2:$B$2820,Demand_Modeling!AG185)</f>
        <v>0</v>
      </c>
      <c r="AS185" s="2" t="e">
        <f t="shared" si="44"/>
        <v>#REF!</v>
      </c>
      <c r="AT185" s="2" t="e">
        <f t="shared" si="45"/>
        <v>#REF!</v>
      </c>
      <c r="AU185" s="2" t="e">
        <f t="shared" si="46"/>
        <v>#REF!</v>
      </c>
      <c r="AV185" s="2" t="e">
        <f t="shared" si="47"/>
        <v>#REF!</v>
      </c>
      <c r="AW185" s="2" t="e">
        <f t="shared" si="48"/>
        <v>#REF!</v>
      </c>
      <c r="AX185" s="2" t="e">
        <f t="shared" si="49"/>
        <v>#REF!</v>
      </c>
      <c r="AY185" s="2" t="e">
        <f t="shared" si="50"/>
        <v>#REF!</v>
      </c>
      <c r="AZ185" s="10">
        <f t="shared" si="51"/>
        <v>0</v>
      </c>
      <c r="BA185" s="5" t="e">
        <f t="shared" si="52"/>
        <v>#REF!</v>
      </c>
    </row>
    <row r="186" spans="33:53" x14ac:dyDescent="0.3">
      <c r="AG186" t="e">
        <f t="shared" si="43"/>
        <v>#REF!</v>
      </c>
      <c r="AH186" t="e">
        <f>#REF!</f>
        <v>#REF!</v>
      </c>
      <c r="AI186" t="e">
        <f>#REF!</f>
        <v>#REF!</v>
      </c>
      <c r="AJ186" s="3" t="e">
        <f>#REF!</f>
        <v>#REF!</v>
      </c>
      <c r="AK186" s="3" t="e">
        <f>#REF!</f>
        <v>#REF!</v>
      </c>
      <c r="AL186" s="3" t="e">
        <f>#REF!</f>
        <v>#REF!</v>
      </c>
      <c r="AM186" s="3" t="e">
        <f>#REF!</f>
        <v>#REF!</v>
      </c>
      <c r="AN186" s="3" t="e">
        <f>#REF!</f>
        <v>#REF!</v>
      </c>
      <c r="AO186" s="3" t="e">
        <f>#REF!</f>
        <v>#REF!</v>
      </c>
      <c r="AP186" s="9" t="e">
        <f>VLOOKUP(AG186,#REF!,10,FALSE)</f>
        <v>#REF!</v>
      </c>
      <c r="AQ186" s="8">
        <f>SUMIFS(Capacity!$G$2:$G$2820,Capacity!$B$2:$B$2820,Demand_Modeling!AG186)</f>
        <v>0</v>
      </c>
      <c r="AS186" s="2" t="e">
        <f t="shared" si="44"/>
        <v>#REF!</v>
      </c>
      <c r="AT186" s="2" t="e">
        <f t="shared" si="45"/>
        <v>#REF!</v>
      </c>
      <c r="AU186" s="2" t="e">
        <f t="shared" si="46"/>
        <v>#REF!</v>
      </c>
      <c r="AV186" s="2" t="e">
        <f t="shared" si="47"/>
        <v>#REF!</v>
      </c>
      <c r="AW186" s="2" t="e">
        <f t="shared" si="48"/>
        <v>#REF!</v>
      </c>
      <c r="AX186" s="2" t="e">
        <f t="shared" si="49"/>
        <v>#REF!</v>
      </c>
      <c r="AY186" s="2" t="e">
        <f t="shared" si="50"/>
        <v>#REF!</v>
      </c>
      <c r="AZ186" s="10">
        <f t="shared" si="51"/>
        <v>0</v>
      </c>
      <c r="BA186" s="5" t="e">
        <f t="shared" si="52"/>
        <v>#REF!</v>
      </c>
    </row>
    <row r="187" spans="33:53" x14ac:dyDescent="0.3">
      <c r="AG187" t="e">
        <f t="shared" si="43"/>
        <v>#REF!</v>
      </c>
      <c r="AH187" t="e">
        <f>#REF!</f>
        <v>#REF!</v>
      </c>
      <c r="AI187" t="e">
        <f>#REF!</f>
        <v>#REF!</v>
      </c>
      <c r="AJ187" s="3" t="e">
        <f>#REF!</f>
        <v>#REF!</v>
      </c>
      <c r="AK187" s="3" t="e">
        <f>#REF!</f>
        <v>#REF!</v>
      </c>
      <c r="AL187" s="3" t="e">
        <f>#REF!</f>
        <v>#REF!</v>
      </c>
      <c r="AM187" s="3" t="e">
        <f>#REF!</f>
        <v>#REF!</v>
      </c>
      <c r="AN187" s="3" t="e">
        <f>#REF!</f>
        <v>#REF!</v>
      </c>
      <c r="AO187" s="3" t="e">
        <f>#REF!</f>
        <v>#REF!</v>
      </c>
      <c r="AP187" s="9" t="e">
        <f>VLOOKUP(AG187,#REF!,10,FALSE)</f>
        <v>#REF!</v>
      </c>
      <c r="AQ187" s="8">
        <f>SUMIFS(Capacity!$G$2:$G$2820,Capacity!$B$2:$B$2820,Demand_Modeling!AG187)</f>
        <v>0</v>
      </c>
      <c r="AS187" s="2" t="e">
        <f t="shared" si="44"/>
        <v>#REF!</v>
      </c>
      <c r="AT187" s="2" t="e">
        <f t="shared" si="45"/>
        <v>#REF!</v>
      </c>
      <c r="AU187" s="2" t="e">
        <f t="shared" si="46"/>
        <v>#REF!</v>
      </c>
      <c r="AV187" s="2" t="e">
        <f t="shared" si="47"/>
        <v>#REF!</v>
      </c>
      <c r="AW187" s="2" t="e">
        <f t="shared" si="48"/>
        <v>#REF!</v>
      </c>
      <c r="AX187" s="2" t="e">
        <f t="shared" si="49"/>
        <v>#REF!</v>
      </c>
      <c r="AY187" s="2" t="e">
        <f t="shared" si="50"/>
        <v>#REF!</v>
      </c>
      <c r="AZ187" s="10">
        <f t="shared" si="51"/>
        <v>0</v>
      </c>
      <c r="BA187" s="5" t="e">
        <f t="shared" si="52"/>
        <v>#REF!</v>
      </c>
    </row>
    <row r="188" spans="33:53" x14ac:dyDescent="0.3">
      <c r="AG188" t="e">
        <f t="shared" si="43"/>
        <v>#REF!</v>
      </c>
      <c r="AH188" t="e">
        <f>#REF!</f>
        <v>#REF!</v>
      </c>
      <c r="AI188" t="e">
        <f>#REF!</f>
        <v>#REF!</v>
      </c>
      <c r="AJ188" s="3" t="e">
        <f>#REF!</f>
        <v>#REF!</v>
      </c>
      <c r="AK188" s="3" t="e">
        <f>#REF!</f>
        <v>#REF!</v>
      </c>
      <c r="AL188" s="3" t="e">
        <f>#REF!</f>
        <v>#REF!</v>
      </c>
      <c r="AM188" s="3" t="e">
        <f>#REF!</f>
        <v>#REF!</v>
      </c>
      <c r="AN188" s="3" t="e">
        <f>#REF!</f>
        <v>#REF!</v>
      </c>
      <c r="AO188" s="3" t="e">
        <f>#REF!</f>
        <v>#REF!</v>
      </c>
      <c r="AP188" s="9" t="e">
        <f>VLOOKUP(AG188,#REF!,10,FALSE)</f>
        <v>#REF!</v>
      </c>
      <c r="AQ188" s="8">
        <f>SUMIFS(Capacity!$G$2:$G$2820,Capacity!$B$2:$B$2820,Demand_Modeling!AG188)</f>
        <v>0</v>
      </c>
      <c r="AS188" s="2" t="e">
        <f t="shared" si="44"/>
        <v>#REF!</v>
      </c>
      <c r="AT188" s="2" t="e">
        <f t="shared" si="45"/>
        <v>#REF!</v>
      </c>
      <c r="AU188" s="2" t="e">
        <f t="shared" si="46"/>
        <v>#REF!</v>
      </c>
      <c r="AV188" s="2" t="e">
        <f t="shared" si="47"/>
        <v>#REF!</v>
      </c>
      <c r="AW188" s="2" t="e">
        <f t="shared" si="48"/>
        <v>#REF!</v>
      </c>
      <c r="AX188" s="2" t="e">
        <f t="shared" si="49"/>
        <v>#REF!</v>
      </c>
      <c r="AY188" s="2" t="e">
        <f t="shared" si="50"/>
        <v>#REF!</v>
      </c>
      <c r="AZ188" s="10">
        <f t="shared" si="51"/>
        <v>0</v>
      </c>
      <c r="BA188" s="5" t="e">
        <f t="shared" si="52"/>
        <v>#REF!</v>
      </c>
    </row>
    <row r="189" spans="33:53" x14ac:dyDescent="0.3">
      <c r="AG189" t="e">
        <f t="shared" si="43"/>
        <v>#REF!</v>
      </c>
      <c r="AH189" t="e">
        <f>#REF!</f>
        <v>#REF!</v>
      </c>
      <c r="AI189" t="e">
        <f>#REF!</f>
        <v>#REF!</v>
      </c>
      <c r="AJ189" s="3" t="e">
        <f>#REF!</f>
        <v>#REF!</v>
      </c>
      <c r="AK189" s="3" t="e">
        <f>#REF!</f>
        <v>#REF!</v>
      </c>
      <c r="AL189" s="3" t="e">
        <f>#REF!</f>
        <v>#REF!</v>
      </c>
      <c r="AM189" s="3" t="e">
        <f>#REF!</f>
        <v>#REF!</v>
      </c>
      <c r="AN189" s="3" t="e">
        <f>#REF!</f>
        <v>#REF!</v>
      </c>
      <c r="AO189" s="3" t="e">
        <f>#REF!</f>
        <v>#REF!</v>
      </c>
      <c r="AP189" s="9" t="e">
        <f>VLOOKUP(AG189,#REF!,10,FALSE)</f>
        <v>#REF!</v>
      </c>
      <c r="AQ189" s="8">
        <f>SUMIFS(Capacity!$G$2:$G$2820,Capacity!$B$2:$B$2820,Demand_Modeling!AG189)</f>
        <v>0</v>
      </c>
      <c r="AS189" s="2" t="e">
        <f t="shared" si="44"/>
        <v>#REF!</v>
      </c>
      <c r="AT189" s="2" t="e">
        <f t="shared" si="45"/>
        <v>#REF!</v>
      </c>
      <c r="AU189" s="2" t="e">
        <f t="shared" si="46"/>
        <v>#REF!</v>
      </c>
      <c r="AV189" s="2" t="e">
        <f t="shared" si="47"/>
        <v>#REF!</v>
      </c>
      <c r="AW189" s="2" t="e">
        <f t="shared" si="48"/>
        <v>#REF!</v>
      </c>
      <c r="AX189" s="2" t="e">
        <f t="shared" si="49"/>
        <v>#REF!</v>
      </c>
      <c r="AY189" s="2" t="e">
        <f t="shared" si="50"/>
        <v>#REF!</v>
      </c>
      <c r="AZ189" s="10">
        <f t="shared" si="51"/>
        <v>0</v>
      </c>
      <c r="BA189" s="5" t="e">
        <f t="shared" si="52"/>
        <v>#REF!</v>
      </c>
    </row>
    <row r="190" spans="33:53" x14ac:dyDescent="0.3">
      <c r="AG190" t="e">
        <f t="shared" si="43"/>
        <v>#REF!</v>
      </c>
      <c r="AH190" t="e">
        <f>#REF!</f>
        <v>#REF!</v>
      </c>
      <c r="AI190" t="e">
        <f>#REF!</f>
        <v>#REF!</v>
      </c>
      <c r="AJ190" s="3" t="e">
        <f>#REF!</f>
        <v>#REF!</v>
      </c>
      <c r="AK190" s="3" t="e">
        <f>#REF!</f>
        <v>#REF!</v>
      </c>
      <c r="AL190" s="3" t="e">
        <f>#REF!</f>
        <v>#REF!</v>
      </c>
      <c r="AM190" s="3" t="e">
        <f>#REF!</f>
        <v>#REF!</v>
      </c>
      <c r="AN190" s="3" t="e">
        <f>#REF!</f>
        <v>#REF!</v>
      </c>
      <c r="AO190" s="3" t="e">
        <f>#REF!</f>
        <v>#REF!</v>
      </c>
      <c r="AP190" s="9" t="e">
        <f>VLOOKUP(AG190,#REF!,10,FALSE)</f>
        <v>#REF!</v>
      </c>
      <c r="AQ190" s="8">
        <f>SUMIFS(Capacity!$G$2:$G$2820,Capacity!$B$2:$B$2820,Demand_Modeling!AG190)</f>
        <v>0</v>
      </c>
      <c r="AS190" s="2" t="e">
        <f t="shared" si="44"/>
        <v>#REF!</v>
      </c>
      <c r="AT190" s="2" t="e">
        <f t="shared" si="45"/>
        <v>#REF!</v>
      </c>
      <c r="AU190" s="2" t="e">
        <f t="shared" si="46"/>
        <v>#REF!</v>
      </c>
      <c r="AV190" s="2" t="e">
        <f t="shared" si="47"/>
        <v>#REF!</v>
      </c>
      <c r="AW190" s="2" t="e">
        <f t="shared" si="48"/>
        <v>#REF!</v>
      </c>
      <c r="AX190" s="2" t="e">
        <f t="shared" si="49"/>
        <v>#REF!</v>
      </c>
      <c r="AY190" s="2" t="e">
        <f t="shared" si="50"/>
        <v>#REF!</v>
      </c>
      <c r="AZ190" s="10">
        <f t="shared" si="51"/>
        <v>0</v>
      </c>
      <c r="BA190" s="5" t="e">
        <f t="shared" si="52"/>
        <v>#REF!</v>
      </c>
    </row>
    <row r="191" spans="33:53" x14ac:dyDescent="0.3">
      <c r="AG191" t="e">
        <f t="shared" si="43"/>
        <v>#REF!</v>
      </c>
      <c r="AH191" t="e">
        <f>#REF!</f>
        <v>#REF!</v>
      </c>
      <c r="AI191" t="e">
        <f>#REF!</f>
        <v>#REF!</v>
      </c>
      <c r="AJ191" s="3" t="e">
        <f>#REF!</f>
        <v>#REF!</v>
      </c>
      <c r="AK191" s="3" t="e">
        <f>#REF!</f>
        <v>#REF!</v>
      </c>
      <c r="AL191" s="3" t="e">
        <f>#REF!</f>
        <v>#REF!</v>
      </c>
      <c r="AM191" s="3" t="e">
        <f>#REF!</f>
        <v>#REF!</v>
      </c>
      <c r="AN191" s="3" t="e">
        <f>#REF!</f>
        <v>#REF!</v>
      </c>
      <c r="AO191" s="3" t="e">
        <f>#REF!</f>
        <v>#REF!</v>
      </c>
      <c r="AP191" s="9" t="e">
        <f>VLOOKUP(AG191,#REF!,10,FALSE)</f>
        <v>#REF!</v>
      </c>
      <c r="AQ191" s="8">
        <f>SUMIFS(Capacity!$G$2:$G$2820,Capacity!$B$2:$B$2820,Demand_Modeling!AG191)</f>
        <v>0</v>
      </c>
      <c r="AS191" s="2" t="e">
        <f t="shared" si="44"/>
        <v>#REF!</v>
      </c>
      <c r="AT191" s="2" t="e">
        <f t="shared" si="45"/>
        <v>#REF!</v>
      </c>
      <c r="AU191" s="2" t="e">
        <f t="shared" si="46"/>
        <v>#REF!</v>
      </c>
      <c r="AV191" s="2" t="e">
        <f t="shared" si="47"/>
        <v>#REF!</v>
      </c>
      <c r="AW191" s="2" t="e">
        <f t="shared" si="48"/>
        <v>#REF!</v>
      </c>
      <c r="AX191" s="2" t="e">
        <f t="shared" si="49"/>
        <v>#REF!</v>
      </c>
      <c r="AY191" s="2" t="e">
        <f t="shared" si="50"/>
        <v>#REF!</v>
      </c>
      <c r="AZ191" s="10">
        <f t="shared" si="51"/>
        <v>0</v>
      </c>
      <c r="BA191" s="5" t="e">
        <f t="shared" si="52"/>
        <v>#REF!</v>
      </c>
    </row>
    <row r="192" spans="33:53" x14ac:dyDescent="0.3">
      <c r="AG192" t="e">
        <f t="shared" si="43"/>
        <v>#REF!</v>
      </c>
      <c r="AH192" t="e">
        <f>#REF!</f>
        <v>#REF!</v>
      </c>
      <c r="AI192" t="e">
        <f>#REF!</f>
        <v>#REF!</v>
      </c>
      <c r="AJ192" s="3" t="e">
        <f>#REF!</f>
        <v>#REF!</v>
      </c>
      <c r="AK192" s="3" t="e">
        <f>#REF!</f>
        <v>#REF!</v>
      </c>
      <c r="AL192" s="3" t="e">
        <f>#REF!</f>
        <v>#REF!</v>
      </c>
      <c r="AM192" s="3" t="e">
        <f>#REF!</f>
        <v>#REF!</v>
      </c>
      <c r="AN192" s="3" t="e">
        <f>#REF!</f>
        <v>#REF!</v>
      </c>
      <c r="AO192" s="3" t="e">
        <f>#REF!</f>
        <v>#REF!</v>
      </c>
      <c r="AP192" s="9" t="e">
        <f>VLOOKUP(AG192,#REF!,10,FALSE)</f>
        <v>#REF!</v>
      </c>
      <c r="AQ192" s="8">
        <f>SUMIFS(Capacity!$G$2:$G$2820,Capacity!$B$2:$B$2820,Demand_Modeling!AG192)</f>
        <v>0</v>
      </c>
      <c r="AS192" s="2" t="e">
        <f t="shared" si="44"/>
        <v>#REF!</v>
      </c>
      <c r="AT192" s="2" t="e">
        <f t="shared" si="45"/>
        <v>#REF!</v>
      </c>
      <c r="AU192" s="2" t="e">
        <f t="shared" si="46"/>
        <v>#REF!</v>
      </c>
      <c r="AV192" s="2" t="e">
        <f t="shared" si="47"/>
        <v>#REF!</v>
      </c>
      <c r="AW192" s="2" t="e">
        <f t="shared" si="48"/>
        <v>#REF!</v>
      </c>
      <c r="AX192" s="2" t="e">
        <f t="shared" si="49"/>
        <v>#REF!</v>
      </c>
      <c r="AY192" s="2" t="e">
        <f t="shared" si="50"/>
        <v>#REF!</v>
      </c>
      <c r="AZ192" s="10">
        <f t="shared" si="51"/>
        <v>0</v>
      </c>
      <c r="BA192" s="5" t="e">
        <f t="shared" si="52"/>
        <v>#REF!</v>
      </c>
    </row>
    <row r="193" spans="33:53" x14ac:dyDescent="0.3">
      <c r="AG193" t="e">
        <f t="shared" si="43"/>
        <v>#REF!</v>
      </c>
      <c r="AH193" t="e">
        <f>#REF!</f>
        <v>#REF!</v>
      </c>
      <c r="AI193" t="e">
        <f>#REF!</f>
        <v>#REF!</v>
      </c>
      <c r="AJ193" s="3" t="e">
        <f>#REF!</f>
        <v>#REF!</v>
      </c>
      <c r="AK193" s="3" t="e">
        <f>#REF!</f>
        <v>#REF!</v>
      </c>
      <c r="AL193" s="3" t="e">
        <f>#REF!</f>
        <v>#REF!</v>
      </c>
      <c r="AM193" s="3" t="e">
        <f>#REF!</f>
        <v>#REF!</v>
      </c>
      <c r="AN193" s="3" t="e">
        <f>#REF!</f>
        <v>#REF!</v>
      </c>
      <c r="AO193" s="3" t="e">
        <f>#REF!</f>
        <v>#REF!</v>
      </c>
      <c r="AP193" s="9" t="e">
        <f>VLOOKUP(AG193,#REF!,10,FALSE)</f>
        <v>#REF!</v>
      </c>
      <c r="AQ193" s="8">
        <f>SUMIFS(Capacity!$G$2:$G$2820,Capacity!$B$2:$B$2820,Demand_Modeling!AG193)</f>
        <v>0</v>
      </c>
      <c r="AS193" s="2" t="e">
        <f t="shared" si="44"/>
        <v>#REF!</v>
      </c>
      <c r="AT193" s="2" t="e">
        <f t="shared" si="45"/>
        <v>#REF!</v>
      </c>
      <c r="AU193" s="2" t="e">
        <f t="shared" si="46"/>
        <v>#REF!</v>
      </c>
      <c r="AV193" s="2" t="e">
        <f t="shared" si="47"/>
        <v>#REF!</v>
      </c>
      <c r="AW193" s="2" t="e">
        <f t="shared" si="48"/>
        <v>#REF!</v>
      </c>
      <c r="AX193" s="2" t="e">
        <f t="shared" si="49"/>
        <v>#REF!</v>
      </c>
      <c r="AY193" s="2" t="e">
        <f t="shared" si="50"/>
        <v>#REF!</v>
      </c>
      <c r="AZ193" s="10">
        <f t="shared" si="51"/>
        <v>0</v>
      </c>
      <c r="BA193" s="5" t="e">
        <f t="shared" si="52"/>
        <v>#REF!</v>
      </c>
    </row>
    <row r="194" spans="33:53" x14ac:dyDescent="0.3">
      <c r="AG194" t="e">
        <f t="shared" si="43"/>
        <v>#REF!</v>
      </c>
      <c r="AH194" t="e">
        <f>#REF!</f>
        <v>#REF!</v>
      </c>
      <c r="AI194" t="e">
        <f>#REF!</f>
        <v>#REF!</v>
      </c>
      <c r="AJ194" s="3" t="e">
        <f>#REF!</f>
        <v>#REF!</v>
      </c>
      <c r="AK194" s="3" t="e">
        <f>#REF!</f>
        <v>#REF!</v>
      </c>
      <c r="AL194" s="3" t="e">
        <f>#REF!</f>
        <v>#REF!</v>
      </c>
      <c r="AM194" s="3" t="e">
        <f>#REF!</f>
        <v>#REF!</v>
      </c>
      <c r="AN194" s="3" t="e">
        <f>#REF!</f>
        <v>#REF!</v>
      </c>
      <c r="AO194" s="3" t="e">
        <f>#REF!</f>
        <v>#REF!</v>
      </c>
      <c r="AP194" s="9" t="e">
        <f>VLOOKUP(AG194,#REF!,10,FALSE)</f>
        <v>#REF!</v>
      </c>
      <c r="AQ194" s="8">
        <f>SUMIFS(Capacity!$G$2:$G$2820,Capacity!$B$2:$B$2820,Demand_Modeling!AG194)</f>
        <v>0</v>
      </c>
      <c r="AS194" s="2" t="e">
        <f t="shared" si="44"/>
        <v>#REF!</v>
      </c>
      <c r="AT194" s="2" t="e">
        <f t="shared" si="45"/>
        <v>#REF!</v>
      </c>
      <c r="AU194" s="2" t="e">
        <f t="shared" si="46"/>
        <v>#REF!</v>
      </c>
      <c r="AV194" s="2" t="e">
        <f t="shared" si="47"/>
        <v>#REF!</v>
      </c>
      <c r="AW194" s="2" t="e">
        <f t="shared" si="48"/>
        <v>#REF!</v>
      </c>
      <c r="AX194" s="2" t="e">
        <f t="shared" si="49"/>
        <v>#REF!</v>
      </c>
      <c r="AY194" s="2" t="e">
        <f t="shared" si="50"/>
        <v>#REF!</v>
      </c>
      <c r="AZ194" s="10">
        <f t="shared" si="51"/>
        <v>0</v>
      </c>
      <c r="BA194" s="5" t="e">
        <f t="shared" si="52"/>
        <v>#REF!</v>
      </c>
    </row>
    <row r="195" spans="33:53" x14ac:dyDescent="0.3">
      <c r="AG195" t="e">
        <f t="shared" si="43"/>
        <v>#REF!</v>
      </c>
      <c r="AH195" t="e">
        <f>#REF!</f>
        <v>#REF!</v>
      </c>
      <c r="AI195" t="e">
        <f>#REF!</f>
        <v>#REF!</v>
      </c>
      <c r="AJ195" s="3" t="e">
        <f>#REF!</f>
        <v>#REF!</v>
      </c>
      <c r="AK195" s="3" t="e">
        <f>#REF!</f>
        <v>#REF!</v>
      </c>
      <c r="AL195" s="3" t="e">
        <f>#REF!</f>
        <v>#REF!</v>
      </c>
      <c r="AM195" s="3" t="e">
        <f>#REF!</f>
        <v>#REF!</v>
      </c>
      <c r="AN195" s="3" t="e">
        <f>#REF!</f>
        <v>#REF!</v>
      </c>
      <c r="AO195" s="3" t="e">
        <f>#REF!</f>
        <v>#REF!</v>
      </c>
      <c r="AP195" s="9" t="e">
        <f>VLOOKUP(AG195,#REF!,10,FALSE)</f>
        <v>#REF!</v>
      </c>
      <c r="AQ195" s="8">
        <f>SUMIFS(Capacity!$G$2:$G$2820,Capacity!$B$2:$B$2820,Demand_Modeling!AG195)</f>
        <v>0</v>
      </c>
      <c r="AS195" s="2" t="e">
        <f t="shared" si="44"/>
        <v>#REF!</v>
      </c>
      <c r="AT195" s="2" t="e">
        <f t="shared" si="45"/>
        <v>#REF!</v>
      </c>
      <c r="AU195" s="2" t="e">
        <f t="shared" si="46"/>
        <v>#REF!</v>
      </c>
      <c r="AV195" s="2" t="e">
        <f t="shared" si="47"/>
        <v>#REF!</v>
      </c>
      <c r="AW195" s="2" t="e">
        <f t="shared" si="48"/>
        <v>#REF!</v>
      </c>
      <c r="AX195" s="2" t="e">
        <f t="shared" si="49"/>
        <v>#REF!</v>
      </c>
      <c r="AY195" s="2" t="e">
        <f t="shared" si="50"/>
        <v>#REF!</v>
      </c>
      <c r="AZ195" s="10">
        <f t="shared" si="51"/>
        <v>0</v>
      </c>
      <c r="BA195" s="5" t="e">
        <f t="shared" si="52"/>
        <v>#REF!</v>
      </c>
    </row>
    <row r="196" spans="33:53" x14ac:dyDescent="0.3">
      <c r="AG196" t="e">
        <f t="shared" si="43"/>
        <v>#REF!</v>
      </c>
      <c r="AH196" t="e">
        <f>#REF!</f>
        <v>#REF!</v>
      </c>
      <c r="AI196" t="e">
        <f>#REF!</f>
        <v>#REF!</v>
      </c>
      <c r="AJ196" s="3" t="e">
        <f>#REF!</f>
        <v>#REF!</v>
      </c>
      <c r="AK196" s="3" t="e">
        <f>#REF!</f>
        <v>#REF!</v>
      </c>
      <c r="AL196" s="3" t="e">
        <f>#REF!</f>
        <v>#REF!</v>
      </c>
      <c r="AM196" s="3" t="e">
        <f>#REF!</f>
        <v>#REF!</v>
      </c>
      <c r="AN196" s="3" t="e">
        <f>#REF!</f>
        <v>#REF!</v>
      </c>
      <c r="AO196" s="3" t="e">
        <f>#REF!</f>
        <v>#REF!</v>
      </c>
      <c r="AP196" s="9" t="e">
        <f>VLOOKUP(AG196,#REF!,10,FALSE)</f>
        <v>#REF!</v>
      </c>
      <c r="AQ196" s="8">
        <f>SUMIFS(Capacity!$G$2:$G$2820,Capacity!$B$2:$B$2820,Demand_Modeling!AG196)</f>
        <v>0</v>
      </c>
      <c r="AS196" s="2" t="e">
        <f t="shared" si="44"/>
        <v>#REF!</v>
      </c>
      <c r="AT196" s="2" t="e">
        <f t="shared" si="45"/>
        <v>#REF!</v>
      </c>
      <c r="AU196" s="2" t="e">
        <f t="shared" si="46"/>
        <v>#REF!</v>
      </c>
      <c r="AV196" s="2" t="e">
        <f t="shared" si="47"/>
        <v>#REF!</v>
      </c>
      <c r="AW196" s="2" t="e">
        <f t="shared" si="48"/>
        <v>#REF!</v>
      </c>
      <c r="AX196" s="2" t="e">
        <f t="shared" si="49"/>
        <v>#REF!</v>
      </c>
      <c r="AY196" s="2" t="e">
        <f t="shared" si="50"/>
        <v>#REF!</v>
      </c>
      <c r="AZ196" s="10">
        <f t="shared" si="51"/>
        <v>0</v>
      </c>
      <c r="BA196" s="5" t="e">
        <f t="shared" si="52"/>
        <v>#REF!</v>
      </c>
    </row>
    <row r="197" spans="33:53" x14ac:dyDescent="0.3">
      <c r="AG197" t="e">
        <f t="shared" si="43"/>
        <v>#REF!</v>
      </c>
      <c r="AH197" t="e">
        <f>#REF!</f>
        <v>#REF!</v>
      </c>
      <c r="AI197" t="e">
        <f>#REF!</f>
        <v>#REF!</v>
      </c>
      <c r="AJ197" s="3" t="e">
        <f>#REF!</f>
        <v>#REF!</v>
      </c>
      <c r="AK197" s="3" t="e">
        <f>#REF!</f>
        <v>#REF!</v>
      </c>
      <c r="AL197" s="3" t="e">
        <f>#REF!</f>
        <v>#REF!</v>
      </c>
      <c r="AM197" s="3" t="e">
        <f>#REF!</f>
        <v>#REF!</v>
      </c>
      <c r="AN197" s="3" t="e">
        <f>#REF!</f>
        <v>#REF!</v>
      </c>
      <c r="AO197" s="3" t="e">
        <f>#REF!</f>
        <v>#REF!</v>
      </c>
      <c r="AP197" s="9" t="e">
        <f>VLOOKUP(AG197,#REF!,10,FALSE)</f>
        <v>#REF!</v>
      </c>
      <c r="AQ197" s="8">
        <f>SUMIFS(Capacity!$G$2:$G$2820,Capacity!$B$2:$B$2820,Demand_Modeling!AG197)</f>
        <v>0</v>
      </c>
      <c r="AS197" s="2" t="e">
        <f t="shared" si="44"/>
        <v>#REF!</v>
      </c>
      <c r="AT197" s="2" t="e">
        <f t="shared" si="45"/>
        <v>#REF!</v>
      </c>
      <c r="AU197" s="2" t="e">
        <f t="shared" si="46"/>
        <v>#REF!</v>
      </c>
      <c r="AV197" s="2" t="e">
        <f t="shared" si="47"/>
        <v>#REF!</v>
      </c>
      <c r="AW197" s="2" t="e">
        <f t="shared" si="48"/>
        <v>#REF!</v>
      </c>
      <c r="AX197" s="2" t="e">
        <f t="shared" si="49"/>
        <v>#REF!</v>
      </c>
      <c r="AY197" s="2" t="e">
        <f t="shared" si="50"/>
        <v>#REF!</v>
      </c>
      <c r="AZ197" s="10">
        <f t="shared" si="51"/>
        <v>0</v>
      </c>
      <c r="BA197" s="5" t="e">
        <f t="shared" si="52"/>
        <v>#REF!</v>
      </c>
    </row>
    <row r="198" spans="33:53" x14ac:dyDescent="0.3">
      <c r="AG198" t="e">
        <f t="shared" si="43"/>
        <v>#REF!</v>
      </c>
      <c r="AH198" t="e">
        <f>#REF!</f>
        <v>#REF!</v>
      </c>
      <c r="AI198" t="e">
        <f>#REF!</f>
        <v>#REF!</v>
      </c>
      <c r="AJ198" s="3" t="e">
        <f>#REF!</f>
        <v>#REF!</v>
      </c>
      <c r="AK198" s="3" t="e">
        <f>#REF!</f>
        <v>#REF!</v>
      </c>
      <c r="AL198" s="3" t="e">
        <f>#REF!</f>
        <v>#REF!</v>
      </c>
      <c r="AM198" s="3" t="e">
        <f>#REF!</f>
        <v>#REF!</v>
      </c>
      <c r="AN198" s="3" t="e">
        <f>#REF!</f>
        <v>#REF!</v>
      </c>
      <c r="AO198" s="3" t="e">
        <f>#REF!</f>
        <v>#REF!</v>
      </c>
      <c r="AP198" s="9" t="e">
        <f>VLOOKUP(AG198,#REF!,10,FALSE)</f>
        <v>#REF!</v>
      </c>
      <c r="AQ198" s="8">
        <f>SUMIFS(Capacity!$G$2:$G$2820,Capacity!$B$2:$B$2820,Demand_Modeling!AG198)</f>
        <v>0</v>
      </c>
      <c r="AS198" s="2" t="e">
        <f t="shared" si="44"/>
        <v>#REF!</v>
      </c>
      <c r="AT198" s="2" t="e">
        <f t="shared" si="45"/>
        <v>#REF!</v>
      </c>
      <c r="AU198" s="2" t="e">
        <f t="shared" si="46"/>
        <v>#REF!</v>
      </c>
      <c r="AV198" s="2" t="e">
        <f t="shared" si="47"/>
        <v>#REF!</v>
      </c>
      <c r="AW198" s="2" t="e">
        <f t="shared" si="48"/>
        <v>#REF!</v>
      </c>
      <c r="AX198" s="2" t="e">
        <f t="shared" si="49"/>
        <v>#REF!</v>
      </c>
      <c r="AY198" s="2" t="e">
        <f t="shared" si="50"/>
        <v>#REF!</v>
      </c>
      <c r="AZ198" s="10">
        <f t="shared" si="51"/>
        <v>0</v>
      </c>
      <c r="BA198" s="5" t="e">
        <f t="shared" si="52"/>
        <v>#REF!</v>
      </c>
    </row>
    <row r="199" spans="33:53" x14ac:dyDescent="0.3">
      <c r="AG199" t="e">
        <f t="shared" si="43"/>
        <v>#REF!</v>
      </c>
      <c r="AH199" t="e">
        <f>#REF!</f>
        <v>#REF!</v>
      </c>
      <c r="AI199" t="e">
        <f>#REF!</f>
        <v>#REF!</v>
      </c>
      <c r="AJ199" s="3" t="e">
        <f>#REF!</f>
        <v>#REF!</v>
      </c>
      <c r="AK199" s="3" t="e">
        <f>#REF!</f>
        <v>#REF!</v>
      </c>
      <c r="AL199" s="3" t="e">
        <f>#REF!</f>
        <v>#REF!</v>
      </c>
      <c r="AM199" s="3" t="e">
        <f>#REF!</f>
        <v>#REF!</v>
      </c>
      <c r="AN199" s="3" t="e">
        <f>#REF!</f>
        <v>#REF!</v>
      </c>
      <c r="AO199" s="3" t="e">
        <f>#REF!</f>
        <v>#REF!</v>
      </c>
      <c r="AP199" s="9" t="e">
        <f>VLOOKUP(AG199,#REF!,10,FALSE)</f>
        <v>#REF!</v>
      </c>
      <c r="AQ199" s="8">
        <f>SUMIFS(Capacity!$G$2:$G$2820,Capacity!$B$2:$B$2820,Demand_Modeling!AG199)</f>
        <v>0</v>
      </c>
      <c r="AS199" s="2" t="e">
        <f t="shared" si="44"/>
        <v>#REF!</v>
      </c>
      <c r="AT199" s="2" t="e">
        <f t="shared" si="45"/>
        <v>#REF!</v>
      </c>
      <c r="AU199" s="2" t="e">
        <f t="shared" si="46"/>
        <v>#REF!</v>
      </c>
      <c r="AV199" s="2" t="e">
        <f t="shared" si="47"/>
        <v>#REF!</v>
      </c>
      <c r="AW199" s="2" t="e">
        <f t="shared" si="48"/>
        <v>#REF!</v>
      </c>
      <c r="AX199" s="2" t="e">
        <f t="shared" si="49"/>
        <v>#REF!</v>
      </c>
      <c r="AY199" s="2" t="e">
        <f t="shared" si="50"/>
        <v>#REF!</v>
      </c>
      <c r="AZ199" s="10">
        <f t="shared" si="51"/>
        <v>0</v>
      </c>
      <c r="BA199" s="5" t="e">
        <f t="shared" si="52"/>
        <v>#REF!</v>
      </c>
    </row>
    <row r="200" spans="33:53" x14ac:dyDescent="0.3">
      <c r="AG200" t="e">
        <f t="shared" si="43"/>
        <v>#REF!</v>
      </c>
      <c r="AH200" t="e">
        <f>#REF!</f>
        <v>#REF!</v>
      </c>
      <c r="AI200" t="e">
        <f>#REF!</f>
        <v>#REF!</v>
      </c>
      <c r="AJ200" s="3" t="e">
        <f>#REF!</f>
        <v>#REF!</v>
      </c>
      <c r="AK200" s="3" t="e">
        <f>#REF!</f>
        <v>#REF!</v>
      </c>
      <c r="AL200" s="3" t="e">
        <f>#REF!</f>
        <v>#REF!</v>
      </c>
      <c r="AM200" s="3" t="e">
        <f>#REF!</f>
        <v>#REF!</v>
      </c>
      <c r="AN200" s="3" t="e">
        <f>#REF!</f>
        <v>#REF!</v>
      </c>
      <c r="AO200" s="3" t="e">
        <f>#REF!</f>
        <v>#REF!</v>
      </c>
      <c r="AP200" s="9" t="e">
        <f>VLOOKUP(AG200,#REF!,10,FALSE)</f>
        <v>#REF!</v>
      </c>
      <c r="AQ200" s="8">
        <f>SUMIFS(Capacity!$G$2:$G$2820,Capacity!$B$2:$B$2820,Demand_Modeling!AG200)</f>
        <v>0</v>
      </c>
      <c r="AS200" s="2" t="e">
        <f t="shared" si="44"/>
        <v>#REF!</v>
      </c>
      <c r="AT200" s="2" t="e">
        <f t="shared" si="45"/>
        <v>#REF!</v>
      </c>
      <c r="AU200" s="2" t="e">
        <f t="shared" si="46"/>
        <v>#REF!</v>
      </c>
      <c r="AV200" s="2" t="e">
        <f t="shared" si="47"/>
        <v>#REF!</v>
      </c>
      <c r="AW200" s="2" t="e">
        <f t="shared" si="48"/>
        <v>#REF!</v>
      </c>
      <c r="AX200" s="2" t="e">
        <f t="shared" si="49"/>
        <v>#REF!</v>
      </c>
      <c r="AY200" s="2" t="e">
        <f t="shared" si="50"/>
        <v>#REF!</v>
      </c>
      <c r="AZ200" s="10">
        <f t="shared" si="51"/>
        <v>0</v>
      </c>
      <c r="BA200" s="5" t="e">
        <f t="shared" si="52"/>
        <v>#REF!</v>
      </c>
    </row>
    <row r="201" spans="33:53" x14ac:dyDescent="0.3">
      <c r="AG201" t="e">
        <f t="shared" si="43"/>
        <v>#REF!</v>
      </c>
      <c r="AH201" t="e">
        <f>#REF!</f>
        <v>#REF!</v>
      </c>
      <c r="AI201" t="e">
        <f>#REF!</f>
        <v>#REF!</v>
      </c>
      <c r="AJ201" s="3" t="e">
        <f>#REF!</f>
        <v>#REF!</v>
      </c>
      <c r="AK201" s="3" t="e">
        <f>#REF!</f>
        <v>#REF!</v>
      </c>
      <c r="AL201" s="3" t="e">
        <f>#REF!</f>
        <v>#REF!</v>
      </c>
      <c r="AM201" s="3" t="e">
        <f>#REF!</f>
        <v>#REF!</v>
      </c>
      <c r="AN201" s="3" t="e">
        <f>#REF!</f>
        <v>#REF!</v>
      </c>
      <c r="AO201" s="3" t="e">
        <f>#REF!</f>
        <v>#REF!</v>
      </c>
      <c r="AP201" s="9" t="e">
        <f>VLOOKUP(AG201,#REF!,10,FALSE)</f>
        <v>#REF!</v>
      </c>
      <c r="AQ201" s="8">
        <f>SUMIFS(Capacity!$G$2:$G$2820,Capacity!$B$2:$B$2820,Demand_Modeling!AG201)</f>
        <v>0</v>
      </c>
      <c r="AS201" s="2" t="e">
        <f t="shared" si="44"/>
        <v>#REF!</v>
      </c>
      <c r="AT201" s="2" t="e">
        <f t="shared" si="45"/>
        <v>#REF!</v>
      </c>
      <c r="AU201" s="2" t="e">
        <f t="shared" si="46"/>
        <v>#REF!</v>
      </c>
      <c r="AV201" s="2" t="e">
        <f t="shared" si="47"/>
        <v>#REF!</v>
      </c>
      <c r="AW201" s="2" t="e">
        <f t="shared" si="48"/>
        <v>#REF!</v>
      </c>
      <c r="AX201" s="2" t="e">
        <f t="shared" si="49"/>
        <v>#REF!</v>
      </c>
      <c r="AY201" s="2" t="e">
        <f t="shared" si="50"/>
        <v>#REF!</v>
      </c>
      <c r="AZ201" s="10">
        <f t="shared" si="51"/>
        <v>0</v>
      </c>
      <c r="BA201" s="5" t="e">
        <f t="shared" si="52"/>
        <v>#REF!</v>
      </c>
    </row>
    <row r="202" spans="33:53" x14ac:dyDescent="0.3">
      <c r="AG202" t="e">
        <f t="shared" si="43"/>
        <v>#REF!</v>
      </c>
      <c r="AH202" t="e">
        <f>#REF!</f>
        <v>#REF!</v>
      </c>
      <c r="AI202" t="e">
        <f>#REF!</f>
        <v>#REF!</v>
      </c>
      <c r="AJ202" s="3" t="e">
        <f>#REF!</f>
        <v>#REF!</v>
      </c>
      <c r="AK202" s="3" t="e">
        <f>#REF!</f>
        <v>#REF!</v>
      </c>
      <c r="AL202" s="3" t="e">
        <f>#REF!</f>
        <v>#REF!</v>
      </c>
      <c r="AM202" s="3" t="e">
        <f>#REF!</f>
        <v>#REF!</v>
      </c>
      <c r="AN202" s="3" t="e">
        <f>#REF!</f>
        <v>#REF!</v>
      </c>
      <c r="AO202" s="3" t="e">
        <f>#REF!</f>
        <v>#REF!</v>
      </c>
      <c r="AP202" s="9" t="e">
        <f>VLOOKUP(AG202,#REF!,10,FALSE)</f>
        <v>#REF!</v>
      </c>
      <c r="AQ202" s="8">
        <f>SUMIFS(Capacity!$G$2:$G$2820,Capacity!$B$2:$B$2820,Demand_Modeling!AG202)</f>
        <v>0</v>
      </c>
      <c r="AS202" s="2" t="e">
        <f t="shared" si="44"/>
        <v>#REF!</v>
      </c>
      <c r="AT202" s="2" t="e">
        <f t="shared" si="45"/>
        <v>#REF!</v>
      </c>
      <c r="AU202" s="2" t="e">
        <f t="shared" si="46"/>
        <v>#REF!</v>
      </c>
      <c r="AV202" s="2" t="e">
        <f t="shared" si="47"/>
        <v>#REF!</v>
      </c>
      <c r="AW202" s="2" t="e">
        <f t="shared" si="48"/>
        <v>#REF!</v>
      </c>
      <c r="AX202" s="2" t="e">
        <f t="shared" si="49"/>
        <v>#REF!</v>
      </c>
      <c r="AY202" s="2" t="e">
        <f t="shared" si="50"/>
        <v>#REF!</v>
      </c>
      <c r="AZ202" s="10">
        <f t="shared" si="51"/>
        <v>0</v>
      </c>
      <c r="BA202" s="5" t="e">
        <f t="shared" si="52"/>
        <v>#REF!</v>
      </c>
    </row>
    <row r="203" spans="33:53" x14ac:dyDescent="0.3">
      <c r="AG203" t="e">
        <f t="shared" si="43"/>
        <v>#REF!</v>
      </c>
      <c r="AH203" t="e">
        <f>#REF!</f>
        <v>#REF!</v>
      </c>
      <c r="AI203" t="e">
        <f>#REF!</f>
        <v>#REF!</v>
      </c>
      <c r="AJ203" s="3" t="e">
        <f>#REF!</f>
        <v>#REF!</v>
      </c>
      <c r="AK203" s="3" t="e">
        <f>#REF!</f>
        <v>#REF!</v>
      </c>
      <c r="AL203" s="3" t="e">
        <f>#REF!</f>
        <v>#REF!</v>
      </c>
      <c r="AM203" s="3" t="e">
        <f>#REF!</f>
        <v>#REF!</v>
      </c>
      <c r="AN203" s="3" t="e">
        <f>#REF!</f>
        <v>#REF!</v>
      </c>
      <c r="AO203" s="3" t="e">
        <f>#REF!</f>
        <v>#REF!</v>
      </c>
      <c r="AP203" s="9" t="e">
        <f>VLOOKUP(AG203,#REF!,10,FALSE)</f>
        <v>#REF!</v>
      </c>
      <c r="AQ203" s="8">
        <f>SUMIFS(Capacity!$G$2:$G$2820,Capacity!$B$2:$B$2820,Demand_Modeling!AG203)</f>
        <v>0</v>
      </c>
      <c r="AS203" s="2" t="e">
        <f t="shared" si="44"/>
        <v>#REF!</v>
      </c>
      <c r="AT203" s="2" t="e">
        <f t="shared" si="45"/>
        <v>#REF!</v>
      </c>
      <c r="AU203" s="2" t="e">
        <f t="shared" si="46"/>
        <v>#REF!</v>
      </c>
      <c r="AV203" s="2" t="e">
        <f t="shared" si="47"/>
        <v>#REF!</v>
      </c>
      <c r="AW203" s="2" t="e">
        <f t="shared" si="48"/>
        <v>#REF!</v>
      </c>
      <c r="AX203" s="2" t="e">
        <f t="shared" si="49"/>
        <v>#REF!</v>
      </c>
      <c r="AY203" s="2" t="e">
        <f t="shared" si="50"/>
        <v>#REF!</v>
      </c>
      <c r="AZ203" s="10">
        <f t="shared" si="51"/>
        <v>0</v>
      </c>
      <c r="BA203" s="5" t="e">
        <f t="shared" si="52"/>
        <v>#REF!</v>
      </c>
    </row>
    <row r="204" spans="33:53" x14ac:dyDescent="0.3">
      <c r="AG204" t="e">
        <f t="shared" si="43"/>
        <v>#REF!</v>
      </c>
      <c r="AH204" t="e">
        <f>#REF!</f>
        <v>#REF!</v>
      </c>
      <c r="AI204" t="e">
        <f>#REF!</f>
        <v>#REF!</v>
      </c>
      <c r="AJ204" s="3" t="e">
        <f>#REF!</f>
        <v>#REF!</v>
      </c>
      <c r="AK204" s="3" t="e">
        <f>#REF!</f>
        <v>#REF!</v>
      </c>
      <c r="AL204" s="3" t="e">
        <f>#REF!</f>
        <v>#REF!</v>
      </c>
      <c r="AM204" s="3" t="e">
        <f>#REF!</f>
        <v>#REF!</v>
      </c>
      <c r="AN204" s="3" t="e">
        <f>#REF!</f>
        <v>#REF!</v>
      </c>
      <c r="AO204" s="3" t="e">
        <f>#REF!</f>
        <v>#REF!</v>
      </c>
      <c r="AP204" s="9" t="e">
        <f>VLOOKUP(AG204,#REF!,10,FALSE)</f>
        <v>#REF!</v>
      </c>
      <c r="AQ204" s="8">
        <f>SUMIFS(Capacity!$G$2:$G$2820,Capacity!$B$2:$B$2820,Demand_Modeling!AG204)</f>
        <v>0</v>
      </c>
      <c r="AS204" s="2" t="e">
        <f t="shared" si="44"/>
        <v>#REF!</v>
      </c>
      <c r="AT204" s="2" t="e">
        <f t="shared" si="45"/>
        <v>#REF!</v>
      </c>
      <c r="AU204" s="2" t="e">
        <f t="shared" si="46"/>
        <v>#REF!</v>
      </c>
      <c r="AV204" s="2" t="e">
        <f t="shared" si="47"/>
        <v>#REF!</v>
      </c>
      <c r="AW204" s="2" t="e">
        <f t="shared" si="48"/>
        <v>#REF!</v>
      </c>
      <c r="AX204" s="2" t="e">
        <f t="shared" si="49"/>
        <v>#REF!</v>
      </c>
      <c r="AY204" s="2" t="e">
        <f t="shared" si="50"/>
        <v>#REF!</v>
      </c>
      <c r="AZ204" s="10">
        <f t="shared" si="51"/>
        <v>0</v>
      </c>
      <c r="BA204" s="5" t="e">
        <f t="shared" si="52"/>
        <v>#REF!</v>
      </c>
    </row>
    <row r="205" spans="33:53" x14ac:dyDescent="0.3">
      <c r="AG205" t="e">
        <f t="shared" si="43"/>
        <v>#REF!</v>
      </c>
      <c r="AH205" t="e">
        <f>#REF!</f>
        <v>#REF!</v>
      </c>
      <c r="AI205" t="e">
        <f>#REF!</f>
        <v>#REF!</v>
      </c>
      <c r="AJ205" s="3" t="e">
        <f>#REF!</f>
        <v>#REF!</v>
      </c>
      <c r="AK205" s="3" t="e">
        <f>#REF!</f>
        <v>#REF!</v>
      </c>
      <c r="AL205" s="3" t="e">
        <f>#REF!</f>
        <v>#REF!</v>
      </c>
      <c r="AM205" s="3" t="e">
        <f>#REF!</f>
        <v>#REF!</v>
      </c>
      <c r="AN205" s="3" t="e">
        <f>#REF!</f>
        <v>#REF!</v>
      </c>
      <c r="AO205" s="3" t="e">
        <f>#REF!</f>
        <v>#REF!</v>
      </c>
      <c r="AP205" s="9" t="e">
        <f>VLOOKUP(AG205,#REF!,10,FALSE)</f>
        <v>#REF!</v>
      </c>
      <c r="AQ205" s="8">
        <f>SUMIFS(Capacity!$G$2:$G$2820,Capacity!$B$2:$B$2820,Demand_Modeling!AG205)</f>
        <v>0</v>
      </c>
      <c r="AS205" s="2" t="e">
        <f t="shared" si="44"/>
        <v>#REF!</v>
      </c>
      <c r="AT205" s="2" t="e">
        <f t="shared" si="45"/>
        <v>#REF!</v>
      </c>
      <c r="AU205" s="2" t="e">
        <f t="shared" si="46"/>
        <v>#REF!</v>
      </c>
      <c r="AV205" s="2" t="e">
        <f t="shared" si="47"/>
        <v>#REF!</v>
      </c>
      <c r="AW205" s="2" t="e">
        <f t="shared" si="48"/>
        <v>#REF!</v>
      </c>
      <c r="AX205" s="2" t="e">
        <f t="shared" si="49"/>
        <v>#REF!</v>
      </c>
      <c r="AY205" s="2" t="e">
        <f t="shared" si="50"/>
        <v>#REF!</v>
      </c>
      <c r="AZ205" s="10">
        <f t="shared" si="51"/>
        <v>0</v>
      </c>
      <c r="BA205" s="5" t="e">
        <f t="shared" si="52"/>
        <v>#REF!</v>
      </c>
    </row>
    <row r="206" spans="33:53" x14ac:dyDescent="0.3">
      <c r="AG206" t="e">
        <f t="shared" si="43"/>
        <v>#REF!</v>
      </c>
      <c r="AH206" t="e">
        <f>#REF!</f>
        <v>#REF!</v>
      </c>
      <c r="AI206" t="e">
        <f>#REF!</f>
        <v>#REF!</v>
      </c>
      <c r="AJ206" s="3" t="e">
        <f>#REF!</f>
        <v>#REF!</v>
      </c>
      <c r="AK206" s="3" t="e">
        <f>#REF!</f>
        <v>#REF!</v>
      </c>
      <c r="AL206" s="3" t="e">
        <f>#REF!</f>
        <v>#REF!</v>
      </c>
      <c r="AM206" s="3" t="e">
        <f>#REF!</f>
        <v>#REF!</v>
      </c>
      <c r="AN206" s="3" t="e">
        <f>#REF!</f>
        <v>#REF!</v>
      </c>
      <c r="AO206" s="3" t="e">
        <f>#REF!</f>
        <v>#REF!</v>
      </c>
      <c r="AP206" s="9" t="e">
        <f>VLOOKUP(AG206,#REF!,10,FALSE)</f>
        <v>#REF!</v>
      </c>
      <c r="AQ206" s="8">
        <f>SUMIFS(Capacity!$G$2:$G$2820,Capacity!$B$2:$B$2820,Demand_Modeling!AG206)</f>
        <v>0</v>
      </c>
      <c r="AS206" s="2" t="e">
        <f t="shared" si="44"/>
        <v>#REF!</v>
      </c>
      <c r="AT206" s="2" t="e">
        <f t="shared" si="45"/>
        <v>#REF!</v>
      </c>
      <c r="AU206" s="2" t="e">
        <f t="shared" si="46"/>
        <v>#REF!</v>
      </c>
      <c r="AV206" s="2" t="e">
        <f t="shared" si="47"/>
        <v>#REF!</v>
      </c>
      <c r="AW206" s="2" t="e">
        <f t="shared" si="48"/>
        <v>#REF!</v>
      </c>
      <c r="AX206" s="2" t="e">
        <f t="shared" si="49"/>
        <v>#REF!</v>
      </c>
      <c r="AY206" s="2" t="e">
        <f t="shared" si="50"/>
        <v>#REF!</v>
      </c>
      <c r="AZ206" s="10">
        <f t="shared" si="51"/>
        <v>0</v>
      </c>
      <c r="BA206" s="5" t="e">
        <f t="shared" si="52"/>
        <v>#REF!</v>
      </c>
    </row>
    <row r="207" spans="33:53" x14ac:dyDescent="0.3">
      <c r="AG207" t="e">
        <f t="shared" ref="AG207:AG270" si="53">AH207&amp;"-"&amp;AI207</f>
        <v>#REF!</v>
      </c>
      <c r="AH207" t="e">
        <f>#REF!</f>
        <v>#REF!</v>
      </c>
      <c r="AI207" t="e">
        <f>#REF!</f>
        <v>#REF!</v>
      </c>
      <c r="AJ207" s="3" t="e">
        <f>#REF!</f>
        <v>#REF!</v>
      </c>
      <c r="AK207" s="3" t="e">
        <f>#REF!</f>
        <v>#REF!</v>
      </c>
      <c r="AL207" s="3" t="e">
        <f>#REF!</f>
        <v>#REF!</v>
      </c>
      <c r="AM207" s="3" t="e">
        <f>#REF!</f>
        <v>#REF!</v>
      </c>
      <c r="AN207" s="3" t="e">
        <f>#REF!</f>
        <v>#REF!</v>
      </c>
      <c r="AO207" s="3" t="e">
        <f>#REF!</f>
        <v>#REF!</v>
      </c>
      <c r="AP207" s="9" t="e">
        <f>VLOOKUP(AG207,#REF!,10,FALSE)</f>
        <v>#REF!</v>
      </c>
      <c r="AQ207" s="8">
        <f>SUMIFS(Capacity!$G$2:$G$2820,Capacity!$B$2:$B$2820,Demand_Modeling!AG207)</f>
        <v>0</v>
      </c>
      <c r="AS207" s="2" t="e">
        <f t="shared" ref="AS207:AS270" si="54">AJ207*$AP207</f>
        <v>#REF!</v>
      </c>
      <c r="AT207" s="2" t="e">
        <f t="shared" ref="AT207:AT270" si="55">AK207*$AP207</f>
        <v>#REF!</v>
      </c>
      <c r="AU207" s="2" t="e">
        <f t="shared" ref="AU207:AU270" si="56">AL207*$AP207</f>
        <v>#REF!</v>
      </c>
      <c r="AV207" s="2" t="e">
        <f t="shared" ref="AV207:AV270" si="57">AM207*$AP207</f>
        <v>#REF!</v>
      </c>
      <c r="AW207" s="2" t="e">
        <f t="shared" ref="AW207:AW270" si="58">AN207*$AP207</f>
        <v>#REF!</v>
      </c>
      <c r="AX207" s="2" t="e">
        <f t="shared" ref="AX207:AX270" si="59">AO207*$AP207</f>
        <v>#REF!</v>
      </c>
      <c r="AY207" s="2" t="e">
        <f t="shared" ref="AY207:AY270" si="60">SUM(AS207:AX207)</f>
        <v>#REF!</v>
      </c>
      <c r="AZ207" s="10">
        <f t="shared" ref="AZ207:AZ270" si="61">AQ207</f>
        <v>0</v>
      </c>
      <c r="BA207" s="5" t="e">
        <f t="shared" ref="BA207:BA270" si="62">AY207/AZ207</f>
        <v>#REF!</v>
      </c>
    </row>
    <row r="208" spans="33:53" x14ac:dyDescent="0.3">
      <c r="AG208" t="e">
        <f t="shared" si="53"/>
        <v>#REF!</v>
      </c>
      <c r="AH208" t="e">
        <f>#REF!</f>
        <v>#REF!</v>
      </c>
      <c r="AI208" t="e">
        <f>#REF!</f>
        <v>#REF!</v>
      </c>
      <c r="AJ208" s="3" t="e">
        <f>#REF!</f>
        <v>#REF!</v>
      </c>
      <c r="AK208" s="3" t="e">
        <f>#REF!</f>
        <v>#REF!</v>
      </c>
      <c r="AL208" s="3" t="e">
        <f>#REF!</f>
        <v>#REF!</v>
      </c>
      <c r="AM208" s="3" t="e">
        <f>#REF!</f>
        <v>#REF!</v>
      </c>
      <c r="AN208" s="3" t="e">
        <f>#REF!</f>
        <v>#REF!</v>
      </c>
      <c r="AO208" s="3" t="e">
        <f>#REF!</f>
        <v>#REF!</v>
      </c>
      <c r="AP208" s="9" t="e">
        <f>VLOOKUP(AG208,#REF!,10,FALSE)</f>
        <v>#REF!</v>
      </c>
      <c r="AQ208" s="8">
        <f>SUMIFS(Capacity!$G$2:$G$2820,Capacity!$B$2:$B$2820,Demand_Modeling!AG208)</f>
        <v>0</v>
      </c>
      <c r="AS208" s="2" t="e">
        <f t="shared" si="54"/>
        <v>#REF!</v>
      </c>
      <c r="AT208" s="2" t="e">
        <f t="shared" si="55"/>
        <v>#REF!</v>
      </c>
      <c r="AU208" s="2" t="e">
        <f t="shared" si="56"/>
        <v>#REF!</v>
      </c>
      <c r="AV208" s="2" t="e">
        <f t="shared" si="57"/>
        <v>#REF!</v>
      </c>
      <c r="AW208" s="2" t="e">
        <f t="shared" si="58"/>
        <v>#REF!</v>
      </c>
      <c r="AX208" s="2" t="e">
        <f t="shared" si="59"/>
        <v>#REF!</v>
      </c>
      <c r="AY208" s="2" t="e">
        <f t="shared" si="60"/>
        <v>#REF!</v>
      </c>
      <c r="AZ208" s="10">
        <f t="shared" si="61"/>
        <v>0</v>
      </c>
      <c r="BA208" s="5" t="e">
        <f t="shared" si="62"/>
        <v>#REF!</v>
      </c>
    </row>
    <row r="209" spans="33:53" x14ac:dyDescent="0.3">
      <c r="AG209" t="e">
        <f t="shared" si="53"/>
        <v>#REF!</v>
      </c>
      <c r="AH209" t="e">
        <f>#REF!</f>
        <v>#REF!</v>
      </c>
      <c r="AI209" t="e">
        <f>#REF!</f>
        <v>#REF!</v>
      </c>
      <c r="AJ209" s="3" t="e">
        <f>#REF!</f>
        <v>#REF!</v>
      </c>
      <c r="AK209" s="3" t="e">
        <f>#REF!</f>
        <v>#REF!</v>
      </c>
      <c r="AL209" s="3" t="e">
        <f>#REF!</f>
        <v>#REF!</v>
      </c>
      <c r="AM209" s="3" t="e">
        <f>#REF!</f>
        <v>#REF!</v>
      </c>
      <c r="AN209" s="3" t="e">
        <f>#REF!</f>
        <v>#REF!</v>
      </c>
      <c r="AO209" s="3" t="e">
        <f>#REF!</f>
        <v>#REF!</v>
      </c>
      <c r="AP209" s="9" t="e">
        <f>VLOOKUP(AG209,#REF!,10,FALSE)</f>
        <v>#REF!</v>
      </c>
      <c r="AQ209" s="8">
        <f>SUMIFS(Capacity!$G$2:$G$2820,Capacity!$B$2:$B$2820,Demand_Modeling!AG209)</f>
        <v>0</v>
      </c>
      <c r="AS209" s="2" t="e">
        <f t="shared" si="54"/>
        <v>#REF!</v>
      </c>
      <c r="AT209" s="2" t="e">
        <f t="shared" si="55"/>
        <v>#REF!</v>
      </c>
      <c r="AU209" s="2" t="e">
        <f t="shared" si="56"/>
        <v>#REF!</v>
      </c>
      <c r="AV209" s="2" t="e">
        <f t="shared" si="57"/>
        <v>#REF!</v>
      </c>
      <c r="AW209" s="2" t="e">
        <f t="shared" si="58"/>
        <v>#REF!</v>
      </c>
      <c r="AX209" s="2" t="e">
        <f t="shared" si="59"/>
        <v>#REF!</v>
      </c>
      <c r="AY209" s="2" t="e">
        <f t="shared" si="60"/>
        <v>#REF!</v>
      </c>
      <c r="AZ209" s="10">
        <f t="shared" si="61"/>
        <v>0</v>
      </c>
      <c r="BA209" s="5" t="e">
        <f t="shared" si="62"/>
        <v>#REF!</v>
      </c>
    </row>
    <row r="210" spans="33:53" x14ac:dyDescent="0.3">
      <c r="AG210" t="e">
        <f t="shared" si="53"/>
        <v>#REF!</v>
      </c>
      <c r="AH210" t="e">
        <f>#REF!</f>
        <v>#REF!</v>
      </c>
      <c r="AI210" t="e">
        <f>#REF!</f>
        <v>#REF!</v>
      </c>
      <c r="AJ210" s="3" t="e">
        <f>#REF!</f>
        <v>#REF!</v>
      </c>
      <c r="AK210" s="3" t="e">
        <f>#REF!</f>
        <v>#REF!</v>
      </c>
      <c r="AL210" s="3" t="e">
        <f>#REF!</f>
        <v>#REF!</v>
      </c>
      <c r="AM210" s="3" t="e">
        <f>#REF!</f>
        <v>#REF!</v>
      </c>
      <c r="AN210" s="3" t="e">
        <f>#REF!</f>
        <v>#REF!</v>
      </c>
      <c r="AO210" s="3" t="e">
        <f>#REF!</f>
        <v>#REF!</v>
      </c>
      <c r="AP210" s="9" t="e">
        <f>VLOOKUP(AG210,#REF!,10,FALSE)</f>
        <v>#REF!</v>
      </c>
      <c r="AQ210" s="8">
        <f>SUMIFS(Capacity!$G$2:$G$2820,Capacity!$B$2:$B$2820,Demand_Modeling!AG210)</f>
        <v>0</v>
      </c>
      <c r="AS210" s="2" t="e">
        <f t="shared" si="54"/>
        <v>#REF!</v>
      </c>
      <c r="AT210" s="2" t="e">
        <f t="shared" si="55"/>
        <v>#REF!</v>
      </c>
      <c r="AU210" s="2" t="e">
        <f t="shared" si="56"/>
        <v>#REF!</v>
      </c>
      <c r="AV210" s="2" t="e">
        <f t="shared" si="57"/>
        <v>#REF!</v>
      </c>
      <c r="AW210" s="2" t="e">
        <f t="shared" si="58"/>
        <v>#REF!</v>
      </c>
      <c r="AX210" s="2" t="e">
        <f t="shared" si="59"/>
        <v>#REF!</v>
      </c>
      <c r="AY210" s="2" t="e">
        <f t="shared" si="60"/>
        <v>#REF!</v>
      </c>
      <c r="AZ210" s="10">
        <f t="shared" si="61"/>
        <v>0</v>
      </c>
      <c r="BA210" s="5" t="e">
        <f t="shared" si="62"/>
        <v>#REF!</v>
      </c>
    </row>
    <row r="211" spans="33:53" x14ac:dyDescent="0.3">
      <c r="AG211" t="e">
        <f t="shared" si="53"/>
        <v>#REF!</v>
      </c>
      <c r="AH211" t="e">
        <f>#REF!</f>
        <v>#REF!</v>
      </c>
      <c r="AI211" t="e">
        <f>#REF!</f>
        <v>#REF!</v>
      </c>
      <c r="AJ211" s="3" t="e">
        <f>#REF!</f>
        <v>#REF!</v>
      </c>
      <c r="AK211" s="3" t="e">
        <f>#REF!</f>
        <v>#REF!</v>
      </c>
      <c r="AL211" s="3" t="e">
        <f>#REF!</f>
        <v>#REF!</v>
      </c>
      <c r="AM211" s="3" t="e">
        <f>#REF!</f>
        <v>#REF!</v>
      </c>
      <c r="AN211" s="3" t="e">
        <f>#REF!</f>
        <v>#REF!</v>
      </c>
      <c r="AO211" s="3" t="e">
        <f>#REF!</f>
        <v>#REF!</v>
      </c>
      <c r="AP211" s="9" t="e">
        <f>VLOOKUP(AG211,#REF!,10,FALSE)</f>
        <v>#REF!</v>
      </c>
      <c r="AQ211" s="8">
        <f>SUMIFS(Capacity!$G$2:$G$2820,Capacity!$B$2:$B$2820,Demand_Modeling!AG211)</f>
        <v>0</v>
      </c>
      <c r="AS211" s="2" t="e">
        <f t="shared" si="54"/>
        <v>#REF!</v>
      </c>
      <c r="AT211" s="2" t="e">
        <f t="shared" si="55"/>
        <v>#REF!</v>
      </c>
      <c r="AU211" s="2" t="e">
        <f t="shared" si="56"/>
        <v>#REF!</v>
      </c>
      <c r="AV211" s="2" t="e">
        <f t="shared" si="57"/>
        <v>#REF!</v>
      </c>
      <c r="AW211" s="2" t="e">
        <f t="shared" si="58"/>
        <v>#REF!</v>
      </c>
      <c r="AX211" s="2" t="e">
        <f t="shared" si="59"/>
        <v>#REF!</v>
      </c>
      <c r="AY211" s="2" t="e">
        <f t="shared" si="60"/>
        <v>#REF!</v>
      </c>
      <c r="AZ211" s="10">
        <f t="shared" si="61"/>
        <v>0</v>
      </c>
      <c r="BA211" s="5" t="e">
        <f t="shared" si="62"/>
        <v>#REF!</v>
      </c>
    </row>
    <row r="212" spans="33:53" x14ac:dyDescent="0.3">
      <c r="AG212" t="e">
        <f t="shared" si="53"/>
        <v>#REF!</v>
      </c>
      <c r="AH212" t="e">
        <f>#REF!</f>
        <v>#REF!</v>
      </c>
      <c r="AI212" t="e">
        <f>#REF!</f>
        <v>#REF!</v>
      </c>
      <c r="AJ212" s="3" t="e">
        <f>#REF!</f>
        <v>#REF!</v>
      </c>
      <c r="AK212" s="3" t="e">
        <f>#REF!</f>
        <v>#REF!</v>
      </c>
      <c r="AL212" s="3" t="e">
        <f>#REF!</f>
        <v>#REF!</v>
      </c>
      <c r="AM212" s="3" t="e">
        <f>#REF!</f>
        <v>#REF!</v>
      </c>
      <c r="AN212" s="3" t="e">
        <f>#REF!</f>
        <v>#REF!</v>
      </c>
      <c r="AO212" s="3" t="e">
        <f>#REF!</f>
        <v>#REF!</v>
      </c>
      <c r="AP212" s="9" t="e">
        <f>VLOOKUP(AG212,#REF!,10,FALSE)</f>
        <v>#REF!</v>
      </c>
      <c r="AQ212" s="8">
        <f>SUMIFS(Capacity!$G$2:$G$2820,Capacity!$B$2:$B$2820,Demand_Modeling!AG212)</f>
        <v>0</v>
      </c>
      <c r="AS212" s="2" t="e">
        <f t="shared" si="54"/>
        <v>#REF!</v>
      </c>
      <c r="AT212" s="2" t="e">
        <f t="shared" si="55"/>
        <v>#REF!</v>
      </c>
      <c r="AU212" s="2" t="e">
        <f t="shared" si="56"/>
        <v>#REF!</v>
      </c>
      <c r="AV212" s="2" t="e">
        <f t="shared" si="57"/>
        <v>#REF!</v>
      </c>
      <c r="AW212" s="2" t="e">
        <f t="shared" si="58"/>
        <v>#REF!</v>
      </c>
      <c r="AX212" s="2" t="e">
        <f t="shared" si="59"/>
        <v>#REF!</v>
      </c>
      <c r="AY212" s="2" t="e">
        <f t="shared" si="60"/>
        <v>#REF!</v>
      </c>
      <c r="AZ212" s="10">
        <f t="shared" si="61"/>
        <v>0</v>
      </c>
      <c r="BA212" s="5" t="e">
        <f t="shared" si="62"/>
        <v>#REF!</v>
      </c>
    </row>
    <row r="213" spans="33:53" x14ac:dyDescent="0.3">
      <c r="AG213" t="e">
        <f t="shared" si="53"/>
        <v>#REF!</v>
      </c>
      <c r="AH213" t="e">
        <f>#REF!</f>
        <v>#REF!</v>
      </c>
      <c r="AI213" t="e">
        <f>#REF!</f>
        <v>#REF!</v>
      </c>
      <c r="AJ213" s="3" t="e">
        <f>#REF!</f>
        <v>#REF!</v>
      </c>
      <c r="AK213" s="3" t="e">
        <f>#REF!</f>
        <v>#REF!</v>
      </c>
      <c r="AL213" s="3" t="e">
        <f>#REF!</f>
        <v>#REF!</v>
      </c>
      <c r="AM213" s="3" t="e">
        <f>#REF!</f>
        <v>#REF!</v>
      </c>
      <c r="AN213" s="3" t="e">
        <f>#REF!</f>
        <v>#REF!</v>
      </c>
      <c r="AO213" s="3" t="e">
        <f>#REF!</f>
        <v>#REF!</v>
      </c>
      <c r="AP213" s="9" t="e">
        <f>VLOOKUP(AG213,#REF!,10,FALSE)</f>
        <v>#REF!</v>
      </c>
      <c r="AQ213" s="8">
        <f>SUMIFS(Capacity!$G$2:$G$2820,Capacity!$B$2:$B$2820,Demand_Modeling!AG213)</f>
        <v>0</v>
      </c>
      <c r="AS213" s="2" t="e">
        <f t="shared" si="54"/>
        <v>#REF!</v>
      </c>
      <c r="AT213" s="2" t="e">
        <f t="shared" si="55"/>
        <v>#REF!</v>
      </c>
      <c r="AU213" s="2" t="e">
        <f t="shared" si="56"/>
        <v>#REF!</v>
      </c>
      <c r="AV213" s="2" t="e">
        <f t="shared" si="57"/>
        <v>#REF!</v>
      </c>
      <c r="AW213" s="2" t="e">
        <f t="shared" si="58"/>
        <v>#REF!</v>
      </c>
      <c r="AX213" s="2" t="e">
        <f t="shared" si="59"/>
        <v>#REF!</v>
      </c>
      <c r="AY213" s="2" t="e">
        <f t="shared" si="60"/>
        <v>#REF!</v>
      </c>
      <c r="AZ213" s="10">
        <f t="shared" si="61"/>
        <v>0</v>
      </c>
      <c r="BA213" s="5" t="e">
        <f t="shared" si="62"/>
        <v>#REF!</v>
      </c>
    </row>
    <row r="214" spans="33:53" x14ac:dyDescent="0.3">
      <c r="AG214" t="e">
        <f t="shared" si="53"/>
        <v>#REF!</v>
      </c>
      <c r="AH214" t="e">
        <f>#REF!</f>
        <v>#REF!</v>
      </c>
      <c r="AI214" t="e">
        <f>#REF!</f>
        <v>#REF!</v>
      </c>
      <c r="AJ214" s="3" t="e">
        <f>#REF!</f>
        <v>#REF!</v>
      </c>
      <c r="AK214" s="3" t="e">
        <f>#REF!</f>
        <v>#REF!</v>
      </c>
      <c r="AL214" s="3" t="e">
        <f>#REF!</f>
        <v>#REF!</v>
      </c>
      <c r="AM214" s="3" t="e">
        <f>#REF!</f>
        <v>#REF!</v>
      </c>
      <c r="AN214" s="3" t="e">
        <f>#REF!</f>
        <v>#REF!</v>
      </c>
      <c r="AO214" s="3" t="e">
        <f>#REF!</f>
        <v>#REF!</v>
      </c>
      <c r="AP214" s="9" t="e">
        <f>VLOOKUP(AG214,#REF!,10,FALSE)</f>
        <v>#REF!</v>
      </c>
      <c r="AQ214" s="8">
        <f>SUMIFS(Capacity!$G$2:$G$2820,Capacity!$B$2:$B$2820,Demand_Modeling!AG214)</f>
        <v>0</v>
      </c>
      <c r="AS214" s="2" t="e">
        <f t="shared" si="54"/>
        <v>#REF!</v>
      </c>
      <c r="AT214" s="2" t="e">
        <f t="shared" si="55"/>
        <v>#REF!</v>
      </c>
      <c r="AU214" s="2" t="e">
        <f t="shared" si="56"/>
        <v>#REF!</v>
      </c>
      <c r="AV214" s="2" t="e">
        <f t="shared" si="57"/>
        <v>#REF!</v>
      </c>
      <c r="AW214" s="2" t="e">
        <f t="shared" si="58"/>
        <v>#REF!</v>
      </c>
      <c r="AX214" s="2" t="e">
        <f t="shared" si="59"/>
        <v>#REF!</v>
      </c>
      <c r="AY214" s="2" t="e">
        <f t="shared" si="60"/>
        <v>#REF!</v>
      </c>
      <c r="AZ214" s="10">
        <f t="shared" si="61"/>
        <v>0</v>
      </c>
      <c r="BA214" s="5" t="e">
        <f t="shared" si="62"/>
        <v>#REF!</v>
      </c>
    </row>
    <row r="215" spans="33:53" x14ac:dyDescent="0.3">
      <c r="AG215" t="e">
        <f t="shared" si="53"/>
        <v>#REF!</v>
      </c>
      <c r="AH215" t="e">
        <f>#REF!</f>
        <v>#REF!</v>
      </c>
      <c r="AI215" t="e">
        <f>#REF!</f>
        <v>#REF!</v>
      </c>
      <c r="AJ215" s="3" t="e">
        <f>#REF!</f>
        <v>#REF!</v>
      </c>
      <c r="AK215" s="3" t="e">
        <f>#REF!</f>
        <v>#REF!</v>
      </c>
      <c r="AL215" s="3" t="e">
        <f>#REF!</f>
        <v>#REF!</v>
      </c>
      <c r="AM215" s="3" t="e">
        <f>#REF!</f>
        <v>#REF!</v>
      </c>
      <c r="AN215" s="3" t="e">
        <f>#REF!</f>
        <v>#REF!</v>
      </c>
      <c r="AO215" s="3" t="e">
        <f>#REF!</f>
        <v>#REF!</v>
      </c>
      <c r="AP215" s="9" t="e">
        <f>VLOOKUP(AG215,#REF!,10,FALSE)</f>
        <v>#REF!</v>
      </c>
      <c r="AQ215" s="8">
        <f>SUMIFS(Capacity!$G$2:$G$2820,Capacity!$B$2:$B$2820,Demand_Modeling!AG215)</f>
        <v>0</v>
      </c>
      <c r="AS215" s="2" t="e">
        <f t="shared" si="54"/>
        <v>#REF!</v>
      </c>
      <c r="AT215" s="2" t="e">
        <f t="shared" si="55"/>
        <v>#REF!</v>
      </c>
      <c r="AU215" s="2" t="e">
        <f t="shared" si="56"/>
        <v>#REF!</v>
      </c>
      <c r="AV215" s="2" t="e">
        <f t="shared" si="57"/>
        <v>#REF!</v>
      </c>
      <c r="AW215" s="2" t="e">
        <f t="shared" si="58"/>
        <v>#REF!</v>
      </c>
      <c r="AX215" s="2" t="e">
        <f t="shared" si="59"/>
        <v>#REF!</v>
      </c>
      <c r="AY215" s="2" t="e">
        <f t="shared" si="60"/>
        <v>#REF!</v>
      </c>
      <c r="AZ215" s="10">
        <f t="shared" si="61"/>
        <v>0</v>
      </c>
      <c r="BA215" s="5" t="e">
        <f t="shared" si="62"/>
        <v>#REF!</v>
      </c>
    </row>
    <row r="216" spans="33:53" x14ac:dyDescent="0.3">
      <c r="AG216" t="e">
        <f t="shared" si="53"/>
        <v>#REF!</v>
      </c>
      <c r="AH216" t="e">
        <f>#REF!</f>
        <v>#REF!</v>
      </c>
      <c r="AI216" t="e">
        <f>#REF!</f>
        <v>#REF!</v>
      </c>
      <c r="AJ216" s="3" t="e">
        <f>#REF!</f>
        <v>#REF!</v>
      </c>
      <c r="AK216" s="3" t="e">
        <f>#REF!</f>
        <v>#REF!</v>
      </c>
      <c r="AL216" s="3" t="e">
        <f>#REF!</f>
        <v>#REF!</v>
      </c>
      <c r="AM216" s="3" t="e">
        <f>#REF!</f>
        <v>#REF!</v>
      </c>
      <c r="AN216" s="3" t="e">
        <f>#REF!</f>
        <v>#REF!</v>
      </c>
      <c r="AO216" s="3" t="e">
        <f>#REF!</f>
        <v>#REF!</v>
      </c>
      <c r="AP216" s="9" t="e">
        <f>VLOOKUP(AG216,#REF!,10,FALSE)</f>
        <v>#REF!</v>
      </c>
      <c r="AQ216" s="8">
        <f>SUMIFS(Capacity!$G$2:$G$2820,Capacity!$B$2:$B$2820,Demand_Modeling!AG216)</f>
        <v>0</v>
      </c>
      <c r="AS216" s="2" t="e">
        <f t="shared" si="54"/>
        <v>#REF!</v>
      </c>
      <c r="AT216" s="2" t="e">
        <f t="shared" si="55"/>
        <v>#REF!</v>
      </c>
      <c r="AU216" s="2" t="e">
        <f t="shared" si="56"/>
        <v>#REF!</v>
      </c>
      <c r="AV216" s="2" t="e">
        <f t="shared" si="57"/>
        <v>#REF!</v>
      </c>
      <c r="AW216" s="2" t="e">
        <f t="shared" si="58"/>
        <v>#REF!</v>
      </c>
      <c r="AX216" s="2" t="e">
        <f t="shared" si="59"/>
        <v>#REF!</v>
      </c>
      <c r="AY216" s="2" t="e">
        <f t="shared" si="60"/>
        <v>#REF!</v>
      </c>
      <c r="AZ216" s="10">
        <f t="shared" si="61"/>
        <v>0</v>
      </c>
      <c r="BA216" s="5" t="e">
        <f t="shared" si="62"/>
        <v>#REF!</v>
      </c>
    </row>
    <row r="217" spans="33:53" x14ac:dyDescent="0.3">
      <c r="AG217" t="e">
        <f t="shared" si="53"/>
        <v>#REF!</v>
      </c>
      <c r="AH217" t="e">
        <f>#REF!</f>
        <v>#REF!</v>
      </c>
      <c r="AI217" t="e">
        <f>#REF!</f>
        <v>#REF!</v>
      </c>
      <c r="AJ217" s="3" t="e">
        <f>#REF!</f>
        <v>#REF!</v>
      </c>
      <c r="AK217" s="3" t="e">
        <f>#REF!</f>
        <v>#REF!</v>
      </c>
      <c r="AL217" s="3" t="e">
        <f>#REF!</f>
        <v>#REF!</v>
      </c>
      <c r="AM217" s="3" t="e">
        <f>#REF!</f>
        <v>#REF!</v>
      </c>
      <c r="AN217" s="3" t="e">
        <f>#REF!</f>
        <v>#REF!</v>
      </c>
      <c r="AO217" s="3" t="e">
        <f>#REF!</f>
        <v>#REF!</v>
      </c>
      <c r="AP217" s="9" t="e">
        <f>VLOOKUP(AG217,#REF!,10,FALSE)</f>
        <v>#REF!</v>
      </c>
      <c r="AQ217" s="8">
        <f>SUMIFS(Capacity!$G$2:$G$2820,Capacity!$B$2:$B$2820,Demand_Modeling!AG217)</f>
        <v>0</v>
      </c>
      <c r="AS217" s="2" t="e">
        <f t="shared" si="54"/>
        <v>#REF!</v>
      </c>
      <c r="AT217" s="2" t="e">
        <f t="shared" si="55"/>
        <v>#REF!</v>
      </c>
      <c r="AU217" s="2" t="e">
        <f t="shared" si="56"/>
        <v>#REF!</v>
      </c>
      <c r="AV217" s="2" t="e">
        <f t="shared" si="57"/>
        <v>#REF!</v>
      </c>
      <c r="AW217" s="2" t="e">
        <f t="shared" si="58"/>
        <v>#REF!</v>
      </c>
      <c r="AX217" s="2" t="e">
        <f t="shared" si="59"/>
        <v>#REF!</v>
      </c>
      <c r="AY217" s="2" t="e">
        <f t="shared" si="60"/>
        <v>#REF!</v>
      </c>
      <c r="AZ217" s="10">
        <f t="shared" si="61"/>
        <v>0</v>
      </c>
      <c r="BA217" s="5" t="e">
        <f t="shared" si="62"/>
        <v>#REF!</v>
      </c>
    </row>
    <row r="218" spans="33:53" x14ac:dyDescent="0.3">
      <c r="AG218" t="e">
        <f t="shared" si="53"/>
        <v>#REF!</v>
      </c>
      <c r="AH218" t="e">
        <f>#REF!</f>
        <v>#REF!</v>
      </c>
      <c r="AI218" t="e">
        <f>#REF!</f>
        <v>#REF!</v>
      </c>
      <c r="AJ218" s="3" t="e">
        <f>#REF!</f>
        <v>#REF!</v>
      </c>
      <c r="AK218" s="3" t="e">
        <f>#REF!</f>
        <v>#REF!</v>
      </c>
      <c r="AL218" s="3" t="e">
        <f>#REF!</f>
        <v>#REF!</v>
      </c>
      <c r="AM218" s="3" t="e">
        <f>#REF!</f>
        <v>#REF!</v>
      </c>
      <c r="AN218" s="3" t="e">
        <f>#REF!</f>
        <v>#REF!</v>
      </c>
      <c r="AO218" s="3" t="e">
        <f>#REF!</f>
        <v>#REF!</v>
      </c>
      <c r="AP218" s="9" t="e">
        <f>VLOOKUP(AG218,#REF!,10,FALSE)</f>
        <v>#REF!</v>
      </c>
      <c r="AQ218" s="8">
        <f>SUMIFS(Capacity!$G$2:$G$2820,Capacity!$B$2:$B$2820,Demand_Modeling!AG218)</f>
        <v>0</v>
      </c>
      <c r="AS218" s="2" t="e">
        <f t="shared" si="54"/>
        <v>#REF!</v>
      </c>
      <c r="AT218" s="2" t="e">
        <f t="shared" si="55"/>
        <v>#REF!</v>
      </c>
      <c r="AU218" s="2" t="e">
        <f t="shared" si="56"/>
        <v>#REF!</v>
      </c>
      <c r="AV218" s="2" t="e">
        <f t="shared" si="57"/>
        <v>#REF!</v>
      </c>
      <c r="AW218" s="2" t="e">
        <f t="shared" si="58"/>
        <v>#REF!</v>
      </c>
      <c r="AX218" s="2" t="e">
        <f t="shared" si="59"/>
        <v>#REF!</v>
      </c>
      <c r="AY218" s="2" t="e">
        <f t="shared" si="60"/>
        <v>#REF!</v>
      </c>
      <c r="AZ218" s="10">
        <f t="shared" si="61"/>
        <v>0</v>
      </c>
      <c r="BA218" s="5" t="e">
        <f t="shared" si="62"/>
        <v>#REF!</v>
      </c>
    </row>
    <row r="219" spans="33:53" x14ac:dyDescent="0.3">
      <c r="AG219" t="e">
        <f t="shared" si="53"/>
        <v>#REF!</v>
      </c>
      <c r="AH219" t="e">
        <f>#REF!</f>
        <v>#REF!</v>
      </c>
      <c r="AI219" t="e">
        <f>#REF!</f>
        <v>#REF!</v>
      </c>
      <c r="AJ219" s="3" t="e">
        <f>#REF!</f>
        <v>#REF!</v>
      </c>
      <c r="AK219" s="3" t="e">
        <f>#REF!</f>
        <v>#REF!</v>
      </c>
      <c r="AL219" s="3" t="e">
        <f>#REF!</f>
        <v>#REF!</v>
      </c>
      <c r="AM219" s="3" t="e">
        <f>#REF!</f>
        <v>#REF!</v>
      </c>
      <c r="AN219" s="3" t="e">
        <f>#REF!</f>
        <v>#REF!</v>
      </c>
      <c r="AO219" s="3" t="e">
        <f>#REF!</f>
        <v>#REF!</v>
      </c>
      <c r="AP219" s="9" t="e">
        <f>VLOOKUP(AG219,#REF!,10,FALSE)</f>
        <v>#REF!</v>
      </c>
      <c r="AQ219" s="8">
        <f>SUMIFS(Capacity!$G$2:$G$2820,Capacity!$B$2:$B$2820,Demand_Modeling!AG219)</f>
        <v>0</v>
      </c>
      <c r="AS219" s="2" t="e">
        <f t="shared" si="54"/>
        <v>#REF!</v>
      </c>
      <c r="AT219" s="2" t="e">
        <f t="shared" si="55"/>
        <v>#REF!</v>
      </c>
      <c r="AU219" s="2" t="e">
        <f t="shared" si="56"/>
        <v>#REF!</v>
      </c>
      <c r="AV219" s="2" t="e">
        <f t="shared" si="57"/>
        <v>#REF!</v>
      </c>
      <c r="AW219" s="2" t="e">
        <f t="shared" si="58"/>
        <v>#REF!</v>
      </c>
      <c r="AX219" s="2" t="e">
        <f t="shared" si="59"/>
        <v>#REF!</v>
      </c>
      <c r="AY219" s="2" t="e">
        <f t="shared" si="60"/>
        <v>#REF!</v>
      </c>
      <c r="AZ219" s="10">
        <f t="shared" si="61"/>
        <v>0</v>
      </c>
      <c r="BA219" s="5" t="e">
        <f t="shared" si="62"/>
        <v>#REF!</v>
      </c>
    </row>
    <row r="220" spans="33:53" x14ac:dyDescent="0.3">
      <c r="AG220" t="e">
        <f t="shared" si="53"/>
        <v>#REF!</v>
      </c>
      <c r="AH220" t="e">
        <f>#REF!</f>
        <v>#REF!</v>
      </c>
      <c r="AI220" t="e">
        <f>#REF!</f>
        <v>#REF!</v>
      </c>
      <c r="AJ220" s="3" t="e">
        <f>#REF!</f>
        <v>#REF!</v>
      </c>
      <c r="AK220" s="3" t="e">
        <f>#REF!</f>
        <v>#REF!</v>
      </c>
      <c r="AL220" s="3" t="e">
        <f>#REF!</f>
        <v>#REF!</v>
      </c>
      <c r="AM220" s="3" t="e">
        <f>#REF!</f>
        <v>#REF!</v>
      </c>
      <c r="AN220" s="3" t="e">
        <f>#REF!</f>
        <v>#REF!</v>
      </c>
      <c r="AO220" s="3" t="e">
        <f>#REF!</f>
        <v>#REF!</v>
      </c>
      <c r="AP220" s="9" t="e">
        <f>VLOOKUP(AG220,#REF!,10,FALSE)</f>
        <v>#REF!</v>
      </c>
      <c r="AQ220" s="8">
        <f>SUMIFS(Capacity!$G$2:$G$2820,Capacity!$B$2:$B$2820,Demand_Modeling!AG220)</f>
        <v>0</v>
      </c>
      <c r="AS220" s="2" t="e">
        <f t="shared" si="54"/>
        <v>#REF!</v>
      </c>
      <c r="AT220" s="2" t="e">
        <f t="shared" si="55"/>
        <v>#REF!</v>
      </c>
      <c r="AU220" s="2" t="e">
        <f t="shared" si="56"/>
        <v>#REF!</v>
      </c>
      <c r="AV220" s="2" t="e">
        <f t="shared" si="57"/>
        <v>#REF!</v>
      </c>
      <c r="AW220" s="2" t="e">
        <f t="shared" si="58"/>
        <v>#REF!</v>
      </c>
      <c r="AX220" s="2" t="e">
        <f t="shared" si="59"/>
        <v>#REF!</v>
      </c>
      <c r="AY220" s="2" t="e">
        <f t="shared" si="60"/>
        <v>#REF!</v>
      </c>
      <c r="AZ220" s="10">
        <f t="shared" si="61"/>
        <v>0</v>
      </c>
      <c r="BA220" s="5" t="e">
        <f t="shared" si="62"/>
        <v>#REF!</v>
      </c>
    </row>
    <row r="221" spans="33:53" x14ac:dyDescent="0.3">
      <c r="AG221" t="e">
        <f t="shared" si="53"/>
        <v>#REF!</v>
      </c>
      <c r="AH221" t="e">
        <f>#REF!</f>
        <v>#REF!</v>
      </c>
      <c r="AI221" t="e">
        <f>#REF!</f>
        <v>#REF!</v>
      </c>
      <c r="AJ221" s="3" t="e">
        <f>#REF!</f>
        <v>#REF!</v>
      </c>
      <c r="AK221" s="3" t="e">
        <f>#REF!</f>
        <v>#REF!</v>
      </c>
      <c r="AL221" s="3" t="e">
        <f>#REF!</f>
        <v>#REF!</v>
      </c>
      <c r="AM221" s="3" t="e">
        <f>#REF!</f>
        <v>#REF!</v>
      </c>
      <c r="AN221" s="3" t="e">
        <f>#REF!</f>
        <v>#REF!</v>
      </c>
      <c r="AO221" s="3" t="e">
        <f>#REF!</f>
        <v>#REF!</v>
      </c>
      <c r="AP221" s="9" t="e">
        <f>VLOOKUP(AG221,#REF!,10,FALSE)</f>
        <v>#REF!</v>
      </c>
      <c r="AQ221" s="8">
        <f>SUMIFS(Capacity!$G$2:$G$2820,Capacity!$B$2:$B$2820,Demand_Modeling!AG221)</f>
        <v>0</v>
      </c>
      <c r="AS221" s="2" t="e">
        <f t="shared" si="54"/>
        <v>#REF!</v>
      </c>
      <c r="AT221" s="2" t="e">
        <f t="shared" si="55"/>
        <v>#REF!</v>
      </c>
      <c r="AU221" s="2" t="e">
        <f t="shared" si="56"/>
        <v>#REF!</v>
      </c>
      <c r="AV221" s="2" t="e">
        <f t="shared" si="57"/>
        <v>#REF!</v>
      </c>
      <c r="AW221" s="2" t="e">
        <f t="shared" si="58"/>
        <v>#REF!</v>
      </c>
      <c r="AX221" s="2" t="e">
        <f t="shared" si="59"/>
        <v>#REF!</v>
      </c>
      <c r="AY221" s="2" t="e">
        <f t="shared" si="60"/>
        <v>#REF!</v>
      </c>
      <c r="AZ221" s="10">
        <f t="shared" si="61"/>
        <v>0</v>
      </c>
      <c r="BA221" s="5" t="e">
        <f t="shared" si="62"/>
        <v>#REF!</v>
      </c>
    </row>
    <row r="222" spans="33:53" x14ac:dyDescent="0.3">
      <c r="AG222" t="e">
        <f t="shared" si="53"/>
        <v>#REF!</v>
      </c>
      <c r="AH222" t="e">
        <f>#REF!</f>
        <v>#REF!</v>
      </c>
      <c r="AI222" t="e">
        <f>#REF!</f>
        <v>#REF!</v>
      </c>
      <c r="AJ222" s="3" t="e">
        <f>#REF!</f>
        <v>#REF!</v>
      </c>
      <c r="AK222" s="3" t="e">
        <f>#REF!</f>
        <v>#REF!</v>
      </c>
      <c r="AL222" s="3" t="e">
        <f>#REF!</f>
        <v>#REF!</v>
      </c>
      <c r="AM222" s="3" t="e">
        <f>#REF!</f>
        <v>#REF!</v>
      </c>
      <c r="AN222" s="3" t="e">
        <f>#REF!</f>
        <v>#REF!</v>
      </c>
      <c r="AO222" s="3" t="e">
        <f>#REF!</f>
        <v>#REF!</v>
      </c>
      <c r="AP222" s="9" t="e">
        <f>VLOOKUP(AG222,#REF!,10,FALSE)</f>
        <v>#REF!</v>
      </c>
      <c r="AQ222" s="8">
        <f>SUMIFS(Capacity!$G$2:$G$2820,Capacity!$B$2:$B$2820,Demand_Modeling!AG222)</f>
        <v>0</v>
      </c>
      <c r="AS222" s="2" t="e">
        <f t="shared" si="54"/>
        <v>#REF!</v>
      </c>
      <c r="AT222" s="2" t="e">
        <f t="shared" si="55"/>
        <v>#REF!</v>
      </c>
      <c r="AU222" s="2" t="e">
        <f t="shared" si="56"/>
        <v>#REF!</v>
      </c>
      <c r="AV222" s="2" t="e">
        <f t="shared" si="57"/>
        <v>#REF!</v>
      </c>
      <c r="AW222" s="2" t="e">
        <f t="shared" si="58"/>
        <v>#REF!</v>
      </c>
      <c r="AX222" s="2" t="e">
        <f t="shared" si="59"/>
        <v>#REF!</v>
      </c>
      <c r="AY222" s="2" t="e">
        <f t="shared" si="60"/>
        <v>#REF!</v>
      </c>
      <c r="AZ222" s="10">
        <f t="shared" si="61"/>
        <v>0</v>
      </c>
      <c r="BA222" s="5" t="e">
        <f t="shared" si="62"/>
        <v>#REF!</v>
      </c>
    </row>
    <row r="223" spans="33:53" x14ac:dyDescent="0.3">
      <c r="AG223" t="e">
        <f t="shared" si="53"/>
        <v>#REF!</v>
      </c>
      <c r="AH223" t="e">
        <f>#REF!</f>
        <v>#REF!</v>
      </c>
      <c r="AI223" t="e">
        <f>#REF!</f>
        <v>#REF!</v>
      </c>
      <c r="AJ223" s="3" t="e">
        <f>#REF!</f>
        <v>#REF!</v>
      </c>
      <c r="AK223" s="3" t="e">
        <f>#REF!</f>
        <v>#REF!</v>
      </c>
      <c r="AL223" s="3" t="e">
        <f>#REF!</f>
        <v>#REF!</v>
      </c>
      <c r="AM223" s="3" t="e">
        <f>#REF!</f>
        <v>#REF!</v>
      </c>
      <c r="AN223" s="3" t="e">
        <f>#REF!</f>
        <v>#REF!</v>
      </c>
      <c r="AO223" s="3" t="e">
        <f>#REF!</f>
        <v>#REF!</v>
      </c>
      <c r="AP223" s="9" t="e">
        <f>VLOOKUP(AG223,#REF!,10,FALSE)</f>
        <v>#REF!</v>
      </c>
      <c r="AQ223" s="8">
        <f>SUMIFS(Capacity!$G$2:$G$2820,Capacity!$B$2:$B$2820,Demand_Modeling!AG223)</f>
        <v>0</v>
      </c>
      <c r="AS223" s="2" t="e">
        <f t="shared" si="54"/>
        <v>#REF!</v>
      </c>
      <c r="AT223" s="2" t="e">
        <f t="shared" si="55"/>
        <v>#REF!</v>
      </c>
      <c r="AU223" s="2" t="e">
        <f t="shared" si="56"/>
        <v>#REF!</v>
      </c>
      <c r="AV223" s="2" t="e">
        <f t="shared" si="57"/>
        <v>#REF!</v>
      </c>
      <c r="AW223" s="2" t="e">
        <f t="shared" si="58"/>
        <v>#REF!</v>
      </c>
      <c r="AX223" s="2" t="e">
        <f t="shared" si="59"/>
        <v>#REF!</v>
      </c>
      <c r="AY223" s="2" t="e">
        <f t="shared" si="60"/>
        <v>#REF!</v>
      </c>
      <c r="AZ223" s="10">
        <f t="shared" si="61"/>
        <v>0</v>
      </c>
      <c r="BA223" s="5" t="e">
        <f t="shared" si="62"/>
        <v>#REF!</v>
      </c>
    </row>
    <row r="224" spans="33:53" x14ac:dyDescent="0.3">
      <c r="AG224" t="e">
        <f t="shared" si="53"/>
        <v>#REF!</v>
      </c>
      <c r="AH224" t="e">
        <f>#REF!</f>
        <v>#REF!</v>
      </c>
      <c r="AI224" t="e">
        <f>#REF!</f>
        <v>#REF!</v>
      </c>
      <c r="AJ224" s="3" t="e">
        <f>#REF!</f>
        <v>#REF!</v>
      </c>
      <c r="AK224" s="3" t="e">
        <f>#REF!</f>
        <v>#REF!</v>
      </c>
      <c r="AL224" s="3" t="e">
        <f>#REF!</f>
        <v>#REF!</v>
      </c>
      <c r="AM224" s="3" t="e">
        <f>#REF!</f>
        <v>#REF!</v>
      </c>
      <c r="AN224" s="3" t="e">
        <f>#REF!</f>
        <v>#REF!</v>
      </c>
      <c r="AO224" s="3" t="e">
        <f>#REF!</f>
        <v>#REF!</v>
      </c>
      <c r="AP224" s="9" t="e">
        <f>VLOOKUP(AG224,#REF!,10,FALSE)</f>
        <v>#REF!</v>
      </c>
      <c r="AQ224" s="8">
        <f>SUMIFS(Capacity!$G$2:$G$2820,Capacity!$B$2:$B$2820,Demand_Modeling!AG224)</f>
        <v>0</v>
      </c>
      <c r="AS224" s="2" t="e">
        <f t="shared" si="54"/>
        <v>#REF!</v>
      </c>
      <c r="AT224" s="2" t="e">
        <f t="shared" si="55"/>
        <v>#REF!</v>
      </c>
      <c r="AU224" s="2" t="e">
        <f t="shared" si="56"/>
        <v>#REF!</v>
      </c>
      <c r="AV224" s="2" t="e">
        <f t="shared" si="57"/>
        <v>#REF!</v>
      </c>
      <c r="AW224" s="2" t="e">
        <f t="shared" si="58"/>
        <v>#REF!</v>
      </c>
      <c r="AX224" s="2" t="e">
        <f t="shared" si="59"/>
        <v>#REF!</v>
      </c>
      <c r="AY224" s="2" t="e">
        <f t="shared" si="60"/>
        <v>#REF!</v>
      </c>
      <c r="AZ224" s="10">
        <f t="shared" si="61"/>
        <v>0</v>
      </c>
      <c r="BA224" s="5" t="e">
        <f t="shared" si="62"/>
        <v>#REF!</v>
      </c>
    </row>
    <row r="225" spans="33:53" x14ac:dyDescent="0.3">
      <c r="AG225" t="e">
        <f t="shared" si="53"/>
        <v>#REF!</v>
      </c>
      <c r="AH225" t="e">
        <f>#REF!</f>
        <v>#REF!</v>
      </c>
      <c r="AI225" t="e">
        <f>#REF!</f>
        <v>#REF!</v>
      </c>
      <c r="AJ225" s="3" t="e">
        <f>#REF!</f>
        <v>#REF!</v>
      </c>
      <c r="AK225" s="3" t="e">
        <f>#REF!</f>
        <v>#REF!</v>
      </c>
      <c r="AL225" s="3" t="e">
        <f>#REF!</f>
        <v>#REF!</v>
      </c>
      <c r="AM225" s="3" t="e">
        <f>#REF!</f>
        <v>#REF!</v>
      </c>
      <c r="AN225" s="3" t="e">
        <f>#REF!</f>
        <v>#REF!</v>
      </c>
      <c r="AO225" s="3" t="e">
        <f>#REF!</f>
        <v>#REF!</v>
      </c>
      <c r="AP225" s="9" t="e">
        <f>VLOOKUP(AG225,#REF!,10,FALSE)</f>
        <v>#REF!</v>
      </c>
      <c r="AQ225" s="8">
        <f>SUMIFS(Capacity!$G$2:$G$2820,Capacity!$B$2:$B$2820,Demand_Modeling!AG225)</f>
        <v>0</v>
      </c>
      <c r="AS225" s="2" t="e">
        <f t="shared" si="54"/>
        <v>#REF!</v>
      </c>
      <c r="AT225" s="2" t="e">
        <f t="shared" si="55"/>
        <v>#REF!</v>
      </c>
      <c r="AU225" s="2" t="e">
        <f t="shared" si="56"/>
        <v>#REF!</v>
      </c>
      <c r="AV225" s="2" t="e">
        <f t="shared" si="57"/>
        <v>#REF!</v>
      </c>
      <c r="AW225" s="2" t="e">
        <f t="shared" si="58"/>
        <v>#REF!</v>
      </c>
      <c r="AX225" s="2" t="e">
        <f t="shared" si="59"/>
        <v>#REF!</v>
      </c>
      <c r="AY225" s="2" t="e">
        <f t="shared" si="60"/>
        <v>#REF!</v>
      </c>
      <c r="AZ225" s="10">
        <f t="shared" si="61"/>
        <v>0</v>
      </c>
      <c r="BA225" s="5" t="e">
        <f t="shared" si="62"/>
        <v>#REF!</v>
      </c>
    </row>
    <row r="226" spans="33:53" x14ac:dyDescent="0.3">
      <c r="AG226" t="e">
        <f t="shared" si="53"/>
        <v>#REF!</v>
      </c>
      <c r="AH226" t="e">
        <f>#REF!</f>
        <v>#REF!</v>
      </c>
      <c r="AI226" t="e">
        <f>#REF!</f>
        <v>#REF!</v>
      </c>
      <c r="AJ226" s="3" t="e">
        <f>#REF!</f>
        <v>#REF!</v>
      </c>
      <c r="AK226" s="3" t="e">
        <f>#REF!</f>
        <v>#REF!</v>
      </c>
      <c r="AL226" s="3" t="e">
        <f>#REF!</f>
        <v>#REF!</v>
      </c>
      <c r="AM226" s="3" t="e">
        <f>#REF!</f>
        <v>#REF!</v>
      </c>
      <c r="AN226" s="3" t="e">
        <f>#REF!</f>
        <v>#REF!</v>
      </c>
      <c r="AO226" s="3" t="e">
        <f>#REF!</f>
        <v>#REF!</v>
      </c>
      <c r="AP226" s="9" t="e">
        <f>VLOOKUP(AG226,#REF!,10,FALSE)</f>
        <v>#REF!</v>
      </c>
      <c r="AQ226" s="8">
        <f>SUMIFS(Capacity!$G$2:$G$2820,Capacity!$B$2:$B$2820,Demand_Modeling!AG226)</f>
        <v>0</v>
      </c>
      <c r="AS226" s="2" t="e">
        <f t="shared" si="54"/>
        <v>#REF!</v>
      </c>
      <c r="AT226" s="2" t="e">
        <f t="shared" si="55"/>
        <v>#REF!</v>
      </c>
      <c r="AU226" s="2" t="e">
        <f t="shared" si="56"/>
        <v>#REF!</v>
      </c>
      <c r="AV226" s="2" t="e">
        <f t="shared" si="57"/>
        <v>#REF!</v>
      </c>
      <c r="AW226" s="2" t="e">
        <f t="shared" si="58"/>
        <v>#REF!</v>
      </c>
      <c r="AX226" s="2" t="e">
        <f t="shared" si="59"/>
        <v>#REF!</v>
      </c>
      <c r="AY226" s="2" t="e">
        <f t="shared" si="60"/>
        <v>#REF!</v>
      </c>
      <c r="AZ226" s="10">
        <f t="shared" si="61"/>
        <v>0</v>
      </c>
      <c r="BA226" s="5" t="e">
        <f t="shared" si="62"/>
        <v>#REF!</v>
      </c>
    </row>
    <row r="227" spans="33:53" x14ac:dyDescent="0.3">
      <c r="AG227" t="e">
        <f t="shared" si="53"/>
        <v>#REF!</v>
      </c>
      <c r="AH227" t="e">
        <f>#REF!</f>
        <v>#REF!</v>
      </c>
      <c r="AI227" t="e">
        <f>#REF!</f>
        <v>#REF!</v>
      </c>
      <c r="AJ227" s="3" t="e">
        <f>#REF!</f>
        <v>#REF!</v>
      </c>
      <c r="AK227" s="3" t="e">
        <f>#REF!</f>
        <v>#REF!</v>
      </c>
      <c r="AL227" s="3" t="e">
        <f>#REF!</f>
        <v>#REF!</v>
      </c>
      <c r="AM227" s="3" t="e">
        <f>#REF!</f>
        <v>#REF!</v>
      </c>
      <c r="AN227" s="3" t="e">
        <f>#REF!</f>
        <v>#REF!</v>
      </c>
      <c r="AO227" s="3" t="e">
        <f>#REF!</f>
        <v>#REF!</v>
      </c>
      <c r="AP227" s="9" t="e">
        <f>VLOOKUP(AG227,#REF!,10,FALSE)</f>
        <v>#REF!</v>
      </c>
      <c r="AQ227" s="8">
        <f>SUMIFS(Capacity!$G$2:$G$2820,Capacity!$B$2:$B$2820,Demand_Modeling!AG227)</f>
        <v>0</v>
      </c>
      <c r="AS227" s="2" t="e">
        <f t="shared" si="54"/>
        <v>#REF!</v>
      </c>
      <c r="AT227" s="2" t="e">
        <f t="shared" si="55"/>
        <v>#REF!</v>
      </c>
      <c r="AU227" s="2" t="e">
        <f t="shared" si="56"/>
        <v>#REF!</v>
      </c>
      <c r="AV227" s="2" t="e">
        <f t="shared" si="57"/>
        <v>#REF!</v>
      </c>
      <c r="AW227" s="2" t="e">
        <f t="shared" si="58"/>
        <v>#REF!</v>
      </c>
      <c r="AX227" s="2" t="e">
        <f t="shared" si="59"/>
        <v>#REF!</v>
      </c>
      <c r="AY227" s="2" t="e">
        <f t="shared" si="60"/>
        <v>#REF!</v>
      </c>
      <c r="AZ227" s="10">
        <f t="shared" si="61"/>
        <v>0</v>
      </c>
      <c r="BA227" s="5" t="e">
        <f t="shared" si="62"/>
        <v>#REF!</v>
      </c>
    </row>
    <row r="228" spans="33:53" x14ac:dyDescent="0.3">
      <c r="AG228" t="e">
        <f t="shared" si="53"/>
        <v>#REF!</v>
      </c>
      <c r="AH228" t="e">
        <f>#REF!</f>
        <v>#REF!</v>
      </c>
      <c r="AI228" t="e">
        <f>#REF!</f>
        <v>#REF!</v>
      </c>
      <c r="AJ228" s="3" t="e">
        <f>#REF!</f>
        <v>#REF!</v>
      </c>
      <c r="AK228" s="3" t="e">
        <f>#REF!</f>
        <v>#REF!</v>
      </c>
      <c r="AL228" s="3" t="e">
        <f>#REF!</f>
        <v>#REF!</v>
      </c>
      <c r="AM228" s="3" t="e">
        <f>#REF!</f>
        <v>#REF!</v>
      </c>
      <c r="AN228" s="3" t="e">
        <f>#REF!</f>
        <v>#REF!</v>
      </c>
      <c r="AO228" s="3" t="e">
        <f>#REF!</f>
        <v>#REF!</v>
      </c>
      <c r="AP228" s="9" t="e">
        <f>VLOOKUP(AG228,#REF!,10,FALSE)</f>
        <v>#REF!</v>
      </c>
      <c r="AQ228" s="8">
        <f>SUMIFS(Capacity!$G$2:$G$2820,Capacity!$B$2:$B$2820,Demand_Modeling!AG228)</f>
        <v>0</v>
      </c>
      <c r="AS228" s="2" t="e">
        <f t="shared" si="54"/>
        <v>#REF!</v>
      </c>
      <c r="AT228" s="2" t="e">
        <f t="shared" si="55"/>
        <v>#REF!</v>
      </c>
      <c r="AU228" s="2" t="e">
        <f t="shared" si="56"/>
        <v>#REF!</v>
      </c>
      <c r="AV228" s="2" t="e">
        <f t="shared" si="57"/>
        <v>#REF!</v>
      </c>
      <c r="AW228" s="2" t="e">
        <f t="shared" si="58"/>
        <v>#REF!</v>
      </c>
      <c r="AX228" s="2" t="e">
        <f t="shared" si="59"/>
        <v>#REF!</v>
      </c>
      <c r="AY228" s="2" t="e">
        <f t="shared" si="60"/>
        <v>#REF!</v>
      </c>
      <c r="AZ228" s="10">
        <f t="shared" si="61"/>
        <v>0</v>
      </c>
      <c r="BA228" s="5" t="e">
        <f t="shared" si="62"/>
        <v>#REF!</v>
      </c>
    </row>
    <row r="229" spans="33:53" x14ac:dyDescent="0.3">
      <c r="AG229" t="e">
        <f t="shared" si="53"/>
        <v>#REF!</v>
      </c>
      <c r="AH229" t="e">
        <f>#REF!</f>
        <v>#REF!</v>
      </c>
      <c r="AI229" t="e">
        <f>#REF!</f>
        <v>#REF!</v>
      </c>
      <c r="AJ229" s="3" t="e">
        <f>#REF!</f>
        <v>#REF!</v>
      </c>
      <c r="AK229" s="3" t="e">
        <f>#REF!</f>
        <v>#REF!</v>
      </c>
      <c r="AL229" s="3" t="e">
        <f>#REF!</f>
        <v>#REF!</v>
      </c>
      <c r="AM229" s="3" t="e">
        <f>#REF!</f>
        <v>#REF!</v>
      </c>
      <c r="AN229" s="3" t="e">
        <f>#REF!</f>
        <v>#REF!</v>
      </c>
      <c r="AO229" s="3" t="e">
        <f>#REF!</f>
        <v>#REF!</v>
      </c>
      <c r="AP229" s="9" t="e">
        <f>VLOOKUP(AG229,#REF!,10,FALSE)</f>
        <v>#REF!</v>
      </c>
      <c r="AQ229" s="8">
        <f>SUMIFS(Capacity!$G$2:$G$2820,Capacity!$B$2:$B$2820,Demand_Modeling!AG229)</f>
        <v>0</v>
      </c>
      <c r="AS229" s="2" t="e">
        <f t="shared" si="54"/>
        <v>#REF!</v>
      </c>
      <c r="AT229" s="2" t="e">
        <f t="shared" si="55"/>
        <v>#REF!</v>
      </c>
      <c r="AU229" s="2" t="e">
        <f t="shared" si="56"/>
        <v>#REF!</v>
      </c>
      <c r="AV229" s="2" t="e">
        <f t="shared" si="57"/>
        <v>#REF!</v>
      </c>
      <c r="AW229" s="2" t="e">
        <f t="shared" si="58"/>
        <v>#REF!</v>
      </c>
      <c r="AX229" s="2" t="e">
        <f t="shared" si="59"/>
        <v>#REF!</v>
      </c>
      <c r="AY229" s="2" t="e">
        <f t="shared" si="60"/>
        <v>#REF!</v>
      </c>
      <c r="AZ229" s="10">
        <f t="shared" si="61"/>
        <v>0</v>
      </c>
      <c r="BA229" s="5" t="e">
        <f t="shared" si="62"/>
        <v>#REF!</v>
      </c>
    </row>
    <row r="230" spans="33:53" x14ac:dyDescent="0.3">
      <c r="AG230" t="e">
        <f t="shared" si="53"/>
        <v>#REF!</v>
      </c>
      <c r="AH230" t="e">
        <f>#REF!</f>
        <v>#REF!</v>
      </c>
      <c r="AI230" t="e">
        <f>#REF!</f>
        <v>#REF!</v>
      </c>
      <c r="AJ230" s="3" t="e">
        <f>#REF!</f>
        <v>#REF!</v>
      </c>
      <c r="AK230" s="3" t="e">
        <f>#REF!</f>
        <v>#REF!</v>
      </c>
      <c r="AL230" s="3" t="e">
        <f>#REF!</f>
        <v>#REF!</v>
      </c>
      <c r="AM230" s="3" t="e">
        <f>#REF!</f>
        <v>#REF!</v>
      </c>
      <c r="AN230" s="3" t="e">
        <f>#REF!</f>
        <v>#REF!</v>
      </c>
      <c r="AO230" s="3" t="e">
        <f>#REF!</f>
        <v>#REF!</v>
      </c>
      <c r="AP230" s="9" t="e">
        <f>VLOOKUP(AG230,#REF!,10,FALSE)</f>
        <v>#REF!</v>
      </c>
      <c r="AQ230" s="8">
        <f>SUMIFS(Capacity!$G$2:$G$2820,Capacity!$B$2:$B$2820,Demand_Modeling!AG230)</f>
        <v>0</v>
      </c>
      <c r="AS230" s="2" t="e">
        <f t="shared" si="54"/>
        <v>#REF!</v>
      </c>
      <c r="AT230" s="2" t="e">
        <f t="shared" si="55"/>
        <v>#REF!</v>
      </c>
      <c r="AU230" s="2" t="e">
        <f t="shared" si="56"/>
        <v>#REF!</v>
      </c>
      <c r="AV230" s="2" t="e">
        <f t="shared" si="57"/>
        <v>#REF!</v>
      </c>
      <c r="AW230" s="2" t="e">
        <f t="shared" si="58"/>
        <v>#REF!</v>
      </c>
      <c r="AX230" s="2" t="e">
        <f t="shared" si="59"/>
        <v>#REF!</v>
      </c>
      <c r="AY230" s="2" t="e">
        <f t="shared" si="60"/>
        <v>#REF!</v>
      </c>
      <c r="AZ230" s="10">
        <f t="shared" si="61"/>
        <v>0</v>
      </c>
      <c r="BA230" s="5" t="e">
        <f t="shared" si="62"/>
        <v>#REF!</v>
      </c>
    </row>
    <row r="231" spans="33:53" x14ac:dyDescent="0.3">
      <c r="AG231" t="e">
        <f t="shared" si="53"/>
        <v>#REF!</v>
      </c>
      <c r="AH231" t="e">
        <f>#REF!</f>
        <v>#REF!</v>
      </c>
      <c r="AI231" t="e">
        <f>#REF!</f>
        <v>#REF!</v>
      </c>
      <c r="AJ231" s="3" t="e">
        <f>#REF!</f>
        <v>#REF!</v>
      </c>
      <c r="AK231" s="3" t="e">
        <f>#REF!</f>
        <v>#REF!</v>
      </c>
      <c r="AL231" s="3" t="e">
        <f>#REF!</f>
        <v>#REF!</v>
      </c>
      <c r="AM231" s="3" t="e">
        <f>#REF!</f>
        <v>#REF!</v>
      </c>
      <c r="AN231" s="3" t="e">
        <f>#REF!</f>
        <v>#REF!</v>
      </c>
      <c r="AO231" s="3" t="e">
        <f>#REF!</f>
        <v>#REF!</v>
      </c>
      <c r="AP231" s="9" t="e">
        <f>VLOOKUP(AG231,#REF!,10,FALSE)</f>
        <v>#REF!</v>
      </c>
      <c r="AQ231" s="8">
        <f>SUMIFS(Capacity!$G$2:$G$2820,Capacity!$B$2:$B$2820,Demand_Modeling!AG231)</f>
        <v>0</v>
      </c>
      <c r="AS231" s="2" t="e">
        <f t="shared" si="54"/>
        <v>#REF!</v>
      </c>
      <c r="AT231" s="2" t="e">
        <f t="shared" si="55"/>
        <v>#REF!</v>
      </c>
      <c r="AU231" s="2" t="e">
        <f t="shared" si="56"/>
        <v>#REF!</v>
      </c>
      <c r="AV231" s="2" t="e">
        <f t="shared" si="57"/>
        <v>#REF!</v>
      </c>
      <c r="AW231" s="2" t="e">
        <f t="shared" si="58"/>
        <v>#REF!</v>
      </c>
      <c r="AX231" s="2" t="e">
        <f t="shared" si="59"/>
        <v>#REF!</v>
      </c>
      <c r="AY231" s="2" t="e">
        <f t="shared" si="60"/>
        <v>#REF!</v>
      </c>
      <c r="AZ231" s="10">
        <f t="shared" si="61"/>
        <v>0</v>
      </c>
      <c r="BA231" s="5" t="e">
        <f t="shared" si="62"/>
        <v>#REF!</v>
      </c>
    </row>
    <row r="232" spans="33:53" x14ac:dyDescent="0.3">
      <c r="AG232" t="e">
        <f t="shared" si="53"/>
        <v>#REF!</v>
      </c>
      <c r="AH232" t="e">
        <f>#REF!</f>
        <v>#REF!</v>
      </c>
      <c r="AI232" t="e">
        <f>#REF!</f>
        <v>#REF!</v>
      </c>
      <c r="AJ232" s="3" t="e">
        <f>#REF!</f>
        <v>#REF!</v>
      </c>
      <c r="AK232" s="3" t="e">
        <f>#REF!</f>
        <v>#REF!</v>
      </c>
      <c r="AL232" s="3" t="e">
        <f>#REF!</f>
        <v>#REF!</v>
      </c>
      <c r="AM232" s="3" t="e">
        <f>#REF!</f>
        <v>#REF!</v>
      </c>
      <c r="AN232" s="3" t="e">
        <f>#REF!</f>
        <v>#REF!</v>
      </c>
      <c r="AO232" s="3" t="e">
        <f>#REF!</f>
        <v>#REF!</v>
      </c>
      <c r="AP232" s="9" t="e">
        <f>VLOOKUP(AG232,#REF!,10,FALSE)</f>
        <v>#REF!</v>
      </c>
      <c r="AQ232" s="8">
        <f>SUMIFS(Capacity!$G$2:$G$2820,Capacity!$B$2:$B$2820,Demand_Modeling!AG232)</f>
        <v>0</v>
      </c>
      <c r="AS232" s="2" t="e">
        <f t="shared" si="54"/>
        <v>#REF!</v>
      </c>
      <c r="AT232" s="2" t="e">
        <f t="shared" si="55"/>
        <v>#REF!</v>
      </c>
      <c r="AU232" s="2" t="e">
        <f t="shared" si="56"/>
        <v>#REF!</v>
      </c>
      <c r="AV232" s="2" t="e">
        <f t="shared" si="57"/>
        <v>#REF!</v>
      </c>
      <c r="AW232" s="2" t="e">
        <f t="shared" si="58"/>
        <v>#REF!</v>
      </c>
      <c r="AX232" s="2" t="e">
        <f t="shared" si="59"/>
        <v>#REF!</v>
      </c>
      <c r="AY232" s="2" t="e">
        <f t="shared" si="60"/>
        <v>#REF!</v>
      </c>
      <c r="AZ232" s="10">
        <f t="shared" si="61"/>
        <v>0</v>
      </c>
      <c r="BA232" s="5" t="e">
        <f t="shared" si="62"/>
        <v>#REF!</v>
      </c>
    </row>
    <row r="233" spans="33:53" x14ac:dyDescent="0.3">
      <c r="AG233" t="e">
        <f t="shared" si="53"/>
        <v>#REF!</v>
      </c>
      <c r="AH233" t="e">
        <f>#REF!</f>
        <v>#REF!</v>
      </c>
      <c r="AI233" t="e">
        <f>#REF!</f>
        <v>#REF!</v>
      </c>
      <c r="AJ233" s="3" t="e">
        <f>#REF!</f>
        <v>#REF!</v>
      </c>
      <c r="AK233" s="3" t="e">
        <f>#REF!</f>
        <v>#REF!</v>
      </c>
      <c r="AL233" s="3" t="e">
        <f>#REF!</f>
        <v>#REF!</v>
      </c>
      <c r="AM233" s="3" t="e">
        <f>#REF!</f>
        <v>#REF!</v>
      </c>
      <c r="AN233" s="3" t="e">
        <f>#REF!</f>
        <v>#REF!</v>
      </c>
      <c r="AO233" s="3" t="e">
        <f>#REF!</f>
        <v>#REF!</v>
      </c>
      <c r="AP233" s="9" t="e">
        <f>VLOOKUP(AG233,#REF!,10,FALSE)</f>
        <v>#REF!</v>
      </c>
      <c r="AQ233" s="8">
        <f>SUMIFS(Capacity!$G$2:$G$2820,Capacity!$B$2:$B$2820,Demand_Modeling!AG233)</f>
        <v>0</v>
      </c>
      <c r="AS233" s="2" t="e">
        <f t="shared" si="54"/>
        <v>#REF!</v>
      </c>
      <c r="AT233" s="2" t="e">
        <f t="shared" si="55"/>
        <v>#REF!</v>
      </c>
      <c r="AU233" s="2" t="e">
        <f t="shared" si="56"/>
        <v>#REF!</v>
      </c>
      <c r="AV233" s="2" t="e">
        <f t="shared" si="57"/>
        <v>#REF!</v>
      </c>
      <c r="AW233" s="2" t="e">
        <f t="shared" si="58"/>
        <v>#REF!</v>
      </c>
      <c r="AX233" s="2" t="e">
        <f t="shared" si="59"/>
        <v>#REF!</v>
      </c>
      <c r="AY233" s="2" t="e">
        <f t="shared" si="60"/>
        <v>#REF!</v>
      </c>
      <c r="AZ233" s="10">
        <f t="shared" si="61"/>
        <v>0</v>
      </c>
      <c r="BA233" s="5" t="e">
        <f t="shared" si="62"/>
        <v>#REF!</v>
      </c>
    </row>
    <row r="234" spans="33:53" x14ac:dyDescent="0.3">
      <c r="AG234" t="e">
        <f t="shared" si="53"/>
        <v>#REF!</v>
      </c>
      <c r="AH234" t="e">
        <f>#REF!</f>
        <v>#REF!</v>
      </c>
      <c r="AI234" t="e">
        <f>#REF!</f>
        <v>#REF!</v>
      </c>
      <c r="AJ234" s="3" t="e">
        <f>#REF!</f>
        <v>#REF!</v>
      </c>
      <c r="AK234" s="3" t="e">
        <f>#REF!</f>
        <v>#REF!</v>
      </c>
      <c r="AL234" s="3" t="e">
        <f>#REF!</f>
        <v>#REF!</v>
      </c>
      <c r="AM234" s="3" t="e">
        <f>#REF!</f>
        <v>#REF!</v>
      </c>
      <c r="AN234" s="3" t="e">
        <f>#REF!</f>
        <v>#REF!</v>
      </c>
      <c r="AO234" s="3" t="e">
        <f>#REF!</f>
        <v>#REF!</v>
      </c>
      <c r="AP234" s="9" t="e">
        <f>VLOOKUP(AG234,#REF!,10,FALSE)</f>
        <v>#REF!</v>
      </c>
      <c r="AQ234" s="8">
        <f>SUMIFS(Capacity!$G$2:$G$2820,Capacity!$B$2:$B$2820,Demand_Modeling!AG234)</f>
        <v>0</v>
      </c>
      <c r="AS234" s="2" t="e">
        <f t="shared" si="54"/>
        <v>#REF!</v>
      </c>
      <c r="AT234" s="2" t="e">
        <f t="shared" si="55"/>
        <v>#REF!</v>
      </c>
      <c r="AU234" s="2" t="e">
        <f t="shared" si="56"/>
        <v>#REF!</v>
      </c>
      <c r="AV234" s="2" t="e">
        <f t="shared" si="57"/>
        <v>#REF!</v>
      </c>
      <c r="AW234" s="2" t="e">
        <f t="shared" si="58"/>
        <v>#REF!</v>
      </c>
      <c r="AX234" s="2" t="e">
        <f t="shared" si="59"/>
        <v>#REF!</v>
      </c>
      <c r="AY234" s="2" t="e">
        <f t="shared" si="60"/>
        <v>#REF!</v>
      </c>
      <c r="AZ234" s="10">
        <f t="shared" si="61"/>
        <v>0</v>
      </c>
      <c r="BA234" s="5" t="e">
        <f t="shared" si="62"/>
        <v>#REF!</v>
      </c>
    </row>
    <row r="235" spans="33:53" x14ac:dyDescent="0.3">
      <c r="AG235" t="e">
        <f t="shared" si="53"/>
        <v>#REF!</v>
      </c>
      <c r="AH235" t="e">
        <f>#REF!</f>
        <v>#REF!</v>
      </c>
      <c r="AI235" t="e">
        <f>#REF!</f>
        <v>#REF!</v>
      </c>
      <c r="AJ235" s="3" t="e">
        <f>#REF!</f>
        <v>#REF!</v>
      </c>
      <c r="AK235" s="3" t="e">
        <f>#REF!</f>
        <v>#REF!</v>
      </c>
      <c r="AL235" s="3" t="e">
        <f>#REF!</f>
        <v>#REF!</v>
      </c>
      <c r="AM235" s="3" t="e">
        <f>#REF!</f>
        <v>#REF!</v>
      </c>
      <c r="AN235" s="3" t="e">
        <f>#REF!</f>
        <v>#REF!</v>
      </c>
      <c r="AO235" s="3" t="e">
        <f>#REF!</f>
        <v>#REF!</v>
      </c>
      <c r="AP235" s="9" t="e">
        <f>VLOOKUP(AG235,#REF!,10,FALSE)</f>
        <v>#REF!</v>
      </c>
      <c r="AQ235" s="8">
        <f>SUMIFS(Capacity!$G$2:$G$2820,Capacity!$B$2:$B$2820,Demand_Modeling!AG235)</f>
        <v>0</v>
      </c>
      <c r="AS235" s="2" t="e">
        <f t="shared" si="54"/>
        <v>#REF!</v>
      </c>
      <c r="AT235" s="2" t="e">
        <f t="shared" si="55"/>
        <v>#REF!</v>
      </c>
      <c r="AU235" s="2" t="e">
        <f t="shared" si="56"/>
        <v>#REF!</v>
      </c>
      <c r="AV235" s="2" t="e">
        <f t="shared" si="57"/>
        <v>#REF!</v>
      </c>
      <c r="AW235" s="2" t="e">
        <f t="shared" si="58"/>
        <v>#REF!</v>
      </c>
      <c r="AX235" s="2" t="e">
        <f t="shared" si="59"/>
        <v>#REF!</v>
      </c>
      <c r="AY235" s="2" t="e">
        <f t="shared" si="60"/>
        <v>#REF!</v>
      </c>
      <c r="AZ235" s="10">
        <f t="shared" si="61"/>
        <v>0</v>
      </c>
      <c r="BA235" s="5" t="e">
        <f t="shared" si="62"/>
        <v>#REF!</v>
      </c>
    </row>
    <row r="236" spans="33:53" x14ac:dyDescent="0.3">
      <c r="AG236" t="e">
        <f t="shared" si="53"/>
        <v>#REF!</v>
      </c>
      <c r="AH236" t="e">
        <f>#REF!</f>
        <v>#REF!</v>
      </c>
      <c r="AI236" t="e">
        <f>#REF!</f>
        <v>#REF!</v>
      </c>
      <c r="AJ236" s="3" t="e">
        <f>#REF!</f>
        <v>#REF!</v>
      </c>
      <c r="AK236" s="3" t="e">
        <f>#REF!</f>
        <v>#REF!</v>
      </c>
      <c r="AL236" s="3" t="e">
        <f>#REF!</f>
        <v>#REF!</v>
      </c>
      <c r="AM236" s="3" t="e">
        <f>#REF!</f>
        <v>#REF!</v>
      </c>
      <c r="AN236" s="3" t="e">
        <f>#REF!</f>
        <v>#REF!</v>
      </c>
      <c r="AO236" s="3" t="e">
        <f>#REF!</f>
        <v>#REF!</v>
      </c>
      <c r="AP236" s="9" t="e">
        <f>VLOOKUP(AG236,#REF!,10,FALSE)</f>
        <v>#REF!</v>
      </c>
      <c r="AQ236" s="8">
        <f>SUMIFS(Capacity!$G$2:$G$2820,Capacity!$B$2:$B$2820,Demand_Modeling!AG236)</f>
        <v>0</v>
      </c>
      <c r="AS236" s="2" t="e">
        <f t="shared" si="54"/>
        <v>#REF!</v>
      </c>
      <c r="AT236" s="2" t="e">
        <f t="shared" si="55"/>
        <v>#REF!</v>
      </c>
      <c r="AU236" s="2" t="e">
        <f t="shared" si="56"/>
        <v>#REF!</v>
      </c>
      <c r="AV236" s="2" t="e">
        <f t="shared" si="57"/>
        <v>#REF!</v>
      </c>
      <c r="AW236" s="2" t="e">
        <f t="shared" si="58"/>
        <v>#REF!</v>
      </c>
      <c r="AX236" s="2" t="e">
        <f t="shared" si="59"/>
        <v>#REF!</v>
      </c>
      <c r="AY236" s="2" t="e">
        <f t="shared" si="60"/>
        <v>#REF!</v>
      </c>
      <c r="AZ236" s="10">
        <f t="shared" si="61"/>
        <v>0</v>
      </c>
      <c r="BA236" s="5" t="e">
        <f t="shared" si="62"/>
        <v>#REF!</v>
      </c>
    </row>
    <row r="237" spans="33:53" x14ac:dyDescent="0.3">
      <c r="AG237" t="e">
        <f t="shared" si="53"/>
        <v>#REF!</v>
      </c>
      <c r="AH237" t="e">
        <f>#REF!</f>
        <v>#REF!</v>
      </c>
      <c r="AI237" t="e">
        <f>#REF!</f>
        <v>#REF!</v>
      </c>
      <c r="AJ237" s="3" t="e">
        <f>#REF!</f>
        <v>#REF!</v>
      </c>
      <c r="AK237" s="3" t="e">
        <f>#REF!</f>
        <v>#REF!</v>
      </c>
      <c r="AL237" s="3" t="e">
        <f>#REF!</f>
        <v>#REF!</v>
      </c>
      <c r="AM237" s="3" t="e">
        <f>#REF!</f>
        <v>#REF!</v>
      </c>
      <c r="AN237" s="3" t="e">
        <f>#REF!</f>
        <v>#REF!</v>
      </c>
      <c r="AO237" s="3" t="e">
        <f>#REF!</f>
        <v>#REF!</v>
      </c>
      <c r="AP237" s="9" t="e">
        <f>VLOOKUP(AG237,#REF!,10,FALSE)</f>
        <v>#REF!</v>
      </c>
      <c r="AQ237" s="8">
        <f>SUMIFS(Capacity!$G$2:$G$2820,Capacity!$B$2:$B$2820,Demand_Modeling!AG237)</f>
        <v>0</v>
      </c>
      <c r="AS237" s="2" t="e">
        <f t="shared" si="54"/>
        <v>#REF!</v>
      </c>
      <c r="AT237" s="2" t="e">
        <f t="shared" si="55"/>
        <v>#REF!</v>
      </c>
      <c r="AU237" s="2" t="e">
        <f t="shared" si="56"/>
        <v>#REF!</v>
      </c>
      <c r="AV237" s="2" t="e">
        <f t="shared" si="57"/>
        <v>#REF!</v>
      </c>
      <c r="AW237" s="2" t="e">
        <f t="shared" si="58"/>
        <v>#REF!</v>
      </c>
      <c r="AX237" s="2" t="e">
        <f t="shared" si="59"/>
        <v>#REF!</v>
      </c>
      <c r="AY237" s="2" t="e">
        <f t="shared" si="60"/>
        <v>#REF!</v>
      </c>
      <c r="AZ237" s="10">
        <f t="shared" si="61"/>
        <v>0</v>
      </c>
      <c r="BA237" s="5" t="e">
        <f t="shared" si="62"/>
        <v>#REF!</v>
      </c>
    </row>
    <row r="238" spans="33:53" x14ac:dyDescent="0.3">
      <c r="AG238" t="e">
        <f t="shared" si="53"/>
        <v>#REF!</v>
      </c>
      <c r="AH238" t="e">
        <f>#REF!</f>
        <v>#REF!</v>
      </c>
      <c r="AI238" t="e">
        <f>#REF!</f>
        <v>#REF!</v>
      </c>
      <c r="AJ238" s="3" t="e">
        <f>#REF!</f>
        <v>#REF!</v>
      </c>
      <c r="AK238" s="3" t="e">
        <f>#REF!</f>
        <v>#REF!</v>
      </c>
      <c r="AL238" s="3" t="e">
        <f>#REF!</f>
        <v>#REF!</v>
      </c>
      <c r="AM238" s="3" t="e">
        <f>#REF!</f>
        <v>#REF!</v>
      </c>
      <c r="AN238" s="3" t="e">
        <f>#REF!</f>
        <v>#REF!</v>
      </c>
      <c r="AO238" s="3" t="e">
        <f>#REF!</f>
        <v>#REF!</v>
      </c>
      <c r="AP238" s="9" t="e">
        <f>VLOOKUP(AG238,#REF!,10,FALSE)</f>
        <v>#REF!</v>
      </c>
      <c r="AQ238" s="8">
        <f>SUMIFS(Capacity!$G$2:$G$2820,Capacity!$B$2:$B$2820,Demand_Modeling!AG238)</f>
        <v>0</v>
      </c>
      <c r="AS238" s="2" t="e">
        <f t="shared" si="54"/>
        <v>#REF!</v>
      </c>
      <c r="AT238" s="2" t="e">
        <f t="shared" si="55"/>
        <v>#REF!</v>
      </c>
      <c r="AU238" s="2" t="e">
        <f t="shared" si="56"/>
        <v>#REF!</v>
      </c>
      <c r="AV238" s="2" t="e">
        <f t="shared" si="57"/>
        <v>#REF!</v>
      </c>
      <c r="AW238" s="2" t="e">
        <f t="shared" si="58"/>
        <v>#REF!</v>
      </c>
      <c r="AX238" s="2" t="e">
        <f t="shared" si="59"/>
        <v>#REF!</v>
      </c>
      <c r="AY238" s="2" t="e">
        <f t="shared" si="60"/>
        <v>#REF!</v>
      </c>
      <c r="AZ238" s="10">
        <f t="shared" si="61"/>
        <v>0</v>
      </c>
      <c r="BA238" s="5" t="e">
        <f t="shared" si="62"/>
        <v>#REF!</v>
      </c>
    </row>
    <row r="239" spans="33:53" x14ac:dyDescent="0.3">
      <c r="AG239" t="e">
        <f t="shared" si="53"/>
        <v>#REF!</v>
      </c>
      <c r="AH239" t="e">
        <f>#REF!</f>
        <v>#REF!</v>
      </c>
      <c r="AI239" t="e">
        <f>#REF!</f>
        <v>#REF!</v>
      </c>
      <c r="AJ239" s="3" t="e">
        <f>#REF!</f>
        <v>#REF!</v>
      </c>
      <c r="AK239" s="3" t="e">
        <f>#REF!</f>
        <v>#REF!</v>
      </c>
      <c r="AL239" s="3" t="e">
        <f>#REF!</f>
        <v>#REF!</v>
      </c>
      <c r="AM239" s="3" t="e">
        <f>#REF!</f>
        <v>#REF!</v>
      </c>
      <c r="AN239" s="3" t="e">
        <f>#REF!</f>
        <v>#REF!</v>
      </c>
      <c r="AO239" s="3" t="e">
        <f>#REF!</f>
        <v>#REF!</v>
      </c>
      <c r="AP239" s="9" t="e">
        <f>VLOOKUP(AG239,#REF!,10,FALSE)</f>
        <v>#REF!</v>
      </c>
      <c r="AQ239" s="8">
        <f>SUMIFS(Capacity!$G$2:$G$2820,Capacity!$B$2:$B$2820,Demand_Modeling!AG239)</f>
        <v>0</v>
      </c>
      <c r="AS239" s="2" t="e">
        <f t="shared" si="54"/>
        <v>#REF!</v>
      </c>
      <c r="AT239" s="2" t="e">
        <f t="shared" si="55"/>
        <v>#REF!</v>
      </c>
      <c r="AU239" s="2" t="e">
        <f t="shared" si="56"/>
        <v>#REF!</v>
      </c>
      <c r="AV239" s="2" t="e">
        <f t="shared" si="57"/>
        <v>#REF!</v>
      </c>
      <c r="AW239" s="2" t="e">
        <f t="shared" si="58"/>
        <v>#REF!</v>
      </c>
      <c r="AX239" s="2" t="e">
        <f t="shared" si="59"/>
        <v>#REF!</v>
      </c>
      <c r="AY239" s="2" t="e">
        <f t="shared" si="60"/>
        <v>#REF!</v>
      </c>
      <c r="AZ239" s="10">
        <f t="shared" si="61"/>
        <v>0</v>
      </c>
      <c r="BA239" s="5" t="e">
        <f t="shared" si="62"/>
        <v>#REF!</v>
      </c>
    </row>
    <row r="240" spans="33:53" x14ac:dyDescent="0.3">
      <c r="AG240" t="e">
        <f t="shared" si="53"/>
        <v>#REF!</v>
      </c>
      <c r="AH240" t="e">
        <f>#REF!</f>
        <v>#REF!</v>
      </c>
      <c r="AI240" t="e">
        <f>#REF!</f>
        <v>#REF!</v>
      </c>
      <c r="AJ240" s="3" t="e">
        <f>#REF!</f>
        <v>#REF!</v>
      </c>
      <c r="AK240" s="3" t="e">
        <f>#REF!</f>
        <v>#REF!</v>
      </c>
      <c r="AL240" s="3" t="e">
        <f>#REF!</f>
        <v>#REF!</v>
      </c>
      <c r="AM240" s="3" t="e">
        <f>#REF!</f>
        <v>#REF!</v>
      </c>
      <c r="AN240" s="3" t="e">
        <f>#REF!</f>
        <v>#REF!</v>
      </c>
      <c r="AO240" s="3" t="e">
        <f>#REF!</f>
        <v>#REF!</v>
      </c>
      <c r="AP240" s="9" t="e">
        <f>VLOOKUP(AG240,#REF!,10,FALSE)</f>
        <v>#REF!</v>
      </c>
      <c r="AQ240" s="8">
        <f>SUMIFS(Capacity!$G$2:$G$2820,Capacity!$B$2:$B$2820,Demand_Modeling!AG240)</f>
        <v>0</v>
      </c>
      <c r="AS240" s="2" t="e">
        <f t="shared" si="54"/>
        <v>#REF!</v>
      </c>
      <c r="AT240" s="2" t="e">
        <f t="shared" si="55"/>
        <v>#REF!</v>
      </c>
      <c r="AU240" s="2" t="e">
        <f t="shared" si="56"/>
        <v>#REF!</v>
      </c>
      <c r="AV240" s="2" t="e">
        <f t="shared" si="57"/>
        <v>#REF!</v>
      </c>
      <c r="AW240" s="2" t="e">
        <f t="shared" si="58"/>
        <v>#REF!</v>
      </c>
      <c r="AX240" s="2" t="e">
        <f t="shared" si="59"/>
        <v>#REF!</v>
      </c>
      <c r="AY240" s="2" t="e">
        <f t="shared" si="60"/>
        <v>#REF!</v>
      </c>
      <c r="AZ240" s="10">
        <f t="shared" si="61"/>
        <v>0</v>
      </c>
      <c r="BA240" s="5" t="e">
        <f t="shared" si="62"/>
        <v>#REF!</v>
      </c>
    </row>
    <row r="241" spans="33:53" x14ac:dyDescent="0.3">
      <c r="AG241" t="e">
        <f t="shared" si="53"/>
        <v>#REF!</v>
      </c>
      <c r="AH241" t="e">
        <f>#REF!</f>
        <v>#REF!</v>
      </c>
      <c r="AI241" t="e">
        <f>#REF!</f>
        <v>#REF!</v>
      </c>
      <c r="AJ241" s="3" t="e">
        <f>#REF!</f>
        <v>#REF!</v>
      </c>
      <c r="AK241" s="3" t="e">
        <f>#REF!</f>
        <v>#REF!</v>
      </c>
      <c r="AL241" s="3" t="e">
        <f>#REF!</f>
        <v>#REF!</v>
      </c>
      <c r="AM241" s="3" t="e">
        <f>#REF!</f>
        <v>#REF!</v>
      </c>
      <c r="AN241" s="3" t="e">
        <f>#REF!</f>
        <v>#REF!</v>
      </c>
      <c r="AO241" s="3" t="e">
        <f>#REF!</f>
        <v>#REF!</v>
      </c>
      <c r="AP241" s="9" t="e">
        <f>VLOOKUP(AG241,#REF!,10,FALSE)</f>
        <v>#REF!</v>
      </c>
      <c r="AQ241" s="8">
        <f>SUMIFS(Capacity!$G$2:$G$2820,Capacity!$B$2:$B$2820,Demand_Modeling!AG241)</f>
        <v>0</v>
      </c>
      <c r="AS241" s="2" t="e">
        <f t="shared" si="54"/>
        <v>#REF!</v>
      </c>
      <c r="AT241" s="2" t="e">
        <f t="shared" si="55"/>
        <v>#REF!</v>
      </c>
      <c r="AU241" s="2" t="e">
        <f t="shared" si="56"/>
        <v>#REF!</v>
      </c>
      <c r="AV241" s="2" t="e">
        <f t="shared" si="57"/>
        <v>#REF!</v>
      </c>
      <c r="AW241" s="2" t="e">
        <f t="shared" si="58"/>
        <v>#REF!</v>
      </c>
      <c r="AX241" s="2" t="e">
        <f t="shared" si="59"/>
        <v>#REF!</v>
      </c>
      <c r="AY241" s="2" t="e">
        <f t="shared" si="60"/>
        <v>#REF!</v>
      </c>
      <c r="AZ241" s="10">
        <f t="shared" si="61"/>
        <v>0</v>
      </c>
      <c r="BA241" s="5" t="e">
        <f t="shared" si="62"/>
        <v>#REF!</v>
      </c>
    </row>
    <row r="242" spans="33:53" x14ac:dyDescent="0.3">
      <c r="AG242" t="e">
        <f t="shared" si="53"/>
        <v>#REF!</v>
      </c>
      <c r="AH242" t="e">
        <f>#REF!</f>
        <v>#REF!</v>
      </c>
      <c r="AI242" t="e">
        <f>#REF!</f>
        <v>#REF!</v>
      </c>
      <c r="AJ242" s="3" t="e">
        <f>#REF!</f>
        <v>#REF!</v>
      </c>
      <c r="AK242" s="3" t="e">
        <f>#REF!</f>
        <v>#REF!</v>
      </c>
      <c r="AL242" s="3" t="e">
        <f>#REF!</f>
        <v>#REF!</v>
      </c>
      <c r="AM242" s="3" t="e">
        <f>#REF!</f>
        <v>#REF!</v>
      </c>
      <c r="AN242" s="3" t="e">
        <f>#REF!</f>
        <v>#REF!</v>
      </c>
      <c r="AO242" s="3" t="e">
        <f>#REF!</f>
        <v>#REF!</v>
      </c>
      <c r="AP242" s="9" t="e">
        <f>VLOOKUP(AG242,#REF!,10,FALSE)</f>
        <v>#REF!</v>
      </c>
      <c r="AQ242" s="8">
        <f>SUMIFS(Capacity!$G$2:$G$2820,Capacity!$B$2:$B$2820,Demand_Modeling!AG242)</f>
        <v>0</v>
      </c>
      <c r="AS242" s="2" t="e">
        <f t="shared" si="54"/>
        <v>#REF!</v>
      </c>
      <c r="AT242" s="2" t="e">
        <f t="shared" si="55"/>
        <v>#REF!</v>
      </c>
      <c r="AU242" s="2" t="e">
        <f t="shared" si="56"/>
        <v>#REF!</v>
      </c>
      <c r="AV242" s="2" t="e">
        <f t="shared" si="57"/>
        <v>#REF!</v>
      </c>
      <c r="AW242" s="2" t="e">
        <f t="shared" si="58"/>
        <v>#REF!</v>
      </c>
      <c r="AX242" s="2" t="e">
        <f t="shared" si="59"/>
        <v>#REF!</v>
      </c>
      <c r="AY242" s="2" t="e">
        <f t="shared" si="60"/>
        <v>#REF!</v>
      </c>
      <c r="AZ242" s="10">
        <f t="shared" si="61"/>
        <v>0</v>
      </c>
      <c r="BA242" s="5" t="e">
        <f t="shared" si="62"/>
        <v>#REF!</v>
      </c>
    </row>
    <row r="243" spans="33:53" x14ac:dyDescent="0.3">
      <c r="AG243" t="e">
        <f t="shared" si="53"/>
        <v>#REF!</v>
      </c>
      <c r="AH243" t="e">
        <f>#REF!</f>
        <v>#REF!</v>
      </c>
      <c r="AI243" t="e">
        <f>#REF!</f>
        <v>#REF!</v>
      </c>
      <c r="AJ243" s="3" t="e">
        <f>#REF!</f>
        <v>#REF!</v>
      </c>
      <c r="AK243" s="3" t="e">
        <f>#REF!</f>
        <v>#REF!</v>
      </c>
      <c r="AL243" s="3" t="e">
        <f>#REF!</f>
        <v>#REF!</v>
      </c>
      <c r="AM243" s="3" t="e">
        <f>#REF!</f>
        <v>#REF!</v>
      </c>
      <c r="AN243" s="3" t="e">
        <f>#REF!</f>
        <v>#REF!</v>
      </c>
      <c r="AO243" s="3" t="e">
        <f>#REF!</f>
        <v>#REF!</v>
      </c>
      <c r="AP243" s="9" t="e">
        <f>VLOOKUP(AG243,#REF!,10,FALSE)</f>
        <v>#REF!</v>
      </c>
      <c r="AQ243" s="8">
        <f>SUMIFS(Capacity!$G$2:$G$2820,Capacity!$B$2:$B$2820,Demand_Modeling!AG243)</f>
        <v>0</v>
      </c>
      <c r="AS243" s="2" t="e">
        <f t="shared" si="54"/>
        <v>#REF!</v>
      </c>
      <c r="AT243" s="2" t="e">
        <f t="shared" si="55"/>
        <v>#REF!</v>
      </c>
      <c r="AU243" s="2" t="e">
        <f t="shared" si="56"/>
        <v>#REF!</v>
      </c>
      <c r="AV243" s="2" t="e">
        <f t="shared" si="57"/>
        <v>#REF!</v>
      </c>
      <c r="AW243" s="2" t="e">
        <f t="shared" si="58"/>
        <v>#REF!</v>
      </c>
      <c r="AX243" s="2" t="e">
        <f t="shared" si="59"/>
        <v>#REF!</v>
      </c>
      <c r="AY243" s="2" t="e">
        <f t="shared" si="60"/>
        <v>#REF!</v>
      </c>
      <c r="AZ243" s="10">
        <f t="shared" si="61"/>
        <v>0</v>
      </c>
      <c r="BA243" s="5" t="e">
        <f t="shared" si="62"/>
        <v>#REF!</v>
      </c>
    </row>
    <row r="244" spans="33:53" x14ac:dyDescent="0.3">
      <c r="AG244" t="e">
        <f t="shared" si="53"/>
        <v>#REF!</v>
      </c>
      <c r="AH244" t="e">
        <f>#REF!</f>
        <v>#REF!</v>
      </c>
      <c r="AI244" t="e">
        <f>#REF!</f>
        <v>#REF!</v>
      </c>
      <c r="AJ244" s="3" t="e">
        <f>#REF!</f>
        <v>#REF!</v>
      </c>
      <c r="AK244" s="3" t="e">
        <f>#REF!</f>
        <v>#REF!</v>
      </c>
      <c r="AL244" s="3" t="e">
        <f>#REF!</f>
        <v>#REF!</v>
      </c>
      <c r="AM244" s="3" t="e">
        <f>#REF!</f>
        <v>#REF!</v>
      </c>
      <c r="AN244" s="3" t="e">
        <f>#REF!</f>
        <v>#REF!</v>
      </c>
      <c r="AO244" s="3" t="e">
        <f>#REF!</f>
        <v>#REF!</v>
      </c>
      <c r="AP244" s="9" t="e">
        <f>VLOOKUP(AG244,#REF!,10,FALSE)</f>
        <v>#REF!</v>
      </c>
      <c r="AQ244" s="8">
        <f>SUMIFS(Capacity!$G$2:$G$2820,Capacity!$B$2:$B$2820,Demand_Modeling!AG244)</f>
        <v>0</v>
      </c>
      <c r="AS244" s="2" t="e">
        <f t="shared" si="54"/>
        <v>#REF!</v>
      </c>
      <c r="AT244" s="2" t="e">
        <f t="shared" si="55"/>
        <v>#REF!</v>
      </c>
      <c r="AU244" s="2" t="e">
        <f t="shared" si="56"/>
        <v>#REF!</v>
      </c>
      <c r="AV244" s="2" t="e">
        <f t="shared" si="57"/>
        <v>#REF!</v>
      </c>
      <c r="AW244" s="2" t="e">
        <f t="shared" si="58"/>
        <v>#REF!</v>
      </c>
      <c r="AX244" s="2" t="e">
        <f t="shared" si="59"/>
        <v>#REF!</v>
      </c>
      <c r="AY244" s="2" t="e">
        <f t="shared" si="60"/>
        <v>#REF!</v>
      </c>
      <c r="AZ244" s="10">
        <f t="shared" si="61"/>
        <v>0</v>
      </c>
      <c r="BA244" s="5" t="e">
        <f t="shared" si="62"/>
        <v>#REF!</v>
      </c>
    </row>
    <row r="245" spans="33:53" x14ac:dyDescent="0.3">
      <c r="AG245" t="e">
        <f t="shared" si="53"/>
        <v>#REF!</v>
      </c>
      <c r="AH245" t="e">
        <f>#REF!</f>
        <v>#REF!</v>
      </c>
      <c r="AI245" t="e">
        <f>#REF!</f>
        <v>#REF!</v>
      </c>
      <c r="AJ245" s="3" t="e">
        <f>#REF!</f>
        <v>#REF!</v>
      </c>
      <c r="AK245" s="3" t="e">
        <f>#REF!</f>
        <v>#REF!</v>
      </c>
      <c r="AL245" s="3" t="e">
        <f>#REF!</f>
        <v>#REF!</v>
      </c>
      <c r="AM245" s="3" t="e">
        <f>#REF!</f>
        <v>#REF!</v>
      </c>
      <c r="AN245" s="3" t="e">
        <f>#REF!</f>
        <v>#REF!</v>
      </c>
      <c r="AO245" s="3" t="e">
        <f>#REF!</f>
        <v>#REF!</v>
      </c>
      <c r="AP245" s="9" t="e">
        <f>VLOOKUP(AG245,#REF!,10,FALSE)</f>
        <v>#REF!</v>
      </c>
      <c r="AQ245" s="8">
        <f>SUMIFS(Capacity!$G$2:$G$2820,Capacity!$B$2:$B$2820,Demand_Modeling!AG245)</f>
        <v>0</v>
      </c>
      <c r="AS245" s="2" t="e">
        <f t="shared" si="54"/>
        <v>#REF!</v>
      </c>
      <c r="AT245" s="2" t="e">
        <f t="shared" si="55"/>
        <v>#REF!</v>
      </c>
      <c r="AU245" s="2" t="e">
        <f t="shared" si="56"/>
        <v>#REF!</v>
      </c>
      <c r="AV245" s="2" t="e">
        <f t="shared" si="57"/>
        <v>#REF!</v>
      </c>
      <c r="AW245" s="2" t="e">
        <f t="shared" si="58"/>
        <v>#REF!</v>
      </c>
      <c r="AX245" s="2" t="e">
        <f t="shared" si="59"/>
        <v>#REF!</v>
      </c>
      <c r="AY245" s="2" t="e">
        <f t="shared" si="60"/>
        <v>#REF!</v>
      </c>
      <c r="AZ245" s="10">
        <f t="shared" si="61"/>
        <v>0</v>
      </c>
      <c r="BA245" s="5" t="e">
        <f t="shared" si="62"/>
        <v>#REF!</v>
      </c>
    </row>
    <row r="246" spans="33:53" x14ac:dyDescent="0.3">
      <c r="AG246" t="e">
        <f t="shared" si="53"/>
        <v>#REF!</v>
      </c>
      <c r="AH246" t="e">
        <f>#REF!</f>
        <v>#REF!</v>
      </c>
      <c r="AI246" t="e">
        <f>#REF!</f>
        <v>#REF!</v>
      </c>
      <c r="AJ246" s="3" t="e">
        <f>#REF!</f>
        <v>#REF!</v>
      </c>
      <c r="AK246" s="3" t="e">
        <f>#REF!</f>
        <v>#REF!</v>
      </c>
      <c r="AL246" s="3" t="e">
        <f>#REF!</f>
        <v>#REF!</v>
      </c>
      <c r="AM246" s="3" t="e">
        <f>#REF!</f>
        <v>#REF!</v>
      </c>
      <c r="AN246" s="3" t="e">
        <f>#REF!</f>
        <v>#REF!</v>
      </c>
      <c r="AO246" s="3" t="e">
        <f>#REF!</f>
        <v>#REF!</v>
      </c>
      <c r="AP246" s="9" t="e">
        <f>VLOOKUP(AG246,#REF!,10,FALSE)</f>
        <v>#REF!</v>
      </c>
      <c r="AQ246" s="8">
        <f>SUMIFS(Capacity!$G$2:$G$2820,Capacity!$B$2:$B$2820,Demand_Modeling!AG246)</f>
        <v>0</v>
      </c>
      <c r="AS246" s="2" t="e">
        <f t="shared" si="54"/>
        <v>#REF!</v>
      </c>
      <c r="AT246" s="2" t="e">
        <f t="shared" si="55"/>
        <v>#REF!</v>
      </c>
      <c r="AU246" s="2" t="e">
        <f t="shared" si="56"/>
        <v>#REF!</v>
      </c>
      <c r="AV246" s="2" t="e">
        <f t="shared" si="57"/>
        <v>#REF!</v>
      </c>
      <c r="AW246" s="2" t="e">
        <f t="shared" si="58"/>
        <v>#REF!</v>
      </c>
      <c r="AX246" s="2" t="e">
        <f t="shared" si="59"/>
        <v>#REF!</v>
      </c>
      <c r="AY246" s="2" t="e">
        <f t="shared" si="60"/>
        <v>#REF!</v>
      </c>
      <c r="AZ246" s="10">
        <f t="shared" si="61"/>
        <v>0</v>
      </c>
      <c r="BA246" s="5" t="e">
        <f t="shared" si="62"/>
        <v>#REF!</v>
      </c>
    </row>
    <row r="247" spans="33:53" x14ac:dyDescent="0.3">
      <c r="AG247" t="e">
        <f t="shared" si="53"/>
        <v>#REF!</v>
      </c>
      <c r="AH247" t="e">
        <f>#REF!</f>
        <v>#REF!</v>
      </c>
      <c r="AI247" t="e">
        <f>#REF!</f>
        <v>#REF!</v>
      </c>
      <c r="AJ247" s="3" t="e">
        <f>#REF!</f>
        <v>#REF!</v>
      </c>
      <c r="AK247" s="3" t="e">
        <f>#REF!</f>
        <v>#REF!</v>
      </c>
      <c r="AL247" s="3" t="e">
        <f>#REF!</f>
        <v>#REF!</v>
      </c>
      <c r="AM247" s="3" t="e">
        <f>#REF!</f>
        <v>#REF!</v>
      </c>
      <c r="AN247" s="3" t="e">
        <f>#REF!</f>
        <v>#REF!</v>
      </c>
      <c r="AO247" s="3" t="e">
        <f>#REF!</f>
        <v>#REF!</v>
      </c>
      <c r="AP247" s="9" t="e">
        <f>VLOOKUP(AG247,#REF!,10,FALSE)</f>
        <v>#REF!</v>
      </c>
      <c r="AQ247" s="8">
        <f>SUMIFS(Capacity!$G$2:$G$2820,Capacity!$B$2:$B$2820,Demand_Modeling!AG247)</f>
        <v>0</v>
      </c>
      <c r="AS247" s="2" t="e">
        <f t="shared" si="54"/>
        <v>#REF!</v>
      </c>
      <c r="AT247" s="2" t="e">
        <f t="shared" si="55"/>
        <v>#REF!</v>
      </c>
      <c r="AU247" s="2" t="e">
        <f t="shared" si="56"/>
        <v>#REF!</v>
      </c>
      <c r="AV247" s="2" t="e">
        <f t="shared" si="57"/>
        <v>#REF!</v>
      </c>
      <c r="AW247" s="2" t="e">
        <f t="shared" si="58"/>
        <v>#REF!</v>
      </c>
      <c r="AX247" s="2" t="e">
        <f t="shared" si="59"/>
        <v>#REF!</v>
      </c>
      <c r="AY247" s="2" t="e">
        <f t="shared" si="60"/>
        <v>#REF!</v>
      </c>
      <c r="AZ247" s="10">
        <f t="shared" si="61"/>
        <v>0</v>
      </c>
      <c r="BA247" s="5" t="e">
        <f t="shared" si="62"/>
        <v>#REF!</v>
      </c>
    </row>
    <row r="248" spans="33:53" x14ac:dyDescent="0.3">
      <c r="AG248" t="e">
        <f t="shared" si="53"/>
        <v>#REF!</v>
      </c>
      <c r="AH248" t="e">
        <f>#REF!</f>
        <v>#REF!</v>
      </c>
      <c r="AI248" t="e">
        <f>#REF!</f>
        <v>#REF!</v>
      </c>
      <c r="AJ248" s="3" t="e">
        <f>#REF!</f>
        <v>#REF!</v>
      </c>
      <c r="AK248" s="3" t="e">
        <f>#REF!</f>
        <v>#REF!</v>
      </c>
      <c r="AL248" s="3" t="e">
        <f>#REF!</f>
        <v>#REF!</v>
      </c>
      <c r="AM248" s="3" t="e">
        <f>#REF!</f>
        <v>#REF!</v>
      </c>
      <c r="AN248" s="3" t="e">
        <f>#REF!</f>
        <v>#REF!</v>
      </c>
      <c r="AO248" s="3" t="e">
        <f>#REF!</f>
        <v>#REF!</v>
      </c>
      <c r="AP248" s="9" t="e">
        <f>VLOOKUP(AG248,#REF!,10,FALSE)</f>
        <v>#REF!</v>
      </c>
      <c r="AQ248" s="8">
        <f>SUMIFS(Capacity!$G$2:$G$2820,Capacity!$B$2:$B$2820,Demand_Modeling!AG248)</f>
        <v>0</v>
      </c>
      <c r="AS248" s="2" t="e">
        <f t="shared" si="54"/>
        <v>#REF!</v>
      </c>
      <c r="AT248" s="2" t="e">
        <f t="shared" si="55"/>
        <v>#REF!</v>
      </c>
      <c r="AU248" s="2" t="e">
        <f t="shared" si="56"/>
        <v>#REF!</v>
      </c>
      <c r="AV248" s="2" t="e">
        <f t="shared" si="57"/>
        <v>#REF!</v>
      </c>
      <c r="AW248" s="2" t="e">
        <f t="shared" si="58"/>
        <v>#REF!</v>
      </c>
      <c r="AX248" s="2" t="e">
        <f t="shared" si="59"/>
        <v>#REF!</v>
      </c>
      <c r="AY248" s="2" t="e">
        <f t="shared" si="60"/>
        <v>#REF!</v>
      </c>
      <c r="AZ248" s="10">
        <f t="shared" si="61"/>
        <v>0</v>
      </c>
      <c r="BA248" s="5" t="e">
        <f t="shared" si="62"/>
        <v>#REF!</v>
      </c>
    </row>
    <row r="249" spans="33:53" x14ac:dyDescent="0.3">
      <c r="AG249" t="e">
        <f t="shared" si="53"/>
        <v>#REF!</v>
      </c>
      <c r="AH249" t="e">
        <f>#REF!</f>
        <v>#REF!</v>
      </c>
      <c r="AI249" t="e">
        <f>#REF!</f>
        <v>#REF!</v>
      </c>
      <c r="AJ249" s="3" t="e">
        <f>#REF!</f>
        <v>#REF!</v>
      </c>
      <c r="AK249" s="3" t="e">
        <f>#REF!</f>
        <v>#REF!</v>
      </c>
      <c r="AL249" s="3" t="e">
        <f>#REF!</f>
        <v>#REF!</v>
      </c>
      <c r="AM249" s="3" t="e">
        <f>#REF!</f>
        <v>#REF!</v>
      </c>
      <c r="AN249" s="3" t="e">
        <f>#REF!</f>
        <v>#REF!</v>
      </c>
      <c r="AO249" s="3" t="e">
        <f>#REF!</f>
        <v>#REF!</v>
      </c>
      <c r="AP249" s="9" t="e">
        <f>VLOOKUP(AG249,#REF!,10,FALSE)</f>
        <v>#REF!</v>
      </c>
      <c r="AQ249" s="8">
        <f>SUMIFS(Capacity!$G$2:$G$2820,Capacity!$B$2:$B$2820,Demand_Modeling!AG249)</f>
        <v>0</v>
      </c>
      <c r="AS249" s="2" t="e">
        <f t="shared" si="54"/>
        <v>#REF!</v>
      </c>
      <c r="AT249" s="2" t="e">
        <f t="shared" si="55"/>
        <v>#REF!</v>
      </c>
      <c r="AU249" s="2" t="e">
        <f t="shared" si="56"/>
        <v>#REF!</v>
      </c>
      <c r="AV249" s="2" t="e">
        <f t="shared" si="57"/>
        <v>#REF!</v>
      </c>
      <c r="AW249" s="2" t="e">
        <f t="shared" si="58"/>
        <v>#REF!</v>
      </c>
      <c r="AX249" s="2" t="e">
        <f t="shared" si="59"/>
        <v>#REF!</v>
      </c>
      <c r="AY249" s="2" t="e">
        <f t="shared" si="60"/>
        <v>#REF!</v>
      </c>
      <c r="AZ249" s="10">
        <f t="shared" si="61"/>
        <v>0</v>
      </c>
      <c r="BA249" s="5" t="e">
        <f t="shared" si="62"/>
        <v>#REF!</v>
      </c>
    </row>
    <row r="250" spans="33:53" x14ac:dyDescent="0.3">
      <c r="AG250" t="e">
        <f t="shared" si="53"/>
        <v>#REF!</v>
      </c>
      <c r="AH250" t="e">
        <f>#REF!</f>
        <v>#REF!</v>
      </c>
      <c r="AI250" t="e">
        <f>#REF!</f>
        <v>#REF!</v>
      </c>
      <c r="AJ250" s="3" t="e">
        <f>#REF!</f>
        <v>#REF!</v>
      </c>
      <c r="AK250" s="3" t="e">
        <f>#REF!</f>
        <v>#REF!</v>
      </c>
      <c r="AL250" s="3" t="e">
        <f>#REF!</f>
        <v>#REF!</v>
      </c>
      <c r="AM250" s="3" t="e">
        <f>#REF!</f>
        <v>#REF!</v>
      </c>
      <c r="AN250" s="3" t="e">
        <f>#REF!</f>
        <v>#REF!</v>
      </c>
      <c r="AO250" s="3" t="e">
        <f>#REF!</f>
        <v>#REF!</v>
      </c>
      <c r="AP250" s="9" t="e">
        <f>VLOOKUP(AG250,#REF!,10,FALSE)</f>
        <v>#REF!</v>
      </c>
      <c r="AQ250" s="8">
        <f>SUMIFS(Capacity!$G$2:$G$2820,Capacity!$B$2:$B$2820,Demand_Modeling!AG250)</f>
        <v>0</v>
      </c>
      <c r="AS250" s="2" t="e">
        <f t="shared" si="54"/>
        <v>#REF!</v>
      </c>
      <c r="AT250" s="2" t="e">
        <f t="shared" si="55"/>
        <v>#REF!</v>
      </c>
      <c r="AU250" s="2" t="e">
        <f t="shared" si="56"/>
        <v>#REF!</v>
      </c>
      <c r="AV250" s="2" t="e">
        <f t="shared" si="57"/>
        <v>#REF!</v>
      </c>
      <c r="AW250" s="2" t="e">
        <f t="shared" si="58"/>
        <v>#REF!</v>
      </c>
      <c r="AX250" s="2" t="e">
        <f t="shared" si="59"/>
        <v>#REF!</v>
      </c>
      <c r="AY250" s="2" t="e">
        <f t="shared" si="60"/>
        <v>#REF!</v>
      </c>
      <c r="AZ250" s="10">
        <f t="shared" si="61"/>
        <v>0</v>
      </c>
      <c r="BA250" s="5" t="e">
        <f t="shared" si="62"/>
        <v>#REF!</v>
      </c>
    </row>
    <row r="251" spans="33:53" x14ac:dyDescent="0.3">
      <c r="AG251" t="e">
        <f t="shared" si="53"/>
        <v>#REF!</v>
      </c>
      <c r="AH251" t="e">
        <f>#REF!</f>
        <v>#REF!</v>
      </c>
      <c r="AI251" t="e">
        <f>#REF!</f>
        <v>#REF!</v>
      </c>
      <c r="AJ251" s="3" t="e">
        <f>#REF!</f>
        <v>#REF!</v>
      </c>
      <c r="AK251" s="3" t="e">
        <f>#REF!</f>
        <v>#REF!</v>
      </c>
      <c r="AL251" s="3" t="e">
        <f>#REF!</f>
        <v>#REF!</v>
      </c>
      <c r="AM251" s="3" t="e">
        <f>#REF!</f>
        <v>#REF!</v>
      </c>
      <c r="AN251" s="3" t="e">
        <f>#REF!</f>
        <v>#REF!</v>
      </c>
      <c r="AO251" s="3" t="e">
        <f>#REF!</f>
        <v>#REF!</v>
      </c>
      <c r="AP251" s="9" t="e">
        <f>VLOOKUP(AG251,#REF!,10,FALSE)</f>
        <v>#REF!</v>
      </c>
      <c r="AQ251" s="8">
        <f>SUMIFS(Capacity!$G$2:$G$2820,Capacity!$B$2:$B$2820,Demand_Modeling!AG251)</f>
        <v>0</v>
      </c>
      <c r="AS251" s="2" t="e">
        <f t="shared" si="54"/>
        <v>#REF!</v>
      </c>
      <c r="AT251" s="2" t="e">
        <f t="shared" si="55"/>
        <v>#REF!</v>
      </c>
      <c r="AU251" s="2" t="e">
        <f t="shared" si="56"/>
        <v>#REF!</v>
      </c>
      <c r="AV251" s="2" t="e">
        <f t="shared" si="57"/>
        <v>#REF!</v>
      </c>
      <c r="AW251" s="2" t="e">
        <f t="shared" si="58"/>
        <v>#REF!</v>
      </c>
      <c r="AX251" s="2" t="e">
        <f t="shared" si="59"/>
        <v>#REF!</v>
      </c>
      <c r="AY251" s="2" t="e">
        <f t="shared" si="60"/>
        <v>#REF!</v>
      </c>
      <c r="AZ251" s="10">
        <f t="shared" si="61"/>
        <v>0</v>
      </c>
      <c r="BA251" s="5" t="e">
        <f t="shared" si="62"/>
        <v>#REF!</v>
      </c>
    </row>
    <row r="252" spans="33:53" x14ac:dyDescent="0.3">
      <c r="AG252" t="e">
        <f t="shared" si="53"/>
        <v>#REF!</v>
      </c>
      <c r="AH252" t="e">
        <f>#REF!</f>
        <v>#REF!</v>
      </c>
      <c r="AI252" t="e">
        <f>#REF!</f>
        <v>#REF!</v>
      </c>
      <c r="AJ252" s="3" t="e">
        <f>#REF!</f>
        <v>#REF!</v>
      </c>
      <c r="AK252" s="3" t="e">
        <f>#REF!</f>
        <v>#REF!</v>
      </c>
      <c r="AL252" s="3" t="e">
        <f>#REF!</f>
        <v>#REF!</v>
      </c>
      <c r="AM252" s="3" t="e">
        <f>#REF!</f>
        <v>#REF!</v>
      </c>
      <c r="AN252" s="3" t="e">
        <f>#REF!</f>
        <v>#REF!</v>
      </c>
      <c r="AO252" s="3" t="e">
        <f>#REF!</f>
        <v>#REF!</v>
      </c>
      <c r="AP252" s="9" t="e">
        <f>VLOOKUP(AG252,#REF!,10,FALSE)</f>
        <v>#REF!</v>
      </c>
      <c r="AQ252" s="8">
        <f>SUMIFS(Capacity!$G$2:$G$2820,Capacity!$B$2:$B$2820,Demand_Modeling!AG252)</f>
        <v>0</v>
      </c>
      <c r="AS252" s="2" t="e">
        <f t="shared" si="54"/>
        <v>#REF!</v>
      </c>
      <c r="AT252" s="2" t="e">
        <f t="shared" si="55"/>
        <v>#REF!</v>
      </c>
      <c r="AU252" s="2" t="e">
        <f t="shared" si="56"/>
        <v>#REF!</v>
      </c>
      <c r="AV252" s="2" t="e">
        <f t="shared" si="57"/>
        <v>#REF!</v>
      </c>
      <c r="AW252" s="2" t="e">
        <f t="shared" si="58"/>
        <v>#REF!</v>
      </c>
      <c r="AX252" s="2" t="e">
        <f t="shared" si="59"/>
        <v>#REF!</v>
      </c>
      <c r="AY252" s="2" t="e">
        <f t="shared" si="60"/>
        <v>#REF!</v>
      </c>
      <c r="AZ252" s="10">
        <f t="shared" si="61"/>
        <v>0</v>
      </c>
      <c r="BA252" s="5" t="e">
        <f t="shared" si="62"/>
        <v>#REF!</v>
      </c>
    </row>
    <row r="253" spans="33:53" x14ac:dyDescent="0.3">
      <c r="AG253" t="e">
        <f t="shared" si="53"/>
        <v>#REF!</v>
      </c>
      <c r="AH253" t="e">
        <f>#REF!</f>
        <v>#REF!</v>
      </c>
      <c r="AI253" t="e">
        <f>#REF!</f>
        <v>#REF!</v>
      </c>
      <c r="AJ253" s="3" t="e">
        <f>#REF!</f>
        <v>#REF!</v>
      </c>
      <c r="AK253" s="3" t="e">
        <f>#REF!</f>
        <v>#REF!</v>
      </c>
      <c r="AL253" s="3" t="e">
        <f>#REF!</f>
        <v>#REF!</v>
      </c>
      <c r="AM253" s="3" t="e">
        <f>#REF!</f>
        <v>#REF!</v>
      </c>
      <c r="AN253" s="3" t="e">
        <f>#REF!</f>
        <v>#REF!</v>
      </c>
      <c r="AO253" s="3" t="e">
        <f>#REF!</f>
        <v>#REF!</v>
      </c>
      <c r="AP253" s="9" t="e">
        <f>VLOOKUP(AG253,#REF!,10,FALSE)</f>
        <v>#REF!</v>
      </c>
      <c r="AQ253" s="8">
        <f>SUMIFS(Capacity!$G$2:$G$2820,Capacity!$B$2:$B$2820,Demand_Modeling!AG253)</f>
        <v>0</v>
      </c>
      <c r="AS253" s="2" t="e">
        <f t="shared" si="54"/>
        <v>#REF!</v>
      </c>
      <c r="AT253" s="2" t="e">
        <f t="shared" si="55"/>
        <v>#REF!</v>
      </c>
      <c r="AU253" s="2" t="e">
        <f t="shared" si="56"/>
        <v>#REF!</v>
      </c>
      <c r="AV253" s="2" t="e">
        <f t="shared" si="57"/>
        <v>#REF!</v>
      </c>
      <c r="AW253" s="2" t="e">
        <f t="shared" si="58"/>
        <v>#REF!</v>
      </c>
      <c r="AX253" s="2" t="e">
        <f t="shared" si="59"/>
        <v>#REF!</v>
      </c>
      <c r="AY253" s="2" t="e">
        <f t="shared" si="60"/>
        <v>#REF!</v>
      </c>
      <c r="AZ253" s="10">
        <f t="shared" si="61"/>
        <v>0</v>
      </c>
      <c r="BA253" s="5" t="e">
        <f t="shared" si="62"/>
        <v>#REF!</v>
      </c>
    </row>
    <row r="254" spans="33:53" x14ac:dyDescent="0.3">
      <c r="AG254" t="e">
        <f t="shared" si="53"/>
        <v>#REF!</v>
      </c>
      <c r="AH254" t="e">
        <f>#REF!</f>
        <v>#REF!</v>
      </c>
      <c r="AI254" t="e">
        <f>#REF!</f>
        <v>#REF!</v>
      </c>
      <c r="AJ254" s="3" t="e">
        <f>#REF!</f>
        <v>#REF!</v>
      </c>
      <c r="AK254" s="3" t="e">
        <f>#REF!</f>
        <v>#REF!</v>
      </c>
      <c r="AL254" s="3" t="e">
        <f>#REF!</f>
        <v>#REF!</v>
      </c>
      <c r="AM254" s="3" t="e">
        <f>#REF!</f>
        <v>#REF!</v>
      </c>
      <c r="AN254" s="3" t="e">
        <f>#REF!</f>
        <v>#REF!</v>
      </c>
      <c r="AO254" s="3" t="e">
        <f>#REF!</f>
        <v>#REF!</v>
      </c>
      <c r="AP254" s="9" t="e">
        <f>VLOOKUP(AG254,#REF!,10,FALSE)</f>
        <v>#REF!</v>
      </c>
      <c r="AQ254" s="8">
        <f>SUMIFS(Capacity!$G$2:$G$2820,Capacity!$B$2:$B$2820,Demand_Modeling!AG254)</f>
        <v>0</v>
      </c>
      <c r="AS254" s="2" t="e">
        <f t="shared" si="54"/>
        <v>#REF!</v>
      </c>
      <c r="AT254" s="2" t="e">
        <f t="shared" si="55"/>
        <v>#REF!</v>
      </c>
      <c r="AU254" s="2" t="e">
        <f t="shared" si="56"/>
        <v>#REF!</v>
      </c>
      <c r="AV254" s="2" t="e">
        <f t="shared" si="57"/>
        <v>#REF!</v>
      </c>
      <c r="AW254" s="2" t="e">
        <f t="shared" si="58"/>
        <v>#REF!</v>
      </c>
      <c r="AX254" s="2" t="e">
        <f t="shared" si="59"/>
        <v>#REF!</v>
      </c>
      <c r="AY254" s="2" t="e">
        <f t="shared" si="60"/>
        <v>#REF!</v>
      </c>
      <c r="AZ254" s="10">
        <f t="shared" si="61"/>
        <v>0</v>
      </c>
      <c r="BA254" s="5" t="e">
        <f t="shared" si="62"/>
        <v>#REF!</v>
      </c>
    </row>
    <row r="255" spans="33:53" x14ac:dyDescent="0.3">
      <c r="AG255" t="e">
        <f t="shared" si="53"/>
        <v>#REF!</v>
      </c>
      <c r="AH255" t="e">
        <f>#REF!</f>
        <v>#REF!</v>
      </c>
      <c r="AI255" t="e">
        <f>#REF!</f>
        <v>#REF!</v>
      </c>
      <c r="AJ255" s="3" t="e">
        <f>#REF!</f>
        <v>#REF!</v>
      </c>
      <c r="AK255" s="3" t="e">
        <f>#REF!</f>
        <v>#REF!</v>
      </c>
      <c r="AL255" s="3" t="e">
        <f>#REF!</f>
        <v>#REF!</v>
      </c>
      <c r="AM255" s="3" t="e">
        <f>#REF!</f>
        <v>#REF!</v>
      </c>
      <c r="AN255" s="3" t="e">
        <f>#REF!</f>
        <v>#REF!</v>
      </c>
      <c r="AO255" s="3" t="e">
        <f>#REF!</f>
        <v>#REF!</v>
      </c>
      <c r="AP255" s="9" t="e">
        <f>VLOOKUP(AG255,#REF!,10,FALSE)</f>
        <v>#REF!</v>
      </c>
      <c r="AQ255" s="8">
        <f>SUMIFS(Capacity!$G$2:$G$2820,Capacity!$B$2:$B$2820,Demand_Modeling!AG255)</f>
        <v>0</v>
      </c>
      <c r="AS255" s="2" t="e">
        <f t="shared" si="54"/>
        <v>#REF!</v>
      </c>
      <c r="AT255" s="2" t="e">
        <f t="shared" si="55"/>
        <v>#REF!</v>
      </c>
      <c r="AU255" s="2" t="e">
        <f t="shared" si="56"/>
        <v>#REF!</v>
      </c>
      <c r="AV255" s="2" t="e">
        <f t="shared" si="57"/>
        <v>#REF!</v>
      </c>
      <c r="AW255" s="2" t="e">
        <f t="shared" si="58"/>
        <v>#REF!</v>
      </c>
      <c r="AX255" s="2" t="e">
        <f t="shared" si="59"/>
        <v>#REF!</v>
      </c>
      <c r="AY255" s="2" t="e">
        <f t="shared" si="60"/>
        <v>#REF!</v>
      </c>
      <c r="AZ255" s="10">
        <f t="shared" si="61"/>
        <v>0</v>
      </c>
      <c r="BA255" s="5" t="e">
        <f t="shared" si="62"/>
        <v>#REF!</v>
      </c>
    </row>
    <row r="256" spans="33:53" x14ac:dyDescent="0.3">
      <c r="AG256" t="e">
        <f t="shared" si="53"/>
        <v>#REF!</v>
      </c>
      <c r="AH256" t="e">
        <f>#REF!</f>
        <v>#REF!</v>
      </c>
      <c r="AI256" t="e">
        <f>#REF!</f>
        <v>#REF!</v>
      </c>
      <c r="AJ256" s="3" t="e">
        <f>#REF!</f>
        <v>#REF!</v>
      </c>
      <c r="AK256" s="3" t="e">
        <f>#REF!</f>
        <v>#REF!</v>
      </c>
      <c r="AL256" s="3" t="e">
        <f>#REF!</f>
        <v>#REF!</v>
      </c>
      <c r="AM256" s="3" t="e">
        <f>#REF!</f>
        <v>#REF!</v>
      </c>
      <c r="AN256" s="3" t="e">
        <f>#REF!</f>
        <v>#REF!</v>
      </c>
      <c r="AO256" s="3" t="e">
        <f>#REF!</f>
        <v>#REF!</v>
      </c>
      <c r="AP256" s="9" t="e">
        <f>VLOOKUP(AG256,#REF!,10,FALSE)</f>
        <v>#REF!</v>
      </c>
      <c r="AQ256" s="8">
        <f>SUMIFS(Capacity!$G$2:$G$2820,Capacity!$B$2:$B$2820,Demand_Modeling!AG256)</f>
        <v>0</v>
      </c>
      <c r="AS256" s="2" t="e">
        <f t="shared" si="54"/>
        <v>#REF!</v>
      </c>
      <c r="AT256" s="2" t="e">
        <f t="shared" si="55"/>
        <v>#REF!</v>
      </c>
      <c r="AU256" s="2" t="e">
        <f t="shared" si="56"/>
        <v>#REF!</v>
      </c>
      <c r="AV256" s="2" t="e">
        <f t="shared" si="57"/>
        <v>#REF!</v>
      </c>
      <c r="AW256" s="2" t="e">
        <f t="shared" si="58"/>
        <v>#REF!</v>
      </c>
      <c r="AX256" s="2" t="e">
        <f t="shared" si="59"/>
        <v>#REF!</v>
      </c>
      <c r="AY256" s="2" t="e">
        <f t="shared" si="60"/>
        <v>#REF!</v>
      </c>
      <c r="AZ256" s="10">
        <f t="shared" si="61"/>
        <v>0</v>
      </c>
      <c r="BA256" s="5" t="e">
        <f t="shared" si="62"/>
        <v>#REF!</v>
      </c>
    </row>
    <row r="257" spans="33:53" x14ac:dyDescent="0.3">
      <c r="AG257" t="e">
        <f t="shared" si="53"/>
        <v>#REF!</v>
      </c>
      <c r="AH257" t="e">
        <f>#REF!</f>
        <v>#REF!</v>
      </c>
      <c r="AI257" t="e">
        <f>#REF!</f>
        <v>#REF!</v>
      </c>
      <c r="AJ257" s="3" t="e">
        <f>#REF!</f>
        <v>#REF!</v>
      </c>
      <c r="AK257" s="3" t="e">
        <f>#REF!</f>
        <v>#REF!</v>
      </c>
      <c r="AL257" s="3" t="e">
        <f>#REF!</f>
        <v>#REF!</v>
      </c>
      <c r="AM257" s="3" t="e">
        <f>#REF!</f>
        <v>#REF!</v>
      </c>
      <c r="AN257" s="3" t="e">
        <f>#REF!</f>
        <v>#REF!</v>
      </c>
      <c r="AO257" s="3" t="e">
        <f>#REF!</f>
        <v>#REF!</v>
      </c>
      <c r="AP257" s="9" t="e">
        <f>VLOOKUP(AG257,#REF!,10,FALSE)</f>
        <v>#REF!</v>
      </c>
      <c r="AQ257" s="8">
        <f>SUMIFS(Capacity!$G$2:$G$2820,Capacity!$B$2:$B$2820,Demand_Modeling!AG257)</f>
        <v>0</v>
      </c>
      <c r="AS257" s="2" t="e">
        <f t="shared" si="54"/>
        <v>#REF!</v>
      </c>
      <c r="AT257" s="2" t="e">
        <f t="shared" si="55"/>
        <v>#REF!</v>
      </c>
      <c r="AU257" s="2" t="e">
        <f t="shared" si="56"/>
        <v>#REF!</v>
      </c>
      <c r="AV257" s="2" t="e">
        <f t="shared" si="57"/>
        <v>#REF!</v>
      </c>
      <c r="AW257" s="2" t="e">
        <f t="shared" si="58"/>
        <v>#REF!</v>
      </c>
      <c r="AX257" s="2" t="e">
        <f t="shared" si="59"/>
        <v>#REF!</v>
      </c>
      <c r="AY257" s="2" t="e">
        <f t="shared" si="60"/>
        <v>#REF!</v>
      </c>
      <c r="AZ257" s="10">
        <f t="shared" si="61"/>
        <v>0</v>
      </c>
      <c r="BA257" s="5" t="e">
        <f t="shared" si="62"/>
        <v>#REF!</v>
      </c>
    </row>
    <row r="258" spans="33:53" x14ac:dyDescent="0.3">
      <c r="AG258" t="e">
        <f t="shared" si="53"/>
        <v>#REF!</v>
      </c>
      <c r="AH258" t="e">
        <f>#REF!</f>
        <v>#REF!</v>
      </c>
      <c r="AI258" t="e">
        <f>#REF!</f>
        <v>#REF!</v>
      </c>
      <c r="AJ258" s="3" t="e">
        <f>#REF!</f>
        <v>#REF!</v>
      </c>
      <c r="AK258" s="3" t="e">
        <f>#REF!</f>
        <v>#REF!</v>
      </c>
      <c r="AL258" s="3" t="e">
        <f>#REF!</f>
        <v>#REF!</v>
      </c>
      <c r="AM258" s="3" t="e">
        <f>#REF!</f>
        <v>#REF!</v>
      </c>
      <c r="AN258" s="3" t="e">
        <f>#REF!</f>
        <v>#REF!</v>
      </c>
      <c r="AO258" s="3" t="e">
        <f>#REF!</f>
        <v>#REF!</v>
      </c>
      <c r="AP258" s="9" t="e">
        <f>VLOOKUP(AG258,#REF!,10,FALSE)</f>
        <v>#REF!</v>
      </c>
      <c r="AQ258" s="8">
        <f>SUMIFS(Capacity!$G$2:$G$2820,Capacity!$B$2:$B$2820,Demand_Modeling!AG258)</f>
        <v>0</v>
      </c>
      <c r="AS258" s="2" t="e">
        <f t="shared" si="54"/>
        <v>#REF!</v>
      </c>
      <c r="AT258" s="2" t="e">
        <f t="shared" si="55"/>
        <v>#REF!</v>
      </c>
      <c r="AU258" s="2" t="e">
        <f t="shared" si="56"/>
        <v>#REF!</v>
      </c>
      <c r="AV258" s="2" t="e">
        <f t="shared" si="57"/>
        <v>#REF!</v>
      </c>
      <c r="AW258" s="2" t="e">
        <f t="shared" si="58"/>
        <v>#REF!</v>
      </c>
      <c r="AX258" s="2" t="e">
        <f t="shared" si="59"/>
        <v>#REF!</v>
      </c>
      <c r="AY258" s="2" t="e">
        <f t="shared" si="60"/>
        <v>#REF!</v>
      </c>
      <c r="AZ258" s="10">
        <f t="shared" si="61"/>
        <v>0</v>
      </c>
      <c r="BA258" s="5" t="e">
        <f t="shared" si="62"/>
        <v>#REF!</v>
      </c>
    </row>
    <row r="259" spans="33:53" x14ac:dyDescent="0.3">
      <c r="AG259" t="e">
        <f t="shared" si="53"/>
        <v>#REF!</v>
      </c>
      <c r="AH259" t="e">
        <f>#REF!</f>
        <v>#REF!</v>
      </c>
      <c r="AI259" t="e">
        <f>#REF!</f>
        <v>#REF!</v>
      </c>
      <c r="AJ259" s="3" t="e">
        <f>#REF!</f>
        <v>#REF!</v>
      </c>
      <c r="AK259" s="3" t="e">
        <f>#REF!</f>
        <v>#REF!</v>
      </c>
      <c r="AL259" s="3" t="e">
        <f>#REF!</f>
        <v>#REF!</v>
      </c>
      <c r="AM259" s="3" t="e">
        <f>#REF!</f>
        <v>#REF!</v>
      </c>
      <c r="AN259" s="3" t="e">
        <f>#REF!</f>
        <v>#REF!</v>
      </c>
      <c r="AO259" s="3" t="e">
        <f>#REF!</f>
        <v>#REF!</v>
      </c>
      <c r="AP259" s="9" t="e">
        <f>VLOOKUP(AG259,#REF!,10,FALSE)</f>
        <v>#REF!</v>
      </c>
      <c r="AQ259" s="8">
        <f>SUMIFS(Capacity!$G$2:$G$2820,Capacity!$B$2:$B$2820,Demand_Modeling!AG259)</f>
        <v>0</v>
      </c>
      <c r="AS259" s="2" t="e">
        <f t="shared" si="54"/>
        <v>#REF!</v>
      </c>
      <c r="AT259" s="2" t="e">
        <f t="shared" si="55"/>
        <v>#REF!</v>
      </c>
      <c r="AU259" s="2" t="e">
        <f t="shared" si="56"/>
        <v>#REF!</v>
      </c>
      <c r="AV259" s="2" t="e">
        <f t="shared" si="57"/>
        <v>#REF!</v>
      </c>
      <c r="AW259" s="2" t="e">
        <f t="shared" si="58"/>
        <v>#REF!</v>
      </c>
      <c r="AX259" s="2" t="e">
        <f t="shared" si="59"/>
        <v>#REF!</v>
      </c>
      <c r="AY259" s="2" t="e">
        <f t="shared" si="60"/>
        <v>#REF!</v>
      </c>
      <c r="AZ259" s="10">
        <f t="shared" si="61"/>
        <v>0</v>
      </c>
      <c r="BA259" s="5" t="e">
        <f t="shared" si="62"/>
        <v>#REF!</v>
      </c>
    </row>
    <row r="260" spans="33:53" x14ac:dyDescent="0.3">
      <c r="AG260" t="e">
        <f t="shared" si="53"/>
        <v>#REF!</v>
      </c>
      <c r="AH260" t="e">
        <f>#REF!</f>
        <v>#REF!</v>
      </c>
      <c r="AI260" t="e">
        <f>#REF!</f>
        <v>#REF!</v>
      </c>
      <c r="AJ260" s="3" t="e">
        <f>#REF!</f>
        <v>#REF!</v>
      </c>
      <c r="AK260" s="3" t="e">
        <f>#REF!</f>
        <v>#REF!</v>
      </c>
      <c r="AL260" s="3" t="e">
        <f>#REF!</f>
        <v>#REF!</v>
      </c>
      <c r="AM260" s="3" t="e">
        <f>#REF!</f>
        <v>#REF!</v>
      </c>
      <c r="AN260" s="3" t="e">
        <f>#REF!</f>
        <v>#REF!</v>
      </c>
      <c r="AO260" s="3" t="e">
        <f>#REF!</f>
        <v>#REF!</v>
      </c>
      <c r="AP260" s="9" t="e">
        <f>VLOOKUP(AG260,#REF!,10,FALSE)</f>
        <v>#REF!</v>
      </c>
      <c r="AQ260" s="8">
        <f>SUMIFS(Capacity!$G$2:$G$2820,Capacity!$B$2:$B$2820,Demand_Modeling!AG260)</f>
        <v>0</v>
      </c>
      <c r="AS260" s="2" t="e">
        <f t="shared" si="54"/>
        <v>#REF!</v>
      </c>
      <c r="AT260" s="2" t="e">
        <f t="shared" si="55"/>
        <v>#REF!</v>
      </c>
      <c r="AU260" s="2" t="e">
        <f t="shared" si="56"/>
        <v>#REF!</v>
      </c>
      <c r="AV260" s="2" t="e">
        <f t="shared" si="57"/>
        <v>#REF!</v>
      </c>
      <c r="AW260" s="2" t="e">
        <f t="shared" si="58"/>
        <v>#REF!</v>
      </c>
      <c r="AX260" s="2" t="e">
        <f t="shared" si="59"/>
        <v>#REF!</v>
      </c>
      <c r="AY260" s="2" t="e">
        <f t="shared" si="60"/>
        <v>#REF!</v>
      </c>
      <c r="AZ260" s="10">
        <f t="shared" si="61"/>
        <v>0</v>
      </c>
      <c r="BA260" s="5" t="e">
        <f t="shared" si="62"/>
        <v>#REF!</v>
      </c>
    </row>
    <row r="261" spans="33:53" x14ac:dyDescent="0.3">
      <c r="AG261" t="e">
        <f t="shared" si="53"/>
        <v>#REF!</v>
      </c>
      <c r="AH261" t="e">
        <f>#REF!</f>
        <v>#REF!</v>
      </c>
      <c r="AI261" t="e">
        <f>#REF!</f>
        <v>#REF!</v>
      </c>
      <c r="AJ261" s="3" t="e">
        <f>#REF!</f>
        <v>#REF!</v>
      </c>
      <c r="AK261" s="3" t="e">
        <f>#REF!</f>
        <v>#REF!</v>
      </c>
      <c r="AL261" s="3" t="e">
        <f>#REF!</f>
        <v>#REF!</v>
      </c>
      <c r="AM261" s="3" t="e">
        <f>#REF!</f>
        <v>#REF!</v>
      </c>
      <c r="AN261" s="3" t="e">
        <f>#REF!</f>
        <v>#REF!</v>
      </c>
      <c r="AO261" s="3" t="e">
        <f>#REF!</f>
        <v>#REF!</v>
      </c>
      <c r="AP261" s="9" t="e">
        <f>VLOOKUP(AG261,#REF!,10,FALSE)</f>
        <v>#REF!</v>
      </c>
      <c r="AQ261" s="8">
        <f>SUMIFS(Capacity!$G$2:$G$2820,Capacity!$B$2:$B$2820,Demand_Modeling!AG261)</f>
        <v>0</v>
      </c>
      <c r="AS261" s="2" t="e">
        <f t="shared" si="54"/>
        <v>#REF!</v>
      </c>
      <c r="AT261" s="2" t="e">
        <f t="shared" si="55"/>
        <v>#REF!</v>
      </c>
      <c r="AU261" s="2" t="e">
        <f t="shared" si="56"/>
        <v>#REF!</v>
      </c>
      <c r="AV261" s="2" t="e">
        <f t="shared" si="57"/>
        <v>#REF!</v>
      </c>
      <c r="AW261" s="2" t="e">
        <f t="shared" si="58"/>
        <v>#REF!</v>
      </c>
      <c r="AX261" s="2" t="e">
        <f t="shared" si="59"/>
        <v>#REF!</v>
      </c>
      <c r="AY261" s="2" t="e">
        <f t="shared" si="60"/>
        <v>#REF!</v>
      </c>
      <c r="AZ261" s="10">
        <f t="shared" si="61"/>
        <v>0</v>
      </c>
      <c r="BA261" s="5" t="e">
        <f t="shared" si="62"/>
        <v>#REF!</v>
      </c>
    </row>
    <row r="262" spans="33:53" x14ac:dyDescent="0.3">
      <c r="AG262" t="e">
        <f t="shared" si="53"/>
        <v>#REF!</v>
      </c>
      <c r="AH262" t="e">
        <f>#REF!</f>
        <v>#REF!</v>
      </c>
      <c r="AI262" t="e">
        <f>#REF!</f>
        <v>#REF!</v>
      </c>
      <c r="AJ262" s="3" t="e">
        <f>#REF!</f>
        <v>#REF!</v>
      </c>
      <c r="AK262" s="3" t="e">
        <f>#REF!</f>
        <v>#REF!</v>
      </c>
      <c r="AL262" s="3" t="e">
        <f>#REF!</f>
        <v>#REF!</v>
      </c>
      <c r="AM262" s="3" t="e">
        <f>#REF!</f>
        <v>#REF!</v>
      </c>
      <c r="AN262" s="3" t="e">
        <f>#REF!</f>
        <v>#REF!</v>
      </c>
      <c r="AO262" s="3" t="e">
        <f>#REF!</f>
        <v>#REF!</v>
      </c>
      <c r="AP262" s="9" t="e">
        <f>VLOOKUP(AG262,#REF!,10,FALSE)</f>
        <v>#REF!</v>
      </c>
      <c r="AQ262" s="8">
        <f>SUMIFS(Capacity!$G$2:$G$2820,Capacity!$B$2:$B$2820,Demand_Modeling!AG262)</f>
        <v>0</v>
      </c>
      <c r="AS262" s="2" t="e">
        <f t="shared" si="54"/>
        <v>#REF!</v>
      </c>
      <c r="AT262" s="2" t="e">
        <f t="shared" si="55"/>
        <v>#REF!</v>
      </c>
      <c r="AU262" s="2" t="e">
        <f t="shared" si="56"/>
        <v>#REF!</v>
      </c>
      <c r="AV262" s="2" t="e">
        <f t="shared" si="57"/>
        <v>#REF!</v>
      </c>
      <c r="AW262" s="2" t="e">
        <f t="shared" si="58"/>
        <v>#REF!</v>
      </c>
      <c r="AX262" s="2" t="e">
        <f t="shared" si="59"/>
        <v>#REF!</v>
      </c>
      <c r="AY262" s="2" t="e">
        <f t="shared" si="60"/>
        <v>#REF!</v>
      </c>
      <c r="AZ262" s="10">
        <f t="shared" si="61"/>
        <v>0</v>
      </c>
      <c r="BA262" s="5" t="e">
        <f t="shared" si="62"/>
        <v>#REF!</v>
      </c>
    </row>
    <row r="263" spans="33:53" x14ac:dyDescent="0.3">
      <c r="AG263" t="e">
        <f t="shared" si="53"/>
        <v>#REF!</v>
      </c>
      <c r="AH263" t="e">
        <f>#REF!</f>
        <v>#REF!</v>
      </c>
      <c r="AI263" t="e">
        <f>#REF!</f>
        <v>#REF!</v>
      </c>
      <c r="AJ263" s="3" t="e">
        <f>#REF!</f>
        <v>#REF!</v>
      </c>
      <c r="AK263" s="3" t="e">
        <f>#REF!</f>
        <v>#REF!</v>
      </c>
      <c r="AL263" s="3" t="e">
        <f>#REF!</f>
        <v>#REF!</v>
      </c>
      <c r="AM263" s="3" t="e">
        <f>#REF!</f>
        <v>#REF!</v>
      </c>
      <c r="AN263" s="3" t="e">
        <f>#REF!</f>
        <v>#REF!</v>
      </c>
      <c r="AO263" s="3" t="e">
        <f>#REF!</f>
        <v>#REF!</v>
      </c>
      <c r="AP263" s="9" t="e">
        <f>VLOOKUP(AG263,#REF!,10,FALSE)</f>
        <v>#REF!</v>
      </c>
      <c r="AQ263" s="8">
        <f>SUMIFS(Capacity!$G$2:$G$2820,Capacity!$B$2:$B$2820,Demand_Modeling!AG263)</f>
        <v>0</v>
      </c>
      <c r="AS263" s="2" t="e">
        <f t="shared" si="54"/>
        <v>#REF!</v>
      </c>
      <c r="AT263" s="2" t="e">
        <f t="shared" si="55"/>
        <v>#REF!</v>
      </c>
      <c r="AU263" s="2" t="e">
        <f t="shared" si="56"/>
        <v>#REF!</v>
      </c>
      <c r="AV263" s="2" t="e">
        <f t="shared" si="57"/>
        <v>#REF!</v>
      </c>
      <c r="AW263" s="2" t="e">
        <f t="shared" si="58"/>
        <v>#REF!</v>
      </c>
      <c r="AX263" s="2" t="e">
        <f t="shared" si="59"/>
        <v>#REF!</v>
      </c>
      <c r="AY263" s="2" t="e">
        <f t="shared" si="60"/>
        <v>#REF!</v>
      </c>
      <c r="AZ263" s="10">
        <f t="shared" si="61"/>
        <v>0</v>
      </c>
      <c r="BA263" s="5" t="e">
        <f t="shared" si="62"/>
        <v>#REF!</v>
      </c>
    </row>
    <row r="264" spans="33:53" x14ac:dyDescent="0.3">
      <c r="AG264" t="e">
        <f t="shared" si="53"/>
        <v>#REF!</v>
      </c>
      <c r="AH264" t="e">
        <f>#REF!</f>
        <v>#REF!</v>
      </c>
      <c r="AI264" t="e">
        <f>#REF!</f>
        <v>#REF!</v>
      </c>
      <c r="AJ264" s="3" t="e">
        <f>#REF!</f>
        <v>#REF!</v>
      </c>
      <c r="AK264" s="3" t="e">
        <f>#REF!</f>
        <v>#REF!</v>
      </c>
      <c r="AL264" s="3" t="e">
        <f>#REF!</f>
        <v>#REF!</v>
      </c>
      <c r="AM264" s="3" t="e">
        <f>#REF!</f>
        <v>#REF!</v>
      </c>
      <c r="AN264" s="3" t="e">
        <f>#REF!</f>
        <v>#REF!</v>
      </c>
      <c r="AO264" s="3" t="e">
        <f>#REF!</f>
        <v>#REF!</v>
      </c>
      <c r="AP264" s="9" t="e">
        <f>VLOOKUP(AG264,#REF!,10,FALSE)</f>
        <v>#REF!</v>
      </c>
      <c r="AQ264" s="8">
        <f>SUMIFS(Capacity!$G$2:$G$2820,Capacity!$B$2:$B$2820,Demand_Modeling!AG264)</f>
        <v>0</v>
      </c>
      <c r="AS264" s="2" t="e">
        <f t="shared" si="54"/>
        <v>#REF!</v>
      </c>
      <c r="AT264" s="2" t="e">
        <f t="shared" si="55"/>
        <v>#REF!</v>
      </c>
      <c r="AU264" s="2" t="e">
        <f t="shared" si="56"/>
        <v>#REF!</v>
      </c>
      <c r="AV264" s="2" t="e">
        <f t="shared" si="57"/>
        <v>#REF!</v>
      </c>
      <c r="AW264" s="2" t="e">
        <f t="shared" si="58"/>
        <v>#REF!</v>
      </c>
      <c r="AX264" s="2" t="e">
        <f t="shared" si="59"/>
        <v>#REF!</v>
      </c>
      <c r="AY264" s="2" t="e">
        <f t="shared" si="60"/>
        <v>#REF!</v>
      </c>
      <c r="AZ264" s="10">
        <f t="shared" si="61"/>
        <v>0</v>
      </c>
      <c r="BA264" s="5" t="e">
        <f t="shared" si="62"/>
        <v>#REF!</v>
      </c>
    </row>
    <row r="265" spans="33:53" x14ac:dyDescent="0.3">
      <c r="AG265" t="e">
        <f t="shared" si="53"/>
        <v>#REF!</v>
      </c>
      <c r="AH265" t="e">
        <f>#REF!</f>
        <v>#REF!</v>
      </c>
      <c r="AI265" t="e">
        <f>#REF!</f>
        <v>#REF!</v>
      </c>
      <c r="AJ265" s="3" t="e">
        <f>#REF!</f>
        <v>#REF!</v>
      </c>
      <c r="AK265" s="3" t="e">
        <f>#REF!</f>
        <v>#REF!</v>
      </c>
      <c r="AL265" s="3" t="e">
        <f>#REF!</f>
        <v>#REF!</v>
      </c>
      <c r="AM265" s="3" t="e">
        <f>#REF!</f>
        <v>#REF!</v>
      </c>
      <c r="AN265" s="3" t="e">
        <f>#REF!</f>
        <v>#REF!</v>
      </c>
      <c r="AO265" s="3" t="e">
        <f>#REF!</f>
        <v>#REF!</v>
      </c>
      <c r="AP265" s="9" t="e">
        <f>VLOOKUP(AG265,#REF!,10,FALSE)</f>
        <v>#REF!</v>
      </c>
      <c r="AQ265" s="8">
        <f>SUMIFS(Capacity!$G$2:$G$2820,Capacity!$B$2:$B$2820,Demand_Modeling!AG265)</f>
        <v>0</v>
      </c>
      <c r="AS265" s="2" t="e">
        <f t="shared" si="54"/>
        <v>#REF!</v>
      </c>
      <c r="AT265" s="2" t="e">
        <f t="shared" si="55"/>
        <v>#REF!</v>
      </c>
      <c r="AU265" s="2" t="e">
        <f t="shared" si="56"/>
        <v>#REF!</v>
      </c>
      <c r="AV265" s="2" t="e">
        <f t="shared" si="57"/>
        <v>#REF!</v>
      </c>
      <c r="AW265" s="2" t="e">
        <f t="shared" si="58"/>
        <v>#REF!</v>
      </c>
      <c r="AX265" s="2" t="e">
        <f t="shared" si="59"/>
        <v>#REF!</v>
      </c>
      <c r="AY265" s="2" t="e">
        <f t="shared" si="60"/>
        <v>#REF!</v>
      </c>
      <c r="AZ265" s="10">
        <f t="shared" si="61"/>
        <v>0</v>
      </c>
      <c r="BA265" s="5" t="e">
        <f t="shared" si="62"/>
        <v>#REF!</v>
      </c>
    </row>
    <row r="266" spans="33:53" x14ac:dyDescent="0.3">
      <c r="AG266" t="e">
        <f t="shared" si="53"/>
        <v>#REF!</v>
      </c>
      <c r="AH266" t="e">
        <f>#REF!</f>
        <v>#REF!</v>
      </c>
      <c r="AI266" t="e">
        <f>#REF!</f>
        <v>#REF!</v>
      </c>
      <c r="AJ266" s="3" t="e">
        <f>#REF!</f>
        <v>#REF!</v>
      </c>
      <c r="AK266" s="3" t="e">
        <f>#REF!</f>
        <v>#REF!</v>
      </c>
      <c r="AL266" s="3" t="e">
        <f>#REF!</f>
        <v>#REF!</v>
      </c>
      <c r="AM266" s="3" t="e">
        <f>#REF!</f>
        <v>#REF!</v>
      </c>
      <c r="AN266" s="3" t="e">
        <f>#REF!</f>
        <v>#REF!</v>
      </c>
      <c r="AO266" s="3" t="e">
        <f>#REF!</f>
        <v>#REF!</v>
      </c>
      <c r="AP266" s="9" t="e">
        <f>VLOOKUP(AG266,#REF!,10,FALSE)</f>
        <v>#REF!</v>
      </c>
      <c r="AQ266" s="8">
        <f>SUMIFS(Capacity!$G$2:$G$2820,Capacity!$B$2:$B$2820,Demand_Modeling!AG266)</f>
        <v>0</v>
      </c>
      <c r="AS266" s="2" t="e">
        <f t="shared" si="54"/>
        <v>#REF!</v>
      </c>
      <c r="AT266" s="2" t="e">
        <f t="shared" si="55"/>
        <v>#REF!</v>
      </c>
      <c r="AU266" s="2" t="e">
        <f t="shared" si="56"/>
        <v>#REF!</v>
      </c>
      <c r="AV266" s="2" t="e">
        <f t="shared" si="57"/>
        <v>#REF!</v>
      </c>
      <c r="AW266" s="2" t="e">
        <f t="shared" si="58"/>
        <v>#REF!</v>
      </c>
      <c r="AX266" s="2" t="e">
        <f t="shared" si="59"/>
        <v>#REF!</v>
      </c>
      <c r="AY266" s="2" t="e">
        <f t="shared" si="60"/>
        <v>#REF!</v>
      </c>
      <c r="AZ266" s="10">
        <f t="shared" si="61"/>
        <v>0</v>
      </c>
      <c r="BA266" s="5" t="e">
        <f t="shared" si="62"/>
        <v>#REF!</v>
      </c>
    </row>
    <row r="267" spans="33:53" x14ac:dyDescent="0.3">
      <c r="AG267" t="e">
        <f t="shared" si="53"/>
        <v>#REF!</v>
      </c>
      <c r="AH267" t="e">
        <f>#REF!</f>
        <v>#REF!</v>
      </c>
      <c r="AI267" t="e">
        <f>#REF!</f>
        <v>#REF!</v>
      </c>
      <c r="AJ267" s="3" t="e">
        <f>#REF!</f>
        <v>#REF!</v>
      </c>
      <c r="AK267" s="3" t="e">
        <f>#REF!</f>
        <v>#REF!</v>
      </c>
      <c r="AL267" s="3" t="e">
        <f>#REF!</f>
        <v>#REF!</v>
      </c>
      <c r="AM267" s="3" t="e">
        <f>#REF!</f>
        <v>#REF!</v>
      </c>
      <c r="AN267" s="3" t="e">
        <f>#REF!</f>
        <v>#REF!</v>
      </c>
      <c r="AO267" s="3" t="e">
        <f>#REF!</f>
        <v>#REF!</v>
      </c>
      <c r="AP267" s="9" t="e">
        <f>VLOOKUP(AG267,#REF!,10,FALSE)</f>
        <v>#REF!</v>
      </c>
      <c r="AQ267" s="8">
        <f>SUMIFS(Capacity!$G$2:$G$2820,Capacity!$B$2:$B$2820,Demand_Modeling!AG267)</f>
        <v>0</v>
      </c>
      <c r="AS267" s="2" t="e">
        <f t="shared" si="54"/>
        <v>#REF!</v>
      </c>
      <c r="AT267" s="2" t="e">
        <f t="shared" si="55"/>
        <v>#REF!</v>
      </c>
      <c r="AU267" s="2" t="e">
        <f t="shared" si="56"/>
        <v>#REF!</v>
      </c>
      <c r="AV267" s="2" t="e">
        <f t="shared" si="57"/>
        <v>#REF!</v>
      </c>
      <c r="AW267" s="2" t="e">
        <f t="shared" si="58"/>
        <v>#REF!</v>
      </c>
      <c r="AX267" s="2" t="e">
        <f t="shared" si="59"/>
        <v>#REF!</v>
      </c>
      <c r="AY267" s="2" t="e">
        <f t="shared" si="60"/>
        <v>#REF!</v>
      </c>
      <c r="AZ267" s="10">
        <f t="shared" si="61"/>
        <v>0</v>
      </c>
      <c r="BA267" s="5" t="e">
        <f t="shared" si="62"/>
        <v>#REF!</v>
      </c>
    </row>
    <row r="268" spans="33:53" x14ac:dyDescent="0.3">
      <c r="AG268" t="e">
        <f t="shared" si="53"/>
        <v>#REF!</v>
      </c>
      <c r="AH268" t="e">
        <f>#REF!</f>
        <v>#REF!</v>
      </c>
      <c r="AI268" t="e">
        <f>#REF!</f>
        <v>#REF!</v>
      </c>
      <c r="AJ268" s="3" t="e">
        <f>#REF!</f>
        <v>#REF!</v>
      </c>
      <c r="AK268" s="3" t="e">
        <f>#REF!</f>
        <v>#REF!</v>
      </c>
      <c r="AL268" s="3" t="e">
        <f>#REF!</f>
        <v>#REF!</v>
      </c>
      <c r="AM268" s="3" t="e">
        <f>#REF!</f>
        <v>#REF!</v>
      </c>
      <c r="AN268" s="3" t="e">
        <f>#REF!</f>
        <v>#REF!</v>
      </c>
      <c r="AO268" s="3" t="e">
        <f>#REF!</f>
        <v>#REF!</v>
      </c>
      <c r="AP268" s="9" t="e">
        <f>VLOOKUP(AG268,#REF!,10,FALSE)</f>
        <v>#REF!</v>
      </c>
      <c r="AQ268" s="8">
        <f>SUMIFS(Capacity!$G$2:$G$2820,Capacity!$B$2:$B$2820,Demand_Modeling!AG268)</f>
        <v>0</v>
      </c>
      <c r="AS268" s="2" t="e">
        <f t="shared" si="54"/>
        <v>#REF!</v>
      </c>
      <c r="AT268" s="2" t="e">
        <f t="shared" si="55"/>
        <v>#REF!</v>
      </c>
      <c r="AU268" s="2" t="e">
        <f t="shared" si="56"/>
        <v>#REF!</v>
      </c>
      <c r="AV268" s="2" t="e">
        <f t="shared" si="57"/>
        <v>#REF!</v>
      </c>
      <c r="AW268" s="2" t="e">
        <f t="shared" si="58"/>
        <v>#REF!</v>
      </c>
      <c r="AX268" s="2" t="e">
        <f t="shared" si="59"/>
        <v>#REF!</v>
      </c>
      <c r="AY268" s="2" t="e">
        <f t="shared" si="60"/>
        <v>#REF!</v>
      </c>
      <c r="AZ268" s="10">
        <f t="shared" si="61"/>
        <v>0</v>
      </c>
      <c r="BA268" s="5" t="e">
        <f t="shared" si="62"/>
        <v>#REF!</v>
      </c>
    </row>
    <row r="269" spans="33:53" x14ac:dyDescent="0.3">
      <c r="AG269" t="e">
        <f t="shared" si="53"/>
        <v>#REF!</v>
      </c>
      <c r="AH269" t="e">
        <f>#REF!</f>
        <v>#REF!</v>
      </c>
      <c r="AI269" t="e">
        <f>#REF!</f>
        <v>#REF!</v>
      </c>
      <c r="AJ269" s="3" t="e">
        <f>#REF!</f>
        <v>#REF!</v>
      </c>
      <c r="AK269" s="3" t="e">
        <f>#REF!</f>
        <v>#REF!</v>
      </c>
      <c r="AL269" s="3" t="e">
        <f>#REF!</f>
        <v>#REF!</v>
      </c>
      <c r="AM269" s="3" t="e">
        <f>#REF!</f>
        <v>#REF!</v>
      </c>
      <c r="AN269" s="3" t="e">
        <f>#REF!</f>
        <v>#REF!</v>
      </c>
      <c r="AO269" s="3" t="e">
        <f>#REF!</f>
        <v>#REF!</v>
      </c>
      <c r="AP269" s="9" t="e">
        <f>VLOOKUP(AG269,#REF!,10,FALSE)</f>
        <v>#REF!</v>
      </c>
      <c r="AQ269" s="8">
        <f>SUMIFS(Capacity!$G$2:$G$2820,Capacity!$B$2:$B$2820,Demand_Modeling!AG269)</f>
        <v>0</v>
      </c>
      <c r="AS269" s="2" t="e">
        <f t="shared" si="54"/>
        <v>#REF!</v>
      </c>
      <c r="AT269" s="2" t="e">
        <f t="shared" si="55"/>
        <v>#REF!</v>
      </c>
      <c r="AU269" s="2" t="e">
        <f t="shared" si="56"/>
        <v>#REF!</v>
      </c>
      <c r="AV269" s="2" t="e">
        <f t="shared" si="57"/>
        <v>#REF!</v>
      </c>
      <c r="AW269" s="2" t="e">
        <f t="shared" si="58"/>
        <v>#REF!</v>
      </c>
      <c r="AX269" s="2" t="e">
        <f t="shared" si="59"/>
        <v>#REF!</v>
      </c>
      <c r="AY269" s="2" t="e">
        <f t="shared" si="60"/>
        <v>#REF!</v>
      </c>
      <c r="AZ269" s="10">
        <f t="shared" si="61"/>
        <v>0</v>
      </c>
      <c r="BA269" s="5" t="e">
        <f t="shared" si="62"/>
        <v>#REF!</v>
      </c>
    </row>
    <row r="270" spans="33:53" x14ac:dyDescent="0.3">
      <c r="AG270" t="e">
        <f t="shared" si="53"/>
        <v>#REF!</v>
      </c>
      <c r="AH270" t="e">
        <f>#REF!</f>
        <v>#REF!</v>
      </c>
      <c r="AI270" t="e">
        <f>#REF!</f>
        <v>#REF!</v>
      </c>
      <c r="AJ270" s="3" t="e">
        <f>#REF!</f>
        <v>#REF!</v>
      </c>
      <c r="AK270" s="3" t="e">
        <f>#REF!</f>
        <v>#REF!</v>
      </c>
      <c r="AL270" s="3" t="e">
        <f>#REF!</f>
        <v>#REF!</v>
      </c>
      <c r="AM270" s="3" t="e">
        <f>#REF!</f>
        <v>#REF!</v>
      </c>
      <c r="AN270" s="3" t="e">
        <f>#REF!</f>
        <v>#REF!</v>
      </c>
      <c r="AO270" s="3" t="e">
        <f>#REF!</f>
        <v>#REF!</v>
      </c>
      <c r="AP270" s="9" t="e">
        <f>VLOOKUP(AG270,#REF!,10,FALSE)</f>
        <v>#REF!</v>
      </c>
      <c r="AQ270" s="8">
        <f>SUMIFS(Capacity!$G$2:$G$2820,Capacity!$B$2:$B$2820,Demand_Modeling!AG270)</f>
        <v>0</v>
      </c>
      <c r="AS270" s="2" t="e">
        <f t="shared" si="54"/>
        <v>#REF!</v>
      </c>
      <c r="AT270" s="2" t="e">
        <f t="shared" si="55"/>
        <v>#REF!</v>
      </c>
      <c r="AU270" s="2" t="e">
        <f t="shared" si="56"/>
        <v>#REF!</v>
      </c>
      <c r="AV270" s="2" t="e">
        <f t="shared" si="57"/>
        <v>#REF!</v>
      </c>
      <c r="AW270" s="2" t="e">
        <f t="shared" si="58"/>
        <v>#REF!</v>
      </c>
      <c r="AX270" s="2" t="e">
        <f t="shared" si="59"/>
        <v>#REF!</v>
      </c>
      <c r="AY270" s="2" t="e">
        <f t="shared" si="60"/>
        <v>#REF!</v>
      </c>
      <c r="AZ270" s="10">
        <f t="shared" si="61"/>
        <v>0</v>
      </c>
      <c r="BA270" s="5" t="e">
        <f t="shared" si="62"/>
        <v>#REF!</v>
      </c>
    </row>
    <row r="271" spans="33:53" x14ac:dyDescent="0.3">
      <c r="AG271" t="e">
        <f t="shared" ref="AG271:AG334" si="63">AH271&amp;"-"&amp;AI271</f>
        <v>#REF!</v>
      </c>
      <c r="AH271" t="e">
        <f>#REF!</f>
        <v>#REF!</v>
      </c>
      <c r="AI271" t="e">
        <f>#REF!</f>
        <v>#REF!</v>
      </c>
      <c r="AJ271" s="3" t="e">
        <f>#REF!</f>
        <v>#REF!</v>
      </c>
      <c r="AK271" s="3" t="e">
        <f>#REF!</f>
        <v>#REF!</v>
      </c>
      <c r="AL271" s="3" t="e">
        <f>#REF!</f>
        <v>#REF!</v>
      </c>
      <c r="AM271" s="3" t="e">
        <f>#REF!</f>
        <v>#REF!</v>
      </c>
      <c r="AN271" s="3" t="e">
        <f>#REF!</f>
        <v>#REF!</v>
      </c>
      <c r="AO271" s="3" t="e">
        <f>#REF!</f>
        <v>#REF!</v>
      </c>
      <c r="AP271" s="9" t="e">
        <f>VLOOKUP(AG271,#REF!,10,FALSE)</f>
        <v>#REF!</v>
      </c>
      <c r="AQ271" s="8">
        <f>SUMIFS(Capacity!$G$2:$G$2820,Capacity!$B$2:$B$2820,Demand_Modeling!AG271)</f>
        <v>0</v>
      </c>
      <c r="AS271" s="2" t="e">
        <f t="shared" ref="AS271:AS334" si="64">AJ271*$AP271</f>
        <v>#REF!</v>
      </c>
      <c r="AT271" s="2" t="e">
        <f t="shared" ref="AT271:AT334" si="65">AK271*$AP271</f>
        <v>#REF!</v>
      </c>
      <c r="AU271" s="2" t="e">
        <f t="shared" ref="AU271:AU334" si="66">AL271*$AP271</f>
        <v>#REF!</v>
      </c>
      <c r="AV271" s="2" t="e">
        <f t="shared" ref="AV271:AV334" si="67">AM271*$AP271</f>
        <v>#REF!</v>
      </c>
      <c r="AW271" s="2" t="e">
        <f t="shared" ref="AW271:AW334" si="68">AN271*$AP271</f>
        <v>#REF!</v>
      </c>
      <c r="AX271" s="2" t="e">
        <f t="shared" ref="AX271:AX334" si="69">AO271*$AP271</f>
        <v>#REF!</v>
      </c>
      <c r="AY271" s="2" t="e">
        <f t="shared" ref="AY271:AY334" si="70">SUM(AS271:AX271)</f>
        <v>#REF!</v>
      </c>
      <c r="AZ271" s="10">
        <f t="shared" ref="AZ271:AZ334" si="71">AQ271</f>
        <v>0</v>
      </c>
      <c r="BA271" s="5" t="e">
        <f t="shared" ref="BA271:BA334" si="72">AY271/AZ271</f>
        <v>#REF!</v>
      </c>
    </row>
    <row r="272" spans="33:53" x14ac:dyDescent="0.3">
      <c r="AG272" t="e">
        <f t="shared" si="63"/>
        <v>#REF!</v>
      </c>
      <c r="AH272" t="e">
        <f>#REF!</f>
        <v>#REF!</v>
      </c>
      <c r="AI272" t="e">
        <f>#REF!</f>
        <v>#REF!</v>
      </c>
      <c r="AJ272" s="3" t="e">
        <f>#REF!</f>
        <v>#REF!</v>
      </c>
      <c r="AK272" s="3" t="e">
        <f>#REF!</f>
        <v>#REF!</v>
      </c>
      <c r="AL272" s="3" t="e">
        <f>#REF!</f>
        <v>#REF!</v>
      </c>
      <c r="AM272" s="3" t="e">
        <f>#REF!</f>
        <v>#REF!</v>
      </c>
      <c r="AN272" s="3" t="e">
        <f>#REF!</f>
        <v>#REF!</v>
      </c>
      <c r="AO272" s="3" t="e">
        <f>#REF!</f>
        <v>#REF!</v>
      </c>
      <c r="AP272" s="9" t="e">
        <f>VLOOKUP(AG272,#REF!,10,FALSE)</f>
        <v>#REF!</v>
      </c>
      <c r="AQ272" s="8">
        <f>SUMIFS(Capacity!$G$2:$G$2820,Capacity!$B$2:$B$2820,Demand_Modeling!AG272)</f>
        <v>0</v>
      </c>
      <c r="AS272" s="2" t="e">
        <f t="shared" si="64"/>
        <v>#REF!</v>
      </c>
      <c r="AT272" s="2" t="e">
        <f t="shared" si="65"/>
        <v>#REF!</v>
      </c>
      <c r="AU272" s="2" t="e">
        <f t="shared" si="66"/>
        <v>#REF!</v>
      </c>
      <c r="AV272" s="2" t="e">
        <f t="shared" si="67"/>
        <v>#REF!</v>
      </c>
      <c r="AW272" s="2" t="e">
        <f t="shared" si="68"/>
        <v>#REF!</v>
      </c>
      <c r="AX272" s="2" t="e">
        <f t="shared" si="69"/>
        <v>#REF!</v>
      </c>
      <c r="AY272" s="2" t="e">
        <f t="shared" si="70"/>
        <v>#REF!</v>
      </c>
      <c r="AZ272" s="10">
        <f t="shared" si="71"/>
        <v>0</v>
      </c>
      <c r="BA272" s="5" t="e">
        <f t="shared" si="72"/>
        <v>#REF!</v>
      </c>
    </row>
    <row r="273" spans="33:53" x14ac:dyDescent="0.3">
      <c r="AG273" t="e">
        <f t="shared" si="63"/>
        <v>#REF!</v>
      </c>
      <c r="AH273" t="e">
        <f>#REF!</f>
        <v>#REF!</v>
      </c>
      <c r="AI273" t="e">
        <f>#REF!</f>
        <v>#REF!</v>
      </c>
      <c r="AJ273" s="3" t="e">
        <f>#REF!</f>
        <v>#REF!</v>
      </c>
      <c r="AK273" s="3" t="e">
        <f>#REF!</f>
        <v>#REF!</v>
      </c>
      <c r="AL273" s="3" t="e">
        <f>#REF!</f>
        <v>#REF!</v>
      </c>
      <c r="AM273" s="3" t="e">
        <f>#REF!</f>
        <v>#REF!</v>
      </c>
      <c r="AN273" s="3" t="e">
        <f>#REF!</f>
        <v>#REF!</v>
      </c>
      <c r="AO273" s="3" t="e">
        <f>#REF!</f>
        <v>#REF!</v>
      </c>
      <c r="AP273" s="9" t="e">
        <f>VLOOKUP(AG273,#REF!,10,FALSE)</f>
        <v>#REF!</v>
      </c>
      <c r="AQ273" s="8">
        <f>SUMIFS(Capacity!$G$2:$G$2820,Capacity!$B$2:$B$2820,Demand_Modeling!AG273)</f>
        <v>0</v>
      </c>
      <c r="AS273" s="2" t="e">
        <f t="shared" si="64"/>
        <v>#REF!</v>
      </c>
      <c r="AT273" s="2" t="e">
        <f t="shared" si="65"/>
        <v>#REF!</v>
      </c>
      <c r="AU273" s="2" t="e">
        <f t="shared" si="66"/>
        <v>#REF!</v>
      </c>
      <c r="AV273" s="2" t="e">
        <f t="shared" si="67"/>
        <v>#REF!</v>
      </c>
      <c r="AW273" s="2" t="e">
        <f t="shared" si="68"/>
        <v>#REF!</v>
      </c>
      <c r="AX273" s="2" t="e">
        <f t="shared" si="69"/>
        <v>#REF!</v>
      </c>
      <c r="AY273" s="2" t="e">
        <f t="shared" si="70"/>
        <v>#REF!</v>
      </c>
      <c r="AZ273" s="10">
        <f t="shared" si="71"/>
        <v>0</v>
      </c>
      <c r="BA273" s="5" t="e">
        <f t="shared" si="72"/>
        <v>#REF!</v>
      </c>
    </row>
    <row r="274" spans="33:53" x14ac:dyDescent="0.3">
      <c r="AG274" t="e">
        <f t="shared" si="63"/>
        <v>#REF!</v>
      </c>
      <c r="AH274" t="e">
        <f>#REF!</f>
        <v>#REF!</v>
      </c>
      <c r="AI274" t="e">
        <f>#REF!</f>
        <v>#REF!</v>
      </c>
      <c r="AJ274" s="3" t="e">
        <f>#REF!</f>
        <v>#REF!</v>
      </c>
      <c r="AK274" s="3" t="e">
        <f>#REF!</f>
        <v>#REF!</v>
      </c>
      <c r="AL274" s="3" t="e">
        <f>#REF!</f>
        <v>#REF!</v>
      </c>
      <c r="AM274" s="3" t="e">
        <f>#REF!</f>
        <v>#REF!</v>
      </c>
      <c r="AN274" s="3" t="e">
        <f>#REF!</f>
        <v>#REF!</v>
      </c>
      <c r="AO274" s="3" t="e">
        <f>#REF!</f>
        <v>#REF!</v>
      </c>
      <c r="AP274" s="9" t="e">
        <f>VLOOKUP(AG274,#REF!,10,FALSE)</f>
        <v>#REF!</v>
      </c>
      <c r="AQ274" s="8">
        <f>SUMIFS(Capacity!$G$2:$G$2820,Capacity!$B$2:$B$2820,Demand_Modeling!AG274)</f>
        <v>0</v>
      </c>
      <c r="AS274" s="2" t="e">
        <f t="shared" si="64"/>
        <v>#REF!</v>
      </c>
      <c r="AT274" s="2" t="e">
        <f t="shared" si="65"/>
        <v>#REF!</v>
      </c>
      <c r="AU274" s="2" t="e">
        <f t="shared" si="66"/>
        <v>#REF!</v>
      </c>
      <c r="AV274" s="2" t="e">
        <f t="shared" si="67"/>
        <v>#REF!</v>
      </c>
      <c r="AW274" s="2" t="e">
        <f t="shared" si="68"/>
        <v>#REF!</v>
      </c>
      <c r="AX274" s="2" t="e">
        <f t="shared" si="69"/>
        <v>#REF!</v>
      </c>
      <c r="AY274" s="2" t="e">
        <f t="shared" si="70"/>
        <v>#REF!</v>
      </c>
      <c r="AZ274" s="10">
        <f t="shared" si="71"/>
        <v>0</v>
      </c>
      <c r="BA274" s="5" t="e">
        <f t="shared" si="72"/>
        <v>#REF!</v>
      </c>
    </row>
    <row r="275" spans="33:53" x14ac:dyDescent="0.3">
      <c r="AG275" t="e">
        <f t="shared" si="63"/>
        <v>#REF!</v>
      </c>
      <c r="AH275" t="e">
        <f>#REF!</f>
        <v>#REF!</v>
      </c>
      <c r="AI275" t="e">
        <f>#REF!</f>
        <v>#REF!</v>
      </c>
      <c r="AJ275" s="3" t="e">
        <f>#REF!</f>
        <v>#REF!</v>
      </c>
      <c r="AK275" s="3" t="e">
        <f>#REF!</f>
        <v>#REF!</v>
      </c>
      <c r="AL275" s="3" t="e">
        <f>#REF!</f>
        <v>#REF!</v>
      </c>
      <c r="AM275" s="3" t="e">
        <f>#REF!</f>
        <v>#REF!</v>
      </c>
      <c r="AN275" s="3" t="e">
        <f>#REF!</f>
        <v>#REF!</v>
      </c>
      <c r="AO275" s="3" t="e">
        <f>#REF!</f>
        <v>#REF!</v>
      </c>
      <c r="AP275" s="9" t="e">
        <f>VLOOKUP(AG275,#REF!,10,FALSE)</f>
        <v>#REF!</v>
      </c>
      <c r="AQ275" s="8">
        <f>SUMIFS(Capacity!$G$2:$G$2820,Capacity!$B$2:$B$2820,Demand_Modeling!AG275)</f>
        <v>0</v>
      </c>
      <c r="AS275" s="2" t="e">
        <f t="shared" si="64"/>
        <v>#REF!</v>
      </c>
      <c r="AT275" s="2" t="e">
        <f t="shared" si="65"/>
        <v>#REF!</v>
      </c>
      <c r="AU275" s="2" t="e">
        <f t="shared" si="66"/>
        <v>#REF!</v>
      </c>
      <c r="AV275" s="2" t="e">
        <f t="shared" si="67"/>
        <v>#REF!</v>
      </c>
      <c r="AW275" s="2" t="e">
        <f t="shared" si="68"/>
        <v>#REF!</v>
      </c>
      <c r="AX275" s="2" t="e">
        <f t="shared" si="69"/>
        <v>#REF!</v>
      </c>
      <c r="AY275" s="2" t="e">
        <f t="shared" si="70"/>
        <v>#REF!</v>
      </c>
      <c r="AZ275" s="10">
        <f t="shared" si="71"/>
        <v>0</v>
      </c>
      <c r="BA275" s="5" t="e">
        <f t="shared" si="72"/>
        <v>#REF!</v>
      </c>
    </row>
    <row r="276" spans="33:53" x14ac:dyDescent="0.3">
      <c r="AG276" t="e">
        <f t="shared" si="63"/>
        <v>#REF!</v>
      </c>
      <c r="AH276" t="e">
        <f>#REF!</f>
        <v>#REF!</v>
      </c>
      <c r="AI276" t="e">
        <f>#REF!</f>
        <v>#REF!</v>
      </c>
      <c r="AJ276" s="3" t="e">
        <f>#REF!</f>
        <v>#REF!</v>
      </c>
      <c r="AK276" s="3" t="e">
        <f>#REF!</f>
        <v>#REF!</v>
      </c>
      <c r="AL276" s="3" t="e">
        <f>#REF!</f>
        <v>#REF!</v>
      </c>
      <c r="AM276" s="3" t="e">
        <f>#REF!</f>
        <v>#REF!</v>
      </c>
      <c r="AN276" s="3" t="e">
        <f>#REF!</f>
        <v>#REF!</v>
      </c>
      <c r="AO276" s="3" t="e">
        <f>#REF!</f>
        <v>#REF!</v>
      </c>
      <c r="AP276" s="9" t="e">
        <f>VLOOKUP(AG276,#REF!,10,FALSE)</f>
        <v>#REF!</v>
      </c>
      <c r="AQ276" s="8">
        <f>SUMIFS(Capacity!$G$2:$G$2820,Capacity!$B$2:$B$2820,Demand_Modeling!AG276)</f>
        <v>0</v>
      </c>
      <c r="AS276" s="2" t="e">
        <f t="shared" si="64"/>
        <v>#REF!</v>
      </c>
      <c r="AT276" s="2" t="e">
        <f t="shared" si="65"/>
        <v>#REF!</v>
      </c>
      <c r="AU276" s="2" t="e">
        <f t="shared" si="66"/>
        <v>#REF!</v>
      </c>
      <c r="AV276" s="2" t="e">
        <f t="shared" si="67"/>
        <v>#REF!</v>
      </c>
      <c r="AW276" s="2" t="e">
        <f t="shared" si="68"/>
        <v>#REF!</v>
      </c>
      <c r="AX276" s="2" t="e">
        <f t="shared" si="69"/>
        <v>#REF!</v>
      </c>
      <c r="AY276" s="2" t="e">
        <f t="shared" si="70"/>
        <v>#REF!</v>
      </c>
      <c r="AZ276" s="10">
        <f t="shared" si="71"/>
        <v>0</v>
      </c>
      <c r="BA276" s="5" t="e">
        <f t="shared" si="72"/>
        <v>#REF!</v>
      </c>
    </row>
    <row r="277" spans="33:53" x14ac:dyDescent="0.3">
      <c r="AG277" t="e">
        <f t="shared" si="63"/>
        <v>#REF!</v>
      </c>
      <c r="AH277" t="e">
        <f>#REF!</f>
        <v>#REF!</v>
      </c>
      <c r="AI277" t="e">
        <f>#REF!</f>
        <v>#REF!</v>
      </c>
      <c r="AJ277" s="3" t="e">
        <f>#REF!</f>
        <v>#REF!</v>
      </c>
      <c r="AK277" s="3" t="e">
        <f>#REF!</f>
        <v>#REF!</v>
      </c>
      <c r="AL277" s="3" t="e">
        <f>#REF!</f>
        <v>#REF!</v>
      </c>
      <c r="AM277" s="3" t="e">
        <f>#REF!</f>
        <v>#REF!</v>
      </c>
      <c r="AN277" s="3" t="e">
        <f>#REF!</f>
        <v>#REF!</v>
      </c>
      <c r="AO277" s="3" t="e">
        <f>#REF!</f>
        <v>#REF!</v>
      </c>
      <c r="AP277" s="9" t="e">
        <f>VLOOKUP(AG277,#REF!,10,FALSE)</f>
        <v>#REF!</v>
      </c>
      <c r="AQ277" s="8">
        <f>SUMIFS(Capacity!$G$2:$G$2820,Capacity!$B$2:$B$2820,Demand_Modeling!AG277)</f>
        <v>0</v>
      </c>
      <c r="AS277" s="2" t="e">
        <f t="shared" si="64"/>
        <v>#REF!</v>
      </c>
      <c r="AT277" s="2" t="e">
        <f t="shared" si="65"/>
        <v>#REF!</v>
      </c>
      <c r="AU277" s="2" t="e">
        <f t="shared" si="66"/>
        <v>#REF!</v>
      </c>
      <c r="AV277" s="2" t="e">
        <f t="shared" si="67"/>
        <v>#REF!</v>
      </c>
      <c r="AW277" s="2" t="e">
        <f t="shared" si="68"/>
        <v>#REF!</v>
      </c>
      <c r="AX277" s="2" t="e">
        <f t="shared" si="69"/>
        <v>#REF!</v>
      </c>
      <c r="AY277" s="2" t="e">
        <f t="shared" si="70"/>
        <v>#REF!</v>
      </c>
      <c r="AZ277" s="10">
        <f t="shared" si="71"/>
        <v>0</v>
      </c>
      <c r="BA277" s="5" t="e">
        <f t="shared" si="72"/>
        <v>#REF!</v>
      </c>
    </row>
    <row r="278" spans="33:53" x14ac:dyDescent="0.3">
      <c r="AG278" t="e">
        <f t="shared" si="63"/>
        <v>#REF!</v>
      </c>
      <c r="AH278" t="e">
        <f>#REF!</f>
        <v>#REF!</v>
      </c>
      <c r="AI278" t="e">
        <f>#REF!</f>
        <v>#REF!</v>
      </c>
      <c r="AJ278" s="3" t="e">
        <f>#REF!</f>
        <v>#REF!</v>
      </c>
      <c r="AK278" s="3" t="e">
        <f>#REF!</f>
        <v>#REF!</v>
      </c>
      <c r="AL278" s="3" t="e">
        <f>#REF!</f>
        <v>#REF!</v>
      </c>
      <c r="AM278" s="3" t="e">
        <f>#REF!</f>
        <v>#REF!</v>
      </c>
      <c r="AN278" s="3" t="e">
        <f>#REF!</f>
        <v>#REF!</v>
      </c>
      <c r="AO278" s="3" t="e">
        <f>#REF!</f>
        <v>#REF!</v>
      </c>
      <c r="AP278" s="9" t="e">
        <f>VLOOKUP(AG278,#REF!,10,FALSE)</f>
        <v>#REF!</v>
      </c>
      <c r="AQ278" s="8">
        <f>SUMIFS(Capacity!$G$2:$G$2820,Capacity!$B$2:$B$2820,Demand_Modeling!AG278)</f>
        <v>0</v>
      </c>
      <c r="AS278" s="2" t="e">
        <f t="shared" si="64"/>
        <v>#REF!</v>
      </c>
      <c r="AT278" s="2" t="e">
        <f t="shared" si="65"/>
        <v>#REF!</v>
      </c>
      <c r="AU278" s="2" t="e">
        <f t="shared" si="66"/>
        <v>#REF!</v>
      </c>
      <c r="AV278" s="2" t="e">
        <f t="shared" si="67"/>
        <v>#REF!</v>
      </c>
      <c r="AW278" s="2" t="e">
        <f t="shared" si="68"/>
        <v>#REF!</v>
      </c>
      <c r="AX278" s="2" t="e">
        <f t="shared" si="69"/>
        <v>#REF!</v>
      </c>
      <c r="AY278" s="2" t="e">
        <f t="shared" si="70"/>
        <v>#REF!</v>
      </c>
      <c r="AZ278" s="10">
        <f t="shared" si="71"/>
        <v>0</v>
      </c>
      <c r="BA278" s="5" t="e">
        <f t="shared" si="72"/>
        <v>#REF!</v>
      </c>
    </row>
    <row r="279" spans="33:53" x14ac:dyDescent="0.3">
      <c r="AG279" t="e">
        <f t="shared" si="63"/>
        <v>#REF!</v>
      </c>
      <c r="AH279" t="e">
        <f>#REF!</f>
        <v>#REF!</v>
      </c>
      <c r="AI279" t="e">
        <f>#REF!</f>
        <v>#REF!</v>
      </c>
      <c r="AJ279" s="3" t="e">
        <f>#REF!</f>
        <v>#REF!</v>
      </c>
      <c r="AK279" s="3" t="e">
        <f>#REF!</f>
        <v>#REF!</v>
      </c>
      <c r="AL279" s="3" t="e">
        <f>#REF!</f>
        <v>#REF!</v>
      </c>
      <c r="AM279" s="3" t="e">
        <f>#REF!</f>
        <v>#REF!</v>
      </c>
      <c r="AN279" s="3" t="e">
        <f>#REF!</f>
        <v>#REF!</v>
      </c>
      <c r="AO279" s="3" t="e">
        <f>#REF!</f>
        <v>#REF!</v>
      </c>
      <c r="AP279" s="9" t="e">
        <f>VLOOKUP(AG279,#REF!,10,FALSE)</f>
        <v>#REF!</v>
      </c>
      <c r="AQ279" s="8">
        <f>SUMIFS(Capacity!$G$2:$G$2820,Capacity!$B$2:$B$2820,Demand_Modeling!AG279)</f>
        <v>0</v>
      </c>
      <c r="AS279" s="2" t="e">
        <f t="shared" si="64"/>
        <v>#REF!</v>
      </c>
      <c r="AT279" s="2" t="e">
        <f t="shared" si="65"/>
        <v>#REF!</v>
      </c>
      <c r="AU279" s="2" t="e">
        <f t="shared" si="66"/>
        <v>#REF!</v>
      </c>
      <c r="AV279" s="2" t="e">
        <f t="shared" si="67"/>
        <v>#REF!</v>
      </c>
      <c r="AW279" s="2" t="e">
        <f t="shared" si="68"/>
        <v>#REF!</v>
      </c>
      <c r="AX279" s="2" t="e">
        <f t="shared" si="69"/>
        <v>#REF!</v>
      </c>
      <c r="AY279" s="2" t="e">
        <f t="shared" si="70"/>
        <v>#REF!</v>
      </c>
      <c r="AZ279" s="10">
        <f t="shared" si="71"/>
        <v>0</v>
      </c>
      <c r="BA279" s="5" t="e">
        <f t="shared" si="72"/>
        <v>#REF!</v>
      </c>
    </row>
    <row r="280" spans="33:53" x14ac:dyDescent="0.3">
      <c r="AG280" t="e">
        <f t="shared" si="63"/>
        <v>#REF!</v>
      </c>
      <c r="AH280" t="e">
        <f>#REF!</f>
        <v>#REF!</v>
      </c>
      <c r="AI280" t="e">
        <f>#REF!</f>
        <v>#REF!</v>
      </c>
      <c r="AJ280" s="3" t="e">
        <f>#REF!</f>
        <v>#REF!</v>
      </c>
      <c r="AK280" s="3" t="e">
        <f>#REF!</f>
        <v>#REF!</v>
      </c>
      <c r="AL280" s="3" t="e">
        <f>#REF!</f>
        <v>#REF!</v>
      </c>
      <c r="AM280" s="3" t="e">
        <f>#REF!</f>
        <v>#REF!</v>
      </c>
      <c r="AN280" s="3" t="e">
        <f>#REF!</f>
        <v>#REF!</v>
      </c>
      <c r="AO280" s="3" t="e">
        <f>#REF!</f>
        <v>#REF!</v>
      </c>
      <c r="AP280" s="9" t="e">
        <f>VLOOKUP(AG280,#REF!,10,FALSE)</f>
        <v>#REF!</v>
      </c>
      <c r="AQ280" s="8">
        <f>SUMIFS(Capacity!$G$2:$G$2820,Capacity!$B$2:$B$2820,Demand_Modeling!AG280)</f>
        <v>0</v>
      </c>
      <c r="AS280" s="2" t="e">
        <f t="shared" si="64"/>
        <v>#REF!</v>
      </c>
      <c r="AT280" s="2" t="e">
        <f t="shared" si="65"/>
        <v>#REF!</v>
      </c>
      <c r="AU280" s="2" t="e">
        <f t="shared" si="66"/>
        <v>#REF!</v>
      </c>
      <c r="AV280" s="2" t="e">
        <f t="shared" si="67"/>
        <v>#REF!</v>
      </c>
      <c r="AW280" s="2" t="e">
        <f t="shared" si="68"/>
        <v>#REF!</v>
      </c>
      <c r="AX280" s="2" t="e">
        <f t="shared" si="69"/>
        <v>#REF!</v>
      </c>
      <c r="AY280" s="2" t="e">
        <f t="shared" si="70"/>
        <v>#REF!</v>
      </c>
      <c r="AZ280" s="10">
        <f t="shared" si="71"/>
        <v>0</v>
      </c>
      <c r="BA280" s="5" t="e">
        <f t="shared" si="72"/>
        <v>#REF!</v>
      </c>
    </row>
    <row r="281" spans="33:53" x14ac:dyDescent="0.3">
      <c r="AG281" t="e">
        <f t="shared" si="63"/>
        <v>#REF!</v>
      </c>
      <c r="AH281" t="e">
        <f>#REF!</f>
        <v>#REF!</v>
      </c>
      <c r="AI281" t="e">
        <f>#REF!</f>
        <v>#REF!</v>
      </c>
      <c r="AJ281" s="3" t="e">
        <f>#REF!</f>
        <v>#REF!</v>
      </c>
      <c r="AK281" s="3" t="e">
        <f>#REF!</f>
        <v>#REF!</v>
      </c>
      <c r="AL281" s="3" t="e">
        <f>#REF!</f>
        <v>#REF!</v>
      </c>
      <c r="AM281" s="3" t="e">
        <f>#REF!</f>
        <v>#REF!</v>
      </c>
      <c r="AN281" s="3" t="e">
        <f>#REF!</f>
        <v>#REF!</v>
      </c>
      <c r="AO281" s="3" t="e">
        <f>#REF!</f>
        <v>#REF!</v>
      </c>
      <c r="AP281" s="9" t="e">
        <f>VLOOKUP(AG281,#REF!,10,FALSE)</f>
        <v>#REF!</v>
      </c>
      <c r="AQ281" s="8">
        <f>SUMIFS(Capacity!$G$2:$G$2820,Capacity!$B$2:$B$2820,Demand_Modeling!AG281)</f>
        <v>0</v>
      </c>
      <c r="AS281" s="2" t="e">
        <f t="shared" si="64"/>
        <v>#REF!</v>
      </c>
      <c r="AT281" s="2" t="e">
        <f t="shared" si="65"/>
        <v>#REF!</v>
      </c>
      <c r="AU281" s="2" t="e">
        <f t="shared" si="66"/>
        <v>#REF!</v>
      </c>
      <c r="AV281" s="2" t="e">
        <f t="shared" si="67"/>
        <v>#REF!</v>
      </c>
      <c r="AW281" s="2" t="e">
        <f t="shared" si="68"/>
        <v>#REF!</v>
      </c>
      <c r="AX281" s="2" t="e">
        <f t="shared" si="69"/>
        <v>#REF!</v>
      </c>
      <c r="AY281" s="2" t="e">
        <f t="shared" si="70"/>
        <v>#REF!</v>
      </c>
      <c r="AZ281" s="10">
        <f t="shared" si="71"/>
        <v>0</v>
      </c>
      <c r="BA281" s="5" t="e">
        <f t="shared" si="72"/>
        <v>#REF!</v>
      </c>
    </row>
    <row r="282" spans="33:53" x14ac:dyDescent="0.3">
      <c r="AG282" t="e">
        <f t="shared" si="63"/>
        <v>#REF!</v>
      </c>
      <c r="AH282" t="e">
        <f>#REF!</f>
        <v>#REF!</v>
      </c>
      <c r="AI282" t="e">
        <f>#REF!</f>
        <v>#REF!</v>
      </c>
      <c r="AJ282" s="3" t="e">
        <f>#REF!</f>
        <v>#REF!</v>
      </c>
      <c r="AK282" s="3" t="e">
        <f>#REF!</f>
        <v>#REF!</v>
      </c>
      <c r="AL282" s="3" t="e">
        <f>#REF!</f>
        <v>#REF!</v>
      </c>
      <c r="AM282" s="3" t="e">
        <f>#REF!</f>
        <v>#REF!</v>
      </c>
      <c r="AN282" s="3" t="e">
        <f>#REF!</f>
        <v>#REF!</v>
      </c>
      <c r="AO282" s="3" t="e">
        <f>#REF!</f>
        <v>#REF!</v>
      </c>
      <c r="AP282" s="9" t="e">
        <f>VLOOKUP(AG282,#REF!,10,FALSE)</f>
        <v>#REF!</v>
      </c>
      <c r="AQ282" s="8">
        <f>SUMIFS(Capacity!$G$2:$G$2820,Capacity!$B$2:$B$2820,Demand_Modeling!AG282)</f>
        <v>0</v>
      </c>
      <c r="AS282" s="2" t="e">
        <f t="shared" si="64"/>
        <v>#REF!</v>
      </c>
      <c r="AT282" s="2" t="e">
        <f t="shared" si="65"/>
        <v>#REF!</v>
      </c>
      <c r="AU282" s="2" t="e">
        <f t="shared" si="66"/>
        <v>#REF!</v>
      </c>
      <c r="AV282" s="2" t="e">
        <f t="shared" si="67"/>
        <v>#REF!</v>
      </c>
      <c r="AW282" s="2" t="e">
        <f t="shared" si="68"/>
        <v>#REF!</v>
      </c>
      <c r="AX282" s="2" t="e">
        <f t="shared" si="69"/>
        <v>#REF!</v>
      </c>
      <c r="AY282" s="2" t="e">
        <f t="shared" si="70"/>
        <v>#REF!</v>
      </c>
      <c r="AZ282" s="10">
        <f t="shared" si="71"/>
        <v>0</v>
      </c>
      <c r="BA282" s="5" t="e">
        <f t="shared" si="72"/>
        <v>#REF!</v>
      </c>
    </row>
    <row r="283" spans="33:53" x14ac:dyDescent="0.3">
      <c r="AG283" t="e">
        <f t="shared" si="63"/>
        <v>#REF!</v>
      </c>
      <c r="AH283" t="e">
        <f>#REF!</f>
        <v>#REF!</v>
      </c>
      <c r="AI283" t="e">
        <f>#REF!</f>
        <v>#REF!</v>
      </c>
      <c r="AJ283" s="3" t="e">
        <f>#REF!</f>
        <v>#REF!</v>
      </c>
      <c r="AK283" s="3" t="e">
        <f>#REF!</f>
        <v>#REF!</v>
      </c>
      <c r="AL283" s="3" t="e">
        <f>#REF!</f>
        <v>#REF!</v>
      </c>
      <c r="AM283" s="3" t="e">
        <f>#REF!</f>
        <v>#REF!</v>
      </c>
      <c r="AN283" s="3" t="e">
        <f>#REF!</f>
        <v>#REF!</v>
      </c>
      <c r="AO283" s="3" t="e">
        <f>#REF!</f>
        <v>#REF!</v>
      </c>
      <c r="AP283" s="9" t="e">
        <f>VLOOKUP(AG283,#REF!,10,FALSE)</f>
        <v>#REF!</v>
      </c>
      <c r="AQ283" s="8">
        <f>SUMIFS(Capacity!$G$2:$G$2820,Capacity!$B$2:$B$2820,Demand_Modeling!AG283)</f>
        <v>0</v>
      </c>
      <c r="AS283" s="2" t="e">
        <f t="shared" si="64"/>
        <v>#REF!</v>
      </c>
      <c r="AT283" s="2" t="e">
        <f t="shared" si="65"/>
        <v>#REF!</v>
      </c>
      <c r="AU283" s="2" t="e">
        <f t="shared" si="66"/>
        <v>#REF!</v>
      </c>
      <c r="AV283" s="2" t="e">
        <f t="shared" si="67"/>
        <v>#REF!</v>
      </c>
      <c r="AW283" s="2" t="e">
        <f t="shared" si="68"/>
        <v>#REF!</v>
      </c>
      <c r="AX283" s="2" t="e">
        <f t="shared" si="69"/>
        <v>#REF!</v>
      </c>
      <c r="AY283" s="2" t="e">
        <f t="shared" si="70"/>
        <v>#REF!</v>
      </c>
      <c r="AZ283" s="10">
        <f t="shared" si="71"/>
        <v>0</v>
      </c>
      <c r="BA283" s="5" t="e">
        <f t="shared" si="72"/>
        <v>#REF!</v>
      </c>
    </row>
    <row r="284" spans="33:53" x14ac:dyDescent="0.3">
      <c r="AG284" t="e">
        <f t="shared" si="63"/>
        <v>#REF!</v>
      </c>
      <c r="AH284" t="e">
        <f>#REF!</f>
        <v>#REF!</v>
      </c>
      <c r="AI284" t="e">
        <f>#REF!</f>
        <v>#REF!</v>
      </c>
      <c r="AJ284" s="3" t="e">
        <f>#REF!</f>
        <v>#REF!</v>
      </c>
      <c r="AK284" s="3" t="e">
        <f>#REF!</f>
        <v>#REF!</v>
      </c>
      <c r="AL284" s="3" t="e">
        <f>#REF!</f>
        <v>#REF!</v>
      </c>
      <c r="AM284" s="3" t="e">
        <f>#REF!</f>
        <v>#REF!</v>
      </c>
      <c r="AN284" s="3" t="e">
        <f>#REF!</f>
        <v>#REF!</v>
      </c>
      <c r="AO284" s="3" t="e">
        <f>#REF!</f>
        <v>#REF!</v>
      </c>
      <c r="AP284" s="9" t="e">
        <f>VLOOKUP(AG284,#REF!,10,FALSE)</f>
        <v>#REF!</v>
      </c>
      <c r="AQ284" s="8">
        <f>SUMIFS(Capacity!$G$2:$G$2820,Capacity!$B$2:$B$2820,Demand_Modeling!AG284)</f>
        <v>0</v>
      </c>
      <c r="AS284" s="2" t="e">
        <f t="shared" si="64"/>
        <v>#REF!</v>
      </c>
      <c r="AT284" s="2" t="e">
        <f t="shared" si="65"/>
        <v>#REF!</v>
      </c>
      <c r="AU284" s="2" t="e">
        <f t="shared" si="66"/>
        <v>#REF!</v>
      </c>
      <c r="AV284" s="2" t="e">
        <f t="shared" si="67"/>
        <v>#REF!</v>
      </c>
      <c r="AW284" s="2" t="e">
        <f t="shared" si="68"/>
        <v>#REF!</v>
      </c>
      <c r="AX284" s="2" t="e">
        <f t="shared" si="69"/>
        <v>#REF!</v>
      </c>
      <c r="AY284" s="2" t="e">
        <f t="shared" si="70"/>
        <v>#REF!</v>
      </c>
      <c r="AZ284" s="10">
        <f t="shared" si="71"/>
        <v>0</v>
      </c>
      <c r="BA284" s="5" t="e">
        <f t="shared" si="72"/>
        <v>#REF!</v>
      </c>
    </row>
    <row r="285" spans="33:53" x14ac:dyDescent="0.3">
      <c r="AG285" t="e">
        <f t="shared" si="63"/>
        <v>#REF!</v>
      </c>
      <c r="AH285" t="e">
        <f>#REF!</f>
        <v>#REF!</v>
      </c>
      <c r="AI285" t="e">
        <f>#REF!</f>
        <v>#REF!</v>
      </c>
      <c r="AJ285" s="3" t="e">
        <f>#REF!</f>
        <v>#REF!</v>
      </c>
      <c r="AK285" s="3" t="e">
        <f>#REF!</f>
        <v>#REF!</v>
      </c>
      <c r="AL285" s="3" t="e">
        <f>#REF!</f>
        <v>#REF!</v>
      </c>
      <c r="AM285" s="3" t="e">
        <f>#REF!</f>
        <v>#REF!</v>
      </c>
      <c r="AN285" s="3" t="e">
        <f>#REF!</f>
        <v>#REF!</v>
      </c>
      <c r="AO285" s="3" t="e">
        <f>#REF!</f>
        <v>#REF!</v>
      </c>
      <c r="AP285" s="9" t="e">
        <f>VLOOKUP(AG285,#REF!,10,FALSE)</f>
        <v>#REF!</v>
      </c>
      <c r="AQ285" s="8">
        <f>SUMIFS(Capacity!$G$2:$G$2820,Capacity!$B$2:$B$2820,Demand_Modeling!AG285)</f>
        <v>0</v>
      </c>
      <c r="AS285" s="2" t="e">
        <f t="shared" si="64"/>
        <v>#REF!</v>
      </c>
      <c r="AT285" s="2" t="e">
        <f t="shared" si="65"/>
        <v>#REF!</v>
      </c>
      <c r="AU285" s="2" t="e">
        <f t="shared" si="66"/>
        <v>#REF!</v>
      </c>
      <c r="AV285" s="2" t="e">
        <f t="shared" si="67"/>
        <v>#REF!</v>
      </c>
      <c r="AW285" s="2" t="e">
        <f t="shared" si="68"/>
        <v>#REF!</v>
      </c>
      <c r="AX285" s="2" t="e">
        <f t="shared" si="69"/>
        <v>#REF!</v>
      </c>
      <c r="AY285" s="2" t="e">
        <f t="shared" si="70"/>
        <v>#REF!</v>
      </c>
      <c r="AZ285" s="10">
        <f t="shared" si="71"/>
        <v>0</v>
      </c>
      <c r="BA285" s="5" t="e">
        <f t="shared" si="72"/>
        <v>#REF!</v>
      </c>
    </row>
    <row r="286" spans="33:53" x14ac:dyDescent="0.3">
      <c r="AG286" t="e">
        <f t="shared" si="63"/>
        <v>#REF!</v>
      </c>
      <c r="AH286" t="e">
        <f>#REF!</f>
        <v>#REF!</v>
      </c>
      <c r="AI286" t="e">
        <f>#REF!</f>
        <v>#REF!</v>
      </c>
      <c r="AJ286" s="3" t="e">
        <f>#REF!</f>
        <v>#REF!</v>
      </c>
      <c r="AK286" s="3" t="e">
        <f>#REF!</f>
        <v>#REF!</v>
      </c>
      <c r="AL286" s="3" t="e">
        <f>#REF!</f>
        <v>#REF!</v>
      </c>
      <c r="AM286" s="3" t="e">
        <f>#REF!</f>
        <v>#REF!</v>
      </c>
      <c r="AN286" s="3" t="e">
        <f>#REF!</f>
        <v>#REF!</v>
      </c>
      <c r="AO286" s="3" t="e">
        <f>#REF!</f>
        <v>#REF!</v>
      </c>
      <c r="AP286" s="9" t="e">
        <f>VLOOKUP(AG286,#REF!,10,FALSE)</f>
        <v>#REF!</v>
      </c>
      <c r="AQ286" s="8">
        <f>SUMIFS(Capacity!$G$2:$G$2820,Capacity!$B$2:$B$2820,Demand_Modeling!AG286)</f>
        <v>0</v>
      </c>
      <c r="AS286" s="2" t="e">
        <f t="shared" si="64"/>
        <v>#REF!</v>
      </c>
      <c r="AT286" s="2" t="e">
        <f t="shared" si="65"/>
        <v>#REF!</v>
      </c>
      <c r="AU286" s="2" t="e">
        <f t="shared" si="66"/>
        <v>#REF!</v>
      </c>
      <c r="AV286" s="2" t="e">
        <f t="shared" si="67"/>
        <v>#REF!</v>
      </c>
      <c r="AW286" s="2" t="e">
        <f t="shared" si="68"/>
        <v>#REF!</v>
      </c>
      <c r="AX286" s="2" t="e">
        <f t="shared" si="69"/>
        <v>#REF!</v>
      </c>
      <c r="AY286" s="2" t="e">
        <f t="shared" si="70"/>
        <v>#REF!</v>
      </c>
      <c r="AZ286" s="10">
        <f t="shared" si="71"/>
        <v>0</v>
      </c>
      <c r="BA286" s="5" t="e">
        <f t="shared" si="72"/>
        <v>#REF!</v>
      </c>
    </row>
    <row r="287" spans="33:53" x14ac:dyDescent="0.3">
      <c r="AG287" t="e">
        <f t="shared" si="63"/>
        <v>#REF!</v>
      </c>
      <c r="AH287" t="e">
        <f>#REF!</f>
        <v>#REF!</v>
      </c>
      <c r="AI287" t="e">
        <f>#REF!</f>
        <v>#REF!</v>
      </c>
      <c r="AJ287" s="3" t="e">
        <f>#REF!</f>
        <v>#REF!</v>
      </c>
      <c r="AK287" s="3" t="e">
        <f>#REF!</f>
        <v>#REF!</v>
      </c>
      <c r="AL287" s="3" t="e">
        <f>#REF!</f>
        <v>#REF!</v>
      </c>
      <c r="AM287" s="3" t="e">
        <f>#REF!</f>
        <v>#REF!</v>
      </c>
      <c r="AN287" s="3" t="e">
        <f>#REF!</f>
        <v>#REF!</v>
      </c>
      <c r="AO287" s="3" t="e">
        <f>#REF!</f>
        <v>#REF!</v>
      </c>
      <c r="AP287" s="9" t="e">
        <f>VLOOKUP(AG287,#REF!,10,FALSE)</f>
        <v>#REF!</v>
      </c>
      <c r="AQ287" s="8">
        <f>SUMIFS(Capacity!$G$2:$G$2820,Capacity!$B$2:$B$2820,Demand_Modeling!AG287)</f>
        <v>0</v>
      </c>
      <c r="AS287" s="2" t="e">
        <f t="shared" si="64"/>
        <v>#REF!</v>
      </c>
      <c r="AT287" s="2" t="e">
        <f t="shared" si="65"/>
        <v>#REF!</v>
      </c>
      <c r="AU287" s="2" t="e">
        <f t="shared" si="66"/>
        <v>#REF!</v>
      </c>
      <c r="AV287" s="2" t="e">
        <f t="shared" si="67"/>
        <v>#REF!</v>
      </c>
      <c r="AW287" s="2" t="e">
        <f t="shared" si="68"/>
        <v>#REF!</v>
      </c>
      <c r="AX287" s="2" t="e">
        <f t="shared" si="69"/>
        <v>#REF!</v>
      </c>
      <c r="AY287" s="2" t="e">
        <f t="shared" si="70"/>
        <v>#REF!</v>
      </c>
      <c r="AZ287" s="10">
        <f t="shared" si="71"/>
        <v>0</v>
      </c>
      <c r="BA287" s="5" t="e">
        <f t="shared" si="72"/>
        <v>#REF!</v>
      </c>
    </row>
    <row r="288" spans="33:53" x14ac:dyDescent="0.3">
      <c r="AG288" t="e">
        <f t="shared" si="63"/>
        <v>#REF!</v>
      </c>
      <c r="AH288" t="e">
        <f>#REF!</f>
        <v>#REF!</v>
      </c>
      <c r="AI288" t="e">
        <f>#REF!</f>
        <v>#REF!</v>
      </c>
      <c r="AJ288" s="3" t="e">
        <f>#REF!</f>
        <v>#REF!</v>
      </c>
      <c r="AK288" s="3" t="e">
        <f>#REF!</f>
        <v>#REF!</v>
      </c>
      <c r="AL288" s="3" t="e">
        <f>#REF!</f>
        <v>#REF!</v>
      </c>
      <c r="AM288" s="3" t="e">
        <f>#REF!</f>
        <v>#REF!</v>
      </c>
      <c r="AN288" s="3" t="e">
        <f>#REF!</f>
        <v>#REF!</v>
      </c>
      <c r="AO288" s="3" t="e">
        <f>#REF!</f>
        <v>#REF!</v>
      </c>
      <c r="AP288" s="9" t="e">
        <f>VLOOKUP(AG288,#REF!,10,FALSE)</f>
        <v>#REF!</v>
      </c>
      <c r="AQ288" s="8">
        <f>SUMIFS(Capacity!$G$2:$G$2820,Capacity!$B$2:$B$2820,Demand_Modeling!AG288)</f>
        <v>0</v>
      </c>
      <c r="AS288" s="2" t="e">
        <f t="shared" si="64"/>
        <v>#REF!</v>
      </c>
      <c r="AT288" s="2" t="e">
        <f t="shared" si="65"/>
        <v>#REF!</v>
      </c>
      <c r="AU288" s="2" t="e">
        <f t="shared" si="66"/>
        <v>#REF!</v>
      </c>
      <c r="AV288" s="2" t="e">
        <f t="shared" si="67"/>
        <v>#REF!</v>
      </c>
      <c r="AW288" s="2" t="e">
        <f t="shared" si="68"/>
        <v>#REF!</v>
      </c>
      <c r="AX288" s="2" t="e">
        <f t="shared" si="69"/>
        <v>#REF!</v>
      </c>
      <c r="AY288" s="2" t="e">
        <f t="shared" si="70"/>
        <v>#REF!</v>
      </c>
      <c r="AZ288" s="10">
        <f t="shared" si="71"/>
        <v>0</v>
      </c>
      <c r="BA288" s="5" t="e">
        <f t="shared" si="72"/>
        <v>#REF!</v>
      </c>
    </row>
    <row r="289" spans="33:53" x14ac:dyDescent="0.3">
      <c r="AG289" t="e">
        <f t="shared" si="63"/>
        <v>#REF!</v>
      </c>
      <c r="AH289" t="e">
        <f>#REF!</f>
        <v>#REF!</v>
      </c>
      <c r="AI289" t="e">
        <f>#REF!</f>
        <v>#REF!</v>
      </c>
      <c r="AJ289" s="3" t="e">
        <f>#REF!</f>
        <v>#REF!</v>
      </c>
      <c r="AK289" s="3" t="e">
        <f>#REF!</f>
        <v>#REF!</v>
      </c>
      <c r="AL289" s="3" t="e">
        <f>#REF!</f>
        <v>#REF!</v>
      </c>
      <c r="AM289" s="3" t="e">
        <f>#REF!</f>
        <v>#REF!</v>
      </c>
      <c r="AN289" s="3" t="e">
        <f>#REF!</f>
        <v>#REF!</v>
      </c>
      <c r="AO289" s="3" t="e">
        <f>#REF!</f>
        <v>#REF!</v>
      </c>
      <c r="AP289" s="9" t="e">
        <f>VLOOKUP(AG289,#REF!,10,FALSE)</f>
        <v>#REF!</v>
      </c>
      <c r="AQ289" s="8">
        <f>SUMIFS(Capacity!$G$2:$G$2820,Capacity!$B$2:$B$2820,Demand_Modeling!AG289)</f>
        <v>0</v>
      </c>
      <c r="AS289" s="2" t="e">
        <f t="shared" si="64"/>
        <v>#REF!</v>
      </c>
      <c r="AT289" s="2" t="e">
        <f t="shared" si="65"/>
        <v>#REF!</v>
      </c>
      <c r="AU289" s="2" t="e">
        <f t="shared" si="66"/>
        <v>#REF!</v>
      </c>
      <c r="AV289" s="2" t="e">
        <f t="shared" si="67"/>
        <v>#REF!</v>
      </c>
      <c r="AW289" s="2" t="e">
        <f t="shared" si="68"/>
        <v>#REF!</v>
      </c>
      <c r="AX289" s="2" t="e">
        <f t="shared" si="69"/>
        <v>#REF!</v>
      </c>
      <c r="AY289" s="2" t="e">
        <f t="shared" si="70"/>
        <v>#REF!</v>
      </c>
      <c r="AZ289" s="10">
        <f t="shared" si="71"/>
        <v>0</v>
      </c>
      <c r="BA289" s="5" t="e">
        <f t="shared" si="72"/>
        <v>#REF!</v>
      </c>
    </row>
    <row r="290" spans="33:53" x14ac:dyDescent="0.3">
      <c r="AG290" t="e">
        <f t="shared" si="63"/>
        <v>#REF!</v>
      </c>
      <c r="AH290" t="e">
        <f>#REF!</f>
        <v>#REF!</v>
      </c>
      <c r="AI290" t="e">
        <f>#REF!</f>
        <v>#REF!</v>
      </c>
      <c r="AJ290" s="3" t="e">
        <f>#REF!</f>
        <v>#REF!</v>
      </c>
      <c r="AK290" s="3" t="e">
        <f>#REF!</f>
        <v>#REF!</v>
      </c>
      <c r="AL290" s="3" t="e">
        <f>#REF!</f>
        <v>#REF!</v>
      </c>
      <c r="AM290" s="3" t="e">
        <f>#REF!</f>
        <v>#REF!</v>
      </c>
      <c r="AN290" s="3" t="e">
        <f>#REF!</f>
        <v>#REF!</v>
      </c>
      <c r="AO290" s="3" t="e">
        <f>#REF!</f>
        <v>#REF!</v>
      </c>
      <c r="AP290" s="9" t="e">
        <f>VLOOKUP(AG290,#REF!,10,FALSE)</f>
        <v>#REF!</v>
      </c>
      <c r="AQ290" s="8">
        <f>SUMIFS(Capacity!$G$2:$G$2820,Capacity!$B$2:$B$2820,Demand_Modeling!AG290)</f>
        <v>0</v>
      </c>
      <c r="AS290" s="2" t="e">
        <f t="shared" si="64"/>
        <v>#REF!</v>
      </c>
      <c r="AT290" s="2" t="e">
        <f t="shared" si="65"/>
        <v>#REF!</v>
      </c>
      <c r="AU290" s="2" t="e">
        <f t="shared" si="66"/>
        <v>#REF!</v>
      </c>
      <c r="AV290" s="2" t="e">
        <f t="shared" si="67"/>
        <v>#REF!</v>
      </c>
      <c r="AW290" s="2" t="e">
        <f t="shared" si="68"/>
        <v>#REF!</v>
      </c>
      <c r="AX290" s="2" t="e">
        <f t="shared" si="69"/>
        <v>#REF!</v>
      </c>
      <c r="AY290" s="2" t="e">
        <f t="shared" si="70"/>
        <v>#REF!</v>
      </c>
      <c r="AZ290" s="10">
        <f t="shared" si="71"/>
        <v>0</v>
      </c>
      <c r="BA290" s="5" t="e">
        <f t="shared" si="72"/>
        <v>#REF!</v>
      </c>
    </row>
    <row r="291" spans="33:53" x14ac:dyDescent="0.3">
      <c r="AG291" t="e">
        <f t="shared" si="63"/>
        <v>#REF!</v>
      </c>
      <c r="AH291" t="e">
        <f>#REF!</f>
        <v>#REF!</v>
      </c>
      <c r="AI291" t="e">
        <f>#REF!</f>
        <v>#REF!</v>
      </c>
      <c r="AJ291" s="3" t="e">
        <f>#REF!</f>
        <v>#REF!</v>
      </c>
      <c r="AK291" s="3" t="e">
        <f>#REF!</f>
        <v>#REF!</v>
      </c>
      <c r="AL291" s="3" t="e">
        <f>#REF!</f>
        <v>#REF!</v>
      </c>
      <c r="AM291" s="3" t="e">
        <f>#REF!</f>
        <v>#REF!</v>
      </c>
      <c r="AN291" s="3" t="e">
        <f>#REF!</f>
        <v>#REF!</v>
      </c>
      <c r="AO291" s="3" t="e">
        <f>#REF!</f>
        <v>#REF!</v>
      </c>
      <c r="AP291" s="9" t="e">
        <f>VLOOKUP(AG291,#REF!,10,FALSE)</f>
        <v>#REF!</v>
      </c>
      <c r="AQ291" s="8">
        <f>SUMIFS(Capacity!$G$2:$G$2820,Capacity!$B$2:$B$2820,Demand_Modeling!AG291)</f>
        <v>0</v>
      </c>
      <c r="AS291" s="2" t="e">
        <f t="shared" si="64"/>
        <v>#REF!</v>
      </c>
      <c r="AT291" s="2" t="e">
        <f t="shared" si="65"/>
        <v>#REF!</v>
      </c>
      <c r="AU291" s="2" t="e">
        <f t="shared" si="66"/>
        <v>#REF!</v>
      </c>
      <c r="AV291" s="2" t="e">
        <f t="shared" si="67"/>
        <v>#REF!</v>
      </c>
      <c r="AW291" s="2" t="e">
        <f t="shared" si="68"/>
        <v>#REF!</v>
      </c>
      <c r="AX291" s="2" t="e">
        <f t="shared" si="69"/>
        <v>#REF!</v>
      </c>
      <c r="AY291" s="2" t="e">
        <f t="shared" si="70"/>
        <v>#REF!</v>
      </c>
      <c r="AZ291" s="10">
        <f t="shared" si="71"/>
        <v>0</v>
      </c>
      <c r="BA291" s="5" t="e">
        <f t="shared" si="72"/>
        <v>#REF!</v>
      </c>
    </row>
    <row r="292" spans="33:53" x14ac:dyDescent="0.3">
      <c r="AG292" t="e">
        <f t="shared" si="63"/>
        <v>#REF!</v>
      </c>
      <c r="AH292" t="e">
        <f>#REF!</f>
        <v>#REF!</v>
      </c>
      <c r="AI292" t="e">
        <f>#REF!</f>
        <v>#REF!</v>
      </c>
      <c r="AJ292" s="3" t="e">
        <f>#REF!</f>
        <v>#REF!</v>
      </c>
      <c r="AK292" s="3" t="e">
        <f>#REF!</f>
        <v>#REF!</v>
      </c>
      <c r="AL292" s="3" t="e">
        <f>#REF!</f>
        <v>#REF!</v>
      </c>
      <c r="AM292" s="3" t="e">
        <f>#REF!</f>
        <v>#REF!</v>
      </c>
      <c r="AN292" s="3" t="e">
        <f>#REF!</f>
        <v>#REF!</v>
      </c>
      <c r="AO292" s="3" t="e">
        <f>#REF!</f>
        <v>#REF!</v>
      </c>
      <c r="AP292" s="9" t="e">
        <f>VLOOKUP(AG292,#REF!,10,FALSE)</f>
        <v>#REF!</v>
      </c>
      <c r="AQ292" s="8">
        <f>SUMIFS(Capacity!$G$2:$G$2820,Capacity!$B$2:$B$2820,Demand_Modeling!AG292)</f>
        <v>0</v>
      </c>
      <c r="AS292" s="2" t="e">
        <f t="shared" si="64"/>
        <v>#REF!</v>
      </c>
      <c r="AT292" s="2" t="e">
        <f t="shared" si="65"/>
        <v>#REF!</v>
      </c>
      <c r="AU292" s="2" t="e">
        <f t="shared" si="66"/>
        <v>#REF!</v>
      </c>
      <c r="AV292" s="2" t="e">
        <f t="shared" si="67"/>
        <v>#REF!</v>
      </c>
      <c r="AW292" s="2" t="e">
        <f t="shared" si="68"/>
        <v>#REF!</v>
      </c>
      <c r="AX292" s="2" t="e">
        <f t="shared" si="69"/>
        <v>#REF!</v>
      </c>
      <c r="AY292" s="2" t="e">
        <f t="shared" si="70"/>
        <v>#REF!</v>
      </c>
      <c r="AZ292" s="10">
        <f t="shared" si="71"/>
        <v>0</v>
      </c>
      <c r="BA292" s="5" t="e">
        <f t="shared" si="72"/>
        <v>#REF!</v>
      </c>
    </row>
    <row r="293" spans="33:53" x14ac:dyDescent="0.3">
      <c r="AG293" t="e">
        <f t="shared" si="63"/>
        <v>#REF!</v>
      </c>
      <c r="AH293" t="e">
        <f>#REF!</f>
        <v>#REF!</v>
      </c>
      <c r="AI293" t="e">
        <f>#REF!</f>
        <v>#REF!</v>
      </c>
      <c r="AJ293" s="3" t="e">
        <f>#REF!</f>
        <v>#REF!</v>
      </c>
      <c r="AK293" s="3" t="e">
        <f>#REF!</f>
        <v>#REF!</v>
      </c>
      <c r="AL293" s="3" t="e">
        <f>#REF!</f>
        <v>#REF!</v>
      </c>
      <c r="AM293" s="3" t="e">
        <f>#REF!</f>
        <v>#REF!</v>
      </c>
      <c r="AN293" s="3" t="e">
        <f>#REF!</f>
        <v>#REF!</v>
      </c>
      <c r="AO293" s="3" t="e">
        <f>#REF!</f>
        <v>#REF!</v>
      </c>
      <c r="AP293" s="9" t="e">
        <f>VLOOKUP(AG293,#REF!,10,FALSE)</f>
        <v>#REF!</v>
      </c>
      <c r="AQ293" s="8">
        <f>SUMIFS(Capacity!$G$2:$G$2820,Capacity!$B$2:$B$2820,Demand_Modeling!AG293)</f>
        <v>0</v>
      </c>
      <c r="AS293" s="2" t="e">
        <f t="shared" si="64"/>
        <v>#REF!</v>
      </c>
      <c r="AT293" s="2" t="e">
        <f t="shared" si="65"/>
        <v>#REF!</v>
      </c>
      <c r="AU293" s="2" t="e">
        <f t="shared" si="66"/>
        <v>#REF!</v>
      </c>
      <c r="AV293" s="2" t="e">
        <f t="shared" si="67"/>
        <v>#REF!</v>
      </c>
      <c r="AW293" s="2" t="e">
        <f t="shared" si="68"/>
        <v>#REF!</v>
      </c>
      <c r="AX293" s="2" t="e">
        <f t="shared" si="69"/>
        <v>#REF!</v>
      </c>
      <c r="AY293" s="2" t="e">
        <f t="shared" si="70"/>
        <v>#REF!</v>
      </c>
      <c r="AZ293" s="10">
        <f t="shared" si="71"/>
        <v>0</v>
      </c>
      <c r="BA293" s="5" t="e">
        <f t="shared" si="72"/>
        <v>#REF!</v>
      </c>
    </row>
    <row r="294" spans="33:53" x14ac:dyDescent="0.3">
      <c r="AG294" t="e">
        <f t="shared" si="63"/>
        <v>#REF!</v>
      </c>
      <c r="AH294" t="e">
        <f>#REF!</f>
        <v>#REF!</v>
      </c>
      <c r="AI294" t="e">
        <f>#REF!</f>
        <v>#REF!</v>
      </c>
      <c r="AJ294" s="3" t="e">
        <f>#REF!</f>
        <v>#REF!</v>
      </c>
      <c r="AK294" s="3" t="e">
        <f>#REF!</f>
        <v>#REF!</v>
      </c>
      <c r="AL294" s="3" t="e">
        <f>#REF!</f>
        <v>#REF!</v>
      </c>
      <c r="AM294" s="3" t="e">
        <f>#REF!</f>
        <v>#REF!</v>
      </c>
      <c r="AN294" s="3" t="e">
        <f>#REF!</f>
        <v>#REF!</v>
      </c>
      <c r="AO294" s="3" t="e">
        <f>#REF!</f>
        <v>#REF!</v>
      </c>
      <c r="AP294" s="9" t="e">
        <f>VLOOKUP(AG294,#REF!,10,FALSE)</f>
        <v>#REF!</v>
      </c>
      <c r="AQ294" s="8">
        <f>SUMIFS(Capacity!$G$2:$G$2820,Capacity!$B$2:$B$2820,Demand_Modeling!AG294)</f>
        <v>0</v>
      </c>
      <c r="AS294" s="2" t="e">
        <f t="shared" si="64"/>
        <v>#REF!</v>
      </c>
      <c r="AT294" s="2" t="e">
        <f t="shared" si="65"/>
        <v>#REF!</v>
      </c>
      <c r="AU294" s="2" t="e">
        <f t="shared" si="66"/>
        <v>#REF!</v>
      </c>
      <c r="AV294" s="2" t="e">
        <f t="shared" si="67"/>
        <v>#REF!</v>
      </c>
      <c r="AW294" s="2" t="e">
        <f t="shared" si="68"/>
        <v>#REF!</v>
      </c>
      <c r="AX294" s="2" t="e">
        <f t="shared" si="69"/>
        <v>#REF!</v>
      </c>
      <c r="AY294" s="2" t="e">
        <f t="shared" si="70"/>
        <v>#REF!</v>
      </c>
      <c r="AZ294" s="10">
        <f t="shared" si="71"/>
        <v>0</v>
      </c>
      <c r="BA294" s="5" t="e">
        <f t="shared" si="72"/>
        <v>#REF!</v>
      </c>
    </row>
    <row r="295" spans="33:53" x14ac:dyDescent="0.3">
      <c r="AG295" t="e">
        <f t="shared" si="63"/>
        <v>#REF!</v>
      </c>
      <c r="AH295" t="e">
        <f>#REF!</f>
        <v>#REF!</v>
      </c>
      <c r="AI295" t="e">
        <f>#REF!</f>
        <v>#REF!</v>
      </c>
      <c r="AJ295" s="3" t="e">
        <f>#REF!</f>
        <v>#REF!</v>
      </c>
      <c r="AK295" s="3" t="e">
        <f>#REF!</f>
        <v>#REF!</v>
      </c>
      <c r="AL295" s="3" t="e">
        <f>#REF!</f>
        <v>#REF!</v>
      </c>
      <c r="AM295" s="3" t="e">
        <f>#REF!</f>
        <v>#REF!</v>
      </c>
      <c r="AN295" s="3" t="e">
        <f>#REF!</f>
        <v>#REF!</v>
      </c>
      <c r="AO295" s="3" t="e">
        <f>#REF!</f>
        <v>#REF!</v>
      </c>
      <c r="AP295" s="9" t="e">
        <f>VLOOKUP(AG295,#REF!,10,FALSE)</f>
        <v>#REF!</v>
      </c>
      <c r="AQ295" s="8">
        <f>SUMIFS(Capacity!$G$2:$G$2820,Capacity!$B$2:$B$2820,Demand_Modeling!AG295)</f>
        <v>0</v>
      </c>
      <c r="AS295" s="2" t="e">
        <f t="shared" si="64"/>
        <v>#REF!</v>
      </c>
      <c r="AT295" s="2" t="e">
        <f t="shared" si="65"/>
        <v>#REF!</v>
      </c>
      <c r="AU295" s="2" t="e">
        <f t="shared" si="66"/>
        <v>#REF!</v>
      </c>
      <c r="AV295" s="2" t="e">
        <f t="shared" si="67"/>
        <v>#REF!</v>
      </c>
      <c r="AW295" s="2" t="e">
        <f t="shared" si="68"/>
        <v>#REF!</v>
      </c>
      <c r="AX295" s="2" t="e">
        <f t="shared" si="69"/>
        <v>#REF!</v>
      </c>
      <c r="AY295" s="2" t="e">
        <f t="shared" si="70"/>
        <v>#REF!</v>
      </c>
      <c r="AZ295" s="10">
        <f t="shared" si="71"/>
        <v>0</v>
      </c>
      <c r="BA295" s="5" t="e">
        <f t="shared" si="72"/>
        <v>#REF!</v>
      </c>
    </row>
    <row r="296" spans="33:53" x14ac:dyDescent="0.3">
      <c r="AG296" t="e">
        <f t="shared" si="63"/>
        <v>#REF!</v>
      </c>
      <c r="AH296" t="e">
        <f>#REF!</f>
        <v>#REF!</v>
      </c>
      <c r="AI296" t="e">
        <f>#REF!</f>
        <v>#REF!</v>
      </c>
      <c r="AJ296" s="3" t="e">
        <f>#REF!</f>
        <v>#REF!</v>
      </c>
      <c r="AK296" s="3" t="e">
        <f>#REF!</f>
        <v>#REF!</v>
      </c>
      <c r="AL296" s="3" t="e">
        <f>#REF!</f>
        <v>#REF!</v>
      </c>
      <c r="AM296" s="3" t="e">
        <f>#REF!</f>
        <v>#REF!</v>
      </c>
      <c r="AN296" s="3" t="e">
        <f>#REF!</f>
        <v>#REF!</v>
      </c>
      <c r="AO296" s="3" t="e">
        <f>#REF!</f>
        <v>#REF!</v>
      </c>
      <c r="AP296" s="9" t="e">
        <f>VLOOKUP(AG296,#REF!,10,FALSE)</f>
        <v>#REF!</v>
      </c>
      <c r="AQ296" s="8">
        <f>SUMIFS(Capacity!$G$2:$G$2820,Capacity!$B$2:$B$2820,Demand_Modeling!AG296)</f>
        <v>0</v>
      </c>
      <c r="AS296" s="2" t="e">
        <f t="shared" si="64"/>
        <v>#REF!</v>
      </c>
      <c r="AT296" s="2" t="e">
        <f t="shared" si="65"/>
        <v>#REF!</v>
      </c>
      <c r="AU296" s="2" t="e">
        <f t="shared" si="66"/>
        <v>#REF!</v>
      </c>
      <c r="AV296" s="2" t="e">
        <f t="shared" si="67"/>
        <v>#REF!</v>
      </c>
      <c r="AW296" s="2" t="e">
        <f t="shared" si="68"/>
        <v>#REF!</v>
      </c>
      <c r="AX296" s="2" t="e">
        <f t="shared" si="69"/>
        <v>#REF!</v>
      </c>
      <c r="AY296" s="2" t="e">
        <f t="shared" si="70"/>
        <v>#REF!</v>
      </c>
      <c r="AZ296" s="10">
        <f t="shared" si="71"/>
        <v>0</v>
      </c>
      <c r="BA296" s="5" t="e">
        <f t="shared" si="72"/>
        <v>#REF!</v>
      </c>
    </row>
    <row r="297" spans="33:53" x14ac:dyDescent="0.3">
      <c r="AG297" t="e">
        <f t="shared" si="63"/>
        <v>#REF!</v>
      </c>
      <c r="AH297" t="e">
        <f>#REF!</f>
        <v>#REF!</v>
      </c>
      <c r="AI297" t="e">
        <f>#REF!</f>
        <v>#REF!</v>
      </c>
      <c r="AJ297" s="3" t="e">
        <f>#REF!</f>
        <v>#REF!</v>
      </c>
      <c r="AK297" s="3" t="e">
        <f>#REF!</f>
        <v>#REF!</v>
      </c>
      <c r="AL297" s="3" t="e">
        <f>#REF!</f>
        <v>#REF!</v>
      </c>
      <c r="AM297" s="3" t="e">
        <f>#REF!</f>
        <v>#REF!</v>
      </c>
      <c r="AN297" s="3" t="e">
        <f>#REF!</f>
        <v>#REF!</v>
      </c>
      <c r="AO297" s="3" t="e">
        <f>#REF!</f>
        <v>#REF!</v>
      </c>
      <c r="AP297" s="9" t="e">
        <f>VLOOKUP(AG297,#REF!,10,FALSE)</f>
        <v>#REF!</v>
      </c>
      <c r="AQ297" s="8">
        <f>SUMIFS(Capacity!$G$2:$G$2820,Capacity!$B$2:$B$2820,Demand_Modeling!AG297)</f>
        <v>0</v>
      </c>
      <c r="AS297" s="2" t="e">
        <f t="shared" si="64"/>
        <v>#REF!</v>
      </c>
      <c r="AT297" s="2" t="e">
        <f t="shared" si="65"/>
        <v>#REF!</v>
      </c>
      <c r="AU297" s="2" t="e">
        <f t="shared" si="66"/>
        <v>#REF!</v>
      </c>
      <c r="AV297" s="2" t="e">
        <f t="shared" si="67"/>
        <v>#REF!</v>
      </c>
      <c r="AW297" s="2" t="e">
        <f t="shared" si="68"/>
        <v>#REF!</v>
      </c>
      <c r="AX297" s="2" t="e">
        <f t="shared" si="69"/>
        <v>#REF!</v>
      </c>
      <c r="AY297" s="2" t="e">
        <f t="shared" si="70"/>
        <v>#REF!</v>
      </c>
      <c r="AZ297" s="10">
        <f t="shared" si="71"/>
        <v>0</v>
      </c>
      <c r="BA297" s="5" t="e">
        <f t="shared" si="72"/>
        <v>#REF!</v>
      </c>
    </row>
    <row r="298" spans="33:53" x14ac:dyDescent="0.3">
      <c r="AG298" t="e">
        <f t="shared" si="63"/>
        <v>#REF!</v>
      </c>
      <c r="AH298" t="e">
        <f>#REF!</f>
        <v>#REF!</v>
      </c>
      <c r="AI298" t="e">
        <f>#REF!</f>
        <v>#REF!</v>
      </c>
      <c r="AJ298" s="3" t="e">
        <f>#REF!</f>
        <v>#REF!</v>
      </c>
      <c r="AK298" s="3" t="e">
        <f>#REF!</f>
        <v>#REF!</v>
      </c>
      <c r="AL298" s="3" t="e">
        <f>#REF!</f>
        <v>#REF!</v>
      </c>
      <c r="AM298" s="3" t="e">
        <f>#REF!</f>
        <v>#REF!</v>
      </c>
      <c r="AN298" s="3" t="e">
        <f>#REF!</f>
        <v>#REF!</v>
      </c>
      <c r="AO298" s="3" t="e">
        <f>#REF!</f>
        <v>#REF!</v>
      </c>
      <c r="AP298" s="9" t="e">
        <f>VLOOKUP(AG298,#REF!,10,FALSE)</f>
        <v>#REF!</v>
      </c>
      <c r="AQ298" s="8">
        <f>SUMIFS(Capacity!$G$2:$G$2820,Capacity!$B$2:$B$2820,Demand_Modeling!AG298)</f>
        <v>0</v>
      </c>
      <c r="AS298" s="2" t="e">
        <f t="shared" si="64"/>
        <v>#REF!</v>
      </c>
      <c r="AT298" s="2" t="e">
        <f t="shared" si="65"/>
        <v>#REF!</v>
      </c>
      <c r="AU298" s="2" t="e">
        <f t="shared" si="66"/>
        <v>#REF!</v>
      </c>
      <c r="AV298" s="2" t="e">
        <f t="shared" si="67"/>
        <v>#REF!</v>
      </c>
      <c r="AW298" s="2" t="e">
        <f t="shared" si="68"/>
        <v>#REF!</v>
      </c>
      <c r="AX298" s="2" t="e">
        <f t="shared" si="69"/>
        <v>#REF!</v>
      </c>
      <c r="AY298" s="2" t="e">
        <f t="shared" si="70"/>
        <v>#REF!</v>
      </c>
      <c r="AZ298" s="10">
        <f t="shared" si="71"/>
        <v>0</v>
      </c>
      <c r="BA298" s="5" t="e">
        <f t="shared" si="72"/>
        <v>#REF!</v>
      </c>
    </row>
    <row r="299" spans="33:53" x14ac:dyDescent="0.3">
      <c r="AG299" t="e">
        <f t="shared" si="63"/>
        <v>#REF!</v>
      </c>
      <c r="AH299" t="e">
        <f>#REF!</f>
        <v>#REF!</v>
      </c>
      <c r="AI299" t="e">
        <f>#REF!</f>
        <v>#REF!</v>
      </c>
      <c r="AJ299" s="3" t="e">
        <f>#REF!</f>
        <v>#REF!</v>
      </c>
      <c r="AK299" s="3" t="e">
        <f>#REF!</f>
        <v>#REF!</v>
      </c>
      <c r="AL299" s="3" t="e">
        <f>#REF!</f>
        <v>#REF!</v>
      </c>
      <c r="AM299" s="3" t="e">
        <f>#REF!</f>
        <v>#REF!</v>
      </c>
      <c r="AN299" s="3" t="e">
        <f>#REF!</f>
        <v>#REF!</v>
      </c>
      <c r="AO299" s="3" t="e">
        <f>#REF!</f>
        <v>#REF!</v>
      </c>
      <c r="AP299" s="9" t="e">
        <f>VLOOKUP(AG299,#REF!,10,FALSE)</f>
        <v>#REF!</v>
      </c>
      <c r="AQ299" s="8">
        <f>SUMIFS(Capacity!$G$2:$G$2820,Capacity!$B$2:$B$2820,Demand_Modeling!AG299)</f>
        <v>0</v>
      </c>
      <c r="AS299" s="2" t="e">
        <f t="shared" si="64"/>
        <v>#REF!</v>
      </c>
      <c r="AT299" s="2" t="e">
        <f t="shared" si="65"/>
        <v>#REF!</v>
      </c>
      <c r="AU299" s="2" t="e">
        <f t="shared" si="66"/>
        <v>#REF!</v>
      </c>
      <c r="AV299" s="2" t="e">
        <f t="shared" si="67"/>
        <v>#REF!</v>
      </c>
      <c r="AW299" s="2" t="e">
        <f t="shared" si="68"/>
        <v>#REF!</v>
      </c>
      <c r="AX299" s="2" t="e">
        <f t="shared" si="69"/>
        <v>#REF!</v>
      </c>
      <c r="AY299" s="2" t="e">
        <f t="shared" si="70"/>
        <v>#REF!</v>
      </c>
      <c r="AZ299" s="10">
        <f t="shared" si="71"/>
        <v>0</v>
      </c>
      <c r="BA299" s="5" t="e">
        <f t="shared" si="72"/>
        <v>#REF!</v>
      </c>
    </row>
    <row r="300" spans="33:53" x14ac:dyDescent="0.3">
      <c r="AG300" t="e">
        <f t="shared" si="63"/>
        <v>#REF!</v>
      </c>
      <c r="AH300" t="e">
        <f>#REF!</f>
        <v>#REF!</v>
      </c>
      <c r="AI300" t="e">
        <f>#REF!</f>
        <v>#REF!</v>
      </c>
      <c r="AJ300" s="3" t="e">
        <f>#REF!</f>
        <v>#REF!</v>
      </c>
      <c r="AK300" s="3" t="e">
        <f>#REF!</f>
        <v>#REF!</v>
      </c>
      <c r="AL300" s="3" t="e">
        <f>#REF!</f>
        <v>#REF!</v>
      </c>
      <c r="AM300" s="3" t="e">
        <f>#REF!</f>
        <v>#REF!</v>
      </c>
      <c r="AN300" s="3" t="e">
        <f>#REF!</f>
        <v>#REF!</v>
      </c>
      <c r="AO300" s="3" t="e">
        <f>#REF!</f>
        <v>#REF!</v>
      </c>
      <c r="AP300" s="9" t="e">
        <f>VLOOKUP(AG300,#REF!,10,FALSE)</f>
        <v>#REF!</v>
      </c>
      <c r="AQ300" s="8">
        <f>SUMIFS(Capacity!$G$2:$G$2820,Capacity!$B$2:$B$2820,Demand_Modeling!AG300)</f>
        <v>0</v>
      </c>
      <c r="AS300" s="2" t="e">
        <f t="shared" si="64"/>
        <v>#REF!</v>
      </c>
      <c r="AT300" s="2" t="e">
        <f t="shared" si="65"/>
        <v>#REF!</v>
      </c>
      <c r="AU300" s="2" t="e">
        <f t="shared" si="66"/>
        <v>#REF!</v>
      </c>
      <c r="AV300" s="2" t="e">
        <f t="shared" si="67"/>
        <v>#REF!</v>
      </c>
      <c r="AW300" s="2" t="e">
        <f t="shared" si="68"/>
        <v>#REF!</v>
      </c>
      <c r="AX300" s="2" t="e">
        <f t="shared" si="69"/>
        <v>#REF!</v>
      </c>
      <c r="AY300" s="2" t="e">
        <f t="shared" si="70"/>
        <v>#REF!</v>
      </c>
      <c r="AZ300" s="10">
        <f t="shared" si="71"/>
        <v>0</v>
      </c>
      <c r="BA300" s="5" t="e">
        <f t="shared" si="72"/>
        <v>#REF!</v>
      </c>
    </row>
    <row r="301" spans="33:53" x14ac:dyDescent="0.3">
      <c r="AG301" t="e">
        <f t="shared" si="63"/>
        <v>#REF!</v>
      </c>
      <c r="AH301" t="e">
        <f>#REF!</f>
        <v>#REF!</v>
      </c>
      <c r="AI301" t="e">
        <f>#REF!</f>
        <v>#REF!</v>
      </c>
      <c r="AJ301" s="3" t="e">
        <f>#REF!</f>
        <v>#REF!</v>
      </c>
      <c r="AK301" s="3" t="e">
        <f>#REF!</f>
        <v>#REF!</v>
      </c>
      <c r="AL301" s="3" t="e">
        <f>#REF!</f>
        <v>#REF!</v>
      </c>
      <c r="AM301" s="3" t="e">
        <f>#REF!</f>
        <v>#REF!</v>
      </c>
      <c r="AN301" s="3" t="e">
        <f>#REF!</f>
        <v>#REF!</v>
      </c>
      <c r="AO301" s="3" t="e">
        <f>#REF!</f>
        <v>#REF!</v>
      </c>
      <c r="AP301" s="9" t="e">
        <f>VLOOKUP(AG301,#REF!,10,FALSE)</f>
        <v>#REF!</v>
      </c>
      <c r="AQ301" s="8">
        <f>SUMIFS(Capacity!$G$2:$G$2820,Capacity!$B$2:$B$2820,Demand_Modeling!AG301)</f>
        <v>0</v>
      </c>
      <c r="AS301" s="2" t="e">
        <f t="shared" si="64"/>
        <v>#REF!</v>
      </c>
      <c r="AT301" s="2" t="e">
        <f t="shared" si="65"/>
        <v>#REF!</v>
      </c>
      <c r="AU301" s="2" t="e">
        <f t="shared" si="66"/>
        <v>#REF!</v>
      </c>
      <c r="AV301" s="2" t="e">
        <f t="shared" si="67"/>
        <v>#REF!</v>
      </c>
      <c r="AW301" s="2" t="e">
        <f t="shared" si="68"/>
        <v>#REF!</v>
      </c>
      <c r="AX301" s="2" t="e">
        <f t="shared" si="69"/>
        <v>#REF!</v>
      </c>
      <c r="AY301" s="2" t="e">
        <f t="shared" si="70"/>
        <v>#REF!</v>
      </c>
      <c r="AZ301" s="10">
        <f t="shared" si="71"/>
        <v>0</v>
      </c>
      <c r="BA301" s="5" t="e">
        <f t="shared" si="72"/>
        <v>#REF!</v>
      </c>
    </row>
    <row r="302" spans="33:53" x14ac:dyDescent="0.3">
      <c r="AG302" t="e">
        <f t="shared" si="63"/>
        <v>#REF!</v>
      </c>
      <c r="AH302" t="e">
        <f>#REF!</f>
        <v>#REF!</v>
      </c>
      <c r="AI302" t="e">
        <f>#REF!</f>
        <v>#REF!</v>
      </c>
      <c r="AJ302" s="3" t="e">
        <f>#REF!</f>
        <v>#REF!</v>
      </c>
      <c r="AK302" s="3" t="e">
        <f>#REF!</f>
        <v>#REF!</v>
      </c>
      <c r="AL302" s="3" t="e">
        <f>#REF!</f>
        <v>#REF!</v>
      </c>
      <c r="AM302" s="3" t="e">
        <f>#REF!</f>
        <v>#REF!</v>
      </c>
      <c r="AN302" s="3" t="e">
        <f>#REF!</f>
        <v>#REF!</v>
      </c>
      <c r="AO302" s="3" t="e">
        <f>#REF!</f>
        <v>#REF!</v>
      </c>
      <c r="AP302" s="9" t="e">
        <f>VLOOKUP(AG302,#REF!,10,FALSE)</f>
        <v>#REF!</v>
      </c>
      <c r="AQ302" s="8">
        <f>SUMIFS(Capacity!$G$2:$G$2820,Capacity!$B$2:$B$2820,Demand_Modeling!AG302)</f>
        <v>0</v>
      </c>
      <c r="AS302" s="2" t="e">
        <f t="shared" si="64"/>
        <v>#REF!</v>
      </c>
      <c r="AT302" s="2" t="e">
        <f t="shared" si="65"/>
        <v>#REF!</v>
      </c>
      <c r="AU302" s="2" t="e">
        <f t="shared" si="66"/>
        <v>#REF!</v>
      </c>
      <c r="AV302" s="2" t="e">
        <f t="shared" si="67"/>
        <v>#REF!</v>
      </c>
      <c r="AW302" s="2" t="e">
        <f t="shared" si="68"/>
        <v>#REF!</v>
      </c>
      <c r="AX302" s="2" t="e">
        <f t="shared" si="69"/>
        <v>#REF!</v>
      </c>
      <c r="AY302" s="2" t="e">
        <f t="shared" si="70"/>
        <v>#REF!</v>
      </c>
      <c r="AZ302" s="10">
        <f t="shared" si="71"/>
        <v>0</v>
      </c>
      <c r="BA302" s="5" t="e">
        <f t="shared" si="72"/>
        <v>#REF!</v>
      </c>
    </row>
    <row r="303" spans="33:53" x14ac:dyDescent="0.3">
      <c r="AG303" t="e">
        <f t="shared" si="63"/>
        <v>#REF!</v>
      </c>
      <c r="AH303" t="e">
        <f>#REF!</f>
        <v>#REF!</v>
      </c>
      <c r="AI303" t="e">
        <f>#REF!</f>
        <v>#REF!</v>
      </c>
      <c r="AJ303" s="3" t="e">
        <f>#REF!</f>
        <v>#REF!</v>
      </c>
      <c r="AK303" s="3" t="e">
        <f>#REF!</f>
        <v>#REF!</v>
      </c>
      <c r="AL303" s="3" t="e">
        <f>#REF!</f>
        <v>#REF!</v>
      </c>
      <c r="AM303" s="3" t="e">
        <f>#REF!</f>
        <v>#REF!</v>
      </c>
      <c r="AN303" s="3" t="e">
        <f>#REF!</f>
        <v>#REF!</v>
      </c>
      <c r="AO303" s="3" t="e">
        <f>#REF!</f>
        <v>#REF!</v>
      </c>
      <c r="AP303" s="9" t="e">
        <f>VLOOKUP(AG303,#REF!,10,FALSE)</f>
        <v>#REF!</v>
      </c>
      <c r="AQ303" s="8">
        <f>SUMIFS(Capacity!$G$2:$G$2820,Capacity!$B$2:$B$2820,Demand_Modeling!AG303)</f>
        <v>0</v>
      </c>
      <c r="AS303" s="2" t="e">
        <f t="shared" si="64"/>
        <v>#REF!</v>
      </c>
      <c r="AT303" s="2" t="e">
        <f t="shared" si="65"/>
        <v>#REF!</v>
      </c>
      <c r="AU303" s="2" t="e">
        <f t="shared" si="66"/>
        <v>#REF!</v>
      </c>
      <c r="AV303" s="2" t="e">
        <f t="shared" si="67"/>
        <v>#REF!</v>
      </c>
      <c r="AW303" s="2" t="e">
        <f t="shared" si="68"/>
        <v>#REF!</v>
      </c>
      <c r="AX303" s="2" t="e">
        <f t="shared" si="69"/>
        <v>#REF!</v>
      </c>
      <c r="AY303" s="2" t="e">
        <f t="shared" si="70"/>
        <v>#REF!</v>
      </c>
      <c r="AZ303" s="10">
        <f t="shared" si="71"/>
        <v>0</v>
      </c>
      <c r="BA303" s="5" t="e">
        <f t="shared" si="72"/>
        <v>#REF!</v>
      </c>
    </row>
    <row r="304" spans="33:53" x14ac:dyDescent="0.3">
      <c r="AG304" t="e">
        <f t="shared" si="63"/>
        <v>#REF!</v>
      </c>
      <c r="AH304" t="e">
        <f>#REF!</f>
        <v>#REF!</v>
      </c>
      <c r="AI304" t="e">
        <f>#REF!</f>
        <v>#REF!</v>
      </c>
      <c r="AJ304" s="3" t="e">
        <f>#REF!</f>
        <v>#REF!</v>
      </c>
      <c r="AK304" s="3" t="e">
        <f>#REF!</f>
        <v>#REF!</v>
      </c>
      <c r="AL304" s="3" t="e">
        <f>#REF!</f>
        <v>#REF!</v>
      </c>
      <c r="AM304" s="3" t="e">
        <f>#REF!</f>
        <v>#REF!</v>
      </c>
      <c r="AN304" s="3" t="e">
        <f>#REF!</f>
        <v>#REF!</v>
      </c>
      <c r="AO304" s="3" t="e">
        <f>#REF!</f>
        <v>#REF!</v>
      </c>
      <c r="AP304" s="9" t="e">
        <f>VLOOKUP(AG304,#REF!,10,FALSE)</f>
        <v>#REF!</v>
      </c>
      <c r="AQ304" s="8">
        <f>SUMIFS(Capacity!$G$2:$G$2820,Capacity!$B$2:$B$2820,Demand_Modeling!AG304)</f>
        <v>0</v>
      </c>
      <c r="AS304" s="2" t="e">
        <f t="shared" si="64"/>
        <v>#REF!</v>
      </c>
      <c r="AT304" s="2" t="e">
        <f t="shared" si="65"/>
        <v>#REF!</v>
      </c>
      <c r="AU304" s="2" t="e">
        <f t="shared" si="66"/>
        <v>#REF!</v>
      </c>
      <c r="AV304" s="2" t="e">
        <f t="shared" si="67"/>
        <v>#REF!</v>
      </c>
      <c r="AW304" s="2" t="e">
        <f t="shared" si="68"/>
        <v>#REF!</v>
      </c>
      <c r="AX304" s="2" t="e">
        <f t="shared" si="69"/>
        <v>#REF!</v>
      </c>
      <c r="AY304" s="2" t="e">
        <f t="shared" si="70"/>
        <v>#REF!</v>
      </c>
      <c r="AZ304" s="10">
        <f t="shared" si="71"/>
        <v>0</v>
      </c>
      <c r="BA304" s="5" t="e">
        <f t="shared" si="72"/>
        <v>#REF!</v>
      </c>
    </row>
    <row r="305" spans="33:53" x14ac:dyDescent="0.3">
      <c r="AG305" t="e">
        <f t="shared" si="63"/>
        <v>#REF!</v>
      </c>
      <c r="AH305" t="e">
        <f>#REF!</f>
        <v>#REF!</v>
      </c>
      <c r="AI305" t="e">
        <f>#REF!</f>
        <v>#REF!</v>
      </c>
      <c r="AJ305" s="3" t="e">
        <f>#REF!</f>
        <v>#REF!</v>
      </c>
      <c r="AK305" s="3" t="e">
        <f>#REF!</f>
        <v>#REF!</v>
      </c>
      <c r="AL305" s="3" t="e">
        <f>#REF!</f>
        <v>#REF!</v>
      </c>
      <c r="AM305" s="3" t="e">
        <f>#REF!</f>
        <v>#REF!</v>
      </c>
      <c r="AN305" s="3" t="e">
        <f>#REF!</f>
        <v>#REF!</v>
      </c>
      <c r="AO305" s="3" t="e">
        <f>#REF!</f>
        <v>#REF!</v>
      </c>
      <c r="AP305" s="9" t="e">
        <f>VLOOKUP(AG305,#REF!,10,FALSE)</f>
        <v>#REF!</v>
      </c>
      <c r="AQ305" s="8">
        <f>SUMIFS(Capacity!$G$2:$G$2820,Capacity!$B$2:$B$2820,Demand_Modeling!AG305)</f>
        <v>0</v>
      </c>
      <c r="AS305" s="2" t="e">
        <f t="shared" si="64"/>
        <v>#REF!</v>
      </c>
      <c r="AT305" s="2" t="e">
        <f t="shared" si="65"/>
        <v>#REF!</v>
      </c>
      <c r="AU305" s="2" t="e">
        <f t="shared" si="66"/>
        <v>#REF!</v>
      </c>
      <c r="AV305" s="2" t="e">
        <f t="shared" si="67"/>
        <v>#REF!</v>
      </c>
      <c r="AW305" s="2" t="e">
        <f t="shared" si="68"/>
        <v>#REF!</v>
      </c>
      <c r="AX305" s="2" t="e">
        <f t="shared" si="69"/>
        <v>#REF!</v>
      </c>
      <c r="AY305" s="2" t="e">
        <f t="shared" si="70"/>
        <v>#REF!</v>
      </c>
      <c r="AZ305" s="10">
        <f t="shared" si="71"/>
        <v>0</v>
      </c>
      <c r="BA305" s="5" t="e">
        <f t="shared" si="72"/>
        <v>#REF!</v>
      </c>
    </row>
    <row r="306" spans="33:53" x14ac:dyDescent="0.3">
      <c r="AG306" t="e">
        <f t="shared" si="63"/>
        <v>#REF!</v>
      </c>
      <c r="AH306" t="e">
        <f>#REF!</f>
        <v>#REF!</v>
      </c>
      <c r="AI306" t="e">
        <f>#REF!</f>
        <v>#REF!</v>
      </c>
      <c r="AJ306" s="3" t="e">
        <f>#REF!</f>
        <v>#REF!</v>
      </c>
      <c r="AK306" s="3" t="e">
        <f>#REF!</f>
        <v>#REF!</v>
      </c>
      <c r="AL306" s="3" t="e">
        <f>#REF!</f>
        <v>#REF!</v>
      </c>
      <c r="AM306" s="3" t="e">
        <f>#REF!</f>
        <v>#REF!</v>
      </c>
      <c r="AN306" s="3" t="e">
        <f>#REF!</f>
        <v>#REF!</v>
      </c>
      <c r="AO306" s="3" t="e">
        <f>#REF!</f>
        <v>#REF!</v>
      </c>
      <c r="AP306" s="9" t="e">
        <f>VLOOKUP(AG306,#REF!,10,FALSE)</f>
        <v>#REF!</v>
      </c>
      <c r="AQ306" s="8">
        <f>SUMIFS(Capacity!$G$2:$G$2820,Capacity!$B$2:$B$2820,Demand_Modeling!AG306)</f>
        <v>0</v>
      </c>
      <c r="AS306" s="2" t="e">
        <f t="shared" si="64"/>
        <v>#REF!</v>
      </c>
      <c r="AT306" s="2" t="e">
        <f t="shared" si="65"/>
        <v>#REF!</v>
      </c>
      <c r="AU306" s="2" t="e">
        <f t="shared" si="66"/>
        <v>#REF!</v>
      </c>
      <c r="AV306" s="2" t="e">
        <f t="shared" si="67"/>
        <v>#REF!</v>
      </c>
      <c r="AW306" s="2" t="e">
        <f t="shared" si="68"/>
        <v>#REF!</v>
      </c>
      <c r="AX306" s="2" t="e">
        <f t="shared" si="69"/>
        <v>#REF!</v>
      </c>
      <c r="AY306" s="2" t="e">
        <f t="shared" si="70"/>
        <v>#REF!</v>
      </c>
      <c r="AZ306" s="10">
        <f t="shared" si="71"/>
        <v>0</v>
      </c>
      <c r="BA306" s="5" t="e">
        <f t="shared" si="72"/>
        <v>#REF!</v>
      </c>
    </row>
    <row r="307" spans="33:53" x14ac:dyDescent="0.3">
      <c r="AG307" t="e">
        <f t="shared" si="63"/>
        <v>#REF!</v>
      </c>
      <c r="AH307" t="e">
        <f>#REF!</f>
        <v>#REF!</v>
      </c>
      <c r="AI307" t="e">
        <f>#REF!</f>
        <v>#REF!</v>
      </c>
      <c r="AJ307" s="3" t="e">
        <f>#REF!</f>
        <v>#REF!</v>
      </c>
      <c r="AK307" s="3" t="e">
        <f>#REF!</f>
        <v>#REF!</v>
      </c>
      <c r="AL307" s="3" t="e">
        <f>#REF!</f>
        <v>#REF!</v>
      </c>
      <c r="AM307" s="3" t="e">
        <f>#REF!</f>
        <v>#REF!</v>
      </c>
      <c r="AN307" s="3" t="e">
        <f>#REF!</f>
        <v>#REF!</v>
      </c>
      <c r="AO307" s="3" t="e">
        <f>#REF!</f>
        <v>#REF!</v>
      </c>
      <c r="AP307" s="9" t="e">
        <f>VLOOKUP(AG307,#REF!,10,FALSE)</f>
        <v>#REF!</v>
      </c>
      <c r="AQ307" s="8">
        <f>SUMIFS(Capacity!$G$2:$G$2820,Capacity!$B$2:$B$2820,Demand_Modeling!AG307)</f>
        <v>0</v>
      </c>
      <c r="AS307" s="2" t="e">
        <f t="shared" si="64"/>
        <v>#REF!</v>
      </c>
      <c r="AT307" s="2" t="e">
        <f t="shared" si="65"/>
        <v>#REF!</v>
      </c>
      <c r="AU307" s="2" t="e">
        <f t="shared" si="66"/>
        <v>#REF!</v>
      </c>
      <c r="AV307" s="2" t="e">
        <f t="shared" si="67"/>
        <v>#REF!</v>
      </c>
      <c r="AW307" s="2" t="e">
        <f t="shared" si="68"/>
        <v>#REF!</v>
      </c>
      <c r="AX307" s="2" t="e">
        <f t="shared" si="69"/>
        <v>#REF!</v>
      </c>
      <c r="AY307" s="2" t="e">
        <f t="shared" si="70"/>
        <v>#REF!</v>
      </c>
      <c r="AZ307" s="10">
        <f t="shared" si="71"/>
        <v>0</v>
      </c>
      <c r="BA307" s="5" t="e">
        <f t="shared" si="72"/>
        <v>#REF!</v>
      </c>
    </row>
    <row r="308" spans="33:53" x14ac:dyDescent="0.3">
      <c r="AG308" t="e">
        <f t="shared" si="63"/>
        <v>#REF!</v>
      </c>
      <c r="AH308" t="e">
        <f>#REF!</f>
        <v>#REF!</v>
      </c>
      <c r="AI308" t="e">
        <f>#REF!</f>
        <v>#REF!</v>
      </c>
      <c r="AJ308" s="3" t="e">
        <f>#REF!</f>
        <v>#REF!</v>
      </c>
      <c r="AK308" s="3" t="e">
        <f>#REF!</f>
        <v>#REF!</v>
      </c>
      <c r="AL308" s="3" t="e">
        <f>#REF!</f>
        <v>#REF!</v>
      </c>
      <c r="AM308" s="3" t="e">
        <f>#REF!</f>
        <v>#REF!</v>
      </c>
      <c r="AN308" s="3" t="e">
        <f>#REF!</f>
        <v>#REF!</v>
      </c>
      <c r="AO308" s="3" t="e">
        <f>#REF!</f>
        <v>#REF!</v>
      </c>
      <c r="AP308" s="9" t="e">
        <f>VLOOKUP(AG308,#REF!,10,FALSE)</f>
        <v>#REF!</v>
      </c>
      <c r="AQ308" s="8">
        <f>SUMIFS(Capacity!$G$2:$G$2820,Capacity!$B$2:$B$2820,Demand_Modeling!AG308)</f>
        <v>0</v>
      </c>
      <c r="AS308" s="2" t="e">
        <f t="shared" si="64"/>
        <v>#REF!</v>
      </c>
      <c r="AT308" s="2" t="e">
        <f t="shared" si="65"/>
        <v>#REF!</v>
      </c>
      <c r="AU308" s="2" t="e">
        <f t="shared" si="66"/>
        <v>#REF!</v>
      </c>
      <c r="AV308" s="2" t="e">
        <f t="shared" si="67"/>
        <v>#REF!</v>
      </c>
      <c r="AW308" s="2" t="e">
        <f t="shared" si="68"/>
        <v>#REF!</v>
      </c>
      <c r="AX308" s="2" t="e">
        <f t="shared" si="69"/>
        <v>#REF!</v>
      </c>
      <c r="AY308" s="2" t="e">
        <f t="shared" si="70"/>
        <v>#REF!</v>
      </c>
      <c r="AZ308" s="10">
        <f t="shared" si="71"/>
        <v>0</v>
      </c>
      <c r="BA308" s="5" t="e">
        <f t="shared" si="72"/>
        <v>#REF!</v>
      </c>
    </row>
    <row r="309" spans="33:53" x14ac:dyDescent="0.3">
      <c r="AG309" t="e">
        <f t="shared" si="63"/>
        <v>#REF!</v>
      </c>
      <c r="AH309" t="e">
        <f>#REF!</f>
        <v>#REF!</v>
      </c>
      <c r="AI309" t="e">
        <f>#REF!</f>
        <v>#REF!</v>
      </c>
      <c r="AJ309" s="3" t="e">
        <f>#REF!</f>
        <v>#REF!</v>
      </c>
      <c r="AK309" s="3" t="e">
        <f>#REF!</f>
        <v>#REF!</v>
      </c>
      <c r="AL309" s="3" t="e">
        <f>#REF!</f>
        <v>#REF!</v>
      </c>
      <c r="AM309" s="3" t="e">
        <f>#REF!</f>
        <v>#REF!</v>
      </c>
      <c r="AN309" s="3" t="e">
        <f>#REF!</f>
        <v>#REF!</v>
      </c>
      <c r="AO309" s="3" t="e">
        <f>#REF!</f>
        <v>#REF!</v>
      </c>
      <c r="AP309" s="9" t="e">
        <f>VLOOKUP(AG309,#REF!,10,FALSE)</f>
        <v>#REF!</v>
      </c>
      <c r="AQ309" s="8">
        <f>SUMIFS(Capacity!$G$2:$G$2820,Capacity!$B$2:$B$2820,Demand_Modeling!AG309)</f>
        <v>0</v>
      </c>
      <c r="AS309" s="2" t="e">
        <f t="shared" si="64"/>
        <v>#REF!</v>
      </c>
      <c r="AT309" s="2" t="e">
        <f t="shared" si="65"/>
        <v>#REF!</v>
      </c>
      <c r="AU309" s="2" t="e">
        <f t="shared" si="66"/>
        <v>#REF!</v>
      </c>
      <c r="AV309" s="2" t="e">
        <f t="shared" si="67"/>
        <v>#REF!</v>
      </c>
      <c r="AW309" s="2" t="e">
        <f t="shared" si="68"/>
        <v>#REF!</v>
      </c>
      <c r="AX309" s="2" t="e">
        <f t="shared" si="69"/>
        <v>#REF!</v>
      </c>
      <c r="AY309" s="2" t="e">
        <f t="shared" si="70"/>
        <v>#REF!</v>
      </c>
      <c r="AZ309" s="10">
        <f t="shared" si="71"/>
        <v>0</v>
      </c>
      <c r="BA309" s="5" t="e">
        <f t="shared" si="72"/>
        <v>#REF!</v>
      </c>
    </row>
    <row r="310" spans="33:53" x14ac:dyDescent="0.3">
      <c r="AG310" t="e">
        <f t="shared" si="63"/>
        <v>#REF!</v>
      </c>
      <c r="AH310" t="e">
        <f>#REF!</f>
        <v>#REF!</v>
      </c>
      <c r="AI310" t="e">
        <f>#REF!</f>
        <v>#REF!</v>
      </c>
      <c r="AJ310" s="3" t="e">
        <f>#REF!</f>
        <v>#REF!</v>
      </c>
      <c r="AK310" s="3" t="e">
        <f>#REF!</f>
        <v>#REF!</v>
      </c>
      <c r="AL310" s="3" t="e">
        <f>#REF!</f>
        <v>#REF!</v>
      </c>
      <c r="AM310" s="3" t="e">
        <f>#REF!</f>
        <v>#REF!</v>
      </c>
      <c r="AN310" s="3" t="e">
        <f>#REF!</f>
        <v>#REF!</v>
      </c>
      <c r="AO310" s="3" t="e">
        <f>#REF!</f>
        <v>#REF!</v>
      </c>
      <c r="AP310" s="9" t="e">
        <f>VLOOKUP(AG310,#REF!,10,FALSE)</f>
        <v>#REF!</v>
      </c>
      <c r="AQ310" s="8">
        <f>SUMIFS(Capacity!$G$2:$G$2820,Capacity!$B$2:$B$2820,Demand_Modeling!AG310)</f>
        <v>0</v>
      </c>
      <c r="AS310" s="2" t="e">
        <f t="shared" si="64"/>
        <v>#REF!</v>
      </c>
      <c r="AT310" s="2" t="e">
        <f t="shared" si="65"/>
        <v>#REF!</v>
      </c>
      <c r="AU310" s="2" t="e">
        <f t="shared" si="66"/>
        <v>#REF!</v>
      </c>
      <c r="AV310" s="2" t="e">
        <f t="shared" si="67"/>
        <v>#REF!</v>
      </c>
      <c r="AW310" s="2" t="e">
        <f t="shared" si="68"/>
        <v>#REF!</v>
      </c>
      <c r="AX310" s="2" t="e">
        <f t="shared" si="69"/>
        <v>#REF!</v>
      </c>
      <c r="AY310" s="2" t="e">
        <f t="shared" si="70"/>
        <v>#REF!</v>
      </c>
      <c r="AZ310" s="10">
        <f t="shared" si="71"/>
        <v>0</v>
      </c>
      <c r="BA310" s="5" t="e">
        <f t="shared" si="72"/>
        <v>#REF!</v>
      </c>
    </row>
    <row r="311" spans="33:53" x14ac:dyDescent="0.3">
      <c r="AG311" t="e">
        <f t="shared" si="63"/>
        <v>#REF!</v>
      </c>
      <c r="AH311" t="e">
        <f>#REF!</f>
        <v>#REF!</v>
      </c>
      <c r="AI311" t="e">
        <f>#REF!</f>
        <v>#REF!</v>
      </c>
      <c r="AJ311" s="3" t="e">
        <f>#REF!</f>
        <v>#REF!</v>
      </c>
      <c r="AK311" s="3" t="e">
        <f>#REF!</f>
        <v>#REF!</v>
      </c>
      <c r="AL311" s="3" t="e">
        <f>#REF!</f>
        <v>#REF!</v>
      </c>
      <c r="AM311" s="3" t="e">
        <f>#REF!</f>
        <v>#REF!</v>
      </c>
      <c r="AN311" s="3" t="e">
        <f>#REF!</f>
        <v>#REF!</v>
      </c>
      <c r="AO311" s="3" t="e">
        <f>#REF!</f>
        <v>#REF!</v>
      </c>
      <c r="AP311" s="9" t="e">
        <f>VLOOKUP(AG311,#REF!,10,FALSE)</f>
        <v>#REF!</v>
      </c>
      <c r="AQ311" s="8">
        <f>SUMIFS(Capacity!$G$2:$G$2820,Capacity!$B$2:$B$2820,Demand_Modeling!AG311)</f>
        <v>0</v>
      </c>
      <c r="AS311" s="2" t="e">
        <f t="shared" si="64"/>
        <v>#REF!</v>
      </c>
      <c r="AT311" s="2" t="e">
        <f t="shared" si="65"/>
        <v>#REF!</v>
      </c>
      <c r="AU311" s="2" t="e">
        <f t="shared" si="66"/>
        <v>#REF!</v>
      </c>
      <c r="AV311" s="2" t="e">
        <f t="shared" si="67"/>
        <v>#REF!</v>
      </c>
      <c r="AW311" s="2" t="e">
        <f t="shared" si="68"/>
        <v>#REF!</v>
      </c>
      <c r="AX311" s="2" t="e">
        <f t="shared" si="69"/>
        <v>#REF!</v>
      </c>
      <c r="AY311" s="2" t="e">
        <f t="shared" si="70"/>
        <v>#REF!</v>
      </c>
      <c r="AZ311" s="10">
        <f t="shared" si="71"/>
        <v>0</v>
      </c>
      <c r="BA311" s="5" t="e">
        <f t="shared" si="72"/>
        <v>#REF!</v>
      </c>
    </row>
    <row r="312" spans="33:53" x14ac:dyDescent="0.3">
      <c r="AG312" t="e">
        <f t="shared" si="63"/>
        <v>#REF!</v>
      </c>
      <c r="AH312" t="e">
        <f>#REF!</f>
        <v>#REF!</v>
      </c>
      <c r="AI312" t="e">
        <f>#REF!</f>
        <v>#REF!</v>
      </c>
      <c r="AJ312" s="3" t="e">
        <f>#REF!</f>
        <v>#REF!</v>
      </c>
      <c r="AK312" s="3" t="e">
        <f>#REF!</f>
        <v>#REF!</v>
      </c>
      <c r="AL312" s="3" t="e">
        <f>#REF!</f>
        <v>#REF!</v>
      </c>
      <c r="AM312" s="3" t="e">
        <f>#REF!</f>
        <v>#REF!</v>
      </c>
      <c r="AN312" s="3" t="e">
        <f>#REF!</f>
        <v>#REF!</v>
      </c>
      <c r="AO312" s="3" t="e">
        <f>#REF!</f>
        <v>#REF!</v>
      </c>
      <c r="AP312" s="9" t="e">
        <f>VLOOKUP(AG312,#REF!,10,FALSE)</f>
        <v>#REF!</v>
      </c>
      <c r="AQ312" s="8">
        <f>SUMIFS(Capacity!$G$2:$G$2820,Capacity!$B$2:$B$2820,Demand_Modeling!AG312)</f>
        <v>0</v>
      </c>
      <c r="AS312" s="2" t="e">
        <f t="shared" si="64"/>
        <v>#REF!</v>
      </c>
      <c r="AT312" s="2" t="e">
        <f t="shared" si="65"/>
        <v>#REF!</v>
      </c>
      <c r="AU312" s="2" t="e">
        <f t="shared" si="66"/>
        <v>#REF!</v>
      </c>
      <c r="AV312" s="2" t="e">
        <f t="shared" si="67"/>
        <v>#REF!</v>
      </c>
      <c r="AW312" s="2" t="e">
        <f t="shared" si="68"/>
        <v>#REF!</v>
      </c>
      <c r="AX312" s="2" t="e">
        <f t="shared" si="69"/>
        <v>#REF!</v>
      </c>
      <c r="AY312" s="2" t="e">
        <f t="shared" si="70"/>
        <v>#REF!</v>
      </c>
      <c r="AZ312" s="10">
        <f t="shared" si="71"/>
        <v>0</v>
      </c>
      <c r="BA312" s="5" t="e">
        <f t="shared" si="72"/>
        <v>#REF!</v>
      </c>
    </row>
    <row r="313" spans="33:53" x14ac:dyDescent="0.3">
      <c r="AG313" t="e">
        <f t="shared" si="63"/>
        <v>#REF!</v>
      </c>
      <c r="AH313" t="e">
        <f>#REF!</f>
        <v>#REF!</v>
      </c>
      <c r="AI313" t="e">
        <f>#REF!</f>
        <v>#REF!</v>
      </c>
      <c r="AJ313" s="3" t="e">
        <f>#REF!</f>
        <v>#REF!</v>
      </c>
      <c r="AK313" s="3" t="e">
        <f>#REF!</f>
        <v>#REF!</v>
      </c>
      <c r="AL313" s="3" t="e">
        <f>#REF!</f>
        <v>#REF!</v>
      </c>
      <c r="AM313" s="3" t="e">
        <f>#REF!</f>
        <v>#REF!</v>
      </c>
      <c r="AN313" s="3" t="e">
        <f>#REF!</f>
        <v>#REF!</v>
      </c>
      <c r="AO313" s="3" t="e">
        <f>#REF!</f>
        <v>#REF!</v>
      </c>
      <c r="AP313" s="9" t="e">
        <f>VLOOKUP(AG313,#REF!,10,FALSE)</f>
        <v>#REF!</v>
      </c>
      <c r="AQ313" s="8">
        <f>SUMIFS(Capacity!$G$2:$G$2820,Capacity!$B$2:$B$2820,Demand_Modeling!AG313)</f>
        <v>0</v>
      </c>
      <c r="AS313" s="2" t="e">
        <f t="shared" si="64"/>
        <v>#REF!</v>
      </c>
      <c r="AT313" s="2" t="e">
        <f t="shared" si="65"/>
        <v>#REF!</v>
      </c>
      <c r="AU313" s="2" t="e">
        <f t="shared" si="66"/>
        <v>#REF!</v>
      </c>
      <c r="AV313" s="2" t="e">
        <f t="shared" si="67"/>
        <v>#REF!</v>
      </c>
      <c r="AW313" s="2" t="e">
        <f t="shared" si="68"/>
        <v>#REF!</v>
      </c>
      <c r="AX313" s="2" t="e">
        <f t="shared" si="69"/>
        <v>#REF!</v>
      </c>
      <c r="AY313" s="2" t="e">
        <f t="shared" si="70"/>
        <v>#REF!</v>
      </c>
      <c r="AZ313" s="10">
        <f t="shared" si="71"/>
        <v>0</v>
      </c>
      <c r="BA313" s="5" t="e">
        <f t="shared" si="72"/>
        <v>#REF!</v>
      </c>
    </row>
    <row r="314" spans="33:53" x14ac:dyDescent="0.3">
      <c r="AG314" t="e">
        <f t="shared" si="63"/>
        <v>#REF!</v>
      </c>
      <c r="AH314" t="e">
        <f>#REF!</f>
        <v>#REF!</v>
      </c>
      <c r="AI314" t="e">
        <f>#REF!</f>
        <v>#REF!</v>
      </c>
      <c r="AJ314" s="3" t="e">
        <f>#REF!</f>
        <v>#REF!</v>
      </c>
      <c r="AK314" s="3" t="e">
        <f>#REF!</f>
        <v>#REF!</v>
      </c>
      <c r="AL314" s="3" t="e">
        <f>#REF!</f>
        <v>#REF!</v>
      </c>
      <c r="AM314" s="3" t="e">
        <f>#REF!</f>
        <v>#REF!</v>
      </c>
      <c r="AN314" s="3" t="e">
        <f>#REF!</f>
        <v>#REF!</v>
      </c>
      <c r="AO314" s="3" t="e">
        <f>#REF!</f>
        <v>#REF!</v>
      </c>
      <c r="AP314" s="9" t="e">
        <f>VLOOKUP(AG314,#REF!,10,FALSE)</f>
        <v>#REF!</v>
      </c>
      <c r="AQ314" s="8">
        <f>SUMIFS(Capacity!$G$2:$G$2820,Capacity!$B$2:$B$2820,Demand_Modeling!AG314)</f>
        <v>0</v>
      </c>
      <c r="AS314" s="2" t="e">
        <f t="shared" si="64"/>
        <v>#REF!</v>
      </c>
      <c r="AT314" s="2" t="e">
        <f t="shared" si="65"/>
        <v>#REF!</v>
      </c>
      <c r="AU314" s="2" t="e">
        <f t="shared" si="66"/>
        <v>#REF!</v>
      </c>
      <c r="AV314" s="2" t="e">
        <f t="shared" si="67"/>
        <v>#REF!</v>
      </c>
      <c r="AW314" s="2" t="e">
        <f t="shared" si="68"/>
        <v>#REF!</v>
      </c>
      <c r="AX314" s="2" t="e">
        <f t="shared" si="69"/>
        <v>#REF!</v>
      </c>
      <c r="AY314" s="2" t="e">
        <f t="shared" si="70"/>
        <v>#REF!</v>
      </c>
      <c r="AZ314" s="10">
        <f t="shared" si="71"/>
        <v>0</v>
      </c>
      <c r="BA314" s="5" t="e">
        <f t="shared" si="72"/>
        <v>#REF!</v>
      </c>
    </row>
    <row r="315" spans="33:53" x14ac:dyDescent="0.3">
      <c r="AG315" t="e">
        <f t="shared" si="63"/>
        <v>#REF!</v>
      </c>
      <c r="AH315" t="e">
        <f>#REF!</f>
        <v>#REF!</v>
      </c>
      <c r="AI315" t="e">
        <f>#REF!</f>
        <v>#REF!</v>
      </c>
      <c r="AJ315" s="3" t="e">
        <f>#REF!</f>
        <v>#REF!</v>
      </c>
      <c r="AK315" s="3" t="e">
        <f>#REF!</f>
        <v>#REF!</v>
      </c>
      <c r="AL315" s="3" t="e">
        <f>#REF!</f>
        <v>#REF!</v>
      </c>
      <c r="AM315" s="3" t="e">
        <f>#REF!</f>
        <v>#REF!</v>
      </c>
      <c r="AN315" s="3" t="e">
        <f>#REF!</f>
        <v>#REF!</v>
      </c>
      <c r="AO315" s="3" t="e">
        <f>#REF!</f>
        <v>#REF!</v>
      </c>
      <c r="AP315" s="9" t="e">
        <f>VLOOKUP(AG315,#REF!,10,FALSE)</f>
        <v>#REF!</v>
      </c>
      <c r="AQ315" s="8">
        <f>SUMIFS(Capacity!$G$2:$G$2820,Capacity!$B$2:$B$2820,Demand_Modeling!AG315)</f>
        <v>0</v>
      </c>
      <c r="AS315" s="2" t="e">
        <f t="shared" si="64"/>
        <v>#REF!</v>
      </c>
      <c r="AT315" s="2" t="e">
        <f t="shared" si="65"/>
        <v>#REF!</v>
      </c>
      <c r="AU315" s="2" t="e">
        <f t="shared" si="66"/>
        <v>#REF!</v>
      </c>
      <c r="AV315" s="2" t="e">
        <f t="shared" si="67"/>
        <v>#REF!</v>
      </c>
      <c r="AW315" s="2" t="e">
        <f t="shared" si="68"/>
        <v>#REF!</v>
      </c>
      <c r="AX315" s="2" t="e">
        <f t="shared" si="69"/>
        <v>#REF!</v>
      </c>
      <c r="AY315" s="2" t="e">
        <f t="shared" si="70"/>
        <v>#REF!</v>
      </c>
      <c r="AZ315" s="10">
        <f t="shared" si="71"/>
        <v>0</v>
      </c>
      <c r="BA315" s="5" t="e">
        <f t="shared" si="72"/>
        <v>#REF!</v>
      </c>
    </row>
    <row r="316" spans="33:53" x14ac:dyDescent="0.3">
      <c r="AG316" t="e">
        <f t="shared" si="63"/>
        <v>#REF!</v>
      </c>
      <c r="AH316" t="e">
        <f>#REF!</f>
        <v>#REF!</v>
      </c>
      <c r="AI316" t="e">
        <f>#REF!</f>
        <v>#REF!</v>
      </c>
      <c r="AJ316" s="3" t="e">
        <f>#REF!</f>
        <v>#REF!</v>
      </c>
      <c r="AK316" s="3" t="e">
        <f>#REF!</f>
        <v>#REF!</v>
      </c>
      <c r="AL316" s="3" t="e">
        <f>#REF!</f>
        <v>#REF!</v>
      </c>
      <c r="AM316" s="3" t="e">
        <f>#REF!</f>
        <v>#REF!</v>
      </c>
      <c r="AN316" s="3" t="e">
        <f>#REF!</f>
        <v>#REF!</v>
      </c>
      <c r="AO316" s="3" t="e">
        <f>#REF!</f>
        <v>#REF!</v>
      </c>
      <c r="AP316" s="9" t="e">
        <f>VLOOKUP(AG316,#REF!,10,FALSE)</f>
        <v>#REF!</v>
      </c>
      <c r="AQ316" s="8">
        <f>SUMIFS(Capacity!$G$2:$G$2820,Capacity!$B$2:$B$2820,Demand_Modeling!AG316)</f>
        <v>0</v>
      </c>
      <c r="AS316" s="2" t="e">
        <f t="shared" si="64"/>
        <v>#REF!</v>
      </c>
      <c r="AT316" s="2" t="e">
        <f t="shared" si="65"/>
        <v>#REF!</v>
      </c>
      <c r="AU316" s="2" t="e">
        <f t="shared" si="66"/>
        <v>#REF!</v>
      </c>
      <c r="AV316" s="2" t="e">
        <f t="shared" si="67"/>
        <v>#REF!</v>
      </c>
      <c r="AW316" s="2" t="e">
        <f t="shared" si="68"/>
        <v>#REF!</v>
      </c>
      <c r="AX316" s="2" t="e">
        <f t="shared" si="69"/>
        <v>#REF!</v>
      </c>
      <c r="AY316" s="2" t="e">
        <f t="shared" si="70"/>
        <v>#REF!</v>
      </c>
      <c r="AZ316" s="10">
        <f t="shared" si="71"/>
        <v>0</v>
      </c>
      <c r="BA316" s="5" t="e">
        <f t="shared" si="72"/>
        <v>#REF!</v>
      </c>
    </row>
    <row r="317" spans="33:53" x14ac:dyDescent="0.3">
      <c r="AG317" t="e">
        <f t="shared" si="63"/>
        <v>#REF!</v>
      </c>
      <c r="AH317" t="e">
        <f>#REF!</f>
        <v>#REF!</v>
      </c>
      <c r="AI317" t="e">
        <f>#REF!</f>
        <v>#REF!</v>
      </c>
      <c r="AJ317" s="3" t="e">
        <f>#REF!</f>
        <v>#REF!</v>
      </c>
      <c r="AK317" s="3" t="e">
        <f>#REF!</f>
        <v>#REF!</v>
      </c>
      <c r="AL317" s="3" t="e">
        <f>#REF!</f>
        <v>#REF!</v>
      </c>
      <c r="AM317" s="3" t="e">
        <f>#REF!</f>
        <v>#REF!</v>
      </c>
      <c r="AN317" s="3" t="e">
        <f>#REF!</f>
        <v>#REF!</v>
      </c>
      <c r="AO317" s="3" t="e">
        <f>#REF!</f>
        <v>#REF!</v>
      </c>
      <c r="AP317" s="9" t="e">
        <f>VLOOKUP(AG317,#REF!,10,FALSE)</f>
        <v>#REF!</v>
      </c>
      <c r="AQ317" s="8">
        <f>SUMIFS(Capacity!$G$2:$G$2820,Capacity!$B$2:$B$2820,Demand_Modeling!AG317)</f>
        <v>0</v>
      </c>
      <c r="AS317" s="2" t="e">
        <f t="shared" si="64"/>
        <v>#REF!</v>
      </c>
      <c r="AT317" s="2" t="e">
        <f t="shared" si="65"/>
        <v>#REF!</v>
      </c>
      <c r="AU317" s="2" t="e">
        <f t="shared" si="66"/>
        <v>#REF!</v>
      </c>
      <c r="AV317" s="2" t="e">
        <f t="shared" si="67"/>
        <v>#REF!</v>
      </c>
      <c r="AW317" s="2" t="e">
        <f t="shared" si="68"/>
        <v>#REF!</v>
      </c>
      <c r="AX317" s="2" t="e">
        <f t="shared" si="69"/>
        <v>#REF!</v>
      </c>
      <c r="AY317" s="2" t="e">
        <f t="shared" si="70"/>
        <v>#REF!</v>
      </c>
      <c r="AZ317" s="10">
        <f t="shared" si="71"/>
        <v>0</v>
      </c>
      <c r="BA317" s="5" t="e">
        <f t="shared" si="72"/>
        <v>#REF!</v>
      </c>
    </row>
    <row r="318" spans="33:53" x14ac:dyDescent="0.3">
      <c r="AG318" t="e">
        <f t="shared" si="63"/>
        <v>#REF!</v>
      </c>
      <c r="AH318" t="e">
        <f>#REF!</f>
        <v>#REF!</v>
      </c>
      <c r="AI318" t="e">
        <f>#REF!</f>
        <v>#REF!</v>
      </c>
      <c r="AJ318" s="3" t="e">
        <f>#REF!</f>
        <v>#REF!</v>
      </c>
      <c r="AK318" s="3" t="e">
        <f>#REF!</f>
        <v>#REF!</v>
      </c>
      <c r="AL318" s="3" t="e">
        <f>#REF!</f>
        <v>#REF!</v>
      </c>
      <c r="AM318" s="3" t="e">
        <f>#REF!</f>
        <v>#REF!</v>
      </c>
      <c r="AN318" s="3" t="e">
        <f>#REF!</f>
        <v>#REF!</v>
      </c>
      <c r="AO318" s="3" t="e">
        <f>#REF!</f>
        <v>#REF!</v>
      </c>
      <c r="AP318" s="9" t="e">
        <f>VLOOKUP(AG318,#REF!,10,FALSE)</f>
        <v>#REF!</v>
      </c>
      <c r="AQ318" s="8">
        <f>SUMIFS(Capacity!$G$2:$G$2820,Capacity!$B$2:$B$2820,Demand_Modeling!AG318)</f>
        <v>0</v>
      </c>
      <c r="AS318" s="2" t="e">
        <f t="shared" si="64"/>
        <v>#REF!</v>
      </c>
      <c r="AT318" s="2" t="e">
        <f t="shared" si="65"/>
        <v>#REF!</v>
      </c>
      <c r="AU318" s="2" t="e">
        <f t="shared" si="66"/>
        <v>#REF!</v>
      </c>
      <c r="AV318" s="2" t="e">
        <f t="shared" si="67"/>
        <v>#REF!</v>
      </c>
      <c r="AW318" s="2" t="e">
        <f t="shared" si="68"/>
        <v>#REF!</v>
      </c>
      <c r="AX318" s="2" t="e">
        <f t="shared" si="69"/>
        <v>#REF!</v>
      </c>
      <c r="AY318" s="2" t="e">
        <f t="shared" si="70"/>
        <v>#REF!</v>
      </c>
      <c r="AZ318" s="10">
        <f t="shared" si="71"/>
        <v>0</v>
      </c>
      <c r="BA318" s="5" t="e">
        <f t="shared" si="72"/>
        <v>#REF!</v>
      </c>
    </row>
    <row r="319" spans="33:53" x14ac:dyDescent="0.3">
      <c r="AG319" t="e">
        <f t="shared" si="63"/>
        <v>#REF!</v>
      </c>
      <c r="AH319" t="e">
        <f>#REF!</f>
        <v>#REF!</v>
      </c>
      <c r="AI319" t="e">
        <f>#REF!</f>
        <v>#REF!</v>
      </c>
      <c r="AJ319" s="3" t="e">
        <f>#REF!</f>
        <v>#REF!</v>
      </c>
      <c r="AK319" s="3" t="e">
        <f>#REF!</f>
        <v>#REF!</v>
      </c>
      <c r="AL319" s="3" t="e">
        <f>#REF!</f>
        <v>#REF!</v>
      </c>
      <c r="AM319" s="3" t="e">
        <f>#REF!</f>
        <v>#REF!</v>
      </c>
      <c r="AN319" s="3" t="e">
        <f>#REF!</f>
        <v>#REF!</v>
      </c>
      <c r="AO319" s="3" t="e">
        <f>#REF!</f>
        <v>#REF!</v>
      </c>
      <c r="AP319" s="9" t="e">
        <f>VLOOKUP(AG319,#REF!,10,FALSE)</f>
        <v>#REF!</v>
      </c>
      <c r="AQ319" s="8">
        <f>SUMIFS(Capacity!$G$2:$G$2820,Capacity!$B$2:$B$2820,Demand_Modeling!AG319)</f>
        <v>0</v>
      </c>
      <c r="AS319" s="2" t="e">
        <f t="shared" si="64"/>
        <v>#REF!</v>
      </c>
      <c r="AT319" s="2" t="e">
        <f t="shared" si="65"/>
        <v>#REF!</v>
      </c>
      <c r="AU319" s="2" t="e">
        <f t="shared" si="66"/>
        <v>#REF!</v>
      </c>
      <c r="AV319" s="2" t="e">
        <f t="shared" si="67"/>
        <v>#REF!</v>
      </c>
      <c r="AW319" s="2" t="e">
        <f t="shared" si="68"/>
        <v>#REF!</v>
      </c>
      <c r="AX319" s="2" t="e">
        <f t="shared" si="69"/>
        <v>#REF!</v>
      </c>
      <c r="AY319" s="2" t="e">
        <f t="shared" si="70"/>
        <v>#REF!</v>
      </c>
      <c r="AZ319" s="10">
        <f t="shared" si="71"/>
        <v>0</v>
      </c>
      <c r="BA319" s="5" t="e">
        <f t="shared" si="72"/>
        <v>#REF!</v>
      </c>
    </row>
    <row r="320" spans="33:53" x14ac:dyDescent="0.3">
      <c r="AG320" t="e">
        <f t="shared" si="63"/>
        <v>#REF!</v>
      </c>
      <c r="AH320" t="e">
        <f>#REF!</f>
        <v>#REF!</v>
      </c>
      <c r="AI320" t="e">
        <f>#REF!</f>
        <v>#REF!</v>
      </c>
      <c r="AJ320" s="3" t="e">
        <f>#REF!</f>
        <v>#REF!</v>
      </c>
      <c r="AK320" s="3" t="e">
        <f>#REF!</f>
        <v>#REF!</v>
      </c>
      <c r="AL320" s="3" t="e">
        <f>#REF!</f>
        <v>#REF!</v>
      </c>
      <c r="AM320" s="3" t="e">
        <f>#REF!</f>
        <v>#REF!</v>
      </c>
      <c r="AN320" s="3" t="e">
        <f>#REF!</f>
        <v>#REF!</v>
      </c>
      <c r="AO320" s="3" t="e">
        <f>#REF!</f>
        <v>#REF!</v>
      </c>
      <c r="AP320" s="9" t="e">
        <f>VLOOKUP(AG320,#REF!,10,FALSE)</f>
        <v>#REF!</v>
      </c>
      <c r="AQ320" s="8">
        <f>SUMIFS(Capacity!$G$2:$G$2820,Capacity!$B$2:$B$2820,Demand_Modeling!AG320)</f>
        <v>0</v>
      </c>
      <c r="AS320" s="2" t="e">
        <f t="shared" si="64"/>
        <v>#REF!</v>
      </c>
      <c r="AT320" s="2" t="e">
        <f t="shared" si="65"/>
        <v>#REF!</v>
      </c>
      <c r="AU320" s="2" t="e">
        <f t="shared" si="66"/>
        <v>#REF!</v>
      </c>
      <c r="AV320" s="2" t="e">
        <f t="shared" si="67"/>
        <v>#REF!</v>
      </c>
      <c r="AW320" s="2" t="e">
        <f t="shared" si="68"/>
        <v>#REF!</v>
      </c>
      <c r="AX320" s="2" t="e">
        <f t="shared" si="69"/>
        <v>#REF!</v>
      </c>
      <c r="AY320" s="2" t="e">
        <f t="shared" si="70"/>
        <v>#REF!</v>
      </c>
      <c r="AZ320" s="10">
        <f t="shared" si="71"/>
        <v>0</v>
      </c>
      <c r="BA320" s="5" t="e">
        <f t="shared" si="72"/>
        <v>#REF!</v>
      </c>
    </row>
    <row r="321" spans="33:53" x14ac:dyDescent="0.3">
      <c r="AG321" t="e">
        <f t="shared" si="63"/>
        <v>#REF!</v>
      </c>
      <c r="AH321" t="e">
        <f>#REF!</f>
        <v>#REF!</v>
      </c>
      <c r="AI321" t="e">
        <f>#REF!</f>
        <v>#REF!</v>
      </c>
      <c r="AJ321" s="3" t="e">
        <f>#REF!</f>
        <v>#REF!</v>
      </c>
      <c r="AK321" s="3" t="e">
        <f>#REF!</f>
        <v>#REF!</v>
      </c>
      <c r="AL321" s="3" t="e">
        <f>#REF!</f>
        <v>#REF!</v>
      </c>
      <c r="AM321" s="3" t="e">
        <f>#REF!</f>
        <v>#REF!</v>
      </c>
      <c r="AN321" s="3" t="e">
        <f>#REF!</f>
        <v>#REF!</v>
      </c>
      <c r="AO321" s="3" t="e">
        <f>#REF!</f>
        <v>#REF!</v>
      </c>
      <c r="AP321" s="9" t="e">
        <f>VLOOKUP(AG321,#REF!,10,FALSE)</f>
        <v>#REF!</v>
      </c>
      <c r="AQ321" s="8">
        <f>SUMIFS(Capacity!$G$2:$G$2820,Capacity!$B$2:$B$2820,Demand_Modeling!AG321)</f>
        <v>0</v>
      </c>
      <c r="AS321" s="2" t="e">
        <f t="shared" si="64"/>
        <v>#REF!</v>
      </c>
      <c r="AT321" s="2" t="e">
        <f t="shared" si="65"/>
        <v>#REF!</v>
      </c>
      <c r="AU321" s="2" t="e">
        <f t="shared" si="66"/>
        <v>#REF!</v>
      </c>
      <c r="AV321" s="2" t="e">
        <f t="shared" si="67"/>
        <v>#REF!</v>
      </c>
      <c r="AW321" s="2" t="e">
        <f t="shared" si="68"/>
        <v>#REF!</v>
      </c>
      <c r="AX321" s="2" t="e">
        <f t="shared" si="69"/>
        <v>#REF!</v>
      </c>
      <c r="AY321" s="2" t="e">
        <f t="shared" si="70"/>
        <v>#REF!</v>
      </c>
      <c r="AZ321" s="10">
        <f t="shared" si="71"/>
        <v>0</v>
      </c>
      <c r="BA321" s="5" t="e">
        <f t="shared" si="72"/>
        <v>#REF!</v>
      </c>
    </row>
    <row r="322" spans="33:53" x14ac:dyDescent="0.3">
      <c r="AG322" t="e">
        <f t="shared" si="63"/>
        <v>#REF!</v>
      </c>
      <c r="AH322" t="e">
        <f>#REF!</f>
        <v>#REF!</v>
      </c>
      <c r="AI322" t="e">
        <f>#REF!</f>
        <v>#REF!</v>
      </c>
      <c r="AJ322" s="3" t="e">
        <f>#REF!</f>
        <v>#REF!</v>
      </c>
      <c r="AK322" s="3" t="e">
        <f>#REF!</f>
        <v>#REF!</v>
      </c>
      <c r="AL322" s="3" t="e">
        <f>#REF!</f>
        <v>#REF!</v>
      </c>
      <c r="AM322" s="3" t="e">
        <f>#REF!</f>
        <v>#REF!</v>
      </c>
      <c r="AN322" s="3" t="e">
        <f>#REF!</f>
        <v>#REF!</v>
      </c>
      <c r="AO322" s="3" t="e">
        <f>#REF!</f>
        <v>#REF!</v>
      </c>
      <c r="AP322" s="9" t="e">
        <f>VLOOKUP(AG322,#REF!,10,FALSE)</f>
        <v>#REF!</v>
      </c>
      <c r="AQ322" s="8">
        <f>SUMIFS(Capacity!$G$2:$G$2820,Capacity!$B$2:$B$2820,Demand_Modeling!AG322)</f>
        <v>0</v>
      </c>
      <c r="AS322" s="2" t="e">
        <f t="shared" si="64"/>
        <v>#REF!</v>
      </c>
      <c r="AT322" s="2" t="e">
        <f t="shared" si="65"/>
        <v>#REF!</v>
      </c>
      <c r="AU322" s="2" t="e">
        <f t="shared" si="66"/>
        <v>#REF!</v>
      </c>
      <c r="AV322" s="2" t="e">
        <f t="shared" si="67"/>
        <v>#REF!</v>
      </c>
      <c r="AW322" s="2" t="e">
        <f t="shared" si="68"/>
        <v>#REF!</v>
      </c>
      <c r="AX322" s="2" t="e">
        <f t="shared" si="69"/>
        <v>#REF!</v>
      </c>
      <c r="AY322" s="2" t="e">
        <f t="shared" si="70"/>
        <v>#REF!</v>
      </c>
      <c r="AZ322" s="10">
        <f t="shared" si="71"/>
        <v>0</v>
      </c>
      <c r="BA322" s="5" t="e">
        <f t="shared" si="72"/>
        <v>#REF!</v>
      </c>
    </row>
    <row r="323" spans="33:53" x14ac:dyDescent="0.3">
      <c r="AG323" t="e">
        <f t="shared" si="63"/>
        <v>#REF!</v>
      </c>
      <c r="AH323" t="e">
        <f>#REF!</f>
        <v>#REF!</v>
      </c>
      <c r="AI323" t="e">
        <f>#REF!</f>
        <v>#REF!</v>
      </c>
      <c r="AJ323" s="3" t="e">
        <f>#REF!</f>
        <v>#REF!</v>
      </c>
      <c r="AK323" s="3" t="e">
        <f>#REF!</f>
        <v>#REF!</v>
      </c>
      <c r="AL323" s="3" t="e">
        <f>#REF!</f>
        <v>#REF!</v>
      </c>
      <c r="AM323" s="3" t="e">
        <f>#REF!</f>
        <v>#REF!</v>
      </c>
      <c r="AN323" s="3" t="e">
        <f>#REF!</f>
        <v>#REF!</v>
      </c>
      <c r="AO323" s="3" t="e">
        <f>#REF!</f>
        <v>#REF!</v>
      </c>
      <c r="AP323" s="9" t="e">
        <f>VLOOKUP(AG323,#REF!,10,FALSE)</f>
        <v>#REF!</v>
      </c>
      <c r="AQ323" s="8">
        <f>SUMIFS(Capacity!$G$2:$G$2820,Capacity!$B$2:$B$2820,Demand_Modeling!AG323)</f>
        <v>0</v>
      </c>
      <c r="AS323" s="2" t="e">
        <f t="shared" si="64"/>
        <v>#REF!</v>
      </c>
      <c r="AT323" s="2" t="e">
        <f t="shared" si="65"/>
        <v>#REF!</v>
      </c>
      <c r="AU323" s="2" t="e">
        <f t="shared" si="66"/>
        <v>#REF!</v>
      </c>
      <c r="AV323" s="2" t="e">
        <f t="shared" si="67"/>
        <v>#REF!</v>
      </c>
      <c r="AW323" s="2" t="e">
        <f t="shared" si="68"/>
        <v>#REF!</v>
      </c>
      <c r="AX323" s="2" t="e">
        <f t="shared" si="69"/>
        <v>#REF!</v>
      </c>
      <c r="AY323" s="2" t="e">
        <f t="shared" si="70"/>
        <v>#REF!</v>
      </c>
      <c r="AZ323" s="10">
        <f t="shared" si="71"/>
        <v>0</v>
      </c>
      <c r="BA323" s="5" t="e">
        <f t="shared" si="72"/>
        <v>#REF!</v>
      </c>
    </row>
    <row r="324" spans="33:53" x14ac:dyDescent="0.3">
      <c r="AG324" t="e">
        <f t="shared" si="63"/>
        <v>#REF!</v>
      </c>
      <c r="AH324" t="e">
        <f>#REF!</f>
        <v>#REF!</v>
      </c>
      <c r="AI324" t="e">
        <f>#REF!</f>
        <v>#REF!</v>
      </c>
      <c r="AJ324" s="3" t="e">
        <f>#REF!</f>
        <v>#REF!</v>
      </c>
      <c r="AK324" s="3" t="e">
        <f>#REF!</f>
        <v>#REF!</v>
      </c>
      <c r="AL324" s="3" t="e">
        <f>#REF!</f>
        <v>#REF!</v>
      </c>
      <c r="AM324" s="3" t="e">
        <f>#REF!</f>
        <v>#REF!</v>
      </c>
      <c r="AN324" s="3" t="e">
        <f>#REF!</f>
        <v>#REF!</v>
      </c>
      <c r="AO324" s="3" t="e">
        <f>#REF!</f>
        <v>#REF!</v>
      </c>
      <c r="AP324" s="9" t="e">
        <f>VLOOKUP(AG324,#REF!,10,FALSE)</f>
        <v>#REF!</v>
      </c>
      <c r="AQ324" s="8">
        <f>SUMIFS(Capacity!$G$2:$G$2820,Capacity!$B$2:$B$2820,Demand_Modeling!AG324)</f>
        <v>0</v>
      </c>
      <c r="AS324" s="2" t="e">
        <f t="shared" si="64"/>
        <v>#REF!</v>
      </c>
      <c r="AT324" s="2" t="e">
        <f t="shared" si="65"/>
        <v>#REF!</v>
      </c>
      <c r="AU324" s="2" t="e">
        <f t="shared" si="66"/>
        <v>#REF!</v>
      </c>
      <c r="AV324" s="2" t="e">
        <f t="shared" si="67"/>
        <v>#REF!</v>
      </c>
      <c r="AW324" s="2" t="e">
        <f t="shared" si="68"/>
        <v>#REF!</v>
      </c>
      <c r="AX324" s="2" t="e">
        <f t="shared" si="69"/>
        <v>#REF!</v>
      </c>
      <c r="AY324" s="2" t="e">
        <f t="shared" si="70"/>
        <v>#REF!</v>
      </c>
      <c r="AZ324" s="10">
        <f t="shared" si="71"/>
        <v>0</v>
      </c>
      <c r="BA324" s="5" t="e">
        <f t="shared" si="72"/>
        <v>#REF!</v>
      </c>
    </row>
    <row r="325" spans="33:53" x14ac:dyDescent="0.3">
      <c r="AG325" t="e">
        <f t="shared" si="63"/>
        <v>#REF!</v>
      </c>
      <c r="AH325" t="e">
        <f>#REF!</f>
        <v>#REF!</v>
      </c>
      <c r="AI325" t="e">
        <f>#REF!</f>
        <v>#REF!</v>
      </c>
      <c r="AJ325" s="3" t="e">
        <f>#REF!</f>
        <v>#REF!</v>
      </c>
      <c r="AK325" s="3" t="e">
        <f>#REF!</f>
        <v>#REF!</v>
      </c>
      <c r="AL325" s="3" t="e">
        <f>#REF!</f>
        <v>#REF!</v>
      </c>
      <c r="AM325" s="3" t="e">
        <f>#REF!</f>
        <v>#REF!</v>
      </c>
      <c r="AN325" s="3" t="e">
        <f>#REF!</f>
        <v>#REF!</v>
      </c>
      <c r="AO325" s="3" t="e">
        <f>#REF!</f>
        <v>#REF!</v>
      </c>
      <c r="AP325" s="9" t="e">
        <f>VLOOKUP(AG325,#REF!,10,FALSE)</f>
        <v>#REF!</v>
      </c>
      <c r="AQ325" s="8">
        <f>SUMIFS(Capacity!$G$2:$G$2820,Capacity!$B$2:$B$2820,Demand_Modeling!AG325)</f>
        <v>0</v>
      </c>
      <c r="AS325" s="2" t="e">
        <f t="shared" si="64"/>
        <v>#REF!</v>
      </c>
      <c r="AT325" s="2" t="e">
        <f t="shared" si="65"/>
        <v>#REF!</v>
      </c>
      <c r="AU325" s="2" t="e">
        <f t="shared" si="66"/>
        <v>#REF!</v>
      </c>
      <c r="AV325" s="2" t="e">
        <f t="shared" si="67"/>
        <v>#REF!</v>
      </c>
      <c r="AW325" s="2" t="e">
        <f t="shared" si="68"/>
        <v>#REF!</v>
      </c>
      <c r="AX325" s="2" t="e">
        <f t="shared" si="69"/>
        <v>#REF!</v>
      </c>
      <c r="AY325" s="2" t="e">
        <f t="shared" si="70"/>
        <v>#REF!</v>
      </c>
      <c r="AZ325" s="10">
        <f t="shared" si="71"/>
        <v>0</v>
      </c>
      <c r="BA325" s="5" t="e">
        <f t="shared" si="72"/>
        <v>#REF!</v>
      </c>
    </row>
    <row r="326" spans="33:53" x14ac:dyDescent="0.3">
      <c r="AG326" t="e">
        <f t="shared" si="63"/>
        <v>#REF!</v>
      </c>
      <c r="AH326" t="e">
        <f>#REF!</f>
        <v>#REF!</v>
      </c>
      <c r="AI326" t="e">
        <f>#REF!</f>
        <v>#REF!</v>
      </c>
      <c r="AJ326" s="3" t="e">
        <f>#REF!</f>
        <v>#REF!</v>
      </c>
      <c r="AK326" s="3" t="e">
        <f>#REF!</f>
        <v>#REF!</v>
      </c>
      <c r="AL326" s="3" t="e">
        <f>#REF!</f>
        <v>#REF!</v>
      </c>
      <c r="AM326" s="3" t="e">
        <f>#REF!</f>
        <v>#REF!</v>
      </c>
      <c r="AN326" s="3" t="e">
        <f>#REF!</f>
        <v>#REF!</v>
      </c>
      <c r="AO326" s="3" t="e">
        <f>#REF!</f>
        <v>#REF!</v>
      </c>
      <c r="AP326" s="9" t="e">
        <f>VLOOKUP(AG326,#REF!,10,FALSE)</f>
        <v>#REF!</v>
      </c>
      <c r="AQ326" s="8">
        <f>SUMIFS(Capacity!$G$2:$G$2820,Capacity!$B$2:$B$2820,Demand_Modeling!AG326)</f>
        <v>0</v>
      </c>
      <c r="AS326" s="2" t="e">
        <f t="shared" si="64"/>
        <v>#REF!</v>
      </c>
      <c r="AT326" s="2" t="e">
        <f t="shared" si="65"/>
        <v>#REF!</v>
      </c>
      <c r="AU326" s="2" t="e">
        <f t="shared" si="66"/>
        <v>#REF!</v>
      </c>
      <c r="AV326" s="2" t="e">
        <f t="shared" si="67"/>
        <v>#REF!</v>
      </c>
      <c r="AW326" s="2" t="e">
        <f t="shared" si="68"/>
        <v>#REF!</v>
      </c>
      <c r="AX326" s="2" t="e">
        <f t="shared" si="69"/>
        <v>#REF!</v>
      </c>
      <c r="AY326" s="2" t="e">
        <f t="shared" si="70"/>
        <v>#REF!</v>
      </c>
      <c r="AZ326" s="10">
        <f t="shared" si="71"/>
        <v>0</v>
      </c>
      <c r="BA326" s="5" t="e">
        <f t="shared" si="72"/>
        <v>#REF!</v>
      </c>
    </row>
    <row r="327" spans="33:53" x14ac:dyDescent="0.3">
      <c r="AG327" t="e">
        <f t="shared" si="63"/>
        <v>#REF!</v>
      </c>
      <c r="AH327" t="e">
        <f>#REF!</f>
        <v>#REF!</v>
      </c>
      <c r="AI327" t="e">
        <f>#REF!</f>
        <v>#REF!</v>
      </c>
      <c r="AJ327" s="3" t="e">
        <f>#REF!</f>
        <v>#REF!</v>
      </c>
      <c r="AK327" s="3" t="e">
        <f>#REF!</f>
        <v>#REF!</v>
      </c>
      <c r="AL327" s="3" t="e">
        <f>#REF!</f>
        <v>#REF!</v>
      </c>
      <c r="AM327" s="3" t="e">
        <f>#REF!</f>
        <v>#REF!</v>
      </c>
      <c r="AN327" s="3" t="e">
        <f>#REF!</f>
        <v>#REF!</v>
      </c>
      <c r="AO327" s="3" t="e">
        <f>#REF!</f>
        <v>#REF!</v>
      </c>
      <c r="AP327" s="9" t="e">
        <f>VLOOKUP(AG327,#REF!,10,FALSE)</f>
        <v>#REF!</v>
      </c>
      <c r="AQ327" s="8">
        <f>SUMIFS(Capacity!$G$2:$G$2820,Capacity!$B$2:$B$2820,Demand_Modeling!AG327)</f>
        <v>0</v>
      </c>
      <c r="AS327" s="2" t="e">
        <f t="shared" si="64"/>
        <v>#REF!</v>
      </c>
      <c r="AT327" s="2" t="e">
        <f t="shared" si="65"/>
        <v>#REF!</v>
      </c>
      <c r="AU327" s="2" t="e">
        <f t="shared" si="66"/>
        <v>#REF!</v>
      </c>
      <c r="AV327" s="2" t="e">
        <f t="shared" si="67"/>
        <v>#REF!</v>
      </c>
      <c r="AW327" s="2" t="e">
        <f t="shared" si="68"/>
        <v>#REF!</v>
      </c>
      <c r="AX327" s="2" t="e">
        <f t="shared" si="69"/>
        <v>#REF!</v>
      </c>
      <c r="AY327" s="2" t="e">
        <f t="shared" si="70"/>
        <v>#REF!</v>
      </c>
      <c r="AZ327" s="10">
        <f t="shared" si="71"/>
        <v>0</v>
      </c>
      <c r="BA327" s="5" t="e">
        <f t="shared" si="72"/>
        <v>#REF!</v>
      </c>
    </row>
    <row r="328" spans="33:53" x14ac:dyDescent="0.3">
      <c r="AG328" t="e">
        <f t="shared" si="63"/>
        <v>#REF!</v>
      </c>
      <c r="AH328" t="e">
        <f>#REF!</f>
        <v>#REF!</v>
      </c>
      <c r="AI328" t="e">
        <f>#REF!</f>
        <v>#REF!</v>
      </c>
      <c r="AJ328" s="3" t="e">
        <f>#REF!</f>
        <v>#REF!</v>
      </c>
      <c r="AK328" s="3" t="e">
        <f>#REF!</f>
        <v>#REF!</v>
      </c>
      <c r="AL328" s="3" t="e">
        <f>#REF!</f>
        <v>#REF!</v>
      </c>
      <c r="AM328" s="3" t="e">
        <f>#REF!</f>
        <v>#REF!</v>
      </c>
      <c r="AN328" s="3" t="e">
        <f>#REF!</f>
        <v>#REF!</v>
      </c>
      <c r="AO328" s="3" t="e">
        <f>#REF!</f>
        <v>#REF!</v>
      </c>
      <c r="AP328" s="9" t="e">
        <f>VLOOKUP(AG328,#REF!,10,FALSE)</f>
        <v>#REF!</v>
      </c>
      <c r="AQ328" s="8">
        <f>SUMIFS(Capacity!$G$2:$G$2820,Capacity!$B$2:$B$2820,Demand_Modeling!AG328)</f>
        <v>0</v>
      </c>
      <c r="AS328" s="2" t="e">
        <f t="shared" si="64"/>
        <v>#REF!</v>
      </c>
      <c r="AT328" s="2" t="e">
        <f t="shared" si="65"/>
        <v>#REF!</v>
      </c>
      <c r="AU328" s="2" t="e">
        <f t="shared" si="66"/>
        <v>#REF!</v>
      </c>
      <c r="AV328" s="2" t="e">
        <f t="shared" si="67"/>
        <v>#REF!</v>
      </c>
      <c r="AW328" s="2" t="e">
        <f t="shared" si="68"/>
        <v>#REF!</v>
      </c>
      <c r="AX328" s="2" t="e">
        <f t="shared" si="69"/>
        <v>#REF!</v>
      </c>
      <c r="AY328" s="2" t="e">
        <f t="shared" si="70"/>
        <v>#REF!</v>
      </c>
      <c r="AZ328" s="10">
        <f t="shared" si="71"/>
        <v>0</v>
      </c>
      <c r="BA328" s="5" t="e">
        <f t="shared" si="72"/>
        <v>#REF!</v>
      </c>
    </row>
    <row r="329" spans="33:53" x14ac:dyDescent="0.3">
      <c r="AG329" t="e">
        <f t="shared" si="63"/>
        <v>#REF!</v>
      </c>
      <c r="AH329" t="e">
        <f>#REF!</f>
        <v>#REF!</v>
      </c>
      <c r="AI329" t="e">
        <f>#REF!</f>
        <v>#REF!</v>
      </c>
      <c r="AJ329" s="3" t="e">
        <f>#REF!</f>
        <v>#REF!</v>
      </c>
      <c r="AK329" s="3" t="e">
        <f>#REF!</f>
        <v>#REF!</v>
      </c>
      <c r="AL329" s="3" t="e">
        <f>#REF!</f>
        <v>#REF!</v>
      </c>
      <c r="AM329" s="3" t="e">
        <f>#REF!</f>
        <v>#REF!</v>
      </c>
      <c r="AN329" s="3" t="e">
        <f>#REF!</f>
        <v>#REF!</v>
      </c>
      <c r="AO329" s="3" t="e">
        <f>#REF!</f>
        <v>#REF!</v>
      </c>
      <c r="AP329" s="9" t="e">
        <f>VLOOKUP(AG329,#REF!,10,FALSE)</f>
        <v>#REF!</v>
      </c>
      <c r="AQ329" s="8">
        <f>SUMIFS(Capacity!$G$2:$G$2820,Capacity!$B$2:$B$2820,Demand_Modeling!AG329)</f>
        <v>0</v>
      </c>
      <c r="AS329" s="2" t="e">
        <f t="shared" si="64"/>
        <v>#REF!</v>
      </c>
      <c r="AT329" s="2" t="e">
        <f t="shared" si="65"/>
        <v>#REF!</v>
      </c>
      <c r="AU329" s="2" t="e">
        <f t="shared" si="66"/>
        <v>#REF!</v>
      </c>
      <c r="AV329" s="2" t="e">
        <f t="shared" si="67"/>
        <v>#REF!</v>
      </c>
      <c r="AW329" s="2" t="e">
        <f t="shared" si="68"/>
        <v>#REF!</v>
      </c>
      <c r="AX329" s="2" t="e">
        <f t="shared" si="69"/>
        <v>#REF!</v>
      </c>
      <c r="AY329" s="2" t="e">
        <f t="shared" si="70"/>
        <v>#REF!</v>
      </c>
      <c r="AZ329" s="10">
        <f t="shared" si="71"/>
        <v>0</v>
      </c>
      <c r="BA329" s="5" t="e">
        <f t="shared" si="72"/>
        <v>#REF!</v>
      </c>
    </row>
    <row r="330" spans="33:53" x14ac:dyDescent="0.3">
      <c r="AG330" t="e">
        <f t="shared" si="63"/>
        <v>#REF!</v>
      </c>
      <c r="AH330" t="e">
        <f>#REF!</f>
        <v>#REF!</v>
      </c>
      <c r="AI330" t="e">
        <f>#REF!</f>
        <v>#REF!</v>
      </c>
      <c r="AJ330" s="3" t="e">
        <f>#REF!</f>
        <v>#REF!</v>
      </c>
      <c r="AK330" s="3" t="e">
        <f>#REF!</f>
        <v>#REF!</v>
      </c>
      <c r="AL330" s="3" t="e">
        <f>#REF!</f>
        <v>#REF!</v>
      </c>
      <c r="AM330" s="3" t="e">
        <f>#REF!</f>
        <v>#REF!</v>
      </c>
      <c r="AN330" s="3" t="e">
        <f>#REF!</f>
        <v>#REF!</v>
      </c>
      <c r="AO330" s="3" t="e">
        <f>#REF!</f>
        <v>#REF!</v>
      </c>
      <c r="AP330" s="9" t="e">
        <f>VLOOKUP(AG330,#REF!,10,FALSE)</f>
        <v>#REF!</v>
      </c>
      <c r="AQ330" s="8">
        <f>SUMIFS(Capacity!$G$2:$G$2820,Capacity!$B$2:$B$2820,Demand_Modeling!AG330)</f>
        <v>0</v>
      </c>
      <c r="AS330" s="2" t="e">
        <f t="shared" si="64"/>
        <v>#REF!</v>
      </c>
      <c r="AT330" s="2" t="e">
        <f t="shared" si="65"/>
        <v>#REF!</v>
      </c>
      <c r="AU330" s="2" t="e">
        <f t="shared" si="66"/>
        <v>#REF!</v>
      </c>
      <c r="AV330" s="2" t="e">
        <f t="shared" si="67"/>
        <v>#REF!</v>
      </c>
      <c r="AW330" s="2" t="e">
        <f t="shared" si="68"/>
        <v>#REF!</v>
      </c>
      <c r="AX330" s="2" t="e">
        <f t="shared" si="69"/>
        <v>#REF!</v>
      </c>
      <c r="AY330" s="2" t="e">
        <f t="shared" si="70"/>
        <v>#REF!</v>
      </c>
      <c r="AZ330" s="10">
        <f t="shared" si="71"/>
        <v>0</v>
      </c>
      <c r="BA330" s="5" t="e">
        <f t="shared" si="72"/>
        <v>#REF!</v>
      </c>
    </row>
    <row r="331" spans="33:53" x14ac:dyDescent="0.3">
      <c r="AG331" t="e">
        <f t="shared" si="63"/>
        <v>#REF!</v>
      </c>
      <c r="AH331" t="e">
        <f>#REF!</f>
        <v>#REF!</v>
      </c>
      <c r="AI331" t="e">
        <f>#REF!</f>
        <v>#REF!</v>
      </c>
      <c r="AJ331" s="3" t="e">
        <f>#REF!</f>
        <v>#REF!</v>
      </c>
      <c r="AK331" s="3" t="e">
        <f>#REF!</f>
        <v>#REF!</v>
      </c>
      <c r="AL331" s="3" t="e">
        <f>#REF!</f>
        <v>#REF!</v>
      </c>
      <c r="AM331" s="3" t="e">
        <f>#REF!</f>
        <v>#REF!</v>
      </c>
      <c r="AN331" s="3" t="e">
        <f>#REF!</f>
        <v>#REF!</v>
      </c>
      <c r="AO331" s="3" t="e">
        <f>#REF!</f>
        <v>#REF!</v>
      </c>
      <c r="AP331" s="9" t="e">
        <f>VLOOKUP(AG331,#REF!,10,FALSE)</f>
        <v>#REF!</v>
      </c>
      <c r="AQ331" s="8">
        <f>SUMIFS(Capacity!$G$2:$G$2820,Capacity!$B$2:$B$2820,Demand_Modeling!AG331)</f>
        <v>0</v>
      </c>
      <c r="AS331" s="2" t="e">
        <f t="shared" si="64"/>
        <v>#REF!</v>
      </c>
      <c r="AT331" s="2" t="e">
        <f t="shared" si="65"/>
        <v>#REF!</v>
      </c>
      <c r="AU331" s="2" t="e">
        <f t="shared" si="66"/>
        <v>#REF!</v>
      </c>
      <c r="AV331" s="2" t="e">
        <f t="shared" si="67"/>
        <v>#REF!</v>
      </c>
      <c r="AW331" s="2" t="e">
        <f t="shared" si="68"/>
        <v>#REF!</v>
      </c>
      <c r="AX331" s="2" t="e">
        <f t="shared" si="69"/>
        <v>#REF!</v>
      </c>
      <c r="AY331" s="2" t="e">
        <f t="shared" si="70"/>
        <v>#REF!</v>
      </c>
      <c r="AZ331" s="10">
        <f t="shared" si="71"/>
        <v>0</v>
      </c>
      <c r="BA331" s="5" t="e">
        <f t="shared" si="72"/>
        <v>#REF!</v>
      </c>
    </row>
    <row r="332" spans="33:53" x14ac:dyDescent="0.3">
      <c r="AG332" t="e">
        <f t="shared" si="63"/>
        <v>#REF!</v>
      </c>
      <c r="AH332" t="e">
        <f>#REF!</f>
        <v>#REF!</v>
      </c>
      <c r="AI332" t="e">
        <f>#REF!</f>
        <v>#REF!</v>
      </c>
      <c r="AJ332" s="3" t="e">
        <f>#REF!</f>
        <v>#REF!</v>
      </c>
      <c r="AK332" s="3" t="e">
        <f>#REF!</f>
        <v>#REF!</v>
      </c>
      <c r="AL332" s="3" t="e">
        <f>#REF!</f>
        <v>#REF!</v>
      </c>
      <c r="AM332" s="3" t="e">
        <f>#REF!</f>
        <v>#REF!</v>
      </c>
      <c r="AN332" s="3" t="e">
        <f>#REF!</f>
        <v>#REF!</v>
      </c>
      <c r="AO332" s="3" t="e">
        <f>#REF!</f>
        <v>#REF!</v>
      </c>
      <c r="AP332" s="9" t="e">
        <f>VLOOKUP(AG332,#REF!,10,FALSE)</f>
        <v>#REF!</v>
      </c>
      <c r="AQ332" s="8">
        <f>SUMIFS(Capacity!$G$2:$G$2820,Capacity!$B$2:$B$2820,Demand_Modeling!AG332)</f>
        <v>0</v>
      </c>
      <c r="AS332" s="2" t="e">
        <f t="shared" si="64"/>
        <v>#REF!</v>
      </c>
      <c r="AT332" s="2" t="e">
        <f t="shared" si="65"/>
        <v>#REF!</v>
      </c>
      <c r="AU332" s="2" t="e">
        <f t="shared" si="66"/>
        <v>#REF!</v>
      </c>
      <c r="AV332" s="2" t="e">
        <f t="shared" si="67"/>
        <v>#REF!</v>
      </c>
      <c r="AW332" s="2" t="e">
        <f t="shared" si="68"/>
        <v>#REF!</v>
      </c>
      <c r="AX332" s="2" t="e">
        <f t="shared" si="69"/>
        <v>#REF!</v>
      </c>
      <c r="AY332" s="2" t="e">
        <f t="shared" si="70"/>
        <v>#REF!</v>
      </c>
      <c r="AZ332" s="10">
        <f t="shared" si="71"/>
        <v>0</v>
      </c>
      <c r="BA332" s="5" t="e">
        <f t="shared" si="72"/>
        <v>#REF!</v>
      </c>
    </row>
    <row r="333" spans="33:53" x14ac:dyDescent="0.3">
      <c r="AG333" t="e">
        <f t="shared" si="63"/>
        <v>#REF!</v>
      </c>
      <c r="AH333" t="e">
        <f>#REF!</f>
        <v>#REF!</v>
      </c>
      <c r="AI333" t="e">
        <f>#REF!</f>
        <v>#REF!</v>
      </c>
      <c r="AJ333" s="3" t="e">
        <f>#REF!</f>
        <v>#REF!</v>
      </c>
      <c r="AK333" s="3" t="e">
        <f>#REF!</f>
        <v>#REF!</v>
      </c>
      <c r="AL333" s="3" t="e">
        <f>#REF!</f>
        <v>#REF!</v>
      </c>
      <c r="AM333" s="3" t="e">
        <f>#REF!</f>
        <v>#REF!</v>
      </c>
      <c r="AN333" s="3" t="e">
        <f>#REF!</f>
        <v>#REF!</v>
      </c>
      <c r="AO333" s="3" t="e">
        <f>#REF!</f>
        <v>#REF!</v>
      </c>
      <c r="AP333" s="9" t="e">
        <f>VLOOKUP(AG333,#REF!,10,FALSE)</f>
        <v>#REF!</v>
      </c>
      <c r="AQ333" s="8">
        <f>SUMIFS(Capacity!$G$2:$G$2820,Capacity!$B$2:$B$2820,Demand_Modeling!AG333)</f>
        <v>0</v>
      </c>
      <c r="AS333" s="2" t="e">
        <f t="shared" si="64"/>
        <v>#REF!</v>
      </c>
      <c r="AT333" s="2" t="e">
        <f t="shared" si="65"/>
        <v>#REF!</v>
      </c>
      <c r="AU333" s="2" t="e">
        <f t="shared" si="66"/>
        <v>#REF!</v>
      </c>
      <c r="AV333" s="2" t="e">
        <f t="shared" si="67"/>
        <v>#REF!</v>
      </c>
      <c r="AW333" s="2" t="e">
        <f t="shared" si="68"/>
        <v>#REF!</v>
      </c>
      <c r="AX333" s="2" t="e">
        <f t="shared" si="69"/>
        <v>#REF!</v>
      </c>
      <c r="AY333" s="2" t="e">
        <f t="shared" si="70"/>
        <v>#REF!</v>
      </c>
      <c r="AZ333" s="10">
        <f t="shared" si="71"/>
        <v>0</v>
      </c>
      <c r="BA333" s="5" t="e">
        <f t="shared" si="72"/>
        <v>#REF!</v>
      </c>
    </row>
    <row r="334" spans="33:53" x14ac:dyDescent="0.3">
      <c r="AG334" t="e">
        <f t="shared" si="63"/>
        <v>#REF!</v>
      </c>
      <c r="AH334" t="e">
        <f>#REF!</f>
        <v>#REF!</v>
      </c>
      <c r="AI334" t="e">
        <f>#REF!</f>
        <v>#REF!</v>
      </c>
      <c r="AJ334" s="3" t="e">
        <f>#REF!</f>
        <v>#REF!</v>
      </c>
      <c r="AK334" s="3" t="e">
        <f>#REF!</f>
        <v>#REF!</v>
      </c>
      <c r="AL334" s="3" t="e">
        <f>#REF!</f>
        <v>#REF!</v>
      </c>
      <c r="AM334" s="3" t="e">
        <f>#REF!</f>
        <v>#REF!</v>
      </c>
      <c r="AN334" s="3" t="e">
        <f>#REF!</f>
        <v>#REF!</v>
      </c>
      <c r="AO334" s="3" t="e">
        <f>#REF!</f>
        <v>#REF!</v>
      </c>
      <c r="AP334" s="9" t="e">
        <f>VLOOKUP(AG334,#REF!,10,FALSE)</f>
        <v>#REF!</v>
      </c>
      <c r="AQ334" s="8">
        <f>SUMIFS(Capacity!$G$2:$G$2820,Capacity!$B$2:$B$2820,Demand_Modeling!AG334)</f>
        <v>0</v>
      </c>
      <c r="AS334" s="2" t="e">
        <f t="shared" si="64"/>
        <v>#REF!</v>
      </c>
      <c r="AT334" s="2" t="e">
        <f t="shared" si="65"/>
        <v>#REF!</v>
      </c>
      <c r="AU334" s="2" t="e">
        <f t="shared" si="66"/>
        <v>#REF!</v>
      </c>
      <c r="AV334" s="2" t="e">
        <f t="shared" si="67"/>
        <v>#REF!</v>
      </c>
      <c r="AW334" s="2" t="e">
        <f t="shared" si="68"/>
        <v>#REF!</v>
      </c>
      <c r="AX334" s="2" t="e">
        <f t="shared" si="69"/>
        <v>#REF!</v>
      </c>
      <c r="AY334" s="2" t="e">
        <f t="shared" si="70"/>
        <v>#REF!</v>
      </c>
      <c r="AZ334" s="10">
        <f t="shared" si="71"/>
        <v>0</v>
      </c>
      <c r="BA334" s="5" t="e">
        <f t="shared" si="72"/>
        <v>#REF!</v>
      </c>
    </row>
    <row r="335" spans="33:53" x14ac:dyDescent="0.3">
      <c r="AG335" t="e">
        <f t="shared" ref="AG335:AG398" si="73">AH335&amp;"-"&amp;AI335</f>
        <v>#REF!</v>
      </c>
      <c r="AH335" t="e">
        <f>#REF!</f>
        <v>#REF!</v>
      </c>
      <c r="AI335" t="e">
        <f>#REF!</f>
        <v>#REF!</v>
      </c>
      <c r="AJ335" s="3" t="e">
        <f>#REF!</f>
        <v>#REF!</v>
      </c>
      <c r="AK335" s="3" t="e">
        <f>#REF!</f>
        <v>#REF!</v>
      </c>
      <c r="AL335" s="3" t="e">
        <f>#REF!</f>
        <v>#REF!</v>
      </c>
      <c r="AM335" s="3" t="e">
        <f>#REF!</f>
        <v>#REF!</v>
      </c>
      <c r="AN335" s="3" t="e">
        <f>#REF!</f>
        <v>#REF!</v>
      </c>
      <c r="AO335" s="3" t="e">
        <f>#REF!</f>
        <v>#REF!</v>
      </c>
      <c r="AP335" s="9" t="e">
        <f>VLOOKUP(AG335,#REF!,10,FALSE)</f>
        <v>#REF!</v>
      </c>
      <c r="AQ335" s="8">
        <f>SUMIFS(Capacity!$G$2:$G$2820,Capacity!$B$2:$B$2820,Demand_Modeling!AG335)</f>
        <v>0</v>
      </c>
      <c r="AS335" s="2" t="e">
        <f t="shared" ref="AS335:AS398" si="74">AJ335*$AP335</f>
        <v>#REF!</v>
      </c>
      <c r="AT335" s="2" t="e">
        <f t="shared" ref="AT335:AT398" si="75">AK335*$AP335</f>
        <v>#REF!</v>
      </c>
      <c r="AU335" s="2" t="e">
        <f t="shared" ref="AU335:AU398" si="76">AL335*$AP335</f>
        <v>#REF!</v>
      </c>
      <c r="AV335" s="2" t="e">
        <f t="shared" ref="AV335:AV398" si="77">AM335*$AP335</f>
        <v>#REF!</v>
      </c>
      <c r="AW335" s="2" t="e">
        <f t="shared" ref="AW335:AW398" si="78">AN335*$AP335</f>
        <v>#REF!</v>
      </c>
      <c r="AX335" s="2" t="e">
        <f t="shared" ref="AX335:AX398" si="79">AO335*$AP335</f>
        <v>#REF!</v>
      </c>
      <c r="AY335" s="2" t="e">
        <f t="shared" ref="AY335:AY398" si="80">SUM(AS335:AX335)</f>
        <v>#REF!</v>
      </c>
      <c r="AZ335" s="10">
        <f t="shared" ref="AZ335:AZ398" si="81">AQ335</f>
        <v>0</v>
      </c>
      <c r="BA335" s="5" t="e">
        <f t="shared" ref="BA335:BA398" si="82">AY335/AZ335</f>
        <v>#REF!</v>
      </c>
    </row>
    <row r="336" spans="33:53" x14ac:dyDescent="0.3">
      <c r="AG336" t="e">
        <f t="shared" si="73"/>
        <v>#REF!</v>
      </c>
      <c r="AH336" t="e">
        <f>#REF!</f>
        <v>#REF!</v>
      </c>
      <c r="AI336" t="e">
        <f>#REF!</f>
        <v>#REF!</v>
      </c>
      <c r="AJ336" s="3" t="e">
        <f>#REF!</f>
        <v>#REF!</v>
      </c>
      <c r="AK336" s="3" t="e">
        <f>#REF!</f>
        <v>#REF!</v>
      </c>
      <c r="AL336" s="3" t="e">
        <f>#REF!</f>
        <v>#REF!</v>
      </c>
      <c r="AM336" s="3" t="e">
        <f>#REF!</f>
        <v>#REF!</v>
      </c>
      <c r="AN336" s="3" t="e">
        <f>#REF!</f>
        <v>#REF!</v>
      </c>
      <c r="AO336" s="3" t="e">
        <f>#REF!</f>
        <v>#REF!</v>
      </c>
      <c r="AP336" s="9" t="e">
        <f>VLOOKUP(AG336,#REF!,10,FALSE)</f>
        <v>#REF!</v>
      </c>
      <c r="AQ336" s="8">
        <f>SUMIFS(Capacity!$G$2:$G$2820,Capacity!$B$2:$B$2820,Demand_Modeling!AG336)</f>
        <v>0</v>
      </c>
      <c r="AS336" s="2" t="e">
        <f t="shared" si="74"/>
        <v>#REF!</v>
      </c>
      <c r="AT336" s="2" t="e">
        <f t="shared" si="75"/>
        <v>#REF!</v>
      </c>
      <c r="AU336" s="2" t="e">
        <f t="shared" si="76"/>
        <v>#REF!</v>
      </c>
      <c r="AV336" s="2" t="e">
        <f t="shared" si="77"/>
        <v>#REF!</v>
      </c>
      <c r="AW336" s="2" t="e">
        <f t="shared" si="78"/>
        <v>#REF!</v>
      </c>
      <c r="AX336" s="2" t="e">
        <f t="shared" si="79"/>
        <v>#REF!</v>
      </c>
      <c r="AY336" s="2" t="e">
        <f t="shared" si="80"/>
        <v>#REF!</v>
      </c>
      <c r="AZ336" s="10">
        <f t="shared" si="81"/>
        <v>0</v>
      </c>
      <c r="BA336" s="5" t="e">
        <f t="shared" si="82"/>
        <v>#REF!</v>
      </c>
    </row>
    <row r="337" spans="33:53" x14ac:dyDescent="0.3">
      <c r="AG337" t="e">
        <f t="shared" si="73"/>
        <v>#REF!</v>
      </c>
      <c r="AH337" t="e">
        <f>#REF!</f>
        <v>#REF!</v>
      </c>
      <c r="AI337" t="e">
        <f>#REF!</f>
        <v>#REF!</v>
      </c>
      <c r="AJ337" s="3" t="e">
        <f>#REF!</f>
        <v>#REF!</v>
      </c>
      <c r="AK337" s="3" t="e">
        <f>#REF!</f>
        <v>#REF!</v>
      </c>
      <c r="AL337" s="3" t="e">
        <f>#REF!</f>
        <v>#REF!</v>
      </c>
      <c r="AM337" s="3" t="e">
        <f>#REF!</f>
        <v>#REF!</v>
      </c>
      <c r="AN337" s="3" t="e">
        <f>#REF!</f>
        <v>#REF!</v>
      </c>
      <c r="AO337" s="3" t="e">
        <f>#REF!</f>
        <v>#REF!</v>
      </c>
      <c r="AP337" s="9" t="e">
        <f>VLOOKUP(AG337,#REF!,10,FALSE)</f>
        <v>#REF!</v>
      </c>
      <c r="AQ337" s="8">
        <f>SUMIFS(Capacity!$G$2:$G$2820,Capacity!$B$2:$B$2820,Demand_Modeling!AG337)</f>
        <v>0</v>
      </c>
      <c r="AS337" s="2" t="e">
        <f t="shared" si="74"/>
        <v>#REF!</v>
      </c>
      <c r="AT337" s="2" t="e">
        <f t="shared" si="75"/>
        <v>#REF!</v>
      </c>
      <c r="AU337" s="2" t="e">
        <f t="shared" si="76"/>
        <v>#REF!</v>
      </c>
      <c r="AV337" s="2" t="e">
        <f t="shared" si="77"/>
        <v>#REF!</v>
      </c>
      <c r="AW337" s="2" t="e">
        <f t="shared" si="78"/>
        <v>#REF!</v>
      </c>
      <c r="AX337" s="2" t="e">
        <f t="shared" si="79"/>
        <v>#REF!</v>
      </c>
      <c r="AY337" s="2" t="e">
        <f t="shared" si="80"/>
        <v>#REF!</v>
      </c>
      <c r="AZ337" s="10">
        <f t="shared" si="81"/>
        <v>0</v>
      </c>
      <c r="BA337" s="5" t="e">
        <f t="shared" si="82"/>
        <v>#REF!</v>
      </c>
    </row>
    <row r="338" spans="33:53" x14ac:dyDescent="0.3">
      <c r="AG338" t="e">
        <f t="shared" si="73"/>
        <v>#REF!</v>
      </c>
      <c r="AH338" t="e">
        <f>#REF!</f>
        <v>#REF!</v>
      </c>
      <c r="AI338" t="e">
        <f>#REF!</f>
        <v>#REF!</v>
      </c>
      <c r="AJ338" s="3" t="e">
        <f>#REF!</f>
        <v>#REF!</v>
      </c>
      <c r="AK338" s="3" t="e">
        <f>#REF!</f>
        <v>#REF!</v>
      </c>
      <c r="AL338" s="3" t="e">
        <f>#REF!</f>
        <v>#REF!</v>
      </c>
      <c r="AM338" s="3" t="e">
        <f>#REF!</f>
        <v>#REF!</v>
      </c>
      <c r="AN338" s="3" t="e">
        <f>#REF!</f>
        <v>#REF!</v>
      </c>
      <c r="AO338" s="3" t="e">
        <f>#REF!</f>
        <v>#REF!</v>
      </c>
      <c r="AP338" s="9" t="e">
        <f>VLOOKUP(AG338,#REF!,10,FALSE)</f>
        <v>#REF!</v>
      </c>
      <c r="AQ338" s="8">
        <f>SUMIFS(Capacity!$G$2:$G$2820,Capacity!$B$2:$B$2820,Demand_Modeling!AG338)</f>
        <v>0</v>
      </c>
      <c r="AS338" s="2" t="e">
        <f t="shared" si="74"/>
        <v>#REF!</v>
      </c>
      <c r="AT338" s="2" t="e">
        <f t="shared" si="75"/>
        <v>#REF!</v>
      </c>
      <c r="AU338" s="2" t="e">
        <f t="shared" si="76"/>
        <v>#REF!</v>
      </c>
      <c r="AV338" s="2" t="e">
        <f t="shared" si="77"/>
        <v>#REF!</v>
      </c>
      <c r="AW338" s="2" t="e">
        <f t="shared" si="78"/>
        <v>#REF!</v>
      </c>
      <c r="AX338" s="2" t="e">
        <f t="shared" si="79"/>
        <v>#REF!</v>
      </c>
      <c r="AY338" s="2" t="e">
        <f t="shared" si="80"/>
        <v>#REF!</v>
      </c>
      <c r="AZ338" s="10">
        <f t="shared" si="81"/>
        <v>0</v>
      </c>
      <c r="BA338" s="5" t="e">
        <f t="shared" si="82"/>
        <v>#REF!</v>
      </c>
    </row>
    <row r="339" spans="33:53" x14ac:dyDescent="0.3">
      <c r="AG339" t="e">
        <f t="shared" si="73"/>
        <v>#REF!</v>
      </c>
      <c r="AH339" t="e">
        <f>#REF!</f>
        <v>#REF!</v>
      </c>
      <c r="AI339" t="e">
        <f>#REF!</f>
        <v>#REF!</v>
      </c>
      <c r="AJ339" s="3" t="e">
        <f>#REF!</f>
        <v>#REF!</v>
      </c>
      <c r="AK339" s="3" t="e">
        <f>#REF!</f>
        <v>#REF!</v>
      </c>
      <c r="AL339" s="3" t="e">
        <f>#REF!</f>
        <v>#REF!</v>
      </c>
      <c r="AM339" s="3" t="e">
        <f>#REF!</f>
        <v>#REF!</v>
      </c>
      <c r="AN339" s="3" t="e">
        <f>#REF!</f>
        <v>#REF!</v>
      </c>
      <c r="AO339" s="3" t="e">
        <f>#REF!</f>
        <v>#REF!</v>
      </c>
      <c r="AP339" s="9" t="e">
        <f>VLOOKUP(AG339,#REF!,10,FALSE)</f>
        <v>#REF!</v>
      </c>
      <c r="AQ339" s="8">
        <f>SUMIFS(Capacity!$G$2:$G$2820,Capacity!$B$2:$B$2820,Demand_Modeling!AG339)</f>
        <v>0</v>
      </c>
      <c r="AS339" s="2" t="e">
        <f t="shared" si="74"/>
        <v>#REF!</v>
      </c>
      <c r="AT339" s="2" t="e">
        <f t="shared" si="75"/>
        <v>#REF!</v>
      </c>
      <c r="AU339" s="2" t="e">
        <f t="shared" si="76"/>
        <v>#REF!</v>
      </c>
      <c r="AV339" s="2" t="e">
        <f t="shared" si="77"/>
        <v>#REF!</v>
      </c>
      <c r="AW339" s="2" t="e">
        <f t="shared" si="78"/>
        <v>#REF!</v>
      </c>
      <c r="AX339" s="2" t="e">
        <f t="shared" si="79"/>
        <v>#REF!</v>
      </c>
      <c r="AY339" s="2" t="e">
        <f t="shared" si="80"/>
        <v>#REF!</v>
      </c>
      <c r="AZ339" s="10">
        <f t="shared" si="81"/>
        <v>0</v>
      </c>
      <c r="BA339" s="5" t="e">
        <f t="shared" si="82"/>
        <v>#REF!</v>
      </c>
    </row>
    <row r="340" spans="33:53" x14ac:dyDescent="0.3">
      <c r="AG340" t="e">
        <f t="shared" si="73"/>
        <v>#REF!</v>
      </c>
      <c r="AH340" t="e">
        <f>#REF!</f>
        <v>#REF!</v>
      </c>
      <c r="AI340" t="e">
        <f>#REF!</f>
        <v>#REF!</v>
      </c>
      <c r="AJ340" s="3" t="e">
        <f>#REF!</f>
        <v>#REF!</v>
      </c>
      <c r="AK340" s="3" t="e">
        <f>#REF!</f>
        <v>#REF!</v>
      </c>
      <c r="AL340" s="3" t="e">
        <f>#REF!</f>
        <v>#REF!</v>
      </c>
      <c r="AM340" s="3" t="e">
        <f>#REF!</f>
        <v>#REF!</v>
      </c>
      <c r="AN340" s="3" t="e">
        <f>#REF!</f>
        <v>#REF!</v>
      </c>
      <c r="AO340" s="3" t="e">
        <f>#REF!</f>
        <v>#REF!</v>
      </c>
      <c r="AP340" s="9" t="e">
        <f>VLOOKUP(AG340,#REF!,10,FALSE)</f>
        <v>#REF!</v>
      </c>
      <c r="AQ340" s="8">
        <f>SUMIFS(Capacity!$G$2:$G$2820,Capacity!$B$2:$B$2820,Demand_Modeling!AG340)</f>
        <v>0</v>
      </c>
      <c r="AS340" s="2" t="e">
        <f t="shared" si="74"/>
        <v>#REF!</v>
      </c>
      <c r="AT340" s="2" t="e">
        <f t="shared" si="75"/>
        <v>#REF!</v>
      </c>
      <c r="AU340" s="2" t="e">
        <f t="shared" si="76"/>
        <v>#REF!</v>
      </c>
      <c r="AV340" s="2" t="e">
        <f t="shared" si="77"/>
        <v>#REF!</v>
      </c>
      <c r="AW340" s="2" t="e">
        <f t="shared" si="78"/>
        <v>#REF!</v>
      </c>
      <c r="AX340" s="2" t="e">
        <f t="shared" si="79"/>
        <v>#REF!</v>
      </c>
      <c r="AY340" s="2" t="e">
        <f t="shared" si="80"/>
        <v>#REF!</v>
      </c>
      <c r="AZ340" s="10">
        <f t="shared" si="81"/>
        <v>0</v>
      </c>
      <c r="BA340" s="5" t="e">
        <f t="shared" si="82"/>
        <v>#REF!</v>
      </c>
    </row>
    <row r="341" spans="33:53" x14ac:dyDescent="0.3">
      <c r="AG341" t="e">
        <f t="shared" si="73"/>
        <v>#REF!</v>
      </c>
      <c r="AH341" t="e">
        <f>#REF!</f>
        <v>#REF!</v>
      </c>
      <c r="AI341" t="e">
        <f>#REF!</f>
        <v>#REF!</v>
      </c>
      <c r="AJ341" s="3" t="e">
        <f>#REF!</f>
        <v>#REF!</v>
      </c>
      <c r="AK341" s="3" t="e">
        <f>#REF!</f>
        <v>#REF!</v>
      </c>
      <c r="AL341" s="3" t="e">
        <f>#REF!</f>
        <v>#REF!</v>
      </c>
      <c r="AM341" s="3" t="e">
        <f>#REF!</f>
        <v>#REF!</v>
      </c>
      <c r="AN341" s="3" t="e">
        <f>#REF!</f>
        <v>#REF!</v>
      </c>
      <c r="AO341" s="3" t="e">
        <f>#REF!</f>
        <v>#REF!</v>
      </c>
      <c r="AP341" s="9" t="e">
        <f>VLOOKUP(AG341,#REF!,10,FALSE)</f>
        <v>#REF!</v>
      </c>
      <c r="AQ341" s="8">
        <f>SUMIFS(Capacity!$G$2:$G$2820,Capacity!$B$2:$B$2820,Demand_Modeling!AG341)</f>
        <v>0</v>
      </c>
      <c r="AS341" s="2" t="e">
        <f t="shared" si="74"/>
        <v>#REF!</v>
      </c>
      <c r="AT341" s="2" t="e">
        <f t="shared" si="75"/>
        <v>#REF!</v>
      </c>
      <c r="AU341" s="2" t="e">
        <f t="shared" si="76"/>
        <v>#REF!</v>
      </c>
      <c r="AV341" s="2" t="e">
        <f t="shared" si="77"/>
        <v>#REF!</v>
      </c>
      <c r="AW341" s="2" t="e">
        <f t="shared" si="78"/>
        <v>#REF!</v>
      </c>
      <c r="AX341" s="2" t="e">
        <f t="shared" si="79"/>
        <v>#REF!</v>
      </c>
      <c r="AY341" s="2" t="e">
        <f t="shared" si="80"/>
        <v>#REF!</v>
      </c>
      <c r="AZ341" s="10">
        <f t="shared" si="81"/>
        <v>0</v>
      </c>
      <c r="BA341" s="5" t="e">
        <f t="shared" si="82"/>
        <v>#REF!</v>
      </c>
    </row>
    <row r="342" spans="33:53" x14ac:dyDescent="0.3">
      <c r="AG342" t="e">
        <f t="shared" si="73"/>
        <v>#REF!</v>
      </c>
      <c r="AH342" t="e">
        <f>#REF!</f>
        <v>#REF!</v>
      </c>
      <c r="AI342" t="e">
        <f>#REF!</f>
        <v>#REF!</v>
      </c>
      <c r="AJ342" s="3" t="e">
        <f>#REF!</f>
        <v>#REF!</v>
      </c>
      <c r="AK342" s="3" t="e">
        <f>#REF!</f>
        <v>#REF!</v>
      </c>
      <c r="AL342" s="3" t="e">
        <f>#REF!</f>
        <v>#REF!</v>
      </c>
      <c r="AM342" s="3" t="e">
        <f>#REF!</f>
        <v>#REF!</v>
      </c>
      <c r="AN342" s="3" t="e">
        <f>#REF!</f>
        <v>#REF!</v>
      </c>
      <c r="AO342" s="3" t="e">
        <f>#REF!</f>
        <v>#REF!</v>
      </c>
      <c r="AP342" s="9" t="e">
        <f>VLOOKUP(AG342,#REF!,10,FALSE)</f>
        <v>#REF!</v>
      </c>
      <c r="AQ342" s="8">
        <f>SUMIFS(Capacity!$G$2:$G$2820,Capacity!$B$2:$B$2820,Demand_Modeling!AG342)</f>
        <v>0</v>
      </c>
      <c r="AS342" s="2" t="e">
        <f t="shared" si="74"/>
        <v>#REF!</v>
      </c>
      <c r="AT342" s="2" t="e">
        <f t="shared" si="75"/>
        <v>#REF!</v>
      </c>
      <c r="AU342" s="2" t="e">
        <f t="shared" si="76"/>
        <v>#REF!</v>
      </c>
      <c r="AV342" s="2" t="e">
        <f t="shared" si="77"/>
        <v>#REF!</v>
      </c>
      <c r="AW342" s="2" t="e">
        <f t="shared" si="78"/>
        <v>#REF!</v>
      </c>
      <c r="AX342" s="2" t="e">
        <f t="shared" si="79"/>
        <v>#REF!</v>
      </c>
      <c r="AY342" s="2" t="e">
        <f t="shared" si="80"/>
        <v>#REF!</v>
      </c>
      <c r="AZ342" s="10">
        <f t="shared" si="81"/>
        <v>0</v>
      </c>
      <c r="BA342" s="5" t="e">
        <f t="shared" si="82"/>
        <v>#REF!</v>
      </c>
    </row>
    <row r="343" spans="33:53" x14ac:dyDescent="0.3">
      <c r="AG343" t="e">
        <f t="shared" si="73"/>
        <v>#REF!</v>
      </c>
      <c r="AH343" t="e">
        <f>#REF!</f>
        <v>#REF!</v>
      </c>
      <c r="AI343" t="e">
        <f>#REF!</f>
        <v>#REF!</v>
      </c>
      <c r="AJ343" s="3" t="e">
        <f>#REF!</f>
        <v>#REF!</v>
      </c>
      <c r="AK343" s="3" t="e">
        <f>#REF!</f>
        <v>#REF!</v>
      </c>
      <c r="AL343" s="3" t="e">
        <f>#REF!</f>
        <v>#REF!</v>
      </c>
      <c r="AM343" s="3" t="e">
        <f>#REF!</f>
        <v>#REF!</v>
      </c>
      <c r="AN343" s="3" t="e">
        <f>#REF!</f>
        <v>#REF!</v>
      </c>
      <c r="AO343" s="3" t="e">
        <f>#REF!</f>
        <v>#REF!</v>
      </c>
      <c r="AP343" s="9" t="e">
        <f>VLOOKUP(AG343,#REF!,10,FALSE)</f>
        <v>#REF!</v>
      </c>
      <c r="AQ343" s="8">
        <f>SUMIFS(Capacity!$G$2:$G$2820,Capacity!$B$2:$B$2820,Demand_Modeling!AG343)</f>
        <v>0</v>
      </c>
      <c r="AS343" s="2" t="e">
        <f t="shared" si="74"/>
        <v>#REF!</v>
      </c>
      <c r="AT343" s="2" t="e">
        <f t="shared" si="75"/>
        <v>#REF!</v>
      </c>
      <c r="AU343" s="2" t="e">
        <f t="shared" si="76"/>
        <v>#REF!</v>
      </c>
      <c r="AV343" s="2" t="e">
        <f t="shared" si="77"/>
        <v>#REF!</v>
      </c>
      <c r="AW343" s="2" t="e">
        <f t="shared" si="78"/>
        <v>#REF!</v>
      </c>
      <c r="AX343" s="2" t="e">
        <f t="shared" si="79"/>
        <v>#REF!</v>
      </c>
      <c r="AY343" s="2" t="e">
        <f t="shared" si="80"/>
        <v>#REF!</v>
      </c>
      <c r="AZ343" s="10">
        <f t="shared" si="81"/>
        <v>0</v>
      </c>
      <c r="BA343" s="5" t="e">
        <f t="shared" si="82"/>
        <v>#REF!</v>
      </c>
    </row>
    <row r="344" spans="33:53" x14ac:dyDescent="0.3">
      <c r="AG344" t="e">
        <f t="shared" si="73"/>
        <v>#REF!</v>
      </c>
      <c r="AH344" t="e">
        <f>#REF!</f>
        <v>#REF!</v>
      </c>
      <c r="AI344" t="e">
        <f>#REF!</f>
        <v>#REF!</v>
      </c>
      <c r="AJ344" s="3" t="e">
        <f>#REF!</f>
        <v>#REF!</v>
      </c>
      <c r="AK344" s="3" t="e">
        <f>#REF!</f>
        <v>#REF!</v>
      </c>
      <c r="AL344" s="3" t="e">
        <f>#REF!</f>
        <v>#REF!</v>
      </c>
      <c r="AM344" s="3" t="e">
        <f>#REF!</f>
        <v>#REF!</v>
      </c>
      <c r="AN344" s="3" t="e">
        <f>#REF!</f>
        <v>#REF!</v>
      </c>
      <c r="AO344" s="3" t="e">
        <f>#REF!</f>
        <v>#REF!</v>
      </c>
      <c r="AP344" s="9" t="e">
        <f>VLOOKUP(AG344,#REF!,10,FALSE)</f>
        <v>#REF!</v>
      </c>
      <c r="AQ344" s="8">
        <f>SUMIFS(Capacity!$G$2:$G$2820,Capacity!$B$2:$B$2820,Demand_Modeling!AG344)</f>
        <v>0</v>
      </c>
      <c r="AS344" s="2" t="e">
        <f t="shared" si="74"/>
        <v>#REF!</v>
      </c>
      <c r="AT344" s="2" t="e">
        <f t="shared" si="75"/>
        <v>#REF!</v>
      </c>
      <c r="AU344" s="2" t="e">
        <f t="shared" si="76"/>
        <v>#REF!</v>
      </c>
      <c r="AV344" s="2" t="e">
        <f t="shared" si="77"/>
        <v>#REF!</v>
      </c>
      <c r="AW344" s="2" t="e">
        <f t="shared" si="78"/>
        <v>#REF!</v>
      </c>
      <c r="AX344" s="2" t="e">
        <f t="shared" si="79"/>
        <v>#REF!</v>
      </c>
      <c r="AY344" s="2" t="e">
        <f t="shared" si="80"/>
        <v>#REF!</v>
      </c>
      <c r="AZ344" s="10">
        <f t="shared" si="81"/>
        <v>0</v>
      </c>
      <c r="BA344" s="5" t="e">
        <f t="shared" si="82"/>
        <v>#REF!</v>
      </c>
    </row>
    <row r="345" spans="33:53" x14ac:dyDescent="0.3">
      <c r="AG345" t="e">
        <f t="shared" si="73"/>
        <v>#REF!</v>
      </c>
      <c r="AH345" t="e">
        <f>#REF!</f>
        <v>#REF!</v>
      </c>
      <c r="AI345" t="e">
        <f>#REF!</f>
        <v>#REF!</v>
      </c>
      <c r="AJ345" s="3" t="e">
        <f>#REF!</f>
        <v>#REF!</v>
      </c>
      <c r="AK345" s="3" t="e">
        <f>#REF!</f>
        <v>#REF!</v>
      </c>
      <c r="AL345" s="3" t="e">
        <f>#REF!</f>
        <v>#REF!</v>
      </c>
      <c r="AM345" s="3" t="e">
        <f>#REF!</f>
        <v>#REF!</v>
      </c>
      <c r="AN345" s="3" t="e">
        <f>#REF!</f>
        <v>#REF!</v>
      </c>
      <c r="AO345" s="3" t="e">
        <f>#REF!</f>
        <v>#REF!</v>
      </c>
      <c r="AP345" s="9" t="e">
        <f>VLOOKUP(AG345,#REF!,10,FALSE)</f>
        <v>#REF!</v>
      </c>
      <c r="AQ345" s="8">
        <f>SUMIFS(Capacity!$G$2:$G$2820,Capacity!$B$2:$B$2820,Demand_Modeling!AG345)</f>
        <v>0</v>
      </c>
      <c r="AS345" s="2" t="e">
        <f t="shared" si="74"/>
        <v>#REF!</v>
      </c>
      <c r="AT345" s="2" t="e">
        <f t="shared" si="75"/>
        <v>#REF!</v>
      </c>
      <c r="AU345" s="2" t="e">
        <f t="shared" si="76"/>
        <v>#REF!</v>
      </c>
      <c r="AV345" s="2" t="e">
        <f t="shared" si="77"/>
        <v>#REF!</v>
      </c>
      <c r="AW345" s="2" t="e">
        <f t="shared" si="78"/>
        <v>#REF!</v>
      </c>
      <c r="AX345" s="2" t="e">
        <f t="shared" si="79"/>
        <v>#REF!</v>
      </c>
      <c r="AY345" s="2" t="e">
        <f t="shared" si="80"/>
        <v>#REF!</v>
      </c>
      <c r="AZ345" s="10">
        <f t="shared" si="81"/>
        <v>0</v>
      </c>
      <c r="BA345" s="5" t="e">
        <f t="shared" si="82"/>
        <v>#REF!</v>
      </c>
    </row>
    <row r="346" spans="33:53" x14ac:dyDescent="0.3">
      <c r="AG346" t="e">
        <f t="shared" si="73"/>
        <v>#REF!</v>
      </c>
      <c r="AH346" t="e">
        <f>#REF!</f>
        <v>#REF!</v>
      </c>
      <c r="AI346" t="e">
        <f>#REF!</f>
        <v>#REF!</v>
      </c>
      <c r="AJ346" s="3" t="e">
        <f>#REF!</f>
        <v>#REF!</v>
      </c>
      <c r="AK346" s="3" t="e">
        <f>#REF!</f>
        <v>#REF!</v>
      </c>
      <c r="AL346" s="3" t="e">
        <f>#REF!</f>
        <v>#REF!</v>
      </c>
      <c r="AM346" s="3" t="e">
        <f>#REF!</f>
        <v>#REF!</v>
      </c>
      <c r="AN346" s="3" t="e">
        <f>#REF!</f>
        <v>#REF!</v>
      </c>
      <c r="AO346" s="3" t="e">
        <f>#REF!</f>
        <v>#REF!</v>
      </c>
      <c r="AP346" s="9" t="e">
        <f>VLOOKUP(AG346,#REF!,10,FALSE)</f>
        <v>#REF!</v>
      </c>
      <c r="AQ346" s="8">
        <f>SUMIFS(Capacity!$G$2:$G$2820,Capacity!$B$2:$B$2820,Demand_Modeling!AG346)</f>
        <v>0</v>
      </c>
      <c r="AS346" s="2" t="e">
        <f t="shared" si="74"/>
        <v>#REF!</v>
      </c>
      <c r="AT346" s="2" t="e">
        <f t="shared" si="75"/>
        <v>#REF!</v>
      </c>
      <c r="AU346" s="2" t="e">
        <f t="shared" si="76"/>
        <v>#REF!</v>
      </c>
      <c r="AV346" s="2" t="e">
        <f t="shared" si="77"/>
        <v>#REF!</v>
      </c>
      <c r="AW346" s="2" t="e">
        <f t="shared" si="78"/>
        <v>#REF!</v>
      </c>
      <c r="AX346" s="2" t="e">
        <f t="shared" si="79"/>
        <v>#REF!</v>
      </c>
      <c r="AY346" s="2" t="e">
        <f t="shared" si="80"/>
        <v>#REF!</v>
      </c>
      <c r="AZ346" s="10">
        <f t="shared" si="81"/>
        <v>0</v>
      </c>
      <c r="BA346" s="5" t="e">
        <f t="shared" si="82"/>
        <v>#REF!</v>
      </c>
    </row>
    <row r="347" spans="33:53" x14ac:dyDescent="0.3">
      <c r="AG347" t="e">
        <f t="shared" si="73"/>
        <v>#REF!</v>
      </c>
      <c r="AH347" t="e">
        <f>#REF!</f>
        <v>#REF!</v>
      </c>
      <c r="AI347" t="e">
        <f>#REF!</f>
        <v>#REF!</v>
      </c>
      <c r="AJ347" s="3" t="e">
        <f>#REF!</f>
        <v>#REF!</v>
      </c>
      <c r="AK347" s="3" t="e">
        <f>#REF!</f>
        <v>#REF!</v>
      </c>
      <c r="AL347" s="3" t="e">
        <f>#REF!</f>
        <v>#REF!</v>
      </c>
      <c r="AM347" s="3" t="e">
        <f>#REF!</f>
        <v>#REF!</v>
      </c>
      <c r="AN347" s="3" t="e">
        <f>#REF!</f>
        <v>#REF!</v>
      </c>
      <c r="AO347" s="3" t="e">
        <f>#REF!</f>
        <v>#REF!</v>
      </c>
      <c r="AP347" s="9" t="e">
        <f>VLOOKUP(AG347,#REF!,10,FALSE)</f>
        <v>#REF!</v>
      </c>
      <c r="AQ347" s="8">
        <f>SUMIFS(Capacity!$G$2:$G$2820,Capacity!$B$2:$B$2820,Demand_Modeling!AG347)</f>
        <v>0</v>
      </c>
      <c r="AS347" s="2" t="e">
        <f t="shared" si="74"/>
        <v>#REF!</v>
      </c>
      <c r="AT347" s="2" t="e">
        <f t="shared" si="75"/>
        <v>#REF!</v>
      </c>
      <c r="AU347" s="2" t="e">
        <f t="shared" si="76"/>
        <v>#REF!</v>
      </c>
      <c r="AV347" s="2" t="e">
        <f t="shared" si="77"/>
        <v>#REF!</v>
      </c>
      <c r="AW347" s="2" t="e">
        <f t="shared" si="78"/>
        <v>#REF!</v>
      </c>
      <c r="AX347" s="2" t="e">
        <f t="shared" si="79"/>
        <v>#REF!</v>
      </c>
      <c r="AY347" s="2" t="e">
        <f t="shared" si="80"/>
        <v>#REF!</v>
      </c>
      <c r="AZ347" s="10">
        <f t="shared" si="81"/>
        <v>0</v>
      </c>
      <c r="BA347" s="5" t="e">
        <f t="shared" si="82"/>
        <v>#REF!</v>
      </c>
    </row>
    <row r="348" spans="33:53" x14ac:dyDescent="0.3">
      <c r="AG348" t="e">
        <f t="shared" si="73"/>
        <v>#REF!</v>
      </c>
      <c r="AH348" t="e">
        <f>#REF!</f>
        <v>#REF!</v>
      </c>
      <c r="AI348" t="e">
        <f>#REF!</f>
        <v>#REF!</v>
      </c>
      <c r="AJ348" s="3" t="e">
        <f>#REF!</f>
        <v>#REF!</v>
      </c>
      <c r="AK348" s="3" t="e">
        <f>#REF!</f>
        <v>#REF!</v>
      </c>
      <c r="AL348" s="3" t="e">
        <f>#REF!</f>
        <v>#REF!</v>
      </c>
      <c r="AM348" s="3" t="e">
        <f>#REF!</f>
        <v>#REF!</v>
      </c>
      <c r="AN348" s="3" t="e">
        <f>#REF!</f>
        <v>#REF!</v>
      </c>
      <c r="AO348" s="3" t="e">
        <f>#REF!</f>
        <v>#REF!</v>
      </c>
      <c r="AP348" s="9" t="e">
        <f>VLOOKUP(AG348,#REF!,10,FALSE)</f>
        <v>#REF!</v>
      </c>
      <c r="AQ348" s="8">
        <f>SUMIFS(Capacity!$G$2:$G$2820,Capacity!$B$2:$B$2820,Demand_Modeling!AG348)</f>
        <v>0</v>
      </c>
      <c r="AS348" s="2" t="e">
        <f t="shared" si="74"/>
        <v>#REF!</v>
      </c>
      <c r="AT348" s="2" t="e">
        <f t="shared" si="75"/>
        <v>#REF!</v>
      </c>
      <c r="AU348" s="2" t="e">
        <f t="shared" si="76"/>
        <v>#REF!</v>
      </c>
      <c r="AV348" s="2" t="e">
        <f t="shared" si="77"/>
        <v>#REF!</v>
      </c>
      <c r="AW348" s="2" t="e">
        <f t="shared" si="78"/>
        <v>#REF!</v>
      </c>
      <c r="AX348" s="2" t="e">
        <f t="shared" si="79"/>
        <v>#REF!</v>
      </c>
      <c r="AY348" s="2" t="e">
        <f t="shared" si="80"/>
        <v>#REF!</v>
      </c>
      <c r="AZ348" s="10">
        <f t="shared" si="81"/>
        <v>0</v>
      </c>
      <c r="BA348" s="5" t="e">
        <f t="shared" si="82"/>
        <v>#REF!</v>
      </c>
    </row>
    <row r="349" spans="33:53" x14ac:dyDescent="0.3">
      <c r="AG349" t="e">
        <f t="shared" si="73"/>
        <v>#REF!</v>
      </c>
      <c r="AH349" t="e">
        <f>#REF!</f>
        <v>#REF!</v>
      </c>
      <c r="AI349" t="e">
        <f>#REF!</f>
        <v>#REF!</v>
      </c>
      <c r="AJ349" s="3" t="e">
        <f>#REF!</f>
        <v>#REF!</v>
      </c>
      <c r="AK349" s="3" t="e">
        <f>#REF!</f>
        <v>#REF!</v>
      </c>
      <c r="AL349" s="3" t="e">
        <f>#REF!</f>
        <v>#REF!</v>
      </c>
      <c r="AM349" s="3" t="e">
        <f>#REF!</f>
        <v>#REF!</v>
      </c>
      <c r="AN349" s="3" t="e">
        <f>#REF!</f>
        <v>#REF!</v>
      </c>
      <c r="AO349" s="3" t="e">
        <f>#REF!</f>
        <v>#REF!</v>
      </c>
      <c r="AP349" s="9" t="e">
        <f>VLOOKUP(AG349,#REF!,10,FALSE)</f>
        <v>#REF!</v>
      </c>
      <c r="AQ349" s="8">
        <f>SUMIFS(Capacity!$G$2:$G$2820,Capacity!$B$2:$B$2820,Demand_Modeling!AG349)</f>
        <v>0</v>
      </c>
      <c r="AS349" s="2" t="e">
        <f t="shared" si="74"/>
        <v>#REF!</v>
      </c>
      <c r="AT349" s="2" t="e">
        <f t="shared" si="75"/>
        <v>#REF!</v>
      </c>
      <c r="AU349" s="2" t="e">
        <f t="shared" si="76"/>
        <v>#REF!</v>
      </c>
      <c r="AV349" s="2" t="e">
        <f t="shared" si="77"/>
        <v>#REF!</v>
      </c>
      <c r="AW349" s="2" t="e">
        <f t="shared" si="78"/>
        <v>#REF!</v>
      </c>
      <c r="AX349" s="2" t="e">
        <f t="shared" si="79"/>
        <v>#REF!</v>
      </c>
      <c r="AY349" s="2" t="e">
        <f t="shared" si="80"/>
        <v>#REF!</v>
      </c>
      <c r="AZ349" s="10">
        <f t="shared" si="81"/>
        <v>0</v>
      </c>
      <c r="BA349" s="5" t="e">
        <f t="shared" si="82"/>
        <v>#REF!</v>
      </c>
    </row>
    <row r="350" spans="33:53" x14ac:dyDescent="0.3">
      <c r="AG350" t="e">
        <f t="shared" si="73"/>
        <v>#REF!</v>
      </c>
      <c r="AH350" t="e">
        <f>#REF!</f>
        <v>#REF!</v>
      </c>
      <c r="AI350" t="e">
        <f>#REF!</f>
        <v>#REF!</v>
      </c>
      <c r="AJ350" s="3" t="e">
        <f>#REF!</f>
        <v>#REF!</v>
      </c>
      <c r="AK350" s="3" t="e">
        <f>#REF!</f>
        <v>#REF!</v>
      </c>
      <c r="AL350" s="3" t="e">
        <f>#REF!</f>
        <v>#REF!</v>
      </c>
      <c r="AM350" s="3" t="e">
        <f>#REF!</f>
        <v>#REF!</v>
      </c>
      <c r="AN350" s="3" t="e">
        <f>#REF!</f>
        <v>#REF!</v>
      </c>
      <c r="AO350" s="3" t="e">
        <f>#REF!</f>
        <v>#REF!</v>
      </c>
      <c r="AP350" s="9" t="e">
        <f>VLOOKUP(AG350,#REF!,10,FALSE)</f>
        <v>#REF!</v>
      </c>
      <c r="AQ350" s="8">
        <f>SUMIFS(Capacity!$G$2:$G$2820,Capacity!$B$2:$B$2820,Demand_Modeling!AG350)</f>
        <v>0</v>
      </c>
      <c r="AS350" s="2" t="e">
        <f t="shared" si="74"/>
        <v>#REF!</v>
      </c>
      <c r="AT350" s="2" t="e">
        <f t="shared" si="75"/>
        <v>#REF!</v>
      </c>
      <c r="AU350" s="2" t="e">
        <f t="shared" si="76"/>
        <v>#REF!</v>
      </c>
      <c r="AV350" s="2" t="e">
        <f t="shared" si="77"/>
        <v>#REF!</v>
      </c>
      <c r="AW350" s="2" t="e">
        <f t="shared" si="78"/>
        <v>#REF!</v>
      </c>
      <c r="AX350" s="2" t="e">
        <f t="shared" si="79"/>
        <v>#REF!</v>
      </c>
      <c r="AY350" s="2" t="e">
        <f t="shared" si="80"/>
        <v>#REF!</v>
      </c>
      <c r="AZ350" s="10">
        <f t="shared" si="81"/>
        <v>0</v>
      </c>
      <c r="BA350" s="5" t="e">
        <f t="shared" si="82"/>
        <v>#REF!</v>
      </c>
    </row>
    <row r="351" spans="33:53" x14ac:dyDescent="0.3">
      <c r="AG351" t="e">
        <f t="shared" si="73"/>
        <v>#REF!</v>
      </c>
      <c r="AH351" t="e">
        <f>#REF!</f>
        <v>#REF!</v>
      </c>
      <c r="AI351" t="e">
        <f>#REF!</f>
        <v>#REF!</v>
      </c>
      <c r="AJ351" s="3" t="e">
        <f>#REF!</f>
        <v>#REF!</v>
      </c>
      <c r="AK351" s="3" t="e">
        <f>#REF!</f>
        <v>#REF!</v>
      </c>
      <c r="AL351" s="3" t="e">
        <f>#REF!</f>
        <v>#REF!</v>
      </c>
      <c r="AM351" s="3" t="e">
        <f>#REF!</f>
        <v>#REF!</v>
      </c>
      <c r="AN351" s="3" t="e">
        <f>#REF!</f>
        <v>#REF!</v>
      </c>
      <c r="AO351" s="3" t="e">
        <f>#REF!</f>
        <v>#REF!</v>
      </c>
      <c r="AP351" s="9" t="e">
        <f>VLOOKUP(AG351,#REF!,10,FALSE)</f>
        <v>#REF!</v>
      </c>
      <c r="AQ351" s="8">
        <f>SUMIFS(Capacity!$G$2:$G$2820,Capacity!$B$2:$B$2820,Demand_Modeling!AG351)</f>
        <v>0</v>
      </c>
      <c r="AS351" s="2" t="e">
        <f t="shared" si="74"/>
        <v>#REF!</v>
      </c>
      <c r="AT351" s="2" t="e">
        <f t="shared" si="75"/>
        <v>#REF!</v>
      </c>
      <c r="AU351" s="2" t="e">
        <f t="shared" si="76"/>
        <v>#REF!</v>
      </c>
      <c r="AV351" s="2" t="e">
        <f t="shared" si="77"/>
        <v>#REF!</v>
      </c>
      <c r="AW351" s="2" t="e">
        <f t="shared" si="78"/>
        <v>#REF!</v>
      </c>
      <c r="AX351" s="2" t="e">
        <f t="shared" si="79"/>
        <v>#REF!</v>
      </c>
      <c r="AY351" s="2" t="e">
        <f t="shared" si="80"/>
        <v>#REF!</v>
      </c>
      <c r="AZ351" s="10">
        <f t="shared" si="81"/>
        <v>0</v>
      </c>
      <c r="BA351" s="5" t="e">
        <f t="shared" si="82"/>
        <v>#REF!</v>
      </c>
    </row>
    <row r="352" spans="33:53" x14ac:dyDescent="0.3">
      <c r="AG352" t="e">
        <f t="shared" si="73"/>
        <v>#REF!</v>
      </c>
      <c r="AH352" t="e">
        <f>#REF!</f>
        <v>#REF!</v>
      </c>
      <c r="AI352" t="e">
        <f>#REF!</f>
        <v>#REF!</v>
      </c>
      <c r="AJ352" s="3" t="e">
        <f>#REF!</f>
        <v>#REF!</v>
      </c>
      <c r="AK352" s="3" t="e">
        <f>#REF!</f>
        <v>#REF!</v>
      </c>
      <c r="AL352" s="3" t="e">
        <f>#REF!</f>
        <v>#REF!</v>
      </c>
      <c r="AM352" s="3" t="e">
        <f>#REF!</f>
        <v>#REF!</v>
      </c>
      <c r="AN352" s="3" t="e">
        <f>#REF!</f>
        <v>#REF!</v>
      </c>
      <c r="AO352" s="3" t="e">
        <f>#REF!</f>
        <v>#REF!</v>
      </c>
      <c r="AP352" s="9" t="e">
        <f>VLOOKUP(AG352,#REF!,10,FALSE)</f>
        <v>#REF!</v>
      </c>
      <c r="AQ352" s="8">
        <f>SUMIFS(Capacity!$G$2:$G$2820,Capacity!$B$2:$B$2820,Demand_Modeling!AG352)</f>
        <v>0</v>
      </c>
      <c r="AS352" s="2" t="e">
        <f t="shared" si="74"/>
        <v>#REF!</v>
      </c>
      <c r="AT352" s="2" t="e">
        <f t="shared" si="75"/>
        <v>#REF!</v>
      </c>
      <c r="AU352" s="2" t="e">
        <f t="shared" si="76"/>
        <v>#REF!</v>
      </c>
      <c r="AV352" s="2" t="e">
        <f t="shared" si="77"/>
        <v>#REF!</v>
      </c>
      <c r="AW352" s="2" t="e">
        <f t="shared" si="78"/>
        <v>#REF!</v>
      </c>
      <c r="AX352" s="2" t="e">
        <f t="shared" si="79"/>
        <v>#REF!</v>
      </c>
      <c r="AY352" s="2" t="e">
        <f t="shared" si="80"/>
        <v>#REF!</v>
      </c>
      <c r="AZ352" s="10">
        <f t="shared" si="81"/>
        <v>0</v>
      </c>
      <c r="BA352" s="5" t="e">
        <f t="shared" si="82"/>
        <v>#REF!</v>
      </c>
    </row>
    <row r="353" spans="33:53" x14ac:dyDescent="0.3">
      <c r="AG353" t="e">
        <f t="shared" si="73"/>
        <v>#REF!</v>
      </c>
      <c r="AH353" t="e">
        <f>#REF!</f>
        <v>#REF!</v>
      </c>
      <c r="AI353" t="e">
        <f>#REF!</f>
        <v>#REF!</v>
      </c>
      <c r="AJ353" s="3" t="e">
        <f>#REF!</f>
        <v>#REF!</v>
      </c>
      <c r="AK353" s="3" t="e">
        <f>#REF!</f>
        <v>#REF!</v>
      </c>
      <c r="AL353" s="3" t="e">
        <f>#REF!</f>
        <v>#REF!</v>
      </c>
      <c r="AM353" s="3" t="e">
        <f>#REF!</f>
        <v>#REF!</v>
      </c>
      <c r="AN353" s="3" t="e">
        <f>#REF!</f>
        <v>#REF!</v>
      </c>
      <c r="AO353" s="3" t="e">
        <f>#REF!</f>
        <v>#REF!</v>
      </c>
      <c r="AP353" s="9" t="e">
        <f>VLOOKUP(AG353,#REF!,10,FALSE)</f>
        <v>#REF!</v>
      </c>
      <c r="AQ353" s="8">
        <f>SUMIFS(Capacity!$G$2:$G$2820,Capacity!$B$2:$B$2820,Demand_Modeling!AG353)</f>
        <v>0</v>
      </c>
      <c r="AS353" s="2" t="e">
        <f t="shared" si="74"/>
        <v>#REF!</v>
      </c>
      <c r="AT353" s="2" t="e">
        <f t="shared" si="75"/>
        <v>#REF!</v>
      </c>
      <c r="AU353" s="2" t="e">
        <f t="shared" si="76"/>
        <v>#REF!</v>
      </c>
      <c r="AV353" s="2" t="e">
        <f t="shared" si="77"/>
        <v>#REF!</v>
      </c>
      <c r="AW353" s="2" t="e">
        <f t="shared" si="78"/>
        <v>#REF!</v>
      </c>
      <c r="AX353" s="2" t="e">
        <f t="shared" si="79"/>
        <v>#REF!</v>
      </c>
      <c r="AY353" s="2" t="e">
        <f t="shared" si="80"/>
        <v>#REF!</v>
      </c>
      <c r="AZ353" s="10">
        <f t="shared" si="81"/>
        <v>0</v>
      </c>
      <c r="BA353" s="5" t="e">
        <f t="shared" si="82"/>
        <v>#REF!</v>
      </c>
    </row>
    <row r="354" spans="33:53" x14ac:dyDescent="0.3">
      <c r="AG354" t="e">
        <f t="shared" si="73"/>
        <v>#REF!</v>
      </c>
      <c r="AH354" t="e">
        <f>#REF!</f>
        <v>#REF!</v>
      </c>
      <c r="AI354" t="e">
        <f>#REF!</f>
        <v>#REF!</v>
      </c>
      <c r="AJ354" s="3" t="e">
        <f>#REF!</f>
        <v>#REF!</v>
      </c>
      <c r="AK354" s="3" t="e">
        <f>#REF!</f>
        <v>#REF!</v>
      </c>
      <c r="AL354" s="3" t="e">
        <f>#REF!</f>
        <v>#REF!</v>
      </c>
      <c r="AM354" s="3" t="e">
        <f>#REF!</f>
        <v>#REF!</v>
      </c>
      <c r="AN354" s="3" t="e">
        <f>#REF!</f>
        <v>#REF!</v>
      </c>
      <c r="AO354" s="3" t="e">
        <f>#REF!</f>
        <v>#REF!</v>
      </c>
      <c r="AP354" s="9" t="e">
        <f>VLOOKUP(AG354,#REF!,10,FALSE)</f>
        <v>#REF!</v>
      </c>
      <c r="AQ354" s="8">
        <f>SUMIFS(Capacity!$G$2:$G$2820,Capacity!$B$2:$B$2820,Demand_Modeling!AG354)</f>
        <v>0</v>
      </c>
      <c r="AS354" s="2" t="e">
        <f t="shared" si="74"/>
        <v>#REF!</v>
      </c>
      <c r="AT354" s="2" t="e">
        <f t="shared" si="75"/>
        <v>#REF!</v>
      </c>
      <c r="AU354" s="2" t="e">
        <f t="shared" si="76"/>
        <v>#REF!</v>
      </c>
      <c r="AV354" s="2" t="e">
        <f t="shared" si="77"/>
        <v>#REF!</v>
      </c>
      <c r="AW354" s="2" t="e">
        <f t="shared" si="78"/>
        <v>#REF!</v>
      </c>
      <c r="AX354" s="2" t="e">
        <f t="shared" si="79"/>
        <v>#REF!</v>
      </c>
      <c r="AY354" s="2" t="e">
        <f t="shared" si="80"/>
        <v>#REF!</v>
      </c>
      <c r="AZ354" s="10">
        <f t="shared" si="81"/>
        <v>0</v>
      </c>
      <c r="BA354" s="5" t="e">
        <f t="shared" si="82"/>
        <v>#REF!</v>
      </c>
    </row>
    <row r="355" spans="33:53" x14ac:dyDescent="0.3">
      <c r="AG355" t="e">
        <f t="shared" si="73"/>
        <v>#REF!</v>
      </c>
      <c r="AH355" t="e">
        <f>#REF!</f>
        <v>#REF!</v>
      </c>
      <c r="AI355" t="e">
        <f>#REF!</f>
        <v>#REF!</v>
      </c>
      <c r="AJ355" s="3" t="e">
        <f>#REF!</f>
        <v>#REF!</v>
      </c>
      <c r="AK355" s="3" t="e">
        <f>#REF!</f>
        <v>#REF!</v>
      </c>
      <c r="AL355" s="3" t="e">
        <f>#REF!</f>
        <v>#REF!</v>
      </c>
      <c r="AM355" s="3" t="e">
        <f>#REF!</f>
        <v>#REF!</v>
      </c>
      <c r="AN355" s="3" t="e">
        <f>#REF!</f>
        <v>#REF!</v>
      </c>
      <c r="AO355" s="3" t="e">
        <f>#REF!</f>
        <v>#REF!</v>
      </c>
      <c r="AP355" s="9" t="e">
        <f>VLOOKUP(AG355,#REF!,10,FALSE)</f>
        <v>#REF!</v>
      </c>
      <c r="AQ355" s="8">
        <f>SUMIFS(Capacity!$G$2:$G$2820,Capacity!$B$2:$B$2820,Demand_Modeling!AG355)</f>
        <v>0</v>
      </c>
      <c r="AS355" s="2" t="e">
        <f t="shared" si="74"/>
        <v>#REF!</v>
      </c>
      <c r="AT355" s="2" t="e">
        <f t="shared" si="75"/>
        <v>#REF!</v>
      </c>
      <c r="AU355" s="2" t="e">
        <f t="shared" si="76"/>
        <v>#REF!</v>
      </c>
      <c r="AV355" s="2" t="e">
        <f t="shared" si="77"/>
        <v>#REF!</v>
      </c>
      <c r="AW355" s="2" t="e">
        <f t="shared" si="78"/>
        <v>#REF!</v>
      </c>
      <c r="AX355" s="2" t="e">
        <f t="shared" si="79"/>
        <v>#REF!</v>
      </c>
      <c r="AY355" s="2" t="e">
        <f t="shared" si="80"/>
        <v>#REF!</v>
      </c>
      <c r="AZ355" s="10">
        <f t="shared" si="81"/>
        <v>0</v>
      </c>
      <c r="BA355" s="5" t="e">
        <f t="shared" si="82"/>
        <v>#REF!</v>
      </c>
    </row>
    <row r="356" spans="33:53" x14ac:dyDescent="0.3">
      <c r="AG356" t="e">
        <f t="shared" si="73"/>
        <v>#REF!</v>
      </c>
      <c r="AH356" t="e">
        <f>#REF!</f>
        <v>#REF!</v>
      </c>
      <c r="AI356" t="e">
        <f>#REF!</f>
        <v>#REF!</v>
      </c>
      <c r="AJ356" s="3" t="e">
        <f>#REF!</f>
        <v>#REF!</v>
      </c>
      <c r="AK356" s="3" t="e">
        <f>#REF!</f>
        <v>#REF!</v>
      </c>
      <c r="AL356" s="3" t="e">
        <f>#REF!</f>
        <v>#REF!</v>
      </c>
      <c r="AM356" s="3" t="e">
        <f>#REF!</f>
        <v>#REF!</v>
      </c>
      <c r="AN356" s="3" t="e">
        <f>#REF!</f>
        <v>#REF!</v>
      </c>
      <c r="AO356" s="3" t="e">
        <f>#REF!</f>
        <v>#REF!</v>
      </c>
      <c r="AP356" s="9" t="e">
        <f>VLOOKUP(AG356,#REF!,10,FALSE)</f>
        <v>#REF!</v>
      </c>
      <c r="AQ356" s="8">
        <f>SUMIFS(Capacity!$G$2:$G$2820,Capacity!$B$2:$B$2820,Demand_Modeling!AG356)</f>
        <v>0</v>
      </c>
      <c r="AS356" s="2" t="e">
        <f t="shared" si="74"/>
        <v>#REF!</v>
      </c>
      <c r="AT356" s="2" t="e">
        <f t="shared" si="75"/>
        <v>#REF!</v>
      </c>
      <c r="AU356" s="2" t="e">
        <f t="shared" si="76"/>
        <v>#REF!</v>
      </c>
      <c r="AV356" s="2" t="e">
        <f t="shared" si="77"/>
        <v>#REF!</v>
      </c>
      <c r="AW356" s="2" t="e">
        <f t="shared" si="78"/>
        <v>#REF!</v>
      </c>
      <c r="AX356" s="2" t="e">
        <f t="shared" si="79"/>
        <v>#REF!</v>
      </c>
      <c r="AY356" s="2" t="e">
        <f t="shared" si="80"/>
        <v>#REF!</v>
      </c>
      <c r="AZ356" s="10">
        <f t="shared" si="81"/>
        <v>0</v>
      </c>
      <c r="BA356" s="5" t="e">
        <f t="shared" si="82"/>
        <v>#REF!</v>
      </c>
    </row>
    <row r="357" spans="33:53" x14ac:dyDescent="0.3">
      <c r="AG357" t="e">
        <f t="shared" si="73"/>
        <v>#REF!</v>
      </c>
      <c r="AH357" t="e">
        <f>#REF!</f>
        <v>#REF!</v>
      </c>
      <c r="AI357" t="e">
        <f>#REF!</f>
        <v>#REF!</v>
      </c>
      <c r="AJ357" s="3" t="e">
        <f>#REF!</f>
        <v>#REF!</v>
      </c>
      <c r="AK357" s="3" t="e">
        <f>#REF!</f>
        <v>#REF!</v>
      </c>
      <c r="AL357" s="3" t="e">
        <f>#REF!</f>
        <v>#REF!</v>
      </c>
      <c r="AM357" s="3" t="e">
        <f>#REF!</f>
        <v>#REF!</v>
      </c>
      <c r="AN357" s="3" t="e">
        <f>#REF!</f>
        <v>#REF!</v>
      </c>
      <c r="AO357" s="3" t="e">
        <f>#REF!</f>
        <v>#REF!</v>
      </c>
      <c r="AP357" s="9" t="e">
        <f>VLOOKUP(AG357,#REF!,10,FALSE)</f>
        <v>#REF!</v>
      </c>
      <c r="AQ357" s="8">
        <f>SUMIFS(Capacity!$G$2:$G$2820,Capacity!$B$2:$B$2820,Demand_Modeling!AG357)</f>
        <v>0</v>
      </c>
      <c r="AS357" s="2" t="e">
        <f t="shared" si="74"/>
        <v>#REF!</v>
      </c>
      <c r="AT357" s="2" t="e">
        <f t="shared" si="75"/>
        <v>#REF!</v>
      </c>
      <c r="AU357" s="2" t="e">
        <f t="shared" si="76"/>
        <v>#REF!</v>
      </c>
      <c r="AV357" s="2" t="e">
        <f t="shared" si="77"/>
        <v>#REF!</v>
      </c>
      <c r="AW357" s="2" t="e">
        <f t="shared" si="78"/>
        <v>#REF!</v>
      </c>
      <c r="AX357" s="2" t="e">
        <f t="shared" si="79"/>
        <v>#REF!</v>
      </c>
      <c r="AY357" s="2" t="e">
        <f t="shared" si="80"/>
        <v>#REF!</v>
      </c>
      <c r="AZ357" s="10">
        <f t="shared" si="81"/>
        <v>0</v>
      </c>
      <c r="BA357" s="5" t="e">
        <f t="shared" si="82"/>
        <v>#REF!</v>
      </c>
    </row>
    <row r="358" spans="33:53" x14ac:dyDescent="0.3">
      <c r="AG358" t="e">
        <f t="shared" si="73"/>
        <v>#REF!</v>
      </c>
      <c r="AH358" t="e">
        <f>#REF!</f>
        <v>#REF!</v>
      </c>
      <c r="AI358" t="e">
        <f>#REF!</f>
        <v>#REF!</v>
      </c>
      <c r="AJ358" s="3" t="e">
        <f>#REF!</f>
        <v>#REF!</v>
      </c>
      <c r="AK358" s="3" t="e">
        <f>#REF!</f>
        <v>#REF!</v>
      </c>
      <c r="AL358" s="3" t="e">
        <f>#REF!</f>
        <v>#REF!</v>
      </c>
      <c r="AM358" s="3" t="e">
        <f>#REF!</f>
        <v>#REF!</v>
      </c>
      <c r="AN358" s="3" t="e">
        <f>#REF!</f>
        <v>#REF!</v>
      </c>
      <c r="AO358" s="3" t="e">
        <f>#REF!</f>
        <v>#REF!</v>
      </c>
      <c r="AP358" s="9" t="e">
        <f>VLOOKUP(AG358,#REF!,10,FALSE)</f>
        <v>#REF!</v>
      </c>
      <c r="AQ358" s="8">
        <f>SUMIFS(Capacity!$G$2:$G$2820,Capacity!$B$2:$B$2820,Demand_Modeling!AG358)</f>
        <v>0</v>
      </c>
      <c r="AS358" s="2" t="e">
        <f t="shared" si="74"/>
        <v>#REF!</v>
      </c>
      <c r="AT358" s="2" t="e">
        <f t="shared" si="75"/>
        <v>#REF!</v>
      </c>
      <c r="AU358" s="2" t="e">
        <f t="shared" si="76"/>
        <v>#REF!</v>
      </c>
      <c r="AV358" s="2" t="e">
        <f t="shared" si="77"/>
        <v>#REF!</v>
      </c>
      <c r="AW358" s="2" t="e">
        <f t="shared" si="78"/>
        <v>#REF!</v>
      </c>
      <c r="AX358" s="2" t="e">
        <f t="shared" si="79"/>
        <v>#REF!</v>
      </c>
      <c r="AY358" s="2" t="e">
        <f t="shared" si="80"/>
        <v>#REF!</v>
      </c>
      <c r="AZ358" s="10">
        <f t="shared" si="81"/>
        <v>0</v>
      </c>
      <c r="BA358" s="5" t="e">
        <f t="shared" si="82"/>
        <v>#REF!</v>
      </c>
    </row>
    <row r="359" spans="33:53" x14ac:dyDescent="0.3">
      <c r="AG359" t="e">
        <f t="shared" si="73"/>
        <v>#REF!</v>
      </c>
      <c r="AH359" t="e">
        <f>#REF!</f>
        <v>#REF!</v>
      </c>
      <c r="AI359" t="e">
        <f>#REF!</f>
        <v>#REF!</v>
      </c>
      <c r="AJ359" s="3" t="e">
        <f>#REF!</f>
        <v>#REF!</v>
      </c>
      <c r="AK359" s="3" t="e">
        <f>#REF!</f>
        <v>#REF!</v>
      </c>
      <c r="AL359" s="3" t="e">
        <f>#REF!</f>
        <v>#REF!</v>
      </c>
      <c r="AM359" s="3" t="e">
        <f>#REF!</f>
        <v>#REF!</v>
      </c>
      <c r="AN359" s="3" t="e">
        <f>#REF!</f>
        <v>#REF!</v>
      </c>
      <c r="AO359" s="3" t="e">
        <f>#REF!</f>
        <v>#REF!</v>
      </c>
      <c r="AP359" s="9" t="e">
        <f>VLOOKUP(AG359,#REF!,10,FALSE)</f>
        <v>#REF!</v>
      </c>
      <c r="AQ359" s="8">
        <f>SUMIFS(Capacity!$G$2:$G$2820,Capacity!$B$2:$B$2820,Demand_Modeling!AG359)</f>
        <v>0</v>
      </c>
      <c r="AS359" s="2" t="e">
        <f t="shared" si="74"/>
        <v>#REF!</v>
      </c>
      <c r="AT359" s="2" t="e">
        <f t="shared" si="75"/>
        <v>#REF!</v>
      </c>
      <c r="AU359" s="2" t="e">
        <f t="shared" si="76"/>
        <v>#REF!</v>
      </c>
      <c r="AV359" s="2" t="e">
        <f t="shared" si="77"/>
        <v>#REF!</v>
      </c>
      <c r="AW359" s="2" t="e">
        <f t="shared" si="78"/>
        <v>#REF!</v>
      </c>
      <c r="AX359" s="2" t="e">
        <f t="shared" si="79"/>
        <v>#REF!</v>
      </c>
      <c r="AY359" s="2" t="e">
        <f t="shared" si="80"/>
        <v>#REF!</v>
      </c>
      <c r="AZ359" s="10">
        <f t="shared" si="81"/>
        <v>0</v>
      </c>
      <c r="BA359" s="5" t="e">
        <f t="shared" si="82"/>
        <v>#REF!</v>
      </c>
    </row>
    <row r="360" spans="33:53" x14ac:dyDescent="0.3">
      <c r="AG360" t="e">
        <f t="shared" si="73"/>
        <v>#REF!</v>
      </c>
      <c r="AH360" t="e">
        <f>#REF!</f>
        <v>#REF!</v>
      </c>
      <c r="AI360" t="e">
        <f>#REF!</f>
        <v>#REF!</v>
      </c>
      <c r="AJ360" s="3" t="e">
        <f>#REF!</f>
        <v>#REF!</v>
      </c>
      <c r="AK360" s="3" t="e">
        <f>#REF!</f>
        <v>#REF!</v>
      </c>
      <c r="AL360" s="3" t="e">
        <f>#REF!</f>
        <v>#REF!</v>
      </c>
      <c r="AM360" s="3" t="e">
        <f>#REF!</f>
        <v>#REF!</v>
      </c>
      <c r="AN360" s="3" t="e">
        <f>#REF!</f>
        <v>#REF!</v>
      </c>
      <c r="AO360" s="3" t="e">
        <f>#REF!</f>
        <v>#REF!</v>
      </c>
      <c r="AP360" s="9" t="e">
        <f>VLOOKUP(AG360,#REF!,10,FALSE)</f>
        <v>#REF!</v>
      </c>
      <c r="AQ360" s="8">
        <f>SUMIFS(Capacity!$G$2:$G$2820,Capacity!$B$2:$B$2820,Demand_Modeling!AG360)</f>
        <v>0</v>
      </c>
      <c r="AS360" s="2" t="e">
        <f t="shared" si="74"/>
        <v>#REF!</v>
      </c>
      <c r="AT360" s="2" t="e">
        <f t="shared" si="75"/>
        <v>#REF!</v>
      </c>
      <c r="AU360" s="2" t="e">
        <f t="shared" si="76"/>
        <v>#REF!</v>
      </c>
      <c r="AV360" s="2" t="e">
        <f t="shared" si="77"/>
        <v>#REF!</v>
      </c>
      <c r="AW360" s="2" t="e">
        <f t="shared" si="78"/>
        <v>#REF!</v>
      </c>
      <c r="AX360" s="2" t="e">
        <f t="shared" si="79"/>
        <v>#REF!</v>
      </c>
      <c r="AY360" s="2" t="e">
        <f t="shared" si="80"/>
        <v>#REF!</v>
      </c>
      <c r="AZ360" s="10">
        <f t="shared" si="81"/>
        <v>0</v>
      </c>
      <c r="BA360" s="5" t="e">
        <f t="shared" si="82"/>
        <v>#REF!</v>
      </c>
    </row>
    <row r="361" spans="33:53" x14ac:dyDescent="0.3">
      <c r="AG361" t="e">
        <f t="shared" si="73"/>
        <v>#REF!</v>
      </c>
      <c r="AH361" t="e">
        <f>#REF!</f>
        <v>#REF!</v>
      </c>
      <c r="AI361" t="e">
        <f>#REF!</f>
        <v>#REF!</v>
      </c>
      <c r="AJ361" s="3" t="e">
        <f>#REF!</f>
        <v>#REF!</v>
      </c>
      <c r="AK361" s="3" t="e">
        <f>#REF!</f>
        <v>#REF!</v>
      </c>
      <c r="AL361" s="3" t="e">
        <f>#REF!</f>
        <v>#REF!</v>
      </c>
      <c r="AM361" s="3" t="e">
        <f>#REF!</f>
        <v>#REF!</v>
      </c>
      <c r="AN361" s="3" t="e">
        <f>#REF!</f>
        <v>#REF!</v>
      </c>
      <c r="AO361" s="3" t="e">
        <f>#REF!</f>
        <v>#REF!</v>
      </c>
      <c r="AP361" s="9" t="e">
        <f>VLOOKUP(AG361,#REF!,10,FALSE)</f>
        <v>#REF!</v>
      </c>
      <c r="AQ361" s="8">
        <f>SUMIFS(Capacity!$G$2:$G$2820,Capacity!$B$2:$B$2820,Demand_Modeling!AG361)</f>
        <v>0</v>
      </c>
      <c r="AS361" s="2" t="e">
        <f t="shared" si="74"/>
        <v>#REF!</v>
      </c>
      <c r="AT361" s="2" t="e">
        <f t="shared" si="75"/>
        <v>#REF!</v>
      </c>
      <c r="AU361" s="2" t="e">
        <f t="shared" si="76"/>
        <v>#REF!</v>
      </c>
      <c r="AV361" s="2" t="e">
        <f t="shared" si="77"/>
        <v>#REF!</v>
      </c>
      <c r="AW361" s="2" t="e">
        <f t="shared" si="78"/>
        <v>#REF!</v>
      </c>
      <c r="AX361" s="2" t="e">
        <f t="shared" si="79"/>
        <v>#REF!</v>
      </c>
      <c r="AY361" s="2" t="e">
        <f t="shared" si="80"/>
        <v>#REF!</v>
      </c>
      <c r="AZ361" s="10">
        <f t="shared" si="81"/>
        <v>0</v>
      </c>
      <c r="BA361" s="5" t="e">
        <f t="shared" si="82"/>
        <v>#REF!</v>
      </c>
    </row>
    <row r="362" spans="33:53" x14ac:dyDescent="0.3">
      <c r="AG362" t="e">
        <f t="shared" si="73"/>
        <v>#REF!</v>
      </c>
      <c r="AH362" t="e">
        <f>#REF!</f>
        <v>#REF!</v>
      </c>
      <c r="AI362" t="e">
        <f>#REF!</f>
        <v>#REF!</v>
      </c>
      <c r="AJ362" s="3" t="e">
        <f>#REF!</f>
        <v>#REF!</v>
      </c>
      <c r="AK362" s="3" t="e">
        <f>#REF!</f>
        <v>#REF!</v>
      </c>
      <c r="AL362" s="3" t="e">
        <f>#REF!</f>
        <v>#REF!</v>
      </c>
      <c r="AM362" s="3" t="e">
        <f>#REF!</f>
        <v>#REF!</v>
      </c>
      <c r="AN362" s="3" t="e">
        <f>#REF!</f>
        <v>#REF!</v>
      </c>
      <c r="AO362" s="3" t="e">
        <f>#REF!</f>
        <v>#REF!</v>
      </c>
      <c r="AP362" s="9" t="e">
        <f>VLOOKUP(AG362,#REF!,10,FALSE)</f>
        <v>#REF!</v>
      </c>
      <c r="AQ362" s="8">
        <f>SUMIFS(Capacity!$G$2:$G$2820,Capacity!$B$2:$B$2820,Demand_Modeling!AG362)</f>
        <v>0</v>
      </c>
      <c r="AS362" s="2" t="e">
        <f t="shared" si="74"/>
        <v>#REF!</v>
      </c>
      <c r="AT362" s="2" t="e">
        <f t="shared" si="75"/>
        <v>#REF!</v>
      </c>
      <c r="AU362" s="2" t="e">
        <f t="shared" si="76"/>
        <v>#REF!</v>
      </c>
      <c r="AV362" s="2" t="e">
        <f t="shared" si="77"/>
        <v>#REF!</v>
      </c>
      <c r="AW362" s="2" t="e">
        <f t="shared" si="78"/>
        <v>#REF!</v>
      </c>
      <c r="AX362" s="2" t="e">
        <f t="shared" si="79"/>
        <v>#REF!</v>
      </c>
      <c r="AY362" s="2" t="e">
        <f t="shared" si="80"/>
        <v>#REF!</v>
      </c>
      <c r="AZ362" s="10">
        <f t="shared" si="81"/>
        <v>0</v>
      </c>
      <c r="BA362" s="5" t="e">
        <f t="shared" si="82"/>
        <v>#REF!</v>
      </c>
    </row>
    <row r="363" spans="33:53" x14ac:dyDescent="0.3">
      <c r="AG363" t="e">
        <f t="shared" si="73"/>
        <v>#REF!</v>
      </c>
      <c r="AH363" t="e">
        <f>#REF!</f>
        <v>#REF!</v>
      </c>
      <c r="AI363" t="e">
        <f>#REF!</f>
        <v>#REF!</v>
      </c>
      <c r="AJ363" s="3" t="e">
        <f>#REF!</f>
        <v>#REF!</v>
      </c>
      <c r="AK363" s="3" t="e">
        <f>#REF!</f>
        <v>#REF!</v>
      </c>
      <c r="AL363" s="3" t="e">
        <f>#REF!</f>
        <v>#REF!</v>
      </c>
      <c r="AM363" s="3" t="e">
        <f>#REF!</f>
        <v>#REF!</v>
      </c>
      <c r="AN363" s="3" t="e">
        <f>#REF!</f>
        <v>#REF!</v>
      </c>
      <c r="AO363" s="3" t="e">
        <f>#REF!</f>
        <v>#REF!</v>
      </c>
      <c r="AP363" s="9" t="e">
        <f>VLOOKUP(AG363,#REF!,10,FALSE)</f>
        <v>#REF!</v>
      </c>
      <c r="AQ363" s="8">
        <f>SUMIFS(Capacity!$G$2:$G$2820,Capacity!$B$2:$B$2820,Demand_Modeling!AG363)</f>
        <v>0</v>
      </c>
      <c r="AS363" s="2" t="e">
        <f t="shared" si="74"/>
        <v>#REF!</v>
      </c>
      <c r="AT363" s="2" t="e">
        <f t="shared" si="75"/>
        <v>#REF!</v>
      </c>
      <c r="AU363" s="2" t="e">
        <f t="shared" si="76"/>
        <v>#REF!</v>
      </c>
      <c r="AV363" s="2" t="e">
        <f t="shared" si="77"/>
        <v>#REF!</v>
      </c>
      <c r="AW363" s="2" t="e">
        <f t="shared" si="78"/>
        <v>#REF!</v>
      </c>
      <c r="AX363" s="2" t="e">
        <f t="shared" si="79"/>
        <v>#REF!</v>
      </c>
      <c r="AY363" s="2" t="e">
        <f t="shared" si="80"/>
        <v>#REF!</v>
      </c>
      <c r="AZ363" s="10">
        <f t="shared" si="81"/>
        <v>0</v>
      </c>
      <c r="BA363" s="5" t="e">
        <f t="shared" si="82"/>
        <v>#REF!</v>
      </c>
    </row>
    <row r="364" spans="33:53" x14ac:dyDescent="0.3">
      <c r="AG364" t="e">
        <f t="shared" si="73"/>
        <v>#REF!</v>
      </c>
      <c r="AH364" t="e">
        <f>#REF!</f>
        <v>#REF!</v>
      </c>
      <c r="AI364" t="e">
        <f>#REF!</f>
        <v>#REF!</v>
      </c>
      <c r="AJ364" s="3" t="e">
        <f>#REF!</f>
        <v>#REF!</v>
      </c>
      <c r="AK364" s="3" t="e">
        <f>#REF!</f>
        <v>#REF!</v>
      </c>
      <c r="AL364" s="3" t="e">
        <f>#REF!</f>
        <v>#REF!</v>
      </c>
      <c r="AM364" s="3" t="e">
        <f>#REF!</f>
        <v>#REF!</v>
      </c>
      <c r="AN364" s="3" t="e">
        <f>#REF!</f>
        <v>#REF!</v>
      </c>
      <c r="AO364" s="3" t="e">
        <f>#REF!</f>
        <v>#REF!</v>
      </c>
      <c r="AP364" s="9" t="e">
        <f>VLOOKUP(AG364,#REF!,10,FALSE)</f>
        <v>#REF!</v>
      </c>
      <c r="AQ364" s="8">
        <f>SUMIFS(Capacity!$G$2:$G$2820,Capacity!$B$2:$B$2820,Demand_Modeling!AG364)</f>
        <v>0</v>
      </c>
      <c r="AS364" s="2" t="e">
        <f t="shared" si="74"/>
        <v>#REF!</v>
      </c>
      <c r="AT364" s="2" t="e">
        <f t="shared" si="75"/>
        <v>#REF!</v>
      </c>
      <c r="AU364" s="2" t="e">
        <f t="shared" si="76"/>
        <v>#REF!</v>
      </c>
      <c r="AV364" s="2" t="e">
        <f t="shared" si="77"/>
        <v>#REF!</v>
      </c>
      <c r="AW364" s="2" t="e">
        <f t="shared" si="78"/>
        <v>#REF!</v>
      </c>
      <c r="AX364" s="2" t="e">
        <f t="shared" si="79"/>
        <v>#REF!</v>
      </c>
      <c r="AY364" s="2" t="e">
        <f t="shared" si="80"/>
        <v>#REF!</v>
      </c>
      <c r="AZ364" s="10">
        <f t="shared" si="81"/>
        <v>0</v>
      </c>
      <c r="BA364" s="5" t="e">
        <f t="shared" si="82"/>
        <v>#REF!</v>
      </c>
    </row>
    <row r="365" spans="33:53" x14ac:dyDescent="0.3">
      <c r="AG365" t="e">
        <f t="shared" si="73"/>
        <v>#REF!</v>
      </c>
      <c r="AH365" t="e">
        <f>#REF!</f>
        <v>#REF!</v>
      </c>
      <c r="AI365" t="e">
        <f>#REF!</f>
        <v>#REF!</v>
      </c>
      <c r="AJ365" s="3" t="e">
        <f>#REF!</f>
        <v>#REF!</v>
      </c>
      <c r="AK365" s="3" t="e">
        <f>#REF!</f>
        <v>#REF!</v>
      </c>
      <c r="AL365" s="3" t="e">
        <f>#REF!</f>
        <v>#REF!</v>
      </c>
      <c r="AM365" s="3" t="e">
        <f>#REF!</f>
        <v>#REF!</v>
      </c>
      <c r="AN365" s="3" t="e">
        <f>#REF!</f>
        <v>#REF!</v>
      </c>
      <c r="AO365" s="3" t="e">
        <f>#REF!</f>
        <v>#REF!</v>
      </c>
      <c r="AP365" s="9" t="e">
        <f>VLOOKUP(AG365,#REF!,10,FALSE)</f>
        <v>#REF!</v>
      </c>
      <c r="AQ365" s="8">
        <f>SUMIFS(Capacity!$G$2:$G$2820,Capacity!$B$2:$B$2820,Demand_Modeling!AG365)</f>
        <v>0</v>
      </c>
      <c r="AS365" s="2" t="e">
        <f t="shared" si="74"/>
        <v>#REF!</v>
      </c>
      <c r="AT365" s="2" t="e">
        <f t="shared" si="75"/>
        <v>#REF!</v>
      </c>
      <c r="AU365" s="2" t="e">
        <f t="shared" si="76"/>
        <v>#REF!</v>
      </c>
      <c r="AV365" s="2" t="e">
        <f t="shared" si="77"/>
        <v>#REF!</v>
      </c>
      <c r="AW365" s="2" t="e">
        <f t="shared" si="78"/>
        <v>#REF!</v>
      </c>
      <c r="AX365" s="2" t="e">
        <f t="shared" si="79"/>
        <v>#REF!</v>
      </c>
      <c r="AY365" s="2" t="e">
        <f t="shared" si="80"/>
        <v>#REF!</v>
      </c>
      <c r="AZ365" s="10">
        <f t="shared" si="81"/>
        <v>0</v>
      </c>
      <c r="BA365" s="5" t="e">
        <f t="shared" si="82"/>
        <v>#REF!</v>
      </c>
    </row>
    <row r="366" spans="33:53" x14ac:dyDescent="0.3">
      <c r="AG366" t="e">
        <f t="shared" si="73"/>
        <v>#REF!</v>
      </c>
      <c r="AH366" t="e">
        <f>#REF!</f>
        <v>#REF!</v>
      </c>
      <c r="AI366" t="e">
        <f>#REF!</f>
        <v>#REF!</v>
      </c>
      <c r="AJ366" s="3" t="e">
        <f>#REF!</f>
        <v>#REF!</v>
      </c>
      <c r="AK366" s="3" t="e">
        <f>#REF!</f>
        <v>#REF!</v>
      </c>
      <c r="AL366" s="3" t="e">
        <f>#REF!</f>
        <v>#REF!</v>
      </c>
      <c r="AM366" s="3" t="e">
        <f>#REF!</f>
        <v>#REF!</v>
      </c>
      <c r="AN366" s="3" t="e">
        <f>#REF!</f>
        <v>#REF!</v>
      </c>
      <c r="AO366" s="3" t="e">
        <f>#REF!</f>
        <v>#REF!</v>
      </c>
      <c r="AP366" s="9" t="e">
        <f>VLOOKUP(AG366,#REF!,10,FALSE)</f>
        <v>#REF!</v>
      </c>
      <c r="AQ366" s="8">
        <f>SUMIFS(Capacity!$G$2:$G$2820,Capacity!$B$2:$B$2820,Demand_Modeling!AG366)</f>
        <v>0</v>
      </c>
      <c r="AS366" s="2" t="e">
        <f t="shared" si="74"/>
        <v>#REF!</v>
      </c>
      <c r="AT366" s="2" t="e">
        <f t="shared" si="75"/>
        <v>#REF!</v>
      </c>
      <c r="AU366" s="2" t="e">
        <f t="shared" si="76"/>
        <v>#REF!</v>
      </c>
      <c r="AV366" s="2" t="e">
        <f t="shared" si="77"/>
        <v>#REF!</v>
      </c>
      <c r="AW366" s="2" t="e">
        <f t="shared" si="78"/>
        <v>#REF!</v>
      </c>
      <c r="AX366" s="2" t="e">
        <f t="shared" si="79"/>
        <v>#REF!</v>
      </c>
      <c r="AY366" s="2" t="e">
        <f t="shared" si="80"/>
        <v>#REF!</v>
      </c>
      <c r="AZ366" s="10">
        <f t="shared" si="81"/>
        <v>0</v>
      </c>
      <c r="BA366" s="5" t="e">
        <f t="shared" si="82"/>
        <v>#REF!</v>
      </c>
    </row>
    <row r="367" spans="33:53" x14ac:dyDescent="0.3">
      <c r="AG367" t="e">
        <f t="shared" si="73"/>
        <v>#REF!</v>
      </c>
      <c r="AH367" t="e">
        <f>#REF!</f>
        <v>#REF!</v>
      </c>
      <c r="AI367" t="e">
        <f>#REF!</f>
        <v>#REF!</v>
      </c>
      <c r="AJ367" s="3" t="e">
        <f>#REF!</f>
        <v>#REF!</v>
      </c>
      <c r="AK367" s="3" t="e">
        <f>#REF!</f>
        <v>#REF!</v>
      </c>
      <c r="AL367" s="3" t="e">
        <f>#REF!</f>
        <v>#REF!</v>
      </c>
      <c r="AM367" s="3" t="e">
        <f>#REF!</f>
        <v>#REF!</v>
      </c>
      <c r="AN367" s="3" t="e">
        <f>#REF!</f>
        <v>#REF!</v>
      </c>
      <c r="AO367" s="3" t="e">
        <f>#REF!</f>
        <v>#REF!</v>
      </c>
      <c r="AP367" s="9" t="e">
        <f>VLOOKUP(AG367,#REF!,10,FALSE)</f>
        <v>#REF!</v>
      </c>
      <c r="AQ367" s="8">
        <f>SUMIFS(Capacity!$G$2:$G$2820,Capacity!$B$2:$B$2820,Demand_Modeling!AG367)</f>
        <v>0</v>
      </c>
      <c r="AS367" s="2" t="e">
        <f t="shared" si="74"/>
        <v>#REF!</v>
      </c>
      <c r="AT367" s="2" t="e">
        <f t="shared" si="75"/>
        <v>#REF!</v>
      </c>
      <c r="AU367" s="2" t="e">
        <f t="shared" si="76"/>
        <v>#REF!</v>
      </c>
      <c r="AV367" s="2" t="e">
        <f t="shared" si="77"/>
        <v>#REF!</v>
      </c>
      <c r="AW367" s="2" t="e">
        <f t="shared" si="78"/>
        <v>#REF!</v>
      </c>
      <c r="AX367" s="2" t="e">
        <f t="shared" si="79"/>
        <v>#REF!</v>
      </c>
      <c r="AY367" s="2" t="e">
        <f t="shared" si="80"/>
        <v>#REF!</v>
      </c>
      <c r="AZ367" s="10">
        <f t="shared" si="81"/>
        <v>0</v>
      </c>
      <c r="BA367" s="5" t="e">
        <f t="shared" si="82"/>
        <v>#REF!</v>
      </c>
    </row>
    <row r="368" spans="33:53" x14ac:dyDescent="0.3">
      <c r="AG368" t="e">
        <f t="shared" si="73"/>
        <v>#REF!</v>
      </c>
      <c r="AH368" t="e">
        <f>#REF!</f>
        <v>#REF!</v>
      </c>
      <c r="AI368" t="e">
        <f>#REF!</f>
        <v>#REF!</v>
      </c>
      <c r="AJ368" s="3" t="e">
        <f>#REF!</f>
        <v>#REF!</v>
      </c>
      <c r="AK368" s="3" t="e">
        <f>#REF!</f>
        <v>#REF!</v>
      </c>
      <c r="AL368" s="3" t="e">
        <f>#REF!</f>
        <v>#REF!</v>
      </c>
      <c r="AM368" s="3" t="e">
        <f>#REF!</f>
        <v>#REF!</v>
      </c>
      <c r="AN368" s="3" t="e">
        <f>#REF!</f>
        <v>#REF!</v>
      </c>
      <c r="AO368" s="3" t="e">
        <f>#REF!</f>
        <v>#REF!</v>
      </c>
      <c r="AP368" s="9" t="e">
        <f>VLOOKUP(AG368,#REF!,10,FALSE)</f>
        <v>#REF!</v>
      </c>
      <c r="AQ368" s="8">
        <f>SUMIFS(Capacity!$G$2:$G$2820,Capacity!$B$2:$B$2820,Demand_Modeling!AG368)</f>
        <v>0</v>
      </c>
      <c r="AS368" s="2" t="e">
        <f t="shared" si="74"/>
        <v>#REF!</v>
      </c>
      <c r="AT368" s="2" t="e">
        <f t="shared" si="75"/>
        <v>#REF!</v>
      </c>
      <c r="AU368" s="2" t="e">
        <f t="shared" si="76"/>
        <v>#REF!</v>
      </c>
      <c r="AV368" s="2" t="e">
        <f t="shared" si="77"/>
        <v>#REF!</v>
      </c>
      <c r="AW368" s="2" t="e">
        <f t="shared" si="78"/>
        <v>#REF!</v>
      </c>
      <c r="AX368" s="2" t="e">
        <f t="shared" si="79"/>
        <v>#REF!</v>
      </c>
      <c r="AY368" s="2" t="e">
        <f t="shared" si="80"/>
        <v>#REF!</v>
      </c>
      <c r="AZ368" s="10">
        <f t="shared" si="81"/>
        <v>0</v>
      </c>
      <c r="BA368" s="5" t="e">
        <f t="shared" si="82"/>
        <v>#REF!</v>
      </c>
    </row>
    <row r="369" spans="33:53" x14ac:dyDescent="0.3">
      <c r="AG369" t="e">
        <f t="shared" si="73"/>
        <v>#REF!</v>
      </c>
      <c r="AH369" t="e">
        <f>#REF!</f>
        <v>#REF!</v>
      </c>
      <c r="AI369" t="e">
        <f>#REF!</f>
        <v>#REF!</v>
      </c>
      <c r="AJ369" s="3" t="e">
        <f>#REF!</f>
        <v>#REF!</v>
      </c>
      <c r="AK369" s="3" t="e">
        <f>#REF!</f>
        <v>#REF!</v>
      </c>
      <c r="AL369" s="3" t="e">
        <f>#REF!</f>
        <v>#REF!</v>
      </c>
      <c r="AM369" s="3" t="e">
        <f>#REF!</f>
        <v>#REF!</v>
      </c>
      <c r="AN369" s="3" t="e">
        <f>#REF!</f>
        <v>#REF!</v>
      </c>
      <c r="AO369" s="3" t="e">
        <f>#REF!</f>
        <v>#REF!</v>
      </c>
      <c r="AP369" s="9" t="e">
        <f>VLOOKUP(AG369,#REF!,10,FALSE)</f>
        <v>#REF!</v>
      </c>
      <c r="AQ369" s="8">
        <f>SUMIFS(Capacity!$G$2:$G$2820,Capacity!$B$2:$B$2820,Demand_Modeling!AG369)</f>
        <v>0</v>
      </c>
      <c r="AS369" s="2" t="e">
        <f t="shared" si="74"/>
        <v>#REF!</v>
      </c>
      <c r="AT369" s="2" t="e">
        <f t="shared" si="75"/>
        <v>#REF!</v>
      </c>
      <c r="AU369" s="2" t="e">
        <f t="shared" si="76"/>
        <v>#REF!</v>
      </c>
      <c r="AV369" s="2" t="e">
        <f t="shared" si="77"/>
        <v>#REF!</v>
      </c>
      <c r="AW369" s="2" t="e">
        <f t="shared" si="78"/>
        <v>#REF!</v>
      </c>
      <c r="AX369" s="2" t="e">
        <f t="shared" si="79"/>
        <v>#REF!</v>
      </c>
      <c r="AY369" s="2" t="e">
        <f t="shared" si="80"/>
        <v>#REF!</v>
      </c>
      <c r="AZ369" s="10">
        <f t="shared" si="81"/>
        <v>0</v>
      </c>
      <c r="BA369" s="5" t="e">
        <f t="shared" si="82"/>
        <v>#REF!</v>
      </c>
    </row>
    <row r="370" spans="33:53" x14ac:dyDescent="0.3">
      <c r="AG370" t="e">
        <f t="shared" si="73"/>
        <v>#REF!</v>
      </c>
      <c r="AH370" t="e">
        <f>#REF!</f>
        <v>#REF!</v>
      </c>
      <c r="AI370" t="e">
        <f>#REF!</f>
        <v>#REF!</v>
      </c>
      <c r="AJ370" s="3" t="e">
        <f>#REF!</f>
        <v>#REF!</v>
      </c>
      <c r="AK370" s="3" t="e">
        <f>#REF!</f>
        <v>#REF!</v>
      </c>
      <c r="AL370" s="3" t="e">
        <f>#REF!</f>
        <v>#REF!</v>
      </c>
      <c r="AM370" s="3" t="e">
        <f>#REF!</f>
        <v>#REF!</v>
      </c>
      <c r="AN370" s="3" t="e">
        <f>#REF!</f>
        <v>#REF!</v>
      </c>
      <c r="AO370" s="3" t="e">
        <f>#REF!</f>
        <v>#REF!</v>
      </c>
      <c r="AP370" s="9" t="e">
        <f>VLOOKUP(AG370,#REF!,10,FALSE)</f>
        <v>#REF!</v>
      </c>
      <c r="AQ370" s="8">
        <f>SUMIFS(Capacity!$G$2:$G$2820,Capacity!$B$2:$B$2820,Demand_Modeling!AG370)</f>
        <v>0</v>
      </c>
      <c r="AS370" s="2" t="e">
        <f t="shared" si="74"/>
        <v>#REF!</v>
      </c>
      <c r="AT370" s="2" t="e">
        <f t="shared" si="75"/>
        <v>#REF!</v>
      </c>
      <c r="AU370" s="2" t="e">
        <f t="shared" si="76"/>
        <v>#REF!</v>
      </c>
      <c r="AV370" s="2" t="e">
        <f t="shared" si="77"/>
        <v>#REF!</v>
      </c>
      <c r="AW370" s="2" t="e">
        <f t="shared" si="78"/>
        <v>#REF!</v>
      </c>
      <c r="AX370" s="2" t="e">
        <f t="shared" si="79"/>
        <v>#REF!</v>
      </c>
      <c r="AY370" s="2" t="e">
        <f t="shared" si="80"/>
        <v>#REF!</v>
      </c>
      <c r="AZ370" s="10">
        <f t="shared" si="81"/>
        <v>0</v>
      </c>
      <c r="BA370" s="5" t="e">
        <f t="shared" si="82"/>
        <v>#REF!</v>
      </c>
    </row>
    <row r="371" spans="33:53" x14ac:dyDescent="0.3">
      <c r="AG371" t="e">
        <f t="shared" si="73"/>
        <v>#REF!</v>
      </c>
      <c r="AH371" t="e">
        <f>#REF!</f>
        <v>#REF!</v>
      </c>
      <c r="AI371" t="e">
        <f>#REF!</f>
        <v>#REF!</v>
      </c>
      <c r="AJ371" s="3" t="e">
        <f>#REF!</f>
        <v>#REF!</v>
      </c>
      <c r="AK371" s="3" t="e">
        <f>#REF!</f>
        <v>#REF!</v>
      </c>
      <c r="AL371" s="3" t="e">
        <f>#REF!</f>
        <v>#REF!</v>
      </c>
      <c r="AM371" s="3" t="e">
        <f>#REF!</f>
        <v>#REF!</v>
      </c>
      <c r="AN371" s="3" t="e">
        <f>#REF!</f>
        <v>#REF!</v>
      </c>
      <c r="AO371" s="3" t="e">
        <f>#REF!</f>
        <v>#REF!</v>
      </c>
      <c r="AP371" s="9" t="e">
        <f>VLOOKUP(AG371,#REF!,10,FALSE)</f>
        <v>#REF!</v>
      </c>
      <c r="AQ371" s="8">
        <f>SUMIFS(Capacity!$G$2:$G$2820,Capacity!$B$2:$B$2820,Demand_Modeling!AG371)</f>
        <v>0</v>
      </c>
      <c r="AS371" s="2" t="e">
        <f t="shared" si="74"/>
        <v>#REF!</v>
      </c>
      <c r="AT371" s="2" t="e">
        <f t="shared" si="75"/>
        <v>#REF!</v>
      </c>
      <c r="AU371" s="2" t="e">
        <f t="shared" si="76"/>
        <v>#REF!</v>
      </c>
      <c r="AV371" s="2" t="e">
        <f t="shared" si="77"/>
        <v>#REF!</v>
      </c>
      <c r="AW371" s="2" t="e">
        <f t="shared" si="78"/>
        <v>#REF!</v>
      </c>
      <c r="AX371" s="2" t="e">
        <f t="shared" si="79"/>
        <v>#REF!</v>
      </c>
      <c r="AY371" s="2" t="e">
        <f t="shared" si="80"/>
        <v>#REF!</v>
      </c>
      <c r="AZ371" s="10">
        <f t="shared" si="81"/>
        <v>0</v>
      </c>
      <c r="BA371" s="5" t="e">
        <f t="shared" si="82"/>
        <v>#REF!</v>
      </c>
    </row>
    <row r="372" spans="33:53" x14ac:dyDescent="0.3">
      <c r="AG372" t="e">
        <f t="shared" si="73"/>
        <v>#REF!</v>
      </c>
      <c r="AH372" t="e">
        <f>#REF!</f>
        <v>#REF!</v>
      </c>
      <c r="AI372" t="e">
        <f>#REF!</f>
        <v>#REF!</v>
      </c>
      <c r="AJ372" s="3" t="e">
        <f>#REF!</f>
        <v>#REF!</v>
      </c>
      <c r="AK372" s="3" t="e">
        <f>#REF!</f>
        <v>#REF!</v>
      </c>
      <c r="AL372" s="3" t="e">
        <f>#REF!</f>
        <v>#REF!</v>
      </c>
      <c r="AM372" s="3" t="e">
        <f>#REF!</f>
        <v>#REF!</v>
      </c>
      <c r="AN372" s="3" t="e">
        <f>#REF!</f>
        <v>#REF!</v>
      </c>
      <c r="AO372" s="3" t="e">
        <f>#REF!</f>
        <v>#REF!</v>
      </c>
      <c r="AP372" s="9" t="e">
        <f>VLOOKUP(AG372,#REF!,10,FALSE)</f>
        <v>#REF!</v>
      </c>
      <c r="AQ372" s="8">
        <f>SUMIFS(Capacity!$G$2:$G$2820,Capacity!$B$2:$B$2820,Demand_Modeling!AG372)</f>
        <v>0</v>
      </c>
      <c r="AS372" s="2" t="e">
        <f t="shared" si="74"/>
        <v>#REF!</v>
      </c>
      <c r="AT372" s="2" t="e">
        <f t="shared" si="75"/>
        <v>#REF!</v>
      </c>
      <c r="AU372" s="2" t="e">
        <f t="shared" si="76"/>
        <v>#REF!</v>
      </c>
      <c r="AV372" s="2" t="e">
        <f t="shared" si="77"/>
        <v>#REF!</v>
      </c>
      <c r="AW372" s="2" t="e">
        <f t="shared" si="78"/>
        <v>#REF!</v>
      </c>
      <c r="AX372" s="2" t="e">
        <f t="shared" si="79"/>
        <v>#REF!</v>
      </c>
      <c r="AY372" s="2" t="e">
        <f t="shared" si="80"/>
        <v>#REF!</v>
      </c>
      <c r="AZ372" s="10">
        <f t="shared" si="81"/>
        <v>0</v>
      </c>
      <c r="BA372" s="5" t="e">
        <f t="shared" si="82"/>
        <v>#REF!</v>
      </c>
    </row>
    <row r="373" spans="33:53" x14ac:dyDescent="0.3">
      <c r="AG373" t="e">
        <f t="shared" si="73"/>
        <v>#REF!</v>
      </c>
      <c r="AH373" t="e">
        <f>#REF!</f>
        <v>#REF!</v>
      </c>
      <c r="AI373" t="e">
        <f>#REF!</f>
        <v>#REF!</v>
      </c>
      <c r="AJ373" s="3" t="e">
        <f>#REF!</f>
        <v>#REF!</v>
      </c>
      <c r="AK373" s="3" t="e">
        <f>#REF!</f>
        <v>#REF!</v>
      </c>
      <c r="AL373" s="3" t="e">
        <f>#REF!</f>
        <v>#REF!</v>
      </c>
      <c r="AM373" s="3" t="e">
        <f>#REF!</f>
        <v>#REF!</v>
      </c>
      <c r="AN373" s="3" t="e">
        <f>#REF!</f>
        <v>#REF!</v>
      </c>
      <c r="AO373" s="3" t="e">
        <f>#REF!</f>
        <v>#REF!</v>
      </c>
      <c r="AP373" s="9" t="e">
        <f>VLOOKUP(AG373,#REF!,10,FALSE)</f>
        <v>#REF!</v>
      </c>
      <c r="AQ373" s="8">
        <f>SUMIFS(Capacity!$G$2:$G$2820,Capacity!$B$2:$B$2820,Demand_Modeling!AG373)</f>
        <v>0</v>
      </c>
      <c r="AS373" s="2" t="e">
        <f t="shared" si="74"/>
        <v>#REF!</v>
      </c>
      <c r="AT373" s="2" t="e">
        <f t="shared" si="75"/>
        <v>#REF!</v>
      </c>
      <c r="AU373" s="2" t="e">
        <f t="shared" si="76"/>
        <v>#REF!</v>
      </c>
      <c r="AV373" s="2" t="e">
        <f t="shared" si="77"/>
        <v>#REF!</v>
      </c>
      <c r="AW373" s="2" t="e">
        <f t="shared" si="78"/>
        <v>#REF!</v>
      </c>
      <c r="AX373" s="2" t="e">
        <f t="shared" si="79"/>
        <v>#REF!</v>
      </c>
      <c r="AY373" s="2" t="e">
        <f t="shared" si="80"/>
        <v>#REF!</v>
      </c>
      <c r="AZ373" s="10">
        <f t="shared" si="81"/>
        <v>0</v>
      </c>
      <c r="BA373" s="5" t="e">
        <f t="shared" si="82"/>
        <v>#REF!</v>
      </c>
    </row>
    <row r="374" spans="33:53" x14ac:dyDescent="0.3">
      <c r="AG374" t="e">
        <f t="shared" si="73"/>
        <v>#REF!</v>
      </c>
      <c r="AH374" t="e">
        <f>#REF!</f>
        <v>#REF!</v>
      </c>
      <c r="AI374" t="e">
        <f>#REF!</f>
        <v>#REF!</v>
      </c>
      <c r="AJ374" s="3" t="e">
        <f>#REF!</f>
        <v>#REF!</v>
      </c>
      <c r="AK374" s="3" t="e">
        <f>#REF!</f>
        <v>#REF!</v>
      </c>
      <c r="AL374" s="3" t="e">
        <f>#REF!</f>
        <v>#REF!</v>
      </c>
      <c r="AM374" s="3" t="e">
        <f>#REF!</f>
        <v>#REF!</v>
      </c>
      <c r="AN374" s="3" t="e">
        <f>#REF!</f>
        <v>#REF!</v>
      </c>
      <c r="AO374" s="3" t="e">
        <f>#REF!</f>
        <v>#REF!</v>
      </c>
      <c r="AP374" s="9" t="e">
        <f>VLOOKUP(AG374,#REF!,10,FALSE)</f>
        <v>#REF!</v>
      </c>
      <c r="AQ374" s="8">
        <f>SUMIFS(Capacity!$G$2:$G$2820,Capacity!$B$2:$B$2820,Demand_Modeling!AG374)</f>
        <v>0</v>
      </c>
      <c r="AS374" s="2" t="e">
        <f t="shared" si="74"/>
        <v>#REF!</v>
      </c>
      <c r="AT374" s="2" t="e">
        <f t="shared" si="75"/>
        <v>#REF!</v>
      </c>
      <c r="AU374" s="2" t="e">
        <f t="shared" si="76"/>
        <v>#REF!</v>
      </c>
      <c r="AV374" s="2" t="e">
        <f t="shared" si="77"/>
        <v>#REF!</v>
      </c>
      <c r="AW374" s="2" t="e">
        <f t="shared" si="78"/>
        <v>#REF!</v>
      </c>
      <c r="AX374" s="2" t="e">
        <f t="shared" si="79"/>
        <v>#REF!</v>
      </c>
      <c r="AY374" s="2" t="e">
        <f t="shared" si="80"/>
        <v>#REF!</v>
      </c>
      <c r="AZ374" s="10">
        <f t="shared" si="81"/>
        <v>0</v>
      </c>
      <c r="BA374" s="5" t="e">
        <f t="shared" si="82"/>
        <v>#REF!</v>
      </c>
    </row>
    <row r="375" spans="33:53" x14ac:dyDescent="0.3">
      <c r="AG375" t="e">
        <f t="shared" si="73"/>
        <v>#REF!</v>
      </c>
      <c r="AH375" t="e">
        <f>#REF!</f>
        <v>#REF!</v>
      </c>
      <c r="AI375" t="e">
        <f>#REF!</f>
        <v>#REF!</v>
      </c>
      <c r="AJ375" s="3" t="e">
        <f>#REF!</f>
        <v>#REF!</v>
      </c>
      <c r="AK375" s="3" t="e">
        <f>#REF!</f>
        <v>#REF!</v>
      </c>
      <c r="AL375" s="3" t="e">
        <f>#REF!</f>
        <v>#REF!</v>
      </c>
      <c r="AM375" s="3" t="e">
        <f>#REF!</f>
        <v>#REF!</v>
      </c>
      <c r="AN375" s="3" t="e">
        <f>#REF!</f>
        <v>#REF!</v>
      </c>
      <c r="AO375" s="3" t="e">
        <f>#REF!</f>
        <v>#REF!</v>
      </c>
      <c r="AP375" s="9" t="e">
        <f>VLOOKUP(AG375,#REF!,10,FALSE)</f>
        <v>#REF!</v>
      </c>
      <c r="AQ375" s="8">
        <f>SUMIFS(Capacity!$G$2:$G$2820,Capacity!$B$2:$B$2820,Demand_Modeling!AG375)</f>
        <v>0</v>
      </c>
      <c r="AS375" s="2" t="e">
        <f t="shared" si="74"/>
        <v>#REF!</v>
      </c>
      <c r="AT375" s="2" t="e">
        <f t="shared" si="75"/>
        <v>#REF!</v>
      </c>
      <c r="AU375" s="2" t="e">
        <f t="shared" si="76"/>
        <v>#REF!</v>
      </c>
      <c r="AV375" s="2" t="e">
        <f t="shared" si="77"/>
        <v>#REF!</v>
      </c>
      <c r="AW375" s="2" t="e">
        <f t="shared" si="78"/>
        <v>#REF!</v>
      </c>
      <c r="AX375" s="2" t="e">
        <f t="shared" si="79"/>
        <v>#REF!</v>
      </c>
      <c r="AY375" s="2" t="e">
        <f t="shared" si="80"/>
        <v>#REF!</v>
      </c>
      <c r="AZ375" s="10">
        <f t="shared" si="81"/>
        <v>0</v>
      </c>
      <c r="BA375" s="5" t="e">
        <f t="shared" si="82"/>
        <v>#REF!</v>
      </c>
    </row>
    <row r="376" spans="33:53" x14ac:dyDescent="0.3">
      <c r="AG376" t="e">
        <f t="shared" si="73"/>
        <v>#REF!</v>
      </c>
      <c r="AH376" t="e">
        <f>#REF!</f>
        <v>#REF!</v>
      </c>
      <c r="AI376" t="e">
        <f>#REF!</f>
        <v>#REF!</v>
      </c>
      <c r="AJ376" s="3" t="e">
        <f>#REF!</f>
        <v>#REF!</v>
      </c>
      <c r="AK376" s="3" t="e">
        <f>#REF!</f>
        <v>#REF!</v>
      </c>
      <c r="AL376" s="3" t="e">
        <f>#REF!</f>
        <v>#REF!</v>
      </c>
      <c r="AM376" s="3" t="e">
        <f>#REF!</f>
        <v>#REF!</v>
      </c>
      <c r="AN376" s="3" t="e">
        <f>#REF!</f>
        <v>#REF!</v>
      </c>
      <c r="AO376" s="3" t="e">
        <f>#REF!</f>
        <v>#REF!</v>
      </c>
      <c r="AP376" s="9" t="e">
        <f>VLOOKUP(AG376,#REF!,10,FALSE)</f>
        <v>#REF!</v>
      </c>
      <c r="AQ376" s="8">
        <f>SUMIFS(Capacity!$G$2:$G$2820,Capacity!$B$2:$B$2820,Demand_Modeling!AG376)</f>
        <v>0</v>
      </c>
      <c r="AS376" s="2" t="e">
        <f t="shared" si="74"/>
        <v>#REF!</v>
      </c>
      <c r="AT376" s="2" t="e">
        <f t="shared" si="75"/>
        <v>#REF!</v>
      </c>
      <c r="AU376" s="2" t="e">
        <f t="shared" si="76"/>
        <v>#REF!</v>
      </c>
      <c r="AV376" s="2" t="e">
        <f t="shared" si="77"/>
        <v>#REF!</v>
      </c>
      <c r="AW376" s="2" t="e">
        <f t="shared" si="78"/>
        <v>#REF!</v>
      </c>
      <c r="AX376" s="2" t="e">
        <f t="shared" si="79"/>
        <v>#REF!</v>
      </c>
      <c r="AY376" s="2" t="e">
        <f t="shared" si="80"/>
        <v>#REF!</v>
      </c>
      <c r="AZ376" s="10">
        <f t="shared" si="81"/>
        <v>0</v>
      </c>
      <c r="BA376" s="5" t="e">
        <f t="shared" si="82"/>
        <v>#REF!</v>
      </c>
    </row>
    <row r="377" spans="33:53" x14ac:dyDescent="0.3">
      <c r="AG377" t="e">
        <f t="shared" si="73"/>
        <v>#REF!</v>
      </c>
      <c r="AH377" t="e">
        <f>#REF!</f>
        <v>#REF!</v>
      </c>
      <c r="AI377" t="e">
        <f>#REF!</f>
        <v>#REF!</v>
      </c>
      <c r="AJ377" s="3" t="e">
        <f>#REF!</f>
        <v>#REF!</v>
      </c>
      <c r="AK377" s="3" t="e">
        <f>#REF!</f>
        <v>#REF!</v>
      </c>
      <c r="AL377" s="3" t="e">
        <f>#REF!</f>
        <v>#REF!</v>
      </c>
      <c r="AM377" s="3" t="e">
        <f>#REF!</f>
        <v>#REF!</v>
      </c>
      <c r="AN377" s="3" t="e">
        <f>#REF!</f>
        <v>#REF!</v>
      </c>
      <c r="AO377" s="3" t="e">
        <f>#REF!</f>
        <v>#REF!</v>
      </c>
      <c r="AP377" s="9" t="e">
        <f>VLOOKUP(AG377,#REF!,10,FALSE)</f>
        <v>#REF!</v>
      </c>
      <c r="AQ377" s="8">
        <f>SUMIFS(Capacity!$G$2:$G$2820,Capacity!$B$2:$B$2820,Demand_Modeling!AG377)</f>
        <v>0</v>
      </c>
      <c r="AS377" s="2" t="e">
        <f t="shared" si="74"/>
        <v>#REF!</v>
      </c>
      <c r="AT377" s="2" t="e">
        <f t="shared" si="75"/>
        <v>#REF!</v>
      </c>
      <c r="AU377" s="2" t="e">
        <f t="shared" si="76"/>
        <v>#REF!</v>
      </c>
      <c r="AV377" s="2" t="e">
        <f t="shared" si="77"/>
        <v>#REF!</v>
      </c>
      <c r="AW377" s="2" t="e">
        <f t="shared" si="78"/>
        <v>#REF!</v>
      </c>
      <c r="AX377" s="2" t="e">
        <f t="shared" si="79"/>
        <v>#REF!</v>
      </c>
      <c r="AY377" s="2" t="e">
        <f t="shared" si="80"/>
        <v>#REF!</v>
      </c>
      <c r="AZ377" s="10">
        <f t="shared" si="81"/>
        <v>0</v>
      </c>
      <c r="BA377" s="5" t="e">
        <f t="shared" si="82"/>
        <v>#REF!</v>
      </c>
    </row>
    <row r="378" spans="33:53" x14ac:dyDescent="0.3">
      <c r="AG378" t="e">
        <f t="shared" si="73"/>
        <v>#REF!</v>
      </c>
      <c r="AH378" t="e">
        <f>#REF!</f>
        <v>#REF!</v>
      </c>
      <c r="AI378" t="e">
        <f>#REF!</f>
        <v>#REF!</v>
      </c>
      <c r="AJ378" s="3" t="e">
        <f>#REF!</f>
        <v>#REF!</v>
      </c>
      <c r="AK378" s="3" t="e">
        <f>#REF!</f>
        <v>#REF!</v>
      </c>
      <c r="AL378" s="3" t="e">
        <f>#REF!</f>
        <v>#REF!</v>
      </c>
      <c r="AM378" s="3" t="e">
        <f>#REF!</f>
        <v>#REF!</v>
      </c>
      <c r="AN378" s="3" t="e">
        <f>#REF!</f>
        <v>#REF!</v>
      </c>
      <c r="AO378" s="3" t="e">
        <f>#REF!</f>
        <v>#REF!</v>
      </c>
      <c r="AP378" s="9" t="e">
        <f>VLOOKUP(AG378,#REF!,10,FALSE)</f>
        <v>#REF!</v>
      </c>
      <c r="AQ378" s="8">
        <f>SUMIFS(Capacity!$G$2:$G$2820,Capacity!$B$2:$B$2820,Demand_Modeling!AG378)</f>
        <v>0</v>
      </c>
      <c r="AS378" s="2" t="e">
        <f t="shared" si="74"/>
        <v>#REF!</v>
      </c>
      <c r="AT378" s="2" t="e">
        <f t="shared" si="75"/>
        <v>#REF!</v>
      </c>
      <c r="AU378" s="2" t="e">
        <f t="shared" si="76"/>
        <v>#REF!</v>
      </c>
      <c r="AV378" s="2" t="e">
        <f t="shared" si="77"/>
        <v>#REF!</v>
      </c>
      <c r="AW378" s="2" t="e">
        <f t="shared" si="78"/>
        <v>#REF!</v>
      </c>
      <c r="AX378" s="2" t="e">
        <f t="shared" si="79"/>
        <v>#REF!</v>
      </c>
      <c r="AY378" s="2" t="e">
        <f t="shared" si="80"/>
        <v>#REF!</v>
      </c>
      <c r="AZ378" s="10">
        <f t="shared" si="81"/>
        <v>0</v>
      </c>
      <c r="BA378" s="5" t="e">
        <f t="shared" si="82"/>
        <v>#REF!</v>
      </c>
    </row>
    <row r="379" spans="33:53" x14ac:dyDescent="0.3">
      <c r="AG379" t="e">
        <f t="shared" si="73"/>
        <v>#REF!</v>
      </c>
      <c r="AH379" t="e">
        <f>#REF!</f>
        <v>#REF!</v>
      </c>
      <c r="AI379" t="e">
        <f>#REF!</f>
        <v>#REF!</v>
      </c>
      <c r="AJ379" s="3" t="e">
        <f>#REF!</f>
        <v>#REF!</v>
      </c>
      <c r="AK379" s="3" t="e">
        <f>#REF!</f>
        <v>#REF!</v>
      </c>
      <c r="AL379" s="3" t="e">
        <f>#REF!</f>
        <v>#REF!</v>
      </c>
      <c r="AM379" s="3" t="e">
        <f>#REF!</f>
        <v>#REF!</v>
      </c>
      <c r="AN379" s="3" t="e">
        <f>#REF!</f>
        <v>#REF!</v>
      </c>
      <c r="AO379" s="3" t="e">
        <f>#REF!</f>
        <v>#REF!</v>
      </c>
      <c r="AP379" s="9" t="e">
        <f>VLOOKUP(AG379,#REF!,10,FALSE)</f>
        <v>#REF!</v>
      </c>
      <c r="AQ379" s="8">
        <f>SUMIFS(Capacity!$G$2:$G$2820,Capacity!$B$2:$B$2820,Demand_Modeling!AG379)</f>
        <v>0</v>
      </c>
      <c r="AS379" s="2" t="e">
        <f t="shared" si="74"/>
        <v>#REF!</v>
      </c>
      <c r="AT379" s="2" t="e">
        <f t="shared" si="75"/>
        <v>#REF!</v>
      </c>
      <c r="AU379" s="2" t="e">
        <f t="shared" si="76"/>
        <v>#REF!</v>
      </c>
      <c r="AV379" s="2" t="e">
        <f t="shared" si="77"/>
        <v>#REF!</v>
      </c>
      <c r="AW379" s="2" t="e">
        <f t="shared" si="78"/>
        <v>#REF!</v>
      </c>
      <c r="AX379" s="2" t="e">
        <f t="shared" si="79"/>
        <v>#REF!</v>
      </c>
      <c r="AY379" s="2" t="e">
        <f t="shared" si="80"/>
        <v>#REF!</v>
      </c>
      <c r="AZ379" s="10">
        <f t="shared" si="81"/>
        <v>0</v>
      </c>
      <c r="BA379" s="5" t="e">
        <f t="shared" si="82"/>
        <v>#REF!</v>
      </c>
    </row>
    <row r="380" spans="33:53" x14ac:dyDescent="0.3">
      <c r="AG380" t="e">
        <f t="shared" si="73"/>
        <v>#REF!</v>
      </c>
      <c r="AH380" t="e">
        <f>#REF!</f>
        <v>#REF!</v>
      </c>
      <c r="AI380" t="e">
        <f>#REF!</f>
        <v>#REF!</v>
      </c>
      <c r="AJ380" s="3" t="e">
        <f>#REF!</f>
        <v>#REF!</v>
      </c>
      <c r="AK380" s="3" t="e">
        <f>#REF!</f>
        <v>#REF!</v>
      </c>
      <c r="AL380" s="3" t="e">
        <f>#REF!</f>
        <v>#REF!</v>
      </c>
      <c r="AM380" s="3" t="e">
        <f>#REF!</f>
        <v>#REF!</v>
      </c>
      <c r="AN380" s="3" t="e">
        <f>#REF!</f>
        <v>#REF!</v>
      </c>
      <c r="AO380" s="3" t="e">
        <f>#REF!</f>
        <v>#REF!</v>
      </c>
      <c r="AP380" s="9" t="e">
        <f>VLOOKUP(AG380,#REF!,10,FALSE)</f>
        <v>#REF!</v>
      </c>
      <c r="AQ380" s="8">
        <f>SUMIFS(Capacity!$G$2:$G$2820,Capacity!$B$2:$B$2820,Demand_Modeling!AG380)</f>
        <v>0</v>
      </c>
      <c r="AS380" s="2" t="e">
        <f t="shared" si="74"/>
        <v>#REF!</v>
      </c>
      <c r="AT380" s="2" t="e">
        <f t="shared" si="75"/>
        <v>#REF!</v>
      </c>
      <c r="AU380" s="2" t="e">
        <f t="shared" si="76"/>
        <v>#REF!</v>
      </c>
      <c r="AV380" s="2" t="e">
        <f t="shared" si="77"/>
        <v>#REF!</v>
      </c>
      <c r="AW380" s="2" t="e">
        <f t="shared" si="78"/>
        <v>#REF!</v>
      </c>
      <c r="AX380" s="2" t="e">
        <f t="shared" si="79"/>
        <v>#REF!</v>
      </c>
      <c r="AY380" s="2" t="e">
        <f t="shared" si="80"/>
        <v>#REF!</v>
      </c>
      <c r="AZ380" s="10">
        <f t="shared" si="81"/>
        <v>0</v>
      </c>
      <c r="BA380" s="5" t="e">
        <f t="shared" si="82"/>
        <v>#REF!</v>
      </c>
    </row>
    <row r="381" spans="33:53" x14ac:dyDescent="0.3">
      <c r="AG381" t="e">
        <f t="shared" si="73"/>
        <v>#REF!</v>
      </c>
      <c r="AH381" t="e">
        <f>#REF!</f>
        <v>#REF!</v>
      </c>
      <c r="AI381" t="e">
        <f>#REF!</f>
        <v>#REF!</v>
      </c>
      <c r="AJ381" s="3" t="e">
        <f>#REF!</f>
        <v>#REF!</v>
      </c>
      <c r="AK381" s="3" t="e">
        <f>#REF!</f>
        <v>#REF!</v>
      </c>
      <c r="AL381" s="3" t="e">
        <f>#REF!</f>
        <v>#REF!</v>
      </c>
      <c r="AM381" s="3" t="e">
        <f>#REF!</f>
        <v>#REF!</v>
      </c>
      <c r="AN381" s="3" t="e">
        <f>#REF!</f>
        <v>#REF!</v>
      </c>
      <c r="AO381" s="3" t="e">
        <f>#REF!</f>
        <v>#REF!</v>
      </c>
      <c r="AP381" s="9" t="e">
        <f>VLOOKUP(AG381,#REF!,10,FALSE)</f>
        <v>#REF!</v>
      </c>
      <c r="AQ381" s="8">
        <f>SUMIFS(Capacity!$G$2:$G$2820,Capacity!$B$2:$B$2820,Demand_Modeling!AG381)</f>
        <v>0</v>
      </c>
      <c r="AS381" s="2" t="e">
        <f t="shared" si="74"/>
        <v>#REF!</v>
      </c>
      <c r="AT381" s="2" t="e">
        <f t="shared" si="75"/>
        <v>#REF!</v>
      </c>
      <c r="AU381" s="2" t="e">
        <f t="shared" si="76"/>
        <v>#REF!</v>
      </c>
      <c r="AV381" s="2" t="e">
        <f t="shared" si="77"/>
        <v>#REF!</v>
      </c>
      <c r="AW381" s="2" t="e">
        <f t="shared" si="78"/>
        <v>#REF!</v>
      </c>
      <c r="AX381" s="2" t="e">
        <f t="shared" si="79"/>
        <v>#REF!</v>
      </c>
      <c r="AY381" s="2" t="e">
        <f t="shared" si="80"/>
        <v>#REF!</v>
      </c>
      <c r="AZ381" s="10">
        <f t="shared" si="81"/>
        <v>0</v>
      </c>
      <c r="BA381" s="5" t="e">
        <f t="shared" si="82"/>
        <v>#REF!</v>
      </c>
    </row>
    <row r="382" spans="33:53" x14ac:dyDescent="0.3">
      <c r="AG382" t="e">
        <f t="shared" si="73"/>
        <v>#REF!</v>
      </c>
      <c r="AH382" t="e">
        <f>#REF!</f>
        <v>#REF!</v>
      </c>
      <c r="AI382" t="e">
        <f>#REF!</f>
        <v>#REF!</v>
      </c>
      <c r="AJ382" s="3" t="e">
        <f>#REF!</f>
        <v>#REF!</v>
      </c>
      <c r="AK382" s="3" t="e">
        <f>#REF!</f>
        <v>#REF!</v>
      </c>
      <c r="AL382" s="3" t="e">
        <f>#REF!</f>
        <v>#REF!</v>
      </c>
      <c r="AM382" s="3" t="e">
        <f>#REF!</f>
        <v>#REF!</v>
      </c>
      <c r="AN382" s="3" t="e">
        <f>#REF!</f>
        <v>#REF!</v>
      </c>
      <c r="AO382" s="3" t="e">
        <f>#REF!</f>
        <v>#REF!</v>
      </c>
      <c r="AP382" s="9" t="e">
        <f>VLOOKUP(AG382,#REF!,10,FALSE)</f>
        <v>#REF!</v>
      </c>
      <c r="AQ382" s="8">
        <f>SUMIFS(Capacity!$G$2:$G$2820,Capacity!$B$2:$B$2820,Demand_Modeling!AG382)</f>
        <v>0</v>
      </c>
      <c r="AS382" s="2" t="e">
        <f t="shared" si="74"/>
        <v>#REF!</v>
      </c>
      <c r="AT382" s="2" t="e">
        <f t="shared" si="75"/>
        <v>#REF!</v>
      </c>
      <c r="AU382" s="2" t="e">
        <f t="shared" si="76"/>
        <v>#REF!</v>
      </c>
      <c r="AV382" s="2" t="e">
        <f t="shared" si="77"/>
        <v>#REF!</v>
      </c>
      <c r="AW382" s="2" t="e">
        <f t="shared" si="78"/>
        <v>#REF!</v>
      </c>
      <c r="AX382" s="2" t="e">
        <f t="shared" si="79"/>
        <v>#REF!</v>
      </c>
      <c r="AY382" s="2" t="e">
        <f t="shared" si="80"/>
        <v>#REF!</v>
      </c>
      <c r="AZ382" s="10">
        <f t="shared" si="81"/>
        <v>0</v>
      </c>
      <c r="BA382" s="5" t="e">
        <f t="shared" si="82"/>
        <v>#REF!</v>
      </c>
    </row>
    <row r="383" spans="33:53" x14ac:dyDescent="0.3">
      <c r="AG383" t="e">
        <f t="shared" si="73"/>
        <v>#REF!</v>
      </c>
      <c r="AH383" t="e">
        <f>#REF!</f>
        <v>#REF!</v>
      </c>
      <c r="AI383" t="e">
        <f>#REF!</f>
        <v>#REF!</v>
      </c>
      <c r="AJ383" s="3" t="e">
        <f>#REF!</f>
        <v>#REF!</v>
      </c>
      <c r="AK383" s="3" t="e">
        <f>#REF!</f>
        <v>#REF!</v>
      </c>
      <c r="AL383" s="3" t="e">
        <f>#REF!</f>
        <v>#REF!</v>
      </c>
      <c r="AM383" s="3" t="e">
        <f>#REF!</f>
        <v>#REF!</v>
      </c>
      <c r="AN383" s="3" t="e">
        <f>#REF!</f>
        <v>#REF!</v>
      </c>
      <c r="AO383" s="3" t="e">
        <f>#REF!</f>
        <v>#REF!</v>
      </c>
      <c r="AP383" s="9" t="e">
        <f>VLOOKUP(AG383,#REF!,10,FALSE)</f>
        <v>#REF!</v>
      </c>
      <c r="AQ383" s="8">
        <f>SUMIFS(Capacity!$G$2:$G$2820,Capacity!$B$2:$B$2820,Demand_Modeling!AG383)</f>
        <v>0</v>
      </c>
      <c r="AS383" s="2" t="e">
        <f t="shared" si="74"/>
        <v>#REF!</v>
      </c>
      <c r="AT383" s="2" t="e">
        <f t="shared" si="75"/>
        <v>#REF!</v>
      </c>
      <c r="AU383" s="2" t="e">
        <f t="shared" si="76"/>
        <v>#REF!</v>
      </c>
      <c r="AV383" s="2" t="e">
        <f t="shared" si="77"/>
        <v>#REF!</v>
      </c>
      <c r="AW383" s="2" t="e">
        <f t="shared" si="78"/>
        <v>#REF!</v>
      </c>
      <c r="AX383" s="2" t="e">
        <f t="shared" si="79"/>
        <v>#REF!</v>
      </c>
      <c r="AY383" s="2" t="e">
        <f t="shared" si="80"/>
        <v>#REF!</v>
      </c>
      <c r="AZ383" s="10">
        <f t="shared" si="81"/>
        <v>0</v>
      </c>
      <c r="BA383" s="5" t="e">
        <f t="shared" si="82"/>
        <v>#REF!</v>
      </c>
    </row>
    <row r="384" spans="33:53" x14ac:dyDescent="0.3">
      <c r="AG384" t="e">
        <f t="shared" si="73"/>
        <v>#REF!</v>
      </c>
      <c r="AH384" t="e">
        <f>#REF!</f>
        <v>#REF!</v>
      </c>
      <c r="AI384" t="e">
        <f>#REF!</f>
        <v>#REF!</v>
      </c>
      <c r="AJ384" s="3" t="e">
        <f>#REF!</f>
        <v>#REF!</v>
      </c>
      <c r="AK384" s="3" t="e">
        <f>#REF!</f>
        <v>#REF!</v>
      </c>
      <c r="AL384" s="3" t="e">
        <f>#REF!</f>
        <v>#REF!</v>
      </c>
      <c r="AM384" s="3" t="e">
        <f>#REF!</f>
        <v>#REF!</v>
      </c>
      <c r="AN384" s="3" t="e">
        <f>#REF!</f>
        <v>#REF!</v>
      </c>
      <c r="AO384" s="3" t="e">
        <f>#REF!</f>
        <v>#REF!</v>
      </c>
      <c r="AP384" s="9" t="e">
        <f>VLOOKUP(AG384,#REF!,10,FALSE)</f>
        <v>#REF!</v>
      </c>
      <c r="AQ384" s="8">
        <f>SUMIFS(Capacity!$G$2:$G$2820,Capacity!$B$2:$B$2820,Demand_Modeling!AG384)</f>
        <v>0</v>
      </c>
      <c r="AS384" s="2" t="e">
        <f t="shared" si="74"/>
        <v>#REF!</v>
      </c>
      <c r="AT384" s="2" t="e">
        <f t="shared" si="75"/>
        <v>#REF!</v>
      </c>
      <c r="AU384" s="2" t="e">
        <f t="shared" si="76"/>
        <v>#REF!</v>
      </c>
      <c r="AV384" s="2" t="e">
        <f t="shared" si="77"/>
        <v>#REF!</v>
      </c>
      <c r="AW384" s="2" t="e">
        <f t="shared" si="78"/>
        <v>#REF!</v>
      </c>
      <c r="AX384" s="2" t="e">
        <f t="shared" si="79"/>
        <v>#REF!</v>
      </c>
      <c r="AY384" s="2" t="e">
        <f t="shared" si="80"/>
        <v>#REF!</v>
      </c>
      <c r="AZ384" s="10">
        <f t="shared" si="81"/>
        <v>0</v>
      </c>
      <c r="BA384" s="5" t="e">
        <f t="shared" si="82"/>
        <v>#REF!</v>
      </c>
    </row>
    <row r="385" spans="33:53" x14ac:dyDescent="0.3">
      <c r="AG385" t="e">
        <f t="shared" si="73"/>
        <v>#REF!</v>
      </c>
      <c r="AH385" t="e">
        <f>#REF!</f>
        <v>#REF!</v>
      </c>
      <c r="AI385" t="e">
        <f>#REF!</f>
        <v>#REF!</v>
      </c>
      <c r="AJ385" s="3" t="e">
        <f>#REF!</f>
        <v>#REF!</v>
      </c>
      <c r="AK385" s="3" t="e">
        <f>#REF!</f>
        <v>#REF!</v>
      </c>
      <c r="AL385" s="3" t="e">
        <f>#REF!</f>
        <v>#REF!</v>
      </c>
      <c r="AM385" s="3" t="e">
        <f>#REF!</f>
        <v>#REF!</v>
      </c>
      <c r="AN385" s="3" t="e">
        <f>#REF!</f>
        <v>#REF!</v>
      </c>
      <c r="AO385" s="3" t="e">
        <f>#REF!</f>
        <v>#REF!</v>
      </c>
      <c r="AP385" s="9" t="e">
        <f>VLOOKUP(AG385,#REF!,10,FALSE)</f>
        <v>#REF!</v>
      </c>
      <c r="AQ385" s="8">
        <f>SUMIFS(Capacity!$G$2:$G$2820,Capacity!$B$2:$B$2820,Demand_Modeling!AG385)</f>
        <v>0</v>
      </c>
      <c r="AS385" s="2" t="e">
        <f t="shared" si="74"/>
        <v>#REF!</v>
      </c>
      <c r="AT385" s="2" t="e">
        <f t="shared" si="75"/>
        <v>#REF!</v>
      </c>
      <c r="AU385" s="2" t="e">
        <f t="shared" si="76"/>
        <v>#REF!</v>
      </c>
      <c r="AV385" s="2" t="e">
        <f t="shared" si="77"/>
        <v>#REF!</v>
      </c>
      <c r="AW385" s="2" t="e">
        <f t="shared" si="78"/>
        <v>#REF!</v>
      </c>
      <c r="AX385" s="2" t="e">
        <f t="shared" si="79"/>
        <v>#REF!</v>
      </c>
      <c r="AY385" s="2" t="e">
        <f t="shared" si="80"/>
        <v>#REF!</v>
      </c>
      <c r="AZ385" s="10">
        <f t="shared" si="81"/>
        <v>0</v>
      </c>
      <c r="BA385" s="5" t="e">
        <f t="shared" si="82"/>
        <v>#REF!</v>
      </c>
    </row>
    <row r="386" spans="33:53" x14ac:dyDescent="0.3">
      <c r="AG386" t="e">
        <f t="shared" si="73"/>
        <v>#REF!</v>
      </c>
      <c r="AH386" t="e">
        <f>#REF!</f>
        <v>#REF!</v>
      </c>
      <c r="AI386" t="e">
        <f>#REF!</f>
        <v>#REF!</v>
      </c>
      <c r="AJ386" s="3" t="e">
        <f>#REF!</f>
        <v>#REF!</v>
      </c>
      <c r="AK386" s="3" t="e">
        <f>#REF!</f>
        <v>#REF!</v>
      </c>
      <c r="AL386" s="3" t="e">
        <f>#REF!</f>
        <v>#REF!</v>
      </c>
      <c r="AM386" s="3" t="e">
        <f>#REF!</f>
        <v>#REF!</v>
      </c>
      <c r="AN386" s="3" t="e">
        <f>#REF!</f>
        <v>#REF!</v>
      </c>
      <c r="AO386" s="3" t="e">
        <f>#REF!</f>
        <v>#REF!</v>
      </c>
      <c r="AP386" s="9" t="e">
        <f>VLOOKUP(AG386,#REF!,10,FALSE)</f>
        <v>#REF!</v>
      </c>
      <c r="AQ386" s="8">
        <f>SUMIFS(Capacity!$G$2:$G$2820,Capacity!$B$2:$B$2820,Demand_Modeling!AG386)</f>
        <v>0</v>
      </c>
      <c r="AS386" s="2" t="e">
        <f t="shared" si="74"/>
        <v>#REF!</v>
      </c>
      <c r="AT386" s="2" t="e">
        <f t="shared" si="75"/>
        <v>#REF!</v>
      </c>
      <c r="AU386" s="2" t="e">
        <f t="shared" si="76"/>
        <v>#REF!</v>
      </c>
      <c r="AV386" s="2" t="e">
        <f t="shared" si="77"/>
        <v>#REF!</v>
      </c>
      <c r="AW386" s="2" t="e">
        <f t="shared" si="78"/>
        <v>#REF!</v>
      </c>
      <c r="AX386" s="2" t="e">
        <f t="shared" si="79"/>
        <v>#REF!</v>
      </c>
      <c r="AY386" s="2" t="e">
        <f t="shared" si="80"/>
        <v>#REF!</v>
      </c>
      <c r="AZ386" s="10">
        <f t="shared" si="81"/>
        <v>0</v>
      </c>
      <c r="BA386" s="5" t="e">
        <f t="shared" si="82"/>
        <v>#REF!</v>
      </c>
    </row>
    <row r="387" spans="33:53" x14ac:dyDescent="0.3">
      <c r="AG387" t="e">
        <f t="shared" si="73"/>
        <v>#REF!</v>
      </c>
      <c r="AH387" t="e">
        <f>#REF!</f>
        <v>#REF!</v>
      </c>
      <c r="AI387" t="e">
        <f>#REF!</f>
        <v>#REF!</v>
      </c>
      <c r="AJ387" s="3" t="e">
        <f>#REF!</f>
        <v>#REF!</v>
      </c>
      <c r="AK387" s="3" t="e">
        <f>#REF!</f>
        <v>#REF!</v>
      </c>
      <c r="AL387" s="3" t="e">
        <f>#REF!</f>
        <v>#REF!</v>
      </c>
      <c r="AM387" s="3" t="e">
        <f>#REF!</f>
        <v>#REF!</v>
      </c>
      <c r="AN387" s="3" t="e">
        <f>#REF!</f>
        <v>#REF!</v>
      </c>
      <c r="AO387" s="3" t="e">
        <f>#REF!</f>
        <v>#REF!</v>
      </c>
      <c r="AP387" s="9" t="e">
        <f>VLOOKUP(AG387,#REF!,10,FALSE)</f>
        <v>#REF!</v>
      </c>
      <c r="AQ387" s="8">
        <f>SUMIFS(Capacity!$G$2:$G$2820,Capacity!$B$2:$B$2820,Demand_Modeling!AG387)</f>
        <v>0</v>
      </c>
      <c r="AS387" s="2" t="e">
        <f t="shared" si="74"/>
        <v>#REF!</v>
      </c>
      <c r="AT387" s="2" t="e">
        <f t="shared" si="75"/>
        <v>#REF!</v>
      </c>
      <c r="AU387" s="2" t="e">
        <f t="shared" si="76"/>
        <v>#REF!</v>
      </c>
      <c r="AV387" s="2" t="e">
        <f t="shared" si="77"/>
        <v>#REF!</v>
      </c>
      <c r="AW387" s="2" t="e">
        <f t="shared" si="78"/>
        <v>#REF!</v>
      </c>
      <c r="AX387" s="2" t="e">
        <f t="shared" si="79"/>
        <v>#REF!</v>
      </c>
      <c r="AY387" s="2" t="e">
        <f t="shared" si="80"/>
        <v>#REF!</v>
      </c>
      <c r="AZ387" s="10">
        <f t="shared" si="81"/>
        <v>0</v>
      </c>
      <c r="BA387" s="5" t="e">
        <f t="shared" si="82"/>
        <v>#REF!</v>
      </c>
    </row>
    <row r="388" spans="33:53" x14ac:dyDescent="0.3">
      <c r="AG388" t="e">
        <f t="shared" si="73"/>
        <v>#REF!</v>
      </c>
      <c r="AH388" t="e">
        <f>#REF!</f>
        <v>#REF!</v>
      </c>
      <c r="AI388" t="e">
        <f>#REF!</f>
        <v>#REF!</v>
      </c>
      <c r="AJ388" s="3" t="e">
        <f>#REF!</f>
        <v>#REF!</v>
      </c>
      <c r="AK388" s="3" t="e">
        <f>#REF!</f>
        <v>#REF!</v>
      </c>
      <c r="AL388" s="3" t="e">
        <f>#REF!</f>
        <v>#REF!</v>
      </c>
      <c r="AM388" s="3" t="e">
        <f>#REF!</f>
        <v>#REF!</v>
      </c>
      <c r="AN388" s="3" t="e">
        <f>#REF!</f>
        <v>#REF!</v>
      </c>
      <c r="AO388" s="3" t="e">
        <f>#REF!</f>
        <v>#REF!</v>
      </c>
      <c r="AP388" s="9" t="e">
        <f>VLOOKUP(AG388,#REF!,10,FALSE)</f>
        <v>#REF!</v>
      </c>
      <c r="AQ388" s="8">
        <f>SUMIFS(Capacity!$G$2:$G$2820,Capacity!$B$2:$B$2820,Demand_Modeling!AG388)</f>
        <v>0</v>
      </c>
      <c r="AS388" s="2" t="e">
        <f t="shared" si="74"/>
        <v>#REF!</v>
      </c>
      <c r="AT388" s="2" t="e">
        <f t="shared" si="75"/>
        <v>#REF!</v>
      </c>
      <c r="AU388" s="2" t="e">
        <f t="shared" si="76"/>
        <v>#REF!</v>
      </c>
      <c r="AV388" s="2" t="e">
        <f t="shared" si="77"/>
        <v>#REF!</v>
      </c>
      <c r="AW388" s="2" t="e">
        <f t="shared" si="78"/>
        <v>#REF!</v>
      </c>
      <c r="AX388" s="2" t="e">
        <f t="shared" si="79"/>
        <v>#REF!</v>
      </c>
      <c r="AY388" s="2" t="e">
        <f t="shared" si="80"/>
        <v>#REF!</v>
      </c>
      <c r="AZ388" s="10">
        <f t="shared" si="81"/>
        <v>0</v>
      </c>
      <c r="BA388" s="5" t="e">
        <f t="shared" si="82"/>
        <v>#REF!</v>
      </c>
    </row>
    <row r="389" spans="33:53" x14ac:dyDescent="0.3">
      <c r="AG389" t="e">
        <f t="shared" si="73"/>
        <v>#REF!</v>
      </c>
      <c r="AH389" t="e">
        <f>#REF!</f>
        <v>#REF!</v>
      </c>
      <c r="AI389" t="e">
        <f>#REF!</f>
        <v>#REF!</v>
      </c>
      <c r="AJ389" s="3" t="e">
        <f>#REF!</f>
        <v>#REF!</v>
      </c>
      <c r="AK389" s="3" t="e">
        <f>#REF!</f>
        <v>#REF!</v>
      </c>
      <c r="AL389" s="3" t="e">
        <f>#REF!</f>
        <v>#REF!</v>
      </c>
      <c r="AM389" s="3" t="e">
        <f>#REF!</f>
        <v>#REF!</v>
      </c>
      <c r="AN389" s="3" t="e">
        <f>#REF!</f>
        <v>#REF!</v>
      </c>
      <c r="AO389" s="3" t="e">
        <f>#REF!</f>
        <v>#REF!</v>
      </c>
      <c r="AP389" s="9" t="e">
        <f>VLOOKUP(AG389,#REF!,10,FALSE)</f>
        <v>#REF!</v>
      </c>
      <c r="AQ389" s="8">
        <f>SUMIFS(Capacity!$G$2:$G$2820,Capacity!$B$2:$B$2820,Demand_Modeling!AG389)</f>
        <v>0</v>
      </c>
      <c r="AS389" s="2" t="e">
        <f t="shared" si="74"/>
        <v>#REF!</v>
      </c>
      <c r="AT389" s="2" t="e">
        <f t="shared" si="75"/>
        <v>#REF!</v>
      </c>
      <c r="AU389" s="2" t="e">
        <f t="shared" si="76"/>
        <v>#REF!</v>
      </c>
      <c r="AV389" s="2" t="e">
        <f t="shared" si="77"/>
        <v>#REF!</v>
      </c>
      <c r="AW389" s="2" t="e">
        <f t="shared" si="78"/>
        <v>#REF!</v>
      </c>
      <c r="AX389" s="2" t="e">
        <f t="shared" si="79"/>
        <v>#REF!</v>
      </c>
      <c r="AY389" s="2" t="e">
        <f t="shared" si="80"/>
        <v>#REF!</v>
      </c>
      <c r="AZ389" s="10">
        <f t="shared" si="81"/>
        <v>0</v>
      </c>
      <c r="BA389" s="5" t="e">
        <f t="shared" si="82"/>
        <v>#REF!</v>
      </c>
    </row>
    <row r="390" spans="33:53" x14ac:dyDescent="0.3">
      <c r="AG390" t="e">
        <f t="shared" si="73"/>
        <v>#REF!</v>
      </c>
      <c r="AH390" t="e">
        <f>#REF!</f>
        <v>#REF!</v>
      </c>
      <c r="AI390" t="e">
        <f>#REF!</f>
        <v>#REF!</v>
      </c>
      <c r="AJ390" s="3" t="e">
        <f>#REF!</f>
        <v>#REF!</v>
      </c>
      <c r="AK390" s="3" t="e">
        <f>#REF!</f>
        <v>#REF!</v>
      </c>
      <c r="AL390" s="3" t="e">
        <f>#REF!</f>
        <v>#REF!</v>
      </c>
      <c r="AM390" s="3" t="e">
        <f>#REF!</f>
        <v>#REF!</v>
      </c>
      <c r="AN390" s="3" t="e">
        <f>#REF!</f>
        <v>#REF!</v>
      </c>
      <c r="AO390" s="3" t="e">
        <f>#REF!</f>
        <v>#REF!</v>
      </c>
      <c r="AP390" s="9" t="e">
        <f>VLOOKUP(AG390,#REF!,10,FALSE)</f>
        <v>#REF!</v>
      </c>
      <c r="AQ390" s="8">
        <f>SUMIFS(Capacity!$G$2:$G$2820,Capacity!$B$2:$B$2820,Demand_Modeling!AG390)</f>
        <v>0</v>
      </c>
      <c r="AS390" s="2" t="e">
        <f t="shared" si="74"/>
        <v>#REF!</v>
      </c>
      <c r="AT390" s="2" t="e">
        <f t="shared" si="75"/>
        <v>#REF!</v>
      </c>
      <c r="AU390" s="2" t="e">
        <f t="shared" si="76"/>
        <v>#REF!</v>
      </c>
      <c r="AV390" s="2" t="e">
        <f t="shared" si="77"/>
        <v>#REF!</v>
      </c>
      <c r="AW390" s="2" t="e">
        <f t="shared" si="78"/>
        <v>#REF!</v>
      </c>
      <c r="AX390" s="2" t="e">
        <f t="shared" si="79"/>
        <v>#REF!</v>
      </c>
      <c r="AY390" s="2" t="e">
        <f t="shared" si="80"/>
        <v>#REF!</v>
      </c>
      <c r="AZ390" s="10">
        <f t="shared" si="81"/>
        <v>0</v>
      </c>
      <c r="BA390" s="5" t="e">
        <f t="shared" si="82"/>
        <v>#REF!</v>
      </c>
    </row>
    <row r="391" spans="33:53" x14ac:dyDescent="0.3">
      <c r="AG391" t="e">
        <f t="shared" si="73"/>
        <v>#REF!</v>
      </c>
      <c r="AH391" t="e">
        <f>#REF!</f>
        <v>#REF!</v>
      </c>
      <c r="AI391" t="e">
        <f>#REF!</f>
        <v>#REF!</v>
      </c>
      <c r="AJ391" s="3" t="e">
        <f>#REF!</f>
        <v>#REF!</v>
      </c>
      <c r="AK391" s="3" t="e">
        <f>#REF!</f>
        <v>#REF!</v>
      </c>
      <c r="AL391" s="3" t="e">
        <f>#REF!</f>
        <v>#REF!</v>
      </c>
      <c r="AM391" s="3" t="e">
        <f>#REF!</f>
        <v>#REF!</v>
      </c>
      <c r="AN391" s="3" t="e">
        <f>#REF!</f>
        <v>#REF!</v>
      </c>
      <c r="AO391" s="3" t="e">
        <f>#REF!</f>
        <v>#REF!</v>
      </c>
      <c r="AP391" s="9" t="e">
        <f>VLOOKUP(AG391,#REF!,10,FALSE)</f>
        <v>#REF!</v>
      </c>
      <c r="AQ391" s="8">
        <f>SUMIFS(Capacity!$G$2:$G$2820,Capacity!$B$2:$B$2820,Demand_Modeling!AG391)</f>
        <v>0</v>
      </c>
      <c r="AS391" s="2" t="e">
        <f t="shared" si="74"/>
        <v>#REF!</v>
      </c>
      <c r="AT391" s="2" t="e">
        <f t="shared" si="75"/>
        <v>#REF!</v>
      </c>
      <c r="AU391" s="2" t="e">
        <f t="shared" si="76"/>
        <v>#REF!</v>
      </c>
      <c r="AV391" s="2" t="e">
        <f t="shared" si="77"/>
        <v>#REF!</v>
      </c>
      <c r="AW391" s="2" t="e">
        <f t="shared" si="78"/>
        <v>#REF!</v>
      </c>
      <c r="AX391" s="2" t="e">
        <f t="shared" si="79"/>
        <v>#REF!</v>
      </c>
      <c r="AY391" s="2" t="e">
        <f t="shared" si="80"/>
        <v>#REF!</v>
      </c>
      <c r="AZ391" s="10">
        <f t="shared" si="81"/>
        <v>0</v>
      </c>
      <c r="BA391" s="5" t="e">
        <f t="shared" si="82"/>
        <v>#REF!</v>
      </c>
    </row>
    <row r="392" spans="33:53" x14ac:dyDescent="0.3">
      <c r="AG392" t="e">
        <f t="shared" si="73"/>
        <v>#REF!</v>
      </c>
      <c r="AH392" t="e">
        <f>#REF!</f>
        <v>#REF!</v>
      </c>
      <c r="AI392" t="e">
        <f>#REF!</f>
        <v>#REF!</v>
      </c>
      <c r="AJ392" s="3" t="e">
        <f>#REF!</f>
        <v>#REF!</v>
      </c>
      <c r="AK392" s="3" t="e">
        <f>#REF!</f>
        <v>#REF!</v>
      </c>
      <c r="AL392" s="3" t="e">
        <f>#REF!</f>
        <v>#REF!</v>
      </c>
      <c r="AM392" s="3" t="e">
        <f>#REF!</f>
        <v>#REF!</v>
      </c>
      <c r="AN392" s="3" t="e">
        <f>#REF!</f>
        <v>#REF!</v>
      </c>
      <c r="AO392" s="3" t="e">
        <f>#REF!</f>
        <v>#REF!</v>
      </c>
      <c r="AP392" s="9" t="e">
        <f>VLOOKUP(AG392,#REF!,10,FALSE)</f>
        <v>#REF!</v>
      </c>
      <c r="AQ392" s="8">
        <f>SUMIFS(Capacity!$G$2:$G$2820,Capacity!$B$2:$B$2820,Demand_Modeling!AG392)</f>
        <v>0</v>
      </c>
      <c r="AS392" s="2" t="e">
        <f t="shared" si="74"/>
        <v>#REF!</v>
      </c>
      <c r="AT392" s="2" t="e">
        <f t="shared" si="75"/>
        <v>#REF!</v>
      </c>
      <c r="AU392" s="2" t="e">
        <f t="shared" si="76"/>
        <v>#REF!</v>
      </c>
      <c r="AV392" s="2" t="e">
        <f t="shared" si="77"/>
        <v>#REF!</v>
      </c>
      <c r="AW392" s="2" t="e">
        <f t="shared" si="78"/>
        <v>#REF!</v>
      </c>
      <c r="AX392" s="2" t="e">
        <f t="shared" si="79"/>
        <v>#REF!</v>
      </c>
      <c r="AY392" s="2" t="e">
        <f t="shared" si="80"/>
        <v>#REF!</v>
      </c>
      <c r="AZ392" s="10">
        <f t="shared" si="81"/>
        <v>0</v>
      </c>
      <c r="BA392" s="5" t="e">
        <f t="shared" si="82"/>
        <v>#REF!</v>
      </c>
    </row>
    <row r="393" spans="33:53" x14ac:dyDescent="0.3">
      <c r="AG393" t="e">
        <f t="shared" si="73"/>
        <v>#REF!</v>
      </c>
      <c r="AH393" t="e">
        <f>#REF!</f>
        <v>#REF!</v>
      </c>
      <c r="AI393" t="e">
        <f>#REF!</f>
        <v>#REF!</v>
      </c>
      <c r="AJ393" s="3" t="e">
        <f>#REF!</f>
        <v>#REF!</v>
      </c>
      <c r="AK393" s="3" t="e">
        <f>#REF!</f>
        <v>#REF!</v>
      </c>
      <c r="AL393" s="3" t="e">
        <f>#REF!</f>
        <v>#REF!</v>
      </c>
      <c r="AM393" s="3" t="e">
        <f>#REF!</f>
        <v>#REF!</v>
      </c>
      <c r="AN393" s="3" t="e">
        <f>#REF!</f>
        <v>#REF!</v>
      </c>
      <c r="AO393" s="3" t="e">
        <f>#REF!</f>
        <v>#REF!</v>
      </c>
      <c r="AP393" s="9" t="e">
        <f>VLOOKUP(AG393,#REF!,10,FALSE)</f>
        <v>#REF!</v>
      </c>
      <c r="AQ393" s="8">
        <f>SUMIFS(Capacity!$G$2:$G$2820,Capacity!$B$2:$B$2820,Demand_Modeling!AG393)</f>
        <v>0</v>
      </c>
      <c r="AS393" s="2" t="e">
        <f t="shared" si="74"/>
        <v>#REF!</v>
      </c>
      <c r="AT393" s="2" t="e">
        <f t="shared" si="75"/>
        <v>#REF!</v>
      </c>
      <c r="AU393" s="2" t="e">
        <f t="shared" si="76"/>
        <v>#REF!</v>
      </c>
      <c r="AV393" s="2" t="e">
        <f t="shared" si="77"/>
        <v>#REF!</v>
      </c>
      <c r="AW393" s="2" t="e">
        <f t="shared" si="78"/>
        <v>#REF!</v>
      </c>
      <c r="AX393" s="2" t="e">
        <f t="shared" si="79"/>
        <v>#REF!</v>
      </c>
      <c r="AY393" s="2" t="e">
        <f t="shared" si="80"/>
        <v>#REF!</v>
      </c>
      <c r="AZ393" s="10">
        <f t="shared" si="81"/>
        <v>0</v>
      </c>
      <c r="BA393" s="5" t="e">
        <f t="shared" si="82"/>
        <v>#REF!</v>
      </c>
    </row>
    <row r="394" spans="33:53" x14ac:dyDescent="0.3">
      <c r="AG394" t="e">
        <f t="shared" si="73"/>
        <v>#REF!</v>
      </c>
      <c r="AH394" t="e">
        <f>#REF!</f>
        <v>#REF!</v>
      </c>
      <c r="AI394" t="e">
        <f>#REF!</f>
        <v>#REF!</v>
      </c>
      <c r="AJ394" s="3" t="e">
        <f>#REF!</f>
        <v>#REF!</v>
      </c>
      <c r="AK394" s="3" t="e">
        <f>#REF!</f>
        <v>#REF!</v>
      </c>
      <c r="AL394" s="3" t="e">
        <f>#REF!</f>
        <v>#REF!</v>
      </c>
      <c r="AM394" s="3" t="e">
        <f>#REF!</f>
        <v>#REF!</v>
      </c>
      <c r="AN394" s="3" t="e">
        <f>#REF!</f>
        <v>#REF!</v>
      </c>
      <c r="AO394" s="3" t="e">
        <f>#REF!</f>
        <v>#REF!</v>
      </c>
      <c r="AP394" s="9" t="e">
        <f>VLOOKUP(AG394,#REF!,10,FALSE)</f>
        <v>#REF!</v>
      </c>
      <c r="AQ394" s="8">
        <f>SUMIFS(Capacity!$G$2:$G$2820,Capacity!$B$2:$B$2820,Demand_Modeling!AG394)</f>
        <v>0</v>
      </c>
      <c r="AS394" s="2" t="e">
        <f t="shared" si="74"/>
        <v>#REF!</v>
      </c>
      <c r="AT394" s="2" t="e">
        <f t="shared" si="75"/>
        <v>#REF!</v>
      </c>
      <c r="AU394" s="2" t="e">
        <f t="shared" si="76"/>
        <v>#REF!</v>
      </c>
      <c r="AV394" s="2" t="e">
        <f t="shared" si="77"/>
        <v>#REF!</v>
      </c>
      <c r="AW394" s="2" t="e">
        <f t="shared" si="78"/>
        <v>#REF!</v>
      </c>
      <c r="AX394" s="2" t="e">
        <f t="shared" si="79"/>
        <v>#REF!</v>
      </c>
      <c r="AY394" s="2" t="e">
        <f t="shared" si="80"/>
        <v>#REF!</v>
      </c>
      <c r="AZ394" s="10">
        <f t="shared" si="81"/>
        <v>0</v>
      </c>
      <c r="BA394" s="5" t="e">
        <f t="shared" si="82"/>
        <v>#REF!</v>
      </c>
    </row>
    <row r="395" spans="33:53" x14ac:dyDescent="0.3">
      <c r="AG395" t="e">
        <f t="shared" si="73"/>
        <v>#REF!</v>
      </c>
      <c r="AH395" t="e">
        <f>#REF!</f>
        <v>#REF!</v>
      </c>
      <c r="AI395" t="e">
        <f>#REF!</f>
        <v>#REF!</v>
      </c>
      <c r="AJ395" s="3" t="e">
        <f>#REF!</f>
        <v>#REF!</v>
      </c>
      <c r="AK395" s="3" t="e">
        <f>#REF!</f>
        <v>#REF!</v>
      </c>
      <c r="AL395" s="3" t="e">
        <f>#REF!</f>
        <v>#REF!</v>
      </c>
      <c r="AM395" s="3" t="e">
        <f>#REF!</f>
        <v>#REF!</v>
      </c>
      <c r="AN395" s="3" t="e">
        <f>#REF!</f>
        <v>#REF!</v>
      </c>
      <c r="AO395" s="3" t="e">
        <f>#REF!</f>
        <v>#REF!</v>
      </c>
      <c r="AP395" s="9" t="e">
        <f>VLOOKUP(AG395,#REF!,10,FALSE)</f>
        <v>#REF!</v>
      </c>
      <c r="AQ395" s="8">
        <f>SUMIFS(Capacity!$G$2:$G$2820,Capacity!$B$2:$B$2820,Demand_Modeling!AG395)</f>
        <v>0</v>
      </c>
      <c r="AS395" s="2" t="e">
        <f t="shared" si="74"/>
        <v>#REF!</v>
      </c>
      <c r="AT395" s="2" t="e">
        <f t="shared" si="75"/>
        <v>#REF!</v>
      </c>
      <c r="AU395" s="2" t="e">
        <f t="shared" si="76"/>
        <v>#REF!</v>
      </c>
      <c r="AV395" s="2" t="e">
        <f t="shared" si="77"/>
        <v>#REF!</v>
      </c>
      <c r="AW395" s="2" t="e">
        <f t="shared" si="78"/>
        <v>#REF!</v>
      </c>
      <c r="AX395" s="2" t="e">
        <f t="shared" si="79"/>
        <v>#REF!</v>
      </c>
      <c r="AY395" s="2" t="e">
        <f t="shared" si="80"/>
        <v>#REF!</v>
      </c>
      <c r="AZ395" s="10">
        <f t="shared" si="81"/>
        <v>0</v>
      </c>
      <c r="BA395" s="5" t="e">
        <f t="shared" si="82"/>
        <v>#REF!</v>
      </c>
    </row>
    <row r="396" spans="33:53" x14ac:dyDescent="0.3">
      <c r="AG396" t="e">
        <f t="shared" si="73"/>
        <v>#REF!</v>
      </c>
      <c r="AH396" t="e">
        <f>#REF!</f>
        <v>#REF!</v>
      </c>
      <c r="AI396" t="e">
        <f>#REF!</f>
        <v>#REF!</v>
      </c>
      <c r="AJ396" s="3" t="e">
        <f>#REF!</f>
        <v>#REF!</v>
      </c>
      <c r="AK396" s="3" t="e">
        <f>#REF!</f>
        <v>#REF!</v>
      </c>
      <c r="AL396" s="3" t="e">
        <f>#REF!</f>
        <v>#REF!</v>
      </c>
      <c r="AM396" s="3" t="e">
        <f>#REF!</f>
        <v>#REF!</v>
      </c>
      <c r="AN396" s="3" t="e">
        <f>#REF!</f>
        <v>#REF!</v>
      </c>
      <c r="AO396" s="3" t="e">
        <f>#REF!</f>
        <v>#REF!</v>
      </c>
      <c r="AP396" s="9" t="e">
        <f>VLOOKUP(AG396,#REF!,10,FALSE)</f>
        <v>#REF!</v>
      </c>
      <c r="AQ396" s="8">
        <f>SUMIFS(Capacity!$G$2:$G$2820,Capacity!$B$2:$B$2820,Demand_Modeling!AG396)</f>
        <v>0</v>
      </c>
      <c r="AS396" s="2" t="e">
        <f t="shared" si="74"/>
        <v>#REF!</v>
      </c>
      <c r="AT396" s="2" t="e">
        <f t="shared" si="75"/>
        <v>#REF!</v>
      </c>
      <c r="AU396" s="2" t="e">
        <f t="shared" si="76"/>
        <v>#REF!</v>
      </c>
      <c r="AV396" s="2" t="e">
        <f t="shared" si="77"/>
        <v>#REF!</v>
      </c>
      <c r="AW396" s="2" t="e">
        <f t="shared" si="78"/>
        <v>#REF!</v>
      </c>
      <c r="AX396" s="2" t="e">
        <f t="shared" si="79"/>
        <v>#REF!</v>
      </c>
      <c r="AY396" s="2" t="e">
        <f t="shared" si="80"/>
        <v>#REF!</v>
      </c>
      <c r="AZ396" s="10">
        <f t="shared" si="81"/>
        <v>0</v>
      </c>
      <c r="BA396" s="5" t="e">
        <f t="shared" si="82"/>
        <v>#REF!</v>
      </c>
    </row>
    <row r="397" spans="33:53" x14ac:dyDescent="0.3">
      <c r="AG397" t="e">
        <f t="shared" si="73"/>
        <v>#REF!</v>
      </c>
      <c r="AH397" t="e">
        <f>#REF!</f>
        <v>#REF!</v>
      </c>
      <c r="AI397" t="e">
        <f>#REF!</f>
        <v>#REF!</v>
      </c>
      <c r="AJ397" s="3" t="e">
        <f>#REF!</f>
        <v>#REF!</v>
      </c>
      <c r="AK397" s="3" t="e">
        <f>#REF!</f>
        <v>#REF!</v>
      </c>
      <c r="AL397" s="3" t="e">
        <f>#REF!</f>
        <v>#REF!</v>
      </c>
      <c r="AM397" s="3" t="e">
        <f>#REF!</f>
        <v>#REF!</v>
      </c>
      <c r="AN397" s="3" t="e">
        <f>#REF!</f>
        <v>#REF!</v>
      </c>
      <c r="AO397" s="3" t="e">
        <f>#REF!</f>
        <v>#REF!</v>
      </c>
      <c r="AP397" s="9" t="e">
        <f>VLOOKUP(AG397,#REF!,10,FALSE)</f>
        <v>#REF!</v>
      </c>
      <c r="AQ397" s="8">
        <f>SUMIFS(Capacity!$G$2:$G$2820,Capacity!$B$2:$B$2820,Demand_Modeling!AG397)</f>
        <v>0</v>
      </c>
      <c r="AS397" s="2" t="e">
        <f t="shared" si="74"/>
        <v>#REF!</v>
      </c>
      <c r="AT397" s="2" t="e">
        <f t="shared" si="75"/>
        <v>#REF!</v>
      </c>
      <c r="AU397" s="2" t="e">
        <f t="shared" si="76"/>
        <v>#REF!</v>
      </c>
      <c r="AV397" s="2" t="e">
        <f t="shared" si="77"/>
        <v>#REF!</v>
      </c>
      <c r="AW397" s="2" t="e">
        <f t="shared" si="78"/>
        <v>#REF!</v>
      </c>
      <c r="AX397" s="2" t="e">
        <f t="shared" si="79"/>
        <v>#REF!</v>
      </c>
      <c r="AY397" s="2" t="e">
        <f t="shared" si="80"/>
        <v>#REF!</v>
      </c>
      <c r="AZ397" s="10">
        <f t="shared" si="81"/>
        <v>0</v>
      </c>
      <c r="BA397" s="5" t="e">
        <f t="shared" si="82"/>
        <v>#REF!</v>
      </c>
    </row>
    <row r="398" spans="33:53" x14ac:dyDescent="0.3">
      <c r="AG398" t="e">
        <f t="shared" si="73"/>
        <v>#REF!</v>
      </c>
      <c r="AH398" t="e">
        <f>#REF!</f>
        <v>#REF!</v>
      </c>
      <c r="AI398" t="e">
        <f>#REF!</f>
        <v>#REF!</v>
      </c>
      <c r="AJ398" s="3" t="e">
        <f>#REF!</f>
        <v>#REF!</v>
      </c>
      <c r="AK398" s="3" t="e">
        <f>#REF!</f>
        <v>#REF!</v>
      </c>
      <c r="AL398" s="3" t="e">
        <f>#REF!</f>
        <v>#REF!</v>
      </c>
      <c r="AM398" s="3" t="e">
        <f>#REF!</f>
        <v>#REF!</v>
      </c>
      <c r="AN398" s="3" t="e">
        <f>#REF!</f>
        <v>#REF!</v>
      </c>
      <c r="AO398" s="3" t="e">
        <f>#REF!</f>
        <v>#REF!</v>
      </c>
      <c r="AP398" s="9" t="e">
        <f>VLOOKUP(AG398,#REF!,10,FALSE)</f>
        <v>#REF!</v>
      </c>
      <c r="AQ398" s="8">
        <f>SUMIFS(Capacity!$G$2:$G$2820,Capacity!$B$2:$B$2820,Demand_Modeling!AG398)</f>
        <v>0</v>
      </c>
      <c r="AS398" s="2" t="e">
        <f t="shared" si="74"/>
        <v>#REF!</v>
      </c>
      <c r="AT398" s="2" t="e">
        <f t="shared" si="75"/>
        <v>#REF!</v>
      </c>
      <c r="AU398" s="2" t="e">
        <f t="shared" si="76"/>
        <v>#REF!</v>
      </c>
      <c r="AV398" s="2" t="e">
        <f t="shared" si="77"/>
        <v>#REF!</v>
      </c>
      <c r="AW398" s="2" t="e">
        <f t="shared" si="78"/>
        <v>#REF!</v>
      </c>
      <c r="AX398" s="2" t="e">
        <f t="shared" si="79"/>
        <v>#REF!</v>
      </c>
      <c r="AY398" s="2" t="e">
        <f t="shared" si="80"/>
        <v>#REF!</v>
      </c>
      <c r="AZ398" s="10">
        <f t="shared" si="81"/>
        <v>0</v>
      </c>
      <c r="BA398" s="5" t="e">
        <f t="shared" si="82"/>
        <v>#REF!</v>
      </c>
    </row>
    <row r="399" spans="33:53" x14ac:dyDescent="0.3">
      <c r="AG399" t="e">
        <f t="shared" ref="AG399:AG462" si="83">AH399&amp;"-"&amp;AI399</f>
        <v>#REF!</v>
      </c>
      <c r="AH399" t="e">
        <f>#REF!</f>
        <v>#REF!</v>
      </c>
      <c r="AI399" t="e">
        <f>#REF!</f>
        <v>#REF!</v>
      </c>
      <c r="AJ399" s="3" t="e">
        <f>#REF!</f>
        <v>#REF!</v>
      </c>
      <c r="AK399" s="3" t="e">
        <f>#REF!</f>
        <v>#REF!</v>
      </c>
      <c r="AL399" s="3" t="e">
        <f>#REF!</f>
        <v>#REF!</v>
      </c>
      <c r="AM399" s="3" t="e">
        <f>#REF!</f>
        <v>#REF!</v>
      </c>
      <c r="AN399" s="3" t="e">
        <f>#REF!</f>
        <v>#REF!</v>
      </c>
      <c r="AO399" s="3" t="e">
        <f>#REF!</f>
        <v>#REF!</v>
      </c>
      <c r="AP399" s="9" t="e">
        <f>VLOOKUP(AG399,#REF!,10,FALSE)</f>
        <v>#REF!</v>
      </c>
      <c r="AQ399" s="8">
        <f>SUMIFS(Capacity!$G$2:$G$2820,Capacity!$B$2:$B$2820,Demand_Modeling!AG399)</f>
        <v>0</v>
      </c>
      <c r="AS399" s="2" t="e">
        <f t="shared" ref="AS399:AS442" si="84">AJ399*$AP399</f>
        <v>#REF!</v>
      </c>
      <c r="AT399" s="2" t="e">
        <f t="shared" ref="AT399:AT442" si="85">AK399*$AP399</f>
        <v>#REF!</v>
      </c>
      <c r="AU399" s="2" t="e">
        <f t="shared" ref="AU399:AU442" si="86">AL399*$AP399</f>
        <v>#REF!</v>
      </c>
      <c r="AV399" s="2" t="e">
        <f t="shared" ref="AV399:AV442" si="87">AM399*$AP399</f>
        <v>#REF!</v>
      </c>
      <c r="AW399" s="2" t="e">
        <f t="shared" ref="AW399:AW442" si="88">AN399*$AP399</f>
        <v>#REF!</v>
      </c>
      <c r="AX399" s="2" t="e">
        <f t="shared" ref="AX399:AX442" si="89">AO399*$AP399</f>
        <v>#REF!</v>
      </c>
      <c r="AY399" s="2" t="e">
        <f t="shared" ref="AY399:AY442" si="90">SUM(AS399:AX399)</f>
        <v>#REF!</v>
      </c>
      <c r="AZ399" s="10">
        <f t="shared" ref="AZ399:AZ442" si="91">AQ399</f>
        <v>0</v>
      </c>
      <c r="BA399" s="5" t="e">
        <f t="shared" ref="BA399:BA442" si="92">AY399/AZ399</f>
        <v>#REF!</v>
      </c>
    </row>
    <row r="400" spans="33:53" x14ac:dyDescent="0.3">
      <c r="AG400" t="e">
        <f t="shared" si="83"/>
        <v>#REF!</v>
      </c>
      <c r="AH400" t="e">
        <f>#REF!</f>
        <v>#REF!</v>
      </c>
      <c r="AI400" t="e">
        <f>#REF!</f>
        <v>#REF!</v>
      </c>
      <c r="AJ400" s="3" t="e">
        <f>#REF!</f>
        <v>#REF!</v>
      </c>
      <c r="AK400" s="3" t="e">
        <f>#REF!</f>
        <v>#REF!</v>
      </c>
      <c r="AL400" s="3" t="e">
        <f>#REF!</f>
        <v>#REF!</v>
      </c>
      <c r="AM400" s="3" t="e">
        <f>#REF!</f>
        <v>#REF!</v>
      </c>
      <c r="AN400" s="3" t="e">
        <f>#REF!</f>
        <v>#REF!</v>
      </c>
      <c r="AO400" s="3" t="e">
        <f>#REF!</f>
        <v>#REF!</v>
      </c>
      <c r="AP400" s="9" t="e">
        <f>VLOOKUP(AG400,#REF!,10,FALSE)</f>
        <v>#REF!</v>
      </c>
      <c r="AQ400" s="8">
        <f>SUMIFS(Capacity!$G$2:$G$2820,Capacity!$B$2:$B$2820,Demand_Modeling!AG400)</f>
        <v>0</v>
      </c>
      <c r="AS400" s="2" t="e">
        <f t="shared" si="84"/>
        <v>#REF!</v>
      </c>
      <c r="AT400" s="2" t="e">
        <f t="shared" si="85"/>
        <v>#REF!</v>
      </c>
      <c r="AU400" s="2" t="e">
        <f t="shared" si="86"/>
        <v>#REF!</v>
      </c>
      <c r="AV400" s="2" t="e">
        <f t="shared" si="87"/>
        <v>#REF!</v>
      </c>
      <c r="AW400" s="2" t="e">
        <f t="shared" si="88"/>
        <v>#REF!</v>
      </c>
      <c r="AX400" s="2" t="e">
        <f t="shared" si="89"/>
        <v>#REF!</v>
      </c>
      <c r="AY400" s="2" t="e">
        <f t="shared" si="90"/>
        <v>#REF!</v>
      </c>
      <c r="AZ400" s="10">
        <f t="shared" si="91"/>
        <v>0</v>
      </c>
      <c r="BA400" s="5" t="e">
        <f t="shared" si="92"/>
        <v>#REF!</v>
      </c>
    </row>
    <row r="401" spans="33:53" x14ac:dyDescent="0.3">
      <c r="AG401" t="e">
        <f t="shared" si="83"/>
        <v>#REF!</v>
      </c>
      <c r="AH401" t="e">
        <f>#REF!</f>
        <v>#REF!</v>
      </c>
      <c r="AI401" t="e">
        <f>#REF!</f>
        <v>#REF!</v>
      </c>
      <c r="AJ401" s="3" t="e">
        <f>#REF!</f>
        <v>#REF!</v>
      </c>
      <c r="AK401" s="3" t="e">
        <f>#REF!</f>
        <v>#REF!</v>
      </c>
      <c r="AL401" s="3" t="e">
        <f>#REF!</f>
        <v>#REF!</v>
      </c>
      <c r="AM401" s="3" t="e">
        <f>#REF!</f>
        <v>#REF!</v>
      </c>
      <c r="AN401" s="3" t="e">
        <f>#REF!</f>
        <v>#REF!</v>
      </c>
      <c r="AO401" s="3" t="e">
        <f>#REF!</f>
        <v>#REF!</v>
      </c>
      <c r="AP401" s="9" t="e">
        <f>VLOOKUP(AG401,#REF!,10,FALSE)</f>
        <v>#REF!</v>
      </c>
      <c r="AQ401" s="8">
        <f>SUMIFS(Capacity!$G$2:$G$2820,Capacity!$B$2:$B$2820,Demand_Modeling!AG401)</f>
        <v>0</v>
      </c>
      <c r="AS401" s="2" t="e">
        <f t="shared" si="84"/>
        <v>#REF!</v>
      </c>
      <c r="AT401" s="2" t="e">
        <f t="shared" si="85"/>
        <v>#REF!</v>
      </c>
      <c r="AU401" s="2" t="e">
        <f t="shared" si="86"/>
        <v>#REF!</v>
      </c>
      <c r="AV401" s="2" t="e">
        <f t="shared" si="87"/>
        <v>#REF!</v>
      </c>
      <c r="AW401" s="2" t="e">
        <f t="shared" si="88"/>
        <v>#REF!</v>
      </c>
      <c r="AX401" s="2" t="e">
        <f t="shared" si="89"/>
        <v>#REF!</v>
      </c>
      <c r="AY401" s="2" t="e">
        <f t="shared" si="90"/>
        <v>#REF!</v>
      </c>
      <c r="AZ401" s="10">
        <f t="shared" si="91"/>
        <v>0</v>
      </c>
      <c r="BA401" s="5" t="e">
        <f t="shared" si="92"/>
        <v>#REF!</v>
      </c>
    </row>
    <row r="402" spans="33:53" x14ac:dyDescent="0.3">
      <c r="AG402" t="e">
        <f t="shared" si="83"/>
        <v>#REF!</v>
      </c>
      <c r="AH402" t="e">
        <f>#REF!</f>
        <v>#REF!</v>
      </c>
      <c r="AI402" t="e">
        <f>#REF!</f>
        <v>#REF!</v>
      </c>
      <c r="AJ402" s="3" t="e">
        <f>#REF!</f>
        <v>#REF!</v>
      </c>
      <c r="AK402" s="3" t="e">
        <f>#REF!</f>
        <v>#REF!</v>
      </c>
      <c r="AL402" s="3" t="e">
        <f>#REF!</f>
        <v>#REF!</v>
      </c>
      <c r="AM402" s="3" t="e">
        <f>#REF!</f>
        <v>#REF!</v>
      </c>
      <c r="AN402" s="3" t="e">
        <f>#REF!</f>
        <v>#REF!</v>
      </c>
      <c r="AO402" s="3" t="e">
        <f>#REF!</f>
        <v>#REF!</v>
      </c>
      <c r="AP402" s="9" t="e">
        <f>VLOOKUP(AG402,#REF!,10,FALSE)</f>
        <v>#REF!</v>
      </c>
      <c r="AQ402" s="8">
        <f>SUMIFS(Capacity!$G$2:$G$2820,Capacity!$B$2:$B$2820,Demand_Modeling!AG402)</f>
        <v>0</v>
      </c>
      <c r="AS402" s="2" t="e">
        <f t="shared" si="84"/>
        <v>#REF!</v>
      </c>
      <c r="AT402" s="2" t="e">
        <f t="shared" si="85"/>
        <v>#REF!</v>
      </c>
      <c r="AU402" s="2" t="e">
        <f t="shared" si="86"/>
        <v>#REF!</v>
      </c>
      <c r="AV402" s="2" t="e">
        <f t="shared" si="87"/>
        <v>#REF!</v>
      </c>
      <c r="AW402" s="2" t="e">
        <f t="shared" si="88"/>
        <v>#REF!</v>
      </c>
      <c r="AX402" s="2" t="e">
        <f t="shared" si="89"/>
        <v>#REF!</v>
      </c>
      <c r="AY402" s="2" t="e">
        <f t="shared" si="90"/>
        <v>#REF!</v>
      </c>
      <c r="AZ402" s="10">
        <f t="shared" si="91"/>
        <v>0</v>
      </c>
      <c r="BA402" s="5" t="e">
        <f t="shared" si="92"/>
        <v>#REF!</v>
      </c>
    </row>
    <row r="403" spans="33:53" x14ac:dyDescent="0.3">
      <c r="AG403" t="e">
        <f t="shared" si="83"/>
        <v>#REF!</v>
      </c>
      <c r="AH403" t="e">
        <f>#REF!</f>
        <v>#REF!</v>
      </c>
      <c r="AI403" t="e">
        <f>#REF!</f>
        <v>#REF!</v>
      </c>
      <c r="AJ403" s="3" t="e">
        <f>#REF!</f>
        <v>#REF!</v>
      </c>
      <c r="AK403" s="3" t="e">
        <f>#REF!</f>
        <v>#REF!</v>
      </c>
      <c r="AL403" s="3" t="e">
        <f>#REF!</f>
        <v>#REF!</v>
      </c>
      <c r="AM403" s="3" t="e">
        <f>#REF!</f>
        <v>#REF!</v>
      </c>
      <c r="AN403" s="3" t="e">
        <f>#REF!</f>
        <v>#REF!</v>
      </c>
      <c r="AO403" s="3" t="e">
        <f>#REF!</f>
        <v>#REF!</v>
      </c>
      <c r="AP403" s="9" t="e">
        <f>VLOOKUP(AG403,#REF!,10,FALSE)</f>
        <v>#REF!</v>
      </c>
      <c r="AQ403" s="8">
        <f>SUMIFS(Capacity!$G$2:$G$2820,Capacity!$B$2:$B$2820,Demand_Modeling!AG403)</f>
        <v>0</v>
      </c>
      <c r="AS403" s="2" t="e">
        <f t="shared" si="84"/>
        <v>#REF!</v>
      </c>
      <c r="AT403" s="2" t="e">
        <f t="shared" si="85"/>
        <v>#REF!</v>
      </c>
      <c r="AU403" s="2" t="e">
        <f t="shared" si="86"/>
        <v>#REF!</v>
      </c>
      <c r="AV403" s="2" t="e">
        <f t="shared" si="87"/>
        <v>#REF!</v>
      </c>
      <c r="AW403" s="2" t="e">
        <f t="shared" si="88"/>
        <v>#REF!</v>
      </c>
      <c r="AX403" s="2" t="e">
        <f t="shared" si="89"/>
        <v>#REF!</v>
      </c>
      <c r="AY403" s="2" t="e">
        <f t="shared" si="90"/>
        <v>#REF!</v>
      </c>
      <c r="AZ403" s="10">
        <f t="shared" si="91"/>
        <v>0</v>
      </c>
      <c r="BA403" s="5" t="e">
        <f t="shared" si="92"/>
        <v>#REF!</v>
      </c>
    </row>
    <row r="404" spans="33:53" x14ac:dyDescent="0.3">
      <c r="AG404" t="e">
        <f t="shared" si="83"/>
        <v>#REF!</v>
      </c>
      <c r="AH404" t="e">
        <f>#REF!</f>
        <v>#REF!</v>
      </c>
      <c r="AI404" t="e">
        <f>#REF!</f>
        <v>#REF!</v>
      </c>
      <c r="AJ404" s="3" t="e">
        <f>#REF!</f>
        <v>#REF!</v>
      </c>
      <c r="AK404" s="3" t="e">
        <f>#REF!</f>
        <v>#REF!</v>
      </c>
      <c r="AL404" s="3" t="e">
        <f>#REF!</f>
        <v>#REF!</v>
      </c>
      <c r="AM404" s="3" t="e">
        <f>#REF!</f>
        <v>#REF!</v>
      </c>
      <c r="AN404" s="3" t="e">
        <f>#REF!</f>
        <v>#REF!</v>
      </c>
      <c r="AO404" s="3" t="e">
        <f>#REF!</f>
        <v>#REF!</v>
      </c>
      <c r="AP404" s="9" t="e">
        <f>VLOOKUP(AG404,#REF!,10,FALSE)</f>
        <v>#REF!</v>
      </c>
      <c r="AQ404" s="8">
        <f>SUMIFS(Capacity!$G$2:$G$2820,Capacity!$B$2:$B$2820,Demand_Modeling!AG404)</f>
        <v>0</v>
      </c>
      <c r="AS404" s="2" t="e">
        <f t="shared" si="84"/>
        <v>#REF!</v>
      </c>
      <c r="AT404" s="2" t="e">
        <f t="shared" si="85"/>
        <v>#REF!</v>
      </c>
      <c r="AU404" s="2" t="e">
        <f t="shared" si="86"/>
        <v>#REF!</v>
      </c>
      <c r="AV404" s="2" t="e">
        <f t="shared" si="87"/>
        <v>#REF!</v>
      </c>
      <c r="AW404" s="2" t="e">
        <f t="shared" si="88"/>
        <v>#REF!</v>
      </c>
      <c r="AX404" s="2" t="e">
        <f t="shared" si="89"/>
        <v>#REF!</v>
      </c>
      <c r="AY404" s="2" t="e">
        <f t="shared" si="90"/>
        <v>#REF!</v>
      </c>
      <c r="AZ404" s="10">
        <f t="shared" si="91"/>
        <v>0</v>
      </c>
      <c r="BA404" s="5" t="e">
        <f t="shared" si="92"/>
        <v>#REF!</v>
      </c>
    </row>
    <row r="405" spans="33:53" x14ac:dyDescent="0.3">
      <c r="AG405" t="e">
        <f t="shared" si="83"/>
        <v>#REF!</v>
      </c>
      <c r="AH405" t="e">
        <f>#REF!</f>
        <v>#REF!</v>
      </c>
      <c r="AI405" t="e">
        <f>#REF!</f>
        <v>#REF!</v>
      </c>
      <c r="AJ405" s="3" t="e">
        <f>#REF!</f>
        <v>#REF!</v>
      </c>
      <c r="AK405" s="3" t="e">
        <f>#REF!</f>
        <v>#REF!</v>
      </c>
      <c r="AL405" s="3" t="e">
        <f>#REF!</f>
        <v>#REF!</v>
      </c>
      <c r="AM405" s="3" t="e">
        <f>#REF!</f>
        <v>#REF!</v>
      </c>
      <c r="AN405" s="3" t="e">
        <f>#REF!</f>
        <v>#REF!</v>
      </c>
      <c r="AO405" s="3" t="e">
        <f>#REF!</f>
        <v>#REF!</v>
      </c>
      <c r="AP405" s="9" t="e">
        <f>VLOOKUP(AG405,#REF!,10,FALSE)</f>
        <v>#REF!</v>
      </c>
      <c r="AQ405" s="8">
        <f>SUMIFS(Capacity!$G$2:$G$2820,Capacity!$B$2:$B$2820,Demand_Modeling!AG405)</f>
        <v>0</v>
      </c>
      <c r="AS405" s="2" t="e">
        <f t="shared" si="84"/>
        <v>#REF!</v>
      </c>
      <c r="AT405" s="2" t="e">
        <f t="shared" si="85"/>
        <v>#REF!</v>
      </c>
      <c r="AU405" s="2" t="e">
        <f t="shared" si="86"/>
        <v>#REF!</v>
      </c>
      <c r="AV405" s="2" t="e">
        <f t="shared" si="87"/>
        <v>#REF!</v>
      </c>
      <c r="AW405" s="2" t="e">
        <f t="shared" si="88"/>
        <v>#REF!</v>
      </c>
      <c r="AX405" s="2" t="e">
        <f t="shared" si="89"/>
        <v>#REF!</v>
      </c>
      <c r="AY405" s="2" t="e">
        <f t="shared" si="90"/>
        <v>#REF!</v>
      </c>
      <c r="AZ405" s="10">
        <f t="shared" si="91"/>
        <v>0</v>
      </c>
      <c r="BA405" s="5" t="e">
        <f t="shared" si="92"/>
        <v>#REF!</v>
      </c>
    </row>
    <row r="406" spans="33:53" x14ac:dyDescent="0.3">
      <c r="AG406" t="e">
        <f t="shared" si="83"/>
        <v>#REF!</v>
      </c>
      <c r="AH406" t="e">
        <f>#REF!</f>
        <v>#REF!</v>
      </c>
      <c r="AI406" t="e">
        <f>#REF!</f>
        <v>#REF!</v>
      </c>
      <c r="AJ406" s="3" t="e">
        <f>#REF!</f>
        <v>#REF!</v>
      </c>
      <c r="AK406" s="3" t="e">
        <f>#REF!</f>
        <v>#REF!</v>
      </c>
      <c r="AL406" s="3" t="e">
        <f>#REF!</f>
        <v>#REF!</v>
      </c>
      <c r="AM406" s="3" t="e">
        <f>#REF!</f>
        <v>#REF!</v>
      </c>
      <c r="AN406" s="3" t="e">
        <f>#REF!</f>
        <v>#REF!</v>
      </c>
      <c r="AO406" s="3" t="e">
        <f>#REF!</f>
        <v>#REF!</v>
      </c>
      <c r="AP406" s="9" t="e">
        <f>VLOOKUP(AG406,#REF!,10,FALSE)</f>
        <v>#REF!</v>
      </c>
      <c r="AQ406" s="8">
        <f>SUMIFS(Capacity!$G$2:$G$2820,Capacity!$B$2:$B$2820,Demand_Modeling!AG406)</f>
        <v>0</v>
      </c>
      <c r="AS406" s="2" t="e">
        <f t="shared" si="84"/>
        <v>#REF!</v>
      </c>
      <c r="AT406" s="2" t="e">
        <f t="shared" si="85"/>
        <v>#REF!</v>
      </c>
      <c r="AU406" s="2" t="e">
        <f t="shared" si="86"/>
        <v>#REF!</v>
      </c>
      <c r="AV406" s="2" t="e">
        <f t="shared" si="87"/>
        <v>#REF!</v>
      </c>
      <c r="AW406" s="2" t="e">
        <f t="shared" si="88"/>
        <v>#REF!</v>
      </c>
      <c r="AX406" s="2" t="e">
        <f t="shared" si="89"/>
        <v>#REF!</v>
      </c>
      <c r="AY406" s="2" t="e">
        <f t="shared" si="90"/>
        <v>#REF!</v>
      </c>
      <c r="AZ406" s="10">
        <f t="shared" si="91"/>
        <v>0</v>
      </c>
      <c r="BA406" s="5" t="e">
        <f t="shared" si="92"/>
        <v>#REF!</v>
      </c>
    </row>
    <row r="407" spans="33:53" x14ac:dyDescent="0.3">
      <c r="AG407" t="e">
        <f t="shared" si="83"/>
        <v>#REF!</v>
      </c>
      <c r="AH407" t="e">
        <f>#REF!</f>
        <v>#REF!</v>
      </c>
      <c r="AI407" t="e">
        <f>#REF!</f>
        <v>#REF!</v>
      </c>
      <c r="AJ407" s="3" t="e">
        <f>#REF!</f>
        <v>#REF!</v>
      </c>
      <c r="AK407" s="3" t="e">
        <f>#REF!</f>
        <v>#REF!</v>
      </c>
      <c r="AL407" s="3" t="e">
        <f>#REF!</f>
        <v>#REF!</v>
      </c>
      <c r="AM407" s="3" t="e">
        <f>#REF!</f>
        <v>#REF!</v>
      </c>
      <c r="AN407" s="3" t="e">
        <f>#REF!</f>
        <v>#REF!</v>
      </c>
      <c r="AO407" s="3" t="e">
        <f>#REF!</f>
        <v>#REF!</v>
      </c>
      <c r="AP407" s="9" t="e">
        <f>VLOOKUP(AG407,#REF!,10,FALSE)</f>
        <v>#REF!</v>
      </c>
      <c r="AQ407" s="8">
        <f>SUMIFS(Capacity!$G$2:$G$2820,Capacity!$B$2:$B$2820,Demand_Modeling!AG407)</f>
        <v>0</v>
      </c>
      <c r="AS407" s="2" t="e">
        <f t="shared" si="84"/>
        <v>#REF!</v>
      </c>
      <c r="AT407" s="2" t="e">
        <f t="shared" si="85"/>
        <v>#REF!</v>
      </c>
      <c r="AU407" s="2" t="e">
        <f t="shared" si="86"/>
        <v>#REF!</v>
      </c>
      <c r="AV407" s="2" t="e">
        <f t="shared" si="87"/>
        <v>#REF!</v>
      </c>
      <c r="AW407" s="2" t="e">
        <f t="shared" si="88"/>
        <v>#REF!</v>
      </c>
      <c r="AX407" s="2" t="e">
        <f t="shared" si="89"/>
        <v>#REF!</v>
      </c>
      <c r="AY407" s="2" t="e">
        <f t="shared" si="90"/>
        <v>#REF!</v>
      </c>
      <c r="AZ407" s="10">
        <f t="shared" si="91"/>
        <v>0</v>
      </c>
      <c r="BA407" s="5" t="e">
        <f t="shared" si="92"/>
        <v>#REF!</v>
      </c>
    </row>
    <row r="408" spans="33:53" x14ac:dyDescent="0.3">
      <c r="AG408" t="e">
        <f t="shared" si="83"/>
        <v>#REF!</v>
      </c>
      <c r="AH408" t="e">
        <f>#REF!</f>
        <v>#REF!</v>
      </c>
      <c r="AI408" t="e">
        <f>#REF!</f>
        <v>#REF!</v>
      </c>
      <c r="AJ408" s="3" t="e">
        <f>#REF!</f>
        <v>#REF!</v>
      </c>
      <c r="AK408" s="3" t="e">
        <f>#REF!</f>
        <v>#REF!</v>
      </c>
      <c r="AL408" s="3" t="e">
        <f>#REF!</f>
        <v>#REF!</v>
      </c>
      <c r="AM408" s="3" t="e">
        <f>#REF!</f>
        <v>#REF!</v>
      </c>
      <c r="AN408" s="3" t="e">
        <f>#REF!</f>
        <v>#REF!</v>
      </c>
      <c r="AO408" s="3" t="e">
        <f>#REF!</f>
        <v>#REF!</v>
      </c>
      <c r="AP408" s="9" t="e">
        <f>VLOOKUP(AG408,#REF!,10,FALSE)</f>
        <v>#REF!</v>
      </c>
      <c r="AQ408" s="8">
        <f>SUMIFS(Capacity!$G$2:$G$2820,Capacity!$B$2:$B$2820,Demand_Modeling!AG408)</f>
        <v>0</v>
      </c>
      <c r="AS408" s="2" t="e">
        <f t="shared" si="84"/>
        <v>#REF!</v>
      </c>
      <c r="AT408" s="2" t="e">
        <f t="shared" si="85"/>
        <v>#REF!</v>
      </c>
      <c r="AU408" s="2" t="e">
        <f t="shared" si="86"/>
        <v>#REF!</v>
      </c>
      <c r="AV408" s="2" t="e">
        <f t="shared" si="87"/>
        <v>#REF!</v>
      </c>
      <c r="AW408" s="2" t="e">
        <f t="shared" si="88"/>
        <v>#REF!</v>
      </c>
      <c r="AX408" s="2" t="e">
        <f t="shared" si="89"/>
        <v>#REF!</v>
      </c>
      <c r="AY408" s="2" t="e">
        <f t="shared" si="90"/>
        <v>#REF!</v>
      </c>
      <c r="AZ408" s="10">
        <f t="shared" si="91"/>
        <v>0</v>
      </c>
      <c r="BA408" s="5" t="e">
        <f t="shared" si="92"/>
        <v>#REF!</v>
      </c>
    </row>
    <row r="409" spans="33:53" x14ac:dyDescent="0.3">
      <c r="AG409" t="e">
        <f t="shared" si="83"/>
        <v>#REF!</v>
      </c>
      <c r="AH409" t="e">
        <f>#REF!</f>
        <v>#REF!</v>
      </c>
      <c r="AI409" t="e">
        <f>#REF!</f>
        <v>#REF!</v>
      </c>
      <c r="AJ409" s="3" t="e">
        <f>#REF!</f>
        <v>#REF!</v>
      </c>
      <c r="AK409" s="3" t="e">
        <f>#REF!</f>
        <v>#REF!</v>
      </c>
      <c r="AL409" s="3" t="e">
        <f>#REF!</f>
        <v>#REF!</v>
      </c>
      <c r="AM409" s="3" t="e">
        <f>#REF!</f>
        <v>#REF!</v>
      </c>
      <c r="AN409" s="3" t="e">
        <f>#REF!</f>
        <v>#REF!</v>
      </c>
      <c r="AO409" s="3" t="e">
        <f>#REF!</f>
        <v>#REF!</v>
      </c>
      <c r="AP409" s="9" t="e">
        <f>VLOOKUP(AG409,#REF!,10,FALSE)</f>
        <v>#REF!</v>
      </c>
      <c r="AQ409" s="8">
        <f>SUMIFS(Capacity!$G$2:$G$2820,Capacity!$B$2:$B$2820,Demand_Modeling!AG409)</f>
        <v>0</v>
      </c>
      <c r="AS409" s="2" t="e">
        <f t="shared" si="84"/>
        <v>#REF!</v>
      </c>
      <c r="AT409" s="2" t="e">
        <f t="shared" si="85"/>
        <v>#REF!</v>
      </c>
      <c r="AU409" s="2" t="e">
        <f t="shared" si="86"/>
        <v>#REF!</v>
      </c>
      <c r="AV409" s="2" t="e">
        <f t="shared" si="87"/>
        <v>#REF!</v>
      </c>
      <c r="AW409" s="2" t="e">
        <f t="shared" si="88"/>
        <v>#REF!</v>
      </c>
      <c r="AX409" s="2" t="e">
        <f t="shared" si="89"/>
        <v>#REF!</v>
      </c>
      <c r="AY409" s="2" t="e">
        <f t="shared" si="90"/>
        <v>#REF!</v>
      </c>
      <c r="AZ409" s="10">
        <f t="shared" si="91"/>
        <v>0</v>
      </c>
      <c r="BA409" s="5" t="e">
        <f t="shared" si="92"/>
        <v>#REF!</v>
      </c>
    </row>
    <row r="410" spans="33:53" x14ac:dyDescent="0.3">
      <c r="AG410" t="e">
        <f t="shared" si="83"/>
        <v>#REF!</v>
      </c>
      <c r="AH410" t="e">
        <f>#REF!</f>
        <v>#REF!</v>
      </c>
      <c r="AI410" t="e">
        <f>#REF!</f>
        <v>#REF!</v>
      </c>
      <c r="AJ410" s="3" t="e">
        <f>#REF!</f>
        <v>#REF!</v>
      </c>
      <c r="AK410" s="3" t="e">
        <f>#REF!</f>
        <v>#REF!</v>
      </c>
      <c r="AL410" s="3" t="e">
        <f>#REF!</f>
        <v>#REF!</v>
      </c>
      <c r="AM410" s="3" t="e">
        <f>#REF!</f>
        <v>#REF!</v>
      </c>
      <c r="AN410" s="3" t="e">
        <f>#REF!</f>
        <v>#REF!</v>
      </c>
      <c r="AO410" s="3" t="e">
        <f>#REF!</f>
        <v>#REF!</v>
      </c>
      <c r="AP410" s="9" t="e">
        <f>VLOOKUP(AG410,#REF!,10,FALSE)</f>
        <v>#REF!</v>
      </c>
      <c r="AQ410" s="8">
        <f>SUMIFS(Capacity!$G$2:$G$2820,Capacity!$B$2:$B$2820,Demand_Modeling!AG410)</f>
        <v>0</v>
      </c>
      <c r="AS410" s="2" t="e">
        <f t="shared" si="84"/>
        <v>#REF!</v>
      </c>
      <c r="AT410" s="2" t="e">
        <f t="shared" si="85"/>
        <v>#REF!</v>
      </c>
      <c r="AU410" s="2" t="e">
        <f t="shared" si="86"/>
        <v>#REF!</v>
      </c>
      <c r="AV410" s="2" t="e">
        <f t="shared" si="87"/>
        <v>#REF!</v>
      </c>
      <c r="AW410" s="2" t="e">
        <f t="shared" si="88"/>
        <v>#REF!</v>
      </c>
      <c r="AX410" s="2" t="e">
        <f t="shared" si="89"/>
        <v>#REF!</v>
      </c>
      <c r="AY410" s="2" t="e">
        <f t="shared" si="90"/>
        <v>#REF!</v>
      </c>
      <c r="AZ410" s="10">
        <f t="shared" si="91"/>
        <v>0</v>
      </c>
      <c r="BA410" s="5" t="e">
        <f t="shared" si="92"/>
        <v>#REF!</v>
      </c>
    </row>
    <row r="411" spans="33:53" x14ac:dyDescent="0.3">
      <c r="AG411" t="e">
        <f t="shared" si="83"/>
        <v>#REF!</v>
      </c>
      <c r="AH411" t="e">
        <f>#REF!</f>
        <v>#REF!</v>
      </c>
      <c r="AI411" t="e">
        <f>#REF!</f>
        <v>#REF!</v>
      </c>
      <c r="AJ411" s="3" t="e">
        <f>#REF!</f>
        <v>#REF!</v>
      </c>
      <c r="AK411" s="3" t="e">
        <f>#REF!</f>
        <v>#REF!</v>
      </c>
      <c r="AL411" s="3" t="e">
        <f>#REF!</f>
        <v>#REF!</v>
      </c>
      <c r="AM411" s="3" t="e">
        <f>#REF!</f>
        <v>#REF!</v>
      </c>
      <c r="AN411" s="3" t="e">
        <f>#REF!</f>
        <v>#REF!</v>
      </c>
      <c r="AO411" s="3" t="e">
        <f>#REF!</f>
        <v>#REF!</v>
      </c>
      <c r="AP411" s="9" t="e">
        <f>VLOOKUP(AG411,#REF!,10,FALSE)</f>
        <v>#REF!</v>
      </c>
      <c r="AQ411" s="8">
        <f>SUMIFS(Capacity!$G$2:$G$2820,Capacity!$B$2:$B$2820,Demand_Modeling!AG411)</f>
        <v>0</v>
      </c>
      <c r="AS411" s="2" t="e">
        <f t="shared" si="84"/>
        <v>#REF!</v>
      </c>
      <c r="AT411" s="2" t="e">
        <f t="shared" si="85"/>
        <v>#REF!</v>
      </c>
      <c r="AU411" s="2" t="e">
        <f t="shared" si="86"/>
        <v>#REF!</v>
      </c>
      <c r="AV411" s="2" t="e">
        <f t="shared" si="87"/>
        <v>#REF!</v>
      </c>
      <c r="AW411" s="2" t="e">
        <f t="shared" si="88"/>
        <v>#REF!</v>
      </c>
      <c r="AX411" s="2" t="e">
        <f t="shared" si="89"/>
        <v>#REF!</v>
      </c>
      <c r="AY411" s="2" t="e">
        <f t="shared" si="90"/>
        <v>#REF!</v>
      </c>
      <c r="AZ411" s="10">
        <f t="shared" si="91"/>
        <v>0</v>
      </c>
      <c r="BA411" s="5" t="e">
        <f t="shared" si="92"/>
        <v>#REF!</v>
      </c>
    </row>
    <row r="412" spans="33:53" x14ac:dyDescent="0.3">
      <c r="AG412" t="e">
        <f t="shared" si="83"/>
        <v>#REF!</v>
      </c>
      <c r="AH412" t="e">
        <f>#REF!</f>
        <v>#REF!</v>
      </c>
      <c r="AI412" t="e">
        <f>#REF!</f>
        <v>#REF!</v>
      </c>
      <c r="AJ412" s="3" t="e">
        <f>#REF!</f>
        <v>#REF!</v>
      </c>
      <c r="AK412" s="3" t="e">
        <f>#REF!</f>
        <v>#REF!</v>
      </c>
      <c r="AL412" s="3" t="e">
        <f>#REF!</f>
        <v>#REF!</v>
      </c>
      <c r="AM412" s="3" t="e">
        <f>#REF!</f>
        <v>#REF!</v>
      </c>
      <c r="AN412" s="3" t="e">
        <f>#REF!</f>
        <v>#REF!</v>
      </c>
      <c r="AO412" s="3" t="e">
        <f>#REF!</f>
        <v>#REF!</v>
      </c>
      <c r="AP412" s="9" t="e">
        <f>VLOOKUP(AG412,#REF!,10,FALSE)</f>
        <v>#REF!</v>
      </c>
      <c r="AQ412" s="8">
        <f>SUMIFS(Capacity!$G$2:$G$2820,Capacity!$B$2:$B$2820,Demand_Modeling!AG412)</f>
        <v>0</v>
      </c>
      <c r="AS412" s="2" t="e">
        <f t="shared" si="84"/>
        <v>#REF!</v>
      </c>
      <c r="AT412" s="2" t="e">
        <f t="shared" si="85"/>
        <v>#REF!</v>
      </c>
      <c r="AU412" s="2" t="e">
        <f t="shared" si="86"/>
        <v>#REF!</v>
      </c>
      <c r="AV412" s="2" t="e">
        <f t="shared" si="87"/>
        <v>#REF!</v>
      </c>
      <c r="AW412" s="2" t="e">
        <f t="shared" si="88"/>
        <v>#REF!</v>
      </c>
      <c r="AX412" s="2" t="e">
        <f t="shared" si="89"/>
        <v>#REF!</v>
      </c>
      <c r="AY412" s="2" t="e">
        <f t="shared" si="90"/>
        <v>#REF!</v>
      </c>
      <c r="AZ412" s="10">
        <f t="shared" si="91"/>
        <v>0</v>
      </c>
      <c r="BA412" s="5" t="e">
        <f t="shared" si="92"/>
        <v>#REF!</v>
      </c>
    </row>
    <row r="413" spans="33:53" x14ac:dyDescent="0.3">
      <c r="AG413" t="e">
        <f t="shared" si="83"/>
        <v>#REF!</v>
      </c>
      <c r="AH413" t="e">
        <f>#REF!</f>
        <v>#REF!</v>
      </c>
      <c r="AI413" t="e">
        <f>#REF!</f>
        <v>#REF!</v>
      </c>
      <c r="AJ413" s="3" t="e">
        <f>#REF!</f>
        <v>#REF!</v>
      </c>
      <c r="AK413" s="3" t="e">
        <f>#REF!</f>
        <v>#REF!</v>
      </c>
      <c r="AL413" s="3" t="e">
        <f>#REF!</f>
        <v>#REF!</v>
      </c>
      <c r="AM413" s="3" t="e">
        <f>#REF!</f>
        <v>#REF!</v>
      </c>
      <c r="AN413" s="3" t="e">
        <f>#REF!</f>
        <v>#REF!</v>
      </c>
      <c r="AO413" s="3" t="e">
        <f>#REF!</f>
        <v>#REF!</v>
      </c>
      <c r="AP413" s="9" t="e">
        <f>VLOOKUP(AG413,#REF!,10,FALSE)</f>
        <v>#REF!</v>
      </c>
      <c r="AQ413" s="8">
        <f>SUMIFS(Capacity!$G$2:$G$2820,Capacity!$B$2:$B$2820,Demand_Modeling!AG413)</f>
        <v>0</v>
      </c>
      <c r="AS413" s="2" t="e">
        <f t="shared" si="84"/>
        <v>#REF!</v>
      </c>
      <c r="AT413" s="2" t="e">
        <f t="shared" si="85"/>
        <v>#REF!</v>
      </c>
      <c r="AU413" s="2" t="e">
        <f t="shared" si="86"/>
        <v>#REF!</v>
      </c>
      <c r="AV413" s="2" t="e">
        <f t="shared" si="87"/>
        <v>#REF!</v>
      </c>
      <c r="AW413" s="2" t="e">
        <f t="shared" si="88"/>
        <v>#REF!</v>
      </c>
      <c r="AX413" s="2" t="e">
        <f t="shared" si="89"/>
        <v>#REF!</v>
      </c>
      <c r="AY413" s="2" t="e">
        <f t="shared" si="90"/>
        <v>#REF!</v>
      </c>
      <c r="AZ413" s="10">
        <f t="shared" si="91"/>
        <v>0</v>
      </c>
      <c r="BA413" s="5" t="e">
        <f t="shared" si="92"/>
        <v>#REF!</v>
      </c>
    </row>
    <row r="414" spans="33:53" x14ac:dyDescent="0.3">
      <c r="AG414" t="e">
        <f t="shared" si="83"/>
        <v>#REF!</v>
      </c>
      <c r="AH414" t="e">
        <f>#REF!</f>
        <v>#REF!</v>
      </c>
      <c r="AI414" t="e">
        <f>#REF!</f>
        <v>#REF!</v>
      </c>
      <c r="AJ414" s="3" t="e">
        <f>#REF!</f>
        <v>#REF!</v>
      </c>
      <c r="AK414" s="3" t="e">
        <f>#REF!</f>
        <v>#REF!</v>
      </c>
      <c r="AL414" s="3" t="e">
        <f>#REF!</f>
        <v>#REF!</v>
      </c>
      <c r="AM414" s="3" t="e">
        <f>#REF!</f>
        <v>#REF!</v>
      </c>
      <c r="AN414" s="3" t="e">
        <f>#REF!</f>
        <v>#REF!</v>
      </c>
      <c r="AO414" s="3" t="e">
        <f>#REF!</f>
        <v>#REF!</v>
      </c>
      <c r="AP414" s="9" t="e">
        <f>VLOOKUP(AG414,#REF!,10,FALSE)</f>
        <v>#REF!</v>
      </c>
      <c r="AQ414" s="8">
        <f>SUMIFS(Capacity!$G$2:$G$2820,Capacity!$B$2:$B$2820,Demand_Modeling!AG414)</f>
        <v>0</v>
      </c>
      <c r="AS414" s="2" t="e">
        <f t="shared" si="84"/>
        <v>#REF!</v>
      </c>
      <c r="AT414" s="2" t="e">
        <f t="shared" si="85"/>
        <v>#REF!</v>
      </c>
      <c r="AU414" s="2" t="e">
        <f t="shared" si="86"/>
        <v>#REF!</v>
      </c>
      <c r="AV414" s="2" t="e">
        <f t="shared" si="87"/>
        <v>#REF!</v>
      </c>
      <c r="AW414" s="2" t="e">
        <f t="shared" si="88"/>
        <v>#REF!</v>
      </c>
      <c r="AX414" s="2" t="e">
        <f t="shared" si="89"/>
        <v>#REF!</v>
      </c>
      <c r="AY414" s="2" t="e">
        <f t="shared" si="90"/>
        <v>#REF!</v>
      </c>
      <c r="AZ414" s="10">
        <f t="shared" si="91"/>
        <v>0</v>
      </c>
      <c r="BA414" s="5" t="e">
        <f t="shared" si="92"/>
        <v>#REF!</v>
      </c>
    </row>
    <row r="415" spans="33:53" x14ac:dyDescent="0.3">
      <c r="AG415" t="e">
        <f t="shared" si="83"/>
        <v>#REF!</v>
      </c>
      <c r="AH415" t="e">
        <f>#REF!</f>
        <v>#REF!</v>
      </c>
      <c r="AI415" t="e">
        <f>#REF!</f>
        <v>#REF!</v>
      </c>
      <c r="AJ415" s="3" t="e">
        <f>#REF!</f>
        <v>#REF!</v>
      </c>
      <c r="AK415" s="3" t="e">
        <f>#REF!</f>
        <v>#REF!</v>
      </c>
      <c r="AL415" s="3" t="e">
        <f>#REF!</f>
        <v>#REF!</v>
      </c>
      <c r="AM415" s="3" t="e">
        <f>#REF!</f>
        <v>#REF!</v>
      </c>
      <c r="AN415" s="3" t="e">
        <f>#REF!</f>
        <v>#REF!</v>
      </c>
      <c r="AO415" s="3" t="e">
        <f>#REF!</f>
        <v>#REF!</v>
      </c>
      <c r="AP415" s="9" t="e">
        <f>VLOOKUP(AG415,#REF!,10,FALSE)</f>
        <v>#REF!</v>
      </c>
      <c r="AQ415" s="8">
        <f>SUMIFS(Capacity!$G$2:$G$2820,Capacity!$B$2:$B$2820,Demand_Modeling!AG415)</f>
        <v>0</v>
      </c>
      <c r="AS415" s="2" t="e">
        <f t="shared" si="84"/>
        <v>#REF!</v>
      </c>
      <c r="AT415" s="2" t="e">
        <f t="shared" si="85"/>
        <v>#REF!</v>
      </c>
      <c r="AU415" s="2" t="e">
        <f t="shared" si="86"/>
        <v>#REF!</v>
      </c>
      <c r="AV415" s="2" t="e">
        <f t="shared" si="87"/>
        <v>#REF!</v>
      </c>
      <c r="AW415" s="2" t="e">
        <f t="shared" si="88"/>
        <v>#REF!</v>
      </c>
      <c r="AX415" s="2" t="e">
        <f t="shared" si="89"/>
        <v>#REF!</v>
      </c>
      <c r="AY415" s="2" t="e">
        <f t="shared" si="90"/>
        <v>#REF!</v>
      </c>
      <c r="AZ415" s="10">
        <f t="shared" si="91"/>
        <v>0</v>
      </c>
      <c r="BA415" s="5" t="e">
        <f t="shared" si="92"/>
        <v>#REF!</v>
      </c>
    </row>
    <row r="416" spans="33:53" x14ac:dyDescent="0.3">
      <c r="AG416" t="e">
        <f t="shared" si="83"/>
        <v>#REF!</v>
      </c>
      <c r="AH416" t="e">
        <f>#REF!</f>
        <v>#REF!</v>
      </c>
      <c r="AI416" t="e">
        <f>#REF!</f>
        <v>#REF!</v>
      </c>
      <c r="AJ416" s="3" t="e">
        <f>#REF!</f>
        <v>#REF!</v>
      </c>
      <c r="AK416" s="3" t="e">
        <f>#REF!</f>
        <v>#REF!</v>
      </c>
      <c r="AL416" s="3" t="e">
        <f>#REF!</f>
        <v>#REF!</v>
      </c>
      <c r="AM416" s="3" t="e">
        <f>#REF!</f>
        <v>#REF!</v>
      </c>
      <c r="AN416" s="3" t="e">
        <f>#REF!</f>
        <v>#REF!</v>
      </c>
      <c r="AO416" s="3" t="e">
        <f>#REF!</f>
        <v>#REF!</v>
      </c>
      <c r="AP416" s="9" t="e">
        <f>VLOOKUP(AG416,#REF!,10,FALSE)</f>
        <v>#REF!</v>
      </c>
      <c r="AQ416" s="8">
        <f>SUMIFS(Capacity!$G$2:$G$2820,Capacity!$B$2:$B$2820,Demand_Modeling!AG416)</f>
        <v>0</v>
      </c>
      <c r="AS416" s="2" t="e">
        <f t="shared" si="84"/>
        <v>#REF!</v>
      </c>
      <c r="AT416" s="2" t="e">
        <f t="shared" si="85"/>
        <v>#REF!</v>
      </c>
      <c r="AU416" s="2" t="e">
        <f t="shared" si="86"/>
        <v>#REF!</v>
      </c>
      <c r="AV416" s="2" t="e">
        <f t="shared" si="87"/>
        <v>#REF!</v>
      </c>
      <c r="AW416" s="2" t="e">
        <f t="shared" si="88"/>
        <v>#REF!</v>
      </c>
      <c r="AX416" s="2" t="e">
        <f t="shared" si="89"/>
        <v>#REF!</v>
      </c>
      <c r="AY416" s="2" t="e">
        <f t="shared" si="90"/>
        <v>#REF!</v>
      </c>
      <c r="AZ416" s="10">
        <f t="shared" si="91"/>
        <v>0</v>
      </c>
      <c r="BA416" s="5" t="e">
        <f t="shared" si="92"/>
        <v>#REF!</v>
      </c>
    </row>
    <row r="417" spans="33:53" x14ac:dyDescent="0.3">
      <c r="AG417" t="e">
        <f t="shared" si="83"/>
        <v>#REF!</v>
      </c>
      <c r="AH417" t="e">
        <f>#REF!</f>
        <v>#REF!</v>
      </c>
      <c r="AI417" t="e">
        <f>#REF!</f>
        <v>#REF!</v>
      </c>
      <c r="AJ417" s="3" t="e">
        <f>#REF!</f>
        <v>#REF!</v>
      </c>
      <c r="AK417" s="3" t="e">
        <f>#REF!</f>
        <v>#REF!</v>
      </c>
      <c r="AL417" s="3" t="e">
        <f>#REF!</f>
        <v>#REF!</v>
      </c>
      <c r="AM417" s="3" t="e">
        <f>#REF!</f>
        <v>#REF!</v>
      </c>
      <c r="AN417" s="3" t="e">
        <f>#REF!</f>
        <v>#REF!</v>
      </c>
      <c r="AO417" s="3" t="e">
        <f>#REF!</f>
        <v>#REF!</v>
      </c>
      <c r="AP417" s="9" t="e">
        <f>VLOOKUP(AG417,#REF!,10,FALSE)</f>
        <v>#REF!</v>
      </c>
      <c r="AQ417" s="8">
        <f>SUMIFS(Capacity!$G$2:$G$2820,Capacity!$B$2:$B$2820,Demand_Modeling!AG417)</f>
        <v>0</v>
      </c>
      <c r="AS417" s="2" t="e">
        <f t="shared" si="84"/>
        <v>#REF!</v>
      </c>
      <c r="AT417" s="2" t="e">
        <f t="shared" si="85"/>
        <v>#REF!</v>
      </c>
      <c r="AU417" s="2" t="e">
        <f t="shared" si="86"/>
        <v>#REF!</v>
      </c>
      <c r="AV417" s="2" t="e">
        <f t="shared" si="87"/>
        <v>#REF!</v>
      </c>
      <c r="AW417" s="2" t="e">
        <f t="shared" si="88"/>
        <v>#REF!</v>
      </c>
      <c r="AX417" s="2" t="e">
        <f t="shared" si="89"/>
        <v>#REF!</v>
      </c>
      <c r="AY417" s="2" t="e">
        <f t="shared" si="90"/>
        <v>#REF!</v>
      </c>
      <c r="AZ417" s="10">
        <f t="shared" si="91"/>
        <v>0</v>
      </c>
      <c r="BA417" s="5" t="e">
        <f t="shared" si="92"/>
        <v>#REF!</v>
      </c>
    </row>
    <row r="418" spans="33:53" x14ac:dyDescent="0.3">
      <c r="AG418" t="e">
        <f t="shared" si="83"/>
        <v>#REF!</v>
      </c>
      <c r="AH418" t="e">
        <f>#REF!</f>
        <v>#REF!</v>
      </c>
      <c r="AI418" t="e">
        <f>#REF!</f>
        <v>#REF!</v>
      </c>
      <c r="AJ418" s="3" t="e">
        <f>#REF!</f>
        <v>#REF!</v>
      </c>
      <c r="AK418" s="3" t="e">
        <f>#REF!</f>
        <v>#REF!</v>
      </c>
      <c r="AL418" s="3" t="e">
        <f>#REF!</f>
        <v>#REF!</v>
      </c>
      <c r="AM418" s="3" t="e">
        <f>#REF!</f>
        <v>#REF!</v>
      </c>
      <c r="AN418" s="3" t="e">
        <f>#REF!</f>
        <v>#REF!</v>
      </c>
      <c r="AO418" s="3" t="e">
        <f>#REF!</f>
        <v>#REF!</v>
      </c>
      <c r="AP418" s="9" t="e">
        <f>VLOOKUP(AG418,#REF!,10,FALSE)</f>
        <v>#REF!</v>
      </c>
      <c r="AQ418" s="8">
        <f>SUMIFS(Capacity!$G$2:$G$2820,Capacity!$B$2:$B$2820,Demand_Modeling!AG418)</f>
        <v>0</v>
      </c>
      <c r="AS418" s="2" t="e">
        <f t="shared" si="84"/>
        <v>#REF!</v>
      </c>
      <c r="AT418" s="2" t="e">
        <f t="shared" si="85"/>
        <v>#REF!</v>
      </c>
      <c r="AU418" s="2" t="e">
        <f t="shared" si="86"/>
        <v>#REF!</v>
      </c>
      <c r="AV418" s="2" t="e">
        <f t="shared" si="87"/>
        <v>#REF!</v>
      </c>
      <c r="AW418" s="2" t="e">
        <f t="shared" si="88"/>
        <v>#REF!</v>
      </c>
      <c r="AX418" s="2" t="e">
        <f t="shared" si="89"/>
        <v>#REF!</v>
      </c>
      <c r="AY418" s="2" t="e">
        <f t="shared" si="90"/>
        <v>#REF!</v>
      </c>
      <c r="AZ418" s="10">
        <f t="shared" si="91"/>
        <v>0</v>
      </c>
      <c r="BA418" s="5" t="e">
        <f t="shared" si="92"/>
        <v>#REF!</v>
      </c>
    </row>
    <row r="419" spans="33:53" x14ac:dyDescent="0.3">
      <c r="AG419" t="e">
        <f t="shared" si="83"/>
        <v>#REF!</v>
      </c>
      <c r="AH419" t="e">
        <f>#REF!</f>
        <v>#REF!</v>
      </c>
      <c r="AI419" t="e">
        <f>#REF!</f>
        <v>#REF!</v>
      </c>
      <c r="AJ419" s="3" t="e">
        <f>#REF!</f>
        <v>#REF!</v>
      </c>
      <c r="AK419" s="3" t="e">
        <f>#REF!</f>
        <v>#REF!</v>
      </c>
      <c r="AL419" s="3" t="e">
        <f>#REF!</f>
        <v>#REF!</v>
      </c>
      <c r="AM419" s="3" t="e">
        <f>#REF!</f>
        <v>#REF!</v>
      </c>
      <c r="AN419" s="3" t="e">
        <f>#REF!</f>
        <v>#REF!</v>
      </c>
      <c r="AO419" s="3" t="e">
        <f>#REF!</f>
        <v>#REF!</v>
      </c>
      <c r="AP419" s="9" t="e">
        <f>VLOOKUP(AG419,#REF!,10,FALSE)</f>
        <v>#REF!</v>
      </c>
      <c r="AQ419" s="8">
        <f>SUMIFS(Capacity!$G$2:$G$2820,Capacity!$B$2:$B$2820,Demand_Modeling!AG419)</f>
        <v>0</v>
      </c>
      <c r="AS419" s="2" t="e">
        <f t="shared" si="84"/>
        <v>#REF!</v>
      </c>
      <c r="AT419" s="2" t="e">
        <f t="shared" si="85"/>
        <v>#REF!</v>
      </c>
      <c r="AU419" s="2" t="e">
        <f t="shared" si="86"/>
        <v>#REF!</v>
      </c>
      <c r="AV419" s="2" t="e">
        <f t="shared" si="87"/>
        <v>#REF!</v>
      </c>
      <c r="AW419" s="2" t="e">
        <f t="shared" si="88"/>
        <v>#REF!</v>
      </c>
      <c r="AX419" s="2" t="e">
        <f t="shared" si="89"/>
        <v>#REF!</v>
      </c>
      <c r="AY419" s="2" t="e">
        <f t="shared" si="90"/>
        <v>#REF!</v>
      </c>
      <c r="AZ419" s="10">
        <f t="shared" si="91"/>
        <v>0</v>
      </c>
      <c r="BA419" s="5" t="e">
        <f t="shared" si="92"/>
        <v>#REF!</v>
      </c>
    </row>
    <row r="420" spans="33:53" x14ac:dyDescent="0.3">
      <c r="AG420" t="e">
        <f t="shared" si="83"/>
        <v>#REF!</v>
      </c>
      <c r="AH420" t="e">
        <f>#REF!</f>
        <v>#REF!</v>
      </c>
      <c r="AI420" t="e">
        <f>#REF!</f>
        <v>#REF!</v>
      </c>
      <c r="AJ420" s="3" t="e">
        <f>#REF!</f>
        <v>#REF!</v>
      </c>
      <c r="AK420" s="3" t="e">
        <f>#REF!</f>
        <v>#REF!</v>
      </c>
      <c r="AL420" s="3" t="e">
        <f>#REF!</f>
        <v>#REF!</v>
      </c>
      <c r="AM420" s="3" t="e">
        <f>#REF!</f>
        <v>#REF!</v>
      </c>
      <c r="AN420" s="3" t="e">
        <f>#REF!</f>
        <v>#REF!</v>
      </c>
      <c r="AO420" s="3" t="e">
        <f>#REF!</f>
        <v>#REF!</v>
      </c>
      <c r="AP420" s="9" t="e">
        <f>VLOOKUP(AG420,#REF!,10,FALSE)</f>
        <v>#REF!</v>
      </c>
      <c r="AQ420" s="8">
        <f>SUMIFS(Capacity!$G$2:$G$2820,Capacity!$B$2:$B$2820,Demand_Modeling!AG420)</f>
        <v>0</v>
      </c>
      <c r="AS420" s="2" t="e">
        <f t="shared" si="84"/>
        <v>#REF!</v>
      </c>
      <c r="AT420" s="2" t="e">
        <f t="shared" si="85"/>
        <v>#REF!</v>
      </c>
      <c r="AU420" s="2" t="e">
        <f t="shared" si="86"/>
        <v>#REF!</v>
      </c>
      <c r="AV420" s="2" t="e">
        <f t="shared" si="87"/>
        <v>#REF!</v>
      </c>
      <c r="AW420" s="2" t="e">
        <f t="shared" si="88"/>
        <v>#REF!</v>
      </c>
      <c r="AX420" s="2" t="e">
        <f t="shared" si="89"/>
        <v>#REF!</v>
      </c>
      <c r="AY420" s="2" t="e">
        <f t="shared" si="90"/>
        <v>#REF!</v>
      </c>
      <c r="AZ420" s="10">
        <f t="shared" si="91"/>
        <v>0</v>
      </c>
      <c r="BA420" s="5" t="e">
        <f t="shared" si="92"/>
        <v>#REF!</v>
      </c>
    </row>
    <row r="421" spans="33:53" x14ac:dyDescent="0.3">
      <c r="AG421" t="e">
        <f t="shared" si="83"/>
        <v>#REF!</v>
      </c>
      <c r="AH421" t="e">
        <f>#REF!</f>
        <v>#REF!</v>
      </c>
      <c r="AI421" t="e">
        <f>#REF!</f>
        <v>#REF!</v>
      </c>
      <c r="AJ421" s="3" t="e">
        <f>#REF!</f>
        <v>#REF!</v>
      </c>
      <c r="AK421" s="3" t="e">
        <f>#REF!</f>
        <v>#REF!</v>
      </c>
      <c r="AL421" s="3" t="e">
        <f>#REF!</f>
        <v>#REF!</v>
      </c>
      <c r="AM421" s="3" t="e">
        <f>#REF!</f>
        <v>#REF!</v>
      </c>
      <c r="AN421" s="3" t="e">
        <f>#REF!</f>
        <v>#REF!</v>
      </c>
      <c r="AO421" s="3" t="e">
        <f>#REF!</f>
        <v>#REF!</v>
      </c>
      <c r="AP421" s="9" t="e">
        <f>VLOOKUP(AG421,#REF!,10,FALSE)</f>
        <v>#REF!</v>
      </c>
      <c r="AQ421" s="8">
        <f>SUMIFS(Capacity!$G$2:$G$2820,Capacity!$B$2:$B$2820,Demand_Modeling!AG421)</f>
        <v>0</v>
      </c>
      <c r="AS421" s="2" t="e">
        <f t="shared" si="84"/>
        <v>#REF!</v>
      </c>
      <c r="AT421" s="2" t="e">
        <f t="shared" si="85"/>
        <v>#REF!</v>
      </c>
      <c r="AU421" s="2" t="e">
        <f t="shared" si="86"/>
        <v>#REF!</v>
      </c>
      <c r="AV421" s="2" t="e">
        <f t="shared" si="87"/>
        <v>#REF!</v>
      </c>
      <c r="AW421" s="2" t="e">
        <f t="shared" si="88"/>
        <v>#REF!</v>
      </c>
      <c r="AX421" s="2" t="e">
        <f t="shared" si="89"/>
        <v>#REF!</v>
      </c>
      <c r="AY421" s="2" t="e">
        <f t="shared" si="90"/>
        <v>#REF!</v>
      </c>
      <c r="AZ421" s="10">
        <f t="shared" si="91"/>
        <v>0</v>
      </c>
      <c r="BA421" s="5" t="e">
        <f t="shared" si="92"/>
        <v>#REF!</v>
      </c>
    </row>
    <row r="422" spans="33:53" x14ac:dyDescent="0.3">
      <c r="AG422" t="e">
        <f t="shared" si="83"/>
        <v>#REF!</v>
      </c>
      <c r="AH422" t="e">
        <f>#REF!</f>
        <v>#REF!</v>
      </c>
      <c r="AI422" t="e">
        <f>#REF!</f>
        <v>#REF!</v>
      </c>
      <c r="AJ422" s="3" t="e">
        <f>#REF!</f>
        <v>#REF!</v>
      </c>
      <c r="AK422" s="3" t="e">
        <f>#REF!</f>
        <v>#REF!</v>
      </c>
      <c r="AL422" s="3" t="e">
        <f>#REF!</f>
        <v>#REF!</v>
      </c>
      <c r="AM422" s="3" t="e">
        <f>#REF!</f>
        <v>#REF!</v>
      </c>
      <c r="AN422" s="3" t="e">
        <f>#REF!</f>
        <v>#REF!</v>
      </c>
      <c r="AO422" s="3" t="e">
        <f>#REF!</f>
        <v>#REF!</v>
      </c>
      <c r="AP422" s="9" t="e">
        <f>VLOOKUP(AG422,#REF!,10,FALSE)</f>
        <v>#REF!</v>
      </c>
      <c r="AQ422" s="8">
        <f>SUMIFS(Capacity!$G$2:$G$2820,Capacity!$B$2:$B$2820,Demand_Modeling!AG422)</f>
        <v>0</v>
      </c>
      <c r="AS422" s="2" t="e">
        <f t="shared" si="84"/>
        <v>#REF!</v>
      </c>
      <c r="AT422" s="2" t="e">
        <f t="shared" si="85"/>
        <v>#REF!</v>
      </c>
      <c r="AU422" s="2" t="e">
        <f t="shared" si="86"/>
        <v>#REF!</v>
      </c>
      <c r="AV422" s="2" t="e">
        <f t="shared" si="87"/>
        <v>#REF!</v>
      </c>
      <c r="AW422" s="2" t="e">
        <f t="shared" si="88"/>
        <v>#REF!</v>
      </c>
      <c r="AX422" s="2" t="e">
        <f t="shared" si="89"/>
        <v>#REF!</v>
      </c>
      <c r="AY422" s="2" t="e">
        <f t="shared" si="90"/>
        <v>#REF!</v>
      </c>
      <c r="AZ422" s="10">
        <f t="shared" si="91"/>
        <v>0</v>
      </c>
      <c r="BA422" s="5" t="e">
        <f t="shared" si="92"/>
        <v>#REF!</v>
      </c>
    </row>
    <row r="423" spans="33:53" x14ac:dyDescent="0.3">
      <c r="AG423" t="e">
        <f t="shared" si="83"/>
        <v>#REF!</v>
      </c>
      <c r="AH423" t="e">
        <f>#REF!</f>
        <v>#REF!</v>
      </c>
      <c r="AI423" t="e">
        <f>#REF!</f>
        <v>#REF!</v>
      </c>
      <c r="AJ423" s="3" t="e">
        <f>#REF!</f>
        <v>#REF!</v>
      </c>
      <c r="AK423" s="3" t="e">
        <f>#REF!</f>
        <v>#REF!</v>
      </c>
      <c r="AL423" s="3" t="e">
        <f>#REF!</f>
        <v>#REF!</v>
      </c>
      <c r="AM423" s="3" t="e">
        <f>#REF!</f>
        <v>#REF!</v>
      </c>
      <c r="AN423" s="3" t="e">
        <f>#REF!</f>
        <v>#REF!</v>
      </c>
      <c r="AO423" s="3" t="e">
        <f>#REF!</f>
        <v>#REF!</v>
      </c>
      <c r="AP423" s="9" t="e">
        <f>VLOOKUP(AG423,#REF!,10,FALSE)</f>
        <v>#REF!</v>
      </c>
      <c r="AQ423" s="8">
        <f>SUMIFS(Capacity!$G$2:$G$2820,Capacity!$B$2:$B$2820,Demand_Modeling!AG423)</f>
        <v>0</v>
      </c>
      <c r="AS423" s="2" t="e">
        <f t="shared" si="84"/>
        <v>#REF!</v>
      </c>
      <c r="AT423" s="2" t="e">
        <f t="shared" si="85"/>
        <v>#REF!</v>
      </c>
      <c r="AU423" s="2" t="e">
        <f t="shared" si="86"/>
        <v>#REF!</v>
      </c>
      <c r="AV423" s="2" t="e">
        <f t="shared" si="87"/>
        <v>#REF!</v>
      </c>
      <c r="AW423" s="2" t="e">
        <f t="shared" si="88"/>
        <v>#REF!</v>
      </c>
      <c r="AX423" s="2" t="e">
        <f t="shared" si="89"/>
        <v>#REF!</v>
      </c>
      <c r="AY423" s="2" t="e">
        <f t="shared" si="90"/>
        <v>#REF!</v>
      </c>
      <c r="AZ423" s="10">
        <f t="shared" si="91"/>
        <v>0</v>
      </c>
      <c r="BA423" s="5" t="e">
        <f t="shared" si="92"/>
        <v>#REF!</v>
      </c>
    </row>
    <row r="424" spans="33:53" x14ac:dyDescent="0.3">
      <c r="AG424" t="e">
        <f t="shared" si="83"/>
        <v>#REF!</v>
      </c>
      <c r="AH424" t="e">
        <f>#REF!</f>
        <v>#REF!</v>
      </c>
      <c r="AI424" t="e">
        <f>#REF!</f>
        <v>#REF!</v>
      </c>
      <c r="AJ424" s="3" t="e">
        <f>#REF!</f>
        <v>#REF!</v>
      </c>
      <c r="AK424" s="3" t="e">
        <f>#REF!</f>
        <v>#REF!</v>
      </c>
      <c r="AL424" s="3" t="e">
        <f>#REF!</f>
        <v>#REF!</v>
      </c>
      <c r="AM424" s="3" t="e">
        <f>#REF!</f>
        <v>#REF!</v>
      </c>
      <c r="AN424" s="3" t="e">
        <f>#REF!</f>
        <v>#REF!</v>
      </c>
      <c r="AO424" s="3" t="e">
        <f>#REF!</f>
        <v>#REF!</v>
      </c>
      <c r="AP424" s="9" t="e">
        <f>VLOOKUP(AG424,#REF!,10,FALSE)</f>
        <v>#REF!</v>
      </c>
      <c r="AQ424" s="8">
        <f>SUMIFS(Capacity!$G$2:$G$2820,Capacity!$B$2:$B$2820,Demand_Modeling!AG424)</f>
        <v>0</v>
      </c>
      <c r="AS424" s="2" t="e">
        <f t="shared" si="84"/>
        <v>#REF!</v>
      </c>
      <c r="AT424" s="2" t="e">
        <f t="shared" si="85"/>
        <v>#REF!</v>
      </c>
      <c r="AU424" s="2" t="e">
        <f t="shared" si="86"/>
        <v>#REF!</v>
      </c>
      <c r="AV424" s="2" t="e">
        <f t="shared" si="87"/>
        <v>#REF!</v>
      </c>
      <c r="AW424" s="2" t="e">
        <f t="shared" si="88"/>
        <v>#REF!</v>
      </c>
      <c r="AX424" s="2" t="e">
        <f t="shared" si="89"/>
        <v>#REF!</v>
      </c>
      <c r="AY424" s="2" t="e">
        <f t="shared" si="90"/>
        <v>#REF!</v>
      </c>
      <c r="AZ424" s="10">
        <f t="shared" si="91"/>
        <v>0</v>
      </c>
      <c r="BA424" s="5" t="e">
        <f t="shared" si="92"/>
        <v>#REF!</v>
      </c>
    </row>
    <row r="425" spans="33:53" x14ac:dyDescent="0.3">
      <c r="AG425" t="e">
        <f t="shared" si="83"/>
        <v>#REF!</v>
      </c>
      <c r="AH425" t="e">
        <f>#REF!</f>
        <v>#REF!</v>
      </c>
      <c r="AI425" t="e">
        <f>#REF!</f>
        <v>#REF!</v>
      </c>
      <c r="AJ425" s="3" t="e">
        <f>#REF!</f>
        <v>#REF!</v>
      </c>
      <c r="AK425" s="3" t="e">
        <f>#REF!</f>
        <v>#REF!</v>
      </c>
      <c r="AL425" s="3" t="e">
        <f>#REF!</f>
        <v>#REF!</v>
      </c>
      <c r="AM425" s="3" t="e">
        <f>#REF!</f>
        <v>#REF!</v>
      </c>
      <c r="AN425" s="3" t="e">
        <f>#REF!</f>
        <v>#REF!</v>
      </c>
      <c r="AO425" s="3" t="e">
        <f>#REF!</f>
        <v>#REF!</v>
      </c>
      <c r="AP425" s="9" t="e">
        <f>VLOOKUP(AG425,#REF!,10,FALSE)</f>
        <v>#REF!</v>
      </c>
      <c r="AQ425" s="8">
        <f>SUMIFS(Capacity!$G$2:$G$2820,Capacity!$B$2:$B$2820,Demand_Modeling!AG425)</f>
        <v>0</v>
      </c>
      <c r="AS425" s="2" t="e">
        <f t="shared" si="84"/>
        <v>#REF!</v>
      </c>
      <c r="AT425" s="2" t="e">
        <f t="shared" si="85"/>
        <v>#REF!</v>
      </c>
      <c r="AU425" s="2" t="e">
        <f t="shared" si="86"/>
        <v>#REF!</v>
      </c>
      <c r="AV425" s="2" t="e">
        <f t="shared" si="87"/>
        <v>#REF!</v>
      </c>
      <c r="AW425" s="2" t="e">
        <f t="shared" si="88"/>
        <v>#REF!</v>
      </c>
      <c r="AX425" s="2" t="e">
        <f t="shared" si="89"/>
        <v>#REF!</v>
      </c>
      <c r="AY425" s="2" t="e">
        <f t="shared" si="90"/>
        <v>#REF!</v>
      </c>
      <c r="AZ425" s="10">
        <f t="shared" si="91"/>
        <v>0</v>
      </c>
      <c r="BA425" s="5" t="e">
        <f t="shared" si="92"/>
        <v>#REF!</v>
      </c>
    </row>
    <row r="426" spans="33:53" x14ac:dyDescent="0.3">
      <c r="AG426" t="e">
        <f t="shared" si="83"/>
        <v>#REF!</v>
      </c>
      <c r="AH426" t="e">
        <f>#REF!</f>
        <v>#REF!</v>
      </c>
      <c r="AI426" t="e">
        <f>#REF!</f>
        <v>#REF!</v>
      </c>
      <c r="AJ426" s="3" t="e">
        <f>#REF!</f>
        <v>#REF!</v>
      </c>
      <c r="AK426" s="3" t="e">
        <f>#REF!</f>
        <v>#REF!</v>
      </c>
      <c r="AL426" s="3" t="e">
        <f>#REF!</f>
        <v>#REF!</v>
      </c>
      <c r="AM426" s="3" t="e">
        <f>#REF!</f>
        <v>#REF!</v>
      </c>
      <c r="AN426" s="3" t="e">
        <f>#REF!</f>
        <v>#REF!</v>
      </c>
      <c r="AO426" s="3" t="e">
        <f>#REF!</f>
        <v>#REF!</v>
      </c>
      <c r="AP426" s="9" t="e">
        <f>VLOOKUP(AG426,#REF!,10,FALSE)</f>
        <v>#REF!</v>
      </c>
      <c r="AQ426" s="8">
        <f>SUMIFS(Capacity!$G$2:$G$2820,Capacity!$B$2:$B$2820,Demand_Modeling!AG426)</f>
        <v>0</v>
      </c>
      <c r="AS426" s="2" t="e">
        <f t="shared" si="84"/>
        <v>#REF!</v>
      </c>
      <c r="AT426" s="2" t="e">
        <f t="shared" si="85"/>
        <v>#REF!</v>
      </c>
      <c r="AU426" s="2" t="e">
        <f t="shared" si="86"/>
        <v>#REF!</v>
      </c>
      <c r="AV426" s="2" t="e">
        <f t="shared" si="87"/>
        <v>#REF!</v>
      </c>
      <c r="AW426" s="2" t="e">
        <f t="shared" si="88"/>
        <v>#REF!</v>
      </c>
      <c r="AX426" s="2" t="e">
        <f t="shared" si="89"/>
        <v>#REF!</v>
      </c>
      <c r="AY426" s="2" t="e">
        <f t="shared" si="90"/>
        <v>#REF!</v>
      </c>
      <c r="AZ426" s="10">
        <f t="shared" si="91"/>
        <v>0</v>
      </c>
      <c r="BA426" s="5" t="e">
        <f t="shared" si="92"/>
        <v>#REF!</v>
      </c>
    </row>
    <row r="427" spans="33:53" x14ac:dyDescent="0.3">
      <c r="AG427" t="e">
        <f t="shared" si="83"/>
        <v>#REF!</v>
      </c>
      <c r="AH427" t="e">
        <f>#REF!</f>
        <v>#REF!</v>
      </c>
      <c r="AI427" t="e">
        <f>#REF!</f>
        <v>#REF!</v>
      </c>
      <c r="AJ427" s="3" t="e">
        <f>#REF!</f>
        <v>#REF!</v>
      </c>
      <c r="AK427" s="3" t="e">
        <f>#REF!</f>
        <v>#REF!</v>
      </c>
      <c r="AL427" s="3" t="e">
        <f>#REF!</f>
        <v>#REF!</v>
      </c>
      <c r="AM427" s="3" t="e">
        <f>#REF!</f>
        <v>#REF!</v>
      </c>
      <c r="AN427" s="3" t="e">
        <f>#REF!</f>
        <v>#REF!</v>
      </c>
      <c r="AO427" s="3" t="e">
        <f>#REF!</f>
        <v>#REF!</v>
      </c>
      <c r="AP427" s="9" t="e">
        <f>VLOOKUP(AG427,#REF!,10,FALSE)</f>
        <v>#REF!</v>
      </c>
      <c r="AQ427" s="8">
        <f>SUMIFS(Capacity!$G$2:$G$2820,Capacity!$B$2:$B$2820,Demand_Modeling!AG427)</f>
        <v>0</v>
      </c>
      <c r="AS427" s="2" t="e">
        <f t="shared" si="84"/>
        <v>#REF!</v>
      </c>
      <c r="AT427" s="2" t="e">
        <f t="shared" si="85"/>
        <v>#REF!</v>
      </c>
      <c r="AU427" s="2" t="e">
        <f t="shared" si="86"/>
        <v>#REF!</v>
      </c>
      <c r="AV427" s="2" t="e">
        <f t="shared" si="87"/>
        <v>#REF!</v>
      </c>
      <c r="AW427" s="2" t="e">
        <f t="shared" si="88"/>
        <v>#REF!</v>
      </c>
      <c r="AX427" s="2" t="e">
        <f t="shared" si="89"/>
        <v>#REF!</v>
      </c>
      <c r="AY427" s="2" t="e">
        <f t="shared" si="90"/>
        <v>#REF!</v>
      </c>
      <c r="AZ427" s="10">
        <f t="shared" si="91"/>
        <v>0</v>
      </c>
      <c r="BA427" s="5" t="e">
        <f t="shared" si="92"/>
        <v>#REF!</v>
      </c>
    </row>
    <row r="428" spans="33:53" x14ac:dyDescent="0.3">
      <c r="AG428" t="e">
        <f t="shared" si="83"/>
        <v>#REF!</v>
      </c>
      <c r="AH428" t="e">
        <f>#REF!</f>
        <v>#REF!</v>
      </c>
      <c r="AI428" t="e">
        <f>#REF!</f>
        <v>#REF!</v>
      </c>
      <c r="AJ428" s="3" t="e">
        <f>#REF!</f>
        <v>#REF!</v>
      </c>
      <c r="AK428" s="3" t="e">
        <f>#REF!</f>
        <v>#REF!</v>
      </c>
      <c r="AL428" s="3" t="e">
        <f>#REF!</f>
        <v>#REF!</v>
      </c>
      <c r="AM428" s="3" t="e">
        <f>#REF!</f>
        <v>#REF!</v>
      </c>
      <c r="AN428" s="3" t="e">
        <f>#REF!</f>
        <v>#REF!</v>
      </c>
      <c r="AO428" s="3" t="e">
        <f>#REF!</f>
        <v>#REF!</v>
      </c>
      <c r="AP428" s="9" t="e">
        <f>VLOOKUP(AG428,#REF!,10,FALSE)</f>
        <v>#REF!</v>
      </c>
      <c r="AQ428" s="8">
        <f>SUMIFS(Capacity!$G$2:$G$2820,Capacity!$B$2:$B$2820,Demand_Modeling!AG428)</f>
        <v>0</v>
      </c>
      <c r="AS428" s="2" t="e">
        <f t="shared" si="84"/>
        <v>#REF!</v>
      </c>
      <c r="AT428" s="2" t="e">
        <f t="shared" si="85"/>
        <v>#REF!</v>
      </c>
      <c r="AU428" s="2" t="e">
        <f t="shared" si="86"/>
        <v>#REF!</v>
      </c>
      <c r="AV428" s="2" t="e">
        <f t="shared" si="87"/>
        <v>#REF!</v>
      </c>
      <c r="AW428" s="2" t="e">
        <f t="shared" si="88"/>
        <v>#REF!</v>
      </c>
      <c r="AX428" s="2" t="e">
        <f t="shared" si="89"/>
        <v>#REF!</v>
      </c>
      <c r="AY428" s="2" t="e">
        <f t="shared" si="90"/>
        <v>#REF!</v>
      </c>
      <c r="AZ428" s="10">
        <f t="shared" si="91"/>
        <v>0</v>
      </c>
      <c r="BA428" s="5" t="e">
        <f t="shared" si="92"/>
        <v>#REF!</v>
      </c>
    </row>
    <row r="429" spans="33:53" x14ac:dyDescent="0.3">
      <c r="AG429" t="e">
        <f t="shared" si="83"/>
        <v>#REF!</v>
      </c>
      <c r="AH429" t="e">
        <f>#REF!</f>
        <v>#REF!</v>
      </c>
      <c r="AI429" t="e">
        <f>#REF!</f>
        <v>#REF!</v>
      </c>
      <c r="AJ429" s="3" t="e">
        <f>#REF!</f>
        <v>#REF!</v>
      </c>
      <c r="AK429" s="3" t="e">
        <f>#REF!</f>
        <v>#REF!</v>
      </c>
      <c r="AL429" s="3" t="e">
        <f>#REF!</f>
        <v>#REF!</v>
      </c>
      <c r="AM429" s="3" t="e">
        <f>#REF!</f>
        <v>#REF!</v>
      </c>
      <c r="AN429" s="3" t="e">
        <f>#REF!</f>
        <v>#REF!</v>
      </c>
      <c r="AO429" s="3" t="e">
        <f>#REF!</f>
        <v>#REF!</v>
      </c>
      <c r="AP429" s="9" t="e">
        <f>VLOOKUP(AG429,#REF!,10,FALSE)</f>
        <v>#REF!</v>
      </c>
      <c r="AQ429" s="8">
        <f>SUMIFS(Capacity!$G$2:$G$2820,Capacity!$B$2:$B$2820,Demand_Modeling!AG429)</f>
        <v>0</v>
      </c>
      <c r="AS429" s="2" t="e">
        <f t="shared" si="84"/>
        <v>#REF!</v>
      </c>
      <c r="AT429" s="2" t="e">
        <f t="shared" si="85"/>
        <v>#REF!</v>
      </c>
      <c r="AU429" s="2" t="e">
        <f t="shared" si="86"/>
        <v>#REF!</v>
      </c>
      <c r="AV429" s="2" t="e">
        <f t="shared" si="87"/>
        <v>#REF!</v>
      </c>
      <c r="AW429" s="2" t="e">
        <f t="shared" si="88"/>
        <v>#REF!</v>
      </c>
      <c r="AX429" s="2" t="e">
        <f t="shared" si="89"/>
        <v>#REF!</v>
      </c>
      <c r="AY429" s="2" t="e">
        <f t="shared" si="90"/>
        <v>#REF!</v>
      </c>
      <c r="AZ429" s="10">
        <f t="shared" si="91"/>
        <v>0</v>
      </c>
      <c r="BA429" s="5" t="e">
        <f t="shared" si="92"/>
        <v>#REF!</v>
      </c>
    </row>
    <row r="430" spans="33:53" x14ac:dyDescent="0.3">
      <c r="AG430" t="e">
        <f t="shared" si="83"/>
        <v>#REF!</v>
      </c>
      <c r="AH430" t="e">
        <f>#REF!</f>
        <v>#REF!</v>
      </c>
      <c r="AI430" t="e">
        <f>#REF!</f>
        <v>#REF!</v>
      </c>
      <c r="AJ430" s="3" t="e">
        <f>#REF!</f>
        <v>#REF!</v>
      </c>
      <c r="AK430" s="3" t="e">
        <f>#REF!</f>
        <v>#REF!</v>
      </c>
      <c r="AL430" s="3" t="e">
        <f>#REF!</f>
        <v>#REF!</v>
      </c>
      <c r="AM430" s="3" t="e">
        <f>#REF!</f>
        <v>#REF!</v>
      </c>
      <c r="AN430" s="3" t="e">
        <f>#REF!</f>
        <v>#REF!</v>
      </c>
      <c r="AO430" s="3" t="e">
        <f>#REF!</f>
        <v>#REF!</v>
      </c>
      <c r="AP430" s="9" t="e">
        <f>VLOOKUP(AG430,#REF!,10,FALSE)</f>
        <v>#REF!</v>
      </c>
      <c r="AQ430" s="8">
        <f>SUMIFS(Capacity!$G$2:$G$2820,Capacity!$B$2:$B$2820,Demand_Modeling!AG430)</f>
        <v>0</v>
      </c>
      <c r="AS430" s="2" t="e">
        <f t="shared" si="84"/>
        <v>#REF!</v>
      </c>
      <c r="AT430" s="2" t="e">
        <f t="shared" si="85"/>
        <v>#REF!</v>
      </c>
      <c r="AU430" s="2" t="e">
        <f t="shared" si="86"/>
        <v>#REF!</v>
      </c>
      <c r="AV430" s="2" t="e">
        <f t="shared" si="87"/>
        <v>#REF!</v>
      </c>
      <c r="AW430" s="2" t="e">
        <f t="shared" si="88"/>
        <v>#REF!</v>
      </c>
      <c r="AX430" s="2" t="e">
        <f t="shared" si="89"/>
        <v>#REF!</v>
      </c>
      <c r="AY430" s="2" t="e">
        <f t="shared" si="90"/>
        <v>#REF!</v>
      </c>
      <c r="AZ430" s="10">
        <f t="shared" si="91"/>
        <v>0</v>
      </c>
      <c r="BA430" s="5" t="e">
        <f t="shared" si="92"/>
        <v>#REF!</v>
      </c>
    </row>
    <row r="431" spans="33:53" x14ac:dyDescent="0.3">
      <c r="AG431" t="e">
        <f t="shared" si="83"/>
        <v>#REF!</v>
      </c>
      <c r="AH431" t="e">
        <f>#REF!</f>
        <v>#REF!</v>
      </c>
      <c r="AI431" t="e">
        <f>#REF!</f>
        <v>#REF!</v>
      </c>
      <c r="AJ431" s="3" t="e">
        <f>#REF!</f>
        <v>#REF!</v>
      </c>
      <c r="AK431" s="3" t="e">
        <f>#REF!</f>
        <v>#REF!</v>
      </c>
      <c r="AL431" s="3" t="e">
        <f>#REF!</f>
        <v>#REF!</v>
      </c>
      <c r="AM431" s="3" t="e">
        <f>#REF!</f>
        <v>#REF!</v>
      </c>
      <c r="AN431" s="3" t="e">
        <f>#REF!</f>
        <v>#REF!</v>
      </c>
      <c r="AO431" s="3" t="e">
        <f>#REF!</f>
        <v>#REF!</v>
      </c>
      <c r="AP431" s="9" t="e">
        <f>VLOOKUP(AG431,#REF!,10,FALSE)</f>
        <v>#REF!</v>
      </c>
      <c r="AQ431" s="8">
        <f>SUMIFS(Capacity!$G$2:$G$2820,Capacity!$B$2:$B$2820,Demand_Modeling!AG431)</f>
        <v>0</v>
      </c>
      <c r="AS431" s="2" t="e">
        <f t="shared" si="84"/>
        <v>#REF!</v>
      </c>
      <c r="AT431" s="2" t="e">
        <f t="shared" si="85"/>
        <v>#REF!</v>
      </c>
      <c r="AU431" s="2" t="e">
        <f t="shared" si="86"/>
        <v>#REF!</v>
      </c>
      <c r="AV431" s="2" t="e">
        <f t="shared" si="87"/>
        <v>#REF!</v>
      </c>
      <c r="AW431" s="2" t="e">
        <f t="shared" si="88"/>
        <v>#REF!</v>
      </c>
      <c r="AX431" s="2" t="e">
        <f t="shared" si="89"/>
        <v>#REF!</v>
      </c>
      <c r="AY431" s="2" t="e">
        <f t="shared" si="90"/>
        <v>#REF!</v>
      </c>
      <c r="AZ431" s="10">
        <f t="shared" si="91"/>
        <v>0</v>
      </c>
      <c r="BA431" s="5" t="e">
        <f t="shared" si="92"/>
        <v>#REF!</v>
      </c>
    </row>
    <row r="432" spans="33:53" x14ac:dyDescent="0.3">
      <c r="AG432" t="e">
        <f t="shared" si="83"/>
        <v>#REF!</v>
      </c>
      <c r="AH432" t="e">
        <f>#REF!</f>
        <v>#REF!</v>
      </c>
      <c r="AI432" t="e">
        <f>#REF!</f>
        <v>#REF!</v>
      </c>
      <c r="AJ432" s="3" t="e">
        <f>#REF!</f>
        <v>#REF!</v>
      </c>
      <c r="AK432" s="3" t="e">
        <f>#REF!</f>
        <v>#REF!</v>
      </c>
      <c r="AL432" s="3" t="e">
        <f>#REF!</f>
        <v>#REF!</v>
      </c>
      <c r="AM432" s="3" t="e">
        <f>#REF!</f>
        <v>#REF!</v>
      </c>
      <c r="AN432" s="3" t="e">
        <f>#REF!</f>
        <v>#REF!</v>
      </c>
      <c r="AO432" s="3" t="e">
        <f>#REF!</f>
        <v>#REF!</v>
      </c>
      <c r="AP432" s="9" t="e">
        <f>VLOOKUP(AG432,#REF!,10,FALSE)</f>
        <v>#REF!</v>
      </c>
      <c r="AQ432" s="8">
        <f>SUMIFS(Capacity!$G$2:$G$2820,Capacity!$B$2:$B$2820,Demand_Modeling!AG432)</f>
        <v>0</v>
      </c>
      <c r="AS432" s="2" t="e">
        <f t="shared" si="84"/>
        <v>#REF!</v>
      </c>
      <c r="AT432" s="2" t="e">
        <f t="shared" si="85"/>
        <v>#REF!</v>
      </c>
      <c r="AU432" s="2" t="e">
        <f t="shared" si="86"/>
        <v>#REF!</v>
      </c>
      <c r="AV432" s="2" t="e">
        <f t="shared" si="87"/>
        <v>#REF!</v>
      </c>
      <c r="AW432" s="2" t="e">
        <f t="shared" si="88"/>
        <v>#REF!</v>
      </c>
      <c r="AX432" s="2" t="e">
        <f t="shared" si="89"/>
        <v>#REF!</v>
      </c>
      <c r="AY432" s="2" t="e">
        <f t="shared" si="90"/>
        <v>#REF!</v>
      </c>
      <c r="AZ432" s="10">
        <f t="shared" si="91"/>
        <v>0</v>
      </c>
      <c r="BA432" s="5" t="e">
        <f t="shared" si="92"/>
        <v>#REF!</v>
      </c>
    </row>
    <row r="433" spans="33:53" x14ac:dyDescent="0.3">
      <c r="AG433" t="e">
        <f t="shared" si="83"/>
        <v>#REF!</v>
      </c>
      <c r="AH433" t="e">
        <f>#REF!</f>
        <v>#REF!</v>
      </c>
      <c r="AI433" t="e">
        <f>#REF!</f>
        <v>#REF!</v>
      </c>
      <c r="AJ433" s="3" t="e">
        <f>#REF!</f>
        <v>#REF!</v>
      </c>
      <c r="AK433" s="3" t="e">
        <f>#REF!</f>
        <v>#REF!</v>
      </c>
      <c r="AL433" s="3" t="e">
        <f>#REF!</f>
        <v>#REF!</v>
      </c>
      <c r="AM433" s="3" t="e">
        <f>#REF!</f>
        <v>#REF!</v>
      </c>
      <c r="AN433" s="3" t="e">
        <f>#REF!</f>
        <v>#REF!</v>
      </c>
      <c r="AO433" s="3" t="e">
        <f>#REF!</f>
        <v>#REF!</v>
      </c>
      <c r="AP433" s="9" t="e">
        <f>VLOOKUP(AG433,#REF!,10,FALSE)</f>
        <v>#REF!</v>
      </c>
      <c r="AQ433" s="8">
        <f>SUMIFS(Capacity!$G$2:$G$2820,Capacity!$B$2:$B$2820,Demand_Modeling!AG433)</f>
        <v>0</v>
      </c>
      <c r="AS433" s="2" t="e">
        <f t="shared" si="84"/>
        <v>#REF!</v>
      </c>
      <c r="AT433" s="2" t="e">
        <f t="shared" si="85"/>
        <v>#REF!</v>
      </c>
      <c r="AU433" s="2" t="e">
        <f t="shared" si="86"/>
        <v>#REF!</v>
      </c>
      <c r="AV433" s="2" t="e">
        <f t="shared" si="87"/>
        <v>#REF!</v>
      </c>
      <c r="AW433" s="2" t="e">
        <f t="shared" si="88"/>
        <v>#REF!</v>
      </c>
      <c r="AX433" s="2" t="e">
        <f t="shared" si="89"/>
        <v>#REF!</v>
      </c>
      <c r="AY433" s="2" t="e">
        <f t="shared" si="90"/>
        <v>#REF!</v>
      </c>
      <c r="AZ433" s="10">
        <f t="shared" si="91"/>
        <v>0</v>
      </c>
      <c r="BA433" s="5" t="e">
        <f t="shared" si="92"/>
        <v>#REF!</v>
      </c>
    </row>
    <row r="434" spans="33:53" x14ac:dyDescent="0.3">
      <c r="AG434" t="e">
        <f t="shared" si="83"/>
        <v>#REF!</v>
      </c>
      <c r="AH434" t="e">
        <f>#REF!</f>
        <v>#REF!</v>
      </c>
      <c r="AI434" t="e">
        <f>#REF!</f>
        <v>#REF!</v>
      </c>
      <c r="AJ434" s="3" t="e">
        <f>#REF!</f>
        <v>#REF!</v>
      </c>
      <c r="AK434" s="3" t="e">
        <f>#REF!</f>
        <v>#REF!</v>
      </c>
      <c r="AL434" s="3" t="e">
        <f>#REF!</f>
        <v>#REF!</v>
      </c>
      <c r="AM434" s="3" t="e">
        <f>#REF!</f>
        <v>#REF!</v>
      </c>
      <c r="AN434" s="3" t="e">
        <f>#REF!</f>
        <v>#REF!</v>
      </c>
      <c r="AO434" s="3" t="e">
        <f>#REF!</f>
        <v>#REF!</v>
      </c>
      <c r="AP434" s="9" t="e">
        <f>VLOOKUP(AG434,#REF!,10,FALSE)</f>
        <v>#REF!</v>
      </c>
      <c r="AQ434" s="8">
        <f>SUMIFS(Capacity!$G$2:$G$2820,Capacity!$B$2:$B$2820,Demand_Modeling!AG434)</f>
        <v>0</v>
      </c>
      <c r="AS434" s="2" t="e">
        <f t="shared" si="84"/>
        <v>#REF!</v>
      </c>
      <c r="AT434" s="2" t="e">
        <f t="shared" si="85"/>
        <v>#REF!</v>
      </c>
      <c r="AU434" s="2" t="e">
        <f t="shared" si="86"/>
        <v>#REF!</v>
      </c>
      <c r="AV434" s="2" t="e">
        <f t="shared" si="87"/>
        <v>#REF!</v>
      </c>
      <c r="AW434" s="2" t="e">
        <f t="shared" si="88"/>
        <v>#REF!</v>
      </c>
      <c r="AX434" s="2" t="e">
        <f t="shared" si="89"/>
        <v>#REF!</v>
      </c>
      <c r="AY434" s="2" t="e">
        <f t="shared" si="90"/>
        <v>#REF!</v>
      </c>
      <c r="AZ434" s="10">
        <f t="shared" si="91"/>
        <v>0</v>
      </c>
      <c r="BA434" s="5" t="e">
        <f t="shared" si="92"/>
        <v>#REF!</v>
      </c>
    </row>
    <row r="435" spans="33:53" x14ac:dyDescent="0.3">
      <c r="AG435" t="e">
        <f t="shared" si="83"/>
        <v>#REF!</v>
      </c>
      <c r="AH435" t="e">
        <f>#REF!</f>
        <v>#REF!</v>
      </c>
      <c r="AI435" t="e">
        <f>#REF!</f>
        <v>#REF!</v>
      </c>
      <c r="AJ435" s="3" t="e">
        <f>#REF!</f>
        <v>#REF!</v>
      </c>
      <c r="AK435" s="3" t="e">
        <f>#REF!</f>
        <v>#REF!</v>
      </c>
      <c r="AL435" s="3" t="e">
        <f>#REF!</f>
        <v>#REF!</v>
      </c>
      <c r="AM435" s="3" t="e">
        <f>#REF!</f>
        <v>#REF!</v>
      </c>
      <c r="AN435" s="3" t="e">
        <f>#REF!</f>
        <v>#REF!</v>
      </c>
      <c r="AO435" s="3" t="e">
        <f>#REF!</f>
        <v>#REF!</v>
      </c>
      <c r="AP435" s="9" t="e">
        <f>VLOOKUP(AG435,#REF!,10,FALSE)</f>
        <v>#REF!</v>
      </c>
      <c r="AQ435" s="8">
        <f>SUMIFS(Capacity!$G$2:$G$2820,Capacity!$B$2:$B$2820,Demand_Modeling!AG435)</f>
        <v>0</v>
      </c>
      <c r="AS435" s="2" t="e">
        <f t="shared" si="84"/>
        <v>#REF!</v>
      </c>
      <c r="AT435" s="2" t="e">
        <f t="shared" si="85"/>
        <v>#REF!</v>
      </c>
      <c r="AU435" s="2" t="e">
        <f t="shared" si="86"/>
        <v>#REF!</v>
      </c>
      <c r="AV435" s="2" t="e">
        <f t="shared" si="87"/>
        <v>#REF!</v>
      </c>
      <c r="AW435" s="2" t="e">
        <f t="shared" si="88"/>
        <v>#REF!</v>
      </c>
      <c r="AX435" s="2" t="e">
        <f t="shared" si="89"/>
        <v>#REF!</v>
      </c>
      <c r="AY435" s="2" t="e">
        <f t="shared" si="90"/>
        <v>#REF!</v>
      </c>
      <c r="AZ435" s="10">
        <f t="shared" si="91"/>
        <v>0</v>
      </c>
      <c r="BA435" s="5" t="e">
        <f t="shared" si="92"/>
        <v>#REF!</v>
      </c>
    </row>
    <row r="436" spans="33:53" x14ac:dyDescent="0.3">
      <c r="AG436" t="e">
        <f t="shared" si="83"/>
        <v>#REF!</v>
      </c>
      <c r="AH436" t="e">
        <f>#REF!</f>
        <v>#REF!</v>
      </c>
      <c r="AI436" t="e">
        <f>#REF!</f>
        <v>#REF!</v>
      </c>
      <c r="AJ436" s="3" t="e">
        <f>#REF!</f>
        <v>#REF!</v>
      </c>
      <c r="AK436" s="3" t="e">
        <f>#REF!</f>
        <v>#REF!</v>
      </c>
      <c r="AL436" s="3" t="e">
        <f>#REF!</f>
        <v>#REF!</v>
      </c>
      <c r="AM436" s="3" t="e">
        <f>#REF!</f>
        <v>#REF!</v>
      </c>
      <c r="AN436" s="3" t="e">
        <f>#REF!</f>
        <v>#REF!</v>
      </c>
      <c r="AO436" s="3" t="e">
        <f>#REF!</f>
        <v>#REF!</v>
      </c>
      <c r="AP436" s="9" t="e">
        <f>VLOOKUP(AG436,#REF!,10,FALSE)</f>
        <v>#REF!</v>
      </c>
      <c r="AQ436" s="8">
        <f>SUMIFS(Capacity!$G$2:$G$2820,Capacity!$B$2:$B$2820,Demand_Modeling!AG436)</f>
        <v>0</v>
      </c>
      <c r="AS436" s="2" t="e">
        <f t="shared" si="84"/>
        <v>#REF!</v>
      </c>
      <c r="AT436" s="2" t="e">
        <f t="shared" si="85"/>
        <v>#REF!</v>
      </c>
      <c r="AU436" s="2" t="e">
        <f t="shared" si="86"/>
        <v>#REF!</v>
      </c>
      <c r="AV436" s="2" t="e">
        <f t="shared" si="87"/>
        <v>#REF!</v>
      </c>
      <c r="AW436" s="2" t="e">
        <f t="shared" si="88"/>
        <v>#REF!</v>
      </c>
      <c r="AX436" s="2" t="e">
        <f t="shared" si="89"/>
        <v>#REF!</v>
      </c>
      <c r="AY436" s="2" t="e">
        <f t="shared" si="90"/>
        <v>#REF!</v>
      </c>
      <c r="AZ436" s="10">
        <f t="shared" si="91"/>
        <v>0</v>
      </c>
      <c r="BA436" s="5" t="e">
        <f t="shared" si="92"/>
        <v>#REF!</v>
      </c>
    </row>
    <row r="437" spans="33:53" x14ac:dyDescent="0.3">
      <c r="AG437" t="e">
        <f t="shared" si="83"/>
        <v>#REF!</v>
      </c>
      <c r="AH437" t="e">
        <f>#REF!</f>
        <v>#REF!</v>
      </c>
      <c r="AI437" t="e">
        <f>#REF!</f>
        <v>#REF!</v>
      </c>
      <c r="AJ437" s="3" t="e">
        <f>#REF!</f>
        <v>#REF!</v>
      </c>
      <c r="AK437" s="3" t="e">
        <f>#REF!</f>
        <v>#REF!</v>
      </c>
      <c r="AL437" s="3" t="e">
        <f>#REF!</f>
        <v>#REF!</v>
      </c>
      <c r="AM437" s="3" t="e">
        <f>#REF!</f>
        <v>#REF!</v>
      </c>
      <c r="AN437" s="3" t="e">
        <f>#REF!</f>
        <v>#REF!</v>
      </c>
      <c r="AO437" s="3" t="e">
        <f>#REF!</f>
        <v>#REF!</v>
      </c>
      <c r="AP437" s="9" t="e">
        <f>VLOOKUP(AG437,#REF!,10,FALSE)</f>
        <v>#REF!</v>
      </c>
      <c r="AQ437" s="8">
        <f>SUMIFS(Capacity!$G$2:$G$2820,Capacity!$B$2:$B$2820,Demand_Modeling!AG437)</f>
        <v>0</v>
      </c>
      <c r="AS437" s="2" t="e">
        <f t="shared" si="84"/>
        <v>#REF!</v>
      </c>
      <c r="AT437" s="2" t="e">
        <f t="shared" si="85"/>
        <v>#REF!</v>
      </c>
      <c r="AU437" s="2" t="e">
        <f t="shared" si="86"/>
        <v>#REF!</v>
      </c>
      <c r="AV437" s="2" t="e">
        <f t="shared" si="87"/>
        <v>#REF!</v>
      </c>
      <c r="AW437" s="2" t="e">
        <f t="shared" si="88"/>
        <v>#REF!</v>
      </c>
      <c r="AX437" s="2" t="e">
        <f t="shared" si="89"/>
        <v>#REF!</v>
      </c>
      <c r="AY437" s="2" t="e">
        <f t="shared" si="90"/>
        <v>#REF!</v>
      </c>
      <c r="AZ437" s="10">
        <f t="shared" si="91"/>
        <v>0</v>
      </c>
      <c r="BA437" s="5" t="e">
        <f t="shared" si="92"/>
        <v>#REF!</v>
      </c>
    </row>
    <row r="438" spans="33:53" x14ac:dyDescent="0.3">
      <c r="AG438" t="e">
        <f t="shared" si="83"/>
        <v>#REF!</v>
      </c>
      <c r="AH438" t="e">
        <f>#REF!</f>
        <v>#REF!</v>
      </c>
      <c r="AI438" t="e">
        <f>#REF!</f>
        <v>#REF!</v>
      </c>
      <c r="AJ438" s="3" t="e">
        <f>#REF!</f>
        <v>#REF!</v>
      </c>
      <c r="AK438" s="3" t="e">
        <f>#REF!</f>
        <v>#REF!</v>
      </c>
      <c r="AL438" s="3" t="e">
        <f>#REF!</f>
        <v>#REF!</v>
      </c>
      <c r="AM438" s="3" t="e">
        <f>#REF!</f>
        <v>#REF!</v>
      </c>
      <c r="AN438" s="3" t="e">
        <f>#REF!</f>
        <v>#REF!</v>
      </c>
      <c r="AO438" s="3" t="e">
        <f>#REF!</f>
        <v>#REF!</v>
      </c>
      <c r="AP438" s="9" t="e">
        <f>VLOOKUP(AG438,#REF!,10,FALSE)</f>
        <v>#REF!</v>
      </c>
      <c r="AQ438" s="8">
        <f>SUMIFS(Capacity!$G$2:$G$2820,Capacity!$B$2:$B$2820,Demand_Modeling!AG438)</f>
        <v>0</v>
      </c>
      <c r="AS438" s="2" t="e">
        <f t="shared" si="84"/>
        <v>#REF!</v>
      </c>
      <c r="AT438" s="2" t="e">
        <f t="shared" si="85"/>
        <v>#REF!</v>
      </c>
      <c r="AU438" s="2" t="e">
        <f t="shared" si="86"/>
        <v>#REF!</v>
      </c>
      <c r="AV438" s="2" t="e">
        <f t="shared" si="87"/>
        <v>#REF!</v>
      </c>
      <c r="AW438" s="2" t="e">
        <f t="shared" si="88"/>
        <v>#REF!</v>
      </c>
      <c r="AX438" s="2" t="e">
        <f t="shared" si="89"/>
        <v>#REF!</v>
      </c>
      <c r="AY438" s="2" t="e">
        <f t="shared" si="90"/>
        <v>#REF!</v>
      </c>
      <c r="AZ438" s="10">
        <f t="shared" si="91"/>
        <v>0</v>
      </c>
      <c r="BA438" s="5" t="e">
        <f t="shared" si="92"/>
        <v>#REF!</v>
      </c>
    </row>
    <row r="439" spans="33:53" x14ac:dyDescent="0.3">
      <c r="AG439" t="e">
        <f t="shared" si="83"/>
        <v>#REF!</v>
      </c>
      <c r="AH439" t="e">
        <f>#REF!</f>
        <v>#REF!</v>
      </c>
      <c r="AI439" t="e">
        <f>#REF!</f>
        <v>#REF!</v>
      </c>
      <c r="AJ439" s="3" t="e">
        <f>#REF!</f>
        <v>#REF!</v>
      </c>
      <c r="AK439" s="3" t="e">
        <f>#REF!</f>
        <v>#REF!</v>
      </c>
      <c r="AL439" s="3" t="e">
        <f>#REF!</f>
        <v>#REF!</v>
      </c>
      <c r="AM439" s="3" t="e">
        <f>#REF!</f>
        <v>#REF!</v>
      </c>
      <c r="AN439" s="3" t="e">
        <f>#REF!</f>
        <v>#REF!</v>
      </c>
      <c r="AO439" s="3" t="e">
        <f>#REF!</f>
        <v>#REF!</v>
      </c>
      <c r="AP439" s="9" t="e">
        <f>VLOOKUP(AG439,#REF!,10,FALSE)</f>
        <v>#REF!</v>
      </c>
      <c r="AQ439" s="8">
        <f>SUMIFS(Capacity!$G$2:$G$2820,Capacity!$B$2:$B$2820,Demand_Modeling!AG439)</f>
        <v>0</v>
      </c>
      <c r="AS439" s="2" t="e">
        <f t="shared" si="84"/>
        <v>#REF!</v>
      </c>
      <c r="AT439" s="2" t="e">
        <f t="shared" si="85"/>
        <v>#REF!</v>
      </c>
      <c r="AU439" s="2" t="e">
        <f t="shared" si="86"/>
        <v>#REF!</v>
      </c>
      <c r="AV439" s="2" t="e">
        <f t="shared" si="87"/>
        <v>#REF!</v>
      </c>
      <c r="AW439" s="2" t="e">
        <f t="shared" si="88"/>
        <v>#REF!</v>
      </c>
      <c r="AX439" s="2" t="e">
        <f t="shared" si="89"/>
        <v>#REF!</v>
      </c>
      <c r="AY439" s="2" t="e">
        <f t="shared" si="90"/>
        <v>#REF!</v>
      </c>
      <c r="AZ439" s="10">
        <f t="shared" si="91"/>
        <v>0</v>
      </c>
      <c r="BA439" s="5" t="e">
        <f t="shared" si="92"/>
        <v>#REF!</v>
      </c>
    </row>
    <row r="440" spans="33:53" x14ac:dyDescent="0.3">
      <c r="AG440" t="e">
        <f t="shared" si="83"/>
        <v>#REF!</v>
      </c>
      <c r="AH440" t="e">
        <f>#REF!</f>
        <v>#REF!</v>
      </c>
      <c r="AI440" t="e">
        <f>#REF!</f>
        <v>#REF!</v>
      </c>
      <c r="AJ440" s="3" t="e">
        <f>#REF!</f>
        <v>#REF!</v>
      </c>
      <c r="AK440" s="3" t="e">
        <f>#REF!</f>
        <v>#REF!</v>
      </c>
      <c r="AL440" s="3" t="e">
        <f>#REF!</f>
        <v>#REF!</v>
      </c>
      <c r="AM440" s="3" t="e">
        <f>#REF!</f>
        <v>#REF!</v>
      </c>
      <c r="AN440" s="3" t="e">
        <f>#REF!</f>
        <v>#REF!</v>
      </c>
      <c r="AO440" s="3" t="e">
        <f>#REF!</f>
        <v>#REF!</v>
      </c>
      <c r="AP440" s="9" t="e">
        <f>VLOOKUP(AG440,#REF!,10,FALSE)</f>
        <v>#REF!</v>
      </c>
      <c r="AQ440" s="8">
        <f>SUMIFS(Capacity!$G$2:$G$2820,Capacity!$B$2:$B$2820,Demand_Modeling!AG440)</f>
        <v>0</v>
      </c>
      <c r="AS440" s="2" t="e">
        <f t="shared" si="84"/>
        <v>#REF!</v>
      </c>
      <c r="AT440" s="2" t="e">
        <f t="shared" si="85"/>
        <v>#REF!</v>
      </c>
      <c r="AU440" s="2" t="e">
        <f t="shared" si="86"/>
        <v>#REF!</v>
      </c>
      <c r="AV440" s="2" t="e">
        <f t="shared" si="87"/>
        <v>#REF!</v>
      </c>
      <c r="AW440" s="2" t="e">
        <f t="shared" si="88"/>
        <v>#REF!</v>
      </c>
      <c r="AX440" s="2" t="e">
        <f t="shared" si="89"/>
        <v>#REF!</v>
      </c>
      <c r="AY440" s="2" t="e">
        <f t="shared" si="90"/>
        <v>#REF!</v>
      </c>
      <c r="AZ440" s="10">
        <f t="shared" si="91"/>
        <v>0</v>
      </c>
      <c r="BA440" s="5" t="e">
        <f t="shared" si="92"/>
        <v>#REF!</v>
      </c>
    </row>
    <row r="441" spans="33:53" x14ac:dyDescent="0.3">
      <c r="AG441" t="e">
        <f t="shared" si="83"/>
        <v>#REF!</v>
      </c>
      <c r="AH441" t="e">
        <f>#REF!</f>
        <v>#REF!</v>
      </c>
      <c r="AI441" t="e">
        <f>#REF!</f>
        <v>#REF!</v>
      </c>
      <c r="AJ441" s="3" t="e">
        <f>#REF!</f>
        <v>#REF!</v>
      </c>
      <c r="AK441" s="3" t="e">
        <f>#REF!</f>
        <v>#REF!</v>
      </c>
      <c r="AL441" s="3" t="e">
        <f>#REF!</f>
        <v>#REF!</v>
      </c>
      <c r="AM441" s="3" t="e">
        <f>#REF!</f>
        <v>#REF!</v>
      </c>
      <c r="AN441" s="3" t="e">
        <f>#REF!</f>
        <v>#REF!</v>
      </c>
      <c r="AO441" s="3" t="e">
        <f>#REF!</f>
        <v>#REF!</v>
      </c>
      <c r="AP441" s="9" t="e">
        <f>VLOOKUP(AG441,#REF!,10,FALSE)</f>
        <v>#REF!</v>
      </c>
      <c r="AQ441" s="8">
        <f>SUMIFS(Capacity!$G$2:$G$2820,Capacity!$B$2:$B$2820,Demand_Modeling!AG441)</f>
        <v>0</v>
      </c>
      <c r="AS441" s="2" t="e">
        <f t="shared" si="84"/>
        <v>#REF!</v>
      </c>
      <c r="AT441" s="2" t="e">
        <f t="shared" si="85"/>
        <v>#REF!</v>
      </c>
      <c r="AU441" s="2" t="e">
        <f t="shared" si="86"/>
        <v>#REF!</v>
      </c>
      <c r="AV441" s="2" t="e">
        <f t="shared" si="87"/>
        <v>#REF!</v>
      </c>
      <c r="AW441" s="2" t="e">
        <f t="shared" si="88"/>
        <v>#REF!</v>
      </c>
      <c r="AX441" s="2" t="e">
        <f t="shared" si="89"/>
        <v>#REF!</v>
      </c>
      <c r="AY441" s="2" t="e">
        <f t="shared" si="90"/>
        <v>#REF!</v>
      </c>
      <c r="AZ441" s="10">
        <f t="shared" si="91"/>
        <v>0</v>
      </c>
      <c r="BA441" s="5" t="e">
        <f t="shared" si="92"/>
        <v>#REF!</v>
      </c>
    </row>
    <row r="442" spans="33:53" x14ac:dyDescent="0.3">
      <c r="AG442" t="e">
        <f t="shared" si="83"/>
        <v>#REF!</v>
      </c>
      <c r="AH442" t="e">
        <f>#REF!</f>
        <v>#REF!</v>
      </c>
      <c r="AI442" t="e">
        <f>#REF!</f>
        <v>#REF!</v>
      </c>
      <c r="AJ442" s="3" t="e">
        <f>#REF!</f>
        <v>#REF!</v>
      </c>
      <c r="AK442" s="3" t="e">
        <f>#REF!</f>
        <v>#REF!</v>
      </c>
      <c r="AL442" s="3" t="e">
        <f>#REF!</f>
        <v>#REF!</v>
      </c>
      <c r="AM442" s="3" t="e">
        <f>#REF!</f>
        <v>#REF!</v>
      </c>
      <c r="AN442" s="3" t="e">
        <f>#REF!</f>
        <v>#REF!</v>
      </c>
      <c r="AO442" s="3" t="e">
        <f>#REF!</f>
        <v>#REF!</v>
      </c>
      <c r="AP442" s="9" t="e">
        <f>VLOOKUP(AG442,#REF!,10,FALSE)</f>
        <v>#REF!</v>
      </c>
      <c r="AQ442" s="8">
        <f>SUMIFS(Capacity!$G$2:$G$2820,Capacity!$B$2:$B$2820,Demand_Modeling!AG442)</f>
        <v>0</v>
      </c>
      <c r="AS442" s="2" t="e">
        <f t="shared" si="84"/>
        <v>#REF!</v>
      </c>
      <c r="AT442" s="2" t="e">
        <f t="shared" si="85"/>
        <v>#REF!</v>
      </c>
      <c r="AU442" s="2" t="e">
        <f t="shared" si="86"/>
        <v>#REF!</v>
      </c>
      <c r="AV442" s="2" t="e">
        <f t="shared" si="87"/>
        <v>#REF!</v>
      </c>
      <c r="AW442" s="2" t="e">
        <f t="shared" si="88"/>
        <v>#REF!</v>
      </c>
      <c r="AX442" s="2" t="e">
        <f t="shared" si="89"/>
        <v>#REF!</v>
      </c>
      <c r="AY442" s="2" t="e">
        <f t="shared" si="90"/>
        <v>#REF!</v>
      </c>
      <c r="AZ442" s="10">
        <f t="shared" si="91"/>
        <v>0</v>
      </c>
      <c r="BA442" s="5" t="e">
        <f t="shared" si="92"/>
        <v>#REF!</v>
      </c>
    </row>
    <row r="443" spans="33:53" x14ac:dyDescent="0.3">
      <c r="AG443" t="e">
        <f t="shared" si="83"/>
        <v>#REF!</v>
      </c>
      <c r="AH443" t="e">
        <f>#REF!</f>
        <v>#REF!</v>
      </c>
      <c r="AI443" t="e">
        <f>#REF!</f>
        <v>#REF!</v>
      </c>
      <c r="AJ443" s="3" t="e">
        <f>#REF!</f>
        <v>#REF!</v>
      </c>
      <c r="AK443" s="3" t="e">
        <f>#REF!</f>
        <v>#REF!</v>
      </c>
      <c r="AL443" s="3" t="e">
        <f>#REF!</f>
        <v>#REF!</v>
      </c>
      <c r="AM443" s="3" t="e">
        <f>#REF!</f>
        <v>#REF!</v>
      </c>
      <c r="AN443" s="3" t="e">
        <f>#REF!</f>
        <v>#REF!</v>
      </c>
      <c r="AO443" s="3" t="e">
        <f>#REF!</f>
        <v>#REF!</v>
      </c>
      <c r="AP443" s="9" t="e">
        <f>VLOOKUP(AG443,#REF!,10,FALSE)</f>
        <v>#REF!</v>
      </c>
      <c r="AQ443" s="8">
        <f>SUMIFS(Capacity!$G$2:$G$2820,Capacity!$B$2:$B$2820,Demand_Modeling!AG443)</f>
        <v>0</v>
      </c>
    </row>
    <row r="444" spans="33:53" x14ac:dyDescent="0.3">
      <c r="AG444" t="e">
        <f t="shared" si="83"/>
        <v>#REF!</v>
      </c>
      <c r="AH444" t="e">
        <f>#REF!</f>
        <v>#REF!</v>
      </c>
      <c r="AI444" t="e">
        <f>#REF!</f>
        <v>#REF!</v>
      </c>
      <c r="AJ444" s="3" t="e">
        <f>#REF!</f>
        <v>#REF!</v>
      </c>
      <c r="AK444" s="3" t="e">
        <f>#REF!</f>
        <v>#REF!</v>
      </c>
      <c r="AL444" s="3" t="e">
        <f>#REF!</f>
        <v>#REF!</v>
      </c>
      <c r="AM444" s="3" t="e">
        <f>#REF!</f>
        <v>#REF!</v>
      </c>
      <c r="AN444" s="3" t="e">
        <f>#REF!</f>
        <v>#REF!</v>
      </c>
      <c r="AO444" s="3" t="e">
        <f>#REF!</f>
        <v>#REF!</v>
      </c>
      <c r="AP444" s="9" t="e">
        <f>VLOOKUP(AG444,#REF!,10,FALSE)</f>
        <v>#REF!</v>
      </c>
      <c r="AQ444" s="8">
        <f>SUMIFS(Capacity!$G$2:$G$2820,Capacity!$B$2:$B$2820,Demand_Modeling!AG444)</f>
        <v>0</v>
      </c>
    </row>
    <row r="445" spans="33:53" x14ac:dyDescent="0.3">
      <c r="AG445" t="e">
        <f t="shared" si="83"/>
        <v>#REF!</v>
      </c>
      <c r="AH445" t="e">
        <f>#REF!</f>
        <v>#REF!</v>
      </c>
      <c r="AI445" t="e">
        <f>#REF!</f>
        <v>#REF!</v>
      </c>
      <c r="AJ445" s="3" t="e">
        <f>#REF!</f>
        <v>#REF!</v>
      </c>
      <c r="AK445" s="3" t="e">
        <f>#REF!</f>
        <v>#REF!</v>
      </c>
      <c r="AL445" s="3" t="e">
        <f>#REF!</f>
        <v>#REF!</v>
      </c>
      <c r="AM445" s="3" t="e">
        <f>#REF!</f>
        <v>#REF!</v>
      </c>
      <c r="AN445" s="3" t="e">
        <f>#REF!</f>
        <v>#REF!</v>
      </c>
      <c r="AO445" s="3" t="e">
        <f>#REF!</f>
        <v>#REF!</v>
      </c>
      <c r="AP445" s="9" t="e">
        <f>VLOOKUP(AG445,#REF!,10,FALSE)</f>
        <v>#REF!</v>
      </c>
      <c r="AQ445" s="8">
        <f>SUMIFS(Capacity!$G$2:$G$2820,Capacity!$B$2:$B$2820,Demand_Modeling!AG445)</f>
        <v>0</v>
      </c>
    </row>
    <row r="446" spans="33:53" x14ac:dyDescent="0.3">
      <c r="AG446" t="e">
        <f t="shared" si="83"/>
        <v>#REF!</v>
      </c>
      <c r="AH446" t="e">
        <f>#REF!</f>
        <v>#REF!</v>
      </c>
      <c r="AI446" t="e">
        <f>#REF!</f>
        <v>#REF!</v>
      </c>
      <c r="AJ446" s="3" t="e">
        <f>#REF!</f>
        <v>#REF!</v>
      </c>
      <c r="AK446" s="3" t="e">
        <f>#REF!</f>
        <v>#REF!</v>
      </c>
      <c r="AL446" s="3" t="e">
        <f>#REF!</f>
        <v>#REF!</v>
      </c>
      <c r="AM446" s="3" t="e">
        <f>#REF!</f>
        <v>#REF!</v>
      </c>
      <c r="AN446" s="3" t="e">
        <f>#REF!</f>
        <v>#REF!</v>
      </c>
      <c r="AO446" s="3" t="e">
        <f>#REF!</f>
        <v>#REF!</v>
      </c>
      <c r="AP446" s="9" t="e">
        <f>VLOOKUP(AG446,#REF!,10,FALSE)</f>
        <v>#REF!</v>
      </c>
      <c r="AQ446" s="8">
        <f>SUMIFS(Capacity!$G$2:$G$2820,Capacity!$B$2:$B$2820,Demand_Modeling!AG446)</f>
        <v>0</v>
      </c>
    </row>
    <row r="447" spans="33:53" x14ac:dyDescent="0.3">
      <c r="AG447" t="e">
        <f t="shared" si="83"/>
        <v>#REF!</v>
      </c>
      <c r="AH447" t="e">
        <f>#REF!</f>
        <v>#REF!</v>
      </c>
      <c r="AI447" t="e">
        <f>#REF!</f>
        <v>#REF!</v>
      </c>
      <c r="AJ447" s="3" t="e">
        <f>#REF!</f>
        <v>#REF!</v>
      </c>
      <c r="AK447" s="3" t="e">
        <f>#REF!</f>
        <v>#REF!</v>
      </c>
      <c r="AL447" s="3" t="e">
        <f>#REF!</f>
        <v>#REF!</v>
      </c>
      <c r="AM447" s="3" t="e">
        <f>#REF!</f>
        <v>#REF!</v>
      </c>
      <c r="AN447" s="3" t="e">
        <f>#REF!</f>
        <v>#REF!</v>
      </c>
      <c r="AO447" s="3" t="e">
        <f>#REF!</f>
        <v>#REF!</v>
      </c>
      <c r="AP447" s="9" t="e">
        <f>VLOOKUP(AG447,#REF!,10,FALSE)</f>
        <v>#REF!</v>
      </c>
      <c r="AQ447" s="8">
        <f>SUMIFS(Capacity!$G$2:$G$2820,Capacity!$B$2:$B$2820,Demand_Modeling!AG447)</f>
        <v>0</v>
      </c>
    </row>
    <row r="448" spans="33:53" x14ac:dyDescent="0.3">
      <c r="AG448" t="e">
        <f t="shared" si="83"/>
        <v>#REF!</v>
      </c>
      <c r="AH448" t="e">
        <f>#REF!</f>
        <v>#REF!</v>
      </c>
      <c r="AI448" t="e">
        <f>#REF!</f>
        <v>#REF!</v>
      </c>
      <c r="AJ448" s="3" t="e">
        <f>#REF!</f>
        <v>#REF!</v>
      </c>
      <c r="AK448" s="3" t="e">
        <f>#REF!</f>
        <v>#REF!</v>
      </c>
      <c r="AL448" s="3" t="e">
        <f>#REF!</f>
        <v>#REF!</v>
      </c>
      <c r="AM448" s="3" t="e">
        <f>#REF!</f>
        <v>#REF!</v>
      </c>
      <c r="AN448" s="3" t="e">
        <f>#REF!</f>
        <v>#REF!</v>
      </c>
      <c r="AO448" s="3" t="e">
        <f>#REF!</f>
        <v>#REF!</v>
      </c>
      <c r="AP448" s="9" t="e">
        <f>VLOOKUP(AG448,#REF!,10,FALSE)</f>
        <v>#REF!</v>
      </c>
      <c r="AQ448" s="8">
        <f>SUMIFS(Capacity!$G$2:$G$2820,Capacity!$B$2:$B$2820,Demand_Modeling!AG448)</f>
        <v>0</v>
      </c>
    </row>
    <row r="449" spans="33:43" x14ac:dyDescent="0.3">
      <c r="AG449" t="e">
        <f t="shared" si="83"/>
        <v>#REF!</v>
      </c>
      <c r="AH449" t="e">
        <f>#REF!</f>
        <v>#REF!</v>
      </c>
      <c r="AI449" t="e">
        <f>#REF!</f>
        <v>#REF!</v>
      </c>
      <c r="AJ449" s="3" t="e">
        <f>#REF!</f>
        <v>#REF!</v>
      </c>
      <c r="AK449" s="3" t="e">
        <f>#REF!</f>
        <v>#REF!</v>
      </c>
      <c r="AL449" s="3" t="e">
        <f>#REF!</f>
        <v>#REF!</v>
      </c>
      <c r="AM449" s="3" t="e">
        <f>#REF!</f>
        <v>#REF!</v>
      </c>
      <c r="AN449" s="3" t="e">
        <f>#REF!</f>
        <v>#REF!</v>
      </c>
      <c r="AO449" s="3" t="e">
        <f>#REF!</f>
        <v>#REF!</v>
      </c>
      <c r="AP449" s="9" t="e">
        <f>VLOOKUP(AG449,#REF!,10,FALSE)</f>
        <v>#REF!</v>
      </c>
      <c r="AQ449" s="8">
        <f>SUMIFS(Capacity!$G$2:$G$2820,Capacity!$B$2:$B$2820,Demand_Modeling!AG449)</f>
        <v>0</v>
      </c>
    </row>
    <row r="450" spans="33:43" x14ac:dyDescent="0.3">
      <c r="AG450" t="e">
        <f t="shared" si="83"/>
        <v>#REF!</v>
      </c>
      <c r="AH450" t="e">
        <f>#REF!</f>
        <v>#REF!</v>
      </c>
      <c r="AI450" t="e">
        <f>#REF!</f>
        <v>#REF!</v>
      </c>
      <c r="AJ450" s="3" t="e">
        <f>#REF!</f>
        <v>#REF!</v>
      </c>
      <c r="AK450" s="3" t="e">
        <f>#REF!</f>
        <v>#REF!</v>
      </c>
      <c r="AL450" s="3" t="e">
        <f>#REF!</f>
        <v>#REF!</v>
      </c>
      <c r="AM450" s="3" t="e">
        <f>#REF!</f>
        <v>#REF!</v>
      </c>
      <c r="AN450" s="3" t="e">
        <f>#REF!</f>
        <v>#REF!</v>
      </c>
      <c r="AO450" s="3" t="e">
        <f>#REF!</f>
        <v>#REF!</v>
      </c>
      <c r="AP450" s="9" t="e">
        <f>VLOOKUP(AG450,#REF!,10,FALSE)</f>
        <v>#REF!</v>
      </c>
      <c r="AQ450" s="8">
        <f>SUMIFS(Capacity!$G$2:$G$2820,Capacity!$B$2:$B$2820,Demand_Modeling!AG450)</f>
        <v>0</v>
      </c>
    </row>
    <row r="451" spans="33:43" x14ac:dyDescent="0.3">
      <c r="AG451" t="e">
        <f t="shared" si="83"/>
        <v>#REF!</v>
      </c>
      <c r="AH451" t="e">
        <f>#REF!</f>
        <v>#REF!</v>
      </c>
      <c r="AI451" t="e">
        <f>#REF!</f>
        <v>#REF!</v>
      </c>
      <c r="AJ451" s="3" t="e">
        <f>#REF!</f>
        <v>#REF!</v>
      </c>
      <c r="AK451" s="3" t="e">
        <f>#REF!</f>
        <v>#REF!</v>
      </c>
      <c r="AL451" s="3" t="e">
        <f>#REF!</f>
        <v>#REF!</v>
      </c>
      <c r="AM451" s="3" t="e">
        <f>#REF!</f>
        <v>#REF!</v>
      </c>
      <c r="AN451" s="3" t="e">
        <f>#REF!</f>
        <v>#REF!</v>
      </c>
      <c r="AO451" s="3" t="e">
        <f>#REF!</f>
        <v>#REF!</v>
      </c>
      <c r="AP451" s="9" t="e">
        <f>VLOOKUP(AG451,#REF!,10,FALSE)</f>
        <v>#REF!</v>
      </c>
      <c r="AQ451" s="8">
        <f>SUMIFS(Capacity!$G$2:$G$2820,Capacity!$B$2:$B$2820,Demand_Modeling!AG451)</f>
        <v>0</v>
      </c>
    </row>
    <row r="452" spans="33:43" x14ac:dyDescent="0.3">
      <c r="AG452" t="e">
        <f t="shared" si="83"/>
        <v>#REF!</v>
      </c>
      <c r="AH452" t="e">
        <f>#REF!</f>
        <v>#REF!</v>
      </c>
      <c r="AI452" t="e">
        <f>#REF!</f>
        <v>#REF!</v>
      </c>
      <c r="AJ452" s="3" t="e">
        <f>#REF!</f>
        <v>#REF!</v>
      </c>
      <c r="AK452" s="3" t="e">
        <f>#REF!</f>
        <v>#REF!</v>
      </c>
      <c r="AL452" s="3" t="e">
        <f>#REF!</f>
        <v>#REF!</v>
      </c>
      <c r="AM452" s="3" t="e">
        <f>#REF!</f>
        <v>#REF!</v>
      </c>
      <c r="AN452" s="3" t="e">
        <f>#REF!</f>
        <v>#REF!</v>
      </c>
      <c r="AO452" s="3" t="e">
        <f>#REF!</f>
        <v>#REF!</v>
      </c>
      <c r="AP452" s="9" t="e">
        <f>VLOOKUP(AG452,#REF!,10,FALSE)</f>
        <v>#REF!</v>
      </c>
      <c r="AQ452" s="8">
        <f>SUMIFS(Capacity!$G$2:$G$2820,Capacity!$B$2:$B$2820,Demand_Modeling!AG452)</f>
        <v>0</v>
      </c>
    </row>
    <row r="453" spans="33:43" x14ac:dyDescent="0.3">
      <c r="AG453" t="e">
        <f t="shared" si="83"/>
        <v>#REF!</v>
      </c>
      <c r="AH453" t="e">
        <f>#REF!</f>
        <v>#REF!</v>
      </c>
      <c r="AI453" t="e">
        <f>#REF!</f>
        <v>#REF!</v>
      </c>
      <c r="AJ453" s="3" t="e">
        <f>#REF!</f>
        <v>#REF!</v>
      </c>
      <c r="AK453" s="3" t="e">
        <f>#REF!</f>
        <v>#REF!</v>
      </c>
      <c r="AL453" s="3" t="e">
        <f>#REF!</f>
        <v>#REF!</v>
      </c>
      <c r="AM453" s="3" t="e">
        <f>#REF!</f>
        <v>#REF!</v>
      </c>
      <c r="AN453" s="3" t="e">
        <f>#REF!</f>
        <v>#REF!</v>
      </c>
      <c r="AO453" s="3" t="e">
        <f>#REF!</f>
        <v>#REF!</v>
      </c>
      <c r="AP453" s="9" t="e">
        <f>VLOOKUP(AG453,#REF!,10,FALSE)</f>
        <v>#REF!</v>
      </c>
      <c r="AQ453" s="8">
        <f>SUMIFS(Capacity!$G$2:$G$2820,Capacity!$B$2:$B$2820,Demand_Modeling!AG453)</f>
        <v>0</v>
      </c>
    </row>
    <row r="454" spans="33:43" x14ac:dyDescent="0.3">
      <c r="AG454" t="e">
        <f t="shared" si="83"/>
        <v>#REF!</v>
      </c>
      <c r="AH454" t="e">
        <f>#REF!</f>
        <v>#REF!</v>
      </c>
      <c r="AI454" t="e">
        <f>#REF!</f>
        <v>#REF!</v>
      </c>
      <c r="AJ454" s="3" t="e">
        <f>#REF!</f>
        <v>#REF!</v>
      </c>
      <c r="AK454" s="3" t="e">
        <f>#REF!</f>
        <v>#REF!</v>
      </c>
      <c r="AL454" s="3" t="e">
        <f>#REF!</f>
        <v>#REF!</v>
      </c>
      <c r="AM454" s="3" t="e">
        <f>#REF!</f>
        <v>#REF!</v>
      </c>
      <c r="AN454" s="3" t="e">
        <f>#REF!</f>
        <v>#REF!</v>
      </c>
      <c r="AO454" s="3" t="e">
        <f>#REF!</f>
        <v>#REF!</v>
      </c>
      <c r="AP454" s="9" t="e">
        <f>VLOOKUP(AG454,#REF!,10,FALSE)</f>
        <v>#REF!</v>
      </c>
      <c r="AQ454" s="8">
        <f>SUMIFS(Capacity!$G$2:$G$2820,Capacity!$B$2:$B$2820,Demand_Modeling!AG454)</f>
        <v>0</v>
      </c>
    </row>
    <row r="455" spans="33:43" x14ac:dyDescent="0.3">
      <c r="AG455" t="e">
        <f t="shared" si="83"/>
        <v>#REF!</v>
      </c>
      <c r="AH455" t="e">
        <f>#REF!</f>
        <v>#REF!</v>
      </c>
      <c r="AI455" t="e">
        <f>#REF!</f>
        <v>#REF!</v>
      </c>
      <c r="AJ455" s="3" t="e">
        <f>#REF!</f>
        <v>#REF!</v>
      </c>
      <c r="AK455" s="3" t="e">
        <f>#REF!</f>
        <v>#REF!</v>
      </c>
      <c r="AL455" s="3" t="e">
        <f>#REF!</f>
        <v>#REF!</v>
      </c>
      <c r="AM455" s="3" t="e">
        <f>#REF!</f>
        <v>#REF!</v>
      </c>
      <c r="AN455" s="3" t="e">
        <f>#REF!</f>
        <v>#REF!</v>
      </c>
      <c r="AO455" s="3" t="e">
        <f>#REF!</f>
        <v>#REF!</v>
      </c>
      <c r="AP455" s="9" t="e">
        <f>VLOOKUP(AG455,#REF!,10,FALSE)</f>
        <v>#REF!</v>
      </c>
      <c r="AQ455" s="8">
        <f>SUMIFS(Capacity!$G$2:$G$2820,Capacity!$B$2:$B$2820,Demand_Modeling!AG455)</f>
        <v>0</v>
      </c>
    </row>
    <row r="456" spans="33:43" x14ac:dyDescent="0.3">
      <c r="AG456" t="e">
        <f t="shared" si="83"/>
        <v>#REF!</v>
      </c>
      <c r="AH456" t="e">
        <f>#REF!</f>
        <v>#REF!</v>
      </c>
      <c r="AI456" t="e">
        <f>#REF!</f>
        <v>#REF!</v>
      </c>
      <c r="AJ456" s="3" t="e">
        <f>#REF!</f>
        <v>#REF!</v>
      </c>
      <c r="AK456" s="3" t="e">
        <f>#REF!</f>
        <v>#REF!</v>
      </c>
      <c r="AL456" s="3" t="e">
        <f>#REF!</f>
        <v>#REF!</v>
      </c>
      <c r="AM456" s="3" t="e">
        <f>#REF!</f>
        <v>#REF!</v>
      </c>
      <c r="AN456" s="3" t="e">
        <f>#REF!</f>
        <v>#REF!</v>
      </c>
      <c r="AO456" s="3" t="e">
        <f>#REF!</f>
        <v>#REF!</v>
      </c>
      <c r="AP456" s="9" t="e">
        <f>VLOOKUP(AG456,#REF!,10,FALSE)</f>
        <v>#REF!</v>
      </c>
      <c r="AQ456" s="8">
        <f>SUMIFS(Capacity!$G$2:$G$2820,Capacity!$B$2:$B$2820,Demand_Modeling!AG456)</f>
        <v>0</v>
      </c>
    </row>
    <row r="457" spans="33:43" x14ac:dyDescent="0.3">
      <c r="AG457" t="e">
        <f t="shared" si="83"/>
        <v>#REF!</v>
      </c>
      <c r="AH457" t="e">
        <f>#REF!</f>
        <v>#REF!</v>
      </c>
      <c r="AI457" t="e">
        <f>#REF!</f>
        <v>#REF!</v>
      </c>
      <c r="AJ457" s="3" t="e">
        <f>#REF!</f>
        <v>#REF!</v>
      </c>
      <c r="AK457" s="3" t="e">
        <f>#REF!</f>
        <v>#REF!</v>
      </c>
      <c r="AL457" s="3" t="e">
        <f>#REF!</f>
        <v>#REF!</v>
      </c>
      <c r="AM457" s="3" t="e">
        <f>#REF!</f>
        <v>#REF!</v>
      </c>
      <c r="AN457" s="3" t="e">
        <f>#REF!</f>
        <v>#REF!</v>
      </c>
      <c r="AO457" s="3" t="e">
        <f>#REF!</f>
        <v>#REF!</v>
      </c>
      <c r="AP457" s="9" t="e">
        <f>VLOOKUP(AG457,#REF!,10,FALSE)</f>
        <v>#REF!</v>
      </c>
      <c r="AQ457" s="8">
        <f>SUMIFS(Capacity!$G$2:$G$2820,Capacity!$B$2:$B$2820,Demand_Modeling!AG457)</f>
        <v>0</v>
      </c>
    </row>
    <row r="458" spans="33:43" x14ac:dyDescent="0.3">
      <c r="AG458" t="e">
        <f t="shared" si="83"/>
        <v>#REF!</v>
      </c>
      <c r="AH458" t="e">
        <f>#REF!</f>
        <v>#REF!</v>
      </c>
      <c r="AI458" t="e">
        <f>#REF!</f>
        <v>#REF!</v>
      </c>
      <c r="AJ458" s="3" t="e">
        <f>#REF!</f>
        <v>#REF!</v>
      </c>
      <c r="AK458" s="3" t="e">
        <f>#REF!</f>
        <v>#REF!</v>
      </c>
      <c r="AL458" s="3" t="e">
        <f>#REF!</f>
        <v>#REF!</v>
      </c>
      <c r="AM458" s="3" t="e">
        <f>#REF!</f>
        <v>#REF!</v>
      </c>
      <c r="AN458" s="3" t="e">
        <f>#REF!</f>
        <v>#REF!</v>
      </c>
      <c r="AO458" s="3" t="e">
        <f>#REF!</f>
        <v>#REF!</v>
      </c>
      <c r="AP458" s="9" t="e">
        <f>VLOOKUP(AG458,#REF!,10,FALSE)</f>
        <v>#REF!</v>
      </c>
      <c r="AQ458" s="8">
        <f>SUMIFS(Capacity!$G$2:$G$2820,Capacity!$B$2:$B$2820,Demand_Modeling!AG458)</f>
        <v>0</v>
      </c>
    </row>
    <row r="459" spans="33:43" x14ac:dyDescent="0.3">
      <c r="AG459" t="e">
        <f t="shared" si="83"/>
        <v>#REF!</v>
      </c>
      <c r="AH459" t="e">
        <f>#REF!</f>
        <v>#REF!</v>
      </c>
      <c r="AI459" t="e">
        <f>#REF!</f>
        <v>#REF!</v>
      </c>
      <c r="AJ459" s="3" t="e">
        <f>#REF!</f>
        <v>#REF!</v>
      </c>
      <c r="AK459" s="3" t="e">
        <f>#REF!</f>
        <v>#REF!</v>
      </c>
      <c r="AL459" s="3" t="e">
        <f>#REF!</f>
        <v>#REF!</v>
      </c>
      <c r="AM459" s="3" t="e">
        <f>#REF!</f>
        <v>#REF!</v>
      </c>
      <c r="AN459" s="3" t="e">
        <f>#REF!</f>
        <v>#REF!</v>
      </c>
      <c r="AO459" s="3" t="e">
        <f>#REF!</f>
        <v>#REF!</v>
      </c>
      <c r="AP459" s="9" t="e">
        <f>VLOOKUP(AG459,#REF!,10,FALSE)</f>
        <v>#REF!</v>
      </c>
      <c r="AQ459" s="8">
        <f>SUMIFS(Capacity!$G$2:$G$2820,Capacity!$B$2:$B$2820,Demand_Modeling!AG459)</f>
        <v>0</v>
      </c>
    </row>
    <row r="460" spans="33:43" x14ac:dyDescent="0.3">
      <c r="AG460" t="e">
        <f t="shared" si="83"/>
        <v>#REF!</v>
      </c>
      <c r="AH460" t="e">
        <f>#REF!</f>
        <v>#REF!</v>
      </c>
      <c r="AI460" t="e">
        <f>#REF!</f>
        <v>#REF!</v>
      </c>
      <c r="AJ460" s="3" t="e">
        <f>#REF!</f>
        <v>#REF!</v>
      </c>
      <c r="AK460" s="3" t="e">
        <f>#REF!</f>
        <v>#REF!</v>
      </c>
      <c r="AL460" s="3" t="e">
        <f>#REF!</f>
        <v>#REF!</v>
      </c>
      <c r="AM460" s="3" t="e">
        <f>#REF!</f>
        <v>#REF!</v>
      </c>
      <c r="AN460" s="3" t="e">
        <f>#REF!</f>
        <v>#REF!</v>
      </c>
      <c r="AO460" s="3" t="e">
        <f>#REF!</f>
        <v>#REF!</v>
      </c>
      <c r="AP460" s="9" t="e">
        <f>VLOOKUP(AG460,#REF!,10,FALSE)</f>
        <v>#REF!</v>
      </c>
      <c r="AQ460" s="8">
        <f>SUMIFS(Capacity!$G$2:$G$2820,Capacity!$B$2:$B$2820,Demand_Modeling!AG460)</f>
        <v>0</v>
      </c>
    </row>
    <row r="461" spans="33:43" x14ac:dyDescent="0.3">
      <c r="AG461" t="e">
        <f t="shared" si="83"/>
        <v>#REF!</v>
      </c>
      <c r="AH461" t="e">
        <f>#REF!</f>
        <v>#REF!</v>
      </c>
      <c r="AI461" t="e">
        <f>#REF!</f>
        <v>#REF!</v>
      </c>
      <c r="AJ461" s="3" t="e">
        <f>#REF!</f>
        <v>#REF!</v>
      </c>
      <c r="AK461" s="3" t="e">
        <f>#REF!</f>
        <v>#REF!</v>
      </c>
      <c r="AL461" s="3" t="e">
        <f>#REF!</f>
        <v>#REF!</v>
      </c>
      <c r="AM461" s="3" t="e">
        <f>#REF!</f>
        <v>#REF!</v>
      </c>
      <c r="AN461" s="3" t="e">
        <f>#REF!</f>
        <v>#REF!</v>
      </c>
      <c r="AO461" s="3" t="e">
        <f>#REF!</f>
        <v>#REF!</v>
      </c>
      <c r="AP461" s="9" t="e">
        <f>VLOOKUP(AG461,#REF!,10,FALSE)</f>
        <v>#REF!</v>
      </c>
      <c r="AQ461" s="8">
        <f>SUMIFS(Capacity!$G$2:$G$2820,Capacity!$B$2:$B$2820,Demand_Modeling!AG461)</f>
        <v>0</v>
      </c>
    </row>
    <row r="462" spans="33:43" x14ac:dyDescent="0.3">
      <c r="AG462" t="e">
        <f t="shared" si="83"/>
        <v>#REF!</v>
      </c>
      <c r="AH462" t="e">
        <f>#REF!</f>
        <v>#REF!</v>
      </c>
      <c r="AI462" t="e">
        <f>#REF!</f>
        <v>#REF!</v>
      </c>
      <c r="AJ462" s="3" t="e">
        <f>#REF!</f>
        <v>#REF!</v>
      </c>
      <c r="AK462" s="3" t="e">
        <f>#REF!</f>
        <v>#REF!</v>
      </c>
      <c r="AL462" s="3" t="e">
        <f>#REF!</f>
        <v>#REF!</v>
      </c>
      <c r="AM462" s="3" t="e">
        <f>#REF!</f>
        <v>#REF!</v>
      </c>
      <c r="AN462" s="3" t="e">
        <f>#REF!</f>
        <v>#REF!</v>
      </c>
      <c r="AO462" s="3" t="e">
        <f>#REF!</f>
        <v>#REF!</v>
      </c>
      <c r="AP462" s="9" t="e">
        <f>VLOOKUP(AG462,#REF!,10,FALSE)</f>
        <v>#REF!</v>
      </c>
      <c r="AQ462" s="8">
        <f>SUMIFS(Capacity!$G$2:$G$2820,Capacity!$B$2:$B$2820,Demand_Modeling!AG462)</f>
        <v>0</v>
      </c>
    </row>
    <row r="463" spans="33:43" x14ac:dyDescent="0.3">
      <c r="AG463" t="e">
        <f t="shared" ref="AG463:AG471" si="93">AH463&amp;"-"&amp;AI463</f>
        <v>#REF!</v>
      </c>
      <c r="AH463" t="e">
        <f>#REF!</f>
        <v>#REF!</v>
      </c>
      <c r="AI463" t="e">
        <f>#REF!</f>
        <v>#REF!</v>
      </c>
      <c r="AJ463" s="3" t="e">
        <f>#REF!</f>
        <v>#REF!</v>
      </c>
      <c r="AK463" s="3" t="e">
        <f>#REF!</f>
        <v>#REF!</v>
      </c>
      <c r="AL463" s="3" t="e">
        <f>#REF!</f>
        <v>#REF!</v>
      </c>
      <c r="AM463" s="3" t="e">
        <f>#REF!</f>
        <v>#REF!</v>
      </c>
      <c r="AN463" s="3" t="e">
        <f>#REF!</f>
        <v>#REF!</v>
      </c>
      <c r="AO463" s="3" t="e">
        <f>#REF!</f>
        <v>#REF!</v>
      </c>
      <c r="AP463" s="9" t="e">
        <f>VLOOKUP(AG463,#REF!,10,FALSE)</f>
        <v>#REF!</v>
      </c>
      <c r="AQ463" s="8">
        <f>SUMIFS(Capacity!$G$2:$G$2820,Capacity!$B$2:$B$2820,Demand_Modeling!AG463)</f>
        <v>0</v>
      </c>
    </row>
    <row r="464" spans="33:43" x14ac:dyDescent="0.3">
      <c r="AG464" t="e">
        <f t="shared" si="93"/>
        <v>#REF!</v>
      </c>
      <c r="AH464" t="e">
        <f>#REF!</f>
        <v>#REF!</v>
      </c>
      <c r="AI464" t="e">
        <f>#REF!</f>
        <v>#REF!</v>
      </c>
      <c r="AJ464" s="3" t="e">
        <f>#REF!</f>
        <v>#REF!</v>
      </c>
      <c r="AK464" s="3" t="e">
        <f>#REF!</f>
        <v>#REF!</v>
      </c>
      <c r="AL464" s="3" t="e">
        <f>#REF!</f>
        <v>#REF!</v>
      </c>
      <c r="AM464" s="3" t="e">
        <f>#REF!</f>
        <v>#REF!</v>
      </c>
      <c r="AN464" s="3" t="e">
        <f>#REF!</f>
        <v>#REF!</v>
      </c>
      <c r="AO464" s="3" t="e">
        <f>#REF!</f>
        <v>#REF!</v>
      </c>
      <c r="AP464" s="9" t="e">
        <f>VLOOKUP(AG464,#REF!,10,FALSE)</f>
        <v>#REF!</v>
      </c>
      <c r="AQ464" s="8">
        <f>SUMIFS(Capacity!$G$2:$G$2820,Capacity!$B$2:$B$2820,Demand_Modeling!AG464)</f>
        <v>0</v>
      </c>
    </row>
    <row r="465" spans="33:43" x14ac:dyDescent="0.3">
      <c r="AG465" t="e">
        <f t="shared" si="93"/>
        <v>#REF!</v>
      </c>
      <c r="AH465" t="e">
        <f>#REF!</f>
        <v>#REF!</v>
      </c>
      <c r="AI465" t="e">
        <f>#REF!</f>
        <v>#REF!</v>
      </c>
      <c r="AJ465" s="3" t="e">
        <f>#REF!</f>
        <v>#REF!</v>
      </c>
      <c r="AK465" s="3" t="e">
        <f>#REF!</f>
        <v>#REF!</v>
      </c>
      <c r="AL465" s="3" t="e">
        <f>#REF!</f>
        <v>#REF!</v>
      </c>
      <c r="AM465" s="3" t="e">
        <f>#REF!</f>
        <v>#REF!</v>
      </c>
      <c r="AN465" s="3" t="e">
        <f>#REF!</f>
        <v>#REF!</v>
      </c>
      <c r="AO465" s="3" t="e">
        <f>#REF!</f>
        <v>#REF!</v>
      </c>
      <c r="AP465" s="9" t="e">
        <f>VLOOKUP(AG465,#REF!,10,FALSE)</f>
        <v>#REF!</v>
      </c>
      <c r="AQ465" s="8">
        <f>SUMIFS(Capacity!$G$2:$G$2820,Capacity!$B$2:$B$2820,Demand_Modeling!AG465)</f>
        <v>0</v>
      </c>
    </row>
    <row r="466" spans="33:43" x14ac:dyDescent="0.3">
      <c r="AG466" t="e">
        <f t="shared" si="93"/>
        <v>#REF!</v>
      </c>
      <c r="AH466" t="e">
        <f>#REF!</f>
        <v>#REF!</v>
      </c>
      <c r="AI466" t="e">
        <f>#REF!</f>
        <v>#REF!</v>
      </c>
      <c r="AJ466" s="3" t="e">
        <f>#REF!</f>
        <v>#REF!</v>
      </c>
      <c r="AK466" s="3" t="e">
        <f>#REF!</f>
        <v>#REF!</v>
      </c>
      <c r="AL466" s="3" t="e">
        <f>#REF!</f>
        <v>#REF!</v>
      </c>
      <c r="AM466" s="3" t="e">
        <f>#REF!</f>
        <v>#REF!</v>
      </c>
      <c r="AN466" s="3" t="e">
        <f>#REF!</f>
        <v>#REF!</v>
      </c>
      <c r="AO466" s="3" t="e">
        <f>#REF!</f>
        <v>#REF!</v>
      </c>
      <c r="AP466" s="9" t="e">
        <f>VLOOKUP(AG466,#REF!,10,FALSE)</f>
        <v>#REF!</v>
      </c>
      <c r="AQ466" s="8">
        <f>SUMIFS(Capacity!$G$2:$G$2820,Capacity!$B$2:$B$2820,Demand_Modeling!AG466)</f>
        <v>0</v>
      </c>
    </row>
    <row r="467" spans="33:43" x14ac:dyDescent="0.3">
      <c r="AG467" t="e">
        <f t="shared" si="93"/>
        <v>#REF!</v>
      </c>
      <c r="AH467" t="e">
        <f>#REF!</f>
        <v>#REF!</v>
      </c>
      <c r="AI467" t="e">
        <f>#REF!</f>
        <v>#REF!</v>
      </c>
      <c r="AJ467" s="3" t="e">
        <f>#REF!</f>
        <v>#REF!</v>
      </c>
      <c r="AK467" s="3" t="e">
        <f>#REF!</f>
        <v>#REF!</v>
      </c>
      <c r="AL467" s="3" t="e">
        <f>#REF!</f>
        <v>#REF!</v>
      </c>
      <c r="AM467" s="3" t="e">
        <f>#REF!</f>
        <v>#REF!</v>
      </c>
      <c r="AN467" s="3" t="e">
        <f>#REF!</f>
        <v>#REF!</v>
      </c>
      <c r="AO467" s="3" t="e">
        <f>#REF!</f>
        <v>#REF!</v>
      </c>
      <c r="AP467" s="9" t="e">
        <f>VLOOKUP(AG467,#REF!,10,FALSE)</f>
        <v>#REF!</v>
      </c>
      <c r="AQ467" s="8">
        <f>SUMIFS(Capacity!$G$2:$G$2820,Capacity!$B$2:$B$2820,Demand_Modeling!AG467)</f>
        <v>0</v>
      </c>
    </row>
    <row r="468" spans="33:43" x14ac:dyDescent="0.3">
      <c r="AG468" t="e">
        <f t="shared" si="93"/>
        <v>#REF!</v>
      </c>
      <c r="AH468" t="e">
        <f>#REF!</f>
        <v>#REF!</v>
      </c>
      <c r="AI468" t="e">
        <f>#REF!</f>
        <v>#REF!</v>
      </c>
      <c r="AJ468" s="3" t="e">
        <f>#REF!</f>
        <v>#REF!</v>
      </c>
      <c r="AK468" s="3" t="e">
        <f>#REF!</f>
        <v>#REF!</v>
      </c>
      <c r="AL468" s="3" t="e">
        <f>#REF!</f>
        <v>#REF!</v>
      </c>
      <c r="AM468" s="3" t="e">
        <f>#REF!</f>
        <v>#REF!</v>
      </c>
      <c r="AN468" s="3" t="e">
        <f>#REF!</f>
        <v>#REF!</v>
      </c>
      <c r="AO468" s="3" t="e">
        <f>#REF!</f>
        <v>#REF!</v>
      </c>
      <c r="AP468" s="9" t="e">
        <f>VLOOKUP(AG468,#REF!,10,FALSE)</f>
        <v>#REF!</v>
      </c>
      <c r="AQ468" s="8">
        <f>SUMIFS(Capacity!$G$2:$G$2820,Capacity!$B$2:$B$2820,Demand_Modeling!AG468)</f>
        <v>0</v>
      </c>
    </row>
    <row r="469" spans="33:43" x14ac:dyDescent="0.3">
      <c r="AG469" t="e">
        <f t="shared" si="93"/>
        <v>#REF!</v>
      </c>
      <c r="AH469" t="e">
        <f>#REF!</f>
        <v>#REF!</v>
      </c>
      <c r="AI469" t="e">
        <f>#REF!</f>
        <v>#REF!</v>
      </c>
      <c r="AJ469" s="3" t="e">
        <f>#REF!</f>
        <v>#REF!</v>
      </c>
      <c r="AK469" s="3" t="e">
        <f>#REF!</f>
        <v>#REF!</v>
      </c>
      <c r="AL469" s="3" t="e">
        <f>#REF!</f>
        <v>#REF!</v>
      </c>
      <c r="AM469" s="3" t="e">
        <f>#REF!</f>
        <v>#REF!</v>
      </c>
      <c r="AN469" s="3" t="e">
        <f>#REF!</f>
        <v>#REF!</v>
      </c>
      <c r="AO469" s="3" t="e">
        <f>#REF!</f>
        <v>#REF!</v>
      </c>
      <c r="AP469" s="9" t="e">
        <f>VLOOKUP(AG469,#REF!,10,FALSE)</f>
        <v>#REF!</v>
      </c>
      <c r="AQ469" s="8">
        <f>SUMIFS(Capacity!$G$2:$G$2820,Capacity!$B$2:$B$2820,Demand_Modeling!AG469)</f>
        <v>0</v>
      </c>
    </row>
    <row r="470" spans="33:43" x14ac:dyDescent="0.3">
      <c r="AG470" t="e">
        <f t="shared" si="93"/>
        <v>#REF!</v>
      </c>
      <c r="AH470" t="e">
        <f>#REF!</f>
        <v>#REF!</v>
      </c>
      <c r="AI470" t="e">
        <f>#REF!</f>
        <v>#REF!</v>
      </c>
      <c r="AJ470" s="3" t="e">
        <f>#REF!</f>
        <v>#REF!</v>
      </c>
      <c r="AK470" s="3" t="e">
        <f>#REF!</f>
        <v>#REF!</v>
      </c>
      <c r="AL470" s="3" t="e">
        <f>#REF!</f>
        <v>#REF!</v>
      </c>
      <c r="AM470" s="3" t="e">
        <f>#REF!</f>
        <v>#REF!</v>
      </c>
      <c r="AN470" s="3" t="e">
        <f>#REF!</f>
        <v>#REF!</v>
      </c>
      <c r="AO470" s="3" t="e">
        <f>#REF!</f>
        <v>#REF!</v>
      </c>
      <c r="AP470" s="9" t="e">
        <f>VLOOKUP(AG470,#REF!,10,FALSE)</f>
        <v>#REF!</v>
      </c>
      <c r="AQ470" s="8">
        <f>SUMIFS(Capacity!$G$2:$G$2820,Capacity!$B$2:$B$2820,Demand_Modeling!AG470)</f>
        <v>0</v>
      </c>
    </row>
    <row r="471" spans="33:43" x14ac:dyDescent="0.3">
      <c r="AG471" t="e">
        <f t="shared" si="93"/>
        <v>#REF!</v>
      </c>
      <c r="AH471" t="e">
        <f>#REF!</f>
        <v>#REF!</v>
      </c>
      <c r="AI471" t="e">
        <f>#REF!</f>
        <v>#REF!</v>
      </c>
      <c r="AJ471" s="3" t="e">
        <f>#REF!</f>
        <v>#REF!</v>
      </c>
      <c r="AK471" s="3" t="e">
        <f>#REF!</f>
        <v>#REF!</v>
      </c>
      <c r="AL471" s="3" t="e">
        <f>#REF!</f>
        <v>#REF!</v>
      </c>
      <c r="AM471" s="3" t="e">
        <f>#REF!</f>
        <v>#REF!</v>
      </c>
      <c r="AN471" s="3" t="e">
        <f>#REF!</f>
        <v>#REF!</v>
      </c>
      <c r="AO471" s="3" t="e">
        <f>#REF!</f>
        <v>#REF!</v>
      </c>
      <c r="AP471" s="9" t="e">
        <f>VLOOKUP(AG471,#REF!,10,FALSE)</f>
        <v>#REF!</v>
      </c>
      <c r="AQ471" s="8">
        <f>SUMIFS(Capacity!$G$2:$G$2820,Capacity!$B$2:$B$2820,Demand_Modeling!AG471)</f>
        <v>0</v>
      </c>
    </row>
  </sheetData>
  <mergeCells count="6">
    <mergeCell ref="AI2:AO2"/>
    <mergeCell ref="AP3:AQ3"/>
    <mergeCell ref="AJ3:AO3"/>
    <mergeCell ref="C1:I1"/>
    <mergeCell ref="L1:Q1"/>
    <mergeCell ref="T1:Y1"/>
  </mergeCells>
  <conditionalFormatting sqref="AJ50:AP471">
    <cfRule type="expression" dxfId="59" priority="81">
      <formula>CellHasFormula(AJ50)</formula>
    </cfRule>
  </conditionalFormatting>
  <conditionalFormatting sqref="O38:O43">
    <cfRule type="expression" dxfId="58" priority="74">
      <formula>CellHasFormula(O38)</formula>
    </cfRule>
  </conditionalFormatting>
  <conditionalFormatting sqref="AQ50:AQ471">
    <cfRule type="expression" dxfId="57" priority="79">
      <formula>CellHasFormula(AQ50)</formula>
    </cfRule>
  </conditionalFormatting>
  <conditionalFormatting sqref="N20:N49 N15:O19 Q14:AD49 J14:O14 J15:K49">
    <cfRule type="expression" dxfId="56" priority="78">
      <formula>CellHasFormula(J14)</formula>
    </cfRule>
  </conditionalFormatting>
  <conditionalFormatting sqref="O20:O25">
    <cfRule type="expression" dxfId="55" priority="77">
      <formula>CellHasFormula(O20)</formula>
    </cfRule>
  </conditionalFormatting>
  <conditionalFormatting sqref="O26:O31">
    <cfRule type="expression" dxfId="54" priority="76">
      <formula>CellHasFormula(O26)</formula>
    </cfRule>
  </conditionalFormatting>
  <conditionalFormatting sqref="O32:O37">
    <cfRule type="expression" dxfId="53" priority="75">
      <formula>CellHasFormula(O32)</formula>
    </cfRule>
  </conditionalFormatting>
  <conditionalFormatting sqref="O44:O49">
    <cfRule type="expression" dxfId="52" priority="73">
      <formula>CellHasFormula(O44)</formula>
    </cfRule>
  </conditionalFormatting>
  <conditionalFormatting sqref="L15:L49">
    <cfRule type="expression" dxfId="51" priority="72">
      <formula>CellHasFormula(L15)</formula>
    </cfRule>
  </conditionalFormatting>
  <conditionalFormatting sqref="M15:M49">
    <cfRule type="expression" dxfId="50" priority="70">
      <formula>CellHasFormula(M15)</formula>
    </cfRule>
  </conditionalFormatting>
  <conditionalFormatting sqref="AI14:AS49 AG14:AG19">
    <cfRule type="expression" dxfId="49" priority="69">
      <formula>CellHasFormula(AG14)</formula>
    </cfRule>
  </conditionalFormatting>
  <conditionalFormatting sqref="AG20:AG25">
    <cfRule type="expression" dxfId="48" priority="68">
      <formula>CellHasFormula(AG20)</formula>
    </cfRule>
  </conditionalFormatting>
  <conditionalFormatting sqref="AG26:AG31">
    <cfRule type="expression" dxfId="47" priority="67">
      <formula>CellHasFormula(AG26)</formula>
    </cfRule>
  </conditionalFormatting>
  <conditionalFormatting sqref="AG32:AG37">
    <cfRule type="expression" dxfId="46" priority="66">
      <formula>CellHasFormula(AG32)</formula>
    </cfRule>
  </conditionalFormatting>
  <conditionalFormatting sqref="AG38:AG43">
    <cfRule type="expression" dxfId="45" priority="65">
      <formula>CellHasFormula(AG38)</formula>
    </cfRule>
  </conditionalFormatting>
  <conditionalFormatting sqref="AG44:AG49">
    <cfRule type="expression" dxfId="44" priority="64">
      <formula>CellHasFormula(AG44)</formula>
    </cfRule>
  </conditionalFormatting>
  <conditionalFormatting sqref="F32:I37">
    <cfRule type="expression" dxfId="43" priority="17">
      <formula>CellHasFormula(F32)</formula>
    </cfRule>
  </conditionalFormatting>
  <conditionalFormatting sqref="D32:E37">
    <cfRule type="expression" dxfId="42" priority="16">
      <formula>CellHasFormula(D32)</formula>
    </cfRule>
  </conditionalFormatting>
  <conditionalFormatting sqref="F14:G19 I14:I19">
    <cfRule type="expression" dxfId="41" priority="15">
      <formula>CellHasFormula(F14)</formula>
    </cfRule>
  </conditionalFormatting>
  <conditionalFormatting sqref="D14:E19">
    <cfRule type="expression" dxfId="40" priority="14">
      <formula>CellHasFormula(D14)</formula>
    </cfRule>
  </conditionalFormatting>
  <conditionalFormatting sqref="H14:H19">
    <cfRule type="expression" dxfId="39" priority="13">
      <formula>CellHasFormula(H14)</formula>
    </cfRule>
  </conditionalFormatting>
  <conditionalFormatting sqref="F20:G25 I20:I25">
    <cfRule type="expression" dxfId="38" priority="12">
      <formula>CellHasFormula(F20)</formula>
    </cfRule>
  </conditionalFormatting>
  <conditionalFormatting sqref="D20:E25">
    <cfRule type="expression" dxfId="37" priority="11">
      <formula>CellHasFormula(D20)</formula>
    </cfRule>
  </conditionalFormatting>
  <conditionalFormatting sqref="H20:H25">
    <cfRule type="expression" dxfId="36" priority="10">
      <formula>CellHasFormula(H20)</formula>
    </cfRule>
  </conditionalFormatting>
  <conditionalFormatting sqref="F26:G31 I26:I31">
    <cfRule type="expression" dxfId="35" priority="9">
      <formula>CellHasFormula(F26)</formula>
    </cfRule>
  </conditionalFormatting>
  <conditionalFormatting sqref="D26:E31">
    <cfRule type="expression" dxfId="34" priority="8">
      <formula>CellHasFormula(D26)</formula>
    </cfRule>
  </conditionalFormatting>
  <conditionalFormatting sqref="H26:H31">
    <cfRule type="expression" dxfId="33" priority="7">
      <formula>CellHasFormula(H26)</formula>
    </cfRule>
  </conditionalFormatting>
  <conditionalFormatting sqref="F38:I43">
    <cfRule type="expression" dxfId="32" priority="6">
      <formula>CellHasFormula(F38)</formula>
    </cfRule>
  </conditionalFormatting>
  <conditionalFormatting sqref="D38:E43">
    <cfRule type="expression" dxfId="31" priority="5">
      <formula>CellHasFormula(D38)</formula>
    </cfRule>
  </conditionalFormatting>
  <conditionalFormatting sqref="F44:I49">
    <cfRule type="expression" dxfId="30" priority="2">
      <formula>CellHasFormula(F44)</formula>
    </cfRule>
  </conditionalFormatting>
  <conditionalFormatting sqref="D44:E49">
    <cfRule type="expression" dxfId="29" priority="1">
      <formula>CellHasFormula(D44)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38"/>
  <sheetViews>
    <sheetView workbookViewId="0">
      <selection activeCell="H3" sqref="H3"/>
    </sheetView>
  </sheetViews>
  <sheetFormatPr defaultRowHeight="14.4" x14ac:dyDescent="0.3"/>
  <sheetData>
    <row r="2" spans="1:26" x14ac:dyDescent="0.3">
      <c r="A2" t="s">
        <v>29</v>
      </c>
      <c r="B2" t="s">
        <v>34</v>
      </c>
      <c r="C2" t="s">
        <v>35</v>
      </c>
      <c r="D2" t="s">
        <v>5</v>
      </c>
      <c r="E2" t="s">
        <v>6</v>
      </c>
      <c r="F2" t="s">
        <v>7</v>
      </c>
      <c r="G2" t="s">
        <v>8</v>
      </c>
      <c r="H2" t="s">
        <v>23</v>
      </c>
      <c r="I2" t="s">
        <v>10</v>
      </c>
      <c r="K2" t="s">
        <v>29</v>
      </c>
      <c r="L2" t="s">
        <v>34</v>
      </c>
      <c r="M2" t="s">
        <v>35</v>
      </c>
      <c r="N2" t="s">
        <v>5</v>
      </c>
      <c r="O2" t="s">
        <v>6</v>
      </c>
      <c r="P2" t="s">
        <v>7</v>
      </c>
      <c r="Q2" t="s">
        <v>8</v>
      </c>
      <c r="R2" t="s">
        <v>23</v>
      </c>
      <c r="S2" t="s">
        <v>10</v>
      </c>
    </row>
    <row r="3" spans="1:26" x14ac:dyDescent="0.3">
      <c r="A3" t="s">
        <v>57</v>
      </c>
      <c r="B3">
        <v>2018</v>
      </c>
      <c r="C3" t="s">
        <v>19</v>
      </c>
      <c r="D3" s="3">
        <v>0</v>
      </c>
      <c r="E3" s="3">
        <v>1</v>
      </c>
      <c r="F3" s="3">
        <v>1.1089516729045198E-5</v>
      </c>
      <c r="G3" s="3">
        <v>4.2773850240602911E-5</v>
      </c>
      <c r="H3" s="3">
        <v>0</v>
      </c>
      <c r="I3" s="3">
        <v>0</v>
      </c>
      <c r="K3" t="s">
        <v>57</v>
      </c>
      <c r="L3">
        <v>2018</v>
      </c>
      <c r="M3" t="s">
        <v>19</v>
      </c>
      <c r="N3" s="3">
        <v>0</v>
      </c>
      <c r="O3" s="3">
        <v>0.9999462526863756</v>
      </c>
      <c r="P3" s="3">
        <v>1.1088919442507969E-5</v>
      </c>
      <c r="Q3" s="3">
        <v>4.26583941818929E-5</v>
      </c>
      <c r="R3" s="3">
        <v>0</v>
      </c>
      <c r="S3" s="3">
        <v>0</v>
      </c>
      <c r="U3" s="3">
        <f>D3-N3</f>
        <v>0</v>
      </c>
      <c r="V3" s="3">
        <f t="shared" ref="V3:Z3" si="0">E3-O3</f>
        <v>5.3747313624397108E-5</v>
      </c>
      <c r="W3" s="3">
        <f t="shared" si="0"/>
        <v>5.9728653722910543E-10</v>
      </c>
      <c r="X3" s="3">
        <f t="shared" si="0"/>
        <v>1.1545605871001059E-7</v>
      </c>
      <c r="Y3" s="3">
        <f t="shared" si="0"/>
        <v>0</v>
      </c>
      <c r="Z3" s="3">
        <f t="shared" si="0"/>
        <v>0</v>
      </c>
    </row>
    <row r="4" spans="1:26" x14ac:dyDescent="0.3">
      <c r="A4" t="s">
        <v>58</v>
      </c>
      <c r="B4">
        <v>2018</v>
      </c>
      <c r="C4" t="s">
        <v>18</v>
      </c>
      <c r="D4" s="3">
        <v>0</v>
      </c>
      <c r="E4" s="3">
        <v>1</v>
      </c>
      <c r="F4" s="3">
        <v>2.3629538155539893E-5</v>
      </c>
      <c r="G4" s="3">
        <v>2.1574795707232075E-5</v>
      </c>
      <c r="H4" s="3">
        <v>0</v>
      </c>
      <c r="I4" s="3">
        <v>0</v>
      </c>
      <c r="K4" t="s">
        <v>58</v>
      </c>
      <c r="L4">
        <v>2018</v>
      </c>
      <c r="M4" t="s">
        <v>18</v>
      </c>
      <c r="N4" s="3">
        <v>0</v>
      </c>
      <c r="O4" s="3">
        <v>0.99995471227303778</v>
      </c>
      <c r="P4" s="3">
        <v>2.3706955663315305E-5</v>
      </c>
      <c r="Q4" s="3">
        <v>2.1580771298892407E-5</v>
      </c>
      <c r="R4" s="3">
        <v>0</v>
      </c>
      <c r="S4" s="3">
        <v>0</v>
      </c>
      <c r="U4" s="3">
        <f t="shared" ref="U4:U38" si="1">D4-N4</f>
        <v>0</v>
      </c>
      <c r="V4" s="3">
        <f t="shared" ref="V4:V38" si="2">E4-O4</f>
        <v>4.5287726962217612E-5</v>
      </c>
      <c r="W4" s="3">
        <f t="shared" ref="W4:W38" si="3">F4-P4</f>
        <v>-7.7417507775411624E-8</v>
      </c>
      <c r="X4" s="3">
        <f t="shared" ref="X4:X38" si="4">G4-Q4</f>
        <v>-5.9755916603313202E-9</v>
      </c>
      <c r="Y4" s="3">
        <f t="shared" ref="Y4:Y38" si="5">H4-R4</f>
        <v>0</v>
      </c>
      <c r="Z4" s="3">
        <f t="shared" ref="Z4:Z38" si="6">I4-S4</f>
        <v>0</v>
      </c>
    </row>
    <row r="5" spans="1:26" x14ac:dyDescent="0.3">
      <c r="A5" t="s">
        <v>59</v>
      </c>
      <c r="B5">
        <v>2018</v>
      </c>
      <c r="C5" t="s">
        <v>17</v>
      </c>
      <c r="D5" s="3">
        <v>1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K5" t="s">
        <v>59</v>
      </c>
      <c r="L5">
        <v>2018</v>
      </c>
      <c r="M5" t="s">
        <v>17</v>
      </c>
      <c r="N5" s="3">
        <v>1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U5" s="3">
        <f t="shared" si="1"/>
        <v>0</v>
      </c>
      <c r="V5" s="3">
        <f t="shared" si="2"/>
        <v>0</v>
      </c>
      <c r="W5" s="3">
        <f t="shared" si="3"/>
        <v>0</v>
      </c>
      <c r="X5" s="3">
        <f t="shared" si="4"/>
        <v>0</v>
      </c>
      <c r="Y5" s="3">
        <f t="shared" si="5"/>
        <v>0</v>
      </c>
      <c r="Z5" s="3">
        <f t="shared" si="6"/>
        <v>0</v>
      </c>
    </row>
    <row r="6" spans="1:26" x14ac:dyDescent="0.3">
      <c r="A6" t="s">
        <v>60</v>
      </c>
      <c r="B6">
        <v>2018</v>
      </c>
      <c r="C6" t="s">
        <v>16</v>
      </c>
      <c r="D6" s="3">
        <v>0.65</v>
      </c>
      <c r="E6" s="3">
        <v>0</v>
      </c>
      <c r="F6" s="3">
        <v>0.2</v>
      </c>
      <c r="G6" s="3">
        <v>0.05</v>
      </c>
      <c r="H6" s="3">
        <v>0</v>
      </c>
      <c r="I6" s="3">
        <v>0.1</v>
      </c>
      <c r="K6" t="s">
        <v>60</v>
      </c>
      <c r="L6">
        <v>2018</v>
      </c>
      <c r="M6" t="s">
        <v>16</v>
      </c>
      <c r="N6" s="3">
        <v>0.64999998226206246</v>
      </c>
      <c r="O6" s="3">
        <v>0</v>
      </c>
      <c r="P6" s="3">
        <v>0.20000001330345318</v>
      </c>
      <c r="Q6" s="3">
        <v>5.0000008868968791E-2</v>
      </c>
      <c r="R6" s="3">
        <v>0</v>
      </c>
      <c r="S6" s="3">
        <v>9.9999995565515601E-2</v>
      </c>
      <c r="U6" s="3">
        <f t="shared" si="1"/>
        <v>1.7737937563211403E-8</v>
      </c>
      <c r="V6" s="3">
        <f t="shared" si="2"/>
        <v>0</v>
      </c>
      <c r="W6" s="3">
        <f t="shared" si="3"/>
        <v>-1.3303453172408553E-8</v>
      </c>
      <c r="X6" s="3">
        <f t="shared" si="4"/>
        <v>-8.8689687885445956E-9</v>
      </c>
      <c r="Y6" s="3">
        <f t="shared" si="5"/>
        <v>0</v>
      </c>
      <c r="Z6" s="3">
        <f t="shared" si="6"/>
        <v>4.4344844046806386E-9</v>
      </c>
    </row>
    <row r="7" spans="1:26" x14ac:dyDescent="0.3">
      <c r="A7" t="s">
        <v>61</v>
      </c>
      <c r="B7">
        <v>2018</v>
      </c>
      <c r="C7" t="s">
        <v>22</v>
      </c>
      <c r="D7" s="3">
        <v>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K7" t="s">
        <v>61</v>
      </c>
      <c r="L7">
        <v>2018</v>
      </c>
      <c r="M7" t="s">
        <v>22</v>
      </c>
      <c r="N7" s="3">
        <v>1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U7" s="3">
        <f t="shared" si="1"/>
        <v>0</v>
      </c>
      <c r="V7" s="3">
        <f t="shared" si="2"/>
        <v>0</v>
      </c>
      <c r="W7" s="3">
        <f t="shared" si="3"/>
        <v>0</v>
      </c>
      <c r="X7" s="3">
        <f t="shared" si="4"/>
        <v>0</v>
      </c>
      <c r="Y7" s="3">
        <f t="shared" si="5"/>
        <v>0</v>
      </c>
      <c r="Z7" s="3">
        <f t="shared" si="6"/>
        <v>0</v>
      </c>
    </row>
    <row r="8" spans="1:26" x14ac:dyDescent="0.3">
      <c r="A8" t="s">
        <v>62</v>
      </c>
      <c r="B8">
        <v>2018</v>
      </c>
      <c r="C8" t="s">
        <v>20</v>
      </c>
      <c r="D8" s="3">
        <v>0.17</v>
      </c>
      <c r="E8" s="3">
        <v>0.05</v>
      </c>
      <c r="F8" s="3">
        <v>0.19</v>
      </c>
      <c r="G8" s="3">
        <v>0.44</v>
      </c>
      <c r="H8" s="3">
        <v>0</v>
      </c>
      <c r="I8" s="3">
        <v>0.15</v>
      </c>
      <c r="K8" t="s">
        <v>62</v>
      </c>
      <c r="L8">
        <v>2018</v>
      </c>
      <c r="M8" t="s">
        <v>20</v>
      </c>
      <c r="N8" s="3">
        <v>0.17000000525407921</v>
      </c>
      <c r="O8" s="3">
        <v>4.9999996985364385E-2</v>
      </c>
      <c r="P8" s="3">
        <v>0.1899999850990868</v>
      </c>
      <c r="Q8" s="3">
        <v>0.44000000447888721</v>
      </c>
      <c r="R8" s="3">
        <v>0</v>
      </c>
      <c r="S8" s="3">
        <v>0.15000000818258238</v>
      </c>
      <c r="U8" s="3">
        <f t="shared" si="1"/>
        <v>-5.2540791994903913E-9</v>
      </c>
      <c r="V8" s="3">
        <f t="shared" si="2"/>
        <v>3.0146356175264621E-9</v>
      </c>
      <c r="W8" s="3">
        <f t="shared" si="3"/>
        <v>1.4900913197779531E-8</v>
      </c>
      <c r="X8" s="3">
        <f t="shared" si="4"/>
        <v>-4.4788872055612217E-9</v>
      </c>
      <c r="Y8" s="3">
        <f t="shared" si="5"/>
        <v>0</v>
      </c>
      <c r="Z8" s="3">
        <f t="shared" si="6"/>
        <v>-8.1825823894376981E-9</v>
      </c>
    </row>
    <row r="9" spans="1:26" x14ac:dyDescent="0.3">
      <c r="A9" t="s">
        <v>63</v>
      </c>
      <c r="B9">
        <v>2019</v>
      </c>
      <c r="C9" t="s">
        <v>19</v>
      </c>
      <c r="D9" s="3">
        <v>0</v>
      </c>
      <c r="E9" s="3">
        <v>1</v>
      </c>
      <c r="F9" s="3">
        <v>1.0877928075508308E-5</v>
      </c>
      <c r="G9" s="3">
        <v>4.2866411483994603E-5</v>
      </c>
      <c r="H9" s="3">
        <v>0</v>
      </c>
      <c r="I9" s="3">
        <v>0</v>
      </c>
      <c r="K9" t="s">
        <v>63</v>
      </c>
      <c r="L9">
        <v>2019</v>
      </c>
      <c r="M9" t="s">
        <v>19</v>
      </c>
      <c r="N9" s="3">
        <v>0</v>
      </c>
      <c r="O9" s="3">
        <v>0.99994644291543011</v>
      </c>
      <c r="P9" s="3">
        <v>1.0877342477183853E-5</v>
      </c>
      <c r="Q9" s="3">
        <v>4.2679742092679017E-5</v>
      </c>
      <c r="R9" s="3">
        <v>0</v>
      </c>
      <c r="S9" s="3">
        <v>0</v>
      </c>
      <c r="U9" s="3">
        <f t="shared" si="1"/>
        <v>0</v>
      </c>
      <c r="V9" s="3">
        <f t="shared" si="2"/>
        <v>5.3557084569888502E-5</v>
      </c>
      <c r="W9" s="3">
        <f t="shared" si="3"/>
        <v>5.8559832445522961E-10</v>
      </c>
      <c r="X9" s="3">
        <f t="shared" si="4"/>
        <v>1.8666939131558571E-7</v>
      </c>
      <c r="Y9" s="3">
        <f t="shared" si="5"/>
        <v>0</v>
      </c>
      <c r="Z9" s="3">
        <f t="shared" si="6"/>
        <v>0</v>
      </c>
    </row>
    <row r="10" spans="1:26" x14ac:dyDescent="0.3">
      <c r="A10" t="s">
        <v>64</v>
      </c>
      <c r="B10">
        <v>2019</v>
      </c>
      <c r="C10" t="s">
        <v>18</v>
      </c>
      <c r="D10" s="3">
        <v>0</v>
      </c>
      <c r="E10" s="3">
        <v>1</v>
      </c>
      <c r="F10" s="3">
        <v>2.3629538155539893E-5</v>
      </c>
      <c r="G10" s="3">
        <v>2.1574795707232075E-5</v>
      </c>
      <c r="H10" s="3">
        <v>0</v>
      </c>
      <c r="I10" s="3">
        <v>0</v>
      </c>
      <c r="K10" t="s">
        <v>64</v>
      </c>
      <c r="L10">
        <v>2019</v>
      </c>
      <c r="M10" t="s">
        <v>18</v>
      </c>
      <c r="N10" s="3">
        <v>0</v>
      </c>
      <c r="O10" s="3">
        <v>0.99995479771412044</v>
      </c>
      <c r="P10" s="3">
        <v>2.3628467618880214E-5</v>
      </c>
      <c r="Q10" s="3">
        <v>2.1573818260716717E-5</v>
      </c>
      <c r="R10" s="3">
        <v>0</v>
      </c>
      <c r="S10" s="3">
        <v>0</v>
      </c>
      <c r="U10" s="3">
        <f t="shared" si="1"/>
        <v>0</v>
      </c>
      <c r="V10" s="3">
        <f t="shared" si="2"/>
        <v>4.5202285879564208E-5</v>
      </c>
      <c r="W10" s="3">
        <f t="shared" si="3"/>
        <v>1.0705366596791403E-9</v>
      </c>
      <c r="X10" s="3">
        <f t="shared" si="4"/>
        <v>9.7744651535877311E-10</v>
      </c>
      <c r="Y10" s="3">
        <f t="shared" si="5"/>
        <v>0</v>
      </c>
      <c r="Z10" s="3">
        <f t="shared" si="6"/>
        <v>0</v>
      </c>
    </row>
    <row r="11" spans="1:26" x14ac:dyDescent="0.3">
      <c r="A11" t="s">
        <v>65</v>
      </c>
      <c r="B11">
        <v>2019</v>
      </c>
      <c r="C11" t="s">
        <v>17</v>
      </c>
      <c r="D11" s="3">
        <v>1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K11" t="s">
        <v>65</v>
      </c>
      <c r="L11">
        <v>2019</v>
      </c>
      <c r="M11" t="s">
        <v>17</v>
      </c>
      <c r="N11" s="3">
        <v>1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U11" s="3">
        <f t="shared" si="1"/>
        <v>0</v>
      </c>
      <c r="V11" s="3">
        <f t="shared" si="2"/>
        <v>0</v>
      </c>
      <c r="W11" s="3">
        <f t="shared" si="3"/>
        <v>0</v>
      </c>
      <c r="X11" s="3">
        <f t="shared" si="4"/>
        <v>0</v>
      </c>
      <c r="Y11" s="3">
        <f t="shared" si="5"/>
        <v>0</v>
      </c>
      <c r="Z11" s="3">
        <f t="shared" si="6"/>
        <v>0</v>
      </c>
    </row>
    <row r="12" spans="1:26" x14ac:dyDescent="0.3">
      <c r="A12" t="s">
        <v>66</v>
      </c>
      <c r="B12">
        <v>2019</v>
      </c>
      <c r="C12" t="s">
        <v>16</v>
      </c>
      <c r="D12" s="3">
        <v>0.55000000000000004</v>
      </c>
      <c r="E12" s="3">
        <v>0</v>
      </c>
      <c r="F12" s="3">
        <v>0.15</v>
      </c>
      <c r="G12" s="3">
        <v>0.05</v>
      </c>
      <c r="H12" s="3"/>
      <c r="I12" s="3">
        <v>0.25</v>
      </c>
      <c r="K12" t="s">
        <v>66</v>
      </c>
      <c r="L12">
        <v>2019</v>
      </c>
      <c r="M12" t="s">
        <v>16</v>
      </c>
      <c r="N12" s="3">
        <v>0.5499999881928932</v>
      </c>
      <c r="O12" s="3">
        <v>0</v>
      </c>
      <c r="P12" s="3">
        <v>0.14999998425719091</v>
      </c>
      <c r="Q12" s="3">
        <v>4.9999988192893176E-2</v>
      </c>
      <c r="R12" s="3">
        <v>0</v>
      </c>
      <c r="S12" s="3">
        <v>0.25000003935702275</v>
      </c>
      <c r="U12" s="3">
        <f t="shared" si="1"/>
        <v>1.1807106847783189E-8</v>
      </c>
      <c r="V12" s="3">
        <f t="shared" si="2"/>
        <v>0</v>
      </c>
      <c r="W12" s="3">
        <f t="shared" si="3"/>
        <v>1.5742809084118292E-8</v>
      </c>
      <c r="X12" s="3">
        <f t="shared" si="4"/>
        <v>1.1807106826966507E-8</v>
      </c>
      <c r="Y12" s="3">
        <f t="shared" si="5"/>
        <v>0</v>
      </c>
      <c r="Z12" s="3">
        <f t="shared" si="6"/>
        <v>-3.9357022751929094E-8</v>
      </c>
    </row>
    <row r="13" spans="1:26" x14ac:dyDescent="0.3">
      <c r="A13" t="s">
        <v>67</v>
      </c>
      <c r="B13">
        <v>2019</v>
      </c>
      <c r="C13" t="s">
        <v>22</v>
      </c>
      <c r="D13" s="3">
        <v>1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K13" t="s">
        <v>67</v>
      </c>
      <c r="L13">
        <v>2019</v>
      </c>
      <c r="M13" t="s">
        <v>22</v>
      </c>
      <c r="N13" s="3">
        <v>1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U13" s="3">
        <f t="shared" si="1"/>
        <v>0</v>
      </c>
      <c r="V13" s="3">
        <f t="shared" si="2"/>
        <v>0</v>
      </c>
      <c r="W13" s="3">
        <f t="shared" si="3"/>
        <v>0</v>
      </c>
      <c r="X13" s="3">
        <f t="shared" si="4"/>
        <v>0</v>
      </c>
      <c r="Y13" s="3">
        <f t="shared" si="5"/>
        <v>0</v>
      </c>
      <c r="Z13" s="3">
        <f t="shared" si="6"/>
        <v>0</v>
      </c>
    </row>
    <row r="14" spans="1:26" x14ac:dyDescent="0.3">
      <c r="A14" t="s">
        <v>68</v>
      </c>
      <c r="B14">
        <v>2019</v>
      </c>
      <c r="C14" t="s">
        <v>20</v>
      </c>
      <c r="D14" s="3">
        <v>0.17</v>
      </c>
      <c r="E14" s="3">
        <v>0.05</v>
      </c>
      <c r="F14" s="3">
        <v>0.09</v>
      </c>
      <c r="G14" s="3">
        <v>0.49</v>
      </c>
      <c r="H14" s="3">
        <v>0</v>
      </c>
      <c r="I14" s="3">
        <v>0.2</v>
      </c>
      <c r="K14" t="s">
        <v>68</v>
      </c>
      <c r="L14">
        <v>2019</v>
      </c>
      <c r="M14" t="s">
        <v>20</v>
      </c>
      <c r="N14" s="3">
        <v>0.16999999329193241</v>
      </c>
      <c r="O14" s="3">
        <v>5.0000003194317896E-2</v>
      </c>
      <c r="P14" s="3">
        <v>9.0000002555454317E-2</v>
      </c>
      <c r="Q14" s="3">
        <v>0.48999999616681855</v>
      </c>
      <c r="R14" s="3">
        <v>0</v>
      </c>
      <c r="S14" s="3">
        <v>0.20000000479147684</v>
      </c>
      <c r="U14" s="3">
        <f t="shared" si="1"/>
        <v>6.7080676013908658E-9</v>
      </c>
      <c r="V14" s="3">
        <f t="shared" si="2"/>
        <v>-3.1943178935289751E-9</v>
      </c>
      <c r="W14" s="3">
        <f t="shared" si="3"/>
        <v>-2.5554543203742952E-9</v>
      </c>
      <c r="X14" s="3">
        <f t="shared" si="4"/>
        <v>3.8331814389280794E-9</v>
      </c>
      <c r="Y14" s="3">
        <f t="shared" si="5"/>
        <v>0</v>
      </c>
      <c r="Z14" s="3">
        <f t="shared" si="6"/>
        <v>-4.7914768264156749E-9</v>
      </c>
    </row>
    <row r="15" spans="1:26" x14ac:dyDescent="0.3">
      <c r="A15" t="s">
        <v>69</v>
      </c>
      <c r="B15">
        <v>2020</v>
      </c>
      <c r="C15" t="s">
        <v>19</v>
      </c>
      <c r="D15" s="3">
        <v>0</v>
      </c>
      <c r="E15" s="3">
        <v>1</v>
      </c>
      <c r="F15" s="3">
        <v>1.1208768886775575E-5</v>
      </c>
      <c r="G15" s="3">
        <v>4.2928822335065636E-5</v>
      </c>
      <c r="H15" s="3">
        <v>0</v>
      </c>
      <c r="I15" s="3">
        <v>0</v>
      </c>
      <c r="K15" t="s">
        <v>69</v>
      </c>
      <c r="L15">
        <v>2020</v>
      </c>
      <c r="M15" t="s">
        <v>19</v>
      </c>
      <c r="N15" s="3">
        <v>0</v>
      </c>
      <c r="O15" s="3">
        <v>0.99994577599031342</v>
      </c>
      <c r="P15" s="3">
        <v>1.1319262022072968E-5</v>
      </c>
      <c r="Q15" s="3">
        <v>4.2904747664504121E-5</v>
      </c>
      <c r="R15" s="3">
        <v>0</v>
      </c>
      <c r="S15" s="3">
        <v>0</v>
      </c>
      <c r="U15" s="3">
        <f t="shared" si="1"/>
        <v>0</v>
      </c>
      <c r="V15" s="3">
        <f t="shared" si="2"/>
        <v>5.422400968657648E-5</v>
      </c>
      <c r="W15" s="3">
        <f t="shared" si="3"/>
        <v>-1.104931352973935E-7</v>
      </c>
      <c r="X15" s="3">
        <f t="shared" si="4"/>
        <v>2.407467056151437E-8</v>
      </c>
      <c r="Y15" s="3">
        <f t="shared" si="5"/>
        <v>0</v>
      </c>
      <c r="Z15" s="3">
        <f t="shared" si="6"/>
        <v>0</v>
      </c>
    </row>
    <row r="16" spans="1:26" x14ac:dyDescent="0.3">
      <c r="A16" t="s">
        <v>70</v>
      </c>
      <c r="B16">
        <v>2020</v>
      </c>
      <c r="C16" t="s">
        <v>18</v>
      </c>
      <c r="D16" s="3">
        <v>0</v>
      </c>
      <c r="E16" s="3">
        <v>1</v>
      </c>
      <c r="F16" s="3">
        <v>2.3629538155539893E-5</v>
      </c>
      <c r="G16" s="3">
        <v>2.1574795707232075E-5</v>
      </c>
      <c r="H16" s="3">
        <v>0</v>
      </c>
      <c r="I16" s="3">
        <v>0</v>
      </c>
      <c r="K16" t="s">
        <v>70</v>
      </c>
      <c r="L16">
        <v>2020</v>
      </c>
      <c r="M16" t="s">
        <v>18</v>
      </c>
      <c r="N16" s="3">
        <v>0</v>
      </c>
      <c r="O16" s="3">
        <v>0.99995463335242518</v>
      </c>
      <c r="P16" s="3">
        <v>2.375174121220504E-5</v>
      </c>
      <c r="Q16" s="3">
        <v>2.1614906362664104E-5</v>
      </c>
      <c r="R16" s="3">
        <v>0</v>
      </c>
      <c r="S16" s="3">
        <v>0</v>
      </c>
      <c r="U16" s="3">
        <f t="shared" si="1"/>
        <v>0</v>
      </c>
      <c r="V16" s="3">
        <f t="shared" si="2"/>
        <v>4.5366647574818231E-5</v>
      </c>
      <c r="W16" s="3">
        <f t="shared" si="3"/>
        <v>-1.2220305666514738E-7</v>
      </c>
      <c r="X16" s="3">
        <f t="shared" si="4"/>
        <v>-4.0110655432028361E-8</v>
      </c>
      <c r="Y16" s="3">
        <f t="shared" si="5"/>
        <v>0</v>
      </c>
      <c r="Z16" s="3">
        <f t="shared" si="6"/>
        <v>0</v>
      </c>
    </row>
    <row r="17" spans="1:26" x14ac:dyDescent="0.3">
      <c r="A17" t="s">
        <v>71</v>
      </c>
      <c r="B17">
        <v>2020</v>
      </c>
      <c r="C17" t="s">
        <v>17</v>
      </c>
      <c r="D17" s="3">
        <v>1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K17" t="s">
        <v>71</v>
      </c>
      <c r="L17">
        <v>2020</v>
      </c>
      <c r="M17" t="s">
        <v>17</v>
      </c>
      <c r="N17" s="3">
        <v>1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U17" s="3">
        <f t="shared" si="1"/>
        <v>0</v>
      </c>
      <c r="V17" s="3">
        <f t="shared" si="2"/>
        <v>0</v>
      </c>
      <c r="W17" s="3">
        <f t="shared" si="3"/>
        <v>0</v>
      </c>
      <c r="X17" s="3">
        <f t="shared" si="4"/>
        <v>0</v>
      </c>
      <c r="Y17" s="3">
        <f t="shared" si="5"/>
        <v>0</v>
      </c>
      <c r="Z17" s="3">
        <f t="shared" si="6"/>
        <v>0</v>
      </c>
    </row>
    <row r="18" spans="1:26" x14ac:dyDescent="0.3">
      <c r="A18" t="s">
        <v>72</v>
      </c>
      <c r="B18">
        <v>2020</v>
      </c>
      <c r="C18" t="s">
        <v>16</v>
      </c>
      <c r="D18" s="3">
        <v>0.55000000000000004</v>
      </c>
      <c r="E18" s="3">
        <v>0</v>
      </c>
      <c r="F18" s="3">
        <v>0.15</v>
      </c>
      <c r="G18" s="3">
        <v>0.05</v>
      </c>
      <c r="H18" s="3"/>
      <c r="I18" s="3">
        <v>0.25</v>
      </c>
      <c r="K18" t="s">
        <v>72</v>
      </c>
      <c r="L18">
        <v>2020</v>
      </c>
      <c r="M18" t="s">
        <v>16</v>
      </c>
      <c r="N18" s="3">
        <v>0.55000002705795559</v>
      </c>
      <c r="O18" s="3">
        <v>0</v>
      </c>
      <c r="P18" s="3">
        <v>0.14999999098068148</v>
      </c>
      <c r="Q18" s="3">
        <v>4.9999986061053207E-2</v>
      </c>
      <c r="R18" s="3">
        <v>0</v>
      </c>
      <c r="S18" s="3">
        <v>0.24999999590030977</v>
      </c>
      <c r="U18" s="3">
        <f t="shared" si="1"/>
        <v>-2.7057955542808543E-8</v>
      </c>
      <c r="V18" s="3">
        <f t="shared" si="2"/>
        <v>0</v>
      </c>
      <c r="W18" s="3">
        <f t="shared" si="3"/>
        <v>9.0193185142695143E-9</v>
      </c>
      <c r="X18" s="3">
        <f t="shared" si="4"/>
        <v>1.3938946795410967E-8</v>
      </c>
      <c r="Y18" s="3">
        <f t="shared" si="5"/>
        <v>0</v>
      </c>
      <c r="Z18" s="3">
        <f t="shared" si="6"/>
        <v>4.0996902261891677E-9</v>
      </c>
    </row>
    <row r="19" spans="1:26" x14ac:dyDescent="0.3">
      <c r="A19" t="s">
        <v>73</v>
      </c>
      <c r="B19">
        <v>2020</v>
      </c>
      <c r="C19" t="s">
        <v>22</v>
      </c>
      <c r="D19" s="3">
        <v>1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K19" t="s">
        <v>73</v>
      </c>
      <c r="L19">
        <v>2020</v>
      </c>
      <c r="M19" t="s">
        <v>22</v>
      </c>
      <c r="N19" s="3">
        <v>1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U19" s="3">
        <f t="shared" si="1"/>
        <v>0</v>
      </c>
      <c r="V19" s="3">
        <f t="shared" si="2"/>
        <v>0</v>
      </c>
      <c r="W19" s="3">
        <f t="shared" si="3"/>
        <v>0</v>
      </c>
      <c r="X19" s="3">
        <f t="shared" si="4"/>
        <v>0</v>
      </c>
      <c r="Y19" s="3">
        <f t="shared" si="5"/>
        <v>0</v>
      </c>
      <c r="Z19" s="3">
        <f t="shared" si="6"/>
        <v>0</v>
      </c>
    </row>
    <row r="20" spans="1:26" x14ac:dyDescent="0.3">
      <c r="A20" t="s">
        <v>74</v>
      </c>
      <c r="B20">
        <v>2020</v>
      </c>
      <c r="C20" t="s">
        <v>20</v>
      </c>
      <c r="D20" s="3">
        <v>0.17</v>
      </c>
      <c r="E20" s="3">
        <v>0.05</v>
      </c>
      <c r="F20" s="3">
        <v>0.09</v>
      </c>
      <c r="G20" s="3">
        <v>0.49</v>
      </c>
      <c r="H20" s="3">
        <v>0</v>
      </c>
      <c r="I20" s="3">
        <v>0.2</v>
      </c>
      <c r="K20" t="s">
        <v>74</v>
      </c>
      <c r="L20">
        <v>2020</v>
      </c>
      <c r="M20" t="s">
        <v>20</v>
      </c>
      <c r="N20" s="3">
        <v>0.16999998714481832</v>
      </c>
      <c r="O20" s="3">
        <v>5.0000001947754801E-2</v>
      </c>
      <c r="P20" s="3">
        <v>8.9999997013442634E-2</v>
      </c>
      <c r="Q20" s="3">
        <v>0.49000000610296507</v>
      </c>
      <c r="R20" s="3">
        <v>0</v>
      </c>
      <c r="S20" s="3">
        <v>0.2000000077910192</v>
      </c>
      <c r="U20" s="3">
        <f t="shared" si="1"/>
        <v>1.2855181696913576E-8</v>
      </c>
      <c r="V20" s="3">
        <f t="shared" si="2"/>
        <v>-1.9477547977264642E-9</v>
      </c>
      <c r="W20" s="3">
        <f t="shared" si="3"/>
        <v>2.9865573625276198E-9</v>
      </c>
      <c r="X20" s="3">
        <f t="shared" si="4"/>
        <v>-6.1029650777477684E-9</v>
      </c>
      <c r="Y20" s="3">
        <f t="shared" si="5"/>
        <v>0</v>
      </c>
      <c r="Z20" s="3">
        <f t="shared" si="6"/>
        <v>-7.7910191909058568E-9</v>
      </c>
    </row>
    <row r="21" spans="1:26" x14ac:dyDescent="0.3">
      <c r="A21" t="s">
        <v>75</v>
      </c>
      <c r="B21">
        <v>2021</v>
      </c>
      <c r="C21" t="s">
        <v>19</v>
      </c>
      <c r="D21" s="3">
        <v>0</v>
      </c>
      <c r="E21" s="3">
        <v>1</v>
      </c>
      <c r="F21" s="3">
        <v>1.1067719537333498E-5</v>
      </c>
      <c r="G21" s="3">
        <v>4.2927397743068073E-5</v>
      </c>
      <c r="H21" s="3">
        <v>0</v>
      </c>
      <c r="I21" s="3">
        <v>0</v>
      </c>
      <c r="K21" t="s">
        <v>75</v>
      </c>
      <c r="L21">
        <v>2021</v>
      </c>
      <c r="M21" t="s">
        <v>19</v>
      </c>
      <c r="N21" s="3">
        <v>0</v>
      </c>
      <c r="O21" s="3">
        <v>0.99994606077327552</v>
      </c>
      <c r="P21" s="3">
        <v>1.0992894147656555E-5</v>
      </c>
      <c r="Q21" s="3">
        <v>4.2946332576855139E-5</v>
      </c>
      <c r="R21" s="3">
        <v>0</v>
      </c>
      <c r="S21" s="3">
        <v>0</v>
      </c>
      <c r="U21" s="3">
        <f t="shared" si="1"/>
        <v>0</v>
      </c>
      <c r="V21" s="3">
        <f t="shared" si="2"/>
        <v>5.3939226724475375E-5</v>
      </c>
      <c r="W21" s="3">
        <f t="shared" si="3"/>
        <v>7.4825389676943006E-8</v>
      </c>
      <c r="X21" s="3">
        <f t="shared" si="4"/>
        <v>-1.8934833787066807E-8</v>
      </c>
      <c r="Y21" s="3">
        <f t="shared" si="5"/>
        <v>0</v>
      </c>
      <c r="Z21" s="3">
        <f t="shared" si="6"/>
        <v>0</v>
      </c>
    </row>
    <row r="22" spans="1:26" x14ac:dyDescent="0.3">
      <c r="A22" t="s">
        <v>76</v>
      </c>
      <c r="B22">
        <v>2021</v>
      </c>
      <c r="C22" t="s">
        <v>18</v>
      </c>
      <c r="D22" s="3">
        <v>0</v>
      </c>
      <c r="E22" s="3">
        <v>1</v>
      </c>
      <c r="F22" s="3">
        <v>2.3629538155539893E-5</v>
      </c>
      <c r="G22" s="3">
        <v>2.1574795707232075E-5</v>
      </c>
      <c r="H22" s="3">
        <v>0</v>
      </c>
      <c r="I22" s="3">
        <v>0</v>
      </c>
      <c r="K22" t="s">
        <v>76</v>
      </c>
      <c r="L22">
        <v>2021</v>
      </c>
      <c r="M22" t="s">
        <v>18</v>
      </c>
      <c r="N22" s="3">
        <v>0</v>
      </c>
      <c r="O22" s="3">
        <v>0.99995483225777937</v>
      </c>
      <c r="P22" s="3">
        <v>2.3550764674681753E-5</v>
      </c>
      <c r="Q22" s="3">
        <v>2.1616977545968883E-5</v>
      </c>
      <c r="R22" s="3">
        <v>0</v>
      </c>
      <c r="S22" s="3">
        <v>0</v>
      </c>
      <c r="U22" s="3">
        <f t="shared" si="1"/>
        <v>0</v>
      </c>
      <c r="V22" s="3">
        <f t="shared" si="2"/>
        <v>4.5167742220630913E-5</v>
      </c>
      <c r="W22" s="3">
        <f t="shared" si="3"/>
        <v>7.8773480858140442E-8</v>
      </c>
      <c r="X22" s="3">
        <f t="shared" si="4"/>
        <v>-4.2181838736807459E-8</v>
      </c>
      <c r="Y22" s="3">
        <f t="shared" si="5"/>
        <v>0</v>
      </c>
      <c r="Z22" s="3">
        <f t="shared" si="6"/>
        <v>0</v>
      </c>
    </row>
    <row r="23" spans="1:26" x14ac:dyDescent="0.3">
      <c r="A23" t="s">
        <v>77</v>
      </c>
      <c r="B23">
        <v>2021</v>
      </c>
      <c r="C23" t="s">
        <v>17</v>
      </c>
      <c r="D23" s="3">
        <v>1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K23" t="s">
        <v>77</v>
      </c>
      <c r="L23">
        <v>2021</v>
      </c>
      <c r="M23" t="s">
        <v>17</v>
      </c>
      <c r="N23" s="3">
        <v>1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U23" s="3">
        <f t="shared" si="1"/>
        <v>0</v>
      </c>
      <c r="V23" s="3">
        <f t="shared" si="2"/>
        <v>0</v>
      </c>
      <c r="W23" s="3">
        <f t="shared" si="3"/>
        <v>0</v>
      </c>
      <c r="X23" s="3">
        <f t="shared" si="4"/>
        <v>0</v>
      </c>
      <c r="Y23" s="3">
        <f t="shared" si="5"/>
        <v>0</v>
      </c>
      <c r="Z23" s="3">
        <f t="shared" si="6"/>
        <v>0</v>
      </c>
    </row>
    <row r="24" spans="1:26" x14ac:dyDescent="0.3">
      <c r="A24" t="s">
        <v>78</v>
      </c>
      <c r="B24">
        <v>2021</v>
      </c>
      <c r="C24" t="s">
        <v>16</v>
      </c>
      <c r="D24" s="3">
        <v>0.55000000000000004</v>
      </c>
      <c r="E24" s="3">
        <v>0</v>
      </c>
      <c r="F24" s="3">
        <v>0.15</v>
      </c>
      <c r="G24" s="3">
        <v>0.05</v>
      </c>
      <c r="H24" s="3"/>
      <c r="I24" s="3">
        <v>0.25</v>
      </c>
      <c r="K24" t="s">
        <v>78</v>
      </c>
      <c r="L24">
        <v>2021</v>
      </c>
      <c r="M24" t="s">
        <v>16</v>
      </c>
      <c r="N24" s="3">
        <v>0.55000001998168269</v>
      </c>
      <c r="O24" s="3">
        <v>0</v>
      </c>
      <c r="P24" s="3">
        <v>0.14999998415245852</v>
      </c>
      <c r="Q24" s="3">
        <v>4.9999985530505615E-2</v>
      </c>
      <c r="R24" s="3">
        <v>0</v>
      </c>
      <c r="S24" s="3">
        <v>0.25000001033535313</v>
      </c>
      <c r="U24" s="3">
        <f t="shared" si="1"/>
        <v>-1.9981682641834198E-8</v>
      </c>
      <c r="V24" s="3">
        <f t="shared" si="2"/>
        <v>0</v>
      </c>
      <c r="W24" s="3">
        <f t="shared" si="3"/>
        <v>1.5847541473545945E-8</v>
      </c>
      <c r="X24" s="3">
        <f t="shared" si="4"/>
        <v>1.4469494387381321E-8</v>
      </c>
      <c r="Y24" s="3">
        <f t="shared" si="5"/>
        <v>0</v>
      </c>
      <c r="Z24" s="3">
        <f t="shared" si="6"/>
        <v>-1.0335353128887448E-8</v>
      </c>
    </row>
    <row r="25" spans="1:26" x14ac:dyDescent="0.3">
      <c r="A25" t="s">
        <v>79</v>
      </c>
      <c r="B25">
        <v>2021</v>
      </c>
      <c r="C25" t="s">
        <v>22</v>
      </c>
      <c r="D25" s="3">
        <v>1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K25" t="s">
        <v>79</v>
      </c>
      <c r="L25">
        <v>2021</v>
      </c>
      <c r="M25" t="s">
        <v>22</v>
      </c>
      <c r="N25" s="3">
        <v>1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U25" s="3">
        <f t="shared" si="1"/>
        <v>0</v>
      </c>
      <c r="V25" s="3">
        <f t="shared" si="2"/>
        <v>0</v>
      </c>
      <c r="W25" s="3">
        <f t="shared" si="3"/>
        <v>0</v>
      </c>
      <c r="X25" s="3">
        <f t="shared" si="4"/>
        <v>0</v>
      </c>
      <c r="Y25" s="3">
        <f t="shared" si="5"/>
        <v>0</v>
      </c>
      <c r="Z25" s="3">
        <f t="shared" si="6"/>
        <v>0</v>
      </c>
    </row>
    <row r="26" spans="1:26" x14ac:dyDescent="0.3">
      <c r="A26" t="s">
        <v>80</v>
      </c>
      <c r="B26">
        <v>2021</v>
      </c>
      <c r="C26" t="s">
        <v>20</v>
      </c>
      <c r="D26" s="3">
        <v>0.17</v>
      </c>
      <c r="E26" s="3">
        <v>0.05</v>
      </c>
      <c r="F26" s="3">
        <v>0.09</v>
      </c>
      <c r="G26" s="3">
        <v>0.49</v>
      </c>
      <c r="H26" s="3">
        <v>0</v>
      </c>
      <c r="I26" s="3">
        <v>0.2</v>
      </c>
      <c r="K26" t="s">
        <v>80</v>
      </c>
      <c r="L26">
        <v>2021</v>
      </c>
      <c r="M26" t="s">
        <v>20</v>
      </c>
      <c r="N26" s="3">
        <v>0.17000000889311001</v>
      </c>
      <c r="O26" s="3">
        <v>4.9999999727205216E-2</v>
      </c>
      <c r="P26" s="3">
        <v>9.0000002782506805E-2</v>
      </c>
      <c r="Q26" s="3">
        <v>0.4899999951442528</v>
      </c>
      <c r="R26" s="3">
        <v>0</v>
      </c>
      <c r="S26" s="3">
        <v>0.19999999345292516</v>
      </c>
      <c r="U26" s="3">
        <f t="shared" si="1"/>
        <v>-8.8931099984090878E-9</v>
      </c>
      <c r="V26" s="3">
        <f t="shared" si="2"/>
        <v>2.7279478675978908E-10</v>
      </c>
      <c r="W26" s="3">
        <f t="shared" si="3"/>
        <v>-2.7825068082965032E-9</v>
      </c>
      <c r="X26" s="3">
        <f t="shared" si="4"/>
        <v>4.8557471932220153E-9</v>
      </c>
      <c r="Y26" s="3">
        <f t="shared" si="5"/>
        <v>0</v>
      </c>
      <c r="Z26" s="3">
        <f t="shared" si="6"/>
        <v>6.5470748544793622E-9</v>
      </c>
    </row>
    <row r="27" spans="1:26" x14ac:dyDescent="0.3">
      <c r="A27" t="s">
        <v>81</v>
      </c>
      <c r="B27">
        <v>2022</v>
      </c>
      <c r="C27" t="s">
        <v>19</v>
      </c>
      <c r="D27" s="3">
        <v>0</v>
      </c>
      <c r="E27" s="3">
        <v>1</v>
      </c>
      <c r="F27" s="3">
        <v>1.12563037968633E-5</v>
      </c>
      <c r="G27" s="3">
        <v>4.3051360967150157E-5</v>
      </c>
      <c r="H27" s="3">
        <v>0</v>
      </c>
      <c r="I27" s="3">
        <v>0</v>
      </c>
      <c r="K27" t="s">
        <v>81</v>
      </c>
      <c r="L27">
        <v>2022</v>
      </c>
      <c r="M27" t="s">
        <v>19</v>
      </c>
      <c r="N27" s="3">
        <v>0</v>
      </c>
      <c r="O27" s="3">
        <v>0.99994577024677167</v>
      </c>
      <c r="P27" s="3">
        <v>1.1200143208668719E-5</v>
      </c>
      <c r="Q27" s="3">
        <v>4.3029610019628972E-5</v>
      </c>
      <c r="R27" s="3">
        <v>0</v>
      </c>
      <c r="S27" s="3">
        <v>0</v>
      </c>
      <c r="U27" s="3">
        <f t="shared" si="1"/>
        <v>0</v>
      </c>
      <c r="V27" s="3">
        <f t="shared" si="2"/>
        <v>5.4229753228329791E-5</v>
      </c>
      <c r="W27" s="3">
        <f t="shared" si="3"/>
        <v>5.6160588194581425E-8</v>
      </c>
      <c r="X27" s="3">
        <f t="shared" si="4"/>
        <v>2.1750947521185712E-8</v>
      </c>
      <c r="Y27" s="3">
        <f t="shared" si="5"/>
        <v>0</v>
      </c>
      <c r="Z27" s="3">
        <f t="shared" si="6"/>
        <v>0</v>
      </c>
    </row>
    <row r="28" spans="1:26" x14ac:dyDescent="0.3">
      <c r="A28" t="s">
        <v>82</v>
      </c>
      <c r="B28">
        <v>2022</v>
      </c>
      <c r="C28" t="s">
        <v>18</v>
      </c>
      <c r="D28" s="3">
        <v>0</v>
      </c>
      <c r="E28" s="3">
        <v>1</v>
      </c>
      <c r="F28" s="3">
        <v>2.3629538155539893E-5</v>
      </c>
      <c r="G28" s="3">
        <v>2.1574795707232075E-5</v>
      </c>
      <c r="H28" s="3">
        <v>0</v>
      </c>
      <c r="I28" s="3">
        <v>0</v>
      </c>
      <c r="K28" t="s">
        <v>82</v>
      </c>
      <c r="L28">
        <v>2022</v>
      </c>
      <c r="M28" t="s">
        <v>18</v>
      </c>
      <c r="N28" s="3">
        <v>0</v>
      </c>
      <c r="O28" s="3">
        <v>0.99995490537005072</v>
      </c>
      <c r="P28" s="3">
        <v>2.3562959793291325E-5</v>
      </c>
      <c r="Q28" s="3">
        <v>2.1531670155938624E-5</v>
      </c>
      <c r="R28" s="3">
        <v>0</v>
      </c>
      <c r="S28" s="3">
        <v>0</v>
      </c>
      <c r="U28" s="3">
        <f t="shared" si="1"/>
        <v>0</v>
      </c>
      <c r="V28" s="3">
        <f t="shared" si="2"/>
        <v>4.5094629949282705E-5</v>
      </c>
      <c r="W28" s="3">
        <f t="shared" si="3"/>
        <v>6.6578362248568163E-8</v>
      </c>
      <c r="X28" s="3">
        <f t="shared" si="4"/>
        <v>4.3125551293451704E-8</v>
      </c>
      <c r="Y28" s="3">
        <f t="shared" si="5"/>
        <v>0</v>
      </c>
      <c r="Z28" s="3">
        <f t="shared" si="6"/>
        <v>0</v>
      </c>
    </row>
    <row r="29" spans="1:26" x14ac:dyDescent="0.3">
      <c r="A29" t="s">
        <v>83</v>
      </c>
      <c r="B29">
        <v>2022</v>
      </c>
      <c r="C29" t="s">
        <v>17</v>
      </c>
      <c r="D29" s="3">
        <v>0.9</v>
      </c>
      <c r="E29" s="3">
        <v>0</v>
      </c>
      <c r="F29" s="3">
        <v>0</v>
      </c>
      <c r="G29" s="3">
        <v>0</v>
      </c>
      <c r="H29" s="3">
        <v>0</v>
      </c>
      <c r="I29" s="3">
        <v>0.1</v>
      </c>
      <c r="K29" t="s">
        <v>83</v>
      </c>
      <c r="L29">
        <v>2022</v>
      </c>
      <c r="M29" t="s">
        <v>17</v>
      </c>
      <c r="N29" s="3">
        <v>0.89999996118104342</v>
      </c>
      <c r="O29" s="3">
        <v>0</v>
      </c>
      <c r="P29" s="3">
        <v>0</v>
      </c>
      <c r="Q29" s="3">
        <v>0</v>
      </c>
      <c r="R29" s="3">
        <v>0</v>
      </c>
      <c r="S29" s="3">
        <v>0.10000003881895654</v>
      </c>
      <c r="U29" s="3">
        <f t="shared" si="1"/>
        <v>3.8818956604735888E-8</v>
      </c>
      <c r="V29" s="3">
        <f t="shared" si="2"/>
        <v>0</v>
      </c>
      <c r="W29" s="3">
        <f t="shared" si="3"/>
        <v>0</v>
      </c>
      <c r="X29" s="3">
        <f t="shared" si="4"/>
        <v>0</v>
      </c>
      <c r="Y29" s="3">
        <f t="shared" si="5"/>
        <v>0</v>
      </c>
      <c r="Z29" s="3">
        <f t="shared" si="6"/>
        <v>-3.8818956535346949E-8</v>
      </c>
    </row>
    <row r="30" spans="1:26" x14ac:dyDescent="0.3">
      <c r="A30" t="s">
        <v>84</v>
      </c>
      <c r="B30">
        <v>2022</v>
      </c>
      <c r="C30" t="s">
        <v>16</v>
      </c>
      <c r="D30" s="3">
        <v>0.55000000000000004</v>
      </c>
      <c r="E30" s="3">
        <v>0</v>
      </c>
      <c r="F30" s="3">
        <v>0.15</v>
      </c>
      <c r="G30" s="3">
        <v>0.05</v>
      </c>
      <c r="H30" s="3"/>
      <c r="I30" s="3">
        <v>0.25</v>
      </c>
      <c r="K30" t="s">
        <v>84</v>
      </c>
      <c r="L30">
        <v>2022</v>
      </c>
      <c r="M30" t="s">
        <v>16</v>
      </c>
      <c r="N30" s="3">
        <v>0.55000000579011366</v>
      </c>
      <c r="O30" s="3">
        <v>0</v>
      </c>
      <c r="P30" s="3">
        <v>0.1500000173703411</v>
      </c>
      <c r="Q30" s="3">
        <v>5.0000005790113704E-2</v>
      </c>
      <c r="R30" s="3">
        <v>0</v>
      </c>
      <c r="S30" s="3">
        <v>0.24999997104943147</v>
      </c>
      <c r="U30" s="3">
        <f t="shared" si="1"/>
        <v>-5.7901136107929574E-9</v>
      </c>
      <c r="V30" s="3">
        <f t="shared" si="2"/>
        <v>0</v>
      </c>
      <c r="W30" s="3">
        <f t="shared" si="3"/>
        <v>-1.7370341109934628E-8</v>
      </c>
      <c r="X30" s="3">
        <f t="shared" si="4"/>
        <v>-5.7901137009985781E-9</v>
      </c>
      <c r="Y30" s="3">
        <f t="shared" si="5"/>
        <v>0</v>
      </c>
      <c r="Z30" s="3">
        <f t="shared" si="6"/>
        <v>2.8950568525809572E-8</v>
      </c>
    </row>
    <row r="31" spans="1:26" x14ac:dyDescent="0.3">
      <c r="A31" t="s">
        <v>85</v>
      </c>
      <c r="B31">
        <v>2022</v>
      </c>
      <c r="C31" t="s">
        <v>22</v>
      </c>
      <c r="D31" s="3">
        <v>0.9</v>
      </c>
      <c r="E31" s="3">
        <v>0</v>
      </c>
      <c r="F31" s="3">
        <v>0</v>
      </c>
      <c r="G31" s="3">
        <v>0</v>
      </c>
      <c r="H31" s="3">
        <v>0</v>
      </c>
      <c r="I31" s="3">
        <v>0.1</v>
      </c>
      <c r="K31" t="s">
        <v>85</v>
      </c>
      <c r="L31">
        <v>2022</v>
      </c>
      <c r="M31" t="s">
        <v>22</v>
      </c>
      <c r="N31" s="3">
        <v>0.90000002231630949</v>
      </c>
      <c r="O31" s="3">
        <v>0</v>
      </c>
      <c r="P31" s="3">
        <v>0</v>
      </c>
      <c r="Q31" s="3">
        <v>0</v>
      </c>
      <c r="R31" s="3">
        <v>0</v>
      </c>
      <c r="S31" s="3">
        <v>9.9999977683690566E-2</v>
      </c>
      <c r="U31" s="3">
        <f t="shared" si="1"/>
        <v>-2.2316309467029782E-8</v>
      </c>
      <c r="V31" s="3">
        <f t="shared" si="2"/>
        <v>0</v>
      </c>
      <c r="W31" s="3">
        <f t="shared" si="3"/>
        <v>0</v>
      </c>
      <c r="X31" s="3">
        <f t="shared" si="4"/>
        <v>0</v>
      </c>
      <c r="Y31" s="3">
        <f t="shared" si="5"/>
        <v>0</v>
      </c>
      <c r="Z31" s="3">
        <f t="shared" si="6"/>
        <v>2.2316309439274207E-8</v>
      </c>
    </row>
    <row r="32" spans="1:26" x14ac:dyDescent="0.3">
      <c r="A32" t="s">
        <v>86</v>
      </c>
      <c r="B32">
        <v>2022</v>
      </c>
      <c r="C32" t="s">
        <v>20</v>
      </c>
      <c r="D32" s="3">
        <v>0.17</v>
      </c>
      <c r="E32" s="3">
        <v>0.05</v>
      </c>
      <c r="F32" s="3">
        <v>0.09</v>
      </c>
      <c r="G32" s="3">
        <v>0.49</v>
      </c>
      <c r="H32" s="3">
        <v>0</v>
      </c>
      <c r="I32" s="3">
        <v>0.2</v>
      </c>
      <c r="K32" t="s">
        <v>86</v>
      </c>
      <c r="L32">
        <v>2022</v>
      </c>
      <c r="M32" t="s">
        <v>20</v>
      </c>
      <c r="N32" s="3">
        <v>0.16999999431486493</v>
      </c>
      <c r="O32" s="3">
        <v>5.0000001833914537E-2</v>
      </c>
      <c r="P32" s="3">
        <v>8.9999997799302553E-2</v>
      </c>
      <c r="Q32" s="3">
        <v>0.49000000330104615</v>
      </c>
      <c r="R32" s="3">
        <v>0</v>
      </c>
      <c r="S32" s="3">
        <v>0.20000000275087182</v>
      </c>
      <c r="U32" s="3">
        <f t="shared" si="1"/>
        <v>5.6851350849207449E-9</v>
      </c>
      <c r="V32" s="3">
        <f t="shared" si="2"/>
        <v>-1.8339145341217389E-9</v>
      </c>
      <c r="W32" s="3">
        <f t="shared" si="3"/>
        <v>2.2006974437216442E-9</v>
      </c>
      <c r="X32" s="3">
        <f t="shared" si="4"/>
        <v>-3.3010461586435724E-9</v>
      </c>
      <c r="Y32" s="3">
        <f t="shared" si="5"/>
        <v>0</v>
      </c>
      <c r="Z32" s="3">
        <f t="shared" si="6"/>
        <v>-2.7508718081215022E-9</v>
      </c>
    </row>
    <row r="33" spans="1:26" x14ac:dyDescent="0.3">
      <c r="A33" t="s">
        <v>87</v>
      </c>
      <c r="B33">
        <v>2023</v>
      </c>
      <c r="C33" t="s">
        <v>19</v>
      </c>
      <c r="D33" s="3">
        <v>0</v>
      </c>
      <c r="E33" s="3">
        <v>1</v>
      </c>
      <c r="F33" s="3">
        <v>1.1149958148304151E-5</v>
      </c>
      <c r="G33" s="3">
        <v>4.3025720854632485E-5</v>
      </c>
      <c r="H33" s="3">
        <v>0</v>
      </c>
      <c r="I33" s="3">
        <v>0</v>
      </c>
      <c r="K33" t="s">
        <v>87</v>
      </c>
      <c r="L33">
        <v>2023</v>
      </c>
      <c r="M33" t="s">
        <v>19</v>
      </c>
      <c r="N33" s="3">
        <v>0</v>
      </c>
      <c r="O33" s="3">
        <v>0.99994583742633047</v>
      </c>
      <c r="P33" s="3">
        <v>1.1188327261656112E-5</v>
      </c>
      <c r="Q33" s="3">
        <v>4.2974246407845211E-5</v>
      </c>
      <c r="R33" s="3">
        <v>0</v>
      </c>
      <c r="S33" s="3">
        <v>0</v>
      </c>
      <c r="U33" s="3">
        <f t="shared" si="1"/>
        <v>0</v>
      </c>
      <c r="V33" s="3">
        <f t="shared" si="2"/>
        <v>5.4162573669525038E-5</v>
      </c>
      <c r="W33" s="3">
        <f t="shared" si="3"/>
        <v>-3.8369113351961252E-8</v>
      </c>
      <c r="X33" s="3">
        <f t="shared" si="4"/>
        <v>5.1474446787274036E-8</v>
      </c>
      <c r="Y33" s="3">
        <f t="shared" si="5"/>
        <v>0</v>
      </c>
      <c r="Z33" s="3">
        <f t="shared" si="6"/>
        <v>0</v>
      </c>
    </row>
    <row r="34" spans="1:26" x14ac:dyDescent="0.3">
      <c r="A34" t="s">
        <v>88</v>
      </c>
      <c r="B34">
        <v>2023</v>
      </c>
      <c r="C34" t="s">
        <v>18</v>
      </c>
      <c r="D34" s="3">
        <v>0</v>
      </c>
      <c r="E34" s="3">
        <v>1</v>
      </c>
      <c r="F34" s="3">
        <v>2.3629538155539893E-5</v>
      </c>
      <c r="G34" s="3">
        <v>2.1574795707232075E-5</v>
      </c>
      <c r="H34" s="3">
        <v>0</v>
      </c>
      <c r="I34" s="3">
        <v>0</v>
      </c>
      <c r="K34" t="s">
        <v>88</v>
      </c>
      <c r="L34">
        <v>2023</v>
      </c>
      <c r="M34" t="s">
        <v>18</v>
      </c>
      <c r="N34" s="3">
        <v>0</v>
      </c>
      <c r="O34" s="3">
        <v>0.99995481311770396</v>
      </c>
      <c r="P34" s="3">
        <v>2.3648761116716566E-5</v>
      </c>
      <c r="Q34" s="3">
        <v>2.1538121179321985E-5</v>
      </c>
      <c r="R34" s="3">
        <v>0</v>
      </c>
      <c r="S34" s="3">
        <v>0</v>
      </c>
      <c r="U34" s="3">
        <f t="shared" si="1"/>
        <v>0</v>
      </c>
      <c r="V34" s="3">
        <f t="shared" si="2"/>
        <v>4.5186882296044395E-5</v>
      </c>
      <c r="W34" s="3">
        <f t="shared" si="3"/>
        <v>-1.9222961176672786E-8</v>
      </c>
      <c r="X34" s="3">
        <f t="shared" si="4"/>
        <v>3.6674527910090772E-8</v>
      </c>
      <c r="Y34" s="3">
        <f t="shared" si="5"/>
        <v>0</v>
      </c>
      <c r="Z34" s="3">
        <f t="shared" si="6"/>
        <v>0</v>
      </c>
    </row>
    <row r="35" spans="1:26" x14ac:dyDescent="0.3">
      <c r="A35" t="s">
        <v>89</v>
      </c>
      <c r="B35">
        <v>2023</v>
      </c>
      <c r="C35" t="s">
        <v>17</v>
      </c>
      <c r="D35" s="3">
        <v>0.8</v>
      </c>
      <c r="E35" s="3">
        <v>0</v>
      </c>
      <c r="F35" s="3">
        <v>0</v>
      </c>
      <c r="G35" s="3">
        <v>0</v>
      </c>
      <c r="H35" s="3">
        <v>0</v>
      </c>
      <c r="I35" s="3">
        <v>0.2</v>
      </c>
      <c r="K35" t="s">
        <v>89</v>
      </c>
      <c r="L35">
        <v>2023</v>
      </c>
      <c r="M35" t="s">
        <v>17</v>
      </c>
      <c r="N35" s="3">
        <v>0.80000001224464479</v>
      </c>
      <c r="O35" s="3">
        <v>0</v>
      </c>
      <c r="P35" s="3">
        <v>0</v>
      </c>
      <c r="Q35" s="3">
        <v>0</v>
      </c>
      <c r="R35" s="3">
        <v>0</v>
      </c>
      <c r="S35" s="3">
        <v>0.19999998775535519</v>
      </c>
      <c r="U35" s="3">
        <f t="shared" si="1"/>
        <v>-1.2244644742587241E-8</v>
      </c>
      <c r="V35" s="3">
        <f t="shared" si="2"/>
        <v>0</v>
      </c>
      <c r="W35" s="3">
        <f t="shared" si="3"/>
        <v>0</v>
      </c>
      <c r="X35" s="3">
        <f t="shared" si="4"/>
        <v>0</v>
      </c>
      <c r="Y35" s="3">
        <f t="shared" si="5"/>
        <v>0</v>
      </c>
      <c r="Z35" s="3">
        <f t="shared" si="6"/>
        <v>1.2244644825853968E-8</v>
      </c>
    </row>
    <row r="36" spans="1:26" x14ac:dyDescent="0.3">
      <c r="A36" t="s">
        <v>90</v>
      </c>
      <c r="B36">
        <v>2023</v>
      </c>
      <c r="C36" t="s">
        <v>16</v>
      </c>
      <c r="D36" s="3">
        <v>0.55000000000000004</v>
      </c>
      <c r="E36" s="3">
        <v>0</v>
      </c>
      <c r="F36" s="3">
        <v>0.15</v>
      </c>
      <c r="G36" s="3">
        <v>0.05</v>
      </c>
      <c r="H36" s="3"/>
      <c r="I36" s="3">
        <v>0.25</v>
      </c>
      <c r="K36" t="s">
        <v>90</v>
      </c>
      <c r="L36">
        <v>2023</v>
      </c>
      <c r="M36" t="s">
        <v>16</v>
      </c>
      <c r="N36" s="3">
        <v>0.5499999850932128</v>
      </c>
      <c r="O36" s="3">
        <v>0</v>
      </c>
      <c r="P36" s="3">
        <v>0.15000000817468978</v>
      </c>
      <c r="Q36" s="3">
        <v>4.9999999519135897E-2</v>
      </c>
      <c r="R36" s="3">
        <v>0</v>
      </c>
      <c r="S36" s="3">
        <v>0.25000000721296156</v>
      </c>
      <c r="U36" s="3">
        <f t="shared" si="1"/>
        <v>1.4906787249024944E-8</v>
      </c>
      <c r="V36" s="3">
        <f t="shared" si="2"/>
        <v>0</v>
      </c>
      <c r="W36" s="3">
        <f t="shared" si="3"/>
        <v>-8.1746897862000623E-9</v>
      </c>
      <c r="X36" s="3">
        <f t="shared" si="4"/>
        <v>4.8086410547876213E-10</v>
      </c>
      <c r="Y36" s="3">
        <f t="shared" si="5"/>
        <v>0</v>
      </c>
      <c r="Z36" s="3">
        <f t="shared" si="6"/>
        <v>-7.2129615613647502E-9</v>
      </c>
    </row>
    <row r="37" spans="1:26" x14ac:dyDescent="0.3">
      <c r="A37" t="s">
        <v>91</v>
      </c>
      <c r="B37">
        <v>2023</v>
      </c>
      <c r="C37" t="s">
        <v>22</v>
      </c>
      <c r="D37" s="3">
        <v>0.8</v>
      </c>
      <c r="E37" s="3">
        <v>0</v>
      </c>
      <c r="F37" s="3">
        <v>0</v>
      </c>
      <c r="G37" s="3">
        <v>0</v>
      </c>
      <c r="H37" s="3">
        <v>0</v>
      </c>
      <c r="I37" s="3">
        <v>0.2</v>
      </c>
      <c r="K37" t="s">
        <v>91</v>
      </c>
      <c r="L37">
        <v>2023</v>
      </c>
      <c r="M37" t="s">
        <v>22</v>
      </c>
      <c r="N37" s="3">
        <v>0.80000001080441663</v>
      </c>
      <c r="O37" s="3">
        <v>0</v>
      </c>
      <c r="P37" s="3">
        <v>0</v>
      </c>
      <c r="Q37" s="3">
        <v>0</v>
      </c>
      <c r="R37" s="3">
        <v>0</v>
      </c>
      <c r="S37" s="3">
        <v>0.19999998919558337</v>
      </c>
      <c r="U37" s="3">
        <f t="shared" si="1"/>
        <v>-1.0804416583631848E-8</v>
      </c>
      <c r="V37" s="3">
        <f t="shared" si="2"/>
        <v>0</v>
      </c>
      <c r="W37" s="3">
        <f t="shared" si="3"/>
        <v>0</v>
      </c>
      <c r="X37" s="3">
        <f t="shared" si="4"/>
        <v>0</v>
      </c>
      <c r="Y37" s="3">
        <f t="shared" si="5"/>
        <v>0</v>
      </c>
      <c r="Z37" s="3">
        <f t="shared" si="6"/>
        <v>1.0804416639143E-8</v>
      </c>
    </row>
    <row r="38" spans="1:26" x14ac:dyDescent="0.3">
      <c r="A38" t="s">
        <v>92</v>
      </c>
      <c r="B38">
        <v>2023</v>
      </c>
      <c r="C38" t="s">
        <v>20</v>
      </c>
      <c r="D38" s="3">
        <v>0.17</v>
      </c>
      <c r="E38" s="3">
        <v>0.05</v>
      </c>
      <c r="F38" s="3">
        <v>0.09</v>
      </c>
      <c r="G38" s="3">
        <v>0.49</v>
      </c>
      <c r="H38" s="3">
        <v>0</v>
      </c>
      <c r="I38" s="3">
        <v>0.2</v>
      </c>
      <c r="K38" t="s">
        <v>92</v>
      </c>
      <c r="L38">
        <v>2023</v>
      </c>
      <c r="M38" t="s">
        <v>20</v>
      </c>
      <c r="N38" s="3">
        <v>0.1700000000761723</v>
      </c>
      <c r="O38" s="3">
        <v>5.0000004951200321E-2</v>
      </c>
      <c r="P38" s="3">
        <v>8.9999998248036811E-2</v>
      </c>
      <c r="Q38" s="3">
        <v>0.48999999977148306</v>
      </c>
      <c r="R38" s="3">
        <v>0</v>
      </c>
      <c r="S38" s="3">
        <v>0.1999999969531075</v>
      </c>
      <c r="U38" s="3">
        <f t="shared" si="1"/>
        <v>-7.6172290697229528E-11</v>
      </c>
      <c r="V38" s="3">
        <f t="shared" si="2"/>
        <v>-4.9512003177931696E-9</v>
      </c>
      <c r="W38" s="3">
        <f t="shared" si="3"/>
        <v>1.7519631856366402E-9</v>
      </c>
      <c r="X38" s="3">
        <f t="shared" si="4"/>
        <v>2.2851692760283981E-10</v>
      </c>
      <c r="Y38" s="3">
        <f t="shared" si="5"/>
        <v>0</v>
      </c>
      <c r="Z38" s="3">
        <f t="shared" si="6"/>
        <v>3.0468925160676008E-9</v>
      </c>
    </row>
  </sheetData>
  <conditionalFormatting sqref="U1:Z1048576">
    <cfRule type="cellIs" dxfId="2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P434"/>
  <sheetViews>
    <sheetView workbookViewId="0">
      <selection activeCell="H170" sqref="H170"/>
    </sheetView>
  </sheetViews>
  <sheetFormatPr defaultRowHeight="14.4" x14ac:dyDescent="0.3"/>
  <cols>
    <col min="1" max="1" width="15.109375" bestFit="1" customWidth="1"/>
    <col min="2" max="2" width="11.109375" bestFit="1" customWidth="1"/>
    <col min="3" max="3" width="8.33203125" bestFit="1" customWidth="1"/>
    <col min="4" max="4" width="10.109375" bestFit="1" customWidth="1"/>
    <col min="5" max="5" width="11.88671875" bestFit="1" customWidth="1"/>
    <col min="6" max="6" width="12" bestFit="1" customWidth="1"/>
    <col min="7" max="7" width="14.5546875" bestFit="1" customWidth="1"/>
    <col min="8" max="8" width="14.6640625" bestFit="1" customWidth="1"/>
    <col min="9" max="9" width="11" bestFit="1" customWidth="1"/>
    <col min="10" max="10" width="15.6640625" bestFit="1" customWidth="1"/>
    <col min="11" max="11" width="8.33203125" bestFit="1" customWidth="1"/>
    <col min="12" max="12" width="17.6640625" bestFit="1" customWidth="1"/>
    <col min="13" max="13" width="16.109375" bestFit="1" customWidth="1"/>
    <col min="14" max="14" width="12.6640625" bestFit="1" customWidth="1"/>
    <col min="15" max="15" width="18.88671875" bestFit="1" customWidth="1"/>
    <col min="16" max="16" width="21.6640625" bestFit="1" customWidth="1"/>
  </cols>
  <sheetData>
    <row r="1" spans="1:16" x14ac:dyDescent="0.3">
      <c r="C1" s="27" t="s">
        <v>99</v>
      </c>
      <c r="D1" s="27"/>
      <c r="E1" s="27"/>
    </row>
    <row r="2" spans="1:16" x14ac:dyDescent="0.3">
      <c r="A2" t="s">
        <v>96</v>
      </c>
      <c r="B2" t="s">
        <v>97</v>
      </c>
      <c r="C2" s="25" t="s">
        <v>27</v>
      </c>
      <c r="D2" s="25" t="s">
        <v>0</v>
      </c>
      <c r="E2" s="25" t="s">
        <v>95</v>
      </c>
      <c r="F2" s="23" t="s">
        <v>19</v>
      </c>
      <c r="G2" s="24" t="s">
        <v>18</v>
      </c>
      <c r="H2" s="24" t="s">
        <v>17</v>
      </c>
      <c r="I2" s="24" t="s">
        <v>16</v>
      </c>
      <c r="J2" s="24" t="s">
        <v>22</v>
      </c>
      <c r="K2" s="24" t="s">
        <v>20</v>
      </c>
      <c r="L2" s="24" t="s">
        <v>43</v>
      </c>
      <c r="M2" s="24" t="s">
        <v>38</v>
      </c>
      <c r="N2" s="24" t="s">
        <v>36</v>
      </c>
      <c r="O2" s="24" t="s">
        <v>45</v>
      </c>
      <c r="P2" s="24" t="s">
        <v>46</v>
      </c>
    </row>
    <row r="3" spans="1:16" hidden="1" x14ac:dyDescent="0.3">
      <c r="A3" t="str">
        <f>B3&amp;"-"&amp;C3</f>
        <v>201843-EAO</v>
      </c>
      <c r="B3">
        <f>D3*100+E3</f>
        <v>201843</v>
      </c>
      <c r="C3" t="s">
        <v>8</v>
      </c>
      <c r="D3">
        <v>2018</v>
      </c>
      <c r="E3">
        <v>43</v>
      </c>
      <c r="F3">
        <f>SUMIFS(Table1[Modeled_Demand],Table1[Key_Year_week_DC],Demand_Modeling_Week_level!$A3,Table1[BRAND],Demand_Modeling_Week_level!F$2)</f>
        <v>10.142433639253305</v>
      </c>
      <c r="G3">
        <f>SUMIFS(Table1[Modeled_Demand],Table1[Key_Year_week_DC],Demand_Modeling_Week_level!$A3,Table1[BRAND],Demand_Modeling_Week_level!G$2)</f>
        <v>23.562461592962705</v>
      </c>
      <c r="H3">
        <f>SUMIFS(Table1[Modeled_Demand],Table1[Key_Year_week_DC],Demand_Modeling_Week_level!$A3,Table1[BRAND],Demand_Modeling_Week_level!H$2)</f>
        <v>0</v>
      </c>
      <c r="I3">
        <f>SUMIFS(Table1[Modeled_Demand],Table1[Key_Year_week_DC],Demand_Modeling_Week_level!$A3,Table1[BRAND],Demand_Modeling_Week_level!I$2)</f>
        <v>0</v>
      </c>
      <c r="J3">
        <f>SUMIFS(Table1[Modeled_Demand],Table1[Key_Year_week_DC],Demand_Modeling_Week_level!$A3,Table1[BRAND],Demand_Modeling_Week_level!J$2)</f>
        <v>0</v>
      </c>
      <c r="K3">
        <f>SUMIFS(Table1[Modeled_Demand],Table1[Key_Year_week_DC],Demand_Modeling_Week_level!$A3,Table1[BRAND],Demand_Modeling_Week_level!K$2)</f>
        <v>1892255.4000000001</v>
      </c>
      <c r="L3">
        <f>SUMIFS(Table1[Demand],Table1[Key_Year_week_DC],Demand_Modeling_Week_level!$A3)</f>
        <v>2250805</v>
      </c>
      <c r="M3">
        <f>SUM(F3:K3)</f>
        <v>1892289.1048952322</v>
      </c>
      <c r="N3">
        <f>VLOOKUP(A3,Capacity!B:G,6,FALSE)</f>
        <v>1709982.9</v>
      </c>
      <c r="O3" s="20">
        <f>IFERROR((L3/N3),0)</f>
        <v>1.3162733966520952</v>
      </c>
      <c r="P3">
        <f>IFERROR(M3/N3,0)</f>
        <v>1.1066128818570247</v>
      </c>
    </row>
    <row r="4" spans="1:16" hidden="1" x14ac:dyDescent="0.3">
      <c r="A4" t="str">
        <f t="shared" ref="A4:A67" si="0">B4&amp;"-"&amp;C4</f>
        <v>201843-OCC</v>
      </c>
      <c r="B4">
        <f t="shared" ref="B4:B67" si="1">D4*100+E4</f>
        <v>201843</v>
      </c>
      <c r="C4" t="s">
        <v>11</v>
      </c>
      <c r="D4">
        <v>2018</v>
      </c>
      <c r="E4">
        <v>43</v>
      </c>
      <c r="F4">
        <f>SUMIFS(Table1[Modeled_Demand],Table1[Key_Year_week_DC],Demand_Modeling_Week_level!$A4,Table1[BRAND],Demand_Modeling_Week_level!F$2)</f>
        <v>0</v>
      </c>
      <c r="G4">
        <f>SUMIFS(Table1[Modeled_Demand],Table1[Key_Year_week_DC],Demand_Modeling_Week_level!$A4,Table1[BRAND],Demand_Modeling_Week_level!G$2)</f>
        <v>0</v>
      </c>
      <c r="H4">
        <f>SUMIFS(Table1[Modeled_Demand],Table1[Key_Year_week_DC],Demand_Modeling_Week_level!$A4,Table1[BRAND],Demand_Modeling_Week_level!H$2)</f>
        <v>0</v>
      </c>
      <c r="I4">
        <f>SUMIFS(Table1[Modeled_Demand],Table1[Key_Year_week_DC],Demand_Modeling_Week_level!$A4,Table1[BRAND],Demand_Modeling_Week_level!I$2)</f>
        <v>0</v>
      </c>
      <c r="J4">
        <f>SUMIFS(Table1[Modeled_Demand],Table1[Key_Year_week_DC],Demand_Modeling_Week_level!$A4,Table1[BRAND],Demand_Modeling_Week_level!J$2)</f>
        <v>0</v>
      </c>
      <c r="K4">
        <f>SUMIFS(Table1[Modeled_Demand],Table1[Key_Year_week_DC],Demand_Modeling_Week_level!$A4,Table1[BRAND],Demand_Modeling_Week_level!K$2)</f>
        <v>0</v>
      </c>
      <c r="L4">
        <f>SUMIFS(Table1[Demand],Table1[Key_Year_week_DC],Demand_Modeling_Week_level!$A4)</f>
        <v>0</v>
      </c>
      <c r="M4">
        <f t="shared" ref="M4:M67" si="2">SUM(F4:K4)</f>
        <v>0</v>
      </c>
      <c r="N4">
        <f>VLOOKUP(A4,Capacity!B:G,6,FALSE)</f>
        <v>0</v>
      </c>
      <c r="O4" s="20">
        <f t="shared" ref="O4:O67" si="3">IFERROR((L4/N4),0)</f>
        <v>0</v>
      </c>
      <c r="P4">
        <f t="shared" ref="P4:P67" si="4">IFERROR(M4/N4,0)</f>
        <v>0</v>
      </c>
    </row>
    <row r="5" spans="1:16" hidden="1" x14ac:dyDescent="0.3">
      <c r="A5" t="str">
        <f t="shared" si="0"/>
        <v>201843-ODC</v>
      </c>
      <c r="B5">
        <f t="shared" si="1"/>
        <v>201843</v>
      </c>
      <c r="C5" t="s">
        <v>9</v>
      </c>
      <c r="D5">
        <v>2018</v>
      </c>
      <c r="E5">
        <v>43</v>
      </c>
      <c r="F5">
        <f>SUMIFS(Table1[Modeled_Demand],Table1[Key_Year_week_DC],Demand_Modeling_Week_level!$A5,Table1[BRAND],Demand_Modeling_Week_level!F$2)</f>
        <v>0</v>
      </c>
      <c r="G5">
        <f>SUMIFS(Table1[Modeled_Demand],Table1[Key_Year_week_DC],Demand_Modeling_Week_level!$A5,Table1[BRAND],Demand_Modeling_Week_level!G$2)</f>
        <v>0</v>
      </c>
      <c r="H5">
        <f>SUMIFS(Table1[Modeled_Demand],Table1[Key_Year_week_DC],Demand_Modeling_Week_level!$A5,Table1[BRAND],Demand_Modeling_Week_level!H$2)</f>
        <v>0</v>
      </c>
      <c r="I5">
        <f>SUMIFS(Table1[Modeled_Demand],Table1[Key_Year_week_DC],Demand_Modeling_Week_level!$A5,Table1[BRAND],Demand_Modeling_Week_level!I$2)</f>
        <v>0</v>
      </c>
      <c r="J5">
        <f>SUMIFS(Table1[Modeled_Demand],Table1[Key_Year_week_DC],Demand_Modeling_Week_level!$A5,Table1[BRAND],Demand_Modeling_Week_level!J$2)</f>
        <v>0</v>
      </c>
      <c r="K5">
        <f>SUMIFS(Table1[Modeled_Demand],Table1[Key_Year_week_DC],Demand_Modeling_Week_level!$A5,Table1[BRAND],Demand_Modeling_Week_level!K$2)</f>
        <v>0</v>
      </c>
      <c r="L5">
        <f>SUMIFS(Table1[Demand],Table1[Key_Year_week_DC],Demand_Modeling_Week_level!$A5)</f>
        <v>0</v>
      </c>
      <c r="M5">
        <f t="shared" si="2"/>
        <v>0</v>
      </c>
      <c r="N5" t="e">
        <f>VLOOKUP(A5,Capacity!B:G,6,FALSE)</f>
        <v>#N/A</v>
      </c>
      <c r="O5" s="20">
        <f t="shared" si="3"/>
        <v>0</v>
      </c>
      <c r="P5">
        <f t="shared" si="4"/>
        <v>0</v>
      </c>
    </row>
    <row r="6" spans="1:16" hidden="1" x14ac:dyDescent="0.3">
      <c r="A6" t="str">
        <f t="shared" si="0"/>
        <v>201843-OFC</v>
      </c>
      <c r="B6">
        <f t="shared" si="1"/>
        <v>201843</v>
      </c>
      <c r="C6" t="s">
        <v>5</v>
      </c>
      <c r="D6">
        <v>2018</v>
      </c>
      <c r="E6">
        <v>43</v>
      </c>
      <c r="F6">
        <f>SUMIFS(Table1[Modeled_Demand],Table1[Key_Year_week_DC],Demand_Modeling_Week_level!$A6,Table1[BRAND],Demand_Modeling_Week_level!F$2)</f>
        <v>0</v>
      </c>
      <c r="G6">
        <f>SUMIFS(Table1[Modeled_Demand],Table1[Key_Year_week_DC],Demand_Modeling_Week_level!$A6,Table1[BRAND],Demand_Modeling_Week_level!G$2)</f>
        <v>0</v>
      </c>
      <c r="H6">
        <f>SUMIFS(Table1[Modeled_Demand],Table1[Key_Year_week_DC],Demand_Modeling_Week_level!$A6,Table1[BRAND],Demand_Modeling_Week_level!H$2)</f>
        <v>292560</v>
      </c>
      <c r="I6">
        <f>SUMIFS(Table1[Modeled_Demand],Table1[Key_Year_week_DC],Demand_Modeling_Week_level!$A6,Table1[BRAND],Demand_Modeling_Week_level!I$2)</f>
        <v>869491.5</v>
      </c>
      <c r="J6">
        <f>SUMIFS(Table1[Modeled_Demand],Table1[Key_Year_week_DC],Demand_Modeling_Week_level!$A6,Table1[BRAND],Demand_Modeling_Week_level!J$2)</f>
        <v>782855</v>
      </c>
      <c r="K6">
        <f>SUMIFS(Table1[Modeled_Demand],Table1[Key_Year_week_DC],Demand_Modeling_Week_level!$A6,Table1[BRAND],Demand_Modeling_Week_level!K$2)</f>
        <v>1824674.85</v>
      </c>
      <c r="L6">
        <f>SUMIFS(Table1[Demand],Table1[Key_Year_week_DC],Demand_Modeling_Week_level!$A6)</f>
        <v>5238948</v>
      </c>
      <c r="M6">
        <f t="shared" si="2"/>
        <v>3769581.35</v>
      </c>
      <c r="N6">
        <f>VLOOKUP(A6,Capacity!B:G,6,FALSE)</f>
        <v>2992482.9</v>
      </c>
      <c r="O6" s="20">
        <f t="shared" si="3"/>
        <v>1.7507027358452074</v>
      </c>
      <c r="P6">
        <f t="shared" si="4"/>
        <v>1.2596835056267155</v>
      </c>
    </row>
    <row r="7" spans="1:16" hidden="1" x14ac:dyDescent="0.3">
      <c r="A7" t="str">
        <f t="shared" si="0"/>
        <v>201843-SFS</v>
      </c>
      <c r="B7">
        <f t="shared" si="1"/>
        <v>201843</v>
      </c>
      <c r="C7" t="s">
        <v>12</v>
      </c>
      <c r="D7">
        <v>2018</v>
      </c>
      <c r="E7">
        <v>43</v>
      </c>
      <c r="F7">
        <f>SUMIFS(Table1[Modeled_Demand],Table1[Key_Year_week_DC],Demand_Modeling_Week_level!$A7,Table1[BRAND],Demand_Modeling_Week_level!F$2)</f>
        <v>0</v>
      </c>
      <c r="G7">
        <f>SUMIFS(Table1[Modeled_Demand],Table1[Key_Year_week_DC],Demand_Modeling_Week_level!$A7,Table1[BRAND],Demand_Modeling_Week_level!G$2)</f>
        <v>0</v>
      </c>
      <c r="H7">
        <f>SUMIFS(Table1[Modeled_Demand],Table1[Key_Year_week_DC],Demand_Modeling_Week_level!$A7,Table1[BRAND],Demand_Modeling_Week_level!H$2)</f>
        <v>0</v>
      </c>
      <c r="I7">
        <f>SUMIFS(Table1[Modeled_Demand],Table1[Key_Year_week_DC],Demand_Modeling_Week_level!$A7,Table1[BRAND],Demand_Modeling_Week_level!I$2)</f>
        <v>0</v>
      </c>
      <c r="J7">
        <f>SUMIFS(Table1[Modeled_Demand],Table1[Key_Year_week_DC],Demand_Modeling_Week_level!$A7,Table1[BRAND],Demand_Modeling_Week_level!J$2)</f>
        <v>0</v>
      </c>
      <c r="K7">
        <f>SUMIFS(Table1[Modeled_Demand],Table1[Key_Year_week_DC],Demand_Modeling_Week_level!$A7,Table1[BRAND],Demand_Modeling_Week_level!K$2)</f>
        <v>0</v>
      </c>
      <c r="L7">
        <f>SUMIFS(Table1[Demand],Table1[Key_Year_week_DC],Demand_Modeling_Week_level!$A7)</f>
        <v>0</v>
      </c>
      <c r="M7">
        <f t="shared" si="2"/>
        <v>0</v>
      </c>
      <c r="N7" t="e">
        <f>VLOOKUP(A7,Capacity!B:G,6,FALSE)</f>
        <v>#N/A</v>
      </c>
      <c r="O7" s="20">
        <f t="shared" si="3"/>
        <v>0</v>
      </c>
      <c r="P7">
        <f t="shared" si="4"/>
        <v>0</v>
      </c>
    </row>
    <row r="8" spans="1:16" hidden="1" x14ac:dyDescent="0.3">
      <c r="A8" t="str">
        <f t="shared" si="0"/>
        <v>201843-TFC</v>
      </c>
      <c r="B8">
        <f t="shared" si="1"/>
        <v>201843</v>
      </c>
      <c r="C8" t="s">
        <v>6</v>
      </c>
      <c r="D8">
        <v>2018</v>
      </c>
      <c r="E8">
        <v>43</v>
      </c>
      <c r="F8">
        <f>SUMIFS(Table1[Modeled_Demand],Table1[Key_Year_week_DC],Demand_Modeling_Week_level!$A8,Table1[BRAND],Demand_Modeling_Week_level!F$2)</f>
        <v>294229</v>
      </c>
      <c r="G8">
        <f>SUMIFS(Table1[Modeled_Demand],Table1[Key_Year_week_DC],Demand_Modeling_Week_level!$A8,Table1[BRAND],Demand_Modeling_Week_level!G$2)</f>
        <v>556506</v>
      </c>
      <c r="H8">
        <f>SUMIFS(Table1[Modeled_Demand],Table1[Key_Year_week_DC],Demand_Modeling_Week_level!$A8,Table1[BRAND],Demand_Modeling_Week_level!H$2)</f>
        <v>0</v>
      </c>
      <c r="I8">
        <f>SUMIFS(Table1[Modeled_Demand],Table1[Key_Year_week_DC],Demand_Modeling_Week_level!$A8,Table1[BRAND],Demand_Modeling_Week_level!I$2)</f>
        <v>695593.20000000007</v>
      </c>
      <c r="J8">
        <f>SUMIFS(Table1[Modeled_Demand],Table1[Key_Year_week_DC],Demand_Modeling_Week_level!$A8,Table1[BRAND],Demand_Modeling_Week_level!J$2)</f>
        <v>0</v>
      </c>
      <c r="K8">
        <f>SUMIFS(Table1[Modeled_Demand],Table1[Key_Year_week_DC],Demand_Modeling_Week_level!$A8,Table1[BRAND],Demand_Modeling_Week_level!K$2)</f>
        <v>1689513.75</v>
      </c>
      <c r="L8">
        <f>SUMIFS(Table1[Demand],Table1[Key_Year_week_DC],Demand_Modeling_Week_level!$A8)</f>
        <v>2057929</v>
      </c>
      <c r="M8">
        <f t="shared" si="2"/>
        <v>3235841.95</v>
      </c>
      <c r="N8">
        <f>VLOOKUP(A8,Capacity!B:G,6,FALSE)</f>
        <v>2850022.8</v>
      </c>
      <c r="O8" s="20">
        <f t="shared" si="3"/>
        <v>0.72207457428059874</v>
      </c>
      <c r="P8">
        <f t="shared" si="4"/>
        <v>1.1353740573584186</v>
      </c>
    </row>
    <row r="9" spans="1:16" hidden="1" x14ac:dyDescent="0.3">
      <c r="A9" t="str">
        <f t="shared" si="0"/>
        <v>201843-WEO</v>
      </c>
      <c r="B9">
        <f t="shared" si="1"/>
        <v>201843</v>
      </c>
      <c r="C9" t="s">
        <v>10</v>
      </c>
      <c r="D9">
        <v>2018</v>
      </c>
      <c r="E9">
        <v>43</v>
      </c>
      <c r="F9">
        <f>SUMIFS(Table1[Modeled_Demand],Table1[Key_Year_week_DC],Demand_Modeling_Week_level!$A9,Table1[BRAND],Demand_Modeling_Week_level!F$2)</f>
        <v>0</v>
      </c>
      <c r="G9">
        <f>SUMIFS(Table1[Modeled_Demand],Table1[Key_Year_week_DC],Demand_Modeling_Week_level!$A9,Table1[BRAND],Demand_Modeling_Week_level!G$2)</f>
        <v>0</v>
      </c>
      <c r="H9">
        <f>SUMIFS(Table1[Modeled_Demand],Table1[Key_Year_week_DC],Demand_Modeling_Week_level!$A9,Table1[BRAND],Demand_Modeling_Week_level!H$2)</f>
        <v>0</v>
      </c>
      <c r="I9">
        <f>SUMIFS(Table1[Modeled_Demand],Table1[Key_Year_week_DC],Demand_Modeling_Week_level!$A9,Table1[BRAND],Demand_Modeling_Week_level!I$2)</f>
        <v>1391186.4000000001</v>
      </c>
      <c r="J9">
        <f>SUMIFS(Table1[Modeled_Demand],Table1[Key_Year_week_DC],Demand_Modeling_Week_level!$A9,Table1[BRAND],Demand_Modeling_Week_level!J$2)</f>
        <v>0</v>
      </c>
      <c r="K9">
        <f>SUMIFS(Table1[Modeled_Demand],Table1[Key_Year_week_DC],Demand_Modeling_Week_level!$A9,Table1[BRAND],Demand_Modeling_Week_level!K$2)</f>
        <v>675805.5</v>
      </c>
      <c r="L9">
        <f>SUMIFS(Table1[Demand],Table1[Key_Year_week_DC],Demand_Modeling_Week_level!$A9)</f>
        <v>1155308</v>
      </c>
      <c r="M9">
        <f t="shared" si="2"/>
        <v>2066991.9000000001</v>
      </c>
      <c r="N9">
        <f>VLOOKUP(A9,Capacity!B:G,6,FALSE)</f>
        <v>1709982.9</v>
      </c>
      <c r="O9" s="20">
        <f t="shared" si="3"/>
        <v>0.67562546970498949</v>
      </c>
      <c r="P9">
        <f t="shared" si="4"/>
        <v>1.208779280775264</v>
      </c>
    </row>
    <row r="10" spans="1:16" hidden="1" x14ac:dyDescent="0.3">
      <c r="A10" t="str">
        <f t="shared" si="0"/>
        <v>201843-WFC</v>
      </c>
      <c r="B10">
        <f t="shared" si="1"/>
        <v>201843</v>
      </c>
      <c r="C10" t="s">
        <v>7</v>
      </c>
      <c r="D10">
        <v>2018</v>
      </c>
      <c r="E10">
        <v>43</v>
      </c>
      <c r="F10">
        <f>SUMIFS(Table1[Modeled_Demand],Table1[Key_Year_week_DC],Demand_Modeling_Week_level!$A10,Table1[BRAND],Demand_Modeling_Week_level!F$2)</f>
        <v>0</v>
      </c>
      <c r="G10">
        <f>SUMIFS(Table1[Modeled_Demand],Table1[Key_Year_week_DC],Demand_Modeling_Week_level!$A10,Table1[BRAND],Demand_Modeling_Week_level!G$2)</f>
        <v>1.9455243517125167</v>
      </c>
      <c r="H10">
        <f>SUMIFS(Table1[Modeled_Demand],Table1[Key_Year_week_DC],Demand_Modeling_Week_level!$A10,Table1[BRAND],Demand_Modeling_Week_level!H$2)</f>
        <v>0</v>
      </c>
      <c r="I10">
        <f>SUMIFS(Table1[Modeled_Demand],Table1[Key_Year_week_DC],Demand_Modeling_Week_level!$A10,Table1[BRAND],Demand_Modeling_Week_level!I$2)</f>
        <v>521694.89999999997</v>
      </c>
      <c r="J10">
        <f>SUMIFS(Table1[Modeled_Demand],Table1[Key_Year_week_DC],Demand_Modeling_Week_level!$A10,Table1[BRAND],Demand_Modeling_Week_level!J$2)</f>
        <v>0</v>
      </c>
      <c r="K10">
        <f>SUMIFS(Table1[Modeled_Demand],Table1[Key_Year_week_DC],Demand_Modeling_Week_level!$A10,Table1[BRAND],Demand_Modeling_Week_level!K$2)</f>
        <v>675805.5</v>
      </c>
      <c r="L10">
        <f>SUMIFS(Table1[Demand],Table1[Key_Year_week_DC],Demand_Modeling_Week_level!$A10)</f>
        <v>1459181</v>
      </c>
      <c r="M10">
        <f t="shared" si="2"/>
        <v>1197502.3455243516</v>
      </c>
      <c r="N10">
        <f>VLOOKUP(A10,Capacity!B:G,6,FALSE)</f>
        <v>997477.19999999902</v>
      </c>
      <c r="O10" s="20">
        <f t="shared" si="3"/>
        <v>1.4628715323016921</v>
      </c>
      <c r="P10">
        <f t="shared" si="4"/>
        <v>1.2005310452452975</v>
      </c>
    </row>
    <row r="11" spans="1:16" hidden="1" x14ac:dyDescent="0.3">
      <c r="A11" t="str">
        <f t="shared" si="0"/>
        <v>201844-EAO</v>
      </c>
      <c r="B11">
        <f t="shared" si="1"/>
        <v>201844</v>
      </c>
      <c r="C11" t="s">
        <v>8</v>
      </c>
      <c r="D11">
        <v>2018</v>
      </c>
      <c r="E11">
        <v>44</v>
      </c>
      <c r="F11">
        <f>SUMIFS(Table1[Modeled_Demand],Table1[Key_Year_week_DC],Demand_Modeling_Week_level!$A11,Table1[BRAND],Demand_Modeling_Week_level!F$2)</f>
        <v>8.0092164399576831</v>
      </c>
      <c r="G11">
        <f>SUMIFS(Table1[Modeled_Demand],Table1[Key_Year_week_DC],Demand_Modeling_Week_level!$A11,Table1[BRAND],Demand_Modeling_Week_level!G$2)</f>
        <v>18.457147263165993</v>
      </c>
      <c r="H11">
        <f>SUMIFS(Table1[Modeled_Demand],Table1[Key_Year_week_DC],Demand_Modeling_Week_level!$A11,Table1[BRAND],Demand_Modeling_Week_level!H$2)</f>
        <v>0</v>
      </c>
      <c r="I11">
        <f>SUMIFS(Table1[Modeled_Demand],Table1[Key_Year_week_DC],Demand_Modeling_Week_level!$A11,Table1[BRAND],Demand_Modeling_Week_level!I$2)</f>
        <v>0</v>
      </c>
      <c r="J11">
        <f>SUMIFS(Table1[Modeled_Demand],Table1[Key_Year_week_DC],Demand_Modeling_Week_level!$A11,Table1[BRAND],Demand_Modeling_Week_level!J$2)</f>
        <v>0</v>
      </c>
      <c r="K11">
        <f>SUMIFS(Table1[Modeled_Demand],Table1[Key_Year_week_DC],Demand_Modeling_Week_level!$A11,Table1[BRAND],Demand_Modeling_Week_level!K$2)</f>
        <v>1512318.36</v>
      </c>
      <c r="L11">
        <f>SUMIFS(Table1[Demand],Table1[Key_Year_week_DC],Demand_Modeling_Week_level!$A11)</f>
        <v>2050164</v>
      </c>
      <c r="M11">
        <f t="shared" si="2"/>
        <v>1512344.8263637032</v>
      </c>
      <c r="N11">
        <f>VLOOKUP(A11,Capacity!B:G,6,FALSE)</f>
        <v>1889981.1</v>
      </c>
      <c r="O11" s="20">
        <f t="shared" si="3"/>
        <v>1.0847537046799038</v>
      </c>
      <c r="P11">
        <f t="shared" si="4"/>
        <v>0.8001904497159803</v>
      </c>
    </row>
    <row r="12" spans="1:16" hidden="1" x14ac:dyDescent="0.3">
      <c r="A12" t="str">
        <f t="shared" si="0"/>
        <v>201844-OCC</v>
      </c>
      <c r="B12">
        <f t="shared" si="1"/>
        <v>201844</v>
      </c>
      <c r="C12" t="s">
        <v>11</v>
      </c>
      <c r="D12">
        <v>2018</v>
      </c>
      <c r="E12">
        <v>44</v>
      </c>
      <c r="F12">
        <f>SUMIFS(Table1[Modeled_Demand],Table1[Key_Year_week_DC],Demand_Modeling_Week_level!$A12,Table1[BRAND],Demand_Modeling_Week_level!F$2)</f>
        <v>0</v>
      </c>
      <c r="G12">
        <f>SUMIFS(Table1[Modeled_Demand],Table1[Key_Year_week_DC],Demand_Modeling_Week_level!$A12,Table1[BRAND],Demand_Modeling_Week_level!G$2)</f>
        <v>0</v>
      </c>
      <c r="H12">
        <f>SUMIFS(Table1[Modeled_Demand],Table1[Key_Year_week_DC],Demand_Modeling_Week_level!$A12,Table1[BRAND],Demand_Modeling_Week_level!H$2)</f>
        <v>0</v>
      </c>
      <c r="I12">
        <f>SUMIFS(Table1[Modeled_Demand],Table1[Key_Year_week_DC],Demand_Modeling_Week_level!$A12,Table1[BRAND],Demand_Modeling_Week_level!I$2)</f>
        <v>0</v>
      </c>
      <c r="J12">
        <f>SUMIFS(Table1[Modeled_Demand],Table1[Key_Year_week_DC],Demand_Modeling_Week_level!$A12,Table1[BRAND],Demand_Modeling_Week_level!J$2)</f>
        <v>0</v>
      </c>
      <c r="K12">
        <f>SUMIFS(Table1[Modeled_Demand],Table1[Key_Year_week_DC],Demand_Modeling_Week_level!$A12,Table1[BRAND],Demand_Modeling_Week_level!K$2)</f>
        <v>0</v>
      </c>
      <c r="L12">
        <f>SUMIFS(Table1[Demand],Table1[Key_Year_week_DC],Demand_Modeling_Week_level!$A12)</f>
        <v>0</v>
      </c>
      <c r="M12">
        <f t="shared" si="2"/>
        <v>0</v>
      </c>
      <c r="N12">
        <f>VLOOKUP(A12,Capacity!B:G,6,FALSE)</f>
        <v>0</v>
      </c>
      <c r="O12" s="20">
        <f t="shared" si="3"/>
        <v>0</v>
      </c>
      <c r="P12">
        <f t="shared" si="4"/>
        <v>0</v>
      </c>
    </row>
    <row r="13" spans="1:16" hidden="1" x14ac:dyDescent="0.3">
      <c r="A13" t="str">
        <f t="shared" si="0"/>
        <v>201844-ODC</v>
      </c>
      <c r="B13">
        <f t="shared" si="1"/>
        <v>201844</v>
      </c>
      <c r="C13" t="s">
        <v>9</v>
      </c>
      <c r="D13">
        <v>2018</v>
      </c>
      <c r="E13">
        <v>44</v>
      </c>
      <c r="F13">
        <f>SUMIFS(Table1[Modeled_Demand],Table1[Key_Year_week_DC],Demand_Modeling_Week_level!$A13,Table1[BRAND],Demand_Modeling_Week_level!F$2)</f>
        <v>0</v>
      </c>
      <c r="G13">
        <f>SUMIFS(Table1[Modeled_Demand],Table1[Key_Year_week_DC],Demand_Modeling_Week_level!$A13,Table1[BRAND],Demand_Modeling_Week_level!G$2)</f>
        <v>0</v>
      </c>
      <c r="H13">
        <f>SUMIFS(Table1[Modeled_Demand],Table1[Key_Year_week_DC],Demand_Modeling_Week_level!$A13,Table1[BRAND],Demand_Modeling_Week_level!H$2)</f>
        <v>0</v>
      </c>
      <c r="I13">
        <f>SUMIFS(Table1[Modeled_Demand],Table1[Key_Year_week_DC],Demand_Modeling_Week_level!$A13,Table1[BRAND],Demand_Modeling_Week_level!I$2)</f>
        <v>0</v>
      </c>
      <c r="J13">
        <f>SUMIFS(Table1[Modeled_Demand],Table1[Key_Year_week_DC],Demand_Modeling_Week_level!$A13,Table1[BRAND],Demand_Modeling_Week_level!J$2)</f>
        <v>0</v>
      </c>
      <c r="K13">
        <f>SUMIFS(Table1[Modeled_Demand],Table1[Key_Year_week_DC],Demand_Modeling_Week_level!$A13,Table1[BRAND],Demand_Modeling_Week_level!K$2)</f>
        <v>0</v>
      </c>
      <c r="L13">
        <f>SUMIFS(Table1[Demand],Table1[Key_Year_week_DC],Demand_Modeling_Week_level!$A13)</f>
        <v>0</v>
      </c>
      <c r="M13">
        <f t="shared" si="2"/>
        <v>0</v>
      </c>
      <c r="N13" t="e">
        <f>VLOOKUP(A13,Capacity!B:G,6,FALSE)</f>
        <v>#N/A</v>
      </c>
      <c r="O13" s="20">
        <f t="shared" si="3"/>
        <v>0</v>
      </c>
      <c r="P13">
        <f t="shared" si="4"/>
        <v>0</v>
      </c>
    </row>
    <row r="14" spans="1:16" hidden="1" x14ac:dyDescent="0.3">
      <c r="A14" t="str">
        <f t="shared" si="0"/>
        <v>201844-OFC</v>
      </c>
      <c r="B14">
        <f t="shared" si="1"/>
        <v>201844</v>
      </c>
      <c r="C14" t="s">
        <v>5</v>
      </c>
      <c r="D14">
        <v>2018</v>
      </c>
      <c r="E14">
        <v>44</v>
      </c>
      <c r="F14">
        <f>SUMIFS(Table1[Modeled_Demand],Table1[Key_Year_week_DC],Demand_Modeling_Week_level!$A14,Table1[BRAND],Demand_Modeling_Week_level!F$2)</f>
        <v>0</v>
      </c>
      <c r="G14">
        <f>SUMIFS(Table1[Modeled_Demand],Table1[Key_Year_week_DC],Demand_Modeling_Week_level!$A14,Table1[BRAND],Demand_Modeling_Week_level!G$2)</f>
        <v>0</v>
      </c>
      <c r="H14">
        <f>SUMIFS(Table1[Modeled_Demand],Table1[Key_Year_week_DC],Demand_Modeling_Week_level!$A14,Table1[BRAND],Demand_Modeling_Week_level!H$2)</f>
        <v>183985</v>
      </c>
      <c r="I14">
        <f>SUMIFS(Table1[Modeled_Demand],Table1[Key_Year_week_DC],Demand_Modeling_Week_level!$A14,Table1[BRAND],Demand_Modeling_Week_level!I$2)</f>
        <v>577289</v>
      </c>
      <c r="J14">
        <f>SUMIFS(Table1[Modeled_Demand],Table1[Key_Year_week_DC],Demand_Modeling_Week_level!$A14,Table1[BRAND],Demand_Modeling_Week_level!J$2)</f>
        <v>559923</v>
      </c>
      <c r="K14">
        <f>SUMIFS(Table1[Modeled_Demand],Table1[Key_Year_week_DC],Demand_Modeling_Week_level!$A14,Table1[BRAND],Demand_Modeling_Week_level!K$2)</f>
        <v>1458306.99</v>
      </c>
      <c r="L14">
        <f>SUMIFS(Table1[Demand],Table1[Key_Year_week_DC],Demand_Modeling_Week_level!$A14)</f>
        <v>3879068</v>
      </c>
      <c r="M14">
        <f t="shared" si="2"/>
        <v>2779503.99</v>
      </c>
      <c r="N14">
        <f>VLOOKUP(A14,Capacity!B:G,6,FALSE)</f>
        <v>3307481.1</v>
      </c>
      <c r="O14" s="20">
        <f t="shared" si="3"/>
        <v>1.172816376788971</v>
      </c>
      <c r="P14">
        <f t="shared" si="4"/>
        <v>0.84036882024813386</v>
      </c>
    </row>
    <row r="15" spans="1:16" hidden="1" x14ac:dyDescent="0.3">
      <c r="A15" t="str">
        <f t="shared" si="0"/>
        <v>201844-SFS</v>
      </c>
      <c r="B15">
        <f t="shared" si="1"/>
        <v>201844</v>
      </c>
      <c r="C15" t="s">
        <v>12</v>
      </c>
      <c r="D15">
        <v>2018</v>
      </c>
      <c r="E15">
        <v>44</v>
      </c>
      <c r="F15">
        <f>SUMIFS(Table1[Modeled_Demand],Table1[Key_Year_week_DC],Demand_Modeling_Week_level!$A15,Table1[BRAND],Demand_Modeling_Week_level!F$2)</f>
        <v>0</v>
      </c>
      <c r="G15">
        <f>SUMIFS(Table1[Modeled_Demand],Table1[Key_Year_week_DC],Demand_Modeling_Week_level!$A15,Table1[BRAND],Demand_Modeling_Week_level!G$2)</f>
        <v>0</v>
      </c>
      <c r="H15">
        <f>SUMIFS(Table1[Modeled_Demand],Table1[Key_Year_week_DC],Demand_Modeling_Week_level!$A15,Table1[BRAND],Demand_Modeling_Week_level!H$2)</f>
        <v>0</v>
      </c>
      <c r="I15">
        <f>SUMIFS(Table1[Modeled_Demand],Table1[Key_Year_week_DC],Demand_Modeling_Week_level!$A15,Table1[BRAND],Demand_Modeling_Week_level!I$2)</f>
        <v>0</v>
      </c>
      <c r="J15">
        <f>SUMIFS(Table1[Modeled_Demand],Table1[Key_Year_week_DC],Demand_Modeling_Week_level!$A15,Table1[BRAND],Demand_Modeling_Week_level!J$2)</f>
        <v>0</v>
      </c>
      <c r="K15">
        <f>SUMIFS(Table1[Modeled_Demand],Table1[Key_Year_week_DC],Demand_Modeling_Week_level!$A15,Table1[BRAND],Demand_Modeling_Week_level!K$2)</f>
        <v>0</v>
      </c>
      <c r="L15">
        <f>SUMIFS(Table1[Demand],Table1[Key_Year_week_DC],Demand_Modeling_Week_level!$A15)</f>
        <v>0</v>
      </c>
      <c r="M15">
        <f t="shared" si="2"/>
        <v>0</v>
      </c>
      <c r="N15" t="e">
        <f>VLOOKUP(A15,Capacity!B:G,6,FALSE)</f>
        <v>#N/A</v>
      </c>
      <c r="O15" s="20">
        <f t="shared" si="3"/>
        <v>0</v>
      </c>
      <c r="P15">
        <f t="shared" si="4"/>
        <v>0</v>
      </c>
    </row>
    <row r="16" spans="1:16" hidden="1" x14ac:dyDescent="0.3">
      <c r="A16" t="str">
        <f t="shared" si="0"/>
        <v>201844-TFC</v>
      </c>
      <c r="B16">
        <f t="shared" si="1"/>
        <v>201844</v>
      </c>
      <c r="C16" t="s">
        <v>6</v>
      </c>
      <c r="D16">
        <v>2018</v>
      </c>
      <c r="E16">
        <v>44</v>
      </c>
      <c r="F16">
        <f>SUMIFS(Table1[Modeled_Demand],Table1[Key_Year_week_DC],Demand_Modeling_Week_level!$A16,Table1[BRAND],Demand_Modeling_Week_level!F$2)</f>
        <v>232345</v>
      </c>
      <c r="G16">
        <f>SUMIFS(Table1[Modeled_Demand],Table1[Key_Year_week_DC],Demand_Modeling_Week_level!$A16,Table1[BRAND],Demand_Modeling_Week_level!G$2)</f>
        <v>435927</v>
      </c>
      <c r="H16">
        <f>SUMIFS(Table1[Modeled_Demand],Table1[Key_Year_week_DC],Demand_Modeling_Week_level!$A16,Table1[BRAND],Demand_Modeling_Week_level!H$2)</f>
        <v>0</v>
      </c>
      <c r="I16">
        <f>SUMIFS(Table1[Modeled_Demand],Table1[Key_Year_week_DC],Demand_Modeling_Week_level!$A16,Table1[BRAND],Demand_Modeling_Week_level!I$2)</f>
        <v>461831.2</v>
      </c>
      <c r="J16">
        <f>SUMIFS(Table1[Modeled_Demand],Table1[Key_Year_week_DC],Demand_Modeling_Week_level!$A16,Table1[BRAND],Demand_Modeling_Week_level!J$2)</f>
        <v>0</v>
      </c>
      <c r="K16">
        <f>SUMIFS(Table1[Modeled_Demand],Table1[Key_Year_week_DC],Demand_Modeling_Week_level!$A16,Table1[BRAND],Demand_Modeling_Week_level!K$2)</f>
        <v>1350284.25</v>
      </c>
      <c r="L16">
        <f>SUMIFS(Table1[Demand],Table1[Key_Year_week_DC],Demand_Modeling_Week_level!$A16)</f>
        <v>1280428</v>
      </c>
      <c r="M16">
        <f t="shared" si="2"/>
        <v>2480387.4500000002</v>
      </c>
      <c r="N16">
        <f>VLOOKUP(A16,Capacity!B:G,6,FALSE)</f>
        <v>3150025.2</v>
      </c>
      <c r="O16" s="20">
        <f t="shared" si="3"/>
        <v>0.40648182751045925</v>
      </c>
      <c r="P16">
        <f t="shared" si="4"/>
        <v>0.78741828795528368</v>
      </c>
    </row>
    <row r="17" spans="1:16" hidden="1" x14ac:dyDescent="0.3">
      <c r="A17" t="str">
        <f t="shared" si="0"/>
        <v>201844-WEO</v>
      </c>
      <c r="B17">
        <f t="shared" si="1"/>
        <v>201844</v>
      </c>
      <c r="C17" t="s">
        <v>10</v>
      </c>
      <c r="D17">
        <v>2018</v>
      </c>
      <c r="E17">
        <v>44</v>
      </c>
      <c r="F17">
        <f>SUMIFS(Table1[Modeled_Demand],Table1[Key_Year_week_DC],Demand_Modeling_Week_level!$A17,Table1[BRAND],Demand_Modeling_Week_level!F$2)</f>
        <v>0</v>
      </c>
      <c r="G17">
        <f>SUMIFS(Table1[Modeled_Demand],Table1[Key_Year_week_DC],Demand_Modeling_Week_level!$A17,Table1[BRAND],Demand_Modeling_Week_level!G$2)</f>
        <v>0</v>
      </c>
      <c r="H17">
        <f>SUMIFS(Table1[Modeled_Demand],Table1[Key_Year_week_DC],Demand_Modeling_Week_level!$A17,Table1[BRAND],Demand_Modeling_Week_level!H$2)</f>
        <v>0</v>
      </c>
      <c r="I17">
        <f>SUMIFS(Table1[Modeled_Demand],Table1[Key_Year_week_DC],Demand_Modeling_Week_level!$A17,Table1[BRAND],Demand_Modeling_Week_level!I$2)</f>
        <v>923662.4</v>
      </c>
      <c r="J17">
        <f>SUMIFS(Table1[Modeled_Demand],Table1[Key_Year_week_DC],Demand_Modeling_Week_level!$A17,Table1[BRAND],Demand_Modeling_Week_level!J$2)</f>
        <v>0</v>
      </c>
      <c r="K17">
        <f>SUMIFS(Table1[Modeled_Demand],Table1[Key_Year_week_DC],Demand_Modeling_Week_level!$A17,Table1[BRAND],Demand_Modeling_Week_level!K$2)</f>
        <v>540113.70000000007</v>
      </c>
      <c r="L17">
        <f>SUMIFS(Table1[Demand],Table1[Key_Year_week_DC],Demand_Modeling_Week_level!$A17)</f>
        <v>761359</v>
      </c>
      <c r="M17">
        <f t="shared" si="2"/>
        <v>1463776.1</v>
      </c>
      <c r="N17">
        <f>VLOOKUP(A17,Capacity!B:G,6,FALSE)</f>
        <v>1889981.1</v>
      </c>
      <c r="O17" s="20">
        <f t="shared" si="3"/>
        <v>0.40283947813023102</v>
      </c>
      <c r="P17">
        <f t="shared" si="4"/>
        <v>0.77449245391924815</v>
      </c>
    </row>
    <row r="18" spans="1:16" hidden="1" x14ac:dyDescent="0.3">
      <c r="A18" t="str">
        <f t="shared" si="0"/>
        <v>201844-WFC</v>
      </c>
      <c r="B18">
        <f t="shared" si="1"/>
        <v>201844</v>
      </c>
      <c r="C18" t="s">
        <v>7</v>
      </c>
      <c r="D18">
        <v>2018</v>
      </c>
      <c r="E18">
        <v>44</v>
      </c>
      <c r="F18">
        <f>SUMIFS(Table1[Modeled_Demand],Table1[Key_Year_week_DC],Demand_Modeling_Week_level!$A18,Table1[BRAND],Demand_Modeling_Week_level!F$2)</f>
        <v>0</v>
      </c>
      <c r="G18">
        <f>SUMIFS(Table1[Modeled_Demand],Table1[Key_Year_week_DC],Demand_Modeling_Week_level!$A18,Table1[BRAND],Demand_Modeling_Week_level!G$2)</f>
        <v>1.523984636408201</v>
      </c>
      <c r="H18">
        <f>SUMIFS(Table1[Modeled_Demand],Table1[Key_Year_week_DC],Demand_Modeling_Week_level!$A18,Table1[BRAND],Demand_Modeling_Week_level!H$2)</f>
        <v>0</v>
      </c>
      <c r="I18">
        <f>SUMIFS(Table1[Modeled_Demand],Table1[Key_Year_week_DC],Demand_Modeling_Week_level!$A18,Table1[BRAND],Demand_Modeling_Week_level!I$2)</f>
        <v>346373.39999999997</v>
      </c>
      <c r="J18">
        <f>SUMIFS(Table1[Modeled_Demand],Table1[Key_Year_week_DC],Demand_Modeling_Week_level!$A18,Table1[BRAND],Demand_Modeling_Week_level!J$2)</f>
        <v>0</v>
      </c>
      <c r="K18">
        <f>SUMIFS(Table1[Modeled_Demand],Table1[Key_Year_week_DC],Demand_Modeling_Week_level!$A18,Table1[BRAND],Demand_Modeling_Week_level!K$2)</f>
        <v>540113.70000000007</v>
      </c>
      <c r="L18">
        <f>SUMIFS(Table1[Demand],Table1[Key_Year_week_DC],Demand_Modeling_Week_level!$A18)</f>
        <v>1151454</v>
      </c>
      <c r="M18">
        <f t="shared" si="2"/>
        <v>886488.62398463651</v>
      </c>
      <c r="N18">
        <f>VLOOKUP(A18,Capacity!B:G,6,FALSE)</f>
        <v>1102474.8</v>
      </c>
      <c r="O18" s="20">
        <f t="shared" si="3"/>
        <v>1.0444265936962913</v>
      </c>
      <c r="P18">
        <f t="shared" si="4"/>
        <v>0.80408969346477255</v>
      </c>
    </row>
    <row r="19" spans="1:16" hidden="1" x14ac:dyDescent="0.3">
      <c r="A19" t="str">
        <f t="shared" si="0"/>
        <v>201845-EAO</v>
      </c>
      <c r="B19">
        <f t="shared" si="1"/>
        <v>201845</v>
      </c>
      <c r="C19" t="s">
        <v>8</v>
      </c>
      <c r="D19">
        <v>2018</v>
      </c>
      <c r="E19">
        <v>45</v>
      </c>
      <c r="F19">
        <f>SUMIFS(Table1[Modeled_Demand],Table1[Key_Year_week_DC],Demand_Modeling_Week_level!$A19,Table1[BRAND],Demand_Modeling_Week_level!F$2)</f>
        <v>5.1453471859101061</v>
      </c>
      <c r="G19">
        <f>SUMIFS(Table1[Modeled_Demand],Table1[Key_Year_week_DC],Demand_Modeling_Week_level!$A19,Table1[BRAND],Demand_Modeling_Week_level!G$2)</f>
        <v>8.8938547963446215</v>
      </c>
      <c r="H19">
        <f>SUMIFS(Table1[Modeled_Demand],Table1[Key_Year_week_DC],Demand_Modeling_Week_level!$A19,Table1[BRAND],Demand_Modeling_Week_level!H$2)</f>
        <v>0</v>
      </c>
      <c r="I19">
        <f>SUMIFS(Table1[Modeled_Demand],Table1[Key_Year_week_DC],Demand_Modeling_Week_level!$A19,Table1[BRAND],Demand_Modeling_Week_level!I$2)</f>
        <v>0</v>
      </c>
      <c r="J19">
        <f>SUMIFS(Table1[Modeled_Demand],Table1[Key_Year_week_DC],Demand_Modeling_Week_level!$A19,Table1[BRAND],Demand_Modeling_Week_level!J$2)</f>
        <v>0</v>
      </c>
      <c r="K19">
        <f>SUMIFS(Table1[Modeled_Demand],Table1[Key_Year_week_DC],Demand_Modeling_Week_level!$A19,Table1[BRAND],Demand_Modeling_Week_level!K$2)</f>
        <v>796568.92</v>
      </c>
      <c r="L19">
        <f>SUMIFS(Table1[Demand],Table1[Key_Year_week_DC],Demand_Modeling_Week_level!$A19)</f>
        <v>722252</v>
      </c>
      <c r="M19">
        <f t="shared" si="2"/>
        <v>796582.95920198224</v>
      </c>
      <c r="N19">
        <f>VLOOKUP(A19,Capacity!B:G,6,FALSE)</f>
        <v>1889981.1</v>
      </c>
      <c r="O19" s="20">
        <f t="shared" si="3"/>
        <v>0.38214773682128356</v>
      </c>
      <c r="P19">
        <f t="shared" si="4"/>
        <v>0.42147667995303351</v>
      </c>
    </row>
    <row r="20" spans="1:16" hidden="1" x14ac:dyDescent="0.3">
      <c r="A20" t="str">
        <f t="shared" si="0"/>
        <v>201845-OCC</v>
      </c>
      <c r="B20">
        <f t="shared" si="1"/>
        <v>201845</v>
      </c>
      <c r="C20" t="s">
        <v>11</v>
      </c>
      <c r="D20">
        <v>2018</v>
      </c>
      <c r="E20">
        <v>45</v>
      </c>
      <c r="F20">
        <f>SUMIFS(Table1[Modeled_Demand],Table1[Key_Year_week_DC],Demand_Modeling_Week_level!$A20,Table1[BRAND],Demand_Modeling_Week_level!F$2)</f>
        <v>0</v>
      </c>
      <c r="G20">
        <f>SUMIFS(Table1[Modeled_Demand],Table1[Key_Year_week_DC],Demand_Modeling_Week_level!$A20,Table1[BRAND],Demand_Modeling_Week_level!G$2)</f>
        <v>0</v>
      </c>
      <c r="H20">
        <f>SUMIFS(Table1[Modeled_Demand],Table1[Key_Year_week_DC],Demand_Modeling_Week_level!$A20,Table1[BRAND],Demand_Modeling_Week_level!H$2)</f>
        <v>0</v>
      </c>
      <c r="I20">
        <f>SUMIFS(Table1[Modeled_Demand],Table1[Key_Year_week_DC],Demand_Modeling_Week_level!$A20,Table1[BRAND],Demand_Modeling_Week_level!I$2)</f>
        <v>0</v>
      </c>
      <c r="J20">
        <f>SUMIFS(Table1[Modeled_Demand],Table1[Key_Year_week_DC],Demand_Modeling_Week_level!$A20,Table1[BRAND],Demand_Modeling_Week_level!J$2)</f>
        <v>0</v>
      </c>
      <c r="K20">
        <f>SUMIFS(Table1[Modeled_Demand],Table1[Key_Year_week_DC],Demand_Modeling_Week_level!$A20,Table1[BRAND],Demand_Modeling_Week_level!K$2)</f>
        <v>0</v>
      </c>
      <c r="L20">
        <f>SUMIFS(Table1[Demand],Table1[Key_Year_week_DC],Demand_Modeling_Week_level!$A20)</f>
        <v>0</v>
      </c>
      <c r="M20">
        <f t="shared" si="2"/>
        <v>0</v>
      </c>
      <c r="N20">
        <f>VLOOKUP(A20,Capacity!B:G,6,FALSE)</f>
        <v>0</v>
      </c>
      <c r="O20" s="20">
        <f t="shared" si="3"/>
        <v>0</v>
      </c>
      <c r="P20">
        <f t="shared" si="4"/>
        <v>0</v>
      </c>
    </row>
    <row r="21" spans="1:16" hidden="1" x14ac:dyDescent="0.3">
      <c r="A21" t="str">
        <f t="shared" si="0"/>
        <v>201845-ODC</v>
      </c>
      <c r="B21">
        <f t="shared" si="1"/>
        <v>201845</v>
      </c>
      <c r="C21" t="s">
        <v>9</v>
      </c>
      <c r="D21">
        <v>2018</v>
      </c>
      <c r="E21">
        <v>45</v>
      </c>
      <c r="F21">
        <f>SUMIFS(Table1[Modeled_Demand],Table1[Key_Year_week_DC],Demand_Modeling_Week_level!$A21,Table1[BRAND],Demand_Modeling_Week_level!F$2)</f>
        <v>0</v>
      </c>
      <c r="G21">
        <f>SUMIFS(Table1[Modeled_Demand],Table1[Key_Year_week_DC],Demand_Modeling_Week_level!$A21,Table1[BRAND],Demand_Modeling_Week_level!G$2)</f>
        <v>0</v>
      </c>
      <c r="H21">
        <f>SUMIFS(Table1[Modeled_Demand],Table1[Key_Year_week_DC],Demand_Modeling_Week_level!$A21,Table1[BRAND],Demand_Modeling_Week_level!H$2)</f>
        <v>0</v>
      </c>
      <c r="I21">
        <f>SUMIFS(Table1[Modeled_Demand],Table1[Key_Year_week_DC],Demand_Modeling_Week_level!$A21,Table1[BRAND],Demand_Modeling_Week_level!I$2)</f>
        <v>0</v>
      </c>
      <c r="J21">
        <f>SUMIFS(Table1[Modeled_Demand],Table1[Key_Year_week_DC],Demand_Modeling_Week_level!$A21,Table1[BRAND],Demand_Modeling_Week_level!J$2)</f>
        <v>0</v>
      </c>
      <c r="K21">
        <f>SUMIFS(Table1[Modeled_Demand],Table1[Key_Year_week_DC],Demand_Modeling_Week_level!$A21,Table1[BRAND],Demand_Modeling_Week_level!K$2)</f>
        <v>0</v>
      </c>
      <c r="L21">
        <f>SUMIFS(Table1[Demand],Table1[Key_Year_week_DC],Demand_Modeling_Week_level!$A21)</f>
        <v>0</v>
      </c>
      <c r="M21">
        <f t="shared" si="2"/>
        <v>0</v>
      </c>
      <c r="N21" t="e">
        <f>VLOOKUP(A21,Capacity!B:G,6,FALSE)</f>
        <v>#N/A</v>
      </c>
      <c r="O21" s="20">
        <f t="shared" si="3"/>
        <v>0</v>
      </c>
      <c r="P21">
        <f t="shared" si="4"/>
        <v>0</v>
      </c>
    </row>
    <row r="22" spans="1:16" hidden="1" x14ac:dyDescent="0.3">
      <c r="A22" t="str">
        <f t="shared" si="0"/>
        <v>201845-OFC</v>
      </c>
      <c r="B22">
        <f t="shared" si="1"/>
        <v>201845</v>
      </c>
      <c r="C22" t="s">
        <v>5</v>
      </c>
      <c r="D22">
        <v>2018</v>
      </c>
      <c r="E22">
        <v>45</v>
      </c>
      <c r="F22">
        <f>SUMIFS(Table1[Modeled_Demand],Table1[Key_Year_week_DC],Demand_Modeling_Week_level!$A22,Table1[BRAND],Demand_Modeling_Week_level!F$2)</f>
        <v>0</v>
      </c>
      <c r="G22">
        <f>SUMIFS(Table1[Modeled_Demand],Table1[Key_Year_week_DC],Demand_Modeling_Week_level!$A22,Table1[BRAND],Demand_Modeling_Week_level!G$2)</f>
        <v>0</v>
      </c>
      <c r="H22">
        <f>SUMIFS(Table1[Modeled_Demand],Table1[Key_Year_week_DC],Demand_Modeling_Week_level!$A22,Table1[BRAND],Demand_Modeling_Week_level!H$2)</f>
        <v>50728</v>
      </c>
      <c r="I22">
        <f>SUMIFS(Table1[Modeled_Demand],Table1[Key_Year_week_DC],Demand_Modeling_Week_level!$A22,Table1[BRAND],Demand_Modeling_Week_level!I$2)</f>
        <v>230838.5</v>
      </c>
      <c r="J22">
        <f>SUMIFS(Table1[Modeled_Demand],Table1[Key_Year_week_DC],Demand_Modeling_Week_level!$A22,Table1[BRAND],Demand_Modeling_Week_level!J$2)</f>
        <v>199813</v>
      </c>
      <c r="K22">
        <f>SUMIFS(Table1[Modeled_Demand],Table1[Key_Year_week_DC],Demand_Modeling_Week_level!$A22,Table1[BRAND],Demand_Modeling_Week_level!K$2)</f>
        <v>768120.03</v>
      </c>
      <c r="L22">
        <f>SUMIFS(Table1[Demand],Table1[Key_Year_week_DC],Demand_Modeling_Week_level!$A22)</f>
        <v>1754279</v>
      </c>
      <c r="M22">
        <f t="shared" si="2"/>
        <v>1249499.53</v>
      </c>
      <c r="N22">
        <f>VLOOKUP(A22,Capacity!B:G,6,FALSE)</f>
        <v>3307481.1</v>
      </c>
      <c r="O22" s="20">
        <f t="shared" si="3"/>
        <v>0.53039728632160588</v>
      </c>
      <c r="P22">
        <f t="shared" si="4"/>
        <v>0.37777979441817522</v>
      </c>
    </row>
    <row r="23" spans="1:16" hidden="1" x14ac:dyDescent="0.3">
      <c r="A23" t="str">
        <f t="shared" si="0"/>
        <v>201845-SFS</v>
      </c>
      <c r="B23">
        <f t="shared" si="1"/>
        <v>201845</v>
      </c>
      <c r="C23" t="s">
        <v>12</v>
      </c>
      <c r="D23">
        <v>2018</v>
      </c>
      <c r="E23">
        <v>45</v>
      </c>
      <c r="F23">
        <f>SUMIFS(Table1[Modeled_Demand],Table1[Key_Year_week_DC],Demand_Modeling_Week_level!$A23,Table1[BRAND],Demand_Modeling_Week_level!F$2)</f>
        <v>0</v>
      </c>
      <c r="G23">
        <f>SUMIFS(Table1[Modeled_Demand],Table1[Key_Year_week_DC],Demand_Modeling_Week_level!$A23,Table1[BRAND],Demand_Modeling_Week_level!G$2)</f>
        <v>0</v>
      </c>
      <c r="H23">
        <f>SUMIFS(Table1[Modeled_Demand],Table1[Key_Year_week_DC],Demand_Modeling_Week_level!$A23,Table1[BRAND],Demand_Modeling_Week_level!H$2)</f>
        <v>0</v>
      </c>
      <c r="I23">
        <f>SUMIFS(Table1[Modeled_Demand],Table1[Key_Year_week_DC],Demand_Modeling_Week_level!$A23,Table1[BRAND],Demand_Modeling_Week_level!I$2)</f>
        <v>0</v>
      </c>
      <c r="J23">
        <f>SUMIFS(Table1[Modeled_Demand],Table1[Key_Year_week_DC],Demand_Modeling_Week_level!$A23,Table1[BRAND],Demand_Modeling_Week_level!J$2)</f>
        <v>0</v>
      </c>
      <c r="K23">
        <f>SUMIFS(Table1[Modeled_Demand],Table1[Key_Year_week_DC],Demand_Modeling_Week_level!$A23,Table1[BRAND],Demand_Modeling_Week_level!K$2)</f>
        <v>0</v>
      </c>
      <c r="L23">
        <f>SUMIFS(Table1[Demand],Table1[Key_Year_week_DC],Demand_Modeling_Week_level!$A23)</f>
        <v>0</v>
      </c>
      <c r="M23">
        <f t="shared" si="2"/>
        <v>0</v>
      </c>
      <c r="N23" t="e">
        <f>VLOOKUP(A23,Capacity!B:G,6,FALSE)</f>
        <v>#N/A</v>
      </c>
      <c r="O23" s="20">
        <f t="shared" si="3"/>
        <v>0</v>
      </c>
      <c r="P23">
        <f t="shared" si="4"/>
        <v>0</v>
      </c>
    </row>
    <row r="24" spans="1:16" hidden="1" x14ac:dyDescent="0.3">
      <c r="A24" t="str">
        <f t="shared" si="0"/>
        <v>201845-TFC</v>
      </c>
      <c r="B24">
        <f t="shared" si="1"/>
        <v>201845</v>
      </c>
      <c r="C24" t="s">
        <v>6</v>
      </c>
      <c r="D24">
        <v>2018</v>
      </c>
      <c r="E24">
        <v>45</v>
      </c>
      <c r="F24">
        <f>SUMIFS(Table1[Modeled_Demand],Table1[Key_Year_week_DC],Demand_Modeling_Week_level!$A24,Table1[BRAND],Demand_Modeling_Week_level!F$2)</f>
        <v>149265</v>
      </c>
      <c r="G24">
        <f>SUMIFS(Table1[Modeled_Demand],Table1[Key_Year_week_DC],Demand_Modeling_Week_level!$A24,Table1[BRAND],Demand_Modeling_Week_level!G$2)</f>
        <v>210058</v>
      </c>
      <c r="H24">
        <f>SUMIFS(Table1[Modeled_Demand],Table1[Key_Year_week_DC],Demand_Modeling_Week_level!$A24,Table1[BRAND],Demand_Modeling_Week_level!H$2)</f>
        <v>0</v>
      </c>
      <c r="I24">
        <f>SUMIFS(Table1[Modeled_Demand],Table1[Key_Year_week_DC],Demand_Modeling_Week_level!$A24,Table1[BRAND],Demand_Modeling_Week_level!I$2)</f>
        <v>184670.80000000002</v>
      </c>
      <c r="J24">
        <f>SUMIFS(Table1[Modeled_Demand],Table1[Key_Year_week_DC],Demand_Modeling_Week_level!$A24,Table1[BRAND],Demand_Modeling_Week_level!J$2)</f>
        <v>0</v>
      </c>
      <c r="K24">
        <f>SUMIFS(Table1[Modeled_Demand],Table1[Key_Year_week_DC],Demand_Modeling_Week_level!$A24,Table1[BRAND],Demand_Modeling_Week_level!K$2)</f>
        <v>711222.25</v>
      </c>
      <c r="L24">
        <f>SUMIFS(Table1[Demand],Table1[Key_Year_week_DC],Demand_Modeling_Week_level!$A24)</f>
        <v>999566</v>
      </c>
      <c r="M24">
        <f t="shared" si="2"/>
        <v>1255216.05</v>
      </c>
      <c r="N24">
        <f>VLOOKUP(A24,Capacity!B:G,6,FALSE)</f>
        <v>3150025.2</v>
      </c>
      <c r="O24" s="20">
        <f t="shared" si="3"/>
        <v>0.31732000112253067</v>
      </c>
      <c r="P24">
        <f t="shared" si="4"/>
        <v>0.39847809788950261</v>
      </c>
    </row>
    <row r="25" spans="1:16" hidden="1" x14ac:dyDescent="0.3">
      <c r="A25" t="str">
        <f t="shared" si="0"/>
        <v>201845-WEO</v>
      </c>
      <c r="B25">
        <f t="shared" si="1"/>
        <v>201845</v>
      </c>
      <c r="C25" t="s">
        <v>10</v>
      </c>
      <c r="D25">
        <v>2018</v>
      </c>
      <c r="E25">
        <v>45</v>
      </c>
      <c r="F25">
        <f>SUMIFS(Table1[Modeled_Demand],Table1[Key_Year_week_DC],Demand_Modeling_Week_level!$A25,Table1[BRAND],Demand_Modeling_Week_level!F$2)</f>
        <v>0</v>
      </c>
      <c r="G25">
        <f>SUMIFS(Table1[Modeled_Demand],Table1[Key_Year_week_DC],Demand_Modeling_Week_level!$A25,Table1[BRAND],Demand_Modeling_Week_level!G$2)</f>
        <v>0</v>
      </c>
      <c r="H25">
        <f>SUMIFS(Table1[Modeled_Demand],Table1[Key_Year_week_DC],Demand_Modeling_Week_level!$A25,Table1[BRAND],Demand_Modeling_Week_level!H$2)</f>
        <v>0</v>
      </c>
      <c r="I25">
        <f>SUMIFS(Table1[Modeled_Demand],Table1[Key_Year_week_DC],Demand_Modeling_Week_level!$A25,Table1[BRAND],Demand_Modeling_Week_level!I$2)</f>
        <v>369341.60000000003</v>
      </c>
      <c r="J25">
        <f>SUMIFS(Table1[Modeled_Demand],Table1[Key_Year_week_DC],Demand_Modeling_Week_level!$A25,Table1[BRAND],Demand_Modeling_Week_level!J$2)</f>
        <v>0</v>
      </c>
      <c r="K25">
        <f>SUMIFS(Table1[Modeled_Demand],Table1[Key_Year_week_DC],Demand_Modeling_Week_level!$A25,Table1[BRAND],Demand_Modeling_Week_level!K$2)</f>
        <v>284488.90000000002</v>
      </c>
      <c r="L25">
        <f>SUMIFS(Table1[Demand],Table1[Key_Year_week_DC],Demand_Modeling_Week_level!$A25)</f>
        <v>255814</v>
      </c>
      <c r="M25">
        <f t="shared" si="2"/>
        <v>653830.5</v>
      </c>
      <c r="N25">
        <f>VLOOKUP(A25,Capacity!B:G,6,FALSE)</f>
        <v>1889981.1</v>
      </c>
      <c r="O25" s="20">
        <f t="shared" si="3"/>
        <v>0.13535267627808553</v>
      </c>
      <c r="P25">
        <f t="shared" si="4"/>
        <v>0.34594552294729297</v>
      </c>
    </row>
    <row r="26" spans="1:16" hidden="1" x14ac:dyDescent="0.3">
      <c r="A26" t="str">
        <f t="shared" si="0"/>
        <v>201845-WFC</v>
      </c>
      <c r="B26">
        <f t="shared" si="1"/>
        <v>201845</v>
      </c>
      <c r="C26" t="s">
        <v>7</v>
      </c>
      <c r="D26">
        <v>2018</v>
      </c>
      <c r="E26">
        <v>45</v>
      </c>
      <c r="F26">
        <f>SUMIFS(Table1[Modeled_Demand],Table1[Key_Year_week_DC],Demand_Modeling_Week_level!$A26,Table1[BRAND],Demand_Modeling_Week_level!F$2)</f>
        <v>0</v>
      </c>
      <c r="G26">
        <f>SUMIFS(Table1[Modeled_Demand],Table1[Key_Year_week_DC],Demand_Modeling_Week_level!$A26,Table1[BRAND],Demand_Modeling_Week_level!G$2)</f>
        <v>0.73435498318441828</v>
      </c>
      <c r="H26">
        <f>SUMIFS(Table1[Modeled_Demand],Table1[Key_Year_week_DC],Demand_Modeling_Week_level!$A26,Table1[BRAND],Demand_Modeling_Week_level!H$2)</f>
        <v>0</v>
      </c>
      <c r="I26">
        <f>SUMIFS(Table1[Modeled_Demand],Table1[Key_Year_week_DC],Demand_Modeling_Week_level!$A26,Table1[BRAND],Demand_Modeling_Week_level!I$2)</f>
        <v>138503.1</v>
      </c>
      <c r="J26">
        <f>SUMIFS(Table1[Modeled_Demand],Table1[Key_Year_week_DC],Demand_Modeling_Week_level!$A26,Table1[BRAND],Demand_Modeling_Week_level!J$2)</f>
        <v>0</v>
      </c>
      <c r="K26">
        <f>SUMIFS(Table1[Modeled_Demand],Table1[Key_Year_week_DC],Demand_Modeling_Week_level!$A26,Table1[BRAND],Demand_Modeling_Week_level!K$2)</f>
        <v>284488.90000000002</v>
      </c>
      <c r="L26">
        <f>SUMIFS(Table1[Demand],Table1[Key_Year_week_DC],Demand_Modeling_Week_level!$A26)</f>
        <v>646196</v>
      </c>
      <c r="M26">
        <f t="shared" si="2"/>
        <v>422992.7343549832</v>
      </c>
      <c r="N26">
        <f>VLOOKUP(A26,Capacity!B:G,6,FALSE)</f>
        <v>1102474.8</v>
      </c>
      <c r="O26" s="20">
        <f t="shared" si="3"/>
        <v>0.58613221816952188</v>
      </c>
      <c r="P26">
        <f t="shared" si="4"/>
        <v>0.38367564896266398</v>
      </c>
    </row>
    <row r="27" spans="1:16" hidden="1" x14ac:dyDescent="0.3">
      <c r="A27" t="str">
        <f t="shared" si="0"/>
        <v>201846-EAO</v>
      </c>
      <c r="B27">
        <f t="shared" si="1"/>
        <v>201846</v>
      </c>
      <c r="C27" t="s">
        <v>8</v>
      </c>
      <c r="D27">
        <v>2018</v>
      </c>
      <c r="E27">
        <v>46</v>
      </c>
      <c r="F27">
        <f>SUMIFS(Table1[Modeled_Demand],Table1[Key_Year_week_DC],Demand_Modeling_Week_level!$A27,Table1[BRAND],Demand_Modeling_Week_level!F$2)</f>
        <v>5.443350913657353</v>
      </c>
      <c r="G27">
        <f>SUMIFS(Table1[Modeled_Demand],Table1[Key_Year_week_DC],Demand_Modeling_Week_level!$A27,Table1[BRAND],Demand_Modeling_Week_level!G$2)</f>
        <v>8.0837213204795848</v>
      </c>
      <c r="H27">
        <f>SUMIFS(Table1[Modeled_Demand],Table1[Key_Year_week_DC],Demand_Modeling_Week_level!$A27,Table1[BRAND],Demand_Modeling_Week_level!H$2)</f>
        <v>0</v>
      </c>
      <c r="I27">
        <f>SUMIFS(Table1[Modeled_Demand],Table1[Key_Year_week_DC],Demand_Modeling_Week_level!$A27,Table1[BRAND],Demand_Modeling_Week_level!I$2)</f>
        <v>0</v>
      </c>
      <c r="J27">
        <f>SUMIFS(Table1[Modeled_Demand],Table1[Key_Year_week_DC],Demand_Modeling_Week_level!$A27,Table1[BRAND],Demand_Modeling_Week_level!J$2)</f>
        <v>0</v>
      </c>
      <c r="K27">
        <f>SUMIFS(Table1[Modeled_Demand],Table1[Key_Year_week_DC],Demand_Modeling_Week_level!$A27,Table1[BRAND],Demand_Modeling_Week_level!K$2)</f>
        <v>664652.80000000005</v>
      </c>
      <c r="L27">
        <f>SUMIFS(Table1[Demand],Table1[Key_Year_week_DC],Demand_Modeling_Week_level!$A27)</f>
        <v>768368</v>
      </c>
      <c r="M27">
        <f t="shared" si="2"/>
        <v>664666.32707223413</v>
      </c>
      <c r="N27">
        <f>VLOOKUP(A27,Capacity!B:G,6,FALSE)</f>
        <v>1889981.1</v>
      </c>
      <c r="O27" s="20">
        <f t="shared" si="3"/>
        <v>0.40654798082372356</v>
      </c>
      <c r="P27">
        <f t="shared" si="4"/>
        <v>0.35167882211744556</v>
      </c>
    </row>
    <row r="28" spans="1:16" hidden="1" x14ac:dyDescent="0.3">
      <c r="A28" t="str">
        <f t="shared" si="0"/>
        <v>201846-OCC</v>
      </c>
      <c r="B28">
        <f t="shared" si="1"/>
        <v>201846</v>
      </c>
      <c r="C28" t="s">
        <v>11</v>
      </c>
      <c r="D28">
        <v>2018</v>
      </c>
      <c r="E28">
        <v>46</v>
      </c>
      <c r="F28">
        <f>SUMIFS(Table1[Modeled_Demand],Table1[Key_Year_week_DC],Demand_Modeling_Week_level!$A28,Table1[BRAND],Demand_Modeling_Week_level!F$2)</f>
        <v>0</v>
      </c>
      <c r="G28">
        <f>SUMIFS(Table1[Modeled_Demand],Table1[Key_Year_week_DC],Demand_Modeling_Week_level!$A28,Table1[BRAND],Demand_Modeling_Week_level!G$2)</f>
        <v>0</v>
      </c>
      <c r="H28">
        <f>SUMIFS(Table1[Modeled_Demand],Table1[Key_Year_week_DC],Demand_Modeling_Week_level!$A28,Table1[BRAND],Demand_Modeling_Week_level!H$2)</f>
        <v>0</v>
      </c>
      <c r="I28">
        <f>SUMIFS(Table1[Modeled_Demand],Table1[Key_Year_week_DC],Demand_Modeling_Week_level!$A28,Table1[BRAND],Demand_Modeling_Week_level!I$2)</f>
        <v>0</v>
      </c>
      <c r="J28">
        <f>SUMIFS(Table1[Modeled_Demand],Table1[Key_Year_week_DC],Demand_Modeling_Week_level!$A28,Table1[BRAND],Demand_Modeling_Week_level!J$2)</f>
        <v>0</v>
      </c>
      <c r="K28">
        <f>SUMIFS(Table1[Modeled_Demand],Table1[Key_Year_week_DC],Demand_Modeling_Week_level!$A28,Table1[BRAND],Demand_Modeling_Week_level!K$2)</f>
        <v>0</v>
      </c>
      <c r="L28">
        <f>SUMIFS(Table1[Demand],Table1[Key_Year_week_DC],Demand_Modeling_Week_level!$A28)</f>
        <v>0</v>
      </c>
      <c r="M28">
        <f t="shared" si="2"/>
        <v>0</v>
      </c>
      <c r="N28">
        <f>VLOOKUP(A28,Capacity!B:G,6,FALSE)</f>
        <v>0</v>
      </c>
      <c r="O28" s="20">
        <f t="shared" si="3"/>
        <v>0</v>
      </c>
      <c r="P28">
        <f t="shared" si="4"/>
        <v>0</v>
      </c>
    </row>
    <row r="29" spans="1:16" hidden="1" x14ac:dyDescent="0.3">
      <c r="A29" t="str">
        <f t="shared" si="0"/>
        <v>201846-ODC</v>
      </c>
      <c r="B29">
        <f t="shared" si="1"/>
        <v>201846</v>
      </c>
      <c r="C29" t="s">
        <v>9</v>
      </c>
      <c r="D29">
        <v>2018</v>
      </c>
      <c r="E29">
        <v>46</v>
      </c>
      <c r="F29">
        <f>SUMIFS(Table1[Modeled_Demand],Table1[Key_Year_week_DC],Demand_Modeling_Week_level!$A29,Table1[BRAND],Demand_Modeling_Week_level!F$2)</f>
        <v>0</v>
      </c>
      <c r="G29">
        <f>SUMIFS(Table1[Modeled_Demand],Table1[Key_Year_week_DC],Demand_Modeling_Week_level!$A29,Table1[BRAND],Demand_Modeling_Week_level!G$2)</f>
        <v>0</v>
      </c>
      <c r="H29">
        <f>SUMIFS(Table1[Modeled_Demand],Table1[Key_Year_week_DC],Demand_Modeling_Week_level!$A29,Table1[BRAND],Demand_Modeling_Week_level!H$2)</f>
        <v>0</v>
      </c>
      <c r="I29">
        <f>SUMIFS(Table1[Modeled_Demand],Table1[Key_Year_week_DC],Demand_Modeling_Week_level!$A29,Table1[BRAND],Demand_Modeling_Week_level!I$2)</f>
        <v>0</v>
      </c>
      <c r="J29">
        <f>SUMIFS(Table1[Modeled_Demand],Table1[Key_Year_week_DC],Demand_Modeling_Week_level!$A29,Table1[BRAND],Demand_Modeling_Week_level!J$2)</f>
        <v>0</v>
      </c>
      <c r="K29">
        <f>SUMIFS(Table1[Modeled_Demand],Table1[Key_Year_week_DC],Demand_Modeling_Week_level!$A29,Table1[BRAND],Demand_Modeling_Week_level!K$2)</f>
        <v>0</v>
      </c>
      <c r="L29">
        <f>SUMIFS(Table1[Demand],Table1[Key_Year_week_DC],Demand_Modeling_Week_level!$A29)</f>
        <v>0</v>
      </c>
      <c r="M29">
        <f t="shared" si="2"/>
        <v>0</v>
      </c>
      <c r="N29" t="e">
        <f>VLOOKUP(A29,Capacity!B:G,6,FALSE)</f>
        <v>#N/A</v>
      </c>
      <c r="O29" s="20">
        <f t="shared" si="3"/>
        <v>0</v>
      </c>
      <c r="P29">
        <f t="shared" si="4"/>
        <v>0</v>
      </c>
    </row>
    <row r="30" spans="1:16" hidden="1" x14ac:dyDescent="0.3">
      <c r="A30" t="str">
        <f t="shared" si="0"/>
        <v>201846-OFC</v>
      </c>
      <c r="B30">
        <f t="shared" si="1"/>
        <v>201846</v>
      </c>
      <c r="C30" t="s">
        <v>5</v>
      </c>
      <c r="D30">
        <v>2018</v>
      </c>
      <c r="E30">
        <v>46</v>
      </c>
      <c r="F30">
        <f>SUMIFS(Table1[Modeled_Demand],Table1[Key_Year_week_DC],Demand_Modeling_Week_level!$A30,Table1[BRAND],Demand_Modeling_Week_level!F$2)</f>
        <v>0</v>
      </c>
      <c r="G30">
        <f>SUMIFS(Table1[Modeled_Demand],Table1[Key_Year_week_DC],Demand_Modeling_Week_level!$A30,Table1[BRAND],Demand_Modeling_Week_level!G$2)</f>
        <v>0</v>
      </c>
      <c r="H30">
        <f>SUMIFS(Table1[Modeled_Demand],Table1[Key_Year_week_DC],Demand_Modeling_Week_level!$A30,Table1[BRAND],Demand_Modeling_Week_level!H$2)</f>
        <v>71335</v>
      </c>
      <c r="I30">
        <f>SUMIFS(Table1[Modeled_Demand],Table1[Key_Year_week_DC],Demand_Modeling_Week_level!$A30,Table1[BRAND],Demand_Modeling_Week_level!I$2)</f>
        <v>212155.75</v>
      </c>
      <c r="J30">
        <f>SUMIFS(Table1[Modeled_Demand],Table1[Key_Year_week_DC],Demand_Modeling_Week_level!$A30,Table1[BRAND],Demand_Modeling_Week_level!J$2)</f>
        <v>118879</v>
      </c>
      <c r="K30">
        <f>SUMIFS(Table1[Modeled_Demand],Table1[Key_Year_week_DC],Demand_Modeling_Week_level!$A30,Table1[BRAND],Demand_Modeling_Week_level!K$2)</f>
        <v>640915.20000000007</v>
      </c>
      <c r="L30">
        <f>SUMIFS(Table1[Demand],Table1[Key_Year_week_DC],Demand_Modeling_Week_level!$A30)</f>
        <v>1562690</v>
      </c>
      <c r="M30">
        <f t="shared" si="2"/>
        <v>1043284.9500000001</v>
      </c>
      <c r="N30">
        <f>VLOOKUP(A30,Capacity!B:G,6,FALSE)</f>
        <v>3307481.1</v>
      </c>
      <c r="O30" s="20">
        <f t="shared" si="3"/>
        <v>0.47247133173338463</v>
      </c>
      <c r="P30">
        <f t="shared" si="4"/>
        <v>0.31543187049504229</v>
      </c>
    </row>
    <row r="31" spans="1:16" hidden="1" x14ac:dyDescent="0.3">
      <c r="A31" t="str">
        <f t="shared" si="0"/>
        <v>201846-SFS</v>
      </c>
      <c r="B31">
        <f t="shared" si="1"/>
        <v>201846</v>
      </c>
      <c r="C31" t="s">
        <v>12</v>
      </c>
      <c r="D31">
        <v>2018</v>
      </c>
      <c r="E31">
        <v>46</v>
      </c>
      <c r="F31">
        <f>SUMIFS(Table1[Modeled_Demand],Table1[Key_Year_week_DC],Demand_Modeling_Week_level!$A31,Table1[BRAND],Demand_Modeling_Week_level!F$2)</f>
        <v>0</v>
      </c>
      <c r="G31">
        <f>SUMIFS(Table1[Modeled_Demand],Table1[Key_Year_week_DC],Demand_Modeling_Week_level!$A31,Table1[BRAND],Demand_Modeling_Week_level!G$2)</f>
        <v>0</v>
      </c>
      <c r="H31">
        <f>SUMIFS(Table1[Modeled_Demand],Table1[Key_Year_week_DC],Demand_Modeling_Week_level!$A31,Table1[BRAND],Demand_Modeling_Week_level!H$2)</f>
        <v>0</v>
      </c>
      <c r="I31">
        <f>SUMIFS(Table1[Modeled_Demand],Table1[Key_Year_week_DC],Demand_Modeling_Week_level!$A31,Table1[BRAND],Demand_Modeling_Week_level!I$2)</f>
        <v>0</v>
      </c>
      <c r="J31">
        <f>SUMIFS(Table1[Modeled_Demand],Table1[Key_Year_week_DC],Demand_Modeling_Week_level!$A31,Table1[BRAND],Demand_Modeling_Week_level!J$2)</f>
        <v>0</v>
      </c>
      <c r="K31">
        <f>SUMIFS(Table1[Modeled_Demand],Table1[Key_Year_week_DC],Demand_Modeling_Week_level!$A31,Table1[BRAND],Demand_Modeling_Week_level!K$2)</f>
        <v>0</v>
      </c>
      <c r="L31">
        <f>SUMIFS(Table1[Demand],Table1[Key_Year_week_DC],Demand_Modeling_Week_level!$A31)</f>
        <v>0</v>
      </c>
      <c r="M31">
        <f t="shared" si="2"/>
        <v>0</v>
      </c>
      <c r="N31" t="e">
        <f>VLOOKUP(A31,Capacity!B:G,6,FALSE)</f>
        <v>#N/A</v>
      </c>
      <c r="O31" s="20">
        <f t="shared" si="3"/>
        <v>0</v>
      </c>
      <c r="P31">
        <f t="shared" si="4"/>
        <v>0</v>
      </c>
    </row>
    <row r="32" spans="1:16" hidden="1" x14ac:dyDescent="0.3">
      <c r="A32" t="str">
        <f t="shared" si="0"/>
        <v>201846-TFC</v>
      </c>
      <c r="B32">
        <f t="shared" si="1"/>
        <v>201846</v>
      </c>
      <c r="C32" t="s">
        <v>6</v>
      </c>
      <c r="D32">
        <v>2018</v>
      </c>
      <c r="E32">
        <v>46</v>
      </c>
      <c r="F32">
        <f>SUMIFS(Table1[Modeled_Demand],Table1[Key_Year_week_DC],Demand_Modeling_Week_level!$A32,Table1[BRAND],Demand_Modeling_Week_level!F$2)</f>
        <v>157910</v>
      </c>
      <c r="G32">
        <f>SUMIFS(Table1[Modeled_Demand],Table1[Key_Year_week_DC],Demand_Modeling_Week_level!$A32,Table1[BRAND],Demand_Modeling_Week_level!G$2)</f>
        <v>190924</v>
      </c>
      <c r="H32">
        <f>SUMIFS(Table1[Modeled_Demand],Table1[Key_Year_week_DC],Demand_Modeling_Week_level!$A32,Table1[BRAND],Demand_Modeling_Week_level!H$2)</f>
        <v>0</v>
      </c>
      <c r="I32">
        <f>SUMIFS(Table1[Modeled_Demand],Table1[Key_Year_week_DC],Demand_Modeling_Week_level!$A32,Table1[BRAND],Demand_Modeling_Week_level!I$2)</f>
        <v>169724.6</v>
      </c>
      <c r="J32">
        <f>SUMIFS(Table1[Modeled_Demand],Table1[Key_Year_week_DC],Demand_Modeling_Week_level!$A32,Table1[BRAND],Demand_Modeling_Week_level!J$2)</f>
        <v>0</v>
      </c>
      <c r="K32">
        <f>SUMIFS(Table1[Modeled_Demand],Table1[Key_Year_week_DC],Demand_Modeling_Week_level!$A32,Table1[BRAND],Demand_Modeling_Week_level!K$2)</f>
        <v>593440</v>
      </c>
      <c r="L32">
        <f>SUMIFS(Table1[Demand],Table1[Key_Year_week_DC],Demand_Modeling_Week_level!$A32)</f>
        <v>761821</v>
      </c>
      <c r="M32">
        <f t="shared" si="2"/>
        <v>1111998.6000000001</v>
      </c>
      <c r="N32">
        <f>VLOOKUP(A32,Capacity!B:G,6,FALSE)</f>
        <v>3150025.2</v>
      </c>
      <c r="O32" s="20">
        <f t="shared" si="3"/>
        <v>0.24184600173992257</v>
      </c>
      <c r="P32">
        <f t="shared" si="4"/>
        <v>0.35301260447059279</v>
      </c>
    </row>
    <row r="33" spans="1:16" hidden="1" x14ac:dyDescent="0.3">
      <c r="A33" t="str">
        <f t="shared" si="0"/>
        <v>201846-WEO</v>
      </c>
      <c r="B33">
        <f t="shared" si="1"/>
        <v>201846</v>
      </c>
      <c r="C33" t="s">
        <v>10</v>
      </c>
      <c r="D33">
        <v>2018</v>
      </c>
      <c r="E33">
        <v>46</v>
      </c>
      <c r="F33">
        <f>SUMIFS(Table1[Modeled_Demand],Table1[Key_Year_week_DC],Demand_Modeling_Week_level!$A33,Table1[BRAND],Demand_Modeling_Week_level!F$2)</f>
        <v>0</v>
      </c>
      <c r="G33">
        <f>SUMIFS(Table1[Modeled_Demand],Table1[Key_Year_week_DC],Demand_Modeling_Week_level!$A33,Table1[BRAND],Demand_Modeling_Week_level!G$2)</f>
        <v>0</v>
      </c>
      <c r="H33">
        <f>SUMIFS(Table1[Modeled_Demand],Table1[Key_Year_week_DC],Demand_Modeling_Week_level!$A33,Table1[BRAND],Demand_Modeling_Week_level!H$2)</f>
        <v>0</v>
      </c>
      <c r="I33">
        <f>SUMIFS(Table1[Modeled_Demand],Table1[Key_Year_week_DC],Demand_Modeling_Week_level!$A33,Table1[BRAND],Demand_Modeling_Week_level!I$2)</f>
        <v>339449.2</v>
      </c>
      <c r="J33">
        <f>SUMIFS(Table1[Modeled_Demand],Table1[Key_Year_week_DC],Demand_Modeling_Week_level!$A33,Table1[BRAND],Demand_Modeling_Week_level!J$2)</f>
        <v>0</v>
      </c>
      <c r="K33">
        <f>SUMIFS(Table1[Modeled_Demand],Table1[Key_Year_week_DC],Demand_Modeling_Week_level!$A33,Table1[BRAND],Demand_Modeling_Week_level!K$2)</f>
        <v>237376</v>
      </c>
      <c r="L33">
        <f>SUMIFS(Table1[Demand],Table1[Key_Year_week_DC],Demand_Modeling_Week_level!$A33)</f>
        <v>207267</v>
      </c>
      <c r="M33">
        <f t="shared" si="2"/>
        <v>576825.19999999995</v>
      </c>
      <c r="N33">
        <f>VLOOKUP(A33,Capacity!B:G,6,FALSE)</f>
        <v>1889981.1</v>
      </c>
      <c r="O33" s="20">
        <f t="shared" si="3"/>
        <v>0.10966617602683963</v>
      </c>
      <c r="P33">
        <f t="shared" si="4"/>
        <v>0.30520157053422381</v>
      </c>
    </row>
    <row r="34" spans="1:16" hidden="1" x14ac:dyDescent="0.3">
      <c r="A34" t="str">
        <f t="shared" si="0"/>
        <v>201846-WFC</v>
      </c>
      <c r="B34">
        <f t="shared" si="1"/>
        <v>201846</v>
      </c>
      <c r="C34" t="s">
        <v>7</v>
      </c>
      <c r="D34">
        <v>2018</v>
      </c>
      <c r="E34">
        <v>46</v>
      </c>
      <c r="F34">
        <f>SUMIFS(Table1[Modeled_Demand],Table1[Key_Year_week_DC],Demand_Modeling_Week_level!$A34,Table1[BRAND],Demand_Modeling_Week_level!F$2)</f>
        <v>0</v>
      </c>
      <c r="G34">
        <f>SUMIFS(Table1[Modeled_Demand],Table1[Key_Year_week_DC],Demand_Modeling_Week_level!$A34,Table1[BRAND],Demand_Modeling_Week_level!G$2)</f>
        <v>0.66746322829647942</v>
      </c>
      <c r="H34">
        <f>SUMIFS(Table1[Modeled_Demand],Table1[Key_Year_week_DC],Demand_Modeling_Week_level!$A34,Table1[BRAND],Demand_Modeling_Week_level!H$2)</f>
        <v>0</v>
      </c>
      <c r="I34">
        <f>SUMIFS(Table1[Modeled_Demand],Table1[Key_Year_week_DC],Demand_Modeling_Week_level!$A34,Table1[BRAND],Demand_Modeling_Week_level!I$2)</f>
        <v>127293.45</v>
      </c>
      <c r="J34">
        <f>SUMIFS(Table1[Modeled_Demand],Table1[Key_Year_week_DC],Demand_Modeling_Week_level!$A34,Table1[BRAND],Demand_Modeling_Week_level!J$2)</f>
        <v>0</v>
      </c>
      <c r="K34">
        <f>SUMIFS(Table1[Modeled_Demand],Table1[Key_Year_week_DC],Demand_Modeling_Week_level!$A34,Table1[BRAND],Demand_Modeling_Week_level!K$2)</f>
        <v>237376</v>
      </c>
      <c r="L34">
        <f>SUMIFS(Table1[Demand],Table1[Key_Year_week_DC],Demand_Modeling_Week_level!$A34)</f>
        <v>461285</v>
      </c>
      <c r="M34">
        <f t="shared" si="2"/>
        <v>364670.11746322829</v>
      </c>
      <c r="N34">
        <f>VLOOKUP(A34,Capacity!B:G,6,FALSE)</f>
        <v>1102474.8</v>
      </c>
      <c r="O34" s="20">
        <f t="shared" si="3"/>
        <v>0.41840865659695803</v>
      </c>
      <c r="P34">
        <f t="shared" si="4"/>
        <v>0.33077410700292492</v>
      </c>
    </row>
    <row r="35" spans="1:16" hidden="1" x14ac:dyDescent="0.3">
      <c r="A35" t="str">
        <f t="shared" si="0"/>
        <v>201847-EAO</v>
      </c>
      <c r="B35">
        <f t="shared" si="1"/>
        <v>201847</v>
      </c>
      <c r="C35" t="s">
        <v>8</v>
      </c>
      <c r="D35">
        <v>2018</v>
      </c>
      <c r="E35">
        <v>47</v>
      </c>
      <c r="F35">
        <f>SUMIFS(Table1[Modeled_Demand],Table1[Key_Year_week_DC],Demand_Modeling_Week_level!$A35,Table1[BRAND],Demand_Modeling_Week_level!F$2)</f>
        <v>6.4085107023438974</v>
      </c>
      <c r="G35">
        <f>SUMIFS(Table1[Modeled_Demand],Table1[Key_Year_week_DC],Demand_Modeling_Week_level!$A35,Table1[BRAND],Demand_Modeling_Week_level!G$2)</f>
        <v>8.9593547695422391</v>
      </c>
      <c r="H35">
        <f>SUMIFS(Table1[Modeled_Demand],Table1[Key_Year_week_DC],Demand_Modeling_Week_level!$A35,Table1[BRAND],Demand_Modeling_Week_level!H$2)</f>
        <v>0</v>
      </c>
      <c r="I35">
        <f>SUMIFS(Table1[Modeled_Demand],Table1[Key_Year_week_DC],Demand_Modeling_Week_level!$A35,Table1[BRAND],Demand_Modeling_Week_level!I$2)</f>
        <v>0</v>
      </c>
      <c r="J35">
        <f>SUMIFS(Table1[Modeled_Demand],Table1[Key_Year_week_DC],Demand_Modeling_Week_level!$A35,Table1[BRAND],Demand_Modeling_Week_level!J$2)</f>
        <v>0</v>
      </c>
      <c r="K35">
        <f>SUMIFS(Table1[Modeled_Demand],Table1[Key_Year_week_DC],Demand_Modeling_Week_level!$A35,Table1[BRAND],Demand_Modeling_Week_level!K$2)</f>
        <v>352705.92000000004</v>
      </c>
      <c r="L35">
        <f>SUMIFS(Table1[Demand],Table1[Key_Year_week_DC],Demand_Modeling_Week_level!$A35)</f>
        <v>404522</v>
      </c>
      <c r="M35">
        <f t="shared" si="2"/>
        <v>352721.28786547191</v>
      </c>
      <c r="N35">
        <f>VLOOKUP(A35,Capacity!B:G,6,FALSE)</f>
        <v>1889981.1</v>
      </c>
      <c r="O35" s="20">
        <f t="shared" si="3"/>
        <v>0.21403494458225006</v>
      </c>
      <c r="P35">
        <f t="shared" si="4"/>
        <v>0.18662688630350424</v>
      </c>
    </row>
    <row r="36" spans="1:16" hidden="1" x14ac:dyDescent="0.3">
      <c r="A36" t="str">
        <f t="shared" si="0"/>
        <v>201847-OCC</v>
      </c>
      <c r="B36">
        <f t="shared" si="1"/>
        <v>201847</v>
      </c>
      <c r="C36" t="s">
        <v>11</v>
      </c>
      <c r="D36">
        <v>2018</v>
      </c>
      <c r="E36">
        <v>47</v>
      </c>
      <c r="F36">
        <f>SUMIFS(Table1[Modeled_Demand],Table1[Key_Year_week_DC],Demand_Modeling_Week_level!$A36,Table1[BRAND],Demand_Modeling_Week_level!F$2)</f>
        <v>0</v>
      </c>
      <c r="G36">
        <f>SUMIFS(Table1[Modeled_Demand],Table1[Key_Year_week_DC],Demand_Modeling_Week_level!$A36,Table1[BRAND],Demand_Modeling_Week_level!G$2)</f>
        <v>0</v>
      </c>
      <c r="H36">
        <f>SUMIFS(Table1[Modeled_Demand],Table1[Key_Year_week_DC],Demand_Modeling_Week_level!$A36,Table1[BRAND],Demand_Modeling_Week_level!H$2)</f>
        <v>0</v>
      </c>
      <c r="I36">
        <f>SUMIFS(Table1[Modeled_Demand],Table1[Key_Year_week_DC],Demand_Modeling_Week_level!$A36,Table1[BRAND],Demand_Modeling_Week_level!I$2)</f>
        <v>0</v>
      </c>
      <c r="J36">
        <f>SUMIFS(Table1[Modeled_Demand],Table1[Key_Year_week_DC],Demand_Modeling_Week_level!$A36,Table1[BRAND],Demand_Modeling_Week_level!J$2)</f>
        <v>0</v>
      </c>
      <c r="K36">
        <f>SUMIFS(Table1[Modeled_Demand],Table1[Key_Year_week_DC],Demand_Modeling_Week_level!$A36,Table1[BRAND],Demand_Modeling_Week_level!K$2)</f>
        <v>0</v>
      </c>
      <c r="L36">
        <f>SUMIFS(Table1[Demand],Table1[Key_Year_week_DC],Demand_Modeling_Week_level!$A36)</f>
        <v>0</v>
      </c>
      <c r="M36">
        <f t="shared" si="2"/>
        <v>0</v>
      </c>
      <c r="N36">
        <f>VLOOKUP(A36,Capacity!B:G,6,FALSE)</f>
        <v>0</v>
      </c>
      <c r="O36" s="20">
        <f t="shared" si="3"/>
        <v>0</v>
      </c>
      <c r="P36">
        <f t="shared" si="4"/>
        <v>0</v>
      </c>
    </row>
    <row r="37" spans="1:16" hidden="1" x14ac:dyDescent="0.3">
      <c r="A37" t="str">
        <f t="shared" si="0"/>
        <v>201847-ODC</v>
      </c>
      <c r="B37">
        <f t="shared" si="1"/>
        <v>201847</v>
      </c>
      <c r="C37" t="s">
        <v>9</v>
      </c>
      <c r="D37">
        <v>2018</v>
      </c>
      <c r="E37">
        <v>47</v>
      </c>
      <c r="F37">
        <f>SUMIFS(Table1[Modeled_Demand],Table1[Key_Year_week_DC],Demand_Modeling_Week_level!$A37,Table1[BRAND],Demand_Modeling_Week_level!F$2)</f>
        <v>0</v>
      </c>
      <c r="G37">
        <f>SUMIFS(Table1[Modeled_Demand],Table1[Key_Year_week_DC],Demand_Modeling_Week_level!$A37,Table1[BRAND],Demand_Modeling_Week_level!G$2)</f>
        <v>0</v>
      </c>
      <c r="H37">
        <f>SUMIFS(Table1[Modeled_Demand],Table1[Key_Year_week_DC],Demand_Modeling_Week_level!$A37,Table1[BRAND],Demand_Modeling_Week_level!H$2)</f>
        <v>0</v>
      </c>
      <c r="I37">
        <f>SUMIFS(Table1[Modeled_Demand],Table1[Key_Year_week_DC],Demand_Modeling_Week_level!$A37,Table1[BRAND],Demand_Modeling_Week_level!I$2)</f>
        <v>0</v>
      </c>
      <c r="J37">
        <f>SUMIFS(Table1[Modeled_Demand],Table1[Key_Year_week_DC],Demand_Modeling_Week_level!$A37,Table1[BRAND],Demand_Modeling_Week_level!J$2)</f>
        <v>0</v>
      </c>
      <c r="K37">
        <f>SUMIFS(Table1[Modeled_Demand],Table1[Key_Year_week_DC],Demand_Modeling_Week_level!$A37,Table1[BRAND],Demand_Modeling_Week_level!K$2)</f>
        <v>0</v>
      </c>
      <c r="L37">
        <f>SUMIFS(Table1[Demand],Table1[Key_Year_week_DC],Demand_Modeling_Week_level!$A37)</f>
        <v>0</v>
      </c>
      <c r="M37">
        <f t="shared" si="2"/>
        <v>0</v>
      </c>
      <c r="N37" t="e">
        <f>VLOOKUP(A37,Capacity!B:G,6,FALSE)</f>
        <v>#N/A</v>
      </c>
      <c r="O37" s="20">
        <f t="shared" si="3"/>
        <v>0</v>
      </c>
      <c r="P37">
        <f t="shared" si="4"/>
        <v>0</v>
      </c>
    </row>
    <row r="38" spans="1:16" hidden="1" x14ac:dyDescent="0.3">
      <c r="A38" t="str">
        <f t="shared" si="0"/>
        <v>201847-OFC</v>
      </c>
      <c r="B38">
        <f t="shared" si="1"/>
        <v>201847</v>
      </c>
      <c r="C38" t="s">
        <v>5</v>
      </c>
      <c r="D38">
        <v>2018</v>
      </c>
      <c r="E38">
        <v>47</v>
      </c>
      <c r="F38">
        <f>SUMIFS(Table1[Modeled_Demand],Table1[Key_Year_week_DC],Demand_Modeling_Week_level!$A38,Table1[BRAND],Demand_Modeling_Week_level!F$2)</f>
        <v>0</v>
      </c>
      <c r="G38">
        <f>SUMIFS(Table1[Modeled_Demand],Table1[Key_Year_week_DC],Demand_Modeling_Week_level!$A38,Table1[BRAND],Demand_Modeling_Week_level!G$2)</f>
        <v>0</v>
      </c>
      <c r="H38">
        <f>SUMIFS(Table1[Modeled_Demand],Table1[Key_Year_week_DC],Demand_Modeling_Week_level!$A38,Table1[BRAND],Demand_Modeling_Week_level!H$2)</f>
        <v>62339</v>
      </c>
      <c r="I38">
        <f>SUMIFS(Table1[Modeled_Demand],Table1[Key_Year_week_DC],Demand_Modeling_Week_level!$A38,Table1[BRAND],Demand_Modeling_Week_level!I$2)</f>
        <v>177184</v>
      </c>
      <c r="J38">
        <f>SUMIFS(Table1[Modeled_Demand],Table1[Key_Year_week_DC],Demand_Modeling_Week_level!$A38,Table1[BRAND],Demand_Modeling_Week_level!J$2)</f>
        <v>138843</v>
      </c>
      <c r="K38">
        <f>SUMIFS(Table1[Modeled_Demand],Table1[Key_Year_week_DC],Demand_Modeling_Week_level!$A38,Table1[BRAND],Demand_Modeling_Week_level!K$2)</f>
        <v>340109.28</v>
      </c>
      <c r="L38">
        <f>SUMIFS(Table1[Demand],Table1[Key_Year_week_DC],Demand_Modeling_Week_level!$A38)</f>
        <v>1209070</v>
      </c>
      <c r="M38">
        <f t="shared" si="2"/>
        <v>718475.28</v>
      </c>
      <c r="N38">
        <f>VLOOKUP(A38,Capacity!B:G,6,FALSE)</f>
        <v>3307481.1</v>
      </c>
      <c r="O38" s="20">
        <f t="shared" si="3"/>
        <v>0.36555613273194515</v>
      </c>
      <c r="P38">
        <f t="shared" si="4"/>
        <v>0.21722732746681456</v>
      </c>
    </row>
    <row r="39" spans="1:16" hidden="1" x14ac:dyDescent="0.3">
      <c r="A39" t="str">
        <f t="shared" si="0"/>
        <v>201847-SFS</v>
      </c>
      <c r="B39">
        <f t="shared" si="1"/>
        <v>201847</v>
      </c>
      <c r="C39" t="s">
        <v>12</v>
      </c>
      <c r="D39">
        <v>2018</v>
      </c>
      <c r="E39">
        <v>47</v>
      </c>
      <c r="F39">
        <f>SUMIFS(Table1[Modeled_Demand],Table1[Key_Year_week_DC],Demand_Modeling_Week_level!$A39,Table1[BRAND],Demand_Modeling_Week_level!F$2)</f>
        <v>0</v>
      </c>
      <c r="G39">
        <f>SUMIFS(Table1[Modeled_Demand],Table1[Key_Year_week_DC],Demand_Modeling_Week_level!$A39,Table1[BRAND],Demand_Modeling_Week_level!G$2)</f>
        <v>0</v>
      </c>
      <c r="H39">
        <f>SUMIFS(Table1[Modeled_Demand],Table1[Key_Year_week_DC],Demand_Modeling_Week_level!$A39,Table1[BRAND],Demand_Modeling_Week_level!H$2)</f>
        <v>0</v>
      </c>
      <c r="I39">
        <f>SUMIFS(Table1[Modeled_Demand],Table1[Key_Year_week_DC],Demand_Modeling_Week_level!$A39,Table1[BRAND],Demand_Modeling_Week_level!I$2)</f>
        <v>0</v>
      </c>
      <c r="J39">
        <f>SUMIFS(Table1[Modeled_Demand],Table1[Key_Year_week_DC],Demand_Modeling_Week_level!$A39,Table1[BRAND],Demand_Modeling_Week_level!J$2)</f>
        <v>0</v>
      </c>
      <c r="K39">
        <f>SUMIFS(Table1[Modeled_Demand],Table1[Key_Year_week_DC],Demand_Modeling_Week_level!$A39,Table1[BRAND],Demand_Modeling_Week_level!K$2)</f>
        <v>0</v>
      </c>
      <c r="L39">
        <f>SUMIFS(Table1[Demand],Table1[Key_Year_week_DC],Demand_Modeling_Week_level!$A39)</f>
        <v>0</v>
      </c>
      <c r="M39">
        <f t="shared" si="2"/>
        <v>0</v>
      </c>
      <c r="N39" t="e">
        <f>VLOOKUP(A39,Capacity!B:G,6,FALSE)</f>
        <v>#N/A</v>
      </c>
      <c r="O39" s="20">
        <f t="shared" si="3"/>
        <v>0</v>
      </c>
      <c r="P39">
        <f t="shared" si="4"/>
        <v>0</v>
      </c>
    </row>
    <row r="40" spans="1:16" hidden="1" x14ac:dyDescent="0.3">
      <c r="A40" t="str">
        <f t="shared" si="0"/>
        <v>201847-TFC</v>
      </c>
      <c r="B40">
        <f t="shared" si="1"/>
        <v>201847</v>
      </c>
      <c r="C40" t="s">
        <v>6</v>
      </c>
      <c r="D40">
        <v>2018</v>
      </c>
      <c r="E40">
        <v>47</v>
      </c>
      <c r="F40">
        <f>SUMIFS(Table1[Modeled_Demand],Table1[Key_Year_week_DC],Demand_Modeling_Week_level!$A40,Table1[BRAND],Demand_Modeling_Week_level!F$2)</f>
        <v>185909</v>
      </c>
      <c r="G40">
        <f>SUMIFS(Table1[Modeled_Demand],Table1[Key_Year_week_DC],Demand_Modeling_Week_level!$A40,Table1[BRAND],Demand_Modeling_Week_level!G$2)</f>
        <v>211605</v>
      </c>
      <c r="H40">
        <f>SUMIFS(Table1[Modeled_Demand],Table1[Key_Year_week_DC],Demand_Modeling_Week_level!$A40,Table1[BRAND],Demand_Modeling_Week_level!H$2)</f>
        <v>0</v>
      </c>
      <c r="I40">
        <f>SUMIFS(Table1[Modeled_Demand],Table1[Key_Year_week_DC],Demand_Modeling_Week_level!$A40,Table1[BRAND],Demand_Modeling_Week_level!I$2)</f>
        <v>141747.20000000001</v>
      </c>
      <c r="J40">
        <f>SUMIFS(Table1[Modeled_Demand],Table1[Key_Year_week_DC],Demand_Modeling_Week_level!$A40,Table1[BRAND],Demand_Modeling_Week_level!J$2)</f>
        <v>0</v>
      </c>
      <c r="K40">
        <f>SUMIFS(Table1[Modeled_Demand],Table1[Key_Year_week_DC],Demand_Modeling_Week_level!$A40,Table1[BRAND],Demand_Modeling_Week_level!K$2)</f>
        <v>314916</v>
      </c>
      <c r="L40">
        <f>SUMIFS(Table1[Demand],Table1[Key_Year_week_DC],Demand_Modeling_Week_level!$A40)</f>
        <v>557898</v>
      </c>
      <c r="M40">
        <f t="shared" si="2"/>
        <v>854177.2</v>
      </c>
      <c r="N40">
        <f>VLOOKUP(A40,Capacity!B:G,6,FALSE)</f>
        <v>3150025.2</v>
      </c>
      <c r="O40" s="20">
        <f t="shared" si="3"/>
        <v>0.17710905931800164</v>
      </c>
      <c r="P40">
        <f t="shared" si="4"/>
        <v>0.27116519575779896</v>
      </c>
    </row>
    <row r="41" spans="1:16" hidden="1" x14ac:dyDescent="0.3">
      <c r="A41" t="str">
        <f t="shared" si="0"/>
        <v>201847-WEO</v>
      </c>
      <c r="B41">
        <f t="shared" si="1"/>
        <v>201847</v>
      </c>
      <c r="C41" t="s">
        <v>10</v>
      </c>
      <c r="D41">
        <v>2018</v>
      </c>
      <c r="E41">
        <v>47</v>
      </c>
      <c r="F41">
        <f>SUMIFS(Table1[Modeled_Demand],Table1[Key_Year_week_DC],Demand_Modeling_Week_level!$A41,Table1[BRAND],Demand_Modeling_Week_level!F$2)</f>
        <v>0</v>
      </c>
      <c r="G41">
        <f>SUMIFS(Table1[Modeled_Demand],Table1[Key_Year_week_DC],Demand_Modeling_Week_level!$A41,Table1[BRAND],Demand_Modeling_Week_level!G$2)</f>
        <v>0</v>
      </c>
      <c r="H41">
        <f>SUMIFS(Table1[Modeled_Demand],Table1[Key_Year_week_DC],Demand_Modeling_Week_level!$A41,Table1[BRAND],Demand_Modeling_Week_level!H$2)</f>
        <v>0</v>
      </c>
      <c r="I41">
        <f>SUMIFS(Table1[Modeled_Demand],Table1[Key_Year_week_DC],Demand_Modeling_Week_level!$A41,Table1[BRAND],Demand_Modeling_Week_level!I$2)</f>
        <v>283494.40000000002</v>
      </c>
      <c r="J41">
        <f>SUMIFS(Table1[Modeled_Demand],Table1[Key_Year_week_DC],Demand_Modeling_Week_level!$A41,Table1[BRAND],Demand_Modeling_Week_level!J$2)</f>
        <v>0</v>
      </c>
      <c r="K41">
        <f>SUMIFS(Table1[Modeled_Demand],Table1[Key_Year_week_DC],Demand_Modeling_Week_level!$A41,Table1[BRAND],Demand_Modeling_Week_level!K$2)</f>
        <v>125966.40000000001</v>
      </c>
      <c r="L41">
        <f>SUMIFS(Table1[Demand],Table1[Key_Year_week_DC],Demand_Modeling_Week_level!$A41)</f>
        <v>157957</v>
      </c>
      <c r="M41">
        <f t="shared" si="2"/>
        <v>409460.80000000005</v>
      </c>
      <c r="N41">
        <f>VLOOKUP(A41,Capacity!B:G,6,FALSE)</f>
        <v>1889981.1</v>
      </c>
      <c r="O41" s="20">
        <f t="shared" si="3"/>
        <v>8.3575968034812625E-2</v>
      </c>
      <c r="P41">
        <f t="shared" si="4"/>
        <v>0.21664809240685001</v>
      </c>
    </row>
    <row r="42" spans="1:16" hidden="1" x14ac:dyDescent="0.3">
      <c r="A42" t="str">
        <f t="shared" si="0"/>
        <v>201847-WFC</v>
      </c>
      <c r="B42">
        <f t="shared" si="1"/>
        <v>201847</v>
      </c>
      <c r="C42" t="s">
        <v>7</v>
      </c>
      <c r="D42">
        <v>2018</v>
      </c>
      <c r="E42">
        <v>47</v>
      </c>
      <c r="F42">
        <f>SUMIFS(Table1[Modeled_Demand],Table1[Key_Year_week_DC],Demand_Modeling_Week_level!$A42,Table1[BRAND],Demand_Modeling_Week_level!F$2)</f>
        <v>0</v>
      </c>
      <c r="G42">
        <f>SUMIFS(Table1[Modeled_Demand],Table1[Key_Year_week_DC],Demand_Modeling_Week_level!$A42,Table1[BRAND],Demand_Modeling_Week_level!G$2)</f>
        <v>0.7397632378521114</v>
      </c>
      <c r="H42">
        <f>SUMIFS(Table1[Modeled_Demand],Table1[Key_Year_week_DC],Demand_Modeling_Week_level!$A42,Table1[BRAND],Demand_Modeling_Week_level!H$2)</f>
        <v>0</v>
      </c>
      <c r="I42">
        <f>SUMIFS(Table1[Modeled_Demand],Table1[Key_Year_week_DC],Demand_Modeling_Week_level!$A42,Table1[BRAND],Demand_Modeling_Week_level!I$2)</f>
        <v>106310.39999999999</v>
      </c>
      <c r="J42">
        <f>SUMIFS(Table1[Modeled_Demand],Table1[Key_Year_week_DC],Demand_Modeling_Week_level!$A42,Table1[BRAND],Demand_Modeling_Week_level!J$2)</f>
        <v>0</v>
      </c>
      <c r="K42">
        <f>SUMIFS(Table1[Modeled_Demand],Table1[Key_Year_week_DC],Demand_Modeling_Week_level!$A42,Table1[BRAND],Demand_Modeling_Week_level!K$2)</f>
        <v>125966.40000000001</v>
      </c>
      <c r="L42">
        <f>SUMIFS(Table1[Demand],Table1[Key_Year_week_DC],Demand_Modeling_Week_level!$A42)</f>
        <v>237649</v>
      </c>
      <c r="M42">
        <f t="shared" si="2"/>
        <v>232277.53976323787</v>
      </c>
      <c r="N42">
        <f>VLOOKUP(A42,Capacity!B:G,6,FALSE)</f>
        <v>1102474.8</v>
      </c>
      <c r="O42" s="20">
        <f t="shared" si="3"/>
        <v>0.21555957560209085</v>
      </c>
      <c r="P42">
        <f t="shared" si="4"/>
        <v>0.21068739146077339</v>
      </c>
    </row>
    <row r="43" spans="1:16" hidden="1" x14ac:dyDescent="0.3">
      <c r="A43" t="str">
        <f t="shared" si="0"/>
        <v>201848-EAO</v>
      </c>
      <c r="B43">
        <f t="shared" si="1"/>
        <v>201848</v>
      </c>
      <c r="C43" t="s">
        <v>8</v>
      </c>
      <c r="D43">
        <v>2018</v>
      </c>
      <c r="E43">
        <v>48</v>
      </c>
      <c r="F43">
        <f>SUMIFS(Table1[Modeled_Demand],Table1[Key_Year_week_DC],Demand_Modeling_Week_level!$A43,Table1[BRAND],Demand_Modeling_Week_level!F$2)</f>
        <v>0</v>
      </c>
      <c r="G43">
        <f>SUMIFS(Table1[Modeled_Demand],Table1[Key_Year_week_DC],Demand_Modeling_Week_level!$A43,Table1[BRAND],Demand_Modeling_Week_level!G$2)</f>
        <v>0</v>
      </c>
      <c r="H43">
        <f>SUMIFS(Table1[Modeled_Demand],Table1[Key_Year_week_DC],Demand_Modeling_Week_level!$A43,Table1[BRAND],Demand_Modeling_Week_level!H$2)</f>
        <v>0</v>
      </c>
      <c r="I43">
        <f>SUMIFS(Table1[Modeled_Demand],Table1[Key_Year_week_DC],Demand_Modeling_Week_level!$A43,Table1[BRAND],Demand_Modeling_Week_level!I$2)</f>
        <v>0</v>
      </c>
      <c r="J43">
        <f>SUMIFS(Table1[Modeled_Demand],Table1[Key_Year_week_DC],Demand_Modeling_Week_level!$A43,Table1[BRAND],Demand_Modeling_Week_level!J$2)</f>
        <v>0</v>
      </c>
      <c r="K43">
        <f>SUMIFS(Table1[Modeled_Demand],Table1[Key_Year_week_DC],Demand_Modeling_Week_level!$A43,Table1[BRAND],Demand_Modeling_Week_level!K$2)</f>
        <v>0</v>
      </c>
      <c r="L43">
        <f>SUMIFS(Table1[Demand],Table1[Key_Year_week_DC],Demand_Modeling_Week_level!$A43)</f>
        <v>0</v>
      </c>
      <c r="M43">
        <f t="shared" si="2"/>
        <v>0</v>
      </c>
      <c r="N43">
        <f>VLOOKUP(A43,Capacity!B:G,6,FALSE)</f>
        <v>0</v>
      </c>
      <c r="O43" s="20">
        <f t="shared" si="3"/>
        <v>0</v>
      </c>
      <c r="P43">
        <f t="shared" si="4"/>
        <v>0</v>
      </c>
    </row>
    <row r="44" spans="1:16" hidden="1" x14ac:dyDescent="0.3">
      <c r="A44" t="str">
        <f t="shared" si="0"/>
        <v>201848-OCC</v>
      </c>
      <c r="B44">
        <f t="shared" si="1"/>
        <v>201848</v>
      </c>
      <c r="C44" t="s">
        <v>11</v>
      </c>
      <c r="D44">
        <v>2018</v>
      </c>
      <c r="E44">
        <v>48</v>
      </c>
      <c r="F44">
        <f>SUMIFS(Table1[Modeled_Demand],Table1[Key_Year_week_DC],Demand_Modeling_Week_level!$A44,Table1[BRAND],Demand_Modeling_Week_level!F$2)</f>
        <v>0</v>
      </c>
      <c r="G44">
        <f>SUMIFS(Table1[Modeled_Demand],Table1[Key_Year_week_DC],Demand_Modeling_Week_level!$A44,Table1[BRAND],Demand_Modeling_Week_level!G$2)</f>
        <v>0</v>
      </c>
      <c r="H44">
        <f>SUMIFS(Table1[Modeled_Demand],Table1[Key_Year_week_DC],Demand_Modeling_Week_level!$A44,Table1[BRAND],Demand_Modeling_Week_level!H$2)</f>
        <v>0</v>
      </c>
      <c r="I44">
        <f>SUMIFS(Table1[Modeled_Demand],Table1[Key_Year_week_DC],Demand_Modeling_Week_level!$A44,Table1[BRAND],Demand_Modeling_Week_level!I$2)</f>
        <v>0</v>
      </c>
      <c r="J44">
        <f>SUMIFS(Table1[Modeled_Demand],Table1[Key_Year_week_DC],Demand_Modeling_Week_level!$A44,Table1[BRAND],Demand_Modeling_Week_level!J$2)</f>
        <v>0</v>
      </c>
      <c r="K44">
        <f>SUMIFS(Table1[Modeled_Demand],Table1[Key_Year_week_DC],Demand_Modeling_Week_level!$A44,Table1[BRAND],Demand_Modeling_Week_level!K$2)</f>
        <v>0</v>
      </c>
      <c r="L44">
        <f>SUMIFS(Table1[Demand],Table1[Key_Year_week_DC],Demand_Modeling_Week_level!$A44)</f>
        <v>0</v>
      </c>
      <c r="M44">
        <f t="shared" si="2"/>
        <v>0</v>
      </c>
      <c r="N44">
        <f>VLOOKUP(A44,Capacity!B:G,6,FALSE)</f>
        <v>0</v>
      </c>
      <c r="O44" s="20">
        <f t="shared" si="3"/>
        <v>0</v>
      </c>
      <c r="P44">
        <f t="shared" si="4"/>
        <v>0</v>
      </c>
    </row>
    <row r="45" spans="1:16" hidden="1" x14ac:dyDescent="0.3">
      <c r="A45" t="str">
        <f t="shared" si="0"/>
        <v>201848-ODC</v>
      </c>
      <c r="B45">
        <f t="shared" si="1"/>
        <v>201848</v>
      </c>
      <c r="C45" t="s">
        <v>9</v>
      </c>
      <c r="D45">
        <v>2018</v>
      </c>
      <c r="E45">
        <v>48</v>
      </c>
      <c r="F45">
        <f>SUMIFS(Table1[Modeled_Demand],Table1[Key_Year_week_DC],Demand_Modeling_Week_level!$A45,Table1[BRAND],Demand_Modeling_Week_level!F$2)</f>
        <v>0</v>
      </c>
      <c r="G45">
        <f>SUMIFS(Table1[Modeled_Demand],Table1[Key_Year_week_DC],Demand_Modeling_Week_level!$A45,Table1[BRAND],Demand_Modeling_Week_level!G$2)</f>
        <v>0</v>
      </c>
      <c r="H45">
        <f>SUMIFS(Table1[Modeled_Demand],Table1[Key_Year_week_DC],Demand_Modeling_Week_level!$A45,Table1[BRAND],Demand_Modeling_Week_level!H$2)</f>
        <v>0</v>
      </c>
      <c r="I45">
        <f>SUMIFS(Table1[Modeled_Demand],Table1[Key_Year_week_DC],Demand_Modeling_Week_level!$A45,Table1[BRAND],Demand_Modeling_Week_level!I$2)</f>
        <v>0</v>
      </c>
      <c r="J45">
        <f>SUMIFS(Table1[Modeled_Demand],Table1[Key_Year_week_DC],Demand_Modeling_Week_level!$A45,Table1[BRAND],Demand_Modeling_Week_level!J$2)</f>
        <v>0</v>
      </c>
      <c r="K45">
        <f>SUMIFS(Table1[Modeled_Demand],Table1[Key_Year_week_DC],Demand_Modeling_Week_level!$A45,Table1[BRAND],Demand_Modeling_Week_level!K$2)</f>
        <v>0</v>
      </c>
      <c r="L45">
        <f>SUMIFS(Table1[Demand],Table1[Key_Year_week_DC],Demand_Modeling_Week_level!$A45)</f>
        <v>0</v>
      </c>
      <c r="M45">
        <f t="shared" si="2"/>
        <v>0</v>
      </c>
      <c r="N45" t="e">
        <f>VLOOKUP(A45,Capacity!B:G,6,FALSE)</f>
        <v>#N/A</v>
      </c>
      <c r="O45" s="20">
        <f t="shared" si="3"/>
        <v>0</v>
      </c>
      <c r="P45">
        <f t="shared" si="4"/>
        <v>0</v>
      </c>
    </row>
    <row r="46" spans="1:16" hidden="1" x14ac:dyDescent="0.3">
      <c r="A46" t="str">
        <f t="shared" si="0"/>
        <v>201848-OFC</v>
      </c>
      <c r="B46">
        <f t="shared" si="1"/>
        <v>201848</v>
      </c>
      <c r="C46" t="s">
        <v>5</v>
      </c>
      <c r="D46">
        <v>2018</v>
      </c>
      <c r="E46">
        <v>48</v>
      </c>
      <c r="F46">
        <f>SUMIFS(Table1[Modeled_Demand],Table1[Key_Year_week_DC],Demand_Modeling_Week_level!$A46,Table1[BRAND],Demand_Modeling_Week_level!F$2)</f>
        <v>0</v>
      </c>
      <c r="G46">
        <f>SUMIFS(Table1[Modeled_Demand],Table1[Key_Year_week_DC],Demand_Modeling_Week_level!$A46,Table1[BRAND],Demand_Modeling_Week_level!G$2)</f>
        <v>0</v>
      </c>
      <c r="H46">
        <f>SUMIFS(Table1[Modeled_Demand],Table1[Key_Year_week_DC],Demand_Modeling_Week_level!$A46,Table1[BRAND],Demand_Modeling_Week_level!H$2)</f>
        <v>0</v>
      </c>
      <c r="I46">
        <f>SUMIFS(Table1[Modeled_Demand],Table1[Key_Year_week_DC],Demand_Modeling_Week_level!$A46,Table1[BRAND],Demand_Modeling_Week_level!I$2)</f>
        <v>0</v>
      </c>
      <c r="J46">
        <f>SUMIFS(Table1[Modeled_Demand],Table1[Key_Year_week_DC],Demand_Modeling_Week_level!$A46,Table1[BRAND],Demand_Modeling_Week_level!J$2)</f>
        <v>0</v>
      </c>
      <c r="K46">
        <f>SUMIFS(Table1[Modeled_Demand],Table1[Key_Year_week_DC],Demand_Modeling_Week_level!$A46,Table1[BRAND],Demand_Modeling_Week_level!K$2)</f>
        <v>0</v>
      </c>
      <c r="L46">
        <f>SUMIFS(Table1[Demand],Table1[Key_Year_week_DC],Demand_Modeling_Week_level!$A46)</f>
        <v>0</v>
      </c>
      <c r="M46">
        <f t="shared" si="2"/>
        <v>0</v>
      </c>
      <c r="N46">
        <f>VLOOKUP(A46,Capacity!B:G,6,FALSE)</f>
        <v>0</v>
      </c>
      <c r="O46" s="20">
        <f t="shared" si="3"/>
        <v>0</v>
      </c>
      <c r="P46">
        <f t="shared" si="4"/>
        <v>0</v>
      </c>
    </row>
    <row r="47" spans="1:16" hidden="1" x14ac:dyDescent="0.3">
      <c r="A47" t="str">
        <f t="shared" si="0"/>
        <v>201848-SFS</v>
      </c>
      <c r="B47">
        <f t="shared" si="1"/>
        <v>201848</v>
      </c>
      <c r="C47" t="s">
        <v>12</v>
      </c>
      <c r="D47">
        <v>2018</v>
      </c>
      <c r="E47">
        <v>48</v>
      </c>
      <c r="F47">
        <f>SUMIFS(Table1[Modeled_Demand],Table1[Key_Year_week_DC],Demand_Modeling_Week_level!$A47,Table1[BRAND],Demand_Modeling_Week_level!F$2)</f>
        <v>0</v>
      </c>
      <c r="G47">
        <f>SUMIFS(Table1[Modeled_Demand],Table1[Key_Year_week_DC],Demand_Modeling_Week_level!$A47,Table1[BRAND],Demand_Modeling_Week_level!G$2)</f>
        <v>0</v>
      </c>
      <c r="H47">
        <f>SUMIFS(Table1[Modeled_Demand],Table1[Key_Year_week_DC],Demand_Modeling_Week_level!$A47,Table1[BRAND],Demand_Modeling_Week_level!H$2)</f>
        <v>0</v>
      </c>
      <c r="I47">
        <f>SUMIFS(Table1[Modeled_Demand],Table1[Key_Year_week_DC],Demand_Modeling_Week_level!$A47,Table1[BRAND],Demand_Modeling_Week_level!I$2)</f>
        <v>0</v>
      </c>
      <c r="J47">
        <f>SUMIFS(Table1[Modeled_Demand],Table1[Key_Year_week_DC],Demand_Modeling_Week_level!$A47,Table1[BRAND],Demand_Modeling_Week_level!J$2)</f>
        <v>0</v>
      </c>
      <c r="K47">
        <f>SUMIFS(Table1[Modeled_Demand],Table1[Key_Year_week_DC],Demand_Modeling_Week_level!$A47,Table1[BRAND],Demand_Modeling_Week_level!K$2)</f>
        <v>0</v>
      </c>
      <c r="L47">
        <f>SUMIFS(Table1[Demand],Table1[Key_Year_week_DC],Demand_Modeling_Week_level!$A47)</f>
        <v>0</v>
      </c>
      <c r="M47">
        <f t="shared" si="2"/>
        <v>0</v>
      </c>
      <c r="N47" t="e">
        <f>VLOOKUP(A47,Capacity!B:G,6,FALSE)</f>
        <v>#N/A</v>
      </c>
      <c r="O47" s="20">
        <f t="shared" si="3"/>
        <v>0</v>
      </c>
      <c r="P47">
        <f t="shared" si="4"/>
        <v>0</v>
      </c>
    </row>
    <row r="48" spans="1:16" hidden="1" x14ac:dyDescent="0.3">
      <c r="A48" t="str">
        <f t="shared" si="0"/>
        <v>201848-TFC</v>
      </c>
      <c r="B48">
        <f t="shared" si="1"/>
        <v>201848</v>
      </c>
      <c r="C48" t="s">
        <v>6</v>
      </c>
      <c r="D48">
        <v>2018</v>
      </c>
      <c r="E48">
        <v>48</v>
      </c>
      <c r="F48">
        <f>SUMIFS(Table1[Modeled_Demand],Table1[Key_Year_week_DC],Demand_Modeling_Week_level!$A48,Table1[BRAND],Demand_Modeling_Week_level!F$2)</f>
        <v>0</v>
      </c>
      <c r="G48">
        <f>SUMIFS(Table1[Modeled_Demand],Table1[Key_Year_week_DC],Demand_Modeling_Week_level!$A48,Table1[BRAND],Demand_Modeling_Week_level!G$2)</f>
        <v>0</v>
      </c>
      <c r="H48">
        <f>SUMIFS(Table1[Modeled_Demand],Table1[Key_Year_week_DC],Demand_Modeling_Week_level!$A48,Table1[BRAND],Demand_Modeling_Week_level!H$2)</f>
        <v>0</v>
      </c>
      <c r="I48">
        <f>SUMIFS(Table1[Modeled_Demand],Table1[Key_Year_week_DC],Demand_Modeling_Week_level!$A48,Table1[BRAND],Demand_Modeling_Week_level!I$2)</f>
        <v>0</v>
      </c>
      <c r="J48">
        <f>SUMIFS(Table1[Modeled_Demand],Table1[Key_Year_week_DC],Demand_Modeling_Week_level!$A48,Table1[BRAND],Demand_Modeling_Week_level!J$2)</f>
        <v>0</v>
      </c>
      <c r="K48">
        <f>SUMIFS(Table1[Modeled_Demand],Table1[Key_Year_week_DC],Demand_Modeling_Week_level!$A48,Table1[BRAND],Demand_Modeling_Week_level!K$2)</f>
        <v>0</v>
      </c>
      <c r="L48">
        <f>SUMIFS(Table1[Demand],Table1[Key_Year_week_DC],Demand_Modeling_Week_level!$A48)</f>
        <v>0</v>
      </c>
      <c r="M48">
        <f t="shared" si="2"/>
        <v>0</v>
      </c>
      <c r="N48">
        <f>VLOOKUP(A48,Capacity!B:G,6,FALSE)</f>
        <v>0</v>
      </c>
      <c r="O48" s="20">
        <f t="shared" si="3"/>
        <v>0</v>
      </c>
      <c r="P48">
        <f t="shared" si="4"/>
        <v>0</v>
      </c>
    </row>
    <row r="49" spans="1:16" hidden="1" x14ac:dyDescent="0.3">
      <c r="A49" t="str">
        <f t="shared" si="0"/>
        <v>201848-WEO</v>
      </c>
      <c r="B49">
        <f t="shared" si="1"/>
        <v>201848</v>
      </c>
      <c r="C49" t="s">
        <v>10</v>
      </c>
      <c r="D49">
        <v>2018</v>
      </c>
      <c r="E49">
        <v>48</v>
      </c>
      <c r="F49">
        <f>SUMIFS(Table1[Modeled_Demand],Table1[Key_Year_week_DC],Demand_Modeling_Week_level!$A49,Table1[BRAND],Demand_Modeling_Week_level!F$2)</f>
        <v>0</v>
      </c>
      <c r="G49">
        <f>SUMIFS(Table1[Modeled_Demand],Table1[Key_Year_week_DC],Demand_Modeling_Week_level!$A49,Table1[BRAND],Demand_Modeling_Week_level!G$2)</f>
        <v>0</v>
      </c>
      <c r="H49">
        <f>SUMIFS(Table1[Modeled_Demand],Table1[Key_Year_week_DC],Demand_Modeling_Week_level!$A49,Table1[BRAND],Demand_Modeling_Week_level!H$2)</f>
        <v>0</v>
      </c>
      <c r="I49">
        <f>SUMIFS(Table1[Modeled_Demand],Table1[Key_Year_week_DC],Demand_Modeling_Week_level!$A49,Table1[BRAND],Demand_Modeling_Week_level!I$2)</f>
        <v>0</v>
      </c>
      <c r="J49">
        <f>SUMIFS(Table1[Modeled_Demand],Table1[Key_Year_week_DC],Demand_Modeling_Week_level!$A49,Table1[BRAND],Demand_Modeling_Week_level!J$2)</f>
        <v>0</v>
      </c>
      <c r="K49">
        <f>SUMIFS(Table1[Modeled_Demand],Table1[Key_Year_week_DC],Demand_Modeling_Week_level!$A49,Table1[BRAND],Demand_Modeling_Week_level!K$2)</f>
        <v>0</v>
      </c>
      <c r="L49">
        <f>SUMIFS(Table1[Demand],Table1[Key_Year_week_DC],Demand_Modeling_Week_level!$A49)</f>
        <v>0</v>
      </c>
      <c r="M49">
        <f t="shared" si="2"/>
        <v>0</v>
      </c>
      <c r="N49">
        <f>VLOOKUP(A49,Capacity!B:G,6,FALSE)</f>
        <v>0</v>
      </c>
      <c r="O49" s="20">
        <f t="shared" si="3"/>
        <v>0</v>
      </c>
      <c r="P49">
        <f t="shared" si="4"/>
        <v>0</v>
      </c>
    </row>
    <row r="50" spans="1:16" hidden="1" x14ac:dyDescent="0.3">
      <c r="A50" t="str">
        <f t="shared" si="0"/>
        <v>201848-WFC</v>
      </c>
      <c r="B50">
        <f t="shared" si="1"/>
        <v>201848</v>
      </c>
      <c r="C50" t="s">
        <v>7</v>
      </c>
      <c r="D50">
        <v>2018</v>
      </c>
      <c r="E50">
        <v>48</v>
      </c>
      <c r="F50">
        <f>SUMIFS(Table1[Modeled_Demand],Table1[Key_Year_week_DC],Demand_Modeling_Week_level!$A50,Table1[BRAND],Demand_Modeling_Week_level!F$2)</f>
        <v>0</v>
      </c>
      <c r="G50">
        <f>SUMIFS(Table1[Modeled_Demand],Table1[Key_Year_week_DC],Demand_Modeling_Week_level!$A50,Table1[BRAND],Demand_Modeling_Week_level!G$2)</f>
        <v>0</v>
      </c>
      <c r="H50">
        <f>SUMIFS(Table1[Modeled_Demand],Table1[Key_Year_week_DC],Demand_Modeling_Week_level!$A50,Table1[BRAND],Demand_Modeling_Week_level!H$2)</f>
        <v>0</v>
      </c>
      <c r="I50">
        <f>SUMIFS(Table1[Modeled_Demand],Table1[Key_Year_week_DC],Demand_Modeling_Week_level!$A50,Table1[BRAND],Demand_Modeling_Week_level!I$2)</f>
        <v>0</v>
      </c>
      <c r="J50">
        <f>SUMIFS(Table1[Modeled_Demand],Table1[Key_Year_week_DC],Demand_Modeling_Week_level!$A50,Table1[BRAND],Demand_Modeling_Week_level!J$2)</f>
        <v>0</v>
      </c>
      <c r="K50">
        <f>SUMIFS(Table1[Modeled_Demand],Table1[Key_Year_week_DC],Demand_Modeling_Week_level!$A50,Table1[BRAND],Demand_Modeling_Week_level!K$2)</f>
        <v>0</v>
      </c>
      <c r="L50">
        <f>SUMIFS(Table1[Demand],Table1[Key_Year_week_DC],Demand_Modeling_Week_level!$A50)</f>
        <v>0</v>
      </c>
      <c r="M50">
        <f t="shared" si="2"/>
        <v>0</v>
      </c>
      <c r="N50">
        <f>VLOOKUP(A50,Capacity!B:G,6,FALSE)</f>
        <v>0</v>
      </c>
      <c r="O50" s="20">
        <f t="shared" si="3"/>
        <v>0</v>
      </c>
      <c r="P50">
        <f t="shared" si="4"/>
        <v>0</v>
      </c>
    </row>
    <row r="51" spans="1:16" hidden="1" x14ac:dyDescent="0.3">
      <c r="A51" t="str">
        <f t="shared" si="0"/>
        <v>201943-EAO</v>
      </c>
      <c r="B51">
        <f t="shared" si="1"/>
        <v>201943</v>
      </c>
      <c r="C51" t="s">
        <v>8</v>
      </c>
      <c r="D51">
        <v>2019</v>
      </c>
      <c r="E51">
        <v>43</v>
      </c>
      <c r="F51">
        <f>SUMIFS(Table1[Modeled_Demand],Table1[Key_Year_week_DC],Demand_Modeling_Week_level!$A51,Table1[BRAND],Demand_Modeling_Week_level!F$2)</f>
        <v>12.44990287368627</v>
      </c>
      <c r="G51">
        <f>SUMIFS(Table1[Modeled_Demand],Table1[Key_Year_week_DC],Demand_Modeling_Week_level!$A51,Table1[BRAND],Demand_Modeling_Week_level!G$2)</f>
        <v>24.382841347763634</v>
      </c>
      <c r="H51">
        <f>SUMIFS(Table1[Modeled_Demand],Table1[Key_Year_week_DC],Demand_Modeling_Week_level!$A51,Table1[BRAND],Demand_Modeling_Week_level!H$2)</f>
        <v>0</v>
      </c>
      <c r="I51">
        <f>SUMIFS(Table1[Modeled_Demand],Table1[Key_Year_week_DC],Demand_Modeling_Week_level!$A51,Table1[BRAND],Demand_Modeling_Week_level!I$2)</f>
        <v>0</v>
      </c>
      <c r="J51">
        <f>SUMIFS(Table1[Modeled_Demand],Table1[Key_Year_week_DC],Demand_Modeling_Week_level!$A51,Table1[BRAND],Demand_Modeling_Week_level!J$2)</f>
        <v>0</v>
      </c>
      <c r="K51">
        <f>SUMIFS(Table1[Modeled_Demand],Table1[Key_Year_week_DC],Demand_Modeling_Week_level!$A51,Table1[BRAND],Demand_Modeling_Week_level!K$2)</f>
        <v>2988506.4</v>
      </c>
      <c r="L51">
        <f>SUMIFS(Table1[Demand],Table1[Key_Year_week_DC],Demand_Modeling_Week_level!$A51)</f>
        <v>2427674</v>
      </c>
      <c r="M51">
        <f t="shared" si="2"/>
        <v>2988543.2327442216</v>
      </c>
      <c r="N51">
        <f>VLOOKUP(A51,Capacity!B:G,6,FALSE)</f>
        <v>2850022.8</v>
      </c>
      <c r="O51" s="20">
        <f t="shared" si="3"/>
        <v>0.85180862412749825</v>
      </c>
      <c r="P51">
        <f t="shared" si="4"/>
        <v>1.0486032717858333</v>
      </c>
    </row>
    <row r="52" spans="1:16" hidden="1" x14ac:dyDescent="0.3">
      <c r="A52" t="str">
        <f t="shared" si="0"/>
        <v>201943-OCC</v>
      </c>
      <c r="B52">
        <f t="shared" si="1"/>
        <v>201943</v>
      </c>
      <c r="C52" t="s">
        <v>11</v>
      </c>
      <c r="D52">
        <v>2019</v>
      </c>
      <c r="E52">
        <v>43</v>
      </c>
      <c r="F52">
        <f>SUMIFS(Table1[Modeled_Demand],Table1[Key_Year_week_DC],Demand_Modeling_Week_level!$A52,Table1[BRAND],Demand_Modeling_Week_level!F$2)</f>
        <v>0</v>
      </c>
      <c r="G52">
        <f>SUMIFS(Table1[Modeled_Demand],Table1[Key_Year_week_DC],Demand_Modeling_Week_level!$A52,Table1[BRAND],Demand_Modeling_Week_level!G$2)</f>
        <v>0</v>
      </c>
      <c r="H52">
        <f>SUMIFS(Table1[Modeled_Demand],Table1[Key_Year_week_DC],Demand_Modeling_Week_level!$A52,Table1[BRAND],Demand_Modeling_Week_level!H$2)</f>
        <v>0</v>
      </c>
      <c r="I52">
        <f>SUMIFS(Table1[Modeled_Demand],Table1[Key_Year_week_DC],Demand_Modeling_Week_level!$A52,Table1[BRAND],Demand_Modeling_Week_level!I$2)</f>
        <v>0</v>
      </c>
      <c r="J52">
        <f>SUMIFS(Table1[Modeled_Demand],Table1[Key_Year_week_DC],Demand_Modeling_Week_level!$A52,Table1[BRAND],Demand_Modeling_Week_level!J$2)</f>
        <v>0</v>
      </c>
      <c r="K52">
        <f>SUMIFS(Table1[Modeled_Demand],Table1[Key_Year_week_DC],Demand_Modeling_Week_level!$A52,Table1[BRAND],Demand_Modeling_Week_level!K$2)</f>
        <v>0</v>
      </c>
      <c r="L52">
        <f>SUMIFS(Table1[Demand],Table1[Key_Year_week_DC],Demand_Modeling_Week_level!$A52)</f>
        <v>0</v>
      </c>
      <c r="M52">
        <f t="shared" si="2"/>
        <v>0</v>
      </c>
      <c r="N52">
        <f>VLOOKUP(A52,Capacity!B:G,6,FALSE)</f>
        <v>0</v>
      </c>
      <c r="O52" s="20">
        <f t="shared" si="3"/>
        <v>0</v>
      </c>
      <c r="P52">
        <f t="shared" si="4"/>
        <v>0</v>
      </c>
    </row>
    <row r="53" spans="1:16" hidden="1" x14ac:dyDescent="0.3">
      <c r="A53" t="str">
        <f t="shared" si="0"/>
        <v>201943-ODC</v>
      </c>
      <c r="B53">
        <f t="shared" si="1"/>
        <v>201943</v>
      </c>
      <c r="C53" t="s">
        <v>9</v>
      </c>
      <c r="D53">
        <v>2019</v>
      </c>
      <c r="E53">
        <v>43</v>
      </c>
      <c r="F53">
        <f>SUMIFS(Table1[Modeled_Demand],Table1[Key_Year_week_DC],Demand_Modeling_Week_level!$A53,Table1[BRAND],Demand_Modeling_Week_level!F$2)</f>
        <v>0</v>
      </c>
      <c r="G53">
        <f>SUMIFS(Table1[Modeled_Demand],Table1[Key_Year_week_DC],Demand_Modeling_Week_level!$A53,Table1[BRAND],Demand_Modeling_Week_level!G$2)</f>
        <v>0</v>
      </c>
      <c r="H53">
        <f>SUMIFS(Table1[Modeled_Demand],Table1[Key_Year_week_DC],Demand_Modeling_Week_level!$A53,Table1[BRAND],Demand_Modeling_Week_level!H$2)</f>
        <v>0</v>
      </c>
      <c r="I53">
        <f>SUMIFS(Table1[Modeled_Demand],Table1[Key_Year_week_DC],Demand_Modeling_Week_level!$A53,Table1[BRAND],Demand_Modeling_Week_level!I$2)</f>
        <v>0</v>
      </c>
      <c r="J53">
        <f>SUMIFS(Table1[Modeled_Demand],Table1[Key_Year_week_DC],Demand_Modeling_Week_level!$A53,Table1[BRAND],Demand_Modeling_Week_level!J$2)</f>
        <v>0</v>
      </c>
      <c r="K53">
        <f>SUMIFS(Table1[Modeled_Demand],Table1[Key_Year_week_DC],Demand_Modeling_Week_level!$A53,Table1[BRAND],Demand_Modeling_Week_level!K$2)</f>
        <v>0</v>
      </c>
      <c r="L53">
        <f>SUMIFS(Table1[Demand],Table1[Key_Year_week_DC],Demand_Modeling_Week_level!$A53)</f>
        <v>0</v>
      </c>
      <c r="M53">
        <f t="shared" si="2"/>
        <v>0</v>
      </c>
      <c r="N53" t="e">
        <f>VLOOKUP(A53,Capacity!B:G,6,FALSE)</f>
        <v>#N/A</v>
      </c>
      <c r="O53" s="20">
        <f t="shared" si="3"/>
        <v>0</v>
      </c>
      <c r="P53">
        <f t="shared" si="4"/>
        <v>0</v>
      </c>
    </row>
    <row r="54" spans="1:16" hidden="1" x14ac:dyDescent="0.3">
      <c r="A54" t="str">
        <f t="shared" si="0"/>
        <v>201943-OFC</v>
      </c>
      <c r="B54">
        <f t="shared" si="1"/>
        <v>201943</v>
      </c>
      <c r="C54" t="s">
        <v>5</v>
      </c>
      <c r="D54">
        <v>2019</v>
      </c>
      <c r="E54">
        <v>43</v>
      </c>
      <c r="F54">
        <f>SUMIFS(Table1[Modeled_Demand],Table1[Key_Year_week_DC],Demand_Modeling_Week_level!$A54,Table1[BRAND],Demand_Modeling_Week_level!F$2)</f>
        <v>0</v>
      </c>
      <c r="G54">
        <f>SUMIFS(Table1[Modeled_Demand],Table1[Key_Year_week_DC],Demand_Modeling_Week_level!$A54,Table1[BRAND],Demand_Modeling_Week_level!G$2)</f>
        <v>0</v>
      </c>
      <c r="H54">
        <f>SUMIFS(Table1[Modeled_Demand],Table1[Key_Year_week_DC],Demand_Modeling_Week_level!$A54,Table1[BRAND],Demand_Modeling_Week_level!H$2)</f>
        <v>410510</v>
      </c>
      <c r="I54">
        <f>SUMIFS(Table1[Modeled_Demand],Table1[Key_Year_week_DC],Demand_Modeling_Week_level!$A54,Table1[BRAND],Demand_Modeling_Week_level!I$2)</f>
        <v>979684.75</v>
      </c>
      <c r="J54">
        <f>SUMIFS(Table1[Modeled_Demand],Table1[Key_Year_week_DC],Demand_Modeling_Week_level!$A54,Table1[BRAND],Demand_Modeling_Week_level!J$2)</f>
        <v>994226</v>
      </c>
      <c r="K54">
        <f>SUMIFS(Table1[Modeled_Demand],Table1[Key_Year_week_DC],Demand_Modeling_Week_level!$A54,Table1[BRAND],Demand_Modeling_Week_level!K$2)</f>
        <v>1093356</v>
      </c>
      <c r="L54">
        <f>SUMIFS(Table1[Demand],Table1[Key_Year_week_DC],Demand_Modeling_Week_level!$A54)</f>
        <v>6007101</v>
      </c>
      <c r="M54">
        <f t="shared" si="2"/>
        <v>3477776.75</v>
      </c>
      <c r="N54">
        <f>VLOOKUP(A54,Capacity!B:G,6,FALSE)</f>
        <v>2992482.9</v>
      </c>
      <c r="O54" s="20">
        <f t="shared" si="3"/>
        <v>2.0073969344987734</v>
      </c>
      <c r="P54">
        <f t="shared" si="4"/>
        <v>1.1621709684623427</v>
      </c>
    </row>
    <row r="55" spans="1:16" hidden="1" x14ac:dyDescent="0.3">
      <c r="A55" t="str">
        <f t="shared" si="0"/>
        <v>201943-SFS</v>
      </c>
      <c r="B55">
        <f t="shared" si="1"/>
        <v>201943</v>
      </c>
      <c r="C55" t="s">
        <v>12</v>
      </c>
      <c r="D55">
        <v>2019</v>
      </c>
      <c r="E55">
        <v>43</v>
      </c>
      <c r="F55">
        <f>SUMIFS(Table1[Modeled_Demand],Table1[Key_Year_week_DC],Demand_Modeling_Week_level!$A55,Table1[BRAND],Demand_Modeling_Week_level!F$2)</f>
        <v>0</v>
      </c>
      <c r="G55">
        <f>SUMIFS(Table1[Modeled_Demand],Table1[Key_Year_week_DC],Demand_Modeling_Week_level!$A55,Table1[BRAND],Demand_Modeling_Week_level!G$2)</f>
        <v>0</v>
      </c>
      <c r="H55">
        <f>SUMIFS(Table1[Modeled_Demand],Table1[Key_Year_week_DC],Demand_Modeling_Week_level!$A55,Table1[BRAND],Demand_Modeling_Week_level!H$2)</f>
        <v>0</v>
      </c>
      <c r="I55">
        <f>SUMIFS(Table1[Modeled_Demand],Table1[Key_Year_week_DC],Demand_Modeling_Week_level!$A55,Table1[BRAND],Demand_Modeling_Week_level!I$2)</f>
        <v>0</v>
      </c>
      <c r="J55">
        <f>SUMIFS(Table1[Modeled_Demand],Table1[Key_Year_week_DC],Demand_Modeling_Week_level!$A55,Table1[BRAND],Demand_Modeling_Week_level!J$2)</f>
        <v>0</v>
      </c>
      <c r="K55">
        <f>SUMIFS(Table1[Modeled_Demand],Table1[Key_Year_week_DC],Demand_Modeling_Week_level!$A55,Table1[BRAND],Demand_Modeling_Week_level!K$2)</f>
        <v>0</v>
      </c>
      <c r="L55">
        <f>SUMIFS(Table1[Demand],Table1[Key_Year_week_DC],Demand_Modeling_Week_level!$A55)</f>
        <v>0</v>
      </c>
      <c r="M55">
        <f t="shared" si="2"/>
        <v>0</v>
      </c>
      <c r="N55" t="e">
        <f>VLOOKUP(A55,Capacity!B:G,6,FALSE)</f>
        <v>#N/A</v>
      </c>
      <c r="O55" s="20">
        <f t="shared" si="3"/>
        <v>0</v>
      </c>
      <c r="P55">
        <f t="shared" si="4"/>
        <v>0</v>
      </c>
    </row>
    <row r="56" spans="1:16" hidden="1" x14ac:dyDescent="0.3">
      <c r="A56" t="str">
        <f t="shared" si="0"/>
        <v>201943-TFC</v>
      </c>
      <c r="B56">
        <f t="shared" si="1"/>
        <v>201943</v>
      </c>
      <c r="C56" t="s">
        <v>6</v>
      </c>
      <c r="D56">
        <v>2019</v>
      </c>
      <c r="E56">
        <v>43</v>
      </c>
      <c r="F56">
        <f>SUMIFS(Table1[Modeled_Demand],Table1[Key_Year_week_DC],Demand_Modeling_Week_level!$A56,Table1[BRAND],Demand_Modeling_Week_level!F$2)</f>
        <v>361168</v>
      </c>
      <c r="G56">
        <f>SUMIFS(Table1[Modeled_Demand],Table1[Key_Year_week_DC],Demand_Modeling_Week_level!$A56,Table1[BRAND],Demand_Modeling_Week_level!G$2)</f>
        <v>575882</v>
      </c>
      <c r="H56">
        <f>SUMIFS(Table1[Modeled_Demand],Table1[Key_Year_week_DC],Demand_Modeling_Week_level!$A56,Table1[BRAND],Demand_Modeling_Week_level!H$2)</f>
        <v>0</v>
      </c>
      <c r="I56">
        <f>SUMIFS(Table1[Modeled_Demand],Table1[Key_Year_week_DC],Demand_Modeling_Week_level!$A56,Table1[BRAND],Demand_Modeling_Week_level!I$2)</f>
        <v>783747.8</v>
      </c>
      <c r="J56">
        <f>SUMIFS(Table1[Modeled_Demand],Table1[Key_Year_week_DC],Demand_Modeling_Week_level!$A56,Table1[BRAND],Demand_Modeling_Week_level!J$2)</f>
        <v>0</v>
      </c>
      <c r="K56">
        <f>SUMIFS(Table1[Modeled_Demand],Table1[Key_Year_week_DC],Demand_Modeling_Week_level!$A56,Table1[BRAND],Demand_Modeling_Week_level!K$2)</f>
        <v>1457808</v>
      </c>
      <c r="L56">
        <f>SUMIFS(Table1[Demand],Table1[Key_Year_week_DC],Demand_Modeling_Week_level!$A56)</f>
        <v>2235183</v>
      </c>
      <c r="M56">
        <f t="shared" si="2"/>
        <v>3178605.8</v>
      </c>
      <c r="N56">
        <f>VLOOKUP(A56,Capacity!B:G,6,FALSE)</f>
        <v>2850022.8</v>
      </c>
      <c r="O56" s="20">
        <f t="shared" si="3"/>
        <v>0.78426846269440376</v>
      </c>
      <c r="P56">
        <f t="shared" si="4"/>
        <v>1.1152913583708874</v>
      </c>
    </row>
    <row r="57" spans="1:16" hidden="1" x14ac:dyDescent="0.3">
      <c r="A57" t="str">
        <f t="shared" si="0"/>
        <v>201943-WEO</v>
      </c>
      <c r="B57">
        <f t="shared" si="1"/>
        <v>201943</v>
      </c>
      <c r="C57" t="s">
        <v>10</v>
      </c>
      <c r="D57">
        <v>2019</v>
      </c>
      <c r="E57">
        <v>43</v>
      </c>
      <c r="F57">
        <f>SUMIFS(Table1[Modeled_Demand],Table1[Key_Year_week_DC],Demand_Modeling_Week_level!$A57,Table1[BRAND],Demand_Modeling_Week_level!F$2)</f>
        <v>0</v>
      </c>
      <c r="G57">
        <f>SUMIFS(Table1[Modeled_Demand],Table1[Key_Year_week_DC],Demand_Modeling_Week_level!$A57,Table1[BRAND],Demand_Modeling_Week_level!G$2)</f>
        <v>0</v>
      </c>
      <c r="H57">
        <f>SUMIFS(Table1[Modeled_Demand],Table1[Key_Year_week_DC],Demand_Modeling_Week_level!$A57,Table1[BRAND],Demand_Modeling_Week_level!H$2)</f>
        <v>0</v>
      </c>
      <c r="I57">
        <f>SUMIFS(Table1[Modeled_Demand],Table1[Key_Year_week_DC],Demand_Modeling_Week_level!$A57,Table1[BRAND],Demand_Modeling_Week_level!I$2)</f>
        <v>1567495.6</v>
      </c>
      <c r="J57">
        <f>SUMIFS(Table1[Modeled_Demand],Table1[Key_Year_week_DC],Demand_Modeling_Week_level!$A57,Table1[BRAND],Demand_Modeling_Week_level!J$2)</f>
        <v>0</v>
      </c>
      <c r="K57">
        <f>SUMIFS(Table1[Modeled_Demand],Table1[Key_Year_week_DC],Demand_Modeling_Week_level!$A57,Table1[BRAND],Demand_Modeling_Week_level!K$2)</f>
        <v>1603588.8</v>
      </c>
      <c r="L57">
        <f>SUMIFS(Table1[Demand],Table1[Key_Year_week_DC],Demand_Modeling_Week_level!$A57)</f>
        <v>1301723</v>
      </c>
      <c r="M57">
        <f t="shared" si="2"/>
        <v>3171084.4000000004</v>
      </c>
      <c r="N57">
        <f>VLOOKUP(A57,Capacity!B:G,6,FALSE)</f>
        <v>2850022.8</v>
      </c>
      <c r="O57" s="20">
        <f t="shared" si="3"/>
        <v>0.456741258350635</v>
      </c>
      <c r="P57">
        <f t="shared" si="4"/>
        <v>1.1126522917641222</v>
      </c>
    </row>
    <row r="58" spans="1:16" hidden="1" x14ac:dyDescent="0.3">
      <c r="A58" t="str">
        <f t="shared" si="0"/>
        <v>201943-WFC</v>
      </c>
      <c r="B58">
        <f t="shared" si="1"/>
        <v>201943</v>
      </c>
      <c r="C58" t="s">
        <v>7</v>
      </c>
      <c r="D58">
        <v>2019</v>
      </c>
      <c r="E58">
        <v>43</v>
      </c>
      <c r="F58">
        <f>SUMIFS(Table1[Modeled_Demand],Table1[Key_Year_week_DC],Demand_Modeling_Week_level!$A58,Table1[BRAND],Demand_Modeling_Week_level!F$2)</f>
        <v>0</v>
      </c>
      <c r="G58">
        <f>SUMIFS(Table1[Modeled_Demand],Table1[Key_Year_week_DC],Demand_Modeling_Week_level!$A58,Table1[BRAND],Demand_Modeling_Week_level!G$2)</f>
        <v>2.0132621296318596</v>
      </c>
      <c r="H58">
        <f>SUMIFS(Table1[Modeled_Demand],Table1[Key_Year_week_DC],Demand_Modeling_Week_level!$A58,Table1[BRAND],Demand_Modeling_Week_level!H$2)</f>
        <v>0</v>
      </c>
      <c r="I58">
        <f>SUMIFS(Table1[Modeled_Demand],Table1[Key_Year_week_DC],Demand_Modeling_Week_level!$A58,Table1[BRAND],Demand_Modeling_Week_level!I$2)</f>
        <v>587810.85</v>
      </c>
      <c r="J58">
        <f>SUMIFS(Table1[Modeled_Demand],Table1[Key_Year_week_DC],Demand_Modeling_Week_level!$A58,Table1[BRAND],Demand_Modeling_Week_level!J$2)</f>
        <v>0</v>
      </c>
      <c r="K58">
        <f>SUMIFS(Table1[Modeled_Demand],Table1[Key_Year_week_DC],Demand_Modeling_Week_level!$A58,Table1[BRAND],Demand_Modeling_Week_level!K$2)</f>
        <v>145780.80000000002</v>
      </c>
      <c r="L58">
        <f>SUMIFS(Table1[Demand],Table1[Key_Year_week_DC],Demand_Modeling_Week_level!$A58)</f>
        <v>1577884</v>
      </c>
      <c r="M58">
        <f t="shared" si="2"/>
        <v>733593.66326212964</v>
      </c>
      <c r="N58">
        <f>VLOOKUP(A58,Capacity!B:G,6,FALSE)</f>
        <v>683982.9</v>
      </c>
      <c r="O58" s="20">
        <f t="shared" si="3"/>
        <v>2.3069056258570204</v>
      </c>
      <c r="P58">
        <f t="shared" si="4"/>
        <v>1.0725321689506122</v>
      </c>
    </row>
    <row r="59" spans="1:16" hidden="1" x14ac:dyDescent="0.3">
      <c r="A59" t="str">
        <f t="shared" si="0"/>
        <v>201944-EAO</v>
      </c>
      <c r="B59">
        <f t="shared" si="1"/>
        <v>201944</v>
      </c>
      <c r="C59" t="s">
        <v>8</v>
      </c>
      <c r="D59">
        <v>2019</v>
      </c>
      <c r="E59">
        <v>44</v>
      </c>
      <c r="F59">
        <f>SUMIFS(Table1[Modeled_Demand],Table1[Key_Year_week_DC],Demand_Modeling_Week_level!$A59,Table1[BRAND],Demand_Modeling_Week_level!F$2)</f>
        <v>9.8313308465501343</v>
      </c>
      <c r="G59">
        <f>SUMIFS(Table1[Modeled_Demand],Table1[Key_Year_week_DC],Demand_Modeling_Week_level!$A59,Table1[BRAND],Demand_Modeling_Week_level!G$2)</f>
        <v>19.099783716426131</v>
      </c>
      <c r="H59">
        <f>SUMIFS(Table1[Modeled_Demand],Table1[Key_Year_week_DC],Demand_Modeling_Week_level!$A59,Table1[BRAND],Demand_Modeling_Week_level!H$2)</f>
        <v>0</v>
      </c>
      <c r="I59">
        <f>SUMIFS(Table1[Modeled_Demand],Table1[Key_Year_week_DC],Demand_Modeling_Week_level!$A59,Table1[BRAND],Demand_Modeling_Week_level!I$2)</f>
        <v>0</v>
      </c>
      <c r="J59">
        <f>SUMIFS(Table1[Modeled_Demand],Table1[Key_Year_week_DC],Demand_Modeling_Week_level!$A59,Table1[BRAND],Demand_Modeling_Week_level!J$2)</f>
        <v>0</v>
      </c>
      <c r="K59">
        <f>SUMIFS(Table1[Modeled_Demand],Table1[Key_Year_week_DC],Demand_Modeling_Week_level!$A59,Table1[BRAND],Demand_Modeling_Week_level!K$2)</f>
        <v>2388458.69</v>
      </c>
      <c r="L59">
        <f>SUMIFS(Table1[Demand],Table1[Key_Year_week_DC],Demand_Modeling_Week_level!$A59)</f>
        <v>2211261</v>
      </c>
      <c r="M59">
        <f t="shared" si="2"/>
        <v>2388487.6211145627</v>
      </c>
      <c r="N59">
        <f>VLOOKUP(A59,Capacity!B:G,6,FALSE)</f>
        <v>3150025.2</v>
      </c>
      <c r="O59" s="20">
        <f t="shared" si="3"/>
        <v>0.70198200319159343</v>
      </c>
      <c r="P59">
        <f t="shared" si="4"/>
        <v>0.75824397249728748</v>
      </c>
    </row>
    <row r="60" spans="1:16" hidden="1" x14ac:dyDescent="0.3">
      <c r="A60" t="str">
        <f t="shared" si="0"/>
        <v>201944-OCC</v>
      </c>
      <c r="B60">
        <f t="shared" si="1"/>
        <v>201944</v>
      </c>
      <c r="C60" t="s">
        <v>11</v>
      </c>
      <c r="D60">
        <v>2019</v>
      </c>
      <c r="E60">
        <v>44</v>
      </c>
      <c r="F60">
        <f>SUMIFS(Table1[Modeled_Demand],Table1[Key_Year_week_DC],Demand_Modeling_Week_level!$A60,Table1[BRAND],Demand_Modeling_Week_level!F$2)</f>
        <v>0</v>
      </c>
      <c r="G60">
        <f>SUMIFS(Table1[Modeled_Demand],Table1[Key_Year_week_DC],Demand_Modeling_Week_level!$A60,Table1[BRAND],Demand_Modeling_Week_level!G$2)</f>
        <v>0</v>
      </c>
      <c r="H60">
        <f>SUMIFS(Table1[Modeled_Demand],Table1[Key_Year_week_DC],Demand_Modeling_Week_level!$A60,Table1[BRAND],Demand_Modeling_Week_level!H$2)</f>
        <v>0</v>
      </c>
      <c r="I60">
        <f>SUMIFS(Table1[Modeled_Demand],Table1[Key_Year_week_DC],Demand_Modeling_Week_level!$A60,Table1[BRAND],Demand_Modeling_Week_level!I$2)</f>
        <v>0</v>
      </c>
      <c r="J60">
        <f>SUMIFS(Table1[Modeled_Demand],Table1[Key_Year_week_DC],Demand_Modeling_Week_level!$A60,Table1[BRAND],Demand_Modeling_Week_level!J$2)</f>
        <v>0</v>
      </c>
      <c r="K60">
        <f>SUMIFS(Table1[Modeled_Demand],Table1[Key_Year_week_DC],Demand_Modeling_Week_level!$A60,Table1[BRAND],Demand_Modeling_Week_level!K$2)</f>
        <v>0</v>
      </c>
      <c r="L60">
        <f>SUMIFS(Table1[Demand],Table1[Key_Year_week_DC],Demand_Modeling_Week_level!$A60)</f>
        <v>0</v>
      </c>
      <c r="M60">
        <f t="shared" si="2"/>
        <v>0</v>
      </c>
      <c r="N60">
        <f>VLOOKUP(A60,Capacity!B:G,6,FALSE)</f>
        <v>0</v>
      </c>
      <c r="O60" s="20">
        <f t="shared" si="3"/>
        <v>0</v>
      </c>
      <c r="P60">
        <f t="shared" si="4"/>
        <v>0</v>
      </c>
    </row>
    <row r="61" spans="1:16" hidden="1" x14ac:dyDescent="0.3">
      <c r="A61" t="str">
        <f t="shared" si="0"/>
        <v>201944-ODC</v>
      </c>
      <c r="B61">
        <f t="shared" si="1"/>
        <v>201944</v>
      </c>
      <c r="C61" t="s">
        <v>9</v>
      </c>
      <c r="D61">
        <v>2019</v>
      </c>
      <c r="E61">
        <v>44</v>
      </c>
      <c r="F61">
        <f>SUMIFS(Table1[Modeled_Demand],Table1[Key_Year_week_DC],Demand_Modeling_Week_level!$A61,Table1[BRAND],Demand_Modeling_Week_level!F$2)</f>
        <v>0</v>
      </c>
      <c r="G61">
        <f>SUMIFS(Table1[Modeled_Demand],Table1[Key_Year_week_DC],Demand_Modeling_Week_level!$A61,Table1[BRAND],Demand_Modeling_Week_level!G$2)</f>
        <v>0</v>
      </c>
      <c r="H61">
        <f>SUMIFS(Table1[Modeled_Demand],Table1[Key_Year_week_DC],Demand_Modeling_Week_level!$A61,Table1[BRAND],Demand_Modeling_Week_level!H$2)</f>
        <v>0</v>
      </c>
      <c r="I61">
        <f>SUMIFS(Table1[Modeled_Demand],Table1[Key_Year_week_DC],Demand_Modeling_Week_level!$A61,Table1[BRAND],Demand_Modeling_Week_level!I$2)</f>
        <v>0</v>
      </c>
      <c r="J61">
        <f>SUMIFS(Table1[Modeled_Demand],Table1[Key_Year_week_DC],Demand_Modeling_Week_level!$A61,Table1[BRAND],Demand_Modeling_Week_level!J$2)</f>
        <v>0</v>
      </c>
      <c r="K61">
        <f>SUMIFS(Table1[Modeled_Demand],Table1[Key_Year_week_DC],Demand_Modeling_Week_level!$A61,Table1[BRAND],Demand_Modeling_Week_level!K$2)</f>
        <v>0</v>
      </c>
      <c r="L61">
        <f>SUMIFS(Table1[Demand],Table1[Key_Year_week_DC],Demand_Modeling_Week_level!$A61)</f>
        <v>0</v>
      </c>
      <c r="M61">
        <f t="shared" si="2"/>
        <v>0</v>
      </c>
      <c r="N61" t="e">
        <f>VLOOKUP(A61,Capacity!B:G,6,FALSE)</f>
        <v>#N/A</v>
      </c>
      <c r="O61" s="20">
        <f t="shared" si="3"/>
        <v>0</v>
      </c>
      <c r="P61">
        <f t="shared" si="4"/>
        <v>0</v>
      </c>
    </row>
    <row r="62" spans="1:16" hidden="1" x14ac:dyDescent="0.3">
      <c r="A62" t="str">
        <f t="shared" si="0"/>
        <v>201944-OFC</v>
      </c>
      <c r="B62">
        <f t="shared" si="1"/>
        <v>201944</v>
      </c>
      <c r="C62" t="s">
        <v>5</v>
      </c>
      <c r="D62">
        <v>2019</v>
      </c>
      <c r="E62">
        <v>44</v>
      </c>
      <c r="F62">
        <f>SUMIFS(Table1[Modeled_Demand],Table1[Key_Year_week_DC],Demand_Modeling_Week_level!$A62,Table1[BRAND],Demand_Modeling_Week_level!F$2)</f>
        <v>0</v>
      </c>
      <c r="G62">
        <f>SUMIFS(Table1[Modeled_Demand],Table1[Key_Year_week_DC],Demand_Modeling_Week_level!$A62,Table1[BRAND],Demand_Modeling_Week_level!G$2)</f>
        <v>0</v>
      </c>
      <c r="H62">
        <f>SUMIFS(Table1[Modeled_Demand],Table1[Key_Year_week_DC],Demand_Modeling_Week_level!$A62,Table1[BRAND],Demand_Modeling_Week_level!H$2)</f>
        <v>258161</v>
      </c>
      <c r="I62">
        <f>SUMIFS(Table1[Modeled_Demand],Table1[Key_Year_week_DC],Demand_Modeling_Week_level!$A62,Table1[BRAND],Demand_Modeling_Week_level!I$2)</f>
        <v>650450.75</v>
      </c>
      <c r="J62">
        <f>SUMIFS(Table1[Modeled_Demand],Table1[Key_Year_week_DC],Demand_Modeling_Week_level!$A62,Table1[BRAND],Demand_Modeling_Week_level!J$2)</f>
        <v>711103</v>
      </c>
      <c r="K62">
        <f>SUMIFS(Table1[Modeled_Demand],Table1[Key_Year_week_DC],Demand_Modeling_Week_level!$A62,Table1[BRAND],Demand_Modeling_Week_level!K$2)</f>
        <v>873826.35</v>
      </c>
      <c r="L62">
        <f>SUMIFS(Table1[Demand],Table1[Key_Year_week_DC],Demand_Modeling_Week_level!$A62)</f>
        <v>4425284</v>
      </c>
      <c r="M62">
        <f t="shared" si="2"/>
        <v>2493541.1</v>
      </c>
      <c r="N62">
        <f>VLOOKUP(A62,Capacity!B:G,6,FALSE)</f>
        <v>3307481.1</v>
      </c>
      <c r="O62" s="20">
        <f t="shared" si="3"/>
        <v>1.337961991680013</v>
      </c>
      <c r="P62">
        <f t="shared" si="4"/>
        <v>0.75390940253596617</v>
      </c>
    </row>
    <row r="63" spans="1:16" hidden="1" x14ac:dyDescent="0.3">
      <c r="A63" t="str">
        <f t="shared" si="0"/>
        <v>201944-SFS</v>
      </c>
      <c r="B63">
        <f t="shared" si="1"/>
        <v>201944</v>
      </c>
      <c r="C63" t="s">
        <v>12</v>
      </c>
      <c r="D63">
        <v>2019</v>
      </c>
      <c r="E63">
        <v>44</v>
      </c>
      <c r="F63">
        <f>SUMIFS(Table1[Modeled_Demand],Table1[Key_Year_week_DC],Demand_Modeling_Week_level!$A63,Table1[BRAND],Demand_Modeling_Week_level!F$2)</f>
        <v>0</v>
      </c>
      <c r="G63">
        <f>SUMIFS(Table1[Modeled_Demand],Table1[Key_Year_week_DC],Demand_Modeling_Week_level!$A63,Table1[BRAND],Demand_Modeling_Week_level!G$2)</f>
        <v>0</v>
      </c>
      <c r="H63">
        <f>SUMIFS(Table1[Modeled_Demand],Table1[Key_Year_week_DC],Demand_Modeling_Week_level!$A63,Table1[BRAND],Demand_Modeling_Week_level!H$2)</f>
        <v>0</v>
      </c>
      <c r="I63">
        <f>SUMIFS(Table1[Modeled_Demand],Table1[Key_Year_week_DC],Demand_Modeling_Week_level!$A63,Table1[BRAND],Demand_Modeling_Week_level!I$2)</f>
        <v>0</v>
      </c>
      <c r="J63">
        <f>SUMIFS(Table1[Modeled_Demand],Table1[Key_Year_week_DC],Demand_Modeling_Week_level!$A63,Table1[BRAND],Demand_Modeling_Week_level!J$2)</f>
        <v>0</v>
      </c>
      <c r="K63">
        <f>SUMIFS(Table1[Modeled_Demand],Table1[Key_Year_week_DC],Demand_Modeling_Week_level!$A63,Table1[BRAND],Demand_Modeling_Week_level!K$2)</f>
        <v>0</v>
      </c>
      <c r="L63">
        <f>SUMIFS(Table1[Demand],Table1[Key_Year_week_DC],Demand_Modeling_Week_level!$A63)</f>
        <v>0</v>
      </c>
      <c r="M63">
        <f t="shared" si="2"/>
        <v>0</v>
      </c>
      <c r="N63" t="e">
        <f>VLOOKUP(A63,Capacity!B:G,6,FALSE)</f>
        <v>#N/A</v>
      </c>
      <c r="O63" s="20">
        <f t="shared" si="3"/>
        <v>0</v>
      </c>
      <c r="P63">
        <f t="shared" si="4"/>
        <v>0</v>
      </c>
    </row>
    <row r="64" spans="1:16" hidden="1" x14ac:dyDescent="0.3">
      <c r="A64" t="str">
        <f t="shared" si="0"/>
        <v>201944-TFC</v>
      </c>
      <c r="B64">
        <f t="shared" si="1"/>
        <v>201944</v>
      </c>
      <c r="C64" t="s">
        <v>6</v>
      </c>
      <c r="D64">
        <v>2019</v>
      </c>
      <c r="E64">
        <v>44</v>
      </c>
      <c r="F64">
        <f>SUMIFS(Table1[Modeled_Demand],Table1[Key_Year_week_DC],Demand_Modeling_Week_level!$A64,Table1[BRAND],Demand_Modeling_Week_level!F$2)</f>
        <v>285204</v>
      </c>
      <c r="G64">
        <f>SUMIFS(Table1[Modeled_Demand],Table1[Key_Year_week_DC],Demand_Modeling_Week_level!$A64,Table1[BRAND],Demand_Modeling_Week_level!G$2)</f>
        <v>451105</v>
      </c>
      <c r="H64">
        <f>SUMIFS(Table1[Modeled_Demand],Table1[Key_Year_week_DC],Demand_Modeling_Week_level!$A64,Table1[BRAND],Demand_Modeling_Week_level!H$2)</f>
        <v>0</v>
      </c>
      <c r="I64">
        <f>SUMIFS(Table1[Modeled_Demand],Table1[Key_Year_week_DC],Demand_Modeling_Week_level!$A64,Table1[BRAND],Demand_Modeling_Week_level!I$2)</f>
        <v>520360.60000000003</v>
      </c>
      <c r="J64">
        <f>SUMIFS(Table1[Modeled_Demand],Table1[Key_Year_week_DC],Demand_Modeling_Week_level!$A64,Table1[BRAND],Demand_Modeling_Week_level!J$2)</f>
        <v>0</v>
      </c>
      <c r="K64">
        <f>SUMIFS(Table1[Modeled_Demand],Table1[Key_Year_week_DC],Demand_Modeling_Week_level!$A64,Table1[BRAND],Demand_Modeling_Week_level!K$2)</f>
        <v>1165101.8</v>
      </c>
      <c r="L64">
        <f>SUMIFS(Table1[Demand],Table1[Key_Year_week_DC],Demand_Modeling_Week_level!$A64)</f>
        <v>1393848</v>
      </c>
      <c r="M64">
        <f t="shared" si="2"/>
        <v>2421771.4000000004</v>
      </c>
      <c r="N64">
        <f>VLOOKUP(A64,Capacity!B:G,6,FALSE)</f>
        <v>3150025.2</v>
      </c>
      <c r="O64" s="20">
        <f t="shared" si="3"/>
        <v>0.44248788866831917</v>
      </c>
      <c r="P64">
        <f t="shared" si="4"/>
        <v>0.76881016697898175</v>
      </c>
    </row>
    <row r="65" spans="1:16" hidden="1" x14ac:dyDescent="0.3">
      <c r="A65" t="str">
        <f t="shared" si="0"/>
        <v>201944-WEO</v>
      </c>
      <c r="B65">
        <f t="shared" si="1"/>
        <v>201944</v>
      </c>
      <c r="C65" t="s">
        <v>10</v>
      </c>
      <c r="D65">
        <v>2019</v>
      </c>
      <c r="E65">
        <v>44</v>
      </c>
      <c r="F65">
        <f>SUMIFS(Table1[Modeled_Demand],Table1[Key_Year_week_DC],Demand_Modeling_Week_level!$A65,Table1[BRAND],Demand_Modeling_Week_level!F$2)</f>
        <v>0</v>
      </c>
      <c r="G65">
        <f>SUMIFS(Table1[Modeled_Demand],Table1[Key_Year_week_DC],Demand_Modeling_Week_level!$A65,Table1[BRAND],Demand_Modeling_Week_level!G$2)</f>
        <v>0</v>
      </c>
      <c r="H65">
        <f>SUMIFS(Table1[Modeled_Demand],Table1[Key_Year_week_DC],Demand_Modeling_Week_level!$A65,Table1[BRAND],Demand_Modeling_Week_level!H$2)</f>
        <v>0</v>
      </c>
      <c r="I65">
        <f>SUMIFS(Table1[Modeled_Demand],Table1[Key_Year_week_DC],Demand_Modeling_Week_level!$A65,Table1[BRAND],Demand_Modeling_Week_level!I$2)</f>
        <v>1040721.2000000001</v>
      </c>
      <c r="J65">
        <f>SUMIFS(Table1[Modeled_Demand],Table1[Key_Year_week_DC],Demand_Modeling_Week_level!$A65,Table1[BRAND],Demand_Modeling_Week_level!J$2)</f>
        <v>0</v>
      </c>
      <c r="K65">
        <f>SUMIFS(Table1[Modeled_Demand],Table1[Key_Year_week_DC],Demand_Modeling_Week_level!$A65,Table1[BRAND],Demand_Modeling_Week_level!K$2)</f>
        <v>1281611.98</v>
      </c>
      <c r="L65">
        <f>SUMIFS(Table1[Demand],Table1[Key_Year_week_DC],Demand_Modeling_Week_level!$A65)</f>
        <v>857848</v>
      </c>
      <c r="M65">
        <f t="shared" si="2"/>
        <v>2322333.1800000002</v>
      </c>
      <c r="N65">
        <f>VLOOKUP(A65,Capacity!B:G,6,FALSE)</f>
        <v>3150025.2</v>
      </c>
      <c r="O65" s="20">
        <f t="shared" si="3"/>
        <v>0.27233051976854022</v>
      </c>
      <c r="P65">
        <f t="shared" si="4"/>
        <v>0.73724273062958356</v>
      </c>
    </row>
    <row r="66" spans="1:16" hidden="1" x14ac:dyDescent="0.3">
      <c r="A66" t="str">
        <f t="shared" si="0"/>
        <v>201944-WFC</v>
      </c>
      <c r="B66">
        <f t="shared" si="1"/>
        <v>201944</v>
      </c>
      <c r="C66" t="s">
        <v>7</v>
      </c>
      <c r="D66">
        <v>2019</v>
      </c>
      <c r="E66">
        <v>44</v>
      </c>
      <c r="F66">
        <f>SUMIFS(Table1[Modeled_Demand],Table1[Key_Year_week_DC],Demand_Modeling_Week_level!$A66,Table1[BRAND],Demand_Modeling_Week_level!F$2)</f>
        <v>0</v>
      </c>
      <c r="G66">
        <f>SUMIFS(Table1[Modeled_Demand],Table1[Key_Year_week_DC],Demand_Modeling_Week_level!$A66,Table1[BRAND],Demand_Modeling_Week_level!G$2)</f>
        <v>1.5770463619067447</v>
      </c>
      <c r="H66">
        <f>SUMIFS(Table1[Modeled_Demand],Table1[Key_Year_week_DC],Demand_Modeling_Week_level!$A66,Table1[BRAND],Demand_Modeling_Week_level!H$2)</f>
        <v>0</v>
      </c>
      <c r="I66">
        <f>SUMIFS(Table1[Modeled_Demand],Table1[Key_Year_week_DC],Demand_Modeling_Week_level!$A66,Table1[BRAND],Demand_Modeling_Week_level!I$2)</f>
        <v>390270.45</v>
      </c>
      <c r="J66">
        <f>SUMIFS(Table1[Modeled_Demand],Table1[Key_Year_week_DC],Demand_Modeling_Week_level!$A66,Table1[BRAND],Demand_Modeling_Week_level!J$2)</f>
        <v>0</v>
      </c>
      <c r="K66">
        <f>SUMIFS(Table1[Modeled_Demand],Table1[Key_Year_week_DC],Demand_Modeling_Week_level!$A66,Table1[BRAND],Demand_Modeling_Week_level!K$2)</f>
        <v>116510.18000000001</v>
      </c>
      <c r="L66">
        <f>SUMIFS(Table1[Demand],Table1[Key_Year_week_DC],Demand_Modeling_Week_level!$A66)</f>
        <v>1244644</v>
      </c>
      <c r="M66">
        <f t="shared" si="2"/>
        <v>506782.20704636193</v>
      </c>
      <c r="N66">
        <f>VLOOKUP(A66,Capacity!B:G,6,FALSE)</f>
        <v>755981.09999999905</v>
      </c>
      <c r="O66" s="20">
        <f t="shared" si="3"/>
        <v>1.6463956572459306</v>
      </c>
      <c r="P66">
        <f t="shared" si="4"/>
        <v>0.67036359380725596</v>
      </c>
    </row>
    <row r="67" spans="1:16" hidden="1" x14ac:dyDescent="0.3">
      <c r="A67" t="str">
        <f t="shared" si="0"/>
        <v>201945-EAO</v>
      </c>
      <c r="B67">
        <f t="shared" si="1"/>
        <v>201945</v>
      </c>
      <c r="C67" t="s">
        <v>8</v>
      </c>
      <c r="D67">
        <v>2019</v>
      </c>
      <c r="E67">
        <v>45</v>
      </c>
      <c r="F67">
        <f>SUMIFS(Table1[Modeled_Demand],Table1[Key_Year_week_DC],Demand_Modeling_Week_level!$A67,Table1[BRAND],Demand_Modeling_Week_level!F$2)</f>
        <v>6.3159554670632314</v>
      </c>
      <c r="G67">
        <f>SUMIFS(Table1[Modeled_Demand],Table1[Key_Year_week_DC],Demand_Modeling_Week_level!$A67,Table1[BRAND],Demand_Modeling_Week_level!G$2)</f>
        <v>9.2034871841883046</v>
      </c>
      <c r="H67">
        <f>SUMIFS(Table1[Modeled_Demand],Table1[Key_Year_week_DC],Demand_Modeling_Week_level!$A67,Table1[BRAND],Demand_Modeling_Week_level!H$2)</f>
        <v>0</v>
      </c>
      <c r="I67">
        <f>SUMIFS(Table1[Modeled_Demand],Table1[Key_Year_week_DC],Demand_Modeling_Week_level!$A67,Table1[BRAND],Demand_Modeling_Week_level!I$2)</f>
        <v>0</v>
      </c>
      <c r="J67">
        <f>SUMIFS(Table1[Modeled_Demand],Table1[Key_Year_week_DC],Demand_Modeling_Week_level!$A67,Table1[BRAND],Demand_Modeling_Week_level!J$2)</f>
        <v>0</v>
      </c>
      <c r="K67">
        <f>SUMIFS(Table1[Modeled_Demand],Table1[Key_Year_week_DC],Demand_Modeling_Week_level!$A67,Table1[BRAND],Demand_Modeling_Week_level!K$2)</f>
        <v>1258049.74</v>
      </c>
      <c r="L67">
        <f>SUMIFS(Table1[Demand],Table1[Key_Year_week_DC],Demand_Modeling_Week_level!$A67)</f>
        <v>779004</v>
      </c>
      <c r="M67">
        <f t="shared" si="2"/>
        <v>1258065.2594426512</v>
      </c>
      <c r="N67">
        <f>VLOOKUP(A67,Capacity!B:G,6,FALSE)</f>
        <v>3150025.2</v>
      </c>
      <c r="O67" s="20">
        <f t="shared" si="3"/>
        <v>0.24730087873582723</v>
      </c>
      <c r="P67">
        <f t="shared" si="4"/>
        <v>0.39938260158764799</v>
      </c>
    </row>
    <row r="68" spans="1:16" hidden="1" x14ac:dyDescent="0.3">
      <c r="A68" t="str">
        <f t="shared" ref="A68:A74" si="5">B68&amp;"-"&amp;C68</f>
        <v>201945-OCC</v>
      </c>
      <c r="B68">
        <f t="shared" ref="B68:B74" si="6">D68*100+E68</f>
        <v>201945</v>
      </c>
      <c r="C68" t="s">
        <v>11</v>
      </c>
      <c r="D68">
        <v>2019</v>
      </c>
      <c r="E68">
        <v>45</v>
      </c>
      <c r="F68">
        <f>SUMIFS(Table1[Modeled_Demand],Table1[Key_Year_week_DC],Demand_Modeling_Week_level!$A68,Table1[BRAND],Demand_Modeling_Week_level!F$2)</f>
        <v>0</v>
      </c>
      <c r="G68">
        <f>SUMIFS(Table1[Modeled_Demand],Table1[Key_Year_week_DC],Demand_Modeling_Week_level!$A68,Table1[BRAND],Demand_Modeling_Week_level!G$2)</f>
        <v>0</v>
      </c>
      <c r="H68">
        <f>SUMIFS(Table1[Modeled_Demand],Table1[Key_Year_week_DC],Demand_Modeling_Week_level!$A68,Table1[BRAND],Demand_Modeling_Week_level!H$2)</f>
        <v>0</v>
      </c>
      <c r="I68">
        <f>SUMIFS(Table1[Modeled_Demand],Table1[Key_Year_week_DC],Demand_Modeling_Week_level!$A68,Table1[BRAND],Demand_Modeling_Week_level!I$2)</f>
        <v>0</v>
      </c>
      <c r="J68">
        <f>SUMIFS(Table1[Modeled_Demand],Table1[Key_Year_week_DC],Demand_Modeling_Week_level!$A68,Table1[BRAND],Demand_Modeling_Week_level!J$2)</f>
        <v>0</v>
      </c>
      <c r="K68">
        <f>SUMIFS(Table1[Modeled_Demand],Table1[Key_Year_week_DC],Demand_Modeling_Week_level!$A68,Table1[BRAND],Demand_Modeling_Week_level!K$2)</f>
        <v>0</v>
      </c>
      <c r="L68">
        <f>SUMIFS(Table1[Demand],Table1[Key_Year_week_DC],Demand_Modeling_Week_level!$A68)</f>
        <v>0</v>
      </c>
      <c r="M68">
        <f t="shared" ref="M68:M131" si="7">SUM(F68:K68)</f>
        <v>0</v>
      </c>
      <c r="N68">
        <f>VLOOKUP(A68,Capacity!B:G,6,FALSE)</f>
        <v>0</v>
      </c>
      <c r="O68" s="20">
        <f t="shared" ref="O68:O131" si="8">IFERROR((L68/N68),0)</f>
        <v>0</v>
      </c>
      <c r="P68">
        <f t="shared" ref="P68:P131" si="9">IFERROR(M68/N68,0)</f>
        <v>0</v>
      </c>
    </row>
    <row r="69" spans="1:16" hidden="1" x14ac:dyDescent="0.3">
      <c r="A69" t="str">
        <f t="shared" si="5"/>
        <v>201945-ODC</v>
      </c>
      <c r="B69">
        <f t="shared" si="6"/>
        <v>201945</v>
      </c>
      <c r="C69" t="s">
        <v>9</v>
      </c>
      <c r="D69">
        <v>2019</v>
      </c>
      <c r="E69">
        <v>45</v>
      </c>
      <c r="F69">
        <f>SUMIFS(Table1[Modeled_Demand],Table1[Key_Year_week_DC],Demand_Modeling_Week_level!$A69,Table1[BRAND],Demand_Modeling_Week_level!F$2)</f>
        <v>0</v>
      </c>
      <c r="G69">
        <f>SUMIFS(Table1[Modeled_Demand],Table1[Key_Year_week_DC],Demand_Modeling_Week_level!$A69,Table1[BRAND],Demand_Modeling_Week_level!G$2)</f>
        <v>0</v>
      </c>
      <c r="H69">
        <f>SUMIFS(Table1[Modeled_Demand],Table1[Key_Year_week_DC],Demand_Modeling_Week_level!$A69,Table1[BRAND],Demand_Modeling_Week_level!H$2)</f>
        <v>0</v>
      </c>
      <c r="I69">
        <f>SUMIFS(Table1[Modeled_Demand],Table1[Key_Year_week_DC],Demand_Modeling_Week_level!$A69,Table1[BRAND],Demand_Modeling_Week_level!I$2)</f>
        <v>0</v>
      </c>
      <c r="J69">
        <f>SUMIFS(Table1[Modeled_Demand],Table1[Key_Year_week_DC],Demand_Modeling_Week_level!$A69,Table1[BRAND],Demand_Modeling_Week_level!J$2)</f>
        <v>0</v>
      </c>
      <c r="K69">
        <f>SUMIFS(Table1[Modeled_Demand],Table1[Key_Year_week_DC],Demand_Modeling_Week_level!$A69,Table1[BRAND],Demand_Modeling_Week_level!K$2)</f>
        <v>0</v>
      </c>
      <c r="L69">
        <f>SUMIFS(Table1[Demand],Table1[Key_Year_week_DC],Demand_Modeling_Week_level!$A69)</f>
        <v>0</v>
      </c>
      <c r="M69">
        <f t="shared" si="7"/>
        <v>0</v>
      </c>
      <c r="N69" t="e">
        <f>VLOOKUP(A69,Capacity!B:G,6,FALSE)</f>
        <v>#N/A</v>
      </c>
      <c r="O69" s="20">
        <f t="shared" si="8"/>
        <v>0</v>
      </c>
      <c r="P69">
        <f t="shared" si="9"/>
        <v>0</v>
      </c>
    </row>
    <row r="70" spans="1:16" hidden="1" x14ac:dyDescent="0.3">
      <c r="A70" t="str">
        <f t="shared" si="5"/>
        <v>201945-OFC</v>
      </c>
      <c r="B70">
        <f t="shared" si="6"/>
        <v>201945</v>
      </c>
      <c r="C70" t="s">
        <v>5</v>
      </c>
      <c r="D70">
        <v>2019</v>
      </c>
      <c r="E70">
        <v>45</v>
      </c>
      <c r="F70">
        <f>SUMIFS(Table1[Modeled_Demand],Table1[Key_Year_week_DC],Demand_Modeling_Week_level!$A70,Table1[BRAND],Demand_Modeling_Week_level!F$2)</f>
        <v>0</v>
      </c>
      <c r="G70">
        <f>SUMIFS(Table1[Modeled_Demand],Table1[Key_Year_week_DC],Demand_Modeling_Week_level!$A70,Table1[BRAND],Demand_Modeling_Week_level!G$2)</f>
        <v>0</v>
      </c>
      <c r="H70">
        <f>SUMIFS(Table1[Modeled_Demand],Table1[Key_Year_week_DC],Demand_Modeling_Week_level!$A70,Table1[BRAND],Demand_Modeling_Week_level!H$2)</f>
        <v>71179</v>
      </c>
      <c r="I70">
        <f>SUMIFS(Table1[Modeled_Demand],Table1[Key_Year_week_DC],Demand_Modeling_Week_level!$A70,Table1[BRAND],Demand_Modeling_Week_level!I$2)</f>
        <v>260093</v>
      </c>
      <c r="J70">
        <f>SUMIFS(Table1[Modeled_Demand],Table1[Key_Year_week_DC],Demand_Modeling_Week_level!$A70,Table1[BRAND],Demand_Modeling_Week_level!J$2)</f>
        <v>253763</v>
      </c>
      <c r="K70">
        <f>SUMIFS(Table1[Modeled_Demand],Table1[Key_Year_week_DC],Demand_Modeling_Week_level!$A70,Table1[BRAND],Demand_Modeling_Week_level!K$2)</f>
        <v>460262.1</v>
      </c>
      <c r="L70">
        <f>SUMIFS(Table1[Demand],Table1[Key_Year_week_DC],Demand_Modeling_Week_level!$A70)</f>
        <v>1980412</v>
      </c>
      <c r="M70">
        <f t="shared" si="7"/>
        <v>1045297.1</v>
      </c>
      <c r="N70">
        <f>VLOOKUP(A70,Capacity!B:G,6,FALSE)</f>
        <v>3307481.1</v>
      </c>
      <c r="O70" s="20">
        <f t="shared" si="8"/>
        <v>0.59876744269226512</v>
      </c>
      <c r="P70">
        <f t="shared" si="9"/>
        <v>0.31604023375976359</v>
      </c>
    </row>
    <row r="71" spans="1:16" hidden="1" x14ac:dyDescent="0.3">
      <c r="A71" t="str">
        <f t="shared" si="5"/>
        <v>201945-SFS</v>
      </c>
      <c r="B71">
        <f t="shared" si="6"/>
        <v>201945</v>
      </c>
      <c r="C71" t="s">
        <v>12</v>
      </c>
      <c r="D71">
        <v>2019</v>
      </c>
      <c r="E71">
        <v>45</v>
      </c>
      <c r="F71">
        <f>SUMIFS(Table1[Modeled_Demand],Table1[Key_Year_week_DC],Demand_Modeling_Week_level!$A71,Table1[BRAND],Demand_Modeling_Week_level!F$2)</f>
        <v>0</v>
      </c>
      <c r="G71">
        <f>SUMIFS(Table1[Modeled_Demand],Table1[Key_Year_week_DC],Demand_Modeling_Week_level!$A71,Table1[BRAND],Demand_Modeling_Week_level!G$2)</f>
        <v>0</v>
      </c>
      <c r="H71">
        <f>SUMIFS(Table1[Modeled_Demand],Table1[Key_Year_week_DC],Demand_Modeling_Week_level!$A71,Table1[BRAND],Demand_Modeling_Week_level!H$2)</f>
        <v>0</v>
      </c>
      <c r="I71">
        <f>SUMIFS(Table1[Modeled_Demand],Table1[Key_Year_week_DC],Demand_Modeling_Week_level!$A71,Table1[BRAND],Demand_Modeling_Week_level!I$2)</f>
        <v>0</v>
      </c>
      <c r="J71">
        <f>SUMIFS(Table1[Modeled_Demand],Table1[Key_Year_week_DC],Demand_Modeling_Week_level!$A71,Table1[BRAND],Demand_Modeling_Week_level!J$2)</f>
        <v>0</v>
      </c>
      <c r="K71">
        <f>SUMIFS(Table1[Modeled_Demand],Table1[Key_Year_week_DC],Demand_Modeling_Week_level!$A71,Table1[BRAND],Demand_Modeling_Week_level!K$2)</f>
        <v>0</v>
      </c>
      <c r="L71">
        <f>SUMIFS(Table1[Demand],Table1[Key_Year_week_DC],Demand_Modeling_Week_level!$A71)</f>
        <v>0</v>
      </c>
      <c r="M71">
        <f t="shared" si="7"/>
        <v>0</v>
      </c>
      <c r="N71" t="e">
        <f>VLOOKUP(A71,Capacity!B:G,6,FALSE)</f>
        <v>#N/A</v>
      </c>
      <c r="O71" s="20">
        <f t="shared" si="8"/>
        <v>0</v>
      </c>
      <c r="P71">
        <f t="shared" si="9"/>
        <v>0</v>
      </c>
    </row>
    <row r="72" spans="1:16" hidden="1" x14ac:dyDescent="0.3">
      <c r="A72" t="str">
        <f t="shared" si="5"/>
        <v>201945-TFC</v>
      </c>
      <c r="B72">
        <f t="shared" si="6"/>
        <v>201945</v>
      </c>
      <c r="C72" t="s">
        <v>6</v>
      </c>
      <c r="D72">
        <v>2019</v>
      </c>
      <c r="E72">
        <v>45</v>
      </c>
      <c r="F72">
        <f>SUMIFS(Table1[Modeled_Demand],Table1[Key_Year_week_DC],Demand_Modeling_Week_level!$A72,Table1[BRAND],Demand_Modeling_Week_level!F$2)</f>
        <v>183224</v>
      </c>
      <c r="G72">
        <f>SUMIFS(Table1[Modeled_Demand],Table1[Key_Year_week_DC],Demand_Modeling_Week_level!$A72,Table1[BRAND],Demand_Modeling_Week_level!G$2)</f>
        <v>217371</v>
      </c>
      <c r="H72">
        <f>SUMIFS(Table1[Modeled_Demand],Table1[Key_Year_week_DC],Demand_Modeling_Week_level!$A72,Table1[BRAND],Demand_Modeling_Week_level!H$2)</f>
        <v>0</v>
      </c>
      <c r="I72">
        <f>SUMIFS(Table1[Modeled_Demand],Table1[Key_Year_week_DC],Demand_Modeling_Week_level!$A72,Table1[BRAND],Demand_Modeling_Week_level!I$2)</f>
        <v>208074.40000000002</v>
      </c>
      <c r="J72">
        <f>SUMIFS(Table1[Modeled_Demand],Table1[Key_Year_week_DC],Demand_Modeling_Week_level!$A72,Table1[BRAND],Demand_Modeling_Week_level!J$2)</f>
        <v>0</v>
      </c>
      <c r="K72">
        <f>SUMIFS(Table1[Modeled_Demand],Table1[Key_Year_week_DC],Demand_Modeling_Week_level!$A72,Table1[BRAND],Demand_Modeling_Week_level!K$2)</f>
        <v>613682.80000000005</v>
      </c>
      <c r="L72">
        <f>SUMIFS(Table1[Demand],Table1[Key_Year_week_DC],Demand_Modeling_Week_level!$A72)</f>
        <v>1088903</v>
      </c>
      <c r="M72">
        <f t="shared" si="7"/>
        <v>1222352.2000000002</v>
      </c>
      <c r="N72">
        <f>VLOOKUP(A72,Capacity!B:G,6,FALSE)</f>
        <v>3150025.2</v>
      </c>
      <c r="O72" s="20">
        <f t="shared" si="8"/>
        <v>0.34568072661767912</v>
      </c>
      <c r="P72">
        <f t="shared" si="9"/>
        <v>0.38804521309861273</v>
      </c>
    </row>
    <row r="73" spans="1:16" hidden="1" x14ac:dyDescent="0.3">
      <c r="A73" t="str">
        <f t="shared" si="5"/>
        <v>201945-WEO</v>
      </c>
      <c r="B73">
        <f t="shared" si="6"/>
        <v>201945</v>
      </c>
      <c r="C73" t="s">
        <v>10</v>
      </c>
      <c r="D73">
        <v>2019</v>
      </c>
      <c r="E73">
        <v>45</v>
      </c>
      <c r="F73">
        <f>SUMIFS(Table1[Modeled_Demand],Table1[Key_Year_week_DC],Demand_Modeling_Week_level!$A73,Table1[BRAND],Demand_Modeling_Week_level!F$2)</f>
        <v>0</v>
      </c>
      <c r="G73">
        <f>SUMIFS(Table1[Modeled_Demand],Table1[Key_Year_week_DC],Demand_Modeling_Week_level!$A73,Table1[BRAND],Demand_Modeling_Week_level!G$2)</f>
        <v>0</v>
      </c>
      <c r="H73">
        <f>SUMIFS(Table1[Modeled_Demand],Table1[Key_Year_week_DC],Demand_Modeling_Week_level!$A73,Table1[BRAND],Demand_Modeling_Week_level!H$2)</f>
        <v>0</v>
      </c>
      <c r="I73">
        <f>SUMIFS(Table1[Modeled_Demand],Table1[Key_Year_week_DC],Demand_Modeling_Week_level!$A73,Table1[BRAND],Demand_Modeling_Week_level!I$2)</f>
        <v>416148.80000000005</v>
      </c>
      <c r="J73">
        <f>SUMIFS(Table1[Modeled_Demand],Table1[Key_Year_week_DC],Demand_Modeling_Week_level!$A73,Table1[BRAND],Demand_Modeling_Week_level!J$2)</f>
        <v>0</v>
      </c>
      <c r="K73">
        <f>SUMIFS(Table1[Modeled_Demand],Table1[Key_Year_week_DC],Demand_Modeling_Week_level!$A73,Table1[BRAND],Demand_Modeling_Week_level!K$2)</f>
        <v>675051.08</v>
      </c>
      <c r="L73">
        <f>SUMIFS(Table1[Demand],Table1[Key_Year_week_DC],Demand_Modeling_Week_level!$A73)</f>
        <v>288234</v>
      </c>
      <c r="M73">
        <f t="shared" si="7"/>
        <v>1091199.8799999999</v>
      </c>
      <c r="N73">
        <f>VLOOKUP(A73,Capacity!B:G,6,FALSE)</f>
        <v>3150025.2</v>
      </c>
      <c r="O73" s="20">
        <f t="shared" si="8"/>
        <v>9.1502125125856135E-2</v>
      </c>
      <c r="P73">
        <f t="shared" si="9"/>
        <v>0.34640988903834796</v>
      </c>
    </row>
    <row r="74" spans="1:16" hidden="1" x14ac:dyDescent="0.3">
      <c r="A74" t="str">
        <f t="shared" si="5"/>
        <v>201945-WFC</v>
      </c>
      <c r="B74">
        <f t="shared" si="6"/>
        <v>201945</v>
      </c>
      <c r="C74" t="s">
        <v>7</v>
      </c>
      <c r="D74">
        <v>2019</v>
      </c>
      <c r="E74">
        <v>45</v>
      </c>
      <c r="F74">
        <f>SUMIFS(Table1[Modeled_Demand],Table1[Key_Year_week_DC],Demand_Modeling_Week_level!$A74,Table1[BRAND],Demand_Modeling_Week_level!F$2)</f>
        <v>0</v>
      </c>
      <c r="G74">
        <f>SUMIFS(Table1[Modeled_Demand],Table1[Key_Year_week_DC],Demand_Modeling_Week_level!$A74,Table1[BRAND],Demand_Modeling_Week_level!G$2)</f>
        <v>0.7599209601623369</v>
      </c>
      <c r="H74">
        <f>SUMIFS(Table1[Modeled_Demand],Table1[Key_Year_week_DC],Demand_Modeling_Week_level!$A74,Table1[BRAND],Demand_Modeling_Week_level!H$2)</f>
        <v>0</v>
      </c>
      <c r="I74">
        <f>SUMIFS(Table1[Modeled_Demand],Table1[Key_Year_week_DC],Demand_Modeling_Week_level!$A74,Table1[BRAND],Demand_Modeling_Week_level!I$2)</f>
        <v>156055.79999999999</v>
      </c>
      <c r="J74">
        <f>SUMIFS(Table1[Modeled_Demand],Table1[Key_Year_week_DC],Demand_Modeling_Week_level!$A74,Table1[BRAND],Demand_Modeling_Week_level!J$2)</f>
        <v>0</v>
      </c>
      <c r="K74">
        <f>SUMIFS(Table1[Modeled_Demand],Table1[Key_Year_week_DC],Demand_Modeling_Week_level!$A74,Table1[BRAND],Demand_Modeling_Week_level!K$2)</f>
        <v>61368.28</v>
      </c>
      <c r="L74">
        <f>SUMIFS(Table1[Demand],Table1[Key_Year_week_DC],Demand_Modeling_Week_level!$A74)</f>
        <v>697770</v>
      </c>
      <c r="M74">
        <f t="shared" si="7"/>
        <v>217424.83992096016</v>
      </c>
      <c r="N74">
        <f>VLOOKUP(A74,Capacity!B:G,6,FALSE)</f>
        <v>755981.09999999905</v>
      </c>
      <c r="O74" s="20">
        <f t="shared" si="8"/>
        <v>0.92299926545782807</v>
      </c>
      <c r="P74">
        <f t="shared" si="9"/>
        <v>0.28760618475906402</v>
      </c>
    </row>
    <row r="75" spans="1:16" hidden="1" x14ac:dyDescent="0.3">
      <c r="A75" t="str">
        <f>B75&amp;"-"&amp;C75</f>
        <v>201946-EAO</v>
      </c>
      <c r="B75">
        <f>D75*100+E75</f>
        <v>201946</v>
      </c>
      <c r="C75" t="s">
        <v>8</v>
      </c>
      <c r="D75">
        <v>2019</v>
      </c>
      <c r="E75">
        <v>46</v>
      </c>
      <c r="F75">
        <f>SUMIFS(Table1[Modeled_Demand],Table1[Key_Year_week_DC],Demand_Modeling_Week_level!$A75,Table1[BRAND],Demand_Modeling_Week_level!F$2)</f>
        <v>6.681729620345596</v>
      </c>
      <c r="G75">
        <f>SUMIFS(Table1[Modeled_Demand],Table1[Key_Year_week_DC],Demand_Modeling_Week_level!$A75,Table1[BRAND],Demand_Modeling_Week_level!G$2)</f>
        <v>8.3651976112473676</v>
      </c>
      <c r="H75">
        <f>SUMIFS(Table1[Modeled_Demand],Table1[Key_Year_week_DC],Demand_Modeling_Week_level!$A75,Table1[BRAND],Demand_Modeling_Week_level!H$2)</f>
        <v>0</v>
      </c>
      <c r="I75">
        <f>SUMIFS(Table1[Modeled_Demand],Table1[Key_Year_week_DC],Demand_Modeling_Week_level!$A75,Table1[BRAND],Demand_Modeling_Week_level!I$2)</f>
        <v>0</v>
      </c>
      <c r="J75">
        <f>SUMIFS(Table1[Modeled_Demand],Table1[Key_Year_week_DC],Demand_Modeling_Week_level!$A75,Table1[BRAND],Demand_Modeling_Week_level!J$2)</f>
        <v>0</v>
      </c>
      <c r="K75">
        <f>SUMIFS(Table1[Modeled_Demand],Table1[Key_Year_week_DC],Demand_Modeling_Week_level!$A75,Table1[BRAND],Demand_Modeling_Week_level!K$2)</f>
        <v>1049709.8799999999</v>
      </c>
      <c r="L75">
        <f>SUMIFS(Table1[Demand],Table1[Key_Year_week_DC],Demand_Modeling_Week_level!$A75)</f>
        <v>828744</v>
      </c>
      <c r="M75">
        <f t="shared" si="7"/>
        <v>1049724.9269272315</v>
      </c>
      <c r="N75">
        <f>VLOOKUP(A75,Capacity!B:G,6,FALSE)</f>
        <v>3150025.2</v>
      </c>
      <c r="O75" s="20">
        <f t="shared" si="8"/>
        <v>0.26309122860350448</v>
      </c>
      <c r="P75">
        <f t="shared" si="9"/>
        <v>0.33324334260158661</v>
      </c>
    </row>
    <row r="76" spans="1:16" hidden="1" x14ac:dyDescent="0.3">
      <c r="A76" t="str">
        <f t="shared" ref="A76:A139" si="10">B76&amp;"-"&amp;C76</f>
        <v>201946-OCC</v>
      </c>
      <c r="B76">
        <f t="shared" ref="B76:B139" si="11">D76*100+E76</f>
        <v>201946</v>
      </c>
      <c r="C76" t="s">
        <v>11</v>
      </c>
      <c r="D76">
        <v>2019</v>
      </c>
      <c r="E76">
        <v>46</v>
      </c>
      <c r="F76">
        <f>SUMIFS(Table1[Modeled_Demand],Table1[Key_Year_week_DC],Demand_Modeling_Week_level!$A76,Table1[BRAND],Demand_Modeling_Week_level!F$2)</f>
        <v>0</v>
      </c>
      <c r="G76">
        <f>SUMIFS(Table1[Modeled_Demand],Table1[Key_Year_week_DC],Demand_Modeling_Week_level!$A76,Table1[BRAND],Demand_Modeling_Week_level!G$2)</f>
        <v>0</v>
      </c>
      <c r="H76">
        <f>SUMIFS(Table1[Modeled_Demand],Table1[Key_Year_week_DC],Demand_Modeling_Week_level!$A76,Table1[BRAND],Demand_Modeling_Week_level!H$2)</f>
        <v>0</v>
      </c>
      <c r="I76">
        <f>SUMIFS(Table1[Modeled_Demand],Table1[Key_Year_week_DC],Demand_Modeling_Week_level!$A76,Table1[BRAND],Demand_Modeling_Week_level!I$2)</f>
        <v>0</v>
      </c>
      <c r="J76">
        <f>SUMIFS(Table1[Modeled_Demand],Table1[Key_Year_week_DC],Demand_Modeling_Week_level!$A76,Table1[BRAND],Demand_Modeling_Week_level!J$2)</f>
        <v>0</v>
      </c>
      <c r="K76">
        <f>SUMIFS(Table1[Modeled_Demand],Table1[Key_Year_week_DC],Demand_Modeling_Week_level!$A76,Table1[BRAND],Demand_Modeling_Week_level!K$2)</f>
        <v>0</v>
      </c>
      <c r="L76">
        <f>SUMIFS(Table1[Demand],Table1[Key_Year_week_DC],Demand_Modeling_Week_level!$A76)</f>
        <v>0</v>
      </c>
      <c r="M76">
        <f t="shared" si="7"/>
        <v>0</v>
      </c>
      <c r="N76">
        <f>VLOOKUP(A76,Capacity!B:G,6,FALSE)</f>
        <v>0</v>
      </c>
      <c r="O76" s="20">
        <f t="shared" si="8"/>
        <v>0</v>
      </c>
      <c r="P76">
        <f t="shared" si="9"/>
        <v>0</v>
      </c>
    </row>
    <row r="77" spans="1:16" hidden="1" x14ac:dyDescent="0.3">
      <c r="A77" t="str">
        <f t="shared" si="10"/>
        <v>201946-ODC</v>
      </c>
      <c r="B77">
        <f t="shared" si="11"/>
        <v>201946</v>
      </c>
      <c r="C77" t="s">
        <v>9</v>
      </c>
      <c r="D77">
        <v>2019</v>
      </c>
      <c r="E77">
        <v>46</v>
      </c>
      <c r="F77">
        <f>SUMIFS(Table1[Modeled_Demand],Table1[Key_Year_week_DC],Demand_Modeling_Week_level!$A77,Table1[BRAND],Demand_Modeling_Week_level!F$2)</f>
        <v>0</v>
      </c>
      <c r="G77">
        <f>SUMIFS(Table1[Modeled_Demand],Table1[Key_Year_week_DC],Demand_Modeling_Week_level!$A77,Table1[BRAND],Demand_Modeling_Week_level!G$2)</f>
        <v>0</v>
      </c>
      <c r="H77">
        <f>SUMIFS(Table1[Modeled_Demand],Table1[Key_Year_week_DC],Demand_Modeling_Week_level!$A77,Table1[BRAND],Demand_Modeling_Week_level!H$2)</f>
        <v>0</v>
      </c>
      <c r="I77">
        <f>SUMIFS(Table1[Modeled_Demand],Table1[Key_Year_week_DC],Demand_Modeling_Week_level!$A77,Table1[BRAND],Demand_Modeling_Week_level!I$2)</f>
        <v>0</v>
      </c>
      <c r="J77">
        <f>SUMIFS(Table1[Modeled_Demand],Table1[Key_Year_week_DC],Demand_Modeling_Week_level!$A77,Table1[BRAND],Demand_Modeling_Week_level!J$2)</f>
        <v>0</v>
      </c>
      <c r="K77">
        <f>SUMIFS(Table1[Modeled_Demand],Table1[Key_Year_week_DC],Demand_Modeling_Week_level!$A77,Table1[BRAND],Demand_Modeling_Week_level!K$2)</f>
        <v>0</v>
      </c>
      <c r="L77">
        <f>SUMIFS(Table1[Demand],Table1[Key_Year_week_DC],Demand_Modeling_Week_level!$A77)</f>
        <v>0</v>
      </c>
      <c r="M77">
        <f t="shared" si="7"/>
        <v>0</v>
      </c>
      <c r="N77" t="e">
        <f>VLOOKUP(A77,Capacity!B:G,6,FALSE)</f>
        <v>#N/A</v>
      </c>
      <c r="O77" s="20">
        <f t="shared" si="8"/>
        <v>0</v>
      </c>
      <c r="P77">
        <f t="shared" si="9"/>
        <v>0</v>
      </c>
    </row>
    <row r="78" spans="1:16" hidden="1" x14ac:dyDescent="0.3">
      <c r="A78" t="str">
        <f t="shared" si="10"/>
        <v>201946-OFC</v>
      </c>
      <c r="B78">
        <f t="shared" si="11"/>
        <v>201946</v>
      </c>
      <c r="C78" t="s">
        <v>5</v>
      </c>
      <c r="D78">
        <v>2019</v>
      </c>
      <c r="E78">
        <v>46</v>
      </c>
      <c r="F78">
        <f>SUMIFS(Table1[Modeled_Demand],Table1[Key_Year_week_DC],Demand_Modeling_Week_level!$A78,Table1[BRAND],Demand_Modeling_Week_level!F$2)</f>
        <v>0</v>
      </c>
      <c r="G78">
        <f>SUMIFS(Table1[Modeled_Demand],Table1[Key_Year_week_DC],Demand_Modeling_Week_level!$A78,Table1[BRAND],Demand_Modeling_Week_level!G$2)</f>
        <v>0</v>
      </c>
      <c r="H78">
        <f>SUMIFS(Table1[Modeled_Demand],Table1[Key_Year_week_DC],Demand_Modeling_Week_level!$A78,Table1[BRAND],Demand_Modeling_Week_level!H$2)</f>
        <v>100095</v>
      </c>
      <c r="I78">
        <f>SUMIFS(Table1[Modeled_Demand],Table1[Key_Year_week_DC],Demand_Modeling_Week_level!$A78,Table1[BRAND],Demand_Modeling_Week_level!I$2)</f>
        <v>239043</v>
      </c>
      <c r="J78">
        <f>SUMIFS(Table1[Modeled_Demand],Table1[Key_Year_week_DC],Demand_Modeling_Week_level!$A78,Table1[BRAND],Demand_Modeling_Week_level!J$2)</f>
        <v>150976</v>
      </c>
      <c r="K78">
        <f>SUMIFS(Table1[Modeled_Demand],Table1[Key_Year_week_DC],Demand_Modeling_Week_level!$A78,Table1[BRAND],Demand_Modeling_Week_level!K$2)</f>
        <v>384040.2</v>
      </c>
      <c r="L78">
        <f>SUMIFS(Table1[Demand],Table1[Key_Year_week_DC],Demand_Modeling_Week_level!$A78)</f>
        <v>1764018</v>
      </c>
      <c r="M78">
        <f t="shared" si="7"/>
        <v>874154.2</v>
      </c>
      <c r="N78">
        <f>VLOOKUP(A78,Capacity!B:G,6,FALSE)</f>
        <v>3307481.1</v>
      </c>
      <c r="O78" s="20">
        <f t="shared" si="8"/>
        <v>0.53334182317776513</v>
      </c>
      <c r="P78">
        <f t="shared" si="9"/>
        <v>0.26429605296913106</v>
      </c>
    </row>
    <row r="79" spans="1:16" hidden="1" x14ac:dyDescent="0.3">
      <c r="A79" t="str">
        <f t="shared" si="10"/>
        <v>201946-SFS</v>
      </c>
      <c r="B79">
        <f t="shared" si="11"/>
        <v>201946</v>
      </c>
      <c r="C79" t="s">
        <v>12</v>
      </c>
      <c r="D79">
        <v>2019</v>
      </c>
      <c r="E79">
        <v>46</v>
      </c>
      <c r="F79">
        <f>SUMIFS(Table1[Modeled_Demand],Table1[Key_Year_week_DC],Demand_Modeling_Week_level!$A79,Table1[BRAND],Demand_Modeling_Week_level!F$2)</f>
        <v>0</v>
      </c>
      <c r="G79">
        <f>SUMIFS(Table1[Modeled_Demand],Table1[Key_Year_week_DC],Demand_Modeling_Week_level!$A79,Table1[BRAND],Demand_Modeling_Week_level!G$2)</f>
        <v>0</v>
      </c>
      <c r="H79">
        <f>SUMIFS(Table1[Modeled_Demand],Table1[Key_Year_week_DC],Demand_Modeling_Week_level!$A79,Table1[BRAND],Demand_Modeling_Week_level!H$2)</f>
        <v>0</v>
      </c>
      <c r="I79">
        <f>SUMIFS(Table1[Modeled_Demand],Table1[Key_Year_week_DC],Demand_Modeling_Week_level!$A79,Table1[BRAND],Demand_Modeling_Week_level!I$2)</f>
        <v>0</v>
      </c>
      <c r="J79">
        <f>SUMIFS(Table1[Modeled_Demand],Table1[Key_Year_week_DC],Demand_Modeling_Week_level!$A79,Table1[BRAND],Demand_Modeling_Week_level!J$2)</f>
        <v>0</v>
      </c>
      <c r="K79">
        <f>SUMIFS(Table1[Modeled_Demand],Table1[Key_Year_week_DC],Demand_Modeling_Week_level!$A79,Table1[BRAND],Demand_Modeling_Week_level!K$2)</f>
        <v>0</v>
      </c>
      <c r="L79">
        <f>SUMIFS(Table1[Demand],Table1[Key_Year_week_DC],Demand_Modeling_Week_level!$A79)</f>
        <v>0</v>
      </c>
      <c r="M79">
        <f t="shared" si="7"/>
        <v>0</v>
      </c>
      <c r="N79" t="e">
        <f>VLOOKUP(A79,Capacity!B:G,6,FALSE)</f>
        <v>#N/A</v>
      </c>
      <c r="O79" s="20">
        <f t="shared" si="8"/>
        <v>0</v>
      </c>
      <c r="P79">
        <f t="shared" si="9"/>
        <v>0</v>
      </c>
    </row>
    <row r="80" spans="1:16" hidden="1" x14ac:dyDescent="0.3">
      <c r="A80" t="str">
        <f t="shared" si="10"/>
        <v>201946-TFC</v>
      </c>
      <c r="B80">
        <f t="shared" si="11"/>
        <v>201946</v>
      </c>
      <c r="C80" t="s">
        <v>6</v>
      </c>
      <c r="D80">
        <v>2019</v>
      </c>
      <c r="E80">
        <v>46</v>
      </c>
      <c r="F80">
        <f>SUMIFS(Table1[Modeled_Demand],Table1[Key_Year_week_DC],Demand_Modeling_Week_level!$A80,Table1[BRAND],Demand_Modeling_Week_level!F$2)</f>
        <v>193835</v>
      </c>
      <c r="G80">
        <f>SUMIFS(Table1[Modeled_Demand],Table1[Key_Year_week_DC],Demand_Modeling_Week_level!$A80,Table1[BRAND],Demand_Modeling_Week_level!G$2)</f>
        <v>197572</v>
      </c>
      <c r="H80">
        <f>SUMIFS(Table1[Modeled_Demand],Table1[Key_Year_week_DC],Demand_Modeling_Week_level!$A80,Table1[BRAND],Demand_Modeling_Week_level!H$2)</f>
        <v>0</v>
      </c>
      <c r="I80">
        <f>SUMIFS(Table1[Modeled_Demand],Table1[Key_Year_week_DC],Demand_Modeling_Week_level!$A80,Table1[BRAND],Demand_Modeling_Week_level!I$2)</f>
        <v>191234.40000000002</v>
      </c>
      <c r="J80">
        <f>SUMIFS(Table1[Modeled_Demand],Table1[Key_Year_week_DC],Demand_Modeling_Week_level!$A80,Table1[BRAND],Demand_Modeling_Week_level!J$2)</f>
        <v>0</v>
      </c>
      <c r="K80">
        <f>SUMIFS(Table1[Modeled_Demand],Table1[Key_Year_week_DC],Demand_Modeling_Week_level!$A80,Table1[BRAND],Demand_Modeling_Week_level!K$2)</f>
        <v>512053.60000000003</v>
      </c>
      <c r="L80">
        <f>SUMIFS(Table1[Demand],Table1[Key_Year_week_DC],Demand_Modeling_Week_level!$A80)</f>
        <v>834484</v>
      </c>
      <c r="M80">
        <f t="shared" si="7"/>
        <v>1094695</v>
      </c>
      <c r="N80">
        <f>VLOOKUP(A80,Capacity!B:G,6,FALSE)</f>
        <v>3150025.2</v>
      </c>
      <c r="O80" s="20">
        <f t="shared" si="8"/>
        <v>0.26491343624806557</v>
      </c>
      <c r="P80">
        <f t="shared" si="9"/>
        <v>0.34751944206668567</v>
      </c>
    </row>
    <row r="81" spans="1:16" hidden="1" x14ac:dyDescent="0.3">
      <c r="A81" t="str">
        <f t="shared" si="10"/>
        <v>201946-WEO</v>
      </c>
      <c r="B81">
        <f t="shared" si="11"/>
        <v>201946</v>
      </c>
      <c r="C81" t="s">
        <v>10</v>
      </c>
      <c r="D81">
        <v>2019</v>
      </c>
      <c r="E81">
        <v>46</v>
      </c>
      <c r="F81">
        <f>SUMIFS(Table1[Modeled_Demand],Table1[Key_Year_week_DC],Demand_Modeling_Week_level!$A81,Table1[BRAND],Demand_Modeling_Week_level!F$2)</f>
        <v>0</v>
      </c>
      <c r="G81">
        <f>SUMIFS(Table1[Modeled_Demand],Table1[Key_Year_week_DC],Demand_Modeling_Week_level!$A81,Table1[BRAND],Demand_Modeling_Week_level!G$2)</f>
        <v>0</v>
      </c>
      <c r="H81">
        <f>SUMIFS(Table1[Modeled_Demand],Table1[Key_Year_week_DC],Demand_Modeling_Week_level!$A81,Table1[BRAND],Demand_Modeling_Week_level!H$2)</f>
        <v>0</v>
      </c>
      <c r="I81">
        <f>SUMIFS(Table1[Modeled_Demand],Table1[Key_Year_week_DC],Demand_Modeling_Week_level!$A81,Table1[BRAND],Demand_Modeling_Week_level!I$2)</f>
        <v>382468.80000000005</v>
      </c>
      <c r="J81">
        <f>SUMIFS(Table1[Modeled_Demand],Table1[Key_Year_week_DC],Demand_Modeling_Week_level!$A81,Table1[BRAND],Demand_Modeling_Week_level!J$2)</f>
        <v>0</v>
      </c>
      <c r="K81">
        <f>SUMIFS(Table1[Modeled_Demand],Table1[Key_Year_week_DC],Demand_Modeling_Week_level!$A81,Table1[BRAND],Demand_Modeling_Week_level!K$2)</f>
        <v>563258.96</v>
      </c>
      <c r="L81">
        <f>SUMIFS(Table1[Demand],Table1[Key_Year_week_DC],Demand_Modeling_Week_level!$A81)</f>
        <v>233535</v>
      </c>
      <c r="M81">
        <f t="shared" si="7"/>
        <v>945727.76</v>
      </c>
      <c r="N81">
        <f>VLOOKUP(A81,Capacity!B:G,6,FALSE)</f>
        <v>3150025.2</v>
      </c>
      <c r="O81" s="20">
        <f t="shared" si="8"/>
        <v>7.4137502138078126E-2</v>
      </c>
      <c r="P81">
        <f t="shared" si="9"/>
        <v>0.30022863309157016</v>
      </c>
    </row>
    <row r="82" spans="1:16" hidden="1" x14ac:dyDescent="0.3">
      <c r="A82" t="str">
        <f t="shared" si="10"/>
        <v>201946-WFC</v>
      </c>
      <c r="B82">
        <f t="shared" si="11"/>
        <v>201946</v>
      </c>
      <c r="C82" t="s">
        <v>7</v>
      </c>
      <c r="D82">
        <v>2019</v>
      </c>
      <c r="E82">
        <v>46</v>
      </c>
      <c r="F82">
        <f>SUMIFS(Table1[Modeled_Demand],Table1[Key_Year_week_DC],Demand_Modeling_Week_level!$A82,Table1[BRAND],Demand_Modeling_Week_level!F$2)</f>
        <v>0</v>
      </c>
      <c r="G82">
        <f>SUMIFS(Table1[Modeled_Demand],Table1[Key_Year_week_DC],Demand_Modeling_Week_level!$A82,Table1[BRAND],Demand_Modeling_Week_level!G$2)</f>
        <v>0.69070438991950733</v>
      </c>
      <c r="H82">
        <f>SUMIFS(Table1[Modeled_Demand],Table1[Key_Year_week_DC],Demand_Modeling_Week_level!$A82,Table1[BRAND],Demand_Modeling_Week_level!H$2)</f>
        <v>0</v>
      </c>
      <c r="I82">
        <f>SUMIFS(Table1[Modeled_Demand],Table1[Key_Year_week_DC],Demand_Modeling_Week_level!$A82,Table1[BRAND],Demand_Modeling_Week_level!I$2)</f>
        <v>143425.79999999999</v>
      </c>
      <c r="J82">
        <f>SUMIFS(Table1[Modeled_Demand],Table1[Key_Year_week_DC],Demand_Modeling_Week_level!$A82,Table1[BRAND],Demand_Modeling_Week_level!J$2)</f>
        <v>0</v>
      </c>
      <c r="K82">
        <f>SUMIFS(Table1[Modeled_Demand],Table1[Key_Year_week_DC],Demand_Modeling_Week_level!$A82,Table1[BRAND],Demand_Modeling_Week_level!K$2)</f>
        <v>51205.36</v>
      </c>
      <c r="L82">
        <f>SUMIFS(Table1[Demand],Table1[Key_Year_week_DC],Demand_Modeling_Week_level!$A82)</f>
        <v>498137</v>
      </c>
      <c r="M82">
        <f t="shared" si="7"/>
        <v>194631.85070438992</v>
      </c>
      <c r="N82">
        <f>VLOOKUP(A82,Capacity!B:G,6,FALSE)</f>
        <v>755981.09999999905</v>
      </c>
      <c r="O82" s="20">
        <f t="shared" si="8"/>
        <v>0.65892784885759792</v>
      </c>
      <c r="P82">
        <f t="shared" si="9"/>
        <v>0.25745597436812928</v>
      </c>
    </row>
    <row r="83" spans="1:16" hidden="1" x14ac:dyDescent="0.3">
      <c r="A83" t="str">
        <f t="shared" si="10"/>
        <v>201947-EAO</v>
      </c>
      <c r="B83">
        <f t="shared" si="11"/>
        <v>201947</v>
      </c>
      <c r="C83" t="s">
        <v>8</v>
      </c>
      <c r="D83">
        <v>2019</v>
      </c>
      <c r="E83">
        <v>47</v>
      </c>
      <c r="F83">
        <f>SUMIFS(Table1[Modeled_Demand],Table1[Key_Year_week_DC],Demand_Modeling_Week_level!$A83,Table1[BRAND],Demand_Modeling_Week_level!F$2)</f>
        <v>7.8664711031616914</v>
      </c>
      <c r="G83">
        <f>SUMIFS(Table1[Modeled_Demand],Table1[Key_Year_week_DC],Demand_Modeling_Week_level!$A83,Table1[BRAND],Demand_Modeling_Week_level!G$2)</f>
        <v>9.2712735171484759</v>
      </c>
      <c r="H83">
        <f>SUMIFS(Table1[Modeled_Demand],Table1[Key_Year_week_DC],Demand_Modeling_Week_level!$A83,Table1[BRAND],Demand_Modeling_Week_level!H$2)</f>
        <v>0</v>
      </c>
      <c r="I83">
        <f>SUMIFS(Table1[Modeled_Demand],Table1[Key_Year_week_DC],Demand_Modeling_Week_level!$A83,Table1[BRAND],Demand_Modeling_Week_level!I$2)</f>
        <v>0</v>
      </c>
      <c r="J83">
        <f>SUMIFS(Table1[Modeled_Demand],Table1[Key_Year_week_DC],Demand_Modeling_Week_level!$A83,Table1[BRAND],Demand_Modeling_Week_level!J$2)</f>
        <v>0</v>
      </c>
      <c r="K83">
        <f>SUMIFS(Table1[Modeled_Demand],Table1[Key_Year_week_DC],Demand_Modeling_Week_level!$A83,Table1[BRAND],Demand_Modeling_Week_level!K$2)</f>
        <v>557040.76</v>
      </c>
      <c r="L83">
        <f>SUMIFS(Table1[Demand],Table1[Key_Year_week_DC],Demand_Modeling_Week_level!$A83)</f>
        <v>436311</v>
      </c>
      <c r="M83">
        <f t="shared" si="7"/>
        <v>557057.89774462034</v>
      </c>
      <c r="N83">
        <f>VLOOKUP(A83,Capacity!B:G,6,FALSE)</f>
        <v>3150025.2</v>
      </c>
      <c r="O83" s="20">
        <f t="shared" si="8"/>
        <v>0.13851032048886466</v>
      </c>
      <c r="P83">
        <f t="shared" si="9"/>
        <v>0.17684236232288564</v>
      </c>
    </row>
    <row r="84" spans="1:16" hidden="1" x14ac:dyDescent="0.3">
      <c r="A84" t="str">
        <f t="shared" si="10"/>
        <v>201947-OCC</v>
      </c>
      <c r="B84">
        <f t="shared" si="11"/>
        <v>201947</v>
      </c>
      <c r="C84" t="s">
        <v>11</v>
      </c>
      <c r="D84">
        <v>2019</v>
      </c>
      <c r="E84">
        <v>47</v>
      </c>
      <c r="F84">
        <f>SUMIFS(Table1[Modeled_Demand],Table1[Key_Year_week_DC],Demand_Modeling_Week_level!$A84,Table1[BRAND],Demand_Modeling_Week_level!F$2)</f>
        <v>0</v>
      </c>
      <c r="G84">
        <f>SUMIFS(Table1[Modeled_Demand],Table1[Key_Year_week_DC],Demand_Modeling_Week_level!$A84,Table1[BRAND],Demand_Modeling_Week_level!G$2)</f>
        <v>0</v>
      </c>
      <c r="H84">
        <f>SUMIFS(Table1[Modeled_Demand],Table1[Key_Year_week_DC],Demand_Modeling_Week_level!$A84,Table1[BRAND],Demand_Modeling_Week_level!H$2)</f>
        <v>0</v>
      </c>
      <c r="I84">
        <f>SUMIFS(Table1[Modeled_Demand],Table1[Key_Year_week_DC],Demand_Modeling_Week_level!$A84,Table1[BRAND],Demand_Modeling_Week_level!I$2)</f>
        <v>0</v>
      </c>
      <c r="J84">
        <f>SUMIFS(Table1[Modeled_Demand],Table1[Key_Year_week_DC],Demand_Modeling_Week_level!$A84,Table1[BRAND],Demand_Modeling_Week_level!J$2)</f>
        <v>0</v>
      </c>
      <c r="K84">
        <f>SUMIFS(Table1[Modeled_Demand],Table1[Key_Year_week_DC],Demand_Modeling_Week_level!$A84,Table1[BRAND],Demand_Modeling_Week_level!K$2)</f>
        <v>0</v>
      </c>
      <c r="L84">
        <f>SUMIFS(Table1[Demand],Table1[Key_Year_week_DC],Demand_Modeling_Week_level!$A84)</f>
        <v>0</v>
      </c>
      <c r="M84">
        <f t="shared" si="7"/>
        <v>0</v>
      </c>
      <c r="N84">
        <f>VLOOKUP(A84,Capacity!B:G,6,FALSE)</f>
        <v>0</v>
      </c>
      <c r="O84" s="20">
        <f t="shared" si="8"/>
        <v>0</v>
      </c>
      <c r="P84">
        <f t="shared" si="9"/>
        <v>0</v>
      </c>
    </row>
    <row r="85" spans="1:16" hidden="1" x14ac:dyDescent="0.3">
      <c r="A85" t="str">
        <f t="shared" si="10"/>
        <v>201947-ODC</v>
      </c>
      <c r="B85">
        <f t="shared" si="11"/>
        <v>201947</v>
      </c>
      <c r="C85" t="s">
        <v>9</v>
      </c>
      <c r="D85">
        <v>2019</v>
      </c>
      <c r="E85">
        <v>47</v>
      </c>
      <c r="F85">
        <f>SUMIFS(Table1[Modeled_Demand],Table1[Key_Year_week_DC],Demand_Modeling_Week_level!$A85,Table1[BRAND],Demand_Modeling_Week_level!F$2)</f>
        <v>0</v>
      </c>
      <c r="G85">
        <f>SUMIFS(Table1[Modeled_Demand],Table1[Key_Year_week_DC],Demand_Modeling_Week_level!$A85,Table1[BRAND],Demand_Modeling_Week_level!G$2)</f>
        <v>0</v>
      </c>
      <c r="H85">
        <f>SUMIFS(Table1[Modeled_Demand],Table1[Key_Year_week_DC],Demand_Modeling_Week_level!$A85,Table1[BRAND],Demand_Modeling_Week_level!H$2)</f>
        <v>0</v>
      </c>
      <c r="I85">
        <f>SUMIFS(Table1[Modeled_Demand],Table1[Key_Year_week_DC],Demand_Modeling_Week_level!$A85,Table1[BRAND],Demand_Modeling_Week_level!I$2)</f>
        <v>0</v>
      </c>
      <c r="J85">
        <f>SUMIFS(Table1[Modeled_Demand],Table1[Key_Year_week_DC],Demand_Modeling_Week_level!$A85,Table1[BRAND],Demand_Modeling_Week_level!J$2)</f>
        <v>0</v>
      </c>
      <c r="K85">
        <f>SUMIFS(Table1[Modeled_Demand],Table1[Key_Year_week_DC],Demand_Modeling_Week_level!$A85,Table1[BRAND],Demand_Modeling_Week_level!K$2)</f>
        <v>0</v>
      </c>
      <c r="L85">
        <f>SUMIFS(Table1[Demand],Table1[Key_Year_week_DC],Demand_Modeling_Week_level!$A85)</f>
        <v>0</v>
      </c>
      <c r="M85">
        <f t="shared" si="7"/>
        <v>0</v>
      </c>
      <c r="N85" t="e">
        <f>VLOOKUP(A85,Capacity!B:G,6,FALSE)</f>
        <v>#N/A</v>
      </c>
      <c r="O85" s="20">
        <f t="shared" si="8"/>
        <v>0</v>
      </c>
      <c r="P85">
        <f t="shared" si="9"/>
        <v>0</v>
      </c>
    </row>
    <row r="86" spans="1:16" hidden="1" x14ac:dyDescent="0.3">
      <c r="A86" t="str">
        <f t="shared" si="10"/>
        <v>201947-OFC</v>
      </c>
      <c r="B86">
        <f t="shared" si="11"/>
        <v>201947</v>
      </c>
      <c r="C86" t="s">
        <v>5</v>
      </c>
      <c r="D86">
        <v>2019</v>
      </c>
      <c r="E86">
        <v>47</v>
      </c>
      <c r="F86">
        <f>SUMIFS(Table1[Modeled_Demand],Table1[Key_Year_week_DC],Demand_Modeling_Week_level!$A86,Table1[BRAND],Demand_Modeling_Week_level!F$2)</f>
        <v>0</v>
      </c>
      <c r="G86">
        <f>SUMIFS(Table1[Modeled_Demand],Table1[Key_Year_week_DC],Demand_Modeling_Week_level!$A86,Table1[BRAND],Demand_Modeling_Week_level!G$2)</f>
        <v>0</v>
      </c>
      <c r="H86">
        <f>SUMIFS(Table1[Modeled_Demand],Table1[Key_Year_week_DC],Demand_Modeling_Week_level!$A86,Table1[BRAND],Demand_Modeling_Week_level!H$2)</f>
        <v>87472</v>
      </c>
      <c r="I86">
        <f>SUMIFS(Table1[Modeled_Demand],Table1[Key_Year_week_DC],Demand_Modeling_Week_level!$A86,Table1[BRAND],Demand_Modeling_Week_level!I$2)</f>
        <v>199638.75</v>
      </c>
      <c r="J86">
        <f>SUMIFS(Table1[Modeled_Demand],Table1[Key_Year_week_DC],Demand_Modeling_Week_level!$A86,Table1[BRAND],Demand_Modeling_Week_level!J$2)</f>
        <v>176330</v>
      </c>
      <c r="K86">
        <f>SUMIFS(Table1[Modeled_Demand],Table1[Key_Year_week_DC],Demand_Modeling_Week_level!$A86,Table1[BRAND],Demand_Modeling_Week_level!K$2)</f>
        <v>203795.4</v>
      </c>
      <c r="L86">
        <f>SUMIFS(Table1[Demand],Table1[Key_Year_week_DC],Demand_Modeling_Week_level!$A86)</f>
        <v>1378725</v>
      </c>
      <c r="M86">
        <f t="shared" si="7"/>
        <v>667236.15</v>
      </c>
      <c r="N86">
        <f>VLOOKUP(A86,Capacity!B:G,6,FALSE)</f>
        <v>3307481.1</v>
      </c>
      <c r="O86" s="20">
        <f t="shared" si="8"/>
        <v>0.41685045456495579</v>
      </c>
      <c r="P86">
        <f t="shared" si="9"/>
        <v>0.20173543848821993</v>
      </c>
    </row>
    <row r="87" spans="1:16" hidden="1" x14ac:dyDescent="0.3">
      <c r="A87" t="str">
        <f t="shared" si="10"/>
        <v>201947-SFS</v>
      </c>
      <c r="B87">
        <f t="shared" si="11"/>
        <v>201947</v>
      </c>
      <c r="C87" t="s">
        <v>12</v>
      </c>
      <c r="D87">
        <v>2019</v>
      </c>
      <c r="E87">
        <v>47</v>
      </c>
      <c r="F87">
        <f>SUMIFS(Table1[Modeled_Demand],Table1[Key_Year_week_DC],Demand_Modeling_Week_level!$A87,Table1[BRAND],Demand_Modeling_Week_level!F$2)</f>
        <v>0</v>
      </c>
      <c r="G87">
        <f>SUMIFS(Table1[Modeled_Demand],Table1[Key_Year_week_DC],Demand_Modeling_Week_level!$A87,Table1[BRAND],Demand_Modeling_Week_level!G$2)</f>
        <v>0</v>
      </c>
      <c r="H87">
        <f>SUMIFS(Table1[Modeled_Demand],Table1[Key_Year_week_DC],Demand_Modeling_Week_level!$A87,Table1[BRAND],Demand_Modeling_Week_level!H$2)</f>
        <v>0</v>
      </c>
      <c r="I87">
        <f>SUMIFS(Table1[Modeled_Demand],Table1[Key_Year_week_DC],Demand_Modeling_Week_level!$A87,Table1[BRAND],Demand_Modeling_Week_level!I$2)</f>
        <v>0</v>
      </c>
      <c r="J87">
        <f>SUMIFS(Table1[Modeled_Demand],Table1[Key_Year_week_DC],Demand_Modeling_Week_level!$A87,Table1[BRAND],Demand_Modeling_Week_level!J$2)</f>
        <v>0</v>
      </c>
      <c r="K87">
        <f>SUMIFS(Table1[Modeled_Demand],Table1[Key_Year_week_DC],Demand_Modeling_Week_level!$A87,Table1[BRAND],Demand_Modeling_Week_level!K$2)</f>
        <v>0</v>
      </c>
      <c r="L87">
        <f>SUMIFS(Table1[Demand],Table1[Key_Year_week_DC],Demand_Modeling_Week_level!$A87)</f>
        <v>0</v>
      </c>
      <c r="M87">
        <f t="shared" si="7"/>
        <v>0</v>
      </c>
      <c r="N87" t="e">
        <f>VLOOKUP(A87,Capacity!B:G,6,FALSE)</f>
        <v>#N/A</v>
      </c>
      <c r="O87" s="20">
        <f t="shared" si="8"/>
        <v>0</v>
      </c>
      <c r="P87">
        <f t="shared" si="9"/>
        <v>0</v>
      </c>
    </row>
    <row r="88" spans="1:16" hidden="1" x14ac:dyDescent="0.3">
      <c r="A88" t="str">
        <f t="shared" si="10"/>
        <v>201947-TFC</v>
      </c>
      <c r="B88">
        <f t="shared" si="11"/>
        <v>201947</v>
      </c>
      <c r="C88" t="s">
        <v>6</v>
      </c>
      <c r="D88">
        <v>2019</v>
      </c>
      <c r="E88">
        <v>47</v>
      </c>
      <c r="F88">
        <f>SUMIFS(Table1[Modeled_Demand],Table1[Key_Year_week_DC],Demand_Modeling_Week_level!$A88,Table1[BRAND],Demand_Modeling_Week_level!F$2)</f>
        <v>228204</v>
      </c>
      <c r="G88">
        <f>SUMIFS(Table1[Modeled_Demand],Table1[Key_Year_week_DC],Demand_Modeling_Week_level!$A88,Table1[BRAND],Demand_Modeling_Week_level!G$2)</f>
        <v>218972</v>
      </c>
      <c r="H88">
        <f>SUMIFS(Table1[Modeled_Demand],Table1[Key_Year_week_DC],Demand_Modeling_Week_level!$A88,Table1[BRAND],Demand_Modeling_Week_level!H$2)</f>
        <v>0</v>
      </c>
      <c r="I88">
        <f>SUMIFS(Table1[Modeled_Demand],Table1[Key_Year_week_DC],Demand_Modeling_Week_level!$A88,Table1[BRAND],Demand_Modeling_Week_level!I$2)</f>
        <v>159711</v>
      </c>
      <c r="J88">
        <f>SUMIFS(Table1[Modeled_Demand],Table1[Key_Year_week_DC],Demand_Modeling_Week_level!$A88,Table1[BRAND],Demand_Modeling_Week_level!J$2)</f>
        <v>0</v>
      </c>
      <c r="K88">
        <f>SUMIFS(Table1[Modeled_Demand],Table1[Key_Year_week_DC],Demand_Modeling_Week_level!$A88,Table1[BRAND],Demand_Modeling_Week_level!K$2)</f>
        <v>271727.2</v>
      </c>
      <c r="L88">
        <f>SUMIFS(Table1[Demand],Table1[Key_Year_week_DC],Demand_Modeling_Week_level!$A88)</f>
        <v>617537</v>
      </c>
      <c r="M88">
        <f t="shared" si="7"/>
        <v>878614.2</v>
      </c>
      <c r="N88">
        <f>VLOOKUP(A88,Capacity!B:G,6,FALSE)</f>
        <v>3150025.2</v>
      </c>
      <c r="O88" s="20">
        <f t="shared" si="8"/>
        <v>0.19604192372810222</v>
      </c>
      <c r="P88">
        <f t="shared" si="9"/>
        <v>0.27892291147385101</v>
      </c>
    </row>
    <row r="89" spans="1:16" hidden="1" x14ac:dyDescent="0.3">
      <c r="A89" t="str">
        <f t="shared" si="10"/>
        <v>201947-WEO</v>
      </c>
      <c r="B89">
        <f t="shared" si="11"/>
        <v>201947</v>
      </c>
      <c r="C89" t="s">
        <v>10</v>
      </c>
      <c r="D89">
        <v>2019</v>
      </c>
      <c r="E89">
        <v>47</v>
      </c>
      <c r="F89">
        <f>SUMIFS(Table1[Modeled_Demand],Table1[Key_Year_week_DC],Demand_Modeling_Week_level!$A89,Table1[BRAND],Demand_Modeling_Week_level!F$2)</f>
        <v>0</v>
      </c>
      <c r="G89">
        <f>SUMIFS(Table1[Modeled_Demand],Table1[Key_Year_week_DC],Demand_Modeling_Week_level!$A89,Table1[BRAND],Demand_Modeling_Week_level!G$2)</f>
        <v>0</v>
      </c>
      <c r="H89">
        <f>SUMIFS(Table1[Modeled_Demand],Table1[Key_Year_week_DC],Demand_Modeling_Week_level!$A89,Table1[BRAND],Demand_Modeling_Week_level!H$2)</f>
        <v>0</v>
      </c>
      <c r="I89">
        <f>SUMIFS(Table1[Modeled_Demand],Table1[Key_Year_week_DC],Demand_Modeling_Week_level!$A89,Table1[BRAND],Demand_Modeling_Week_level!I$2)</f>
        <v>319422</v>
      </c>
      <c r="J89">
        <f>SUMIFS(Table1[Modeled_Demand],Table1[Key_Year_week_DC],Demand_Modeling_Week_level!$A89,Table1[BRAND],Demand_Modeling_Week_level!J$2)</f>
        <v>0</v>
      </c>
      <c r="K89">
        <f>SUMIFS(Table1[Modeled_Demand],Table1[Key_Year_week_DC],Demand_Modeling_Week_level!$A89,Table1[BRAND],Demand_Modeling_Week_level!K$2)</f>
        <v>298899.92</v>
      </c>
      <c r="L89">
        <f>SUMIFS(Table1[Demand],Table1[Key_Year_week_DC],Demand_Modeling_Week_level!$A89)</f>
        <v>177975</v>
      </c>
      <c r="M89">
        <f t="shared" si="7"/>
        <v>618321.91999999993</v>
      </c>
      <c r="N89">
        <f>VLOOKUP(A89,Capacity!B:G,6,FALSE)</f>
        <v>3150025.2</v>
      </c>
      <c r="O89" s="20">
        <f t="shared" si="8"/>
        <v>5.6499548003615965E-2</v>
      </c>
      <c r="P89">
        <f t="shared" si="9"/>
        <v>0.19629110268705149</v>
      </c>
    </row>
    <row r="90" spans="1:16" hidden="1" x14ac:dyDescent="0.3">
      <c r="A90" t="str">
        <f t="shared" si="10"/>
        <v>201947-WFC</v>
      </c>
      <c r="B90">
        <f t="shared" si="11"/>
        <v>201947</v>
      </c>
      <c r="C90" t="s">
        <v>7</v>
      </c>
      <c r="D90">
        <v>2019</v>
      </c>
      <c r="E90">
        <v>47</v>
      </c>
      <c r="F90">
        <f>SUMIFS(Table1[Modeled_Demand],Table1[Key_Year_week_DC],Demand_Modeling_Week_level!$A90,Table1[BRAND],Demand_Modeling_Week_level!F$2)</f>
        <v>0</v>
      </c>
      <c r="G90">
        <f>SUMIFS(Table1[Modeled_Demand],Table1[Key_Year_week_DC],Demand_Modeling_Week_level!$A90,Table1[BRAND],Demand_Modeling_Week_level!G$2)</f>
        <v>0.76551799682877308</v>
      </c>
      <c r="H90">
        <f>SUMIFS(Table1[Modeled_Demand],Table1[Key_Year_week_DC],Demand_Modeling_Week_level!$A90,Table1[BRAND],Demand_Modeling_Week_level!H$2)</f>
        <v>0</v>
      </c>
      <c r="I90">
        <f>SUMIFS(Table1[Modeled_Demand],Table1[Key_Year_week_DC],Demand_Modeling_Week_level!$A90,Table1[BRAND],Demand_Modeling_Week_level!I$2)</f>
        <v>119783.25</v>
      </c>
      <c r="J90">
        <f>SUMIFS(Table1[Modeled_Demand],Table1[Key_Year_week_DC],Demand_Modeling_Week_level!$A90,Table1[BRAND],Demand_Modeling_Week_level!J$2)</f>
        <v>0</v>
      </c>
      <c r="K90">
        <f>SUMIFS(Table1[Modeled_Demand],Table1[Key_Year_week_DC],Demand_Modeling_Week_level!$A90,Table1[BRAND],Demand_Modeling_Week_level!K$2)</f>
        <v>27172.720000000001</v>
      </c>
      <c r="L90">
        <f>SUMIFS(Table1[Demand],Table1[Key_Year_week_DC],Demand_Modeling_Week_level!$A90)</f>
        <v>257621</v>
      </c>
      <c r="M90">
        <f t="shared" si="7"/>
        <v>146956.73551799683</v>
      </c>
      <c r="N90">
        <f>VLOOKUP(A90,Capacity!B:G,6,FALSE)</f>
        <v>755981.09999999905</v>
      </c>
      <c r="O90" s="20">
        <f t="shared" si="8"/>
        <v>0.34077703794446756</v>
      </c>
      <c r="P90">
        <f t="shared" si="9"/>
        <v>0.19439207609554923</v>
      </c>
    </row>
    <row r="91" spans="1:16" hidden="1" x14ac:dyDescent="0.3">
      <c r="A91" t="str">
        <f t="shared" si="10"/>
        <v>201948-EAO</v>
      </c>
      <c r="B91">
        <f t="shared" si="11"/>
        <v>201948</v>
      </c>
      <c r="C91" t="s">
        <v>8</v>
      </c>
      <c r="D91">
        <v>2019</v>
      </c>
      <c r="E91">
        <v>48</v>
      </c>
      <c r="F91">
        <f>SUMIFS(Table1[Modeled_Demand],Table1[Key_Year_week_DC],Demand_Modeling_Week_level!$A91,Table1[BRAND],Demand_Modeling_Week_level!F$2)</f>
        <v>0</v>
      </c>
      <c r="G91">
        <f>SUMIFS(Table1[Modeled_Demand],Table1[Key_Year_week_DC],Demand_Modeling_Week_level!$A91,Table1[BRAND],Demand_Modeling_Week_level!G$2)</f>
        <v>0</v>
      </c>
      <c r="H91">
        <f>SUMIFS(Table1[Modeled_Demand],Table1[Key_Year_week_DC],Demand_Modeling_Week_level!$A91,Table1[BRAND],Demand_Modeling_Week_level!H$2)</f>
        <v>0</v>
      </c>
      <c r="I91">
        <f>SUMIFS(Table1[Modeled_Demand],Table1[Key_Year_week_DC],Demand_Modeling_Week_level!$A91,Table1[BRAND],Demand_Modeling_Week_level!I$2)</f>
        <v>0</v>
      </c>
      <c r="J91">
        <f>SUMIFS(Table1[Modeled_Demand],Table1[Key_Year_week_DC],Demand_Modeling_Week_level!$A91,Table1[BRAND],Demand_Modeling_Week_level!J$2)</f>
        <v>0</v>
      </c>
      <c r="K91">
        <f>SUMIFS(Table1[Modeled_Demand],Table1[Key_Year_week_DC],Demand_Modeling_Week_level!$A91,Table1[BRAND],Demand_Modeling_Week_level!K$2)</f>
        <v>0</v>
      </c>
      <c r="L91">
        <f>SUMIFS(Table1[Demand],Table1[Key_Year_week_DC],Demand_Modeling_Week_level!$A91)</f>
        <v>0</v>
      </c>
      <c r="M91">
        <f t="shared" si="7"/>
        <v>0</v>
      </c>
      <c r="N91">
        <f>VLOOKUP(A91,Capacity!B:G,6,FALSE)</f>
        <v>0</v>
      </c>
      <c r="O91" s="20">
        <f t="shared" si="8"/>
        <v>0</v>
      </c>
      <c r="P91">
        <f t="shared" si="9"/>
        <v>0</v>
      </c>
    </row>
    <row r="92" spans="1:16" hidden="1" x14ac:dyDescent="0.3">
      <c r="A92" t="str">
        <f t="shared" si="10"/>
        <v>201948-OCC</v>
      </c>
      <c r="B92">
        <f t="shared" si="11"/>
        <v>201948</v>
      </c>
      <c r="C92" t="s">
        <v>11</v>
      </c>
      <c r="D92">
        <v>2019</v>
      </c>
      <c r="E92">
        <v>48</v>
      </c>
      <c r="F92">
        <f>SUMIFS(Table1[Modeled_Demand],Table1[Key_Year_week_DC],Demand_Modeling_Week_level!$A92,Table1[BRAND],Demand_Modeling_Week_level!F$2)</f>
        <v>0</v>
      </c>
      <c r="G92">
        <f>SUMIFS(Table1[Modeled_Demand],Table1[Key_Year_week_DC],Demand_Modeling_Week_level!$A92,Table1[BRAND],Demand_Modeling_Week_level!G$2)</f>
        <v>0</v>
      </c>
      <c r="H92">
        <f>SUMIFS(Table1[Modeled_Demand],Table1[Key_Year_week_DC],Demand_Modeling_Week_level!$A92,Table1[BRAND],Demand_Modeling_Week_level!H$2)</f>
        <v>0</v>
      </c>
      <c r="I92">
        <f>SUMIFS(Table1[Modeled_Demand],Table1[Key_Year_week_DC],Demand_Modeling_Week_level!$A92,Table1[BRAND],Demand_Modeling_Week_level!I$2)</f>
        <v>0</v>
      </c>
      <c r="J92">
        <f>SUMIFS(Table1[Modeled_Demand],Table1[Key_Year_week_DC],Demand_Modeling_Week_level!$A92,Table1[BRAND],Demand_Modeling_Week_level!J$2)</f>
        <v>0</v>
      </c>
      <c r="K92">
        <f>SUMIFS(Table1[Modeled_Demand],Table1[Key_Year_week_DC],Demand_Modeling_Week_level!$A92,Table1[BRAND],Demand_Modeling_Week_level!K$2)</f>
        <v>0</v>
      </c>
      <c r="L92">
        <f>SUMIFS(Table1[Demand],Table1[Key_Year_week_DC],Demand_Modeling_Week_level!$A92)</f>
        <v>0</v>
      </c>
      <c r="M92">
        <f t="shared" si="7"/>
        <v>0</v>
      </c>
      <c r="N92">
        <f>VLOOKUP(A92,Capacity!B:G,6,FALSE)</f>
        <v>0</v>
      </c>
      <c r="O92" s="20">
        <f t="shared" si="8"/>
        <v>0</v>
      </c>
      <c r="P92">
        <f t="shared" si="9"/>
        <v>0</v>
      </c>
    </row>
    <row r="93" spans="1:16" hidden="1" x14ac:dyDescent="0.3">
      <c r="A93" t="str">
        <f t="shared" si="10"/>
        <v>201948-ODC</v>
      </c>
      <c r="B93">
        <f t="shared" si="11"/>
        <v>201948</v>
      </c>
      <c r="C93" t="s">
        <v>9</v>
      </c>
      <c r="D93">
        <v>2019</v>
      </c>
      <c r="E93">
        <v>48</v>
      </c>
      <c r="F93">
        <f>SUMIFS(Table1[Modeled_Demand],Table1[Key_Year_week_DC],Demand_Modeling_Week_level!$A93,Table1[BRAND],Demand_Modeling_Week_level!F$2)</f>
        <v>0</v>
      </c>
      <c r="G93">
        <f>SUMIFS(Table1[Modeled_Demand],Table1[Key_Year_week_DC],Demand_Modeling_Week_level!$A93,Table1[BRAND],Demand_Modeling_Week_level!G$2)</f>
        <v>0</v>
      </c>
      <c r="H93">
        <f>SUMIFS(Table1[Modeled_Demand],Table1[Key_Year_week_DC],Demand_Modeling_Week_level!$A93,Table1[BRAND],Demand_Modeling_Week_level!H$2)</f>
        <v>0</v>
      </c>
      <c r="I93">
        <f>SUMIFS(Table1[Modeled_Demand],Table1[Key_Year_week_DC],Demand_Modeling_Week_level!$A93,Table1[BRAND],Demand_Modeling_Week_level!I$2)</f>
        <v>0</v>
      </c>
      <c r="J93">
        <f>SUMIFS(Table1[Modeled_Demand],Table1[Key_Year_week_DC],Demand_Modeling_Week_level!$A93,Table1[BRAND],Demand_Modeling_Week_level!J$2)</f>
        <v>0</v>
      </c>
      <c r="K93">
        <f>SUMIFS(Table1[Modeled_Demand],Table1[Key_Year_week_DC],Demand_Modeling_Week_level!$A93,Table1[BRAND],Demand_Modeling_Week_level!K$2)</f>
        <v>0</v>
      </c>
      <c r="L93">
        <f>SUMIFS(Table1[Demand],Table1[Key_Year_week_DC],Demand_Modeling_Week_level!$A93)</f>
        <v>0</v>
      </c>
      <c r="M93">
        <f t="shared" si="7"/>
        <v>0</v>
      </c>
      <c r="N93" t="e">
        <f>VLOOKUP(A93,Capacity!B:G,6,FALSE)</f>
        <v>#N/A</v>
      </c>
      <c r="O93" s="20">
        <f t="shared" si="8"/>
        <v>0</v>
      </c>
      <c r="P93">
        <f t="shared" si="9"/>
        <v>0</v>
      </c>
    </row>
    <row r="94" spans="1:16" hidden="1" x14ac:dyDescent="0.3">
      <c r="A94" t="str">
        <f t="shared" si="10"/>
        <v>201948-OFC</v>
      </c>
      <c r="B94">
        <f t="shared" si="11"/>
        <v>201948</v>
      </c>
      <c r="C94" t="s">
        <v>5</v>
      </c>
      <c r="D94">
        <v>2019</v>
      </c>
      <c r="E94">
        <v>48</v>
      </c>
      <c r="F94">
        <f>SUMIFS(Table1[Modeled_Demand],Table1[Key_Year_week_DC],Demand_Modeling_Week_level!$A94,Table1[BRAND],Demand_Modeling_Week_level!F$2)</f>
        <v>0</v>
      </c>
      <c r="G94">
        <f>SUMIFS(Table1[Modeled_Demand],Table1[Key_Year_week_DC],Demand_Modeling_Week_level!$A94,Table1[BRAND],Demand_Modeling_Week_level!G$2)</f>
        <v>0</v>
      </c>
      <c r="H94">
        <f>SUMIFS(Table1[Modeled_Demand],Table1[Key_Year_week_DC],Demand_Modeling_Week_level!$A94,Table1[BRAND],Demand_Modeling_Week_level!H$2)</f>
        <v>0</v>
      </c>
      <c r="I94">
        <f>SUMIFS(Table1[Modeled_Demand],Table1[Key_Year_week_DC],Demand_Modeling_Week_level!$A94,Table1[BRAND],Demand_Modeling_Week_level!I$2)</f>
        <v>0</v>
      </c>
      <c r="J94">
        <f>SUMIFS(Table1[Modeled_Demand],Table1[Key_Year_week_DC],Demand_Modeling_Week_level!$A94,Table1[BRAND],Demand_Modeling_Week_level!J$2)</f>
        <v>0</v>
      </c>
      <c r="K94">
        <f>SUMIFS(Table1[Modeled_Demand],Table1[Key_Year_week_DC],Demand_Modeling_Week_level!$A94,Table1[BRAND],Demand_Modeling_Week_level!K$2)</f>
        <v>0</v>
      </c>
      <c r="L94">
        <f>SUMIFS(Table1[Demand],Table1[Key_Year_week_DC],Demand_Modeling_Week_level!$A94)</f>
        <v>0</v>
      </c>
      <c r="M94">
        <f t="shared" si="7"/>
        <v>0</v>
      </c>
      <c r="N94">
        <f>VLOOKUP(A94,Capacity!B:G,6,FALSE)</f>
        <v>0</v>
      </c>
      <c r="O94" s="20">
        <f t="shared" si="8"/>
        <v>0</v>
      </c>
      <c r="P94">
        <f t="shared" si="9"/>
        <v>0</v>
      </c>
    </row>
    <row r="95" spans="1:16" hidden="1" x14ac:dyDescent="0.3">
      <c r="A95" t="str">
        <f t="shared" si="10"/>
        <v>201948-SFS</v>
      </c>
      <c r="B95">
        <f t="shared" si="11"/>
        <v>201948</v>
      </c>
      <c r="C95" t="s">
        <v>12</v>
      </c>
      <c r="D95">
        <v>2019</v>
      </c>
      <c r="E95">
        <v>48</v>
      </c>
      <c r="F95">
        <f>SUMIFS(Table1[Modeled_Demand],Table1[Key_Year_week_DC],Demand_Modeling_Week_level!$A95,Table1[BRAND],Demand_Modeling_Week_level!F$2)</f>
        <v>0</v>
      </c>
      <c r="G95">
        <f>SUMIFS(Table1[Modeled_Demand],Table1[Key_Year_week_DC],Demand_Modeling_Week_level!$A95,Table1[BRAND],Demand_Modeling_Week_level!G$2)</f>
        <v>0</v>
      </c>
      <c r="H95">
        <f>SUMIFS(Table1[Modeled_Demand],Table1[Key_Year_week_DC],Demand_Modeling_Week_level!$A95,Table1[BRAND],Demand_Modeling_Week_level!H$2)</f>
        <v>0</v>
      </c>
      <c r="I95">
        <f>SUMIFS(Table1[Modeled_Demand],Table1[Key_Year_week_DC],Demand_Modeling_Week_level!$A95,Table1[BRAND],Demand_Modeling_Week_level!I$2)</f>
        <v>0</v>
      </c>
      <c r="J95">
        <f>SUMIFS(Table1[Modeled_Demand],Table1[Key_Year_week_DC],Demand_Modeling_Week_level!$A95,Table1[BRAND],Demand_Modeling_Week_level!J$2)</f>
        <v>0</v>
      </c>
      <c r="K95">
        <f>SUMIFS(Table1[Modeled_Demand],Table1[Key_Year_week_DC],Demand_Modeling_Week_level!$A95,Table1[BRAND],Demand_Modeling_Week_level!K$2)</f>
        <v>0</v>
      </c>
      <c r="L95">
        <f>SUMIFS(Table1[Demand],Table1[Key_Year_week_DC],Demand_Modeling_Week_level!$A95)</f>
        <v>0</v>
      </c>
      <c r="M95">
        <f t="shared" si="7"/>
        <v>0</v>
      </c>
      <c r="N95" t="e">
        <f>VLOOKUP(A95,Capacity!B:G,6,FALSE)</f>
        <v>#N/A</v>
      </c>
      <c r="O95" s="20">
        <f t="shared" si="8"/>
        <v>0</v>
      </c>
      <c r="P95">
        <f t="shared" si="9"/>
        <v>0</v>
      </c>
    </row>
    <row r="96" spans="1:16" hidden="1" x14ac:dyDescent="0.3">
      <c r="A96" t="str">
        <f t="shared" si="10"/>
        <v>201948-TFC</v>
      </c>
      <c r="B96">
        <f t="shared" si="11"/>
        <v>201948</v>
      </c>
      <c r="C96" t="s">
        <v>6</v>
      </c>
      <c r="D96">
        <v>2019</v>
      </c>
      <c r="E96">
        <v>48</v>
      </c>
      <c r="F96">
        <f>SUMIFS(Table1[Modeled_Demand],Table1[Key_Year_week_DC],Demand_Modeling_Week_level!$A96,Table1[BRAND],Demand_Modeling_Week_level!F$2)</f>
        <v>0</v>
      </c>
      <c r="G96">
        <f>SUMIFS(Table1[Modeled_Demand],Table1[Key_Year_week_DC],Demand_Modeling_Week_level!$A96,Table1[BRAND],Demand_Modeling_Week_level!G$2)</f>
        <v>0</v>
      </c>
      <c r="H96">
        <f>SUMIFS(Table1[Modeled_Demand],Table1[Key_Year_week_DC],Demand_Modeling_Week_level!$A96,Table1[BRAND],Demand_Modeling_Week_level!H$2)</f>
        <v>0</v>
      </c>
      <c r="I96">
        <f>SUMIFS(Table1[Modeled_Demand],Table1[Key_Year_week_DC],Demand_Modeling_Week_level!$A96,Table1[BRAND],Demand_Modeling_Week_level!I$2)</f>
        <v>0</v>
      </c>
      <c r="J96">
        <f>SUMIFS(Table1[Modeled_Demand],Table1[Key_Year_week_DC],Demand_Modeling_Week_level!$A96,Table1[BRAND],Demand_Modeling_Week_level!J$2)</f>
        <v>0</v>
      </c>
      <c r="K96">
        <f>SUMIFS(Table1[Modeled_Demand],Table1[Key_Year_week_DC],Demand_Modeling_Week_level!$A96,Table1[BRAND],Demand_Modeling_Week_level!K$2)</f>
        <v>0</v>
      </c>
      <c r="L96">
        <f>SUMIFS(Table1[Demand],Table1[Key_Year_week_DC],Demand_Modeling_Week_level!$A96)</f>
        <v>0</v>
      </c>
      <c r="M96">
        <f t="shared" si="7"/>
        <v>0</v>
      </c>
      <c r="N96">
        <f>VLOOKUP(A96,Capacity!B:G,6,FALSE)</f>
        <v>0</v>
      </c>
      <c r="O96" s="20">
        <f t="shared" si="8"/>
        <v>0</v>
      </c>
      <c r="P96">
        <f t="shared" si="9"/>
        <v>0</v>
      </c>
    </row>
    <row r="97" spans="1:16" hidden="1" x14ac:dyDescent="0.3">
      <c r="A97" t="str">
        <f t="shared" si="10"/>
        <v>201948-WEO</v>
      </c>
      <c r="B97">
        <f t="shared" si="11"/>
        <v>201948</v>
      </c>
      <c r="C97" t="s">
        <v>10</v>
      </c>
      <c r="D97">
        <v>2019</v>
      </c>
      <c r="E97">
        <v>48</v>
      </c>
      <c r="F97">
        <f>SUMIFS(Table1[Modeled_Demand],Table1[Key_Year_week_DC],Demand_Modeling_Week_level!$A97,Table1[BRAND],Demand_Modeling_Week_level!F$2)</f>
        <v>0</v>
      </c>
      <c r="G97">
        <f>SUMIFS(Table1[Modeled_Demand],Table1[Key_Year_week_DC],Demand_Modeling_Week_level!$A97,Table1[BRAND],Demand_Modeling_Week_level!G$2)</f>
        <v>0</v>
      </c>
      <c r="H97">
        <f>SUMIFS(Table1[Modeled_Demand],Table1[Key_Year_week_DC],Demand_Modeling_Week_level!$A97,Table1[BRAND],Demand_Modeling_Week_level!H$2)</f>
        <v>0</v>
      </c>
      <c r="I97">
        <f>SUMIFS(Table1[Modeled_Demand],Table1[Key_Year_week_DC],Demand_Modeling_Week_level!$A97,Table1[BRAND],Demand_Modeling_Week_level!I$2)</f>
        <v>0</v>
      </c>
      <c r="J97">
        <f>SUMIFS(Table1[Modeled_Demand],Table1[Key_Year_week_DC],Demand_Modeling_Week_level!$A97,Table1[BRAND],Demand_Modeling_Week_level!J$2)</f>
        <v>0</v>
      </c>
      <c r="K97">
        <f>SUMIFS(Table1[Modeled_Demand],Table1[Key_Year_week_DC],Demand_Modeling_Week_level!$A97,Table1[BRAND],Demand_Modeling_Week_level!K$2)</f>
        <v>0</v>
      </c>
      <c r="L97">
        <f>SUMIFS(Table1[Demand],Table1[Key_Year_week_DC],Demand_Modeling_Week_level!$A97)</f>
        <v>0</v>
      </c>
      <c r="M97">
        <f t="shared" si="7"/>
        <v>0</v>
      </c>
      <c r="N97">
        <f>VLOOKUP(A97,Capacity!B:G,6,FALSE)</f>
        <v>0</v>
      </c>
      <c r="O97" s="20">
        <f t="shared" si="8"/>
        <v>0</v>
      </c>
      <c r="P97">
        <f t="shared" si="9"/>
        <v>0</v>
      </c>
    </row>
    <row r="98" spans="1:16" hidden="1" x14ac:dyDescent="0.3">
      <c r="A98" t="str">
        <f t="shared" si="10"/>
        <v>201948-WFC</v>
      </c>
      <c r="B98">
        <f t="shared" si="11"/>
        <v>201948</v>
      </c>
      <c r="C98" t="s">
        <v>7</v>
      </c>
      <c r="D98">
        <v>2019</v>
      </c>
      <c r="E98">
        <v>48</v>
      </c>
      <c r="F98">
        <f>SUMIFS(Table1[Modeled_Demand],Table1[Key_Year_week_DC],Demand_Modeling_Week_level!$A98,Table1[BRAND],Demand_Modeling_Week_level!F$2)</f>
        <v>0</v>
      </c>
      <c r="G98">
        <f>SUMIFS(Table1[Modeled_Demand],Table1[Key_Year_week_DC],Demand_Modeling_Week_level!$A98,Table1[BRAND],Demand_Modeling_Week_level!G$2)</f>
        <v>0</v>
      </c>
      <c r="H98">
        <f>SUMIFS(Table1[Modeled_Demand],Table1[Key_Year_week_DC],Demand_Modeling_Week_level!$A98,Table1[BRAND],Demand_Modeling_Week_level!H$2)</f>
        <v>0</v>
      </c>
      <c r="I98">
        <f>SUMIFS(Table1[Modeled_Demand],Table1[Key_Year_week_DC],Demand_Modeling_Week_level!$A98,Table1[BRAND],Demand_Modeling_Week_level!I$2)</f>
        <v>0</v>
      </c>
      <c r="J98">
        <f>SUMIFS(Table1[Modeled_Demand],Table1[Key_Year_week_DC],Demand_Modeling_Week_level!$A98,Table1[BRAND],Demand_Modeling_Week_level!J$2)</f>
        <v>0</v>
      </c>
      <c r="K98">
        <f>SUMIFS(Table1[Modeled_Demand],Table1[Key_Year_week_DC],Demand_Modeling_Week_level!$A98,Table1[BRAND],Demand_Modeling_Week_level!K$2)</f>
        <v>0</v>
      </c>
      <c r="L98">
        <f>SUMIFS(Table1[Demand],Table1[Key_Year_week_DC],Demand_Modeling_Week_level!$A98)</f>
        <v>0</v>
      </c>
      <c r="M98">
        <f t="shared" si="7"/>
        <v>0</v>
      </c>
      <c r="N98">
        <f>VLOOKUP(A98,Capacity!B:G,6,FALSE)</f>
        <v>0</v>
      </c>
      <c r="O98" s="20">
        <f t="shared" si="8"/>
        <v>0</v>
      </c>
      <c r="P98">
        <f t="shared" si="9"/>
        <v>0</v>
      </c>
    </row>
    <row r="99" spans="1:16" hidden="1" x14ac:dyDescent="0.3">
      <c r="A99" t="str">
        <f t="shared" si="10"/>
        <v>202043-EAO</v>
      </c>
      <c r="B99">
        <f t="shared" si="11"/>
        <v>202043</v>
      </c>
      <c r="C99" t="s">
        <v>8</v>
      </c>
      <c r="D99">
        <v>2020</v>
      </c>
      <c r="E99">
        <v>43</v>
      </c>
      <c r="F99">
        <f>SUMIFS(Table1[Modeled_Demand],Table1[Key_Year_week_DC],Demand_Modeling_Week_level!$A99,Table1[BRAND],Demand_Modeling_Week_level!F$2)</f>
        <v>16.931885833249584</v>
      </c>
      <c r="G99">
        <f>SUMIFS(Table1[Modeled_Demand],Table1[Key_Year_week_DC],Demand_Modeling_Week_level!$A99,Table1[BRAND],Demand_Modeling_Week_level!G$2)</f>
        <v>30.47853051470674</v>
      </c>
      <c r="H99">
        <f>SUMIFS(Table1[Modeled_Demand],Table1[Key_Year_week_DC],Demand_Modeling_Week_level!$A99,Table1[BRAND],Demand_Modeling_Week_level!H$2)</f>
        <v>0</v>
      </c>
      <c r="I99">
        <f>SUMIFS(Table1[Modeled_Demand],Table1[Key_Year_week_DC],Demand_Modeling_Week_level!$A99,Table1[BRAND],Demand_Modeling_Week_level!I$2)</f>
        <v>0</v>
      </c>
      <c r="J99">
        <f>SUMIFS(Table1[Modeled_Demand],Table1[Key_Year_week_DC],Demand_Modeling_Week_level!$A99,Table1[BRAND],Demand_Modeling_Week_level!J$2)</f>
        <v>0</v>
      </c>
      <c r="K99">
        <f>SUMIFS(Table1[Modeled_Demand],Table1[Key_Year_week_DC],Demand_Modeling_Week_level!$A99,Table1[BRAND],Demand_Modeling_Week_level!K$2)</f>
        <v>3705748.51</v>
      </c>
      <c r="L99">
        <f>SUMIFS(Table1[Demand],Table1[Key_Year_week_DC],Demand_Modeling_Week_level!$A99)</f>
        <v>3010326</v>
      </c>
      <c r="M99">
        <f t="shared" si="7"/>
        <v>3705795.9204163477</v>
      </c>
      <c r="N99">
        <f>VLOOKUP(A99,Capacity!B:G,6,FALSE)</f>
        <v>2850022.8</v>
      </c>
      <c r="O99" s="20">
        <f t="shared" si="8"/>
        <v>1.0562462868718103</v>
      </c>
      <c r="P99">
        <f t="shared" si="9"/>
        <v>1.3002688681705803</v>
      </c>
    </row>
    <row r="100" spans="1:16" hidden="1" x14ac:dyDescent="0.3">
      <c r="A100" t="str">
        <f t="shared" si="10"/>
        <v>202043-OCC</v>
      </c>
      <c r="B100">
        <f t="shared" si="11"/>
        <v>202043</v>
      </c>
      <c r="C100" t="s">
        <v>11</v>
      </c>
      <c r="D100">
        <v>2020</v>
      </c>
      <c r="E100">
        <v>43</v>
      </c>
      <c r="F100">
        <f>SUMIFS(Table1[Modeled_Demand],Table1[Key_Year_week_DC],Demand_Modeling_Week_level!$A100,Table1[BRAND],Demand_Modeling_Week_level!F$2)</f>
        <v>0</v>
      </c>
      <c r="G100">
        <f>SUMIFS(Table1[Modeled_Demand],Table1[Key_Year_week_DC],Demand_Modeling_Week_level!$A100,Table1[BRAND],Demand_Modeling_Week_level!G$2)</f>
        <v>0</v>
      </c>
      <c r="H100">
        <f>SUMIFS(Table1[Modeled_Demand],Table1[Key_Year_week_DC],Demand_Modeling_Week_level!$A100,Table1[BRAND],Demand_Modeling_Week_level!H$2)</f>
        <v>0</v>
      </c>
      <c r="I100">
        <f>SUMIFS(Table1[Modeled_Demand],Table1[Key_Year_week_DC],Demand_Modeling_Week_level!$A100,Table1[BRAND],Demand_Modeling_Week_level!I$2)</f>
        <v>0</v>
      </c>
      <c r="J100">
        <f>SUMIFS(Table1[Modeled_Demand],Table1[Key_Year_week_DC],Demand_Modeling_Week_level!$A100,Table1[BRAND],Demand_Modeling_Week_level!J$2)</f>
        <v>0</v>
      </c>
      <c r="K100">
        <f>SUMIFS(Table1[Modeled_Demand],Table1[Key_Year_week_DC],Demand_Modeling_Week_level!$A100,Table1[BRAND],Demand_Modeling_Week_level!K$2)</f>
        <v>0</v>
      </c>
      <c r="L100">
        <f>SUMIFS(Table1[Demand],Table1[Key_Year_week_DC],Demand_Modeling_Week_level!$A100)</f>
        <v>0</v>
      </c>
      <c r="M100">
        <f t="shared" si="7"/>
        <v>0</v>
      </c>
      <c r="N100">
        <f>VLOOKUP(A100,Capacity!B:G,6,FALSE)</f>
        <v>0</v>
      </c>
      <c r="O100" s="20">
        <f t="shared" si="8"/>
        <v>0</v>
      </c>
      <c r="P100">
        <f t="shared" si="9"/>
        <v>0</v>
      </c>
    </row>
    <row r="101" spans="1:16" hidden="1" x14ac:dyDescent="0.3">
      <c r="A101" t="str">
        <f t="shared" si="10"/>
        <v>202043-ODC</v>
      </c>
      <c r="B101">
        <f t="shared" si="11"/>
        <v>202043</v>
      </c>
      <c r="C101" t="s">
        <v>9</v>
      </c>
      <c r="D101">
        <v>2020</v>
      </c>
      <c r="E101">
        <v>43</v>
      </c>
      <c r="F101">
        <f>SUMIFS(Table1[Modeled_Demand],Table1[Key_Year_week_DC],Demand_Modeling_Week_level!$A101,Table1[BRAND],Demand_Modeling_Week_level!F$2)</f>
        <v>0</v>
      </c>
      <c r="G101">
        <f>SUMIFS(Table1[Modeled_Demand],Table1[Key_Year_week_DC],Demand_Modeling_Week_level!$A101,Table1[BRAND],Demand_Modeling_Week_level!G$2)</f>
        <v>0</v>
      </c>
      <c r="H101">
        <f>SUMIFS(Table1[Modeled_Demand],Table1[Key_Year_week_DC],Demand_Modeling_Week_level!$A101,Table1[BRAND],Demand_Modeling_Week_level!H$2)</f>
        <v>0</v>
      </c>
      <c r="I101">
        <f>SUMIFS(Table1[Modeled_Demand],Table1[Key_Year_week_DC],Demand_Modeling_Week_level!$A101,Table1[BRAND],Demand_Modeling_Week_level!I$2)</f>
        <v>0</v>
      </c>
      <c r="J101">
        <f>SUMIFS(Table1[Modeled_Demand],Table1[Key_Year_week_DC],Demand_Modeling_Week_level!$A101,Table1[BRAND],Demand_Modeling_Week_level!J$2)</f>
        <v>0</v>
      </c>
      <c r="K101">
        <f>SUMIFS(Table1[Modeled_Demand],Table1[Key_Year_week_DC],Demand_Modeling_Week_level!$A101,Table1[BRAND],Demand_Modeling_Week_level!K$2)</f>
        <v>0</v>
      </c>
      <c r="L101">
        <f>SUMIFS(Table1[Demand],Table1[Key_Year_week_DC],Demand_Modeling_Week_level!$A101)</f>
        <v>0</v>
      </c>
      <c r="M101">
        <f t="shared" si="7"/>
        <v>0</v>
      </c>
      <c r="N101" t="e">
        <f>VLOOKUP(A101,Capacity!B:G,6,FALSE)</f>
        <v>#N/A</v>
      </c>
      <c r="O101" s="20">
        <f t="shared" si="8"/>
        <v>0</v>
      </c>
      <c r="P101">
        <f t="shared" si="9"/>
        <v>0</v>
      </c>
    </row>
    <row r="102" spans="1:16" hidden="1" x14ac:dyDescent="0.3">
      <c r="A102" t="str">
        <f t="shared" si="10"/>
        <v>202043-OFC</v>
      </c>
      <c r="B102">
        <f t="shared" si="11"/>
        <v>202043</v>
      </c>
      <c r="C102" t="s">
        <v>5</v>
      </c>
      <c r="D102">
        <v>2020</v>
      </c>
      <c r="E102">
        <v>43</v>
      </c>
      <c r="F102">
        <f>SUMIFS(Table1[Modeled_Demand],Table1[Key_Year_week_DC],Demand_Modeling_Week_level!$A102,Table1[BRAND],Demand_Modeling_Week_level!F$2)</f>
        <v>0</v>
      </c>
      <c r="G102">
        <f>SUMIFS(Table1[Modeled_Demand],Table1[Key_Year_week_DC],Demand_Modeling_Week_level!$A102,Table1[BRAND],Demand_Modeling_Week_level!G$2)</f>
        <v>0</v>
      </c>
      <c r="H102">
        <f>SUMIFS(Table1[Modeled_Demand],Table1[Key_Year_week_DC],Demand_Modeling_Week_level!$A102,Table1[BRAND],Demand_Modeling_Week_level!H$2)</f>
        <v>615765</v>
      </c>
      <c r="I102">
        <f>SUMIFS(Table1[Modeled_Demand],Table1[Key_Year_week_DC],Demand_Modeling_Week_level!$A102,Table1[BRAND],Demand_Modeling_Week_level!I$2)</f>
        <v>1234402.75</v>
      </c>
      <c r="J102">
        <f>SUMIFS(Table1[Modeled_Demand],Table1[Key_Year_week_DC],Demand_Modeling_Week_level!$A102,Table1[BRAND],Demand_Modeling_Week_level!J$2)</f>
        <v>1521166</v>
      </c>
      <c r="K102">
        <f>SUMIFS(Table1[Modeled_Demand],Table1[Key_Year_week_DC],Demand_Modeling_Week_level!$A102,Table1[BRAND],Demand_Modeling_Week_level!K$2)</f>
        <v>903841.10000000009</v>
      </c>
      <c r="L102">
        <f>SUMIFS(Table1[Demand],Table1[Key_Year_week_DC],Demand_Modeling_Week_level!$A102)</f>
        <v>7898556</v>
      </c>
      <c r="M102">
        <f t="shared" si="7"/>
        <v>4275174.8499999996</v>
      </c>
      <c r="N102">
        <f>VLOOKUP(A102,Capacity!B:G,6,FALSE)</f>
        <v>2850022.8</v>
      </c>
      <c r="O102" s="20">
        <f t="shared" si="8"/>
        <v>2.7714009866868436</v>
      </c>
      <c r="P102">
        <f t="shared" si="9"/>
        <v>1.5000493504823891</v>
      </c>
    </row>
    <row r="103" spans="1:16" hidden="1" x14ac:dyDescent="0.3">
      <c r="A103" t="str">
        <f t="shared" si="10"/>
        <v>202043-SFS</v>
      </c>
      <c r="B103">
        <f t="shared" si="11"/>
        <v>202043</v>
      </c>
      <c r="C103" t="s">
        <v>12</v>
      </c>
      <c r="D103">
        <v>2020</v>
      </c>
      <c r="E103">
        <v>43</v>
      </c>
      <c r="F103">
        <f>SUMIFS(Table1[Modeled_Demand],Table1[Key_Year_week_DC],Demand_Modeling_Week_level!$A103,Table1[BRAND],Demand_Modeling_Week_level!F$2)</f>
        <v>0</v>
      </c>
      <c r="G103">
        <f>SUMIFS(Table1[Modeled_Demand],Table1[Key_Year_week_DC],Demand_Modeling_Week_level!$A103,Table1[BRAND],Demand_Modeling_Week_level!G$2)</f>
        <v>0</v>
      </c>
      <c r="H103">
        <f>SUMIFS(Table1[Modeled_Demand],Table1[Key_Year_week_DC],Demand_Modeling_Week_level!$A103,Table1[BRAND],Demand_Modeling_Week_level!H$2)</f>
        <v>0</v>
      </c>
      <c r="I103">
        <f>SUMIFS(Table1[Modeled_Demand],Table1[Key_Year_week_DC],Demand_Modeling_Week_level!$A103,Table1[BRAND],Demand_Modeling_Week_level!I$2)</f>
        <v>0</v>
      </c>
      <c r="J103">
        <f>SUMIFS(Table1[Modeled_Demand],Table1[Key_Year_week_DC],Demand_Modeling_Week_level!$A103,Table1[BRAND],Demand_Modeling_Week_level!J$2)</f>
        <v>0</v>
      </c>
      <c r="K103">
        <f>SUMIFS(Table1[Modeled_Demand],Table1[Key_Year_week_DC],Demand_Modeling_Week_level!$A103,Table1[BRAND],Demand_Modeling_Week_level!K$2)</f>
        <v>0</v>
      </c>
      <c r="L103">
        <f>SUMIFS(Table1[Demand],Table1[Key_Year_week_DC],Demand_Modeling_Week_level!$A103)</f>
        <v>0</v>
      </c>
      <c r="M103">
        <f t="shared" si="7"/>
        <v>0</v>
      </c>
      <c r="N103" t="e">
        <f>VLOOKUP(A103,Capacity!B:G,6,FALSE)</f>
        <v>#N/A</v>
      </c>
      <c r="O103" s="20">
        <f t="shared" si="8"/>
        <v>0</v>
      </c>
      <c r="P103">
        <f t="shared" si="9"/>
        <v>0</v>
      </c>
    </row>
    <row r="104" spans="1:16" hidden="1" x14ac:dyDescent="0.3">
      <c r="A104" t="str">
        <f t="shared" si="10"/>
        <v>202043-TFC</v>
      </c>
      <c r="B104">
        <f t="shared" si="11"/>
        <v>202043</v>
      </c>
      <c r="C104" t="s">
        <v>6</v>
      </c>
      <c r="D104">
        <v>2020</v>
      </c>
      <c r="E104">
        <v>43</v>
      </c>
      <c r="F104">
        <f>SUMIFS(Table1[Modeled_Demand],Table1[Key_Year_week_DC],Demand_Modeling_Week_level!$A104,Table1[BRAND],Demand_Modeling_Week_level!F$2)</f>
        <v>491189</v>
      </c>
      <c r="G104">
        <f>SUMIFS(Table1[Modeled_Demand],Table1[Key_Year_week_DC],Demand_Modeling_Week_level!$A104,Table1[BRAND],Demand_Modeling_Week_level!G$2)</f>
        <v>719852</v>
      </c>
      <c r="H104">
        <f>SUMIFS(Table1[Modeled_Demand],Table1[Key_Year_week_DC],Demand_Modeling_Week_level!$A104,Table1[BRAND],Demand_Modeling_Week_level!H$2)</f>
        <v>0</v>
      </c>
      <c r="I104">
        <f>SUMIFS(Table1[Modeled_Demand],Table1[Key_Year_week_DC],Demand_Modeling_Week_level!$A104,Table1[BRAND],Demand_Modeling_Week_level!I$2)</f>
        <v>987522.20000000007</v>
      </c>
      <c r="J104">
        <f>SUMIFS(Table1[Modeled_Demand],Table1[Key_Year_week_DC],Demand_Modeling_Week_level!$A104,Table1[BRAND],Demand_Modeling_Week_level!J$2)</f>
        <v>0</v>
      </c>
      <c r="K104">
        <f>SUMIFS(Table1[Modeled_Demand],Table1[Key_Year_week_DC],Demand_Modeling_Week_level!$A104,Table1[BRAND],Demand_Modeling_Week_level!K$2)</f>
        <v>1807682.2000000002</v>
      </c>
      <c r="L104">
        <f>SUMIFS(Table1[Demand],Table1[Key_Year_week_DC],Demand_Modeling_Week_level!$A104)</f>
        <v>2816467</v>
      </c>
      <c r="M104">
        <f t="shared" si="7"/>
        <v>4006245.4000000004</v>
      </c>
      <c r="N104">
        <f>VLOOKUP(A104,Capacity!B:G,6,FALSE)</f>
        <v>3704988.6</v>
      </c>
      <c r="O104" s="20">
        <f t="shared" si="8"/>
        <v>0.76018236601321798</v>
      </c>
      <c r="P104">
        <f t="shared" si="9"/>
        <v>1.0813111273810667</v>
      </c>
    </row>
    <row r="105" spans="1:16" hidden="1" x14ac:dyDescent="0.3">
      <c r="A105" t="str">
        <f t="shared" si="10"/>
        <v>202043-WEO</v>
      </c>
      <c r="B105">
        <f t="shared" si="11"/>
        <v>202043</v>
      </c>
      <c r="C105" t="s">
        <v>10</v>
      </c>
      <c r="D105">
        <v>2020</v>
      </c>
      <c r="E105">
        <v>43</v>
      </c>
      <c r="F105">
        <f>SUMIFS(Table1[Modeled_Demand],Table1[Key_Year_week_DC],Demand_Modeling_Week_level!$A105,Table1[BRAND],Demand_Modeling_Week_level!F$2)</f>
        <v>0</v>
      </c>
      <c r="G105">
        <f>SUMIFS(Table1[Modeled_Demand],Table1[Key_Year_week_DC],Demand_Modeling_Week_level!$A105,Table1[BRAND],Demand_Modeling_Week_level!G$2)</f>
        <v>0</v>
      </c>
      <c r="H105">
        <f>SUMIFS(Table1[Modeled_Demand],Table1[Key_Year_week_DC],Demand_Modeling_Week_level!$A105,Table1[BRAND],Demand_Modeling_Week_level!H$2)</f>
        <v>0</v>
      </c>
      <c r="I105">
        <f>SUMIFS(Table1[Modeled_Demand],Table1[Key_Year_week_DC],Demand_Modeling_Week_level!$A105,Table1[BRAND],Demand_Modeling_Week_level!I$2)</f>
        <v>1975044.4000000001</v>
      </c>
      <c r="J105">
        <f>SUMIFS(Table1[Modeled_Demand],Table1[Key_Year_week_DC],Demand_Modeling_Week_level!$A105,Table1[BRAND],Demand_Modeling_Week_level!J$2)</f>
        <v>0</v>
      </c>
      <c r="K105">
        <f>SUMIFS(Table1[Modeled_Demand],Table1[Key_Year_week_DC],Demand_Modeling_Week_level!$A105,Table1[BRAND],Demand_Modeling_Week_level!K$2)</f>
        <v>2440370.9700000002</v>
      </c>
      <c r="L105">
        <f>SUMIFS(Table1[Demand],Table1[Key_Year_week_DC],Demand_Modeling_Week_level!$A105)</f>
        <v>1640172</v>
      </c>
      <c r="M105">
        <f t="shared" si="7"/>
        <v>4415415.37</v>
      </c>
      <c r="N105">
        <f>VLOOKUP(A105,Capacity!B:G,6,FALSE)</f>
        <v>3704988.6</v>
      </c>
      <c r="O105" s="20">
        <f t="shared" si="8"/>
        <v>0.44269286010758574</v>
      </c>
      <c r="P105">
        <f t="shared" si="9"/>
        <v>1.191748706055398</v>
      </c>
    </row>
    <row r="106" spans="1:16" hidden="1" x14ac:dyDescent="0.3">
      <c r="A106" t="str">
        <f t="shared" si="10"/>
        <v>202043-WFC</v>
      </c>
      <c r="B106">
        <f t="shared" si="11"/>
        <v>202043</v>
      </c>
      <c r="C106" t="s">
        <v>7</v>
      </c>
      <c r="D106">
        <v>2020</v>
      </c>
      <c r="E106">
        <v>43</v>
      </c>
      <c r="F106">
        <f>SUMIFS(Table1[Modeled_Demand],Table1[Key_Year_week_DC],Demand_Modeling_Week_level!$A106,Table1[BRAND],Demand_Modeling_Week_level!F$2)</f>
        <v>0</v>
      </c>
      <c r="G106">
        <f>SUMIFS(Table1[Modeled_Demand],Table1[Key_Year_week_DC],Demand_Modeling_Week_level!$A106,Table1[BRAND],Demand_Modeling_Week_level!G$2)</f>
        <v>2.5165759140583543</v>
      </c>
      <c r="H106">
        <f>SUMIFS(Table1[Modeled_Demand],Table1[Key_Year_week_DC],Demand_Modeling_Week_level!$A106,Table1[BRAND],Demand_Modeling_Week_level!H$2)</f>
        <v>0</v>
      </c>
      <c r="I106">
        <f>SUMIFS(Table1[Modeled_Demand],Table1[Key_Year_week_DC],Demand_Modeling_Week_level!$A106,Table1[BRAND],Demand_Modeling_Week_level!I$2)</f>
        <v>740641.65</v>
      </c>
      <c r="J106">
        <f>SUMIFS(Table1[Modeled_Demand],Table1[Key_Year_week_DC],Demand_Modeling_Week_level!$A106,Table1[BRAND],Demand_Modeling_Week_level!J$2)</f>
        <v>0</v>
      </c>
      <c r="K106">
        <f>SUMIFS(Table1[Modeled_Demand],Table1[Key_Year_week_DC],Demand_Modeling_Week_level!$A106,Table1[BRAND],Demand_Modeling_Week_level!K$2)</f>
        <v>180768.22</v>
      </c>
      <c r="L106">
        <f>SUMIFS(Table1[Demand],Table1[Key_Year_week_DC],Demand_Modeling_Week_level!$A106)</f>
        <v>1958473</v>
      </c>
      <c r="M106">
        <f t="shared" si="7"/>
        <v>921412.3865759141</v>
      </c>
      <c r="N106">
        <f>VLOOKUP(A106,Capacity!B:G,6,FALSE)</f>
        <v>683982.9</v>
      </c>
      <c r="O106" s="20">
        <f t="shared" si="8"/>
        <v>2.8633362032881231</v>
      </c>
      <c r="P106">
        <f t="shared" si="9"/>
        <v>1.3471278106161924</v>
      </c>
    </row>
    <row r="107" spans="1:16" hidden="1" x14ac:dyDescent="0.3">
      <c r="A107" t="str">
        <f t="shared" si="10"/>
        <v>202044-EAO</v>
      </c>
      <c r="B107">
        <f t="shared" si="11"/>
        <v>202044</v>
      </c>
      <c r="C107" t="s">
        <v>8</v>
      </c>
      <c r="D107">
        <v>2020</v>
      </c>
      <c r="E107">
        <v>44</v>
      </c>
      <c r="F107">
        <f>SUMIFS(Table1[Modeled_Demand],Table1[Key_Year_week_DC],Demand_Modeling_Week_level!$A107,Table1[BRAND],Demand_Modeling_Week_level!F$2)</f>
        <v>13.37066372641695</v>
      </c>
      <c r="G107">
        <f>SUMIFS(Table1[Modeled_Demand],Table1[Key_Year_week_DC],Demand_Modeling_Week_level!$A107,Table1[BRAND],Demand_Modeling_Week_level!G$2)</f>
        <v>23.874676720538162</v>
      </c>
      <c r="H107">
        <f>SUMIFS(Table1[Modeled_Demand],Table1[Key_Year_week_DC],Demand_Modeling_Week_level!$A107,Table1[BRAND],Demand_Modeling_Week_level!H$2)</f>
        <v>0</v>
      </c>
      <c r="I107">
        <f>SUMIFS(Table1[Modeled_Demand],Table1[Key_Year_week_DC],Demand_Modeling_Week_level!$A107,Table1[BRAND],Demand_Modeling_Week_level!I$2)</f>
        <v>0</v>
      </c>
      <c r="J107">
        <f>SUMIFS(Table1[Modeled_Demand],Table1[Key_Year_week_DC],Demand_Modeling_Week_level!$A107,Table1[BRAND],Demand_Modeling_Week_level!J$2)</f>
        <v>0</v>
      </c>
      <c r="K107">
        <f>SUMIFS(Table1[Modeled_Demand],Table1[Key_Year_week_DC],Demand_Modeling_Week_level!$A107,Table1[BRAND],Demand_Modeling_Week_level!K$2)</f>
        <v>2961688.71</v>
      </c>
      <c r="L107">
        <f>SUMIFS(Table1[Demand],Table1[Key_Year_week_DC],Demand_Modeling_Week_level!$A107)</f>
        <v>2741973</v>
      </c>
      <c r="M107">
        <f t="shared" si="7"/>
        <v>2961725.9553404469</v>
      </c>
      <c r="N107">
        <f>VLOOKUP(A107,Capacity!B:G,6,FALSE)</f>
        <v>3150025.2</v>
      </c>
      <c r="O107" s="20">
        <f t="shared" si="8"/>
        <v>0.87046065536237605</v>
      </c>
      <c r="P107">
        <f t="shared" si="9"/>
        <v>0.9402229402293184</v>
      </c>
    </row>
    <row r="108" spans="1:16" hidden="1" x14ac:dyDescent="0.3">
      <c r="A108" t="str">
        <f t="shared" si="10"/>
        <v>202044-OCC</v>
      </c>
      <c r="B108">
        <f t="shared" si="11"/>
        <v>202044</v>
      </c>
      <c r="C108" t="s">
        <v>11</v>
      </c>
      <c r="D108">
        <v>2020</v>
      </c>
      <c r="E108">
        <v>44</v>
      </c>
      <c r="F108">
        <f>SUMIFS(Table1[Modeled_Demand],Table1[Key_Year_week_DC],Demand_Modeling_Week_level!$A108,Table1[BRAND],Demand_Modeling_Week_level!F$2)</f>
        <v>0</v>
      </c>
      <c r="G108">
        <f>SUMIFS(Table1[Modeled_Demand],Table1[Key_Year_week_DC],Demand_Modeling_Week_level!$A108,Table1[BRAND],Demand_Modeling_Week_level!G$2)</f>
        <v>0</v>
      </c>
      <c r="H108">
        <f>SUMIFS(Table1[Modeled_Demand],Table1[Key_Year_week_DC],Demand_Modeling_Week_level!$A108,Table1[BRAND],Demand_Modeling_Week_level!H$2)</f>
        <v>0</v>
      </c>
      <c r="I108">
        <f>SUMIFS(Table1[Modeled_Demand],Table1[Key_Year_week_DC],Demand_Modeling_Week_level!$A108,Table1[BRAND],Demand_Modeling_Week_level!I$2)</f>
        <v>0</v>
      </c>
      <c r="J108">
        <f>SUMIFS(Table1[Modeled_Demand],Table1[Key_Year_week_DC],Demand_Modeling_Week_level!$A108,Table1[BRAND],Demand_Modeling_Week_level!J$2)</f>
        <v>0</v>
      </c>
      <c r="K108">
        <f>SUMIFS(Table1[Modeled_Demand],Table1[Key_Year_week_DC],Demand_Modeling_Week_level!$A108,Table1[BRAND],Demand_Modeling_Week_level!K$2)</f>
        <v>0</v>
      </c>
      <c r="L108">
        <f>SUMIFS(Table1[Demand],Table1[Key_Year_week_DC],Demand_Modeling_Week_level!$A108)</f>
        <v>0</v>
      </c>
      <c r="M108">
        <f t="shared" si="7"/>
        <v>0</v>
      </c>
      <c r="N108">
        <f>VLOOKUP(A108,Capacity!B:G,6,FALSE)</f>
        <v>0</v>
      </c>
      <c r="O108" s="20">
        <f t="shared" si="8"/>
        <v>0</v>
      </c>
      <c r="P108">
        <f t="shared" si="9"/>
        <v>0</v>
      </c>
    </row>
    <row r="109" spans="1:16" hidden="1" x14ac:dyDescent="0.3">
      <c r="A109" t="str">
        <f t="shared" si="10"/>
        <v>202044-ODC</v>
      </c>
      <c r="B109">
        <f t="shared" si="11"/>
        <v>202044</v>
      </c>
      <c r="C109" t="s">
        <v>9</v>
      </c>
      <c r="D109">
        <v>2020</v>
      </c>
      <c r="E109">
        <v>44</v>
      </c>
      <c r="F109">
        <f>SUMIFS(Table1[Modeled_Demand],Table1[Key_Year_week_DC],Demand_Modeling_Week_level!$A109,Table1[BRAND],Demand_Modeling_Week_level!F$2)</f>
        <v>0</v>
      </c>
      <c r="G109">
        <f>SUMIFS(Table1[Modeled_Demand],Table1[Key_Year_week_DC],Demand_Modeling_Week_level!$A109,Table1[BRAND],Demand_Modeling_Week_level!G$2)</f>
        <v>0</v>
      </c>
      <c r="H109">
        <f>SUMIFS(Table1[Modeled_Demand],Table1[Key_Year_week_DC],Demand_Modeling_Week_level!$A109,Table1[BRAND],Demand_Modeling_Week_level!H$2)</f>
        <v>0</v>
      </c>
      <c r="I109">
        <f>SUMIFS(Table1[Modeled_Demand],Table1[Key_Year_week_DC],Demand_Modeling_Week_level!$A109,Table1[BRAND],Demand_Modeling_Week_level!I$2)</f>
        <v>0</v>
      </c>
      <c r="J109">
        <f>SUMIFS(Table1[Modeled_Demand],Table1[Key_Year_week_DC],Demand_Modeling_Week_level!$A109,Table1[BRAND],Demand_Modeling_Week_level!J$2)</f>
        <v>0</v>
      </c>
      <c r="K109">
        <f>SUMIFS(Table1[Modeled_Demand],Table1[Key_Year_week_DC],Demand_Modeling_Week_level!$A109,Table1[BRAND],Demand_Modeling_Week_level!K$2)</f>
        <v>0</v>
      </c>
      <c r="L109">
        <f>SUMIFS(Table1[Demand],Table1[Key_Year_week_DC],Demand_Modeling_Week_level!$A109)</f>
        <v>0</v>
      </c>
      <c r="M109">
        <f t="shared" si="7"/>
        <v>0</v>
      </c>
      <c r="N109" t="e">
        <f>VLOOKUP(A109,Capacity!B:G,6,FALSE)</f>
        <v>#N/A</v>
      </c>
      <c r="O109" s="20">
        <f t="shared" si="8"/>
        <v>0</v>
      </c>
      <c r="P109">
        <f t="shared" si="9"/>
        <v>0</v>
      </c>
    </row>
    <row r="110" spans="1:16" hidden="1" x14ac:dyDescent="0.3">
      <c r="A110" t="str">
        <f t="shared" si="10"/>
        <v>202044-OFC</v>
      </c>
      <c r="B110">
        <f t="shared" si="11"/>
        <v>202044</v>
      </c>
      <c r="C110" t="s">
        <v>5</v>
      </c>
      <c r="D110">
        <v>2020</v>
      </c>
      <c r="E110">
        <v>44</v>
      </c>
      <c r="F110">
        <f>SUMIFS(Table1[Modeled_Demand],Table1[Key_Year_week_DC],Demand_Modeling_Week_level!$A110,Table1[BRAND],Demand_Modeling_Week_level!F$2)</f>
        <v>0</v>
      </c>
      <c r="G110">
        <f>SUMIFS(Table1[Modeled_Demand],Table1[Key_Year_week_DC],Demand_Modeling_Week_level!$A110,Table1[BRAND],Demand_Modeling_Week_level!G$2)</f>
        <v>0</v>
      </c>
      <c r="H110">
        <f>SUMIFS(Table1[Modeled_Demand],Table1[Key_Year_week_DC],Demand_Modeling_Week_level!$A110,Table1[BRAND],Demand_Modeling_Week_level!H$2)</f>
        <v>387241</v>
      </c>
      <c r="I110">
        <f>SUMIFS(Table1[Modeled_Demand],Table1[Key_Year_week_DC],Demand_Modeling_Week_level!$A110,Table1[BRAND],Demand_Modeling_Week_level!I$2)</f>
        <v>819567.5</v>
      </c>
      <c r="J110">
        <f>SUMIFS(Table1[Modeled_Demand],Table1[Key_Year_week_DC],Demand_Modeling_Week_level!$A110,Table1[BRAND],Demand_Modeling_Week_level!J$2)</f>
        <v>1087987</v>
      </c>
      <c r="K110">
        <f>SUMIFS(Table1[Modeled_Demand],Table1[Key_Year_week_DC],Demand_Modeling_Week_level!$A110,Table1[BRAND],Demand_Modeling_Week_level!K$2)</f>
        <v>722363.10000000009</v>
      </c>
      <c r="L110">
        <f>SUMIFS(Table1[Demand],Table1[Key_Year_week_DC],Demand_Modeling_Week_level!$A110)</f>
        <v>5797331</v>
      </c>
      <c r="M110">
        <f t="shared" si="7"/>
        <v>3017158.6</v>
      </c>
      <c r="N110">
        <f>VLOOKUP(A110,Capacity!B:G,6,FALSE)</f>
        <v>3150025.2</v>
      </c>
      <c r="O110" s="20">
        <f t="shared" si="8"/>
        <v>1.8404078164200082</v>
      </c>
      <c r="P110">
        <f t="shared" si="9"/>
        <v>0.95782046442041158</v>
      </c>
    </row>
    <row r="111" spans="1:16" hidden="1" x14ac:dyDescent="0.3">
      <c r="A111" t="str">
        <f t="shared" si="10"/>
        <v>202044-SFS</v>
      </c>
      <c r="B111">
        <f t="shared" si="11"/>
        <v>202044</v>
      </c>
      <c r="C111" t="s">
        <v>12</v>
      </c>
      <c r="D111">
        <v>2020</v>
      </c>
      <c r="E111">
        <v>44</v>
      </c>
      <c r="F111">
        <f>SUMIFS(Table1[Modeled_Demand],Table1[Key_Year_week_DC],Demand_Modeling_Week_level!$A111,Table1[BRAND],Demand_Modeling_Week_level!F$2)</f>
        <v>0</v>
      </c>
      <c r="G111">
        <f>SUMIFS(Table1[Modeled_Demand],Table1[Key_Year_week_DC],Demand_Modeling_Week_level!$A111,Table1[BRAND],Demand_Modeling_Week_level!G$2)</f>
        <v>0</v>
      </c>
      <c r="H111">
        <f>SUMIFS(Table1[Modeled_Demand],Table1[Key_Year_week_DC],Demand_Modeling_Week_level!$A111,Table1[BRAND],Demand_Modeling_Week_level!H$2)</f>
        <v>0</v>
      </c>
      <c r="I111">
        <f>SUMIFS(Table1[Modeled_Demand],Table1[Key_Year_week_DC],Demand_Modeling_Week_level!$A111,Table1[BRAND],Demand_Modeling_Week_level!I$2)</f>
        <v>0</v>
      </c>
      <c r="J111">
        <f>SUMIFS(Table1[Modeled_Demand],Table1[Key_Year_week_DC],Demand_Modeling_Week_level!$A111,Table1[BRAND],Demand_Modeling_Week_level!J$2)</f>
        <v>0</v>
      </c>
      <c r="K111">
        <f>SUMIFS(Table1[Modeled_Demand],Table1[Key_Year_week_DC],Demand_Modeling_Week_level!$A111,Table1[BRAND],Demand_Modeling_Week_level!K$2)</f>
        <v>0</v>
      </c>
      <c r="L111">
        <f>SUMIFS(Table1[Demand],Table1[Key_Year_week_DC],Demand_Modeling_Week_level!$A111)</f>
        <v>0</v>
      </c>
      <c r="M111">
        <f t="shared" si="7"/>
        <v>0</v>
      </c>
      <c r="N111" t="e">
        <f>VLOOKUP(A111,Capacity!B:G,6,FALSE)</f>
        <v>#N/A</v>
      </c>
      <c r="O111" s="20">
        <f t="shared" si="8"/>
        <v>0</v>
      </c>
      <c r="P111">
        <f t="shared" si="9"/>
        <v>0</v>
      </c>
    </row>
    <row r="112" spans="1:16" hidden="1" x14ac:dyDescent="0.3">
      <c r="A112" t="str">
        <f t="shared" si="10"/>
        <v>202044-TFC</v>
      </c>
      <c r="B112">
        <f t="shared" si="11"/>
        <v>202044</v>
      </c>
      <c r="C112" t="s">
        <v>6</v>
      </c>
      <c r="D112">
        <v>2020</v>
      </c>
      <c r="E112">
        <v>44</v>
      </c>
      <c r="F112">
        <f>SUMIFS(Table1[Modeled_Demand],Table1[Key_Year_week_DC],Demand_Modeling_Week_level!$A112,Table1[BRAND],Demand_Modeling_Week_level!F$2)</f>
        <v>387879</v>
      </c>
      <c r="G112">
        <f>SUMIFS(Table1[Modeled_Demand],Table1[Key_Year_week_DC],Demand_Modeling_Week_level!$A112,Table1[BRAND],Demand_Modeling_Week_level!G$2)</f>
        <v>563880</v>
      </c>
      <c r="H112">
        <f>SUMIFS(Table1[Modeled_Demand],Table1[Key_Year_week_DC],Demand_Modeling_Week_level!$A112,Table1[BRAND],Demand_Modeling_Week_level!H$2)</f>
        <v>0</v>
      </c>
      <c r="I112">
        <f>SUMIFS(Table1[Modeled_Demand],Table1[Key_Year_week_DC],Demand_Modeling_Week_level!$A112,Table1[BRAND],Demand_Modeling_Week_level!I$2)</f>
        <v>655654</v>
      </c>
      <c r="J112">
        <f>SUMIFS(Table1[Modeled_Demand],Table1[Key_Year_week_DC],Demand_Modeling_Week_level!$A112,Table1[BRAND],Demand_Modeling_Week_level!J$2)</f>
        <v>0</v>
      </c>
      <c r="K112">
        <f>SUMIFS(Table1[Modeled_Demand],Table1[Key_Year_week_DC],Demand_Modeling_Week_level!$A112,Table1[BRAND],Demand_Modeling_Week_level!K$2)</f>
        <v>1444726.2000000002</v>
      </c>
      <c r="L112">
        <f>SUMIFS(Table1[Demand],Table1[Key_Year_week_DC],Demand_Modeling_Week_level!$A112)</f>
        <v>1764066</v>
      </c>
      <c r="M112">
        <f t="shared" si="7"/>
        <v>3052139.2</v>
      </c>
      <c r="N112">
        <f>VLOOKUP(A112,Capacity!B:G,6,FALSE)</f>
        <v>4094987.4</v>
      </c>
      <c r="O112" s="20">
        <f t="shared" si="8"/>
        <v>0.43078667348280486</v>
      </c>
      <c r="P112">
        <f t="shared" si="9"/>
        <v>0.74533543131292668</v>
      </c>
    </row>
    <row r="113" spans="1:16" hidden="1" x14ac:dyDescent="0.3">
      <c r="A113" t="str">
        <f t="shared" si="10"/>
        <v>202044-WEO</v>
      </c>
      <c r="B113">
        <f t="shared" si="11"/>
        <v>202044</v>
      </c>
      <c r="C113" t="s">
        <v>10</v>
      </c>
      <c r="D113">
        <v>2020</v>
      </c>
      <c r="E113">
        <v>44</v>
      </c>
      <c r="F113">
        <f>SUMIFS(Table1[Modeled_Demand],Table1[Key_Year_week_DC],Demand_Modeling_Week_level!$A113,Table1[BRAND],Demand_Modeling_Week_level!F$2)</f>
        <v>0</v>
      </c>
      <c r="G113">
        <f>SUMIFS(Table1[Modeled_Demand],Table1[Key_Year_week_DC],Demand_Modeling_Week_level!$A113,Table1[BRAND],Demand_Modeling_Week_level!G$2)</f>
        <v>0</v>
      </c>
      <c r="H113">
        <f>SUMIFS(Table1[Modeled_Demand],Table1[Key_Year_week_DC],Demand_Modeling_Week_level!$A113,Table1[BRAND],Demand_Modeling_Week_level!H$2)</f>
        <v>0</v>
      </c>
      <c r="I113">
        <f>SUMIFS(Table1[Modeled_Demand],Table1[Key_Year_week_DC],Demand_Modeling_Week_level!$A113,Table1[BRAND],Demand_Modeling_Week_level!I$2)</f>
        <v>1311308</v>
      </c>
      <c r="J113">
        <f>SUMIFS(Table1[Modeled_Demand],Table1[Key_Year_week_DC],Demand_Modeling_Week_level!$A113,Table1[BRAND],Demand_Modeling_Week_level!J$2)</f>
        <v>0</v>
      </c>
      <c r="K113">
        <f>SUMIFS(Table1[Modeled_Demand],Table1[Key_Year_week_DC],Demand_Modeling_Week_level!$A113,Table1[BRAND],Demand_Modeling_Week_level!K$2)</f>
        <v>1950380.37</v>
      </c>
      <c r="L113">
        <f>SUMIFS(Table1[Demand],Table1[Key_Year_week_DC],Demand_Modeling_Week_level!$A113)</f>
        <v>1080888</v>
      </c>
      <c r="M113">
        <f t="shared" si="7"/>
        <v>3261688.37</v>
      </c>
      <c r="N113">
        <f>VLOOKUP(A113,Capacity!B:G,6,FALSE)</f>
        <v>4094987.4</v>
      </c>
      <c r="O113" s="20">
        <f t="shared" si="8"/>
        <v>0.26395392571903886</v>
      </c>
      <c r="P113">
        <f t="shared" si="9"/>
        <v>0.7965075472515496</v>
      </c>
    </row>
    <row r="114" spans="1:16" hidden="1" x14ac:dyDescent="0.3">
      <c r="A114" t="str">
        <f t="shared" si="10"/>
        <v>202044-WFC</v>
      </c>
      <c r="B114">
        <f t="shared" si="11"/>
        <v>202044</v>
      </c>
      <c r="C114" t="s">
        <v>7</v>
      </c>
      <c r="D114">
        <v>2020</v>
      </c>
      <c r="E114">
        <v>44</v>
      </c>
      <c r="F114">
        <f>SUMIFS(Table1[Modeled_Demand],Table1[Key_Year_week_DC],Demand_Modeling_Week_level!$A114,Table1[BRAND],Demand_Modeling_Week_level!F$2)</f>
        <v>0</v>
      </c>
      <c r="G114">
        <f>SUMIFS(Table1[Modeled_Demand],Table1[Key_Year_week_DC],Demand_Modeling_Week_level!$A114,Table1[BRAND],Demand_Modeling_Week_level!G$2)</f>
        <v>1.9713035824297562</v>
      </c>
      <c r="H114">
        <f>SUMIFS(Table1[Modeled_Demand],Table1[Key_Year_week_DC],Demand_Modeling_Week_level!$A114,Table1[BRAND],Demand_Modeling_Week_level!H$2)</f>
        <v>0</v>
      </c>
      <c r="I114">
        <f>SUMIFS(Table1[Modeled_Demand],Table1[Key_Year_week_DC],Demand_Modeling_Week_level!$A114,Table1[BRAND],Demand_Modeling_Week_level!I$2)</f>
        <v>491740.5</v>
      </c>
      <c r="J114">
        <f>SUMIFS(Table1[Modeled_Demand],Table1[Key_Year_week_DC],Demand_Modeling_Week_level!$A114,Table1[BRAND],Demand_Modeling_Week_level!J$2)</f>
        <v>0</v>
      </c>
      <c r="K114">
        <f>SUMIFS(Table1[Modeled_Demand],Table1[Key_Year_week_DC],Demand_Modeling_Week_level!$A114,Table1[BRAND],Demand_Modeling_Week_level!K$2)</f>
        <v>144472.62</v>
      </c>
      <c r="L114">
        <f>SUMIFS(Table1[Demand],Table1[Key_Year_week_DC],Demand_Modeling_Week_level!$A114)</f>
        <v>1544630</v>
      </c>
      <c r="M114">
        <f t="shared" si="7"/>
        <v>636215.09130358242</v>
      </c>
      <c r="N114">
        <f>VLOOKUP(A114,Capacity!B:G,6,FALSE)</f>
        <v>755981.09999999905</v>
      </c>
      <c r="O114" s="20">
        <f t="shared" si="8"/>
        <v>2.0432124559727773</v>
      </c>
      <c r="P114">
        <f t="shared" si="9"/>
        <v>0.84157539296099226</v>
      </c>
    </row>
    <row r="115" spans="1:16" hidden="1" x14ac:dyDescent="0.3">
      <c r="A115" t="str">
        <f t="shared" si="10"/>
        <v>202045-EAO</v>
      </c>
      <c r="B115">
        <f t="shared" si="11"/>
        <v>202045</v>
      </c>
      <c r="C115" t="s">
        <v>8</v>
      </c>
      <c r="D115">
        <v>2020</v>
      </c>
      <c r="E115">
        <v>45</v>
      </c>
      <c r="F115">
        <f>SUMIFS(Table1[Modeled_Demand],Table1[Key_Year_week_DC],Demand_Modeling_Week_level!$A115,Table1[BRAND],Demand_Modeling_Week_level!F$2)</f>
        <v>8.5896773736229104</v>
      </c>
      <c r="G115">
        <f>SUMIFS(Table1[Modeled_Demand],Table1[Key_Year_week_DC],Demand_Modeling_Week_level!$A115,Table1[BRAND],Demand_Modeling_Week_level!G$2)</f>
        <v>11.504369565234281</v>
      </c>
      <c r="H115">
        <f>SUMIFS(Table1[Modeled_Demand],Table1[Key_Year_week_DC],Demand_Modeling_Week_level!$A115,Table1[BRAND],Demand_Modeling_Week_level!H$2)</f>
        <v>0</v>
      </c>
      <c r="I115">
        <f>SUMIFS(Table1[Modeled_Demand],Table1[Key_Year_week_DC],Demand_Modeling_Week_level!$A115,Table1[BRAND],Demand_Modeling_Week_level!I$2)</f>
        <v>0</v>
      </c>
      <c r="J115">
        <f>SUMIFS(Table1[Modeled_Demand],Table1[Key_Year_week_DC],Demand_Modeling_Week_level!$A115,Table1[BRAND],Demand_Modeling_Week_level!J$2)</f>
        <v>0</v>
      </c>
      <c r="K115">
        <f>SUMIFS(Table1[Modeled_Demand],Table1[Key_Year_week_DC],Demand_Modeling_Week_level!$A115,Table1[BRAND],Demand_Modeling_Week_level!K$2)</f>
        <v>1559981.94</v>
      </c>
      <c r="L115">
        <f>SUMIFS(Table1[Demand],Table1[Key_Year_week_DC],Demand_Modeling_Week_level!$A115)</f>
        <v>965970</v>
      </c>
      <c r="M115">
        <f t="shared" si="7"/>
        <v>1560002.0340469389</v>
      </c>
      <c r="N115">
        <f>VLOOKUP(A115,Capacity!B:G,6,FALSE)</f>
        <v>3150025.2</v>
      </c>
      <c r="O115" s="20">
        <f t="shared" si="8"/>
        <v>0.30665468961962589</v>
      </c>
      <c r="P115">
        <f t="shared" si="9"/>
        <v>0.49523477908904945</v>
      </c>
    </row>
    <row r="116" spans="1:16" hidden="1" x14ac:dyDescent="0.3">
      <c r="A116" t="str">
        <f t="shared" si="10"/>
        <v>202045-OCC</v>
      </c>
      <c r="B116">
        <f t="shared" si="11"/>
        <v>202045</v>
      </c>
      <c r="C116" t="s">
        <v>11</v>
      </c>
      <c r="D116">
        <v>2020</v>
      </c>
      <c r="E116">
        <v>45</v>
      </c>
      <c r="F116">
        <f>SUMIFS(Table1[Modeled_Demand],Table1[Key_Year_week_DC],Demand_Modeling_Week_level!$A116,Table1[BRAND],Demand_Modeling_Week_level!F$2)</f>
        <v>0</v>
      </c>
      <c r="G116">
        <f>SUMIFS(Table1[Modeled_Demand],Table1[Key_Year_week_DC],Demand_Modeling_Week_level!$A116,Table1[BRAND],Demand_Modeling_Week_level!G$2)</f>
        <v>0</v>
      </c>
      <c r="H116">
        <f>SUMIFS(Table1[Modeled_Demand],Table1[Key_Year_week_DC],Demand_Modeling_Week_level!$A116,Table1[BRAND],Demand_Modeling_Week_level!H$2)</f>
        <v>0</v>
      </c>
      <c r="I116">
        <f>SUMIFS(Table1[Modeled_Demand],Table1[Key_Year_week_DC],Demand_Modeling_Week_level!$A116,Table1[BRAND],Demand_Modeling_Week_level!I$2)</f>
        <v>0</v>
      </c>
      <c r="J116">
        <f>SUMIFS(Table1[Modeled_Demand],Table1[Key_Year_week_DC],Demand_Modeling_Week_level!$A116,Table1[BRAND],Demand_Modeling_Week_level!J$2)</f>
        <v>0</v>
      </c>
      <c r="K116">
        <f>SUMIFS(Table1[Modeled_Demand],Table1[Key_Year_week_DC],Demand_Modeling_Week_level!$A116,Table1[BRAND],Demand_Modeling_Week_level!K$2)</f>
        <v>0</v>
      </c>
      <c r="L116">
        <f>SUMIFS(Table1[Demand],Table1[Key_Year_week_DC],Demand_Modeling_Week_level!$A116)</f>
        <v>0</v>
      </c>
      <c r="M116">
        <f t="shared" si="7"/>
        <v>0</v>
      </c>
      <c r="N116">
        <f>VLOOKUP(A116,Capacity!B:G,6,FALSE)</f>
        <v>0</v>
      </c>
      <c r="O116" s="20">
        <f t="shared" si="8"/>
        <v>0</v>
      </c>
      <c r="P116">
        <f t="shared" si="9"/>
        <v>0</v>
      </c>
    </row>
    <row r="117" spans="1:16" hidden="1" x14ac:dyDescent="0.3">
      <c r="A117" t="str">
        <f t="shared" si="10"/>
        <v>202045-ODC</v>
      </c>
      <c r="B117">
        <f t="shared" si="11"/>
        <v>202045</v>
      </c>
      <c r="C117" t="s">
        <v>9</v>
      </c>
      <c r="D117">
        <v>2020</v>
      </c>
      <c r="E117">
        <v>45</v>
      </c>
      <c r="F117">
        <f>SUMIFS(Table1[Modeled_Demand],Table1[Key_Year_week_DC],Demand_Modeling_Week_level!$A117,Table1[BRAND],Demand_Modeling_Week_level!F$2)</f>
        <v>0</v>
      </c>
      <c r="G117">
        <f>SUMIFS(Table1[Modeled_Demand],Table1[Key_Year_week_DC],Demand_Modeling_Week_level!$A117,Table1[BRAND],Demand_Modeling_Week_level!G$2)</f>
        <v>0</v>
      </c>
      <c r="H117">
        <f>SUMIFS(Table1[Modeled_Demand],Table1[Key_Year_week_DC],Demand_Modeling_Week_level!$A117,Table1[BRAND],Demand_Modeling_Week_level!H$2)</f>
        <v>0</v>
      </c>
      <c r="I117">
        <f>SUMIFS(Table1[Modeled_Demand],Table1[Key_Year_week_DC],Demand_Modeling_Week_level!$A117,Table1[BRAND],Demand_Modeling_Week_level!I$2)</f>
        <v>0</v>
      </c>
      <c r="J117">
        <f>SUMIFS(Table1[Modeled_Demand],Table1[Key_Year_week_DC],Demand_Modeling_Week_level!$A117,Table1[BRAND],Demand_Modeling_Week_level!J$2)</f>
        <v>0</v>
      </c>
      <c r="K117">
        <f>SUMIFS(Table1[Modeled_Demand],Table1[Key_Year_week_DC],Demand_Modeling_Week_level!$A117,Table1[BRAND],Demand_Modeling_Week_level!K$2)</f>
        <v>0</v>
      </c>
      <c r="L117">
        <f>SUMIFS(Table1[Demand],Table1[Key_Year_week_DC],Demand_Modeling_Week_level!$A117)</f>
        <v>0</v>
      </c>
      <c r="M117">
        <f t="shared" si="7"/>
        <v>0</v>
      </c>
      <c r="N117" t="e">
        <f>VLOOKUP(A117,Capacity!B:G,6,FALSE)</f>
        <v>#N/A</v>
      </c>
      <c r="O117" s="20">
        <f t="shared" si="8"/>
        <v>0</v>
      </c>
      <c r="P117">
        <f t="shared" si="9"/>
        <v>0</v>
      </c>
    </row>
    <row r="118" spans="1:16" hidden="1" x14ac:dyDescent="0.3">
      <c r="A118" t="str">
        <f t="shared" si="10"/>
        <v>202045-OFC</v>
      </c>
      <c r="B118">
        <f t="shared" si="11"/>
        <v>202045</v>
      </c>
      <c r="C118" t="s">
        <v>5</v>
      </c>
      <c r="D118">
        <v>2020</v>
      </c>
      <c r="E118">
        <v>45</v>
      </c>
      <c r="F118">
        <f>SUMIFS(Table1[Modeled_Demand],Table1[Key_Year_week_DC],Demand_Modeling_Week_level!$A118,Table1[BRAND],Demand_Modeling_Week_level!F$2)</f>
        <v>0</v>
      </c>
      <c r="G118">
        <f>SUMIFS(Table1[Modeled_Demand],Table1[Key_Year_week_DC],Demand_Modeling_Week_level!$A118,Table1[BRAND],Demand_Modeling_Week_level!G$2)</f>
        <v>0</v>
      </c>
      <c r="H118">
        <f>SUMIFS(Table1[Modeled_Demand],Table1[Key_Year_week_DC],Demand_Modeling_Week_level!$A118,Table1[BRAND],Demand_Modeling_Week_level!H$2)</f>
        <v>106769</v>
      </c>
      <c r="I118">
        <f>SUMIFS(Table1[Modeled_Demand],Table1[Key_Year_week_DC],Demand_Modeling_Week_level!$A118,Table1[BRAND],Demand_Modeling_Week_level!I$2)</f>
        <v>327717.5</v>
      </c>
      <c r="J118">
        <f>SUMIFS(Table1[Modeled_Demand],Table1[Key_Year_week_DC],Demand_Modeling_Week_level!$A118,Table1[BRAND],Demand_Modeling_Week_level!J$2)</f>
        <v>388257</v>
      </c>
      <c r="K118">
        <f>SUMIFS(Table1[Modeled_Demand],Table1[Key_Year_week_DC],Demand_Modeling_Week_level!$A118,Table1[BRAND],Demand_Modeling_Week_level!K$2)</f>
        <v>380483.4</v>
      </c>
      <c r="L118">
        <f>SUMIFS(Table1[Demand],Table1[Key_Year_week_DC],Demand_Modeling_Week_level!$A118)</f>
        <v>2565019</v>
      </c>
      <c r="M118">
        <f t="shared" si="7"/>
        <v>1203226.8999999999</v>
      </c>
      <c r="N118">
        <f>VLOOKUP(A118,Capacity!B:G,6,FALSE)</f>
        <v>3150025.2</v>
      </c>
      <c r="O118" s="20">
        <f t="shared" si="8"/>
        <v>0.81428523174989198</v>
      </c>
      <c r="P118">
        <f t="shared" si="9"/>
        <v>0.38197373786089073</v>
      </c>
    </row>
    <row r="119" spans="1:16" hidden="1" x14ac:dyDescent="0.3">
      <c r="A119" t="str">
        <f t="shared" si="10"/>
        <v>202045-SFS</v>
      </c>
      <c r="B119">
        <f t="shared" si="11"/>
        <v>202045</v>
      </c>
      <c r="C119" t="s">
        <v>12</v>
      </c>
      <c r="D119">
        <v>2020</v>
      </c>
      <c r="E119">
        <v>45</v>
      </c>
      <c r="F119">
        <f>SUMIFS(Table1[Modeled_Demand],Table1[Key_Year_week_DC],Demand_Modeling_Week_level!$A119,Table1[BRAND],Demand_Modeling_Week_level!F$2)</f>
        <v>0</v>
      </c>
      <c r="G119">
        <f>SUMIFS(Table1[Modeled_Demand],Table1[Key_Year_week_DC],Demand_Modeling_Week_level!$A119,Table1[BRAND],Demand_Modeling_Week_level!G$2)</f>
        <v>0</v>
      </c>
      <c r="H119">
        <f>SUMIFS(Table1[Modeled_Demand],Table1[Key_Year_week_DC],Demand_Modeling_Week_level!$A119,Table1[BRAND],Demand_Modeling_Week_level!H$2)</f>
        <v>0</v>
      </c>
      <c r="I119">
        <f>SUMIFS(Table1[Modeled_Demand],Table1[Key_Year_week_DC],Demand_Modeling_Week_level!$A119,Table1[BRAND],Demand_Modeling_Week_level!I$2)</f>
        <v>0</v>
      </c>
      <c r="J119">
        <f>SUMIFS(Table1[Modeled_Demand],Table1[Key_Year_week_DC],Demand_Modeling_Week_level!$A119,Table1[BRAND],Demand_Modeling_Week_level!J$2)</f>
        <v>0</v>
      </c>
      <c r="K119">
        <f>SUMIFS(Table1[Modeled_Demand],Table1[Key_Year_week_DC],Demand_Modeling_Week_level!$A119,Table1[BRAND],Demand_Modeling_Week_level!K$2)</f>
        <v>0</v>
      </c>
      <c r="L119">
        <f>SUMIFS(Table1[Demand],Table1[Key_Year_week_DC],Demand_Modeling_Week_level!$A119)</f>
        <v>0</v>
      </c>
      <c r="M119">
        <f t="shared" si="7"/>
        <v>0</v>
      </c>
      <c r="N119" t="e">
        <f>VLOOKUP(A119,Capacity!B:G,6,FALSE)</f>
        <v>#N/A</v>
      </c>
      <c r="O119" s="20">
        <f t="shared" si="8"/>
        <v>0</v>
      </c>
      <c r="P119">
        <f t="shared" si="9"/>
        <v>0</v>
      </c>
    </row>
    <row r="120" spans="1:16" hidden="1" x14ac:dyDescent="0.3">
      <c r="A120" t="str">
        <f t="shared" si="10"/>
        <v>202045-TFC</v>
      </c>
      <c r="B120">
        <f t="shared" si="11"/>
        <v>202045</v>
      </c>
      <c r="C120" t="s">
        <v>6</v>
      </c>
      <c r="D120">
        <v>2020</v>
      </c>
      <c r="E120">
        <v>45</v>
      </c>
      <c r="F120">
        <f>SUMIFS(Table1[Modeled_Demand],Table1[Key_Year_week_DC],Demand_Modeling_Week_level!$A120,Table1[BRAND],Demand_Modeling_Week_level!F$2)</f>
        <v>249184</v>
      </c>
      <c r="G120">
        <f>SUMIFS(Table1[Modeled_Demand],Table1[Key_Year_week_DC],Demand_Modeling_Week_level!$A120,Table1[BRAND],Demand_Modeling_Week_level!G$2)</f>
        <v>271714</v>
      </c>
      <c r="H120">
        <f>SUMIFS(Table1[Modeled_Demand],Table1[Key_Year_week_DC],Demand_Modeling_Week_level!$A120,Table1[BRAND],Demand_Modeling_Week_level!H$2)</f>
        <v>0</v>
      </c>
      <c r="I120">
        <f>SUMIFS(Table1[Modeled_Demand],Table1[Key_Year_week_DC],Demand_Modeling_Week_level!$A120,Table1[BRAND],Demand_Modeling_Week_level!I$2)</f>
        <v>262174</v>
      </c>
      <c r="J120">
        <f>SUMIFS(Table1[Modeled_Demand],Table1[Key_Year_week_DC],Demand_Modeling_Week_level!$A120,Table1[BRAND],Demand_Modeling_Week_level!J$2)</f>
        <v>0</v>
      </c>
      <c r="K120">
        <f>SUMIFS(Table1[Modeled_Demand],Table1[Key_Year_week_DC],Demand_Modeling_Week_level!$A120,Table1[BRAND],Demand_Modeling_Week_level!K$2)</f>
        <v>760966.8</v>
      </c>
      <c r="L120">
        <f>SUMIFS(Table1[Demand],Table1[Key_Year_week_DC],Demand_Modeling_Week_level!$A120)</f>
        <v>1371853</v>
      </c>
      <c r="M120">
        <f t="shared" si="7"/>
        <v>1544038.8</v>
      </c>
      <c r="N120">
        <f>VLOOKUP(A120,Capacity!B:G,6,FALSE)</f>
        <v>4094987.4</v>
      </c>
      <c r="O120" s="20">
        <f t="shared" si="8"/>
        <v>0.33500786840027885</v>
      </c>
      <c r="P120">
        <f t="shared" si="9"/>
        <v>0.37705581218638184</v>
      </c>
    </row>
    <row r="121" spans="1:16" hidden="1" x14ac:dyDescent="0.3">
      <c r="A121" t="str">
        <f t="shared" si="10"/>
        <v>202045-WEO</v>
      </c>
      <c r="B121">
        <f t="shared" si="11"/>
        <v>202045</v>
      </c>
      <c r="C121" t="s">
        <v>10</v>
      </c>
      <c r="D121">
        <v>2020</v>
      </c>
      <c r="E121">
        <v>45</v>
      </c>
      <c r="F121">
        <f>SUMIFS(Table1[Modeled_Demand],Table1[Key_Year_week_DC],Demand_Modeling_Week_level!$A121,Table1[BRAND],Demand_Modeling_Week_level!F$2)</f>
        <v>0</v>
      </c>
      <c r="G121">
        <f>SUMIFS(Table1[Modeled_Demand],Table1[Key_Year_week_DC],Demand_Modeling_Week_level!$A121,Table1[BRAND],Demand_Modeling_Week_level!G$2)</f>
        <v>0</v>
      </c>
      <c r="H121">
        <f>SUMIFS(Table1[Modeled_Demand],Table1[Key_Year_week_DC],Demand_Modeling_Week_level!$A121,Table1[BRAND],Demand_Modeling_Week_level!H$2)</f>
        <v>0</v>
      </c>
      <c r="I121">
        <f>SUMIFS(Table1[Modeled_Demand],Table1[Key_Year_week_DC],Demand_Modeling_Week_level!$A121,Table1[BRAND],Demand_Modeling_Week_level!I$2)</f>
        <v>524348</v>
      </c>
      <c r="J121">
        <f>SUMIFS(Table1[Modeled_Demand],Table1[Key_Year_week_DC],Demand_Modeling_Week_level!$A121,Table1[BRAND],Demand_Modeling_Week_level!J$2)</f>
        <v>0</v>
      </c>
      <c r="K121">
        <f>SUMIFS(Table1[Modeled_Demand],Table1[Key_Year_week_DC],Demand_Modeling_Week_level!$A121,Table1[BRAND],Demand_Modeling_Week_level!K$2)</f>
        <v>1027305.18</v>
      </c>
      <c r="L121">
        <f>SUMIFS(Table1[Demand],Table1[Key_Year_week_DC],Demand_Modeling_Week_level!$A121)</f>
        <v>363175</v>
      </c>
      <c r="M121">
        <f t="shared" si="7"/>
        <v>1551653.1800000002</v>
      </c>
      <c r="N121">
        <f>VLOOKUP(A121,Capacity!B:G,6,FALSE)</f>
        <v>4094987.4</v>
      </c>
      <c r="O121" s="20">
        <f t="shared" si="8"/>
        <v>8.8687696572643915E-2</v>
      </c>
      <c r="P121">
        <f t="shared" si="9"/>
        <v>0.37891525136316662</v>
      </c>
    </row>
    <row r="122" spans="1:16" hidden="1" x14ac:dyDescent="0.3">
      <c r="A122" t="str">
        <f t="shared" si="10"/>
        <v>202045-WFC</v>
      </c>
      <c r="B122">
        <f t="shared" si="11"/>
        <v>202045</v>
      </c>
      <c r="C122" t="s">
        <v>7</v>
      </c>
      <c r="D122">
        <v>2020</v>
      </c>
      <c r="E122">
        <v>45</v>
      </c>
      <c r="F122">
        <f>SUMIFS(Table1[Modeled_Demand],Table1[Key_Year_week_DC],Demand_Modeling_Week_level!$A122,Table1[BRAND],Demand_Modeling_Week_level!F$2)</f>
        <v>0</v>
      </c>
      <c r="G122">
        <f>SUMIFS(Table1[Modeled_Demand],Table1[Key_Year_week_DC],Demand_Modeling_Week_level!$A122,Table1[BRAND],Demand_Modeling_Week_level!G$2)</f>
        <v>0.94990207419365613</v>
      </c>
      <c r="H122">
        <f>SUMIFS(Table1[Modeled_Demand],Table1[Key_Year_week_DC],Demand_Modeling_Week_level!$A122,Table1[BRAND],Demand_Modeling_Week_level!H$2)</f>
        <v>0</v>
      </c>
      <c r="I122">
        <f>SUMIFS(Table1[Modeled_Demand],Table1[Key_Year_week_DC],Demand_Modeling_Week_level!$A122,Table1[BRAND],Demand_Modeling_Week_level!I$2)</f>
        <v>196630.5</v>
      </c>
      <c r="J122">
        <f>SUMIFS(Table1[Modeled_Demand],Table1[Key_Year_week_DC],Demand_Modeling_Week_level!$A122,Table1[BRAND],Demand_Modeling_Week_level!J$2)</f>
        <v>0</v>
      </c>
      <c r="K122">
        <f>SUMIFS(Table1[Modeled_Demand],Table1[Key_Year_week_DC],Demand_Modeling_Week_level!$A122,Table1[BRAND],Demand_Modeling_Week_level!K$2)</f>
        <v>76096.680000000008</v>
      </c>
      <c r="L122">
        <f>SUMIFS(Table1[Demand],Table1[Key_Year_week_DC],Demand_Modeling_Week_level!$A122)</f>
        <v>865611</v>
      </c>
      <c r="M122">
        <f t="shared" si="7"/>
        <v>272728.12990207423</v>
      </c>
      <c r="N122">
        <f>VLOOKUP(A122,Capacity!B:G,6,FALSE)</f>
        <v>755981.09999999905</v>
      </c>
      <c r="O122" s="20">
        <f t="shared" si="8"/>
        <v>1.145016720656113</v>
      </c>
      <c r="P122">
        <f t="shared" si="9"/>
        <v>0.36076051359230354</v>
      </c>
    </row>
    <row r="123" spans="1:16" hidden="1" x14ac:dyDescent="0.3">
      <c r="A123" t="str">
        <f t="shared" si="10"/>
        <v>202046-EAO</v>
      </c>
      <c r="B123">
        <f t="shared" si="11"/>
        <v>202046</v>
      </c>
      <c r="C123" t="s">
        <v>8</v>
      </c>
      <c r="D123">
        <v>2020</v>
      </c>
      <c r="E123">
        <v>46</v>
      </c>
      <c r="F123">
        <f>SUMIFS(Table1[Modeled_Demand],Table1[Key_Year_week_DC],Demand_Modeling_Week_level!$A123,Table1[BRAND],Demand_Modeling_Week_level!F$2)</f>
        <v>9.0871660721594374</v>
      </c>
      <c r="G123">
        <f>SUMIFS(Table1[Modeled_Demand],Table1[Key_Year_week_DC],Demand_Modeling_Week_level!$A123,Table1[BRAND],Demand_Modeling_Week_level!G$2)</f>
        <v>10.456454674063608</v>
      </c>
      <c r="H123">
        <f>SUMIFS(Table1[Modeled_Demand],Table1[Key_Year_week_DC],Demand_Modeling_Week_level!$A123,Table1[BRAND],Demand_Modeling_Week_level!H$2)</f>
        <v>0</v>
      </c>
      <c r="I123">
        <f>SUMIFS(Table1[Modeled_Demand],Table1[Key_Year_week_DC],Demand_Modeling_Week_level!$A123,Table1[BRAND],Demand_Modeling_Week_level!I$2)</f>
        <v>0</v>
      </c>
      <c r="J123">
        <f>SUMIFS(Table1[Modeled_Demand],Table1[Key_Year_week_DC],Demand_Modeling_Week_level!$A123,Table1[BRAND],Demand_Modeling_Week_level!J$2)</f>
        <v>0</v>
      </c>
      <c r="K123">
        <f>SUMIFS(Table1[Modeled_Demand],Table1[Key_Year_week_DC],Demand_Modeling_Week_level!$A123,Table1[BRAND],Demand_Modeling_Week_level!K$2)</f>
        <v>1301640.1199999999</v>
      </c>
      <c r="L123">
        <f>SUMIFS(Table1[Demand],Table1[Key_Year_week_DC],Demand_Modeling_Week_level!$A123)</f>
        <v>1027647</v>
      </c>
      <c r="M123">
        <f t="shared" si="7"/>
        <v>1301659.663620746</v>
      </c>
      <c r="N123">
        <f>VLOOKUP(A123,Capacity!B:G,6,FALSE)</f>
        <v>3150025.2</v>
      </c>
      <c r="O123" s="20">
        <f t="shared" si="8"/>
        <v>0.32623453298087901</v>
      </c>
      <c r="P123">
        <f t="shared" si="9"/>
        <v>0.41322198426245793</v>
      </c>
    </row>
    <row r="124" spans="1:16" hidden="1" x14ac:dyDescent="0.3">
      <c r="A124" t="str">
        <f t="shared" si="10"/>
        <v>202046-OCC</v>
      </c>
      <c r="B124">
        <f t="shared" si="11"/>
        <v>202046</v>
      </c>
      <c r="C124" t="s">
        <v>11</v>
      </c>
      <c r="D124">
        <v>2020</v>
      </c>
      <c r="E124">
        <v>46</v>
      </c>
      <c r="F124">
        <f>SUMIFS(Table1[Modeled_Demand],Table1[Key_Year_week_DC],Demand_Modeling_Week_level!$A124,Table1[BRAND],Demand_Modeling_Week_level!F$2)</f>
        <v>0</v>
      </c>
      <c r="G124">
        <f>SUMIFS(Table1[Modeled_Demand],Table1[Key_Year_week_DC],Demand_Modeling_Week_level!$A124,Table1[BRAND],Demand_Modeling_Week_level!G$2)</f>
        <v>0</v>
      </c>
      <c r="H124">
        <f>SUMIFS(Table1[Modeled_Demand],Table1[Key_Year_week_DC],Demand_Modeling_Week_level!$A124,Table1[BRAND],Demand_Modeling_Week_level!H$2)</f>
        <v>0</v>
      </c>
      <c r="I124">
        <f>SUMIFS(Table1[Modeled_Demand],Table1[Key_Year_week_DC],Demand_Modeling_Week_level!$A124,Table1[BRAND],Demand_Modeling_Week_level!I$2)</f>
        <v>0</v>
      </c>
      <c r="J124">
        <f>SUMIFS(Table1[Modeled_Demand],Table1[Key_Year_week_DC],Demand_Modeling_Week_level!$A124,Table1[BRAND],Demand_Modeling_Week_level!J$2)</f>
        <v>0</v>
      </c>
      <c r="K124">
        <f>SUMIFS(Table1[Modeled_Demand],Table1[Key_Year_week_DC],Demand_Modeling_Week_level!$A124,Table1[BRAND],Demand_Modeling_Week_level!K$2)</f>
        <v>0</v>
      </c>
      <c r="L124">
        <f>SUMIFS(Table1[Demand],Table1[Key_Year_week_DC],Demand_Modeling_Week_level!$A124)</f>
        <v>0</v>
      </c>
      <c r="M124">
        <f t="shared" si="7"/>
        <v>0</v>
      </c>
      <c r="N124">
        <f>VLOOKUP(A124,Capacity!B:G,6,FALSE)</f>
        <v>0</v>
      </c>
      <c r="O124" s="20">
        <f t="shared" si="8"/>
        <v>0</v>
      </c>
      <c r="P124">
        <f t="shared" si="9"/>
        <v>0</v>
      </c>
    </row>
    <row r="125" spans="1:16" hidden="1" x14ac:dyDescent="0.3">
      <c r="A125" t="str">
        <f t="shared" si="10"/>
        <v>202046-ODC</v>
      </c>
      <c r="B125">
        <f t="shared" si="11"/>
        <v>202046</v>
      </c>
      <c r="C125" t="s">
        <v>9</v>
      </c>
      <c r="D125">
        <v>2020</v>
      </c>
      <c r="E125">
        <v>46</v>
      </c>
      <c r="F125">
        <f>SUMIFS(Table1[Modeled_Demand],Table1[Key_Year_week_DC],Demand_Modeling_Week_level!$A125,Table1[BRAND],Demand_Modeling_Week_level!F$2)</f>
        <v>0</v>
      </c>
      <c r="G125">
        <f>SUMIFS(Table1[Modeled_Demand],Table1[Key_Year_week_DC],Demand_Modeling_Week_level!$A125,Table1[BRAND],Demand_Modeling_Week_level!G$2)</f>
        <v>0</v>
      </c>
      <c r="H125">
        <f>SUMIFS(Table1[Modeled_Demand],Table1[Key_Year_week_DC],Demand_Modeling_Week_level!$A125,Table1[BRAND],Demand_Modeling_Week_level!H$2)</f>
        <v>0</v>
      </c>
      <c r="I125">
        <f>SUMIFS(Table1[Modeled_Demand],Table1[Key_Year_week_DC],Demand_Modeling_Week_level!$A125,Table1[BRAND],Demand_Modeling_Week_level!I$2)</f>
        <v>0</v>
      </c>
      <c r="J125">
        <f>SUMIFS(Table1[Modeled_Demand],Table1[Key_Year_week_DC],Demand_Modeling_Week_level!$A125,Table1[BRAND],Demand_Modeling_Week_level!J$2)</f>
        <v>0</v>
      </c>
      <c r="K125">
        <f>SUMIFS(Table1[Modeled_Demand],Table1[Key_Year_week_DC],Demand_Modeling_Week_level!$A125,Table1[BRAND],Demand_Modeling_Week_level!K$2)</f>
        <v>0</v>
      </c>
      <c r="L125">
        <f>SUMIFS(Table1[Demand],Table1[Key_Year_week_DC],Demand_Modeling_Week_level!$A125)</f>
        <v>0</v>
      </c>
      <c r="M125">
        <f t="shared" si="7"/>
        <v>0</v>
      </c>
      <c r="N125" t="e">
        <f>VLOOKUP(A125,Capacity!B:G,6,FALSE)</f>
        <v>#N/A</v>
      </c>
      <c r="O125" s="20">
        <f t="shared" si="8"/>
        <v>0</v>
      </c>
      <c r="P125">
        <f t="shared" si="9"/>
        <v>0</v>
      </c>
    </row>
    <row r="126" spans="1:16" hidden="1" x14ac:dyDescent="0.3">
      <c r="A126" t="str">
        <f t="shared" si="10"/>
        <v>202046-OFC</v>
      </c>
      <c r="B126">
        <f t="shared" si="11"/>
        <v>202046</v>
      </c>
      <c r="C126" t="s">
        <v>5</v>
      </c>
      <c r="D126">
        <v>2020</v>
      </c>
      <c r="E126">
        <v>46</v>
      </c>
      <c r="F126">
        <f>SUMIFS(Table1[Modeled_Demand],Table1[Key_Year_week_DC],Demand_Modeling_Week_level!$A126,Table1[BRAND],Demand_Modeling_Week_level!F$2)</f>
        <v>0</v>
      </c>
      <c r="G126">
        <f>SUMIFS(Table1[Modeled_Demand],Table1[Key_Year_week_DC],Demand_Modeling_Week_level!$A126,Table1[BRAND],Demand_Modeling_Week_level!G$2)</f>
        <v>0</v>
      </c>
      <c r="H126">
        <f>SUMIFS(Table1[Modeled_Demand],Table1[Key_Year_week_DC],Demand_Modeling_Week_level!$A126,Table1[BRAND],Demand_Modeling_Week_level!H$2)</f>
        <v>150142</v>
      </c>
      <c r="I126">
        <f>SUMIFS(Table1[Modeled_Demand],Table1[Key_Year_week_DC],Demand_Modeling_Week_level!$A126,Table1[BRAND],Demand_Modeling_Week_level!I$2)</f>
        <v>301194.5</v>
      </c>
      <c r="J126">
        <f>SUMIFS(Table1[Modeled_Demand],Table1[Key_Year_week_DC],Demand_Modeling_Week_level!$A126,Table1[BRAND],Demand_Modeling_Week_level!J$2)</f>
        <v>230994</v>
      </c>
      <c r="K126">
        <f>SUMIFS(Table1[Modeled_Demand],Table1[Key_Year_week_DC],Demand_Modeling_Week_level!$A126,Table1[BRAND],Demand_Modeling_Week_level!K$2)</f>
        <v>317473.2</v>
      </c>
      <c r="L126">
        <f>SUMIFS(Table1[Demand],Table1[Key_Year_week_DC],Demand_Modeling_Week_level!$A126)</f>
        <v>2274100</v>
      </c>
      <c r="M126">
        <f t="shared" si="7"/>
        <v>999803.7</v>
      </c>
      <c r="N126">
        <f>VLOOKUP(A126,Capacity!B:G,6,FALSE)</f>
        <v>3150025.2</v>
      </c>
      <c r="O126" s="20">
        <f t="shared" si="8"/>
        <v>0.72193073249064799</v>
      </c>
      <c r="P126">
        <f t="shared" si="9"/>
        <v>0.31739546083631326</v>
      </c>
    </row>
    <row r="127" spans="1:16" hidden="1" x14ac:dyDescent="0.3">
      <c r="A127" t="str">
        <f t="shared" si="10"/>
        <v>202046-SFS</v>
      </c>
      <c r="B127">
        <f t="shared" si="11"/>
        <v>202046</v>
      </c>
      <c r="C127" t="s">
        <v>12</v>
      </c>
      <c r="D127">
        <v>2020</v>
      </c>
      <c r="E127">
        <v>46</v>
      </c>
      <c r="F127">
        <f>SUMIFS(Table1[Modeled_Demand],Table1[Key_Year_week_DC],Demand_Modeling_Week_level!$A127,Table1[BRAND],Demand_Modeling_Week_level!F$2)</f>
        <v>0</v>
      </c>
      <c r="G127">
        <f>SUMIFS(Table1[Modeled_Demand],Table1[Key_Year_week_DC],Demand_Modeling_Week_level!$A127,Table1[BRAND],Demand_Modeling_Week_level!G$2)</f>
        <v>0</v>
      </c>
      <c r="H127">
        <f>SUMIFS(Table1[Modeled_Demand],Table1[Key_Year_week_DC],Demand_Modeling_Week_level!$A127,Table1[BRAND],Demand_Modeling_Week_level!H$2)</f>
        <v>0</v>
      </c>
      <c r="I127">
        <f>SUMIFS(Table1[Modeled_Demand],Table1[Key_Year_week_DC],Demand_Modeling_Week_level!$A127,Table1[BRAND],Demand_Modeling_Week_level!I$2)</f>
        <v>0</v>
      </c>
      <c r="J127">
        <f>SUMIFS(Table1[Modeled_Demand],Table1[Key_Year_week_DC],Demand_Modeling_Week_level!$A127,Table1[BRAND],Demand_Modeling_Week_level!J$2)</f>
        <v>0</v>
      </c>
      <c r="K127">
        <f>SUMIFS(Table1[Modeled_Demand],Table1[Key_Year_week_DC],Demand_Modeling_Week_level!$A127,Table1[BRAND],Demand_Modeling_Week_level!K$2)</f>
        <v>0</v>
      </c>
      <c r="L127">
        <f>SUMIFS(Table1[Demand],Table1[Key_Year_week_DC],Demand_Modeling_Week_level!$A127)</f>
        <v>0</v>
      </c>
      <c r="M127">
        <f t="shared" si="7"/>
        <v>0</v>
      </c>
      <c r="N127" t="e">
        <f>VLOOKUP(A127,Capacity!B:G,6,FALSE)</f>
        <v>#N/A</v>
      </c>
      <c r="O127" s="20">
        <f t="shared" si="8"/>
        <v>0</v>
      </c>
      <c r="P127">
        <f t="shared" si="9"/>
        <v>0</v>
      </c>
    </row>
    <row r="128" spans="1:16" hidden="1" x14ac:dyDescent="0.3">
      <c r="A128" t="str">
        <f t="shared" si="10"/>
        <v>202046-TFC</v>
      </c>
      <c r="B128">
        <f t="shared" si="11"/>
        <v>202046</v>
      </c>
      <c r="C128" t="s">
        <v>6</v>
      </c>
      <c r="D128">
        <v>2020</v>
      </c>
      <c r="E128">
        <v>46</v>
      </c>
      <c r="F128">
        <f>SUMIFS(Table1[Modeled_Demand],Table1[Key_Year_week_DC],Demand_Modeling_Week_level!$A128,Table1[BRAND],Demand_Modeling_Week_level!F$2)</f>
        <v>263616</v>
      </c>
      <c r="G128">
        <f>SUMIFS(Table1[Modeled_Demand],Table1[Key_Year_week_DC],Demand_Modeling_Week_level!$A128,Table1[BRAND],Demand_Modeling_Week_level!G$2)</f>
        <v>246964</v>
      </c>
      <c r="H128">
        <f>SUMIFS(Table1[Modeled_Demand],Table1[Key_Year_week_DC],Demand_Modeling_Week_level!$A128,Table1[BRAND],Demand_Modeling_Week_level!H$2)</f>
        <v>0</v>
      </c>
      <c r="I128">
        <f>SUMIFS(Table1[Modeled_Demand],Table1[Key_Year_week_DC],Demand_Modeling_Week_level!$A128,Table1[BRAND],Demand_Modeling_Week_level!I$2)</f>
        <v>240955.6</v>
      </c>
      <c r="J128">
        <f>SUMIFS(Table1[Modeled_Demand],Table1[Key_Year_week_DC],Demand_Modeling_Week_level!$A128,Table1[BRAND],Demand_Modeling_Week_level!J$2)</f>
        <v>0</v>
      </c>
      <c r="K128">
        <f>SUMIFS(Table1[Modeled_Demand],Table1[Key_Year_week_DC],Demand_Modeling_Week_level!$A128,Table1[BRAND],Demand_Modeling_Week_level!K$2)</f>
        <v>634946.4</v>
      </c>
      <c r="L128">
        <f>SUMIFS(Table1[Demand],Table1[Key_Year_week_DC],Demand_Modeling_Week_level!$A128)</f>
        <v>1057250</v>
      </c>
      <c r="M128">
        <f t="shared" si="7"/>
        <v>1386482</v>
      </c>
      <c r="N128">
        <f>VLOOKUP(A128,Capacity!B:G,6,FALSE)</f>
        <v>4094987.4</v>
      </c>
      <c r="O128" s="20">
        <f t="shared" si="8"/>
        <v>0.25818150258533151</v>
      </c>
      <c r="P128">
        <f t="shared" si="9"/>
        <v>0.33858028476473456</v>
      </c>
    </row>
    <row r="129" spans="1:16" hidden="1" x14ac:dyDescent="0.3">
      <c r="A129" t="str">
        <f t="shared" si="10"/>
        <v>202046-WEO</v>
      </c>
      <c r="B129">
        <f t="shared" si="11"/>
        <v>202046</v>
      </c>
      <c r="C129" t="s">
        <v>10</v>
      </c>
      <c r="D129">
        <v>2020</v>
      </c>
      <c r="E129">
        <v>46</v>
      </c>
      <c r="F129">
        <f>SUMIFS(Table1[Modeled_Demand],Table1[Key_Year_week_DC],Demand_Modeling_Week_level!$A129,Table1[BRAND],Demand_Modeling_Week_level!F$2)</f>
        <v>0</v>
      </c>
      <c r="G129">
        <f>SUMIFS(Table1[Modeled_Demand],Table1[Key_Year_week_DC],Demand_Modeling_Week_level!$A129,Table1[BRAND],Demand_Modeling_Week_level!G$2)</f>
        <v>0</v>
      </c>
      <c r="H129">
        <f>SUMIFS(Table1[Modeled_Demand],Table1[Key_Year_week_DC],Demand_Modeling_Week_level!$A129,Table1[BRAND],Demand_Modeling_Week_level!H$2)</f>
        <v>0</v>
      </c>
      <c r="I129">
        <f>SUMIFS(Table1[Modeled_Demand],Table1[Key_Year_week_DC],Demand_Modeling_Week_level!$A129,Table1[BRAND],Demand_Modeling_Week_level!I$2)</f>
        <v>481911.2</v>
      </c>
      <c r="J129">
        <f>SUMIFS(Table1[Modeled_Demand],Table1[Key_Year_week_DC],Demand_Modeling_Week_level!$A129,Table1[BRAND],Demand_Modeling_Week_level!J$2)</f>
        <v>0</v>
      </c>
      <c r="K129">
        <f>SUMIFS(Table1[Modeled_Demand],Table1[Key_Year_week_DC],Demand_Modeling_Week_level!$A129,Table1[BRAND],Demand_Modeling_Week_level!K$2)</f>
        <v>857177.64</v>
      </c>
      <c r="L129">
        <f>SUMIFS(Table1[Demand],Table1[Key_Year_week_DC],Demand_Modeling_Week_level!$A129)</f>
        <v>294254</v>
      </c>
      <c r="M129">
        <f t="shared" si="7"/>
        <v>1339088.8400000001</v>
      </c>
      <c r="N129">
        <f>VLOOKUP(A129,Capacity!B:G,6,FALSE)</f>
        <v>4094987.4</v>
      </c>
      <c r="O129" s="20">
        <f t="shared" si="8"/>
        <v>7.1857119755728671E-2</v>
      </c>
      <c r="P129">
        <f t="shared" si="9"/>
        <v>0.32700682790867686</v>
      </c>
    </row>
    <row r="130" spans="1:16" hidden="1" x14ac:dyDescent="0.3">
      <c r="A130" t="str">
        <f t="shared" si="10"/>
        <v>202046-WFC</v>
      </c>
      <c r="B130">
        <f t="shared" si="11"/>
        <v>202046</v>
      </c>
      <c r="C130" t="s">
        <v>7</v>
      </c>
      <c r="D130">
        <v>2020</v>
      </c>
      <c r="E130">
        <v>46</v>
      </c>
      <c r="F130">
        <f>SUMIFS(Table1[Modeled_Demand],Table1[Key_Year_week_DC],Demand_Modeling_Week_level!$A130,Table1[BRAND],Demand_Modeling_Week_level!F$2)</f>
        <v>0</v>
      </c>
      <c r="G130">
        <f>SUMIFS(Table1[Modeled_Demand],Table1[Key_Year_week_DC],Demand_Modeling_Week_level!$A130,Table1[BRAND],Demand_Modeling_Week_level!G$2)</f>
        <v>0.86337699143644453</v>
      </c>
      <c r="H130">
        <f>SUMIFS(Table1[Modeled_Demand],Table1[Key_Year_week_DC],Demand_Modeling_Week_level!$A130,Table1[BRAND],Demand_Modeling_Week_level!H$2)</f>
        <v>0</v>
      </c>
      <c r="I130">
        <f>SUMIFS(Table1[Modeled_Demand],Table1[Key_Year_week_DC],Demand_Modeling_Week_level!$A130,Table1[BRAND],Demand_Modeling_Week_level!I$2)</f>
        <v>180716.69999999998</v>
      </c>
      <c r="J130">
        <f>SUMIFS(Table1[Modeled_Demand],Table1[Key_Year_week_DC],Demand_Modeling_Week_level!$A130,Table1[BRAND],Demand_Modeling_Week_level!J$2)</f>
        <v>0</v>
      </c>
      <c r="K130">
        <f>SUMIFS(Table1[Modeled_Demand],Table1[Key_Year_week_DC],Demand_Modeling_Week_level!$A130,Table1[BRAND],Demand_Modeling_Week_level!K$2)</f>
        <v>63494.64</v>
      </c>
      <c r="L130">
        <f>SUMIFS(Table1[Demand],Table1[Key_Year_week_DC],Demand_Modeling_Week_level!$A130)</f>
        <v>617975</v>
      </c>
      <c r="M130">
        <f t="shared" si="7"/>
        <v>244212.20337699144</v>
      </c>
      <c r="N130">
        <f>VLOOKUP(A130,Capacity!B:G,6,FALSE)</f>
        <v>755981.09999999905</v>
      </c>
      <c r="O130" s="20">
        <f t="shared" si="8"/>
        <v>0.81744768486937147</v>
      </c>
      <c r="P130">
        <f t="shared" si="9"/>
        <v>0.32304009105120718</v>
      </c>
    </row>
    <row r="131" spans="1:16" hidden="1" x14ac:dyDescent="0.3">
      <c r="A131" t="str">
        <f t="shared" si="10"/>
        <v>202047-EAO</v>
      </c>
      <c r="B131">
        <f t="shared" si="11"/>
        <v>202047</v>
      </c>
      <c r="C131" t="s">
        <v>8</v>
      </c>
      <c r="D131">
        <v>2020</v>
      </c>
      <c r="E131">
        <v>47</v>
      </c>
      <c r="F131">
        <f>SUMIFS(Table1[Modeled_Demand],Table1[Key_Year_week_DC],Demand_Modeling_Week_level!$A131,Table1[BRAND],Demand_Modeling_Week_level!F$2)</f>
        <v>10.698420004185099</v>
      </c>
      <c r="G131">
        <f>SUMIFS(Table1[Modeled_Demand],Table1[Key_Year_week_DC],Demand_Modeling_Week_level!$A131,Table1[BRAND],Demand_Modeling_Week_level!G$2)</f>
        <v>11.589049556439992</v>
      </c>
      <c r="H131">
        <f>SUMIFS(Table1[Modeled_Demand],Table1[Key_Year_week_DC],Demand_Modeling_Week_level!$A131,Table1[BRAND],Demand_Modeling_Week_level!H$2)</f>
        <v>0</v>
      </c>
      <c r="I131">
        <f>SUMIFS(Table1[Modeled_Demand],Table1[Key_Year_week_DC],Demand_Modeling_Week_level!$A131,Table1[BRAND],Demand_Modeling_Week_level!I$2)</f>
        <v>0</v>
      </c>
      <c r="J131">
        <f>SUMIFS(Table1[Modeled_Demand],Table1[Key_Year_week_DC],Demand_Modeling_Week_level!$A131,Table1[BRAND],Demand_Modeling_Week_level!J$2)</f>
        <v>0</v>
      </c>
      <c r="K131">
        <f>SUMIFS(Table1[Modeled_Demand],Table1[Key_Year_week_DC],Demand_Modeling_Week_level!$A131,Table1[BRAND],Demand_Modeling_Week_level!K$2)</f>
        <v>690730.69</v>
      </c>
      <c r="L131">
        <f>SUMIFS(Table1[Demand],Table1[Key_Year_week_DC],Demand_Modeling_Week_level!$A131)</f>
        <v>541029</v>
      </c>
      <c r="M131">
        <f t="shared" si="7"/>
        <v>690752.97746956057</v>
      </c>
      <c r="N131">
        <f>VLOOKUP(A131,Capacity!B:G,6,FALSE)</f>
        <v>3150025.2</v>
      </c>
      <c r="O131" s="20">
        <f t="shared" si="8"/>
        <v>0.17175386406432558</v>
      </c>
      <c r="P131">
        <f t="shared" si="9"/>
        <v>0.21928490523490432</v>
      </c>
    </row>
    <row r="132" spans="1:16" hidden="1" x14ac:dyDescent="0.3">
      <c r="A132" t="str">
        <f t="shared" si="10"/>
        <v>202047-OCC</v>
      </c>
      <c r="B132">
        <f t="shared" si="11"/>
        <v>202047</v>
      </c>
      <c r="C132" t="s">
        <v>11</v>
      </c>
      <c r="D132">
        <v>2020</v>
      </c>
      <c r="E132">
        <v>47</v>
      </c>
      <c r="F132">
        <f>SUMIFS(Table1[Modeled_Demand],Table1[Key_Year_week_DC],Demand_Modeling_Week_level!$A132,Table1[BRAND],Demand_Modeling_Week_level!F$2)</f>
        <v>0</v>
      </c>
      <c r="G132">
        <f>SUMIFS(Table1[Modeled_Demand],Table1[Key_Year_week_DC],Demand_Modeling_Week_level!$A132,Table1[BRAND],Demand_Modeling_Week_level!G$2)</f>
        <v>0</v>
      </c>
      <c r="H132">
        <f>SUMIFS(Table1[Modeled_Demand],Table1[Key_Year_week_DC],Demand_Modeling_Week_level!$A132,Table1[BRAND],Demand_Modeling_Week_level!H$2)</f>
        <v>0</v>
      </c>
      <c r="I132">
        <f>SUMIFS(Table1[Modeled_Demand],Table1[Key_Year_week_DC],Demand_Modeling_Week_level!$A132,Table1[BRAND],Demand_Modeling_Week_level!I$2)</f>
        <v>0</v>
      </c>
      <c r="J132">
        <f>SUMIFS(Table1[Modeled_Demand],Table1[Key_Year_week_DC],Demand_Modeling_Week_level!$A132,Table1[BRAND],Demand_Modeling_Week_level!J$2)</f>
        <v>0</v>
      </c>
      <c r="K132">
        <f>SUMIFS(Table1[Modeled_Demand],Table1[Key_Year_week_DC],Demand_Modeling_Week_level!$A132,Table1[BRAND],Demand_Modeling_Week_level!K$2)</f>
        <v>0</v>
      </c>
      <c r="L132">
        <f>SUMIFS(Table1[Demand],Table1[Key_Year_week_DC],Demand_Modeling_Week_level!$A132)</f>
        <v>0</v>
      </c>
      <c r="M132">
        <f t="shared" ref="M132:M195" si="12">SUM(F132:K132)</f>
        <v>0</v>
      </c>
      <c r="N132">
        <f>VLOOKUP(A132,Capacity!B:G,6,FALSE)</f>
        <v>0</v>
      </c>
      <c r="O132" s="20">
        <f t="shared" ref="O132:O195" si="13">IFERROR((L132/N132),0)</f>
        <v>0</v>
      </c>
      <c r="P132">
        <f t="shared" ref="P132:P195" si="14">IFERROR(M132/N132,0)</f>
        <v>0</v>
      </c>
    </row>
    <row r="133" spans="1:16" hidden="1" x14ac:dyDescent="0.3">
      <c r="A133" t="str">
        <f t="shared" si="10"/>
        <v>202047-ODC</v>
      </c>
      <c r="B133">
        <f t="shared" si="11"/>
        <v>202047</v>
      </c>
      <c r="C133" t="s">
        <v>9</v>
      </c>
      <c r="D133">
        <v>2020</v>
      </c>
      <c r="E133">
        <v>47</v>
      </c>
      <c r="F133">
        <f>SUMIFS(Table1[Modeled_Demand],Table1[Key_Year_week_DC],Demand_Modeling_Week_level!$A133,Table1[BRAND],Demand_Modeling_Week_level!F$2)</f>
        <v>0</v>
      </c>
      <c r="G133">
        <f>SUMIFS(Table1[Modeled_Demand],Table1[Key_Year_week_DC],Demand_Modeling_Week_level!$A133,Table1[BRAND],Demand_Modeling_Week_level!G$2)</f>
        <v>0</v>
      </c>
      <c r="H133">
        <f>SUMIFS(Table1[Modeled_Demand],Table1[Key_Year_week_DC],Demand_Modeling_Week_level!$A133,Table1[BRAND],Demand_Modeling_Week_level!H$2)</f>
        <v>0</v>
      </c>
      <c r="I133">
        <f>SUMIFS(Table1[Modeled_Demand],Table1[Key_Year_week_DC],Demand_Modeling_Week_level!$A133,Table1[BRAND],Demand_Modeling_Week_level!I$2)</f>
        <v>0</v>
      </c>
      <c r="J133">
        <f>SUMIFS(Table1[Modeled_Demand],Table1[Key_Year_week_DC],Demand_Modeling_Week_level!$A133,Table1[BRAND],Demand_Modeling_Week_level!J$2)</f>
        <v>0</v>
      </c>
      <c r="K133">
        <f>SUMIFS(Table1[Modeled_Demand],Table1[Key_Year_week_DC],Demand_Modeling_Week_level!$A133,Table1[BRAND],Demand_Modeling_Week_level!K$2)</f>
        <v>0</v>
      </c>
      <c r="L133">
        <f>SUMIFS(Table1[Demand],Table1[Key_Year_week_DC],Demand_Modeling_Week_level!$A133)</f>
        <v>0</v>
      </c>
      <c r="M133">
        <f t="shared" si="12"/>
        <v>0</v>
      </c>
      <c r="N133" t="e">
        <f>VLOOKUP(A133,Capacity!B:G,6,FALSE)</f>
        <v>#N/A</v>
      </c>
      <c r="O133" s="20">
        <f t="shared" si="13"/>
        <v>0</v>
      </c>
      <c r="P133">
        <f t="shared" si="14"/>
        <v>0</v>
      </c>
    </row>
    <row r="134" spans="1:16" hidden="1" x14ac:dyDescent="0.3">
      <c r="A134" t="str">
        <f t="shared" si="10"/>
        <v>202047-OFC</v>
      </c>
      <c r="B134">
        <f t="shared" si="11"/>
        <v>202047</v>
      </c>
      <c r="C134" t="s">
        <v>5</v>
      </c>
      <c r="D134">
        <v>2020</v>
      </c>
      <c r="E134">
        <v>47</v>
      </c>
      <c r="F134">
        <f>SUMIFS(Table1[Modeled_Demand],Table1[Key_Year_week_DC],Demand_Modeling_Week_level!$A134,Table1[BRAND],Demand_Modeling_Week_level!F$2)</f>
        <v>0</v>
      </c>
      <c r="G134">
        <f>SUMIFS(Table1[Modeled_Demand],Table1[Key_Year_week_DC],Demand_Modeling_Week_level!$A134,Table1[BRAND],Demand_Modeling_Week_level!G$2)</f>
        <v>0</v>
      </c>
      <c r="H134">
        <f>SUMIFS(Table1[Modeled_Demand],Table1[Key_Year_week_DC],Demand_Modeling_Week_level!$A134,Table1[BRAND],Demand_Modeling_Week_level!H$2)</f>
        <v>131208</v>
      </c>
      <c r="I134">
        <f>SUMIFS(Table1[Modeled_Demand],Table1[Key_Year_week_DC],Demand_Modeling_Week_level!$A134,Table1[BRAND],Demand_Modeling_Week_level!I$2)</f>
        <v>251544.75</v>
      </c>
      <c r="J134">
        <f>SUMIFS(Table1[Modeled_Demand],Table1[Key_Year_week_DC],Demand_Modeling_Week_level!$A134,Table1[BRAND],Demand_Modeling_Week_level!J$2)</f>
        <v>269785</v>
      </c>
      <c r="K134">
        <f>SUMIFS(Table1[Modeled_Demand],Table1[Key_Year_week_DC],Demand_Modeling_Week_level!$A134,Table1[BRAND],Demand_Modeling_Week_level!K$2)</f>
        <v>168470.90000000002</v>
      </c>
      <c r="L134">
        <f>SUMIFS(Table1[Demand],Table1[Key_Year_week_DC],Demand_Modeling_Week_level!$A134)</f>
        <v>1798269</v>
      </c>
      <c r="M134">
        <f t="shared" si="12"/>
        <v>821008.65</v>
      </c>
      <c r="N134">
        <f>VLOOKUP(A134,Capacity!B:G,6,FALSE)</f>
        <v>3150025.2</v>
      </c>
      <c r="O134" s="20">
        <f t="shared" si="13"/>
        <v>0.57087448062320256</v>
      </c>
      <c r="P134">
        <f t="shared" si="14"/>
        <v>0.260635581582014</v>
      </c>
    </row>
    <row r="135" spans="1:16" hidden="1" x14ac:dyDescent="0.3">
      <c r="A135" t="str">
        <f t="shared" si="10"/>
        <v>202047-SFS</v>
      </c>
      <c r="B135">
        <f t="shared" si="11"/>
        <v>202047</v>
      </c>
      <c r="C135" t="s">
        <v>12</v>
      </c>
      <c r="D135">
        <v>2020</v>
      </c>
      <c r="E135">
        <v>47</v>
      </c>
      <c r="F135">
        <f>SUMIFS(Table1[Modeled_Demand],Table1[Key_Year_week_DC],Demand_Modeling_Week_level!$A135,Table1[BRAND],Demand_Modeling_Week_level!F$2)</f>
        <v>0</v>
      </c>
      <c r="G135">
        <f>SUMIFS(Table1[Modeled_Demand],Table1[Key_Year_week_DC],Demand_Modeling_Week_level!$A135,Table1[BRAND],Demand_Modeling_Week_level!G$2)</f>
        <v>0</v>
      </c>
      <c r="H135">
        <f>SUMIFS(Table1[Modeled_Demand],Table1[Key_Year_week_DC],Demand_Modeling_Week_level!$A135,Table1[BRAND],Demand_Modeling_Week_level!H$2)</f>
        <v>0</v>
      </c>
      <c r="I135">
        <f>SUMIFS(Table1[Modeled_Demand],Table1[Key_Year_week_DC],Demand_Modeling_Week_level!$A135,Table1[BRAND],Demand_Modeling_Week_level!I$2)</f>
        <v>0</v>
      </c>
      <c r="J135">
        <f>SUMIFS(Table1[Modeled_Demand],Table1[Key_Year_week_DC],Demand_Modeling_Week_level!$A135,Table1[BRAND],Demand_Modeling_Week_level!J$2)</f>
        <v>0</v>
      </c>
      <c r="K135">
        <f>SUMIFS(Table1[Modeled_Demand],Table1[Key_Year_week_DC],Demand_Modeling_Week_level!$A135,Table1[BRAND],Demand_Modeling_Week_level!K$2)</f>
        <v>0</v>
      </c>
      <c r="L135">
        <f>SUMIFS(Table1[Demand],Table1[Key_Year_week_DC],Demand_Modeling_Week_level!$A135)</f>
        <v>0</v>
      </c>
      <c r="M135">
        <f t="shared" si="12"/>
        <v>0</v>
      </c>
      <c r="N135" t="e">
        <f>VLOOKUP(A135,Capacity!B:G,6,FALSE)</f>
        <v>#N/A</v>
      </c>
      <c r="O135" s="20">
        <f t="shared" si="13"/>
        <v>0</v>
      </c>
      <c r="P135">
        <f t="shared" si="14"/>
        <v>0</v>
      </c>
    </row>
    <row r="136" spans="1:16" hidden="1" x14ac:dyDescent="0.3">
      <c r="A136" t="str">
        <f t="shared" si="10"/>
        <v>202047-TFC</v>
      </c>
      <c r="B136">
        <f t="shared" si="11"/>
        <v>202047</v>
      </c>
      <c r="C136" t="s">
        <v>6</v>
      </c>
      <c r="D136">
        <v>2020</v>
      </c>
      <c r="E136">
        <v>47</v>
      </c>
      <c r="F136">
        <f>SUMIFS(Table1[Modeled_Demand],Table1[Key_Year_week_DC],Demand_Modeling_Week_level!$A136,Table1[BRAND],Demand_Modeling_Week_level!F$2)</f>
        <v>310358</v>
      </c>
      <c r="G136">
        <f>SUMIFS(Table1[Modeled_Demand],Table1[Key_Year_week_DC],Demand_Modeling_Week_level!$A136,Table1[BRAND],Demand_Modeling_Week_level!G$2)</f>
        <v>273714</v>
      </c>
      <c r="H136">
        <f>SUMIFS(Table1[Modeled_Demand],Table1[Key_Year_week_DC],Demand_Modeling_Week_level!$A136,Table1[BRAND],Demand_Modeling_Week_level!H$2)</f>
        <v>0</v>
      </c>
      <c r="I136">
        <f>SUMIFS(Table1[Modeled_Demand],Table1[Key_Year_week_DC],Demand_Modeling_Week_level!$A136,Table1[BRAND],Demand_Modeling_Week_level!I$2)</f>
        <v>201235.80000000002</v>
      </c>
      <c r="J136">
        <f>SUMIFS(Table1[Modeled_Demand],Table1[Key_Year_week_DC],Demand_Modeling_Week_level!$A136,Table1[BRAND],Demand_Modeling_Week_level!J$2)</f>
        <v>0</v>
      </c>
      <c r="K136">
        <f>SUMIFS(Table1[Modeled_Demand],Table1[Key_Year_week_DC],Demand_Modeling_Week_level!$A136,Table1[BRAND],Demand_Modeling_Week_level!K$2)</f>
        <v>336941.80000000005</v>
      </c>
      <c r="L136">
        <f>SUMIFS(Table1[Demand],Table1[Key_Year_week_DC],Demand_Modeling_Week_level!$A136)</f>
        <v>792348</v>
      </c>
      <c r="M136">
        <f t="shared" si="12"/>
        <v>1122249.6000000001</v>
      </c>
      <c r="N136">
        <f>VLOOKUP(A136,Capacity!B:G,6,FALSE)</f>
        <v>4094987.4</v>
      </c>
      <c r="O136" s="20">
        <f t="shared" si="13"/>
        <v>0.19349217045209957</v>
      </c>
      <c r="P136">
        <f t="shared" si="14"/>
        <v>0.27405446961814828</v>
      </c>
    </row>
    <row r="137" spans="1:16" hidden="1" x14ac:dyDescent="0.3">
      <c r="A137" t="str">
        <f t="shared" si="10"/>
        <v>202047-WEO</v>
      </c>
      <c r="B137">
        <f t="shared" si="11"/>
        <v>202047</v>
      </c>
      <c r="C137" t="s">
        <v>10</v>
      </c>
      <c r="D137">
        <v>2020</v>
      </c>
      <c r="E137">
        <v>47</v>
      </c>
      <c r="F137">
        <f>SUMIFS(Table1[Modeled_Demand],Table1[Key_Year_week_DC],Demand_Modeling_Week_level!$A137,Table1[BRAND],Demand_Modeling_Week_level!F$2)</f>
        <v>0</v>
      </c>
      <c r="G137">
        <f>SUMIFS(Table1[Modeled_Demand],Table1[Key_Year_week_DC],Demand_Modeling_Week_level!$A137,Table1[BRAND],Demand_Modeling_Week_level!G$2)</f>
        <v>0</v>
      </c>
      <c r="H137">
        <f>SUMIFS(Table1[Modeled_Demand],Table1[Key_Year_week_DC],Demand_Modeling_Week_level!$A137,Table1[BRAND],Demand_Modeling_Week_level!H$2)</f>
        <v>0</v>
      </c>
      <c r="I137">
        <f>SUMIFS(Table1[Modeled_Demand],Table1[Key_Year_week_DC],Demand_Modeling_Week_level!$A137,Table1[BRAND],Demand_Modeling_Week_level!I$2)</f>
        <v>402471.60000000003</v>
      </c>
      <c r="J137">
        <f>SUMIFS(Table1[Modeled_Demand],Table1[Key_Year_week_DC],Demand_Modeling_Week_level!$A137,Table1[BRAND],Demand_Modeling_Week_level!J$2)</f>
        <v>0</v>
      </c>
      <c r="K137">
        <f>SUMIFS(Table1[Modeled_Demand],Table1[Key_Year_week_DC],Demand_Modeling_Week_level!$A137,Table1[BRAND],Demand_Modeling_Week_level!K$2)</f>
        <v>454871.43000000005</v>
      </c>
      <c r="L137">
        <f>SUMIFS(Table1[Demand],Table1[Key_Year_week_DC],Demand_Modeling_Week_level!$A137)</f>
        <v>224248</v>
      </c>
      <c r="M137">
        <f t="shared" si="12"/>
        <v>857343.03</v>
      </c>
      <c r="N137">
        <f>VLOOKUP(A137,Capacity!B:G,6,FALSE)</f>
        <v>4094987.4</v>
      </c>
      <c r="O137" s="20">
        <f t="shared" si="13"/>
        <v>5.476158485860054E-2</v>
      </c>
      <c r="P137">
        <f t="shared" si="14"/>
        <v>0.20936402148636649</v>
      </c>
    </row>
    <row r="138" spans="1:16" hidden="1" x14ac:dyDescent="0.3">
      <c r="A138" t="str">
        <f t="shared" si="10"/>
        <v>202047-WFC</v>
      </c>
      <c r="B138">
        <f t="shared" si="11"/>
        <v>202047</v>
      </c>
      <c r="C138" t="s">
        <v>7</v>
      </c>
      <c r="D138">
        <v>2020</v>
      </c>
      <c r="E138">
        <v>47</v>
      </c>
      <c r="F138">
        <f>SUMIFS(Table1[Modeled_Demand],Table1[Key_Year_week_DC],Demand_Modeling_Week_level!$A138,Table1[BRAND],Demand_Modeling_Week_level!F$2)</f>
        <v>0</v>
      </c>
      <c r="G138">
        <f>SUMIFS(Table1[Modeled_Demand],Table1[Key_Year_week_DC],Demand_Modeling_Week_level!$A138,Table1[BRAND],Demand_Modeling_Week_level!G$2)</f>
        <v>0.95689400007302672</v>
      </c>
      <c r="H138">
        <f>SUMIFS(Table1[Modeled_Demand],Table1[Key_Year_week_DC],Demand_Modeling_Week_level!$A138,Table1[BRAND],Demand_Modeling_Week_level!H$2)</f>
        <v>0</v>
      </c>
      <c r="I138">
        <f>SUMIFS(Table1[Modeled_Demand],Table1[Key_Year_week_DC],Demand_Modeling_Week_level!$A138,Table1[BRAND],Demand_Modeling_Week_level!I$2)</f>
        <v>150926.85</v>
      </c>
      <c r="J138">
        <f>SUMIFS(Table1[Modeled_Demand],Table1[Key_Year_week_DC],Demand_Modeling_Week_level!$A138,Table1[BRAND],Demand_Modeling_Week_level!J$2)</f>
        <v>0</v>
      </c>
      <c r="K138">
        <f>SUMIFS(Table1[Modeled_Demand],Table1[Key_Year_week_DC],Demand_Modeling_Week_level!$A138,Table1[BRAND],Demand_Modeling_Week_level!K$2)</f>
        <v>33694.18</v>
      </c>
      <c r="L138">
        <f>SUMIFS(Table1[Demand],Table1[Key_Year_week_DC],Demand_Modeling_Week_level!$A138)</f>
        <v>320059</v>
      </c>
      <c r="M138">
        <f t="shared" si="12"/>
        <v>184621.98689400006</v>
      </c>
      <c r="N138">
        <f>VLOOKUP(A138,Capacity!B:G,6,FALSE)</f>
        <v>755981.09999999905</v>
      </c>
      <c r="O138" s="20">
        <f t="shared" si="13"/>
        <v>0.42336904983471202</v>
      </c>
      <c r="P138">
        <f t="shared" si="14"/>
        <v>0.24421508275008502</v>
      </c>
    </row>
    <row r="139" spans="1:16" hidden="1" x14ac:dyDescent="0.3">
      <c r="A139" t="str">
        <f t="shared" si="10"/>
        <v>202048-EAO</v>
      </c>
      <c r="B139">
        <f t="shared" si="11"/>
        <v>202048</v>
      </c>
      <c r="C139" t="s">
        <v>8</v>
      </c>
      <c r="D139">
        <v>2020</v>
      </c>
      <c r="E139">
        <v>48</v>
      </c>
      <c r="F139">
        <f>SUMIFS(Table1[Modeled_Demand],Table1[Key_Year_week_DC],Demand_Modeling_Week_level!$A139,Table1[BRAND],Demand_Modeling_Week_level!F$2)</f>
        <v>0</v>
      </c>
      <c r="G139">
        <f>SUMIFS(Table1[Modeled_Demand],Table1[Key_Year_week_DC],Demand_Modeling_Week_level!$A139,Table1[BRAND],Demand_Modeling_Week_level!G$2)</f>
        <v>0</v>
      </c>
      <c r="H139">
        <f>SUMIFS(Table1[Modeled_Demand],Table1[Key_Year_week_DC],Demand_Modeling_Week_level!$A139,Table1[BRAND],Demand_Modeling_Week_level!H$2)</f>
        <v>0</v>
      </c>
      <c r="I139">
        <f>SUMIFS(Table1[Modeled_Demand],Table1[Key_Year_week_DC],Demand_Modeling_Week_level!$A139,Table1[BRAND],Demand_Modeling_Week_level!I$2)</f>
        <v>0</v>
      </c>
      <c r="J139">
        <f>SUMIFS(Table1[Modeled_Demand],Table1[Key_Year_week_DC],Demand_Modeling_Week_level!$A139,Table1[BRAND],Demand_Modeling_Week_level!J$2)</f>
        <v>0</v>
      </c>
      <c r="K139">
        <f>SUMIFS(Table1[Modeled_Demand],Table1[Key_Year_week_DC],Demand_Modeling_Week_level!$A139,Table1[BRAND],Demand_Modeling_Week_level!K$2)</f>
        <v>0</v>
      </c>
      <c r="L139">
        <f>SUMIFS(Table1[Demand],Table1[Key_Year_week_DC],Demand_Modeling_Week_level!$A139)</f>
        <v>0</v>
      </c>
      <c r="M139">
        <f t="shared" si="12"/>
        <v>0</v>
      </c>
      <c r="N139">
        <f>VLOOKUP(A139,Capacity!B:G,6,FALSE)</f>
        <v>0</v>
      </c>
      <c r="O139" s="20">
        <f t="shared" si="13"/>
        <v>0</v>
      </c>
      <c r="P139">
        <f t="shared" si="14"/>
        <v>0</v>
      </c>
    </row>
    <row r="140" spans="1:16" hidden="1" x14ac:dyDescent="0.3">
      <c r="A140" t="str">
        <f t="shared" ref="A140:A146" si="15">B140&amp;"-"&amp;C140</f>
        <v>202048-OCC</v>
      </c>
      <c r="B140">
        <f t="shared" ref="B140:B146" si="16">D140*100+E140</f>
        <v>202048</v>
      </c>
      <c r="C140" t="s">
        <v>11</v>
      </c>
      <c r="D140">
        <v>2020</v>
      </c>
      <c r="E140">
        <v>48</v>
      </c>
      <c r="F140">
        <f>SUMIFS(Table1[Modeled_Demand],Table1[Key_Year_week_DC],Demand_Modeling_Week_level!$A140,Table1[BRAND],Demand_Modeling_Week_level!F$2)</f>
        <v>0</v>
      </c>
      <c r="G140">
        <f>SUMIFS(Table1[Modeled_Demand],Table1[Key_Year_week_DC],Demand_Modeling_Week_level!$A140,Table1[BRAND],Demand_Modeling_Week_level!G$2)</f>
        <v>0</v>
      </c>
      <c r="H140">
        <f>SUMIFS(Table1[Modeled_Demand],Table1[Key_Year_week_DC],Demand_Modeling_Week_level!$A140,Table1[BRAND],Demand_Modeling_Week_level!H$2)</f>
        <v>0</v>
      </c>
      <c r="I140">
        <f>SUMIFS(Table1[Modeled_Demand],Table1[Key_Year_week_DC],Demand_Modeling_Week_level!$A140,Table1[BRAND],Demand_Modeling_Week_level!I$2)</f>
        <v>0</v>
      </c>
      <c r="J140">
        <f>SUMIFS(Table1[Modeled_Demand],Table1[Key_Year_week_DC],Demand_Modeling_Week_level!$A140,Table1[BRAND],Demand_Modeling_Week_level!J$2)</f>
        <v>0</v>
      </c>
      <c r="K140">
        <f>SUMIFS(Table1[Modeled_Demand],Table1[Key_Year_week_DC],Demand_Modeling_Week_level!$A140,Table1[BRAND],Demand_Modeling_Week_level!K$2)</f>
        <v>0</v>
      </c>
      <c r="L140">
        <f>SUMIFS(Table1[Demand],Table1[Key_Year_week_DC],Demand_Modeling_Week_level!$A140)</f>
        <v>0</v>
      </c>
      <c r="M140">
        <f t="shared" si="12"/>
        <v>0</v>
      </c>
      <c r="N140">
        <f>VLOOKUP(A140,Capacity!B:G,6,FALSE)</f>
        <v>0</v>
      </c>
      <c r="O140" s="20">
        <f t="shared" si="13"/>
        <v>0</v>
      </c>
      <c r="P140">
        <f t="shared" si="14"/>
        <v>0</v>
      </c>
    </row>
    <row r="141" spans="1:16" hidden="1" x14ac:dyDescent="0.3">
      <c r="A141" t="str">
        <f t="shared" si="15"/>
        <v>202048-ODC</v>
      </c>
      <c r="B141">
        <f t="shared" si="16"/>
        <v>202048</v>
      </c>
      <c r="C141" t="s">
        <v>9</v>
      </c>
      <c r="D141">
        <v>2020</v>
      </c>
      <c r="E141">
        <v>48</v>
      </c>
      <c r="F141">
        <f>SUMIFS(Table1[Modeled_Demand],Table1[Key_Year_week_DC],Demand_Modeling_Week_level!$A141,Table1[BRAND],Demand_Modeling_Week_level!F$2)</f>
        <v>0</v>
      </c>
      <c r="G141">
        <f>SUMIFS(Table1[Modeled_Demand],Table1[Key_Year_week_DC],Demand_Modeling_Week_level!$A141,Table1[BRAND],Demand_Modeling_Week_level!G$2)</f>
        <v>0</v>
      </c>
      <c r="H141">
        <f>SUMIFS(Table1[Modeled_Demand],Table1[Key_Year_week_DC],Demand_Modeling_Week_level!$A141,Table1[BRAND],Demand_Modeling_Week_level!H$2)</f>
        <v>0</v>
      </c>
      <c r="I141">
        <f>SUMIFS(Table1[Modeled_Demand],Table1[Key_Year_week_DC],Demand_Modeling_Week_level!$A141,Table1[BRAND],Demand_Modeling_Week_level!I$2)</f>
        <v>0</v>
      </c>
      <c r="J141">
        <f>SUMIFS(Table1[Modeled_Demand],Table1[Key_Year_week_DC],Demand_Modeling_Week_level!$A141,Table1[BRAND],Demand_Modeling_Week_level!J$2)</f>
        <v>0</v>
      </c>
      <c r="K141">
        <f>SUMIFS(Table1[Modeled_Demand],Table1[Key_Year_week_DC],Demand_Modeling_Week_level!$A141,Table1[BRAND],Demand_Modeling_Week_level!K$2)</f>
        <v>0</v>
      </c>
      <c r="L141">
        <f>SUMIFS(Table1[Demand],Table1[Key_Year_week_DC],Demand_Modeling_Week_level!$A141)</f>
        <v>0</v>
      </c>
      <c r="M141">
        <f t="shared" si="12"/>
        <v>0</v>
      </c>
      <c r="N141" t="e">
        <f>VLOOKUP(A141,Capacity!B:G,6,FALSE)</f>
        <v>#N/A</v>
      </c>
      <c r="O141" s="20">
        <f t="shared" si="13"/>
        <v>0</v>
      </c>
      <c r="P141">
        <f t="shared" si="14"/>
        <v>0</v>
      </c>
    </row>
    <row r="142" spans="1:16" hidden="1" x14ac:dyDescent="0.3">
      <c r="A142" t="str">
        <f t="shared" si="15"/>
        <v>202048-OFC</v>
      </c>
      <c r="B142">
        <f t="shared" si="16"/>
        <v>202048</v>
      </c>
      <c r="C142" t="s">
        <v>5</v>
      </c>
      <c r="D142">
        <v>2020</v>
      </c>
      <c r="E142">
        <v>48</v>
      </c>
      <c r="F142">
        <f>SUMIFS(Table1[Modeled_Demand],Table1[Key_Year_week_DC],Demand_Modeling_Week_level!$A142,Table1[BRAND],Demand_Modeling_Week_level!F$2)</f>
        <v>0</v>
      </c>
      <c r="G142">
        <f>SUMIFS(Table1[Modeled_Demand],Table1[Key_Year_week_DC],Demand_Modeling_Week_level!$A142,Table1[BRAND],Demand_Modeling_Week_level!G$2)</f>
        <v>0</v>
      </c>
      <c r="H142">
        <f>SUMIFS(Table1[Modeled_Demand],Table1[Key_Year_week_DC],Demand_Modeling_Week_level!$A142,Table1[BRAND],Demand_Modeling_Week_level!H$2)</f>
        <v>0</v>
      </c>
      <c r="I142">
        <f>SUMIFS(Table1[Modeled_Demand],Table1[Key_Year_week_DC],Demand_Modeling_Week_level!$A142,Table1[BRAND],Demand_Modeling_Week_level!I$2)</f>
        <v>0</v>
      </c>
      <c r="J142">
        <f>SUMIFS(Table1[Modeled_Demand],Table1[Key_Year_week_DC],Demand_Modeling_Week_level!$A142,Table1[BRAND],Demand_Modeling_Week_level!J$2)</f>
        <v>0</v>
      </c>
      <c r="K142">
        <f>SUMIFS(Table1[Modeled_Demand],Table1[Key_Year_week_DC],Demand_Modeling_Week_level!$A142,Table1[BRAND],Demand_Modeling_Week_level!K$2)</f>
        <v>0</v>
      </c>
      <c r="L142">
        <f>SUMIFS(Table1[Demand],Table1[Key_Year_week_DC],Demand_Modeling_Week_level!$A142)</f>
        <v>0</v>
      </c>
      <c r="M142">
        <f t="shared" si="12"/>
        <v>0</v>
      </c>
      <c r="N142">
        <f>VLOOKUP(A142,Capacity!B:G,6,FALSE)</f>
        <v>0</v>
      </c>
      <c r="O142" s="20">
        <f t="shared" si="13"/>
        <v>0</v>
      </c>
      <c r="P142">
        <f t="shared" si="14"/>
        <v>0</v>
      </c>
    </row>
    <row r="143" spans="1:16" hidden="1" x14ac:dyDescent="0.3">
      <c r="A143" t="str">
        <f t="shared" si="15"/>
        <v>202048-SFS</v>
      </c>
      <c r="B143">
        <f t="shared" si="16"/>
        <v>202048</v>
      </c>
      <c r="C143" t="s">
        <v>12</v>
      </c>
      <c r="D143">
        <v>2020</v>
      </c>
      <c r="E143">
        <v>48</v>
      </c>
      <c r="F143">
        <f>SUMIFS(Table1[Modeled_Demand],Table1[Key_Year_week_DC],Demand_Modeling_Week_level!$A143,Table1[BRAND],Demand_Modeling_Week_level!F$2)</f>
        <v>0</v>
      </c>
      <c r="G143">
        <f>SUMIFS(Table1[Modeled_Demand],Table1[Key_Year_week_DC],Demand_Modeling_Week_level!$A143,Table1[BRAND],Demand_Modeling_Week_level!G$2)</f>
        <v>0</v>
      </c>
      <c r="H143">
        <f>SUMIFS(Table1[Modeled_Demand],Table1[Key_Year_week_DC],Demand_Modeling_Week_level!$A143,Table1[BRAND],Demand_Modeling_Week_level!H$2)</f>
        <v>0</v>
      </c>
      <c r="I143">
        <f>SUMIFS(Table1[Modeled_Demand],Table1[Key_Year_week_DC],Demand_Modeling_Week_level!$A143,Table1[BRAND],Demand_Modeling_Week_level!I$2)</f>
        <v>0</v>
      </c>
      <c r="J143">
        <f>SUMIFS(Table1[Modeled_Demand],Table1[Key_Year_week_DC],Demand_Modeling_Week_level!$A143,Table1[BRAND],Demand_Modeling_Week_level!J$2)</f>
        <v>0</v>
      </c>
      <c r="K143">
        <f>SUMIFS(Table1[Modeled_Demand],Table1[Key_Year_week_DC],Demand_Modeling_Week_level!$A143,Table1[BRAND],Demand_Modeling_Week_level!K$2)</f>
        <v>0</v>
      </c>
      <c r="L143">
        <f>SUMIFS(Table1[Demand],Table1[Key_Year_week_DC],Demand_Modeling_Week_level!$A143)</f>
        <v>0</v>
      </c>
      <c r="M143">
        <f t="shared" si="12"/>
        <v>0</v>
      </c>
      <c r="N143" t="e">
        <f>VLOOKUP(A143,Capacity!B:G,6,FALSE)</f>
        <v>#N/A</v>
      </c>
      <c r="O143" s="20">
        <f t="shared" si="13"/>
        <v>0</v>
      </c>
      <c r="P143">
        <f t="shared" si="14"/>
        <v>0</v>
      </c>
    </row>
    <row r="144" spans="1:16" hidden="1" x14ac:dyDescent="0.3">
      <c r="A144" t="str">
        <f t="shared" si="15"/>
        <v>202048-TFC</v>
      </c>
      <c r="B144">
        <f t="shared" si="16"/>
        <v>202048</v>
      </c>
      <c r="C144" t="s">
        <v>6</v>
      </c>
      <c r="D144">
        <v>2020</v>
      </c>
      <c r="E144">
        <v>48</v>
      </c>
      <c r="F144">
        <f>SUMIFS(Table1[Modeled_Demand],Table1[Key_Year_week_DC],Demand_Modeling_Week_level!$A144,Table1[BRAND],Demand_Modeling_Week_level!F$2)</f>
        <v>0</v>
      </c>
      <c r="G144">
        <f>SUMIFS(Table1[Modeled_Demand],Table1[Key_Year_week_DC],Demand_Modeling_Week_level!$A144,Table1[BRAND],Demand_Modeling_Week_level!G$2)</f>
        <v>0</v>
      </c>
      <c r="H144">
        <f>SUMIFS(Table1[Modeled_Demand],Table1[Key_Year_week_DC],Demand_Modeling_Week_level!$A144,Table1[BRAND],Demand_Modeling_Week_level!H$2)</f>
        <v>0</v>
      </c>
      <c r="I144">
        <f>SUMIFS(Table1[Modeled_Demand],Table1[Key_Year_week_DC],Demand_Modeling_Week_level!$A144,Table1[BRAND],Demand_Modeling_Week_level!I$2)</f>
        <v>0</v>
      </c>
      <c r="J144">
        <f>SUMIFS(Table1[Modeled_Demand],Table1[Key_Year_week_DC],Demand_Modeling_Week_level!$A144,Table1[BRAND],Demand_Modeling_Week_level!J$2)</f>
        <v>0</v>
      </c>
      <c r="K144">
        <f>SUMIFS(Table1[Modeled_Demand],Table1[Key_Year_week_DC],Demand_Modeling_Week_level!$A144,Table1[BRAND],Demand_Modeling_Week_level!K$2)</f>
        <v>0</v>
      </c>
      <c r="L144">
        <f>SUMIFS(Table1[Demand],Table1[Key_Year_week_DC],Demand_Modeling_Week_level!$A144)</f>
        <v>0</v>
      </c>
      <c r="M144">
        <f t="shared" si="12"/>
        <v>0</v>
      </c>
      <c r="N144">
        <f>VLOOKUP(A144,Capacity!B:G,6,FALSE)</f>
        <v>0</v>
      </c>
      <c r="O144" s="20">
        <f t="shared" si="13"/>
        <v>0</v>
      </c>
      <c r="P144">
        <f t="shared" si="14"/>
        <v>0</v>
      </c>
    </row>
    <row r="145" spans="1:16" hidden="1" x14ac:dyDescent="0.3">
      <c r="A145" t="str">
        <f t="shared" si="15"/>
        <v>202048-WEO</v>
      </c>
      <c r="B145">
        <f t="shared" si="16"/>
        <v>202048</v>
      </c>
      <c r="C145" t="s">
        <v>10</v>
      </c>
      <c r="D145">
        <v>2020</v>
      </c>
      <c r="E145">
        <v>48</v>
      </c>
      <c r="F145">
        <f>SUMIFS(Table1[Modeled_Demand],Table1[Key_Year_week_DC],Demand_Modeling_Week_level!$A145,Table1[BRAND],Demand_Modeling_Week_level!F$2)</f>
        <v>0</v>
      </c>
      <c r="G145">
        <f>SUMIFS(Table1[Modeled_Demand],Table1[Key_Year_week_DC],Demand_Modeling_Week_level!$A145,Table1[BRAND],Demand_Modeling_Week_level!G$2)</f>
        <v>0</v>
      </c>
      <c r="H145">
        <f>SUMIFS(Table1[Modeled_Demand],Table1[Key_Year_week_DC],Demand_Modeling_Week_level!$A145,Table1[BRAND],Demand_Modeling_Week_level!H$2)</f>
        <v>0</v>
      </c>
      <c r="I145">
        <f>SUMIFS(Table1[Modeled_Demand],Table1[Key_Year_week_DC],Demand_Modeling_Week_level!$A145,Table1[BRAND],Demand_Modeling_Week_level!I$2)</f>
        <v>0</v>
      </c>
      <c r="J145">
        <f>SUMIFS(Table1[Modeled_Demand],Table1[Key_Year_week_DC],Demand_Modeling_Week_level!$A145,Table1[BRAND],Demand_Modeling_Week_level!J$2)</f>
        <v>0</v>
      </c>
      <c r="K145">
        <f>SUMIFS(Table1[Modeled_Demand],Table1[Key_Year_week_DC],Demand_Modeling_Week_level!$A145,Table1[BRAND],Demand_Modeling_Week_level!K$2)</f>
        <v>0</v>
      </c>
      <c r="L145">
        <f>SUMIFS(Table1[Demand],Table1[Key_Year_week_DC],Demand_Modeling_Week_level!$A145)</f>
        <v>0</v>
      </c>
      <c r="M145">
        <f t="shared" si="12"/>
        <v>0</v>
      </c>
      <c r="N145">
        <f>VLOOKUP(A145,Capacity!B:G,6,FALSE)</f>
        <v>0</v>
      </c>
      <c r="O145" s="20">
        <f t="shared" si="13"/>
        <v>0</v>
      </c>
      <c r="P145">
        <f t="shared" si="14"/>
        <v>0</v>
      </c>
    </row>
    <row r="146" spans="1:16" hidden="1" x14ac:dyDescent="0.3">
      <c r="A146" t="str">
        <f t="shared" si="15"/>
        <v>202048-WFC</v>
      </c>
      <c r="B146">
        <f t="shared" si="16"/>
        <v>202048</v>
      </c>
      <c r="C146" t="s">
        <v>7</v>
      </c>
      <c r="D146">
        <v>2020</v>
      </c>
      <c r="E146">
        <v>48</v>
      </c>
      <c r="F146">
        <f>SUMIFS(Table1[Modeled_Demand],Table1[Key_Year_week_DC],Demand_Modeling_Week_level!$A146,Table1[BRAND],Demand_Modeling_Week_level!F$2)</f>
        <v>0</v>
      </c>
      <c r="G146">
        <f>SUMIFS(Table1[Modeled_Demand],Table1[Key_Year_week_DC],Demand_Modeling_Week_level!$A146,Table1[BRAND],Demand_Modeling_Week_level!G$2)</f>
        <v>0</v>
      </c>
      <c r="H146">
        <f>SUMIFS(Table1[Modeled_Demand],Table1[Key_Year_week_DC],Demand_Modeling_Week_level!$A146,Table1[BRAND],Demand_Modeling_Week_level!H$2)</f>
        <v>0</v>
      </c>
      <c r="I146">
        <f>SUMIFS(Table1[Modeled_Demand],Table1[Key_Year_week_DC],Demand_Modeling_Week_level!$A146,Table1[BRAND],Demand_Modeling_Week_level!I$2)</f>
        <v>0</v>
      </c>
      <c r="J146">
        <f>SUMIFS(Table1[Modeled_Demand],Table1[Key_Year_week_DC],Demand_Modeling_Week_level!$A146,Table1[BRAND],Demand_Modeling_Week_level!J$2)</f>
        <v>0</v>
      </c>
      <c r="K146">
        <f>SUMIFS(Table1[Modeled_Demand],Table1[Key_Year_week_DC],Demand_Modeling_Week_level!$A146,Table1[BRAND],Demand_Modeling_Week_level!K$2)</f>
        <v>0</v>
      </c>
      <c r="L146">
        <f>SUMIFS(Table1[Demand],Table1[Key_Year_week_DC],Demand_Modeling_Week_level!$A146)</f>
        <v>0</v>
      </c>
      <c r="M146">
        <f t="shared" si="12"/>
        <v>0</v>
      </c>
      <c r="N146">
        <f>VLOOKUP(A146,Capacity!B:G,6,FALSE)</f>
        <v>0</v>
      </c>
      <c r="O146" s="20">
        <f t="shared" si="13"/>
        <v>0</v>
      </c>
      <c r="P146">
        <f t="shared" si="14"/>
        <v>0</v>
      </c>
    </row>
    <row r="147" spans="1:16" x14ac:dyDescent="0.3">
      <c r="A147" t="str">
        <f>B147&amp;"-"&amp;C147</f>
        <v>202143-EAO</v>
      </c>
      <c r="B147">
        <f>D147*100+E147</f>
        <v>202143</v>
      </c>
      <c r="C147" t="s">
        <v>8</v>
      </c>
      <c r="D147">
        <v>2021</v>
      </c>
      <c r="E147">
        <v>43</v>
      </c>
      <c r="F147">
        <f>SUMIFS(Table1[Modeled_Demand],Table1[Key_Year_week_DC],Demand_Modeling_Week_level!$A147,Table1[BRAND],Demand_Modeling_Week_level!F$2)</f>
        <v>20.487558073087733</v>
      </c>
      <c r="G147">
        <f>SUMIFS(Table1[Modeled_Demand],Table1[Key_Year_week_DC],Demand_Modeling_Week_level!$A147,Table1[BRAND],Demand_Modeling_Week_level!G$2)</f>
        <v>37.793399855034075</v>
      </c>
      <c r="H147">
        <f>SUMIFS(Table1[Modeled_Demand],Table1[Key_Year_week_DC],Demand_Modeling_Week_level!$A147,Table1[BRAND],Demand_Modeling_Week_level!H$2)</f>
        <v>0</v>
      </c>
      <c r="I147">
        <f>SUMIFS(Table1[Modeled_Demand],Table1[Key_Year_week_DC],Demand_Modeling_Week_level!$A147,Table1[BRAND],Demand_Modeling_Week_level!I$2)</f>
        <v>0</v>
      </c>
      <c r="J147">
        <f>SUMIFS(Table1[Modeled_Demand],Table1[Key_Year_week_DC],Demand_Modeling_Week_level!$A147,Table1[BRAND],Demand_Modeling_Week_level!J$2)</f>
        <v>0</v>
      </c>
      <c r="K147">
        <f>SUMIFS(Table1[Modeled_Demand],Table1[Key_Year_week_DC],Demand_Modeling_Week_level!$A147,Table1[BRAND],Demand_Modeling_Week_level!K$2)</f>
        <v>2979042.9231967689</v>
      </c>
      <c r="L147">
        <f>SUMIFS(Table1[Demand],Table1[Key_Year_week_DC],Demand_Modeling_Week_level!$A147)</f>
        <v>3642500</v>
      </c>
      <c r="M147">
        <f t="shared" si="12"/>
        <v>2979101.2041546968</v>
      </c>
      <c r="N147">
        <f>VLOOKUP(A147,Capacity!B:G,6,FALSE)</f>
        <v>2850022.8</v>
      </c>
      <c r="O147" s="20">
        <f t="shared" si="13"/>
        <v>1.2780599509589889</v>
      </c>
      <c r="P147">
        <f t="shared" si="14"/>
        <v>1.0452903058020087</v>
      </c>
    </row>
    <row r="148" spans="1:16" x14ac:dyDescent="0.3">
      <c r="A148" t="str">
        <f t="shared" ref="A148:A211" si="17">B148&amp;"-"&amp;C148</f>
        <v>202143-OCC</v>
      </c>
      <c r="B148">
        <f t="shared" ref="B148:B211" si="18">D148*100+E148</f>
        <v>202143</v>
      </c>
      <c r="C148" t="s">
        <v>11</v>
      </c>
      <c r="D148">
        <v>2021</v>
      </c>
      <c r="E148">
        <v>43</v>
      </c>
      <c r="F148">
        <f>SUMIFS(Table1[Modeled_Demand],Table1[Key_Year_week_DC],Demand_Modeling_Week_level!$A148,Table1[BRAND],Demand_Modeling_Week_level!F$2)</f>
        <v>0</v>
      </c>
      <c r="G148">
        <f>SUMIFS(Table1[Modeled_Demand],Table1[Key_Year_week_DC],Demand_Modeling_Week_level!$A148,Table1[BRAND],Demand_Modeling_Week_level!G$2)</f>
        <v>0</v>
      </c>
      <c r="H148">
        <f>SUMIFS(Table1[Modeled_Demand],Table1[Key_Year_week_DC],Demand_Modeling_Week_level!$A148,Table1[BRAND],Demand_Modeling_Week_level!H$2)</f>
        <v>0</v>
      </c>
      <c r="I148">
        <f>SUMIFS(Table1[Modeled_Demand],Table1[Key_Year_week_DC],Demand_Modeling_Week_level!$A148,Table1[BRAND],Demand_Modeling_Week_level!I$2)</f>
        <v>1505971.25</v>
      </c>
      <c r="J148">
        <f>SUMIFS(Table1[Modeled_Demand],Table1[Key_Year_week_DC],Demand_Modeling_Week_level!$A148,Table1[BRAND],Demand_Modeling_Week_level!J$2)</f>
        <v>0</v>
      </c>
      <c r="K148">
        <f>SUMIFS(Table1[Modeled_Demand],Table1[Key_Year_week_DC],Demand_Modeling_Week_level!$A148,Table1[BRAND],Demand_Modeling_Week_level!K$2)</f>
        <v>1749836.1600000001</v>
      </c>
      <c r="L148">
        <f>SUMIFS(Table1[Demand],Table1[Key_Year_week_DC],Demand_Modeling_Week_level!$A148)</f>
        <v>0</v>
      </c>
      <c r="M148">
        <f t="shared" si="12"/>
        <v>3255807.41</v>
      </c>
      <c r="N148">
        <f>VLOOKUP(A148,Capacity!B:G,6,FALSE)</f>
        <v>2849971.5</v>
      </c>
      <c r="O148" s="20">
        <f t="shared" si="13"/>
        <v>0</v>
      </c>
      <c r="P148">
        <f t="shared" si="14"/>
        <v>1.1423999889121699</v>
      </c>
    </row>
    <row r="149" spans="1:16" x14ac:dyDescent="0.3">
      <c r="A149" t="str">
        <f t="shared" si="17"/>
        <v>202143-ODC</v>
      </c>
      <c r="B149">
        <f t="shared" si="18"/>
        <v>202143</v>
      </c>
      <c r="C149" t="s">
        <v>9</v>
      </c>
      <c r="D149">
        <v>2021</v>
      </c>
      <c r="E149">
        <v>43</v>
      </c>
      <c r="F149">
        <f>SUMIFS(Table1[Modeled_Demand],Table1[Key_Year_week_DC],Demand_Modeling_Week_level!$A149,Table1[BRAND],Demand_Modeling_Week_level!F$2)</f>
        <v>0</v>
      </c>
      <c r="G149">
        <f>SUMIFS(Table1[Modeled_Demand],Table1[Key_Year_week_DC],Demand_Modeling_Week_level!$A149,Table1[BRAND],Demand_Modeling_Week_level!G$2)</f>
        <v>0</v>
      </c>
      <c r="H149">
        <f>SUMIFS(Table1[Modeled_Demand],Table1[Key_Year_week_DC],Demand_Modeling_Week_level!$A149,Table1[BRAND],Demand_Modeling_Week_level!H$2)</f>
        <v>0</v>
      </c>
      <c r="I149">
        <f>SUMIFS(Table1[Modeled_Demand],Table1[Key_Year_week_DC],Demand_Modeling_Week_level!$A149,Table1[BRAND],Demand_Modeling_Week_level!I$2)</f>
        <v>0</v>
      </c>
      <c r="J149">
        <f>SUMIFS(Table1[Modeled_Demand],Table1[Key_Year_week_DC],Demand_Modeling_Week_level!$A149,Table1[BRAND],Demand_Modeling_Week_level!J$2)</f>
        <v>0</v>
      </c>
      <c r="K149">
        <f>SUMIFS(Table1[Modeled_Demand],Table1[Key_Year_week_DC],Demand_Modeling_Week_level!$A149,Table1[BRAND],Demand_Modeling_Week_level!K$2)</f>
        <v>0</v>
      </c>
      <c r="L149">
        <f>SUMIFS(Table1[Demand],Table1[Key_Year_week_DC],Demand_Modeling_Week_level!$A149)</f>
        <v>0</v>
      </c>
      <c r="M149">
        <f t="shared" si="12"/>
        <v>0</v>
      </c>
      <c r="N149" t="e">
        <f>VLOOKUP(A149,Capacity!B:G,6,FALSE)</f>
        <v>#N/A</v>
      </c>
      <c r="O149" s="20">
        <f t="shared" si="13"/>
        <v>0</v>
      </c>
      <c r="P149">
        <f t="shared" si="14"/>
        <v>0</v>
      </c>
    </row>
    <row r="150" spans="1:16" x14ac:dyDescent="0.3">
      <c r="A150" t="str">
        <f t="shared" si="17"/>
        <v>202143-OFC</v>
      </c>
      <c r="B150">
        <f t="shared" si="18"/>
        <v>202143</v>
      </c>
      <c r="C150" t="s">
        <v>5</v>
      </c>
      <c r="D150">
        <v>2021</v>
      </c>
      <c r="E150">
        <v>43</v>
      </c>
      <c r="F150">
        <f>SUMIFS(Table1[Modeled_Demand],Table1[Key_Year_week_DC],Demand_Modeling_Week_level!$A150,Table1[BRAND],Demand_Modeling_Week_level!F$2)</f>
        <v>0</v>
      </c>
      <c r="G150">
        <f>SUMIFS(Table1[Modeled_Demand],Table1[Key_Year_week_DC],Demand_Modeling_Week_level!$A150,Table1[BRAND],Demand_Modeling_Week_level!G$2)</f>
        <v>0</v>
      </c>
      <c r="H150">
        <f>SUMIFS(Table1[Modeled_Demand],Table1[Key_Year_week_DC],Demand_Modeling_Week_level!$A150,Table1[BRAND],Demand_Modeling_Week_level!H$2)</f>
        <v>788179</v>
      </c>
      <c r="I150">
        <f>SUMIFS(Table1[Modeled_Demand],Table1[Key_Year_week_DC],Demand_Modeling_Week_level!$A150,Table1[BRAND],Demand_Modeling_Week_level!I$2)</f>
        <v>0</v>
      </c>
      <c r="J150">
        <f>SUMIFS(Table1[Modeled_Demand],Table1[Key_Year_week_DC],Demand_Modeling_Week_level!$A150,Table1[BRAND],Demand_Modeling_Week_level!J$2)</f>
        <v>2114421</v>
      </c>
      <c r="K150">
        <f>SUMIFS(Table1[Modeled_Demand],Table1[Key_Year_week_DC],Demand_Modeling_Week_level!$A150,Table1[BRAND],Demand_Modeling_Week_level!K$2)</f>
        <v>1640471.4</v>
      </c>
      <c r="L150">
        <f>SUMIFS(Table1[Demand],Table1[Key_Year_week_DC],Demand_Modeling_Week_level!$A150)</f>
        <v>9906217</v>
      </c>
      <c r="M150">
        <f t="shared" si="12"/>
        <v>4543071.4000000004</v>
      </c>
      <c r="N150">
        <f>VLOOKUP(A150,Capacity!B:G,6,FALSE)</f>
        <v>3704988.6</v>
      </c>
      <c r="O150" s="20">
        <f t="shared" si="13"/>
        <v>2.6737510069531658</v>
      </c>
      <c r="P150">
        <f t="shared" si="14"/>
        <v>1.2262038808972315</v>
      </c>
    </row>
    <row r="151" spans="1:16" x14ac:dyDescent="0.3">
      <c r="A151" t="str">
        <f t="shared" si="17"/>
        <v>202143-SFS</v>
      </c>
      <c r="B151">
        <f t="shared" si="18"/>
        <v>202143</v>
      </c>
      <c r="C151" t="s">
        <v>12</v>
      </c>
      <c r="D151">
        <v>2021</v>
      </c>
      <c r="E151">
        <v>43</v>
      </c>
      <c r="F151">
        <f>SUMIFS(Table1[Modeled_Demand],Table1[Key_Year_week_DC],Demand_Modeling_Week_level!$A151,Table1[BRAND],Demand_Modeling_Week_level!F$2)</f>
        <v>0</v>
      </c>
      <c r="G151">
        <f>SUMIFS(Table1[Modeled_Demand],Table1[Key_Year_week_DC],Demand_Modeling_Week_level!$A151,Table1[BRAND],Demand_Modeling_Week_level!G$2)</f>
        <v>0</v>
      </c>
      <c r="H151">
        <f>SUMIFS(Table1[Modeled_Demand],Table1[Key_Year_week_DC],Demand_Modeling_Week_level!$A151,Table1[BRAND],Demand_Modeling_Week_level!H$2)</f>
        <v>0</v>
      </c>
      <c r="I151">
        <f>SUMIFS(Table1[Modeled_Demand],Table1[Key_Year_week_DC],Demand_Modeling_Week_level!$A151,Table1[BRAND],Demand_Modeling_Week_level!I$2)</f>
        <v>0</v>
      </c>
      <c r="J151">
        <f>SUMIFS(Table1[Modeled_Demand],Table1[Key_Year_week_DC],Demand_Modeling_Week_level!$A151,Table1[BRAND],Demand_Modeling_Week_level!J$2)</f>
        <v>0</v>
      </c>
      <c r="K151">
        <f>SUMIFS(Table1[Modeled_Demand],Table1[Key_Year_week_DC],Demand_Modeling_Week_level!$A151,Table1[BRAND],Demand_Modeling_Week_level!K$2)</f>
        <v>0</v>
      </c>
      <c r="L151">
        <f>SUMIFS(Table1[Demand],Table1[Key_Year_week_DC],Demand_Modeling_Week_level!$A151)</f>
        <v>0</v>
      </c>
      <c r="M151">
        <f t="shared" si="12"/>
        <v>0</v>
      </c>
      <c r="N151" t="e">
        <f>VLOOKUP(A151,Capacity!B:G,6,FALSE)</f>
        <v>#N/A</v>
      </c>
      <c r="O151" s="20">
        <f t="shared" si="13"/>
        <v>0</v>
      </c>
      <c r="P151">
        <f t="shared" si="14"/>
        <v>0</v>
      </c>
    </row>
    <row r="152" spans="1:16" x14ac:dyDescent="0.3">
      <c r="A152" t="str">
        <f t="shared" si="17"/>
        <v>202143-TFC</v>
      </c>
      <c r="B152">
        <f t="shared" si="18"/>
        <v>202143</v>
      </c>
      <c r="C152" t="s">
        <v>6</v>
      </c>
      <c r="D152">
        <v>2021</v>
      </c>
      <c r="E152">
        <v>43</v>
      </c>
      <c r="F152">
        <f>SUMIFS(Table1[Modeled_Demand],Table1[Key_Year_week_DC],Demand_Modeling_Week_level!$A152,Table1[BRAND],Demand_Modeling_Week_level!F$2)</f>
        <v>594338</v>
      </c>
      <c r="G152">
        <f>SUMIFS(Table1[Modeled_Demand],Table1[Key_Year_week_DC],Demand_Modeling_Week_level!$A152,Table1[BRAND],Demand_Modeling_Week_level!G$2)</f>
        <v>892617</v>
      </c>
      <c r="H152">
        <f>SUMIFS(Table1[Modeled_Demand],Table1[Key_Year_week_DC],Demand_Modeling_Week_level!$A152,Table1[BRAND],Demand_Modeling_Week_level!H$2)</f>
        <v>0</v>
      </c>
      <c r="I152">
        <f>SUMIFS(Table1[Modeled_Demand],Table1[Key_Year_week_DC],Demand_Modeling_Week_level!$A152,Table1[BRAND],Demand_Modeling_Week_level!I$2)</f>
        <v>1204777</v>
      </c>
      <c r="J152">
        <f>SUMIFS(Table1[Modeled_Demand],Table1[Key_Year_week_DC],Demand_Modeling_Week_level!$A152,Table1[BRAND],Demand_Modeling_Week_level!J$2)</f>
        <v>0</v>
      </c>
      <c r="K152">
        <f>SUMIFS(Table1[Modeled_Demand],Table1[Key_Year_week_DC],Demand_Modeling_Week_level!$A152,Table1[BRAND],Demand_Modeling_Week_level!K$2)</f>
        <v>1942318.1376</v>
      </c>
      <c r="L152">
        <f>SUMIFS(Table1[Demand],Table1[Key_Year_week_DC],Demand_Modeling_Week_level!$A152)</f>
        <v>3429243</v>
      </c>
      <c r="M152">
        <f t="shared" si="12"/>
        <v>4634050.1376</v>
      </c>
      <c r="N152">
        <f>VLOOKUP(A152,Capacity!B:G,6,FALSE)</f>
        <v>4274982.9000000004</v>
      </c>
      <c r="O152" s="20">
        <f t="shared" si="13"/>
        <v>0.80216531392441348</v>
      </c>
      <c r="P152">
        <f t="shared" si="14"/>
        <v>1.0839926722513906</v>
      </c>
    </row>
    <row r="153" spans="1:16" x14ac:dyDescent="0.3">
      <c r="A153" t="str">
        <f t="shared" si="17"/>
        <v>202143-WEO</v>
      </c>
      <c r="B153">
        <f t="shared" si="18"/>
        <v>202143</v>
      </c>
      <c r="C153" t="s">
        <v>10</v>
      </c>
      <c r="D153">
        <v>2021</v>
      </c>
      <c r="E153">
        <v>43</v>
      </c>
      <c r="F153">
        <f>SUMIFS(Table1[Modeled_Demand],Table1[Key_Year_week_DC],Demand_Modeling_Week_level!$A153,Table1[BRAND],Demand_Modeling_Week_level!F$2)</f>
        <v>0</v>
      </c>
      <c r="G153">
        <f>SUMIFS(Table1[Modeled_Demand],Table1[Key_Year_week_DC],Demand_Modeling_Week_level!$A153,Table1[BRAND],Demand_Modeling_Week_level!G$2)</f>
        <v>0</v>
      </c>
      <c r="H153">
        <f>SUMIFS(Table1[Modeled_Demand],Table1[Key_Year_week_DC],Demand_Modeling_Week_level!$A153,Table1[BRAND],Demand_Modeling_Week_level!H$2)</f>
        <v>0</v>
      </c>
      <c r="I153">
        <f>SUMIFS(Table1[Modeled_Demand],Table1[Key_Year_week_DC],Demand_Modeling_Week_level!$A153,Table1[BRAND],Demand_Modeling_Week_level!I$2)</f>
        <v>2409554</v>
      </c>
      <c r="J153">
        <f>SUMIFS(Table1[Modeled_Demand],Table1[Key_Year_week_DC],Demand_Modeling_Week_level!$A153,Table1[BRAND],Demand_Modeling_Week_level!J$2)</f>
        <v>0</v>
      </c>
      <c r="K153">
        <f>SUMIFS(Table1[Modeled_Demand],Table1[Key_Year_week_DC],Demand_Modeling_Week_level!$A153,Table1[BRAND],Demand_Modeling_Week_level!K$2)</f>
        <v>2624754.2399999998</v>
      </c>
      <c r="L153">
        <f>SUMIFS(Table1[Demand],Table1[Key_Year_week_DC],Demand_Modeling_Week_level!$A153)</f>
        <v>2001009</v>
      </c>
      <c r="M153">
        <f t="shared" si="12"/>
        <v>5034308.24</v>
      </c>
      <c r="N153">
        <f>VLOOKUP(A153,Capacity!B:G,6,FALSE)</f>
        <v>4274982.9000000004</v>
      </c>
      <c r="O153" s="20">
        <f t="shared" si="13"/>
        <v>0.46807415299836636</v>
      </c>
      <c r="P153">
        <f t="shared" si="14"/>
        <v>1.1776206730557917</v>
      </c>
    </row>
    <row r="154" spans="1:16" x14ac:dyDescent="0.3">
      <c r="A154" t="str">
        <f t="shared" si="17"/>
        <v>202143-WFC</v>
      </c>
      <c r="B154">
        <f t="shared" si="18"/>
        <v>202143</v>
      </c>
      <c r="C154" t="s">
        <v>7</v>
      </c>
      <c r="D154">
        <v>2021</v>
      </c>
      <c r="E154">
        <v>43</v>
      </c>
      <c r="F154">
        <f>SUMIFS(Table1[Modeled_Demand],Table1[Key_Year_week_DC],Demand_Modeling_Week_level!$A154,Table1[BRAND],Demand_Modeling_Week_level!F$2)</f>
        <v>0</v>
      </c>
      <c r="G154">
        <f>SUMIFS(Table1[Modeled_Demand],Table1[Key_Year_week_DC],Demand_Modeling_Week_level!$A154,Table1[BRAND],Demand_Modeling_Week_level!G$2)</f>
        <v>3.1205559513330883</v>
      </c>
      <c r="H154">
        <f>SUMIFS(Table1[Modeled_Demand],Table1[Key_Year_week_DC],Demand_Modeling_Week_level!$A154,Table1[BRAND],Demand_Modeling_Week_level!H$2)</f>
        <v>0</v>
      </c>
      <c r="I154">
        <f>SUMIFS(Table1[Modeled_Demand],Table1[Key_Year_week_DC],Demand_Modeling_Week_level!$A154,Table1[BRAND],Demand_Modeling_Week_level!I$2)</f>
        <v>903582.75</v>
      </c>
      <c r="J154">
        <f>SUMIFS(Table1[Modeled_Demand],Table1[Key_Year_week_DC],Demand_Modeling_Week_level!$A154,Table1[BRAND],Demand_Modeling_Week_level!J$2)</f>
        <v>0</v>
      </c>
      <c r="K154">
        <f>SUMIFS(Table1[Modeled_Demand],Table1[Key_Year_week_DC],Demand_Modeling_Week_level!$A154,Table1[BRAND],Demand_Modeling_Week_level!K$2)</f>
        <v>0</v>
      </c>
      <c r="L154">
        <f>SUMIFS(Table1[Demand],Table1[Key_Year_week_DC],Demand_Modeling_Week_level!$A154)</f>
        <v>2370947</v>
      </c>
      <c r="M154">
        <f t="shared" si="12"/>
        <v>903585.87055595138</v>
      </c>
      <c r="N154">
        <f>VLOOKUP(A154,Capacity!B:G,6,FALSE)</f>
        <v>683982.9</v>
      </c>
      <c r="O154" s="20">
        <f t="shared" si="13"/>
        <v>3.4663834432118112</v>
      </c>
      <c r="P154">
        <f t="shared" si="14"/>
        <v>1.3210650011220328</v>
      </c>
    </row>
    <row r="155" spans="1:16" x14ac:dyDescent="0.3">
      <c r="A155" t="str">
        <f t="shared" si="17"/>
        <v>202144-EAO</v>
      </c>
      <c r="B155">
        <f t="shared" si="18"/>
        <v>202144</v>
      </c>
      <c r="C155" t="s">
        <v>8</v>
      </c>
      <c r="D155">
        <v>2021</v>
      </c>
      <c r="E155">
        <v>44</v>
      </c>
      <c r="F155">
        <f>SUMIFS(Table1[Modeled_Demand],Table1[Key_Year_week_DC],Demand_Modeling_Week_level!$A155,Table1[BRAND],Demand_Modeling_Week_level!F$2)</f>
        <v>16.178448299719037</v>
      </c>
      <c r="G155">
        <f>SUMIFS(Table1[Modeled_Demand],Table1[Key_Year_week_DC],Demand_Modeling_Week_level!$A155,Table1[BRAND],Demand_Modeling_Week_level!G$2)</f>
        <v>29.604633005463803</v>
      </c>
      <c r="H155">
        <f>SUMIFS(Table1[Modeled_Demand],Table1[Key_Year_week_DC],Demand_Modeling_Week_level!$A155,Table1[BRAND],Demand_Modeling_Week_level!H$2)</f>
        <v>0</v>
      </c>
      <c r="I155">
        <f>SUMIFS(Table1[Modeled_Demand],Table1[Key_Year_week_DC],Demand_Modeling_Week_level!$A155,Table1[BRAND],Demand_Modeling_Week_level!I$2)</f>
        <v>0</v>
      </c>
      <c r="J155">
        <f>SUMIFS(Table1[Modeled_Demand],Table1[Key_Year_week_DC],Demand_Modeling_Week_level!$A155,Table1[BRAND],Demand_Modeling_Week_level!J$2)</f>
        <v>0</v>
      </c>
      <c r="K155">
        <f>SUMIFS(Table1[Modeled_Demand],Table1[Key_Year_week_DC],Demand_Modeling_Week_level!$A155,Table1[BRAND],Demand_Modeling_Week_level!K$2)</f>
        <v>2380895.0635646451</v>
      </c>
      <c r="L155">
        <f>SUMIFS(Table1[Demand],Table1[Key_Year_week_DC],Demand_Modeling_Week_level!$A155)</f>
        <v>3317793</v>
      </c>
      <c r="M155">
        <f t="shared" si="12"/>
        <v>2380940.8466459503</v>
      </c>
      <c r="N155">
        <f>VLOOKUP(A155,Capacity!B:G,6,FALSE)</f>
        <v>3150025.2</v>
      </c>
      <c r="O155" s="20">
        <f t="shared" si="13"/>
        <v>1.0532591929740751</v>
      </c>
      <c r="P155">
        <f t="shared" si="14"/>
        <v>0.75584819024493843</v>
      </c>
    </row>
    <row r="156" spans="1:16" x14ac:dyDescent="0.3">
      <c r="A156" t="str">
        <f t="shared" si="17"/>
        <v>202144-OCC</v>
      </c>
      <c r="B156">
        <f t="shared" si="18"/>
        <v>202144</v>
      </c>
      <c r="C156" t="s">
        <v>11</v>
      </c>
      <c r="D156">
        <v>2021</v>
      </c>
      <c r="E156">
        <v>44</v>
      </c>
      <c r="F156">
        <f>SUMIFS(Table1[Modeled_Demand],Table1[Key_Year_week_DC],Demand_Modeling_Week_level!$A156,Table1[BRAND],Demand_Modeling_Week_level!F$2)</f>
        <v>0</v>
      </c>
      <c r="G156">
        <f>SUMIFS(Table1[Modeled_Demand],Table1[Key_Year_week_DC],Demand_Modeling_Week_level!$A156,Table1[BRAND],Demand_Modeling_Week_level!G$2)</f>
        <v>0</v>
      </c>
      <c r="H156">
        <f>SUMIFS(Table1[Modeled_Demand],Table1[Key_Year_week_DC],Demand_Modeling_Week_level!$A156,Table1[BRAND],Demand_Modeling_Week_level!H$2)</f>
        <v>0</v>
      </c>
      <c r="I156">
        <f>SUMIFS(Table1[Modeled_Demand],Table1[Key_Year_week_DC],Demand_Modeling_Week_level!$A156,Table1[BRAND],Demand_Modeling_Week_level!I$2)</f>
        <v>999872.25</v>
      </c>
      <c r="J156">
        <f>SUMIFS(Table1[Modeled_Demand],Table1[Key_Year_week_DC],Demand_Modeling_Week_level!$A156,Table1[BRAND],Demand_Modeling_Week_level!J$2)</f>
        <v>0</v>
      </c>
      <c r="K156">
        <f>SUMIFS(Table1[Modeled_Demand],Table1[Key_Year_week_DC],Demand_Modeling_Week_level!$A156,Table1[BRAND],Demand_Modeling_Week_level!K$2)</f>
        <v>1398494.8800000001</v>
      </c>
      <c r="L156">
        <f>SUMIFS(Table1[Demand],Table1[Key_Year_week_DC],Demand_Modeling_Week_level!$A156)</f>
        <v>0</v>
      </c>
      <c r="M156">
        <f t="shared" si="12"/>
        <v>2398367.13</v>
      </c>
      <c r="N156">
        <f>VLOOKUP(A156,Capacity!B:G,6,FALSE)</f>
        <v>3149968.5</v>
      </c>
      <c r="O156" s="20">
        <f t="shared" si="13"/>
        <v>0</v>
      </c>
      <c r="P156">
        <f t="shared" si="14"/>
        <v>0.76139400441623462</v>
      </c>
    </row>
    <row r="157" spans="1:16" x14ac:dyDescent="0.3">
      <c r="A157" t="str">
        <f t="shared" si="17"/>
        <v>202144-ODC</v>
      </c>
      <c r="B157">
        <f t="shared" si="18"/>
        <v>202144</v>
      </c>
      <c r="C157" t="s">
        <v>9</v>
      </c>
      <c r="D157">
        <v>2021</v>
      </c>
      <c r="E157">
        <v>44</v>
      </c>
      <c r="F157">
        <f>SUMIFS(Table1[Modeled_Demand],Table1[Key_Year_week_DC],Demand_Modeling_Week_level!$A157,Table1[BRAND],Demand_Modeling_Week_level!F$2)</f>
        <v>0</v>
      </c>
      <c r="G157">
        <f>SUMIFS(Table1[Modeled_Demand],Table1[Key_Year_week_DC],Demand_Modeling_Week_level!$A157,Table1[BRAND],Demand_Modeling_Week_level!G$2)</f>
        <v>0</v>
      </c>
      <c r="H157">
        <f>SUMIFS(Table1[Modeled_Demand],Table1[Key_Year_week_DC],Demand_Modeling_Week_level!$A157,Table1[BRAND],Demand_Modeling_Week_level!H$2)</f>
        <v>0</v>
      </c>
      <c r="I157">
        <f>SUMIFS(Table1[Modeled_Demand],Table1[Key_Year_week_DC],Demand_Modeling_Week_level!$A157,Table1[BRAND],Demand_Modeling_Week_level!I$2)</f>
        <v>0</v>
      </c>
      <c r="J157">
        <f>SUMIFS(Table1[Modeled_Demand],Table1[Key_Year_week_DC],Demand_Modeling_Week_level!$A157,Table1[BRAND],Demand_Modeling_Week_level!J$2)</f>
        <v>0</v>
      </c>
      <c r="K157">
        <f>SUMIFS(Table1[Modeled_Demand],Table1[Key_Year_week_DC],Demand_Modeling_Week_level!$A157,Table1[BRAND],Demand_Modeling_Week_level!K$2)</f>
        <v>0</v>
      </c>
      <c r="L157">
        <f>SUMIFS(Table1[Demand],Table1[Key_Year_week_DC],Demand_Modeling_Week_level!$A157)</f>
        <v>0</v>
      </c>
      <c r="M157">
        <f t="shared" si="12"/>
        <v>0</v>
      </c>
      <c r="N157" t="e">
        <f>VLOOKUP(A157,Capacity!B:G,6,FALSE)</f>
        <v>#N/A</v>
      </c>
      <c r="O157" s="20">
        <f t="shared" si="13"/>
        <v>0</v>
      </c>
      <c r="P157">
        <f t="shared" si="14"/>
        <v>0</v>
      </c>
    </row>
    <row r="158" spans="1:16" x14ac:dyDescent="0.3">
      <c r="A158" t="str">
        <f t="shared" si="17"/>
        <v>202144-OFC</v>
      </c>
      <c r="B158">
        <f t="shared" si="18"/>
        <v>202144</v>
      </c>
      <c r="C158" t="s">
        <v>5</v>
      </c>
      <c r="D158">
        <v>2021</v>
      </c>
      <c r="E158">
        <v>44</v>
      </c>
      <c r="F158">
        <f>SUMIFS(Table1[Modeled_Demand],Table1[Key_Year_week_DC],Demand_Modeling_Week_level!$A158,Table1[BRAND],Demand_Modeling_Week_level!F$2)</f>
        <v>0</v>
      </c>
      <c r="G158">
        <f>SUMIFS(Table1[Modeled_Demand],Table1[Key_Year_week_DC],Demand_Modeling_Week_level!$A158,Table1[BRAND],Demand_Modeling_Week_level!G$2)</f>
        <v>0</v>
      </c>
      <c r="H158">
        <f>SUMIFS(Table1[Modeled_Demand],Table1[Key_Year_week_DC],Demand_Modeling_Week_level!$A158,Table1[BRAND],Demand_Modeling_Week_level!H$2)</f>
        <v>495669</v>
      </c>
      <c r="I158">
        <f>SUMIFS(Table1[Modeled_Demand],Table1[Key_Year_week_DC],Demand_Modeling_Week_level!$A158,Table1[BRAND],Demand_Modeling_Week_level!I$2)</f>
        <v>0</v>
      </c>
      <c r="J158">
        <f>SUMIFS(Table1[Modeled_Demand],Table1[Key_Year_week_DC],Demand_Modeling_Week_level!$A158,Table1[BRAND],Demand_Modeling_Week_level!J$2)</f>
        <v>1512302</v>
      </c>
      <c r="K158">
        <f>SUMIFS(Table1[Modeled_Demand],Table1[Key_Year_week_DC],Demand_Modeling_Week_level!$A158,Table1[BRAND],Demand_Modeling_Week_level!K$2)</f>
        <v>1311088.95</v>
      </c>
      <c r="L158">
        <f>SUMIFS(Table1[Demand],Table1[Key_Year_week_DC],Demand_Modeling_Week_level!$A158)</f>
        <v>7259136</v>
      </c>
      <c r="M158">
        <f t="shared" si="12"/>
        <v>3319059.95</v>
      </c>
      <c r="N158">
        <f>VLOOKUP(A158,Capacity!B:G,6,FALSE)</f>
        <v>4094987.4</v>
      </c>
      <c r="O158" s="20">
        <f t="shared" si="13"/>
        <v>1.7726882383081326</v>
      </c>
      <c r="P158">
        <f t="shared" si="14"/>
        <v>0.81051774420600176</v>
      </c>
    </row>
    <row r="159" spans="1:16" x14ac:dyDescent="0.3">
      <c r="A159" t="str">
        <f t="shared" si="17"/>
        <v>202144-SFS</v>
      </c>
      <c r="B159">
        <f t="shared" si="18"/>
        <v>202144</v>
      </c>
      <c r="C159" t="s">
        <v>12</v>
      </c>
      <c r="D159">
        <v>2021</v>
      </c>
      <c r="E159">
        <v>44</v>
      </c>
      <c r="F159">
        <f>SUMIFS(Table1[Modeled_Demand],Table1[Key_Year_week_DC],Demand_Modeling_Week_level!$A159,Table1[BRAND],Demand_Modeling_Week_level!F$2)</f>
        <v>0</v>
      </c>
      <c r="G159">
        <f>SUMIFS(Table1[Modeled_Demand],Table1[Key_Year_week_DC],Demand_Modeling_Week_level!$A159,Table1[BRAND],Demand_Modeling_Week_level!G$2)</f>
        <v>0</v>
      </c>
      <c r="H159">
        <f>SUMIFS(Table1[Modeled_Demand],Table1[Key_Year_week_DC],Demand_Modeling_Week_level!$A159,Table1[BRAND],Demand_Modeling_Week_level!H$2)</f>
        <v>0</v>
      </c>
      <c r="I159">
        <f>SUMIFS(Table1[Modeled_Demand],Table1[Key_Year_week_DC],Demand_Modeling_Week_level!$A159,Table1[BRAND],Demand_Modeling_Week_level!I$2)</f>
        <v>0</v>
      </c>
      <c r="J159">
        <f>SUMIFS(Table1[Modeled_Demand],Table1[Key_Year_week_DC],Demand_Modeling_Week_level!$A159,Table1[BRAND],Demand_Modeling_Week_level!J$2)</f>
        <v>0</v>
      </c>
      <c r="K159">
        <f>SUMIFS(Table1[Modeled_Demand],Table1[Key_Year_week_DC],Demand_Modeling_Week_level!$A159,Table1[BRAND],Demand_Modeling_Week_level!K$2)</f>
        <v>0</v>
      </c>
      <c r="L159">
        <f>SUMIFS(Table1[Demand],Table1[Key_Year_week_DC],Demand_Modeling_Week_level!$A159)</f>
        <v>0</v>
      </c>
      <c r="M159">
        <f t="shared" si="12"/>
        <v>0</v>
      </c>
      <c r="N159" t="e">
        <f>VLOOKUP(A159,Capacity!B:G,6,FALSE)</f>
        <v>#N/A</v>
      </c>
      <c r="O159" s="20">
        <f t="shared" si="13"/>
        <v>0</v>
      </c>
      <c r="P159">
        <f t="shared" si="14"/>
        <v>0</v>
      </c>
    </row>
    <row r="160" spans="1:16" x14ac:dyDescent="0.3">
      <c r="A160" t="str">
        <f t="shared" si="17"/>
        <v>202144-TFC</v>
      </c>
      <c r="B160">
        <f t="shared" si="18"/>
        <v>202144</v>
      </c>
      <c r="C160" t="s">
        <v>6</v>
      </c>
      <c r="D160">
        <v>2021</v>
      </c>
      <c r="E160">
        <v>44</v>
      </c>
      <c r="F160">
        <f>SUMIFS(Table1[Modeled_Demand],Table1[Key_Year_week_DC],Demand_Modeling_Week_level!$A160,Table1[BRAND],Demand_Modeling_Week_level!F$2)</f>
        <v>469332</v>
      </c>
      <c r="G160">
        <f>SUMIFS(Table1[Modeled_Demand],Table1[Key_Year_week_DC],Demand_Modeling_Week_level!$A160,Table1[BRAND],Demand_Modeling_Week_level!G$2)</f>
        <v>699212</v>
      </c>
      <c r="H160">
        <f>SUMIFS(Table1[Modeled_Demand],Table1[Key_Year_week_DC],Demand_Modeling_Week_level!$A160,Table1[BRAND],Demand_Modeling_Week_level!H$2)</f>
        <v>0</v>
      </c>
      <c r="I160">
        <f>SUMIFS(Table1[Modeled_Demand],Table1[Key_Year_week_DC],Demand_Modeling_Week_level!$A160,Table1[BRAND],Demand_Modeling_Week_level!I$2)</f>
        <v>799897.8</v>
      </c>
      <c r="J160">
        <f>SUMIFS(Table1[Modeled_Demand],Table1[Key_Year_week_DC],Demand_Modeling_Week_level!$A160,Table1[BRAND],Demand_Modeling_Week_level!J$2)</f>
        <v>0</v>
      </c>
      <c r="K160">
        <f>SUMIFS(Table1[Modeled_Demand],Table1[Key_Year_week_DC],Demand_Modeling_Week_level!$A160,Table1[BRAND],Demand_Modeling_Week_level!K$2)</f>
        <v>1552329.3168000001</v>
      </c>
      <c r="L160">
        <f>SUMIFS(Table1[Demand],Table1[Key_Year_week_DC],Demand_Modeling_Week_level!$A160)</f>
        <v>2151181</v>
      </c>
      <c r="M160">
        <f t="shared" si="12"/>
        <v>3520771.1168</v>
      </c>
      <c r="N160">
        <f>VLOOKUP(A160,Capacity!B:G,6,FALSE)</f>
        <v>4724981.1000000099</v>
      </c>
      <c r="O160" s="20">
        <f t="shared" si="13"/>
        <v>0.45527822322929407</v>
      </c>
      <c r="P160">
        <f t="shared" si="14"/>
        <v>0.7451397248551942</v>
      </c>
    </row>
    <row r="161" spans="1:16" x14ac:dyDescent="0.3">
      <c r="A161" t="str">
        <f t="shared" si="17"/>
        <v>202144-WEO</v>
      </c>
      <c r="B161">
        <f t="shared" si="18"/>
        <v>202144</v>
      </c>
      <c r="C161" t="s">
        <v>10</v>
      </c>
      <c r="D161">
        <v>2021</v>
      </c>
      <c r="E161">
        <v>44</v>
      </c>
      <c r="F161">
        <f>SUMIFS(Table1[Modeled_Demand],Table1[Key_Year_week_DC],Demand_Modeling_Week_level!$A161,Table1[BRAND],Demand_Modeling_Week_level!F$2)</f>
        <v>0</v>
      </c>
      <c r="G161">
        <f>SUMIFS(Table1[Modeled_Demand],Table1[Key_Year_week_DC],Demand_Modeling_Week_level!$A161,Table1[BRAND],Demand_Modeling_Week_level!G$2)</f>
        <v>0</v>
      </c>
      <c r="H161">
        <f>SUMIFS(Table1[Modeled_Demand],Table1[Key_Year_week_DC],Demand_Modeling_Week_level!$A161,Table1[BRAND],Demand_Modeling_Week_level!H$2)</f>
        <v>0</v>
      </c>
      <c r="I161">
        <f>SUMIFS(Table1[Modeled_Demand],Table1[Key_Year_week_DC],Demand_Modeling_Week_level!$A161,Table1[BRAND],Demand_Modeling_Week_level!I$2)</f>
        <v>1599795.6</v>
      </c>
      <c r="J161">
        <f>SUMIFS(Table1[Modeled_Demand],Table1[Key_Year_week_DC],Demand_Modeling_Week_level!$A161,Table1[BRAND],Demand_Modeling_Week_level!J$2)</f>
        <v>0</v>
      </c>
      <c r="K161">
        <f>SUMIFS(Table1[Modeled_Demand],Table1[Key_Year_week_DC],Demand_Modeling_Week_level!$A161,Table1[BRAND],Demand_Modeling_Week_level!K$2)</f>
        <v>2097742.3199999998</v>
      </c>
      <c r="L161">
        <f>SUMIFS(Table1[Demand],Table1[Key_Year_week_DC],Demand_Modeling_Week_level!$A161)</f>
        <v>1318683</v>
      </c>
      <c r="M161">
        <f t="shared" si="12"/>
        <v>3697537.92</v>
      </c>
      <c r="N161">
        <f>VLOOKUP(A161,Capacity!B:G,6,FALSE)</f>
        <v>4724981.1000000099</v>
      </c>
      <c r="O161" s="20">
        <f t="shared" si="13"/>
        <v>0.27908746555621083</v>
      </c>
      <c r="P161">
        <f t="shared" si="14"/>
        <v>0.78255083813985882</v>
      </c>
    </row>
    <row r="162" spans="1:16" x14ac:dyDescent="0.3">
      <c r="A162" t="str">
        <f t="shared" si="17"/>
        <v>202144-WFC</v>
      </c>
      <c r="B162">
        <f t="shared" si="18"/>
        <v>202144</v>
      </c>
      <c r="C162" t="s">
        <v>7</v>
      </c>
      <c r="D162">
        <v>2021</v>
      </c>
      <c r="E162">
        <v>44</v>
      </c>
      <c r="F162">
        <f>SUMIFS(Table1[Modeled_Demand],Table1[Key_Year_week_DC],Demand_Modeling_Week_level!$A162,Table1[BRAND],Demand_Modeling_Week_level!F$2)</f>
        <v>0</v>
      </c>
      <c r="G162">
        <f>SUMIFS(Table1[Modeled_Demand],Table1[Key_Year_week_DC],Demand_Modeling_Week_level!$A162,Table1[BRAND],Demand_Modeling_Week_level!G$2)</f>
        <v>2.4444192389832495</v>
      </c>
      <c r="H162">
        <f>SUMIFS(Table1[Modeled_Demand],Table1[Key_Year_week_DC],Demand_Modeling_Week_level!$A162,Table1[BRAND],Demand_Modeling_Week_level!H$2)</f>
        <v>0</v>
      </c>
      <c r="I162">
        <f>SUMIFS(Table1[Modeled_Demand],Table1[Key_Year_week_DC],Demand_Modeling_Week_level!$A162,Table1[BRAND],Demand_Modeling_Week_level!I$2)</f>
        <v>599923.35</v>
      </c>
      <c r="J162">
        <f>SUMIFS(Table1[Modeled_Demand],Table1[Key_Year_week_DC],Demand_Modeling_Week_level!$A162,Table1[BRAND],Demand_Modeling_Week_level!J$2)</f>
        <v>0</v>
      </c>
      <c r="K162">
        <f>SUMIFS(Table1[Modeled_Demand],Table1[Key_Year_week_DC],Demand_Modeling_Week_level!$A162,Table1[BRAND],Demand_Modeling_Week_level!K$2)</f>
        <v>0</v>
      </c>
      <c r="L162">
        <f>SUMIFS(Table1[Demand],Table1[Key_Year_week_DC],Demand_Modeling_Week_level!$A162)</f>
        <v>1869804</v>
      </c>
      <c r="M162">
        <f t="shared" si="12"/>
        <v>599925.79441923893</v>
      </c>
      <c r="N162">
        <f>VLOOKUP(A162,Capacity!B:G,6,FALSE)</f>
        <v>755981.09999999905</v>
      </c>
      <c r="O162" s="20">
        <f t="shared" si="13"/>
        <v>2.4733475479744169</v>
      </c>
      <c r="P162">
        <f t="shared" si="14"/>
        <v>0.79357247743262327</v>
      </c>
    </row>
    <row r="163" spans="1:16" x14ac:dyDescent="0.3">
      <c r="A163" t="str">
        <f t="shared" si="17"/>
        <v>202145-EAO</v>
      </c>
      <c r="B163">
        <f t="shared" si="18"/>
        <v>202145</v>
      </c>
      <c r="C163" t="s">
        <v>8</v>
      </c>
      <c r="D163">
        <v>2021</v>
      </c>
      <c r="E163">
        <v>45</v>
      </c>
      <c r="F163">
        <f>SUMIFS(Table1[Modeled_Demand],Table1[Key_Year_week_DC],Demand_Modeling_Week_level!$A163,Table1[BRAND],Demand_Modeling_Week_level!F$2)</f>
        <v>10.393487560500638</v>
      </c>
      <c r="G163">
        <f>SUMIFS(Table1[Modeled_Demand],Table1[Key_Year_week_DC],Demand_Modeling_Week_level!$A163,Table1[BRAND],Demand_Modeling_Week_level!G$2)</f>
        <v>14.265403018492091</v>
      </c>
      <c r="H163">
        <f>SUMIFS(Table1[Modeled_Demand],Table1[Key_Year_week_DC],Demand_Modeling_Week_level!$A163,Table1[BRAND],Demand_Modeling_Week_level!H$2)</f>
        <v>0</v>
      </c>
      <c r="I163">
        <f>SUMIFS(Table1[Modeled_Demand],Table1[Key_Year_week_DC],Demand_Modeling_Week_level!$A163,Table1[BRAND],Demand_Modeling_Week_level!I$2)</f>
        <v>0</v>
      </c>
      <c r="J163">
        <f>SUMIFS(Table1[Modeled_Demand],Table1[Key_Year_week_DC],Demand_Modeling_Week_level!$A163,Table1[BRAND],Demand_Modeling_Week_level!J$2)</f>
        <v>0</v>
      </c>
      <c r="K163">
        <f>SUMIFS(Table1[Modeled_Demand],Table1[Key_Year_week_DC],Demand_Modeling_Week_level!$A163,Table1[BRAND],Demand_Modeling_Week_level!K$2)</f>
        <v>1254066.0979749346</v>
      </c>
      <c r="L163">
        <f>SUMIFS(Table1[Demand],Table1[Key_Year_week_DC],Demand_Modeling_Week_level!$A163)</f>
        <v>1168824</v>
      </c>
      <c r="M163">
        <f t="shared" si="12"/>
        <v>1254090.7568655135</v>
      </c>
      <c r="N163">
        <f>VLOOKUP(A163,Capacity!B:G,6,FALSE)</f>
        <v>3150025.2</v>
      </c>
      <c r="O163" s="20">
        <f t="shared" si="13"/>
        <v>0.37105226967708066</v>
      </c>
      <c r="P163">
        <f t="shared" si="14"/>
        <v>0.39812086483165704</v>
      </c>
    </row>
    <row r="164" spans="1:16" x14ac:dyDescent="0.3">
      <c r="A164" t="str">
        <f t="shared" si="17"/>
        <v>202145-OCC</v>
      </c>
      <c r="B164">
        <f t="shared" si="18"/>
        <v>202145</v>
      </c>
      <c r="C164" t="s">
        <v>11</v>
      </c>
      <c r="D164">
        <v>2021</v>
      </c>
      <c r="E164">
        <v>45</v>
      </c>
      <c r="F164">
        <f>SUMIFS(Table1[Modeled_Demand],Table1[Key_Year_week_DC],Demand_Modeling_Week_level!$A164,Table1[BRAND],Demand_Modeling_Week_level!F$2)</f>
        <v>0</v>
      </c>
      <c r="G164">
        <f>SUMIFS(Table1[Modeled_Demand],Table1[Key_Year_week_DC],Demand_Modeling_Week_level!$A164,Table1[BRAND],Demand_Modeling_Week_level!G$2)</f>
        <v>0</v>
      </c>
      <c r="H164">
        <f>SUMIFS(Table1[Modeled_Demand],Table1[Key_Year_week_DC],Demand_Modeling_Week_level!$A164,Table1[BRAND],Demand_Modeling_Week_level!H$2)</f>
        <v>0</v>
      </c>
      <c r="I164">
        <f>SUMIFS(Table1[Modeled_Demand],Table1[Key_Year_week_DC],Demand_Modeling_Week_level!$A164,Table1[BRAND],Demand_Modeling_Week_level!I$2)</f>
        <v>399815.25</v>
      </c>
      <c r="J164">
        <f>SUMIFS(Table1[Modeled_Demand],Table1[Key_Year_week_DC],Demand_Modeling_Week_level!$A164,Table1[BRAND],Demand_Modeling_Week_level!J$2)</f>
        <v>0</v>
      </c>
      <c r="K164">
        <f>SUMIFS(Table1[Modeled_Demand],Table1[Key_Year_week_DC],Demand_Modeling_Week_level!$A164,Table1[BRAND],Demand_Modeling_Week_level!K$2)</f>
        <v>736615.84</v>
      </c>
      <c r="L164">
        <f>SUMIFS(Table1[Demand],Table1[Key_Year_week_DC],Demand_Modeling_Week_level!$A164)</f>
        <v>0</v>
      </c>
      <c r="M164">
        <f t="shared" si="12"/>
        <v>1136431.0899999999</v>
      </c>
      <c r="N164">
        <f>VLOOKUP(A164,Capacity!B:G,6,FALSE)</f>
        <v>3149968.5</v>
      </c>
      <c r="O164" s="20">
        <f t="shared" si="13"/>
        <v>0</v>
      </c>
      <c r="P164">
        <f t="shared" si="14"/>
        <v>0.36077538235699813</v>
      </c>
    </row>
    <row r="165" spans="1:16" x14ac:dyDescent="0.3">
      <c r="A165" t="str">
        <f t="shared" si="17"/>
        <v>202145-ODC</v>
      </c>
      <c r="B165">
        <f t="shared" si="18"/>
        <v>202145</v>
      </c>
      <c r="C165" t="s">
        <v>9</v>
      </c>
      <c r="D165">
        <v>2021</v>
      </c>
      <c r="E165">
        <v>45</v>
      </c>
      <c r="F165">
        <f>SUMIFS(Table1[Modeled_Demand],Table1[Key_Year_week_DC],Demand_Modeling_Week_level!$A165,Table1[BRAND],Demand_Modeling_Week_level!F$2)</f>
        <v>0</v>
      </c>
      <c r="G165">
        <f>SUMIFS(Table1[Modeled_Demand],Table1[Key_Year_week_DC],Demand_Modeling_Week_level!$A165,Table1[BRAND],Demand_Modeling_Week_level!G$2)</f>
        <v>0</v>
      </c>
      <c r="H165">
        <f>SUMIFS(Table1[Modeled_Demand],Table1[Key_Year_week_DC],Demand_Modeling_Week_level!$A165,Table1[BRAND],Demand_Modeling_Week_level!H$2)</f>
        <v>0</v>
      </c>
      <c r="I165">
        <f>SUMIFS(Table1[Modeled_Demand],Table1[Key_Year_week_DC],Demand_Modeling_Week_level!$A165,Table1[BRAND],Demand_Modeling_Week_level!I$2)</f>
        <v>0</v>
      </c>
      <c r="J165">
        <f>SUMIFS(Table1[Modeled_Demand],Table1[Key_Year_week_DC],Demand_Modeling_Week_level!$A165,Table1[BRAND],Demand_Modeling_Week_level!J$2)</f>
        <v>0</v>
      </c>
      <c r="K165">
        <f>SUMIFS(Table1[Modeled_Demand],Table1[Key_Year_week_DC],Demand_Modeling_Week_level!$A165,Table1[BRAND],Demand_Modeling_Week_level!K$2)</f>
        <v>0</v>
      </c>
      <c r="L165">
        <f>SUMIFS(Table1[Demand],Table1[Key_Year_week_DC],Demand_Modeling_Week_level!$A165)</f>
        <v>0</v>
      </c>
      <c r="M165">
        <f t="shared" si="12"/>
        <v>0</v>
      </c>
      <c r="N165" t="e">
        <f>VLOOKUP(A165,Capacity!B:G,6,FALSE)</f>
        <v>#N/A</v>
      </c>
      <c r="O165" s="20">
        <f t="shared" si="13"/>
        <v>0</v>
      </c>
      <c r="P165">
        <f t="shared" si="14"/>
        <v>0</v>
      </c>
    </row>
    <row r="166" spans="1:16" x14ac:dyDescent="0.3">
      <c r="A166" t="str">
        <f t="shared" si="17"/>
        <v>202145-OFC</v>
      </c>
      <c r="B166">
        <f t="shared" si="18"/>
        <v>202145</v>
      </c>
      <c r="C166" t="s">
        <v>5</v>
      </c>
      <c r="D166">
        <v>2021</v>
      </c>
      <c r="E166">
        <v>45</v>
      </c>
      <c r="F166">
        <f>SUMIFS(Table1[Modeled_Demand],Table1[Key_Year_week_DC],Demand_Modeling_Week_level!$A166,Table1[BRAND],Demand_Modeling_Week_level!F$2)</f>
        <v>0</v>
      </c>
      <c r="G166">
        <f>SUMIFS(Table1[Modeled_Demand],Table1[Key_Year_week_DC],Demand_Modeling_Week_level!$A166,Table1[BRAND],Demand_Modeling_Week_level!G$2)</f>
        <v>0</v>
      </c>
      <c r="H166">
        <f>SUMIFS(Table1[Modeled_Demand],Table1[Key_Year_week_DC],Demand_Modeling_Week_level!$A166,Table1[BRAND],Demand_Modeling_Week_level!H$2)</f>
        <v>136664</v>
      </c>
      <c r="I166">
        <f>SUMIFS(Table1[Modeled_Demand],Table1[Key_Year_week_DC],Demand_Modeling_Week_level!$A166,Table1[BRAND],Demand_Modeling_Week_level!I$2)</f>
        <v>0</v>
      </c>
      <c r="J166">
        <f>SUMIFS(Table1[Modeled_Demand],Table1[Key_Year_week_DC],Demand_Modeling_Week_level!$A166,Table1[BRAND],Demand_Modeling_Week_level!J$2)</f>
        <v>539677</v>
      </c>
      <c r="K166">
        <f>SUMIFS(Table1[Modeled_Demand],Table1[Key_Year_week_DC],Demand_Modeling_Week_level!$A166,Table1[BRAND],Demand_Modeling_Week_level!K$2)</f>
        <v>690577.35</v>
      </c>
      <c r="L166">
        <f>SUMIFS(Table1[Demand],Table1[Key_Year_week_DC],Demand_Modeling_Week_level!$A166)</f>
        <v>3190505</v>
      </c>
      <c r="M166">
        <f t="shared" si="12"/>
        <v>1366918.35</v>
      </c>
      <c r="N166">
        <f>VLOOKUP(A166,Capacity!B:G,6,FALSE)</f>
        <v>4094987.4</v>
      </c>
      <c r="O166" s="20">
        <f t="shared" si="13"/>
        <v>0.77912449742824608</v>
      </c>
      <c r="P166">
        <f t="shared" si="14"/>
        <v>0.33380282195740091</v>
      </c>
    </row>
    <row r="167" spans="1:16" x14ac:dyDescent="0.3">
      <c r="A167" t="str">
        <f t="shared" si="17"/>
        <v>202145-SFS</v>
      </c>
      <c r="B167">
        <f t="shared" si="18"/>
        <v>202145</v>
      </c>
      <c r="C167" t="s">
        <v>12</v>
      </c>
      <c r="D167">
        <v>2021</v>
      </c>
      <c r="E167">
        <v>45</v>
      </c>
      <c r="F167">
        <f>SUMIFS(Table1[Modeled_Demand],Table1[Key_Year_week_DC],Demand_Modeling_Week_level!$A167,Table1[BRAND],Demand_Modeling_Week_level!F$2)</f>
        <v>0</v>
      </c>
      <c r="G167">
        <f>SUMIFS(Table1[Modeled_Demand],Table1[Key_Year_week_DC],Demand_Modeling_Week_level!$A167,Table1[BRAND],Demand_Modeling_Week_level!G$2)</f>
        <v>0</v>
      </c>
      <c r="H167">
        <f>SUMIFS(Table1[Modeled_Demand],Table1[Key_Year_week_DC],Demand_Modeling_Week_level!$A167,Table1[BRAND],Demand_Modeling_Week_level!H$2)</f>
        <v>0</v>
      </c>
      <c r="I167">
        <f>SUMIFS(Table1[Modeled_Demand],Table1[Key_Year_week_DC],Demand_Modeling_Week_level!$A167,Table1[BRAND],Demand_Modeling_Week_level!I$2)</f>
        <v>0</v>
      </c>
      <c r="J167">
        <f>SUMIFS(Table1[Modeled_Demand],Table1[Key_Year_week_DC],Demand_Modeling_Week_level!$A167,Table1[BRAND],Demand_Modeling_Week_level!J$2)</f>
        <v>0</v>
      </c>
      <c r="K167">
        <f>SUMIFS(Table1[Modeled_Demand],Table1[Key_Year_week_DC],Demand_Modeling_Week_level!$A167,Table1[BRAND],Demand_Modeling_Week_level!K$2)</f>
        <v>0</v>
      </c>
      <c r="L167">
        <f>SUMIFS(Table1[Demand],Table1[Key_Year_week_DC],Demand_Modeling_Week_level!$A167)</f>
        <v>0</v>
      </c>
      <c r="M167">
        <f t="shared" si="12"/>
        <v>0</v>
      </c>
      <c r="N167" t="e">
        <f>VLOOKUP(A167,Capacity!B:G,6,FALSE)</f>
        <v>#N/A</v>
      </c>
      <c r="O167" s="20">
        <f t="shared" si="13"/>
        <v>0</v>
      </c>
      <c r="P167">
        <f t="shared" si="14"/>
        <v>0</v>
      </c>
    </row>
    <row r="168" spans="1:16" x14ac:dyDescent="0.3">
      <c r="A168" t="str">
        <f t="shared" si="17"/>
        <v>202145-TFC</v>
      </c>
      <c r="B168">
        <f t="shared" si="18"/>
        <v>202145</v>
      </c>
      <c r="C168" t="s">
        <v>6</v>
      </c>
      <c r="D168">
        <v>2021</v>
      </c>
      <c r="E168">
        <v>45</v>
      </c>
      <c r="F168">
        <f>SUMIFS(Table1[Modeled_Demand],Table1[Key_Year_week_DC],Demand_Modeling_Week_level!$A168,Table1[BRAND],Demand_Modeling_Week_level!F$2)</f>
        <v>301512</v>
      </c>
      <c r="G168">
        <f>SUMIFS(Table1[Modeled_Demand],Table1[Key_Year_week_DC],Demand_Modeling_Week_level!$A168,Table1[BRAND],Demand_Modeling_Week_level!G$2)</f>
        <v>336925</v>
      </c>
      <c r="H168">
        <f>SUMIFS(Table1[Modeled_Demand],Table1[Key_Year_week_DC],Demand_Modeling_Week_level!$A168,Table1[BRAND],Demand_Modeling_Week_level!H$2)</f>
        <v>0</v>
      </c>
      <c r="I168">
        <f>SUMIFS(Table1[Modeled_Demand],Table1[Key_Year_week_DC],Demand_Modeling_Week_level!$A168,Table1[BRAND],Demand_Modeling_Week_level!I$2)</f>
        <v>319852.2</v>
      </c>
      <c r="J168">
        <f>SUMIFS(Table1[Modeled_Demand],Table1[Key_Year_week_DC],Demand_Modeling_Week_level!$A168,Table1[BRAND],Demand_Modeling_Week_level!J$2)</f>
        <v>0</v>
      </c>
      <c r="K168">
        <f>SUMIFS(Table1[Modeled_Demand],Table1[Key_Year_week_DC],Demand_Modeling_Week_level!$A168,Table1[BRAND],Demand_Modeling_Week_level!K$2)</f>
        <v>817643.58240000007</v>
      </c>
      <c r="L168">
        <f>SUMIFS(Table1[Demand],Table1[Key_Year_week_DC],Demand_Modeling_Week_level!$A168)</f>
        <v>1667861</v>
      </c>
      <c r="M168">
        <f t="shared" si="12"/>
        <v>1775932.7823999999</v>
      </c>
      <c r="N168">
        <f>VLOOKUP(A168,Capacity!B:G,6,FALSE)</f>
        <v>4724981.1000000099</v>
      </c>
      <c r="O168" s="20">
        <f t="shared" si="13"/>
        <v>0.35298786697792223</v>
      </c>
      <c r="P168">
        <f t="shared" si="14"/>
        <v>0.37586029336709859</v>
      </c>
    </row>
    <row r="169" spans="1:16" x14ac:dyDescent="0.3">
      <c r="A169" t="str">
        <f t="shared" si="17"/>
        <v>202145-WEO</v>
      </c>
      <c r="B169">
        <f t="shared" si="18"/>
        <v>202145</v>
      </c>
      <c r="C169" t="s">
        <v>10</v>
      </c>
      <c r="D169">
        <v>2021</v>
      </c>
      <c r="E169">
        <v>45</v>
      </c>
      <c r="F169">
        <f>SUMIFS(Table1[Modeled_Demand],Table1[Key_Year_week_DC],Demand_Modeling_Week_level!$A169,Table1[BRAND],Demand_Modeling_Week_level!F$2)</f>
        <v>0</v>
      </c>
      <c r="G169">
        <f>SUMIFS(Table1[Modeled_Demand],Table1[Key_Year_week_DC],Demand_Modeling_Week_level!$A169,Table1[BRAND],Demand_Modeling_Week_level!G$2)</f>
        <v>0</v>
      </c>
      <c r="H169">
        <f>SUMIFS(Table1[Modeled_Demand],Table1[Key_Year_week_DC],Demand_Modeling_Week_level!$A169,Table1[BRAND],Demand_Modeling_Week_level!H$2)</f>
        <v>0</v>
      </c>
      <c r="I169">
        <f>SUMIFS(Table1[Modeled_Demand],Table1[Key_Year_week_DC],Demand_Modeling_Week_level!$A169,Table1[BRAND],Demand_Modeling_Week_level!I$2)</f>
        <v>639704.4</v>
      </c>
      <c r="J169">
        <f>SUMIFS(Table1[Modeled_Demand],Table1[Key_Year_week_DC],Demand_Modeling_Week_level!$A169,Table1[BRAND],Demand_Modeling_Week_level!J$2)</f>
        <v>0</v>
      </c>
      <c r="K169">
        <f>SUMIFS(Table1[Modeled_Demand],Table1[Key_Year_week_DC],Demand_Modeling_Week_level!$A169,Table1[BRAND],Demand_Modeling_Week_level!K$2)</f>
        <v>1104923.76</v>
      </c>
      <c r="L169">
        <f>SUMIFS(Table1[Demand],Table1[Key_Year_week_DC],Demand_Modeling_Week_level!$A169)</f>
        <v>443073</v>
      </c>
      <c r="M169">
        <f t="shared" si="12"/>
        <v>1744628.1600000001</v>
      </c>
      <c r="N169">
        <f>VLOOKUP(A169,Capacity!B:G,6,FALSE)</f>
        <v>4724981.1000000099</v>
      </c>
      <c r="O169" s="20">
        <f t="shared" si="13"/>
        <v>9.3772438581817621E-2</v>
      </c>
      <c r="P169">
        <f t="shared" si="14"/>
        <v>0.36923494995567208</v>
      </c>
    </row>
    <row r="170" spans="1:16" x14ac:dyDescent="0.3">
      <c r="A170" t="str">
        <f t="shared" si="17"/>
        <v>202145-WFC</v>
      </c>
      <c r="B170">
        <f t="shared" si="18"/>
        <v>202145</v>
      </c>
      <c r="C170" t="s">
        <v>7</v>
      </c>
      <c r="D170">
        <v>2021</v>
      </c>
      <c r="E170">
        <v>45</v>
      </c>
      <c r="F170">
        <f>SUMIFS(Table1[Modeled_Demand],Table1[Key_Year_week_DC],Demand_Modeling_Week_level!$A170,Table1[BRAND],Demand_Modeling_Week_level!F$2)</f>
        <v>0</v>
      </c>
      <c r="G170">
        <f>SUMIFS(Table1[Modeled_Demand],Table1[Key_Year_week_DC],Demand_Modeling_Week_level!$A170,Table1[BRAND],Demand_Modeling_Week_level!G$2)</f>
        <v>1.1778773134534752</v>
      </c>
      <c r="H170">
        <f>SUMIFS(Table1[Modeled_Demand],Table1[Key_Year_week_DC],Demand_Modeling_Week_level!$A170,Table1[BRAND],Demand_Modeling_Week_level!H$2)</f>
        <v>0</v>
      </c>
      <c r="I170">
        <f>SUMIFS(Table1[Modeled_Demand],Table1[Key_Year_week_DC],Demand_Modeling_Week_level!$A170,Table1[BRAND],Demand_Modeling_Week_level!I$2)</f>
        <v>239889.15</v>
      </c>
      <c r="J170">
        <f>SUMIFS(Table1[Modeled_Demand],Table1[Key_Year_week_DC],Demand_Modeling_Week_level!$A170,Table1[BRAND],Demand_Modeling_Week_level!J$2)</f>
        <v>0</v>
      </c>
      <c r="K170">
        <f>SUMIFS(Table1[Modeled_Demand],Table1[Key_Year_week_DC],Demand_Modeling_Week_level!$A170,Table1[BRAND],Demand_Modeling_Week_level!K$2)</f>
        <v>0</v>
      </c>
      <c r="L170">
        <f>SUMIFS(Table1[Demand],Table1[Key_Year_week_DC],Demand_Modeling_Week_level!$A170)</f>
        <v>1047625</v>
      </c>
      <c r="M170">
        <f t="shared" si="12"/>
        <v>239890.32787731345</v>
      </c>
      <c r="N170">
        <f>VLOOKUP(A170,Capacity!B:G,6,FALSE)</f>
        <v>755981.09999999905</v>
      </c>
      <c r="O170" s="20">
        <f t="shared" si="13"/>
        <v>1.3857819990473323</v>
      </c>
      <c r="P170">
        <f t="shared" si="14"/>
        <v>0.31732318159450512</v>
      </c>
    </row>
    <row r="171" spans="1:16" x14ac:dyDescent="0.3">
      <c r="A171" t="str">
        <f t="shared" si="17"/>
        <v>202146-EAO</v>
      </c>
      <c r="B171">
        <f t="shared" si="18"/>
        <v>202146</v>
      </c>
      <c r="C171" t="s">
        <v>8</v>
      </c>
      <c r="D171">
        <v>2021</v>
      </c>
      <c r="E171">
        <v>46</v>
      </c>
      <c r="F171">
        <f>SUMIFS(Table1[Modeled_Demand],Table1[Key_Year_week_DC],Demand_Modeling_Week_level!$A171,Table1[BRAND],Demand_Modeling_Week_level!F$2)</f>
        <v>10.995458537672436</v>
      </c>
      <c r="G171">
        <f>SUMIFS(Table1[Modeled_Demand],Table1[Key_Year_week_DC],Demand_Modeling_Week_level!$A171,Table1[BRAND],Demand_Modeling_Week_level!G$2)</f>
        <v>12.966073233431661</v>
      </c>
      <c r="H171">
        <f>SUMIFS(Table1[Modeled_Demand],Table1[Key_Year_week_DC],Demand_Modeling_Week_level!$A171,Table1[BRAND],Demand_Modeling_Week_level!H$2)</f>
        <v>0</v>
      </c>
      <c r="I171">
        <f>SUMIFS(Table1[Modeled_Demand],Table1[Key_Year_week_DC],Demand_Modeling_Week_level!$A171,Table1[BRAND],Demand_Modeling_Week_level!I$2)</f>
        <v>0</v>
      </c>
      <c r="J171">
        <f>SUMIFS(Table1[Modeled_Demand],Table1[Key_Year_week_DC],Demand_Modeling_Week_level!$A171,Table1[BRAND],Demand_Modeling_Week_level!J$2)</f>
        <v>0</v>
      </c>
      <c r="K171">
        <f>SUMIFS(Table1[Modeled_Demand],Table1[Key_Year_week_DC],Demand_Modeling_Week_level!$A171,Table1[BRAND],Demand_Modeling_Week_level!K$2)</f>
        <v>1046385.2325189783</v>
      </c>
      <c r="L171">
        <f>SUMIFS(Table1[Demand],Table1[Key_Year_week_DC],Demand_Modeling_Week_level!$A171)</f>
        <v>1243452</v>
      </c>
      <c r="M171">
        <f t="shared" si="12"/>
        <v>1046409.1940507494</v>
      </c>
      <c r="N171">
        <f>VLOOKUP(A171,Capacity!B:G,6,FALSE)</f>
        <v>3150025.2</v>
      </c>
      <c r="O171" s="20">
        <f t="shared" si="13"/>
        <v>0.39474350871859687</v>
      </c>
      <c r="P171">
        <f t="shared" si="14"/>
        <v>0.33219073741084654</v>
      </c>
    </row>
    <row r="172" spans="1:16" x14ac:dyDescent="0.3">
      <c r="A172" t="str">
        <f t="shared" si="17"/>
        <v>202146-OCC</v>
      </c>
      <c r="B172">
        <f t="shared" si="18"/>
        <v>202146</v>
      </c>
      <c r="C172" t="s">
        <v>11</v>
      </c>
      <c r="D172">
        <v>2021</v>
      </c>
      <c r="E172">
        <v>46</v>
      </c>
      <c r="F172">
        <f>SUMIFS(Table1[Modeled_Demand],Table1[Key_Year_week_DC],Demand_Modeling_Week_level!$A172,Table1[BRAND],Demand_Modeling_Week_level!F$2)</f>
        <v>0</v>
      </c>
      <c r="G172">
        <f>SUMIFS(Table1[Modeled_Demand],Table1[Key_Year_week_DC],Demand_Modeling_Week_level!$A172,Table1[BRAND],Demand_Modeling_Week_level!G$2)</f>
        <v>0</v>
      </c>
      <c r="H172">
        <f>SUMIFS(Table1[Modeled_Demand],Table1[Key_Year_week_DC],Demand_Modeling_Week_level!$A172,Table1[BRAND],Demand_Modeling_Week_level!H$2)</f>
        <v>0</v>
      </c>
      <c r="I172">
        <f>SUMIFS(Table1[Modeled_Demand],Table1[Key_Year_week_DC],Demand_Modeling_Week_level!$A172,Table1[BRAND],Demand_Modeling_Week_level!I$2)</f>
        <v>367457</v>
      </c>
      <c r="J172">
        <f>SUMIFS(Table1[Modeled_Demand],Table1[Key_Year_week_DC],Demand_Modeling_Week_level!$A172,Table1[BRAND],Demand_Modeling_Week_level!J$2)</f>
        <v>0</v>
      </c>
      <c r="K172">
        <f>SUMIFS(Table1[Modeled_Demand],Table1[Key_Year_week_DC],Demand_Modeling_Week_level!$A172,Table1[BRAND],Demand_Modeling_Week_level!K$2)</f>
        <v>614627.83999999997</v>
      </c>
      <c r="L172">
        <f>SUMIFS(Table1[Demand],Table1[Key_Year_week_DC],Demand_Modeling_Week_level!$A172)</f>
        <v>0</v>
      </c>
      <c r="M172">
        <f t="shared" si="12"/>
        <v>982084.84</v>
      </c>
      <c r="N172">
        <f>VLOOKUP(A172,Capacity!B:G,6,FALSE)</f>
        <v>3149968.5</v>
      </c>
      <c r="O172" s="20">
        <f t="shared" si="13"/>
        <v>0</v>
      </c>
      <c r="P172">
        <f t="shared" si="14"/>
        <v>0.31177608284019348</v>
      </c>
    </row>
    <row r="173" spans="1:16" x14ac:dyDescent="0.3">
      <c r="A173" t="str">
        <f t="shared" si="17"/>
        <v>202146-ODC</v>
      </c>
      <c r="B173">
        <f t="shared" si="18"/>
        <v>202146</v>
      </c>
      <c r="C173" t="s">
        <v>9</v>
      </c>
      <c r="D173">
        <v>2021</v>
      </c>
      <c r="E173">
        <v>46</v>
      </c>
      <c r="F173">
        <f>SUMIFS(Table1[Modeled_Demand],Table1[Key_Year_week_DC],Demand_Modeling_Week_level!$A173,Table1[BRAND],Demand_Modeling_Week_level!F$2)</f>
        <v>0</v>
      </c>
      <c r="G173">
        <f>SUMIFS(Table1[Modeled_Demand],Table1[Key_Year_week_DC],Demand_Modeling_Week_level!$A173,Table1[BRAND],Demand_Modeling_Week_level!G$2)</f>
        <v>0</v>
      </c>
      <c r="H173">
        <f>SUMIFS(Table1[Modeled_Demand],Table1[Key_Year_week_DC],Demand_Modeling_Week_level!$A173,Table1[BRAND],Demand_Modeling_Week_level!H$2)</f>
        <v>0</v>
      </c>
      <c r="I173">
        <f>SUMIFS(Table1[Modeled_Demand],Table1[Key_Year_week_DC],Demand_Modeling_Week_level!$A173,Table1[BRAND],Demand_Modeling_Week_level!I$2)</f>
        <v>0</v>
      </c>
      <c r="J173">
        <f>SUMIFS(Table1[Modeled_Demand],Table1[Key_Year_week_DC],Demand_Modeling_Week_level!$A173,Table1[BRAND],Demand_Modeling_Week_level!J$2)</f>
        <v>0</v>
      </c>
      <c r="K173">
        <f>SUMIFS(Table1[Modeled_Demand],Table1[Key_Year_week_DC],Demand_Modeling_Week_level!$A173,Table1[BRAND],Demand_Modeling_Week_level!K$2)</f>
        <v>0</v>
      </c>
      <c r="L173">
        <f>SUMIFS(Table1[Demand],Table1[Key_Year_week_DC],Demand_Modeling_Week_level!$A173)</f>
        <v>0</v>
      </c>
      <c r="M173">
        <f t="shared" si="12"/>
        <v>0</v>
      </c>
      <c r="N173" t="e">
        <f>VLOOKUP(A173,Capacity!B:G,6,FALSE)</f>
        <v>#N/A</v>
      </c>
      <c r="O173" s="20">
        <f t="shared" si="13"/>
        <v>0</v>
      </c>
      <c r="P173">
        <f t="shared" si="14"/>
        <v>0</v>
      </c>
    </row>
    <row r="174" spans="1:16" x14ac:dyDescent="0.3">
      <c r="A174" t="str">
        <f t="shared" si="17"/>
        <v>202146-OFC</v>
      </c>
      <c r="B174">
        <f t="shared" si="18"/>
        <v>202146</v>
      </c>
      <c r="C174" t="s">
        <v>5</v>
      </c>
      <c r="D174">
        <v>2021</v>
      </c>
      <c r="E174">
        <v>46</v>
      </c>
      <c r="F174">
        <f>SUMIFS(Table1[Modeled_Demand],Table1[Key_Year_week_DC],Demand_Modeling_Week_level!$A174,Table1[BRAND],Demand_Modeling_Week_level!F$2)</f>
        <v>0</v>
      </c>
      <c r="G174">
        <f>SUMIFS(Table1[Modeled_Demand],Table1[Key_Year_week_DC],Demand_Modeling_Week_level!$A174,Table1[BRAND],Demand_Modeling_Week_level!G$2)</f>
        <v>0</v>
      </c>
      <c r="H174">
        <f>SUMIFS(Table1[Modeled_Demand],Table1[Key_Year_week_DC],Demand_Modeling_Week_level!$A174,Table1[BRAND],Demand_Modeling_Week_level!H$2)</f>
        <v>192182</v>
      </c>
      <c r="I174">
        <f>SUMIFS(Table1[Modeled_Demand],Table1[Key_Year_week_DC],Demand_Modeling_Week_level!$A174,Table1[BRAND],Demand_Modeling_Week_level!I$2)</f>
        <v>0</v>
      </c>
      <c r="J174">
        <f>SUMIFS(Table1[Modeled_Demand],Table1[Key_Year_week_DC],Demand_Modeling_Week_level!$A174,Table1[BRAND],Demand_Modeling_Week_level!J$2)</f>
        <v>321081</v>
      </c>
      <c r="K174">
        <f>SUMIFS(Table1[Modeled_Demand],Table1[Key_Year_week_DC],Demand_Modeling_Week_level!$A174,Table1[BRAND],Demand_Modeling_Week_level!K$2)</f>
        <v>576213.6</v>
      </c>
      <c r="L174">
        <f>SUMIFS(Table1[Demand],Table1[Key_Year_week_DC],Demand_Modeling_Week_level!$A174)</f>
        <v>2812966</v>
      </c>
      <c r="M174">
        <f t="shared" si="12"/>
        <v>1089476.6000000001</v>
      </c>
      <c r="N174">
        <f>VLOOKUP(A174,Capacity!B:G,6,FALSE)</f>
        <v>4094987.4</v>
      </c>
      <c r="O174" s="20">
        <f t="shared" si="13"/>
        <v>0.68692909775497724</v>
      </c>
      <c r="P174">
        <f t="shared" si="14"/>
        <v>0.2660512703897453</v>
      </c>
    </row>
    <row r="175" spans="1:16" x14ac:dyDescent="0.3">
      <c r="A175" t="str">
        <f t="shared" si="17"/>
        <v>202146-SFS</v>
      </c>
      <c r="B175">
        <f t="shared" si="18"/>
        <v>202146</v>
      </c>
      <c r="C175" t="s">
        <v>12</v>
      </c>
      <c r="D175">
        <v>2021</v>
      </c>
      <c r="E175">
        <v>46</v>
      </c>
      <c r="F175">
        <f>SUMIFS(Table1[Modeled_Demand],Table1[Key_Year_week_DC],Demand_Modeling_Week_level!$A175,Table1[BRAND],Demand_Modeling_Week_level!F$2)</f>
        <v>0</v>
      </c>
      <c r="G175">
        <f>SUMIFS(Table1[Modeled_Demand],Table1[Key_Year_week_DC],Demand_Modeling_Week_level!$A175,Table1[BRAND],Demand_Modeling_Week_level!G$2)</f>
        <v>0</v>
      </c>
      <c r="H175">
        <f>SUMIFS(Table1[Modeled_Demand],Table1[Key_Year_week_DC],Demand_Modeling_Week_level!$A175,Table1[BRAND],Demand_Modeling_Week_level!H$2)</f>
        <v>0</v>
      </c>
      <c r="I175">
        <f>SUMIFS(Table1[Modeled_Demand],Table1[Key_Year_week_DC],Demand_Modeling_Week_level!$A175,Table1[BRAND],Demand_Modeling_Week_level!I$2)</f>
        <v>0</v>
      </c>
      <c r="J175">
        <f>SUMIFS(Table1[Modeled_Demand],Table1[Key_Year_week_DC],Demand_Modeling_Week_level!$A175,Table1[BRAND],Demand_Modeling_Week_level!J$2)</f>
        <v>0</v>
      </c>
      <c r="K175">
        <f>SUMIFS(Table1[Modeled_Demand],Table1[Key_Year_week_DC],Demand_Modeling_Week_level!$A175,Table1[BRAND],Demand_Modeling_Week_level!K$2)</f>
        <v>0</v>
      </c>
      <c r="L175">
        <f>SUMIFS(Table1[Demand],Table1[Key_Year_week_DC],Demand_Modeling_Week_level!$A175)</f>
        <v>0</v>
      </c>
      <c r="M175">
        <f t="shared" si="12"/>
        <v>0</v>
      </c>
      <c r="N175" t="e">
        <f>VLOOKUP(A175,Capacity!B:G,6,FALSE)</f>
        <v>#N/A</v>
      </c>
      <c r="O175" s="20">
        <f t="shared" si="13"/>
        <v>0</v>
      </c>
      <c r="P175">
        <f t="shared" si="14"/>
        <v>0</v>
      </c>
    </row>
    <row r="176" spans="1:16" x14ac:dyDescent="0.3">
      <c r="A176" t="str">
        <f t="shared" si="17"/>
        <v>202146-TFC</v>
      </c>
      <c r="B176">
        <f t="shared" si="18"/>
        <v>202146</v>
      </c>
      <c r="C176" t="s">
        <v>6</v>
      </c>
      <c r="D176">
        <v>2021</v>
      </c>
      <c r="E176">
        <v>46</v>
      </c>
      <c r="F176">
        <f>SUMIFS(Table1[Modeled_Demand],Table1[Key_Year_week_DC],Demand_Modeling_Week_level!$A176,Table1[BRAND],Demand_Modeling_Week_level!F$2)</f>
        <v>318975</v>
      </c>
      <c r="G176">
        <f>SUMIFS(Table1[Modeled_Demand],Table1[Key_Year_week_DC],Demand_Modeling_Week_level!$A176,Table1[BRAND],Demand_Modeling_Week_level!G$2)</f>
        <v>306237</v>
      </c>
      <c r="H176">
        <f>SUMIFS(Table1[Modeled_Demand],Table1[Key_Year_week_DC],Demand_Modeling_Week_level!$A176,Table1[BRAND],Demand_Modeling_Week_level!H$2)</f>
        <v>0</v>
      </c>
      <c r="I176">
        <f>SUMIFS(Table1[Modeled_Demand],Table1[Key_Year_week_DC],Demand_Modeling_Week_level!$A176,Table1[BRAND],Demand_Modeling_Week_level!I$2)</f>
        <v>293965.60000000003</v>
      </c>
      <c r="J176">
        <f>SUMIFS(Table1[Modeled_Demand],Table1[Key_Year_week_DC],Demand_Modeling_Week_level!$A176,Table1[BRAND],Demand_Modeling_Week_level!J$2)</f>
        <v>0</v>
      </c>
      <c r="K176">
        <f>SUMIFS(Table1[Modeled_Demand],Table1[Key_Year_week_DC],Demand_Modeling_Week_level!$A176,Table1[BRAND],Demand_Modeling_Week_level!K$2)</f>
        <v>682236.90240000002</v>
      </c>
      <c r="L176">
        <f>SUMIFS(Table1[Demand],Table1[Key_Year_week_DC],Demand_Modeling_Week_level!$A176)</f>
        <v>1286389</v>
      </c>
      <c r="M176">
        <f t="shared" si="12"/>
        <v>1601414.5024000001</v>
      </c>
      <c r="N176">
        <f>VLOOKUP(A176,Capacity!B:G,6,FALSE)</f>
        <v>4724981.1000000099</v>
      </c>
      <c r="O176" s="20">
        <f t="shared" si="13"/>
        <v>0.27225272922255656</v>
      </c>
      <c r="P176">
        <f t="shared" si="14"/>
        <v>0.33892505991187916</v>
      </c>
    </row>
    <row r="177" spans="1:16" x14ac:dyDescent="0.3">
      <c r="A177" t="str">
        <f t="shared" si="17"/>
        <v>202146-WEO</v>
      </c>
      <c r="B177">
        <f t="shared" si="18"/>
        <v>202146</v>
      </c>
      <c r="C177" t="s">
        <v>10</v>
      </c>
      <c r="D177">
        <v>2021</v>
      </c>
      <c r="E177">
        <v>46</v>
      </c>
      <c r="F177">
        <f>SUMIFS(Table1[Modeled_Demand],Table1[Key_Year_week_DC],Demand_Modeling_Week_level!$A177,Table1[BRAND],Demand_Modeling_Week_level!F$2)</f>
        <v>0</v>
      </c>
      <c r="G177">
        <f>SUMIFS(Table1[Modeled_Demand],Table1[Key_Year_week_DC],Demand_Modeling_Week_level!$A177,Table1[BRAND],Demand_Modeling_Week_level!G$2)</f>
        <v>0</v>
      </c>
      <c r="H177">
        <f>SUMIFS(Table1[Modeled_Demand],Table1[Key_Year_week_DC],Demand_Modeling_Week_level!$A177,Table1[BRAND],Demand_Modeling_Week_level!H$2)</f>
        <v>0</v>
      </c>
      <c r="I177">
        <f>SUMIFS(Table1[Modeled_Demand],Table1[Key_Year_week_DC],Demand_Modeling_Week_level!$A177,Table1[BRAND],Demand_Modeling_Week_level!I$2)</f>
        <v>587931.20000000007</v>
      </c>
      <c r="J177">
        <f>SUMIFS(Table1[Modeled_Demand],Table1[Key_Year_week_DC],Demand_Modeling_Week_level!$A177,Table1[BRAND],Demand_Modeling_Week_level!J$2)</f>
        <v>0</v>
      </c>
      <c r="K177">
        <f>SUMIFS(Table1[Modeled_Demand],Table1[Key_Year_week_DC],Demand_Modeling_Week_level!$A177,Table1[BRAND],Demand_Modeling_Week_level!K$2)</f>
        <v>921941.76</v>
      </c>
      <c r="L177">
        <f>SUMIFS(Table1[Demand],Table1[Key_Year_week_DC],Demand_Modeling_Week_level!$A177)</f>
        <v>358990</v>
      </c>
      <c r="M177">
        <f t="shared" si="12"/>
        <v>1509872.96</v>
      </c>
      <c r="N177">
        <f>VLOOKUP(A177,Capacity!B:G,6,FALSE)</f>
        <v>4724981.1000000099</v>
      </c>
      <c r="O177" s="20">
        <f t="shared" si="13"/>
        <v>7.5977023484813361E-2</v>
      </c>
      <c r="P177">
        <f t="shared" si="14"/>
        <v>0.31955111100867617</v>
      </c>
    </row>
    <row r="178" spans="1:16" x14ac:dyDescent="0.3">
      <c r="A178" t="str">
        <f t="shared" si="17"/>
        <v>202146-WFC</v>
      </c>
      <c r="B178">
        <f t="shared" si="18"/>
        <v>202146</v>
      </c>
      <c r="C178" t="s">
        <v>7</v>
      </c>
      <c r="D178">
        <v>2021</v>
      </c>
      <c r="E178">
        <v>46</v>
      </c>
      <c r="F178">
        <f>SUMIFS(Table1[Modeled_Demand],Table1[Key_Year_week_DC],Demand_Modeling_Week_level!$A178,Table1[BRAND],Demand_Modeling_Week_level!F$2)</f>
        <v>0</v>
      </c>
      <c r="G178">
        <f>SUMIFS(Table1[Modeled_Demand],Table1[Key_Year_week_DC],Demand_Modeling_Week_level!$A178,Table1[BRAND],Demand_Modeling_Week_level!G$2)</f>
        <v>1.0705932027604124</v>
      </c>
      <c r="H178">
        <f>SUMIFS(Table1[Modeled_Demand],Table1[Key_Year_week_DC],Demand_Modeling_Week_level!$A178,Table1[BRAND],Demand_Modeling_Week_level!H$2)</f>
        <v>0</v>
      </c>
      <c r="I178">
        <f>SUMIFS(Table1[Modeled_Demand],Table1[Key_Year_week_DC],Demand_Modeling_Week_level!$A178,Table1[BRAND],Demand_Modeling_Week_level!I$2)</f>
        <v>220474.19999999998</v>
      </c>
      <c r="J178">
        <f>SUMIFS(Table1[Modeled_Demand],Table1[Key_Year_week_DC],Demand_Modeling_Week_level!$A178,Table1[BRAND],Demand_Modeling_Week_level!J$2)</f>
        <v>0</v>
      </c>
      <c r="K178">
        <f>SUMIFS(Table1[Modeled_Demand],Table1[Key_Year_week_DC],Demand_Modeling_Week_level!$A178,Table1[BRAND],Demand_Modeling_Week_level!K$2)</f>
        <v>0</v>
      </c>
      <c r="L178">
        <f>SUMIFS(Table1[Demand],Table1[Key_Year_week_DC],Demand_Modeling_Week_level!$A178)</f>
        <v>747930</v>
      </c>
      <c r="M178">
        <f t="shared" si="12"/>
        <v>220475.27059320273</v>
      </c>
      <c r="N178">
        <f>VLOOKUP(A178,Capacity!B:G,6,FALSE)</f>
        <v>755981.09999999905</v>
      </c>
      <c r="O178" s="20">
        <f t="shared" si="13"/>
        <v>0.9893501305786625</v>
      </c>
      <c r="P178">
        <f t="shared" si="14"/>
        <v>0.29164124684228615</v>
      </c>
    </row>
    <row r="179" spans="1:16" x14ac:dyDescent="0.3">
      <c r="A179" t="str">
        <f t="shared" si="17"/>
        <v>202147-EAO</v>
      </c>
      <c r="B179">
        <f t="shared" si="18"/>
        <v>202147</v>
      </c>
      <c r="C179" t="s">
        <v>8</v>
      </c>
      <c r="D179">
        <v>2021</v>
      </c>
      <c r="E179">
        <v>47</v>
      </c>
      <c r="F179">
        <f>SUMIFS(Table1[Modeled_Demand],Table1[Key_Year_week_DC],Demand_Modeling_Week_level!$A179,Table1[BRAND],Demand_Modeling_Week_level!F$2)</f>
        <v>12.945047529020158</v>
      </c>
      <c r="G179">
        <f>SUMIFS(Table1[Modeled_Demand],Table1[Key_Year_week_DC],Demand_Modeling_Week_level!$A179,Table1[BRAND],Demand_Modeling_Week_level!G$2)</f>
        <v>14.370490887578379</v>
      </c>
      <c r="H179">
        <f>SUMIFS(Table1[Modeled_Demand],Table1[Key_Year_week_DC],Demand_Modeling_Week_level!$A179,Table1[BRAND],Demand_Modeling_Week_level!H$2)</f>
        <v>0</v>
      </c>
      <c r="I179">
        <f>SUMIFS(Table1[Modeled_Demand],Table1[Key_Year_week_DC],Demand_Modeling_Week_level!$A179,Table1[BRAND],Demand_Modeling_Week_level!I$2)</f>
        <v>0</v>
      </c>
      <c r="J179">
        <f>SUMIFS(Table1[Modeled_Demand],Table1[Key_Year_week_DC],Demand_Modeling_Week_level!$A179,Table1[BRAND],Demand_Modeling_Week_level!J$2)</f>
        <v>0</v>
      </c>
      <c r="K179">
        <f>SUMIFS(Table1[Modeled_Demand],Table1[Key_Year_week_DC],Demand_Modeling_Week_level!$A179,Table1[BRAND],Demand_Modeling_Week_level!K$2)</f>
        <v>555277.22274466569</v>
      </c>
      <c r="L179">
        <f>SUMIFS(Table1[Demand],Table1[Key_Year_week_DC],Demand_Modeling_Week_level!$A179)</f>
        <v>654647</v>
      </c>
      <c r="M179">
        <f t="shared" si="12"/>
        <v>555304.53828308231</v>
      </c>
      <c r="N179">
        <f>VLOOKUP(A179,Capacity!B:G,6,FALSE)</f>
        <v>3150025.2</v>
      </c>
      <c r="O179" s="20">
        <f t="shared" si="13"/>
        <v>0.20782278186218953</v>
      </c>
      <c r="P179">
        <f t="shared" si="14"/>
        <v>0.1762857447245445</v>
      </c>
    </row>
    <row r="180" spans="1:16" x14ac:dyDescent="0.3">
      <c r="A180" t="str">
        <f t="shared" si="17"/>
        <v>202147-OCC</v>
      </c>
      <c r="B180">
        <f t="shared" si="18"/>
        <v>202147</v>
      </c>
      <c r="C180" t="s">
        <v>11</v>
      </c>
      <c r="D180">
        <v>2021</v>
      </c>
      <c r="E180">
        <v>47</v>
      </c>
      <c r="F180">
        <f>SUMIFS(Table1[Modeled_Demand],Table1[Key_Year_week_DC],Demand_Modeling_Week_level!$A180,Table1[BRAND],Demand_Modeling_Week_level!F$2)</f>
        <v>0</v>
      </c>
      <c r="G180">
        <f>SUMIFS(Table1[Modeled_Demand],Table1[Key_Year_week_DC],Demand_Modeling_Week_level!$A180,Table1[BRAND],Demand_Modeling_Week_level!G$2)</f>
        <v>0</v>
      </c>
      <c r="H180">
        <f>SUMIFS(Table1[Modeled_Demand],Table1[Key_Year_week_DC],Demand_Modeling_Week_level!$A180,Table1[BRAND],Demand_Modeling_Week_level!H$2)</f>
        <v>0</v>
      </c>
      <c r="I180">
        <f>SUMIFS(Table1[Modeled_Demand],Table1[Key_Year_week_DC],Demand_Modeling_Week_level!$A180,Table1[BRAND],Demand_Modeling_Week_level!I$2)</f>
        <v>306884.75</v>
      </c>
      <c r="J180">
        <f>SUMIFS(Table1[Modeled_Demand],Table1[Key_Year_week_DC],Demand_Modeling_Week_level!$A180,Table1[BRAND],Demand_Modeling_Week_level!J$2)</f>
        <v>0</v>
      </c>
      <c r="K180">
        <f>SUMIFS(Table1[Modeled_Demand],Table1[Key_Year_week_DC],Demand_Modeling_Week_level!$A180,Table1[BRAND],Demand_Modeling_Week_level!K$2)</f>
        <v>326159.84000000003</v>
      </c>
      <c r="L180">
        <f>SUMIFS(Table1[Demand],Table1[Key_Year_week_DC],Demand_Modeling_Week_level!$A180)</f>
        <v>0</v>
      </c>
      <c r="M180">
        <f t="shared" si="12"/>
        <v>633044.59000000008</v>
      </c>
      <c r="N180">
        <f>VLOOKUP(A180,Capacity!B:G,6,FALSE)</f>
        <v>3149968.5</v>
      </c>
      <c r="O180" s="20">
        <f t="shared" si="13"/>
        <v>0</v>
      </c>
      <c r="P180">
        <f t="shared" si="14"/>
        <v>0.20096854619339846</v>
      </c>
    </row>
    <row r="181" spans="1:16" x14ac:dyDescent="0.3">
      <c r="A181" t="str">
        <f t="shared" si="17"/>
        <v>202147-ODC</v>
      </c>
      <c r="B181">
        <f t="shared" si="18"/>
        <v>202147</v>
      </c>
      <c r="C181" t="s">
        <v>9</v>
      </c>
      <c r="D181">
        <v>2021</v>
      </c>
      <c r="E181">
        <v>47</v>
      </c>
      <c r="F181">
        <f>SUMIFS(Table1[Modeled_Demand],Table1[Key_Year_week_DC],Demand_Modeling_Week_level!$A181,Table1[BRAND],Demand_Modeling_Week_level!F$2)</f>
        <v>0</v>
      </c>
      <c r="G181">
        <f>SUMIFS(Table1[Modeled_Demand],Table1[Key_Year_week_DC],Demand_Modeling_Week_level!$A181,Table1[BRAND],Demand_Modeling_Week_level!G$2)</f>
        <v>0</v>
      </c>
      <c r="H181">
        <f>SUMIFS(Table1[Modeled_Demand],Table1[Key_Year_week_DC],Demand_Modeling_Week_level!$A181,Table1[BRAND],Demand_Modeling_Week_level!H$2)</f>
        <v>0</v>
      </c>
      <c r="I181">
        <f>SUMIFS(Table1[Modeled_Demand],Table1[Key_Year_week_DC],Demand_Modeling_Week_level!$A181,Table1[BRAND],Demand_Modeling_Week_level!I$2)</f>
        <v>0</v>
      </c>
      <c r="J181">
        <f>SUMIFS(Table1[Modeled_Demand],Table1[Key_Year_week_DC],Demand_Modeling_Week_level!$A181,Table1[BRAND],Demand_Modeling_Week_level!J$2)</f>
        <v>0</v>
      </c>
      <c r="K181">
        <f>SUMIFS(Table1[Modeled_Demand],Table1[Key_Year_week_DC],Demand_Modeling_Week_level!$A181,Table1[BRAND],Demand_Modeling_Week_level!K$2)</f>
        <v>0</v>
      </c>
      <c r="L181">
        <f>SUMIFS(Table1[Demand],Table1[Key_Year_week_DC],Demand_Modeling_Week_level!$A181)</f>
        <v>0</v>
      </c>
      <c r="M181">
        <f t="shared" si="12"/>
        <v>0</v>
      </c>
      <c r="N181" t="e">
        <f>VLOOKUP(A181,Capacity!B:G,6,FALSE)</f>
        <v>#N/A</v>
      </c>
      <c r="O181" s="20">
        <f t="shared" si="13"/>
        <v>0</v>
      </c>
      <c r="P181">
        <f t="shared" si="14"/>
        <v>0</v>
      </c>
    </row>
    <row r="182" spans="1:16" x14ac:dyDescent="0.3">
      <c r="A182" t="str">
        <f t="shared" si="17"/>
        <v>202147-OFC</v>
      </c>
      <c r="B182">
        <f t="shared" si="18"/>
        <v>202147</v>
      </c>
      <c r="C182" t="s">
        <v>5</v>
      </c>
      <c r="D182">
        <v>2021</v>
      </c>
      <c r="E182">
        <v>47</v>
      </c>
      <c r="F182">
        <f>SUMIFS(Table1[Modeled_Demand],Table1[Key_Year_week_DC],Demand_Modeling_Week_level!$A182,Table1[BRAND],Demand_Modeling_Week_level!F$2)</f>
        <v>0</v>
      </c>
      <c r="G182">
        <f>SUMIFS(Table1[Modeled_Demand],Table1[Key_Year_week_DC],Demand_Modeling_Week_level!$A182,Table1[BRAND],Demand_Modeling_Week_level!G$2)</f>
        <v>0</v>
      </c>
      <c r="H182">
        <f>SUMIFS(Table1[Modeled_Demand],Table1[Key_Year_week_DC],Demand_Modeling_Week_level!$A182,Table1[BRAND],Demand_Modeling_Week_level!H$2)</f>
        <v>167946</v>
      </c>
      <c r="I182">
        <f>SUMIFS(Table1[Modeled_Demand],Table1[Key_Year_week_DC],Demand_Modeling_Week_level!$A182,Table1[BRAND],Demand_Modeling_Week_level!I$2)</f>
        <v>0</v>
      </c>
      <c r="J182">
        <f>SUMIFS(Table1[Modeled_Demand],Table1[Key_Year_week_DC],Demand_Modeling_Week_level!$A182,Table1[BRAND],Demand_Modeling_Week_level!J$2)</f>
        <v>375002</v>
      </c>
      <c r="K182">
        <f>SUMIFS(Table1[Modeled_Demand],Table1[Key_Year_week_DC],Demand_Modeling_Week_level!$A182,Table1[BRAND],Demand_Modeling_Week_level!K$2)</f>
        <v>305774.84999999998</v>
      </c>
      <c r="L182">
        <f>SUMIFS(Table1[Demand],Table1[Key_Year_week_DC],Demand_Modeling_Week_level!$A182)</f>
        <v>2241346</v>
      </c>
      <c r="M182">
        <f t="shared" si="12"/>
        <v>848722.85</v>
      </c>
      <c r="N182">
        <f>VLOOKUP(A182,Capacity!B:G,6,FALSE)</f>
        <v>4094987.4</v>
      </c>
      <c r="O182" s="20">
        <f t="shared" si="13"/>
        <v>0.54733892465700873</v>
      </c>
      <c r="P182">
        <f t="shared" si="14"/>
        <v>0.20725896494821938</v>
      </c>
    </row>
    <row r="183" spans="1:16" x14ac:dyDescent="0.3">
      <c r="A183" t="str">
        <f t="shared" si="17"/>
        <v>202147-SFS</v>
      </c>
      <c r="B183">
        <f t="shared" si="18"/>
        <v>202147</v>
      </c>
      <c r="C183" t="s">
        <v>12</v>
      </c>
      <c r="D183">
        <v>2021</v>
      </c>
      <c r="E183">
        <v>47</v>
      </c>
      <c r="F183">
        <f>SUMIFS(Table1[Modeled_Demand],Table1[Key_Year_week_DC],Demand_Modeling_Week_level!$A183,Table1[BRAND],Demand_Modeling_Week_level!F$2)</f>
        <v>0</v>
      </c>
      <c r="G183">
        <f>SUMIFS(Table1[Modeled_Demand],Table1[Key_Year_week_DC],Demand_Modeling_Week_level!$A183,Table1[BRAND],Demand_Modeling_Week_level!G$2)</f>
        <v>0</v>
      </c>
      <c r="H183">
        <f>SUMIFS(Table1[Modeled_Demand],Table1[Key_Year_week_DC],Demand_Modeling_Week_level!$A183,Table1[BRAND],Demand_Modeling_Week_level!H$2)</f>
        <v>0</v>
      </c>
      <c r="I183">
        <f>SUMIFS(Table1[Modeled_Demand],Table1[Key_Year_week_DC],Demand_Modeling_Week_level!$A183,Table1[BRAND],Demand_Modeling_Week_level!I$2)</f>
        <v>0</v>
      </c>
      <c r="J183">
        <f>SUMIFS(Table1[Modeled_Demand],Table1[Key_Year_week_DC],Demand_Modeling_Week_level!$A183,Table1[BRAND],Demand_Modeling_Week_level!J$2)</f>
        <v>0</v>
      </c>
      <c r="K183">
        <f>SUMIFS(Table1[Modeled_Demand],Table1[Key_Year_week_DC],Demand_Modeling_Week_level!$A183,Table1[BRAND],Demand_Modeling_Week_level!K$2)</f>
        <v>0</v>
      </c>
      <c r="L183">
        <f>SUMIFS(Table1[Demand],Table1[Key_Year_week_DC],Demand_Modeling_Week_level!$A183)</f>
        <v>0</v>
      </c>
      <c r="M183">
        <f t="shared" si="12"/>
        <v>0</v>
      </c>
      <c r="N183" t="e">
        <f>VLOOKUP(A183,Capacity!B:G,6,FALSE)</f>
        <v>#N/A</v>
      </c>
      <c r="O183" s="20">
        <f t="shared" si="13"/>
        <v>0</v>
      </c>
      <c r="P183">
        <f t="shared" si="14"/>
        <v>0</v>
      </c>
    </row>
    <row r="184" spans="1:16" x14ac:dyDescent="0.3">
      <c r="A184" t="str">
        <f t="shared" si="17"/>
        <v>202147-TFC</v>
      </c>
      <c r="B184">
        <f t="shared" si="18"/>
        <v>202147</v>
      </c>
      <c r="C184" t="s">
        <v>6</v>
      </c>
      <c r="D184">
        <v>2021</v>
      </c>
      <c r="E184">
        <v>47</v>
      </c>
      <c r="F184">
        <f>SUMIFS(Table1[Modeled_Demand],Table1[Key_Year_week_DC],Demand_Modeling_Week_level!$A184,Table1[BRAND],Demand_Modeling_Week_level!F$2)</f>
        <v>375532</v>
      </c>
      <c r="G184">
        <f>SUMIFS(Table1[Modeled_Demand],Table1[Key_Year_week_DC],Demand_Modeling_Week_level!$A184,Table1[BRAND],Demand_Modeling_Week_level!G$2)</f>
        <v>339407</v>
      </c>
      <c r="H184">
        <f>SUMIFS(Table1[Modeled_Demand],Table1[Key_Year_week_DC],Demand_Modeling_Week_level!$A184,Table1[BRAND],Demand_Modeling_Week_level!H$2)</f>
        <v>0</v>
      </c>
      <c r="I184">
        <f>SUMIFS(Table1[Modeled_Demand],Table1[Key_Year_week_DC],Demand_Modeling_Week_level!$A184,Table1[BRAND],Demand_Modeling_Week_level!I$2)</f>
        <v>245507.80000000002</v>
      </c>
      <c r="J184">
        <f>SUMIFS(Table1[Modeled_Demand],Table1[Key_Year_week_DC],Demand_Modeling_Week_level!$A184,Table1[BRAND],Demand_Modeling_Week_level!J$2)</f>
        <v>0</v>
      </c>
      <c r="K184">
        <f>SUMIFS(Table1[Modeled_Demand],Table1[Key_Year_week_DC],Demand_Modeling_Week_level!$A184,Table1[BRAND],Demand_Modeling_Week_level!K$2)</f>
        <v>362037.42240000004</v>
      </c>
      <c r="L184">
        <f>SUMIFS(Table1[Demand],Table1[Key_Year_week_DC],Demand_Modeling_Week_level!$A184)</f>
        <v>966693</v>
      </c>
      <c r="M184">
        <f t="shared" si="12"/>
        <v>1322484.2224000001</v>
      </c>
      <c r="N184">
        <f>VLOOKUP(A184,Capacity!B:G,6,FALSE)</f>
        <v>4724981.1000000099</v>
      </c>
      <c r="O184" s="20">
        <f t="shared" si="13"/>
        <v>0.20459192947882859</v>
      </c>
      <c r="P184">
        <f t="shared" si="14"/>
        <v>0.27989196028741731</v>
      </c>
    </row>
    <row r="185" spans="1:16" x14ac:dyDescent="0.3">
      <c r="A185" t="str">
        <f t="shared" si="17"/>
        <v>202147-WEO</v>
      </c>
      <c r="B185">
        <f t="shared" si="18"/>
        <v>202147</v>
      </c>
      <c r="C185" t="s">
        <v>10</v>
      </c>
      <c r="D185">
        <v>2021</v>
      </c>
      <c r="E185">
        <v>47</v>
      </c>
      <c r="F185">
        <f>SUMIFS(Table1[Modeled_Demand],Table1[Key_Year_week_DC],Demand_Modeling_Week_level!$A185,Table1[BRAND],Demand_Modeling_Week_level!F$2)</f>
        <v>0</v>
      </c>
      <c r="G185">
        <f>SUMIFS(Table1[Modeled_Demand],Table1[Key_Year_week_DC],Demand_Modeling_Week_level!$A185,Table1[BRAND],Demand_Modeling_Week_level!G$2)</f>
        <v>0</v>
      </c>
      <c r="H185">
        <f>SUMIFS(Table1[Modeled_Demand],Table1[Key_Year_week_DC],Demand_Modeling_Week_level!$A185,Table1[BRAND],Demand_Modeling_Week_level!H$2)</f>
        <v>0</v>
      </c>
      <c r="I185">
        <f>SUMIFS(Table1[Modeled_Demand],Table1[Key_Year_week_DC],Demand_Modeling_Week_level!$A185,Table1[BRAND],Demand_Modeling_Week_level!I$2)</f>
        <v>491015.60000000003</v>
      </c>
      <c r="J185">
        <f>SUMIFS(Table1[Modeled_Demand],Table1[Key_Year_week_DC],Demand_Modeling_Week_level!$A185,Table1[BRAND],Demand_Modeling_Week_level!J$2)</f>
        <v>0</v>
      </c>
      <c r="K185">
        <f>SUMIFS(Table1[Modeled_Demand],Table1[Key_Year_week_DC],Demand_Modeling_Week_level!$A185,Table1[BRAND],Demand_Modeling_Week_level!K$2)</f>
        <v>489239.76</v>
      </c>
      <c r="L185">
        <f>SUMIFS(Table1[Demand],Table1[Key_Year_week_DC],Demand_Modeling_Week_level!$A185)</f>
        <v>273583</v>
      </c>
      <c r="M185">
        <f t="shared" si="12"/>
        <v>980255.3600000001</v>
      </c>
      <c r="N185">
        <f>VLOOKUP(A185,Capacity!B:G,6,FALSE)</f>
        <v>4724981.1000000099</v>
      </c>
      <c r="O185" s="20">
        <f t="shared" si="13"/>
        <v>5.7901395626746406E-2</v>
      </c>
      <c r="P185">
        <f t="shared" si="14"/>
        <v>0.20746228170097825</v>
      </c>
    </row>
    <row r="186" spans="1:16" x14ac:dyDescent="0.3">
      <c r="A186" t="str">
        <f t="shared" si="17"/>
        <v>202147-WFC</v>
      </c>
      <c r="B186">
        <f t="shared" si="18"/>
        <v>202147</v>
      </c>
      <c r="C186" t="s">
        <v>7</v>
      </c>
      <c r="D186">
        <v>2021</v>
      </c>
      <c r="E186">
        <v>47</v>
      </c>
      <c r="F186">
        <f>SUMIFS(Table1[Modeled_Demand],Table1[Key_Year_week_DC],Demand_Modeling_Week_level!$A186,Table1[BRAND],Demand_Modeling_Week_level!F$2)</f>
        <v>0</v>
      </c>
      <c r="G186">
        <f>SUMIFS(Table1[Modeled_Demand],Table1[Key_Year_week_DC],Demand_Modeling_Week_level!$A186,Table1[BRAND],Demand_Modeling_Week_level!G$2)</f>
        <v>1.1865542934697741</v>
      </c>
      <c r="H186">
        <f>SUMIFS(Table1[Modeled_Demand],Table1[Key_Year_week_DC],Demand_Modeling_Week_level!$A186,Table1[BRAND],Demand_Modeling_Week_level!H$2)</f>
        <v>0</v>
      </c>
      <c r="I186">
        <f>SUMIFS(Table1[Modeled_Demand],Table1[Key_Year_week_DC],Demand_Modeling_Week_level!$A186,Table1[BRAND],Demand_Modeling_Week_level!I$2)</f>
        <v>184130.85</v>
      </c>
      <c r="J186">
        <f>SUMIFS(Table1[Modeled_Demand],Table1[Key_Year_week_DC],Demand_Modeling_Week_level!$A186,Table1[BRAND],Demand_Modeling_Week_level!J$2)</f>
        <v>0</v>
      </c>
      <c r="K186">
        <f>SUMIFS(Table1[Modeled_Demand],Table1[Key_Year_week_DC],Demand_Modeling_Week_level!$A186,Table1[BRAND],Demand_Modeling_Week_level!K$2)</f>
        <v>0</v>
      </c>
      <c r="L186">
        <f>SUMIFS(Table1[Demand],Table1[Key_Year_week_DC],Demand_Modeling_Week_level!$A186)</f>
        <v>387656</v>
      </c>
      <c r="M186">
        <f t="shared" si="12"/>
        <v>184132.03655429347</v>
      </c>
      <c r="N186">
        <f>VLOOKUP(A186,Capacity!B:G,6,FALSE)</f>
        <v>755981.09999999905</v>
      </c>
      <c r="O186" s="20">
        <f t="shared" si="13"/>
        <v>0.51278530640514752</v>
      </c>
      <c r="P186">
        <f t="shared" si="14"/>
        <v>0.24356698408768909</v>
      </c>
    </row>
    <row r="187" spans="1:16" x14ac:dyDescent="0.3">
      <c r="A187" t="str">
        <f t="shared" si="17"/>
        <v>202148-EAO</v>
      </c>
      <c r="B187">
        <f t="shared" si="18"/>
        <v>202148</v>
      </c>
      <c r="C187" t="s">
        <v>8</v>
      </c>
      <c r="D187">
        <v>2021</v>
      </c>
      <c r="E187">
        <v>48</v>
      </c>
      <c r="F187">
        <f>SUMIFS(Table1[Modeled_Demand],Table1[Key_Year_week_DC],Demand_Modeling_Week_level!$A187,Table1[BRAND],Demand_Modeling_Week_level!F$2)</f>
        <v>0</v>
      </c>
      <c r="G187">
        <f>SUMIFS(Table1[Modeled_Demand],Table1[Key_Year_week_DC],Demand_Modeling_Week_level!$A187,Table1[BRAND],Demand_Modeling_Week_level!G$2)</f>
        <v>0</v>
      </c>
      <c r="H187">
        <f>SUMIFS(Table1[Modeled_Demand],Table1[Key_Year_week_DC],Demand_Modeling_Week_level!$A187,Table1[BRAND],Demand_Modeling_Week_level!H$2)</f>
        <v>0</v>
      </c>
      <c r="I187">
        <f>SUMIFS(Table1[Modeled_Demand],Table1[Key_Year_week_DC],Demand_Modeling_Week_level!$A187,Table1[BRAND],Demand_Modeling_Week_level!I$2)</f>
        <v>0</v>
      </c>
      <c r="J187">
        <f>SUMIFS(Table1[Modeled_Demand],Table1[Key_Year_week_DC],Demand_Modeling_Week_level!$A187,Table1[BRAND],Demand_Modeling_Week_level!J$2)</f>
        <v>0</v>
      </c>
      <c r="K187">
        <f>SUMIFS(Table1[Modeled_Demand],Table1[Key_Year_week_DC],Demand_Modeling_Week_level!$A187,Table1[BRAND],Demand_Modeling_Week_level!K$2)</f>
        <v>0</v>
      </c>
      <c r="L187">
        <f>SUMIFS(Table1[Demand],Table1[Key_Year_week_DC],Demand_Modeling_Week_level!$A187)</f>
        <v>0</v>
      </c>
      <c r="M187">
        <f t="shared" si="12"/>
        <v>0</v>
      </c>
      <c r="N187">
        <f>VLOOKUP(A187,Capacity!B:G,6,FALSE)</f>
        <v>0</v>
      </c>
      <c r="O187" s="20">
        <f t="shared" si="13"/>
        <v>0</v>
      </c>
      <c r="P187">
        <f t="shared" si="14"/>
        <v>0</v>
      </c>
    </row>
    <row r="188" spans="1:16" x14ac:dyDescent="0.3">
      <c r="A188" t="str">
        <f t="shared" si="17"/>
        <v>202148-OCC</v>
      </c>
      <c r="B188">
        <f t="shared" si="18"/>
        <v>202148</v>
      </c>
      <c r="C188" t="s">
        <v>11</v>
      </c>
      <c r="D188">
        <v>2021</v>
      </c>
      <c r="E188">
        <v>48</v>
      </c>
      <c r="F188">
        <f>SUMIFS(Table1[Modeled_Demand],Table1[Key_Year_week_DC],Demand_Modeling_Week_level!$A188,Table1[BRAND],Demand_Modeling_Week_level!F$2)</f>
        <v>0</v>
      </c>
      <c r="G188">
        <f>SUMIFS(Table1[Modeled_Demand],Table1[Key_Year_week_DC],Demand_Modeling_Week_level!$A188,Table1[BRAND],Demand_Modeling_Week_level!G$2)</f>
        <v>0</v>
      </c>
      <c r="H188">
        <f>SUMIFS(Table1[Modeled_Demand],Table1[Key_Year_week_DC],Demand_Modeling_Week_level!$A188,Table1[BRAND],Demand_Modeling_Week_level!H$2)</f>
        <v>0</v>
      </c>
      <c r="I188">
        <f>SUMIFS(Table1[Modeled_Demand],Table1[Key_Year_week_DC],Demand_Modeling_Week_level!$A188,Table1[BRAND],Demand_Modeling_Week_level!I$2)</f>
        <v>0</v>
      </c>
      <c r="J188">
        <f>SUMIFS(Table1[Modeled_Demand],Table1[Key_Year_week_DC],Demand_Modeling_Week_level!$A188,Table1[BRAND],Demand_Modeling_Week_level!J$2)</f>
        <v>0</v>
      </c>
      <c r="K188">
        <f>SUMIFS(Table1[Modeled_Demand],Table1[Key_Year_week_DC],Demand_Modeling_Week_level!$A188,Table1[BRAND],Demand_Modeling_Week_level!K$2)</f>
        <v>0</v>
      </c>
      <c r="L188">
        <f>SUMIFS(Table1[Demand],Table1[Key_Year_week_DC],Demand_Modeling_Week_level!$A188)</f>
        <v>0</v>
      </c>
      <c r="M188">
        <f t="shared" si="12"/>
        <v>0</v>
      </c>
      <c r="N188">
        <f>VLOOKUP(A188,Capacity!B:G,6,FALSE)</f>
        <v>0</v>
      </c>
      <c r="O188" s="20">
        <f t="shared" si="13"/>
        <v>0</v>
      </c>
      <c r="P188">
        <f t="shared" si="14"/>
        <v>0</v>
      </c>
    </row>
    <row r="189" spans="1:16" x14ac:dyDescent="0.3">
      <c r="A189" t="str">
        <f t="shared" si="17"/>
        <v>202148-ODC</v>
      </c>
      <c r="B189">
        <f t="shared" si="18"/>
        <v>202148</v>
      </c>
      <c r="C189" t="s">
        <v>9</v>
      </c>
      <c r="D189">
        <v>2021</v>
      </c>
      <c r="E189">
        <v>48</v>
      </c>
      <c r="F189">
        <f>SUMIFS(Table1[Modeled_Demand],Table1[Key_Year_week_DC],Demand_Modeling_Week_level!$A189,Table1[BRAND],Demand_Modeling_Week_level!F$2)</f>
        <v>0</v>
      </c>
      <c r="G189">
        <f>SUMIFS(Table1[Modeled_Demand],Table1[Key_Year_week_DC],Demand_Modeling_Week_level!$A189,Table1[BRAND],Demand_Modeling_Week_level!G$2)</f>
        <v>0</v>
      </c>
      <c r="H189">
        <f>SUMIFS(Table1[Modeled_Demand],Table1[Key_Year_week_DC],Demand_Modeling_Week_level!$A189,Table1[BRAND],Demand_Modeling_Week_level!H$2)</f>
        <v>0</v>
      </c>
      <c r="I189">
        <f>SUMIFS(Table1[Modeled_Demand],Table1[Key_Year_week_DC],Demand_Modeling_Week_level!$A189,Table1[BRAND],Demand_Modeling_Week_level!I$2)</f>
        <v>0</v>
      </c>
      <c r="J189">
        <f>SUMIFS(Table1[Modeled_Demand],Table1[Key_Year_week_DC],Demand_Modeling_Week_level!$A189,Table1[BRAND],Demand_Modeling_Week_level!J$2)</f>
        <v>0</v>
      </c>
      <c r="K189">
        <f>SUMIFS(Table1[Modeled_Demand],Table1[Key_Year_week_DC],Demand_Modeling_Week_level!$A189,Table1[BRAND],Demand_Modeling_Week_level!K$2)</f>
        <v>0</v>
      </c>
      <c r="L189">
        <f>SUMIFS(Table1[Demand],Table1[Key_Year_week_DC],Demand_Modeling_Week_level!$A189)</f>
        <v>0</v>
      </c>
      <c r="M189">
        <f t="shared" si="12"/>
        <v>0</v>
      </c>
      <c r="N189" t="e">
        <f>VLOOKUP(A189,Capacity!B:G,6,FALSE)</f>
        <v>#N/A</v>
      </c>
      <c r="O189" s="20">
        <f t="shared" si="13"/>
        <v>0</v>
      </c>
      <c r="P189">
        <f t="shared" si="14"/>
        <v>0</v>
      </c>
    </row>
    <row r="190" spans="1:16" x14ac:dyDescent="0.3">
      <c r="A190" t="str">
        <f t="shared" si="17"/>
        <v>202148-OFC</v>
      </c>
      <c r="B190">
        <f t="shared" si="18"/>
        <v>202148</v>
      </c>
      <c r="C190" t="s">
        <v>5</v>
      </c>
      <c r="D190">
        <v>2021</v>
      </c>
      <c r="E190">
        <v>48</v>
      </c>
      <c r="F190">
        <f>SUMIFS(Table1[Modeled_Demand],Table1[Key_Year_week_DC],Demand_Modeling_Week_level!$A190,Table1[BRAND],Demand_Modeling_Week_level!F$2)</f>
        <v>0</v>
      </c>
      <c r="G190">
        <f>SUMIFS(Table1[Modeled_Demand],Table1[Key_Year_week_DC],Demand_Modeling_Week_level!$A190,Table1[BRAND],Demand_Modeling_Week_level!G$2)</f>
        <v>0</v>
      </c>
      <c r="H190">
        <f>SUMIFS(Table1[Modeled_Demand],Table1[Key_Year_week_DC],Demand_Modeling_Week_level!$A190,Table1[BRAND],Demand_Modeling_Week_level!H$2)</f>
        <v>0</v>
      </c>
      <c r="I190">
        <f>SUMIFS(Table1[Modeled_Demand],Table1[Key_Year_week_DC],Demand_Modeling_Week_level!$A190,Table1[BRAND],Demand_Modeling_Week_level!I$2)</f>
        <v>0</v>
      </c>
      <c r="J190">
        <f>SUMIFS(Table1[Modeled_Demand],Table1[Key_Year_week_DC],Demand_Modeling_Week_level!$A190,Table1[BRAND],Demand_Modeling_Week_level!J$2)</f>
        <v>0</v>
      </c>
      <c r="K190">
        <f>SUMIFS(Table1[Modeled_Demand],Table1[Key_Year_week_DC],Demand_Modeling_Week_level!$A190,Table1[BRAND],Demand_Modeling_Week_level!K$2)</f>
        <v>0</v>
      </c>
      <c r="L190">
        <f>SUMIFS(Table1[Demand],Table1[Key_Year_week_DC],Demand_Modeling_Week_level!$A190)</f>
        <v>0</v>
      </c>
      <c r="M190">
        <f t="shared" si="12"/>
        <v>0</v>
      </c>
      <c r="N190">
        <f>VLOOKUP(A190,Capacity!B:G,6,FALSE)</f>
        <v>0</v>
      </c>
      <c r="O190" s="20">
        <f t="shared" si="13"/>
        <v>0</v>
      </c>
      <c r="P190">
        <f t="shared" si="14"/>
        <v>0</v>
      </c>
    </row>
    <row r="191" spans="1:16" x14ac:dyDescent="0.3">
      <c r="A191" t="str">
        <f t="shared" si="17"/>
        <v>202148-SFS</v>
      </c>
      <c r="B191">
        <f t="shared" si="18"/>
        <v>202148</v>
      </c>
      <c r="C191" t="s">
        <v>12</v>
      </c>
      <c r="D191">
        <v>2021</v>
      </c>
      <c r="E191">
        <v>48</v>
      </c>
      <c r="F191">
        <f>SUMIFS(Table1[Modeled_Demand],Table1[Key_Year_week_DC],Demand_Modeling_Week_level!$A191,Table1[BRAND],Demand_Modeling_Week_level!F$2)</f>
        <v>0</v>
      </c>
      <c r="G191">
        <f>SUMIFS(Table1[Modeled_Demand],Table1[Key_Year_week_DC],Demand_Modeling_Week_level!$A191,Table1[BRAND],Demand_Modeling_Week_level!G$2)</f>
        <v>0</v>
      </c>
      <c r="H191">
        <f>SUMIFS(Table1[Modeled_Demand],Table1[Key_Year_week_DC],Demand_Modeling_Week_level!$A191,Table1[BRAND],Demand_Modeling_Week_level!H$2)</f>
        <v>0</v>
      </c>
      <c r="I191">
        <f>SUMIFS(Table1[Modeled_Demand],Table1[Key_Year_week_DC],Demand_Modeling_Week_level!$A191,Table1[BRAND],Demand_Modeling_Week_level!I$2)</f>
        <v>0</v>
      </c>
      <c r="J191">
        <f>SUMIFS(Table1[Modeled_Demand],Table1[Key_Year_week_DC],Demand_Modeling_Week_level!$A191,Table1[BRAND],Demand_Modeling_Week_level!J$2)</f>
        <v>0</v>
      </c>
      <c r="K191">
        <f>SUMIFS(Table1[Modeled_Demand],Table1[Key_Year_week_DC],Demand_Modeling_Week_level!$A191,Table1[BRAND],Demand_Modeling_Week_level!K$2)</f>
        <v>0</v>
      </c>
      <c r="L191">
        <f>SUMIFS(Table1[Demand],Table1[Key_Year_week_DC],Demand_Modeling_Week_level!$A191)</f>
        <v>0</v>
      </c>
      <c r="M191">
        <f t="shared" si="12"/>
        <v>0</v>
      </c>
      <c r="N191" t="e">
        <f>VLOOKUP(A191,Capacity!B:G,6,FALSE)</f>
        <v>#N/A</v>
      </c>
      <c r="O191" s="20">
        <f t="shared" si="13"/>
        <v>0</v>
      </c>
      <c r="P191">
        <f t="shared" si="14"/>
        <v>0</v>
      </c>
    </row>
    <row r="192" spans="1:16" x14ac:dyDescent="0.3">
      <c r="A192" t="str">
        <f t="shared" si="17"/>
        <v>202148-TFC</v>
      </c>
      <c r="B192">
        <f t="shared" si="18"/>
        <v>202148</v>
      </c>
      <c r="C192" t="s">
        <v>6</v>
      </c>
      <c r="D192">
        <v>2021</v>
      </c>
      <c r="E192">
        <v>48</v>
      </c>
      <c r="F192">
        <f>SUMIFS(Table1[Modeled_Demand],Table1[Key_Year_week_DC],Demand_Modeling_Week_level!$A192,Table1[BRAND],Demand_Modeling_Week_level!F$2)</f>
        <v>0</v>
      </c>
      <c r="G192">
        <f>SUMIFS(Table1[Modeled_Demand],Table1[Key_Year_week_DC],Demand_Modeling_Week_level!$A192,Table1[BRAND],Demand_Modeling_Week_level!G$2)</f>
        <v>0</v>
      </c>
      <c r="H192">
        <f>SUMIFS(Table1[Modeled_Demand],Table1[Key_Year_week_DC],Demand_Modeling_Week_level!$A192,Table1[BRAND],Demand_Modeling_Week_level!H$2)</f>
        <v>0</v>
      </c>
      <c r="I192">
        <f>SUMIFS(Table1[Modeled_Demand],Table1[Key_Year_week_DC],Demand_Modeling_Week_level!$A192,Table1[BRAND],Demand_Modeling_Week_level!I$2)</f>
        <v>0</v>
      </c>
      <c r="J192">
        <f>SUMIFS(Table1[Modeled_Demand],Table1[Key_Year_week_DC],Demand_Modeling_Week_level!$A192,Table1[BRAND],Demand_Modeling_Week_level!J$2)</f>
        <v>0</v>
      </c>
      <c r="K192">
        <f>SUMIFS(Table1[Modeled_Demand],Table1[Key_Year_week_DC],Demand_Modeling_Week_level!$A192,Table1[BRAND],Demand_Modeling_Week_level!K$2)</f>
        <v>0</v>
      </c>
      <c r="L192">
        <f>SUMIFS(Table1[Demand],Table1[Key_Year_week_DC],Demand_Modeling_Week_level!$A192)</f>
        <v>0</v>
      </c>
      <c r="M192">
        <f t="shared" si="12"/>
        <v>0</v>
      </c>
      <c r="N192">
        <f>VLOOKUP(A192,Capacity!B:G,6,FALSE)</f>
        <v>0</v>
      </c>
      <c r="O192" s="20">
        <f t="shared" si="13"/>
        <v>0</v>
      </c>
      <c r="P192">
        <f t="shared" si="14"/>
        <v>0</v>
      </c>
    </row>
    <row r="193" spans="1:16" x14ac:dyDescent="0.3">
      <c r="A193" t="str">
        <f t="shared" si="17"/>
        <v>202148-WEO</v>
      </c>
      <c r="B193">
        <f t="shared" si="18"/>
        <v>202148</v>
      </c>
      <c r="C193" t="s">
        <v>10</v>
      </c>
      <c r="D193">
        <v>2021</v>
      </c>
      <c r="E193">
        <v>48</v>
      </c>
      <c r="F193">
        <f>SUMIFS(Table1[Modeled_Demand],Table1[Key_Year_week_DC],Demand_Modeling_Week_level!$A193,Table1[BRAND],Demand_Modeling_Week_level!F$2)</f>
        <v>0</v>
      </c>
      <c r="G193">
        <f>SUMIFS(Table1[Modeled_Demand],Table1[Key_Year_week_DC],Demand_Modeling_Week_level!$A193,Table1[BRAND],Demand_Modeling_Week_level!G$2)</f>
        <v>0</v>
      </c>
      <c r="H193">
        <f>SUMIFS(Table1[Modeled_Demand],Table1[Key_Year_week_DC],Demand_Modeling_Week_level!$A193,Table1[BRAND],Demand_Modeling_Week_level!H$2)</f>
        <v>0</v>
      </c>
      <c r="I193">
        <f>SUMIFS(Table1[Modeled_Demand],Table1[Key_Year_week_DC],Demand_Modeling_Week_level!$A193,Table1[BRAND],Demand_Modeling_Week_level!I$2)</f>
        <v>0</v>
      </c>
      <c r="J193">
        <f>SUMIFS(Table1[Modeled_Demand],Table1[Key_Year_week_DC],Demand_Modeling_Week_level!$A193,Table1[BRAND],Demand_Modeling_Week_level!J$2)</f>
        <v>0</v>
      </c>
      <c r="K193">
        <f>SUMIFS(Table1[Modeled_Demand],Table1[Key_Year_week_DC],Demand_Modeling_Week_level!$A193,Table1[BRAND],Demand_Modeling_Week_level!K$2)</f>
        <v>0</v>
      </c>
      <c r="L193">
        <f>SUMIFS(Table1[Demand],Table1[Key_Year_week_DC],Demand_Modeling_Week_level!$A193)</f>
        <v>0</v>
      </c>
      <c r="M193">
        <f t="shared" si="12"/>
        <v>0</v>
      </c>
      <c r="N193">
        <f>VLOOKUP(A193,Capacity!B:G,6,FALSE)</f>
        <v>0</v>
      </c>
      <c r="O193" s="20">
        <f t="shared" si="13"/>
        <v>0</v>
      </c>
      <c r="P193">
        <f t="shared" si="14"/>
        <v>0</v>
      </c>
    </row>
    <row r="194" spans="1:16" x14ac:dyDescent="0.3">
      <c r="A194" t="str">
        <f t="shared" si="17"/>
        <v>202148-WFC</v>
      </c>
      <c r="B194">
        <f t="shared" si="18"/>
        <v>202148</v>
      </c>
      <c r="C194" t="s">
        <v>7</v>
      </c>
      <c r="D194">
        <v>2021</v>
      </c>
      <c r="E194">
        <v>48</v>
      </c>
      <c r="F194">
        <f>SUMIFS(Table1[Modeled_Demand],Table1[Key_Year_week_DC],Demand_Modeling_Week_level!$A194,Table1[BRAND],Demand_Modeling_Week_level!F$2)</f>
        <v>0</v>
      </c>
      <c r="G194">
        <f>SUMIFS(Table1[Modeled_Demand],Table1[Key_Year_week_DC],Demand_Modeling_Week_level!$A194,Table1[BRAND],Demand_Modeling_Week_level!G$2)</f>
        <v>0</v>
      </c>
      <c r="H194">
        <f>SUMIFS(Table1[Modeled_Demand],Table1[Key_Year_week_DC],Demand_Modeling_Week_level!$A194,Table1[BRAND],Demand_Modeling_Week_level!H$2)</f>
        <v>0</v>
      </c>
      <c r="I194">
        <f>SUMIFS(Table1[Modeled_Demand],Table1[Key_Year_week_DC],Demand_Modeling_Week_level!$A194,Table1[BRAND],Demand_Modeling_Week_level!I$2)</f>
        <v>0</v>
      </c>
      <c r="J194">
        <f>SUMIFS(Table1[Modeled_Demand],Table1[Key_Year_week_DC],Demand_Modeling_Week_level!$A194,Table1[BRAND],Demand_Modeling_Week_level!J$2)</f>
        <v>0</v>
      </c>
      <c r="K194">
        <f>SUMIFS(Table1[Modeled_Demand],Table1[Key_Year_week_DC],Demand_Modeling_Week_level!$A194,Table1[BRAND],Demand_Modeling_Week_level!K$2)</f>
        <v>0</v>
      </c>
      <c r="L194">
        <f>SUMIFS(Table1[Demand],Table1[Key_Year_week_DC],Demand_Modeling_Week_level!$A194)</f>
        <v>0</v>
      </c>
      <c r="M194">
        <f t="shared" si="12"/>
        <v>0</v>
      </c>
      <c r="N194">
        <f>VLOOKUP(A194,Capacity!B:G,6,FALSE)</f>
        <v>0</v>
      </c>
      <c r="O194" s="20">
        <f t="shared" si="13"/>
        <v>0</v>
      </c>
      <c r="P194">
        <f t="shared" si="14"/>
        <v>0</v>
      </c>
    </row>
    <row r="195" spans="1:16" hidden="1" x14ac:dyDescent="0.3">
      <c r="A195" t="str">
        <f t="shared" si="17"/>
        <v>202243-EAO</v>
      </c>
      <c r="B195">
        <f t="shared" si="18"/>
        <v>202243</v>
      </c>
      <c r="C195" t="s">
        <v>8</v>
      </c>
      <c r="D195">
        <v>2022</v>
      </c>
      <c r="E195">
        <v>43</v>
      </c>
      <c r="F195">
        <f>SUMIFS(Table1[Modeled_Demand],Table1[Key_Year_week_DC],Demand_Modeling_Week_level!$A195,Table1[BRAND],Demand_Modeling_Week_level!F$2)</f>
        <v>24.789980429084196</v>
      </c>
      <c r="G195">
        <f>SUMIFS(Table1[Modeled_Demand],Table1[Key_Year_week_DC],Demand_Modeling_Week_level!$A195,Table1[BRAND],Demand_Modeling_Week_level!G$2)</f>
        <v>46.485885632291513</v>
      </c>
      <c r="H195">
        <f>SUMIFS(Table1[Modeled_Demand],Table1[Key_Year_week_DC],Demand_Modeling_Week_level!$A195,Table1[BRAND],Demand_Modeling_Week_level!H$2)</f>
        <v>0</v>
      </c>
      <c r="I195">
        <f>SUMIFS(Table1[Modeled_Demand],Table1[Key_Year_week_DC],Demand_Modeling_Week_level!$A195,Table1[BRAND],Demand_Modeling_Week_level!I$2)</f>
        <v>0</v>
      </c>
      <c r="J195">
        <f>SUMIFS(Table1[Modeled_Demand],Table1[Key_Year_week_DC],Demand_Modeling_Week_level!$A195,Table1[BRAND],Demand_Modeling_Week_level!J$2)</f>
        <v>0</v>
      </c>
      <c r="K195">
        <f>SUMIFS(Table1[Modeled_Demand],Table1[Key_Year_week_DC],Demand_Modeling_Week_level!$A195,Table1[BRAND],Demand_Modeling_Week_level!K$2)</f>
        <v>2778958.77</v>
      </c>
      <c r="L195">
        <f>SUMIFS(Table1[Demand],Table1[Key_Year_week_DC],Demand_Modeling_Week_level!$A195)</f>
        <v>4407425</v>
      </c>
      <c r="M195">
        <f t="shared" si="12"/>
        <v>2779030.0458660615</v>
      </c>
      <c r="N195">
        <f>VLOOKUP(A195,Capacity!B:G,6,FALSE)</f>
        <v>2850022.8</v>
      </c>
      <c r="O195" s="20">
        <f t="shared" si="13"/>
        <v>1.5464525406603766</v>
      </c>
      <c r="P195">
        <f t="shared" si="14"/>
        <v>0.97509046098370222</v>
      </c>
    </row>
    <row r="196" spans="1:16" hidden="1" x14ac:dyDescent="0.3">
      <c r="A196" t="str">
        <f t="shared" si="17"/>
        <v>202243-OCC</v>
      </c>
      <c r="B196">
        <f t="shared" si="18"/>
        <v>202243</v>
      </c>
      <c r="C196" t="s">
        <v>11</v>
      </c>
      <c r="D196">
        <v>2022</v>
      </c>
      <c r="E196">
        <v>43</v>
      </c>
      <c r="F196">
        <f>SUMIFS(Table1[Modeled_Demand],Table1[Key_Year_week_DC],Demand_Modeling_Week_level!$A196,Table1[BRAND],Demand_Modeling_Week_level!F$2)</f>
        <v>0</v>
      </c>
      <c r="G196">
        <f>SUMIFS(Table1[Modeled_Demand],Table1[Key_Year_week_DC],Demand_Modeling_Week_level!$A196,Table1[BRAND],Demand_Modeling_Week_level!G$2)</f>
        <v>0</v>
      </c>
      <c r="H196">
        <f>SUMIFS(Table1[Modeled_Demand],Table1[Key_Year_week_DC],Demand_Modeling_Week_level!$A196,Table1[BRAND],Demand_Modeling_Week_level!H$2)</f>
        <v>0</v>
      </c>
      <c r="I196">
        <f>SUMIFS(Table1[Modeled_Demand],Table1[Key_Year_week_DC],Demand_Modeling_Week_level!$A196,Table1[BRAND],Demand_Modeling_Week_level!I$2)</f>
        <v>2186670.2999999998</v>
      </c>
      <c r="J196">
        <f>SUMIFS(Table1[Modeled_Demand],Table1[Key_Year_week_DC],Demand_Modeling_Week_level!$A196,Table1[BRAND],Demand_Modeling_Week_level!J$2)</f>
        <v>0</v>
      </c>
      <c r="K196">
        <f>SUMIFS(Table1[Modeled_Demand],Table1[Key_Year_week_DC],Demand_Modeling_Week_level!$A196,Table1[BRAND],Demand_Modeling_Week_level!K$2)</f>
        <v>5954911.6500000004</v>
      </c>
      <c r="L196">
        <f>SUMIFS(Table1[Demand],Table1[Key_Year_week_DC],Demand_Modeling_Week_level!$A196)</f>
        <v>0</v>
      </c>
      <c r="M196">
        <f t="shared" ref="M196:M259" si="19">SUM(F196:K196)</f>
        <v>8141581.9500000002</v>
      </c>
      <c r="N196">
        <f>VLOOKUP(A196,Capacity!B:G,6,FALSE)</f>
        <v>7979971.5</v>
      </c>
      <c r="O196" s="20">
        <f t="shared" ref="O196:O259" si="20">IFERROR((L196/N196),0)</f>
        <v>0</v>
      </c>
      <c r="P196">
        <f t="shared" ref="P196:P259" si="21">IFERROR(M196/N196,0)</f>
        <v>1.0202520084188271</v>
      </c>
    </row>
    <row r="197" spans="1:16" hidden="1" x14ac:dyDescent="0.3">
      <c r="A197" t="str">
        <f t="shared" si="17"/>
        <v>202243-ODC</v>
      </c>
      <c r="B197">
        <f t="shared" si="18"/>
        <v>202243</v>
      </c>
      <c r="C197" t="s">
        <v>9</v>
      </c>
      <c r="D197">
        <v>2022</v>
      </c>
      <c r="E197">
        <v>43</v>
      </c>
      <c r="F197">
        <f>SUMIFS(Table1[Modeled_Demand],Table1[Key_Year_week_DC],Demand_Modeling_Week_level!$A197,Table1[BRAND],Demand_Modeling_Week_level!F$2)</f>
        <v>0</v>
      </c>
      <c r="G197">
        <f>SUMIFS(Table1[Modeled_Demand],Table1[Key_Year_week_DC],Demand_Modeling_Week_level!$A197,Table1[BRAND],Demand_Modeling_Week_level!G$2)</f>
        <v>0</v>
      </c>
      <c r="H197">
        <f>SUMIFS(Table1[Modeled_Demand],Table1[Key_Year_week_DC],Demand_Modeling_Week_level!$A197,Table1[BRAND],Demand_Modeling_Week_level!H$2)</f>
        <v>0</v>
      </c>
      <c r="I197">
        <f>SUMIFS(Table1[Modeled_Demand],Table1[Key_Year_week_DC],Demand_Modeling_Week_level!$A197,Table1[BRAND],Demand_Modeling_Week_level!I$2)</f>
        <v>0</v>
      </c>
      <c r="J197">
        <f>SUMIFS(Table1[Modeled_Demand],Table1[Key_Year_week_DC],Demand_Modeling_Week_level!$A197,Table1[BRAND],Demand_Modeling_Week_level!J$2)</f>
        <v>0</v>
      </c>
      <c r="K197">
        <f>SUMIFS(Table1[Modeled_Demand],Table1[Key_Year_week_DC],Demand_Modeling_Week_level!$A197,Table1[BRAND],Demand_Modeling_Week_level!K$2)</f>
        <v>0</v>
      </c>
      <c r="L197">
        <f>SUMIFS(Table1[Demand],Table1[Key_Year_week_DC],Demand_Modeling_Week_level!$A197)</f>
        <v>0</v>
      </c>
      <c r="M197">
        <f t="shared" si="19"/>
        <v>0</v>
      </c>
      <c r="N197" t="e">
        <f>VLOOKUP(A197,Capacity!B:G,6,FALSE)</f>
        <v>#N/A</v>
      </c>
      <c r="O197" s="20">
        <f t="shared" si="20"/>
        <v>0</v>
      </c>
      <c r="P197">
        <f t="shared" si="21"/>
        <v>0</v>
      </c>
    </row>
    <row r="198" spans="1:16" hidden="1" x14ac:dyDescent="0.3">
      <c r="A198" t="str">
        <f t="shared" si="17"/>
        <v>202243-OFC</v>
      </c>
      <c r="B198">
        <f t="shared" si="18"/>
        <v>202243</v>
      </c>
      <c r="C198" t="s">
        <v>5</v>
      </c>
      <c r="D198">
        <v>2022</v>
      </c>
      <c r="E198">
        <v>43</v>
      </c>
      <c r="F198">
        <f>SUMIFS(Table1[Modeled_Demand],Table1[Key_Year_week_DC],Demand_Modeling_Week_level!$A198,Table1[BRAND],Demand_Modeling_Week_level!F$2)</f>
        <v>0</v>
      </c>
      <c r="G198">
        <f>SUMIFS(Table1[Modeled_Demand],Table1[Key_Year_week_DC],Demand_Modeling_Week_level!$A198,Table1[BRAND],Demand_Modeling_Week_level!G$2)</f>
        <v>0</v>
      </c>
      <c r="H198">
        <f>SUMIFS(Table1[Modeled_Demand],Table1[Key_Year_week_DC],Demand_Modeling_Week_level!$A198,Table1[BRAND],Demand_Modeling_Week_level!H$2)</f>
        <v>1024632</v>
      </c>
      <c r="I198">
        <f>SUMIFS(Table1[Modeled_Demand],Table1[Key_Year_week_DC],Demand_Modeling_Week_level!$A198,Table1[BRAND],Demand_Modeling_Week_level!I$2)</f>
        <v>0</v>
      </c>
      <c r="J198">
        <f>SUMIFS(Table1[Modeled_Demand],Table1[Key_Year_week_DC],Demand_Modeling_Week_level!$A198,Table1[BRAND],Demand_Modeling_Week_level!J$2)</f>
        <v>2917901</v>
      </c>
      <c r="K198">
        <f>SUMIFS(Table1[Modeled_Demand],Table1[Key_Year_week_DC],Demand_Modeling_Week_level!$A198,Table1[BRAND],Demand_Modeling_Week_level!K$2)</f>
        <v>1190982.3299999998</v>
      </c>
      <c r="L198">
        <f>SUMIFS(Table1[Demand],Table1[Key_Year_week_DC],Demand_Modeling_Week_level!$A198)</f>
        <v>12417141</v>
      </c>
      <c r="M198">
        <f t="shared" si="19"/>
        <v>5133515.33</v>
      </c>
      <c r="N198">
        <f>VLOOKUP(A198,Capacity!B:G,6,FALSE)</f>
        <v>3990011.4</v>
      </c>
      <c r="O198" s="20">
        <f t="shared" si="20"/>
        <v>3.1120565219437721</v>
      </c>
      <c r="P198">
        <f t="shared" si="21"/>
        <v>1.286591644825877</v>
      </c>
    </row>
    <row r="199" spans="1:16" hidden="1" x14ac:dyDescent="0.3">
      <c r="A199" t="str">
        <f t="shared" si="17"/>
        <v>202243-SFS</v>
      </c>
      <c r="B199">
        <f t="shared" si="18"/>
        <v>202243</v>
      </c>
      <c r="C199" t="s">
        <v>12</v>
      </c>
      <c r="D199">
        <v>2022</v>
      </c>
      <c r="E199">
        <v>43</v>
      </c>
      <c r="F199">
        <f>SUMIFS(Table1[Modeled_Demand],Table1[Key_Year_week_DC],Demand_Modeling_Week_level!$A199,Table1[BRAND],Demand_Modeling_Week_level!F$2)</f>
        <v>0</v>
      </c>
      <c r="G199">
        <f>SUMIFS(Table1[Modeled_Demand],Table1[Key_Year_week_DC],Demand_Modeling_Week_level!$A199,Table1[BRAND],Demand_Modeling_Week_level!G$2)</f>
        <v>0</v>
      </c>
      <c r="H199">
        <f>SUMIFS(Table1[Modeled_Demand],Table1[Key_Year_week_DC],Demand_Modeling_Week_level!$A199,Table1[BRAND],Demand_Modeling_Week_level!H$2)</f>
        <v>0</v>
      </c>
      <c r="I199">
        <f>SUMIFS(Table1[Modeled_Demand],Table1[Key_Year_week_DC],Demand_Modeling_Week_level!$A199,Table1[BRAND],Demand_Modeling_Week_level!I$2)</f>
        <v>0</v>
      </c>
      <c r="J199">
        <f>SUMIFS(Table1[Modeled_Demand],Table1[Key_Year_week_DC],Demand_Modeling_Week_level!$A199,Table1[BRAND],Demand_Modeling_Week_level!J$2)</f>
        <v>0</v>
      </c>
      <c r="K199">
        <f>SUMIFS(Table1[Modeled_Demand],Table1[Key_Year_week_DC],Demand_Modeling_Week_level!$A199,Table1[BRAND],Demand_Modeling_Week_level!K$2)</f>
        <v>0</v>
      </c>
      <c r="L199">
        <f>SUMIFS(Table1[Demand],Table1[Key_Year_week_DC],Demand_Modeling_Week_level!$A199)</f>
        <v>0</v>
      </c>
      <c r="M199">
        <f t="shared" si="19"/>
        <v>0</v>
      </c>
      <c r="N199" t="e">
        <f>VLOOKUP(A199,Capacity!B:G,6,FALSE)</f>
        <v>#N/A</v>
      </c>
      <c r="O199" s="20">
        <f t="shared" si="20"/>
        <v>0</v>
      </c>
      <c r="P199">
        <f t="shared" si="21"/>
        <v>0</v>
      </c>
    </row>
    <row r="200" spans="1:16" hidden="1" x14ac:dyDescent="0.3">
      <c r="A200" t="str">
        <f t="shared" si="17"/>
        <v>202243-TFC</v>
      </c>
      <c r="B200">
        <f t="shared" si="18"/>
        <v>202243</v>
      </c>
      <c r="C200" t="s">
        <v>6</v>
      </c>
      <c r="D200">
        <v>2022</v>
      </c>
      <c r="E200">
        <v>43</v>
      </c>
      <c r="F200">
        <f>SUMIFS(Table1[Modeled_Demand],Table1[Key_Year_week_DC],Demand_Modeling_Week_level!$A200,Table1[BRAND],Demand_Modeling_Week_level!F$2)</f>
        <v>719150</v>
      </c>
      <c r="G200">
        <f>SUMIFS(Table1[Modeled_Demand],Table1[Key_Year_week_DC],Demand_Modeling_Week_level!$A200,Table1[BRAND],Demand_Modeling_Week_level!G$2)</f>
        <v>1097919</v>
      </c>
      <c r="H200">
        <f>SUMIFS(Table1[Modeled_Demand],Table1[Key_Year_week_DC],Demand_Modeling_Week_level!$A200,Table1[BRAND],Demand_Modeling_Week_level!H$2)</f>
        <v>0</v>
      </c>
      <c r="I200">
        <f>SUMIFS(Table1[Modeled_Demand],Table1[Key_Year_week_DC],Demand_Modeling_Week_level!$A200,Table1[BRAND],Demand_Modeling_Week_level!I$2)</f>
        <v>1822225.25</v>
      </c>
      <c r="J200">
        <f>SUMIFS(Table1[Modeled_Demand],Table1[Key_Year_week_DC],Demand_Modeling_Week_level!$A200,Table1[BRAND],Demand_Modeling_Week_level!J$2)</f>
        <v>0</v>
      </c>
      <c r="K200">
        <f>SUMIFS(Table1[Modeled_Demand],Table1[Key_Year_week_DC],Demand_Modeling_Week_level!$A200,Table1[BRAND],Demand_Modeling_Week_level!K$2)</f>
        <v>1455645.07</v>
      </c>
      <c r="L200">
        <f>SUMIFS(Table1[Demand],Table1[Key_Year_week_DC],Demand_Modeling_Week_level!$A200)</f>
        <v>4167007</v>
      </c>
      <c r="M200">
        <f t="shared" si="19"/>
        <v>5094939.32</v>
      </c>
      <c r="N200">
        <f>VLOOKUP(A200,Capacity!B:G,6,FALSE)</f>
        <v>4274982.9000000004</v>
      </c>
      <c r="O200" s="20">
        <f t="shared" si="20"/>
        <v>0.97474237850167766</v>
      </c>
      <c r="P200">
        <f t="shared" si="21"/>
        <v>1.1918034385587835</v>
      </c>
    </row>
    <row r="201" spans="1:16" hidden="1" x14ac:dyDescent="0.3">
      <c r="A201" t="str">
        <f t="shared" si="17"/>
        <v>202243-WEO</v>
      </c>
      <c r="B201">
        <f t="shared" si="18"/>
        <v>202243</v>
      </c>
      <c r="C201" t="s">
        <v>10</v>
      </c>
      <c r="D201">
        <v>2022</v>
      </c>
      <c r="E201">
        <v>43</v>
      </c>
      <c r="F201">
        <f>SUMIFS(Table1[Modeled_Demand],Table1[Key_Year_week_DC],Demand_Modeling_Week_level!$A201,Table1[BRAND],Demand_Modeling_Week_level!F$2)</f>
        <v>0</v>
      </c>
      <c r="G201">
        <f>SUMIFS(Table1[Modeled_Demand],Table1[Key_Year_week_DC],Demand_Modeling_Week_level!$A201,Table1[BRAND],Demand_Modeling_Week_level!G$2)</f>
        <v>0</v>
      </c>
      <c r="H201">
        <f>SUMIFS(Table1[Modeled_Demand],Table1[Key_Year_week_DC],Demand_Modeling_Week_level!$A201,Table1[BRAND],Demand_Modeling_Week_level!H$2)</f>
        <v>0</v>
      </c>
      <c r="I201">
        <f>SUMIFS(Table1[Modeled_Demand],Table1[Key_Year_week_DC],Demand_Modeling_Week_level!$A201,Table1[BRAND],Demand_Modeling_Week_level!I$2)</f>
        <v>3280005.45</v>
      </c>
      <c r="J201">
        <f>SUMIFS(Table1[Modeled_Demand],Table1[Key_Year_week_DC],Demand_Modeling_Week_level!$A201,Table1[BRAND],Demand_Modeling_Week_level!J$2)</f>
        <v>0</v>
      </c>
      <c r="K201">
        <f>SUMIFS(Table1[Modeled_Demand],Table1[Key_Year_week_DC],Demand_Modeling_Week_level!$A201,Table1[BRAND],Demand_Modeling_Week_level!K$2)</f>
        <v>1852639.1800000002</v>
      </c>
      <c r="L201">
        <f>SUMIFS(Table1[Demand],Table1[Key_Year_week_DC],Demand_Modeling_Week_level!$A201)</f>
        <v>2421221</v>
      </c>
      <c r="M201">
        <f t="shared" si="19"/>
        <v>5132644.6300000008</v>
      </c>
      <c r="N201">
        <f>VLOOKUP(A201,Capacity!B:G,6,FALSE)</f>
        <v>4274982.9000000004</v>
      </c>
      <c r="O201" s="20">
        <f t="shared" si="20"/>
        <v>0.56636975085912034</v>
      </c>
      <c r="P201">
        <f t="shared" si="21"/>
        <v>1.2006234293943026</v>
      </c>
    </row>
    <row r="202" spans="1:16" hidden="1" x14ac:dyDescent="0.3">
      <c r="A202" t="str">
        <f t="shared" si="17"/>
        <v>202243-WFC</v>
      </c>
      <c r="B202">
        <f t="shared" si="18"/>
        <v>202243</v>
      </c>
      <c r="C202" t="s">
        <v>7</v>
      </c>
      <c r="D202">
        <v>2022</v>
      </c>
      <c r="E202">
        <v>43</v>
      </c>
      <c r="F202">
        <f>SUMIFS(Table1[Modeled_Demand],Table1[Key_Year_week_DC],Demand_Modeling_Week_level!$A202,Table1[BRAND],Demand_Modeling_Week_level!F$2)</f>
        <v>0</v>
      </c>
      <c r="G202">
        <f>SUMIFS(Table1[Modeled_Demand],Table1[Key_Year_week_DC],Demand_Modeling_Week_level!$A202,Table1[BRAND],Demand_Modeling_Week_level!G$2)</f>
        <v>3.8382841347763632</v>
      </c>
      <c r="H202">
        <f>SUMIFS(Table1[Modeled_Demand],Table1[Key_Year_week_DC],Demand_Modeling_Week_level!$A202,Table1[BRAND],Demand_Modeling_Week_level!H$2)</f>
        <v>0</v>
      </c>
      <c r="I202">
        <f>SUMIFS(Table1[Modeled_Demand],Table1[Key_Year_week_DC],Demand_Modeling_Week_level!$A202,Table1[BRAND],Demand_Modeling_Week_level!I$2)</f>
        <v>0</v>
      </c>
      <c r="J202">
        <f>SUMIFS(Table1[Modeled_Demand],Table1[Key_Year_week_DC],Demand_Modeling_Week_level!$A202,Table1[BRAND],Demand_Modeling_Week_level!J$2)</f>
        <v>0</v>
      </c>
      <c r="K202">
        <f>SUMIFS(Table1[Modeled_Demand],Table1[Key_Year_week_DC],Demand_Modeling_Week_level!$A202,Table1[BRAND],Demand_Modeling_Week_level!K$2)</f>
        <v>0</v>
      </c>
      <c r="L202">
        <f>SUMIFS(Table1[Demand],Table1[Key_Year_week_DC],Demand_Modeling_Week_level!$A202)</f>
        <v>2868846</v>
      </c>
      <c r="M202">
        <f t="shared" si="19"/>
        <v>3.8382841347763632</v>
      </c>
      <c r="N202">
        <f>VLOOKUP(A202,Capacity!B:G,6,FALSE)</f>
        <v>0</v>
      </c>
      <c r="O202" s="20">
        <f t="shared" si="20"/>
        <v>0</v>
      </c>
      <c r="P202">
        <f t="shared" si="21"/>
        <v>0</v>
      </c>
    </row>
    <row r="203" spans="1:16" hidden="1" x14ac:dyDescent="0.3">
      <c r="A203" t="str">
        <f t="shared" si="17"/>
        <v>202244-EAO</v>
      </c>
      <c r="B203">
        <f t="shared" si="18"/>
        <v>202244</v>
      </c>
      <c r="C203" t="s">
        <v>8</v>
      </c>
      <c r="D203">
        <v>2022</v>
      </c>
      <c r="E203">
        <v>44</v>
      </c>
      <c r="F203">
        <f>SUMIFS(Table1[Modeled_Demand],Table1[Key_Year_week_DC],Demand_Modeling_Week_level!$A203,Table1[BRAND],Demand_Modeling_Week_level!F$2)</f>
        <v>19.575932094602631</v>
      </c>
      <c r="G203">
        <f>SUMIFS(Table1[Modeled_Demand],Table1[Key_Year_week_DC],Demand_Modeling_Week_level!$A203,Table1[BRAND],Demand_Modeling_Week_level!G$2)</f>
        <v>36.413666418323821</v>
      </c>
      <c r="H203">
        <f>SUMIFS(Table1[Modeled_Demand],Table1[Key_Year_week_DC],Demand_Modeling_Week_level!$A203,Table1[BRAND],Demand_Modeling_Week_level!H$2)</f>
        <v>0</v>
      </c>
      <c r="I203">
        <f>SUMIFS(Table1[Modeled_Demand],Table1[Key_Year_week_DC],Demand_Modeling_Week_level!$A203,Table1[BRAND],Demand_Modeling_Week_level!I$2)</f>
        <v>0</v>
      </c>
      <c r="J203">
        <f>SUMIFS(Table1[Modeled_Demand],Table1[Key_Year_week_DC],Demand_Modeling_Week_level!$A203,Table1[BRAND],Demand_Modeling_Week_level!J$2)</f>
        <v>0</v>
      </c>
      <c r="K203">
        <f>SUMIFS(Table1[Modeled_Demand],Table1[Key_Year_week_DC],Demand_Modeling_Week_level!$A203,Table1[BRAND],Demand_Modeling_Week_level!K$2)</f>
        <v>2220984.5699999998</v>
      </c>
      <c r="L203">
        <f>SUMIFS(Table1[Demand],Table1[Key_Year_week_DC],Demand_Modeling_Week_level!$A203)</f>
        <v>4014530</v>
      </c>
      <c r="M203">
        <f t="shared" si="19"/>
        <v>2221040.5595985129</v>
      </c>
      <c r="N203">
        <f>VLOOKUP(A203,Capacity!B:G,6,FALSE)</f>
        <v>3150025.2</v>
      </c>
      <c r="O203" s="20">
        <f t="shared" si="20"/>
        <v>1.2744437727037865</v>
      </c>
      <c r="P203">
        <f t="shared" si="21"/>
        <v>0.70508660044958138</v>
      </c>
    </row>
    <row r="204" spans="1:16" hidden="1" x14ac:dyDescent="0.3">
      <c r="A204" t="str">
        <f t="shared" si="17"/>
        <v>202244-OCC</v>
      </c>
      <c r="B204">
        <f t="shared" si="18"/>
        <v>202244</v>
      </c>
      <c r="C204" t="s">
        <v>11</v>
      </c>
      <c r="D204">
        <v>2022</v>
      </c>
      <c r="E204">
        <v>44</v>
      </c>
      <c r="F204">
        <f>SUMIFS(Table1[Modeled_Demand],Table1[Key_Year_week_DC],Demand_Modeling_Week_level!$A204,Table1[BRAND],Demand_Modeling_Week_level!F$2)</f>
        <v>0</v>
      </c>
      <c r="G204">
        <f>SUMIFS(Table1[Modeled_Demand],Table1[Key_Year_week_DC],Demand_Modeling_Week_level!$A204,Table1[BRAND],Demand_Modeling_Week_level!G$2)</f>
        <v>0</v>
      </c>
      <c r="H204">
        <f>SUMIFS(Table1[Modeled_Demand],Table1[Key_Year_week_DC],Demand_Modeling_Week_level!$A204,Table1[BRAND],Demand_Modeling_Week_level!H$2)</f>
        <v>0</v>
      </c>
      <c r="I204">
        <f>SUMIFS(Table1[Modeled_Demand],Table1[Key_Year_week_DC],Demand_Modeling_Week_level!$A204,Table1[BRAND],Demand_Modeling_Week_level!I$2)</f>
        <v>1451814.9</v>
      </c>
      <c r="J204">
        <f>SUMIFS(Table1[Modeled_Demand],Table1[Key_Year_week_DC],Demand_Modeling_Week_level!$A204,Table1[BRAND],Demand_Modeling_Week_level!J$2)</f>
        <v>0</v>
      </c>
      <c r="K204">
        <f>SUMIFS(Table1[Modeled_Demand],Table1[Key_Year_week_DC],Demand_Modeling_Week_level!$A204,Table1[BRAND],Demand_Modeling_Week_level!K$2)</f>
        <v>4759252.6500000004</v>
      </c>
      <c r="L204">
        <f>SUMIFS(Table1[Demand],Table1[Key_Year_week_DC],Demand_Modeling_Week_level!$A204)</f>
        <v>0</v>
      </c>
      <c r="M204">
        <f t="shared" si="19"/>
        <v>6211067.5500000007</v>
      </c>
      <c r="N204">
        <f>VLOOKUP(A204,Capacity!B:G,6,FALSE)</f>
        <v>8819968.5</v>
      </c>
      <c r="O204" s="20">
        <f t="shared" si="20"/>
        <v>0</v>
      </c>
      <c r="P204">
        <f t="shared" si="21"/>
        <v>0.7042051850865455</v>
      </c>
    </row>
    <row r="205" spans="1:16" hidden="1" x14ac:dyDescent="0.3">
      <c r="A205" t="str">
        <f t="shared" si="17"/>
        <v>202244-ODC</v>
      </c>
      <c r="B205">
        <f t="shared" si="18"/>
        <v>202244</v>
      </c>
      <c r="C205" t="s">
        <v>9</v>
      </c>
      <c r="D205">
        <v>2022</v>
      </c>
      <c r="E205">
        <v>44</v>
      </c>
      <c r="F205">
        <f>SUMIFS(Table1[Modeled_Demand],Table1[Key_Year_week_DC],Demand_Modeling_Week_level!$A205,Table1[BRAND],Demand_Modeling_Week_level!F$2)</f>
        <v>0</v>
      </c>
      <c r="G205">
        <f>SUMIFS(Table1[Modeled_Demand],Table1[Key_Year_week_DC],Demand_Modeling_Week_level!$A205,Table1[BRAND],Demand_Modeling_Week_level!G$2)</f>
        <v>0</v>
      </c>
      <c r="H205">
        <f>SUMIFS(Table1[Modeled_Demand],Table1[Key_Year_week_DC],Demand_Modeling_Week_level!$A205,Table1[BRAND],Demand_Modeling_Week_level!H$2)</f>
        <v>0</v>
      </c>
      <c r="I205">
        <f>SUMIFS(Table1[Modeled_Demand],Table1[Key_Year_week_DC],Demand_Modeling_Week_level!$A205,Table1[BRAND],Demand_Modeling_Week_level!I$2)</f>
        <v>0</v>
      </c>
      <c r="J205">
        <f>SUMIFS(Table1[Modeled_Demand],Table1[Key_Year_week_DC],Demand_Modeling_Week_level!$A205,Table1[BRAND],Demand_Modeling_Week_level!J$2)</f>
        <v>0</v>
      </c>
      <c r="K205">
        <f>SUMIFS(Table1[Modeled_Demand],Table1[Key_Year_week_DC],Demand_Modeling_Week_level!$A205,Table1[BRAND],Demand_Modeling_Week_level!K$2)</f>
        <v>0</v>
      </c>
      <c r="L205">
        <f>SUMIFS(Table1[Demand],Table1[Key_Year_week_DC],Demand_Modeling_Week_level!$A205)</f>
        <v>0</v>
      </c>
      <c r="M205">
        <f t="shared" si="19"/>
        <v>0</v>
      </c>
      <c r="N205" t="e">
        <f>VLOOKUP(A205,Capacity!B:G,6,FALSE)</f>
        <v>#N/A</v>
      </c>
      <c r="O205" s="20">
        <f t="shared" si="20"/>
        <v>0</v>
      </c>
      <c r="P205">
        <f t="shared" si="21"/>
        <v>0</v>
      </c>
    </row>
    <row r="206" spans="1:16" hidden="1" x14ac:dyDescent="0.3">
      <c r="A206" t="str">
        <f t="shared" si="17"/>
        <v>202244-OFC</v>
      </c>
      <c r="B206">
        <f t="shared" si="18"/>
        <v>202244</v>
      </c>
      <c r="C206" t="s">
        <v>5</v>
      </c>
      <c r="D206">
        <v>2022</v>
      </c>
      <c r="E206">
        <v>44</v>
      </c>
      <c r="F206">
        <f>SUMIFS(Table1[Modeled_Demand],Table1[Key_Year_week_DC],Demand_Modeling_Week_level!$A206,Table1[BRAND],Demand_Modeling_Week_level!F$2)</f>
        <v>0</v>
      </c>
      <c r="G206">
        <f>SUMIFS(Table1[Modeled_Demand],Table1[Key_Year_week_DC],Demand_Modeling_Week_level!$A206,Table1[BRAND],Demand_Modeling_Week_level!G$2)</f>
        <v>0</v>
      </c>
      <c r="H206">
        <f>SUMIFS(Table1[Modeled_Demand],Table1[Key_Year_week_DC],Demand_Modeling_Week_level!$A206,Table1[BRAND],Demand_Modeling_Week_level!H$2)</f>
        <v>644370</v>
      </c>
      <c r="I206">
        <f>SUMIFS(Table1[Modeled_Demand],Table1[Key_Year_week_DC],Demand_Modeling_Week_level!$A206,Table1[BRAND],Demand_Modeling_Week_level!I$2)</f>
        <v>0</v>
      </c>
      <c r="J206">
        <f>SUMIFS(Table1[Modeled_Demand],Table1[Key_Year_week_DC],Demand_Modeling_Week_level!$A206,Table1[BRAND],Demand_Modeling_Week_level!J$2)</f>
        <v>2086977</v>
      </c>
      <c r="K206">
        <f>SUMIFS(Table1[Modeled_Demand],Table1[Key_Year_week_DC],Demand_Modeling_Week_level!$A206,Table1[BRAND],Demand_Modeling_Week_level!K$2)</f>
        <v>951850.52999999991</v>
      </c>
      <c r="L206">
        <f>SUMIFS(Table1[Demand],Table1[Key_Year_week_DC],Demand_Modeling_Week_level!$A206)</f>
        <v>9085467</v>
      </c>
      <c r="M206">
        <f t="shared" si="19"/>
        <v>3683197.53</v>
      </c>
      <c r="N206">
        <f>VLOOKUP(A206,Capacity!B:G,6,FALSE)</f>
        <v>4410012.6000000099</v>
      </c>
      <c r="O206" s="20">
        <f t="shared" si="20"/>
        <v>2.060190712380273</v>
      </c>
      <c r="P206">
        <f t="shared" si="21"/>
        <v>0.83518979741690347</v>
      </c>
    </row>
    <row r="207" spans="1:16" hidden="1" x14ac:dyDescent="0.3">
      <c r="A207" t="str">
        <f t="shared" si="17"/>
        <v>202244-SFS</v>
      </c>
      <c r="B207">
        <f t="shared" si="18"/>
        <v>202244</v>
      </c>
      <c r="C207" t="s">
        <v>12</v>
      </c>
      <c r="D207">
        <v>2022</v>
      </c>
      <c r="E207">
        <v>44</v>
      </c>
      <c r="F207">
        <f>SUMIFS(Table1[Modeled_Demand],Table1[Key_Year_week_DC],Demand_Modeling_Week_level!$A207,Table1[BRAND],Demand_Modeling_Week_level!F$2)</f>
        <v>0</v>
      </c>
      <c r="G207">
        <f>SUMIFS(Table1[Modeled_Demand],Table1[Key_Year_week_DC],Demand_Modeling_Week_level!$A207,Table1[BRAND],Demand_Modeling_Week_level!G$2)</f>
        <v>0</v>
      </c>
      <c r="H207">
        <f>SUMIFS(Table1[Modeled_Demand],Table1[Key_Year_week_DC],Demand_Modeling_Week_level!$A207,Table1[BRAND],Demand_Modeling_Week_level!H$2)</f>
        <v>0</v>
      </c>
      <c r="I207">
        <f>SUMIFS(Table1[Modeled_Demand],Table1[Key_Year_week_DC],Demand_Modeling_Week_level!$A207,Table1[BRAND],Demand_Modeling_Week_level!I$2)</f>
        <v>0</v>
      </c>
      <c r="J207">
        <f>SUMIFS(Table1[Modeled_Demand],Table1[Key_Year_week_DC],Demand_Modeling_Week_level!$A207,Table1[BRAND],Demand_Modeling_Week_level!J$2)</f>
        <v>0</v>
      </c>
      <c r="K207">
        <f>SUMIFS(Table1[Modeled_Demand],Table1[Key_Year_week_DC],Demand_Modeling_Week_level!$A207,Table1[BRAND],Demand_Modeling_Week_level!K$2)</f>
        <v>0</v>
      </c>
      <c r="L207">
        <f>SUMIFS(Table1[Demand],Table1[Key_Year_week_DC],Demand_Modeling_Week_level!$A207)</f>
        <v>0</v>
      </c>
      <c r="M207">
        <f t="shared" si="19"/>
        <v>0</v>
      </c>
      <c r="N207" t="e">
        <f>VLOOKUP(A207,Capacity!B:G,6,FALSE)</f>
        <v>#N/A</v>
      </c>
      <c r="O207" s="20">
        <f t="shared" si="20"/>
        <v>0</v>
      </c>
      <c r="P207">
        <f t="shared" si="21"/>
        <v>0</v>
      </c>
    </row>
    <row r="208" spans="1:16" hidden="1" x14ac:dyDescent="0.3">
      <c r="A208" t="str">
        <f t="shared" si="17"/>
        <v>202244-TFC</v>
      </c>
      <c r="B208">
        <f t="shared" si="18"/>
        <v>202244</v>
      </c>
      <c r="C208" t="s">
        <v>6</v>
      </c>
      <c r="D208">
        <v>2022</v>
      </c>
      <c r="E208">
        <v>44</v>
      </c>
      <c r="F208">
        <f>SUMIFS(Table1[Modeled_Demand],Table1[Key_Year_week_DC],Demand_Modeling_Week_level!$A208,Table1[BRAND],Demand_Modeling_Week_level!F$2)</f>
        <v>567892</v>
      </c>
      <c r="G208">
        <f>SUMIFS(Table1[Modeled_Demand],Table1[Key_Year_week_DC],Demand_Modeling_Week_level!$A208,Table1[BRAND],Demand_Modeling_Week_level!G$2)</f>
        <v>860030</v>
      </c>
      <c r="H208">
        <f>SUMIFS(Table1[Modeled_Demand],Table1[Key_Year_week_DC],Demand_Modeling_Week_level!$A208,Table1[BRAND],Demand_Modeling_Week_level!H$2)</f>
        <v>0</v>
      </c>
      <c r="I208">
        <f>SUMIFS(Table1[Modeled_Demand],Table1[Key_Year_week_DC],Demand_Modeling_Week_level!$A208,Table1[BRAND],Demand_Modeling_Week_level!I$2)</f>
        <v>1209845.75</v>
      </c>
      <c r="J208">
        <f>SUMIFS(Table1[Modeled_Demand],Table1[Key_Year_week_DC],Demand_Modeling_Week_level!$A208,Table1[BRAND],Demand_Modeling_Week_level!J$2)</f>
        <v>0</v>
      </c>
      <c r="K208">
        <f>SUMIFS(Table1[Modeled_Demand],Table1[Key_Year_week_DC],Demand_Modeling_Week_level!$A208,Table1[BRAND],Demand_Modeling_Week_level!K$2)</f>
        <v>1163372.8700000001</v>
      </c>
      <c r="L208">
        <f>SUMIFS(Table1[Demand],Table1[Key_Year_week_DC],Demand_Modeling_Week_level!$A208)</f>
        <v>2616702</v>
      </c>
      <c r="M208">
        <f t="shared" si="19"/>
        <v>3801140.62</v>
      </c>
      <c r="N208">
        <f>VLOOKUP(A208,Capacity!B:G,6,FALSE)</f>
        <v>4724981.1000000099</v>
      </c>
      <c r="O208" s="20">
        <f t="shared" si="20"/>
        <v>0.55380158028568505</v>
      </c>
      <c r="P208">
        <f t="shared" si="21"/>
        <v>0.80447742320069648</v>
      </c>
    </row>
    <row r="209" spans="1:16" hidden="1" x14ac:dyDescent="0.3">
      <c r="A209" t="str">
        <f t="shared" si="17"/>
        <v>202244-WEO</v>
      </c>
      <c r="B209">
        <f t="shared" si="18"/>
        <v>202244</v>
      </c>
      <c r="C209" t="s">
        <v>10</v>
      </c>
      <c r="D209">
        <v>2022</v>
      </c>
      <c r="E209">
        <v>44</v>
      </c>
      <c r="F209">
        <f>SUMIFS(Table1[Modeled_Demand],Table1[Key_Year_week_DC],Demand_Modeling_Week_level!$A209,Table1[BRAND],Demand_Modeling_Week_level!F$2)</f>
        <v>0</v>
      </c>
      <c r="G209">
        <f>SUMIFS(Table1[Modeled_Demand],Table1[Key_Year_week_DC],Demand_Modeling_Week_level!$A209,Table1[BRAND],Demand_Modeling_Week_level!G$2)</f>
        <v>0</v>
      </c>
      <c r="H209">
        <f>SUMIFS(Table1[Modeled_Demand],Table1[Key_Year_week_DC],Demand_Modeling_Week_level!$A209,Table1[BRAND],Demand_Modeling_Week_level!H$2)</f>
        <v>0</v>
      </c>
      <c r="I209">
        <f>SUMIFS(Table1[Modeled_Demand],Table1[Key_Year_week_DC],Demand_Modeling_Week_level!$A209,Table1[BRAND],Demand_Modeling_Week_level!I$2)</f>
        <v>2177722.35</v>
      </c>
      <c r="J209">
        <f>SUMIFS(Table1[Modeled_Demand],Table1[Key_Year_week_DC],Demand_Modeling_Week_level!$A209,Table1[BRAND],Demand_Modeling_Week_level!J$2)</f>
        <v>0</v>
      </c>
      <c r="K209">
        <f>SUMIFS(Table1[Modeled_Demand],Table1[Key_Year_week_DC],Demand_Modeling_Week_level!$A209,Table1[BRAND],Demand_Modeling_Week_level!K$2)</f>
        <v>1480656.3800000001</v>
      </c>
      <c r="L209">
        <f>SUMIFS(Table1[Demand],Table1[Key_Year_week_DC],Demand_Modeling_Week_level!$A209)</f>
        <v>1595607</v>
      </c>
      <c r="M209">
        <f t="shared" si="19"/>
        <v>3658378.7300000004</v>
      </c>
      <c r="N209">
        <f>VLOOKUP(A209,Capacity!B:G,6,FALSE)</f>
        <v>4724981.1000000099</v>
      </c>
      <c r="O209" s="20">
        <f t="shared" si="20"/>
        <v>0.33769595395841828</v>
      </c>
      <c r="P209">
        <f t="shared" si="21"/>
        <v>0.77426314572983013</v>
      </c>
    </row>
    <row r="210" spans="1:16" hidden="1" x14ac:dyDescent="0.3">
      <c r="A210" t="str">
        <f t="shared" si="17"/>
        <v>202244-WFC</v>
      </c>
      <c r="B210">
        <f t="shared" si="18"/>
        <v>202244</v>
      </c>
      <c r="C210" t="s">
        <v>7</v>
      </c>
      <c r="D210">
        <v>2022</v>
      </c>
      <c r="E210">
        <v>44</v>
      </c>
      <c r="F210">
        <f>SUMIFS(Table1[Modeled_Demand],Table1[Key_Year_week_DC],Demand_Modeling_Week_level!$A210,Table1[BRAND],Demand_Modeling_Week_level!F$2)</f>
        <v>0</v>
      </c>
      <c r="G210">
        <f>SUMIFS(Table1[Modeled_Demand],Table1[Key_Year_week_DC],Demand_Modeling_Week_level!$A210,Table1[BRAND],Demand_Modeling_Week_level!G$2)</f>
        <v>3.0066330070175629</v>
      </c>
      <c r="H210">
        <f>SUMIFS(Table1[Modeled_Demand],Table1[Key_Year_week_DC],Demand_Modeling_Week_level!$A210,Table1[BRAND],Demand_Modeling_Week_level!H$2)</f>
        <v>0</v>
      </c>
      <c r="I210">
        <f>SUMIFS(Table1[Modeled_Demand],Table1[Key_Year_week_DC],Demand_Modeling_Week_level!$A210,Table1[BRAND],Demand_Modeling_Week_level!I$2)</f>
        <v>0</v>
      </c>
      <c r="J210">
        <f>SUMIFS(Table1[Modeled_Demand],Table1[Key_Year_week_DC],Demand_Modeling_Week_level!$A210,Table1[BRAND],Demand_Modeling_Week_level!J$2)</f>
        <v>0</v>
      </c>
      <c r="K210">
        <f>SUMIFS(Table1[Modeled_Demand],Table1[Key_Year_week_DC],Demand_Modeling_Week_level!$A210,Table1[BRAND],Demand_Modeling_Week_level!K$2)</f>
        <v>0</v>
      </c>
      <c r="L210">
        <f>SUMIFS(Table1[Demand],Table1[Key_Year_week_DC],Demand_Modeling_Week_level!$A210)</f>
        <v>2262463</v>
      </c>
      <c r="M210">
        <f t="shared" si="19"/>
        <v>3.0066330070175629</v>
      </c>
      <c r="N210">
        <f>VLOOKUP(A210,Capacity!B:G,6,FALSE)</f>
        <v>0</v>
      </c>
      <c r="O210" s="20">
        <f t="shared" si="20"/>
        <v>0</v>
      </c>
      <c r="P210">
        <f t="shared" si="21"/>
        <v>0</v>
      </c>
    </row>
    <row r="211" spans="1:16" hidden="1" x14ac:dyDescent="0.3">
      <c r="A211" t="str">
        <f t="shared" si="17"/>
        <v>202245-EAO</v>
      </c>
      <c r="B211">
        <f t="shared" si="18"/>
        <v>202245</v>
      </c>
      <c r="C211" t="s">
        <v>8</v>
      </c>
      <c r="D211">
        <v>2022</v>
      </c>
      <c r="E211">
        <v>45</v>
      </c>
      <c r="F211">
        <f>SUMIFS(Table1[Modeled_Demand],Table1[Key_Year_week_DC],Demand_Modeling_Week_level!$A211,Table1[BRAND],Demand_Modeling_Week_level!F$2)</f>
        <v>12.576136494393086</v>
      </c>
      <c r="G211">
        <f>SUMIFS(Table1[Modeled_Demand],Table1[Key_Year_week_DC],Demand_Modeling_Week_level!$A211,Table1[BRAND],Demand_Modeling_Week_level!G$2)</f>
        <v>17.546498637739774</v>
      </c>
      <c r="H211">
        <f>SUMIFS(Table1[Modeled_Demand],Table1[Key_Year_week_DC],Demand_Modeling_Week_level!$A211,Table1[BRAND],Demand_Modeling_Week_level!H$2)</f>
        <v>0</v>
      </c>
      <c r="I211">
        <f>SUMIFS(Table1[Modeled_Demand],Table1[Key_Year_week_DC],Demand_Modeling_Week_level!$A211,Table1[BRAND],Demand_Modeling_Week_level!I$2)</f>
        <v>0</v>
      </c>
      <c r="J211">
        <f>SUMIFS(Table1[Modeled_Demand],Table1[Key_Year_week_DC],Demand_Modeling_Week_level!$A211,Table1[BRAND],Demand_Modeling_Week_level!J$2)</f>
        <v>0</v>
      </c>
      <c r="K211">
        <f>SUMIFS(Table1[Modeled_Demand],Table1[Key_Year_week_DC],Demand_Modeling_Week_level!$A211,Table1[BRAND],Demand_Modeling_Week_level!K$2)</f>
        <v>1169837.76</v>
      </c>
      <c r="L211">
        <f>SUMIFS(Table1[Demand],Table1[Key_Year_week_DC],Demand_Modeling_Week_level!$A211)</f>
        <v>1414277</v>
      </c>
      <c r="M211">
        <f t="shared" si="19"/>
        <v>1169867.8826351322</v>
      </c>
      <c r="N211">
        <f>VLOOKUP(A211,Capacity!B:G,6,FALSE)</f>
        <v>3150025.2</v>
      </c>
      <c r="O211" s="20">
        <f t="shared" si="20"/>
        <v>0.44897323361095648</v>
      </c>
      <c r="P211">
        <f t="shared" si="21"/>
        <v>0.37138365833871173</v>
      </c>
    </row>
    <row r="212" spans="1:16" hidden="1" x14ac:dyDescent="0.3">
      <c r="A212" t="str">
        <f t="shared" ref="A212:A218" si="22">B212&amp;"-"&amp;C212</f>
        <v>202245-OCC</v>
      </c>
      <c r="B212">
        <f t="shared" ref="B212:B218" si="23">D212*100+E212</f>
        <v>202245</v>
      </c>
      <c r="C212" t="s">
        <v>11</v>
      </c>
      <c r="D212">
        <v>2022</v>
      </c>
      <c r="E212">
        <v>45</v>
      </c>
      <c r="F212">
        <f>SUMIFS(Table1[Modeled_Demand],Table1[Key_Year_week_DC],Demand_Modeling_Week_level!$A212,Table1[BRAND],Demand_Modeling_Week_level!F$2)</f>
        <v>0</v>
      </c>
      <c r="G212">
        <f>SUMIFS(Table1[Modeled_Demand],Table1[Key_Year_week_DC],Demand_Modeling_Week_level!$A212,Table1[BRAND],Demand_Modeling_Week_level!G$2)</f>
        <v>0</v>
      </c>
      <c r="H212">
        <f>SUMIFS(Table1[Modeled_Demand],Table1[Key_Year_week_DC],Demand_Modeling_Week_level!$A212,Table1[BRAND],Demand_Modeling_Week_level!H$2)</f>
        <v>0</v>
      </c>
      <c r="I212">
        <f>SUMIFS(Table1[Modeled_Demand],Table1[Key_Year_week_DC],Demand_Modeling_Week_level!$A212,Table1[BRAND],Demand_Modeling_Week_level!I$2)</f>
        <v>580531.5</v>
      </c>
      <c r="J212">
        <f>SUMIFS(Table1[Modeled_Demand],Table1[Key_Year_week_DC],Demand_Modeling_Week_level!$A212,Table1[BRAND],Demand_Modeling_Week_level!J$2)</f>
        <v>0</v>
      </c>
      <c r="K212">
        <f>SUMIFS(Table1[Modeled_Demand],Table1[Key_Year_week_DC],Demand_Modeling_Week_level!$A212,Table1[BRAND],Demand_Modeling_Week_level!K$2)</f>
        <v>2506795.2000000002</v>
      </c>
      <c r="L212">
        <f>SUMIFS(Table1[Demand],Table1[Key_Year_week_DC],Demand_Modeling_Week_level!$A212)</f>
        <v>0</v>
      </c>
      <c r="M212">
        <f t="shared" si="19"/>
        <v>3087326.7</v>
      </c>
      <c r="N212">
        <f>VLOOKUP(A212,Capacity!B:G,6,FALSE)</f>
        <v>8819968.5</v>
      </c>
      <c r="O212" s="20">
        <f t="shared" si="20"/>
        <v>0</v>
      </c>
      <c r="P212">
        <f t="shared" si="21"/>
        <v>0.35003829095307998</v>
      </c>
    </row>
    <row r="213" spans="1:16" hidden="1" x14ac:dyDescent="0.3">
      <c r="A213" t="str">
        <f t="shared" si="22"/>
        <v>202245-ODC</v>
      </c>
      <c r="B213">
        <f t="shared" si="23"/>
        <v>202245</v>
      </c>
      <c r="C213" t="s">
        <v>9</v>
      </c>
      <c r="D213">
        <v>2022</v>
      </c>
      <c r="E213">
        <v>45</v>
      </c>
      <c r="F213">
        <f>SUMIFS(Table1[Modeled_Demand],Table1[Key_Year_week_DC],Demand_Modeling_Week_level!$A213,Table1[BRAND],Demand_Modeling_Week_level!F$2)</f>
        <v>0</v>
      </c>
      <c r="G213">
        <f>SUMIFS(Table1[Modeled_Demand],Table1[Key_Year_week_DC],Demand_Modeling_Week_level!$A213,Table1[BRAND],Demand_Modeling_Week_level!G$2)</f>
        <v>0</v>
      </c>
      <c r="H213">
        <f>SUMIFS(Table1[Modeled_Demand],Table1[Key_Year_week_DC],Demand_Modeling_Week_level!$A213,Table1[BRAND],Demand_Modeling_Week_level!H$2)</f>
        <v>0</v>
      </c>
      <c r="I213">
        <f>SUMIFS(Table1[Modeled_Demand],Table1[Key_Year_week_DC],Demand_Modeling_Week_level!$A213,Table1[BRAND],Demand_Modeling_Week_level!I$2)</f>
        <v>0</v>
      </c>
      <c r="J213">
        <f>SUMIFS(Table1[Modeled_Demand],Table1[Key_Year_week_DC],Demand_Modeling_Week_level!$A213,Table1[BRAND],Demand_Modeling_Week_level!J$2)</f>
        <v>0</v>
      </c>
      <c r="K213">
        <f>SUMIFS(Table1[Modeled_Demand],Table1[Key_Year_week_DC],Demand_Modeling_Week_level!$A213,Table1[BRAND],Demand_Modeling_Week_level!K$2)</f>
        <v>0</v>
      </c>
      <c r="L213">
        <f>SUMIFS(Table1[Demand],Table1[Key_Year_week_DC],Demand_Modeling_Week_level!$A213)</f>
        <v>0</v>
      </c>
      <c r="M213">
        <f t="shared" si="19"/>
        <v>0</v>
      </c>
      <c r="N213" t="e">
        <f>VLOOKUP(A213,Capacity!B:G,6,FALSE)</f>
        <v>#N/A</v>
      </c>
      <c r="O213" s="20">
        <f t="shared" si="20"/>
        <v>0</v>
      </c>
      <c r="P213">
        <f t="shared" si="21"/>
        <v>0</v>
      </c>
    </row>
    <row r="214" spans="1:16" hidden="1" x14ac:dyDescent="0.3">
      <c r="A214" t="str">
        <f t="shared" si="22"/>
        <v>202245-OFC</v>
      </c>
      <c r="B214">
        <f t="shared" si="23"/>
        <v>202245</v>
      </c>
      <c r="C214" t="s">
        <v>5</v>
      </c>
      <c r="D214">
        <v>2022</v>
      </c>
      <c r="E214">
        <v>45</v>
      </c>
      <c r="F214">
        <f>SUMIFS(Table1[Modeled_Demand],Table1[Key_Year_week_DC],Demand_Modeling_Week_level!$A214,Table1[BRAND],Demand_Modeling_Week_level!F$2)</f>
        <v>0</v>
      </c>
      <c r="G214">
        <f>SUMIFS(Table1[Modeled_Demand],Table1[Key_Year_week_DC],Demand_Modeling_Week_level!$A214,Table1[BRAND],Demand_Modeling_Week_level!G$2)</f>
        <v>0</v>
      </c>
      <c r="H214">
        <f>SUMIFS(Table1[Modeled_Demand],Table1[Key_Year_week_DC],Demand_Modeling_Week_level!$A214,Table1[BRAND],Demand_Modeling_Week_level!H$2)</f>
        <v>177663</v>
      </c>
      <c r="I214">
        <f>SUMIFS(Table1[Modeled_Demand],Table1[Key_Year_week_DC],Demand_Modeling_Week_level!$A214,Table1[BRAND],Demand_Modeling_Week_level!I$2)</f>
        <v>0</v>
      </c>
      <c r="J214">
        <f>SUMIFS(Table1[Modeled_Demand],Table1[Key_Year_week_DC],Demand_Modeling_Week_level!$A214,Table1[BRAND],Demand_Modeling_Week_level!J$2)</f>
        <v>744755</v>
      </c>
      <c r="K214">
        <f>SUMIFS(Table1[Modeled_Demand],Table1[Key_Year_week_DC],Demand_Modeling_Week_level!$A214,Table1[BRAND],Demand_Modeling_Week_level!K$2)</f>
        <v>501359.04</v>
      </c>
      <c r="L214">
        <f>SUMIFS(Table1[Demand],Table1[Key_Year_week_DC],Demand_Modeling_Week_level!$A214)</f>
        <v>3964752</v>
      </c>
      <c r="M214">
        <f t="shared" si="19"/>
        <v>1423777.04</v>
      </c>
      <c r="N214">
        <f>VLOOKUP(A214,Capacity!B:G,6,FALSE)</f>
        <v>4410012.6000000099</v>
      </c>
      <c r="O214" s="20">
        <f t="shared" si="20"/>
        <v>0.89903416602482977</v>
      </c>
      <c r="P214">
        <f t="shared" si="21"/>
        <v>0.32285101407646699</v>
      </c>
    </row>
    <row r="215" spans="1:16" hidden="1" x14ac:dyDescent="0.3">
      <c r="A215" t="str">
        <f t="shared" si="22"/>
        <v>202245-SFS</v>
      </c>
      <c r="B215">
        <f t="shared" si="23"/>
        <v>202245</v>
      </c>
      <c r="C215" t="s">
        <v>12</v>
      </c>
      <c r="D215">
        <v>2022</v>
      </c>
      <c r="E215">
        <v>45</v>
      </c>
      <c r="F215">
        <f>SUMIFS(Table1[Modeled_Demand],Table1[Key_Year_week_DC],Demand_Modeling_Week_level!$A215,Table1[BRAND],Demand_Modeling_Week_level!F$2)</f>
        <v>0</v>
      </c>
      <c r="G215">
        <f>SUMIFS(Table1[Modeled_Demand],Table1[Key_Year_week_DC],Demand_Modeling_Week_level!$A215,Table1[BRAND],Demand_Modeling_Week_level!G$2)</f>
        <v>0</v>
      </c>
      <c r="H215">
        <f>SUMIFS(Table1[Modeled_Demand],Table1[Key_Year_week_DC],Demand_Modeling_Week_level!$A215,Table1[BRAND],Demand_Modeling_Week_level!H$2)</f>
        <v>0</v>
      </c>
      <c r="I215">
        <f>SUMIFS(Table1[Modeled_Demand],Table1[Key_Year_week_DC],Demand_Modeling_Week_level!$A215,Table1[BRAND],Demand_Modeling_Week_level!I$2)</f>
        <v>0</v>
      </c>
      <c r="J215">
        <f>SUMIFS(Table1[Modeled_Demand],Table1[Key_Year_week_DC],Demand_Modeling_Week_level!$A215,Table1[BRAND],Demand_Modeling_Week_level!J$2)</f>
        <v>0</v>
      </c>
      <c r="K215">
        <f>SUMIFS(Table1[Modeled_Demand],Table1[Key_Year_week_DC],Demand_Modeling_Week_level!$A215,Table1[BRAND],Demand_Modeling_Week_level!K$2)</f>
        <v>0</v>
      </c>
      <c r="L215">
        <f>SUMIFS(Table1[Demand],Table1[Key_Year_week_DC],Demand_Modeling_Week_level!$A215)</f>
        <v>0</v>
      </c>
      <c r="M215">
        <f t="shared" si="19"/>
        <v>0</v>
      </c>
      <c r="N215" t="e">
        <f>VLOOKUP(A215,Capacity!B:G,6,FALSE)</f>
        <v>#N/A</v>
      </c>
      <c r="O215" s="20">
        <f t="shared" si="20"/>
        <v>0</v>
      </c>
      <c r="P215">
        <f t="shared" si="21"/>
        <v>0</v>
      </c>
    </row>
    <row r="216" spans="1:16" hidden="1" x14ac:dyDescent="0.3">
      <c r="A216" t="str">
        <f t="shared" si="22"/>
        <v>202245-TFC</v>
      </c>
      <c r="B216">
        <f t="shared" si="23"/>
        <v>202245</v>
      </c>
      <c r="C216" t="s">
        <v>6</v>
      </c>
      <c r="D216">
        <v>2022</v>
      </c>
      <c r="E216">
        <v>45</v>
      </c>
      <c r="F216">
        <f>SUMIFS(Table1[Modeled_Demand],Table1[Key_Year_week_DC],Demand_Modeling_Week_level!$A216,Table1[BRAND],Demand_Modeling_Week_level!F$2)</f>
        <v>364830</v>
      </c>
      <c r="G216">
        <f>SUMIFS(Table1[Modeled_Demand],Table1[Key_Year_week_DC],Demand_Modeling_Week_level!$A216,Table1[BRAND],Demand_Modeling_Week_level!G$2)</f>
        <v>414419</v>
      </c>
      <c r="H216">
        <f>SUMIFS(Table1[Modeled_Demand],Table1[Key_Year_week_DC],Demand_Modeling_Week_level!$A216,Table1[BRAND],Demand_Modeling_Week_level!H$2)</f>
        <v>0</v>
      </c>
      <c r="I216">
        <f>SUMIFS(Table1[Modeled_Demand],Table1[Key_Year_week_DC],Demand_Modeling_Week_level!$A216,Table1[BRAND],Demand_Modeling_Week_level!I$2)</f>
        <v>483776.25</v>
      </c>
      <c r="J216">
        <f>SUMIFS(Table1[Modeled_Demand],Table1[Key_Year_week_DC],Demand_Modeling_Week_level!$A216,Table1[BRAND],Demand_Modeling_Week_level!J$2)</f>
        <v>0</v>
      </c>
      <c r="K216">
        <f>SUMIFS(Table1[Modeled_Demand],Table1[Key_Year_week_DC],Demand_Modeling_Week_level!$A216,Table1[BRAND],Demand_Modeling_Week_level!K$2)</f>
        <v>612772.16</v>
      </c>
      <c r="L216">
        <f>SUMIFS(Table1[Demand],Table1[Key_Year_week_DC],Demand_Modeling_Week_level!$A216)</f>
        <v>2024654</v>
      </c>
      <c r="M216">
        <f t="shared" si="19"/>
        <v>1875797.4100000001</v>
      </c>
      <c r="N216">
        <f>VLOOKUP(A216,Capacity!B:G,6,FALSE)</f>
        <v>4724981.1000000099</v>
      </c>
      <c r="O216" s="20">
        <f t="shared" si="20"/>
        <v>0.42849991505786039</v>
      </c>
      <c r="P216">
        <f t="shared" si="21"/>
        <v>0.39699574882955535</v>
      </c>
    </row>
    <row r="217" spans="1:16" hidden="1" x14ac:dyDescent="0.3">
      <c r="A217" t="str">
        <f t="shared" si="22"/>
        <v>202245-WEO</v>
      </c>
      <c r="B217">
        <f t="shared" si="23"/>
        <v>202245</v>
      </c>
      <c r="C217" t="s">
        <v>10</v>
      </c>
      <c r="D217">
        <v>2022</v>
      </c>
      <c r="E217">
        <v>45</v>
      </c>
      <c r="F217">
        <f>SUMIFS(Table1[Modeled_Demand],Table1[Key_Year_week_DC],Demand_Modeling_Week_level!$A217,Table1[BRAND],Demand_Modeling_Week_level!F$2)</f>
        <v>0</v>
      </c>
      <c r="G217">
        <f>SUMIFS(Table1[Modeled_Demand],Table1[Key_Year_week_DC],Demand_Modeling_Week_level!$A217,Table1[BRAND],Demand_Modeling_Week_level!G$2)</f>
        <v>0</v>
      </c>
      <c r="H217">
        <f>SUMIFS(Table1[Modeled_Demand],Table1[Key_Year_week_DC],Demand_Modeling_Week_level!$A217,Table1[BRAND],Demand_Modeling_Week_level!H$2)</f>
        <v>0</v>
      </c>
      <c r="I217">
        <f>SUMIFS(Table1[Modeled_Demand],Table1[Key_Year_week_DC],Demand_Modeling_Week_level!$A217,Table1[BRAND],Demand_Modeling_Week_level!I$2)</f>
        <v>870797.25</v>
      </c>
      <c r="J217">
        <f>SUMIFS(Table1[Modeled_Demand],Table1[Key_Year_week_DC],Demand_Modeling_Week_level!$A217,Table1[BRAND],Demand_Modeling_Week_level!J$2)</f>
        <v>0</v>
      </c>
      <c r="K217">
        <f>SUMIFS(Table1[Modeled_Demand],Table1[Key_Year_week_DC],Demand_Modeling_Week_level!$A217,Table1[BRAND],Demand_Modeling_Week_level!K$2)</f>
        <v>779891.84000000008</v>
      </c>
      <c r="L217">
        <f>SUMIFS(Table1[Demand],Table1[Key_Year_week_DC],Demand_Modeling_Week_level!$A217)</f>
        <v>536118</v>
      </c>
      <c r="M217">
        <f t="shared" si="19"/>
        <v>1650689.09</v>
      </c>
      <c r="N217">
        <f>VLOOKUP(A217,Capacity!B:G,6,FALSE)</f>
        <v>4724981.1000000099</v>
      </c>
      <c r="O217" s="20">
        <f t="shared" si="20"/>
        <v>0.11346458084245012</v>
      </c>
      <c r="P217">
        <f t="shared" si="21"/>
        <v>0.34935358577413073</v>
      </c>
    </row>
    <row r="218" spans="1:16" hidden="1" x14ac:dyDescent="0.3">
      <c r="A218" t="str">
        <f t="shared" si="22"/>
        <v>202245-WFC</v>
      </c>
      <c r="B218">
        <f t="shared" si="23"/>
        <v>202245</v>
      </c>
      <c r="C218" t="s">
        <v>7</v>
      </c>
      <c r="D218">
        <v>2022</v>
      </c>
      <c r="E218">
        <v>45</v>
      </c>
      <c r="F218">
        <f>SUMIFS(Table1[Modeled_Demand],Table1[Key_Year_week_DC],Demand_Modeling_Week_level!$A218,Table1[BRAND],Demand_Modeling_Week_level!F$2)</f>
        <v>0</v>
      </c>
      <c r="G218">
        <f>SUMIFS(Table1[Modeled_Demand],Table1[Key_Year_week_DC],Demand_Modeling_Week_level!$A218,Table1[BRAND],Demand_Modeling_Week_level!G$2)</f>
        <v>1.4487934655014492</v>
      </c>
      <c r="H218">
        <f>SUMIFS(Table1[Modeled_Demand],Table1[Key_Year_week_DC],Demand_Modeling_Week_level!$A218,Table1[BRAND],Demand_Modeling_Week_level!H$2)</f>
        <v>0</v>
      </c>
      <c r="I218">
        <f>SUMIFS(Table1[Modeled_Demand],Table1[Key_Year_week_DC],Demand_Modeling_Week_level!$A218,Table1[BRAND],Demand_Modeling_Week_level!I$2)</f>
        <v>0</v>
      </c>
      <c r="J218">
        <f>SUMIFS(Table1[Modeled_Demand],Table1[Key_Year_week_DC],Demand_Modeling_Week_level!$A218,Table1[BRAND],Demand_Modeling_Week_level!J$2)</f>
        <v>0</v>
      </c>
      <c r="K218">
        <f>SUMIFS(Table1[Modeled_Demand],Table1[Key_Year_week_DC],Demand_Modeling_Week_level!$A218,Table1[BRAND],Demand_Modeling_Week_level!K$2)</f>
        <v>0</v>
      </c>
      <c r="L218">
        <f>SUMIFS(Table1[Demand],Table1[Key_Year_week_DC],Demand_Modeling_Week_level!$A218)</f>
        <v>1267627</v>
      </c>
      <c r="M218">
        <f t="shared" si="19"/>
        <v>1.4487934655014492</v>
      </c>
      <c r="N218">
        <f>VLOOKUP(A218,Capacity!B:G,6,FALSE)</f>
        <v>0</v>
      </c>
      <c r="O218" s="20">
        <f t="shared" si="20"/>
        <v>0</v>
      </c>
      <c r="P218">
        <f t="shared" si="21"/>
        <v>0</v>
      </c>
    </row>
    <row r="219" spans="1:16" hidden="1" x14ac:dyDescent="0.3">
      <c r="A219" t="str">
        <f>B219&amp;"-"&amp;C219</f>
        <v>202246-EAO</v>
      </c>
      <c r="B219">
        <f>D219*100+E219</f>
        <v>202246</v>
      </c>
      <c r="C219" t="s">
        <v>8</v>
      </c>
      <c r="D219">
        <v>2022</v>
      </c>
      <c r="E219">
        <v>46</v>
      </c>
      <c r="F219">
        <f>SUMIFS(Table1[Modeled_Demand],Table1[Key_Year_week_DC],Demand_Modeling_Week_level!$A219,Table1[BRAND],Demand_Modeling_Week_level!F$2)</f>
        <v>13.304547919613107</v>
      </c>
      <c r="G219">
        <f>SUMIFS(Table1[Modeled_Demand],Table1[Key_Year_week_DC],Demand_Modeling_Week_level!$A219,Table1[BRAND],Demand_Modeling_Week_level!G$2)</f>
        <v>15.948248483723185</v>
      </c>
      <c r="H219">
        <f>SUMIFS(Table1[Modeled_Demand],Table1[Key_Year_week_DC],Demand_Modeling_Week_level!$A219,Table1[BRAND],Demand_Modeling_Week_level!H$2)</f>
        <v>0</v>
      </c>
      <c r="I219">
        <f>SUMIFS(Table1[Modeled_Demand],Table1[Key_Year_week_DC],Demand_Modeling_Week_level!$A219,Table1[BRAND],Demand_Modeling_Week_level!I$2)</f>
        <v>0</v>
      </c>
      <c r="J219">
        <f>SUMIFS(Table1[Modeled_Demand],Table1[Key_Year_week_DC],Demand_Modeling_Week_level!$A219,Table1[BRAND],Demand_Modeling_Week_level!J$2)</f>
        <v>0</v>
      </c>
      <c r="K219">
        <f>SUMIFS(Table1[Modeled_Demand],Table1[Key_Year_week_DC],Demand_Modeling_Week_level!$A219,Table1[BRAND],Demand_Modeling_Week_level!K$2)</f>
        <v>976105.83</v>
      </c>
      <c r="L219">
        <f>SUMIFS(Table1[Demand],Table1[Key_Year_week_DC],Demand_Modeling_Week_level!$A219)</f>
        <v>1504578</v>
      </c>
      <c r="M219">
        <f t="shared" si="19"/>
        <v>976135.08279640332</v>
      </c>
      <c r="N219">
        <f>VLOOKUP(A219,Capacity!B:G,6,FALSE)</f>
        <v>3150025.2</v>
      </c>
      <c r="O219" s="20">
        <f t="shared" si="20"/>
        <v>0.47763998840390226</v>
      </c>
      <c r="P219">
        <f t="shared" si="21"/>
        <v>0.30988167421530571</v>
      </c>
    </row>
    <row r="220" spans="1:16" hidden="1" x14ac:dyDescent="0.3">
      <c r="A220" t="str">
        <f t="shared" ref="A220:A283" si="24">B220&amp;"-"&amp;C220</f>
        <v>202246-OCC</v>
      </c>
      <c r="B220">
        <f t="shared" ref="B220:B283" si="25">D220*100+E220</f>
        <v>202246</v>
      </c>
      <c r="C220" t="s">
        <v>11</v>
      </c>
      <c r="D220">
        <v>2022</v>
      </c>
      <c r="E220">
        <v>46</v>
      </c>
      <c r="F220">
        <f>SUMIFS(Table1[Modeled_Demand],Table1[Key_Year_week_DC],Demand_Modeling_Week_level!$A220,Table1[BRAND],Demand_Modeling_Week_level!F$2)</f>
        <v>0</v>
      </c>
      <c r="G220">
        <f>SUMIFS(Table1[Modeled_Demand],Table1[Key_Year_week_DC],Demand_Modeling_Week_level!$A220,Table1[BRAND],Demand_Modeling_Week_level!G$2)</f>
        <v>0</v>
      </c>
      <c r="H220">
        <f>SUMIFS(Table1[Modeled_Demand],Table1[Key_Year_week_DC],Demand_Modeling_Week_level!$A220,Table1[BRAND],Demand_Modeling_Week_level!H$2)</f>
        <v>0</v>
      </c>
      <c r="I220">
        <f>SUMIFS(Table1[Modeled_Demand],Table1[Key_Year_week_DC],Demand_Modeling_Week_level!$A220,Table1[BRAND],Demand_Modeling_Week_level!I$2)</f>
        <v>533547.29999999993</v>
      </c>
      <c r="J220">
        <f>SUMIFS(Table1[Modeled_Demand],Table1[Key_Year_week_DC],Demand_Modeling_Week_level!$A220,Table1[BRAND],Demand_Modeling_Week_level!J$2)</f>
        <v>0</v>
      </c>
      <c r="K220">
        <f>SUMIFS(Table1[Modeled_Demand],Table1[Key_Year_week_DC],Demand_Modeling_Week_level!$A220,Table1[BRAND],Demand_Modeling_Week_level!K$2)</f>
        <v>2091655.35</v>
      </c>
      <c r="L220">
        <f>SUMIFS(Table1[Demand],Table1[Key_Year_week_DC],Demand_Modeling_Week_level!$A220)</f>
        <v>0</v>
      </c>
      <c r="M220">
        <f t="shared" si="19"/>
        <v>2625202.65</v>
      </c>
      <c r="N220">
        <f>VLOOKUP(A220,Capacity!B:G,6,FALSE)</f>
        <v>8819968.5</v>
      </c>
      <c r="O220" s="20">
        <f t="shared" si="20"/>
        <v>0</v>
      </c>
      <c r="P220">
        <f t="shared" si="21"/>
        <v>0.29764308682054813</v>
      </c>
    </row>
    <row r="221" spans="1:16" hidden="1" x14ac:dyDescent="0.3">
      <c r="A221" t="str">
        <f t="shared" si="24"/>
        <v>202246-ODC</v>
      </c>
      <c r="B221">
        <f t="shared" si="25"/>
        <v>202246</v>
      </c>
      <c r="C221" t="s">
        <v>9</v>
      </c>
      <c r="D221">
        <v>2022</v>
      </c>
      <c r="E221">
        <v>46</v>
      </c>
      <c r="F221">
        <f>SUMIFS(Table1[Modeled_Demand],Table1[Key_Year_week_DC],Demand_Modeling_Week_level!$A221,Table1[BRAND],Demand_Modeling_Week_level!F$2)</f>
        <v>0</v>
      </c>
      <c r="G221">
        <f>SUMIFS(Table1[Modeled_Demand],Table1[Key_Year_week_DC],Demand_Modeling_Week_level!$A221,Table1[BRAND],Demand_Modeling_Week_level!G$2)</f>
        <v>0</v>
      </c>
      <c r="H221">
        <f>SUMIFS(Table1[Modeled_Demand],Table1[Key_Year_week_DC],Demand_Modeling_Week_level!$A221,Table1[BRAND],Demand_Modeling_Week_level!H$2)</f>
        <v>0</v>
      </c>
      <c r="I221">
        <f>SUMIFS(Table1[Modeled_Demand],Table1[Key_Year_week_DC],Demand_Modeling_Week_level!$A221,Table1[BRAND],Demand_Modeling_Week_level!I$2)</f>
        <v>0</v>
      </c>
      <c r="J221">
        <f>SUMIFS(Table1[Modeled_Demand],Table1[Key_Year_week_DC],Demand_Modeling_Week_level!$A221,Table1[BRAND],Demand_Modeling_Week_level!J$2)</f>
        <v>0</v>
      </c>
      <c r="K221">
        <f>SUMIFS(Table1[Modeled_Demand],Table1[Key_Year_week_DC],Demand_Modeling_Week_level!$A221,Table1[BRAND],Demand_Modeling_Week_level!K$2)</f>
        <v>0</v>
      </c>
      <c r="L221">
        <f>SUMIFS(Table1[Demand],Table1[Key_Year_week_DC],Demand_Modeling_Week_level!$A221)</f>
        <v>0</v>
      </c>
      <c r="M221">
        <f t="shared" si="19"/>
        <v>0</v>
      </c>
      <c r="N221" t="e">
        <f>VLOOKUP(A221,Capacity!B:G,6,FALSE)</f>
        <v>#N/A</v>
      </c>
      <c r="O221" s="20">
        <f t="shared" si="20"/>
        <v>0</v>
      </c>
      <c r="P221">
        <f t="shared" si="21"/>
        <v>0</v>
      </c>
    </row>
    <row r="222" spans="1:16" hidden="1" x14ac:dyDescent="0.3">
      <c r="A222" t="str">
        <f t="shared" si="24"/>
        <v>202246-OFC</v>
      </c>
      <c r="B222">
        <f t="shared" si="25"/>
        <v>202246</v>
      </c>
      <c r="C222" t="s">
        <v>5</v>
      </c>
      <c r="D222">
        <v>2022</v>
      </c>
      <c r="E222">
        <v>46</v>
      </c>
      <c r="F222">
        <f>SUMIFS(Table1[Modeled_Demand],Table1[Key_Year_week_DC],Demand_Modeling_Week_level!$A222,Table1[BRAND],Demand_Modeling_Week_level!F$2)</f>
        <v>0</v>
      </c>
      <c r="G222">
        <f>SUMIFS(Table1[Modeled_Demand],Table1[Key_Year_week_DC],Demand_Modeling_Week_level!$A222,Table1[BRAND],Demand_Modeling_Week_level!G$2)</f>
        <v>0</v>
      </c>
      <c r="H222">
        <f>SUMIFS(Table1[Modeled_Demand],Table1[Key_Year_week_DC],Demand_Modeling_Week_level!$A222,Table1[BRAND],Demand_Modeling_Week_level!H$2)</f>
        <v>249836</v>
      </c>
      <c r="I222">
        <f>SUMIFS(Table1[Modeled_Demand],Table1[Key_Year_week_DC],Demand_Modeling_Week_level!$A222,Table1[BRAND],Demand_Modeling_Week_level!I$2)</f>
        <v>0</v>
      </c>
      <c r="J222">
        <f>SUMIFS(Table1[Modeled_Demand],Table1[Key_Year_week_DC],Demand_Modeling_Week_level!$A222,Table1[BRAND],Demand_Modeling_Week_level!J$2)</f>
        <v>443092</v>
      </c>
      <c r="K222">
        <f>SUMIFS(Table1[Modeled_Demand],Table1[Key_Year_week_DC],Demand_Modeling_Week_level!$A222,Table1[BRAND],Demand_Modeling_Week_level!K$2)</f>
        <v>418331.07</v>
      </c>
      <c r="L222">
        <f>SUMIFS(Table1[Demand],Table1[Key_Year_week_DC],Demand_Modeling_Week_level!$A222)</f>
        <v>3475812</v>
      </c>
      <c r="M222">
        <f t="shared" si="19"/>
        <v>1111259.07</v>
      </c>
      <c r="N222">
        <f>VLOOKUP(A222,Capacity!B:G,6,FALSE)</f>
        <v>4410012.6000000099</v>
      </c>
      <c r="O222" s="20">
        <f t="shared" si="20"/>
        <v>0.78816373449817179</v>
      </c>
      <c r="P222">
        <f t="shared" si="21"/>
        <v>0.25198546371500108</v>
      </c>
    </row>
    <row r="223" spans="1:16" hidden="1" x14ac:dyDescent="0.3">
      <c r="A223" t="str">
        <f t="shared" si="24"/>
        <v>202246-SFS</v>
      </c>
      <c r="B223">
        <f t="shared" si="25"/>
        <v>202246</v>
      </c>
      <c r="C223" t="s">
        <v>12</v>
      </c>
      <c r="D223">
        <v>2022</v>
      </c>
      <c r="E223">
        <v>46</v>
      </c>
      <c r="F223">
        <f>SUMIFS(Table1[Modeled_Demand],Table1[Key_Year_week_DC],Demand_Modeling_Week_level!$A223,Table1[BRAND],Demand_Modeling_Week_level!F$2)</f>
        <v>0</v>
      </c>
      <c r="G223">
        <f>SUMIFS(Table1[Modeled_Demand],Table1[Key_Year_week_DC],Demand_Modeling_Week_level!$A223,Table1[BRAND],Demand_Modeling_Week_level!G$2)</f>
        <v>0</v>
      </c>
      <c r="H223">
        <f>SUMIFS(Table1[Modeled_Demand],Table1[Key_Year_week_DC],Demand_Modeling_Week_level!$A223,Table1[BRAND],Demand_Modeling_Week_level!H$2)</f>
        <v>0</v>
      </c>
      <c r="I223">
        <f>SUMIFS(Table1[Modeled_Demand],Table1[Key_Year_week_DC],Demand_Modeling_Week_level!$A223,Table1[BRAND],Demand_Modeling_Week_level!I$2)</f>
        <v>0</v>
      </c>
      <c r="J223">
        <f>SUMIFS(Table1[Modeled_Demand],Table1[Key_Year_week_DC],Demand_Modeling_Week_level!$A223,Table1[BRAND],Demand_Modeling_Week_level!J$2)</f>
        <v>0</v>
      </c>
      <c r="K223">
        <f>SUMIFS(Table1[Modeled_Demand],Table1[Key_Year_week_DC],Demand_Modeling_Week_level!$A223,Table1[BRAND],Demand_Modeling_Week_level!K$2)</f>
        <v>0</v>
      </c>
      <c r="L223">
        <f>SUMIFS(Table1[Demand],Table1[Key_Year_week_DC],Demand_Modeling_Week_level!$A223)</f>
        <v>0</v>
      </c>
      <c r="M223">
        <f t="shared" si="19"/>
        <v>0</v>
      </c>
      <c r="N223" t="e">
        <f>VLOOKUP(A223,Capacity!B:G,6,FALSE)</f>
        <v>#N/A</v>
      </c>
      <c r="O223" s="20">
        <f t="shared" si="20"/>
        <v>0</v>
      </c>
      <c r="P223">
        <f t="shared" si="21"/>
        <v>0</v>
      </c>
    </row>
    <row r="224" spans="1:16" hidden="1" x14ac:dyDescent="0.3">
      <c r="A224" t="str">
        <f t="shared" si="24"/>
        <v>202246-TFC</v>
      </c>
      <c r="B224">
        <f t="shared" si="25"/>
        <v>202246</v>
      </c>
      <c r="C224" t="s">
        <v>6</v>
      </c>
      <c r="D224">
        <v>2022</v>
      </c>
      <c r="E224">
        <v>46</v>
      </c>
      <c r="F224">
        <f>SUMIFS(Table1[Modeled_Demand],Table1[Key_Year_week_DC],Demand_Modeling_Week_level!$A224,Table1[BRAND],Demand_Modeling_Week_level!F$2)</f>
        <v>385961</v>
      </c>
      <c r="G224">
        <f>SUMIFS(Table1[Modeled_Demand],Table1[Key_Year_week_DC],Demand_Modeling_Week_level!$A224,Table1[BRAND],Demand_Modeling_Week_level!G$2)</f>
        <v>376671</v>
      </c>
      <c r="H224">
        <f>SUMIFS(Table1[Modeled_Demand],Table1[Key_Year_week_DC],Demand_Modeling_Week_level!$A224,Table1[BRAND],Demand_Modeling_Week_level!H$2)</f>
        <v>0</v>
      </c>
      <c r="I224">
        <f>SUMIFS(Table1[Modeled_Demand],Table1[Key_Year_week_DC],Demand_Modeling_Week_level!$A224,Table1[BRAND],Demand_Modeling_Week_level!I$2)</f>
        <v>444622.75</v>
      </c>
      <c r="J224">
        <f>SUMIFS(Table1[Modeled_Demand],Table1[Key_Year_week_DC],Demand_Modeling_Week_level!$A224,Table1[BRAND],Demand_Modeling_Week_level!J$2)</f>
        <v>0</v>
      </c>
      <c r="K224">
        <f>SUMIFS(Table1[Modeled_Demand],Table1[Key_Year_week_DC],Demand_Modeling_Week_level!$A224,Table1[BRAND],Demand_Modeling_Week_level!K$2)</f>
        <v>511293.53</v>
      </c>
      <c r="L224">
        <f>SUMIFS(Table1[Demand],Table1[Key_Year_week_DC],Demand_Modeling_Week_level!$A224)</f>
        <v>1562412</v>
      </c>
      <c r="M224">
        <f t="shared" si="19"/>
        <v>1718548.28</v>
      </c>
      <c r="N224">
        <f>VLOOKUP(A224,Capacity!B:G,6,FALSE)</f>
        <v>4724981.1000000099</v>
      </c>
      <c r="O224" s="20">
        <f t="shared" si="20"/>
        <v>0.33067052903132177</v>
      </c>
      <c r="P224">
        <f t="shared" si="21"/>
        <v>0.36371537655462716</v>
      </c>
    </row>
    <row r="225" spans="1:16" hidden="1" x14ac:dyDescent="0.3">
      <c r="A225" t="str">
        <f t="shared" si="24"/>
        <v>202246-WEO</v>
      </c>
      <c r="B225">
        <f t="shared" si="25"/>
        <v>202246</v>
      </c>
      <c r="C225" t="s">
        <v>10</v>
      </c>
      <c r="D225">
        <v>2022</v>
      </c>
      <c r="E225">
        <v>46</v>
      </c>
      <c r="F225">
        <f>SUMIFS(Table1[Modeled_Demand],Table1[Key_Year_week_DC],Demand_Modeling_Week_level!$A225,Table1[BRAND],Demand_Modeling_Week_level!F$2)</f>
        <v>0</v>
      </c>
      <c r="G225">
        <f>SUMIFS(Table1[Modeled_Demand],Table1[Key_Year_week_DC],Demand_Modeling_Week_level!$A225,Table1[BRAND],Demand_Modeling_Week_level!G$2)</f>
        <v>0</v>
      </c>
      <c r="H225">
        <f>SUMIFS(Table1[Modeled_Demand],Table1[Key_Year_week_DC],Demand_Modeling_Week_level!$A225,Table1[BRAND],Demand_Modeling_Week_level!H$2)</f>
        <v>0</v>
      </c>
      <c r="I225">
        <f>SUMIFS(Table1[Modeled_Demand],Table1[Key_Year_week_DC],Demand_Modeling_Week_level!$A225,Table1[BRAND],Demand_Modeling_Week_level!I$2)</f>
        <v>800320.95000000007</v>
      </c>
      <c r="J225">
        <f>SUMIFS(Table1[Modeled_Demand],Table1[Key_Year_week_DC],Demand_Modeling_Week_level!$A225,Table1[BRAND],Demand_Modeling_Week_level!J$2)</f>
        <v>0</v>
      </c>
      <c r="K225">
        <f>SUMIFS(Table1[Modeled_Demand],Table1[Key_Year_week_DC],Demand_Modeling_Week_level!$A225,Table1[BRAND],Demand_Modeling_Week_level!K$2)</f>
        <v>650737.22000000009</v>
      </c>
      <c r="L225">
        <f>SUMIFS(Table1[Demand],Table1[Key_Year_week_DC],Demand_Modeling_Week_level!$A225)</f>
        <v>434377</v>
      </c>
      <c r="M225">
        <f t="shared" si="19"/>
        <v>1451058.1700000002</v>
      </c>
      <c r="N225">
        <f>VLOOKUP(A225,Capacity!B:G,6,FALSE)</f>
        <v>4724981.1000000099</v>
      </c>
      <c r="O225" s="20">
        <f t="shared" si="20"/>
        <v>9.1932007939671781E-2</v>
      </c>
      <c r="P225">
        <f t="shared" si="21"/>
        <v>0.30710348661500403</v>
      </c>
    </row>
    <row r="226" spans="1:16" hidden="1" x14ac:dyDescent="0.3">
      <c r="A226" t="str">
        <f t="shared" si="24"/>
        <v>202246-WFC</v>
      </c>
      <c r="B226">
        <f t="shared" si="25"/>
        <v>202246</v>
      </c>
      <c r="C226" t="s">
        <v>7</v>
      </c>
      <c r="D226">
        <v>2022</v>
      </c>
      <c r="E226">
        <v>46</v>
      </c>
      <c r="F226">
        <f>SUMIFS(Table1[Modeled_Demand],Table1[Key_Year_week_DC],Demand_Modeling_Week_level!$A226,Table1[BRAND],Demand_Modeling_Week_level!F$2)</f>
        <v>0</v>
      </c>
      <c r="G226">
        <f>SUMIFS(Table1[Modeled_Demand],Table1[Key_Year_week_DC],Demand_Modeling_Week_level!$A226,Table1[BRAND],Demand_Modeling_Week_level!G$2)</f>
        <v>1.316827856454208</v>
      </c>
      <c r="H226">
        <f>SUMIFS(Table1[Modeled_Demand],Table1[Key_Year_week_DC],Demand_Modeling_Week_level!$A226,Table1[BRAND],Demand_Modeling_Week_level!H$2)</f>
        <v>0</v>
      </c>
      <c r="I226">
        <f>SUMIFS(Table1[Modeled_Demand],Table1[Key_Year_week_DC],Demand_Modeling_Week_level!$A226,Table1[BRAND],Demand_Modeling_Week_level!I$2)</f>
        <v>0</v>
      </c>
      <c r="J226">
        <f>SUMIFS(Table1[Modeled_Demand],Table1[Key_Year_week_DC],Demand_Modeling_Week_level!$A226,Table1[BRAND],Demand_Modeling_Week_level!J$2)</f>
        <v>0</v>
      </c>
      <c r="K226">
        <f>SUMIFS(Table1[Modeled_Demand],Table1[Key_Year_week_DC],Demand_Modeling_Week_level!$A226,Table1[BRAND],Demand_Modeling_Week_level!K$2)</f>
        <v>0</v>
      </c>
      <c r="L226">
        <f>SUMIFS(Table1[Demand],Table1[Key_Year_week_DC],Demand_Modeling_Week_level!$A226)</f>
        <v>904995</v>
      </c>
      <c r="M226">
        <f t="shared" si="19"/>
        <v>1.316827856454208</v>
      </c>
      <c r="N226">
        <f>VLOOKUP(A226,Capacity!B:G,6,FALSE)</f>
        <v>0</v>
      </c>
      <c r="O226" s="20">
        <f t="shared" si="20"/>
        <v>0</v>
      </c>
      <c r="P226">
        <f t="shared" si="21"/>
        <v>0</v>
      </c>
    </row>
    <row r="227" spans="1:16" hidden="1" x14ac:dyDescent="0.3">
      <c r="A227" t="str">
        <f t="shared" si="24"/>
        <v>202247-EAO</v>
      </c>
      <c r="B227">
        <f t="shared" si="25"/>
        <v>202247</v>
      </c>
      <c r="C227" t="s">
        <v>8</v>
      </c>
      <c r="D227">
        <v>2022</v>
      </c>
      <c r="E227">
        <v>47</v>
      </c>
      <c r="F227">
        <f>SUMIFS(Table1[Modeled_Demand],Table1[Key_Year_week_DC],Demand_Modeling_Week_level!$A227,Table1[BRAND],Demand_Modeling_Week_level!F$2)</f>
        <v>15.663551633280559</v>
      </c>
      <c r="G227">
        <f>SUMIFS(Table1[Modeled_Demand],Table1[Key_Year_week_DC],Demand_Modeling_Week_level!$A227,Table1[BRAND],Demand_Modeling_Week_level!G$2)</f>
        <v>17.675677964324088</v>
      </c>
      <c r="H227">
        <f>SUMIFS(Table1[Modeled_Demand],Table1[Key_Year_week_DC],Demand_Modeling_Week_level!$A227,Table1[BRAND],Demand_Modeling_Week_level!H$2)</f>
        <v>0</v>
      </c>
      <c r="I227">
        <f>SUMIFS(Table1[Modeled_Demand],Table1[Key_Year_week_DC],Demand_Modeling_Week_level!$A227,Table1[BRAND],Demand_Modeling_Week_level!I$2)</f>
        <v>0</v>
      </c>
      <c r="J227">
        <f>SUMIFS(Table1[Modeled_Demand],Table1[Key_Year_week_DC],Demand_Modeling_Week_level!$A227,Table1[BRAND],Demand_Modeling_Week_level!J$2)</f>
        <v>0</v>
      </c>
      <c r="K227">
        <f>SUMIFS(Table1[Modeled_Demand],Table1[Key_Year_week_DC],Demand_Modeling_Week_level!$A227,Table1[BRAND],Demand_Modeling_Week_level!K$2)</f>
        <v>517982.63999999996</v>
      </c>
      <c r="L227">
        <f>SUMIFS(Table1[Demand],Table1[Key_Year_week_DC],Demand_Modeling_Week_level!$A227)</f>
        <v>792123</v>
      </c>
      <c r="M227">
        <f t="shared" si="19"/>
        <v>518015.97922959755</v>
      </c>
      <c r="N227">
        <f>VLOOKUP(A227,Capacity!B:G,6,FALSE)</f>
        <v>3150025.2</v>
      </c>
      <c r="O227" s="20">
        <f t="shared" si="20"/>
        <v>0.25146560732276046</v>
      </c>
      <c r="P227">
        <f t="shared" si="21"/>
        <v>0.16444820163013221</v>
      </c>
    </row>
    <row r="228" spans="1:16" hidden="1" x14ac:dyDescent="0.3">
      <c r="A228" t="str">
        <f t="shared" si="24"/>
        <v>202247-OCC</v>
      </c>
      <c r="B228">
        <f t="shared" si="25"/>
        <v>202247</v>
      </c>
      <c r="C228" t="s">
        <v>11</v>
      </c>
      <c r="D228">
        <v>2022</v>
      </c>
      <c r="E228">
        <v>47</v>
      </c>
      <c r="F228">
        <f>SUMIFS(Table1[Modeled_Demand],Table1[Key_Year_week_DC],Demand_Modeling_Week_level!$A228,Table1[BRAND],Demand_Modeling_Week_level!F$2)</f>
        <v>0</v>
      </c>
      <c r="G228">
        <f>SUMIFS(Table1[Modeled_Demand],Table1[Key_Year_week_DC],Demand_Modeling_Week_level!$A228,Table1[BRAND],Demand_Modeling_Week_level!G$2)</f>
        <v>0</v>
      </c>
      <c r="H228">
        <f>SUMIFS(Table1[Modeled_Demand],Table1[Key_Year_week_DC],Demand_Modeling_Week_level!$A228,Table1[BRAND],Demand_Modeling_Week_level!H$2)</f>
        <v>0</v>
      </c>
      <c r="I228">
        <f>SUMIFS(Table1[Modeled_Demand],Table1[Key_Year_week_DC],Demand_Modeling_Week_level!$A228,Table1[BRAND],Demand_Modeling_Week_level!I$2)</f>
        <v>445596.6</v>
      </c>
      <c r="J228">
        <f>SUMIFS(Table1[Modeled_Demand],Table1[Key_Year_week_DC],Demand_Modeling_Week_level!$A228,Table1[BRAND],Demand_Modeling_Week_level!J$2)</f>
        <v>0</v>
      </c>
      <c r="K228">
        <f>SUMIFS(Table1[Modeled_Demand],Table1[Key_Year_week_DC],Demand_Modeling_Week_level!$A228,Table1[BRAND],Demand_Modeling_Week_level!K$2)</f>
        <v>1109962.8</v>
      </c>
      <c r="L228">
        <f>SUMIFS(Table1[Demand],Table1[Key_Year_week_DC],Demand_Modeling_Week_level!$A228)</f>
        <v>0</v>
      </c>
      <c r="M228">
        <f t="shared" si="19"/>
        <v>1555559.4</v>
      </c>
      <c r="N228">
        <f>VLOOKUP(A228,Capacity!B:G,6,FALSE)</f>
        <v>8819968.5</v>
      </c>
      <c r="O228" s="20">
        <f t="shared" si="20"/>
        <v>0</v>
      </c>
      <c r="P228">
        <f t="shared" si="21"/>
        <v>0.17636790879695319</v>
      </c>
    </row>
    <row r="229" spans="1:16" hidden="1" x14ac:dyDescent="0.3">
      <c r="A229" t="str">
        <f t="shared" si="24"/>
        <v>202247-ODC</v>
      </c>
      <c r="B229">
        <f t="shared" si="25"/>
        <v>202247</v>
      </c>
      <c r="C229" t="s">
        <v>9</v>
      </c>
      <c r="D229">
        <v>2022</v>
      </c>
      <c r="E229">
        <v>47</v>
      </c>
      <c r="F229">
        <f>SUMIFS(Table1[Modeled_Demand],Table1[Key_Year_week_DC],Demand_Modeling_Week_level!$A229,Table1[BRAND],Demand_Modeling_Week_level!F$2)</f>
        <v>0</v>
      </c>
      <c r="G229">
        <f>SUMIFS(Table1[Modeled_Demand],Table1[Key_Year_week_DC],Demand_Modeling_Week_level!$A229,Table1[BRAND],Demand_Modeling_Week_level!G$2)</f>
        <v>0</v>
      </c>
      <c r="H229">
        <f>SUMIFS(Table1[Modeled_Demand],Table1[Key_Year_week_DC],Demand_Modeling_Week_level!$A229,Table1[BRAND],Demand_Modeling_Week_level!H$2)</f>
        <v>0</v>
      </c>
      <c r="I229">
        <f>SUMIFS(Table1[Modeled_Demand],Table1[Key_Year_week_DC],Demand_Modeling_Week_level!$A229,Table1[BRAND],Demand_Modeling_Week_level!I$2)</f>
        <v>0</v>
      </c>
      <c r="J229">
        <f>SUMIFS(Table1[Modeled_Demand],Table1[Key_Year_week_DC],Demand_Modeling_Week_level!$A229,Table1[BRAND],Demand_Modeling_Week_level!J$2)</f>
        <v>0</v>
      </c>
      <c r="K229">
        <f>SUMIFS(Table1[Modeled_Demand],Table1[Key_Year_week_DC],Demand_Modeling_Week_level!$A229,Table1[BRAND],Demand_Modeling_Week_level!K$2)</f>
        <v>0</v>
      </c>
      <c r="L229">
        <f>SUMIFS(Table1[Demand],Table1[Key_Year_week_DC],Demand_Modeling_Week_level!$A229)</f>
        <v>0</v>
      </c>
      <c r="M229">
        <f t="shared" si="19"/>
        <v>0</v>
      </c>
      <c r="N229" t="e">
        <f>VLOOKUP(A229,Capacity!B:G,6,FALSE)</f>
        <v>#N/A</v>
      </c>
      <c r="O229" s="20">
        <f t="shared" si="20"/>
        <v>0</v>
      </c>
      <c r="P229">
        <f t="shared" si="21"/>
        <v>0</v>
      </c>
    </row>
    <row r="230" spans="1:16" hidden="1" x14ac:dyDescent="0.3">
      <c r="A230" t="str">
        <f t="shared" si="24"/>
        <v>202247-OFC</v>
      </c>
      <c r="B230">
        <f t="shared" si="25"/>
        <v>202247</v>
      </c>
      <c r="C230" t="s">
        <v>5</v>
      </c>
      <c r="D230">
        <v>2022</v>
      </c>
      <c r="E230">
        <v>47</v>
      </c>
      <c r="F230">
        <f>SUMIFS(Table1[Modeled_Demand],Table1[Key_Year_week_DC],Demand_Modeling_Week_level!$A230,Table1[BRAND],Demand_Modeling_Week_level!F$2)</f>
        <v>0</v>
      </c>
      <c r="G230">
        <f>SUMIFS(Table1[Modeled_Demand],Table1[Key_Year_week_DC],Demand_Modeling_Week_level!$A230,Table1[BRAND],Demand_Modeling_Week_level!G$2)</f>
        <v>0</v>
      </c>
      <c r="H230">
        <f>SUMIFS(Table1[Modeled_Demand],Table1[Key_Year_week_DC],Demand_Modeling_Week_level!$A230,Table1[BRAND],Demand_Modeling_Week_level!H$2)</f>
        <v>218330</v>
      </c>
      <c r="I230">
        <f>SUMIFS(Table1[Modeled_Demand],Table1[Key_Year_week_DC],Demand_Modeling_Week_level!$A230,Table1[BRAND],Demand_Modeling_Week_level!I$2)</f>
        <v>0</v>
      </c>
      <c r="J230">
        <f>SUMIFS(Table1[Modeled_Demand],Table1[Key_Year_week_DC],Demand_Modeling_Week_level!$A230,Table1[BRAND],Demand_Modeling_Week_level!J$2)</f>
        <v>517502</v>
      </c>
      <c r="K230">
        <f>SUMIFS(Table1[Modeled_Demand],Table1[Key_Year_week_DC],Demand_Modeling_Week_level!$A230,Table1[BRAND],Demand_Modeling_Week_level!K$2)</f>
        <v>221992.56</v>
      </c>
      <c r="L230">
        <f>SUMIFS(Table1[Demand],Table1[Key_Year_week_DC],Demand_Modeling_Week_level!$A230)</f>
        <v>2791113</v>
      </c>
      <c r="M230">
        <f t="shared" si="19"/>
        <v>957824.56</v>
      </c>
      <c r="N230">
        <f>VLOOKUP(A230,Capacity!B:G,6,FALSE)</f>
        <v>4410012.6000000099</v>
      </c>
      <c r="O230" s="20">
        <f t="shared" si="20"/>
        <v>0.63290363388077253</v>
      </c>
      <c r="P230">
        <f t="shared" si="21"/>
        <v>0.21719315722589952</v>
      </c>
    </row>
    <row r="231" spans="1:16" hidden="1" x14ac:dyDescent="0.3">
      <c r="A231" t="str">
        <f t="shared" si="24"/>
        <v>202247-SFS</v>
      </c>
      <c r="B231">
        <f t="shared" si="25"/>
        <v>202247</v>
      </c>
      <c r="C231" t="s">
        <v>12</v>
      </c>
      <c r="D231">
        <v>2022</v>
      </c>
      <c r="E231">
        <v>47</v>
      </c>
      <c r="F231">
        <f>SUMIFS(Table1[Modeled_Demand],Table1[Key_Year_week_DC],Demand_Modeling_Week_level!$A231,Table1[BRAND],Demand_Modeling_Week_level!F$2)</f>
        <v>0</v>
      </c>
      <c r="G231">
        <f>SUMIFS(Table1[Modeled_Demand],Table1[Key_Year_week_DC],Demand_Modeling_Week_level!$A231,Table1[BRAND],Demand_Modeling_Week_level!G$2)</f>
        <v>0</v>
      </c>
      <c r="H231">
        <f>SUMIFS(Table1[Modeled_Demand],Table1[Key_Year_week_DC],Demand_Modeling_Week_level!$A231,Table1[BRAND],Demand_Modeling_Week_level!H$2)</f>
        <v>0</v>
      </c>
      <c r="I231">
        <f>SUMIFS(Table1[Modeled_Demand],Table1[Key_Year_week_DC],Demand_Modeling_Week_level!$A231,Table1[BRAND],Demand_Modeling_Week_level!I$2)</f>
        <v>0</v>
      </c>
      <c r="J231">
        <f>SUMIFS(Table1[Modeled_Demand],Table1[Key_Year_week_DC],Demand_Modeling_Week_level!$A231,Table1[BRAND],Demand_Modeling_Week_level!J$2)</f>
        <v>0</v>
      </c>
      <c r="K231">
        <f>SUMIFS(Table1[Modeled_Demand],Table1[Key_Year_week_DC],Demand_Modeling_Week_level!$A231,Table1[BRAND],Demand_Modeling_Week_level!K$2)</f>
        <v>0</v>
      </c>
      <c r="L231">
        <f>SUMIFS(Table1[Demand],Table1[Key_Year_week_DC],Demand_Modeling_Week_level!$A231)</f>
        <v>0</v>
      </c>
      <c r="M231">
        <f t="shared" si="19"/>
        <v>0</v>
      </c>
      <c r="N231" t="e">
        <f>VLOOKUP(A231,Capacity!B:G,6,FALSE)</f>
        <v>#N/A</v>
      </c>
      <c r="O231" s="20">
        <f t="shared" si="20"/>
        <v>0</v>
      </c>
      <c r="P231">
        <f t="shared" si="21"/>
        <v>0</v>
      </c>
    </row>
    <row r="232" spans="1:16" hidden="1" x14ac:dyDescent="0.3">
      <c r="A232" t="str">
        <f t="shared" si="24"/>
        <v>202247-TFC</v>
      </c>
      <c r="B232">
        <f t="shared" si="25"/>
        <v>202247</v>
      </c>
      <c r="C232" t="s">
        <v>6</v>
      </c>
      <c r="D232">
        <v>2022</v>
      </c>
      <c r="E232">
        <v>47</v>
      </c>
      <c r="F232">
        <f>SUMIFS(Table1[Modeled_Demand],Table1[Key_Year_week_DC],Demand_Modeling_Week_level!$A232,Table1[BRAND],Demand_Modeling_Week_level!F$2)</f>
        <v>454395</v>
      </c>
      <c r="G232">
        <f>SUMIFS(Table1[Modeled_Demand],Table1[Key_Year_week_DC],Demand_Modeling_Week_level!$A232,Table1[BRAND],Demand_Modeling_Week_level!G$2)</f>
        <v>417470</v>
      </c>
      <c r="H232">
        <f>SUMIFS(Table1[Modeled_Demand],Table1[Key_Year_week_DC],Demand_Modeling_Week_level!$A232,Table1[BRAND],Demand_Modeling_Week_level!H$2)</f>
        <v>0</v>
      </c>
      <c r="I232">
        <f>SUMIFS(Table1[Modeled_Demand],Table1[Key_Year_week_DC],Demand_Modeling_Week_level!$A232,Table1[BRAND],Demand_Modeling_Week_level!I$2)</f>
        <v>371330.5</v>
      </c>
      <c r="J232">
        <f>SUMIFS(Table1[Modeled_Demand],Table1[Key_Year_week_DC],Demand_Modeling_Week_level!$A232,Table1[BRAND],Demand_Modeling_Week_level!J$2)</f>
        <v>0</v>
      </c>
      <c r="K232">
        <f>SUMIFS(Table1[Modeled_Demand],Table1[Key_Year_week_DC],Demand_Modeling_Week_level!$A232,Table1[BRAND],Demand_Modeling_Week_level!K$2)</f>
        <v>271324.24</v>
      </c>
      <c r="L232">
        <f>SUMIFS(Table1[Demand],Table1[Key_Year_week_DC],Demand_Modeling_Week_level!$A232)</f>
        <v>1176269</v>
      </c>
      <c r="M232">
        <f t="shared" si="19"/>
        <v>1514519.74</v>
      </c>
      <c r="N232">
        <f>VLOOKUP(A232,Capacity!B:G,6,FALSE)</f>
        <v>4724981.1000000099</v>
      </c>
      <c r="O232" s="20">
        <f t="shared" si="20"/>
        <v>0.24894681589308315</v>
      </c>
      <c r="P232">
        <f t="shared" si="21"/>
        <v>0.32053456044511941</v>
      </c>
    </row>
    <row r="233" spans="1:16" hidden="1" x14ac:dyDescent="0.3">
      <c r="A233" t="str">
        <f t="shared" si="24"/>
        <v>202247-WEO</v>
      </c>
      <c r="B233">
        <f t="shared" si="25"/>
        <v>202247</v>
      </c>
      <c r="C233" t="s">
        <v>10</v>
      </c>
      <c r="D233">
        <v>2022</v>
      </c>
      <c r="E233">
        <v>47</v>
      </c>
      <c r="F233">
        <f>SUMIFS(Table1[Modeled_Demand],Table1[Key_Year_week_DC],Demand_Modeling_Week_level!$A233,Table1[BRAND],Demand_Modeling_Week_level!F$2)</f>
        <v>0</v>
      </c>
      <c r="G233">
        <f>SUMIFS(Table1[Modeled_Demand],Table1[Key_Year_week_DC],Demand_Modeling_Week_level!$A233,Table1[BRAND],Demand_Modeling_Week_level!G$2)</f>
        <v>0</v>
      </c>
      <c r="H233">
        <f>SUMIFS(Table1[Modeled_Demand],Table1[Key_Year_week_DC],Demand_Modeling_Week_level!$A233,Table1[BRAND],Demand_Modeling_Week_level!H$2)</f>
        <v>0</v>
      </c>
      <c r="I233">
        <f>SUMIFS(Table1[Modeled_Demand],Table1[Key_Year_week_DC],Demand_Modeling_Week_level!$A233,Table1[BRAND],Demand_Modeling_Week_level!I$2)</f>
        <v>668394.9</v>
      </c>
      <c r="J233">
        <f>SUMIFS(Table1[Modeled_Demand],Table1[Key_Year_week_DC],Demand_Modeling_Week_level!$A233,Table1[BRAND],Demand_Modeling_Week_level!J$2)</f>
        <v>0</v>
      </c>
      <c r="K233">
        <f>SUMIFS(Table1[Modeled_Demand],Table1[Key_Year_week_DC],Demand_Modeling_Week_level!$A233,Table1[BRAND],Demand_Modeling_Week_level!K$2)</f>
        <v>345321.76</v>
      </c>
      <c r="L233">
        <f>SUMIFS(Table1[Demand],Table1[Key_Year_week_DC],Demand_Modeling_Week_level!$A233)</f>
        <v>331035</v>
      </c>
      <c r="M233">
        <f t="shared" si="19"/>
        <v>1013716.66</v>
      </c>
      <c r="N233">
        <f>VLOOKUP(A233,Capacity!B:G,6,FALSE)</f>
        <v>4724981.1000000099</v>
      </c>
      <c r="O233" s="20">
        <f t="shared" si="20"/>
        <v>7.006059770270813E-2</v>
      </c>
      <c r="P233">
        <f t="shared" si="21"/>
        <v>0.21454406664187459</v>
      </c>
    </row>
    <row r="234" spans="1:16" hidden="1" x14ac:dyDescent="0.3">
      <c r="A234" t="str">
        <f t="shared" si="24"/>
        <v>202247-WFC</v>
      </c>
      <c r="B234">
        <f t="shared" si="25"/>
        <v>202247</v>
      </c>
      <c r="C234" t="s">
        <v>7</v>
      </c>
      <c r="D234">
        <v>2022</v>
      </c>
      <c r="E234">
        <v>47</v>
      </c>
      <c r="F234">
        <f>SUMIFS(Table1[Modeled_Demand],Table1[Key_Year_week_DC],Demand_Modeling_Week_level!$A234,Table1[BRAND],Demand_Modeling_Week_level!F$2)</f>
        <v>0</v>
      </c>
      <c r="G234">
        <f>SUMIFS(Table1[Modeled_Demand],Table1[Key_Year_week_DC],Demand_Modeling_Week_level!$A234,Table1[BRAND],Demand_Modeling_Week_level!G$2)</f>
        <v>1.4594596484304292</v>
      </c>
      <c r="H234">
        <f>SUMIFS(Table1[Modeled_Demand],Table1[Key_Year_week_DC],Demand_Modeling_Week_level!$A234,Table1[BRAND],Demand_Modeling_Week_level!H$2)</f>
        <v>0</v>
      </c>
      <c r="I234">
        <f>SUMIFS(Table1[Modeled_Demand],Table1[Key_Year_week_DC],Demand_Modeling_Week_level!$A234,Table1[BRAND],Demand_Modeling_Week_level!I$2)</f>
        <v>0</v>
      </c>
      <c r="J234">
        <f>SUMIFS(Table1[Modeled_Demand],Table1[Key_Year_week_DC],Demand_Modeling_Week_level!$A234,Table1[BRAND],Demand_Modeling_Week_level!J$2)</f>
        <v>0</v>
      </c>
      <c r="K234">
        <f>SUMIFS(Table1[Modeled_Demand],Table1[Key_Year_week_DC],Demand_Modeling_Week_level!$A234,Table1[BRAND],Demand_Modeling_Week_level!K$2)</f>
        <v>0</v>
      </c>
      <c r="L234">
        <f>SUMIFS(Table1[Demand],Table1[Key_Year_week_DC],Demand_Modeling_Week_level!$A234)</f>
        <v>469063</v>
      </c>
      <c r="M234">
        <f t="shared" si="19"/>
        <v>1.4594596484304292</v>
      </c>
      <c r="N234">
        <f>VLOOKUP(A234,Capacity!B:G,6,FALSE)</f>
        <v>0</v>
      </c>
      <c r="O234" s="20">
        <f t="shared" si="20"/>
        <v>0</v>
      </c>
      <c r="P234">
        <f t="shared" si="21"/>
        <v>0</v>
      </c>
    </row>
    <row r="235" spans="1:16" hidden="1" x14ac:dyDescent="0.3">
      <c r="A235" t="str">
        <f t="shared" si="24"/>
        <v>202248-EAO</v>
      </c>
      <c r="B235">
        <f t="shared" si="25"/>
        <v>202248</v>
      </c>
      <c r="C235" t="s">
        <v>8</v>
      </c>
      <c r="D235">
        <v>2022</v>
      </c>
      <c r="E235">
        <v>48</v>
      </c>
      <c r="F235">
        <f>SUMIFS(Table1[Modeled_Demand],Table1[Key_Year_week_DC],Demand_Modeling_Week_level!$A235,Table1[BRAND],Demand_Modeling_Week_level!F$2)</f>
        <v>0</v>
      </c>
      <c r="G235">
        <f>SUMIFS(Table1[Modeled_Demand],Table1[Key_Year_week_DC],Demand_Modeling_Week_level!$A235,Table1[BRAND],Demand_Modeling_Week_level!G$2)</f>
        <v>0</v>
      </c>
      <c r="H235">
        <f>SUMIFS(Table1[Modeled_Demand],Table1[Key_Year_week_DC],Demand_Modeling_Week_level!$A235,Table1[BRAND],Demand_Modeling_Week_level!H$2)</f>
        <v>0</v>
      </c>
      <c r="I235">
        <f>SUMIFS(Table1[Modeled_Demand],Table1[Key_Year_week_DC],Demand_Modeling_Week_level!$A235,Table1[BRAND],Demand_Modeling_Week_level!I$2)</f>
        <v>0</v>
      </c>
      <c r="J235">
        <f>SUMIFS(Table1[Modeled_Demand],Table1[Key_Year_week_DC],Demand_Modeling_Week_level!$A235,Table1[BRAND],Demand_Modeling_Week_level!J$2)</f>
        <v>0</v>
      </c>
      <c r="K235">
        <f>SUMIFS(Table1[Modeled_Demand],Table1[Key_Year_week_DC],Demand_Modeling_Week_level!$A235,Table1[BRAND],Demand_Modeling_Week_level!K$2)</f>
        <v>0</v>
      </c>
      <c r="L235">
        <f>SUMIFS(Table1[Demand],Table1[Key_Year_week_DC],Demand_Modeling_Week_level!$A235)</f>
        <v>0</v>
      </c>
      <c r="M235">
        <f t="shared" si="19"/>
        <v>0</v>
      </c>
      <c r="N235">
        <f>VLOOKUP(A235,Capacity!B:G,6,FALSE)</f>
        <v>0</v>
      </c>
      <c r="O235" s="20">
        <f t="shared" si="20"/>
        <v>0</v>
      </c>
      <c r="P235">
        <f t="shared" si="21"/>
        <v>0</v>
      </c>
    </row>
    <row r="236" spans="1:16" hidden="1" x14ac:dyDescent="0.3">
      <c r="A236" t="str">
        <f t="shared" si="24"/>
        <v>202248-OCC</v>
      </c>
      <c r="B236">
        <f t="shared" si="25"/>
        <v>202248</v>
      </c>
      <c r="C236" t="s">
        <v>11</v>
      </c>
      <c r="D236">
        <v>2022</v>
      </c>
      <c r="E236">
        <v>48</v>
      </c>
      <c r="F236">
        <f>SUMIFS(Table1[Modeled_Demand],Table1[Key_Year_week_DC],Demand_Modeling_Week_level!$A236,Table1[BRAND],Demand_Modeling_Week_level!F$2)</f>
        <v>0</v>
      </c>
      <c r="G236">
        <f>SUMIFS(Table1[Modeled_Demand],Table1[Key_Year_week_DC],Demand_Modeling_Week_level!$A236,Table1[BRAND],Demand_Modeling_Week_level!G$2)</f>
        <v>0</v>
      </c>
      <c r="H236">
        <f>SUMIFS(Table1[Modeled_Demand],Table1[Key_Year_week_DC],Demand_Modeling_Week_level!$A236,Table1[BRAND],Demand_Modeling_Week_level!H$2)</f>
        <v>0</v>
      </c>
      <c r="I236">
        <f>SUMIFS(Table1[Modeled_Demand],Table1[Key_Year_week_DC],Demand_Modeling_Week_level!$A236,Table1[BRAND],Demand_Modeling_Week_level!I$2)</f>
        <v>0</v>
      </c>
      <c r="J236">
        <f>SUMIFS(Table1[Modeled_Demand],Table1[Key_Year_week_DC],Demand_Modeling_Week_level!$A236,Table1[BRAND],Demand_Modeling_Week_level!J$2)</f>
        <v>0</v>
      </c>
      <c r="K236">
        <f>SUMIFS(Table1[Modeled_Demand],Table1[Key_Year_week_DC],Demand_Modeling_Week_level!$A236,Table1[BRAND],Demand_Modeling_Week_level!K$2)</f>
        <v>0</v>
      </c>
      <c r="L236">
        <f>SUMIFS(Table1[Demand],Table1[Key_Year_week_DC],Demand_Modeling_Week_level!$A236)</f>
        <v>0</v>
      </c>
      <c r="M236">
        <f t="shared" si="19"/>
        <v>0</v>
      </c>
      <c r="N236">
        <f>VLOOKUP(A236,Capacity!B:G,6,FALSE)</f>
        <v>0</v>
      </c>
      <c r="O236" s="20">
        <f t="shared" si="20"/>
        <v>0</v>
      </c>
      <c r="P236">
        <f t="shared" si="21"/>
        <v>0</v>
      </c>
    </row>
    <row r="237" spans="1:16" hidden="1" x14ac:dyDescent="0.3">
      <c r="A237" t="str">
        <f t="shared" si="24"/>
        <v>202248-ODC</v>
      </c>
      <c r="B237">
        <f t="shared" si="25"/>
        <v>202248</v>
      </c>
      <c r="C237" t="s">
        <v>9</v>
      </c>
      <c r="D237">
        <v>2022</v>
      </c>
      <c r="E237">
        <v>48</v>
      </c>
      <c r="F237">
        <f>SUMIFS(Table1[Modeled_Demand],Table1[Key_Year_week_DC],Demand_Modeling_Week_level!$A237,Table1[BRAND],Demand_Modeling_Week_level!F$2)</f>
        <v>0</v>
      </c>
      <c r="G237">
        <f>SUMIFS(Table1[Modeled_Demand],Table1[Key_Year_week_DC],Demand_Modeling_Week_level!$A237,Table1[BRAND],Demand_Modeling_Week_level!G$2)</f>
        <v>0</v>
      </c>
      <c r="H237">
        <f>SUMIFS(Table1[Modeled_Demand],Table1[Key_Year_week_DC],Demand_Modeling_Week_level!$A237,Table1[BRAND],Demand_Modeling_Week_level!H$2)</f>
        <v>0</v>
      </c>
      <c r="I237">
        <f>SUMIFS(Table1[Modeled_Demand],Table1[Key_Year_week_DC],Demand_Modeling_Week_level!$A237,Table1[BRAND],Demand_Modeling_Week_level!I$2)</f>
        <v>0</v>
      </c>
      <c r="J237">
        <f>SUMIFS(Table1[Modeled_Demand],Table1[Key_Year_week_DC],Demand_Modeling_Week_level!$A237,Table1[BRAND],Demand_Modeling_Week_level!J$2)</f>
        <v>0</v>
      </c>
      <c r="K237">
        <f>SUMIFS(Table1[Modeled_Demand],Table1[Key_Year_week_DC],Demand_Modeling_Week_level!$A237,Table1[BRAND],Demand_Modeling_Week_level!K$2)</f>
        <v>0</v>
      </c>
      <c r="L237">
        <f>SUMIFS(Table1[Demand],Table1[Key_Year_week_DC],Demand_Modeling_Week_level!$A237)</f>
        <v>0</v>
      </c>
      <c r="M237">
        <f t="shared" si="19"/>
        <v>0</v>
      </c>
      <c r="N237" t="e">
        <f>VLOOKUP(A237,Capacity!B:G,6,FALSE)</f>
        <v>#N/A</v>
      </c>
      <c r="O237" s="20">
        <f t="shared" si="20"/>
        <v>0</v>
      </c>
      <c r="P237">
        <f t="shared" si="21"/>
        <v>0</v>
      </c>
    </row>
    <row r="238" spans="1:16" hidden="1" x14ac:dyDescent="0.3">
      <c r="A238" t="str">
        <f t="shared" si="24"/>
        <v>202248-OFC</v>
      </c>
      <c r="B238">
        <f t="shared" si="25"/>
        <v>202248</v>
      </c>
      <c r="C238" t="s">
        <v>5</v>
      </c>
      <c r="D238">
        <v>2022</v>
      </c>
      <c r="E238">
        <v>48</v>
      </c>
      <c r="F238">
        <f>SUMIFS(Table1[Modeled_Demand],Table1[Key_Year_week_DC],Demand_Modeling_Week_level!$A238,Table1[BRAND],Demand_Modeling_Week_level!F$2)</f>
        <v>0</v>
      </c>
      <c r="G238">
        <f>SUMIFS(Table1[Modeled_Demand],Table1[Key_Year_week_DC],Demand_Modeling_Week_level!$A238,Table1[BRAND],Demand_Modeling_Week_level!G$2)</f>
        <v>0</v>
      </c>
      <c r="H238">
        <f>SUMIFS(Table1[Modeled_Demand],Table1[Key_Year_week_DC],Demand_Modeling_Week_level!$A238,Table1[BRAND],Demand_Modeling_Week_level!H$2)</f>
        <v>0</v>
      </c>
      <c r="I238">
        <f>SUMIFS(Table1[Modeled_Demand],Table1[Key_Year_week_DC],Demand_Modeling_Week_level!$A238,Table1[BRAND],Demand_Modeling_Week_level!I$2)</f>
        <v>0</v>
      </c>
      <c r="J238">
        <f>SUMIFS(Table1[Modeled_Demand],Table1[Key_Year_week_DC],Demand_Modeling_Week_level!$A238,Table1[BRAND],Demand_Modeling_Week_level!J$2)</f>
        <v>0</v>
      </c>
      <c r="K238">
        <f>SUMIFS(Table1[Modeled_Demand],Table1[Key_Year_week_DC],Demand_Modeling_Week_level!$A238,Table1[BRAND],Demand_Modeling_Week_level!K$2)</f>
        <v>0</v>
      </c>
      <c r="L238">
        <f>SUMIFS(Table1[Demand],Table1[Key_Year_week_DC],Demand_Modeling_Week_level!$A238)</f>
        <v>0</v>
      </c>
      <c r="M238">
        <f t="shared" si="19"/>
        <v>0</v>
      </c>
      <c r="N238">
        <f>VLOOKUP(A238,Capacity!B:G,6,FALSE)</f>
        <v>0</v>
      </c>
      <c r="O238" s="20">
        <f t="shared" si="20"/>
        <v>0</v>
      </c>
      <c r="P238">
        <f t="shared" si="21"/>
        <v>0</v>
      </c>
    </row>
    <row r="239" spans="1:16" hidden="1" x14ac:dyDescent="0.3">
      <c r="A239" t="str">
        <f t="shared" si="24"/>
        <v>202248-SFS</v>
      </c>
      <c r="B239">
        <f t="shared" si="25"/>
        <v>202248</v>
      </c>
      <c r="C239" t="s">
        <v>12</v>
      </c>
      <c r="D239">
        <v>2022</v>
      </c>
      <c r="E239">
        <v>48</v>
      </c>
      <c r="F239">
        <f>SUMIFS(Table1[Modeled_Demand],Table1[Key_Year_week_DC],Demand_Modeling_Week_level!$A239,Table1[BRAND],Demand_Modeling_Week_level!F$2)</f>
        <v>0</v>
      </c>
      <c r="G239">
        <f>SUMIFS(Table1[Modeled_Demand],Table1[Key_Year_week_DC],Demand_Modeling_Week_level!$A239,Table1[BRAND],Demand_Modeling_Week_level!G$2)</f>
        <v>0</v>
      </c>
      <c r="H239">
        <f>SUMIFS(Table1[Modeled_Demand],Table1[Key_Year_week_DC],Demand_Modeling_Week_level!$A239,Table1[BRAND],Demand_Modeling_Week_level!H$2)</f>
        <v>0</v>
      </c>
      <c r="I239">
        <f>SUMIFS(Table1[Modeled_Demand],Table1[Key_Year_week_DC],Demand_Modeling_Week_level!$A239,Table1[BRAND],Demand_Modeling_Week_level!I$2)</f>
        <v>0</v>
      </c>
      <c r="J239">
        <f>SUMIFS(Table1[Modeled_Demand],Table1[Key_Year_week_DC],Demand_Modeling_Week_level!$A239,Table1[BRAND],Demand_Modeling_Week_level!J$2)</f>
        <v>0</v>
      </c>
      <c r="K239">
        <f>SUMIFS(Table1[Modeled_Demand],Table1[Key_Year_week_DC],Demand_Modeling_Week_level!$A239,Table1[BRAND],Demand_Modeling_Week_level!K$2)</f>
        <v>0</v>
      </c>
      <c r="L239">
        <f>SUMIFS(Table1[Demand],Table1[Key_Year_week_DC],Demand_Modeling_Week_level!$A239)</f>
        <v>0</v>
      </c>
      <c r="M239">
        <f t="shared" si="19"/>
        <v>0</v>
      </c>
      <c r="N239" t="e">
        <f>VLOOKUP(A239,Capacity!B:G,6,FALSE)</f>
        <v>#N/A</v>
      </c>
      <c r="O239" s="20">
        <f t="shared" si="20"/>
        <v>0</v>
      </c>
      <c r="P239">
        <f t="shared" si="21"/>
        <v>0</v>
      </c>
    </row>
    <row r="240" spans="1:16" hidden="1" x14ac:dyDescent="0.3">
      <c r="A240" t="str">
        <f t="shared" si="24"/>
        <v>202248-TFC</v>
      </c>
      <c r="B240">
        <f t="shared" si="25"/>
        <v>202248</v>
      </c>
      <c r="C240" t="s">
        <v>6</v>
      </c>
      <c r="D240">
        <v>2022</v>
      </c>
      <c r="E240">
        <v>48</v>
      </c>
      <c r="F240">
        <f>SUMIFS(Table1[Modeled_Demand],Table1[Key_Year_week_DC],Demand_Modeling_Week_level!$A240,Table1[BRAND],Demand_Modeling_Week_level!F$2)</f>
        <v>0</v>
      </c>
      <c r="G240">
        <f>SUMIFS(Table1[Modeled_Demand],Table1[Key_Year_week_DC],Demand_Modeling_Week_level!$A240,Table1[BRAND],Demand_Modeling_Week_level!G$2)</f>
        <v>0</v>
      </c>
      <c r="H240">
        <f>SUMIFS(Table1[Modeled_Demand],Table1[Key_Year_week_DC],Demand_Modeling_Week_level!$A240,Table1[BRAND],Demand_Modeling_Week_level!H$2)</f>
        <v>0</v>
      </c>
      <c r="I240">
        <f>SUMIFS(Table1[Modeled_Demand],Table1[Key_Year_week_DC],Demand_Modeling_Week_level!$A240,Table1[BRAND],Demand_Modeling_Week_level!I$2)</f>
        <v>0</v>
      </c>
      <c r="J240">
        <f>SUMIFS(Table1[Modeled_Demand],Table1[Key_Year_week_DC],Demand_Modeling_Week_level!$A240,Table1[BRAND],Demand_Modeling_Week_level!J$2)</f>
        <v>0</v>
      </c>
      <c r="K240">
        <f>SUMIFS(Table1[Modeled_Demand],Table1[Key_Year_week_DC],Demand_Modeling_Week_level!$A240,Table1[BRAND],Demand_Modeling_Week_level!K$2)</f>
        <v>0</v>
      </c>
      <c r="L240">
        <f>SUMIFS(Table1[Demand],Table1[Key_Year_week_DC],Demand_Modeling_Week_level!$A240)</f>
        <v>0</v>
      </c>
      <c r="M240">
        <f t="shared" si="19"/>
        <v>0</v>
      </c>
      <c r="N240">
        <f>VLOOKUP(A240,Capacity!B:G,6,FALSE)</f>
        <v>0</v>
      </c>
      <c r="O240" s="20">
        <f t="shared" si="20"/>
        <v>0</v>
      </c>
      <c r="P240">
        <f t="shared" si="21"/>
        <v>0</v>
      </c>
    </row>
    <row r="241" spans="1:16" hidden="1" x14ac:dyDescent="0.3">
      <c r="A241" t="str">
        <f t="shared" si="24"/>
        <v>202248-WEO</v>
      </c>
      <c r="B241">
        <f t="shared" si="25"/>
        <v>202248</v>
      </c>
      <c r="C241" t="s">
        <v>10</v>
      </c>
      <c r="D241">
        <v>2022</v>
      </c>
      <c r="E241">
        <v>48</v>
      </c>
      <c r="F241">
        <f>SUMIFS(Table1[Modeled_Demand],Table1[Key_Year_week_DC],Demand_Modeling_Week_level!$A241,Table1[BRAND],Demand_Modeling_Week_level!F$2)</f>
        <v>0</v>
      </c>
      <c r="G241">
        <f>SUMIFS(Table1[Modeled_Demand],Table1[Key_Year_week_DC],Demand_Modeling_Week_level!$A241,Table1[BRAND],Demand_Modeling_Week_level!G$2)</f>
        <v>0</v>
      </c>
      <c r="H241">
        <f>SUMIFS(Table1[Modeled_Demand],Table1[Key_Year_week_DC],Demand_Modeling_Week_level!$A241,Table1[BRAND],Demand_Modeling_Week_level!H$2)</f>
        <v>0</v>
      </c>
      <c r="I241">
        <f>SUMIFS(Table1[Modeled_Demand],Table1[Key_Year_week_DC],Demand_Modeling_Week_level!$A241,Table1[BRAND],Demand_Modeling_Week_level!I$2)</f>
        <v>0</v>
      </c>
      <c r="J241">
        <f>SUMIFS(Table1[Modeled_Demand],Table1[Key_Year_week_DC],Demand_Modeling_Week_level!$A241,Table1[BRAND],Demand_Modeling_Week_level!J$2)</f>
        <v>0</v>
      </c>
      <c r="K241">
        <f>SUMIFS(Table1[Modeled_Demand],Table1[Key_Year_week_DC],Demand_Modeling_Week_level!$A241,Table1[BRAND],Demand_Modeling_Week_level!K$2)</f>
        <v>0</v>
      </c>
      <c r="L241">
        <f>SUMIFS(Table1[Demand],Table1[Key_Year_week_DC],Demand_Modeling_Week_level!$A241)</f>
        <v>0</v>
      </c>
      <c r="M241">
        <f t="shared" si="19"/>
        <v>0</v>
      </c>
      <c r="N241">
        <f>VLOOKUP(A241,Capacity!B:G,6,FALSE)</f>
        <v>0</v>
      </c>
      <c r="O241" s="20">
        <f t="shared" si="20"/>
        <v>0</v>
      </c>
      <c r="P241">
        <f t="shared" si="21"/>
        <v>0</v>
      </c>
    </row>
    <row r="242" spans="1:16" hidden="1" x14ac:dyDescent="0.3">
      <c r="A242" t="str">
        <f t="shared" si="24"/>
        <v>202248-WFC</v>
      </c>
      <c r="B242">
        <f t="shared" si="25"/>
        <v>202248</v>
      </c>
      <c r="C242" t="s">
        <v>7</v>
      </c>
      <c r="D242">
        <v>2022</v>
      </c>
      <c r="E242">
        <v>48</v>
      </c>
      <c r="F242">
        <f>SUMIFS(Table1[Modeled_Demand],Table1[Key_Year_week_DC],Demand_Modeling_Week_level!$A242,Table1[BRAND],Demand_Modeling_Week_level!F$2)</f>
        <v>0</v>
      </c>
      <c r="G242">
        <f>SUMIFS(Table1[Modeled_Demand],Table1[Key_Year_week_DC],Demand_Modeling_Week_level!$A242,Table1[BRAND],Demand_Modeling_Week_level!G$2)</f>
        <v>0</v>
      </c>
      <c r="H242">
        <f>SUMIFS(Table1[Modeled_Demand],Table1[Key_Year_week_DC],Demand_Modeling_Week_level!$A242,Table1[BRAND],Demand_Modeling_Week_level!H$2)</f>
        <v>0</v>
      </c>
      <c r="I242">
        <f>SUMIFS(Table1[Modeled_Demand],Table1[Key_Year_week_DC],Demand_Modeling_Week_level!$A242,Table1[BRAND],Demand_Modeling_Week_level!I$2)</f>
        <v>0</v>
      </c>
      <c r="J242">
        <f>SUMIFS(Table1[Modeled_Demand],Table1[Key_Year_week_DC],Demand_Modeling_Week_level!$A242,Table1[BRAND],Demand_Modeling_Week_level!J$2)</f>
        <v>0</v>
      </c>
      <c r="K242">
        <f>SUMIFS(Table1[Modeled_Demand],Table1[Key_Year_week_DC],Demand_Modeling_Week_level!$A242,Table1[BRAND],Demand_Modeling_Week_level!K$2)</f>
        <v>0</v>
      </c>
      <c r="L242">
        <f>SUMIFS(Table1[Demand],Table1[Key_Year_week_DC],Demand_Modeling_Week_level!$A242)</f>
        <v>0</v>
      </c>
      <c r="M242">
        <f t="shared" si="19"/>
        <v>0</v>
      </c>
      <c r="N242">
        <f>VLOOKUP(A242,Capacity!B:G,6,FALSE)</f>
        <v>0</v>
      </c>
      <c r="O242" s="20">
        <f t="shared" si="20"/>
        <v>0</v>
      </c>
      <c r="P242">
        <f t="shared" si="21"/>
        <v>0</v>
      </c>
    </row>
    <row r="243" spans="1:16" hidden="1" x14ac:dyDescent="0.3">
      <c r="A243" t="str">
        <f t="shared" si="24"/>
        <v>202343-EAO</v>
      </c>
      <c r="B243">
        <f t="shared" si="25"/>
        <v>202343</v>
      </c>
      <c r="C243" t="s">
        <v>8</v>
      </c>
      <c r="D243">
        <v>2023</v>
      </c>
      <c r="E243">
        <v>43</v>
      </c>
      <c r="F243">
        <f>SUMIFS(Table1[Modeled_Demand],Table1[Key_Year_week_DC],Demand_Modeling_Week_level!$A243,Table1[BRAND],Demand_Modeling_Week_level!F$2)</f>
        <v>29.995859083580093</v>
      </c>
      <c r="G243">
        <f>SUMIFS(Table1[Modeled_Demand],Table1[Key_Year_week_DC],Demand_Modeling_Week_level!$A243,Table1[BRAND],Demand_Modeling_Week_level!G$2)</f>
        <v>57.177581321924585</v>
      </c>
      <c r="H243">
        <f>SUMIFS(Table1[Modeled_Demand],Table1[Key_Year_week_DC],Demand_Modeling_Week_level!$A243,Table1[BRAND],Demand_Modeling_Week_level!H$2)</f>
        <v>0</v>
      </c>
      <c r="I243">
        <f>SUMIFS(Table1[Modeled_Demand],Table1[Key_Year_week_DC],Demand_Modeling_Week_level!$A243,Table1[BRAND],Demand_Modeling_Week_level!I$2)</f>
        <v>0</v>
      </c>
      <c r="J243">
        <f>SUMIFS(Table1[Modeled_Demand],Table1[Key_Year_week_DC],Demand_Modeling_Week_level!$A243,Table1[BRAND],Demand_Modeling_Week_level!J$2)</f>
        <v>0</v>
      </c>
      <c r="K243">
        <f>SUMIFS(Table1[Modeled_Demand],Table1[Key_Year_week_DC],Demand_Modeling_Week_level!$A243,Table1[BRAND],Demand_Modeling_Week_level!K$2)</f>
        <v>3362540.1599999997</v>
      </c>
      <c r="L243">
        <f>SUMIFS(Table1[Demand],Table1[Key_Year_week_DC],Demand_Modeling_Week_level!$A243)</f>
        <v>5332984</v>
      </c>
      <c r="M243">
        <f t="shared" si="19"/>
        <v>3362627.3334404053</v>
      </c>
      <c r="N243">
        <f>VLOOKUP(A243,Capacity!B:G,6,FALSE)</f>
        <v>2850022.8</v>
      </c>
      <c r="O243" s="20">
        <f t="shared" si="20"/>
        <v>1.8712074864804591</v>
      </c>
      <c r="P243">
        <f t="shared" si="21"/>
        <v>1.1798598009252437</v>
      </c>
    </row>
    <row r="244" spans="1:16" hidden="1" x14ac:dyDescent="0.3">
      <c r="A244" t="str">
        <f t="shared" si="24"/>
        <v>202343-OCC</v>
      </c>
      <c r="B244">
        <f t="shared" si="25"/>
        <v>202343</v>
      </c>
      <c r="C244" t="s">
        <v>11</v>
      </c>
      <c r="D244">
        <v>2023</v>
      </c>
      <c r="E244">
        <v>43</v>
      </c>
      <c r="F244">
        <f>SUMIFS(Table1[Modeled_Demand],Table1[Key_Year_week_DC],Demand_Modeling_Week_level!$A244,Table1[BRAND],Demand_Modeling_Week_level!F$2)</f>
        <v>0</v>
      </c>
      <c r="G244">
        <f>SUMIFS(Table1[Modeled_Demand],Table1[Key_Year_week_DC],Demand_Modeling_Week_level!$A244,Table1[BRAND],Demand_Modeling_Week_level!G$2)</f>
        <v>0</v>
      </c>
      <c r="H244">
        <f>SUMIFS(Table1[Modeled_Demand],Table1[Key_Year_week_DC],Demand_Modeling_Week_level!$A244,Table1[BRAND],Demand_Modeling_Week_level!H$2)</f>
        <v>0</v>
      </c>
      <c r="I244">
        <f>SUMIFS(Table1[Modeled_Demand],Table1[Key_Year_week_DC],Demand_Modeling_Week_level!$A244,Table1[BRAND],Demand_Modeling_Week_level!I$2)</f>
        <v>2645871.6</v>
      </c>
      <c r="J244">
        <f>SUMIFS(Table1[Modeled_Demand],Table1[Key_Year_week_DC],Demand_Modeling_Week_level!$A244,Table1[BRAND],Demand_Modeling_Week_level!J$2)</f>
        <v>0</v>
      </c>
      <c r="K244">
        <f>SUMIFS(Table1[Modeled_Demand],Table1[Key_Year_week_DC],Demand_Modeling_Week_level!$A244,Table1[BRAND],Demand_Modeling_Week_level!K$2)</f>
        <v>11368588.16</v>
      </c>
      <c r="L244">
        <f>SUMIFS(Table1[Demand],Table1[Key_Year_week_DC],Demand_Modeling_Week_level!$A244)</f>
        <v>0</v>
      </c>
      <c r="M244">
        <f t="shared" si="19"/>
        <v>14014459.76</v>
      </c>
      <c r="N244">
        <f>VLOOKUP(A244,Capacity!B:G,6,FALSE)</f>
        <v>13109971.5</v>
      </c>
      <c r="O244" s="20">
        <f t="shared" si="20"/>
        <v>0</v>
      </c>
      <c r="P244">
        <f t="shared" si="21"/>
        <v>1.0689923894952784</v>
      </c>
    </row>
    <row r="245" spans="1:16" hidden="1" x14ac:dyDescent="0.3">
      <c r="A245" t="str">
        <f t="shared" si="24"/>
        <v>202343-ODC</v>
      </c>
      <c r="B245">
        <f t="shared" si="25"/>
        <v>202343</v>
      </c>
      <c r="C245" t="s">
        <v>9</v>
      </c>
      <c r="D245">
        <v>2023</v>
      </c>
      <c r="E245">
        <v>43</v>
      </c>
      <c r="F245">
        <f>SUMIFS(Table1[Modeled_Demand],Table1[Key_Year_week_DC],Demand_Modeling_Week_level!$A245,Table1[BRAND],Demand_Modeling_Week_level!F$2)</f>
        <v>0</v>
      </c>
      <c r="G245">
        <f>SUMIFS(Table1[Modeled_Demand],Table1[Key_Year_week_DC],Demand_Modeling_Week_level!$A245,Table1[BRAND],Demand_Modeling_Week_level!G$2)</f>
        <v>0</v>
      </c>
      <c r="H245">
        <f>SUMIFS(Table1[Modeled_Demand],Table1[Key_Year_week_DC],Demand_Modeling_Week_level!$A245,Table1[BRAND],Demand_Modeling_Week_level!H$2)</f>
        <v>0</v>
      </c>
      <c r="I245">
        <f>SUMIFS(Table1[Modeled_Demand],Table1[Key_Year_week_DC],Demand_Modeling_Week_level!$A245,Table1[BRAND],Demand_Modeling_Week_level!I$2)</f>
        <v>0</v>
      </c>
      <c r="J245">
        <f>SUMIFS(Table1[Modeled_Demand],Table1[Key_Year_week_DC],Demand_Modeling_Week_level!$A245,Table1[BRAND],Demand_Modeling_Week_level!J$2)</f>
        <v>0</v>
      </c>
      <c r="K245">
        <f>SUMIFS(Table1[Modeled_Demand],Table1[Key_Year_week_DC],Demand_Modeling_Week_level!$A245,Table1[BRAND],Demand_Modeling_Week_level!K$2)</f>
        <v>0</v>
      </c>
      <c r="L245">
        <f>SUMIFS(Table1[Demand],Table1[Key_Year_week_DC],Demand_Modeling_Week_level!$A245)</f>
        <v>0</v>
      </c>
      <c r="M245">
        <f t="shared" si="19"/>
        <v>0</v>
      </c>
      <c r="N245" t="e">
        <f>VLOOKUP(A245,Capacity!B:G,6,FALSE)</f>
        <v>#N/A</v>
      </c>
      <c r="O245" s="20">
        <f t="shared" si="20"/>
        <v>0</v>
      </c>
      <c r="P245">
        <f t="shared" si="21"/>
        <v>0</v>
      </c>
    </row>
    <row r="246" spans="1:16" hidden="1" x14ac:dyDescent="0.3">
      <c r="A246" t="str">
        <f t="shared" si="24"/>
        <v>202343-OFC</v>
      </c>
      <c r="B246">
        <f t="shared" si="25"/>
        <v>202343</v>
      </c>
      <c r="C246" t="s">
        <v>5</v>
      </c>
      <c r="D246">
        <v>2023</v>
      </c>
      <c r="E246">
        <v>43</v>
      </c>
      <c r="F246">
        <f>SUMIFS(Table1[Modeled_Demand],Table1[Key_Year_week_DC],Demand_Modeling_Week_level!$A246,Table1[BRAND],Demand_Modeling_Week_level!F$2)</f>
        <v>0</v>
      </c>
      <c r="G246">
        <f>SUMIFS(Table1[Modeled_Demand],Table1[Key_Year_week_DC],Demand_Modeling_Week_level!$A246,Table1[BRAND],Demand_Modeling_Week_level!G$2)</f>
        <v>0</v>
      </c>
      <c r="H246">
        <f>SUMIFS(Table1[Modeled_Demand],Table1[Key_Year_week_DC],Demand_Modeling_Week_level!$A246,Table1[BRAND],Demand_Modeling_Week_level!H$2)</f>
        <v>1342268</v>
      </c>
      <c r="I246">
        <f>SUMIFS(Table1[Modeled_Demand],Table1[Key_Year_week_DC],Demand_Modeling_Week_level!$A246,Table1[BRAND],Demand_Modeling_Week_level!I$2)</f>
        <v>0</v>
      </c>
      <c r="J246">
        <f>SUMIFS(Table1[Modeled_Demand],Table1[Key_Year_week_DC],Demand_Modeling_Week_level!$A246,Table1[BRAND],Demand_Modeling_Week_level!J$2)</f>
        <v>4055883</v>
      </c>
      <c r="K246">
        <f>SUMIFS(Table1[Modeled_Demand],Table1[Key_Year_week_DC],Demand_Modeling_Week_level!$A246,Table1[BRAND],Demand_Modeling_Week_level!K$2)</f>
        <v>0</v>
      </c>
      <c r="L246">
        <f>SUMIFS(Table1[Demand],Table1[Key_Year_week_DC],Demand_Modeling_Week_level!$A246)</f>
        <v>15652711</v>
      </c>
      <c r="M246">
        <f t="shared" si="19"/>
        <v>5398151</v>
      </c>
      <c r="N246">
        <f>VLOOKUP(A246,Capacity!B:G,6,FALSE)</f>
        <v>4274982.9000000004</v>
      </c>
      <c r="O246" s="20">
        <f t="shared" si="20"/>
        <v>3.6614675113671211</v>
      </c>
      <c r="P246">
        <f t="shared" si="21"/>
        <v>1.2627304310386831</v>
      </c>
    </row>
    <row r="247" spans="1:16" hidden="1" x14ac:dyDescent="0.3">
      <c r="A247" t="str">
        <f t="shared" si="24"/>
        <v>202343-SFS</v>
      </c>
      <c r="B247">
        <f t="shared" si="25"/>
        <v>202343</v>
      </c>
      <c r="C247" t="s">
        <v>12</v>
      </c>
      <c r="D247">
        <v>2023</v>
      </c>
      <c r="E247">
        <v>43</v>
      </c>
      <c r="F247">
        <f>SUMIFS(Table1[Modeled_Demand],Table1[Key_Year_week_DC],Demand_Modeling_Week_level!$A247,Table1[BRAND],Demand_Modeling_Week_level!F$2)</f>
        <v>0</v>
      </c>
      <c r="G247">
        <f>SUMIFS(Table1[Modeled_Demand],Table1[Key_Year_week_DC],Demand_Modeling_Week_level!$A247,Table1[BRAND],Demand_Modeling_Week_level!G$2)</f>
        <v>0</v>
      </c>
      <c r="H247">
        <f>SUMIFS(Table1[Modeled_Demand],Table1[Key_Year_week_DC],Demand_Modeling_Week_level!$A247,Table1[BRAND],Demand_Modeling_Week_level!H$2)</f>
        <v>0</v>
      </c>
      <c r="I247">
        <f>SUMIFS(Table1[Modeled_Demand],Table1[Key_Year_week_DC],Demand_Modeling_Week_level!$A247,Table1[BRAND],Demand_Modeling_Week_level!I$2)</f>
        <v>0</v>
      </c>
      <c r="J247">
        <f>SUMIFS(Table1[Modeled_Demand],Table1[Key_Year_week_DC],Demand_Modeling_Week_level!$A247,Table1[BRAND],Demand_Modeling_Week_level!J$2)</f>
        <v>0</v>
      </c>
      <c r="K247">
        <f>SUMIFS(Table1[Modeled_Demand],Table1[Key_Year_week_DC],Demand_Modeling_Week_level!$A247,Table1[BRAND],Demand_Modeling_Week_level!K$2)</f>
        <v>0</v>
      </c>
      <c r="L247">
        <f>SUMIFS(Table1[Demand],Table1[Key_Year_week_DC],Demand_Modeling_Week_level!$A247)</f>
        <v>0</v>
      </c>
      <c r="M247">
        <f t="shared" si="19"/>
        <v>0</v>
      </c>
      <c r="N247" t="e">
        <f>VLOOKUP(A247,Capacity!B:G,6,FALSE)</f>
        <v>#N/A</v>
      </c>
      <c r="O247" s="20">
        <f t="shared" si="20"/>
        <v>0</v>
      </c>
      <c r="P247">
        <f t="shared" si="21"/>
        <v>0</v>
      </c>
    </row>
    <row r="248" spans="1:16" hidden="1" x14ac:dyDescent="0.3">
      <c r="A248" t="str">
        <f t="shared" si="24"/>
        <v>202343-TFC</v>
      </c>
      <c r="B248">
        <f t="shared" si="25"/>
        <v>202343</v>
      </c>
      <c r="C248" t="s">
        <v>6</v>
      </c>
      <c r="D248">
        <v>2023</v>
      </c>
      <c r="E248">
        <v>43</v>
      </c>
      <c r="F248">
        <f>SUMIFS(Table1[Modeled_Demand],Table1[Key_Year_week_DC],Demand_Modeling_Week_level!$A248,Table1[BRAND],Demand_Modeling_Week_level!F$2)</f>
        <v>870171</v>
      </c>
      <c r="G248">
        <f>SUMIFS(Table1[Modeled_Demand],Table1[Key_Year_week_DC],Demand_Modeling_Week_level!$A248,Table1[BRAND],Demand_Modeling_Week_level!G$2)</f>
        <v>1350439</v>
      </c>
      <c r="H248">
        <f>SUMIFS(Table1[Modeled_Demand],Table1[Key_Year_week_DC],Demand_Modeling_Week_level!$A248,Table1[BRAND],Demand_Modeling_Week_level!H$2)</f>
        <v>0</v>
      </c>
      <c r="I248">
        <f>SUMIFS(Table1[Modeled_Demand],Table1[Key_Year_week_DC],Demand_Modeling_Week_level!$A248,Table1[BRAND],Demand_Modeling_Week_level!I$2)</f>
        <v>2204893</v>
      </c>
      <c r="J248">
        <f>SUMIFS(Table1[Modeled_Demand],Table1[Key_Year_week_DC],Demand_Modeling_Week_level!$A248,Table1[BRAND],Demand_Modeling_Week_level!J$2)</f>
        <v>0</v>
      </c>
      <c r="K248">
        <f>SUMIFS(Table1[Modeled_Demand],Table1[Key_Year_week_DC],Demand_Modeling_Week_level!$A248,Table1[BRAND],Demand_Modeling_Week_level!K$2)</f>
        <v>0</v>
      </c>
      <c r="L248">
        <f>SUMIFS(Table1[Demand],Table1[Key_Year_week_DC],Demand_Modeling_Week_level!$A248)</f>
        <v>5063752</v>
      </c>
      <c r="M248">
        <f t="shared" si="19"/>
        <v>4425503</v>
      </c>
      <c r="N248">
        <f>VLOOKUP(A248,Capacity!B:G,6,FALSE)</f>
        <v>4274982.9000000004</v>
      </c>
      <c r="O248" s="20">
        <f t="shared" si="20"/>
        <v>1.1845081298453848</v>
      </c>
      <c r="P248">
        <f t="shared" si="21"/>
        <v>1.0352095209550427</v>
      </c>
    </row>
    <row r="249" spans="1:16" hidden="1" x14ac:dyDescent="0.3">
      <c r="A249" t="str">
        <f t="shared" si="24"/>
        <v>202343-WEO</v>
      </c>
      <c r="B249">
        <f t="shared" si="25"/>
        <v>202343</v>
      </c>
      <c r="C249" t="s">
        <v>10</v>
      </c>
      <c r="D249">
        <v>2023</v>
      </c>
      <c r="E249">
        <v>43</v>
      </c>
      <c r="F249">
        <f>SUMIFS(Table1[Modeled_Demand],Table1[Key_Year_week_DC],Demand_Modeling_Week_level!$A249,Table1[BRAND],Demand_Modeling_Week_level!F$2)</f>
        <v>0</v>
      </c>
      <c r="G249">
        <f>SUMIFS(Table1[Modeled_Demand],Table1[Key_Year_week_DC],Demand_Modeling_Week_level!$A249,Table1[BRAND],Demand_Modeling_Week_level!G$2)</f>
        <v>0</v>
      </c>
      <c r="H249">
        <f>SUMIFS(Table1[Modeled_Demand],Table1[Key_Year_week_DC],Demand_Modeling_Week_level!$A249,Table1[BRAND],Demand_Modeling_Week_level!H$2)</f>
        <v>0</v>
      </c>
      <c r="I249">
        <f>SUMIFS(Table1[Modeled_Demand],Table1[Key_Year_week_DC],Demand_Modeling_Week_level!$A249,Table1[BRAND],Demand_Modeling_Week_level!I$2)</f>
        <v>3968807.4</v>
      </c>
      <c r="J249">
        <f>SUMIFS(Table1[Modeled_Demand],Table1[Key_Year_week_DC],Demand_Modeling_Week_level!$A249,Table1[BRAND],Demand_Modeling_Week_level!J$2)</f>
        <v>0</v>
      </c>
      <c r="K249">
        <f>SUMIFS(Table1[Modeled_Demand],Table1[Key_Year_week_DC],Demand_Modeling_Week_level!$A249,Table1[BRAND],Demand_Modeling_Week_level!K$2)</f>
        <v>1280967.6799999999</v>
      </c>
      <c r="L249">
        <f>SUMIFS(Table1[Demand],Table1[Key_Year_week_DC],Demand_Modeling_Week_level!$A249)</f>
        <v>2929678</v>
      </c>
      <c r="M249">
        <f t="shared" si="19"/>
        <v>5249775.08</v>
      </c>
      <c r="N249">
        <f>VLOOKUP(A249,Capacity!B:G,6,FALSE)</f>
        <v>4274982.9000000004</v>
      </c>
      <c r="O249" s="20">
        <f t="shared" si="20"/>
        <v>0.68530753655178356</v>
      </c>
      <c r="P249">
        <f t="shared" si="21"/>
        <v>1.228022474662998</v>
      </c>
    </row>
    <row r="250" spans="1:16" hidden="1" x14ac:dyDescent="0.3">
      <c r="A250" t="str">
        <f t="shared" si="24"/>
        <v>202343-WFC</v>
      </c>
      <c r="B250">
        <f t="shared" si="25"/>
        <v>202343</v>
      </c>
      <c r="C250" t="s">
        <v>7</v>
      </c>
      <c r="D250">
        <v>2023</v>
      </c>
      <c r="E250">
        <v>43</v>
      </c>
      <c r="F250">
        <f>SUMIFS(Table1[Modeled_Demand],Table1[Key_Year_week_DC],Demand_Modeling_Week_level!$A250,Table1[BRAND],Demand_Modeling_Week_level!F$2)</f>
        <v>0</v>
      </c>
      <c r="G250">
        <f>SUMIFS(Table1[Modeled_Demand],Table1[Key_Year_week_DC],Demand_Modeling_Week_level!$A250,Table1[BRAND],Demand_Modeling_Week_level!G$2)</f>
        <v>4.7210846963056996</v>
      </c>
      <c r="H250">
        <f>SUMIFS(Table1[Modeled_Demand],Table1[Key_Year_week_DC],Demand_Modeling_Week_level!$A250,Table1[BRAND],Demand_Modeling_Week_level!H$2)</f>
        <v>0</v>
      </c>
      <c r="I250">
        <f>SUMIFS(Table1[Modeled_Demand],Table1[Key_Year_week_DC],Demand_Modeling_Week_level!$A250,Table1[BRAND],Demand_Modeling_Week_level!I$2)</f>
        <v>0</v>
      </c>
      <c r="J250">
        <f>SUMIFS(Table1[Modeled_Demand],Table1[Key_Year_week_DC],Demand_Modeling_Week_level!$A250,Table1[BRAND],Demand_Modeling_Week_level!J$2)</f>
        <v>0</v>
      </c>
      <c r="K250">
        <f>SUMIFS(Table1[Modeled_Demand],Table1[Key_Year_week_DC],Demand_Modeling_Week_level!$A250,Table1[BRAND],Demand_Modeling_Week_level!K$2)</f>
        <v>0</v>
      </c>
      <c r="L250">
        <f>SUMIFS(Table1[Demand],Table1[Key_Year_week_DC],Demand_Modeling_Week_level!$A250)</f>
        <v>3471304</v>
      </c>
      <c r="M250">
        <f t="shared" si="19"/>
        <v>4.7210846963056996</v>
      </c>
      <c r="N250">
        <f>VLOOKUP(A250,Capacity!B:G,6,FALSE)</f>
        <v>0</v>
      </c>
      <c r="O250" s="20">
        <f t="shared" si="20"/>
        <v>0</v>
      </c>
      <c r="P250">
        <f t="shared" si="21"/>
        <v>0</v>
      </c>
    </row>
    <row r="251" spans="1:16" hidden="1" x14ac:dyDescent="0.3">
      <c r="A251" t="str">
        <f t="shared" si="24"/>
        <v>202344-EAO</v>
      </c>
      <c r="B251">
        <f t="shared" si="25"/>
        <v>202344</v>
      </c>
      <c r="C251" t="s">
        <v>8</v>
      </c>
      <c r="D251">
        <v>2023</v>
      </c>
      <c r="E251">
        <v>44</v>
      </c>
      <c r="F251">
        <f>SUMIFS(Table1[Modeled_Demand],Table1[Key_Year_week_DC],Demand_Modeling_Week_level!$A251,Table1[BRAND],Demand_Modeling_Week_level!F$2)</f>
        <v>23.68690127490121</v>
      </c>
      <c r="G251">
        <f>SUMIFS(Table1[Modeled_Demand],Table1[Key_Year_week_DC],Demand_Modeling_Week_level!$A251,Table1[BRAND],Demand_Modeling_Week_level!G$2)</f>
        <v>44.788856268533458</v>
      </c>
      <c r="H251">
        <f>SUMIFS(Table1[Modeled_Demand],Table1[Key_Year_week_DC],Demand_Modeling_Week_level!$A251,Table1[BRAND],Demand_Modeling_Week_level!H$2)</f>
        <v>0</v>
      </c>
      <c r="I251">
        <f>SUMIFS(Table1[Modeled_Demand],Table1[Key_Year_week_DC],Demand_Modeling_Week_level!$A251,Table1[BRAND],Demand_Modeling_Week_level!I$2)</f>
        <v>0</v>
      </c>
      <c r="J251">
        <f>SUMIFS(Table1[Modeled_Demand],Table1[Key_Year_week_DC],Demand_Modeling_Week_level!$A251,Table1[BRAND],Demand_Modeling_Week_level!J$2)</f>
        <v>0</v>
      </c>
      <c r="K251">
        <f>SUMIFS(Table1[Modeled_Demand],Table1[Key_Year_week_DC],Demand_Modeling_Week_level!$A251,Table1[BRAND],Demand_Modeling_Week_level!K$2)</f>
        <v>2687391.42</v>
      </c>
      <c r="L251">
        <f>SUMIFS(Table1[Demand],Table1[Key_Year_week_DC],Demand_Modeling_Week_level!$A251)</f>
        <v>4857585</v>
      </c>
      <c r="M251">
        <f t="shared" si="19"/>
        <v>2687459.8957575434</v>
      </c>
      <c r="N251">
        <f>VLOOKUP(A251,Capacity!B:G,6,FALSE)</f>
        <v>3150025.2</v>
      </c>
      <c r="O251" s="20">
        <f t="shared" si="20"/>
        <v>1.5420781395653596</v>
      </c>
      <c r="P251">
        <f t="shared" si="21"/>
        <v>0.85315504642868989</v>
      </c>
    </row>
    <row r="252" spans="1:16" hidden="1" x14ac:dyDescent="0.3">
      <c r="A252" t="str">
        <f t="shared" si="24"/>
        <v>202344-OCC</v>
      </c>
      <c r="B252">
        <f t="shared" si="25"/>
        <v>202344</v>
      </c>
      <c r="C252" t="s">
        <v>11</v>
      </c>
      <c r="D252">
        <v>2023</v>
      </c>
      <c r="E252">
        <v>44</v>
      </c>
      <c r="F252">
        <f>SUMIFS(Table1[Modeled_Demand],Table1[Key_Year_week_DC],Demand_Modeling_Week_level!$A252,Table1[BRAND],Demand_Modeling_Week_level!F$2)</f>
        <v>0</v>
      </c>
      <c r="G252">
        <f>SUMIFS(Table1[Modeled_Demand],Table1[Key_Year_week_DC],Demand_Modeling_Week_level!$A252,Table1[BRAND],Demand_Modeling_Week_level!G$2)</f>
        <v>0</v>
      </c>
      <c r="H252">
        <f>SUMIFS(Table1[Modeled_Demand],Table1[Key_Year_week_DC],Demand_Modeling_Week_level!$A252,Table1[BRAND],Demand_Modeling_Week_level!H$2)</f>
        <v>0</v>
      </c>
      <c r="I252">
        <f>SUMIFS(Table1[Modeled_Demand],Table1[Key_Year_week_DC],Demand_Modeling_Week_level!$A252,Table1[BRAND],Demand_Modeling_Week_level!I$2)</f>
        <v>1756696.5</v>
      </c>
      <c r="J252">
        <f>SUMIFS(Table1[Modeled_Demand],Table1[Key_Year_week_DC],Demand_Modeling_Week_level!$A252,Table1[BRAND],Demand_Modeling_Week_level!J$2)</f>
        <v>0</v>
      </c>
      <c r="K252">
        <f>SUMIFS(Table1[Modeled_Demand],Table1[Key_Year_week_DC],Demand_Modeling_Week_level!$A252,Table1[BRAND],Demand_Modeling_Week_level!K$2)</f>
        <v>9085942.4199999999</v>
      </c>
      <c r="L252">
        <f>SUMIFS(Table1[Demand],Table1[Key_Year_week_DC],Demand_Modeling_Week_level!$A252)</f>
        <v>0</v>
      </c>
      <c r="M252">
        <f t="shared" si="19"/>
        <v>10842638.92</v>
      </c>
      <c r="N252">
        <f>VLOOKUP(A252,Capacity!B:G,6,FALSE)</f>
        <v>14489968.5</v>
      </c>
      <c r="O252" s="20">
        <f t="shared" si="20"/>
        <v>0</v>
      </c>
      <c r="P252">
        <f t="shared" si="21"/>
        <v>0.74828588619775127</v>
      </c>
    </row>
    <row r="253" spans="1:16" hidden="1" x14ac:dyDescent="0.3">
      <c r="A253" t="str">
        <f t="shared" si="24"/>
        <v>202344-ODC</v>
      </c>
      <c r="B253">
        <f t="shared" si="25"/>
        <v>202344</v>
      </c>
      <c r="C253" t="s">
        <v>9</v>
      </c>
      <c r="D253">
        <v>2023</v>
      </c>
      <c r="E253">
        <v>44</v>
      </c>
      <c r="F253">
        <f>SUMIFS(Table1[Modeled_Demand],Table1[Key_Year_week_DC],Demand_Modeling_Week_level!$A253,Table1[BRAND],Demand_Modeling_Week_level!F$2)</f>
        <v>0</v>
      </c>
      <c r="G253">
        <f>SUMIFS(Table1[Modeled_Demand],Table1[Key_Year_week_DC],Demand_Modeling_Week_level!$A253,Table1[BRAND],Demand_Modeling_Week_level!G$2)</f>
        <v>0</v>
      </c>
      <c r="H253">
        <f>SUMIFS(Table1[Modeled_Demand],Table1[Key_Year_week_DC],Demand_Modeling_Week_level!$A253,Table1[BRAND],Demand_Modeling_Week_level!H$2)</f>
        <v>0</v>
      </c>
      <c r="I253">
        <f>SUMIFS(Table1[Modeled_Demand],Table1[Key_Year_week_DC],Demand_Modeling_Week_level!$A253,Table1[BRAND],Demand_Modeling_Week_level!I$2)</f>
        <v>0</v>
      </c>
      <c r="J253">
        <f>SUMIFS(Table1[Modeled_Demand],Table1[Key_Year_week_DC],Demand_Modeling_Week_level!$A253,Table1[BRAND],Demand_Modeling_Week_level!J$2)</f>
        <v>0</v>
      </c>
      <c r="K253">
        <f>SUMIFS(Table1[Modeled_Demand],Table1[Key_Year_week_DC],Demand_Modeling_Week_level!$A253,Table1[BRAND],Demand_Modeling_Week_level!K$2)</f>
        <v>0</v>
      </c>
      <c r="L253">
        <f>SUMIFS(Table1[Demand],Table1[Key_Year_week_DC],Demand_Modeling_Week_level!$A253)</f>
        <v>0</v>
      </c>
      <c r="M253">
        <f t="shared" si="19"/>
        <v>0</v>
      </c>
      <c r="N253" t="e">
        <f>VLOOKUP(A253,Capacity!B:G,6,FALSE)</f>
        <v>#N/A</v>
      </c>
      <c r="O253" s="20">
        <f t="shared" si="20"/>
        <v>0</v>
      </c>
      <c r="P253">
        <f t="shared" si="21"/>
        <v>0</v>
      </c>
    </row>
    <row r="254" spans="1:16" hidden="1" x14ac:dyDescent="0.3">
      <c r="A254" t="str">
        <f t="shared" si="24"/>
        <v>202344-OFC</v>
      </c>
      <c r="B254">
        <f t="shared" si="25"/>
        <v>202344</v>
      </c>
      <c r="C254" t="s">
        <v>5</v>
      </c>
      <c r="D254">
        <v>2023</v>
      </c>
      <c r="E254">
        <v>44</v>
      </c>
      <c r="F254">
        <f>SUMIFS(Table1[Modeled_Demand],Table1[Key_Year_week_DC],Demand_Modeling_Week_level!$A254,Table1[BRAND],Demand_Modeling_Week_level!F$2)</f>
        <v>0</v>
      </c>
      <c r="G254">
        <f>SUMIFS(Table1[Modeled_Demand],Table1[Key_Year_week_DC],Demand_Modeling_Week_level!$A254,Table1[BRAND],Demand_Modeling_Week_level!G$2)</f>
        <v>0</v>
      </c>
      <c r="H254">
        <f>SUMIFS(Table1[Modeled_Demand],Table1[Key_Year_week_DC],Demand_Modeling_Week_level!$A254,Table1[BRAND],Demand_Modeling_Week_level!H$2)</f>
        <v>844124</v>
      </c>
      <c r="I254">
        <f>SUMIFS(Table1[Modeled_Demand],Table1[Key_Year_week_DC],Demand_Modeling_Week_level!$A254,Table1[BRAND],Demand_Modeling_Week_level!I$2)</f>
        <v>0</v>
      </c>
      <c r="J254">
        <f>SUMIFS(Table1[Modeled_Demand],Table1[Key_Year_week_DC],Demand_Modeling_Week_level!$A254,Table1[BRAND],Demand_Modeling_Week_level!J$2)</f>
        <v>2900898</v>
      </c>
      <c r="K254">
        <f>SUMIFS(Table1[Modeled_Demand],Table1[Key_Year_week_DC],Demand_Modeling_Week_level!$A254,Table1[BRAND],Demand_Modeling_Week_level!K$2)</f>
        <v>0</v>
      </c>
      <c r="L254">
        <f>SUMIFS(Table1[Demand],Table1[Key_Year_week_DC],Demand_Modeling_Week_level!$A254)</f>
        <v>11433766</v>
      </c>
      <c r="M254">
        <f t="shared" si="19"/>
        <v>3745022</v>
      </c>
      <c r="N254">
        <f>VLOOKUP(A254,Capacity!B:G,6,FALSE)</f>
        <v>4724981.1000000099</v>
      </c>
      <c r="O254" s="20">
        <f t="shared" si="20"/>
        <v>2.4198543355019932</v>
      </c>
      <c r="P254">
        <f t="shared" si="21"/>
        <v>0.79260041907892331</v>
      </c>
    </row>
    <row r="255" spans="1:16" hidden="1" x14ac:dyDescent="0.3">
      <c r="A255" t="str">
        <f t="shared" si="24"/>
        <v>202344-SFS</v>
      </c>
      <c r="B255">
        <f t="shared" si="25"/>
        <v>202344</v>
      </c>
      <c r="C255" t="s">
        <v>12</v>
      </c>
      <c r="D255">
        <v>2023</v>
      </c>
      <c r="E255">
        <v>44</v>
      </c>
      <c r="F255">
        <f>SUMIFS(Table1[Modeled_Demand],Table1[Key_Year_week_DC],Demand_Modeling_Week_level!$A255,Table1[BRAND],Demand_Modeling_Week_level!F$2)</f>
        <v>0</v>
      </c>
      <c r="G255">
        <f>SUMIFS(Table1[Modeled_Demand],Table1[Key_Year_week_DC],Demand_Modeling_Week_level!$A255,Table1[BRAND],Demand_Modeling_Week_level!G$2)</f>
        <v>0</v>
      </c>
      <c r="H255">
        <f>SUMIFS(Table1[Modeled_Demand],Table1[Key_Year_week_DC],Demand_Modeling_Week_level!$A255,Table1[BRAND],Demand_Modeling_Week_level!H$2)</f>
        <v>0</v>
      </c>
      <c r="I255">
        <f>SUMIFS(Table1[Modeled_Demand],Table1[Key_Year_week_DC],Demand_Modeling_Week_level!$A255,Table1[BRAND],Demand_Modeling_Week_level!I$2)</f>
        <v>0</v>
      </c>
      <c r="J255">
        <f>SUMIFS(Table1[Modeled_Demand],Table1[Key_Year_week_DC],Demand_Modeling_Week_level!$A255,Table1[BRAND],Demand_Modeling_Week_level!J$2)</f>
        <v>0</v>
      </c>
      <c r="K255">
        <f>SUMIFS(Table1[Modeled_Demand],Table1[Key_Year_week_DC],Demand_Modeling_Week_level!$A255,Table1[BRAND],Demand_Modeling_Week_level!K$2)</f>
        <v>0</v>
      </c>
      <c r="L255">
        <f>SUMIFS(Table1[Demand],Table1[Key_Year_week_DC],Demand_Modeling_Week_level!$A255)</f>
        <v>0</v>
      </c>
      <c r="M255">
        <f t="shared" si="19"/>
        <v>0</v>
      </c>
      <c r="N255" t="e">
        <f>VLOOKUP(A255,Capacity!B:G,6,FALSE)</f>
        <v>#N/A</v>
      </c>
      <c r="O255" s="20">
        <f t="shared" si="20"/>
        <v>0</v>
      </c>
      <c r="P255">
        <f t="shared" si="21"/>
        <v>0</v>
      </c>
    </row>
    <row r="256" spans="1:16" hidden="1" x14ac:dyDescent="0.3">
      <c r="A256" t="str">
        <f t="shared" si="24"/>
        <v>202344-TFC</v>
      </c>
      <c r="B256">
        <f t="shared" si="25"/>
        <v>202344</v>
      </c>
      <c r="C256" t="s">
        <v>6</v>
      </c>
      <c r="D256">
        <v>2023</v>
      </c>
      <c r="E256">
        <v>44</v>
      </c>
      <c r="F256">
        <f>SUMIFS(Table1[Modeled_Demand],Table1[Key_Year_week_DC],Demand_Modeling_Week_level!$A256,Table1[BRAND],Demand_Modeling_Week_level!F$2)</f>
        <v>687150</v>
      </c>
      <c r="G256">
        <f>SUMIFS(Table1[Modeled_Demand],Table1[Key_Year_week_DC],Demand_Modeling_Week_level!$A256,Table1[BRAND],Demand_Modeling_Week_level!G$2)</f>
        <v>1057838</v>
      </c>
      <c r="H256">
        <f>SUMIFS(Table1[Modeled_Demand],Table1[Key_Year_week_DC],Demand_Modeling_Week_level!$A256,Table1[BRAND],Demand_Modeling_Week_level!H$2)</f>
        <v>0</v>
      </c>
      <c r="I256">
        <f>SUMIFS(Table1[Modeled_Demand],Table1[Key_Year_week_DC],Demand_Modeling_Week_level!$A256,Table1[BRAND],Demand_Modeling_Week_level!I$2)</f>
        <v>1463913.75</v>
      </c>
      <c r="J256">
        <f>SUMIFS(Table1[Modeled_Demand],Table1[Key_Year_week_DC],Demand_Modeling_Week_level!$A256,Table1[BRAND],Demand_Modeling_Week_level!J$2)</f>
        <v>0</v>
      </c>
      <c r="K256">
        <f>SUMIFS(Table1[Modeled_Demand],Table1[Key_Year_week_DC],Demand_Modeling_Week_level!$A256,Table1[BRAND],Demand_Modeling_Week_level!K$2)</f>
        <v>0</v>
      </c>
      <c r="L256">
        <f>SUMIFS(Table1[Demand],Table1[Key_Year_week_DC],Demand_Modeling_Week_level!$A256)</f>
        <v>3183151</v>
      </c>
      <c r="M256">
        <f t="shared" si="19"/>
        <v>3208901.75</v>
      </c>
      <c r="N256">
        <f>VLOOKUP(A256,Capacity!B:G,6,FALSE)</f>
        <v>4724981.1000000099</v>
      </c>
      <c r="O256" s="20">
        <f t="shared" si="20"/>
        <v>0.67368544606453418</v>
      </c>
      <c r="P256">
        <f t="shared" si="21"/>
        <v>0.67913536204409231</v>
      </c>
    </row>
    <row r="257" spans="1:16" hidden="1" x14ac:dyDescent="0.3">
      <c r="A257" t="str">
        <f t="shared" si="24"/>
        <v>202344-WEO</v>
      </c>
      <c r="B257">
        <f t="shared" si="25"/>
        <v>202344</v>
      </c>
      <c r="C257" t="s">
        <v>10</v>
      </c>
      <c r="D257">
        <v>2023</v>
      </c>
      <c r="E257">
        <v>44</v>
      </c>
      <c r="F257">
        <f>SUMIFS(Table1[Modeled_Demand],Table1[Key_Year_week_DC],Demand_Modeling_Week_level!$A257,Table1[BRAND],Demand_Modeling_Week_level!F$2)</f>
        <v>0</v>
      </c>
      <c r="G257">
        <f>SUMIFS(Table1[Modeled_Demand],Table1[Key_Year_week_DC],Demand_Modeling_Week_level!$A257,Table1[BRAND],Demand_Modeling_Week_level!G$2)</f>
        <v>0</v>
      </c>
      <c r="H257">
        <f>SUMIFS(Table1[Modeled_Demand],Table1[Key_Year_week_DC],Demand_Modeling_Week_level!$A257,Table1[BRAND],Demand_Modeling_Week_level!H$2)</f>
        <v>0</v>
      </c>
      <c r="I257">
        <f>SUMIFS(Table1[Modeled_Demand],Table1[Key_Year_week_DC],Demand_Modeling_Week_level!$A257,Table1[BRAND],Demand_Modeling_Week_level!I$2)</f>
        <v>2635044.75</v>
      </c>
      <c r="J257">
        <f>SUMIFS(Table1[Modeled_Demand],Table1[Key_Year_week_DC],Demand_Modeling_Week_level!$A257,Table1[BRAND],Demand_Modeling_Week_level!J$2)</f>
        <v>0</v>
      </c>
      <c r="K257">
        <f>SUMIFS(Table1[Modeled_Demand],Table1[Key_Year_week_DC],Demand_Modeling_Week_level!$A257,Table1[BRAND],Demand_Modeling_Week_level!K$2)</f>
        <v>1023768.16</v>
      </c>
      <c r="L257">
        <f>SUMIFS(Table1[Demand],Table1[Key_Year_week_DC],Demand_Modeling_Week_level!$A257)</f>
        <v>1930685</v>
      </c>
      <c r="M257">
        <f t="shared" si="19"/>
        <v>3658812.91</v>
      </c>
      <c r="N257">
        <f>VLOOKUP(A257,Capacity!B:G,6,FALSE)</f>
        <v>4724981.1000000099</v>
      </c>
      <c r="O257" s="20">
        <f t="shared" si="20"/>
        <v>0.40861221645944701</v>
      </c>
      <c r="P257">
        <f t="shared" si="21"/>
        <v>0.77435503604448119</v>
      </c>
    </row>
    <row r="258" spans="1:16" hidden="1" x14ac:dyDescent="0.3">
      <c r="A258" t="str">
        <f t="shared" si="24"/>
        <v>202344-WFC</v>
      </c>
      <c r="B258">
        <f t="shared" si="25"/>
        <v>202344</v>
      </c>
      <c r="C258" t="s">
        <v>7</v>
      </c>
      <c r="D258">
        <v>2023</v>
      </c>
      <c r="E258">
        <v>44</v>
      </c>
      <c r="F258">
        <f>SUMIFS(Table1[Modeled_Demand],Table1[Key_Year_week_DC],Demand_Modeling_Week_level!$A258,Table1[BRAND],Demand_Modeling_Week_level!F$2)</f>
        <v>0</v>
      </c>
      <c r="G258">
        <f>SUMIFS(Table1[Modeled_Demand],Table1[Key_Year_week_DC],Demand_Modeling_Week_level!$A258,Table1[BRAND],Demand_Modeling_Week_level!G$2)</f>
        <v>3.6981624441908361</v>
      </c>
      <c r="H258">
        <f>SUMIFS(Table1[Modeled_Demand],Table1[Key_Year_week_DC],Demand_Modeling_Week_level!$A258,Table1[BRAND],Demand_Modeling_Week_level!H$2)</f>
        <v>0</v>
      </c>
      <c r="I258">
        <f>SUMIFS(Table1[Modeled_Demand],Table1[Key_Year_week_DC],Demand_Modeling_Week_level!$A258,Table1[BRAND],Demand_Modeling_Week_level!I$2)</f>
        <v>0</v>
      </c>
      <c r="J258">
        <f>SUMIFS(Table1[Modeled_Demand],Table1[Key_Year_week_DC],Demand_Modeling_Week_level!$A258,Table1[BRAND],Demand_Modeling_Week_level!J$2)</f>
        <v>0</v>
      </c>
      <c r="K258">
        <f>SUMIFS(Table1[Modeled_Demand],Table1[Key_Year_week_DC],Demand_Modeling_Week_level!$A258,Table1[BRAND],Demand_Modeling_Week_level!K$2)</f>
        <v>0</v>
      </c>
      <c r="L258">
        <f>SUMIFS(Table1[Demand],Table1[Key_Year_week_DC],Demand_Modeling_Week_level!$A258)</f>
        <v>2737580</v>
      </c>
      <c r="M258">
        <f t="shared" si="19"/>
        <v>3.6981624441908361</v>
      </c>
      <c r="N258">
        <f>VLOOKUP(A258,Capacity!B:G,6,FALSE)</f>
        <v>0</v>
      </c>
      <c r="O258" s="20">
        <f t="shared" si="20"/>
        <v>0</v>
      </c>
      <c r="P258">
        <f t="shared" si="21"/>
        <v>0</v>
      </c>
    </row>
    <row r="259" spans="1:16" hidden="1" x14ac:dyDescent="0.3">
      <c r="A259" t="str">
        <f t="shared" si="24"/>
        <v>202345-EAO</v>
      </c>
      <c r="B259">
        <f t="shared" si="25"/>
        <v>202345</v>
      </c>
      <c r="C259" t="s">
        <v>8</v>
      </c>
      <c r="D259">
        <v>2023</v>
      </c>
      <c r="E259">
        <v>45</v>
      </c>
      <c r="F259">
        <f>SUMIFS(Table1[Modeled_Demand],Table1[Key_Year_week_DC],Demand_Modeling_Week_level!$A259,Table1[BRAND],Demand_Modeling_Week_level!F$2)</f>
        <v>15.217114816848563</v>
      </c>
      <c r="G259">
        <f>SUMIFS(Table1[Modeled_Demand],Table1[Key_Year_week_DC],Demand_Modeling_Week_level!$A259,Table1[BRAND],Demand_Modeling_Week_level!G$2)</f>
        <v>21.58217765862155</v>
      </c>
      <c r="H259">
        <f>SUMIFS(Table1[Modeled_Demand],Table1[Key_Year_week_DC],Demand_Modeling_Week_level!$A259,Table1[BRAND],Demand_Modeling_Week_level!H$2)</f>
        <v>0</v>
      </c>
      <c r="I259">
        <f>SUMIFS(Table1[Modeled_Demand],Table1[Key_Year_week_DC],Demand_Modeling_Week_level!$A259,Table1[BRAND],Demand_Modeling_Week_level!I$2)</f>
        <v>0</v>
      </c>
      <c r="J259">
        <f>SUMIFS(Table1[Modeled_Demand],Table1[Key_Year_week_DC],Demand_Modeling_Week_level!$A259,Table1[BRAND],Demand_Modeling_Week_level!J$2)</f>
        <v>0</v>
      </c>
      <c r="K259">
        <f>SUMIFS(Table1[Modeled_Demand],Table1[Key_Year_week_DC],Demand_Modeling_Week_level!$A259,Table1[BRAND],Demand_Modeling_Week_level!K$2)</f>
        <v>1415503.95</v>
      </c>
      <c r="L259">
        <f>SUMIFS(Table1[Demand],Table1[Key_Year_week_DC],Demand_Modeling_Week_level!$A259)</f>
        <v>1711276</v>
      </c>
      <c r="M259">
        <f t="shared" si="19"/>
        <v>1415540.7492924754</v>
      </c>
      <c r="N259">
        <f>VLOOKUP(A259,Capacity!B:G,6,FALSE)</f>
        <v>3150025.2</v>
      </c>
      <c r="O259" s="20">
        <f t="shared" si="20"/>
        <v>0.54325787615921295</v>
      </c>
      <c r="P259">
        <f t="shared" si="21"/>
        <v>0.44937442065303962</v>
      </c>
    </row>
    <row r="260" spans="1:16" hidden="1" x14ac:dyDescent="0.3">
      <c r="A260" t="str">
        <f t="shared" si="24"/>
        <v>202345-OCC</v>
      </c>
      <c r="B260">
        <f t="shared" si="25"/>
        <v>202345</v>
      </c>
      <c r="C260" t="s">
        <v>11</v>
      </c>
      <c r="D260">
        <v>2023</v>
      </c>
      <c r="E260">
        <v>45</v>
      </c>
      <c r="F260">
        <f>SUMIFS(Table1[Modeled_Demand],Table1[Key_Year_week_DC],Demand_Modeling_Week_level!$A260,Table1[BRAND],Demand_Modeling_Week_level!F$2)</f>
        <v>0</v>
      </c>
      <c r="G260">
        <f>SUMIFS(Table1[Modeled_Demand],Table1[Key_Year_week_DC],Demand_Modeling_Week_level!$A260,Table1[BRAND],Demand_Modeling_Week_level!G$2)</f>
        <v>0</v>
      </c>
      <c r="H260">
        <f>SUMIFS(Table1[Modeled_Demand],Table1[Key_Year_week_DC],Demand_Modeling_Week_level!$A260,Table1[BRAND],Demand_Modeling_Week_level!H$2)</f>
        <v>0</v>
      </c>
      <c r="I260">
        <f>SUMIFS(Table1[Modeled_Demand],Table1[Key_Year_week_DC],Demand_Modeling_Week_level!$A260,Table1[BRAND],Demand_Modeling_Week_level!I$2)</f>
        <v>702443.1</v>
      </c>
      <c r="J260">
        <f>SUMIFS(Table1[Modeled_Demand],Table1[Key_Year_week_DC],Demand_Modeling_Week_level!$A260,Table1[BRAND],Demand_Modeling_Week_level!J$2)</f>
        <v>0</v>
      </c>
      <c r="K260">
        <f>SUMIFS(Table1[Modeled_Demand],Table1[Key_Year_week_DC],Demand_Modeling_Week_level!$A260,Table1[BRAND],Demand_Modeling_Week_level!K$2)</f>
        <v>4785751.45</v>
      </c>
      <c r="L260">
        <f>SUMIFS(Table1[Demand],Table1[Key_Year_week_DC],Demand_Modeling_Week_level!$A260)</f>
        <v>0</v>
      </c>
      <c r="M260">
        <f t="shared" ref="M260:M323" si="26">SUM(F260:K260)</f>
        <v>5488194.5499999998</v>
      </c>
      <c r="N260">
        <f>VLOOKUP(A260,Capacity!B:G,6,FALSE)</f>
        <v>14489968.5</v>
      </c>
      <c r="O260" s="20">
        <f t="shared" ref="O260:O323" si="27">IFERROR((L260/N260),0)</f>
        <v>0</v>
      </c>
      <c r="P260">
        <f t="shared" ref="P260:P323" si="28">IFERROR(M260/N260,0)</f>
        <v>0.37875821124110792</v>
      </c>
    </row>
    <row r="261" spans="1:16" hidden="1" x14ac:dyDescent="0.3">
      <c r="A261" t="str">
        <f t="shared" si="24"/>
        <v>202345-ODC</v>
      </c>
      <c r="B261">
        <f t="shared" si="25"/>
        <v>202345</v>
      </c>
      <c r="C261" t="s">
        <v>9</v>
      </c>
      <c r="D261">
        <v>2023</v>
      </c>
      <c r="E261">
        <v>45</v>
      </c>
      <c r="F261">
        <f>SUMIFS(Table1[Modeled_Demand],Table1[Key_Year_week_DC],Demand_Modeling_Week_level!$A261,Table1[BRAND],Demand_Modeling_Week_level!F$2)</f>
        <v>0</v>
      </c>
      <c r="G261">
        <f>SUMIFS(Table1[Modeled_Demand],Table1[Key_Year_week_DC],Demand_Modeling_Week_level!$A261,Table1[BRAND],Demand_Modeling_Week_level!G$2)</f>
        <v>0</v>
      </c>
      <c r="H261">
        <f>SUMIFS(Table1[Modeled_Demand],Table1[Key_Year_week_DC],Demand_Modeling_Week_level!$A261,Table1[BRAND],Demand_Modeling_Week_level!H$2)</f>
        <v>0</v>
      </c>
      <c r="I261">
        <f>SUMIFS(Table1[Modeled_Demand],Table1[Key_Year_week_DC],Demand_Modeling_Week_level!$A261,Table1[BRAND],Demand_Modeling_Week_level!I$2)</f>
        <v>0</v>
      </c>
      <c r="J261">
        <f>SUMIFS(Table1[Modeled_Demand],Table1[Key_Year_week_DC],Demand_Modeling_Week_level!$A261,Table1[BRAND],Demand_Modeling_Week_level!J$2)</f>
        <v>0</v>
      </c>
      <c r="K261">
        <f>SUMIFS(Table1[Modeled_Demand],Table1[Key_Year_week_DC],Demand_Modeling_Week_level!$A261,Table1[BRAND],Demand_Modeling_Week_level!K$2)</f>
        <v>0</v>
      </c>
      <c r="L261">
        <f>SUMIFS(Table1[Demand],Table1[Key_Year_week_DC],Demand_Modeling_Week_level!$A261)</f>
        <v>0</v>
      </c>
      <c r="M261">
        <f t="shared" si="26"/>
        <v>0</v>
      </c>
      <c r="N261" t="e">
        <f>VLOOKUP(A261,Capacity!B:G,6,FALSE)</f>
        <v>#N/A</v>
      </c>
      <c r="O261" s="20">
        <f t="shared" si="27"/>
        <v>0</v>
      </c>
      <c r="P261">
        <f t="shared" si="28"/>
        <v>0</v>
      </c>
    </row>
    <row r="262" spans="1:16" hidden="1" x14ac:dyDescent="0.3">
      <c r="A262" t="str">
        <f t="shared" si="24"/>
        <v>202345-OFC</v>
      </c>
      <c r="B262">
        <f t="shared" si="25"/>
        <v>202345</v>
      </c>
      <c r="C262" t="s">
        <v>5</v>
      </c>
      <c r="D262">
        <v>2023</v>
      </c>
      <c r="E262">
        <v>45</v>
      </c>
      <c r="F262">
        <f>SUMIFS(Table1[Modeled_Demand],Table1[Key_Year_week_DC],Demand_Modeling_Week_level!$A262,Table1[BRAND],Demand_Modeling_Week_level!F$2)</f>
        <v>0</v>
      </c>
      <c r="G262">
        <f>SUMIFS(Table1[Modeled_Demand],Table1[Key_Year_week_DC],Demand_Modeling_Week_level!$A262,Table1[BRAND],Demand_Modeling_Week_level!G$2)</f>
        <v>0</v>
      </c>
      <c r="H262">
        <f>SUMIFS(Table1[Modeled_Demand],Table1[Key_Year_week_DC],Demand_Modeling_Week_level!$A262,Table1[BRAND],Demand_Modeling_Week_level!H$2)</f>
        <v>232738</v>
      </c>
      <c r="I262">
        <f>SUMIFS(Table1[Modeled_Demand],Table1[Key_Year_week_DC],Demand_Modeling_Week_level!$A262,Table1[BRAND],Demand_Modeling_Week_level!I$2)</f>
        <v>0</v>
      </c>
      <c r="J262">
        <f>SUMIFS(Table1[Modeled_Demand],Table1[Key_Year_week_DC],Demand_Modeling_Week_level!$A262,Table1[BRAND],Demand_Modeling_Week_level!J$2)</f>
        <v>1035209</v>
      </c>
      <c r="K262">
        <f>SUMIFS(Table1[Modeled_Demand],Table1[Key_Year_week_DC],Demand_Modeling_Week_level!$A262,Table1[BRAND],Demand_Modeling_Week_level!K$2)</f>
        <v>0</v>
      </c>
      <c r="L262">
        <f>SUMIFS(Table1[Demand],Table1[Key_Year_week_DC],Demand_Modeling_Week_level!$A262)</f>
        <v>4949411</v>
      </c>
      <c r="M262">
        <f t="shared" si="26"/>
        <v>1267947</v>
      </c>
      <c r="N262">
        <f>VLOOKUP(A262,Capacity!B:G,6,FALSE)</f>
        <v>4724981.1000000099</v>
      </c>
      <c r="O262" s="20">
        <f t="shared" si="27"/>
        <v>1.0474985815287154</v>
      </c>
      <c r="P262">
        <f t="shared" si="28"/>
        <v>0.26834964482715018</v>
      </c>
    </row>
    <row r="263" spans="1:16" hidden="1" x14ac:dyDescent="0.3">
      <c r="A263" t="str">
        <f t="shared" si="24"/>
        <v>202345-SFS</v>
      </c>
      <c r="B263">
        <f t="shared" si="25"/>
        <v>202345</v>
      </c>
      <c r="C263" t="s">
        <v>12</v>
      </c>
      <c r="D263">
        <v>2023</v>
      </c>
      <c r="E263">
        <v>45</v>
      </c>
      <c r="F263">
        <f>SUMIFS(Table1[Modeled_Demand],Table1[Key_Year_week_DC],Demand_Modeling_Week_level!$A263,Table1[BRAND],Demand_Modeling_Week_level!F$2)</f>
        <v>0</v>
      </c>
      <c r="G263">
        <f>SUMIFS(Table1[Modeled_Demand],Table1[Key_Year_week_DC],Demand_Modeling_Week_level!$A263,Table1[BRAND],Demand_Modeling_Week_level!G$2)</f>
        <v>0</v>
      </c>
      <c r="H263">
        <f>SUMIFS(Table1[Modeled_Demand],Table1[Key_Year_week_DC],Demand_Modeling_Week_level!$A263,Table1[BRAND],Demand_Modeling_Week_level!H$2)</f>
        <v>0</v>
      </c>
      <c r="I263">
        <f>SUMIFS(Table1[Modeled_Demand],Table1[Key_Year_week_DC],Demand_Modeling_Week_level!$A263,Table1[BRAND],Demand_Modeling_Week_level!I$2)</f>
        <v>0</v>
      </c>
      <c r="J263">
        <f>SUMIFS(Table1[Modeled_Demand],Table1[Key_Year_week_DC],Demand_Modeling_Week_level!$A263,Table1[BRAND],Demand_Modeling_Week_level!J$2)</f>
        <v>0</v>
      </c>
      <c r="K263">
        <f>SUMIFS(Table1[Modeled_Demand],Table1[Key_Year_week_DC],Demand_Modeling_Week_level!$A263,Table1[BRAND],Demand_Modeling_Week_level!K$2)</f>
        <v>0</v>
      </c>
      <c r="L263">
        <f>SUMIFS(Table1[Demand],Table1[Key_Year_week_DC],Demand_Modeling_Week_level!$A263)</f>
        <v>0</v>
      </c>
      <c r="M263">
        <f t="shared" si="26"/>
        <v>0</v>
      </c>
      <c r="N263" t="e">
        <f>VLOOKUP(A263,Capacity!B:G,6,FALSE)</f>
        <v>#N/A</v>
      </c>
      <c r="O263" s="20">
        <f t="shared" si="27"/>
        <v>0</v>
      </c>
      <c r="P263">
        <f t="shared" si="28"/>
        <v>0</v>
      </c>
    </row>
    <row r="264" spans="1:16" hidden="1" x14ac:dyDescent="0.3">
      <c r="A264" t="str">
        <f t="shared" si="24"/>
        <v>202345-TFC</v>
      </c>
      <c r="B264">
        <f t="shared" si="25"/>
        <v>202345</v>
      </c>
      <c r="C264" t="s">
        <v>6</v>
      </c>
      <c r="D264">
        <v>2023</v>
      </c>
      <c r="E264">
        <v>45</v>
      </c>
      <c r="F264">
        <f>SUMIFS(Table1[Modeled_Demand],Table1[Key_Year_week_DC],Demand_Modeling_Week_level!$A264,Table1[BRAND],Demand_Modeling_Week_level!F$2)</f>
        <v>441444</v>
      </c>
      <c r="G264">
        <f>SUMIFS(Table1[Modeled_Demand],Table1[Key_Year_week_DC],Demand_Modeling_Week_level!$A264,Table1[BRAND],Demand_Modeling_Week_level!G$2)</f>
        <v>509735</v>
      </c>
      <c r="H264">
        <f>SUMIFS(Table1[Modeled_Demand],Table1[Key_Year_week_DC],Demand_Modeling_Week_level!$A264,Table1[BRAND],Demand_Modeling_Week_level!H$2)</f>
        <v>0</v>
      </c>
      <c r="I264">
        <f>SUMIFS(Table1[Modeled_Demand],Table1[Key_Year_week_DC],Demand_Modeling_Week_level!$A264,Table1[BRAND],Demand_Modeling_Week_level!I$2)</f>
        <v>585369.25</v>
      </c>
      <c r="J264">
        <f>SUMIFS(Table1[Modeled_Demand],Table1[Key_Year_week_DC],Demand_Modeling_Week_level!$A264,Table1[BRAND],Demand_Modeling_Week_level!J$2)</f>
        <v>0</v>
      </c>
      <c r="K264">
        <f>SUMIFS(Table1[Modeled_Demand],Table1[Key_Year_week_DC],Demand_Modeling_Week_level!$A264,Table1[BRAND],Demand_Modeling_Week_level!K$2)</f>
        <v>0</v>
      </c>
      <c r="L264">
        <f>SUMIFS(Table1[Demand],Table1[Key_Year_week_DC],Demand_Modeling_Week_level!$A264)</f>
        <v>2457880</v>
      </c>
      <c r="M264">
        <f t="shared" si="26"/>
        <v>1536548.25</v>
      </c>
      <c r="N264">
        <f>VLOOKUP(A264,Capacity!B:G,6,FALSE)</f>
        <v>4724981.1000000099</v>
      </c>
      <c r="O264" s="20">
        <f t="shared" si="27"/>
        <v>0.52018832413953886</v>
      </c>
      <c r="P264">
        <f t="shared" si="28"/>
        <v>0.32519669761218661</v>
      </c>
    </row>
    <row r="265" spans="1:16" hidden="1" x14ac:dyDescent="0.3">
      <c r="A265" t="str">
        <f t="shared" si="24"/>
        <v>202345-WEO</v>
      </c>
      <c r="B265">
        <f t="shared" si="25"/>
        <v>202345</v>
      </c>
      <c r="C265" t="s">
        <v>10</v>
      </c>
      <c r="D265">
        <v>2023</v>
      </c>
      <c r="E265">
        <v>45</v>
      </c>
      <c r="F265">
        <f>SUMIFS(Table1[Modeled_Demand],Table1[Key_Year_week_DC],Demand_Modeling_Week_level!$A265,Table1[BRAND],Demand_Modeling_Week_level!F$2)</f>
        <v>0</v>
      </c>
      <c r="G265">
        <f>SUMIFS(Table1[Modeled_Demand],Table1[Key_Year_week_DC],Demand_Modeling_Week_level!$A265,Table1[BRAND],Demand_Modeling_Week_level!G$2)</f>
        <v>0</v>
      </c>
      <c r="H265">
        <f>SUMIFS(Table1[Modeled_Demand],Table1[Key_Year_week_DC],Demand_Modeling_Week_level!$A265,Table1[BRAND],Demand_Modeling_Week_level!H$2)</f>
        <v>0</v>
      </c>
      <c r="I265">
        <f>SUMIFS(Table1[Modeled_Demand],Table1[Key_Year_week_DC],Demand_Modeling_Week_level!$A265,Table1[BRAND],Demand_Modeling_Week_level!I$2)</f>
        <v>1053664.6500000001</v>
      </c>
      <c r="J265">
        <f>SUMIFS(Table1[Modeled_Demand],Table1[Key_Year_week_DC],Demand_Modeling_Week_level!$A265,Table1[BRAND],Demand_Modeling_Week_level!J$2)</f>
        <v>0</v>
      </c>
      <c r="K265">
        <f>SUMIFS(Table1[Modeled_Demand],Table1[Key_Year_week_DC],Demand_Modeling_Week_level!$A265,Table1[BRAND],Demand_Modeling_Week_level!K$2)</f>
        <v>539239.6</v>
      </c>
      <c r="L265">
        <f>SUMIFS(Table1[Demand],Table1[Key_Year_week_DC],Demand_Modeling_Week_level!$A265)</f>
        <v>648703</v>
      </c>
      <c r="M265">
        <f t="shared" si="26"/>
        <v>1592904.25</v>
      </c>
      <c r="N265">
        <f>VLOOKUP(A265,Capacity!B:G,6,FALSE)</f>
        <v>4724981.1000000099</v>
      </c>
      <c r="O265" s="20">
        <f t="shared" si="27"/>
        <v>0.13729218938039744</v>
      </c>
      <c r="P265">
        <f t="shared" si="28"/>
        <v>0.33712394108835625</v>
      </c>
    </row>
    <row r="266" spans="1:16" hidden="1" x14ac:dyDescent="0.3">
      <c r="A266" t="str">
        <f t="shared" si="24"/>
        <v>202345-WFC</v>
      </c>
      <c r="B266">
        <f t="shared" si="25"/>
        <v>202345</v>
      </c>
      <c r="C266" t="s">
        <v>7</v>
      </c>
      <c r="D266">
        <v>2023</v>
      </c>
      <c r="E266">
        <v>45</v>
      </c>
      <c r="F266">
        <f>SUMIFS(Table1[Modeled_Demand],Table1[Key_Year_week_DC],Demand_Modeling_Week_level!$A266,Table1[BRAND],Demand_Modeling_Week_level!F$2)</f>
        <v>0</v>
      </c>
      <c r="G266">
        <f>SUMIFS(Table1[Modeled_Demand],Table1[Key_Year_week_DC],Demand_Modeling_Week_level!$A266,Table1[BRAND],Demand_Modeling_Week_level!G$2)</f>
        <v>1.7820146690604948</v>
      </c>
      <c r="H266">
        <f>SUMIFS(Table1[Modeled_Demand],Table1[Key_Year_week_DC],Demand_Modeling_Week_level!$A266,Table1[BRAND],Demand_Modeling_Week_level!H$2)</f>
        <v>0</v>
      </c>
      <c r="I266">
        <f>SUMIFS(Table1[Modeled_Demand],Table1[Key_Year_week_DC],Demand_Modeling_Week_level!$A266,Table1[BRAND],Demand_Modeling_Week_level!I$2)</f>
        <v>0</v>
      </c>
      <c r="J266">
        <f>SUMIFS(Table1[Modeled_Demand],Table1[Key_Year_week_DC],Demand_Modeling_Week_level!$A266,Table1[BRAND],Demand_Modeling_Week_level!J$2)</f>
        <v>0</v>
      </c>
      <c r="K266">
        <f>SUMIFS(Table1[Modeled_Demand],Table1[Key_Year_week_DC],Demand_Modeling_Week_level!$A266,Table1[BRAND],Demand_Modeling_Week_level!K$2)</f>
        <v>0</v>
      </c>
      <c r="L266">
        <f>SUMIFS(Table1[Demand],Table1[Key_Year_week_DC],Demand_Modeling_Week_level!$A266)</f>
        <v>1533828</v>
      </c>
      <c r="M266">
        <f t="shared" si="26"/>
        <v>1.7820146690604948</v>
      </c>
      <c r="N266">
        <f>VLOOKUP(A266,Capacity!B:G,6,FALSE)</f>
        <v>0</v>
      </c>
      <c r="O266" s="20">
        <f t="shared" si="27"/>
        <v>0</v>
      </c>
      <c r="P266">
        <f t="shared" si="28"/>
        <v>0</v>
      </c>
    </row>
    <row r="267" spans="1:16" hidden="1" x14ac:dyDescent="0.3">
      <c r="A267" t="str">
        <f t="shared" si="24"/>
        <v>202346-EAO</v>
      </c>
      <c r="B267">
        <f t="shared" si="25"/>
        <v>202346</v>
      </c>
      <c r="C267" t="s">
        <v>8</v>
      </c>
      <c r="D267">
        <v>2023</v>
      </c>
      <c r="E267">
        <v>46</v>
      </c>
      <c r="F267">
        <f>SUMIFS(Table1[Modeled_Demand],Table1[Key_Year_week_DC],Demand_Modeling_Week_level!$A267,Table1[BRAND],Demand_Modeling_Week_level!F$2)</f>
        <v>16.098475061040769</v>
      </c>
      <c r="G267">
        <f>SUMIFS(Table1[Modeled_Demand],Table1[Key_Year_week_DC],Demand_Modeling_Week_level!$A267,Table1[BRAND],Demand_Modeling_Week_level!G$2)</f>
        <v>19.616289322785367</v>
      </c>
      <c r="H267">
        <f>SUMIFS(Table1[Modeled_Demand],Table1[Key_Year_week_DC],Demand_Modeling_Week_level!$A267,Table1[BRAND],Demand_Modeling_Week_level!H$2)</f>
        <v>0</v>
      </c>
      <c r="I267">
        <f>SUMIFS(Table1[Modeled_Demand],Table1[Key_Year_week_DC],Demand_Modeling_Week_level!$A267,Table1[BRAND],Demand_Modeling_Week_level!I$2)</f>
        <v>0</v>
      </c>
      <c r="J267">
        <f>SUMIFS(Table1[Modeled_Demand],Table1[Key_Year_week_DC],Demand_Modeling_Week_level!$A267,Table1[BRAND],Demand_Modeling_Week_level!J$2)</f>
        <v>0</v>
      </c>
      <c r="K267">
        <f>SUMIFS(Table1[Modeled_Demand],Table1[Key_Year_week_DC],Demand_Modeling_Week_level!$A267,Table1[BRAND],Demand_Modeling_Week_level!K$2)</f>
        <v>1181088.3</v>
      </c>
      <c r="L267">
        <f>SUMIFS(Table1[Demand],Table1[Key_Year_week_DC],Demand_Modeling_Week_level!$A267)</f>
        <v>1820539</v>
      </c>
      <c r="M267">
        <f t="shared" si="26"/>
        <v>1181124.0147643839</v>
      </c>
      <c r="N267">
        <f>VLOOKUP(A267,Capacity!B:G,6,FALSE)</f>
        <v>3150025.2</v>
      </c>
      <c r="O267" s="20">
        <f t="shared" si="27"/>
        <v>0.57794426533476617</v>
      </c>
      <c r="P267">
        <f t="shared" si="28"/>
        <v>0.37495700503106572</v>
      </c>
    </row>
    <row r="268" spans="1:16" hidden="1" x14ac:dyDescent="0.3">
      <c r="A268" t="str">
        <f t="shared" si="24"/>
        <v>202346-OCC</v>
      </c>
      <c r="B268">
        <f t="shared" si="25"/>
        <v>202346</v>
      </c>
      <c r="C268" t="s">
        <v>11</v>
      </c>
      <c r="D268">
        <v>2023</v>
      </c>
      <c r="E268">
        <v>46</v>
      </c>
      <c r="F268">
        <f>SUMIFS(Table1[Modeled_Demand],Table1[Key_Year_week_DC],Demand_Modeling_Week_level!$A268,Table1[BRAND],Demand_Modeling_Week_level!F$2)</f>
        <v>0</v>
      </c>
      <c r="G268">
        <f>SUMIFS(Table1[Modeled_Demand],Table1[Key_Year_week_DC],Demand_Modeling_Week_level!$A268,Table1[BRAND],Demand_Modeling_Week_level!G$2)</f>
        <v>0</v>
      </c>
      <c r="H268">
        <f>SUMIFS(Table1[Modeled_Demand],Table1[Key_Year_week_DC],Demand_Modeling_Week_level!$A268,Table1[BRAND],Demand_Modeling_Week_level!H$2)</f>
        <v>0</v>
      </c>
      <c r="I268">
        <f>SUMIFS(Table1[Modeled_Demand],Table1[Key_Year_week_DC],Demand_Modeling_Week_level!$A268,Table1[BRAND],Demand_Modeling_Week_level!I$2)</f>
        <v>645592.5</v>
      </c>
      <c r="J268">
        <f>SUMIFS(Table1[Modeled_Demand],Table1[Key_Year_week_DC],Demand_Modeling_Week_level!$A268,Table1[BRAND],Demand_Modeling_Week_level!J$2)</f>
        <v>0</v>
      </c>
      <c r="K268">
        <f>SUMIFS(Table1[Modeled_Demand],Table1[Key_Year_week_DC],Demand_Modeling_Week_level!$A268,Table1[BRAND],Demand_Modeling_Week_level!K$2)</f>
        <v>3993203.3</v>
      </c>
      <c r="L268">
        <f>SUMIFS(Table1[Demand],Table1[Key_Year_week_DC],Demand_Modeling_Week_level!$A268)</f>
        <v>0</v>
      </c>
      <c r="M268">
        <f t="shared" si="26"/>
        <v>4638795.8</v>
      </c>
      <c r="N268">
        <f>VLOOKUP(A268,Capacity!B:G,6,FALSE)</f>
        <v>14489968.5</v>
      </c>
      <c r="O268" s="20">
        <f t="shared" si="27"/>
        <v>0</v>
      </c>
      <c r="P268">
        <f t="shared" si="28"/>
        <v>0.32013843232302402</v>
      </c>
    </row>
    <row r="269" spans="1:16" hidden="1" x14ac:dyDescent="0.3">
      <c r="A269" t="str">
        <f t="shared" si="24"/>
        <v>202346-ODC</v>
      </c>
      <c r="B269">
        <f t="shared" si="25"/>
        <v>202346</v>
      </c>
      <c r="C269" t="s">
        <v>9</v>
      </c>
      <c r="D269">
        <v>2023</v>
      </c>
      <c r="E269">
        <v>46</v>
      </c>
      <c r="F269">
        <f>SUMIFS(Table1[Modeled_Demand],Table1[Key_Year_week_DC],Demand_Modeling_Week_level!$A269,Table1[BRAND],Demand_Modeling_Week_level!F$2)</f>
        <v>0</v>
      </c>
      <c r="G269">
        <f>SUMIFS(Table1[Modeled_Demand],Table1[Key_Year_week_DC],Demand_Modeling_Week_level!$A269,Table1[BRAND],Demand_Modeling_Week_level!G$2)</f>
        <v>0</v>
      </c>
      <c r="H269">
        <f>SUMIFS(Table1[Modeled_Demand],Table1[Key_Year_week_DC],Demand_Modeling_Week_level!$A269,Table1[BRAND],Demand_Modeling_Week_level!H$2)</f>
        <v>0</v>
      </c>
      <c r="I269">
        <f>SUMIFS(Table1[Modeled_Demand],Table1[Key_Year_week_DC],Demand_Modeling_Week_level!$A269,Table1[BRAND],Demand_Modeling_Week_level!I$2)</f>
        <v>0</v>
      </c>
      <c r="J269">
        <f>SUMIFS(Table1[Modeled_Demand],Table1[Key_Year_week_DC],Demand_Modeling_Week_level!$A269,Table1[BRAND],Demand_Modeling_Week_level!J$2)</f>
        <v>0</v>
      </c>
      <c r="K269">
        <f>SUMIFS(Table1[Modeled_Demand],Table1[Key_Year_week_DC],Demand_Modeling_Week_level!$A269,Table1[BRAND],Demand_Modeling_Week_level!K$2)</f>
        <v>0</v>
      </c>
      <c r="L269">
        <f>SUMIFS(Table1[Demand],Table1[Key_Year_week_DC],Demand_Modeling_Week_level!$A269)</f>
        <v>0</v>
      </c>
      <c r="M269">
        <f t="shared" si="26"/>
        <v>0</v>
      </c>
      <c r="N269" t="e">
        <f>VLOOKUP(A269,Capacity!B:G,6,FALSE)</f>
        <v>#N/A</v>
      </c>
      <c r="O269" s="20">
        <f t="shared" si="27"/>
        <v>0</v>
      </c>
      <c r="P269">
        <f t="shared" si="28"/>
        <v>0</v>
      </c>
    </row>
    <row r="270" spans="1:16" hidden="1" x14ac:dyDescent="0.3">
      <c r="A270" t="str">
        <f t="shared" si="24"/>
        <v>202346-OFC</v>
      </c>
      <c r="B270">
        <f t="shared" si="25"/>
        <v>202346</v>
      </c>
      <c r="C270" t="s">
        <v>5</v>
      </c>
      <c r="D270">
        <v>2023</v>
      </c>
      <c r="E270">
        <v>46</v>
      </c>
      <c r="F270">
        <f>SUMIFS(Table1[Modeled_Demand],Table1[Key_Year_week_DC],Demand_Modeling_Week_level!$A270,Table1[BRAND],Demand_Modeling_Week_level!F$2)</f>
        <v>0</v>
      </c>
      <c r="G270">
        <f>SUMIFS(Table1[Modeled_Demand],Table1[Key_Year_week_DC],Demand_Modeling_Week_level!$A270,Table1[BRAND],Demand_Modeling_Week_level!G$2)</f>
        <v>0</v>
      </c>
      <c r="H270">
        <f>SUMIFS(Table1[Modeled_Demand],Table1[Key_Year_week_DC],Demand_Modeling_Week_level!$A270,Table1[BRAND],Demand_Modeling_Week_level!H$2)</f>
        <v>327286</v>
      </c>
      <c r="I270">
        <f>SUMIFS(Table1[Modeled_Demand],Table1[Key_Year_week_DC],Demand_Modeling_Week_level!$A270,Table1[BRAND],Demand_Modeling_Week_level!I$2)</f>
        <v>0</v>
      </c>
      <c r="J270">
        <f>SUMIFS(Table1[Modeled_Demand],Table1[Key_Year_week_DC],Demand_Modeling_Week_level!$A270,Table1[BRAND],Demand_Modeling_Week_level!J$2)</f>
        <v>615898</v>
      </c>
      <c r="K270">
        <f>SUMIFS(Table1[Modeled_Demand],Table1[Key_Year_week_DC],Demand_Modeling_Week_level!$A270,Table1[BRAND],Demand_Modeling_Week_level!K$2)</f>
        <v>0</v>
      </c>
      <c r="L270">
        <f>SUMIFS(Table1[Demand],Table1[Key_Year_week_DC],Demand_Modeling_Week_level!$A270)</f>
        <v>4310774</v>
      </c>
      <c r="M270">
        <f t="shared" si="26"/>
        <v>943184</v>
      </c>
      <c r="N270">
        <f>VLOOKUP(A270,Capacity!B:G,6,FALSE)</f>
        <v>4724981.1000000099</v>
      </c>
      <c r="O270" s="20">
        <f t="shared" si="27"/>
        <v>0.91233677104020394</v>
      </c>
      <c r="P270">
        <f t="shared" si="28"/>
        <v>0.19961645984150034</v>
      </c>
    </row>
    <row r="271" spans="1:16" hidden="1" x14ac:dyDescent="0.3">
      <c r="A271" t="str">
        <f t="shared" si="24"/>
        <v>202346-SFS</v>
      </c>
      <c r="B271">
        <f t="shared" si="25"/>
        <v>202346</v>
      </c>
      <c r="C271" t="s">
        <v>12</v>
      </c>
      <c r="D271">
        <v>2023</v>
      </c>
      <c r="E271">
        <v>46</v>
      </c>
      <c r="F271">
        <f>SUMIFS(Table1[Modeled_Demand],Table1[Key_Year_week_DC],Demand_Modeling_Week_level!$A271,Table1[BRAND],Demand_Modeling_Week_level!F$2)</f>
        <v>0</v>
      </c>
      <c r="G271">
        <f>SUMIFS(Table1[Modeled_Demand],Table1[Key_Year_week_DC],Demand_Modeling_Week_level!$A271,Table1[BRAND],Demand_Modeling_Week_level!G$2)</f>
        <v>0</v>
      </c>
      <c r="H271">
        <f>SUMIFS(Table1[Modeled_Demand],Table1[Key_Year_week_DC],Demand_Modeling_Week_level!$A271,Table1[BRAND],Demand_Modeling_Week_level!H$2)</f>
        <v>0</v>
      </c>
      <c r="I271">
        <f>SUMIFS(Table1[Modeled_Demand],Table1[Key_Year_week_DC],Demand_Modeling_Week_level!$A271,Table1[BRAND],Demand_Modeling_Week_level!I$2)</f>
        <v>0</v>
      </c>
      <c r="J271">
        <f>SUMIFS(Table1[Modeled_Demand],Table1[Key_Year_week_DC],Demand_Modeling_Week_level!$A271,Table1[BRAND],Demand_Modeling_Week_level!J$2)</f>
        <v>0</v>
      </c>
      <c r="K271">
        <f>SUMIFS(Table1[Modeled_Demand],Table1[Key_Year_week_DC],Demand_Modeling_Week_level!$A271,Table1[BRAND],Demand_Modeling_Week_level!K$2)</f>
        <v>0</v>
      </c>
      <c r="L271">
        <f>SUMIFS(Table1[Demand],Table1[Key_Year_week_DC],Demand_Modeling_Week_level!$A271)</f>
        <v>0</v>
      </c>
      <c r="M271">
        <f t="shared" si="26"/>
        <v>0</v>
      </c>
      <c r="N271" t="e">
        <f>VLOOKUP(A271,Capacity!B:G,6,FALSE)</f>
        <v>#N/A</v>
      </c>
      <c r="O271" s="20">
        <f t="shared" si="27"/>
        <v>0</v>
      </c>
      <c r="P271">
        <f t="shared" si="28"/>
        <v>0</v>
      </c>
    </row>
    <row r="272" spans="1:16" hidden="1" x14ac:dyDescent="0.3">
      <c r="A272" t="str">
        <f t="shared" si="24"/>
        <v>202346-TFC</v>
      </c>
      <c r="B272">
        <f t="shared" si="25"/>
        <v>202346</v>
      </c>
      <c r="C272" t="s">
        <v>6</v>
      </c>
      <c r="D272">
        <v>2023</v>
      </c>
      <c r="E272">
        <v>46</v>
      </c>
      <c r="F272">
        <f>SUMIFS(Table1[Modeled_Demand],Table1[Key_Year_week_DC],Demand_Modeling_Week_level!$A272,Table1[BRAND],Demand_Modeling_Week_level!F$2)</f>
        <v>467012</v>
      </c>
      <c r="G272">
        <f>SUMIFS(Table1[Modeled_Demand],Table1[Key_Year_week_DC],Demand_Modeling_Week_level!$A272,Table1[BRAND],Demand_Modeling_Week_level!G$2)</f>
        <v>463304</v>
      </c>
      <c r="H272">
        <f>SUMIFS(Table1[Modeled_Demand],Table1[Key_Year_week_DC],Demand_Modeling_Week_level!$A272,Table1[BRAND],Demand_Modeling_Week_level!H$2)</f>
        <v>0</v>
      </c>
      <c r="I272">
        <f>SUMIFS(Table1[Modeled_Demand],Table1[Key_Year_week_DC],Demand_Modeling_Week_level!$A272,Table1[BRAND],Demand_Modeling_Week_level!I$2)</f>
        <v>537993.75</v>
      </c>
      <c r="J272">
        <f>SUMIFS(Table1[Modeled_Demand],Table1[Key_Year_week_DC],Demand_Modeling_Week_level!$A272,Table1[BRAND],Demand_Modeling_Week_level!J$2)</f>
        <v>0</v>
      </c>
      <c r="K272">
        <f>SUMIFS(Table1[Modeled_Demand],Table1[Key_Year_week_DC],Demand_Modeling_Week_level!$A272,Table1[BRAND],Demand_Modeling_Week_level!K$2)</f>
        <v>0</v>
      </c>
      <c r="L272">
        <f>SUMIFS(Table1[Demand],Table1[Key_Year_week_DC],Demand_Modeling_Week_level!$A272)</f>
        <v>1897752</v>
      </c>
      <c r="M272">
        <f t="shared" si="26"/>
        <v>1468309.75</v>
      </c>
      <c r="N272">
        <f>VLOOKUP(A272,Capacity!B:G,6,FALSE)</f>
        <v>4724981.1000000099</v>
      </c>
      <c r="O272" s="20">
        <f t="shared" si="27"/>
        <v>0.40164224148960004</v>
      </c>
      <c r="P272">
        <f t="shared" si="28"/>
        <v>0.31075462926190262</v>
      </c>
    </row>
    <row r="273" spans="1:16" hidden="1" x14ac:dyDescent="0.3">
      <c r="A273" t="str">
        <f t="shared" si="24"/>
        <v>202346-WEO</v>
      </c>
      <c r="B273">
        <f t="shared" si="25"/>
        <v>202346</v>
      </c>
      <c r="C273" t="s">
        <v>10</v>
      </c>
      <c r="D273">
        <v>2023</v>
      </c>
      <c r="E273">
        <v>46</v>
      </c>
      <c r="F273">
        <f>SUMIFS(Table1[Modeled_Demand],Table1[Key_Year_week_DC],Demand_Modeling_Week_level!$A273,Table1[BRAND],Demand_Modeling_Week_level!F$2)</f>
        <v>0</v>
      </c>
      <c r="G273">
        <f>SUMIFS(Table1[Modeled_Demand],Table1[Key_Year_week_DC],Demand_Modeling_Week_level!$A273,Table1[BRAND],Demand_Modeling_Week_level!G$2)</f>
        <v>0</v>
      </c>
      <c r="H273">
        <f>SUMIFS(Table1[Modeled_Demand],Table1[Key_Year_week_DC],Demand_Modeling_Week_level!$A273,Table1[BRAND],Demand_Modeling_Week_level!H$2)</f>
        <v>0</v>
      </c>
      <c r="I273">
        <f>SUMIFS(Table1[Modeled_Demand],Table1[Key_Year_week_DC],Demand_Modeling_Week_level!$A273,Table1[BRAND],Demand_Modeling_Week_level!I$2)</f>
        <v>968388.75</v>
      </c>
      <c r="J273">
        <f>SUMIFS(Table1[Modeled_Demand],Table1[Key_Year_week_DC],Demand_Modeling_Week_level!$A273,Table1[BRAND],Demand_Modeling_Week_level!J$2)</f>
        <v>0</v>
      </c>
      <c r="K273">
        <f>SUMIFS(Table1[Modeled_Demand],Table1[Key_Year_week_DC],Demand_Modeling_Week_level!$A273,Table1[BRAND],Demand_Modeling_Week_level!K$2)</f>
        <v>449938.4</v>
      </c>
      <c r="L273">
        <f>SUMIFS(Table1[Demand],Table1[Key_Year_week_DC],Demand_Modeling_Week_level!$A273)</f>
        <v>525597</v>
      </c>
      <c r="M273">
        <f t="shared" si="26"/>
        <v>1418327.15</v>
      </c>
      <c r="N273">
        <f>VLOOKUP(A273,Capacity!B:G,6,FALSE)</f>
        <v>4724981.1000000099</v>
      </c>
      <c r="O273" s="20">
        <f t="shared" si="27"/>
        <v>0.11123790526908116</v>
      </c>
      <c r="P273">
        <f t="shared" si="28"/>
        <v>0.30017625890609317</v>
      </c>
    </row>
    <row r="274" spans="1:16" hidden="1" x14ac:dyDescent="0.3">
      <c r="A274" t="str">
        <f t="shared" si="24"/>
        <v>202346-WFC</v>
      </c>
      <c r="B274">
        <f t="shared" si="25"/>
        <v>202346</v>
      </c>
      <c r="C274" t="s">
        <v>7</v>
      </c>
      <c r="D274">
        <v>2023</v>
      </c>
      <c r="E274">
        <v>46</v>
      </c>
      <c r="F274">
        <f>SUMIFS(Table1[Modeled_Demand],Table1[Key_Year_week_DC],Demand_Modeling_Week_level!$A274,Table1[BRAND],Demand_Modeling_Week_level!F$2)</f>
        <v>0</v>
      </c>
      <c r="G274">
        <f>SUMIFS(Table1[Modeled_Demand],Table1[Key_Year_week_DC],Demand_Modeling_Week_level!$A274,Table1[BRAND],Demand_Modeling_Week_level!G$2)</f>
        <v>1.6196936138079658</v>
      </c>
      <c r="H274">
        <f>SUMIFS(Table1[Modeled_Demand],Table1[Key_Year_week_DC],Demand_Modeling_Week_level!$A274,Table1[BRAND],Demand_Modeling_Week_level!H$2)</f>
        <v>0</v>
      </c>
      <c r="I274">
        <f>SUMIFS(Table1[Modeled_Demand],Table1[Key_Year_week_DC],Demand_Modeling_Week_level!$A274,Table1[BRAND],Demand_Modeling_Week_level!I$2)</f>
        <v>0</v>
      </c>
      <c r="J274">
        <f>SUMIFS(Table1[Modeled_Demand],Table1[Key_Year_week_DC],Demand_Modeling_Week_level!$A274,Table1[BRAND],Demand_Modeling_Week_level!J$2)</f>
        <v>0</v>
      </c>
      <c r="K274">
        <f>SUMIFS(Table1[Modeled_Demand],Table1[Key_Year_week_DC],Demand_Modeling_Week_level!$A274,Table1[BRAND],Demand_Modeling_Week_level!K$2)</f>
        <v>0</v>
      </c>
      <c r="L274">
        <f>SUMIFS(Table1[Demand],Table1[Key_Year_week_DC],Demand_Modeling_Week_level!$A274)</f>
        <v>1095043</v>
      </c>
      <c r="M274">
        <f t="shared" si="26"/>
        <v>1.6196936138079658</v>
      </c>
      <c r="N274">
        <f>VLOOKUP(A274,Capacity!B:G,6,FALSE)</f>
        <v>0</v>
      </c>
      <c r="O274" s="20">
        <f t="shared" si="27"/>
        <v>0</v>
      </c>
      <c r="P274">
        <f t="shared" si="28"/>
        <v>0</v>
      </c>
    </row>
    <row r="275" spans="1:16" hidden="1" x14ac:dyDescent="0.3">
      <c r="A275" t="str">
        <f t="shared" si="24"/>
        <v>202347-EAO</v>
      </c>
      <c r="B275">
        <f t="shared" si="25"/>
        <v>202347</v>
      </c>
      <c r="C275" t="s">
        <v>8</v>
      </c>
      <c r="D275">
        <v>2023</v>
      </c>
      <c r="E275">
        <v>47</v>
      </c>
      <c r="F275">
        <f>SUMIFS(Table1[Modeled_Demand],Table1[Key_Year_week_DC],Demand_Modeling_Week_level!$A275,Table1[BRAND],Demand_Modeling_Week_level!F$2)</f>
        <v>18.952899199830654</v>
      </c>
      <c r="G275">
        <f>SUMIFS(Table1[Modeled_Demand],Table1[Key_Year_week_DC],Demand_Modeling_Week_level!$A275,Table1[BRAND],Demand_Modeling_Week_level!G$2)</f>
        <v>21.741037322123464</v>
      </c>
      <c r="H275">
        <f>SUMIFS(Table1[Modeled_Demand],Table1[Key_Year_week_DC],Demand_Modeling_Week_level!$A275,Table1[BRAND],Demand_Modeling_Week_level!H$2)</f>
        <v>0</v>
      </c>
      <c r="I275">
        <f>SUMIFS(Table1[Modeled_Demand],Table1[Key_Year_week_DC],Demand_Modeling_Week_level!$A275,Table1[BRAND],Demand_Modeling_Week_level!I$2)</f>
        <v>0</v>
      </c>
      <c r="J275">
        <f>SUMIFS(Table1[Modeled_Demand],Table1[Key_Year_week_DC],Demand_Modeling_Week_level!$A275,Table1[BRAND],Demand_Modeling_Week_level!J$2)</f>
        <v>0</v>
      </c>
      <c r="K275">
        <f>SUMIFS(Table1[Modeled_Demand],Table1[Key_Year_week_DC],Demand_Modeling_Week_level!$A275,Table1[BRAND],Demand_Modeling_Week_level!K$2)</f>
        <v>626758.43999999994</v>
      </c>
      <c r="L275">
        <f>SUMIFS(Table1[Demand],Table1[Key_Year_week_DC],Demand_Modeling_Week_level!$A275)</f>
        <v>958468</v>
      </c>
      <c r="M275">
        <f t="shared" si="26"/>
        <v>626799.13393652195</v>
      </c>
      <c r="N275">
        <f>VLOOKUP(A275,Capacity!B:G,6,FALSE)</f>
        <v>3150025.2</v>
      </c>
      <c r="O275" s="20">
        <f t="shared" si="27"/>
        <v>0.3042731213705846</v>
      </c>
      <c r="P275">
        <f t="shared" si="28"/>
        <v>0.1989822601852588</v>
      </c>
    </row>
    <row r="276" spans="1:16" hidden="1" x14ac:dyDescent="0.3">
      <c r="A276" t="str">
        <f t="shared" si="24"/>
        <v>202347-OCC</v>
      </c>
      <c r="B276">
        <f t="shared" si="25"/>
        <v>202347</v>
      </c>
      <c r="C276" t="s">
        <v>11</v>
      </c>
      <c r="D276">
        <v>2023</v>
      </c>
      <c r="E276">
        <v>47</v>
      </c>
      <c r="F276">
        <f>SUMIFS(Table1[Modeled_Demand],Table1[Key_Year_week_DC],Demand_Modeling_Week_level!$A276,Table1[BRAND],Demand_Modeling_Week_level!F$2)</f>
        <v>0</v>
      </c>
      <c r="G276">
        <f>SUMIFS(Table1[Modeled_Demand],Table1[Key_Year_week_DC],Demand_Modeling_Week_level!$A276,Table1[BRAND],Demand_Modeling_Week_level!G$2)</f>
        <v>0</v>
      </c>
      <c r="H276">
        <f>SUMIFS(Table1[Modeled_Demand],Table1[Key_Year_week_DC],Demand_Modeling_Week_level!$A276,Table1[BRAND],Demand_Modeling_Week_level!H$2)</f>
        <v>0</v>
      </c>
      <c r="I276">
        <f>SUMIFS(Table1[Modeled_Demand],Table1[Key_Year_week_DC],Demand_Modeling_Week_level!$A276,Table1[BRAND],Demand_Modeling_Week_level!I$2)</f>
        <v>539172</v>
      </c>
      <c r="J276">
        <f>SUMIFS(Table1[Modeled_Demand],Table1[Key_Year_week_DC],Demand_Modeling_Week_level!$A276,Table1[BRAND],Demand_Modeling_Week_level!J$2)</f>
        <v>0</v>
      </c>
      <c r="K276">
        <f>SUMIFS(Table1[Modeled_Demand],Table1[Key_Year_week_DC],Demand_Modeling_Week_level!$A276,Table1[BRAND],Demand_Modeling_Week_level!K$2)</f>
        <v>2119040.44</v>
      </c>
      <c r="L276">
        <f>SUMIFS(Table1[Demand],Table1[Key_Year_week_DC],Demand_Modeling_Week_level!$A276)</f>
        <v>0</v>
      </c>
      <c r="M276">
        <f t="shared" si="26"/>
        <v>2658212.44</v>
      </c>
      <c r="N276">
        <f>VLOOKUP(A276,Capacity!B:G,6,FALSE)</f>
        <v>14489968.5</v>
      </c>
      <c r="O276" s="20">
        <f t="shared" si="27"/>
        <v>0</v>
      </c>
      <c r="P276">
        <f t="shared" si="28"/>
        <v>0.18345191295619448</v>
      </c>
    </row>
    <row r="277" spans="1:16" hidden="1" x14ac:dyDescent="0.3">
      <c r="A277" t="str">
        <f t="shared" si="24"/>
        <v>202347-ODC</v>
      </c>
      <c r="B277">
        <f t="shared" si="25"/>
        <v>202347</v>
      </c>
      <c r="C277" t="s">
        <v>9</v>
      </c>
      <c r="D277">
        <v>2023</v>
      </c>
      <c r="E277">
        <v>47</v>
      </c>
      <c r="F277">
        <f>SUMIFS(Table1[Modeled_Demand],Table1[Key_Year_week_DC],Demand_Modeling_Week_level!$A277,Table1[BRAND],Demand_Modeling_Week_level!F$2)</f>
        <v>0</v>
      </c>
      <c r="G277">
        <f>SUMIFS(Table1[Modeled_Demand],Table1[Key_Year_week_DC],Demand_Modeling_Week_level!$A277,Table1[BRAND],Demand_Modeling_Week_level!G$2)</f>
        <v>0</v>
      </c>
      <c r="H277">
        <f>SUMIFS(Table1[Modeled_Demand],Table1[Key_Year_week_DC],Demand_Modeling_Week_level!$A277,Table1[BRAND],Demand_Modeling_Week_level!H$2)</f>
        <v>0</v>
      </c>
      <c r="I277">
        <f>SUMIFS(Table1[Modeled_Demand],Table1[Key_Year_week_DC],Demand_Modeling_Week_level!$A277,Table1[BRAND],Demand_Modeling_Week_level!I$2)</f>
        <v>0</v>
      </c>
      <c r="J277">
        <f>SUMIFS(Table1[Modeled_Demand],Table1[Key_Year_week_DC],Demand_Modeling_Week_level!$A277,Table1[BRAND],Demand_Modeling_Week_level!J$2)</f>
        <v>0</v>
      </c>
      <c r="K277">
        <f>SUMIFS(Table1[Modeled_Demand],Table1[Key_Year_week_DC],Demand_Modeling_Week_level!$A277,Table1[BRAND],Demand_Modeling_Week_level!K$2)</f>
        <v>0</v>
      </c>
      <c r="L277">
        <f>SUMIFS(Table1[Demand],Table1[Key_Year_week_DC],Demand_Modeling_Week_level!$A277)</f>
        <v>0</v>
      </c>
      <c r="M277">
        <f t="shared" si="26"/>
        <v>0</v>
      </c>
      <c r="N277" t="e">
        <f>VLOOKUP(A277,Capacity!B:G,6,FALSE)</f>
        <v>#N/A</v>
      </c>
      <c r="O277" s="20">
        <f t="shared" si="27"/>
        <v>0</v>
      </c>
      <c r="P277">
        <f t="shared" si="28"/>
        <v>0</v>
      </c>
    </row>
    <row r="278" spans="1:16" hidden="1" x14ac:dyDescent="0.3">
      <c r="A278" t="str">
        <f t="shared" si="24"/>
        <v>202347-OFC</v>
      </c>
      <c r="B278">
        <f t="shared" si="25"/>
        <v>202347</v>
      </c>
      <c r="C278" t="s">
        <v>5</v>
      </c>
      <c r="D278">
        <v>2023</v>
      </c>
      <c r="E278">
        <v>47</v>
      </c>
      <c r="F278">
        <f>SUMIFS(Table1[Modeled_Demand],Table1[Key_Year_week_DC],Demand_Modeling_Week_level!$A278,Table1[BRAND],Demand_Modeling_Week_level!F$2)</f>
        <v>0</v>
      </c>
      <c r="G278">
        <f>SUMIFS(Table1[Modeled_Demand],Table1[Key_Year_week_DC],Demand_Modeling_Week_level!$A278,Table1[BRAND],Demand_Modeling_Week_level!G$2)</f>
        <v>0</v>
      </c>
      <c r="H278">
        <f>SUMIFS(Table1[Modeled_Demand],Table1[Key_Year_week_DC],Demand_Modeling_Week_level!$A278,Table1[BRAND],Demand_Modeling_Week_level!H$2)</f>
        <v>286013</v>
      </c>
      <c r="I278">
        <f>SUMIFS(Table1[Modeled_Demand],Table1[Key_Year_week_DC],Demand_Modeling_Week_level!$A278,Table1[BRAND],Demand_Modeling_Week_level!I$2)</f>
        <v>0</v>
      </c>
      <c r="J278">
        <f>SUMIFS(Table1[Modeled_Demand],Table1[Key_Year_week_DC],Demand_Modeling_Week_level!$A278,Table1[BRAND],Demand_Modeling_Week_level!J$2)</f>
        <v>719328</v>
      </c>
      <c r="K278">
        <f>SUMIFS(Table1[Modeled_Demand],Table1[Key_Year_week_DC],Demand_Modeling_Week_level!$A278,Table1[BRAND],Demand_Modeling_Week_level!K$2)</f>
        <v>0</v>
      </c>
      <c r="L278">
        <f>SUMIFS(Table1[Demand],Table1[Key_Year_week_DC],Demand_Modeling_Week_level!$A278)</f>
        <v>3492500</v>
      </c>
      <c r="M278">
        <f t="shared" si="26"/>
        <v>1005341</v>
      </c>
      <c r="N278">
        <f>VLOOKUP(A278,Capacity!B:G,6,FALSE)</f>
        <v>4724981.1000000099</v>
      </c>
      <c r="O278" s="20">
        <f t="shared" si="27"/>
        <v>0.7391563957790207</v>
      </c>
      <c r="P278">
        <f t="shared" si="28"/>
        <v>0.21277143309631394</v>
      </c>
    </row>
    <row r="279" spans="1:16" hidden="1" x14ac:dyDescent="0.3">
      <c r="A279" t="str">
        <f t="shared" si="24"/>
        <v>202347-SFS</v>
      </c>
      <c r="B279">
        <f t="shared" si="25"/>
        <v>202347</v>
      </c>
      <c r="C279" t="s">
        <v>12</v>
      </c>
      <c r="D279">
        <v>2023</v>
      </c>
      <c r="E279">
        <v>47</v>
      </c>
      <c r="F279">
        <f>SUMIFS(Table1[Modeled_Demand],Table1[Key_Year_week_DC],Demand_Modeling_Week_level!$A279,Table1[BRAND],Demand_Modeling_Week_level!F$2)</f>
        <v>0</v>
      </c>
      <c r="G279">
        <f>SUMIFS(Table1[Modeled_Demand],Table1[Key_Year_week_DC],Demand_Modeling_Week_level!$A279,Table1[BRAND],Demand_Modeling_Week_level!G$2)</f>
        <v>0</v>
      </c>
      <c r="H279">
        <f>SUMIFS(Table1[Modeled_Demand],Table1[Key_Year_week_DC],Demand_Modeling_Week_level!$A279,Table1[BRAND],Demand_Modeling_Week_level!H$2)</f>
        <v>0</v>
      </c>
      <c r="I279">
        <f>SUMIFS(Table1[Modeled_Demand],Table1[Key_Year_week_DC],Demand_Modeling_Week_level!$A279,Table1[BRAND],Demand_Modeling_Week_level!I$2)</f>
        <v>0</v>
      </c>
      <c r="J279">
        <f>SUMIFS(Table1[Modeled_Demand],Table1[Key_Year_week_DC],Demand_Modeling_Week_level!$A279,Table1[BRAND],Demand_Modeling_Week_level!J$2)</f>
        <v>0</v>
      </c>
      <c r="K279">
        <f>SUMIFS(Table1[Modeled_Demand],Table1[Key_Year_week_DC],Demand_Modeling_Week_level!$A279,Table1[BRAND],Demand_Modeling_Week_level!K$2)</f>
        <v>0</v>
      </c>
      <c r="L279">
        <f>SUMIFS(Table1[Demand],Table1[Key_Year_week_DC],Demand_Modeling_Week_level!$A279)</f>
        <v>0</v>
      </c>
      <c r="M279">
        <f t="shared" si="26"/>
        <v>0</v>
      </c>
      <c r="N279" t="e">
        <f>VLOOKUP(A279,Capacity!B:G,6,FALSE)</f>
        <v>#N/A</v>
      </c>
      <c r="O279" s="20">
        <f t="shared" si="27"/>
        <v>0</v>
      </c>
      <c r="P279">
        <f t="shared" si="28"/>
        <v>0</v>
      </c>
    </row>
    <row r="280" spans="1:16" hidden="1" x14ac:dyDescent="0.3">
      <c r="A280" t="str">
        <f t="shared" si="24"/>
        <v>202347-TFC</v>
      </c>
      <c r="B280">
        <f t="shared" si="25"/>
        <v>202347</v>
      </c>
      <c r="C280" t="s">
        <v>6</v>
      </c>
      <c r="D280">
        <v>2023</v>
      </c>
      <c r="E280">
        <v>47</v>
      </c>
      <c r="F280">
        <f>SUMIFS(Table1[Modeled_Demand],Table1[Key_Year_week_DC],Demand_Modeling_Week_level!$A280,Table1[BRAND],Demand_Modeling_Week_level!F$2)</f>
        <v>549818</v>
      </c>
      <c r="G280">
        <f>SUMIFS(Table1[Modeled_Demand],Table1[Key_Year_week_DC],Demand_Modeling_Week_level!$A280,Table1[BRAND],Demand_Modeling_Week_level!G$2)</f>
        <v>513487</v>
      </c>
      <c r="H280">
        <f>SUMIFS(Table1[Modeled_Demand],Table1[Key_Year_week_DC],Demand_Modeling_Week_level!$A280,Table1[BRAND],Demand_Modeling_Week_level!H$2)</f>
        <v>0</v>
      </c>
      <c r="I280">
        <f>SUMIFS(Table1[Modeled_Demand],Table1[Key_Year_week_DC],Demand_Modeling_Week_level!$A280,Table1[BRAND],Demand_Modeling_Week_level!I$2)</f>
        <v>449310</v>
      </c>
      <c r="J280">
        <f>SUMIFS(Table1[Modeled_Demand],Table1[Key_Year_week_DC],Demand_Modeling_Week_level!$A280,Table1[BRAND],Demand_Modeling_Week_level!J$2)</f>
        <v>0</v>
      </c>
      <c r="K280">
        <f>SUMIFS(Table1[Modeled_Demand],Table1[Key_Year_week_DC],Demand_Modeling_Week_level!$A280,Table1[BRAND],Demand_Modeling_Week_level!K$2)</f>
        <v>0</v>
      </c>
      <c r="L280">
        <f>SUMIFS(Table1[Demand],Table1[Key_Year_week_DC],Demand_Modeling_Week_level!$A280)</f>
        <v>1431364</v>
      </c>
      <c r="M280">
        <f t="shared" si="26"/>
        <v>1512615</v>
      </c>
      <c r="N280">
        <f>VLOOKUP(A280,Capacity!B:G,6,FALSE)</f>
        <v>4724981.1000000099</v>
      </c>
      <c r="O280" s="20">
        <f t="shared" si="27"/>
        <v>0.30293539163574579</v>
      </c>
      <c r="P280">
        <f t="shared" si="28"/>
        <v>0.32013143925591508</v>
      </c>
    </row>
    <row r="281" spans="1:16" hidden="1" x14ac:dyDescent="0.3">
      <c r="A281" t="str">
        <f t="shared" si="24"/>
        <v>202347-WEO</v>
      </c>
      <c r="B281">
        <f t="shared" si="25"/>
        <v>202347</v>
      </c>
      <c r="C281" t="s">
        <v>10</v>
      </c>
      <c r="D281">
        <v>2023</v>
      </c>
      <c r="E281">
        <v>47</v>
      </c>
      <c r="F281">
        <f>SUMIFS(Table1[Modeled_Demand],Table1[Key_Year_week_DC],Demand_Modeling_Week_level!$A281,Table1[BRAND],Demand_Modeling_Week_level!F$2)</f>
        <v>0</v>
      </c>
      <c r="G281">
        <f>SUMIFS(Table1[Modeled_Demand],Table1[Key_Year_week_DC],Demand_Modeling_Week_level!$A281,Table1[BRAND],Demand_Modeling_Week_level!G$2)</f>
        <v>0</v>
      </c>
      <c r="H281">
        <f>SUMIFS(Table1[Modeled_Demand],Table1[Key_Year_week_DC],Demand_Modeling_Week_level!$A281,Table1[BRAND],Demand_Modeling_Week_level!H$2)</f>
        <v>0</v>
      </c>
      <c r="I281">
        <f>SUMIFS(Table1[Modeled_Demand],Table1[Key_Year_week_DC],Demand_Modeling_Week_level!$A281,Table1[BRAND],Demand_Modeling_Week_level!I$2)</f>
        <v>808758</v>
      </c>
      <c r="J281">
        <f>SUMIFS(Table1[Modeled_Demand],Table1[Key_Year_week_DC],Demand_Modeling_Week_level!$A281,Table1[BRAND],Demand_Modeling_Week_level!J$2)</f>
        <v>0</v>
      </c>
      <c r="K281">
        <f>SUMIFS(Table1[Modeled_Demand],Table1[Key_Year_week_DC],Demand_Modeling_Week_level!$A281,Table1[BRAND],Demand_Modeling_Week_level!K$2)</f>
        <v>238765.12</v>
      </c>
      <c r="L281">
        <f>SUMIFS(Table1[Demand],Table1[Key_Year_week_DC],Demand_Modeling_Week_level!$A281)</f>
        <v>400553</v>
      </c>
      <c r="M281">
        <f t="shared" si="26"/>
        <v>1047523.12</v>
      </c>
      <c r="N281">
        <f>VLOOKUP(A281,Capacity!B:G,6,FALSE)</f>
        <v>4724981.1000000099</v>
      </c>
      <c r="O281" s="20">
        <f t="shared" si="27"/>
        <v>8.4773460786964669E-2</v>
      </c>
      <c r="P281">
        <f t="shared" si="28"/>
        <v>0.2216989016104208</v>
      </c>
    </row>
    <row r="282" spans="1:16" hidden="1" x14ac:dyDescent="0.3">
      <c r="A282" t="str">
        <f t="shared" si="24"/>
        <v>202347-WFC</v>
      </c>
      <c r="B282">
        <f t="shared" si="25"/>
        <v>202347</v>
      </c>
      <c r="C282" t="s">
        <v>7</v>
      </c>
      <c r="D282">
        <v>2023</v>
      </c>
      <c r="E282">
        <v>47</v>
      </c>
      <c r="F282">
        <f>SUMIFS(Table1[Modeled_Demand],Table1[Key_Year_week_DC],Demand_Modeling_Week_level!$A282,Table1[BRAND],Demand_Modeling_Week_level!F$2)</f>
        <v>0</v>
      </c>
      <c r="G282">
        <f>SUMIFS(Table1[Modeled_Demand],Table1[Key_Year_week_DC],Demand_Modeling_Week_level!$A282,Table1[BRAND],Demand_Modeling_Week_level!G$2)</f>
        <v>1.7951315220101942</v>
      </c>
      <c r="H282">
        <f>SUMIFS(Table1[Modeled_Demand],Table1[Key_Year_week_DC],Demand_Modeling_Week_level!$A282,Table1[BRAND],Demand_Modeling_Week_level!H$2)</f>
        <v>0</v>
      </c>
      <c r="I282">
        <f>SUMIFS(Table1[Modeled_Demand],Table1[Key_Year_week_DC],Demand_Modeling_Week_level!$A282,Table1[BRAND],Demand_Modeling_Week_level!I$2)</f>
        <v>0</v>
      </c>
      <c r="J282">
        <f>SUMIFS(Table1[Modeled_Demand],Table1[Key_Year_week_DC],Demand_Modeling_Week_level!$A282,Table1[BRAND],Demand_Modeling_Week_level!J$2)</f>
        <v>0</v>
      </c>
      <c r="K282">
        <f>SUMIFS(Table1[Modeled_Demand],Table1[Key_Year_week_DC],Demand_Modeling_Week_level!$A282,Table1[BRAND],Demand_Modeling_Week_level!K$2)</f>
        <v>0</v>
      </c>
      <c r="L282">
        <f>SUMIFS(Table1[Demand],Table1[Key_Year_week_DC],Demand_Modeling_Week_level!$A282)</f>
        <v>567565</v>
      </c>
      <c r="M282">
        <f t="shared" si="26"/>
        <v>1.7951315220101942</v>
      </c>
      <c r="N282">
        <f>VLOOKUP(A282,Capacity!B:G,6,FALSE)</f>
        <v>0</v>
      </c>
      <c r="O282" s="20">
        <f t="shared" si="27"/>
        <v>0</v>
      </c>
      <c r="P282">
        <f t="shared" si="28"/>
        <v>0</v>
      </c>
    </row>
    <row r="283" spans="1:16" hidden="1" x14ac:dyDescent="0.3">
      <c r="A283" t="str">
        <f t="shared" si="24"/>
        <v>202348-EAO</v>
      </c>
      <c r="B283">
        <f t="shared" si="25"/>
        <v>202348</v>
      </c>
      <c r="C283" t="s">
        <v>8</v>
      </c>
      <c r="D283">
        <v>2023</v>
      </c>
      <c r="E283">
        <v>48</v>
      </c>
      <c r="F283">
        <f>SUMIFS(Table1[Modeled_Demand],Table1[Key_Year_week_DC],Demand_Modeling_Week_level!$A283,Table1[BRAND],Demand_Modeling_Week_level!F$2)</f>
        <v>28.177364155462307</v>
      </c>
      <c r="G283">
        <f>SUMIFS(Table1[Modeled_Demand],Table1[Key_Year_week_DC],Demand_Modeling_Week_level!$A283,Table1[BRAND],Demand_Modeling_Week_level!G$2)</f>
        <v>23.129746837901521</v>
      </c>
      <c r="H283">
        <f>SUMIFS(Table1[Modeled_Demand],Table1[Key_Year_week_DC],Demand_Modeling_Week_level!$A283,Table1[BRAND],Demand_Modeling_Week_level!H$2)</f>
        <v>0</v>
      </c>
      <c r="I283">
        <f>SUMIFS(Table1[Modeled_Demand],Table1[Key_Year_week_DC],Demand_Modeling_Week_level!$A283,Table1[BRAND],Demand_Modeling_Week_level!I$2)</f>
        <v>0</v>
      </c>
      <c r="J283">
        <f>SUMIFS(Table1[Modeled_Demand],Table1[Key_Year_week_DC],Demand_Modeling_Week_level!$A283,Table1[BRAND],Demand_Modeling_Week_level!J$2)</f>
        <v>0</v>
      </c>
      <c r="K283">
        <f>SUMIFS(Table1[Modeled_Demand],Table1[Key_Year_week_DC],Demand_Modeling_Week_level!$A283,Table1[BRAND],Demand_Modeling_Week_level!K$2)</f>
        <v>702950.64</v>
      </c>
      <c r="L283">
        <f>SUMIFS(Table1[Demand],Table1[Key_Year_week_DC],Demand_Modeling_Week_level!$A283)</f>
        <v>1017335</v>
      </c>
      <c r="M283">
        <f t="shared" si="26"/>
        <v>703001.94711099332</v>
      </c>
      <c r="N283">
        <f>VLOOKUP(A283,Capacity!B:G,6,FALSE)</f>
        <v>2700021.6</v>
      </c>
      <c r="O283" s="20">
        <f t="shared" si="27"/>
        <v>0.37678772643892922</v>
      </c>
      <c r="P283">
        <f t="shared" si="28"/>
        <v>0.26036900857052153</v>
      </c>
    </row>
    <row r="284" spans="1:16" hidden="1" x14ac:dyDescent="0.3">
      <c r="A284" t="str">
        <f t="shared" ref="A284:A290" si="29">B284&amp;"-"&amp;C284</f>
        <v>202348-OCC</v>
      </c>
      <c r="B284">
        <f t="shared" ref="B284:B290" si="30">D284*100+E284</f>
        <v>202348</v>
      </c>
      <c r="C284" t="s">
        <v>11</v>
      </c>
      <c r="D284">
        <v>2023</v>
      </c>
      <c r="E284">
        <v>48</v>
      </c>
      <c r="F284">
        <f>SUMIFS(Table1[Modeled_Demand],Table1[Key_Year_week_DC],Demand_Modeling_Week_level!$A284,Table1[BRAND],Demand_Modeling_Week_level!F$2)</f>
        <v>0</v>
      </c>
      <c r="G284">
        <f>SUMIFS(Table1[Modeled_Demand],Table1[Key_Year_week_DC],Demand_Modeling_Week_level!$A284,Table1[BRAND],Demand_Modeling_Week_level!G$2)</f>
        <v>0</v>
      </c>
      <c r="H284">
        <f>SUMIFS(Table1[Modeled_Demand],Table1[Key_Year_week_DC],Demand_Modeling_Week_level!$A284,Table1[BRAND],Demand_Modeling_Week_level!H$2)</f>
        <v>0</v>
      </c>
      <c r="I284">
        <f>SUMIFS(Table1[Modeled_Demand],Table1[Key_Year_week_DC],Demand_Modeling_Week_level!$A284,Table1[BRAND],Demand_Modeling_Week_level!I$2)</f>
        <v>497141.69999999995</v>
      </c>
      <c r="J284">
        <f>SUMIFS(Table1[Modeled_Demand],Table1[Key_Year_week_DC],Demand_Modeling_Week_level!$A284,Table1[BRAND],Demand_Modeling_Week_level!J$2)</f>
        <v>0</v>
      </c>
      <c r="K284">
        <f>SUMIFS(Table1[Modeled_Demand],Table1[Key_Year_week_DC],Demand_Modeling_Week_level!$A284,Table1[BRAND],Demand_Modeling_Week_level!K$2)</f>
        <v>2376642.6399999997</v>
      </c>
      <c r="L284">
        <f>SUMIFS(Table1[Demand],Table1[Key_Year_week_DC],Demand_Modeling_Week_level!$A284)</f>
        <v>0</v>
      </c>
      <c r="M284">
        <f t="shared" si="26"/>
        <v>2873784.34</v>
      </c>
      <c r="N284">
        <f>VLOOKUP(A284,Capacity!B:G,6,FALSE)</f>
        <v>12419973</v>
      </c>
      <c r="O284" s="20">
        <f t="shared" si="27"/>
        <v>0</v>
      </c>
      <c r="P284">
        <f t="shared" si="28"/>
        <v>0.23138410526335282</v>
      </c>
    </row>
    <row r="285" spans="1:16" hidden="1" x14ac:dyDescent="0.3">
      <c r="A285" t="str">
        <f t="shared" si="29"/>
        <v>202348-ODC</v>
      </c>
      <c r="B285">
        <f t="shared" si="30"/>
        <v>202348</v>
      </c>
      <c r="C285" t="s">
        <v>9</v>
      </c>
      <c r="D285">
        <v>2023</v>
      </c>
      <c r="E285">
        <v>48</v>
      </c>
      <c r="F285">
        <f>SUMIFS(Table1[Modeled_Demand],Table1[Key_Year_week_DC],Demand_Modeling_Week_level!$A285,Table1[BRAND],Demand_Modeling_Week_level!F$2)</f>
        <v>0</v>
      </c>
      <c r="G285">
        <f>SUMIFS(Table1[Modeled_Demand],Table1[Key_Year_week_DC],Demand_Modeling_Week_level!$A285,Table1[BRAND],Demand_Modeling_Week_level!G$2)</f>
        <v>0</v>
      </c>
      <c r="H285">
        <f>SUMIFS(Table1[Modeled_Demand],Table1[Key_Year_week_DC],Demand_Modeling_Week_level!$A285,Table1[BRAND],Demand_Modeling_Week_level!H$2)</f>
        <v>0</v>
      </c>
      <c r="I285">
        <f>SUMIFS(Table1[Modeled_Demand],Table1[Key_Year_week_DC],Demand_Modeling_Week_level!$A285,Table1[BRAND],Demand_Modeling_Week_level!I$2)</f>
        <v>0</v>
      </c>
      <c r="J285">
        <f>SUMIFS(Table1[Modeled_Demand],Table1[Key_Year_week_DC],Demand_Modeling_Week_level!$A285,Table1[BRAND],Demand_Modeling_Week_level!J$2)</f>
        <v>0</v>
      </c>
      <c r="K285">
        <f>SUMIFS(Table1[Modeled_Demand],Table1[Key_Year_week_DC],Demand_Modeling_Week_level!$A285,Table1[BRAND],Demand_Modeling_Week_level!K$2)</f>
        <v>0</v>
      </c>
      <c r="L285">
        <f>SUMIFS(Table1[Demand],Table1[Key_Year_week_DC],Demand_Modeling_Week_level!$A285)</f>
        <v>0</v>
      </c>
      <c r="M285">
        <f t="shared" si="26"/>
        <v>0</v>
      </c>
      <c r="N285" t="e">
        <f>VLOOKUP(A285,Capacity!B:G,6,FALSE)</f>
        <v>#N/A</v>
      </c>
      <c r="O285" s="20">
        <f t="shared" si="27"/>
        <v>0</v>
      </c>
      <c r="P285">
        <f t="shared" si="28"/>
        <v>0</v>
      </c>
    </row>
    <row r="286" spans="1:16" hidden="1" x14ac:dyDescent="0.3">
      <c r="A286" t="str">
        <f t="shared" si="29"/>
        <v>202348-OFC</v>
      </c>
      <c r="B286">
        <f t="shared" si="30"/>
        <v>202348</v>
      </c>
      <c r="C286" t="s">
        <v>5</v>
      </c>
      <c r="D286">
        <v>2023</v>
      </c>
      <c r="E286">
        <v>48</v>
      </c>
      <c r="F286">
        <f>SUMIFS(Table1[Modeled_Demand],Table1[Key_Year_week_DC],Demand_Modeling_Week_level!$A286,Table1[BRAND],Demand_Modeling_Week_level!F$2)</f>
        <v>0</v>
      </c>
      <c r="G286">
        <f>SUMIFS(Table1[Modeled_Demand],Table1[Key_Year_week_DC],Demand_Modeling_Week_level!$A286,Table1[BRAND],Demand_Modeling_Week_level!G$2)</f>
        <v>0</v>
      </c>
      <c r="H286">
        <f>SUMIFS(Table1[Modeled_Demand],Table1[Key_Year_week_DC],Demand_Modeling_Week_level!$A286,Table1[BRAND],Demand_Modeling_Week_level!H$2)</f>
        <v>324280</v>
      </c>
      <c r="I286">
        <f>SUMIFS(Table1[Modeled_Demand],Table1[Key_Year_week_DC],Demand_Modeling_Week_level!$A286,Table1[BRAND],Demand_Modeling_Week_level!I$2)</f>
        <v>0</v>
      </c>
      <c r="J286">
        <f>SUMIFS(Table1[Modeled_Demand],Table1[Key_Year_week_DC],Demand_Modeling_Week_level!$A286,Table1[BRAND],Demand_Modeling_Week_level!J$2)</f>
        <v>388478</v>
      </c>
      <c r="K286">
        <f>SUMIFS(Table1[Modeled_Demand],Table1[Key_Year_week_DC],Demand_Modeling_Week_level!$A286,Table1[BRAND],Demand_Modeling_Week_level!K$2)</f>
        <v>0</v>
      </c>
      <c r="L286">
        <f>SUMIFS(Table1[Demand],Table1[Key_Year_week_DC],Demand_Modeling_Week_level!$A286)</f>
        <v>3215930</v>
      </c>
      <c r="M286">
        <f t="shared" si="26"/>
        <v>712758</v>
      </c>
      <c r="N286">
        <f>VLOOKUP(A286,Capacity!B:G,6,FALSE)</f>
        <v>4049983.8</v>
      </c>
      <c r="O286" s="20">
        <f t="shared" si="27"/>
        <v>0.79405996636332232</v>
      </c>
      <c r="P286">
        <f t="shared" si="28"/>
        <v>0.175990333590964</v>
      </c>
    </row>
    <row r="287" spans="1:16" hidden="1" x14ac:dyDescent="0.3">
      <c r="A287" t="str">
        <f t="shared" si="29"/>
        <v>202348-SFS</v>
      </c>
      <c r="B287">
        <f t="shared" si="30"/>
        <v>202348</v>
      </c>
      <c r="C287" t="s">
        <v>12</v>
      </c>
      <c r="D287">
        <v>2023</v>
      </c>
      <c r="E287">
        <v>48</v>
      </c>
      <c r="F287">
        <f>SUMIFS(Table1[Modeled_Demand],Table1[Key_Year_week_DC],Demand_Modeling_Week_level!$A287,Table1[BRAND],Demand_Modeling_Week_level!F$2)</f>
        <v>0</v>
      </c>
      <c r="G287">
        <f>SUMIFS(Table1[Modeled_Demand],Table1[Key_Year_week_DC],Demand_Modeling_Week_level!$A287,Table1[BRAND],Demand_Modeling_Week_level!G$2)</f>
        <v>0</v>
      </c>
      <c r="H287">
        <f>SUMIFS(Table1[Modeled_Demand],Table1[Key_Year_week_DC],Demand_Modeling_Week_level!$A287,Table1[BRAND],Demand_Modeling_Week_level!H$2)</f>
        <v>0</v>
      </c>
      <c r="I287">
        <f>SUMIFS(Table1[Modeled_Demand],Table1[Key_Year_week_DC],Demand_Modeling_Week_level!$A287,Table1[BRAND],Demand_Modeling_Week_level!I$2)</f>
        <v>0</v>
      </c>
      <c r="J287">
        <f>SUMIFS(Table1[Modeled_Demand],Table1[Key_Year_week_DC],Demand_Modeling_Week_level!$A287,Table1[BRAND],Demand_Modeling_Week_level!J$2)</f>
        <v>0</v>
      </c>
      <c r="K287">
        <f>SUMIFS(Table1[Modeled_Demand],Table1[Key_Year_week_DC],Demand_Modeling_Week_level!$A287,Table1[BRAND],Demand_Modeling_Week_level!K$2)</f>
        <v>0</v>
      </c>
      <c r="L287">
        <f>SUMIFS(Table1[Demand],Table1[Key_Year_week_DC],Demand_Modeling_Week_level!$A287)</f>
        <v>0</v>
      </c>
      <c r="M287">
        <f t="shared" si="26"/>
        <v>0</v>
      </c>
      <c r="N287" t="e">
        <f>VLOOKUP(A287,Capacity!B:G,6,FALSE)</f>
        <v>#N/A</v>
      </c>
      <c r="O287" s="20">
        <f t="shared" si="27"/>
        <v>0</v>
      </c>
      <c r="P287">
        <f t="shared" si="28"/>
        <v>0</v>
      </c>
    </row>
    <row r="288" spans="1:16" hidden="1" x14ac:dyDescent="0.3">
      <c r="A288" t="str">
        <f t="shared" si="29"/>
        <v>202348-TFC</v>
      </c>
      <c r="B288">
        <f t="shared" si="30"/>
        <v>202348</v>
      </c>
      <c r="C288" t="s">
        <v>6</v>
      </c>
      <c r="D288">
        <v>2023</v>
      </c>
      <c r="E288">
        <v>48</v>
      </c>
      <c r="F288">
        <f>SUMIFS(Table1[Modeled_Demand],Table1[Key_Year_week_DC],Demand_Modeling_Week_level!$A288,Table1[BRAND],Demand_Modeling_Week_level!F$2)</f>
        <v>817417</v>
      </c>
      <c r="G288">
        <f>SUMIFS(Table1[Modeled_Demand],Table1[Key_Year_week_DC],Demand_Modeling_Week_level!$A288,Table1[BRAND],Demand_Modeling_Week_level!G$2)</f>
        <v>546286</v>
      </c>
      <c r="H288">
        <f>SUMIFS(Table1[Modeled_Demand],Table1[Key_Year_week_DC],Demand_Modeling_Week_level!$A288,Table1[BRAND],Demand_Modeling_Week_level!H$2)</f>
        <v>0</v>
      </c>
      <c r="I288">
        <f>SUMIFS(Table1[Modeled_Demand],Table1[Key_Year_week_DC],Demand_Modeling_Week_level!$A288,Table1[BRAND],Demand_Modeling_Week_level!I$2)</f>
        <v>414284.75</v>
      </c>
      <c r="J288">
        <f>SUMIFS(Table1[Modeled_Demand],Table1[Key_Year_week_DC],Demand_Modeling_Week_level!$A288,Table1[BRAND],Demand_Modeling_Week_level!J$2)</f>
        <v>0</v>
      </c>
      <c r="K288">
        <f>SUMIFS(Table1[Modeled_Demand],Table1[Key_Year_week_DC],Demand_Modeling_Week_level!$A288,Table1[BRAND],Demand_Modeling_Week_level!K$2)</f>
        <v>0</v>
      </c>
      <c r="L288">
        <f>SUMIFS(Table1[Demand],Table1[Key_Year_week_DC],Demand_Modeling_Week_level!$A288)</f>
        <v>1782416</v>
      </c>
      <c r="M288">
        <f t="shared" si="26"/>
        <v>1777987.75</v>
      </c>
      <c r="N288">
        <f>VLOOKUP(A288,Capacity!B:G,6,FALSE)</f>
        <v>4049983.8</v>
      </c>
      <c r="O288" s="20">
        <f t="shared" si="27"/>
        <v>0.44010447646728862</v>
      </c>
      <c r="P288">
        <f t="shared" si="28"/>
        <v>0.43901107703196246</v>
      </c>
    </row>
    <row r="289" spans="1:16" hidden="1" x14ac:dyDescent="0.3">
      <c r="A289" t="str">
        <f t="shared" si="29"/>
        <v>202348-WEO</v>
      </c>
      <c r="B289">
        <f t="shared" si="30"/>
        <v>202348</v>
      </c>
      <c r="C289" t="s">
        <v>10</v>
      </c>
      <c r="D289">
        <v>2023</v>
      </c>
      <c r="E289">
        <v>48</v>
      </c>
      <c r="F289">
        <f>SUMIFS(Table1[Modeled_Demand],Table1[Key_Year_week_DC],Demand_Modeling_Week_level!$A289,Table1[BRAND],Demand_Modeling_Week_level!F$2)</f>
        <v>0</v>
      </c>
      <c r="G289">
        <f>SUMIFS(Table1[Modeled_Demand],Table1[Key_Year_week_DC],Demand_Modeling_Week_level!$A289,Table1[BRAND],Demand_Modeling_Week_level!G$2)</f>
        <v>0</v>
      </c>
      <c r="H289">
        <f>SUMIFS(Table1[Modeled_Demand],Table1[Key_Year_week_DC],Demand_Modeling_Week_level!$A289,Table1[BRAND],Demand_Modeling_Week_level!H$2)</f>
        <v>0</v>
      </c>
      <c r="I289">
        <f>SUMIFS(Table1[Modeled_Demand],Table1[Key_Year_week_DC],Demand_Modeling_Week_level!$A289,Table1[BRAND],Demand_Modeling_Week_level!I$2)</f>
        <v>745712.55</v>
      </c>
      <c r="J289">
        <f>SUMIFS(Table1[Modeled_Demand],Table1[Key_Year_week_DC],Demand_Modeling_Week_level!$A289,Table1[BRAND],Demand_Modeling_Week_level!J$2)</f>
        <v>0</v>
      </c>
      <c r="K289">
        <f>SUMIFS(Table1[Modeled_Demand],Table1[Key_Year_week_DC],Demand_Modeling_Week_level!$A289,Table1[BRAND],Demand_Modeling_Week_level!K$2)</f>
        <v>267790.72000000003</v>
      </c>
      <c r="L289">
        <f>SUMIFS(Table1[Demand],Table1[Key_Year_week_DC],Demand_Modeling_Week_level!$A289)</f>
        <v>178258</v>
      </c>
      <c r="M289">
        <f t="shared" si="26"/>
        <v>1013503.27</v>
      </c>
      <c r="N289">
        <f>VLOOKUP(A289,Capacity!B:G,6,FALSE)</f>
        <v>4049983.8</v>
      </c>
      <c r="O289" s="20">
        <f t="shared" si="27"/>
        <v>4.4014497045642503E-2</v>
      </c>
      <c r="P289">
        <f t="shared" si="28"/>
        <v>0.25024872198254228</v>
      </c>
    </row>
    <row r="290" spans="1:16" hidden="1" x14ac:dyDescent="0.3">
      <c r="A290" t="str">
        <f t="shared" si="29"/>
        <v>202348-WFC</v>
      </c>
      <c r="B290">
        <f t="shared" si="30"/>
        <v>202348</v>
      </c>
      <c r="C290" t="s">
        <v>7</v>
      </c>
      <c r="D290">
        <v>2023</v>
      </c>
      <c r="E290">
        <v>48</v>
      </c>
      <c r="F290">
        <f>SUMIFS(Table1[Modeled_Demand],Table1[Key_Year_week_DC],Demand_Modeling_Week_level!$A290,Table1[BRAND],Demand_Modeling_Week_level!F$2)</f>
        <v>0</v>
      </c>
      <c r="G290">
        <f>SUMIFS(Table1[Modeled_Demand],Table1[Key_Year_week_DC],Demand_Modeling_Week_level!$A290,Table1[BRAND],Demand_Modeling_Week_level!G$2)</f>
        <v>1.9097956104689329</v>
      </c>
      <c r="H290">
        <f>SUMIFS(Table1[Modeled_Demand],Table1[Key_Year_week_DC],Demand_Modeling_Week_level!$A290,Table1[BRAND],Demand_Modeling_Week_level!H$2)</f>
        <v>0</v>
      </c>
      <c r="I290">
        <f>SUMIFS(Table1[Modeled_Demand],Table1[Key_Year_week_DC],Demand_Modeling_Week_level!$A290,Table1[BRAND],Demand_Modeling_Week_level!I$2)</f>
        <v>0</v>
      </c>
      <c r="J290">
        <f>SUMIFS(Table1[Modeled_Demand],Table1[Key_Year_week_DC],Demand_Modeling_Week_level!$A290,Table1[BRAND],Demand_Modeling_Week_level!J$2)</f>
        <v>0</v>
      </c>
      <c r="K290">
        <f>SUMIFS(Table1[Modeled_Demand],Table1[Key_Year_week_DC],Demand_Modeling_Week_level!$A290,Table1[BRAND],Demand_Modeling_Week_level!K$2)</f>
        <v>0</v>
      </c>
      <c r="L290">
        <f>SUMIFS(Table1[Demand],Table1[Key_Year_week_DC],Demand_Modeling_Week_level!$A290)</f>
        <v>887045</v>
      </c>
      <c r="M290">
        <f t="shared" si="26"/>
        <v>1.9097956104689329</v>
      </c>
      <c r="N290">
        <f>VLOOKUP(A290,Capacity!B:G,6,FALSE)</f>
        <v>0</v>
      </c>
      <c r="O290" s="20">
        <f t="shared" si="27"/>
        <v>0</v>
      </c>
      <c r="P290">
        <f t="shared" si="28"/>
        <v>0</v>
      </c>
    </row>
    <row r="291" spans="1:16" hidden="1" x14ac:dyDescent="0.3">
      <c r="A291" t="str">
        <f>B291&amp;"-"&amp;C291</f>
        <v>202443-EAO</v>
      </c>
      <c r="B291">
        <f>D291*100+E291</f>
        <v>202443</v>
      </c>
      <c r="C291" t="s">
        <v>8</v>
      </c>
      <c r="D291">
        <v>2024</v>
      </c>
      <c r="E291">
        <v>43</v>
      </c>
      <c r="F291">
        <f>SUMIFS(Table1[Modeled_Demand],Table1[Key_Year_week_DC],Demand_Modeling_Week_level!$A291,Table1[BRAND],Demand_Modeling_Week_level!F$2)</f>
        <v>0</v>
      </c>
      <c r="G291">
        <f>SUMIFS(Table1[Modeled_Demand],Table1[Key_Year_week_DC],Demand_Modeling_Week_level!$A291,Table1[BRAND],Demand_Modeling_Week_level!G$2)</f>
        <v>0</v>
      </c>
      <c r="H291">
        <f>SUMIFS(Table1[Modeled_Demand],Table1[Key_Year_week_DC],Demand_Modeling_Week_level!$A291,Table1[BRAND],Demand_Modeling_Week_level!H$2)</f>
        <v>0</v>
      </c>
      <c r="I291">
        <f>SUMIFS(Table1[Modeled_Demand],Table1[Key_Year_week_DC],Demand_Modeling_Week_level!$A291,Table1[BRAND],Demand_Modeling_Week_level!I$2)</f>
        <v>0</v>
      </c>
      <c r="J291">
        <f>SUMIFS(Table1[Modeled_Demand],Table1[Key_Year_week_DC],Demand_Modeling_Week_level!$A291,Table1[BRAND],Demand_Modeling_Week_level!J$2)</f>
        <v>0</v>
      </c>
      <c r="K291">
        <f>SUMIFS(Table1[Modeled_Demand],Table1[Key_Year_week_DC],Demand_Modeling_Week_level!$A291,Table1[BRAND],Demand_Modeling_Week_level!K$2)</f>
        <v>0</v>
      </c>
      <c r="L291">
        <f>SUMIFS(Table1[Demand],Table1[Key_Year_week_DC],Demand_Modeling_Week_level!$A291)</f>
        <v>0</v>
      </c>
      <c r="M291">
        <f t="shared" si="26"/>
        <v>0</v>
      </c>
      <c r="N291">
        <f>VLOOKUP(A291,Capacity!B:G,6,FALSE)</f>
        <v>0</v>
      </c>
      <c r="O291" s="20">
        <f t="shared" si="27"/>
        <v>0</v>
      </c>
      <c r="P291">
        <f t="shared" si="28"/>
        <v>0</v>
      </c>
    </row>
    <row r="292" spans="1:16" hidden="1" x14ac:dyDescent="0.3">
      <c r="A292" t="str">
        <f t="shared" ref="A292:A355" si="31">B292&amp;"-"&amp;C292</f>
        <v>202443-OCC</v>
      </c>
      <c r="B292">
        <f t="shared" ref="B292:B355" si="32">D292*100+E292</f>
        <v>202443</v>
      </c>
      <c r="C292" t="s">
        <v>11</v>
      </c>
      <c r="D292">
        <v>2024</v>
      </c>
      <c r="E292">
        <v>43</v>
      </c>
      <c r="F292">
        <f>SUMIFS(Table1[Modeled_Demand],Table1[Key_Year_week_DC],Demand_Modeling_Week_level!$A292,Table1[BRAND],Demand_Modeling_Week_level!F$2)</f>
        <v>0</v>
      </c>
      <c r="G292">
        <f>SUMIFS(Table1[Modeled_Demand],Table1[Key_Year_week_DC],Demand_Modeling_Week_level!$A292,Table1[BRAND],Demand_Modeling_Week_level!G$2)</f>
        <v>0</v>
      </c>
      <c r="H292">
        <f>SUMIFS(Table1[Modeled_Demand],Table1[Key_Year_week_DC],Demand_Modeling_Week_level!$A292,Table1[BRAND],Demand_Modeling_Week_level!H$2)</f>
        <v>0</v>
      </c>
      <c r="I292">
        <f>SUMIFS(Table1[Modeled_Demand],Table1[Key_Year_week_DC],Demand_Modeling_Week_level!$A292,Table1[BRAND],Demand_Modeling_Week_level!I$2)</f>
        <v>0</v>
      </c>
      <c r="J292">
        <f>SUMIFS(Table1[Modeled_Demand],Table1[Key_Year_week_DC],Demand_Modeling_Week_level!$A292,Table1[BRAND],Demand_Modeling_Week_level!J$2)</f>
        <v>0</v>
      </c>
      <c r="K292">
        <f>SUMIFS(Table1[Modeled_Demand],Table1[Key_Year_week_DC],Demand_Modeling_Week_level!$A292,Table1[BRAND],Demand_Modeling_Week_level!K$2)</f>
        <v>0</v>
      </c>
      <c r="L292">
        <f>SUMIFS(Table1[Demand],Table1[Key_Year_week_DC],Demand_Modeling_Week_level!$A292)</f>
        <v>0</v>
      </c>
      <c r="M292">
        <f t="shared" si="26"/>
        <v>0</v>
      </c>
      <c r="N292">
        <f>VLOOKUP(A292,Capacity!B:G,6,FALSE)</f>
        <v>0</v>
      </c>
      <c r="O292" s="20">
        <f t="shared" si="27"/>
        <v>0</v>
      </c>
      <c r="P292">
        <f t="shared" si="28"/>
        <v>0</v>
      </c>
    </row>
    <row r="293" spans="1:16" hidden="1" x14ac:dyDescent="0.3">
      <c r="A293" t="str">
        <f t="shared" si="31"/>
        <v>202443-ODC</v>
      </c>
      <c r="B293">
        <f t="shared" si="32"/>
        <v>202443</v>
      </c>
      <c r="C293" t="s">
        <v>9</v>
      </c>
      <c r="D293">
        <v>2024</v>
      </c>
      <c r="E293">
        <v>43</v>
      </c>
      <c r="F293">
        <f>SUMIFS(Table1[Modeled_Demand],Table1[Key_Year_week_DC],Demand_Modeling_Week_level!$A293,Table1[BRAND],Demand_Modeling_Week_level!F$2)</f>
        <v>0</v>
      </c>
      <c r="G293">
        <f>SUMIFS(Table1[Modeled_Demand],Table1[Key_Year_week_DC],Demand_Modeling_Week_level!$A293,Table1[BRAND],Demand_Modeling_Week_level!G$2)</f>
        <v>0</v>
      </c>
      <c r="H293">
        <f>SUMIFS(Table1[Modeled_Demand],Table1[Key_Year_week_DC],Demand_Modeling_Week_level!$A293,Table1[BRAND],Demand_Modeling_Week_level!H$2)</f>
        <v>0</v>
      </c>
      <c r="I293">
        <f>SUMIFS(Table1[Modeled_Demand],Table1[Key_Year_week_DC],Demand_Modeling_Week_level!$A293,Table1[BRAND],Demand_Modeling_Week_level!I$2)</f>
        <v>0</v>
      </c>
      <c r="J293">
        <f>SUMIFS(Table1[Modeled_Demand],Table1[Key_Year_week_DC],Demand_Modeling_Week_level!$A293,Table1[BRAND],Demand_Modeling_Week_level!J$2)</f>
        <v>0</v>
      </c>
      <c r="K293">
        <f>SUMIFS(Table1[Modeled_Demand],Table1[Key_Year_week_DC],Demand_Modeling_Week_level!$A293,Table1[BRAND],Demand_Modeling_Week_level!K$2)</f>
        <v>0</v>
      </c>
      <c r="L293">
        <f>SUMIFS(Table1[Demand],Table1[Key_Year_week_DC],Demand_Modeling_Week_level!$A293)</f>
        <v>0</v>
      </c>
      <c r="M293">
        <f t="shared" si="26"/>
        <v>0</v>
      </c>
      <c r="N293" t="e">
        <f>VLOOKUP(A293,Capacity!B:G,6,FALSE)</f>
        <v>#N/A</v>
      </c>
      <c r="O293" s="20">
        <f t="shared" si="27"/>
        <v>0</v>
      </c>
      <c r="P293">
        <f t="shared" si="28"/>
        <v>0</v>
      </c>
    </row>
    <row r="294" spans="1:16" hidden="1" x14ac:dyDescent="0.3">
      <c r="A294" t="str">
        <f t="shared" si="31"/>
        <v>202443-OFC</v>
      </c>
      <c r="B294">
        <f t="shared" si="32"/>
        <v>202443</v>
      </c>
      <c r="C294" t="s">
        <v>5</v>
      </c>
      <c r="D294">
        <v>2024</v>
      </c>
      <c r="E294">
        <v>43</v>
      </c>
      <c r="F294">
        <f>SUMIFS(Table1[Modeled_Demand],Table1[Key_Year_week_DC],Demand_Modeling_Week_level!$A294,Table1[BRAND],Demand_Modeling_Week_level!F$2)</f>
        <v>0</v>
      </c>
      <c r="G294">
        <f>SUMIFS(Table1[Modeled_Demand],Table1[Key_Year_week_DC],Demand_Modeling_Week_level!$A294,Table1[BRAND],Demand_Modeling_Week_level!G$2)</f>
        <v>0</v>
      </c>
      <c r="H294">
        <f>SUMIFS(Table1[Modeled_Demand],Table1[Key_Year_week_DC],Demand_Modeling_Week_level!$A294,Table1[BRAND],Demand_Modeling_Week_level!H$2)</f>
        <v>0</v>
      </c>
      <c r="I294">
        <f>SUMIFS(Table1[Modeled_Demand],Table1[Key_Year_week_DC],Demand_Modeling_Week_level!$A294,Table1[BRAND],Demand_Modeling_Week_level!I$2)</f>
        <v>0</v>
      </c>
      <c r="J294">
        <f>SUMIFS(Table1[Modeled_Demand],Table1[Key_Year_week_DC],Demand_Modeling_Week_level!$A294,Table1[BRAND],Demand_Modeling_Week_level!J$2)</f>
        <v>0</v>
      </c>
      <c r="K294">
        <f>SUMIFS(Table1[Modeled_Demand],Table1[Key_Year_week_DC],Demand_Modeling_Week_level!$A294,Table1[BRAND],Demand_Modeling_Week_level!K$2)</f>
        <v>0</v>
      </c>
      <c r="L294">
        <f>SUMIFS(Table1[Demand],Table1[Key_Year_week_DC],Demand_Modeling_Week_level!$A294)</f>
        <v>0</v>
      </c>
      <c r="M294">
        <f t="shared" si="26"/>
        <v>0</v>
      </c>
      <c r="N294">
        <f>VLOOKUP(A294,Capacity!B:G,6,FALSE)</f>
        <v>0</v>
      </c>
      <c r="O294" s="20">
        <f t="shared" si="27"/>
        <v>0</v>
      </c>
      <c r="P294">
        <f t="shared" si="28"/>
        <v>0</v>
      </c>
    </row>
    <row r="295" spans="1:16" hidden="1" x14ac:dyDescent="0.3">
      <c r="A295" t="str">
        <f t="shared" si="31"/>
        <v>202443-SFS</v>
      </c>
      <c r="B295">
        <f t="shared" si="32"/>
        <v>202443</v>
      </c>
      <c r="C295" t="s">
        <v>12</v>
      </c>
      <c r="D295">
        <v>2024</v>
      </c>
      <c r="E295">
        <v>43</v>
      </c>
      <c r="F295">
        <f>SUMIFS(Table1[Modeled_Demand],Table1[Key_Year_week_DC],Demand_Modeling_Week_level!$A295,Table1[BRAND],Demand_Modeling_Week_level!F$2)</f>
        <v>0</v>
      </c>
      <c r="G295">
        <f>SUMIFS(Table1[Modeled_Demand],Table1[Key_Year_week_DC],Demand_Modeling_Week_level!$A295,Table1[BRAND],Demand_Modeling_Week_level!G$2)</f>
        <v>0</v>
      </c>
      <c r="H295">
        <f>SUMIFS(Table1[Modeled_Demand],Table1[Key_Year_week_DC],Demand_Modeling_Week_level!$A295,Table1[BRAND],Demand_Modeling_Week_level!H$2)</f>
        <v>0</v>
      </c>
      <c r="I295">
        <f>SUMIFS(Table1[Modeled_Demand],Table1[Key_Year_week_DC],Demand_Modeling_Week_level!$A295,Table1[BRAND],Demand_Modeling_Week_level!I$2)</f>
        <v>0</v>
      </c>
      <c r="J295">
        <f>SUMIFS(Table1[Modeled_Demand],Table1[Key_Year_week_DC],Demand_Modeling_Week_level!$A295,Table1[BRAND],Demand_Modeling_Week_level!J$2)</f>
        <v>0</v>
      </c>
      <c r="K295">
        <f>SUMIFS(Table1[Modeled_Demand],Table1[Key_Year_week_DC],Demand_Modeling_Week_level!$A295,Table1[BRAND],Demand_Modeling_Week_level!K$2)</f>
        <v>0</v>
      </c>
      <c r="L295">
        <f>SUMIFS(Table1[Demand],Table1[Key_Year_week_DC],Demand_Modeling_Week_level!$A295)</f>
        <v>0</v>
      </c>
      <c r="M295">
        <f t="shared" si="26"/>
        <v>0</v>
      </c>
      <c r="N295" t="e">
        <f>VLOOKUP(A295,Capacity!B:G,6,FALSE)</f>
        <v>#N/A</v>
      </c>
      <c r="O295" s="20">
        <f t="shared" si="27"/>
        <v>0</v>
      </c>
      <c r="P295">
        <f t="shared" si="28"/>
        <v>0</v>
      </c>
    </row>
    <row r="296" spans="1:16" hidden="1" x14ac:dyDescent="0.3">
      <c r="A296" t="str">
        <f t="shared" si="31"/>
        <v>202443-TFC</v>
      </c>
      <c r="B296">
        <f t="shared" si="32"/>
        <v>202443</v>
      </c>
      <c r="C296" t="s">
        <v>6</v>
      </c>
      <c r="D296">
        <v>2024</v>
      </c>
      <c r="E296">
        <v>43</v>
      </c>
      <c r="F296">
        <f>SUMIFS(Table1[Modeled_Demand],Table1[Key_Year_week_DC],Demand_Modeling_Week_level!$A296,Table1[BRAND],Demand_Modeling_Week_level!F$2)</f>
        <v>0</v>
      </c>
      <c r="G296">
        <f>SUMIFS(Table1[Modeled_Demand],Table1[Key_Year_week_DC],Demand_Modeling_Week_level!$A296,Table1[BRAND],Demand_Modeling_Week_level!G$2)</f>
        <v>0</v>
      </c>
      <c r="H296">
        <f>SUMIFS(Table1[Modeled_Demand],Table1[Key_Year_week_DC],Demand_Modeling_Week_level!$A296,Table1[BRAND],Demand_Modeling_Week_level!H$2)</f>
        <v>0</v>
      </c>
      <c r="I296">
        <f>SUMIFS(Table1[Modeled_Demand],Table1[Key_Year_week_DC],Demand_Modeling_Week_level!$A296,Table1[BRAND],Demand_Modeling_Week_level!I$2)</f>
        <v>0</v>
      </c>
      <c r="J296">
        <f>SUMIFS(Table1[Modeled_Demand],Table1[Key_Year_week_DC],Demand_Modeling_Week_level!$A296,Table1[BRAND],Demand_Modeling_Week_level!J$2)</f>
        <v>0</v>
      </c>
      <c r="K296">
        <f>SUMIFS(Table1[Modeled_Demand],Table1[Key_Year_week_DC],Demand_Modeling_Week_level!$A296,Table1[BRAND],Demand_Modeling_Week_level!K$2)</f>
        <v>0</v>
      </c>
      <c r="L296">
        <f>SUMIFS(Table1[Demand],Table1[Key_Year_week_DC],Demand_Modeling_Week_level!$A296)</f>
        <v>0</v>
      </c>
      <c r="M296">
        <f t="shared" si="26"/>
        <v>0</v>
      </c>
      <c r="N296">
        <f>VLOOKUP(A296,Capacity!B:G,6,FALSE)</f>
        <v>0</v>
      </c>
      <c r="O296" s="20">
        <f t="shared" si="27"/>
        <v>0</v>
      </c>
      <c r="P296">
        <f t="shared" si="28"/>
        <v>0</v>
      </c>
    </row>
    <row r="297" spans="1:16" hidden="1" x14ac:dyDescent="0.3">
      <c r="A297" t="str">
        <f t="shared" si="31"/>
        <v>202443-WEO</v>
      </c>
      <c r="B297">
        <f t="shared" si="32"/>
        <v>202443</v>
      </c>
      <c r="C297" t="s">
        <v>10</v>
      </c>
      <c r="D297">
        <v>2024</v>
      </c>
      <c r="E297">
        <v>43</v>
      </c>
      <c r="F297">
        <f>SUMIFS(Table1[Modeled_Demand],Table1[Key_Year_week_DC],Demand_Modeling_Week_level!$A297,Table1[BRAND],Demand_Modeling_Week_level!F$2)</f>
        <v>0</v>
      </c>
      <c r="G297">
        <f>SUMIFS(Table1[Modeled_Demand],Table1[Key_Year_week_DC],Demand_Modeling_Week_level!$A297,Table1[BRAND],Demand_Modeling_Week_level!G$2)</f>
        <v>0</v>
      </c>
      <c r="H297">
        <f>SUMIFS(Table1[Modeled_Demand],Table1[Key_Year_week_DC],Demand_Modeling_Week_level!$A297,Table1[BRAND],Demand_Modeling_Week_level!H$2)</f>
        <v>0</v>
      </c>
      <c r="I297">
        <f>SUMIFS(Table1[Modeled_Demand],Table1[Key_Year_week_DC],Demand_Modeling_Week_level!$A297,Table1[BRAND],Demand_Modeling_Week_level!I$2)</f>
        <v>0</v>
      </c>
      <c r="J297">
        <f>SUMIFS(Table1[Modeled_Demand],Table1[Key_Year_week_DC],Demand_Modeling_Week_level!$A297,Table1[BRAND],Demand_Modeling_Week_level!J$2)</f>
        <v>0</v>
      </c>
      <c r="K297">
        <f>SUMIFS(Table1[Modeled_Demand],Table1[Key_Year_week_DC],Demand_Modeling_Week_level!$A297,Table1[BRAND],Demand_Modeling_Week_level!K$2)</f>
        <v>0</v>
      </c>
      <c r="L297">
        <f>SUMIFS(Table1[Demand],Table1[Key_Year_week_DC],Demand_Modeling_Week_level!$A297)</f>
        <v>0</v>
      </c>
      <c r="M297">
        <f t="shared" si="26"/>
        <v>0</v>
      </c>
      <c r="N297">
        <f>VLOOKUP(A297,Capacity!B:G,6,FALSE)</f>
        <v>0</v>
      </c>
      <c r="O297" s="20">
        <f t="shared" si="27"/>
        <v>0</v>
      </c>
      <c r="P297">
        <f t="shared" si="28"/>
        <v>0</v>
      </c>
    </row>
    <row r="298" spans="1:16" hidden="1" x14ac:dyDescent="0.3">
      <c r="A298" t="str">
        <f t="shared" si="31"/>
        <v>202443-WFC</v>
      </c>
      <c r="B298">
        <f t="shared" si="32"/>
        <v>202443</v>
      </c>
      <c r="C298" t="s">
        <v>7</v>
      </c>
      <c r="D298">
        <v>2024</v>
      </c>
      <c r="E298">
        <v>43</v>
      </c>
      <c r="F298">
        <f>SUMIFS(Table1[Modeled_Demand],Table1[Key_Year_week_DC],Demand_Modeling_Week_level!$A298,Table1[BRAND],Demand_Modeling_Week_level!F$2)</f>
        <v>0</v>
      </c>
      <c r="G298">
        <f>SUMIFS(Table1[Modeled_Demand],Table1[Key_Year_week_DC],Demand_Modeling_Week_level!$A298,Table1[BRAND],Demand_Modeling_Week_level!G$2)</f>
        <v>0</v>
      </c>
      <c r="H298">
        <f>SUMIFS(Table1[Modeled_Demand],Table1[Key_Year_week_DC],Demand_Modeling_Week_level!$A298,Table1[BRAND],Demand_Modeling_Week_level!H$2)</f>
        <v>0</v>
      </c>
      <c r="I298">
        <f>SUMIFS(Table1[Modeled_Demand],Table1[Key_Year_week_DC],Demand_Modeling_Week_level!$A298,Table1[BRAND],Demand_Modeling_Week_level!I$2)</f>
        <v>0</v>
      </c>
      <c r="J298">
        <f>SUMIFS(Table1[Modeled_Demand],Table1[Key_Year_week_DC],Demand_Modeling_Week_level!$A298,Table1[BRAND],Demand_Modeling_Week_level!J$2)</f>
        <v>0</v>
      </c>
      <c r="K298">
        <f>SUMIFS(Table1[Modeled_Demand],Table1[Key_Year_week_DC],Demand_Modeling_Week_level!$A298,Table1[BRAND],Demand_Modeling_Week_level!K$2)</f>
        <v>0</v>
      </c>
      <c r="L298">
        <f>SUMIFS(Table1[Demand],Table1[Key_Year_week_DC],Demand_Modeling_Week_level!$A298)</f>
        <v>0</v>
      </c>
      <c r="M298">
        <f t="shared" si="26"/>
        <v>0</v>
      </c>
      <c r="N298">
        <f>VLOOKUP(A298,Capacity!B:G,6,FALSE)</f>
        <v>0</v>
      </c>
      <c r="O298" s="20">
        <f t="shared" si="27"/>
        <v>0</v>
      </c>
      <c r="P298">
        <f t="shared" si="28"/>
        <v>0</v>
      </c>
    </row>
    <row r="299" spans="1:16" hidden="1" x14ac:dyDescent="0.3">
      <c r="A299" t="str">
        <f t="shared" si="31"/>
        <v>202448-EAO</v>
      </c>
      <c r="B299">
        <f t="shared" si="32"/>
        <v>202448</v>
      </c>
      <c r="C299" t="s">
        <v>8</v>
      </c>
      <c r="D299">
        <v>2024</v>
      </c>
      <c r="E299">
        <v>48</v>
      </c>
      <c r="F299">
        <f>SUMIFS(Table1[Modeled_Demand],Table1[Key_Year_week_DC],Demand_Modeling_Week_level!$A299,Table1[BRAND],Demand_Modeling_Week_level!F$2)</f>
        <v>0</v>
      </c>
      <c r="G299">
        <f>SUMIFS(Table1[Modeled_Demand],Table1[Key_Year_week_DC],Demand_Modeling_Week_level!$A299,Table1[BRAND],Demand_Modeling_Week_level!G$2)</f>
        <v>0</v>
      </c>
      <c r="H299">
        <f>SUMIFS(Table1[Modeled_Demand],Table1[Key_Year_week_DC],Demand_Modeling_Week_level!$A299,Table1[BRAND],Demand_Modeling_Week_level!H$2)</f>
        <v>0</v>
      </c>
      <c r="I299">
        <f>SUMIFS(Table1[Modeled_Demand],Table1[Key_Year_week_DC],Demand_Modeling_Week_level!$A299,Table1[BRAND],Demand_Modeling_Week_level!I$2)</f>
        <v>0</v>
      </c>
      <c r="J299">
        <f>SUMIFS(Table1[Modeled_Demand],Table1[Key_Year_week_DC],Demand_Modeling_Week_level!$A299,Table1[BRAND],Demand_Modeling_Week_level!J$2)</f>
        <v>0</v>
      </c>
      <c r="K299">
        <f>SUMIFS(Table1[Modeled_Demand],Table1[Key_Year_week_DC],Demand_Modeling_Week_level!$A299,Table1[BRAND],Demand_Modeling_Week_level!K$2)</f>
        <v>0</v>
      </c>
      <c r="L299">
        <f>SUMIFS(Table1[Demand],Table1[Key_Year_week_DC],Demand_Modeling_Week_level!$A299)</f>
        <v>0</v>
      </c>
      <c r="M299">
        <f t="shared" si="26"/>
        <v>0</v>
      </c>
      <c r="N299">
        <f>VLOOKUP(A299,Capacity!B:G,6,FALSE)</f>
        <v>0</v>
      </c>
      <c r="O299" s="20">
        <f t="shared" si="27"/>
        <v>0</v>
      </c>
      <c r="P299">
        <f t="shared" si="28"/>
        <v>0</v>
      </c>
    </row>
    <row r="300" spans="1:16" hidden="1" x14ac:dyDescent="0.3">
      <c r="A300" t="str">
        <f t="shared" si="31"/>
        <v>202448-OCC</v>
      </c>
      <c r="B300">
        <f t="shared" si="32"/>
        <v>202448</v>
      </c>
      <c r="C300" t="s">
        <v>11</v>
      </c>
      <c r="D300">
        <v>2024</v>
      </c>
      <c r="E300">
        <v>48</v>
      </c>
      <c r="F300">
        <f>SUMIFS(Table1[Modeled_Demand],Table1[Key_Year_week_DC],Demand_Modeling_Week_level!$A300,Table1[BRAND],Demand_Modeling_Week_level!F$2)</f>
        <v>0</v>
      </c>
      <c r="G300">
        <f>SUMIFS(Table1[Modeled_Demand],Table1[Key_Year_week_DC],Demand_Modeling_Week_level!$A300,Table1[BRAND],Demand_Modeling_Week_level!G$2)</f>
        <v>0</v>
      </c>
      <c r="H300">
        <f>SUMIFS(Table1[Modeled_Demand],Table1[Key_Year_week_DC],Demand_Modeling_Week_level!$A300,Table1[BRAND],Demand_Modeling_Week_level!H$2)</f>
        <v>0</v>
      </c>
      <c r="I300">
        <f>SUMIFS(Table1[Modeled_Demand],Table1[Key_Year_week_DC],Demand_Modeling_Week_level!$A300,Table1[BRAND],Demand_Modeling_Week_level!I$2)</f>
        <v>0</v>
      </c>
      <c r="J300">
        <f>SUMIFS(Table1[Modeled_Demand],Table1[Key_Year_week_DC],Demand_Modeling_Week_level!$A300,Table1[BRAND],Demand_Modeling_Week_level!J$2)</f>
        <v>0</v>
      </c>
      <c r="K300">
        <f>SUMIFS(Table1[Modeled_Demand],Table1[Key_Year_week_DC],Demand_Modeling_Week_level!$A300,Table1[BRAND],Demand_Modeling_Week_level!K$2)</f>
        <v>0</v>
      </c>
      <c r="L300">
        <f>SUMIFS(Table1[Demand],Table1[Key_Year_week_DC],Demand_Modeling_Week_level!$A300)</f>
        <v>0</v>
      </c>
      <c r="M300">
        <f t="shared" si="26"/>
        <v>0</v>
      </c>
      <c r="N300">
        <f>VLOOKUP(A300,Capacity!B:G,6,FALSE)</f>
        <v>0</v>
      </c>
      <c r="O300" s="20">
        <f t="shared" si="27"/>
        <v>0</v>
      </c>
      <c r="P300">
        <f t="shared" si="28"/>
        <v>0</v>
      </c>
    </row>
    <row r="301" spans="1:16" hidden="1" x14ac:dyDescent="0.3">
      <c r="A301" t="str">
        <f t="shared" si="31"/>
        <v>202448-ODC</v>
      </c>
      <c r="B301">
        <f t="shared" si="32"/>
        <v>202448</v>
      </c>
      <c r="C301" t="s">
        <v>9</v>
      </c>
      <c r="D301">
        <v>2024</v>
      </c>
      <c r="E301">
        <v>48</v>
      </c>
      <c r="F301">
        <f>SUMIFS(Table1[Modeled_Demand],Table1[Key_Year_week_DC],Demand_Modeling_Week_level!$A301,Table1[BRAND],Demand_Modeling_Week_level!F$2)</f>
        <v>0</v>
      </c>
      <c r="G301">
        <f>SUMIFS(Table1[Modeled_Demand],Table1[Key_Year_week_DC],Demand_Modeling_Week_level!$A301,Table1[BRAND],Demand_Modeling_Week_level!G$2)</f>
        <v>0</v>
      </c>
      <c r="H301">
        <f>SUMIFS(Table1[Modeled_Demand],Table1[Key_Year_week_DC],Demand_Modeling_Week_level!$A301,Table1[BRAND],Demand_Modeling_Week_level!H$2)</f>
        <v>0</v>
      </c>
      <c r="I301">
        <f>SUMIFS(Table1[Modeled_Demand],Table1[Key_Year_week_DC],Demand_Modeling_Week_level!$A301,Table1[BRAND],Demand_Modeling_Week_level!I$2)</f>
        <v>0</v>
      </c>
      <c r="J301">
        <f>SUMIFS(Table1[Modeled_Demand],Table1[Key_Year_week_DC],Demand_Modeling_Week_level!$A301,Table1[BRAND],Demand_Modeling_Week_level!J$2)</f>
        <v>0</v>
      </c>
      <c r="K301">
        <f>SUMIFS(Table1[Modeled_Demand],Table1[Key_Year_week_DC],Demand_Modeling_Week_level!$A301,Table1[BRAND],Demand_Modeling_Week_level!K$2)</f>
        <v>0</v>
      </c>
      <c r="L301">
        <f>SUMIFS(Table1[Demand],Table1[Key_Year_week_DC],Demand_Modeling_Week_level!$A301)</f>
        <v>0</v>
      </c>
      <c r="M301">
        <f t="shared" si="26"/>
        <v>0</v>
      </c>
      <c r="N301" t="e">
        <f>VLOOKUP(A301,Capacity!B:G,6,FALSE)</f>
        <v>#N/A</v>
      </c>
      <c r="O301" s="20">
        <f t="shared" si="27"/>
        <v>0</v>
      </c>
      <c r="P301">
        <f t="shared" si="28"/>
        <v>0</v>
      </c>
    </row>
    <row r="302" spans="1:16" hidden="1" x14ac:dyDescent="0.3">
      <c r="A302" t="str">
        <f t="shared" si="31"/>
        <v>202448-OFC</v>
      </c>
      <c r="B302">
        <f t="shared" si="32"/>
        <v>202448</v>
      </c>
      <c r="C302" t="s">
        <v>5</v>
      </c>
      <c r="D302">
        <v>2024</v>
      </c>
      <c r="E302">
        <v>48</v>
      </c>
      <c r="F302">
        <f>SUMIFS(Table1[Modeled_Demand],Table1[Key_Year_week_DC],Demand_Modeling_Week_level!$A302,Table1[BRAND],Demand_Modeling_Week_level!F$2)</f>
        <v>0</v>
      </c>
      <c r="G302">
        <f>SUMIFS(Table1[Modeled_Demand],Table1[Key_Year_week_DC],Demand_Modeling_Week_level!$A302,Table1[BRAND],Demand_Modeling_Week_level!G$2)</f>
        <v>0</v>
      </c>
      <c r="H302">
        <f>SUMIFS(Table1[Modeled_Demand],Table1[Key_Year_week_DC],Demand_Modeling_Week_level!$A302,Table1[BRAND],Demand_Modeling_Week_level!H$2)</f>
        <v>0</v>
      </c>
      <c r="I302">
        <f>SUMIFS(Table1[Modeled_Demand],Table1[Key_Year_week_DC],Demand_Modeling_Week_level!$A302,Table1[BRAND],Demand_Modeling_Week_level!I$2)</f>
        <v>0</v>
      </c>
      <c r="J302">
        <f>SUMIFS(Table1[Modeled_Demand],Table1[Key_Year_week_DC],Demand_Modeling_Week_level!$A302,Table1[BRAND],Demand_Modeling_Week_level!J$2)</f>
        <v>0</v>
      </c>
      <c r="K302">
        <f>SUMIFS(Table1[Modeled_Demand],Table1[Key_Year_week_DC],Demand_Modeling_Week_level!$A302,Table1[BRAND],Demand_Modeling_Week_level!K$2)</f>
        <v>0</v>
      </c>
      <c r="L302">
        <f>SUMIFS(Table1[Demand],Table1[Key_Year_week_DC],Demand_Modeling_Week_level!$A302)</f>
        <v>0</v>
      </c>
      <c r="M302">
        <f t="shared" si="26"/>
        <v>0</v>
      </c>
      <c r="N302">
        <f>VLOOKUP(A302,Capacity!B:G,6,FALSE)</f>
        <v>0</v>
      </c>
      <c r="O302" s="20">
        <f t="shared" si="27"/>
        <v>0</v>
      </c>
      <c r="P302">
        <f t="shared" si="28"/>
        <v>0</v>
      </c>
    </row>
    <row r="303" spans="1:16" hidden="1" x14ac:dyDescent="0.3">
      <c r="A303" t="str">
        <f t="shared" si="31"/>
        <v>202448-SFS</v>
      </c>
      <c r="B303">
        <f t="shared" si="32"/>
        <v>202448</v>
      </c>
      <c r="C303" t="s">
        <v>12</v>
      </c>
      <c r="D303">
        <v>2024</v>
      </c>
      <c r="E303">
        <v>48</v>
      </c>
      <c r="F303">
        <f>SUMIFS(Table1[Modeled_Demand],Table1[Key_Year_week_DC],Demand_Modeling_Week_level!$A303,Table1[BRAND],Demand_Modeling_Week_level!F$2)</f>
        <v>0</v>
      </c>
      <c r="G303">
        <f>SUMIFS(Table1[Modeled_Demand],Table1[Key_Year_week_DC],Demand_Modeling_Week_level!$A303,Table1[BRAND],Demand_Modeling_Week_level!G$2)</f>
        <v>0</v>
      </c>
      <c r="H303">
        <f>SUMIFS(Table1[Modeled_Demand],Table1[Key_Year_week_DC],Demand_Modeling_Week_level!$A303,Table1[BRAND],Demand_Modeling_Week_level!H$2)</f>
        <v>0</v>
      </c>
      <c r="I303">
        <f>SUMIFS(Table1[Modeled_Demand],Table1[Key_Year_week_DC],Demand_Modeling_Week_level!$A303,Table1[BRAND],Demand_Modeling_Week_level!I$2)</f>
        <v>0</v>
      </c>
      <c r="J303">
        <f>SUMIFS(Table1[Modeled_Demand],Table1[Key_Year_week_DC],Demand_Modeling_Week_level!$A303,Table1[BRAND],Demand_Modeling_Week_level!J$2)</f>
        <v>0</v>
      </c>
      <c r="K303">
        <f>SUMIFS(Table1[Modeled_Demand],Table1[Key_Year_week_DC],Demand_Modeling_Week_level!$A303,Table1[BRAND],Demand_Modeling_Week_level!K$2)</f>
        <v>0</v>
      </c>
      <c r="L303">
        <f>SUMIFS(Table1[Demand],Table1[Key_Year_week_DC],Demand_Modeling_Week_level!$A303)</f>
        <v>0</v>
      </c>
      <c r="M303">
        <f t="shared" si="26"/>
        <v>0</v>
      </c>
      <c r="N303" t="e">
        <f>VLOOKUP(A303,Capacity!B:G,6,FALSE)</f>
        <v>#N/A</v>
      </c>
      <c r="O303" s="20">
        <f t="shared" si="27"/>
        <v>0</v>
      </c>
      <c r="P303">
        <f t="shared" si="28"/>
        <v>0</v>
      </c>
    </row>
    <row r="304" spans="1:16" hidden="1" x14ac:dyDescent="0.3">
      <c r="A304" t="str">
        <f t="shared" si="31"/>
        <v>202448-TFC</v>
      </c>
      <c r="B304">
        <f t="shared" si="32"/>
        <v>202448</v>
      </c>
      <c r="C304" t="s">
        <v>6</v>
      </c>
      <c r="D304">
        <v>2024</v>
      </c>
      <c r="E304">
        <v>48</v>
      </c>
      <c r="F304">
        <f>SUMIFS(Table1[Modeled_Demand],Table1[Key_Year_week_DC],Demand_Modeling_Week_level!$A304,Table1[BRAND],Demand_Modeling_Week_level!F$2)</f>
        <v>0</v>
      </c>
      <c r="G304">
        <f>SUMIFS(Table1[Modeled_Demand],Table1[Key_Year_week_DC],Demand_Modeling_Week_level!$A304,Table1[BRAND],Demand_Modeling_Week_level!G$2)</f>
        <v>0</v>
      </c>
      <c r="H304">
        <f>SUMIFS(Table1[Modeled_Demand],Table1[Key_Year_week_DC],Demand_Modeling_Week_level!$A304,Table1[BRAND],Demand_Modeling_Week_level!H$2)</f>
        <v>0</v>
      </c>
      <c r="I304">
        <f>SUMIFS(Table1[Modeled_Demand],Table1[Key_Year_week_DC],Demand_Modeling_Week_level!$A304,Table1[BRAND],Demand_Modeling_Week_level!I$2)</f>
        <v>0</v>
      </c>
      <c r="J304">
        <f>SUMIFS(Table1[Modeled_Demand],Table1[Key_Year_week_DC],Demand_Modeling_Week_level!$A304,Table1[BRAND],Demand_Modeling_Week_level!J$2)</f>
        <v>0</v>
      </c>
      <c r="K304">
        <f>SUMIFS(Table1[Modeled_Demand],Table1[Key_Year_week_DC],Demand_Modeling_Week_level!$A304,Table1[BRAND],Demand_Modeling_Week_level!K$2)</f>
        <v>0</v>
      </c>
      <c r="L304">
        <f>SUMIFS(Table1[Demand],Table1[Key_Year_week_DC],Demand_Modeling_Week_level!$A304)</f>
        <v>0</v>
      </c>
      <c r="M304">
        <f t="shared" si="26"/>
        <v>0</v>
      </c>
      <c r="N304">
        <f>VLOOKUP(A304,Capacity!B:G,6,FALSE)</f>
        <v>0</v>
      </c>
      <c r="O304" s="20">
        <f t="shared" si="27"/>
        <v>0</v>
      </c>
      <c r="P304">
        <f t="shared" si="28"/>
        <v>0</v>
      </c>
    </row>
    <row r="305" spans="1:16" hidden="1" x14ac:dyDescent="0.3">
      <c r="A305" t="str">
        <f t="shared" si="31"/>
        <v>202448-WEO</v>
      </c>
      <c r="B305">
        <f t="shared" si="32"/>
        <v>202448</v>
      </c>
      <c r="C305" t="s">
        <v>10</v>
      </c>
      <c r="D305">
        <v>2024</v>
      </c>
      <c r="E305">
        <v>48</v>
      </c>
      <c r="F305">
        <f>SUMIFS(Table1[Modeled_Demand],Table1[Key_Year_week_DC],Demand_Modeling_Week_level!$A305,Table1[BRAND],Demand_Modeling_Week_level!F$2)</f>
        <v>0</v>
      </c>
      <c r="G305">
        <f>SUMIFS(Table1[Modeled_Demand],Table1[Key_Year_week_DC],Demand_Modeling_Week_level!$A305,Table1[BRAND],Demand_Modeling_Week_level!G$2)</f>
        <v>0</v>
      </c>
      <c r="H305">
        <f>SUMIFS(Table1[Modeled_Demand],Table1[Key_Year_week_DC],Demand_Modeling_Week_level!$A305,Table1[BRAND],Demand_Modeling_Week_level!H$2)</f>
        <v>0</v>
      </c>
      <c r="I305">
        <f>SUMIFS(Table1[Modeled_Demand],Table1[Key_Year_week_DC],Demand_Modeling_Week_level!$A305,Table1[BRAND],Demand_Modeling_Week_level!I$2)</f>
        <v>0</v>
      </c>
      <c r="J305">
        <f>SUMIFS(Table1[Modeled_Demand],Table1[Key_Year_week_DC],Demand_Modeling_Week_level!$A305,Table1[BRAND],Demand_Modeling_Week_level!J$2)</f>
        <v>0</v>
      </c>
      <c r="K305">
        <f>SUMIFS(Table1[Modeled_Demand],Table1[Key_Year_week_DC],Demand_Modeling_Week_level!$A305,Table1[BRAND],Demand_Modeling_Week_level!K$2)</f>
        <v>0</v>
      </c>
      <c r="L305">
        <f>SUMIFS(Table1[Demand],Table1[Key_Year_week_DC],Demand_Modeling_Week_level!$A305)</f>
        <v>0</v>
      </c>
      <c r="M305">
        <f t="shared" si="26"/>
        <v>0</v>
      </c>
      <c r="N305">
        <f>VLOOKUP(A305,Capacity!B:G,6,FALSE)</f>
        <v>0</v>
      </c>
      <c r="O305" s="20">
        <f t="shared" si="27"/>
        <v>0</v>
      </c>
      <c r="P305">
        <f t="shared" si="28"/>
        <v>0</v>
      </c>
    </row>
    <row r="306" spans="1:16" hidden="1" x14ac:dyDescent="0.3">
      <c r="A306" t="str">
        <f t="shared" si="31"/>
        <v>202448-WFC</v>
      </c>
      <c r="B306">
        <f t="shared" si="32"/>
        <v>202448</v>
      </c>
      <c r="C306" t="s">
        <v>7</v>
      </c>
      <c r="D306">
        <v>2024</v>
      </c>
      <c r="E306">
        <v>48</v>
      </c>
      <c r="F306">
        <f>SUMIFS(Table1[Modeled_Demand],Table1[Key_Year_week_DC],Demand_Modeling_Week_level!$A306,Table1[BRAND],Demand_Modeling_Week_level!F$2)</f>
        <v>0</v>
      </c>
      <c r="G306">
        <f>SUMIFS(Table1[Modeled_Demand],Table1[Key_Year_week_DC],Demand_Modeling_Week_level!$A306,Table1[BRAND],Demand_Modeling_Week_level!G$2)</f>
        <v>0</v>
      </c>
      <c r="H306">
        <f>SUMIFS(Table1[Modeled_Demand],Table1[Key_Year_week_DC],Demand_Modeling_Week_level!$A306,Table1[BRAND],Demand_Modeling_Week_level!H$2)</f>
        <v>0</v>
      </c>
      <c r="I306">
        <f>SUMIFS(Table1[Modeled_Demand],Table1[Key_Year_week_DC],Demand_Modeling_Week_level!$A306,Table1[BRAND],Demand_Modeling_Week_level!I$2)</f>
        <v>0</v>
      </c>
      <c r="J306">
        <f>SUMIFS(Table1[Modeled_Demand],Table1[Key_Year_week_DC],Demand_Modeling_Week_level!$A306,Table1[BRAND],Demand_Modeling_Week_level!J$2)</f>
        <v>0</v>
      </c>
      <c r="K306">
        <f>SUMIFS(Table1[Modeled_Demand],Table1[Key_Year_week_DC],Demand_Modeling_Week_level!$A306,Table1[BRAND],Demand_Modeling_Week_level!K$2)</f>
        <v>0</v>
      </c>
      <c r="L306">
        <f>SUMIFS(Table1[Demand],Table1[Key_Year_week_DC],Demand_Modeling_Week_level!$A306)</f>
        <v>0</v>
      </c>
      <c r="M306">
        <f t="shared" si="26"/>
        <v>0</v>
      </c>
      <c r="N306">
        <f>VLOOKUP(A306,Capacity!B:G,6,FALSE)</f>
        <v>0</v>
      </c>
      <c r="O306" s="20">
        <f t="shared" si="27"/>
        <v>0</v>
      </c>
      <c r="P306">
        <f t="shared" si="28"/>
        <v>0</v>
      </c>
    </row>
    <row r="307" spans="1:16" hidden="1" x14ac:dyDescent="0.3">
      <c r="A307" t="str">
        <f t="shared" si="31"/>
        <v>202543-EAO</v>
      </c>
      <c r="B307">
        <f t="shared" si="32"/>
        <v>202543</v>
      </c>
      <c r="C307" t="s">
        <v>8</v>
      </c>
      <c r="D307">
        <v>2025</v>
      </c>
      <c r="E307">
        <v>43</v>
      </c>
      <c r="F307">
        <f>SUMIFS(Table1[Modeled_Demand],Table1[Key_Year_week_DC],Demand_Modeling_Week_level!$A307,Table1[BRAND],Demand_Modeling_Week_level!F$2)</f>
        <v>0</v>
      </c>
      <c r="G307">
        <f>SUMIFS(Table1[Modeled_Demand],Table1[Key_Year_week_DC],Demand_Modeling_Week_level!$A307,Table1[BRAND],Demand_Modeling_Week_level!G$2)</f>
        <v>0</v>
      </c>
      <c r="H307">
        <f>SUMIFS(Table1[Modeled_Demand],Table1[Key_Year_week_DC],Demand_Modeling_Week_level!$A307,Table1[BRAND],Demand_Modeling_Week_level!H$2)</f>
        <v>0</v>
      </c>
      <c r="I307">
        <f>SUMIFS(Table1[Modeled_Demand],Table1[Key_Year_week_DC],Demand_Modeling_Week_level!$A307,Table1[BRAND],Demand_Modeling_Week_level!I$2)</f>
        <v>0</v>
      </c>
      <c r="J307">
        <f>SUMIFS(Table1[Modeled_Demand],Table1[Key_Year_week_DC],Demand_Modeling_Week_level!$A307,Table1[BRAND],Demand_Modeling_Week_level!J$2)</f>
        <v>0</v>
      </c>
      <c r="K307">
        <f>SUMIFS(Table1[Modeled_Demand],Table1[Key_Year_week_DC],Demand_Modeling_Week_level!$A307,Table1[BRAND],Demand_Modeling_Week_level!K$2)</f>
        <v>0</v>
      </c>
      <c r="L307">
        <f>SUMIFS(Table1[Demand],Table1[Key_Year_week_DC],Demand_Modeling_Week_level!$A307)</f>
        <v>0</v>
      </c>
      <c r="M307">
        <f t="shared" si="26"/>
        <v>0</v>
      </c>
      <c r="N307">
        <f>VLOOKUP(A307,Capacity!B:G,6,FALSE)</f>
        <v>0</v>
      </c>
      <c r="O307" s="20">
        <f t="shared" si="27"/>
        <v>0</v>
      </c>
      <c r="P307">
        <f t="shared" si="28"/>
        <v>0</v>
      </c>
    </row>
    <row r="308" spans="1:16" hidden="1" x14ac:dyDescent="0.3">
      <c r="A308" t="str">
        <f t="shared" si="31"/>
        <v>202543-OCC</v>
      </c>
      <c r="B308">
        <f t="shared" si="32"/>
        <v>202543</v>
      </c>
      <c r="C308" t="s">
        <v>11</v>
      </c>
      <c r="D308">
        <v>2025</v>
      </c>
      <c r="E308">
        <v>43</v>
      </c>
      <c r="F308">
        <f>SUMIFS(Table1[Modeled_Demand],Table1[Key_Year_week_DC],Demand_Modeling_Week_level!$A308,Table1[BRAND],Demand_Modeling_Week_level!F$2)</f>
        <v>0</v>
      </c>
      <c r="G308">
        <f>SUMIFS(Table1[Modeled_Demand],Table1[Key_Year_week_DC],Demand_Modeling_Week_level!$A308,Table1[BRAND],Demand_Modeling_Week_level!G$2)</f>
        <v>0</v>
      </c>
      <c r="H308">
        <f>SUMIFS(Table1[Modeled_Demand],Table1[Key_Year_week_DC],Demand_Modeling_Week_level!$A308,Table1[BRAND],Demand_Modeling_Week_level!H$2)</f>
        <v>0</v>
      </c>
      <c r="I308">
        <f>SUMIFS(Table1[Modeled_Demand],Table1[Key_Year_week_DC],Demand_Modeling_Week_level!$A308,Table1[BRAND],Demand_Modeling_Week_level!I$2)</f>
        <v>0</v>
      </c>
      <c r="J308">
        <f>SUMIFS(Table1[Modeled_Demand],Table1[Key_Year_week_DC],Demand_Modeling_Week_level!$A308,Table1[BRAND],Demand_Modeling_Week_level!J$2)</f>
        <v>0</v>
      </c>
      <c r="K308">
        <f>SUMIFS(Table1[Modeled_Demand],Table1[Key_Year_week_DC],Demand_Modeling_Week_level!$A308,Table1[BRAND],Demand_Modeling_Week_level!K$2)</f>
        <v>0</v>
      </c>
      <c r="L308">
        <f>SUMIFS(Table1[Demand],Table1[Key_Year_week_DC],Demand_Modeling_Week_level!$A308)</f>
        <v>0</v>
      </c>
      <c r="M308">
        <f t="shared" si="26"/>
        <v>0</v>
      </c>
      <c r="N308">
        <f>VLOOKUP(A308,Capacity!B:G,6,FALSE)</f>
        <v>0</v>
      </c>
      <c r="O308" s="20">
        <f t="shared" si="27"/>
        <v>0</v>
      </c>
      <c r="P308">
        <f t="shared" si="28"/>
        <v>0</v>
      </c>
    </row>
    <row r="309" spans="1:16" hidden="1" x14ac:dyDescent="0.3">
      <c r="A309" t="str">
        <f t="shared" si="31"/>
        <v>202543-ODC</v>
      </c>
      <c r="B309">
        <f t="shared" si="32"/>
        <v>202543</v>
      </c>
      <c r="C309" t="s">
        <v>9</v>
      </c>
      <c r="D309">
        <v>2025</v>
      </c>
      <c r="E309">
        <v>43</v>
      </c>
      <c r="F309">
        <f>SUMIFS(Table1[Modeled_Demand],Table1[Key_Year_week_DC],Demand_Modeling_Week_level!$A309,Table1[BRAND],Demand_Modeling_Week_level!F$2)</f>
        <v>0</v>
      </c>
      <c r="G309">
        <f>SUMIFS(Table1[Modeled_Demand],Table1[Key_Year_week_DC],Demand_Modeling_Week_level!$A309,Table1[BRAND],Demand_Modeling_Week_level!G$2)</f>
        <v>0</v>
      </c>
      <c r="H309">
        <f>SUMIFS(Table1[Modeled_Demand],Table1[Key_Year_week_DC],Demand_Modeling_Week_level!$A309,Table1[BRAND],Demand_Modeling_Week_level!H$2)</f>
        <v>0</v>
      </c>
      <c r="I309">
        <f>SUMIFS(Table1[Modeled_Demand],Table1[Key_Year_week_DC],Demand_Modeling_Week_level!$A309,Table1[BRAND],Demand_Modeling_Week_level!I$2)</f>
        <v>0</v>
      </c>
      <c r="J309">
        <f>SUMIFS(Table1[Modeled_Demand],Table1[Key_Year_week_DC],Demand_Modeling_Week_level!$A309,Table1[BRAND],Demand_Modeling_Week_level!J$2)</f>
        <v>0</v>
      </c>
      <c r="K309">
        <f>SUMIFS(Table1[Modeled_Demand],Table1[Key_Year_week_DC],Demand_Modeling_Week_level!$A309,Table1[BRAND],Demand_Modeling_Week_level!K$2)</f>
        <v>0</v>
      </c>
      <c r="L309">
        <f>SUMIFS(Table1[Demand],Table1[Key_Year_week_DC],Demand_Modeling_Week_level!$A309)</f>
        <v>0</v>
      </c>
      <c r="M309">
        <f t="shared" si="26"/>
        <v>0</v>
      </c>
      <c r="N309" t="e">
        <f>VLOOKUP(A309,Capacity!B:G,6,FALSE)</f>
        <v>#N/A</v>
      </c>
      <c r="O309" s="20">
        <f t="shared" si="27"/>
        <v>0</v>
      </c>
      <c r="P309">
        <f t="shared" si="28"/>
        <v>0</v>
      </c>
    </row>
    <row r="310" spans="1:16" hidden="1" x14ac:dyDescent="0.3">
      <c r="A310" t="str">
        <f t="shared" si="31"/>
        <v>202543-OFC</v>
      </c>
      <c r="B310">
        <f t="shared" si="32"/>
        <v>202543</v>
      </c>
      <c r="C310" t="s">
        <v>5</v>
      </c>
      <c r="D310">
        <v>2025</v>
      </c>
      <c r="E310">
        <v>43</v>
      </c>
      <c r="F310">
        <f>SUMIFS(Table1[Modeled_Demand],Table1[Key_Year_week_DC],Demand_Modeling_Week_level!$A310,Table1[BRAND],Demand_Modeling_Week_level!F$2)</f>
        <v>0</v>
      </c>
      <c r="G310">
        <f>SUMIFS(Table1[Modeled_Demand],Table1[Key_Year_week_DC],Demand_Modeling_Week_level!$A310,Table1[BRAND],Demand_Modeling_Week_level!G$2)</f>
        <v>0</v>
      </c>
      <c r="H310">
        <f>SUMIFS(Table1[Modeled_Demand],Table1[Key_Year_week_DC],Demand_Modeling_Week_level!$A310,Table1[BRAND],Demand_Modeling_Week_level!H$2)</f>
        <v>0</v>
      </c>
      <c r="I310">
        <f>SUMIFS(Table1[Modeled_Demand],Table1[Key_Year_week_DC],Demand_Modeling_Week_level!$A310,Table1[BRAND],Demand_Modeling_Week_level!I$2)</f>
        <v>0</v>
      </c>
      <c r="J310">
        <f>SUMIFS(Table1[Modeled_Demand],Table1[Key_Year_week_DC],Demand_Modeling_Week_level!$A310,Table1[BRAND],Demand_Modeling_Week_level!J$2)</f>
        <v>0</v>
      </c>
      <c r="K310">
        <f>SUMIFS(Table1[Modeled_Demand],Table1[Key_Year_week_DC],Demand_Modeling_Week_level!$A310,Table1[BRAND],Demand_Modeling_Week_level!K$2)</f>
        <v>0</v>
      </c>
      <c r="L310">
        <f>SUMIFS(Table1[Demand],Table1[Key_Year_week_DC],Demand_Modeling_Week_level!$A310)</f>
        <v>0</v>
      </c>
      <c r="M310">
        <f t="shared" si="26"/>
        <v>0</v>
      </c>
      <c r="N310">
        <f>VLOOKUP(A310,Capacity!B:G,6,FALSE)</f>
        <v>0</v>
      </c>
      <c r="O310" s="20">
        <f t="shared" si="27"/>
        <v>0</v>
      </c>
      <c r="P310">
        <f t="shared" si="28"/>
        <v>0</v>
      </c>
    </row>
    <row r="311" spans="1:16" hidden="1" x14ac:dyDescent="0.3">
      <c r="A311" t="str">
        <f t="shared" si="31"/>
        <v>202543-SFS</v>
      </c>
      <c r="B311">
        <f t="shared" si="32"/>
        <v>202543</v>
      </c>
      <c r="C311" t="s">
        <v>12</v>
      </c>
      <c r="D311">
        <v>2025</v>
      </c>
      <c r="E311">
        <v>43</v>
      </c>
      <c r="F311">
        <f>SUMIFS(Table1[Modeled_Demand],Table1[Key_Year_week_DC],Demand_Modeling_Week_level!$A311,Table1[BRAND],Demand_Modeling_Week_level!F$2)</f>
        <v>0</v>
      </c>
      <c r="G311">
        <f>SUMIFS(Table1[Modeled_Demand],Table1[Key_Year_week_DC],Demand_Modeling_Week_level!$A311,Table1[BRAND],Demand_Modeling_Week_level!G$2)</f>
        <v>0</v>
      </c>
      <c r="H311">
        <f>SUMIFS(Table1[Modeled_Demand],Table1[Key_Year_week_DC],Demand_Modeling_Week_level!$A311,Table1[BRAND],Demand_Modeling_Week_level!H$2)</f>
        <v>0</v>
      </c>
      <c r="I311">
        <f>SUMIFS(Table1[Modeled_Demand],Table1[Key_Year_week_DC],Demand_Modeling_Week_level!$A311,Table1[BRAND],Demand_Modeling_Week_level!I$2)</f>
        <v>0</v>
      </c>
      <c r="J311">
        <f>SUMIFS(Table1[Modeled_Demand],Table1[Key_Year_week_DC],Demand_Modeling_Week_level!$A311,Table1[BRAND],Demand_Modeling_Week_level!J$2)</f>
        <v>0</v>
      </c>
      <c r="K311">
        <f>SUMIFS(Table1[Modeled_Demand],Table1[Key_Year_week_DC],Demand_Modeling_Week_level!$A311,Table1[BRAND],Demand_Modeling_Week_level!K$2)</f>
        <v>0</v>
      </c>
      <c r="L311">
        <f>SUMIFS(Table1[Demand],Table1[Key_Year_week_DC],Demand_Modeling_Week_level!$A311)</f>
        <v>0</v>
      </c>
      <c r="M311">
        <f t="shared" si="26"/>
        <v>0</v>
      </c>
      <c r="N311" t="e">
        <f>VLOOKUP(A311,Capacity!B:G,6,FALSE)</f>
        <v>#N/A</v>
      </c>
      <c r="O311" s="20">
        <f t="shared" si="27"/>
        <v>0</v>
      </c>
      <c r="P311">
        <f t="shared" si="28"/>
        <v>0</v>
      </c>
    </row>
    <row r="312" spans="1:16" hidden="1" x14ac:dyDescent="0.3">
      <c r="A312" t="str">
        <f t="shared" si="31"/>
        <v>202543-TFC</v>
      </c>
      <c r="B312">
        <f t="shared" si="32"/>
        <v>202543</v>
      </c>
      <c r="C312" t="s">
        <v>6</v>
      </c>
      <c r="D312">
        <v>2025</v>
      </c>
      <c r="E312">
        <v>43</v>
      </c>
      <c r="F312">
        <f>SUMIFS(Table1[Modeled_Demand],Table1[Key_Year_week_DC],Demand_Modeling_Week_level!$A312,Table1[BRAND],Demand_Modeling_Week_level!F$2)</f>
        <v>0</v>
      </c>
      <c r="G312">
        <f>SUMIFS(Table1[Modeled_Demand],Table1[Key_Year_week_DC],Demand_Modeling_Week_level!$A312,Table1[BRAND],Demand_Modeling_Week_level!G$2)</f>
        <v>0</v>
      </c>
      <c r="H312">
        <f>SUMIFS(Table1[Modeled_Demand],Table1[Key_Year_week_DC],Demand_Modeling_Week_level!$A312,Table1[BRAND],Demand_Modeling_Week_level!H$2)</f>
        <v>0</v>
      </c>
      <c r="I312">
        <f>SUMIFS(Table1[Modeled_Demand],Table1[Key_Year_week_DC],Demand_Modeling_Week_level!$A312,Table1[BRAND],Demand_Modeling_Week_level!I$2)</f>
        <v>0</v>
      </c>
      <c r="J312">
        <f>SUMIFS(Table1[Modeled_Demand],Table1[Key_Year_week_DC],Demand_Modeling_Week_level!$A312,Table1[BRAND],Demand_Modeling_Week_level!J$2)</f>
        <v>0</v>
      </c>
      <c r="K312">
        <f>SUMIFS(Table1[Modeled_Demand],Table1[Key_Year_week_DC],Demand_Modeling_Week_level!$A312,Table1[BRAND],Demand_Modeling_Week_level!K$2)</f>
        <v>0</v>
      </c>
      <c r="L312">
        <f>SUMIFS(Table1[Demand],Table1[Key_Year_week_DC],Demand_Modeling_Week_level!$A312)</f>
        <v>0</v>
      </c>
      <c r="M312">
        <f t="shared" si="26"/>
        <v>0</v>
      </c>
      <c r="N312">
        <f>VLOOKUP(A312,Capacity!B:G,6,FALSE)</f>
        <v>0</v>
      </c>
      <c r="O312" s="20">
        <f t="shared" si="27"/>
        <v>0</v>
      </c>
      <c r="P312">
        <f t="shared" si="28"/>
        <v>0</v>
      </c>
    </row>
    <row r="313" spans="1:16" hidden="1" x14ac:dyDescent="0.3">
      <c r="A313" t="str">
        <f t="shared" si="31"/>
        <v>202543-WEO</v>
      </c>
      <c r="B313">
        <f t="shared" si="32"/>
        <v>202543</v>
      </c>
      <c r="C313" t="s">
        <v>10</v>
      </c>
      <c r="D313">
        <v>2025</v>
      </c>
      <c r="E313">
        <v>43</v>
      </c>
      <c r="F313">
        <f>SUMIFS(Table1[Modeled_Demand],Table1[Key_Year_week_DC],Demand_Modeling_Week_level!$A313,Table1[BRAND],Demand_Modeling_Week_level!F$2)</f>
        <v>0</v>
      </c>
      <c r="G313">
        <f>SUMIFS(Table1[Modeled_Demand],Table1[Key_Year_week_DC],Demand_Modeling_Week_level!$A313,Table1[BRAND],Demand_Modeling_Week_level!G$2)</f>
        <v>0</v>
      </c>
      <c r="H313">
        <f>SUMIFS(Table1[Modeled_Demand],Table1[Key_Year_week_DC],Demand_Modeling_Week_level!$A313,Table1[BRAND],Demand_Modeling_Week_level!H$2)</f>
        <v>0</v>
      </c>
      <c r="I313">
        <f>SUMIFS(Table1[Modeled_Demand],Table1[Key_Year_week_DC],Demand_Modeling_Week_level!$A313,Table1[BRAND],Demand_Modeling_Week_level!I$2)</f>
        <v>0</v>
      </c>
      <c r="J313">
        <f>SUMIFS(Table1[Modeled_Demand],Table1[Key_Year_week_DC],Demand_Modeling_Week_level!$A313,Table1[BRAND],Demand_Modeling_Week_level!J$2)</f>
        <v>0</v>
      </c>
      <c r="K313">
        <f>SUMIFS(Table1[Modeled_Demand],Table1[Key_Year_week_DC],Demand_Modeling_Week_level!$A313,Table1[BRAND],Demand_Modeling_Week_level!K$2)</f>
        <v>0</v>
      </c>
      <c r="L313">
        <f>SUMIFS(Table1[Demand],Table1[Key_Year_week_DC],Demand_Modeling_Week_level!$A313)</f>
        <v>0</v>
      </c>
      <c r="M313">
        <f t="shared" si="26"/>
        <v>0</v>
      </c>
      <c r="N313">
        <f>VLOOKUP(A313,Capacity!B:G,6,FALSE)</f>
        <v>0</v>
      </c>
      <c r="O313" s="20">
        <f t="shared" si="27"/>
        <v>0</v>
      </c>
      <c r="P313">
        <f t="shared" si="28"/>
        <v>0</v>
      </c>
    </row>
    <row r="314" spans="1:16" hidden="1" x14ac:dyDescent="0.3">
      <c r="A314" t="str">
        <f t="shared" si="31"/>
        <v>202543-WFC</v>
      </c>
      <c r="B314">
        <f t="shared" si="32"/>
        <v>202543</v>
      </c>
      <c r="C314" t="s">
        <v>7</v>
      </c>
      <c r="D314">
        <v>2025</v>
      </c>
      <c r="E314">
        <v>43</v>
      </c>
      <c r="F314">
        <f>SUMIFS(Table1[Modeled_Demand],Table1[Key_Year_week_DC],Demand_Modeling_Week_level!$A314,Table1[BRAND],Demand_Modeling_Week_level!F$2)</f>
        <v>0</v>
      </c>
      <c r="G314">
        <f>SUMIFS(Table1[Modeled_Demand],Table1[Key_Year_week_DC],Demand_Modeling_Week_level!$A314,Table1[BRAND],Demand_Modeling_Week_level!G$2)</f>
        <v>0</v>
      </c>
      <c r="H314">
        <f>SUMIFS(Table1[Modeled_Demand],Table1[Key_Year_week_DC],Demand_Modeling_Week_level!$A314,Table1[BRAND],Demand_Modeling_Week_level!H$2)</f>
        <v>0</v>
      </c>
      <c r="I314">
        <f>SUMIFS(Table1[Modeled_Demand],Table1[Key_Year_week_DC],Demand_Modeling_Week_level!$A314,Table1[BRAND],Demand_Modeling_Week_level!I$2)</f>
        <v>0</v>
      </c>
      <c r="J314">
        <f>SUMIFS(Table1[Modeled_Demand],Table1[Key_Year_week_DC],Demand_Modeling_Week_level!$A314,Table1[BRAND],Demand_Modeling_Week_level!J$2)</f>
        <v>0</v>
      </c>
      <c r="K314">
        <f>SUMIFS(Table1[Modeled_Demand],Table1[Key_Year_week_DC],Demand_Modeling_Week_level!$A314,Table1[BRAND],Demand_Modeling_Week_level!K$2)</f>
        <v>0</v>
      </c>
      <c r="L314">
        <f>SUMIFS(Table1[Demand],Table1[Key_Year_week_DC],Demand_Modeling_Week_level!$A314)</f>
        <v>0</v>
      </c>
      <c r="M314">
        <f t="shared" si="26"/>
        <v>0</v>
      </c>
      <c r="N314">
        <f>VLOOKUP(A314,Capacity!B:G,6,FALSE)</f>
        <v>0</v>
      </c>
      <c r="O314" s="20">
        <f t="shared" si="27"/>
        <v>0</v>
      </c>
      <c r="P314">
        <f t="shared" si="28"/>
        <v>0</v>
      </c>
    </row>
    <row r="315" spans="1:16" hidden="1" x14ac:dyDescent="0.3">
      <c r="A315" t="str">
        <f t="shared" si="31"/>
        <v>202548-EAO</v>
      </c>
      <c r="B315">
        <f t="shared" si="32"/>
        <v>202548</v>
      </c>
      <c r="C315" t="s">
        <v>8</v>
      </c>
      <c r="D315">
        <v>2025</v>
      </c>
      <c r="E315">
        <v>48</v>
      </c>
      <c r="F315">
        <f>SUMIFS(Table1[Modeled_Demand],Table1[Key_Year_week_DC],Demand_Modeling_Week_level!$A315,Table1[BRAND],Demand_Modeling_Week_level!F$2)</f>
        <v>0</v>
      </c>
      <c r="G315">
        <f>SUMIFS(Table1[Modeled_Demand],Table1[Key_Year_week_DC],Demand_Modeling_Week_level!$A315,Table1[BRAND],Demand_Modeling_Week_level!G$2)</f>
        <v>0</v>
      </c>
      <c r="H315">
        <f>SUMIFS(Table1[Modeled_Demand],Table1[Key_Year_week_DC],Demand_Modeling_Week_level!$A315,Table1[BRAND],Demand_Modeling_Week_level!H$2)</f>
        <v>0</v>
      </c>
      <c r="I315">
        <f>SUMIFS(Table1[Modeled_Demand],Table1[Key_Year_week_DC],Demand_Modeling_Week_level!$A315,Table1[BRAND],Demand_Modeling_Week_level!I$2)</f>
        <v>0</v>
      </c>
      <c r="J315">
        <f>SUMIFS(Table1[Modeled_Demand],Table1[Key_Year_week_DC],Demand_Modeling_Week_level!$A315,Table1[BRAND],Demand_Modeling_Week_level!J$2)</f>
        <v>0</v>
      </c>
      <c r="K315">
        <f>SUMIFS(Table1[Modeled_Demand],Table1[Key_Year_week_DC],Demand_Modeling_Week_level!$A315,Table1[BRAND],Demand_Modeling_Week_level!K$2)</f>
        <v>0</v>
      </c>
      <c r="L315">
        <f>SUMIFS(Table1[Demand],Table1[Key_Year_week_DC],Demand_Modeling_Week_level!$A315)</f>
        <v>0</v>
      </c>
      <c r="M315">
        <f t="shared" si="26"/>
        <v>0</v>
      </c>
      <c r="N315">
        <f>VLOOKUP(A315,Capacity!B:G,6,FALSE)</f>
        <v>0</v>
      </c>
      <c r="O315" s="20">
        <f t="shared" si="27"/>
        <v>0</v>
      </c>
      <c r="P315">
        <f t="shared" si="28"/>
        <v>0</v>
      </c>
    </row>
    <row r="316" spans="1:16" hidden="1" x14ac:dyDescent="0.3">
      <c r="A316" t="str">
        <f t="shared" si="31"/>
        <v>202548-OCC</v>
      </c>
      <c r="B316">
        <f t="shared" si="32"/>
        <v>202548</v>
      </c>
      <c r="C316" t="s">
        <v>11</v>
      </c>
      <c r="D316">
        <v>2025</v>
      </c>
      <c r="E316">
        <v>48</v>
      </c>
      <c r="F316">
        <f>SUMIFS(Table1[Modeled_Demand],Table1[Key_Year_week_DC],Demand_Modeling_Week_level!$A316,Table1[BRAND],Demand_Modeling_Week_level!F$2)</f>
        <v>0</v>
      </c>
      <c r="G316">
        <f>SUMIFS(Table1[Modeled_Demand],Table1[Key_Year_week_DC],Demand_Modeling_Week_level!$A316,Table1[BRAND],Demand_Modeling_Week_level!G$2)</f>
        <v>0</v>
      </c>
      <c r="H316">
        <f>SUMIFS(Table1[Modeled_Demand],Table1[Key_Year_week_DC],Demand_Modeling_Week_level!$A316,Table1[BRAND],Demand_Modeling_Week_level!H$2)</f>
        <v>0</v>
      </c>
      <c r="I316">
        <f>SUMIFS(Table1[Modeled_Demand],Table1[Key_Year_week_DC],Demand_Modeling_Week_level!$A316,Table1[BRAND],Demand_Modeling_Week_level!I$2)</f>
        <v>0</v>
      </c>
      <c r="J316">
        <f>SUMIFS(Table1[Modeled_Demand],Table1[Key_Year_week_DC],Demand_Modeling_Week_level!$A316,Table1[BRAND],Demand_Modeling_Week_level!J$2)</f>
        <v>0</v>
      </c>
      <c r="K316">
        <f>SUMIFS(Table1[Modeled_Demand],Table1[Key_Year_week_DC],Demand_Modeling_Week_level!$A316,Table1[BRAND],Demand_Modeling_Week_level!K$2)</f>
        <v>0</v>
      </c>
      <c r="L316">
        <f>SUMIFS(Table1[Demand],Table1[Key_Year_week_DC],Demand_Modeling_Week_level!$A316)</f>
        <v>0</v>
      </c>
      <c r="M316">
        <f t="shared" si="26"/>
        <v>0</v>
      </c>
      <c r="N316">
        <f>VLOOKUP(A316,Capacity!B:G,6,FALSE)</f>
        <v>0</v>
      </c>
      <c r="O316" s="20">
        <f t="shared" si="27"/>
        <v>0</v>
      </c>
      <c r="P316">
        <f t="shared" si="28"/>
        <v>0</v>
      </c>
    </row>
    <row r="317" spans="1:16" hidden="1" x14ac:dyDescent="0.3">
      <c r="A317" t="str">
        <f t="shared" si="31"/>
        <v>202548-ODC</v>
      </c>
      <c r="B317">
        <f t="shared" si="32"/>
        <v>202548</v>
      </c>
      <c r="C317" t="s">
        <v>9</v>
      </c>
      <c r="D317">
        <v>2025</v>
      </c>
      <c r="E317">
        <v>48</v>
      </c>
      <c r="F317">
        <f>SUMIFS(Table1[Modeled_Demand],Table1[Key_Year_week_DC],Demand_Modeling_Week_level!$A317,Table1[BRAND],Demand_Modeling_Week_level!F$2)</f>
        <v>0</v>
      </c>
      <c r="G317">
        <f>SUMIFS(Table1[Modeled_Demand],Table1[Key_Year_week_DC],Demand_Modeling_Week_level!$A317,Table1[BRAND],Demand_Modeling_Week_level!G$2)</f>
        <v>0</v>
      </c>
      <c r="H317">
        <f>SUMIFS(Table1[Modeled_Demand],Table1[Key_Year_week_DC],Demand_Modeling_Week_level!$A317,Table1[BRAND],Demand_Modeling_Week_level!H$2)</f>
        <v>0</v>
      </c>
      <c r="I317">
        <f>SUMIFS(Table1[Modeled_Demand],Table1[Key_Year_week_DC],Demand_Modeling_Week_level!$A317,Table1[BRAND],Demand_Modeling_Week_level!I$2)</f>
        <v>0</v>
      </c>
      <c r="J317">
        <f>SUMIFS(Table1[Modeled_Demand],Table1[Key_Year_week_DC],Demand_Modeling_Week_level!$A317,Table1[BRAND],Demand_Modeling_Week_level!J$2)</f>
        <v>0</v>
      </c>
      <c r="K317">
        <f>SUMIFS(Table1[Modeled_Demand],Table1[Key_Year_week_DC],Demand_Modeling_Week_level!$A317,Table1[BRAND],Demand_Modeling_Week_level!K$2)</f>
        <v>0</v>
      </c>
      <c r="L317">
        <f>SUMIFS(Table1[Demand],Table1[Key_Year_week_DC],Demand_Modeling_Week_level!$A317)</f>
        <v>0</v>
      </c>
      <c r="M317">
        <f t="shared" si="26"/>
        <v>0</v>
      </c>
      <c r="N317" t="e">
        <f>VLOOKUP(A317,Capacity!B:G,6,FALSE)</f>
        <v>#N/A</v>
      </c>
      <c r="O317" s="20">
        <f t="shared" si="27"/>
        <v>0</v>
      </c>
      <c r="P317">
        <f t="shared" si="28"/>
        <v>0</v>
      </c>
    </row>
    <row r="318" spans="1:16" hidden="1" x14ac:dyDescent="0.3">
      <c r="A318" t="str">
        <f t="shared" si="31"/>
        <v>202548-OFC</v>
      </c>
      <c r="B318">
        <f t="shared" si="32"/>
        <v>202548</v>
      </c>
      <c r="C318" t="s">
        <v>5</v>
      </c>
      <c r="D318">
        <v>2025</v>
      </c>
      <c r="E318">
        <v>48</v>
      </c>
      <c r="F318">
        <f>SUMIFS(Table1[Modeled_Demand],Table1[Key_Year_week_DC],Demand_Modeling_Week_level!$A318,Table1[BRAND],Demand_Modeling_Week_level!F$2)</f>
        <v>0</v>
      </c>
      <c r="G318">
        <f>SUMIFS(Table1[Modeled_Demand],Table1[Key_Year_week_DC],Demand_Modeling_Week_level!$A318,Table1[BRAND],Demand_Modeling_Week_level!G$2)</f>
        <v>0</v>
      </c>
      <c r="H318">
        <f>SUMIFS(Table1[Modeled_Demand],Table1[Key_Year_week_DC],Demand_Modeling_Week_level!$A318,Table1[BRAND],Demand_Modeling_Week_level!H$2)</f>
        <v>0</v>
      </c>
      <c r="I318">
        <f>SUMIFS(Table1[Modeled_Demand],Table1[Key_Year_week_DC],Demand_Modeling_Week_level!$A318,Table1[BRAND],Demand_Modeling_Week_level!I$2)</f>
        <v>0</v>
      </c>
      <c r="J318">
        <f>SUMIFS(Table1[Modeled_Demand],Table1[Key_Year_week_DC],Demand_Modeling_Week_level!$A318,Table1[BRAND],Demand_Modeling_Week_level!J$2)</f>
        <v>0</v>
      </c>
      <c r="K318">
        <f>SUMIFS(Table1[Modeled_Demand],Table1[Key_Year_week_DC],Demand_Modeling_Week_level!$A318,Table1[BRAND],Demand_Modeling_Week_level!K$2)</f>
        <v>0</v>
      </c>
      <c r="L318">
        <f>SUMIFS(Table1[Demand],Table1[Key_Year_week_DC],Demand_Modeling_Week_level!$A318)</f>
        <v>0</v>
      </c>
      <c r="M318">
        <f t="shared" si="26"/>
        <v>0</v>
      </c>
      <c r="N318">
        <f>VLOOKUP(A318,Capacity!B:G,6,FALSE)</f>
        <v>0</v>
      </c>
      <c r="O318" s="20">
        <f t="shared" si="27"/>
        <v>0</v>
      </c>
      <c r="P318">
        <f t="shared" si="28"/>
        <v>0</v>
      </c>
    </row>
    <row r="319" spans="1:16" hidden="1" x14ac:dyDescent="0.3">
      <c r="A319" t="str">
        <f t="shared" si="31"/>
        <v>202548-SFS</v>
      </c>
      <c r="B319">
        <f t="shared" si="32"/>
        <v>202548</v>
      </c>
      <c r="C319" t="s">
        <v>12</v>
      </c>
      <c r="D319">
        <v>2025</v>
      </c>
      <c r="E319">
        <v>48</v>
      </c>
      <c r="F319">
        <f>SUMIFS(Table1[Modeled_Demand],Table1[Key_Year_week_DC],Demand_Modeling_Week_level!$A319,Table1[BRAND],Demand_Modeling_Week_level!F$2)</f>
        <v>0</v>
      </c>
      <c r="G319">
        <f>SUMIFS(Table1[Modeled_Demand],Table1[Key_Year_week_DC],Demand_Modeling_Week_level!$A319,Table1[BRAND],Demand_Modeling_Week_level!G$2)</f>
        <v>0</v>
      </c>
      <c r="H319">
        <f>SUMIFS(Table1[Modeled_Demand],Table1[Key_Year_week_DC],Demand_Modeling_Week_level!$A319,Table1[BRAND],Demand_Modeling_Week_level!H$2)</f>
        <v>0</v>
      </c>
      <c r="I319">
        <f>SUMIFS(Table1[Modeled_Demand],Table1[Key_Year_week_DC],Demand_Modeling_Week_level!$A319,Table1[BRAND],Demand_Modeling_Week_level!I$2)</f>
        <v>0</v>
      </c>
      <c r="J319">
        <f>SUMIFS(Table1[Modeled_Demand],Table1[Key_Year_week_DC],Demand_Modeling_Week_level!$A319,Table1[BRAND],Demand_Modeling_Week_level!J$2)</f>
        <v>0</v>
      </c>
      <c r="K319">
        <f>SUMIFS(Table1[Modeled_Demand],Table1[Key_Year_week_DC],Demand_Modeling_Week_level!$A319,Table1[BRAND],Demand_Modeling_Week_level!K$2)</f>
        <v>0</v>
      </c>
      <c r="L319">
        <f>SUMIFS(Table1[Demand],Table1[Key_Year_week_DC],Demand_Modeling_Week_level!$A319)</f>
        <v>0</v>
      </c>
      <c r="M319">
        <f t="shared" si="26"/>
        <v>0</v>
      </c>
      <c r="N319" t="e">
        <f>VLOOKUP(A319,Capacity!B:G,6,FALSE)</f>
        <v>#N/A</v>
      </c>
      <c r="O319" s="20">
        <f t="shared" si="27"/>
        <v>0</v>
      </c>
      <c r="P319">
        <f t="shared" si="28"/>
        <v>0</v>
      </c>
    </row>
    <row r="320" spans="1:16" hidden="1" x14ac:dyDescent="0.3">
      <c r="A320" t="str">
        <f t="shared" si="31"/>
        <v>202548-TFC</v>
      </c>
      <c r="B320">
        <f t="shared" si="32"/>
        <v>202548</v>
      </c>
      <c r="C320" t="s">
        <v>6</v>
      </c>
      <c r="D320">
        <v>2025</v>
      </c>
      <c r="E320">
        <v>48</v>
      </c>
      <c r="F320">
        <f>SUMIFS(Table1[Modeled_Demand],Table1[Key_Year_week_DC],Demand_Modeling_Week_level!$A320,Table1[BRAND],Demand_Modeling_Week_level!F$2)</f>
        <v>0</v>
      </c>
      <c r="G320">
        <f>SUMIFS(Table1[Modeled_Demand],Table1[Key_Year_week_DC],Demand_Modeling_Week_level!$A320,Table1[BRAND],Demand_Modeling_Week_level!G$2)</f>
        <v>0</v>
      </c>
      <c r="H320">
        <f>SUMIFS(Table1[Modeled_Demand],Table1[Key_Year_week_DC],Demand_Modeling_Week_level!$A320,Table1[BRAND],Demand_Modeling_Week_level!H$2)</f>
        <v>0</v>
      </c>
      <c r="I320">
        <f>SUMIFS(Table1[Modeled_Demand],Table1[Key_Year_week_DC],Demand_Modeling_Week_level!$A320,Table1[BRAND],Demand_Modeling_Week_level!I$2)</f>
        <v>0</v>
      </c>
      <c r="J320">
        <f>SUMIFS(Table1[Modeled_Demand],Table1[Key_Year_week_DC],Demand_Modeling_Week_level!$A320,Table1[BRAND],Demand_Modeling_Week_level!J$2)</f>
        <v>0</v>
      </c>
      <c r="K320">
        <f>SUMIFS(Table1[Modeled_Demand],Table1[Key_Year_week_DC],Demand_Modeling_Week_level!$A320,Table1[BRAND],Demand_Modeling_Week_level!K$2)</f>
        <v>0</v>
      </c>
      <c r="L320">
        <f>SUMIFS(Table1[Demand],Table1[Key_Year_week_DC],Demand_Modeling_Week_level!$A320)</f>
        <v>0</v>
      </c>
      <c r="M320">
        <f t="shared" si="26"/>
        <v>0</v>
      </c>
      <c r="N320">
        <f>VLOOKUP(A320,Capacity!B:G,6,FALSE)</f>
        <v>0</v>
      </c>
      <c r="O320" s="20">
        <f t="shared" si="27"/>
        <v>0</v>
      </c>
      <c r="P320">
        <f t="shared" si="28"/>
        <v>0</v>
      </c>
    </row>
    <row r="321" spans="1:16" hidden="1" x14ac:dyDescent="0.3">
      <c r="A321" t="str">
        <f t="shared" si="31"/>
        <v>202548-WEO</v>
      </c>
      <c r="B321">
        <f t="shared" si="32"/>
        <v>202548</v>
      </c>
      <c r="C321" t="s">
        <v>10</v>
      </c>
      <c r="D321">
        <v>2025</v>
      </c>
      <c r="E321">
        <v>48</v>
      </c>
      <c r="F321">
        <f>SUMIFS(Table1[Modeled_Demand],Table1[Key_Year_week_DC],Demand_Modeling_Week_level!$A321,Table1[BRAND],Demand_Modeling_Week_level!F$2)</f>
        <v>0</v>
      </c>
      <c r="G321">
        <f>SUMIFS(Table1[Modeled_Demand],Table1[Key_Year_week_DC],Demand_Modeling_Week_level!$A321,Table1[BRAND],Demand_Modeling_Week_level!G$2)</f>
        <v>0</v>
      </c>
      <c r="H321">
        <f>SUMIFS(Table1[Modeled_Demand],Table1[Key_Year_week_DC],Demand_Modeling_Week_level!$A321,Table1[BRAND],Demand_Modeling_Week_level!H$2)</f>
        <v>0</v>
      </c>
      <c r="I321">
        <f>SUMIFS(Table1[Modeled_Demand],Table1[Key_Year_week_DC],Demand_Modeling_Week_level!$A321,Table1[BRAND],Demand_Modeling_Week_level!I$2)</f>
        <v>0</v>
      </c>
      <c r="J321">
        <f>SUMIFS(Table1[Modeled_Demand],Table1[Key_Year_week_DC],Demand_Modeling_Week_level!$A321,Table1[BRAND],Demand_Modeling_Week_level!J$2)</f>
        <v>0</v>
      </c>
      <c r="K321">
        <f>SUMIFS(Table1[Modeled_Demand],Table1[Key_Year_week_DC],Demand_Modeling_Week_level!$A321,Table1[BRAND],Demand_Modeling_Week_level!K$2)</f>
        <v>0</v>
      </c>
      <c r="L321">
        <f>SUMIFS(Table1[Demand],Table1[Key_Year_week_DC],Demand_Modeling_Week_level!$A321)</f>
        <v>0</v>
      </c>
      <c r="M321">
        <f t="shared" si="26"/>
        <v>0</v>
      </c>
      <c r="N321">
        <f>VLOOKUP(A321,Capacity!B:G,6,FALSE)</f>
        <v>0</v>
      </c>
      <c r="O321" s="20">
        <f t="shared" si="27"/>
        <v>0</v>
      </c>
      <c r="P321">
        <f t="shared" si="28"/>
        <v>0</v>
      </c>
    </row>
    <row r="322" spans="1:16" hidden="1" x14ac:dyDescent="0.3">
      <c r="A322" t="str">
        <f t="shared" si="31"/>
        <v>202548-WFC</v>
      </c>
      <c r="B322">
        <f t="shared" si="32"/>
        <v>202548</v>
      </c>
      <c r="C322" t="s">
        <v>7</v>
      </c>
      <c r="D322">
        <v>2025</v>
      </c>
      <c r="E322">
        <v>48</v>
      </c>
      <c r="F322">
        <f>SUMIFS(Table1[Modeled_Demand],Table1[Key_Year_week_DC],Demand_Modeling_Week_level!$A322,Table1[BRAND],Demand_Modeling_Week_level!F$2)</f>
        <v>0</v>
      </c>
      <c r="G322">
        <f>SUMIFS(Table1[Modeled_Demand],Table1[Key_Year_week_DC],Demand_Modeling_Week_level!$A322,Table1[BRAND],Demand_Modeling_Week_level!G$2)</f>
        <v>0</v>
      </c>
      <c r="H322">
        <f>SUMIFS(Table1[Modeled_Demand],Table1[Key_Year_week_DC],Demand_Modeling_Week_level!$A322,Table1[BRAND],Demand_Modeling_Week_level!H$2)</f>
        <v>0</v>
      </c>
      <c r="I322">
        <f>SUMIFS(Table1[Modeled_Demand],Table1[Key_Year_week_DC],Demand_Modeling_Week_level!$A322,Table1[BRAND],Demand_Modeling_Week_level!I$2)</f>
        <v>0</v>
      </c>
      <c r="J322">
        <f>SUMIFS(Table1[Modeled_Demand],Table1[Key_Year_week_DC],Demand_Modeling_Week_level!$A322,Table1[BRAND],Demand_Modeling_Week_level!J$2)</f>
        <v>0</v>
      </c>
      <c r="K322">
        <f>SUMIFS(Table1[Modeled_Demand],Table1[Key_Year_week_DC],Demand_Modeling_Week_level!$A322,Table1[BRAND],Demand_Modeling_Week_level!K$2)</f>
        <v>0</v>
      </c>
      <c r="L322">
        <f>SUMIFS(Table1[Demand],Table1[Key_Year_week_DC],Demand_Modeling_Week_level!$A322)</f>
        <v>0</v>
      </c>
      <c r="M322">
        <f t="shared" si="26"/>
        <v>0</v>
      </c>
      <c r="N322">
        <f>VLOOKUP(A322,Capacity!B:G,6,FALSE)</f>
        <v>0</v>
      </c>
      <c r="O322" s="20">
        <f t="shared" si="27"/>
        <v>0</v>
      </c>
      <c r="P322">
        <f t="shared" si="28"/>
        <v>0</v>
      </c>
    </row>
    <row r="323" spans="1:16" hidden="1" x14ac:dyDescent="0.3">
      <c r="A323" t="str">
        <f t="shared" si="31"/>
        <v>0-</v>
      </c>
      <c r="B323">
        <f t="shared" si="32"/>
        <v>0</v>
      </c>
      <c r="C323" s="11"/>
      <c r="D323" s="11"/>
      <c r="E323" s="11"/>
      <c r="F323">
        <f>SUMIFS(Table1[Modeled_Demand],Table1[Key_Year_week_DC],Demand_Modeling_Week_level!$A323,Table1[BRAND],Demand_Modeling_Week_level!F$2)</f>
        <v>0</v>
      </c>
      <c r="G323">
        <f>SUMIFS(Table1[Modeled_Demand],Table1[Key_Year_week_DC],Demand_Modeling_Week_level!$A323,Table1[BRAND],Demand_Modeling_Week_level!G$2)</f>
        <v>0</v>
      </c>
      <c r="H323">
        <f>SUMIFS(Table1[Modeled_Demand],Table1[Key_Year_week_DC],Demand_Modeling_Week_level!$A323,Table1[BRAND],Demand_Modeling_Week_level!H$2)</f>
        <v>0</v>
      </c>
      <c r="I323">
        <f>SUMIFS(Table1[Modeled_Demand],Table1[Key_Year_week_DC],Demand_Modeling_Week_level!$A323,Table1[BRAND],Demand_Modeling_Week_level!I$2)</f>
        <v>0</v>
      </c>
      <c r="J323">
        <f>SUMIFS(Table1[Modeled_Demand],Table1[Key_Year_week_DC],Demand_Modeling_Week_level!$A323,Table1[BRAND],Demand_Modeling_Week_level!J$2)</f>
        <v>0</v>
      </c>
      <c r="K323">
        <f>SUMIFS(Table1[Modeled_Demand],Table1[Key_Year_week_DC],Demand_Modeling_Week_level!$A323,Table1[BRAND],Demand_Modeling_Week_level!K$2)</f>
        <v>0</v>
      </c>
      <c r="L323">
        <f>SUMIFS(Table1[Demand],Table1[Key_Year_week_DC],Demand_Modeling_Week_level!$A323)</f>
        <v>0</v>
      </c>
      <c r="M323">
        <f t="shared" si="26"/>
        <v>0</v>
      </c>
      <c r="N323">
        <f>VLOOKUP(A323,Capacity!B:G,6,FALSE)</f>
        <v>0</v>
      </c>
      <c r="O323" s="20">
        <f t="shared" si="27"/>
        <v>0</v>
      </c>
      <c r="P323">
        <f t="shared" si="28"/>
        <v>0</v>
      </c>
    </row>
    <row r="324" spans="1:16" hidden="1" x14ac:dyDescent="0.3">
      <c r="A324" t="str">
        <f t="shared" si="31"/>
        <v>0-</v>
      </c>
      <c r="B324">
        <f t="shared" si="32"/>
        <v>0</v>
      </c>
      <c r="C324" s="11"/>
      <c r="D324" s="11"/>
      <c r="E324" s="11"/>
      <c r="F324">
        <f>SUMIFS(Table1[Modeled_Demand],Table1[Key_Year_week_DC],Demand_Modeling_Week_level!$A324,Table1[BRAND],Demand_Modeling_Week_level!F$2)</f>
        <v>0</v>
      </c>
      <c r="G324">
        <f>SUMIFS(Table1[Modeled_Demand],Table1[Key_Year_week_DC],Demand_Modeling_Week_level!$A324,Table1[BRAND],Demand_Modeling_Week_level!G$2)</f>
        <v>0</v>
      </c>
      <c r="H324">
        <f>SUMIFS(Table1[Modeled_Demand],Table1[Key_Year_week_DC],Demand_Modeling_Week_level!$A324,Table1[BRAND],Demand_Modeling_Week_level!H$2)</f>
        <v>0</v>
      </c>
      <c r="I324">
        <f>SUMIFS(Table1[Modeled_Demand],Table1[Key_Year_week_DC],Demand_Modeling_Week_level!$A324,Table1[BRAND],Demand_Modeling_Week_level!I$2)</f>
        <v>0</v>
      </c>
      <c r="J324">
        <f>SUMIFS(Table1[Modeled_Demand],Table1[Key_Year_week_DC],Demand_Modeling_Week_level!$A324,Table1[BRAND],Demand_Modeling_Week_level!J$2)</f>
        <v>0</v>
      </c>
      <c r="K324">
        <f>SUMIFS(Table1[Modeled_Demand],Table1[Key_Year_week_DC],Demand_Modeling_Week_level!$A324,Table1[BRAND],Demand_Modeling_Week_level!K$2)</f>
        <v>0</v>
      </c>
      <c r="L324">
        <f>SUMIFS(Table1[Demand],Table1[Key_Year_week_DC],Demand_Modeling_Week_level!$A324)</f>
        <v>0</v>
      </c>
      <c r="M324">
        <f t="shared" ref="M324:M387" si="33">SUM(F324:K324)</f>
        <v>0</v>
      </c>
      <c r="N324">
        <f>VLOOKUP(A324,Capacity!B:G,6,FALSE)</f>
        <v>0</v>
      </c>
      <c r="O324" s="20">
        <f t="shared" ref="O324:O387" si="34">IFERROR((L324/N324),0)</f>
        <v>0</v>
      </c>
      <c r="P324">
        <f t="shared" ref="P324:P387" si="35">IFERROR(M324/N324,0)</f>
        <v>0</v>
      </c>
    </row>
    <row r="325" spans="1:16" hidden="1" x14ac:dyDescent="0.3">
      <c r="A325" t="str">
        <f t="shared" si="31"/>
        <v>0-</v>
      </c>
      <c r="B325">
        <f t="shared" si="32"/>
        <v>0</v>
      </c>
      <c r="C325" s="11"/>
      <c r="D325" s="11"/>
      <c r="E325" s="11"/>
      <c r="F325">
        <f>SUMIFS(Table1[Modeled_Demand],Table1[Key_Year_week_DC],Demand_Modeling_Week_level!$A325,Table1[BRAND],Demand_Modeling_Week_level!F$2)</f>
        <v>0</v>
      </c>
      <c r="G325">
        <f>SUMIFS(Table1[Modeled_Demand],Table1[Key_Year_week_DC],Demand_Modeling_Week_level!$A325,Table1[BRAND],Demand_Modeling_Week_level!G$2)</f>
        <v>0</v>
      </c>
      <c r="H325">
        <f>SUMIFS(Table1[Modeled_Demand],Table1[Key_Year_week_DC],Demand_Modeling_Week_level!$A325,Table1[BRAND],Demand_Modeling_Week_level!H$2)</f>
        <v>0</v>
      </c>
      <c r="I325">
        <f>SUMIFS(Table1[Modeled_Demand],Table1[Key_Year_week_DC],Demand_Modeling_Week_level!$A325,Table1[BRAND],Demand_Modeling_Week_level!I$2)</f>
        <v>0</v>
      </c>
      <c r="J325">
        <f>SUMIFS(Table1[Modeled_Demand],Table1[Key_Year_week_DC],Demand_Modeling_Week_level!$A325,Table1[BRAND],Demand_Modeling_Week_level!J$2)</f>
        <v>0</v>
      </c>
      <c r="K325">
        <f>SUMIFS(Table1[Modeled_Demand],Table1[Key_Year_week_DC],Demand_Modeling_Week_level!$A325,Table1[BRAND],Demand_Modeling_Week_level!K$2)</f>
        <v>0</v>
      </c>
      <c r="L325">
        <f>SUMIFS(Table1[Demand],Table1[Key_Year_week_DC],Demand_Modeling_Week_level!$A325)</f>
        <v>0</v>
      </c>
      <c r="M325">
        <f t="shared" si="33"/>
        <v>0</v>
      </c>
      <c r="N325">
        <f>VLOOKUP(A325,Capacity!B:G,6,FALSE)</f>
        <v>0</v>
      </c>
      <c r="O325" s="20">
        <f t="shared" si="34"/>
        <v>0</v>
      </c>
      <c r="P325">
        <f t="shared" si="35"/>
        <v>0</v>
      </c>
    </row>
    <row r="326" spans="1:16" hidden="1" x14ac:dyDescent="0.3">
      <c r="A326" t="str">
        <f t="shared" si="31"/>
        <v>0-</v>
      </c>
      <c r="B326">
        <f t="shared" si="32"/>
        <v>0</v>
      </c>
      <c r="C326" s="11"/>
      <c r="D326" s="11"/>
      <c r="E326" s="11"/>
      <c r="F326">
        <f>SUMIFS(Table1[Modeled_Demand],Table1[Key_Year_week_DC],Demand_Modeling_Week_level!$A326,Table1[BRAND],Demand_Modeling_Week_level!F$2)</f>
        <v>0</v>
      </c>
      <c r="G326">
        <f>SUMIFS(Table1[Modeled_Demand],Table1[Key_Year_week_DC],Demand_Modeling_Week_level!$A326,Table1[BRAND],Demand_Modeling_Week_level!G$2)</f>
        <v>0</v>
      </c>
      <c r="H326">
        <f>SUMIFS(Table1[Modeled_Demand],Table1[Key_Year_week_DC],Demand_Modeling_Week_level!$A326,Table1[BRAND],Demand_Modeling_Week_level!H$2)</f>
        <v>0</v>
      </c>
      <c r="I326">
        <f>SUMIFS(Table1[Modeled_Demand],Table1[Key_Year_week_DC],Demand_Modeling_Week_level!$A326,Table1[BRAND],Demand_Modeling_Week_level!I$2)</f>
        <v>0</v>
      </c>
      <c r="J326">
        <f>SUMIFS(Table1[Modeled_Demand],Table1[Key_Year_week_DC],Demand_Modeling_Week_level!$A326,Table1[BRAND],Demand_Modeling_Week_level!J$2)</f>
        <v>0</v>
      </c>
      <c r="K326">
        <f>SUMIFS(Table1[Modeled_Demand],Table1[Key_Year_week_DC],Demand_Modeling_Week_level!$A326,Table1[BRAND],Demand_Modeling_Week_level!K$2)</f>
        <v>0</v>
      </c>
      <c r="L326">
        <f>SUMIFS(Table1[Demand],Table1[Key_Year_week_DC],Demand_Modeling_Week_level!$A326)</f>
        <v>0</v>
      </c>
      <c r="M326">
        <f t="shared" si="33"/>
        <v>0</v>
      </c>
      <c r="N326">
        <f>VLOOKUP(A326,Capacity!B:G,6,FALSE)</f>
        <v>0</v>
      </c>
      <c r="O326" s="20">
        <f t="shared" si="34"/>
        <v>0</v>
      </c>
      <c r="P326">
        <f t="shared" si="35"/>
        <v>0</v>
      </c>
    </row>
    <row r="327" spans="1:16" hidden="1" x14ac:dyDescent="0.3">
      <c r="A327" t="str">
        <f t="shared" si="31"/>
        <v>0-</v>
      </c>
      <c r="B327">
        <f t="shared" si="32"/>
        <v>0</v>
      </c>
      <c r="C327" s="11"/>
      <c r="D327" s="11"/>
      <c r="E327" s="11"/>
      <c r="F327">
        <f>SUMIFS(Table1[Modeled_Demand],Table1[Key_Year_week_DC],Demand_Modeling_Week_level!$A327,Table1[BRAND],Demand_Modeling_Week_level!F$2)</f>
        <v>0</v>
      </c>
      <c r="G327">
        <f>SUMIFS(Table1[Modeled_Demand],Table1[Key_Year_week_DC],Demand_Modeling_Week_level!$A327,Table1[BRAND],Demand_Modeling_Week_level!G$2)</f>
        <v>0</v>
      </c>
      <c r="H327">
        <f>SUMIFS(Table1[Modeled_Demand],Table1[Key_Year_week_DC],Demand_Modeling_Week_level!$A327,Table1[BRAND],Demand_Modeling_Week_level!H$2)</f>
        <v>0</v>
      </c>
      <c r="I327">
        <f>SUMIFS(Table1[Modeled_Demand],Table1[Key_Year_week_DC],Demand_Modeling_Week_level!$A327,Table1[BRAND],Demand_Modeling_Week_level!I$2)</f>
        <v>0</v>
      </c>
      <c r="J327">
        <f>SUMIFS(Table1[Modeled_Demand],Table1[Key_Year_week_DC],Demand_Modeling_Week_level!$A327,Table1[BRAND],Demand_Modeling_Week_level!J$2)</f>
        <v>0</v>
      </c>
      <c r="K327">
        <f>SUMIFS(Table1[Modeled_Demand],Table1[Key_Year_week_DC],Demand_Modeling_Week_level!$A327,Table1[BRAND],Demand_Modeling_Week_level!K$2)</f>
        <v>0</v>
      </c>
      <c r="L327">
        <f>SUMIFS(Table1[Demand],Table1[Key_Year_week_DC],Demand_Modeling_Week_level!$A327)</f>
        <v>0</v>
      </c>
      <c r="M327">
        <f t="shared" si="33"/>
        <v>0</v>
      </c>
      <c r="N327">
        <f>VLOOKUP(A327,Capacity!B:G,6,FALSE)</f>
        <v>0</v>
      </c>
      <c r="O327" s="20">
        <f t="shared" si="34"/>
        <v>0</v>
      </c>
      <c r="P327">
        <f t="shared" si="35"/>
        <v>0</v>
      </c>
    </row>
    <row r="328" spans="1:16" hidden="1" x14ac:dyDescent="0.3">
      <c r="A328" t="str">
        <f t="shared" si="31"/>
        <v>0-</v>
      </c>
      <c r="B328">
        <f t="shared" si="32"/>
        <v>0</v>
      </c>
      <c r="C328" s="11"/>
      <c r="D328" s="11"/>
      <c r="E328" s="11"/>
      <c r="F328">
        <f>SUMIFS(Table1[Modeled_Demand],Table1[Key_Year_week_DC],Demand_Modeling_Week_level!$A328,Table1[BRAND],Demand_Modeling_Week_level!F$2)</f>
        <v>0</v>
      </c>
      <c r="G328">
        <f>SUMIFS(Table1[Modeled_Demand],Table1[Key_Year_week_DC],Demand_Modeling_Week_level!$A328,Table1[BRAND],Demand_Modeling_Week_level!G$2)</f>
        <v>0</v>
      </c>
      <c r="H328">
        <f>SUMIFS(Table1[Modeled_Demand],Table1[Key_Year_week_DC],Demand_Modeling_Week_level!$A328,Table1[BRAND],Demand_Modeling_Week_level!H$2)</f>
        <v>0</v>
      </c>
      <c r="I328">
        <f>SUMIFS(Table1[Modeled_Demand],Table1[Key_Year_week_DC],Demand_Modeling_Week_level!$A328,Table1[BRAND],Demand_Modeling_Week_level!I$2)</f>
        <v>0</v>
      </c>
      <c r="J328">
        <f>SUMIFS(Table1[Modeled_Demand],Table1[Key_Year_week_DC],Demand_Modeling_Week_level!$A328,Table1[BRAND],Demand_Modeling_Week_level!J$2)</f>
        <v>0</v>
      </c>
      <c r="K328">
        <f>SUMIFS(Table1[Modeled_Demand],Table1[Key_Year_week_DC],Demand_Modeling_Week_level!$A328,Table1[BRAND],Demand_Modeling_Week_level!K$2)</f>
        <v>0</v>
      </c>
      <c r="L328">
        <f>SUMIFS(Table1[Demand],Table1[Key_Year_week_DC],Demand_Modeling_Week_level!$A328)</f>
        <v>0</v>
      </c>
      <c r="M328">
        <f t="shared" si="33"/>
        <v>0</v>
      </c>
      <c r="N328">
        <f>VLOOKUP(A328,Capacity!B:G,6,FALSE)</f>
        <v>0</v>
      </c>
      <c r="O328" s="20">
        <f t="shared" si="34"/>
        <v>0</v>
      </c>
      <c r="P328">
        <f t="shared" si="35"/>
        <v>0</v>
      </c>
    </row>
    <row r="329" spans="1:16" hidden="1" x14ac:dyDescent="0.3">
      <c r="A329" t="str">
        <f t="shared" si="31"/>
        <v>0-</v>
      </c>
      <c r="B329">
        <f t="shared" si="32"/>
        <v>0</v>
      </c>
      <c r="C329" s="11"/>
      <c r="D329" s="11"/>
      <c r="E329" s="11"/>
      <c r="F329">
        <f>SUMIFS(Table1[Modeled_Demand],Table1[Key_Year_week_DC],Demand_Modeling_Week_level!$A329,Table1[BRAND],Demand_Modeling_Week_level!F$2)</f>
        <v>0</v>
      </c>
      <c r="G329">
        <f>SUMIFS(Table1[Modeled_Demand],Table1[Key_Year_week_DC],Demand_Modeling_Week_level!$A329,Table1[BRAND],Demand_Modeling_Week_level!G$2)</f>
        <v>0</v>
      </c>
      <c r="H329">
        <f>SUMIFS(Table1[Modeled_Demand],Table1[Key_Year_week_DC],Demand_Modeling_Week_level!$A329,Table1[BRAND],Demand_Modeling_Week_level!H$2)</f>
        <v>0</v>
      </c>
      <c r="I329">
        <f>SUMIFS(Table1[Modeled_Demand],Table1[Key_Year_week_DC],Demand_Modeling_Week_level!$A329,Table1[BRAND],Demand_Modeling_Week_level!I$2)</f>
        <v>0</v>
      </c>
      <c r="J329">
        <f>SUMIFS(Table1[Modeled_Demand],Table1[Key_Year_week_DC],Demand_Modeling_Week_level!$A329,Table1[BRAND],Demand_Modeling_Week_level!J$2)</f>
        <v>0</v>
      </c>
      <c r="K329">
        <f>SUMIFS(Table1[Modeled_Demand],Table1[Key_Year_week_DC],Demand_Modeling_Week_level!$A329,Table1[BRAND],Demand_Modeling_Week_level!K$2)</f>
        <v>0</v>
      </c>
      <c r="L329">
        <f>SUMIFS(Table1[Demand],Table1[Key_Year_week_DC],Demand_Modeling_Week_level!$A329)</f>
        <v>0</v>
      </c>
      <c r="M329">
        <f t="shared" si="33"/>
        <v>0</v>
      </c>
      <c r="N329">
        <f>VLOOKUP(A329,Capacity!B:G,6,FALSE)</f>
        <v>0</v>
      </c>
      <c r="O329" s="20">
        <f t="shared" si="34"/>
        <v>0</v>
      </c>
      <c r="P329">
        <f t="shared" si="35"/>
        <v>0</v>
      </c>
    </row>
    <row r="330" spans="1:16" hidden="1" x14ac:dyDescent="0.3">
      <c r="A330" t="str">
        <f t="shared" si="31"/>
        <v>0-</v>
      </c>
      <c r="B330">
        <f t="shared" si="32"/>
        <v>0</v>
      </c>
      <c r="C330" s="11"/>
      <c r="D330" s="11"/>
      <c r="E330" s="11"/>
      <c r="F330">
        <f>SUMIFS(Table1[Modeled_Demand],Table1[Key_Year_week_DC],Demand_Modeling_Week_level!$A330,Table1[BRAND],Demand_Modeling_Week_level!F$2)</f>
        <v>0</v>
      </c>
      <c r="G330">
        <f>SUMIFS(Table1[Modeled_Demand],Table1[Key_Year_week_DC],Demand_Modeling_Week_level!$A330,Table1[BRAND],Demand_Modeling_Week_level!G$2)</f>
        <v>0</v>
      </c>
      <c r="H330">
        <f>SUMIFS(Table1[Modeled_Demand],Table1[Key_Year_week_DC],Demand_Modeling_Week_level!$A330,Table1[BRAND],Demand_Modeling_Week_level!H$2)</f>
        <v>0</v>
      </c>
      <c r="I330">
        <f>SUMIFS(Table1[Modeled_Demand],Table1[Key_Year_week_DC],Demand_Modeling_Week_level!$A330,Table1[BRAND],Demand_Modeling_Week_level!I$2)</f>
        <v>0</v>
      </c>
      <c r="J330">
        <f>SUMIFS(Table1[Modeled_Demand],Table1[Key_Year_week_DC],Demand_Modeling_Week_level!$A330,Table1[BRAND],Demand_Modeling_Week_level!J$2)</f>
        <v>0</v>
      </c>
      <c r="K330">
        <f>SUMIFS(Table1[Modeled_Demand],Table1[Key_Year_week_DC],Demand_Modeling_Week_level!$A330,Table1[BRAND],Demand_Modeling_Week_level!K$2)</f>
        <v>0</v>
      </c>
      <c r="L330">
        <f>SUMIFS(Table1[Demand],Table1[Key_Year_week_DC],Demand_Modeling_Week_level!$A330)</f>
        <v>0</v>
      </c>
      <c r="M330">
        <f t="shared" si="33"/>
        <v>0</v>
      </c>
      <c r="N330">
        <f>VLOOKUP(A330,Capacity!B:G,6,FALSE)</f>
        <v>0</v>
      </c>
      <c r="O330" s="20">
        <f t="shared" si="34"/>
        <v>0</v>
      </c>
      <c r="P330">
        <f t="shared" si="35"/>
        <v>0</v>
      </c>
    </row>
    <row r="331" spans="1:16" hidden="1" x14ac:dyDescent="0.3">
      <c r="A331" t="str">
        <f t="shared" si="31"/>
        <v>0-</v>
      </c>
      <c r="B331">
        <f t="shared" si="32"/>
        <v>0</v>
      </c>
      <c r="C331" s="11"/>
      <c r="D331" s="11"/>
      <c r="E331" s="11"/>
      <c r="F331">
        <f>SUMIFS(Table1[Modeled_Demand],Table1[Key_Year_week_DC],Demand_Modeling_Week_level!$A331,Table1[BRAND],Demand_Modeling_Week_level!F$2)</f>
        <v>0</v>
      </c>
      <c r="G331">
        <f>SUMIFS(Table1[Modeled_Demand],Table1[Key_Year_week_DC],Demand_Modeling_Week_level!$A331,Table1[BRAND],Demand_Modeling_Week_level!G$2)</f>
        <v>0</v>
      </c>
      <c r="H331">
        <f>SUMIFS(Table1[Modeled_Demand],Table1[Key_Year_week_DC],Demand_Modeling_Week_level!$A331,Table1[BRAND],Demand_Modeling_Week_level!H$2)</f>
        <v>0</v>
      </c>
      <c r="I331">
        <f>SUMIFS(Table1[Modeled_Demand],Table1[Key_Year_week_DC],Demand_Modeling_Week_level!$A331,Table1[BRAND],Demand_Modeling_Week_level!I$2)</f>
        <v>0</v>
      </c>
      <c r="J331">
        <f>SUMIFS(Table1[Modeled_Demand],Table1[Key_Year_week_DC],Demand_Modeling_Week_level!$A331,Table1[BRAND],Demand_Modeling_Week_level!J$2)</f>
        <v>0</v>
      </c>
      <c r="K331">
        <f>SUMIFS(Table1[Modeled_Demand],Table1[Key_Year_week_DC],Demand_Modeling_Week_level!$A331,Table1[BRAND],Demand_Modeling_Week_level!K$2)</f>
        <v>0</v>
      </c>
      <c r="L331">
        <f>SUMIFS(Table1[Demand],Table1[Key_Year_week_DC],Demand_Modeling_Week_level!$A331)</f>
        <v>0</v>
      </c>
      <c r="M331">
        <f t="shared" si="33"/>
        <v>0</v>
      </c>
      <c r="N331">
        <f>VLOOKUP(A331,Capacity!B:G,6,FALSE)</f>
        <v>0</v>
      </c>
      <c r="O331" s="20">
        <f t="shared" si="34"/>
        <v>0</v>
      </c>
      <c r="P331">
        <f t="shared" si="35"/>
        <v>0</v>
      </c>
    </row>
    <row r="332" spans="1:16" hidden="1" x14ac:dyDescent="0.3">
      <c r="A332" t="str">
        <f t="shared" si="31"/>
        <v>0-</v>
      </c>
      <c r="B332">
        <f t="shared" si="32"/>
        <v>0</v>
      </c>
      <c r="C332" s="11"/>
      <c r="D332" s="11"/>
      <c r="E332" s="11"/>
      <c r="F332">
        <f>SUMIFS(Table1[Modeled_Demand],Table1[Key_Year_week_DC],Demand_Modeling_Week_level!$A332,Table1[BRAND],Demand_Modeling_Week_level!F$2)</f>
        <v>0</v>
      </c>
      <c r="G332">
        <f>SUMIFS(Table1[Modeled_Demand],Table1[Key_Year_week_DC],Demand_Modeling_Week_level!$A332,Table1[BRAND],Demand_Modeling_Week_level!G$2)</f>
        <v>0</v>
      </c>
      <c r="H332">
        <f>SUMIFS(Table1[Modeled_Demand],Table1[Key_Year_week_DC],Demand_Modeling_Week_level!$A332,Table1[BRAND],Demand_Modeling_Week_level!H$2)</f>
        <v>0</v>
      </c>
      <c r="I332">
        <f>SUMIFS(Table1[Modeled_Demand],Table1[Key_Year_week_DC],Demand_Modeling_Week_level!$A332,Table1[BRAND],Demand_Modeling_Week_level!I$2)</f>
        <v>0</v>
      </c>
      <c r="J332">
        <f>SUMIFS(Table1[Modeled_Demand],Table1[Key_Year_week_DC],Demand_Modeling_Week_level!$A332,Table1[BRAND],Demand_Modeling_Week_level!J$2)</f>
        <v>0</v>
      </c>
      <c r="K332">
        <f>SUMIFS(Table1[Modeled_Demand],Table1[Key_Year_week_DC],Demand_Modeling_Week_level!$A332,Table1[BRAND],Demand_Modeling_Week_level!K$2)</f>
        <v>0</v>
      </c>
      <c r="L332">
        <f>SUMIFS(Table1[Demand],Table1[Key_Year_week_DC],Demand_Modeling_Week_level!$A332)</f>
        <v>0</v>
      </c>
      <c r="M332">
        <f t="shared" si="33"/>
        <v>0</v>
      </c>
      <c r="N332">
        <f>VLOOKUP(A332,Capacity!B:G,6,FALSE)</f>
        <v>0</v>
      </c>
      <c r="O332" s="20">
        <f t="shared" si="34"/>
        <v>0</v>
      </c>
      <c r="P332">
        <f t="shared" si="35"/>
        <v>0</v>
      </c>
    </row>
    <row r="333" spans="1:16" hidden="1" x14ac:dyDescent="0.3">
      <c r="A333" t="str">
        <f t="shared" si="31"/>
        <v>0-</v>
      </c>
      <c r="B333">
        <f t="shared" si="32"/>
        <v>0</v>
      </c>
      <c r="C333" s="11"/>
      <c r="D333" s="11"/>
      <c r="E333" s="11"/>
      <c r="F333">
        <f>SUMIFS(Table1[Modeled_Demand],Table1[Key_Year_week_DC],Demand_Modeling_Week_level!$A333,Table1[BRAND],Demand_Modeling_Week_level!F$2)</f>
        <v>0</v>
      </c>
      <c r="G333">
        <f>SUMIFS(Table1[Modeled_Demand],Table1[Key_Year_week_DC],Demand_Modeling_Week_level!$A333,Table1[BRAND],Demand_Modeling_Week_level!G$2)</f>
        <v>0</v>
      </c>
      <c r="H333">
        <f>SUMIFS(Table1[Modeled_Demand],Table1[Key_Year_week_DC],Demand_Modeling_Week_level!$A333,Table1[BRAND],Demand_Modeling_Week_level!H$2)</f>
        <v>0</v>
      </c>
      <c r="I333">
        <f>SUMIFS(Table1[Modeled_Demand],Table1[Key_Year_week_DC],Demand_Modeling_Week_level!$A333,Table1[BRAND],Demand_Modeling_Week_level!I$2)</f>
        <v>0</v>
      </c>
      <c r="J333">
        <f>SUMIFS(Table1[Modeled_Demand],Table1[Key_Year_week_DC],Demand_Modeling_Week_level!$A333,Table1[BRAND],Demand_Modeling_Week_level!J$2)</f>
        <v>0</v>
      </c>
      <c r="K333">
        <f>SUMIFS(Table1[Modeled_Demand],Table1[Key_Year_week_DC],Demand_Modeling_Week_level!$A333,Table1[BRAND],Demand_Modeling_Week_level!K$2)</f>
        <v>0</v>
      </c>
      <c r="L333">
        <f>SUMIFS(Table1[Demand],Table1[Key_Year_week_DC],Demand_Modeling_Week_level!$A333)</f>
        <v>0</v>
      </c>
      <c r="M333">
        <f t="shared" si="33"/>
        <v>0</v>
      </c>
      <c r="N333">
        <f>VLOOKUP(A333,Capacity!B:G,6,FALSE)</f>
        <v>0</v>
      </c>
      <c r="O333" s="20">
        <f t="shared" si="34"/>
        <v>0</v>
      </c>
      <c r="P333">
        <f t="shared" si="35"/>
        <v>0</v>
      </c>
    </row>
    <row r="334" spans="1:16" hidden="1" x14ac:dyDescent="0.3">
      <c r="A334" t="str">
        <f t="shared" si="31"/>
        <v>0-</v>
      </c>
      <c r="B334">
        <f t="shared" si="32"/>
        <v>0</v>
      </c>
      <c r="C334" s="11"/>
      <c r="D334" s="11"/>
      <c r="E334" s="11"/>
      <c r="F334">
        <f>SUMIFS(Table1[Modeled_Demand],Table1[Key_Year_week_DC],Demand_Modeling_Week_level!$A334,Table1[BRAND],Demand_Modeling_Week_level!F$2)</f>
        <v>0</v>
      </c>
      <c r="G334">
        <f>SUMIFS(Table1[Modeled_Demand],Table1[Key_Year_week_DC],Demand_Modeling_Week_level!$A334,Table1[BRAND],Demand_Modeling_Week_level!G$2)</f>
        <v>0</v>
      </c>
      <c r="H334">
        <f>SUMIFS(Table1[Modeled_Demand],Table1[Key_Year_week_DC],Demand_Modeling_Week_level!$A334,Table1[BRAND],Demand_Modeling_Week_level!H$2)</f>
        <v>0</v>
      </c>
      <c r="I334">
        <f>SUMIFS(Table1[Modeled_Demand],Table1[Key_Year_week_DC],Demand_Modeling_Week_level!$A334,Table1[BRAND],Demand_Modeling_Week_level!I$2)</f>
        <v>0</v>
      </c>
      <c r="J334">
        <f>SUMIFS(Table1[Modeled_Demand],Table1[Key_Year_week_DC],Demand_Modeling_Week_level!$A334,Table1[BRAND],Demand_Modeling_Week_level!J$2)</f>
        <v>0</v>
      </c>
      <c r="K334">
        <f>SUMIFS(Table1[Modeled_Demand],Table1[Key_Year_week_DC],Demand_Modeling_Week_level!$A334,Table1[BRAND],Demand_Modeling_Week_level!K$2)</f>
        <v>0</v>
      </c>
      <c r="L334">
        <f>SUMIFS(Table1[Demand],Table1[Key_Year_week_DC],Demand_Modeling_Week_level!$A334)</f>
        <v>0</v>
      </c>
      <c r="M334">
        <f t="shared" si="33"/>
        <v>0</v>
      </c>
      <c r="N334">
        <f>VLOOKUP(A334,Capacity!B:G,6,FALSE)</f>
        <v>0</v>
      </c>
      <c r="O334" s="20">
        <f t="shared" si="34"/>
        <v>0</v>
      </c>
      <c r="P334">
        <f t="shared" si="35"/>
        <v>0</v>
      </c>
    </row>
    <row r="335" spans="1:16" hidden="1" x14ac:dyDescent="0.3">
      <c r="A335" t="str">
        <f t="shared" si="31"/>
        <v>0-</v>
      </c>
      <c r="B335">
        <f t="shared" si="32"/>
        <v>0</v>
      </c>
      <c r="C335" s="11"/>
      <c r="D335" s="11"/>
      <c r="E335" s="11"/>
      <c r="F335">
        <f>SUMIFS(Table1[Modeled_Demand],Table1[Key_Year_week_DC],Demand_Modeling_Week_level!$A335,Table1[BRAND],Demand_Modeling_Week_level!F$2)</f>
        <v>0</v>
      </c>
      <c r="G335">
        <f>SUMIFS(Table1[Modeled_Demand],Table1[Key_Year_week_DC],Demand_Modeling_Week_level!$A335,Table1[BRAND],Demand_Modeling_Week_level!G$2)</f>
        <v>0</v>
      </c>
      <c r="H335">
        <f>SUMIFS(Table1[Modeled_Demand],Table1[Key_Year_week_DC],Demand_Modeling_Week_level!$A335,Table1[BRAND],Demand_Modeling_Week_level!H$2)</f>
        <v>0</v>
      </c>
      <c r="I335">
        <f>SUMIFS(Table1[Modeled_Demand],Table1[Key_Year_week_DC],Demand_Modeling_Week_level!$A335,Table1[BRAND],Demand_Modeling_Week_level!I$2)</f>
        <v>0</v>
      </c>
      <c r="J335">
        <f>SUMIFS(Table1[Modeled_Demand],Table1[Key_Year_week_DC],Demand_Modeling_Week_level!$A335,Table1[BRAND],Demand_Modeling_Week_level!J$2)</f>
        <v>0</v>
      </c>
      <c r="K335">
        <f>SUMIFS(Table1[Modeled_Demand],Table1[Key_Year_week_DC],Demand_Modeling_Week_level!$A335,Table1[BRAND],Demand_Modeling_Week_level!K$2)</f>
        <v>0</v>
      </c>
      <c r="L335">
        <f>SUMIFS(Table1[Demand],Table1[Key_Year_week_DC],Demand_Modeling_Week_level!$A335)</f>
        <v>0</v>
      </c>
      <c r="M335">
        <f t="shared" si="33"/>
        <v>0</v>
      </c>
      <c r="N335">
        <f>VLOOKUP(A335,Capacity!B:G,6,FALSE)</f>
        <v>0</v>
      </c>
      <c r="O335" s="20">
        <f t="shared" si="34"/>
        <v>0</v>
      </c>
      <c r="P335">
        <f t="shared" si="35"/>
        <v>0</v>
      </c>
    </row>
    <row r="336" spans="1:16" hidden="1" x14ac:dyDescent="0.3">
      <c r="A336" t="str">
        <f t="shared" si="31"/>
        <v>0-</v>
      </c>
      <c r="B336">
        <f t="shared" si="32"/>
        <v>0</v>
      </c>
      <c r="C336" s="11"/>
      <c r="D336" s="11"/>
      <c r="E336" s="11"/>
      <c r="F336">
        <f>SUMIFS(Table1[Modeled_Demand],Table1[Key_Year_week_DC],Demand_Modeling_Week_level!$A336,Table1[BRAND],Demand_Modeling_Week_level!F$2)</f>
        <v>0</v>
      </c>
      <c r="G336">
        <f>SUMIFS(Table1[Modeled_Demand],Table1[Key_Year_week_DC],Demand_Modeling_Week_level!$A336,Table1[BRAND],Demand_Modeling_Week_level!G$2)</f>
        <v>0</v>
      </c>
      <c r="H336">
        <f>SUMIFS(Table1[Modeled_Demand],Table1[Key_Year_week_DC],Demand_Modeling_Week_level!$A336,Table1[BRAND],Demand_Modeling_Week_level!H$2)</f>
        <v>0</v>
      </c>
      <c r="I336">
        <f>SUMIFS(Table1[Modeled_Demand],Table1[Key_Year_week_DC],Demand_Modeling_Week_level!$A336,Table1[BRAND],Demand_Modeling_Week_level!I$2)</f>
        <v>0</v>
      </c>
      <c r="J336">
        <f>SUMIFS(Table1[Modeled_Demand],Table1[Key_Year_week_DC],Demand_Modeling_Week_level!$A336,Table1[BRAND],Demand_Modeling_Week_level!J$2)</f>
        <v>0</v>
      </c>
      <c r="K336">
        <f>SUMIFS(Table1[Modeled_Demand],Table1[Key_Year_week_DC],Demand_Modeling_Week_level!$A336,Table1[BRAND],Demand_Modeling_Week_level!K$2)</f>
        <v>0</v>
      </c>
      <c r="L336">
        <f>SUMIFS(Table1[Demand],Table1[Key_Year_week_DC],Demand_Modeling_Week_level!$A336)</f>
        <v>0</v>
      </c>
      <c r="M336">
        <f t="shared" si="33"/>
        <v>0</v>
      </c>
      <c r="N336">
        <f>VLOOKUP(A336,Capacity!B:G,6,FALSE)</f>
        <v>0</v>
      </c>
      <c r="O336" s="20">
        <f t="shared" si="34"/>
        <v>0</v>
      </c>
      <c r="P336">
        <f t="shared" si="35"/>
        <v>0</v>
      </c>
    </row>
    <row r="337" spans="1:16" hidden="1" x14ac:dyDescent="0.3">
      <c r="A337" t="str">
        <f t="shared" si="31"/>
        <v>0-</v>
      </c>
      <c r="B337">
        <f t="shared" si="32"/>
        <v>0</v>
      </c>
      <c r="C337" s="11"/>
      <c r="D337" s="11"/>
      <c r="E337" s="11"/>
      <c r="F337">
        <f>SUMIFS(Table1[Modeled_Demand],Table1[Key_Year_week_DC],Demand_Modeling_Week_level!$A337,Table1[BRAND],Demand_Modeling_Week_level!F$2)</f>
        <v>0</v>
      </c>
      <c r="G337">
        <f>SUMIFS(Table1[Modeled_Demand],Table1[Key_Year_week_DC],Demand_Modeling_Week_level!$A337,Table1[BRAND],Demand_Modeling_Week_level!G$2)</f>
        <v>0</v>
      </c>
      <c r="H337">
        <f>SUMIFS(Table1[Modeled_Demand],Table1[Key_Year_week_DC],Demand_Modeling_Week_level!$A337,Table1[BRAND],Demand_Modeling_Week_level!H$2)</f>
        <v>0</v>
      </c>
      <c r="I337">
        <f>SUMIFS(Table1[Modeled_Demand],Table1[Key_Year_week_DC],Demand_Modeling_Week_level!$A337,Table1[BRAND],Demand_Modeling_Week_level!I$2)</f>
        <v>0</v>
      </c>
      <c r="J337">
        <f>SUMIFS(Table1[Modeled_Demand],Table1[Key_Year_week_DC],Demand_Modeling_Week_level!$A337,Table1[BRAND],Demand_Modeling_Week_level!J$2)</f>
        <v>0</v>
      </c>
      <c r="K337">
        <f>SUMIFS(Table1[Modeled_Demand],Table1[Key_Year_week_DC],Demand_Modeling_Week_level!$A337,Table1[BRAND],Demand_Modeling_Week_level!K$2)</f>
        <v>0</v>
      </c>
      <c r="L337">
        <f>SUMIFS(Table1[Demand],Table1[Key_Year_week_DC],Demand_Modeling_Week_level!$A337)</f>
        <v>0</v>
      </c>
      <c r="M337">
        <f t="shared" si="33"/>
        <v>0</v>
      </c>
      <c r="N337">
        <f>VLOOKUP(A337,Capacity!B:G,6,FALSE)</f>
        <v>0</v>
      </c>
      <c r="O337" s="20">
        <f t="shared" si="34"/>
        <v>0</v>
      </c>
      <c r="P337">
        <f t="shared" si="35"/>
        <v>0</v>
      </c>
    </row>
    <row r="338" spans="1:16" hidden="1" x14ac:dyDescent="0.3">
      <c r="A338" t="str">
        <f t="shared" si="31"/>
        <v>0-</v>
      </c>
      <c r="B338">
        <f t="shared" si="32"/>
        <v>0</v>
      </c>
      <c r="C338" s="11"/>
      <c r="D338" s="11"/>
      <c r="E338" s="11"/>
      <c r="F338">
        <f>SUMIFS(Table1[Modeled_Demand],Table1[Key_Year_week_DC],Demand_Modeling_Week_level!$A338,Table1[BRAND],Demand_Modeling_Week_level!F$2)</f>
        <v>0</v>
      </c>
      <c r="G338">
        <f>SUMIFS(Table1[Modeled_Demand],Table1[Key_Year_week_DC],Demand_Modeling_Week_level!$A338,Table1[BRAND],Demand_Modeling_Week_level!G$2)</f>
        <v>0</v>
      </c>
      <c r="H338">
        <f>SUMIFS(Table1[Modeled_Demand],Table1[Key_Year_week_DC],Demand_Modeling_Week_level!$A338,Table1[BRAND],Demand_Modeling_Week_level!H$2)</f>
        <v>0</v>
      </c>
      <c r="I338">
        <f>SUMIFS(Table1[Modeled_Demand],Table1[Key_Year_week_DC],Demand_Modeling_Week_level!$A338,Table1[BRAND],Demand_Modeling_Week_level!I$2)</f>
        <v>0</v>
      </c>
      <c r="J338">
        <f>SUMIFS(Table1[Modeled_Demand],Table1[Key_Year_week_DC],Demand_Modeling_Week_level!$A338,Table1[BRAND],Demand_Modeling_Week_level!J$2)</f>
        <v>0</v>
      </c>
      <c r="K338">
        <f>SUMIFS(Table1[Modeled_Demand],Table1[Key_Year_week_DC],Demand_Modeling_Week_level!$A338,Table1[BRAND],Demand_Modeling_Week_level!K$2)</f>
        <v>0</v>
      </c>
      <c r="L338">
        <f>SUMIFS(Table1[Demand],Table1[Key_Year_week_DC],Demand_Modeling_Week_level!$A338)</f>
        <v>0</v>
      </c>
      <c r="M338">
        <f t="shared" si="33"/>
        <v>0</v>
      </c>
      <c r="N338">
        <f>VLOOKUP(A338,Capacity!B:G,6,FALSE)</f>
        <v>0</v>
      </c>
      <c r="O338" s="20">
        <f t="shared" si="34"/>
        <v>0</v>
      </c>
      <c r="P338">
        <f t="shared" si="35"/>
        <v>0</v>
      </c>
    </row>
    <row r="339" spans="1:16" hidden="1" x14ac:dyDescent="0.3">
      <c r="A339" t="str">
        <f t="shared" si="31"/>
        <v>0-</v>
      </c>
      <c r="B339">
        <f t="shared" si="32"/>
        <v>0</v>
      </c>
      <c r="C339" s="11"/>
      <c r="D339" s="11"/>
      <c r="E339" s="11"/>
      <c r="F339">
        <f>SUMIFS(Table1[Modeled_Demand],Table1[Key_Year_week_DC],Demand_Modeling_Week_level!$A339,Table1[BRAND],Demand_Modeling_Week_level!F$2)</f>
        <v>0</v>
      </c>
      <c r="G339">
        <f>SUMIFS(Table1[Modeled_Demand],Table1[Key_Year_week_DC],Demand_Modeling_Week_level!$A339,Table1[BRAND],Demand_Modeling_Week_level!G$2)</f>
        <v>0</v>
      </c>
      <c r="H339">
        <f>SUMIFS(Table1[Modeled_Demand],Table1[Key_Year_week_DC],Demand_Modeling_Week_level!$A339,Table1[BRAND],Demand_Modeling_Week_level!H$2)</f>
        <v>0</v>
      </c>
      <c r="I339">
        <f>SUMIFS(Table1[Modeled_Demand],Table1[Key_Year_week_DC],Demand_Modeling_Week_level!$A339,Table1[BRAND],Demand_Modeling_Week_level!I$2)</f>
        <v>0</v>
      </c>
      <c r="J339">
        <f>SUMIFS(Table1[Modeled_Demand],Table1[Key_Year_week_DC],Demand_Modeling_Week_level!$A339,Table1[BRAND],Demand_Modeling_Week_level!J$2)</f>
        <v>0</v>
      </c>
      <c r="K339">
        <f>SUMIFS(Table1[Modeled_Demand],Table1[Key_Year_week_DC],Demand_Modeling_Week_level!$A339,Table1[BRAND],Demand_Modeling_Week_level!K$2)</f>
        <v>0</v>
      </c>
      <c r="L339">
        <f>SUMIFS(Table1[Demand],Table1[Key_Year_week_DC],Demand_Modeling_Week_level!$A339)</f>
        <v>0</v>
      </c>
      <c r="M339">
        <f t="shared" si="33"/>
        <v>0</v>
      </c>
      <c r="N339">
        <f>VLOOKUP(A339,Capacity!B:G,6,FALSE)</f>
        <v>0</v>
      </c>
      <c r="O339" s="20">
        <f t="shared" si="34"/>
        <v>0</v>
      </c>
      <c r="P339">
        <f t="shared" si="35"/>
        <v>0</v>
      </c>
    </row>
    <row r="340" spans="1:16" hidden="1" x14ac:dyDescent="0.3">
      <c r="A340" t="str">
        <f t="shared" si="31"/>
        <v>0-</v>
      </c>
      <c r="B340">
        <f t="shared" si="32"/>
        <v>0</v>
      </c>
      <c r="C340" s="11"/>
      <c r="D340" s="11"/>
      <c r="E340" s="11"/>
      <c r="F340">
        <f>SUMIFS(Table1[Modeled_Demand],Table1[Key_Year_week_DC],Demand_Modeling_Week_level!$A340,Table1[BRAND],Demand_Modeling_Week_level!F$2)</f>
        <v>0</v>
      </c>
      <c r="G340">
        <f>SUMIFS(Table1[Modeled_Demand],Table1[Key_Year_week_DC],Demand_Modeling_Week_level!$A340,Table1[BRAND],Demand_Modeling_Week_level!G$2)</f>
        <v>0</v>
      </c>
      <c r="H340">
        <f>SUMIFS(Table1[Modeled_Demand],Table1[Key_Year_week_DC],Demand_Modeling_Week_level!$A340,Table1[BRAND],Demand_Modeling_Week_level!H$2)</f>
        <v>0</v>
      </c>
      <c r="I340">
        <f>SUMIFS(Table1[Modeled_Demand],Table1[Key_Year_week_DC],Demand_Modeling_Week_level!$A340,Table1[BRAND],Demand_Modeling_Week_level!I$2)</f>
        <v>0</v>
      </c>
      <c r="J340">
        <f>SUMIFS(Table1[Modeled_Demand],Table1[Key_Year_week_DC],Demand_Modeling_Week_level!$A340,Table1[BRAND],Demand_Modeling_Week_level!J$2)</f>
        <v>0</v>
      </c>
      <c r="K340">
        <f>SUMIFS(Table1[Modeled_Demand],Table1[Key_Year_week_DC],Demand_Modeling_Week_level!$A340,Table1[BRAND],Demand_Modeling_Week_level!K$2)</f>
        <v>0</v>
      </c>
      <c r="L340">
        <f>SUMIFS(Table1[Demand],Table1[Key_Year_week_DC],Demand_Modeling_Week_level!$A340)</f>
        <v>0</v>
      </c>
      <c r="M340">
        <f t="shared" si="33"/>
        <v>0</v>
      </c>
      <c r="N340">
        <f>VLOOKUP(A340,Capacity!B:G,6,FALSE)</f>
        <v>0</v>
      </c>
      <c r="O340" s="20">
        <f t="shared" si="34"/>
        <v>0</v>
      </c>
      <c r="P340">
        <f t="shared" si="35"/>
        <v>0</v>
      </c>
    </row>
    <row r="341" spans="1:16" hidden="1" x14ac:dyDescent="0.3">
      <c r="A341" t="str">
        <f t="shared" si="31"/>
        <v>0-</v>
      </c>
      <c r="B341">
        <f t="shared" si="32"/>
        <v>0</v>
      </c>
      <c r="C341" s="11"/>
      <c r="D341" s="11"/>
      <c r="E341" s="11"/>
      <c r="F341">
        <f>SUMIFS(Table1[Modeled_Demand],Table1[Key_Year_week_DC],Demand_Modeling_Week_level!$A341,Table1[BRAND],Demand_Modeling_Week_level!F$2)</f>
        <v>0</v>
      </c>
      <c r="G341">
        <f>SUMIFS(Table1[Modeled_Demand],Table1[Key_Year_week_DC],Demand_Modeling_Week_level!$A341,Table1[BRAND],Demand_Modeling_Week_level!G$2)</f>
        <v>0</v>
      </c>
      <c r="H341">
        <f>SUMIFS(Table1[Modeled_Demand],Table1[Key_Year_week_DC],Demand_Modeling_Week_level!$A341,Table1[BRAND],Demand_Modeling_Week_level!H$2)</f>
        <v>0</v>
      </c>
      <c r="I341">
        <f>SUMIFS(Table1[Modeled_Demand],Table1[Key_Year_week_DC],Demand_Modeling_Week_level!$A341,Table1[BRAND],Demand_Modeling_Week_level!I$2)</f>
        <v>0</v>
      </c>
      <c r="J341">
        <f>SUMIFS(Table1[Modeled_Demand],Table1[Key_Year_week_DC],Demand_Modeling_Week_level!$A341,Table1[BRAND],Demand_Modeling_Week_level!J$2)</f>
        <v>0</v>
      </c>
      <c r="K341">
        <f>SUMIFS(Table1[Modeled_Demand],Table1[Key_Year_week_DC],Demand_Modeling_Week_level!$A341,Table1[BRAND],Demand_Modeling_Week_level!K$2)</f>
        <v>0</v>
      </c>
      <c r="L341">
        <f>SUMIFS(Table1[Demand],Table1[Key_Year_week_DC],Demand_Modeling_Week_level!$A341)</f>
        <v>0</v>
      </c>
      <c r="M341">
        <f t="shared" si="33"/>
        <v>0</v>
      </c>
      <c r="N341">
        <f>VLOOKUP(A341,Capacity!B:G,6,FALSE)</f>
        <v>0</v>
      </c>
      <c r="O341" s="20">
        <f t="shared" si="34"/>
        <v>0</v>
      </c>
      <c r="P341">
        <f t="shared" si="35"/>
        <v>0</v>
      </c>
    </row>
    <row r="342" spans="1:16" hidden="1" x14ac:dyDescent="0.3">
      <c r="A342" t="str">
        <f t="shared" si="31"/>
        <v>0-</v>
      </c>
      <c r="B342">
        <f t="shared" si="32"/>
        <v>0</v>
      </c>
      <c r="C342" s="11"/>
      <c r="D342" s="11"/>
      <c r="E342" s="11"/>
      <c r="F342">
        <f>SUMIFS(Table1[Modeled_Demand],Table1[Key_Year_week_DC],Demand_Modeling_Week_level!$A342,Table1[BRAND],Demand_Modeling_Week_level!F$2)</f>
        <v>0</v>
      </c>
      <c r="G342">
        <f>SUMIFS(Table1[Modeled_Demand],Table1[Key_Year_week_DC],Demand_Modeling_Week_level!$A342,Table1[BRAND],Demand_Modeling_Week_level!G$2)</f>
        <v>0</v>
      </c>
      <c r="H342">
        <f>SUMIFS(Table1[Modeled_Demand],Table1[Key_Year_week_DC],Demand_Modeling_Week_level!$A342,Table1[BRAND],Demand_Modeling_Week_level!H$2)</f>
        <v>0</v>
      </c>
      <c r="I342">
        <f>SUMIFS(Table1[Modeled_Demand],Table1[Key_Year_week_DC],Demand_Modeling_Week_level!$A342,Table1[BRAND],Demand_Modeling_Week_level!I$2)</f>
        <v>0</v>
      </c>
      <c r="J342">
        <f>SUMIFS(Table1[Modeled_Demand],Table1[Key_Year_week_DC],Demand_Modeling_Week_level!$A342,Table1[BRAND],Demand_Modeling_Week_level!J$2)</f>
        <v>0</v>
      </c>
      <c r="K342">
        <f>SUMIFS(Table1[Modeled_Demand],Table1[Key_Year_week_DC],Demand_Modeling_Week_level!$A342,Table1[BRAND],Demand_Modeling_Week_level!K$2)</f>
        <v>0</v>
      </c>
      <c r="L342">
        <f>SUMIFS(Table1[Demand],Table1[Key_Year_week_DC],Demand_Modeling_Week_level!$A342)</f>
        <v>0</v>
      </c>
      <c r="M342">
        <f t="shared" si="33"/>
        <v>0</v>
      </c>
      <c r="N342">
        <f>VLOOKUP(A342,Capacity!B:G,6,FALSE)</f>
        <v>0</v>
      </c>
      <c r="O342" s="20">
        <f t="shared" si="34"/>
        <v>0</v>
      </c>
      <c r="P342">
        <f t="shared" si="35"/>
        <v>0</v>
      </c>
    </row>
    <row r="343" spans="1:16" hidden="1" x14ac:dyDescent="0.3">
      <c r="A343" t="str">
        <f t="shared" si="31"/>
        <v>0-</v>
      </c>
      <c r="B343">
        <f t="shared" si="32"/>
        <v>0</v>
      </c>
      <c r="C343" s="11"/>
      <c r="D343" s="11"/>
      <c r="E343" s="11"/>
      <c r="F343">
        <f>SUMIFS(Table1[Modeled_Demand],Table1[Key_Year_week_DC],Demand_Modeling_Week_level!$A343,Table1[BRAND],Demand_Modeling_Week_level!F$2)</f>
        <v>0</v>
      </c>
      <c r="G343">
        <f>SUMIFS(Table1[Modeled_Demand],Table1[Key_Year_week_DC],Demand_Modeling_Week_level!$A343,Table1[BRAND],Demand_Modeling_Week_level!G$2)</f>
        <v>0</v>
      </c>
      <c r="H343">
        <f>SUMIFS(Table1[Modeled_Demand],Table1[Key_Year_week_DC],Demand_Modeling_Week_level!$A343,Table1[BRAND],Demand_Modeling_Week_level!H$2)</f>
        <v>0</v>
      </c>
      <c r="I343">
        <f>SUMIFS(Table1[Modeled_Demand],Table1[Key_Year_week_DC],Demand_Modeling_Week_level!$A343,Table1[BRAND],Demand_Modeling_Week_level!I$2)</f>
        <v>0</v>
      </c>
      <c r="J343">
        <f>SUMIFS(Table1[Modeled_Demand],Table1[Key_Year_week_DC],Demand_Modeling_Week_level!$A343,Table1[BRAND],Demand_Modeling_Week_level!J$2)</f>
        <v>0</v>
      </c>
      <c r="K343">
        <f>SUMIFS(Table1[Modeled_Demand],Table1[Key_Year_week_DC],Demand_Modeling_Week_level!$A343,Table1[BRAND],Demand_Modeling_Week_level!K$2)</f>
        <v>0</v>
      </c>
      <c r="L343">
        <f>SUMIFS(Table1[Demand],Table1[Key_Year_week_DC],Demand_Modeling_Week_level!$A343)</f>
        <v>0</v>
      </c>
      <c r="M343">
        <f t="shared" si="33"/>
        <v>0</v>
      </c>
      <c r="N343">
        <f>VLOOKUP(A343,Capacity!B:G,6,FALSE)</f>
        <v>0</v>
      </c>
      <c r="O343" s="20">
        <f t="shared" si="34"/>
        <v>0</v>
      </c>
      <c r="P343">
        <f t="shared" si="35"/>
        <v>0</v>
      </c>
    </row>
    <row r="344" spans="1:16" hidden="1" x14ac:dyDescent="0.3">
      <c r="A344" t="str">
        <f t="shared" si="31"/>
        <v>0-</v>
      </c>
      <c r="B344">
        <f t="shared" si="32"/>
        <v>0</v>
      </c>
      <c r="C344" s="11"/>
      <c r="D344" s="11"/>
      <c r="E344" s="11"/>
      <c r="F344">
        <f>SUMIFS(Table1[Modeled_Demand],Table1[Key_Year_week_DC],Demand_Modeling_Week_level!$A344,Table1[BRAND],Demand_Modeling_Week_level!F$2)</f>
        <v>0</v>
      </c>
      <c r="G344">
        <f>SUMIFS(Table1[Modeled_Demand],Table1[Key_Year_week_DC],Demand_Modeling_Week_level!$A344,Table1[BRAND],Demand_Modeling_Week_level!G$2)</f>
        <v>0</v>
      </c>
      <c r="H344">
        <f>SUMIFS(Table1[Modeled_Demand],Table1[Key_Year_week_DC],Demand_Modeling_Week_level!$A344,Table1[BRAND],Demand_Modeling_Week_level!H$2)</f>
        <v>0</v>
      </c>
      <c r="I344">
        <f>SUMIFS(Table1[Modeled_Demand],Table1[Key_Year_week_DC],Demand_Modeling_Week_level!$A344,Table1[BRAND],Demand_Modeling_Week_level!I$2)</f>
        <v>0</v>
      </c>
      <c r="J344">
        <f>SUMIFS(Table1[Modeled_Demand],Table1[Key_Year_week_DC],Demand_Modeling_Week_level!$A344,Table1[BRAND],Demand_Modeling_Week_level!J$2)</f>
        <v>0</v>
      </c>
      <c r="K344">
        <f>SUMIFS(Table1[Modeled_Demand],Table1[Key_Year_week_DC],Demand_Modeling_Week_level!$A344,Table1[BRAND],Demand_Modeling_Week_level!K$2)</f>
        <v>0</v>
      </c>
      <c r="L344">
        <f>SUMIFS(Table1[Demand],Table1[Key_Year_week_DC],Demand_Modeling_Week_level!$A344)</f>
        <v>0</v>
      </c>
      <c r="M344">
        <f t="shared" si="33"/>
        <v>0</v>
      </c>
      <c r="N344">
        <f>VLOOKUP(A344,Capacity!B:G,6,FALSE)</f>
        <v>0</v>
      </c>
      <c r="O344" s="20">
        <f t="shared" si="34"/>
        <v>0</v>
      </c>
      <c r="P344">
        <f t="shared" si="35"/>
        <v>0</v>
      </c>
    </row>
    <row r="345" spans="1:16" hidden="1" x14ac:dyDescent="0.3">
      <c r="A345" t="str">
        <f t="shared" si="31"/>
        <v>0-</v>
      </c>
      <c r="B345">
        <f t="shared" si="32"/>
        <v>0</v>
      </c>
      <c r="C345" s="11"/>
      <c r="D345" s="11"/>
      <c r="E345" s="11"/>
      <c r="F345">
        <f>SUMIFS(Table1[Modeled_Demand],Table1[Key_Year_week_DC],Demand_Modeling_Week_level!$A345,Table1[BRAND],Demand_Modeling_Week_level!F$2)</f>
        <v>0</v>
      </c>
      <c r="G345">
        <f>SUMIFS(Table1[Modeled_Demand],Table1[Key_Year_week_DC],Demand_Modeling_Week_level!$A345,Table1[BRAND],Demand_Modeling_Week_level!G$2)</f>
        <v>0</v>
      </c>
      <c r="H345">
        <f>SUMIFS(Table1[Modeled_Demand],Table1[Key_Year_week_DC],Demand_Modeling_Week_level!$A345,Table1[BRAND],Demand_Modeling_Week_level!H$2)</f>
        <v>0</v>
      </c>
      <c r="I345">
        <f>SUMIFS(Table1[Modeled_Demand],Table1[Key_Year_week_DC],Demand_Modeling_Week_level!$A345,Table1[BRAND],Demand_Modeling_Week_level!I$2)</f>
        <v>0</v>
      </c>
      <c r="J345">
        <f>SUMIFS(Table1[Modeled_Demand],Table1[Key_Year_week_DC],Demand_Modeling_Week_level!$A345,Table1[BRAND],Demand_Modeling_Week_level!J$2)</f>
        <v>0</v>
      </c>
      <c r="K345">
        <f>SUMIFS(Table1[Modeled_Demand],Table1[Key_Year_week_DC],Demand_Modeling_Week_level!$A345,Table1[BRAND],Demand_Modeling_Week_level!K$2)</f>
        <v>0</v>
      </c>
      <c r="L345">
        <f>SUMIFS(Table1[Demand],Table1[Key_Year_week_DC],Demand_Modeling_Week_level!$A345)</f>
        <v>0</v>
      </c>
      <c r="M345">
        <f t="shared" si="33"/>
        <v>0</v>
      </c>
      <c r="N345">
        <f>VLOOKUP(A345,Capacity!B:G,6,FALSE)</f>
        <v>0</v>
      </c>
      <c r="O345" s="20">
        <f t="shared" si="34"/>
        <v>0</v>
      </c>
      <c r="P345">
        <f t="shared" si="35"/>
        <v>0</v>
      </c>
    </row>
    <row r="346" spans="1:16" hidden="1" x14ac:dyDescent="0.3">
      <c r="A346" t="str">
        <f t="shared" si="31"/>
        <v>0-</v>
      </c>
      <c r="B346">
        <f t="shared" si="32"/>
        <v>0</v>
      </c>
      <c r="C346" s="11"/>
      <c r="D346" s="11"/>
      <c r="E346" s="11"/>
      <c r="F346">
        <f>SUMIFS(Table1[Modeled_Demand],Table1[Key_Year_week_DC],Demand_Modeling_Week_level!$A346,Table1[BRAND],Demand_Modeling_Week_level!F$2)</f>
        <v>0</v>
      </c>
      <c r="G346">
        <f>SUMIFS(Table1[Modeled_Demand],Table1[Key_Year_week_DC],Demand_Modeling_Week_level!$A346,Table1[BRAND],Demand_Modeling_Week_level!G$2)</f>
        <v>0</v>
      </c>
      <c r="H346">
        <f>SUMIFS(Table1[Modeled_Demand],Table1[Key_Year_week_DC],Demand_Modeling_Week_level!$A346,Table1[BRAND],Demand_Modeling_Week_level!H$2)</f>
        <v>0</v>
      </c>
      <c r="I346">
        <f>SUMIFS(Table1[Modeled_Demand],Table1[Key_Year_week_DC],Demand_Modeling_Week_level!$A346,Table1[BRAND],Demand_Modeling_Week_level!I$2)</f>
        <v>0</v>
      </c>
      <c r="J346">
        <f>SUMIFS(Table1[Modeled_Demand],Table1[Key_Year_week_DC],Demand_Modeling_Week_level!$A346,Table1[BRAND],Demand_Modeling_Week_level!J$2)</f>
        <v>0</v>
      </c>
      <c r="K346">
        <f>SUMIFS(Table1[Modeled_Demand],Table1[Key_Year_week_DC],Demand_Modeling_Week_level!$A346,Table1[BRAND],Demand_Modeling_Week_level!K$2)</f>
        <v>0</v>
      </c>
      <c r="L346">
        <f>SUMIFS(Table1[Demand],Table1[Key_Year_week_DC],Demand_Modeling_Week_level!$A346)</f>
        <v>0</v>
      </c>
      <c r="M346">
        <f t="shared" si="33"/>
        <v>0</v>
      </c>
      <c r="N346">
        <f>VLOOKUP(A346,Capacity!B:G,6,FALSE)</f>
        <v>0</v>
      </c>
      <c r="O346" s="20">
        <f t="shared" si="34"/>
        <v>0</v>
      </c>
      <c r="P346">
        <f t="shared" si="35"/>
        <v>0</v>
      </c>
    </row>
    <row r="347" spans="1:16" hidden="1" x14ac:dyDescent="0.3">
      <c r="A347" t="str">
        <f t="shared" si="31"/>
        <v>0-</v>
      </c>
      <c r="B347">
        <f t="shared" si="32"/>
        <v>0</v>
      </c>
      <c r="C347" s="11"/>
      <c r="D347" s="11"/>
      <c r="E347" s="11"/>
      <c r="F347">
        <f>SUMIFS(Table1[Modeled_Demand],Table1[Key_Year_week_DC],Demand_Modeling_Week_level!$A347,Table1[BRAND],Demand_Modeling_Week_level!F$2)</f>
        <v>0</v>
      </c>
      <c r="G347">
        <f>SUMIFS(Table1[Modeled_Demand],Table1[Key_Year_week_DC],Demand_Modeling_Week_level!$A347,Table1[BRAND],Demand_Modeling_Week_level!G$2)</f>
        <v>0</v>
      </c>
      <c r="H347">
        <f>SUMIFS(Table1[Modeled_Demand],Table1[Key_Year_week_DC],Demand_Modeling_Week_level!$A347,Table1[BRAND],Demand_Modeling_Week_level!H$2)</f>
        <v>0</v>
      </c>
      <c r="I347">
        <f>SUMIFS(Table1[Modeled_Demand],Table1[Key_Year_week_DC],Demand_Modeling_Week_level!$A347,Table1[BRAND],Demand_Modeling_Week_level!I$2)</f>
        <v>0</v>
      </c>
      <c r="J347">
        <f>SUMIFS(Table1[Modeled_Demand],Table1[Key_Year_week_DC],Demand_Modeling_Week_level!$A347,Table1[BRAND],Demand_Modeling_Week_level!J$2)</f>
        <v>0</v>
      </c>
      <c r="K347">
        <f>SUMIFS(Table1[Modeled_Demand],Table1[Key_Year_week_DC],Demand_Modeling_Week_level!$A347,Table1[BRAND],Demand_Modeling_Week_level!K$2)</f>
        <v>0</v>
      </c>
      <c r="L347">
        <f>SUMIFS(Table1[Demand],Table1[Key_Year_week_DC],Demand_Modeling_Week_level!$A347)</f>
        <v>0</v>
      </c>
      <c r="M347">
        <f t="shared" si="33"/>
        <v>0</v>
      </c>
      <c r="N347">
        <f>VLOOKUP(A347,Capacity!B:G,6,FALSE)</f>
        <v>0</v>
      </c>
      <c r="O347" s="20">
        <f t="shared" si="34"/>
        <v>0</v>
      </c>
      <c r="P347">
        <f t="shared" si="35"/>
        <v>0</v>
      </c>
    </row>
    <row r="348" spans="1:16" hidden="1" x14ac:dyDescent="0.3">
      <c r="A348" t="str">
        <f t="shared" si="31"/>
        <v>0-</v>
      </c>
      <c r="B348">
        <f t="shared" si="32"/>
        <v>0</v>
      </c>
      <c r="C348" s="11"/>
      <c r="D348" s="11"/>
      <c r="E348" s="11"/>
      <c r="F348">
        <f>SUMIFS(Table1[Modeled_Demand],Table1[Key_Year_week_DC],Demand_Modeling_Week_level!$A348,Table1[BRAND],Demand_Modeling_Week_level!F$2)</f>
        <v>0</v>
      </c>
      <c r="G348">
        <f>SUMIFS(Table1[Modeled_Demand],Table1[Key_Year_week_DC],Demand_Modeling_Week_level!$A348,Table1[BRAND],Demand_Modeling_Week_level!G$2)</f>
        <v>0</v>
      </c>
      <c r="H348">
        <f>SUMIFS(Table1[Modeled_Demand],Table1[Key_Year_week_DC],Demand_Modeling_Week_level!$A348,Table1[BRAND],Demand_Modeling_Week_level!H$2)</f>
        <v>0</v>
      </c>
      <c r="I348">
        <f>SUMIFS(Table1[Modeled_Demand],Table1[Key_Year_week_DC],Demand_Modeling_Week_level!$A348,Table1[BRAND],Demand_Modeling_Week_level!I$2)</f>
        <v>0</v>
      </c>
      <c r="J348">
        <f>SUMIFS(Table1[Modeled_Demand],Table1[Key_Year_week_DC],Demand_Modeling_Week_level!$A348,Table1[BRAND],Demand_Modeling_Week_level!J$2)</f>
        <v>0</v>
      </c>
      <c r="K348">
        <f>SUMIFS(Table1[Modeled_Demand],Table1[Key_Year_week_DC],Demand_Modeling_Week_level!$A348,Table1[BRAND],Demand_Modeling_Week_level!K$2)</f>
        <v>0</v>
      </c>
      <c r="L348">
        <f>SUMIFS(Table1[Demand],Table1[Key_Year_week_DC],Demand_Modeling_Week_level!$A348)</f>
        <v>0</v>
      </c>
      <c r="M348">
        <f t="shared" si="33"/>
        <v>0</v>
      </c>
      <c r="N348">
        <f>VLOOKUP(A348,Capacity!B:G,6,FALSE)</f>
        <v>0</v>
      </c>
      <c r="O348" s="20">
        <f t="shared" si="34"/>
        <v>0</v>
      </c>
      <c r="P348">
        <f t="shared" si="35"/>
        <v>0</v>
      </c>
    </row>
    <row r="349" spans="1:16" hidden="1" x14ac:dyDescent="0.3">
      <c r="A349" t="str">
        <f t="shared" si="31"/>
        <v>0-</v>
      </c>
      <c r="B349">
        <f t="shared" si="32"/>
        <v>0</v>
      </c>
      <c r="C349" s="11"/>
      <c r="D349" s="11"/>
      <c r="E349" s="11"/>
      <c r="F349">
        <f>SUMIFS(Table1[Modeled_Demand],Table1[Key_Year_week_DC],Demand_Modeling_Week_level!$A349,Table1[BRAND],Demand_Modeling_Week_level!F$2)</f>
        <v>0</v>
      </c>
      <c r="G349">
        <f>SUMIFS(Table1[Modeled_Demand],Table1[Key_Year_week_DC],Demand_Modeling_Week_level!$A349,Table1[BRAND],Demand_Modeling_Week_level!G$2)</f>
        <v>0</v>
      </c>
      <c r="H349">
        <f>SUMIFS(Table1[Modeled_Demand],Table1[Key_Year_week_DC],Demand_Modeling_Week_level!$A349,Table1[BRAND],Demand_Modeling_Week_level!H$2)</f>
        <v>0</v>
      </c>
      <c r="I349">
        <f>SUMIFS(Table1[Modeled_Demand],Table1[Key_Year_week_DC],Demand_Modeling_Week_level!$A349,Table1[BRAND],Demand_Modeling_Week_level!I$2)</f>
        <v>0</v>
      </c>
      <c r="J349">
        <f>SUMIFS(Table1[Modeled_Demand],Table1[Key_Year_week_DC],Demand_Modeling_Week_level!$A349,Table1[BRAND],Demand_Modeling_Week_level!J$2)</f>
        <v>0</v>
      </c>
      <c r="K349">
        <f>SUMIFS(Table1[Modeled_Demand],Table1[Key_Year_week_DC],Demand_Modeling_Week_level!$A349,Table1[BRAND],Demand_Modeling_Week_level!K$2)</f>
        <v>0</v>
      </c>
      <c r="L349">
        <f>SUMIFS(Table1[Demand],Table1[Key_Year_week_DC],Demand_Modeling_Week_level!$A349)</f>
        <v>0</v>
      </c>
      <c r="M349">
        <f t="shared" si="33"/>
        <v>0</v>
      </c>
      <c r="N349">
        <f>VLOOKUP(A349,Capacity!B:G,6,FALSE)</f>
        <v>0</v>
      </c>
      <c r="O349" s="20">
        <f t="shared" si="34"/>
        <v>0</v>
      </c>
      <c r="P349">
        <f t="shared" si="35"/>
        <v>0</v>
      </c>
    </row>
    <row r="350" spans="1:16" hidden="1" x14ac:dyDescent="0.3">
      <c r="A350" t="str">
        <f t="shared" si="31"/>
        <v>0-</v>
      </c>
      <c r="B350">
        <f t="shared" si="32"/>
        <v>0</v>
      </c>
      <c r="C350" s="11"/>
      <c r="D350" s="11"/>
      <c r="E350" s="11"/>
      <c r="F350">
        <f>SUMIFS(Table1[Modeled_Demand],Table1[Key_Year_week_DC],Demand_Modeling_Week_level!$A350,Table1[BRAND],Demand_Modeling_Week_level!F$2)</f>
        <v>0</v>
      </c>
      <c r="G350">
        <f>SUMIFS(Table1[Modeled_Demand],Table1[Key_Year_week_DC],Demand_Modeling_Week_level!$A350,Table1[BRAND],Demand_Modeling_Week_level!G$2)</f>
        <v>0</v>
      </c>
      <c r="H350">
        <f>SUMIFS(Table1[Modeled_Demand],Table1[Key_Year_week_DC],Demand_Modeling_Week_level!$A350,Table1[BRAND],Demand_Modeling_Week_level!H$2)</f>
        <v>0</v>
      </c>
      <c r="I350">
        <f>SUMIFS(Table1[Modeled_Demand],Table1[Key_Year_week_DC],Demand_Modeling_Week_level!$A350,Table1[BRAND],Demand_Modeling_Week_level!I$2)</f>
        <v>0</v>
      </c>
      <c r="J350">
        <f>SUMIFS(Table1[Modeled_Demand],Table1[Key_Year_week_DC],Demand_Modeling_Week_level!$A350,Table1[BRAND],Demand_Modeling_Week_level!J$2)</f>
        <v>0</v>
      </c>
      <c r="K350">
        <f>SUMIFS(Table1[Modeled_Demand],Table1[Key_Year_week_DC],Demand_Modeling_Week_level!$A350,Table1[BRAND],Demand_Modeling_Week_level!K$2)</f>
        <v>0</v>
      </c>
      <c r="L350">
        <f>SUMIFS(Table1[Demand],Table1[Key_Year_week_DC],Demand_Modeling_Week_level!$A350)</f>
        <v>0</v>
      </c>
      <c r="M350">
        <f t="shared" si="33"/>
        <v>0</v>
      </c>
      <c r="N350">
        <f>VLOOKUP(A350,Capacity!B:G,6,FALSE)</f>
        <v>0</v>
      </c>
      <c r="O350" s="20">
        <f t="shared" si="34"/>
        <v>0</v>
      </c>
      <c r="P350">
        <f t="shared" si="35"/>
        <v>0</v>
      </c>
    </row>
    <row r="351" spans="1:16" hidden="1" x14ac:dyDescent="0.3">
      <c r="A351" t="str">
        <f t="shared" si="31"/>
        <v>0-</v>
      </c>
      <c r="B351">
        <f t="shared" si="32"/>
        <v>0</v>
      </c>
      <c r="C351" s="11"/>
      <c r="D351" s="11"/>
      <c r="E351" s="11"/>
      <c r="F351">
        <f>SUMIFS(Table1[Modeled_Demand],Table1[Key_Year_week_DC],Demand_Modeling_Week_level!$A351,Table1[BRAND],Demand_Modeling_Week_level!F$2)</f>
        <v>0</v>
      </c>
      <c r="G351">
        <f>SUMIFS(Table1[Modeled_Demand],Table1[Key_Year_week_DC],Demand_Modeling_Week_level!$A351,Table1[BRAND],Demand_Modeling_Week_level!G$2)</f>
        <v>0</v>
      </c>
      <c r="H351">
        <f>SUMIFS(Table1[Modeled_Demand],Table1[Key_Year_week_DC],Demand_Modeling_Week_level!$A351,Table1[BRAND],Demand_Modeling_Week_level!H$2)</f>
        <v>0</v>
      </c>
      <c r="I351">
        <f>SUMIFS(Table1[Modeled_Demand],Table1[Key_Year_week_DC],Demand_Modeling_Week_level!$A351,Table1[BRAND],Demand_Modeling_Week_level!I$2)</f>
        <v>0</v>
      </c>
      <c r="J351">
        <f>SUMIFS(Table1[Modeled_Demand],Table1[Key_Year_week_DC],Demand_Modeling_Week_level!$A351,Table1[BRAND],Demand_Modeling_Week_level!J$2)</f>
        <v>0</v>
      </c>
      <c r="K351">
        <f>SUMIFS(Table1[Modeled_Demand],Table1[Key_Year_week_DC],Demand_Modeling_Week_level!$A351,Table1[BRAND],Demand_Modeling_Week_level!K$2)</f>
        <v>0</v>
      </c>
      <c r="L351">
        <f>SUMIFS(Table1[Demand],Table1[Key_Year_week_DC],Demand_Modeling_Week_level!$A351)</f>
        <v>0</v>
      </c>
      <c r="M351">
        <f t="shared" si="33"/>
        <v>0</v>
      </c>
      <c r="N351">
        <f>VLOOKUP(A351,Capacity!B:G,6,FALSE)</f>
        <v>0</v>
      </c>
      <c r="O351" s="20">
        <f t="shared" si="34"/>
        <v>0</v>
      </c>
      <c r="P351">
        <f t="shared" si="35"/>
        <v>0</v>
      </c>
    </row>
    <row r="352" spans="1:16" hidden="1" x14ac:dyDescent="0.3">
      <c r="A352" t="str">
        <f t="shared" si="31"/>
        <v>0-</v>
      </c>
      <c r="B352">
        <f t="shared" si="32"/>
        <v>0</v>
      </c>
      <c r="C352" s="11"/>
      <c r="D352" s="11"/>
      <c r="E352" s="11"/>
      <c r="F352">
        <f>SUMIFS(Table1[Modeled_Demand],Table1[Key_Year_week_DC],Demand_Modeling_Week_level!$A352,Table1[BRAND],Demand_Modeling_Week_level!F$2)</f>
        <v>0</v>
      </c>
      <c r="G352">
        <f>SUMIFS(Table1[Modeled_Demand],Table1[Key_Year_week_DC],Demand_Modeling_Week_level!$A352,Table1[BRAND],Demand_Modeling_Week_level!G$2)</f>
        <v>0</v>
      </c>
      <c r="H352">
        <f>SUMIFS(Table1[Modeled_Demand],Table1[Key_Year_week_DC],Demand_Modeling_Week_level!$A352,Table1[BRAND],Demand_Modeling_Week_level!H$2)</f>
        <v>0</v>
      </c>
      <c r="I352">
        <f>SUMIFS(Table1[Modeled_Demand],Table1[Key_Year_week_DC],Demand_Modeling_Week_level!$A352,Table1[BRAND],Demand_Modeling_Week_level!I$2)</f>
        <v>0</v>
      </c>
      <c r="J352">
        <f>SUMIFS(Table1[Modeled_Demand],Table1[Key_Year_week_DC],Demand_Modeling_Week_level!$A352,Table1[BRAND],Demand_Modeling_Week_level!J$2)</f>
        <v>0</v>
      </c>
      <c r="K352">
        <f>SUMIFS(Table1[Modeled_Demand],Table1[Key_Year_week_DC],Demand_Modeling_Week_level!$A352,Table1[BRAND],Demand_Modeling_Week_level!K$2)</f>
        <v>0</v>
      </c>
      <c r="L352">
        <f>SUMIFS(Table1[Demand],Table1[Key_Year_week_DC],Demand_Modeling_Week_level!$A352)</f>
        <v>0</v>
      </c>
      <c r="M352">
        <f t="shared" si="33"/>
        <v>0</v>
      </c>
      <c r="N352">
        <f>VLOOKUP(A352,Capacity!B:G,6,FALSE)</f>
        <v>0</v>
      </c>
      <c r="O352" s="20">
        <f t="shared" si="34"/>
        <v>0</v>
      </c>
      <c r="P352">
        <f t="shared" si="35"/>
        <v>0</v>
      </c>
    </row>
    <row r="353" spans="1:16" hidden="1" x14ac:dyDescent="0.3">
      <c r="A353" t="str">
        <f t="shared" si="31"/>
        <v>0-</v>
      </c>
      <c r="B353">
        <f t="shared" si="32"/>
        <v>0</v>
      </c>
      <c r="C353" s="11"/>
      <c r="D353" s="11"/>
      <c r="E353" s="11"/>
      <c r="F353">
        <f>SUMIFS(Table1[Modeled_Demand],Table1[Key_Year_week_DC],Demand_Modeling_Week_level!$A353,Table1[BRAND],Demand_Modeling_Week_level!F$2)</f>
        <v>0</v>
      </c>
      <c r="G353">
        <f>SUMIFS(Table1[Modeled_Demand],Table1[Key_Year_week_DC],Demand_Modeling_Week_level!$A353,Table1[BRAND],Demand_Modeling_Week_level!G$2)</f>
        <v>0</v>
      </c>
      <c r="H353">
        <f>SUMIFS(Table1[Modeled_Demand],Table1[Key_Year_week_DC],Demand_Modeling_Week_level!$A353,Table1[BRAND],Demand_Modeling_Week_level!H$2)</f>
        <v>0</v>
      </c>
      <c r="I353">
        <f>SUMIFS(Table1[Modeled_Demand],Table1[Key_Year_week_DC],Demand_Modeling_Week_level!$A353,Table1[BRAND],Demand_Modeling_Week_level!I$2)</f>
        <v>0</v>
      </c>
      <c r="J353">
        <f>SUMIFS(Table1[Modeled_Demand],Table1[Key_Year_week_DC],Demand_Modeling_Week_level!$A353,Table1[BRAND],Demand_Modeling_Week_level!J$2)</f>
        <v>0</v>
      </c>
      <c r="K353">
        <f>SUMIFS(Table1[Modeled_Demand],Table1[Key_Year_week_DC],Demand_Modeling_Week_level!$A353,Table1[BRAND],Demand_Modeling_Week_level!K$2)</f>
        <v>0</v>
      </c>
      <c r="L353">
        <f>SUMIFS(Table1[Demand],Table1[Key_Year_week_DC],Demand_Modeling_Week_level!$A353)</f>
        <v>0</v>
      </c>
      <c r="M353">
        <f t="shared" si="33"/>
        <v>0</v>
      </c>
      <c r="N353">
        <f>VLOOKUP(A353,Capacity!B:G,6,FALSE)</f>
        <v>0</v>
      </c>
      <c r="O353" s="20">
        <f t="shared" si="34"/>
        <v>0</v>
      </c>
      <c r="P353">
        <f t="shared" si="35"/>
        <v>0</v>
      </c>
    </row>
    <row r="354" spans="1:16" hidden="1" x14ac:dyDescent="0.3">
      <c r="A354" t="str">
        <f t="shared" si="31"/>
        <v>0-</v>
      </c>
      <c r="B354">
        <f t="shared" si="32"/>
        <v>0</v>
      </c>
      <c r="C354" s="11"/>
      <c r="D354" s="11"/>
      <c r="E354" s="11"/>
      <c r="F354">
        <f>SUMIFS(Table1[Modeled_Demand],Table1[Key_Year_week_DC],Demand_Modeling_Week_level!$A354,Table1[BRAND],Demand_Modeling_Week_level!F$2)</f>
        <v>0</v>
      </c>
      <c r="G354">
        <f>SUMIFS(Table1[Modeled_Demand],Table1[Key_Year_week_DC],Demand_Modeling_Week_level!$A354,Table1[BRAND],Demand_Modeling_Week_level!G$2)</f>
        <v>0</v>
      </c>
      <c r="H354">
        <f>SUMIFS(Table1[Modeled_Demand],Table1[Key_Year_week_DC],Demand_Modeling_Week_level!$A354,Table1[BRAND],Demand_Modeling_Week_level!H$2)</f>
        <v>0</v>
      </c>
      <c r="I354">
        <f>SUMIFS(Table1[Modeled_Demand],Table1[Key_Year_week_DC],Demand_Modeling_Week_level!$A354,Table1[BRAND],Demand_Modeling_Week_level!I$2)</f>
        <v>0</v>
      </c>
      <c r="J354">
        <f>SUMIFS(Table1[Modeled_Demand],Table1[Key_Year_week_DC],Demand_Modeling_Week_level!$A354,Table1[BRAND],Demand_Modeling_Week_level!J$2)</f>
        <v>0</v>
      </c>
      <c r="K354">
        <f>SUMIFS(Table1[Modeled_Demand],Table1[Key_Year_week_DC],Demand_Modeling_Week_level!$A354,Table1[BRAND],Demand_Modeling_Week_level!K$2)</f>
        <v>0</v>
      </c>
      <c r="L354">
        <f>SUMIFS(Table1[Demand],Table1[Key_Year_week_DC],Demand_Modeling_Week_level!$A354)</f>
        <v>0</v>
      </c>
      <c r="M354">
        <f t="shared" si="33"/>
        <v>0</v>
      </c>
      <c r="N354">
        <f>VLOOKUP(A354,Capacity!B:G,6,FALSE)</f>
        <v>0</v>
      </c>
      <c r="O354" s="20">
        <f t="shared" si="34"/>
        <v>0</v>
      </c>
      <c r="P354">
        <f t="shared" si="35"/>
        <v>0</v>
      </c>
    </row>
    <row r="355" spans="1:16" hidden="1" x14ac:dyDescent="0.3">
      <c r="A355" t="str">
        <f t="shared" si="31"/>
        <v>0-</v>
      </c>
      <c r="B355">
        <f t="shared" si="32"/>
        <v>0</v>
      </c>
      <c r="C355" s="11"/>
      <c r="D355" s="11"/>
      <c r="E355" s="11"/>
      <c r="F355">
        <f>SUMIFS(Table1[Modeled_Demand],Table1[Key_Year_week_DC],Demand_Modeling_Week_level!$A355,Table1[BRAND],Demand_Modeling_Week_level!F$2)</f>
        <v>0</v>
      </c>
      <c r="G355">
        <f>SUMIFS(Table1[Modeled_Demand],Table1[Key_Year_week_DC],Demand_Modeling_Week_level!$A355,Table1[BRAND],Demand_Modeling_Week_level!G$2)</f>
        <v>0</v>
      </c>
      <c r="H355">
        <f>SUMIFS(Table1[Modeled_Demand],Table1[Key_Year_week_DC],Demand_Modeling_Week_level!$A355,Table1[BRAND],Demand_Modeling_Week_level!H$2)</f>
        <v>0</v>
      </c>
      <c r="I355">
        <f>SUMIFS(Table1[Modeled_Demand],Table1[Key_Year_week_DC],Demand_Modeling_Week_level!$A355,Table1[BRAND],Demand_Modeling_Week_level!I$2)</f>
        <v>0</v>
      </c>
      <c r="J355">
        <f>SUMIFS(Table1[Modeled_Demand],Table1[Key_Year_week_DC],Demand_Modeling_Week_level!$A355,Table1[BRAND],Demand_Modeling_Week_level!J$2)</f>
        <v>0</v>
      </c>
      <c r="K355">
        <f>SUMIFS(Table1[Modeled_Demand],Table1[Key_Year_week_DC],Demand_Modeling_Week_level!$A355,Table1[BRAND],Demand_Modeling_Week_level!K$2)</f>
        <v>0</v>
      </c>
      <c r="L355">
        <f>SUMIFS(Table1[Demand],Table1[Key_Year_week_DC],Demand_Modeling_Week_level!$A355)</f>
        <v>0</v>
      </c>
      <c r="M355">
        <f t="shared" si="33"/>
        <v>0</v>
      </c>
      <c r="N355">
        <f>VLOOKUP(A355,Capacity!B:G,6,FALSE)</f>
        <v>0</v>
      </c>
      <c r="O355" s="20">
        <f t="shared" si="34"/>
        <v>0</v>
      </c>
      <c r="P355">
        <f t="shared" si="35"/>
        <v>0</v>
      </c>
    </row>
    <row r="356" spans="1:16" hidden="1" x14ac:dyDescent="0.3">
      <c r="A356" t="str">
        <f t="shared" ref="A356:A362" si="36">B356&amp;"-"&amp;C356</f>
        <v>0-</v>
      </c>
      <c r="B356">
        <f t="shared" ref="B356:B362" si="37">D356*100+E356</f>
        <v>0</v>
      </c>
      <c r="C356" s="11"/>
      <c r="D356" s="11"/>
      <c r="E356" s="11"/>
      <c r="F356">
        <f>SUMIFS(Table1[Modeled_Demand],Table1[Key_Year_week_DC],Demand_Modeling_Week_level!$A356,Table1[BRAND],Demand_Modeling_Week_level!F$2)</f>
        <v>0</v>
      </c>
      <c r="G356">
        <f>SUMIFS(Table1[Modeled_Demand],Table1[Key_Year_week_DC],Demand_Modeling_Week_level!$A356,Table1[BRAND],Demand_Modeling_Week_level!G$2)</f>
        <v>0</v>
      </c>
      <c r="H356">
        <f>SUMIFS(Table1[Modeled_Demand],Table1[Key_Year_week_DC],Demand_Modeling_Week_level!$A356,Table1[BRAND],Demand_Modeling_Week_level!H$2)</f>
        <v>0</v>
      </c>
      <c r="I356">
        <f>SUMIFS(Table1[Modeled_Demand],Table1[Key_Year_week_DC],Demand_Modeling_Week_level!$A356,Table1[BRAND],Demand_Modeling_Week_level!I$2)</f>
        <v>0</v>
      </c>
      <c r="J356">
        <f>SUMIFS(Table1[Modeled_Demand],Table1[Key_Year_week_DC],Demand_Modeling_Week_level!$A356,Table1[BRAND],Demand_Modeling_Week_level!J$2)</f>
        <v>0</v>
      </c>
      <c r="K356">
        <f>SUMIFS(Table1[Modeled_Demand],Table1[Key_Year_week_DC],Demand_Modeling_Week_level!$A356,Table1[BRAND],Demand_Modeling_Week_level!K$2)</f>
        <v>0</v>
      </c>
      <c r="L356">
        <f>SUMIFS(Table1[Demand],Table1[Key_Year_week_DC],Demand_Modeling_Week_level!$A356)</f>
        <v>0</v>
      </c>
      <c r="M356">
        <f t="shared" si="33"/>
        <v>0</v>
      </c>
      <c r="N356">
        <f>VLOOKUP(A356,Capacity!B:G,6,FALSE)</f>
        <v>0</v>
      </c>
      <c r="O356" s="20">
        <f t="shared" si="34"/>
        <v>0</v>
      </c>
      <c r="P356">
        <f t="shared" si="35"/>
        <v>0</v>
      </c>
    </row>
    <row r="357" spans="1:16" hidden="1" x14ac:dyDescent="0.3">
      <c r="A357" t="str">
        <f t="shared" si="36"/>
        <v>0-</v>
      </c>
      <c r="B357">
        <f t="shared" si="37"/>
        <v>0</v>
      </c>
      <c r="C357" s="11"/>
      <c r="D357" s="11"/>
      <c r="E357" s="11"/>
      <c r="F357">
        <f>SUMIFS(Table1[Modeled_Demand],Table1[Key_Year_week_DC],Demand_Modeling_Week_level!$A357,Table1[BRAND],Demand_Modeling_Week_level!F$2)</f>
        <v>0</v>
      </c>
      <c r="G357">
        <f>SUMIFS(Table1[Modeled_Demand],Table1[Key_Year_week_DC],Demand_Modeling_Week_level!$A357,Table1[BRAND],Demand_Modeling_Week_level!G$2)</f>
        <v>0</v>
      </c>
      <c r="H357">
        <f>SUMIFS(Table1[Modeled_Demand],Table1[Key_Year_week_DC],Demand_Modeling_Week_level!$A357,Table1[BRAND],Demand_Modeling_Week_level!H$2)</f>
        <v>0</v>
      </c>
      <c r="I357">
        <f>SUMIFS(Table1[Modeled_Demand],Table1[Key_Year_week_DC],Demand_Modeling_Week_level!$A357,Table1[BRAND],Demand_Modeling_Week_level!I$2)</f>
        <v>0</v>
      </c>
      <c r="J357">
        <f>SUMIFS(Table1[Modeled_Demand],Table1[Key_Year_week_DC],Demand_Modeling_Week_level!$A357,Table1[BRAND],Demand_Modeling_Week_level!J$2)</f>
        <v>0</v>
      </c>
      <c r="K357">
        <f>SUMIFS(Table1[Modeled_Demand],Table1[Key_Year_week_DC],Demand_Modeling_Week_level!$A357,Table1[BRAND],Demand_Modeling_Week_level!K$2)</f>
        <v>0</v>
      </c>
      <c r="L357">
        <f>SUMIFS(Table1[Demand],Table1[Key_Year_week_DC],Demand_Modeling_Week_level!$A357)</f>
        <v>0</v>
      </c>
      <c r="M357">
        <f t="shared" si="33"/>
        <v>0</v>
      </c>
      <c r="N357">
        <f>VLOOKUP(A357,Capacity!B:G,6,FALSE)</f>
        <v>0</v>
      </c>
      <c r="O357" s="20">
        <f t="shared" si="34"/>
        <v>0</v>
      </c>
      <c r="P357">
        <f t="shared" si="35"/>
        <v>0</v>
      </c>
    </row>
    <row r="358" spans="1:16" hidden="1" x14ac:dyDescent="0.3">
      <c r="A358" t="str">
        <f t="shared" si="36"/>
        <v>0-</v>
      </c>
      <c r="B358">
        <f t="shared" si="37"/>
        <v>0</v>
      </c>
      <c r="C358" s="11"/>
      <c r="D358" s="11"/>
      <c r="E358" s="11"/>
      <c r="F358">
        <f>SUMIFS(Table1[Modeled_Demand],Table1[Key_Year_week_DC],Demand_Modeling_Week_level!$A358,Table1[BRAND],Demand_Modeling_Week_level!F$2)</f>
        <v>0</v>
      </c>
      <c r="G358">
        <f>SUMIFS(Table1[Modeled_Demand],Table1[Key_Year_week_DC],Demand_Modeling_Week_level!$A358,Table1[BRAND],Demand_Modeling_Week_level!G$2)</f>
        <v>0</v>
      </c>
      <c r="H358">
        <f>SUMIFS(Table1[Modeled_Demand],Table1[Key_Year_week_DC],Demand_Modeling_Week_level!$A358,Table1[BRAND],Demand_Modeling_Week_level!H$2)</f>
        <v>0</v>
      </c>
      <c r="I358">
        <f>SUMIFS(Table1[Modeled_Demand],Table1[Key_Year_week_DC],Demand_Modeling_Week_level!$A358,Table1[BRAND],Demand_Modeling_Week_level!I$2)</f>
        <v>0</v>
      </c>
      <c r="J358">
        <f>SUMIFS(Table1[Modeled_Demand],Table1[Key_Year_week_DC],Demand_Modeling_Week_level!$A358,Table1[BRAND],Demand_Modeling_Week_level!J$2)</f>
        <v>0</v>
      </c>
      <c r="K358">
        <f>SUMIFS(Table1[Modeled_Demand],Table1[Key_Year_week_DC],Demand_Modeling_Week_level!$A358,Table1[BRAND],Demand_Modeling_Week_level!K$2)</f>
        <v>0</v>
      </c>
      <c r="L358">
        <f>SUMIFS(Table1[Demand],Table1[Key_Year_week_DC],Demand_Modeling_Week_level!$A358)</f>
        <v>0</v>
      </c>
      <c r="M358">
        <f t="shared" si="33"/>
        <v>0</v>
      </c>
      <c r="N358">
        <f>VLOOKUP(A358,Capacity!B:G,6,FALSE)</f>
        <v>0</v>
      </c>
      <c r="O358" s="20">
        <f t="shared" si="34"/>
        <v>0</v>
      </c>
      <c r="P358">
        <f t="shared" si="35"/>
        <v>0</v>
      </c>
    </row>
    <row r="359" spans="1:16" hidden="1" x14ac:dyDescent="0.3">
      <c r="A359" t="str">
        <f t="shared" si="36"/>
        <v>0-</v>
      </c>
      <c r="B359">
        <f t="shared" si="37"/>
        <v>0</v>
      </c>
      <c r="C359" s="11"/>
      <c r="D359" s="11"/>
      <c r="E359" s="11"/>
      <c r="F359">
        <f>SUMIFS(Table1[Modeled_Demand],Table1[Key_Year_week_DC],Demand_Modeling_Week_level!$A359,Table1[BRAND],Demand_Modeling_Week_level!F$2)</f>
        <v>0</v>
      </c>
      <c r="G359">
        <f>SUMIFS(Table1[Modeled_Demand],Table1[Key_Year_week_DC],Demand_Modeling_Week_level!$A359,Table1[BRAND],Demand_Modeling_Week_level!G$2)</f>
        <v>0</v>
      </c>
      <c r="H359">
        <f>SUMIFS(Table1[Modeled_Demand],Table1[Key_Year_week_DC],Demand_Modeling_Week_level!$A359,Table1[BRAND],Demand_Modeling_Week_level!H$2)</f>
        <v>0</v>
      </c>
      <c r="I359">
        <f>SUMIFS(Table1[Modeled_Demand],Table1[Key_Year_week_DC],Demand_Modeling_Week_level!$A359,Table1[BRAND],Demand_Modeling_Week_level!I$2)</f>
        <v>0</v>
      </c>
      <c r="J359">
        <f>SUMIFS(Table1[Modeled_Demand],Table1[Key_Year_week_DC],Demand_Modeling_Week_level!$A359,Table1[BRAND],Demand_Modeling_Week_level!J$2)</f>
        <v>0</v>
      </c>
      <c r="K359">
        <f>SUMIFS(Table1[Modeled_Demand],Table1[Key_Year_week_DC],Demand_Modeling_Week_level!$A359,Table1[BRAND],Demand_Modeling_Week_level!K$2)</f>
        <v>0</v>
      </c>
      <c r="L359">
        <f>SUMIFS(Table1[Demand],Table1[Key_Year_week_DC],Demand_Modeling_Week_level!$A359)</f>
        <v>0</v>
      </c>
      <c r="M359">
        <f t="shared" si="33"/>
        <v>0</v>
      </c>
      <c r="N359">
        <f>VLOOKUP(A359,Capacity!B:G,6,FALSE)</f>
        <v>0</v>
      </c>
      <c r="O359" s="20">
        <f t="shared" si="34"/>
        <v>0</v>
      </c>
      <c r="P359">
        <f t="shared" si="35"/>
        <v>0</v>
      </c>
    </row>
    <row r="360" spans="1:16" hidden="1" x14ac:dyDescent="0.3">
      <c r="A360" t="str">
        <f t="shared" si="36"/>
        <v>0-</v>
      </c>
      <c r="B360">
        <f t="shared" si="37"/>
        <v>0</v>
      </c>
      <c r="C360" s="11"/>
      <c r="D360" s="11"/>
      <c r="E360" s="11"/>
      <c r="F360">
        <f>SUMIFS(Table1[Modeled_Demand],Table1[Key_Year_week_DC],Demand_Modeling_Week_level!$A360,Table1[BRAND],Demand_Modeling_Week_level!F$2)</f>
        <v>0</v>
      </c>
      <c r="G360">
        <f>SUMIFS(Table1[Modeled_Demand],Table1[Key_Year_week_DC],Demand_Modeling_Week_level!$A360,Table1[BRAND],Demand_Modeling_Week_level!G$2)</f>
        <v>0</v>
      </c>
      <c r="H360">
        <f>SUMIFS(Table1[Modeled_Demand],Table1[Key_Year_week_DC],Demand_Modeling_Week_level!$A360,Table1[BRAND],Demand_Modeling_Week_level!H$2)</f>
        <v>0</v>
      </c>
      <c r="I360">
        <f>SUMIFS(Table1[Modeled_Demand],Table1[Key_Year_week_DC],Demand_Modeling_Week_level!$A360,Table1[BRAND],Demand_Modeling_Week_level!I$2)</f>
        <v>0</v>
      </c>
      <c r="J360">
        <f>SUMIFS(Table1[Modeled_Demand],Table1[Key_Year_week_DC],Demand_Modeling_Week_level!$A360,Table1[BRAND],Demand_Modeling_Week_level!J$2)</f>
        <v>0</v>
      </c>
      <c r="K360">
        <f>SUMIFS(Table1[Modeled_Demand],Table1[Key_Year_week_DC],Demand_Modeling_Week_level!$A360,Table1[BRAND],Demand_Modeling_Week_level!K$2)</f>
        <v>0</v>
      </c>
      <c r="L360">
        <f>SUMIFS(Table1[Demand],Table1[Key_Year_week_DC],Demand_Modeling_Week_level!$A360)</f>
        <v>0</v>
      </c>
      <c r="M360">
        <f t="shared" si="33"/>
        <v>0</v>
      </c>
      <c r="N360">
        <f>VLOOKUP(A360,Capacity!B:G,6,FALSE)</f>
        <v>0</v>
      </c>
      <c r="O360" s="20">
        <f t="shared" si="34"/>
        <v>0</v>
      </c>
      <c r="P360">
        <f t="shared" si="35"/>
        <v>0</v>
      </c>
    </row>
    <row r="361" spans="1:16" hidden="1" x14ac:dyDescent="0.3">
      <c r="A361" t="str">
        <f t="shared" si="36"/>
        <v>0-</v>
      </c>
      <c r="B361">
        <f t="shared" si="37"/>
        <v>0</v>
      </c>
      <c r="C361" s="11"/>
      <c r="D361" s="11"/>
      <c r="E361" s="11"/>
      <c r="F361">
        <f>SUMIFS(Table1[Modeled_Demand],Table1[Key_Year_week_DC],Demand_Modeling_Week_level!$A361,Table1[BRAND],Demand_Modeling_Week_level!F$2)</f>
        <v>0</v>
      </c>
      <c r="G361">
        <f>SUMIFS(Table1[Modeled_Demand],Table1[Key_Year_week_DC],Demand_Modeling_Week_level!$A361,Table1[BRAND],Demand_Modeling_Week_level!G$2)</f>
        <v>0</v>
      </c>
      <c r="H361">
        <f>SUMIFS(Table1[Modeled_Demand],Table1[Key_Year_week_DC],Demand_Modeling_Week_level!$A361,Table1[BRAND],Demand_Modeling_Week_level!H$2)</f>
        <v>0</v>
      </c>
      <c r="I361">
        <f>SUMIFS(Table1[Modeled_Demand],Table1[Key_Year_week_DC],Demand_Modeling_Week_level!$A361,Table1[BRAND],Demand_Modeling_Week_level!I$2)</f>
        <v>0</v>
      </c>
      <c r="J361">
        <f>SUMIFS(Table1[Modeled_Demand],Table1[Key_Year_week_DC],Demand_Modeling_Week_level!$A361,Table1[BRAND],Demand_Modeling_Week_level!J$2)</f>
        <v>0</v>
      </c>
      <c r="K361">
        <f>SUMIFS(Table1[Modeled_Demand],Table1[Key_Year_week_DC],Demand_Modeling_Week_level!$A361,Table1[BRAND],Demand_Modeling_Week_level!K$2)</f>
        <v>0</v>
      </c>
      <c r="L361">
        <f>SUMIFS(Table1[Demand],Table1[Key_Year_week_DC],Demand_Modeling_Week_level!$A361)</f>
        <v>0</v>
      </c>
      <c r="M361">
        <f t="shared" si="33"/>
        <v>0</v>
      </c>
      <c r="N361">
        <f>VLOOKUP(A361,Capacity!B:G,6,FALSE)</f>
        <v>0</v>
      </c>
      <c r="O361" s="20">
        <f t="shared" si="34"/>
        <v>0</v>
      </c>
      <c r="P361">
        <f t="shared" si="35"/>
        <v>0</v>
      </c>
    </row>
    <row r="362" spans="1:16" hidden="1" x14ac:dyDescent="0.3">
      <c r="A362" t="str">
        <f t="shared" si="36"/>
        <v>0-</v>
      </c>
      <c r="B362">
        <f t="shared" si="37"/>
        <v>0</v>
      </c>
      <c r="C362" s="11"/>
      <c r="D362" s="11"/>
      <c r="E362" s="11"/>
      <c r="F362">
        <f>SUMIFS(Table1[Modeled_Demand],Table1[Key_Year_week_DC],Demand_Modeling_Week_level!$A362,Table1[BRAND],Demand_Modeling_Week_level!F$2)</f>
        <v>0</v>
      </c>
      <c r="G362">
        <f>SUMIFS(Table1[Modeled_Demand],Table1[Key_Year_week_DC],Demand_Modeling_Week_level!$A362,Table1[BRAND],Demand_Modeling_Week_level!G$2)</f>
        <v>0</v>
      </c>
      <c r="H362">
        <f>SUMIFS(Table1[Modeled_Demand],Table1[Key_Year_week_DC],Demand_Modeling_Week_level!$A362,Table1[BRAND],Demand_Modeling_Week_level!H$2)</f>
        <v>0</v>
      </c>
      <c r="I362">
        <f>SUMIFS(Table1[Modeled_Demand],Table1[Key_Year_week_DC],Demand_Modeling_Week_level!$A362,Table1[BRAND],Demand_Modeling_Week_level!I$2)</f>
        <v>0</v>
      </c>
      <c r="J362">
        <f>SUMIFS(Table1[Modeled_Demand],Table1[Key_Year_week_DC],Demand_Modeling_Week_level!$A362,Table1[BRAND],Demand_Modeling_Week_level!J$2)</f>
        <v>0</v>
      </c>
      <c r="K362">
        <f>SUMIFS(Table1[Modeled_Demand],Table1[Key_Year_week_DC],Demand_Modeling_Week_level!$A362,Table1[BRAND],Demand_Modeling_Week_level!K$2)</f>
        <v>0</v>
      </c>
      <c r="L362">
        <f>SUMIFS(Table1[Demand],Table1[Key_Year_week_DC],Demand_Modeling_Week_level!$A362)</f>
        <v>0</v>
      </c>
      <c r="M362">
        <f t="shared" si="33"/>
        <v>0</v>
      </c>
      <c r="N362">
        <f>VLOOKUP(A362,Capacity!B:G,6,FALSE)</f>
        <v>0</v>
      </c>
      <c r="O362" s="20">
        <f t="shared" si="34"/>
        <v>0</v>
      </c>
      <c r="P362">
        <f t="shared" si="35"/>
        <v>0</v>
      </c>
    </row>
    <row r="363" spans="1:16" hidden="1" x14ac:dyDescent="0.3">
      <c r="A363" t="str">
        <f>B363&amp;"-"&amp;C363</f>
        <v>0-</v>
      </c>
      <c r="B363">
        <f>D363*100+E363</f>
        <v>0</v>
      </c>
      <c r="C363" s="11"/>
      <c r="D363" s="11"/>
      <c r="E363" s="11"/>
      <c r="F363">
        <f>SUMIFS(Table1[Modeled_Demand],Table1[Key_Year_week_DC],Demand_Modeling_Week_level!$A363,Table1[BRAND],Demand_Modeling_Week_level!F$2)</f>
        <v>0</v>
      </c>
      <c r="G363">
        <f>SUMIFS(Table1[Modeled_Demand],Table1[Key_Year_week_DC],Demand_Modeling_Week_level!$A363,Table1[BRAND],Demand_Modeling_Week_level!G$2)</f>
        <v>0</v>
      </c>
      <c r="H363">
        <f>SUMIFS(Table1[Modeled_Demand],Table1[Key_Year_week_DC],Demand_Modeling_Week_level!$A363,Table1[BRAND],Demand_Modeling_Week_level!H$2)</f>
        <v>0</v>
      </c>
      <c r="I363">
        <f>SUMIFS(Table1[Modeled_Demand],Table1[Key_Year_week_DC],Demand_Modeling_Week_level!$A363,Table1[BRAND],Demand_Modeling_Week_level!I$2)</f>
        <v>0</v>
      </c>
      <c r="J363">
        <f>SUMIFS(Table1[Modeled_Demand],Table1[Key_Year_week_DC],Demand_Modeling_Week_level!$A363,Table1[BRAND],Demand_Modeling_Week_level!J$2)</f>
        <v>0</v>
      </c>
      <c r="K363">
        <f>SUMIFS(Table1[Modeled_Demand],Table1[Key_Year_week_DC],Demand_Modeling_Week_level!$A363,Table1[BRAND],Demand_Modeling_Week_level!K$2)</f>
        <v>0</v>
      </c>
      <c r="L363">
        <f>SUMIFS(Table1[Demand],Table1[Key_Year_week_DC],Demand_Modeling_Week_level!$A363)</f>
        <v>0</v>
      </c>
      <c r="M363">
        <f t="shared" si="33"/>
        <v>0</v>
      </c>
      <c r="N363">
        <f>VLOOKUP(A363,Capacity!B:G,6,FALSE)</f>
        <v>0</v>
      </c>
      <c r="O363" s="20">
        <f t="shared" si="34"/>
        <v>0</v>
      </c>
      <c r="P363">
        <f t="shared" si="35"/>
        <v>0</v>
      </c>
    </row>
    <row r="364" spans="1:16" hidden="1" x14ac:dyDescent="0.3">
      <c r="A364" t="str">
        <f t="shared" ref="A364:A427" si="38">B364&amp;"-"&amp;C364</f>
        <v>0-</v>
      </c>
      <c r="B364">
        <f t="shared" ref="B364:B427" si="39">D364*100+E364</f>
        <v>0</v>
      </c>
      <c r="C364" s="11"/>
      <c r="D364" s="11"/>
      <c r="E364" s="11"/>
      <c r="F364">
        <f>SUMIFS(Table1[Modeled_Demand],Table1[Key_Year_week_DC],Demand_Modeling_Week_level!$A364,Table1[BRAND],Demand_Modeling_Week_level!F$2)</f>
        <v>0</v>
      </c>
      <c r="G364">
        <f>SUMIFS(Table1[Modeled_Demand],Table1[Key_Year_week_DC],Demand_Modeling_Week_level!$A364,Table1[BRAND],Demand_Modeling_Week_level!G$2)</f>
        <v>0</v>
      </c>
      <c r="H364">
        <f>SUMIFS(Table1[Modeled_Demand],Table1[Key_Year_week_DC],Demand_Modeling_Week_level!$A364,Table1[BRAND],Demand_Modeling_Week_level!H$2)</f>
        <v>0</v>
      </c>
      <c r="I364">
        <f>SUMIFS(Table1[Modeled_Demand],Table1[Key_Year_week_DC],Demand_Modeling_Week_level!$A364,Table1[BRAND],Demand_Modeling_Week_level!I$2)</f>
        <v>0</v>
      </c>
      <c r="J364">
        <f>SUMIFS(Table1[Modeled_Demand],Table1[Key_Year_week_DC],Demand_Modeling_Week_level!$A364,Table1[BRAND],Demand_Modeling_Week_level!J$2)</f>
        <v>0</v>
      </c>
      <c r="K364">
        <f>SUMIFS(Table1[Modeled_Demand],Table1[Key_Year_week_DC],Demand_Modeling_Week_level!$A364,Table1[BRAND],Demand_Modeling_Week_level!K$2)</f>
        <v>0</v>
      </c>
      <c r="L364">
        <f>SUMIFS(Table1[Demand],Table1[Key_Year_week_DC],Demand_Modeling_Week_level!$A364)</f>
        <v>0</v>
      </c>
      <c r="M364">
        <f t="shared" si="33"/>
        <v>0</v>
      </c>
      <c r="N364">
        <f>VLOOKUP(A364,Capacity!B:G,6,FALSE)</f>
        <v>0</v>
      </c>
      <c r="O364" s="20">
        <f t="shared" si="34"/>
        <v>0</v>
      </c>
      <c r="P364">
        <f t="shared" si="35"/>
        <v>0</v>
      </c>
    </row>
    <row r="365" spans="1:16" hidden="1" x14ac:dyDescent="0.3">
      <c r="A365" t="str">
        <f t="shared" si="38"/>
        <v>0-</v>
      </c>
      <c r="B365">
        <f t="shared" si="39"/>
        <v>0</v>
      </c>
      <c r="C365" s="11"/>
      <c r="D365" s="11"/>
      <c r="E365" s="11"/>
      <c r="F365">
        <f>SUMIFS(Table1[Modeled_Demand],Table1[Key_Year_week_DC],Demand_Modeling_Week_level!$A365,Table1[BRAND],Demand_Modeling_Week_level!F$2)</f>
        <v>0</v>
      </c>
      <c r="G365">
        <f>SUMIFS(Table1[Modeled_Demand],Table1[Key_Year_week_DC],Demand_Modeling_Week_level!$A365,Table1[BRAND],Demand_Modeling_Week_level!G$2)</f>
        <v>0</v>
      </c>
      <c r="H365">
        <f>SUMIFS(Table1[Modeled_Demand],Table1[Key_Year_week_DC],Demand_Modeling_Week_level!$A365,Table1[BRAND],Demand_Modeling_Week_level!H$2)</f>
        <v>0</v>
      </c>
      <c r="I365">
        <f>SUMIFS(Table1[Modeled_Demand],Table1[Key_Year_week_DC],Demand_Modeling_Week_level!$A365,Table1[BRAND],Demand_Modeling_Week_level!I$2)</f>
        <v>0</v>
      </c>
      <c r="J365">
        <f>SUMIFS(Table1[Modeled_Demand],Table1[Key_Year_week_DC],Demand_Modeling_Week_level!$A365,Table1[BRAND],Demand_Modeling_Week_level!J$2)</f>
        <v>0</v>
      </c>
      <c r="K365">
        <f>SUMIFS(Table1[Modeled_Demand],Table1[Key_Year_week_DC],Demand_Modeling_Week_level!$A365,Table1[BRAND],Demand_Modeling_Week_level!K$2)</f>
        <v>0</v>
      </c>
      <c r="L365">
        <f>SUMIFS(Table1[Demand],Table1[Key_Year_week_DC],Demand_Modeling_Week_level!$A365)</f>
        <v>0</v>
      </c>
      <c r="M365">
        <f t="shared" si="33"/>
        <v>0</v>
      </c>
      <c r="N365">
        <f>VLOOKUP(A365,Capacity!B:G,6,FALSE)</f>
        <v>0</v>
      </c>
      <c r="O365" s="20">
        <f t="shared" si="34"/>
        <v>0</v>
      </c>
      <c r="P365">
        <f t="shared" si="35"/>
        <v>0</v>
      </c>
    </row>
    <row r="366" spans="1:16" hidden="1" x14ac:dyDescent="0.3">
      <c r="A366" t="str">
        <f t="shared" si="38"/>
        <v>0-</v>
      </c>
      <c r="B366">
        <f t="shared" si="39"/>
        <v>0</v>
      </c>
      <c r="C366" s="11"/>
      <c r="D366" s="11"/>
      <c r="E366" s="11"/>
      <c r="F366">
        <f>SUMIFS(Table1[Modeled_Demand],Table1[Key_Year_week_DC],Demand_Modeling_Week_level!$A366,Table1[BRAND],Demand_Modeling_Week_level!F$2)</f>
        <v>0</v>
      </c>
      <c r="G366">
        <f>SUMIFS(Table1[Modeled_Demand],Table1[Key_Year_week_DC],Demand_Modeling_Week_level!$A366,Table1[BRAND],Demand_Modeling_Week_level!G$2)</f>
        <v>0</v>
      </c>
      <c r="H366">
        <f>SUMIFS(Table1[Modeled_Demand],Table1[Key_Year_week_DC],Demand_Modeling_Week_level!$A366,Table1[BRAND],Demand_Modeling_Week_level!H$2)</f>
        <v>0</v>
      </c>
      <c r="I366">
        <f>SUMIFS(Table1[Modeled_Demand],Table1[Key_Year_week_DC],Demand_Modeling_Week_level!$A366,Table1[BRAND],Demand_Modeling_Week_level!I$2)</f>
        <v>0</v>
      </c>
      <c r="J366">
        <f>SUMIFS(Table1[Modeled_Demand],Table1[Key_Year_week_DC],Demand_Modeling_Week_level!$A366,Table1[BRAND],Demand_Modeling_Week_level!J$2)</f>
        <v>0</v>
      </c>
      <c r="K366">
        <f>SUMIFS(Table1[Modeled_Demand],Table1[Key_Year_week_DC],Demand_Modeling_Week_level!$A366,Table1[BRAND],Demand_Modeling_Week_level!K$2)</f>
        <v>0</v>
      </c>
      <c r="L366">
        <f>SUMIFS(Table1[Demand],Table1[Key_Year_week_DC],Demand_Modeling_Week_level!$A366)</f>
        <v>0</v>
      </c>
      <c r="M366">
        <f t="shared" si="33"/>
        <v>0</v>
      </c>
      <c r="N366">
        <f>VLOOKUP(A366,Capacity!B:G,6,FALSE)</f>
        <v>0</v>
      </c>
      <c r="O366" s="20">
        <f t="shared" si="34"/>
        <v>0</v>
      </c>
      <c r="P366">
        <f t="shared" si="35"/>
        <v>0</v>
      </c>
    </row>
    <row r="367" spans="1:16" hidden="1" x14ac:dyDescent="0.3">
      <c r="A367" t="str">
        <f t="shared" si="38"/>
        <v>0-</v>
      </c>
      <c r="B367">
        <f t="shared" si="39"/>
        <v>0</v>
      </c>
      <c r="C367" s="11"/>
      <c r="D367" s="11"/>
      <c r="E367" s="11"/>
      <c r="F367">
        <f>SUMIFS(Table1[Modeled_Demand],Table1[Key_Year_week_DC],Demand_Modeling_Week_level!$A367,Table1[BRAND],Demand_Modeling_Week_level!F$2)</f>
        <v>0</v>
      </c>
      <c r="G367">
        <f>SUMIFS(Table1[Modeled_Demand],Table1[Key_Year_week_DC],Demand_Modeling_Week_level!$A367,Table1[BRAND],Demand_Modeling_Week_level!G$2)</f>
        <v>0</v>
      </c>
      <c r="H367">
        <f>SUMIFS(Table1[Modeled_Demand],Table1[Key_Year_week_DC],Demand_Modeling_Week_level!$A367,Table1[BRAND],Demand_Modeling_Week_level!H$2)</f>
        <v>0</v>
      </c>
      <c r="I367">
        <f>SUMIFS(Table1[Modeled_Demand],Table1[Key_Year_week_DC],Demand_Modeling_Week_level!$A367,Table1[BRAND],Demand_Modeling_Week_level!I$2)</f>
        <v>0</v>
      </c>
      <c r="J367">
        <f>SUMIFS(Table1[Modeled_Demand],Table1[Key_Year_week_DC],Demand_Modeling_Week_level!$A367,Table1[BRAND],Demand_Modeling_Week_level!J$2)</f>
        <v>0</v>
      </c>
      <c r="K367">
        <f>SUMIFS(Table1[Modeled_Demand],Table1[Key_Year_week_DC],Demand_Modeling_Week_level!$A367,Table1[BRAND],Demand_Modeling_Week_level!K$2)</f>
        <v>0</v>
      </c>
      <c r="L367">
        <f>SUMIFS(Table1[Demand],Table1[Key_Year_week_DC],Demand_Modeling_Week_level!$A367)</f>
        <v>0</v>
      </c>
      <c r="M367">
        <f t="shared" si="33"/>
        <v>0</v>
      </c>
      <c r="N367">
        <f>VLOOKUP(A367,Capacity!B:G,6,FALSE)</f>
        <v>0</v>
      </c>
      <c r="O367" s="20">
        <f t="shared" si="34"/>
        <v>0</v>
      </c>
      <c r="P367">
        <f t="shared" si="35"/>
        <v>0</v>
      </c>
    </row>
    <row r="368" spans="1:16" hidden="1" x14ac:dyDescent="0.3">
      <c r="A368" t="str">
        <f t="shared" si="38"/>
        <v>0-</v>
      </c>
      <c r="B368">
        <f t="shared" si="39"/>
        <v>0</v>
      </c>
      <c r="C368" s="11"/>
      <c r="D368" s="11"/>
      <c r="E368" s="11"/>
      <c r="F368">
        <f>SUMIFS(Table1[Modeled_Demand],Table1[Key_Year_week_DC],Demand_Modeling_Week_level!$A368,Table1[BRAND],Demand_Modeling_Week_level!F$2)</f>
        <v>0</v>
      </c>
      <c r="G368">
        <f>SUMIFS(Table1[Modeled_Demand],Table1[Key_Year_week_DC],Demand_Modeling_Week_level!$A368,Table1[BRAND],Demand_Modeling_Week_level!G$2)</f>
        <v>0</v>
      </c>
      <c r="H368">
        <f>SUMIFS(Table1[Modeled_Demand],Table1[Key_Year_week_DC],Demand_Modeling_Week_level!$A368,Table1[BRAND],Demand_Modeling_Week_level!H$2)</f>
        <v>0</v>
      </c>
      <c r="I368">
        <f>SUMIFS(Table1[Modeled_Demand],Table1[Key_Year_week_DC],Demand_Modeling_Week_level!$A368,Table1[BRAND],Demand_Modeling_Week_level!I$2)</f>
        <v>0</v>
      </c>
      <c r="J368">
        <f>SUMIFS(Table1[Modeled_Demand],Table1[Key_Year_week_DC],Demand_Modeling_Week_level!$A368,Table1[BRAND],Demand_Modeling_Week_level!J$2)</f>
        <v>0</v>
      </c>
      <c r="K368">
        <f>SUMIFS(Table1[Modeled_Demand],Table1[Key_Year_week_DC],Demand_Modeling_Week_level!$A368,Table1[BRAND],Demand_Modeling_Week_level!K$2)</f>
        <v>0</v>
      </c>
      <c r="L368">
        <f>SUMIFS(Table1[Demand],Table1[Key_Year_week_DC],Demand_Modeling_Week_level!$A368)</f>
        <v>0</v>
      </c>
      <c r="M368">
        <f t="shared" si="33"/>
        <v>0</v>
      </c>
      <c r="N368">
        <f>VLOOKUP(A368,Capacity!B:G,6,FALSE)</f>
        <v>0</v>
      </c>
      <c r="O368" s="20">
        <f t="shared" si="34"/>
        <v>0</v>
      </c>
      <c r="P368">
        <f t="shared" si="35"/>
        <v>0</v>
      </c>
    </row>
    <row r="369" spans="1:16" hidden="1" x14ac:dyDescent="0.3">
      <c r="A369" t="str">
        <f t="shared" si="38"/>
        <v>0-</v>
      </c>
      <c r="B369">
        <f t="shared" si="39"/>
        <v>0</v>
      </c>
      <c r="C369" s="11"/>
      <c r="D369" s="11"/>
      <c r="E369" s="11"/>
      <c r="F369">
        <f>SUMIFS(Table1[Modeled_Demand],Table1[Key_Year_week_DC],Demand_Modeling_Week_level!$A369,Table1[BRAND],Demand_Modeling_Week_level!F$2)</f>
        <v>0</v>
      </c>
      <c r="G369">
        <f>SUMIFS(Table1[Modeled_Demand],Table1[Key_Year_week_DC],Demand_Modeling_Week_level!$A369,Table1[BRAND],Demand_Modeling_Week_level!G$2)</f>
        <v>0</v>
      </c>
      <c r="H369">
        <f>SUMIFS(Table1[Modeled_Demand],Table1[Key_Year_week_DC],Demand_Modeling_Week_level!$A369,Table1[BRAND],Demand_Modeling_Week_level!H$2)</f>
        <v>0</v>
      </c>
      <c r="I369">
        <f>SUMIFS(Table1[Modeled_Demand],Table1[Key_Year_week_DC],Demand_Modeling_Week_level!$A369,Table1[BRAND],Demand_Modeling_Week_level!I$2)</f>
        <v>0</v>
      </c>
      <c r="J369">
        <f>SUMIFS(Table1[Modeled_Demand],Table1[Key_Year_week_DC],Demand_Modeling_Week_level!$A369,Table1[BRAND],Demand_Modeling_Week_level!J$2)</f>
        <v>0</v>
      </c>
      <c r="K369">
        <f>SUMIFS(Table1[Modeled_Demand],Table1[Key_Year_week_DC],Demand_Modeling_Week_level!$A369,Table1[BRAND],Demand_Modeling_Week_level!K$2)</f>
        <v>0</v>
      </c>
      <c r="L369">
        <f>SUMIFS(Table1[Demand],Table1[Key_Year_week_DC],Demand_Modeling_Week_level!$A369)</f>
        <v>0</v>
      </c>
      <c r="M369">
        <f t="shared" si="33"/>
        <v>0</v>
      </c>
      <c r="N369">
        <f>VLOOKUP(A369,Capacity!B:G,6,FALSE)</f>
        <v>0</v>
      </c>
      <c r="O369" s="20">
        <f t="shared" si="34"/>
        <v>0</v>
      </c>
      <c r="P369">
        <f t="shared" si="35"/>
        <v>0</v>
      </c>
    </row>
    <row r="370" spans="1:16" hidden="1" x14ac:dyDescent="0.3">
      <c r="A370" t="str">
        <f t="shared" si="38"/>
        <v>0-</v>
      </c>
      <c r="B370">
        <f t="shared" si="39"/>
        <v>0</v>
      </c>
      <c r="C370" s="11"/>
      <c r="D370" s="11"/>
      <c r="E370" s="11"/>
      <c r="F370">
        <f>SUMIFS(Table1[Modeled_Demand],Table1[Key_Year_week_DC],Demand_Modeling_Week_level!$A370,Table1[BRAND],Demand_Modeling_Week_level!F$2)</f>
        <v>0</v>
      </c>
      <c r="G370">
        <f>SUMIFS(Table1[Modeled_Demand],Table1[Key_Year_week_DC],Demand_Modeling_Week_level!$A370,Table1[BRAND],Demand_Modeling_Week_level!G$2)</f>
        <v>0</v>
      </c>
      <c r="H370">
        <f>SUMIFS(Table1[Modeled_Demand],Table1[Key_Year_week_DC],Demand_Modeling_Week_level!$A370,Table1[BRAND],Demand_Modeling_Week_level!H$2)</f>
        <v>0</v>
      </c>
      <c r="I370">
        <f>SUMIFS(Table1[Modeled_Demand],Table1[Key_Year_week_DC],Demand_Modeling_Week_level!$A370,Table1[BRAND],Demand_Modeling_Week_level!I$2)</f>
        <v>0</v>
      </c>
      <c r="J370">
        <f>SUMIFS(Table1[Modeled_Demand],Table1[Key_Year_week_DC],Demand_Modeling_Week_level!$A370,Table1[BRAND],Demand_Modeling_Week_level!J$2)</f>
        <v>0</v>
      </c>
      <c r="K370">
        <f>SUMIFS(Table1[Modeled_Demand],Table1[Key_Year_week_DC],Demand_Modeling_Week_level!$A370,Table1[BRAND],Demand_Modeling_Week_level!K$2)</f>
        <v>0</v>
      </c>
      <c r="L370">
        <f>SUMIFS(Table1[Demand],Table1[Key_Year_week_DC],Demand_Modeling_Week_level!$A370)</f>
        <v>0</v>
      </c>
      <c r="M370">
        <f t="shared" si="33"/>
        <v>0</v>
      </c>
      <c r="N370">
        <f>VLOOKUP(A370,Capacity!B:G,6,FALSE)</f>
        <v>0</v>
      </c>
      <c r="O370" s="20">
        <f t="shared" si="34"/>
        <v>0</v>
      </c>
      <c r="P370">
        <f t="shared" si="35"/>
        <v>0</v>
      </c>
    </row>
    <row r="371" spans="1:16" hidden="1" x14ac:dyDescent="0.3">
      <c r="A371" t="str">
        <f t="shared" si="38"/>
        <v>0-</v>
      </c>
      <c r="B371">
        <f t="shared" si="39"/>
        <v>0</v>
      </c>
      <c r="C371" s="11"/>
      <c r="D371" s="11"/>
      <c r="E371" s="11"/>
      <c r="F371">
        <f>SUMIFS(Table1[Modeled_Demand],Table1[Key_Year_week_DC],Demand_Modeling_Week_level!$A371,Table1[BRAND],Demand_Modeling_Week_level!F$2)</f>
        <v>0</v>
      </c>
      <c r="G371">
        <f>SUMIFS(Table1[Modeled_Demand],Table1[Key_Year_week_DC],Demand_Modeling_Week_level!$A371,Table1[BRAND],Demand_Modeling_Week_level!G$2)</f>
        <v>0</v>
      </c>
      <c r="H371">
        <f>SUMIFS(Table1[Modeled_Demand],Table1[Key_Year_week_DC],Demand_Modeling_Week_level!$A371,Table1[BRAND],Demand_Modeling_Week_level!H$2)</f>
        <v>0</v>
      </c>
      <c r="I371">
        <f>SUMIFS(Table1[Modeled_Demand],Table1[Key_Year_week_DC],Demand_Modeling_Week_level!$A371,Table1[BRAND],Demand_Modeling_Week_level!I$2)</f>
        <v>0</v>
      </c>
      <c r="J371">
        <f>SUMIFS(Table1[Modeled_Demand],Table1[Key_Year_week_DC],Demand_Modeling_Week_level!$A371,Table1[BRAND],Demand_Modeling_Week_level!J$2)</f>
        <v>0</v>
      </c>
      <c r="K371">
        <f>SUMIFS(Table1[Modeled_Demand],Table1[Key_Year_week_DC],Demand_Modeling_Week_level!$A371,Table1[BRAND],Demand_Modeling_Week_level!K$2)</f>
        <v>0</v>
      </c>
      <c r="L371">
        <f>SUMIFS(Table1[Demand],Table1[Key_Year_week_DC],Demand_Modeling_Week_level!$A371)</f>
        <v>0</v>
      </c>
      <c r="M371">
        <f t="shared" si="33"/>
        <v>0</v>
      </c>
      <c r="N371">
        <f>VLOOKUP(A371,Capacity!B:G,6,FALSE)</f>
        <v>0</v>
      </c>
      <c r="O371" s="20">
        <f t="shared" si="34"/>
        <v>0</v>
      </c>
      <c r="P371">
        <f t="shared" si="35"/>
        <v>0</v>
      </c>
    </row>
    <row r="372" spans="1:16" hidden="1" x14ac:dyDescent="0.3">
      <c r="A372" t="str">
        <f t="shared" si="38"/>
        <v>0-</v>
      </c>
      <c r="B372">
        <f t="shared" si="39"/>
        <v>0</v>
      </c>
      <c r="C372" s="11"/>
      <c r="D372" s="11"/>
      <c r="E372" s="11"/>
      <c r="F372">
        <f>SUMIFS(Table1[Modeled_Demand],Table1[Key_Year_week_DC],Demand_Modeling_Week_level!$A372,Table1[BRAND],Demand_Modeling_Week_level!F$2)</f>
        <v>0</v>
      </c>
      <c r="G372">
        <f>SUMIFS(Table1[Modeled_Demand],Table1[Key_Year_week_DC],Demand_Modeling_Week_level!$A372,Table1[BRAND],Demand_Modeling_Week_level!G$2)</f>
        <v>0</v>
      </c>
      <c r="H372">
        <f>SUMIFS(Table1[Modeled_Demand],Table1[Key_Year_week_DC],Demand_Modeling_Week_level!$A372,Table1[BRAND],Demand_Modeling_Week_level!H$2)</f>
        <v>0</v>
      </c>
      <c r="I372">
        <f>SUMIFS(Table1[Modeled_Demand],Table1[Key_Year_week_DC],Demand_Modeling_Week_level!$A372,Table1[BRAND],Demand_Modeling_Week_level!I$2)</f>
        <v>0</v>
      </c>
      <c r="J372">
        <f>SUMIFS(Table1[Modeled_Demand],Table1[Key_Year_week_DC],Demand_Modeling_Week_level!$A372,Table1[BRAND],Demand_Modeling_Week_level!J$2)</f>
        <v>0</v>
      </c>
      <c r="K372">
        <f>SUMIFS(Table1[Modeled_Demand],Table1[Key_Year_week_DC],Demand_Modeling_Week_level!$A372,Table1[BRAND],Demand_Modeling_Week_level!K$2)</f>
        <v>0</v>
      </c>
      <c r="L372">
        <f>SUMIFS(Table1[Demand],Table1[Key_Year_week_DC],Demand_Modeling_Week_level!$A372)</f>
        <v>0</v>
      </c>
      <c r="M372">
        <f t="shared" si="33"/>
        <v>0</v>
      </c>
      <c r="N372">
        <f>VLOOKUP(A372,Capacity!B:G,6,FALSE)</f>
        <v>0</v>
      </c>
      <c r="O372" s="20">
        <f t="shared" si="34"/>
        <v>0</v>
      </c>
      <c r="P372">
        <f t="shared" si="35"/>
        <v>0</v>
      </c>
    </row>
    <row r="373" spans="1:16" hidden="1" x14ac:dyDescent="0.3">
      <c r="A373" t="str">
        <f t="shared" si="38"/>
        <v>0-</v>
      </c>
      <c r="B373">
        <f t="shared" si="39"/>
        <v>0</v>
      </c>
      <c r="C373" s="11"/>
      <c r="D373" s="11"/>
      <c r="E373" s="11"/>
      <c r="F373">
        <f>SUMIFS(Table1[Modeled_Demand],Table1[Key_Year_week_DC],Demand_Modeling_Week_level!$A373,Table1[BRAND],Demand_Modeling_Week_level!F$2)</f>
        <v>0</v>
      </c>
      <c r="G373">
        <f>SUMIFS(Table1[Modeled_Demand],Table1[Key_Year_week_DC],Demand_Modeling_Week_level!$A373,Table1[BRAND],Demand_Modeling_Week_level!G$2)</f>
        <v>0</v>
      </c>
      <c r="H373">
        <f>SUMIFS(Table1[Modeled_Demand],Table1[Key_Year_week_DC],Demand_Modeling_Week_level!$A373,Table1[BRAND],Demand_Modeling_Week_level!H$2)</f>
        <v>0</v>
      </c>
      <c r="I373">
        <f>SUMIFS(Table1[Modeled_Demand],Table1[Key_Year_week_DC],Demand_Modeling_Week_level!$A373,Table1[BRAND],Demand_Modeling_Week_level!I$2)</f>
        <v>0</v>
      </c>
      <c r="J373">
        <f>SUMIFS(Table1[Modeled_Demand],Table1[Key_Year_week_DC],Demand_Modeling_Week_level!$A373,Table1[BRAND],Demand_Modeling_Week_level!J$2)</f>
        <v>0</v>
      </c>
      <c r="K373">
        <f>SUMIFS(Table1[Modeled_Demand],Table1[Key_Year_week_DC],Demand_Modeling_Week_level!$A373,Table1[BRAND],Demand_Modeling_Week_level!K$2)</f>
        <v>0</v>
      </c>
      <c r="L373">
        <f>SUMIFS(Table1[Demand],Table1[Key_Year_week_DC],Demand_Modeling_Week_level!$A373)</f>
        <v>0</v>
      </c>
      <c r="M373">
        <f t="shared" si="33"/>
        <v>0</v>
      </c>
      <c r="N373">
        <f>VLOOKUP(A373,Capacity!B:G,6,FALSE)</f>
        <v>0</v>
      </c>
      <c r="O373" s="20">
        <f t="shared" si="34"/>
        <v>0</v>
      </c>
      <c r="P373">
        <f t="shared" si="35"/>
        <v>0</v>
      </c>
    </row>
    <row r="374" spans="1:16" hidden="1" x14ac:dyDescent="0.3">
      <c r="A374" t="str">
        <f t="shared" si="38"/>
        <v>0-</v>
      </c>
      <c r="B374">
        <f t="shared" si="39"/>
        <v>0</v>
      </c>
      <c r="C374" s="11"/>
      <c r="D374" s="11"/>
      <c r="E374" s="11"/>
      <c r="F374">
        <f>SUMIFS(Table1[Modeled_Demand],Table1[Key_Year_week_DC],Demand_Modeling_Week_level!$A374,Table1[BRAND],Demand_Modeling_Week_level!F$2)</f>
        <v>0</v>
      </c>
      <c r="G374">
        <f>SUMIFS(Table1[Modeled_Demand],Table1[Key_Year_week_DC],Demand_Modeling_Week_level!$A374,Table1[BRAND],Demand_Modeling_Week_level!G$2)</f>
        <v>0</v>
      </c>
      <c r="H374">
        <f>SUMIFS(Table1[Modeled_Demand],Table1[Key_Year_week_DC],Demand_Modeling_Week_level!$A374,Table1[BRAND],Demand_Modeling_Week_level!H$2)</f>
        <v>0</v>
      </c>
      <c r="I374">
        <f>SUMIFS(Table1[Modeled_Demand],Table1[Key_Year_week_DC],Demand_Modeling_Week_level!$A374,Table1[BRAND],Demand_Modeling_Week_level!I$2)</f>
        <v>0</v>
      </c>
      <c r="J374">
        <f>SUMIFS(Table1[Modeled_Demand],Table1[Key_Year_week_DC],Demand_Modeling_Week_level!$A374,Table1[BRAND],Demand_Modeling_Week_level!J$2)</f>
        <v>0</v>
      </c>
      <c r="K374">
        <f>SUMIFS(Table1[Modeled_Demand],Table1[Key_Year_week_DC],Demand_Modeling_Week_level!$A374,Table1[BRAND],Demand_Modeling_Week_level!K$2)</f>
        <v>0</v>
      </c>
      <c r="L374">
        <f>SUMIFS(Table1[Demand],Table1[Key_Year_week_DC],Demand_Modeling_Week_level!$A374)</f>
        <v>0</v>
      </c>
      <c r="M374">
        <f t="shared" si="33"/>
        <v>0</v>
      </c>
      <c r="N374">
        <f>VLOOKUP(A374,Capacity!B:G,6,FALSE)</f>
        <v>0</v>
      </c>
      <c r="O374" s="20">
        <f t="shared" si="34"/>
        <v>0</v>
      </c>
      <c r="P374">
        <f t="shared" si="35"/>
        <v>0</v>
      </c>
    </row>
    <row r="375" spans="1:16" hidden="1" x14ac:dyDescent="0.3">
      <c r="A375" t="str">
        <f t="shared" si="38"/>
        <v>0-</v>
      </c>
      <c r="B375">
        <f t="shared" si="39"/>
        <v>0</v>
      </c>
      <c r="C375" s="11"/>
      <c r="D375" s="11"/>
      <c r="E375" s="11"/>
      <c r="F375">
        <f>SUMIFS(Table1[Modeled_Demand],Table1[Key_Year_week_DC],Demand_Modeling_Week_level!$A375,Table1[BRAND],Demand_Modeling_Week_level!F$2)</f>
        <v>0</v>
      </c>
      <c r="G375">
        <f>SUMIFS(Table1[Modeled_Demand],Table1[Key_Year_week_DC],Demand_Modeling_Week_level!$A375,Table1[BRAND],Demand_Modeling_Week_level!G$2)</f>
        <v>0</v>
      </c>
      <c r="H375">
        <f>SUMIFS(Table1[Modeled_Demand],Table1[Key_Year_week_DC],Demand_Modeling_Week_level!$A375,Table1[BRAND],Demand_Modeling_Week_level!H$2)</f>
        <v>0</v>
      </c>
      <c r="I375">
        <f>SUMIFS(Table1[Modeled_Demand],Table1[Key_Year_week_DC],Demand_Modeling_Week_level!$A375,Table1[BRAND],Demand_Modeling_Week_level!I$2)</f>
        <v>0</v>
      </c>
      <c r="J375">
        <f>SUMIFS(Table1[Modeled_Demand],Table1[Key_Year_week_DC],Demand_Modeling_Week_level!$A375,Table1[BRAND],Demand_Modeling_Week_level!J$2)</f>
        <v>0</v>
      </c>
      <c r="K375">
        <f>SUMIFS(Table1[Modeled_Demand],Table1[Key_Year_week_DC],Demand_Modeling_Week_level!$A375,Table1[BRAND],Demand_Modeling_Week_level!K$2)</f>
        <v>0</v>
      </c>
      <c r="L375">
        <f>SUMIFS(Table1[Demand],Table1[Key_Year_week_DC],Demand_Modeling_Week_level!$A375)</f>
        <v>0</v>
      </c>
      <c r="M375">
        <f t="shared" si="33"/>
        <v>0</v>
      </c>
      <c r="N375">
        <f>VLOOKUP(A375,Capacity!B:G,6,FALSE)</f>
        <v>0</v>
      </c>
      <c r="O375" s="20">
        <f t="shared" si="34"/>
        <v>0</v>
      </c>
      <c r="P375">
        <f t="shared" si="35"/>
        <v>0</v>
      </c>
    </row>
    <row r="376" spans="1:16" hidden="1" x14ac:dyDescent="0.3">
      <c r="A376" t="str">
        <f t="shared" si="38"/>
        <v>0-</v>
      </c>
      <c r="B376">
        <f t="shared" si="39"/>
        <v>0</v>
      </c>
      <c r="C376" s="11"/>
      <c r="D376" s="11"/>
      <c r="E376" s="11"/>
      <c r="F376">
        <f>SUMIFS(Table1[Modeled_Demand],Table1[Key_Year_week_DC],Demand_Modeling_Week_level!$A376,Table1[BRAND],Demand_Modeling_Week_level!F$2)</f>
        <v>0</v>
      </c>
      <c r="G376">
        <f>SUMIFS(Table1[Modeled_Demand],Table1[Key_Year_week_DC],Demand_Modeling_Week_level!$A376,Table1[BRAND],Demand_Modeling_Week_level!G$2)</f>
        <v>0</v>
      </c>
      <c r="H376">
        <f>SUMIFS(Table1[Modeled_Demand],Table1[Key_Year_week_DC],Demand_Modeling_Week_level!$A376,Table1[BRAND],Demand_Modeling_Week_level!H$2)</f>
        <v>0</v>
      </c>
      <c r="I376">
        <f>SUMIFS(Table1[Modeled_Demand],Table1[Key_Year_week_DC],Demand_Modeling_Week_level!$A376,Table1[BRAND],Demand_Modeling_Week_level!I$2)</f>
        <v>0</v>
      </c>
      <c r="J376">
        <f>SUMIFS(Table1[Modeled_Demand],Table1[Key_Year_week_DC],Demand_Modeling_Week_level!$A376,Table1[BRAND],Demand_Modeling_Week_level!J$2)</f>
        <v>0</v>
      </c>
      <c r="K376">
        <f>SUMIFS(Table1[Modeled_Demand],Table1[Key_Year_week_DC],Demand_Modeling_Week_level!$A376,Table1[BRAND],Demand_Modeling_Week_level!K$2)</f>
        <v>0</v>
      </c>
      <c r="L376">
        <f>SUMIFS(Table1[Demand],Table1[Key_Year_week_DC],Demand_Modeling_Week_level!$A376)</f>
        <v>0</v>
      </c>
      <c r="M376">
        <f t="shared" si="33"/>
        <v>0</v>
      </c>
      <c r="N376">
        <f>VLOOKUP(A376,Capacity!B:G,6,FALSE)</f>
        <v>0</v>
      </c>
      <c r="O376" s="20">
        <f t="shared" si="34"/>
        <v>0</v>
      </c>
      <c r="P376">
        <f t="shared" si="35"/>
        <v>0</v>
      </c>
    </row>
    <row r="377" spans="1:16" hidden="1" x14ac:dyDescent="0.3">
      <c r="A377" t="str">
        <f t="shared" si="38"/>
        <v>0-</v>
      </c>
      <c r="B377">
        <f t="shared" si="39"/>
        <v>0</v>
      </c>
      <c r="C377" s="11"/>
      <c r="D377" s="11"/>
      <c r="E377" s="11"/>
      <c r="F377">
        <f>SUMIFS(Table1[Modeled_Demand],Table1[Key_Year_week_DC],Demand_Modeling_Week_level!$A377,Table1[BRAND],Demand_Modeling_Week_level!F$2)</f>
        <v>0</v>
      </c>
      <c r="G377">
        <f>SUMIFS(Table1[Modeled_Demand],Table1[Key_Year_week_DC],Demand_Modeling_Week_level!$A377,Table1[BRAND],Demand_Modeling_Week_level!G$2)</f>
        <v>0</v>
      </c>
      <c r="H377">
        <f>SUMIFS(Table1[Modeled_Demand],Table1[Key_Year_week_DC],Demand_Modeling_Week_level!$A377,Table1[BRAND],Demand_Modeling_Week_level!H$2)</f>
        <v>0</v>
      </c>
      <c r="I377">
        <f>SUMIFS(Table1[Modeled_Demand],Table1[Key_Year_week_DC],Demand_Modeling_Week_level!$A377,Table1[BRAND],Demand_Modeling_Week_level!I$2)</f>
        <v>0</v>
      </c>
      <c r="J377">
        <f>SUMIFS(Table1[Modeled_Demand],Table1[Key_Year_week_DC],Demand_Modeling_Week_level!$A377,Table1[BRAND],Demand_Modeling_Week_level!J$2)</f>
        <v>0</v>
      </c>
      <c r="K377">
        <f>SUMIFS(Table1[Modeled_Demand],Table1[Key_Year_week_DC],Demand_Modeling_Week_level!$A377,Table1[BRAND],Demand_Modeling_Week_level!K$2)</f>
        <v>0</v>
      </c>
      <c r="L377">
        <f>SUMIFS(Table1[Demand],Table1[Key_Year_week_DC],Demand_Modeling_Week_level!$A377)</f>
        <v>0</v>
      </c>
      <c r="M377">
        <f t="shared" si="33"/>
        <v>0</v>
      </c>
      <c r="N377">
        <f>VLOOKUP(A377,Capacity!B:G,6,FALSE)</f>
        <v>0</v>
      </c>
      <c r="O377" s="20">
        <f t="shared" si="34"/>
        <v>0</v>
      </c>
      <c r="P377">
        <f t="shared" si="35"/>
        <v>0</v>
      </c>
    </row>
    <row r="378" spans="1:16" hidden="1" x14ac:dyDescent="0.3">
      <c r="A378" t="str">
        <f t="shared" si="38"/>
        <v>0-</v>
      </c>
      <c r="B378">
        <f t="shared" si="39"/>
        <v>0</v>
      </c>
      <c r="C378" s="11"/>
      <c r="D378" s="11"/>
      <c r="E378" s="11"/>
      <c r="F378">
        <f>SUMIFS(Table1[Modeled_Demand],Table1[Key_Year_week_DC],Demand_Modeling_Week_level!$A378,Table1[BRAND],Demand_Modeling_Week_level!F$2)</f>
        <v>0</v>
      </c>
      <c r="G378">
        <f>SUMIFS(Table1[Modeled_Demand],Table1[Key_Year_week_DC],Demand_Modeling_Week_level!$A378,Table1[BRAND],Demand_Modeling_Week_level!G$2)</f>
        <v>0</v>
      </c>
      <c r="H378">
        <f>SUMIFS(Table1[Modeled_Demand],Table1[Key_Year_week_DC],Demand_Modeling_Week_level!$A378,Table1[BRAND],Demand_Modeling_Week_level!H$2)</f>
        <v>0</v>
      </c>
      <c r="I378">
        <f>SUMIFS(Table1[Modeled_Demand],Table1[Key_Year_week_DC],Demand_Modeling_Week_level!$A378,Table1[BRAND],Demand_Modeling_Week_level!I$2)</f>
        <v>0</v>
      </c>
      <c r="J378">
        <f>SUMIFS(Table1[Modeled_Demand],Table1[Key_Year_week_DC],Demand_Modeling_Week_level!$A378,Table1[BRAND],Demand_Modeling_Week_level!J$2)</f>
        <v>0</v>
      </c>
      <c r="K378">
        <f>SUMIFS(Table1[Modeled_Demand],Table1[Key_Year_week_DC],Demand_Modeling_Week_level!$A378,Table1[BRAND],Demand_Modeling_Week_level!K$2)</f>
        <v>0</v>
      </c>
      <c r="L378">
        <f>SUMIFS(Table1[Demand],Table1[Key_Year_week_DC],Demand_Modeling_Week_level!$A378)</f>
        <v>0</v>
      </c>
      <c r="M378">
        <f t="shared" si="33"/>
        <v>0</v>
      </c>
      <c r="N378">
        <f>VLOOKUP(A378,Capacity!B:G,6,FALSE)</f>
        <v>0</v>
      </c>
      <c r="O378" s="20">
        <f t="shared" si="34"/>
        <v>0</v>
      </c>
      <c r="P378">
        <f t="shared" si="35"/>
        <v>0</v>
      </c>
    </row>
    <row r="379" spans="1:16" hidden="1" x14ac:dyDescent="0.3">
      <c r="A379" t="str">
        <f t="shared" si="38"/>
        <v>0-</v>
      </c>
      <c r="B379">
        <f t="shared" si="39"/>
        <v>0</v>
      </c>
      <c r="C379" s="11"/>
      <c r="D379" s="11"/>
      <c r="E379" s="11"/>
      <c r="F379">
        <f>SUMIFS(Table1[Modeled_Demand],Table1[Key_Year_week_DC],Demand_Modeling_Week_level!$A379,Table1[BRAND],Demand_Modeling_Week_level!F$2)</f>
        <v>0</v>
      </c>
      <c r="G379">
        <f>SUMIFS(Table1[Modeled_Demand],Table1[Key_Year_week_DC],Demand_Modeling_Week_level!$A379,Table1[BRAND],Demand_Modeling_Week_level!G$2)</f>
        <v>0</v>
      </c>
      <c r="H379">
        <f>SUMIFS(Table1[Modeled_Demand],Table1[Key_Year_week_DC],Demand_Modeling_Week_level!$A379,Table1[BRAND],Demand_Modeling_Week_level!H$2)</f>
        <v>0</v>
      </c>
      <c r="I379">
        <f>SUMIFS(Table1[Modeled_Demand],Table1[Key_Year_week_DC],Demand_Modeling_Week_level!$A379,Table1[BRAND],Demand_Modeling_Week_level!I$2)</f>
        <v>0</v>
      </c>
      <c r="J379">
        <f>SUMIFS(Table1[Modeled_Demand],Table1[Key_Year_week_DC],Demand_Modeling_Week_level!$A379,Table1[BRAND],Demand_Modeling_Week_level!J$2)</f>
        <v>0</v>
      </c>
      <c r="K379">
        <f>SUMIFS(Table1[Modeled_Demand],Table1[Key_Year_week_DC],Demand_Modeling_Week_level!$A379,Table1[BRAND],Demand_Modeling_Week_level!K$2)</f>
        <v>0</v>
      </c>
      <c r="L379">
        <f>SUMIFS(Table1[Demand],Table1[Key_Year_week_DC],Demand_Modeling_Week_level!$A379)</f>
        <v>0</v>
      </c>
      <c r="M379">
        <f t="shared" si="33"/>
        <v>0</v>
      </c>
      <c r="N379">
        <f>VLOOKUP(A379,Capacity!B:G,6,FALSE)</f>
        <v>0</v>
      </c>
      <c r="O379" s="20">
        <f t="shared" si="34"/>
        <v>0</v>
      </c>
      <c r="P379">
        <f t="shared" si="35"/>
        <v>0</v>
      </c>
    </row>
    <row r="380" spans="1:16" hidden="1" x14ac:dyDescent="0.3">
      <c r="A380" t="str">
        <f t="shared" si="38"/>
        <v>0-</v>
      </c>
      <c r="B380">
        <f t="shared" si="39"/>
        <v>0</v>
      </c>
      <c r="C380" s="11"/>
      <c r="D380" s="11"/>
      <c r="E380" s="11"/>
      <c r="F380">
        <f>SUMIFS(Table1[Modeled_Demand],Table1[Key_Year_week_DC],Demand_Modeling_Week_level!$A380,Table1[BRAND],Demand_Modeling_Week_level!F$2)</f>
        <v>0</v>
      </c>
      <c r="G380">
        <f>SUMIFS(Table1[Modeled_Demand],Table1[Key_Year_week_DC],Demand_Modeling_Week_level!$A380,Table1[BRAND],Demand_Modeling_Week_level!G$2)</f>
        <v>0</v>
      </c>
      <c r="H380">
        <f>SUMIFS(Table1[Modeled_Demand],Table1[Key_Year_week_DC],Demand_Modeling_Week_level!$A380,Table1[BRAND],Demand_Modeling_Week_level!H$2)</f>
        <v>0</v>
      </c>
      <c r="I380">
        <f>SUMIFS(Table1[Modeled_Demand],Table1[Key_Year_week_DC],Demand_Modeling_Week_level!$A380,Table1[BRAND],Demand_Modeling_Week_level!I$2)</f>
        <v>0</v>
      </c>
      <c r="J380">
        <f>SUMIFS(Table1[Modeled_Demand],Table1[Key_Year_week_DC],Demand_Modeling_Week_level!$A380,Table1[BRAND],Demand_Modeling_Week_level!J$2)</f>
        <v>0</v>
      </c>
      <c r="K380">
        <f>SUMIFS(Table1[Modeled_Demand],Table1[Key_Year_week_DC],Demand_Modeling_Week_level!$A380,Table1[BRAND],Demand_Modeling_Week_level!K$2)</f>
        <v>0</v>
      </c>
      <c r="L380">
        <f>SUMIFS(Table1[Demand],Table1[Key_Year_week_DC],Demand_Modeling_Week_level!$A380)</f>
        <v>0</v>
      </c>
      <c r="M380">
        <f t="shared" si="33"/>
        <v>0</v>
      </c>
      <c r="N380">
        <f>VLOOKUP(A380,Capacity!B:G,6,FALSE)</f>
        <v>0</v>
      </c>
      <c r="O380" s="20">
        <f t="shared" si="34"/>
        <v>0</v>
      </c>
      <c r="P380">
        <f t="shared" si="35"/>
        <v>0</v>
      </c>
    </row>
    <row r="381" spans="1:16" hidden="1" x14ac:dyDescent="0.3">
      <c r="A381" t="str">
        <f t="shared" si="38"/>
        <v>0-</v>
      </c>
      <c r="B381">
        <f t="shared" si="39"/>
        <v>0</v>
      </c>
      <c r="C381" s="11"/>
      <c r="D381" s="11"/>
      <c r="E381" s="11"/>
      <c r="F381">
        <f>SUMIFS(Table1[Modeled_Demand],Table1[Key_Year_week_DC],Demand_Modeling_Week_level!$A381,Table1[BRAND],Demand_Modeling_Week_level!F$2)</f>
        <v>0</v>
      </c>
      <c r="G381">
        <f>SUMIFS(Table1[Modeled_Demand],Table1[Key_Year_week_DC],Demand_Modeling_Week_level!$A381,Table1[BRAND],Demand_Modeling_Week_level!G$2)</f>
        <v>0</v>
      </c>
      <c r="H381">
        <f>SUMIFS(Table1[Modeled_Demand],Table1[Key_Year_week_DC],Demand_Modeling_Week_level!$A381,Table1[BRAND],Demand_Modeling_Week_level!H$2)</f>
        <v>0</v>
      </c>
      <c r="I381">
        <f>SUMIFS(Table1[Modeled_Demand],Table1[Key_Year_week_DC],Demand_Modeling_Week_level!$A381,Table1[BRAND],Demand_Modeling_Week_level!I$2)</f>
        <v>0</v>
      </c>
      <c r="J381">
        <f>SUMIFS(Table1[Modeled_Demand],Table1[Key_Year_week_DC],Demand_Modeling_Week_level!$A381,Table1[BRAND],Demand_Modeling_Week_level!J$2)</f>
        <v>0</v>
      </c>
      <c r="K381">
        <f>SUMIFS(Table1[Modeled_Demand],Table1[Key_Year_week_DC],Demand_Modeling_Week_level!$A381,Table1[BRAND],Demand_Modeling_Week_level!K$2)</f>
        <v>0</v>
      </c>
      <c r="L381">
        <f>SUMIFS(Table1[Demand],Table1[Key_Year_week_DC],Demand_Modeling_Week_level!$A381)</f>
        <v>0</v>
      </c>
      <c r="M381">
        <f t="shared" si="33"/>
        <v>0</v>
      </c>
      <c r="N381">
        <f>VLOOKUP(A381,Capacity!B:G,6,FALSE)</f>
        <v>0</v>
      </c>
      <c r="O381" s="20">
        <f t="shared" si="34"/>
        <v>0</v>
      </c>
      <c r="P381">
        <f t="shared" si="35"/>
        <v>0</v>
      </c>
    </row>
    <row r="382" spans="1:16" hidden="1" x14ac:dyDescent="0.3">
      <c r="A382" t="str">
        <f t="shared" si="38"/>
        <v>0-</v>
      </c>
      <c r="B382">
        <f t="shared" si="39"/>
        <v>0</v>
      </c>
      <c r="C382" s="11"/>
      <c r="D382" s="11"/>
      <c r="E382" s="11"/>
      <c r="F382">
        <f>SUMIFS(Table1[Modeled_Demand],Table1[Key_Year_week_DC],Demand_Modeling_Week_level!$A382,Table1[BRAND],Demand_Modeling_Week_level!F$2)</f>
        <v>0</v>
      </c>
      <c r="G382">
        <f>SUMIFS(Table1[Modeled_Demand],Table1[Key_Year_week_DC],Demand_Modeling_Week_level!$A382,Table1[BRAND],Demand_Modeling_Week_level!G$2)</f>
        <v>0</v>
      </c>
      <c r="H382">
        <f>SUMIFS(Table1[Modeled_Demand],Table1[Key_Year_week_DC],Demand_Modeling_Week_level!$A382,Table1[BRAND],Demand_Modeling_Week_level!H$2)</f>
        <v>0</v>
      </c>
      <c r="I382">
        <f>SUMIFS(Table1[Modeled_Demand],Table1[Key_Year_week_DC],Demand_Modeling_Week_level!$A382,Table1[BRAND],Demand_Modeling_Week_level!I$2)</f>
        <v>0</v>
      </c>
      <c r="J382">
        <f>SUMIFS(Table1[Modeled_Demand],Table1[Key_Year_week_DC],Demand_Modeling_Week_level!$A382,Table1[BRAND],Demand_Modeling_Week_level!J$2)</f>
        <v>0</v>
      </c>
      <c r="K382">
        <f>SUMIFS(Table1[Modeled_Demand],Table1[Key_Year_week_DC],Demand_Modeling_Week_level!$A382,Table1[BRAND],Demand_Modeling_Week_level!K$2)</f>
        <v>0</v>
      </c>
      <c r="L382">
        <f>SUMIFS(Table1[Demand],Table1[Key_Year_week_DC],Demand_Modeling_Week_level!$A382)</f>
        <v>0</v>
      </c>
      <c r="M382">
        <f t="shared" si="33"/>
        <v>0</v>
      </c>
      <c r="N382">
        <f>VLOOKUP(A382,Capacity!B:G,6,FALSE)</f>
        <v>0</v>
      </c>
      <c r="O382" s="20">
        <f t="shared" si="34"/>
        <v>0</v>
      </c>
      <c r="P382">
        <f t="shared" si="35"/>
        <v>0</v>
      </c>
    </row>
    <row r="383" spans="1:16" hidden="1" x14ac:dyDescent="0.3">
      <c r="A383" t="str">
        <f t="shared" si="38"/>
        <v>0-</v>
      </c>
      <c r="B383">
        <f t="shared" si="39"/>
        <v>0</v>
      </c>
      <c r="C383" s="11"/>
      <c r="D383" s="11"/>
      <c r="E383" s="11"/>
      <c r="F383">
        <f>SUMIFS(Table1[Modeled_Demand],Table1[Key_Year_week_DC],Demand_Modeling_Week_level!$A383,Table1[BRAND],Demand_Modeling_Week_level!F$2)</f>
        <v>0</v>
      </c>
      <c r="G383">
        <f>SUMIFS(Table1[Modeled_Demand],Table1[Key_Year_week_DC],Demand_Modeling_Week_level!$A383,Table1[BRAND],Demand_Modeling_Week_level!G$2)</f>
        <v>0</v>
      </c>
      <c r="H383">
        <f>SUMIFS(Table1[Modeled_Demand],Table1[Key_Year_week_DC],Demand_Modeling_Week_level!$A383,Table1[BRAND],Demand_Modeling_Week_level!H$2)</f>
        <v>0</v>
      </c>
      <c r="I383">
        <f>SUMIFS(Table1[Modeled_Demand],Table1[Key_Year_week_DC],Demand_Modeling_Week_level!$A383,Table1[BRAND],Demand_Modeling_Week_level!I$2)</f>
        <v>0</v>
      </c>
      <c r="J383">
        <f>SUMIFS(Table1[Modeled_Demand],Table1[Key_Year_week_DC],Demand_Modeling_Week_level!$A383,Table1[BRAND],Demand_Modeling_Week_level!J$2)</f>
        <v>0</v>
      </c>
      <c r="K383">
        <f>SUMIFS(Table1[Modeled_Demand],Table1[Key_Year_week_DC],Demand_Modeling_Week_level!$A383,Table1[BRAND],Demand_Modeling_Week_level!K$2)</f>
        <v>0</v>
      </c>
      <c r="L383">
        <f>SUMIFS(Table1[Demand],Table1[Key_Year_week_DC],Demand_Modeling_Week_level!$A383)</f>
        <v>0</v>
      </c>
      <c r="M383">
        <f t="shared" si="33"/>
        <v>0</v>
      </c>
      <c r="N383">
        <f>VLOOKUP(A383,Capacity!B:G,6,FALSE)</f>
        <v>0</v>
      </c>
      <c r="O383" s="20">
        <f t="shared" si="34"/>
        <v>0</v>
      </c>
      <c r="P383">
        <f t="shared" si="35"/>
        <v>0</v>
      </c>
    </row>
    <row r="384" spans="1:16" hidden="1" x14ac:dyDescent="0.3">
      <c r="A384" t="str">
        <f t="shared" si="38"/>
        <v>0-</v>
      </c>
      <c r="B384">
        <f t="shared" si="39"/>
        <v>0</v>
      </c>
      <c r="C384" s="11"/>
      <c r="D384" s="11"/>
      <c r="E384" s="11"/>
      <c r="F384">
        <f>SUMIFS(Table1[Modeled_Demand],Table1[Key_Year_week_DC],Demand_Modeling_Week_level!$A384,Table1[BRAND],Demand_Modeling_Week_level!F$2)</f>
        <v>0</v>
      </c>
      <c r="G384">
        <f>SUMIFS(Table1[Modeled_Demand],Table1[Key_Year_week_DC],Demand_Modeling_Week_level!$A384,Table1[BRAND],Demand_Modeling_Week_level!G$2)</f>
        <v>0</v>
      </c>
      <c r="H384">
        <f>SUMIFS(Table1[Modeled_Demand],Table1[Key_Year_week_DC],Demand_Modeling_Week_level!$A384,Table1[BRAND],Demand_Modeling_Week_level!H$2)</f>
        <v>0</v>
      </c>
      <c r="I384">
        <f>SUMIFS(Table1[Modeled_Demand],Table1[Key_Year_week_DC],Demand_Modeling_Week_level!$A384,Table1[BRAND],Demand_Modeling_Week_level!I$2)</f>
        <v>0</v>
      </c>
      <c r="J384">
        <f>SUMIFS(Table1[Modeled_Demand],Table1[Key_Year_week_DC],Demand_Modeling_Week_level!$A384,Table1[BRAND],Demand_Modeling_Week_level!J$2)</f>
        <v>0</v>
      </c>
      <c r="K384">
        <f>SUMIFS(Table1[Modeled_Demand],Table1[Key_Year_week_DC],Demand_Modeling_Week_level!$A384,Table1[BRAND],Demand_Modeling_Week_level!K$2)</f>
        <v>0</v>
      </c>
      <c r="L384">
        <f>SUMIFS(Table1[Demand],Table1[Key_Year_week_DC],Demand_Modeling_Week_level!$A384)</f>
        <v>0</v>
      </c>
      <c r="M384">
        <f t="shared" si="33"/>
        <v>0</v>
      </c>
      <c r="N384">
        <f>VLOOKUP(A384,Capacity!B:G,6,FALSE)</f>
        <v>0</v>
      </c>
      <c r="O384" s="20">
        <f t="shared" si="34"/>
        <v>0</v>
      </c>
      <c r="P384">
        <f t="shared" si="35"/>
        <v>0</v>
      </c>
    </row>
    <row r="385" spans="1:16" hidden="1" x14ac:dyDescent="0.3">
      <c r="A385" t="str">
        <f t="shared" si="38"/>
        <v>0-</v>
      </c>
      <c r="B385">
        <f t="shared" si="39"/>
        <v>0</v>
      </c>
      <c r="C385" s="11"/>
      <c r="D385" s="11"/>
      <c r="E385" s="11"/>
      <c r="F385">
        <f>SUMIFS(Table1[Modeled_Demand],Table1[Key_Year_week_DC],Demand_Modeling_Week_level!$A385,Table1[BRAND],Demand_Modeling_Week_level!F$2)</f>
        <v>0</v>
      </c>
      <c r="G385">
        <f>SUMIFS(Table1[Modeled_Demand],Table1[Key_Year_week_DC],Demand_Modeling_Week_level!$A385,Table1[BRAND],Demand_Modeling_Week_level!G$2)</f>
        <v>0</v>
      </c>
      <c r="H385">
        <f>SUMIFS(Table1[Modeled_Demand],Table1[Key_Year_week_DC],Demand_Modeling_Week_level!$A385,Table1[BRAND],Demand_Modeling_Week_level!H$2)</f>
        <v>0</v>
      </c>
      <c r="I385">
        <f>SUMIFS(Table1[Modeled_Demand],Table1[Key_Year_week_DC],Demand_Modeling_Week_level!$A385,Table1[BRAND],Demand_Modeling_Week_level!I$2)</f>
        <v>0</v>
      </c>
      <c r="J385">
        <f>SUMIFS(Table1[Modeled_Demand],Table1[Key_Year_week_DC],Demand_Modeling_Week_level!$A385,Table1[BRAND],Demand_Modeling_Week_level!J$2)</f>
        <v>0</v>
      </c>
      <c r="K385">
        <f>SUMIFS(Table1[Modeled_Demand],Table1[Key_Year_week_DC],Demand_Modeling_Week_level!$A385,Table1[BRAND],Demand_Modeling_Week_level!K$2)</f>
        <v>0</v>
      </c>
      <c r="L385">
        <f>SUMIFS(Table1[Demand],Table1[Key_Year_week_DC],Demand_Modeling_Week_level!$A385)</f>
        <v>0</v>
      </c>
      <c r="M385">
        <f t="shared" si="33"/>
        <v>0</v>
      </c>
      <c r="N385">
        <f>VLOOKUP(A385,Capacity!B:G,6,FALSE)</f>
        <v>0</v>
      </c>
      <c r="O385" s="20">
        <f t="shared" si="34"/>
        <v>0</v>
      </c>
      <c r="P385">
        <f t="shared" si="35"/>
        <v>0</v>
      </c>
    </row>
    <row r="386" spans="1:16" hidden="1" x14ac:dyDescent="0.3">
      <c r="A386" t="str">
        <f t="shared" si="38"/>
        <v>0-</v>
      </c>
      <c r="B386">
        <f t="shared" si="39"/>
        <v>0</v>
      </c>
      <c r="C386" s="11"/>
      <c r="D386" s="11"/>
      <c r="E386" s="11"/>
      <c r="F386">
        <f>SUMIFS(Table1[Modeled_Demand],Table1[Key_Year_week_DC],Demand_Modeling_Week_level!$A386,Table1[BRAND],Demand_Modeling_Week_level!F$2)</f>
        <v>0</v>
      </c>
      <c r="G386">
        <f>SUMIFS(Table1[Modeled_Demand],Table1[Key_Year_week_DC],Demand_Modeling_Week_level!$A386,Table1[BRAND],Demand_Modeling_Week_level!G$2)</f>
        <v>0</v>
      </c>
      <c r="H386">
        <f>SUMIFS(Table1[Modeled_Demand],Table1[Key_Year_week_DC],Demand_Modeling_Week_level!$A386,Table1[BRAND],Demand_Modeling_Week_level!H$2)</f>
        <v>0</v>
      </c>
      <c r="I386">
        <f>SUMIFS(Table1[Modeled_Demand],Table1[Key_Year_week_DC],Demand_Modeling_Week_level!$A386,Table1[BRAND],Demand_Modeling_Week_level!I$2)</f>
        <v>0</v>
      </c>
      <c r="J386">
        <f>SUMIFS(Table1[Modeled_Demand],Table1[Key_Year_week_DC],Demand_Modeling_Week_level!$A386,Table1[BRAND],Demand_Modeling_Week_level!J$2)</f>
        <v>0</v>
      </c>
      <c r="K386">
        <f>SUMIFS(Table1[Modeled_Demand],Table1[Key_Year_week_DC],Demand_Modeling_Week_level!$A386,Table1[BRAND],Demand_Modeling_Week_level!K$2)</f>
        <v>0</v>
      </c>
      <c r="L386">
        <f>SUMIFS(Table1[Demand],Table1[Key_Year_week_DC],Demand_Modeling_Week_level!$A386)</f>
        <v>0</v>
      </c>
      <c r="M386">
        <f t="shared" si="33"/>
        <v>0</v>
      </c>
      <c r="N386">
        <f>VLOOKUP(A386,Capacity!B:G,6,FALSE)</f>
        <v>0</v>
      </c>
      <c r="O386" s="20">
        <f t="shared" si="34"/>
        <v>0</v>
      </c>
      <c r="P386">
        <f t="shared" si="35"/>
        <v>0</v>
      </c>
    </row>
    <row r="387" spans="1:16" hidden="1" x14ac:dyDescent="0.3">
      <c r="A387" t="str">
        <f t="shared" si="38"/>
        <v>0-</v>
      </c>
      <c r="B387">
        <f t="shared" si="39"/>
        <v>0</v>
      </c>
      <c r="C387" s="11"/>
      <c r="D387" s="11"/>
      <c r="E387" s="11"/>
      <c r="F387">
        <f>SUMIFS(Table1[Modeled_Demand],Table1[Key_Year_week_DC],Demand_Modeling_Week_level!$A387,Table1[BRAND],Demand_Modeling_Week_level!F$2)</f>
        <v>0</v>
      </c>
      <c r="G387">
        <f>SUMIFS(Table1[Modeled_Demand],Table1[Key_Year_week_DC],Demand_Modeling_Week_level!$A387,Table1[BRAND],Demand_Modeling_Week_level!G$2)</f>
        <v>0</v>
      </c>
      <c r="H387">
        <f>SUMIFS(Table1[Modeled_Demand],Table1[Key_Year_week_DC],Demand_Modeling_Week_level!$A387,Table1[BRAND],Demand_Modeling_Week_level!H$2)</f>
        <v>0</v>
      </c>
      <c r="I387">
        <f>SUMIFS(Table1[Modeled_Demand],Table1[Key_Year_week_DC],Demand_Modeling_Week_level!$A387,Table1[BRAND],Demand_Modeling_Week_level!I$2)</f>
        <v>0</v>
      </c>
      <c r="J387">
        <f>SUMIFS(Table1[Modeled_Demand],Table1[Key_Year_week_DC],Demand_Modeling_Week_level!$A387,Table1[BRAND],Demand_Modeling_Week_level!J$2)</f>
        <v>0</v>
      </c>
      <c r="K387">
        <f>SUMIFS(Table1[Modeled_Demand],Table1[Key_Year_week_DC],Demand_Modeling_Week_level!$A387,Table1[BRAND],Demand_Modeling_Week_level!K$2)</f>
        <v>0</v>
      </c>
      <c r="L387">
        <f>SUMIFS(Table1[Demand],Table1[Key_Year_week_DC],Demand_Modeling_Week_level!$A387)</f>
        <v>0</v>
      </c>
      <c r="M387">
        <f t="shared" si="33"/>
        <v>0</v>
      </c>
      <c r="N387">
        <f>VLOOKUP(A387,Capacity!B:G,6,FALSE)</f>
        <v>0</v>
      </c>
      <c r="O387" s="20">
        <f t="shared" si="34"/>
        <v>0</v>
      </c>
      <c r="P387">
        <f t="shared" si="35"/>
        <v>0</v>
      </c>
    </row>
    <row r="388" spans="1:16" hidden="1" x14ac:dyDescent="0.3">
      <c r="A388" t="str">
        <f t="shared" si="38"/>
        <v>0-</v>
      </c>
      <c r="B388">
        <f t="shared" si="39"/>
        <v>0</v>
      </c>
      <c r="C388" s="11"/>
      <c r="D388" s="11"/>
      <c r="E388" s="11"/>
      <c r="F388">
        <f>SUMIFS(Table1[Modeled_Demand],Table1[Key_Year_week_DC],Demand_Modeling_Week_level!$A388,Table1[BRAND],Demand_Modeling_Week_level!F$2)</f>
        <v>0</v>
      </c>
      <c r="G388">
        <f>SUMIFS(Table1[Modeled_Demand],Table1[Key_Year_week_DC],Demand_Modeling_Week_level!$A388,Table1[BRAND],Demand_Modeling_Week_level!G$2)</f>
        <v>0</v>
      </c>
      <c r="H388">
        <f>SUMIFS(Table1[Modeled_Demand],Table1[Key_Year_week_DC],Demand_Modeling_Week_level!$A388,Table1[BRAND],Demand_Modeling_Week_level!H$2)</f>
        <v>0</v>
      </c>
      <c r="I388">
        <f>SUMIFS(Table1[Modeled_Demand],Table1[Key_Year_week_DC],Demand_Modeling_Week_level!$A388,Table1[BRAND],Demand_Modeling_Week_level!I$2)</f>
        <v>0</v>
      </c>
      <c r="J388">
        <f>SUMIFS(Table1[Modeled_Demand],Table1[Key_Year_week_DC],Demand_Modeling_Week_level!$A388,Table1[BRAND],Demand_Modeling_Week_level!J$2)</f>
        <v>0</v>
      </c>
      <c r="K388">
        <f>SUMIFS(Table1[Modeled_Demand],Table1[Key_Year_week_DC],Demand_Modeling_Week_level!$A388,Table1[BRAND],Demand_Modeling_Week_level!K$2)</f>
        <v>0</v>
      </c>
      <c r="L388">
        <f>SUMIFS(Table1[Demand],Table1[Key_Year_week_DC],Demand_Modeling_Week_level!$A388)</f>
        <v>0</v>
      </c>
      <c r="M388">
        <f t="shared" ref="M388:M434" si="40">SUM(F388:K388)</f>
        <v>0</v>
      </c>
      <c r="N388">
        <f>VLOOKUP(A388,Capacity!B:G,6,FALSE)</f>
        <v>0</v>
      </c>
      <c r="O388" s="20">
        <f t="shared" ref="O388:O434" si="41">IFERROR((L388/N388),0)</f>
        <v>0</v>
      </c>
      <c r="P388">
        <f t="shared" ref="P388:P434" si="42">IFERROR(M388/N388,0)</f>
        <v>0</v>
      </c>
    </row>
    <row r="389" spans="1:16" hidden="1" x14ac:dyDescent="0.3">
      <c r="A389" t="str">
        <f t="shared" si="38"/>
        <v>0-</v>
      </c>
      <c r="B389">
        <f t="shared" si="39"/>
        <v>0</v>
      </c>
      <c r="C389" s="11"/>
      <c r="D389" s="11"/>
      <c r="E389" s="11"/>
      <c r="F389">
        <f>SUMIFS(Table1[Modeled_Demand],Table1[Key_Year_week_DC],Demand_Modeling_Week_level!$A389,Table1[BRAND],Demand_Modeling_Week_level!F$2)</f>
        <v>0</v>
      </c>
      <c r="G389">
        <f>SUMIFS(Table1[Modeled_Demand],Table1[Key_Year_week_DC],Demand_Modeling_Week_level!$A389,Table1[BRAND],Demand_Modeling_Week_level!G$2)</f>
        <v>0</v>
      </c>
      <c r="H389">
        <f>SUMIFS(Table1[Modeled_Demand],Table1[Key_Year_week_DC],Demand_Modeling_Week_level!$A389,Table1[BRAND],Demand_Modeling_Week_level!H$2)</f>
        <v>0</v>
      </c>
      <c r="I389">
        <f>SUMIFS(Table1[Modeled_Demand],Table1[Key_Year_week_DC],Demand_Modeling_Week_level!$A389,Table1[BRAND],Demand_Modeling_Week_level!I$2)</f>
        <v>0</v>
      </c>
      <c r="J389">
        <f>SUMIFS(Table1[Modeled_Demand],Table1[Key_Year_week_DC],Demand_Modeling_Week_level!$A389,Table1[BRAND],Demand_Modeling_Week_level!J$2)</f>
        <v>0</v>
      </c>
      <c r="K389">
        <f>SUMIFS(Table1[Modeled_Demand],Table1[Key_Year_week_DC],Demand_Modeling_Week_level!$A389,Table1[BRAND],Demand_Modeling_Week_level!K$2)</f>
        <v>0</v>
      </c>
      <c r="L389">
        <f>SUMIFS(Table1[Demand],Table1[Key_Year_week_DC],Demand_Modeling_Week_level!$A389)</f>
        <v>0</v>
      </c>
      <c r="M389">
        <f t="shared" si="40"/>
        <v>0</v>
      </c>
      <c r="N389">
        <f>VLOOKUP(A389,Capacity!B:G,6,FALSE)</f>
        <v>0</v>
      </c>
      <c r="O389" s="20">
        <f t="shared" si="41"/>
        <v>0</v>
      </c>
      <c r="P389">
        <f t="shared" si="42"/>
        <v>0</v>
      </c>
    </row>
    <row r="390" spans="1:16" hidden="1" x14ac:dyDescent="0.3">
      <c r="A390" t="str">
        <f t="shared" si="38"/>
        <v>0-</v>
      </c>
      <c r="B390">
        <f t="shared" si="39"/>
        <v>0</v>
      </c>
      <c r="C390" s="11"/>
      <c r="D390" s="11"/>
      <c r="E390" s="11"/>
      <c r="F390">
        <f>SUMIFS(Table1[Modeled_Demand],Table1[Key_Year_week_DC],Demand_Modeling_Week_level!$A390,Table1[BRAND],Demand_Modeling_Week_level!F$2)</f>
        <v>0</v>
      </c>
      <c r="G390">
        <f>SUMIFS(Table1[Modeled_Demand],Table1[Key_Year_week_DC],Demand_Modeling_Week_level!$A390,Table1[BRAND],Demand_Modeling_Week_level!G$2)</f>
        <v>0</v>
      </c>
      <c r="H390">
        <f>SUMIFS(Table1[Modeled_Demand],Table1[Key_Year_week_DC],Demand_Modeling_Week_level!$A390,Table1[BRAND],Demand_Modeling_Week_level!H$2)</f>
        <v>0</v>
      </c>
      <c r="I390">
        <f>SUMIFS(Table1[Modeled_Demand],Table1[Key_Year_week_DC],Demand_Modeling_Week_level!$A390,Table1[BRAND],Demand_Modeling_Week_level!I$2)</f>
        <v>0</v>
      </c>
      <c r="J390">
        <f>SUMIFS(Table1[Modeled_Demand],Table1[Key_Year_week_DC],Demand_Modeling_Week_level!$A390,Table1[BRAND],Demand_Modeling_Week_level!J$2)</f>
        <v>0</v>
      </c>
      <c r="K390">
        <f>SUMIFS(Table1[Modeled_Demand],Table1[Key_Year_week_DC],Demand_Modeling_Week_level!$A390,Table1[BRAND],Demand_Modeling_Week_level!K$2)</f>
        <v>0</v>
      </c>
      <c r="L390">
        <f>SUMIFS(Table1[Demand],Table1[Key_Year_week_DC],Demand_Modeling_Week_level!$A390)</f>
        <v>0</v>
      </c>
      <c r="M390">
        <f t="shared" si="40"/>
        <v>0</v>
      </c>
      <c r="N390">
        <f>VLOOKUP(A390,Capacity!B:G,6,FALSE)</f>
        <v>0</v>
      </c>
      <c r="O390" s="20">
        <f t="shared" si="41"/>
        <v>0</v>
      </c>
      <c r="P390">
        <f t="shared" si="42"/>
        <v>0</v>
      </c>
    </row>
    <row r="391" spans="1:16" hidden="1" x14ac:dyDescent="0.3">
      <c r="A391" t="str">
        <f t="shared" si="38"/>
        <v>0-</v>
      </c>
      <c r="B391">
        <f t="shared" si="39"/>
        <v>0</v>
      </c>
      <c r="C391" s="11"/>
      <c r="D391" s="11"/>
      <c r="E391" s="11"/>
      <c r="F391">
        <f>SUMIFS(Table1[Modeled_Demand],Table1[Key_Year_week_DC],Demand_Modeling_Week_level!$A391,Table1[BRAND],Demand_Modeling_Week_level!F$2)</f>
        <v>0</v>
      </c>
      <c r="G391">
        <f>SUMIFS(Table1[Modeled_Demand],Table1[Key_Year_week_DC],Demand_Modeling_Week_level!$A391,Table1[BRAND],Demand_Modeling_Week_level!G$2)</f>
        <v>0</v>
      </c>
      <c r="H391">
        <f>SUMIFS(Table1[Modeled_Demand],Table1[Key_Year_week_DC],Demand_Modeling_Week_level!$A391,Table1[BRAND],Demand_Modeling_Week_level!H$2)</f>
        <v>0</v>
      </c>
      <c r="I391">
        <f>SUMIFS(Table1[Modeled_Demand],Table1[Key_Year_week_DC],Demand_Modeling_Week_level!$A391,Table1[BRAND],Demand_Modeling_Week_level!I$2)</f>
        <v>0</v>
      </c>
      <c r="J391">
        <f>SUMIFS(Table1[Modeled_Demand],Table1[Key_Year_week_DC],Demand_Modeling_Week_level!$A391,Table1[BRAND],Demand_Modeling_Week_level!J$2)</f>
        <v>0</v>
      </c>
      <c r="K391">
        <f>SUMIFS(Table1[Modeled_Demand],Table1[Key_Year_week_DC],Demand_Modeling_Week_level!$A391,Table1[BRAND],Demand_Modeling_Week_level!K$2)</f>
        <v>0</v>
      </c>
      <c r="L391">
        <f>SUMIFS(Table1[Demand],Table1[Key_Year_week_DC],Demand_Modeling_Week_level!$A391)</f>
        <v>0</v>
      </c>
      <c r="M391">
        <f t="shared" si="40"/>
        <v>0</v>
      </c>
      <c r="N391">
        <f>VLOOKUP(A391,Capacity!B:G,6,FALSE)</f>
        <v>0</v>
      </c>
      <c r="O391" s="20">
        <f t="shared" si="41"/>
        <v>0</v>
      </c>
      <c r="P391">
        <f t="shared" si="42"/>
        <v>0</v>
      </c>
    </row>
    <row r="392" spans="1:16" hidden="1" x14ac:dyDescent="0.3">
      <c r="A392" t="str">
        <f t="shared" si="38"/>
        <v>0-</v>
      </c>
      <c r="B392">
        <f t="shared" si="39"/>
        <v>0</v>
      </c>
      <c r="C392" s="11"/>
      <c r="D392" s="11"/>
      <c r="E392" s="11"/>
      <c r="F392">
        <f>SUMIFS(Table1[Modeled_Demand],Table1[Key_Year_week_DC],Demand_Modeling_Week_level!$A392,Table1[BRAND],Demand_Modeling_Week_level!F$2)</f>
        <v>0</v>
      </c>
      <c r="G392">
        <f>SUMIFS(Table1[Modeled_Demand],Table1[Key_Year_week_DC],Demand_Modeling_Week_level!$A392,Table1[BRAND],Demand_Modeling_Week_level!G$2)</f>
        <v>0</v>
      </c>
      <c r="H392">
        <f>SUMIFS(Table1[Modeled_Demand],Table1[Key_Year_week_DC],Demand_Modeling_Week_level!$A392,Table1[BRAND],Demand_Modeling_Week_level!H$2)</f>
        <v>0</v>
      </c>
      <c r="I392">
        <f>SUMIFS(Table1[Modeled_Demand],Table1[Key_Year_week_DC],Demand_Modeling_Week_level!$A392,Table1[BRAND],Demand_Modeling_Week_level!I$2)</f>
        <v>0</v>
      </c>
      <c r="J392">
        <f>SUMIFS(Table1[Modeled_Demand],Table1[Key_Year_week_DC],Demand_Modeling_Week_level!$A392,Table1[BRAND],Demand_Modeling_Week_level!J$2)</f>
        <v>0</v>
      </c>
      <c r="K392">
        <f>SUMIFS(Table1[Modeled_Demand],Table1[Key_Year_week_DC],Demand_Modeling_Week_level!$A392,Table1[BRAND],Demand_Modeling_Week_level!K$2)</f>
        <v>0</v>
      </c>
      <c r="L392">
        <f>SUMIFS(Table1[Demand],Table1[Key_Year_week_DC],Demand_Modeling_Week_level!$A392)</f>
        <v>0</v>
      </c>
      <c r="M392">
        <f t="shared" si="40"/>
        <v>0</v>
      </c>
      <c r="N392">
        <f>VLOOKUP(A392,Capacity!B:G,6,FALSE)</f>
        <v>0</v>
      </c>
      <c r="O392" s="20">
        <f t="shared" si="41"/>
        <v>0</v>
      </c>
      <c r="P392">
        <f t="shared" si="42"/>
        <v>0</v>
      </c>
    </row>
    <row r="393" spans="1:16" hidden="1" x14ac:dyDescent="0.3">
      <c r="A393" t="str">
        <f t="shared" si="38"/>
        <v>0-</v>
      </c>
      <c r="B393">
        <f t="shared" si="39"/>
        <v>0</v>
      </c>
      <c r="C393" s="11"/>
      <c r="D393" s="11"/>
      <c r="E393" s="11"/>
      <c r="F393">
        <f>SUMIFS(Table1[Modeled_Demand],Table1[Key_Year_week_DC],Demand_Modeling_Week_level!$A393,Table1[BRAND],Demand_Modeling_Week_level!F$2)</f>
        <v>0</v>
      </c>
      <c r="G393">
        <f>SUMIFS(Table1[Modeled_Demand],Table1[Key_Year_week_DC],Demand_Modeling_Week_level!$A393,Table1[BRAND],Demand_Modeling_Week_level!G$2)</f>
        <v>0</v>
      </c>
      <c r="H393">
        <f>SUMIFS(Table1[Modeled_Demand],Table1[Key_Year_week_DC],Demand_Modeling_Week_level!$A393,Table1[BRAND],Demand_Modeling_Week_level!H$2)</f>
        <v>0</v>
      </c>
      <c r="I393">
        <f>SUMIFS(Table1[Modeled_Demand],Table1[Key_Year_week_DC],Demand_Modeling_Week_level!$A393,Table1[BRAND],Demand_Modeling_Week_level!I$2)</f>
        <v>0</v>
      </c>
      <c r="J393">
        <f>SUMIFS(Table1[Modeled_Demand],Table1[Key_Year_week_DC],Demand_Modeling_Week_level!$A393,Table1[BRAND],Demand_Modeling_Week_level!J$2)</f>
        <v>0</v>
      </c>
      <c r="K393">
        <f>SUMIFS(Table1[Modeled_Demand],Table1[Key_Year_week_DC],Demand_Modeling_Week_level!$A393,Table1[BRAND],Demand_Modeling_Week_level!K$2)</f>
        <v>0</v>
      </c>
      <c r="L393">
        <f>SUMIFS(Table1[Demand],Table1[Key_Year_week_DC],Demand_Modeling_Week_level!$A393)</f>
        <v>0</v>
      </c>
      <c r="M393">
        <f t="shared" si="40"/>
        <v>0</v>
      </c>
      <c r="N393">
        <f>VLOOKUP(A393,Capacity!B:G,6,FALSE)</f>
        <v>0</v>
      </c>
      <c r="O393" s="20">
        <f t="shared" si="41"/>
        <v>0</v>
      </c>
      <c r="P393">
        <f t="shared" si="42"/>
        <v>0</v>
      </c>
    </row>
    <row r="394" spans="1:16" hidden="1" x14ac:dyDescent="0.3">
      <c r="A394" t="str">
        <f t="shared" si="38"/>
        <v>0-</v>
      </c>
      <c r="B394">
        <f t="shared" si="39"/>
        <v>0</v>
      </c>
      <c r="C394" s="11"/>
      <c r="D394" s="11"/>
      <c r="E394" s="11"/>
      <c r="F394">
        <f>SUMIFS(Table1[Modeled_Demand],Table1[Key_Year_week_DC],Demand_Modeling_Week_level!$A394,Table1[BRAND],Demand_Modeling_Week_level!F$2)</f>
        <v>0</v>
      </c>
      <c r="G394">
        <f>SUMIFS(Table1[Modeled_Demand],Table1[Key_Year_week_DC],Demand_Modeling_Week_level!$A394,Table1[BRAND],Demand_Modeling_Week_level!G$2)</f>
        <v>0</v>
      </c>
      <c r="H394">
        <f>SUMIFS(Table1[Modeled_Demand],Table1[Key_Year_week_DC],Demand_Modeling_Week_level!$A394,Table1[BRAND],Demand_Modeling_Week_level!H$2)</f>
        <v>0</v>
      </c>
      <c r="I394">
        <f>SUMIFS(Table1[Modeled_Demand],Table1[Key_Year_week_DC],Demand_Modeling_Week_level!$A394,Table1[BRAND],Demand_Modeling_Week_level!I$2)</f>
        <v>0</v>
      </c>
      <c r="J394">
        <f>SUMIFS(Table1[Modeled_Demand],Table1[Key_Year_week_DC],Demand_Modeling_Week_level!$A394,Table1[BRAND],Demand_Modeling_Week_level!J$2)</f>
        <v>0</v>
      </c>
      <c r="K394">
        <f>SUMIFS(Table1[Modeled_Demand],Table1[Key_Year_week_DC],Demand_Modeling_Week_level!$A394,Table1[BRAND],Demand_Modeling_Week_level!K$2)</f>
        <v>0</v>
      </c>
      <c r="L394">
        <f>SUMIFS(Table1[Demand],Table1[Key_Year_week_DC],Demand_Modeling_Week_level!$A394)</f>
        <v>0</v>
      </c>
      <c r="M394">
        <f t="shared" si="40"/>
        <v>0</v>
      </c>
      <c r="N394">
        <f>VLOOKUP(A394,Capacity!B:G,6,FALSE)</f>
        <v>0</v>
      </c>
      <c r="O394" s="20">
        <f t="shared" si="41"/>
        <v>0</v>
      </c>
      <c r="P394">
        <f t="shared" si="42"/>
        <v>0</v>
      </c>
    </row>
    <row r="395" spans="1:16" hidden="1" x14ac:dyDescent="0.3">
      <c r="A395" t="str">
        <f t="shared" si="38"/>
        <v>0-</v>
      </c>
      <c r="B395">
        <f t="shared" si="39"/>
        <v>0</v>
      </c>
      <c r="C395" s="11"/>
      <c r="D395" s="11"/>
      <c r="E395" s="11"/>
      <c r="F395">
        <f>SUMIFS(Table1[Modeled_Demand],Table1[Key_Year_week_DC],Demand_Modeling_Week_level!$A395,Table1[BRAND],Demand_Modeling_Week_level!F$2)</f>
        <v>0</v>
      </c>
      <c r="G395">
        <f>SUMIFS(Table1[Modeled_Demand],Table1[Key_Year_week_DC],Demand_Modeling_Week_level!$A395,Table1[BRAND],Demand_Modeling_Week_level!G$2)</f>
        <v>0</v>
      </c>
      <c r="H395">
        <f>SUMIFS(Table1[Modeled_Demand],Table1[Key_Year_week_DC],Demand_Modeling_Week_level!$A395,Table1[BRAND],Demand_Modeling_Week_level!H$2)</f>
        <v>0</v>
      </c>
      <c r="I395">
        <f>SUMIFS(Table1[Modeled_Demand],Table1[Key_Year_week_DC],Demand_Modeling_Week_level!$A395,Table1[BRAND],Demand_Modeling_Week_level!I$2)</f>
        <v>0</v>
      </c>
      <c r="J395">
        <f>SUMIFS(Table1[Modeled_Demand],Table1[Key_Year_week_DC],Demand_Modeling_Week_level!$A395,Table1[BRAND],Demand_Modeling_Week_level!J$2)</f>
        <v>0</v>
      </c>
      <c r="K395">
        <f>SUMIFS(Table1[Modeled_Demand],Table1[Key_Year_week_DC],Demand_Modeling_Week_level!$A395,Table1[BRAND],Demand_Modeling_Week_level!K$2)</f>
        <v>0</v>
      </c>
      <c r="L395">
        <f>SUMIFS(Table1[Demand],Table1[Key_Year_week_DC],Demand_Modeling_Week_level!$A395)</f>
        <v>0</v>
      </c>
      <c r="M395">
        <f t="shared" si="40"/>
        <v>0</v>
      </c>
      <c r="N395">
        <f>VLOOKUP(A395,Capacity!B:G,6,FALSE)</f>
        <v>0</v>
      </c>
      <c r="O395" s="20">
        <f t="shared" si="41"/>
        <v>0</v>
      </c>
      <c r="P395">
        <f t="shared" si="42"/>
        <v>0</v>
      </c>
    </row>
    <row r="396" spans="1:16" hidden="1" x14ac:dyDescent="0.3">
      <c r="A396" t="str">
        <f t="shared" si="38"/>
        <v>0-</v>
      </c>
      <c r="B396">
        <f t="shared" si="39"/>
        <v>0</v>
      </c>
      <c r="C396" s="11"/>
      <c r="D396" s="11"/>
      <c r="E396" s="11"/>
      <c r="F396">
        <f>SUMIFS(Table1[Modeled_Demand],Table1[Key_Year_week_DC],Demand_Modeling_Week_level!$A396,Table1[BRAND],Demand_Modeling_Week_level!F$2)</f>
        <v>0</v>
      </c>
      <c r="G396">
        <f>SUMIFS(Table1[Modeled_Demand],Table1[Key_Year_week_DC],Demand_Modeling_Week_level!$A396,Table1[BRAND],Demand_Modeling_Week_level!G$2)</f>
        <v>0</v>
      </c>
      <c r="H396">
        <f>SUMIFS(Table1[Modeled_Demand],Table1[Key_Year_week_DC],Demand_Modeling_Week_level!$A396,Table1[BRAND],Demand_Modeling_Week_level!H$2)</f>
        <v>0</v>
      </c>
      <c r="I396">
        <f>SUMIFS(Table1[Modeled_Demand],Table1[Key_Year_week_DC],Demand_Modeling_Week_level!$A396,Table1[BRAND],Demand_Modeling_Week_level!I$2)</f>
        <v>0</v>
      </c>
      <c r="J396">
        <f>SUMIFS(Table1[Modeled_Demand],Table1[Key_Year_week_DC],Demand_Modeling_Week_level!$A396,Table1[BRAND],Demand_Modeling_Week_level!J$2)</f>
        <v>0</v>
      </c>
      <c r="K396">
        <f>SUMIFS(Table1[Modeled_Demand],Table1[Key_Year_week_DC],Demand_Modeling_Week_level!$A396,Table1[BRAND],Demand_Modeling_Week_level!K$2)</f>
        <v>0</v>
      </c>
      <c r="L396">
        <f>SUMIFS(Table1[Demand],Table1[Key_Year_week_DC],Demand_Modeling_Week_level!$A396)</f>
        <v>0</v>
      </c>
      <c r="M396">
        <f t="shared" si="40"/>
        <v>0</v>
      </c>
      <c r="N396">
        <f>VLOOKUP(A396,Capacity!B:G,6,FALSE)</f>
        <v>0</v>
      </c>
      <c r="O396" s="20">
        <f t="shared" si="41"/>
        <v>0</v>
      </c>
      <c r="P396">
        <f t="shared" si="42"/>
        <v>0</v>
      </c>
    </row>
    <row r="397" spans="1:16" hidden="1" x14ac:dyDescent="0.3">
      <c r="A397" t="str">
        <f t="shared" si="38"/>
        <v>0-</v>
      </c>
      <c r="B397">
        <f t="shared" si="39"/>
        <v>0</v>
      </c>
      <c r="C397" s="11"/>
      <c r="D397" s="11"/>
      <c r="E397" s="11"/>
      <c r="F397">
        <f>SUMIFS(Table1[Modeled_Demand],Table1[Key_Year_week_DC],Demand_Modeling_Week_level!$A397,Table1[BRAND],Demand_Modeling_Week_level!F$2)</f>
        <v>0</v>
      </c>
      <c r="G397">
        <f>SUMIFS(Table1[Modeled_Demand],Table1[Key_Year_week_DC],Demand_Modeling_Week_level!$A397,Table1[BRAND],Demand_Modeling_Week_level!G$2)</f>
        <v>0</v>
      </c>
      <c r="H397">
        <f>SUMIFS(Table1[Modeled_Demand],Table1[Key_Year_week_DC],Demand_Modeling_Week_level!$A397,Table1[BRAND],Demand_Modeling_Week_level!H$2)</f>
        <v>0</v>
      </c>
      <c r="I397">
        <f>SUMIFS(Table1[Modeled_Demand],Table1[Key_Year_week_DC],Demand_Modeling_Week_level!$A397,Table1[BRAND],Demand_Modeling_Week_level!I$2)</f>
        <v>0</v>
      </c>
      <c r="J397">
        <f>SUMIFS(Table1[Modeled_Demand],Table1[Key_Year_week_DC],Demand_Modeling_Week_level!$A397,Table1[BRAND],Demand_Modeling_Week_level!J$2)</f>
        <v>0</v>
      </c>
      <c r="K397">
        <f>SUMIFS(Table1[Modeled_Demand],Table1[Key_Year_week_DC],Demand_Modeling_Week_level!$A397,Table1[BRAND],Demand_Modeling_Week_level!K$2)</f>
        <v>0</v>
      </c>
      <c r="L397">
        <f>SUMIFS(Table1[Demand],Table1[Key_Year_week_DC],Demand_Modeling_Week_level!$A397)</f>
        <v>0</v>
      </c>
      <c r="M397">
        <f t="shared" si="40"/>
        <v>0</v>
      </c>
      <c r="N397">
        <f>VLOOKUP(A397,Capacity!B:G,6,FALSE)</f>
        <v>0</v>
      </c>
      <c r="O397" s="20">
        <f t="shared" si="41"/>
        <v>0</v>
      </c>
      <c r="P397">
        <f t="shared" si="42"/>
        <v>0</v>
      </c>
    </row>
    <row r="398" spans="1:16" hidden="1" x14ac:dyDescent="0.3">
      <c r="A398" t="str">
        <f t="shared" si="38"/>
        <v>0-</v>
      </c>
      <c r="B398">
        <f t="shared" si="39"/>
        <v>0</v>
      </c>
      <c r="C398" s="11"/>
      <c r="D398" s="11"/>
      <c r="E398" s="11"/>
      <c r="F398">
        <f>SUMIFS(Table1[Modeled_Demand],Table1[Key_Year_week_DC],Demand_Modeling_Week_level!$A398,Table1[BRAND],Demand_Modeling_Week_level!F$2)</f>
        <v>0</v>
      </c>
      <c r="G398">
        <f>SUMIFS(Table1[Modeled_Demand],Table1[Key_Year_week_DC],Demand_Modeling_Week_level!$A398,Table1[BRAND],Demand_Modeling_Week_level!G$2)</f>
        <v>0</v>
      </c>
      <c r="H398">
        <f>SUMIFS(Table1[Modeled_Demand],Table1[Key_Year_week_DC],Demand_Modeling_Week_level!$A398,Table1[BRAND],Demand_Modeling_Week_level!H$2)</f>
        <v>0</v>
      </c>
      <c r="I398">
        <f>SUMIFS(Table1[Modeled_Demand],Table1[Key_Year_week_DC],Demand_Modeling_Week_level!$A398,Table1[BRAND],Demand_Modeling_Week_level!I$2)</f>
        <v>0</v>
      </c>
      <c r="J398">
        <f>SUMIFS(Table1[Modeled_Demand],Table1[Key_Year_week_DC],Demand_Modeling_Week_level!$A398,Table1[BRAND],Demand_Modeling_Week_level!J$2)</f>
        <v>0</v>
      </c>
      <c r="K398">
        <f>SUMIFS(Table1[Modeled_Demand],Table1[Key_Year_week_DC],Demand_Modeling_Week_level!$A398,Table1[BRAND],Demand_Modeling_Week_level!K$2)</f>
        <v>0</v>
      </c>
      <c r="L398">
        <f>SUMIFS(Table1[Demand],Table1[Key_Year_week_DC],Demand_Modeling_Week_level!$A398)</f>
        <v>0</v>
      </c>
      <c r="M398">
        <f t="shared" si="40"/>
        <v>0</v>
      </c>
      <c r="N398">
        <f>VLOOKUP(A398,Capacity!B:G,6,FALSE)</f>
        <v>0</v>
      </c>
      <c r="O398" s="20">
        <f t="shared" si="41"/>
        <v>0</v>
      </c>
      <c r="P398">
        <f t="shared" si="42"/>
        <v>0</v>
      </c>
    </row>
    <row r="399" spans="1:16" hidden="1" x14ac:dyDescent="0.3">
      <c r="A399" t="str">
        <f t="shared" si="38"/>
        <v>0-</v>
      </c>
      <c r="B399">
        <f t="shared" si="39"/>
        <v>0</v>
      </c>
      <c r="C399" s="11"/>
      <c r="D399" s="11"/>
      <c r="E399" s="11"/>
      <c r="F399">
        <f>SUMIFS(Table1[Modeled_Demand],Table1[Key_Year_week_DC],Demand_Modeling_Week_level!$A399,Table1[BRAND],Demand_Modeling_Week_level!F$2)</f>
        <v>0</v>
      </c>
      <c r="G399">
        <f>SUMIFS(Table1[Modeled_Demand],Table1[Key_Year_week_DC],Demand_Modeling_Week_level!$A399,Table1[BRAND],Demand_Modeling_Week_level!G$2)</f>
        <v>0</v>
      </c>
      <c r="H399">
        <f>SUMIFS(Table1[Modeled_Demand],Table1[Key_Year_week_DC],Demand_Modeling_Week_level!$A399,Table1[BRAND],Demand_Modeling_Week_level!H$2)</f>
        <v>0</v>
      </c>
      <c r="I399">
        <f>SUMIFS(Table1[Modeled_Demand],Table1[Key_Year_week_DC],Demand_Modeling_Week_level!$A399,Table1[BRAND],Demand_Modeling_Week_level!I$2)</f>
        <v>0</v>
      </c>
      <c r="J399">
        <f>SUMIFS(Table1[Modeled_Demand],Table1[Key_Year_week_DC],Demand_Modeling_Week_level!$A399,Table1[BRAND],Demand_Modeling_Week_level!J$2)</f>
        <v>0</v>
      </c>
      <c r="K399">
        <f>SUMIFS(Table1[Modeled_Demand],Table1[Key_Year_week_DC],Demand_Modeling_Week_level!$A399,Table1[BRAND],Demand_Modeling_Week_level!K$2)</f>
        <v>0</v>
      </c>
      <c r="L399">
        <f>SUMIFS(Table1[Demand],Table1[Key_Year_week_DC],Demand_Modeling_Week_level!$A399)</f>
        <v>0</v>
      </c>
      <c r="M399">
        <f t="shared" si="40"/>
        <v>0</v>
      </c>
      <c r="N399">
        <f>VLOOKUP(A399,Capacity!B:G,6,FALSE)</f>
        <v>0</v>
      </c>
      <c r="O399" s="20">
        <f t="shared" si="41"/>
        <v>0</v>
      </c>
      <c r="P399">
        <f t="shared" si="42"/>
        <v>0</v>
      </c>
    </row>
    <row r="400" spans="1:16" hidden="1" x14ac:dyDescent="0.3">
      <c r="A400" t="str">
        <f t="shared" si="38"/>
        <v>0-</v>
      </c>
      <c r="B400">
        <f t="shared" si="39"/>
        <v>0</v>
      </c>
      <c r="C400" s="11"/>
      <c r="D400" s="11"/>
      <c r="E400" s="11"/>
      <c r="F400">
        <f>SUMIFS(Table1[Modeled_Demand],Table1[Key_Year_week_DC],Demand_Modeling_Week_level!$A400,Table1[BRAND],Demand_Modeling_Week_level!F$2)</f>
        <v>0</v>
      </c>
      <c r="G400">
        <f>SUMIFS(Table1[Modeled_Demand],Table1[Key_Year_week_DC],Demand_Modeling_Week_level!$A400,Table1[BRAND],Demand_Modeling_Week_level!G$2)</f>
        <v>0</v>
      </c>
      <c r="H400">
        <f>SUMIFS(Table1[Modeled_Demand],Table1[Key_Year_week_DC],Demand_Modeling_Week_level!$A400,Table1[BRAND],Demand_Modeling_Week_level!H$2)</f>
        <v>0</v>
      </c>
      <c r="I400">
        <f>SUMIFS(Table1[Modeled_Demand],Table1[Key_Year_week_DC],Demand_Modeling_Week_level!$A400,Table1[BRAND],Demand_Modeling_Week_level!I$2)</f>
        <v>0</v>
      </c>
      <c r="J400">
        <f>SUMIFS(Table1[Modeled_Demand],Table1[Key_Year_week_DC],Demand_Modeling_Week_level!$A400,Table1[BRAND],Demand_Modeling_Week_level!J$2)</f>
        <v>0</v>
      </c>
      <c r="K400">
        <f>SUMIFS(Table1[Modeled_Demand],Table1[Key_Year_week_DC],Demand_Modeling_Week_level!$A400,Table1[BRAND],Demand_Modeling_Week_level!K$2)</f>
        <v>0</v>
      </c>
      <c r="L400">
        <f>SUMIFS(Table1[Demand],Table1[Key_Year_week_DC],Demand_Modeling_Week_level!$A400)</f>
        <v>0</v>
      </c>
      <c r="M400">
        <f t="shared" si="40"/>
        <v>0</v>
      </c>
      <c r="N400">
        <f>VLOOKUP(A400,Capacity!B:G,6,FALSE)</f>
        <v>0</v>
      </c>
      <c r="O400" s="20">
        <f t="shared" si="41"/>
        <v>0</v>
      </c>
      <c r="P400">
        <f t="shared" si="42"/>
        <v>0</v>
      </c>
    </row>
    <row r="401" spans="1:16" hidden="1" x14ac:dyDescent="0.3">
      <c r="A401" t="str">
        <f t="shared" si="38"/>
        <v>0-</v>
      </c>
      <c r="B401">
        <f t="shared" si="39"/>
        <v>0</v>
      </c>
      <c r="C401" s="11"/>
      <c r="D401" s="11"/>
      <c r="E401" s="11"/>
      <c r="F401">
        <f>SUMIFS(Table1[Modeled_Demand],Table1[Key_Year_week_DC],Demand_Modeling_Week_level!$A401,Table1[BRAND],Demand_Modeling_Week_level!F$2)</f>
        <v>0</v>
      </c>
      <c r="G401">
        <f>SUMIFS(Table1[Modeled_Demand],Table1[Key_Year_week_DC],Demand_Modeling_Week_level!$A401,Table1[BRAND],Demand_Modeling_Week_level!G$2)</f>
        <v>0</v>
      </c>
      <c r="H401">
        <f>SUMIFS(Table1[Modeled_Demand],Table1[Key_Year_week_DC],Demand_Modeling_Week_level!$A401,Table1[BRAND],Demand_Modeling_Week_level!H$2)</f>
        <v>0</v>
      </c>
      <c r="I401">
        <f>SUMIFS(Table1[Modeled_Demand],Table1[Key_Year_week_DC],Demand_Modeling_Week_level!$A401,Table1[BRAND],Demand_Modeling_Week_level!I$2)</f>
        <v>0</v>
      </c>
      <c r="J401">
        <f>SUMIFS(Table1[Modeled_Demand],Table1[Key_Year_week_DC],Demand_Modeling_Week_level!$A401,Table1[BRAND],Demand_Modeling_Week_level!J$2)</f>
        <v>0</v>
      </c>
      <c r="K401">
        <f>SUMIFS(Table1[Modeled_Demand],Table1[Key_Year_week_DC],Demand_Modeling_Week_level!$A401,Table1[BRAND],Demand_Modeling_Week_level!K$2)</f>
        <v>0</v>
      </c>
      <c r="L401">
        <f>SUMIFS(Table1[Demand],Table1[Key_Year_week_DC],Demand_Modeling_Week_level!$A401)</f>
        <v>0</v>
      </c>
      <c r="M401">
        <f t="shared" si="40"/>
        <v>0</v>
      </c>
      <c r="N401">
        <f>VLOOKUP(A401,Capacity!B:G,6,FALSE)</f>
        <v>0</v>
      </c>
      <c r="O401" s="20">
        <f t="shared" si="41"/>
        <v>0</v>
      </c>
      <c r="P401">
        <f t="shared" si="42"/>
        <v>0</v>
      </c>
    </row>
    <row r="402" spans="1:16" hidden="1" x14ac:dyDescent="0.3">
      <c r="A402" t="str">
        <f t="shared" si="38"/>
        <v>0-</v>
      </c>
      <c r="B402">
        <f t="shared" si="39"/>
        <v>0</v>
      </c>
      <c r="C402" s="11"/>
      <c r="D402" s="11"/>
      <c r="E402" s="11"/>
      <c r="F402">
        <f>SUMIFS(Table1[Modeled_Demand],Table1[Key_Year_week_DC],Demand_Modeling_Week_level!$A402,Table1[BRAND],Demand_Modeling_Week_level!F$2)</f>
        <v>0</v>
      </c>
      <c r="G402">
        <f>SUMIFS(Table1[Modeled_Demand],Table1[Key_Year_week_DC],Demand_Modeling_Week_level!$A402,Table1[BRAND],Demand_Modeling_Week_level!G$2)</f>
        <v>0</v>
      </c>
      <c r="H402">
        <f>SUMIFS(Table1[Modeled_Demand],Table1[Key_Year_week_DC],Demand_Modeling_Week_level!$A402,Table1[BRAND],Demand_Modeling_Week_level!H$2)</f>
        <v>0</v>
      </c>
      <c r="I402">
        <f>SUMIFS(Table1[Modeled_Demand],Table1[Key_Year_week_DC],Demand_Modeling_Week_level!$A402,Table1[BRAND],Demand_Modeling_Week_level!I$2)</f>
        <v>0</v>
      </c>
      <c r="J402">
        <f>SUMIFS(Table1[Modeled_Demand],Table1[Key_Year_week_DC],Demand_Modeling_Week_level!$A402,Table1[BRAND],Demand_Modeling_Week_level!J$2)</f>
        <v>0</v>
      </c>
      <c r="K402">
        <f>SUMIFS(Table1[Modeled_Demand],Table1[Key_Year_week_DC],Demand_Modeling_Week_level!$A402,Table1[BRAND],Demand_Modeling_Week_level!K$2)</f>
        <v>0</v>
      </c>
      <c r="L402">
        <f>SUMIFS(Table1[Demand],Table1[Key_Year_week_DC],Demand_Modeling_Week_level!$A402)</f>
        <v>0</v>
      </c>
      <c r="M402">
        <f t="shared" si="40"/>
        <v>0</v>
      </c>
      <c r="N402">
        <f>VLOOKUP(A402,Capacity!B:G,6,FALSE)</f>
        <v>0</v>
      </c>
      <c r="O402" s="20">
        <f t="shared" si="41"/>
        <v>0</v>
      </c>
      <c r="P402">
        <f t="shared" si="42"/>
        <v>0</v>
      </c>
    </row>
    <row r="403" spans="1:16" hidden="1" x14ac:dyDescent="0.3">
      <c r="A403" t="str">
        <f t="shared" si="38"/>
        <v>0-</v>
      </c>
      <c r="B403">
        <f t="shared" si="39"/>
        <v>0</v>
      </c>
      <c r="C403" s="11"/>
      <c r="D403" s="11"/>
      <c r="E403" s="11"/>
      <c r="F403">
        <f>SUMIFS(Table1[Modeled_Demand],Table1[Key_Year_week_DC],Demand_Modeling_Week_level!$A403,Table1[BRAND],Demand_Modeling_Week_level!F$2)</f>
        <v>0</v>
      </c>
      <c r="G403">
        <f>SUMIFS(Table1[Modeled_Demand],Table1[Key_Year_week_DC],Demand_Modeling_Week_level!$A403,Table1[BRAND],Demand_Modeling_Week_level!G$2)</f>
        <v>0</v>
      </c>
      <c r="H403">
        <f>SUMIFS(Table1[Modeled_Demand],Table1[Key_Year_week_DC],Demand_Modeling_Week_level!$A403,Table1[BRAND],Demand_Modeling_Week_level!H$2)</f>
        <v>0</v>
      </c>
      <c r="I403">
        <f>SUMIFS(Table1[Modeled_Demand],Table1[Key_Year_week_DC],Demand_Modeling_Week_level!$A403,Table1[BRAND],Demand_Modeling_Week_level!I$2)</f>
        <v>0</v>
      </c>
      <c r="J403">
        <f>SUMIFS(Table1[Modeled_Demand],Table1[Key_Year_week_DC],Demand_Modeling_Week_level!$A403,Table1[BRAND],Demand_Modeling_Week_level!J$2)</f>
        <v>0</v>
      </c>
      <c r="K403">
        <f>SUMIFS(Table1[Modeled_Demand],Table1[Key_Year_week_DC],Demand_Modeling_Week_level!$A403,Table1[BRAND],Demand_Modeling_Week_level!K$2)</f>
        <v>0</v>
      </c>
      <c r="L403">
        <f>SUMIFS(Table1[Demand],Table1[Key_Year_week_DC],Demand_Modeling_Week_level!$A403)</f>
        <v>0</v>
      </c>
      <c r="M403">
        <f t="shared" si="40"/>
        <v>0</v>
      </c>
      <c r="N403">
        <f>VLOOKUP(A403,Capacity!B:G,6,FALSE)</f>
        <v>0</v>
      </c>
      <c r="O403" s="20">
        <f t="shared" si="41"/>
        <v>0</v>
      </c>
      <c r="P403">
        <f t="shared" si="42"/>
        <v>0</v>
      </c>
    </row>
    <row r="404" spans="1:16" hidden="1" x14ac:dyDescent="0.3">
      <c r="A404" t="str">
        <f t="shared" si="38"/>
        <v>0-</v>
      </c>
      <c r="B404">
        <f t="shared" si="39"/>
        <v>0</v>
      </c>
      <c r="C404" s="11"/>
      <c r="D404" s="11"/>
      <c r="E404" s="11"/>
      <c r="F404">
        <f>SUMIFS(Table1[Modeled_Demand],Table1[Key_Year_week_DC],Demand_Modeling_Week_level!$A404,Table1[BRAND],Demand_Modeling_Week_level!F$2)</f>
        <v>0</v>
      </c>
      <c r="G404">
        <f>SUMIFS(Table1[Modeled_Demand],Table1[Key_Year_week_DC],Demand_Modeling_Week_level!$A404,Table1[BRAND],Demand_Modeling_Week_level!G$2)</f>
        <v>0</v>
      </c>
      <c r="H404">
        <f>SUMIFS(Table1[Modeled_Demand],Table1[Key_Year_week_DC],Demand_Modeling_Week_level!$A404,Table1[BRAND],Demand_Modeling_Week_level!H$2)</f>
        <v>0</v>
      </c>
      <c r="I404">
        <f>SUMIFS(Table1[Modeled_Demand],Table1[Key_Year_week_DC],Demand_Modeling_Week_level!$A404,Table1[BRAND],Demand_Modeling_Week_level!I$2)</f>
        <v>0</v>
      </c>
      <c r="J404">
        <f>SUMIFS(Table1[Modeled_Demand],Table1[Key_Year_week_DC],Demand_Modeling_Week_level!$A404,Table1[BRAND],Demand_Modeling_Week_level!J$2)</f>
        <v>0</v>
      </c>
      <c r="K404">
        <f>SUMIFS(Table1[Modeled_Demand],Table1[Key_Year_week_DC],Demand_Modeling_Week_level!$A404,Table1[BRAND],Demand_Modeling_Week_level!K$2)</f>
        <v>0</v>
      </c>
      <c r="L404">
        <f>SUMIFS(Table1[Demand],Table1[Key_Year_week_DC],Demand_Modeling_Week_level!$A404)</f>
        <v>0</v>
      </c>
      <c r="M404">
        <f t="shared" si="40"/>
        <v>0</v>
      </c>
      <c r="N404">
        <f>VLOOKUP(A404,Capacity!B:G,6,FALSE)</f>
        <v>0</v>
      </c>
      <c r="O404" s="20">
        <f t="shared" si="41"/>
        <v>0</v>
      </c>
      <c r="P404">
        <f t="shared" si="42"/>
        <v>0</v>
      </c>
    </row>
    <row r="405" spans="1:16" hidden="1" x14ac:dyDescent="0.3">
      <c r="A405" t="str">
        <f t="shared" si="38"/>
        <v>0-</v>
      </c>
      <c r="B405">
        <f t="shared" si="39"/>
        <v>0</v>
      </c>
      <c r="C405" s="11"/>
      <c r="D405" s="11"/>
      <c r="E405" s="11"/>
      <c r="F405">
        <f>SUMIFS(Table1[Modeled_Demand],Table1[Key_Year_week_DC],Demand_Modeling_Week_level!$A405,Table1[BRAND],Demand_Modeling_Week_level!F$2)</f>
        <v>0</v>
      </c>
      <c r="G405">
        <f>SUMIFS(Table1[Modeled_Demand],Table1[Key_Year_week_DC],Demand_Modeling_Week_level!$A405,Table1[BRAND],Demand_Modeling_Week_level!G$2)</f>
        <v>0</v>
      </c>
      <c r="H405">
        <f>SUMIFS(Table1[Modeled_Demand],Table1[Key_Year_week_DC],Demand_Modeling_Week_level!$A405,Table1[BRAND],Demand_Modeling_Week_level!H$2)</f>
        <v>0</v>
      </c>
      <c r="I405">
        <f>SUMIFS(Table1[Modeled_Demand],Table1[Key_Year_week_DC],Demand_Modeling_Week_level!$A405,Table1[BRAND],Demand_Modeling_Week_level!I$2)</f>
        <v>0</v>
      </c>
      <c r="J405">
        <f>SUMIFS(Table1[Modeled_Demand],Table1[Key_Year_week_DC],Demand_Modeling_Week_level!$A405,Table1[BRAND],Demand_Modeling_Week_level!J$2)</f>
        <v>0</v>
      </c>
      <c r="K405">
        <f>SUMIFS(Table1[Modeled_Demand],Table1[Key_Year_week_DC],Demand_Modeling_Week_level!$A405,Table1[BRAND],Demand_Modeling_Week_level!K$2)</f>
        <v>0</v>
      </c>
      <c r="L405">
        <f>SUMIFS(Table1[Demand],Table1[Key_Year_week_DC],Demand_Modeling_Week_level!$A405)</f>
        <v>0</v>
      </c>
      <c r="M405">
        <f t="shared" si="40"/>
        <v>0</v>
      </c>
      <c r="N405">
        <f>VLOOKUP(A405,Capacity!B:G,6,FALSE)</f>
        <v>0</v>
      </c>
      <c r="O405" s="20">
        <f t="shared" si="41"/>
        <v>0</v>
      </c>
      <c r="P405">
        <f t="shared" si="42"/>
        <v>0</v>
      </c>
    </row>
    <row r="406" spans="1:16" hidden="1" x14ac:dyDescent="0.3">
      <c r="A406" t="str">
        <f t="shared" si="38"/>
        <v>0-</v>
      </c>
      <c r="B406">
        <f t="shared" si="39"/>
        <v>0</v>
      </c>
      <c r="C406" s="11"/>
      <c r="D406" s="11"/>
      <c r="E406" s="11"/>
      <c r="F406">
        <f>SUMIFS(Table1[Modeled_Demand],Table1[Key_Year_week_DC],Demand_Modeling_Week_level!$A406,Table1[BRAND],Demand_Modeling_Week_level!F$2)</f>
        <v>0</v>
      </c>
      <c r="G406">
        <f>SUMIFS(Table1[Modeled_Demand],Table1[Key_Year_week_DC],Demand_Modeling_Week_level!$A406,Table1[BRAND],Demand_Modeling_Week_level!G$2)</f>
        <v>0</v>
      </c>
      <c r="H406">
        <f>SUMIFS(Table1[Modeled_Demand],Table1[Key_Year_week_DC],Demand_Modeling_Week_level!$A406,Table1[BRAND],Demand_Modeling_Week_level!H$2)</f>
        <v>0</v>
      </c>
      <c r="I406">
        <f>SUMIFS(Table1[Modeled_Demand],Table1[Key_Year_week_DC],Demand_Modeling_Week_level!$A406,Table1[BRAND],Demand_Modeling_Week_level!I$2)</f>
        <v>0</v>
      </c>
      <c r="J406">
        <f>SUMIFS(Table1[Modeled_Demand],Table1[Key_Year_week_DC],Demand_Modeling_Week_level!$A406,Table1[BRAND],Demand_Modeling_Week_level!J$2)</f>
        <v>0</v>
      </c>
      <c r="K406">
        <f>SUMIFS(Table1[Modeled_Demand],Table1[Key_Year_week_DC],Demand_Modeling_Week_level!$A406,Table1[BRAND],Demand_Modeling_Week_level!K$2)</f>
        <v>0</v>
      </c>
      <c r="L406">
        <f>SUMIFS(Table1[Demand],Table1[Key_Year_week_DC],Demand_Modeling_Week_level!$A406)</f>
        <v>0</v>
      </c>
      <c r="M406">
        <f t="shared" si="40"/>
        <v>0</v>
      </c>
      <c r="N406">
        <f>VLOOKUP(A406,Capacity!B:G,6,FALSE)</f>
        <v>0</v>
      </c>
      <c r="O406" s="20">
        <f t="shared" si="41"/>
        <v>0</v>
      </c>
      <c r="P406">
        <f t="shared" si="42"/>
        <v>0</v>
      </c>
    </row>
    <row r="407" spans="1:16" hidden="1" x14ac:dyDescent="0.3">
      <c r="A407" t="str">
        <f t="shared" si="38"/>
        <v>0-</v>
      </c>
      <c r="B407">
        <f t="shared" si="39"/>
        <v>0</v>
      </c>
      <c r="C407" s="11"/>
      <c r="D407" s="11"/>
      <c r="E407" s="11"/>
      <c r="F407">
        <f>SUMIFS(Table1[Modeled_Demand],Table1[Key_Year_week_DC],Demand_Modeling_Week_level!$A407,Table1[BRAND],Demand_Modeling_Week_level!F$2)</f>
        <v>0</v>
      </c>
      <c r="G407">
        <f>SUMIFS(Table1[Modeled_Demand],Table1[Key_Year_week_DC],Demand_Modeling_Week_level!$A407,Table1[BRAND],Demand_Modeling_Week_level!G$2)</f>
        <v>0</v>
      </c>
      <c r="H407">
        <f>SUMIFS(Table1[Modeled_Demand],Table1[Key_Year_week_DC],Demand_Modeling_Week_level!$A407,Table1[BRAND],Demand_Modeling_Week_level!H$2)</f>
        <v>0</v>
      </c>
      <c r="I407">
        <f>SUMIFS(Table1[Modeled_Demand],Table1[Key_Year_week_DC],Demand_Modeling_Week_level!$A407,Table1[BRAND],Demand_Modeling_Week_level!I$2)</f>
        <v>0</v>
      </c>
      <c r="J407">
        <f>SUMIFS(Table1[Modeled_Demand],Table1[Key_Year_week_DC],Demand_Modeling_Week_level!$A407,Table1[BRAND],Demand_Modeling_Week_level!J$2)</f>
        <v>0</v>
      </c>
      <c r="K407">
        <f>SUMIFS(Table1[Modeled_Demand],Table1[Key_Year_week_DC],Demand_Modeling_Week_level!$A407,Table1[BRAND],Demand_Modeling_Week_level!K$2)</f>
        <v>0</v>
      </c>
      <c r="L407">
        <f>SUMIFS(Table1[Demand],Table1[Key_Year_week_DC],Demand_Modeling_Week_level!$A407)</f>
        <v>0</v>
      </c>
      <c r="M407">
        <f t="shared" si="40"/>
        <v>0</v>
      </c>
      <c r="N407">
        <f>VLOOKUP(A407,Capacity!B:G,6,FALSE)</f>
        <v>0</v>
      </c>
      <c r="O407" s="20">
        <f t="shared" si="41"/>
        <v>0</v>
      </c>
      <c r="P407">
        <f t="shared" si="42"/>
        <v>0</v>
      </c>
    </row>
    <row r="408" spans="1:16" hidden="1" x14ac:dyDescent="0.3">
      <c r="A408" t="str">
        <f t="shared" si="38"/>
        <v>0-</v>
      </c>
      <c r="B408">
        <f t="shared" si="39"/>
        <v>0</v>
      </c>
      <c r="C408" s="11"/>
      <c r="D408" s="11"/>
      <c r="E408" s="11"/>
      <c r="F408">
        <f>SUMIFS(Table1[Modeled_Demand],Table1[Key_Year_week_DC],Demand_Modeling_Week_level!$A408,Table1[BRAND],Demand_Modeling_Week_level!F$2)</f>
        <v>0</v>
      </c>
      <c r="G408">
        <f>SUMIFS(Table1[Modeled_Demand],Table1[Key_Year_week_DC],Demand_Modeling_Week_level!$A408,Table1[BRAND],Demand_Modeling_Week_level!G$2)</f>
        <v>0</v>
      </c>
      <c r="H408">
        <f>SUMIFS(Table1[Modeled_Demand],Table1[Key_Year_week_DC],Demand_Modeling_Week_level!$A408,Table1[BRAND],Demand_Modeling_Week_level!H$2)</f>
        <v>0</v>
      </c>
      <c r="I408">
        <f>SUMIFS(Table1[Modeled_Demand],Table1[Key_Year_week_DC],Demand_Modeling_Week_level!$A408,Table1[BRAND],Demand_Modeling_Week_level!I$2)</f>
        <v>0</v>
      </c>
      <c r="J408">
        <f>SUMIFS(Table1[Modeled_Demand],Table1[Key_Year_week_DC],Demand_Modeling_Week_level!$A408,Table1[BRAND],Demand_Modeling_Week_level!J$2)</f>
        <v>0</v>
      </c>
      <c r="K408">
        <f>SUMIFS(Table1[Modeled_Demand],Table1[Key_Year_week_DC],Demand_Modeling_Week_level!$A408,Table1[BRAND],Demand_Modeling_Week_level!K$2)</f>
        <v>0</v>
      </c>
      <c r="L408">
        <f>SUMIFS(Table1[Demand],Table1[Key_Year_week_DC],Demand_Modeling_Week_level!$A408)</f>
        <v>0</v>
      </c>
      <c r="M408">
        <f t="shared" si="40"/>
        <v>0</v>
      </c>
      <c r="N408">
        <f>VLOOKUP(A408,Capacity!B:G,6,FALSE)</f>
        <v>0</v>
      </c>
      <c r="O408" s="20">
        <f t="shared" si="41"/>
        <v>0</v>
      </c>
      <c r="P408">
        <f t="shared" si="42"/>
        <v>0</v>
      </c>
    </row>
    <row r="409" spans="1:16" hidden="1" x14ac:dyDescent="0.3">
      <c r="A409" t="str">
        <f t="shared" si="38"/>
        <v>0-</v>
      </c>
      <c r="B409">
        <f t="shared" si="39"/>
        <v>0</v>
      </c>
      <c r="C409" s="11"/>
      <c r="D409" s="11"/>
      <c r="E409" s="11"/>
      <c r="F409">
        <f>SUMIFS(Table1[Modeled_Demand],Table1[Key_Year_week_DC],Demand_Modeling_Week_level!$A409,Table1[BRAND],Demand_Modeling_Week_level!F$2)</f>
        <v>0</v>
      </c>
      <c r="G409">
        <f>SUMIFS(Table1[Modeled_Demand],Table1[Key_Year_week_DC],Demand_Modeling_Week_level!$A409,Table1[BRAND],Demand_Modeling_Week_level!G$2)</f>
        <v>0</v>
      </c>
      <c r="H409">
        <f>SUMIFS(Table1[Modeled_Demand],Table1[Key_Year_week_DC],Demand_Modeling_Week_level!$A409,Table1[BRAND],Demand_Modeling_Week_level!H$2)</f>
        <v>0</v>
      </c>
      <c r="I409">
        <f>SUMIFS(Table1[Modeled_Demand],Table1[Key_Year_week_DC],Demand_Modeling_Week_level!$A409,Table1[BRAND],Demand_Modeling_Week_level!I$2)</f>
        <v>0</v>
      </c>
      <c r="J409">
        <f>SUMIFS(Table1[Modeled_Demand],Table1[Key_Year_week_DC],Demand_Modeling_Week_level!$A409,Table1[BRAND],Demand_Modeling_Week_level!J$2)</f>
        <v>0</v>
      </c>
      <c r="K409">
        <f>SUMIFS(Table1[Modeled_Demand],Table1[Key_Year_week_DC],Demand_Modeling_Week_level!$A409,Table1[BRAND],Demand_Modeling_Week_level!K$2)</f>
        <v>0</v>
      </c>
      <c r="L409">
        <f>SUMIFS(Table1[Demand],Table1[Key_Year_week_DC],Demand_Modeling_Week_level!$A409)</f>
        <v>0</v>
      </c>
      <c r="M409">
        <f t="shared" si="40"/>
        <v>0</v>
      </c>
      <c r="N409">
        <f>VLOOKUP(A409,Capacity!B:G,6,FALSE)</f>
        <v>0</v>
      </c>
      <c r="O409" s="20">
        <f t="shared" si="41"/>
        <v>0</v>
      </c>
      <c r="P409">
        <f t="shared" si="42"/>
        <v>0</v>
      </c>
    </row>
    <row r="410" spans="1:16" hidden="1" x14ac:dyDescent="0.3">
      <c r="A410" t="str">
        <f t="shared" si="38"/>
        <v>0-</v>
      </c>
      <c r="B410">
        <f t="shared" si="39"/>
        <v>0</v>
      </c>
      <c r="C410" s="11"/>
      <c r="D410" s="11"/>
      <c r="E410" s="11"/>
      <c r="F410">
        <f>SUMIFS(Table1[Modeled_Demand],Table1[Key_Year_week_DC],Demand_Modeling_Week_level!$A410,Table1[BRAND],Demand_Modeling_Week_level!F$2)</f>
        <v>0</v>
      </c>
      <c r="G410">
        <f>SUMIFS(Table1[Modeled_Demand],Table1[Key_Year_week_DC],Demand_Modeling_Week_level!$A410,Table1[BRAND],Demand_Modeling_Week_level!G$2)</f>
        <v>0</v>
      </c>
      <c r="H410">
        <f>SUMIFS(Table1[Modeled_Demand],Table1[Key_Year_week_DC],Demand_Modeling_Week_level!$A410,Table1[BRAND],Demand_Modeling_Week_level!H$2)</f>
        <v>0</v>
      </c>
      <c r="I410">
        <f>SUMIFS(Table1[Modeled_Demand],Table1[Key_Year_week_DC],Demand_Modeling_Week_level!$A410,Table1[BRAND],Demand_Modeling_Week_level!I$2)</f>
        <v>0</v>
      </c>
      <c r="J410">
        <f>SUMIFS(Table1[Modeled_Demand],Table1[Key_Year_week_DC],Demand_Modeling_Week_level!$A410,Table1[BRAND],Demand_Modeling_Week_level!J$2)</f>
        <v>0</v>
      </c>
      <c r="K410">
        <f>SUMIFS(Table1[Modeled_Demand],Table1[Key_Year_week_DC],Demand_Modeling_Week_level!$A410,Table1[BRAND],Demand_Modeling_Week_level!K$2)</f>
        <v>0</v>
      </c>
      <c r="L410">
        <f>SUMIFS(Table1[Demand],Table1[Key_Year_week_DC],Demand_Modeling_Week_level!$A410)</f>
        <v>0</v>
      </c>
      <c r="M410">
        <f t="shared" si="40"/>
        <v>0</v>
      </c>
      <c r="N410">
        <f>VLOOKUP(A410,Capacity!B:G,6,FALSE)</f>
        <v>0</v>
      </c>
      <c r="O410" s="20">
        <f t="shared" si="41"/>
        <v>0</v>
      </c>
      <c r="P410">
        <f t="shared" si="42"/>
        <v>0</v>
      </c>
    </row>
    <row r="411" spans="1:16" hidden="1" x14ac:dyDescent="0.3">
      <c r="A411" t="str">
        <f t="shared" si="38"/>
        <v>0-</v>
      </c>
      <c r="B411">
        <f t="shared" si="39"/>
        <v>0</v>
      </c>
      <c r="C411" s="11"/>
      <c r="D411" s="11"/>
      <c r="E411" s="11"/>
      <c r="F411">
        <f>SUMIFS(Table1[Modeled_Demand],Table1[Key_Year_week_DC],Demand_Modeling_Week_level!$A411,Table1[BRAND],Demand_Modeling_Week_level!F$2)</f>
        <v>0</v>
      </c>
      <c r="G411">
        <f>SUMIFS(Table1[Modeled_Demand],Table1[Key_Year_week_DC],Demand_Modeling_Week_level!$A411,Table1[BRAND],Demand_Modeling_Week_level!G$2)</f>
        <v>0</v>
      </c>
      <c r="H411">
        <f>SUMIFS(Table1[Modeled_Demand],Table1[Key_Year_week_DC],Demand_Modeling_Week_level!$A411,Table1[BRAND],Demand_Modeling_Week_level!H$2)</f>
        <v>0</v>
      </c>
      <c r="I411">
        <f>SUMIFS(Table1[Modeled_Demand],Table1[Key_Year_week_DC],Demand_Modeling_Week_level!$A411,Table1[BRAND],Demand_Modeling_Week_level!I$2)</f>
        <v>0</v>
      </c>
      <c r="J411">
        <f>SUMIFS(Table1[Modeled_Demand],Table1[Key_Year_week_DC],Demand_Modeling_Week_level!$A411,Table1[BRAND],Demand_Modeling_Week_level!J$2)</f>
        <v>0</v>
      </c>
      <c r="K411">
        <f>SUMIFS(Table1[Modeled_Demand],Table1[Key_Year_week_DC],Demand_Modeling_Week_level!$A411,Table1[BRAND],Demand_Modeling_Week_level!K$2)</f>
        <v>0</v>
      </c>
      <c r="L411">
        <f>SUMIFS(Table1[Demand],Table1[Key_Year_week_DC],Demand_Modeling_Week_level!$A411)</f>
        <v>0</v>
      </c>
      <c r="M411">
        <f t="shared" si="40"/>
        <v>0</v>
      </c>
      <c r="N411">
        <f>VLOOKUP(A411,Capacity!B:G,6,FALSE)</f>
        <v>0</v>
      </c>
      <c r="O411" s="20">
        <f t="shared" si="41"/>
        <v>0</v>
      </c>
      <c r="P411">
        <f t="shared" si="42"/>
        <v>0</v>
      </c>
    </row>
    <row r="412" spans="1:16" hidden="1" x14ac:dyDescent="0.3">
      <c r="A412" t="str">
        <f t="shared" si="38"/>
        <v>0-</v>
      </c>
      <c r="B412">
        <f t="shared" si="39"/>
        <v>0</v>
      </c>
      <c r="C412" s="11"/>
      <c r="D412" s="11"/>
      <c r="E412" s="11"/>
      <c r="F412">
        <f>SUMIFS(Table1[Modeled_Demand],Table1[Key_Year_week_DC],Demand_Modeling_Week_level!$A412,Table1[BRAND],Demand_Modeling_Week_level!F$2)</f>
        <v>0</v>
      </c>
      <c r="G412">
        <f>SUMIFS(Table1[Modeled_Demand],Table1[Key_Year_week_DC],Demand_Modeling_Week_level!$A412,Table1[BRAND],Demand_Modeling_Week_level!G$2)</f>
        <v>0</v>
      </c>
      <c r="H412">
        <f>SUMIFS(Table1[Modeled_Demand],Table1[Key_Year_week_DC],Demand_Modeling_Week_level!$A412,Table1[BRAND],Demand_Modeling_Week_level!H$2)</f>
        <v>0</v>
      </c>
      <c r="I412">
        <f>SUMIFS(Table1[Modeled_Demand],Table1[Key_Year_week_DC],Demand_Modeling_Week_level!$A412,Table1[BRAND],Demand_Modeling_Week_level!I$2)</f>
        <v>0</v>
      </c>
      <c r="J412">
        <f>SUMIFS(Table1[Modeled_Demand],Table1[Key_Year_week_DC],Demand_Modeling_Week_level!$A412,Table1[BRAND],Demand_Modeling_Week_level!J$2)</f>
        <v>0</v>
      </c>
      <c r="K412">
        <f>SUMIFS(Table1[Modeled_Demand],Table1[Key_Year_week_DC],Demand_Modeling_Week_level!$A412,Table1[BRAND],Demand_Modeling_Week_level!K$2)</f>
        <v>0</v>
      </c>
      <c r="L412">
        <f>SUMIFS(Table1[Demand],Table1[Key_Year_week_DC],Demand_Modeling_Week_level!$A412)</f>
        <v>0</v>
      </c>
      <c r="M412">
        <f t="shared" si="40"/>
        <v>0</v>
      </c>
      <c r="N412">
        <f>VLOOKUP(A412,Capacity!B:G,6,FALSE)</f>
        <v>0</v>
      </c>
      <c r="O412" s="20">
        <f t="shared" si="41"/>
        <v>0</v>
      </c>
      <c r="P412">
        <f t="shared" si="42"/>
        <v>0</v>
      </c>
    </row>
    <row r="413" spans="1:16" hidden="1" x14ac:dyDescent="0.3">
      <c r="A413" t="str">
        <f t="shared" si="38"/>
        <v>0-</v>
      </c>
      <c r="B413">
        <f t="shared" si="39"/>
        <v>0</v>
      </c>
      <c r="C413" s="11"/>
      <c r="D413" s="11"/>
      <c r="E413" s="11"/>
      <c r="F413">
        <f>SUMIFS(Table1[Modeled_Demand],Table1[Key_Year_week_DC],Demand_Modeling_Week_level!$A413,Table1[BRAND],Demand_Modeling_Week_level!F$2)</f>
        <v>0</v>
      </c>
      <c r="G413">
        <f>SUMIFS(Table1[Modeled_Demand],Table1[Key_Year_week_DC],Demand_Modeling_Week_level!$A413,Table1[BRAND],Demand_Modeling_Week_level!G$2)</f>
        <v>0</v>
      </c>
      <c r="H413">
        <f>SUMIFS(Table1[Modeled_Demand],Table1[Key_Year_week_DC],Demand_Modeling_Week_level!$A413,Table1[BRAND],Demand_Modeling_Week_level!H$2)</f>
        <v>0</v>
      </c>
      <c r="I413">
        <f>SUMIFS(Table1[Modeled_Demand],Table1[Key_Year_week_DC],Demand_Modeling_Week_level!$A413,Table1[BRAND],Demand_Modeling_Week_level!I$2)</f>
        <v>0</v>
      </c>
      <c r="J413">
        <f>SUMIFS(Table1[Modeled_Demand],Table1[Key_Year_week_DC],Demand_Modeling_Week_level!$A413,Table1[BRAND],Demand_Modeling_Week_level!J$2)</f>
        <v>0</v>
      </c>
      <c r="K413">
        <f>SUMIFS(Table1[Modeled_Demand],Table1[Key_Year_week_DC],Demand_Modeling_Week_level!$A413,Table1[BRAND],Demand_Modeling_Week_level!K$2)</f>
        <v>0</v>
      </c>
      <c r="L413">
        <f>SUMIFS(Table1[Demand],Table1[Key_Year_week_DC],Demand_Modeling_Week_level!$A413)</f>
        <v>0</v>
      </c>
      <c r="M413">
        <f t="shared" si="40"/>
        <v>0</v>
      </c>
      <c r="N413">
        <f>VLOOKUP(A413,Capacity!B:G,6,FALSE)</f>
        <v>0</v>
      </c>
      <c r="O413" s="20">
        <f t="shared" si="41"/>
        <v>0</v>
      </c>
      <c r="P413">
        <f t="shared" si="42"/>
        <v>0</v>
      </c>
    </row>
    <row r="414" spans="1:16" hidden="1" x14ac:dyDescent="0.3">
      <c r="A414" t="str">
        <f t="shared" si="38"/>
        <v>0-</v>
      </c>
      <c r="B414">
        <f t="shared" si="39"/>
        <v>0</v>
      </c>
      <c r="C414" s="11"/>
      <c r="D414" s="11"/>
      <c r="E414" s="11"/>
      <c r="F414">
        <f>SUMIFS(Table1[Modeled_Demand],Table1[Key_Year_week_DC],Demand_Modeling_Week_level!$A414,Table1[BRAND],Demand_Modeling_Week_level!F$2)</f>
        <v>0</v>
      </c>
      <c r="G414">
        <f>SUMIFS(Table1[Modeled_Demand],Table1[Key_Year_week_DC],Demand_Modeling_Week_level!$A414,Table1[BRAND],Demand_Modeling_Week_level!G$2)</f>
        <v>0</v>
      </c>
      <c r="H414">
        <f>SUMIFS(Table1[Modeled_Demand],Table1[Key_Year_week_DC],Demand_Modeling_Week_level!$A414,Table1[BRAND],Demand_Modeling_Week_level!H$2)</f>
        <v>0</v>
      </c>
      <c r="I414">
        <f>SUMIFS(Table1[Modeled_Demand],Table1[Key_Year_week_DC],Demand_Modeling_Week_level!$A414,Table1[BRAND],Demand_Modeling_Week_level!I$2)</f>
        <v>0</v>
      </c>
      <c r="J414">
        <f>SUMIFS(Table1[Modeled_Demand],Table1[Key_Year_week_DC],Demand_Modeling_Week_level!$A414,Table1[BRAND],Demand_Modeling_Week_level!J$2)</f>
        <v>0</v>
      </c>
      <c r="K414">
        <f>SUMIFS(Table1[Modeled_Demand],Table1[Key_Year_week_DC],Demand_Modeling_Week_level!$A414,Table1[BRAND],Demand_Modeling_Week_level!K$2)</f>
        <v>0</v>
      </c>
      <c r="L414">
        <f>SUMIFS(Table1[Demand],Table1[Key_Year_week_DC],Demand_Modeling_Week_level!$A414)</f>
        <v>0</v>
      </c>
      <c r="M414">
        <f t="shared" si="40"/>
        <v>0</v>
      </c>
      <c r="N414">
        <f>VLOOKUP(A414,Capacity!B:G,6,FALSE)</f>
        <v>0</v>
      </c>
      <c r="O414" s="20">
        <f t="shared" si="41"/>
        <v>0</v>
      </c>
      <c r="P414">
        <f t="shared" si="42"/>
        <v>0</v>
      </c>
    </row>
    <row r="415" spans="1:16" hidden="1" x14ac:dyDescent="0.3">
      <c r="A415" t="str">
        <f t="shared" si="38"/>
        <v>0-</v>
      </c>
      <c r="B415">
        <f t="shared" si="39"/>
        <v>0</v>
      </c>
      <c r="C415" s="11"/>
      <c r="D415" s="11"/>
      <c r="E415" s="11"/>
      <c r="F415">
        <f>SUMIFS(Table1[Modeled_Demand],Table1[Key_Year_week_DC],Demand_Modeling_Week_level!$A415,Table1[BRAND],Demand_Modeling_Week_level!F$2)</f>
        <v>0</v>
      </c>
      <c r="G415">
        <f>SUMIFS(Table1[Modeled_Demand],Table1[Key_Year_week_DC],Demand_Modeling_Week_level!$A415,Table1[BRAND],Demand_Modeling_Week_level!G$2)</f>
        <v>0</v>
      </c>
      <c r="H415">
        <f>SUMIFS(Table1[Modeled_Demand],Table1[Key_Year_week_DC],Demand_Modeling_Week_level!$A415,Table1[BRAND],Demand_Modeling_Week_level!H$2)</f>
        <v>0</v>
      </c>
      <c r="I415">
        <f>SUMIFS(Table1[Modeled_Demand],Table1[Key_Year_week_DC],Demand_Modeling_Week_level!$A415,Table1[BRAND],Demand_Modeling_Week_level!I$2)</f>
        <v>0</v>
      </c>
      <c r="J415">
        <f>SUMIFS(Table1[Modeled_Demand],Table1[Key_Year_week_DC],Demand_Modeling_Week_level!$A415,Table1[BRAND],Demand_Modeling_Week_level!J$2)</f>
        <v>0</v>
      </c>
      <c r="K415">
        <f>SUMIFS(Table1[Modeled_Demand],Table1[Key_Year_week_DC],Demand_Modeling_Week_level!$A415,Table1[BRAND],Demand_Modeling_Week_level!K$2)</f>
        <v>0</v>
      </c>
      <c r="L415">
        <f>SUMIFS(Table1[Demand],Table1[Key_Year_week_DC],Demand_Modeling_Week_level!$A415)</f>
        <v>0</v>
      </c>
      <c r="M415">
        <f t="shared" si="40"/>
        <v>0</v>
      </c>
      <c r="N415">
        <f>VLOOKUP(A415,Capacity!B:G,6,FALSE)</f>
        <v>0</v>
      </c>
      <c r="O415" s="20">
        <f t="shared" si="41"/>
        <v>0</v>
      </c>
      <c r="P415">
        <f t="shared" si="42"/>
        <v>0</v>
      </c>
    </row>
    <row r="416" spans="1:16" hidden="1" x14ac:dyDescent="0.3">
      <c r="A416" t="str">
        <f t="shared" si="38"/>
        <v>0-</v>
      </c>
      <c r="B416">
        <f t="shared" si="39"/>
        <v>0</v>
      </c>
      <c r="C416" s="11"/>
      <c r="D416" s="11"/>
      <c r="E416" s="11"/>
      <c r="F416">
        <f>SUMIFS(Table1[Modeled_Demand],Table1[Key_Year_week_DC],Demand_Modeling_Week_level!$A416,Table1[BRAND],Demand_Modeling_Week_level!F$2)</f>
        <v>0</v>
      </c>
      <c r="G416">
        <f>SUMIFS(Table1[Modeled_Demand],Table1[Key_Year_week_DC],Demand_Modeling_Week_level!$A416,Table1[BRAND],Demand_Modeling_Week_level!G$2)</f>
        <v>0</v>
      </c>
      <c r="H416">
        <f>SUMIFS(Table1[Modeled_Demand],Table1[Key_Year_week_DC],Demand_Modeling_Week_level!$A416,Table1[BRAND],Demand_Modeling_Week_level!H$2)</f>
        <v>0</v>
      </c>
      <c r="I416">
        <f>SUMIFS(Table1[Modeled_Demand],Table1[Key_Year_week_DC],Demand_Modeling_Week_level!$A416,Table1[BRAND],Demand_Modeling_Week_level!I$2)</f>
        <v>0</v>
      </c>
      <c r="J416">
        <f>SUMIFS(Table1[Modeled_Demand],Table1[Key_Year_week_DC],Demand_Modeling_Week_level!$A416,Table1[BRAND],Demand_Modeling_Week_level!J$2)</f>
        <v>0</v>
      </c>
      <c r="K416">
        <f>SUMIFS(Table1[Modeled_Demand],Table1[Key_Year_week_DC],Demand_Modeling_Week_level!$A416,Table1[BRAND],Demand_Modeling_Week_level!K$2)</f>
        <v>0</v>
      </c>
      <c r="L416">
        <f>SUMIFS(Table1[Demand],Table1[Key_Year_week_DC],Demand_Modeling_Week_level!$A416)</f>
        <v>0</v>
      </c>
      <c r="M416">
        <f t="shared" si="40"/>
        <v>0</v>
      </c>
      <c r="N416">
        <f>VLOOKUP(A416,Capacity!B:G,6,FALSE)</f>
        <v>0</v>
      </c>
      <c r="O416" s="20">
        <f t="shared" si="41"/>
        <v>0</v>
      </c>
      <c r="P416">
        <f t="shared" si="42"/>
        <v>0</v>
      </c>
    </row>
    <row r="417" spans="1:16" hidden="1" x14ac:dyDescent="0.3">
      <c r="A417" t="str">
        <f t="shared" si="38"/>
        <v>0-</v>
      </c>
      <c r="B417">
        <f t="shared" si="39"/>
        <v>0</v>
      </c>
      <c r="C417" s="11"/>
      <c r="D417" s="11"/>
      <c r="E417" s="11"/>
      <c r="F417">
        <f>SUMIFS(Table1[Modeled_Demand],Table1[Key_Year_week_DC],Demand_Modeling_Week_level!$A417,Table1[BRAND],Demand_Modeling_Week_level!F$2)</f>
        <v>0</v>
      </c>
      <c r="G417">
        <f>SUMIFS(Table1[Modeled_Demand],Table1[Key_Year_week_DC],Demand_Modeling_Week_level!$A417,Table1[BRAND],Demand_Modeling_Week_level!G$2)</f>
        <v>0</v>
      </c>
      <c r="H417">
        <f>SUMIFS(Table1[Modeled_Demand],Table1[Key_Year_week_DC],Demand_Modeling_Week_level!$A417,Table1[BRAND],Demand_Modeling_Week_level!H$2)</f>
        <v>0</v>
      </c>
      <c r="I417">
        <f>SUMIFS(Table1[Modeled_Demand],Table1[Key_Year_week_DC],Demand_Modeling_Week_level!$A417,Table1[BRAND],Demand_Modeling_Week_level!I$2)</f>
        <v>0</v>
      </c>
      <c r="J417">
        <f>SUMIFS(Table1[Modeled_Demand],Table1[Key_Year_week_DC],Demand_Modeling_Week_level!$A417,Table1[BRAND],Demand_Modeling_Week_level!J$2)</f>
        <v>0</v>
      </c>
      <c r="K417">
        <f>SUMIFS(Table1[Modeled_Demand],Table1[Key_Year_week_DC],Demand_Modeling_Week_level!$A417,Table1[BRAND],Demand_Modeling_Week_level!K$2)</f>
        <v>0</v>
      </c>
      <c r="L417">
        <f>SUMIFS(Table1[Demand],Table1[Key_Year_week_DC],Demand_Modeling_Week_level!$A417)</f>
        <v>0</v>
      </c>
      <c r="M417">
        <f t="shared" si="40"/>
        <v>0</v>
      </c>
      <c r="N417">
        <f>VLOOKUP(A417,Capacity!B:G,6,FALSE)</f>
        <v>0</v>
      </c>
      <c r="O417" s="20">
        <f t="shared" si="41"/>
        <v>0</v>
      </c>
      <c r="P417">
        <f t="shared" si="42"/>
        <v>0</v>
      </c>
    </row>
    <row r="418" spans="1:16" hidden="1" x14ac:dyDescent="0.3">
      <c r="A418" t="str">
        <f t="shared" si="38"/>
        <v>0-</v>
      </c>
      <c r="B418">
        <f t="shared" si="39"/>
        <v>0</v>
      </c>
      <c r="C418" s="11"/>
      <c r="D418" s="11"/>
      <c r="E418" s="11"/>
      <c r="F418">
        <f>SUMIFS(Table1[Modeled_Demand],Table1[Key_Year_week_DC],Demand_Modeling_Week_level!$A418,Table1[BRAND],Demand_Modeling_Week_level!F$2)</f>
        <v>0</v>
      </c>
      <c r="G418">
        <f>SUMIFS(Table1[Modeled_Demand],Table1[Key_Year_week_DC],Demand_Modeling_Week_level!$A418,Table1[BRAND],Demand_Modeling_Week_level!G$2)</f>
        <v>0</v>
      </c>
      <c r="H418">
        <f>SUMIFS(Table1[Modeled_Demand],Table1[Key_Year_week_DC],Demand_Modeling_Week_level!$A418,Table1[BRAND],Demand_Modeling_Week_level!H$2)</f>
        <v>0</v>
      </c>
      <c r="I418">
        <f>SUMIFS(Table1[Modeled_Demand],Table1[Key_Year_week_DC],Demand_Modeling_Week_level!$A418,Table1[BRAND],Demand_Modeling_Week_level!I$2)</f>
        <v>0</v>
      </c>
      <c r="J418">
        <f>SUMIFS(Table1[Modeled_Demand],Table1[Key_Year_week_DC],Demand_Modeling_Week_level!$A418,Table1[BRAND],Demand_Modeling_Week_level!J$2)</f>
        <v>0</v>
      </c>
      <c r="K418">
        <f>SUMIFS(Table1[Modeled_Demand],Table1[Key_Year_week_DC],Demand_Modeling_Week_level!$A418,Table1[BRAND],Demand_Modeling_Week_level!K$2)</f>
        <v>0</v>
      </c>
      <c r="L418">
        <f>SUMIFS(Table1[Demand],Table1[Key_Year_week_DC],Demand_Modeling_Week_level!$A418)</f>
        <v>0</v>
      </c>
      <c r="M418">
        <f t="shared" si="40"/>
        <v>0</v>
      </c>
      <c r="N418">
        <f>VLOOKUP(A418,Capacity!B:G,6,FALSE)</f>
        <v>0</v>
      </c>
      <c r="O418" s="20">
        <f t="shared" si="41"/>
        <v>0</v>
      </c>
      <c r="P418">
        <f t="shared" si="42"/>
        <v>0</v>
      </c>
    </row>
    <row r="419" spans="1:16" hidden="1" x14ac:dyDescent="0.3">
      <c r="A419" t="str">
        <f t="shared" si="38"/>
        <v>0-</v>
      </c>
      <c r="B419">
        <f t="shared" si="39"/>
        <v>0</v>
      </c>
      <c r="C419" s="11"/>
      <c r="D419" s="11"/>
      <c r="E419" s="11"/>
      <c r="F419">
        <f>SUMIFS(Table1[Modeled_Demand],Table1[Key_Year_week_DC],Demand_Modeling_Week_level!$A419,Table1[BRAND],Demand_Modeling_Week_level!F$2)</f>
        <v>0</v>
      </c>
      <c r="G419">
        <f>SUMIFS(Table1[Modeled_Demand],Table1[Key_Year_week_DC],Demand_Modeling_Week_level!$A419,Table1[BRAND],Demand_Modeling_Week_level!G$2)</f>
        <v>0</v>
      </c>
      <c r="H419">
        <f>SUMIFS(Table1[Modeled_Demand],Table1[Key_Year_week_DC],Demand_Modeling_Week_level!$A419,Table1[BRAND],Demand_Modeling_Week_level!H$2)</f>
        <v>0</v>
      </c>
      <c r="I419">
        <f>SUMIFS(Table1[Modeled_Demand],Table1[Key_Year_week_DC],Demand_Modeling_Week_level!$A419,Table1[BRAND],Demand_Modeling_Week_level!I$2)</f>
        <v>0</v>
      </c>
      <c r="J419">
        <f>SUMIFS(Table1[Modeled_Demand],Table1[Key_Year_week_DC],Demand_Modeling_Week_level!$A419,Table1[BRAND],Demand_Modeling_Week_level!J$2)</f>
        <v>0</v>
      </c>
      <c r="K419">
        <f>SUMIFS(Table1[Modeled_Demand],Table1[Key_Year_week_DC],Demand_Modeling_Week_level!$A419,Table1[BRAND],Demand_Modeling_Week_level!K$2)</f>
        <v>0</v>
      </c>
      <c r="L419">
        <f>SUMIFS(Table1[Demand],Table1[Key_Year_week_DC],Demand_Modeling_Week_level!$A419)</f>
        <v>0</v>
      </c>
      <c r="M419">
        <f t="shared" si="40"/>
        <v>0</v>
      </c>
      <c r="N419">
        <f>VLOOKUP(A419,Capacity!B:G,6,FALSE)</f>
        <v>0</v>
      </c>
      <c r="O419" s="20">
        <f t="shared" si="41"/>
        <v>0</v>
      </c>
      <c r="P419">
        <f t="shared" si="42"/>
        <v>0</v>
      </c>
    </row>
    <row r="420" spans="1:16" hidden="1" x14ac:dyDescent="0.3">
      <c r="A420" t="str">
        <f t="shared" si="38"/>
        <v>0-</v>
      </c>
      <c r="B420">
        <f t="shared" si="39"/>
        <v>0</v>
      </c>
      <c r="C420" s="11"/>
      <c r="D420" s="11"/>
      <c r="E420" s="11"/>
      <c r="F420">
        <f>SUMIFS(Table1[Modeled_Demand],Table1[Key_Year_week_DC],Demand_Modeling_Week_level!$A420,Table1[BRAND],Demand_Modeling_Week_level!F$2)</f>
        <v>0</v>
      </c>
      <c r="G420">
        <f>SUMIFS(Table1[Modeled_Demand],Table1[Key_Year_week_DC],Demand_Modeling_Week_level!$A420,Table1[BRAND],Demand_Modeling_Week_level!G$2)</f>
        <v>0</v>
      </c>
      <c r="H420">
        <f>SUMIFS(Table1[Modeled_Demand],Table1[Key_Year_week_DC],Demand_Modeling_Week_level!$A420,Table1[BRAND],Demand_Modeling_Week_level!H$2)</f>
        <v>0</v>
      </c>
      <c r="I420">
        <f>SUMIFS(Table1[Modeled_Demand],Table1[Key_Year_week_DC],Demand_Modeling_Week_level!$A420,Table1[BRAND],Demand_Modeling_Week_level!I$2)</f>
        <v>0</v>
      </c>
      <c r="J420">
        <f>SUMIFS(Table1[Modeled_Demand],Table1[Key_Year_week_DC],Demand_Modeling_Week_level!$A420,Table1[BRAND],Demand_Modeling_Week_level!J$2)</f>
        <v>0</v>
      </c>
      <c r="K420">
        <f>SUMIFS(Table1[Modeled_Demand],Table1[Key_Year_week_DC],Demand_Modeling_Week_level!$A420,Table1[BRAND],Demand_Modeling_Week_level!K$2)</f>
        <v>0</v>
      </c>
      <c r="L420">
        <f>SUMIFS(Table1[Demand],Table1[Key_Year_week_DC],Demand_Modeling_Week_level!$A420)</f>
        <v>0</v>
      </c>
      <c r="M420">
        <f t="shared" si="40"/>
        <v>0</v>
      </c>
      <c r="N420">
        <f>VLOOKUP(A420,Capacity!B:G,6,FALSE)</f>
        <v>0</v>
      </c>
      <c r="O420" s="20">
        <f t="shared" si="41"/>
        <v>0</v>
      </c>
      <c r="P420">
        <f t="shared" si="42"/>
        <v>0</v>
      </c>
    </row>
    <row r="421" spans="1:16" hidden="1" x14ac:dyDescent="0.3">
      <c r="A421" t="str">
        <f t="shared" si="38"/>
        <v>0-</v>
      </c>
      <c r="B421">
        <f t="shared" si="39"/>
        <v>0</v>
      </c>
      <c r="C421" s="11"/>
      <c r="D421" s="11"/>
      <c r="E421" s="11"/>
      <c r="F421">
        <f>SUMIFS(Table1[Modeled_Demand],Table1[Key_Year_week_DC],Demand_Modeling_Week_level!$A421,Table1[BRAND],Demand_Modeling_Week_level!F$2)</f>
        <v>0</v>
      </c>
      <c r="G421">
        <f>SUMIFS(Table1[Modeled_Demand],Table1[Key_Year_week_DC],Demand_Modeling_Week_level!$A421,Table1[BRAND],Demand_Modeling_Week_level!G$2)</f>
        <v>0</v>
      </c>
      <c r="H421">
        <f>SUMIFS(Table1[Modeled_Demand],Table1[Key_Year_week_DC],Demand_Modeling_Week_level!$A421,Table1[BRAND],Demand_Modeling_Week_level!H$2)</f>
        <v>0</v>
      </c>
      <c r="I421">
        <f>SUMIFS(Table1[Modeled_Demand],Table1[Key_Year_week_DC],Demand_Modeling_Week_level!$A421,Table1[BRAND],Demand_Modeling_Week_level!I$2)</f>
        <v>0</v>
      </c>
      <c r="J421">
        <f>SUMIFS(Table1[Modeled_Demand],Table1[Key_Year_week_DC],Demand_Modeling_Week_level!$A421,Table1[BRAND],Demand_Modeling_Week_level!J$2)</f>
        <v>0</v>
      </c>
      <c r="K421">
        <f>SUMIFS(Table1[Modeled_Demand],Table1[Key_Year_week_DC],Demand_Modeling_Week_level!$A421,Table1[BRAND],Demand_Modeling_Week_level!K$2)</f>
        <v>0</v>
      </c>
      <c r="L421">
        <f>SUMIFS(Table1[Demand],Table1[Key_Year_week_DC],Demand_Modeling_Week_level!$A421)</f>
        <v>0</v>
      </c>
      <c r="M421">
        <f t="shared" si="40"/>
        <v>0</v>
      </c>
      <c r="N421">
        <f>VLOOKUP(A421,Capacity!B:G,6,FALSE)</f>
        <v>0</v>
      </c>
      <c r="O421" s="20">
        <f t="shared" si="41"/>
        <v>0</v>
      </c>
      <c r="P421">
        <f t="shared" si="42"/>
        <v>0</v>
      </c>
    </row>
    <row r="422" spans="1:16" hidden="1" x14ac:dyDescent="0.3">
      <c r="A422" t="str">
        <f t="shared" si="38"/>
        <v>0-</v>
      </c>
      <c r="B422">
        <f t="shared" si="39"/>
        <v>0</v>
      </c>
      <c r="C422" s="11"/>
      <c r="D422" s="11"/>
      <c r="E422" s="11"/>
      <c r="F422">
        <f>SUMIFS(Table1[Modeled_Demand],Table1[Key_Year_week_DC],Demand_Modeling_Week_level!$A422,Table1[BRAND],Demand_Modeling_Week_level!F$2)</f>
        <v>0</v>
      </c>
      <c r="G422">
        <f>SUMIFS(Table1[Modeled_Demand],Table1[Key_Year_week_DC],Demand_Modeling_Week_level!$A422,Table1[BRAND],Demand_Modeling_Week_level!G$2)</f>
        <v>0</v>
      </c>
      <c r="H422">
        <f>SUMIFS(Table1[Modeled_Demand],Table1[Key_Year_week_DC],Demand_Modeling_Week_level!$A422,Table1[BRAND],Demand_Modeling_Week_level!H$2)</f>
        <v>0</v>
      </c>
      <c r="I422">
        <f>SUMIFS(Table1[Modeled_Demand],Table1[Key_Year_week_DC],Demand_Modeling_Week_level!$A422,Table1[BRAND],Demand_Modeling_Week_level!I$2)</f>
        <v>0</v>
      </c>
      <c r="J422">
        <f>SUMIFS(Table1[Modeled_Demand],Table1[Key_Year_week_DC],Demand_Modeling_Week_level!$A422,Table1[BRAND],Demand_Modeling_Week_level!J$2)</f>
        <v>0</v>
      </c>
      <c r="K422">
        <f>SUMIFS(Table1[Modeled_Demand],Table1[Key_Year_week_DC],Demand_Modeling_Week_level!$A422,Table1[BRAND],Demand_Modeling_Week_level!K$2)</f>
        <v>0</v>
      </c>
      <c r="L422">
        <f>SUMIFS(Table1[Demand],Table1[Key_Year_week_DC],Demand_Modeling_Week_level!$A422)</f>
        <v>0</v>
      </c>
      <c r="M422">
        <f t="shared" si="40"/>
        <v>0</v>
      </c>
      <c r="N422">
        <f>VLOOKUP(A422,Capacity!B:G,6,FALSE)</f>
        <v>0</v>
      </c>
      <c r="O422" s="20">
        <f t="shared" si="41"/>
        <v>0</v>
      </c>
      <c r="P422">
        <f t="shared" si="42"/>
        <v>0</v>
      </c>
    </row>
    <row r="423" spans="1:16" hidden="1" x14ac:dyDescent="0.3">
      <c r="A423" t="str">
        <f t="shared" si="38"/>
        <v>0-</v>
      </c>
      <c r="B423">
        <f t="shared" si="39"/>
        <v>0</v>
      </c>
      <c r="C423" s="11"/>
      <c r="D423" s="11"/>
      <c r="E423" s="11"/>
      <c r="F423">
        <f>SUMIFS(Table1[Modeled_Demand],Table1[Key_Year_week_DC],Demand_Modeling_Week_level!$A423,Table1[BRAND],Demand_Modeling_Week_level!F$2)</f>
        <v>0</v>
      </c>
      <c r="G423">
        <f>SUMIFS(Table1[Modeled_Demand],Table1[Key_Year_week_DC],Demand_Modeling_Week_level!$A423,Table1[BRAND],Demand_Modeling_Week_level!G$2)</f>
        <v>0</v>
      </c>
      <c r="H423">
        <f>SUMIFS(Table1[Modeled_Demand],Table1[Key_Year_week_DC],Demand_Modeling_Week_level!$A423,Table1[BRAND],Demand_Modeling_Week_level!H$2)</f>
        <v>0</v>
      </c>
      <c r="I423">
        <f>SUMIFS(Table1[Modeled_Demand],Table1[Key_Year_week_DC],Demand_Modeling_Week_level!$A423,Table1[BRAND],Demand_Modeling_Week_level!I$2)</f>
        <v>0</v>
      </c>
      <c r="J423">
        <f>SUMIFS(Table1[Modeled_Demand],Table1[Key_Year_week_DC],Demand_Modeling_Week_level!$A423,Table1[BRAND],Demand_Modeling_Week_level!J$2)</f>
        <v>0</v>
      </c>
      <c r="K423">
        <f>SUMIFS(Table1[Modeled_Demand],Table1[Key_Year_week_DC],Demand_Modeling_Week_level!$A423,Table1[BRAND],Demand_Modeling_Week_level!K$2)</f>
        <v>0</v>
      </c>
      <c r="L423">
        <f>SUMIFS(Table1[Demand],Table1[Key_Year_week_DC],Demand_Modeling_Week_level!$A423)</f>
        <v>0</v>
      </c>
      <c r="M423">
        <f t="shared" si="40"/>
        <v>0</v>
      </c>
      <c r="N423">
        <f>VLOOKUP(A423,Capacity!B:G,6,FALSE)</f>
        <v>0</v>
      </c>
      <c r="O423" s="20">
        <f t="shared" si="41"/>
        <v>0</v>
      </c>
      <c r="P423">
        <f t="shared" si="42"/>
        <v>0</v>
      </c>
    </row>
    <row r="424" spans="1:16" hidden="1" x14ac:dyDescent="0.3">
      <c r="A424" t="str">
        <f t="shared" si="38"/>
        <v>0-</v>
      </c>
      <c r="B424">
        <f t="shared" si="39"/>
        <v>0</v>
      </c>
      <c r="C424" s="11"/>
      <c r="D424" s="11"/>
      <c r="E424" s="11"/>
      <c r="F424">
        <f>SUMIFS(Table1[Modeled_Demand],Table1[Key_Year_week_DC],Demand_Modeling_Week_level!$A424,Table1[BRAND],Demand_Modeling_Week_level!F$2)</f>
        <v>0</v>
      </c>
      <c r="G424">
        <f>SUMIFS(Table1[Modeled_Demand],Table1[Key_Year_week_DC],Demand_Modeling_Week_level!$A424,Table1[BRAND],Demand_Modeling_Week_level!G$2)</f>
        <v>0</v>
      </c>
      <c r="H424">
        <f>SUMIFS(Table1[Modeled_Demand],Table1[Key_Year_week_DC],Demand_Modeling_Week_level!$A424,Table1[BRAND],Demand_Modeling_Week_level!H$2)</f>
        <v>0</v>
      </c>
      <c r="I424">
        <f>SUMIFS(Table1[Modeled_Demand],Table1[Key_Year_week_DC],Demand_Modeling_Week_level!$A424,Table1[BRAND],Demand_Modeling_Week_level!I$2)</f>
        <v>0</v>
      </c>
      <c r="J424">
        <f>SUMIFS(Table1[Modeled_Demand],Table1[Key_Year_week_DC],Demand_Modeling_Week_level!$A424,Table1[BRAND],Demand_Modeling_Week_level!J$2)</f>
        <v>0</v>
      </c>
      <c r="K424">
        <f>SUMIFS(Table1[Modeled_Demand],Table1[Key_Year_week_DC],Demand_Modeling_Week_level!$A424,Table1[BRAND],Demand_Modeling_Week_level!K$2)</f>
        <v>0</v>
      </c>
      <c r="L424">
        <f>SUMIFS(Table1[Demand],Table1[Key_Year_week_DC],Demand_Modeling_Week_level!$A424)</f>
        <v>0</v>
      </c>
      <c r="M424">
        <f t="shared" si="40"/>
        <v>0</v>
      </c>
      <c r="N424">
        <f>VLOOKUP(A424,Capacity!B:G,6,FALSE)</f>
        <v>0</v>
      </c>
      <c r="O424" s="20">
        <f t="shared" si="41"/>
        <v>0</v>
      </c>
      <c r="P424">
        <f t="shared" si="42"/>
        <v>0</v>
      </c>
    </row>
    <row r="425" spans="1:16" hidden="1" x14ac:dyDescent="0.3">
      <c r="A425" t="str">
        <f t="shared" si="38"/>
        <v>0-</v>
      </c>
      <c r="B425">
        <f t="shared" si="39"/>
        <v>0</v>
      </c>
      <c r="C425" s="11"/>
      <c r="D425" s="11"/>
      <c r="E425" s="11"/>
      <c r="F425">
        <f>SUMIFS(Table1[Modeled_Demand],Table1[Key_Year_week_DC],Demand_Modeling_Week_level!$A425,Table1[BRAND],Demand_Modeling_Week_level!F$2)</f>
        <v>0</v>
      </c>
      <c r="G425">
        <f>SUMIFS(Table1[Modeled_Demand],Table1[Key_Year_week_DC],Demand_Modeling_Week_level!$A425,Table1[BRAND],Demand_Modeling_Week_level!G$2)</f>
        <v>0</v>
      </c>
      <c r="H425">
        <f>SUMIFS(Table1[Modeled_Demand],Table1[Key_Year_week_DC],Demand_Modeling_Week_level!$A425,Table1[BRAND],Demand_Modeling_Week_level!H$2)</f>
        <v>0</v>
      </c>
      <c r="I425">
        <f>SUMIFS(Table1[Modeled_Demand],Table1[Key_Year_week_DC],Demand_Modeling_Week_level!$A425,Table1[BRAND],Demand_Modeling_Week_level!I$2)</f>
        <v>0</v>
      </c>
      <c r="J425">
        <f>SUMIFS(Table1[Modeled_Demand],Table1[Key_Year_week_DC],Demand_Modeling_Week_level!$A425,Table1[BRAND],Demand_Modeling_Week_level!J$2)</f>
        <v>0</v>
      </c>
      <c r="K425">
        <f>SUMIFS(Table1[Modeled_Demand],Table1[Key_Year_week_DC],Demand_Modeling_Week_level!$A425,Table1[BRAND],Demand_Modeling_Week_level!K$2)</f>
        <v>0</v>
      </c>
      <c r="L425">
        <f>SUMIFS(Table1[Demand],Table1[Key_Year_week_DC],Demand_Modeling_Week_level!$A425)</f>
        <v>0</v>
      </c>
      <c r="M425">
        <f t="shared" si="40"/>
        <v>0</v>
      </c>
      <c r="N425">
        <f>VLOOKUP(A425,Capacity!B:G,6,FALSE)</f>
        <v>0</v>
      </c>
      <c r="O425" s="20">
        <f t="shared" si="41"/>
        <v>0</v>
      </c>
      <c r="P425">
        <f t="shared" si="42"/>
        <v>0</v>
      </c>
    </row>
    <row r="426" spans="1:16" hidden="1" x14ac:dyDescent="0.3">
      <c r="A426" t="str">
        <f t="shared" si="38"/>
        <v>0-</v>
      </c>
      <c r="B426">
        <f t="shared" si="39"/>
        <v>0</v>
      </c>
      <c r="C426" s="11"/>
      <c r="D426" s="11"/>
      <c r="E426" s="11"/>
      <c r="F426">
        <f>SUMIFS(Table1[Modeled_Demand],Table1[Key_Year_week_DC],Demand_Modeling_Week_level!$A426,Table1[BRAND],Demand_Modeling_Week_level!F$2)</f>
        <v>0</v>
      </c>
      <c r="G426">
        <f>SUMIFS(Table1[Modeled_Demand],Table1[Key_Year_week_DC],Demand_Modeling_Week_level!$A426,Table1[BRAND],Demand_Modeling_Week_level!G$2)</f>
        <v>0</v>
      </c>
      <c r="H426">
        <f>SUMIFS(Table1[Modeled_Demand],Table1[Key_Year_week_DC],Demand_Modeling_Week_level!$A426,Table1[BRAND],Demand_Modeling_Week_level!H$2)</f>
        <v>0</v>
      </c>
      <c r="I426">
        <f>SUMIFS(Table1[Modeled_Demand],Table1[Key_Year_week_DC],Demand_Modeling_Week_level!$A426,Table1[BRAND],Demand_Modeling_Week_level!I$2)</f>
        <v>0</v>
      </c>
      <c r="J426">
        <f>SUMIFS(Table1[Modeled_Demand],Table1[Key_Year_week_DC],Demand_Modeling_Week_level!$A426,Table1[BRAND],Demand_Modeling_Week_level!J$2)</f>
        <v>0</v>
      </c>
      <c r="K426">
        <f>SUMIFS(Table1[Modeled_Demand],Table1[Key_Year_week_DC],Demand_Modeling_Week_level!$A426,Table1[BRAND],Demand_Modeling_Week_level!K$2)</f>
        <v>0</v>
      </c>
      <c r="L426">
        <f>SUMIFS(Table1[Demand],Table1[Key_Year_week_DC],Demand_Modeling_Week_level!$A426)</f>
        <v>0</v>
      </c>
      <c r="M426">
        <f t="shared" si="40"/>
        <v>0</v>
      </c>
      <c r="N426">
        <f>VLOOKUP(A426,Capacity!B:G,6,FALSE)</f>
        <v>0</v>
      </c>
      <c r="O426" s="20">
        <f t="shared" si="41"/>
        <v>0</v>
      </c>
      <c r="P426">
        <f t="shared" si="42"/>
        <v>0</v>
      </c>
    </row>
    <row r="427" spans="1:16" hidden="1" x14ac:dyDescent="0.3">
      <c r="A427" t="str">
        <f t="shared" si="38"/>
        <v>0-</v>
      </c>
      <c r="B427">
        <f t="shared" si="39"/>
        <v>0</v>
      </c>
      <c r="C427" s="11"/>
      <c r="D427" s="11"/>
      <c r="E427" s="11"/>
      <c r="F427">
        <f>SUMIFS(Table1[Modeled_Demand],Table1[Key_Year_week_DC],Demand_Modeling_Week_level!$A427,Table1[BRAND],Demand_Modeling_Week_level!F$2)</f>
        <v>0</v>
      </c>
      <c r="G427">
        <f>SUMIFS(Table1[Modeled_Demand],Table1[Key_Year_week_DC],Demand_Modeling_Week_level!$A427,Table1[BRAND],Demand_Modeling_Week_level!G$2)</f>
        <v>0</v>
      </c>
      <c r="H427">
        <f>SUMIFS(Table1[Modeled_Demand],Table1[Key_Year_week_DC],Demand_Modeling_Week_level!$A427,Table1[BRAND],Demand_Modeling_Week_level!H$2)</f>
        <v>0</v>
      </c>
      <c r="I427">
        <f>SUMIFS(Table1[Modeled_Demand],Table1[Key_Year_week_DC],Demand_Modeling_Week_level!$A427,Table1[BRAND],Demand_Modeling_Week_level!I$2)</f>
        <v>0</v>
      </c>
      <c r="J427">
        <f>SUMIFS(Table1[Modeled_Demand],Table1[Key_Year_week_DC],Demand_Modeling_Week_level!$A427,Table1[BRAND],Demand_Modeling_Week_level!J$2)</f>
        <v>0</v>
      </c>
      <c r="K427">
        <f>SUMIFS(Table1[Modeled_Demand],Table1[Key_Year_week_DC],Demand_Modeling_Week_level!$A427,Table1[BRAND],Demand_Modeling_Week_level!K$2)</f>
        <v>0</v>
      </c>
      <c r="L427">
        <f>SUMIFS(Table1[Demand],Table1[Key_Year_week_DC],Demand_Modeling_Week_level!$A427)</f>
        <v>0</v>
      </c>
      <c r="M427">
        <f t="shared" si="40"/>
        <v>0</v>
      </c>
      <c r="N427">
        <f>VLOOKUP(A427,Capacity!B:G,6,FALSE)</f>
        <v>0</v>
      </c>
      <c r="O427" s="20">
        <f t="shared" si="41"/>
        <v>0</v>
      </c>
      <c r="P427">
        <f t="shared" si="42"/>
        <v>0</v>
      </c>
    </row>
    <row r="428" spans="1:16" hidden="1" x14ac:dyDescent="0.3">
      <c r="A428" t="str">
        <f t="shared" ref="A428:A434" si="43">B428&amp;"-"&amp;C428</f>
        <v>0-</v>
      </c>
      <c r="B428">
        <f t="shared" ref="B428:B434" si="44">D428*100+E428</f>
        <v>0</v>
      </c>
      <c r="C428" s="11"/>
      <c r="D428" s="11"/>
      <c r="E428" s="11"/>
      <c r="F428">
        <f>SUMIFS(Table1[Modeled_Demand],Table1[Key_Year_week_DC],Demand_Modeling_Week_level!$A428,Table1[BRAND],Demand_Modeling_Week_level!F$2)</f>
        <v>0</v>
      </c>
      <c r="G428">
        <f>SUMIFS(Table1[Modeled_Demand],Table1[Key_Year_week_DC],Demand_Modeling_Week_level!$A428,Table1[BRAND],Demand_Modeling_Week_level!G$2)</f>
        <v>0</v>
      </c>
      <c r="H428">
        <f>SUMIFS(Table1[Modeled_Demand],Table1[Key_Year_week_DC],Demand_Modeling_Week_level!$A428,Table1[BRAND],Demand_Modeling_Week_level!H$2)</f>
        <v>0</v>
      </c>
      <c r="I428">
        <f>SUMIFS(Table1[Modeled_Demand],Table1[Key_Year_week_DC],Demand_Modeling_Week_level!$A428,Table1[BRAND],Demand_Modeling_Week_level!I$2)</f>
        <v>0</v>
      </c>
      <c r="J428">
        <f>SUMIFS(Table1[Modeled_Demand],Table1[Key_Year_week_DC],Demand_Modeling_Week_level!$A428,Table1[BRAND],Demand_Modeling_Week_level!J$2)</f>
        <v>0</v>
      </c>
      <c r="K428">
        <f>SUMIFS(Table1[Modeled_Demand],Table1[Key_Year_week_DC],Demand_Modeling_Week_level!$A428,Table1[BRAND],Demand_Modeling_Week_level!K$2)</f>
        <v>0</v>
      </c>
      <c r="L428">
        <f>SUMIFS(Table1[Demand],Table1[Key_Year_week_DC],Demand_Modeling_Week_level!$A428)</f>
        <v>0</v>
      </c>
      <c r="M428">
        <f t="shared" si="40"/>
        <v>0</v>
      </c>
      <c r="N428">
        <f>VLOOKUP(A428,Capacity!B:G,6,FALSE)</f>
        <v>0</v>
      </c>
      <c r="O428" s="20">
        <f t="shared" si="41"/>
        <v>0</v>
      </c>
      <c r="P428">
        <f t="shared" si="42"/>
        <v>0</v>
      </c>
    </row>
    <row r="429" spans="1:16" hidden="1" x14ac:dyDescent="0.3">
      <c r="A429" t="str">
        <f t="shared" si="43"/>
        <v>0-</v>
      </c>
      <c r="B429">
        <f t="shared" si="44"/>
        <v>0</v>
      </c>
      <c r="C429" s="11"/>
      <c r="D429" s="11"/>
      <c r="E429" s="11"/>
      <c r="F429">
        <f>SUMIFS(Table1[Modeled_Demand],Table1[Key_Year_week_DC],Demand_Modeling_Week_level!$A429,Table1[BRAND],Demand_Modeling_Week_level!F$2)</f>
        <v>0</v>
      </c>
      <c r="G429">
        <f>SUMIFS(Table1[Modeled_Demand],Table1[Key_Year_week_DC],Demand_Modeling_Week_level!$A429,Table1[BRAND],Demand_Modeling_Week_level!G$2)</f>
        <v>0</v>
      </c>
      <c r="H429">
        <f>SUMIFS(Table1[Modeled_Demand],Table1[Key_Year_week_DC],Demand_Modeling_Week_level!$A429,Table1[BRAND],Demand_Modeling_Week_level!H$2)</f>
        <v>0</v>
      </c>
      <c r="I429">
        <f>SUMIFS(Table1[Modeled_Demand],Table1[Key_Year_week_DC],Demand_Modeling_Week_level!$A429,Table1[BRAND],Demand_Modeling_Week_level!I$2)</f>
        <v>0</v>
      </c>
      <c r="J429">
        <f>SUMIFS(Table1[Modeled_Demand],Table1[Key_Year_week_DC],Demand_Modeling_Week_level!$A429,Table1[BRAND],Demand_Modeling_Week_level!J$2)</f>
        <v>0</v>
      </c>
      <c r="K429">
        <f>SUMIFS(Table1[Modeled_Demand],Table1[Key_Year_week_DC],Demand_Modeling_Week_level!$A429,Table1[BRAND],Demand_Modeling_Week_level!K$2)</f>
        <v>0</v>
      </c>
      <c r="L429">
        <f>SUMIFS(Table1[Demand],Table1[Key_Year_week_DC],Demand_Modeling_Week_level!$A429)</f>
        <v>0</v>
      </c>
      <c r="M429">
        <f t="shared" si="40"/>
        <v>0</v>
      </c>
      <c r="N429">
        <f>VLOOKUP(A429,Capacity!B:G,6,FALSE)</f>
        <v>0</v>
      </c>
      <c r="O429" s="20">
        <f t="shared" si="41"/>
        <v>0</v>
      </c>
      <c r="P429">
        <f t="shared" si="42"/>
        <v>0</v>
      </c>
    </row>
    <row r="430" spans="1:16" hidden="1" x14ac:dyDescent="0.3">
      <c r="A430" t="str">
        <f t="shared" si="43"/>
        <v>0-</v>
      </c>
      <c r="B430">
        <f t="shared" si="44"/>
        <v>0</v>
      </c>
      <c r="C430" s="11"/>
      <c r="D430" s="11"/>
      <c r="E430" s="11"/>
      <c r="F430">
        <f>SUMIFS(Table1[Modeled_Demand],Table1[Key_Year_week_DC],Demand_Modeling_Week_level!$A430,Table1[BRAND],Demand_Modeling_Week_level!F$2)</f>
        <v>0</v>
      </c>
      <c r="G430">
        <f>SUMIFS(Table1[Modeled_Demand],Table1[Key_Year_week_DC],Demand_Modeling_Week_level!$A430,Table1[BRAND],Demand_Modeling_Week_level!G$2)</f>
        <v>0</v>
      </c>
      <c r="H430">
        <f>SUMIFS(Table1[Modeled_Demand],Table1[Key_Year_week_DC],Demand_Modeling_Week_level!$A430,Table1[BRAND],Demand_Modeling_Week_level!H$2)</f>
        <v>0</v>
      </c>
      <c r="I430">
        <f>SUMIFS(Table1[Modeled_Demand],Table1[Key_Year_week_DC],Demand_Modeling_Week_level!$A430,Table1[BRAND],Demand_Modeling_Week_level!I$2)</f>
        <v>0</v>
      </c>
      <c r="J430">
        <f>SUMIFS(Table1[Modeled_Demand],Table1[Key_Year_week_DC],Demand_Modeling_Week_level!$A430,Table1[BRAND],Demand_Modeling_Week_level!J$2)</f>
        <v>0</v>
      </c>
      <c r="K430">
        <f>SUMIFS(Table1[Modeled_Demand],Table1[Key_Year_week_DC],Demand_Modeling_Week_level!$A430,Table1[BRAND],Demand_Modeling_Week_level!K$2)</f>
        <v>0</v>
      </c>
      <c r="L430">
        <f>SUMIFS(Table1[Demand],Table1[Key_Year_week_DC],Demand_Modeling_Week_level!$A430)</f>
        <v>0</v>
      </c>
      <c r="M430">
        <f t="shared" si="40"/>
        <v>0</v>
      </c>
      <c r="N430">
        <f>VLOOKUP(A430,Capacity!B:G,6,FALSE)</f>
        <v>0</v>
      </c>
      <c r="O430" s="20">
        <f t="shared" si="41"/>
        <v>0</v>
      </c>
      <c r="P430">
        <f t="shared" si="42"/>
        <v>0</v>
      </c>
    </row>
    <row r="431" spans="1:16" hidden="1" x14ac:dyDescent="0.3">
      <c r="A431" t="str">
        <f t="shared" si="43"/>
        <v>0-</v>
      </c>
      <c r="B431">
        <f t="shared" si="44"/>
        <v>0</v>
      </c>
      <c r="C431" s="11"/>
      <c r="D431" s="11"/>
      <c r="E431" s="11"/>
      <c r="F431">
        <f>SUMIFS(Table1[Modeled_Demand],Table1[Key_Year_week_DC],Demand_Modeling_Week_level!$A431,Table1[BRAND],Demand_Modeling_Week_level!F$2)</f>
        <v>0</v>
      </c>
      <c r="G431">
        <f>SUMIFS(Table1[Modeled_Demand],Table1[Key_Year_week_DC],Demand_Modeling_Week_level!$A431,Table1[BRAND],Demand_Modeling_Week_level!G$2)</f>
        <v>0</v>
      </c>
      <c r="H431">
        <f>SUMIFS(Table1[Modeled_Demand],Table1[Key_Year_week_DC],Demand_Modeling_Week_level!$A431,Table1[BRAND],Demand_Modeling_Week_level!H$2)</f>
        <v>0</v>
      </c>
      <c r="I431">
        <f>SUMIFS(Table1[Modeled_Demand],Table1[Key_Year_week_DC],Demand_Modeling_Week_level!$A431,Table1[BRAND],Demand_Modeling_Week_level!I$2)</f>
        <v>0</v>
      </c>
      <c r="J431">
        <f>SUMIFS(Table1[Modeled_Demand],Table1[Key_Year_week_DC],Demand_Modeling_Week_level!$A431,Table1[BRAND],Demand_Modeling_Week_level!J$2)</f>
        <v>0</v>
      </c>
      <c r="K431">
        <f>SUMIFS(Table1[Modeled_Demand],Table1[Key_Year_week_DC],Demand_Modeling_Week_level!$A431,Table1[BRAND],Demand_Modeling_Week_level!K$2)</f>
        <v>0</v>
      </c>
      <c r="L431">
        <f>SUMIFS(Table1[Demand],Table1[Key_Year_week_DC],Demand_Modeling_Week_level!$A431)</f>
        <v>0</v>
      </c>
      <c r="M431">
        <f t="shared" si="40"/>
        <v>0</v>
      </c>
      <c r="N431">
        <f>VLOOKUP(A431,Capacity!B:G,6,FALSE)</f>
        <v>0</v>
      </c>
      <c r="O431" s="20">
        <f t="shared" si="41"/>
        <v>0</v>
      </c>
      <c r="P431">
        <f t="shared" si="42"/>
        <v>0</v>
      </c>
    </row>
    <row r="432" spans="1:16" hidden="1" x14ac:dyDescent="0.3">
      <c r="A432" t="str">
        <f t="shared" si="43"/>
        <v>0-</v>
      </c>
      <c r="B432">
        <f t="shared" si="44"/>
        <v>0</v>
      </c>
      <c r="C432" s="11"/>
      <c r="D432" s="11"/>
      <c r="E432" s="11"/>
      <c r="F432">
        <f>SUMIFS(Table1[Modeled_Demand],Table1[Key_Year_week_DC],Demand_Modeling_Week_level!$A432,Table1[BRAND],Demand_Modeling_Week_level!F$2)</f>
        <v>0</v>
      </c>
      <c r="G432">
        <f>SUMIFS(Table1[Modeled_Demand],Table1[Key_Year_week_DC],Demand_Modeling_Week_level!$A432,Table1[BRAND],Demand_Modeling_Week_level!G$2)</f>
        <v>0</v>
      </c>
      <c r="H432">
        <f>SUMIFS(Table1[Modeled_Demand],Table1[Key_Year_week_DC],Demand_Modeling_Week_level!$A432,Table1[BRAND],Demand_Modeling_Week_level!H$2)</f>
        <v>0</v>
      </c>
      <c r="I432">
        <f>SUMIFS(Table1[Modeled_Demand],Table1[Key_Year_week_DC],Demand_Modeling_Week_level!$A432,Table1[BRAND],Demand_Modeling_Week_level!I$2)</f>
        <v>0</v>
      </c>
      <c r="J432">
        <f>SUMIFS(Table1[Modeled_Demand],Table1[Key_Year_week_DC],Demand_Modeling_Week_level!$A432,Table1[BRAND],Demand_Modeling_Week_level!J$2)</f>
        <v>0</v>
      </c>
      <c r="K432">
        <f>SUMIFS(Table1[Modeled_Demand],Table1[Key_Year_week_DC],Demand_Modeling_Week_level!$A432,Table1[BRAND],Demand_Modeling_Week_level!K$2)</f>
        <v>0</v>
      </c>
      <c r="L432">
        <f>SUMIFS(Table1[Demand],Table1[Key_Year_week_DC],Demand_Modeling_Week_level!$A432)</f>
        <v>0</v>
      </c>
      <c r="M432">
        <f t="shared" si="40"/>
        <v>0</v>
      </c>
      <c r="N432">
        <f>VLOOKUP(A432,Capacity!B:G,6,FALSE)</f>
        <v>0</v>
      </c>
      <c r="O432" s="20">
        <f t="shared" si="41"/>
        <v>0</v>
      </c>
      <c r="P432">
        <f t="shared" si="42"/>
        <v>0</v>
      </c>
    </row>
    <row r="433" spans="1:16" hidden="1" x14ac:dyDescent="0.3">
      <c r="A433" t="str">
        <f t="shared" si="43"/>
        <v>0-</v>
      </c>
      <c r="B433">
        <f t="shared" si="44"/>
        <v>0</v>
      </c>
      <c r="C433" s="11"/>
      <c r="D433" s="11"/>
      <c r="E433" s="11"/>
      <c r="F433">
        <f>SUMIFS(Table1[Modeled_Demand],Table1[Key_Year_week_DC],Demand_Modeling_Week_level!$A433,Table1[BRAND],Demand_Modeling_Week_level!F$2)</f>
        <v>0</v>
      </c>
      <c r="G433">
        <f>SUMIFS(Table1[Modeled_Demand],Table1[Key_Year_week_DC],Demand_Modeling_Week_level!$A433,Table1[BRAND],Demand_Modeling_Week_level!G$2)</f>
        <v>0</v>
      </c>
      <c r="H433">
        <f>SUMIFS(Table1[Modeled_Demand],Table1[Key_Year_week_DC],Demand_Modeling_Week_level!$A433,Table1[BRAND],Demand_Modeling_Week_level!H$2)</f>
        <v>0</v>
      </c>
      <c r="I433">
        <f>SUMIFS(Table1[Modeled_Demand],Table1[Key_Year_week_DC],Demand_Modeling_Week_level!$A433,Table1[BRAND],Demand_Modeling_Week_level!I$2)</f>
        <v>0</v>
      </c>
      <c r="J433">
        <f>SUMIFS(Table1[Modeled_Demand],Table1[Key_Year_week_DC],Demand_Modeling_Week_level!$A433,Table1[BRAND],Demand_Modeling_Week_level!J$2)</f>
        <v>0</v>
      </c>
      <c r="K433">
        <f>SUMIFS(Table1[Modeled_Demand],Table1[Key_Year_week_DC],Demand_Modeling_Week_level!$A433,Table1[BRAND],Demand_Modeling_Week_level!K$2)</f>
        <v>0</v>
      </c>
      <c r="L433">
        <f>SUMIFS(Table1[Demand],Table1[Key_Year_week_DC],Demand_Modeling_Week_level!$A433)</f>
        <v>0</v>
      </c>
      <c r="M433">
        <f t="shared" si="40"/>
        <v>0</v>
      </c>
      <c r="N433">
        <f>VLOOKUP(A433,Capacity!B:G,6,FALSE)</f>
        <v>0</v>
      </c>
      <c r="O433" s="20">
        <f t="shared" si="41"/>
        <v>0</v>
      </c>
      <c r="P433">
        <f t="shared" si="42"/>
        <v>0</v>
      </c>
    </row>
    <row r="434" spans="1:16" hidden="1" x14ac:dyDescent="0.3">
      <c r="A434" t="str">
        <f t="shared" si="43"/>
        <v>0-</v>
      </c>
      <c r="B434">
        <f t="shared" si="44"/>
        <v>0</v>
      </c>
      <c r="C434" s="11"/>
      <c r="D434" s="11"/>
      <c r="E434" s="11"/>
      <c r="F434">
        <f>SUMIFS(Table1[Modeled_Demand],Table1[Key_Year_week_DC],Demand_Modeling_Week_level!$A434,Table1[BRAND],Demand_Modeling_Week_level!F$2)</f>
        <v>0</v>
      </c>
      <c r="G434">
        <f>SUMIFS(Table1[Modeled_Demand],Table1[Key_Year_week_DC],Demand_Modeling_Week_level!$A434,Table1[BRAND],Demand_Modeling_Week_level!G$2)</f>
        <v>0</v>
      </c>
      <c r="H434">
        <f>SUMIFS(Table1[Modeled_Demand],Table1[Key_Year_week_DC],Demand_Modeling_Week_level!$A434,Table1[BRAND],Demand_Modeling_Week_level!H$2)</f>
        <v>0</v>
      </c>
      <c r="I434">
        <f>SUMIFS(Table1[Modeled_Demand],Table1[Key_Year_week_DC],Demand_Modeling_Week_level!$A434,Table1[BRAND],Demand_Modeling_Week_level!I$2)</f>
        <v>0</v>
      </c>
      <c r="J434">
        <f>SUMIFS(Table1[Modeled_Demand],Table1[Key_Year_week_DC],Demand_Modeling_Week_level!$A434,Table1[BRAND],Demand_Modeling_Week_level!J$2)</f>
        <v>0</v>
      </c>
      <c r="K434">
        <f>SUMIFS(Table1[Modeled_Demand],Table1[Key_Year_week_DC],Demand_Modeling_Week_level!$A434,Table1[BRAND],Demand_Modeling_Week_level!K$2)</f>
        <v>0</v>
      </c>
      <c r="L434">
        <f>SUMIFS(Table1[Demand],Table1[Key_Year_week_DC],Demand_Modeling_Week_level!$A434)</f>
        <v>0</v>
      </c>
      <c r="M434">
        <f t="shared" si="40"/>
        <v>0</v>
      </c>
      <c r="N434">
        <f>VLOOKUP(A434,Capacity!B:G,6,FALSE)</f>
        <v>0</v>
      </c>
      <c r="O434" s="20">
        <f t="shared" si="41"/>
        <v>0</v>
      </c>
      <c r="P434">
        <f t="shared" si="42"/>
        <v>0</v>
      </c>
    </row>
  </sheetData>
  <autoFilter ref="A2:P434">
    <filterColumn colId="3">
      <filters>
        <filter val="2021"/>
      </filters>
    </filterColumn>
  </autoFilter>
  <mergeCells count="1">
    <mergeCell ref="C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820"/>
  <sheetViews>
    <sheetView topLeftCell="A298" workbookViewId="0">
      <selection activeCell="A321" sqref="A321"/>
    </sheetView>
  </sheetViews>
  <sheetFormatPr defaultRowHeight="14.4" x14ac:dyDescent="0.3"/>
  <cols>
    <col min="1" max="1" width="10.6640625" customWidth="1"/>
    <col min="2" max="2" width="17.44140625" customWidth="1"/>
    <col min="3" max="3" width="12" customWidth="1"/>
    <col min="4" max="4" width="14.109375" customWidth="1"/>
    <col min="5" max="5" width="13.109375" customWidth="1"/>
    <col min="7" max="7" width="11" customWidth="1"/>
    <col min="8" max="8" width="10.109375" customWidth="1"/>
    <col min="9" max="9" width="15.44140625" customWidth="1"/>
    <col min="10" max="10" width="13.33203125" customWidth="1"/>
  </cols>
  <sheetData>
    <row r="1" spans="1:9" x14ac:dyDescent="0.3">
      <c r="A1" s="13" t="s">
        <v>37</v>
      </c>
      <c r="B1" s="13" t="s">
        <v>96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s="13" t="s">
        <v>26</v>
      </c>
      <c r="I1" s="13" t="s">
        <v>97</v>
      </c>
    </row>
    <row r="2" spans="1:9" x14ac:dyDescent="0.3">
      <c r="A2" t="str">
        <f t="shared" ref="A2:A65" si="0">C2&amp;"-"&amp;F2</f>
        <v>2018-OFC</v>
      </c>
      <c r="B2" t="str">
        <f t="shared" ref="B2:B65" si="1">I2&amp;"-"&amp;H2</f>
        <v>201843-OFC</v>
      </c>
      <c r="C2">
        <v>2018</v>
      </c>
      <c r="D2">
        <v>43</v>
      </c>
      <c r="E2">
        <v>1</v>
      </c>
      <c r="F2" t="s">
        <v>5</v>
      </c>
      <c r="G2">
        <v>2992482.9</v>
      </c>
      <c r="H2" t="str">
        <f>IFERROR(VLOOKUP(E2,DC_Xref!A:B,2,FALSE),"")</f>
        <v>OFC</v>
      </c>
      <c r="I2">
        <f t="shared" ref="I2:I65" si="2">C2*100+D2</f>
        <v>201843</v>
      </c>
    </row>
    <row r="3" spans="1:9" x14ac:dyDescent="0.3">
      <c r="A3" t="str">
        <f t="shared" si="0"/>
        <v>2018-TFC</v>
      </c>
      <c r="B3" t="str">
        <f t="shared" si="1"/>
        <v>201843-TFC</v>
      </c>
      <c r="C3">
        <v>2018</v>
      </c>
      <c r="D3">
        <v>43</v>
      </c>
      <c r="E3">
        <v>2</v>
      </c>
      <c r="F3" t="s">
        <v>6</v>
      </c>
      <c r="G3">
        <v>2850022.8</v>
      </c>
      <c r="H3" t="str">
        <f>IFERROR(VLOOKUP(E3,DC_Xref!A:B,2,FALSE),"")</f>
        <v>TFC</v>
      </c>
      <c r="I3">
        <f t="shared" si="2"/>
        <v>201843</v>
      </c>
    </row>
    <row r="4" spans="1:9" x14ac:dyDescent="0.3">
      <c r="A4" t="str">
        <f t="shared" si="0"/>
        <v>2018-WFC</v>
      </c>
      <c r="B4" t="str">
        <f t="shared" si="1"/>
        <v>201843-WFC</v>
      </c>
      <c r="C4">
        <v>2018</v>
      </c>
      <c r="D4">
        <v>43</v>
      </c>
      <c r="E4">
        <v>3</v>
      </c>
      <c r="F4" t="s">
        <v>7</v>
      </c>
      <c r="G4">
        <v>997477.19999999902</v>
      </c>
      <c r="H4" t="str">
        <f>IFERROR(VLOOKUP(E4,DC_Xref!A:B,2,FALSE),"")</f>
        <v>WFC</v>
      </c>
      <c r="I4">
        <f t="shared" si="2"/>
        <v>201843</v>
      </c>
    </row>
    <row r="5" spans="1:9" x14ac:dyDescent="0.3">
      <c r="A5" t="str">
        <f t="shared" si="0"/>
        <v>2018-EAO</v>
      </c>
      <c r="B5" t="str">
        <f t="shared" si="1"/>
        <v>201843-EAO</v>
      </c>
      <c r="C5">
        <v>2018</v>
      </c>
      <c r="D5">
        <v>43</v>
      </c>
      <c r="E5">
        <v>4</v>
      </c>
      <c r="F5" t="s">
        <v>8</v>
      </c>
      <c r="G5">
        <v>1709982.9</v>
      </c>
      <c r="H5" t="str">
        <f>IFERROR(VLOOKUP(E5,DC_Xref!A:B,2,FALSE),"")</f>
        <v>EAO</v>
      </c>
      <c r="I5">
        <f t="shared" si="2"/>
        <v>201843</v>
      </c>
    </row>
    <row r="6" spans="1:9" x14ac:dyDescent="0.3">
      <c r="A6" t="str">
        <f t="shared" si="0"/>
        <v>2018-ODC</v>
      </c>
      <c r="B6" t="str">
        <f t="shared" si="1"/>
        <v>201843-FFC-ODC</v>
      </c>
      <c r="C6">
        <v>2018</v>
      </c>
      <c r="D6">
        <v>43</v>
      </c>
      <c r="E6">
        <v>5</v>
      </c>
      <c r="F6" t="s">
        <v>9</v>
      </c>
      <c r="G6">
        <v>0</v>
      </c>
      <c r="H6" t="str">
        <f>IFERROR(VLOOKUP(E6,DC_Xref!A:B,2,FALSE),"")</f>
        <v>FFC-ODC</v>
      </c>
      <c r="I6">
        <f t="shared" si="2"/>
        <v>201843</v>
      </c>
    </row>
    <row r="7" spans="1:9" x14ac:dyDescent="0.3">
      <c r="A7" t="str">
        <f t="shared" si="0"/>
        <v>2018-WEO</v>
      </c>
      <c r="B7" t="str">
        <f t="shared" si="1"/>
        <v>201843-WEO</v>
      </c>
      <c r="C7">
        <v>2018</v>
      </c>
      <c r="D7">
        <v>43</v>
      </c>
      <c r="E7">
        <v>6</v>
      </c>
      <c r="F7" t="s">
        <v>10</v>
      </c>
      <c r="G7">
        <v>1709982.9</v>
      </c>
      <c r="H7" t="str">
        <f>IFERROR(VLOOKUP(E7,DC_Xref!A:B,2,FALSE),"")</f>
        <v>WEO</v>
      </c>
      <c r="I7">
        <f t="shared" si="2"/>
        <v>201843</v>
      </c>
    </row>
    <row r="8" spans="1:9" x14ac:dyDescent="0.3">
      <c r="A8" t="str">
        <f t="shared" si="0"/>
        <v>2018-OCC</v>
      </c>
      <c r="B8" t="str">
        <f t="shared" si="1"/>
        <v>201843-OCC</v>
      </c>
      <c r="C8">
        <v>2018</v>
      </c>
      <c r="D8">
        <v>43</v>
      </c>
      <c r="E8">
        <v>7</v>
      </c>
      <c r="F8" t="s">
        <v>11</v>
      </c>
      <c r="G8">
        <v>0</v>
      </c>
      <c r="H8" t="str">
        <f>IFERROR(VLOOKUP(E8,DC_Xref!A:B,2,FALSE),"")</f>
        <v>OCC</v>
      </c>
      <c r="I8">
        <f t="shared" si="2"/>
        <v>201843</v>
      </c>
    </row>
    <row r="9" spans="1:9" x14ac:dyDescent="0.3">
      <c r="A9" t="str">
        <f t="shared" si="0"/>
        <v>2018-SFS</v>
      </c>
      <c r="B9" t="str">
        <f t="shared" si="1"/>
        <v>201843-</v>
      </c>
      <c r="C9">
        <v>2018</v>
      </c>
      <c r="D9">
        <v>43</v>
      </c>
      <c r="E9">
        <v>8</v>
      </c>
      <c r="F9" t="s">
        <v>12</v>
      </c>
      <c r="G9">
        <v>0</v>
      </c>
      <c r="H9" t="str">
        <f>IFERROR(VLOOKUP(E9,DC_Xref!A:B,2,FALSE),"")</f>
        <v/>
      </c>
      <c r="I9">
        <f t="shared" si="2"/>
        <v>201843</v>
      </c>
    </row>
    <row r="10" spans="1:9" x14ac:dyDescent="0.3">
      <c r="A10" t="str">
        <f t="shared" si="0"/>
        <v>2018-OFC</v>
      </c>
      <c r="B10" t="str">
        <f t="shared" si="1"/>
        <v>201844-OFC</v>
      </c>
      <c r="C10">
        <v>2018</v>
      </c>
      <c r="D10">
        <v>44</v>
      </c>
      <c r="E10">
        <v>1</v>
      </c>
      <c r="F10" t="s">
        <v>5</v>
      </c>
      <c r="G10">
        <v>3307481.1</v>
      </c>
      <c r="H10" t="str">
        <f>IFERROR(VLOOKUP(E10,DC_Xref!A:B,2,FALSE),"")</f>
        <v>OFC</v>
      </c>
      <c r="I10">
        <f t="shared" si="2"/>
        <v>201844</v>
      </c>
    </row>
    <row r="11" spans="1:9" x14ac:dyDescent="0.3">
      <c r="A11" t="str">
        <f t="shared" si="0"/>
        <v>2018-TFC</v>
      </c>
      <c r="B11" t="str">
        <f t="shared" si="1"/>
        <v>201844-TFC</v>
      </c>
      <c r="C11">
        <v>2018</v>
      </c>
      <c r="D11">
        <v>44</v>
      </c>
      <c r="E11">
        <v>2</v>
      </c>
      <c r="F11" t="s">
        <v>6</v>
      </c>
      <c r="G11">
        <v>3150025.2</v>
      </c>
      <c r="H11" t="str">
        <f>IFERROR(VLOOKUP(E11,DC_Xref!A:B,2,FALSE),"")</f>
        <v>TFC</v>
      </c>
      <c r="I11">
        <f t="shared" si="2"/>
        <v>201844</v>
      </c>
    </row>
    <row r="12" spans="1:9" x14ac:dyDescent="0.3">
      <c r="A12" t="str">
        <f t="shared" si="0"/>
        <v>2018-WFC</v>
      </c>
      <c r="B12" t="str">
        <f t="shared" si="1"/>
        <v>201844-WFC</v>
      </c>
      <c r="C12">
        <v>2018</v>
      </c>
      <c r="D12">
        <v>44</v>
      </c>
      <c r="E12">
        <v>3</v>
      </c>
      <c r="F12" t="s">
        <v>7</v>
      </c>
      <c r="G12">
        <v>1102474.8</v>
      </c>
      <c r="H12" t="str">
        <f>IFERROR(VLOOKUP(E12,DC_Xref!A:B,2,FALSE),"")</f>
        <v>WFC</v>
      </c>
      <c r="I12">
        <f t="shared" si="2"/>
        <v>201844</v>
      </c>
    </row>
    <row r="13" spans="1:9" x14ac:dyDescent="0.3">
      <c r="A13" t="str">
        <f t="shared" si="0"/>
        <v>2018-EAO</v>
      </c>
      <c r="B13" t="str">
        <f t="shared" si="1"/>
        <v>201844-EAO</v>
      </c>
      <c r="C13">
        <v>2018</v>
      </c>
      <c r="D13">
        <v>44</v>
      </c>
      <c r="E13">
        <v>4</v>
      </c>
      <c r="F13" t="s">
        <v>8</v>
      </c>
      <c r="G13">
        <v>1889981.1</v>
      </c>
      <c r="H13" t="str">
        <f>IFERROR(VLOOKUP(E13,DC_Xref!A:B,2,FALSE),"")</f>
        <v>EAO</v>
      </c>
      <c r="I13">
        <f t="shared" si="2"/>
        <v>201844</v>
      </c>
    </row>
    <row r="14" spans="1:9" x14ac:dyDescent="0.3">
      <c r="A14" t="str">
        <f t="shared" si="0"/>
        <v>2018-ODC</v>
      </c>
      <c r="B14" t="str">
        <f t="shared" si="1"/>
        <v>201844-FFC-ODC</v>
      </c>
      <c r="C14">
        <v>2018</v>
      </c>
      <c r="D14">
        <v>44</v>
      </c>
      <c r="E14">
        <v>5</v>
      </c>
      <c r="F14" t="s">
        <v>9</v>
      </c>
      <c r="G14">
        <v>0</v>
      </c>
      <c r="H14" t="str">
        <f>IFERROR(VLOOKUP(E14,DC_Xref!A:B,2,FALSE),"")</f>
        <v>FFC-ODC</v>
      </c>
      <c r="I14">
        <f t="shared" si="2"/>
        <v>201844</v>
      </c>
    </row>
    <row r="15" spans="1:9" x14ac:dyDescent="0.3">
      <c r="A15" t="str">
        <f t="shared" si="0"/>
        <v>2018-WEO</v>
      </c>
      <c r="B15" t="str">
        <f t="shared" si="1"/>
        <v>201844-WEO</v>
      </c>
      <c r="C15">
        <v>2018</v>
      </c>
      <c r="D15">
        <v>44</v>
      </c>
      <c r="E15">
        <v>6</v>
      </c>
      <c r="F15" t="s">
        <v>10</v>
      </c>
      <c r="G15">
        <v>1889981.1</v>
      </c>
      <c r="H15" t="str">
        <f>IFERROR(VLOOKUP(E15,DC_Xref!A:B,2,FALSE),"")</f>
        <v>WEO</v>
      </c>
      <c r="I15">
        <f t="shared" si="2"/>
        <v>201844</v>
      </c>
    </row>
    <row r="16" spans="1:9" x14ac:dyDescent="0.3">
      <c r="A16" t="str">
        <f t="shared" si="0"/>
        <v>2018-OCC</v>
      </c>
      <c r="B16" t="str">
        <f t="shared" si="1"/>
        <v>201844-OCC</v>
      </c>
      <c r="C16">
        <v>2018</v>
      </c>
      <c r="D16">
        <v>44</v>
      </c>
      <c r="E16">
        <v>7</v>
      </c>
      <c r="F16" t="s">
        <v>11</v>
      </c>
      <c r="G16">
        <v>0</v>
      </c>
      <c r="H16" t="str">
        <f>IFERROR(VLOOKUP(E16,DC_Xref!A:B,2,FALSE),"")</f>
        <v>OCC</v>
      </c>
      <c r="I16">
        <f t="shared" si="2"/>
        <v>201844</v>
      </c>
    </row>
    <row r="17" spans="1:9" x14ac:dyDescent="0.3">
      <c r="A17" t="str">
        <f t="shared" si="0"/>
        <v>2018-SFS</v>
      </c>
      <c r="B17" t="str">
        <f t="shared" si="1"/>
        <v>201844-</v>
      </c>
      <c r="C17">
        <v>2018</v>
      </c>
      <c r="D17">
        <v>44</v>
      </c>
      <c r="E17">
        <v>8</v>
      </c>
      <c r="F17" t="s">
        <v>12</v>
      </c>
      <c r="G17">
        <v>0</v>
      </c>
      <c r="H17" t="str">
        <f>IFERROR(VLOOKUP(E17,DC_Xref!A:B,2,FALSE),"")</f>
        <v/>
      </c>
      <c r="I17">
        <f t="shared" si="2"/>
        <v>201844</v>
      </c>
    </row>
    <row r="18" spans="1:9" x14ac:dyDescent="0.3">
      <c r="A18" t="str">
        <f t="shared" si="0"/>
        <v>2018-OFC</v>
      </c>
      <c r="B18" t="str">
        <f t="shared" si="1"/>
        <v>201845-OFC</v>
      </c>
      <c r="C18">
        <v>2018</v>
      </c>
      <c r="D18">
        <v>45</v>
      </c>
      <c r="E18">
        <v>1</v>
      </c>
      <c r="F18" t="s">
        <v>5</v>
      </c>
      <c r="G18">
        <v>3307481.1</v>
      </c>
      <c r="H18" t="str">
        <f>IFERROR(VLOOKUP(E18,DC_Xref!A:B,2,FALSE),"")</f>
        <v>OFC</v>
      </c>
      <c r="I18">
        <f t="shared" si="2"/>
        <v>201845</v>
      </c>
    </row>
    <row r="19" spans="1:9" x14ac:dyDescent="0.3">
      <c r="A19" t="str">
        <f t="shared" si="0"/>
        <v>2018-TFC</v>
      </c>
      <c r="B19" t="str">
        <f t="shared" si="1"/>
        <v>201845-TFC</v>
      </c>
      <c r="C19">
        <v>2018</v>
      </c>
      <c r="D19">
        <v>45</v>
      </c>
      <c r="E19">
        <v>2</v>
      </c>
      <c r="F19" t="s">
        <v>6</v>
      </c>
      <c r="G19">
        <v>3150025.2</v>
      </c>
      <c r="H19" t="str">
        <f>IFERROR(VLOOKUP(E19,DC_Xref!A:B,2,FALSE),"")</f>
        <v>TFC</v>
      </c>
      <c r="I19">
        <f t="shared" si="2"/>
        <v>201845</v>
      </c>
    </row>
    <row r="20" spans="1:9" x14ac:dyDescent="0.3">
      <c r="A20" t="str">
        <f t="shared" si="0"/>
        <v>2018-WFC</v>
      </c>
      <c r="B20" t="str">
        <f t="shared" si="1"/>
        <v>201845-WFC</v>
      </c>
      <c r="C20">
        <v>2018</v>
      </c>
      <c r="D20">
        <v>45</v>
      </c>
      <c r="E20">
        <v>3</v>
      </c>
      <c r="F20" t="s">
        <v>7</v>
      </c>
      <c r="G20">
        <v>1102474.8</v>
      </c>
      <c r="H20" t="str">
        <f>IFERROR(VLOOKUP(E20,DC_Xref!A:B,2,FALSE),"")</f>
        <v>WFC</v>
      </c>
      <c r="I20">
        <f t="shared" si="2"/>
        <v>201845</v>
      </c>
    </row>
    <row r="21" spans="1:9" x14ac:dyDescent="0.3">
      <c r="A21" t="str">
        <f t="shared" si="0"/>
        <v>2018-EAO</v>
      </c>
      <c r="B21" t="str">
        <f t="shared" si="1"/>
        <v>201845-EAO</v>
      </c>
      <c r="C21">
        <v>2018</v>
      </c>
      <c r="D21">
        <v>45</v>
      </c>
      <c r="E21">
        <v>4</v>
      </c>
      <c r="F21" t="s">
        <v>8</v>
      </c>
      <c r="G21">
        <v>1889981.1</v>
      </c>
      <c r="H21" t="str">
        <f>IFERROR(VLOOKUP(E21,DC_Xref!A:B,2,FALSE),"")</f>
        <v>EAO</v>
      </c>
      <c r="I21">
        <f t="shared" si="2"/>
        <v>201845</v>
      </c>
    </row>
    <row r="22" spans="1:9" x14ac:dyDescent="0.3">
      <c r="A22" t="str">
        <f t="shared" si="0"/>
        <v>2018-ODC</v>
      </c>
      <c r="B22" t="str">
        <f t="shared" si="1"/>
        <v>201845-FFC-ODC</v>
      </c>
      <c r="C22">
        <v>2018</v>
      </c>
      <c r="D22">
        <v>45</v>
      </c>
      <c r="E22">
        <v>5</v>
      </c>
      <c r="F22" t="s">
        <v>9</v>
      </c>
      <c r="G22">
        <v>0</v>
      </c>
      <c r="H22" t="str">
        <f>IFERROR(VLOOKUP(E22,DC_Xref!A:B,2,FALSE),"")</f>
        <v>FFC-ODC</v>
      </c>
      <c r="I22">
        <f t="shared" si="2"/>
        <v>201845</v>
      </c>
    </row>
    <row r="23" spans="1:9" x14ac:dyDescent="0.3">
      <c r="A23" t="str">
        <f t="shared" si="0"/>
        <v>2018-WEO</v>
      </c>
      <c r="B23" t="str">
        <f t="shared" si="1"/>
        <v>201845-WEO</v>
      </c>
      <c r="C23">
        <v>2018</v>
      </c>
      <c r="D23">
        <v>45</v>
      </c>
      <c r="E23">
        <v>6</v>
      </c>
      <c r="F23" t="s">
        <v>10</v>
      </c>
      <c r="G23">
        <v>1889981.1</v>
      </c>
      <c r="H23" t="str">
        <f>IFERROR(VLOOKUP(E23,DC_Xref!A:B,2,FALSE),"")</f>
        <v>WEO</v>
      </c>
      <c r="I23">
        <f t="shared" si="2"/>
        <v>201845</v>
      </c>
    </row>
    <row r="24" spans="1:9" x14ac:dyDescent="0.3">
      <c r="A24" t="str">
        <f t="shared" si="0"/>
        <v>2018-OCC</v>
      </c>
      <c r="B24" t="str">
        <f t="shared" si="1"/>
        <v>201845-OCC</v>
      </c>
      <c r="C24">
        <v>2018</v>
      </c>
      <c r="D24">
        <v>45</v>
      </c>
      <c r="E24">
        <v>7</v>
      </c>
      <c r="F24" t="s">
        <v>11</v>
      </c>
      <c r="G24">
        <v>0</v>
      </c>
      <c r="H24" t="str">
        <f>IFERROR(VLOOKUP(E24,DC_Xref!A:B,2,FALSE),"")</f>
        <v>OCC</v>
      </c>
      <c r="I24">
        <f t="shared" si="2"/>
        <v>201845</v>
      </c>
    </row>
    <row r="25" spans="1:9" x14ac:dyDescent="0.3">
      <c r="A25" t="str">
        <f t="shared" si="0"/>
        <v>2018-SFS</v>
      </c>
      <c r="B25" t="str">
        <f t="shared" si="1"/>
        <v>201845-</v>
      </c>
      <c r="C25">
        <v>2018</v>
      </c>
      <c r="D25">
        <v>45</v>
      </c>
      <c r="E25">
        <v>8</v>
      </c>
      <c r="F25" t="s">
        <v>12</v>
      </c>
      <c r="G25">
        <v>0</v>
      </c>
      <c r="H25" t="str">
        <f>IFERROR(VLOOKUP(E25,DC_Xref!A:B,2,FALSE),"")</f>
        <v/>
      </c>
      <c r="I25">
        <f t="shared" si="2"/>
        <v>201845</v>
      </c>
    </row>
    <row r="26" spans="1:9" x14ac:dyDescent="0.3">
      <c r="A26" t="str">
        <f t="shared" si="0"/>
        <v>2018-OFC</v>
      </c>
      <c r="B26" t="str">
        <f t="shared" si="1"/>
        <v>201846-OFC</v>
      </c>
      <c r="C26">
        <v>2018</v>
      </c>
      <c r="D26">
        <v>46</v>
      </c>
      <c r="E26">
        <v>1</v>
      </c>
      <c r="F26" t="s">
        <v>5</v>
      </c>
      <c r="G26">
        <v>3307481.1</v>
      </c>
      <c r="H26" t="str">
        <f>IFERROR(VLOOKUP(E26,DC_Xref!A:B,2,FALSE),"")</f>
        <v>OFC</v>
      </c>
      <c r="I26">
        <f t="shared" si="2"/>
        <v>201846</v>
      </c>
    </row>
    <row r="27" spans="1:9" x14ac:dyDescent="0.3">
      <c r="A27" t="str">
        <f t="shared" si="0"/>
        <v>2018-TFC</v>
      </c>
      <c r="B27" t="str">
        <f t="shared" si="1"/>
        <v>201846-TFC</v>
      </c>
      <c r="C27">
        <v>2018</v>
      </c>
      <c r="D27">
        <v>46</v>
      </c>
      <c r="E27">
        <v>2</v>
      </c>
      <c r="F27" t="s">
        <v>6</v>
      </c>
      <c r="G27">
        <v>3150025.2</v>
      </c>
      <c r="H27" t="str">
        <f>IFERROR(VLOOKUP(E27,DC_Xref!A:B,2,FALSE),"")</f>
        <v>TFC</v>
      </c>
      <c r="I27">
        <f t="shared" si="2"/>
        <v>201846</v>
      </c>
    </row>
    <row r="28" spans="1:9" x14ac:dyDescent="0.3">
      <c r="A28" t="str">
        <f t="shared" si="0"/>
        <v>2018-WFC</v>
      </c>
      <c r="B28" t="str">
        <f t="shared" si="1"/>
        <v>201846-WFC</v>
      </c>
      <c r="C28">
        <v>2018</v>
      </c>
      <c r="D28">
        <v>46</v>
      </c>
      <c r="E28">
        <v>3</v>
      </c>
      <c r="F28" t="s">
        <v>7</v>
      </c>
      <c r="G28">
        <v>1102474.8</v>
      </c>
      <c r="H28" t="str">
        <f>IFERROR(VLOOKUP(E28,DC_Xref!A:B,2,FALSE),"")</f>
        <v>WFC</v>
      </c>
      <c r="I28">
        <f t="shared" si="2"/>
        <v>201846</v>
      </c>
    </row>
    <row r="29" spans="1:9" x14ac:dyDescent="0.3">
      <c r="A29" t="str">
        <f t="shared" si="0"/>
        <v>2018-EAO</v>
      </c>
      <c r="B29" t="str">
        <f t="shared" si="1"/>
        <v>201846-EAO</v>
      </c>
      <c r="C29">
        <v>2018</v>
      </c>
      <c r="D29">
        <v>46</v>
      </c>
      <c r="E29">
        <v>4</v>
      </c>
      <c r="F29" t="s">
        <v>8</v>
      </c>
      <c r="G29">
        <v>1889981.1</v>
      </c>
      <c r="H29" t="str">
        <f>IFERROR(VLOOKUP(E29,DC_Xref!A:B,2,FALSE),"")</f>
        <v>EAO</v>
      </c>
      <c r="I29">
        <f t="shared" si="2"/>
        <v>201846</v>
      </c>
    </row>
    <row r="30" spans="1:9" x14ac:dyDescent="0.3">
      <c r="A30" t="str">
        <f t="shared" si="0"/>
        <v>2018-ODC</v>
      </c>
      <c r="B30" t="str">
        <f t="shared" si="1"/>
        <v>201846-FFC-ODC</v>
      </c>
      <c r="C30">
        <v>2018</v>
      </c>
      <c r="D30">
        <v>46</v>
      </c>
      <c r="E30">
        <v>5</v>
      </c>
      <c r="F30" t="s">
        <v>9</v>
      </c>
      <c r="G30">
        <v>0</v>
      </c>
      <c r="H30" t="str">
        <f>IFERROR(VLOOKUP(E30,DC_Xref!A:B,2,FALSE),"")</f>
        <v>FFC-ODC</v>
      </c>
      <c r="I30">
        <f t="shared" si="2"/>
        <v>201846</v>
      </c>
    </row>
    <row r="31" spans="1:9" x14ac:dyDescent="0.3">
      <c r="A31" t="str">
        <f t="shared" si="0"/>
        <v>2018-WEO</v>
      </c>
      <c r="B31" t="str">
        <f t="shared" si="1"/>
        <v>201846-WEO</v>
      </c>
      <c r="C31">
        <v>2018</v>
      </c>
      <c r="D31">
        <v>46</v>
      </c>
      <c r="E31">
        <v>6</v>
      </c>
      <c r="F31" t="s">
        <v>10</v>
      </c>
      <c r="G31">
        <v>1889981.1</v>
      </c>
      <c r="H31" t="str">
        <f>IFERROR(VLOOKUP(E31,DC_Xref!A:B,2,FALSE),"")</f>
        <v>WEO</v>
      </c>
      <c r="I31">
        <f t="shared" si="2"/>
        <v>201846</v>
      </c>
    </row>
    <row r="32" spans="1:9" x14ac:dyDescent="0.3">
      <c r="A32" t="str">
        <f t="shared" si="0"/>
        <v>2018-OCC</v>
      </c>
      <c r="B32" t="str">
        <f t="shared" si="1"/>
        <v>201846-OCC</v>
      </c>
      <c r="C32">
        <v>2018</v>
      </c>
      <c r="D32">
        <v>46</v>
      </c>
      <c r="E32">
        <v>7</v>
      </c>
      <c r="F32" t="s">
        <v>11</v>
      </c>
      <c r="G32">
        <v>0</v>
      </c>
      <c r="H32" t="str">
        <f>IFERROR(VLOOKUP(E32,DC_Xref!A:B,2,FALSE),"")</f>
        <v>OCC</v>
      </c>
      <c r="I32">
        <f t="shared" si="2"/>
        <v>201846</v>
      </c>
    </row>
    <row r="33" spans="1:9" x14ac:dyDescent="0.3">
      <c r="A33" t="str">
        <f t="shared" si="0"/>
        <v>2018-SFS</v>
      </c>
      <c r="B33" t="str">
        <f t="shared" si="1"/>
        <v>201846-</v>
      </c>
      <c r="C33">
        <v>2018</v>
      </c>
      <c r="D33">
        <v>46</v>
      </c>
      <c r="E33">
        <v>8</v>
      </c>
      <c r="F33" t="s">
        <v>12</v>
      </c>
      <c r="G33">
        <v>0</v>
      </c>
      <c r="H33" t="str">
        <f>IFERROR(VLOOKUP(E33,DC_Xref!A:B,2,FALSE),"")</f>
        <v/>
      </c>
      <c r="I33">
        <f t="shared" si="2"/>
        <v>201846</v>
      </c>
    </row>
    <row r="34" spans="1:9" x14ac:dyDescent="0.3">
      <c r="A34" t="str">
        <f t="shared" si="0"/>
        <v>2018-OFC</v>
      </c>
      <c r="B34" t="str">
        <f t="shared" si="1"/>
        <v>201847-OFC</v>
      </c>
      <c r="C34">
        <v>2018</v>
      </c>
      <c r="D34">
        <v>47</v>
      </c>
      <c r="E34">
        <v>1</v>
      </c>
      <c r="F34" t="s">
        <v>5</v>
      </c>
      <c r="G34">
        <v>3307481.1</v>
      </c>
      <c r="H34" t="str">
        <f>IFERROR(VLOOKUP(E34,DC_Xref!A:B,2,FALSE),"")</f>
        <v>OFC</v>
      </c>
      <c r="I34">
        <f t="shared" si="2"/>
        <v>201847</v>
      </c>
    </row>
    <row r="35" spans="1:9" x14ac:dyDescent="0.3">
      <c r="A35" t="str">
        <f t="shared" si="0"/>
        <v>2018-TFC</v>
      </c>
      <c r="B35" t="str">
        <f t="shared" si="1"/>
        <v>201847-TFC</v>
      </c>
      <c r="C35">
        <v>2018</v>
      </c>
      <c r="D35">
        <v>47</v>
      </c>
      <c r="E35">
        <v>2</v>
      </c>
      <c r="F35" t="s">
        <v>6</v>
      </c>
      <c r="G35">
        <v>3150025.2</v>
      </c>
      <c r="H35" t="str">
        <f>IFERROR(VLOOKUP(E35,DC_Xref!A:B,2,FALSE),"")</f>
        <v>TFC</v>
      </c>
      <c r="I35">
        <f t="shared" si="2"/>
        <v>201847</v>
      </c>
    </row>
    <row r="36" spans="1:9" x14ac:dyDescent="0.3">
      <c r="A36" t="str">
        <f t="shared" si="0"/>
        <v>2018-WFC</v>
      </c>
      <c r="B36" t="str">
        <f t="shared" si="1"/>
        <v>201847-WFC</v>
      </c>
      <c r="C36">
        <v>2018</v>
      </c>
      <c r="D36">
        <v>47</v>
      </c>
      <c r="E36">
        <v>3</v>
      </c>
      <c r="F36" t="s">
        <v>7</v>
      </c>
      <c r="G36">
        <v>1102474.8</v>
      </c>
      <c r="H36" t="str">
        <f>IFERROR(VLOOKUP(E36,DC_Xref!A:B,2,FALSE),"")</f>
        <v>WFC</v>
      </c>
      <c r="I36">
        <f t="shared" si="2"/>
        <v>201847</v>
      </c>
    </row>
    <row r="37" spans="1:9" x14ac:dyDescent="0.3">
      <c r="A37" t="str">
        <f t="shared" si="0"/>
        <v>2018-EAO</v>
      </c>
      <c r="B37" t="str">
        <f t="shared" si="1"/>
        <v>201847-EAO</v>
      </c>
      <c r="C37">
        <v>2018</v>
      </c>
      <c r="D37">
        <v>47</v>
      </c>
      <c r="E37">
        <v>4</v>
      </c>
      <c r="F37" t="s">
        <v>8</v>
      </c>
      <c r="G37">
        <v>1889981.1</v>
      </c>
      <c r="H37" t="str">
        <f>IFERROR(VLOOKUP(E37,DC_Xref!A:B,2,FALSE),"")</f>
        <v>EAO</v>
      </c>
      <c r="I37">
        <f t="shared" si="2"/>
        <v>201847</v>
      </c>
    </row>
    <row r="38" spans="1:9" x14ac:dyDescent="0.3">
      <c r="A38" t="str">
        <f t="shared" si="0"/>
        <v>2018-ODC</v>
      </c>
      <c r="B38" t="str">
        <f t="shared" si="1"/>
        <v>201847-FFC-ODC</v>
      </c>
      <c r="C38">
        <v>2018</v>
      </c>
      <c r="D38">
        <v>47</v>
      </c>
      <c r="E38">
        <v>5</v>
      </c>
      <c r="F38" t="s">
        <v>9</v>
      </c>
      <c r="G38">
        <v>0</v>
      </c>
      <c r="H38" t="str">
        <f>IFERROR(VLOOKUP(E38,DC_Xref!A:B,2,FALSE),"")</f>
        <v>FFC-ODC</v>
      </c>
      <c r="I38">
        <f t="shared" si="2"/>
        <v>201847</v>
      </c>
    </row>
    <row r="39" spans="1:9" x14ac:dyDescent="0.3">
      <c r="A39" t="str">
        <f t="shared" si="0"/>
        <v>2018-WEO</v>
      </c>
      <c r="B39" t="str">
        <f t="shared" si="1"/>
        <v>201847-WEO</v>
      </c>
      <c r="C39">
        <v>2018</v>
      </c>
      <c r="D39">
        <v>47</v>
      </c>
      <c r="E39">
        <v>6</v>
      </c>
      <c r="F39" t="s">
        <v>10</v>
      </c>
      <c r="G39">
        <v>1889981.1</v>
      </c>
      <c r="H39" t="str">
        <f>IFERROR(VLOOKUP(E39,DC_Xref!A:B,2,FALSE),"")</f>
        <v>WEO</v>
      </c>
      <c r="I39">
        <f t="shared" si="2"/>
        <v>201847</v>
      </c>
    </row>
    <row r="40" spans="1:9" x14ac:dyDescent="0.3">
      <c r="A40" t="str">
        <f t="shared" si="0"/>
        <v>2018-OCC</v>
      </c>
      <c r="B40" t="str">
        <f t="shared" si="1"/>
        <v>201847-OCC</v>
      </c>
      <c r="C40">
        <v>2018</v>
      </c>
      <c r="D40">
        <v>47</v>
      </c>
      <c r="E40">
        <v>7</v>
      </c>
      <c r="F40" t="s">
        <v>11</v>
      </c>
      <c r="G40">
        <v>0</v>
      </c>
      <c r="H40" t="str">
        <f>IFERROR(VLOOKUP(E40,DC_Xref!A:B,2,FALSE),"")</f>
        <v>OCC</v>
      </c>
      <c r="I40">
        <f t="shared" si="2"/>
        <v>201847</v>
      </c>
    </row>
    <row r="41" spans="1:9" x14ac:dyDescent="0.3">
      <c r="A41" t="str">
        <f t="shared" si="0"/>
        <v>2018-SFS</v>
      </c>
      <c r="B41" t="str">
        <f t="shared" si="1"/>
        <v>201847-</v>
      </c>
      <c r="C41">
        <v>2018</v>
      </c>
      <c r="D41">
        <v>47</v>
      </c>
      <c r="E41">
        <v>8</v>
      </c>
      <c r="F41" t="s">
        <v>12</v>
      </c>
      <c r="G41">
        <v>0</v>
      </c>
      <c r="H41" t="str">
        <f>IFERROR(VLOOKUP(E41,DC_Xref!A:B,2,FALSE),"")</f>
        <v/>
      </c>
      <c r="I41">
        <f t="shared" si="2"/>
        <v>201847</v>
      </c>
    </row>
    <row r="42" spans="1:9" x14ac:dyDescent="0.3">
      <c r="A42" t="str">
        <f t="shared" si="0"/>
        <v>2018-OFC</v>
      </c>
      <c r="B42" t="str">
        <f t="shared" si="1"/>
        <v>201848-OFC</v>
      </c>
      <c r="C42">
        <v>2018</v>
      </c>
      <c r="D42">
        <v>48</v>
      </c>
      <c r="E42">
        <v>1</v>
      </c>
      <c r="F42" t="s">
        <v>5</v>
      </c>
      <c r="G42">
        <v>0</v>
      </c>
      <c r="H42" t="str">
        <f>IFERROR(VLOOKUP(E42,DC_Xref!A:B,2,FALSE),"")</f>
        <v>OFC</v>
      </c>
      <c r="I42">
        <f t="shared" si="2"/>
        <v>201848</v>
      </c>
    </row>
    <row r="43" spans="1:9" x14ac:dyDescent="0.3">
      <c r="A43" t="str">
        <f t="shared" si="0"/>
        <v>2018-TFC</v>
      </c>
      <c r="B43" t="str">
        <f t="shared" si="1"/>
        <v>201848-TFC</v>
      </c>
      <c r="C43">
        <v>2018</v>
      </c>
      <c r="D43">
        <v>48</v>
      </c>
      <c r="E43">
        <v>2</v>
      </c>
      <c r="F43" t="s">
        <v>6</v>
      </c>
      <c r="G43">
        <v>0</v>
      </c>
      <c r="H43" t="str">
        <f>IFERROR(VLOOKUP(E43,DC_Xref!A:B,2,FALSE),"")</f>
        <v>TFC</v>
      </c>
      <c r="I43">
        <f t="shared" si="2"/>
        <v>201848</v>
      </c>
    </row>
    <row r="44" spans="1:9" x14ac:dyDescent="0.3">
      <c r="A44" t="str">
        <f t="shared" si="0"/>
        <v>2018-WFC</v>
      </c>
      <c r="B44" t="str">
        <f t="shared" si="1"/>
        <v>201848-WFC</v>
      </c>
      <c r="C44">
        <v>2018</v>
      </c>
      <c r="D44">
        <v>48</v>
      </c>
      <c r="E44">
        <v>3</v>
      </c>
      <c r="F44" t="s">
        <v>7</v>
      </c>
      <c r="G44">
        <v>0</v>
      </c>
      <c r="H44" t="str">
        <f>IFERROR(VLOOKUP(E44,DC_Xref!A:B,2,FALSE),"")</f>
        <v>WFC</v>
      </c>
      <c r="I44">
        <f t="shared" si="2"/>
        <v>201848</v>
      </c>
    </row>
    <row r="45" spans="1:9" x14ac:dyDescent="0.3">
      <c r="A45" t="str">
        <f t="shared" si="0"/>
        <v>2018-EAO</v>
      </c>
      <c r="B45" t="str">
        <f t="shared" si="1"/>
        <v>201848-EAO</v>
      </c>
      <c r="C45">
        <v>2018</v>
      </c>
      <c r="D45">
        <v>48</v>
      </c>
      <c r="E45">
        <v>4</v>
      </c>
      <c r="F45" t="s">
        <v>8</v>
      </c>
      <c r="G45">
        <v>0</v>
      </c>
      <c r="H45" t="str">
        <f>IFERROR(VLOOKUP(E45,DC_Xref!A:B,2,FALSE),"")</f>
        <v>EAO</v>
      </c>
      <c r="I45">
        <f t="shared" si="2"/>
        <v>201848</v>
      </c>
    </row>
    <row r="46" spans="1:9" x14ac:dyDescent="0.3">
      <c r="A46" t="str">
        <f t="shared" si="0"/>
        <v>2018-ODC</v>
      </c>
      <c r="B46" t="str">
        <f t="shared" si="1"/>
        <v>201848-FFC-ODC</v>
      </c>
      <c r="C46">
        <v>2018</v>
      </c>
      <c r="D46">
        <v>48</v>
      </c>
      <c r="E46">
        <v>5</v>
      </c>
      <c r="F46" t="s">
        <v>9</v>
      </c>
      <c r="G46">
        <v>0</v>
      </c>
      <c r="H46" t="str">
        <f>IFERROR(VLOOKUP(E46,DC_Xref!A:B,2,FALSE),"")</f>
        <v>FFC-ODC</v>
      </c>
      <c r="I46">
        <f t="shared" si="2"/>
        <v>201848</v>
      </c>
    </row>
    <row r="47" spans="1:9" x14ac:dyDescent="0.3">
      <c r="A47" t="str">
        <f t="shared" si="0"/>
        <v>2018-WEO</v>
      </c>
      <c r="B47" t="str">
        <f t="shared" si="1"/>
        <v>201848-WEO</v>
      </c>
      <c r="C47">
        <v>2018</v>
      </c>
      <c r="D47">
        <v>48</v>
      </c>
      <c r="E47">
        <v>6</v>
      </c>
      <c r="F47" t="s">
        <v>10</v>
      </c>
      <c r="G47">
        <v>0</v>
      </c>
      <c r="H47" t="str">
        <f>IFERROR(VLOOKUP(E47,DC_Xref!A:B,2,FALSE),"")</f>
        <v>WEO</v>
      </c>
      <c r="I47">
        <f t="shared" si="2"/>
        <v>201848</v>
      </c>
    </row>
    <row r="48" spans="1:9" x14ac:dyDescent="0.3">
      <c r="A48" t="str">
        <f t="shared" si="0"/>
        <v>2018-OCC</v>
      </c>
      <c r="B48" t="str">
        <f t="shared" si="1"/>
        <v>201848-OCC</v>
      </c>
      <c r="C48">
        <v>2018</v>
      </c>
      <c r="D48">
        <v>48</v>
      </c>
      <c r="E48">
        <v>7</v>
      </c>
      <c r="F48" t="s">
        <v>11</v>
      </c>
      <c r="G48">
        <v>0</v>
      </c>
      <c r="H48" t="str">
        <f>IFERROR(VLOOKUP(E48,DC_Xref!A:B,2,FALSE),"")</f>
        <v>OCC</v>
      </c>
      <c r="I48">
        <f t="shared" si="2"/>
        <v>201848</v>
      </c>
    </row>
    <row r="49" spans="1:9" x14ac:dyDescent="0.3">
      <c r="A49" t="str">
        <f t="shared" si="0"/>
        <v>2018-SFS</v>
      </c>
      <c r="B49" t="str">
        <f t="shared" si="1"/>
        <v>201848-</v>
      </c>
      <c r="C49">
        <v>2018</v>
      </c>
      <c r="D49">
        <v>48</v>
      </c>
      <c r="E49">
        <v>8</v>
      </c>
      <c r="F49" t="s">
        <v>12</v>
      </c>
      <c r="G49">
        <v>0</v>
      </c>
      <c r="H49" t="str">
        <f>IFERROR(VLOOKUP(E49,DC_Xref!A:B,2,FALSE),"")</f>
        <v/>
      </c>
      <c r="I49">
        <f t="shared" si="2"/>
        <v>201848</v>
      </c>
    </row>
    <row r="50" spans="1:9" x14ac:dyDescent="0.3">
      <c r="A50" t="str">
        <f t="shared" si="0"/>
        <v>2019-OFC</v>
      </c>
      <c r="B50" t="str">
        <f t="shared" si="1"/>
        <v>201943-OFC</v>
      </c>
      <c r="C50">
        <v>2019</v>
      </c>
      <c r="D50">
        <v>43</v>
      </c>
      <c r="E50">
        <v>1</v>
      </c>
      <c r="F50" t="s">
        <v>5</v>
      </c>
      <c r="G50">
        <v>2992482.9</v>
      </c>
      <c r="H50" t="str">
        <f>IFERROR(VLOOKUP(E50,DC_Xref!A:B,2,FALSE),"")</f>
        <v>OFC</v>
      </c>
      <c r="I50">
        <f t="shared" si="2"/>
        <v>201943</v>
      </c>
    </row>
    <row r="51" spans="1:9" x14ac:dyDescent="0.3">
      <c r="A51" t="str">
        <f t="shared" si="0"/>
        <v>2019-TFC</v>
      </c>
      <c r="B51" t="str">
        <f t="shared" si="1"/>
        <v>201943-TFC</v>
      </c>
      <c r="C51">
        <v>2019</v>
      </c>
      <c r="D51">
        <v>43</v>
      </c>
      <c r="E51">
        <v>2</v>
      </c>
      <c r="F51" t="s">
        <v>6</v>
      </c>
      <c r="G51">
        <v>2850022.8</v>
      </c>
      <c r="H51" t="str">
        <f>IFERROR(VLOOKUP(E51,DC_Xref!A:B,2,FALSE),"")</f>
        <v>TFC</v>
      </c>
      <c r="I51">
        <f t="shared" si="2"/>
        <v>201943</v>
      </c>
    </row>
    <row r="52" spans="1:9" x14ac:dyDescent="0.3">
      <c r="A52" t="str">
        <f t="shared" si="0"/>
        <v>2019-WFC</v>
      </c>
      <c r="B52" t="str">
        <f t="shared" si="1"/>
        <v>201943-WFC</v>
      </c>
      <c r="C52">
        <v>2019</v>
      </c>
      <c r="D52">
        <v>43</v>
      </c>
      <c r="E52">
        <v>3</v>
      </c>
      <c r="F52" t="s">
        <v>7</v>
      </c>
      <c r="G52">
        <v>683982.9</v>
      </c>
      <c r="H52" t="str">
        <f>IFERROR(VLOOKUP(E52,DC_Xref!A:B,2,FALSE),"")</f>
        <v>WFC</v>
      </c>
      <c r="I52">
        <f t="shared" si="2"/>
        <v>201943</v>
      </c>
    </row>
    <row r="53" spans="1:9" x14ac:dyDescent="0.3">
      <c r="A53" t="str">
        <f t="shared" si="0"/>
        <v>2019-EAO</v>
      </c>
      <c r="B53" t="str">
        <f t="shared" si="1"/>
        <v>201943-EAO</v>
      </c>
      <c r="C53">
        <v>2019</v>
      </c>
      <c r="D53">
        <v>43</v>
      </c>
      <c r="E53">
        <v>4</v>
      </c>
      <c r="F53" t="s">
        <v>8</v>
      </c>
      <c r="G53">
        <v>2850022.8</v>
      </c>
      <c r="H53" t="str">
        <f>IFERROR(VLOOKUP(E53,DC_Xref!A:B,2,FALSE),"")</f>
        <v>EAO</v>
      </c>
      <c r="I53">
        <f t="shared" si="2"/>
        <v>201943</v>
      </c>
    </row>
    <row r="54" spans="1:9" x14ac:dyDescent="0.3">
      <c r="A54" t="str">
        <f t="shared" si="0"/>
        <v>2019-ODC</v>
      </c>
      <c r="B54" t="str">
        <f t="shared" si="1"/>
        <v>201943-FFC-ODC</v>
      </c>
      <c r="C54">
        <v>2019</v>
      </c>
      <c r="D54">
        <v>43</v>
      </c>
      <c r="E54">
        <v>5</v>
      </c>
      <c r="F54" t="s">
        <v>9</v>
      </c>
      <c r="G54">
        <v>0</v>
      </c>
      <c r="H54" t="str">
        <f>IFERROR(VLOOKUP(E54,DC_Xref!A:B,2,FALSE),"")</f>
        <v>FFC-ODC</v>
      </c>
      <c r="I54">
        <f t="shared" si="2"/>
        <v>201943</v>
      </c>
    </row>
    <row r="55" spans="1:9" x14ac:dyDescent="0.3">
      <c r="A55" t="str">
        <f t="shared" si="0"/>
        <v>2019-WEO</v>
      </c>
      <c r="B55" t="str">
        <f t="shared" si="1"/>
        <v>201943-WEO</v>
      </c>
      <c r="C55">
        <v>2019</v>
      </c>
      <c r="D55">
        <v>43</v>
      </c>
      <c r="E55">
        <v>6</v>
      </c>
      <c r="F55" t="s">
        <v>10</v>
      </c>
      <c r="G55">
        <v>2850022.8</v>
      </c>
      <c r="H55" t="str">
        <f>IFERROR(VLOOKUP(E55,DC_Xref!A:B,2,FALSE),"")</f>
        <v>WEO</v>
      </c>
      <c r="I55">
        <f t="shared" si="2"/>
        <v>201943</v>
      </c>
    </row>
    <row r="56" spans="1:9" x14ac:dyDescent="0.3">
      <c r="A56" t="str">
        <f t="shared" si="0"/>
        <v>2019-OCC</v>
      </c>
      <c r="B56" t="str">
        <f t="shared" si="1"/>
        <v>201943-OCC</v>
      </c>
      <c r="C56">
        <v>2019</v>
      </c>
      <c r="D56">
        <v>43</v>
      </c>
      <c r="E56">
        <v>7</v>
      </c>
      <c r="F56" t="s">
        <v>11</v>
      </c>
      <c r="G56">
        <v>0</v>
      </c>
      <c r="H56" t="str">
        <f>IFERROR(VLOOKUP(E56,DC_Xref!A:B,2,FALSE),"")</f>
        <v>OCC</v>
      </c>
      <c r="I56">
        <f t="shared" si="2"/>
        <v>201943</v>
      </c>
    </row>
    <row r="57" spans="1:9" x14ac:dyDescent="0.3">
      <c r="A57" t="str">
        <f t="shared" si="0"/>
        <v>2019-SFS</v>
      </c>
      <c r="B57" t="str">
        <f t="shared" si="1"/>
        <v>201943-</v>
      </c>
      <c r="C57">
        <v>2019</v>
      </c>
      <c r="D57">
        <v>43</v>
      </c>
      <c r="E57">
        <v>8</v>
      </c>
      <c r="F57" t="s">
        <v>12</v>
      </c>
      <c r="G57">
        <v>0</v>
      </c>
      <c r="H57" t="str">
        <f>IFERROR(VLOOKUP(E57,DC_Xref!A:B,2,FALSE),"")</f>
        <v/>
      </c>
      <c r="I57">
        <f t="shared" si="2"/>
        <v>201943</v>
      </c>
    </row>
    <row r="58" spans="1:9" x14ac:dyDescent="0.3">
      <c r="A58" t="str">
        <f t="shared" si="0"/>
        <v>2019-OFC</v>
      </c>
      <c r="B58" t="str">
        <f t="shared" si="1"/>
        <v>201944-OFC</v>
      </c>
      <c r="C58">
        <v>2019</v>
      </c>
      <c r="D58">
        <v>44</v>
      </c>
      <c r="E58">
        <v>1</v>
      </c>
      <c r="F58" t="s">
        <v>5</v>
      </c>
      <c r="G58">
        <v>3307481.1</v>
      </c>
      <c r="H58" t="str">
        <f>IFERROR(VLOOKUP(E58,DC_Xref!A:B,2,FALSE),"")</f>
        <v>OFC</v>
      </c>
      <c r="I58">
        <f t="shared" si="2"/>
        <v>201944</v>
      </c>
    </row>
    <row r="59" spans="1:9" x14ac:dyDescent="0.3">
      <c r="A59" t="str">
        <f t="shared" si="0"/>
        <v>2019-TFC</v>
      </c>
      <c r="B59" t="str">
        <f t="shared" si="1"/>
        <v>201944-TFC</v>
      </c>
      <c r="C59">
        <v>2019</v>
      </c>
      <c r="D59">
        <v>44</v>
      </c>
      <c r="E59">
        <v>2</v>
      </c>
      <c r="F59" t="s">
        <v>6</v>
      </c>
      <c r="G59">
        <v>3150025.2</v>
      </c>
      <c r="H59" t="str">
        <f>IFERROR(VLOOKUP(E59,DC_Xref!A:B,2,FALSE),"")</f>
        <v>TFC</v>
      </c>
      <c r="I59">
        <f t="shared" si="2"/>
        <v>201944</v>
      </c>
    </row>
    <row r="60" spans="1:9" x14ac:dyDescent="0.3">
      <c r="A60" t="str">
        <f t="shared" si="0"/>
        <v>2019-WFC</v>
      </c>
      <c r="B60" t="str">
        <f t="shared" si="1"/>
        <v>201944-WFC</v>
      </c>
      <c r="C60">
        <v>2019</v>
      </c>
      <c r="D60">
        <v>44</v>
      </c>
      <c r="E60">
        <v>3</v>
      </c>
      <c r="F60" t="s">
        <v>7</v>
      </c>
      <c r="G60">
        <v>755981.09999999905</v>
      </c>
      <c r="H60" t="str">
        <f>IFERROR(VLOOKUP(E60,DC_Xref!A:B,2,FALSE),"")</f>
        <v>WFC</v>
      </c>
      <c r="I60">
        <f t="shared" si="2"/>
        <v>201944</v>
      </c>
    </row>
    <row r="61" spans="1:9" x14ac:dyDescent="0.3">
      <c r="A61" t="str">
        <f t="shared" si="0"/>
        <v>2019-EAO</v>
      </c>
      <c r="B61" t="str">
        <f t="shared" si="1"/>
        <v>201944-EAO</v>
      </c>
      <c r="C61">
        <v>2019</v>
      </c>
      <c r="D61">
        <v>44</v>
      </c>
      <c r="E61">
        <v>4</v>
      </c>
      <c r="F61" t="s">
        <v>8</v>
      </c>
      <c r="G61">
        <v>3150025.2</v>
      </c>
      <c r="H61" t="str">
        <f>IFERROR(VLOOKUP(E61,DC_Xref!A:B,2,FALSE),"")</f>
        <v>EAO</v>
      </c>
      <c r="I61">
        <f t="shared" si="2"/>
        <v>201944</v>
      </c>
    </row>
    <row r="62" spans="1:9" x14ac:dyDescent="0.3">
      <c r="A62" t="str">
        <f t="shared" si="0"/>
        <v>2019-ODC</v>
      </c>
      <c r="B62" t="str">
        <f t="shared" si="1"/>
        <v>201944-FFC-ODC</v>
      </c>
      <c r="C62">
        <v>2019</v>
      </c>
      <c r="D62">
        <v>44</v>
      </c>
      <c r="E62">
        <v>5</v>
      </c>
      <c r="F62" t="s">
        <v>9</v>
      </c>
      <c r="G62">
        <v>0</v>
      </c>
      <c r="H62" t="str">
        <f>IFERROR(VLOOKUP(E62,DC_Xref!A:B,2,FALSE),"")</f>
        <v>FFC-ODC</v>
      </c>
      <c r="I62">
        <f t="shared" si="2"/>
        <v>201944</v>
      </c>
    </row>
    <row r="63" spans="1:9" x14ac:dyDescent="0.3">
      <c r="A63" t="str">
        <f t="shared" si="0"/>
        <v>2019-WEO</v>
      </c>
      <c r="B63" t="str">
        <f t="shared" si="1"/>
        <v>201944-WEO</v>
      </c>
      <c r="C63">
        <v>2019</v>
      </c>
      <c r="D63">
        <v>44</v>
      </c>
      <c r="E63">
        <v>6</v>
      </c>
      <c r="F63" t="s">
        <v>10</v>
      </c>
      <c r="G63">
        <v>3150025.2</v>
      </c>
      <c r="H63" t="str">
        <f>IFERROR(VLOOKUP(E63,DC_Xref!A:B,2,FALSE),"")</f>
        <v>WEO</v>
      </c>
      <c r="I63">
        <f t="shared" si="2"/>
        <v>201944</v>
      </c>
    </row>
    <row r="64" spans="1:9" x14ac:dyDescent="0.3">
      <c r="A64" t="str">
        <f t="shared" si="0"/>
        <v>2019-OCC</v>
      </c>
      <c r="B64" t="str">
        <f t="shared" si="1"/>
        <v>201944-OCC</v>
      </c>
      <c r="C64">
        <v>2019</v>
      </c>
      <c r="D64">
        <v>44</v>
      </c>
      <c r="E64">
        <v>7</v>
      </c>
      <c r="F64" t="s">
        <v>11</v>
      </c>
      <c r="G64">
        <v>0</v>
      </c>
      <c r="H64" t="str">
        <f>IFERROR(VLOOKUP(E64,DC_Xref!A:B,2,FALSE),"")</f>
        <v>OCC</v>
      </c>
      <c r="I64">
        <f t="shared" si="2"/>
        <v>201944</v>
      </c>
    </row>
    <row r="65" spans="1:9" x14ac:dyDescent="0.3">
      <c r="A65" t="str">
        <f t="shared" si="0"/>
        <v>2019-SFS</v>
      </c>
      <c r="B65" t="str">
        <f t="shared" si="1"/>
        <v>201944-</v>
      </c>
      <c r="C65">
        <v>2019</v>
      </c>
      <c r="D65">
        <v>44</v>
      </c>
      <c r="E65">
        <v>8</v>
      </c>
      <c r="F65" t="s">
        <v>12</v>
      </c>
      <c r="G65">
        <v>0</v>
      </c>
      <c r="H65" t="str">
        <f>IFERROR(VLOOKUP(E65,DC_Xref!A:B,2,FALSE),"")</f>
        <v/>
      </c>
      <c r="I65">
        <f t="shared" si="2"/>
        <v>201944</v>
      </c>
    </row>
    <row r="66" spans="1:9" x14ac:dyDescent="0.3">
      <c r="A66" t="str">
        <f t="shared" ref="A66:A129" si="3">C66&amp;"-"&amp;F66</f>
        <v>2019-OFC</v>
      </c>
      <c r="B66" t="str">
        <f t="shared" ref="B66:B129" si="4">I66&amp;"-"&amp;H66</f>
        <v>201945-OFC</v>
      </c>
      <c r="C66">
        <v>2019</v>
      </c>
      <c r="D66">
        <v>45</v>
      </c>
      <c r="E66">
        <v>1</v>
      </c>
      <c r="F66" t="s">
        <v>5</v>
      </c>
      <c r="G66">
        <v>3307481.1</v>
      </c>
      <c r="H66" t="str">
        <f>IFERROR(VLOOKUP(E66,DC_Xref!A:B,2,FALSE),"")</f>
        <v>OFC</v>
      </c>
      <c r="I66">
        <f t="shared" ref="I66:I129" si="5">C66*100+D66</f>
        <v>201945</v>
      </c>
    </row>
    <row r="67" spans="1:9" x14ac:dyDescent="0.3">
      <c r="A67" t="str">
        <f t="shared" si="3"/>
        <v>2019-TFC</v>
      </c>
      <c r="B67" t="str">
        <f t="shared" si="4"/>
        <v>201945-TFC</v>
      </c>
      <c r="C67">
        <v>2019</v>
      </c>
      <c r="D67">
        <v>45</v>
      </c>
      <c r="E67">
        <v>2</v>
      </c>
      <c r="F67" t="s">
        <v>6</v>
      </c>
      <c r="G67">
        <v>3150025.2</v>
      </c>
      <c r="H67" t="str">
        <f>IFERROR(VLOOKUP(E67,DC_Xref!A:B,2,FALSE),"")</f>
        <v>TFC</v>
      </c>
      <c r="I67">
        <f t="shared" si="5"/>
        <v>201945</v>
      </c>
    </row>
    <row r="68" spans="1:9" x14ac:dyDescent="0.3">
      <c r="A68" t="str">
        <f t="shared" si="3"/>
        <v>2019-WFC</v>
      </c>
      <c r="B68" t="str">
        <f t="shared" si="4"/>
        <v>201945-WFC</v>
      </c>
      <c r="C68">
        <v>2019</v>
      </c>
      <c r="D68">
        <v>45</v>
      </c>
      <c r="E68">
        <v>3</v>
      </c>
      <c r="F68" t="s">
        <v>7</v>
      </c>
      <c r="G68">
        <v>755981.09999999905</v>
      </c>
      <c r="H68" t="str">
        <f>IFERROR(VLOOKUP(E68,DC_Xref!A:B,2,FALSE),"")</f>
        <v>WFC</v>
      </c>
      <c r="I68">
        <f t="shared" si="5"/>
        <v>201945</v>
      </c>
    </row>
    <row r="69" spans="1:9" x14ac:dyDescent="0.3">
      <c r="A69" t="str">
        <f t="shared" si="3"/>
        <v>2019-EAO</v>
      </c>
      <c r="B69" t="str">
        <f t="shared" si="4"/>
        <v>201945-EAO</v>
      </c>
      <c r="C69">
        <v>2019</v>
      </c>
      <c r="D69">
        <v>45</v>
      </c>
      <c r="E69">
        <v>4</v>
      </c>
      <c r="F69" t="s">
        <v>8</v>
      </c>
      <c r="G69">
        <v>3150025.2</v>
      </c>
      <c r="H69" t="str">
        <f>IFERROR(VLOOKUP(E69,DC_Xref!A:B,2,FALSE),"")</f>
        <v>EAO</v>
      </c>
      <c r="I69">
        <f t="shared" si="5"/>
        <v>201945</v>
      </c>
    </row>
    <row r="70" spans="1:9" x14ac:dyDescent="0.3">
      <c r="A70" t="str">
        <f t="shared" si="3"/>
        <v>2019-ODC</v>
      </c>
      <c r="B70" t="str">
        <f t="shared" si="4"/>
        <v>201945-FFC-ODC</v>
      </c>
      <c r="C70">
        <v>2019</v>
      </c>
      <c r="D70">
        <v>45</v>
      </c>
      <c r="E70">
        <v>5</v>
      </c>
      <c r="F70" t="s">
        <v>9</v>
      </c>
      <c r="G70">
        <v>0</v>
      </c>
      <c r="H70" t="str">
        <f>IFERROR(VLOOKUP(E70,DC_Xref!A:B,2,FALSE),"")</f>
        <v>FFC-ODC</v>
      </c>
      <c r="I70">
        <f t="shared" si="5"/>
        <v>201945</v>
      </c>
    </row>
    <row r="71" spans="1:9" x14ac:dyDescent="0.3">
      <c r="A71" t="str">
        <f t="shared" si="3"/>
        <v>2019-WEO</v>
      </c>
      <c r="B71" t="str">
        <f t="shared" si="4"/>
        <v>201945-WEO</v>
      </c>
      <c r="C71">
        <v>2019</v>
      </c>
      <c r="D71">
        <v>45</v>
      </c>
      <c r="E71">
        <v>6</v>
      </c>
      <c r="F71" t="s">
        <v>10</v>
      </c>
      <c r="G71">
        <v>3150025.2</v>
      </c>
      <c r="H71" t="str">
        <f>IFERROR(VLOOKUP(E71,DC_Xref!A:B,2,FALSE),"")</f>
        <v>WEO</v>
      </c>
      <c r="I71">
        <f t="shared" si="5"/>
        <v>201945</v>
      </c>
    </row>
    <row r="72" spans="1:9" x14ac:dyDescent="0.3">
      <c r="A72" t="str">
        <f t="shared" si="3"/>
        <v>2019-OCC</v>
      </c>
      <c r="B72" t="str">
        <f t="shared" si="4"/>
        <v>201945-OCC</v>
      </c>
      <c r="C72">
        <v>2019</v>
      </c>
      <c r="D72">
        <v>45</v>
      </c>
      <c r="E72">
        <v>7</v>
      </c>
      <c r="F72" t="s">
        <v>11</v>
      </c>
      <c r="G72">
        <v>0</v>
      </c>
      <c r="H72" t="str">
        <f>IFERROR(VLOOKUP(E72,DC_Xref!A:B,2,FALSE),"")</f>
        <v>OCC</v>
      </c>
      <c r="I72">
        <f t="shared" si="5"/>
        <v>201945</v>
      </c>
    </row>
    <row r="73" spans="1:9" x14ac:dyDescent="0.3">
      <c r="A73" t="str">
        <f t="shared" si="3"/>
        <v>2019-SFS</v>
      </c>
      <c r="B73" t="str">
        <f t="shared" si="4"/>
        <v>201945-</v>
      </c>
      <c r="C73">
        <v>2019</v>
      </c>
      <c r="D73">
        <v>45</v>
      </c>
      <c r="E73">
        <v>8</v>
      </c>
      <c r="F73" t="s">
        <v>12</v>
      </c>
      <c r="G73">
        <v>0</v>
      </c>
      <c r="H73" t="str">
        <f>IFERROR(VLOOKUP(E73,DC_Xref!A:B,2,FALSE),"")</f>
        <v/>
      </c>
      <c r="I73">
        <f t="shared" si="5"/>
        <v>201945</v>
      </c>
    </row>
    <row r="74" spans="1:9" x14ac:dyDescent="0.3">
      <c r="A74" t="str">
        <f t="shared" si="3"/>
        <v>2019-OFC</v>
      </c>
      <c r="B74" t="str">
        <f t="shared" si="4"/>
        <v>201946-OFC</v>
      </c>
      <c r="C74">
        <v>2019</v>
      </c>
      <c r="D74">
        <v>46</v>
      </c>
      <c r="E74">
        <v>1</v>
      </c>
      <c r="F74" t="s">
        <v>5</v>
      </c>
      <c r="G74">
        <v>3307481.1</v>
      </c>
      <c r="H74" t="str">
        <f>IFERROR(VLOOKUP(E74,DC_Xref!A:B,2,FALSE),"")</f>
        <v>OFC</v>
      </c>
      <c r="I74">
        <f t="shared" si="5"/>
        <v>201946</v>
      </c>
    </row>
    <row r="75" spans="1:9" x14ac:dyDescent="0.3">
      <c r="A75" t="str">
        <f t="shared" si="3"/>
        <v>2019-TFC</v>
      </c>
      <c r="B75" t="str">
        <f t="shared" si="4"/>
        <v>201946-TFC</v>
      </c>
      <c r="C75">
        <v>2019</v>
      </c>
      <c r="D75">
        <v>46</v>
      </c>
      <c r="E75">
        <v>2</v>
      </c>
      <c r="F75" t="s">
        <v>6</v>
      </c>
      <c r="G75">
        <v>3150025.2</v>
      </c>
      <c r="H75" t="str">
        <f>IFERROR(VLOOKUP(E75,DC_Xref!A:B,2,FALSE),"")</f>
        <v>TFC</v>
      </c>
      <c r="I75">
        <f t="shared" si="5"/>
        <v>201946</v>
      </c>
    </row>
    <row r="76" spans="1:9" x14ac:dyDescent="0.3">
      <c r="A76" t="str">
        <f t="shared" si="3"/>
        <v>2019-WFC</v>
      </c>
      <c r="B76" t="str">
        <f t="shared" si="4"/>
        <v>201946-WFC</v>
      </c>
      <c r="C76">
        <v>2019</v>
      </c>
      <c r="D76">
        <v>46</v>
      </c>
      <c r="E76">
        <v>3</v>
      </c>
      <c r="F76" t="s">
        <v>7</v>
      </c>
      <c r="G76">
        <v>755981.09999999905</v>
      </c>
      <c r="H76" t="str">
        <f>IFERROR(VLOOKUP(E76,DC_Xref!A:B,2,FALSE),"")</f>
        <v>WFC</v>
      </c>
      <c r="I76">
        <f t="shared" si="5"/>
        <v>201946</v>
      </c>
    </row>
    <row r="77" spans="1:9" x14ac:dyDescent="0.3">
      <c r="A77" t="str">
        <f t="shared" si="3"/>
        <v>2019-EAO</v>
      </c>
      <c r="B77" t="str">
        <f t="shared" si="4"/>
        <v>201946-EAO</v>
      </c>
      <c r="C77">
        <v>2019</v>
      </c>
      <c r="D77">
        <v>46</v>
      </c>
      <c r="E77">
        <v>4</v>
      </c>
      <c r="F77" t="s">
        <v>8</v>
      </c>
      <c r="G77">
        <v>3150025.2</v>
      </c>
      <c r="H77" t="str">
        <f>IFERROR(VLOOKUP(E77,DC_Xref!A:B,2,FALSE),"")</f>
        <v>EAO</v>
      </c>
      <c r="I77">
        <f t="shared" si="5"/>
        <v>201946</v>
      </c>
    </row>
    <row r="78" spans="1:9" x14ac:dyDescent="0.3">
      <c r="A78" t="str">
        <f t="shared" si="3"/>
        <v>2019-ODC</v>
      </c>
      <c r="B78" t="str">
        <f t="shared" si="4"/>
        <v>201946-FFC-ODC</v>
      </c>
      <c r="C78">
        <v>2019</v>
      </c>
      <c r="D78">
        <v>46</v>
      </c>
      <c r="E78">
        <v>5</v>
      </c>
      <c r="F78" t="s">
        <v>9</v>
      </c>
      <c r="G78">
        <v>0</v>
      </c>
      <c r="H78" t="str">
        <f>IFERROR(VLOOKUP(E78,DC_Xref!A:B,2,FALSE),"")</f>
        <v>FFC-ODC</v>
      </c>
      <c r="I78">
        <f t="shared" si="5"/>
        <v>201946</v>
      </c>
    </row>
    <row r="79" spans="1:9" x14ac:dyDescent="0.3">
      <c r="A79" t="str">
        <f t="shared" si="3"/>
        <v>2019-WEO</v>
      </c>
      <c r="B79" t="str">
        <f t="shared" si="4"/>
        <v>201946-WEO</v>
      </c>
      <c r="C79">
        <v>2019</v>
      </c>
      <c r="D79">
        <v>46</v>
      </c>
      <c r="E79">
        <v>6</v>
      </c>
      <c r="F79" t="s">
        <v>10</v>
      </c>
      <c r="G79">
        <v>3150025.2</v>
      </c>
      <c r="H79" t="str">
        <f>IFERROR(VLOOKUP(E79,DC_Xref!A:B,2,FALSE),"")</f>
        <v>WEO</v>
      </c>
      <c r="I79">
        <f t="shared" si="5"/>
        <v>201946</v>
      </c>
    </row>
    <row r="80" spans="1:9" x14ac:dyDescent="0.3">
      <c r="A80" t="str">
        <f t="shared" si="3"/>
        <v>2019-OCC</v>
      </c>
      <c r="B80" t="str">
        <f t="shared" si="4"/>
        <v>201946-OCC</v>
      </c>
      <c r="C80">
        <v>2019</v>
      </c>
      <c r="D80">
        <v>46</v>
      </c>
      <c r="E80">
        <v>7</v>
      </c>
      <c r="F80" t="s">
        <v>11</v>
      </c>
      <c r="G80">
        <v>0</v>
      </c>
      <c r="H80" t="str">
        <f>IFERROR(VLOOKUP(E80,DC_Xref!A:B,2,FALSE),"")</f>
        <v>OCC</v>
      </c>
      <c r="I80">
        <f t="shared" si="5"/>
        <v>201946</v>
      </c>
    </row>
    <row r="81" spans="1:9" x14ac:dyDescent="0.3">
      <c r="A81" t="str">
        <f t="shared" si="3"/>
        <v>2019-SFS</v>
      </c>
      <c r="B81" t="str">
        <f t="shared" si="4"/>
        <v>201946-</v>
      </c>
      <c r="C81">
        <v>2019</v>
      </c>
      <c r="D81">
        <v>46</v>
      </c>
      <c r="E81">
        <v>8</v>
      </c>
      <c r="F81" t="s">
        <v>12</v>
      </c>
      <c r="G81">
        <v>0</v>
      </c>
      <c r="H81" t="str">
        <f>IFERROR(VLOOKUP(E81,DC_Xref!A:B,2,FALSE),"")</f>
        <v/>
      </c>
      <c r="I81">
        <f t="shared" si="5"/>
        <v>201946</v>
      </c>
    </row>
    <row r="82" spans="1:9" x14ac:dyDescent="0.3">
      <c r="A82" t="str">
        <f t="shared" si="3"/>
        <v>2019-OFC</v>
      </c>
      <c r="B82" t="str">
        <f t="shared" si="4"/>
        <v>201947-OFC</v>
      </c>
      <c r="C82">
        <v>2019</v>
      </c>
      <c r="D82">
        <v>47</v>
      </c>
      <c r="E82">
        <v>1</v>
      </c>
      <c r="F82" t="s">
        <v>5</v>
      </c>
      <c r="G82">
        <v>3307481.1</v>
      </c>
      <c r="H82" t="str">
        <f>IFERROR(VLOOKUP(E82,DC_Xref!A:B,2,FALSE),"")</f>
        <v>OFC</v>
      </c>
      <c r="I82">
        <f t="shared" si="5"/>
        <v>201947</v>
      </c>
    </row>
    <row r="83" spans="1:9" x14ac:dyDescent="0.3">
      <c r="A83" t="str">
        <f t="shared" si="3"/>
        <v>2019-TFC</v>
      </c>
      <c r="B83" t="str">
        <f t="shared" si="4"/>
        <v>201947-TFC</v>
      </c>
      <c r="C83">
        <v>2019</v>
      </c>
      <c r="D83">
        <v>47</v>
      </c>
      <c r="E83">
        <v>2</v>
      </c>
      <c r="F83" t="s">
        <v>6</v>
      </c>
      <c r="G83">
        <v>3150025.2</v>
      </c>
      <c r="H83" t="str">
        <f>IFERROR(VLOOKUP(E83,DC_Xref!A:B,2,FALSE),"")</f>
        <v>TFC</v>
      </c>
      <c r="I83">
        <f t="shared" si="5"/>
        <v>201947</v>
      </c>
    </row>
    <row r="84" spans="1:9" x14ac:dyDescent="0.3">
      <c r="A84" t="str">
        <f t="shared" si="3"/>
        <v>2019-WFC</v>
      </c>
      <c r="B84" t="str">
        <f t="shared" si="4"/>
        <v>201947-WFC</v>
      </c>
      <c r="C84">
        <v>2019</v>
      </c>
      <c r="D84">
        <v>47</v>
      </c>
      <c r="E84">
        <v>3</v>
      </c>
      <c r="F84" t="s">
        <v>7</v>
      </c>
      <c r="G84">
        <v>755981.09999999905</v>
      </c>
      <c r="H84" t="str">
        <f>IFERROR(VLOOKUP(E84,DC_Xref!A:B,2,FALSE),"")</f>
        <v>WFC</v>
      </c>
      <c r="I84">
        <f t="shared" si="5"/>
        <v>201947</v>
      </c>
    </row>
    <row r="85" spans="1:9" x14ac:dyDescent="0.3">
      <c r="A85" t="str">
        <f t="shared" si="3"/>
        <v>2019-EAO</v>
      </c>
      <c r="B85" t="str">
        <f t="shared" si="4"/>
        <v>201947-EAO</v>
      </c>
      <c r="C85">
        <v>2019</v>
      </c>
      <c r="D85">
        <v>47</v>
      </c>
      <c r="E85">
        <v>4</v>
      </c>
      <c r="F85" t="s">
        <v>8</v>
      </c>
      <c r="G85">
        <v>3150025.2</v>
      </c>
      <c r="H85" t="str">
        <f>IFERROR(VLOOKUP(E85,DC_Xref!A:B,2,FALSE),"")</f>
        <v>EAO</v>
      </c>
      <c r="I85">
        <f t="shared" si="5"/>
        <v>201947</v>
      </c>
    </row>
    <row r="86" spans="1:9" x14ac:dyDescent="0.3">
      <c r="A86" t="str">
        <f t="shared" si="3"/>
        <v>2019-ODC</v>
      </c>
      <c r="B86" t="str">
        <f t="shared" si="4"/>
        <v>201947-FFC-ODC</v>
      </c>
      <c r="C86">
        <v>2019</v>
      </c>
      <c r="D86">
        <v>47</v>
      </c>
      <c r="E86">
        <v>5</v>
      </c>
      <c r="F86" t="s">
        <v>9</v>
      </c>
      <c r="G86">
        <v>0</v>
      </c>
      <c r="H86" t="str">
        <f>IFERROR(VLOOKUP(E86,DC_Xref!A:B,2,FALSE),"")</f>
        <v>FFC-ODC</v>
      </c>
      <c r="I86">
        <f t="shared" si="5"/>
        <v>201947</v>
      </c>
    </row>
    <row r="87" spans="1:9" x14ac:dyDescent="0.3">
      <c r="A87" t="str">
        <f t="shared" si="3"/>
        <v>2019-WEO</v>
      </c>
      <c r="B87" t="str">
        <f t="shared" si="4"/>
        <v>201947-WEO</v>
      </c>
      <c r="C87">
        <v>2019</v>
      </c>
      <c r="D87">
        <v>47</v>
      </c>
      <c r="E87">
        <v>6</v>
      </c>
      <c r="F87" t="s">
        <v>10</v>
      </c>
      <c r="G87">
        <v>3150025.2</v>
      </c>
      <c r="H87" t="str">
        <f>IFERROR(VLOOKUP(E87,DC_Xref!A:B,2,FALSE),"")</f>
        <v>WEO</v>
      </c>
      <c r="I87">
        <f t="shared" si="5"/>
        <v>201947</v>
      </c>
    </row>
    <row r="88" spans="1:9" x14ac:dyDescent="0.3">
      <c r="A88" t="str">
        <f t="shared" si="3"/>
        <v>2019-OCC</v>
      </c>
      <c r="B88" t="str">
        <f t="shared" si="4"/>
        <v>201947-OCC</v>
      </c>
      <c r="C88">
        <v>2019</v>
      </c>
      <c r="D88">
        <v>47</v>
      </c>
      <c r="E88">
        <v>7</v>
      </c>
      <c r="F88" t="s">
        <v>11</v>
      </c>
      <c r="G88">
        <v>0</v>
      </c>
      <c r="H88" t="str">
        <f>IFERROR(VLOOKUP(E88,DC_Xref!A:B,2,FALSE),"")</f>
        <v>OCC</v>
      </c>
      <c r="I88">
        <f t="shared" si="5"/>
        <v>201947</v>
      </c>
    </row>
    <row r="89" spans="1:9" x14ac:dyDescent="0.3">
      <c r="A89" t="str">
        <f t="shared" si="3"/>
        <v>2019-SFS</v>
      </c>
      <c r="B89" t="str">
        <f t="shared" si="4"/>
        <v>201947-</v>
      </c>
      <c r="C89">
        <v>2019</v>
      </c>
      <c r="D89">
        <v>47</v>
      </c>
      <c r="E89">
        <v>8</v>
      </c>
      <c r="F89" t="s">
        <v>12</v>
      </c>
      <c r="G89">
        <v>0</v>
      </c>
      <c r="H89" t="str">
        <f>IFERROR(VLOOKUP(E89,DC_Xref!A:B,2,FALSE),"")</f>
        <v/>
      </c>
      <c r="I89">
        <f t="shared" si="5"/>
        <v>201947</v>
      </c>
    </row>
    <row r="90" spans="1:9" x14ac:dyDescent="0.3">
      <c r="A90" t="str">
        <f t="shared" si="3"/>
        <v>2019-OFC</v>
      </c>
      <c r="B90" t="str">
        <f t="shared" si="4"/>
        <v>201948-OFC</v>
      </c>
      <c r="C90">
        <v>2019</v>
      </c>
      <c r="D90">
        <v>48</v>
      </c>
      <c r="E90">
        <v>1</v>
      </c>
      <c r="F90" t="s">
        <v>5</v>
      </c>
      <c r="G90">
        <v>0</v>
      </c>
      <c r="H90" t="str">
        <f>IFERROR(VLOOKUP(E90,DC_Xref!A:B,2,FALSE),"")</f>
        <v>OFC</v>
      </c>
      <c r="I90">
        <f t="shared" si="5"/>
        <v>201948</v>
      </c>
    </row>
    <row r="91" spans="1:9" x14ac:dyDescent="0.3">
      <c r="A91" t="str">
        <f t="shared" si="3"/>
        <v>2019-TFC</v>
      </c>
      <c r="B91" t="str">
        <f t="shared" si="4"/>
        <v>201948-TFC</v>
      </c>
      <c r="C91">
        <v>2019</v>
      </c>
      <c r="D91">
        <v>48</v>
      </c>
      <c r="E91">
        <v>2</v>
      </c>
      <c r="F91" t="s">
        <v>6</v>
      </c>
      <c r="G91">
        <v>0</v>
      </c>
      <c r="H91" t="str">
        <f>IFERROR(VLOOKUP(E91,DC_Xref!A:B,2,FALSE),"")</f>
        <v>TFC</v>
      </c>
      <c r="I91">
        <f t="shared" si="5"/>
        <v>201948</v>
      </c>
    </row>
    <row r="92" spans="1:9" x14ac:dyDescent="0.3">
      <c r="A92" t="str">
        <f t="shared" si="3"/>
        <v>2019-WFC</v>
      </c>
      <c r="B92" t="str">
        <f t="shared" si="4"/>
        <v>201948-WFC</v>
      </c>
      <c r="C92">
        <v>2019</v>
      </c>
      <c r="D92">
        <v>48</v>
      </c>
      <c r="E92">
        <v>3</v>
      </c>
      <c r="F92" t="s">
        <v>7</v>
      </c>
      <c r="G92">
        <v>0</v>
      </c>
      <c r="H92" t="str">
        <f>IFERROR(VLOOKUP(E92,DC_Xref!A:B,2,FALSE),"")</f>
        <v>WFC</v>
      </c>
      <c r="I92">
        <f t="shared" si="5"/>
        <v>201948</v>
      </c>
    </row>
    <row r="93" spans="1:9" x14ac:dyDescent="0.3">
      <c r="A93" t="str">
        <f t="shared" si="3"/>
        <v>2019-EAO</v>
      </c>
      <c r="B93" t="str">
        <f t="shared" si="4"/>
        <v>201948-EAO</v>
      </c>
      <c r="C93">
        <v>2019</v>
      </c>
      <c r="D93">
        <v>48</v>
      </c>
      <c r="E93">
        <v>4</v>
      </c>
      <c r="F93" t="s">
        <v>8</v>
      </c>
      <c r="G93">
        <v>0</v>
      </c>
      <c r="H93" t="str">
        <f>IFERROR(VLOOKUP(E93,DC_Xref!A:B,2,FALSE),"")</f>
        <v>EAO</v>
      </c>
      <c r="I93">
        <f t="shared" si="5"/>
        <v>201948</v>
      </c>
    </row>
    <row r="94" spans="1:9" x14ac:dyDescent="0.3">
      <c r="A94" t="str">
        <f t="shared" si="3"/>
        <v>2019-ODC</v>
      </c>
      <c r="B94" t="str">
        <f t="shared" si="4"/>
        <v>201948-FFC-ODC</v>
      </c>
      <c r="C94">
        <v>2019</v>
      </c>
      <c r="D94">
        <v>48</v>
      </c>
      <c r="E94">
        <v>5</v>
      </c>
      <c r="F94" t="s">
        <v>9</v>
      </c>
      <c r="G94">
        <v>0</v>
      </c>
      <c r="H94" t="str">
        <f>IFERROR(VLOOKUP(E94,DC_Xref!A:B,2,FALSE),"")</f>
        <v>FFC-ODC</v>
      </c>
      <c r="I94">
        <f t="shared" si="5"/>
        <v>201948</v>
      </c>
    </row>
    <row r="95" spans="1:9" x14ac:dyDescent="0.3">
      <c r="A95" t="str">
        <f t="shared" si="3"/>
        <v>2019-WEO</v>
      </c>
      <c r="B95" t="str">
        <f t="shared" si="4"/>
        <v>201948-WEO</v>
      </c>
      <c r="C95">
        <v>2019</v>
      </c>
      <c r="D95">
        <v>48</v>
      </c>
      <c r="E95">
        <v>6</v>
      </c>
      <c r="F95" t="s">
        <v>10</v>
      </c>
      <c r="G95">
        <v>0</v>
      </c>
      <c r="H95" t="str">
        <f>IFERROR(VLOOKUP(E95,DC_Xref!A:B,2,FALSE),"")</f>
        <v>WEO</v>
      </c>
      <c r="I95">
        <f t="shared" si="5"/>
        <v>201948</v>
      </c>
    </row>
    <row r="96" spans="1:9" x14ac:dyDescent="0.3">
      <c r="A96" t="str">
        <f t="shared" si="3"/>
        <v>2019-OCC</v>
      </c>
      <c r="B96" t="str">
        <f t="shared" si="4"/>
        <v>201948-OCC</v>
      </c>
      <c r="C96">
        <v>2019</v>
      </c>
      <c r="D96">
        <v>48</v>
      </c>
      <c r="E96">
        <v>7</v>
      </c>
      <c r="F96" t="s">
        <v>11</v>
      </c>
      <c r="G96">
        <v>0</v>
      </c>
      <c r="H96" t="str">
        <f>IFERROR(VLOOKUP(E96,DC_Xref!A:B,2,FALSE),"")</f>
        <v>OCC</v>
      </c>
      <c r="I96">
        <f t="shared" si="5"/>
        <v>201948</v>
      </c>
    </row>
    <row r="97" spans="1:9" x14ac:dyDescent="0.3">
      <c r="A97" t="str">
        <f t="shared" si="3"/>
        <v>2019-SFS</v>
      </c>
      <c r="B97" t="str">
        <f t="shared" si="4"/>
        <v>201948-</v>
      </c>
      <c r="C97">
        <v>2019</v>
      </c>
      <c r="D97">
        <v>48</v>
      </c>
      <c r="E97">
        <v>8</v>
      </c>
      <c r="F97" t="s">
        <v>12</v>
      </c>
      <c r="G97">
        <v>0</v>
      </c>
      <c r="H97" t="str">
        <f>IFERROR(VLOOKUP(E97,DC_Xref!A:B,2,FALSE),"")</f>
        <v/>
      </c>
      <c r="I97">
        <f t="shared" si="5"/>
        <v>201948</v>
      </c>
    </row>
    <row r="98" spans="1:9" x14ac:dyDescent="0.3">
      <c r="A98" t="str">
        <f t="shared" si="3"/>
        <v>2020-OFC</v>
      </c>
      <c r="B98" t="str">
        <f t="shared" si="4"/>
        <v>202043-OFC</v>
      </c>
      <c r="C98">
        <v>2020</v>
      </c>
      <c r="D98">
        <v>43</v>
      </c>
      <c r="E98">
        <v>1</v>
      </c>
      <c r="F98" t="s">
        <v>5</v>
      </c>
      <c r="G98">
        <v>2850022.8</v>
      </c>
      <c r="H98" t="str">
        <f>IFERROR(VLOOKUP(E98,DC_Xref!A:B,2,FALSE),"")</f>
        <v>OFC</v>
      </c>
      <c r="I98">
        <f t="shared" si="5"/>
        <v>202043</v>
      </c>
    </row>
    <row r="99" spans="1:9" x14ac:dyDescent="0.3">
      <c r="A99" t="str">
        <f t="shared" si="3"/>
        <v>2020-TFC</v>
      </c>
      <c r="B99" t="str">
        <f t="shared" si="4"/>
        <v>202043-TFC</v>
      </c>
      <c r="C99">
        <v>2020</v>
      </c>
      <c r="D99">
        <v>43</v>
      </c>
      <c r="E99">
        <v>2</v>
      </c>
      <c r="F99" t="s">
        <v>6</v>
      </c>
      <c r="G99">
        <v>3704988.6</v>
      </c>
      <c r="H99" t="str">
        <f>IFERROR(VLOOKUP(E99,DC_Xref!A:B,2,FALSE),"")</f>
        <v>TFC</v>
      </c>
      <c r="I99">
        <f t="shared" si="5"/>
        <v>202043</v>
      </c>
    </row>
    <row r="100" spans="1:9" x14ac:dyDescent="0.3">
      <c r="A100" t="str">
        <f t="shared" si="3"/>
        <v>2020-WFC</v>
      </c>
      <c r="B100" t="str">
        <f t="shared" si="4"/>
        <v>202043-WFC</v>
      </c>
      <c r="C100">
        <v>2020</v>
      </c>
      <c r="D100">
        <v>43</v>
      </c>
      <c r="E100">
        <v>3</v>
      </c>
      <c r="F100" t="s">
        <v>7</v>
      </c>
      <c r="G100">
        <v>683982.9</v>
      </c>
      <c r="H100" t="str">
        <f>IFERROR(VLOOKUP(E100,DC_Xref!A:B,2,FALSE),"")</f>
        <v>WFC</v>
      </c>
      <c r="I100">
        <f t="shared" si="5"/>
        <v>202043</v>
      </c>
    </row>
    <row r="101" spans="1:9" x14ac:dyDescent="0.3">
      <c r="A101" t="str">
        <f t="shared" si="3"/>
        <v>2020-EAO</v>
      </c>
      <c r="B101" t="str">
        <f t="shared" si="4"/>
        <v>202043-EAO</v>
      </c>
      <c r="C101">
        <v>2020</v>
      </c>
      <c r="D101">
        <v>43</v>
      </c>
      <c r="E101">
        <v>4</v>
      </c>
      <c r="F101" t="s">
        <v>8</v>
      </c>
      <c r="G101">
        <v>2850022.8</v>
      </c>
      <c r="H101" t="str">
        <f>IFERROR(VLOOKUP(E101,DC_Xref!A:B,2,FALSE),"")</f>
        <v>EAO</v>
      </c>
      <c r="I101">
        <f t="shared" si="5"/>
        <v>202043</v>
      </c>
    </row>
    <row r="102" spans="1:9" x14ac:dyDescent="0.3">
      <c r="A102" t="str">
        <f t="shared" si="3"/>
        <v>2020-ODC</v>
      </c>
      <c r="B102" t="str">
        <f t="shared" si="4"/>
        <v>202043-FFC-ODC</v>
      </c>
      <c r="C102">
        <v>2020</v>
      </c>
      <c r="D102">
        <v>43</v>
      </c>
      <c r="E102">
        <v>5</v>
      </c>
      <c r="F102" t="s">
        <v>9</v>
      </c>
      <c r="G102">
        <v>0</v>
      </c>
      <c r="H102" t="str">
        <f>IFERROR(VLOOKUP(E102,DC_Xref!A:B,2,FALSE),"")</f>
        <v>FFC-ODC</v>
      </c>
      <c r="I102">
        <f t="shared" si="5"/>
        <v>202043</v>
      </c>
    </row>
    <row r="103" spans="1:9" x14ac:dyDescent="0.3">
      <c r="A103" t="str">
        <f t="shared" si="3"/>
        <v>2020-WEO</v>
      </c>
      <c r="B103" t="str">
        <f t="shared" si="4"/>
        <v>202043-WEO</v>
      </c>
      <c r="C103">
        <v>2020</v>
      </c>
      <c r="D103">
        <v>43</v>
      </c>
      <c r="E103">
        <v>6</v>
      </c>
      <c r="F103" t="s">
        <v>10</v>
      </c>
      <c r="G103">
        <v>3704988.6</v>
      </c>
      <c r="H103" t="str">
        <f>IFERROR(VLOOKUP(E103,DC_Xref!A:B,2,FALSE),"")</f>
        <v>WEO</v>
      </c>
      <c r="I103">
        <f t="shared" si="5"/>
        <v>202043</v>
      </c>
    </row>
    <row r="104" spans="1:9" x14ac:dyDescent="0.3">
      <c r="A104" t="str">
        <f t="shared" si="3"/>
        <v>2020-OCC</v>
      </c>
      <c r="B104" t="str">
        <f t="shared" si="4"/>
        <v>202043-OCC</v>
      </c>
      <c r="C104">
        <v>2020</v>
      </c>
      <c r="D104">
        <v>43</v>
      </c>
      <c r="E104">
        <v>7</v>
      </c>
      <c r="F104" t="s">
        <v>11</v>
      </c>
      <c r="G104">
        <v>0</v>
      </c>
      <c r="H104" t="str">
        <f>IFERROR(VLOOKUP(E104,DC_Xref!A:B,2,FALSE),"")</f>
        <v>OCC</v>
      </c>
      <c r="I104">
        <f t="shared" si="5"/>
        <v>202043</v>
      </c>
    </row>
    <row r="105" spans="1:9" x14ac:dyDescent="0.3">
      <c r="A105" t="str">
        <f t="shared" si="3"/>
        <v>2020-SFS</v>
      </c>
      <c r="B105" t="str">
        <f t="shared" si="4"/>
        <v>202043-</v>
      </c>
      <c r="C105">
        <v>2020</v>
      </c>
      <c r="D105">
        <v>43</v>
      </c>
      <c r="E105">
        <v>8</v>
      </c>
      <c r="F105" t="s">
        <v>12</v>
      </c>
      <c r="G105">
        <v>0</v>
      </c>
      <c r="H105" t="str">
        <f>IFERROR(VLOOKUP(E105,DC_Xref!A:B,2,FALSE),"")</f>
        <v/>
      </c>
      <c r="I105">
        <f t="shared" si="5"/>
        <v>202043</v>
      </c>
    </row>
    <row r="106" spans="1:9" x14ac:dyDescent="0.3">
      <c r="A106" t="str">
        <f t="shared" si="3"/>
        <v>2020-OFC</v>
      </c>
      <c r="B106" t="str">
        <f t="shared" si="4"/>
        <v>202044-OFC</v>
      </c>
      <c r="C106">
        <v>2020</v>
      </c>
      <c r="D106">
        <v>44</v>
      </c>
      <c r="E106">
        <v>1</v>
      </c>
      <c r="F106" t="s">
        <v>5</v>
      </c>
      <c r="G106">
        <v>3150025.2</v>
      </c>
      <c r="H106" t="str">
        <f>IFERROR(VLOOKUP(E106,DC_Xref!A:B,2,FALSE),"")</f>
        <v>OFC</v>
      </c>
      <c r="I106">
        <f t="shared" si="5"/>
        <v>202044</v>
      </c>
    </row>
    <row r="107" spans="1:9" x14ac:dyDescent="0.3">
      <c r="A107" t="str">
        <f t="shared" si="3"/>
        <v>2020-TFC</v>
      </c>
      <c r="B107" t="str">
        <f t="shared" si="4"/>
        <v>202044-TFC</v>
      </c>
      <c r="C107">
        <v>2020</v>
      </c>
      <c r="D107">
        <v>44</v>
      </c>
      <c r="E107">
        <v>2</v>
      </c>
      <c r="F107" t="s">
        <v>6</v>
      </c>
      <c r="G107">
        <v>4094987.4</v>
      </c>
      <c r="H107" t="str">
        <f>IFERROR(VLOOKUP(E107,DC_Xref!A:B,2,FALSE),"")</f>
        <v>TFC</v>
      </c>
      <c r="I107">
        <f t="shared" si="5"/>
        <v>202044</v>
      </c>
    </row>
    <row r="108" spans="1:9" x14ac:dyDescent="0.3">
      <c r="A108" t="str">
        <f t="shared" si="3"/>
        <v>2020-WFC</v>
      </c>
      <c r="B108" t="str">
        <f t="shared" si="4"/>
        <v>202044-WFC</v>
      </c>
      <c r="C108">
        <v>2020</v>
      </c>
      <c r="D108">
        <v>44</v>
      </c>
      <c r="E108">
        <v>3</v>
      </c>
      <c r="F108" t="s">
        <v>7</v>
      </c>
      <c r="G108">
        <v>755981.09999999905</v>
      </c>
      <c r="H108" t="str">
        <f>IFERROR(VLOOKUP(E108,DC_Xref!A:B,2,FALSE),"")</f>
        <v>WFC</v>
      </c>
      <c r="I108">
        <f t="shared" si="5"/>
        <v>202044</v>
      </c>
    </row>
    <row r="109" spans="1:9" x14ac:dyDescent="0.3">
      <c r="A109" t="str">
        <f t="shared" si="3"/>
        <v>2020-EAO</v>
      </c>
      <c r="B109" t="str">
        <f t="shared" si="4"/>
        <v>202044-EAO</v>
      </c>
      <c r="C109">
        <v>2020</v>
      </c>
      <c r="D109">
        <v>44</v>
      </c>
      <c r="E109">
        <v>4</v>
      </c>
      <c r="F109" t="s">
        <v>8</v>
      </c>
      <c r="G109">
        <v>3150025.2</v>
      </c>
      <c r="H109" t="str">
        <f>IFERROR(VLOOKUP(E109,DC_Xref!A:B,2,FALSE),"")</f>
        <v>EAO</v>
      </c>
      <c r="I109">
        <f t="shared" si="5"/>
        <v>202044</v>
      </c>
    </row>
    <row r="110" spans="1:9" x14ac:dyDescent="0.3">
      <c r="A110" t="str">
        <f t="shared" si="3"/>
        <v>2020-ODC</v>
      </c>
      <c r="B110" t="str">
        <f t="shared" si="4"/>
        <v>202044-FFC-ODC</v>
      </c>
      <c r="C110">
        <v>2020</v>
      </c>
      <c r="D110">
        <v>44</v>
      </c>
      <c r="E110">
        <v>5</v>
      </c>
      <c r="F110" t="s">
        <v>9</v>
      </c>
      <c r="G110">
        <v>0</v>
      </c>
      <c r="H110" t="str">
        <f>IFERROR(VLOOKUP(E110,DC_Xref!A:B,2,FALSE),"")</f>
        <v>FFC-ODC</v>
      </c>
      <c r="I110">
        <f t="shared" si="5"/>
        <v>202044</v>
      </c>
    </row>
    <row r="111" spans="1:9" x14ac:dyDescent="0.3">
      <c r="A111" t="str">
        <f t="shared" si="3"/>
        <v>2020-WEO</v>
      </c>
      <c r="B111" t="str">
        <f t="shared" si="4"/>
        <v>202044-WEO</v>
      </c>
      <c r="C111">
        <v>2020</v>
      </c>
      <c r="D111">
        <v>44</v>
      </c>
      <c r="E111">
        <v>6</v>
      </c>
      <c r="F111" t="s">
        <v>10</v>
      </c>
      <c r="G111">
        <v>4094987.4</v>
      </c>
      <c r="H111" t="str">
        <f>IFERROR(VLOOKUP(E111,DC_Xref!A:B,2,FALSE),"")</f>
        <v>WEO</v>
      </c>
      <c r="I111">
        <f t="shared" si="5"/>
        <v>202044</v>
      </c>
    </row>
    <row r="112" spans="1:9" x14ac:dyDescent="0.3">
      <c r="A112" t="str">
        <f t="shared" si="3"/>
        <v>2020-OCC</v>
      </c>
      <c r="B112" t="str">
        <f t="shared" si="4"/>
        <v>202044-OCC</v>
      </c>
      <c r="C112">
        <v>2020</v>
      </c>
      <c r="D112">
        <v>44</v>
      </c>
      <c r="E112">
        <v>7</v>
      </c>
      <c r="F112" t="s">
        <v>11</v>
      </c>
      <c r="G112">
        <v>0</v>
      </c>
      <c r="H112" t="str">
        <f>IFERROR(VLOOKUP(E112,DC_Xref!A:B,2,FALSE),"")</f>
        <v>OCC</v>
      </c>
      <c r="I112">
        <f t="shared" si="5"/>
        <v>202044</v>
      </c>
    </row>
    <row r="113" spans="1:9" x14ac:dyDescent="0.3">
      <c r="A113" t="str">
        <f t="shared" si="3"/>
        <v>2020-SFS</v>
      </c>
      <c r="B113" t="str">
        <f t="shared" si="4"/>
        <v>202044-</v>
      </c>
      <c r="C113">
        <v>2020</v>
      </c>
      <c r="D113">
        <v>44</v>
      </c>
      <c r="E113">
        <v>8</v>
      </c>
      <c r="F113" t="s">
        <v>12</v>
      </c>
      <c r="G113">
        <v>0</v>
      </c>
      <c r="H113" t="str">
        <f>IFERROR(VLOOKUP(E113,DC_Xref!A:B,2,FALSE),"")</f>
        <v/>
      </c>
      <c r="I113">
        <f t="shared" si="5"/>
        <v>202044</v>
      </c>
    </row>
    <row r="114" spans="1:9" x14ac:dyDescent="0.3">
      <c r="A114" t="str">
        <f t="shared" si="3"/>
        <v>2020-OFC</v>
      </c>
      <c r="B114" t="str">
        <f t="shared" si="4"/>
        <v>202045-OFC</v>
      </c>
      <c r="C114">
        <v>2020</v>
      </c>
      <c r="D114">
        <v>45</v>
      </c>
      <c r="E114">
        <v>1</v>
      </c>
      <c r="F114" t="s">
        <v>5</v>
      </c>
      <c r="G114">
        <v>3150025.2</v>
      </c>
      <c r="H114" t="str">
        <f>IFERROR(VLOOKUP(E114,DC_Xref!A:B,2,FALSE),"")</f>
        <v>OFC</v>
      </c>
      <c r="I114">
        <f t="shared" si="5"/>
        <v>202045</v>
      </c>
    </row>
    <row r="115" spans="1:9" x14ac:dyDescent="0.3">
      <c r="A115" t="str">
        <f t="shared" si="3"/>
        <v>2020-TFC</v>
      </c>
      <c r="B115" t="str">
        <f t="shared" si="4"/>
        <v>202045-TFC</v>
      </c>
      <c r="C115">
        <v>2020</v>
      </c>
      <c r="D115">
        <v>45</v>
      </c>
      <c r="E115">
        <v>2</v>
      </c>
      <c r="F115" t="s">
        <v>6</v>
      </c>
      <c r="G115">
        <v>4094987.4</v>
      </c>
      <c r="H115" t="str">
        <f>IFERROR(VLOOKUP(E115,DC_Xref!A:B,2,FALSE),"")</f>
        <v>TFC</v>
      </c>
      <c r="I115">
        <f t="shared" si="5"/>
        <v>202045</v>
      </c>
    </row>
    <row r="116" spans="1:9" x14ac:dyDescent="0.3">
      <c r="A116" t="str">
        <f t="shared" si="3"/>
        <v>2020-WFC</v>
      </c>
      <c r="B116" t="str">
        <f t="shared" si="4"/>
        <v>202045-WFC</v>
      </c>
      <c r="C116">
        <v>2020</v>
      </c>
      <c r="D116">
        <v>45</v>
      </c>
      <c r="E116">
        <v>3</v>
      </c>
      <c r="F116" t="s">
        <v>7</v>
      </c>
      <c r="G116">
        <v>755981.09999999905</v>
      </c>
      <c r="H116" t="str">
        <f>IFERROR(VLOOKUP(E116,DC_Xref!A:B,2,FALSE),"")</f>
        <v>WFC</v>
      </c>
      <c r="I116">
        <f t="shared" si="5"/>
        <v>202045</v>
      </c>
    </row>
    <row r="117" spans="1:9" x14ac:dyDescent="0.3">
      <c r="A117" t="str">
        <f t="shared" si="3"/>
        <v>2020-EAO</v>
      </c>
      <c r="B117" t="str">
        <f t="shared" si="4"/>
        <v>202045-EAO</v>
      </c>
      <c r="C117">
        <v>2020</v>
      </c>
      <c r="D117">
        <v>45</v>
      </c>
      <c r="E117">
        <v>4</v>
      </c>
      <c r="F117" t="s">
        <v>8</v>
      </c>
      <c r="G117">
        <v>3150025.2</v>
      </c>
      <c r="H117" t="str">
        <f>IFERROR(VLOOKUP(E117,DC_Xref!A:B,2,FALSE),"")</f>
        <v>EAO</v>
      </c>
      <c r="I117">
        <f t="shared" si="5"/>
        <v>202045</v>
      </c>
    </row>
    <row r="118" spans="1:9" x14ac:dyDescent="0.3">
      <c r="A118" t="str">
        <f t="shared" si="3"/>
        <v>2020-ODC</v>
      </c>
      <c r="B118" t="str">
        <f t="shared" si="4"/>
        <v>202045-FFC-ODC</v>
      </c>
      <c r="C118">
        <v>2020</v>
      </c>
      <c r="D118">
        <v>45</v>
      </c>
      <c r="E118">
        <v>5</v>
      </c>
      <c r="F118" t="s">
        <v>9</v>
      </c>
      <c r="G118">
        <v>0</v>
      </c>
      <c r="H118" t="str">
        <f>IFERROR(VLOOKUP(E118,DC_Xref!A:B,2,FALSE),"")</f>
        <v>FFC-ODC</v>
      </c>
      <c r="I118">
        <f t="shared" si="5"/>
        <v>202045</v>
      </c>
    </row>
    <row r="119" spans="1:9" x14ac:dyDescent="0.3">
      <c r="A119" t="str">
        <f t="shared" si="3"/>
        <v>2020-WEO</v>
      </c>
      <c r="B119" t="str">
        <f t="shared" si="4"/>
        <v>202045-WEO</v>
      </c>
      <c r="C119">
        <v>2020</v>
      </c>
      <c r="D119">
        <v>45</v>
      </c>
      <c r="E119">
        <v>6</v>
      </c>
      <c r="F119" t="s">
        <v>10</v>
      </c>
      <c r="G119">
        <v>4094987.4</v>
      </c>
      <c r="H119" t="str">
        <f>IFERROR(VLOOKUP(E119,DC_Xref!A:B,2,FALSE),"")</f>
        <v>WEO</v>
      </c>
      <c r="I119">
        <f t="shared" si="5"/>
        <v>202045</v>
      </c>
    </row>
    <row r="120" spans="1:9" x14ac:dyDescent="0.3">
      <c r="A120" t="str">
        <f t="shared" si="3"/>
        <v>2020-OCC</v>
      </c>
      <c r="B120" t="str">
        <f t="shared" si="4"/>
        <v>202045-OCC</v>
      </c>
      <c r="C120">
        <v>2020</v>
      </c>
      <c r="D120">
        <v>45</v>
      </c>
      <c r="E120">
        <v>7</v>
      </c>
      <c r="F120" t="s">
        <v>11</v>
      </c>
      <c r="G120">
        <v>0</v>
      </c>
      <c r="H120" t="str">
        <f>IFERROR(VLOOKUP(E120,DC_Xref!A:B,2,FALSE),"")</f>
        <v>OCC</v>
      </c>
      <c r="I120">
        <f t="shared" si="5"/>
        <v>202045</v>
      </c>
    </row>
    <row r="121" spans="1:9" x14ac:dyDescent="0.3">
      <c r="A121" t="str">
        <f t="shared" si="3"/>
        <v>2020-SFS</v>
      </c>
      <c r="B121" t="str">
        <f t="shared" si="4"/>
        <v>202045-</v>
      </c>
      <c r="C121">
        <v>2020</v>
      </c>
      <c r="D121">
        <v>45</v>
      </c>
      <c r="E121">
        <v>8</v>
      </c>
      <c r="F121" t="s">
        <v>12</v>
      </c>
      <c r="G121">
        <v>0</v>
      </c>
      <c r="H121" t="str">
        <f>IFERROR(VLOOKUP(E121,DC_Xref!A:B,2,FALSE),"")</f>
        <v/>
      </c>
      <c r="I121">
        <f t="shared" si="5"/>
        <v>202045</v>
      </c>
    </row>
    <row r="122" spans="1:9" x14ac:dyDescent="0.3">
      <c r="A122" t="str">
        <f t="shared" si="3"/>
        <v>2020-OFC</v>
      </c>
      <c r="B122" t="str">
        <f t="shared" si="4"/>
        <v>202046-OFC</v>
      </c>
      <c r="C122">
        <v>2020</v>
      </c>
      <c r="D122">
        <v>46</v>
      </c>
      <c r="E122">
        <v>1</v>
      </c>
      <c r="F122" t="s">
        <v>5</v>
      </c>
      <c r="G122">
        <v>3150025.2</v>
      </c>
      <c r="H122" t="str">
        <f>IFERROR(VLOOKUP(E122,DC_Xref!A:B,2,FALSE),"")</f>
        <v>OFC</v>
      </c>
      <c r="I122">
        <f t="shared" si="5"/>
        <v>202046</v>
      </c>
    </row>
    <row r="123" spans="1:9" x14ac:dyDescent="0.3">
      <c r="A123" t="str">
        <f t="shared" si="3"/>
        <v>2020-TFC</v>
      </c>
      <c r="B123" t="str">
        <f t="shared" si="4"/>
        <v>202046-TFC</v>
      </c>
      <c r="C123">
        <v>2020</v>
      </c>
      <c r="D123">
        <v>46</v>
      </c>
      <c r="E123">
        <v>2</v>
      </c>
      <c r="F123" t="s">
        <v>6</v>
      </c>
      <c r="G123">
        <v>4094987.4</v>
      </c>
      <c r="H123" t="str">
        <f>IFERROR(VLOOKUP(E123,DC_Xref!A:B,2,FALSE),"")</f>
        <v>TFC</v>
      </c>
      <c r="I123">
        <f t="shared" si="5"/>
        <v>202046</v>
      </c>
    </row>
    <row r="124" spans="1:9" x14ac:dyDescent="0.3">
      <c r="A124" t="str">
        <f t="shared" si="3"/>
        <v>2020-WFC</v>
      </c>
      <c r="B124" t="str">
        <f t="shared" si="4"/>
        <v>202046-WFC</v>
      </c>
      <c r="C124">
        <v>2020</v>
      </c>
      <c r="D124">
        <v>46</v>
      </c>
      <c r="E124">
        <v>3</v>
      </c>
      <c r="F124" t="s">
        <v>7</v>
      </c>
      <c r="G124">
        <v>755981.09999999905</v>
      </c>
      <c r="H124" t="str">
        <f>IFERROR(VLOOKUP(E124,DC_Xref!A:B,2,FALSE),"")</f>
        <v>WFC</v>
      </c>
      <c r="I124">
        <f t="shared" si="5"/>
        <v>202046</v>
      </c>
    </row>
    <row r="125" spans="1:9" x14ac:dyDescent="0.3">
      <c r="A125" t="str">
        <f t="shared" si="3"/>
        <v>2020-EAO</v>
      </c>
      <c r="B125" t="str">
        <f t="shared" si="4"/>
        <v>202046-EAO</v>
      </c>
      <c r="C125">
        <v>2020</v>
      </c>
      <c r="D125">
        <v>46</v>
      </c>
      <c r="E125">
        <v>4</v>
      </c>
      <c r="F125" t="s">
        <v>8</v>
      </c>
      <c r="G125">
        <v>3150025.2</v>
      </c>
      <c r="H125" t="str">
        <f>IFERROR(VLOOKUP(E125,DC_Xref!A:B,2,FALSE),"")</f>
        <v>EAO</v>
      </c>
      <c r="I125">
        <f t="shared" si="5"/>
        <v>202046</v>
      </c>
    </row>
    <row r="126" spans="1:9" x14ac:dyDescent="0.3">
      <c r="A126" t="str">
        <f t="shared" si="3"/>
        <v>2020-ODC</v>
      </c>
      <c r="B126" t="str">
        <f t="shared" si="4"/>
        <v>202046-FFC-ODC</v>
      </c>
      <c r="C126">
        <v>2020</v>
      </c>
      <c r="D126">
        <v>46</v>
      </c>
      <c r="E126">
        <v>5</v>
      </c>
      <c r="F126" t="s">
        <v>9</v>
      </c>
      <c r="G126">
        <v>0</v>
      </c>
      <c r="H126" t="str">
        <f>IFERROR(VLOOKUP(E126,DC_Xref!A:B,2,FALSE),"")</f>
        <v>FFC-ODC</v>
      </c>
      <c r="I126">
        <f t="shared" si="5"/>
        <v>202046</v>
      </c>
    </row>
    <row r="127" spans="1:9" x14ac:dyDescent="0.3">
      <c r="A127" t="str">
        <f t="shared" si="3"/>
        <v>2020-WEO</v>
      </c>
      <c r="B127" t="str">
        <f t="shared" si="4"/>
        <v>202046-WEO</v>
      </c>
      <c r="C127">
        <v>2020</v>
      </c>
      <c r="D127">
        <v>46</v>
      </c>
      <c r="E127">
        <v>6</v>
      </c>
      <c r="F127" t="s">
        <v>10</v>
      </c>
      <c r="G127">
        <v>4094987.4</v>
      </c>
      <c r="H127" t="str">
        <f>IFERROR(VLOOKUP(E127,DC_Xref!A:B,2,FALSE),"")</f>
        <v>WEO</v>
      </c>
      <c r="I127">
        <f t="shared" si="5"/>
        <v>202046</v>
      </c>
    </row>
    <row r="128" spans="1:9" x14ac:dyDescent="0.3">
      <c r="A128" t="str">
        <f t="shared" si="3"/>
        <v>2020-OCC</v>
      </c>
      <c r="B128" t="str">
        <f t="shared" si="4"/>
        <v>202046-OCC</v>
      </c>
      <c r="C128">
        <v>2020</v>
      </c>
      <c r="D128">
        <v>46</v>
      </c>
      <c r="E128">
        <v>7</v>
      </c>
      <c r="F128" t="s">
        <v>11</v>
      </c>
      <c r="G128">
        <v>0</v>
      </c>
      <c r="H128" t="str">
        <f>IFERROR(VLOOKUP(E128,DC_Xref!A:B,2,FALSE),"")</f>
        <v>OCC</v>
      </c>
      <c r="I128">
        <f t="shared" si="5"/>
        <v>202046</v>
      </c>
    </row>
    <row r="129" spans="1:9" x14ac:dyDescent="0.3">
      <c r="A129" t="str">
        <f t="shared" si="3"/>
        <v>2020-SFS</v>
      </c>
      <c r="B129" t="str">
        <f t="shared" si="4"/>
        <v>202046-</v>
      </c>
      <c r="C129">
        <v>2020</v>
      </c>
      <c r="D129">
        <v>46</v>
      </c>
      <c r="E129">
        <v>8</v>
      </c>
      <c r="F129" t="s">
        <v>12</v>
      </c>
      <c r="G129">
        <v>0</v>
      </c>
      <c r="H129" t="str">
        <f>IFERROR(VLOOKUP(E129,DC_Xref!A:B,2,FALSE),"")</f>
        <v/>
      </c>
      <c r="I129">
        <f t="shared" si="5"/>
        <v>202046</v>
      </c>
    </row>
    <row r="130" spans="1:9" x14ac:dyDescent="0.3">
      <c r="A130" t="str">
        <f t="shared" ref="A130:A193" si="6">C130&amp;"-"&amp;F130</f>
        <v>2020-OFC</v>
      </c>
      <c r="B130" t="str">
        <f t="shared" ref="B130:B193" si="7">I130&amp;"-"&amp;H130</f>
        <v>202047-OFC</v>
      </c>
      <c r="C130">
        <v>2020</v>
      </c>
      <c r="D130">
        <v>47</v>
      </c>
      <c r="E130">
        <v>1</v>
      </c>
      <c r="F130" t="s">
        <v>5</v>
      </c>
      <c r="G130">
        <v>3150025.2</v>
      </c>
      <c r="H130" t="str">
        <f>IFERROR(VLOOKUP(E130,DC_Xref!A:B,2,FALSE),"")</f>
        <v>OFC</v>
      </c>
      <c r="I130">
        <f t="shared" ref="I130:I193" si="8">C130*100+D130</f>
        <v>202047</v>
      </c>
    </row>
    <row r="131" spans="1:9" x14ac:dyDescent="0.3">
      <c r="A131" t="str">
        <f t="shared" si="6"/>
        <v>2020-TFC</v>
      </c>
      <c r="B131" t="str">
        <f t="shared" si="7"/>
        <v>202047-TFC</v>
      </c>
      <c r="C131">
        <v>2020</v>
      </c>
      <c r="D131">
        <v>47</v>
      </c>
      <c r="E131">
        <v>2</v>
      </c>
      <c r="F131" t="s">
        <v>6</v>
      </c>
      <c r="G131">
        <v>4094987.4</v>
      </c>
      <c r="H131" t="str">
        <f>IFERROR(VLOOKUP(E131,DC_Xref!A:B,2,FALSE),"")</f>
        <v>TFC</v>
      </c>
      <c r="I131">
        <f t="shared" si="8"/>
        <v>202047</v>
      </c>
    </row>
    <row r="132" spans="1:9" x14ac:dyDescent="0.3">
      <c r="A132" t="str">
        <f t="shared" si="6"/>
        <v>2020-WFC</v>
      </c>
      <c r="B132" t="str">
        <f t="shared" si="7"/>
        <v>202047-WFC</v>
      </c>
      <c r="C132">
        <v>2020</v>
      </c>
      <c r="D132">
        <v>47</v>
      </c>
      <c r="E132">
        <v>3</v>
      </c>
      <c r="F132" t="s">
        <v>7</v>
      </c>
      <c r="G132">
        <v>755981.09999999905</v>
      </c>
      <c r="H132" t="str">
        <f>IFERROR(VLOOKUP(E132,DC_Xref!A:B,2,FALSE),"")</f>
        <v>WFC</v>
      </c>
      <c r="I132">
        <f t="shared" si="8"/>
        <v>202047</v>
      </c>
    </row>
    <row r="133" spans="1:9" x14ac:dyDescent="0.3">
      <c r="A133" t="str">
        <f t="shared" si="6"/>
        <v>2020-EAO</v>
      </c>
      <c r="B133" t="str">
        <f t="shared" si="7"/>
        <v>202047-EAO</v>
      </c>
      <c r="C133">
        <v>2020</v>
      </c>
      <c r="D133">
        <v>47</v>
      </c>
      <c r="E133">
        <v>4</v>
      </c>
      <c r="F133" t="s">
        <v>8</v>
      </c>
      <c r="G133">
        <v>3150025.2</v>
      </c>
      <c r="H133" t="str">
        <f>IFERROR(VLOOKUP(E133,DC_Xref!A:B,2,FALSE),"")</f>
        <v>EAO</v>
      </c>
      <c r="I133">
        <f t="shared" si="8"/>
        <v>202047</v>
      </c>
    </row>
    <row r="134" spans="1:9" x14ac:dyDescent="0.3">
      <c r="A134" t="str">
        <f t="shared" si="6"/>
        <v>2020-ODC</v>
      </c>
      <c r="B134" t="str">
        <f t="shared" si="7"/>
        <v>202047-FFC-ODC</v>
      </c>
      <c r="C134">
        <v>2020</v>
      </c>
      <c r="D134">
        <v>47</v>
      </c>
      <c r="E134">
        <v>5</v>
      </c>
      <c r="F134" t="s">
        <v>9</v>
      </c>
      <c r="G134">
        <v>0</v>
      </c>
      <c r="H134" t="str">
        <f>IFERROR(VLOOKUP(E134,DC_Xref!A:B,2,FALSE),"")</f>
        <v>FFC-ODC</v>
      </c>
      <c r="I134">
        <f t="shared" si="8"/>
        <v>202047</v>
      </c>
    </row>
    <row r="135" spans="1:9" x14ac:dyDescent="0.3">
      <c r="A135" t="str">
        <f t="shared" si="6"/>
        <v>2020-WEO</v>
      </c>
      <c r="B135" t="str">
        <f t="shared" si="7"/>
        <v>202047-WEO</v>
      </c>
      <c r="C135">
        <v>2020</v>
      </c>
      <c r="D135">
        <v>47</v>
      </c>
      <c r="E135">
        <v>6</v>
      </c>
      <c r="F135" t="s">
        <v>10</v>
      </c>
      <c r="G135">
        <v>4094987.4</v>
      </c>
      <c r="H135" t="str">
        <f>IFERROR(VLOOKUP(E135,DC_Xref!A:B,2,FALSE),"")</f>
        <v>WEO</v>
      </c>
      <c r="I135">
        <f t="shared" si="8"/>
        <v>202047</v>
      </c>
    </row>
    <row r="136" spans="1:9" x14ac:dyDescent="0.3">
      <c r="A136" t="str">
        <f t="shared" si="6"/>
        <v>2020-OCC</v>
      </c>
      <c r="B136" t="str">
        <f t="shared" si="7"/>
        <v>202047-OCC</v>
      </c>
      <c r="C136">
        <v>2020</v>
      </c>
      <c r="D136">
        <v>47</v>
      </c>
      <c r="E136">
        <v>7</v>
      </c>
      <c r="F136" t="s">
        <v>11</v>
      </c>
      <c r="G136">
        <v>0</v>
      </c>
      <c r="H136" t="str">
        <f>IFERROR(VLOOKUP(E136,DC_Xref!A:B,2,FALSE),"")</f>
        <v>OCC</v>
      </c>
      <c r="I136">
        <f t="shared" si="8"/>
        <v>202047</v>
      </c>
    </row>
    <row r="137" spans="1:9" x14ac:dyDescent="0.3">
      <c r="A137" t="str">
        <f t="shared" si="6"/>
        <v>2020-SFS</v>
      </c>
      <c r="B137" t="str">
        <f t="shared" si="7"/>
        <v>202047-</v>
      </c>
      <c r="C137">
        <v>2020</v>
      </c>
      <c r="D137">
        <v>47</v>
      </c>
      <c r="E137">
        <v>8</v>
      </c>
      <c r="F137" t="s">
        <v>12</v>
      </c>
      <c r="G137">
        <v>0</v>
      </c>
      <c r="H137" t="str">
        <f>IFERROR(VLOOKUP(E137,DC_Xref!A:B,2,FALSE),"")</f>
        <v/>
      </c>
      <c r="I137">
        <f t="shared" si="8"/>
        <v>202047</v>
      </c>
    </row>
    <row r="138" spans="1:9" x14ac:dyDescent="0.3">
      <c r="A138" t="str">
        <f t="shared" si="6"/>
        <v>2020-OFC</v>
      </c>
      <c r="B138" t="str">
        <f t="shared" si="7"/>
        <v>202048-OFC</v>
      </c>
      <c r="C138">
        <v>2020</v>
      </c>
      <c r="D138">
        <v>48</v>
      </c>
      <c r="E138">
        <v>1</v>
      </c>
      <c r="F138" t="s">
        <v>5</v>
      </c>
      <c r="G138">
        <v>0</v>
      </c>
      <c r="H138" t="str">
        <f>IFERROR(VLOOKUP(E138,DC_Xref!A:B,2,FALSE),"")</f>
        <v>OFC</v>
      </c>
      <c r="I138">
        <f t="shared" si="8"/>
        <v>202048</v>
      </c>
    </row>
    <row r="139" spans="1:9" x14ac:dyDescent="0.3">
      <c r="A139" t="str">
        <f t="shared" si="6"/>
        <v>2020-TFC</v>
      </c>
      <c r="B139" t="str">
        <f t="shared" si="7"/>
        <v>202048-TFC</v>
      </c>
      <c r="C139">
        <v>2020</v>
      </c>
      <c r="D139">
        <v>48</v>
      </c>
      <c r="E139">
        <v>2</v>
      </c>
      <c r="F139" t="s">
        <v>6</v>
      </c>
      <c r="G139">
        <v>0</v>
      </c>
      <c r="H139" t="str">
        <f>IFERROR(VLOOKUP(E139,DC_Xref!A:B,2,FALSE),"")</f>
        <v>TFC</v>
      </c>
      <c r="I139">
        <f t="shared" si="8"/>
        <v>202048</v>
      </c>
    </row>
    <row r="140" spans="1:9" x14ac:dyDescent="0.3">
      <c r="A140" t="str">
        <f t="shared" si="6"/>
        <v>2020-WFC</v>
      </c>
      <c r="B140" t="str">
        <f t="shared" si="7"/>
        <v>202048-WFC</v>
      </c>
      <c r="C140">
        <v>2020</v>
      </c>
      <c r="D140">
        <v>48</v>
      </c>
      <c r="E140">
        <v>3</v>
      </c>
      <c r="F140" t="s">
        <v>7</v>
      </c>
      <c r="G140">
        <v>0</v>
      </c>
      <c r="H140" t="str">
        <f>IFERROR(VLOOKUP(E140,DC_Xref!A:B,2,FALSE),"")</f>
        <v>WFC</v>
      </c>
      <c r="I140">
        <f t="shared" si="8"/>
        <v>202048</v>
      </c>
    </row>
    <row r="141" spans="1:9" x14ac:dyDescent="0.3">
      <c r="A141" t="str">
        <f t="shared" si="6"/>
        <v>2020-EAO</v>
      </c>
      <c r="B141" t="str">
        <f t="shared" si="7"/>
        <v>202048-EAO</v>
      </c>
      <c r="C141">
        <v>2020</v>
      </c>
      <c r="D141">
        <v>48</v>
      </c>
      <c r="E141">
        <v>4</v>
      </c>
      <c r="F141" t="s">
        <v>8</v>
      </c>
      <c r="G141">
        <v>0</v>
      </c>
      <c r="H141" t="str">
        <f>IFERROR(VLOOKUP(E141,DC_Xref!A:B,2,FALSE),"")</f>
        <v>EAO</v>
      </c>
      <c r="I141">
        <f t="shared" si="8"/>
        <v>202048</v>
      </c>
    </row>
    <row r="142" spans="1:9" x14ac:dyDescent="0.3">
      <c r="A142" t="str">
        <f t="shared" si="6"/>
        <v>2020-ODC</v>
      </c>
      <c r="B142" t="str">
        <f t="shared" si="7"/>
        <v>202048-FFC-ODC</v>
      </c>
      <c r="C142">
        <v>2020</v>
      </c>
      <c r="D142">
        <v>48</v>
      </c>
      <c r="E142">
        <v>5</v>
      </c>
      <c r="F142" t="s">
        <v>9</v>
      </c>
      <c r="G142">
        <v>0</v>
      </c>
      <c r="H142" t="str">
        <f>IFERROR(VLOOKUP(E142,DC_Xref!A:B,2,FALSE),"")</f>
        <v>FFC-ODC</v>
      </c>
      <c r="I142">
        <f t="shared" si="8"/>
        <v>202048</v>
      </c>
    </row>
    <row r="143" spans="1:9" x14ac:dyDescent="0.3">
      <c r="A143" t="str">
        <f t="shared" si="6"/>
        <v>2020-WEO</v>
      </c>
      <c r="B143" t="str">
        <f t="shared" si="7"/>
        <v>202048-WEO</v>
      </c>
      <c r="C143">
        <v>2020</v>
      </c>
      <c r="D143">
        <v>48</v>
      </c>
      <c r="E143">
        <v>6</v>
      </c>
      <c r="F143" t="s">
        <v>10</v>
      </c>
      <c r="G143">
        <v>0</v>
      </c>
      <c r="H143" t="str">
        <f>IFERROR(VLOOKUP(E143,DC_Xref!A:B,2,FALSE),"")</f>
        <v>WEO</v>
      </c>
      <c r="I143">
        <f t="shared" si="8"/>
        <v>202048</v>
      </c>
    </row>
    <row r="144" spans="1:9" x14ac:dyDescent="0.3">
      <c r="A144" t="str">
        <f t="shared" si="6"/>
        <v>2020-OCC</v>
      </c>
      <c r="B144" t="str">
        <f t="shared" si="7"/>
        <v>202048-OCC</v>
      </c>
      <c r="C144">
        <v>2020</v>
      </c>
      <c r="D144">
        <v>48</v>
      </c>
      <c r="E144">
        <v>7</v>
      </c>
      <c r="F144" t="s">
        <v>11</v>
      </c>
      <c r="G144">
        <v>0</v>
      </c>
      <c r="H144" t="str">
        <f>IFERROR(VLOOKUP(E144,DC_Xref!A:B,2,FALSE),"")</f>
        <v>OCC</v>
      </c>
      <c r="I144">
        <f t="shared" si="8"/>
        <v>202048</v>
      </c>
    </row>
    <row r="145" spans="1:9" x14ac:dyDescent="0.3">
      <c r="A145" t="str">
        <f t="shared" si="6"/>
        <v>2020-SFS</v>
      </c>
      <c r="B145" t="str">
        <f t="shared" si="7"/>
        <v>202048-</v>
      </c>
      <c r="C145">
        <v>2020</v>
      </c>
      <c r="D145">
        <v>48</v>
      </c>
      <c r="E145">
        <v>8</v>
      </c>
      <c r="F145" t="s">
        <v>12</v>
      </c>
      <c r="G145">
        <v>0</v>
      </c>
      <c r="H145" t="str">
        <f>IFERROR(VLOOKUP(E145,DC_Xref!A:B,2,FALSE),"")</f>
        <v/>
      </c>
      <c r="I145">
        <f t="shared" si="8"/>
        <v>202048</v>
      </c>
    </row>
    <row r="146" spans="1:9" x14ac:dyDescent="0.3">
      <c r="A146" t="str">
        <f t="shared" si="6"/>
        <v>2021-OFC</v>
      </c>
      <c r="B146" t="str">
        <f t="shared" si="7"/>
        <v>202143-OFC</v>
      </c>
      <c r="C146">
        <v>2021</v>
      </c>
      <c r="D146">
        <v>43</v>
      </c>
      <c r="E146">
        <v>1</v>
      </c>
      <c r="F146" t="s">
        <v>5</v>
      </c>
      <c r="G146">
        <v>3704988.6</v>
      </c>
      <c r="H146" t="str">
        <f>IFERROR(VLOOKUP(E146,DC_Xref!A:B,2,FALSE),"")</f>
        <v>OFC</v>
      </c>
      <c r="I146">
        <f t="shared" si="8"/>
        <v>202143</v>
      </c>
    </row>
    <row r="147" spans="1:9" x14ac:dyDescent="0.3">
      <c r="A147" t="str">
        <f t="shared" si="6"/>
        <v>2021-TFC</v>
      </c>
      <c r="B147" t="str">
        <f t="shared" si="7"/>
        <v>202143-TFC</v>
      </c>
      <c r="C147">
        <v>2021</v>
      </c>
      <c r="D147">
        <v>43</v>
      </c>
      <c r="E147">
        <v>2</v>
      </c>
      <c r="F147" t="s">
        <v>6</v>
      </c>
      <c r="G147">
        <v>4274982.9000000004</v>
      </c>
      <c r="H147" t="str">
        <f>IFERROR(VLOOKUP(E147,DC_Xref!A:B,2,FALSE),"")</f>
        <v>TFC</v>
      </c>
      <c r="I147">
        <f t="shared" si="8"/>
        <v>202143</v>
      </c>
    </row>
    <row r="148" spans="1:9" x14ac:dyDescent="0.3">
      <c r="A148" t="str">
        <f t="shared" si="6"/>
        <v>2021-WFC</v>
      </c>
      <c r="B148" t="str">
        <f t="shared" si="7"/>
        <v>202143-WFC</v>
      </c>
      <c r="C148">
        <v>2021</v>
      </c>
      <c r="D148">
        <v>43</v>
      </c>
      <c r="E148">
        <v>3</v>
      </c>
      <c r="F148" t="s">
        <v>7</v>
      </c>
      <c r="G148">
        <v>683982.9</v>
      </c>
      <c r="H148" t="str">
        <f>IFERROR(VLOOKUP(E148,DC_Xref!A:B,2,FALSE),"")</f>
        <v>WFC</v>
      </c>
      <c r="I148">
        <f t="shared" si="8"/>
        <v>202143</v>
      </c>
    </row>
    <row r="149" spans="1:9" x14ac:dyDescent="0.3">
      <c r="A149" t="str">
        <f t="shared" si="6"/>
        <v>2021-EAO</v>
      </c>
      <c r="B149" t="str">
        <f t="shared" si="7"/>
        <v>202143-EAO</v>
      </c>
      <c r="C149">
        <v>2021</v>
      </c>
      <c r="D149">
        <v>43</v>
      </c>
      <c r="E149">
        <v>4</v>
      </c>
      <c r="F149" t="s">
        <v>8</v>
      </c>
      <c r="G149">
        <v>2850022.8</v>
      </c>
      <c r="H149" t="str">
        <f>IFERROR(VLOOKUP(E149,DC_Xref!A:B,2,FALSE),"")</f>
        <v>EAO</v>
      </c>
      <c r="I149">
        <f t="shared" si="8"/>
        <v>202143</v>
      </c>
    </row>
    <row r="150" spans="1:9" x14ac:dyDescent="0.3">
      <c r="A150" t="str">
        <f t="shared" si="6"/>
        <v>2021-ODC</v>
      </c>
      <c r="B150" t="str">
        <f t="shared" si="7"/>
        <v>202143-FFC-ODC</v>
      </c>
      <c r="C150">
        <v>2021</v>
      </c>
      <c r="D150">
        <v>43</v>
      </c>
      <c r="E150">
        <v>5</v>
      </c>
      <c r="F150" t="s">
        <v>9</v>
      </c>
      <c r="G150">
        <v>0</v>
      </c>
      <c r="H150" t="str">
        <f>IFERROR(VLOOKUP(E150,DC_Xref!A:B,2,FALSE),"")</f>
        <v>FFC-ODC</v>
      </c>
      <c r="I150">
        <f t="shared" si="8"/>
        <v>202143</v>
      </c>
    </row>
    <row r="151" spans="1:9" x14ac:dyDescent="0.3">
      <c r="A151" t="str">
        <f t="shared" si="6"/>
        <v>2021-WEO</v>
      </c>
      <c r="B151" t="str">
        <f t="shared" si="7"/>
        <v>202143-WEO</v>
      </c>
      <c r="C151">
        <v>2021</v>
      </c>
      <c r="D151">
        <v>43</v>
      </c>
      <c r="E151">
        <v>6</v>
      </c>
      <c r="F151" t="s">
        <v>10</v>
      </c>
      <c r="G151">
        <v>4274982.9000000004</v>
      </c>
      <c r="H151" t="str">
        <f>IFERROR(VLOOKUP(E151,DC_Xref!A:B,2,FALSE),"")</f>
        <v>WEO</v>
      </c>
      <c r="I151">
        <f t="shared" si="8"/>
        <v>202143</v>
      </c>
    </row>
    <row r="152" spans="1:9" x14ac:dyDescent="0.3">
      <c r="A152" t="str">
        <f t="shared" si="6"/>
        <v>2021-OCC</v>
      </c>
      <c r="B152" t="str">
        <f t="shared" si="7"/>
        <v>202143-OCC</v>
      </c>
      <c r="C152">
        <v>2021</v>
      </c>
      <c r="D152">
        <v>43</v>
      </c>
      <c r="E152">
        <v>7</v>
      </c>
      <c r="F152" t="s">
        <v>11</v>
      </c>
      <c r="G152">
        <v>2849971.5</v>
      </c>
      <c r="H152" t="str">
        <f>IFERROR(VLOOKUP(E152,DC_Xref!A:B,2,FALSE),"")</f>
        <v>OCC</v>
      </c>
      <c r="I152">
        <f t="shared" si="8"/>
        <v>202143</v>
      </c>
    </row>
    <row r="153" spans="1:9" x14ac:dyDescent="0.3">
      <c r="A153" t="str">
        <f t="shared" si="6"/>
        <v>2021-SFS</v>
      </c>
      <c r="B153" t="str">
        <f t="shared" si="7"/>
        <v>202143-</v>
      </c>
      <c r="C153">
        <v>2021</v>
      </c>
      <c r="D153">
        <v>43</v>
      </c>
      <c r="E153">
        <v>8</v>
      </c>
      <c r="F153" t="s">
        <v>12</v>
      </c>
      <c r="G153">
        <v>0</v>
      </c>
      <c r="H153" t="str">
        <f>IFERROR(VLOOKUP(E153,DC_Xref!A:B,2,FALSE),"")</f>
        <v/>
      </c>
      <c r="I153">
        <f t="shared" si="8"/>
        <v>202143</v>
      </c>
    </row>
    <row r="154" spans="1:9" x14ac:dyDescent="0.3">
      <c r="A154" t="str">
        <f t="shared" si="6"/>
        <v>2021-OFC</v>
      </c>
      <c r="B154" t="str">
        <f t="shared" si="7"/>
        <v>202144-OFC</v>
      </c>
      <c r="C154">
        <v>2021</v>
      </c>
      <c r="D154">
        <v>44</v>
      </c>
      <c r="E154">
        <v>1</v>
      </c>
      <c r="F154" t="s">
        <v>5</v>
      </c>
      <c r="G154">
        <v>4094987.4</v>
      </c>
      <c r="H154" t="str">
        <f>IFERROR(VLOOKUP(E154,DC_Xref!A:B,2,FALSE),"")</f>
        <v>OFC</v>
      </c>
      <c r="I154">
        <f t="shared" si="8"/>
        <v>202144</v>
      </c>
    </row>
    <row r="155" spans="1:9" x14ac:dyDescent="0.3">
      <c r="A155" t="str">
        <f t="shared" si="6"/>
        <v>2021-TFC</v>
      </c>
      <c r="B155" t="str">
        <f t="shared" si="7"/>
        <v>202144-TFC</v>
      </c>
      <c r="C155">
        <v>2021</v>
      </c>
      <c r="D155">
        <v>44</v>
      </c>
      <c r="E155">
        <v>2</v>
      </c>
      <c r="F155" t="s">
        <v>6</v>
      </c>
      <c r="G155">
        <v>4724981.1000000099</v>
      </c>
      <c r="H155" t="str">
        <f>IFERROR(VLOOKUP(E155,DC_Xref!A:B,2,FALSE),"")</f>
        <v>TFC</v>
      </c>
      <c r="I155">
        <f t="shared" si="8"/>
        <v>202144</v>
      </c>
    </row>
    <row r="156" spans="1:9" x14ac:dyDescent="0.3">
      <c r="A156" t="str">
        <f t="shared" si="6"/>
        <v>2021-WFC</v>
      </c>
      <c r="B156" t="str">
        <f t="shared" si="7"/>
        <v>202144-WFC</v>
      </c>
      <c r="C156">
        <v>2021</v>
      </c>
      <c r="D156">
        <v>44</v>
      </c>
      <c r="E156">
        <v>3</v>
      </c>
      <c r="F156" t="s">
        <v>7</v>
      </c>
      <c r="G156">
        <v>755981.09999999905</v>
      </c>
      <c r="H156" t="str">
        <f>IFERROR(VLOOKUP(E156,DC_Xref!A:B,2,FALSE),"")</f>
        <v>WFC</v>
      </c>
      <c r="I156">
        <f t="shared" si="8"/>
        <v>202144</v>
      </c>
    </row>
    <row r="157" spans="1:9" x14ac:dyDescent="0.3">
      <c r="A157" t="str">
        <f t="shared" si="6"/>
        <v>2021-EAO</v>
      </c>
      <c r="B157" t="str">
        <f t="shared" si="7"/>
        <v>202144-EAO</v>
      </c>
      <c r="C157">
        <v>2021</v>
      </c>
      <c r="D157">
        <v>44</v>
      </c>
      <c r="E157">
        <v>4</v>
      </c>
      <c r="F157" t="s">
        <v>8</v>
      </c>
      <c r="G157">
        <v>3150025.2</v>
      </c>
      <c r="H157" t="str">
        <f>IFERROR(VLOOKUP(E157,DC_Xref!A:B,2,FALSE),"")</f>
        <v>EAO</v>
      </c>
      <c r="I157">
        <f t="shared" si="8"/>
        <v>202144</v>
      </c>
    </row>
    <row r="158" spans="1:9" x14ac:dyDescent="0.3">
      <c r="A158" t="str">
        <f t="shared" si="6"/>
        <v>2021-ODC</v>
      </c>
      <c r="B158" t="str">
        <f t="shared" si="7"/>
        <v>202144-FFC-ODC</v>
      </c>
      <c r="C158">
        <v>2021</v>
      </c>
      <c r="D158">
        <v>44</v>
      </c>
      <c r="E158">
        <v>5</v>
      </c>
      <c r="F158" t="s">
        <v>9</v>
      </c>
      <c r="G158">
        <v>0</v>
      </c>
      <c r="H158" t="str">
        <f>IFERROR(VLOOKUP(E158,DC_Xref!A:B,2,FALSE),"")</f>
        <v>FFC-ODC</v>
      </c>
      <c r="I158">
        <f t="shared" si="8"/>
        <v>202144</v>
      </c>
    </row>
    <row r="159" spans="1:9" x14ac:dyDescent="0.3">
      <c r="A159" t="str">
        <f t="shared" si="6"/>
        <v>2021-WEO</v>
      </c>
      <c r="B159" t="str">
        <f t="shared" si="7"/>
        <v>202144-WEO</v>
      </c>
      <c r="C159">
        <v>2021</v>
      </c>
      <c r="D159">
        <v>44</v>
      </c>
      <c r="E159">
        <v>6</v>
      </c>
      <c r="F159" t="s">
        <v>10</v>
      </c>
      <c r="G159">
        <v>4724981.1000000099</v>
      </c>
      <c r="H159" t="str">
        <f>IFERROR(VLOOKUP(E159,DC_Xref!A:B,2,FALSE),"")</f>
        <v>WEO</v>
      </c>
      <c r="I159">
        <f t="shared" si="8"/>
        <v>202144</v>
      </c>
    </row>
    <row r="160" spans="1:9" x14ac:dyDescent="0.3">
      <c r="A160" t="str">
        <f t="shared" si="6"/>
        <v>2021-OCC</v>
      </c>
      <c r="B160" t="str">
        <f t="shared" si="7"/>
        <v>202144-OCC</v>
      </c>
      <c r="C160">
        <v>2021</v>
      </c>
      <c r="D160">
        <v>44</v>
      </c>
      <c r="E160">
        <v>7</v>
      </c>
      <c r="F160" t="s">
        <v>11</v>
      </c>
      <c r="G160">
        <v>3149968.5</v>
      </c>
      <c r="H160" t="str">
        <f>IFERROR(VLOOKUP(E160,DC_Xref!A:B,2,FALSE),"")</f>
        <v>OCC</v>
      </c>
      <c r="I160">
        <f t="shared" si="8"/>
        <v>202144</v>
      </c>
    </row>
    <row r="161" spans="1:9" x14ac:dyDescent="0.3">
      <c r="A161" t="str">
        <f t="shared" si="6"/>
        <v>2021-SFS</v>
      </c>
      <c r="B161" t="str">
        <f t="shared" si="7"/>
        <v>202144-</v>
      </c>
      <c r="C161">
        <v>2021</v>
      </c>
      <c r="D161">
        <v>44</v>
      </c>
      <c r="E161">
        <v>8</v>
      </c>
      <c r="F161" t="s">
        <v>12</v>
      </c>
      <c r="G161">
        <v>0</v>
      </c>
      <c r="H161" t="str">
        <f>IFERROR(VLOOKUP(E161,DC_Xref!A:B,2,FALSE),"")</f>
        <v/>
      </c>
      <c r="I161">
        <f t="shared" si="8"/>
        <v>202144</v>
      </c>
    </row>
    <row r="162" spans="1:9" x14ac:dyDescent="0.3">
      <c r="A162" t="str">
        <f t="shared" si="6"/>
        <v>2021-OFC</v>
      </c>
      <c r="B162" t="str">
        <f t="shared" si="7"/>
        <v>202145-OFC</v>
      </c>
      <c r="C162">
        <v>2021</v>
      </c>
      <c r="D162">
        <v>45</v>
      </c>
      <c r="E162">
        <v>1</v>
      </c>
      <c r="F162" t="s">
        <v>5</v>
      </c>
      <c r="G162">
        <v>4094987.4</v>
      </c>
      <c r="H162" t="str">
        <f>IFERROR(VLOOKUP(E162,DC_Xref!A:B,2,FALSE),"")</f>
        <v>OFC</v>
      </c>
      <c r="I162">
        <f t="shared" si="8"/>
        <v>202145</v>
      </c>
    </row>
    <row r="163" spans="1:9" x14ac:dyDescent="0.3">
      <c r="A163" t="str">
        <f t="shared" si="6"/>
        <v>2021-TFC</v>
      </c>
      <c r="B163" t="str">
        <f t="shared" si="7"/>
        <v>202145-TFC</v>
      </c>
      <c r="C163">
        <v>2021</v>
      </c>
      <c r="D163">
        <v>45</v>
      </c>
      <c r="E163">
        <v>2</v>
      </c>
      <c r="F163" t="s">
        <v>6</v>
      </c>
      <c r="G163">
        <v>4724981.1000000099</v>
      </c>
      <c r="H163" t="str">
        <f>IFERROR(VLOOKUP(E163,DC_Xref!A:B,2,FALSE),"")</f>
        <v>TFC</v>
      </c>
      <c r="I163">
        <f t="shared" si="8"/>
        <v>202145</v>
      </c>
    </row>
    <row r="164" spans="1:9" x14ac:dyDescent="0.3">
      <c r="A164" t="str">
        <f t="shared" si="6"/>
        <v>2021-WFC</v>
      </c>
      <c r="B164" t="str">
        <f t="shared" si="7"/>
        <v>202145-WFC</v>
      </c>
      <c r="C164">
        <v>2021</v>
      </c>
      <c r="D164">
        <v>45</v>
      </c>
      <c r="E164">
        <v>3</v>
      </c>
      <c r="F164" t="s">
        <v>7</v>
      </c>
      <c r="G164">
        <v>755981.09999999905</v>
      </c>
      <c r="H164" t="str">
        <f>IFERROR(VLOOKUP(E164,DC_Xref!A:B,2,FALSE),"")</f>
        <v>WFC</v>
      </c>
      <c r="I164">
        <f t="shared" si="8"/>
        <v>202145</v>
      </c>
    </row>
    <row r="165" spans="1:9" x14ac:dyDescent="0.3">
      <c r="A165" t="str">
        <f t="shared" si="6"/>
        <v>2021-EAO</v>
      </c>
      <c r="B165" t="str">
        <f t="shared" si="7"/>
        <v>202145-EAO</v>
      </c>
      <c r="C165">
        <v>2021</v>
      </c>
      <c r="D165">
        <v>45</v>
      </c>
      <c r="E165">
        <v>4</v>
      </c>
      <c r="F165" t="s">
        <v>8</v>
      </c>
      <c r="G165">
        <v>3150025.2</v>
      </c>
      <c r="H165" t="str">
        <f>IFERROR(VLOOKUP(E165,DC_Xref!A:B,2,FALSE),"")</f>
        <v>EAO</v>
      </c>
      <c r="I165">
        <f t="shared" si="8"/>
        <v>202145</v>
      </c>
    </row>
    <row r="166" spans="1:9" x14ac:dyDescent="0.3">
      <c r="A166" t="str">
        <f t="shared" si="6"/>
        <v>2021-ODC</v>
      </c>
      <c r="B166" t="str">
        <f t="shared" si="7"/>
        <v>202145-FFC-ODC</v>
      </c>
      <c r="C166">
        <v>2021</v>
      </c>
      <c r="D166">
        <v>45</v>
      </c>
      <c r="E166">
        <v>5</v>
      </c>
      <c r="F166" t="s">
        <v>9</v>
      </c>
      <c r="G166">
        <v>0</v>
      </c>
      <c r="H166" t="str">
        <f>IFERROR(VLOOKUP(E166,DC_Xref!A:B,2,FALSE),"")</f>
        <v>FFC-ODC</v>
      </c>
      <c r="I166">
        <f t="shared" si="8"/>
        <v>202145</v>
      </c>
    </row>
    <row r="167" spans="1:9" x14ac:dyDescent="0.3">
      <c r="A167" t="str">
        <f t="shared" si="6"/>
        <v>2021-WEO</v>
      </c>
      <c r="B167" t="str">
        <f t="shared" si="7"/>
        <v>202145-WEO</v>
      </c>
      <c r="C167">
        <v>2021</v>
      </c>
      <c r="D167">
        <v>45</v>
      </c>
      <c r="E167">
        <v>6</v>
      </c>
      <c r="F167" t="s">
        <v>10</v>
      </c>
      <c r="G167">
        <v>4724981.1000000099</v>
      </c>
      <c r="H167" t="str">
        <f>IFERROR(VLOOKUP(E167,DC_Xref!A:B,2,FALSE),"")</f>
        <v>WEO</v>
      </c>
      <c r="I167">
        <f t="shared" si="8"/>
        <v>202145</v>
      </c>
    </row>
    <row r="168" spans="1:9" x14ac:dyDescent="0.3">
      <c r="A168" t="str">
        <f t="shared" si="6"/>
        <v>2021-OCC</v>
      </c>
      <c r="B168" t="str">
        <f t="shared" si="7"/>
        <v>202145-OCC</v>
      </c>
      <c r="C168">
        <v>2021</v>
      </c>
      <c r="D168">
        <v>45</v>
      </c>
      <c r="E168">
        <v>7</v>
      </c>
      <c r="F168" t="s">
        <v>11</v>
      </c>
      <c r="G168">
        <v>3149968.5</v>
      </c>
      <c r="H168" t="str">
        <f>IFERROR(VLOOKUP(E168,DC_Xref!A:B,2,FALSE),"")</f>
        <v>OCC</v>
      </c>
      <c r="I168">
        <f t="shared" si="8"/>
        <v>202145</v>
      </c>
    </row>
    <row r="169" spans="1:9" x14ac:dyDescent="0.3">
      <c r="A169" t="str">
        <f t="shared" si="6"/>
        <v>2021-SFS</v>
      </c>
      <c r="B169" t="str">
        <f t="shared" si="7"/>
        <v>202145-</v>
      </c>
      <c r="C169">
        <v>2021</v>
      </c>
      <c r="D169">
        <v>45</v>
      </c>
      <c r="E169">
        <v>8</v>
      </c>
      <c r="F169" t="s">
        <v>12</v>
      </c>
      <c r="G169">
        <v>0</v>
      </c>
      <c r="H169" t="str">
        <f>IFERROR(VLOOKUP(E169,DC_Xref!A:B,2,FALSE),"")</f>
        <v/>
      </c>
      <c r="I169">
        <f t="shared" si="8"/>
        <v>202145</v>
      </c>
    </row>
    <row r="170" spans="1:9" x14ac:dyDescent="0.3">
      <c r="A170" t="str">
        <f t="shared" si="6"/>
        <v>2021-OFC</v>
      </c>
      <c r="B170" t="str">
        <f t="shared" si="7"/>
        <v>202146-OFC</v>
      </c>
      <c r="C170">
        <v>2021</v>
      </c>
      <c r="D170">
        <v>46</v>
      </c>
      <c r="E170">
        <v>1</v>
      </c>
      <c r="F170" t="s">
        <v>5</v>
      </c>
      <c r="G170">
        <v>4094987.4</v>
      </c>
      <c r="H170" t="str">
        <f>IFERROR(VLOOKUP(E170,DC_Xref!A:B,2,FALSE),"")</f>
        <v>OFC</v>
      </c>
      <c r="I170">
        <f t="shared" si="8"/>
        <v>202146</v>
      </c>
    </row>
    <row r="171" spans="1:9" x14ac:dyDescent="0.3">
      <c r="A171" t="str">
        <f t="shared" si="6"/>
        <v>2021-TFC</v>
      </c>
      <c r="B171" t="str">
        <f t="shared" si="7"/>
        <v>202146-TFC</v>
      </c>
      <c r="C171">
        <v>2021</v>
      </c>
      <c r="D171">
        <v>46</v>
      </c>
      <c r="E171">
        <v>2</v>
      </c>
      <c r="F171" t="s">
        <v>6</v>
      </c>
      <c r="G171">
        <v>4724981.1000000099</v>
      </c>
      <c r="H171" t="str">
        <f>IFERROR(VLOOKUP(E171,DC_Xref!A:B,2,FALSE),"")</f>
        <v>TFC</v>
      </c>
      <c r="I171">
        <f t="shared" si="8"/>
        <v>202146</v>
      </c>
    </row>
    <row r="172" spans="1:9" x14ac:dyDescent="0.3">
      <c r="A172" t="str">
        <f t="shared" si="6"/>
        <v>2021-WFC</v>
      </c>
      <c r="B172" t="str">
        <f t="shared" si="7"/>
        <v>202146-WFC</v>
      </c>
      <c r="C172">
        <v>2021</v>
      </c>
      <c r="D172">
        <v>46</v>
      </c>
      <c r="E172">
        <v>3</v>
      </c>
      <c r="F172" t="s">
        <v>7</v>
      </c>
      <c r="G172">
        <v>755981.09999999905</v>
      </c>
      <c r="H172" t="str">
        <f>IFERROR(VLOOKUP(E172,DC_Xref!A:B,2,FALSE),"")</f>
        <v>WFC</v>
      </c>
      <c r="I172">
        <f t="shared" si="8"/>
        <v>202146</v>
      </c>
    </row>
    <row r="173" spans="1:9" x14ac:dyDescent="0.3">
      <c r="A173" t="str">
        <f t="shared" si="6"/>
        <v>2021-EAO</v>
      </c>
      <c r="B173" t="str">
        <f t="shared" si="7"/>
        <v>202146-EAO</v>
      </c>
      <c r="C173">
        <v>2021</v>
      </c>
      <c r="D173">
        <v>46</v>
      </c>
      <c r="E173">
        <v>4</v>
      </c>
      <c r="F173" t="s">
        <v>8</v>
      </c>
      <c r="G173">
        <v>3150025.2</v>
      </c>
      <c r="H173" t="str">
        <f>IFERROR(VLOOKUP(E173,DC_Xref!A:B,2,FALSE),"")</f>
        <v>EAO</v>
      </c>
      <c r="I173">
        <f t="shared" si="8"/>
        <v>202146</v>
      </c>
    </row>
    <row r="174" spans="1:9" x14ac:dyDescent="0.3">
      <c r="A174" t="str">
        <f t="shared" si="6"/>
        <v>2021-ODC</v>
      </c>
      <c r="B174" t="str">
        <f t="shared" si="7"/>
        <v>202146-FFC-ODC</v>
      </c>
      <c r="C174">
        <v>2021</v>
      </c>
      <c r="D174">
        <v>46</v>
      </c>
      <c r="E174">
        <v>5</v>
      </c>
      <c r="F174" t="s">
        <v>9</v>
      </c>
      <c r="G174">
        <v>0</v>
      </c>
      <c r="H174" t="str">
        <f>IFERROR(VLOOKUP(E174,DC_Xref!A:B,2,FALSE),"")</f>
        <v>FFC-ODC</v>
      </c>
      <c r="I174">
        <f t="shared" si="8"/>
        <v>202146</v>
      </c>
    </row>
    <row r="175" spans="1:9" x14ac:dyDescent="0.3">
      <c r="A175" t="str">
        <f t="shared" si="6"/>
        <v>2021-WEO</v>
      </c>
      <c r="B175" t="str">
        <f t="shared" si="7"/>
        <v>202146-WEO</v>
      </c>
      <c r="C175">
        <v>2021</v>
      </c>
      <c r="D175">
        <v>46</v>
      </c>
      <c r="E175">
        <v>6</v>
      </c>
      <c r="F175" t="s">
        <v>10</v>
      </c>
      <c r="G175">
        <v>4724981.1000000099</v>
      </c>
      <c r="H175" t="str">
        <f>IFERROR(VLOOKUP(E175,DC_Xref!A:B,2,FALSE),"")</f>
        <v>WEO</v>
      </c>
      <c r="I175">
        <f t="shared" si="8"/>
        <v>202146</v>
      </c>
    </row>
    <row r="176" spans="1:9" x14ac:dyDescent="0.3">
      <c r="A176" t="str">
        <f t="shared" si="6"/>
        <v>2021-OCC</v>
      </c>
      <c r="B176" t="str">
        <f t="shared" si="7"/>
        <v>202146-OCC</v>
      </c>
      <c r="C176">
        <v>2021</v>
      </c>
      <c r="D176">
        <v>46</v>
      </c>
      <c r="E176">
        <v>7</v>
      </c>
      <c r="F176" t="s">
        <v>11</v>
      </c>
      <c r="G176">
        <v>3149968.5</v>
      </c>
      <c r="H176" t="str">
        <f>IFERROR(VLOOKUP(E176,DC_Xref!A:B,2,FALSE),"")</f>
        <v>OCC</v>
      </c>
      <c r="I176">
        <f t="shared" si="8"/>
        <v>202146</v>
      </c>
    </row>
    <row r="177" spans="1:9" x14ac:dyDescent="0.3">
      <c r="A177" t="str">
        <f t="shared" si="6"/>
        <v>2021-SFS</v>
      </c>
      <c r="B177" t="str">
        <f t="shared" si="7"/>
        <v>202146-</v>
      </c>
      <c r="C177">
        <v>2021</v>
      </c>
      <c r="D177">
        <v>46</v>
      </c>
      <c r="E177">
        <v>8</v>
      </c>
      <c r="F177" t="s">
        <v>12</v>
      </c>
      <c r="G177">
        <v>0</v>
      </c>
      <c r="H177" t="str">
        <f>IFERROR(VLOOKUP(E177,DC_Xref!A:B,2,FALSE),"")</f>
        <v/>
      </c>
      <c r="I177">
        <f t="shared" si="8"/>
        <v>202146</v>
      </c>
    </row>
    <row r="178" spans="1:9" x14ac:dyDescent="0.3">
      <c r="A178" t="str">
        <f t="shared" si="6"/>
        <v>2021-OFC</v>
      </c>
      <c r="B178" t="str">
        <f t="shared" si="7"/>
        <v>202147-OFC</v>
      </c>
      <c r="C178">
        <v>2021</v>
      </c>
      <c r="D178">
        <v>47</v>
      </c>
      <c r="E178">
        <v>1</v>
      </c>
      <c r="F178" t="s">
        <v>5</v>
      </c>
      <c r="G178">
        <v>4094987.4</v>
      </c>
      <c r="H178" t="str">
        <f>IFERROR(VLOOKUP(E178,DC_Xref!A:B,2,FALSE),"")</f>
        <v>OFC</v>
      </c>
      <c r="I178">
        <f t="shared" si="8"/>
        <v>202147</v>
      </c>
    </row>
    <row r="179" spans="1:9" x14ac:dyDescent="0.3">
      <c r="A179" t="str">
        <f t="shared" si="6"/>
        <v>2021-TFC</v>
      </c>
      <c r="B179" t="str">
        <f t="shared" si="7"/>
        <v>202147-TFC</v>
      </c>
      <c r="C179">
        <v>2021</v>
      </c>
      <c r="D179">
        <v>47</v>
      </c>
      <c r="E179">
        <v>2</v>
      </c>
      <c r="F179" t="s">
        <v>6</v>
      </c>
      <c r="G179">
        <v>4724981.1000000099</v>
      </c>
      <c r="H179" t="str">
        <f>IFERROR(VLOOKUP(E179,DC_Xref!A:B,2,FALSE),"")</f>
        <v>TFC</v>
      </c>
      <c r="I179">
        <f t="shared" si="8"/>
        <v>202147</v>
      </c>
    </row>
    <row r="180" spans="1:9" x14ac:dyDescent="0.3">
      <c r="A180" t="str">
        <f t="shared" si="6"/>
        <v>2021-WFC</v>
      </c>
      <c r="B180" t="str">
        <f t="shared" si="7"/>
        <v>202147-WFC</v>
      </c>
      <c r="C180">
        <v>2021</v>
      </c>
      <c r="D180">
        <v>47</v>
      </c>
      <c r="E180">
        <v>3</v>
      </c>
      <c r="F180" t="s">
        <v>7</v>
      </c>
      <c r="G180">
        <v>755981.09999999905</v>
      </c>
      <c r="H180" t="str">
        <f>IFERROR(VLOOKUP(E180,DC_Xref!A:B,2,FALSE),"")</f>
        <v>WFC</v>
      </c>
      <c r="I180">
        <f t="shared" si="8"/>
        <v>202147</v>
      </c>
    </row>
    <row r="181" spans="1:9" x14ac:dyDescent="0.3">
      <c r="A181" t="str">
        <f t="shared" si="6"/>
        <v>2021-EAO</v>
      </c>
      <c r="B181" t="str">
        <f t="shared" si="7"/>
        <v>202147-EAO</v>
      </c>
      <c r="C181">
        <v>2021</v>
      </c>
      <c r="D181">
        <v>47</v>
      </c>
      <c r="E181">
        <v>4</v>
      </c>
      <c r="F181" t="s">
        <v>8</v>
      </c>
      <c r="G181">
        <v>3150025.2</v>
      </c>
      <c r="H181" t="str">
        <f>IFERROR(VLOOKUP(E181,DC_Xref!A:B,2,FALSE),"")</f>
        <v>EAO</v>
      </c>
      <c r="I181">
        <f t="shared" si="8"/>
        <v>202147</v>
      </c>
    </row>
    <row r="182" spans="1:9" x14ac:dyDescent="0.3">
      <c r="A182" t="str">
        <f t="shared" si="6"/>
        <v>2021-ODC</v>
      </c>
      <c r="B182" t="str">
        <f t="shared" si="7"/>
        <v>202147-FFC-ODC</v>
      </c>
      <c r="C182">
        <v>2021</v>
      </c>
      <c r="D182">
        <v>47</v>
      </c>
      <c r="E182">
        <v>5</v>
      </c>
      <c r="F182" t="s">
        <v>9</v>
      </c>
      <c r="G182">
        <v>0</v>
      </c>
      <c r="H182" t="str">
        <f>IFERROR(VLOOKUP(E182,DC_Xref!A:B,2,FALSE),"")</f>
        <v>FFC-ODC</v>
      </c>
      <c r="I182">
        <f t="shared" si="8"/>
        <v>202147</v>
      </c>
    </row>
    <row r="183" spans="1:9" x14ac:dyDescent="0.3">
      <c r="A183" t="str">
        <f t="shared" si="6"/>
        <v>2021-WEO</v>
      </c>
      <c r="B183" t="str">
        <f t="shared" si="7"/>
        <v>202147-WEO</v>
      </c>
      <c r="C183">
        <v>2021</v>
      </c>
      <c r="D183">
        <v>47</v>
      </c>
      <c r="E183">
        <v>6</v>
      </c>
      <c r="F183" t="s">
        <v>10</v>
      </c>
      <c r="G183">
        <v>4724981.1000000099</v>
      </c>
      <c r="H183" t="str">
        <f>IFERROR(VLOOKUP(E183,DC_Xref!A:B,2,FALSE),"")</f>
        <v>WEO</v>
      </c>
      <c r="I183">
        <f t="shared" si="8"/>
        <v>202147</v>
      </c>
    </row>
    <row r="184" spans="1:9" x14ac:dyDescent="0.3">
      <c r="A184" t="str">
        <f t="shared" si="6"/>
        <v>2021-OCC</v>
      </c>
      <c r="B184" t="str">
        <f t="shared" si="7"/>
        <v>202147-OCC</v>
      </c>
      <c r="C184">
        <v>2021</v>
      </c>
      <c r="D184">
        <v>47</v>
      </c>
      <c r="E184">
        <v>7</v>
      </c>
      <c r="F184" t="s">
        <v>11</v>
      </c>
      <c r="G184">
        <v>3149968.5</v>
      </c>
      <c r="H184" t="str">
        <f>IFERROR(VLOOKUP(E184,DC_Xref!A:B,2,FALSE),"")</f>
        <v>OCC</v>
      </c>
      <c r="I184">
        <f t="shared" si="8"/>
        <v>202147</v>
      </c>
    </row>
    <row r="185" spans="1:9" x14ac:dyDescent="0.3">
      <c r="A185" t="str">
        <f t="shared" si="6"/>
        <v>2021-SFS</v>
      </c>
      <c r="B185" t="str">
        <f t="shared" si="7"/>
        <v>202147-</v>
      </c>
      <c r="C185">
        <v>2021</v>
      </c>
      <c r="D185">
        <v>47</v>
      </c>
      <c r="E185">
        <v>8</v>
      </c>
      <c r="F185" t="s">
        <v>12</v>
      </c>
      <c r="G185">
        <v>0</v>
      </c>
      <c r="H185" t="str">
        <f>IFERROR(VLOOKUP(E185,DC_Xref!A:B,2,FALSE),"")</f>
        <v/>
      </c>
      <c r="I185">
        <f t="shared" si="8"/>
        <v>202147</v>
      </c>
    </row>
    <row r="186" spans="1:9" x14ac:dyDescent="0.3">
      <c r="A186" t="str">
        <f t="shared" si="6"/>
        <v>2021-OFC</v>
      </c>
      <c r="B186" t="str">
        <f t="shared" si="7"/>
        <v>202148-OFC</v>
      </c>
      <c r="C186">
        <v>2021</v>
      </c>
      <c r="D186">
        <v>48</v>
      </c>
      <c r="E186">
        <v>1</v>
      </c>
      <c r="F186" t="s">
        <v>5</v>
      </c>
      <c r="G186">
        <v>0</v>
      </c>
      <c r="H186" t="str">
        <f>IFERROR(VLOOKUP(E186,DC_Xref!A:B,2,FALSE),"")</f>
        <v>OFC</v>
      </c>
      <c r="I186">
        <f t="shared" si="8"/>
        <v>202148</v>
      </c>
    </row>
    <row r="187" spans="1:9" x14ac:dyDescent="0.3">
      <c r="A187" t="str">
        <f t="shared" si="6"/>
        <v>2021-TFC</v>
      </c>
      <c r="B187" t="str">
        <f t="shared" si="7"/>
        <v>202148-TFC</v>
      </c>
      <c r="C187">
        <v>2021</v>
      </c>
      <c r="D187">
        <v>48</v>
      </c>
      <c r="E187">
        <v>2</v>
      </c>
      <c r="F187" t="s">
        <v>6</v>
      </c>
      <c r="G187">
        <v>0</v>
      </c>
      <c r="H187" t="str">
        <f>IFERROR(VLOOKUP(E187,DC_Xref!A:B,2,FALSE),"")</f>
        <v>TFC</v>
      </c>
      <c r="I187">
        <f t="shared" si="8"/>
        <v>202148</v>
      </c>
    </row>
    <row r="188" spans="1:9" x14ac:dyDescent="0.3">
      <c r="A188" t="str">
        <f t="shared" si="6"/>
        <v>2021-WFC</v>
      </c>
      <c r="B188" t="str">
        <f t="shared" si="7"/>
        <v>202148-WFC</v>
      </c>
      <c r="C188">
        <v>2021</v>
      </c>
      <c r="D188">
        <v>48</v>
      </c>
      <c r="E188">
        <v>3</v>
      </c>
      <c r="F188" t="s">
        <v>7</v>
      </c>
      <c r="G188">
        <v>0</v>
      </c>
      <c r="H188" t="str">
        <f>IFERROR(VLOOKUP(E188,DC_Xref!A:B,2,FALSE),"")</f>
        <v>WFC</v>
      </c>
      <c r="I188">
        <f t="shared" si="8"/>
        <v>202148</v>
      </c>
    </row>
    <row r="189" spans="1:9" x14ac:dyDescent="0.3">
      <c r="A189" t="str">
        <f t="shared" si="6"/>
        <v>2021-EAO</v>
      </c>
      <c r="B189" t="str">
        <f t="shared" si="7"/>
        <v>202148-EAO</v>
      </c>
      <c r="C189">
        <v>2021</v>
      </c>
      <c r="D189">
        <v>48</v>
      </c>
      <c r="E189">
        <v>4</v>
      </c>
      <c r="F189" t="s">
        <v>8</v>
      </c>
      <c r="G189">
        <v>0</v>
      </c>
      <c r="H189" t="str">
        <f>IFERROR(VLOOKUP(E189,DC_Xref!A:B,2,FALSE),"")</f>
        <v>EAO</v>
      </c>
      <c r="I189">
        <f t="shared" si="8"/>
        <v>202148</v>
      </c>
    </row>
    <row r="190" spans="1:9" x14ac:dyDescent="0.3">
      <c r="A190" t="str">
        <f t="shared" si="6"/>
        <v>2021-ODC</v>
      </c>
      <c r="B190" t="str">
        <f t="shared" si="7"/>
        <v>202148-FFC-ODC</v>
      </c>
      <c r="C190">
        <v>2021</v>
      </c>
      <c r="D190">
        <v>48</v>
      </c>
      <c r="E190">
        <v>5</v>
      </c>
      <c r="F190" t="s">
        <v>9</v>
      </c>
      <c r="G190">
        <v>0</v>
      </c>
      <c r="H190" t="str">
        <f>IFERROR(VLOOKUP(E190,DC_Xref!A:B,2,FALSE),"")</f>
        <v>FFC-ODC</v>
      </c>
      <c r="I190">
        <f t="shared" si="8"/>
        <v>202148</v>
      </c>
    </row>
    <row r="191" spans="1:9" x14ac:dyDescent="0.3">
      <c r="A191" t="str">
        <f t="shared" si="6"/>
        <v>2021-WEO</v>
      </c>
      <c r="B191" t="str">
        <f t="shared" si="7"/>
        <v>202148-WEO</v>
      </c>
      <c r="C191">
        <v>2021</v>
      </c>
      <c r="D191">
        <v>48</v>
      </c>
      <c r="E191">
        <v>6</v>
      </c>
      <c r="F191" t="s">
        <v>10</v>
      </c>
      <c r="G191">
        <v>0</v>
      </c>
      <c r="H191" t="str">
        <f>IFERROR(VLOOKUP(E191,DC_Xref!A:B,2,FALSE),"")</f>
        <v>WEO</v>
      </c>
      <c r="I191">
        <f t="shared" si="8"/>
        <v>202148</v>
      </c>
    </row>
    <row r="192" spans="1:9" x14ac:dyDescent="0.3">
      <c r="A192" t="str">
        <f t="shared" si="6"/>
        <v>2021-OCC</v>
      </c>
      <c r="B192" t="str">
        <f t="shared" si="7"/>
        <v>202148-OCC</v>
      </c>
      <c r="C192">
        <v>2021</v>
      </c>
      <c r="D192">
        <v>48</v>
      </c>
      <c r="E192">
        <v>7</v>
      </c>
      <c r="F192" t="s">
        <v>11</v>
      </c>
      <c r="G192">
        <v>0</v>
      </c>
      <c r="H192" t="str">
        <f>IFERROR(VLOOKUP(E192,DC_Xref!A:B,2,FALSE),"")</f>
        <v>OCC</v>
      </c>
      <c r="I192">
        <f t="shared" si="8"/>
        <v>202148</v>
      </c>
    </row>
    <row r="193" spans="1:9" x14ac:dyDescent="0.3">
      <c r="A193" t="str">
        <f t="shared" si="6"/>
        <v>2021-SFS</v>
      </c>
      <c r="B193" t="str">
        <f t="shared" si="7"/>
        <v>202148-</v>
      </c>
      <c r="C193">
        <v>2021</v>
      </c>
      <c r="D193">
        <v>48</v>
      </c>
      <c r="E193">
        <v>8</v>
      </c>
      <c r="F193" t="s">
        <v>12</v>
      </c>
      <c r="G193">
        <v>0</v>
      </c>
      <c r="H193" t="str">
        <f>IFERROR(VLOOKUP(E193,DC_Xref!A:B,2,FALSE),"")</f>
        <v/>
      </c>
      <c r="I193">
        <f t="shared" si="8"/>
        <v>202148</v>
      </c>
    </row>
    <row r="194" spans="1:9" x14ac:dyDescent="0.3">
      <c r="A194" t="str">
        <f t="shared" ref="A194:A257" si="9">C194&amp;"-"&amp;F194</f>
        <v>2022-OFC</v>
      </c>
      <c r="B194" t="str">
        <f t="shared" ref="B194:B257" si="10">I194&amp;"-"&amp;H194</f>
        <v>202243-OFC</v>
      </c>
      <c r="C194">
        <v>2022</v>
      </c>
      <c r="D194">
        <v>43</v>
      </c>
      <c r="E194">
        <v>1</v>
      </c>
      <c r="F194" t="s">
        <v>5</v>
      </c>
      <c r="G194">
        <v>3990011.4</v>
      </c>
      <c r="H194" t="str">
        <f>IFERROR(VLOOKUP(E194,DC_Xref!A:B,2,FALSE),"")</f>
        <v>OFC</v>
      </c>
      <c r="I194">
        <f t="shared" ref="I194:I257" si="11">C194*100+D194</f>
        <v>202243</v>
      </c>
    </row>
    <row r="195" spans="1:9" x14ac:dyDescent="0.3">
      <c r="A195" t="str">
        <f t="shared" si="9"/>
        <v>2022-TFC</v>
      </c>
      <c r="B195" t="str">
        <f t="shared" si="10"/>
        <v>202243-TFC</v>
      </c>
      <c r="C195">
        <v>2022</v>
      </c>
      <c r="D195">
        <v>43</v>
      </c>
      <c r="E195">
        <v>2</v>
      </c>
      <c r="F195" t="s">
        <v>6</v>
      </c>
      <c r="G195">
        <v>4274982.9000000004</v>
      </c>
      <c r="H195" t="str">
        <f>IFERROR(VLOOKUP(E195,DC_Xref!A:B,2,FALSE),"")</f>
        <v>TFC</v>
      </c>
      <c r="I195">
        <f t="shared" si="11"/>
        <v>202243</v>
      </c>
    </row>
    <row r="196" spans="1:9" x14ac:dyDescent="0.3">
      <c r="A196" t="str">
        <f t="shared" si="9"/>
        <v>2022-WFC</v>
      </c>
      <c r="B196" t="str">
        <f t="shared" si="10"/>
        <v>202243-WFC</v>
      </c>
      <c r="C196">
        <v>2022</v>
      </c>
      <c r="D196">
        <v>43</v>
      </c>
      <c r="E196">
        <v>3</v>
      </c>
      <c r="F196" t="s">
        <v>7</v>
      </c>
      <c r="G196">
        <v>0</v>
      </c>
      <c r="H196" t="str">
        <f>IFERROR(VLOOKUP(E196,DC_Xref!A:B,2,FALSE),"")</f>
        <v>WFC</v>
      </c>
      <c r="I196">
        <f t="shared" si="11"/>
        <v>202243</v>
      </c>
    </row>
    <row r="197" spans="1:9" x14ac:dyDescent="0.3">
      <c r="A197" t="str">
        <f t="shared" si="9"/>
        <v>2022-EAO</v>
      </c>
      <c r="B197" t="str">
        <f t="shared" si="10"/>
        <v>202243-EAO</v>
      </c>
      <c r="C197">
        <v>2022</v>
      </c>
      <c r="D197">
        <v>43</v>
      </c>
      <c r="E197">
        <v>4</v>
      </c>
      <c r="F197" t="s">
        <v>8</v>
      </c>
      <c r="G197">
        <v>2850022.8</v>
      </c>
      <c r="H197" t="str">
        <f>IFERROR(VLOOKUP(E197,DC_Xref!A:B,2,FALSE),"")</f>
        <v>EAO</v>
      </c>
      <c r="I197">
        <f t="shared" si="11"/>
        <v>202243</v>
      </c>
    </row>
    <row r="198" spans="1:9" x14ac:dyDescent="0.3">
      <c r="A198" t="str">
        <f t="shared" si="9"/>
        <v>2022-ODC</v>
      </c>
      <c r="B198" t="str">
        <f t="shared" si="10"/>
        <v>202243-FFC-ODC</v>
      </c>
      <c r="C198">
        <v>2022</v>
      </c>
      <c r="D198">
        <v>43</v>
      </c>
      <c r="E198">
        <v>5</v>
      </c>
      <c r="F198" t="s">
        <v>9</v>
      </c>
      <c r="G198">
        <v>0</v>
      </c>
      <c r="H198" t="str">
        <f>IFERROR(VLOOKUP(E198,DC_Xref!A:B,2,FALSE),"")</f>
        <v>FFC-ODC</v>
      </c>
      <c r="I198">
        <f t="shared" si="11"/>
        <v>202243</v>
      </c>
    </row>
    <row r="199" spans="1:9" x14ac:dyDescent="0.3">
      <c r="A199" t="str">
        <f t="shared" si="9"/>
        <v>2022-WEO</v>
      </c>
      <c r="B199" t="str">
        <f t="shared" si="10"/>
        <v>202243-WEO</v>
      </c>
      <c r="C199">
        <v>2022</v>
      </c>
      <c r="D199">
        <v>43</v>
      </c>
      <c r="E199">
        <v>6</v>
      </c>
      <c r="F199" t="s">
        <v>10</v>
      </c>
      <c r="G199">
        <v>4274982.9000000004</v>
      </c>
      <c r="H199" t="str">
        <f>IFERROR(VLOOKUP(E199,DC_Xref!A:B,2,FALSE),"")</f>
        <v>WEO</v>
      </c>
      <c r="I199">
        <f t="shared" si="11"/>
        <v>202243</v>
      </c>
    </row>
    <row r="200" spans="1:9" x14ac:dyDescent="0.3">
      <c r="A200" t="str">
        <f t="shared" si="9"/>
        <v>2022-OCC</v>
      </c>
      <c r="B200" t="str">
        <f t="shared" si="10"/>
        <v>202243-OCC</v>
      </c>
      <c r="C200">
        <v>2022</v>
      </c>
      <c r="D200">
        <v>43</v>
      </c>
      <c r="E200">
        <v>7</v>
      </c>
      <c r="F200" t="s">
        <v>11</v>
      </c>
      <c r="G200">
        <v>7979971.5</v>
      </c>
      <c r="H200" t="str">
        <f>IFERROR(VLOOKUP(E200,DC_Xref!A:B,2,FALSE),"")</f>
        <v>OCC</v>
      </c>
      <c r="I200">
        <f t="shared" si="11"/>
        <v>202243</v>
      </c>
    </row>
    <row r="201" spans="1:9" x14ac:dyDescent="0.3">
      <c r="A201" t="str">
        <f t="shared" si="9"/>
        <v>2022-SFS</v>
      </c>
      <c r="B201" t="str">
        <f t="shared" si="10"/>
        <v>202243-</v>
      </c>
      <c r="C201">
        <v>2022</v>
      </c>
      <c r="D201">
        <v>43</v>
      </c>
      <c r="E201">
        <v>8</v>
      </c>
      <c r="F201" t="s">
        <v>12</v>
      </c>
      <c r="G201">
        <v>0</v>
      </c>
      <c r="H201" t="str">
        <f>IFERROR(VLOOKUP(E201,DC_Xref!A:B,2,FALSE),"")</f>
        <v/>
      </c>
      <c r="I201">
        <f t="shared" si="11"/>
        <v>202243</v>
      </c>
    </row>
    <row r="202" spans="1:9" x14ac:dyDescent="0.3">
      <c r="A202" t="str">
        <f t="shared" si="9"/>
        <v>2022-OFC</v>
      </c>
      <c r="B202" t="str">
        <f t="shared" si="10"/>
        <v>202244-OFC</v>
      </c>
      <c r="C202">
        <v>2022</v>
      </c>
      <c r="D202">
        <v>44</v>
      </c>
      <c r="E202">
        <v>1</v>
      </c>
      <c r="F202" t="s">
        <v>5</v>
      </c>
      <c r="G202">
        <v>4410012.6000000099</v>
      </c>
      <c r="H202" t="str">
        <f>IFERROR(VLOOKUP(E202,DC_Xref!A:B,2,FALSE),"")</f>
        <v>OFC</v>
      </c>
      <c r="I202">
        <f t="shared" si="11"/>
        <v>202244</v>
      </c>
    </row>
    <row r="203" spans="1:9" x14ac:dyDescent="0.3">
      <c r="A203" t="str">
        <f t="shared" si="9"/>
        <v>2022-TFC</v>
      </c>
      <c r="B203" t="str">
        <f t="shared" si="10"/>
        <v>202244-TFC</v>
      </c>
      <c r="C203">
        <v>2022</v>
      </c>
      <c r="D203">
        <v>44</v>
      </c>
      <c r="E203">
        <v>2</v>
      </c>
      <c r="F203" t="s">
        <v>6</v>
      </c>
      <c r="G203">
        <v>4724981.1000000099</v>
      </c>
      <c r="H203" t="str">
        <f>IFERROR(VLOOKUP(E203,DC_Xref!A:B,2,FALSE),"")</f>
        <v>TFC</v>
      </c>
      <c r="I203">
        <f t="shared" si="11"/>
        <v>202244</v>
      </c>
    </row>
    <row r="204" spans="1:9" x14ac:dyDescent="0.3">
      <c r="A204" t="str">
        <f t="shared" si="9"/>
        <v>2022-WFC</v>
      </c>
      <c r="B204" t="str">
        <f t="shared" si="10"/>
        <v>202244-WFC</v>
      </c>
      <c r="C204">
        <v>2022</v>
      </c>
      <c r="D204">
        <v>44</v>
      </c>
      <c r="E204">
        <v>3</v>
      </c>
      <c r="F204" t="s">
        <v>7</v>
      </c>
      <c r="G204">
        <v>0</v>
      </c>
      <c r="H204" t="str">
        <f>IFERROR(VLOOKUP(E204,DC_Xref!A:B,2,FALSE),"")</f>
        <v>WFC</v>
      </c>
      <c r="I204">
        <f t="shared" si="11"/>
        <v>202244</v>
      </c>
    </row>
    <row r="205" spans="1:9" x14ac:dyDescent="0.3">
      <c r="A205" t="str">
        <f t="shared" si="9"/>
        <v>2022-EAO</v>
      </c>
      <c r="B205" t="str">
        <f t="shared" si="10"/>
        <v>202244-EAO</v>
      </c>
      <c r="C205">
        <v>2022</v>
      </c>
      <c r="D205">
        <v>44</v>
      </c>
      <c r="E205">
        <v>4</v>
      </c>
      <c r="F205" t="s">
        <v>8</v>
      </c>
      <c r="G205">
        <v>3150025.2</v>
      </c>
      <c r="H205" t="str">
        <f>IFERROR(VLOOKUP(E205,DC_Xref!A:B,2,FALSE),"")</f>
        <v>EAO</v>
      </c>
      <c r="I205">
        <f t="shared" si="11"/>
        <v>202244</v>
      </c>
    </row>
    <row r="206" spans="1:9" x14ac:dyDescent="0.3">
      <c r="A206" t="str">
        <f t="shared" si="9"/>
        <v>2022-ODC</v>
      </c>
      <c r="B206" t="str">
        <f t="shared" si="10"/>
        <v>202244-FFC-ODC</v>
      </c>
      <c r="C206">
        <v>2022</v>
      </c>
      <c r="D206">
        <v>44</v>
      </c>
      <c r="E206">
        <v>5</v>
      </c>
      <c r="F206" t="s">
        <v>9</v>
      </c>
      <c r="G206">
        <v>0</v>
      </c>
      <c r="H206" t="str">
        <f>IFERROR(VLOOKUP(E206,DC_Xref!A:B,2,FALSE),"")</f>
        <v>FFC-ODC</v>
      </c>
      <c r="I206">
        <f t="shared" si="11"/>
        <v>202244</v>
      </c>
    </row>
    <row r="207" spans="1:9" x14ac:dyDescent="0.3">
      <c r="A207" t="str">
        <f t="shared" si="9"/>
        <v>2022-WEO</v>
      </c>
      <c r="B207" t="str">
        <f t="shared" si="10"/>
        <v>202244-WEO</v>
      </c>
      <c r="C207">
        <v>2022</v>
      </c>
      <c r="D207">
        <v>44</v>
      </c>
      <c r="E207">
        <v>6</v>
      </c>
      <c r="F207" t="s">
        <v>10</v>
      </c>
      <c r="G207">
        <v>4724981.1000000099</v>
      </c>
      <c r="H207" t="str">
        <f>IFERROR(VLOOKUP(E207,DC_Xref!A:B,2,FALSE),"")</f>
        <v>WEO</v>
      </c>
      <c r="I207">
        <f t="shared" si="11"/>
        <v>202244</v>
      </c>
    </row>
    <row r="208" spans="1:9" x14ac:dyDescent="0.3">
      <c r="A208" t="str">
        <f t="shared" si="9"/>
        <v>2022-OCC</v>
      </c>
      <c r="B208" t="str">
        <f t="shared" si="10"/>
        <v>202244-OCC</v>
      </c>
      <c r="C208">
        <v>2022</v>
      </c>
      <c r="D208">
        <v>44</v>
      </c>
      <c r="E208">
        <v>7</v>
      </c>
      <c r="F208" t="s">
        <v>11</v>
      </c>
      <c r="G208">
        <v>8819968.5</v>
      </c>
      <c r="H208" t="str">
        <f>IFERROR(VLOOKUP(E208,DC_Xref!A:B,2,FALSE),"")</f>
        <v>OCC</v>
      </c>
      <c r="I208">
        <f t="shared" si="11"/>
        <v>202244</v>
      </c>
    </row>
    <row r="209" spans="1:9" x14ac:dyDescent="0.3">
      <c r="A209" t="str">
        <f t="shared" si="9"/>
        <v>2022-SFS</v>
      </c>
      <c r="B209" t="str">
        <f t="shared" si="10"/>
        <v>202244-</v>
      </c>
      <c r="C209">
        <v>2022</v>
      </c>
      <c r="D209">
        <v>44</v>
      </c>
      <c r="E209">
        <v>8</v>
      </c>
      <c r="F209" t="s">
        <v>12</v>
      </c>
      <c r="G209">
        <v>0</v>
      </c>
      <c r="H209" t="str">
        <f>IFERROR(VLOOKUP(E209,DC_Xref!A:B,2,FALSE),"")</f>
        <v/>
      </c>
      <c r="I209">
        <f t="shared" si="11"/>
        <v>202244</v>
      </c>
    </row>
    <row r="210" spans="1:9" x14ac:dyDescent="0.3">
      <c r="A210" t="str">
        <f t="shared" si="9"/>
        <v>2022-OFC</v>
      </c>
      <c r="B210" t="str">
        <f t="shared" si="10"/>
        <v>202245-OFC</v>
      </c>
      <c r="C210">
        <v>2022</v>
      </c>
      <c r="D210">
        <v>45</v>
      </c>
      <c r="E210">
        <v>1</v>
      </c>
      <c r="F210" t="s">
        <v>5</v>
      </c>
      <c r="G210">
        <v>4410012.6000000099</v>
      </c>
      <c r="H210" t="str">
        <f>IFERROR(VLOOKUP(E210,DC_Xref!A:B,2,FALSE),"")</f>
        <v>OFC</v>
      </c>
      <c r="I210">
        <f t="shared" si="11"/>
        <v>202245</v>
      </c>
    </row>
    <row r="211" spans="1:9" x14ac:dyDescent="0.3">
      <c r="A211" t="str">
        <f t="shared" si="9"/>
        <v>2022-TFC</v>
      </c>
      <c r="B211" t="str">
        <f t="shared" si="10"/>
        <v>202245-TFC</v>
      </c>
      <c r="C211">
        <v>2022</v>
      </c>
      <c r="D211">
        <v>45</v>
      </c>
      <c r="E211">
        <v>2</v>
      </c>
      <c r="F211" t="s">
        <v>6</v>
      </c>
      <c r="G211">
        <v>4724981.1000000099</v>
      </c>
      <c r="H211" t="str">
        <f>IFERROR(VLOOKUP(E211,DC_Xref!A:B,2,FALSE),"")</f>
        <v>TFC</v>
      </c>
      <c r="I211">
        <f t="shared" si="11"/>
        <v>202245</v>
      </c>
    </row>
    <row r="212" spans="1:9" x14ac:dyDescent="0.3">
      <c r="A212" t="str">
        <f t="shared" si="9"/>
        <v>2022-WFC</v>
      </c>
      <c r="B212" t="str">
        <f t="shared" si="10"/>
        <v>202245-WFC</v>
      </c>
      <c r="C212">
        <v>2022</v>
      </c>
      <c r="D212">
        <v>45</v>
      </c>
      <c r="E212">
        <v>3</v>
      </c>
      <c r="F212" t="s">
        <v>7</v>
      </c>
      <c r="G212">
        <v>0</v>
      </c>
      <c r="H212" t="str">
        <f>IFERROR(VLOOKUP(E212,DC_Xref!A:B,2,FALSE),"")</f>
        <v>WFC</v>
      </c>
      <c r="I212">
        <f t="shared" si="11"/>
        <v>202245</v>
      </c>
    </row>
    <row r="213" spans="1:9" x14ac:dyDescent="0.3">
      <c r="A213" t="str">
        <f t="shared" si="9"/>
        <v>2022-EAO</v>
      </c>
      <c r="B213" t="str">
        <f t="shared" si="10"/>
        <v>202245-EAO</v>
      </c>
      <c r="C213">
        <v>2022</v>
      </c>
      <c r="D213">
        <v>45</v>
      </c>
      <c r="E213">
        <v>4</v>
      </c>
      <c r="F213" t="s">
        <v>8</v>
      </c>
      <c r="G213">
        <v>3150025.2</v>
      </c>
      <c r="H213" t="str">
        <f>IFERROR(VLOOKUP(E213,DC_Xref!A:B,2,FALSE),"")</f>
        <v>EAO</v>
      </c>
      <c r="I213">
        <f t="shared" si="11"/>
        <v>202245</v>
      </c>
    </row>
    <row r="214" spans="1:9" x14ac:dyDescent="0.3">
      <c r="A214" t="str">
        <f t="shared" si="9"/>
        <v>2022-ODC</v>
      </c>
      <c r="B214" t="str">
        <f t="shared" si="10"/>
        <v>202245-FFC-ODC</v>
      </c>
      <c r="C214">
        <v>2022</v>
      </c>
      <c r="D214">
        <v>45</v>
      </c>
      <c r="E214">
        <v>5</v>
      </c>
      <c r="F214" t="s">
        <v>9</v>
      </c>
      <c r="G214">
        <v>0</v>
      </c>
      <c r="H214" t="str">
        <f>IFERROR(VLOOKUP(E214,DC_Xref!A:B,2,FALSE),"")</f>
        <v>FFC-ODC</v>
      </c>
      <c r="I214">
        <f t="shared" si="11"/>
        <v>202245</v>
      </c>
    </row>
    <row r="215" spans="1:9" x14ac:dyDescent="0.3">
      <c r="A215" t="str">
        <f t="shared" si="9"/>
        <v>2022-WEO</v>
      </c>
      <c r="B215" t="str">
        <f t="shared" si="10"/>
        <v>202245-WEO</v>
      </c>
      <c r="C215">
        <v>2022</v>
      </c>
      <c r="D215">
        <v>45</v>
      </c>
      <c r="E215">
        <v>6</v>
      </c>
      <c r="F215" t="s">
        <v>10</v>
      </c>
      <c r="G215">
        <v>4724981.1000000099</v>
      </c>
      <c r="H215" t="str">
        <f>IFERROR(VLOOKUP(E215,DC_Xref!A:B,2,FALSE),"")</f>
        <v>WEO</v>
      </c>
      <c r="I215">
        <f t="shared" si="11"/>
        <v>202245</v>
      </c>
    </row>
    <row r="216" spans="1:9" x14ac:dyDescent="0.3">
      <c r="A216" t="str">
        <f t="shared" si="9"/>
        <v>2022-OCC</v>
      </c>
      <c r="B216" t="str">
        <f t="shared" si="10"/>
        <v>202245-OCC</v>
      </c>
      <c r="C216">
        <v>2022</v>
      </c>
      <c r="D216">
        <v>45</v>
      </c>
      <c r="E216">
        <v>7</v>
      </c>
      <c r="F216" t="s">
        <v>11</v>
      </c>
      <c r="G216">
        <v>8819968.5</v>
      </c>
      <c r="H216" t="str">
        <f>IFERROR(VLOOKUP(E216,DC_Xref!A:B,2,FALSE),"")</f>
        <v>OCC</v>
      </c>
      <c r="I216">
        <f t="shared" si="11"/>
        <v>202245</v>
      </c>
    </row>
    <row r="217" spans="1:9" x14ac:dyDescent="0.3">
      <c r="A217" t="str">
        <f t="shared" si="9"/>
        <v>2022-SFS</v>
      </c>
      <c r="B217" t="str">
        <f t="shared" si="10"/>
        <v>202245-</v>
      </c>
      <c r="C217">
        <v>2022</v>
      </c>
      <c r="D217">
        <v>45</v>
      </c>
      <c r="E217">
        <v>8</v>
      </c>
      <c r="F217" t="s">
        <v>12</v>
      </c>
      <c r="G217">
        <v>0</v>
      </c>
      <c r="H217" t="str">
        <f>IFERROR(VLOOKUP(E217,DC_Xref!A:B,2,FALSE),"")</f>
        <v/>
      </c>
      <c r="I217">
        <f t="shared" si="11"/>
        <v>202245</v>
      </c>
    </row>
    <row r="218" spans="1:9" x14ac:dyDescent="0.3">
      <c r="A218" t="str">
        <f t="shared" si="9"/>
        <v>2022-OFC</v>
      </c>
      <c r="B218" t="str">
        <f t="shared" si="10"/>
        <v>202246-OFC</v>
      </c>
      <c r="C218">
        <v>2022</v>
      </c>
      <c r="D218">
        <v>46</v>
      </c>
      <c r="E218">
        <v>1</v>
      </c>
      <c r="F218" t="s">
        <v>5</v>
      </c>
      <c r="G218">
        <v>4410012.6000000099</v>
      </c>
      <c r="H218" t="str">
        <f>IFERROR(VLOOKUP(E218,DC_Xref!A:B,2,FALSE),"")</f>
        <v>OFC</v>
      </c>
      <c r="I218">
        <f t="shared" si="11"/>
        <v>202246</v>
      </c>
    </row>
    <row r="219" spans="1:9" x14ac:dyDescent="0.3">
      <c r="A219" t="str">
        <f t="shared" si="9"/>
        <v>2022-TFC</v>
      </c>
      <c r="B219" t="str">
        <f t="shared" si="10"/>
        <v>202246-TFC</v>
      </c>
      <c r="C219">
        <v>2022</v>
      </c>
      <c r="D219">
        <v>46</v>
      </c>
      <c r="E219">
        <v>2</v>
      </c>
      <c r="F219" t="s">
        <v>6</v>
      </c>
      <c r="G219">
        <v>4724981.1000000099</v>
      </c>
      <c r="H219" t="str">
        <f>IFERROR(VLOOKUP(E219,DC_Xref!A:B,2,FALSE),"")</f>
        <v>TFC</v>
      </c>
      <c r="I219">
        <f t="shared" si="11"/>
        <v>202246</v>
      </c>
    </row>
    <row r="220" spans="1:9" x14ac:dyDescent="0.3">
      <c r="A220" t="str">
        <f t="shared" si="9"/>
        <v>2022-WFC</v>
      </c>
      <c r="B220" t="str">
        <f t="shared" si="10"/>
        <v>202246-WFC</v>
      </c>
      <c r="C220">
        <v>2022</v>
      </c>
      <c r="D220">
        <v>46</v>
      </c>
      <c r="E220">
        <v>3</v>
      </c>
      <c r="F220" t="s">
        <v>7</v>
      </c>
      <c r="G220">
        <v>0</v>
      </c>
      <c r="H220" t="str">
        <f>IFERROR(VLOOKUP(E220,DC_Xref!A:B,2,FALSE),"")</f>
        <v>WFC</v>
      </c>
      <c r="I220">
        <f t="shared" si="11"/>
        <v>202246</v>
      </c>
    </row>
    <row r="221" spans="1:9" x14ac:dyDescent="0.3">
      <c r="A221" t="str">
        <f t="shared" si="9"/>
        <v>2022-EAO</v>
      </c>
      <c r="B221" t="str">
        <f t="shared" si="10"/>
        <v>202246-EAO</v>
      </c>
      <c r="C221">
        <v>2022</v>
      </c>
      <c r="D221">
        <v>46</v>
      </c>
      <c r="E221">
        <v>4</v>
      </c>
      <c r="F221" t="s">
        <v>8</v>
      </c>
      <c r="G221">
        <v>3150025.2</v>
      </c>
      <c r="H221" t="str">
        <f>IFERROR(VLOOKUP(E221,DC_Xref!A:B,2,FALSE),"")</f>
        <v>EAO</v>
      </c>
      <c r="I221">
        <f t="shared" si="11"/>
        <v>202246</v>
      </c>
    </row>
    <row r="222" spans="1:9" x14ac:dyDescent="0.3">
      <c r="A222" t="str">
        <f t="shared" si="9"/>
        <v>2022-ODC</v>
      </c>
      <c r="B222" t="str">
        <f t="shared" si="10"/>
        <v>202246-FFC-ODC</v>
      </c>
      <c r="C222">
        <v>2022</v>
      </c>
      <c r="D222">
        <v>46</v>
      </c>
      <c r="E222">
        <v>5</v>
      </c>
      <c r="F222" t="s">
        <v>9</v>
      </c>
      <c r="G222">
        <v>0</v>
      </c>
      <c r="H222" t="str">
        <f>IFERROR(VLOOKUP(E222,DC_Xref!A:B,2,FALSE),"")</f>
        <v>FFC-ODC</v>
      </c>
      <c r="I222">
        <f t="shared" si="11"/>
        <v>202246</v>
      </c>
    </row>
    <row r="223" spans="1:9" x14ac:dyDescent="0.3">
      <c r="A223" t="str">
        <f t="shared" si="9"/>
        <v>2022-WEO</v>
      </c>
      <c r="B223" t="str">
        <f t="shared" si="10"/>
        <v>202246-WEO</v>
      </c>
      <c r="C223">
        <v>2022</v>
      </c>
      <c r="D223">
        <v>46</v>
      </c>
      <c r="E223">
        <v>6</v>
      </c>
      <c r="F223" t="s">
        <v>10</v>
      </c>
      <c r="G223">
        <v>4724981.1000000099</v>
      </c>
      <c r="H223" t="str">
        <f>IFERROR(VLOOKUP(E223,DC_Xref!A:B,2,FALSE),"")</f>
        <v>WEO</v>
      </c>
      <c r="I223">
        <f t="shared" si="11"/>
        <v>202246</v>
      </c>
    </row>
    <row r="224" spans="1:9" x14ac:dyDescent="0.3">
      <c r="A224" t="str">
        <f t="shared" si="9"/>
        <v>2022-OCC</v>
      </c>
      <c r="B224" t="str">
        <f t="shared" si="10"/>
        <v>202246-OCC</v>
      </c>
      <c r="C224">
        <v>2022</v>
      </c>
      <c r="D224">
        <v>46</v>
      </c>
      <c r="E224">
        <v>7</v>
      </c>
      <c r="F224" t="s">
        <v>11</v>
      </c>
      <c r="G224">
        <v>8819968.5</v>
      </c>
      <c r="H224" t="str">
        <f>IFERROR(VLOOKUP(E224,DC_Xref!A:B,2,FALSE),"")</f>
        <v>OCC</v>
      </c>
      <c r="I224">
        <f t="shared" si="11"/>
        <v>202246</v>
      </c>
    </row>
    <row r="225" spans="1:9" x14ac:dyDescent="0.3">
      <c r="A225" t="str">
        <f t="shared" si="9"/>
        <v>2022-SFS</v>
      </c>
      <c r="B225" t="str">
        <f t="shared" si="10"/>
        <v>202246-</v>
      </c>
      <c r="C225">
        <v>2022</v>
      </c>
      <c r="D225">
        <v>46</v>
      </c>
      <c r="E225">
        <v>8</v>
      </c>
      <c r="F225" t="s">
        <v>12</v>
      </c>
      <c r="G225">
        <v>0</v>
      </c>
      <c r="H225" t="str">
        <f>IFERROR(VLOOKUP(E225,DC_Xref!A:B,2,FALSE),"")</f>
        <v/>
      </c>
      <c r="I225">
        <f t="shared" si="11"/>
        <v>202246</v>
      </c>
    </row>
    <row r="226" spans="1:9" x14ac:dyDescent="0.3">
      <c r="A226" t="str">
        <f t="shared" si="9"/>
        <v>2022-OFC</v>
      </c>
      <c r="B226" t="str">
        <f t="shared" si="10"/>
        <v>202247-OFC</v>
      </c>
      <c r="C226">
        <v>2022</v>
      </c>
      <c r="D226">
        <v>47</v>
      </c>
      <c r="E226">
        <v>1</v>
      </c>
      <c r="F226" t="s">
        <v>5</v>
      </c>
      <c r="G226">
        <v>4410012.6000000099</v>
      </c>
      <c r="H226" t="str">
        <f>IFERROR(VLOOKUP(E226,DC_Xref!A:B,2,FALSE),"")</f>
        <v>OFC</v>
      </c>
      <c r="I226">
        <f t="shared" si="11"/>
        <v>202247</v>
      </c>
    </row>
    <row r="227" spans="1:9" x14ac:dyDescent="0.3">
      <c r="A227" t="str">
        <f t="shared" si="9"/>
        <v>2022-TFC</v>
      </c>
      <c r="B227" t="str">
        <f t="shared" si="10"/>
        <v>202247-TFC</v>
      </c>
      <c r="C227">
        <v>2022</v>
      </c>
      <c r="D227">
        <v>47</v>
      </c>
      <c r="E227">
        <v>2</v>
      </c>
      <c r="F227" t="s">
        <v>6</v>
      </c>
      <c r="G227">
        <v>4724981.1000000099</v>
      </c>
      <c r="H227" t="str">
        <f>IFERROR(VLOOKUP(E227,DC_Xref!A:B,2,FALSE),"")</f>
        <v>TFC</v>
      </c>
      <c r="I227">
        <f t="shared" si="11"/>
        <v>202247</v>
      </c>
    </row>
    <row r="228" spans="1:9" x14ac:dyDescent="0.3">
      <c r="A228" t="str">
        <f t="shared" si="9"/>
        <v>2022-WFC</v>
      </c>
      <c r="B228" t="str">
        <f t="shared" si="10"/>
        <v>202247-WFC</v>
      </c>
      <c r="C228">
        <v>2022</v>
      </c>
      <c r="D228">
        <v>47</v>
      </c>
      <c r="E228">
        <v>3</v>
      </c>
      <c r="F228" t="s">
        <v>7</v>
      </c>
      <c r="G228">
        <v>0</v>
      </c>
      <c r="H228" t="str">
        <f>IFERROR(VLOOKUP(E228,DC_Xref!A:B,2,FALSE),"")</f>
        <v>WFC</v>
      </c>
      <c r="I228">
        <f t="shared" si="11"/>
        <v>202247</v>
      </c>
    </row>
    <row r="229" spans="1:9" x14ac:dyDescent="0.3">
      <c r="A229" t="str">
        <f t="shared" si="9"/>
        <v>2022-EAO</v>
      </c>
      <c r="B229" t="str">
        <f t="shared" si="10"/>
        <v>202247-EAO</v>
      </c>
      <c r="C229">
        <v>2022</v>
      </c>
      <c r="D229">
        <v>47</v>
      </c>
      <c r="E229">
        <v>4</v>
      </c>
      <c r="F229" t="s">
        <v>8</v>
      </c>
      <c r="G229">
        <v>3150025.2</v>
      </c>
      <c r="H229" t="str">
        <f>IFERROR(VLOOKUP(E229,DC_Xref!A:B,2,FALSE),"")</f>
        <v>EAO</v>
      </c>
      <c r="I229">
        <f t="shared" si="11"/>
        <v>202247</v>
      </c>
    </row>
    <row r="230" spans="1:9" x14ac:dyDescent="0.3">
      <c r="A230" t="str">
        <f t="shared" si="9"/>
        <v>2022-ODC</v>
      </c>
      <c r="B230" t="str">
        <f t="shared" si="10"/>
        <v>202247-FFC-ODC</v>
      </c>
      <c r="C230">
        <v>2022</v>
      </c>
      <c r="D230">
        <v>47</v>
      </c>
      <c r="E230">
        <v>5</v>
      </c>
      <c r="F230" t="s">
        <v>9</v>
      </c>
      <c r="G230">
        <v>0</v>
      </c>
      <c r="H230" t="str">
        <f>IFERROR(VLOOKUP(E230,DC_Xref!A:B,2,FALSE),"")</f>
        <v>FFC-ODC</v>
      </c>
      <c r="I230">
        <f t="shared" si="11"/>
        <v>202247</v>
      </c>
    </row>
    <row r="231" spans="1:9" x14ac:dyDescent="0.3">
      <c r="A231" t="str">
        <f t="shared" si="9"/>
        <v>2022-WEO</v>
      </c>
      <c r="B231" t="str">
        <f t="shared" si="10"/>
        <v>202247-WEO</v>
      </c>
      <c r="C231">
        <v>2022</v>
      </c>
      <c r="D231">
        <v>47</v>
      </c>
      <c r="E231">
        <v>6</v>
      </c>
      <c r="F231" t="s">
        <v>10</v>
      </c>
      <c r="G231">
        <v>4724981.1000000099</v>
      </c>
      <c r="H231" t="str">
        <f>IFERROR(VLOOKUP(E231,DC_Xref!A:B,2,FALSE),"")</f>
        <v>WEO</v>
      </c>
      <c r="I231">
        <f t="shared" si="11"/>
        <v>202247</v>
      </c>
    </row>
    <row r="232" spans="1:9" x14ac:dyDescent="0.3">
      <c r="A232" t="str">
        <f t="shared" si="9"/>
        <v>2022-OCC</v>
      </c>
      <c r="B232" t="str">
        <f t="shared" si="10"/>
        <v>202247-OCC</v>
      </c>
      <c r="C232">
        <v>2022</v>
      </c>
      <c r="D232">
        <v>47</v>
      </c>
      <c r="E232">
        <v>7</v>
      </c>
      <c r="F232" t="s">
        <v>11</v>
      </c>
      <c r="G232">
        <v>8819968.5</v>
      </c>
      <c r="H232" t="str">
        <f>IFERROR(VLOOKUP(E232,DC_Xref!A:B,2,FALSE),"")</f>
        <v>OCC</v>
      </c>
      <c r="I232">
        <f t="shared" si="11"/>
        <v>202247</v>
      </c>
    </row>
    <row r="233" spans="1:9" x14ac:dyDescent="0.3">
      <c r="A233" t="str">
        <f t="shared" si="9"/>
        <v>2022-SFS</v>
      </c>
      <c r="B233" t="str">
        <f t="shared" si="10"/>
        <v>202247-</v>
      </c>
      <c r="C233">
        <v>2022</v>
      </c>
      <c r="D233">
        <v>47</v>
      </c>
      <c r="E233">
        <v>8</v>
      </c>
      <c r="F233" t="s">
        <v>12</v>
      </c>
      <c r="G233">
        <v>0</v>
      </c>
      <c r="H233" t="str">
        <f>IFERROR(VLOOKUP(E233,DC_Xref!A:B,2,FALSE),"")</f>
        <v/>
      </c>
      <c r="I233">
        <f t="shared" si="11"/>
        <v>202247</v>
      </c>
    </row>
    <row r="234" spans="1:9" x14ac:dyDescent="0.3">
      <c r="A234" t="str">
        <f t="shared" si="9"/>
        <v>2022-OFC</v>
      </c>
      <c r="B234" t="str">
        <f t="shared" si="10"/>
        <v>202248-OFC</v>
      </c>
      <c r="C234">
        <v>2022</v>
      </c>
      <c r="D234">
        <v>48</v>
      </c>
      <c r="E234">
        <v>1</v>
      </c>
      <c r="F234" t="s">
        <v>5</v>
      </c>
      <c r="G234">
        <v>0</v>
      </c>
      <c r="H234" t="str">
        <f>IFERROR(VLOOKUP(E234,DC_Xref!A:B,2,FALSE),"")</f>
        <v>OFC</v>
      </c>
      <c r="I234">
        <f t="shared" si="11"/>
        <v>202248</v>
      </c>
    </row>
    <row r="235" spans="1:9" x14ac:dyDescent="0.3">
      <c r="A235" t="str">
        <f t="shared" si="9"/>
        <v>2022-TFC</v>
      </c>
      <c r="B235" t="str">
        <f t="shared" si="10"/>
        <v>202248-TFC</v>
      </c>
      <c r="C235">
        <v>2022</v>
      </c>
      <c r="D235">
        <v>48</v>
      </c>
      <c r="E235">
        <v>2</v>
      </c>
      <c r="F235" t="s">
        <v>6</v>
      </c>
      <c r="G235">
        <v>0</v>
      </c>
      <c r="H235" t="str">
        <f>IFERROR(VLOOKUP(E235,DC_Xref!A:B,2,FALSE),"")</f>
        <v>TFC</v>
      </c>
      <c r="I235">
        <f t="shared" si="11"/>
        <v>202248</v>
      </c>
    </row>
    <row r="236" spans="1:9" x14ac:dyDescent="0.3">
      <c r="A236" t="str">
        <f t="shared" si="9"/>
        <v>2022-WFC</v>
      </c>
      <c r="B236" t="str">
        <f t="shared" si="10"/>
        <v>202248-WFC</v>
      </c>
      <c r="C236">
        <v>2022</v>
      </c>
      <c r="D236">
        <v>48</v>
      </c>
      <c r="E236">
        <v>3</v>
      </c>
      <c r="F236" t="s">
        <v>7</v>
      </c>
      <c r="G236">
        <v>0</v>
      </c>
      <c r="H236" t="str">
        <f>IFERROR(VLOOKUP(E236,DC_Xref!A:B,2,FALSE),"")</f>
        <v>WFC</v>
      </c>
      <c r="I236">
        <f t="shared" si="11"/>
        <v>202248</v>
      </c>
    </row>
    <row r="237" spans="1:9" x14ac:dyDescent="0.3">
      <c r="A237" t="str">
        <f t="shared" si="9"/>
        <v>2022-EAO</v>
      </c>
      <c r="B237" t="str">
        <f t="shared" si="10"/>
        <v>202248-EAO</v>
      </c>
      <c r="C237">
        <v>2022</v>
      </c>
      <c r="D237">
        <v>48</v>
      </c>
      <c r="E237">
        <v>4</v>
      </c>
      <c r="F237" t="s">
        <v>8</v>
      </c>
      <c r="G237">
        <v>0</v>
      </c>
      <c r="H237" t="str">
        <f>IFERROR(VLOOKUP(E237,DC_Xref!A:B,2,FALSE),"")</f>
        <v>EAO</v>
      </c>
      <c r="I237">
        <f t="shared" si="11"/>
        <v>202248</v>
      </c>
    </row>
    <row r="238" spans="1:9" x14ac:dyDescent="0.3">
      <c r="A238" t="str">
        <f t="shared" si="9"/>
        <v>2022-ODC</v>
      </c>
      <c r="B238" t="str">
        <f t="shared" si="10"/>
        <v>202248-FFC-ODC</v>
      </c>
      <c r="C238">
        <v>2022</v>
      </c>
      <c r="D238">
        <v>48</v>
      </c>
      <c r="E238">
        <v>5</v>
      </c>
      <c r="F238" t="s">
        <v>9</v>
      </c>
      <c r="G238">
        <v>0</v>
      </c>
      <c r="H238" t="str">
        <f>IFERROR(VLOOKUP(E238,DC_Xref!A:B,2,FALSE),"")</f>
        <v>FFC-ODC</v>
      </c>
      <c r="I238">
        <f t="shared" si="11"/>
        <v>202248</v>
      </c>
    </row>
    <row r="239" spans="1:9" x14ac:dyDescent="0.3">
      <c r="A239" t="str">
        <f t="shared" si="9"/>
        <v>2022-WEO</v>
      </c>
      <c r="B239" t="str">
        <f t="shared" si="10"/>
        <v>202248-WEO</v>
      </c>
      <c r="C239">
        <v>2022</v>
      </c>
      <c r="D239">
        <v>48</v>
      </c>
      <c r="E239">
        <v>6</v>
      </c>
      <c r="F239" t="s">
        <v>10</v>
      </c>
      <c r="G239">
        <v>0</v>
      </c>
      <c r="H239" t="str">
        <f>IFERROR(VLOOKUP(E239,DC_Xref!A:B,2,FALSE),"")</f>
        <v>WEO</v>
      </c>
      <c r="I239">
        <f t="shared" si="11"/>
        <v>202248</v>
      </c>
    </row>
    <row r="240" spans="1:9" x14ac:dyDescent="0.3">
      <c r="A240" t="str">
        <f t="shared" si="9"/>
        <v>2022-OCC</v>
      </c>
      <c r="B240" t="str">
        <f t="shared" si="10"/>
        <v>202248-OCC</v>
      </c>
      <c r="C240">
        <v>2022</v>
      </c>
      <c r="D240">
        <v>48</v>
      </c>
      <c r="E240">
        <v>7</v>
      </c>
      <c r="F240" t="s">
        <v>11</v>
      </c>
      <c r="G240">
        <v>0</v>
      </c>
      <c r="H240" t="str">
        <f>IFERROR(VLOOKUP(E240,DC_Xref!A:B,2,FALSE),"")</f>
        <v>OCC</v>
      </c>
      <c r="I240">
        <f t="shared" si="11"/>
        <v>202248</v>
      </c>
    </row>
    <row r="241" spans="1:9" x14ac:dyDescent="0.3">
      <c r="A241" t="str">
        <f t="shared" si="9"/>
        <v>2022-SFS</v>
      </c>
      <c r="B241" t="str">
        <f t="shared" si="10"/>
        <v>202248-</v>
      </c>
      <c r="C241">
        <v>2022</v>
      </c>
      <c r="D241">
        <v>48</v>
      </c>
      <c r="E241">
        <v>8</v>
      </c>
      <c r="F241" t="s">
        <v>12</v>
      </c>
      <c r="G241">
        <v>0</v>
      </c>
      <c r="H241" t="str">
        <f>IFERROR(VLOOKUP(E241,DC_Xref!A:B,2,FALSE),"")</f>
        <v/>
      </c>
      <c r="I241">
        <f t="shared" si="11"/>
        <v>202248</v>
      </c>
    </row>
    <row r="242" spans="1:9" x14ac:dyDescent="0.3">
      <c r="A242" t="str">
        <f t="shared" si="9"/>
        <v>2023-OFC</v>
      </c>
      <c r="B242" t="str">
        <f t="shared" si="10"/>
        <v>202343-OFC</v>
      </c>
      <c r="C242">
        <v>2023</v>
      </c>
      <c r="D242">
        <v>43</v>
      </c>
      <c r="E242">
        <v>1</v>
      </c>
      <c r="F242" t="s">
        <v>5</v>
      </c>
      <c r="G242">
        <v>4274982.9000000004</v>
      </c>
      <c r="H242" t="str">
        <f>IFERROR(VLOOKUP(E242,DC_Xref!A:B,2,FALSE),"")</f>
        <v>OFC</v>
      </c>
      <c r="I242">
        <f t="shared" si="11"/>
        <v>202343</v>
      </c>
    </row>
    <row r="243" spans="1:9" x14ac:dyDescent="0.3">
      <c r="A243" t="str">
        <f t="shared" si="9"/>
        <v>2023-TFC</v>
      </c>
      <c r="B243" t="str">
        <f t="shared" si="10"/>
        <v>202343-TFC</v>
      </c>
      <c r="C243">
        <v>2023</v>
      </c>
      <c r="D243">
        <v>43</v>
      </c>
      <c r="E243">
        <v>2</v>
      </c>
      <c r="F243" t="s">
        <v>6</v>
      </c>
      <c r="G243">
        <v>4274982.9000000004</v>
      </c>
      <c r="H243" t="str">
        <f>IFERROR(VLOOKUP(E243,DC_Xref!A:B,2,FALSE),"")</f>
        <v>TFC</v>
      </c>
      <c r="I243">
        <f t="shared" si="11"/>
        <v>202343</v>
      </c>
    </row>
    <row r="244" spans="1:9" x14ac:dyDescent="0.3">
      <c r="A244" t="str">
        <f t="shared" si="9"/>
        <v>2023-WFC</v>
      </c>
      <c r="B244" t="str">
        <f t="shared" si="10"/>
        <v>202343-WFC</v>
      </c>
      <c r="C244">
        <v>2023</v>
      </c>
      <c r="D244">
        <v>43</v>
      </c>
      <c r="E244">
        <v>3</v>
      </c>
      <c r="F244" t="s">
        <v>7</v>
      </c>
      <c r="G244">
        <v>0</v>
      </c>
      <c r="H244" t="str">
        <f>IFERROR(VLOOKUP(E244,DC_Xref!A:B,2,FALSE),"")</f>
        <v>WFC</v>
      </c>
      <c r="I244">
        <f t="shared" si="11"/>
        <v>202343</v>
      </c>
    </row>
    <row r="245" spans="1:9" x14ac:dyDescent="0.3">
      <c r="A245" t="str">
        <f t="shared" si="9"/>
        <v>2023-EAO</v>
      </c>
      <c r="B245" t="str">
        <f t="shared" si="10"/>
        <v>202343-EAO</v>
      </c>
      <c r="C245">
        <v>2023</v>
      </c>
      <c r="D245">
        <v>43</v>
      </c>
      <c r="E245">
        <v>4</v>
      </c>
      <c r="F245" t="s">
        <v>8</v>
      </c>
      <c r="G245">
        <v>2850022.8</v>
      </c>
      <c r="H245" t="str">
        <f>IFERROR(VLOOKUP(E245,DC_Xref!A:B,2,FALSE),"")</f>
        <v>EAO</v>
      </c>
      <c r="I245">
        <f t="shared" si="11"/>
        <v>202343</v>
      </c>
    </row>
    <row r="246" spans="1:9" x14ac:dyDescent="0.3">
      <c r="A246" t="str">
        <f t="shared" si="9"/>
        <v>2023-ODC</v>
      </c>
      <c r="B246" t="str">
        <f t="shared" si="10"/>
        <v>202343-FFC-ODC</v>
      </c>
      <c r="C246">
        <v>2023</v>
      </c>
      <c r="D246">
        <v>43</v>
      </c>
      <c r="E246">
        <v>5</v>
      </c>
      <c r="F246" t="s">
        <v>9</v>
      </c>
      <c r="G246">
        <v>0</v>
      </c>
      <c r="H246" t="str">
        <f>IFERROR(VLOOKUP(E246,DC_Xref!A:B,2,FALSE),"")</f>
        <v>FFC-ODC</v>
      </c>
      <c r="I246">
        <f t="shared" si="11"/>
        <v>202343</v>
      </c>
    </row>
    <row r="247" spans="1:9" x14ac:dyDescent="0.3">
      <c r="A247" t="str">
        <f t="shared" si="9"/>
        <v>2023-WEO</v>
      </c>
      <c r="B247" t="str">
        <f t="shared" si="10"/>
        <v>202343-WEO</v>
      </c>
      <c r="C247">
        <v>2023</v>
      </c>
      <c r="D247">
        <v>43</v>
      </c>
      <c r="E247">
        <v>6</v>
      </c>
      <c r="F247" t="s">
        <v>10</v>
      </c>
      <c r="G247">
        <v>4274982.9000000004</v>
      </c>
      <c r="H247" t="str">
        <f>IFERROR(VLOOKUP(E247,DC_Xref!A:B,2,FALSE),"")</f>
        <v>WEO</v>
      </c>
      <c r="I247">
        <f t="shared" si="11"/>
        <v>202343</v>
      </c>
    </row>
    <row r="248" spans="1:9" x14ac:dyDescent="0.3">
      <c r="A248" t="str">
        <f t="shared" si="9"/>
        <v>2023-OCC</v>
      </c>
      <c r="B248" t="str">
        <f t="shared" si="10"/>
        <v>202343-OCC</v>
      </c>
      <c r="C248">
        <v>2023</v>
      </c>
      <c r="D248">
        <v>43</v>
      </c>
      <c r="E248">
        <v>7</v>
      </c>
      <c r="F248" t="s">
        <v>11</v>
      </c>
      <c r="G248">
        <v>13109971.5</v>
      </c>
      <c r="H248" t="str">
        <f>IFERROR(VLOOKUP(E248,DC_Xref!A:B,2,FALSE),"")</f>
        <v>OCC</v>
      </c>
      <c r="I248">
        <f t="shared" si="11"/>
        <v>202343</v>
      </c>
    </row>
    <row r="249" spans="1:9" x14ac:dyDescent="0.3">
      <c r="A249" t="str">
        <f t="shared" si="9"/>
        <v>2023-SFS</v>
      </c>
      <c r="B249" t="str">
        <f t="shared" si="10"/>
        <v>202343-</v>
      </c>
      <c r="C249">
        <v>2023</v>
      </c>
      <c r="D249">
        <v>43</v>
      </c>
      <c r="E249">
        <v>8</v>
      </c>
      <c r="F249" t="s">
        <v>12</v>
      </c>
      <c r="G249">
        <v>0</v>
      </c>
      <c r="H249" t="str">
        <f>IFERROR(VLOOKUP(E249,DC_Xref!A:B,2,FALSE),"")</f>
        <v/>
      </c>
      <c r="I249">
        <f t="shared" si="11"/>
        <v>202343</v>
      </c>
    </row>
    <row r="250" spans="1:9" x14ac:dyDescent="0.3">
      <c r="A250" t="str">
        <f t="shared" si="9"/>
        <v>2023-OFC</v>
      </c>
      <c r="B250" t="str">
        <f t="shared" si="10"/>
        <v>202344-OFC</v>
      </c>
      <c r="C250">
        <v>2023</v>
      </c>
      <c r="D250">
        <v>44</v>
      </c>
      <c r="E250">
        <v>1</v>
      </c>
      <c r="F250" t="s">
        <v>5</v>
      </c>
      <c r="G250">
        <v>4724981.1000000099</v>
      </c>
      <c r="H250" t="str">
        <f>IFERROR(VLOOKUP(E250,DC_Xref!A:B,2,FALSE),"")</f>
        <v>OFC</v>
      </c>
      <c r="I250">
        <f t="shared" si="11"/>
        <v>202344</v>
      </c>
    </row>
    <row r="251" spans="1:9" x14ac:dyDescent="0.3">
      <c r="A251" t="str">
        <f t="shared" si="9"/>
        <v>2023-TFC</v>
      </c>
      <c r="B251" t="str">
        <f t="shared" si="10"/>
        <v>202344-TFC</v>
      </c>
      <c r="C251">
        <v>2023</v>
      </c>
      <c r="D251">
        <v>44</v>
      </c>
      <c r="E251">
        <v>2</v>
      </c>
      <c r="F251" t="s">
        <v>6</v>
      </c>
      <c r="G251">
        <v>4724981.1000000099</v>
      </c>
      <c r="H251" t="str">
        <f>IFERROR(VLOOKUP(E251,DC_Xref!A:B,2,FALSE),"")</f>
        <v>TFC</v>
      </c>
      <c r="I251">
        <f t="shared" si="11"/>
        <v>202344</v>
      </c>
    </row>
    <row r="252" spans="1:9" x14ac:dyDescent="0.3">
      <c r="A252" t="str">
        <f t="shared" si="9"/>
        <v>2023-WFC</v>
      </c>
      <c r="B252" t="str">
        <f t="shared" si="10"/>
        <v>202344-WFC</v>
      </c>
      <c r="C252">
        <v>2023</v>
      </c>
      <c r="D252">
        <v>44</v>
      </c>
      <c r="E252">
        <v>3</v>
      </c>
      <c r="F252" t="s">
        <v>7</v>
      </c>
      <c r="G252">
        <v>0</v>
      </c>
      <c r="H252" t="str">
        <f>IFERROR(VLOOKUP(E252,DC_Xref!A:B,2,FALSE),"")</f>
        <v>WFC</v>
      </c>
      <c r="I252">
        <f t="shared" si="11"/>
        <v>202344</v>
      </c>
    </row>
    <row r="253" spans="1:9" x14ac:dyDescent="0.3">
      <c r="A253" t="str">
        <f t="shared" si="9"/>
        <v>2023-EAO</v>
      </c>
      <c r="B253" t="str">
        <f t="shared" si="10"/>
        <v>202344-EAO</v>
      </c>
      <c r="C253">
        <v>2023</v>
      </c>
      <c r="D253">
        <v>44</v>
      </c>
      <c r="E253">
        <v>4</v>
      </c>
      <c r="F253" t="s">
        <v>8</v>
      </c>
      <c r="G253">
        <v>3150025.2</v>
      </c>
      <c r="H253" t="str">
        <f>IFERROR(VLOOKUP(E253,DC_Xref!A:B,2,FALSE),"")</f>
        <v>EAO</v>
      </c>
      <c r="I253">
        <f t="shared" si="11"/>
        <v>202344</v>
      </c>
    </row>
    <row r="254" spans="1:9" x14ac:dyDescent="0.3">
      <c r="A254" t="str">
        <f t="shared" si="9"/>
        <v>2023-ODC</v>
      </c>
      <c r="B254" t="str">
        <f t="shared" si="10"/>
        <v>202344-FFC-ODC</v>
      </c>
      <c r="C254">
        <v>2023</v>
      </c>
      <c r="D254">
        <v>44</v>
      </c>
      <c r="E254">
        <v>5</v>
      </c>
      <c r="F254" t="s">
        <v>9</v>
      </c>
      <c r="G254">
        <v>0</v>
      </c>
      <c r="H254" t="str">
        <f>IFERROR(VLOOKUP(E254,DC_Xref!A:B,2,FALSE),"")</f>
        <v>FFC-ODC</v>
      </c>
      <c r="I254">
        <f t="shared" si="11"/>
        <v>202344</v>
      </c>
    </row>
    <row r="255" spans="1:9" x14ac:dyDescent="0.3">
      <c r="A255" t="str">
        <f t="shared" si="9"/>
        <v>2023-WEO</v>
      </c>
      <c r="B255" t="str">
        <f t="shared" si="10"/>
        <v>202344-WEO</v>
      </c>
      <c r="C255">
        <v>2023</v>
      </c>
      <c r="D255">
        <v>44</v>
      </c>
      <c r="E255">
        <v>6</v>
      </c>
      <c r="F255" t="s">
        <v>10</v>
      </c>
      <c r="G255">
        <v>4724981.1000000099</v>
      </c>
      <c r="H255" t="str">
        <f>IFERROR(VLOOKUP(E255,DC_Xref!A:B,2,FALSE),"")</f>
        <v>WEO</v>
      </c>
      <c r="I255">
        <f t="shared" si="11"/>
        <v>202344</v>
      </c>
    </row>
    <row r="256" spans="1:9" x14ac:dyDescent="0.3">
      <c r="A256" t="str">
        <f t="shared" si="9"/>
        <v>2023-OCC</v>
      </c>
      <c r="B256" t="str">
        <f t="shared" si="10"/>
        <v>202344-OCC</v>
      </c>
      <c r="C256">
        <v>2023</v>
      </c>
      <c r="D256">
        <v>44</v>
      </c>
      <c r="E256">
        <v>7</v>
      </c>
      <c r="F256" t="s">
        <v>11</v>
      </c>
      <c r="G256">
        <v>14489968.5</v>
      </c>
      <c r="H256" t="str">
        <f>IFERROR(VLOOKUP(E256,DC_Xref!A:B,2,FALSE),"")</f>
        <v>OCC</v>
      </c>
      <c r="I256">
        <f t="shared" si="11"/>
        <v>202344</v>
      </c>
    </row>
    <row r="257" spans="1:9" x14ac:dyDescent="0.3">
      <c r="A257" t="str">
        <f t="shared" si="9"/>
        <v>2023-SFS</v>
      </c>
      <c r="B257" t="str">
        <f t="shared" si="10"/>
        <v>202344-</v>
      </c>
      <c r="C257">
        <v>2023</v>
      </c>
      <c r="D257">
        <v>44</v>
      </c>
      <c r="E257">
        <v>8</v>
      </c>
      <c r="F257" t="s">
        <v>12</v>
      </c>
      <c r="G257">
        <v>0</v>
      </c>
      <c r="H257" t="str">
        <f>IFERROR(VLOOKUP(E257,DC_Xref!A:B,2,FALSE),"")</f>
        <v/>
      </c>
      <c r="I257">
        <f t="shared" si="11"/>
        <v>202344</v>
      </c>
    </row>
    <row r="258" spans="1:9" x14ac:dyDescent="0.3">
      <c r="A258" t="str">
        <f t="shared" ref="A258:A321" si="12">C258&amp;"-"&amp;F258</f>
        <v>2023-OFC</v>
      </c>
      <c r="B258" t="str">
        <f t="shared" ref="B258:B321" si="13">I258&amp;"-"&amp;H258</f>
        <v>202345-OFC</v>
      </c>
      <c r="C258">
        <v>2023</v>
      </c>
      <c r="D258">
        <v>45</v>
      </c>
      <c r="E258">
        <v>1</v>
      </c>
      <c r="F258" t="s">
        <v>5</v>
      </c>
      <c r="G258">
        <v>4724981.1000000099</v>
      </c>
      <c r="H258" t="str">
        <f>IFERROR(VLOOKUP(E258,DC_Xref!A:B,2,FALSE),"")</f>
        <v>OFC</v>
      </c>
      <c r="I258">
        <f t="shared" ref="I258:I321" si="14">C258*100+D258</f>
        <v>202345</v>
      </c>
    </row>
    <row r="259" spans="1:9" x14ac:dyDescent="0.3">
      <c r="A259" t="str">
        <f t="shared" si="12"/>
        <v>2023-TFC</v>
      </c>
      <c r="B259" t="str">
        <f t="shared" si="13"/>
        <v>202345-TFC</v>
      </c>
      <c r="C259">
        <v>2023</v>
      </c>
      <c r="D259">
        <v>45</v>
      </c>
      <c r="E259">
        <v>2</v>
      </c>
      <c r="F259" t="s">
        <v>6</v>
      </c>
      <c r="G259">
        <v>4724981.1000000099</v>
      </c>
      <c r="H259" t="str">
        <f>IFERROR(VLOOKUP(E259,DC_Xref!A:B,2,FALSE),"")</f>
        <v>TFC</v>
      </c>
      <c r="I259">
        <f t="shared" si="14"/>
        <v>202345</v>
      </c>
    </row>
    <row r="260" spans="1:9" x14ac:dyDescent="0.3">
      <c r="A260" t="str">
        <f t="shared" si="12"/>
        <v>2023-WFC</v>
      </c>
      <c r="B260" t="str">
        <f t="shared" si="13"/>
        <v>202345-WFC</v>
      </c>
      <c r="C260">
        <v>2023</v>
      </c>
      <c r="D260">
        <v>45</v>
      </c>
      <c r="E260">
        <v>3</v>
      </c>
      <c r="F260" t="s">
        <v>7</v>
      </c>
      <c r="G260">
        <v>0</v>
      </c>
      <c r="H260" t="str">
        <f>IFERROR(VLOOKUP(E260,DC_Xref!A:B,2,FALSE),"")</f>
        <v>WFC</v>
      </c>
      <c r="I260">
        <f t="shared" si="14"/>
        <v>202345</v>
      </c>
    </row>
    <row r="261" spans="1:9" x14ac:dyDescent="0.3">
      <c r="A261" t="str">
        <f t="shared" si="12"/>
        <v>2023-EAO</v>
      </c>
      <c r="B261" t="str">
        <f t="shared" si="13"/>
        <v>202345-EAO</v>
      </c>
      <c r="C261">
        <v>2023</v>
      </c>
      <c r="D261">
        <v>45</v>
      </c>
      <c r="E261">
        <v>4</v>
      </c>
      <c r="F261" t="s">
        <v>8</v>
      </c>
      <c r="G261">
        <v>3150025.2</v>
      </c>
      <c r="H261" t="str">
        <f>IFERROR(VLOOKUP(E261,DC_Xref!A:B,2,FALSE),"")</f>
        <v>EAO</v>
      </c>
      <c r="I261">
        <f t="shared" si="14"/>
        <v>202345</v>
      </c>
    </row>
    <row r="262" spans="1:9" x14ac:dyDescent="0.3">
      <c r="A262" t="str">
        <f t="shared" si="12"/>
        <v>2023-ODC</v>
      </c>
      <c r="B262" t="str">
        <f t="shared" si="13"/>
        <v>202345-FFC-ODC</v>
      </c>
      <c r="C262">
        <v>2023</v>
      </c>
      <c r="D262">
        <v>45</v>
      </c>
      <c r="E262">
        <v>5</v>
      </c>
      <c r="F262" t="s">
        <v>9</v>
      </c>
      <c r="G262">
        <v>0</v>
      </c>
      <c r="H262" t="str">
        <f>IFERROR(VLOOKUP(E262,DC_Xref!A:B,2,FALSE),"")</f>
        <v>FFC-ODC</v>
      </c>
      <c r="I262">
        <f t="shared" si="14"/>
        <v>202345</v>
      </c>
    </row>
    <row r="263" spans="1:9" x14ac:dyDescent="0.3">
      <c r="A263" t="str">
        <f t="shared" si="12"/>
        <v>2023-WEO</v>
      </c>
      <c r="B263" t="str">
        <f t="shared" si="13"/>
        <v>202345-WEO</v>
      </c>
      <c r="C263">
        <v>2023</v>
      </c>
      <c r="D263">
        <v>45</v>
      </c>
      <c r="E263">
        <v>6</v>
      </c>
      <c r="F263" t="s">
        <v>10</v>
      </c>
      <c r="G263">
        <v>4724981.1000000099</v>
      </c>
      <c r="H263" t="str">
        <f>IFERROR(VLOOKUP(E263,DC_Xref!A:B,2,FALSE),"")</f>
        <v>WEO</v>
      </c>
      <c r="I263">
        <f t="shared" si="14"/>
        <v>202345</v>
      </c>
    </row>
    <row r="264" spans="1:9" x14ac:dyDescent="0.3">
      <c r="A264" t="str">
        <f t="shared" si="12"/>
        <v>2023-OCC</v>
      </c>
      <c r="B264" t="str">
        <f t="shared" si="13"/>
        <v>202345-OCC</v>
      </c>
      <c r="C264">
        <v>2023</v>
      </c>
      <c r="D264">
        <v>45</v>
      </c>
      <c r="E264">
        <v>7</v>
      </c>
      <c r="F264" t="s">
        <v>11</v>
      </c>
      <c r="G264">
        <v>14489968.5</v>
      </c>
      <c r="H264" t="str">
        <f>IFERROR(VLOOKUP(E264,DC_Xref!A:B,2,FALSE),"")</f>
        <v>OCC</v>
      </c>
      <c r="I264">
        <f t="shared" si="14"/>
        <v>202345</v>
      </c>
    </row>
    <row r="265" spans="1:9" x14ac:dyDescent="0.3">
      <c r="A265" t="str">
        <f t="shared" si="12"/>
        <v>2023-SFS</v>
      </c>
      <c r="B265" t="str">
        <f t="shared" si="13"/>
        <v>202345-</v>
      </c>
      <c r="C265">
        <v>2023</v>
      </c>
      <c r="D265">
        <v>45</v>
      </c>
      <c r="E265">
        <v>8</v>
      </c>
      <c r="F265" t="s">
        <v>12</v>
      </c>
      <c r="G265">
        <v>0</v>
      </c>
      <c r="H265" t="str">
        <f>IFERROR(VLOOKUP(E265,DC_Xref!A:B,2,FALSE),"")</f>
        <v/>
      </c>
      <c r="I265">
        <f t="shared" si="14"/>
        <v>202345</v>
      </c>
    </row>
    <row r="266" spans="1:9" x14ac:dyDescent="0.3">
      <c r="A266" t="str">
        <f t="shared" si="12"/>
        <v>2023-OFC</v>
      </c>
      <c r="B266" t="str">
        <f t="shared" si="13"/>
        <v>202346-OFC</v>
      </c>
      <c r="C266">
        <v>2023</v>
      </c>
      <c r="D266">
        <v>46</v>
      </c>
      <c r="E266">
        <v>1</v>
      </c>
      <c r="F266" t="s">
        <v>5</v>
      </c>
      <c r="G266">
        <v>4724981.1000000099</v>
      </c>
      <c r="H266" t="str">
        <f>IFERROR(VLOOKUP(E266,DC_Xref!A:B,2,FALSE),"")</f>
        <v>OFC</v>
      </c>
      <c r="I266">
        <f t="shared" si="14"/>
        <v>202346</v>
      </c>
    </row>
    <row r="267" spans="1:9" x14ac:dyDescent="0.3">
      <c r="A267" t="str">
        <f t="shared" si="12"/>
        <v>2023-TFC</v>
      </c>
      <c r="B267" t="str">
        <f t="shared" si="13"/>
        <v>202346-TFC</v>
      </c>
      <c r="C267">
        <v>2023</v>
      </c>
      <c r="D267">
        <v>46</v>
      </c>
      <c r="E267">
        <v>2</v>
      </c>
      <c r="F267" t="s">
        <v>6</v>
      </c>
      <c r="G267">
        <v>4724981.1000000099</v>
      </c>
      <c r="H267" t="str">
        <f>IFERROR(VLOOKUP(E267,DC_Xref!A:B,2,FALSE),"")</f>
        <v>TFC</v>
      </c>
      <c r="I267">
        <f t="shared" si="14"/>
        <v>202346</v>
      </c>
    </row>
    <row r="268" spans="1:9" x14ac:dyDescent="0.3">
      <c r="A268" t="str">
        <f t="shared" si="12"/>
        <v>2023-WFC</v>
      </c>
      <c r="B268" t="str">
        <f t="shared" si="13"/>
        <v>202346-WFC</v>
      </c>
      <c r="C268">
        <v>2023</v>
      </c>
      <c r="D268">
        <v>46</v>
      </c>
      <c r="E268">
        <v>3</v>
      </c>
      <c r="F268" t="s">
        <v>7</v>
      </c>
      <c r="G268">
        <v>0</v>
      </c>
      <c r="H268" t="str">
        <f>IFERROR(VLOOKUP(E268,DC_Xref!A:B,2,FALSE),"")</f>
        <v>WFC</v>
      </c>
      <c r="I268">
        <f t="shared" si="14"/>
        <v>202346</v>
      </c>
    </row>
    <row r="269" spans="1:9" x14ac:dyDescent="0.3">
      <c r="A269" t="str">
        <f t="shared" si="12"/>
        <v>2023-EAO</v>
      </c>
      <c r="B269" t="str">
        <f t="shared" si="13"/>
        <v>202346-EAO</v>
      </c>
      <c r="C269">
        <v>2023</v>
      </c>
      <c r="D269">
        <v>46</v>
      </c>
      <c r="E269">
        <v>4</v>
      </c>
      <c r="F269" t="s">
        <v>8</v>
      </c>
      <c r="G269">
        <v>3150025.2</v>
      </c>
      <c r="H269" t="str">
        <f>IFERROR(VLOOKUP(E269,DC_Xref!A:B,2,FALSE),"")</f>
        <v>EAO</v>
      </c>
      <c r="I269">
        <f t="shared" si="14"/>
        <v>202346</v>
      </c>
    </row>
    <row r="270" spans="1:9" x14ac:dyDescent="0.3">
      <c r="A270" t="str">
        <f t="shared" si="12"/>
        <v>2023-ODC</v>
      </c>
      <c r="B270" t="str">
        <f t="shared" si="13"/>
        <v>202346-FFC-ODC</v>
      </c>
      <c r="C270">
        <v>2023</v>
      </c>
      <c r="D270">
        <v>46</v>
      </c>
      <c r="E270">
        <v>5</v>
      </c>
      <c r="F270" t="s">
        <v>9</v>
      </c>
      <c r="G270">
        <v>0</v>
      </c>
      <c r="H270" t="str">
        <f>IFERROR(VLOOKUP(E270,DC_Xref!A:B,2,FALSE),"")</f>
        <v>FFC-ODC</v>
      </c>
      <c r="I270">
        <f t="shared" si="14"/>
        <v>202346</v>
      </c>
    </row>
    <row r="271" spans="1:9" x14ac:dyDescent="0.3">
      <c r="A271" t="str">
        <f t="shared" si="12"/>
        <v>2023-WEO</v>
      </c>
      <c r="B271" t="str">
        <f t="shared" si="13"/>
        <v>202346-WEO</v>
      </c>
      <c r="C271">
        <v>2023</v>
      </c>
      <c r="D271">
        <v>46</v>
      </c>
      <c r="E271">
        <v>6</v>
      </c>
      <c r="F271" t="s">
        <v>10</v>
      </c>
      <c r="G271">
        <v>4724981.1000000099</v>
      </c>
      <c r="H271" t="str">
        <f>IFERROR(VLOOKUP(E271,DC_Xref!A:B,2,FALSE),"")</f>
        <v>WEO</v>
      </c>
      <c r="I271">
        <f t="shared" si="14"/>
        <v>202346</v>
      </c>
    </row>
    <row r="272" spans="1:9" x14ac:dyDescent="0.3">
      <c r="A272" t="str">
        <f t="shared" si="12"/>
        <v>2023-OCC</v>
      </c>
      <c r="B272" t="str">
        <f t="shared" si="13"/>
        <v>202346-OCC</v>
      </c>
      <c r="C272">
        <v>2023</v>
      </c>
      <c r="D272">
        <v>46</v>
      </c>
      <c r="E272">
        <v>7</v>
      </c>
      <c r="F272" t="s">
        <v>11</v>
      </c>
      <c r="G272">
        <v>14489968.5</v>
      </c>
      <c r="H272" t="str">
        <f>IFERROR(VLOOKUP(E272,DC_Xref!A:B,2,FALSE),"")</f>
        <v>OCC</v>
      </c>
      <c r="I272">
        <f t="shared" si="14"/>
        <v>202346</v>
      </c>
    </row>
    <row r="273" spans="1:9" x14ac:dyDescent="0.3">
      <c r="A273" t="str">
        <f t="shared" si="12"/>
        <v>2023-SFS</v>
      </c>
      <c r="B273" t="str">
        <f t="shared" si="13"/>
        <v>202346-</v>
      </c>
      <c r="C273">
        <v>2023</v>
      </c>
      <c r="D273">
        <v>46</v>
      </c>
      <c r="E273">
        <v>8</v>
      </c>
      <c r="F273" t="s">
        <v>12</v>
      </c>
      <c r="G273">
        <v>0</v>
      </c>
      <c r="H273" t="str">
        <f>IFERROR(VLOOKUP(E273,DC_Xref!A:B,2,FALSE),"")</f>
        <v/>
      </c>
      <c r="I273">
        <f t="shared" si="14"/>
        <v>202346</v>
      </c>
    </row>
    <row r="274" spans="1:9" x14ac:dyDescent="0.3">
      <c r="A274" t="str">
        <f t="shared" si="12"/>
        <v>2023-OFC</v>
      </c>
      <c r="B274" t="str">
        <f t="shared" si="13"/>
        <v>202347-OFC</v>
      </c>
      <c r="C274">
        <v>2023</v>
      </c>
      <c r="D274">
        <v>47</v>
      </c>
      <c r="E274">
        <v>1</v>
      </c>
      <c r="F274" t="s">
        <v>5</v>
      </c>
      <c r="G274">
        <v>4724981.1000000099</v>
      </c>
      <c r="H274" t="str">
        <f>IFERROR(VLOOKUP(E274,DC_Xref!A:B,2,FALSE),"")</f>
        <v>OFC</v>
      </c>
      <c r="I274">
        <f t="shared" si="14"/>
        <v>202347</v>
      </c>
    </row>
    <row r="275" spans="1:9" x14ac:dyDescent="0.3">
      <c r="A275" t="str">
        <f t="shared" si="12"/>
        <v>2023-TFC</v>
      </c>
      <c r="B275" t="str">
        <f t="shared" si="13"/>
        <v>202347-TFC</v>
      </c>
      <c r="C275">
        <v>2023</v>
      </c>
      <c r="D275">
        <v>47</v>
      </c>
      <c r="E275">
        <v>2</v>
      </c>
      <c r="F275" t="s">
        <v>6</v>
      </c>
      <c r="G275">
        <v>4724981.1000000099</v>
      </c>
      <c r="H275" t="str">
        <f>IFERROR(VLOOKUP(E275,DC_Xref!A:B,2,FALSE),"")</f>
        <v>TFC</v>
      </c>
      <c r="I275">
        <f t="shared" si="14"/>
        <v>202347</v>
      </c>
    </row>
    <row r="276" spans="1:9" x14ac:dyDescent="0.3">
      <c r="A276" t="str">
        <f t="shared" si="12"/>
        <v>2023-WFC</v>
      </c>
      <c r="B276" t="str">
        <f t="shared" si="13"/>
        <v>202347-WFC</v>
      </c>
      <c r="C276">
        <v>2023</v>
      </c>
      <c r="D276">
        <v>47</v>
      </c>
      <c r="E276">
        <v>3</v>
      </c>
      <c r="F276" t="s">
        <v>7</v>
      </c>
      <c r="G276">
        <v>0</v>
      </c>
      <c r="H276" t="str">
        <f>IFERROR(VLOOKUP(E276,DC_Xref!A:B,2,FALSE),"")</f>
        <v>WFC</v>
      </c>
      <c r="I276">
        <f t="shared" si="14"/>
        <v>202347</v>
      </c>
    </row>
    <row r="277" spans="1:9" x14ac:dyDescent="0.3">
      <c r="A277" t="str">
        <f t="shared" si="12"/>
        <v>2023-EAO</v>
      </c>
      <c r="B277" t="str">
        <f t="shared" si="13"/>
        <v>202347-EAO</v>
      </c>
      <c r="C277">
        <v>2023</v>
      </c>
      <c r="D277">
        <v>47</v>
      </c>
      <c r="E277">
        <v>4</v>
      </c>
      <c r="F277" t="s">
        <v>8</v>
      </c>
      <c r="G277">
        <v>3150025.2</v>
      </c>
      <c r="H277" t="str">
        <f>IFERROR(VLOOKUP(E277,DC_Xref!A:B,2,FALSE),"")</f>
        <v>EAO</v>
      </c>
      <c r="I277">
        <f t="shared" si="14"/>
        <v>202347</v>
      </c>
    </row>
    <row r="278" spans="1:9" x14ac:dyDescent="0.3">
      <c r="A278" t="str">
        <f t="shared" si="12"/>
        <v>2023-ODC</v>
      </c>
      <c r="B278" t="str">
        <f t="shared" si="13"/>
        <v>202347-FFC-ODC</v>
      </c>
      <c r="C278">
        <v>2023</v>
      </c>
      <c r="D278">
        <v>47</v>
      </c>
      <c r="E278">
        <v>5</v>
      </c>
      <c r="F278" t="s">
        <v>9</v>
      </c>
      <c r="G278">
        <v>0</v>
      </c>
      <c r="H278" t="str">
        <f>IFERROR(VLOOKUP(E278,DC_Xref!A:B,2,FALSE),"")</f>
        <v>FFC-ODC</v>
      </c>
      <c r="I278">
        <f t="shared" si="14"/>
        <v>202347</v>
      </c>
    </row>
    <row r="279" spans="1:9" x14ac:dyDescent="0.3">
      <c r="A279" t="str">
        <f t="shared" si="12"/>
        <v>2023-WEO</v>
      </c>
      <c r="B279" t="str">
        <f t="shared" si="13"/>
        <v>202347-WEO</v>
      </c>
      <c r="C279">
        <v>2023</v>
      </c>
      <c r="D279">
        <v>47</v>
      </c>
      <c r="E279">
        <v>6</v>
      </c>
      <c r="F279" t="s">
        <v>10</v>
      </c>
      <c r="G279">
        <v>4724981.1000000099</v>
      </c>
      <c r="H279" t="str">
        <f>IFERROR(VLOOKUP(E279,DC_Xref!A:B,2,FALSE),"")</f>
        <v>WEO</v>
      </c>
      <c r="I279">
        <f t="shared" si="14"/>
        <v>202347</v>
      </c>
    </row>
    <row r="280" spans="1:9" x14ac:dyDescent="0.3">
      <c r="A280" t="str">
        <f t="shared" si="12"/>
        <v>2023-OCC</v>
      </c>
      <c r="B280" t="str">
        <f t="shared" si="13"/>
        <v>202347-OCC</v>
      </c>
      <c r="C280">
        <v>2023</v>
      </c>
      <c r="D280">
        <v>47</v>
      </c>
      <c r="E280">
        <v>7</v>
      </c>
      <c r="F280" t="s">
        <v>11</v>
      </c>
      <c r="G280">
        <v>14489968.5</v>
      </c>
      <c r="H280" t="str">
        <f>IFERROR(VLOOKUP(E280,DC_Xref!A:B,2,FALSE),"")</f>
        <v>OCC</v>
      </c>
      <c r="I280">
        <f t="shared" si="14"/>
        <v>202347</v>
      </c>
    </row>
    <row r="281" spans="1:9" x14ac:dyDescent="0.3">
      <c r="A281" t="str">
        <f t="shared" si="12"/>
        <v>2023-SFS</v>
      </c>
      <c r="B281" t="str">
        <f t="shared" si="13"/>
        <v>202347-</v>
      </c>
      <c r="C281">
        <v>2023</v>
      </c>
      <c r="D281">
        <v>47</v>
      </c>
      <c r="E281">
        <v>8</v>
      </c>
      <c r="F281" t="s">
        <v>12</v>
      </c>
      <c r="G281">
        <v>0</v>
      </c>
      <c r="H281" t="str">
        <f>IFERROR(VLOOKUP(E281,DC_Xref!A:B,2,FALSE),"")</f>
        <v/>
      </c>
      <c r="I281">
        <f t="shared" si="14"/>
        <v>202347</v>
      </c>
    </row>
    <row r="282" spans="1:9" x14ac:dyDescent="0.3">
      <c r="A282" t="str">
        <f t="shared" si="12"/>
        <v>2023-OFC</v>
      </c>
      <c r="B282" t="str">
        <f t="shared" si="13"/>
        <v>202348-OFC</v>
      </c>
      <c r="C282">
        <v>2023</v>
      </c>
      <c r="D282">
        <v>48</v>
      </c>
      <c r="E282">
        <v>1</v>
      </c>
      <c r="F282" t="s">
        <v>5</v>
      </c>
      <c r="G282">
        <v>4049983.8</v>
      </c>
      <c r="H282" t="str">
        <f>IFERROR(VLOOKUP(E282,DC_Xref!A:B,2,FALSE),"")</f>
        <v>OFC</v>
      </c>
      <c r="I282">
        <f t="shared" si="14"/>
        <v>202348</v>
      </c>
    </row>
    <row r="283" spans="1:9" x14ac:dyDescent="0.3">
      <c r="A283" t="str">
        <f t="shared" si="12"/>
        <v>2023-TFC</v>
      </c>
      <c r="B283" t="str">
        <f t="shared" si="13"/>
        <v>202348-TFC</v>
      </c>
      <c r="C283">
        <v>2023</v>
      </c>
      <c r="D283">
        <v>48</v>
      </c>
      <c r="E283">
        <v>2</v>
      </c>
      <c r="F283" t="s">
        <v>6</v>
      </c>
      <c r="G283">
        <v>4049983.8</v>
      </c>
      <c r="H283" t="str">
        <f>IFERROR(VLOOKUP(E283,DC_Xref!A:B,2,FALSE),"")</f>
        <v>TFC</v>
      </c>
      <c r="I283">
        <f t="shared" si="14"/>
        <v>202348</v>
      </c>
    </row>
    <row r="284" spans="1:9" x14ac:dyDescent="0.3">
      <c r="A284" t="str">
        <f t="shared" si="12"/>
        <v>2023-WFC</v>
      </c>
      <c r="B284" t="str">
        <f t="shared" si="13"/>
        <v>202348-WFC</v>
      </c>
      <c r="C284">
        <v>2023</v>
      </c>
      <c r="D284">
        <v>48</v>
      </c>
      <c r="E284">
        <v>3</v>
      </c>
      <c r="F284" t="s">
        <v>7</v>
      </c>
      <c r="G284">
        <v>0</v>
      </c>
      <c r="H284" t="str">
        <f>IFERROR(VLOOKUP(E284,DC_Xref!A:B,2,FALSE),"")</f>
        <v>WFC</v>
      </c>
      <c r="I284">
        <f t="shared" si="14"/>
        <v>202348</v>
      </c>
    </row>
    <row r="285" spans="1:9" x14ac:dyDescent="0.3">
      <c r="A285" t="str">
        <f t="shared" si="12"/>
        <v>2023-EAO</v>
      </c>
      <c r="B285" t="str">
        <f t="shared" si="13"/>
        <v>202348-EAO</v>
      </c>
      <c r="C285">
        <v>2023</v>
      </c>
      <c r="D285">
        <v>48</v>
      </c>
      <c r="E285">
        <v>4</v>
      </c>
      <c r="F285" t="s">
        <v>8</v>
      </c>
      <c r="G285">
        <v>2700021.6</v>
      </c>
      <c r="H285" t="str">
        <f>IFERROR(VLOOKUP(E285,DC_Xref!A:B,2,FALSE),"")</f>
        <v>EAO</v>
      </c>
      <c r="I285">
        <f t="shared" si="14"/>
        <v>202348</v>
      </c>
    </row>
    <row r="286" spans="1:9" x14ac:dyDescent="0.3">
      <c r="A286" t="str">
        <f t="shared" si="12"/>
        <v>2023-ODC</v>
      </c>
      <c r="B286" t="str">
        <f t="shared" si="13"/>
        <v>202348-FFC-ODC</v>
      </c>
      <c r="C286">
        <v>2023</v>
      </c>
      <c r="D286">
        <v>48</v>
      </c>
      <c r="E286">
        <v>5</v>
      </c>
      <c r="F286" t="s">
        <v>9</v>
      </c>
      <c r="G286">
        <v>0</v>
      </c>
      <c r="H286" t="str">
        <f>IFERROR(VLOOKUP(E286,DC_Xref!A:B,2,FALSE),"")</f>
        <v>FFC-ODC</v>
      </c>
      <c r="I286">
        <f t="shared" si="14"/>
        <v>202348</v>
      </c>
    </row>
    <row r="287" spans="1:9" x14ac:dyDescent="0.3">
      <c r="A287" t="str">
        <f t="shared" si="12"/>
        <v>2023-WEO</v>
      </c>
      <c r="B287" t="str">
        <f t="shared" si="13"/>
        <v>202348-WEO</v>
      </c>
      <c r="C287">
        <v>2023</v>
      </c>
      <c r="D287">
        <v>48</v>
      </c>
      <c r="E287">
        <v>6</v>
      </c>
      <c r="F287" t="s">
        <v>10</v>
      </c>
      <c r="G287">
        <v>4049983.8</v>
      </c>
      <c r="H287" t="str">
        <f>IFERROR(VLOOKUP(E287,DC_Xref!A:B,2,FALSE),"")</f>
        <v>WEO</v>
      </c>
      <c r="I287">
        <f t="shared" si="14"/>
        <v>202348</v>
      </c>
    </row>
    <row r="288" spans="1:9" x14ac:dyDescent="0.3">
      <c r="A288" t="str">
        <f t="shared" si="12"/>
        <v>2023-OCC</v>
      </c>
      <c r="B288" t="str">
        <f t="shared" si="13"/>
        <v>202348-OCC</v>
      </c>
      <c r="C288">
        <v>2023</v>
      </c>
      <c r="D288">
        <v>48</v>
      </c>
      <c r="E288">
        <v>7</v>
      </c>
      <c r="F288" t="s">
        <v>11</v>
      </c>
      <c r="G288">
        <v>12419973</v>
      </c>
      <c r="H288" t="str">
        <f>IFERROR(VLOOKUP(E288,DC_Xref!A:B,2,FALSE),"")</f>
        <v>OCC</v>
      </c>
      <c r="I288">
        <f t="shared" si="14"/>
        <v>202348</v>
      </c>
    </row>
    <row r="289" spans="1:9" x14ac:dyDescent="0.3">
      <c r="A289" t="str">
        <f t="shared" si="12"/>
        <v>2023-SFS</v>
      </c>
      <c r="B289" t="str">
        <f t="shared" si="13"/>
        <v>202348-</v>
      </c>
      <c r="C289">
        <v>2023</v>
      </c>
      <c r="D289">
        <v>48</v>
      </c>
      <c r="E289">
        <v>8</v>
      </c>
      <c r="F289" t="s">
        <v>12</v>
      </c>
      <c r="G289">
        <v>0</v>
      </c>
      <c r="H289" t="str">
        <f>IFERROR(VLOOKUP(E289,DC_Xref!A:B,2,FALSE),"")</f>
        <v/>
      </c>
      <c r="I289">
        <f t="shared" si="14"/>
        <v>202348</v>
      </c>
    </row>
    <row r="290" spans="1:9" x14ac:dyDescent="0.3">
      <c r="A290" t="str">
        <f t="shared" si="12"/>
        <v>2024-OFC</v>
      </c>
      <c r="B290" t="str">
        <f t="shared" si="13"/>
        <v>202443-OFC</v>
      </c>
      <c r="C290">
        <v>2024</v>
      </c>
      <c r="D290">
        <v>43</v>
      </c>
      <c r="E290">
        <v>1</v>
      </c>
      <c r="F290" t="s">
        <v>5</v>
      </c>
      <c r="G290">
        <v>0</v>
      </c>
      <c r="H290" t="str">
        <f>IFERROR(VLOOKUP(E290,DC_Xref!A:B,2,FALSE),"")</f>
        <v>OFC</v>
      </c>
      <c r="I290">
        <f t="shared" si="14"/>
        <v>202443</v>
      </c>
    </row>
    <row r="291" spans="1:9" x14ac:dyDescent="0.3">
      <c r="A291" t="str">
        <f t="shared" si="12"/>
        <v>2024-TFC</v>
      </c>
      <c r="B291" t="str">
        <f t="shared" si="13"/>
        <v>202443-TFC</v>
      </c>
      <c r="C291">
        <v>2024</v>
      </c>
      <c r="D291">
        <v>43</v>
      </c>
      <c r="E291">
        <v>2</v>
      </c>
      <c r="F291" t="s">
        <v>6</v>
      </c>
      <c r="G291">
        <v>0</v>
      </c>
      <c r="H291" t="str">
        <f>IFERROR(VLOOKUP(E291,DC_Xref!A:B,2,FALSE),"")</f>
        <v>TFC</v>
      </c>
      <c r="I291">
        <f t="shared" si="14"/>
        <v>202443</v>
      </c>
    </row>
    <row r="292" spans="1:9" x14ac:dyDescent="0.3">
      <c r="A292" t="str">
        <f t="shared" si="12"/>
        <v>2024-WFC</v>
      </c>
      <c r="B292" t="str">
        <f t="shared" si="13"/>
        <v>202443-WFC</v>
      </c>
      <c r="C292">
        <v>2024</v>
      </c>
      <c r="D292">
        <v>43</v>
      </c>
      <c r="E292">
        <v>3</v>
      </c>
      <c r="F292" t="s">
        <v>7</v>
      </c>
      <c r="G292">
        <v>0</v>
      </c>
      <c r="H292" t="str">
        <f>IFERROR(VLOOKUP(E292,DC_Xref!A:B,2,FALSE),"")</f>
        <v>WFC</v>
      </c>
      <c r="I292">
        <f t="shared" si="14"/>
        <v>202443</v>
      </c>
    </row>
    <row r="293" spans="1:9" x14ac:dyDescent="0.3">
      <c r="A293" t="str">
        <f t="shared" si="12"/>
        <v>2024-EAO</v>
      </c>
      <c r="B293" t="str">
        <f t="shared" si="13"/>
        <v>202443-EAO</v>
      </c>
      <c r="C293">
        <v>2024</v>
      </c>
      <c r="D293">
        <v>43</v>
      </c>
      <c r="E293">
        <v>4</v>
      </c>
      <c r="F293" t="s">
        <v>8</v>
      </c>
      <c r="G293">
        <v>0</v>
      </c>
      <c r="H293" t="str">
        <f>IFERROR(VLOOKUP(E293,DC_Xref!A:B,2,FALSE),"")</f>
        <v>EAO</v>
      </c>
      <c r="I293">
        <f t="shared" si="14"/>
        <v>202443</v>
      </c>
    </row>
    <row r="294" spans="1:9" x14ac:dyDescent="0.3">
      <c r="A294" t="str">
        <f t="shared" si="12"/>
        <v>2024-ODC</v>
      </c>
      <c r="B294" t="str">
        <f t="shared" si="13"/>
        <v>202443-FFC-ODC</v>
      </c>
      <c r="C294">
        <v>2024</v>
      </c>
      <c r="D294">
        <v>43</v>
      </c>
      <c r="E294">
        <v>5</v>
      </c>
      <c r="F294" t="s">
        <v>9</v>
      </c>
      <c r="G294">
        <v>0</v>
      </c>
      <c r="H294" t="str">
        <f>IFERROR(VLOOKUP(E294,DC_Xref!A:B,2,FALSE),"")</f>
        <v>FFC-ODC</v>
      </c>
      <c r="I294">
        <f t="shared" si="14"/>
        <v>202443</v>
      </c>
    </row>
    <row r="295" spans="1:9" x14ac:dyDescent="0.3">
      <c r="A295" t="str">
        <f t="shared" si="12"/>
        <v>2024-WEO</v>
      </c>
      <c r="B295" t="str">
        <f t="shared" si="13"/>
        <v>202443-WEO</v>
      </c>
      <c r="C295">
        <v>2024</v>
      </c>
      <c r="D295">
        <v>43</v>
      </c>
      <c r="E295">
        <v>6</v>
      </c>
      <c r="F295" t="s">
        <v>10</v>
      </c>
      <c r="G295">
        <v>0</v>
      </c>
      <c r="H295" t="str">
        <f>IFERROR(VLOOKUP(E295,DC_Xref!A:B,2,FALSE),"")</f>
        <v>WEO</v>
      </c>
      <c r="I295">
        <f t="shared" si="14"/>
        <v>202443</v>
      </c>
    </row>
    <row r="296" spans="1:9" x14ac:dyDescent="0.3">
      <c r="A296" t="str">
        <f t="shared" si="12"/>
        <v>2024-OCC</v>
      </c>
      <c r="B296" t="str">
        <f t="shared" si="13"/>
        <v>202443-OCC</v>
      </c>
      <c r="C296">
        <v>2024</v>
      </c>
      <c r="D296">
        <v>43</v>
      </c>
      <c r="E296">
        <v>7</v>
      </c>
      <c r="F296" t="s">
        <v>11</v>
      </c>
      <c r="G296">
        <v>0</v>
      </c>
      <c r="H296" t="str">
        <f>IFERROR(VLOOKUP(E296,DC_Xref!A:B,2,FALSE),"")</f>
        <v>OCC</v>
      </c>
      <c r="I296">
        <f t="shared" si="14"/>
        <v>202443</v>
      </c>
    </row>
    <row r="297" spans="1:9" x14ac:dyDescent="0.3">
      <c r="A297" t="str">
        <f t="shared" si="12"/>
        <v>2024-SFS</v>
      </c>
      <c r="B297" t="str">
        <f t="shared" si="13"/>
        <v>202443-</v>
      </c>
      <c r="C297">
        <v>2024</v>
      </c>
      <c r="D297">
        <v>43</v>
      </c>
      <c r="E297">
        <v>8</v>
      </c>
      <c r="F297" t="s">
        <v>12</v>
      </c>
      <c r="G297">
        <v>0</v>
      </c>
      <c r="H297" t="str">
        <f>IFERROR(VLOOKUP(E297,DC_Xref!A:B,2,FALSE),"")</f>
        <v/>
      </c>
      <c r="I297">
        <f t="shared" si="14"/>
        <v>202443</v>
      </c>
    </row>
    <row r="298" spans="1:9" x14ac:dyDescent="0.3">
      <c r="A298" t="str">
        <f t="shared" si="12"/>
        <v>2024-OFC</v>
      </c>
      <c r="B298" t="str">
        <f t="shared" si="13"/>
        <v>202448-OFC</v>
      </c>
      <c r="C298">
        <v>2024</v>
      </c>
      <c r="D298">
        <v>48</v>
      </c>
      <c r="E298">
        <v>1</v>
      </c>
      <c r="F298" t="s">
        <v>5</v>
      </c>
      <c r="G298">
        <v>0</v>
      </c>
      <c r="H298" t="str">
        <f>IFERROR(VLOOKUP(E298,DC_Xref!A:B,2,FALSE),"")</f>
        <v>OFC</v>
      </c>
      <c r="I298">
        <f t="shared" si="14"/>
        <v>202448</v>
      </c>
    </row>
    <row r="299" spans="1:9" x14ac:dyDescent="0.3">
      <c r="A299" t="str">
        <f t="shared" si="12"/>
        <v>2024-TFC</v>
      </c>
      <c r="B299" t="str">
        <f t="shared" si="13"/>
        <v>202448-TFC</v>
      </c>
      <c r="C299">
        <v>2024</v>
      </c>
      <c r="D299">
        <v>48</v>
      </c>
      <c r="E299">
        <v>2</v>
      </c>
      <c r="F299" t="s">
        <v>6</v>
      </c>
      <c r="G299">
        <v>0</v>
      </c>
      <c r="H299" t="str">
        <f>IFERROR(VLOOKUP(E299,DC_Xref!A:B,2,FALSE),"")</f>
        <v>TFC</v>
      </c>
      <c r="I299">
        <f t="shared" si="14"/>
        <v>202448</v>
      </c>
    </row>
    <row r="300" spans="1:9" x14ac:dyDescent="0.3">
      <c r="A300" t="str">
        <f t="shared" si="12"/>
        <v>2024-WFC</v>
      </c>
      <c r="B300" t="str">
        <f t="shared" si="13"/>
        <v>202448-WFC</v>
      </c>
      <c r="C300">
        <v>2024</v>
      </c>
      <c r="D300">
        <v>48</v>
      </c>
      <c r="E300">
        <v>3</v>
      </c>
      <c r="F300" t="s">
        <v>7</v>
      </c>
      <c r="G300">
        <v>0</v>
      </c>
      <c r="H300" t="str">
        <f>IFERROR(VLOOKUP(E300,DC_Xref!A:B,2,FALSE),"")</f>
        <v>WFC</v>
      </c>
      <c r="I300">
        <f t="shared" si="14"/>
        <v>202448</v>
      </c>
    </row>
    <row r="301" spans="1:9" x14ac:dyDescent="0.3">
      <c r="A301" t="str">
        <f t="shared" si="12"/>
        <v>2024-EAO</v>
      </c>
      <c r="B301" t="str">
        <f t="shared" si="13"/>
        <v>202448-EAO</v>
      </c>
      <c r="C301">
        <v>2024</v>
      </c>
      <c r="D301">
        <v>48</v>
      </c>
      <c r="E301">
        <v>4</v>
      </c>
      <c r="F301" t="s">
        <v>8</v>
      </c>
      <c r="G301">
        <v>0</v>
      </c>
      <c r="H301" t="str">
        <f>IFERROR(VLOOKUP(E301,DC_Xref!A:B,2,FALSE),"")</f>
        <v>EAO</v>
      </c>
      <c r="I301">
        <f t="shared" si="14"/>
        <v>202448</v>
      </c>
    </row>
    <row r="302" spans="1:9" x14ac:dyDescent="0.3">
      <c r="A302" t="str">
        <f t="shared" si="12"/>
        <v>2024-ODC</v>
      </c>
      <c r="B302" t="str">
        <f t="shared" si="13"/>
        <v>202448-FFC-ODC</v>
      </c>
      <c r="C302">
        <v>2024</v>
      </c>
      <c r="D302">
        <v>48</v>
      </c>
      <c r="E302">
        <v>5</v>
      </c>
      <c r="F302" t="s">
        <v>9</v>
      </c>
      <c r="G302">
        <v>0</v>
      </c>
      <c r="H302" t="str">
        <f>IFERROR(VLOOKUP(E302,DC_Xref!A:B,2,FALSE),"")</f>
        <v>FFC-ODC</v>
      </c>
      <c r="I302">
        <f t="shared" si="14"/>
        <v>202448</v>
      </c>
    </row>
    <row r="303" spans="1:9" x14ac:dyDescent="0.3">
      <c r="A303" t="str">
        <f t="shared" si="12"/>
        <v>2024-WEO</v>
      </c>
      <c r="B303" t="str">
        <f t="shared" si="13"/>
        <v>202448-WEO</v>
      </c>
      <c r="C303">
        <v>2024</v>
      </c>
      <c r="D303">
        <v>48</v>
      </c>
      <c r="E303">
        <v>6</v>
      </c>
      <c r="F303" t="s">
        <v>10</v>
      </c>
      <c r="G303">
        <v>0</v>
      </c>
      <c r="H303" t="str">
        <f>IFERROR(VLOOKUP(E303,DC_Xref!A:B,2,FALSE),"")</f>
        <v>WEO</v>
      </c>
      <c r="I303">
        <f t="shared" si="14"/>
        <v>202448</v>
      </c>
    </row>
    <row r="304" spans="1:9" x14ac:dyDescent="0.3">
      <c r="A304" t="str">
        <f t="shared" si="12"/>
        <v>2024-OCC</v>
      </c>
      <c r="B304" t="str">
        <f t="shared" si="13"/>
        <v>202448-OCC</v>
      </c>
      <c r="C304">
        <v>2024</v>
      </c>
      <c r="D304">
        <v>48</v>
      </c>
      <c r="E304">
        <v>7</v>
      </c>
      <c r="F304" t="s">
        <v>11</v>
      </c>
      <c r="G304">
        <v>0</v>
      </c>
      <c r="H304" t="str">
        <f>IFERROR(VLOOKUP(E304,DC_Xref!A:B,2,FALSE),"")</f>
        <v>OCC</v>
      </c>
      <c r="I304">
        <f t="shared" si="14"/>
        <v>202448</v>
      </c>
    </row>
    <row r="305" spans="1:9" x14ac:dyDescent="0.3">
      <c r="A305" t="str">
        <f t="shared" si="12"/>
        <v>2024-SFS</v>
      </c>
      <c r="B305" t="str">
        <f t="shared" si="13"/>
        <v>202448-</v>
      </c>
      <c r="C305">
        <v>2024</v>
      </c>
      <c r="D305">
        <v>48</v>
      </c>
      <c r="E305">
        <v>8</v>
      </c>
      <c r="F305" t="s">
        <v>12</v>
      </c>
      <c r="G305">
        <v>0</v>
      </c>
      <c r="H305" t="str">
        <f>IFERROR(VLOOKUP(E305,DC_Xref!A:B,2,FALSE),"")</f>
        <v/>
      </c>
      <c r="I305">
        <f t="shared" si="14"/>
        <v>202448</v>
      </c>
    </row>
    <row r="306" spans="1:9" x14ac:dyDescent="0.3">
      <c r="A306" t="str">
        <f t="shared" si="12"/>
        <v>2025-OFC</v>
      </c>
      <c r="B306" t="str">
        <f t="shared" si="13"/>
        <v>202543-OFC</v>
      </c>
      <c r="C306">
        <v>2025</v>
      </c>
      <c r="D306">
        <v>43</v>
      </c>
      <c r="E306">
        <v>1</v>
      </c>
      <c r="F306" t="s">
        <v>5</v>
      </c>
      <c r="G306">
        <v>0</v>
      </c>
      <c r="H306" t="str">
        <f>IFERROR(VLOOKUP(E306,DC_Xref!A:B,2,FALSE),"")</f>
        <v>OFC</v>
      </c>
      <c r="I306">
        <f t="shared" si="14"/>
        <v>202543</v>
      </c>
    </row>
    <row r="307" spans="1:9" x14ac:dyDescent="0.3">
      <c r="A307" t="str">
        <f t="shared" si="12"/>
        <v>2025-TFC</v>
      </c>
      <c r="B307" t="str">
        <f t="shared" si="13"/>
        <v>202543-TFC</v>
      </c>
      <c r="C307">
        <v>2025</v>
      </c>
      <c r="D307">
        <v>43</v>
      </c>
      <c r="E307">
        <v>2</v>
      </c>
      <c r="F307" t="s">
        <v>6</v>
      </c>
      <c r="G307">
        <v>0</v>
      </c>
      <c r="H307" t="str">
        <f>IFERROR(VLOOKUP(E307,DC_Xref!A:B,2,FALSE),"")</f>
        <v>TFC</v>
      </c>
      <c r="I307">
        <f t="shared" si="14"/>
        <v>202543</v>
      </c>
    </row>
    <row r="308" spans="1:9" x14ac:dyDescent="0.3">
      <c r="A308" t="str">
        <f t="shared" si="12"/>
        <v>2025-WFC</v>
      </c>
      <c r="B308" t="str">
        <f t="shared" si="13"/>
        <v>202543-WFC</v>
      </c>
      <c r="C308">
        <v>2025</v>
      </c>
      <c r="D308">
        <v>43</v>
      </c>
      <c r="E308">
        <v>3</v>
      </c>
      <c r="F308" t="s">
        <v>7</v>
      </c>
      <c r="G308">
        <v>0</v>
      </c>
      <c r="H308" t="str">
        <f>IFERROR(VLOOKUP(E308,DC_Xref!A:B,2,FALSE),"")</f>
        <v>WFC</v>
      </c>
      <c r="I308">
        <f t="shared" si="14"/>
        <v>202543</v>
      </c>
    </row>
    <row r="309" spans="1:9" x14ac:dyDescent="0.3">
      <c r="A309" t="str">
        <f t="shared" si="12"/>
        <v>2025-EAO</v>
      </c>
      <c r="B309" t="str">
        <f t="shared" si="13"/>
        <v>202543-EAO</v>
      </c>
      <c r="C309">
        <v>2025</v>
      </c>
      <c r="D309">
        <v>43</v>
      </c>
      <c r="E309">
        <v>4</v>
      </c>
      <c r="F309" t="s">
        <v>8</v>
      </c>
      <c r="G309">
        <v>0</v>
      </c>
      <c r="H309" t="str">
        <f>IFERROR(VLOOKUP(E309,DC_Xref!A:B,2,FALSE),"")</f>
        <v>EAO</v>
      </c>
      <c r="I309">
        <f t="shared" si="14"/>
        <v>202543</v>
      </c>
    </row>
    <row r="310" spans="1:9" x14ac:dyDescent="0.3">
      <c r="A310" t="str">
        <f t="shared" si="12"/>
        <v>2025-ODC</v>
      </c>
      <c r="B310" t="str">
        <f t="shared" si="13"/>
        <v>202543-FFC-ODC</v>
      </c>
      <c r="C310">
        <v>2025</v>
      </c>
      <c r="D310">
        <v>43</v>
      </c>
      <c r="E310">
        <v>5</v>
      </c>
      <c r="F310" t="s">
        <v>9</v>
      </c>
      <c r="G310">
        <v>0</v>
      </c>
      <c r="H310" t="str">
        <f>IFERROR(VLOOKUP(E310,DC_Xref!A:B,2,FALSE),"")</f>
        <v>FFC-ODC</v>
      </c>
      <c r="I310">
        <f t="shared" si="14"/>
        <v>202543</v>
      </c>
    </row>
    <row r="311" spans="1:9" x14ac:dyDescent="0.3">
      <c r="A311" t="str">
        <f t="shared" si="12"/>
        <v>2025-WEO</v>
      </c>
      <c r="B311" t="str">
        <f t="shared" si="13"/>
        <v>202543-WEO</v>
      </c>
      <c r="C311">
        <v>2025</v>
      </c>
      <c r="D311">
        <v>43</v>
      </c>
      <c r="E311">
        <v>6</v>
      </c>
      <c r="F311" t="s">
        <v>10</v>
      </c>
      <c r="G311">
        <v>0</v>
      </c>
      <c r="H311" t="str">
        <f>IFERROR(VLOOKUP(E311,DC_Xref!A:B,2,FALSE),"")</f>
        <v>WEO</v>
      </c>
      <c r="I311">
        <f t="shared" si="14"/>
        <v>202543</v>
      </c>
    </row>
    <row r="312" spans="1:9" x14ac:dyDescent="0.3">
      <c r="A312" t="str">
        <f t="shared" si="12"/>
        <v>2025-OCC</v>
      </c>
      <c r="B312" t="str">
        <f t="shared" si="13"/>
        <v>202543-OCC</v>
      </c>
      <c r="C312">
        <v>2025</v>
      </c>
      <c r="D312">
        <v>43</v>
      </c>
      <c r="E312">
        <v>7</v>
      </c>
      <c r="F312" t="s">
        <v>11</v>
      </c>
      <c r="G312">
        <v>0</v>
      </c>
      <c r="H312" t="str">
        <f>IFERROR(VLOOKUP(E312,DC_Xref!A:B,2,FALSE),"")</f>
        <v>OCC</v>
      </c>
      <c r="I312">
        <f t="shared" si="14"/>
        <v>202543</v>
      </c>
    </row>
    <row r="313" spans="1:9" x14ac:dyDescent="0.3">
      <c r="A313" t="str">
        <f t="shared" si="12"/>
        <v>2025-SFS</v>
      </c>
      <c r="B313" t="str">
        <f t="shared" si="13"/>
        <v>202543-</v>
      </c>
      <c r="C313">
        <v>2025</v>
      </c>
      <c r="D313">
        <v>43</v>
      </c>
      <c r="E313">
        <v>8</v>
      </c>
      <c r="F313" t="s">
        <v>12</v>
      </c>
      <c r="G313">
        <v>0</v>
      </c>
      <c r="H313" t="str">
        <f>IFERROR(VLOOKUP(E313,DC_Xref!A:B,2,FALSE),"")</f>
        <v/>
      </c>
      <c r="I313">
        <f t="shared" si="14"/>
        <v>202543</v>
      </c>
    </row>
    <row r="314" spans="1:9" x14ac:dyDescent="0.3">
      <c r="A314" t="str">
        <f t="shared" si="12"/>
        <v>2025-OFC</v>
      </c>
      <c r="B314" t="str">
        <f t="shared" si="13"/>
        <v>202548-OFC</v>
      </c>
      <c r="C314">
        <v>2025</v>
      </c>
      <c r="D314">
        <v>48</v>
      </c>
      <c r="E314">
        <v>1</v>
      </c>
      <c r="F314" t="s">
        <v>5</v>
      </c>
      <c r="G314">
        <v>0</v>
      </c>
      <c r="H314" t="str">
        <f>IFERROR(VLOOKUP(E314,DC_Xref!A:B,2,FALSE),"")</f>
        <v>OFC</v>
      </c>
      <c r="I314">
        <f t="shared" si="14"/>
        <v>202548</v>
      </c>
    </row>
    <row r="315" spans="1:9" x14ac:dyDescent="0.3">
      <c r="A315" t="str">
        <f t="shared" si="12"/>
        <v>2025-TFC</v>
      </c>
      <c r="B315" t="str">
        <f t="shared" si="13"/>
        <v>202548-TFC</v>
      </c>
      <c r="C315">
        <v>2025</v>
      </c>
      <c r="D315">
        <v>48</v>
      </c>
      <c r="E315">
        <v>2</v>
      </c>
      <c r="F315" t="s">
        <v>6</v>
      </c>
      <c r="G315">
        <v>0</v>
      </c>
      <c r="H315" t="str">
        <f>IFERROR(VLOOKUP(E315,DC_Xref!A:B,2,FALSE),"")</f>
        <v>TFC</v>
      </c>
      <c r="I315">
        <f t="shared" si="14"/>
        <v>202548</v>
      </c>
    </row>
    <row r="316" spans="1:9" x14ac:dyDescent="0.3">
      <c r="A316" t="str">
        <f t="shared" si="12"/>
        <v>2025-WFC</v>
      </c>
      <c r="B316" t="str">
        <f t="shared" si="13"/>
        <v>202548-WFC</v>
      </c>
      <c r="C316">
        <v>2025</v>
      </c>
      <c r="D316">
        <v>48</v>
      </c>
      <c r="E316">
        <v>3</v>
      </c>
      <c r="F316" t="s">
        <v>7</v>
      </c>
      <c r="G316">
        <v>0</v>
      </c>
      <c r="H316" t="str">
        <f>IFERROR(VLOOKUP(E316,DC_Xref!A:B,2,FALSE),"")</f>
        <v>WFC</v>
      </c>
      <c r="I316">
        <f t="shared" si="14"/>
        <v>202548</v>
      </c>
    </row>
    <row r="317" spans="1:9" x14ac:dyDescent="0.3">
      <c r="A317" t="str">
        <f t="shared" si="12"/>
        <v>2025-EAO</v>
      </c>
      <c r="B317" t="str">
        <f t="shared" si="13"/>
        <v>202548-EAO</v>
      </c>
      <c r="C317">
        <v>2025</v>
      </c>
      <c r="D317">
        <v>48</v>
      </c>
      <c r="E317">
        <v>4</v>
      </c>
      <c r="F317" t="s">
        <v>8</v>
      </c>
      <c r="G317">
        <v>0</v>
      </c>
      <c r="H317" t="str">
        <f>IFERROR(VLOOKUP(E317,DC_Xref!A:B,2,FALSE),"")</f>
        <v>EAO</v>
      </c>
      <c r="I317">
        <f t="shared" si="14"/>
        <v>202548</v>
      </c>
    </row>
    <row r="318" spans="1:9" x14ac:dyDescent="0.3">
      <c r="A318" t="str">
        <f t="shared" si="12"/>
        <v>2025-ODC</v>
      </c>
      <c r="B318" t="str">
        <f t="shared" si="13"/>
        <v>202548-FFC-ODC</v>
      </c>
      <c r="C318">
        <v>2025</v>
      </c>
      <c r="D318">
        <v>48</v>
      </c>
      <c r="E318">
        <v>5</v>
      </c>
      <c r="F318" t="s">
        <v>9</v>
      </c>
      <c r="G318">
        <v>0</v>
      </c>
      <c r="H318" t="str">
        <f>IFERROR(VLOOKUP(E318,DC_Xref!A:B,2,FALSE),"")</f>
        <v>FFC-ODC</v>
      </c>
      <c r="I318">
        <f t="shared" si="14"/>
        <v>202548</v>
      </c>
    </row>
    <row r="319" spans="1:9" x14ac:dyDescent="0.3">
      <c r="A319" t="str">
        <f t="shared" si="12"/>
        <v>2025-WEO</v>
      </c>
      <c r="B319" t="str">
        <f t="shared" si="13"/>
        <v>202548-WEO</v>
      </c>
      <c r="C319">
        <v>2025</v>
      </c>
      <c r="D319">
        <v>48</v>
      </c>
      <c r="E319">
        <v>6</v>
      </c>
      <c r="F319" t="s">
        <v>10</v>
      </c>
      <c r="G319">
        <v>0</v>
      </c>
      <c r="H319" t="str">
        <f>IFERROR(VLOOKUP(E319,DC_Xref!A:B,2,FALSE),"")</f>
        <v>WEO</v>
      </c>
      <c r="I319">
        <f t="shared" si="14"/>
        <v>202548</v>
      </c>
    </row>
    <row r="320" spans="1:9" x14ac:dyDescent="0.3">
      <c r="A320" t="str">
        <f t="shared" si="12"/>
        <v>2025-OCC</v>
      </c>
      <c r="B320" t="str">
        <f t="shared" si="13"/>
        <v>202548-OCC</v>
      </c>
      <c r="C320">
        <v>2025</v>
      </c>
      <c r="D320">
        <v>48</v>
      </c>
      <c r="E320">
        <v>7</v>
      </c>
      <c r="F320" t="s">
        <v>11</v>
      </c>
      <c r="G320">
        <v>0</v>
      </c>
      <c r="H320" t="str">
        <f>IFERROR(VLOOKUP(E320,DC_Xref!A:B,2,FALSE),"")</f>
        <v>OCC</v>
      </c>
      <c r="I320">
        <f t="shared" si="14"/>
        <v>202548</v>
      </c>
    </row>
    <row r="321" spans="1:9" x14ac:dyDescent="0.3">
      <c r="A321" t="str">
        <f t="shared" si="12"/>
        <v>2025-SFS</v>
      </c>
      <c r="B321" t="str">
        <f t="shared" si="13"/>
        <v>202548-</v>
      </c>
      <c r="C321">
        <v>2025</v>
      </c>
      <c r="D321">
        <v>48</v>
      </c>
      <c r="E321">
        <v>8</v>
      </c>
      <c r="F321" t="s">
        <v>12</v>
      </c>
      <c r="G321">
        <v>0</v>
      </c>
      <c r="H321" t="str">
        <f>IFERROR(VLOOKUP(E321,DC_Xref!A:B,2,FALSE),"")</f>
        <v/>
      </c>
      <c r="I321">
        <f t="shared" si="14"/>
        <v>202548</v>
      </c>
    </row>
    <row r="322" spans="1:9" x14ac:dyDescent="0.3">
      <c r="A322" t="str">
        <f t="shared" ref="A322:A385" si="15">C322&amp;"-"&amp;F322</f>
        <v>-</v>
      </c>
      <c r="B322" t="str">
        <f t="shared" ref="B322:B385" si="16">I322&amp;"-"&amp;H322</f>
        <v>0-</v>
      </c>
      <c r="H322" t="str">
        <f>IFERROR(VLOOKUP(E322,DC_Xref!A:B,2,FALSE),"")</f>
        <v/>
      </c>
      <c r="I322">
        <f t="shared" ref="I322:I385" si="17">C322*100+D322</f>
        <v>0</v>
      </c>
    </row>
    <row r="323" spans="1:9" x14ac:dyDescent="0.3">
      <c r="A323" t="str">
        <f t="shared" si="15"/>
        <v>-</v>
      </c>
      <c r="B323" t="str">
        <f t="shared" si="16"/>
        <v>0-</v>
      </c>
      <c r="H323" t="str">
        <f>IFERROR(VLOOKUP(E323,DC_Xref!A:B,2,FALSE),"")</f>
        <v/>
      </c>
      <c r="I323">
        <f t="shared" si="17"/>
        <v>0</v>
      </c>
    </row>
    <row r="324" spans="1:9" x14ac:dyDescent="0.3">
      <c r="A324" t="str">
        <f t="shared" si="15"/>
        <v>-</v>
      </c>
      <c r="B324" t="str">
        <f t="shared" si="16"/>
        <v>0-</v>
      </c>
      <c r="H324" t="str">
        <f>IFERROR(VLOOKUP(E324,DC_Xref!A:B,2,FALSE),"")</f>
        <v/>
      </c>
      <c r="I324">
        <f t="shared" si="17"/>
        <v>0</v>
      </c>
    </row>
    <row r="325" spans="1:9" x14ac:dyDescent="0.3">
      <c r="A325" t="str">
        <f t="shared" si="15"/>
        <v>-</v>
      </c>
      <c r="B325" t="str">
        <f t="shared" si="16"/>
        <v>0-</v>
      </c>
      <c r="H325" t="str">
        <f>IFERROR(VLOOKUP(E325,DC_Xref!A:B,2,FALSE),"")</f>
        <v/>
      </c>
      <c r="I325">
        <f t="shared" si="17"/>
        <v>0</v>
      </c>
    </row>
    <row r="326" spans="1:9" x14ac:dyDescent="0.3">
      <c r="A326" t="str">
        <f t="shared" si="15"/>
        <v>-</v>
      </c>
      <c r="B326" t="str">
        <f t="shared" si="16"/>
        <v>0-</v>
      </c>
      <c r="H326" t="str">
        <f>IFERROR(VLOOKUP(E326,DC_Xref!A:B,2,FALSE),"")</f>
        <v/>
      </c>
      <c r="I326">
        <f t="shared" si="17"/>
        <v>0</v>
      </c>
    </row>
    <row r="327" spans="1:9" x14ac:dyDescent="0.3">
      <c r="A327" t="str">
        <f t="shared" si="15"/>
        <v>-</v>
      </c>
      <c r="B327" t="str">
        <f t="shared" si="16"/>
        <v>0-</v>
      </c>
      <c r="H327" t="str">
        <f>IFERROR(VLOOKUP(E327,DC_Xref!A:B,2,FALSE),"")</f>
        <v/>
      </c>
      <c r="I327">
        <f t="shared" si="17"/>
        <v>0</v>
      </c>
    </row>
    <row r="328" spans="1:9" x14ac:dyDescent="0.3">
      <c r="A328" t="str">
        <f t="shared" si="15"/>
        <v>-</v>
      </c>
      <c r="B328" t="str">
        <f t="shared" si="16"/>
        <v>0-</v>
      </c>
      <c r="H328" t="str">
        <f>IFERROR(VLOOKUP(E328,DC_Xref!A:B,2,FALSE),"")</f>
        <v/>
      </c>
      <c r="I328">
        <f t="shared" si="17"/>
        <v>0</v>
      </c>
    </row>
    <row r="329" spans="1:9" x14ac:dyDescent="0.3">
      <c r="A329" t="str">
        <f t="shared" si="15"/>
        <v>-</v>
      </c>
      <c r="B329" t="str">
        <f t="shared" si="16"/>
        <v>0-</v>
      </c>
      <c r="H329" t="str">
        <f>IFERROR(VLOOKUP(E329,DC_Xref!A:B,2,FALSE),"")</f>
        <v/>
      </c>
      <c r="I329">
        <f t="shared" si="17"/>
        <v>0</v>
      </c>
    </row>
    <row r="330" spans="1:9" x14ac:dyDescent="0.3">
      <c r="A330" t="str">
        <f t="shared" si="15"/>
        <v>-</v>
      </c>
      <c r="B330" t="str">
        <f t="shared" si="16"/>
        <v>0-</v>
      </c>
      <c r="H330" t="str">
        <f>IFERROR(VLOOKUP(E330,DC_Xref!A:B,2,FALSE),"")</f>
        <v/>
      </c>
      <c r="I330">
        <f t="shared" si="17"/>
        <v>0</v>
      </c>
    </row>
    <row r="331" spans="1:9" x14ac:dyDescent="0.3">
      <c r="A331" t="str">
        <f t="shared" si="15"/>
        <v>-</v>
      </c>
      <c r="B331" t="str">
        <f t="shared" si="16"/>
        <v>0-</v>
      </c>
      <c r="H331" t="str">
        <f>IFERROR(VLOOKUP(E331,DC_Xref!A:B,2,FALSE),"")</f>
        <v/>
      </c>
      <c r="I331">
        <f t="shared" si="17"/>
        <v>0</v>
      </c>
    </row>
    <row r="332" spans="1:9" x14ac:dyDescent="0.3">
      <c r="A332" t="str">
        <f t="shared" si="15"/>
        <v>-</v>
      </c>
      <c r="B332" t="str">
        <f t="shared" si="16"/>
        <v>0-</v>
      </c>
      <c r="H332" t="str">
        <f>IFERROR(VLOOKUP(E332,DC_Xref!A:B,2,FALSE),"")</f>
        <v/>
      </c>
      <c r="I332">
        <f t="shared" si="17"/>
        <v>0</v>
      </c>
    </row>
    <row r="333" spans="1:9" x14ac:dyDescent="0.3">
      <c r="A333" t="str">
        <f t="shared" si="15"/>
        <v>-</v>
      </c>
      <c r="B333" t="str">
        <f t="shared" si="16"/>
        <v>0-</v>
      </c>
      <c r="H333" t="str">
        <f>IFERROR(VLOOKUP(E333,DC_Xref!A:B,2,FALSE),"")</f>
        <v/>
      </c>
      <c r="I333">
        <f t="shared" si="17"/>
        <v>0</v>
      </c>
    </row>
    <row r="334" spans="1:9" x14ac:dyDescent="0.3">
      <c r="A334" t="str">
        <f t="shared" si="15"/>
        <v>-</v>
      </c>
      <c r="B334" t="str">
        <f t="shared" si="16"/>
        <v>0-</v>
      </c>
      <c r="H334" t="str">
        <f>IFERROR(VLOOKUP(E334,DC_Xref!A:B,2,FALSE),"")</f>
        <v/>
      </c>
      <c r="I334">
        <f t="shared" si="17"/>
        <v>0</v>
      </c>
    </row>
    <row r="335" spans="1:9" x14ac:dyDescent="0.3">
      <c r="A335" t="str">
        <f t="shared" si="15"/>
        <v>-</v>
      </c>
      <c r="B335" t="str">
        <f t="shared" si="16"/>
        <v>0-</v>
      </c>
      <c r="H335" t="str">
        <f>IFERROR(VLOOKUP(E335,DC_Xref!A:B,2,FALSE),"")</f>
        <v/>
      </c>
      <c r="I335">
        <f t="shared" si="17"/>
        <v>0</v>
      </c>
    </row>
    <row r="336" spans="1:9" x14ac:dyDescent="0.3">
      <c r="A336" t="str">
        <f t="shared" si="15"/>
        <v>-</v>
      </c>
      <c r="B336" t="str">
        <f t="shared" si="16"/>
        <v>0-</v>
      </c>
      <c r="H336" t="str">
        <f>IFERROR(VLOOKUP(E336,DC_Xref!A:B,2,FALSE),"")</f>
        <v/>
      </c>
      <c r="I336">
        <f t="shared" si="17"/>
        <v>0</v>
      </c>
    </row>
    <row r="337" spans="1:9" x14ac:dyDescent="0.3">
      <c r="A337" t="str">
        <f t="shared" si="15"/>
        <v>-</v>
      </c>
      <c r="B337" t="str">
        <f t="shared" si="16"/>
        <v>0-</v>
      </c>
      <c r="H337" t="str">
        <f>IFERROR(VLOOKUP(E337,DC_Xref!A:B,2,FALSE),"")</f>
        <v/>
      </c>
      <c r="I337">
        <f t="shared" si="17"/>
        <v>0</v>
      </c>
    </row>
    <row r="338" spans="1:9" x14ac:dyDescent="0.3">
      <c r="A338" t="str">
        <f t="shared" si="15"/>
        <v>-</v>
      </c>
      <c r="B338" t="str">
        <f t="shared" si="16"/>
        <v>0-</v>
      </c>
      <c r="H338" t="str">
        <f>IFERROR(VLOOKUP(E338,DC_Xref!A:B,2,FALSE),"")</f>
        <v/>
      </c>
      <c r="I338">
        <f t="shared" si="17"/>
        <v>0</v>
      </c>
    </row>
    <row r="339" spans="1:9" x14ac:dyDescent="0.3">
      <c r="A339" t="str">
        <f t="shared" si="15"/>
        <v>-</v>
      </c>
      <c r="B339" t="str">
        <f t="shared" si="16"/>
        <v>0-</v>
      </c>
      <c r="H339" t="str">
        <f>IFERROR(VLOOKUP(E339,DC_Xref!A:B,2,FALSE),"")</f>
        <v/>
      </c>
      <c r="I339">
        <f t="shared" si="17"/>
        <v>0</v>
      </c>
    </row>
    <row r="340" spans="1:9" x14ac:dyDescent="0.3">
      <c r="A340" t="str">
        <f t="shared" si="15"/>
        <v>-</v>
      </c>
      <c r="B340" t="str">
        <f t="shared" si="16"/>
        <v>0-</v>
      </c>
      <c r="H340" t="str">
        <f>IFERROR(VLOOKUP(E340,DC_Xref!A:B,2,FALSE),"")</f>
        <v/>
      </c>
      <c r="I340">
        <f t="shared" si="17"/>
        <v>0</v>
      </c>
    </row>
    <row r="341" spans="1:9" x14ac:dyDescent="0.3">
      <c r="A341" t="str">
        <f t="shared" si="15"/>
        <v>-</v>
      </c>
      <c r="B341" t="str">
        <f t="shared" si="16"/>
        <v>0-</v>
      </c>
      <c r="H341" t="str">
        <f>IFERROR(VLOOKUP(E341,DC_Xref!A:B,2,FALSE),"")</f>
        <v/>
      </c>
      <c r="I341">
        <f t="shared" si="17"/>
        <v>0</v>
      </c>
    </row>
    <row r="342" spans="1:9" x14ac:dyDescent="0.3">
      <c r="A342" t="str">
        <f t="shared" si="15"/>
        <v>-</v>
      </c>
      <c r="B342" t="str">
        <f t="shared" si="16"/>
        <v>0-</v>
      </c>
      <c r="H342" t="str">
        <f>IFERROR(VLOOKUP(E342,DC_Xref!A:B,2,FALSE),"")</f>
        <v/>
      </c>
      <c r="I342">
        <f t="shared" si="17"/>
        <v>0</v>
      </c>
    </row>
    <row r="343" spans="1:9" x14ac:dyDescent="0.3">
      <c r="A343" t="str">
        <f t="shared" si="15"/>
        <v>-</v>
      </c>
      <c r="B343" t="str">
        <f t="shared" si="16"/>
        <v>0-</v>
      </c>
      <c r="H343" t="str">
        <f>IFERROR(VLOOKUP(E343,DC_Xref!A:B,2,FALSE),"")</f>
        <v/>
      </c>
      <c r="I343">
        <f t="shared" si="17"/>
        <v>0</v>
      </c>
    </row>
    <row r="344" spans="1:9" x14ac:dyDescent="0.3">
      <c r="A344" t="str">
        <f t="shared" si="15"/>
        <v>-</v>
      </c>
      <c r="B344" t="str">
        <f t="shared" si="16"/>
        <v>0-</v>
      </c>
      <c r="H344" t="str">
        <f>IFERROR(VLOOKUP(E344,DC_Xref!A:B,2,FALSE),"")</f>
        <v/>
      </c>
      <c r="I344">
        <f t="shared" si="17"/>
        <v>0</v>
      </c>
    </row>
    <row r="345" spans="1:9" x14ac:dyDescent="0.3">
      <c r="A345" t="str">
        <f t="shared" si="15"/>
        <v>-</v>
      </c>
      <c r="B345" t="str">
        <f t="shared" si="16"/>
        <v>0-</v>
      </c>
      <c r="H345" t="str">
        <f>IFERROR(VLOOKUP(E345,DC_Xref!A:B,2,FALSE),"")</f>
        <v/>
      </c>
      <c r="I345">
        <f t="shared" si="17"/>
        <v>0</v>
      </c>
    </row>
    <row r="346" spans="1:9" x14ac:dyDescent="0.3">
      <c r="A346" t="str">
        <f t="shared" si="15"/>
        <v>-</v>
      </c>
      <c r="B346" t="str">
        <f t="shared" si="16"/>
        <v>0-</v>
      </c>
      <c r="H346" t="str">
        <f>IFERROR(VLOOKUP(E346,DC_Xref!A:B,2,FALSE),"")</f>
        <v/>
      </c>
      <c r="I346">
        <f t="shared" si="17"/>
        <v>0</v>
      </c>
    </row>
    <row r="347" spans="1:9" x14ac:dyDescent="0.3">
      <c r="A347" t="str">
        <f t="shared" si="15"/>
        <v>-</v>
      </c>
      <c r="B347" t="str">
        <f t="shared" si="16"/>
        <v>0-</v>
      </c>
      <c r="H347" t="str">
        <f>IFERROR(VLOOKUP(E347,DC_Xref!A:B,2,FALSE),"")</f>
        <v/>
      </c>
      <c r="I347">
        <f t="shared" si="17"/>
        <v>0</v>
      </c>
    </row>
    <row r="348" spans="1:9" x14ac:dyDescent="0.3">
      <c r="A348" t="str">
        <f t="shared" si="15"/>
        <v>-</v>
      </c>
      <c r="B348" t="str">
        <f t="shared" si="16"/>
        <v>0-</v>
      </c>
      <c r="H348" t="str">
        <f>IFERROR(VLOOKUP(E348,DC_Xref!A:B,2,FALSE),"")</f>
        <v/>
      </c>
      <c r="I348">
        <f t="shared" si="17"/>
        <v>0</v>
      </c>
    </row>
    <row r="349" spans="1:9" x14ac:dyDescent="0.3">
      <c r="A349" t="str">
        <f t="shared" si="15"/>
        <v>-</v>
      </c>
      <c r="B349" t="str">
        <f t="shared" si="16"/>
        <v>0-</v>
      </c>
      <c r="H349" t="str">
        <f>IFERROR(VLOOKUP(E349,DC_Xref!A:B,2,FALSE),"")</f>
        <v/>
      </c>
      <c r="I349">
        <f t="shared" si="17"/>
        <v>0</v>
      </c>
    </row>
    <row r="350" spans="1:9" x14ac:dyDescent="0.3">
      <c r="A350" t="str">
        <f t="shared" si="15"/>
        <v>-</v>
      </c>
      <c r="B350" t="str">
        <f t="shared" si="16"/>
        <v>0-</v>
      </c>
      <c r="H350" t="str">
        <f>IFERROR(VLOOKUP(E350,DC_Xref!A:B,2,FALSE),"")</f>
        <v/>
      </c>
      <c r="I350">
        <f t="shared" si="17"/>
        <v>0</v>
      </c>
    </row>
    <row r="351" spans="1:9" x14ac:dyDescent="0.3">
      <c r="A351" t="str">
        <f t="shared" si="15"/>
        <v>-</v>
      </c>
      <c r="B351" t="str">
        <f t="shared" si="16"/>
        <v>0-</v>
      </c>
      <c r="H351" t="str">
        <f>IFERROR(VLOOKUP(E351,DC_Xref!A:B,2,FALSE),"")</f>
        <v/>
      </c>
      <c r="I351">
        <f t="shared" si="17"/>
        <v>0</v>
      </c>
    </row>
    <row r="352" spans="1:9" x14ac:dyDescent="0.3">
      <c r="A352" t="str">
        <f t="shared" si="15"/>
        <v>-</v>
      </c>
      <c r="B352" t="str">
        <f t="shared" si="16"/>
        <v>0-</v>
      </c>
      <c r="H352" t="str">
        <f>IFERROR(VLOOKUP(E352,DC_Xref!A:B,2,FALSE),"")</f>
        <v/>
      </c>
      <c r="I352">
        <f t="shared" si="17"/>
        <v>0</v>
      </c>
    </row>
    <row r="353" spans="1:9" x14ac:dyDescent="0.3">
      <c r="A353" t="str">
        <f t="shared" si="15"/>
        <v>-</v>
      </c>
      <c r="B353" t="str">
        <f t="shared" si="16"/>
        <v>0-</v>
      </c>
      <c r="H353" t="str">
        <f>IFERROR(VLOOKUP(E353,DC_Xref!A:B,2,FALSE),"")</f>
        <v/>
      </c>
      <c r="I353">
        <f t="shared" si="17"/>
        <v>0</v>
      </c>
    </row>
    <row r="354" spans="1:9" x14ac:dyDescent="0.3">
      <c r="A354" t="str">
        <f t="shared" si="15"/>
        <v>-</v>
      </c>
      <c r="B354" t="str">
        <f t="shared" si="16"/>
        <v>0-</v>
      </c>
      <c r="H354" t="str">
        <f>IFERROR(VLOOKUP(E354,DC_Xref!A:B,2,FALSE),"")</f>
        <v/>
      </c>
      <c r="I354">
        <f t="shared" si="17"/>
        <v>0</v>
      </c>
    </row>
    <row r="355" spans="1:9" x14ac:dyDescent="0.3">
      <c r="A355" t="str">
        <f t="shared" si="15"/>
        <v>-</v>
      </c>
      <c r="B355" t="str">
        <f t="shared" si="16"/>
        <v>0-</v>
      </c>
      <c r="H355" t="str">
        <f>IFERROR(VLOOKUP(E355,DC_Xref!A:B,2,FALSE),"")</f>
        <v/>
      </c>
      <c r="I355">
        <f t="shared" si="17"/>
        <v>0</v>
      </c>
    </row>
    <row r="356" spans="1:9" x14ac:dyDescent="0.3">
      <c r="A356" t="str">
        <f t="shared" si="15"/>
        <v>-</v>
      </c>
      <c r="B356" t="str">
        <f t="shared" si="16"/>
        <v>0-</v>
      </c>
      <c r="H356" t="str">
        <f>IFERROR(VLOOKUP(E356,DC_Xref!A:B,2,FALSE),"")</f>
        <v/>
      </c>
      <c r="I356">
        <f t="shared" si="17"/>
        <v>0</v>
      </c>
    </row>
    <row r="357" spans="1:9" x14ac:dyDescent="0.3">
      <c r="A357" t="str">
        <f t="shared" si="15"/>
        <v>-</v>
      </c>
      <c r="B357" t="str">
        <f t="shared" si="16"/>
        <v>0-</v>
      </c>
      <c r="H357" t="str">
        <f>IFERROR(VLOOKUP(E357,DC_Xref!A:B,2,FALSE),"")</f>
        <v/>
      </c>
      <c r="I357">
        <f t="shared" si="17"/>
        <v>0</v>
      </c>
    </row>
    <row r="358" spans="1:9" x14ac:dyDescent="0.3">
      <c r="A358" t="str">
        <f t="shared" si="15"/>
        <v>-</v>
      </c>
      <c r="B358" t="str">
        <f t="shared" si="16"/>
        <v>0-</v>
      </c>
      <c r="H358" t="str">
        <f>IFERROR(VLOOKUP(E358,DC_Xref!A:B,2,FALSE),"")</f>
        <v/>
      </c>
      <c r="I358">
        <f t="shared" si="17"/>
        <v>0</v>
      </c>
    </row>
    <row r="359" spans="1:9" x14ac:dyDescent="0.3">
      <c r="A359" t="str">
        <f t="shared" si="15"/>
        <v>-</v>
      </c>
      <c r="B359" t="str">
        <f t="shared" si="16"/>
        <v>0-</v>
      </c>
      <c r="H359" t="str">
        <f>IFERROR(VLOOKUP(E359,DC_Xref!A:B,2,FALSE),"")</f>
        <v/>
      </c>
      <c r="I359">
        <f t="shared" si="17"/>
        <v>0</v>
      </c>
    </row>
    <row r="360" spans="1:9" x14ac:dyDescent="0.3">
      <c r="A360" t="str">
        <f t="shared" si="15"/>
        <v>-</v>
      </c>
      <c r="B360" t="str">
        <f t="shared" si="16"/>
        <v>0-</v>
      </c>
      <c r="H360" t="str">
        <f>IFERROR(VLOOKUP(E360,DC_Xref!A:B,2,FALSE),"")</f>
        <v/>
      </c>
      <c r="I360">
        <f t="shared" si="17"/>
        <v>0</v>
      </c>
    </row>
    <row r="361" spans="1:9" x14ac:dyDescent="0.3">
      <c r="A361" t="str">
        <f t="shared" si="15"/>
        <v>-</v>
      </c>
      <c r="B361" t="str">
        <f t="shared" si="16"/>
        <v>0-</v>
      </c>
      <c r="H361" t="str">
        <f>IFERROR(VLOOKUP(E361,DC_Xref!A:B,2,FALSE),"")</f>
        <v/>
      </c>
      <c r="I361">
        <f t="shared" si="17"/>
        <v>0</v>
      </c>
    </row>
    <row r="362" spans="1:9" x14ac:dyDescent="0.3">
      <c r="A362" t="str">
        <f t="shared" si="15"/>
        <v>-</v>
      </c>
      <c r="B362" t="str">
        <f t="shared" si="16"/>
        <v>0-</v>
      </c>
      <c r="H362" t="str">
        <f>IFERROR(VLOOKUP(E362,DC_Xref!A:B,2,FALSE),"")</f>
        <v/>
      </c>
      <c r="I362">
        <f t="shared" si="17"/>
        <v>0</v>
      </c>
    </row>
    <row r="363" spans="1:9" x14ac:dyDescent="0.3">
      <c r="A363" t="str">
        <f t="shared" si="15"/>
        <v>-</v>
      </c>
      <c r="B363" t="str">
        <f t="shared" si="16"/>
        <v>0-</v>
      </c>
      <c r="H363" t="str">
        <f>IFERROR(VLOOKUP(E363,DC_Xref!A:B,2,FALSE),"")</f>
        <v/>
      </c>
      <c r="I363">
        <f t="shared" si="17"/>
        <v>0</v>
      </c>
    </row>
    <row r="364" spans="1:9" x14ac:dyDescent="0.3">
      <c r="A364" t="str">
        <f t="shared" si="15"/>
        <v>-</v>
      </c>
      <c r="B364" t="str">
        <f t="shared" si="16"/>
        <v>0-</v>
      </c>
      <c r="H364" t="str">
        <f>IFERROR(VLOOKUP(E364,DC_Xref!A:B,2,FALSE),"")</f>
        <v/>
      </c>
      <c r="I364">
        <f t="shared" si="17"/>
        <v>0</v>
      </c>
    </row>
    <row r="365" spans="1:9" x14ac:dyDescent="0.3">
      <c r="A365" t="str">
        <f t="shared" si="15"/>
        <v>-</v>
      </c>
      <c r="B365" t="str">
        <f t="shared" si="16"/>
        <v>0-</v>
      </c>
      <c r="H365" t="str">
        <f>IFERROR(VLOOKUP(E365,DC_Xref!A:B,2,FALSE),"")</f>
        <v/>
      </c>
      <c r="I365">
        <f t="shared" si="17"/>
        <v>0</v>
      </c>
    </row>
    <row r="366" spans="1:9" x14ac:dyDescent="0.3">
      <c r="A366" t="str">
        <f t="shared" si="15"/>
        <v>-</v>
      </c>
      <c r="B366" t="str">
        <f t="shared" si="16"/>
        <v>0-</v>
      </c>
      <c r="H366" t="str">
        <f>IFERROR(VLOOKUP(E366,DC_Xref!A:B,2,FALSE),"")</f>
        <v/>
      </c>
      <c r="I366">
        <f t="shared" si="17"/>
        <v>0</v>
      </c>
    </row>
    <row r="367" spans="1:9" x14ac:dyDescent="0.3">
      <c r="A367" t="str">
        <f t="shared" si="15"/>
        <v>-</v>
      </c>
      <c r="B367" t="str">
        <f t="shared" si="16"/>
        <v>0-</v>
      </c>
      <c r="H367" t="str">
        <f>IFERROR(VLOOKUP(E367,DC_Xref!A:B,2,FALSE),"")</f>
        <v/>
      </c>
      <c r="I367">
        <f t="shared" si="17"/>
        <v>0</v>
      </c>
    </row>
    <row r="368" spans="1:9" x14ac:dyDescent="0.3">
      <c r="A368" t="str">
        <f t="shared" si="15"/>
        <v>-</v>
      </c>
      <c r="B368" t="str">
        <f t="shared" si="16"/>
        <v>0-</v>
      </c>
      <c r="H368" t="str">
        <f>IFERROR(VLOOKUP(E368,DC_Xref!A:B,2,FALSE),"")</f>
        <v/>
      </c>
      <c r="I368">
        <f t="shared" si="17"/>
        <v>0</v>
      </c>
    </row>
    <row r="369" spans="1:9" x14ac:dyDescent="0.3">
      <c r="A369" t="str">
        <f t="shared" si="15"/>
        <v>-</v>
      </c>
      <c r="B369" t="str">
        <f t="shared" si="16"/>
        <v>0-</v>
      </c>
      <c r="H369" t="str">
        <f>IFERROR(VLOOKUP(E369,DC_Xref!A:B,2,FALSE),"")</f>
        <v/>
      </c>
      <c r="I369">
        <f t="shared" si="17"/>
        <v>0</v>
      </c>
    </row>
    <row r="370" spans="1:9" x14ac:dyDescent="0.3">
      <c r="A370" t="str">
        <f t="shared" si="15"/>
        <v>-</v>
      </c>
      <c r="B370" t="str">
        <f t="shared" si="16"/>
        <v>0-</v>
      </c>
      <c r="H370" t="str">
        <f>IFERROR(VLOOKUP(E370,DC_Xref!A:B,2,FALSE),"")</f>
        <v/>
      </c>
      <c r="I370">
        <f t="shared" si="17"/>
        <v>0</v>
      </c>
    </row>
    <row r="371" spans="1:9" x14ac:dyDescent="0.3">
      <c r="A371" t="str">
        <f t="shared" si="15"/>
        <v>-</v>
      </c>
      <c r="B371" t="str">
        <f t="shared" si="16"/>
        <v>0-</v>
      </c>
      <c r="H371" t="str">
        <f>IFERROR(VLOOKUP(E371,DC_Xref!A:B,2,FALSE),"")</f>
        <v/>
      </c>
      <c r="I371">
        <f t="shared" si="17"/>
        <v>0</v>
      </c>
    </row>
    <row r="372" spans="1:9" x14ac:dyDescent="0.3">
      <c r="A372" t="str">
        <f t="shared" si="15"/>
        <v>-</v>
      </c>
      <c r="B372" t="str">
        <f t="shared" si="16"/>
        <v>0-</v>
      </c>
      <c r="H372" t="str">
        <f>IFERROR(VLOOKUP(E372,DC_Xref!A:B,2,FALSE),"")</f>
        <v/>
      </c>
      <c r="I372">
        <f t="shared" si="17"/>
        <v>0</v>
      </c>
    </row>
    <row r="373" spans="1:9" x14ac:dyDescent="0.3">
      <c r="A373" t="str">
        <f t="shared" si="15"/>
        <v>-</v>
      </c>
      <c r="B373" t="str">
        <f t="shared" si="16"/>
        <v>0-</v>
      </c>
      <c r="H373" t="str">
        <f>IFERROR(VLOOKUP(E373,DC_Xref!A:B,2,FALSE),"")</f>
        <v/>
      </c>
      <c r="I373">
        <f t="shared" si="17"/>
        <v>0</v>
      </c>
    </row>
    <row r="374" spans="1:9" x14ac:dyDescent="0.3">
      <c r="A374" t="str">
        <f t="shared" si="15"/>
        <v>-</v>
      </c>
      <c r="B374" t="str">
        <f t="shared" si="16"/>
        <v>0-</v>
      </c>
      <c r="H374" t="str">
        <f>IFERROR(VLOOKUP(E374,DC_Xref!A:B,2,FALSE),"")</f>
        <v/>
      </c>
      <c r="I374">
        <f t="shared" si="17"/>
        <v>0</v>
      </c>
    </row>
    <row r="375" spans="1:9" x14ac:dyDescent="0.3">
      <c r="A375" t="str">
        <f t="shared" si="15"/>
        <v>-</v>
      </c>
      <c r="B375" t="str">
        <f t="shared" si="16"/>
        <v>0-</v>
      </c>
      <c r="H375" t="str">
        <f>IFERROR(VLOOKUP(E375,DC_Xref!A:B,2,FALSE),"")</f>
        <v/>
      </c>
      <c r="I375">
        <f t="shared" si="17"/>
        <v>0</v>
      </c>
    </row>
    <row r="376" spans="1:9" x14ac:dyDescent="0.3">
      <c r="A376" t="str">
        <f t="shared" si="15"/>
        <v>-</v>
      </c>
      <c r="B376" t="str">
        <f t="shared" si="16"/>
        <v>0-</v>
      </c>
      <c r="H376" t="str">
        <f>IFERROR(VLOOKUP(E376,DC_Xref!A:B,2,FALSE),"")</f>
        <v/>
      </c>
      <c r="I376">
        <f t="shared" si="17"/>
        <v>0</v>
      </c>
    </row>
    <row r="377" spans="1:9" x14ac:dyDescent="0.3">
      <c r="A377" t="str">
        <f t="shared" si="15"/>
        <v>-</v>
      </c>
      <c r="B377" t="str">
        <f t="shared" si="16"/>
        <v>0-</v>
      </c>
      <c r="H377" t="str">
        <f>IFERROR(VLOOKUP(E377,DC_Xref!A:B,2,FALSE),"")</f>
        <v/>
      </c>
      <c r="I377">
        <f t="shared" si="17"/>
        <v>0</v>
      </c>
    </row>
    <row r="378" spans="1:9" x14ac:dyDescent="0.3">
      <c r="A378" t="str">
        <f t="shared" si="15"/>
        <v>-</v>
      </c>
      <c r="B378" t="str">
        <f t="shared" si="16"/>
        <v>0-</v>
      </c>
      <c r="H378" t="str">
        <f>IFERROR(VLOOKUP(E378,DC_Xref!A:B,2,FALSE),"")</f>
        <v/>
      </c>
      <c r="I378">
        <f t="shared" si="17"/>
        <v>0</v>
      </c>
    </row>
    <row r="379" spans="1:9" x14ac:dyDescent="0.3">
      <c r="A379" t="str">
        <f t="shared" si="15"/>
        <v>-</v>
      </c>
      <c r="B379" t="str">
        <f t="shared" si="16"/>
        <v>0-</v>
      </c>
      <c r="H379" t="str">
        <f>IFERROR(VLOOKUP(E379,DC_Xref!A:B,2,FALSE),"")</f>
        <v/>
      </c>
      <c r="I379">
        <f t="shared" si="17"/>
        <v>0</v>
      </c>
    </row>
    <row r="380" spans="1:9" x14ac:dyDescent="0.3">
      <c r="A380" t="str">
        <f t="shared" si="15"/>
        <v>-</v>
      </c>
      <c r="B380" t="str">
        <f t="shared" si="16"/>
        <v>0-</v>
      </c>
      <c r="H380" t="str">
        <f>IFERROR(VLOOKUP(E380,DC_Xref!A:B,2,FALSE),"")</f>
        <v/>
      </c>
      <c r="I380">
        <f t="shared" si="17"/>
        <v>0</v>
      </c>
    </row>
    <row r="381" spans="1:9" x14ac:dyDescent="0.3">
      <c r="A381" t="str">
        <f t="shared" si="15"/>
        <v>-</v>
      </c>
      <c r="B381" t="str">
        <f t="shared" si="16"/>
        <v>0-</v>
      </c>
      <c r="H381" t="str">
        <f>IFERROR(VLOOKUP(E381,DC_Xref!A:B,2,FALSE),"")</f>
        <v/>
      </c>
      <c r="I381">
        <f t="shared" si="17"/>
        <v>0</v>
      </c>
    </row>
    <row r="382" spans="1:9" x14ac:dyDescent="0.3">
      <c r="A382" t="str">
        <f t="shared" si="15"/>
        <v>-</v>
      </c>
      <c r="B382" t="str">
        <f t="shared" si="16"/>
        <v>0-</v>
      </c>
      <c r="H382" t="str">
        <f>IFERROR(VLOOKUP(E382,DC_Xref!A:B,2,FALSE),"")</f>
        <v/>
      </c>
      <c r="I382">
        <f t="shared" si="17"/>
        <v>0</v>
      </c>
    </row>
    <row r="383" spans="1:9" x14ac:dyDescent="0.3">
      <c r="A383" t="str">
        <f t="shared" si="15"/>
        <v>-</v>
      </c>
      <c r="B383" t="str">
        <f t="shared" si="16"/>
        <v>0-</v>
      </c>
      <c r="H383" t="str">
        <f>IFERROR(VLOOKUP(E383,DC_Xref!A:B,2,FALSE),"")</f>
        <v/>
      </c>
      <c r="I383">
        <f t="shared" si="17"/>
        <v>0</v>
      </c>
    </row>
    <row r="384" spans="1:9" x14ac:dyDescent="0.3">
      <c r="A384" t="str">
        <f t="shared" si="15"/>
        <v>-</v>
      </c>
      <c r="B384" t="str">
        <f t="shared" si="16"/>
        <v>0-</v>
      </c>
      <c r="H384" t="str">
        <f>IFERROR(VLOOKUP(E384,DC_Xref!A:B,2,FALSE),"")</f>
        <v/>
      </c>
      <c r="I384">
        <f t="shared" si="17"/>
        <v>0</v>
      </c>
    </row>
    <row r="385" spans="1:9" x14ac:dyDescent="0.3">
      <c r="A385" t="str">
        <f t="shared" si="15"/>
        <v>-</v>
      </c>
      <c r="B385" t="str">
        <f t="shared" si="16"/>
        <v>0-</v>
      </c>
      <c r="H385" t="str">
        <f>IFERROR(VLOOKUP(E385,DC_Xref!A:B,2,FALSE),"")</f>
        <v/>
      </c>
      <c r="I385">
        <f t="shared" si="17"/>
        <v>0</v>
      </c>
    </row>
    <row r="386" spans="1:9" x14ac:dyDescent="0.3">
      <c r="A386" t="str">
        <f t="shared" ref="A386:A449" si="18">C386&amp;"-"&amp;F386</f>
        <v>-</v>
      </c>
      <c r="B386" t="str">
        <f t="shared" ref="B386:B449" si="19">I386&amp;"-"&amp;H386</f>
        <v>0-</v>
      </c>
      <c r="H386" t="str">
        <f>IFERROR(VLOOKUP(E386,DC_Xref!A:B,2,FALSE),"")</f>
        <v/>
      </c>
      <c r="I386">
        <f t="shared" ref="I386:I449" si="20">C386*100+D386</f>
        <v>0</v>
      </c>
    </row>
    <row r="387" spans="1:9" x14ac:dyDescent="0.3">
      <c r="A387" t="str">
        <f t="shared" si="18"/>
        <v>-</v>
      </c>
      <c r="B387" t="str">
        <f t="shared" si="19"/>
        <v>0-</v>
      </c>
      <c r="H387" t="str">
        <f>IFERROR(VLOOKUP(E387,DC_Xref!A:B,2,FALSE),"")</f>
        <v/>
      </c>
      <c r="I387">
        <f t="shared" si="20"/>
        <v>0</v>
      </c>
    </row>
    <row r="388" spans="1:9" x14ac:dyDescent="0.3">
      <c r="A388" t="str">
        <f t="shared" si="18"/>
        <v>-</v>
      </c>
      <c r="B388" t="str">
        <f t="shared" si="19"/>
        <v>0-</v>
      </c>
      <c r="H388" t="str">
        <f>IFERROR(VLOOKUP(E388,DC_Xref!A:B,2,FALSE),"")</f>
        <v/>
      </c>
      <c r="I388">
        <f t="shared" si="20"/>
        <v>0</v>
      </c>
    </row>
    <row r="389" spans="1:9" x14ac:dyDescent="0.3">
      <c r="A389" t="str">
        <f t="shared" si="18"/>
        <v>-</v>
      </c>
      <c r="B389" t="str">
        <f t="shared" si="19"/>
        <v>0-</v>
      </c>
      <c r="H389" t="str">
        <f>IFERROR(VLOOKUP(E389,DC_Xref!A:B,2,FALSE),"")</f>
        <v/>
      </c>
      <c r="I389">
        <f t="shared" si="20"/>
        <v>0</v>
      </c>
    </row>
    <row r="390" spans="1:9" x14ac:dyDescent="0.3">
      <c r="A390" t="str">
        <f t="shared" si="18"/>
        <v>-</v>
      </c>
      <c r="B390" t="str">
        <f t="shared" si="19"/>
        <v>0-</v>
      </c>
      <c r="H390" t="str">
        <f>IFERROR(VLOOKUP(E390,DC_Xref!A:B,2,FALSE),"")</f>
        <v/>
      </c>
      <c r="I390">
        <f t="shared" si="20"/>
        <v>0</v>
      </c>
    </row>
    <row r="391" spans="1:9" x14ac:dyDescent="0.3">
      <c r="A391" t="str">
        <f t="shared" si="18"/>
        <v>-</v>
      </c>
      <c r="B391" t="str">
        <f t="shared" si="19"/>
        <v>0-</v>
      </c>
      <c r="H391" t="str">
        <f>IFERROR(VLOOKUP(E391,DC_Xref!A:B,2,FALSE),"")</f>
        <v/>
      </c>
      <c r="I391">
        <f t="shared" si="20"/>
        <v>0</v>
      </c>
    </row>
    <row r="392" spans="1:9" x14ac:dyDescent="0.3">
      <c r="A392" t="str">
        <f t="shared" si="18"/>
        <v>-</v>
      </c>
      <c r="B392" t="str">
        <f t="shared" si="19"/>
        <v>0-</v>
      </c>
      <c r="H392" t="str">
        <f>IFERROR(VLOOKUP(E392,DC_Xref!A:B,2,FALSE),"")</f>
        <v/>
      </c>
      <c r="I392">
        <f t="shared" si="20"/>
        <v>0</v>
      </c>
    </row>
    <row r="393" spans="1:9" x14ac:dyDescent="0.3">
      <c r="A393" t="str">
        <f t="shared" si="18"/>
        <v>-</v>
      </c>
      <c r="B393" t="str">
        <f t="shared" si="19"/>
        <v>0-</v>
      </c>
      <c r="H393" t="str">
        <f>IFERROR(VLOOKUP(E393,DC_Xref!A:B,2,FALSE),"")</f>
        <v/>
      </c>
      <c r="I393">
        <f t="shared" si="20"/>
        <v>0</v>
      </c>
    </row>
    <row r="394" spans="1:9" x14ac:dyDescent="0.3">
      <c r="A394" t="str">
        <f t="shared" si="18"/>
        <v>-</v>
      </c>
      <c r="B394" t="str">
        <f t="shared" si="19"/>
        <v>0-</v>
      </c>
      <c r="H394" t="str">
        <f>IFERROR(VLOOKUP(E394,DC_Xref!A:B,2,FALSE),"")</f>
        <v/>
      </c>
      <c r="I394">
        <f t="shared" si="20"/>
        <v>0</v>
      </c>
    </row>
    <row r="395" spans="1:9" x14ac:dyDescent="0.3">
      <c r="A395" t="str">
        <f t="shared" si="18"/>
        <v>-</v>
      </c>
      <c r="B395" t="str">
        <f t="shared" si="19"/>
        <v>0-</v>
      </c>
      <c r="H395" t="str">
        <f>IFERROR(VLOOKUP(E395,DC_Xref!A:B,2,FALSE),"")</f>
        <v/>
      </c>
      <c r="I395">
        <f t="shared" si="20"/>
        <v>0</v>
      </c>
    </row>
    <row r="396" spans="1:9" x14ac:dyDescent="0.3">
      <c r="A396" t="str">
        <f t="shared" si="18"/>
        <v>-</v>
      </c>
      <c r="B396" t="str">
        <f t="shared" si="19"/>
        <v>0-</v>
      </c>
      <c r="H396" t="str">
        <f>IFERROR(VLOOKUP(E396,DC_Xref!A:B,2,FALSE),"")</f>
        <v/>
      </c>
      <c r="I396">
        <f t="shared" si="20"/>
        <v>0</v>
      </c>
    </row>
    <row r="397" spans="1:9" x14ac:dyDescent="0.3">
      <c r="A397" t="str">
        <f t="shared" si="18"/>
        <v>-</v>
      </c>
      <c r="B397" t="str">
        <f t="shared" si="19"/>
        <v>0-</v>
      </c>
      <c r="H397" t="str">
        <f>IFERROR(VLOOKUP(E397,DC_Xref!A:B,2,FALSE),"")</f>
        <v/>
      </c>
      <c r="I397">
        <f t="shared" si="20"/>
        <v>0</v>
      </c>
    </row>
    <row r="398" spans="1:9" x14ac:dyDescent="0.3">
      <c r="A398" t="str">
        <f t="shared" si="18"/>
        <v>-</v>
      </c>
      <c r="B398" t="str">
        <f t="shared" si="19"/>
        <v>0-</v>
      </c>
      <c r="H398" t="str">
        <f>IFERROR(VLOOKUP(E398,DC_Xref!A:B,2,FALSE),"")</f>
        <v/>
      </c>
      <c r="I398">
        <f t="shared" si="20"/>
        <v>0</v>
      </c>
    </row>
    <row r="399" spans="1:9" x14ac:dyDescent="0.3">
      <c r="A399" t="str">
        <f t="shared" si="18"/>
        <v>-</v>
      </c>
      <c r="B399" t="str">
        <f t="shared" si="19"/>
        <v>0-</v>
      </c>
      <c r="H399" t="str">
        <f>IFERROR(VLOOKUP(E399,DC_Xref!A:B,2,FALSE),"")</f>
        <v/>
      </c>
      <c r="I399">
        <f t="shared" si="20"/>
        <v>0</v>
      </c>
    </row>
    <row r="400" spans="1:9" x14ac:dyDescent="0.3">
      <c r="A400" t="str">
        <f t="shared" si="18"/>
        <v>-</v>
      </c>
      <c r="B400" t="str">
        <f t="shared" si="19"/>
        <v>0-</v>
      </c>
      <c r="H400" t="str">
        <f>IFERROR(VLOOKUP(E400,DC_Xref!A:B,2,FALSE),"")</f>
        <v/>
      </c>
      <c r="I400">
        <f t="shared" si="20"/>
        <v>0</v>
      </c>
    </row>
    <row r="401" spans="1:9" x14ac:dyDescent="0.3">
      <c r="A401" t="str">
        <f t="shared" si="18"/>
        <v>-</v>
      </c>
      <c r="B401" t="str">
        <f t="shared" si="19"/>
        <v>0-</v>
      </c>
      <c r="H401" t="str">
        <f>IFERROR(VLOOKUP(E401,DC_Xref!A:B,2,FALSE),"")</f>
        <v/>
      </c>
      <c r="I401">
        <f t="shared" si="20"/>
        <v>0</v>
      </c>
    </row>
    <row r="402" spans="1:9" x14ac:dyDescent="0.3">
      <c r="A402" t="str">
        <f t="shared" si="18"/>
        <v>-</v>
      </c>
      <c r="B402" t="str">
        <f t="shared" si="19"/>
        <v>0-</v>
      </c>
      <c r="H402" t="str">
        <f>IFERROR(VLOOKUP(E402,DC_Xref!A:B,2,FALSE),"")</f>
        <v/>
      </c>
      <c r="I402">
        <f t="shared" si="20"/>
        <v>0</v>
      </c>
    </row>
    <row r="403" spans="1:9" x14ac:dyDescent="0.3">
      <c r="A403" t="str">
        <f t="shared" si="18"/>
        <v>-</v>
      </c>
      <c r="B403" t="str">
        <f t="shared" si="19"/>
        <v>0-</v>
      </c>
      <c r="H403" t="str">
        <f>IFERROR(VLOOKUP(E403,DC_Xref!A:B,2,FALSE),"")</f>
        <v/>
      </c>
      <c r="I403">
        <f t="shared" si="20"/>
        <v>0</v>
      </c>
    </row>
    <row r="404" spans="1:9" x14ac:dyDescent="0.3">
      <c r="A404" t="str">
        <f t="shared" si="18"/>
        <v>-</v>
      </c>
      <c r="B404" t="str">
        <f t="shared" si="19"/>
        <v>0-</v>
      </c>
      <c r="H404" t="str">
        <f>IFERROR(VLOOKUP(E404,DC_Xref!A:B,2,FALSE),"")</f>
        <v/>
      </c>
      <c r="I404">
        <f t="shared" si="20"/>
        <v>0</v>
      </c>
    </row>
    <row r="405" spans="1:9" x14ac:dyDescent="0.3">
      <c r="A405" t="str">
        <f t="shared" si="18"/>
        <v>-</v>
      </c>
      <c r="B405" t="str">
        <f t="shared" si="19"/>
        <v>0-</v>
      </c>
      <c r="H405" t="str">
        <f>IFERROR(VLOOKUP(E405,DC_Xref!A:B,2,FALSE),"")</f>
        <v/>
      </c>
      <c r="I405">
        <f t="shared" si="20"/>
        <v>0</v>
      </c>
    </row>
    <row r="406" spans="1:9" x14ac:dyDescent="0.3">
      <c r="A406" t="str">
        <f t="shared" si="18"/>
        <v>-</v>
      </c>
      <c r="B406" t="str">
        <f t="shared" si="19"/>
        <v>0-</v>
      </c>
      <c r="H406" t="str">
        <f>IFERROR(VLOOKUP(E406,DC_Xref!A:B,2,FALSE),"")</f>
        <v/>
      </c>
      <c r="I406">
        <f t="shared" si="20"/>
        <v>0</v>
      </c>
    </row>
    <row r="407" spans="1:9" x14ac:dyDescent="0.3">
      <c r="A407" t="str">
        <f t="shared" si="18"/>
        <v>-</v>
      </c>
      <c r="B407" t="str">
        <f t="shared" si="19"/>
        <v>0-</v>
      </c>
      <c r="H407" t="str">
        <f>IFERROR(VLOOKUP(E407,DC_Xref!A:B,2,FALSE),"")</f>
        <v/>
      </c>
      <c r="I407">
        <f t="shared" si="20"/>
        <v>0</v>
      </c>
    </row>
    <row r="408" spans="1:9" x14ac:dyDescent="0.3">
      <c r="A408" t="str">
        <f t="shared" si="18"/>
        <v>-</v>
      </c>
      <c r="B408" t="str">
        <f t="shared" si="19"/>
        <v>0-</v>
      </c>
      <c r="H408" t="str">
        <f>IFERROR(VLOOKUP(E408,DC_Xref!A:B,2,FALSE),"")</f>
        <v/>
      </c>
      <c r="I408">
        <f t="shared" si="20"/>
        <v>0</v>
      </c>
    </row>
    <row r="409" spans="1:9" x14ac:dyDescent="0.3">
      <c r="A409" t="str">
        <f t="shared" si="18"/>
        <v>-</v>
      </c>
      <c r="B409" t="str">
        <f t="shared" si="19"/>
        <v>0-</v>
      </c>
      <c r="H409" t="str">
        <f>IFERROR(VLOOKUP(E409,DC_Xref!A:B,2,FALSE),"")</f>
        <v/>
      </c>
      <c r="I409">
        <f t="shared" si="20"/>
        <v>0</v>
      </c>
    </row>
    <row r="410" spans="1:9" x14ac:dyDescent="0.3">
      <c r="A410" t="str">
        <f t="shared" si="18"/>
        <v>-</v>
      </c>
      <c r="B410" t="str">
        <f t="shared" si="19"/>
        <v>0-</v>
      </c>
      <c r="H410" t="str">
        <f>IFERROR(VLOOKUP(E410,DC_Xref!A:B,2,FALSE),"")</f>
        <v/>
      </c>
      <c r="I410">
        <f t="shared" si="20"/>
        <v>0</v>
      </c>
    </row>
    <row r="411" spans="1:9" x14ac:dyDescent="0.3">
      <c r="A411" t="str">
        <f t="shared" si="18"/>
        <v>-</v>
      </c>
      <c r="B411" t="str">
        <f t="shared" si="19"/>
        <v>0-</v>
      </c>
      <c r="H411" t="str">
        <f>IFERROR(VLOOKUP(E411,DC_Xref!A:B,2,FALSE),"")</f>
        <v/>
      </c>
      <c r="I411">
        <f t="shared" si="20"/>
        <v>0</v>
      </c>
    </row>
    <row r="412" spans="1:9" x14ac:dyDescent="0.3">
      <c r="A412" t="str">
        <f t="shared" si="18"/>
        <v>-</v>
      </c>
      <c r="B412" t="str">
        <f t="shared" si="19"/>
        <v>0-</v>
      </c>
      <c r="H412" t="str">
        <f>IFERROR(VLOOKUP(E412,DC_Xref!A:B,2,FALSE),"")</f>
        <v/>
      </c>
      <c r="I412">
        <f t="shared" si="20"/>
        <v>0</v>
      </c>
    </row>
    <row r="413" spans="1:9" x14ac:dyDescent="0.3">
      <c r="A413" t="str">
        <f t="shared" si="18"/>
        <v>-</v>
      </c>
      <c r="B413" t="str">
        <f t="shared" si="19"/>
        <v>0-</v>
      </c>
      <c r="H413" t="str">
        <f>IFERROR(VLOOKUP(E413,DC_Xref!A:B,2,FALSE),"")</f>
        <v/>
      </c>
      <c r="I413">
        <f t="shared" si="20"/>
        <v>0</v>
      </c>
    </row>
    <row r="414" spans="1:9" x14ac:dyDescent="0.3">
      <c r="A414" t="str">
        <f t="shared" si="18"/>
        <v>-</v>
      </c>
      <c r="B414" t="str">
        <f t="shared" si="19"/>
        <v>0-</v>
      </c>
      <c r="H414" t="str">
        <f>IFERROR(VLOOKUP(E414,DC_Xref!A:B,2,FALSE),"")</f>
        <v/>
      </c>
      <c r="I414">
        <f t="shared" si="20"/>
        <v>0</v>
      </c>
    </row>
    <row r="415" spans="1:9" x14ac:dyDescent="0.3">
      <c r="A415" t="str">
        <f t="shared" si="18"/>
        <v>-</v>
      </c>
      <c r="B415" t="str">
        <f t="shared" si="19"/>
        <v>0-</v>
      </c>
      <c r="H415" t="str">
        <f>IFERROR(VLOOKUP(E415,DC_Xref!A:B,2,FALSE),"")</f>
        <v/>
      </c>
      <c r="I415">
        <f t="shared" si="20"/>
        <v>0</v>
      </c>
    </row>
    <row r="416" spans="1:9" x14ac:dyDescent="0.3">
      <c r="A416" t="str">
        <f t="shared" si="18"/>
        <v>-</v>
      </c>
      <c r="B416" t="str">
        <f t="shared" si="19"/>
        <v>0-</v>
      </c>
      <c r="H416" t="str">
        <f>IFERROR(VLOOKUP(E416,DC_Xref!A:B,2,FALSE),"")</f>
        <v/>
      </c>
      <c r="I416">
        <f t="shared" si="20"/>
        <v>0</v>
      </c>
    </row>
    <row r="417" spans="1:9" x14ac:dyDescent="0.3">
      <c r="A417" t="str">
        <f t="shared" si="18"/>
        <v>-</v>
      </c>
      <c r="B417" t="str">
        <f t="shared" si="19"/>
        <v>0-</v>
      </c>
      <c r="H417" t="str">
        <f>IFERROR(VLOOKUP(E417,DC_Xref!A:B,2,FALSE),"")</f>
        <v/>
      </c>
      <c r="I417">
        <f t="shared" si="20"/>
        <v>0</v>
      </c>
    </row>
    <row r="418" spans="1:9" x14ac:dyDescent="0.3">
      <c r="A418" t="str">
        <f t="shared" si="18"/>
        <v>-</v>
      </c>
      <c r="B418" t="str">
        <f t="shared" si="19"/>
        <v>0-</v>
      </c>
      <c r="H418" t="str">
        <f>IFERROR(VLOOKUP(E418,DC_Xref!A:B,2,FALSE),"")</f>
        <v/>
      </c>
      <c r="I418">
        <f t="shared" si="20"/>
        <v>0</v>
      </c>
    </row>
    <row r="419" spans="1:9" x14ac:dyDescent="0.3">
      <c r="A419" t="str">
        <f t="shared" si="18"/>
        <v>-</v>
      </c>
      <c r="B419" t="str">
        <f t="shared" si="19"/>
        <v>0-</v>
      </c>
      <c r="H419" t="str">
        <f>IFERROR(VLOOKUP(E419,DC_Xref!A:B,2,FALSE),"")</f>
        <v/>
      </c>
      <c r="I419">
        <f t="shared" si="20"/>
        <v>0</v>
      </c>
    </row>
    <row r="420" spans="1:9" x14ac:dyDescent="0.3">
      <c r="A420" t="str">
        <f t="shared" si="18"/>
        <v>-</v>
      </c>
      <c r="B420" t="str">
        <f t="shared" si="19"/>
        <v>0-</v>
      </c>
      <c r="H420" t="str">
        <f>IFERROR(VLOOKUP(E420,DC_Xref!A:B,2,FALSE),"")</f>
        <v/>
      </c>
      <c r="I420">
        <f t="shared" si="20"/>
        <v>0</v>
      </c>
    </row>
    <row r="421" spans="1:9" x14ac:dyDescent="0.3">
      <c r="A421" t="str">
        <f t="shared" si="18"/>
        <v>-</v>
      </c>
      <c r="B421" t="str">
        <f t="shared" si="19"/>
        <v>0-</v>
      </c>
      <c r="H421" t="str">
        <f>IFERROR(VLOOKUP(E421,DC_Xref!A:B,2,FALSE),"")</f>
        <v/>
      </c>
      <c r="I421">
        <f t="shared" si="20"/>
        <v>0</v>
      </c>
    </row>
    <row r="422" spans="1:9" x14ac:dyDescent="0.3">
      <c r="A422" t="str">
        <f t="shared" si="18"/>
        <v>-</v>
      </c>
      <c r="B422" t="str">
        <f t="shared" si="19"/>
        <v>0-</v>
      </c>
      <c r="H422" t="str">
        <f>IFERROR(VLOOKUP(E422,DC_Xref!A:B,2,FALSE),"")</f>
        <v/>
      </c>
      <c r="I422">
        <f t="shared" si="20"/>
        <v>0</v>
      </c>
    </row>
    <row r="423" spans="1:9" x14ac:dyDescent="0.3">
      <c r="A423" t="str">
        <f t="shared" si="18"/>
        <v>-</v>
      </c>
      <c r="B423" t="str">
        <f t="shared" si="19"/>
        <v>0-</v>
      </c>
      <c r="H423" t="str">
        <f>IFERROR(VLOOKUP(E423,DC_Xref!A:B,2,FALSE),"")</f>
        <v/>
      </c>
      <c r="I423">
        <f t="shared" si="20"/>
        <v>0</v>
      </c>
    </row>
    <row r="424" spans="1:9" x14ac:dyDescent="0.3">
      <c r="A424" t="str">
        <f t="shared" si="18"/>
        <v>-</v>
      </c>
      <c r="B424" t="str">
        <f t="shared" si="19"/>
        <v>0-</v>
      </c>
      <c r="H424" t="str">
        <f>IFERROR(VLOOKUP(E424,DC_Xref!A:B,2,FALSE),"")</f>
        <v/>
      </c>
      <c r="I424">
        <f t="shared" si="20"/>
        <v>0</v>
      </c>
    </row>
    <row r="425" spans="1:9" x14ac:dyDescent="0.3">
      <c r="A425" t="str">
        <f t="shared" si="18"/>
        <v>-</v>
      </c>
      <c r="B425" t="str">
        <f t="shared" si="19"/>
        <v>0-</v>
      </c>
      <c r="H425" t="str">
        <f>IFERROR(VLOOKUP(E425,DC_Xref!A:B,2,FALSE),"")</f>
        <v/>
      </c>
      <c r="I425">
        <f t="shared" si="20"/>
        <v>0</v>
      </c>
    </row>
    <row r="426" spans="1:9" x14ac:dyDescent="0.3">
      <c r="A426" t="str">
        <f t="shared" si="18"/>
        <v>-</v>
      </c>
      <c r="B426" t="str">
        <f t="shared" si="19"/>
        <v>0-</v>
      </c>
      <c r="H426" t="str">
        <f>IFERROR(VLOOKUP(E426,DC_Xref!A:B,2,FALSE),"")</f>
        <v/>
      </c>
      <c r="I426">
        <f t="shared" si="20"/>
        <v>0</v>
      </c>
    </row>
    <row r="427" spans="1:9" x14ac:dyDescent="0.3">
      <c r="A427" t="str">
        <f t="shared" si="18"/>
        <v>-</v>
      </c>
      <c r="B427" t="str">
        <f t="shared" si="19"/>
        <v>0-</v>
      </c>
      <c r="H427" t="str">
        <f>IFERROR(VLOOKUP(E427,DC_Xref!A:B,2,FALSE),"")</f>
        <v/>
      </c>
      <c r="I427">
        <f t="shared" si="20"/>
        <v>0</v>
      </c>
    </row>
    <row r="428" spans="1:9" x14ac:dyDescent="0.3">
      <c r="A428" t="str">
        <f t="shared" si="18"/>
        <v>-</v>
      </c>
      <c r="B428" t="str">
        <f t="shared" si="19"/>
        <v>0-</v>
      </c>
      <c r="H428" t="str">
        <f>IFERROR(VLOOKUP(E428,DC_Xref!A:B,2,FALSE),"")</f>
        <v/>
      </c>
      <c r="I428">
        <f t="shared" si="20"/>
        <v>0</v>
      </c>
    </row>
    <row r="429" spans="1:9" x14ac:dyDescent="0.3">
      <c r="A429" t="str">
        <f t="shared" si="18"/>
        <v>-</v>
      </c>
      <c r="B429" t="str">
        <f t="shared" si="19"/>
        <v>0-</v>
      </c>
      <c r="H429" t="str">
        <f>IFERROR(VLOOKUP(E429,DC_Xref!A:B,2,FALSE),"")</f>
        <v/>
      </c>
      <c r="I429">
        <f t="shared" si="20"/>
        <v>0</v>
      </c>
    </row>
    <row r="430" spans="1:9" x14ac:dyDescent="0.3">
      <c r="A430" t="str">
        <f t="shared" si="18"/>
        <v>-</v>
      </c>
      <c r="B430" t="str">
        <f t="shared" si="19"/>
        <v>0-</v>
      </c>
      <c r="H430" t="str">
        <f>IFERROR(VLOOKUP(E430,DC_Xref!A:B,2,FALSE),"")</f>
        <v/>
      </c>
      <c r="I430">
        <f t="shared" si="20"/>
        <v>0</v>
      </c>
    </row>
    <row r="431" spans="1:9" x14ac:dyDescent="0.3">
      <c r="A431" t="str">
        <f t="shared" si="18"/>
        <v>-</v>
      </c>
      <c r="B431" t="str">
        <f t="shared" si="19"/>
        <v>0-</v>
      </c>
      <c r="H431" t="str">
        <f>IFERROR(VLOOKUP(E431,DC_Xref!A:B,2,FALSE),"")</f>
        <v/>
      </c>
      <c r="I431">
        <f t="shared" si="20"/>
        <v>0</v>
      </c>
    </row>
    <row r="432" spans="1:9" x14ac:dyDescent="0.3">
      <c r="A432" t="str">
        <f t="shared" si="18"/>
        <v>-</v>
      </c>
      <c r="B432" t="str">
        <f t="shared" si="19"/>
        <v>0-</v>
      </c>
      <c r="H432" t="str">
        <f>IFERROR(VLOOKUP(E432,DC_Xref!A:B,2,FALSE),"")</f>
        <v/>
      </c>
      <c r="I432">
        <f t="shared" si="20"/>
        <v>0</v>
      </c>
    </row>
    <row r="433" spans="1:9" x14ac:dyDescent="0.3">
      <c r="A433" t="str">
        <f t="shared" si="18"/>
        <v>-</v>
      </c>
      <c r="B433" t="str">
        <f t="shared" si="19"/>
        <v>0-</v>
      </c>
      <c r="H433" t="str">
        <f>IFERROR(VLOOKUP(E433,DC_Xref!A:B,2,FALSE),"")</f>
        <v/>
      </c>
      <c r="I433">
        <f t="shared" si="20"/>
        <v>0</v>
      </c>
    </row>
    <row r="434" spans="1:9" x14ac:dyDescent="0.3">
      <c r="A434" t="str">
        <f t="shared" si="18"/>
        <v>-</v>
      </c>
      <c r="B434" t="str">
        <f t="shared" si="19"/>
        <v>0-</v>
      </c>
      <c r="H434" t="str">
        <f>IFERROR(VLOOKUP(E434,DC_Xref!A:B,2,FALSE),"")</f>
        <v/>
      </c>
      <c r="I434">
        <f t="shared" si="20"/>
        <v>0</v>
      </c>
    </row>
    <row r="435" spans="1:9" x14ac:dyDescent="0.3">
      <c r="A435" t="str">
        <f t="shared" si="18"/>
        <v>-</v>
      </c>
      <c r="B435" t="str">
        <f t="shared" si="19"/>
        <v>0-</v>
      </c>
      <c r="H435" t="str">
        <f>IFERROR(VLOOKUP(E435,DC_Xref!A:B,2,FALSE),"")</f>
        <v/>
      </c>
      <c r="I435">
        <f t="shared" si="20"/>
        <v>0</v>
      </c>
    </row>
    <row r="436" spans="1:9" x14ac:dyDescent="0.3">
      <c r="A436" t="str">
        <f t="shared" si="18"/>
        <v>-</v>
      </c>
      <c r="B436" t="str">
        <f t="shared" si="19"/>
        <v>0-</v>
      </c>
      <c r="H436" t="str">
        <f>IFERROR(VLOOKUP(E436,DC_Xref!A:B,2,FALSE),"")</f>
        <v/>
      </c>
      <c r="I436">
        <f t="shared" si="20"/>
        <v>0</v>
      </c>
    </row>
    <row r="437" spans="1:9" x14ac:dyDescent="0.3">
      <c r="A437" t="str">
        <f t="shared" si="18"/>
        <v>-</v>
      </c>
      <c r="B437" t="str">
        <f t="shared" si="19"/>
        <v>0-</v>
      </c>
      <c r="H437" t="str">
        <f>IFERROR(VLOOKUP(E437,DC_Xref!A:B,2,FALSE),"")</f>
        <v/>
      </c>
      <c r="I437">
        <f t="shared" si="20"/>
        <v>0</v>
      </c>
    </row>
    <row r="438" spans="1:9" x14ac:dyDescent="0.3">
      <c r="A438" t="str">
        <f t="shared" si="18"/>
        <v>-</v>
      </c>
      <c r="B438" t="str">
        <f t="shared" si="19"/>
        <v>0-</v>
      </c>
      <c r="H438" t="str">
        <f>IFERROR(VLOOKUP(E438,DC_Xref!A:B,2,FALSE),"")</f>
        <v/>
      </c>
      <c r="I438">
        <f t="shared" si="20"/>
        <v>0</v>
      </c>
    </row>
    <row r="439" spans="1:9" x14ac:dyDescent="0.3">
      <c r="A439" t="str">
        <f t="shared" si="18"/>
        <v>-</v>
      </c>
      <c r="B439" t="str">
        <f t="shared" si="19"/>
        <v>0-</v>
      </c>
      <c r="H439" t="str">
        <f>IFERROR(VLOOKUP(E439,DC_Xref!A:B,2,FALSE),"")</f>
        <v/>
      </c>
      <c r="I439">
        <f t="shared" si="20"/>
        <v>0</v>
      </c>
    </row>
    <row r="440" spans="1:9" x14ac:dyDescent="0.3">
      <c r="A440" t="str">
        <f t="shared" si="18"/>
        <v>-</v>
      </c>
      <c r="B440" t="str">
        <f t="shared" si="19"/>
        <v>0-</v>
      </c>
      <c r="H440" t="str">
        <f>IFERROR(VLOOKUP(E440,DC_Xref!A:B,2,FALSE),"")</f>
        <v/>
      </c>
      <c r="I440">
        <f t="shared" si="20"/>
        <v>0</v>
      </c>
    </row>
    <row r="441" spans="1:9" x14ac:dyDescent="0.3">
      <c r="A441" t="str">
        <f t="shared" si="18"/>
        <v>-</v>
      </c>
      <c r="B441" t="str">
        <f t="shared" si="19"/>
        <v>0-</v>
      </c>
      <c r="H441" t="str">
        <f>IFERROR(VLOOKUP(E441,DC_Xref!A:B,2,FALSE),"")</f>
        <v/>
      </c>
      <c r="I441">
        <f t="shared" si="20"/>
        <v>0</v>
      </c>
    </row>
    <row r="442" spans="1:9" x14ac:dyDescent="0.3">
      <c r="A442" t="str">
        <f t="shared" si="18"/>
        <v>-</v>
      </c>
      <c r="B442" t="str">
        <f t="shared" si="19"/>
        <v>0-</v>
      </c>
      <c r="H442" t="str">
        <f>IFERROR(VLOOKUP(E442,DC_Xref!A:B,2,FALSE),"")</f>
        <v/>
      </c>
      <c r="I442">
        <f t="shared" si="20"/>
        <v>0</v>
      </c>
    </row>
    <row r="443" spans="1:9" x14ac:dyDescent="0.3">
      <c r="A443" t="str">
        <f t="shared" si="18"/>
        <v>-</v>
      </c>
      <c r="B443" t="str">
        <f t="shared" si="19"/>
        <v>0-</v>
      </c>
      <c r="H443" t="str">
        <f>IFERROR(VLOOKUP(E443,DC_Xref!A:B,2,FALSE),"")</f>
        <v/>
      </c>
      <c r="I443">
        <f t="shared" si="20"/>
        <v>0</v>
      </c>
    </row>
    <row r="444" spans="1:9" x14ac:dyDescent="0.3">
      <c r="A444" t="str">
        <f t="shared" si="18"/>
        <v>-</v>
      </c>
      <c r="B444" t="str">
        <f t="shared" si="19"/>
        <v>0-</v>
      </c>
      <c r="H444" t="str">
        <f>IFERROR(VLOOKUP(E444,DC_Xref!A:B,2,FALSE),"")</f>
        <v/>
      </c>
      <c r="I444">
        <f t="shared" si="20"/>
        <v>0</v>
      </c>
    </row>
    <row r="445" spans="1:9" x14ac:dyDescent="0.3">
      <c r="A445" t="str">
        <f t="shared" si="18"/>
        <v>-</v>
      </c>
      <c r="B445" t="str">
        <f t="shared" si="19"/>
        <v>0-</v>
      </c>
      <c r="H445" t="str">
        <f>IFERROR(VLOOKUP(E445,DC_Xref!A:B,2,FALSE),"")</f>
        <v/>
      </c>
      <c r="I445">
        <f t="shared" si="20"/>
        <v>0</v>
      </c>
    </row>
    <row r="446" spans="1:9" x14ac:dyDescent="0.3">
      <c r="A446" t="str">
        <f t="shared" si="18"/>
        <v>-</v>
      </c>
      <c r="B446" t="str">
        <f t="shared" si="19"/>
        <v>0-</v>
      </c>
      <c r="H446" t="str">
        <f>IFERROR(VLOOKUP(E446,DC_Xref!A:B,2,FALSE),"")</f>
        <v/>
      </c>
      <c r="I446">
        <f t="shared" si="20"/>
        <v>0</v>
      </c>
    </row>
    <row r="447" spans="1:9" x14ac:dyDescent="0.3">
      <c r="A447" t="str">
        <f t="shared" si="18"/>
        <v>-</v>
      </c>
      <c r="B447" t="str">
        <f t="shared" si="19"/>
        <v>0-</v>
      </c>
      <c r="H447" t="str">
        <f>IFERROR(VLOOKUP(E447,DC_Xref!A:B,2,FALSE),"")</f>
        <v/>
      </c>
      <c r="I447">
        <f t="shared" si="20"/>
        <v>0</v>
      </c>
    </row>
    <row r="448" spans="1:9" x14ac:dyDescent="0.3">
      <c r="A448" t="str">
        <f t="shared" si="18"/>
        <v>-</v>
      </c>
      <c r="B448" t="str">
        <f t="shared" si="19"/>
        <v>0-</v>
      </c>
      <c r="H448" t="str">
        <f>IFERROR(VLOOKUP(E448,DC_Xref!A:B,2,FALSE),"")</f>
        <v/>
      </c>
      <c r="I448">
        <f t="shared" si="20"/>
        <v>0</v>
      </c>
    </row>
    <row r="449" spans="1:9" x14ac:dyDescent="0.3">
      <c r="A449" t="str">
        <f t="shared" si="18"/>
        <v>-</v>
      </c>
      <c r="B449" t="str">
        <f t="shared" si="19"/>
        <v>0-</v>
      </c>
      <c r="H449" t="str">
        <f>IFERROR(VLOOKUP(E449,DC_Xref!A:B,2,FALSE),"")</f>
        <v/>
      </c>
      <c r="I449">
        <f t="shared" si="20"/>
        <v>0</v>
      </c>
    </row>
    <row r="450" spans="1:9" x14ac:dyDescent="0.3">
      <c r="A450" t="str">
        <f t="shared" ref="A450:A513" si="21">C450&amp;"-"&amp;F450</f>
        <v>-</v>
      </c>
      <c r="B450" t="str">
        <f t="shared" ref="B450:B513" si="22">I450&amp;"-"&amp;H450</f>
        <v>0-</v>
      </c>
      <c r="H450" t="str">
        <f>IFERROR(VLOOKUP(E450,DC_Xref!A:B,2,FALSE),"")</f>
        <v/>
      </c>
      <c r="I450">
        <f t="shared" ref="I450:I513" si="23">C450*100+D450</f>
        <v>0</v>
      </c>
    </row>
    <row r="451" spans="1:9" x14ac:dyDescent="0.3">
      <c r="A451" t="str">
        <f t="shared" si="21"/>
        <v>-</v>
      </c>
      <c r="B451" t="str">
        <f t="shared" si="22"/>
        <v>0-</v>
      </c>
      <c r="H451" t="str">
        <f>IFERROR(VLOOKUP(E451,DC_Xref!A:B,2,FALSE),"")</f>
        <v/>
      </c>
      <c r="I451">
        <f t="shared" si="23"/>
        <v>0</v>
      </c>
    </row>
    <row r="452" spans="1:9" x14ac:dyDescent="0.3">
      <c r="A452" t="str">
        <f t="shared" si="21"/>
        <v>-</v>
      </c>
      <c r="B452" t="str">
        <f t="shared" si="22"/>
        <v>0-</v>
      </c>
      <c r="H452" t="str">
        <f>IFERROR(VLOOKUP(E452,DC_Xref!A:B,2,FALSE),"")</f>
        <v/>
      </c>
      <c r="I452">
        <f t="shared" si="23"/>
        <v>0</v>
      </c>
    </row>
    <row r="453" spans="1:9" x14ac:dyDescent="0.3">
      <c r="A453" t="str">
        <f t="shared" si="21"/>
        <v>-</v>
      </c>
      <c r="B453" t="str">
        <f t="shared" si="22"/>
        <v>0-</v>
      </c>
      <c r="H453" t="str">
        <f>IFERROR(VLOOKUP(E453,DC_Xref!A:B,2,FALSE),"")</f>
        <v/>
      </c>
      <c r="I453">
        <f t="shared" si="23"/>
        <v>0</v>
      </c>
    </row>
    <row r="454" spans="1:9" x14ac:dyDescent="0.3">
      <c r="A454" t="str">
        <f t="shared" si="21"/>
        <v>-</v>
      </c>
      <c r="B454" t="str">
        <f t="shared" si="22"/>
        <v>0-</v>
      </c>
      <c r="H454" t="str">
        <f>IFERROR(VLOOKUP(E454,DC_Xref!A:B,2,FALSE),"")</f>
        <v/>
      </c>
      <c r="I454">
        <f t="shared" si="23"/>
        <v>0</v>
      </c>
    </row>
    <row r="455" spans="1:9" x14ac:dyDescent="0.3">
      <c r="A455" t="str">
        <f t="shared" si="21"/>
        <v>-</v>
      </c>
      <c r="B455" t="str">
        <f t="shared" si="22"/>
        <v>0-</v>
      </c>
      <c r="H455" t="str">
        <f>IFERROR(VLOOKUP(E455,DC_Xref!A:B,2,FALSE),"")</f>
        <v/>
      </c>
      <c r="I455">
        <f t="shared" si="23"/>
        <v>0</v>
      </c>
    </row>
    <row r="456" spans="1:9" x14ac:dyDescent="0.3">
      <c r="A456" t="str">
        <f t="shared" si="21"/>
        <v>-</v>
      </c>
      <c r="B456" t="str">
        <f t="shared" si="22"/>
        <v>0-</v>
      </c>
      <c r="H456" t="str">
        <f>IFERROR(VLOOKUP(E456,DC_Xref!A:B,2,FALSE),"")</f>
        <v/>
      </c>
      <c r="I456">
        <f t="shared" si="23"/>
        <v>0</v>
      </c>
    </row>
    <row r="457" spans="1:9" x14ac:dyDescent="0.3">
      <c r="A457" t="str">
        <f t="shared" si="21"/>
        <v>-</v>
      </c>
      <c r="B457" t="str">
        <f t="shared" si="22"/>
        <v>0-</v>
      </c>
      <c r="H457" t="str">
        <f>IFERROR(VLOOKUP(E457,DC_Xref!A:B,2,FALSE),"")</f>
        <v/>
      </c>
      <c r="I457">
        <f t="shared" si="23"/>
        <v>0</v>
      </c>
    </row>
    <row r="458" spans="1:9" x14ac:dyDescent="0.3">
      <c r="A458" t="str">
        <f t="shared" si="21"/>
        <v>-</v>
      </c>
      <c r="B458" t="str">
        <f t="shared" si="22"/>
        <v>0-</v>
      </c>
      <c r="H458" t="str">
        <f>IFERROR(VLOOKUP(E458,DC_Xref!A:B,2,FALSE),"")</f>
        <v/>
      </c>
      <c r="I458">
        <f t="shared" si="23"/>
        <v>0</v>
      </c>
    </row>
    <row r="459" spans="1:9" x14ac:dyDescent="0.3">
      <c r="A459" t="str">
        <f t="shared" si="21"/>
        <v>-</v>
      </c>
      <c r="B459" t="str">
        <f t="shared" si="22"/>
        <v>0-</v>
      </c>
      <c r="H459" t="str">
        <f>IFERROR(VLOOKUP(E459,DC_Xref!A:B,2,FALSE),"")</f>
        <v/>
      </c>
      <c r="I459">
        <f t="shared" si="23"/>
        <v>0</v>
      </c>
    </row>
    <row r="460" spans="1:9" x14ac:dyDescent="0.3">
      <c r="A460" t="str">
        <f t="shared" si="21"/>
        <v>-</v>
      </c>
      <c r="B460" t="str">
        <f t="shared" si="22"/>
        <v>0-</v>
      </c>
      <c r="H460" t="str">
        <f>IFERROR(VLOOKUP(E460,DC_Xref!A:B,2,FALSE),"")</f>
        <v/>
      </c>
      <c r="I460">
        <f t="shared" si="23"/>
        <v>0</v>
      </c>
    </row>
    <row r="461" spans="1:9" x14ac:dyDescent="0.3">
      <c r="A461" t="str">
        <f t="shared" si="21"/>
        <v>-</v>
      </c>
      <c r="B461" t="str">
        <f t="shared" si="22"/>
        <v>0-</v>
      </c>
      <c r="H461" t="str">
        <f>IFERROR(VLOOKUP(E461,DC_Xref!A:B,2,FALSE),"")</f>
        <v/>
      </c>
      <c r="I461">
        <f t="shared" si="23"/>
        <v>0</v>
      </c>
    </row>
    <row r="462" spans="1:9" x14ac:dyDescent="0.3">
      <c r="A462" t="str">
        <f t="shared" si="21"/>
        <v>-</v>
      </c>
      <c r="B462" t="str">
        <f t="shared" si="22"/>
        <v>0-</v>
      </c>
      <c r="H462" t="str">
        <f>IFERROR(VLOOKUP(E462,DC_Xref!A:B,2,FALSE),"")</f>
        <v/>
      </c>
      <c r="I462">
        <f t="shared" si="23"/>
        <v>0</v>
      </c>
    </row>
    <row r="463" spans="1:9" x14ac:dyDescent="0.3">
      <c r="A463" t="str">
        <f t="shared" si="21"/>
        <v>-</v>
      </c>
      <c r="B463" t="str">
        <f t="shared" si="22"/>
        <v>0-</v>
      </c>
      <c r="H463" t="str">
        <f>IFERROR(VLOOKUP(E463,DC_Xref!A:B,2,FALSE),"")</f>
        <v/>
      </c>
      <c r="I463">
        <f t="shared" si="23"/>
        <v>0</v>
      </c>
    </row>
    <row r="464" spans="1:9" x14ac:dyDescent="0.3">
      <c r="A464" t="str">
        <f t="shared" si="21"/>
        <v>-</v>
      </c>
      <c r="B464" t="str">
        <f t="shared" si="22"/>
        <v>0-</v>
      </c>
      <c r="H464" t="str">
        <f>IFERROR(VLOOKUP(E464,DC_Xref!A:B,2,FALSE),"")</f>
        <v/>
      </c>
      <c r="I464">
        <f t="shared" si="23"/>
        <v>0</v>
      </c>
    </row>
    <row r="465" spans="1:9" x14ac:dyDescent="0.3">
      <c r="A465" t="str">
        <f t="shared" si="21"/>
        <v>-</v>
      </c>
      <c r="B465" t="str">
        <f t="shared" si="22"/>
        <v>0-</v>
      </c>
      <c r="H465" t="str">
        <f>IFERROR(VLOOKUP(E465,DC_Xref!A:B,2,FALSE),"")</f>
        <v/>
      </c>
      <c r="I465">
        <f t="shared" si="23"/>
        <v>0</v>
      </c>
    </row>
    <row r="466" spans="1:9" x14ac:dyDescent="0.3">
      <c r="A466" t="str">
        <f t="shared" si="21"/>
        <v>-</v>
      </c>
      <c r="B466" t="str">
        <f t="shared" si="22"/>
        <v>0-</v>
      </c>
      <c r="H466" t="str">
        <f>IFERROR(VLOOKUP(E466,DC_Xref!A:B,2,FALSE),"")</f>
        <v/>
      </c>
      <c r="I466">
        <f t="shared" si="23"/>
        <v>0</v>
      </c>
    </row>
    <row r="467" spans="1:9" x14ac:dyDescent="0.3">
      <c r="A467" t="str">
        <f t="shared" si="21"/>
        <v>-</v>
      </c>
      <c r="B467" t="str">
        <f t="shared" si="22"/>
        <v>0-</v>
      </c>
      <c r="H467" t="str">
        <f>IFERROR(VLOOKUP(E467,DC_Xref!A:B,2,FALSE),"")</f>
        <v/>
      </c>
      <c r="I467">
        <f t="shared" si="23"/>
        <v>0</v>
      </c>
    </row>
    <row r="468" spans="1:9" x14ac:dyDescent="0.3">
      <c r="A468" t="str">
        <f t="shared" si="21"/>
        <v>-</v>
      </c>
      <c r="B468" t="str">
        <f t="shared" si="22"/>
        <v>0-</v>
      </c>
      <c r="H468" t="str">
        <f>IFERROR(VLOOKUP(E468,DC_Xref!A:B,2,FALSE),"")</f>
        <v/>
      </c>
      <c r="I468">
        <f t="shared" si="23"/>
        <v>0</v>
      </c>
    </row>
    <row r="469" spans="1:9" x14ac:dyDescent="0.3">
      <c r="A469" t="str">
        <f t="shared" si="21"/>
        <v>-</v>
      </c>
      <c r="B469" t="str">
        <f t="shared" si="22"/>
        <v>0-</v>
      </c>
      <c r="H469" t="str">
        <f>IFERROR(VLOOKUP(E469,DC_Xref!A:B,2,FALSE),"")</f>
        <v/>
      </c>
      <c r="I469">
        <f t="shared" si="23"/>
        <v>0</v>
      </c>
    </row>
    <row r="470" spans="1:9" x14ac:dyDescent="0.3">
      <c r="A470" t="str">
        <f t="shared" si="21"/>
        <v>-</v>
      </c>
      <c r="B470" t="str">
        <f t="shared" si="22"/>
        <v>0-</v>
      </c>
      <c r="H470" t="str">
        <f>IFERROR(VLOOKUP(E470,DC_Xref!A:B,2,FALSE),"")</f>
        <v/>
      </c>
      <c r="I470">
        <f t="shared" si="23"/>
        <v>0</v>
      </c>
    </row>
    <row r="471" spans="1:9" x14ac:dyDescent="0.3">
      <c r="A471" t="str">
        <f t="shared" si="21"/>
        <v>-</v>
      </c>
      <c r="B471" t="str">
        <f t="shared" si="22"/>
        <v>0-</v>
      </c>
      <c r="H471" t="str">
        <f>IFERROR(VLOOKUP(E471,DC_Xref!A:B,2,FALSE),"")</f>
        <v/>
      </c>
      <c r="I471">
        <f t="shared" si="23"/>
        <v>0</v>
      </c>
    </row>
    <row r="472" spans="1:9" x14ac:dyDescent="0.3">
      <c r="A472" t="str">
        <f t="shared" si="21"/>
        <v>-</v>
      </c>
      <c r="B472" t="str">
        <f t="shared" si="22"/>
        <v>0-</v>
      </c>
      <c r="H472" t="str">
        <f>IFERROR(VLOOKUP(E472,DC_Xref!A:B,2,FALSE),"")</f>
        <v/>
      </c>
      <c r="I472">
        <f t="shared" si="23"/>
        <v>0</v>
      </c>
    </row>
    <row r="473" spans="1:9" x14ac:dyDescent="0.3">
      <c r="A473" t="str">
        <f t="shared" si="21"/>
        <v>-</v>
      </c>
      <c r="B473" t="str">
        <f t="shared" si="22"/>
        <v>0-</v>
      </c>
      <c r="H473" t="str">
        <f>IFERROR(VLOOKUP(E473,DC_Xref!A:B,2,FALSE),"")</f>
        <v/>
      </c>
      <c r="I473">
        <f t="shared" si="23"/>
        <v>0</v>
      </c>
    </row>
    <row r="474" spans="1:9" x14ac:dyDescent="0.3">
      <c r="A474" t="str">
        <f t="shared" si="21"/>
        <v>-</v>
      </c>
      <c r="B474" t="str">
        <f t="shared" si="22"/>
        <v>0-</v>
      </c>
      <c r="H474" t="str">
        <f>IFERROR(VLOOKUP(E474,DC_Xref!A:B,2,FALSE),"")</f>
        <v/>
      </c>
      <c r="I474">
        <f t="shared" si="23"/>
        <v>0</v>
      </c>
    </row>
    <row r="475" spans="1:9" x14ac:dyDescent="0.3">
      <c r="A475" t="str">
        <f t="shared" si="21"/>
        <v>-</v>
      </c>
      <c r="B475" t="str">
        <f t="shared" si="22"/>
        <v>0-</v>
      </c>
      <c r="H475" t="str">
        <f>IFERROR(VLOOKUP(E475,DC_Xref!A:B,2,FALSE),"")</f>
        <v/>
      </c>
      <c r="I475">
        <f t="shared" si="23"/>
        <v>0</v>
      </c>
    </row>
    <row r="476" spans="1:9" x14ac:dyDescent="0.3">
      <c r="A476" t="str">
        <f t="shared" si="21"/>
        <v>-</v>
      </c>
      <c r="B476" t="str">
        <f t="shared" si="22"/>
        <v>0-</v>
      </c>
      <c r="H476" t="str">
        <f>IFERROR(VLOOKUP(E476,DC_Xref!A:B,2,FALSE),"")</f>
        <v/>
      </c>
      <c r="I476">
        <f t="shared" si="23"/>
        <v>0</v>
      </c>
    </row>
    <row r="477" spans="1:9" x14ac:dyDescent="0.3">
      <c r="A477" t="str">
        <f t="shared" si="21"/>
        <v>-</v>
      </c>
      <c r="B477" t="str">
        <f t="shared" si="22"/>
        <v>0-</v>
      </c>
      <c r="H477" t="str">
        <f>IFERROR(VLOOKUP(E477,DC_Xref!A:B,2,FALSE),"")</f>
        <v/>
      </c>
      <c r="I477">
        <f t="shared" si="23"/>
        <v>0</v>
      </c>
    </row>
    <row r="478" spans="1:9" x14ac:dyDescent="0.3">
      <c r="A478" t="str">
        <f t="shared" si="21"/>
        <v>-</v>
      </c>
      <c r="B478" t="str">
        <f t="shared" si="22"/>
        <v>0-</v>
      </c>
      <c r="H478" t="str">
        <f>IFERROR(VLOOKUP(E478,DC_Xref!A:B,2,FALSE),"")</f>
        <v/>
      </c>
      <c r="I478">
        <f t="shared" si="23"/>
        <v>0</v>
      </c>
    </row>
    <row r="479" spans="1:9" x14ac:dyDescent="0.3">
      <c r="A479" t="str">
        <f t="shared" si="21"/>
        <v>-</v>
      </c>
      <c r="B479" t="str">
        <f t="shared" si="22"/>
        <v>0-</v>
      </c>
      <c r="H479" t="str">
        <f>IFERROR(VLOOKUP(E479,DC_Xref!A:B,2,FALSE),"")</f>
        <v/>
      </c>
      <c r="I479">
        <f t="shared" si="23"/>
        <v>0</v>
      </c>
    </row>
    <row r="480" spans="1:9" x14ac:dyDescent="0.3">
      <c r="A480" t="str">
        <f t="shared" si="21"/>
        <v>-</v>
      </c>
      <c r="B480" t="str">
        <f t="shared" si="22"/>
        <v>0-</v>
      </c>
      <c r="H480" t="str">
        <f>IFERROR(VLOOKUP(E480,DC_Xref!A:B,2,FALSE),"")</f>
        <v/>
      </c>
      <c r="I480">
        <f t="shared" si="23"/>
        <v>0</v>
      </c>
    </row>
    <row r="481" spans="1:9" x14ac:dyDescent="0.3">
      <c r="A481" t="str">
        <f t="shared" si="21"/>
        <v>-</v>
      </c>
      <c r="B481" t="str">
        <f t="shared" si="22"/>
        <v>0-</v>
      </c>
      <c r="H481" t="str">
        <f>IFERROR(VLOOKUP(E481,DC_Xref!A:B,2,FALSE),"")</f>
        <v/>
      </c>
      <c r="I481">
        <f t="shared" si="23"/>
        <v>0</v>
      </c>
    </row>
    <row r="482" spans="1:9" x14ac:dyDescent="0.3">
      <c r="A482" t="str">
        <f t="shared" si="21"/>
        <v>-</v>
      </c>
      <c r="B482" t="str">
        <f t="shared" si="22"/>
        <v>0-</v>
      </c>
      <c r="H482" t="str">
        <f>IFERROR(VLOOKUP(E482,DC_Xref!A:B,2,FALSE),"")</f>
        <v/>
      </c>
      <c r="I482">
        <f t="shared" si="23"/>
        <v>0</v>
      </c>
    </row>
    <row r="483" spans="1:9" x14ac:dyDescent="0.3">
      <c r="A483" t="str">
        <f t="shared" si="21"/>
        <v>-</v>
      </c>
      <c r="B483" t="str">
        <f t="shared" si="22"/>
        <v>0-</v>
      </c>
      <c r="H483" t="str">
        <f>IFERROR(VLOOKUP(E483,DC_Xref!A:B,2,FALSE),"")</f>
        <v/>
      </c>
      <c r="I483">
        <f t="shared" si="23"/>
        <v>0</v>
      </c>
    </row>
    <row r="484" spans="1:9" x14ac:dyDescent="0.3">
      <c r="A484" t="str">
        <f t="shared" si="21"/>
        <v>-</v>
      </c>
      <c r="B484" t="str">
        <f t="shared" si="22"/>
        <v>0-</v>
      </c>
      <c r="H484" t="str">
        <f>IFERROR(VLOOKUP(E484,DC_Xref!A:B,2,FALSE),"")</f>
        <v/>
      </c>
      <c r="I484">
        <f t="shared" si="23"/>
        <v>0</v>
      </c>
    </row>
    <row r="485" spans="1:9" x14ac:dyDescent="0.3">
      <c r="A485" t="str">
        <f t="shared" si="21"/>
        <v>-</v>
      </c>
      <c r="B485" t="str">
        <f t="shared" si="22"/>
        <v>0-</v>
      </c>
      <c r="H485" t="str">
        <f>IFERROR(VLOOKUP(E485,DC_Xref!A:B,2,FALSE),"")</f>
        <v/>
      </c>
      <c r="I485">
        <f t="shared" si="23"/>
        <v>0</v>
      </c>
    </row>
    <row r="486" spans="1:9" x14ac:dyDescent="0.3">
      <c r="A486" t="str">
        <f t="shared" si="21"/>
        <v>-</v>
      </c>
      <c r="B486" t="str">
        <f t="shared" si="22"/>
        <v>0-</v>
      </c>
      <c r="H486" t="str">
        <f>IFERROR(VLOOKUP(E486,DC_Xref!A:B,2,FALSE),"")</f>
        <v/>
      </c>
      <c r="I486">
        <f t="shared" si="23"/>
        <v>0</v>
      </c>
    </row>
    <row r="487" spans="1:9" x14ac:dyDescent="0.3">
      <c r="A487" t="str">
        <f t="shared" si="21"/>
        <v>-</v>
      </c>
      <c r="B487" t="str">
        <f t="shared" si="22"/>
        <v>0-</v>
      </c>
      <c r="H487" t="str">
        <f>IFERROR(VLOOKUP(E487,DC_Xref!A:B,2,FALSE),"")</f>
        <v/>
      </c>
      <c r="I487">
        <f t="shared" si="23"/>
        <v>0</v>
      </c>
    </row>
    <row r="488" spans="1:9" x14ac:dyDescent="0.3">
      <c r="A488" t="str">
        <f t="shared" si="21"/>
        <v>-</v>
      </c>
      <c r="B488" t="str">
        <f t="shared" si="22"/>
        <v>0-</v>
      </c>
      <c r="H488" t="str">
        <f>IFERROR(VLOOKUP(E488,DC_Xref!A:B,2,FALSE),"")</f>
        <v/>
      </c>
      <c r="I488">
        <f t="shared" si="23"/>
        <v>0</v>
      </c>
    </row>
    <row r="489" spans="1:9" x14ac:dyDescent="0.3">
      <c r="A489" t="str">
        <f t="shared" si="21"/>
        <v>-</v>
      </c>
      <c r="B489" t="str">
        <f t="shared" si="22"/>
        <v>0-</v>
      </c>
      <c r="H489" t="str">
        <f>IFERROR(VLOOKUP(E489,DC_Xref!A:B,2,FALSE),"")</f>
        <v/>
      </c>
      <c r="I489">
        <f t="shared" si="23"/>
        <v>0</v>
      </c>
    </row>
    <row r="490" spans="1:9" x14ac:dyDescent="0.3">
      <c r="A490" t="str">
        <f t="shared" si="21"/>
        <v>-</v>
      </c>
      <c r="B490" t="str">
        <f t="shared" si="22"/>
        <v>0-</v>
      </c>
      <c r="H490" t="str">
        <f>IFERROR(VLOOKUP(E490,DC_Xref!A:B,2,FALSE),"")</f>
        <v/>
      </c>
      <c r="I490">
        <f t="shared" si="23"/>
        <v>0</v>
      </c>
    </row>
    <row r="491" spans="1:9" x14ac:dyDescent="0.3">
      <c r="A491" t="str">
        <f t="shared" si="21"/>
        <v>-</v>
      </c>
      <c r="B491" t="str">
        <f t="shared" si="22"/>
        <v>0-</v>
      </c>
      <c r="H491" t="str">
        <f>IFERROR(VLOOKUP(E491,DC_Xref!A:B,2,FALSE),"")</f>
        <v/>
      </c>
      <c r="I491">
        <f t="shared" si="23"/>
        <v>0</v>
      </c>
    </row>
    <row r="492" spans="1:9" x14ac:dyDescent="0.3">
      <c r="A492" t="str">
        <f t="shared" si="21"/>
        <v>-</v>
      </c>
      <c r="B492" t="str">
        <f t="shared" si="22"/>
        <v>0-</v>
      </c>
      <c r="H492" t="str">
        <f>IFERROR(VLOOKUP(E492,DC_Xref!A:B,2,FALSE),"")</f>
        <v/>
      </c>
      <c r="I492">
        <f t="shared" si="23"/>
        <v>0</v>
      </c>
    </row>
    <row r="493" spans="1:9" x14ac:dyDescent="0.3">
      <c r="A493" t="str">
        <f t="shared" si="21"/>
        <v>-</v>
      </c>
      <c r="B493" t="str">
        <f t="shared" si="22"/>
        <v>0-</v>
      </c>
      <c r="H493" t="str">
        <f>IFERROR(VLOOKUP(E493,DC_Xref!A:B,2,FALSE),"")</f>
        <v/>
      </c>
      <c r="I493">
        <f t="shared" si="23"/>
        <v>0</v>
      </c>
    </row>
    <row r="494" spans="1:9" x14ac:dyDescent="0.3">
      <c r="A494" t="str">
        <f t="shared" si="21"/>
        <v>-</v>
      </c>
      <c r="B494" t="str">
        <f t="shared" si="22"/>
        <v>0-</v>
      </c>
      <c r="H494" t="str">
        <f>IFERROR(VLOOKUP(E494,DC_Xref!A:B,2,FALSE),"")</f>
        <v/>
      </c>
      <c r="I494">
        <f t="shared" si="23"/>
        <v>0</v>
      </c>
    </row>
    <row r="495" spans="1:9" x14ac:dyDescent="0.3">
      <c r="A495" t="str">
        <f t="shared" si="21"/>
        <v>-</v>
      </c>
      <c r="B495" t="str">
        <f t="shared" si="22"/>
        <v>0-</v>
      </c>
      <c r="H495" t="str">
        <f>IFERROR(VLOOKUP(E495,DC_Xref!A:B,2,FALSE),"")</f>
        <v/>
      </c>
      <c r="I495">
        <f t="shared" si="23"/>
        <v>0</v>
      </c>
    </row>
    <row r="496" spans="1:9" x14ac:dyDescent="0.3">
      <c r="A496" t="str">
        <f t="shared" si="21"/>
        <v>-</v>
      </c>
      <c r="B496" t="str">
        <f t="shared" si="22"/>
        <v>0-</v>
      </c>
      <c r="H496" t="str">
        <f>IFERROR(VLOOKUP(E496,DC_Xref!A:B,2,FALSE),"")</f>
        <v/>
      </c>
      <c r="I496">
        <f t="shared" si="23"/>
        <v>0</v>
      </c>
    </row>
    <row r="497" spans="1:9" x14ac:dyDescent="0.3">
      <c r="A497" t="str">
        <f t="shared" si="21"/>
        <v>-</v>
      </c>
      <c r="B497" t="str">
        <f t="shared" si="22"/>
        <v>0-</v>
      </c>
      <c r="H497" t="str">
        <f>IFERROR(VLOOKUP(E497,DC_Xref!A:B,2,FALSE),"")</f>
        <v/>
      </c>
      <c r="I497">
        <f t="shared" si="23"/>
        <v>0</v>
      </c>
    </row>
    <row r="498" spans="1:9" x14ac:dyDescent="0.3">
      <c r="A498" t="str">
        <f t="shared" si="21"/>
        <v>-</v>
      </c>
      <c r="B498" t="str">
        <f t="shared" si="22"/>
        <v>0-</v>
      </c>
      <c r="H498" t="str">
        <f>IFERROR(VLOOKUP(E498,DC_Xref!A:B,2,FALSE),"")</f>
        <v/>
      </c>
      <c r="I498">
        <f t="shared" si="23"/>
        <v>0</v>
      </c>
    </row>
    <row r="499" spans="1:9" x14ac:dyDescent="0.3">
      <c r="A499" t="str">
        <f t="shared" si="21"/>
        <v>-</v>
      </c>
      <c r="B499" t="str">
        <f t="shared" si="22"/>
        <v>0-</v>
      </c>
      <c r="H499" t="str">
        <f>IFERROR(VLOOKUP(E499,DC_Xref!A:B,2,FALSE),"")</f>
        <v/>
      </c>
      <c r="I499">
        <f t="shared" si="23"/>
        <v>0</v>
      </c>
    </row>
    <row r="500" spans="1:9" x14ac:dyDescent="0.3">
      <c r="A500" t="str">
        <f t="shared" si="21"/>
        <v>-</v>
      </c>
      <c r="B500" t="str">
        <f t="shared" si="22"/>
        <v>0-</v>
      </c>
      <c r="H500" t="str">
        <f>IFERROR(VLOOKUP(E500,DC_Xref!A:B,2,FALSE),"")</f>
        <v/>
      </c>
      <c r="I500">
        <f t="shared" si="23"/>
        <v>0</v>
      </c>
    </row>
    <row r="501" spans="1:9" x14ac:dyDescent="0.3">
      <c r="A501" t="str">
        <f t="shared" si="21"/>
        <v>-</v>
      </c>
      <c r="B501" t="str">
        <f t="shared" si="22"/>
        <v>0-</v>
      </c>
      <c r="H501" t="str">
        <f>IFERROR(VLOOKUP(E501,DC_Xref!A:B,2,FALSE),"")</f>
        <v/>
      </c>
      <c r="I501">
        <f t="shared" si="23"/>
        <v>0</v>
      </c>
    </row>
    <row r="502" spans="1:9" x14ac:dyDescent="0.3">
      <c r="A502" t="str">
        <f t="shared" si="21"/>
        <v>-</v>
      </c>
      <c r="B502" t="str">
        <f t="shared" si="22"/>
        <v>0-</v>
      </c>
      <c r="H502" t="str">
        <f>IFERROR(VLOOKUP(E502,DC_Xref!A:B,2,FALSE),"")</f>
        <v/>
      </c>
      <c r="I502">
        <f t="shared" si="23"/>
        <v>0</v>
      </c>
    </row>
    <row r="503" spans="1:9" x14ac:dyDescent="0.3">
      <c r="A503" t="str">
        <f t="shared" si="21"/>
        <v>-</v>
      </c>
      <c r="B503" t="str">
        <f t="shared" si="22"/>
        <v>0-</v>
      </c>
      <c r="H503" t="str">
        <f>IFERROR(VLOOKUP(E503,DC_Xref!A:B,2,FALSE),"")</f>
        <v/>
      </c>
      <c r="I503">
        <f t="shared" si="23"/>
        <v>0</v>
      </c>
    </row>
    <row r="504" spans="1:9" x14ac:dyDescent="0.3">
      <c r="A504" t="str">
        <f t="shared" si="21"/>
        <v>-</v>
      </c>
      <c r="B504" t="str">
        <f t="shared" si="22"/>
        <v>0-</v>
      </c>
      <c r="H504" t="str">
        <f>IFERROR(VLOOKUP(E504,DC_Xref!A:B,2,FALSE),"")</f>
        <v/>
      </c>
      <c r="I504">
        <f t="shared" si="23"/>
        <v>0</v>
      </c>
    </row>
    <row r="505" spans="1:9" x14ac:dyDescent="0.3">
      <c r="A505" t="str">
        <f t="shared" si="21"/>
        <v>-</v>
      </c>
      <c r="B505" t="str">
        <f t="shared" si="22"/>
        <v>0-</v>
      </c>
      <c r="H505" t="str">
        <f>IFERROR(VLOOKUP(E505,DC_Xref!A:B,2,FALSE),"")</f>
        <v/>
      </c>
      <c r="I505">
        <f t="shared" si="23"/>
        <v>0</v>
      </c>
    </row>
    <row r="506" spans="1:9" x14ac:dyDescent="0.3">
      <c r="A506" t="str">
        <f t="shared" si="21"/>
        <v>-</v>
      </c>
      <c r="B506" t="str">
        <f t="shared" si="22"/>
        <v>0-</v>
      </c>
      <c r="H506" t="str">
        <f>IFERROR(VLOOKUP(E506,DC_Xref!A:B,2,FALSE),"")</f>
        <v/>
      </c>
      <c r="I506">
        <f t="shared" si="23"/>
        <v>0</v>
      </c>
    </row>
    <row r="507" spans="1:9" x14ac:dyDescent="0.3">
      <c r="A507" t="str">
        <f t="shared" si="21"/>
        <v>-</v>
      </c>
      <c r="B507" t="str">
        <f t="shared" si="22"/>
        <v>0-</v>
      </c>
      <c r="H507" t="str">
        <f>IFERROR(VLOOKUP(E507,DC_Xref!A:B,2,FALSE),"")</f>
        <v/>
      </c>
      <c r="I507">
        <f t="shared" si="23"/>
        <v>0</v>
      </c>
    </row>
    <row r="508" spans="1:9" x14ac:dyDescent="0.3">
      <c r="A508" t="str">
        <f t="shared" si="21"/>
        <v>-</v>
      </c>
      <c r="B508" t="str">
        <f t="shared" si="22"/>
        <v>0-</v>
      </c>
      <c r="H508" t="str">
        <f>IFERROR(VLOOKUP(E508,DC_Xref!A:B,2,FALSE),"")</f>
        <v/>
      </c>
      <c r="I508">
        <f t="shared" si="23"/>
        <v>0</v>
      </c>
    </row>
    <row r="509" spans="1:9" x14ac:dyDescent="0.3">
      <c r="A509" t="str">
        <f t="shared" si="21"/>
        <v>-</v>
      </c>
      <c r="B509" t="str">
        <f t="shared" si="22"/>
        <v>0-</v>
      </c>
      <c r="H509" t="str">
        <f>IFERROR(VLOOKUP(E509,DC_Xref!A:B,2,FALSE),"")</f>
        <v/>
      </c>
      <c r="I509">
        <f t="shared" si="23"/>
        <v>0</v>
      </c>
    </row>
    <row r="510" spans="1:9" x14ac:dyDescent="0.3">
      <c r="A510" t="str">
        <f t="shared" si="21"/>
        <v>-</v>
      </c>
      <c r="B510" t="str">
        <f t="shared" si="22"/>
        <v>0-</v>
      </c>
      <c r="H510" t="str">
        <f>IFERROR(VLOOKUP(E510,DC_Xref!A:B,2,FALSE),"")</f>
        <v/>
      </c>
      <c r="I510">
        <f t="shared" si="23"/>
        <v>0</v>
      </c>
    </row>
    <row r="511" spans="1:9" x14ac:dyDescent="0.3">
      <c r="A511" t="str">
        <f t="shared" si="21"/>
        <v>-</v>
      </c>
      <c r="B511" t="str">
        <f t="shared" si="22"/>
        <v>0-</v>
      </c>
      <c r="H511" t="str">
        <f>IFERROR(VLOOKUP(E511,DC_Xref!A:B,2,FALSE),"")</f>
        <v/>
      </c>
      <c r="I511">
        <f t="shared" si="23"/>
        <v>0</v>
      </c>
    </row>
    <row r="512" spans="1:9" x14ac:dyDescent="0.3">
      <c r="A512" t="str">
        <f t="shared" si="21"/>
        <v>-</v>
      </c>
      <c r="B512" t="str">
        <f t="shared" si="22"/>
        <v>0-</v>
      </c>
      <c r="H512" t="str">
        <f>IFERROR(VLOOKUP(E512,DC_Xref!A:B,2,FALSE),"")</f>
        <v/>
      </c>
      <c r="I512">
        <f t="shared" si="23"/>
        <v>0</v>
      </c>
    </row>
    <row r="513" spans="1:9" x14ac:dyDescent="0.3">
      <c r="A513" t="str">
        <f t="shared" si="21"/>
        <v>-</v>
      </c>
      <c r="B513" t="str">
        <f t="shared" si="22"/>
        <v>0-</v>
      </c>
      <c r="H513" t="str">
        <f>IFERROR(VLOOKUP(E513,DC_Xref!A:B,2,FALSE),"")</f>
        <v/>
      </c>
      <c r="I513">
        <f t="shared" si="23"/>
        <v>0</v>
      </c>
    </row>
    <row r="514" spans="1:9" x14ac:dyDescent="0.3">
      <c r="A514" t="str">
        <f t="shared" ref="A514:A577" si="24">C514&amp;"-"&amp;F514</f>
        <v>-</v>
      </c>
      <c r="B514" t="str">
        <f t="shared" ref="B514:B577" si="25">I514&amp;"-"&amp;H514</f>
        <v>0-</v>
      </c>
      <c r="H514" t="str">
        <f>IFERROR(VLOOKUP(E514,DC_Xref!A:B,2,FALSE),"")</f>
        <v/>
      </c>
      <c r="I514">
        <f t="shared" ref="I514:I577" si="26">C514*100+D514</f>
        <v>0</v>
      </c>
    </row>
    <row r="515" spans="1:9" x14ac:dyDescent="0.3">
      <c r="A515" t="str">
        <f t="shared" si="24"/>
        <v>-</v>
      </c>
      <c r="B515" t="str">
        <f t="shared" si="25"/>
        <v>0-</v>
      </c>
      <c r="H515" t="str">
        <f>IFERROR(VLOOKUP(E515,DC_Xref!A:B,2,FALSE),"")</f>
        <v/>
      </c>
      <c r="I515">
        <f t="shared" si="26"/>
        <v>0</v>
      </c>
    </row>
    <row r="516" spans="1:9" x14ac:dyDescent="0.3">
      <c r="A516" t="str">
        <f t="shared" si="24"/>
        <v>-</v>
      </c>
      <c r="B516" t="str">
        <f t="shared" si="25"/>
        <v>0-</v>
      </c>
      <c r="H516" t="str">
        <f>IFERROR(VLOOKUP(E516,DC_Xref!A:B,2,FALSE),"")</f>
        <v/>
      </c>
      <c r="I516">
        <f t="shared" si="26"/>
        <v>0</v>
      </c>
    </row>
    <row r="517" spans="1:9" x14ac:dyDescent="0.3">
      <c r="A517" t="str">
        <f t="shared" si="24"/>
        <v>-</v>
      </c>
      <c r="B517" t="str">
        <f t="shared" si="25"/>
        <v>0-</v>
      </c>
      <c r="H517" t="str">
        <f>IFERROR(VLOOKUP(E517,DC_Xref!A:B,2,FALSE),"")</f>
        <v/>
      </c>
      <c r="I517">
        <f t="shared" si="26"/>
        <v>0</v>
      </c>
    </row>
    <row r="518" spans="1:9" x14ac:dyDescent="0.3">
      <c r="A518" t="str">
        <f t="shared" si="24"/>
        <v>-</v>
      </c>
      <c r="B518" t="str">
        <f t="shared" si="25"/>
        <v>0-</v>
      </c>
      <c r="H518" t="str">
        <f>IFERROR(VLOOKUP(E518,DC_Xref!A:B,2,FALSE),"")</f>
        <v/>
      </c>
      <c r="I518">
        <f t="shared" si="26"/>
        <v>0</v>
      </c>
    </row>
    <row r="519" spans="1:9" x14ac:dyDescent="0.3">
      <c r="A519" t="str">
        <f t="shared" si="24"/>
        <v>-</v>
      </c>
      <c r="B519" t="str">
        <f t="shared" si="25"/>
        <v>0-</v>
      </c>
      <c r="H519" t="str">
        <f>IFERROR(VLOOKUP(E519,DC_Xref!A:B,2,FALSE),"")</f>
        <v/>
      </c>
      <c r="I519">
        <f t="shared" si="26"/>
        <v>0</v>
      </c>
    </row>
    <row r="520" spans="1:9" x14ac:dyDescent="0.3">
      <c r="A520" t="str">
        <f t="shared" si="24"/>
        <v>-</v>
      </c>
      <c r="B520" t="str">
        <f t="shared" si="25"/>
        <v>0-</v>
      </c>
      <c r="H520" t="str">
        <f>IFERROR(VLOOKUP(E520,DC_Xref!A:B,2,FALSE),"")</f>
        <v/>
      </c>
      <c r="I520">
        <f t="shared" si="26"/>
        <v>0</v>
      </c>
    </row>
    <row r="521" spans="1:9" x14ac:dyDescent="0.3">
      <c r="A521" t="str">
        <f t="shared" si="24"/>
        <v>-</v>
      </c>
      <c r="B521" t="str">
        <f t="shared" si="25"/>
        <v>0-</v>
      </c>
      <c r="H521" t="str">
        <f>IFERROR(VLOOKUP(E521,DC_Xref!A:B,2,FALSE),"")</f>
        <v/>
      </c>
      <c r="I521">
        <f t="shared" si="26"/>
        <v>0</v>
      </c>
    </row>
    <row r="522" spans="1:9" x14ac:dyDescent="0.3">
      <c r="A522" t="str">
        <f t="shared" si="24"/>
        <v>-</v>
      </c>
      <c r="B522" t="str">
        <f t="shared" si="25"/>
        <v>0-</v>
      </c>
      <c r="H522" t="str">
        <f>IFERROR(VLOOKUP(E522,DC_Xref!A:B,2,FALSE),"")</f>
        <v/>
      </c>
      <c r="I522">
        <f t="shared" si="26"/>
        <v>0</v>
      </c>
    </row>
    <row r="523" spans="1:9" x14ac:dyDescent="0.3">
      <c r="A523" t="str">
        <f t="shared" si="24"/>
        <v>-</v>
      </c>
      <c r="B523" t="str">
        <f t="shared" si="25"/>
        <v>0-</v>
      </c>
      <c r="H523" t="str">
        <f>IFERROR(VLOOKUP(E523,DC_Xref!A:B,2,FALSE),"")</f>
        <v/>
      </c>
      <c r="I523">
        <f t="shared" si="26"/>
        <v>0</v>
      </c>
    </row>
    <row r="524" spans="1:9" x14ac:dyDescent="0.3">
      <c r="A524" t="str">
        <f t="shared" si="24"/>
        <v>-</v>
      </c>
      <c r="B524" t="str">
        <f t="shared" si="25"/>
        <v>0-</v>
      </c>
      <c r="H524" t="str">
        <f>IFERROR(VLOOKUP(E524,DC_Xref!A:B,2,FALSE),"")</f>
        <v/>
      </c>
      <c r="I524">
        <f t="shared" si="26"/>
        <v>0</v>
      </c>
    </row>
    <row r="525" spans="1:9" x14ac:dyDescent="0.3">
      <c r="A525" t="str">
        <f t="shared" si="24"/>
        <v>-</v>
      </c>
      <c r="B525" t="str">
        <f t="shared" si="25"/>
        <v>0-</v>
      </c>
      <c r="H525" t="str">
        <f>IFERROR(VLOOKUP(E525,DC_Xref!A:B,2,FALSE),"")</f>
        <v/>
      </c>
      <c r="I525">
        <f t="shared" si="26"/>
        <v>0</v>
      </c>
    </row>
    <row r="526" spans="1:9" x14ac:dyDescent="0.3">
      <c r="A526" t="str">
        <f t="shared" si="24"/>
        <v>-</v>
      </c>
      <c r="B526" t="str">
        <f t="shared" si="25"/>
        <v>0-</v>
      </c>
      <c r="H526" t="str">
        <f>IFERROR(VLOOKUP(E526,DC_Xref!A:B,2,FALSE),"")</f>
        <v/>
      </c>
      <c r="I526">
        <f t="shared" si="26"/>
        <v>0</v>
      </c>
    </row>
    <row r="527" spans="1:9" x14ac:dyDescent="0.3">
      <c r="A527" t="str">
        <f t="shared" si="24"/>
        <v>-</v>
      </c>
      <c r="B527" t="str">
        <f t="shared" si="25"/>
        <v>0-</v>
      </c>
      <c r="H527" t="str">
        <f>IFERROR(VLOOKUP(E527,DC_Xref!A:B,2,FALSE),"")</f>
        <v/>
      </c>
      <c r="I527">
        <f t="shared" si="26"/>
        <v>0</v>
      </c>
    </row>
    <row r="528" spans="1:9" x14ac:dyDescent="0.3">
      <c r="A528" t="str">
        <f t="shared" si="24"/>
        <v>-</v>
      </c>
      <c r="B528" t="str">
        <f t="shared" si="25"/>
        <v>0-</v>
      </c>
      <c r="H528" t="str">
        <f>IFERROR(VLOOKUP(E528,DC_Xref!A:B,2,FALSE),"")</f>
        <v/>
      </c>
      <c r="I528">
        <f t="shared" si="26"/>
        <v>0</v>
      </c>
    </row>
    <row r="529" spans="1:9" x14ac:dyDescent="0.3">
      <c r="A529" t="str">
        <f t="shared" si="24"/>
        <v>-</v>
      </c>
      <c r="B529" t="str">
        <f t="shared" si="25"/>
        <v>0-</v>
      </c>
      <c r="H529" t="str">
        <f>IFERROR(VLOOKUP(E529,DC_Xref!A:B,2,FALSE),"")</f>
        <v/>
      </c>
      <c r="I529">
        <f t="shared" si="26"/>
        <v>0</v>
      </c>
    </row>
    <row r="530" spans="1:9" x14ac:dyDescent="0.3">
      <c r="A530" t="str">
        <f t="shared" si="24"/>
        <v>-</v>
      </c>
      <c r="B530" t="str">
        <f t="shared" si="25"/>
        <v>0-</v>
      </c>
      <c r="H530" t="str">
        <f>IFERROR(VLOOKUP(E530,DC_Xref!A:B,2,FALSE),"")</f>
        <v/>
      </c>
      <c r="I530">
        <f t="shared" si="26"/>
        <v>0</v>
      </c>
    </row>
    <row r="531" spans="1:9" x14ac:dyDescent="0.3">
      <c r="A531" t="str">
        <f t="shared" si="24"/>
        <v>-</v>
      </c>
      <c r="B531" t="str">
        <f t="shared" si="25"/>
        <v>0-</v>
      </c>
      <c r="H531" t="str">
        <f>IFERROR(VLOOKUP(E531,DC_Xref!A:B,2,FALSE),"")</f>
        <v/>
      </c>
      <c r="I531">
        <f t="shared" si="26"/>
        <v>0</v>
      </c>
    </row>
    <row r="532" spans="1:9" x14ac:dyDescent="0.3">
      <c r="A532" t="str">
        <f t="shared" si="24"/>
        <v>-</v>
      </c>
      <c r="B532" t="str">
        <f t="shared" si="25"/>
        <v>0-</v>
      </c>
      <c r="H532" t="str">
        <f>IFERROR(VLOOKUP(E532,DC_Xref!A:B,2,FALSE),"")</f>
        <v/>
      </c>
      <c r="I532">
        <f t="shared" si="26"/>
        <v>0</v>
      </c>
    </row>
    <row r="533" spans="1:9" x14ac:dyDescent="0.3">
      <c r="A533" t="str">
        <f t="shared" si="24"/>
        <v>-</v>
      </c>
      <c r="B533" t="str">
        <f t="shared" si="25"/>
        <v>0-</v>
      </c>
      <c r="H533" t="str">
        <f>IFERROR(VLOOKUP(E533,DC_Xref!A:B,2,FALSE),"")</f>
        <v/>
      </c>
      <c r="I533">
        <f t="shared" si="26"/>
        <v>0</v>
      </c>
    </row>
    <row r="534" spans="1:9" x14ac:dyDescent="0.3">
      <c r="A534" t="str">
        <f t="shared" si="24"/>
        <v>-</v>
      </c>
      <c r="B534" t="str">
        <f t="shared" si="25"/>
        <v>0-</v>
      </c>
      <c r="H534" t="str">
        <f>IFERROR(VLOOKUP(E534,DC_Xref!A:B,2,FALSE),"")</f>
        <v/>
      </c>
      <c r="I534">
        <f t="shared" si="26"/>
        <v>0</v>
      </c>
    </row>
    <row r="535" spans="1:9" x14ac:dyDescent="0.3">
      <c r="A535" t="str">
        <f t="shared" si="24"/>
        <v>-</v>
      </c>
      <c r="B535" t="str">
        <f t="shared" si="25"/>
        <v>0-</v>
      </c>
      <c r="H535" t="str">
        <f>IFERROR(VLOOKUP(E535,DC_Xref!A:B,2,FALSE),"")</f>
        <v/>
      </c>
      <c r="I535">
        <f t="shared" si="26"/>
        <v>0</v>
      </c>
    </row>
    <row r="536" spans="1:9" x14ac:dyDescent="0.3">
      <c r="A536" t="str">
        <f t="shared" si="24"/>
        <v>-</v>
      </c>
      <c r="B536" t="str">
        <f t="shared" si="25"/>
        <v>0-</v>
      </c>
      <c r="H536" t="str">
        <f>IFERROR(VLOOKUP(E536,DC_Xref!A:B,2,FALSE),"")</f>
        <v/>
      </c>
      <c r="I536">
        <f t="shared" si="26"/>
        <v>0</v>
      </c>
    </row>
    <row r="537" spans="1:9" x14ac:dyDescent="0.3">
      <c r="A537" t="str">
        <f t="shared" si="24"/>
        <v>-</v>
      </c>
      <c r="B537" t="str">
        <f t="shared" si="25"/>
        <v>0-</v>
      </c>
      <c r="H537" t="str">
        <f>IFERROR(VLOOKUP(E537,DC_Xref!A:B,2,FALSE),"")</f>
        <v/>
      </c>
      <c r="I537">
        <f t="shared" si="26"/>
        <v>0</v>
      </c>
    </row>
    <row r="538" spans="1:9" x14ac:dyDescent="0.3">
      <c r="A538" t="str">
        <f t="shared" si="24"/>
        <v>-</v>
      </c>
      <c r="B538" t="str">
        <f t="shared" si="25"/>
        <v>0-</v>
      </c>
      <c r="H538" t="str">
        <f>IFERROR(VLOOKUP(E538,DC_Xref!A:B,2,FALSE),"")</f>
        <v/>
      </c>
      <c r="I538">
        <f t="shared" si="26"/>
        <v>0</v>
      </c>
    </row>
    <row r="539" spans="1:9" x14ac:dyDescent="0.3">
      <c r="A539" t="str">
        <f t="shared" si="24"/>
        <v>-</v>
      </c>
      <c r="B539" t="str">
        <f t="shared" si="25"/>
        <v>0-</v>
      </c>
      <c r="H539" t="str">
        <f>IFERROR(VLOOKUP(E539,DC_Xref!A:B,2,FALSE),"")</f>
        <v/>
      </c>
      <c r="I539">
        <f t="shared" si="26"/>
        <v>0</v>
      </c>
    </row>
    <row r="540" spans="1:9" x14ac:dyDescent="0.3">
      <c r="A540" t="str">
        <f t="shared" si="24"/>
        <v>-</v>
      </c>
      <c r="B540" t="str">
        <f t="shared" si="25"/>
        <v>0-</v>
      </c>
      <c r="H540" t="str">
        <f>IFERROR(VLOOKUP(E540,DC_Xref!A:B,2,FALSE),"")</f>
        <v/>
      </c>
      <c r="I540">
        <f t="shared" si="26"/>
        <v>0</v>
      </c>
    </row>
    <row r="541" spans="1:9" x14ac:dyDescent="0.3">
      <c r="A541" t="str">
        <f t="shared" si="24"/>
        <v>-</v>
      </c>
      <c r="B541" t="str">
        <f t="shared" si="25"/>
        <v>0-</v>
      </c>
      <c r="H541" t="str">
        <f>IFERROR(VLOOKUP(E541,DC_Xref!A:B,2,FALSE),"")</f>
        <v/>
      </c>
      <c r="I541">
        <f t="shared" si="26"/>
        <v>0</v>
      </c>
    </row>
    <row r="542" spans="1:9" x14ac:dyDescent="0.3">
      <c r="A542" t="str">
        <f t="shared" si="24"/>
        <v>-</v>
      </c>
      <c r="B542" t="str">
        <f t="shared" si="25"/>
        <v>0-</v>
      </c>
      <c r="H542" t="str">
        <f>IFERROR(VLOOKUP(E542,DC_Xref!A:B,2,FALSE),"")</f>
        <v/>
      </c>
      <c r="I542">
        <f t="shared" si="26"/>
        <v>0</v>
      </c>
    </row>
    <row r="543" spans="1:9" x14ac:dyDescent="0.3">
      <c r="A543" t="str">
        <f t="shared" si="24"/>
        <v>-</v>
      </c>
      <c r="B543" t="str">
        <f t="shared" si="25"/>
        <v>0-</v>
      </c>
      <c r="H543" t="str">
        <f>IFERROR(VLOOKUP(E543,DC_Xref!A:B,2,FALSE),"")</f>
        <v/>
      </c>
      <c r="I543">
        <f t="shared" si="26"/>
        <v>0</v>
      </c>
    </row>
    <row r="544" spans="1:9" x14ac:dyDescent="0.3">
      <c r="A544" t="str">
        <f t="shared" si="24"/>
        <v>-</v>
      </c>
      <c r="B544" t="str">
        <f t="shared" si="25"/>
        <v>0-</v>
      </c>
      <c r="H544" t="str">
        <f>IFERROR(VLOOKUP(E544,DC_Xref!A:B,2,FALSE),"")</f>
        <v/>
      </c>
      <c r="I544">
        <f t="shared" si="26"/>
        <v>0</v>
      </c>
    </row>
    <row r="545" spans="1:9" x14ac:dyDescent="0.3">
      <c r="A545" t="str">
        <f t="shared" si="24"/>
        <v>-</v>
      </c>
      <c r="B545" t="str">
        <f t="shared" si="25"/>
        <v>0-</v>
      </c>
      <c r="H545" t="str">
        <f>IFERROR(VLOOKUP(E545,DC_Xref!A:B,2,FALSE),"")</f>
        <v/>
      </c>
      <c r="I545">
        <f t="shared" si="26"/>
        <v>0</v>
      </c>
    </row>
    <row r="546" spans="1:9" x14ac:dyDescent="0.3">
      <c r="A546" t="str">
        <f t="shared" si="24"/>
        <v>-</v>
      </c>
      <c r="B546" t="str">
        <f t="shared" si="25"/>
        <v>0-</v>
      </c>
      <c r="H546" t="str">
        <f>IFERROR(VLOOKUP(E546,DC_Xref!A:B,2,FALSE),"")</f>
        <v/>
      </c>
      <c r="I546">
        <f t="shared" si="26"/>
        <v>0</v>
      </c>
    </row>
    <row r="547" spans="1:9" x14ac:dyDescent="0.3">
      <c r="A547" t="str">
        <f t="shared" si="24"/>
        <v>-</v>
      </c>
      <c r="B547" t="str">
        <f t="shared" si="25"/>
        <v>0-</v>
      </c>
      <c r="H547" t="str">
        <f>IFERROR(VLOOKUP(E547,DC_Xref!A:B,2,FALSE),"")</f>
        <v/>
      </c>
      <c r="I547">
        <f t="shared" si="26"/>
        <v>0</v>
      </c>
    </row>
    <row r="548" spans="1:9" x14ac:dyDescent="0.3">
      <c r="A548" t="str">
        <f t="shared" si="24"/>
        <v>-</v>
      </c>
      <c r="B548" t="str">
        <f t="shared" si="25"/>
        <v>0-</v>
      </c>
      <c r="H548" t="str">
        <f>IFERROR(VLOOKUP(E548,DC_Xref!A:B,2,FALSE),"")</f>
        <v/>
      </c>
      <c r="I548">
        <f t="shared" si="26"/>
        <v>0</v>
      </c>
    </row>
    <row r="549" spans="1:9" x14ac:dyDescent="0.3">
      <c r="A549" t="str">
        <f t="shared" si="24"/>
        <v>-</v>
      </c>
      <c r="B549" t="str">
        <f t="shared" si="25"/>
        <v>0-</v>
      </c>
      <c r="H549" t="str">
        <f>IFERROR(VLOOKUP(E549,DC_Xref!A:B,2,FALSE),"")</f>
        <v/>
      </c>
      <c r="I549">
        <f t="shared" si="26"/>
        <v>0</v>
      </c>
    </row>
    <row r="550" spans="1:9" x14ac:dyDescent="0.3">
      <c r="A550" t="str">
        <f t="shared" si="24"/>
        <v>-</v>
      </c>
      <c r="B550" t="str">
        <f t="shared" si="25"/>
        <v>0-</v>
      </c>
      <c r="H550" t="str">
        <f>IFERROR(VLOOKUP(E550,DC_Xref!A:B,2,FALSE),"")</f>
        <v/>
      </c>
      <c r="I550">
        <f t="shared" si="26"/>
        <v>0</v>
      </c>
    </row>
    <row r="551" spans="1:9" x14ac:dyDescent="0.3">
      <c r="A551" t="str">
        <f t="shared" si="24"/>
        <v>-</v>
      </c>
      <c r="B551" t="str">
        <f t="shared" si="25"/>
        <v>0-</v>
      </c>
      <c r="H551" t="str">
        <f>IFERROR(VLOOKUP(E551,DC_Xref!A:B,2,FALSE),"")</f>
        <v/>
      </c>
      <c r="I551">
        <f t="shared" si="26"/>
        <v>0</v>
      </c>
    </row>
    <row r="552" spans="1:9" x14ac:dyDescent="0.3">
      <c r="A552" t="str">
        <f t="shared" si="24"/>
        <v>-</v>
      </c>
      <c r="B552" t="str">
        <f t="shared" si="25"/>
        <v>0-</v>
      </c>
      <c r="H552" t="str">
        <f>IFERROR(VLOOKUP(E552,DC_Xref!A:B,2,FALSE),"")</f>
        <v/>
      </c>
      <c r="I552">
        <f t="shared" si="26"/>
        <v>0</v>
      </c>
    </row>
    <row r="553" spans="1:9" x14ac:dyDescent="0.3">
      <c r="A553" t="str">
        <f t="shared" si="24"/>
        <v>-</v>
      </c>
      <c r="B553" t="str">
        <f t="shared" si="25"/>
        <v>0-</v>
      </c>
      <c r="H553" t="str">
        <f>IFERROR(VLOOKUP(E553,DC_Xref!A:B,2,FALSE),"")</f>
        <v/>
      </c>
      <c r="I553">
        <f t="shared" si="26"/>
        <v>0</v>
      </c>
    </row>
    <row r="554" spans="1:9" x14ac:dyDescent="0.3">
      <c r="A554" t="str">
        <f t="shared" si="24"/>
        <v>-</v>
      </c>
      <c r="B554" t="str">
        <f t="shared" si="25"/>
        <v>0-</v>
      </c>
      <c r="H554" t="str">
        <f>IFERROR(VLOOKUP(E554,DC_Xref!A:B,2,FALSE),"")</f>
        <v/>
      </c>
      <c r="I554">
        <f t="shared" si="26"/>
        <v>0</v>
      </c>
    </row>
    <row r="555" spans="1:9" x14ac:dyDescent="0.3">
      <c r="A555" t="str">
        <f t="shared" si="24"/>
        <v>-</v>
      </c>
      <c r="B555" t="str">
        <f t="shared" si="25"/>
        <v>0-</v>
      </c>
      <c r="H555" t="str">
        <f>IFERROR(VLOOKUP(E555,DC_Xref!A:B,2,FALSE),"")</f>
        <v/>
      </c>
      <c r="I555">
        <f t="shared" si="26"/>
        <v>0</v>
      </c>
    </row>
    <row r="556" spans="1:9" x14ac:dyDescent="0.3">
      <c r="A556" t="str">
        <f t="shared" si="24"/>
        <v>-</v>
      </c>
      <c r="B556" t="str">
        <f t="shared" si="25"/>
        <v>0-</v>
      </c>
      <c r="H556" t="str">
        <f>IFERROR(VLOOKUP(E556,DC_Xref!A:B,2,FALSE),"")</f>
        <v/>
      </c>
      <c r="I556">
        <f t="shared" si="26"/>
        <v>0</v>
      </c>
    </row>
    <row r="557" spans="1:9" x14ac:dyDescent="0.3">
      <c r="A557" t="str">
        <f t="shared" si="24"/>
        <v>-</v>
      </c>
      <c r="B557" t="str">
        <f t="shared" si="25"/>
        <v>0-</v>
      </c>
      <c r="H557" t="str">
        <f>IFERROR(VLOOKUP(E557,DC_Xref!A:B,2,FALSE),"")</f>
        <v/>
      </c>
      <c r="I557">
        <f t="shared" si="26"/>
        <v>0</v>
      </c>
    </row>
    <row r="558" spans="1:9" x14ac:dyDescent="0.3">
      <c r="A558" t="str">
        <f t="shared" si="24"/>
        <v>-</v>
      </c>
      <c r="B558" t="str">
        <f t="shared" si="25"/>
        <v>0-</v>
      </c>
      <c r="H558" t="str">
        <f>IFERROR(VLOOKUP(E558,DC_Xref!A:B,2,FALSE),"")</f>
        <v/>
      </c>
      <c r="I558">
        <f t="shared" si="26"/>
        <v>0</v>
      </c>
    </row>
    <row r="559" spans="1:9" x14ac:dyDescent="0.3">
      <c r="A559" t="str">
        <f t="shared" si="24"/>
        <v>-</v>
      </c>
      <c r="B559" t="str">
        <f t="shared" si="25"/>
        <v>0-</v>
      </c>
      <c r="H559" t="str">
        <f>IFERROR(VLOOKUP(E559,DC_Xref!A:B,2,FALSE),"")</f>
        <v/>
      </c>
      <c r="I559">
        <f t="shared" si="26"/>
        <v>0</v>
      </c>
    </row>
    <row r="560" spans="1:9" x14ac:dyDescent="0.3">
      <c r="A560" t="str">
        <f t="shared" si="24"/>
        <v>-</v>
      </c>
      <c r="B560" t="str">
        <f t="shared" si="25"/>
        <v>0-</v>
      </c>
      <c r="H560" t="str">
        <f>IFERROR(VLOOKUP(E560,DC_Xref!A:B,2,FALSE),"")</f>
        <v/>
      </c>
      <c r="I560">
        <f t="shared" si="26"/>
        <v>0</v>
      </c>
    </row>
    <row r="561" spans="1:9" x14ac:dyDescent="0.3">
      <c r="A561" t="str">
        <f t="shared" si="24"/>
        <v>-</v>
      </c>
      <c r="B561" t="str">
        <f t="shared" si="25"/>
        <v>0-</v>
      </c>
      <c r="H561" t="str">
        <f>IFERROR(VLOOKUP(E561,DC_Xref!A:B,2,FALSE),"")</f>
        <v/>
      </c>
      <c r="I561">
        <f t="shared" si="26"/>
        <v>0</v>
      </c>
    </row>
    <row r="562" spans="1:9" x14ac:dyDescent="0.3">
      <c r="A562" t="str">
        <f t="shared" si="24"/>
        <v>-</v>
      </c>
      <c r="B562" t="str">
        <f t="shared" si="25"/>
        <v>0-</v>
      </c>
      <c r="H562" t="str">
        <f>IFERROR(VLOOKUP(E562,DC_Xref!A:B,2,FALSE),"")</f>
        <v/>
      </c>
      <c r="I562">
        <f t="shared" si="26"/>
        <v>0</v>
      </c>
    </row>
    <row r="563" spans="1:9" x14ac:dyDescent="0.3">
      <c r="A563" t="str">
        <f t="shared" si="24"/>
        <v>-</v>
      </c>
      <c r="B563" t="str">
        <f t="shared" si="25"/>
        <v>0-</v>
      </c>
      <c r="H563" t="str">
        <f>IFERROR(VLOOKUP(E563,DC_Xref!A:B,2,FALSE),"")</f>
        <v/>
      </c>
      <c r="I563">
        <f t="shared" si="26"/>
        <v>0</v>
      </c>
    </row>
    <row r="564" spans="1:9" x14ac:dyDescent="0.3">
      <c r="A564" t="str">
        <f t="shared" si="24"/>
        <v>-</v>
      </c>
      <c r="B564" t="str">
        <f t="shared" si="25"/>
        <v>0-</v>
      </c>
      <c r="H564" t="str">
        <f>IFERROR(VLOOKUP(E564,DC_Xref!A:B,2,FALSE),"")</f>
        <v/>
      </c>
      <c r="I564">
        <f t="shared" si="26"/>
        <v>0</v>
      </c>
    </row>
    <row r="565" spans="1:9" x14ac:dyDescent="0.3">
      <c r="A565" t="str">
        <f t="shared" si="24"/>
        <v>-</v>
      </c>
      <c r="B565" t="str">
        <f t="shared" si="25"/>
        <v>0-</v>
      </c>
      <c r="H565" t="str">
        <f>IFERROR(VLOOKUP(E565,DC_Xref!A:B,2,FALSE),"")</f>
        <v/>
      </c>
      <c r="I565">
        <f t="shared" si="26"/>
        <v>0</v>
      </c>
    </row>
    <row r="566" spans="1:9" x14ac:dyDescent="0.3">
      <c r="A566" t="str">
        <f t="shared" si="24"/>
        <v>-</v>
      </c>
      <c r="B566" t="str">
        <f t="shared" si="25"/>
        <v>0-</v>
      </c>
      <c r="H566" t="str">
        <f>IFERROR(VLOOKUP(E566,DC_Xref!A:B,2,FALSE),"")</f>
        <v/>
      </c>
      <c r="I566">
        <f t="shared" si="26"/>
        <v>0</v>
      </c>
    </row>
    <row r="567" spans="1:9" x14ac:dyDescent="0.3">
      <c r="A567" t="str">
        <f t="shared" si="24"/>
        <v>-</v>
      </c>
      <c r="B567" t="str">
        <f t="shared" si="25"/>
        <v>0-</v>
      </c>
      <c r="H567" t="str">
        <f>IFERROR(VLOOKUP(E567,DC_Xref!A:B,2,FALSE),"")</f>
        <v/>
      </c>
      <c r="I567">
        <f t="shared" si="26"/>
        <v>0</v>
      </c>
    </row>
    <row r="568" spans="1:9" x14ac:dyDescent="0.3">
      <c r="A568" t="str">
        <f t="shared" si="24"/>
        <v>-</v>
      </c>
      <c r="B568" t="str">
        <f t="shared" si="25"/>
        <v>0-</v>
      </c>
      <c r="H568" t="str">
        <f>IFERROR(VLOOKUP(E568,DC_Xref!A:B,2,FALSE),"")</f>
        <v/>
      </c>
      <c r="I568">
        <f t="shared" si="26"/>
        <v>0</v>
      </c>
    </row>
    <row r="569" spans="1:9" x14ac:dyDescent="0.3">
      <c r="A569" t="str">
        <f t="shared" si="24"/>
        <v>-</v>
      </c>
      <c r="B569" t="str">
        <f t="shared" si="25"/>
        <v>0-</v>
      </c>
      <c r="H569" t="str">
        <f>IFERROR(VLOOKUP(E569,DC_Xref!A:B,2,FALSE),"")</f>
        <v/>
      </c>
      <c r="I569">
        <f t="shared" si="26"/>
        <v>0</v>
      </c>
    </row>
    <row r="570" spans="1:9" x14ac:dyDescent="0.3">
      <c r="A570" t="str">
        <f t="shared" si="24"/>
        <v>-</v>
      </c>
      <c r="B570" t="str">
        <f t="shared" si="25"/>
        <v>0-</v>
      </c>
      <c r="H570" t="str">
        <f>IFERROR(VLOOKUP(E570,DC_Xref!A:B,2,FALSE),"")</f>
        <v/>
      </c>
      <c r="I570">
        <f t="shared" si="26"/>
        <v>0</v>
      </c>
    </row>
    <row r="571" spans="1:9" x14ac:dyDescent="0.3">
      <c r="A571" t="str">
        <f t="shared" si="24"/>
        <v>-</v>
      </c>
      <c r="B571" t="str">
        <f t="shared" si="25"/>
        <v>0-</v>
      </c>
      <c r="H571" t="str">
        <f>IFERROR(VLOOKUP(E571,DC_Xref!A:B,2,FALSE),"")</f>
        <v/>
      </c>
      <c r="I571">
        <f t="shared" si="26"/>
        <v>0</v>
      </c>
    </row>
    <row r="572" spans="1:9" x14ac:dyDescent="0.3">
      <c r="A572" t="str">
        <f t="shared" si="24"/>
        <v>-</v>
      </c>
      <c r="B572" t="str">
        <f t="shared" si="25"/>
        <v>0-</v>
      </c>
      <c r="H572" t="str">
        <f>IFERROR(VLOOKUP(E572,DC_Xref!A:B,2,FALSE),"")</f>
        <v/>
      </c>
      <c r="I572">
        <f t="shared" si="26"/>
        <v>0</v>
      </c>
    </row>
    <row r="573" spans="1:9" x14ac:dyDescent="0.3">
      <c r="A573" t="str">
        <f t="shared" si="24"/>
        <v>-</v>
      </c>
      <c r="B573" t="str">
        <f t="shared" si="25"/>
        <v>0-</v>
      </c>
      <c r="H573" t="str">
        <f>IFERROR(VLOOKUP(E573,DC_Xref!A:B,2,FALSE),"")</f>
        <v/>
      </c>
      <c r="I573">
        <f t="shared" si="26"/>
        <v>0</v>
      </c>
    </row>
    <row r="574" spans="1:9" x14ac:dyDescent="0.3">
      <c r="A574" t="str">
        <f t="shared" si="24"/>
        <v>-</v>
      </c>
      <c r="B574" t="str">
        <f t="shared" si="25"/>
        <v>0-</v>
      </c>
      <c r="H574" t="str">
        <f>IFERROR(VLOOKUP(E574,DC_Xref!A:B,2,FALSE),"")</f>
        <v/>
      </c>
      <c r="I574">
        <f t="shared" si="26"/>
        <v>0</v>
      </c>
    </row>
    <row r="575" spans="1:9" x14ac:dyDescent="0.3">
      <c r="A575" t="str">
        <f t="shared" si="24"/>
        <v>-</v>
      </c>
      <c r="B575" t="str">
        <f t="shared" si="25"/>
        <v>0-</v>
      </c>
      <c r="H575" t="str">
        <f>IFERROR(VLOOKUP(E575,DC_Xref!A:B,2,FALSE),"")</f>
        <v/>
      </c>
      <c r="I575">
        <f t="shared" si="26"/>
        <v>0</v>
      </c>
    </row>
    <row r="576" spans="1:9" x14ac:dyDescent="0.3">
      <c r="A576" t="str">
        <f t="shared" si="24"/>
        <v>-</v>
      </c>
      <c r="B576" t="str">
        <f t="shared" si="25"/>
        <v>0-</v>
      </c>
      <c r="H576" t="str">
        <f>IFERROR(VLOOKUP(E576,DC_Xref!A:B,2,FALSE),"")</f>
        <v/>
      </c>
      <c r="I576">
        <f t="shared" si="26"/>
        <v>0</v>
      </c>
    </row>
    <row r="577" spans="1:9" x14ac:dyDescent="0.3">
      <c r="A577" t="str">
        <f t="shared" si="24"/>
        <v>-</v>
      </c>
      <c r="B577" t="str">
        <f t="shared" si="25"/>
        <v>0-</v>
      </c>
      <c r="H577" t="str">
        <f>IFERROR(VLOOKUP(E577,DC_Xref!A:B,2,FALSE),"")</f>
        <v/>
      </c>
      <c r="I577">
        <f t="shared" si="26"/>
        <v>0</v>
      </c>
    </row>
    <row r="578" spans="1:9" x14ac:dyDescent="0.3">
      <c r="A578" t="str">
        <f t="shared" ref="A578:A641" si="27">C578&amp;"-"&amp;F578</f>
        <v>-</v>
      </c>
      <c r="B578" t="str">
        <f t="shared" ref="B578:B641" si="28">I578&amp;"-"&amp;H578</f>
        <v>0-</v>
      </c>
      <c r="H578" t="str">
        <f>IFERROR(VLOOKUP(E578,DC_Xref!A:B,2,FALSE),"")</f>
        <v/>
      </c>
      <c r="I578">
        <f t="shared" ref="I578:I641" si="29">C578*100+D578</f>
        <v>0</v>
      </c>
    </row>
    <row r="579" spans="1:9" x14ac:dyDescent="0.3">
      <c r="A579" t="str">
        <f t="shared" si="27"/>
        <v>-</v>
      </c>
      <c r="B579" t="str">
        <f t="shared" si="28"/>
        <v>0-</v>
      </c>
      <c r="H579" t="str">
        <f>IFERROR(VLOOKUP(E579,DC_Xref!A:B,2,FALSE),"")</f>
        <v/>
      </c>
      <c r="I579">
        <f t="shared" si="29"/>
        <v>0</v>
      </c>
    </row>
    <row r="580" spans="1:9" x14ac:dyDescent="0.3">
      <c r="A580" t="str">
        <f t="shared" si="27"/>
        <v>-</v>
      </c>
      <c r="B580" t="str">
        <f t="shared" si="28"/>
        <v>0-</v>
      </c>
      <c r="H580" t="str">
        <f>IFERROR(VLOOKUP(E580,DC_Xref!A:B,2,FALSE),"")</f>
        <v/>
      </c>
      <c r="I580">
        <f t="shared" si="29"/>
        <v>0</v>
      </c>
    </row>
    <row r="581" spans="1:9" x14ac:dyDescent="0.3">
      <c r="A581" t="str">
        <f t="shared" si="27"/>
        <v>-</v>
      </c>
      <c r="B581" t="str">
        <f t="shared" si="28"/>
        <v>0-</v>
      </c>
      <c r="H581" t="str">
        <f>IFERROR(VLOOKUP(E581,DC_Xref!A:B,2,FALSE),"")</f>
        <v/>
      </c>
      <c r="I581">
        <f t="shared" si="29"/>
        <v>0</v>
      </c>
    </row>
    <row r="582" spans="1:9" x14ac:dyDescent="0.3">
      <c r="A582" t="str">
        <f t="shared" si="27"/>
        <v>-</v>
      </c>
      <c r="B582" t="str">
        <f t="shared" si="28"/>
        <v>0-</v>
      </c>
      <c r="H582" t="str">
        <f>IFERROR(VLOOKUP(E582,DC_Xref!A:B,2,FALSE),"")</f>
        <v/>
      </c>
      <c r="I582">
        <f t="shared" si="29"/>
        <v>0</v>
      </c>
    </row>
    <row r="583" spans="1:9" x14ac:dyDescent="0.3">
      <c r="A583" t="str">
        <f t="shared" si="27"/>
        <v>-</v>
      </c>
      <c r="B583" t="str">
        <f t="shared" si="28"/>
        <v>0-</v>
      </c>
      <c r="H583" t="str">
        <f>IFERROR(VLOOKUP(E583,DC_Xref!A:B,2,FALSE),"")</f>
        <v/>
      </c>
      <c r="I583">
        <f t="shared" si="29"/>
        <v>0</v>
      </c>
    </row>
    <row r="584" spans="1:9" x14ac:dyDescent="0.3">
      <c r="A584" t="str">
        <f t="shared" si="27"/>
        <v>-</v>
      </c>
      <c r="B584" t="str">
        <f t="shared" si="28"/>
        <v>0-</v>
      </c>
      <c r="H584" t="str">
        <f>IFERROR(VLOOKUP(E584,DC_Xref!A:B,2,FALSE),"")</f>
        <v/>
      </c>
      <c r="I584">
        <f t="shared" si="29"/>
        <v>0</v>
      </c>
    </row>
    <row r="585" spans="1:9" x14ac:dyDescent="0.3">
      <c r="A585" t="str">
        <f t="shared" si="27"/>
        <v>-</v>
      </c>
      <c r="B585" t="str">
        <f t="shared" si="28"/>
        <v>0-</v>
      </c>
      <c r="H585" t="str">
        <f>IFERROR(VLOOKUP(E585,DC_Xref!A:B,2,FALSE),"")</f>
        <v/>
      </c>
      <c r="I585">
        <f t="shared" si="29"/>
        <v>0</v>
      </c>
    </row>
    <row r="586" spans="1:9" x14ac:dyDescent="0.3">
      <c r="A586" t="str">
        <f t="shared" si="27"/>
        <v>-</v>
      </c>
      <c r="B586" t="str">
        <f t="shared" si="28"/>
        <v>0-</v>
      </c>
      <c r="H586" t="str">
        <f>IFERROR(VLOOKUP(E586,DC_Xref!A:B,2,FALSE),"")</f>
        <v/>
      </c>
      <c r="I586">
        <f t="shared" si="29"/>
        <v>0</v>
      </c>
    </row>
    <row r="587" spans="1:9" x14ac:dyDescent="0.3">
      <c r="A587" t="str">
        <f t="shared" si="27"/>
        <v>-</v>
      </c>
      <c r="B587" t="str">
        <f t="shared" si="28"/>
        <v>0-</v>
      </c>
      <c r="H587" t="str">
        <f>IFERROR(VLOOKUP(E587,DC_Xref!A:B,2,FALSE),"")</f>
        <v/>
      </c>
      <c r="I587">
        <f t="shared" si="29"/>
        <v>0</v>
      </c>
    </row>
    <row r="588" spans="1:9" x14ac:dyDescent="0.3">
      <c r="A588" t="str">
        <f t="shared" si="27"/>
        <v>-</v>
      </c>
      <c r="B588" t="str">
        <f t="shared" si="28"/>
        <v>0-</v>
      </c>
      <c r="H588" t="str">
        <f>IFERROR(VLOOKUP(E588,DC_Xref!A:B,2,FALSE),"")</f>
        <v/>
      </c>
      <c r="I588">
        <f t="shared" si="29"/>
        <v>0</v>
      </c>
    </row>
    <row r="589" spans="1:9" x14ac:dyDescent="0.3">
      <c r="A589" t="str">
        <f t="shared" si="27"/>
        <v>-</v>
      </c>
      <c r="B589" t="str">
        <f t="shared" si="28"/>
        <v>0-</v>
      </c>
      <c r="H589" t="str">
        <f>IFERROR(VLOOKUP(E589,DC_Xref!A:B,2,FALSE),"")</f>
        <v/>
      </c>
      <c r="I589">
        <f t="shared" si="29"/>
        <v>0</v>
      </c>
    </row>
    <row r="590" spans="1:9" x14ac:dyDescent="0.3">
      <c r="A590" t="str">
        <f t="shared" si="27"/>
        <v>-</v>
      </c>
      <c r="B590" t="str">
        <f t="shared" si="28"/>
        <v>0-</v>
      </c>
      <c r="H590" t="str">
        <f>IFERROR(VLOOKUP(E590,DC_Xref!A:B,2,FALSE),"")</f>
        <v/>
      </c>
      <c r="I590">
        <f t="shared" si="29"/>
        <v>0</v>
      </c>
    </row>
    <row r="591" spans="1:9" x14ac:dyDescent="0.3">
      <c r="A591" t="str">
        <f t="shared" si="27"/>
        <v>-</v>
      </c>
      <c r="B591" t="str">
        <f t="shared" si="28"/>
        <v>0-</v>
      </c>
      <c r="H591" t="str">
        <f>IFERROR(VLOOKUP(E591,DC_Xref!A:B,2,FALSE),"")</f>
        <v/>
      </c>
      <c r="I591">
        <f t="shared" si="29"/>
        <v>0</v>
      </c>
    </row>
    <row r="592" spans="1:9" x14ac:dyDescent="0.3">
      <c r="A592" t="str">
        <f t="shared" si="27"/>
        <v>-</v>
      </c>
      <c r="B592" t="str">
        <f t="shared" si="28"/>
        <v>0-</v>
      </c>
      <c r="H592" t="str">
        <f>IFERROR(VLOOKUP(E592,DC_Xref!A:B,2,FALSE),"")</f>
        <v/>
      </c>
      <c r="I592">
        <f t="shared" si="29"/>
        <v>0</v>
      </c>
    </row>
    <row r="593" spans="1:9" x14ac:dyDescent="0.3">
      <c r="A593" t="str">
        <f t="shared" si="27"/>
        <v>-</v>
      </c>
      <c r="B593" t="str">
        <f t="shared" si="28"/>
        <v>0-</v>
      </c>
      <c r="H593" t="str">
        <f>IFERROR(VLOOKUP(E593,DC_Xref!A:B,2,FALSE),"")</f>
        <v/>
      </c>
      <c r="I593">
        <f t="shared" si="29"/>
        <v>0</v>
      </c>
    </row>
    <row r="594" spans="1:9" x14ac:dyDescent="0.3">
      <c r="A594" t="str">
        <f t="shared" si="27"/>
        <v>-</v>
      </c>
      <c r="B594" t="str">
        <f t="shared" si="28"/>
        <v>0-</v>
      </c>
      <c r="H594" t="str">
        <f>IFERROR(VLOOKUP(E594,DC_Xref!A:B,2,FALSE),"")</f>
        <v/>
      </c>
      <c r="I594">
        <f t="shared" si="29"/>
        <v>0</v>
      </c>
    </row>
    <row r="595" spans="1:9" x14ac:dyDescent="0.3">
      <c r="A595" t="str">
        <f t="shared" si="27"/>
        <v>-</v>
      </c>
      <c r="B595" t="str">
        <f t="shared" si="28"/>
        <v>0-</v>
      </c>
      <c r="H595" t="str">
        <f>IFERROR(VLOOKUP(E595,DC_Xref!A:B,2,FALSE),"")</f>
        <v/>
      </c>
      <c r="I595">
        <f t="shared" si="29"/>
        <v>0</v>
      </c>
    </row>
    <row r="596" spans="1:9" x14ac:dyDescent="0.3">
      <c r="A596" t="str">
        <f t="shared" si="27"/>
        <v>-</v>
      </c>
      <c r="B596" t="str">
        <f t="shared" si="28"/>
        <v>0-</v>
      </c>
      <c r="H596" t="str">
        <f>IFERROR(VLOOKUP(E596,DC_Xref!A:B,2,FALSE),"")</f>
        <v/>
      </c>
      <c r="I596">
        <f t="shared" si="29"/>
        <v>0</v>
      </c>
    </row>
    <row r="597" spans="1:9" x14ac:dyDescent="0.3">
      <c r="A597" t="str">
        <f t="shared" si="27"/>
        <v>-</v>
      </c>
      <c r="B597" t="str">
        <f t="shared" si="28"/>
        <v>0-</v>
      </c>
      <c r="H597" t="str">
        <f>IFERROR(VLOOKUP(E597,DC_Xref!A:B,2,FALSE),"")</f>
        <v/>
      </c>
      <c r="I597">
        <f t="shared" si="29"/>
        <v>0</v>
      </c>
    </row>
    <row r="598" spans="1:9" x14ac:dyDescent="0.3">
      <c r="A598" t="str">
        <f t="shared" si="27"/>
        <v>-</v>
      </c>
      <c r="B598" t="str">
        <f t="shared" si="28"/>
        <v>0-</v>
      </c>
      <c r="H598" t="str">
        <f>IFERROR(VLOOKUP(E598,DC_Xref!A:B,2,FALSE),"")</f>
        <v/>
      </c>
      <c r="I598">
        <f t="shared" si="29"/>
        <v>0</v>
      </c>
    </row>
    <row r="599" spans="1:9" x14ac:dyDescent="0.3">
      <c r="A599" t="str">
        <f t="shared" si="27"/>
        <v>-</v>
      </c>
      <c r="B599" t="str">
        <f t="shared" si="28"/>
        <v>0-</v>
      </c>
      <c r="H599" t="str">
        <f>IFERROR(VLOOKUP(E599,DC_Xref!A:B,2,FALSE),"")</f>
        <v/>
      </c>
      <c r="I599">
        <f t="shared" si="29"/>
        <v>0</v>
      </c>
    </row>
    <row r="600" spans="1:9" x14ac:dyDescent="0.3">
      <c r="A600" t="str">
        <f t="shared" si="27"/>
        <v>-</v>
      </c>
      <c r="B600" t="str">
        <f t="shared" si="28"/>
        <v>0-</v>
      </c>
      <c r="H600" t="str">
        <f>IFERROR(VLOOKUP(E600,DC_Xref!A:B,2,FALSE),"")</f>
        <v/>
      </c>
      <c r="I600">
        <f t="shared" si="29"/>
        <v>0</v>
      </c>
    </row>
    <row r="601" spans="1:9" x14ac:dyDescent="0.3">
      <c r="A601" t="str">
        <f t="shared" si="27"/>
        <v>-</v>
      </c>
      <c r="B601" t="str">
        <f t="shared" si="28"/>
        <v>0-</v>
      </c>
      <c r="H601" t="str">
        <f>IFERROR(VLOOKUP(E601,DC_Xref!A:B,2,FALSE),"")</f>
        <v/>
      </c>
      <c r="I601">
        <f t="shared" si="29"/>
        <v>0</v>
      </c>
    </row>
    <row r="602" spans="1:9" x14ac:dyDescent="0.3">
      <c r="A602" t="str">
        <f t="shared" si="27"/>
        <v>-</v>
      </c>
      <c r="B602" t="str">
        <f t="shared" si="28"/>
        <v>0-</v>
      </c>
      <c r="H602" t="str">
        <f>IFERROR(VLOOKUP(E602,DC_Xref!A:B,2,FALSE),"")</f>
        <v/>
      </c>
      <c r="I602">
        <f t="shared" si="29"/>
        <v>0</v>
      </c>
    </row>
    <row r="603" spans="1:9" x14ac:dyDescent="0.3">
      <c r="A603" t="str">
        <f t="shared" si="27"/>
        <v>-</v>
      </c>
      <c r="B603" t="str">
        <f t="shared" si="28"/>
        <v>0-</v>
      </c>
      <c r="H603" t="str">
        <f>IFERROR(VLOOKUP(E603,DC_Xref!A:B,2,FALSE),"")</f>
        <v/>
      </c>
      <c r="I603">
        <f t="shared" si="29"/>
        <v>0</v>
      </c>
    </row>
    <row r="604" spans="1:9" x14ac:dyDescent="0.3">
      <c r="A604" t="str">
        <f t="shared" si="27"/>
        <v>-</v>
      </c>
      <c r="B604" t="str">
        <f t="shared" si="28"/>
        <v>0-</v>
      </c>
      <c r="H604" t="str">
        <f>IFERROR(VLOOKUP(E604,DC_Xref!A:B,2,FALSE),"")</f>
        <v/>
      </c>
      <c r="I604">
        <f t="shared" si="29"/>
        <v>0</v>
      </c>
    </row>
    <row r="605" spans="1:9" x14ac:dyDescent="0.3">
      <c r="A605" t="str">
        <f t="shared" si="27"/>
        <v>-</v>
      </c>
      <c r="B605" t="str">
        <f t="shared" si="28"/>
        <v>0-</v>
      </c>
      <c r="H605" t="str">
        <f>IFERROR(VLOOKUP(E605,DC_Xref!A:B,2,FALSE),"")</f>
        <v/>
      </c>
      <c r="I605">
        <f t="shared" si="29"/>
        <v>0</v>
      </c>
    </row>
    <row r="606" spans="1:9" x14ac:dyDescent="0.3">
      <c r="A606" t="str">
        <f t="shared" si="27"/>
        <v>-</v>
      </c>
      <c r="B606" t="str">
        <f t="shared" si="28"/>
        <v>0-</v>
      </c>
      <c r="H606" t="str">
        <f>IFERROR(VLOOKUP(E606,DC_Xref!A:B,2,FALSE),"")</f>
        <v/>
      </c>
      <c r="I606">
        <f t="shared" si="29"/>
        <v>0</v>
      </c>
    </row>
    <row r="607" spans="1:9" x14ac:dyDescent="0.3">
      <c r="A607" t="str">
        <f t="shared" si="27"/>
        <v>-</v>
      </c>
      <c r="B607" t="str">
        <f t="shared" si="28"/>
        <v>0-</v>
      </c>
      <c r="H607" t="str">
        <f>IFERROR(VLOOKUP(E607,DC_Xref!A:B,2,FALSE),"")</f>
        <v/>
      </c>
      <c r="I607">
        <f t="shared" si="29"/>
        <v>0</v>
      </c>
    </row>
    <row r="608" spans="1:9" x14ac:dyDescent="0.3">
      <c r="A608" t="str">
        <f t="shared" si="27"/>
        <v>-</v>
      </c>
      <c r="B608" t="str">
        <f t="shared" si="28"/>
        <v>0-</v>
      </c>
      <c r="H608" t="str">
        <f>IFERROR(VLOOKUP(E608,DC_Xref!A:B,2,FALSE),"")</f>
        <v/>
      </c>
      <c r="I608">
        <f t="shared" si="29"/>
        <v>0</v>
      </c>
    </row>
    <row r="609" spans="1:9" x14ac:dyDescent="0.3">
      <c r="A609" t="str">
        <f t="shared" si="27"/>
        <v>-</v>
      </c>
      <c r="B609" t="str">
        <f t="shared" si="28"/>
        <v>0-</v>
      </c>
      <c r="H609" t="str">
        <f>IFERROR(VLOOKUP(E609,DC_Xref!A:B,2,FALSE),"")</f>
        <v/>
      </c>
      <c r="I609">
        <f t="shared" si="29"/>
        <v>0</v>
      </c>
    </row>
    <row r="610" spans="1:9" x14ac:dyDescent="0.3">
      <c r="A610" t="str">
        <f t="shared" si="27"/>
        <v>-</v>
      </c>
      <c r="B610" t="str">
        <f t="shared" si="28"/>
        <v>0-</v>
      </c>
      <c r="H610" t="str">
        <f>IFERROR(VLOOKUP(E610,DC_Xref!A:B,2,FALSE),"")</f>
        <v/>
      </c>
      <c r="I610">
        <f t="shared" si="29"/>
        <v>0</v>
      </c>
    </row>
    <row r="611" spans="1:9" x14ac:dyDescent="0.3">
      <c r="A611" t="str">
        <f t="shared" si="27"/>
        <v>-</v>
      </c>
      <c r="B611" t="str">
        <f t="shared" si="28"/>
        <v>0-</v>
      </c>
      <c r="H611" t="str">
        <f>IFERROR(VLOOKUP(E611,DC_Xref!A:B,2,FALSE),"")</f>
        <v/>
      </c>
      <c r="I611">
        <f t="shared" si="29"/>
        <v>0</v>
      </c>
    </row>
    <row r="612" spans="1:9" x14ac:dyDescent="0.3">
      <c r="A612" t="str">
        <f t="shared" si="27"/>
        <v>-</v>
      </c>
      <c r="B612" t="str">
        <f t="shared" si="28"/>
        <v>0-</v>
      </c>
      <c r="H612" t="str">
        <f>IFERROR(VLOOKUP(E612,DC_Xref!A:B,2,FALSE),"")</f>
        <v/>
      </c>
      <c r="I612">
        <f t="shared" si="29"/>
        <v>0</v>
      </c>
    </row>
    <row r="613" spans="1:9" x14ac:dyDescent="0.3">
      <c r="A613" t="str">
        <f t="shared" si="27"/>
        <v>-</v>
      </c>
      <c r="B613" t="str">
        <f t="shared" si="28"/>
        <v>0-</v>
      </c>
      <c r="H613" t="str">
        <f>IFERROR(VLOOKUP(E613,DC_Xref!A:B,2,FALSE),"")</f>
        <v/>
      </c>
      <c r="I613">
        <f t="shared" si="29"/>
        <v>0</v>
      </c>
    </row>
    <row r="614" spans="1:9" x14ac:dyDescent="0.3">
      <c r="A614" t="str">
        <f t="shared" si="27"/>
        <v>-</v>
      </c>
      <c r="B614" t="str">
        <f t="shared" si="28"/>
        <v>0-</v>
      </c>
      <c r="H614" t="str">
        <f>IFERROR(VLOOKUP(E614,DC_Xref!A:B,2,FALSE),"")</f>
        <v/>
      </c>
      <c r="I614">
        <f t="shared" si="29"/>
        <v>0</v>
      </c>
    </row>
    <row r="615" spans="1:9" x14ac:dyDescent="0.3">
      <c r="A615" t="str">
        <f t="shared" si="27"/>
        <v>-</v>
      </c>
      <c r="B615" t="str">
        <f t="shared" si="28"/>
        <v>0-</v>
      </c>
      <c r="H615" t="str">
        <f>IFERROR(VLOOKUP(E615,DC_Xref!A:B,2,FALSE),"")</f>
        <v/>
      </c>
      <c r="I615">
        <f t="shared" si="29"/>
        <v>0</v>
      </c>
    </row>
    <row r="616" spans="1:9" x14ac:dyDescent="0.3">
      <c r="A616" t="str">
        <f t="shared" si="27"/>
        <v>-</v>
      </c>
      <c r="B616" t="str">
        <f t="shared" si="28"/>
        <v>0-</v>
      </c>
      <c r="H616" t="str">
        <f>IFERROR(VLOOKUP(E616,DC_Xref!A:B,2,FALSE),"")</f>
        <v/>
      </c>
      <c r="I616">
        <f t="shared" si="29"/>
        <v>0</v>
      </c>
    </row>
    <row r="617" spans="1:9" x14ac:dyDescent="0.3">
      <c r="A617" t="str">
        <f t="shared" si="27"/>
        <v>-</v>
      </c>
      <c r="B617" t="str">
        <f t="shared" si="28"/>
        <v>0-</v>
      </c>
      <c r="H617" t="str">
        <f>IFERROR(VLOOKUP(E617,DC_Xref!A:B,2,FALSE),"")</f>
        <v/>
      </c>
      <c r="I617">
        <f t="shared" si="29"/>
        <v>0</v>
      </c>
    </row>
    <row r="618" spans="1:9" x14ac:dyDescent="0.3">
      <c r="A618" t="str">
        <f t="shared" si="27"/>
        <v>-</v>
      </c>
      <c r="B618" t="str">
        <f t="shared" si="28"/>
        <v>0-</v>
      </c>
      <c r="H618" t="str">
        <f>IFERROR(VLOOKUP(E618,DC_Xref!A:B,2,FALSE),"")</f>
        <v/>
      </c>
      <c r="I618">
        <f t="shared" si="29"/>
        <v>0</v>
      </c>
    </row>
    <row r="619" spans="1:9" x14ac:dyDescent="0.3">
      <c r="A619" t="str">
        <f t="shared" si="27"/>
        <v>-</v>
      </c>
      <c r="B619" t="str">
        <f t="shared" si="28"/>
        <v>0-</v>
      </c>
      <c r="H619" t="str">
        <f>IFERROR(VLOOKUP(E619,DC_Xref!A:B,2,FALSE),"")</f>
        <v/>
      </c>
      <c r="I619">
        <f t="shared" si="29"/>
        <v>0</v>
      </c>
    </row>
    <row r="620" spans="1:9" x14ac:dyDescent="0.3">
      <c r="A620" t="str">
        <f t="shared" si="27"/>
        <v>-</v>
      </c>
      <c r="B620" t="str">
        <f t="shared" si="28"/>
        <v>0-</v>
      </c>
      <c r="H620" t="str">
        <f>IFERROR(VLOOKUP(E620,DC_Xref!A:B,2,FALSE),"")</f>
        <v/>
      </c>
      <c r="I620">
        <f t="shared" si="29"/>
        <v>0</v>
      </c>
    </row>
    <row r="621" spans="1:9" x14ac:dyDescent="0.3">
      <c r="A621" t="str">
        <f t="shared" si="27"/>
        <v>-</v>
      </c>
      <c r="B621" t="str">
        <f t="shared" si="28"/>
        <v>0-</v>
      </c>
      <c r="H621" t="str">
        <f>IFERROR(VLOOKUP(E621,DC_Xref!A:B,2,FALSE),"")</f>
        <v/>
      </c>
      <c r="I621">
        <f t="shared" si="29"/>
        <v>0</v>
      </c>
    </row>
    <row r="622" spans="1:9" x14ac:dyDescent="0.3">
      <c r="A622" t="str">
        <f t="shared" si="27"/>
        <v>-</v>
      </c>
      <c r="B622" t="str">
        <f t="shared" si="28"/>
        <v>0-</v>
      </c>
      <c r="H622" t="str">
        <f>IFERROR(VLOOKUP(E622,DC_Xref!A:B,2,FALSE),"")</f>
        <v/>
      </c>
      <c r="I622">
        <f t="shared" si="29"/>
        <v>0</v>
      </c>
    </row>
    <row r="623" spans="1:9" x14ac:dyDescent="0.3">
      <c r="A623" t="str">
        <f t="shared" si="27"/>
        <v>-</v>
      </c>
      <c r="B623" t="str">
        <f t="shared" si="28"/>
        <v>0-</v>
      </c>
      <c r="H623" t="str">
        <f>IFERROR(VLOOKUP(E623,DC_Xref!A:B,2,FALSE),"")</f>
        <v/>
      </c>
      <c r="I623">
        <f t="shared" si="29"/>
        <v>0</v>
      </c>
    </row>
    <row r="624" spans="1:9" x14ac:dyDescent="0.3">
      <c r="A624" t="str">
        <f t="shared" si="27"/>
        <v>-</v>
      </c>
      <c r="B624" t="str">
        <f t="shared" si="28"/>
        <v>0-</v>
      </c>
      <c r="H624" t="str">
        <f>IFERROR(VLOOKUP(E624,DC_Xref!A:B,2,FALSE),"")</f>
        <v/>
      </c>
      <c r="I624">
        <f t="shared" si="29"/>
        <v>0</v>
      </c>
    </row>
    <row r="625" spans="1:9" x14ac:dyDescent="0.3">
      <c r="A625" t="str">
        <f t="shared" si="27"/>
        <v>-</v>
      </c>
      <c r="B625" t="str">
        <f t="shared" si="28"/>
        <v>0-</v>
      </c>
      <c r="H625" t="str">
        <f>IFERROR(VLOOKUP(E625,DC_Xref!A:B,2,FALSE),"")</f>
        <v/>
      </c>
      <c r="I625">
        <f t="shared" si="29"/>
        <v>0</v>
      </c>
    </row>
    <row r="626" spans="1:9" x14ac:dyDescent="0.3">
      <c r="A626" t="str">
        <f t="shared" si="27"/>
        <v>-</v>
      </c>
      <c r="B626" t="str">
        <f t="shared" si="28"/>
        <v>0-</v>
      </c>
      <c r="H626" t="str">
        <f>IFERROR(VLOOKUP(E626,DC_Xref!A:B,2,FALSE),"")</f>
        <v/>
      </c>
      <c r="I626">
        <f t="shared" si="29"/>
        <v>0</v>
      </c>
    </row>
    <row r="627" spans="1:9" x14ac:dyDescent="0.3">
      <c r="A627" t="str">
        <f t="shared" si="27"/>
        <v>-</v>
      </c>
      <c r="B627" t="str">
        <f t="shared" si="28"/>
        <v>0-</v>
      </c>
      <c r="H627" t="str">
        <f>IFERROR(VLOOKUP(E627,DC_Xref!A:B,2,FALSE),"")</f>
        <v/>
      </c>
      <c r="I627">
        <f t="shared" si="29"/>
        <v>0</v>
      </c>
    </row>
    <row r="628" spans="1:9" x14ac:dyDescent="0.3">
      <c r="A628" t="str">
        <f t="shared" si="27"/>
        <v>-</v>
      </c>
      <c r="B628" t="str">
        <f t="shared" si="28"/>
        <v>0-</v>
      </c>
      <c r="H628" t="str">
        <f>IFERROR(VLOOKUP(E628,DC_Xref!A:B,2,FALSE),"")</f>
        <v/>
      </c>
      <c r="I628">
        <f t="shared" si="29"/>
        <v>0</v>
      </c>
    </row>
    <row r="629" spans="1:9" x14ac:dyDescent="0.3">
      <c r="A629" t="str">
        <f t="shared" si="27"/>
        <v>-</v>
      </c>
      <c r="B629" t="str">
        <f t="shared" si="28"/>
        <v>0-</v>
      </c>
      <c r="H629" t="str">
        <f>IFERROR(VLOOKUP(E629,DC_Xref!A:B,2,FALSE),"")</f>
        <v/>
      </c>
      <c r="I629">
        <f t="shared" si="29"/>
        <v>0</v>
      </c>
    </row>
    <row r="630" spans="1:9" x14ac:dyDescent="0.3">
      <c r="A630" t="str">
        <f t="shared" si="27"/>
        <v>-</v>
      </c>
      <c r="B630" t="str">
        <f t="shared" si="28"/>
        <v>0-</v>
      </c>
      <c r="H630" t="str">
        <f>IFERROR(VLOOKUP(E630,DC_Xref!A:B,2,FALSE),"")</f>
        <v/>
      </c>
      <c r="I630">
        <f t="shared" si="29"/>
        <v>0</v>
      </c>
    </row>
    <row r="631" spans="1:9" x14ac:dyDescent="0.3">
      <c r="A631" t="str">
        <f t="shared" si="27"/>
        <v>-</v>
      </c>
      <c r="B631" t="str">
        <f t="shared" si="28"/>
        <v>0-</v>
      </c>
      <c r="H631" t="str">
        <f>IFERROR(VLOOKUP(E631,DC_Xref!A:B,2,FALSE),"")</f>
        <v/>
      </c>
      <c r="I631">
        <f t="shared" si="29"/>
        <v>0</v>
      </c>
    </row>
    <row r="632" spans="1:9" x14ac:dyDescent="0.3">
      <c r="A632" t="str">
        <f t="shared" si="27"/>
        <v>-</v>
      </c>
      <c r="B632" t="str">
        <f t="shared" si="28"/>
        <v>0-</v>
      </c>
      <c r="H632" t="str">
        <f>IFERROR(VLOOKUP(E632,DC_Xref!A:B,2,FALSE),"")</f>
        <v/>
      </c>
      <c r="I632">
        <f t="shared" si="29"/>
        <v>0</v>
      </c>
    </row>
    <row r="633" spans="1:9" x14ac:dyDescent="0.3">
      <c r="A633" t="str">
        <f t="shared" si="27"/>
        <v>-</v>
      </c>
      <c r="B633" t="str">
        <f t="shared" si="28"/>
        <v>0-</v>
      </c>
      <c r="H633" t="str">
        <f>IFERROR(VLOOKUP(E633,DC_Xref!A:B,2,FALSE),"")</f>
        <v/>
      </c>
      <c r="I633">
        <f t="shared" si="29"/>
        <v>0</v>
      </c>
    </row>
    <row r="634" spans="1:9" x14ac:dyDescent="0.3">
      <c r="A634" t="str">
        <f t="shared" si="27"/>
        <v>-</v>
      </c>
      <c r="B634" t="str">
        <f t="shared" si="28"/>
        <v>0-</v>
      </c>
      <c r="H634" t="str">
        <f>IFERROR(VLOOKUP(E634,DC_Xref!A:B,2,FALSE),"")</f>
        <v/>
      </c>
      <c r="I634">
        <f t="shared" si="29"/>
        <v>0</v>
      </c>
    </row>
    <row r="635" spans="1:9" x14ac:dyDescent="0.3">
      <c r="A635" t="str">
        <f t="shared" si="27"/>
        <v>-</v>
      </c>
      <c r="B635" t="str">
        <f t="shared" si="28"/>
        <v>0-</v>
      </c>
      <c r="H635" t="str">
        <f>IFERROR(VLOOKUP(E635,DC_Xref!A:B,2,FALSE),"")</f>
        <v/>
      </c>
      <c r="I635">
        <f t="shared" si="29"/>
        <v>0</v>
      </c>
    </row>
    <row r="636" spans="1:9" x14ac:dyDescent="0.3">
      <c r="A636" t="str">
        <f t="shared" si="27"/>
        <v>-</v>
      </c>
      <c r="B636" t="str">
        <f t="shared" si="28"/>
        <v>0-</v>
      </c>
      <c r="H636" t="str">
        <f>IFERROR(VLOOKUP(E636,DC_Xref!A:B,2,FALSE),"")</f>
        <v/>
      </c>
      <c r="I636">
        <f t="shared" si="29"/>
        <v>0</v>
      </c>
    </row>
    <row r="637" spans="1:9" x14ac:dyDescent="0.3">
      <c r="A637" t="str">
        <f t="shared" si="27"/>
        <v>-</v>
      </c>
      <c r="B637" t="str">
        <f t="shared" si="28"/>
        <v>0-</v>
      </c>
      <c r="H637" t="str">
        <f>IFERROR(VLOOKUP(E637,DC_Xref!A:B,2,FALSE),"")</f>
        <v/>
      </c>
      <c r="I637">
        <f t="shared" si="29"/>
        <v>0</v>
      </c>
    </row>
    <row r="638" spans="1:9" x14ac:dyDescent="0.3">
      <c r="A638" t="str">
        <f t="shared" si="27"/>
        <v>-</v>
      </c>
      <c r="B638" t="str">
        <f t="shared" si="28"/>
        <v>0-</v>
      </c>
      <c r="H638" t="str">
        <f>IFERROR(VLOOKUP(E638,DC_Xref!A:B,2,FALSE),"")</f>
        <v/>
      </c>
      <c r="I638">
        <f t="shared" si="29"/>
        <v>0</v>
      </c>
    </row>
    <row r="639" spans="1:9" x14ac:dyDescent="0.3">
      <c r="A639" t="str">
        <f t="shared" si="27"/>
        <v>-</v>
      </c>
      <c r="B639" t="str">
        <f t="shared" si="28"/>
        <v>0-</v>
      </c>
      <c r="H639" t="str">
        <f>IFERROR(VLOOKUP(E639,DC_Xref!A:B,2,FALSE),"")</f>
        <v/>
      </c>
      <c r="I639">
        <f t="shared" si="29"/>
        <v>0</v>
      </c>
    </row>
    <row r="640" spans="1:9" x14ac:dyDescent="0.3">
      <c r="A640" t="str">
        <f t="shared" si="27"/>
        <v>-</v>
      </c>
      <c r="B640" t="str">
        <f t="shared" si="28"/>
        <v>0-</v>
      </c>
      <c r="H640" t="str">
        <f>IFERROR(VLOOKUP(E640,DC_Xref!A:B,2,FALSE),"")</f>
        <v/>
      </c>
      <c r="I640">
        <f t="shared" si="29"/>
        <v>0</v>
      </c>
    </row>
    <row r="641" spans="1:9" x14ac:dyDescent="0.3">
      <c r="A641" t="str">
        <f t="shared" si="27"/>
        <v>-</v>
      </c>
      <c r="B641" t="str">
        <f t="shared" si="28"/>
        <v>0-</v>
      </c>
      <c r="H641" t="str">
        <f>IFERROR(VLOOKUP(E641,DC_Xref!A:B,2,FALSE),"")</f>
        <v/>
      </c>
      <c r="I641">
        <f t="shared" si="29"/>
        <v>0</v>
      </c>
    </row>
    <row r="642" spans="1:9" x14ac:dyDescent="0.3">
      <c r="A642" t="str">
        <f t="shared" ref="A642:A705" si="30">C642&amp;"-"&amp;F642</f>
        <v>-</v>
      </c>
      <c r="B642" t="str">
        <f t="shared" ref="B642:B705" si="31">I642&amp;"-"&amp;H642</f>
        <v>0-</v>
      </c>
      <c r="H642" t="str">
        <f>IFERROR(VLOOKUP(E642,DC_Xref!A:B,2,FALSE),"")</f>
        <v/>
      </c>
      <c r="I642">
        <f t="shared" ref="I642:I705" si="32">C642*100+D642</f>
        <v>0</v>
      </c>
    </row>
    <row r="643" spans="1:9" x14ac:dyDescent="0.3">
      <c r="A643" t="str">
        <f t="shared" si="30"/>
        <v>-</v>
      </c>
      <c r="B643" t="str">
        <f t="shared" si="31"/>
        <v>0-</v>
      </c>
      <c r="H643" t="str">
        <f>IFERROR(VLOOKUP(E643,DC_Xref!A:B,2,FALSE),"")</f>
        <v/>
      </c>
      <c r="I643">
        <f t="shared" si="32"/>
        <v>0</v>
      </c>
    </row>
    <row r="644" spans="1:9" x14ac:dyDescent="0.3">
      <c r="A644" t="str">
        <f t="shared" si="30"/>
        <v>-</v>
      </c>
      <c r="B644" t="str">
        <f t="shared" si="31"/>
        <v>0-</v>
      </c>
      <c r="H644" t="str">
        <f>IFERROR(VLOOKUP(E644,DC_Xref!A:B,2,FALSE),"")</f>
        <v/>
      </c>
      <c r="I644">
        <f t="shared" si="32"/>
        <v>0</v>
      </c>
    </row>
    <row r="645" spans="1:9" x14ac:dyDescent="0.3">
      <c r="A645" t="str">
        <f t="shared" si="30"/>
        <v>-</v>
      </c>
      <c r="B645" t="str">
        <f t="shared" si="31"/>
        <v>0-</v>
      </c>
      <c r="H645" t="str">
        <f>IFERROR(VLOOKUP(E645,DC_Xref!A:B,2,FALSE),"")</f>
        <v/>
      </c>
      <c r="I645">
        <f t="shared" si="32"/>
        <v>0</v>
      </c>
    </row>
    <row r="646" spans="1:9" x14ac:dyDescent="0.3">
      <c r="A646" t="str">
        <f t="shared" si="30"/>
        <v>-</v>
      </c>
      <c r="B646" t="str">
        <f t="shared" si="31"/>
        <v>0-</v>
      </c>
      <c r="H646" t="str">
        <f>IFERROR(VLOOKUP(E646,DC_Xref!A:B,2,FALSE),"")</f>
        <v/>
      </c>
      <c r="I646">
        <f t="shared" si="32"/>
        <v>0</v>
      </c>
    </row>
    <row r="647" spans="1:9" x14ac:dyDescent="0.3">
      <c r="A647" t="str">
        <f t="shared" si="30"/>
        <v>-</v>
      </c>
      <c r="B647" t="str">
        <f t="shared" si="31"/>
        <v>0-</v>
      </c>
      <c r="H647" t="str">
        <f>IFERROR(VLOOKUP(E647,DC_Xref!A:B,2,FALSE),"")</f>
        <v/>
      </c>
      <c r="I647">
        <f t="shared" si="32"/>
        <v>0</v>
      </c>
    </row>
    <row r="648" spans="1:9" x14ac:dyDescent="0.3">
      <c r="A648" t="str">
        <f t="shared" si="30"/>
        <v>-</v>
      </c>
      <c r="B648" t="str">
        <f t="shared" si="31"/>
        <v>0-</v>
      </c>
      <c r="H648" t="str">
        <f>IFERROR(VLOOKUP(E648,DC_Xref!A:B,2,FALSE),"")</f>
        <v/>
      </c>
      <c r="I648">
        <f t="shared" si="32"/>
        <v>0</v>
      </c>
    </row>
    <row r="649" spans="1:9" x14ac:dyDescent="0.3">
      <c r="A649" t="str">
        <f t="shared" si="30"/>
        <v>-</v>
      </c>
      <c r="B649" t="str">
        <f t="shared" si="31"/>
        <v>0-</v>
      </c>
      <c r="H649" t="str">
        <f>IFERROR(VLOOKUP(E649,DC_Xref!A:B,2,FALSE),"")</f>
        <v/>
      </c>
      <c r="I649">
        <f t="shared" si="32"/>
        <v>0</v>
      </c>
    </row>
    <row r="650" spans="1:9" x14ac:dyDescent="0.3">
      <c r="A650" t="str">
        <f t="shared" si="30"/>
        <v>-</v>
      </c>
      <c r="B650" t="str">
        <f t="shared" si="31"/>
        <v>0-</v>
      </c>
      <c r="H650" t="str">
        <f>IFERROR(VLOOKUP(E650,DC_Xref!A:B,2,FALSE),"")</f>
        <v/>
      </c>
      <c r="I650">
        <f t="shared" si="32"/>
        <v>0</v>
      </c>
    </row>
    <row r="651" spans="1:9" x14ac:dyDescent="0.3">
      <c r="A651" t="str">
        <f t="shared" si="30"/>
        <v>-</v>
      </c>
      <c r="B651" t="str">
        <f t="shared" si="31"/>
        <v>0-</v>
      </c>
      <c r="H651" t="str">
        <f>IFERROR(VLOOKUP(E651,DC_Xref!A:B,2,FALSE),"")</f>
        <v/>
      </c>
      <c r="I651">
        <f t="shared" si="32"/>
        <v>0</v>
      </c>
    </row>
    <row r="652" spans="1:9" x14ac:dyDescent="0.3">
      <c r="A652" t="str">
        <f t="shared" si="30"/>
        <v>-</v>
      </c>
      <c r="B652" t="str">
        <f t="shared" si="31"/>
        <v>0-</v>
      </c>
      <c r="H652" t="str">
        <f>IFERROR(VLOOKUP(E652,DC_Xref!A:B,2,FALSE),"")</f>
        <v/>
      </c>
      <c r="I652">
        <f t="shared" si="32"/>
        <v>0</v>
      </c>
    </row>
    <row r="653" spans="1:9" x14ac:dyDescent="0.3">
      <c r="A653" t="str">
        <f t="shared" si="30"/>
        <v>-</v>
      </c>
      <c r="B653" t="str">
        <f t="shared" si="31"/>
        <v>0-</v>
      </c>
      <c r="H653" t="str">
        <f>IFERROR(VLOOKUP(E653,DC_Xref!A:B,2,FALSE),"")</f>
        <v/>
      </c>
      <c r="I653">
        <f t="shared" si="32"/>
        <v>0</v>
      </c>
    </row>
    <row r="654" spans="1:9" x14ac:dyDescent="0.3">
      <c r="A654" t="str">
        <f t="shared" si="30"/>
        <v>-</v>
      </c>
      <c r="B654" t="str">
        <f t="shared" si="31"/>
        <v>0-</v>
      </c>
      <c r="H654" t="str">
        <f>IFERROR(VLOOKUP(E654,DC_Xref!A:B,2,FALSE),"")</f>
        <v/>
      </c>
      <c r="I654">
        <f t="shared" si="32"/>
        <v>0</v>
      </c>
    </row>
    <row r="655" spans="1:9" x14ac:dyDescent="0.3">
      <c r="A655" t="str">
        <f t="shared" si="30"/>
        <v>-</v>
      </c>
      <c r="B655" t="str">
        <f t="shared" si="31"/>
        <v>0-</v>
      </c>
      <c r="H655" t="str">
        <f>IFERROR(VLOOKUP(E655,DC_Xref!A:B,2,FALSE),"")</f>
        <v/>
      </c>
      <c r="I655">
        <f t="shared" si="32"/>
        <v>0</v>
      </c>
    </row>
    <row r="656" spans="1:9" x14ac:dyDescent="0.3">
      <c r="A656" t="str">
        <f t="shared" si="30"/>
        <v>-</v>
      </c>
      <c r="B656" t="str">
        <f t="shared" si="31"/>
        <v>0-</v>
      </c>
      <c r="H656" t="str">
        <f>IFERROR(VLOOKUP(E656,DC_Xref!A:B,2,FALSE),"")</f>
        <v/>
      </c>
      <c r="I656">
        <f t="shared" si="32"/>
        <v>0</v>
      </c>
    </row>
    <row r="657" spans="1:9" x14ac:dyDescent="0.3">
      <c r="A657" t="str">
        <f t="shared" si="30"/>
        <v>-</v>
      </c>
      <c r="B657" t="str">
        <f t="shared" si="31"/>
        <v>0-</v>
      </c>
      <c r="H657" t="str">
        <f>IFERROR(VLOOKUP(E657,DC_Xref!A:B,2,FALSE),"")</f>
        <v/>
      </c>
      <c r="I657">
        <f t="shared" si="32"/>
        <v>0</v>
      </c>
    </row>
    <row r="658" spans="1:9" x14ac:dyDescent="0.3">
      <c r="A658" t="str">
        <f t="shared" si="30"/>
        <v>-</v>
      </c>
      <c r="B658" t="str">
        <f t="shared" si="31"/>
        <v>0-</v>
      </c>
      <c r="H658" t="str">
        <f>IFERROR(VLOOKUP(E658,DC_Xref!A:B,2,FALSE),"")</f>
        <v/>
      </c>
      <c r="I658">
        <f t="shared" si="32"/>
        <v>0</v>
      </c>
    </row>
    <row r="659" spans="1:9" x14ac:dyDescent="0.3">
      <c r="A659" t="str">
        <f t="shared" si="30"/>
        <v>-</v>
      </c>
      <c r="B659" t="str">
        <f t="shared" si="31"/>
        <v>0-</v>
      </c>
      <c r="H659" t="str">
        <f>IFERROR(VLOOKUP(E659,DC_Xref!A:B,2,FALSE),"")</f>
        <v/>
      </c>
      <c r="I659">
        <f t="shared" si="32"/>
        <v>0</v>
      </c>
    </row>
    <row r="660" spans="1:9" x14ac:dyDescent="0.3">
      <c r="A660" t="str">
        <f t="shared" si="30"/>
        <v>-</v>
      </c>
      <c r="B660" t="str">
        <f t="shared" si="31"/>
        <v>0-</v>
      </c>
      <c r="H660" t="str">
        <f>IFERROR(VLOOKUP(E660,DC_Xref!A:B,2,FALSE),"")</f>
        <v/>
      </c>
      <c r="I660">
        <f t="shared" si="32"/>
        <v>0</v>
      </c>
    </row>
    <row r="661" spans="1:9" x14ac:dyDescent="0.3">
      <c r="A661" t="str">
        <f t="shared" si="30"/>
        <v>-</v>
      </c>
      <c r="B661" t="str">
        <f t="shared" si="31"/>
        <v>0-</v>
      </c>
      <c r="H661" t="str">
        <f>IFERROR(VLOOKUP(E661,DC_Xref!A:B,2,FALSE),"")</f>
        <v/>
      </c>
      <c r="I661">
        <f t="shared" si="32"/>
        <v>0</v>
      </c>
    </row>
    <row r="662" spans="1:9" x14ac:dyDescent="0.3">
      <c r="A662" t="str">
        <f t="shared" si="30"/>
        <v>-</v>
      </c>
      <c r="B662" t="str">
        <f t="shared" si="31"/>
        <v>0-</v>
      </c>
      <c r="H662" t="str">
        <f>IFERROR(VLOOKUP(E662,DC_Xref!A:B,2,FALSE),"")</f>
        <v/>
      </c>
      <c r="I662">
        <f t="shared" si="32"/>
        <v>0</v>
      </c>
    </row>
    <row r="663" spans="1:9" x14ac:dyDescent="0.3">
      <c r="A663" t="str">
        <f t="shared" si="30"/>
        <v>-</v>
      </c>
      <c r="B663" t="str">
        <f t="shared" si="31"/>
        <v>0-</v>
      </c>
      <c r="H663" t="str">
        <f>IFERROR(VLOOKUP(E663,DC_Xref!A:B,2,FALSE),"")</f>
        <v/>
      </c>
      <c r="I663">
        <f t="shared" si="32"/>
        <v>0</v>
      </c>
    </row>
    <row r="664" spans="1:9" x14ac:dyDescent="0.3">
      <c r="A664" t="str">
        <f t="shared" si="30"/>
        <v>-</v>
      </c>
      <c r="B664" t="str">
        <f t="shared" si="31"/>
        <v>0-</v>
      </c>
      <c r="H664" t="str">
        <f>IFERROR(VLOOKUP(E664,DC_Xref!A:B,2,FALSE),"")</f>
        <v/>
      </c>
      <c r="I664">
        <f t="shared" si="32"/>
        <v>0</v>
      </c>
    </row>
    <row r="665" spans="1:9" x14ac:dyDescent="0.3">
      <c r="A665" t="str">
        <f t="shared" si="30"/>
        <v>-</v>
      </c>
      <c r="B665" t="str">
        <f t="shared" si="31"/>
        <v>0-</v>
      </c>
      <c r="H665" t="str">
        <f>IFERROR(VLOOKUP(E665,DC_Xref!A:B,2,FALSE),"")</f>
        <v/>
      </c>
      <c r="I665">
        <f t="shared" si="32"/>
        <v>0</v>
      </c>
    </row>
    <row r="666" spans="1:9" x14ac:dyDescent="0.3">
      <c r="A666" t="str">
        <f t="shared" si="30"/>
        <v>-</v>
      </c>
      <c r="B666" t="str">
        <f t="shared" si="31"/>
        <v>0-</v>
      </c>
      <c r="H666" t="str">
        <f>IFERROR(VLOOKUP(E666,DC_Xref!A:B,2,FALSE),"")</f>
        <v/>
      </c>
      <c r="I666">
        <f t="shared" si="32"/>
        <v>0</v>
      </c>
    </row>
    <row r="667" spans="1:9" x14ac:dyDescent="0.3">
      <c r="A667" t="str">
        <f t="shared" si="30"/>
        <v>-</v>
      </c>
      <c r="B667" t="str">
        <f t="shared" si="31"/>
        <v>0-</v>
      </c>
      <c r="H667" t="str">
        <f>IFERROR(VLOOKUP(E667,DC_Xref!A:B,2,FALSE),"")</f>
        <v/>
      </c>
      <c r="I667">
        <f t="shared" si="32"/>
        <v>0</v>
      </c>
    </row>
    <row r="668" spans="1:9" x14ac:dyDescent="0.3">
      <c r="A668" t="str">
        <f t="shared" si="30"/>
        <v>-</v>
      </c>
      <c r="B668" t="str">
        <f t="shared" si="31"/>
        <v>0-</v>
      </c>
      <c r="H668" t="str">
        <f>IFERROR(VLOOKUP(E668,DC_Xref!A:B,2,FALSE),"")</f>
        <v/>
      </c>
      <c r="I668">
        <f t="shared" si="32"/>
        <v>0</v>
      </c>
    </row>
    <row r="669" spans="1:9" x14ac:dyDescent="0.3">
      <c r="A669" t="str">
        <f t="shared" si="30"/>
        <v>-</v>
      </c>
      <c r="B669" t="str">
        <f t="shared" si="31"/>
        <v>0-</v>
      </c>
      <c r="H669" t="str">
        <f>IFERROR(VLOOKUP(E669,DC_Xref!A:B,2,FALSE),"")</f>
        <v/>
      </c>
      <c r="I669">
        <f t="shared" si="32"/>
        <v>0</v>
      </c>
    </row>
    <row r="670" spans="1:9" x14ac:dyDescent="0.3">
      <c r="A670" t="str">
        <f t="shared" si="30"/>
        <v>-</v>
      </c>
      <c r="B670" t="str">
        <f t="shared" si="31"/>
        <v>0-</v>
      </c>
      <c r="H670" t="str">
        <f>IFERROR(VLOOKUP(E670,DC_Xref!A:B,2,FALSE),"")</f>
        <v/>
      </c>
      <c r="I670">
        <f t="shared" si="32"/>
        <v>0</v>
      </c>
    </row>
    <row r="671" spans="1:9" x14ac:dyDescent="0.3">
      <c r="A671" t="str">
        <f t="shared" si="30"/>
        <v>-</v>
      </c>
      <c r="B671" t="str">
        <f t="shared" si="31"/>
        <v>0-</v>
      </c>
      <c r="H671" t="str">
        <f>IFERROR(VLOOKUP(E671,DC_Xref!A:B,2,FALSE),"")</f>
        <v/>
      </c>
      <c r="I671">
        <f t="shared" si="32"/>
        <v>0</v>
      </c>
    </row>
    <row r="672" spans="1:9" x14ac:dyDescent="0.3">
      <c r="A672" t="str">
        <f t="shared" si="30"/>
        <v>-</v>
      </c>
      <c r="B672" t="str">
        <f t="shared" si="31"/>
        <v>0-</v>
      </c>
      <c r="H672" t="str">
        <f>IFERROR(VLOOKUP(E672,DC_Xref!A:B,2,FALSE),"")</f>
        <v/>
      </c>
      <c r="I672">
        <f t="shared" si="32"/>
        <v>0</v>
      </c>
    </row>
    <row r="673" spans="1:9" x14ac:dyDescent="0.3">
      <c r="A673" t="str">
        <f t="shared" si="30"/>
        <v>-</v>
      </c>
      <c r="B673" t="str">
        <f t="shared" si="31"/>
        <v>0-</v>
      </c>
      <c r="H673" t="str">
        <f>IFERROR(VLOOKUP(E673,DC_Xref!A:B,2,FALSE),"")</f>
        <v/>
      </c>
      <c r="I673">
        <f t="shared" si="32"/>
        <v>0</v>
      </c>
    </row>
    <row r="674" spans="1:9" x14ac:dyDescent="0.3">
      <c r="A674" t="str">
        <f t="shared" si="30"/>
        <v>-</v>
      </c>
      <c r="B674" t="str">
        <f t="shared" si="31"/>
        <v>0-</v>
      </c>
      <c r="H674" t="str">
        <f>IFERROR(VLOOKUP(E674,DC_Xref!A:B,2,FALSE),"")</f>
        <v/>
      </c>
      <c r="I674">
        <f t="shared" si="32"/>
        <v>0</v>
      </c>
    </row>
    <row r="675" spans="1:9" x14ac:dyDescent="0.3">
      <c r="A675" t="str">
        <f t="shared" si="30"/>
        <v>-</v>
      </c>
      <c r="B675" t="str">
        <f t="shared" si="31"/>
        <v>0-</v>
      </c>
      <c r="H675" t="str">
        <f>IFERROR(VLOOKUP(E675,DC_Xref!A:B,2,FALSE),"")</f>
        <v/>
      </c>
      <c r="I675">
        <f t="shared" si="32"/>
        <v>0</v>
      </c>
    </row>
    <row r="676" spans="1:9" x14ac:dyDescent="0.3">
      <c r="A676" t="str">
        <f t="shared" si="30"/>
        <v>-</v>
      </c>
      <c r="B676" t="str">
        <f t="shared" si="31"/>
        <v>0-</v>
      </c>
      <c r="H676" t="str">
        <f>IFERROR(VLOOKUP(E676,DC_Xref!A:B,2,FALSE),"")</f>
        <v/>
      </c>
      <c r="I676">
        <f t="shared" si="32"/>
        <v>0</v>
      </c>
    </row>
    <row r="677" spans="1:9" x14ac:dyDescent="0.3">
      <c r="A677" t="str">
        <f t="shared" si="30"/>
        <v>-</v>
      </c>
      <c r="B677" t="str">
        <f t="shared" si="31"/>
        <v>0-</v>
      </c>
      <c r="H677" t="str">
        <f>IFERROR(VLOOKUP(E677,DC_Xref!A:B,2,FALSE),"")</f>
        <v/>
      </c>
      <c r="I677">
        <f t="shared" si="32"/>
        <v>0</v>
      </c>
    </row>
    <row r="678" spans="1:9" x14ac:dyDescent="0.3">
      <c r="A678" t="str">
        <f t="shared" si="30"/>
        <v>-</v>
      </c>
      <c r="B678" t="str">
        <f t="shared" si="31"/>
        <v>0-</v>
      </c>
      <c r="H678" t="str">
        <f>IFERROR(VLOOKUP(E678,DC_Xref!A:B,2,FALSE),"")</f>
        <v/>
      </c>
      <c r="I678">
        <f t="shared" si="32"/>
        <v>0</v>
      </c>
    </row>
    <row r="679" spans="1:9" x14ac:dyDescent="0.3">
      <c r="A679" t="str">
        <f t="shared" si="30"/>
        <v>-</v>
      </c>
      <c r="B679" t="str">
        <f t="shared" si="31"/>
        <v>0-</v>
      </c>
      <c r="H679" t="str">
        <f>IFERROR(VLOOKUP(E679,DC_Xref!A:B,2,FALSE),"")</f>
        <v/>
      </c>
      <c r="I679">
        <f t="shared" si="32"/>
        <v>0</v>
      </c>
    </row>
    <row r="680" spans="1:9" x14ac:dyDescent="0.3">
      <c r="A680" t="str">
        <f t="shared" si="30"/>
        <v>-</v>
      </c>
      <c r="B680" t="str">
        <f t="shared" si="31"/>
        <v>0-</v>
      </c>
      <c r="H680" t="str">
        <f>IFERROR(VLOOKUP(E680,DC_Xref!A:B,2,FALSE),"")</f>
        <v/>
      </c>
      <c r="I680">
        <f t="shared" si="32"/>
        <v>0</v>
      </c>
    </row>
    <row r="681" spans="1:9" x14ac:dyDescent="0.3">
      <c r="A681" t="str">
        <f t="shared" si="30"/>
        <v>-</v>
      </c>
      <c r="B681" t="str">
        <f t="shared" si="31"/>
        <v>0-</v>
      </c>
      <c r="H681" t="str">
        <f>IFERROR(VLOOKUP(E681,DC_Xref!A:B,2,FALSE),"")</f>
        <v/>
      </c>
      <c r="I681">
        <f t="shared" si="32"/>
        <v>0</v>
      </c>
    </row>
    <row r="682" spans="1:9" x14ac:dyDescent="0.3">
      <c r="A682" t="str">
        <f t="shared" si="30"/>
        <v>-</v>
      </c>
      <c r="B682" t="str">
        <f t="shared" si="31"/>
        <v>0-</v>
      </c>
      <c r="H682" t="str">
        <f>IFERROR(VLOOKUP(E682,DC_Xref!A:B,2,FALSE),"")</f>
        <v/>
      </c>
      <c r="I682">
        <f t="shared" si="32"/>
        <v>0</v>
      </c>
    </row>
    <row r="683" spans="1:9" x14ac:dyDescent="0.3">
      <c r="A683" t="str">
        <f t="shared" si="30"/>
        <v>-</v>
      </c>
      <c r="B683" t="str">
        <f t="shared" si="31"/>
        <v>0-</v>
      </c>
      <c r="H683" t="str">
        <f>IFERROR(VLOOKUP(E683,DC_Xref!A:B,2,FALSE),"")</f>
        <v/>
      </c>
      <c r="I683">
        <f t="shared" si="32"/>
        <v>0</v>
      </c>
    </row>
    <row r="684" spans="1:9" x14ac:dyDescent="0.3">
      <c r="A684" t="str">
        <f t="shared" si="30"/>
        <v>-</v>
      </c>
      <c r="B684" t="str">
        <f t="shared" si="31"/>
        <v>0-</v>
      </c>
      <c r="H684" t="str">
        <f>IFERROR(VLOOKUP(E684,DC_Xref!A:B,2,FALSE),"")</f>
        <v/>
      </c>
      <c r="I684">
        <f t="shared" si="32"/>
        <v>0</v>
      </c>
    </row>
    <row r="685" spans="1:9" x14ac:dyDescent="0.3">
      <c r="A685" t="str">
        <f t="shared" si="30"/>
        <v>-</v>
      </c>
      <c r="B685" t="str">
        <f t="shared" si="31"/>
        <v>0-</v>
      </c>
      <c r="H685" t="str">
        <f>IFERROR(VLOOKUP(E685,DC_Xref!A:B,2,FALSE),"")</f>
        <v/>
      </c>
      <c r="I685">
        <f t="shared" si="32"/>
        <v>0</v>
      </c>
    </row>
    <row r="686" spans="1:9" x14ac:dyDescent="0.3">
      <c r="A686" t="str">
        <f t="shared" si="30"/>
        <v>-</v>
      </c>
      <c r="B686" t="str">
        <f t="shared" si="31"/>
        <v>0-</v>
      </c>
      <c r="H686" t="str">
        <f>IFERROR(VLOOKUP(E686,DC_Xref!A:B,2,FALSE),"")</f>
        <v/>
      </c>
      <c r="I686">
        <f t="shared" si="32"/>
        <v>0</v>
      </c>
    </row>
    <row r="687" spans="1:9" x14ac:dyDescent="0.3">
      <c r="A687" t="str">
        <f t="shared" si="30"/>
        <v>-</v>
      </c>
      <c r="B687" t="str">
        <f t="shared" si="31"/>
        <v>0-</v>
      </c>
      <c r="H687" t="str">
        <f>IFERROR(VLOOKUP(E687,DC_Xref!A:B,2,FALSE),"")</f>
        <v/>
      </c>
      <c r="I687">
        <f t="shared" si="32"/>
        <v>0</v>
      </c>
    </row>
    <row r="688" spans="1:9" x14ac:dyDescent="0.3">
      <c r="A688" t="str">
        <f t="shared" si="30"/>
        <v>-</v>
      </c>
      <c r="B688" t="str">
        <f t="shared" si="31"/>
        <v>0-</v>
      </c>
      <c r="H688" t="str">
        <f>IFERROR(VLOOKUP(E688,DC_Xref!A:B,2,FALSE),"")</f>
        <v/>
      </c>
      <c r="I688">
        <f t="shared" si="32"/>
        <v>0</v>
      </c>
    </row>
    <row r="689" spans="1:9" x14ac:dyDescent="0.3">
      <c r="A689" t="str">
        <f t="shared" si="30"/>
        <v>-</v>
      </c>
      <c r="B689" t="str">
        <f t="shared" si="31"/>
        <v>0-</v>
      </c>
      <c r="H689" t="str">
        <f>IFERROR(VLOOKUP(E689,DC_Xref!A:B,2,FALSE),"")</f>
        <v/>
      </c>
      <c r="I689">
        <f t="shared" si="32"/>
        <v>0</v>
      </c>
    </row>
    <row r="690" spans="1:9" x14ac:dyDescent="0.3">
      <c r="A690" t="str">
        <f t="shared" si="30"/>
        <v>-</v>
      </c>
      <c r="B690" t="str">
        <f t="shared" si="31"/>
        <v>0-</v>
      </c>
      <c r="H690" t="str">
        <f>IFERROR(VLOOKUP(E690,DC_Xref!A:B,2,FALSE),"")</f>
        <v/>
      </c>
      <c r="I690">
        <f t="shared" si="32"/>
        <v>0</v>
      </c>
    </row>
    <row r="691" spans="1:9" x14ac:dyDescent="0.3">
      <c r="A691" t="str">
        <f t="shared" si="30"/>
        <v>-</v>
      </c>
      <c r="B691" t="str">
        <f t="shared" si="31"/>
        <v>0-</v>
      </c>
      <c r="H691" t="str">
        <f>IFERROR(VLOOKUP(E691,DC_Xref!A:B,2,FALSE),"")</f>
        <v/>
      </c>
      <c r="I691">
        <f t="shared" si="32"/>
        <v>0</v>
      </c>
    </row>
    <row r="692" spans="1:9" x14ac:dyDescent="0.3">
      <c r="A692" t="str">
        <f t="shared" si="30"/>
        <v>-</v>
      </c>
      <c r="B692" t="str">
        <f t="shared" si="31"/>
        <v>0-</v>
      </c>
      <c r="H692" t="str">
        <f>IFERROR(VLOOKUP(E692,DC_Xref!A:B,2,FALSE),"")</f>
        <v/>
      </c>
      <c r="I692">
        <f t="shared" si="32"/>
        <v>0</v>
      </c>
    </row>
    <row r="693" spans="1:9" x14ac:dyDescent="0.3">
      <c r="A693" t="str">
        <f t="shared" si="30"/>
        <v>-</v>
      </c>
      <c r="B693" t="str">
        <f t="shared" si="31"/>
        <v>0-</v>
      </c>
      <c r="H693" t="str">
        <f>IFERROR(VLOOKUP(E693,DC_Xref!A:B,2,FALSE),"")</f>
        <v/>
      </c>
      <c r="I693">
        <f t="shared" si="32"/>
        <v>0</v>
      </c>
    </row>
    <row r="694" spans="1:9" x14ac:dyDescent="0.3">
      <c r="A694" t="str">
        <f t="shared" si="30"/>
        <v>-</v>
      </c>
      <c r="B694" t="str">
        <f t="shared" si="31"/>
        <v>0-</v>
      </c>
      <c r="H694" t="str">
        <f>IFERROR(VLOOKUP(E694,DC_Xref!A:B,2,FALSE),"")</f>
        <v/>
      </c>
      <c r="I694">
        <f t="shared" si="32"/>
        <v>0</v>
      </c>
    </row>
    <row r="695" spans="1:9" x14ac:dyDescent="0.3">
      <c r="A695" t="str">
        <f t="shared" si="30"/>
        <v>-</v>
      </c>
      <c r="B695" t="str">
        <f t="shared" si="31"/>
        <v>0-</v>
      </c>
      <c r="H695" t="str">
        <f>IFERROR(VLOOKUP(E695,DC_Xref!A:B,2,FALSE),"")</f>
        <v/>
      </c>
      <c r="I695">
        <f t="shared" si="32"/>
        <v>0</v>
      </c>
    </row>
    <row r="696" spans="1:9" x14ac:dyDescent="0.3">
      <c r="A696" t="str">
        <f t="shared" si="30"/>
        <v>-</v>
      </c>
      <c r="B696" t="str">
        <f t="shared" si="31"/>
        <v>0-</v>
      </c>
      <c r="H696" t="str">
        <f>IFERROR(VLOOKUP(E696,DC_Xref!A:B,2,FALSE),"")</f>
        <v/>
      </c>
      <c r="I696">
        <f t="shared" si="32"/>
        <v>0</v>
      </c>
    </row>
    <row r="697" spans="1:9" x14ac:dyDescent="0.3">
      <c r="A697" t="str">
        <f t="shared" si="30"/>
        <v>-</v>
      </c>
      <c r="B697" t="str">
        <f t="shared" si="31"/>
        <v>0-</v>
      </c>
      <c r="H697" t="str">
        <f>IFERROR(VLOOKUP(E697,DC_Xref!A:B,2,FALSE),"")</f>
        <v/>
      </c>
      <c r="I697">
        <f t="shared" si="32"/>
        <v>0</v>
      </c>
    </row>
    <row r="698" spans="1:9" x14ac:dyDescent="0.3">
      <c r="A698" t="str">
        <f t="shared" si="30"/>
        <v>-</v>
      </c>
      <c r="B698" t="str">
        <f t="shared" si="31"/>
        <v>0-</v>
      </c>
      <c r="H698" t="str">
        <f>IFERROR(VLOOKUP(E698,DC_Xref!A:B,2,FALSE),"")</f>
        <v/>
      </c>
      <c r="I698">
        <f t="shared" si="32"/>
        <v>0</v>
      </c>
    </row>
    <row r="699" spans="1:9" x14ac:dyDescent="0.3">
      <c r="A699" t="str">
        <f t="shared" si="30"/>
        <v>-</v>
      </c>
      <c r="B699" t="str">
        <f t="shared" si="31"/>
        <v>0-</v>
      </c>
      <c r="H699" t="str">
        <f>IFERROR(VLOOKUP(E699,DC_Xref!A:B,2,FALSE),"")</f>
        <v/>
      </c>
      <c r="I699">
        <f t="shared" si="32"/>
        <v>0</v>
      </c>
    </row>
    <row r="700" spans="1:9" x14ac:dyDescent="0.3">
      <c r="A700" t="str">
        <f t="shared" si="30"/>
        <v>-</v>
      </c>
      <c r="B700" t="str">
        <f t="shared" si="31"/>
        <v>0-</v>
      </c>
      <c r="H700" t="str">
        <f>IFERROR(VLOOKUP(E700,DC_Xref!A:B,2,FALSE),"")</f>
        <v/>
      </c>
      <c r="I700">
        <f t="shared" si="32"/>
        <v>0</v>
      </c>
    </row>
    <row r="701" spans="1:9" x14ac:dyDescent="0.3">
      <c r="A701" t="str">
        <f t="shared" si="30"/>
        <v>-</v>
      </c>
      <c r="B701" t="str">
        <f t="shared" si="31"/>
        <v>0-</v>
      </c>
      <c r="H701" t="str">
        <f>IFERROR(VLOOKUP(E701,DC_Xref!A:B,2,FALSE),"")</f>
        <v/>
      </c>
      <c r="I701">
        <f t="shared" si="32"/>
        <v>0</v>
      </c>
    </row>
    <row r="702" spans="1:9" x14ac:dyDescent="0.3">
      <c r="A702" t="str">
        <f t="shared" si="30"/>
        <v>-</v>
      </c>
      <c r="B702" t="str">
        <f t="shared" si="31"/>
        <v>0-</v>
      </c>
      <c r="H702" t="str">
        <f>IFERROR(VLOOKUP(E702,DC_Xref!A:B,2,FALSE),"")</f>
        <v/>
      </c>
      <c r="I702">
        <f t="shared" si="32"/>
        <v>0</v>
      </c>
    </row>
    <row r="703" spans="1:9" x14ac:dyDescent="0.3">
      <c r="A703" t="str">
        <f t="shared" si="30"/>
        <v>-</v>
      </c>
      <c r="B703" t="str">
        <f t="shared" si="31"/>
        <v>0-</v>
      </c>
      <c r="H703" t="str">
        <f>IFERROR(VLOOKUP(E703,DC_Xref!A:B,2,FALSE),"")</f>
        <v/>
      </c>
      <c r="I703">
        <f t="shared" si="32"/>
        <v>0</v>
      </c>
    </row>
    <row r="704" spans="1:9" x14ac:dyDescent="0.3">
      <c r="A704" t="str">
        <f t="shared" si="30"/>
        <v>-</v>
      </c>
      <c r="B704" t="str">
        <f t="shared" si="31"/>
        <v>0-</v>
      </c>
      <c r="H704" t="str">
        <f>IFERROR(VLOOKUP(E704,DC_Xref!A:B,2,FALSE),"")</f>
        <v/>
      </c>
      <c r="I704">
        <f t="shared" si="32"/>
        <v>0</v>
      </c>
    </row>
    <row r="705" spans="1:9" x14ac:dyDescent="0.3">
      <c r="A705" t="str">
        <f t="shared" si="30"/>
        <v>-</v>
      </c>
      <c r="B705" t="str">
        <f t="shared" si="31"/>
        <v>0-</v>
      </c>
      <c r="H705" t="str">
        <f>IFERROR(VLOOKUP(E705,DC_Xref!A:B,2,FALSE),"")</f>
        <v/>
      </c>
      <c r="I705">
        <f t="shared" si="32"/>
        <v>0</v>
      </c>
    </row>
    <row r="706" spans="1:9" x14ac:dyDescent="0.3">
      <c r="A706" t="str">
        <f t="shared" ref="A706:A769" si="33">C706&amp;"-"&amp;F706</f>
        <v>-</v>
      </c>
      <c r="B706" t="str">
        <f t="shared" ref="B706:B769" si="34">I706&amp;"-"&amp;H706</f>
        <v>0-</v>
      </c>
      <c r="H706" t="str">
        <f>IFERROR(VLOOKUP(E706,DC_Xref!A:B,2,FALSE),"")</f>
        <v/>
      </c>
      <c r="I706">
        <f t="shared" ref="I706:I769" si="35">C706*100+D706</f>
        <v>0</v>
      </c>
    </row>
    <row r="707" spans="1:9" x14ac:dyDescent="0.3">
      <c r="A707" t="str">
        <f t="shared" si="33"/>
        <v>-</v>
      </c>
      <c r="B707" t="str">
        <f t="shared" si="34"/>
        <v>0-</v>
      </c>
      <c r="H707" t="str">
        <f>IFERROR(VLOOKUP(E707,DC_Xref!A:B,2,FALSE),"")</f>
        <v/>
      </c>
      <c r="I707">
        <f t="shared" si="35"/>
        <v>0</v>
      </c>
    </row>
    <row r="708" spans="1:9" x14ac:dyDescent="0.3">
      <c r="A708" t="str">
        <f t="shared" si="33"/>
        <v>-</v>
      </c>
      <c r="B708" t="str">
        <f t="shared" si="34"/>
        <v>0-</v>
      </c>
      <c r="H708" t="str">
        <f>IFERROR(VLOOKUP(E708,DC_Xref!A:B,2,FALSE),"")</f>
        <v/>
      </c>
      <c r="I708">
        <f t="shared" si="35"/>
        <v>0</v>
      </c>
    </row>
    <row r="709" spans="1:9" x14ac:dyDescent="0.3">
      <c r="A709" t="str">
        <f t="shared" si="33"/>
        <v>-</v>
      </c>
      <c r="B709" t="str">
        <f t="shared" si="34"/>
        <v>0-</v>
      </c>
      <c r="H709" t="str">
        <f>IFERROR(VLOOKUP(E709,DC_Xref!A:B,2,FALSE),"")</f>
        <v/>
      </c>
      <c r="I709">
        <f t="shared" si="35"/>
        <v>0</v>
      </c>
    </row>
    <row r="710" spans="1:9" x14ac:dyDescent="0.3">
      <c r="A710" t="str">
        <f t="shared" si="33"/>
        <v>-</v>
      </c>
      <c r="B710" t="str">
        <f t="shared" si="34"/>
        <v>0-</v>
      </c>
      <c r="H710" t="str">
        <f>IFERROR(VLOOKUP(E710,DC_Xref!A:B,2,FALSE),"")</f>
        <v/>
      </c>
      <c r="I710">
        <f t="shared" si="35"/>
        <v>0</v>
      </c>
    </row>
    <row r="711" spans="1:9" x14ac:dyDescent="0.3">
      <c r="A711" t="str">
        <f t="shared" si="33"/>
        <v>-</v>
      </c>
      <c r="B711" t="str">
        <f t="shared" si="34"/>
        <v>0-</v>
      </c>
      <c r="H711" t="str">
        <f>IFERROR(VLOOKUP(E711,DC_Xref!A:B,2,FALSE),"")</f>
        <v/>
      </c>
      <c r="I711">
        <f t="shared" si="35"/>
        <v>0</v>
      </c>
    </row>
    <row r="712" spans="1:9" x14ac:dyDescent="0.3">
      <c r="A712" t="str">
        <f t="shared" si="33"/>
        <v>-</v>
      </c>
      <c r="B712" t="str">
        <f t="shared" si="34"/>
        <v>0-</v>
      </c>
      <c r="H712" t="str">
        <f>IFERROR(VLOOKUP(E712,DC_Xref!A:B,2,FALSE),"")</f>
        <v/>
      </c>
      <c r="I712">
        <f t="shared" si="35"/>
        <v>0</v>
      </c>
    </row>
    <row r="713" spans="1:9" x14ac:dyDescent="0.3">
      <c r="A713" t="str">
        <f t="shared" si="33"/>
        <v>-</v>
      </c>
      <c r="B713" t="str">
        <f t="shared" si="34"/>
        <v>0-</v>
      </c>
      <c r="H713" t="str">
        <f>IFERROR(VLOOKUP(E713,DC_Xref!A:B,2,FALSE),"")</f>
        <v/>
      </c>
      <c r="I713">
        <f t="shared" si="35"/>
        <v>0</v>
      </c>
    </row>
    <row r="714" spans="1:9" x14ac:dyDescent="0.3">
      <c r="A714" t="str">
        <f t="shared" si="33"/>
        <v>-</v>
      </c>
      <c r="B714" t="str">
        <f t="shared" si="34"/>
        <v>0-</v>
      </c>
      <c r="H714" t="str">
        <f>IFERROR(VLOOKUP(E714,DC_Xref!A:B,2,FALSE),"")</f>
        <v/>
      </c>
      <c r="I714">
        <f t="shared" si="35"/>
        <v>0</v>
      </c>
    </row>
    <row r="715" spans="1:9" x14ac:dyDescent="0.3">
      <c r="A715" t="str">
        <f t="shared" si="33"/>
        <v>-</v>
      </c>
      <c r="B715" t="str">
        <f t="shared" si="34"/>
        <v>0-</v>
      </c>
      <c r="H715" t="str">
        <f>IFERROR(VLOOKUP(E715,DC_Xref!A:B,2,FALSE),"")</f>
        <v/>
      </c>
      <c r="I715">
        <f t="shared" si="35"/>
        <v>0</v>
      </c>
    </row>
    <row r="716" spans="1:9" x14ac:dyDescent="0.3">
      <c r="A716" t="str">
        <f t="shared" si="33"/>
        <v>-</v>
      </c>
      <c r="B716" t="str">
        <f t="shared" si="34"/>
        <v>0-</v>
      </c>
      <c r="H716" t="str">
        <f>IFERROR(VLOOKUP(E716,DC_Xref!A:B,2,FALSE),"")</f>
        <v/>
      </c>
      <c r="I716">
        <f t="shared" si="35"/>
        <v>0</v>
      </c>
    </row>
    <row r="717" spans="1:9" x14ac:dyDescent="0.3">
      <c r="A717" t="str">
        <f t="shared" si="33"/>
        <v>-</v>
      </c>
      <c r="B717" t="str">
        <f t="shared" si="34"/>
        <v>0-</v>
      </c>
      <c r="H717" t="str">
        <f>IFERROR(VLOOKUP(E717,DC_Xref!A:B,2,FALSE),"")</f>
        <v/>
      </c>
      <c r="I717">
        <f t="shared" si="35"/>
        <v>0</v>
      </c>
    </row>
    <row r="718" spans="1:9" x14ac:dyDescent="0.3">
      <c r="A718" t="str">
        <f t="shared" si="33"/>
        <v>-</v>
      </c>
      <c r="B718" t="str">
        <f t="shared" si="34"/>
        <v>0-</v>
      </c>
      <c r="H718" t="str">
        <f>IFERROR(VLOOKUP(E718,DC_Xref!A:B,2,FALSE),"")</f>
        <v/>
      </c>
      <c r="I718">
        <f t="shared" si="35"/>
        <v>0</v>
      </c>
    </row>
    <row r="719" spans="1:9" x14ac:dyDescent="0.3">
      <c r="A719" t="str">
        <f t="shared" si="33"/>
        <v>-</v>
      </c>
      <c r="B719" t="str">
        <f t="shared" si="34"/>
        <v>0-</v>
      </c>
      <c r="H719" t="str">
        <f>IFERROR(VLOOKUP(E719,DC_Xref!A:B,2,FALSE),"")</f>
        <v/>
      </c>
      <c r="I719">
        <f t="shared" si="35"/>
        <v>0</v>
      </c>
    </row>
    <row r="720" spans="1:9" x14ac:dyDescent="0.3">
      <c r="A720" t="str">
        <f t="shared" si="33"/>
        <v>-</v>
      </c>
      <c r="B720" t="str">
        <f t="shared" si="34"/>
        <v>0-</v>
      </c>
      <c r="H720" t="str">
        <f>IFERROR(VLOOKUP(E720,DC_Xref!A:B,2,FALSE),"")</f>
        <v/>
      </c>
      <c r="I720">
        <f t="shared" si="35"/>
        <v>0</v>
      </c>
    </row>
    <row r="721" spans="1:9" x14ac:dyDescent="0.3">
      <c r="A721" t="str">
        <f t="shared" si="33"/>
        <v>-</v>
      </c>
      <c r="B721" t="str">
        <f t="shared" si="34"/>
        <v>0-</v>
      </c>
      <c r="H721" t="str">
        <f>IFERROR(VLOOKUP(E721,DC_Xref!A:B,2,FALSE),"")</f>
        <v/>
      </c>
      <c r="I721">
        <f t="shared" si="35"/>
        <v>0</v>
      </c>
    </row>
    <row r="722" spans="1:9" x14ac:dyDescent="0.3">
      <c r="A722" t="str">
        <f t="shared" si="33"/>
        <v>-</v>
      </c>
      <c r="B722" t="str">
        <f t="shared" si="34"/>
        <v>0-</v>
      </c>
      <c r="H722" t="str">
        <f>IFERROR(VLOOKUP(E722,DC_Xref!A:B,2,FALSE),"")</f>
        <v/>
      </c>
      <c r="I722">
        <f t="shared" si="35"/>
        <v>0</v>
      </c>
    </row>
    <row r="723" spans="1:9" x14ac:dyDescent="0.3">
      <c r="A723" t="str">
        <f t="shared" si="33"/>
        <v>-</v>
      </c>
      <c r="B723" t="str">
        <f t="shared" si="34"/>
        <v>0-</v>
      </c>
      <c r="H723" t="str">
        <f>IFERROR(VLOOKUP(E723,DC_Xref!A:B,2,FALSE),"")</f>
        <v/>
      </c>
      <c r="I723">
        <f t="shared" si="35"/>
        <v>0</v>
      </c>
    </row>
    <row r="724" spans="1:9" x14ac:dyDescent="0.3">
      <c r="A724" t="str">
        <f t="shared" si="33"/>
        <v>-</v>
      </c>
      <c r="B724" t="str">
        <f t="shared" si="34"/>
        <v>0-</v>
      </c>
      <c r="H724" t="str">
        <f>IFERROR(VLOOKUP(E724,DC_Xref!A:B,2,FALSE),"")</f>
        <v/>
      </c>
      <c r="I724">
        <f t="shared" si="35"/>
        <v>0</v>
      </c>
    </row>
    <row r="725" spans="1:9" x14ac:dyDescent="0.3">
      <c r="A725" t="str">
        <f t="shared" si="33"/>
        <v>-</v>
      </c>
      <c r="B725" t="str">
        <f t="shared" si="34"/>
        <v>0-</v>
      </c>
      <c r="H725" t="str">
        <f>IFERROR(VLOOKUP(E725,DC_Xref!A:B,2,FALSE),"")</f>
        <v/>
      </c>
      <c r="I725">
        <f t="shared" si="35"/>
        <v>0</v>
      </c>
    </row>
    <row r="726" spans="1:9" x14ac:dyDescent="0.3">
      <c r="A726" t="str">
        <f t="shared" si="33"/>
        <v>-</v>
      </c>
      <c r="B726" t="str">
        <f t="shared" si="34"/>
        <v>0-</v>
      </c>
      <c r="H726" t="str">
        <f>IFERROR(VLOOKUP(E726,DC_Xref!A:B,2,FALSE),"")</f>
        <v/>
      </c>
      <c r="I726">
        <f t="shared" si="35"/>
        <v>0</v>
      </c>
    </row>
    <row r="727" spans="1:9" x14ac:dyDescent="0.3">
      <c r="A727" t="str">
        <f t="shared" si="33"/>
        <v>-</v>
      </c>
      <c r="B727" t="str">
        <f t="shared" si="34"/>
        <v>0-</v>
      </c>
      <c r="H727" t="str">
        <f>IFERROR(VLOOKUP(E727,DC_Xref!A:B,2,FALSE),"")</f>
        <v/>
      </c>
      <c r="I727">
        <f t="shared" si="35"/>
        <v>0</v>
      </c>
    </row>
    <row r="728" spans="1:9" x14ac:dyDescent="0.3">
      <c r="A728" t="str">
        <f t="shared" si="33"/>
        <v>-</v>
      </c>
      <c r="B728" t="str">
        <f t="shared" si="34"/>
        <v>0-</v>
      </c>
      <c r="H728" t="str">
        <f>IFERROR(VLOOKUP(E728,DC_Xref!A:B,2,FALSE),"")</f>
        <v/>
      </c>
      <c r="I728">
        <f t="shared" si="35"/>
        <v>0</v>
      </c>
    </row>
    <row r="729" spans="1:9" x14ac:dyDescent="0.3">
      <c r="A729" t="str">
        <f t="shared" si="33"/>
        <v>-</v>
      </c>
      <c r="B729" t="str">
        <f t="shared" si="34"/>
        <v>0-</v>
      </c>
      <c r="H729" t="str">
        <f>IFERROR(VLOOKUP(E729,DC_Xref!A:B,2,FALSE),"")</f>
        <v/>
      </c>
      <c r="I729">
        <f t="shared" si="35"/>
        <v>0</v>
      </c>
    </row>
    <row r="730" spans="1:9" x14ac:dyDescent="0.3">
      <c r="A730" t="str">
        <f t="shared" si="33"/>
        <v>-</v>
      </c>
      <c r="B730" t="str">
        <f t="shared" si="34"/>
        <v>0-</v>
      </c>
      <c r="H730" t="str">
        <f>IFERROR(VLOOKUP(E730,DC_Xref!A:B,2,FALSE),"")</f>
        <v/>
      </c>
      <c r="I730">
        <f t="shared" si="35"/>
        <v>0</v>
      </c>
    </row>
    <row r="731" spans="1:9" x14ac:dyDescent="0.3">
      <c r="A731" t="str">
        <f t="shared" si="33"/>
        <v>-</v>
      </c>
      <c r="B731" t="str">
        <f t="shared" si="34"/>
        <v>0-</v>
      </c>
      <c r="H731" t="str">
        <f>IFERROR(VLOOKUP(E731,DC_Xref!A:B,2,FALSE),"")</f>
        <v/>
      </c>
      <c r="I731">
        <f t="shared" si="35"/>
        <v>0</v>
      </c>
    </row>
    <row r="732" spans="1:9" x14ac:dyDescent="0.3">
      <c r="A732" t="str">
        <f t="shared" si="33"/>
        <v>-</v>
      </c>
      <c r="B732" t="str">
        <f t="shared" si="34"/>
        <v>0-</v>
      </c>
      <c r="H732" t="str">
        <f>IFERROR(VLOOKUP(E732,DC_Xref!A:B,2,FALSE),"")</f>
        <v/>
      </c>
      <c r="I732">
        <f t="shared" si="35"/>
        <v>0</v>
      </c>
    </row>
    <row r="733" spans="1:9" x14ac:dyDescent="0.3">
      <c r="A733" t="str">
        <f t="shared" si="33"/>
        <v>-</v>
      </c>
      <c r="B733" t="str">
        <f t="shared" si="34"/>
        <v>0-</v>
      </c>
      <c r="H733" t="str">
        <f>IFERROR(VLOOKUP(E733,DC_Xref!A:B,2,FALSE),"")</f>
        <v/>
      </c>
      <c r="I733">
        <f t="shared" si="35"/>
        <v>0</v>
      </c>
    </row>
    <row r="734" spans="1:9" x14ac:dyDescent="0.3">
      <c r="A734" t="str">
        <f t="shared" si="33"/>
        <v>-</v>
      </c>
      <c r="B734" t="str">
        <f t="shared" si="34"/>
        <v>0-</v>
      </c>
      <c r="H734" t="str">
        <f>IFERROR(VLOOKUP(E734,DC_Xref!A:B,2,FALSE),"")</f>
        <v/>
      </c>
      <c r="I734">
        <f t="shared" si="35"/>
        <v>0</v>
      </c>
    </row>
    <row r="735" spans="1:9" x14ac:dyDescent="0.3">
      <c r="A735" t="str">
        <f t="shared" si="33"/>
        <v>-</v>
      </c>
      <c r="B735" t="str">
        <f t="shared" si="34"/>
        <v>0-</v>
      </c>
      <c r="H735" t="str">
        <f>IFERROR(VLOOKUP(E735,DC_Xref!A:B,2,FALSE),"")</f>
        <v/>
      </c>
      <c r="I735">
        <f t="shared" si="35"/>
        <v>0</v>
      </c>
    </row>
    <row r="736" spans="1:9" x14ac:dyDescent="0.3">
      <c r="A736" t="str">
        <f t="shared" si="33"/>
        <v>-</v>
      </c>
      <c r="B736" t="str">
        <f t="shared" si="34"/>
        <v>0-</v>
      </c>
      <c r="H736" t="str">
        <f>IFERROR(VLOOKUP(E736,DC_Xref!A:B,2,FALSE),"")</f>
        <v/>
      </c>
      <c r="I736">
        <f t="shared" si="35"/>
        <v>0</v>
      </c>
    </row>
    <row r="737" spans="1:9" x14ac:dyDescent="0.3">
      <c r="A737" t="str">
        <f t="shared" si="33"/>
        <v>-</v>
      </c>
      <c r="B737" t="str">
        <f t="shared" si="34"/>
        <v>0-</v>
      </c>
      <c r="H737" t="str">
        <f>IFERROR(VLOOKUP(E737,DC_Xref!A:B,2,FALSE),"")</f>
        <v/>
      </c>
      <c r="I737">
        <f t="shared" si="35"/>
        <v>0</v>
      </c>
    </row>
    <row r="738" spans="1:9" x14ac:dyDescent="0.3">
      <c r="A738" t="str">
        <f t="shared" si="33"/>
        <v>-</v>
      </c>
      <c r="B738" t="str">
        <f t="shared" si="34"/>
        <v>0-</v>
      </c>
      <c r="H738" t="str">
        <f>IFERROR(VLOOKUP(E738,DC_Xref!A:B,2,FALSE),"")</f>
        <v/>
      </c>
      <c r="I738">
        <f t="shared" si="35"/>
        <v>0</v>
      </c>
    </row>
    <row r="739" spans="1:9" x14ac:dyDescent="0.3">
      <c r="A739" t="str">
        <f t="shared" si="33"/>
        <v>-</v>
      </c>
      <c r="B739" t="str">
        <f t="shared" si="34"/>
        <v>0-</v>
      </c>
      <c r="H739" t="str">
        <f>IFERROR(VLOOKUP(E739,DC_Xref!A:B,2,FALSE),"")</f>
        <v/>
      </c>
      <c r="I739">
        <f t="shared" si="35"/>
        <v>0</v>
      </c>
    </row>
    <row r="740" spans="1:9" x14ac:dyDescent="0.3">
      <c r="A740" t="str">
        <f t="shared" si="33"/>
        <v>-</v>
      </c>
      <c r="B740" t="str">
        <f t="shared" si="34"/>
        <v>0-</v>
      </c>
      <c r="H740" t="str">
        <f>IFERROR(VLOOKUP(E740,DC_Xref!A:B,2,FALSE),"")</f>
        <v/>
      </c>
      <c r="I740">
        <f t="shared" si="35"/>
        <v>0</v>
      </c>
    </row>
    <row r="741" spans="1:9" x14ac:dyDescent="0.3">
      <c r="A741" t="str">
        <f t="shared" si="33"/>
        <v>-</v>
      </c>
      <c r="B741" t="str">
        <f t="shared" si="34"/>
        <v>0-</v>
      </c>
      <c r="H741" t="str">
        <f>IFERROR(VLOOKUP(E741,DC_Xref!A:B,2,FALSE),"")</f>
        <v/>
      </c>
      <c r="I741">
        <f t="shared" si="35"/>
        <v>0</v>
      </c>
    </row>
    <row r="742" spans="1:9" x14ac:dyDescent="0.3">
      <c r="A742" t="str">
        <f t="shared" si="33"/>
        <v>-</v>
      </c>
      <c r="B742" t="str">
        <f t="shared" si="34"/>
        <v>0-</v>
      </c>
      <c r="H742" t="str">
        <f>IFERROR(VLOOKUP(E742,DC_Xref!A:B,2,FALSE),"")</f>
        <v/>
      </c>
      <c r="I742">
        <f t="shared" si="35"/>
        <v>0</v>
      </c>
    </row>
    <row r="743" spans="1:9" x14ac:dyDescent="0.3">
      <c r="A743" t="str">
        <f t="shared" si="33"/>
        <v>-</v>
      </c>
      <c r="B743" t="str">
        <f t="shared" si="34"/>
        <v>0-</v>
      </c>
      <c r="H743" t="str">
        <f>IFERROR(VLOOKUP(E743,DC_Xref!A:B,2,FALSE),"")</f>
        <v/>
      </c>
      <c r="I743">
        <f t="shared" si="35"/>
        <v>0</v>
      </c>
    </row>
    <row r="744" spans="1:9" x14ac:dyDescent="0.3">
      <c r="A744" t="str">
        <f t="shared" si="33"/>
        <v>-</v>
      </c>
      <c r="B744" t="str">
        <f t="shared" si="34"/>
        <v>0-</v>
      </c>
      <c r="H744" t="str">
        <f>IFERROR(VLOOKUP(E744,DC_Xref!A:B,2,FALSE),"")</f>
        <v/>
      </c>
      <c r="I744">
        <f t="shared" si="35"/>
        <v>0</v>
      </c>
    </row>
    <row r="745" spans="1:9" x14ac:dyDescent="0.3">
      <c r="A745" t="str">
        <f t="shared" si="33"/>
        <v>-</v>
      </c>
      <c r="B745" t="str">
        <f t="shared" si="34"/>
        <v>0-</v>
      </c>
      <c r="H745" t="str">
        <f>IFERROR(VLOOKUP(E745,DC_Xref!A:B,2,FALSE),"")</f>
        <v/>
      </c>
      <c r="I745">
        <f t="shared" si="35"/>
        <v>0</v>
      </c>
    </row>
    <row r="746" spans="1:9" x14ac:dyDescent="0.3">
      <c r="A746" t="str">
        <f t="shared" si="33"/>
        <v>-</v>
      </c>
      <c r="B746" t="str">
        <f t="shared" si="34"/>
        <v>0-</v>
      </c>
      <c r="H746" t="str">
        <f>IFERROR(VLOOKUP(E746,DC_Xref!A:B,2,FALSE),"")</f>
        <v/>
      </c>
      <c r="I746">
        <f t="shared" si="35"/>
        <v>0</v>
      </c>
    </row>
    <row r="747" spans="1:9" x14ac:dyDescent="0.3">
      <c r="A747" t="str">
        <f t="shared" si="33"/>
        <v>-</v>
      </c>
      <c r="B747" t="str">
        <f t="shared" si="34"/>
        <v>0-</v>
      </c>
      <c r="H747" t="str">
        <f>IFERROR(VLOOKUP(E747,DC_Xref!A:B,2,FALSE),"")</f>
        <v/>
      </c>
      <c r="I747">
        <f t="shared" si="35"/>
        <v>0</v>
      </c>
    </row>
    <row r="748" spans="1:9" x14ac:dyDescent="0.3">
      <c r="A748" t="str">
        <f t="shared" si="33"/>
        <v>-</v>
      </c>
      <c r="B748" t="str">
        <f t="shared" si="34"/>
        <v>0-</v>
      </c>
      <c r="H748" t="str">
        <f>IFERROR(VLOOKUP(E748,DC_Xref!A:B,2,FALSE),"")</f>
        <v/>
      </c>
      <c r="I748">
        <f t="shared" si="35"/>
        <v>0</v>
      </c>
    </row>
    <row r="749" spans="1:9" x14ac:dyDescent="0.3">
      <c r="A749" t="str">
        <f t="shared" si="33"/>
        <v>-</v>
      </c>
      <c r="B749" t="str">
        <f t="shared" si="34"/>
        <v>0-</v>
      </c>
      <c r="H749" t="str">
        <f>IFERROR(VLOOKUP(E749,DC_Xref!A:B,2,FALSE),"")</f>
        <v/>
      </c>
      <c r="I749">
        <f t="shared" si="35"/>
        <v>0</v>
      </c>
    </row>
    <row r="750" spans="1:9" x14ac:dyDescent="0.3">
      <c r="A750" t="str">
        <f t="shared" si="33"/>
        <v>-</v>
      </c>
      <c r="B750" t="str">
        <f t="shared" si="34"/>
        <v>0-</v>
      </c>
      <c r="H750" t="str">
        <f>IFERROR(VLOOKUP(E750,DC_Xref!A:B,2,FALSE),"")</f>
        <v/>
      </c>
      <c r="I750">
        <f t="shared" si="35"/>
        <v>0</v>
      </c>
    </row>
    <row r="751" spans="1:9" x14ac:dyDescent="0.3">
      <c r="A751" t="str">
        <f t="shared" si="33"/>
        <v>-</v>
      </c>
      <c r="B751" t="str">
        <f t="shared" si="34"/>
        <v>0-</v>
      </c>
      <c r="H751" t="str">
        <f>IFERROR(VLOOKUP(E751,DC_Xref!A:B,2,FALSE),"")</f>
        <v/>
      </c>
      <c r="I751">
        <f t="shared" si="35"/>
        <v>0</v>
      </c>
    </row>
    <row r="752" spans="1:9" x14ac:dyDescent="0.3">
      <c r="A752" t="str">
        <f t="shared" si="33"/>
        <v>-</v>
      </c>
      <c r="B752" t="str">
        <f t="shared" si="34"/>
        <v>0-</v>
      </c>
      <c r="H752" t="str">
        <f>IFERROR(VLOOKUP(E752,DC_Xref!A:B,2,FALSE),"")</f>
        <v/>
      </c>
      <c r="I752">
        <f t="shared" si="35"/>
        <v>0</v>
      </c>
    </row>
    <row r="753" spans="1:9" x14ac:dyDescent="0.3">
      <c r="A753" t="str">
        <f t="shared" si="33"/>
        <v>-</v>
      </c>
      <c r="B753" t="str">
        <f t="shared" si="34"/>
        <v>0-</v>
      </c>
      <c r="H753" t="str">
        <f>IFERROR(VLOOKUP(E753,DC_Xref!A:B,2,FALSE),"")</f>
        <v/>
      </c>
      <c r="I753">
        <f t="shared" si="35"/>
        <v>0</v>
      </c>
    </row>
    <row r="754" spans="1:9" x14ac:dyDescent="0.3">
      <c r="A754" t="str">
        <f t="shared" si="33"/>
        <v>-</v>
      </c>
      <c r="B754" t="str">
        <f t="shared" si="34"/>
        <v>0-</v>
      </c>
      <c r="H754" t="str">
        <f>IFERROR(VLOOKUP(E754,DC_Xref!A:B,2,FALSE),"")</f>
        <v/>
      </c>
      <c r="I754">
        <f t="shared" si="35"/>
        <v>0</v>
      </c>
    </row>
    <row r="755" spans="1:9" x14ac:dyDescent="0.3">
      <c r="A755" t="str">
        <f t="shared" si="33"/>
        <v>-</v>
      </c>
      <c r="B755" t="str">
        <f t="shared" si="34"/>
        <v>0-</v>
      </c>
      <c r="H755" t="str">
        <f>IFERROR(VLOOKUP(E755,DC_Xref!A:B,2,FALSE),"")</f>
        <v/>
      </c>
      <c r="I755">
        <f t="shared" si="35"/>
        <v>0</v>
      </c>
    </row>
    <row r="756" spans="1:9" x14ac:dyDescent="0.3">
      <c r="A756" t="str">
        <f t="shared" si="33"/>
        <v>-</v>
      </c>
      <c r="B756" t="str">
        <f t="shared" si="34"/>
        <v>0-</v>
      </c>
      <c r="H756" t="str">
        <f>IFERROR(VLOOKUP(E756,DC_Xref!A:B,2,FALSE),"")</f>
        <v/>
      </c>
      <c r="I756">
        <f t="shared" si="35"/>
        <v>0</v>
      </c>
    </row>
    <row r="757" spans="1:9" x14ac:dyDescent="0.3">
      <c r="A757" t="str">
        <f t="shared" si="33"/>
        <v>-</v>
      </c>
      <c r="B757" t="str">
        <f t="shared" si="34"/>
        <v>0-</v>
      </c>
      <c r="H757" t="str">
        <f>IFERROR(VLOOKUP(E757,DC_Xref!A:B,2,FALSE),"")</f>
        <v/>
      </c>
      <c r="I757">
        <f t="shared" si="35"/>
        <v>0</v>
      </c>
    </row>
    <row r="758" spans="1:9" x14ac:dyDescent="0.3">
      <c r="A758" t="str">
        <f t="shared" si="33"/>
        <v>-</v>
      </c>
      <c r="B758" t="str">
        <f t="shared" si="34"/>
        <v>0-</v>
      </c>
      <c r="H758" t="str">
        <f>IFERROR(VLOOKUP(E758,DC_Xref!A:B,2,FALSE),"")</f>
        <v/>
      </c>
      <c r="I758">
        <f t="shared" si="35"/>
        <v>0</v>
      </c>
    </row>
    <row r="759" spans="1:9" x14ac:dyDescent="0.3">
      <c r="A759" t="str">
        <f t="shared" si="33"/>
        <v>-</v>
      </c>
      <c r="B759" t="str">
        <f t="shared" si="34"/>
        <v>0-</v>
      </c>
      <c r="H759" t="str">
        <f>IFERROR(VLOOKUP(E759,DC_Xref!A:B,2,FALSE),"")</f>
        <v/>
      </c>
      <c r="I759">
        <f t="shared" si="35"/>
        <v>0</v>
      </c>
    </row>
    <row r="760" spans="1:9" x14ac:dyDescent="0.3">
      <c r="A760" t="str">
        <f t="shared" si="33"/>
        <v>-</v>
      </c>
      <c r="B760" t="str">
        <f t="shared" si="34"/>
        <v>0-</v>
      </c>
      <c r="H760" t="str">
        <f>IFERROR(VLOOKUP(E760,DC_Xref!A:B,2,FALSE),"")</f>
        <v/>
      </c>
      <c r="I760">
        <f t="shared" si="35"/>
        <v>0</v>
      </c>
    </row>
    <row r="761" spans="1:9" x14ac:dyDescent="0.3">
      <c r="A761" t="str">
        <f t="shared" si="33"/>
        <v>-</v>
      </c>
      <c r="B761" t="str">
        <f t="shared" si="34"/>
        <v>0-</v>
      </c>
      <c r="H761" t="str">
        <f>IFERROR(VLOOKUP(E761,DC_Xref!A:B,2,FALSE),"")</f>
        <v/>
      </c>
      <c r="I761">
        <f t="shared" si="35"/>
        <v>0</v>
      </c>
    </row>
    <row r="762" spans="1:9" x14ac:dyDescent="0.3">
      <c r="A762" t="str">
        <f t="shared" si="33"/>
        <v>-</v>
      </c>
      <c r="B762" t="str">
        <f t="shared" si="34"/>
        <v>0-</v>
      </c>
      <c r="H762" t="str">
        <f>IFERROR(VLOOKUP(E762,DC_Xref!A:B,2,FALSE),"")</f>
        <v/>
      </c>
      <c r="I762">
        <f t="shared" si="35"/>
        <v>0</v>
      </c>
    </row>
    <row r="763" spans="1:9" x14ac:dyDescent="0.3">
      <c r="A763" t="str">
        <f t="shared" si="33"/>
        <v>-</v>
      </c>
      <c r="B763" t="str">
        <f t="shared" si="34"/>
        <v>0-</v>
      </c>
      <c r="H763" t="str">
        <f>IFERROR(VLOOKUP(E763,DC_Xref!A:B,2,FALSE),"")</f>
        <v/>
      </c>
      <c r="I763">
        <f t="shared" si="35"/>
        <v>0</v>
      </c>
    </row>
    <row r="764" spans="1:9" x14ac:dyDescent="0.3">
      <c r="A764" t="str">
        <f t="shared" si="33"/>
        <v>-</v>
      </c>
      <c r="B764" t="str">
        <f t="shared" si="34"/>
        <v>0-</v>
      </c>
      <c r="H764" t="str">
        <f>IFERROR(VLOOKUP(E764,DC_Xref!A:B,2,FALSE),"")</f>
        <v/>
      </c>
      <c r="I764">
        <f t="shared" si="35"/>
        <v>0</v>
      </c>
    </row>
    <row r="765" spans="1:9" x14ac:dyDescent="0.3">
      <c r="A765" t="str">
        <f t="shared" si="33"/>
        <v>-</v>
      </c>
      <c r="B765" t="str">
        <f t="shared" si="34"/>
        <v>0-</v>
      </c>
      <c r="H765" t="str">
        <f>IFERROR(VLOOKUP(E765,DC_Xref!A:B,2,FALSE),"")</f>
        <v/>
      </c>
      <c r="I765">
        <f t="shared" si="35"/>
        <v>0</v>
      </c>
    </row>
    <row r="766" spans="1:9" x14ac:dyDescent="0.3">
      <c r="A766" t="str">
        <f t="shared" si="33"/>
        <v>-</v>
      </c>
      <c r="B766" t="str">
        <f t="shared" si="34"/>
        <v>0-</v>
      </c>
      <c r="H766" t="str">
        <f>IFERROR(VLOOKUP(E766,DC_Xref!A:B,2,FALSE),"")</f>
        <v/>
      </c>
      <c r="I766">
        <f t="shared" si="35"/>
        <v>0</v>
      </c>
    </row>
    <row r="767" spans="1:9" x14ac:dyDescent="0.3">
      <c r="A767" t="str">
        <f t="shared" si="33"/>
        <v>-</v>
      </c>
      <c r="B767" t="str">
        <f t="shared" si="34"/>
        <v>0-</v>
      </c>
      <c r="H767" t="str">
        <f>IFERROR(VLOOKUP(E767,DC_Xref!A:B,2,FALSE),"")</f>
        <v/>
      </c>
      <c r="I767">
        <f t="shared" si="35"/>
        <v>0</v>
      </c>
    </row>
    <row r="768" spans="1:9" x14ac:dyDescent="0.3">
      <c r="A768" t="str">
        <f t="shared" si="33"/>
        <v>-</v>
      </c>
      <c r="B768" t="str">
        <f t="shared" si="34"/>
        <v>0-</v>
      </c>
      <c r="H768" t="str">
        <f>IFERROR(VLOOKUP(E768,DC_Xref!A:B,2,FALSE),"")</f>
        <v/>
      </c>
      <c r="I768">
        <f t="shared" si="35"/>
        <v>0</v>
      </c>
    </row>
    <row r="769" spans="1:9" x14ac:dyDescent="0.3">
      <c r="A769" t="str">
        <f t="shared" si="33"/>
        <v>-</v>
      </c>
      <c r="B769" t="str">
        <f t="shared" si="34"/>
        <v>0-</v>
      </c>
      <c r="H769" t="str">
        <f>IFERROR(VLOOKUP(E769,DC_Xref!A:B,2,FALSE),"")</f>
        <v/>
      </c>
      <c r="I769">
        <f t="shared" si="35"/>
        <v>0</v>
      </c>
    </row>
    <row r="770" spans="1:9" x14ac:dyDescent="0.3">
      <c r="A770" t="str">
        <f t="shared" ref="A770:A833" si="36">C770&amp;"-"&amp;F770</f>
        <v>-</v>
      </c>
      <c r="B770" t="str">
        <f t="shared" ref="B770:B833" si="37">I770&amp;"-"&amp;H770</f>
        <v>0-</v>
      </c>
      <c r="H770" t="str">
        <f>IFERROR(VLOOKUP(E770,DC_Xref!A:B,2,FALSE),"")</f>
        <v/>
      </c>
      <c r="I770">
        <f t="shared" ref="I770:I833" si="38">C770*100+D770</f>
        <v>0</v>
      </c>
    </row>
    <row r="771" spans="1:9" x14ac:dyDescent="0.3">
      <c r="A771" t="str">
        <f t="shared" si="36"/>
        <v>-</v>
      </c>
      <c r="B771" t="str">
        <f t="shared" si="37"/>
        <v>0-</v>
      </c>
      <c r="H771" t="str">
        <f>IFERROR(VLOOKUP(E771,DC_Xref!A:B,2,FALSE),"")</f>
        <v/>
      </c>
      <c r="I771">
        <f t="shared" si="38"/>
        <v>0</v>
      </c>
    </row>
    <row r="772" spans="1:9" x14ac:dyDescent="0.3">
      <c r="A772" t="str">
        <f t="shared" si="36"/>
        <v>-</v>
      </c>
      <c r="B772" t="str">
        <f t="shared" si="37"/>
        <v>0-</v>
      </c>
      <c r="H772" t="str">
        <f>IFERROR(VLOOKUP(E772,DC_Xref!A:B,2,FALSE),"")</f>
        <v/>
      </c>
      <c r="I772">
        <f t="shared" si="38"/>
        <v>0</v>
      </c>
    </row>
    <row r="773" spans="1:9" x14ac:dyDescent="0.3">
      <c r="A773" t="str">
        <f t="shared" si="36"/>
        <v>-</v>
      </c>
      <c r="B773" t="str">
        <f t="shared" si="37"/>
        <v>0-</v>
      </c>
      <c r="H773" t="str">
        <f>IFERROR(VLOOKUP(E773,DC_Xref!A:B,2,FALSE),"")</f>
        <v/>
      </c>
      <c r="I773">
        <f t="shared" si="38"/>
        <v>0</v>
      </c>
    </row>
    <row r="774" spans="1:9" x14ac:dyDescent="0.3">
      <c r="A774" t="str">
        <f t="shared" si="36"/>
        <v>-</v>
      </c>
      <c r="B774" t="str">
        <f t="shared" si="37"/>
        <v>0-</v>
      </c>
      <c r="H774" t="str">
        <f>IFERROR(VLOOKUP(E774,DC_Xref!A:B,2,FALSE),"")</f>
        <v/>
      </c>
      <c r="I774">
        <f t="shared" si="38"/>
        <v>0</v>
      </c>
    </row>
    <row r="775" spans="1:9" x14ac:dyDescent="0.3">
      <c r="A775" t="str">
        <f t="shared" si="36"/>
        <v>-</v>
      </c>
      <c r="B775" t="str">
        <f t="shared" si="37"/>
        <v>0-</v>
      </c>
      <c r="H775" t="str">
        <f>IFERROR(VLOOKUP(E775,DC_Xref!A:B,2,FALSE),"")</f>
        <v/>
      </c>
      <c r="I775">
        <f t="shared" si="38"/>
        <v>0</v>
      </c>
    </row>
    <row r="776" spans="1:9" x14ac:dyDescent="0.3">
      <c r="A776" t="str">
        <f t="shared" si="36"/>
        <v>-</v>
      </c>
      <c r="B776" t="str">
        <f t="shared" si="37"/>
        <v>0-</v>
      </c>
      <c r="H776" t="str">
        <f>IFERROR(VLOOKUP(E776,DC_Xref!A:B,2,FALSE),"")</f>
        <v/>
      </c>
      <c r="I776">
        <f t="shared" si="38"/>
        <v>0</v>
      </c>
    </row>
    <row r="777" spans="1:9" x14ac:dyDescent="0.3">
      <c r="A777" t="str">
        <f t="shared" si="36"/>
        <v>-</v>
      </c>
      <c r="B777" t="str">
        <f t="shared" si="37"/>
        <v>0-</v>
      </c>
      <c r="H777" t="str">
        <f>IFERROR(VLOOKUP(E777,DC_Xref!A:B,2,FALSE),"")</f>
        <v/>
      </c>
      <c r="I777">
        <f t="shared" si="38"/>
        <v>0</v>
      </c>
    </row>
    <row r="778" spans="1:9" x14ac:dyDescent="0.3">
      <c r="A778" t="str">
        <f t="shared" si="36"/>
        <v>-</v>
      </c>
      <c r="B778" t="str">
        <f t="shared" si="37"/>
        <v>0-</v>
      </c>
      <c r="H778" t="str">
        <f>IFERROR(VLOOKUP(E778,DC_Xref!A:B,2,FALSE),"")</f>
        <v/>
      </c>
      <c r="I778">
        <f t="shared" si="38"/>
        <v>0</v>
      </c>
    </row>
    <row r="779" spans="1:9" x14ac:dyDescent="0.3">
      <c r="A779" t="str">
        <f t="shared" si="36"/>
        <v>-</v>
      </c>
      <c r="B779" t="str">
        <f t="shared" si="37"/>
        <v>0-</v>
      </c>
      <c r="H779" t="str">
        <f>IFERROR(VLOOKUP(E779,DC_Xref!A:B,2,FALSE),"")</f>
        <v/>
      </c>
      <c r="I779">
        <f t="shared" si="38"/>
        <v>0</v>
      </c>
    </row>
    <row r="780" spans="1:9" x14ac:dyDescent="0.3">
      <c r="A780" t="str">
        <f t="shared" si="36"/>
        <v>-</v>
      </c>
      <c r="B780" t="str">
        <f t="shared" si="37"/>
        <v>0-</v>
      </c>
      <c r="H780" t="str">
        <f>IFERROR(VLOOKUP(E780,DC_Xref!A:B,2,FALSE),"")</f>
        <v/>
      </c>
      <c r="I780">
        <f t="shared" si="38"/>
        <v>0</v>
      </c>
    </row>
    <row r="781" spans="1:9" x14ac:dyDescent="0.3">
      <c r="A781" t="str">
        <f t="shared" si="36"/>
        <v>-</v>
      </c>
      <c r="B781" t="str">
        <f t="shared" si="37"/>
        <v>0-</v>
      </c>
      <c r="H781" t="str">
        <f>IFERROR(VLOOKUP(E781,DC_Xref!A:B,2,FALSE),"")</f>
        <v/>
      </c>
      <c r="I781">
        <f t="shared" si="38"/>
        <v>0</v>
      </c>
    </row>
    <row r="782" spans="1:9" x14ac:dyDescent="0.3">
      <c r="A782" t="str">
        <f t="shared" si="36"/>
        <v>-</v>
      </c>
      <c r="B782" t="str">
        <f t="shared" si="37"/>
        <v>0-</v>
      </c>
      <c r="H782" t="str">
        <f>IFERROR(VLOOKUP(E782,DC_Xref!A:B,2,FALSE),"")</f>
        <v/>
      </c>
      <c r="I782">
        <f t="shared" si="38"/>
        <v>0</v>
      </c>
    </row>
    <row r="783" spans="1:9" x14ac:dyDescent="0.3">
      <c r="A783" t="str">
        <f t="shared" si="36"/>
        <v>-</v>
      </c>
      <c r="B783" t="str">
        <f t="shared" si="37"/>
        <v>0-</v>
      </c>
      <c r="H783" t="str">
        <f>IFERROR(VLOOKUP(E783,DC_Xref!A:B,2,FALSE),"")</f>
        <v/>
      </c>
      <c r="I783">
        <f t="shared" si="38"/>
        <v>0</v>
      </c>
    </row>
    <row r="784" spans="1:9" x14ac:dyDescent="0.3">
      <c r="A784" t="str">
        <f t="shared" si="36"/>
        <v>-</v>
      </c>
      <c r="B784" t="str">
        <f t="shared" si="37"/>
        <v>0-</v>
      </c>
      <c r="H784" t="str">
        <f>IFERROR(VLOOKUP(E784,DC_Xref!A:B,2,FALSE),"")</f>
        <v/>
      </c>
      <c r="I784">
        <f t="shared" si="38"/>
        <v>0</v>
      </c>
    </row>
    <row r="785" spans="1:9" x14ac:dyDescent="0.3">
      <c r="A785" t="str">
        <f t="shared" si="36"/>
        <v>-</v>
      </c>
      <c r="B785" t="str">
        <f t="shared" si="37"/>
        <v>0-</v>
      </c>
      <c r="H785" t="str">
        <f>IFERROR(VLOOKUP(E785,DC_Xref!A:B,2,FALSE),"")</f>
        <v/>
      </c>
      <c r="I785">
        <f t="shared" si="38"/>
        <v>0</v>
      </c>
    </row>
    <row r="786" spans="1:9" x14ac:dyDescent="0.3">
      <c r="A786" t="str">
        <f t="shared" si="36"/>
        <v>-</v>
      </c>
      <c r="B786" t="str">
        <f t="shared" si="37"/>
        <v>0-</v>
      </c>
      <c r="H786" t="str">
        <f>IFERROR(VLOOKUP(E786,DC_Xref!A:B,2,FALSE),"")</f>
        <v/>
      </c>
      <c r="I786">
        <f t="shared" si="38"/>
        <v>0</v>
      </c>
    </row>
    <row r="787" spans="1:9" x14ac:dyDescent="0.3">
      <c r="A787" t="str">
        <f t="shared" si="36"/>
        <v>-</v>
      </c>
      <c r="B787" t="str">
        <f t="shared" si="37"/>
        <v>0-</v>
      </c>
      <c r="H787" t="str">
        <f>IFERROR(VLOOKUP(E787,DC_Xref!A:B,2,FALSE),"")</f>
        <v/>
      </c>
      <c r="I787">
        <f t="shared" si="38"/>
        <v>0</v>
      </c>
    </row>
    <row r="788" spans="1:9" x14ac:dyDescent="0.3">
      <c r="A788" t="str">
        <f t="shared" si="36"/>
        <v>-</v>
      </c>
      <c r="B788" t="str">
        <f t="shared" si="37"/>
        <v>0-</v>
      </c>
      <c r="H788" t="str">
        <f>IFERROR(VLOOKUP(E788,DC_Xref!A:B,2,FALSE),"")</f>
        <v/>
      </c>
      <c r="I788">
        <f t="shared" si="38"/>
        <v>0</v>
      </c>
    </row>
    <row r="789" spans="1:9" x14ac:dyDescent="0.3">
      <c r="A789" t="str">
        <f t="shared" si="36"/>
        <v>-</v>
      </c>
      <c r="B789" t="str">
        <f t="shared" si="37"/>
        <v>0-</v>
      </c>
      <c r="H789" t="str">
        <f>IFERROR(VLOOKUP(E789,DC_Xref!A:B,2,FALSE),"")</f>
        <v/>
      </c>
      <c r="I789">
        <f t="shared" si="38"/>
        <v>0</v>
      </c>
    </row>
    <row r="790" spans="1:9" x14ac:dyDescent="0.3">
      <c r="A790" t="str">
        <f t="shared" si="36"/>
        <v>-</v>
      </c>
      <c r="B790" t="str">
        <f t="shared" si="37"/>
        <v>0-</v>
      </c>
      <c r="H790" t="str">
        <f>IFERROR(VLOOKUP(E790,DC_Xref!A:B,2,FALSE),"")</f>
        <v/>
      </c>
      <c r="I790">
        <f t="shared" si="38"/>
        <v>0</v>
      </c>
    </row>
    <row r="791" spans="1:9" x14ac:dyDescent="0.3">
      <c r="A791" t="str">
        <f t="shared" si="36"/>
        <v>-</v>
      </c>
      <c r="B791" t="str">
        <f t="shared" si="37"/>
        <v>0-</v>
      </c>
      <c r="H791" t="str">
        <f>IFERROR(VLOOKUP(E791,DC_Xref!A:B,2,FALSE),"")</f>
        <v/>
      </c>
      <c r="I791">
        <f t="shared" si="38"/>
        <v>0</v>
      </c>
    </row>
    <row r="792" spans="1:9" x14ac:dyDescent="0.3">
      <c r="A792" t="str">
        <f t="shared" si="36"/>
        <v>-</v>
      </c>
      <c r="B792" t="str">
        <f t="shared" si="37"/>
        <v>0-</v>
      </c>
      <c r="H792" t="str">
        <f>IFERROR(VLOOKUP(E792,DC_Xref!A:B,2,FALSE),"")</f>
        <v/>
      </c>
      <c r="I792">
        <f t="shared" si="38"/>
        <v>0</v>
      </c>
    </row>
    <row r="793" spans="1:9" x14ac:dyDescent="0.3">
      <c r="A793" t="str">
        <f t="shared" si="36"/>
        <v>-</v>
      </c>
      <c r="B793" t="str">
        <f t="shared" si="37"/>
        <v>0-</v>
      </c>
      <c r="H793" t="str">
        <f>IFERROR(VLOOKUP(E793,DC_Xref!A:B,2,FALSE),"")</f>
        <v/>
      </c>
      <c r="I793">
        <f t="shared" si="38"/>
        <v>0</v>
      </c>
    </row>
    <row r="794" spans="1:9" x14ac:dyDescent="0.3">
      <c r="A794" t="str">
        <f t="shared" si="36"/>
        <v>-</v>
      </c>
      <c r="B794" t="str">
        <f t="shared" si="37"/>
        <v>0-</v>
      </c>
      <c r="H794" t="str">
        <f>IFERROR(VLOOKUP(E794,DC_Xref!A:B,2,FALSE),"")</f>
        <v/>
      </c>
      <c r="I794">
        <f t="shared" si="38"/>
        <v>0</v>
      </c>
    </row>
    <row r="795" spans="1:9" x14ac:dyDescent="0.3">
      <c r="A795" t="str">
        <f t="shared" si="36"/>
        <v>-</v>
      </c>
      <c r="B795" t="str">
        <f t="shared" si="37"/>
        <v>0-</v>
      </c>
      <c r="H795" t="str">
        <f>IFERROR(VLOOKUP(E795,DC_Xref!A:B,2,FALSE),"")</f>
        <v/>
      </c>
      <c r="I795">
        <f t="shared" si="38"/>
        <v>0</v>
      </c>
    </row>
    <row r="796" spans="1:9" x14ac:dyDescent="0.3">
      <c r="A796" t="str">
        <f t="shared" si="36"/>
        <v>-</v>
      </c>
      <c r="B796" t="str">
        <f t="shared" si="37"/>
        <v>0-</v>
      </c>
      <c r="H796" t="str">
        <f>IFERROR(VLOOKUP(E796,DC_Xref!A:B,2,FALSE),"")</f>
        <v/>
      </c>
      <c r="I796">
        <f t="shared" si="38"/>
        <v>0</v>
      </c>
    </row>
    <row r="797" spans="1:9" x14ac:dyDescent="0.3">
      <c r="A797" t="str">
        <f t="shared" si="36"/>
        <v>-</v>
      </c>
      <c r="B797" t="str">
        <f t="shared" si="37"/>
        <v>0-</v>
      </c>
      <c r="H797" t="str">
        <f>IFERROR(VLOOKUP(E797,DC_Xref!A:B,2,FALSE),"")</f>
        <v/>
      </c>
      <c r="I797">
        <f t="shared" si="38"/>
        <v>0</v>
      </c>
    </row>
    <row r="798" spans="1:9" x14ac:dyDescent="0.3">
      <c r="A798" t="str">
        <f t="shared" si="36"/>
        <v>-</v>
      </c>
      <c r="B798" t="str">
        <f t="shared" si="37"/>
        <v>0-</v>
      </c>
      <c r="H798" t="str">
        <f>IFERROR(VLOOKUP(E798,DC_Xref!A:B,2,FALSE),"")</f>
        <v/>
      </c>
      <c r="I798">
        <f t="shared" si="38"/>
        <v>0</v>
      </c>
    </row>
    <row r="799" spans="1:9" x14ac:dyDescent="0.3">
      <c r="A799" t="str">
        <f t="shared" si="36"/>
        <v>-</v>
      </c>
      <c r="B799" t="str">
        <f t="shared" si="37"/>
        <v>0-</v>
      </c>
      <c r="H799" t="str">
        <f>IFERROR(VLOOKUP(E799,DC_Xref!A:B,2,FALSE),"")</f>
        <v/>
      </c>
      <c r="I799">
        <f t="shared" si="38"/>
        <v>0</v>
      </c>
    </row>
    <row r="800" spans="1:9" x14ac:dyDescent="0.3">
      <c r="A800" t="str">
        <f t="shared" si="36"/>
        <v>-</v>
      </c>
      <c r="B800" t="str">
        <f t="shared" si="37"/>
        <v>0-</v>
      </c>
      <c r="H800" t="str">
        <f>IFERROR(VLOOKUP(E800,DC_Xref!A:B,2,FALSE),"")</f>
        <v/>
      </c>
      <c r="I800">
        <f t="shared" si="38"/>
        <v>0</v>
      </c>
    </row>
    <row r="801" spans="1:9" x14ac:dyDescent="0.3">
      <c r="A801" t="str">
        <f t="shared" si="36"/>
        <v>-</v>
      </c>
      <c r="B801" t="str">
        <f t="shared" si="37"/>
        <v>0-</v>
      </c>
      <c r="H801" t="str">
        <f>IFERROR(VLOOKUP(E801,DC_Xref!A:B,2,FALSE),"")</f>
        <v/>
      </c>
      <c r="I801">
        <f t="shared" si="38"/>
        <v>0</v>
      </c>
    </row>
    <row r="802" spans="1:9" x14ac:dyDescent="0.3">
      <c r="A802" t="str">
        <f t="shared" si="36"/>
        <v>-</v>
      </c>
      <c r="B802" t="str">
        <f t="shared" si="37"/>
        <v>0-</v>
      </c>
      <c r="H802" t="str">
        <f>IFERROR(VLOOKUP(E802,DC_Xref!A:B,2,FALSE),"")</f>
        <v/>
      </c>
      <c r="I802">
        <f t="shared" si="38"/>
        <v>0</v>
      </c>
    </row>
    <row r="803" spans="1:9" x14ac:dyDescent="0.3">
      <c r="A803" t="str">
        <f t="shared" si="36"/>
        <v>-</v>
      </c>
      <c r="B803" t="str">
        <f t="shared" si="37"/>
        <v>0-</v>
      </c>
      <c r="H803" t="str">
        <f>IFERROR(VLOOKUP(E803,DC_Xref!A:B,2,FALSE),"")</f>
        <v/>
      </c>
      <c r="I803">
        <f t="shared" si="38"/>
        <v>0</v>
      </c>
    </row>
    <row r="804" spans="1:9" x14ac:dyDescent="0.3">
      <c r="A804" t="str">
        <f t="shared" si="36"/>
        <v>-</v>
      </c>
      <c r="B804" t="str">
        <f t="shared" si="37"/>
        <v>0-</v>
      </c>
      <c r="H804" t="str">
        <f>IFERROR(VLOOKUP(E804,DC_Xref!A:B,2,FALSE),"")</f>
        <v/>
      </c>
      <c r="I804">
        <f t="shared" si="38"/>
        <v>0</v>
      </c>
    </row>
    <row r="805" spans="1:9" x14ac:dyDescent="0.3">
      <c r="A805" t="str">
        <f t="shared" si="36"/>
        <v>-</v>
      </c>
      <c r="B805" t="str">
        <f t="shared" si="37"/>
        <v>0-</v>
      </c>
      <c r="H805" t="str">
        <f>IFERROR(VLOOKUP(E805,DC_Xref!A:B,2,FALSE),"")</f>
        <v/>
      </c>
      <c r="I805">
        <f t="shared" si="38"/>
        <v>0</v>
      </c>
    </row>
    <row r="806" spans="1:9" x14ac:dyDescent="0.3">
      <c r="A806" t="str">
        <f t="shared" si="36"/>
        <v>-</v>
      </c>
      <c r="B806" t="str">
        <f t="shared" si="37"/>
        <v>0-</v>
      </c>
      <c r="H806" t="str">
        <f>IFERROR(VLOOKUP(E806,DC_Xref!A:B,2,FALSE),"")</f>
        <v/>
      </c>
      <c r="I806">
        <f t="shared" si="38"/>
        <v>0</v>
      </c>
    </row>
    <row r="807" spans="1:9" x14ac:dyDescent="0.3">
      <c r="A807" t="str">
        <f t="shared" si="36"/>
        <v>-</v>
      </c>
      <c r="B807" t="str">
        <f t="shared" si="37"/>
        <v>0-</v>
      </c>
      <c r="H807" t="str">
        <f>IFERROR(VLOOKUP(E807,DC_Xref!A:B,2,FALSE),"")</f>
        <v/>
      </c>
      <c r="I807">
        <f t="shared" si="38"/>
        <v>0</v>
      </c>
    </row>
    <row r="808" spans="1:9" x14ac:dyDescent="0.3">
      <c r="A808" t="str">
        <f t="shared" si="36"/>
        <v>-</v>
      </c>
      <c r="B808" t="str">
        <f t="shared" si="37"/>
        <v>0-</v>
      </c>
      <c r="H808" t="str">
        <f>IFERROR(VLOOKUP(E808,DC_Xref!A:B,2,FALSE),"")</f>
        <v/>
      </c>
      <c r="I808">
        <f t="shared" si="38"/>
        <v>0</v>
      </c>
    </row>
    <row r="809" spans="1:9" x14ac:dyDescent="0.3">
      <c r="A809" t="str">
        <f t="shared" si="36"/>
        <v>-</v>
      </c>
      <c r="B809" t="str">
        <f t="shared" si="37"/>
        <v>0-</v>
      </c>
      <c r="H809" t="str">
        <f>IFERROR(VLOOKUP(E809,DC_Xref!A:B,2,FALSE),"")</f>
        <v/>
      </c>
      <c r="I809">
        <f t="shared" si="38"/>
        <v>0</v>
      </c>
    </row>
    <row r="810" spans="1:9" x14ac:dyDescent="0.3">
      <c r="A810" t="str">
        <f t="shared" si="36"/>
        <v>-</v>
      </c>
      <c r="B810" t="str">
        <f t="shared" si="37"/>
        <v>0-</v>
      </c>
      <c r="H810" t="str">
        <f>IFERROR(VLOOKUP(E810,DC_Xref!A:B,2,FALSE),"")</f>
        <v/>
      </c>
      <c r="I810">
        <f t="shared" si="38"/>
        <v>0</v>
      </c>
    </row>
    <row r="811" spans="1:9" x14ac:dyDescent="0.3">
      <c r="A811" t="str">
        <f t="shared" si="36"/>
        <v>-</v>
      </c>
      <c r="B811" t="str">
        <f t="shared" si="37"/>
        <v>0-</v>
      </c>
      <c r="H811" t="str">
        <f>IFERROR(VLOOKUP(E811,DC_Xref!A:B,2,FALSE),"")</f>
        <v/>
      </c>
      <c r="I811">
        <f t="shared" si="38"/>
        <v>0</v>
      </c>
    </row>
    <row r="812" spans="1:9" x14ac:dyDescent="0.3">
      <c r="A812" t="str">
        <f t="shared" si="36"/>
        <v>-</v>
      </c>
      <c r="B812" t="str">
        <f t="shared" si="37"/>
        <v>0-</v>
      </c>
      <c r="H812" t="str">
        <f>IFERROR(VLOOKUP(E812,DC_Xref!A:B,2,FALSE),"")</f>
        <v/>
      </c>
      <c r="I812">
        <f t="shared" si="38"/>
        <v>0</v>
      </c>
    </row>
    <row r="813" spans="1:9" x14ac:dyDescent="0.3">
      <c r="A813" t="str">
        <f t="shared" si="36"/>
        <v>-</v>
      </c>
      <c r="B813" t="str">
        <f t="shared" si="37"/>
        <v>0-</v>
      </c>
      <c r="H813" t="str">
        <f>IFERROR(VLOOKUP(E813,DC_Xref!A:B,2,FALSE),"")</f>
        <v/>
      </c>
      <c r="I813">
        <f t="shared" si="38"/>
        <v>0</v>
      </c>
    </row>
    <row r="814" spans="1:9" x14ac:dyDescent="0.3">
      <c r="A814" t="str">
        <f t="shared" si="36"/>
        <v>-</v>
      </c>
      <c r="B814" t="str">
        <f t="shared" si="37"/>
        <v>0-</v>
      </c>
      <c r="H814" t="str">
        <f>IFERROR(VLOOKUP(E814,DC_Xref!A:B,2,FALSE),"")</f>
        <v/>
      </c>
      <c r="I814">
        <f t="shared" si="38"/>
        <v>0</v>
      </c>
    </row>
    <row r="815" spans="1:9" x14ac:dyDescent="0.3">
      <c r="A815" t="str">
        <f t="shared" si="36"/>
        <v>-</v>
      </c>
      <c r="B815" t="str">
        <f t="shared" si="37"/>
        <v>0-</v>
      </c>
      <c r="H815" t="str">
        <f>IFERROR(VLOOKUP(E815,DC_Xref!A:B,2,FALSE),"")</f>
        <v/>
      </c>
      <c r="I815">
        <f t="shared" si="38"/>
        <v>0</v>
      </c>
    </row>
    <row r="816" spans="1:9" x14ac:dyDescent="0.3">
      <c r="A816" t="str">
        <f t="shared" si="36"/>
        <v>-</v>
      </c>
      <c r="B816" t="str">
        <f t="shared" si="37"/>
        <v>0-</v>
      </c>
      <c r="H816" t="str">
        <f>IFERROR(VLOOKUP(E816,DC_Xref!A:B,2,FALSE),"")</f>
        <v/>
      </c>
      <c r="I816">
        <f t="shared" si="38"/>
        <v>0</v>
      </c>
    </row>
    <row r="817" spans="1:9" x14ac:dyDescent="0.3">
      <c r="A817" t="str">
        <f t="shared" si="36"/>
        <v>-</v>
      </c>
      <c r="B817" t="str">
        <f t="shared" si="37"/>
        <v>0-</v>
      </c>
      <c r="H817" t="str">
        <f>IFERROR(VLOOKUP(E817,DC_Xref!A:B,2,FALSE),"")</f>
        <v/>
      </c>
      <c r="I817">
        <f t="shared" si="38"/>
        <v>0</v>
      </c>
    </row>
    <row r="818" spans="1:9" x14ac:dyDescent="0.3">
      <c r="A818" t="str">
        <f t="shared" si="36"/>
        <v>-</v>
      </c>
      <c r="B818" t="str">
        <f t="shared" si="37"/>
        <v>0-</v>
      </c>
      <c r="H818" t="str">
        <f>IFERROR(VLOOKUP(E818,DC_Xref!A:B,2,FALSE),"")</f>
        <v/>
      </c>
      <c r="I818">
        <f t="shared" si="38"/>
        <v>0</v>
      </c>
    </row>
    <row r="819" spans="1:9" x14ac:dyDescent="0.3">
      <c r="A819" t="str">
        <f t="shared" si="36"/>
        <v>-</v>
      </c>
      <c r="B819" t="str">
        <f t="shared" si="37"/>
        <v>0-</v>
      </c>
      <c r="H819" t="str">
        <f>IFERROR(VLOOKUP(E819,DC_Xref!A:B,2,FALSE),"")</f>
        <v/>
      </c>
      <c r="I819">
        <f t="shared" si="38"/>
        <v>0</v>
      </c>
    </row>
    <row r="820" spans="1:9" x14ac:dyDescent="0.3">
      <c r="A820" t="str">
        <f t="shared" si="36"/>
        <v>-</v>
      </c>
      <c r="B820" t="str">
        <f t="shared" si="37"/>
        <v>0-</v>
      </c>
      <c r="H820" t="str">
        <f>IFERROR(VLOOKUP(E820,DC_Xref!A:B,2,FALSE),"")</f>
        <v/>
      </c>
      <c r="I820">
        <f t="shared" si="38"/>
        <v>0</v>
      </c>
    </row>
    <row r="821" spans="1:9" x14ac:dyDescent="0.3">
      <c r="A821" t="str">
        <f t="shared" si="36"/>
        <v>-</v>
      </c>
      <c r="B821" t="str">
        <f t="shared" si="37"/>
        <v>0-</v>
      </c>
      <c r="H821" t="str">
        <f>IFERROR(VLOOKUP(E821,DC_Xref!A:B,2,FALSE),"")</f>
        <v/>
      </c>
      <c r="I821">
        <f t="shared" si="38"/>
        <v>0</v>
      </c>
    </row>
    <row r="822" spans="1:9" x14ac:dyDescent="0.3">
      <c r="A822" t="str">
        <f t="shared" si="36"/>
        <v>-</v>
      </c>
      <c r="B822" t="str">
        <f t="shared" si="37"/>
        <v>0-</v>
      </c>
      <c r="H822" t="str">
        <f>IFERROR(VLOOKUP(E822,DC_Xref!A:B,2,FALSE),"")</f>
        <v/>
      </c>
      <c r="I822">
        <f t="shared" si="38"/>
        <v>0</v>
      </c>
    </row>
    <row r="823" spans="1:9" x14ac:dyDescent="0.3">
      <c r="A823" t="str">
        <f t="shared" si="36"/>
        <v>-</v>
      </c>
      <c r="B823" t="str">
        <f t="shared" si="37"/>
        <v>0-</v>
      </c>
      <c r="H823" t="str">
        <f>IFERROR(VLOOKUP(E823,DC_Xref!A:B,2,FALSE),"")</f>
        <v/>
      </c>
      <c r="I823">
        <f t="shared" si="38"/>
        <v>0</v>
      </c>
    </row>
    <row r="824" spans="1:9" x14ac:dyDescent="0.3">
      <c r="A824" t="str">
        <f t="shared" si="36"/>
        <v>-</v>
      </c>
      <c r="B824" t="str">
        <f t="shared" si="37"/>
        <v>0-</v>
      </c>
      <c r="H824" t="str">
        <f>IFERROR(VLOOKUP(E824,DC_Xref!A:B,2,FALSE),"")</f>
        <v/>
      </c>
      <c r="I824">
        <f t="shared" si="38"/>
        <v>0</v>
      </c>
    </row>
    <row r="825" spans="1:9" x14ac:dyDescent="0.3">
      <c r="A825" t="str">
        <f t="shared" si="36"/>
        <v>-</v>
      </c>
      <c r="B825" t="str">
        <f t="shared" si="37"/>
        <v>0-</v>
      </c>
      <c r="H825" t="str">
        <f>IFERROR(VLOOKUP(E825,DC_Xref!A:B,2,FALSE),"")</f>
        <v/>
      </c>
      <c r="I825">
        <f t="shared" si="38"/>
        <v>0</v>
      </c>
    </row>
    <row r="826" spans="1:9" x14ac:dyDescent="0.3">
      <c r="A826" t="str">
        <f t="shared" si="36"/>
        <v>-</v>
      </c>
      <c r="B826" t="str">
        <f t="shared" si="37"/>
        <v>0-</v>
      </c>
      <c r="H826" t="str">
        <f>IFERROR(VLOOKUP(E826,DC_Xref!A:B,2,FALSE),"")</f>
        <v/>
      </c>
      <c r="I826">
        <f t="shared" si="38"/>
        <v>0</v>
      </c>
    </row>
    <row r="827" spans="1:9" x14ac:dyDescent="0.3">
      <c r="A827" t="str">
        <f t="shared" si="36"/>
        <v>-</v>
      </c>
      <c r="B827" t="str">
        <f t="shared" si="37"/>
        <v>0-</v>
      </c>
      <c r="H827" t="str">
        <f>IFERROR(VLOOKUP(E827,DC_Xref!A:B,2,FALSE),"")</f>
        <v/>
      </c>
      <c r="I827">
        <f t="shared" si="38"/>
        <v>0</v>
      </c>
    </row>
    <row r="828" spans="1:9" x14ac:dyDescent="0.3">
      <c r="A828" t="str">
        <f t="shared" si="36"/>
        <v>-</v>
      </c>
      <c r="B828" t="str">
        <f t="shared" si="37"/>
        <v>0-</v>
      </c>
      <c r="H828" t="str">
        <f>IFERROR(VLOOKUP(E828,DC_Xref!A:B,2,FALSE),"")</f>
        <v/>
      </c>
      <c r="I828">
        <f t="shared" si="38"/>
        <v>0</v>
      </c>
    </row>
    <row r="829" spans="1:9" x14ac:dyDescent="0.3">
      <c r="A829" t="str">
        <f t="shared" si="36"/>
        <v>-</v>
      </c>
      <c r="B829" t="str">
        <f t="shared" si="37"/>
        <v>0-</v>
      </c>
      <c r="H829" t="str">
        <f>IFERROR(VLOOKUP(E829,DC_Xref!A:B,2,FALSE),"")</f>
        <v/>
      </c>
      <c r="I829">
        <f t="shared" si="38"/>
        <v>0</v>
      </c>
    </row>
    <row r="830" spans="1:9" x14ac:dyDescent="0.3">
      <c r="A830" t="str">
        <f t="shared" si="36"/>
        <v>-</v>
      </c>
      <c r="B830" t="str">
        <f t="shared" si="37"/>
        <v>0-</v>
      </c>
      <c r="H830" t="str">
        <f>IFERROR(VLOOKUP(E830,DC_Xref!A:B,2,FALSE),"")</f>
        <v/>
      </c>
      <c r="I830">
        <f t="shared" si="38"/>
        <v>0</v>
      </c>
    </row>
    <row r="831" spans="1:9" x14ac:dyDescent="0.3">
      <c r="A831" t="str">
        <f t="shared" si="36"/>
        <v>-</v>
      </c>
      <c r="B831" t="str">
        <f t="shared" si="37"/>
        <v>0-</v>
      </c>
      <c r="H831" t="str">
        <f>IFERROR(VLOOKUP(E831,DC_Xref!A:B,2,FALSE),"")</f>
        <v/>
      </c>
      <c r="I831">
        <f t="shared" si="38"/>
        <v>0</v>
      </c>
    </row>
    <row r="832" spans="1:9" x14ac:dyDescent="0.3">
      <c r="A832" t="str">
        <f t="shared" si="36"/>
        <v>-</v>
      </c>
      <c r="B832" t="str">
        <f t="shared" si="37"/>
        <v>0-</v>
      </c>
      <c r="H832" t="str">
        <f>IFERROR(VLOOKUP(E832,DC_Xref!A:B,2,FALSE),"")</f>
        <v/>
      </c>
      <c r="I832">
        <f t="shared" si="38"/>
        <v>0</v>
      </c>
    </row>
    <row r="833" spans="1:9" x14ac:dyDescent="0.3">
      <c r="A833" t="str">
        <f t="shared" si="36"/>
        <v>-</v>
      </c>
      <c r="B833" t="str">
        <f t="shared" si="37"/>
        <v>0-</v>
      </c>
      <c r="H833" t="str">
        <f>IFERROR(VLOOKUP(E833,DC_Xref!A:B,2,FALSE),"")</f>
        <v/>
      </c>
      <c r="I833">
        <f t="shared" si="38"/>
        <v>0</v>
      </c>
    </row>
    <row r="834" spans="1:9" x14ac:dyDescent="0.3">
      <c r="A834" t="str">
        <f t="shared" ref="A834:A897" si="39">C834&amp;"-"&amp;F834</f>
        <v>-</v>
      </c>
      <c r="B834" t="str">
        <f t="shared" ref="B834:B897" si="40">I834&amp;"-"&amp;H834</f>
        <v>0-</v>
      </c>
      <c r="H834" t="str">
        <f>IFERROR(VLOOKUP(E834,DC_Xref!A:B,2,FALSE),"")</f>
        <v/>
      </c>
      <c r="I834">
        <f t="shared" ref="I834:I897" si="41">C834*100+D834</f>
        <v>0</v>
      </c>
    </row>
    <row r="835" spans="1:9" x14ac:dyDescent="0.3">
      <c r="A835" t="str">
        <f t="shared" si="39"/>
        <v>-</v>
      </c>
      <c r="B835" t="str">
        <f t="shared" si="40"/>
        <v>0-</v>
      </c>
      <c r="H835" t="str">
        <f>IFERROR(VLOOKUP(E835,DC_Xref!A:B,2,FALSE),"")</f>
        <v/>
      </c>
      <c r="I835">
        <f t="shared" si="41"/>
        <v>0</v>
      </c>
    </row>
    <row r="836" spans="1:9" x14ac:dyDescent="0.3">
      <c r="A836" t="str">
        <f t="shared" si="39"/>
        <v>-</v>
      </c>
      <c r="B836" t="str">
        <f t="shared" si="40"/>
        <v>0-</v>
      </c>
      <c r="H836" t="str">
        <f>IFERROR(VLOOKUP(E836,DC_Xref!A:B,2,FALSE),"")</f>
        <v/>
      </c>
      <c r="I836">
        <f t="shared" si="41"/>
        <v>0</v>
      </c>
    </row>
    <row r="837" spans="1:9" x14ac:dyDescent="0.3">
      <c r="A837" t="str">
        <f t="shared" si="39"/>
        <v>-</v>
      </c>
      <c r="B837" t="str">
        <f t="shared" si="40"/>
        <v>0-</v>
      </c>
      <c r="H837" t="str">
        <f>IFERROR(VLOOKUP(E837,DC_Xref!A:B,2,FALSE),"")</f>
        <v/>
      </c>
      <c r="I837">
        <f t="shared" si="41"/>
        <v>0</v>
      </c>
    </row>
    <row r="838" spans="1:9" x14ac:dyDescent="0.3">
      <c r="A838" t="str">
        <f t="shared" si="39"/>
        <v>-</v>
      </c>
      <c r="B838" t="str">
        <f t="shared" si="40"/>
        <v>0-</v>
      </c>
      <c r="H838" t="str">
        <f>IFERROR(VLOOKUP(E838,DC_Xref!A:B,2,FALSE),"")</f>
        <v/>
      </c>
      <c r="I838">
        <f t="shared" si="41"/>
        <v>0</v>
      </c>
    </row>
    <row r="839" spans="1:9" x14ac:dyDescent="0.3">
      <c r="A839" t="str">
        <f t="shared" si="39"/>
        <v>-</v>
      </c>
      <c r="B839" t="str">
        <f t="shared" si="40"/>
        <v>0-</v>
      </c>
      <c r="H839" t="str">
        <f>IFERROR(VLOOKUP(E839,DC_Xref!A:B,2,FALSE),"")</f>
        <v/>
      </c>
      <c r="I839">
        <f t="shared" si="41"/>
        <v>0</v>
      </c>
    </row>
    <row r="840" spans="1:9" x14ac:dyDescent="0.3">
      <c r="A840" t="str">
        <f t="shared" si="39"/>
        <v>-</v>
      </c>
      <c r="B840" t="str">
        <f t="shared" si="40"/>
        <v>0-</v>
      </c>
      <c r="H840" t="str">
        <f>IFERROR(VLOOKUP(E840,DC_Xref!A:B,2,FALSE),"")</f>
        <v/>
      </c>
      <c r="I840">
        <f t="shared" si="41"/>
        <v>0</v>
      </c>
    </row>
    <row r="841" spans="1:9" x14ac:dyDescent="0.3">
      <c r="A841" t="str">
        <f t="shared" si="39"/>
        <v>-</v>
      </c>
      <c r="B841" t="str">
        <f t="shared" si="40"/>
        <v>0-</v>
      </c>
      <c r="H841" t="str">
        <f>IFERROR(VLOOKUP(E841,DC_Xref!A:B,2,FALSE),"")</f>
        <v/>
      </c>
      <c r="I841">
        <f t="shared" si="41"/>
        <v>0</v>
      </c>
    </row>
    <row r="842" spans="1:9" x14ac:dyDescent="0.3">
      <c r="A842" t="str">
        <f t="shared" si="39"/>
        <v>-</v>
      </c>
      <c r="B842" t="str">
        <f t="shared" si="40"/>
        <v>0-</v>
      </c>
      <c r="H842" t="str">
        <f>IFERROR(VLOOKUP(E842,DC_Xref!A:B,2,FALSE),"")</f>
        <v/>
      </c>
      <c r="I842">
        <f t="shared" si="41"/>
        <v>0</v>
      </c>
    </row>
    <row r="843" spans="1:9" x14ac:dyDescent="0.3">
      <c r="A843" t="str">
        <f t="shared" si="39"/>
        <v>-</v>
      </c>
      <c r="B843" t="str">
        <f t="shared" si="40"/>
        <v>0-</v>
      </c>
      <c r="H843" t="str">
        <f>IFERROR(VLOOKUP(E843,DC_Xref!A:B,2,FALSE),"")</f>
        <v/>
      </c>
      <c r="I843">
        <f t="shared" si="41"/>
        <v>0</v>
      </c>
    </row>
    <row r="844" spans="1:9" x14ac:dyDescent="0.3">
      <c r="A844" t="str">
        <f t="shared" si="39"/>
        <v>-</v>
      </c>
      <c r="B844" t="str">
        <f t="shared" si="40"/>
        <v>0-</v>
      </c>
      <c r="H844" t="str">
        <f>IFERROR(VLOOKUP(E844,DC_Xref!A:B,2,FALSE),"")</f>
        <v/>
      </c>
      <c r="I844">
        <f t="shared" si="41"/>
        <v>0</v>
      </c>
    </row>
    <row r="845" spans="1:9" x14ac:dyDescent="0.3">
      <c r="A845" t="str">
        <f t="shared" si="39"/>
        <v>-</v>
      </c>
      <c r="B845" t="str">
        <f t="shared" si="40"/>
        <v>0-</v>
      </c>
      <c r="H845" t="str">
        <f>IFERROR(VLOOKUP(E845,DC_Xref!A:B,2,FALSE),"")</f>
        <v/>
      </c>
      <c r="I845">
        <f t="shared" si="41"/>
        <v>0</v>
      </c>
    </row>
    <row r="846" spans="1:9" x14ac:dyDescent="0.3">
      <c r="A846" t="str">
        <f t="shared" si="39"/>
        <v>-</v>
      </c>
      <c r="B846" t="str">
        <f t="shared" si="40"/>
        <v>0-</v>
      </c>
      <c r="H846" t="str">
        <f>IFERROR(VLOOKUP(E846,DC_Xref!A:B,2,FALSE),"")</f>
        <v/>
      </c>
      <c r="I846">
        <f t="shared" si="41"/>
        <v>0</v>
      </c>
    </row>
    <row r="847" spans="1:9" x14ac:dyDescent="0.3">
      <c r="A847" t="str">
        <f t="shared" si="39"/>
        <v>-</v>
      </c>
      <c r="B847" t="str">
        <f t="shared" si="40"/>
        <v>0-</v>
      </c>
      <c r="H847" t="str">
        <f>IFERROR(VLOOKUP(E847,DC_Xref!A:B,2,FALSE),"")</f>
        <v/>
      </c>
      <c r="I847">
        <f t="shared" si="41"/>
        <v>0</v>
      </c>
    </row>
    <row r="848" spans="1:9" x14ac:dyDescent="0.3">
      <c r="A848" t="str">
        <f t="shared" si="39"/>
        <v>-</v>
      </c>
      <c r="B848" t="str">
        <f t="shared" si="40"/>
        <v>0-</v>
      </c>
      <c r="H848" t="str">
        <f>IFERROR(VLOOKUP(E848,DC_Xref!A:B,2,FALSE),"")</f>
        <v/>
      </c>
      <c r="I848">
        <f t="shared" si="41"/>
        <v>0</v>
      </c>
    </row>
    <row r="849" spans="1:9" x14ac:dyDescent="0.3">
      <c r="A849" t="str">
        <f t="shared" si="39"/>
        <v>-</v>
      </c>
      <c r="B849" t="str">
        <f t="shared" si="40"/>
        <v>0-</v>
      </c>
      <c r="H849" t="str">
        <f>IFERROR(VLOOKUP(E849,DC_Xref!A:B,2,FALSE),"")</f>
        <v/>
      </c>
      <c r="I849">
        <f t="shared" si="41"/>
        <v>0</v>
      </c>
    </row>
    <row r="850" spans="1:9" x14ac:dyDescent="0.3">
      <c r="A850" t="str">
        <f t="shared" si="39"/>
        <v>-</v>
      </c>
      <c r="B850" t="str">
        <f t="shared" si="40"/>
        <v>0-</v>
      </c>
      <c r="H850" t="str">
        <f>IFERROR(VLOOKUP(E850,DC_Xref!A:B,2,FALSE),"")</f>
        <v/>
      </c>
      <c r="I850">
        <f t="shared" si="41"/>
        <v>0</v>
      </c>
    </row>
    <row r="851" spans="1:9" x14ac:dyDescent="0.3">
      <c r="A851" t="str">
        <f t="shared" si="39"/>
        <v>-</v>
      </c>
      <c r="B851" t="str">
        <f t="shared" si="40"/>
        <v>0-</v>
      </c>
      <c r="H851" t="str">
        <f>IFERROR(VLOOKUP(E851,DC_Xref!A:B,2,FALSE),"")</f>
        <v/>
      </c>
      <c r="I851">
        <f t="shared" si="41"/>
        <v>0</v>
      </c>
    </row>
    <row r="852" spans="1:9" x14ac:dyDescent="0.3">
      <c r="A852" t="str">
        <f t="shared" si="39"/>
        <v>-</v>
      </c>
      <c r="B852" t="str">
        <f t="shared" si="40"/>
        <v>0-</v>
      </c>
      <c r="H852" t="str">
        <f>IFERROR(VLOOKUP(E852,DC_Xref!A:B,2,FALSE),"")</f>
        <v/>
      </c>
      <c r="I852">
        <f t="shared" si="41"/>
        <v>0</v>
      </c>
    </row>
    <row r="853" spans="1:9" x14ac:dyDescent="0.3">
      <c r="A853" t="str">
        <f t="shared" si="39"/>
        <v>-</v>
      </c>
      <c r="B853" t="str">
        <f t="shared" si="40"/>
        <v>0-</v>
      </c>
      <c r="H853" t="str">
        <f>IFERROR(VLOOKUP(E853,DC_Xref!A:B,2,FALSE),"")</f>
        <v/>
      </c>
      <c r="I853">
        <f t="shared" si="41"/>
        <v>0</v>
      </c>
    </row>
    <row r="854" spans="1:9" x14ac:dyDescent="0.3">
      <c r="A854" t="str">
        <f t="shared" si="39"/>
        <v>-</v>
      </c>
      <c r="B854" t="str">
        <f t="shared" si="40"/>
        <v>0-</v>
      </c>
      <c r="H854" t="str">
        <f>IFERROR(VLOOKUP(E854,DC_Xref!A:B,2,FALSE),"")</f>
        <v/>
      </c>
      <c r="I854">
        <f t="shared" si="41"/>
        <v>0</v>
      </c>
    </row>
    <row r="855" spans="1:9" x14ac:dyDescent="0.3">
      <c r="A855" t="str">
        <f t="shared" si="39"/>
        <v>-</v>
      </c>
      <c r="B855" t="str">
        <f t="shared" si="40"/>
        <v>0-</v>
      </c>
      <c r="H855" t="str">
        <f>IFERROR(VLOOKUP(E855,DC_Xref!A:B,2,FALSE),"")</f>
        <v/>
      </c>
      <c r="I855">
        <f t="shared" si="41"/>
        <v>0</v>
      </c>
    </row>
    <row r="856" spans="1:9" x14ac:dyDescent="0.3">
      <c r="A856" t="str">
        <f t="shared" si="39"/>
        <v>-</v>
      </c>
      <c r="B856" t="str">
        <f t="shared" si="40"/>
        <v>0-</v>
      </c>
      <c r="H856" t="str">
        <f>IFERROR(VLOOKUP(E856,DC_Xref!A:B,2,FALSE),"")</f>
        <v/>
      </c>
      <c r="I856">
        <f t="shared" si="41"/>
        <v>0</v>
      </c>
    </row>
    <row r="857" spans="1:9" x14ac:dyDescent="0.3">
      <c r="A857" t="str">
        <f t="shared" si="39"/>
        <v>-</v>
      </c>
      <c r="B857" t="str">
        <f t="shared" si="40"/>
        <v>0-</v>
      </c>
      <c r="H857" t="str">
        <f>IFERROR(VLOOKUP(E857,DC_Xref!A:B,2,FALSE),"")</f>
        <v/>
      </c>
      <c r="I857">
        <f t="shared" si="41"/>
        <v>0</v>
      </c>
    </row>
    <row r="858" spans="1:9" x14ac:dyDescent="0.3">
      <c r="A858" t="str">
        <f t="shared" si="39"/>
        <v>-</v>
      </c>
      <c r="B858" t="str">
        <f t="shared" si="40"/>
        <v>0-</v>
      </c>
      <c r="H858" t="str">
        <f>IFERROR(VLOOKUP(E858,DC_Xref!A:B,2,FALSE),"")</f>
        <v/>
      </c>
      <c r="I858">
        <f t="shared" si="41"/>
        <v>0</v>
      </c>
    </row>
    <row r="859" spans="1:9" x14ac:dyDescent="0.3">
      <c r="A859" t="str">
        <f t="shared" si="39"/>
        <v>-</v>
      </c>
      <c r="B859" t="str">
        <f t="shared" si="40"/>
        <v>0-</v>
      </c>
      <c r="H859" t="str">
        <f>IFERROR(VLOOKUP(E859,DC_Xref!A:B,2,FALSE),"")</f>
        <v/>
      </c>
      <c r="I859">
        <f t="shared" si="41"/>
        <v>0</v>
      </c>
    </row>
    <row r="860" spans="1:9" x14ac:dyDescent="0.3">
      <c r="A860" t="str">
        <f t="shared" si="39"/>
        <v>-</v>
      </c>
      <c r="B860" t="str">
        <f t="shared" si="40"/>
        <v>0-</v>
      </c>
      <c r="H860" t="str">
        <f>IFERROR(VLOOKUP(E860,DC_Xref!A:B,2,FALSE),"")</f>
        <v/>
      </c>
      <c r="I860">
        <f t="shared" si="41"/>
        <v>0</v>
      </c>
    </row>
    <row r="861" spans="1:9" x14ac:dyDescent="0.3">
      <c r="A861" t="str">
        <f t="shared" si="39"/>
        <v>-</v>
      </c>
      <c r="B861" t="str">
        <f t="shared" si="40"/>
        <v>0-</v>
      </c>
      <c r="H861" t="str">
        <f>IFERROR(VLOOKUP(E861,DC_Xref!A:B,2,FALSE),"")</f>
        <v/>
      </c>
      <c r="I861">
        <f t="shared" si="41"/>
        <v>0</v>
      </c>
    </row>
    <row r="862" spans="1:9" x14ac:dyDescent="0.3">
      <c r="A862" t="str">
        <f t="shared" si="39"/>
        <v>-</v>
      </c>
      <c r="B862" t="str">
        <f t="shared" si="40"/>
        <v>0-</v>
      </c>
      <c r="H862" t="str">
        <f>IFERROR(VLOOKUP(E862,DC_Xref!A:B,2,FALSE),"")</f>
        <v/>
      </c>
      <c r="I862">
        <f t="shared" si="41"/>
        <v>0</v>
      </c>
    </row>
    <row r="863" spans="1:9" x14ac:dyDescent="0.3">
      <c r="A863" t="str">
        <f t="shared" si="39"/>
        <v>-</v>
      </c>
      <c r="B863" t="str">
        <f t="shared" si="40"/>
        <v>0-</v>
      </c>
      <c r="H863" t="str">
        <f>IFERROR(VLOOKUP(E863,DC_Xref!A:B,2,FALSE),"")</f>
        <v/>
      </c>
      <c r="I863">
        <f t="shared" si="41"/>
        <v>0</v>
      </c>
    </row>
    <row r="864" spans="1:9" x14ac:dyDescent="0.3">
      <c r="A864" t="str">
        <f t="shared" si="39"/>
        <v>-</v>
      </c>
      <c r="B864" t="str">
        <f t="shared" si="40"/>
        <v>0-</v>
      </c>
      <c r="H864" t="str">
        <f>IFERROR(VLOOKUP(E864,DC_Xref!A:B,2,FALSE),"")</f>
        <v/>
      </c>
      <c r="I864">
        <f t="shared" si="41"/>
        <v>0</v>
      </c>
    </row>
    <row r="865" spans="1:9" x14ac:dyDescent="0.3">
      <c r="A865" t="str">
        <f t="shared" si="39"/>
        <v>-</v>
      </c>
      <c r="B865" t="str">
        <f t="shared" si="40"/>
        <v>0-</v>
      </c>
      <c r="H865" t="str">
        <f>IFERROR(VLOOKUP(E865,DC_Xref!A:B,2,FALSE),"")</f>
        <v/>
      </c>
      <c r="I865">
        <f t="shared" si="41"/>
        <v>0</v>
      </c>
    </row>
    <row r="866" spans="1:9" x14ac:dyDescent="0.3">
      <c r="A866" t="str">
        <f t="shared" si="39"/>
        <v>-</v>
      </c>
      <c r="B866" t="str">
        <f t="shared" si="40"/>
        <v>0-</v>
      </c>
      <c r="H866" t="str">
        <f>IFERROR(VLOOKUP(E866,DC_Xref!A:B,2,FALSE),"")</f>
        <v/>
      </c>
      <c r="I866">
        <f t="shared" si="41"/>
        <v>0</v>
      </c>
    </row>
    <row r="867" spans="1:9" x14ac:dyDescent="0.3">
      <c r="A867" t="str">
        <f t="shared" si="39"/>
        <v>-</v>
      </c>
      <c r="B867" t="str">
        <f t="shared" si="40"/>
        <v>0-</v>
      </c>
      <c r="H867" t="str">
        <f>IFERROR(VLOOKUP(E867,DC_Xref!A:B,2,FALSE),"")</f>
        <v/>
      </c>
      <c r="I867">
        <f t="shared" si="41"/>
        <v>0</v>
      </c>
    </row>
    <row r="868" spans="1:9" x14ac:dyDescent="0.3">
      <c r="A868" t="str">
        <f t="shared" si="39"/>
        <v>-</v>
      </c>
      <c r="B868" t="str">
        <f t="shared" si="40"/>
        <v>0-</v>
      </c>
      <c r="H868" t="str">
        <f>IFERROR(VLOOKUP(E868,DC_Xref!A:B,2,FALSE),"")</f>
        <v/>
      </c>
      <c r="I868">
        <f t="shared" si="41"/>
        <v>0</v>
      </c>
    </row>
    <row r="869" spans="1:9" x14ac:dyDescent="0.3">
      <c r="A869" t="str">
        <f t="shared" si="39"/>
        <v>-</v>
      </c>
      <c r="B869" t="str">
        <f t="shared" si="40"/>
        <v>0-</v>
      </c>
      <c r="H869" t="str">
        <f>IFERROR(VLOOKUP(E869,DC_Xref!A:B,2,FALSE),"")</f>
        <v/>
      </c>
      <c r="I869">
        <f t="shared" si="41"/>
        <v>0</v>
      </c>
    </row>
    <row r="870" spans="1:9" x14ac:dyDescent="0.3">
      <c r="A870" t="str">
        <f t="shared" si="39"/>
        <v>-</v>
      </c>
      <c r="B870" t="str">
        <f t="shared" si="40"/>
        <v>0-</v>
      </c>
      <c r="H870" t="str">
        <f>IFERROR(VLOOKUP(E870,DC_Xref!A:B,2,FALSE),"")</f>
        <v/>
      </c>
      <c r="I870">
        <f t="shared" si="41"/>
        <v>0</v>
      </c>
    </row>
    <row r="871" spans="1:9" x14ac:dyDescent="0.3">
      <c r="A871" t="str">
        <f t="shared" si="39"/>
        <v>-</v>
      </c>
      <c r="B871" t="str">
        <f t="shared" si="40"/>
        <v>0-</v>
      </c>
      <c r="H871" t="str">
        <f>IFERROR(VLOOKUP(E871,DC_Xref!A:B,2,FALSE),"")</f>
        <v/>
      </c>
      <c r="I871">
        <f t="shared" si="41"/>
        <v>0</v>
      </c>
    </row>
    <row r="872" spans="1:9" x14ac:dyDescent="0.3">
      <c r="A872" t="str">
        <f t="shared" si="39"/>
        <v>-</v>
      </c>
      <c r="B872" t="str">
        <f t="shared" si="40"/>
        <v>0-</v>
      </c>
      <c r="H872" t="str">
        <f>IFERROR(VLOOKUP(E872,DC_Xref!A:B,2,FALSE),"")</f>
        <v/>
      </c>
      <c r="I872">
        <f t="shared" si="41"/>
        <v>0</v>
      </c>
    </row>
    <row r="873" spans="1:9" x14ac:dyDescent="0.3">
      <c r="A873" t="str">
        <f t="shared" si="39"/>
        <v>-</v>
      </c>
      <c r="B873" t="str">
        <f t="shared" si="40"/>
        <v>0-</v>
      </c>
      <c r="H873" t="str">
        <f>IFERROR(VLOOKUP(E873,DC_Xref!A:B,2,FALSE),"")</f>
        <v/>
      </c>
      <c r="I873">
        <f t="shared" si="41"/>
        <v>0</v>
      </c>
    </row>
    <row r="874" spans="1:9" x14ac:dyDescent="0.3">
      <c r="A874" t="str">
        <f t="shared" si="39"/>
        <v>-</v>
      </c>
      <c r="B874" t="str">
        <f t="shared" si="40"/>
        <v>0-</v>
      </c>
      <c r="H874" t="str">
        <f>IFERROR(VLOOKUP(E874,DC_Xref!A:B,2,FALSE),"")</f>
        <v/>
      </c>
      <c r="I874">
        <f t="shared" si="41"/>
        <v>0</v>
      </c>
    </row>
    <row r="875" spans="1:9" x14ac:dyDescent="0.3">
      <c r="A875" t="str">
        <f t="shared" si="39"/>
        <v>-</v>
      </c>
      <c r="B875" t="str">
        <f t="shared" si="40"/>
        <v>0-</v>
      </c>
      <c r="H875" t="str">
        <f>IFERROR(VLOOKUP(E875,DC_Xref!A:B,2,FALSE),"")</f>
        <v/>
      </c>
      <c r="I875">
        <f t="shared" si="41"/>
        <v>0</v>
      </c>
    </row>
    <row r="876" spans="1:9" x14ac:dyDescent="0.3">
      <c r="A876" t="str">
        <f t="shared" si="39"/>
        <v>-</v>
      </c>
      <c r="B876" t="str">
        <f t="shared" si="40"/>
        <v>0-</v>
      </c>
      <c r="H876" t="str">
        <f>IFERROR(VLOOKUP(E876,DC_Xref!A:B,2,FALSE),"")</f>
        <v/>
      </c>
      <c r="I876">
        <f t="shared" si="41"/>
        <v>0</v>
      </c>
    </row>
    <row r="877" spans="1:9" x14ac:dyDescent="0.3">
      <c r="A877" t="str">
        <f t="shared" si="39"/>
        <v>-</v>
      </c>
      <c r="B877" t="str">
        <f t="shared" si="40"/>
        <v>0-</v>
      </c>
      <c r="H877" t="str">
        <f>IFERROR(VLOOKUP(E877,DC_Xref!A:B,2,FALSE),"")</f>
        <v/>
      </c>
      <c r="I877">
        <f t="shared" si="41"/>
        <v>0</v>
      </c>
    </row>
    <row r="878" spans="1:9" x14ac:dyDescent="0.3">
      <c r="A878" t="str">
        <f t="shared" si="39"/>
        <v>-</v>
      </c>
      <c r="B878" t="str">
        <f t="shared" si="40"/>
        <v>0-</v>
      </c>
      <c r="H878" t="str">
        <f>IFERROR(VLOOKUP(E878,DC_Xref!A:B,2,FALSE),"")</f>
        <v/>
      </c>
      <c r="I878">
        <f t="shared" si="41"/>
        <v>0</v>
      </c>
    </row>
    <row r="879" spans="1:9" x14ac:dyDescent="0.3">
      <c r="A879" t="str">
        <f t="shared" si="39"/>
        <v>-</v>
      </c>
      <c r="B879" t="str">
        <f t="shared" si="40"/>
        <v>0-</v>
      </c>
      <c r="H879" t="str">
        <f>IFERROR(VLOOKUP(E879,DC_Xref!A:B,2,FALSE),"")</f>
        <v/>
      </c>
      <c r="I879">
        <f t="shared" si="41"/>
        <v>0</v>
      </c>
    </row>
    <row r="880" spans="1:9" x14ac:dyDescent="0.3">
      <c r="A880" t="str">
        <f t="shared" si="39"/>
        <v>-</v>
      </c>
      <c r="B880" t="str">
        <f t="shared" si="40"/>
        <v>0-</v>
      </c>
      <c r="H880" t="str">
        <f>IFERROR(VLOOKUP(E880,DC_Xref!A:B,2,FALSE),"")</f>
        <v/>
      </c>
      <c r="I880">
        <f t="shared" si="41"/>
        <v>0</v>
      </c>
    </row>
    <row r="881" spans="1:9" x14ac:dyDescent="0.3">
      <c r="A881" t="str">
        <f t="shared" si="39"/>
        <v>-</v>
      </c>
      <c r="B881" t="str">
        <f t="shared" si="40"/>
        <v>0-</v>
      </c>
      <c r="H881" t="str">
        <f>IFERROR(VLOOKUP(E881,DC_Xref!A:B,2,FALSE),"")</f>
        <v/>
      </c>
      <c r="I881">
        <f t="shared" si="41"/>
        <v>0</v>
      </c>
    </row>
    <row r="882" spans="1:9" x14ac:dyDescent="0.3">
      <c r="A882" t="str">
        <f t="shared" si="39"/>
        <v>-</v>
      </c>
      <c r="B882" t="str">
        <f t="shared" si="40"/>
        <v>0-</v>
      </c>
      <c r="H882" t="str">
        <f>IFERROR(VLOOKUP(E882,DC_Xref!A:B,2,FALSE),"")</f>
        <v/>
      </c>
      <c r="I882">
        <f t="shared" si="41"/>
        <v>0</v>
      </c>
    </row>
    <row r="883" spans="1:9" x14ac:dyDescent="0.3">
      <c r="A883" t="str">
        <f t="shared" si="39"/>
        <v>-</v>
      </c>
      <c r="B883" t="str">
        <f t="shared" si="40"/>
        <v>0-</v>
      </c>
      <c r="H883" t="str">
        <f>IFERROR(VLOOKUP(E883,DC_Xref!A:B,2,FALSE),"")</f>
        <v/>
      </c>
      <c r="I883">
        <f t="shared" si="41"/>
        <v>0</v>
      </c>
    </row>
    <row r="884" spans="1:9" x14ac:dyDescent="0.3">
      <c r="A884" t="str">
        <f t="shared" si="39"/>
        <v>-</v>
      </c>
      <c r="B884" t="str">
        <f t="shared" si="40"/>
        <v>0-</v>
      </c>
      <c r="H884" t="str">
        <f>IFERROR(VLOOKUP(E884,DC_Xref!A:B,2,FALSE),"")</f>
        <v/>
      </c>
      <c r="I884">
        <f t="shared" si="41"/>
        <v>0</v>
      </c>
    </row>
    <row r="885" spans="1:9" x14ac:dyDescent="0.3">
      <c r="A885" t="str">
        <f t="shared" si="39"/>
        <v>-</v>
      </c>
      <c r="B885" t="str">
        <f t="shared" si="40"/>
        <v>0-</v>
      </c>
      <c r="H885" t="str">
        <f>IFERROR(VLOOKUP(E885,DC_Xref!A:B,2,FALSE),"")</f>
        <v/>
      </c>
      <c r="I885">
        <f t="shared" si="41"/>
        <v>0</v>
      </c>
    </row>
    <row r="886" spans="1:9" x14ac:dyDescent="0.3">
      <c r="A886" t="str">
        <f t="shared" si="39"/>
        <v>-</v>
      </c>
      <c r="B886" t="str">
        <f t="shared" si="40"/>
        <v>0-</v>
      </c>
      <c r="H886" t="str">
        <f>IFERROR(VLOOKUP(E886,DC_Xref!A:B,2,FALSE),"")</f>
        <v/>
      </c>
      <c r="I886">
        <f t="shared" si="41"/>
        <v>0</v>
      </c>
    </row>
    <row r="887" spans="1:9" x14ac:dyDescent="0.3">
      <c r="A887" t="str">
        <f t="shared" si="39"/>
        <v>-</v>
      </c>
      <c r="B887" t="str">
        <f t="shared" si="40"/>
        <v>0-</v>
      </c>
      <c r="H887" t="str">
        <f>IFERROR(VLOOKUP(E887,DC_Xref!A:B,2,FALSE),"")</f>
        <v/>
      </c>
      <c r="I887">
        <f t="shared" si="41"/>
        <v>0</v>
      </c>
    </row>
    <row r="888" spans="1:9" x14ac:dyDescent="0.3">
      <c r="A888" t="str">
        <f t="shared" si="39"/>
        <v>-</v>
      </c>
      <c r="B888" t="str">
        <f t="shared" si="40"/>
        <v>0-</v>
      </c>
      <c r="H888" t="str">
        <f>IFERROR(VLOOKUP(E888,DC_Xref!A:B,2,FALSE),"")</f>
        <v/>
      </c>
      <c r="I888">
        <f t="shared" si="41"/>
        <v>0</v>
      </c>
    </row>
    <row r="889" spans="1:9" x14ac:dyDescent="0.3">
      <c r="A889" t="str">
        <f t="shared" si="39"/>
        <v>-</v>
      </c>
      <c r="B889" t="str">
        <f t="shared" si="40"/>
        <v>0-</v>
      </c>
      <c r="H889" t="str">
        <f>IFERROR(VLOOKUP(E889,DC_Xref!A:B,2,FALSE),"")</f>
        <v/>
      </c>
      <c r="I889">
        <f t="shared" si="41"/>
        <v>0</v>
      </c>
    </row>
    <row r="890" spans="1:9" x14ac:dyDescent="0.3">
      <c r="A890" t="str">
        <f t="shared" si="39"/>
        <v>-</v>
      </c>
      <c r="B890" t="str">
        <f t="shared" si="40"/>
        <v>0-</v>
      </c>
      <c r="H890" t="str">
        <f>IFERROR(VLOOKUP(E890,DC_Xref!A:B,2,FALSE),"")</f>
        <v/>
      </c>
      <c r="I890">
        <f t="shared" si="41"/>
        <v>0</v>
      </c>
    </row>
    <row r="891" spans="1:9" x14ac:dyDescent="0.3">
      <c r="A891" t="str">
        <f t="shared" si="39"/>
        <v>-</v>
      </c>
      <c r="B891" t="str">
        <f t="shared" si="40"/>
        <v>0-</v>
      </c>
      <c r="H891" t="str">
        <f>IFERROR(VLOOKUP(E891,DC_Xref!A:B,2,FALSE),"")</f>
        <v/>
      </c>
      <c r="I891">
        <f t="shared" si="41"/>
        <v>0</v>
      </c>
    </row>
    <row r="892" spans="1:9" x14ac:dyDescent="0.3">
      <c r="A892" t="str">
        <f t="shared" si="39"/>
        <v>-</v>
      </c>
      <c r="B892" t="str">
        <f t="shared" si="40"/>
        <v>0-</v>
      </c>
      <c r="H892" t="str">
        <f>IFERROR(VLOOKUP(E892,DC_Xref!A:B,2,FALSE),"")</f>
        <v/>
      </c>
      <c r="I892">
        <f t="shared" si="41"/>
        <v>0</v>
      </c>
    </row>
    <row r="893" spans="1:9" x14ac:dyDescent="0.3">
      <c r="A893" t="str">
        <f t="shared" si="39"/>
        <v>-</v>
      </c>
      <c r="B893" t="str">
        <f t="shared" si="40"/>
        <v>0-</v>
      </c>
      <c r="H893" t="str">
        <f>IFERROR(VLOOKUP(E893,DC_Xref!A:B,2,FALSE),"")</f>
        <v/>
      </c>
      <c r="I893">
        <f t="shared" si="41"/>
        <v>0</v>
      </c>
    </row>
    <row r="894" spans="1:9" x14ac:dyDescent="0.3">
      <c r="A894" t="str">
        <f t="shared" si="39"/>
        <v>-</v>
      </c>
      <c r="B894" t="str">
        <f t="shared" si="40"/>
        <v>0-</v>
      </c>
      <c r="H894" t="str">
        <f>IFERROR(VLOOKUP(E894,DC_Xref!A:B,2,FALSE),"")</f>
        <v/>
      </c>
      <c r="I894">
        <f t="shared" si="41"/>
        <v>0</v>
      </c>
    </row>
    <row r="895" spans="1:9" x14ac:dyDescent="0.3">
      <c r="A895" t="str">
        <f t="shared" si="39"/>
        <v>-</v>
      </c>
      <c r="B895" t="str">
        <f t="shared" si="40"/>
        <v>0-</v>
      </c>
      <c r="H895" t="str">
        <f>IFERROR(VLOOKUP(E895,DC_Xref!A:B,2,FALSE),"")</f>
        <v/>
      </c>
      <c r="I895">
        <f t="shared" si="41"/>
        <v>0</v>
      </c>
    </row>
    <row r="896" spans="1:9" x14ac:dyDescent="0.3">
      <c r="A896" t="str">
        <f t="shared" si="39"/>
        <v>-</v>
      </c>
      <c r="B896" t="str">
        <f t="shared" si="40"/>
        <v>0-</v>
      </c>
      <c r="H896" t="str">
        <f>IFERROR(VLOOKUP(E896,DC_Xref!A:B,2,FALSE),"")</f>
        <v/>
      </c>
      <c r="I896">
        <f t="shared" si="41"/>
        <v>0</v>
      </c>
    </row>
    <row r="897" spans="1:9" x14ac:dyDescent="0.3">
      <c r="A897" t="str">
        <f t="shared" si="39"/>
        <v>-</v>
      </c>
      <c r="B897" t="str">
        <f t="shared" si="40"/>
        <v>0-</v>
      </c>
      <c r="H897" t="str">
        <f>IFERROR(VLOOKUP(E897,DC_Xref!A:B,2,FALSE),"")</f>
        <v/>
      </c>
      <c r="I897">
        <f t="shared" si="41"/>
        <v>0</v>
      </c>
    </row>
    <row r="898" spans="1:9" x14ac:dyDescent="0.3">
      <c r="A898" t="str">
        <f t="shared" ref="A898:A961" si="42">C898&amp;"-"&amp;F898</f>
        <v>-</v>
      </c>
      <c r="B898" t="str">
        <f t="shared" ref="B898:B961" si="43">I898&amp;"-"&amp;H898</f>
        <v>0-</v>
      </c>
      <c r="H898" t="str">
        <f>IFERROR(VLOOKUP(E898,DC_Xref!A:B,2,FALSE),"")</f>
        <v/>
      </c>
      <c r="I898">
        <f t="shared" ref="I898:I961" si="44">C898*100+D898</f>
        <v>0</v>
      </c>
    </row>
    <row r="899" spans="1:9" x14ac:dyDescent="0.3">
      <c r="A899" t="str">
        <f t="shared" si="42"/>
        <v>-</v>
      </c>
      <c r="B899" t="str">
        <f t="shared" si="43"/>
        <v>0-</v>
      </c>
      <c r="H899" t="str">
        <f>IFERROR(VLOOKUP(E899,DC_Xref!A:B,2,FALSE),"")</f>
        <v/>
      </c>
      <c r="I899">
        <f t="shared" si="44"/>
        <v>0</v>
      </c>
    </row>
    <row r="900" spans="1:9" x14ac:dyDescent="0.3">
      <c r="A900" t="str">
        <f t="shared" si="42"/>
        <v>-</v>
      </c>
      <c r="B900" t="str">
        <f t="shared" si="43"/>
        <v>0-</v>
      </c>
      <c r="H900" t="str">
        <f>IFERROR(VLOOKUP(E900,DC_Xref!A:B,2,FALSE),"")</f>
        <v/>
      </c>
      <c r="I900">
        <f t="shared" si="44"/>
        <v>0</v>
      </c>
    </row>
    <row r="901" spans="1:9" x14ac:dyDescent="0.3">
      <c r="A901" t="str">
        <f t="shared" si="42"/>
        <v>-</v>
      </c>
      <c r="B901" t="str">
        <f t="shared" si="43"/>
        <v>0-</v>
      </c>
      <c r="H901" t="str">
        <f>IFERROR(VLOOKUP(E901,DC_Xref!A:B,2,FALSE),"")</f>
        <v/>
      </c>
      <c r="I901">
        <f t="shared" si="44"/>
        <v>0</v>
      </c>
    </row>
    <row r="902" spans="1:9" x14ac:dyDescent="0.3">
      <c r="A902" t="str">
        <f t="shared" si="42"/>
        <v>-</v>
      </c>
      <c r="B902" t="str">
        <f t="shared" si="43"/>
        <v>0-</v>
      </c>
      <c r="H902" t="str">
        <f>IFERROR(VLOOKUP(E902,DC_Xref!A:B,2,FALSE),"")</f>
        <v/>
      </c>
      <c r="I902">
        <f t="shared" si="44"/>
        <v>0</v>
      </c>
    </row>
    <row r="903" spans="1:9" x14ac:dyDescent="0.3">
      <c r="A903" t="str">
        <f t="shared" si="42"/>
        <v>-</v>
      </c>
      <c r="B903" t="str">
        <f t="shared" si="43"/>
        <v>0-</v>
      </c>
      <c r="H903" t="str">
        <f>IFERROR(VLOOKUP(E903,DC_Xref!A:B,2,FALSE),"")</f>
        <v/>
      </c>
      <c r="I903">
        <f t="shared" si="44"/>
        <v>0</v>
      </c>
    </row>
    <row r="904" spans="1:9" x14ac:dyDescent="0.3">
      <c r="A904" t="str">
        <f t="shared" si="42"/>
        <v>-</v>
      </c>
      <c r="B904" t="str">
        <f t="shared" si="43"/>
        <v>0-</v>
      </c>
      <c r="H904" t="str">
        <f>IFERROR(VLOOKUP(E904,DC_Xref!A:B,2,FALSE),"")</f>
        <v/>
      </c>
      <c r="I904">
        <f t="shared" si="44"/>
        <v>0</v>
      </c>
    </row>
    <row r="905" spans="1:9" x14ac:dyDescent="0.3">
      <c r="A905" t="str">
        <f t="shared" si="42"/>
        <v>-</v>
      </c>
      <c r="B905" t="str">
        <f t="shared" si="43"/>
        <v>0-</v>
      </c>
      <c r="H905" t="str">
        <f>IFERROR(VLOOKUP(E905,DC_Xref!A:B,2,FALSE),"")</f>
        <v/>
      </c>
      <c r="I905">
        <f t="shared" si="44"/>
        <v>0</v>
      </c>
    </row>
    <row r="906" spans="1:9" x14ac:dyDescent="0.3">
      <c r="A906" t="str">
        <f t="shared" si="42"/>
        <v>-</v>
      </c>
      <c r="B906" t="str">
        <f t="shared" si="43"/>
        <v>0-</v>
      </c>
      <c r="H906" t="str">
        <f>IFERROR(VLOOKUP(E906,DC_Xref!A:B,2,FALSE),"")</f>
        <v/>
      </c>
      <c r="I906">
        <f t="shared" si="44"/>
        <v>0</v>
      </c>
    </row>
    <row r="907" spans="1:9" x14ac:dyDescent="0.3">
      <c r="A907" t="str">
        <f t="shared" si="42"/>
        <v>-</v>
      </c>
      <c r="B907" t="str">
        <f t="shared" si="43"/>
        <v>0-</v>
      </c>
      <c r="H907" t="str">
        <f>IFERROR(VLOOKUP(E907,DC_Xref!A:B,2,FALSE),"")</f>
        <v/>
      </c>
      <c r="I907">
        <f t="shared" si="44"/>
        <v>0</v>
      </c>
    </row>
    <row r="908" spans="1:9" x14ac:dyDescent="0.3">
      <c r="A908" t="str">
        <f t="shared" si="42"/>
        <v>-</v>
      </c>
      <c r="B908" t="str">
        <f t="shared" si="43"/>
        <v>0-</v>
      </c>
      <c r="H908" t="str">
        <f>IFERROR(VLOOKUP(E908,DC_Xref!A:B,2,FALSE),"")</f>
        <v/>
      </c>
      <c r="I908">
        <f t="shared" si="44"/>
        <v>0</v>
      </c>
    </row>
    <row r="909" spans="1:9" x14ac:dyDescent="0.3">
      <c r="A909" t="str">
        <f t="shared" si="42"/>
        <v>-</v>
      </c>
      <c r="B909" t="str">
        <f t="shared" si="43"/>
        <v>0-</v>
      </c>
      <c r="H909" t="str">
        <f>IFERROR(VLOOKUP(E909,DC_Xref!A:B,2,FALSE),"")</f>
        <v/>
      </c>
      <c r="I909">
        <f t="shared" si="44"/>
        <v>0</v>
      </c>
    </row>
    <row r="910" spans="1:9" x14ac:dyDescent="0.3">
      <c r="A910" t="str">
        <f t="shared" si="42"/>
        <v>-</v>
      </c>
      <c r="B910" t="str">
        <f t="shared" si="43"/>
        <v>0-</v>
      </c>
      <c r="H910" t="str">
        <f>IFERROR(VLOOKUP(E910,DC_Xref!A:B,2,FALSE),"")</f>
        <v/>
      </c>
      <c r="I910">
        <f t="shared" si="44"/>
        <v>0</v>
      </c>
    </row>
    <row r="911" spans="1:9" x14ac:dyDescent="0.3">
      <c r="A911" t="str">
        <f t="shared" si="42"/>
        <v>-</v>
      </c>
      <c r="B911" t="str">
        <f t="shared" si="43"/>
        <v>0-</v>
      </c>
      <c r="H911" t="str">
        <f>IFERROR(VLOOKUP(E911,DC_Xref!A:B,2,FALSE),"")</f>
        <v/>
      </c>
      <c r="I911">
        <f t="shared" si="44"/>
        <v>0</v>
      </c>
    </row>
    <row r="912" spans="1:9" x14ac:dyDescent="0.3">
      <c r="A912" t="str">
        <f t="shared" si="42"/>
        <v>-</v>
      </c>
      <c r="B912" t="str">
        <f t="shared" si="43"/>
        <v>0-</v>
      </c>
      <c r="H912" t="str">
        <f>IFERROR(VLOOKUP(E912,DC_Xref!A:B,2,FALSE),"")</f>
        <v/>
      </c>
      <c r="I912">
        <f t="shared" si="44"/>
        <v>0</v>
      </c>
    </row>
    <row r="913" spans="1:9" x14ac:dyDescent="0.3">
      <c r="A913" t="str">
        <f t="shared" si="42"/>
        <v>-</v>
      </c>
      <c r="B913" t="str">
        <f t="shared" si="43"/>
        <v>0-</v>
      </c>
      <c r="H913" t="str">
        <f>IFERROR(VLOOKUP(E913,DC_Xref!A:B,2,FALSE),"")</f>
        <v/>
      </c>
      <c r="I913">
        <f t="shared" si="44"/>
        <v>0</v>
      </c>
    </row>
    <row r="914" spans="1:9" x14ac:dyDescent="0.3">
      <c r="A914" t="str">
        <f t="shared" si="42"/>
        <v>-</v>
      </c>
      <c r="B914" t="str">
        <f t="shared" si="43"/>
        <v>0-</v>
      </c>
      <c r="H914" t="str">
        <f>IFERROR(VLOOKUP(E914,DC_Xref!A:B,2,FALSE),"")</f>
        <v/>
      </c>
      <c r="I914">
        <f t="shared" si="44"/>
        <v>0</v>
      </c>
    </row>
    <row r="915" spans="1:9" x14ac:dyDescent="0.3">
      <c r="A915" t="str">
        <f t="shared" si="42"/>
        <v>-</v>
      </c>
      <c r="B915" t="str">
        <f t="shared" si="43"/>
        <v>0-</v>
      </c>
      <c r="H915" t="str">
        <f>IFERROR(VLOOKUP(E915,DC_Xref!A:B,2,FALSE),"")</f>
        <v/>
      </c>
      <c r="I915">
        <f t="shared" si="44"/>
        <v>0</v>
      </c>
    </row>
    <row r="916" spans="1:9" x14ac:dyDescent="0.3">
      <c r="A916" t="str">
        <f t="shared" si="42"/>
        <v>-</v>
      </c>
      <c r="B916" t="str">
        <f t="shared" si="43"/>
        <v>0-</v>
      </c>
      <c r="H916" t="str">
        <f>IFERROR(VLOOKUP(E916,DC_Xref!A:B,2,FALSE),"")</f>
        <v/>
      </c>
      <c r="I916">
        <f t="shared" si="44"/>
        <v>0</v>
      </c>
    </row>
    <row r="917" spans="1:9" x14ac:dyDescent="0.3">
      <c r="A917" t="str">
        <f t="shared" si="42"/>
        <v>-</v>
      </c>
      <c r="B917" t="str">
        <f t="shared" si="43"/>
        <v>0-</v>
      </c>
      <c r="H917" t="str">
        <f>IFERROR(VLOOKUP(E917,DC_Xref!A:B,2,FALSE),"")</f>
        <v/>
      </c>
      <c r="I917">
        <f t="shared" si="44"/>
        <v>0</v>
      </c>
    </row>
    <row r="918" spans="1:9" x14ac:dyDescent="0.3">
      <c r="A918" t="str">
        <f t="shared" si="42"/>
        <v>-</v>
      </c>
      <c r="B918" t="str">
        <f t="shared" si="43"/>
        <v>0-</v>
      </c>
      <c r="H918" t="str">
        <f>IFERROR(VLOOKUP(E918,DC_Xref!A:B,2,FALSE),"")</f>
        <v/>
      </c>
      <c r="I918">
        <f t="shared" si="44"/>
        <v>0</v>
      </c>
    </row>
    <row r="919" spans="1:9" x14ac:dyDescent="0.3">
      <c r="A919" t="str">
        <f t="shared" si="42"/>
        <v>-</v>
      </c>
      <c r="B919" t="str">
        <f t="shared" si="43"/>
        <v>0-</v>
      </c>
      <c r="H919" t="str">
        <f>IFERROR(VLOOKUP(E919,DC_Xref!A:B,2,FALSE),"")</f>
        <v/>
      </c>
      <c r="I919">
        <f t="shared" si="44"/>
        <v>0</v>
      </c>
    </row>
    <row r="920" spans="1:9" x14ac:dyDescent="0.3">
      <c r="A920" t="str">
        <f t="shared" si="42"/>
        <v>-</v>
      </c>
      <c r="B920" t="str">
        <f t="shared" si="43"/>
        <v>0-</v>
      </c>
      <c r="H920" t="str">
        <f>IFERROR(VLOOKUP(E920,DC_Xref!A:B,2,FALSE),"")</f>
        <v/>
      </c>
      <c r="I920">
        <f t="shared" si="44"/>
        <v>0</v>
      </c>
    </row>
    <row r="921" spans="1:9" x14ac:dyDescent="0.3">
      <c r="A921" t="str">
        <f t="shared" si="42"/>
        <v>-</v>
      </c>
      <c r="B921" t="str">
        <f t="shared" si="43"/>
        <v>0-</v>
      </c>
      <c r="H921" t="str">
        <f>IFERROR(VLOOKUP(E921,DC_Xref!A:B,2,FALSE),"")</f>
        <v/>
      </c>
      <c r="I921">
        <f t="shared" si="44"/>
        <v>0</v>
      </c>
    </row>
    <row r="922" spans="1:9" x14ac:dyDescent="0.3">
      <c r="A922" t="str">
        <f t="shared" si="42"/>
        <v>-</v>
      </c>
      <c r="B922" t="str">
        <f t="shared" si="43"/>
        <v>0-</v>
      </c>
      <c r="H922" t="str">
        <f>IFERROR(VLOOKUP(E922,DC_Xref!A:B,2,FALSE),"")</f>
        <v/>
      </c>
      <c r="I922">
        <f t="shared" si="44"/>
        <v>0</v>
      </c>
    </row>
    <row r="923" spans="1:9" x14ac:dyDescent="0.3">
      <c r="A923" t="str">
        <f t="shared" si="42"/>
        <v>-</v>
      </c>
      <c r="B923" t="str">
        <f t="shared" si="43"/>
        <v>0-</v>
      </c>
      <c r="H923" t="str">
        <f>IFERROR(VLOOKUP(E923,DC_Xref!A:B,2,FALSE),"")</f>
        <v/>
      </c>
      <c r="I923">
        <f t="shared" si="44"/>
        <v>0</v>
      </c>
    </row>
    <row r="924" spans="1:9" x14ac:dyDescent="0.3">
      <c r="A924" t="str">
        <f t="shared" si="42"/>
        <v>-</v>
      </c>
      <c r="B924" t="str">
        <f t="shared" si="43"/>
        <v>0-</v>
      </c>
      <c r="H924" t="str">
        <f>IFERROR(VLOOKUP(E924,DC_Xref!A:B,2,FALSE),"")</f>
        <v/>
      </c>
      <c r="I924">
        <f t="shared" si="44"/>
        <v>0</v>
      </c>
    </row>
    <row r="925" spans="1:9" x14ac:dyDescent="0.3">
      <c r="A925" t="str">
        <f t="shared" si="42"/>
        <v>-</v>
      </c>
      <c r="B925" t="str">
        <f t="shared" si="43"/>
        <v>0-</v>
      </c>
      <c r="H925" t="str">
        <f>IFERROR(VLOOKUP(E925,DC_Xref!A:B,2,FALSE),"")</f>
        <v/>
      </c>
      <c r="I925">
        <f t="shared" si="44"/>
        <v>0</v>
      </c>
    </row>
    <row r="926" spans="1:9" x14ac:dyDescent="0.3">
      <c r="A926" t="str">
        <f t="shared" si="42"/>
        <v>-</v>
      </c>
      <c r="B926" t="str">
        <f t="shared" si="43"/>
        <v>0-</v>
      </c>
      <c r="H926" t="str">
        <f>IFERROR(VLOOKUP(E926,DC_Xref!A:B,2,FALSE),"")</f>
        <v/>
      </c>
      <c r="I926">
        <f t="shared" si="44"/>
        <v>0</v>
      </c>
    </row>
    <row r="927" spans="1:9" x14ac:dyDescent="0.3">
      <c r="A927" t="str">
        <f t="shared" si="42"/>
        <v>-</v>
      </c>
      <c r="B927" t="str">
        <f t="shared" si="43"/>
        <v>0-</v>
      </c>
      <c r="H927" t="str">
        <f>IFERROR(VLOOKUP(E927,DC_Xref!A:B,2,FALSE),"")</f>
        <v/>
      </c>
      <c r="I927">
        <f t="shared" si="44"/>
        <v>0</v>
      </c>
    </row>
    <row r="928" spans="1:9" x14ac:dyDescent="0.3">
      <c r="A928" t="str">
        <f t="shared" si="42"/>
        <v>-</v>
      </c>
      <c r="B928" t="str">
        <f t="shared" si="43"/>
        <v>0-</v>
      </c>
      <c r="H928" t="str">
        <f>IFERROR(VLOOKUP(E928,DC_Xref!A:B,2,FALSE),"")</f>
        <v/>
      </c>
      <c r="I928">
        <f t="shared" si="44"/>
        <v>0</v>
      </c>
    </row>
    <row r="929" spans="1:9" x14ac:dyDescent="0.3">
      <c r="A929" t="str">
        <f t="shared" si="42"/>
        <v>-</v>
      </c>
      <c r="B929" t="str">
        <f t="shared" si="43"/>
        <v>0-</v>
      </c>
      <c r="H929" t="str">
        <f>IFERROR(VLOOKUP(E929,DC_Xref!A:B,2,FALSE),"")</f>
        <v/>
      </c>
      <c r="I929">
        <f t="shared" si="44"/>
        <v>0</v>
      </c>
    </row>
    <row r="930" spans="1:9" x14ac:dyDescent="0.3">
      <c r="A930" t="str">
        <f t="shared" si="42"/>
        <v>-</v>
      </c>
      <c r="B930" t="str">
        <f t="shared" si="43"/>
        <v>0-</v>
      </c>
      <c r="H930" t="str">
        <f>IFERROR(VLOOKUP(E930,DC_Xref!A:B,2,FALSE),"")</f>
        <v/>
      </c>
      <c r="I930">
        <f t="shared" si="44"/>
        <v>0</v>
      </c>
    </row>
    <row r="931" spans="1:9" x14ac:dyDescent="0.3">
      <c r="A931" t="str">
        <f t="shared" si="42"/>
        <v>-</v>
      </c>
      <c r="B931" t="str">
        <f t="shared" si="43"/>
        <v>0-</v>
      </c>
      <c r="H931" t="str">
        <f>IFERROR(VLOOKUP(E931,DC_Xref!A:B,2,FALSE),"")</f>
        <v/>
      </c>
      <c r="I931">
        <f t="shared" si="44"/>
        <v>0</v>
      </c>
    </row>
    <row r="932" spans="1:9" x14ac:dyDescent="0.3">
      <c r="A932" t="str">
        <f t="shared" si="42"/>
        <v>-</v>
      </c>
      <c r="B932" t="str">
        <f t="shared" si="43"/>
        <v>0-</v>
      </c>
      <c r="H932" t="str">
        <f>IFERROR(VLOOKUP(E932,DC_Xref!A:B,2,FALSE),"")</f>
        <v/>
      </c>
      <c r="I932">
        <f t="shared" si="44"/>
        <v>0</v>
      </c>
    </row>
    <row r="933" spans="1:9" x14ac:dyDescent="0.3">
      <c r="A933" t="str">
        <f t="shared" si="42"/>
        <v>-</v>
      </c>
      <c r="B933" t="str">
        <f t="shared" si="43"/>
        <v>0-</v>
      </c>
      <c r="H933" t="str">
        <f>IFERROR(VLOOKUP(E933,DC_Xref!A:B,2,FALSE),"")</f>
        <v/>
      </c>
      <c r="I933">
        <f t="shared" si="44"/>
        <v>0</v>
      </c>
    </row>
    <row r="934" spans="1:9" x14ac:dyDescent="0.3">
      <c r="A934" t="str">
        <f t="shared" si="42"/>
        <v>-</v>
      </c>
      <c r="B934" t="str">
        <f t="shared" si="43"/>
        <v>0-</v>
      </c>
      <c r="H934" t="str">
        <f>IFERROR(VLOOKUP(E934,DC_Xref!A:B,2,FALSE),"")</f>
        <v/>
      </c>
      <c r="I934">
        <f t="shared" si="44"/>
        <v>0</v>
      </c>
    </row>
    <row r="935" spans="1:9" x14ac:dyDescent="0.3">
      <c r="A935" t="str">
        <f t="shared" si="42"/>
        <v>-</v>
      </c>
      <c r="B935" t="str">
        <f t="shared" si="43"/>
        <v>0-</v>
      </c>
      <c r="H935" t="str">
        <f>IFERROR(VLOOKUP(E935,DC_Xref!A:B,2,FALSE),"")</f>
        <v/>
      </c>
      <c r="I935">
        <f t="shared" si="44"/>
        <v>0</v>
      </c>
    </row>
    <row r="936" spans="1:9" x14ac:dyDescent="0.3">
      <c r="A936" t="str">
        <f t="shared" si="42"/>
        <v>-</v>
      </c>
      <c r="B936" t="str">
        <f t="shared" si="43"/>
        <v>0-</v>
      </c>
      <c r="H936" t="str">
        <f>IFERROR(VLOOKUP(E936,DC_Xref!A:B,2,FALSE),"")</f>
        <v/>
      </c>
      <c r="I936">
        <f t="shared" si="44"/>
        <v>0</v>
      </c>
    </row>
    <row r="937" spans="1:9" x14ac:dyDescent="0.3">
      <c r="A937" t="str">
        <f t="shared" si="42"/>
        <v>-</v>
      </c>
      <c r="B937" t="str">
        <f t="shared" si="43"/>
        <v>0-</v>
      </c>
      <c r="H937" t="str">
        <f>IFERROR(VLOOKUP(E937,DC_Xref!A:B,2,FALSE),"")</f>
        <v/>
      </c>
      <c r="I937">
        <f t="shared" si="44"/>
        <v>0</v>
      </c>
    </row>
    <row r="938" spans="1:9" x14ac:dyDescent="0.3">
      <c r="A938" t="str">
        <f t="shared" si="42"/>
        <v>-</v>
      </c>
      <c r="B938" t="str">
        <f t="shared" si="43"/>
        <v>0-</v>
      </c>
      <c r="H938" t="str">
        <f>IFERROR(VLOOKUP(E938,DC_Xref!A:B,2,FALSE),"")</f>
        <v/>
      </c>
      <c r="I938">
        <f t="shared" si="44"/>
        <v>0</v>
      </c>
    </row>
    <row r="939" spans="1:9" x14ac:dyDescent="0.3">
      <c r="A939" t="str">
        <f t="shared" si="42"/>
        <v>-</v>
      </c>
      <c r="B939" t="str">
        <f t="shared" si="43"/>
        <v>0-</v>
      </c>
      <c r="H939" t="str">
        <f>IFERROR(VLOOKUP(E939,DC_Xref!A:B,2,FALSE),"")</f>
        <v/>
      </c>
      <c r="I939">
        <f t="shared" si="44"/>
        <v>0</v>
      </c>
    </row>
    <row r="940" spans="1:9" x14ac:dyDescent="0.3">
      <c r="A940" t="str">
        <f t="shared" si="42"/>
        <v>-</v>
      </c>
      <c r="B940" t="str">
        <f t="shared" si="43"/>
        <v>0-</v>
      </c>
      <c r="H940" t="str">
        <f>IFERROR(VLOOKUP(E940,DC_Xref!A:B,2,FALSE),"")</f>
        <v/>
      </c>
      <c r="I940">
        <f t="shared" si="44"/>
        <v>0</v>
      </c>
    </row>
    <row r="941" spans="1:9" x14ac:dyDescent="0.3">
      <c r="A941" t="str">
        <f t="shared" si="42"/>
        <v>-</v>
      </c>
      <c r="B941" t="str">
        <f t="shared" si="43"/>
        <v>0-</v>
      </c>
      <c r="H941" t="str">
        <f>IFERROR(VLOOKUP(E941,DC_Xref!A:B,2,FALSE),"")</f>
        <v/>
      </c>
      <c r="I941">
        <f t="shared" si="44"/>
        <v>0</v>
      </c>
    </row>
    <row r="942" spans="1:9" x14ac:dyDescent="0.3">
      <c r="A942" t="str">
        <f t="shared" si="42"/>
        <v>-</v>
      </c>
      <c r="B942" t="str">
        <f t="shared" si="43"/>
        <v>0-</v>
      </c>
      <c r="H942" t="str">
        <f>IFERROR(VLOOKUP(E942,DC_Xref!A:B,2,FALSE),"")</f>
        <v/>
      </c>
      <c r="I942">
        <f t="shared" si="44"/>
        <v>0</v>
      </c>
    </row>
    <row r="943" spans="1:9" x14ac:dyDescent="0.3">
      <c r="A943" t="str">
        <f t="shared" si="42"/>
        <v>-</v>
      </c>
      <c r="B943" t="str">
        <f t="shared" si="43"/>
        <v>0-</v>
      </c>
      <c r="H943" t="str">
        <f>IFERROR(VLOOKUP(E943,DC_Xref!A:B,2,FALSE),"")</f>
        <v/>
      </c>
      <c r="I943">
        <f t="shared" si="44"/>
        <v>0</v>
      </c>
    </row>
    <row r="944" spans="1:9" x14ac:dyDescent="0.3">
      <c r="A944" t="str">
        <f t="shared" si="42"/>
        <v>-</v>
      </c>
      <c r="B944" t="str">
        <f t="shared" si="43"/>
        <v>0-</v>
      </c>
      <c r="H944" t="str">
        <f>IFERROR(VLOOKUP(E944,DC_Xref!A:B,2,FALSE),"")</f>
        <v/>
      </c>
      <c r="I944">
        <f t="shared" si="44"/>
        <v>0</v>
      </c>
    </row>
    <row r="945" spans="1:9" x14ac:dyDescent="0.3">
      <c r="A945" t="str">
        <f t="shared" si="42"/>
        <v>-</v>
      </c>
      <c r="B945" t="str">
        <f t="shared" si="43"/>
        <v>0-</v>
      </c>
      <c r="H945" t="str">
        <f>IFERROR(VLOOKUP(E945,DC_Xref!A:B,2,FALSE),"")</f>
        <v/>
      </c>
      <c r="I945">
        <f t="shared" si="44"/>
        <v>0</v>
      </c>
    </row>
    <row r="946" spans="1:9" x14ac:dyDescent="0.3">
      <c r="A946" t="str">
        <f t="shared" si="42"/>
        <v>-</v>
      </c>
      <c r="B946" t="str">
        <f t="shared" si="43"/>
        <v>0-</v>
      </c>
      <c r="H946" t="str">
        <f>IFERROR(VLOOKUP(E946,DC_Xref!A:B,2,FALSE),"")</f>
        <v/>
      </c>
      <c r="I946">
        <f t="shared" si="44"/>
        <v>0</v>
      </c>
    </row>
    <row r="947" spans="1:9" x14ac:dyDescent="0.3">
      <c r="A947" t="str">
        <f t="shared" si="42"/>
        <v>-</v>
      </c>
      <c r="B947" t="str">
        <f t="shared" si="43"/>
        <v>0-</v>
      </c>
      <c r="H947" t="str">
        <f>IFERROR(VLOOKUP(E947,DC_Xref!A:B,2,FALSE),"")</f>
        <v/>
      </c>
      <c r="I947">
        <f t="shared" si="44"/>
        <v>0</v>
      </c>
    </row>
    <row r="948" spans="1:9" x14ac:dyDescent="0.3">
      <c r="A948" t="str">
        <f t="shared" si="42"/>
        <v>-</v>
      </c>
      <c r="B948" t="str">
        <f t="shared" si="43"/>
        <v>0-</v>
      </c>
      <c r="H948" t="str">
        <f>IFERROR(VLOOKUP(E948,DC_Xref!A:B,2,FALSE),"")</f>
        <v/>
      </c>
      <c r="I948">
        <f t="shared" si="44"/>
        <v>0</v>
      </c>
    </row>
    <row r="949" spans="1:9" x14ac:dyDescent="0.3">
      <c r="A949" t="str">
        <f t="shared" si="42"/>
        <v>-</v>
      </c>
      <c r="B949" t="str">
        <f t="shared" si="43"/>
        <v>0-</v>
      </c>
      <c r="H949" t="str">
        <f>IFERROR(VLOOKUP(E949,DC_Xref!A:B,2,FALSE),"")</f>
        <v/>
      </c>
      <c r="I949">
        <f t="shared" si="44"/>
        <v>0</v>
      </c>
    </row>
    <row r="950" spans="1:9" x14ac:dyDescent="0.3">
      <c r="A950" t="str">
        <f t="shared" si="42"/>
        <v>-</v>
      </c>
      <c r="B950" t="str">
        <f t="shared" si="43"/>
        <v>0-</v>
      </c>
      <c r="H950" t="str">
        <f>IFERROR(VLOOKUP(E950,DC_Xref!A:B,2,FALSE),"")</f>
        <v/>
      </c>
      <c r="I950">
        <f t="shared" si="44"/>
        <v>0</v>
      </c>
    </row>
    <row r="951" spans="1:9" x14ac:dyDescent="0.3">
      <c r="A951" t="str">
        <f t="shared" si="42"/>
        <v>-</v>
      </c>
      <c r="B951" t="str">
        <f t="shared" si="43"/>
        <v>0-</v>
      </c>
      <c r="H951" t="str">
        <f>IFERROR(VLOOKUP(E951,DC_Xref!A:B,2,FALSE),"")</f>
        <v/>
      </c>
      <c r="I951">
        <f t="shared" si="44"/>
        <v>0</v>
      </c>
    </row>
    <row r="952" spans="1:9" x14ac:dyDescent="0.3">
      <c r="A952" t="str">
        <f t="shared" si="42"/>
        <v>-</v>
      </c>
      <c r="B952" t="str">
        <f t="shared" si="43"/>
        <v>0-</v>
      </c>
      <c r="H952" t="str">
        <f>IFERROR(VLOOKUP(E952,DC_Xref!A:B,2,FALSE),"")</f>
        <v/>
      </c>
      <c r="I952">
        <f t="shared" si="44"/>
        <v>0</v>
      </c>
    </row>
    <row r="953" spans="1:9" x14ac:dyDescent="0.3">
      <c r="A953" t="str">
        <f t="shared" si="42"/>
        <v>-</v>
      </c>
      <c r="B953" t="str">
        <f t="shared" si="43"/>
        <v>0-</v>
      </c>
      <c r="H953" t="str">
        <f>IFERROR(VLOOKUP(E953,DC_Xref!A:B,2,FALSE),"")</f>
        <v/>
      </c>
      <c r="I953">
        <f t="shared" si="44"/>
        <v>0</v>
      </c>
    </row>
    <row r="954" spans="1:9" x14ac:dyDescent="0.3">
      <c r="A954" t="str">
        <f t="shared" si="42"/>
        <v>-</v>
      </c>
      <c r="B954" t="str">
        <f t="shared" si="43"/>
        <v>0-</v>
      </c>
      <c r="H954" t="str">
        <f>IFERROR(VLOOKUP(E954,DC_Xref!A:B,2,FALSE),"")</f>
        <v/>
      </c>
      <c r="I954">
        <f t="shared" si="44"/>
        <v>0</v>
      </c>
    </row>
    <row r="955" spans="1:9" x14ac:dyDescent="0.3">
      <c r="A955" t="str">
        <f t="shared" si="42"/>
        <v>-</v>
      </c>
      <c r="B955" t="str">
        <f t="shared" si="43"/>
        <v>0-</v>
      </c>
      <c r="H955" t="str">
        <f>IFERROR(VLOOKUP(E955,DC_Xref!A:B,2,FALSE),"")</f>
        <v/>
      </c>
      <c r="I955">
        <f t="shared" si="44"/>
        <v>0</v>
      </c>
    </row>
    <row r="956" spans="1:9" x14ac:dyDescent="0.3">
      <c r="A956" t="str">
        <f t="shared" si="42"/>
        <v>-</v>
      </c>
      <c r="B956" t="str">
        <f t="shared" si="43"/>
        <v>0-</v>
      </c>
      <c r="H956" t="str">
        <f>IFERROR(VLOOKUP(E956,DC_Xref!A:B,2,FALSE),"")</f>
        <v/>
      </c>
      <c r="I956">
        <f t="shared" si="44"/>
        <v>0</v>
      </c>
    </row>
    <row r="957" spans="1:9" x14ac:dyDescent="0.3">
      <c r="A957" t="str">
        <f t="shared" si="42"/>
        <v>-</v>
      </c>
      <c r="B957" t="str">
        <f t="shared" si="43"/>
        <v>0-</v>
      </c>
      <c r="H957" t="str">
        <f>IFERROR(VLOOKUP(E957,DC_Xref!A:B,2,FALSE),"")</f>
        <v/>
      </c>
      <c r="I957">
        <f t="shared" si="44"/>
        <v>0</v>
      </c>
    </row>
    <row r="958" spans="1:9" x14ac:dyDescent="0.3">
      <c r="A958" t="str">
        <f t="shared" si="42"/>
        <v>-</v>
      </c>
      <c r="B958" t="str">
        <f t="shared" si="43"/>
        <v>0-</v>
      </c>
      <c r="H958" t="str">
        <f>IFERROR(VLOOKUP(E958,DC_Xref!A:B,2,FALSE),"")</f>
        <v/>
      </c>
      <c r="I958">
        <f t="shared" si="44"/>
        <v>0</v>
      </c>
    </row>
    <row r="959" spans="1:9" x14ac:dyDescent="0.3">
      <c r="A959" t="str">
        <f t="shared" si="42"/>
        <v>-</v>
      </c>
      <c r="B959" t="str">
        <f t="shared" si="43"/>
        <v>0-</v>
      </c>
      <c r="H959" t="str">
        <f>IFERROR(VLOOKUP(E959,DC_Xref!A:B,2,FALSE),"")</f>
        <v/>
      </c>
      <c r="I959">
        <f t="shared" si="44"/>
        <v>0</v>
      </c>
    </row>
    <row r="960" spans="1:9" x14ac:dyDescent="0.3">
      <c r="A960" t="str">
        <f t="shared" si="42"/>
        <v>-</v>
      </c>
      <c r="B960" t="str">
        <f t="shared" si="43"/>
        <v>0-</v>
      </c>
      <c r="H960" t="str">
        <f>IFERROR(VLOOKUP(E960,DC_Xref!A:B,2,FALSE),"")</f>
        <v/>
      </c>
      <c r="I960">
        <f t="shared" si="44"/>
        <v>0</v>
      </c>
    </row>
    <row r="961" spans="1:9" x14ac:dyDescent="0.3">
      <c r="A961" t="str">
        <f t="shared" si="42"/>
        <v>-</v>
      </c>
      <c r="B961" t="str">
        <f t="shared" si="43"/>
        <v>0-</v>
      </c>
      <c r="H961" t="str">
        <f>IFERROR(VLOOKUP(E961,DC_Xref!A:B,2,FALSE),"")</f>
        <v/>
      </c>
      <c r="I961">
        <f t="shared" si="44"/>
        <v>0</v>
      </c>
    </row>
    <row r="962" spans="1:9" x14ac:dyDescent="0.3">
      <c r="A962" t="str">
        <f t="shared" ref="A962:A1025" si="45">C962&amp;"-"&amp;F962</f>
        <v>-</v>
      </c>
      <c r="B962" t="str">
        <f t="shared" ref="B962:B1025" si="46">I962&amp;"-"&amp;H962</f>
        <v>0-</v>
      </c>
      <c r="H962" t="str">
        <f>IFERROR(VLOOKUP(E962,DC_Xref!A:B,2,FALSE),"")</f>
        <v/>
      </c>
      <c r="I962">
        <f t="shared" ref="I962:I1025" si="47">C962*100+D962</f>
        <v>0</v>
      </c>
    </row>
    <row r="963" spans="1:9" x14ac:dyDescent="0.3">
      <c r="A963" t="str">
        <f t="shared" si="45"/>
        <v>-</v>
      </c>
      <c r="B963" t="str">
        <f t="shared" si="46"/>
        <v>0-</v>
      </c>
      <c r="H963" t="str">
        <f>IFERROR(VLOOKUP(E963,DC_Xref!A:B,2,FALSE),"")</f>
        <v/>
      </c>
      <c r="I963">
        <f t="shared" si="47"/>
        <v>0</v>
      </c>
    </row>
    <row r="964" spans="1:9" x14ac:dyDescent="0.3">
      <c r="A964" t="str">
        <f t="shared" si="45"/>
        <v>-</v>
      </c>
      <c r="B964" t="str">
        <f t="shared" si="46"/>
        <v>0-</v>
      </c>
      <c r="H964" t="str">
        <f>IFERROR(VLOOKUP(E964,DC_Xref!A:B,2,FALSE),"")</f>
        <v/>
      </c>
      <c r="I964">
        <f t="shared" si="47"/>
        <v>0</v>
      </c>
    </row>
    <row r="965" spans="1:9" x14ac:dyDescent="0.3">
      <c r="A965" t="str">
        <f t="shared" si="45"/>
        <v>-</v>
      </c>
      <c r="B965" t="str">
        <f t="shared" si="46"/>
        <v>0-</v>
      </c>
      <c r="H965" t="str">
        <f>IFERROR(VLOOKUP(E965,DC_Xref!A:B,2,FALSE),"")</f>
        <v/>
      </c>
      <c r="I965">
        <f t="shared" si="47"/>
        <v>0</v>
      </c>
    </row>
    <row r="966" spans="1:9" x14ac:dyDescent="0.3">
      <c r="A966" t="str">
        <f t="shared" si="45"/>
        <v>-</v>
      </c>
      <c r="B966" t="str">
        <f t="shared" si="46"/>
        <v>0-</v>
      </c>
      <c r="H966" t="str">
        <f>IFERROR(VLOOKUP(E966,DC_Xref!A:B,2,FALSE),"")</f>
        <v/>
      </c>
      <c r="I966">
        <f t="shared" si="47"/>
        <v>0</v>
      </c>
    </row>
    <row r="967" spans="1:9" x14ac:dyDescent="0.3">
      <c r="A967" t="str">
        <f t="shared" si="45"/>
        <v>-</v>
      </c>
      <c r="B967" t="str">
        <f t="shared" si="46"/>
        <v>0-</v>
      </c>
      <c r="H967" t="str">
        <f>IFERROR(VLOOKUP(E967,DC_Xref!A:B,2,FALSE),"")</f>
        <v/>
      </c>
      <c r="I967">
        <f t="shared" si="47"/>
        <v>0</v>
      </c>
    </row>
    <row r="968" spans="1:9" x14ac:dyDescent="0.3">
      <c r="A968" t="str">
        <f t="shared" si="45"/>
        <v>-</v>
      </c>
      <c r="B968" t="str">
        <f t="shared" si="46"/>
        <v>0-</v>
      </c>
      <c r="H968" t="str">
        <f>IFERROR(VLOOKUP(E968,DC_Xref!A:B,2,FALSE),"")</f>
        <v/>
      </c>
      <c r="I968">
        <f t="shared" si="47"/>
        <v>0</v>
      </c>
    </row>
    <row r="969" spans="1:9" x14ac:dyDescent="0.3">
      <c r="A969" t="str">
        <f t="shared" si="45"/>
        <v>-</v>
      </c>
      <c r="B969" t="str">
        <f t="shared" si="46"/>
        <v>0-</v>
      </c>
      <c r="H969" t="str">
        <f>IFERROR(VLOOKUP(E969,DC_Xref!A:B,2,FALSE),"")</f>
        <v/>
      </c>
      <c r="I969">
        <f t="shared" si="47"/>
        <v>0</v>
      </c>
    </row>
    <row r="970" spans="1:9" x14ac:dyDescent="0.3">
      <c r="A970" t="str">
        <f t="shared" si="45"/>
        <v>-</v>
      </c>
      <c r="B970" t="str">
        <f t="shared" si="46"/>
        <v>0-</v>
      </c>
      <c r="H970" t="str">
        <f>IFERROR(VLOOKUP(E970,DC_Xref!A:B,2,FALSE),"")</f>
        <v/>
      </c>
      <c r="I970">
        <f t="shared" si="47"/>
        <v>0</v>
      </c>
    </row>
    <row r="971" spans="1:9" x14ac:dyDescent="0.3">
      <c r="A971" t="str">
        <f t="shared" si="45"/>
        <v>-</v>
      </c>
      <c r="B971" t="str">
        <f t="shared" si="46"/>
        <v>0-</v>
      </c>
      <c r="H971" t="str">
        <f>IFERROR(VLOOKUP(E971,DC_Xref!A:B,2,FALSE),"")</f>
        <v/>
      </c>
      <c r="I971">
        <f t="shared" si="47"/>
        <v>0</v>
      </c>
    </row>
    <row r="972" spans="1:9" x14ac:dyDescent="0.3">
      <c r="A972" t="str">
        <f t="shared" si="45"/>
        <v>-</v>
      </c>
      <c r="B972" t="str">
        <f t="shared" si="46"/>
        <v>0-</v>
      </c>
      <c r="H972" t="str">
        <f>IFERROR(VLOOKUP(E972,DC_Xref!A:B,2,FALSE),"")</f>
        <v/>
      </c>
      <c r="I972">
        <f t="shared" si="47"/>
        <v>0</v>
      </c>
    </row>
    <row r="973" spans="1:9" x14ac:dyDescent="0.3">
      <c r="A973" t="str">
        <f t="shared" si="45"/>
        <v>-</v>
      </c>
      <c r="B973" t="str">
        <f t="shared" si="46"/>
        <v>0-</v>
      </c>
      <c r="H973" t="str">
        <f>IFERROR(VLOOKUP(E973,DC_Xref!A:B,2,FALSE),"")</f>
        <v/>
      </c>
      <c r="I973">
        <f t="shared" si="47"/>
        <v>0</v>
      </c>
    </row>
    <row r="974" spans="1:9" x14ac:dyDescent="0.3">
      <c r="A974" t="str">
        <f t="shared" si="45"/>
        <v>-</v>
      </c>
      <c r="B974" t="str">
        <f t="shared" si="46"/>
        <v>0-</v>
      </c>
      <c r="H974" t="str">
        <f>IFERROR(VLOOKUP(E974,DC_Xref!A:B,2,FALSE),"")</f>
        <v/>
      </c>
      <c r="I974">
        <f t="shared" si="47"/>
        <v>0</v>
      </c>
    </row>
    <row r="975" spans="1:9" x14ac:dyDescent="0.3">
      <c r="A975" t="str">
        <f t="shared" si="45"/>
        <v>-</v>
      </c>
      <c r="B975" t="str">
        <f t="shared" si="46"/>
        <v>0-</v>
      </c>
      <c r="H975" t="str">
        <f>IFERROR(VLOOKUP(E975,DC_Xref!A:B,2,FALSE),"")</f>
        <v/>
      </c>
      <c r="I975">
        <f t="shared" si="47"/>
        <v>0</v>
      </c>
    </row>
    <row r="976" spans="1:9" x14ac:dyDescent="0.3">
      <c r="A976" t="str">
        <f t="shared" si="45"/>
        <v>-</v>
      </c>
      <c r="B976" t="str">
        <f t="shared" si="46"/>
        <v>0-</v>
      </c>
      <c r="H976" t="str">
        <f>IFERROR(VLOOKUP(E976,DC_Xref!A:B,2,FALSE),"")</f>
        <v/>
      </c>
      <c r="I976">
        <f t="shared" si="47"/>
        <v>0</v>
      </c>
    </row>
    <row r="977" spans="1:9" x14ac:dyDescent="0.3">
      <c r="A977" t="str">
        <f t="shared" si="45"/>
        <v>-</v>
      </c>
      <c r="B977" t="str">
        <f t="shared" si="46"/>
        <v>0-</v>
      </c>
      <c r="H977" t="str">
        <f>IFERROR(VLOOKUP(E977,DC_Xref!A:B,2,FALSE),"")</f>
        <v/>
      </c>
      <c r="I977">
        <f t="shared" si="47"/>
        <v>0</v>
      </c>
    </row>
    <row r="978" spans="1:9" x14ac:dyDescent="0.3">
      <c r="A978" t="str">
        <f t="shared" si="45"/>
        <v>-</v>
      </c>
      <c r="B978" t="str">
        <f t="shared" si="46"/>
        <v>0-</v>
      </c>
      <c r="H978" t="str">
        <f>IFERROR(VLOOKUP(E978,DC_Xref!A:B,2,FALSE),"")</f>
        <v/>
      </c>
      <c r="I978">
        <f t="shared" si="47"/>
        <v>0</v>
      </c>
    </row>
    <row r="979" spans="1:9" x14ac:dyDescent="0.3">
      <c r="A979" t="str">
        <f t="shared" si="45"/>
        <v>-</v>
      </c>
      <c r="B979" t="str">
        <f t="shared" si="46"/>
        <v>0-</v>
      </c>
      <c r="H979" t="str">
        <f>IFERROR(VLOOKUP(E979,DC_Xref!A:B,2,FALSE),"")</f>
        <v/>
      </c>
      <c r="I979">
        <f t="shared" si="47"/>
        <v>0</v>
      </c>
    </row>
    <row r="980" spans="1:9" x14ac:dyDescent="0.3">
      <c r="A980" t="str">
        <f t="shared" si="45"/>
        <v>-</v>
      </c>
      <c r="B980" t="str">
        <f t="shared" si="46"/>
        <v>0-</v>
      </c>
      <c r="H980" t="str">
        <f>IFERROR(VLOOKUP(E980,DC_Xref!A:B,2,FALSE),"")</f>
        <v/>
      </c>
      <c r="I980">
        <f t="shared" si="47"/>
        <v>0</v>
      </c>
    </row>
    <row r="981" spans="1:9" x14ac:dyDescent="0.3">
      <c r="A981" t="str">
        <f t="shared" si="45"/>
        <v>-</v>
      </c>
      <c r="B981" t="str">
        <f t="shared" si="46"/>
        <v>0-</v>
      </c>
      <c r="H981" t="str">
        <f>IFERROR(VLOOKUP(E981,DC_Xref!A:B,2,FALSE),"")</f>
        <v/>
      </c>
      <c r="I981">
        <f t="shared" si="47"/>
        <v>0</v>
      </c>
    </row>
    <row r="982" spans="1:9" x14ac:dyDescent="0.3">
      <c r="A982" t="str">
        <f t="shared" si="45"/>
        <v>-</v>
      </c>
      <c r="B982" t="str">
        <f t="shared" si="46"/>
        <v>0-</v>
      </c>
      <c r="H982" t="str">
        <f>IFERROR(VLOOKUP(E982,DC_Xref!A:B,2,FALSE),"")</f>
        <v/>
      </c>
      <c r="I982">
        <f t="shared" si="47"/>
        <v>0</v>
      </c>
    </row>
    <row r="983" spans="1:9" x14ac:dyDescent="0.3">
      <c r="A983" t="str">
        <f t="shared" si="45"/>
        <v>-</v>
      </c>
      <c r="B983" t="str">
        <f t="shared" si="46"/>
        <v>0-</v>
      </c>
      <c r="H983" t="str">
        <f>IFERROR(VLOOKUP(E983,DC_Xref!A:B,2,FALSE),"")</f>
        <v/>
      </c>
      <c r="I983">
        <f t="shared" si="47"/>
        <v>0</v>
      </c>
    </row>
    <row r="984" spans="1:9" x14ac:dyDescent="0.3">
      <c r="A984" t="str">
        <f t="shared" si="45"/>
        <v>-</v>
      </c>
      <c r="B984" t="str">
        <f t="shared" si="46"/>
        <v>0-</v>
      </c>
      <c r="H984" t="str">
        <f>IFERROR(VLOOKUP(E984,DC_Xref!A:B,2,FALSE),"")</f>
        <v/>
      </c>
      <c r="I984">
        <f t="shared" si="47"/>
        <v>0</v>
      </c>
    </row>
    <row r="985" spans="1:9" x14ac:dyDescent="0.3">
      <c r="A985" t="str">
        <f t="shared" si="45"/>
        <v>-</v>
      </c>
      <c r="B985" t="str">
        <f t="shared" si="46"/>
        <v>0-</v>
      </c>
      <c r="H985" t="str">
        <f>IFERROR(VLOOKUP(E985,DC_Xref!A:B,2,FALSE),"")</f>
        <v/>
      </c>
      <c r="I985">
        <f t="shared" si="47"/>
        <v>0</v>
      </c>
    </row>
    <row r="986" spans="1:9" x14ac:dyDescent="0.3">
      <c r="A986" t="str">
        <f t="shared" si="45"/>
        <v>-</v>
      </c>
      <c r="B986" t="str">
        <f t="shared" si="46"/>
        <v>0-</v>
      </c>
      <c r="H986" t="str">
        <f>IFERROR(VLOOKUP(E986,DC_Xref!A:B,2,FALSE),"")</f>
        <v/>
      </c>
      <c r="I986">
        <f t="shared" si="47"/>
        <v>0</v>
      </c>
    </row>
    <row r="987" spans="1:9" x14ac:dyDescent="0.3">
      <c r="A987" t="str">
        <f t="shared" si="45"/>
        <v>-</v>
      </c>
      <c r="B987" t="str">
        <f t="shared" si="46"/>
        <v>0-</v>
      </c>
      <c r="H987" t="str">
        <f>IFERROR(VLOOKUP(E987,DC_Xref!A:B,2,FALSE),"")</f>
        <v/>
      </c>
      <c r="I987">
        <f t="shared" si="47"/>
        <v>0</v>
      </c>
    </row>
    <row r="988" spans="1:9" x14ac:dyDescent="0.3">
      <c r="A988" t="str">
        <f t="shared" si="45"/>
        <v>-</v>
      </c>
      <c r="B988" t="str">
        <f t="shared" si="46"/>
        <v>0-</v>
      </c>
      <c r="H988" t="str">
        <f>IFERROR(VLOOKUP(E988,DC_Xref!A:B,2,FALSE),"")</f>
        <v/>
      </c>
      <c r="I988">
        <f t="shared" si="47"/>
        <v>0</v>
      </c>
    </row>
    <row r="989" spans="1:9" x14ac:dyDescent="0.3">
      <c r="A989" t="str">
        <f t="shared" si="45"/>
        <v>-</v>
      </c>
      <c r="B989" t="str">
        <f t="shared" si="46"/>
        <v>0-</v>
      </c>
      <c r="H989" t="str">
        <f>IFERROR(VLOOKUP(E989,DC_Xref!A:B,2,FALSE),"")</f>
        <v/>
      </c>
      <c r="I989">
        <f t="shared" si="47"/>
        <v>0</v>
      </c>
    </row>
    <row r="990" spans="1:9" x14ac:dyDescent="0.3">
      <c r="A990" t="str">
        <f t="shared" si="45"/>
        <v>-</v>
      </c>
      <c r="B990" t="str">
        <f t="shared" si="46"/>
        <v>0-</v>
      </c>
      <c r="H990" t="str">
        <f>IFERROR(VLOOKUP(E990,DC_Xref!A:B,2,FALSE),"")</f>
        <v/>
      </c>
      <c r="I990">
        <f t="shared" si="47"/>
        <v>0</v>
      </c>
    </row>
    <row r="991" spans="1:9" x14ac:dyDescent="0.3">
      <c r="A991" t="str">
        <f t="shared" si="45"/>
        <v>-</v>
      </c>
      <c r="B991" t="str">
        <f t="shared" si="46"/>
        <v>0-</v>
      </c>
      <c r="H991" t="str">
        <f>IFERROR(VLOOKUP(E991,DC_Xref!A:B,2,FALSE),"")</f>
        <v/>
      </c>
      <c r="I991">
        <f t="shared" si="47"/>
        <v>0</v>
      </c>
    </row>
    <row r="992" spans="1:9" x14ac:dyDescent="0.3">
      <c r="A992" t="str">
        <f t="shared" si="45"/>
        <v>-</v>
      </c>
      <c r="B992" t="str">
        <f t="shared" si="46"/>
        <v>0-</v>
      </c>
      <c r="H992" t="str">
        <f>IFERROR(VLOOKUP(E992,DC_Xref!A:B,2,FALSE),"")</f>
        <v/>
      </c>
      <c r="I992">
        <f t="shared" si="47"/>
        <v>0</v>
      </c>
    </row>
    <row r="993" spans="1:9" x14ac:dyDescent="0.3">
      <c r="A993" t="str">
        <f t="shared" si="45"/>
        <v>-</v>
      </c>
      <c r="B993" t="str">
        <f t="shared" si="46"/>
        <v>0-</v>
      </c>
      <c r="H993" t="str">
        <f>IFERROR(VLOOKUP(E993,DC_Xref!A:B,2,FALSE),"")</f>
        <v/>
      </c>
      <c r="I993">
        <f t="shared" si="47"/>
        <v>0</v>
      </c>
    </row>
    <row r="994" spans="1:9" x14ac:dyDescent="0.3">
      <c r="A994" t="str">
        <f t="shared" si="45"/>
        <v>-</v>
      </c>
      <c r="B994" t="str">
        <f t="shared" si="46"/>
        <v>0-</v>
      </c>
      <c r="H994" t="str">
        <f>IFERROR(VLOOKUP(E994,DC_Xref!A:B,2,FALSE),"")</f>
        <v/>
      </c>
      <c r="I994">
        <f t="shared" si="47"/>
        <v>0</v>
      </c>
    </row>
    <row r="995" spans="1:9" x14ac:dyDescent="0.3">
      <c r="A995" t="str">
        <f t="shared" si="45"/>
        <v>-</v>
      </c>
      <c r="B995" t="str">
        <f t="shared" si="46"/>
        <v>0-</v>
      </c>
      <c r="H995" t="str">
        <f>IFERROR(VLOOKUP(E995,DC_Xref!A:B,2,FALSE),"")</f>
        <v/>
      </c>
      <c r="I995">
        <f t="shared" si="47"/>
        <v>0</v>
      </c>
    </row>
    <row r="996" spans="1:9" x14ac:dyDescent="0.3">
      <c r="A996" t="str">
        <f t="shared" si="45"/>
        <v>-</v>
      </c>
      <c r="B996" t="str">
        <f t="shared" si="46"/>
        <v>0-</v>
      </c>
      <c r="H996" t="str">
        <f>IFERROR(VLOOKUP(E996,DC_Xref!A:B,2,FALSE),"")</f>
        <v/>
      </c>
      <c r="I996">
        <f t="shared" si="47"/>
        <v>0</v>
      </c>
    </row>
    <row r="997" spans="1:9" x14ac:dyDescent="0.3">
      <c r="A997" t="str">
        <f t="shared" si="45"/>
        <v>-</v>
      </c>
      <c r="B997" t="str">
        <f t="shared" si="46"/>
        <v>0-</v>
      </c>
      <c r="H997" t="str">
        <f>IFERROR(VLOOKUP(E997,DC_Xref!A:B,2,FALSE),"")</f>
        <v/>
      </c>
      <c r="I997">
        <f t="shared" si="47"/>
        <v>0</v>
      </c>
    </row>
    <row r="998" spans="1:9" x14ac:dyDescent="0.3">
      <c r="A998" t="str">
        <f t="shared" si="45"/>
        <v>-</v>
      </c>
      <c r="B998" t="str">
        <f t="shared" si="46"/>
        <v>0-</v>
      </c>
      <c r="H998" t="str">
        <f>IFERROR(VLOOKUP(E998,DC_Xref!A:B,2,FALSE),"")</f>
        <v/>
      </c>
      <c r="I998">
        <f t="shared" si="47"/>
        <v>0</v>
      </c>
    </row>
    <row r="999" spans="1:9" x14ac:dyDescent="0.3">
      <c r="A999" t="str">
        <f t="shared" si="45"/>
        <v>-</v>
      </c>
      <c r="B999" t="str">
        <f t="shared" si="46"/>
        <v>0-</v>
      </c>
      <c r="H999" t="str">
        <f>IFERROR(VLOOKUP(E999,DC_Xref!A:B,2,FALSE),"")</f>
        <v/>
      </c>
      <c r="I999">
        <f t="shared" si="47"/>
        <v>0</v>
      </c>
    </row>
    <row r="1000" spans="1:9" x14ac:dyDescent="0.3">
      <c r="A1000" t="str">
        <f t="shared" si="45"/>
        <v>-</v>
      </c>
      <c r="B1000" t="str">
        <f t="shared" si="46"/>
        <v>0-</v>
      </c>
      <c r="H1000" t="str">
        <f>IFERROR(VLOOKUP(E1000,DC_Xref!A:B,2,FALSE),"")</f>
        <v/>
      </c>
      <c r="I1000">
        <f t="shared" si="47"/>
        <v>0</v>
      </c>
    </row>
    <row r="1001" spans="1:9" x14ac:dyDescent="0.3">
      <c r="A1001" t="str">
        <f t="shared" si="45"/>
        <v>-</v>
      </c>
      <c r="B1001" t="str">
        <f t="shared" si="46"/>
        <v>0-</v>
      </c>
      <c r="H1001" t="str">
        <f>IFERROR(VLOOKUP(E1001,DC_Xref!A:B,2,FALSE),"")</f>
        <v/>
      </c>
      <c r="I1001">
        <f t="shared" si="47"/>
        <v>0</v>
      </c>
    </row>
    <row r="1002" spans="1:9" x14ac:dyDescent="0.3">
      <c r="A1002" t="str">
        <f t="shared" si="45"/>
        <v>-</v>
      </c>
      <c r="B1002" t="str">
        <f t="shared" si="46"/>
        <v>0-</v>
      </c>
      <c r="H1002" t="str">
        <f>IFERROR(VLOOKUP(E1002,DC_Xref!A:B,2,FALSE),"")</f>
        <v/>
      </c>
      <c r="I1002">
        <f t="shared" si="47"/>
        <v>0</v>
      </c>
    </row>
    <row r="1003" spans="1:9" x14ac:dyDescent="0.3">
      <c r="A1003" t="str">
        <f t="shared" si="45"/>
        <v>-</v>
      </c>
      <c r="B1003" t="str">
        <f t="shared" si="46"/>
        <v>0-</v>
      </c>
      <c r="H1003" t="str">
        <f>IFERROR(VLOOKUP(E1003,DC_Xref!A:B,2,FALSE),"")</f>
        <v/>
      </c>
      <c r="I1003">
        <f t="shared" si="47"/>
        <v>0</v>
      </c>
    </row>
    <row r="1004" spans="1:9" x14ac:dyDescent="0.3">
      <c r="A1004" t="str">
        <f t="shared" si="45"/>
        <v>-</v>
      </c>
      <c r="B1004" t="str">
        <f t="shared" si="46"/>
        <v>0-</v>
      </c>
      <c r="H1004" t="str">
        <f>IFERROR(VLOOKUP(E1004,DC_Xref!A:B,2,FALSE),"")</f>
        <v/>
      </c>
      <c r="I1004">
        <f t="shared" si="47"/>
        <v>0</v>
      </c>
    </row>
    <row r="1005" spans="1:9" x14ac:dyDescent="0.3">
      <c r="A1005" t="str">
        <f t="shared" si="45"/>
        <v>-</v>
      </c>
      <c r="B1005" t="str">
        <f t="shared" si="46"/>
        <v>0-</v>
      </c>
      <c r="H1005" t="str">
        <f>IFERROR(VLOOKUP(E1005,DC_Xref!A:B,2,FALSE),"")</f>
        <v/>
      </c>
      <c r="I1005">
        <f t="shared" si="47"/>
        <v>0</v>
      </c>
    </row>
    <row r="1006" spans="1:9" x14ac:dyDescent="0.3">
      <c r="A1006" t="str">
        <f t="shared" si="45"/>
        <v>-</v>
      </c>
      <c r="B1006" t="str">
        <f t="shared" si="46"/>
        <v>0-</v>
      </c>
      <c r="H1006" t="str">
        <f>IFERROR(VLOOKUP(E1006,DC_Xref!A:B,2,FALSE),"")</f>
        <v/>
      </c>
      <c r="I1006">
        <f t="shared" si="47"/>
        <v>0</v>
      </c>
    </row>
    <row r="1007" spans="1:9" x14ac:dyDescent="0.3">
      <c r="A1007" t="str">
        <f t="shared" si="45"/>
        <v>-</v>
      </c>
      <c r="B1007" t="str">
        <f t="shared" si="46"/>
        <v>0-</v>
      </c>
      <c r="H1007" t="str">
        <f>IFERROR(VLOOKUP(E1007,DC_Xref!A:B,2,FALSE),"")</f>
        <v/>
      </c>
      <c r="I1007">
        <f t="shared" si="47"/>
        <v>0</v>
      </c>
    </row>
    <row r="1008" spans="1:9" x14ac:dyDescent="0.3">
      <c r="A1008" t="str">
        <f t="shared" si="45"/>
        <v>-</v>
      </c>
      <c r="B1008" t="str">
        <f t="shared" si="46"/>
        <v>0-</v>
      </c>
      <c r="H1008" t="str">
        <f>IFERROR(VLOOKUP(E1008,DC_Xref!A:B,2,FALSE),"")</f>
        <v/>
      </c>
      <c r="I1008">
        <f t="shared" si="47"/>
        <v>0</v>
      </c>
    </row>
    <row r="1009" spans="1:9" x14ac:dyDescent="0.3">
      <c r="A1009" t="str">
        <f t="shared" si="45"/>
        <v>-</v>
      </c>
      <c r="B1009" t="str">
        <f t="shared" si="46"/>
        <v>0-</v>
      </c>
      <c r="H1009" t="str">
        <f>IFERROR(VLOOKUP(E1009,DC_Xref!A:B,2,FALSE),"")</f>
        <v/>
      </c>
      <c r="I1009">
        <f t="shared" si="47"/>
        <v>0</v>
      </c>
    </row>
    <row r="1010" spans="1:9" x14ac:dyDescent="0.3">
      <c r="A1010" t="str">
        <f t="shared" si="45"/>
        <v>-</v>
      </c>
      <c r="B1010" t="str">
        <f t="shared" si="46"/>
        <v>0-</v>
      </c>
      <c r="H1010" t="str">
        <f>IFERROR(VLOOKUP(E1010,DC_Xref!A:B,2,FALSE),"")</f>
        <v/>
      </c>
      <c r="I1010">
        <f t="shared" si="47"/>
        <v>0</v>
      </c>
    </row>
    <row r="1011" spans="1:9" x14ac:dyDescent="0.3">
      <c r="A1011" t="str">
        <f t="shared" si="45"/>
        <v>-</v>
      </c>
      <c r="B1011" t="str">
        <f t="shared" si="46"/>
        <v>0-</v>
      </c>
      <c r="H1011" t="str">
        <f>IFERROR(VLOOKUP(E1011,DC_Xref!A:B,2,FALSE),"")</f>
        <v/>
      </c>
      <c r="I1011">
        <f t="shared" si="47"/>
        <v>0</v>
      </c>
    </row>
    <row r="1012" spans="1:9" x14ac:dyDescent="0.3">
      <c r="A1012" t="str">
        <f t="shared" si="45"/>
        <v>-</v>
      </c>
      <c r="B1012" t="str">
        <f t="shared" si="46"/>
        <v>0-</v>
      </c>
      <c r="H1012" t="str">
        <f>IFERROR(VLOOKUP(E1012,DC_Xref!A:B,2,FALSE),"")</f>
        <v/>
      </c>
      <c r="I1012">
        <f t="shared" si="47"/>
        <v>0</v>
      </c>
    </row>
    <row r="1013" spans="1:9" x14ac:dyDescent="0.3">
      <c r="A1013" t="str">
        <f t="shared" si="45"/>
        <v>-</v>
      </c>
      <c r="B1013" t="str">
        <f t="shared" si="46"/>
        <v>0-</v>
      </c>
      <c r="H1013" t="str">
        <f>IFERROR(VLOOKUP(E1013,DC_Xref!A:B,2,FALSE),"")</f>
        <v/>
      </c>
      <c r="I1013">
        <f t="shared" si="47"/>
        <v>0</v>
      </c>
    </row>
    <row r="1014" spans="1:9" x14ac:dyDescent="0.3">
      <c r="A1014" t="str">
        <f t="shared" si="45"/>
        <v>-</v>
      </c>
      <c r="B1014" t="str">
        <f t="shared" si="46"/>
        <v>0-</v>
      </c>
      <c r="H1014" t="str">
        <f>IFERROR(VLOOKUP(E1014,DC_Xref!A:B,2,FALSE),"")</f>
        <v/>
      </c>
      <c r="I1014">
        <f t="shared" si="47"/>
        <v>0</v>
      </c>
    </row>
    <row r="1015" spans="1:9" x14ac:dyDescent="0.3">
      <c r="A1015" t="str">
        <f t="shared" si="45"/>
        <v>-</v>
      </c>
      <c r="B1015" t="str">
        <f t="shared" si="46"/>
        <v>0-</v>
      </c>
      <c r="H1015" t="str">
        <f>IFERROR(VLOOKUP(E1015,DC_Xref!A:B,2,FALSE),"")</f>
        <v/>
      </c>
      <c r="I1015">
        <f t="shared" si="47"/>
        <v>0</v>
      </c>
    </row>
    <row r="1016" spans="1:9" x14ac:dyDescent="0.3">
      <c r="A1016" t="str">
        <f t="shared" si="45"/>
        <v>-</v>
      </c>
      <c r="B1016" t="str">
        <f t="shared" si="46"/>
        <v>0-</v>
      </c>
      <c r="H1016" t="str">
        <f>IFERROR(VLOOKUP(E1016,DC_Xref!A:B,2,FALSE),"")</f>
        <v/>
      </c>
      <c r="I1016">
        <f t="shared" si="47"/>
        <v>0</v>
      </c>
    </row>
    <row r="1017" spans="1:9" x14ac:dyDescent="0.3">
      <c r="A1017" t="str">
        <f t="shared" si="45"/>
        <v>-</v>
      </c>
      <c r="B1017" t="str">
        <f t="shared" si="46"/>
        <v>0-</v>
      </c>
      <c r="H1017" t="str">
        <f>IFERROR(VLOOKUP(E1017,DC_Xref!A:B,2,FALSE),"")</f>
        <v/>
      </c>
      <c r="I1017">
        <f t="shared" si="47"/>
        <v>0</v>
      </c>
    </row>
    <row r="1018" spans="1:9" x14ac:dyDescent="0.3">
      <c r="A1018" t="str">
        <f t="shared" si="45"/>
        <v>-</v>
      </c>
      <c r="B1018" t="str">
        <f t="shared" si="46"/>
        <v>0-</v>
      </c>
      <c r="H1018" t="str">
        <f>IFERROR(VLOOKUP(E1018,DC_Xref!A:B,2,FALSE),"")</f>
        <v/>
      </c>
      <c r="I1018">
        <f t="shared" si="47"/>
        <v>0</v>
      </c>
    </row>
    <row r="1019" spans="1:9" x14ac:dyDescent="0.3">
      <c r="A1019" t="str">
        <f t="shared" si="45"/>
        <v>-</v>
      </c>
      <c r="B1019" t="str">
        <f t="shared" si="46"/>
        <v>0-</v>
      </c>
      <c r="H1019" t="str">
        <f>IFERROR(VLOOKUP(E1019,DC_Xref!A:B,2,FALSE),"")</f>
        <v/>
      </c>
      <c r="I1019">
        <f t="shared" si="47"/>
        <v>0</v>
      </c>
    </row>
    <row r="1020" spans="1:9" x14ac:dyDescent="0.3">
      <c r="A1020" t="str">
        <f t="shared" si="45"/>
        <v>-</v>
      </c>
      <c r="B1020" t="str">
        <f t="shared" si="46"/>
        <v>0-</v>
      </c>
      <c r="H1020" t="str">
        <f>IFERROR(VLOOKUP(E1020,DC_Xref!A:B,2,FALSE),"")</f>
        <v/>
      </c>
      <c r="I1020">
        <f t="shared" si="47"/>
        <v>0</v>
      </c>
    </row>
    <row r="1021" spans="1:9" x14ac:dyDescent="0.3">
      <c r="A1021" t="str">
        <f t="shared" si="45"/>
        <v>-</v>
      </c>
      <c r="B1021" t="str">
        <f t="shared" si="46"/>
        <v>0-</v>
      </c>
      <c r="H1021" t="str">
        <f>IFERROR(VLOOKUP(E1021,DC_Xref!A:B,2,FALSE),"")</f>
        <v/>
      </c>
      <c r="I1021">
        <f t="shared" si="47"/>
        <v>0</v>
      </c>
    </row>
    <row r="1022" spans="1:9" x14ac:dyDescent="0.3">
      <c r="A1022" t="str">
        <f t="shared" si="45"/>
        <v>-</v>
      </c>
      <c r="B1022" t="str">
        <f t="shared" si="46"/>
        <v>0-</v>
      </c>
      <c r="H1022" t="str">
        <f>IFERROR(VLOOKUP(E1022,DC_Xref!A:B,2,FALSE),"")</f>
        <v/>
      </c>
      <c r="I1022">
        <f t="shared" si="47"/>
        <v>0</v>
      </c>
    </row>
    <row r="1023" spans="1:9" x14ac:dyDescent="0.3">
      <c r="A1023" t="str">
        <f t="shared" si="45"/>
        <v>-</v>
      </c>
      <c r="B1023" t="str">
        <f t="shared" si="46"/>
        <v>0-</v>
      </c>
      <c r="H1023" t="str">
        <f>IFERROR(VLOOKUP(E1023,DC_Xref!A:B,2,FALSE),"")</f>
        <v/>
      </c>
      <c r="I1023">
        <f t="shared" si="47"/>
        <v>0</v>
      </c>
    </row>
    <row r="1024" spans="1:9" x14ac:dyDescent="0.3">
      <c r="A1024" t="str">
        <f t="shared" si="45"/>
        <v>-</v>
      </c>
      <c r="B1024" t="str">
        <f t="shared" si="46"/>
        <v>0-</v>
      </c>
      <c r="H1024" t="str">
        <f>IFERROR(VLOOKUP(E1024,DC_Xref!A:B,2,FALSE),"")</f>
        <v/>
      </c>
      <c r="I1024">
        <f t="shared" si="47"/>
        <v>0</v>
      </c>
    </row>
    <row r="1025" spans="1:9" x14ac:dyDescent="0.3">
      <c r="A1025" t="str">
        <f t="shared" si="45"/>
        <v>-</v>
      </c>
      <c r="B1025" t="str">
        <f t="shared" si="46"/>
        <v>0-</v>
      </c>
      <c r="H1025" t="str">
        <f>IFERROR(VLOOKUP(E1025,DC_Xref!A:B,2,FALSE),"")</f>
        <v/>
      </c>
      <c r="I1025">
        <f t="shared" si="47"/>
        <v>0</v>
      </c>
    </row>
    <row r="1026" spans="1:9" x14ac:dyDescent="0.3">
      <c r="A1026" t="str">
        <f t="shared" ref="A1026:A1089" si="48">C1026&amp;"-"&amp;F1026</f>
        <v>-</v>
      </c>
      <c r="B1026" t="str">
        <f t="shared" ref="B1026:B1089" si="49">I1026&amp;"-"&amp;H1026</f>
        <v>0-</v>
      </c>
      <c r="H1026" t="str">
        <f>IFERROR(VLOOKUP(E1026,DC_Xref!A:B,2,FALSE),"")</f>
        <v/>
      </c>
      <c r="I1026">
        <f t="shared" ref="I1026:I1089" si="50">C1026*100+D1026</f>
        <v>0</v>
      </c>
    </row>
    <row r="1027" spans="1:9" x14ac:dyDescent="0.3">
      <c r="A1027" t="str">
        <f t="shared" si="48"/>
        <v>-</v>
      </c>
      <c r="B1027" t="str">
        <f t="shared" si="49"/>
        <v>0-</v>
      </c>
      <c r="H1027" t="str">
        <f>IFERROR(VLOOKUP(E1027,DC_Xref!A:B,2,FALSE),"")</f>
        <v/>
      </c>
      <c r="I1027">
        <f t="shared" si="50"/>
        <v>0</v>
      </c>
    </row>
    <row r="1028" spans="1:9" x14ac:dyDescent="0.3">
      <c r="A1028" t="str">
        <f t="shared" si="48"/>
        <v>-</v>
      </c>
      <c r="B1028" t="str">
        <f t="shared" si="49"/>
        <v>0-</v>
      </c>
      <c r="H1028" t="str">
        <f>IFERROR(VLOOKUP(E1028,DC_Xref!A:B,2,FALSE),"")</f>
        <v/>
      </c>
      <c r="I1028">
        <f t="shared" si="50"/>
        <v>0</v>
      </c>
    </row>
    <row r="1029" spans="1:9" x14ac:dyDescent="0.3">
      <c r="A1029" t="str">
        <f t="shared" si="48"/>
        <v>-</v>
      </c>
      <c r="B1029" t="str">
        <f t="shared" si="49"/>
        <v>0-</v>
      </c>
      <c r="H1029" t="str">
        <f>IFERROR(VLOOKUP(E1029,DC_Xref!A:B,2,FALSE),"")</f>
        <v/>
      </c>
      <c r="I1029">
        <f t="shared" si="50"/>
        <v>0</v>
      </c>
    </row>
    <row r="1030" spans="1:9" x14ac:dyDescent="0.3">
      <c r="A1030" t="str">
        <f t="shared" si="48"/>
        <v>-</v>
      </c>
      <c r="B1030" t="str">
        <f t="shared" si="49"/>
        <v>0-</v>
      </c>
      <c r="H1030" t="str">
        <f>IFERROR(VLOOKUP(E1030,DC_Xref!A:B,2,FALSE),"")</f>
        <v/>
      </c>
      <c r="I1030">
        <f t="shared" si="50"/>
        <v>0</v>
      </c>
    </row>
    <row r="1031" spans="1:9" x14ac:dyDescent="0.3">
      <c r="A1031" t="str">
        <f t="shared" si="48"/>
        <v>-</v>
      </c>
      <c r="B1031" t="str">
        <f t="shared" si="49"/>
        <v>0-</v>
      </c>
      <c r="H1031" t="str">
        <f>IFERROR(VLOOKUP(E1031,DC_Xref!A:B,2,FALSE),"")</f>
        <v/>
      </c>
      <c r="I1031">
        <f t="shared" si="50"/>
        <v>0</v>
      </c>
    </row>
    <row r="1032" spans="1:9" x14ac:dyDescent="0.3">
      <c r="A1032" t="str">
        <f t="shared" si="48"/>
        <v>-</v>
      </c>
      <c r="B1032" t="str">
        <f t="shared" si="49"/>
        <v>0-</v>
      </c>
      <c r="H1032" t="str">
        <f>IFERROR(VLOOKUP(E1032,DC_Xref!A:B,2,FALSE),"")</f>
        <v/>
      </c>
      <c r="I1032">
        <f t="shared" si="50"/>
        <v>0</v>
      </c>
    </row>
    <row r="1033" spans="1:9" x14ac:dyDescent="0.3">
      <c r="A1033" t="str">
        <f t="shared" si="48"/>
        <v>-</v>
      </c>
      <c r="B1033" t="str">
        <f t="shared" si="49"/>
        <v>0-</v>
      </c>
      <c r="H1033" t="str">
        <f>IFERROR(VLOOKUP(E1033,DC_Xref!A:B,2,FALSE),"")</f>
        <v/>
      </c>
      <c r="I1033">
        <f t="shared" si="50"/>
        <v>0</v>
      </c>
    </row>
    <row r="1034" spans="1:9" x14ac:dyDescent="0.3">
      <c r="A1034" t="str">
        <f t="shared" si="48"/>
        <v>-</v>
      </c>
      <c r="B1034" t="str">
        <f t="shared" si="49"/>
        <v>0-</v>
      </c>
      <c r="H1034" t="str">
        <f>IFERROR(VLOOKUP(E1034,DC_Xref!A:B,2,FALSE),"")</f>
        <v/>
      </c>
      <c r="I1034">
        <f t="shared" si="50"/>
        <v>0</v>
      </c>
    </row>
    <row r="1035" spans="1:9" x14ac:dyDescent="0.3">
      <c r="A1035" t="str">
        <f t="shared" si="48"/>
        <v>-</v>
      </c>
      <c r="B1035" t="str">
        <f t="shared" si="49"/>
        <v>0-</v>
      </c>
      <c r="H1035" t="str">
        <f>IFERROR(VLOOKUP(E1035,DC_Xref!A:B,2,FALSE),"")</f>
        <v/>
      </c>
      <c r="I1035">
        <f t="shared" si="50"/>
        <v>0</v>
      </c>
    </row>
    <row r="1036" spans="1:9" x14ac:dyDescent="0.3">
      <c r="A1036" t="str">
        <f t="shared" si="48"/>
        <v>-</v>
      </c>
      <c r="B1036" t="str">
        <f t="shared" si="49"/>
        <v>0-</v>
      </c>
      <c r="H1036" t="str">
        <f>IFERROR(VLOOKUP(E1036,DC_Xref!A:B,2,FALSE),"")</f>
        <v/>
      </c>
      <c r="I1036">
        <f t="shared" si="50"/>
        <v>0</v>
      </c>
    </row>
    <row r="1037" spans="1:9" x14ac:dyDescent="0.3">
      <c r="A1037" t="str">
        <f t="shared" si="48"/>
        <v>-</v>
      </c>
      <c r="B1037" t="str">
        <f t="shared" si="49"/>
        <v>0-</v>
      </c>
      <c r="H1037" t="str">
        <f>IFERROR(VLOOKUP(E1037,DC_Xref!A:B,2,FALSE),"")</f>
        <v/>
      </c>
      <c r="I1037">
        <f t="shared" si="50"/>
        <v>0</v>
      </c>
    </row>
    <row r="1038" spans="1:9" x14ac:dyDescent="0.3">
      <c r="A1038" t="str">
        <f t="shared" si="48"/>
        <v>-</v>
      </c>
      <c r="B1038" t="str">
        <f t="shared" si="49"/>
        <v>0-</v>
      </c>
      <c r="H1038" t="str">
        <f>IFERROR(VLOOKUP(E1038,DC_Xref!A:B,2,FALSE),"")</f>
        <v/>
      </c>
      <c r="I1038">
        <f t="shared" si="50"/>
        <v>0</v>
      </c>
    </row>
    <row r="1039" spans="1:9" x14ac:dyDescent="0.3">
      <c r="A1039" t="str">
        <f t="shared" si="48"/>
        <v>-</v>
      </c>
      <c r="B1039" t="str">
        <f t="shared" si="49"/>
        <v>0-</v>
      </c>
      <c r="H1039" t="str">
        <f>IFERROR(VLOOKUP(E1039,DC_Xref!A:B,2,FALSE),"")</f>
        <v/>
      </c>
      <c r="I1039">
        <f t="shared" si="50"/>
        <v>0</v>
      </c>
    </row>
    <row r="1040" spans="1:9" x14ac:dyDescent="0.3">
      <c r="A1040" t="str">
        <f t="shared" si="48"/>
        <v>-</v>
      </c>
      <c r="B1040" t="str">
        <f t="shared" si="49"/>
        <v>0-</v>
      </c>
      <c r="H1040" t="str">
        <f>IFERROR(VLOOKUP(E1040,DC_Xref!A:B,2,FALSE),"")</f>
        <v/>
      </c>
      <c r="I1040">
        <f t="shared" si="50"/>
        <v>0</v>
      </c>
    </row>
    <row r="1041" spans="1:9" x14ac:dyDescent="0.3">
      <c r="A1041" t="str">
        <f t="shared" si="48"/>
        <v>-</v>
      </c>
      <c r="B1041" t="str">
        <f t="shared" si="49"/>
        <v>0-</v>
      </c>
      <c r="H1041" t="str">
        <f>IFERROR(VLOOKUP(E1041,DC_Xref!A:B,2,FALSE),"")</f>
        <v/>
      </c>
      <c r="I1041">
        <f t="shared" si="50"/>
        <v>0</v>
      </c>
    </row>
    <row r="1042" spans="1:9" x14ac:dyDescent="0.3">
      <c r="A1042" t="str">
        <f t="shared" si="48"/>
        <v>-</v>
      </c>
      <c r="B1042" t="str">
        <f t="shared" si="49"/>
        <v>0-</v>
      </c>
      <c r="H1042" t="str">
        <f>IFERROR(VLOOKUP(E1042,DC_Xref!A:B,2,FALSE),"")</f>
        <v/>
      </c>
      <c r="I1042">
        <f t="shared" si="50"/>
        <v>0</v>
      </c>
    </row>
    <row r="1043" spans="1:9" x14ac:dyDescent="0.3">
      <c r="A1043" t="str">
        <f t="shared" si="48"/>
        <v>-</v>
      </c>
      <c r="B1043" t="str">
        <f t="shared" si="49"/>
        <v>0-</v>
      </c>
      <c r="H1043" t="str">
        <f>IFERROR(VLOOKUP(E1043,DC_Xref!A:B,2,FALSE),"")</f>
        <v/>
      </c>
      <c r="I1043">
        <f t="shared" si="50"/>
        <v>0</v>
      </c>
    </row>
    <row r="1044" spans="1:9" x14ac:dyDescent="0.3">
      <c r="A1044" t="str">
        <f t="shared" si="48"/>
        <v>-</v>
      </c>
      <c r="B1044" t="str">
        <f t="shared" si="49"/>
        <v>0-</v>
      </c>
      <c r="H1044" t="str">
        <f>IFERROR(VLOOKUP(E1044,DC_Xref!A:B,2,FALSE),"")</f>
        <v/>
      </c>
      <c r="I1044">
        <f t="shared" si="50"/>
        <v>0</v>
      </c>
    </row>
    <row r="1045" spans="1:9" x14ac:dyDescent="0.3">
      <c r="A1045" t="str">
        <f t="shared" si="48"/>
        <v>-</v>
      </c>
      <c r="B1045" t="str">
        <f t="shared" si="49"/>
        <v>0-</v>
      </c>
      <c r="H1045" t="str">
        <f>IFERROR(VLOOKUP(E1045,DC_Xref!A:B,2,FALSE),"")</f>
        <v/>
      </c>
      <c r="I1045">
        <f t="shared" si="50"/>
        <v>0</v>
      </c>
    </row>
    <row r="1046" spans="1:9" x14ac:dyDescent="0.3">
      <c r="A1046" t="str">
        <f t="shared" si="48"/>
        <v>-</v>
      </c>
      <c r="B1046" t="str">
        <f t="shared" si="49"/>
        <v>0-</v>
      </c>
      <c r="H1046" t="str">
        <f>IFERROR(VLOOKUP(E1046,DC_Xref!A:B,2,FALSE),"")</f>
        <v/>
      </c>
      <c r="I1046">
        <f t="shared" si="50"/>
        <v>0</v>
      </c>
    </row>
    <row r="1047" spans="1:9" x14ac:dyDescent="0.3">
      <c r="A1047" t="str">
        <f t="shared" si="48"/>
        <v>-</v>
      </c>
      <c r="B1047" t="str">
        <f t="shared" si="49"/>
        <v>0-</v>
      </c>
      <c r="H1047" t="str">
        <f>IFERROR(VLOOKUP(E1047,DC_Xref!A:B,2,FALSE),"")</f>
        <v/>
      </c>
      <c r="I1047">
        <f t="shared" si="50"/>
        <v>0</v>
      </c>
    </row>
    <row r="1048" spans="1:9" x14ac:dyDescent="0.3">
      <c r="A1048" t="str">
        <f t="shared" si="48"/>
        <v>-</v>
      </c>
      <c r="B1048" t="str">
        <f t="shared" si="49"/>
        <v>0-</v>
      </c>
      <c r="H1048" t="str">
        <f>IFERROR(VLOOKUP(E1048,DC_Xref!A:B,2,FALSE),"")</f>
        <v/>
      </c>
      <c r="I1048">
        <f t="shared" si="50"/>
        <v>0</v>
      </c>
    </row>
    <row r="1049" spans="1:9" x14ac:dyDescent="0.3">
      <c r="A1049" t="str">
        <f t="shared" si="48"/>
        <v>-</v>
      </c>
      <c r="B1049" t="str">
        <f t="shared" si="49"/>
        <v>0-</v>
      </c>
      <c r="H1049" t="str">
        <f>IFERROR(VLOOKUP(E1049,DC_Xref!A:B,2,FALSE),"")</f>
        <v/>
      </c>
      <c r="I1049">
        <f t="shared" si="50"/>
        <v>0</v>
      </c>
    </row>
    <row r="1050" spans="1:9" x14ac:dyDescent="0.3">
      <c r="A1050" t="str">
        <f t="shared" si="48"/>
        <v>-</v>
      </c>
      <c r="B1050" t="str">
        <f t="shared" si="49"/>
        <v>0-</v>
      </c>
      <c r="H1050" t="str">
        <f>IFERROR(VLOOKUP(E1050,DC_Xref!A:B,2,FALSE),"")</f>
        <v/>
      </c>
      <c r="I1050">
        <f t="shared" si="50"/>
        <v>0</v>
      </c>
    </row>
    <row r="1051" spans="1:9" x14ac:dyDescent="0.3">
      <c r="A1051" t="str">
        <f t="shared" si="48"/>
        <v>-</v>
      </c>
      <c r="B1051" t="str">
        <f t="shared" si="49"/>
        <v>0-</v>
      </c>
      <c r="H1051" t="str">
        <f>IFERROR(VLOOKUP(E1051,DC_Xref!A:B,2,FALSE),"")</f>
        <v/>
      </c>
      <c r="I1051">
        <f t="shared" si="50"/>
        <v>0</v>
      </c>
    </row>
    <row r="1052" spans="1:9" x14ac:dyDescent="0.3">
      <c r="A1052" t="str">
        <f t="shared" si="48"/>
        <v>-</v>
      </c>
      <c r="B1052" t="str">
        <f t="shared" si="49"/>
        <v>0-</v>
      </c>
      <c r="H1052" t="str">
        <f>IFERROR(VLOOKUP(E1052,DC_Xref!A:B,2,FALSE),"")</f>
        <v/>
      </c>
      <c r="I1052">
        <f t="shared" si="50"/>
        <v>0</v>
      </c>
    </row>
    <row r="1053" spans="1:9" x14ac:dyDescent="0.3">
      <c r="A1053" t="str">
        <f t="shared" si="48"/>
        <v>-</v>
      </c>
      <c r="B1053" t="str">
        <f t="shared" si="49"/>
        <v>0-</v>
      </c>
      <c r="H1053" t="str">
        <f>IFERROR(VLOOKUP(E1053,DC_Xref!A:B,2,FALSE),"")</f>
        <v/>
      </c>
      <c r="I1053">
        <f t="shared" si="50"/>
        <v>0</v>
      </c>
    </row>
    <row r="1054" spans="1:9" x14ac:dyDescent="0.3">
      <c r="A1054" t="str">
        <f t="shared" si="48"/>
        <v>-</v>
      </c>
      <c r="B1054" t="str">
        <f t="shared" si="49"/>
        <v>0-</v>
      </c>
      <c r="H1054" t="str">
        <f>IFERROR(VLOOKUP(E1054,DC_Xref!A:B,2,FALSE),"")</f>
        <v/>
      </c>
      <c r="I1054">
        <f t="shared" si="50"/>
        <v>0</v>
      </c>
    </row>
    <row r="1055" spans="1:9" x14ac:dyDescent="0.3">
      <c r="A1055" t="str">
        <f t="shared" si="48"/>
        <v>-</v>
      </c>
      <c r="B1055" t="str">
        <f t="shared" si="49"/>
        <v>0-</v>
      </c>
      <c r="H1055" t="str">
        <f>IFERROR(VLOOKUP(E1055,DC_Xref!A:B,2,FALSE),"")</f>
        <v/>
      </c>
      <c r="I1055">
        <f t="shared" si="50"/>
        <v>0</v>
      </c>
    </row>
    <row r="1056" spans="1:9" x14ac:dyDescent="0.3">
      <c r="A1056" t="str">
        <f t="shared" si="48"/>
        <v>-</v>
      </c>
      <c r="B1056" t="str">
        <f t="shared" si="49"/>
        <v>0-</v>
      </c>
      <c r="H1056" t="str">
        <f>IFERROR(VLOOKUP(E1056,DC_Xref!A:B,2,FALSE),"")</f>
        <v/>
      </c>
      <c r="I1056">
        <f t="shared" si="50"/>
        <v>0</v>
      </c>
    </row>
    <row r="1057" spans="1:9" x14ac:dyDescent="0.3">
      <c r="A1057" t="str">
        <f t="shared" si="48"/>
        <v>-</v>
      </c>
      <c r="B1057" t="str">
        <f t="shared" si="49"/>
        <v>0-</v>
      </c>
      <c r="H1057" t="str">
        <f>IFERROR(VLOOKUP(E1057,DC_Xref!A:B,2,FALSE),"")</f>
        <v/>
      </c>
      <c r="I1057">
        <f t="shared" si="50"/>
        <v>0</v>
      </c>
    </row>
    <row r="1058" spans="1:9" x14ac:dyDescent="0.3">
      <c r="A1058" t="str">
        <f t="shared" si="48"/>
        <v>-</v>
      </c>
      <c r="B1058" t="str">
        <f t="shared" si="49"/>
        <v>0-</v>
      </c>
      <c r="H1058" t="str">
        <f>IFERROR(VLOOKUP(E1058,DC_Xref!A:B,2,FALSE),"")</f>
        <v/>
      </c>
      <c r="I1058">
        <f t="shared" si="50"/>
        <v>0</v>
      </c>
    </row>
    <row r="1059" spans="1:9" x14ac:dyDescent="0.3">
      <c r="A1059" t="str">
        <f t="shared" si="48"/>
        <v>-</v>
      </c>
      <c r="B1059" t="str">
        <f t="shared" si="49"/>
        <v>0-</v>
      </c>
      <c r="H1059" t="str">
        <f>IFERROR(VLOOKUP(E1059,DC_Xref!A:B,2,FALSE),"")</f>
        <v/>
      </c>
      <c r="I1059">
        <f t="shared" si="50"/>
        <v>0</v>
      </c>
    </row>
    <row r="1060" spans="1:9" x14ac:dyDescent="0.3">
      <c r="A1060" t="str">
        <f t="shared" si="48"/>
        <v>-</v>
      </c>
      <c r="B1060" t="str">
        <f t="shared" si="49"/>
        <v>0-</v>
      </c>
      <c r="H1060" t="str">
        <f>IFERROR(VLOOKUP(E1060,DC_Xref!A:B,2,FALSE),"")</f>
        <v/>
      </c>
      <c r="I1060">
        <f t="shared" si="50"/>
        <v>0</v>
      </c>
    </row>
    <row r="1061" spans="1:9" x14ac:dyDescent="0.3">
      <c r="A1061" t="str">
        <f t="shared" si="48"/>
        <v>-</v>
      </c>
      <c r="B1061" t="str">
        <f t="shared" si="49"/>
        <v>0-</v>
      </c>
      <c r="H1061" t="str">
        <f>IFERROR(VLOOKUP(E1061,DC_Xref!A:B,2,FALSE),"")</f>
        <v/>
      </c>
      <c r="I1061">
        <f t="shared" si="50"/>
        <v>0</v>
      </c>
    </row>
    <row r="1062" spans="1:9" x14ac:dyDescent="0.3">
      <c r="A1062" t="str">
        <f t="shared" si="48"/>
        <v>-</v>
      </c>
      <c r="B1062" t="str">
        <f t="shared" si="49"/>
        <v>0-</v>
      </c>
      <c r="H1062" t="str">
        <f>IFERROR(VLOOKUP(E1062,DC_Xref!A:B,2,FALSE),"")</f>
        <v/>
      </c>
      <c r="I1062">
        <f t="shared" si="50"/>
        <v>0</v>
      </c>
    </row>
    <row r="1063" spans="1:9" x14ac:dyDescent="0.3">
      <c r="A1063" t="str">
        <f t="shared" si="48"/>
        <v>-</v>
      </c>
      <c r="B1063" t="str">
        <f t="shared" si="49"/>
        <v>0-</v>
      </c>
      <c r="H1063" t="str">
        <f>IFERROR(VLOOKUP(E1063,DC_Xref!A:B,2,FALSE),"")</f>
        <v/>
      </c>
      <c r="I1063">
        <f t="shared" si="50"/>
        <v>0</v>
      </c>
    </row>
    <row r="1064" spans="1:9" x14ac:dyDescent="0.3">
      <c r="A1064" t="str">
        <f t="shared" si="48"/>
        <v>-</v>
      </c>
      <c r="B1064" t="str">
        <f t="shared" si="49"/>
        <v>0-</v>
      </c>
      <c r="H1064" t="str">
        <f>IFERROR(VLOOKUP(E1064,DC_Xref!A:B,2,FALSE),"")</f>
        <v/>
      </c>
      <c r="I1064">
        <f t="shared" si="50"/>
        <v>0</v>
      </c>
    </row>
    <row r="1065" spans="1:9" x14ac:dyDescent="0.3">
      <c r="A1065" t="str">
        <f t="shared" si="48"/>
        <v>-</v>
      </c>
      <c r="B1065" t="str">
        <f t="shared" si="49"/>
        <v>0-</v>
      </c>
      <c r="H1065" t="str">
        <f>IFERROR(VLOOKUP(E1065,DC_Xref!A:B,2,FALSE),"")</f>
        <v/>
      </c>
      <c r="I1065">
        <f t="shared" si="50"/>
        <v>0</v>
      </c>
    </row>
    <row r="1066" spans="1:9" x14ac:dyDescent="0.3">
      <c r="A1066" t="str">
        <f t="shared" si="48"/>
        <v>-</v>
      </c>
      <c r="B1066" t="str">
        <f t="shared" si="49"/>
        <v>0-</v>
      </c>
      <c r="H1066" t="str">
        <f>IFERROR(VLOOKUP(E1066,DC_Xref!A:B,2,FALSE),"")</f>
        <v/>
      </c>
      <c r="I1066">
        <f t="shared" si="50"/>
        <v>0</v>
      </c>
    </row>
    <row r="1067" spans="1:9" x14ac:dyDescent="0.3">
      <c r="A1067" t="str">
        <f t="shared" si="48"/>
        <v>-</v>
      </c>
      <c r="B1067" t="str">
        <f t="shared" si="49"/>
        <v>0-</v>
      </c>
      <c r="H1067" t="str">
        <f>IFERROR(VLOOKUP(E1067,DC_Xref!A:B,2,FALSE),"")</f>
        <v/>
      </c>
      <c r="I1067">
        <f t="shared" si="50"/>
        <v>0</v>
      </c>
    </row>
    <row r="1068" spans="1:9" x14ac:dyDescent="0.3">
      <c r="A1068" t="str">
        <f t="shared" si="48"/>
        <v>-</v>
      </c>
      <c r="B1068" t="str">
        <f t="shared" si="49"/>
        <v>0-</v>
      </c>
      <c r="H1068" t="str">
        <f>IFERROR(VLOOKUP(E1068,DC_Xref!A:B,2,FALSE),"")</f>
        <v/>
      </c>
      <c r="I1068">
        <f t="shared" si="50"/>
        <v>0</v>
      </c>
    </row>
    <row r="1069" spans="1:9" x14ac:dyDescent="0.3">
      <c r="A1069" t="str">
        <f t="shared" si="48"/>
        <v>-</v>
      </c>
      <c r="B1069" t="str">
        <f t="shared" si="49"/>
        <v>0-</v>
      </c>
      <c r="H1069" t="str">
        <f>IFERROR(VLOOKUP(E1069,DC_Xref!A:B,2,FALSE),"")</f>
        <v/>
      </c>
      <c r="I1069">
        <f t="shared" si="50"/>
        <v>0</v>
      </c>
    </row>
    <row r="1070" spans="1:9" x14ac:dyDescent="0.3">
      <c r="A1070" t="str">
        <f t="shared" si="48"/>
        <v>-</v>
      </c>
      <c r="B1070" t="str">
        <f t="shared" si="49"/>
        <v>0-</v>
      </c>
      <c r="H1070" t="str">
        <f>IFERROR(VLOOKUP(E1070,DC_Xref!A:B,2,FALSE),"")</f>
        <v/>
      </c>
      <c r="I1070">
        <f t="shared" si="50"/>
        <v>0</v>
      </c>
    </row>
    <row r="1071" spans="1:9" x14ac:dyDescent="0.3">
      <c r="A1071" t="str">
        <f t="shared" si="48"/>
        <v>-</v>
      </c>
      <c r="B1071" t="str">
        <f t="shared" si="49"/>
        <v>0-</v>
      </c>
      <c r="H1071" t="str">
        <f>IFERROR(VLOOKUP(E1071,DC_Xref!A:B,2,FALSE),"")</f>
        <v/>
      </c>
      <c r="I1071">
        <f t="shared" si="50"/>
        <v>0</v>
      </c>
    </row>
    <row r="1072" spans="1:9" x14ac:dyDescent="0.3">
      <c r="A1072" t="str">
        <f t="shared" si="48"/>
        <v>-</v>
      </c>
      <c r="B1072" t="str">
        <f t="shared" si="49"/>
        <v>0-</v>
      </c>
      <c r="H1072" t="str">
        <f>IFERROR(VLOOKUP(E1072,DC_Xref!A:B,2,FALSE),"")</f>
        <v/>
      </c>
      <c r="I1072">
        <f t="shared" si="50"/>
        <v>0</v>
      </c>
    </row>
    <row r="1073" spans="1:9" x14ac:dyDescent="0.3">
      <c r="A1073" t="str">
        <f t="shared" si="48"/>
        <v>-</v>
      </c>
      <c r="B1073" t="str">
        <f t="shared" si="49"/>
        <v>0-</v>
      </c>
      <c r="H1073" t="str">
        <f>IFERROR(VLOOKUP(E1073,DC_Xref!A:B,2,FALSE),"")</f>
        <v/>
      </c>
      <c r="I1073">
        <f t="shared" si="50"/>
        <v>0</v>
      </c>
    </row>
    <row r="1074" spans="1:9" x14ac:dyDescent="0.3">
      <c r="A1074" t="str">
        <f t="shared" si="48"/>
        <v>-</v>
      </c>
      <c r="B1074" t="str">
        <f t="shared" si="49"/>
        <v>0-</v>
      </c>
      <c r="H1074" t="str">
        <f>IFERROR(VLOOKUP(E1074,DC_Xref!A:B,2,FALSE),"")</f>
        <v/>
      </c>
      <c r="I1074">
        <f t="shared" si="50"/>
        <v>0</v>
      </c>
    </row>
    <row r="1075" spans="1:9" x14ac:dyDescent="0.3">
      <c r="A1075" t="str">
        <f t="shared" si="48"/>
        <v>-</v>
      </c>
      <c r="B1075" t="str">
        <f t="shared" si="49"/>
        <v>0-</v>
      </c>
      <c r="H1075" t="str">
        <f>IFERROR(VLOOKUP(E1075,DC_Xref!A:B,2,FALSE),"")</f>
        <v/>
      </c>
      <c r="I1075">
        <f t="shared" si="50"/>
        <v>0</v>
      </c>
    </row>
    <row r="1076" spans="1:9" x14ac:dyDescent="0.3">
      <c r="A1076" t="str">
        <f t="shared" si="48"/>
        <v>-</v>
      </c>
      <c r="B1076" t="str">
        <f t="shared" si="49"/>
        <v>0-</v>
      </c>
      <c r="H1076" t="str">
        <f>IFERROR(VLOOKUP(E1076,DC_Xref!A:B,2,FALSE),"")</f>
        <v/>
      </c>
      <c r="I1076">
        <f t="shared" si="50"/>
        <v>0</v>
      </c>
    </row>
    <row r="1077" spans="1:9" x14ac:dyDescent="0.3">
      <c r="A1077" t="str">
        <f t="shared" si="48"/>
        <v>-</v>
      </c>
      <c r="B1077" t="str">
        <f t="shared" si="49"/>
        <v>0-</v>
      </c>
      <c r="H1077" t="str">
        <f>IFERROR(VLOOKUP(E1077,DC_Xref!A:B,2,FALSE),"")</f>
        <v/>
      </c>
      <c r="I1077">
        <f t="shared" si="50"/>
        <v>0</v>
      </c>
    </row>
    <row r="1078" spans="1:9" x14ac:dyDescent="0.3">
      <c r="A1078" t="str">
        <f t="shared" si="48"/>
        <v>-</v>
      </c>
      <c r="B1078" t="str">
        <f t="shared" si="49"/>
        <v>0-</v>
      </c>
      <c r="H1078" t="str">
        <f>IFERROR(VLOOKUP(E1078,DC_Xref!A:B,2,FALSE),"")</f>
        <v/>
      </c>
      <c r="I1078">
        <f t="shared" si="50"/>
        <v>0</v>
      </c>
    </row>
    <row r="1079" spans="1:9" x14ac:dyDescent="0.3">
      <c r="A1079" t="str">
        <f t="shared" si="48"/>
        <v>-</v>
      </c>
      <c r="B1079" t="str">
        <f t="shared" si="49"/>
        <v>0-</v>
      </c>
      <c r="H1079" t="str">
        <f>IFERROR(VLOOKUP(E1079,DC_Xref!A:B,2,FALSE),"")</f>
        <v/>
      </c>
      <c r="I1079">
        <f t="shared" si="50"/>
        <v>0</v>
      </c>
    </row>
    <row r="1080" spans="1:9" x14ac:dyDescent="0.3">
      <c r="A1080" t="str">
        <f t="shared" si="48"/>
        <v>-</v>
      </c>
      <c r="B1080" t="str">
        <f t="shared" si="49"/>
        <v>0-</v>
      </c>
      <c r="H1080" t="str">
        <f>IFERROR(VLOOKUP(E1080,DC_Xref!A:B,2,FALSE),"")</f>
        <v/>
      </c>
      <c r="I1080">
        <f t="shared" si="50"/>
        <v>0</v>
      </c>
    </row>
    <row r="1081" spans="1:9" x14ac:dyDescent="0.3">
      <c r="A1081" t="str">
        <f t="shared" si="48"/>
        <v>-</v>
      </c>
      <c r="B1081" t="str">
        <f t="shared" si="49"/>
        <v>0-</v>
      </c>
      <c r="H1081" t="str">
        <f>IFERROR(VLOOKUP(E1081,DC_Xref!A:B,2,FALSE),"")</f>
        <v/>
      </c>
      <c r="I1081">
        <f t="shared" si="50"/>
        <v>0</v>
      </c>
    </row>
    <row r="1082" spans="1:9" x14ac:dyDescent="0.3">
      <c r="A1082" t="str">
        <f t="shared" si="48"/>
        <v>-</v>
      </c>
      <c r="B1082" t="str">
        <f t="shared" si="49"/>
        <v>0-</v>
      </c>
      <c r="H1082" t="str">
        <f>IFERROR(VLOOKUP(E1082,DC_Xref!A:B,2,FALSE),"")</f>
        <v/>
      </c>
      <c r="I1082">
        <f t="shared" si="50"/>
        <v>0</v>
      </c>
    </row>
    <row r="1083" spans="1:9" x14ac:dyDescent="0.3">
      <c r="A1083" t="str">
        <f t="shared" si="48"/>
        <v>-</v>
      </c>
      <c r="B1083" t="str">
        <f t="shared" si="49"/>
        <v>0-</v>
      </c>
      <c r="H1083" t="str">
        <f>IFERROR(VLOOKUP(E1083,DC_Xref!A:B,2,FALSE),"")</f>
        <v/>
      </c>
      <c r="I1083">
        <f t="shared" si="50"/>
        <v>0</v>
      </c>
    </row>
    <row r="1084" spans="1:9" x14ac:dyDescent="0.3">
      <c r="A1084" t="str">
        <f t="shared" si="48"/>
        <v>-</v>
      </c>
      <c r="B1084" t="str">
        <f t="shared" si="49"/>
        <v>0-</v>
      </c>
      <c r="H1084" t="str">
        <f>IFERROR(VLOOKUP(E1084,DC_Xref!A:B,2,FALSE),"")</f>
        <v/>
      </c>
      <c r="I1084">
        <f t="shared" si="50"/>
        <v>0</v>
      </c>
    </row>
    <row r="1085" spans="1:9" x14ac:dyDescent="0.3">
      <c r="A1085" t="str">
        <f t="shared" si="48"/>
        <v>-</v>
      </c>
      <c r="B1085" t="str">
        <f t="shared" si="49"/>
        <v>0-</v>
      </c>
      <c r="H1085" t="str">
        <f>IFERROR(VLOOKUP(E1085,DC_Xref!A:B,2,FALSE),"")</f>
        <v/>
      </c>
      <c r="I1085">
        <f t="shared" si="50"/>
        <v>0</v>
      </c>
    </row>
    <row r="1086" spans="1:9" x14ac:dyDescent="0.3">
      <c r="A1086" t="str">
        <f t="shared" si="48"/>
        <v>-</v>
      </c>
      <c r="B1086" t="str">
        <f t="shared" si="49"/>
        <v>0-</v>
      </c>
      <c r="H1086" t="str">
        <f>IFERROR(VLOOKUP(E1086,DC_Xref!A:B,2,FALSE),"")</f>
        <v/>
      </c>
      <c r="I1086">
        <f t="shared" si="50"/>
        <v>0</v>
      </c>
    </row>
    <row r="1087" spans="1:9" x14ac:dyDescent="0.3">
      <c r="A1087" t="str">
        <f t="shared" si="48"/>
        <v>-</v>
      </c>
      <c r="B1087" t="str">
        <f t="shared" si="49"/>
        <v>0-</v>
      </c>
      <c r="H1087" t="str">
        <f>IFERROR(VLOOKUP(E1087,DC_Xref!A:B,2,FALSE),"")</f>
        <v/>
      </c>
      <c r="I1087">
        <f t="shared" si="50"/>
        <v>0</v>
      </c>
    </row>
    <row r="1088" spans="1:9" x14ac:dyDescent="0.3">
      <c r="A1088" t="str">
        <f t="shared" si="48"/>
        <v>-</v>
      </c>
      <c r="B1088" t="str">
        <f t="shared" si="49"/>
        <v>0-</v>
      </c>
      <c r="H1088" t="str">
        <f>IFERROR(VLOOKUP(E1088,DC_Xref!A:B,2,FALSE),"")</f>
        <v/>
      </c>
      <c r="I1088">
        <f t="shared" si="50"/>
        <v>0</v>
      </c>
    </row>
    <row r="1089" spans="1:9" x14ac:dyDescent="0.3">
      <c r="A1089" t="str">
        <f t="shared" si="48"/>
        <v>-</v>
      </c>
      <c r="B1089" t="str">
        <f t="shared" si="49"/>
        <v>0-</v>
      </c>
      <c r="H1089" t="str">
        <f>IFERROR(VLOOKUP(E1089,DC_Xref!A:B,2,FALSE),"")</f>
        <v/>
      </c>
      <c r="I1089">
        <f t="shared" si="50"/>
        <v>0</v>
      </c>
    </row>
    <row r="1090" spans="1:9" x14ac:dyDescent="0.3">
      <c r="A1090" t="str">
        <f t="shared" ref="A1090:A1153" si="51">C1090&amp;"-"&amp;F1090</f>
        <v>-</v>
      </c>
      <c r="B1090" t="str">
        <f t="shared" ref="B1090:B1153" si="52">I1090&amp;"-"&amp;H1090</f>
        <v>0-</v>
      </c>
      <c r="H1090" t="str">
        <f>IFERROR(VLOOKUP(E1090,DC_Xref!A:B,2,FALSE),"")</f>
        <v/>
      </c>
      <c r="I1090">
        <f t="shared" ref="I1090:I1153" si="53">C1090*100+D1090</f>
        <v>0</v>
      </c>
    </row>
    <row r="1091" spans="1:9" x14ac:dyDescent="0.3">
      <c r="A1091" t="str">
        <f t="shared" si="51"/>
        <v>-</v>
      </c>
      <c r="B1091" t="str">
        <f t="shared" si="52"/>
        <v>0-</v>
      </c>
      <c r="H1091" t="str">
        <f>IFERROR(VLOOKUP(E1091,DC_Xref!A:B,2,FALSE),"")</f>
        <v/>
      </c>
      <c r="I1091">
        <f t="shared" si="53"/>
        <v>0</v>
      </c>
    </row>
    <row r="1092" spans="1:9" x14ac:dyDescent="0.3">
      <c r="A1092" t="str">
        <f t="shared" si="51"/>
        <v>-</v>
      </c>
      <c r="B1092" t="str">
        <f t="shared" si="52"/>
        <v>0-</v>
      </c>
      <c r="H1092" t="str">
        <f>IFERROR(VLOOKUP(E1092,DC_Xref!A:B,2,FALSE),"")</f>
        <v/>
      </c>
      <c r="I1092">
        <f t="shared" si="53"/>
        <v>0</v>
      </c>
    </row>
    <row r="1093" spans="1:9" x14ac:dyDescent="0.3">
      <c r="A1093" t="str">
        <f t="shared" si="51"/>
        <v>-</v>
      </c>
      <c r="B1093" t="str">
        <f t="shared" si="52"/>
        <v>0-</v>
      </c>
      <c r="H1093" t="str">
        <f>IFERROR(VLOOKUP(E1093,DC_Xref!A:B,2,FALSE),"")</f>
        <v/>
      </c>
      <c r="I1093">
        <f t="shared" si="53"/>
        <v>0</v>
      </c>
    </row>
    <row r="1094" spans="1:9" x14ac:dyDescent="0.3">
      <c r="A1094" t="str">
        <f t="shared" si="51"/>
        <v>-</v>
      </c>
      <c r="B1094" t="str">
        <f t="shared" si="52"/>
        <v>0-</v>
      </c>
      <c r="H1094" t="str">
        <f>IFERROR(VLOOKUP(E1094,DC_Xref!A:B,2,FALSE),"")</f>
        <v/>
      </c>
      <c r="I1094">
        <f t="shared" si="53"/>
        <v>0</v>
      </c>
    </row>
    <row r="1095" spans="1:9" x14ac:dyDescent="0.3">
      <c r="A1095" t="str">
        <f t="shared" si="51"/>
        <v>-</v>
      </c>
      <c r="B1095" t="str">
        <f t="shared" si="52"/>
        <v>0-</v>
      </c>
      <c r="H1095" t="str">
        <f>IFERROR(VLOOKUP(E1095,DC_Xref!A:B,2,FALSE),"")</f>
        <v/>
      </c>
      <c r="I1095">
        <f t="shared" si="53"/>
        <v>0</v>
      </c>
    </row>
    <row r="1096" spans="1:9" x14ac:dyDescent="0.3">
      <c r="A1096" t="str">
        <f t="shared" si="51"/>
        <v>-</v>
      </c>
      <c r="B1096" t="str">
        <f t="shared" si="52"/>
        <v>0-</v>
      </c>
      <c r="H1096" t="str">
        <f>IFERROR(VLOOKUP(E1096,DC_Xref!A:B,2,FALSE),"")</f>
        <v/>
      </c>
      <c r="I1096">
        <f t="shared" si="53"/>
        <v>0</v>
      </c>
    </row>
    <row r="1097" spans="1:9" x14ac:dyDescent="0.3">
      <c r="A1097" t="str">
        <f t="shared" si="51"/>
        <v>-</v>
      </c>
      <c r="B1097" t="str">
        <f t="shared" si="52"/>
        <v>0-</v>
      </c>
      <c r="H1097" t="str">
        <f>IFERROR(VLOOKUP(E1097,DC_Xref!A:B,2,FALSE),"")</f>
        <v/>
      </c>
      <c r="I1097">
        <f t="shared" si="53"/>
        <v>0</v>
      </c>
    </row>
    <row r="1098" spans="1:9" x14ac:dyDescent="0.3">
      <c r="A1098" t="str">
        <f t="shared" si="51"/>
        <v>-</v>
      </c>
      <c r="B1098" t="str">
        <f t="shared" si="52"/>
        <v>0-</v>
      </c>
      <c r="H1098" t="str">
        <f>IFERROR(VLOOKUP(E1098,DC_Xref!A:B,2,FALSE),"")</f>
        <v/>
      </c>
      <c r="I1098">
        <f t="shared" si="53"/>
        <v>0</v>
      </c>
    </row>
    <row r="1099" spans="1:9" x14ac:dyDescent="0.3">
      <c r="A1099" t="str">
        <f t="shared" si="51"/>
        <v>-</v>
      </c>
      <c r="B1099" t="str">
        <f t="shared" si="52"/>
        <v>0-</v>
      </c>
      <c r="H1099" t="str">
        <f>IFERROR(VLOOKUP(E1099,DC_Xref!A:B,2,FALSE),"")</f>
        <v/>
      </c>
      <c r="I1099">
        <f t="shared" si="53"/>
        <v>0</v>
      </c>
    </row>
    <row r="1100" spans="1:9" x14ac:dyDescent="0.3">
      <c r="A1100" t="str">
        <f t="shared" si="51"/>
        <v>-</v>
      </c>
      <c r="B1100" t="str">
        <f t="shared" si="52"/>
        <v>0-</v>
      </c>
      <c r="H1100" t="str">
        <f>IFERROR(VLOOKUP(E1100,DC_Xref!A:B,2,FALSE),"")</f>
        <v/>
      </c>
      <c r="I1100">
        <f t="shared" si="53"/>
        <v>0</v>
      </c>
    </row>
    <row r="1101" spans="1:9" x14ac:dyDescent="0.3">
      <c r="A1101" t="str">
        <f t="shared" si="51"/>
        <v>-</v>
      </c>
      <c r="B1101" t="str">
        <f t="shared" si="52"/>
        <v>0-</v>
      </c>
      <c r="H1101" t="str">
        <f>IFERROR(VLOOKUP(E1101,DC_Xref!A:B,2,FALSE),"")</f>
        <v/>
      </c>
      <c r="I1101">
        <f t="shared" si="53"/>
        <v>0</v>
      </c>
    </row>
    <row r="1102" spans="1:9" x14ac:dyDescent="0.3">
      <c r="A1102" t="str">
        <f t="shared" si="51"/>
        <v>-</v>
      </c>
      <c r="B1102" t="str">
        <f t="shared" si="52"/>
        <v>0-</v>
      </c>
      <c r="H1102" t="str">
        <f>IFERROR(VLOOKUP(E1102,DC_Xref!A:B,2,FALSE),"")</f>
        <v/>
      </c>
      <c r="I1102">
        <f t="shared" si="53"/>
        <v>0</v>
      </c>
    </row>
    <row r="1103" spans="1:9" x14ac:dyDescent="0.3">
      <c r="A1103" t="str">
        <f t="shared" si="51"/>
        <v>-</v>
      </c>
      <c r="B1103" t="str">
        <f t="shared" si="52"/>
        <v>0-</v>
      </c>
      <c r="H1103" t="str">
        <f>IFERROR(VLOOKUP(E1103,DC_Xref!A:B,2,FALSE),"")</f>
        <v/>
      </c>
      <c r="I1103">
        <f t="shared" si="53"/>
        <v>0</v>
      </c>
    </row>
    <row r="1104" spans="1:9" x14ac:dyDescent="0.3">
      <c r="A1104" t="str">
        <f t="shared" si="51"/>
        <v>-</v>
      </c>
      <c r="B1104" t="str">
        <f t="shared" si="52"/>
        <v>0-</v>
      </c>
      <c r="H1104" t="str">
        <f>IFERROR(VLOOKUP(E1104,DC_Xref!A:B,2,FALSE),"")</f>
        <v/>
      </c>
      <c r="I1104">
        <f t="shared" si="53"/>
        <v>0</v>
      </c>
    </row>
    <row r="1105" spans="1:9" x14ac:dyDescent="0.3">
      <c r="A1105" t="str">
        <f t="shared" si="51"/>
        <v>-</v>
      </c>
      <c r="B1105" t="str">
        <f t="shared" si="52"/>
        <v>0-</v>
      </c>
      <c r="H1105" t="str">
        <f>IFERROR(VLOOKUP(E1105,DC_Xref!A:B,2,FALSE),"")</f>
        <v/>
      </c>
      <c r="I1105">
        <f t="shared" si="53"/>
        <v>0</v>
      </c>
    </row>
    <row r="1106" spans="1:9" x14ac:dyDescent="0.3">
      <c r="A1106" t="str">
        <f t="shared" si="51"/>
        <v>-</v>
      </c>
      <c r="B1106" t="str">
        <f t="shared" si="52"/>
        <v>0-</v>
      </c>
      <c r="H1106" t="str">
        <f>IFERROR(VLOOKUP(E1106,DC_Xref!A:B,2,FALSE),"")</f>
        <v/>
      </c>
      <c r="I1106">
        <f t="shared" si="53"/>
        <v>0</v>
      </c>
    </row>
    <row r="1107" spans="1:9" x14ac:dyDescent="0.3">
      <c r="A1107" t="str">
        <f t="shared" si="51"/>
        <v>-</v>
      </c>
      <c r="B1107" t="str">
        <f t="shared" si="52"/>
        <v>0-</v>
      </c>
      <c r="H1107" t="str">
        <f>IFERROR(VLOOKUP(E1107,DC_Xref!A:B,2,FALSE),"")</f>
        <v/>
      </c>
      <c r="I1107">
        <f t="shared" si="53"/>
        <v>0</v>
      </c>
    </row>
    <row r="1108" spans="1:9" x14ac:dyDescent="0.3">
      <c r="A1108" t="str">
        <f t="shared" si="51"/>
        <v>-</v>
      </c>
      <c r="B1108" t="str">
        <f t="shared" si="52"/>
        <v>0-</v>
      </c>
      <c r="H1108" t="str">
        <f>IFERROR(VLOOKUP(E1108,DC_Xref!A:B,2,FALSE),"")</f>
        <v/>
      </c>
      <c r="I1108">
        <f t="shared" si="53"/>
        <v>0</v>
      </c>
    </row>
    <row r="1109" spans="1:9" x14ac:dyDescent="0.3">
      <c r="A1109" t="str">
        <f t="shared" si="51"/>
        <v>-</v>
      </c>
      <c r="B1109" t="str">
        <f t="shared" si="52"/>
        <v>0-</v>
      </c>
      <c r="H1109" t="str">
        <f>IFERROR(VLOOKUP(E1109,DC_Xref!A:B,2,FALSE),"")</f>
        <v/>
      </c>
      <c r="I1109">
        <f t="shared" si="53"/>
        <v>0</v>
      </c>
    </row>
    <row r="1110" spans="1:9" x14ac:dyDescent="0.3">
      <c r="A1110" t="str">
        <f t="shared" si="51"/>
        <v>-</v>
      </c>
      <c r="B1110" t="str">
        <f t="shared" si="52"/>
        <v>0-</v>
      </c>
      <c r="H1110" t="str">
        <f>IFERROR(VLOOKUP(E1110,DC_Xref!A:B,2,FALSE),"")</f>
        <v/>
      </c>
      <c r="I1110">
        <f t="shared" si="53"/>
        <v>0</v>
      </c>
    </row>
    <row r="1111" spans="1:9" x14ac:dyDescent="0.3">
      <c r="A1111" t="str">
        <f t="shared" si="51"/>
        <v>-</v>
      </c>
      <c r="B1111" t="str">
        <f t="shared" si="52"/>
        <v>0-</v>
      </c>
      <c r="H1111" t="str">
        <f>IFERROR(VLOOKUP(E1111,DC_Xref!A:B,2,FALSE),"")</f>
        <v/>
      </c>
      <c r="I1111">
        <f t="shared" si="53"/>
        <v>0</v>
      </c>
    </row>
    <row r="1112" spans="1:9" x14ac:dyDescent="0.3">
      <c r="A1112" t="str">
        <f t="shared" si="51"/>
        <v>-</v>
      </c>
      <c r="B1112" t="str">
        <f t="shared" si="52"/>
        <v>0-</v>
      </c>
      <c r="H1112" t="str">
        <f>IFERROR(VLOOKUP(E1112,DC_Xref!A:B,2,FALSE),"")</f>
        <v/>
      </c>
      <c r="I1112">
        <f t="shared" si="53"/>
        <v>0</v>
      </c>
    </row>
    <row r="1113" spans="1:9" x14ac:dyDescent="0.3">
      <c r="A1113" t="str">
        <f t="shared" si="51"/>
        <v>-</v>
      </c>
      <c r="B1113" t="str">
        <f t="shared" si="52"/>
        <v>0-</v>
      </c>
      <c r="H1113" t="str">
        <f>IFERROR(VLOOKUP(E1113,DC_Xref!A:B,2,FALSE),"")</f>
        <v/>
      </c>
      <c r="I1113">
        <f t="shared" si="53"/>
        <v>0</v>
      </c>
    </row>
    <row r="1114" spans="1:9" x14ac:dyDescent="0.3">
      <c r="A1114" t="str">
        <f t="shared" si="51"/>
        <v>-</v>
      </c>
      <c r="B1114" t="str">
        <f t="shared" si="52"/>
        <v>0-</v>
      </c>
      <c r="H1114" t="str">
        <f>IFERROR(VLOOKUP(E1114,DC_Xref!A:B,2,FALSE),"")</f>
        <v/>
      </c>
      <c r="I1114">
        <f t="shared" si="53"/>
        <v>0</v>
      </c>
    </row>
    <row r="1115" spans="1:9" x14ac:dyDescent="0.3">
      <c r="A1115" t="str">
        <f t="shared" si="51"/>
        <v>-</v>
      </c>
      <c r="B1115" t="str">
        <f t="shared" si="52"/>
        <v>0-</v>
      </c>
      <c r="H1115" t="str">
        <f>IFERROR(VLOOKUP(E1115,DC_Xref!A:B,2,FALSE),"")</f>
        <v/>
      </c>
      <c r="I1115">
        <f t="shared" si="53"/>
        <v>0</v>
      </c>
    </row>
    <row r="1116" spans="1:9" x14ac:dyDescent="0.3">
      <c r="A1116" t="str">
        <f t="shared" si="51"/>
        <v>-</v>
      </c>
      <c r="B1116" t="str">
        <f t="shared" si="52"/>
        <v>0-</v>
      </c>
      <c r="H1116" t="str">
        <f>IFERROR(VLOOKUP(E1116,DC_Xref!A:B,2,FALSE),"")</f>
        <v/>
      </c>
      <c r="I1116">
        <f t="shared" si="53"/>
        <v>0</v>
      </c>
    </row>
    <row r="1117" spans="1:9" x14ac:dyDescent="0.3">
      <c r="A1117" t="str">
        <f t="shared" si="51"/>
        <v>-</v>
      </c>
      <c r="B1117" t="str">
        <f t="shared" si="52"/>
        <v>0-</v>
      </c>
      <c r="H1117" t="str">
        <f>IFERROR(VLOOKUP(E1117,DC_Xref!A:B,2,FALSE),"")</f>
        <v/>
      </c>
      <c r="I1117">
        <f t="shared" si="53"/>
        <v>0</v>
      </c>
    </row>
    <row r="1118" spans="1:9" x14ac:dyDescent="0.3">
      <c r="A1118" t="str">
        <f t="shared" si="51"/>
        <v>-</v>
      </c>
      <c r="B1118" t="str">
        <f t="shared" si="52"/>
        <v>0-</v>
      </c>
      <c r="H1118" t="str">
        <f>IFERROR(VLOOKUP(E1118,DC_Xref!A:B,2,FALSE),"")</f>
        <v/>
      </c>
      <c r="I1118">
        <f t="shared" si="53"/>
        <v>0</v>
      </c>
    </row>
    <row r="1119" spans="1:9" x14ac:dyDescent="0.3">
      <c r="A1119" t="str">
        <f t="shared" si="51"/>
        <v>-</v>
      </c>
      <c r="B1119" t="str">
        <f t="shared" si="52"/>
        <v>0-</v>
      </c>
      <c r="H1119" t="str">
        <f>IFERROR(VLOOKUP(E1119,DC_Xref!A:B,2,FALSE),"")</f>
        <v/>
      </c>
      <c r="I1119">
        <f t="shared" si="53"/>
        <v>0</v>
      </c>
    </row>
    <row r="1120" spans="1:9" x14ac:dyDescent="0.3">
      <c r="A1120" t="str">
        <f t="shared" si="51"/>
        <v>-</v>
      </c>
      <c r="B1120" t="str">
        <f t="shared" si="52"/>
        <v>0-</v>
      </c>
      <c r="H1120" t="str">
        <f>IFERROR(VLOOKUP(E1120,DC_Xref!A:B,2,FALSE),"")</f>
        <v/>
      </c>
      <c r="I1120">
        <f t="shared" si="53"/>
        <v>0</v>
      </c>
    </row>
    <row r="1121" spans="1:9" x14ac:dyDescent="0.3">
      <c r="A1121" t="str">
        <f t="shared" si="51"/>
        <v>-</v>
      </c>
      <c r="B1121" t="str">
        <f t="shared" si="52"/>
        <v>0-</v>
      </c>
      <c r="H1121" t="str">
        <f>IFERROR(VLOOKUP(E1121,DC_Xref!A:B,2,FALSE),"")</f>
        <v/>
      </c>
      <c r="I1121">
        <f t="shared" si="53"/>
        <v>0</v>
      </c>
    </row>
    <row r="1122" spans="1:9" x14ac:dyDescent="0.3">
      <c r="A1122" t="str">
        <f t="shared" si="51"/>
        <v>-</v>
      </c>
      <c r="B1122" t="str">
        <f t="shared" si="52"/>
        <v>0-</v>
      </c>
      <c r="H1122" t="str">
        <f>IFERROR(VLOOKUP(E1122,DC_Xref!A:B,2,FALSE),"")</f>
        <v/>
      </c>
      <c r="I1122">
        <f t="shared" si="53"/>
        <v>0</v>
      </c>
    </row>
    <row r="1123" spans="1:9" x14ac:dyDescent="0.3">
      <c r="A1123" t="str">
        <f t="shared" si="51"/>
        <v>-</v>
      </c>
      <c r="B1123" t="str">
        <f t="shared" si="52"/>
        <v>0-</v>
      </c>
      <c r="H1123" t="str">
        <f>IFERROR(VLOOKUP(E1123,DC_Xref!A:B,2,FALSE),"")</f>
        <v/>
      </c>
      <c r="I1123">
        <f t="shared" si="53"/>
        <v>0</v>
      </c>
    </row>
    <row r="1124" spans="1:9" x14ac:dyDescent="0.3">
      <c r="A1124" t="str">
        <f t="shared" si="51"/>
        <v>-</v>
      </c>
      <c r="B1124" t="str">
        <f t="shared" si="52"/>
        <v>0-</v>
      </c>
      <c r="H1124" t="str">
        <f>IFERROR(VLOOKUP(E1124,DC_Xref!A:B,2,FALSE),"")</f>
        <v/>
      </c>
      <c r="I1124">
        <f t="shared" si="53"/>
        <v>0</v>
      </c>
    </row>
    <row r="1125" spans="1:9" x14ac:dyDescent="0.3">
      <c r="A1125" t="str">
        <f t="shared" si="51"/>
        <v>-</v>
      </c>
      <c r="B1125" t="str">
        <f t="shared" si="52"/>
        <v>0-</v>
      </c>
      <c r="H1125" t="str">
        <f>IFERROR(VLOOKUP(E1125,DC_Xref!A:B,2,FALSE),"")</f>
        <v/>
      </c>
      <c r="I1125">
        <f t="shared" si="53"/>
        <v>0</v>
      </c>
    </row>
    <row r="1126" spans="1:9" x14ac:dyDescent="0.3">
      <c r="A1126" t="str">
        <f t="shared" si="51"/>
        <v>-</v>
      </c>
      <c r="B1126" t="str">
        <f t="shared" si="52"/>
        <v>0-</v>
      </c>
      <c r="H1126" t="str">
        <f>IFERROR(VLOOKUP(E1126,DC_Xref!A:B,2,FALSE),"")</f>
        <v/>
      </c>
      <c r="I1126">
        <f t="shared" si="53"/>
        <v>0</v>
      </c>
    </row>
    <row r="1127" spans="1:9" x14ac:dyDescent="0.3">
      <c r="A1127" t="str">
        <f t="shared" si="51"/>
        <v>-</v>
      </c>
      <c r="B1127" t="str">
        <f t="shared" si="52"/>
        <v>0-</v>
      </c>
      <c r="H1127" t="str">
        <f>IFERROR(VLOOKUP(E1127,DC_Xref!A:B,2,FALSE),"")</f>
        <v/>
      </c>
      <c r="I1127">
        <f t="shared" si="53"/>
        <v>0</v>
      </c>
    </row>
    <row r="1128" spans="1:9" x14ac:dyDescent="0.3">
      <c r="A1128" t="str">
        <f t="shared" si="51"/>
        <v>-</v>
      </c>
      <c r="B1128" t="str">
        <f t="shared" si="52"/>
        <v>0-</v>
      </c>
      <c r="H1128" t="str">
        <f>IFERROR(VLOOKUP(E1128,DC_Xref!A:B,2,FALSE),"")</f>
        <v/>
      </c>
      <c r="I1128">
        <f t="shared" si="53"/>
        <v>0</v>
      </c>
    </row>
    <row r="1129" spans="1:9" x14ac:dyDescent="0.3">
      <c r="A1129" t="str">
        <f t="shared" si="51"/>
        <v>-</v>
      </c>
      <c r="B1129" t="str">
        <f t="shared" si="52"/>
        <v>0-</v>
      </c>
      <c r="H1129" t="str">
        <f>IFERROR(VLOOKUP(E1129,DC_Xref!A:B,2,FALSE),"")</f>
        <v/>
      </c>
      <c r="I1129">
        <f t="shared" si="53"/>
        <v>0</v>
      </c>
    </row>
    <row r="1130" spans="1:9" x14ac:dyDescent="0.3">
      <c r="A1130" t="str">
        <f t="shared" si="51"/>
        <v>-</v>
      </c>
      <c r="B1130" t="str">
        <f t="shared" si="52"/>
        <v>0-</v>
      </c>
      <c r="H1130" t="str">
        <f>IFERROR(VLOOKUP(E1130,DC_Xref!A:B,2,FALSE),"")</f>
        <v/>
      </c>
      <c r="I1130">
        <f t="shared" si="53"/>
        <v>0</v>
      </c>
    </row>
    <row r="1131" spans="1:9" x14ac:dyDescent="0.3">
      <c r="A1131" t="str">
        <f t="shared" si="51"/>
        <v>-</v>
      </c>
      <c r="B1131" t="str">
        <f t="shared" si="52"/>
        <v>0-</v>
      </c>
      <c r="H1131" t="str">
        <f>IFERROR(VLOOKUP(E1131,DC_Xref!A:B,2,FALSE),"")</f>
        <v/>
      </c>
      <c r="I1131">
        <f t="shared" si="53"/>
        <v>0</v>
      </c>
    </row>
    <row r="1132" spans="1:9" x14ac:dyDescent="0.3">
      <c r="A1132" t="str">
        <f t="shared" si="51"/>
        <v>-</v>
      </c>
      <c r="B1132" t="str">
        <f t="shared" si="52"/>
        <v>0-</v>
      </c>
      <c r="H1132" t="str">
        <f>IFERROR(VLOOKUP(E1132,DC_Xref!A:B,2,FALSE),"")</f>
        <v/>
      </c>
      <c r="I1132">
        <f t="shared" si="53"/>
        <v>0</v>
      </c>
    </row>
    <row r="1133" spans="1:9" x14ac:dyDescent="0.3">
      <c r="A1133" t="str">
        <f t="shared" si="51"/>
        <v>-</v>
      </c>
      <c r="B1133" t="str">
        <f t="shared" si="52"/>
        <v>0-</v>
      </c>
      <c r="H1133" t="str">
        <f>IFERROR(VLOOKUP(E1133,DC_Xref!A:B,2,FALSE),"")</f>
        <v/>
      </c>
      <c r="I1133">
        <f t="shared" si="53"/>
        <v>0</v>
      </c>
    </row>
    <row r="1134" spans="1:9" x14ac:dyDescent="0.3">
      <c r="A1134" t="str">
        <f t="shared" si="51"/>
        <v>-</v>
      </c>
      <c r="B1134" t="str">
        <f t="shared" si="52"/>
        <v>0-</v>
      </c>
      <c r="H1134" t="str">
        <f>IFERROR(VLOOKUP(E1134,DC_Xref!A:B,2,FALSE),"")</f>
        <v/>
      </c>
      <c r="I1134">
        <f t="shared" si="53"/>
        <v>0</v>
      </c>
    </row>
    <row r="1135" spans="1:9" x14ac:dyDescent="0.3">
      <c r="A1135" t="str">
        <f t="shared" si="51"/>
        <v>-</v>
      </c>
      <c r="B1135" t="str">
        <f t="shared" si="52"/>
        <v>0-</v>
      </c>
      <c r="H1135" t="str">
        <f>IFERROR(VLOOKUP(E1135,DC_Xref!A:B,2,FALSE),"")</f>
        <v/>
      </c>
      <c r="I1135">
        <f t="shared" si="53"/>
        <v>0</v>
      </c>
    </row>
    <row r="1136" spans="1:9" x14ac:dyDescent="0.3">
      <c r="A1136" t="str">
        <f t="shared" si="51"/>
        <v>-</v>
      </c>
      <c r="B1136" t="str">
        <f t="shared" si="52"/>
        <v>0-</v>
      </c>
      <c r="H1136" t="str">
        <f>IFERROR(VLOOKUP(E1136,DC_Xref!A:B,2,FALSE),"")</f>
        <v/>
      </c>
      <c r="I1136">
        <f t="shared" si="53"/>
        <v>0</v>
      </c>
    </row>
    <row r="1137" spans="1:9" x14ac:dyDescent="0.3">
      <c r="A1137" t="str">
        <f t="shared" si="51"/>
        <v>-</v>
      </c>
      <c r="B1137" t="str">
        <f t="shared" si="52"/>
        <v>0-</v>
      </c>
      <c r="H1137" t="str">
        <f>IFERROR(VLOOKUP(E1137,DC_Xref!A:B,2,FALSE),"")</f>
        <v/>
      </c>
      <c r="I1137">
        <f t="shared" si="53"/>
        <v>0</v>
      </c>
    </row>
    <row r="1138" spans="1:9" x14ac:dyDescent="0.3">
      <c r="A1138" t="str">
        <f t="shared" si="51"/>
        <v>-</v>
      </c>
      <c r="B1138" t="str">
        <f t="shared" si="52"/>
        <v>0-</v>
      </c>
      <c r="H1138" t="str">
        <f>IFERROR(VLOOKUP(E1138,DC_Xref!A:B,2,FALSE),"")</f>
        <v/>
      </c>
      <c r="I1138">
        <f t="shared" si="53"/>
        <v>0</v>
      </c>
    </row>
    <row r="1139" spans="1:9" x14ac:dyDescent="0.3">
      <c r="A1139" t="str">
        <f t="shared" si="51"/>
        <v>-</v>
      </c>
      <c r="B1139" t="str">
        <f t="shared" si="52"/>
        <v>0-</v>
      </c>
      <c r="H1139" t="str">
        <f>IFERROR(VLOOKUP(E1139,DC_Xref!A:B,2,FALSE),"")</f>
        <v/>
      </c>
      <c r="I1139">
        <f t="shared" si="53"/>
        <v>0</v>
      </c>
    </row>
    <row r="1140" spans="1:9" x14ac:dyDescent="0.3">
      <c r="A1140" t="str">
        <f t="shared" si="51"/>
        <v>-</v>
      </c>
      <c r="B1140" t="str">
        <f t="shared" si="52"/>
        <v>0-</v>
      </c>
      <c r="H1140" t="str">
        <f>IFERROR(VLOOKUP(E1140,DC_Xref!A:B,2,FALSE),"")</f>
        <v/>
      </c>
      <c r="I1140">
        <f t="shared" si="53"/>
        <v>0</v>
      </c>
    </row>
    <row r="1141" spans="1:9" x14ac:dyDescent="0.3">
      <c r="A1141" t="str">
        <f t="shared" si="51"/>
        <v>-</v>
      </c>
      <c r="B1141" t="str">
        <f t="shared" si="52"/>
        <v>0-</v>
      </c>
      <c r="H1141" t="str">
        <f>IFERROR(VLOOKUP(E1141,DC_Xref!A:B,2,FALSE),"")</f>
        <v/>
      </c>
      <c r="I1141">
        <f t="shared" si="53"/>
        <v>0</v>
      </c>
    </row>
    <row r="1142" spans="1:9" x14ac:dyDescent="0.3">
      <c r="A1142" t="str">
        <f t="shared" si="51"/>
        <v>-</v>
      </c>
      <c r="B1142" t="str">
        <f t="shared" si="52"/>
        <v>0-</v>
      </c>
      <c r="H1142" t="str">
        <f>IFERROR(VLOOKUP(E1142,DC_Xref!A:B,2,FALSE),"")</f>
        <v/>
      </c>
      <c r="I1142">
        <f t="shared" si="53"/>
        <v>0</v>
      </c>
    </row>
    <row r="1143" spans="1:9" x14ac:dyDescent="0.3">
      <c r="A1143" t="str">
        <f t="shared" si="51"/>
        <v>-</v>
      </c>
      <c r="B1143" t="str">
        <f t="shared" si="52"/>
        <v>0-</v>
      </c>
      <c r="H1143" t="str">
        <f>IFERROR(VLOOKUP(E1143,DC_Xref!A:B,2,FALSE),"")</f>
        <v/>
      </c>
      <c r="I1143">
        <f t="shared" si="53"/>
        <v>0</v>
      </c>
    </row>
    <row r="1144" spans="1:9" x14ac:dyDescent="0.3">
      <c r="A1144" t="str">
        <f t="shared" si="51"/>
        <v>-</v>
      </c>
      <c r="B1144" t="str">
        <f t="shared" si="52"/>
        <v>0-</v>
      </c>
      <c r="H1144" t="str">
        <f>IFERROR(VLOOKUP(E1144,DC_Xref!A:B,2,FALSE),"")</f>
        <v/>
      </c>
      <c r="I1144">
        <f t="shared" si="53"/>
        <v>0</v>
      </c>
    </row>
    <row r="1145" spans="1:9" x14ac:dyDescent="0.3">
      <c r="A1145" t="str">
        <f t="shared" si="51"/>
        <v>-</v>
      </c>
      <c r="B1145" t="str">
        <f t="shared" si="52"/>
        <v>0-</v>
      </c>
      <c r="H1145" t="str">
        <f>IFERROR(VLOOKUP(E1145,DC_Xref!A:B,2,FALSE),"")</f>
        <v/>
      </c>
      <c r="I1145">
        <f t="shared" si="53"/>
        <v>0</v>
      </c>
    </row>
    <row r="1146" spans="1:9" x14ac:dyDescent="0.3">
      <c r="A1146" t="str">
        <f t="shared" si="51"/>
        <v>-</v>
      </c>
      <c r="B1146" t="str">
        <f t="shared" si="52"/>
        <v>0-</v>
      </c>
      <c r="H1146" t="str">
        <f>IFERROR(VLOOKUP(E1146,DC_Xref!A:B,2,FALSE),"")</f>
        <v/>
      </c>
      <c r="I1146">
        <f t="shared" si="53"/>
        <v>0</v>
      </c>
    </row>
    <row r="1147" spans="1:9" x14ac:dyDescent="0.3">
      <c r="A1147" t="str">
        <f t="shared" si="51"/>
        <v>-</v>
      </c>
      <c r="B1147" t="str">
        <f t="shared" si="52"/>
        <v>0-</v>
      </c>
      <c r="H1147" t="str">
        <f>IFERROR(VLOOKUP(E1147,DC_Xref!A:B,2,FALSE),"")</f>
        <v/>
      </c>
      <c r="I1147">
        <f t="shared" si="53"/>
        <v>0</v>
      </c>
    </row>
    <row r="1148" spans="1:9" x14ac:dyDescent="0.3">
      <c r="A1148" t="str">
        <f t="shared" si="51"/>
        <v>-</v>
      </c>
      <c r="B1148" t="str">
        <f t="shared" si="52"/>
        <v>0-</v>
      </c>
      <c r="H1148" t="str">
        <f>IFERROR(VLOOKUP(E1148,DC_Xref!A:B,2,FALSE),"")</f>
        <v/>
      </c>
      <c r="I1148">
        <f t="shared" si="53"/>
        <v>0</v>
      </c>
    </row>
    <row r="1149" spans="1:9" x14ac:dyDescent="0.3">
      <c r="A1149" t="str">
        <f t="shared" si="51"/>
        <v>-</v>
      </c>
      <c r="B1149" t="str">
        <f t="shared" si="52"/>
        <v>0-</v>
      </c>
      <c r="H1149" t="str">
        <f>IFERROR(VLOOKUP(E1149,DC_Xref!A:B,2,FALSE),"")</f>
        <v/>
      </c>
      <c r="I1149">
        <f t="shared" si="53"/>
        <v>0</v>
      </c>
    </row>
    <row r="1150" spans="1:9" x14ac:dyDescent="0.3">
      <c r="A1150" t="str">
        <f t="shared" si="51"/>
        <v>-</v>
      </c>
      <c r="B1150" t="str">
        <f t="shared" si="52"/>
        <v>0-</v>
      </c>
      <c r="H1150" t="str">
        <f>IFERROR(VLOOKUP(E1150,DC_Xref!A:B,2,FALSE),"")</f>
        <v/>
      </c>
      <c r="I1150">
        <f t="shared" si="53"/>
        <v>0</v>
      </c>
    </row>
    <row r="1151" spans="1:9" x14ac:dyDescent="0.3">
      <c r="A1151" t="str">
        <f t="shared" si="51"/>
        <v>-</v>
      </c>
      <c r="B1151" t="str">
        <f t="shared" si="52"/>
        <v>0-</v>
      </c>
      <c r="H1151" t="str">
        <f>IFERROR(VLOOKUP(E1151,DC_Xref!A:B,2,FALSE),"")</f>
        <v/>
      </c>
      <c r="I1151">
        <f t="shared" si="53"/>
        <v>0</v>
      </c>
    </row>
    <row r="1152" spans="1:9" x14ac:dyDescent="0.3">
      <c r="A1152" t="str">
        <f t="shared" si="51"/>
        <v>-</v>
      </c>
      <c r="B1152" t="str">
        <f t="shared" si="52"/>
        <v>0-</v>
      </c>
      <c r="H1152" t="str">
        <f>IFERROR(VLOOKUP(E1152,DC_Xref!A:B,2,FALSE),"")</f>
        <v/>
      </c>
      <c r="I1152">
        <f t="shared" si="53"/>
        <v>0</v>
      </c>
    </row>
    <row r="1153" spans="1:9" x14ac:dyDescent="0.3">
      <c r="A1153" t="str">
        <f t="shared" si="51"/>
        <v>-</v>
      </c>
      <c r="B1153" t="str">
        <f t="shared" si="52"/>
        <v>0-</v>
      </c>
      <c r="H1153" t="str">
        <f>IFERROR(VLOOKUP(E1153,DC_Xref!A:B,2,FALSE),"")</f>
        <v/>
      </c>
      <c r="I1153">
        <f t="shared" si="53"/>
        <v>0</v>
      </c>
    </row>
    <row r="1154" spans="1:9" x14ac:dyDescent="0.3">
      <c r="A1154" t="str">
        <f t="shared" ref="A1154:A1217" si="54">C1154&amp;"-"&amp;F1154</f>
        <v>-</v>
      </c>
      <c r="B1154" t="str">
        <f t="shared" ref="B1154:B1217" si="55">I1154&amp;"-"&amp;H1154</f>
        <v>0-</v>
      </c>
      <c r="H1154" t="str">
        <f>IFERROR(VLOOKUP(E1154,DC_Xref!A:B,2,FALSE),"")</f>
        <v/>
      </c>
      <c r="I1154">
        <f t="shared" ref="I1154:I1217" si="56">C1154*100+D1154</f>
        <v>0</v>
      </c>
    </row>
    <row r="1155" spans="1:9" x14ac:dyDescent="0.3">
      <c r="A1155" t="str">
        <f t="shared" si="54"/>
        <v>-</v>
      </c>
      <c r="B1155" t="str">
        <f t="shared" si="55"/>
        <v>0-</v>
      </c>
      <c r="H1155" t="str">
        <f>IFERROR(VLOOKUP(E1155,DC_Xref!A:B,2,FALSE),"")</f>
        <v/>
      </c>
      <c r="I1155">
        <f t="shared" si="56"/>
        <v>0</v>
      </c>
    </row>
    <row r="1156" spans="1:9" x14ac:dyDescent="0.3">
      <c r="A1156" t="str">
        <f t="shared" si="54"/>
        <v>-</v>
      </c>
      <c r="B1156" t="str">
        <f t="shared" si="55"/>
        <v>0-</v>
      </c>
      <c r="H1156" t="str">
        <f>IFERROR(VLOOKUP(E1156,DC_Xref!A:B,2,FALSE),"")</f>
        <v/>
      </c>
      <c r="I1156">
        <f t="shared" si="56"/>
        <v>0</v>
      </c>
    </row>
    <row r="1157" spans="1:9" x14ac:dyDescent="0.3">
      <c r="A1157" t="str">
        <f t="shared" si="54"/>
        <v>-</v>
      </c>
      <c r="B1157" t="str">
        <f t="shared" si="55"/>
        <v>0-</v>
      </c>
      <c r="H1157" t="str">
        <f>IFERROR(VLOOKUP(E1157,DC_Xref!A:B,2,FALSE),"")</f>
        <v/>
      </c>
      <c r="I1157">
        <f t="shared" si="56"/>
        <v>0</v>
      </c>
    </row>
    <row r="1158" spans="1:9" x14ac:dyDescent="0.3">
      <c r="A1158" t="str">
        <f t="shared" si="54"/>
        <v>-</v>
      </c>
      <c r="B1158" t="str">
        <f t="shared" si="55"/>
        <v>0-</v>
      </c>
      <c r="H1158" t="str">
        <f>IFERROR(VLOOKUP(E1158,DC_Xref!A:B,2,FALSE),"")</f>
        <v/>
      </c>
      <c r="I1158">
        <f t="shared" si="56"/>
        <v>0</v>
      </c>
    </row>
    <row r="1159" spans="1:9" x14ac:dyDescent="0.3">
      <c r="A1159" t="str">
        <f t="shared" si="54"/>
        <v>-</v>
      </c>
      <c r="B1159" t="str">
        <f t="shared" si="55"/>
        <v>0-</v>
      </c>
      <c r="H1159" t="str">
        <f>IFERROR(VLOOKUP(E1159,DC_Xref!A:B,2,FALSE),"")</f>
        <v/>
      </c>
      <c r="I1159">
        <f t="shared" si="56"/>
        <v>0</v>
      </c>
    </row>
    <row r="1160" spans="1:9" x14ac:dyDescent="0.3">
      <c r="A1160" t="str">
        <f t="shared" si="54"/>
        <v>-</v>
      </c>
      <c r="B1160" t="str">
        <f t="shared" si="55"/>
        <v>0-</v>
      </c>
      <c r="H1160" t="str">
        <f>IFERROR(VLOOKUP(E1160,DC_Xref!A:B,2,FALSE),"")</f>
        <v/>
      </c>
      <c r="I1160">
        <f t="shared" si="56"/>
        <v>0</v>
      </c>
    </row>
    <row r="1161" spans="1:9" x14ac:dyDescent="0.3">
      <c r="A1161" t="str">
        <f t="shared" si="54"/>
        <v>-</v>
      </c>
      <c r="B1161" t="str">
        <f t="shared" si="55"/>
        <v>0-</v>
      </c>
      <c r="H1161" t="str">
        <f>IFERROR(VLOOKUP(E1161,DC_Xref!A:B,2,FALSE),"")</f>
        <v/>
      </c>
      <c r="I1161">
        <f t="shared" si="56"/>
        <v>0</v>
      </c>
    </row>
    <row r="1162" spans="1:9" x14ac:dyDescent="0.3">
      <c r="A1162" t="str">
        <f t="shared" si="54"/>
        <v>-</v>
      </c>
      <c r="B1162" t="str">
        <f t="shared" si="55"/>
        <v>0-</v>
      </c>
      <c r="H1162" t="str">
        <f>IFERROR(VLOOKUP(E1162,DC_Xref!A:B,2,FALSE),"")</f>
        <v/>
      </c>
      <c r="I1162">
        <f t="shared" si="56"/>
        <v>0</v>
      </c>
    </row>
    <row r="1163" spans="1:9" x14ac:dyDescent="0.3">
      <c r="A1163" t="str">
        <f t="shared" si="54"/>
        <v>-</v>
      </c>
      <c r="B1163" t="str">
        <f t="shared" si="55"/>
        <v>0-</v>
      </c>
      <c r="H1163" t="str">
        <f>IFERROR(VLOOKUP(E1163,DC_Xref!A:B,2,FALSE),"")</f>
        <v/>
      </c>
      <c r="I1163">
        <f t="shared" si="56"/>
        <v>0</v>
      </c>
    </row>
    <row r="1164" spans="1:9" x14ac:dyDescent="0.3">
      <c r="A1164" t="str">
        <f t="shared" si="54"/>
        <v>-</v>
      </c>
      <c r="B1164" t="str">
        <f t="shared" si="55"/>
        <v>0-</v>
      </c>
      <c r="H1164" t="str">
        <f>IFERROR(VLOOKUP(E1164,DC_Xref!A:B,2,FALSE),"")</f>
        <v/>
      </c>
      <c r="I1164">
        <f t="shared" si="56"/>
        <v>0</v>
      </c>
    </row>
    <row r="1165" spans="1:9" x14ac:dyDescent="0.3">
      <c r="A1165" t="str">
        <f t="shared" si="54"/>
        <v>-</v>
      </c>
      <c r="B1165" t="str">
        <f t="shared" si="55"/>
        <v>0-</v>
      </c>
      <c r="H1165" t="str">
        <f>IFERROR(VLOOKUP(E1165,DC_Xref!A:B,2,FALSE),"")</f>
        <v/>
      </c>
      <c r="I1165">
        <f t="shared" si="56"/>
        <v>0</v>
      </c>
    </row>
    <row r="1166" spans="1:9" x14ac:dyDescent="0.3">
      <c r="A1166" t="str">
        <f t="shared" si="54"/>
        <v>-</v>
      </c>
      <c r="B1166" t="str">
        <f t="shared" si="55"/>
        <v>0-</v>
      </c>
      <c r="H1166" t="str">
        <f>IFERROR(VLOOKUP(E1166,DC_Xref!A:B,2,FALSE),"")</f>
        <v/>
      </c>
      <c r="I1166">
        <f t="shared" si="56"/>
        <v>0</v>
      </c>
    </row>
    <row r="1167" spans="1:9" x14ac:dyDescent="0.3">
      <c r="A1167" t="str">
        <f t="shared" si="54"/>
        <v>-</v>
      </c>
      <c r="B1167" t="str">
        <f t="shared" si="55"/>
        <v>0-</v>
      </c>
      <c r="H1167" t="str">
        <f>IFERROR(VLOOKUP(E1167,DC_Xref!A:B,2,FALSE),"")</f>
        <v/>
      </c>
      <c r="I1167">
        <f t="shared" si="56"/>
        <v>0</v>
      </c>
    </row>
    <row r="1168" spans="1:9" x14ac:dyDescent="0.3">
      <c r="A1168" t="str">
        <f t="shared" si="54"/>
        <v>-</v>
      </c>
      <c r="B1168" t="str">
        <f t="shared" si="55"/>
        <v>0-</v>
      </c>
      <c r="H1168" t="str">
        <f>IFERROR(VLOOKUP(E1168,DC_Xref!A:B,2,FALSE),"")</f>
        <v/>
      </c>
      <c r="I1168">
        <f t="shared" si="56"/>
        <v>0</v>
      </c>
    </row>
    <row r="1169" spans="1:9" x14ac:dyDescent="0.3">
      <c r="A1169" t="str">
        <f t="shared" si="54"/>
        <v>-</v>
      </c>
      <c r="B1169" t="str">
        <f t="shared" si="55"/>
        <v>0-</v>
      </c>
      <c r="H1169" t="str">
        <f>IFERROR(VLOOKUP(E1169,DC_Xref!A:B,2,FALSE),"")</f>
        <v/>
      </c>
      <c r="I1169">
        <f t="shared" si="56"/>
        <v>0</v>
      </c>
    </row>
    <row r="1170" spans="1:9" x14ac:dyDescent="0.3">
      <c r="A1170" t="str">
        <f t="shared" si="54"/>
        <v>-</v>
      </c>
      <c r="B1170" t="str">
        <f t="shared" si="55"/>
        <v>0-</v>
      </c>
      <c r="H1170" t="str">
        <f>IFERROR(VLOOKUP(E1170,DC_Xref!A:B,2,FALSE),"")</f>
        <v/>
      </c>
      <c r="I1170">
        <f t="shared" si="56"/>
        <v>0</v>
      </c>
    </row>
    <row r="1171" spans="1:9" x14ac:dyDescent="0.3">
      <c r="A1171" t="str">
        <f t="shared" si="54"/>
        <v>-</v>
      </c>
      <c r="B1171" t="str">
        <f t="shared" si="55"/>
        <v>0-</v>
      </c>
      <c r="H1171" t="str">
        <f>IFERROR(VLOOKUP(E1171,DC_Xref!A:B,2,FALSE),"")</f>
        <v/>
      </c>
      <c r="I1171">
        <f t="shared" si="56"/>
        <v>0</v>
      </c>
    </row>
    <row r="1172" spans="1:9" x14ac:dyDescent="0.3">
      <c r="A1172" t="str">
        <f t="shared" si="54"/>
        <v>-</v>
      </c>
      <c r="B1172" t="str">
        <f t="shared" si="55"/>
        <v>0-</v>
      </c>
      <c r="H1172" t="str">
        <f>IFERROR(VLOOKUP(E1172,DC_Xref!A:B,2,FALSE),"")</f>
        <v/>
      </c>
      <c r="I1172">
        <f t="shared" si="56"/>
        <v>0</v>
      </c>
    </row>
    <row r="1173" spans="1:9" x14ac:dyDescent="0.3">
      <c r="A1173" t="str">
        <f t="shared" si="54"/>
        <v>-</v>
      </c>
      <c r="B1173" t="str">
        <f t="shared" si="55"/>
        <v>0-</v>
      </c>
      <c r="H1173" t="str">
        <f>IFERROR(VLOOKUP(E1173,DC_Xref!A:B,2,FALSE),"")</f>
        <v/>
      </c>
      <c r="I1173">
        <f t="shared" si="56"/>
        <v>0</v>
      </c>
    </row>
    <row r="1174" spans="1:9" x14ac:dyDescent="0.3">
      <c r="A1174" t="str">
        <f t="shared" si="54"/>
        <v>-</v>
      </c>
      <c r="B1174" t="str">
        <f t="shared" si="55"/>
        <v>0-</v>
      </c>
      <c r="H1174" t="str">
        <f>IFERROR(VLOOKUP(E1174,DC_Xref!A:B,2,FALSE),"")</f>
        <v/>
      </c>
      <c r="I1174">
        <f t="shared" si="56"/>
        <v>0</v>
      </c>
    </row>
    <row r="1175" spans="1:9" x14ac:dyDescent="0.3">
      <c r="A1175" t="str">
        <f t="shared" si="54"/>
        <v>-</v>
      </c>
      <c r="B1175" t="str">
        <f t="shared" si="55"/>
        <v>0-</v>
      </c>
      <c r="H1175" t="str">
        <f>IFERROR(VLOOKUP(E1175,DC_Xref!A:B,2,FALSE),"")</f>
        <v/>
      </c>
      <c r="I1175">
        <f t="shared" si="56"/>
        <v>0</v>
      </c>
    </row>
    <row r="1176" spans="1:9" x14ac:dyDescent="0.3">
      <c r="A1176" t="str">
        <f t="shared" si="54"/>
        <v>-</v>
      </c>
      <c r="B1176" t="str">
        <f t="shared" si="55"/>
        <v>0-</v>
      </c>
      <c r="H1176" t="str">
        <f>IFERROR(VLOOKUP(E1176,DC_Xref!A:B,2,FALSE),"")</f>
        <v/>
      </c>
      <c r="I1176">
        <f t="shared" si="56"/>
        <v>0</v>
      </c>
    </row>
    <row r="1177" spans="1:9" x14ac:dyDescent="0.3">
      <c r="A1177" t="str">
        <f t="shared" si="54"/>
        <v>-</v>
      </c>
      <c r="B1177" t="str">
        <f t="shared" si="55"/>
        <v>0-</v>
      </c>
      <c r="H1177" t="str">
        <f>IFERROR(VLOOKUP(E1177,DC_Xref!A:B,2,FALSE),"")</f>
        <v/>
      </c>
      <c r="I1177">
        <f t="shared" si="56"/>
        <v>0</v>
      </c>
    </row>
    <row r="1178" spans="1:9" x14ac:dyDescent="0.3">
      <c r="A1178" t="str">
        <f t="shared" si="54"/>
        <v>-</v>
      </c>
      <c r="B1178" t="str">
        <f t="shared" si="55"/>
        <v>0-</v>
      </c>
      <c r="H1178" t="str">
        <f>IFERROR(VLOOKUP(E1178,DC_Xref!A:B,2,FALSE),"")</f>
        <v/>
      </c>
      <c r="I1178">
        <f t="shared" si="56"/>
        <v>0</v>
      </c>
    </row>
    <row r="1179" spans="1:9" x14ac:dyDescent="0.3">
      <c r="A1179" t="str">
        <f t="shared" si="54"/>
        <v>-</v>
      </c>
      <c r="B1179" t="str">
        <f t="shared" si="55"/>
        <v>0-</v>
      </c>
      <c r="H1179" t="str">
        <f>IFERROR(VLOOKUP(E1179,DC_Xref!A:B,2,FALSE),"")</f>
        <v/>
      </c>
      <c r="I1179">
        <f t="shared" si="56"/>
        <v>0</v>
      </c>
    </row>
    <row r="1180" spans="1:9" x14ac:dyDescent="0.3">
      <c r="A1180" t="str">
        <f t="shared" si="54"/>
        <v>-</v>
      </c>
      <c r="B1180" t="str">
        <f t="shared" si="55"/>
        <v>0-</v>
      </c>
      <c r="H1180" t="str">
        <f>IFERROR(VLOOKUP(E1180,DC_Xref!A:B,2,FALSE),"")</f>
        <v/>
      </c>
      <c r="I1180">
        <f t="shared" si="56"/>
        <v>0</v>
      </c>
    </row>
    <row r="1181" spans="1:9" x14ac:dyDescent="0.3">
      <c r="A1181" t="str">
        <f t="shared" si="54"/>
        <v>-</v>
      </c>
      <c r="B1181" t="str">
        <f t="shared" si="55"/>
        <v>0-</v>
      </c>
      <c r="H1181" t="str">
        <f>IFERROR(VLOOKUP(E1181,DC_Xref!A:B,2,FALSE),"")</f>
        <v/>
      </c>
      <c r="I1181">
        <f t="shared" si="56"/>
        <v>0</v>
      </c>
    </row>
    <row r="1182" spans="1:9" x14ac:dyDescent="0.3">
      <c r="A1182" t="str">
        <f t="shared" si="54"/>
        <v>-</v>
      </c>
      <c r="B1182" t="str">
        <f t="shared" si="55"/>
        <v>0-</v>
      </c>
      <c r="H1182" t="str">
        <f>IFERROR(VLOOKUP(E1182,DC_Xref!A:B,2,FALSE),"")</f>
        <v/>
      </c>
      <c r="I1182">
        <f t="shared" si="56"/>
        <v>0</v>
      </c>
    </row>
    <row r="1183" spans="1:9" x14ac:dyDescent="0.3">
      <c r="A1183" t="str">
        <f t="shared" si="54"/>
        <v>-</v>
      </c>
      <c r="B1183" t="str">
        <f t="shared" si="55"/>
        <v>0-</v>
      </c>
      <c r="H1183" t="str">
        <f>IFERROR(VLOOKUP(E1183,DC_Xref!A:B,2,FALSE),"")</f>
        <v/>
      </c>
      <c r="I1183">
        <f t="shared" si="56"/>
        <v>0</v>
      </c>
    </row>
    <row r="1184" spans="1:9" x14ac:dyDescent="0.3">
      <c r="A1184" t="str">
        <f t="shared" si="54"/>
        <v>-</v>
      </c>
      <c r="B1184" t="str">
        <f t="shared" si="55"/>
        <v>0-</v>
      </c>
      <c r="H1184" t="str">
        <f>IFERROR(VLOOKUP(E1184,DC_Xref!A:B,2,FALSE),"")</f>
        <v/>
      </c>
      <c r="I1184">
        <f t="shared" si="56"/>
        <v>0</v>
      </c>
    </row>
    <row r="1185" spans="1:9" x14ac:dyDescent="0.3">
      <c r="A1185" t="str">
        <f t="shared" si="54"/>
        <v>-</v>
      </c>
      <c r="B1185" t="str">
        <f t="shared" si="55"/>
        <v>0-</v>
      </c>
      <c r="H1185" t="str">
        <f>IFERROR(VLOOKUP(E1185,DC_Xref!A:B,2,FALSE),"")</f>
        <v/>
      </c>
      <c r="I1185">
        <f t="shared" si="56"/>
        <v>0</v>
      </c>
    </row>
    <row r="1186" spans="1:9" x14ac:dyDescent="0.3">
      <c r="A1186" t="str">
        <f t="shared" si="54"/>
        <v>-</v>
      </c>
      <c r="B1186" t="str">
        <f t="shared" si="55"/>
        <v>0-</v>
      </c>
      <c r="H1186" t="str">
        <f>IFERROR(VLOOKUP(E1186,DC_Xref!A:B,2,FALSE),"")</f>
        <v/>
      </c>
      <c r="I1186">
        <f t="shared" si="56"/>
        <v>0</v>
      </c>
    </row>
    <row r="1187" spans="1:9" x14ac:dyDescent="0.3">
      <c r="A1187" t="str">
        <f t="shared" si="54"/>
        <v>-</v>
      </c>
      <c r="B1187" t="str">
        <f t="shared" si="55"/>
        <v>0-</v>
      </c>
      <c r="H1187" t="str">
        <f>IFERROR(VLOOKUP(E1187,DC_Xref!A:B,2,FALSE),"")</f>
        <v/>
      </c>
      <c r="I1187">
        <f t="shared" si="56"/>
        <v>0</v>
      </c>
    </row>
    <row r="1188" spans="1:9" x14ac:dyDescent="0.3">
      <c r="A1188" t="str">
        <f t="shared" si="54"/>
        <v>-</v>
      </c>
      <c r="B1188" t="str">
        <f t="shared" si="55"/>
        <v>0-</v>
      </c>
      <c r="H1188" t="str">
        <f>IFERROR(VLOOKUP(E1188,DC_Xref!A:B,2,FALSE),"")</f>
        <v/>
      </c>
      <c r="I1188">
        <f t="shared" si="56"/>
        <v>0</v>
      </c>
    </row>
    <row r="1189" spans="1:9" x14ac:dyDescent="0.3">
      <c r="A1189" t="str">
        <f t="shared" si="54"/>
        <v>-</v>
      </c>
      <c r="B1189" t="str">
        <f t="shared" si="55"/>
        <v>0-</v>
      </c>
      <c r="H1189" t="str">
        <f>IFERROR(VLOOKUP(E1189,DC_Xref!A:B,2,FALSE),"")</f>
        <v/>
      </c>
      <c r="I1189">
        <f t="shared" si="56"/>
        <v>0</v>
      </c>
    </row>
    <row r="1190" spans="1:9" x14ac:dyDescent="0.3">
      <c r="A1190" t="str">
        <f t="shared" si="54"/>
        <v>-</v>
      </c>
      <c r="B1190" t="str">
        <f t="shared" si="55"/>
        <v>0-</v>
      </c>
      <c r="H1190" t="str">
        <f>IFERROR(VLOOKUP(E1190,DC_Xref!A:B,2,FALSE),"")</f>
        <v/>
      </c>
      <c r="I1190">
        <f t="shared" si="56"/>
        <v>0</v>
      </c>
    </row>
    <row r="1191" spans="1:9" x14ac:dyDescent="0.3">
      <c r="A1191" t="str">
        <f t="shared" si="54"/>
        <v>-</v>
      </c>
      <c r="B1191" t="str">
        <f t="shared" si="55"/>
        <v>0-</v>
      </c>
      <c r="H1191" t="str">
        <f>IFERROR(VLOOKUP(E1191,DC_Xref!A:B,2,FALSE),"")</f>
        <v/>
      </c>
      <c r="I1191">
        <f t="shared" si="56"/>
        <v>0</v>
      </c>
    </row>
    <row r="1192" spans="1:9" x14ac:dyDescent="0.3">
      <c r="A1192" t="str">
        <f t="shared" si="54"/>
        <v>-</v>
      </c>
      <c r="B1192" t="str">
        <f t="shared" si="55"/>
        <v>0-</v>
      </c>
      <c r="H1192" t="str">
        <f>IFERROR(VLOOKUP(E1192,DC_Xref!A:B,2,FALSE),"")</f>
        <v/>
      </c>
      <c r="I1192">
        <f t="shared" si="56"/>
        <v>0</v>
      </c>
    </row>
    <row r="1193" spans="1:9" x14ac:dyDescent="0.3">
      <c r="A1193" t="str">
        <f t="shared" si="54"/>
        <v>-</v>
      </c>
      <c r="B1193" t="str">
        <f t="shared" si="55"/>
        <v>0-</v>
      </c>
      <c r="H1193" t="str">
        <f>IFERROR(VLOOKUP(E1193,DC_Xref!A:B,2,FALSE),"")</f>
        <v/>
      </c>
      <c r="I1193">
        <f t="shared" si="56"/>
        <v>0</v>
      </c>
    </row>
    <row r="1194" spans="1:9" x14ac:dyDescent="0.3">
      <c r="A1194" t="str">
        <f t="shared" si="54"/>
        <v>-</v>
      </c>
      <c r="B1194" t="str">
        <f t="shared" si="55"/>
        <v>0-</v>
      </c>
      <c r="H1194" t="str">
        <f>IFERROR(VLOOKUP(E1194,DC_Xref!A:B,2,FALSE),"")</f>
        <v/>
      </c>
      <c r="I1194">
        <f t="shared" si="56"/>
        <v>0</v>
      </c>
    </row>
    <row r="1195" spans="1:9" x14ac:dyDescent="0.3">
      <c r="A1195" t="str">
        <f t="shared" si="54"/>
        <v>-</v>
      </c>
      <c r="B1195" t="str">
        <f t="shared" si="55"/>
        <v>0-</v>
      </c>
      <c r="H1195" t="str">
        <f>IFERROR(VLOOKUP(E1195,DC_Xref!A:B,2,FALSE),"")</f>
        <v/>
      </c>
      <c r="I1195">
        <f t="shared" si="56"/>
        <v>0</v>
      </c>
    </row>
    <row r="1196" spans="1:9" x14ac:dyDescent="0.3">
      <c r="A1196" t="str">
        <f t="shared" si="54"/>
        <v>-</v>
      </c>
      <c r="B1196" t="str">
        <f t="shared" si="55"/>
        <v>0-</v>
      </c>
      <c r="H1196" t="str">
        <f>IFERROR(VLOOKUP(E1196,DC_Xref!A:B,2,FALSE),"")</f>
        <v/>
      </c>
      <c r="I1196">
        <f t="shared" si="56"/>
        <v>0</v>
      </c>
    </row>
    <row r="1197" spans="1:9" x14ac:dyDescent="0.3">
      <c r="A1197" t="str">
        <f t="shared" si="54"/>
        <v>-</v>
      </c>
      <c r="B1197" t="str">
        <f t="shared" si="55"/>
        <v>0-</v>
      </c>
      <c r="H1197" t="str">
        <f>IFERROR(VLOOKUP(E1197,DC_Xref!A:B,2,FALSE),"")</f>
        <v/>
      </c>
      <c r="I1197">
        <f t="shared" si="56"/>
        <v>0</v>
      </c>
    </row>
    <row r="1198" spans="1:9" x14ac:dyDescent="0.3">
      <c r="A1198" t="str">
        <f t="shared" si="54"/>
        <v>-</v>
      </c>
      <c r="B1198" t="str">
        <f t="shared" si="55"/>
        <v>0-</v>
      </c>
      <c r="H1198" t="str">
        <f>IFERROR(VLOOKUP(E1198,DC_Xref!A:B,2,FALSE),"")</f>
        <v/>
      </c>
      <c r="I1198">
        <f t="shared" si="56"/>
        <v>0</v>
      </c>
    </row>
    <row r="1199" spans="1:9" x14ac:dyDescent="0.3">
      <c r="A1199" t="str">
        <f t="shared" si="54"/>
        <v>-</v>
      </c>
      <c r="B1199" t="str">
        <f t="shared" si="55"/>
        <v>0-</v>
      </c>
      <c r="H1199" t="str">
        <f>IFERROR(VLOOKUP(E1199,DC_Xref!A:B,2,FALSE),"")</f>
        <v/>
      </c>
      <c r="I1199">
        <f t="shared" si="56"/>
        <v>0</v>
      </c>
    </row>
    <row r="1200" spans="1:9" x14ac:dyDescent="0.3">
      <c r="A1200" t="str">
        <f t="shared" si="54"/>
        <v>-</v>
      </c>
      <c r="B1200" t="str">
        <f t="shared" si="55"/>
        <v>0-</v>
      </c>
      <c r="H1200" t="str">
        <f>IFERROR(VLOOKUP(E1200,DC_Xref!A:B,2,FALSE),"")</f>
        <v/>
      </c>
      <c r="I1200">
        <f t="shared" si="56"/>
        <v>0</v>
      </c>
    </row>
    <row r="1201" spans="1:9" x14ac:dyDescent="0.3">
      <c r="A1201" t="str">
        <f t="shared" si="54"/>
        <v>-</v>
      </c>
      <c r="B1201" t="str">
        <f t="shared" si="55"/>
        <v>0-</v>
      </c>
      <c r="H1201" t="str">
        <f>IFERROR(VLOOKUP(E1201,DC_Xref!A:B,2,FALSE),"")</f>
        <v/>
      </c>
      <c r="I1201">
        <f t="shared" si="56"/>
        <v>0</v>
      </c>
    </row>
    <row r="1202" spans="1:9" x14ac:dyDescent="0.3">
      <c r="A1202" t="str">
        <f t="shared" si="54"/>
        <v>-</v>
      </c>
      <c r="B1202" t="str">
        <f t="shared" si="55"/>
        <v>0-</v>
      </c>
      <c r="H1202" t="str">
        <f>IFERROR(VLOOKUP(E1202,DC_Xref!A:B,2,FALSE),"")</f>
        <v/>
      </c>
      <c r="I1202">
        <f t="shared" si="56"/>
        <v>0</v>
      </c>
    </row>
    <row r="1203" spans="1:9" x14ac:dyDescent="0.3">
      <c r="A1203" t="str">
        <f t="shared" si="54"/>
        <v>-</v>
      </c>
      <c r="B1203" t="str">
        <f t="shared" si="55"/>
        <v>0-</v>
      </c>
      <c r="H1203" t="str">
        <f>IFERROR(VLOOKUP(E1203,DC_Xref!A:B,2,FALSE),"")</f>
        <v/>
      </c>
      <c r="I1203">
        <f t="shared" si="56"/>
        <v>0</v>
      </c>
    </row>
    <row r="1204" spans="1:9" x14ac:dyDescent="0.3">
      <c r="A1204" t="str">
        <f t="shared" si="54"/>
        <v>-</v>
      </c>
      <c r="B1204" t="str">
        <f t="shared" si="55"/>
        <v>0-</v>
      </c>
      <c r="H1204" t="str">
        <f>IFERROR(VLOOKUP(E1204,DC_Xref!A:B,2,FALSE),"")</f>
        <v/>
      </c>
      <c r="I1204">
        <f t="shared" si="56"/>
        <v>0</v>
      </c>
    </row>
    <row r="1205" spans="1:9" x14ac:dyDescent="0.3">
      <c r="A1205" t="str">
        <f t="shared" si="54"/>
        <v>-</v>
      </c>
      <c r="B1205" t="str">
        <f t="shared" si="55"/>
        <v>0-</v>
      </c>
      <c r="H1205" t="str">
        <f>IFERROR(VLOOKUP(E1205,DC_Xref!A:B,2,FALSE),"")</f>
        <v/>
      </c>
      <c r="I1205">
        <f t="shared" si="56"/>
        <v>0</v>
      </c>
    </row>
    <row r="1206" spans="1:9" x14ac:dyDescent="0.3">
      <c r="A1206" t="str">
        <f t="shared" si="54"/>
        <v>-</v>
      </c>
      <c r="B1206" t="str">
        <f t="shared" si="55"/>
        <v>0-</v>
      </c>
      <c r="H1206" t="str">
        <f>IFERROR(VLOOKUP(E1206,DC_Xref!A:B,2,FALSE),"")</f>
        <v/>
      </c>
      <c r="I1206">
        <f t="shared" si="56"/>
        <v>0</v>
      </c>
    </row>
    <row r="1207" spans="1:9" x14ac:dyDescent="0.3">
      <c r="A1207" t="str">
        <f t="shared" si="54"/>
        <v>-</v>
      </c>
      <c r="B1207" t="str">
        <f t="shared" si="55"/>
        <v>0-</v>
      </c>
      <c r="H1207" t="str">
        <f>IFERROR(VLOOKUP(E1207,DC_Xref!A:B,2,FALSE),"")</f>
        <v/>
      </c>
      <c r="I1207">
        <f t="shared" si="56"/>
        <v>0</v>
      </c>
    </row>
    <row r="1208" spans="1:9" x14ac:dyDescent="0.3">
      <c r="A1208" t="str">
        <f t="shared" si="54"/>
        <v>-</v>
      </c>
      <c r="B1208" t="str">
        <f t="shared" si="55"/>
        <v>0-</v>
      </c>
      <c r="H1208" t="str">
        <f>IFERROR(VLOOKUP(E1208,DC_Xref!A:B,2,FALSE),"")</f>
        <v/>
      </c>
      <c r="I1208">
        <f t="shared" si="56"/>
        <v>0</v>
      </c>
    </row>
    <row r="1209" spans="1:9" x14ac:dyDescent="0.3">
      <c r="A1209" t="str">
        <f t="shared" si="54"/>
        <v>-</v>
      </c>
      <c r="B1209" t="str">
        <f t="shared" si="55"/>
        <v>0-</v>
      </c>
      <c r="H1209" t="str">
        <f>IFERROR(VLOOKUP(E1209,DC_Xref!A:B,2,FALSE),"")</f>
        <v/>
      </c>
      <c r="I1209">
        <f t="shared" si="56"/>
        <v>0</v>
      </c>
    </row>
    <row r="1210" spans="1:9" x14ac:dyDescent="0.3">
      <c r="A1210" t="str">
        <f t="shared" si="54"/>
        <v>-</v>
      </c>
      <c r="B1210" t="str">
        <f t="shared" si="55"/>
        <v>0-</v>
      </c>
      <c r="H1210" t="str">
        <f>IFERROR(VLOOKUP(E1210,DC_Xref!A:B,2,FALSE),"")</f>
        <v/>
      </c>
      <c r="I1210">
        <f t="shared" si="56"/>
        <v>0</v>
      </c>
    </row>
    <row r="1211" spans="1:9" x14ac:dyDescent="0.3">
      <c r="A1211" t="str">
        <f t="shared" si="54"/>
        <v>-</v>
      </c>
      <c r="B1211" t="str">
        <f t="shared" si="55"/>
        <v>0-</v>
      </c>
      <c r="H1211" t="str">
        <f>IFERROR(VLOOKUP(E1211,DC_Xref!A:B,2,FALSE),"")</f>
        <v/>
      </c>
      <c r="I1211">
        <f t="shared" si="56"/>
        <v>0</v>
      </c>
    </row>
    <row r="1212" spans="1:9" x14ac:dyDescent="0.3">
      <c r="A1212" t="str">
        <f t="shared" si="54"/>
        <v>-</v>
      </c>
      <c r="B1212" t="str">
        <f t="shared" si="55"/>
        <v>0-</v>
      </c>
      <c r="H1212" t="str">
        <f>IFERROR(VLOOKUP(E1212,DC_Xref!A:B,2,FALSE),"")</f>
        <v/>
      </c>
      <c r="I1212">
        <f t="shared" si="56"/>
        <v>0</v>
      </c>
    </row>
    <row r="1213" spans="1:9" x14ac:dyDescent="0.3">
      <c r="A1213" t="str">
        <f t="shared" si="54"/>
        <v>-</v>
      </c>
      <c r="B1213" t="str">
        <f t="shared" si="55"/>
        <v>0-</v>
      </c>
      <c r="H1213" t="str">
        <f>IFERROR(VLOOKUP(E1213,DC_Xref!A:B,2,FALSE),"")</f>
        <v/>
      </c>
      <c r="I1213">
        <f t="shared" si="56"/>
        <v>0</v>
      </c>
    </row>
    <row r="1214" spans="1:9" x14ac:dyDescent="0.3">
      <c r="A1214" t="str">
        <f t="shared" si="54"/>
        <v>-</v>
      </c>
      <c r="B1214" t="str">
        <f t="shared" si="55"/>
        <v>0-</v>
      </c>
      <c r="H1214" t="str">
        <f>IFERROR(VLOOKUP(E1214,DC_Xref!A:B,2,FALSE),"")</f>
        <v/>
      </c>
      <c r="I1214">
        <f t="shared" si="56"/>
        <v>0</v>
      </c>
    </row>
    <row r="1215" spans="1:9" x14ac:dyDescent="0.3">
      <c r="A1215" t="str">
        <f t="shared" si="54"/>
        <v>-</v>
      </c>
      <c r="B1215" t="str">
        <f t="shared" si="55"/>
        <v>0-</v>
      </c>
      <c r="H1215" t="str">
        <f>IFERROR(VLOOKUP(E1215,DC_Xref!A:B,2,FALSE),"")</f>
        <v/>
      </c>
      <c r="I1215">
        <f t="shared" si="56"/>
        <v>0</v>
      </c>
    </row>
    <row r="1216" spans="1:9" x14ac:dyDescent="0.3">
      <c r="A1216" t="str">
        <f t="shared" si="54"/>
        <v>-</v>
      </c>
      <c r="B1216" t="str">
        <f t="shared" si="55"/>
        <v>0-</v>
      </c>
      <c r="H1216" t="str">
        <f>IFERROR(VLOOKUP(E1216,DC_Xref!A:B,2,FALSE),"")</f>
        <v/>
      </c>
      <c r="I1216">
        <f t="shared" si="56"/>
        <v>0</v>
      </c>
    </row>
    <row r="1217" spans="1:9" x14ac:dyDescent="0.3">
      <c r="A1217" t="str">
        <f t="shared" si="54"/>
        <v>-</v>
      </c>
      <c r="B1217" t="str">
        <f t="shared" si="55"/>
        <v>0-</v>
      </c>
      <c r="H1217" t="str">
        <f>IFERROR(VLOOKUP(E1217,DC_Xref!A:B,2,FALSE),"")</f>
        <v/>
      </c>
      <c r="I1217">
        <f t="shared" si="56"/>
        <v>0</v>
      </c>
    </row>
    <row r="1218" spans="1:9" x14ac:dyDescent="0.3">
      <c r="A1218" t="str">
        <f t="shared" ref="A1218:A1281" si="57">C1218&amp;"-"&amp;F1218</f>
        <v>-</v>
      </c>
      <c r="B1218" t="str">
        <f t="shared" ref="B1218:B1281" si="58">I1218&amp;"-"&amp;H1218</f>
        <v>0-</v>
      </c>
      <c r="H1218" t="str">
        <f>IFERROR(VLOOKUP(E1218,DC_Xref!A:B,2,FALSE),"")</f>
        <v/>
      </c>
      <c r="I1218">
        <f t="shared" ref="I1218:I1281" si="59">C1218*100+D1218</f>
        <v>0</v>
      </c>
    </row>
    <row r="1219" spans="1:9" x14ac:dyDescent="0.3">
      <c r="A1219" t="str">
        <f t="shared" si="57"/>
        <v>-</v>
      </c>
      <c r="B1219" t="str">
        <f t="shared" si="58"/>
        <v>0-</v>
      </c>
      <c r="H1219" t="str">
        <f>IFERROR(VLOOKUP(E1219,DC_Xref!A:B,2,FALSE),"")</f>
        <v/>
      </c>
      <c r="I1219">
        <f t="shared" si="59"/>
        <v>0</v>
      </c>
    </row>
    <row r="1220" spans="1:9" x14ac:dyDescent="0.3">
      <c r="A1220" t="str">
        <f t="shared" si="57"/>
        <v>-</v>
      </c>
      <c r="B1220" t="str">
        <f t="shared" si="58"/>
        <v>0-</v>
      </c>
      <c r="H1220" t="str">
        <f>IFERROR(VLOOKUP(E1220,DC_Xref!A:B,2,FALSE),"")</f>
        <v/>
      </c>
      <c r="I1220">
        <f t="shared" si="59"/>
        <v>0</v>
      </c>
    </row>
    <row r="1221" spans="1:9" x14ac:dyDescent="0.3">
      <c r="A1221" t="str">
        <f t="shared" si="57"/>
        <v>-</v>
      </c>
      <c r="B1221" t="str">
        <f t="shared" si="58"/>
        <v>0-</v>
      </c>
      <c r="H1221" t="str">
        <f>IFERROR(VLOOKUP(E1221,DC_Xref!A:B,2,FALSE),"")</f>
        <v/>
      </c>
      <c r="I1221">
        <f t="shared" si="59"/>
        <v>0</v>
      </c>
    </row>
    <row r="1222" spans="1:9" x14ac:dyDescent="0.3">
      <c r="A1222" t="str">
        <f t="shared" si="57"/>
        <v>-</v>
      </c>
      <c r="B1222" t="str">
        <f t="shared" si="58"/>
        <v>0-</v>
      </c>
      <c r="H1222" t="str">
        <f>IFERROR(VLOOKUP(E1222,DC_Xref!A:B,2,FALSE),"")</f>
        <v/>
      </c>
      <c r="I1222">
        <f t="shared" si="59"/>
        <v>0</v>
      </c>
    </row>
    <row r="1223" spans="1:9" x14ac:dyDescent="0.3">
      <c r="A1223" t="str">
        <f t="shared" si="57"/>
        <v>-</v>
      </c>
      <c r="B1223" t="str">
        <f t="shared" si="58"/>
        <v>0-</v>
      </c>
      <c r="H1223" t="str">
        <f>IFERROR(VLOOKUP(E1223,DC_Xref!A:B,2,FALSE),"")</f>
        <v/>
      </c>
      <c r="I1223">
        <f t="shared" si="59"/>
        <v>0</v>
      </c>
    </row>
    <row r="1224" spans="1:9" x14ac:dyDescent="0.3">
      <c r="A1224" t="str">
        <f t="shared" si="57"/>
        <v>-</v>
      </c>
      <c r="B1224" t="str">
        <f t="shared" si="58"/>
        <v>0-</v>
      </c>
      <c r="H1224" t="str">
        <f>IFERROR(VLOOKUP(E1224,DC_Xref!A:B,2,FALSE),"")</f>
        <v/>
      </c>
      <c r="I1224">
        <f t="shared" si="59"/>
        <v>0</v>
      </c>
    </row>
    <row r="1225" spans="1:9" x14ac:dyDescent="0.3">
      <c r="A1225" t="str">
        <f t="shared" si="57"/>
        <v>-</v>
      </c>
      <c r="B1225" t="str">
        <f t="shared" si="58"/>
        <v>0-</v>
      </c>
      <c r="H1225" t="str">
        <f>IFERROR(VLOOKUP(E1225,DC_Xref!A:B,2,FALSE),"")</f>
        <v/>
      </c>
      <c r="I1225">
        <f t="shared" si="59"/>
        <v>0</v>
      </c>
    </row>
    <row r="1226" spans="1:9" x14ac:dyDescent="0.3">
      <c r="A1226" t="str">
        <f t="shared" si="57"/>
        <v>-</v>
      </c>
      <c r="B1226" t="str">
        <f t="shared" si="58"/>
        <v>0-</v>
      </c>
      <c r="H1226" t="str">
        <f>IFERROR(VLOOKUP(E1226,DC_Xref!A:B,2,FALSE),"")</f>
        <v/>
      </c>
      <c r="I1226">
        <f t="shared" si="59"/>
        <v>0</v>
      </c>
    </row>
    <row r="1227" spans="1:9" x14ac:dyDescent="0.3">
      <c r="A1227" t="str">
        <f t="shared" si="57"/>
        <v>-</v>
      </c>
      <c r="B1227" t="str">
        <f t="shared" si="58"/>
        <v>0-</v>
      </c>
      <c r="H1227" t="str">
        <f>IFERROR(VLOOKUP(E1227,DC_Xref!A:B,2,FALSE),"")</f>
        <v/>
      </c>
      <c r="I1227">
        <f t="shared" si="59"/>
        <v>0</v>
      </c>
    </row>
    <row r="1228" spans="1:9" x14ac:dyDescent="0.3">
      <c r="A1228" t="str">
        <f t="shared" si="57"/>
        <v>-</v>
      </c>
      <c r="B1228" t="str">
        <f t="shared" si="58"/>
        <v>0-</v>
      </c>
      <c r="H1228" t="str">
        <f>IFERROR(VLOOKUP(E1228,DC_Xref!A:B,2,FALSE),"")</f>
        <v/>
      </c>
      <c r="I1228">
        <f t="shared" si="59"/>
        <v>0</v>
      </c>
    </row>
    <row r="1229" spans="1:9" x14ac:dyDescent="0.3">
      <c r="A1229" t="str">
        <f t="shared" si="57"/>
        <v>-</v>
      </c>
      <c r="B1229" t="str">
        <f t="shared" si="58"/>
        <v>0-</v>
      </c>
      <c r="H1229" t="str">
        <f>IFERROR(VLOOKUP(E1229,DC_Xref!A:B,2,FALSE),"")</f>
        <v/>
      </c>
      <c r="I1229">
        <f t="shared" si="59"/>
        <v>0</v>
      </c>
    </row>
    <row r="1230" spans="1:9" x14ac:dyDescent="0.3">
      <c r="A1230" t="str">
        <f t="shared" si="57"/>
        <v>-</v>
      </c>
      <c r="B1230" t="str">
        <f t="shared" si="58"/>
        <v>0-</v>
      </c>
      <c r="H1230" t="str">
        <f>IFERROR(VLOOKUP(E1230,DC_Xref!A:B,2,FALSE),"")</f>
        <v/>
      </c>
      <c r="I1230">
        <f t="shared" si="59"/>
        <v>0</v>
      </c>
    </row>
    <row r="1231" spans="1:9" x14ac:dyDescent="0.3">
      <c r="A1231" t="str">
        <f t="shared" si="57"/>
        <v>-</v>
      </c>
      <c r="B1231" t="str">
        <f t="shared" si="58"/>
        <v>0-</v>
      </c>
      <c r="H1231" t="str">
        <f>IFERROR(VLOOKUP(E1231,DC_Xref!A:B,2,FALSE),"")</f>
        <v/>
      </c>
      <c r="I1231">
        <f t="shared" si="59"/>
        <v>0</v>
      </c>
    </row>
    <row r="1232" spans="1:9" x14ac:dyDescent="0.3">
      <c r="A1232" t="str">
        <f t="shared" si="57"/>
        <v>-</v>
      </c>
      <c r="B1232" t="str">
        <f t="shared" si="58"/>
        <v>0-</v>
      </c>
      <c r="H1232" t="str">
        <f>IFERROR(VLOOKUP(E1232,DC_Xref!A:B,2,FALSE),"")</f>
        <v/>
      </c>
      <c r="I1232">
        <f t="shared" si="59"/>
        <v>0</v>
      </c>
    </row>
    <row r="1233" spans="1:9" x14ac:dyDescent="0.3">
      <c r="A1233" t="str">
        <f t="shared" si="57"/>
        <v>-</v>
      </c>
      <c r="B1233" t="str">
        <f t="shared" si="58"/>
        <v>0-</v>
      </c>
      <c r="H1233" t="str">
        <f>IFERROR(VLOOKUP(E1233,DC_Xref!A:B,2,FALSE),"")</f>
        <v/>
      </c>
      <c r="I1233">
        <f t="shared" si="59"/>
        <v>0</v>
      </c>
    </row>
    <row r="1234" spans="1:9" x14ac:dyDescent="0.3">
      <c r="A1234" t="str">
        <f t="shared" si="57"/>
        <v>-</v>
      </c>
      <c r="B1234" t="str">
        <f t="shared" si="58"/>
        <v>0-</v>
      </c>
      <c r="H1234" t="str">
        <f>IFERROR(VLOOKUP(E1234,DC_Xref!A:B,2,FALSE),"")</f>
        <v/>
      </c>
      <c r="I1234">
        <f t="shared" si="59"/>
        <v>0</v>
      </c>
    </row>
    <row r="1235" spans="1:9" x14ac:dyDescent="0.3">
      <c r="A1235" t="str">
        <f t="shared" si="57"/>
        <v>-</v>
      </c>
      <c r="B1235" t="str">
        <f t="shared" si="58"/>
        <v>0-</v>
      </c>
      <c r="H1235" t="str">
        <f>IFERROR(VLOOKUP(E1235,DC_Xref!A:B,2,FALSE),"")</f>
        <v/>
      </c>
      <c r="I1235">
        <f t="shared" si="59"/>
        <v>0</v>
      </c>
    </row>
    <row r="1236" spans="1:9" x14ac:dyDescent="0.3">
      <c r="A1236" t="str">
        <f t="shared" si="57"/>
        <v>-</v>
      </c>
      <c r="B1236" t="str">
        <f t="shared" si="58"/>
        <v>0-</v>
      </c>
      <c r="H1236" t="str">
        <f>IFERROR(VLOOKUP(E1236,DC_Xref!A:B,2,FALSE),"")</f>
        <v/>
      </c>
      <c r="I1236">
        <f t="shared" si="59"/>
        <v>0</v>
      </c>
    </row>
    <row r="1237" spans="1:9" x14ac:dyDescent="0.3">
      <c r="A1237" t="str">
        <f t="shared" si="57"/>
        <v>-</v>
      </c>
      <c r="B1237" t="str">
        <f t="shared" si="58"/>
        <v>0-</v>
      </c>
      <c r="H1237" t="str">
        <f>IFERROR(VLOOKUP(E1237,DC_Xref!A:B,2,FALSE),"")</f>
        <v/>
      </c>
      <c r="I1237">
        <f t="shared" si="59"/>
        <v>0</v>
      </c>
    </row>
    <row r="1238" spans="1:9" x14ac:dyDescent="0.3">
      <c r="A1238" t="str">
        <f t="shared" si="57"/>
        <v>-</v>
      </c>
      <c r="B1238" t="str">
        <f t="shared" si="58"/>
        <v>0-</v>
      </c>
      <c r="H1238" t="str">
        <f>IFERROR(VLOOKUP(E1238,DC_Xref!A:B,2,FALSE),"")</f>
        <v/>
      </c>
      <c r="I1238">
        <f t="shared" si="59"/>
        <v>0</v>
      </c>
    </row>
    <row r="1239" spans="1:9" x14ac:dyDescent="0.3">
      <c r="A1239" t="str">
        <f t="shared" si="57"/>
        <v>-</v>
      </c>
      <c r="B1239" t="str">
        <f t="shared" si="58"/>
        <v>0-</v>
      </c>
      <c r="H1239" t="str">
        <f>IFERROR(VLOOKUP(E1239,DC_Xref!A:B,2,FALSE),"")</f>
        <v/>
      </c>
      <c r="I1239">
        <f t="shared" si="59"/>
        <v>0</v>
      </c>
    </row>
    <row r="1240" spans="1:9" x14ac:dyDescent="0.3">
      <c r="A1240" t="str">
        <f t="shared" si="57"/>
        <v>-</v>
      </c>
      <c r="B1240" t="str">
        <f t="shared" si="58"/>
        <v>0-</v>
      </c>
      <c r="H1240" t="str">
        <f>IFERROR(VLOOKUP(E1240,DC_Xref!A:B,2,FALSE),"")</f>
        <v/>
      </c>
      <c r="I1240">
        <f t="shared" si="59"/>
        <v>0</v>
      </c>
    </row>
    <row r="1241" spans="1:9" x14ac:dyDescent="0.3">
      <c r="A1241" t="str">
        <f t="shared" si="57"/>
        <v>-</v>
      </c>
      <c r="B1241" t="str">
        <f t="shared" si="58"/>
        <v>0-</v>
      </c>
      <c r="H1241" t="str">
        <f>IFERROR(VLOOKUP(E1241,DC_Xref!A:B,2,FALSE),"")</f>
        <v/>
      </c>
      <c r="I1241">
        <f t="shared" si="59"/>
        <v>0</v>
      </c>
    </row>
    <row r="1242" spans="1:9" x14ac:dyDescent="0.3">
      <c r="A1242" t="str">
        <f t="shared" si="57"/>
        <v>-</v>
      </c>
      <c r="B1242" t="str">
        <f t="shared" si="58"/>
        <v>0-</v>
      </c>
      <c r="H1242" t="str">
        <f>IFERROR(VLOOKUP(E1242,DC_Xref!A:B,2,FALSE),"")</f>
        <v/>
      </c>
      <c r="I1242">
        <f t="shared" si="59"/>
        <v>0</v>
      </c>
    </row>
    <row r="1243" spans="1:9" x14ac:dyDescent="0.3">
      <c r="A1243" t="str">
        <f t="shared" si="57"/>
        <v>-</v>
      </c>
      <c r="B1243" t="str">
        <f t="shared" si="58"/>
        <v>0-</v>
      </c>
      <c r="H1243" t="str">
        <f>IFERROR(VLOOKUP(E1243,DC_Xref!A:B,2,FALSE),"")</f>
        <v/>
      </c>
      <c r="I1243">
        <f t="shared" si="59"/>
        <v>0</v>
      </c>
    </row>
    <row r="1244" spans="1:9" x14ac:dyDescent="0.3">
      <c r="A1244" t="str">
        <f t="shared" si="57"/>
        <v>-</v>
      </c>
      <c r="B1244" t="str">
        <f t="shared" si="58"/>
        <v>0-</v>
      </c>
      <c r="H1244" t="str">
        <f>IFERROR(VLOOKUP(E1244,DC_Xref!A:B,2,FALSE),"")</f>
        <v/>
      </c>
      <c r="I1244">
        <f t="shared" si="59"/>
        <v>0</v>
      </c>
    </row>
    <row r="1245" spans="1:9" x14ac:dyDescent="0.3">
      <c r="A1245" t="str">
        <f t="shared" si="57"/>
        <v>-</v>
      </c>
      <c r="B1245" t="str">
        <f t="shared" si="58"/>
        <v>0-</v>
      </c>
      <c r="H1245" t="str">
        <f>IFERROR(VLOOKUP(E1245,DC_Xref!A:B,2,FALSE),"")</f>
        <v/>
      </c>
      <c r="I1245">
        <f t="shared" si="59"/>
        <v>0</v>
      </c>
    </row>
    <row r="1246" spans="1:9" x14ac:dyDescent="0.3">
      <c r="A1246" t="str">
        <f t="shared" si="57"/>
        <v>-</v>
      </c>
      <c r="B1246" t="str">
        <f t="shared" si="58"/>
        <v>0-</v>
      </c>
      <c r="H1246" t="str">
        <f>IFERROR(VLOOKUP(E1246,DC_Xref!A:B,2,FALSE),"")</f>
        <v/>
      </c>
      <c r="I1246">
        <f t="shared" si="59"/>
        <v>0</v>
      </c>
    </row>
    <row r="1247" spans="1:9" x14ac:dyDescent="0.3">
      <c r="A1247" t="str">
        <f t="shared" si="57"/>
        <v>-</v>
      </c>
      <c r="B1247" t="str">
        <f t="shared" si="58"/>
        <v>0-</v>
      </c>
      <c r="H1247" t="str">
        <f>IFERROR(VLOOKUP(E1247,DC_Xref!A:B,2,FALSE),"")</f>
        <v/>
      </c>
      <c r="I1247">
        <f t="shared" si="59"/>
        <v>0</v>
      </c>
    </row>
    <row r="1248" spans="1:9" x14ac:dyDescent="0.3">
      <c r="A1248" t="str">
        <f t="shared" si="57"/>
        <v>-</v>
      </c>
      <c r="B1248" t="str">
        <f t="shared" si="58"/>
        <v>0-</v>
      </c>
      <c r="H1248" t="str">
        <f>IFERROR(VLOOKUP(E1248,DC_Xref!A:B,2,FALSE),"")</f>
        <v/>
      </c>
      <c r="I1248">
        <f t="shared" si="59"/>
        <v>0</v>
      </c>
    </row>
    <row r="1249" spans="1:9" x14ac:dyDescent="0.3">
      <c r="A1249" t="str">
        <f t="shared" si="57"/>
        <v>-</v>
      </c>
      <c r="B1249" t="str">
        <f t="shared" si="58"/>
        <v>0-</v>
      </c>
      <c r="H1249" t="str">
        <f>IFERROR(VLOOKUP(E1249,DC_Xref!A:B,2,FALSE),"")</f>
        <v/>
      </c>
      <c r="I1249">
        <f t="shared" si="59"/>
        <v>0</v>
      </c>
    </row>
    <row r="1250" spans="1:9" x14ac:dyDescent="0.3">
      <c r="A1250" t="str">
        <f t="shared" si="57"/>
        <v>-</v>
      </c>
      <c r="B1250" t="str">
        <f t="shared" si="58"/>
        <v>0-</v>
      </c>
      <c r="H1250" t="str">
        <f>IFERROR(VLOOKUP(E1250,DC_Xref!A:B,2,FALSE),"")</f>
        <v/>
      </c>
      <c r="I1250">
        <f t="shared" si="59"/>
        <v>0</v>
      </c>
    </row>
    <row r="1251" spans="1:9" x14ac:dyDescent="0.3">
      <c r="A1251" t="str">
        <f t="shared" si="57"/>
        <v>-</v>
      </c>
      <c r="B1251" t="str">
        <f t="shared" si="58"/>
        <v>0-</v>
      </c>
      <c r="H1251" t="str">
        <f>IFERROR(VLOOKUP(E1251,DC_Xref!A:B,2,FALSE),"")</f>
        <v/>
      </c>
      <c r="I1251">
        <f t="shared" si="59"/>
        <v>0</v>
      </c>
    </row>
    <row r="1252" spans="1:9" x14ac:dyDescent="0.3">
      <c r="A1252" t="str">
        <f t="shared" si="57"/>
        <v>-</v>
      </c>
      <c r="B1252" t="str">
        <f t="shared" si="58"/>
        <v>0-</v>
      </c>
      <c r="H1252" t="str">
        <f>IFERROR(VLOOKUP(E1252,DC_Xref!A:B,2,FALSE),"")</f>
        <v/>
      </c>
      <c r="I1252">
        <f t="shared" si="59"/>
        <v>0</v>
      </c>
    </row>
    <row r="1253" spans="1:9" x14ac:dyDescent="0.3">
      <c r="A1253" t="str">
        <f t="shared" si="57"/>
        <v>-</v>
      </c>
      <c r="B1253" t="str">
        <f t="shared" si="58"/>
        <v>0-</v>
      </c>
      <c r="H1253" t="str">
        <f>IFERROR(VLOOKUP(E1253,DC_Xref!A:B,2,FALSE),"")</f>
        <v/>
      </c>
      <c r="I1253">
        <f t="shared" si="59"/>
        <v>0</v>
      </c>
    </row>
    <row r="1254" spans="1:9" x14ac:dyDescent="0.3">
      <c r="A1254" t="str">
        <f t="shared" si="57"/>
        <v>-</v>
      </c>
      <c r="B1254" t="str">
        <f t="shared" si="58"/>
        <v>0-</v>
      </c>
      <c r="H1254" t="str">
        <f>IFERROR(VLOOKUP(E1254,DC_Xref!A:B,2,FALSE),"")</f>
        <v/>
      </c>
      <c r="I1254">
        <f t="shared" si="59"/>
        <v>0</v>
      </c>
    </row>
    <row r="1255" spans="1:9" x14ac:dyDescent="0.3">
      <c r="A1255" t="str">
        <f t="shared" si="57"/>
        <v>-</v>
      </c>
      <c r="B1255" t="str">
        <f t="shared" si="58"/>
        <v>0-</v>
      </c>
      <c r="H1255" t="str">
        <f>IFERROR(VLOOKUP(E1255,DC_Xref!A:B,2,FALSE),"")</f>
        <v/>
      </c>
      <c r="I1255">
        <f t="shared" si="59"/>
        <v>0</v>
      </c>
    </row>
    <row r="1256" spans="1:9" x14ac:dyDescent="0.3">
      <c r="A1256" t="str">
        <f t="shared" si="57"/>
        <v>-</v>
      </c>
      <c r="B1256" t="str">
        <f t="shared" si="58"/>
        <v>0-</v>
      </c>
      <c r="H1256" t="str">
        <f>IFERROR(VLOOKUP(E1256,DC_Xref!A:B,2,FALSE),"")</f>
        <v/>
      </c>
      <c r="I1256">
        <f t="shared" si="59"/>
        <v>0</v>
      </c>
    </row>
    <row r="1257" spans="1:9" x14ac:dyDescent="0.3">
      <c r="A1257" t="str">
        <f t="shared" si="57"/>
        <v>-</v>
      </c>
      <c r="B1257" t="str">
        <f t="shared" si="58"/>
        <v>0-</v>
      </c>
      <c r="H1257" t="str">
        <f>IFERROR(VLOOKUP(E1257,DC_Xref!A:B,2,FALSE),"")</f>
        <v/>
      </c>
      <c r="I1257">
        <f t="shared" si="59"/>
        <v>0</v>
      </c>
    </row>
    <row r="1258" spans="1:9" x14ac:dyDescent="0.3">
      <c r="A1258" t="str">
        <f t="shared" si="57"/>
        <v>-</v>
      </c>
      <c r="B1258" t="str">
        <f t="shared" si="58"/>
        <v>0-</v>
      </c>
      <c r="H1258" t="str">
        <f>IFERROR(VLOOKUP(E1258,DC_Xref!A:B,2,FALSE),"")</f>
        <v/>
      </c>
      <c r="I1258">
        <f t="shared" si="59"/>
        <v>0</v>
      </c>
    </row>
    <row r="1259" spans="1:9" x14ac:dyDescent="0.3">
      <c r="A1259" t="str">
        <f t="shared" si="57"/>
        <v>-</v>
      </c>
      <c r="B1259" t="str">
        <f t="shared" si="58"/>
        <v>0-</v>
      </c>
      <c r="H1259" t="str">
        <f>IFERROR(VLOOKUP(E1259,DC_Xref!A:B,2,FALSE),"")</f>
        <v/>
      </c>
      <c r="I1259">
        <f t="shared" si="59"/>
        <v>0</v>
      </c>
    </row>
    <row r="1260" spans="1:9" x14ac:dyDescent="0.3">
      <c r="A1260" t="str">
        <f t="shared" si="57"/>
        <v>-</v>
      </c>
      <c r="B1260" t="str">
        <f t="shared" si="58"/>
        <v>0-</v>
      </c>
      <c r="H1260" t="str">
        <f>IFERROR(VLOOKUP(E1260,DC_Xref!A:B,2,FALSE),"")</f>
        <v/>
      </c>
      <c r="I1260">
        <f t="shared" si="59"/>
        <v>0</v>
      </c>
    </row>
    <row r="1261" spans="1:9" x14ac:dyDescent="0.3">
      <c r="A1261" t="str">
        <f t="shared" si="57"/>
        <v>-</v>
      </c>
      <c r="B1261" t="str">
        <f t="shared" si="58"/>
        <v>0-</v>
      </c>
      <c r="H1261" t="str">
        <f>IFERROR(VLOOKUP(E1261,DC_Xref!A:B,2,FALSE),"")</f>
        <v/>
      </c>
      <c r="I1261">
        <f t="shared" si="59"/>
        <v>0</v>
      </c>
    </row>
    <row r="1262" spans="1:9" x14ac:dyDescent="0.3">
      <c r="A1262" t="str">
        <f t="shared" si="57"/>
        <v>-</v>
      </c>
      <c r="B1262" t="str">
        <f t="shared" si="58"/>
        <v>0-</v>
      </c>
      <c r="H1262" t="str">
        <f>IFERROR(VLOOKUP(E1262,DC_Xref!A:B,2,FALSE),"")</f>
        <v/>
      </c>
      <c r="I1262">
        <f t="shared" si="59"/>
        <v>0</v>
      </c>
    </row>
    <row r="1263" spans="1:9" x14ac:dyDescent="0.3">
      <c r="A1263" t="str">
        <f t="shared" si="57"/>
        <v>-</v>
      </c>
      <c r="B1263" t="str">
        <f t="shared" si="58"/>
        <v>0-</v>
      </c>
      <c r="H1263" t="str">
        <f>IFERROR(VLOOKUP(E1263,DC_Xref!A:B,2,FALSE),"")</f>
        <v/>
      </c>
      <c r="I1263">
        <f t="shared" si="59"/>
        <v>0</v>
      </c>
    </row>
    <row r="1264" spans="1:9" x14ac:dyDescent="0.3">
      <c r="A1264" t="str">
        <f t="shared" si="57"/>
        <v>-</v>
      </c>
      <c r="B1264" t="str">
        <f t="shared" si="58"/>
        <v>0-</v>
      </c>
      <c r="H1264" t="str">
        <f>IFERROR(VLOOKUP(E1264,DC_Xref!A:B,2,FALSE),"")</f>
        <v/>
      </c>
      <c r="I1264">
        <f t="shared" si="59"/>
        <v>0</v>
      </c>
    </row>
    <row r="1265" spans="1:9" x14ac:dyDescent="0.3">
      <c r="A1265" t="str">
        <f t="shared" si="57"/>
        <v>-</v>
      </c>
      <c r="B1265" t="str">
        <f t="shared" si="58"/>
        <v>0-</v>
      </c>
      <c r="H1265" t="str">
        <f>IFERROR(VLOOKUP(E1265,DC_Xref!A:B,2,FALSE),"")</f>
        <v/>
      </c>
      <c r="I1265">
        <f t="shared" si="59"/>
        <v>0</v>
      </c>
    </row>
    <row r="1266" spans="1:9" x14ac:dyDescent="0.3">
      <c r="A1266" t="str">
        <f t="shared" si="57"/>
        <v>-</v>
      </c>
      <c r="B1266" t="str">
        <f t="shared" si="58"/>
        <v>0-</v>
      </c>
      <c r="H1266" t="str">
        <f>IFERROR(VLOOKUP(E1266,DC_Xref!A:B,2,FALSE),"")</f>
        <v/>
      </c>
      <c r="I1266">
        <f t="shared" si="59"/>
        <v>0</v>
      </c>
    </row>
    <row r="1267" spans="1:9" x14ac:dyDescent="0.3">
      <c r="A1267" t="str">
        <f t="shared" si="57"/>
        <v>-</v>
      </c>
      <c r="B1267" t="str">
        <f t="shared" si="58"/>
        <v>0-</v>
      </c>
      <c r="H1267" t="str">
        <f>IFERROR(VLOOKUP(E1267,DC_Xref!A:B,2,FALSE),"")</f>
        <v/>
      </c>
      <c r="I1267">
        <f t="shared" si="59"/>
        <v>0</v>
      </c>
    </row>
    <row r="1268" spans="1:9" x14ac:dyDescent="0.3">
      <c r="A1268" t="str">
        <f t="shared" si="57"/>
        <v>-</v>
      </c>
      <c r="B1268" t="str">
        <f t="shared" si="58"/>
        <v>0-</v>
      </c>
      <c r="H1268" t="str">
        <f>IFERROR(VLOOKUP(E1268,DC_Xref!A:B,2,FALSE),"")</f>
        <v/>
      </c>
      <c r="I1268">
        <f t="shared" si="59"/>
        <v>0</v>
      </c>
    </row>
    <row r="1269" spans="1:9" x14ac:dyDescent="0.3">
      <c r="A1269" t="str">
        <f t="shared" si="57"/>
        <v>-</v>
      </c>
      <c r="B1269" t="str">
        <f t="shared" si="58"/>
        <v>0-</v>
      </c>
      <c r="H1269" t="str">
        <f>IFERROR(VLOOKUP(E1269,DC_Xref!A:B,2,FALSE),"")</f>
        <v/>
      </c>
      <c r="I1269">
        <f t="shared" si="59"/>
        <v>0</v>
      </c>
    </row>
    <row r="1270" spans="1:9" x14ac:dyDescent="0.3">
      <c r="A1270" t="str">
        <f t="shared" si="57"/>
        <v>-</v>
      </c>
      <c r="B1270" t="str">
        <f t="shared" si="58"/>
        <v>0-</v>
      </c>
      <c r="H1270" t="str">
        <f>IFERROR(VLOOKUP(E1270,DC_Xref!A:B,2,FALSE),"")</f>
        <v/>
      </c>
      <c r="I1270">
        <f t="shared" si="59"/>
        <v>0</v>
      </c>
    </row>
    <row r="1271" spans="1:9" x14ac:dyDescent="0.3">
      <c r="A1271" t="str">
        <f t="shared" si="57"/>
        <v>-</v>
      </c>
      <c r="B1271" t="str">
        <f t="shared" si="58"/>
        <v>0-</v>
      </c>
      <c r="H1271" t="str">
        <f>IFERROR(VLOOKUP(E1271,DC_Xref!A:B,2,FALSE),"")</f>
        <v/>
      </c>
      <c r="I1271">
        <f t="shared" si="59"/>
        <v>0</v>
      </c>
    </row>
    <row r="1272" spans="1:9" x14ac:dyDescent="0.3">
      <c r="A1272" t="str">
        <f t="shared" si="57"/>
        <v>-</v>
      </c>
      <c r="B1272" t="str">
        <f t="shared" si="58"/>
        <v>0-</v>
      </c>
      <c r="H1272" t="str">
        <f>IFERROR(VLOOKUP(E1272,DC_Xref!A:B,2,FALSE),"")</f>
        <v/>
      </c>
      <c r="I1272">
        <f t="shared" si="59"/>
        <v>0</v>
      </c>
    </row>
    <row r="1273" spans="1:9" x14ac:dyDescent="0.3">
      <c r="A1273" t="str">
        <f t="shared" si="57"/>
        <v>-</v>
      </c>
      <c r="B1273" t="str">
        <f t="shared" si="58"/>
        <v>0-</v>
      </c>
      <c r="H1273" t="str">
        <f>IFERROR(VLOOKUP(E1273,DC_Xref!A:B,2,FALSE),"")</f>
        <v/>
      </c>
      <c r="I1273">
        <f t="shared" si="59"/>
        <v>0</v>
      </c>
    </row>
    <row r="1274" spans="1:9" x14ac:dyDescent="0.3">
      <c r="A1274" t="str">
        <f t="shared" si="57"/>
        <v>-</v>
      </c>
      <c r="B1274" t="str">
        <f t="shared" si="58"/>
        <v>0-</v>
      </c>
      <c r="H1274" t="str">
        <f>IFERROR(VLOOKUP(E1274,DC_Xref!A:B,2,FALSE),"")</f>
        <v/>
      </c>
      <c r="I1274">
        <f t="shared" si="59"/>
        <v>0</v>
      </c>
    </row>
    <row r="1275" spans="1:9" x14ac:dyDescent="0.3">
      <c r="A1275" t="str">
        <f t="shared" si="57"/>
        <v>-</v>
      </c>
      <c r="B1275" t="str">
        <f t="shared" si="58"/>
        <v>0-</v>
      </c>
      <c r="H1275" t="str">
        <f>IFERROR(VLOOKUP(E1275,DC_Xref!A:B,2,FALSE),"")</f>
        <v/>
      </c>
      <c r="I1275">
        <f t="shared" si="59"/>
        <v>0</v>
      </c>
    </row>
    <row r="1276" spans="1:9" x14ac:dyDescent="0.3">
      <c r="A1276" t="str">
        <f t="shared" si="57"/>
        <v>-</v>
      </c>
      <c r="B1276" t="str">
        <f t="shared" si="58"/>
        <v>0-</v>
      </c>
      <c r="H1276" t="str">
        <f>IFERROR(VLOOKUP(E1276,DC_Xref!A:B,2,FALSE),"")</f>
        <v/>
      </c>
      <c r="I1276">
        <f t="shared" si="59"/>
        <v>0</v>
      </c>
    </row>
    <row r="1277" spans="1:9" x14ac:dyDescent="0.3">
      <c r="A1277" t="str">
        <f t="shared" si="57"/>
        <v>-</v>
      </c>
      <c r="B1277" t="str">
        <f t="shared" si="58"/>
        <v>0-</v>
      </c>
      <c r="H1277" t="str">
        <f>IFERROR(VLOOKUP(E1277,DC_Xref!A:B,2,FALSE),"")</f>
        <v/>
      </c>
      <c r="I1277">
        <f t="shared" si="59"/>
        <v>0</v>
      </c>
    </row>
    <row r="1278" spans="1:9" x14ac:dyDescent="0.3">
      <c r="A1278" t="str">
        <f t="shared" si="57"/>
        <v>-</v>
      </c>
      <c r="B1278" t="str">
        <f t="shared" si="58"/>
        <v>0-</v>
      </c>
      <c r="H1278" t="str">
        <f>IFERROR(VLOOKUP(E1278,DC_Xref!A:B,2,FALSE),"")</f>
        <v/>
      </c>
      <c r="I1278">
        <f t="shared" si="59"/>
        <v>0</v>
      </c>
    </row>
    <row r="1279" spans="1:9" x14ac:dyDescent="0.3">
      <c r="A1279" t="str">
        <f t="shared" si="57"/>
        <v>-</v>
      </c>
      <c r="B1279" t="str">
        <f t="shared" si="58"/>
        <v>0-</v>
      </c>
      <c r="H1279" t="str">
        <f>IFERROR(VLOOKUP(E1279,DC_Xref!A:B,2,FALSE),"")</f>
        <v/>
      </c>
      <c r="I1279">
        <f t="shared" si="59"/>
        <v>0</v>
      </c>
    </row>
    <row r="1280" spans="1:9" x14ac:dyDescent="0.3">
      <c r="A1280" t="str">
        <f t="shared" si="57"/>
        <v>-</v>
      </c>
      <c r="B1280" t="str">
        <f t="shared" si="58"/>
        <v>0-</v>
      </c>
      <c r="H1280" t="str">
        <f>IFERROR(VLOOKUP(E1280,DC_Xref!A:B,2,FALSE),"")</f>
        <v/>
      </c>
      <c r="I1280">
        <f t="shared" si="59"/>
        <v>0</v>
      </c>
    </row>
    <row r="1281" spans="1:9" x14ac:dyDescent="0.3">
      <c r="A1281" t="str">
        <f t="shared" si="57"/>
        <v>-</v>
      </c>
      <c r="B1281" t="str">
        <f t="shared" si="58"/>
        <v>0-</v>
      </c>
      <c r="H1281" t="str">
        <f>IFERROR(VLOOKUP(E1281,DC_Xref!A:B,2,FALSE),"")</f>
        <v/>
      </c>
      <c r="I1281">
        <f t="shared" si="59"/>
        <v>0</v>
      </c>
    </row>
    <row r="1282" spans="1:9" x14ac:dyDescent="0.3">
      <c r="A1282" t="str">
        <f t="shared" ref="A1282:A1345" si="60">C1282&amp;"-"&amp;F1282</f>
        <v>-</v>
      </c>
      <c r="B1282" t="str">
        <f t="shared" ref="B1282:B1345" si="61">I1282&amp;"-"&amp;H1282</f>
        <v>0-</v>
      </c>
      <c r="H1282" t="str">
        <f>IFERROR(VLOOKUP(E1282,DC_Xref!A:B,2,FALSE),"")</f>
        <v/>
      </c>
      <c r="I1282">
        <f t="shared" ref="I1282:I1345" si="62">C1282*100+D1282</f>
        <v>0</v>
      </c>
    </row>
    <row r="1283" spans="1:9" x14ac:dyDescent="0.3">
      <c r="A1283" t="str">
        <f t="shared" si="60"/>
        <v>-</v>
      </c>
      <c r="B1283" t="str">
        <f t="shared" si="61"/>
        <v>0-</v>
      </c>
      <c r="H1283" t="str">
        <f>IFERROR(VLOOKUP(E1283,DC_Xref!A:B,2,FALSE),"")</f>
        <v/>
      </c>
      <c r="I1283">
        <f t="shared" si="62"/>
        <v>0</v>
      </c>
    </row>
    <row r="1284" spans="1:9" x14ac:dyDescent="0.3">
      <c r="A1284" t="str">
        <f t="shared" si="60"/>
        <v>-</v>
      </c>
      <c r="B1284" t="str">
        <f t="shared" si="61"/>
        <v>0-</v>
      </c>
      <c r="H1284" t="str">
        <f>IFERROR(VLOOKUP(E1284,DC_Xref!A:B,2,FALSE),"")</f>
        <v/>
      </c>
      <c r="I1284">
        <f t="shared" si="62"/>
        <v>0</v>
      </c>
    </row>
    <row r="1285" spans="1:9" x14ac:dyDescent="0.3">
      <c r="A1285" t="str">
        <f t="shared" si="60"/>
        <v>-</v>
      </c>
      <c r="B1285" t="str">
        <f t="shared" si="61"/>
        <v>0-</v>
      </c>
      <c r="H1285" t="str">
        <f>IFERROR(VLOOKUP(E1285,DC_Xref!A:B,2,FALSE),"")</f>
        <v/>
      </c>
      <c r="I1285">
        <f t="shared" si="62"/>
        <v>0</v>
      </c>
    </row>
    <row r="1286" spans="1:9" x14ac:dyDescent="0.3">
      <c r="A1286" t="str">
        <f t="shared" si="60"/>
        <v>-</v>
      </c>
      <c r="B1286" t="str">
        <f t="shared" si="61"/>
        <v>0-</v>
      </c>
      <c r="H1286" t="str">
        <f>IFERROR(VLOOKUP(E1286,DC_Xref!A:B,2,FALSE),"")</f>
        <v/>
      </c>
      <c r="I1286">
        <f t="shared" si="62"/>
        <v>0</v>
      </c>
    </row>
    <row r="1287" spans="1:9" x14ac:dyDescent="0.3">
      <c r="A1287" t="str">
        <f t="shared" si="60"/>
        <v>-</v>
      </c>
      <c r="B1287" t="str">
        <f t="shared" si="61"/>
        <v>0-</v>
      </c>
      <c r="H1287" t="str">
        <f>IFERROR(VLOOKUP(E1287,DC_Xref!A:B,2,FALSE),"")</f>
        <v/>
      </c>
      <c r="I1287">
        <f t="shared" si="62"/>
        <v>0</v>
      </c>
    </row>
    <row r="1288" spans="1:9" x14ac:dyDescent="0.3">
      <c r="A1288" t="str">
        <f t="shared" si="60"/>
        <v>-</v>
      </c>
      <c r="B1288" t="str">
        <f t="shared" si="61"/>
        <v>0-</v>
      </c>
      <c r="H1288" t="str">
        <f>IFERROR(VLOOKUP(E1288,DC_Xref!A:B,2,FALSE),"")</f>
        <v/>
      </c>
      <c r="I1288">
        <f t="shared" si="62"/>
        <v>0</v>
      </c>
    </row>
    <row r="1289" spans="1:9" x14ac:dyDescent="0.3">
      <c r="A1289" t="str">
        <f t="shared" si="60"/>
        <v>-</v>
      </c>
      <c r="B1289" t="str">
        <f t="shared" si="61"/>
        <v>0-</v>
      </c>
      <c r="H1289" t="str">
        <f>IFERROR(VLOOKUP(E1289,DC_Xref!A:B,2,FALSE),"")</f>
        <v/>
      </c>
      <c r="I1289">
        <f t="shared" si="62"/>
        <v>0</v>
      </c>
    </row>
    <row r="1290" spans="1:9" x14ac:dyDescent="0.3">
      <c r="A1290" t="str">
        <f t="shared" si="60"/>
        <v>-</v>
      </c>
      <c r="B1290" t="str">
        <f t="shared" si="61"/>
        <v>0-</v>
      </c>
      <c r="H1290" t="str">
        <f>IFERROR(VLOOKUP(E1290,DC_Xref!A:B,2,FALSE),"")</f>
        <v/>
      </c>
      <c r="I1290">
        <f t="shared" si="62"/>
        <v>0</v>
      </c>
    </row>
    <row r="1291" spans="1:9" x14ac:dyDescent="0.3">
      <c r="A1291" t="str">
        <f t="shared" si="60"/>
        <v>-</v>
      </c>
      <c r="B1291" t="str">
        <f t="shared" si="61"/>
        <v>0-</v>
      </c>
      <c r="H1291" t="str">
        <f>IFERROR(VLOOKUP(E1291,DC_Xref!A:B,2,FALSE),"")</f>
        <v/>
      </c>
      <c r="I1291">
        <f t="shared" si="62"/>
        <v>0</v>
      </c>
    </row>
    <row r="1292" spans="1:9" x14ac:dyDescent="0.3">
      <c r="A1292" t="str">
        <f t="shared" si="60"/>
        <v>-</v>
      </c>
      <c r="B1292" t="str">
        <f t="shared" si="61"/>
        <v>0-</v>
      </c>
      <c r="H1292" t="str">
        <f>IFERROR(VLOOKUP(E1292,DC_Xref!A:B,2,FALSE),"")</f>
        <v/>
      </c>
      <c r="I1292">
        <f t="shared" si="62"/>
        <v>0</v>
      </c>
    </row>
    <row r="1293" spans="1:9" x14ac:dyDescent="0.3">
      <c r="A1293" t="str">
        <f t="shared" si="60"/>
        <v>-</v>
      </c>
      <c r="B1293" t="str">
        <f t="shared" si="61"/>
        <v>0-</v>
      </c>
      <c r="H1293" t="str">
        <f>IFERROR(VLOOKUP(E1293,DC_Xref!A:B,2,FALSE),"")</f>
        <v/>
      </c>
      <c r="I1293">
        <f t="shared" si="62"/>
        <v>0</v>
      </c>
    </row>
    <row r="1294" spans="1:9" x14ac:dyDescent="0.3">
      <c r="A1294" t="str">
        <f t="shared" si="60"/>
        <v>-</v>
      </c>
      <c r="B1294" t="str">
        <f t="shared" si="61"/>
        <v>0-</v>
      </c>
      <c r="H1294" t="str">
        <f>IFERROR(VLOOKUP(E1294,DC_Xref!A:B,2,FALSE),"")</f>
        <v/>
      </c>
      <c r="I1294">
        <f t="shared" si="62"/>
        <v>0</v>
      </c>
    </row>
    <row r="1295" spans="1:9" x14ac:dyDescent="0.3">
      <c r="A1295" t="str">
        <f t="shared" si="60"/>
        <v>-</v>
      </c>
      <c r="B1295" t="str">
        <f t="shared" si="61"/>
        <v>0-</v>
      </c>
      <c r="H1295" t="str">
        <f>IFERROR(VLOOKUP(E1295,DC_Xref!A:B,2,FALSE),"")</f>
        <v/>
      </c>
      <c r="I1295">
        <f t="shared" si="62"/>
        <v>0</v>
      </c>
    </row>
    <row r="1296" spans="1:9" x14ac:dyDescent="0.3">
      <c r="A1296" t="str">
        <f t="shared" si="60"/>
        <v>-</v>
      </c>
      <c r="B1296" t="str">
        <f t="shared" si="61"/>
        <v>0-</v>
      </c>
      <c r="H1296" t="str">
        <f>IFERROR(VLOOKUP(E1296,DC_Xref!A:B,2,FALSE),"")</f>
        <v/>
      </c>
      <c r="I1296">
        <f t="shared" si="62"/>
        <v>0</v>
      </c>
    </row>
    <row r="1297" spans="1:9" x14ac:dyDescent="0.3">
      <c r="A1297" t="str">
        <f t="shared" si="60"/>
        <v>-</v>
      </c>
      <c r="B1297" t="str">
        <f t="shared" si="61"/>
        <v>0-</v>
      </c>
      <c r="H1297" t="str">
        <f>IFERROR(VLOOKUP(E1297,DC_Xref!A:B,2,FALSE),"")</f>
        <v/>
      </c>
      <c r="I1297">
        <f t="shared" si="62"/>
        <v>0</v>
      </c>
    </row>
    <row r="1298" spans="1:9" x14ac:dyDescent="0.3">
      <c r="A1298" t="str">
        <f t="shared" si="60"/>
        <v>-</v>
      </c>
      <c r="B1298" t="str">
        <f t="shared" si="61"/>
        <v>0-</v>
      </c>
      <c r="H1298" t="str">
        <f>IFERROR(VLOOKUP(E1298,DC_Xref!A:B,2,FALSE),"")</f>
        <v/>
      </c>
      <c r="I1298">
        <f t="shared" si="62"/>
        <v>0</v>
      </c>
    </row>
    <row r="1299" spans="1:9" x14ac:dyDescent="0.3">
      <c r="A1299" t="str">
        <f t="shared" si="60"/>
        <v>-</v>
      </c>
      <c r="B1299" t="str">
        <f t="shared" si="61"/>
        <v>0-</v>
      </c>
      <c r="H1299" t="str">
        <f>IFERROR(VLOOKUP(E1299,DC_Xref!A:B,2,FALSE),"")</f>
        <v/>
      </c>
      <c r="I1299">
        <f t="shared" si="62"/>
        <v>0</v>
      </c>
    </row>
    <row r="1300" spans="1:9" x14ac:dyDescent="0.3">
      <c r="A1300" t="str">
        <f t="shared" si="60"/>
        <v>-</v>
      </c>
      <c r="B1300" t="str">
        <f t="shared" si="61"/>
        <v>0-</v>
      </c>
      <c r="H1300" t="str">
        <f>IFERROR(VLOOKUP(E1300,DC_Xref!A:B,2,FALSE),"")</f>
        <v/>
      </c>
      <c r="I1300">
        <f t="shared" si="62"/>
        <v>0</v>
      </c>
    </row>
    <row r="1301" spans="1:9" x14ac:dyDescent="0.3">
      <c r="A1301" t="str">
        <f t="shared" si="60"/>
        <v>-</v>
      </c>
      <c r="B1301" t="str">
        <f t="shared" si="61"/>
        <v>0-</v>
      </c>
      <c r="H1301" t="str">
        <f>IFERROR(VLOOKUP(E1301,DC_Xref!A:B,2,FALSE),"")</f>
        <v/>
      </c>
      <c r="I1301">
        <f t="shared" si="62"/>
        <v>0</v>
      </c>
    </row>
    <row r="1302" spans="1:9" x14ac:dyDescent="0.3">
      <c r="A1302" t="str">
        <f t="shared" si="60"/>
        <v>-</v>
      </c>
      <c r="B1302" t="str">
        <f t="shared" si="61"/>
        <v>0-</v>
      </c>
      <c r="H1302" t="str">
        <f>IFERROR(VLOOKUP(E1302,DC_Xref!A:B,2,FALSE),"")</f>
        <v/>
      </c>
      <c r="I1302">
        <f t="shared" si="62"/>
        <v>0</v>
      </c>
    </row>
    <row r="1303" spans="1:9" x14ac:dyDescent="0.3">
      <c r="A1303" t="str">
        <f t="shared" si="60"/>
        <v>-</v>
      </c>
      <c r="B1303" t="str">
        <f t="shared" si="61"/>
        <v>0-</v>
      </c>
      <c r="H1303" t="str">
        <f>IFERROR(VLOOKUP(E1303,DC_Xref!A:B,2,FALSE),"")</f>
        <v/>
      </c>
      <c r="I1303">
        <f t="shared" si="62"/>
        <v>0</v>
      </c>
    </row>
    <row r="1304" spans="1:9" x14ac:dyDescent="0.3">
      <c r="A1304" t="str">
        <f t="shared" si="60"/>
        <v>-</v>
      </c>
      <c r="B1304" t="str">
        <f t="shared" si="61"/>
        <v>0-</v>
      </c>
      <c r="H1304" t="str">
        <f>IFERROR(VLOOKUP(E1304,DC_Xref!A:B,2,FALSE),"")</f>
        <v/>
      </c>
      <c r="I1304">
        <f t="shared" si="62"/>
        <v>0</v>
      </c>
    </row>
    <row r="1305" spans="1:9" x14ac:dyDescent="0.3">
      <c r="A1305" t="str">
        <f t="shared" si="60"/>
        <v>-</v>
      </c>
      <c r="B1305" t="str">
        <f t="shared" si="61"/>
        <v>0-</v>
      </c>
      <c r="H1305" t="str">
        <f>IFERROR(VLOOKUP(E1305,DC_Xref!A:B,2,FALSE),"")</f>
        <v/>
      </c>
      <c r="I1305">
        <f t="shared" si="62"/>
        <v>0</v>
      </c>
    </row>
    <row r="1306" spans="1:9" x14ac:dyDescent="0.3">
      <c r="A1306" t="str">
        <f t="shared" si="60"/>
        <v>-</v>
      </c>
      <c r="B1306" t="str">
        <f t="shared" si="61"/>
        <v>0-</v>
      </c>
      <c r="H1306" t="str">
        <f>IFERROR(VLOOKUP(E1306,DC_Xref!A:B,2,FALSE),"")</f>
        <v/>
      </c>
      <c r="I1306">
        <f t="shared" si="62"/>
        <v>0</v>
      </c>
    </row>
    <row r="1307" spans="1:9" x14ac:dyDescent="0.3">
      <c r="A1307" t="str">
        <f t="shared" si="60"/>
        <v>-</v>
      </c>
      <c r="B1307" t="str">
        <f t="shared" si="61"/>
        <v>0-</v>
      </c>
      <c r="H1307" t="str">
        <f>IFERROR(VLOOKUP(E1307,DC_Xref!A:B,2,FALSE),"")</f>
        <v/>
      </c>
      <c r="I1307">
        <f t="shared" si="62"/>
        <v>0</v>
      </c>
    </row>
    <row r="1308" spans="1:9" x14ac:dyDescent="0.3">
      <c r="A1308" t="str">
        <f t="shared" si="60"/>
        <v>-</v>
      </c>
      <c r="B1308" t="str">
        <f t="shared" si="61"/>
        <v>0-</v>
      </c>
      <c r="H1308" t="str">
        <f>IFERROR(VLOOKUP(E1308,DC_Xref!A:B,2,FALSE),"")</f>
        <v/>
      </c>
      <c r="I1308">
        <f t="shared" si="62"/>
        <v>0</v>
      </c>
    </row>
    <row r="1309" spans="1:9" x14ac:dyDescent="0.3">
      <c r="A1309" t="str">
        <f t="shared" si="60"/>
        <v>-</v>
      </c>
      <c r="B1309" t="str">
        <f t="shared" si="61"/>
        <v>0-</v>
      </c>
      <c r="H1309" t="str">
        <f>IFERROR(VLOOKUP(E1309,DC_Xref!A:B,2,FALSE),"")</f>
        <v/>
      </c>
      <c r="I1309">
        <f t="shared" si="62"/>
        <v>0</v>
      </c>
    </row>
    <row r="1310" spans="1:9" x14ac:dyDescent="0.3">
      <c r="A1310" t="str">
        <f t="shared" si="60"/>
        <v>-</v>
      </c>
      <c r="B1310" t="str">
        <f t="shared" si="61"/>
        <v>0-</v>
      </c>
      <c r="H1310" t="str">
        <f>IFERROR(VLOOKUP(E1310,DC_Xref!A:B,2,FALSE),"")</f>
        <v/>
      </c>
      <c r="I1310">
        <f t="shared" si="62"/>
        <v>0</v>
      </c>
    </row>
    <row r="1311" spans="1:9" x14ac:dyDescent="0.3">
      <c r="A1311" t="str">
        <f t="shared" si="60"/>
        <v>-</v>
      </c>
      <c r="B1311" t="str">
        <f t="shared" si="61"/>
        <v>0-</v>
      </c>
      <c r="H1311" t="str">
        <f>IFERROR(VLOOKUP(E1311,DC_Xref!A:B,2,FALSE),"")</f>
        <v/>
      </c>
      <c r="I1311">
        <f t="shared" si="62"/>
        <v>0</v>
      </c>
    </row>
    <row r="1312" spans="1:9" x14ac:dyDescent="0.3">
      <c r="A1312" t="str">
        <f t="shared" si="60"/>
        <v>-</v>
      </c>
      <c r="B1312" t="str">
        <f t="shared" si="61"/>
        <v>0-</v>
      </c>
      <c r="H1312" t="str">
        <f>IFERROR(VLOOKUP(E1312,DC_Xref!A:B,2,FALSE),"")</f>
        <v/>
      </c>
      <c r="I1312">
        <f t="shared" si="62"/>
        <v>0</v>
      </c>
    </row>
    <row r="1313" spans="1:9" x14ac:dyDescent="0.3">
      <c r="A1313" t="str">
        <f t="shared" si="60"/>
        <v>-</v>
      </c>
      <c r="B1313" t="str">
        <f t="shared" si="61"/>
        <v>0-</v>
      </c>
      <c r="H1313" t="str">
        <f>IFERROR(VLOOKUP(E1313,DC_Xref!A:B,2,FALSE),"")</f>
        <v/>
      </c>
      <c r="I1313">
        <f t="shared" si="62"/>
        <v>0</v>
      </c>
    </row>
    <row r="1314" spans="1:9" x14ac:dyDescent="0.3">
      <c r="A1314" t="str">
        <f t="shared" si="60"/>
        <v>-</v>
      </c>
      <c r="B1314" t="str">
        <f t="shared" si="61"/>
        <v>0-</v>
      </c>
      <c r="H1314" t="str">
        <f>IFERROR(VLOOKUP(E1314,DC_Xref!A:B,2,FALSE),"")</f>
        <v/>
      </c>
      <c r="I1314">
        <f t="shared" si="62"/>
        <v>0</v>
      </c>
    </row>
    <row r="1315" spans="1:9" x14ac:dyDescent="0.3">
      <c r="A1315" t="str">
        <f t="shared" si="60"/>
        <v>-</v>
      </c>
      <c r="B1315" t="str">
        <f t="shared" si="61"/>
        <v>0-</v>
      </c>
      <c r="H1315" t="str">
        <f>IFERROR(VLOOKUP(E1315,DC_Xref!A:B,2,FALSE),"")</f>
        <v/>
      </c>
      <c r="I1315">
        <f t="shared" si="62"/>
        <v>0</v>
      </c>
    </row>
    <row r="1316" spans="1:9" x14ac:dyDescent="0.3">
      <c r="A1316" t="str">
        <f t="shared" si="60"/>
        <v>-</v>
      </c>
      <c r="B1316" t="str">
        <f t="shared" si="61"/>
        <v>0-</v>
      </c>
      <c r="H1316" t="str">
        <f>IFERROR(VLOOKUP(E1316,DC_Xref!A:B,2,FALSE),"")</f>
        <v/>
      </c>
      <c r="I1316">
        <f t="shared" si="62"/>
        <v>0</v>
      </c>
    </row>
    <row r="1317" spans="1:9" x14ac:dyDescent="0.3">
      <c r="A1317" t="str">
        <f t="shared" si="60"/>
        <v>-</v>
      </c>
      <c r="B1317" t="str">
        <f t="shared" si="61"/>
        <v>0-</v>
      </c>
      <c r="H1317" t="str">
        <f>IFERROR(VLOOKUP(E1317,DC_Xref!A:B,2,FALSE),"")</f>
        <v/>
      </c>
      <c r="I1317">
        <f t="shared" si="62"/>
        <v>0</v>
      </c>
    </row>
    <row r="1318" spans="1:9" x14ac:dyDescent="0.3">
      <c r="A1318" t="str">
        <f t="shared" si="60"/>
        <v>-</v>
      </c>
      <c r="B1318" t="str">
        <f t="shared" si="61"/>
        <v>0-</v>
      </c>
      <c r="H1318" t="str">
        <f>IFERROR(VLOOKUP(E1318,DC_Xref!A:B,2,FALSE),"")</f>
        <v/>
      </c>
      <c r="I1318">
        <f t="shared" si="62"/>
        <v>0</v>
      </c>
    </row>
    <row r="1319" spans="1:9" x14ac:dyDescent="0.3">
      <c r="A1319" t="str">
        <f t="shared" si="60"/>
        <v>-</v>
      </c>
      <c r="B1319" t="str">
        <f t="shared" si="61"/>
        <v>0-</v>
      </c>
      <c r="H1319" t="str">
        <f>IFERROR(VLOOKUP(E1319,DC_Xref!A:B,2,FALSE),"")</f>
        <v/>
      </c>
      <c r="I1319">
        <f t="shared" si="62"/>
        <v>0</v>
      </c>
    </row>
    <row r="1320" spans="1:9" x14ac:dyDescent="0.3">
      <c r="A1320" t="str">
        <f t="shared" si="60"/>
        <v>-</v>
      </c>
      <c r="B1320" t="str">
        <f t="shared" si="61"/>
        <v>0-</v>
      </c>
      <c r="H1320" t="str">
        <f>IFERROR(VLOOKUP(E1320,DC_Xref!A:B,2,FALSE),"")</f>
        <v/>
      </c>
      <c r="I1320">
        <f t="shared" si="62"/>
        <v>0</v>
      </c>
    </row>
    <row r="1321" spans="1:9" x14ac:dyDescent="0.3">
      <c r="A1321" t="str">
        <f t="shared" si="60"/>
        <v>-</v>
      </c>
      <c r="B1321" t="str">
        <f t="shared" si="61"/>
        <v>0-</v>
      </c>
      <c r="H1321" t="str">
        <f>IFERROR(VLOOKUP(E1321,DC_Xref!A:B,2,FALSE),"")</f>
        <v/>
      </c>
      <c r="I1321">
        <f t="shared" si="62"/>
        <v>0</v>
      </c>
    </row>
    <row r="1322" spans="1:9" x14ac:dyDescent="0.3">
      <c r="A1322" t="str">
        <f t="shared" si="60"/>
        <v>-</v>
      </c>
      <c r="B1322" t="str">
        <f t="shared" si="61"/>
        <v>0-</v>
      </c>
      <c r="H1322" t="str">
        <f>IFERROR(VLOOKUP(E1322,DC_Xref!A:B,2,FALSE),"")</f>
        <v/>
      </c>
      <c r="I1322">
        <f t="shared" si="62"/>
        <v>0</v>
      </c>
    </row>
    <row r="1323" spans="1:9" x14ac:dyDescent="0.3">
      <c r="A1323" t="str">
        <f t="shared" si="60"/>
        <v>-</v>
      </c>
      <c r="B1323" t="str">
        <f t="shared" si="61"/>
        <v>0-</v>
      </c>
      <c r="H1323" t="str">
        <f>IFERROR(VLOOKUP(E1323,DC_Xref!A:B,2,FALSE),"")</f>
        <v/>
      </c>
      <c r="I1323">
        <f t="shared" si="62"/>
        <v>0</v>
      </c>
    </row>
    <row r="1324" spans="1:9" x14ac:dyDescent="0.3">
      <c r="A1324" t="str">
        <f t="shared" si="60"/>
        <v>-</v>
      </c>
      <c r="B1324" t="str">
        <f t="shared" si="61"/>
        <v>0-</v>
      </c>
      <c r="H1324" t="str">
        <f>IFERROR(VLOOKUP(E1324,DC_Xref!A:B,2,FALSE),"")</f>
        <v/>
      </c>
      <c r="I1324">
        <f t="shared" si="62"/>
        <v>0</v>
      </c>
    </row>
    <row r="1325" spans="1:9" x14ac:dyDescent="0.3">
      <c r="A1325" t="str">
        <f t="shared" si="60"/>
        <v>-</v>
      </c>
      <c r="B1325" t="str">
        <f t="shared" si="61"/>
        <v>0-</v>
      </c>
      <c r="H1325" t="str">
        <f>IFERROR(VLOOKUP(E1325,DC_Xref!A:B,2,FALSE),"")</f>
        <v/>
      </c>
      <c r="I1325">
        <f t="shared" si="62"/>
        <v>0</v>
      </c>
    </row>
    <row r="1326" spans="1:9" x14ac:dyDescent="0.3">
      <c r="A1326" t="str">
        <f t="shared" si="60"/>
        <v>-</v>
      </c>
      <c r="B1326" t="str">
        <f t="shared" si="61"/>
        <v>0-</v>
      </c>
      <c r="H1326" t="str">
        <f>IFERROR(VLOOKUP(E1326,DC_Xref!A:B,2,FALSE),"")</f>
        <v/>
      </c>
      <c r="I1326">
        <f t="shared" si="62"/>
        <v>0</v>
      </c>
    </row>
    <row r="1327" spans="1:9" x14ac:dyDescent="0.3">
      <c r="A1327" t="str">
        <f t="shared" si="60"/>
        <v>-</v>
      </c>
      <c r="B1327" t="str">
        <f t="shared" si="61"/>
        <v>0-</v>
      </c>
      <c r="H1327" t="str">
        <f>IFERROR(VLOOKUP(E1327,DC_Xref!A:B,2,FALSE),"")</f>
        <v/>
      </c>
      <c r="I1327">
        <f t="shared" si="62"/>
        <v>0</v>
      </c>
    </row>
    <row r="1328" spans="1:9" x14ac:dyDescent="0.3">
      <c r="A1328" t="str">
        <f t="shared" si="60"/>
        <v>-</v>
      </c>
      <c r="B1328" t="str">
        <f t="shared" si="61"/>
        <v>0-</v>
      </c>
      <c r="H1328" t="str">
        <f>IFERROR(VLOOKUP(E1328,DC_Xref!A:B,2,FALSE),"")</f>
        <v/>
      </c>
      <c r="I1328">
        <f t="shared" si="62"/>
        <v>0</v>
      </c>
    </row>
    <row r="1329" spans="1:9" x14ac:dyDescent="0.3">
      <c r="A1329" t="str">
        <f t="shared" si="60"/>
        <v>-</v>
      </c>
      <c r="B1329" t="str">
        <f t="shared" si="61"/>
        <v>0-</v>
      </c>
      <c r="H1329" t="str">
        <f>IFERROR(VLOOKUP(E1329,DC_Xref!A:B,2,FALSE),"")</f>
        <v/>
      </c>
      <c r="I1329">
        <f t="shared" si="62"/>
        <v>0</v>
      </c>
    </row>
    <row r="1330" spans="1:9" x14ac:dyDescent="0.3">
      <c r="A1330" t="str">
        <f t="shared" si="60"/>
        <v>-</v>
      </c>
      <c r="B1330" t="str">
        <f t="shared" si="61"/>
        <v>0-</v>
      </c>
      <c r="H1330" t="str">
        <f>IFERROR(VLOOKUP(E1330,DC_Xref!A:B,2,FALSE),"")</f>
        <v/>
      </c>
      <c r="I1330">
        <f t="shared" si="62"/>
        <v>0</v>
      </c>
    </row>
    <row r="1331" spans="1:9" x14ac:dyDescent="0.3">
      <c r="A1331" t="str">
        <f t="shared" si="60"/>
        <v>-</v>
      </c>
      <c r="B1331" t="str">
        <f t="shared" si="61"/>
        <v>0-</v>
      </c>
      <c r="H1331" t="str">
        <f>IFERROR(VLOOKUP(E1331,DC_Xref!A:B,2,FALSE),"")</f>
        <v/>
      </c>
      <c r="I1331">
        <f t="shared" si="62"/>
        <v>0</v>
      </c>
    </row>
    <row r="1332" spans="1:9" x14ac:dyDescent="0.3">
      <c r="A1332" t="str">
        <f t="shared" si="60"/>
        <v>-</v>
      </c>
      <c r="B1332" t="str">
        <f t="shared" si="61"/>
        <v>0-</v>
      </c>
      <c r="H1332" t="str">
        <f>IFERROR(VLOOKUP(E1332,DC_Xref!A:B,2,FALSE),"")</f>
        <v/>
      </c>
      <c r="I1332">
        <f t="shared" si="62"/>
        <v>0</v>
      </c>
    </row>
    <row r="1333" spans="1:9" x14ac:dyDescent="0.3">
      <c r="A1333" t="str">
        <f t="shared" si="60"/>
        <v>-</v>
      </c>
      <c r="B1333" t="str">
        <f t="shared" si="61"/>
        <v>0-</v>
      </c>
      <c r="H1333" t="str">
        <f>IFERROR(VLOOKUP(E1333,DC_Xref!A:B,2,FALSE),"")</f>
        <v/>
      </c>
      <c r="I1333">
        <f t="shared" si="62"/>
        <v>0</v>
      </c>
    </row>
    <row r="1334" spans="1:9" x14ac:dyDescent="0.3">
      <c r="A1334" t="str">
        <f t="shared" si="60"/>
        <v>-</v>
      </c>
      <c r="B1334" t="str">
        <f t="shared" si="61"/>
        <v>0-</v>
      </c>
      <c r="H1334" t="str">
        <f>IFERROR(VLOOKUP(E1334,DC_Xref!A:B,2,FALSE),"")</f>
        <v/>
      </c>
      <c r="I1334">
        <f t="shared" si="62"/>
        <v>0</v>
      </c>
    </row>
    <row r="1335" spans="1:9" x14ac:dyDescent="0.3">
      <c r="A1335" t="str">
        <f t="shared" si="60"/>
        <v>-</v>
      </c>
      <c r="B1335" t="str">
        <f t="shared" si="61"/>
        <v>0-</v>
      </c>
      <c r="H1335" t="str">
        <f>IFERROR(VLOOKUP(E1335,DC_Xref!A:B,2,FALSE),"")</f>
        <v/>
      </c>
      <c r="I1335">
        <f t="shared" si="62"/>
        <v>0</v>
      </c>
    </row>
    <row r="1336" spans="1:9" x14ac:dyDescent="0.3">
      <c r="A1336" t="str">
        <f t="shared" si="60"/>
        <v>-</v>
      </c>
      <c r="B1336" t="str">
        <f t="shared" si="61"/>
        <v>0-</v>
      </c>
      <c r="H1336" t="str">
        <f>IFERROR(VLOOKUP(E1336,DC_Xref!A:B,2,FALSE),"")</f>
        <v/>
      </c>
      <c r="I1336">
        <f t="shared" si="62"/>
        <v>0</v>
      </c>
    </row>
    <row r="1337" spans="1:9" x14ac:dyDescent="0.3">
      <c r="A1337" t="str">
        <f t="shared" si="60"/>
        <v>-</v>
      </c>
      <c r="B1337" t="str">
        <f t="shared" si="61"/>
        <v>0-</v>
      </c>
      <c r="H1337" t="str">
        <f>IFERROR(VLOOKUP(E1337,DC_Xref!A:B,2,FALSE),"")</f>
        <v/>
      </c>
      <c r="I1337">
        <f t="shared" si="62"/>
        <v>0</v>
      </c>
    </row>
    <row r="1338" spans="1:9" x14ac:dyDescent="0.3">
      <c r="A1338" t="str">
        <f t="shared" si="60"/>
        <v>-</v>
      </c>
      <c r="B1338" t="str">
        <f t="shared" si="61"/>
        <v>0-</v>
      </c>
      <c r="H1338" t="str">
        <f>IFERROR(VLOOKUP(E1338,DC_Xref!A:B,2,FALSE),"")</f>
        <v/>
      </c>
      <c r="I1338">
        <f t="shared" si="62"/>
        <v>0</v>
      </c>
    </row>
    <row r="1339" spans="1:9" x14ac:dyDescent="0.3">
      <c r="A1339" t="str">
        <f t="shared" si="60"/>
        <v>-</v>
      </c>
      <c r="B1339" t="str">
        <f t="shared" si="61"/>
        <v>0-</v>
      </c>
      <c r="H1339" t="str">
        <f>IFERROR(VLOOKUP(E1339,DC_Xref!A:B,2,FALSE),"")</f>
        <v/>
      </c>
      <c r="I1339">
        <f t="shared" si="62"/>
        <v>0</v>
      </c>
    </row>
    <row r="1340" spans="1:9" x14ac:dyDescent="0.3">
      <c r="A1340" t="str">
        <f t="shared" si="60"/>
        <v>-</v>
      </c>
      <c r="B1340" t="str">
        <f t="shared" si="61"/>
        <v>0-</v>
      </c>
      <c r="H1340" t="str">
        <f>IFERROR(VLOOKUP(E1340,DC_Xref!A:B,2,FALSE),"")</f>
        <v/>
      </c>
      <c r="I1340">
        <f t="shared" si="62"/>
        <v>0</v>
      </c>
    </row>
    <row r="1341" spans="1:9" x14ac:dyDescent="0.3">
      <c r="A1341" t="str">
        <f t="shared" si="60"/>
        <v>-</v>
      </c>
      <c r="B1341" t="str">
        <f t="shared" si="61"/>
        <v>0-</v>
      </c>
      <c r="H1341" t="str">
        <f>IFERROR(VLOOKUP(E1341,DC_Xref!A:B,2,FALSE),"")</f>
        <v/>
      </c>
      <c r="I1341">
        <f t="shared" si="62"/>
        <v>0</v>
      </c>
    </row>
    <row r="1342" spans="1:9" x14ac:dyDescent="0.3">
      <c r="A1342" t="str">
        <f t="shared" si="60"/>
        <v>-</v>
      </c>
      <c r="B1342" t="str">
        <f t="shared" si="61"/>
        <v>0-</v>
      </c>
      <c r="H1342" t="str">
        <f>IFERROR(VLOOKUP(E1342,DC_Xref!A:B,2,FALSE),"")</f>
        <v/>
      </c>
      <c r="I1342">
        <f t="shared" si="62"/>
        <v>0</v>
      </c>
    </row>
    <row r="1343" spans="1:9" x14ac:dyDescent="0.3">
      <c r="A1343" t="str">
        <f t="shared" si="60"/>
        <v>-</v>
      </c>
      <c r="B1343" t="str">
        <f t="shared" si="61"/>
        <v>0-</v>
      </c>
      <c r="H1343" t="str">
        <f>IFERROR(VLOOKUP(E1343,DC_Xref!A:B,2,FALSE),"")</f>
        <v/>
      </c>
      <c r="I1343">
        <f t="shared" si="62"/>
        <v>0</v>
      </c>
    </row>
    <row r="1344" spans="1:9" x14ac:dyDescent="0.3">
      <c r="A1344" t="str">
        <f t="shared" si="60"/>
        <v>-</v>
      </c>
      <c r="B1344" t="str">
        <f t="shared" si="61"/>
        <v>0-</v>
      </c>
      <c r="H1344" t="str">
        <f>IFERROR(VLOOKUP(E1344,DC_Xref!A:B,2,FALSE),"")</f>
        <v/>
      </c>
      <c r="I1344">
        <f t="shared" si="62"/>
        <v>0</v>
      </c>
    </row>
    <row r="1345" spans="1:9" x14ac:dyDescent="0.3">
      <c r="A1345" t="str">
        <f t="shared" si="60"/>
        <v>-</v>
      </c>
      <c r="B1345" t="str">
        <f t="shared" si="61"/>
        <v>0-</v>
      </c>
      <c r="H1345" t="str">
        <f>IFERROR(VLOOKUP(E1345,DC_Xref!A:B,2,FALSE),"")</f>
        <v/>
      </c>
      <c r="I1345">
        <f t="shared" si="62"/>
        <v>0</v>
      </c>
    </row>
    <row r="1346" spans="1:9" x14ac:dyDescent="0.3">
      <c r="A1346" t="str">
        <f t="shared" ref="A1346:A1409" si="63">C1346&amp;"-"&amp;F1346</f>
        <v>-</v>
      </c>
      <c r="B1346" t="str">
        <f t="shared" ref="B1346:B1409" si="64">I1346&amp;"-"&amp;H1346</f>
        <v>0-</v>
      </c>
      <c r="H1346" t="str">
        <f>IFERROR(VLOOKUP(E1346,DC_Xref!A:B,2,FALSE),"")</f>
        <v/>
      </c>
      <c r="I1346">
        <f t="shared" ref="I1346:I1409" si="65">C1346*100+D1346</f>
        <v>0</v>
      </c>
    </row>
    <row r="1347" spans="1:9" x14ac:dyDescent="0.3">
      <c r="A1347" t="str">
        <f t="shared" si="63"/>
        <v>-</v>
      </c>
      <c r="B1347" t="str">
        <f t="shared" si="64"/>
        <v>0-</v>
      </c>
      <c r="H1347" t="str">
        <f>IFERROR(VLOOKUP(E1347,DC_Xref!A:B,2,FALSE),"")</f>
        <v/>
      </c>
      <c r="I1347">
        <f t="shared" si="65"/>
        <v>0</v>
      </c>
    </row>
    <row r="1348" spans="1:9" x14ac:dyDescent="0.3">
      <c r="A1348" t="str">
        <f t="shared" si="63"/>
        <v>-</v>
      </c>
      <c r="B1348" t="str">
        <f t="shared" si="64"/>
        <v>0-</v>
      </c>
      <c r="H1348" t="str">
        <f>IFERROR(VLOOKUP(E1348,DC_Xref!A:B,2,FALSE),"")</f>
        <v/>
      </c>
      <c r="I1348">
        <f t="shared" si="65"/>
        <v>0</v>
      </c>
    </row>
    <row r="1349" spans="1:9" x14ac:dyDescent="0.3">
      <c r="A1349" t="str">
        <f t="shared" si="63"/>
        <v>-</v>
      </c>
      <c r="B1349" t="str">
        <f t="shared" si="64"/>
        <v>0-</v>
      </c>
      <c r="H1349" t="str">
        <f>IFERROR(VLOOKUP(E1349,DC_Xref!A:B,2,FALSE),"")</f>
        <v/>
      </c>
      <c r="I1349">
        <f t="shared" si="65"/>
        <v>0</v>
      </c>
    </row>
    <row r="1350" spans="1:9" x14ac:dyDescent="0.3">
      <c r="A1350" t="str">
        <f t="shared" si="63"/>
        <v>-</v>
      </c>
      <c r="B1350" t="str">
        <f t="shared" si="64"/>
        <v>0-</v>
      </c>
      <c r="H1350" t="str">
        <f>IFERROR(VLOOKUP(E1350,DC_Xref!A:B,2,FALSE),"")</f>
        <v/>
      </c>
      <c r="I1350">
        <f t="shared" si="65"/>
        <v>0</v>
      </c>
    </row>
    <row r="1351" spans="1:9" x14ac:dyDescent="0.3">
      <c r="A1351" t="str">
        <f t="shared" si="63"/>
        <v>-</v>
      </c>
      <c r="B1351" t="str">
        <f t="shared" si="64"/>
        <v>0-</v>
      </c>
      <c r="H1351" t="str">
        <f>IFERROR(VLOOKUP(E1351,DC_Xref!A:B,2,FALSE),"")</f>
        <v/>
      </c>
      <c r="I1351">
        <f t="shared" si="65"/>
        <v>0</v>
      </c>
    </row>
    <row r="1352" spans="1:9" x14ac:dyDescent="0.3">
      <c r="A1352" t="str">
        <f t="shared" si="63"/>
        <v>-</v>
      </c>
      <c r="B1352" t="str">
        <f t="shared" si="64"/>
        <v>0-</v>
      </c>
      <c r="H1352" t="str">
        <f>IFERROR(VLOOKUP(E1352,DC_Xref!A:B,2,FALSE),"")</f>
        <v/>
      </c>
      <c r="I1352">
        <f t="shared" si="65"/>
        <v>0</v>
      </c>
    </row>
    <row r="1353" spans="1:9" x14ac:dyDescent="0.3">
      <c r="A1353" t="str">
        <f t="shared" si="63"/>
        <v>-</v>
      </c>
      <c r="B1353" t="str">
        <f t="shared" si="64"/>
        <v>0-</v>
      </c>
      <c r="H1353" t="str">
        <f>IFERROR(VLOOKUP(E1353,DC_Xref!A:B,2,FALSE),"")</f>
        <v/>
      </c>
      <c r="I1353">
        <f t="shared" si="65"/>
        <v>0</v>
      </c>
    </row>
    <row r="1354" spans="1:9" x14ac:dyDescent="0.3">
      <c r="A1354" t="str">
        <f t="shared" si="63"/>
        <v>-</v>
      </c>
      <c r="B1354" t="str">
        <f t="shared" si="64"/>
        <v>0-</v>
      </c>
      <c r="H1354" t="str">
        <f>IFERROR(VLOOKUP(E1354,DC_Xref!A:B,2,FALSE),"")</f>
        <v/>
      </c>
      <c r="I1354">
        <f t="shared" si="65"/>
        <v>0</v>
      </c>
    </row>
    <row r="1355" spans="1:9" x14ac:dyDescent="0.3">
      <c r="A1355" t="str">
        <f t="shared" si="63"/>
        <v>-</v>
      </c>
      <c r="B1355" t="str">
        <f t="shared" si="64"/>
        <v>0-</v>
      </c>
      <c r="H1355" t="str">
        <f>IFERROR(VLOOKUP(E1355,DC_Xref!A:B,2,FALSE),"")</f>
        <v/>
      </c>
      <c r="I1355">
        <f t="shared" si="65"/>
        <v>0</v>
      </c>
    </row>
    <row r="1356" spans="1:9" x14ac:dyDescent="0.3">
      <c r="A1356" t="str">
        <f t="shared" si="63"/>
        <v>-</v>
      </c>
      <c r="B1356" t="str">
        <f t="shared" si="64"/>
        <v>0-</v>
      </c>
      <c r="H1356" t="str">
        <f>IFERROR(VLOOKUP(E1356,DC_Xref!A:B,2,FALSE),"")</f>
        <v/>
      </c>
      <c r="I1356">
        <f t="shared" si="65"/>
        <v>0</v>
      </c>
    </row>
    <row r="1357" spans="1:9" x14ac:dyDescent="0.3">
      <c r="A1357" t="str">
        <f t="shared" si="63"/>
        <v>-</v>
      </c>
      <c r="B1357" t="str">
        <f t="shared" si="64"/>
        <v>0-</v>
      </c>
      <c r="H1357" t="str">
        <f>IFERROR(VLOOKUP(E1357,DC_Xref!A:B,2,FALSE),"")</f>
        <v/>
      </c>
      <c r="I1357">
        <f t="shared" si="65"/>
        <v>0</v>
      </c>
    </row>
    <row r="1358" spans="1:9" x14ac:dyDescent="0.3">
      <c r="A1358" t="str">
        <f t="shared" si="63"/>
        <v>-</v>
      </c>
      <c r="B1358" t="str">
        <f t="shared" si="64"/>
        <v>0-</v>
      </c>
      <c r="H1358" t="str">
        <f>IFERROR(VLOOKUP(E1358,DC_Xref!A:B,2,FALSE),"")</f>
        <v/>
      </c>
      <c r="I1358">
        <f t="shared" si="65"/>
        <v>0</v>
      </c>
    </row>
    <row r="1359" spans="1:9" x14ac:dyDescent="0.3">
      <c r="A1359" t="str">
        <f t="shared" si="63"/>
        <v>-</v>
      </c>
      <c r="B1359" t="str">
        <f t="shared" si="64"/>
        <v>0-</v>
      </c>
      <c r="H1359" t="str">
        <f>IFERROR(VLOOKUP(E1359,DC_Xref!A:B,2,FALSE),"")</f>
        <v/>
      </c>
      <c r="I1359">
        <f t="shared" si="65"/>
        <v>0</v>
      </c>
    </row>
    <row r="1360" spans="1:9" x14ac:dyDescent="0.3">
      <c r="A1360" t="str">
        <f t="shared" si="63"/>
        <v>-</v>
      </c>
      <c r="B1360" t="str">
        <f t="shared" si="64"/>
        <v>0-</v>
      </c>
      <c r="H1360" t="str">
        <f>IFERROR(VLOOKUP(E1360,DC_Xref!A:B,2,FALSE),"")</f>
        <v/>
      </c>
      <c r="I1360">
        <f t="shared" si="65"/>
        <v>0</v>
      </c>
    </row>
    <row r="1361" spans="1:9" x14ac:dyDescent="0.3">
      <c r="A1361" t="str">
        <f t="shared" si="63"/>
        <v>-</v>
      </c>
      <c r="B1361" t="str">
        <f t="shared" si="64"/>
        <v>0-</v>
      </c>
      <c r="H1361" t="str">
        <f>IFERROR(VLOOKUP(E1361,DC_Xref!A:B,2,FALSE),"")</f>
        <v/>
      </c>
      <c r="I1361">
        <f t="shared" si="65"/>
        <v>0</v>
      </c>
    </row>
    <row r="1362" spans="1:9" x14ac:dyDescent="0.3">
      <c r="A1362" t="str">
        <f t="shared" si="63"/>
        <v>-</v>
      </c>
      <c r="B1362" t="str">
        <f t="shared" si="64"/>
        <v>0-</v>
      </c>
      <c r="H1362" t="str">
        <f>IFERROR(VLOOKUP(E1362,DC_Xref!A:B,2,FALSE),"")</f>
        <v/>
      </c>
      <c r="I1362">
        <f t="shared" si="65"/>
        <v>0</v>
      </c>
    </row>
    <row r="1363" spans="1:9" x14ac:dyDescent="0.3">
      <c r="A1363" t="str">
        <f t="shared" si="63"/>
        <v>-</v>
      </c>
      <c r="B1363" t="str">
        <f t="shared" si="64"/>
        <v>0-</v>
      </c>
      <c r="H1363" t="str">
        <f>IFERROR(VLOOKUP(E1363,DC_Xref!A:B,2,FALSE),"")</f>
        <v/>
      </c>
      <c r="I1363">
        <f t="shared" si="65"/>
        <v>0</v>
      </c>
    </row>
    <row r="1364" spans="1:9" x14ac:dyDescent="0.3">
      <c r="A1364" t="str">
        <f t="shared" si="63"/>
        <v>-</v>
      </c>
      <c r="B1364" t="str">
        <f t="shared" si="64"/>
        <v>0-</v>
      </c>
      <c r="H1364" t="str">
        <f>IFERROR(VLOOKUP(E1364,DC_Xref!A:B,2,FALSE),"")</f>
        <v/>
      </c>
      <c r="I1364">
        <f t="shared" si="65"/>
        <v>0</v>
      </c>
    </row>
    <row r="1365" spans="1:9" x14ac:dyDescent="0.3">
      <c r="A1365" t="str">
        <f t="shared" si="63"/>
        <v>-</v>
      </c>
      <c r="B1365" t="str">
        <f t="shared" si="64"/>
        <v>0-</v>
      </c>
      <c r="H1365" t="str">
        <f>IFERROR(VLOOKUP(E1365,DC_Xref!A:B,2,FALSE),"")</f>
        <v/>
      </c>
      <c r="I1365">
        <f t="shared" si="65"/>
        <v>0</v>
      </c>
    </row>
    <row r="1366" spans="1:9" x14ac:dyDescent="0.3">
      <c r="A1366" t="str">
        <f t="shared" si="63"/>
        <v>-</v>
      </c>
      <c r="B1366" t="str">
        <f t="shared" si="64"/>
        <v>0-</v>
      </c>
      <c r="H1366" t="str">
        <f>IFERROR(VLOOKUP(E1366,DC_Xref!A:B,2,FALSE),"")</f>
        <v/>
      </c>
      <c r="I1366">
        <f t="shared" si="65"/>
        <v>0</v>
      </c>
    </row>
    <row r="1367" spans="1:9" x14ac:dyDescent="0.3">
      <c r="A1367" t="str">
        <f t="shared" si="63"/>
        <v>-</v>
      </c>
      <c r="B1367" t="str">
        <f t="shared" si="64"/>
        <v>0-</v>
      </c>
      <c r="H1367" t="str">
        <f>IFERROR(VLOOKUP(E1367,DC_Xref!A:B,2,FALSE),"")</f>
        <v/>
      </c>
      <c r="I1367">
        <f t="shared" si="65"/>
        <v>0</v>
      </c>
    </row>
    <row r="1368" spans="1:9" x14ac:dyDescent="0.3">
      <c r="A1368" t="str">
        <f t="shared" si="63"/>
        <v>-</v>
      </c>
      <c r="B1368" t="str">
        <f t="shared" si="64"/>
        <v>0-</v>
      </c>
      <c r="H1368" t="str">
        <f>IFERROR(VLOOKUP(E1368,DC_Xref!A:B,2,FALSE),"")</f>
        <v/>
      </c>
      <c r="I1368">
        <f t="shared" si="65"/>
        <v>0</v>
      </c>
    </row>
    <row r="1369" spans="1:9" x14ac:dyDescent="0.3">
      <c r="A1369" t="str">
        <f t="shared" si="63"/>
        <v>-</v>
      </c>
      <c r="B1369" t="str">
        <f t="shared" si="64"/>
        <v>0-</v>
      </c>
      <c r="H1369" t="str">
        <f>IFERROR(VLOOKUP(E1369,DC_Xref!A:B,2,FALSE),"")</f>
        <v/>
      </c>
      <c r="I1369">
        <f t="shared" si="65"/>
        <v>0</v>
      </c>
    </row>
    <row r="1370" spans="1:9" x14ac:dyDescent="0.3">
      <c r="A1370" t="str">
        <f t="shared" si="63"/>
        <v>-</v>
      </c>
      <c r="B1370" t="str">
        <f t="shared" si="64"/>
        <v>0-</v>
      </c>
      <c r="H1370" t="str">
        <f>IFERROR(VLOOKUP(E1370,DC_Xref!A:B,2,FALSE),"")</f>
        <v/>
      </c>
      <c r="I1370">
        <f t="shared" si="65"/>
        <v>0</v>
      </c>
    </row>
    <row r="1371" spans="1:9" x14ac:dyDescent="0.3">
      <c r="A1371" t="str">
        <f t="shared" si="63"/>
        <v>-</v>
      </c>
      <c r="B1371" t="str">
        <f t="shared" si="64"/>
        <v>0-</v>
      </c>
      <c r="H1371" t="str">
        <f>IFERROR(VLOOKUP(E1371,DC_Xref!A:B,2,FALSE),"")</f>
        <v/>
      </c>
      <c r="I1371">
        <f t="shared" si="65"/>
        <v>0</v>
      </c>
    </row>
    <row r="1372" spans="1:9" x14ac:dyDescent="0.3">
      <c r="A1372" t="str">
        <f t="shared" si="63"/>
        <v>-</v>
      </c>
      <c r="B1372" t="str">
        <f t="shared" si="64"/>
        <v>0-</v>
      </c>
      <c r="H1372" t="str">
        <f>IFERROR(VLOOKUP(E1372,DC_Xref!A:B,2,FALSE),"")</f>
        <v/>
      </c>
      <c r="I1372">
        <f t="shared" si="65"/>
        <v>0</v>
      </c>
    </row>
    <row r="1373" spans="1:9" x14ac:dyDescent="0.3">
      <c r="A1373" t="str">
        <f t="shared" si="63"/>
        <v>-</v>
      </c>
      <c r="B1373" t="str">
        <f t="shared" si="64"/>
        <v>0-</v>
      </c>
      <c r="H1373" t="str">
        <f>IFERROR(VLOOKUP(E1373,DC_Xref!A:B,2,FALSE),"")</f>
        <v/>
      </c>
      <c r="I1373">
        <f t="shared" si="65"/>
        <v>0</v>
      </c>
    </row>
    <row r="1374" spans="1:9" x14ac:dyDescent="0.3">
      <c r="A1374" t="str">
        <f t="shared" si="63"/>
        <v>-</v>
      </c>
      <c r="B1374" t="str">
        <f t="shared" si="64"/>
        <v>0-</v>
      </c>
      <c r="H1374" t="str">
        <f>IFERROR(VLOOKUP(E1374,DC_Xref!A:B,2,FALSE),"")</f>
        <v/>
      </c>
      <c r="I1374">
        <f t="shared" si="65"/>
        <v>0</v>
      </c>
    </row>
    <row r="1375" spans="1:9" x14ac:dyDescent="0.3">
      <c r="A1375" t="str">
        <f t="shared" si="63"/>
        <v>-</v>
      </c>
      <c r="B1375" t="str">
        <f t="shared" si="64"/>
        <v>0-</v>
      </c>
      <c r="H1375" t="str">
        <f>IFERROR(VLOOKUP(E1375,DC_Xref!A:B,2,FALSE),"")</f>
        <v/>
      </c>
      <c r="I1375">
        <f t="shared" si="65"/>
        <v>0</v>
      </c>
    </row>
    <row r="1376" spans="1:9" x14ac:dyDescent="0.3">
      <c r="A1376" t="str">
        <f t="shared" si="63"/>
        <v>-</v>
      </c>
      <c r="B1376" t="str">
        <f t="shared" si="64"/>
        <v>0-</v>
      </c>
      <c r="H1376" t="str">
        <f>IFERROR(VLOOKUP(E1376,DC_Xref!A:B,2,FALSE),"")</f>
        <v/>
      </c>
      <c r="I1376">
        <f t="shared" si="65"/>
        <v>0</v>
      </c>
    </row>
    <row r="1377" spans="1:9" x14ac:dyDescent="0.3">
      <c r="A1377" t="str">
        <f t="shared" si="63"/>
        <v>-</v>
      </c>
      <c r="B1377" t="str">
        <f t="shared" si="64"/>
        <v>0-</v>
      </c>
      <c r="H1377" t="str">
        <f>IFERROR(VLOOKUP(E1377,DC_Xref!A:B,2,FALSE),"")</f>
        <v/>
      </c>
      <c r="I1377">
        <f t="shared" si="65"/>
        <v>0</v>
      </c>
    </row>
    <row r="1378" spans="1:9" x14ac:dyDescent="0.3">
      <c r="A1378" t="str">
        <f t="shared" si="63"/>
        <v>-</v>
      </c>
      <c r="B1378" t="str">
        <f t="shared" si="64"/>
        <v>0-</v>
      </c>
      <c r="H1378" t="str">
        <f>IFERROR(VLOOKUP(E1378,DC_Xref!A:B,2,FALSE),"")</f>
        <v/>
      </c>
      <c r="I1378">
        <f t="shared" si="65"/>
        <v>0</v>
      </c>
    </row>
    <row r="1379" spans="1:9" x14ac:dyDescent="0.3">
      <c r="A1379" t="str">
        <f t="shared" si="63"/>
        <v>-</v>
      </c>
      <c r="B1379" t="str">
        <f t="shared" si="64"/>
        <v>0-</v>
      </c>
      <c r="H1379" t="str">
        <f>IFERROR(VLOOKUP(E1379,DC_Xref!A:B,2,FALSE),"")</f>
        <v/>
      </c>
      <c r="I1379">
        <f t="shared" si="65"/>
        <v>0</v>
      </c>
    </row>
    <row r="1380" spans="1:9" x14ac:dyDescent="0.3">
      <c r="A1380" t="str">
        <f t="shared" si="63"/>
        <v>-</v>
      </c>
      <c r="B1380" t="str">
        <f t="shared" si="64"/>
        <v>0-</v>
      </c>
      <c r="H1380" t="str">
        <f>IFERROR(VLOOKUP(E1380,DC_Xref!A:B,2,FALSE),"")</f>
        <v/>
      </c>
      <c r="I1380">
        <f t="shared" si="65"/>
        <v>0</v>
      </c>
    </row>
    <row r="1381" spans="1:9" x14ac:dyDescent="0.3">
      <c r="A1381" t="str">
        <f t="shared" si="63"/>
        <v>-</v>
      </c>
      <c r="B1381" t="str">
        <f t="shared" si="64"/>
        <v>0-</v>
      </c>
      <c r="H1381" t="str">
        <f>IFERROR(VLOOKUP(E1381,DC_Xref!A:B,2,FALSE),"")</f>
        <v/>
      </c>
      <c r="I1381">
        <f t="shared" si="65"/>
        <v>0</v>
      </c>
    </row>
    <row r="1382" spans="1:9" x14ac:dyDescent="0.3">
      <c r="A1382" t="str">
        <f t="shared" si="63"/>
        <v>-</v>
      </c>
      <c r="B1382" t="str">
        <f t="shared" si="64"/>
        <v>0-</v>
      </c>
      <c r="H1382" t="str">
        <f>IFERROR(VLOOKUP(E1382,DC_Xref!A:B,2,FALSE),"")</f>
        <v/>
      </c>
      <c r="I1382">
        <f t="shared" si="65"/>
        <v>0</v>
      </c>
    </row>
    <row r="1383" spans="1:9" x14ac:dyDescent="0.3">
      <c r="A1383" t="str">
        <f t="shared" si="63"/>
        <v>-</v>
      </c>
      <c r="B1383" t="str">
        <f t="shared" si="64"/>
        <v>0-</v>
      </c>
      <c r="H1383" t="str">
        <f>IFERROR(VLOOKUP(E1383,DC_Xref!A:B,2,FALSE),"")</f>
        <v/>
      </c>
      <c r="I1383">
        <f t="shared" si="65"/>
        <v>0</v>
      </c>
    </row>
    <row r="1384" spans="1:9" x14ac:dyDescent="0.3">
      <c r="A1384" t="str">
        <f t="shared" si="63"/>
        <v>-</v>
      </c>
      <c r="B1384" t="str">
        <f t="shared" si="64"/>
        <v>0-</v>
      </c>
      <c r="H1384" t="str">
        <f>IFERROR(VLOOKUP(E1384,DC_Xref!A:B,2,FALSE),"")</f>
        <v/>
      </c>
      <c r="I1384">
        <f t="shared" si="65"/>
        <v>0</v>
      </c>
    </row>
    <row r="1385" spans="1:9" x14ac:dyDescent="0.3">
      <c r="A1385" t="str">
        <f t="shared" si="63"/>
        <v>-</v>
      </c>
      <c r="B1385" t="str">
        <f t="shared" si="64"/>
        <v>0-</v>
      </c>
      <c r="H1385" t="str">
        <f>IFERROR(VLOOKUP(E1385,DC_Xref!A:B,2,FALSE),"")</f>
        <v/>
      </c>
      <c r="I1385">
        <f t="shared" si="65"/>
        <v>0</v>
      </c>
    </row>
    <row r="1386" spans="1:9" x14ac:dyDescent="0.3">
      <c r="A1386" t="str">
        <f t="shared" si="63"/>
        <v>-</v>
      </c>
      <c r="B1386" t="str">
        <f t="shared" si="64"/>
        <v>0-</v>
      </c>
      <c r="H1386" t="str">
        <f>IFERROR(VLOOKUP(E1386,DC_Xref!A:B,2,FALSE),"")</f>
        <v/>
      </c>
      <c r="I1386">
        <f t="shared" si="65"/>
        <v>0</v>
      </c>
    </row>
    <row r="1387" spans="1:9" x14ac:dyDescent="0.3">
      <c r="A1387" t="str">
        <f t="shared" si="63"/>
        <v>-</v>
      </c>
      <c r="B1387" t="str">
        <f t="shared" si="64"/>
        <v>0-</v>
      </c>
      <c r="H1387" t="str">
        <f>IFERROR(VLOOKUP(E1387,DC_Xref!A:B,2,FALSE),"")</f>
        <v/>
      </c>
      <c r="I1387">
        <f t="shared" si="65"/>
        <v>0</v>
      </c>
    </row>
    <row r="1388" spans="1:9" x14ac:dyDescent="0.3">
      <c r="A1388" t="str">
        <f t="shared" si="63"/>
        <v>-</v>
      </c>
      <c r="B1388" t="str">
        <f t="shared" si="64"/>
        <v>0-</v>
      </c>
      <c r="H1388" t="str">
        <f>IFERROR(VLOOKUP(E1388,DC_Xref!A:B,2,FALSE),"")</f>
        <v/>
      </c>
      <c r="I1388">
        <f t="shared" si="65"/>
        <v>0</v>
      </c>
    </row>
    <row r="1389" spans="1:9" x14ac:dyDescent="0.3">
      <c r="A1389" t="str">
        <f t="shared" si="63"/>
        <v>-</v>
      </c>
      <c r="B1389" t="str">
        <f t="shared" si="64"/>
        <v>0-</v>
      </c>
      <c r="H1389" t="str">
        <f>IFERROR(VLOOKUP(E1389,DC_Xref!A:B,2,FALSE),"")</f>
        <v/>
      </c>
      <c r="I1389">
        <f t="shared" si="65"/>
        <v>0</v>
      </c>
    </row>
    <row r="1390" spans="1:9" x14ac:dyDescent="0.3">
      <c r="A1390" t="str">
        <f t="shared" si="63"/>
        <v>-</v>
      </c>
      <c r="B1390" t="str">
        <f t="shared" si="64"/>
        <v>0-</v>
      </c>
      <c r="H1390" t="str">
        <f>IFERROR(VLOOKUP(E1390,DC_Xref!A:B,2,FALSE),"")</f>
        <v/>
      </c>
      <c r="I1390">
        <f t="shared" si="65"/>
        <v>0</v>
      </c>
    </row>
    <row r="1391" spans="1:9" x14ac:dyDescent="0.3">
      <c r="A1391" t="str">
        <f t="shared" si="63"/>
        <v>-</v>
      </c>
      <c r="B1391" t="str">
        <f t="shared" si="64"/>
        <v>0-</v>
      </c>
      <c r="H1391" t="str">
        <f>IFERROR(VLOOKUP(E1391,DC_Xref!A:B,2,FALSE),"")</f>
        <v/>
      </c>
      <c r="I1391">
        <f t="shared" si="65"/>
        <v>0</v>
      </c>
    </row>
    <row r="1392" spans="1:9" x14ac:dyDescent="0.3">
      <c r="A1392" t="str">
        <f t="shared" si="63"/>
        <v>-</v>
      </c>
      <c r="B1392" t="str">
        <f t="shared" si="64"/>
        <v>0-</v>
      </c>
      <c r="H1392" t="str">
        <f>IFERROR(VLOOKUP(E1392,DC_Xref!A:B,2,FALSE),"")</f>
        <v/>
      </c>
      <c r="I1392">
        <f t="shared" si="65"/>
        <v>0</v>
      </c>
    </row>
    <row r="1393" spans="1:9" x14ac:dyDescent="0.3">
      <c r="A1393" t="str">
        <f t="shared" si="63"/>
        <v>-</v>
      </c>
      <c r="B1393" t="str">
        <f t="shared" si="64"/>
        <v>0-</v>
      </c>
      <c r="H1393" t="str">
        <f>IFERROR(VLOOKUP(E1393,DC_Xref!A:B,2,FALSE),"")</f>
        <v/>
      </c>
      <c r="I1393">
        <f t="shared" si="65"/>
        <v>0</v>
      </c>
    </row>
    <row r="1394" spans="1:9" x14ac:dyDescent="0.3">
      <c r="A1394" t="str">
        <f t="shared" si="63"/>
        <v>-</v>
      </c>
      <c r="B1394" t="str">
        <f t="shared" si="64"/>
        <v>0-</v>
      </c>
      <c r="H1394" t="str">
        <f>IFERROR(VLOOKUP(E1394,DC_Xref!A:B,2,FALSE),"")</f>
        <v/>
      </c>
      <c r="I1394">
        <f t="shared" si="65"/>
        <v>0</v>
      </c>
    </row>
    <row r="1395" spans="1:9" x14ac:dyDescent="0.3">
      <c r="A1395" t="str">
        <f t="shared" si="63"/>
        <v>-</v>
      </c>
      <c r="B1395" t="str">
        <f t="shared" si="64"/>
        <v>0-</v>
      </c>
      <c r="H1395" t="str">
        <f>IFERROR(VLOOKUP(E1395,DC_Xref!A:B,2,FALSE),"")</f>
        <v/>
      </c>
      <c r="I1395">
        <f t="shared" si="65"/>
        <v>0</v>
      </c>
    </row>
    <row r="1396" spans="1:9" x14ac:dyDescent="0.3">
      <c r="A1396" t="str">
        <f t="shared" si="63"/>
        <v>-</v>
      </c>
      <c r="B1396" t="str">
        <f t="shared" si="64"/>
        <v>0-</v>
      </c>
      <c r="H1396" t="str">
        <f>IFERROR(VLOOKUP(E1396,DC_Xref!A:B,2,FALSE),"")</f>
        <v/>
      </c>
      <c r="I1396">
        <f t="shared" si="65"/>
        <v>0</v>
      </c>
    </row>
    <row r="1397" spans="1:9" x14ac:dyDescent="0.3">
      <c r="A1397" t="str">
        <f t="shared" si="63"/>
        <v>-</v>
      </c>
      <c r="B1397" t="str">
        <f t="shared" si="64"/>
        <v>0-</v>
      </c>
      <c r="H1397" t="str">
        <f>IFERROR(VLOOKUP(E1397,DC_Xref!A:B,2,FALSE),"")</f>
        <v/>
      </c>
      <c r="I1397">
        <f t="shared" si="65"/>
        <v>0</v>
      </c>
    </row>
    <row r="1398" spans="1:9" x14ac:dyDescent="0.3">
      <c r="A1398" t="str">
        <f t="shared" si="63"/>
        <v>-</v>
      </c>
      <c r="B1398" t="str">
        <f t="shared" si="64"/>
        <v>0-</v>
      </c>
      <c r="H1398" t="str">
        <f>IFERROR(VLOOKUP(E1398,DC_Xref!A:B,2,FALSE),"")</f>
        <v/>
      </c>
      <c r="I1398">
        <f t="shared" si="65"/>
        <v>0</v>
      </c>
    </row>
    <row r="1399" spans="1:9" x14ac:dyDescent="0.3">
      <c r="A1399" t="str">
        <f t="shared" si="63"/>
        <v>-</v>
      </c>
      <c r="B1399" t="str">
        <f t="shared" si="64"/>
        <v>0-</v>
      </c>
      <c r="H1399" t="str">
        <f>IFERROR(VLOOKUP(E1399,DC_Xref!A:B,2,FALSE),"")</f>
        <v/>
      </c>
      <c r="I1399">
        <f t="shared" si="65"/>
        <v>0</v>
      </c>
    </row>
    <row r="1400" spans="1:9" x14ac:dyDescent="0.3">
      <c r="A1400" t="str">
        <f t="shared" si="63"/>
        <v>-</v>
      </c>
      <c r="B1400" t="str">
        <f t="shared" si="64"/>
        <v>0-</v>
      </c>
      <c r="H1400" t="str">
        <f>IFERROR(VLOOKUP(E1400,DC_Xref!A:B,2,FALSE),"")</f>
        <v/>
      </c>
      <c r="I1400">
        <f t="shared" si="65"/>
        <v>0</v>
      </c>
    </row>
    <row r="1401" spans="1:9" x14ac:dyDescent="0.3">
      <c r="A1401" t="str">
        <f t="shared" si="63"/>
        <v>-</v>
      </c>
      <c r="B1401" t="str">
        <f t="shared" si="64"/>
        <v>0-</v>
      </c>
      <c r="H1401" t="str">
        <f>IFERROR(VLOOKUP(E1401,DC_Xref!A:B,2,FALSE),"")</f>
        <v/>
      </c>
      <c r="I1401">
        <f t="shared" si="65"/>
        <v>0</v>
      </c>
    </row>
    <row r="1402" spans="1:9" x14ac:dyDescent="0.3">
      <c r="A1402" t="str">
        <f t="shared" si="63"/>
        <v>-</v>
      </c>
      <c r="B1402" t="str">
        <f t="shared" si="64"/>
        <v>0-</v>
      </c>
      <c r="H1402" t="str">
        <f>IFERROR(VLOOKUP(E1402,DC_Xref!A:B,2,FALSE),"")</f>
        <v/>
      </c>
      <c r="I1402">
        <f t="shared" si="65"/>
        <v>0</v>
      </c>
    </row>
    <row r="1403" spans="1:9" x14ac:dyDescent="0.3">
      <c r="A1403" t="str">
        <f t="shared" si="63"/>
        <v>-</v>
      </c>
      <c r="B1403" t="str">
        <f t="shared" si="64"/>
        <v>0-</v>
      </c>
      <c r="H1403" t="str">
        <f>IFERROR(VLOOKUP(E1403,DC_Xref!A:B,2,FALSE),"")</f>
        <v/>
      </c>
      <c r="I1403">
        <f t="shared" si="65"/>
        <v>0</v>
      </c>
    </row>
    <row r="1404" spans="1:9" x14ac:dyDescent="0.3">
      <c r="A1404" t="str">
        <f t="shared" si="63"/>
        <v>-</v>
      </c>
      <c r="B1404" t="str">
        <f t="shared" si="64"/>
        <v>0-</v>
      </c>
      <c r="H1404" t="str">
        <f>IFERROR(VLOOKUP(E1404,DC_Xref!A:B,2,FALSE),"")</f>
        <v/>
      </c>
      <c r="I1404">
        <f t="shared" si="65"/>
        <v>0</v>
      </c>
    </row>
    <row r="1405" spans="1:9" x14ac:dyDescent="0.3">
      <c r="A1405" t="str">
        <f t="shared" si="63"/>
        <v>-</v>
      </c>
      <c r="B1405" t="str">
        <f t="shared" si="64"/>
        <v>0-</v>
      </c>
      <c r="H1405" t="str">
        <f>IFERROR(VLOOKUP(E1405,DC_Xref!A:B,2,FALSE),"")</f>
        <v/>
      </c>
      <c r="I1405">
        <f t="shared" si="65"/>
        <v>0</v>
      </c>
    </row>
    <row r="1406" spans="1:9" x14ac:dyDescent="0.3">
      <c r="A1406" t="str">
        <f t="shared" si="63"/>
        <v>-</v>
      </c>
      <c r="B1406" t="str">
        <f t="shared" si="64"/>
        <v>0-</v>
      </c>
      <c r="H1406" t="str">
        <f>IFERROR(VLOOKUP(E1406,DC_Xref!A:B,2,FALSE),"")</f>
        <v/>
      </c>
      <c r="I1406">
        <f t="shared" si="65"/>
        <v>0</v>
      </c>
    </row>
    <row r="1407" spans="1:9" x14ac:dyDescent="0.3">
      <c r="A1407" t="str">
        <f t="shared" si="63"/>
        <v>-</v>
      </c>
      <c r="B1407" t="str">
        <f t="shared" si="64"/>
        <v>0-</v>
      </c>
      <c r="H1407" t="str">
        <f>IFERROR(VLOOKUP(E1407,DC_Xref!A:B,2,FALSE),"")</f>
        <v/>
      </c>
      <c r="I1407">
        <f t="shared" si="65"/>
        <v>0</v>
      </c>
    </row>
    <row r="1408" spans="1:9" x14ac:dyDescent="0.3">
      <c r="A1408" t="str">
        <f t="shared" si="63"/>
        <v>-</v>
      </c>
      <c r="B1408" t="str">
        <f t="shared" si="64"/>
        <v>0-</v>
      </c>
      <c r="H1408" t="str">
        <f>IFERROR(VLOOKUP(E1408,DC_Xref!A:B,2,FALSE),"")</f>
        <v/>
      </c>
      <c r="I1408">
        <f t="shared" si="65"/>
        <v>0</v>
      </c>
    </row>
    <row r="1409" spans="1:9" x14ac:dyDescent="0.3">
      <c r="A1409" t="str">
        <f t="shared" si="63"/>
        <v>-</v>
      </c>
      <c r="B1409" t="str">
        <f t="shared" si="64"/>
        <v>0-</v>
      </c>
      <c r="H1409" t="str">
        <f>IFERROR(VLOOKUP(E1409,DC_Xref!A:B,2,FALSE),"")</f>
        <v/>
      </c>
      <c r="I1409">
        <f t="shared" si="65"/>
        <v>0</v>
      </c>
    </row>
    <row r="1410" spans="1:9" x14ac:dyDescent="0.3">
      <c r="A1410" t="str">
        <f t="shared" ref="A1410:A1473" si="66">C1410&amp;"-"&amp;F1410</f>
        <v>-</v>
      </c>
      <c r="B1410" t="str">
        <f t="shared" ref="B1410:B1473" si="67">I1410&amp;"-"&amp;H1410</f>
        <v>0-</v>
      </c>
      <c r="H1410" t="str">
        <f>IFERROR(VLOOKUP(E1410,DC_Xref!A:B,2,FALSE),"")</f>
        <v/>
      </c>
      <c r="I1410">
        <f t="shared" ref="I1410:I1473" si="68">C1410*100+D1410</f>
        <v>0</v>
      </c>
    </row>
    <row r="1411" spans="1:9" x14ac:dyDescent="0.3">
      <c r="A1411" t="str">
        <f t="shared" si="66"/>
        <v>-</v>
      </c>
      <c r="B1411" t="str">
        <f t="shared" si="67"/>
        <v>0-</v>
      </c>
      <c r="H1411" t="str">
        <f>IFERROR(VLOOKUP(E1411,DC_Xref!A:B,2,FALSE),"")</f>
        <v/>
      </c>
      <c r="I1411">
        <f t="shared" si="68"/>
        <v>0</v>
      </c>
    </row>
    <row r="1412" spans="1:9" x14ac:dyDescent="0.3">
      <c r="A1412" t="str">
        <f t="shared" si="66"/>
        <v>-</v>
      </c>
      <c r="B1412" t="str">
        <f t="shared" si="67"/>
        <v>0-</v>
      </c>
      <c r="H1412" t="str">
        <f>IFERROR(VLOOKUP(E1412,DC_Xref!A:B,2,FALSE),"")</f>
        <v/>
      </c>
      <c r="I1412">
        <f t="shared" si="68"/>
        <v>0</v>
      </c>
    </row>
    <row r="1413" spans="1:9" x14ac:dyDescent="0.3">
      <c r="A1413" t="str">
        <f t="shared" si="66"/>
        <v>-</v>
      </c>
      <c r="B1413" t="str">
        <f t="shared" si="67"/>
        <v>0-</v>
      </c>
      <c r="H1413" t="str">
        <f>IFERROR(VLOOKUP(E1413,DC_Xref!A:B,2,FALSE),"")</f>
        <v/>
      </c>
      <c r="I1413">
        <f t="shared" si="68"/>
        <v>0</v>
      </c>
    </row>
    <row r="1414" spans="1:9" x14ac:dyDescent="0.3">
      <c r="A1414" t="str">
        <f t="shared" si="66"/>
        <v>-</v>
      </c>
      <c r="B1414" t="str">
        <f t="shared" si="67"/>
        <v>0-</v>
      </c>
      <c r="H1414" t="str">
        <f>IFERROR(VLOOKUP(E1414,DC_Xref!A:B,2,FALSE),"")</f>
        <v/>
      </c>
      <c r="I1414">
        <f t="shared" si="68"/>
        <v>0</v>
      </c>
    </row>
    <row r="1415" spans="1:9" x14ac:dyDescent="0.3">
      <c r="A1415" t="str">
        <f t="shared" si="66"/>
        <v>-</v>
      </c>
      <c r="B1415" t="str">
        <f t="shared" si="67"/>
        <v>0-</v>
      </c>
      <c r="H1415" t="str">
        <f>IFERROR(VLOOKUP(E1415,DC_Xref!A:B,2,FALSE),"")</f>
        <v/>
      </c>
      <c r="I1415">
        <f t="shared" si="68"/>
        <v>0</v>
      </c>
    </row>
    <row r="1416" spans="1:9" x14ac:dyDescent="0.3">
      <c r="A1416" t="str">
        <f t="shared" si="66"/>
        <v>-</v>
      </c>
      <c r="B1416" t="str">
        <f t="shared" si="67"/>
        <v>0-</v>
      </c>
      <c r="H1416" t="str">
        <f>IFERROR(VLOOKUP(E1416,DC_Xref!A:B,2,FALSE),"")</f>
        <v/>
      </c>
      <c r="I1416">
        <f t="shared" si="68"/>
        <v>0</v>
      </c>
    </row>
    <row r="1417" spans="1:9" x14ac:dyDescent="0.3">
      <c r="A1417" t="str">
        <f t="shared" si="66"/>
        <v>-</v>
      </c>
      <c r="B1417" t="str">
        <f t="shared" si="67"/>
        <v>0-</v>
      </c>
      <c r="H1417" t="str">
        <f>IFERROR(VLOOKUP(E1417,DC_Xref!A:B,2,FALSE),"")</f>
        <v/>
      </c>
      <c r="I1417">
        <f t="shared" si="68"/>
        <v>0</v>
      </c>
    </row>
    <row r="1418" spans="1:9" x14ac:dyDescent="0.3">
      <c r="A1418" t="str">
        <f t="shared" si="66"/>
        <v>-</v>
      </c>
      <c r="B1418" t="str">
        <f t="shared" si="67"/>
        <v>0-</v>
      </c>
      <c r="H1418" t="str">
        <f>IFERROR(VLOOKUP(E1418,DC_Xref!A:B,2,FALSE),"")</f>
        <v/>
      </c>
      <c r="I1418">
        <f t="shared" si="68"/>
        <v>0</v>
      </c>
    </row>
    <row r="1419" spans="1:9" x14ac:dyDescent="0.3">
      <c r="A1419" t="str">
        <f t="shared" si="66"/>
        <v>-</v>
      </c>
      <c r="B1419" t="str">
        <f t="shared" si="67"/>
        <v>0-</v>
      </c>
      <c r="H1419" t="str">
        <f>IFERROR(VLOOKUP(E1419,DC_Xref!A:B,2,FALSE),"")</f>
        <v/>
      </c>
      <c r="I1419">
        <f t="shared" si="68"/>
        <v>0</v>
      </c>
    </row>
    <row r="1420" spans="1:9" x14ac:dyDescent="0.3">
      <c r="A1420" t="str">
        <f t="shared" si="66"/>
        <v>-</v>
      </c>
      <c r="B1420" t="str">
        <f t="shared" si="67"/>
        <v>0-</v>
      </c>
      <c r="H1420" t="str">
        <f>IFERROR(VLOOKUP(E1420,DC_Xref!A:B,2,FALSE),"")</f>
        <v/>
      </c>
      <c r="I1420">
        <f t="shared" si="68"/>
        <v>0</v>
      </c>
    </row>
    <row r="1421" spans="1:9" x14ac:dyDescent="0.3">
      <c r="A1421" t="str">
        <f t="shared" si="66"/>
        <v>-</v>
      </c>
      <c r="B1421" t="str">
        <f t="shared" si="67"/>
        <v>0-</v>
      </c>
      <c r="H1421" t="str">
        <f>IFERROR(VLOOKUP(E1421,DC_Xref!A:B,2,FALSE),"")</f>
        <v/>
      </c>
      <c r="I1421">
        <f t="shared" si="68"/>
        <v>0</v>
      </c>
    </row>
    <row r="1422" spans="1:9" x14ac:dyDescent="0.3">
      <c r="A1422" t="str">
        <f t="shared" si="66"/>
        <v>-</v>
      </c>
      <c r="B1422" t="str">
        <f t="shared" si="67"/>
        <v>0-</v>
      </c>
      <c r="H1422" t="str">
        <f>IFERROR(VLOOKUP(E1422,DC_Xref!A:B,2,FALSE),"")</f>
        <v/>
      </c>
      <c r="I1422">
        <f t="shared" si="68"/>
        <v>0</v>
      </c>
    </row>
    <row r="1423" spans="1:9" x14ac:dyDescent="0.3">
      <c r="A1423" t="str">
        <f t="shared" si="66"/>
        <v>-</v>
      </c>
      <c r="B1423" t="str">
        <f t="shared" si="67"/>
        <v>0-</v>
      </c>
      <c r="H1423" t="str">
        <f>IFERROR(VLOOKUP(E1423,DC_Xref!A:B,2,FALSE),"")</f>
        <v/>
      </c>
      <c r="I1423">
        <f t="shared" si="68"/>
        <v>0</v>
      </c>
    </row>
    <row r="1424" spans="1:9" x14ac:dyDescent="0.3">
      <c r="A1424" t="str">
        <f t="shared" si="66"/>
        <v>-</v>
      </c>
      <c r="B1424" t="str">
        <f t="shared" si="67"/>
        <v>0-</v>
      </c>
      <c r="H1424" t="str">
        <f>IFERROR(VLOOKUP(E1424,DC_Xref!A:B,2,FALSE),"")</f>
        <v/>
      </c>
      <c r="I1424">
        <f t="shared" si="68"/>
        <v>0</v>
      </c>
    </row>
    <row r="1425" spans="1:9" x14ac:dyDescent="0.3">
      <c r="A1425" t="str">
        <f t="shared" si="66"/>
        <v>-</v>
      </c>
      <c r="B1425" t="str">
        <f t="shared" si="67"/>
        <v>0-</v>
      </c>
      <c r="H1425" t="str">
        <f>IFERROR(VLOOKUP(E1425,DC_Xref!A:B,2,FALSE),"")</f>
        <v/>
      </c>
      <c r="I1425">
        <f t="shared" si="68"/>
        <v>0</v>
      </c>
    </row>
    <row r="1426" spans="1:9" x14ac:dyDescent="0.3">
      <c r="A1426" t="str">
        <f t="shared" si="66"/>
        <v>-</v>
      </c>
      <c r="B1426" t="str">
        <f t="shared" si="67"/>
        <v>0-</v>
      </c>
      <c r="H1426" t="str">
        <f>IFERROR(VLOOKUP(E1426,DC_Xref!A:B,2,FALSE),"")</f>
        <v/>
      </c>
      <c r="I1426">
        <f t="shared" si="68"/>
        <v>0</v>
      </c>
    </row>
    <row r="1427" spans="1:9" x14ac:dyDescent="0.3">
      <c r="A1427" t="str">
        <f t="shared" si="66"/>
        <v>-</v>
      </c>
      <c r="B1427" t="str">
        <f t="shared" si="67"/>
        <v>0-</v>
      </c>
      <c r="H1427" t="str">
        <f>IFERROR(VLOOKUP(E1427,DC_Xref!A:B,2,FALSE),"")</f>
        <v/>
      </c>
      <c r="I1427">
        <f t="shared" si="68"/>
        <v>0</v>
      </c>
    </row>
    <row r="1428" spans="1:9" x14ac:dyDescent="0.3">
      <c r="A1428" t="str">
        <f t="shared" si="66"/>
        <v>-</v>
      </c>
      <c r="B1428" t="str">
        <f t="shared" si="67"/>
        <v>0-</v>
      </c>
      <c r="H1428" t="str">
        <f>IFERROR(VLOOKUP(E1428,DC_Xref!A:B,2,FALSE),"")</f>
        <v/>
      </c>
      <c r="I1428">
        <f t="shared" si="68"/>
        <v>0</v>
      </c>
    </row>
    <row r="1429" spans="1:9" x14ac:dyDescent="0.3">
      <c r="A1429" t="str">
        <f t="shared" si="66"/>
        <v>-</v>
      </c>
      <c r="B1429" t="str">
        <f t="shared" si="67"/>
        <v>0-</v>
      </c>
      <c r="H1429" t="str">
        <f>IFERROR(VLOOKUP(E1429,DC_Xref!A:B,2,FALSE),"")</f>
        <v/>
      </c>
      <c r="I1429">
        <f t="shared" si="68"/>
        <v>0</v>
      </c>
    </row>
    <row r="1430" spans="1:9" x14ac:dyDescent="0.3">
      <c r="A1430" t="str">
        <f t="shared" si="66"/>
        <v>-</v>
      </c>
      <c r="B1430" t="str">
        <f t="shared" si="67"/>
        <v>0-</v>
      </c>
      <c r="H1430" t="str">
        <f>IFERROR(VLOOKUP(E1430,DC_Xref!A:B,2,FALSE),"")</f>
        <v/>
      </c>
      <c r="I1430">
        <f t="shared" si="68"/>
        <v>0</v>
      </c>
    </row>
    <row r="1431" spans="1:9" x14ac:dyDescent="0.3">
      <c r="A1431" t="str">
        <f t="shared" si="66"/>
        <v>-</v>
      </c>
      <c r="B1431" t="str">
        <f t="shared" si="67"/>
        <v>0-</v>
      </c>
      <c r="H1431" t="str">
        <f>IFERROR(VLOOKUP(E1431,DC_Xref!A:B,2,FALSE),"")</f>
        <v/>
      </c>
      <c r="I1431">
        <f t="shared" si="68"/>
        <v>0</v>
      </c>
    </row>
    <row r="1432" spans="1:9" x14ac:dyDescent="0.3">
      <c r="A1432" t="str">
        <f t="shared" si="66"/>
        <v>-</v>
      </c>
      <c r="B1432" t="str">
        <f t="shared" si="67"/>
        <v>0-</v>
      </c>
      <c r="H1432" t="str">
        <f>IFERROR(VLOOKUP(E1432,DC_Xref!A:B,2,FALSE),"")</f>
        <v/>
      </c>
      <c r="I1432">
        <f t="shared" si="68"/>
        <v>0</v>
      </c>
    </row>
    <row r="1433" spans="1:9" x14ac:dyDescent="0.3">
      <c r="A1433" t="str">
        <f t="shared" si="66"/>
        <v>-</v>
      </c>
      <c r="B1433" t="str">
        <f t="shared" si="67"/>
        <v>0-</v>
      </c>
      <c r="H1433" t="str">
        <f>IFERROR(VLOOKUP(E1433,DC_Xref!A:B,2,FALSE),"")</f>
        <v/>
      </c>
      <c r="I1433">
        <f t="shared" si="68"/>
        <v>0</v>
      </c>
    </row>
    <row r="1434" spans="1:9" x14ac:dyDescent="0.3">
      <c r="A1434" t="str">
        <f t="shared" si="66"/>
        <v>-</v>
      </c>
      <c r="B1434" t="str">
        <f t="shared" si="67"/>
        <v>0-</v>
      </c>
      <c r="H1434" t="str">
        <f>IFERROR(VLOOKUP(E1434,DC_Xref!A:B,2,FALSE),"")</f>
        <v/>
      </c>
      <c r="I1434">
        <f t="shared" si="68"/>
        <v>0</v>
      </c>
    </row>
    <row r="1435" spans="1:9" x14ac:dyDescent="0.3">
      <c r="A1435" t="str">
        <f t="shared" si="66"/>
        <v>-</v>
      </c>
      <c r="B1435" t="str">
        <f t="shared" si="67"/>
        <v>0-</v>
      </c>
      <c r="H1435" t="str">
        <f>IFERROR(VLOOKUP(E1435,DC_Xref!A:B,2,FALSE),"")</f>
        <v/>
      </c>
      <c r="I1435">
        <f t="shared" si="68"/>
        <v>0</v>
      </c>
    </row>
    <row r="1436" spans="1:9" x14ac:dyDescent="0.3">
      <c r="A1436" t="str">
        <f t="shared" si="66"/>
        <v>-</v>
      </c>
      <c r="B1436" t="str">
        <f t="shared" si="67"/>
        <v>0-</v>
      </c>
      <c r="H1436" t="str">
        <f>IFERROR(VLOOKUP(E1436,DC_Xref!A:B,2,FALSE),"")</f>
        <v/>
      </c>
      <c r="I1436">
        <f t="shared" si="68"/>
        <v>0</v>
      </c>
    </row>
    <row r="1437" spans="1:9" x14ac:dyDescent="0.3">
      <c r="A1437" t="str">
        <f t="shared" si="66"/>
        <v>-</v>
      </c>
      <c r="B1437" t="str">
        <f t="shared" si="67"/>
        <v>0-</v>
      </c>
      <c r="H1437" t="str">
        <f>IFERROR(VLOOKUP(E1437,DC_Xref!A:B,2,FALSE),"")</f>
        <v/>
      </c>
      <c r="I1437">
        <f t="shared" si="68"/>
        <v>0</v>
      </c>
    </row>
    <row r="1438" spans="1:9" x14ac:dyDescent="0.3">
      <c r="A1438" t="str">
        <f t="shared" si="66"/>
        <v>-</v>
      </c>
      <c r="B1438" t="str">
        <f t="shared" si="67"/>
        <v>0-</v>
      </c>
      <c r="H1438" t="str">
        <f>IFERROR(VLOOKUP(E1438,DC_Xref!A:B,2,FALSE),"")</f>
        <v/>
      </c>
      <c r="I1438">
        <f t="shared" si="68"/>
        <v>0</v>
      </c>
    </row>
    <row r="1439" spans="1:9" x14ac:dyDescent="0.3">
      <c r="A1439" t="str">
        <f t="shared" si="66"/>
        <v>-</v>
      </c>
      <c r="B1439" t="str">
        <f t="shared" si="67"/>
        <v>0-</v>
      </c>
      <c r="H1439" t="str">
        <f>IFERROR(VLOOKUP(E1439,DC_Xref!A:B,2,FALSE),"")</f>
        <v/>
      </c>
      <c r="I1439">
        <f t="shared" si="68"/>
        <v>0</v>
      </c>
    </row>
    <row r="1440" spans="1:9" x14ac:dyDescent="0.3">
      <c r="A1440" t="str">
        <f t="shared" si="66"/>
        <v>-</v>
      </c>
      <c r="B1440" t="str">
        <f t="shared" si="67"/>
        <v>0-</v>
      </c>
      <c r="H1440" t="str">
        <f>IFERROR(VLOOKUP(E1440,DC_Xref!A:B,2,FALSE),"")</f>
        <v/>
      </c>
      <c r="I1440">
        <f t="shared" si="68"/>
        <v>0</v>
      </c>
    </row>
    <row r="1441" spans="1:9" x14ac:dyDescent="0.3">
      <c r="A1441" t="str">
        <f t="shared" si="66"/>
        <v>-</v>
      </c>
      <c r="B1441" t="str">
        <f t="shared" si="67"/>
        <v>0-</v>
      </c>
      <c r="H1441" t="str">
        <f>IFERROR(VLOOKUP(E1441,DC_Xref!A:B,2,FALSE),"")</f>
        <v/>
      </c>
      <c r="I1441">
        <f t="shared" si="68"/>
        <v>0</v>
      </c>
    </row>
    <row r="1442" spans="1:9" x14ac:dyDescent="0.3">
      <c r="A1442" t="str">
        <f t="shared" si="66"/>
        <v>-</v>
      </c>
      <c r="B1442" t="str">
        <f t="shared" si="67"/>
        <v>0-</v>
      </c>
      <c r="H1442" t="str">
        <f>IFERROR(VLOOKUP(E1442,DC_Xref!A:B,2,FALSE),"")</f>
        <v/>
      </c>
      <c r="I1442">
        <f t="shared" si="68"/>
        <v>0</v>
      </c>
    </row>
    <row r="1443" spans="1:9" x14ac:dyDescent="0.3">
      <c r="A1443" t="str">
        <f t="shared" si="66"/>
        <v>-</v>
      </c>
      <c r="B1443" t="str">
        <f t="shared" si="67"/>
        <v>0-</v>
      </c>
      <c r="H1443" t="str">
        <f>IFERROR(VLOOKUP(E1443,DC_Xref!A:B,2,FALSE),"")</f>
        <v/>
      </c>
      <c r="I1443">
        <f t="shared" si="68"/>
        <v>0</v>
      </c>
    </row>
    <row r="1444" spans="1:9" x14ac:dyDescent="0.3">
      <c r="A1444" t="str">
        <f t="shared" si="66"/>
        <v>-</v>
      </c>
      <c r="B1444" t="str">
        <f t="shared" si="67"/>
        <v>0-</v>
      </c>
      <c r="H1444" t="str">
        <f>IFERROR(VLOOKUP(E1444,DC_Xref!A:B,2,FALSE),"")</f>
        <v/>
      </c>
      <c r="I1444">
        <f t="shared" si="68"/>
        <v>0</v>
      </c>
    </row>
    <row r="1445" spans="1:9" x14ac:dyDescent="0.3">
      <c r="A1445" t="str">
        <f t="shared" si="66"/>
        <v>-</v>
      </c>
      <c r="B1445" t="str">
        <f t="shared" si="67"/>
        <v>0-</v>
      </c>
      <c r="H1445" t="str">
        <f>IFERROR(VLOOKUP(E1445,DC_Xref!A:B,2,FALSE),"")</f>
        <v/>
      </c>
      <c r="I1445">
        <f t="shared" si="68"/>
        <v>0</v>
      </c>
    </row>
    <row r="1446" spans="1:9" x14ac:dyDescent="0.3">
      <c r="A1446" t="str">
        <f t="shared" si="66"/>
        <v>-</v>
      </c>
      <c r="B1446" t="str">
        <f t="shared" si="67"/>
        <v>0-</v>
      </c>
      <c r="H1446" t="str">
        <f>IFERROR(VLOOKUP(E1446,DC_Xref!A:B,2,FALSE),"")</f>
        <v/>
      </c>
      <c r="I1446">
        <f t="shared" si="68"/>
        <v>0</v>
      </c>
    </row>
    <row r="1447" spans="1:9" x14ac:dyDescent="0.3">
      <c r="A1447" t="str">
        <f t="shared" si="66"/>
        <v>-</v>
      </c>
      <c r="B1447" t="str">
        <f t="shared" si="67"/>
        <v>0-</v>
      </c>
      <c r="H1447" t="str">
        <f>IFERROR(VLOOKUP(E1447,DC_Xref!A:B,2,FALSE),"")</f>
        <v/>
      </c>
      <c r="I1447">
        <f t="shared" si="68"/>
        <v>0</v>
      </c>
    </row>
    <row r="1448" spans="1:9" x14ac:dyDescent="0.3">
      <c r="A1448" t="str">
        <f t="shared" si="66"/>
        <v>-</v>
      </c>
      <c r="B1448" t="str">
        <f t="shared" si="67"/>
        <v>0-</v>
      </c>
      <c r="H1448" t="str">
        <f>IFERROR(VLOOKUP(E1448,DC_Xref!A:B,2,FALSE),"")</f>
        <v/>
      </c>
      <c r="I1448">
        <f t="shared" si="68"/>
        <v>0</v>
      </c>
    </row>
    <row r="1449" spans="1:9" x14ac:dyDescent="0.3">
      <c r="A1449" t="str">
        <f t="shared" si="66"/>
        <v>-</v>
      </c>
      <c r="B1449" t="str">
        <f t="shared" si="67"/>
        <v>0-</v>
      </c>
      <c r="H1449" t="str">
        <f>IFERROR(VLOOKUP(E1449,DC_Xref!A:B,2,FALSE),"")</f>
        <v/>
      </c>
      <c r="I1449">
        <f t="shared" si="68"/>
        <v>0</v>
      </c>
    </row>
    <row r="1450" spans="1:9" x14ac:dyDescent="0.3">
      <c r="A1450" t="str">
        <f t="shared" si="66"/>
        <v>-</v>
      </c>
      <c r="B1450" t="str">
        <f t="shared" si="67"/>
        <v>0-</v>
      </c>
      <c r="H1450" t="str">
        <f>IFERROR(VLOOKUP(E1450,DC_Xref!A:B,2,FALSE),"")</f>
        <v/>
      </c>
      <c r="I1450">
        <f t="shared" si="68"/>
        <v>0</v>
      </c>
    </row>
    <row r="1451" spans="1:9" x14ac:dyDescent="0.3">
      <c r="A1451" t="str">
        <f t="shared" si="66"/>
        <v>-</v>
      </c>
      <c r="B1451" t="str">
        <f t="shared" si="67"/>
        <v>0-</v>
      </c>
      <c r="H1451" t="str">
        <f>IFERROR(VLOOKUP(E1451,DC_Xref!A:B,2,FALSE),"")</f>
        <v/>
      </c>
      <c r="I1451">
        <f t="shared" si="68"/>
        <v>0</v>
      </c>
    </row>
    <row r="1452" spans="1:9" x14ac:dyDescent="0.3">
      <c r="A1452" t="str">
        <f t="shared" si="66"/>
        <v>-</v>
      </c>
      <c r="B1452" t="str">
        <f t="shared" si="67"/>
        <v>0-</v>
      </c>
      <c r="H1452" t="str">
        <f>IFERROR(VLOOKUP(E1452,DC_Xref!A:B,2,FALSE),"")</f>
        <v/>
      </c>
      <c r="I1452">
        <f t="shared" si="68"/>
        <v>0</v>
      </c>
    </row>
    <row r="1453" spans="1:9" x14ac:dyDescent="0.3">
      <c r="A1453" t="str">
        <f t="shared" si="66"/>
        <v>-</v>
      </c>
      <c r="B1453" t="str">
        <f t="shared" si="67"/>
        <v>0-</v>
      </c>
      <c r="H1453" t="str">
        <f>IFERROR(VLOOKUP(E1453,DC_Xref!A:B,2,FALSE),"")</f>
        <v/>
      </c>
      <c r="I1453">
        <f t="shared" si="68"/>
        <v>0</v>
      </c>
    </row>
    <row r="1454" spans="1:9" x14ac:dyDescent="0.3">
      <c r="A1454" t="str">
        <f t="shared" si="66"/>
        <v>-</v>
      </c>
      <c r="B1454" t="str">
        <f t="shared" si="67"/>
        <v>0-</v>
      </c>
      <c r="H1454" t="str">
        <f>IFERROR(VLOOKUP(E1454,DC_Xref!A:B,2,FALSE),"")</f>
        <v/>
      </c>
      <c r="I1454">
        <f t="shared" si="68"/>
        <v>0</v>
      </c>
    </row>
    <row r="1455" spans="1:9" x14ac:dyDescent="0.3">
      <c r="A1455" t="str">
        <f t="shared" si="66"/>
        <v>-</v>
      </c>
      <c r="B1455" t="str">
        <f t="shared" si="67"/>
        <v>0-</v>
      </c>
      <c r="H1455" t="str">
        <f>IFERROR(VLOOKUP(E1455,DC_Xref!A:B,2,FALSE),"")</f>
        <v/>
      </c>
      <c r="I1455">
        <f t="shared" si="68"/>
        <v>0</v>
      </c>
    </row>
    <row r="1456" spans="1:9" x14ac:dyDescent="0.3">
      <c r="A1456" t="str">
        <f t="shared" si="66"/>
        <v>-</v>
      </c>
      <c r="B1456" t="str">
        <f t="shared" si="67"/>
        <v>0-</v>
      </c>
      <c r="H1456" t="str">
        <f>IFERROR(VLOOKUP(E1456,DC_Xref!A:B,2,FALSE),"")</f>
        <v/>
      </c>
      <c r="I1456">
        <f t="shared" si="68"/>
        <v>0</v>
      </c>
    </row>
    <row r="1457" spans="1:9" x14ac:dyDescent="0.3">
      <c r="A1457" t="str">
        <f t="shared" si="66"/>
        <v>-</v>
      </c>
      <c r="B1457" t="str">
        <f t="shared" si="67"/>
        <v>0-</v>
      </c>
      <c r="H1457" t="str">
        <f>IFERROR(VLOOKUP(E1457,DC_Xref!A:B,2,FALSE),"")</f>
        <v/>
      </c>
      <c r="I1457">
        <f t="shared" si="68"/>
        <v>0</v>
      </c>
    </row>
    <row r="1458" spans="1:9" x14ac:dyDescent="0.3">
      <c r="A1458" t="str">
        <f t="shared" si="66"/>
        <v>-</v>
      </c>
      <c r="B1458" t="str">
        <f t="shared" si="67"/>
        <v>0-</v>
      </c>
      <c r="H1458" t="str">
        <f>IFERROR(VLOOKUP(E1458,DC_Xref!A:B,2,FALSE),"")</f>
        <v/>
      </c>
      <c r="I1458">
        <f t="shared" si="68"/>
        <v>0</v>
      </c>
    </row>
    <row r="1459" spans="1:9" x14ac:dyDescent="0.3">
      <c r="A1459" t="str">
        <f t="shared" si="66"/>
        <v>-</v>
      </c>
      <c r="B1459" t="str">
        <f t="shared" si="67"/>
        <v>0-</v>
      </c>
      <c r="H1459" t="str">
        <f>IFERROR(VLOOKUP(E1459,DC_Xref!A:B,2,FALSE),"")</f>
        <v/>
      </c>
      <c r="I1459">
        <f t="shared" si="68"/>
        <v>0</v>
      </c>
    </row>
    <row r="1460" spans="1:9" x14ac:dyDescent="0.3">
      <c r="A1460" t="str">
        <f t="shared" si="66"/>
        <v>-</v>
      </c>
      <c r="B1460" t="str">
        <f t="shared" si="67"/>
        <v>0-</v>
      </c>
      <c r="H1460" t="str">
        <f>IFERROR(VLOOKUP(E1460,DC_Xref!A:B,2,FALSE),"")</f>
        <v/>
      </c>
      <c r="I1460">
        <f t="shared" si="68"/>
        <v>0</v>
      </c>
    </row>
    <row r="1461" spans="1:9" x14ac:dyDescent="0.3">
      <c r="A1461" t="str">
        <f t="shared" si="66"/>
        <v>-</v>
      </c>
      <c r="B1461" t="str">
        <f t="shared" si="67"/>
        <v>0-</v>
      </c>
      <c r="H1461" t="str">
        <f>IFERROR(VLOOKUP(E1461,DC_Xref!A:B,2,FALSE),"")</f>
        <v/>
      </c>
      <c r="I1461">
        <f t="shared" si="68"/>
        <v>0</v>
      </c>
    </row>
    <row r="1462" spans="1:9" x14ac:dyDescent="0.3">
      <c r="A1462" t="str">
        <f t="shared" si="66"/>
        <v>-</v>
      </c>
      <c r="B1462" t="str">
        <f t="shared" si="67"/>
        <v>0-</v>
      </c>
      <c r="H1462" t="str">
        <f>IFERROR(VLOOKUP(E1462,DC_Xref!A:B,2,FALSE),"")</f>
        <v/>
      </c>
      <c r="I1462">
        <f t="shared" si="68"/>
        <v>0</v>
      </c>
    </row>
    <row r="1463" spans="1:9" x14ac:dyDescent="0.3">
      <c r="A1463" t="str">
        <f t="shared" si="66"/>
        <v>-</v>
      </c>
      <c r="B1463" t="str">
        <f t="shared" si="67"/>
        <v>0-</v>
      </c>
      <c r="H1463" t="str">
        <f>IFERROR(VLOOKUP(E1463,DC_Xref!A:B,2,FALSE),"")</f>
        <v/>
      </c>
      <c r="I1463">
        <f t="shared" si="68"/>
        <v>0</v>
      </c>
    </row>
    <row r="1464" spans="1:9" x14ac:dyDescent="0.3">
      <c r="A1464" t="str">
        <f t="shared" si="66"/>
        <v>-</v>
      </c>
      <c r="B1464" t="str">
        <f t="shared" si="67"/>
        <v>0-</v>
      </c>
      <c r="H1464" t="str">
        <f>IFERROR(VLOOKUP(E1464,DC_Xref!A:B,2,FALSE),"")</f>
        <v/>
      </c>
      <c r="I1464">
        <f t="shared" si="68"/>
        <v>0</v>
      </c>
    </row>
    <row r="1465" spans="1:9" x14ac:dyDescent="0.3">
      <c r="A1465" t="str">
        <f t="shared" si="66"/>
        <v>-</v>
      </c>
      <c r="B1465" t="str">
        <f t="shared" si="67"/>
        <v>0-</v>
      </c>
      <c r="H1465" t="str">
        <f>IFERROR(VLOOKUP(E1465,DC_Xref!A:B,2,FALSE),"")</f>
        <v/>
      </c>
      <c r="I1465">
        <f t="shared" si="68"/>
        <v>0</v>
      </c>
    </row>
    <row r="1466" spans="1:9" x14ac:dyDescent="0.3">
      <c r="A1466" t="str">
        <f t="shared" si="66"/>
        <v>-</v>
      </c>
      <c r="B1466" t="str">
        <f t="shared" si="67"/>
        <v>0-</v>
      </c>
      <c r="H1466" t="str">
        <f>IFERROR(VLOOKUP(E1466,DC_Xref!A:B,2,FALSE),"")</f>
        <v/>
      </c>
      <c r="I1466">
        <f t="shared" si="68"/>
        <v>0</v>
      </c>
    </row>
    <row r="1467" spans="1:9" x14ac:dyDescent="0.3">
      <c r="A1467" t="str">
        <f t="shared" si="66"/>
        <v>-</v>
      </c>
      <c r="B1467" t="str">
        <f t="shared" si="67"/>
        <v>0-</v>
      </c>
      <c r="H1467" t="str">
        <f>IFERROR(VLOOKUP(E1467,DC_Xref!A:B,2,FALSE),"")</f>
        <v/>
      </c>
      <c r="I1467">
        <f t="shared" si="68"/>
        <v>0</v>
      </c>
    </row>
    <row r="1468" spans="1:9" x14ac:dyDescent="0.3">
      <c r="A1468" t="str">
        <f t="shared" si="66"/>
        <v>-</v>
      </c>
      <c r="B1468" t="str">
        <f t="shared" si="67"/>
        <v>0-</v>
      </c>
      <c r="H1468" t="str">
        <f>IFERROR(VLOOKUP(E1468,DC_Xref!A:B,2,FALSE),"")</f>
        <v/>
      </c>
      <c r="I1468">
        <f t="shared" si="68"/>
        <v>0</v>
      </c>
    </row>
    <row r="1469" spans="1:9" x14ac:dyDescent="0.3">
      <c r="A1469" t="str">
        <f t="shared" si="66"/>
        <v>-</v>
      </c>
      <c r="B1469" t="str">
        <f t="shared" si="67"/>
        <v>0-</v>
      </c>
      <c r="H1469" t="str">
        <f>IFERROR(VLOOKUP(E1469,DC_Xref!A:B,2,FALSE),"")</f>
        <v/>
      </c>
      <c r="I1469">
        <f t="shared" si="68"/>
        <v>0</v>
      </c>
    </row>
    <row r="1470" spans="1:9" x14ac:dyDescent="0.3">
      <c r="A1470" t="str">
        <f t="shared" si="66"/>
        <v>-</v>
      </c>
      <c r="B1470" t="str">
        <f t="shared" si="67"/>
        <v>0-</v>
      </c>
      <c r="H1470" t="str">
        <f>IFERROR(VLOOKUP(E1470,DC_Xref!A:B,2,FALSE),"")</f>
        <v/>
      </c>
      <c r="I1470">
        <f t="shared" si="68"/>
        <v>0</v>
      </c>
    </row>
    <row r="1471" spans="1:9" x14ac:dyDescent="0.3">
      <c r="A1471" t="str">
        <f t="shared" si="66"/>
        <v>-</v>
      </c>
      <c r="B1471" t="str">
        <f t="shared" si="67"/>
        <v>0-</v>
      </c>
      <c r="H1471" t="str">
        <f>IFERROR(VLOOKUP(E1471,DC_Xref!A:B,2,FALSE),"")</f>
        <v/>
      </c>
      <c r="I1471">
        <f t="shared" si="68"/>
        <v>0</v>
      </c>
    </row>
    <row r="1472" spans="1:9" x14ac:dyDescent="0.3">
      <c r="A1472" t="str">
        <f t="shared" si="66"/>
        <v>-</v>
      </c>
      <c r="B1472" t="str">
        <f t="shared" si="67"/>
        <v>0-</v>
      </c>
      <c r="H1472" t="str">
        <f>IFERROR(VLOOKUP(E1472,DC_Xref!A:B,2,FALSE),"")</f>
        <v/>
      </c>
      <c r="I1472">
        <f t="shared" si="68"/>
        <v>0</v>
      </c>
    </row>
    <row r="1473" spans="1:9" x14ac:dyDescent="0.3">
      <c r="A1473" t="str">
        <f t="shared" si="66"/>
        <v>-</v>
      </c>
      <c r="B1473" t="str">
        <f t="shared" si="67"/>
        <v>0-</v>
      </c>
      <c r="H1473" t="str">
        <f>IFERROR(VLOOKUP(E1473,DC_Xref!A:B,2,FALSE),"")</f>
        <v/>
      </c>
      <c r="I1473">
        <f t="shared" si="68"/>
        <v>0</v>
      </c>
    </row>
    <row r="1474" spans="1:9" x14ac:dyDescent="0.3">
      <c r="A1474" t="str">
        <f t="shared" ref="A1474:A1537" si="69">C1474&amp;"-"&amp;F1474</f>
        <v>-</v>
      </c>
      <c r="B1474" t="str">
        <f t="shared" ref="B1474:B1537" si="70">I1474&amp;"-"&amp;H1474</f>
        <v>0-</v>
      </c>
      <c r="H1474" t="str">
        <f>IFERROR(VLOOKUP(E1474,DC_Xref!A:B,2,FALSE),"")</f>
        <v/>
      </c>
      <c r="I1474">
        <f t="shared" ref="I1474:I1537" si="71">C1474*100+D1474</f>
        <v>0</v>
      </c>
    </row>
    <row r="1475" spans="1:9" x14ac:dyDescent="0.3">
      <c r="A1475" t="str">
        <f t="shared" si="69"/>
        <v>-</v>
      </c>
      <c r="B1475" t="str">
        <f t="shared" si="70"/>
        <v>0-</v>
      </c>
      <c r="H1475" t="str">
        <f>IFERROR(VLOOKUP(E1475,DC_Xref!A:B,2,FALSE),"")</f>
        <v/>
      </c>
      <c r="I1475">
        <f t="shared" si="71"/>
        <v>0</v>
      </c>
    </row>
    <row r="1476" spans="1:9" x14ac:dyDescent="0.3">
      <c r="A1476" t="str">
        <f t="shared" si="69"/>
        <v>-</v>
      </c>
      <c r="B1476" t="str">
        <f t="shared" si="70"/>
        <v>0-</v>
      </c>
      <c r="H1476" t="str">
        <f>IFERROR(VLOOKUP(E1476,DC_Xref!A:B,2,FALSE),"")</f>
        <v/>
      </c>
      <c r="I1476">
        <f t="shared" si="71"/>
        <v>0</v>
      </c>
    </row>
    <row r="1477" spans="1:9" x14ac:dyDescent="0.3">
      <c r="A1477" t="str">
        <f t="shared" si="69"/>
        <v>-</v>
      </c>
      <c r="B1477" t="str">
        <f t="shared" si="70"/>
        <v>0-</v>
      </c>
      <c r="H1477" t="str">
        <f>IFERROR(VLOOKUP(E1477,DC_Xref!A:B,2,FALSE),"")</f>
        <v/>
      </c>
      <c r="I1477">
        <f t="shared" si="71"/>
        <v>0</v>
      </c>
    </row>
    <row r="1478" spans="1:9" x14ac:dyDescent="0.3">
      <c r="A1478" t="str">
        <f t="shared" si="69"/>
        <v>-</v>
      </c>
      <c r="B1478" t="str">
        <f t="shared" si="70"/>
        <v>0-</v>
      </c>
      <c r="H1478" t="str">
        <f>IFERROR(VLOOKUP(E1478,DC_Xref!A:B,2,FALSE),"")</f>
        <v/>
      </c>
      <c r="I1478">
        <f t="shared" si="71"/>
        <v>0</v>
      </c>
    </row>
    <row r="1479" spans="1:9" x14ac:dyDescent="0.3">
      <c r="A1479" t="str">
        <f t="shared" si="69"/>
        <v>-</v>
      </c>
      <c r="B1479" t="str">
        <f t="shared" si="70"/>
        <v>0-</v>
      </c>
      <c r="H1479" t="str">
        <f>IFERROR(VLOOKUP(E1479,DC_Xref!A:B,2,FALSE),"")</f>
        <v/>
      </c>
      <c r="I1479">
        <f t="shared" si="71"/>
        <v>0</v>
      </c>
    </row>
    <row r="1480" spans="1:9" x14ac:dyDescent="0.3">
      <c r="A1480" t="str">
        <f t="shared" si="69"/>
        <v>-</v>
      </c>
      <c r="B1480" t="str">
        <f t="shared" si="70"/>
        <v>0-</v>
      </c>
      <c r="H1480" t="str">
        <f>IFERROR(VLOOKUP(E1480,DC_Xref!A:B,2,FALSE),"")</f>
        <v/>
      </c>
      <c r="I1480">
        <f t="shared" si="71"/>
        <v>0</v>
      </c>
    </row>
    <row r="1481" spans="1:9" x14ac:dyDescent="0.3">
      <c r="A1481" t="str">
        <f t="shared" si="69"/>
        <v>-</v>
      </c>
      <c r="B1481" t="str">
        <f t="shared" si="70"/>
        <v>0-</v>
      </c>
      <c r="H1481" t="str">
        <f>IFERROR(VLOOKUP(E1481,DC_Xref!A:B,2,FALSE),"")</f>
        <v/>
      </c>
      <c r="I1481">
        <f t="shared" si="71"/>
        <v>0</v>
      </c>
    </row>
    <row r="1482" spans="1:9" x14ac:dyDescent="0.3">
      <c r="A1482" t="str">
        <f t="shared" si="69"/>
        <v>-</v>
      </c>
      <c r="B1482" t="str">
        <f t="shared" si="70"/>
        <v>0-</v>
      </c>
      <c r="H1482" t="str">
        <f>IFERROR(VLOOKUP(E1482,DC_Xref!A:B,2,FALSE),"")</f>
        <v/>
      </c>
      <c r="I1482">
        <f t="shared" si="71"/>
        <v>0</v>
      </c>
    </row>
    <row r="1483" spans="1:9" x14ac:dyDescent="0.3">
      <c r="A1483" t="str">
        <f t="shared" si="69"/>
        <v>-</v>
      </c>
      <c r="B1483" t="str">
        <f t="shared" si="70"/>
        <v>0-</v>
      </c>
      <c r="H1483" t="str">
        <f>IFERROR(VLOOKUP(E1483,DC_Xref!A:B,2,FALSE),"")</f>
        <v/>
      </c>
      <c r="I1483">
        <f t="shared" si="71"/>
        <v>0</v>
      </c>
    </row>
    <row r="1484" spans="1:9" x14ac:dyDescent="0.3">
      <c r="A1484" t="str">
        <f t="shared" si="69"/>
        <v>-</v>
      </c>
      <c r="B1484" t="str">
        <f t="shared" si="70"/>
        <v>0-</v>
      </c>
      <c r="H1484" t="str">
        <f>IFERROR(VLOOKUP(E1484,DC_Xref!A:B,2,FALSE),"")</f>
        <v/>
      </c>
      <c r="I1484">
        <f t="shared" si="71"/>
        <v>0</v>
      </c>
    </row>
    <row r="1485" spans="1:9" x14ac:dyDescent="0.3">
      <c r="A1485" t="str">
        <f t="shared" si="69"/>
        <v>-</v>
      </c>
      <c r="B1485" t="str">
        <f t="shared" si="70"/>
        <v>0-</v>
      </c>
      <c r="H1485" t="str">
        <f>IFERROR(VLOOKUP(E1485,DC_Xref!A:B,2,FALSE),"")</f>
        <v/>
      </c>
      <c r="I1485">
        <f t="shared" si="71"/>
        <v>0</v>
      </c>
    </row>
    <row r="1486" spans="1:9" x14ac:dyDescent="0.3">
      <c r="A1486" t="str">
        <f t="shared" si="69"/>
        <v>-</v>
      </c>
      <c r="B1486" t="str">
        <f t="shared" si="70"/>
        <v>0-</v>
      </c>
      <c r="H1486" t="str">
        <f>IFERROR(VLOOKUP(E1486,DC_Xref!A:B,2,FALSE),"")</f>
        <v/>
      </c>
      <c r="I1486">
        <f t="shared" si="71"/>
        <v>0</v>
      </c>
    </row>
    <row r="1487" spans="1:9" x14ac:dyDescent="0.3">
      <c r="A1487" t="str">
        <f t="shared" si="69"/>
        <v>-</v>
      </c>
      <c r="B1487" t="str">
        <f t="shared" si="70"/>
        <v>0-</v>
      </c>
      <c r="H1487" t="str">
        <f>IFERROR(VLOOKUP(E1487,DC_Xref!A:B,2,FALSE),"")</f>
        <v/>
      </c>
      <c r="I1487">
        <f t="shared" si="71"/>
        <v>0</v>
      </c>
    </row>
    <row r="1488" spans="1:9" x14ac:dyDescent="0.3">
      <c r="A1488" t="str">
        <f t="shared" si="69"/>
        <v>-</v>
      </c>
      <c r="B1488" t="str">
        <f t="shared" si="70"/>
        <v>0-</v>
      </c>
      <c r="H1488" t="str">
        <f>IFERROR(VLOOKUP(E1488,DC_Xref!A:B,2,FALSE),"")</f>
        <v/>
      </c>
      <c r="I1488">
        <f t="shared" si="71"/>
        <v>0</v>
      </c>
    </row>
    <row r="1489" spans="1:9" x14ac:dyDescent="0.3">
      <c r="A1489" t="str">
        <f t="shared" si="69"/>
        <v>-</v>
      </c>
      <c r="B1489" t="str">
        <f t="shared" si="70"/>
        <v>0-</v>
      </c>
      <c r="H1489" t="str">
        <f>IFERROR(VLOOKUP(E1489,DC_Xref!A:B,2,FALSE),"")</f>
        <v/>
      </c>
      <c r="I1489">
        <f t="shared" si="71"/>
        <v>0</v>
      </c>
    </row>
    <row r="1490" spans="1:9" x14ac:dyDescent="0.3">
      <c r="A1490" t="str">
        <f t="shared" si="69"/>
        <v>-</v>
      </c>
      <c r="B1490" t="str">
        <f t="shared" si="70"/>
        <v>0-</v>
      </c>
      <c r="H1490" t="str">
        <f>IFERROR(VLOOKUP(E1490,DC_Xref!A:B,2,FALSE),"")</f>
        <v/>
      </c>
      <c r="I1490">
        <f t="shared" si="71"/>
        <v>0</v>
      </c>
    </row>
    <row r="1491" spans="1:9" x14ac:dyDescent="0.3">
      <c r="A1491" t="str">
        <f t="shared" si="69"/>
        <v>-</v>
      </c>
      <c r="B1491" t="str">
        <f t="shared" si="70"/>
        <v>0-</v>
      </c>
      <c r="H1491" t="str">
        <f>IFERROR(VLOOKUP(E1491,DC_Xref!A:B,2,FALSE),"")</f>
        <v/>
      </c>
      <c r="I1491">
        <f t="shared" si="71"/>
        <v>0</v>
      </c>
    </row>
    <row r="1492" spans="1:9" x14ac:dyDescent="0.3">
      <c r="A1492" t="str">
        <f t="shared" si="69"/>
        <v>-</v>
      </c>
      <c r="B1492" t="str">
        <f t="shared" si="70"/>
        <v>0-</v>
      </c>
      <c r="H1492" t="str">
        <f>IFERROR(VLOOKUP(E1492,DC_Xref!A:B,2,FALSE),"")</f>
        <v/>
      </c>
      <c r="I1492">
        <f t="shared" si="71"/>
        <v>0</v>
      </c>
    </row>
    <row r="1493" spans="1:9" x14ac:dyDescent="0.3">
      <c r="A1493" t="str">
        <f t="shared" si="69"/>
        <v>-</v>
      </c>
      <c r="B1493" t="str">
        <f t="shared" si="70"/>
        <v>0-</v>
      </c>
      <c r="H1493" t="str">
        <f>IFERROR(VLOOKUP(E1493,DC_Xref!A:B,2,FALSE),"")</f>
        <v/>
      </c>
      <c r="I1493">
        <f t="shared" si="71"/>
        <v>0</v>
      </c>
    </row>
    <row r="1494" spans="1:9" x14ac:dyDescent="0.3">
      <c r="A1494" t="str">
        <f t="shared" si="69"/>
        <v>-</v>
      </c>
      <c r="B1494" t="str">
        <f t="shared" si="70"/>
        <v>0-</v>
      </c>
      <c r="H1494" t="str">
        <f>IFERROR(VLOOKUP(E1494,DC_Xref!A:B,2,FALSE),"")</f>
        <v/>
      </c>
      <c r="I1494">
        <f t="shared" si="71"/>
        <v>0</v>
      </c>
    </row>
    <row r="1495" spans="1:9" x14ac:dyDescent="0.3">
      <c r="A1495" t="str">
        <f t="shared" si="69"/>
        <v>-</v>
      </c>
      <c r="B1495" t="str">
        <f t="shared" si="70"/>
        <v>0-</v>
      </c>
      <c r="H1495" t="str">
        <f>IFERROR(VLOOKUP(E1495,DC_Xref!A:B,2,FALSE),"")</f>
        <v/>
      </c>
      <c r="I1495">
        <f t="shared" si="71"/>
        <v>0</v>
      </c>
    </row>
    <row r="1496" spans="1:9" x14ac:dyDescent="0.3">
      <c r="A1496" t="str">
        <f t="shared" si="69"/>
        <v>-</v>
      </c>
      <c r="B1496" t="str">
        <f t="shared" si="70"/>
        <v>0-</v>
      </c>
      <c r="H1496" t="str">
        <f>IFERROR(VLOOKUP(E1496,DC_Xref!A:B,2,FALSE),"")</f>
        <v/>
      </c>
      <c r="I1496">
        <f t="shared" si="71"/>
        <v>0</v>
      </c>
    </row>
    <row r="1497" spans="1:9" x14ac:dyDescent="0.3">
      <c r="A1497" t="str">
        <f t="shared" si="69"/>
        <v>-</v>
      </c>
      <c r="B1497" t="str">
        <f t="shared" si="70"/>
        <v>0-</v>
      </c>
      <c r="H1497" t="str">
        <f>IFERROR(VLOOKUP(E1497,DC_Xref!A:B,2,FALSE),"")</f>
        <v/>
      </c>
      <c r="I1497">
        <f t="shared" si="71"/>
        <v>0</v>
      </c>
    </row>
    <row r="1498" spans="1:9" x14ac:dyDescent="0.3">
      <c r="A1498" t="str">
        <f t="shared" si="69"/>
        <v>-</v>
      </c>
      <c r="B1498" t="str">
        <f t="shared" si="70"/>
        <v>0-</v>
      </c>
      <c r="H1498" t="str">
        <f>IFERROR(VLOOKUP(E1498,DC_Xref!A:B,2,FALSE),"")</f>
        <v/>
      </c>
      <c r="I1498">
        <f t="shared" si="71"/>
        <v>0</v>
      </c>
    </row>
    <row r="1499" spans="1:9" x14ac:dyDescent="0.3">
      <c r="A1499" t="str">
        <f t="shared" si="69"/>
        <v>-</v>
      </c>
      <c r="B1499" t="str">
        <f t="shared" si="70"/>
        <v>0-</v>
      </c>
      <c r="H1499" t="str">
        <f>IFERROR(VLOOKUP(E1499,DC_Xref!A:B,2,FALSE),"")</f>
        <v/>
      </c>
      <c r="I1499">
        <f t="shared" si="71"/>
        <v>0</v>
      </c>
    </row>
    <row r="1500" spans="1:9" x14ac:dyDescent="0.3">
      <c r="A1500" t="str">
        <f t="shared" si="69"/>
        <v>-</v>
      </c>
      <c r="B1500" t="str">
        <f t="shared" si="70"/>
        <v>0-</v>
      </c>
      <c r="H1500" t="str">
        <f>IFERROR(VLOOKUP(E1500,DC_Xref!A:B,2,FALSE),"")</f>
        <v/>
      </c>
      <c r="I1500">
        <f t="shared" si="71"/>
        <v>0</v>
      </c>
    </row>
    <row r="1501" spans="1:9" x14ac:dyDescent="0.3">
      <c r="A1501" t="str">
        <f t="shared" si="69"/>
        <v>-</v>
      </c>
      <c r="B1501" t="str">
        <f t="shared" si="70"/>
        <v>0-</v>
      </c>
      <c r="H1501" t="str">
        <f>IFERROR(VLOOKUP(E1501,DC_Xref!A:B,2,FALSE),"")</f>
        <v/>
      </c>
      <c r="I1501">
        <f t="shared" si="71"/>
        <v>0</v>
      </c>
    </row>
    <row r="1502" spans="1:9" x14ac:dyDescent="0.3">
      <c r="A1502" t="str">
        <f t="shared" si="69"/>
        <v>-</v>
      </c>
      <c r="B1502" t="str">
        <f t="shared" si="70"/>
        <v>0-</v>
      </c>
      <c r="H1502" t="str">
        <f>IFERROR(VLOOKUP(E1502,DC_Xref!A:B,2,FALSE),"")</f>
        <v/>
      </c>
      <c r="I1502">
        <f t="shared" si="71"/>
        <v>0</v>
      </c>
    </row>
    <row r="1503" spans="1:9" x14ac:dyDescent="0.3">
      <c r="A1503" t="str">
        <f t="shared" si="69"/>
        <v>-</v>
      </c>
      <c r="B1503" t="str">
        <f t="shared" si="70"/>
        <v>0-</v>
      </c>
      <c r="H1503" t="str">
        <f>IFERROR(VLOOKUP(E1503,DC_Xref!A:B,2,FALSE),"")</f>
        <v/>
      </c>
      <c r="I1503">
        <f t="shared" si="71"/>
        <v>0</v>
      </c>
    </row>
    <row r="1504" spans="1:9" x14ac:dyDescent="0.3">
      <c r="A1504" t="str">
        <f t="shared" si="69"/>
        <v>-</v>
      </c>
      <c r="B1504" t="str">
        <f t="shared" si="70"/>
        <v>0-</v>
      </c>
      <c r="H1504" t="str">
        <f>IFERROR(VLOOKUP(E1504,DC_Xref!A:B,2,FALSE),"")</f>
        <v/>
      </c>
      <c r="I1504">
        <f t="shared" si="71"/>
        <v>0</v>
      </c>
    </row>
    <row r="1505" spans="1:9" x14ac:dyDescent="0.3">
      <c r="A1505" t="str">
        <f t="shared" si="69"/>
        <v>-</v>
      </c>
      <c r="B1505" t="str">
        <f t="shared" si="70"/>
        <v>0-</v>
      </c>
      <c r="H1505" t="str">
        <f>IFERROR(VLOOKUP(E1505,DC_Xref!A:B,2,FALSE),"")</f>
        <v/>
      </c>
      <c r="I1505">
        <f t="shared" si="71"/>
        <v>0</v>
      </c>
    </row>
    <row r="1506" spans="1:9" x14ac:dyDescent="0.3">
      <c r="A1506" t="str">
        <f t="shared" si="69"/>
        <v>-</v>
      </c>
      <c r="B1506" t="str">
        <f t="shared" si="70"/>
        <v>0-</v>
      </c>
      <c r="H1506" t="str">
        <f>IFERROR(VLOOKUP(E1506,DC_Xref!A:B,2,FALSE),"")</f>
        <v/>
      </c>
      <c r="I1506">
        <f t="shared" si="71"/>
        <v>0</v>
      </c>
    </row>
    <row r="1507" spans="1:9" x14ac:dyDescent="0.3">
      <c r="A1507" t="str">
        <f t="shared" si="69"/>
        <v>-</v>
      </c>
      <c r="B1507" t="str">
        <f t="shared" si="70"/>
        <v>0-</v>
      </c>
      <c r="H1507" t="str">
        <f>IFERROR(VLOOKUP(E1507,DC_Xref!A:B,2,FALSE),"")</f>
        <v/>
      </c>
      <c r="I1507">
        <f t="shared" si="71"/>
        <v>0</v>
      </c>
    </row>
    <row r="1508" spans="1:9" x14ac:dyDescent="0.3">
      <c r="A1508" t="str">
        <f t="shared" si="69"/>
        <v>-</v>
      </c>
      <c r="B1508" t="str">
        <f t="shared" si="70"/>
        <v>0-</v>
      </c>
      <c r="H1508" t="str">
        <f>IFERROR(VLOOKUP(E1508,DC_Xref!A:B,2,FALSE),"")</f>
        <v/>
      </c>
      <c r="I1508">
        <f t="shared" si="71"/>
        <v>0</v>
      </c>
    </row>
    <row r="1509" spans="1:9" x14ac:dyDescent="0.3">
      <c r="A1509" t="str">
        <f t="shared" si="69"/>
        <v>-</v>
      </c>
      <c r="B1509" t="str">
        <f t="shared" si="70"/>
        <v>0-</v>
      </c>
      <c r="H1509" t="str">
        <f>IFERROR(VLOOKUP(E1509,DC_Xref!A:B,2,FALSE),"")</f>
        <v/>
      </c>
      <c r="I1509">
        <f t="shared" si="71"/>
        <v>0</v>
      </c>
    </row>
    <row r="1510" spans="1:9" x14ac:dyDescent="0.3">
      <c r="A1510" t="str">
        <f t="shared" si="69"/>
        <v>-</v>
      </c>
      <c r="B1510" t="str">
        <f t="shared" si="70"/>
        <v>0-</v>
      </c>
      <c r="H1510" t="str">
        <f>IFERROR(VLOOKUP(E1510,DC_Xref!A:B,2,FALSE),"")</f>
        <v/>
      </c>
      <c r="I1510">
        <f t="shared" si="71"/>
        <v>0</v>
      </c>
    </row>
    <row r="1511" spans="1:9" x14ac:dyDescent="0.3">
      <c r="A1511" t="str">
        <f t="shared" si="69"/>
        <v>-</v>
      </c>
      <c r="B1511" t="str">
        <f t="shared" si="70"/>
        <v>0-</v>
      </c>
      <c r="H1511" t="str">
        <f>IFERROR(VLOOKUP(E1511,DC_Xref!A:B,2,FALSE),"")</f>
        <v/>
      </c>
      <c r="I1511">
        <f t="shared" si="71"/>
        <v>0</v>
      </c>
    </row>
    <row r="1512" spans="1:9" x14ac:dyDescent="0.3">
      <c r="A1512" t="str">
        <f t="shared" si="69"/>
        <v>-</v>
      </c>
      <c r="B1512" t="str">
        <f t="shared" si="70"/>
        <v>0-</v>
      </c>
      <c r="H1512" t="str">
        <f>IFERROR(VLOOKUP(E1512,DC_Xref!A:B,2,FALSE),"")</f>
        <v/>
      </c>
      <c r="I1512">
        <f t="shared" si="71"/>
        <v>0</v>
      </c>
    </row>
    <row r="1513" spans="1:9" x14ac:dyDescent="0.3">
      <c r="A1513" t="str">
        <f t="shared" si="69"/>
        <v>-</v>
      </c>
      <c r="B1513" t="str">
        <f t="shared" si="70"/>
        <v>0-</v>
      </c>
      <c r="H1513" t="str">
        <f>IFERROR(VLOOKUP(E1513,DC_Xref!A:B,2,FALSE),"")</f>
        <v/>
      </c>
      <c r="I1513">
        <f t="shared" si="71"/>
        <v>0</v>
      </c>
    </row>
    <row r="1514" spans="1:9" x14ac:dyDescent="0.3">
      <c r="A1514" t="str">
        <f t="shared" si="69"/>
        <v>-</v>
      </c>
      <c r="B1514" t="str">
        <f t="shared" si="70"/>
        <v>0-</v>
      </c>
      <c r="H1514" t="str">
        <f>IFERROR(VLOOKUP(E1514,DC_Xref!A:B,2,FALSE),"")</f>
        <v/>
      </c>
      <c r="I1514">
        <f t="shared" si="71"/>
        <v>0</v>
      </c>
    </row>
    <row r="1515" spans="1:9" x14ac:dyDescent="0.3">
      <c r="A1515" t="str">
        <f t="shared" si="69"/>
        <v>-</v>
      </c>
      <c r="B1515" t="str">
        <f t="shared" si="70"/>
        <v>0-</v>
      </c>
      <c r="H1515" t="str">
        <f>IFERROR(VLOOKUP(E1515,DC_Xref!A:B,2,FALSE),"")</f>
        <v/>
      </c>
      <c r="I1515">
        <f t="shared" si="71"/>
        <v>0</v>
      </c>
    </row>
    <row r="1516" spans="1:9" x14ac:dyDescent="0.3">
      <c r="A1516" t="str">
        <f t="shared" si="69"/>
        <v>-</v>
      </c>
      <c r="B1516" t="str">
        <f t="shared" si="70"/>
        <v>0-</v>
      </c>
      <c r="H1516" t="str">
        <f>IFERROR(VLOOKUP(E1516,DC_Xref!A:B,2,FALSE),"")</f>
        <v/>
      </c>
      <c r="I1516">
        <f t="shared" si="71"/>
        <v>0</v>
      </c>
    </row>
    <row r="1517" spans="1:9" x14ac:dyDescent="0.3">
      <c r="A1517" t="str">
        <f t="shared" si="69"/>
        <v>-</v>
      </c>
      <c r="B1517" t="str">
        <f t="shared" si="70"/>
        <v>0-</v>
      </c>
      <c r="H1517" t="str">
        <f>IFERROR(VLOOKUP(E1517,DC_Xref!A:B,2,FALSE),"")</f>
        <v/>
      </c>
      <c r="I1517">
        <f t="shared" si="71"/>
        <v>0</v>
      </c>
    </row>
    <row r="1518" spans="1:9" x14ac:dyDescent="0.3">
      <c r="A1518" t="str">
        <f t="shared" si="69"/>
        <v>-</v>
      </c>
      <c r="B1518" t="str">
        <f t="shared" si="70"/>
        <v>0-</v>
      </c>
      <c r="H1518" t="str">
        <f>IFERROR(VLOOKUP(E1518,DC_Xref!A:B,2,FALSE),"")</f>
        <v/>
      </c>
      <c r="I1518">
        <f t="shared" si="71"/>
        <v>0</v>
      </c>
    </row>
    <row r="1519" spans="1:9" x14ac:dyDescent="0.3">
      <c r="A1519" t="str">
        <f t="shared" si="69"/>
        <v>-</v>
      </c>
      <c r="B1519" t="str">
        <f t="shared" si="70"/>
        <v>0-</v>
      </c>
      <c r="H1519" t="str">
        <f>IFERROR(VLOOKUP(E1519,DC_Xref!A:B,2,FALSE),"")</f>
        <v/>
      </c>
      <c r="I1519">
        <f t="shared" si="71"/>
        <v>0</v>
      </c>
    </row>
    <row r="1520" spans="1:9" x14ac:dyDescent="0.3">
      <c r="A1520" t="str">
        <f t="shared" si="69"/>
        <v>-</v>
      </c>
      <c r="B1520" t="str">
        <f t="shared" si="70"/>
        <v>0-</v>
      </c>
      <c r="H1520" t="str">
        <f>IFERROR(VLOOKUP(E1520,DC_Xref!A:B,2,FALSE),"")</f>
        <v/>
      </c>
      <c r="I1520">
        <f t="shared" si="71"/>
        <v>0</v>
      </c>
    </row>
    <row r="1521" spans="1:9" x14ac:dyDescent="0.3">
      <c r="A1521" t="str">
        <f t="shared" si="69"/>
        <v>-</v>
      </c>
      <c r="B1521" t="str">
        <f t="shared" si="70"/>
        <v>0-</v>
      </c>
      <c r="H1521" t="str">
        <f>IFERROR(VLOOKUP(E1521,DC_Xref!A:B,2,FALSE),"")</f>
        <v/>
      </c>
      <c r="I1521">
        <f t="shared" si="71"/>
        <v>0</v>
      </c>
    </row>
    <row r="1522" spans="1:9" x14ac:dyDescent="0.3">
      <c r="A1522" t="str">
        <f t="shared" si="69"/>
        <v>-</v>
      </c>
      <c r="B1522" t="str">
        <f t="shared" si="70"/>
        <v>0-</v>
      </c>
      <c r="H1522" t="str">
        <f>IFERROR(VLOOKUP(E1522,DC_Xref!A:B,2,FALSE),"")</f>
        <v/>
      </c>
      <c r="I1522">
        <f t="shared" si="71"/>
        <v>0</v>
      </c>
    </row>
    <row r="1523" spans="1:9" x14ac:dyDescent="0.3">
      <c r="A1523" t="str">
        <f t="shared" si="69"/>
        <v>-</v>
      </c>
      <c r="B1523" t="str">
        <f t="shared" si="70"/>
        <v>0-</v>
      </c>
      <c r="H1523" t="str">
        <f>IFERROR(VLOOKUP(E1523,DC_Xref!A:B,2,FALSE),"")</f>
        <v/>
      </c>
      <c r="I1523">
        <f t="shared" si="71"/>
        <v>0</v>
      </c>
    </row>
    <row r="1524" spans="1:9" x14ac:dyDescent="0.3">
      <c r="A1524" t="str">
        <f t="shared" si="69"/>
        <v>-</v>
      </c>
      <c r="B1524" t="str">
        <f t="shared" si="70"/>
        <v>0-</v>
      </c>
      <c r="H1524" t="str">
        <f>IFERROR(VLOOKUP(E1524,DC_Xref!A:B,2,FALSE),"")</f>
        <v/>
      </c>
      <c r="I1524">
        <f t="shared" si="71"/>
        <v>0</v>
      </c>
    </row>
    <row r="1525" spans="1:9" x14ac:dyDescent="0.3">
      <c r="A1525" t="str">
        <f t="shared" si="69"/>
        <v>-</v>
      </c>
      <c r="B1525" t="str">
        <f t="shared" si="70"/>
        <v>0-</v>
      </c>
      <c r="H1525" t="str">
        <f>IFERROR(VLOOKUP(E1525,DC_Xref!A:B,2,FALSE),"")</f>
        <v/>
      </c>
      <c r="I1525">
        <f t="shared" si="71"/>
        <v>0</v>
      </c>
    </row>
    <row r="1526" spans="1:9" x14ac:dyDescent="0.3">
      <c r="A1526" t="str">
        <f t="shared" si="69"/>
        <v>-</v>
      </c>
      <c r="B1526" t="str">
        <f t="shared" si="70"/>
        <v>0-</v>
      </c>
      <c r="H1526" t="str">
        <f>IFERROR(VLOOKUP(E1526,DC_Xref!A:B,2,FALSE),"")</f>
        <v/>
      </c>
      <c r="I1526">
        <f t="shared" si="71"/>
        <v>0</v>
      </c>
    </row>
    <row r="1527" spans="1:9" x14ac:dyDescent="0.3">
      <c r="A1527" t="str">
        <f t="shared" si="69"/>
        <v>-</v>
      </c>
      <c r="B1527" t="str">
        <f t="shared" si="70"/>
        <v>0-</v>
      </c>
      <c r="H1527" t="str">
        <f>IFERROR(VLOOKUP(E1527,DC_Xref!A:B,2,FALSE),"")</f>
        <v/>
      </c>
      <c r="I1527">
        <f t="shared" si="71"/>
        <v>0</v>
      </c>
    </row>
    <row r="1528" spans="1:9" x14ac:dyDescent="0.3">
      <c r="A1528" t="str">
        <f t="shared" si="69"/>
        <v>-</v>
      </c>
      <c r="B1528" t="str">
        <f t="shared" si="70"/>
        <v>0-</v>
      </c>
      <c r="H1528" t="str">
        <f>IFERROR(VLOOKUP(E1528,DC_Xref!A:B,2,FALSE),"")</f>
        <v/>
      </c>
      <c r="I1528">
        <f t="shared" si="71"/>
        <v>0</v>
      </c>
    </row>
    <row r="1529" spans="1:9" x14ac:dyDescent="0.3">
      <c r="A1529" t="str">
        <f t="shared" si="69"/>
        <v>-</v>
      </c>
      <c r="B1529" t="str">
        <f t="shared" si="70"/>
        <v>0-</v>
      </c>
      <c r="H1529" t="str">
        <f>IFERROR(VLOOKUP(E1529,DC_Xref!A:B,2,FALSE),"")</f>
        <v/>
      </c>
      <c r="I1529">
        <f t="shared" si="71"/>
        <v>0</v>
      </c>
    </row>
    <row r="1530" spans="1:9" x14ac:dyDescent="0.3">
      <c r="A1530" t="str">
        <f t="shared" si="69"/>
        <v>-</v>
      </c>
      <c r="B1530" t="str">
        <f t="shared" si="70"/>
        <v>0-</v>
      </c>
      <c r="H1530" t="str">
        <f>IFERROR(VLOOKUP(E1530,DC_Xref!A:B,2,FALSE),"")</f>
        <v/>
      </c>
      <c r="I1530">
        <f t="shared" si="71"/>
        <v>0</v>
      </c>
    </row>
    <row r="1531" spans="1:9" x14ac:dyDescent="0.3">
      <c r="A1531" t="str">
        <f t="shared" si="69"/>
        <v>-</v>
      </c>
      <c r="B1531" t="str">
        <f t="shared" si="70"/>
        <v>0-</v>
      </c>
      <c r="H1531" t="str">
        <f>IFERROR(VLOOKUP(E1531,DC_Xref!A:B,2,FALSE),"")</f>
        <v/>
      </c>
      <c r="I1531">
        <f t="shared" si="71"/>
        <v>0</v>
      </c>
    </row>
    <row r="1532" spans="1:9" x14ac:dyDescent="0.3">
      <c r="A1532" t="str">
        <f t="shared" si="69"/>
        <v>-</v>
      </c>
      <c r="B1532" t="str">
        <f t="shared" si="70"/>
        <v>0-</v>
      </c>
      <c r="H1532" t="str">
        <f>IFERROR(VLOOKUP(E1532,DC_Xref!A:B,2,FALSE),"")</f>
        <v/>
      </c>
      <c r="I1532">
        <f t="shared" si="71"/>
        <v>0</v>
      </c>
    </row>
    <row r="1533" spans="1:9" x14ac:dyDescent="0.3">
      <c r="A1533" t="str">
        <f t="shared" si="69"/>
        <v>-</v>
      </c>
      <c r="B1533" t="str">
        <f t="shared" si="70"/>
        <v>0-</v>
      </c>
      <c r="H1533" t="str">
        <f>IFERROR(VLOOKUP(E1533,DC_Xref!A:B,2,FALSE),"")</f>
        <v/>
      </c>
      <c r="I1533">
        <f t="shared" si="71"/>
        <v>0</v>
      </c>
    </row>
    <row r="1534" spans="1:9" x14ac:dyDescent="0.3">
      <c r="A1534" t="str">
        <f t="shared" si="69"/>
        <v>-</v>
      </c>
      <c r="B1534" t="str">
        <f t="shared" si="70"/>
        <v>0-</v>
      </c>
      <c r="H1534" t="str">
        <f>IFERROR(VLOOKUP(E1534,DC_Xref!A:B,2,FALSE),"")</f>
        <v/>
      </c>
      <c r="I1534">
        <f t="shared" si="71"/>
        <v>0</v>
      </c>
    </row>
    <row r="1535" spans="1:9" x14ac:dyDescent="0.3">
      <c r="A1535" t="str">
        <f t="shared" si="69"/>
        <v>-</v>
      </c>
      <c r="B1535" t="str">
        <f t="shared" si="70"/>
        <v>0-</v>
      </c>
      <c r="H1535" t="str">
        <f>IFERROR(VLOOKUP(E1535,DC_Xref!A:B,2,FALSE),"")</f>
        <v/>
      </c>
      <c r="I1535">
        <f t="shared" si="71"/>
        <v>0</v>
      </c>
    </row>
    <row r="1536" spans="1:9" x14ac:dyDescent="0.3">
      <c r="A1536" t="str">
        <f t="shared" si="69"/>
        <v>-</v>
      </c>
      <c r="B1536" t="str">
        <f t="shared" si="70"/>
        <v>0-</v>
      </c>
      <c r="H1536" t="str">
        <f>IFERROR(VLOOKUP(E1536,DC_Xref!A:B,2,FALSE),"")</f>
        <v/>
      </c>
      <c r="I1536">
        <f t="shared" si="71"/>
        <v>0</v>
      </c>
    </row>
    <row r="1537" spans="1:9" x14ac:dyDescent="0.3">
      <c r="A1537" t="str">
        <f t="shared" si="69"/>
        <v>-</v>
      </c>
      <c r="B1537" t="str">
        <f t="shared" si="70"/>
        <v>0-</v>
      </c>
      <c r="H1537" t="str">
        <f>IFERROR(VLOOKUP(E1537,DC_Xref!A:B,2,FALSE),"")</f>
        <v/>
      </c>
      <c r="I1537">
        <f t="shared" si="71"/>
        <v>0</v>
      </c>
    </row>
    <row r="1538" spans="1:9" x14ac:dyDescent="0.3">
      <c r="A1538" t="str">
        <f t="shared" ref="A1538:A1601" si="72">C1538&amp;"-"&amp;F1538</f>
        <v>-</v>
      </c>
      <c r="B1538" t="str">
        <f t="shared" ref="B1538:B1601" si="73">I1538&amp;"-"&amp;H1538</f>
        <v>0-</v>
      </c>
      <c r="H1538" t="str">
        <f>IFERROR(VLOOKUP(E1538,DC_Xref!A:B,2,FALSE),"")</f>
        <v/>
      </c>
      <c r="I1538">
        <f t="shared" ref="I1538:I1601" si="74">C1538*100+D1538</f>
        <v>0</v>
      </c>
    </row>
    <row r="1539" spans="1:9" x14ac:dyDescent="0.3">
      <c r="A1539" t="str">
        <f t="shared" si="72"/>
        <v>-</v>
      </c>
      <c r="B1539" t="str">
        <f t="shared" si="73"/>
        <v>0-</v>
      </c>
      <c r="H1539" t="str">
        <f>IFERROR(VLOOKUP(E1539,DC_Xref!A:B,2,FALSE),"")</f>
        <v/>
      </c>
      <c r="I1539">
        <f t="shared" si="74"/>
        <v>0</v>
      </c>
    </row>
    <row r="1540" spans="1:9" x14ac:dyDescent="0.3">
      <c r="A1540" t="str">
        <f t="shared" si="72"/>
        <v>-</v>
      </c>
      <c r="B1540" t="str">
        <f t="shared" si="73"/>
        <v>0-</v>
      </c>
      <c r="H1540" t="str">
        <f>IFERROR(VLOOKUP(E1540,DC_Xref!A:B,2,FALSE),"")</f>
        <v/>
      </c>
      <c r="I1540">
        <f t="shared" si="74"/>
        <v>0</v>
      </c>
    </row>
    <row r="1541" spans="1:9" x14ac:dyDescent="0.3">
      <c r="A1541" t="str">
        <f t="shared" si="72"/>
        <v>-</v>
      </c>
      <c r="B1541" t="str">
        <f t="shared" si="73"/>
        <v>0-</v>
      </c>
      <c r="H1541" t="str">
        <f>IFERROR(VLOOKUP(E1541,DC_Xref!A:B,2,FALSE),"")</f>
        <v/>
      </c>
      <c r="I1541">
        <f t="shared" si="74"/>
        <v>0</v>
      </c>
    </row>
    <row r="1542" spans="1:9" x14ac:dyDescent="0.3">
      <c r="A1542" t="str">
        <f t="shared" si="72"/>
        <v>-</v>
      </c>
      <c r="B1542" t="str">
        <f t="shared" si="73"/>
        <v>0-</v>
      </c>
      <c r="H1542" t="str">
        <f>IFERROR(VLOOKUP(E1542,DC_Xref!A:B,2,FALSE),"")</f>
        <v/>
      </c>
      <c r="I1542">
        <f t="shared" si="74"/>
        <v>0</v>
      </c>
    </row>
    <row r="1543" spans="1:9" x14ac:dyDescent="0.3">
      <c r="A1543" t="str">
        <f t="shared" si="72"/>
        <v>-</v>
      </c>
      <c r="B1543" t="str">
        <f t="shared" si="73"/>
        <v>0-</v>
      </c>
      <c r="H1543" t="str">
        <f>IFERROR(VLOOKUP(E1543,DC_Xref!A:B,2,FALSE),"")</f>
        <v/>
      </c>
      <c r="I1543">
        <f t="shared" si="74"/>
        <v>0</v>
      </c>
    </row>
    <row r="1544" spans="1:9" x14ac:dyDescent="0.3">
      <c r="A1544" t="str">
        <f t="shared" si="72"/>
        <v>-</v>
      </c>
      <c r="B1544" t="str">
        <f t="shared" si="73"/>
        <v>0-</v>
      </c>
      <c r="H1544" t="str">
        <f>IFERROR(VLOOKUP(E1544,DC_Xref!A:B,2,FALSE),"")</f>
        <v/>
      </c>
      <c r="I1544">
        <f t="shared" si="74"/>
        <v>0</v>
      </c>
    </row>
    <row r="1545" spans="1:9" x14ac:dyDescent="0.3">
      <c r="A1545" t="str">
        <f t="shared" si="72"/>
        <v>-</v>
      </c>
      <c r="B1545" t="str">
        <f t="shared" si="73"/>
        <v>0-</v>
      </c>
      <c r="H1545" t="str">
        <f>IFERROR(VLOOKUP(E1545,DC_Xref!A:B,2,FALSE),"")</f>
        <v/>
      </c>
      <c r="I1545">
        <f t="shared" si="74"/>
        <v>0</v>
      </c>
    </row>
    <row r="1546" spans="1:9" x14ac:dyDescent="0.3">
      <c r="A1546" t="str">
        <f t="shared" si="72"/>
        <v>-</v>
      </c>
      <c r="B1546" t="str">
        <f t="shared" si="73"/>
        <v>0-</v>
      </c>
      <c r="H1546" t="str">
        <f>IFERROR(VLOOKUP(E1546,DC_Xref!A:B,2,FALSE),"")</f>
        <v/>
      </c>
      <c r="I1546">
        <f t="shared" si="74"/>
        <v>0</v>
      </c>
    </row>
    <row r="1547" spans="1:9" x14ac:dyDescent="0.3">
      <c r="A1547" t="str">
        <f t="shared" si="72"/>
        <v>-</v>
      </c>
      <c r="B1547" t="str">
        <f t="shared" si="73"/>
        <v>0-</v>
      </c>
      <c r="H1547" t="str">
        <f>IFERROR(VLOOKUP(E1547,DC_Xref!A:B,2,FALSE),"")</f>
        <v/>
      </c>
      <c r="I1547">
        <f t="shared" si="74"/>
        <v>0</v>
      </c>
    </row>
    <row r="1548" spans="1:9" x14ac:dyDescent="0.3">
      <c r="A1548" t="str">
        <f t="shared" si="72"/>
        <v>-</v>
      </c>
      <c r="B1548" t="str">
        <f t="shared" si="73"/>
        <v>0-</v>
      </c>
      <c r="H1548" t="str">
        <f>IFERROR(VLOOKUP(E1548,DC_Xref!A:B,2,FALSE),"")</f>
        <v/>
      </c>
      <c r="I1548">
        <f t="shared" si="74"/>
        <v>0</v>
      </c>
    </row>
    <row r="1549" spans="1:9" x14ac:dyDescent="0.3">
      <c r="A1549" t="str">
        <f t="shared" si="72"/>
        <v>-</v>
      </c>
      <c r="B1549" t="str">
        <f t="shared" si="73"/>
        <v>0-</v>
      </c>
      <c r="H1549" t="str">
        <f>IFERROR(VLOOKUP(E1549,DC_Xref!A:B,2,FALSE),"")</f>
        <v/>
      </c>
      <c r="I1549">
        <f t="shared" si="74"/>
        <v>0</v>
      </c>
    </row>
    <row r="1550" spans="1:9" x14ac:dyDescent="0.3">
      <c r="A1550" t="str">
        <f t="shared" si="72"/>
        <v>-</v>
      </c>
      <c r="B1550" t="str">
        <f t="shared" si="73"/>
        <v>0-</v>
      </c>
      <c r="H1550" t="str">
        <f>IFERROR(VLOOKUP(E1550,DC_Xref!A:B,2,FALSE),"")</f>
        <v/>
      </c>
      <c r="I1550">
        <f t="shared" si="74"/>
        <v>0</v>
      </c>
    </row>
    <row r="1551" spans="1:9" x14ac:dyDescent="0.3">
      <c r="A1551" t="str">
        <f t="shared" si="72"/>
        <v>-</v>
      </c>
      <c r="B1551" t="str">
        <f t="shared" si="73"/>
        <v>0-</v>
      </c>
      <c r="H1551" t="str">
        <f>IFERROR(VLOOKUP(E1551,DC_Xref!A:B,2,FALSE),"")</f>
        <v/>
      </c>
      <c r="I1551">
        <f t="shared" si="74"/>
        <v>0</v>
      </c>
    </row>
    <row r="1552" spans="1:9" x14ac:dyDescent="0.3">
      <c r="A1552" t="str">
        <f t="shared" si="72"/>
        <v>-</v>
      </c>
      <c r="B1552" t="str">
        <f t="shared" si="73"/>
        <v>0-</v>
      </c>
      <c r="H1552" t="str">
        <f>IFERROR(VLOOKUP(E1552,DC_Xref!A:B,2,FALSE),"")</f>
        <v/>
      </c>
      <c r="I1552">
        <f t="shared" si="74"/>
        <v>0</v>
      </c>
    </row>
    <row r="1553" spans="1:9" x14ac:dyDescent="0.3">
      <c r="A1553" t="str">
        <f t="shared" si="72"/>
        <v>-</v>
      </c>
      <c r="B1553" t="str">
        <f t="shared" si="73"/>
        <v>0-</v>
      </c>
      <c r="H1553" t="str">
        <f>IFERROR(VLOOKUP(E1553,DC_Xref!A:B,2,FALSE),"")</f>
        <v/>
      </c>
      <c r="I1553">
        <f t="shared" si="74"/>
        <v>0</v>
      </c>
    </row>
    <row r="1554" spans="1:9" x14ac:dyDescent="0.3">
      <c r="A1554" t="str">
        <f t="shared" si="72"/>
        <v>-</v>
      </c>
      <c r="B1554" t="str">
        <f t="shared" si="73"/>
        <v>0-</v>
      </c>
      <c r="H1554" t="str">
        <f>IFERROR(VLOOKUP(E1554,DC_Xref!A:B,2,FALSE),"")</f>
        <v/>
      </c>
      <c r="I1554">
        <f t="shared" si="74"/>
        <v>0</v>
      </c>
    </row>
    <row r="1555" spans="1:9" x14ac:dyDescent="0.3">
      <c r="A1555" t="str">
        <f t="shared" si="72"/>
        <v>-</v>
      </c>
      <c r="B1555" t="str">
        <f t="shared" si="73"/>
        <v>0-</v>
      </c>
      <c r="H1555" t="str">
        <f>IFERROR(VLOOKUP(E1555,DC_Xref!A:B,2,FALSE),"")</f>
        <v/>
      </c>
      <c r="I1555">
        <f t="shared" si="74"/>
        <v>0</v>
      </c>
    </row>
    <row r="1556" spans="1:9" x14ac:dyDescent="0.3">
      <c r="A1556" t="str">
        <f t="shared" si="72"/>
        <v>-</v>
      </c>
      <c r="B1556" t="str">
        <f t="shared" si="73"/>
        <v>0-</v>
      </c>
      <c r="H1556" t="str">
        <f>IFERROR(VLOOKUP(E1556,DC_Xref!A:B,2,FALSE),"")</f>
        <v/>
      </c>
      <c r="I1556">
        <f t="shared" si="74"/>
        <v>0</v>
      </c>
    </row>
    <row r="1557" spans="1:9" x14ac:dyDescent="0.3">
      <c r="A1557" t="str">
        <f t="shared" si="72"/>
        <v>-</v>
      </c>
      <c r="B1557" t="str">
        <f t="shared" si="73"/>
        <v>0-</v>
      </c>
      <c r="H1557" t="str">
        <f>IFERROR(VLOOKUP(E1557,DC_Xref!A:B,2,FALSE),"")</f>
        <v/>
      </c>
      <c r="I1557">
        <f t="shared" si="74"/>
        <v>0</v>
      </c>
    </row>
    <row r="1558" spans="1:9" x14ac:dyDescent="0.3">
      <c r="A1558" t="str">
        <f t="shared" si="72"/>
        <v>-</v>
      </c>
      <c r="B1558" t="str">
        <f t="shared" si="73"/>
        <v>0-</v>
      </c>
      <c r="H1558" t="str">
        <f>IFERROR(VLOOKUP(E1558,DC_Xref!A:B,2,FALSE),"")</f>
        <v/>
      </c>
      <c r="I1558">
        <f t="shared" si="74"/>
        <v>0</v>
      </c>
    </row>
    <row r="1559" spans="1:9" x14ac:dyDescent="0.3">
      <c r="A1559" t="str">
        <f t="shared" si="72"/>
        <v>-</v>
      </c>
      <c r="B1559" t="str">
        <f t="shared" si="73"/>
        <v>0-</v>
      </c>
      <c r="H1559" t="str">
        <f>IFERROR(VLOOKUP(E1559,DC_Xref!A:B,2,FALSE),"")</f>
        <v/>
      </c>
      <c r="I1559">
        <f t="shared" si="74"/>
        <v>0</v>
      </c>
    </row>
    <row r="1560" spans="1:9" x14ac:dyDescent="0.3">
      <c r="A1560" t="str">
        <f t="shared" si="72"/>
        <v>-</v>
      </c>
      <c r="B1560" t="str">
        <f t="shared" si="73"/>
        <v>0-</v>
      </c>
      <c r="H1560" t="str">
        <f>IFERROR(VLOOKUP(E1560,DC_Xref!A:B,2,FALSE),"")</f>
        <v/>
      </c>
      <c r="I1560">
        <f t="shared" si="74"/>
        <v>0</v>
      </c>
    </row>
    <row r="1561" spans="1:9" x14ac:dyDescent="0.3">
      <c r="A1561" t="str">
        <f t="shared" si="72"/>
        <v>-</v>
      </c>
      <c r="B1561" t="str">
        <f t="shared" si="73"/>
        <v>0-</v>
      </c>
      <c r="H1561" t="str">
        <f>IFERROR(VLOOKUP(E1561,DC_Xref!A:B,2,FALSE),"")</f>
        <v/>
      </c>
      <c r="I1561">
        <f t="shared" si="74"/>
        <v>0</v>
      </c>
    </row>
    <row r="1562" spans="1:9" x14ac:dyDescent="0.3">
      <c r="A1562" t="str">
        <f t="shared" si="72"/>
        <v>-</v>
      </c>
      <c r="B1562" t="str">
        <f t="shared" si="73"/>
        <v>0-</v>
      </c>
      <c r="H1562" t="str">
        <f>IFERROR(VLOOKUP(E1562,DC_Xref!A:B,2,FALSE),"")</f>
        <v/>
      </c>
      <c r="I1562">
        <f t="shared" si="74"/>
        <v>0</v>
      </c>
    </row>
    <row r="1563" spans="1:9" x14ac:dyDescent="0.3">
      <c r="A1563" t="str">
        <f t="shared" si="72"/>
        <v>-</v>
      </c>
      <c r="B1563" t="str">
        <f t="shared" si="73"/>
        <v>0-</v>
      </c>
      <c r="H1563" t="str">
        <f>IFERROR(VLOOKUP(E1563,DC_Xref!A:B,2,FALSE),"")</f>
        <v/>
      </c>
      <c r="I1563">
        <f t="shared" si="74"/>
        <v>0</v>
      </c>
    </row>
    <row r="1564" spans="1:9" x14ac:dyDescent="0.3">
      <c r="A1564" t="str">
        <f t="shared" si="72"/>
        <v>-</v>
      </c>
      <c r="B1564" t="str">
        <f t="shared" si="73"/>
        <v>0-</v>
      </c>
      <c r="H1564" t="str">
        <f>IFERROR(VLOOKUP(E1564,DC_Xref!A:B,2,FALSE),"")</f>
        <v/>
      </c>
      <c r="I1564">
        <f t="shared" si="74"/>
        <v>0</v>
      </c>
    </row>
    <row r="1565" spans="1:9" x14ac:dyDescent="0.3">
      <c r="A1565" t="str">
        <f t="shared" si="72"/>
        <v>-</v>
      </c>
      <c r="B1565" t="str">
        <f t="shared" si="73"/>
        <v>0-</v>
      </c>
      <c r="H1565" t="str">
        <f>IFERROR(VLOOKUP(E1565,DC_Xref!A:B,2,FALSE),"")</f>
        <v/>
      </c>
      <c r="I1565">
        <f t="shared" si="74"/>
        <v>0</v>
      </c>
    </row>
    <row r="1566" spans="1:9" x14ac:dyDescent="0.3">
      <c r="A1566" t="str">
        <f t="shared" si="72"/>
        <v>-</v>
      </c>
      <c r="B1566" t="str">
        <f t="shared" si="73"/>
        <v>0-</v>
      </c>
      <c r="H1566" t="str">
        <f>IFERROR(VLOOKUP(E1566,DC_Xref!A:B,2,FALSE),"")</f>
        <v/>
      </c>
      <c r="I1566">
        <f t="shared" si="74"/>
        <v>0</v>
      </c>
    </row>
    <row r="1567" spans="1:9" x14ac:dyDescent="0.3">
      <c r="A1567" t="str">
        <f t="shared" si="72"/>
        <v>-</v>
      </c>
      <c r="B1567" t="str">
        <f t="shared" si="73"/>
        <v>0-</v>
      </c>
      <c r="H1567" t="str">
        <f>IFERROR(VLOOKUP(E1567,DC_Xref!A:B,2,FALSE),"")</f>
        <v/>
      </c>
      <c r="I1567">
        <f t="shared" si="74"/>
        <v>0</v>
      </c>
    </row>
    <row r="1568" spans="1:9" x14ac:dyDescent="0.3">
      <c r="A1568" t="str">
        <f t="shared" si="72"/>
        <v>-</v>
      </c>
      <c r="B1568" t="str">
        <f t="shared" si="73"/>
        <v>0-</v>
      </c>
      <c r="H1568" t="str">
        <f>IFERROR(VLOOKUP(E1568,DC_Xref!A:B,2,FALSE),"")</f>
        <v/>
      </c>
      <c r="I1568">
        <f t="shared" si="74"/>
        <v>0</v>
      </c>
    </row>
    <row r="1569" spans="1:9" x14ac:dyDescent="0.3">
      <c r="A1569" t="str">
        <f t="shared" si="72"/>
        <v>-</v>
      </c>
      <c r="B1569" t="str">
        <f t="shared" si="73"/>
        <v>0-</v>
      </c>
      <c r="H1569" t="str">
        <f>IFERROR(VLOOKUP(E1569,DC_Xref!A:B,2,FALSE),"")</f>
        <v/>
      </c>
      <c r="I1569">
        <f t="shared" si="74"/>
        <v>0</v>
      </c>
    </row>
    <row r="1570" spans="1:9" x14ac:dyDescent="0.3">
      <c r="A1570" t="str">
        <f t="shared" si="72"/>
        <v>-</v>
      </c>
      <c r="B1570" t="str">
        <f t="shared" si="73"/>
        <v>0-</v>
      </c>
      <c r="H1570" t="str">
        <f>IFERROR(VLOOKUP(E1570,DC_Xref!A:B,2,FALSE),"")</f>
        <v/>
      </c>
      <c r="I1570">
        <f t="shared" si="74"/>
        <v>0</v>
      </c>
    </row>
    <row r="1571" spans="1:9" x14ac:dyDescent="0.3">
      <c r="A1571" t="str">
        <f t="shared" si="72"/>
        <v>-</v>
      </c>
      <c r="B1571" t="str">
        <f t="shared" si="73"/>
        <v>0-</v>
      </c>
      <c r="H1571" t="str">
        <f>IFERROR(VLOOKUP(E1571,DC_Xref!A:B,2,FALSE),"")</f>
        <v/>
      </c>
      <c r="I1571">
        <f t="shared" si="74"/>
        <v>0</v>
      </c>
    </row>
    <row r="1572" spans="1:9" x14ac:dyDescent="0.3">
      <c r="A1572" t="str">
        <f t="shared" si="72"/>
        <v>-</v>
      </c>
      <c r="B1572" t="str">
        <f t="shared" si="73"/>
        <v>0-</v>
      </c>
      <c r="H1572" t="str">
        <f>IFERROR(VLOOKUP(E1572,DC_Xref!A:B,2,FALSE),"")</f>
        <v/>
      </c>
      <c r="I1572">
        <f t="shared" si="74"/>
        <v>0</v>
      </c>
    </row>
    <row r="1573" spans="1:9" x14ac:dyDescent="0.3">
      <c r="A1573" t="str">
        <f t="shared" si="72"/>
        <v>-</v>
      </c>
      <c r="B1573" t="str">
        <f t="shared" si="73"/>
        <v>0-</v>
      </c>
      <c r="H1573" t="str">
        <f>IFERROR(VLOOKUP(E1573,DC_Xref!A:B,2,FALSE),"")</f>
        <v/>
      </c>
      <c r="I1573">
        <f t="shared" si="74"/>
        <v>0</v>
      </c>
    </row>
    <row r="1574" spans="1:9" x14ac:dyDescent="0.3">
      <c r="A1574" t="str">
        <f t="shared" si="72"/>
        <v>-</v>
      </c>
      <c r="B1574" t="str">
        <f t="shared" si="73"/>
        <v>0-</v>
      </c>
      <c r="H1574" t="str">
        <f>IFERROR(VLOOKUP(E1574,DC_Xref!A:B,2,FALSE),"")</f>
        <v/>
      </c>
      <c r="I1574">
        <f t="shared" si="74"/>
        <v>0</v>
      </c>
    </row>
    <row r="1575" spans="1:9" x14ac:dyDescent="0.3">
      <c r="A1575" t="str">
        <f t="shared" si="72"/>
        <v>-</v>
      </c>
      <c r="B1575" t="str">
        <f t="shared" si="73"/>
        <v>0-</v>
      </c>
      <c r="H1575" t="str">
        <f>IFERROR(VLOOKUP(E1575,DC_Xref!A:B,2,FALSE),"")</f>
        <v/>
      </c>
      <c r="I1575">
        <f t="shared" si="74"/>
        <v>0</v>
      </c>
    </row>
    <row r="1576" spans="1:9" x14ac:dyDescent="0.3">
      <c r="A1576" t="str">
        <f t="shared" si="72"/>
        <v>-</v>
      </c>
      <c r="B1576" t="str">
        <f t="shared" si="73"/>
        <v>0-</v>
      </c>
      <c r="H1576" t="str">
        <f>IFERROR(VLOOKUP(E1576,DC_Xref!A:B,2,FALSE),"")</f>
        <v/>
      </c>
      <c r="I1576">
        <f t="shared" si="74"/>
        <v>0</v>
      </c>
    </row>
    <row r="1577" spans="1:9" x14ac:dyDescent="0.3">
      <c r="A1577" t="str">
        <f t="shared" si="72"/>
        <v>-</v>
      </c>
      <c r="B1577" t="str">
        <f t="shared" si="73"/>
        <v>0-</v>
      </c>
      <c r="H1577" t="str">
        <f>IFERROR(VLOOKUP(E1577,DC_Xref!A:B,2,FALSE),"")</f>
        <v/>
      </c>
      <c r="I1577">
        <f t="shared" si="74"/>
        <v>0</v>
      </c>
    </row>
    <row r="1578" spans="1:9" x14ac:dyDescent="0.3">
      <c r="A1578" t="str">
        <f t="shared" si="72"/>
        <v>-</v>
      </c>
      <c r="B1578" t="str">
        <f t="shared" si="73"/>
        <v>0-</v>
      </c>
      <c r="H1578" t="str">
        <f>IFERROR(VLOOKUP(E1578,DC_Xref!A:B,2,FALSE),"")</f>
        <v/>
      </c>
      <c r="I1578">
        <f t="shared" si="74"/>
        <v>0</v>
      </c>
    </row>
    <row r="1579" spans="1:9" x14ac:dyDescent="0.3">
      <c r="A1579" t="str">
        <f t="shared" si="72"/>
        <v>-</v>
      </c>
      <c r="B1579" t="str">
        <f t="shared" si="73"/>
        <v>0-</v>
      </c>
      <c r="H1579" t="str">
        <f>IFERROR(VLOOKUP(E1579,DC_Xref!A:B,2,FALSE),"")</f>
        <v/>
      </c>
      <c r="I1579">
        <f t="shared" si="74"/>
        <v>0</v>
      </c>
    </row>
    <row r="1580" spans="1:9" x14ac:dyDescent="0.3">
      <c r="A1580" t="str">
        <f t="shared" si="72"/>
        <v>-</v>
      </c>
      <c r="B1580" t="str">
        <f t="shared" si="73"/>
        <v>0-</v>
      </c>
      <c r="H1580" t="str">
        <f>IFERROR(VLOOKUP(E1580,DC_Xref!A:B,2,FALSE),"")</f>
        <v/>
      </c>
      <c r="I1580">
        <f t="shared" si="74"/>
        <v>0</v>
      </c>
    </row>
    <row r="1581" spans="1:9" x14ac:dyDescent="0.3">
      <c r="A1581" t="str">
        <f t="shared" si="72"/>
        <v>-</v>
      </c>
      <c r="B1581" t="str">
        <f t="shared" si="73"/>
        <v>0-</v>
      </c>
      <c r="H1581" t="str">
        <f>IFERROR(VLOOKUP(E1581,DC_Xref!A:B,2,FALSE),"")</f>
        <v/>
      </c>
      <c r="I1581">
        <f t="shared" si="74"/>
        <v>0</v>
      </c>
    </row>
    <row r="1582" spans="1:9" x14ac:dyDescent="0.3">
      <c r="A1582" t="str">
        <f t="shared" si="72"/>
        <v>-</v>
      </c>
      <c r="B1582" t="str">
        <f t="shared" si="73"/>
        <v>0-</v>
      </c>
      <c r="H1582" t="str">
        <f>IFERROR(VLOOKUP(E1582,DC_Xref!A:B,2,FALSE),"")</f>
        <v/>
      </c>
      <c r="I1582">
        <f t="shared" si="74"/>
        <v>0</v>
      </c>
    </row>
    <row r="1583" spans="1:9" x14ac:dyDescent="0.3">
      <c r="A1583" t="str">
        <f t="shared" si="72"/>
        <v>-</v>
      </c>
      <c r="B1583" t="str">
        <f t="shared" si="73"/>
        <v>0-</v>
      </c>
      <c r="H1583" t="str">
        <f>IFERROR(VLOOKUP(E1583,DC_Xref!A:B,2,FALSE),"")</f>
        <v/>
      </c>
      <c r="I1583">
        <f t="shared" si="74"/>
        <v>0</v>
      </c>
    </row>
    <row r="1584" spans="1:9" x14ac:dyDescent="0.3">
      <c r="A1584" t="str">
        <f t="shared" si="72"/>
        <v>-</v>
      </c>
      <c r="B1584" t="str">
        <f t="shared" si="73"/>
        <v>0-</v>
      </c>
      <c r="H1584" t="str">
        <f>IFERROR(VLOOKUP(E1584,DC_Xref!A:B,2,FALSE),"")</f>
        <v/>
      </c>
      <c r="I1584">
        <f t="shared" si="74"/>
        <v>0</v>
      </c>
    </row>
    <row r="1585" spans="1:9" x14ac:dyDescent="0.3">
      <c r="A1585" t="str">
        <f t="shared" si="72"/>
        <v>-</v>
      </c>
      <c r="B1585" t="str">
        <f t="shared" si="73"/>
        <v>0-</v>
      </c>
      <c r="H1585" t="str">
        <f>IFERROR(VLOOKUP(E1585,DC_Xref!A:B,2,FALSE),"")</f>
        <v/>
      </c>
      <c r="I1585">
        <f t="shared" si="74"/>
        <v>0</v>
      </c>
    </row>
    <row r="1586" spans="1:9" x14ac:dyDescent="0.3">
      <c r="A1586" t="str">
        <f t="shared" si="72"/>
        <v>-</v>
      </c>
      <c r="B1586" t="str">
        <f t="shared" si="73"/>
        <v>0-</v>
      </c>
      <c r="H1586" t="str">
        <f>IFERROR(VLOOKUP(E1586,DC_Xref!A:B,2,FALSE),"")</f>
        <v/>
      </c>
      <c r="I1586">
        <f t="shared" si="74"/>
        <v>0</v>
      </c>
    </row>
    <row r="1587" spans="1:9" x14ac:dyDescent="0.3">
      <c r="A1587" t="str">
        <f t="shared" si="72"/>
        <v>-</v>
      </c>
      <c r="B1587" t="str">
        <f t="shared" si="73"/>
        <v>0-</v>
      </c>
      <c r="H1587" t="str">
        <f>IFERROR(VLOOKUP(E1587,DC_Xref!A:B,2,FALSE),"")</f>
        <v/>
      </c>
      <c r="I1587">
        <f t="shared" si="74"/>
        <v>0</v>
      </c>
    </row>
    <row r="1588" spans="1:9" x14ac:dyDescent="0.3">
      <c r="A1588" t="str">
        <f t="shared" si="72"/>
        <v>-</v>
      </c>
      <c r="B1588" t="str">
        <f t="shared" si="73"/>
        <v>0-</v>
      </c>
      <c r="H1588" t="str">
        <f>IFERROR(VLOOKUP(E1588,DC_Xref!A:B,2,FALSE),"")</f>
        <v/>
      </c>
      <c r="I1588">
        <f t="shared" si="74"/>
        <v>0</v>
      </c>
    </row>
    <row r="1589" spans="1:9" x14ac:dyDescent="0.3">
      <c r="A1589" t="str">
        <f t="shared" si="72"/>
        <v>-</v>
      </c>
      <c r="B1589" t="str">
        <f t="shared" si="73"/>
        <v>0-</v>
      </c>
      <c r="H1589" t="str">
        <f>IFERROR(VLOOKUP(E1589,DC_Xref!A:B,2,FALSE),"")</f>
        <v/>
      </c>
      <c r="I1589">
        <f t="shared" si="74"/>
        <v>0</v>
      </c>
    </row>
    <row r="1590" spans="1:9" x14ac:dyDescent="0.3">
      <c r="A1590" t="str">
        <f t="shared" si="72"/>
        <v>-</v>
      </c>
      <c r="B1590" t="str">
        <f t="shared" si="73"/>
        <v>0-</v>
      </c>
      <c r="H1590" t="str">
        <f>IFERROR(VLOOKUP(E1590,DC_Xref!A:B,2,FALSE),"")</f>
        <v/>
      </c>
      <c r="I1590">
        <f t="shared" si="74"/>
        <v>0</v>
      </c>
    </row>
    <row r="1591" spans="1:9" x14ac:dyDescent="0.3">
      <c r="A1591" t="str">
        <f t="shared" si="72"/>
        <v>-</v>
      </c>
      <c r="B1591" t="str">
        <f t="shared" si="73"/>
        <v>0-</v>
      </c>
      <c r="H1591" t="str">
        <f>IFERROR(VLOOKUP(E1591,DC_Xref!A:B,2,FALSE),"")</f>
        <v/>
      </c>
      <c r="I1591">
        <f t="shared" si="74"/>
        <v>0</v>
      </c>
    </row>
    <row r="1592" spans="1:9" x14ac:dyDescent="0.3">
      <c r="A1592" t="str">
        <f t="shared" si="72"/>
        <v>-</v>
      </c>
      <c r="B1592" t="str">
        <f t="shared" si="73"/>
        <v>0-</v>
      </c>
      <c r="H1592" t="str">
        <f>IFERROR(VLOOKUP(E1592,DC_Xref!A:B,2,FALSE),"")</f>
        <v/>
      </c>
      <c r="I1592">
        <f t="shared" si="74"/>
        <v>0</v>
      </c>
    </row>
    <row r="1593" spans="1:9" x14ac:dyDescent="0.3">
      <c r="A1593" t="str">
        <f t="shared" si="72"/>
        <v>-</v>
      </c>
      <c r="B1593" t="str">
        <f t="shared" si="73"/>
        <v>0-</v>
      </c>
      <c r="H1593" t="str">
        <f>IFERROR(VLOOKUP(E1593,DC_Xref!A:B,2,FALSE),"")</f>
        <v/>
      </c>
      <c r="I1593">
        <f t="shared" si="74"/>
        <v>0</v>
      </c>
    </row>
    <row r="1594" spans="1:9" x14ac:dyDescent="0.3">
      <c r="A1594" t="str">
        <f t="shared" si="72"/>
        <v>-</v>
      </c>
      <c r="B1594" t="str">
        <f t="shared" si="73"/>
        <v>0-</v>
      </c>
      <c r="H1594" t="str">
        <f>IFERROR(VLOOKUP(E1594,DC_Xref!A:B,2,FALSE),"")</f>
        <v/>
      </c>
      <c r="I1594">
        <f t="shared" si="74"/>
        <v>0</v>
      </c>
    </row>
    <row r="1595" spans="1:9" x14ac:dyDescent="0.3">
      <c r="A1595" t="str">
        <f t="shared" si="72"/>
        <v>-</v>
      </c>
      <c r="B1595" t="str">
        <f t="shared" si="73"/>
        <v>0-</v>
      </c>
      <c r="H1595" t="str">
        <f>IFERROR(VLOOKUP(E1595,DC_Xref!A:B,2,FALSE),"")</f>
        <v/>
      </c>
      <c r="I1595">
        <f t="shared" si="74"/>
        <v>0</v>
      </c>
    </row>
    <row r="1596" spans="1:9" x14ac:dyDescent="0.3">
      <c r="A1596" t="str">
        <f t="shared" si="72"/>
        <v>-</v>
      </c>
      <c r="B1596" t="str">
        <f t="shared" si="73"/>
        <v>0-</v>
      </c>
      <c r="H1596" t="str">
        <f>IFERROR(VLOOKUP(E1596,DC_Xref!A:B,2,FALSE),"")</f>
        <v/>
      </c>
      <c r="I1596">
        <f t="shared" si="74"/>
        <v>0</v>
      </c>
    </row>
    <row r="1597" spans="1:9" x14ac:dyDescent="0.3">
      <c r="A1597" t="str">
        <f t="shared" si="72"/>
        <v>-</v>
      </c>
      <c r="B1597" t="str">
        <f t="shared" si="73"/>
        <v>0-</v>
      </c>
      <c r="H1597" t="str">
        <f>IFERROR(VLOOKUP(E1597,DC_Xref!A:B,2,FALSE),"")</f>
        <v/>
      </c>
      <c r="I1597">
        <f t="shared" si="74"/>
        <v>0</v>
      </c>
    </row>
    <row r="1598" spans="1:9" x14ac:dyDescent="0.3">
      <c r="A1598" t="str">
        <f t="shared" si="72"/>
        <v>-</v>
      </c>
      <c r="B1598" t="str">
        <f t="shared" si="73"/>
        <v>0-</v>
      </c>
      <c r="H1598" t="str">
        <f>IFERROR(VLOOKUP(E1598,DC_Xref!A:B,2,FALSE),"")</f>
        <v/>
      </c>
      <c r="I1598">
        <f t="shared" si="74"/>
        <v>0</v>
      </c>
    </row>
    <row r="1599" spans="1:9" x14ac:dyDescent="0.3">
      <c r="A1599" t="str">
        <f t="shared" si="72"/>
        <v>-</v>
      </c>
      <c r="B1599" t="str">
        <f t="shared" si="73"/>
        <v>0-</v>
      </c>
      <c r="H1599" t="str">
        <f>IFERROR(VLOOKUP(E1599,DC_Xref!A:B,2,FALSE),"")</f>
        <v/>
      </c>
      <c r="I1599">
        <f t="shared" si="74"/>
        <v>0</v>
      </c>
    </row>
    <row r="1600" spans="1:9" x14ac:dyDescent="0.3">
      <c r="A1600" t="str">
        <f t="shared" si="72"/>
        <v>-</v>
      </c>
      <c r="B1600" t="str">
        <f t="shared" si="73"/>
        <v>0-</v>
      </c>
      <c r="H1600" t="str">
        <f>IFERROR(VLOOKUP(E1600,DC_Xref!A:B,2,FALSE),"")</f>
        <v/>
      </c>
      <c r="I1600">
        <f t="shared" si="74"/>
        <v>0</v>
      </c>
    </row>
    <row r="1601" spans="1:9" x14ac:dyDescent="0.3">
      <c r="A1601" t="str">
        <f t="shared" si="72"/>
        <v>-</v>
      </c>
      <c r="B1601" t="str">
        <f t="shared" si="73"/>
        <v>0-</v>
      </c>
      <c r="H1601" t="str">
        <f>IFERROR(VLOOKUP(E1601,DC_Xref!A:B,2,FALSE),"")</f>
        <v/>
      </c>
      <c r="I1601">
        <f t="shared" si="74"/>
        <v>0</v>
      </c>
    </row>
    <row r="1602" spans="1:9" x14ac:dyDescent="0.3">
      <c r="A1602" t="str">
        <f t="shared" ref="A1602:A1665" si="75">C1602&amp;"-"&amp;F1602</f>
        <v>-</v>
      </c>
      <c r="B1602" t="str">
        <f t="shared" ref="B1602:B1665" si="76">I1602&amp;"-"&amp;H1602</f>
        <v>0-</v>
      </c>
      <c r="H1602" t="str">
        <f>IFERROR(VLOOKUP(E1602,DC_Xref!A:B,2,FALSE),"")</f>
        <v/>
      </c>
      <c r="I1602">
        <f t="shared" ref="I1602:I1665" si="77">C1602*100+D1602</f>
        <v>0</v>
      </c>
    </row>
    <row r="1603" spans="1:9" x14ac:dyDescent="0.3">
      <c r="A1603" t="str">
        <f t="shared" si="75"/>
        <v>-</v>
      </c>
      <c r="B1603" t="str">
        <f t="shared" si="76"/>
        <v>0-</v>
      </c>
      <c r="H1603" t="str">
        <f>IFERROR(VLOOKUP(E1603,DC_Xref!A:B,2,FALSE),"")</f>
        <v/>
      </c>
      <c r="I1603">
        <f t="shared" si="77"/>
        <v>0</v>
      </c>
    </row>
    <row r="1604" spans="1:9" x14ac:dyDescent="0.3">
      <c r="A1604" t="str">
        <f t="shared" si="75"/>
        <v>-</v>
      </c>
      <c r="B1604" t="str">
        <f t="shared" si="76"/>
        <v>0-</v>
      </c>
      <c r="H1604" t="str">
        <f>IFERROR(VLOOKUP(E1604,DC_Xref!A:B,2,FALSE),"")</f>
        <v/>
      </c>
      <c r="I1604">
        <f t="shared" si="77"/>
        <v>0</v>
      </c>
    </row>
    <row r="1605" spans="1:9" x14ac:dyDescent="0.3">
      <c r="A1605" t="str">
        <f t="shared" si="75"/>
        <v>-</v>
      </c>
      <c r="B1605" t="str">
        <f t="shared" si="76"/>
        <v>0-</v>
      </c>
      <c r="H1605" t="str">
        <f>IFERROR(VLOOKUP(E1605,DC_Xref!A:B,2,FALSE),"")</f>
        <v/>
      </c>
      <c r="I1605">
        <f t="shared" si="77"/>
        <v>0</v>
      </c>
    </row>
    <row r="1606" spans="1:9" x14ac:dyDescent="0.3">
      <c r="A1606" t="str">
        <f t="shared" si="75"/>
        <v>-</v>
      </c>
      <c r="B1606" t="str">
        <f t="shared" si="76"/>
        <v>0-</v>
      </c>
      <c r="H1606" t="str">
        <f>IFERROR(VLOOKUP(E1606,DC_Xref!A:B,2,FALSE),"")</f>
        <v/>
      </c>
      <c r="I1606">
        <f t="shared" si="77"/>
        <v>0</v>
      </c>
    </row>
    <row r="1607" spans="1:9" x14ac:dyDescent="0.3">
      <c r="A1607" t="str">
        <f t="shared" si="75"/>
        <v>-</v>
      </c>
      <c r="B1607" t="str">
        <f t="shared" si="76"/>
        <v>0-</v>
      </c>
      <c r="H1607" t="str">
        <f>IFERROR(VLOOKUP(E1607,DC_Xref!A:B,2,FALSE),"")</f>
        <v/>
      </c>
      <c r="I1607">
        <f t="shared" si="77"/>
        <v>0</v>
      </c>
    </row>
    <row r="1608" spans="1:9" x14ac:dyDescent="0.3">
      <c r="A1608" t="str">
        <f t="shared" si="75"/>
        <v>-</v>
      </c>
      <c r="B1608" t="str">
        <f t="shared" si="76"/>
        <v>0-</v>
      </c>
      <c r="H1608" t="str">
        <f>IFERROR(VLOOKUP(E1608,DC_Xref!A:B,2,FALSE),"")</f>
        <v/>
      </c>
      <c r="I1608">
        <f t="shared" si="77"/>
        <v>0</v>
      </c>
    </row>
    <row r="1609" spans="1:9" x14ac:dyDescent="0.3">
      <c r="A1609" t="str">
        <f t="shared" si="75"/>
        <v>-</v>
      </c>
      <c r="B1609" t="str">
        <f t="shared" si="76"/>
        <v>0-</v>
      </c>
      <c r="H1609" t="str">
        <f>IFERROR(VLOOKUP(E1609,DC_Xref!A:B,2,FALSE),"")</f>
        <v/>
      </c>
      <c r="I1609">
        <f t="shared" si="77"/>
        <v>0</v>
      </c>
    </row>
    <row r="1610" spans="1:9" x14ac:dyDescent="0.3">
      <c r="A1610" t="str">
        <f t="shared" si="75"/>
        <v>-</v>
      </c>
      <c r="B1610" t="str">
        <f t="shared" si="76"/>
        <v>0-</v>
      </c>
      <c r="H1610" t="str">
        <f>IFERROR(VLOOKUP(E1610,DC_Xref!A:B,2,FALSE),"")</f>
        <v/>
      </c>
      <c r="I1610">
        <f t="shared" si="77"/>
        <v>0</v>
      </c>
    </row>
    <row r="1611" spans="1:9" x14ac:dyDescent="0.3">
      <c r="A1611" t="str">
        <f t="shared" si="75"/>
        <v>-</v>
      </c>
      <c r="B1611" t="str">
        <f t="shared" si="76"/>
        <v>0-</v>
      </c>
      <c r="H1611" t="str">
        <f>IFERROR(VLOOKUP(E1611,DC_Xref!A:B,2,FALSE),"")</f>
        <v/>
      </c>
      <c r="I1611">
        <f t="shared" si="77"/>
        <v>0</v>
      </c>
    </row>
    <row r="1612" spans="1:9" x14ac:dyDescent="0.3">
      <c r="A1612" t="str">
        <f t="shared" si="75"/>
        <v>-</v>
      </c>
      <c r="B1612" t="str">
        <f t="shared" si="76"/>
        <v>0-</v>
      </c>
      <c r="H1612" t="str">
        <f>IFERROR(VLOOKUP(E1612,DC_Xref!A:B,2,FALSE),"")</f>
        <v/>
      </c>
      <c r="I1612">
        <f t="shared" si="77"/>
        <v>0</v>
      </c>
    </row>
    <row r="1613" spans="1:9" x14ac:dyDescent="0.3">
      <c r="A1613" t="str">
        <f t="shared" si="75"/>
        <v>-</v>
      </c>
      <c r="B1613" t="str">
        <f t="shared" si="76"/>
        <v>0-</v>
      </c>
      <c r="H1613" t="str">
        <f>IFERROR(VLOOKUP(E1613,DC_Xref!A:B,2,FALSE),"")</f>
        <v/>
      </c>
      <c r="I1613">
        <f t="shared" si="77"/>
        <v>0</v>
      </c>
    </row>
    <row r="1614" spans="1:9" x14ac:dyDescent="0.3">
      <c r="A1614" t="str">
        <f t="shared" si="75"/>
        <v>-</v>
      </c>
      <c r="B1614" t="str">
        <f t="shared" si="76"/>
        <v>0-</v>
      </c>
      <c r="H1614" t="str">
        <f>IFERROR(VLOOKUP(E1614,DC_Xref!A:B,2,FALSE),"")</f>
        <v/>
      </c>
      <c r="I1614">
        <f t="shared" si="77"/>
        <v>0</v>
      </c>
    </row>
    <row r="1615" spans="1:9" x14ac:dyDescent="0.3">
      <c r="A1615" t="str">
        <f t="shared" si="75"/>
        <v>-</v>
      </c>
      <c r="B1615" t="str">
        <f t="shared" si="76"/>
        <v>0-</v>
      </c>
      <c r="H1615" t="str">
        <f>IFERROR(VLOOKUP(E1615,DC_Xref!A:B,2,FALSE),"")</f>
        <v/>
      </c>
      <c r="I1615">
        <f t="shared" si="77"/>
        <v>0</v>
      </c>
    </row>
    <row r="1616" spans="1:9" x14ac:dyDescent="0.3">
      <c r="A1616" t="str">
        <f t="shared" si="75"/>
        <v>-</v>
      </c>
      <c r="B1616" t="str">
        <f t="shared" si="76"/>
        <v>0-</v>
      </c>
      <c r="H1616" t="str">
        <f>IFERROR(VLOOKUP(E1616,DC_Xref!A:B,2,FALSE),"")</f>
        <v/>
      </c>
      <c r="I1616">
        <f t="shared" si="77"/>
        <v>0</v>
      </c>
    </row>
    <row r="1617" spans="1:9" x14ac:dyDescent="0.3">
      <c r="A1617" t="str">
        <f t="shared" si="75"/>
        <v>-</v>
      </c>
      <c r="B1617" t="str">
        <f t="shared" si="76"/>
        <v>0-</v>
      </c>
      <c r="H1617" t="str">
        <f>IFERROR(VLOOKUP(E1617,DC_Xref!A:B,2,FALSE),"")</f>
        <v/>
      </c>
      <c r="I1617">
        <f t="shared" si="77"/>
        <v>0</v>
      </c>
    </row>
    <row r="1618" spans="1:9" x14ac:dyDescent="0.3">
      <c r="A1618" t="str">
        <f t="shared" si="75"/>
        <v>-</v>
      </c>
      <c r="B1618" t="str">
        <f t="shared" si="76"/>
        <v>0-</v>
      </c>
      <c r="H1618" t="str">
        <f>IFERROR(VLOOKUP(E1618,DC_Xref!A:B,2,FALSE),"")</f>
        <v/>
      </c>
      <c r="I1618">
        <f t="shared" si="77"/>
        <v>0</v>
      </c>
    </row>
    <row r="1619" spans="1:9" x14ac:dyDescent="0.3">
      <c r="A1619" t="str">
        <f t="shared" si="75"/>
        <v>-</v>
      </c>
      <c r="B1619" t="str">
        <f t="shared" si="76"/>
        <v>0-</v>
      </c>
      <c r="H1619" t="str">
        <f>IFERROR(VLOOKUP(E1619,DC_Xref!A:B,2,FALSE),"")</f>
        <v/>
      </c>
      <c r="I1619">
        <f t="shared" si="77"/>
        <v>0</v>
      </c>
    </row>
    <row r="1620" spans="1:9" x14ac:dyDescent="0.3">
      <c r="A1620" t="str">
        <f t="shared" si="75"/>
        <v>-</v>
      </c>
      <c r="B1620" t="str">
        <f t="shared" si="76"/>
        <v>0-</v>
      </c>
      <c r="H1620" t="str">
        <f>IFERROR(VLOOKUP(E1620,DC_Xref!A:B,2,FALSE),"")</f>
        <v/>
      </c>
      <c r="I1620">
        <f t="shared" si="77"/>
        <v>0</v>
      </c>
    </row>
    <row r="1621" spans="1:9" x14ac:dyDescent="0.3">
      <c r="A1621" t="str">
        <f t="shared" si="75"/>
        <v>-</v>
      </c>
      <c r="B1621" t="str">
        <f t="shared" si="76"/>
        <v>0-</v>
      </c>
      <c r="H1621" t="str">
        <f>IFERROR(VLOOKUP(E1621,DC_Xref!A:B,2,FALSE),"")</f>
        <v/>
      </c>
      <c r="I1621">
        <f t="shared" si="77"/>
        <v>0</v>
      </c>
    </row>
    <row r="1622" spans="1:9" x14ac:dyDescent="0.3">
      <c r="A1622" t="str">
        <f t="shared" si="75"/>
        <v>-</v>
      </c>
      <c r="B1622" t="str">
        <f t="shared" si="76"/>
        <v>0-</v>
      </c>
      <c r="H1622" t="str">
        <f>IFERROR(VLOOKUP(E1622,DC_Xref!A:B,2,FALSE),"")</f>
        <v/>
      </c>
      <c r="I1622">
        <f t="shared" si="77"/>
        <v>0</v>
      </c>
    </row>
    <row r="1623" spans="1:9" x14ac:dyDescent="0.3">
      <c r="A1623" t="str">
        <f t="shared" si="75"/>
        <v>-</v>
      </c>
      <c r="B1623" t="str">
        <f t="shared" si="76"/>
        <v>0-</v>
      </c>
      <c r="H1623" t="str">
        <f>IFERROR(VLOOKUP(E1623,DC_Xref!A:B,2,FALSE),"")</f>
        <v/>
      </c>
      <c r="I1623">
        <f t="shared" si="77"/>
        <v>0</v>
      </c>
    </row>
    <row r="1624" spans="1:9" x14ac:dyDescent="0.3">
      <c r="A1624" t="str">
        <f t="shared" si="75"/>
        <v>-</v>
      </c>
      <c r="B1624" t="str">
        <f t="shared" si="76"/>
        <v>0-</v>
      </c>
      <c r="H1624" t="str">
        <f>IFERROR(VLOOKUP(E1624,DC_Xref!A:B,2,FALSE),"")</f>
        <v/>
      </c>
      <c r="I1624">
        <f t="shared" si="77"/>
        <v>0</v>
      </c>
    </row>
    <row r="1625" spans="1:9" x14ac:dyDescent="0.3">
      <c r="A1625" t="str">
        <f t="shared" si="75"/>
        <v>-</v>
      </c>
      <c r="B1625" t="str">
        <f t="shared" si="76"/>
        <v>0-</v>
      </c>
      <c r="H1625" t="str">
        <f>IFERROR(VLOOKUP(E1625,DC_Xref!A:B,2,FALSE),"")</f>
        <v/>
      </c>
      <c r="I1625">
        <f t="shared" si="77"/>
        <v>0</v>
      </c>
    </row>
    <row r="1626" spans="1:9" x14ac:dyDescent="0.3">
      <c r="A1626" t="str">
        <f t="shared" si="75"/>
        <v>-</v>
      </c>
      <c r="B1626" t="str">
        <f t="shared" si="76"/>
        <v>0-</v>
      </c>
      <c r="H1626" t="str">
        <f>IFERROR(VLOOKUP(E1626,DC_Xref!A:B,2,FALSE),"")</f>
        <v/>
      </c>
      <c r="I1626">
        <f t="shared" si="77"/>
        <v>0</v>
      </c>
    </row>
    <row r="1627" spans="1:9" x14ac:dyDescent="0.3">
      <c r="A1627" t="str">
        <f t="shared" si="75"/>
        <v>-</v>
      </c>
      <c r="B1627" t="str">
        <f t="shared" si="76"/>
        <v>0-</v>
      </c>
      <c r="H1627" t="str">
        <f>IFERROR(VLOOKUP(E1627,DC_Xref!A:B,2,FALSE),"")</f>
        <v/>
      </c>
      <c r="I1627">
        <f t="shared" si="77"/>
        <v>0</v>
      </c>
    </row>
    <row r="1628" spans="1:9" x14ac:dyDescent="0.3">
      <c r="A1628" t="str">
        <f t="shared" si="75"/>
        <v>-</v>
      </c>
      <c r="B1628" t="str">
        <f t="shared" si="76"/>
        <v>0-</v>
      </c>
      <c r="H1628" t="str">
        <f>IFERROR(VLOOKUP(E1628,DC_Xref!A:B,2,FALSE),"")</f>
        <v/>
      </c>
      <c r="I1628">
        <f t="shared" si="77"/>
        <v>0</v>
      </c>
    </row>
    <row r="1629" spans="1:9" x14ac:dyDescent="0.3">
      <c r="A1629" t="str">
        <f t="shared" si="75"/>
        <v>-</v>
      </c>
      <c r="B1629" t="str">
        <f t="shared" si="76"/>
        <v>0-</v>
      </c>
      <c r="H1629" t="str">
        <f>IFERROR(VLOOKUP(E1629,DC_Xref!A:B,2,FALSE),"")</f>
        <v/>
      </c>
      <c r="I1629">
        <f t="shared" si="77"/>
        <v>0</v>
      </c>
    </row>
    <row r="1630" spans="1:9" x14ac:dyDescent="0.3">
      <c r="A1630" t="str">
        <f t="shared" si="75"/>
        <v>-</v>
      </c>
      <c r="B1630" t="str">
        <f t="shared" si="76"/>
        <v>0-</v>
      </c>
      <c r="H1630" t="str">
        <f>IFERROR(VLOOKUP(E1630,DC_Xref!A:B,2,FALSE),"")</f>
        <v/>
      </c>
      <c r="I1630">
        <f t="shared" si="77"/>
        <v>0</v>
      </c>
    </row>
    <row r="1631" spans="1:9" x14ac:dyDescent="0.3">
      <c r="A1631" t="str">
        <f t="shared" si="75"/>
        <v>-</v>
      </c>
      <c r="B1631" t="str">
        <f t="shared" si="76"/>
        <v>0-</v>
      </c>
      <c r="H1631" t="str">
        <f>IFERROR(VLOOKUP(E1631,DC_Xref!A:B,2,FALSE),"")</f>
        <v/>
      </c>
      <c r="I1631">
        <f t="shared" si="77"/>
        <v>0</v>
      </c>
    </row>
    <row r="1632" spans="1:9" x14ac:dyDescent="0.3">
      <c r="A1632" t="str">
        <f t="shared" si="75"/>
        <v>-</v>
      </c>
      <c r="B1632" t="str">
        <f t="shared" si="76"/>
        <v>0-</v>
      </c>
      <c r="H1632" t="str">
        <f>IFERROR(VLOOKUP(E1632,DC_Xref!A:B,2,FALSE),"")</f>
        <v/>
      </c>
      <c r="I1632">
        <f t="shared" si="77"/>
        <v>0</v>
      </c>
    </row>
    <row r="1633" spans="1:9" x14ac:dyDescent="0.3">
      <c r="A1633" t="str">
        <f t="shared" si="75"/>
        <v>-</v>
      </c>
      <c r="B1633" t="str">
        <f t="shared" si="76"/>
        <v>0-</v>
      </c>
      <c r="H1633" t="str">
        <f>IFERROR(VLOOKUP(E1633,DC_Xref!A:B,2,FALSE),"")</f>
        <v/>
      </c>
      <c r="I1633">
        <f t="shared" si="77"/>
        <v>0</v>
      </c>
    </row>
    <row r="1634" spans="1:9" x14ac:dyDescent="0.3">
      <c r="A1634" t="str">
        <f t="shared" si="75"/>
        <v>-</v>
      </c>
      <c r="B1634" t="str">
        <f t="shared" si="76"/>
        <v>0-</v>
      </c>
      <c r="H1634" t="str">
        <f>IFERROR(VLOOKUP(E1634,DC_Xref!A:B,2,FALSE),"")</f>
        <v/>
      </c>
      <c r="I1634">
        <f t="shared" si="77"/>
        <v>0</v>
      </c>
    </row>
    <row r="1635" spans="1:9" x14ac:dyDescent="0.3">
      <c r="A1635" t="str">
        <f t="shared" si="75"/>
        <v>-</v>
      </c>
      <c r="B1635" t="str">
        <f t="shared" si="76"/>
        <v>0-</v>
      </c>
      <c r="H1635" t="str">
        <f>IFERROR(VLOOKUP(E1635,DC_Xref!A:B,2,FALSE),"")</f>
        <v/>
      </c>
      <c r="I1635">
        <f t="shared" si="77"/>
        <v>0</v>
      </c>
    </row>
    <row r="1636" spans="1:9" x14ac:dyDescent="0.3">
      <c r="A1636" t="str">
        <f t="shared" si="75"/>
        <v>-</v>
      </c>
      <c r="B1636" t="str">
        <f t="shared" si="76"/>
        <v>0-</v>
      </c>
      <c r="H1636" t="str">
        <f>IFERROR(VLOOKUP(E1636,DC_Xref!A:B,2,FALSE),"")</f>
        <v/>
      </c>
      <c r="I1636">
        <f t="shared" si="77"/>
        <v>0</v>
      </c>
    </row>
    <row r="1637" spans="1:9" x14ac:dyDescent="0.3">
      <c r="A1637" t="str">
        <f t="shared" si="75"/>
        <v>-</v>
      </c>
      <c r="B1637" t="str">
        <f t="shared" si="76"/>
        <v>0-</v>
      </c>
      <c r="H1637" t="str">
        <f>IFERROR(VLOOKUP(E1637,DC_Xref!A:B,2,FALSE),"")</f>
        <v/>
      </c>
      <c r="I1637">
        <f t="shared" si="77"/>
        <v>0</v>
      </c>
    </row>
    <row r="1638" spans="1:9" x14ac:dyDescent="0.3">
      <c r="A1638" t="str">
        <f t="shared" si="75"/>
        <v>-</v>
      </c>
      <c r="B1638" t="str">
        <f t="shared" si="76"/>
        <v>0-</v>
      </c>
      <c r="H1638" t="str">
        <f>IFERROR(VLOOKUP(E1638,DC_Xref!A:B,2,FALSE),"")</f>
        <v/>
      </c>
      <c r="I1638">
        <f t="shared" si="77"/>
        <v>0</v>
      </c>
    </row>
    <row r="1639" spans="1:9" x14ac:dyDescent="0.3">
      <c r="A1639" t="str">
        <f t="shared" si="75"/>
        <v>-</v>
      </c>
      <c r="B1639" t="str">
        <f t="shared" si="76"/>
        <v>0-</v>
      </c>
      <c r="H1639" t="str">
        <f>IFERROR(VLOOKUP(E1639,DC_Xref!A:B,2,FALSE),"")</f>
        <v/>
      </c>
      <c r="I1639">
        <f t="shared" si="77"/>
        <v>0</v>
      </c>
    </row>
    <row r="1640" spans="1:9" x14ac:dyDescent="0.3">
      <c r="A1640" t="str">
        <f t="shared" si="75"/>
        <v>-</v>
      </c>
      <c r="B1640" t="str">
        <f t="shared" si="76"/>
        <v>0-</v>
      </c>
      <c r="H1640" t="str">
        <f>IFERROR(VLOOKUP(E1640,DC_Xref!A:B,2,FALSE),"")</f>
        <v/>
      </c>
      <c r="I1640">
        <f t="shared" si="77"/>
        <v>0</v>
      </c>
    </row>
    <row r="1641" spans="1:9" x14ac:dyDescent="0.3">
      <c r="A1641" t="str">
        <f t="shared" si="75"/>
        <v>-</v>
      </c>
      <c r="B1641" t="str">
        <f t="shared" si="76"/>
        <v>0-</v>
      </c>
      <c r="H1641" t="str">
        <f>IFERROR(VLOOKUP(E1641,DC_Xref!A:B,2,FALSE),"")</f>
        <v/>
      </c>
      <c r="I1641">
        <f t="shared" si="77"/>
        <v>0</v>
      </c>
    </row>
    <row r="1642" spans="1:9" x14ac:dyDescent="0.3">
      <c r="A1642" t="str">
        <f t="shared" si="75"/>
        <v>-</v>
      </c>
      <c r="B1642" t="str">
        <f t="shared" si="76"/>
        <v>0-</v>
      </c>
      <c r="H1642" t="str">
        <f>IFERROR(VLOOKUP(E1642,DC_Xref!A:B,2,FALSE),"")</f>
        <v/>
      </c>
      <c r="I1642">
        <f t="shared" si="77"/>
        <v>0</v>
      </c>
    </row>
    <row r="1643" spans="1:9" x14ac:dyDescent="0.3">
      <c r="A1643" t="str">
        <f t="shared" si="75"/>
        <v>-</v>
      </c>
      <c r="B1643" t="str">
        <f t="shared" si="76"/>
        <v>0-</v>
      </c>
      <c r="H1643" t="str">
        <f>IFERROR(VLOOKUP(E1643,DC_Xref!A:B,2,FALSE),"")</f>
        <v/>
      </c>
      <c r="I1643">
        <f t="shared" si="77"/>
        <v>0</v>
      </c>
    </row>
    <row r="1644" spans="1:9" x14ac:dyDescent="0.3">
      <c r="A1644" t="str">
        <f t="shared" si="75"/>
        <v>-</v>
      </c>
      <c r="B1644" t="str">
        <f t="shared" si="76"/>
        <v>0-</v>
      </c>
      <c r="H1644" t="str">
        <f>IFERROR(VLOOKUP(E1644,DC_Xref!A:B,2,FALSE),"")</f>
        <v/>
      </c>
      <c r="I1644">
        <f t="shared" si="77"/>
        <v>0</v>
      </c>
    </row>
    <row r="1645" spans="1:9" x14ac:dyDescent="0.3">
      <c r="A1645" t="str">
        <f t="shared" si="75"/>
        <v>-</v>
      </c>
      <c r="B1645" t="str">
        <f t="shared" si="76"/>
        <v>0-</v>
      </c>
      <c r="H1645" t="str">
        <f>IFERROR(VLOOKUP(E1645,DC_Xref!A:B,2,FALSE),"")</f>
        <v/>
      </c>
      <c r="I1645">
        <f t="shared" si="77"/>
        <v>0</v>
      </c>
    </row>
    <row r="1646" spans="1:9" x14ac:dyDescent="0.3">
      <c r="A1646" t="str">
        <f t="shared" si="75"/>
        <v>-</v>
      </c>
      <c r="B1646" t="str">
        <f t="shared" si="76"/>
        <v>0-</v>
      </c>
      <c r="H1646" t="str">
        <f>IFERROR(VLOOKUP(E1646,DC_Xref!A:B,2,FALSE),"")</f>
        <v/>
      </c>
      <c r="I1646">
        <f t="shared" si="77"/>
        <v>0</v>
      </c>
    </row>
    <row r="1647" spans="1:9" x14ac:dyDescent="0.3">
      <c r="A1647" t="str">
        <f t="shared" si="75"/>
        <v>-</v>
      </c>
      <c r="B1647" t="str">
        <f t="shared" si="76"/>
        <v>0-</v>
      </c>
      <c r="H1647" t="str">
        <f>IFERROR(VLOOKUP(E1647,DC_Xref!A:B,2,FALSE),"")</f>
        <v/>
      </c>
      <c r="I1647">
        <f t="shared" si="77"/>
        <v>0</v>
      </c>
    </row>
    <row r="1648" spans="1:9" x14ac:dyDescent="0.3">
      <c r="A1648" t="str">
        <f t="shared" si="75"/>
        <v>-</v>
      </c>
      <c r="B1648" t="str">
        <f t="shared" si="76"/>
        <v>0-</v>
      </c>
      <c r="H1648" t="str">
        <f>IFERROR(VLOOKUP(E1648,DC_Xref!A:B,2,FALSE),"")</f>
        <v/>
      </c>
      <c r="I1648">
        <f t="shared" si="77"/>
        <v>0</v>
      </c>
    </row>
    <row r="1649" spans="1:9" x14ac:dyDescent="0.3">
      <c r="A1649" t="str">
        <f t="shared" si="75"/>
        <v>-</v>
      </c>
      <c r="B1649" t="str">
        <f t="shared" si="76"/>
        <v>0-</v>
      </c>
      <c r="H1649" t="str">
        <f>IFERROR(VLOOKUP(E1649,DC_Xref!A:B,2,FALSE),"")</f>
        <v/>
      </c>
      <c r="I1649">
        <f t="shared" si="77"/>
        <v>0</v>
      </c>
    </row>
    <row r="1650" spans="1:9" x14ac:dyDescent="0.3">
      <c r="A1650" t="str">
        <f t="shared" si="75"/>
        <v>-</v>
      </c>
      <c r="B1650" t="str">
        <f t="shared" si="76"/>
        <v>0-</v>
      </c>
      <c r="H1650" t="str">
        <f>IFERROR(VLOOKUP(E1650,DC_Xref!A:B,2,FALSE),"")</f>
        <v/>
      </c>
      <c r="I1650">
        <f t="shared" si="77"/>
        <v>0</v>
      </c>
    </row>
    <row r="1651" spans="1:9" x14ac:dyDescent="0.3">
      <c r="A1651" t="str">
        <f t="shared" si="75"/>
        <v>-</v>
      </c>
      <c r="B1651" t="str">
        <f t="shared" si="76"/>
        <v>0-</v>
      </c>
      <c r="H1651" t="str">
        <f>IFERROR(VLOOKUP(E1651,DC_Xref!A:B,2,FALSE),"")</f>
        <v/>
      </c>
      <c r="I1651">
        <f t="shared" si="77"/>
        <v>0</v>
      </c>
    </row>
    <row r="1652" spans="1:9" x14ac:dyDescent="0.3">
      <c r="A1652" t="str">
        <f t="shared" si="75"/>
        <v>-</v>
      </c>
      <c r="B1652" t="str">
        <f t="shared" si="76"/>
        <v>0-</v>
      </c>
      <c r="H1652" t="str">
        <f>IFERROR(VLOOKUP(E1652,DC_Xref!A:B,2,FALSE),"")</f>
        <v/>
      </c>
      <c r="I1652">
        <f t="shared" si="77"/>
        <v>0</v>
      </c>
    </row>
    <row r="1653" spans="1:9" x14ac:dyDescent="0.3">
      <c r="A1653" t="str">
        <f t="shared" si="75"/>
        <v>-</v>
      </c>
      <c r="B1653" t="str">
        <f t="shared" si="76"/>
        <v>0-</v>
      </c>
      <c r="H1653" t="str">
        <f>IFERROR(VLOOKUP(E1653,DC_Xref!A:B,2,FALSE),"")</f>
        <v/>
      </c>
      <c r="I1653">
        <f t="shared" si="77"/>
        <v>0</v>
      </c>
    </row>
    <row r="1654" spans="1:9" x14ac:dyDescent="0.3">
      <c r="A1654" t="str">
        <f t="shared" si="75"/>
        <v>-</v>
      </c>
      <c r="B1654" t="str">
        <f t="shared" si="76"/>
        <v>0-</v>
      </c>
      <c r="H1654" t="str">
        <f>IFERROR(VLOOKUP(E1654,DC_Xref!A:B,2,FALSE),"")</f>
        <v/>
      </c>
      <c r="I1654">
        <f t="shared" si="77"/>
        <v>0</v>
      </c>
    </row>
    <row r="1655" spans="1:9" x14ac:dyDescent="0.3">
      <c r="A1655" t="str">
        <f t="shared" si="75"/>
        <v>-</v>
      </c>
      <c r="B1655" t="str">
        <f t="shared" si="76"/>
        <v>0-</v>
      </c>
      <c r="H1655" t="str">
        <f>IFERROR(VLOOKUP(E1655,DC_Xref!A:B,2,FALSE),"")</f>
        <v/>
      </c>
      <c r="I1655">
        <f t="shared" si="77"/>
        <v>0</v>
      </c>
    </row>
    <row r="1656" spans="1:9" x14ac:dyDescent="0.3">
      <c r="A1656" t="str">
        <f t="shared" si="75"/>
        <v>-</v>
      </c>
      <c r="B1656" t="str">
        <f t="shared" si="76"/>
        <v>0-</v>
      </c>
      <c r="H1656" t="str">
        <f>IFERROR(VLOOKUP(E1656,DC_Xref!A:B,2,FALSE),"")</f>
        <v/>
      </c>
      <c r="I1656">
        <f t="shared" si="77"/>
        <v>0</v>
      </c>
    </row>
    <row r="1657" spans="1:9" x14ac:dyDescent="0.3">
      <c r="A1657" t="str">
        <f t="shared" si="75"/>
        <v>-</v>
      </c>
      <c r="B1657" t="str">
        <f t="shared" si="76"/>
        <v>0-</v>
      </c>
      <c r="H1657" t="str">
        <f>IFERROR(VLOOKUP(E1657,DC_Xref!A:B,2,FALSE),"")</f>
        <v/>
      </c>
      <c r="I1657">
        <f t="shared" si="77"/>
        <v>0</v>
      </c>
    </row>
    <row r="1658" spans="1:9" x14ac:dyDescent="0.3">
      <c r="A1658" t="str">
        <f t="shared" si="75"/>
        <v>-</v>
      </c>
      <c r="B1658" t="str">
        <f t="shared" si="76"/>
        <v>0-</v>
      </c>
      <c r="H1658" t="str">
        <f>IFERROR(VLOOKUP(E1658,DC_Xref!A:B,2,FALSE),"")</f>
        <v/>
      </c>
      <c r="I1658">
        <f t="shared" si="77"/>
        <v>0</v>
      </c>
    </row>
    <row r="1659" spans="1:9" x14ac:dyDescent="0.3">
      <c r="A1659" t="str">
        <f t="shared" si="75"/>
        <v>-</v>
      </c>
      <c r="B1659" t="str">
        <f t="shared" si="76"/>
        <v>0-</v>
      </c>
      <c r="H1659" t="str">
        <f>IFERROR(VLOOKUP(E1659,DC_Xref!A:B,2,FALSE),"")</f>
        <v/>
      </c>
      <c r="I1659">
        <f t="shared" si="77"/>
        <v>0</v>
      </c>
    </row>
    <row r="1660" spans="1:9" x14ac:dyDescent="0.3">
      <c r="A1660" t="str">
        <f t="shared" si="75"/>
        <v>-</v>
      </c>
      <c r="B1660" t="str">
        <f t="shared" si="76"/>
        <v>0-</v>
      </c>
      <c r="H1660" t="str">
        <f>IFERROR(VLOOKUP(E1660,DC_Xref!A:B,2,FALSE),"")</f>
        <v/>
      </c>
      <c r="I1660">
        <f t="shared" si="77"/>
        <v>0</v>
      </c>
    </row>
    <row r="1661" spans="1:9" x14ac:dyDescent="0.3">
      <c r="A1661" t="str">
        <f t="shared" si="75"/>
        <v>-</v>
      </c>
      <c r="B1661" t="str">
        <f t="shared" si="76"/>
        <v>0-</v>
      </c>
      <c r="H1661" t="str">
        <f>IFERROR(VLOOKUP(E1661,DC_Xref!A:B,2,FALSE),"")</f>
        <v/>
      </c>
      <c r="I1661">
        <f t="shared" si="77"/>
        <v>0</v>
      </c>
    </row>
    <row r="1662" spans="1:9" x14ac:dyDescent="0.3">
      <c r="A1662" t="str">
        <f t="shared" si="75"/>
        <v>-</v>
      </c>
      <c r="B1662" t="str">
        <f t="shared" si="76"/>
        <v>0-</v>
      </c>
      <c r="H1662" t="str">
        <f>IFERROR(VLOOKUP(E1662,DC_Xref!A:B,2,FALSE),"")</f>
        <v/>
      </c>
      <c r="I1662">
        <f t="shared" si="77"/>
        <v>0</v>
      </c>
    </row>
    <row r="1663" spans="1:9" x14ac:dyDescent="0.3">
      <c r="A1663" t="str">
        <f t="shared" si="75"/>
        <v>-</v>
      </c>
      <c r="B1663" t="str">
        <f t="shared" si="76"/>
        <v>0-</v>
      </c>
      <c r="H1663" t="str">
        <f>IFERROR(VLOOKUP(E1663,DC_Xref!A:B,2,FALSE),"")</f>
        <v/>
      </c>
      <c r="I1663">
        <f t="shared" si="77"/>
        <v>0</v>
      </c>
    </row>
    <row r="1664" spans="1:9" x14ac:dyDescent="0.3">
      <c r="A1664" t="str">
        <f t="shared" si="75"/>
        <v>-</v>
      </c>
      <c r="B1664" t="str">
        <f t="shared" si="76"/>
        <v>0-</v>
      </c>
      <c r="H1664" t="str">
        <f>IFERROR(VLOOKUP(E1664,DC_Xref!A:B,2,FALSE),"")</f>
        <v/>
      </c>
      <c r="I1664">
        <f t="shared" si="77"/>
        <v>0</v>
      </c>
    </row>
    <row r="1665" spans="1:9" x14ac:dyDescent="0.3">
      <c r="A1665" t="str">
        <f t="shared" si="75"/>
        <v>-</v>
      </c>
      <c r="B1665" t="str">
        <f t="shared" si="76"/>
        <v>0-</v>
      </c>
      <c r="H1665" t="str">
        <f>IFERROR(VLOOKUP(E1665,DC_Xref!A:B,2,FALSE),"")</f>
        <v/>
      </c>
      <c r="I1665">
        <f t="shared" si="77"/>
        <v>0</v>
      </c>
    </row>
    <row r="1666" spans="1:9" x14ac:dyDescent="0.3">
      <c r="A1666" t="str">
        <f t="shared" ref="A1666:A1729" si="78">C1666&amp;"-"&amp;F1666</f>
        <v>-</v>
      </c>
      <c r="B1666" t="str">
        <f t="shared" ref="B1666:B1729" si="79">I1666&amp;"-"&amp;H1666</f>
        <v>0-</v>
      </c>
      <c r="H1666" t="str">
        <f>IFERROR(VLOOKUP(E1666,DC_Xref!A:B,2,FALSE),"")</f>
        <v/>
      </c>
      <c r="I1666">
        <f t="shared" ref="I1666:I1729" si="80">C1666*100+D1666</f>
        <v>0</v>
      </c>
    </row>
    <row r="1667" spans="1:9" x14ac:dyDescent="0.3">
      <c r="A1667" t="str">
        <f t="shared" si="78"/>
        <v>-</v>
      </c>
      <c r="B1667" t="str">
        <f t="shared" si="79"/>
        <v>0-</v>
      </c>
      <c r="H1667" t="str">
        <f>IFERROR(VLOOKUP(E1667,DC_Xref!A:B,2,FALSE),"")</f>
        <v/>
      </c>
      <c r="I1667">
        <f t="shared" si="80"/>
        <v>0</v>
      </c>
    </row>
    <row r="1668" spans="1:9" x14ac:dyDescent="0.3">
      <c r="A1668" t="str">
        <f t="shared" si="78"/>
        <v>-</v>
      </c>
      <c r="B1668" t="str">
        <f t="shared" si="79"/>
        <v>0-</v>
      </c>
      <c r="H1668" t="str">
        <f>IFERROR(VLOOKUP(E1668,DC_Xref!A:B,2,FALSE),"")</f>
        <v/>
      </c>
      <c r="I1668">
        <f t="shared" si="80"/>
        <v>0</v>
      </c>
    </row>
    <row r="1669" spans="1:9" x14ac:dyDescent="0.3">
      <c r="A1669" t="str">
        <f t="shared" si="78"/>
        <v>-</v>
      </c>
      <c r="B1669" t="str">
        <f t="shared" si="79"/>
        <v>0-</v>
      </c>
      <c r="H1669" t="str">
        <f>IFERROR(VLOOKUP(E1669,DC_Xref!A:B,2,FALSE),"")</f>
        <v/>
      </c>
      <c r="I1669">
        <f t="shared" si="80"/>
        <v>0</v>
      </c>
    </row>
    <row r="1670" spans="1:9" x14ac:dyDescent="0.3">
      <c r="A1670" t="str">
        <f t="shared" si="78"/>
        <v>-</v>
      </c>
      <c r="B1670" t="str">
        <f t="shared" si="79"/>
        <v>0-</v>
      </c>
      <c r="H1670" t="str">
        <f>IFERROR(VLOOKUP(E1670,DC_Xref!A:B,2,FALSE),"")</f>
        <v/>
      </c>
      <c r="I1670">
        <f t="shared" si="80"/>
        <v>0</v>
      </c>
    </row>
    <row r="1671" spans="1:9" x14ac:dyDescent="0.3">
      <c r="A1671" t="str">
        <f t="shared" si="78"/>
        <v>-</v>
      </c>
      <c r="B1671" t="str">
        <f t="shared" si="79"/>
        <v>0-</v>
      </c>
      <c r="H1671" t="str">
        <f>IFERROR(VLOOKUP(E1671,DC_Xref!A:B,2,FALSE),"")</f>
        <v/>
      </c>
      <c r="I1671">
        <f t="shared" si="80"/>
        <v>0</v>
      </c>
    </row>
    <row r="1672" spans="1:9" x14ac:dyDescent="0.3">
      <c r="A1672" t="str">
        <f t="shared" si="78"/>
        <v>-</v>
      </c>
      <c r="B1672" t="str">
        <f t="shared" si="79"/>
        <v>0-</v>
      </c>
      <c r="H1672" t="str">
        <f>IFERROR(VLOOKUP(E1672,DC_Xref!A:B,2,FALSE),"")</f>
        <v/>
      </c>
      <c r="I1672">
        <f t="shared" si="80"/>
        <v>0</v>
      </c>
    </row>
    <row r="1673" spans="1:9" x14ac:dyDescent="0.3">
      <c r="A1673" t="str">
        <f t="shared" si="78"/>
        <v>-</v>
      </c>
      <c r="B1673" t="str">
        <f t="shared" si="79"/>
        <v>0-</v>
      </c>
      <c r="H1673" t="str">
        <f>IFERROR(VLOOKUP(E1673,DC_Xref!A:B,2,FALSE),"")</f>
        <v/>
      </c>
      <c r="I1673">
        <f t="shared" si="80"/>
        <v>0</v>
      </c>
    </row>
    <row r="1674" spans="1:9" x14ac:dyDescent="0.3">
      <c r="A1674" t="str">
        <f t="shared" si="78"/>
        <v>-</v>
      </c>
      <c r="B1674" t="str">
        <f t="shared" si="79"/>
        <v>0-</v>
      </c>
      <c r="H1674" t="str">
        <f>IFERROR(VLOOKUP(E1674,DC_Xref!A:B,2,FALSE),"")</f>
        <v/>
      </c>
      <c r="I1674">
        <f t="shared" si="80"/>
        <v>0</v>
      </c>
    </row>
    <row r="1675" spans="1:9" x14ac:dyDescent="0.3">
      <c r="A1675" t="str">
        <f t="shared" si="78"/>
        <v>-</v>
      </c>
      <c r="B1675" t="str">
        <f t="shared" si="79"/>
        <v>0-</v>
      </c>
      <c r="H1675" t="str">
        <f>IFERROR(VLOOKUP(E1675,DC_Xref!A:B,2,FALSE),"")</f>
        <v/>
      </c>
      <c r="I1675">
        <f t="shared" si="80"/>
        <v>0</v>
      </c>
    </row>
    <row r="1676" spans="1:9" x14ac:dyDescent="0.3">
      <c r="A1676" t="str">
        <f t="shared" si="78"/>
        <v>-</v>
      </c>
      <c r="B1676" t="str">
        <f t="shared" si="79"/>
        <v>0-</v>
      </c>
      <c r="H1676" t="str">
        <f>IFERROR(VLOOKUP(E1676,DC_Xref!A:B,2,FALSE),"")</f>
        <v/>
      </c>
      <c r="I1676">
        <f t="shared" si="80"/>
        <v>0</v>
      </c>
    </row>
    <row r="1677" spans="1:9" x14ac:dyDescent="0.3">
      <c r="A1677" t="str">
        <f t="shared" si="78"/>
        <v>-</v>
      </c>
      <c r="B1677" t="str">
        <f t="shared" si="79"/>
        <v>0-</v>
      </c>
      <c r="H1677" t="str">
        <f>IFERROR(VLOOKUP(E1677,DC_Xref!A:B,2,FALSE),"")</f>
        <v/>
      </c>
      <c r="I1677">
        <f t="shared" si="80"/>
        <v>0</v>
      </c>
    </row>
    <row r="1678" spans="1:9" x14ac:dyDescent="0.3">
      <c r="A1678" t="str">
        <f t="shared" si="78"/>
        <v>-</v>
      </c>
      <c r="B1678" t="str">
        <f t="shared" si="79"/>
        <v>0-</v>
      </c>
      <c r="H1678" t="str">
        <f>IFERROR(VLOOKUP(E1678,DC_Xref!A:B,2,FALSE),"")</f>
        <v/>
      </c>
      <c r="I1678">
        <f t="shared" si="80"/>
        <v>0</v>
      </c>
    </row>
    <row r="1679" spans="1:9" x14ac:dyDescent="0.3">
      <c r="A1679" t="str">
        <f t="shared" si="78"/>
        <v>-</v>
      </c>
      <c r="B1679" t="str">
        <f t="shared" si="79"/>
        <v>0-</v>
      </c>
      <c r="H1679" t="str">
        <f>IFERROR(VLOOKUP(E1679,DC_Xref!A:B,2,FALSE),"")</f>
        <v/>
      </c>
      <c r="I1679">
        <f t="shared" si="80"/>
        <v>0</v>
      </c>
    </row>
    <row r="1680" spans="1:9" x14ac:dyDescent="0.3">
      <c r="A1680" t="str">
        <f t="shared" si="78"/>
        <v>-</v>
      </c>
      <c r="B1680" t="str">
        <f t="shared" si="79"/>
        <v>0-</v>
      </c>
      <c r="H1680" t="str">
        <f>IFERROR(VLOOKUP(E1680,DC_Xref!A:B,2,FALSE),"")</f>
        <v/>
      </c>
      <c r="I1680">
        <f t="shared" si="80"/>
        <v>0</v>
      </c>
    </row>
    <row r="1681" spans="1:9" x14ac:dyDescent="0.3">
      <c r="A1681" t="str">
        <f t="shared" si="78"/>
        <v>-</v>
      </c>
      <c r="B1681" t="str">
        <f t="shared" si="79"/>
        <v>0-</v>
      </c>
      <c r="H1681" t="str">
        <f>IFERROR(VLOOKUP(E1681,DC_Xref!A:B,2,FALSE),"")</f>
        <v/>
      </c>
      <c r="I1681">
        <f t="shared" si="80"/>
        <v>0</v>
      </c>
    </row>
    <row r="1682" spans="1:9" x14ac:dyDescent="0.3">
      <c r="A1682" t="str">
        <f t="shared" si="78"/>
        <v>-</v>
      </c>
      <c r="B1682" t="str">
        <f t="shared" si="79"/>
        <v>0-</v>
      </c>
      <c r="H1682" t="str">
        <f>IFERROR(VLOOKUP(E1682,DC_Xref!A:B,2,FALSE),"")</f>
        <v/>
      </c>
      <c r="I1682">
        <f t="shared" si="80"/>
        <v>0</v>
      </c>
    </row>
    <row r="1683" spans="1:9" x14ac:dyDescent="0.3">
      <c r="A1683" t="str">
        <f t="shared" si="78"/>
        <v>-</v>
      </c>
      <c r="B1683" t="str">
        <f t="shared" si="79"/>
        <v>0-</v>
      </c>
      <c r="H1683" t="str">
        <f>IFERROR(VLOOKUP(E1683,DC_Xref!A:B,2,FALSE),"")</f>
        <v/>
      </c>
      <c r="I1683">
        <f t="shared" si="80"/>
        <v>0</v>
      </c>
    </row>
    <row r="1684" spans="1:9" x14ac:dyDescent="0.3">
      <c r="A1684" t="str">
        <f t="shared" si="78"/>
        <v>-</v>
      </c>
      <c r="B1684" t="str">
        <f t="shared" si="79"/>
        <v>0-</v>
      </c>
      <c r="H1684" t="str">
        <f>IFERROR(VLOOKUP(E1684,DC_Xref!A:B,2,FALSE),"")</f>
        <v/>
      </c>
      <c r="I1684">
        <f t="shared" si="80"/>
        <v>0</v>
      </c>
    </row>
    <row r="1685" spans="1:9" x14ac:dyDescent="0.3">
      <c r="A1685" t="str">
        <f t="shared" si="78"/>
        <v>-</v>
      </c>
      <c r="B1685" t="str">
        <f t="shared" si="79"/>
        <v>0-</v>
      </c>
      <c r="H1685" t="str">
        <f>IFERROR(VLOOKUP(E1685,DC_Xref!A:B,2,FALSE),"")</f>
        <v/>
      </c>
      <c r="I1685">
        <f t="shared" si="80"/>
        <v>0</v>
      </c>
    </row>
    <row r="1686" spans="1:9" x14ac:dyDescent="0.3">
      <c r="A1686" t="str">
        <f t="shared" si="78"/>
        <v>-</v>
      </c>
      <c r="B1686" t="str">
        <f t="shared" si="79"/>
        <v>0-</v>
      </c>
      <c r="H1686" t="str">
        <f>IFERROR(VLOOKUP(E1686,DC_Xref!A:B,2,FALSE),"")</f>
        <v/>
      </c>
      <c r="I1686">
        <f t="shared" si="80"/>
        <v>0</v>
      </c>
    </row>
    <row r="1687" spans="1:9" x14ac:dyDescent="0.3">
      <c r="A1687" t="str">
        <f t="shared" si="78"/>
        <v>-</v>
      </c>
      <c r="B1687" t="str">
        <f t="shared" si="79"/>
        <v>0-</v>
      </c>
      <c r="H1687" t="str">
        <f>IFERROR(VLOOKUP(E1687,DC_Xref!A:B,2,FALSE),"")</f>
        <v/>
      </c>
      <c r="I1687">
        <f t="shared" si="80"/>
        <v>0</v>
      </c>
    </row>
    <row r="1688" spans="1:9" x14ac:dyDescent="0.3">
      <c r="A1688" t="str">
        <f t="shared" si="78"/>
        <v>-</v>
      </c>
      <c r="B1688" t="str">
        <f t="shared" si="79"/>
        <v>0-</v>
      </c>
      <c r="H1688" t="str">
        <f>IFERROR(VLOOKUP(E1688,DC_Xref!A:B,2,FALSE),"")</f>
        <v/>
      </c>
      <c r="I1688">
        <f t="shared" si="80"/>
        <v>0</v>
      </c>
    </row>
    <row r="1689" spans="1:9" x14ac:dyDescent="0.3">
      <c r="A1689" t="str">
        <f t="shared" si="78"/>
        <v>-</v>
      </c>
      <c r="B1689" t="str">
        <f t="shared" si="79"/>
        <v>0-</v>
      </c>
      <c r="H1689" t="str">
        <f>IFERROR(VLOOKUP(E1689,DC_Xref!A:B,2,FALSE),"")</f>
        <v/>
      </c>
      <c r="I1689">
        <f t="shared" si="80"/>
        <v>0</v>
      </c>
    </row>
    <row r="1690" spans="1:9" x14ac:dyDescent="0.3">
      <c r="A1690" t="str">
        <f t="shared" si="78"/>
        <v>-</v>
      </c>
      <c r="B1690" t="str">
        <f t="shared" si="79"/>
        <v>0-</v>
      </c>
      <c r="H1690" t="str">
        <f>IFERROR(VLOOKUP(E1690,DC_Xref!A:B,2,FALSE),"")</f>
        <v/>
      </c>
      <c r="I1690">
        <f t="shared" si="80"/>
        <v>0</v>
      </c>
    </row>
    <row r="1691" spans="1:9" x14ac:dyDescent="0.3">
      <c r="A1691" t="str">
        <f t="shared" si="78"/>
        <v>-</v>
      </c>
      <c r="B1691" t="str">
        <f t="shared" si="79"/>
        <v>0-</v>
      </c>
      <c r="H1691" t="str">
        <f>IFERROR(VLOOKUP(E1691,DC_Xref!A:B,2,FALSE),"")</f>
        <v/>
      </c>
      <c r="I1691">
        <f t="shared" si="80"/>
        <v>0</v>
      </c>
    </row>
    <row r="1692" spans="1:9" x14ac:dyDescent="0.3">
      <c r="A1692" t="str">
        <f t="shared" si="78"/>
        <v>-</v>
      </c>
      <c r="B1692" t="str">
        <f t="shared" si="79"/>
        <v>0-</v>
      </c>
      <c r="H1692" t="str">
        <f>IFERROR(VLOOKUP(E1692,DC_Xref!A:B,2,FALSE),"")</f>
        <v/>
      </c>
      <c r="I1692">
        <f t="shared" si="80"/>
        <v>0</v>
      </c>
    </row>
    <row r="1693" spans="1:9" x14ac:dyDescent="0.3">
      <c r="A1693" t="str">
        <f t="shared" si="78"/>
        <v>-</v>
      </c>
      <c r="B1693" t="str">
        <f t="shared" si="79"/>
        <v>0-</v>
      </c>
      <c r="H1693" t="str">
        <f>IFERROR(VLOOKUP(E1693,DC_Xref!A:B,2,FALSE),"")</f>
        <v/>
      </c>
      <c r="I1693">
        <f t="shared" si="80"/>
        <v>0</v>
      </c>
    </row>
    <row r="1694" spans="1:9" x14ac:dyDescent="0.3">
      <c r="A1694" t="str">
        <f t="shared" si="78"/>
        <v>-</v>
      </c>
      <c r="B1694" t="str">
        <f t="shared" si="79"/>
        <v>0-</v>
      </c>
      <c r="H1694" t="str">
        <f>IFERROR(VLOOKUP(E1694,DC_Xref!A:B,2,FALSE),"")</f>
        <v/>
      </c>
      <c r="I1694">
        <f t="shared" si="80"/>
        <v>0</v>
      </c>
    </row>
    <row r="1695" spans="1:9" x14ac:dyDescent="0.3">
      <c r="A1695" t="str">
        <f t="shared" si="78"/>
        <v>-</v>
      </c>
      <c r="B1695" t="str">
        <f t="shared" si="79"/>
        <v>0-</v>
      </c>
      <c r="H1695" t="str">
        <f>IFERROR(VLOOKUP(E1695,DC_Xref!A:B,2,FALSE),"")</f>
        <v/>
      </c>
      <c r="I1695">
        <f t="shared" si="80"/>
        <v>0</v>
      </c>
    </row>
    <row r="1696" spans="1:9" x14ac:dyDescent="0.3">
      <c r="A1696" t="str">
        <f t="shared" si="78"/>
        <v>-</v>
      </c>
      <c r="B1696" t="str">
        <f t="shared" si="79"/>
        <v>0-</v>
      </c>
      <c r="H1696" t="str">
        <f>IFERROR(VLOOKUP(E1696,DC_Xref!A:B,2,FALSE),"")</f>
        <v/>
      </c>
      <c r="I1696">
        <f t="shared" si="80"/>
        <v>0</v>
      </c>
    </row>
    <row r="1697" spans="1:9" x14ac:dyDescent="0.3">
      <c r="A1697" t="str">
        <f t="shared" si="78"/>
        <v>-</v>
      </c>
      <c r="B1697" t="str">
        <f t="shared" si="79"/>
        <v>0-</v>
      </c>
      <c r="H1697" t="str">
        <f>IFERROR(VLOOKUP(E1697,DC_Xref!A:B,2,FALSE),"")</f>
        <v/>
      </c>
      <c r="I1697">
        <f t="shared" si="80"/>
        <v>0</v>
      </c>
    </row>
    <row r="1698" spans="1:9" x14ac:dyDescent="0.3">
      <c r="A1698" t="str">
        <f t="shared" si="78"/>
        <v>-</v>
      </c>
      <c r="B1698" t="str">
        <f t="shared" si="79"/>
        <v>0-</v>
      </c>
      <c r="H1698" t="str">
        <f>IFERROR(VLOOKUP(E1698,DC_Xref!A:B,2,FALSE),"")</f>
        <v/>
      </c>
      <c r="I1698">
        <f t="shared" si="80"/>
        <v>0</v>
      </c>
    </row>
    <row r="1699" spans="1:9" x14ac:dyDescent="0.3">
      <c r="A1699" t="str">
        <f t="shared" si="78"/>
        <v>-</v>
      </c>
      <c r="B1699" t="str">
        <f t="shared" si="79"/>
        <v>0-</v>
      </c>
      <c r="H1699" t="str">
        <f>IFERROR(VLOOKUP(E1699,DC_Xref!A:B,2,FALSE),"")</f>
        <v/>
      </c>
      <c r="I1699">
        <f t="shared" si="80"/>
        <v>0</v>
      </c>
    </row>
    <row r="1700" spans="1:9" x14ac:dyDescent="0.3">
      <c r="A1700" t="str">
        <f t="shared" si="78"/>
        <v>-</v>
      </c>
      <c r="B1700" t="str">
        <f t="shared" si="79"/>
        <v>0-</v>
      </c>
      <c r="H1700" t="str">
        <f>IFERROR(VLOOKUP(E1700,DC_Xref!A:B,2,FALSE),"")</f>
        <v/>
      </c>
      <c r="I1700">
        <f t="shared" si="80"/>
        <v>0</v>
      </c>
    </row>
    <row r="1701" spans="1:9" x14ac:dyDescent="0.3">
      <c r="A1701" t="str">
        <f t="shared" si="78"/>
        <v>-</v>
      </c>
      <c r="B1701" t="str">
        <f t="shared" si="79"/>
        <v>0-</v>
      </c>
      <c r="H1701" t="str">
        <f>IFERROR(VLOOKUP(E1701,DC_Xref!A:B,2,FALSE),"")</f>
        <v/>
      </c>
      <c r="I1701">
        <f t="shared" si="80"/>
        <v>0</v>
      </c>
    </row>
    <row r="1702" spans="1:9" x14ac:dyDescent="0.3">
      <c r="A1702" t="str">
        <f t="shared" si="78"/>
        <v>-</v>
      </c>
      <c r="B1702" t="str">
        <f t="shared" si="79"/>
        <v>0-</v>
      </c>
      <c r="H1702" t="str">
        <f>IFERROR(VLOOKUP(E1702,DC_Xref!A:B,2,FALSE),"")</f>
        <v/>
      </c>
      <c r="I1702">
        <f t="shared" si="80"/>
        <v>0</v>
      </c>
    </row>
    <row r="1703" spans="1:9" x14ac:dyDescent="0.3">
      <c r="A1703" t="str">
        <f t="shared" si="78"/>
        <v>-</v>
      </c>
      <c r="B1703" t="str">
        <f t="shared" si="79"/>
        <v>0-</v>
      </c>
      <c r="H1703" t="str">
        <f>IFERROR(VLOOKUP(E1703,DC_Xref!A:B,2,FALSE),"")</f>
        <v/>
      </c>
      <c r="I1703">
        <f t="shared" si="80"/>
        <v>0</v>
      </c>
    </row>
    <row r="1704" spans="1:9" x14ac:dyDescent="0.3">
      <c r="A1704" t="str">
        <f t="shared" si="78"/>
        <v>-</v>
      </c>
      <c r="B1704" t="str">
        <f t="shared" si="79"/>
        <v>0-</v>
      </c>
      <c r="H1704" t="str">
        <f>IFERROR(VLOOKUP(E1704,DC_Xref!A:B,2,FALSE),"")</f>
        <v/>
      </c>
      <c r="I1704">
        <f t="shared" si="80"/>
        <v>0</v>
      </c>
    </row>
    <row r="1705" spans="1:9" x14ac:dyDescent="0.3">
      <c r="A1705" t="str">
        <f t="shared" si="78"/>
        <v>-</v>
      </c>
      <c r="B1705" t="str">
        <f t="shared" si="79"/>
        <v>0-</v>
      </c>
      <c r="H1705" t="str">
        <f>IFERROR(VLOOKUP(E1705,DC_Xref!A:B,2,FALSE),"")</f>
        <v/>
      </c>
      <c r="I1705">
        <f t="shared" si="80"/>
        <v>0</v>
      </c>
    </row>
    <row r="1706" spans="1:9" x14ac:dyDescent="0.3">
      <c r="A1706" t="str">
        <f t="shared" si="78"/>
        <v>-</v>
      </c>
      <c r="B1706" t="str">
        <f t="shared" si="79"/>
        <v>0-</v>
      </c>
      <c r="H1706" t="str">
        <f>IFERROR(VLOOKUP(E1706,DC_Xref!A:B,2,FALSE),"")</f>
        <v/>
      </c>
      <c r="I1706">
        <f t="shared" si="80"/>
        <v>0</v>
      </c>
    </row>
    <row r="1707" spans="1:9" x14ac:dyDescent="0.3">
      <c r="A1707" t="str">
        <f t="shared" si="78"/>
        <v>-</v>
      </c>
      <c r="B1707" t="str">
        <f t="shared" si="79"/>
        <v>0-</v>
      </c>
      <c r="H1707" t="str">
        <f>IFERROR(VLOOKUP(E1707,DC_Xref!A:B,2,FALSE),"")</f>
        <v/>
      </c>
      <c r="I1707">
        <f t="shared" si="80"/>
        <v>0</v>
      </c>
    </row>
    <row r="1708" spans="1:9" x14ac:dyDescent="0.3">
      <c r="A1708" t="str">
        <f t="shared" si="78"/>
        <v>-</v>
      </c>
      <c r="B1708" t="str">
        <f t="shared" si="79"/>
        <v>0-</v>
      </c>
      <c r="H1708" t="str">
        <f>IFERROR(VLOOKUP(E1708,DC_Xref!A:B,2,FALSE),"")</f>
        <v/>
      </c>
      <c r="I1708">
        <f t="shared" si="80"/>
        <v>0</v>
      </c>
    </row>
    <row r="1709" spans="1:9" x14ac:dyDescent="0.3">
      <c r="A1709" t="str">
        <f t="shared" si="78"/>
        <v>-</v>
      </c>
      <c r="B1709" t="str">
        <f t="shared" si="79"/>
        <v>0-</v>
      </c>
      <c r="H1709" t="str">
        <f>IFERROR(VLOOKUP(E1709,DC_Xref!A:B,2,FALSE),"")</f>
        <v/>
      </c>
      <c r="I1709">
        <f t="shared" si="80"/>
        <v>0</v>
      </c>
    </row>
    <row r="1710" spans="1:9" x14ac:dyDescent="0.3">
      <c r="A1710" t="str">
        <f t="shared" si="78"/>
        <v>-</v>
      </c>
      <c r="B1710" t="str">
        <f t="shared" si="79"/>
        <v>0-</v>
      </c>
      <c r="H1710" t="str">
        <f>IFERROR(VLOOKUP(E1710,DC_Xref!A:B,2,FALSE),"")</f>
        <v/>
      </c>
      <c r="I1710">
        <f t="shared" si="80"/>
        <v>0</v>
      </c>
    </row>
    <row r="1711" spans="1:9" x14ac:dyDescent="0.3">
      <c r="A1711" t="str">
        <f t="shared" si="78"/>
        <v>-</v>
      </c>
      <c r="B1711" t="str">
        <f t="shared" si="79"/>
        <v>0-</v>
      </c>
      <c r="H1711" t="str">
        <f>IFERROR(VLOOKUP(E1711,DC_Xref!A:B,2,FALSE),"")</f>
        <v/>
      </c>
      <c r="I1711">
        <f t="shared" si="80"/>
        <v>0</v>
      </c>
    </row>
    <row r="1712" spans="1:9" x14ac:dyDescent="0.3">
      <c r="A1712" t="str">
        <f t="shared" si="78"/>
        <v>-</v>
      </c>
      <c r="B1712" t="str">
        <f t="shared" si="79"/>
        <v>0-</v>
      </c>
      <c r="H1712" t="str">
        <f>IFERROR(VLOOKUP(E1712,DC_Xref!A:B,2,FALSE),"")</f>
        <v/>
      </c>
      <c r="I1712">
        <f t="shared" si="80"/>
        <v>0</v>
      </c>
    </row>
    <row r="1713" spans="1:9" x14ac:dyDescent="0.3">
      <c r="A1713" t="str">
        <f t="shared" si="78"/>
        <v>-</v>
      </c>
      <c r="B1713" t="str">
        <f t="shared" si="79"/>
        <v>0-</v>
      </c>
      <c r="H1713" t="str">
        <f>IFERROR(VLOOKUP(E1713,DC_Xref!A:B,2,FALSE),"")</f>
        <v/>
      </c>
      <c r="I1713">
        <f t="shared" si="80"/>
        <v>0</v>
      </c>
    </row>
    <row r="1714" spans="1:9" x14ac:dyDescent="0.3">
      <c r="A1714" t="str">
        <f t="shared" si="78"/>
        <v>-</v>
      </c>
      <c r="B1714" t="str">
        <f t="shared" si="79"/>
        <v>0-</v>
      </c>
      <c r="H1714" t="str">
        <f>IFERROR(VLOOKUP(E1714,DC_Xref!A:B,2,FALSE),"")</f>
        <v/>
      </c>
      <c r="I1714">
        <f t="shared" si="80"/>
        <v>0</v>
      </c>
    </row>
    <row r="1715" spans="1:9" x14ac:dyDescent="0.3">
      <c r="A1715" t="str">
        <f t="shared" si="78"/>
        <v>-</v>
      </c>
      <c r="B1715" t="str">
        <f t="shared" si="79"/>
        <v>0-</v>
      </c>
      <c r="H1715" t="str">
        <f>IFERROR(VLOOKUP(E1715,DC_Xref!A:B,2,FALSE),"")</f>
        <v/>
      </c>
      <c r="I1715">
        <f t="shared" si="80"/>
        <v>0</v>
      </c>
    </row>
    <row r="1716" spans="1:9" x14ac:dyDescent="0.3">
      <c r="A1716" t="str">
        <f t="shared" si="78"/>
        <v>-</v>
      </c>
      <c r="B1716" t="str">
        <f t="shared" si="79"/>
        <v>0-</v>
      </c>
      <c r="H1716" t="str">
        <f>IFERROR(VLOOKUP(E1716,DC_Xref!A:B,2,FALSE),"")</f>
        <v/>
      </c>
      <c r="I1716">
        <f t="shared" si="80"/>
        <v>0</v>
      </c>
    </row>
    <row r="1717" spans="1:9" x14ac:dyDescent="0.3">
      <c r="A1717" t="str">
        <f t="shared" si="78"/>
        <v>-</v>
      </c>
      <c r="B1717" t="str">
        <f t="shared" si="79"/>
        <v>0-</v>
      </c>
      <c r="H1717" t="str">
        <f>IFERROR(VLOOKUP(E1717,DC_Xref!A:B,2,FALSE),"")</f>
        <v/>
      </c>
      <c r="I1717">
        <f t="shared" si="80"/>
        <v>0</v>
      </c>
    </row>
    <row r="1718" spans="1:9" x14ac:dyDescent="0.3">
      <c r="A1718" t="str">
        <f t="shared" si="78"/>
        <v>-</v>
      </c>
      <c r="B1718" t="str">
        <f t="shared" si="79"/>
        <v>0-</v>
      </c>
      <c r="H1718" t="str">
        <f>IFERROR(VLOOKUP(E1718,DC_Xref!A:B,2,FALSE),"")</f>
        <v/>
      </c>
      <c r="I1718">
        <f t="shared" si="80"/>
        <v>0</v>
      </c>
    </row>
    <row r="1719" spans="1:9" x14ac:dyDescent="0.3">
      <c r="A1719" t="str">
        <f t="shared" si="78"/>
        <v>-</v>
      </c>
      <c r="B1719" t="str">
        <f t="shared" si="79"/>
        <v>0-</v>
      </c>
      <c r="H1719" t="str">
        <f>IFERROR(VLOOKUP(E1719,DC_Xref!A:B,2,FALSE),"")</f>
        <v/>
      </c>
      <c r="I1719">
        <f t="shared" si="80"/>
        <v>0</v>
      </c>
    </row>
    <row r="1720" spans="1:9" x14ac:dyDescent="0.3">
      <c r="A1720" t="str">
        <f t="shared" si="78"/>
        <v>-</v>
      </c>
      <c r="B1720" t="str">
        <f t="shared" si="79"/>
        <v>0-</v>
      </c>
      <c r="H1720" t="str">
        <f>IFERROR(VLOOKUP(E1720,DC_Xref!A:B,2,FALSE),"")</f>
        <v/>
      </c>
      <c r="I1720">
        <f t="shared" si="80"/>
        <v>0</v>
      </c>
    </row>
    <row r="1721" spans="1:9" x14ac:dyDescent="0.3">
      <c r="A1721" t="str">
        <f t="shared" si="78"/>
        <v>-</v>
      </c>
      <c r="B1721" t="str">
        <f t="shared" si="79"/>
        <v>0-</v>
      </c>
      <c r="H1721" t="str">
        <f>IFERROR(VLOOKUP(E1721,DC_Xref!A:B,2,FALSE),"")</f>
        <v/>
      </c>
      <c r="I1721">
        <f t="shared" si="80"/>
        <v>0</v>
      </c>
    </row>
    <row r="1722" spans="1:9" x14ac:dyDescent="0.3">
      <c r="A1722" t="str">
        <f t="shared" si="78"/>
        <v>-</v>
      </c>
      <c r="B1722" t="str">
        <f t="shared" si="79"/>
        <v>0-</v>
      </c>
      <c r="H1722" t="str">
        <f>IFERROR(VLOOKUP(E1722,DC_Xref!A:B,2,FALSE),"")</f>
        <v/>
      </c>
      <c r="I1722">
        <f t="shared" si="80"/>
        <v>0</v>
      </c>
    </row>
    <row r="1723" spans="1:9" x14ac:dyDescent="0.3">
      <c r="A1723" t="str">
        <f t="shared" si="78"/>
        <v>-</v>
      </c>
      <c r="B1723" t="str">
        <f t="shared" si="79"/>
        <v>0-</v>
      </c>
      <c r="H1723" t="str">
        <f>IFERROR(VLOOKUP(E1723,DC_Xref!A:B,2,FALSE),"")</f>
        <v/>
      </c>
      <c r="I1723">
        <f t="shared" si="80"/>
        <v>0</v>
      </c>
    </row>
    <row r="1724" spans="1:9" x14ac:dyDescent="0.3">
      <c r="A1724" t="str">
        <f t="shared" si="78"/>
        <v>-</v>
      </c>
      <c r="B1724" t="str">
        <f t="shared" si="79"/>
        <v>0-</v>
      </c>
      <c r="H1724" t="str">
        <f>IFERROR(VLOOKUP(E1724,DC_Xref!A:B,2,FALSE),"")</f>
        <v/>
      </c>
      <c r="I1724">
        <f t="shared" si="80"/>
        <v>0</v>
      </c>
    </row>
    <row r="1725" spans="1:9" x14ac:dyDescent="0.3">
      <c r="A1725" t="str">
        <f t="shared" si="78"/>
        <v>-</v>
      </c>
      <c r="B1725" t="str">
        <f t="shared" si="79"/>
        <v>0-</v>
      </c>
      <c r="H1725" t="str">
        <f>IFERROR(VLOOKUP(E1725,DC_Xref!A:B,2,FALSE),"")</f>
        <v/>
      </c>
      <c r="I1725">
        <f t="shared" si="80"/>
        <v>0</v>
      </c>
    </row>
    <row r="1726" spans="1:9" x14ac:dyDescent="0.3">
      <c r="A1726" t="str">
        <f t="shared" si="78"/>
        <v>-</v>
      </c>
      <c r="B1726" t="str">
        <f t="shared" si="79"/>
        <v>0-</v>
      </c>
      <c r="H1726" t="str">
        <f>IFERROR(VLOOKUP(E1726,DC_Xref!A:B,2,FALSE),"")</f>
        <v/>
      </c>
      <c r="I1726">
        <f t="shared" si="80"/>
        <v>0</v>
      </c>
    </row>
    <row r="1727" spans="1:9" x14ac:dyDescent="0.3">
      <c r="A1727" t="str">
        <f t="shared" si="78"/>
        <v>-</v>
      </c>
      <c r="B1727" t="str">
        <f t="shared" si="79"/>
        <v>0-</v>
      </c>
      <c r="H1727" t="str">
        <f>IFERROR(VLOOKUP(E1727,DC_Xref!A:B,2,FALSE),"")</f>
        <v/>
      </c>
      <c r="I1727">
        <f t="shared" si="80"/>
        <v>0</v>
      </c>
    </row>
    <row r="1728" spans="1:9" x14ac:dyDescent="0.3">
      <c r="A1728" t="str">
        <f t="shared" si="78"/>
        <v>-</v>
      </c>
      <c r="B1728" t="str">
        <f t="shared" si="79"/>
        <v>0-</v>
      </c>
      <c r="H1728" t="str">
        <f>IFERROR(VLOOKUP(E1728,DC_Xref!A:B,2,FALSE),"")</f>
        <v/>
      </c>
      <c r="I1728">
        <f t="shared" si="80"/>
        <v>0</v>
      </c>
    </row>
    <row r="1729" spans="1:9" x14ac:dyDescent="0.3">
      <c r="A1729" t="str">
        <f t="shared" si="78"/>
        <v>-</v>
      </c>
      <c r="B1729" t="str">
        <f t="shared" si="79"/>
        <v>0-</v>
      </c>
      <c r="H1729" t="str">
        <f>IFERROR(VLOOKUP(E1729,DC_Xref!A:B,2,FALSE),"")</f>
        <v/>
      </c>
      <c r="I1729">
        <f t="shared" si="80"/>
        <v>0</v>
      </c>
    </row>
    <row r="1730" spans="1:9" x14ac:dyDescent="0.3">
      <c r="A1730" t="str">
        <f t="shared" ref="A1730:A1793" si="81">C1730&amp;"-"&amp;F1730</f>
        <v>-</v>
      </c>
      <c r="B1730" t="str">
        <f t="shared" ref="B1730:B1793" si="82">I1730&amp;"-"&amp;H1730</f>
        <v>0-</v>
      </c>
      <c r="H1730" t="str">
        <f>IFERROR(VLOOKUP(E1730,DC_Xref!A:B,2,FALSE),"")</f>
        <v/>
      </c>
      <c r="I1730">
        <f t="shared" ref="I1730:I1793" si="83">C1730*100+D1730</f>
        <v>0</v>
      </c>
    </row>
    <row r="1731" spans="1:9" x14ac:dyDescent="0.3">
      <c r="A1731" t="str">
        <f t="shared" si="81"/>
        <v>-</v>
      </c>
      <c r="B1731" t="str">
        <f t="shared" si="82"/>
        <v>0-</v>
      </c>
      <c r="H1731" t="str">
        <f>IFERROR(VLOOKUP(E1731,DC_Xref!A:B,2,FALSE),"")</f>
        <v/>
      </c>
      <c r="I1731">
        <f t="shared" si="83"/>
        <v>0</v>
      </c>
    </row>
    <row r="1732" spans="1:9" x14ac:dyDescent="0.3">
      <c r="A1732" t="str">
        <f t="shared" si="81"/>
        <v>-</v>
      </c>
      <c r="B1732" t="str">
        <f t="shared" si="82"/>
        <v>0-</v>
      </c>
      <c r="H1732" t="str">
        <f>IFERROR(VLOOKUP(E1732,DC_Xref!A:B,2,FALSE),"")</f>
        <v/>
      </c>
      <c r="I1732">
        <f t="shared" si="83"/>
        <v>0</v>
      </c>
    </row>
    <row r="1733" spans="1:9" x14ac:dyDescent="0.3">
      <c r="A1733" t="str">
        <f t="shared" si="81"/>
        <v>-</v>
      </c>
      <c r="B1733" t="str">
        <f t="shared" si="82"/>
        <v>0-</v>
      </c>
      <c r="H1733" t="str">
        <f>IFERROR(VLOOKUP(E1733,DC_Xref!A:B,2,FALSE),"")</f>
        <v/>
      </c>
      <c r="I1733">
        <f t="shared" si="83"/>
        <v>0</v>
      </c>
    </row>
    <row r="1734" spans="1:9" x14ac:dyDescent="0.3">
      <c r="A1734" t="str">
        <f t="shared" si="81"/>
        <v>-</v>
      </c>
      <c r="B1734" t="str">
        <f t="shared" si="82"/>
        <v>0-</v>
      </c>
      <c r="H1734" t="str">
        <f>IFERROR(VLOOKUP(E1734,DC_Xref!A:B,2,FALSE),"")</f>
        <v/>
      </c>
      <c r="I1734">
        <f t="shared" si="83"/>
        <v>0</v>
      </c>
    </row>
    <row r="1735" spans="1:9" x14ac:dyDescent="0.3">
      <c r="A1735" t="str">
        <f t="shared" si="81"/>
        <v>-</v>
      </c>
      <c r="B1735" t="str">
        <f t="shared" si="82"/>
        <v>0-</v>
      </c>
      <c r="H1735" t="str">
        <f>IFERROR(VLOOKUP(E1735,DC_Xref!A:B,2,FALSE),"")</f>
        <v/>
      </c>
      <c r="I1735">
        <f t="shared" si="83"/>
        <v>0</v>
      </c>
    </row>
    <row r="1736" spans="1:9" x14ac:dyDescent="0.3">
      <c r="A1736" t="str">
        <f t="shared" si="81"/>
        <v>-</v>
      </c>
      <c r="B1736" t="str">
        <f t="shared" si="82"/>
        <v>0-</v>
      </c>
      <c r="H1736" t="str">
        <f>IFERROR(VLOOKUP(E1736,DC_Xref!A:B,2,FALSE),"")</f>
        <v/>
      </c>
      <c r="I1736">
        <f t="shared" si="83"/>
        <v>0</v>
      </c>
    </row>
    <row r="1737" spans="1:9" x14ac:dyDescent="0.3">
      <c r="A1737" t="str">
        <f t="shared" si="81"/>
        <v>-</v>
      </c>
      <c r="B1737" t="str">
        <f t="shared" si="82"/>
        <v>0-</v>
      </c>
      <c r="H1737" t="str">
        <f>IFERROR(VLOOKUP(E1737,DC_Xref!A:B,2,FALSE),"")</f>
        <v/>
      </c>
      <c r="I1737">
        <f t="shared" si="83"/>
        <v>0</v>
      </c>
    </row>
    <row r="1738" spans="1:9" x14ac:dyDescent="0.3">
      <c r="A1738" t="str">
        <f t="shared" si="81"/>
        <v>-</v>
      </c>
      <c r="B1738" t="str">
        <f t="shared" si="82"/>
        <v>0-</v>
      </c>
      <c r="H1738" t="str">
        <f>IFERROR(VLOOKUP(E1738,DC_Xref!A:B,2,FALSE),"")</f>
        <v/>
      </c>
      <c r="I1738">
        <f t="shared" si="83"/>
        <v>0</v>
      </c>
    </row>
    <row r="1739" spans="1:9" x14ac:dyDescent="0.3">
      <c r="A1739" t="str">
        <f t="shared" si="81"/>
        <v>-</v>
      </c>
      <c r="B1739" t="str">
        <f t="shared" si="82"/>
        <v>0-</v>
      </c>
      <c r="H1739" t="str">
        <f>IFERROR(VLOOKUP(E1739,DC_Xref!A:B,2,FALSE),"")</f>
        <v/>
      </c>
      <c r="I1739">
        <f t="shared" si="83"/>
        <v>0</v>
      </c>
    </row>
    <row r="1740" spans="1:9" x14ac:dyDescent="0.3">
      <c r="A1740" t="str">
        <f t="shared" si="81"/>
        <v>-</v>
      </c>
      <c r="B1740" t="str">
        <f t="shared" si="82"/>
        <v>0-</v>
      </c>
      <c r="H1740" t="str">
        <f>IFERROR(VLOOKUP(E1740,DC_Xref!A:B,2,FALSE),"")</f>
        <v/>
      </c>
      <c r="I1740">
        <f t="shared" si="83"/>
        <v>0</v>
      </c>
    </row>
    <row r="1741" spans="1:9" x14ac:dyDescent="0.3">
      <c r="A1741" t="str">
        <f t="shared" si="81"/>
        <v>-</v>
      </c>
      <c r="B1741" t="str">
        <f t="shared" si="82"/>
        <v>0-</v>
      </c>
      <c r="H1741" t="str">
        <f>IFERROR(VLOOKUP(E1741,DC_Xref!A:B,2,FALSE),"")</f>
        <v/>
      </c>
      <c r="I1741">
        <f t="shared" si="83"/>
        <v>0</v>
      </c>
    </row>
    <row r="1742" spans="1:9" x14ac:dyDescent="0.3">
      <c r="A1742" t="str">
        <f t="shared" si="81"/>
        <v>-</v>
      </c>
      <c r="B1742" t="str">
        <f t="shared" si="82"/>
        <v>0-</v>
      </c>
      <c r="H1742" t="str">
        <f>IFERROR(VLOOKUP(E1742,DC_Xref!A:B,2,FALSE),"")</f>
        <v/>
      </c>
      <c r="I1742">
        <f t="shared" si="83"/>
        <v>0</v>
      </c>
    </row>
    <row r="1743" spans="1:9" x14ac:dyDescent="0.3">
      <c r="A1743" t="str">
        <f t="shared" si="81"/>
        <v>-</v>
      </c>
      <c r="B1743" t="str">
        <f t="shared" si="82"/>
        <v>0-</v>
      </c>
      <c r="H1743" t="str">
        <f>IFERROR(VLOOKUP(E1743,DC_Xref!A:B,2,FALSE),"")</f>
        <v/>
      </c>
      <c r="I1743">
        <f t="shared" si="83"/>
        <v>0</v>
      </c>
    </row>
    <row r="1744" spans="1:9" x14ac:dyDescent="0.3">
      <c r="A1744" t="str">
        <f t="shared" si="81"/>
        <v>-</v>
      </c>
      <c r="B1744" t="str">
        <f t="shared" si="82"/>
        <v>0-</v>
      </c>
      <c r="H1744" t="str">
        <f>IFERROR(VLOOKUP(E1744,DC_Xref!A:B,2,FALSE),"")</f>
        <v/>
      </c>
      <c r="I1744">
        <f t="shared" si="83"/>
        <v>0</v>
      </c>
    </row>
    <row r="1745" spans="1:9" x14ac:dyDescent="0.3">
      <c r="A1745" t="str">
        <f t="shared" si="81"/>
        <v>-</v>
      </c>
      <c r="B1745" t="str">
        <f t="shared" si="82"/>
        <v>0-</v>
      </c>
      <c r="H1745" t="str">
        <f>IFERROR(VLOOKUP(E1745,DC_Xref!A:B,2,FALSE),"")</f>
        <v/>
      </c>
      <c r="I1745">
        <f t="shared" si="83"/>
        <v>0</v>
      </c>
    </row>
    <row r="1746" spans="1:9" x14ac:dyDescent="0.3">
      <c r="A1746" t="str">
        <f t="shared" si="81"/>
        <v>-</v>
      </c>
      <c r="B1746" t="str">
        <f t="shared" si="82"/>
        <v>0-</v>
      </c>
      <c r="H1746" t="str">
        <f>IFERROR(VLOOKUP(E1746,DC_Xref!A:B,2,FALSE),"")</f>
        <v/>
      </c>
      <c r="I1746">
        <f t="shared" si="83"/>
        <v>0</v>
      </c>
    </row>
    <row r="1747" spans="1:9" x14ac:dyDescent="0.3">
      <c r="A1747" t="str">
        <f t="shared" si="81"/>
        <v>-</v>
      </c>
      <c r="B1747" t="str">
        <f t="shared" si="82"/>
        <v>0-</v>
      </c>
      <c r="H1747" t="str">
        <f>IFERROR(VLOOKUP(E1747,DC_Xref!A:B,2,FALSE),"")</f>
        <v/>
      </c>
      <c r="I1747">
        <f t="shared" si="83"/>
        <v>0</v>
      </c>
    </row>
    <row r="1748" spans="1:9" x14ac:dyDescent="0.3">
      <c r="A1748" t="str">
        <f t="shared" si="81"/>
        <v>-</v>
      </c>
      <c r="B1748" t="str">
        <f t="shared" si="82"/>
        <v>0-</v>
      </c>
      <c r="H1748" t="str">
        <f>IFERROR(VLOOKUP(E1748,DC_Xref!A:B,2,FALSE),"")</f>
        <v/>
      </c>
      <c r="I1748">
        <f t="shared" si="83"/>
        <v>0</v>
      </c>
    </row>
    <row r="1749" spans="1:9" x14ac:dyDescent="0.3">
      <c r="A1749" t="str">
        <f t="shared" si="81"/>
        <v>-</v>
      </c>
      <c r="B1749" t="str">
        <f t="shared" si="82"/>
        <v>0-</v>
      </c>
      <c r="H1749" t="str">
        <f>IFERROR(VLOOKUP(E1749,DC_Xref!A:B,2,FALSE),"")</f>
        <v/>
      </c>
      <c r="I1749">
        <f t="shared" si="83"/>
        <v>0</v>
      </c>
    </row>
    <row r="1750" spans="1:9" x14ac:dyDescent="0.3">
      <c r="A1750" t="str">
        <f t="shared" si="81"/>
        <v>-</v>
      </c>
      <c r="B1750" t="str">
        <f t="shared" si="82"/>
        <v>0-</v>
      </c>
      <c r="H1750" t="str">
        <f>IFERROR(VLOOKUP(E1750,DC_Xref!A:B,2,FALSE),"")</f>
        <v/>
      </c>
      <c r="I1750">
        <f t="shared" si="83"/>
        <v>0</v>
      </c>
    </row>
    <row r="1751" spans="1:9" x14ac:dyDescent="0.3">
      <c r="A1751" t="str">
        <f t="shared" si="81"/>
        <v>-</v>
      </c>
      <c r="B1751" t="str">
        <f t="shared" si="82"/>
        <v>0-</v>
      </c>
      <c r="H1751" t="str">
        <f>IFERROR(VLOOKUP(E1751,DC_Xref!A:B,2,FALSE),"")</f>
        <v/>
      </c>
      <c r="I1751">
        <f t="shared" si="83"/>
        <v>0</v>
      </c>
    </row>
    <row r="1752" spans="1:9" x14ac:dyDescent="0.3">
      <c r="A1752" t="str">
        <f t="shared" si="81"/>
        <v>-</v>
      </c>
      <c r="B1752" t="str">
        <f t="shared" si="82"/>
        <v>0-</v>
      </c>
      <c r="H1752" t="str">
        <f>IFERROR(VLOOKUP(E1752,DC_Xref!A:B,2,FALSE),"")</f>
        <v/>
      </c>
      <c r="I1752">
        <f t="shared" si="83"/>
        <v>0</v>
      </c>
    </row>
    <row r="1753" spans="1:9" x14ac:dyDescent="0.3">
      <c r="A1753" t="str">
        <f t="shared" si="81"/>
        <v>-</v>
      </c>
      <c r="B1753" t="str">
        <f t="shared" si="82"/>
        <v>0-</v>
      </c>
      <c r="H1753" t="str">
        <f>IFERROR(VLOOKUP(E1753,DC_Xref!A:B,2,FALSE),"")</f>
        <v/>
      </c>
      <c r="I1753">
        <f t="shared" si="83"/>
        <v>0</v>
      </c>
    </row>
    <row r="1754" spans="1:9" x14ac:dyDescent="0.3">
      <c r="A1754" t="str">
        <f t="shared" si="81"/>
        <v>-</v>
      </c>
      <c r="B1754" t="str">
        <f t="shared" si="82"/>
        <v>0-</v>
      </c>
      <c r="H1754" t="str">
        <f>IFERROR(VLOOKUP(E1754,DC_Xref!A:B,2,FALSE),"")</f>
        <v/>
      </c>
      <c r="I1754">
        <f t="shared" si="83"/>
        <v>0</v>
      </c>
    </row>
    <row r="1755" spans="1:9" x14ac:dyDescent="0.3">
      <c r="A1755" t="str">
        <f t="shared" si="81"/>
        <v>-</v>
      </c>
      <c r="B1755" t="str">
        <f t="shared" si="82"/>
        <v>0-</v>
      </c>
      <c r="H1755" t="str">
        <f>IFERROR(VLOOKUP(E1755,DC_Xref!A:B,2,FALSE),"")</f>
        <v/>
      </c>
      <c r="I1755">
        <f t="shared" si="83"/>
        <v>0</v>
      </c>
    </row>
    <row r="1756" spans="1:9" x14ac:dyDescent="0.3">
      <c r="A1756" t="str">
        <f t="shared" si="81"/>
        <v>-</v>
      </c>
      <c r="B1756" t="str">
        <f t="shared" si="82"/>
        <v>0-</v>
      </c>
      <c r="H1756" t="str">
        <f>IFERROR(VLOOKUP(E1756,DC_Xref!A:B,2,FALSE),"")</f>
        <v/>
      </c>
      <c r="I1756">
        <f t="shared" si="83"/>
        <v>0</v>
      </c>
    </row>
    <row r="1757" spans="1:9" x14ac:dyDescent="0.3">
      <c r="A1757" t="str">
        <f t="shared" si="81"/>
        <v>-</v>
      </c>
      <c r="B1757" t="str">
        <f t="shared" si="82"/>
        <v>0-</v>
      </c>
      <c r="H1757" t="str">
        <f>IFERROR(VLOOKUP(E1757,DC_Xref!A:B,2,FALSE),"")</f>
        <v/>
      </c>
      <c r="I1757">
        <f t="shared" si="83"/>
        <v>0</v>
      </c>
    </row>
    <row r="1758" spans="1:9" x14ac:dyDescent="0.3">
      <c r="A1758" t="str">
        <f t="shared" si="81"/>
        <v>-</v>
      </c>
      <c r="B1758" t="str">
        <f t="shared" si="82"/>
        <v>0-</v>
      </c>
      <c r="H1758" t="str">
        <f>IFERROR(VLOOKUP(E1758,DC_Xref!A:B,2,FALSE),"")</f>
        <v/>
      </c>
      <c r="I1758">
        <f t="shared" si="83"/>
        <v>0</v>
      </c>
    </row>
    <row r="1759" spans="1:9" x14ac:dyDescent="0.3">
      <c r="A1759" t="str">
        <f t="shared" si="81"/>
        <v>-</v>
      </c>
      <c r="B1759" t="str">
        <f t="shared" si="82"/>
        <v>0-</v>
      </c>
      <c r="H1759" t="str">
        <f>IFERROR(VLOOKUP(E1759,DC_Xref!A:B,2,FALSE),"")</f>
        <v/>
      </c>
      <c r="I1759">
        <f t="shared" si="83"/>
        <v>0</v>
      </c>
    </row>
    <row r="1760" spans="1:9" x14ac:dyDescent="0.3">
      <c r="A1760" t="str">
        <f t="shared" si="81"/>
        <v>-</v>
      </c>
      <c r="B1760" t="str">
        <f t="shared" si="82"/>
        <v>0-</v>
      </c>
      <c r="H1760" t="str">
        <f>IFERROR(VLOOKUP(E1760,DC_Xref!A:B,2,FALSE),"")</f>
        <v/>
      </c>
      <c r="I1760">
        <f t="shared" si="83"/>
        <v>0</v>
      </c>
    </row>
    <row r="1761" spans="1:9" x14ac:dyDescent="0.3">
      <c r="A1761" t="str">
        <f t="shared" si="81"/>
        <v>-</v>
      </c>
      <c r="B1761" t="str">
        <f t="shared" si="82"/>
        <v>0-</v>
      </c>
      <c r="H1761" t="str">
        <f>IFERROR(VLOOKUP(E1761,DC_Xref!A:B,2,FALSE),"")</f>
        <v/>
      </c>
      <c r="I1761">
        <f t="shared" si="83"/>
        <v>0</v>
      </c>
    </row>
    <row r="1762" spans="1:9" x14ac:dyDescent="0.3">
      <c r="A1762" t="str">
        <f t="shared" si="81"/>
        <v>-</v>
      </c>
      <c r="B1762" t="str">
        <f t="shared" si="82"/>
        <v>0-</v>
      </c>
      <c r="H1762" t="str">
        <f>IFERROR(VLOOKUP(E1762,DC_Xref!A:B,2,FALSE),"")</f>
        <v/>
      </c>
      <c r="I1762">
        <f t="shared" si="83"/>
        <v>0</v>
      </c>
    </row>
    <row r="1763" spans="1:9" x14ac:dyDescent="0.3">
      <c r="A1763" t="str">
        <f t="shared" si="81"/>
        <v>-</v>
      </c>
      <c r="B1763" t="str">
        <f t="shared" si="82"/>
        <v>0-</v>
      </c>
      <c r="H1763" t="str">
        <f>IFERROR(VLOOKUP(E1763,DC_Xref!A:B,2,FALSE),"")</f>
        <v/>
      </c>
      <c r="I1763">
        <f t="shared" si="83"/>
        <v>0</v>
      </c>
    </row>
    <row r="1764" spans="1:9" x14ac:dyDescent="0.3">
      <c r="A1764" t="str">
        <f t="shared" si="81"/>
        <v>-</v>
      </c>
      <c r="B1764" t="str">
        <f t="shared" si="82"/>
        <v>0-</v>
      </c>
      <c r="H1764" t="str">
        <f>IFERROR(VLOOKUP(E1764,DC_Xref!A:B,2,FALSE),"")</f>
        <v/>
      </c>
      <c r="I1764">
        <f t="shared" si="83"/>
        <v>0</v>
      </c>
    </row>
    <row r="1765" spans="1:9" x14ac:dyDescent="0.3">
      <c r="A1765" t="str">
        <f t="shared" si="81"/>
        <v>-</v>
      </c>
      <c r="B1765" t="str">
        <f t="shared" si="82"/>
        <v>0-</v>
      </c>
      <c r="H1765" t="str">
        <f>IFERROR(VLOOKUP(E1765,DC_Xref!A:B,2,FALSE),"")</f>
        <v/>
      </c>
      <c r="I1765">
        <f t="shared" si="83"/>
        <v>0</v>
      </c>
    </row>
    <row r="1766" spans="1:9" x14ac:dyDescent="0.3">
      <c r="A1766" t="str">
        <f t="shared" si="81"/>
        <v>-</v>
      </c>
      <c r="B1766" t="str">
        <f t="shared" si="82"/>
        <v>0-</v>
      </c>
      <c r="H1766" t="str">
        <f>IFERROR(VLOOKUP(E1766,DC_Xref!A:B,2,FALSE),"")</f>
        <v/>
      </c>
      <c r="I1766">
        <f t="shared" si="83"/>
        <v>0</v>
      </c>
    </row>
    <row r="1767" spans="1:9" x14ac:dyDescent="0.3">
      <c r="A1767" t="str">
        <f t="shared" si="81"/>
        <v>-</v>
      </c>
      <c r="B1767" t="str">
        <f t="shared" si="82"/>
        <v>0-</v>
      </c>
      <c r="H1767" t="str">
        <f>IFERROR(VLOOKUP(E1767,DC_Xref!A:B,2,FALSE),"")</f>
        <v/>
      </c>
      <c r="I1767">
        <f t="shared" si="83"/>
        <v>0</v>
      </c>
    </row>
    <row r="1768" spans="1:9" x14ac:dyDescent="0.3">
      <c r="A1768" t="str">
        <f t="shared" si="81"/>
        <v>-</v>
      </c>
      <c r="B1768" t="str">
        <f t="shared" si="82"/>
        <v>0-</v>
      </c>
      <c r="H1768" t="str">
        <f>IFERROR(VLOOKUP(E1768,DC_Xref!A:B,2,FALSE),"")</f>
        <v/>
      </c>
      <c r="I1768">
        <f t="shared" si="83"/>
        <v>0</v>
      </c>
    </row>
    <row r="1769" spans="1:9" x14ac:dyDescent="0.3">
      <c r="A1769" t="str">
        <f t="shared" si="81"/>
        <v>-</v>
      </c>
      <c r="B1769" t="str">
        <f t="shared" si="82"/>
        <v>0-</v>
      </c>
      <c r="H1769" t="str">
        <f>IFERROR(VLOOKUP(E1769,DC_Xref!A:B,2,FALSE),"")</f>
        <v/>
      </c>
      <c r="I1769">
        <f t="shared" si="83"/>
        <v>0</v>
      </c>
    </row>
    <row r="1770" spans="1:9" x14ac:dyDescent="0.3">
      <c r="A1770" t="str">
        <f t="shared" si="81"/>
        <v>-</v>
      </c>
      <c r="B1770" t="str">
        <f t="shared" si="82"/>
        <v>0-</v>
      </c>
      <c r="H1770" t="str">
        <f>IFERROR(VLOOKUP(E1770,DC_Xref!A:B,2,FALSE),"")</f>
        <v/>
      </c>
      <c r="I1770">
        <f t="shared" si="83"/>
        <v>0</v>
      </c>
    </row>
    <row r="1771" spans="1:9" x14ac:dyDescent="0.3">
      <c r="A1771" t="str">
        <f t="shared" si="81"/>
        <v>-</v>
      </c>
      <c r="B1771" t="str">
        <f t="shared" si="82"/>
        <v>0-</v>
      </c>
      <c r="H1771" t="str">
        <f>IFERROR(VLOOKUP(E1771,DC_Xref!A:B,2,FALSE),"")</f>
        <v/>
      </c>
      <c r="I1771">
        <f t="shared" si="83"/>
        <v>0</v>
      </c>
    </row>
    <row r="1772" spans="1:9" x14ac:dyDescent="0.3">
      <c r="A1772" t="str">
        <f t="shared" si="81"/>
        <v>-</v>
      </c>
      <c r="B1772" t="str">
        <f t="shared" si="82"/>
        <v>0-</v>
      </c>
      <c r="H1772" t="str">
        <f>IFERROR(VLOOKUP(E1772,DC_Xref!A:B,2,FALSE),"")</f>
        <v/>
      </c>
      <c r="I1772">
        <f t="shared" si="83"/>
        <v>0</v>
      </c>
    </row>
    <row r="1773" spans="1:9" x14ac:dyDescent="0.3">
      <c r="A1773" t="str">
        <f t="shared" si="81"/>
        <v>-</v>
      </c>
      <c r="B1773" t="str">
        <f t="shared" si="82"/>
        <v>0-</v>
      </c>
      <c r="H1773" t="str">
        <f>IFERROR(VLOOKUP(E1773,DC_Xref!A:B,2,FALSE),"")</f>
        <v/>
      </c>
      <c r="I1773">
        <f t="shared" si="83"/>
        <v>0</v>
      </c>
    </row>
    <row r="1774" spans="1:9" x14ac:dyDescent="0.3">
      <c r="A1774" t="str">
        <f t="shared" si="81"/>
        <v>-</v>
      </c>
      <c r="B1774" t="str">
        <f t="shared" si="82"/>
        <v>0-</v>
      </c>
      <c r="H1774" t="str">
        <f>IFERROR(VLOOKUP(E1774,DC_Xref!A:B,2,FALSE),"")</f>
        <v/>
      </c>
      <c r="I1774">
        <f t="shared" si="83"/>
        <v>0</v>
      </c>
    </row>
    <row r="1775" spans="1:9" x14ac:dyDescent="0.3">
      <c r="A1775" t="str">
        <f t="shared" si="81"/>
        <v>-</v>
      </c>
      <c r="B1775" t="str">
        <f t="shared" si="82"/>
        <v>0-</v>
      </c>
      <c r="H1775" t="str">
        <f>IFERROR(VLOOKUP(E1775,DC_Xref!A:B,2,FALSE),"")</f>
        <v/>
      </c>
      <c r="I1775">
        <f t="shared" si="83"/>
        <v>0</v>
      </c>
    </row>
    <row r="1776" spans="1:9" x14ac:dyDescent="0.3">
      <c r="A1776" t="str">
        <f t="shared" si="81"/>
        <v>-</v>
      </c>
      <c r="B1776" t="str">
        <f t="shared" si="82"/>
        <v>0-</v>
      </c>
      <c r="H1776" t="str">
        <f>IFERROR(VLOOKUP(E1776,DC_Xref!A:B,2,FALSE),"")</f>
        <v/>
      </c>
      <c r="I1776">
        <f t="shared" si="83"/>
        <v>0</v>
      </c>
    </row>
    <row r="1777" spans="1:9" x14ac:dyDescent="0.3">
      <c r="A1777" t="str">
        <f t="shared" si="81"/>
        <v>-</v>
      </c>
      <c r="B1777" t="str">
        <f t="shared" si="82"/>
        <v>0-</v>
      </c>
      <c r="H1777" t="str">
        <f>IFERROR(VLOOKUP(E1777,DC_Xref!A:B,2,FALSE),"")</f>
        <v/>
      </c>
      <c r="I1777">
        <f t="shared" si="83"/>
        <v>0</v>
      </c>
    </row>
    <row r="1778" spans="1:9" x14ac:dyDescent="0.3">
      <c r="A1778" t="str">
        <f t="shared" si="81"/>
        <v>-</v>
      </c>
      <c r="B1778" t="str">
        <f t="shared" si="82"/>
        <v>0-</v>
      </c>
      <c r="H1778" t="str">
        <f>IFERROR(VLOOKUP(E1778,DC_Xref!A:B,2,FALSE),"")</f>
        <v/>
      </c>
      <c r="I1778">
        <f t="shared" si="83"/>
        <v>0</v>
      </c>
    </row>
    <row r="1779" spans="1:9" x14ac:dyDescent="0.3">
      <c r="A1779" t="str">
        <f t="shared" si="81"/>
        <v>-</v>
      </c>
      <c r="B1779" t="str">
        <f t="shared" si="82"/>
        <v>0-</v>
      </c>
      <c r="H1779" t="str">
        <f>IFERROR(VLOOKUP(E1779,DC_Xref!A:B,2,FALSE),"")</f>
        <v/>
      </c>
      <c r="I1779">
        <f t="shared" si="83"/>
        <v>0</v>
      </c>
    </row>
    <row r="1780" spans="1:9" x14ac:dyDescent="0.3">
      <c r="A1780" t="str">
        <f t="shared" si="81"/>
        <v>-</v>
      </c>
      <c r="B1780" t="str">
        <f t="shared" si="82"/>
        <v>0-</v>
      </c>
      <c r="H1780" t="str">
        <f>IFERROR(VLOOKUP(E1780,DC_Xref!A:B,2,FALSE),"")</f>
        <v/>
      </c>
      <c r="I1780">
        <f t="shared" si="83"/>
        <v>0</v>
      </c>
    </row>
    <row r="1781" spans="1:9" x14ac:dyDescent="0.3">
      <c r="A1781" t="str">
        <f t="shared" si="81"/>
        <v>-</v>
      </c>
      <c r="B1781" t="str">
        <f t="shared" si="82"/>
        <v>0-</v>
      </c>
      <c r="H1781" t="str">
        <f>IFERROR(VLOOKUP(E1781,DC_Xref!A:B,2,FALSE),"")</f>
        <v/>
      </c>
      <c r="I1781">
        <f t="shared" si="83"/>
        <v>0</v>
      </c>
    </row>
    <row r="1782" spans="1:9" x14ac:dyDescent="0.3">
      <c r="A1782" t="str">
        <f t="shared" si="81"/>
        <v>-</v>
      </c>
      <c r="B1782" t="str">
        <f t="shared" si="82"/>
        <v>0-</v>
      </c>
      <c r="H1782" t="str">
        <f>IFERROR(VLOOKUP(E1782,DC_Xref!A:B,2,FALSE),"")</f>
        <v/>
      </c>
      <c r="I1782">
        <f t="shared" si="83"/>
        <v>0</v>
      </c>
    </row>
    <row r="1783" spans="1:9" x14ac:dyDescent="0.3">
      <c r="A1783" t="str">
        <f t="shared" si="81"/>
        <v>-</v>
      </c>
      <c r="B1783" t="str">
        <f t="shared" si="82"/>
        <v>0-</v>
      </c>
      <c r="H1783" t="str">
        <f>IFERROR(VLOOKUP(E1783,DC_Xref!A:B,2,FALSE),"")</f>
        <v/>
      </c>
      <c r="I1783">
        <f t="shared" si="83"/>
        <v>0</v>
      </c>
    </row>
    <row r="1784" spans="1:9" x14ac:dyDescent="0.3">
      <c r="A1784" t="str">
        <f t="shared" si="81"/>
        <v>-</v>
      </c>
      <c r="B1784" t="str">
        <f t="shared" si="82"/>
        <v>0-</v>
      </c>
      <c r="H1784" t="str">
        <f>IFERROR(VLOOKUP(E1784,DC_Xref!A:B,2,FALSE),"")</f>
        <v/>
      </c>
      <c r="I1784">
        <f t="shared" si="83"/>
        <v>0</v>
      </c>
    </row>
    <row r="1785" spans="1:9" x14ac:dyDescent="0.3">
      <c r="A1785" t="str">
        <f t="shared" si="81"/>
        <v>-</v>
      </c>
      <c r="B1785" t="str">
        <f t="shared" si="82"/>
        <v>0-</v>
      </c>
      <c r="H1785" t="str">
        <f>IFERROR(VLOOKUP(E1785,DC_Xref!A:B,2,FALSE),"")</f>
        <v/>
      </c>
      <c r="I1785">
        <f t="shared" si="83"/>
        <v>0</v>
      </c>
    </row>
    <row r="1786" spans="1:9" x14ac:dyDescent="0.3">
      <c r="A1786" t="str">
        <f t="shared" si="81"/>
        <v>-</v>
      </c>
      <c r="B1786" t="str">
        <f t="shared" si="82"/>
        <v>0-</v>
      </c>
      <c r="H1786" t="str">
        <f>IFERROR(VLOOKUP(E1786,DC_Xref!A:B,2,FALSE),"")</f>
        <v/>
      </c>
      <c r="I1786">
        <f t="shared" si="83"/>
        <v>0</v>
      </c>
    </row>
    <row r="1787" spans="1:9" x14ac:dyDescent="0.3">
      <c r="A1787" t="str">
        <f t="shared" si="81"/>
        <v>-</v>
      </c>
      <c r="B1787" t="str">
        <f t="shared" si="82"/>
        <v>0-</v>
      </c>
      <c r="H1787" t="str">
        <f>IFERROR(VLOOKUP(E1787,DC_Xref!A:B,2,FALSE),"")</f>
        <v/>
      </c>
      <c r="I1787">
        <f t="shared" si="83"/>
        <v>0</v>
      </c>
    </row>
    <row r="1788" spans="1:9" x14ac:dyDescent="0.3">
      <c r="A1788" t="str">
        <f t="shared" si="81"/>
        <v>-</v>
      </c>
      <c r="B1788" t="str">
        <f t="shared" si="82"/>
        <v>0-</v>
      </c>
      <c r="H1788" t="str">
        <f>IFERROR(VLOOKUP(E1788,DC_Xref!A:B,2,FALSE),"")</f>
        <v/>
      </c>
      <c r="I1788">
        <f t="shared" si="83"/>
        <v>0</v>
      </c>
    </row>
    <row r="1789" spans="1:9" x14ac:dyDescent="0.3">
      <c r="A1789" t="str">
        <f t="shared" si="81"/>
        <v>-</v>
      </c>
      <c r="B1789" t="str">
        <f t="shared" si="82"/>
        <v>0-</v>
      </c>
      <c r="H1789" t="str">
        <f>IFERROR(VLOOKUP(E1789,DC_Xref!A:B,2,FALSE),"")</f>
        <v/>
      </c>
      <c r="I1789">
        <f t="shared" si="83"/>
        <v>0</v>
      </c>
    </row>
    <row r="1790" spans="1:9" x14ac:dyDescent="0.3">
      <c r="A1790" t="str">
        <f t="shared" si="81"/>
        <v>-</v>
      </c>
      <c r="B1790" t="str">
        <f t="shared" si="82"/>
        <v>0-</v>
      </c>
      <c r="H1790" t="str">
        <f>IFERROR(VLOOKUP(E1790,DC_Xref!A:B,2,FALSE),"")</f>
        <v/>
      </c>
      <c r="I1790">
        <f t="shared" si="83"/>
        <v>0</v>
      </c>
    </row>
    <row r="1791" spans="1:9" x14ac:dyDescent="0.3">
      <c r="A1791" t="str">
        <f t="shared" si="81"/>
        <v>-</v>
      </c>
      <c r="B1791" t="str">
        <f t="shared" si="82"/>
        <v>0-</v>
      </c>
      <c r="H1791" t="str">
        <f>IFERROR(VLOOKUP(E1791,DC_Xref!A:B,2,FALSE),"")</f>
        <v/>
      </c>
      <c r="I1791">
        <f t="shared" si="83"/>
        <v>0</v>
      </c>
    </row>
    <row r="1792" spans="1:9" x14ac:dyDescent="0.3">
      <c r="A1792" t="str">
        <f t="shared" si="81"/>
        <v>-</v>
      </c>
      <c r="B1792" t="str">
        <f t="shared" si="82"/>
        <v>0-</v>
      </c>
      <c r="H1792" t="str">
        <f>IFERROR(VLOOKUP(E1792,DC_Xref!A:B,2,FALSE),"")</f>
        <v/>
      </c>
      <c r="I1792">
        <f t="shared" si="83"/>
        <v>0</v>
      </c>
    </row>
    <row r="1793" spans="1:9" x14ac:dyDescent="0.3">
      <c r="A1793" t="str">
        <f t="shared" si="81"/>
        <v>-</v>
      </c>
      <c r="B1793" t="str">
        <f t="shared" si="82"/>
        <v>0-</v>
      </c>
      <c r="H1793" t="str">
        <f>IFERROR(VLOOKUP(E1793,DC_Xref!A:B,2,FALSE),"")</f>
        <v/>
      </c>
      <c r="I1793">
        <f t="shared" si="83"/>
        <v>0</v>
      </c>
    </row>
    <row r="1794" spans="1:9" x14ac:dyDescent="0.3">
      <c r="A1794" t="str">
        <f t="shared" ref="A1794:A1857" si="84">C1794&amp;"-"&amp;F1794</f>
        <v>-</v>
      </c>
      <c r="B1794" t="str">
        <f t="shared" ref="B1794:B1857" si="85">I1794&amp;"-"&amp;H1794</f>
        <v>0-</v>
      </c>
      <c r="H1794" t="str">
        <f>IFERROR(VLOOKUP(E1794,DC_Xref!A:B,2,FALSE),"")</f>
        <v/>
      </c>
      <c r="I1794">
        <f t="shared" ref="I1794:I1857" si="86">C1794*100+D1794</f>
        <v>0</v>
      </c>
    </row>
    <row r="1795" spans="1:9" x14ac:dyDescent="0.3">
      <c r="A1795" t="str">
        <f t="shared" si="84"/>
        <v>-</v>
      </c>
      <c r="B1795" t="str">
        <f t="shared" si="85"/>
        <v>0-</v>
      </c>
      <c r="H1795" t="str">
        <f>IFERROR(VLOOKUP(E1795,DC_Xref!A:B,2,FALSE),"")</f>
        <v/>
      </c>
      <c r="I1795">
        <f t="shared" si="86"/>
        <v>0</v>
      </c>
    </row>
    <row r="1796" spans="1:9" x14ac:dyDescent="0.3">
      <c r="A1796" t="str">
        <f t="shared" si="84"/>
        <v>-</v>
      </c>
      <c r="B1796" t="str">
        <f t="shared" si="85"/>
        <v>0-</v>
      </c>
      <c r="H1796" t="str">
        <f>IFERROR(VLOOKUP(E1796,DC_Xref!A:B,2,FALSE),"")</f>
        <v/>
      </c>
      <c r="I1796">
        <f t="shared" si="86"/>
        <v>0</v>
      </c>
    </row>
    <row r="1797" spans="1:9" x14ac:dyDescent="0.3">
      <c r="A1797" t="str">
        <f t="shared" si="84"/>
        <v>-</v>
      </c>
      <c r="B1797" t="str">
        <f t="shared" si="85"/>
        <v>0-</v>
      </c>
      <c r="H1797" t="str">
        <f>IFERROR(VLOOKUP(E1797,DC_Xref!A:B,2,FALSE),"")</f>
        <v/>
      </c>
      <c r="I1797">
        <f t="shared" si="86"/>
        <v>0</v>
      </c>
    </row>
    <row r="1798" spans="1:9" x14ac:dyDescent="0.3">
      <c r="A1798" t="str">
        <f t="shared" si="84"/>
        <v>-</v>
      </c>
      <c r="B1798" t="str">
        <f t="shared" si="85"/>
        <v>0-</v>
      </c>
      <c r="H1798" t="str">
        <f>IFERROR(VLOOKUP(E1798,DC_Xref!A:B,2,FALSE),"")</f>
        <v/>
      </c>
      <c r="I1798">
        <f t="shared" si="86"/>
        <v>0</v>
      </c>
    </row>
    <row r="1799" spans="1:9" x14ac:dyDescent="0.3">
      <c r="A1799" t="str">
        <f t="shared" si="84"/>
        <v>-</v>
      </c>
      <c r="B1799" t="str">
        <f t="shared" si="85"/>
        <v>0-</v>
      </c>
      <c r="H1799" t="str">
        <f>IFERROR(VLOOKUP(E1799,DC_Xref!A:B,2,FALSE),"")</f>
        <v/>
      </c>
      <c r="I1799">
        <f t="shared" si="86"/>
        <v>0</v>
      </c>
    </row>
    <row r="1800" spans="1:9" x14ac:dyDescent="0.3">
      <c r="A1800" t="str">
        <f t="shared" si="84"/>
        <v>-</v>
      </c>
      <c r="B1800" t="str">
        <f t="shared" si="85"/>
        <v>0-</v>
      </c>
      <c r="H1800" t="str">
        <f>IFERROR(VLOOKUP(E1800,DC_Xref!A:B,2,FALSE),"")</f>
        <v/>
      </c>
      <c r="I1800">
        <f t="shared" si="86"/>
        <v>0</v>
      </c>
    </row>
    <row r="1801" spans="1:9" x14ac:dyDescent="0.3">
      <c r="A1801" t="str">
        <f t="shared" si="84"/>
        <v>-</v>
      </c>
      <c r="B1801" t="str">
        <f t="shared" si="85"/>
        <v>0-</v>
      </c>
      <c r="H1801" t="str">
        <f>IFERROR(VLOOKUP(E1801,DC_Xref!A:B,2,FALSE),"")</f>
        <v/>
      </c>
      <c r="I1801">
        <f t="shared" si="86"/>
        <v>0</v>
      </c>
    </row>
    <row r="1802" spans="1:9" x14ac:dyDescent="0.3">
      <c r="A1802" t="str">
        <f t="shared" si="84"/>
        <v>-</v>
      </c>
      <c r="B1802" t="str">
        <f t="shared" si="85"/>
        <v>0-</v>
      </c>
      <c r="H1802" t="str">
        <f>IFERROR(VLOOKUP(E1802,DC_Xref!A:B,2,FALSE),"")</f>
        <v/>
      </c>
      <c r="I1802">
        <f t="shared" si="86"/>
        <v>0</v>
      </c>
    </row>
    <row r="1803" spans="1:9" x14ac:dyDescent="0.3">
      <c r="A1803" t="str">
        <f t="shared" si="84"/>
        <v>-</v>
      </c>
      <c r="B1803" t="str">
        <f t="shared" si="85"/>
        <v>0-</v>
      </c>
      <c r="H1803" t="str">
        <f>IFERROR(VLOOKUP(E1803,DC_Xref!A:B,2,FALSE),"")</f>
        <v/>
      </c>
      <c r="I1803">
        <f t="shared" si="86"/>
        <v>0</v>
      </c>
    </row>
    <row r="1804" spans="1:9" x14ac:dyDescent="0.3">
      <c r="A1804" t="str">
        <f t="shared" si="84"/>
        <v>-</v>
      </c>
      <c r="B1804" t="str">
        <f t="shared" si="85"/>
        <v>0-</v>
      </c>
      <c r="H1804" t="str">
        <f>IFERROR(VLOOKUP(E1804,DC_Xref!A:B,2,FALSE),"")</f>
        <v/>
      </c>
      <c r="I1804">
        <f t="shared" si="86"/>
        <v>0</v>
      </c>
    </row>
    <row r="1805" spans="1:9" x14ac:dyDescent="0.3">
      <c r="A1805" t="str">
        <f t="shared" si="84"/>
        <v>-</v>
      </c>
      <c r="B1805" t="str">
        <f t="shared" si="85"/>
        <v>0-</v>
      </c>
      <c r="H1805" t="str">
        <f>IFERROR(VLOOKUP(E1805,DC_Xref!A:B,2,FALSE),"")</f>
        <v/>
      </c>
      <c r="I1805">
        <f t="shared" si="86"/>
        <v>0</v>
      </c>
    </row>
    <row r="1806" spans="1:9" x14ac:dyDescent="0.3">
      <c r="A1806" t="str">
        <f t="shared" si="84"/>
        <v>-</v>
      </c>
      <c r="B1806" t="str">
        <f t="shared" si="85"/>
        <v>0-</v>
      </c>
      <c r="H1806" t="str">
        <f>IFERROR(VLOOKUP(E1806,DC_Xref!A:B,2,FALSE),"")</f>
        <v/>
      </c>
      <c r="I1806">
        <f t="shared" si="86"/>
        <v>0</v>
      </c>
    </row>
    <row r="1807" spans="1:9" x14ac:dyDescent="0.3">
      <c r="A1807" t="str">
        <f t="shared" si="84"/>
        <v>-</v>
      </c>
      <c r="B1807" t="str">
        <f t="shared" si="85"/>
        <v>0-</v>
      </c>
      <c r="H1807" t="str">
        <f>IFERROR(VLOOKUP(E1807,DC_Xref!A:B,2,FALSE),"")</f>
        <v/>
      </c>
      <c r="I1807">
        <f t="shared" si="86"/>
        <v>0</v>
      </c>
    </row>
    <row r="1808" spans="1:9" x14ac:dyDescent="0.3">
      <c r="A1808" t="str">
        <f t="shared" si="84"/>
        <v>-</v>
      </c>
      <c r="B1808" t="str">
        <f t="shared" si="85"/>
        <v>0-</v>
      </c>
      <c r="H1808" t="str">
        <f>IFERROR(VLOOKUP(E1808,DC_Xref!A:B,2,FALSE),"")</f>
        <v/>
      </c>
      <c r="I1808">
        <f t="shared" si="86"/>
        <v>0</v>
      </c>
    </row>
    <row r="1809" spans="1:9" x14ac:dyDescent="0.3">
      <c r="A1809" t="str">
        <f t="shared" si="84"/>
        <v>-</v>
      </c>
      <c r="B1809" t="str">
        <f t="shared" si="85"/>
        <v>0-</v>
      </c>
      <c r="H1809" t="str">
        <f>IFERROR(VLOOKUP(E1809,DC_Xref!A:B,2,FALSE),"")</f>
        <v/>
      </c>
      <c r="I1809">
        <f t="shared" si="86"/>
        <v>0</v>
      </c>
    </row>
    <row r="1810" spans="1:9" x14ac:dyDescent="0.3">
      <c r="A1810" t="str">
        <f t="shared" si="84"/>
        <v>-</v>
      </c>
      <c r="B1810" t="str">
        <f t="shared" si="85"/>
        <v>0-</v>
      </c>
      <c r="H1810" t="str">
        <f>IFERROR(VLOOKUP(E1810,DC_Xref!A:B,2,FALSE),"")</f>
        <v/>
      </c>
      <c r="I1810">
        <f t="shared" si="86"/>
        <v>0</v>
      </c>
    </row>
    <row r="1811" spans="1:9" x14ac:dyDescent="0.3">
      <c r="A1811" t="str">
        <f t="shared" si="84"/>
        <v>-</v>
      </c>
      <c r="B1811" t="str">
        <f t="shared" si="85"/>
        <v>0-</v>
      </c>
      <c r="H1811" t="str">
        <f>IFERROR(VLOOKUP(E1811,DC_Xref!A:B,2,FALSE),"")</f>
        <v/>
      </c>
      <c r="I1811">
        <f t="shared" si="86"/>
        <v>0</v>
      </c>
    </row>
    <row r="1812" spans="1:9" x14ac:dyDescent="0.3">
      <c r="A1812" t="str">
        <f t="shared" si="84"/>
        <v>-</v>
      </c>
      <c r="B1812" t="str">
        <f t="shared" si="85"/>
        <v>0-</v>
      </c>
      <c r="H1812" t="str">
        <f>IFERROR(VLOOKUP(E1812,DC_Xref!A:B,2,FALSE),"")</f>
        <v/>
      </c>
      <c r="I1812">
        <f t="shared" si="86"/>
        <v>0</v>
      </c>
    </row>
    <row r="1813" spans="1:9" x14ac:dyDescent="0.3">
      <c r="A1813" t="str">
        <f t="shared" si="84"/>
        <v>-</v>
      </c>
      <c r="B1813" t="str">
        <f t="shared" si="85"/>
        <v>0-</v>
      </c>
      <c r="H1813" t="str">
        <f>IFERROR(VLOOKUP(E1813,DC_Xref!A:B,2,FALSE),"")</f>
        <v/>
      </c>
      <c r="I1813">
        <f t="shared" si="86"/>
        <v>0</v>
      </c>
    </row>
    <row r="1814" spans="1:9" x14ac:dyDescent="0.3">
      <c r="A1814" t="str">
        <f t="shared" si="84"/>
        <v>-</v>
      </c>
      <c r="B1814" t="str">
        <f t="shared" si="85"/>
        <v>0-</v>
      </c>
      <c r="H1814" t="str">
        <f>IFERROR(VLOOKUP(E1814,DC_Xref!A:B,2,FALSE),"")</f>
        <v/>
      </c>
      <c r="I1814">
        <f t="shared" si="86"/>
        <v>0</v>
      </c>
    </row>
    <row r="1815" spans="1:9" x14ac:dyDescent="0.3">
      <c r="A1815" t="str">
        <f t="shared" si="84"/>
        <v>-</v>
      </c>
      <c r="B1815" t="str">
        <f t="shared" si="85"/>
        <v>0-</v>
      </c>
      <c r="H1815" t="str">
        <f>IFERROR(VLOOKUP(E1815,DC_Xref!A:B,2,FALSE),"")</f>
        <v/>
      </c>
      <c r="I1815">
        <f t="shared" si="86"/>
        <v>0</v>
      </c>
    </row>
    <row r="1816" spans="1:9" x14ac:dyDescent="0.3">
      <c r="A1816" t="str">
        <f t="shared" si="84"/>
        <v>-</v>
      </c>
      <c r="B1816" t="str">
        <f t="shared" si="85"/>
        <v>0-</v>
      </c>
      <c r="H1816" t="str">
        <f>IFERROR(VLOOKUP(E1816,DC_Xref!A:B,2,FALSE),"")</f>
        <v/>
      </c>
      <c r="I1816">
        <f t="shared" si="86"/>
        <v>0</v>
      </c>
    </row>
    <row r="1817" spans="1:9" x14ac:dyDescent="0.3">
      <c r="A1817" t="str">
        <f t="shared" si="84"/>
        <v>-</v>
      </c>
      <c r="B1817" t="str">
        <f t="shared" si="85"/>
        <v>0-</v>
      </c>
      <c r="H1817" t="str">
        <f>IFERROR(VLOOKUP(E1817,DC_Xref!A:B,2,FALSE),"")</f>
        <v/>
      </c>
      <c r="I1817">
        <f t="shared" si="86"/>
        <v>0</v>
      </c>
    </row>
    <row r="1818" spans="1:9" x14ac:dyDescent="0.3">
      <c r="A1818" t="str">
        <f t="shared" si="84"/>
        <v>-</v>
      </c>
      <c r="B1818" t="str">
        <f t="shared" si="85"/>
        <v>0-</v>
      </c>
      <c r="H1818" t="str">
        <f>IFERROR(VLOOKUP(E1818,DC_Xref!A:B,2,FALSE),"")</f>
        <v/>
      </c>
      <c r="I1818">
        <f t="shared" si="86"/>
        <v>0</v>
      </c>
    </row>
    <row r="1819" spans="1:9" x14ac:dyDescent="0.3">
      <c r="A1819" t="str">
        <f t="shared" si="84"/>
        <v>-</v>
      </c>
      <c r="B1819" t="str">
        <f t="shared" si="85"/>
        <v>0-</v>
      </c>
      <c r="H1819" t="str">
        <f>IFERROR(VLOOKUP(E1819,DC_Xref!A:B,2,FALSE),"")</f>
        <v/>
      </c>
      <c r="I1819">
        <f t="shared" si="86"/>
        <v>0</v>
      </c>
    </row>
    <row r="1820" spans="1:9" x14ac:dyDescent="0.3">
      <c r="A1820" t="str">
        <f t="shared" si="84"/>
        <v>-</v>
      </c>
      <c r="B1820" t="str">
        <f t="shared" si="85"/>
        <v>0-</v>
      </c>
      <c r="H1820" t="str">
        <f>IFERROR(VLOOKUP(E1820,DC_Xref!A:B,2,FALSE),"")</f>
        <v/>
      </c>
      <c r="I1820">
        <f t="shared" si="86"/>
        <v>0</v>
      </c>
    </row>
    <row r="1821" spans="1:9" x14ac:dyDescent="0.3">
      <c r="A1821" t="str">
        <f t="shared" si="84"/>
        <v>-</v>
      </c>
      <c r="B1821" t="str">
        <f t="shared" si="85"/>
        <v>0-</v>
      </c>
      <c r="H1821" t="str">
        <f>IFERROR(VLOOKUP(E1821,DC_Xref!A:B,2,FALSE),"")</f>
        <v/>
      </c>
      <c r="I1821">
        <f t="shared" si="86"/>
        <v>0</v>
      </c>
    </row>
    <row r="1822" spans="1:9" x14ac:dyDescent="0.3">
      <c r="A1822" t="str">
        <f t="shared" si="84"/>
        <v>-</v>
      </c>
      <c r="B1822" t="str">
        <f t="shared" si="85"/>
        <v>0-</v>
      </c>
      <c r="H1822" t="str">
        <f>IFERROR(VLOOKUP(E1822,DC_Xref!A:B,2,FALSE),"")</f>
        <v/>
      </c>
      <c r="I1822">
        <f t="shared" si="86"/>
        <v>0</v>
      </c>
    </row>
    <row r="1823" spans="1:9" x14ac:dyDescent="0.3">
      <c r="A1823" t="str">
        <f t="shared" si="84"/>
        <v>-</v>
      </c>
      <c r="B1823" t="str">
        <f t="shared" si="85"/>
        <v>0-</v>
      </c>
      <c r="H1823" t="str">
        <f>IFERROR(VLOOKUP(E1823,DC_Xref!A:B,2,FALSE),"")</f>
        <v/>
      </c>
      <c r="I1823">
        <f t="shared" si="86"/>
        <v>0</v>
      </c>
    </row>
    <row r="1824" spans="1:9" x14ac:dyDescent="0.3">
      <c r="A1824" t="str">
        <f t="shared" si="84"/>
        <v>-</v>
      </c>
      <c r="B1824" t="str">
        <f t="shared" si="85"/>
        <v>0-</v>
      </c>
      <c r="H1824" t="str">
        <f>IFERROR(VLOOKUP(E1824,DC_Xref!A:B,2,FALSE),"")</f>
        <v/>
      </c>
      <c r="I1824">
        <f t="shared" si="86"/>
        <v>0</v>
      </c>
    </row>
    <row r="1825" spans="1:9" x14ac:dyDescent="0.3">
      <c r="A1825" t="str">
        <f t="shared" si="84"/>
        <v>-</v>
      </c>
      <c r="B1825" t="str">
        <f t="shared" si="85"/>
        <v>0-</v>
      </c>
      <c r="H1825" t="str">
        <f>IFERROR(VLOOKUP(E1825,DC_Xref!A:B,2,FALSE),"")</f>
        <v/>
      </c>
      <c r="I1825">
        <f t="shared" si="86"/>
        <v>0</v>
      </c>
    </row>
    <row r="1826" spans="1:9" x14ac:dyDescent="0.3">
      <c r="A1826" t="str">
        <f t="shared" si="84"/>
        <v>-</v>
      </c>
      <c r="B1826" t="str">
        <f t="shared" si="85"/>
        <v>0-</v>
      </c>
      <c r="H1826" t="str">
        <f>IFERROR(VLOOKUP(E1826,DC_Xref!A:B,2,FALSE),"")</f>
        <v/>
      </c>
      <c r="I1826">
        <f t="shared" si="86"/>
        <v>0</v>
      </c>
    </row>
    <row r="1827" spans="1:9" x14ac:dyDescent="0.3">
      <c r="A1827" t="str">
        <f t="shared" si="84"/>
        <v>-</v>
      </c>
      <c r="B1827" t="str">
        <f t="shared" si="85"/>
        <v>0-</v>
      </c>
      <c r="H1827" t="str">
        <f>IFERROR(VLOOKUP(E1827,DC_Xref!A:B,2,FALSE),"")</f>
        <v/>
      </c>
      <c r="I1827">
        <f t="shared" si="86"/>
        <v>0</v>
      </c>
    </row>
    <row r="1828" spans="1:9" x14ac:dyDescent="0.3">
      <c r="A1828" t="str">
        <f t="shared" si="84"/>
        <v>-</v>
      </c>
      <c r="B1828" t="str">
        <f t="shared" si="85"/>
        <v>0-</v>
      </c>
      <c r="H1828" t="str">
        <f>IFERROR(VLOOKUP(E1828,DC_Xref!A:B,2,FALSE),"")</f>
        <v/>
      </c>
      <c r="I1828">
        <f t="shared" si="86"/>
        <v>0</v>
      </c>
    </row>
    <row r="1829" spans="1:9" x14ac:dyDescent="0.3">
      <c r="A1829" t="str">
        <f t="shared" si="84"/>
        <v>-</v>
      </c>
      <c r="B1829" t="str">
        <f t="shared" si="85"/>
        <v>0-</v>
      </c>
      <c r="H1829" t="str">
        <f>IFERROR(VLOOKUP(E1829,DC_Xref!A:B,2,FALSE),"")</f>
        <v/>
      </c>
      <c r="I1829">
        <f t="shared" si="86"/>
        <v>0</v>
      </c>
    </row>
    <row r="1830" spans="1:9" x14ac:dyDescent="0.3">
      <c r="A1830" t="str">
        <f t="shared" si="84"/>
        <v>-</v>
      </c>
      <c r="B1830" t="str">
        <f t="shared" si="85"/>
        <v>0-</v>
      </c>
      <c r="H1830" t="str">
        <f>IFERROR(VLOOKUP(E1830,DC_Xref!A:B,2,FALSE),"")</f>
        <v/>
      </c>
      <c r="I1830">
        <f t="shared" si="86"/>
        <v>0</v>
      </c>
    </row>
    <row r="1831" spans="1:9" x14ac:dyDescent="0.3">
      <c r="A1831" t="str">
        <f t="shared" si="84"/>
        <v>-</v>
      </c>
      <c r="B1831" t="str">
        <f t="shared" si="85"/>
        <v>0-</v>
      </c>
      <c r="H1831" t="str">
        <f>IFERROR(VLOOKUP(E1831,DC_Xref!A:B,2,FALSE),"")</f>
        <v/>
      </c>
      <c r="I1831">
        <f t="shared" si="86"/>
        <v>0</v>
      </c>
    </row>
    <row r="1832" spans="1:9" x14ac:dyDescent="0.3">
      <c r="A1832" t="str">
        <f t="shared" si="84"/>
        <v>-</v>
      </c>
      <c r="B1832" t="str">
        <f t="shared" si="85"/>
        <v>0-</v>
      </c>
      <c r="H1832" t="str">
        <f>IFERROR(VLOOKUP(E1832,DC_Xref!A:B,2,FALSE),"")</f>
        <v/>
      </c>
      <c r="I1832">
        <f t="shared" si="86"/>
        <v>0</v>
      </c>
    </row>
    <row r="1833" spans="1:9" x14ac:dyDescent="0.3">
      <c r="A1833" t="str">
        <f t="shared" si="84"/>
        <v>-</v>
      </c>
      <c r="B1833" t="str">
        <f t="shared" si="85"/>
        <v>0-</v>
      </c>
      <c r="H1833" t="str">
        <f>IFERROR(VLOOKUP(E1833,DC_Xref!A:B,2,FALSE),"")</f>
        <v/>
      </c>
      <c r="I1833">
        <f t="shared" si="86"/>
        <v>0</v>
      </c>
    </row>
    <row r="1834" spans="1:9" x14ac:dyDescent="0.3">
      <c r="A1834" t="str">
        <f t="shared" si="84"/>
        <v>-</v>
      </c>
      <c r="B1834" t="str">
        <f t="shared" si="85"/>
        <v>0-</v>
      </c>
      <c r="H1834" t="str">
        <f>IFERROR(VLOOKUP(E1834,DC_Xref!A:B,2,FALSE),"")</f>
        <v/>
      </c>
      <c r="I1834">
        <f t="shared" si="86"/>
        <v>0</v>
      </c>
    </row>
    <row r="1835" spans="1:9" x14ac:dyDescent="0.3">
      <c r="A1835" t="str">
        <f t="shared" si="84"/>
        <v>-</v>
      </c>
      <c r="B1835" t="str">
        <f t="shared" si="85"/>
        <v>0-</v>
      </c>
      <c r="H1835" t="str">
        <f>IFERROR(VLOOKUP(E1835,DC_Xref!A:B,2,FALSE),"")</f>
        <v/>
      </c>
      <c r="I1835">
        <f t="shared" si="86"/>
        <v>0</v>
      </c>
    </row>
    <row r="1836" spans="1:9" x14ac:dyDescent="0.3">
      <c r="A1836" t="str">
        <f t="shared" si="84"/>
        <v>-</v>
      </c>
      <c r="B1836" t="str">
        <f t="shared" si="85"/>
        <v>0-</v>
      </c>
      <c r="H1836" t="str">
        <f>IFERROR(VLOOKUP(E1836,DC_Xref!A:B,2,FALSE),"")</f>
        <v/>
      </c>
      <c r="I1836">
        <f t="shared" si="86"/>
        <v>0</v>
      </c>
    </row>
    <row r="1837" spans="1:9" x14ac:dyDescent="0.3">
      <c r="A1837" t="str">
        <f t="shared" si="84"/>
        <v>-</v>
      </c>
      <c r="B1837" t="str">
        <f t="shared" si="85"/>
        <v>0-</v>
      </c>
      <c r="H1837" t="str">
        <f>IFERROR(VLOOKUP(E1837,DC_Xref!A:B,2,FALSE),"")</f>
        <v/>
      </c>
      <c r="I1837">
        <f t="shared" si="86"/>
        <v>0</v>
      </c>
    </row>
    <row r="1838" spans="1:9" x14ac:dyDescent="0.3">
      <c r="A1838" t="str">
        <f t="shared" si="84"/>
        <v>-</v>
      </c>
      <c r="B1838" t="str">
        <f t="shared" si="85"/>
        <v>0-</v>
      </c>
      <c r="H1838" t="str">
        <f>IFERROR(VLOOKUP(E1838,DC_Xref!A:B,2,FALSE),"")</f>
        <v/>
      </c>
      <c r="I1838">
        <f t="shared" si="86"/>
        <v>0</v>
      </c>
    </row>
    <row r="1839" spans="1:9" x14ac:dyDescent="0.3">
      <c r="A1839" t="str">
        <f t="shared" si="84"/>
        <v>-</v>
      </c>
      <c r="B1839" t="str">
        <f t="shared" si="85"/>
        <v>0-</v>
      </c>
      <c r="H1839" t="str">
        <f>IFERROR(VLOOKUP(E1839,DC_Xref!A:B,2,FALSE),"")</f>
        <v/>
      </c>
      <c r="I1839">
        <f t="shared" si="86"/>
        <v>0</v>
      </c>
    </row>
    <row r="1840" spans="1:9" x14ac:dyDescent="0.3">
      <c r="A1840" t="str">
        <f t="shared" si="84"/>
        <v>-</v>
      </c>
      <c r="B1840" t="str">
        <f t="shared" si="85"/>
        <v>0-</v>
      </c>
      <c r="H1840" t="str">
        <f>IFERROR(VLOOKUP(E1840,DC_Xref!A:B,2,FALSE),"")</f>
        <v/>
      </c>
      <c r="I1840">
        <f t="shared" si="86"/>
        <v>0</v>
      </c>
    </row>
    <row r="1841" spans="1:9" x14ac:dyDescent="0.3">
      <c r="A1841" t="str">
        <f t="shared" si="84"/>
        <v>-</v>
      </c>
      <c r="B1841" t="str">
        <f t="shared" si="85"/>
        <v>0-</v>
      </c>
      <c r="H1841" t="str">
        <f>IFERROR(VLOOKUP(E1841,DC_Xref!A:B,2,FALSE),"")</f>
        <v/>
      </c>
      <c r="I1841">
        <f t="shared" si="86"/>
        <v>0</v>
      </c>
    </row>
    <row r="1842" spans="1:9" x14ac:dyDescent="0.3">
      <c r="A1842" t="str">
        <f t="shared" si="84"/>
        <v>-</v>
      </c>
      <c r="B1842" t="str">
        <f t="shared" si="85"/>
        <v>0-</v>
      </c>
      <c r="H1842" t="str">
        <f>IFERROR(VLOOKUP(E1842,DC_Xref!A:B,2,FALSE),"")</f>
        <v/>
      </c>
      <c r="I1842">
        <f t="shared" si="86"/>
        <v>0</v>
      </c>
    </row>
    <row r="1843" spans="1:9" x14ac:dyDescent="0.3">
      <c r="A1843" t="str">
        <f t="shared" si="84"/>
        <v>-</v>
      </c>
      <c r="B1843" t="str">
        <f t="shared" si="85"/>
        <v>0-</v>
      </c>
      <c r="H1843" t="str">
        <f>IFERROR(VLOOKUP(E1843,DC_Xref!A:B,2,FALSE),"")</f>
        <v/>
      </c>
      <c r="I1843">
        <f t="shared" si="86"/>
        <v>0</v>
      </c>
    </row>
    <row r="1844" spans="1:9" x14ac:dyDescent="0.3">
      <c r="A1844" t="str">
        <f t="shared" si="84"/>
        <v>-</v>
      </c>
      <c r="B1844" t="str">
        <f t="shared" si="85"/>
        <v>0-</v>
      </c>
      <c r="H1844" t="str">
        <f>IFERROR(VLOOKUP(E1844,DC_Xref!A:B,2,FALSE),"")</f>
        <v/>
      </c>
      <c r="I1844">
        <f t="shared" si="86"/>
        <v>0</v>
      </c>
    </row>
    <row r="1845" spans="1:9" x14ac:dyDescent="0.3">
      <c r="A1845" t="str">
        <f t="shared" si="84"/>
        <v>-</v>
      </c>
      <c r="B1845" t="str">
        <f t="shared" si="85"/>
        <v>0-</v>
      </c>
      <c r="H1845" t="str">
        <f>IFERROR(VLOOKUP(E1845,DC_Xref!A:B,2,FALSE),"")</f>
        <v/>
      </c>
      <c r="I1845">
        <f t="shared" si="86"/>
        <v>0</v>
      </c>
    </row>
    <row r="1846" spans="1:9" x14ac:dyDescent="0.3">
      <c r="A1846" t="str">
        <f t="shared" si="84"/>
        <v>-</v>
      </c>
      <c r="B1846" t="str">
        <f t="shared" si="85"/>
        <v>0-</v>
      </c>
      <c r="H1846" t="str">
        <f>IFERROR(VLOOKUP(E1846,DC_Xref!A:B,2,FALSE),"")</f>
        <v/>
      </c>
      <c r="I1846">
        <f t="shared" si="86"/>
        <v>0</v>
      </c>
    </row>
    <row r="1847" spans="1:9" x14ac:dyDescent="0.3">
      <c r="A1847" t="str">
        <f t="shared" si="84"/>
        <v>-</v>
      </c>
      <c r="B1847" t="str">
        <f t="shared" si="85"/>
        <v>0-</v>
      </c>
      <c r="H1847" t="str">
        <f>IFERROR(VLOOKUP(E1847,DC_Xref!A:B,2,FALSE),"")</f>
        <v/>
      </c>
      <c r="I1847">
        <f t="shared" si="86"/>
        <v>0</v>
      </c>
    </row>
    <row r="1848" spans="1:9" x14ac:dyDescent="0.3">
      <c r="A1848" t="str">
        <f t="shared" si="84"/>
        <v>-</v>
      </c>
      <c r="B1848" t="str">
        <f t="shared" si="85"/>
        <v>0-</v>
      </c>
      <c r="H1848" t="str">
        <f>IFERROR(VLOOKUP(E1848,DC_Xref!A:B,2,FALSE),"")</f>
        <v/>
      </c>
      <c r="I1848">
        <f t="shared" si="86"/>
        <v>0</v>
      </c>
    </row>
    <row r="1849" spans="1:9" x14ac:dyDescent="0.3">
      <c r="A1849" t="str">
        <f t="shared" si="84"/>
        <v>-</v>
      </c>
      <c r="B1849" t="str">
        <f t="shared" si="85"/>
        <v>0-</v>
      </c>
      <c r="H1849" t="str">
        <f>IFERROR(VLOOKUP(E1849,DC_Xref!A:B,2,FALSE),"")</f>
        <v/>
      </c>
      <c r="I1849">
        <f t="shared" si="86"/>
        <v>0</v>
      </c>
    </row>
    <row r="1850" spans="1:9" x14ac:dyDescent="0.3">
      <c r="A1850" t="str">
        <f t="shared" si="84"/>
        <v>-</v>
      </c>
      <c r="B1850" t="str">
        <f t="shared" si="85"/>
        <v>0-</v>
      </c>
      <c r="H1850" t="str">
        <f>IFERROR(VLOOKUP(E1850,DC_Xref!A:B,2,FALSE),"")</f>
        <v/>
      </c>
      <c r="I1850">
        <f t="shared" si="86"/>
        <v>0</v>
      </c>
    </row>
    <row r="1851" spans="1:9" x14ac:dyDescent="0.3">
      <c r="A1851" t="str">
        <f t="shared" si="84"/>
        <v>-</v>
      </c>
      <c r="B1851" t="str">
        <f t="shared" si="85"/>
        <v>0-</v>
      </c>
      <c r="H1851" t="str">
        <f>IFERROR(VLOOKUP(E1851,DC_Xref!A:B,2,FALSE),"")</f>
        <v/>
      </c>
      <c r="I1851">
        <f t="shared" si="86"/>
        <v>0</v>
      </c>
    </row>
    <row r="1852" spans="1:9" x14ac:dyDescent="0.3">
      <c r="A1852" t="str">
        <f t="shared" si="84"/>
        <v>-</v>
      </c>
      <c r="B1852" t="str">
        <f t="shared" si="85"/>
        <v>0-</v>
      </c>
      <c r="H1852" t="str">
        <f>IFERROR(VLOOKUP(E1852,DC_Xref!A:B,2,FALSE),"")</f>
        <v/>
      </c>
      <c r="I1852">
        <f t="shared" si="86"/>
        <v>0</v>
      </c>
    </row>
    <row r="1853" spans="1:9" x14ac:dyDescent="0.3">
      <c r="A1853" t="str">
        <f t="shared" si="84"/>
        <v>-</v>
      </c>
      <c r="B1853" t="str">
        <f t="shared" si="85"/>
        <v>0-</v>
      </c>
      <c r="H1853" t="str">
        <f>IFERROR(VLOOKUP(E1853,DC_Xref!A:B,2,FALSE),"")</f>
        <v/>
      </c>
      <c r="I1853">
        <f t="shared" si="86"/>
        <v>0</v>
      </c>
    </row>
    <row r="1854" spans="1:9" x14ac:dyDescent="0.3">
      <c r="A1854" t="str">
        <f t="shared" si="84"/>
        <v>-</v>
      </c>
      <c r="B1854" t="str">
        <f t="shared" si="85"/>
        <v>0-</v>
      </c>
      <c r="H1854" t="str">
        <f>IFERROR(VLOOKUP(E1854,DC_Xref!A:B,2,FALSE),"")</f>
        <v/>
      </c>
      <c r="I1854">
        <f t="shared" si="86"/>
        <v>0</v>
      </c>
    </row>
    <row r="1855" spans="1:9" x14ac:dyDescent="0.3">
      <c r="A1855" t="str">
        <f t="shared" si="84"/>
        <v>-</v>
      </c>
      <c r="B1855" t="str">
        <f t="shared" si="85"/>
        <v>0-</v>
      </c>
      <c r="H1855" t="str">
        <f>IFERROR(VLOOKUP(E1855,DC_Xref!A:B,2,FALSE),"")</f>
        <v/>
      </c>
      <c r="I1855">
        <f t="shared" si="86"/>
        <v>0</v>
      </c>
    </row>
    <row r="1856" spans="1:9" x14ac:dyDescent="0.3">
      <c r="A1856" t="str">
        <f t="shared" si="84"/>
        <v>-</v>
      </c>
      <c r="B1856" t="str">
        <f t="shared" si="85"/>
        <v>0-</v>
      </c>
      <c r="H1856" t="str">
        <f>IFERROR(VLOOKUP(E1856,DC_Xref!A:B,2,FALSE),"")</f>
        <v/>
      </c>
      <c r="I1856">
        <f t="shared" si="86"/>
        <v>0</v>
      </c>
    </row>
    <row r="1857" spans="1:9" x14ac:dyDescent="0.3">
      <c r="A1857" t="str">
        <f t="shared" si="84"/>
        <v>-</v>
      </c>
      <c r="B1857" t="str">
        <f t="shared" si="85"/>
        <v>0-</v>
      </c>
      <c r="H1857" t="str">
        <f>IFERROR(VLOOKUP(E1857,DC_Xref!A:B,2,FALSE),"")</f>
        <v/>
      </c>
      <c r="I1857">
        <f t="shared" si="86"/>
        <v>0</v>
      </c>
    </row>
    <row r="1858" spans="1:9" x14ac:dyDescent="0.3">
      <c r="A1858" t="str">
        <f t="shared" ref="A1858:A1921" si="87">C1858&amp;"-"&amp;F1858</f>
        <v>-</v>
      </c>
      <c r="B1858" t="str">
        <f t="shared" ref="B1858:B1921" si="88">I1858&amp;"-"&amp;H1858</f>
        <v>0-</v>
      </c>
      <c r="H1858" t="str">
        <f>IFERROR(VLOOKUP(E1858,DC_Xref!A:B,2,FALSE),"")</f>
        <v/>
      </c>
      <c r="I1858">
        <f t="shared" ref="I1858:I1921" si="89">C1858*100+D1858</f>
        <v>0</v>
      </c>
    </row>
    <row r="1859" spans="1:9" x14ac:dyDescent="0.3">
      <c r="A1859" t="str">
        <f t="shared" si="87"/>
        <v>-</v>
      </c>
      <c r="B1859" t="str">
        <f t="shared" si="88"/>
        <v>0-</v>
      </c>
      <c r="H1859" t="str">
        <f>IFERROR(VLOOKUP(E1859,DC_Xref!A:B,2,FALSE),"")</f>
        <v/>
      </c>
      <c r="I1859">
        <f t="shared" si="89"/>
        <v>0</v>
      </c>
    </row>
    <row r="1860" spans="1:9" x14ac:dyDescent="0.3">
      <c r="A1860" t="str">
        <f t="shared" si="87"/>
        <v>-</v>
      </c>
      <c r="B1860" t="str">
        <f t="shared" si="88"/>
        <v>0-</v>
      </c>
      <c r="H1860" t="str">
        <f>IFERROR(VLOOKUP(E1860,DC_Xref!A:B,2,FALSE),"")</f>
        <v/>
      </c>
      <c r="I1860">
        <f t="shared" si="89"/>
        <v>0</v>
      </c>
    </row>
    <row r="1861" spans="1:9" x14ac:dyDescent="0.3">
      <c r="A1861" t="str">
        <f t="shared" si="87"/>
        <v>-</v>
      </c>
      <c r="B1861" t="str">
        <f t="shared" si="88"/>
        <v>0-</v>
      </c>
      <c r="H1861" t="str">
        <f>IFERROR(VLOOKUP(E1861,DC_Xref!A:B,2,FALSE),"")</f>
        <v/>
      </c>
      <c r="I1861">
        <f t="shared" si="89"/>
        <v>0</v>
      </c>
    </row>
    <row r="1862" spans="1:9" x14ac:dyDescent="0.3">
      <c r="A1862" t="str">
        <f t="shared" si="87"/>
        <v>-</v>
      </c>
      <c r="B1862" t="str">
        <f t="shared" si="88"/>
        <v>0-</v>
      </c>
      <c r="H1862" t="str">
        <f>IFERROR(VLOOKUP(E1862,DC_Xref!A:B,2,FALSE),"")</f>
        <v/>
      </c>
      <c r="I1862">
        <f t="shared" si="89"/>
        <v>0</v>
      </c>
    </row>
    <row r="1863" spans="1:9" x14ac:dyDescent="0.3">
      <c r="A1863" t="str">
        <f t="shared" si="87"/>
        <v>-</v>
      </c>
      <c r="B1863" t="str">
        <f t="shared" si="88"/>
        <v>0-</v>
      </c>
      <c r="H1863" t="str">
        <f>IFERROR(VLOOKUP(E1863,DC_Xref!A:B,2,FALSE),"")</f>
        <v/>
      </c>
      <c r="I1863">
        <f t="shared" si="89"/>
        <v>0</v>
      </c>
    </row>
    <row r="1864" spans="1:9" x14ac:dyDescent="0.3">
      <c r="A1864" t="str">
        <f t="shared" si="87"/>
        <v>-</v>
      </c>
      <c r="B1864" t="str">
        <f t="shared" si="88"/>
        <v>0-</v>
      </c>
      <c r="H1864" t="str">
        <f>IFERROR(VLOOKUP(E1864,DC_Xref!A:B,2,FALSE),"")</f>
        <v/>
      </c>
      <c r="I1864">
        <f t="shared" si="89"/>
        <v>0</v>
      </c>
    </row>
    <row r="1865" spans="1:9" x14ac:dyDescent="0.3">
      <c r="A1865" t="str">
        <f t="shared" si="87"/>
        <v>-</v>
      </c>
      <c r="B1865" t="str">
        <f t="shared" si="88"/>
        <v>0-</v>
      </c>
      <c r="H1865" t="str">
        <f>IFERROR(VLOOKUP(E1865,DC_Xref!A:B,2,FALSE),"")</f>
        <v/>
      </c>
      <c r="I1865">
        <f t="shared" si="89"/>
        <v>0</v>
      </c>
    </row>
    <row r="1866" spans="1:9" x14ac:dyDescent="0.3">
      <c r="A1866" t="str">
        <f t="shared" si="87"/>
        <v>-</v>
      </c>
      <c r="B1866" t="str">
        <f t="shared" si="88"/>
        <v>0-</v>
      </c>
      <c r="H1866" t="str">
        <f>IFERROR(VLOOKUP(E1866,DC_Xref!A:B,2,FALSE),"")</f>
        <v/>
      </c>
      <c r="I1866">
        <f t="shared" si="89"/>
        <v>0</v>
      </c>
    </row>
    <row r="1867" spans="1:9" x14ac:dyDescent="0.3">
      <c r="A1867" t="str">
        <f t="shared" si="87"/>
        <v>-</v>
      </c>
      <c r="B1867" t="str">
        <f t="shared" si="88"/>
        <v>0-</v>
      </c>
      <c r="H1867" t="str">
        <f>IFERROR(VLOOKUP(E1867,DC_Xref!A:B,2,FALSE),"")</f>
        <v/>
      </c>
      <c r="I1867">
        <f t="shared" si="89"/>
        <v>0</v>
      </c>
    </row>
    <row r="1868" spans="1:9" x14ac:dyDescent="0.3">
      <c r="A1868" t="str">
        <f t="shared" si="87"/>
        <v>-</v>
      </c>
      <c r="B1868" t="str">
        <f t="shared" si="88"/>
        <v>0-</v>
      </c>
      <c r="H1868" t="str">
        <f>IFERROR(VLOOKUP(E1868,DC_Xref!A:B,2,FALSE),"")</f>
        <v/>
      </c>
      <c r="I1868">
        <f t="shared" si="89"/>
        <v>0</v>
      </c>
    </row>
    <row r="1869" spans="1:9" x14ac:dyDescent="0.3">
      <c r="A1869" t="str">
        <f t="shared" si="87"/>
        <v>-</v>
      </c>
      <c r="B1869" t="str">
        <f t="shared" si="88"/>
        <v>0-</v>
      </c>
      <c r="H1869" t="str">
        <f>IFERROR(VLOOKUP(E1869,DC_Xref!A:B,2,FALSE),"")</f>
        <v/>
      </c>
      <c r="I1869">
        <f t="shared" si="89"/>
        <v>0</v>
      </c>
    </row>
    <row r="1870" spans="1:9" x14ac:dyDescent="0.3">
      <c r="A1870" t="str">
        <f t="shared" si="87"/>
        <v>-</v>
      </c>
      <c r="B1870" t="str">
        <f t="shared" si="88"/>
        <v>0-</v>
      </c>
      <c r="H1870" t="str">
        <f>IFERROR(VLOOKUP(E1870,DC_Xref!A:B,2,FALSE),"")</f>
        <v/>
      </c>
      <c r="I1870">
        <f t="shared" si="89"/>
        <v>0</v>
      </c>
    </row>
    <row r="1871" spans="1:9" x14ac:dyDescent="0.3">
      <c r="A1871" t="str">
        <f t="shared" si="87"/>
        <v>-</v>
      </c>
      <c r="B1871" t="str">
        <f t="shared" si="88"/>
        <v>0-</v>
      </c>
      <c r="H1871" t="str">
        <f>IFERROR(VLOOKUP(E1871,DC_Xref!A:B,2,FALSE),"")</f>
        <v/>
      </c>
      <c r="I1871">
        <f t="shared" si="89"/>
        <v>0</v>
      </c>
    </row>
    <row r="1872" spans="1:9" x14ac:dyDescent="0.3">
      <c r="A1872" t="str">
        <f t="shared" si="87"/>
        <v>-</v>
      </c>
      <c r="B1872" t="str">
        <f t="shared" si="88"/>
        <v>0-</v>
      </c>
      <c r="H1872" t="str">
        <f>IFERROR(VLOOKUP(E1872,DC_Xref!A:B,2,FALSE),"")</f>
        <v/>
      </c>
      <c r="I1872">
        <f t="shared" si="89"/>
        <v>0</v>
      </c>
    </row>
    <row r="1873" spans="1:9" x14ac:dyDescent="0.3">
      <c r="A1873" t="str">
        <f t="shared" si="87"/>
        <v>-</v>
      </c>
      <c r="B1873" t="str">
        <f t="shared" si="88"/>
        <v>0-</v>
      </c>
      <c r="H1873" t="str">
        <f>IFERROR(VLOOKUP(E1873,DC_Xref!A:B,2,FALSE),"")</f>
        <v/>
      </c>
      <c r="I1873">
        <f t="shared" si="89"/>
        <v>0</v>
      </c>
    </row>
    <row r="1874" spans="1:9" x14ac:dyDescent="0.3">
      <c r="A1874" t="str">
        <f t="shared" si="87"/>
        <v>-</v>
      </c>
      <c r="B1874" t="str">
        <f t="shared" si="88"/>
        <v>0-</v>
      </c>
      <c r="H1874" t="str">
        <f>IFERROR(VLOOKUP(E1874,DC_Xref!A:B,2,FALSE),"")</f>
        <v/>
      </c>
      <c r="I1874">
        <f t="shared" si="89"/>
        <v>0</v>
      </c>
    </row>
    <row r="1875" spans="1:9" x14ac:dyDescent="0.3">
      <c r="A1875" t="str">
        <f t="shared" si="87"/>
        <v>-</v>
      </c>
      <c r="B1875" t="str">
        <f t="shared" si="88"/>
        <v>0-</v>
      </c>
      <c r="H1875" t="str">
        <f>IFERROR(VLOOKUP(E1875,DC_Xref!A:B,2,FALSE),"")</f>
        <v/>
      </c>
      <c r="I1875">
        <f t="shared" si="89"/>
        <v>0</v>
      </c>
    </row>
    <row r="1876" spans="1:9" x14ac:dyDescent="0.3">
      <c r="A1876" t="str">
        <f t="shared" si="87"/>
        <v>-</v>
      </c>
      <c r="B1876" t="str">
        <f t="shared" si="88"/>
        <v>0-</v>
      </c>
      <c r="H1876" t="str">
        <f>IFERROR(VLOOKUP(E1876,DC_Xref!A:B,2,FALSE),"")</f>
        <v/>
      </c>
      <c r="I1876">
        <f t="shared" si="89"/>
        <v>0</v>
      </c>
    </row>
    <row r="1877" spans="1:9" x14ac:dyDescent="0.3">
      <c r="A1877" t="str">
        <f t="shared" si="87"/>
        <v>-</v>
      </c>
      <c r="B1877" t="str">
        <f t="shared" si="88"/>
        <v>0-</v>
      </c>
      <c r="H1877" t="str">
        <f>IFERROR(VLOOKUP(E1877,DC_Xref!A:B,2,FALSE),"")</f>
        <v/>
      </c>
      <c r="I1877">
        <f t="shared" si="89"/>
        <v>0</v>
      </c>
    </row>
    <row r="1878" spans="1:9" x14ac:dyDescent="0.3">
      <c r="A1878" t="str">
        <f t="shared" si="87"/>
        <v>-</v>
      </c>
      <c r="B1878" t="str">
        <f t="shared" si="88"/>
        <v>0-</v>
      </c>
      <c r="H1878" t="str">
        <f>IFERROR(VLOOKUP(E1878,DC_Xref!A:B,2,FALSE),"")</f>
        <v/>
      </c>
      <c r="I1878">
        <f t="shared" si="89"/>
        <v>0</v>
      </c>
    </row>
    <row r="1879" spans="1:9" x14ac:dyDescent="0.3">
      <c r="A1879" t="str">
        <f t="shared" si="87"/>
        <v>-</v>
      </c>
      <c r="B1879" t="str">
        <f t="shared" si="88"/>
        <v>0-</v>
      </c>
      <c r="H1879" t="str">
        <f>IFERROR(VLOOKUP(E1879,DC_Xref!A:B,2,FALSE),"")</f>
        <v/>
      </c>
      <c r="I1879">
        <f t="shared" si="89"/>
        <v>0</v>
      </c>
    </row>
    <row r="1880" spans="1:9" x14ac:dyDescent="0.3">
      <c r="A1880" t="str">
        <f t="shared" si="87"/>
        <v>-</v>
      </c>
      <c r="B1880" t="str">
        <f t="shared" si="88"/>
        <v>0-</v>
      </c>
      <c r="H1880" t="str">
        <f>IFERROR(VLOOKUP(E1880,DC_Xref!A:B,2,FALSE),"")</f>
        <v/>
      </c>
      <c r="I1880">
        <f t="shared" si="89"/>
        <v>0</v>
      </c>
    </row>
    <row r="1881" spans="1:9" x14ac:dyDescent="0.3">
      <c r="A1881" t="str">
        <f t="shared" si="87"/>
        <v>-</v>
      </c>
      <c r="B1881" t="str">
        <f t="shared" si="88"/>
        <v>0-</v>
      </c>
      <c r="H1881" t="str">
        <f>IFERROR(VLOOKUP(E1881,DC_Xref!A:B,2,FALSE),"")</f>
        <v/>
      </c>
      <c r="I1881">
        <f t="shared" si="89"/>
        <v>0</v>
      </c>
    </row>
    <row r="1882" spans="1:9" x14ac:dyDescent="0.3">
      <c r="A1882" t="str">
        <f t="shared" si="87"/>
        <v>-</v>
      </c>
      <c r="B1882" t="str">
        <f t="shared" si="88"/>
        <v>0-</v>
      </c>
      <c r="H1882" t="str">
        <f>IFERROR(VLOOKUP(E1882,DC_Xref!A:B,2,FALSE),"")</f>
        <v/>
      </c>
      <c r="I1882">
        <f t="shared" si="89"/>
        <v>0</v>
      </c>
    </row>
    <row r="1883" spans="1:9" x14ac:dyDescent="0.3">
      <c r="A1883" t="str">
        <f t="shared" si="87"/>
        <v>-</v>
      </c>
      <c r="B1883" t="str">
        <f t="shared" si="88"/>
        <v>0-</v>
      </c>
      <c r="H1883" t="str">
        <f>IFERROR(VLOOKUP(E1883,DC_Xref!A:B,2,FALSE),"")</f>
        <v/>
      </c>
      <c r="I1883">
        <f t="shared" si="89"/>
        <v>0</v>
      </c>
    </row>
    <row r="1884" spans="1:9" x14ac:dyDescent="0.3">
      <c r="A1884" t="str">
        <f t="shared" si="87"/>
        <v>-</v>
      </c>
      <c r="B1884" t="str">
        <f t="shared" si="88"/>
        <v>0-</v>
      </c>
      <c r="H1884" t="str">
        <f>IFERROR(VLOOKUP(E1884,DC_Xref!A:B,2,FALSE),"")</f>
        <v/>
      </c>
      <c r="I1884">
        <f t="shared" si="89"/>
        <v>0</v>
      </c>
    </row>
    <row r="1885" spans="1:9" x14ac:dyDescent="0.3">
      <c r="A1885" t="str">
        <f t="shared" si="87"/>
        <v>-</v>
      </c>
      <c r="B1885" t="str">
        <f t="shared" si="88"/>
        <v>0-</v>
      </c>
      <c r="H1885" t="str">
        <f>IFERROR(VLOOKUP(E1885,DC_Xref!A:B,2,FALSE),"")</f>
        <v/>
      </c>
      <c r="I1885">
        <f t="shared" si="89"/>
        <v>0</v>
      </c>
    </row>
    <row r="1886" spans="1:9" x14ac:dyDescent="0.3">
      <c r="A1886" t="str">
        <f t="shared" si="87"/>
        <v>-</v>
      </c>
      <c r="B1886" t="str">
        <f t="shared" si="88"/>
        <v>0-</v>
      </c>
      <c r="H1886" t="str">
        <f>IFERROR(VLOOKUP(E1886,DC_Xref!A:B,2,FALSE),"")</f>
        <v/>
      </c>
      <c r="I1886">
        <f t="shared" si="89"/>
        <v>0</v>
      </c>
    </row>
    <row r="1887" spans="1:9" x14ac:dyDescent="0.3">
      <c r="A1887" t="str">
        <f t="shared" si="87"/>
        <v>-</v>
      </c>
      <c r="B1887" t="str">
        <f t="shared" si="88"/>
        <v>0-</v>
      </c>
      <c r="H1887" t="str">
        <f>IFERROR(VLOOKUP(E1887,DC_Xref!A:B,2,FALSE),"")</f>
        <v/>
      </c>
      <c r="I1887">
        <f t="shared" si="89"/>
        <v>0</v>
      </c>
    </row>
    <row r="1888" spans="1:9" x14ac:dyDescent="0.3">
      <c r="A1888" t="str">
        <f t="shared" si="87"/>
        <v>-</v>
      </c>
      <c r="B1888" t="str">
        <f t="shared" si="88"/>
        <v>0-</v>
      </c>
      <c r="H1888" t="str">
        <f>IFERROR(VLOOKUP(E1888,DC_Xref!A:B,2,FALSE),"")</f>
        <v/>
      </c>
      <c r="I1888">
        <f t="shared" si="89"/>
        <v>0</v>
      </c>
    </row>
    <row r="1889" spans="1:9" x14ac:dyDescent="0.3">
      <c r="A1889" t="str">
        <f t="shared" si="87"/>
        <v>-</v>
      </c>
      <c r="B1889" t="str">
        <f t="shared" si="88"/>
        <v>0-</v>
      </c>
      <c r="H1889" t="str">
        <f>IFERROR(VLOOKUP(E1889,DC_Xref!A:B,2,FALSE),"")</f>
        <v/>
      </c>
      <c r="I1889">
        <f t="shared" si="89"/>
        <v>0</v>
      </c>
    </row>
    <row r="1890" spans="1:9" x14ac:dyDescent="0.3">
      <c r="A1890" t="str">
        <f t="shared" si="87"/>
        <v>-</v>
      </c>
      <c r="B1890" t="str">
        <f t="shared" si="88"/>
        <v>0-</v>
      </c>
      <c r="H1890" t="str">
        <f>IFERROR(VLOOKUP(E1890,DC_Xref!A:B,2,FALSE),"")</f>
        <v/>
      </c>
      <c r="I1890">
        <f t="shared" si="89"/>
        <v>0</v>
      </c>
    </row>
    <row r="1891" spans="1:9" x14ac:dyDescent="0.3">
      <c r="A1891" t="str">
        <f t="shared" si="87"/>
        <v>-</v>
      </c>
      <c r="B1891" t="str">
        <f t="shared" si="88"/>
        <v>0-</v>
      </c>
      <c r="H1891" t="str">
        <f>IFERROR(VLOOKUP(E1891,DC_Xref!A:B,2,FALSE),"")</f>
        <v/>
      </c>
      <c r="I1891">
        <f t="shared" si="89"/>
        <v>0</v>
      </c>
    </row>
    <row r="1892" spans="1:9" x14ac:dyDescent="0.3">
      <c r="A1892" t="str">
        <f t="shared" si="87"/>
        <v>-</v>
      </c>
      <c r="B1892" t="str">
        <f t="shared" si="88"/>
        <v>0-</v>
      </c>
      <c r="H1892" t="str">
        <f>IFERROR(VLOOKUP(E1892,DC_Xref!A:B,2,FALSE),"")</f>
        <v/>
      </c>
      <c r="I1892">
        <f t="shared" si="89"/>
        <v>0</v>
      </c>
    </row>
    <row r="1893" spans="1:9" x14ac:dyDescent="0.3">
      <c r="A1893" t="str">
        <f t="shared" si="87"/>
        <v>-</v>
      </c>
      <c r="B1893" t="str">
        <f t="shared" si="88"/>
        <v>0-</v>
      </c>
      <c r="H1893" t="str">
        <f>IFERROR(VLOOKUP(E1893,DC_Xref!A:B,2,FALSE),"")</f>
        <v/>
      </c>
      <c r="I1893">
        <f t="shared" si="89"/>
        <v>0</v>
      </c>
    </row>
    <row r="1894" spans="1:9" x14ac:dyDescent="0.3">
      <c r="A1894" t="str">
        <f t="shared" si="87"/>
        <v>-</v>
      </c>
      <c r="B1894" t="str">
        <f t="shared" si="88"/>
        <v>0-</v>
      </c>
      <c r="H1894" t="str">
        <f>IFERROR(VLOOKUP(E1894,DC_Xref!A:B,2,FALSE),"")</f>
        <v/>
      </c>
      <c r="I1894">
        <f t="shared" si="89"/>
        <v>0</v>
      </c>
    </row>
    <row r="1895" spans="1:9" x14ac:dyDescent="0.3">
      <c r="A1895" t="str">
        <f t="shared" si="87"/>
        <v>-</v>
      </c>
      <c r="B1895" t="str">
        <f t="shared" si="88"/>
        <v>0-</v>
      </c>
      <c r="H1895" t="str">
        <f>IFERROR(VLOOKUP(E1895,DC_Xref!A:B,2,FALSE),"")</f>
        <v/>
      </c>
      <c r="I1895">
        <f t="shared" si="89"/>
        <v>0</v>
      </c>
    </row>
    <row r="1896" spans="1:9" x14ac:dyDescent="0.3">
      <c r="A1896" t="str">
        <f t="shared" si="87"/>
        <v>-</v>
      </c>
      <c r="B1896" t="str">
        <f t="shared" si="88"/>
        <v>0-</v>
      </c>
      <c r="H1896" t="str">
        <f>IFERROR(VLOOKUP(E1896,DC_Xref!A:B,2,FALSE),"")</f>
        <v/>
      </c>
      <c r="I1896">
        <f t="shared" si="89"/>
        <v>0</v>
      </c>
    </row>
    <row r="1897" spans="1:9" x14ac:dyDescent="0.3">
      <c r="A1897" t="str">
        <f t="shared" si="87"/>
        <v>-</v>
      </c>
      <c r="B1897" t="str">
        <f t="shared" si="88"/>
        <v>0-</v>
      </c>
      <c r="H1897" t="str">
        <f>IFERROR(VLOOKUP(E1897,DC_Xref!A:B,2,FALSE),"")</f>
        <v/>
      </c>
      <c r="I1897">
        <f t="shared" si="89"/>
        <v>0</v>
      </c>
    </row>
    <row r="1898" spans="1:9" x14ac:dyDescent="0.3">
      <c r="A1898" t="str">
        <f t="shared" si="87"/>
        <v>-</v>
      </c>
      <c r="B1898" t="str">
        <f t="shared" si="88"/>
        <v>0-</v>
      </c>
      <c r="H1898" t="str">
        <f>IFERROR(VLOOKUP(E1898,DC_Xref!A:B,2,FALSE),"")</f>
        <v/>
      </c>
      <c r="I1898">
        <f t="shared" si="89"/>
        <v>0</v>
      </c>
    </row>
    <row r="1899" spans="1:9" x14ac:dyDescent="0.3">
      <c r="A1899" t="str">
        <f t="shared" si="87"/>
        <v>-</v>
      </c>
      <c r="B1899" t="str">
        <f t="shared" si="88"/>
        <v>0-</v>
      </c>
      <c r="H1899" t="str">
        <f>IFERROR(VLOOKUP(E1899,DC_Xref!A:B,2,FALSE),"")</f>
        <v/>
      </c>
      <c r="I1899">
        <f t="shared" si="89"/>
        <v>0</v>
      </c>
    </row>
    <row r="1900" spans="1:9" x14ac:dyDescent="0.3">
      <c r="A1900" t="str">
        <f t="shared" si="87"/>
        <v>-</v>
      </c>
      <c r="B1900" t="str">
        <f t="shared" si="88"/>
        <v>0-</v>
      </c>
      <c r="H1900" t="str">
        <f>IFERROR(VLOOKUP(E1900,DC_Xref!A:B,2,FALSE),"")</f>
        <v/>
      </c>
      <c r="I1900">
        <f t="shared" si="89"/>
        <v>0</v>
      </c>
    </row>
    <row r="1901" spans="1:9" x14ac:dyDescent="0.3">
      <c r="A1901" t="str">
        <f t="shared" si="87"/>
        <v>-</v>
      </c>
      <c r="B1901" t="str">
        <f t="shared" si="88"/>
        <v>0-</v>
      </c>
      <c r="H1901" t="str">
        <f>IFERROR(VLOOKUP(E1901,DC_Xref!A:B,2,FALSE),"")</f>
        <v/>
      </c>
      <c r="I1901">
        <f t="shared" si="89"/>
        <v>0</v>
      </c>
    </row>
    <row r="1902" spans="1:9" x14ac:dyDescent="0.3">
      <c r="A1902" t="str">
        <f t="shared" si="87"/>
        <v>-</v>
      </c>
      <c r="B1902" t="str">
        <f t="shared" si="88"/>
        <v>0-</v>
      </c>
      <c r="H1902" t="str">
        <f>IFERROR(VLOOKUP(E1902,DC_Xref!A:B,2,FALSE),"")</f>
        <v/>
      </c>
      <c r="I1902">
        <f t="shared" si="89"/>
        <v>0</v>
      </c>
    </row>
    <row r="1903" spans="1:9" x14ac:dyDescent="0.3">
      <c r="A1903" t="str">
        <f t="shared" si="87"/>
        <v>-</v>
      </c>
      <c r="B1903" t="str">
        <f t="shared" si="88"/>
        <v>0-</v>
      </c>
      <c r="H1903" t="str">
        <f>IFERROR(VLOOKUP(E1903,DC_Xref!A:B,2,FALSE),"")</f>
        <v/>
      </c>
      <c r="I1903">
        <f t="shared" si="89"/>
        <v>0</v>
      </c>
    </row>
    <row r="1904" spans="1:9" x14ac:dyDescent="0.3">
      <c r="A1904" t="str">
        <f t="shared" si="87"/>
        <v>-</v>
      </c>
      <c r="B1904" t="str">
        <f t="shared" si="88"/>
        <v>0-</v>
      </c>
      <c r="H1904" t="str">
        <f>IFERROR(VLOOKUP(E1904,DC_Xref!A:B,2,FALSE),"")</f>
        <v/>
      </c>
      <c r="I1904">
        <f t="shared" si="89"/>
        <v>0</v>
      </c>
    </row>
    <row r="1905" spans="1:9" x14ac:dyDescent="0.3">
      <c r="A1905" t="str">
        <f t="shared" si="87"/>
        <v>-</v>
      </c>
      <c r="B1905" t="str">
        <f t="shared" si="88"/>
        <v>0-</v>
      </c>
      <c r="H1905" t="str">
        <f>IFERROR(VLOOKUP(E1905,DC_Xref!A:B,2,FALSE),"")</f>
        <v/>
      </c>
      <c r="I1905">
        <f t="shared" si="89"/>
        <v>0</v>
      </c>
    </row>
    <row r="1906" spans="1:9" x14ac:dyDescent="0.3">
      <c r="A1906" t="str">
        <f t="shared" si="87"/>
        <v>-</v>
      </c>
      <c r="B1906" t="str">
        <f t="shared" si="88"/>
        <v>0-</v>
      </c>
      <c r="H1906" t="str">
        <f>IFERROR(VLOOKUP(E1906,DC_Xref!A:B,2,FALSE),"")</f>
        <v/>
      </c>
      <c r="I1906">
        <f t="shared" si="89"/>
        <v>0</v>
      </c>
    </row>
    <row r="1907" spans="1:9" x14ac:dyDescent="0.3">
      <c r="A1907" t="str">
        <f t="shared" si="87"/>
        <v>-</v>
      </c>
      <c r="B1907" t="str">
        <f t="shared" si="88"/>
        <v>0-</v>
      </c>
      <c r="H1907" t="str">
        <f>IFERROR(VLOOKUP(E1907,DC_Xref!A:B,2,FALSE),"")</f>
        <v/>
      </c>
      <c r="I1907">
        <f t="shared" si="89"/>
        <v>0</v>
      </c>
    </row>
    <row r="1908" spans="1:9" x14ac:dyDescent="0.3">
      <c r="A1908" t="str">
        <f t="shared" si="87"/>
        <v>-</v>
      </c>
      <c r="B1908" t="str">
        <f t="shared" si="88"/>
        <v>0-</v>
      </c>
      <c r="H1908" t="str">
        <f>IFERROR(VLOOKUP(E1908,DC_Xref!A:B,2,FALSE),"")</f>
        <v/>
      </c>
      <c r="I1908">
        <f t="shared" si="89"/>
        <v>0</v>
      </c>
    </row>
    <row r="1909" spans="1:9" x14ac:dyDescent="0.3">
      <c r="A1909" t="str">
        <f t="shared" si="87"/>
        <v>-</v>
      </c>
      <c r="B1909" t="str">
        <f t="shared" si="88"/>
        <v>0-</v>
      </c>
      <c r="H1909" t="str">
        <f>IFERROR(VLOOKUP(E1909,DC_Xref!A:B,2,FALSE),"")</f>
        <v/>
      </c>
      <c r="I1909">
        <f t="shared" si="89"/>
        <v>0</v>
      </c>
    </row>
    <row r="1910" spans="1:9" x14ac:dyDescent="0.3">
      <c r="A1910" t="str">
        <f t="shared" si="87"/>
        <v>-</v>
      </c>
      <c r="B1910" t="str">
        <f t="shared" si="88"/>
        <v>0-</v>
      </c>
      <c r="H1910" t="str">
        <f>IFERROR(VLOOKUP(E1910,DC_Xref!A:B,2,FALSE),"")</f>
        <v/>
      </c>
      <c r="I1910">
        <f t="shared" si="89"/>
        <v>0</v>
      </c>
    </row>
    <row r="1911" spans="1:9" x14ac:dyDescent="0.3">
      <c r="A1911" t="str">
        <f t="shared" si="87"/>
        <v>-</v>
      </c>
      <c r="B1911" t="str">
        <f t="shared" si="88"/>
        <v>0-</v>
      </c>
      <c r="H1911" t="str">
        <f>IFERROR(VLOOKUP(E1911,DC_Xref!A:B,2,FALSE),"")</f>
        <v/>
      </c>
      <c r="I1911">
        <f t="shared" si="89"/>
        <v>0</v>
      </c>
    </row>
    <row r="1912" spans="1:9" x14ac:dyDescent="0.3">
      <c r="A1912" t="str">
        <f t="shared" si="87"/>
        <v>-</v>
      </c>
      <c r="B1912" t="str">
        <f t="shared" si="88"/>
        <v>0-</v>
      </c>
      <c r="H1912" t="str">
        <f>IFERROR(VLOOKUP(E1912,DC_Xref!A:B,2,FALSE),"")</f>
        <v/>
      </c>
      <c r="I1912">
        <f t="shared" si="89"/>
        <v>0</v>
      </c>
    </row>
    <row r="1913" spans="1:9" x14ac:dyDescent="0.3">
      <c r="A1913" t="str">
        <f t="shared" si="87"/>
        <v>-</v>
      </c>
      <c r="B1913" t="str">
        <f t="shared" si="88"/>
        <v>0-</v>
      </c>
      <c r="H1913" t="str">
        <f>IFERROR(VLOOKUP(E1913,DC_Xref!A:B,2,FALSE),"")</f>
        <v/>
      </c>
      <c r="I1913">
        <f t="shared" si="89"/>
        <v>0</v>
      </c>
    </row>
    <row r="1914" spans="1:9" x14ac:dyDescent="0.3">
      <c r="A1914" t="str">
        <f t="shared" si="87"/>
        <v>-</v>
      </c>
      <c r="B1914" t="str">
        <f t="shared" si="88"/>
        <v>0-</v>
      </c>
      <c r="H1914" t="str">
        <f>IFERROR(VLOOKUP(E1914,DC_Xref!A:B,2,FALSE),"")</f>
        <v/>
      </c>
      <c r="I1914">
        <f t="shared" si="89"/>
        <v>0</v>
      </c>
    </row>
    <row r="1915" spans="1:9" x14ac:dyDescent="0.3">
      <c r="A1915" t="str">
        <f t="shared" si="87"/>
        <v>-</v>
      </c>
      <c r="B1915" t="str">
        <f t="shared" si="88"/>
        <v>0-</v>
      </c>
      <c r="H1915" t="str">
        <f>IFERROR(VLOOKUP(E1915,DC_Xref!A:B,2,FALSE),"")</f>
        <v/>
      </c>
      <c r="I1915">
        <f t="shared" si="89"/>
        <v>0</v>
      </c>
    </row>
    <row r="1916" spans="1:9" x14ac:dyDescent="0.3">
      <c r="A1916" t="str">
        <f t="shared" si="87"/>
        <v>-</v>
      </c>
      <c r="B1916" t="str">
        <f t="shared" si="88"/>
        <v>0-</v>
      </c>
      <c r="H1916" t="str">
        <f>IFERROR(VLOOKUP(E1916,DC_Xref!A:B,2,FALSE),"")</f>
        <v/>
      </c>
      <c r="I1916">
        <f t="shared" si="89"/>
        <v>0</v>
      </c>
    </row>
    <row r="1917" spans="1:9" x14ac:dyDescent="0.3">
      <c r="A1917" t="str">
        <f t="shared" si="87"/>
        <v>-</v>
      </c>
      <c r="B1917" t="str">
        <f t="shared" si="88"/>
        <v>0-</v>
      </c>
      <c r="H1917" t="str">
        <f>IFERROR(VLOOKUP(E1917,DC_Xref!A:B,2,FALSE),"")</f>
        <v/>
      </c>
      <c r="I1917">
        <f t="shared" si="89"/>
        <v>0</v>
      </c>
    </row>
    <row r="1918" spans="1:9" x14ac:dyDescent="0.3">
      <c r="A1918" t="str">
        <f t="shared" si="87"/>
        <v>-</v>
      </c>
      <c r="B1918" t="str">
        <f t="shared" si="88"/>
        <v>0-</v>
      </c>
      <c r="H1918" t="str">
        <f>IFERROR(VLOOKUP(E1918,DC_Xref!A:B,2,FALSE),"")</f>
        <v/>
      </c>
      <c r="I1918">
        <f t="shared" si="89"/>
        <v>0</v>
      </c>
    </row>
    <row r="1919" spans="1:9" x14ac:dyDescent="0.3">
      <c r="A1919" t="str">
        <f t="shared" si="87"/>
        <v>-</v>
      </c>
      <c r="B1919" t="str">
        <f t="shared" si="88"/>
        <v>0-</v>
      </c>
      <c r="H1919" t="str">
        <f>IFERROR(VLOOKUP(E1919,DC_Xref!A:B,2,FALSE),"")</f>
        <v/>
      </c>
      <c r="I1919">
        <f t="shared" si="89"/>
        <v>0</v>
      </c>
    </row>
    <row r="1920" spans="1:9" x14ac:dyDescent="0.3">
      <c r="A1920" t="str">
        <f t="shared" si="87"/>
        <v>-</v>
      </c>
      <c r="B1920" t="str">
        <f t="shared" si="88"/>
        <v>0-</v>
      </c>
      <c r="H1920" t="str">
        <f>IFERROR(VLOOKUP(E1920,DC_Xref!A:B,2,FALSE),"")</f>
        <v/>
      </c>
      <c r="I1920">
        <f t="shared" si="89"/>
        <v>0</v>
      </c>
    </row>
    <row r="1921" spans="1:9" x14ac:dyDescent="0.3">
      <c r="A1921" t="str">
        <f t="shared" si="87"/>
        <v>-</v>
      </c>
      <c r="B1921" t="str">
        <f t="shared" si="88"/>
        <v>0-</v>
      </c>
      <c r="H1921" t="str">
        <f>IFERROR(VLOOKUP(E1921,DC_Xref!A:B,2,FALSE),"")</f>
        <v/>
      </c>
      <c r="I1921">
        <f t="shared" si="89"/>
        <v>0</v>
      </c>
    </row>
    <row r="1922" spans="1:9" x14ac:dyDescent="0.3">
      <c r="A1922" t="str">
        <f t="shared" ref="A1922:A1985" si="90">C1922&amp;"-"&amp;F1922</f>
        <v>-</v>
      </c>
      <c r="B1922" t="str">
        <f t="shared" ref="B1922:B1985" si="91">I1922&amp;"-"&amp;H1922</f>
        <v>0-</v>
      </c>
      <c r="H1922" t="str">
        <f>IFERROR(VLOOKUP(E1922,DC_Xref!A:B,2,FALSE),"")</f>
        <v/>
      </c>
      <c r="I1922">
        <f t="shared" ref="I1922:I1985" si="92">C1922*100+D1922</f>
        <v>0</v>
      </c>
    </row>
    <row r="1923" spans="1:9" x14ac:dyDescent="0.3">
      <c r="A1923" t="str">
        <f t="shared" si="90"/>
        <v>-</v>
      </c>
      <c r="B1923" t="str">
        <f t="shared" si="91"/>
        <v>0-</v>
      </c>
      <c r="H1923" t="str">
        <f>IFERROR(VLOOKUP(E1923,DC_Xref!A:B,2,FALSE),"")</f>
        <v/>
      </c>
      <c r="I1923">
        <f t="shared" si="92"/>
        <v>0</v>
      </c>
    </row>
    <row r="1924" spans="1:9" x14ac:dyDescent="0.3">
      <c r="A1924" t="str">
        <f t="shared" si="90"/>
        <v>-</v>
      </c>
      <c r="B1924" t="str">
        <f t="shared" si="91"/>
        <v>0-</v>
      </c>
      <c r="H1924" t="str">
        <f>IFERROR(VLOOKUP(E1924,DC_Xref!A:B,2,FALSE),"")</f>
        <v/>
      </c>
      <c r="I1924">
        <f t="shared" si="92"/>
        <v>0</v>
      </c>
    </row>
    <row r="1925" spans="1:9" x14ac:dyDescent="0.3">
      <c r="A1925" t="str">
        <f t="shared" si="90"/>
        <v>-</v>
      </c>
      <c r="B1925" t="str">
        <f t="shared" si="91"/>
        <v>0-</v>
      </c>
      <c r="H1925" t="str">
        <f>IFERROR(VLOOKUP(E1925,DC_Xref!A:B,2,FALSE),"")</f>
        <v/>
      </c>
      <c r="I1925">
        <f t="shared" si="92"/>
        <v>0</v>
      </c>
    </row>
    <row r="1926" spans="1:9" x14ac:dyDescent="0.3">
      <c r="A1926" t="str">
        <f t="shared" si="90"/>
        <v>-</v>
      </c>
      <c r="B1926" t="str">
        <f t="shared" si="91"/>
        <v>0-</v>
      </c>
      <c r="H1926" t="str">
        <f>IFERROR(VLOOKUP(E1926,DC_Xref!A:B,2,FALSE),"")</f>
        <v/>
      </c>
      <c r="I1926">
        <f t="shared" si="92"/>
        <v>0</v>
      </c>
    </row>
    <row r="1927" spans="1:9" x14ac:dyDescent="0.3">
      <c r="A1927" t="str">
        <f t="shared" si="90"/>
        <v>-</v>
      </c>
      <c r="B1927" t="str">
        <f t="shared" si="91"/>
        <v>0-</v>
      </c>
      <c r="H1927" t="str">
        <f>IFERROR(VLOOKUP(E1927,DC_Xref!A:B,2,FALSE),"")</f>
        <v/>
      </c>
      <c r="I1927">
        <f t="shared" si="92"/>
        <v>0</v>
      </c>
    </row>
    <row r="1928" spans="1:9" x14ac:dyDescent="0.3">
      <c r="A1928" t="str">
        <f t="shared" si="90"/>
        <v>-</v>
      </c>
      <c r="B1928" t="str">
        <f t="shared" si="91"/>
        <v>0-</v>
      </c>
      <c r="H1928" t="str">
        <f>IFERROR(VLOOKUP(E1928,DC_Xref!A:B,2,FALSE),"")</f>
        <v/>
      </c>
      <c r="I1928">
        <f t="shared" si="92"/>
        <v>0</v>
      </c>
    </row>
    <row r="1929" spans="1:9" x14ac:dyDescent="0.3">
      <c r="A1929" t="str">
        <f t="shared" si="90"/>
        <v>-</v>
      </c>
      <c r="B1929" t="str">
        <f t="shared" si="91"/>
        <v>0-</v>
      </c>
      <c r="H1929" t="str">
        <f>IFERROR(VLOOKUP(E1929,DC_Xref!A:B,2,FALSE),"")</f>
        <v/>
      </c>
      <c r="I1929">
        <f t="shared" si="92"/>
        <v>0</v>
      </c>
    </row>
    <row r="1930" spans="1:9" x14ac:dyDescent="0.3">
      <c r="A1930" t="str">
        <f t="shared" si="90"/>
        <v>-</v>
      </c>
      <c r="B1930" t="str">
        <f t="shared" si="91"/>
        <v>0-</v>
      </c>
      <c r="H1930" t="str">
        <f>IFERROR(VLOOKUP(E1930,DC_Xref!A:B,2,FALSE),"")</f>
        <v/>
      </c>
      <c r="I1930">
        <f t="shared" si="92"/>
        <v>0</v>
      </c>
    </row>
    <row r="1931" spans="1:9" x14ac:dyDescent="0.3">
      <c r="A1931" t="str">
        <f t="shared" si="90"/>
        <v>-</v>
      </c>
      <c r="B1931" t="str">
        <f t="shared" si="91"/>
        <v>0-</v>
      </c>
      <c r="H1931" t="str">
        <f>IFERROR(VLOOKUP(E1931,DC_Xref!A:B,2,FALSE),"")</f>
        <v/>
      </c>
      <c r="I1931">
        <f t="shared" si="92"/>
        <v>0</v>
      </c>
    </row>
    <row r="1932" spans="1:9" x14ac:dyDescent="0.3">
      <c r="A1932" t="str">
        <f t="shared" si="90"/>
        <v>-</v>
      </c>
      <c r="B1932" t="str">
        <f t="shared" si="91"/>
        <v>0-</v>
      </c>
      <c r="H1932" t="str">
        <f>IFERROR(VLOOKUP(E1932,DC_Xref!A:B,2,FALSE),"")</f>
        <v/>
      </c>
      <c r="I1932">
        <f t="shared" si="92"/>
        <v>0</v>
      </c>
    </row>
    <row r="1933" spans="1:9" x14ac:dyDescent="0.3">
      <c r="A1933" t="str">
        <f t="shared" si="90"/>
        <v>-</v>
      </c>
      <c r="B1933" t="str">
        <f t="shared" si="91"/>
        <v>0-</v>
      </c>
      <c r="H1933" t="str">
        <f>IFERROR(VLOOKUP(E1933,DC_Xref!A:B,2,FALSE),"")</f>
        <v/>
      </c>
      <c r="I1933">
        <f t="shared" si="92"/>
        <v>0</v>
      </c>
    </row>
    <row r="1934" spans="1:9" x14ac:dyDescent="0.3">
      <c r="A1934" t="str">
        <f t="shared" si="90"/>
        <v>-</v>
      </c>
      <c r="B1934" t="str">
        <f t="shared" si="91"/>
        <v>0-</v>
      </c>
      <c r="H1934" t="str">
        <f>IFERROR(VLOOKUP(E1934,DC_Xref!A:B,2,FALSE),"")</f>
        <v/>
      </c>
      <c r="I1934">
        <f t="shared" si="92"/>
        <v>0</v>
      </c>
    </row>
    <row r="1935" spans="1:9" x14ac:dyDescent="0.3">
      <c r="A1935" t="str">
        <f t="shared" si="90"/>
        <v>-</v>
      </c>
      <c r="B1935" t="str">
        <f t="shared" si="91"/>
        <v>0-</v>
      </c>
      <c r="H1935" t="str">
        <f>IFERROR(VLOOKUP(E1935,DC_Xref!A:B,2,FALSE),"")</f>
        <v/>
      </c>
      <c r="I1935">
        <f t="shared" si="92"/>
        <v>0</v>
      </c>
    </row>
    <row r="1936" spans="1:9" x14ac:dyDescent="0.3">
      <c r="A1936" t="str">
        <f t="shared" si="90"/>
        <v>-</v>
      </c>
      <c r="B1936" t="str">
        <f t="shared" si="91"/>
        <v>0-</v>
      </c>
      <c r="H1936" t="str">
        <f>IFERROR(VLOOKUP(E1936,DC_Xref!A:B,2,FALSE),"")</f>
        <v/>
      </c>
      <c r="I1936">
        <f t="shared" si="92"/>
        <v>0</v>
      </c>
    </row>
    <row r="1937" spans="1:9" x14ac:dyDescent="0.3">
      <c r="A1937" t="str">
        <f t="shared" si="90"/>
        <v>-</v>
      </c>
      <c r="B1937" t="str">
        <f t="shared" si="91"/>
        <v>0-</v>
      </c>
      <c r="H1937" t="str">
        <f>IFERROR(VLOOKUP(E1937,DC_Xref!A:B,2,FALSE),"")</f>
        <v/>
      </c>
      <c r="I1937">
        <f t="shared" si="92"/>
        <v>0</v>
      </c>
    </row>
    <row r="1938" spans="1:9" x14ac:dyDescent="0.3">
      <c r="A1938" t="str">
        <f t="shared" si="90"/>
        <v>-</v>
      </c>
      <c r="B1938" t="str">
        <f t="shared" si="91"/>
        <v>0-</v>
      </c>
      <c r="H1938" t="str">
        <f>IFERROR(VLOOKUP(E1938,DC_Xref!A:B,2,FALSE),"")</f>
        <v/>
      </c>
      <c r="I1938">
        <f t="shared" si="92"/>
        <v>0</v>
      </c>
    </row>
    <row r="1939" spans="1:9" x14ac:dyDescent="0.3">
      <c r="A1939" t="str">
        <f t="shared" si="90"/>
        <v>-</v>
      </c>
      <c r="B1939" t="str">
        <f t="shared" si="91"/>
        <v>0-</v>
      </c>
      <c r="H1939" t="str">
        <f>IFERROR(VLOOKUP(E1939,DC_Xref!A:B,2,FALSE),"")</f>
        <v/>
      </c>
      <c r="I1939">
        <f t="shared" si="92"/>
        <v>0</v>
      </c>
    </row>
    <row r="1940" spans="1:9" x14ac:dyDescent="0.3">
      <c r="A1940" t="str">
        <f t="shared" si="90"/>
        <v>-</v>
      </c>
      <c r="B1940" t="str">
        <f t="shared" si="91"/>
        <v>0-</v>
      </c>
      <c r="H1940" t="str">
        <f>IFERROR(VLOOKUP(E1940,DC_Xref!A:B,2,FALSE),"")</f>
        <v/>
      </c>
      <c r="I1940">
        <f t="shared" si="92"/>
        <v>0</v>
      </c>
    </row>
    <row r="1941" spans="1:9" x14ac:dyDescent="0.3">
      <c r="A1941" t="str">
        <f t="shared" si="90"/>
        <v>-</v>
      </c>
      <c r="B1941" t="str">
        <f t="shared" si="91"/>
        <v>0-</v>
      </c>
      <c r="H1941" t="str">
        <f>IFERROR(VLOOKUP(E1941,DC_Xref!A:B,2,FALSE),"")</f>
        <v/>
      </c>
      <c r="I1941">
        <f t="shared" si="92"/>
        <v>0</v>
      </c>
    </row>
    <row r="1942" spans="1:9" x14ac:dyDescent="0.3">
      <c r="A1942" t="str">
        <f t="shared" si="90"/>
        <v>-</v>
      </c>
      <c r="B1942" t="str">
        <f t="shared" si="91"/>
        <v>0-</v>
      </c>
      <c r="H1942" t="str">
        <f>IFERROR(VLOOKUP(E1942,DC_Xref!A:B,2,FALSE),"")</f>
        <v/>
      </c>
      <c r="I1942">
        <f t="shared" si="92"/>
        <v>0</v>
      </c>
    </row>
    <row r="1943" spans="1:9" x14ac:dyDescent="0.3">
      <c r="A1943" t="str">
        <f t="shared" si="90"/>
        <v>-</v>
      </c>
      <c r="B1943" t="str">
        <f t="shared" si="91"/>
        <v>0-</v>
      </c>
      <c r="H1943" t="str">
        <f>IFERROR(VLOOKUP(E1943,DC_Xref!A:B,2,FALSE),"")</f>
        <v/>
      </c>
      <c r="I1943">
        <f t="shared" si="92"/>
        <v>0</v>
      </c>
    </row>
    <row r="1944" spans="1:9" x14ac:dyDescent="0.3">
      <c r="A1944" t="str">
        <f t="shared" si="90"/>
        <v>-</v>
      </c>
      <c r="B1944" t="str">
        <f t="shared" si="91"/>
        <v>0-</v>
      </c>
      <c r="H1944" t="str">
        <f>IFERROR(VLOOKUP(E1944,DC_Xref!A:B,2,FALSE),"")</f>
        <v/>
      </c>
      <c r="I1944">
        <f t="shared" si="92"/>
        <v>0</v>
      </c>
    </row>
    <row r="1945" spans="1:9" x14ac:dyDescent="0.3">
      <c r="A1945" t="str">
        <f t="shared" si="90"/>
        <v>-</v>
      </c>
      <c r="B1945" t="str">
        <f t="shared" si="91"/>
        <v>0-</v>
      </c>
      <c r="H1945" t="str">
        <f>IFERROR(VLOOKUP(E1945,DC_Xref!A:B,2,FALSE),"")</f>
        <v/>
      </c>
      <c r="I1945">
        <f t="shared" si="92"/>
        <v>0</v>
      </c>
    </row>
    <row r="1946" spans="1:9" x14ac:dyDescent="0.3">
      <c r="A1946" t="str">
        <f t="shared" si="90"/>
        <v>-</v>
      </c>
      <c r="B1946" t="str">
        <f t="shared" si="91"/>
        <v>0-</v>
      </c>
      <c r="H1946" t="str">
        <f>IFERROR(VLOOKUP(E1946,DC_Xref!A:B,2,FALSE),"")</f>
        <v/>
      </c>
      <c r="I1946">
        <f t="shared" si="92"/>
        <v>0</v>
      </c>
    </row>
    <row r="1947" spans="1:9" x14ac:dyDescent="0.3">
      <c r="A1947" t="str">
        <f t="shared" si="90"/>
        <v>-</v>
      </c>
      <c r="B1947" t="str">
        <f t="shared" si="91"/>
        <v>0-</v>
      </c>
      <c r="H1947" t="str">
        <f>IFERROR(VLOOKUP(E1947,DC_Xref!A:B,2,FALSE),"")</f>
        <v/>
      </c>
      <c r="I1947">
        <f t="shared" si="92"/>
        <v>0</v>
      </c>
    </row>
    <row r="1948" spans="1:9" x14ac:dyDescent="0.3">
      <c r="A1948" t="str">
        <f t="shared" si="90"/>
        <v>-</v>
      </c>
      <c r="B1948" t="str">
        <f t="shared" si="91"/>
        <v>0-</v>
      </c>
      <c r="H1948" t="str">
        <f>IFERROR(VLOOKUP(E1948,DC_Xref!A:B,2,FALSE),"")</f>
        <v/>
      </c>
      <c r="I1948">
        <f t="shared" si="92"/>
        <v>0</v>
      </c>
    </row>
    <row r="1949" spans="1:9" x14ac:dyDescent="0.3">
      <c r="A1949" t="str">
        <f t="shared" si="90"/>
        <v>-</v>
      </c>
      <c r="B1949" t="str">
        <f t="shared" si="91"/>
        <v>0-</v>
      </c>
      <c r="H1949" t="str">
        <f>IFERROR(VLOOKUP(E1949,DC_Xref!A:B,2,FALSE),"")</f>
        <v/>
      </c>
      <c r="I1949">
        <f t="shared" si="92"/>
        <v>0</v>
      </c>
    </row>
    <row r="1950" spans="1:9" x14ac:dyDescent="0.3">
      <c r="A1950" t="str">
        <f t="shared" si="90"/>
        <v>-</v>
      </c>
      <c r="B1950" t="str">
        <f t="shared" si="91"/>
        <v>0-</v>
      </c>
      <c r="H1950" t="str">
        <f>IFERROR(VLOOKUP(E1950,DC_Xref!A:B,2,FALSE),"")</f>
        <v/>
      </c>
      <c r="I1950">
        <f t="shared" si="92"/>
        <v>0</v>
      </c>
    </row>
    <row r="1951" spans="1:9" x14ac:dyDescent="0.3">
      <c r="A1951" t="str">
        <f t="shared" si="90"/>
        <v>-</v>
      </c>
      <c r="B1951" t="str">
        <f t="shared" si="91"/>
        <v>0-</v>
      </c>
      <c r="H1951" t="str">
        <f>IFERROR(VLOOKUP(E1951,DC_Xref!A:B,2,FALSE),"")</f>
        <v/>
      </c>
      <c r="I1951">
        <f t="shared" si="92"/>
        <v>0</v>
      </c>
    </row>
    <row r="1952" spans="1:9" x14ac:dyDescent="0.3">
      <c r="A1952" t="str">
        <f t="shared" si="90"/>
        <v>-</v>
      </c>
      <c r="B1952" t="str">
        <f t="shared" si="91"/>
        <v>0-</v>
      </c>
      <c r="H1952" t="str">
        <f>IFERROR(VLOOKUP(E1952,DC_Xref!A:B,2,FALSE),"")</f>
        <v/>
      </c>
      <c r="I1952">
        <f t="shared" si="92"/>
        <v>0</v>
      </c>
    </row>
    <row r="1953" spans="1:9" x14ac:dyDescent="0.3">
      <c r="A1953" t="str">
        <f t="shared" si="90"/>
        <v>-</v>
      </c>
      <c r="B1953" t="str">
        <f t="shared" si="91"/>
        <v>0-</v>
      </c>
      <c r="H1953" t="str">
        <f>IFERROR(VLOOKUP(E1953,DC_Xref!A:B,2,FALSE),"")</f>
        <v/>
      </c>
      <c r="I1953">
        <f t="shared" si="92"/>
        <v>0</v>
      </c>
    </row>
    <row r="1954" spans="1:9" x14ac:dyDescent="0.3">
      <c r="A1954" t="str">
        <f t="shared" si="90"/>
        <v>-</v>
      </c>
      <c r="B1954" t="str">
        <f t="shared" si="91"/>
        <v>0-</v>
      </c>
      <c r="H1954" t="str">
        <f>IFERROR(VLOOKUP(E1954,DC_Xref!A:B,2,FALSE),"")</f>
        <v/>
      </c>
      <c r="I1954">
        <f t="shared" si="92"/>
        <v>0</v>
      </c>
    </row>
    <row r="1955" spans="1:9" x14ac:dyDescent="0.3">
      <c r="A1955" t="str">
        <f t="shared" si="90"/>
        <v>-</v>
      </c>
      <c r="B1955" t="str">
        <f t="shared" si="91"/>
        <v>0-</v>
      </c>
      <c r="H1955" t="str">
        <f>IFERROR(VLOOKUP(E1955,DC_Xref!A:B,2,FALSE),"")</f>
        <v/>
      </c>
      <c r="I1955">
        <f t="shared" si="92"/>
        <v>0</v>
      </c>
    </row>
    <row r="1956" spans="1:9" x14ac:dyDescent="0.3">
      <c r="A1956" t="str">
        <f t="shared" si="90"/>
        <v>-</v>
      </c>
      <c r="B1956" t="str">
        <f t="shared" si="91"/>
        <v>0-</v>
      </c>
      <c r="H1956" t="str">
        <f>IFERROR(VLOOKUP(E1956,DC_Xref!A:B,2,FALSE),"")</f>
        <v/>
      </c>
      <c r="I1956">
        <f t="shared" si="92"/>
        <v>0</v>
      </c>
    </row>
    <row r="1957" spans="1:9" x14ac:dyDescent="0.3">
      <c r="A1957" t="str">
        <f t="shared" si="90"/>
        <v>-</v>
      </c>
      <c r="B1957" t="str">
        <f t="shared" si="91"/>
        <v>0-</v>
      </c>
      <c r="H1957" t="str">
        <f>IFERROR(VLOOKUP(E1957,DC_Xref!A:B,2,FALSE),"")</f>
        <v/>
      </c>
      <c r="I1957">
        <f t="shared" si="92"/>
        <v>0</v>
      </c>
    </row>
    <row r="1958" spans="1:9" x14ac:dyDescent="0.3">
      <c r="A1958" t="str">
        <f t="shared" si="90"/>
        <v>-</v>
      </c>
      <c r="B1958" t="str">
        <f t="shared" si="91"/>
        <v>0-</v>
      </c>
      <c r="H1958" t="str">
        <f>IFERROR(VLOOKUP(E1958,DC_Xref!A:B,2,FALSE),"")</f>
        <v/>
      </c>
      <c r="I1958">
        <f t="shared" si="92"/>
        <v>0</v>
      </c>
    </row>
    <row r="1959" spans="1:9" x14ac:dyDescent="0.3">
      <c r="A1959" t="str">
        <f t="shared" si="90"/>
        <v>-</v>
      </c>
      <c r="B1959" t="str">
        <f t="shared" si="91"/>
        <v>0-</v>
      </c>
      <c r="H1959" t="str">
        <f>IFERROR(VLOOKUP(E1959,DC_Xref!A:B,2,FALSE),"")</f>
        <v/>
      </c>
      <c r="I1959">
        <f t="shared" si="92"/>
        <v>0</v>
      </c>
    </row>
    <row r="1960" spans="1:9" x14ac:dyDescent="0.3">
      <c r="A1960" t="str">
        <f t="shared" si="90"/>
        <v>-</v>
      </c>
      <c r="B1960" t="str">
        <f t="shared" si="91"/>
        <v>0-</v>
      </c>
      <c r="H1960" t="str">
        <f>IFERROR(VLOOKUP(E1960,DC_Xref!A:B,2,FALSE),"")</f>
        <v/>
      </c>
      <c r="I1960">
        <f t="shared" si="92"/>
        <v>0</v>
      </c>
    </row>
    <row r="1961" spans="1:9" x14ac:dyDescent="0.3">
      <c r="A1961" t="str">
        <f t="shared" si="90"/>
        <v>-</v>
      </c>
      <c r="B1961" t="str">
        <f t="shared" si="91"/>
        <v>0-</v>
      </c>
      <c r="H1961" t="str">
        <f>IFERROR(VLOOKUP(E1961,DC_Xref!A:B,2,FALSE),"")</f>
        <v/>
      </c>
      <c r="I1961">
        <f t="shared" si="92"/>
        <v>0</v>
      </c>
    </row>
    <row r="1962" spans="1:9" x14ac:dyDescent="0.3">
      <c r="A1962" t="str">
        <f t="shared" si="90"/>
        <v>-</v>
      </c>
      <c r="B1962" t="str">
        <f t="shared" si="91"/>
        <v>0-</v>
      </c>
      <c r="H1962" t="str">
        <f>IFERROR(VLOOKUP(E1962,DC_Xref!A:B,2,FALSE),"")</f>
        <v/>
      </c>
      <c r="I1962">
        <f t="shared" si="92"/>
        <v>0</v>
      </c>
    </row>
    <row r="1963" spans="1:9" x14ac:dyDescent="0.3">
      <c r="A1963" t="str">
        <f t="shared" si="90"/>
        <v>-</v>
      </c>
      <c r="B1963" t="str">
        <f t="shared" si="91"/>
        <v>0-</v>
      </c>
      <c r="H1963" t="str">
        <f>IFERROR(VLOOKUP(E1963,DC_Xref!A:B,2,FALSE),"")</f>
        <v/>
      </c>
      <c r="I1963">
        <f t="shared" si="92"/>
        <v>0</v>
      </c>
    </row>
    <row r="1964" spans="1:9" x14ac:dyDescent="0.3">
      <c r="A1964" t="str">
        <f t="shared" si="90"/>
        <v>-</v>
      </c>
      <c r="B1964" t="str">
        <f t="shared" si="91"/>
        <v>0-</v>
      </c>
      <c r="H1964" t="str">
        <f>IFERROR(VLOOKUP(E1964,DC_Xref!A:B,2,FALSE),"")</f>
        <v/>
      </c>
      <c r="I1964">
        <f t="shared" si="92"/>
        <v>0</v>
      </c>
    </row>
    <row r="1965" spans="1:9" x14ac:dyDescent="0.3">
      <c r="A1965" t="str">
        <f t="shared" si="90"/>
        <v>-</v>
      </c>
      <c r="B1965" t="str">
        <f t="shared" si="91"/>
        <v>0-</v>
      </c>
      <c r="H1965" t="str">
        <f>IFERROR(VLOOKUP(E1965,DC_Xref!A:B,2,FALSE),"")</f>
        <v/>
      </c>
      <c r="I1965">
        <f t="shared" si="92"/>
        <v>0</v>
      </c>
    </row>
    <row r="1966" spans="1:9" x14ac:dyDescent="0.3">
      <c r="A1966" t="str">
        <f t="shared" si="90"/>
        <v>-</v>
      </c>
      <c r="B1966" t="str">
        <f t="shared" si="91"/>
        <v>0-</v>
      </c>
      <c r="H1966" t="str">
        <f>IFERROR(VLOOKUP(E1966,DC_Xref!A:B,2,FALSE),"")</f>
        <v/>
      </c>
      <c r="I1966">
        <f t="shared" si="92"/>
        <v>0</v>
      </c>
    </row>
    <row r="1967" spans="1:9" x14ac:dyDescent="0.3">
      <c r="A1967" t="str">
        <f t="shared" si="90"/>
        <v>-</v>
      </c>
      <c r="B1967" t="str">
        <f t="shared" si="91"/>
        <v>0-</v>
      </c>
      <c r="H1967" t="str">
        <f>IFERROR(VLOOKUP(E1967,DC_Xref!A:B,2,FALSE),"")</f>
        <v/>
      </c>
      <c r="I1967">
        <f t="shared" si="92"/>
        <v>0</v>
      </c>
    </row>
    <row r="1968" spans="1:9" x14ac:dyDescent="0.3">
      <c r="A1968" t="str">
        <f t="shared" si="90"/>
        <v>-</v>
      </c>
      <c r="B1968" t="str">
        <f t="shared" si="91"/>
        <v>0-</v>
      </c>
      <c r="H1968" t="str">
        <f>IFERROR(VLOOKUP(E1968,DC_Xref!A:B,2,FALSE),"")</f>
        <v/>
      </c>
      <c r="I1968">
        <f t="shared" si="92"/>
        <v>0</v>
      </c>
    </row>
    <row r="1969" spans="1:9" x14ac:dyDescent="0.3">
      <c r="A1969" t="str">
        <f t="shared" si="90"/>
        <v>-</v>
      </c>
      <c r="B1969" t="str">
        <f t="shared" si="91"/>
        <v>0-</v>
      </c>
      <c r="H1969" t="str">
        <f>IFERROR(VLOOKUP(E1969,DC_Xref!A:B,2,FALSE),"")</f>
        <v/>
      </c>
      <c r="I1969">
        <f t="shared" si="92"/>
        <v>0</v>
      </c>
    </row>
    <row r="1970" spans="1:9" x14ac:dyDescent="0.3">
      <c r="A1970" t="str">
        <f t="shared" si="90"/>
        <v>-</v>
      </c>
      <c r="B1970" t="str">
        <f t="shared" si="91"/>
        <v>0-</v>
      </c>
      <c r="H1970" t="str">
        <f>IFERROR(VLOOKUP(E1970,DC_Xref!A:B,2,FALSE),"")</f>
        <v/>
      </c>
      <c r="I1970">
        <f t="shared" si="92"/>
        <v>0</v>
      </c>
    </row>
    <row r="1971" spans="1:9" x14ac:dyDescent="0.3">
      <c r="A1971" t="str">
        <f t="shared" si="90"/>
        <v>-</v>
      </c>
      <c r="B1971" t="str">
        <f t="shared" si="91"/>
        <v>0-</v>
      </c>
      <c r="H1971" t="str">
        <f>IFERROR(VLOOKUP(E1971,DC_Xref!A:B,2,FALSE),"")</f>
        <v/>
      </c>
      <c r="I1971">
        <f t="shared" si="92"/>
        <v>0</v>
      </c>
    </row>
    <row r="1972" spans="1:9" x14ac:dyDescent="0.3">
      <c r="A1972" t="str">
        <f t="shared" si="90"/>
        <v>-</v>
      </c>
      <c r="B1972" t="str">
        <f t="shared" si="91"/>
        <v>0-</v>
      </c>
      <c r="H1972" t="str">
        <f>IFERROR(VLOOKUP(E1972,DC_Xref!A:B,2,FALSE),"")</f>
        <v/>
      </c>
      <c r="I1972">
        <f t="shared" si="92"/>
        <v>0</v>
      </c>
    </row>
    <row r="1973" spans="1:9" x14ac:dyDescent="0.3">
      <c r="A1973" t="str">
        <f t="shared" si="90"/>
        <v>-</v>
      </c>
      <c r="B1973" t="str">
        <f t="shared" si="91"/>
        <v>0-</v>
      </c>
      <c r="H1973" t="str">
        <f>IFERROR(VLOOKUP(E1973,DC_Xref!A:B,2,FALSE),"")</f>
        <v/>
      </c>
      <c r="I1973">
        <f t="shared" si="92"/>
        <v>0</v>
      </c>
    </row>
    <row r="1974" spans="1:9" x14ac:dyDescent="0.3">
      <c r="A1974" t="str">
        <f t="shared" si="90"/>
        <v>-</v>
      </c>
      <c r="B1974" t="str">
        <f t="shared" si="91"/>
        <v>0-</v>
      </c>
      <c r="H1974" t="str">
        <f>IFERROR(VLOOKUP(E1974,DC_Xref!A:B,2,FALSE),"")</f>
        <v/>
      </c>
      <c r="I1974">
        <f t="shared" si="92"/>
        <v>0</v>
      </c>
    </row>
    <row r="1975" spans="1:9" x14ac:dyDescent="0.3">
      <c r="A1975" t="str">
        <f t="shared" si="90"/>
        <v>-</v>
      </c>
      <c r="B1975" t="str">
        <f t="shared" si="91"/>
        <v>0-</v>
      </c>
      <c r="H1975" t="str">
        <f>IFERROR(VLOOKUP(E1975,DC_Xref!A:B,2,FALSE),"")</f>
        <v/>
      </c>
      <c r="I1975">
        <f t="shared" si="92"/>
        <v>0</v>
      </c>
    </row>
    <row r="1976" spans="1:9" x14ac:dyDescent="0.3">
      <c r="A1976" t="str">
        <f t="shared" si="90"/>
        <v>-</v>
      </c>
      <c r="B1976" t="str">
        <f t="shared" si="91"/>
        <v>0-</v>
      </c>
      <c r="H1976" t="str">
        <f>IFERROR(VLOOKUP(E1976,DC_Xref!A:B,2,FALSE),"")</f>
        <v/>
      </c>
      <c r="I1976">
        <f t="shared" si="92"/>
        <v>0</v>
      </c>
    </row>
    <row r="1977" spans="1:9" x14ac:dyDescent="0.3">
      <c r="A1977" t="str">
        <f t="shared" si="90"/>
        <v>-</v>
      </c>
      <c r="B1977" t="str">
        <f t="shared" si="91"/>
        <v>0-</v>
      </c>
      <c r="H1977" t="str">
        <f>IFERROR(VLOOKUP(E1977,DC_Xref!A:B,2,FALSE),"")</f>
        <v/>
      </c>
      <c r="I1977">
        <f t="shared" si="92"/>
        <v>0</v>
      </c>
    </row>
    <row r="1978" spans="1:9" x14ac:dyDescent="0.3">
      <c r="A1978" t="str">
        <f t="shared" si="90"/>
        <v>-</v>
      </c>
      <c r="B1978" t="str">
        <f t="shared" si="91"/>
        <v>0-</v>
      </c>
      <c r="H1978" t="str">
        <f>IFERROR(VLOOKUP(E1978,DC_Xref!A:B,2,FALSE),"")</f>
        <v/>
      </c>
      <c r="I1978">
        <f t="shared" si="92"/>
        <v>0</v>
      </c>
    </row>
    <row r="1979" spans="1:9" x14ac:dyDescent="0.3">
      <c r="A1979" t="str">
        <f t="shared" si="90"/>
        <v>-</v>
      </c>
      <c r="B1979" t="str">
        <f t="shared" si="91"/>
        <v>0-</v>
      </c>
      <c r="H1979" t="str">
        <f>IFERROR(VLOOKUP(E1979,DC_Xref!A:B,2,FALSE),"")</f>
        <v/>
      </c>
      <c r="I1979">
        <f t="shared" si="92"/>
        <v>0</v>
      </c>
    </row>
    <row r="1980" spans="1:9" x14ac:dyDescent="0.3">
      <c r="A1980" t="str">
        <f t="shared" si="90"/>
        <v>-</v>
      </c>
      <c r="B1980" t="str">
        <f t="shared" si="91"/>
        <v>0-</v>
      </c>
      <c r="H1980" t="str">
        <f>IFERROR(VLOOKUP(E1980,DC_Xref!A:B,2,FALSE),"")</f>
        <v/>
      </c>
      <c r="I1980">
        <f t="shared" si="92"/>
        <v>0</v>
      </c>
    </row>
    <row r="1981" spans="1:9" x14ac:dyDescent="0.3">
      <c r="A1981" t="str">
        <f t="shared" si="90"/>
        <v>-</v>
      </c>
      <c r="B1981" t="str">
        <f t="shared" si="91"/>
        <v>0-</v>
      </c>
      <c r="H1981" t="str">
        <f>IFERROR(VLOOKUP(E1981,DC_Xref!A:B,2,FALSE),"")</f>
        <v/>
      </c>
      <c r="I1981">
        <f t="shared" si="92"/>
        <v>0</v>
      </c>
    </row>
    <row r="1982" spans="1:9" x14ac:dyDescent="0.3">
      <c r="A1982" t="str">
        <f t="shared" si="90"/>
        <v>-</v>
      </c>
      <c r="B1982" t="str">
        <f t="shared" si="91"/>
        <v>0-</v>
      </c>
      <c r="H1982" t="str">
        <f>IFERROR(VLOOKUP(E1982,DC_Xref!A:B,2,FALSE),"")</f>
        <v/>
      </c>
      <c r="I1982">
        <f t="shared" si="92"/>
        <v>0</v>
      </c>
    </row>
    <row r="1983" spans="1:9" x14ac:dyDescent="0.3">
      <c r="A1983" t="str">
        <f t="shared" si="90"/>
        <v>-</v>
      </c>
      <c r="B1983" t="str">
        <f t="shared" si="91"/>
        <v>0-</v>
      </c>
      <c r="H1983" t="str">
        <f>IFERROR(VLOOKUP(E1983,DC_Xref!A:B,2,FALSE),"")</f>
        <v/>
      </c>
      <c r="I1983">
        <f t="shared" si="92"/>
        <v>0</v>
      </c>
    </row>
    <row r="1984" spans="1:9" x14ac:dyDescent="0.3">
      <c r="A1984" t="str">
        <f t="shared" si="90"/>
        <v>-</v>
      </c>
      <c r="B1984" t="str">
        <f t="shared" si="91"/>
        <v>0-</v>
      </c>
      <c r="H1984" t="str">
        <f>IFERROR(VLOOKUP(E1984,DC_Xref!A:B,2,FALSE),"")</f>
        <v/>
      </c>
      <c r="I1984">
        <f t="shared" si="92"/>
        <v>0</v>
      </c>
    </row>
    <row r="1985" spans="1:9" x14ac:dyDescent="0.3">
      <c r="A1985" t="str">
        <f t="shared" si="90"/>
        <v>-</v>
      </c>
      <c r="B1985" t="str">
        <f t="shared" si="91"/>
        <v>0-</v>
      </c>
      <c r="H1985" t="str">
        <f>IFERROR(VLOOKUP(E1985,DC_Xref!A:B,2,FALSE),"")</f>
        <v/>
      </c>
      <c r="I1985">
        <f t="shared" si="92"/>
        <v>0</v>
      </c>
    </row>
    <row r="1986" spans="1:9" x14ac:dyDescent="0.3">
      <c r="A1986" t="str">
        <f t="shared" ref="A1986:A2049" si="93">C1986&amp;"-"&amp;F1986</f>
        <v>-</v>
      </c>
      <c r="B1986" t="str">
        <f t="shared" ref="B1986:B2049" si="94">I1986&amp;"-"&amp;H1986</f>
        <v>0-</v>
      </c>
      <c r="H1986" t="str">
        <f>IFERROR(VLOOKUP(E1986,DC_Xref!A:B,2,FALSE),"")</f>
        <v/>
      </c>
      <c r="I1986">
        <f t="shared" ref="I1986:I2049" si="95">C1986*100+D1986</f>
        <v>0</v>
      </c>
    </row>
    <row r="1987" spans="1:9" x14ac:dyDescent="0.3">
      <c r="A1987" t="str">
        <f t="shared" si="93"/>
        <v>-</v>
      </c>
      <c r="B1987" t="str">
        <f t="shared" si="94"/>
        <v>0-</v>
      </c>
      <c r="H1987" t="str">
        <f>IFERROR(VLOOKUP(E1987,DC_Xref!A:B,2,FALSE),"")</f>
        <v/>
      </c>
      <c r="I1987">
        <f t="shared" si="95"/>
        <v>0</v>
      </c>
    </row>
    <row r="1988" spans="1:9" x14ac:dyDescent="0.3">
      <c r="A1988" t="str">
        <f t="shared" si="93"/>
        <v>-</v>
      </c>
      <c r="B1988" t="str">
        <f t="shared" si="94"/>
        <v>0-</v>
      </c>
      <c r="H1988" t="str">
        <f>IFERROR(VLOOKUP(E1988,DC_Xref!A:B,2,FALSE),"")</f>
        <v/>
      </c>
      <c r="I1988">
        <f t="shared" si="95"/>
        <v>0</v>
      </c>
    </row>
    <row r="1989" spans="1:9" x14ac:dyDescent="0.3">
      <c r="A1989" t="str">
        <f t="shared" si="93"/>
        <v>-</v>
      </c>
      <c r="B1989" t="str">
        <f t="shared" si="94"/>
        <v>0-</v>
      </c>
      <c r="H1989" t="str">
        <f>IFERROR(VLOOKUP(E1989,DC_Xref!A:B,2,FALSE),"")</f>
        <v/>
      </c>
      <c r="I1989">
        <f t="shared" si="95"/>
        <v>0</v>
      </c>
    </row>
    <row r="1990" spans="1:9" x14ac:dyDescent="0.3">
      <c r="A1990" t="str">
        <f t="shared" si="93"/>
        <v>-</v>
      </c>
      <c r="B1990" t="str">
        <f t="shared" si="94"/>
        <v>0-</v>
      </c>
      <c r="H1990" t="str">
        <f>IFERROR(VLOOKUP(E1990,DC_Xref!A:B,2,FALSE),"")</f>
        <v/>
      </c>
      <c r="I1990">
        <f t="shared" si="95"/>
        <v>0</v>
      </c>
    </row>
    <row r="1991" spans="1:9" x14ac:dyDescent="0.3">
      <c r="A1991" t="str">
        <f t="shared" si="93"/>
        <v>-</v>
      </c>
      <c r="B1991" t="str">
        <f t="shared" si="94"/>
        <v>0-</v>
      </c>
      <c r="H1991" t="str">
        <f>IFERROR(VLOOKUP(E1991,DC_Xref!A:B,2,FALSE),"")</f>
        <v/>
      </c>
      <c r="I1991">
        <f t="shared" si="95"/>
        <v>0</v>
      </c>
    </row>
    <row r="1992" spans="1:9" x14ac:dyDescent="0.3">
      <c r="A1992" t="str">
        <f t="shared" si="93"/>
        <v>-</v>
      </c>
      <c r="B1992" t="str">
        <f t="shared" si="94"/>
        <v>0-</v>
      </c>
      <c r="H1992" t="str">
        <f>IFERROR(VLOOKUP(E1992,DC_Xref!A:B,2,FALSE),"")</f>
        <v/>
      </c>
      <c r="I1992">
        <f t="shared" si="95"/>
        <v>0</v>
      </c>
    </row>
    <row r="1993" spans="1:9" x14ac:dyDescent="0.3">
      <c r="A1993" t="str">
        <f t="shared" si="93"/>
        <v>-</v>
      </c>
      <c r="B1993" t="str">
        <f t="shared" si="94"/>
        <v>0-</v>
      </c>
      <c r="H1993" t="str">
        <f>IFERROR(VLOOKUP(E1993,DC_Xref!A:B,2,FALSE),"")</f>
        <v/>
      </c>
      <c r="I1993">
        <f t="shared" si="95"/>
        <v>0</v>
      </c>
    </row>
    <row r="1994" spans="1:9" x14ac:dyDescent="0.3">
      <c r="A1994" t="str">
        <f t="shared" si="93"/>
        <v>-</v>
      </c>
      <c r="B1994" t="str">
        <f t="shared" si="94"/>
        <v>0-</v>
      </c>
      <c r="H1994" t="str">
        <f>IFERROR(VLOOKUP(E1994,DC_Xref!A:B,2,FALSE),"")</f>
        <v/>
      </c>
      <c r="I1994">
        <f t="shared" si="95"/>
        <v>0</v>
      </c>
    </row>
    <row r="1995" spans="1:9" x14ac:dyDescent="0.3">
      <c r="A1995" t="str">
        <f t="shared" si="93"/>
        <v>-</v>
      </c>
      <c r="B1995" t="str">
        <f t="shared" si="94"/>
        <v>0-</v>
      </c>
      <c r="H1995" t="str">
        <f>IFERROR(VLOOKUP(E1995,DC_Xref!A:B,2,FALSE),"")</f>
        <v/>
      </c>
      <c r="I1995">
        <f t="shared" si="95"/>
        <v>0</v>
      </c>
    </row>
    <row r="1996" spans="1:9" x14ac:dyDescent="0.3">
      <c r="A1996" t="str">
        <f t="shared" si="93"/>
        <v>-</v>
      </c>
      <c r="B1996" t="str">
        <f t="shared" si="94"/>
        <v>0-</v>
      </c>
      <c r="H1996" t="str">
        <f>IFERROR(VLOOKUP(E1996,DC_Xref!A:B,2,FALSE),"")</f>
        <v/>
      </c>
      <c r="I1996">
        <f t="shared" si="95"/>
        <v>0</v>
      </c>
    </row>
    <row r="1997" spans="1:9" x14ac:dyDescent="0.3">
      <c r="A1997" t="str">
        <f t="shared" si="93"/>
        <v>-</v>
      </c>
      <c r="B1997" t="str">
        <f t="shared" si="94"/>
        <v>0-</v>
      </c>
      <c r="H1997" t="str">
        <f>IFERROR(VLOOKUP(E1997,DC_Xref!A:B,2,FALSE),"")</f>
        <v/>
      </c>
      <c r="I1997">
        <f t="shared" si="95"/>
        <v>0</v>
      </c>
    </row>
    <row r="1998" spans="1:9" x14ac:dyDescent="0.3">
      <c r="A1998" t="str">
        <f t="shared" si="93"/>
        <v>-</v>
      </c>
      <c r="B1998" t="str">
        <f t="shared" si="94"/>
        <v>0-</v>
      </c>
      <c r="H1998" t="str">
        <f>IFERROR(VLOOKUP(E1998,DC_Xref!A:B,2,FALSE),"")</f>
        <v/>
      </c>
      <c r="I1998">
        <f t="shared" si="95"/>
        <v>0</v>
      </c>
    </row>
    <row r="1999" spans="1:9" x14ac:dyDescent="0.3">
      <c r="A1999" t="str">
        <f t="shared" si="93"/>
        <v>-</v>
      </c>
      <c r="B1999" t="str">
        <f t="shared" si="94"/>
        <v>0-</v>
      </c>
      <c r="H1999" t="str">
        <f>IFERROR(VLOOKUP(E1999,DC_Xref!A:B,2,FALSE),"")</f>
        <v/>
      </c>
      <c r="I1999">
        <f t="shared" si="95"/>
        <v>0</v>
      </c>
    </row>
    <row r="2000" spans="1:9" x14ac:dyDescent="0.3">
      <c r="A2000" t="str">
        <f t="shared" si="93"/>
        <v>-</v>
      </c>
      <c r="B2000" t="str">
        <f t="shared" si="94"/>
        <v>0-</v>
      </c>
      <c r="H2000" t="str">
        <f>IFERROR(VLOOKUP(E2000,DC_Xref!A:B,2,FALSE),"")</f>
        <v/>
      </c>
      <c r="I2000">
        <f t="shared" si="95"/>
        <v>0</v>
      </c>
    </row>
    <row r="2001" spans="1:9" x14ac:dyDescent="0.3">
      <c r="A2001" t="str">
        <f t="shared" si="93"/>
        <v>-</v>
      </c>
      <c r="B2001" t="str">
        <f t="shared" si="94"/>
        <v>0-</v>
      </c>
      <c r="H2001" t="str">
        <f>IFERROR(VLOOKUP(E2001,DC_Xref!A:B,2,FALSE),"")</f>
        <v/>
      </c>
      <c r="I2001">
        <f t="shared" si="95"/>
        <v>0</v>
      </c>
    </row>
    <row r="2002" spans="1:9" x14ac:dyDescent="0.3">
      <c r="A2002" t="str">
        <f t="shared" si="93"/>
        <v>-</v>
      </c>
      <c r="B2002" t="str">
        <f t="shared" si="94"/>
        <v>0-</v>
      </c>
      <c r="H2002" t="str">
        <f>IFERROR(VLOOKUP(E2002,DC_Xref!A:B,2,FALSE),"")</f>
        <v/>
      </c>
      <c r="I2002">
        <f t="shared" si="95"/>
        <v>0</v>
      </c>
    </row>
    <row r="2003" spans="1:9" x14ac:dyDescent="0.3">
      <c r="A2003" t="str">
        <f t="shared" si="93"/>
        <v>-</v>
      </c>
      <c r="B2003" t="str">
        <f t="shared" si="94"/>
        <v>0-</v>
      </c>
      <c r="H2003" t="str">
        <f>IFERROR(VLOOKUP(E2003,DC_Xref!A:B,2,FALSE),"")</f>
        <v/>
      </c>
      <c r="I2003">
        <f t="shared" si="95"/>
        <v>0</v>
      </c>
    </row>
    <row r="2004" spans="1:9" x14ac:dyDescent="0.3">
      <c r="A2004" t="str">
        <f t="shared" si="93"/>
        <v>-</v>
      </c>
      <c r="B2004" t="str">
        <f t="shared" si="94"/>
        <v>0-</v>
      </c>
      <c r="H2004" t="str">
        <f>IFERROR(VLOOKUP(E2004,DC_Xref!A:B,2,FALSE),"")</f>
        <v/>
      </c>
      <c r="I2004">
        <f t="shared" si="95"/>
        <v>0</v>
      </c>
    </row>
    <row r="2005" spans="1:9" x14ac:dyDescent="0.3">
      <c r="A2005" t="str">
        <f t="shared" si="93"/>
        <v>-</v>
      </c>
      <c r="B2005" t="str">
        <f t="shared" si="94"/>
        <v>0-</v>
      </c>
      <c r="H2005" t="str">
        <f>IFERROR(VLOOKUP(E2005,DC_Xref!A:B,2,FALSE),"")</f>
        <v/>
      </c>
      <c r="I2005">
        <f t="shared" si="95"/>
        <v>0</v>
      </c>
    </row>
    <row r="2006" spans="1:9" x14ac:dyDescent="0.3">
      <c r="A2006" t="str">
        <f t="shared" si="93"/>
        <v>-</v>
      </c>
      <c r="B2006" t="str">
        <f t="shared" si="94"/>
        <v>0-</v>
      </c>
      <c r="H2006" t="str">
        <f>IFERROR(VLOOKUP(E2006,DC_Xref!A:B,2,FALSE),"")</f>
        <v/>
      </c>
      <c r="I2006">
        <f t="shared" si="95"/>
        <v>0</v>
      </c>
    </row>
    <row r="2007" spans="1:9" x14ac:dyDescent="0.3">
      <c r="A2007" t="str">
        <f t="shared" si="93"/>
        <v>-</v>
      </c>
      <c r="B2007" t="str">
        <f t="shared" si="94"/>
        <v>0-</v>
      </c>
      <c r="H2007" t="str">
        <f>IFERROR(VLOOKUP(E2007,DC_Xref!A:B,2,FALSE),"")</f>
        <v/>
      </c>
      <c r="I2007">
        <f t="shared" si="95"/>
        <v>0</v>
      </c>
    </row>
    <row r="2008" spans="1:9" x14ac:dyDescent="0.3">
      <c r="A2008" t="str">
        <f t="shared" si="93"/>
        <v>-</v>
      </c>
      <c r="B2008" t="str">
        <f t="shared" si="94"/>
        <v>0-</v>
      </c>
      <c r="H2008" t="str">
        <f>IFERROR(VLOOKUP(E2008,DC_Xref!A:B,2,FALSE),"")</f>
        <v/>
      </c>
      <c r="I2008">
        <f t="shared" si="95"/>
        <v>0</v>
      </c>
    </row>
    <row r="2009" spans="1:9" x14ac:dyDescent="0.3">
      <c r="A2009" t="str">
        <f t="shared" si="93"/>
        <v>-</v>
      </c>
      <c r="B2009" t="str">
        <f t="shared" si="94"/>
        <v>0-</v>
      </c>
      <c r="H2009" t="str">
        <f>IFERROR(VLOOKUP(E2009,DC_Xref!A:B,2,FALSE),"")</f>
        <v/>
      </c>
      <c r="I2009">
        <f t="shared" si="95"/>
        <v>0</v>
      </c>
    </row>
    <row r="2010" spans="1:9" x14ac:dyDescent="0.3">
      <c r="A2010" t="str">
        <f t="shared" si="93"/>
        <v>-</v>
      </c>
      <c r="B2010" t="str">
        <f t="shared" si="94"/>
        <v>0-</v>
      </c>
      <c r="H2010" t="str">
        <f>IFERROR(VLOOKUP(E2010,DC_Xref!A:B,2,FALSE),"")</f>
        <v/>
      </c>
      <c r="I2010">
        <f t="shared" si="95"/>
        <v>0</v>
      </c>
    </row>
    <row r="2011" spans="1:9" x14ac:dyDescent="0.3">
      <c r="A2011" t="str">
        <f t="shared" si="93"/>
        <v>-</v>
      </c>
      <c r="B2011" t="str">
        <f t="shared" si="94"/>
        <v>0-</v>
      </c>
      <c r="H2011" t="str">
        <f>IFERROR(VLOOKUP(E2011,DC_Xref!A:B,2,FALSE),"")</f>
        <v/>
      </c>
      <c r="I2011">
        <f t="shared" si="95"/>
        <v>0</v>
      </c>
    </row>
    <row r="2012" spans="1:9" x14ac:dyDescent="0.3">
      <c r="A2012" t="str">
        <f t="shared" si="93"/>
        <v>-</v>
      </c>
      <c r="B2012" t="str">
        <f t="shared" si="94"/>
        <v>0-</v>
      </c>
      <c r="H2012" t="str">
        <f>IFERROR(VLOOKUP(E2012,DC_Xref!A:B,2,FALSE),"")</f>
        <v/>
      </c>
      <c r="I2012">
        <f t="shared" si="95"/>
        <v>0</v>
      </c>
    </row>
    <row r="2013" spans="1:9" x14ac:dyDescent="0.3">
      <c r="A2013" t="str">
        <f t="shared" si="93"/>
        <v>-</v>
      </c>
      <c r="B2013" t="str">
        <f t="shared" si="94"/>
        <v>0-</v>
      </c>
      <c r="H2013" t="str">
        <f>IFERROR(VLOOKUP(E2013,DC_Xref!A:B,2,FALSE),"")</f>
        <v/>
      </c>
      <c r="I2013">
        <f t="shared" si="95"/>
        <v>0</v>
      </c>
    </row>
    <row r="2014" spans="1:9" x14ac:dyDescent="0.3">
      <c r="A2014" t="str">
        <f t="shared" si="93"/>
        <v>-</v>
      </c>
      <c r="B2014" t="str">
        <f t="shared" si="94"/>
        <v>0-</v>
      </c>
      <c r="H2014" t="str">
        <f>IFERROR(VLOOKUP(E2014,DC_Xref!A:B,2,FALSE),"")</f>
        <v/>
      </c>
      <c r="I2014">
        <f t="shared" si="95"/>
        <v>0</v>
      </c>
    </row>
    <row r="2015" spans="1:9" x14ac:dyDescent="0.3">
      <c r="A2015" t="str">
        <f t="shared" si="93"/>
        <v>-</v>
      </c>
      <c r="B2015" t="str">
        <f t="shared" si="94"/>
        <v>0-</v>
      </c>
      <c r="H2015" t="str">
        <f>IFERROR(VLOOKUP(E2015,DC_Xref!A:B,2,FALSE),"")</f>
        <v/>
      </c>
      <c r="I2015">
        <f t="shared" si="95"/>
        <v>0</v>
      </c>
    </row>
    <row r="2016" spans="1:9" x14ac:dyDescent="0.3">
      <c r="A2016" t="str">
        <f t="shared" si="93"/>
        <v>-</v>
      </c>
      <c r="B2016" t="str">
        <f t="shared" si="94"/>
        <v>0-</v>
      </c>
      <c r="H2016" t="str">
        <f>IFERROR(VLOOKUP(E2016,DC_Xref!A:B,2,FALSE),"")</f>
        <v/>
      </c>
      <c r="I2016">
        <f t="shared" si="95"/>
        <v>0</v>
      </c>
    </row>
    <row r="2017" spans="1:9" x14ac:dyDescent="0.3">
      <c r="A2017" t="str">
        <f t="shared" si="93"/>
        <v>-</v>
      </c>
      <c r="B2017" t="str">
        <f t="shared" si="94"/>
        <v>0-</v>
      </c>
      <c r="H2017" t="str">
        <f>IFERROR(VLOOKUP(E2017,DC_Xref!A:B,2,FALSE),"")</f>
        <v/>
      </c>
      <c r="I2017">
        <f t="shared" si="95"/>
        <v>0</v>
      </c>
    </row>
    <row r="2018" spans="1:9" x14ac:dyDescent="0.3">
      <c r="A2018" t="str">
        <f t="shared" si="93"/>
        <v>-</v>
      </c>
      <c r="B2018" t="str">
        <f t="shared" si="94"/>
        <v>0-</v>
      </c>
      <c r="H2018" t="str">
        <f>IFERROR(VLOOKUP(E2018,DC_Xref!A:B,2,FALSE),"")</f>
        <v/>
      </c>
      <c r="I2018">
        <f t="shared" si="95"/>
        <v>0</v>
      </c>
    </row>
    <row r="2019" spans="1:9" x14ac:dyDescent="0.3">
      <c r="A2019" t="str">
        <f t="shared" si="93"/>
        <v>-</v>
      </c>
      <c r="B2019" t="str">
        <f t="shared" si="94"/>
        <v>0-</v>
      </c>
      <c r="H2019" t="str">
        <f>IFERROR(VLOOKUP(E2019,DC_Xref!A:B,2,FALSE),"")</f>
        <v/>
      </c>
      <c r="I2019">
        <f t="shared" si="95"/>
        <v>0</v>
      </c>
    </row>
    <row r="2020" spans="1:9" x14ac:dyDescent="0.3">
      <c r="A2020" t="str">
        <f t="shared" si="93"/>
        <v>-</v>
      </c>
      <c r="B2020" t="str">
        <f t="shared" si="94"/>
        <v>0-</v>
      </c>
      <c r="H2020" t="str">
        <f>IFERROR(VLOOKUP(E2020,DC_Xref!A:B,2,FALSE),"")</f>
        <v/>
      </c>
      <c r="I2020">
        <f t="shared" si="95"/>
        <v>0</v>
      </c>
    </row>
    <row r="2021" spans="1:9" x14ac:dyDescent="0.3">
      <c r="A2021" t="str">
        <f t="shared" si="93"/>
        <v>-</v>
      </c>
      <c r="B2021" t="str">
        <f t="shared" si="94"/>
        <v>0-</v>
      </c>
      <c r="H2021" t="str">
        <f>IFERROR(VLOOKUP(E2021,DC_Xref!A:B,2,FALSE),"")</f>
        <v/>
      </c>
      <c r="I2021">
        <f t="shared" si="95"/>
        <v>0</v>
      </c>
    </row>
    <row r="2022" spans="1:9" x14ac:dyDescent="0.3">
      <c r="A2022" t="str">
        <f t="shared" si="93"/>
        <v>-</v>
      </c>
      <c r="B2022" t="str">
        <f t="shared" si="94"/>
        <v>0-</v>
      </c>
      <c r="H2022" t="str">
        <f>IFERROR(VLOOKUP(E2022,DC_Xref!A:B,2,FALSE),"")</f>
        <v/>
      </c>
      <c r="I2022">
        <f t="shared" si="95"/>
        <v>0</v>
      </c>
    </row>
    <row r="2023" spans="1:9" x14ac:dyDescent="0.3">
      <c r="A2023" t="str">
        <f t="shared" si="93"/>
        <v>-</v>
      </c>
      <c r="B2023" t="str">
        <f t="shared" si="94"/>
        <v>0-</v>
      </c>
      <c r="H2023" t="str">
        <f>IFERROR(VLOOKUP(E2023,DC_Xref!A:B,2,FALSE),"")</f>
        <v/>
      </c>
      <c r="I2023">
        <f t="shared" si="95"/>
        <v>0</v>
      </c>
    </row>
    <row r="2024" spans="1:9" x14ac:dyDescent="0.3">
      <c r="A2024" t="str">
        <f t="shared" si="93"/>
        <v>-</v>
      </c>
      <c r="B2024" t="str">
        <f t="shared" si="94"/>
        <v>0-</v>
      </c>
      <c r="H2024" t="str">
        <f>IFERROR(VLOOKUP(E2024,DC_Xref!A:B,2,FALSE),"")</f>
        <v/>
      </c>
      <c r="I2024">
        <f t="shared" si="95"/>
        <v>0</v>
      </c>
    </row>
    <row r="2025" spans="1:9" x14ac:dyDescent="0.3">
      <c r="A2025" t="str">
        <f t="shared" si="93"/>
        <v>-</v>
      </c>
      <c r="B2025" t="str">
        <f t="shared" si="94"/>
        <v>0-</v>
      </c>
      <c r="H2025" t="str">
        <f>IFERROR(VLOOKUP(E2025,DC_Xref!A:B,2,FALSE),"")</f>
        <v/>
      </c>
      <c r="I2025">
        <f t="shared" si="95"/>
        <v>0</v>
      </c>
    </row>
    <row r="2026" spans="1:9" x14ac:dyDescent="0.3">
      <c r="A2026" t="str">
        <f t="shared" si="93"/>
        <v>-</v>
      </c>
      <c r="B2026" t="str">
        <f t="shared" si="94"/>
        <v>0-</v>
      </c>
      <c r="H2026" t="str">
        <f>IFERROR(VLOOKUP(E2026,DC_Xref!A:B,2,FALSE),"")</f>
        <v/>
      </c>
      <c r="I2026">
        <f t="shared" si="95"/>
        <v>0</v>
      </c>
    </row>
    <row r="2027" spans="1:9" x14ac:dyDescent="0.3">
      <c r="A2027" t="str">
        <f t="shared" si="93"/>
        <v>-</v>
      </c>
      <c r="B2027" t="str">
        <f t="shared" si="94"/>
        <v>0-</v>
      </c>
      <c r="H2027" t="str">
        <f>IFERROR(VLOOKUP(E2027,DC_Xref!A:B,2,FALSE),"")</f>
        <v/>
      </c>
      <c r="I2027">
        <f t="shared" si="95"/>
        <v>0</v>
      </c>
    </row>
    <row r="2028" spans="1:9" x14ac:dyDescent="0.3">
      <c r="A2028" t="str">
        <f t="shared" si="93"/>
        <v>-</v>
      </c>
      <c r="B2028" t="str">
        <f t="shared" si="94"/>
        <v>0-</v>
      </c>
      <c r="H2028" t="str">
        <f>IFERROR(VLOOKUP(E2028,DC_Xref!A:B,2,FALSE),"")</f>
        <v/>
      </c>
      <c r="I2028">
        <f t="shared" si="95"/>
        <v>0</v>
      </c>
    </row>
    <row r="2029" spans="1:9" x14ac:dyDescent="0.3">
      <c r="A2029" t="str">
        <f t="shared" si="93"/>
        <v>-</v>
      </c>
      <c r="B2029" t="str">
        <f t="shared" si="94"/>
        <v>0-</v>
      </c>
      <c r="H2029" t="str">
        <f>IFERROR(VLOOKUP(E2029,DC_Xref!A:B,2,FALSE),"")</f>
        <v/>
      </c>
      <c r="I2029">
        <f t="shared" si="95"/>
        <v>0</v>
      </c>
    </row>
    <row r="2030" spans="1:9" x14ac:dyDescent="0.3">
      <c r="A2030" t="str">
        <f t="shared" si="93"/>
        <v>-</v>
      </c>
      <c r="B2030" t="str">
        <f t="shared" si="94"/>
        <v>0-</v>
      </c>
      <c r="H2030" t="str">
        <f>IFERROR(VLOOKUP(E2030,DC_Xref!A:B,2,FALSE),"")</f>
        <v/>
      </c>
      <c r="I2030">
        <f t="shared" si="95"/>
        <v>0</v>
      </c>
    </row>
    <row r="2031" spans="1:9" x14ac:dyDescent="0.3">
      <c r="A2031" t="str">
        <f t="shared" si="93"/>
        <v>-</v>
      </c>
      <c r="B2031" t="str">
        <f t="shared" si="94"/>
        <v>0-</v>
      </c>
      <c r="H2031" t="str">
        <f>IFERROR(VLOOKUP(E2031,DC_Xref!A:B,2,FALSE),"")</f>
        <v/>
      </c>
      <c r="I2031">
        <f t="shared" si="95"/>
        <v>0</v>
      </c>
    </row>
    <row r="2032" spans="1:9" x14ac:dyDescent="0.3">
      <c r="A2032" t="str">
        <f t="shared" si="93"/>
        <v>-</v>
      </c>
      <c r="B2032" t="str">
        <f t="shared" si="94"/>
        <v>0-</v>
      </c>
      <c r="H2032" t="str">
        <f>IFERROR(VLOOKUP(E2032,DC_Xref!A:B,2,FALSE),"")</f>
        <v/>
      </c>
      <c r="I2032">
        <f t="shared" si="95"/>
        <v>0</v>
      </c>
    </row>
    <row r="2033" spans="1:9" x14ac:dyDescent="0.3">
      <c r="A2033" t="str">
        <f t="shared" si="93"/>
        <v>-</v>
      </c>
      <c r="B2033" t="str">
        <f t="shared" si="94"/>
        <v>0-</v>
      </c>
      <c r="H2033" t="str">
        <f>IFERROR(VLOOKUP(E2033,DC_Xref!A:B,2,FALSE),"")</f>
        <v/>
      </c>
      <c r="I2033">
        <f t="shared" si="95"/>
        <v>0</v>
      </c>
    </row>
    <row r="2034" spans="1:9" x14ac:dyDescent="0.3">
      <c r="A2034" t="str">
        <f t="shared" si="93"/>
        <v>-</v>
      </c>
      <c r="B2034" t="str">
        <f t="shared" si="94"/>
        <v>0-</v>
      </c>
      <c r="H2034" t="str">
        <f>IFERROR(VLOOKUP(E2034,DC_Xref!A:B,2,FALSE),"")</f>
        <v/>
      </c>
      <c r="I2034">
        <f t="shared" si="95"/>
        <v>0</v>
      </c>
    </row>
    <row r="2035" spans="1:9" x14ac:dyDescent="0.3">
      <c r="A2035" t="str">
        <f t="shared" si="93"/>
        <v>-</v>
      </c>
      <c r="B2035" t="str">
        <f t="shared" si="94"/>
        <v>0-</v>
      </c>
      <c r="H2035" t="str">
        <f>IFERROR(VLOOKUP(E2035,DC_Xref!A:B,2,FALSE),"")</f>
        <v/>
      </c>
      <c r="I2035">
        <f t="shared" si="95"/>
        <v>0</v>
      </c>
    </row>
    <row r="2036" spans="1:9" x14ac:dyDescent="0.3">
      <c r="A2036" t="str">
        <f t="shared" si="93"/>
        <v>-</v>
      </c>
      <c r="B2036" t="str">
        <f t="shared" si="94"/>
        <v>0-</v>
      </c>
      <c r="H2036" t="str">
        <f>IFERROR(VLOOKUP(E2036,DC_Xref!A:B,2,FALSE),"")</f>
        <v/>
      </c>
      <c r="I2036">
        <f t="shared" si="95"/>
        <v>0</v>
      </c>
    </row>
    <row r="2037" spans="1:9" x14ac:dyDescent="0.3">
      <c r="A2037" t="str">
        <f t="shared" si="93"/>
        <v>-</v>
      </c>
      <c r="B2037" t="str">
        <f t="shared" si="94"/>
        <v>0-</v>
      </c>
      <c r="H2037" t="str">
        <f>IFERROR(VLOOKUP(E2037,DC_Xref!A:B,2,FALSE),"")</f>
        <v/>
      </c>
      <c r="I2037">
        <f t="shared" si="95"/>
        <v>0</v>
      </c>
    </row>
    <row r="2038" spans="1:9" x14ac:dyDescent="0.3">
      <c r="A2038" t="str">
        <f t="shared" si="93"/>
        <v>-</v>
      </c>
      <c r="B2038" t="str">
        <f t="shared" si="94"/>
        <v>0-</v>
      </c>
      <c r="H2038" t="str">
        <f>IFERROR(VLOOKUP(E2038,DC_Xref!A:B,2,FALSE),"")</f>
        <v/>
      </c>
      <c r="I2038">
        <f t="shared" si="95"/>
        <v>0</v>
      </c>
    </row>
    <row r="2039" spans="1:9" x14ac:dyDescent="0.3">
      <c r="A2039" t="str">
        <f t="shared" si="93"/>
        <v>-</v>
      </c>
      <c r="B2039" t="str">
        <f t="shared" si="94"/>
        <v>0-</v>
      </c>
      <c r="H2039" t="str">
        <f>IFERROR(VLOOKUP(E2039,DC_Xref!A:B,2,FALSE),"")</f>
        <v/>
      </c>
      <c r="I2039">
        <f t="shared" si="95"/>
        <v>0</v>
      </c>
    </row>
    <row r="2040" spans="1:9" x14ac:dyDescent="0.3">
      <c r="A2040" t="str">
        <f t="shared" si="93"/>
        <v>-</v>
      </c>
      <c r="B2040" t="str">
        <f t="shared" si="94"/>
        <v>0-</v>
      </c>
      <c r="H2040" t="str">
        <f>IFERROR(VLOOKUP(E2040,DC_Xref!A:B,2,FALSE),"")</f>
        <v/>
      </c>
      <c r="I2040">
        <f t="shared" si="95"/>
        <v>0</v>
      </c>
    </row>
    <row r="2041" spans="1:9" x14ac:dyDescent="0.3">
      <c r="A2041" t="str">
        <f t="shared" si="93"/>
        <v>-</v>
      </c>
      <c r="B2041" t="str">
        <f t="shared" si="94"/>
        <v>0-</v>
      </c>
      <c r="H2041" t="str">
        <f>IFERROR(VLOOKUP(E2041,DC_Xref!A:B,2,FALSE),"")</f>
        <v/>
      </c>
      <c r="I2041">
        <f t="shared" si="95"/>
        <v>0</v>
      </c>
    </row>
    <row r="2042" spans="1:9" x14ac:dyDescent="0.3">
      <c r="A2042" t="str">
        <f t="shared" si="93"/>
        <v>-</v>
      </c>
      <c r="B2042" t="str">
        <f t="shared" si="94"/>
        <v>0-</v>
      </c>
      <c r="H2042" t="str">
        <f>IFERROR(VLOOKUP(E2042,DC_Xref!A:B,2,FALSE),"")</f>
        <v/>
      </c>
      <c r="I2042">
        <f t="shared" si="95"/>
        <v>0</v>
      </c>
    </row>
    <row r="2043" spans="1:9" x14ac:dyDescent="0.3">
      <c r="A2043" t="str">
        <f t="shared" si="93"/>
        <v>-</v>
      </c>
      <c r="B2043" t="str">
        <f t="shared" si="94"/>
        <v>0-</v>
      </c>
      <c r="H2043" t="str">
        <f>IFERROR(VLOOKUP(E2043,DC_Xref!A:B,2,FALSE),"")</f>
        <v/>
      </c>
      <c r="I2043">
        <f t="shared" si="95"/>
        <v>0</v>
      </c>
    </row>
    <row r="2044" spans="1:9" x14ac:dyDescent="0.3">
      <c r="A2044" t="str">
        <f t="shared" si="93"/>
        <v>-</v>
      </c>
      <c r="B2044" t="str">
        <f t="shared" si="94"/>
        <v>0-</v>
      </c>
      <c r="H2044" t="str">
        <f>IFERROR(VLOOKUP(E2044,DC_Xref!A:B,2,FALSE),"")</f>
        <v/>
      </c>
      <c r="I2044">
        <f t="shared" si="95"/>
        <v>0</v>
      </c>
    </row>
    <row r="2045" spans="1:9" x14ac:dyDescent="0.3">
      <c r="A2045" t="str">
        <f t="shared" si="93"/>
        <v>-</v>
      </c>
      <c r="B2045" t="str">
        <f t="shared" si="94"/>
        <v>0-</v>
      </c>
      <c r="H2045" t="str">
        <f>IFERROR(VLOOKUP(E2045,DC_Xref!A:B,2,FALSE),"")</f>
        <v/>
      </c>
      <c r="I2045">
        <f t="shared" si="95"/>
        <v>0</v>
      </c>
    </row>
    <row r="2046" spans="1:9" x14ac:dyDescent="0.3">
      <c r="A2046" t="str">
        <f t="shared" si="93"/>
        <v>-</v>
      </c>
      <c r="B2046" t="str">
        <f t="shared" si="94"/>
        <v>0-</v>
      </c>
      <c r="H2046" t="str">
        <f>IFERROR(VLOOKUP(E2046,DC_Xref!A:B,2,FALSE),"")</f>
        <v/>
      </c>
      <c r="I2046">
        <f t="shared" si="95"/>
        <v>0</v>
      </c>
    </row>
    <row r="2047" spans="1:9" x14ac:dyDescent="0.3">
      <c r="A2047" t="str">
        <f t="shared" si="93"/>
        <v>-</v>
      </c>
      <c r="B2047" t="str">
        <f t="shared" si="94"/>
        <v>0-</v>
      </c>
      <c r="H2047" t="str">
        <f>IFERROR(VLOOKUP(E2047,DC_Xref!A:B,2,FALSE),"")</f>
        <v/>
      </c>
      <c r="I2047">
        <f t="shared" si="95"/>
        <v>0</v>
      </c>
    </row>
    <row r="2048" spans="1:9" x14ac:dyDescent="0.3">
      <c r="A2048" t="str">
        <f t="shared" si="93"/>
        <v>-</v>
      </c>
      <c r="B2048" t="str">
        <f t="shared" si="94"/>
        <v>0-</v>
      </c>
      <c r="H2048" t="str">
        <f>IFERROR(VLOOKUP(E2048,DC_Xref!A:B,2,FALSE),"")</f>
        <v/>
      </c>
      <c r="I2048">
        <f t="shared" si="95"/>
        <v>0</v>
      </c>
    </row>
    <row r="2049" spans="1:9" x14ac:dyDescent="0.3">
      <c r="A2049" t="str">
        <f t="shared" si="93"/>
        <v>-</v>
      </c>
      <c r="B2049" t="str">
        <f t="shared" si="94"/>
        <v>0-</v>
      </c>
      <c r="H2049" t="str">
        <f>IFERROR(VLOOKUP(E2049,DC_Xref!A:B,2,FALSE),"")</f>
        <v/>
      </c>
      <c r="I2049">
        <f t="shared" si="95"/>
        <v>0</v>
      </c>
    </row>
    <row r="2050" spans="1:9" x14ac:dyDescent="0.3">
      <c r="A2050" t="str">
        <f t="shared" ref="A2050:A2113" si="96">C2050&amp;"-"&amp;F2050</f>
        <v>-</v>
      </c>
      <c r="B2050" t="str">
        <f t="shared" ref="B2050:B2113" si="97">I2050&amp;"-"&amp;H2050</f>
        <v>0-</v>
      </c>
      <c r="H2050" t="str">
        <f>IFERROR(VLOOKUP(E2050,DC_Xref!A:B,2,FALSE),"")</f>
        <v/>
      </c>
      <c r="I2050">
        <f t="shared" ref="I2050:I2113" si="98">C2050*100+D2050</f>
        <v>0</v>
      </c>
    </row>
    <row r="2051" spans="1:9" x14ac:dyDescent="0.3">
      <c r="A2051" t="str">
        <f t="shared" si="96"/>
        <v>-</v>
      </c>
      <c r="B2051" t="str">
        <f t="shared" si="97"/>
        <v>0-</v>
      </c>
      <c r="H2051" t="str">
        <f>IFERROR(VLOOKUP(E2051,DC_Xref!A:B,2,FALSE),"")</f>
        <v/>
      </c>
      <c r="I2051">
        <f t="shared" si="98"/>
        <v>0</v>
      </c>
    </row>
    <row r="2052" spans="1:9" x14ac:dyDescent="0.3">
      <c r="A2052" t="str">
        <f t="shared" si="96"/>
        <v>-</v>
      </c>
      <c r="B2052" t="str">
        <f t="shared" si="97"/>
        <v>0-</v>
      </c>
      <c r="H2052" t="str">
        <f>IFERROR(VLOOKUP(E2052,DC_Xref!A:B,2,FALSE),"")</f>
        <v/>
      </c>
      <c r="I2052">
        <f t="shared" si="98"/>
        <v>0</v>
      </c>
    </row>
    <row r="2053" spans="1:9" x14ac:dyDescent="0.3">
      <c r="A2053" t="str">
        <f t="shared" si="96"/>
        <v>-</v>
      </c>
      <c r="B2053" t="str">
        <f t="shared" si="97"/>
        <v>0-</v>
      </c>
      <c r="H2053" t="str">
        <f>IFERROR(VLOOKUP(E2053,DC_Xref!A:B,2,FALSE),"")</f>
        <v/>
      </c>
      <c r="I2053">
        <f t="shared" si="98"/>
        <v>0</v>
      </c>
    </row>
    <row r="2054" spans="1:9" x14ac:dyDescent="0.3">
      <c r="A2054" t="str">
        <f t="shared" si="96"/>
        <v>-</v>
      </c>
      <c r="B2054" t="str">
        <f t="shared" si="97"/>
        <v>0-</v>
      </c>
      <c r="H2054" t="str">
        <f>IFERROR(VLOOKUP(E2054,DC_Xref!A:B,2,FALSE),"")</f>
        <v/>
      </c>
      <c r="I2054">
        <f t="shared" si="98"/>
        <v>0</v>
      </c>
    </row>
    <row r="2055" spans="1:9" x14ac:dyDescent="0.3">
      <c r="A2055" t="str">
        <f t="shared" si="96"/>
        <v>-</v>
      </c>
      <c r="B2055" t="str">
        <f t="shared" si="97"/>
        <v>0-</v>
      </c>
      <c r="H2055" t="str">
        <f>IFERROR(VLOOKUP(E2055,DC_Xref!A:B,2,FALSE),"")</f>
        <v/>
      </c>
      <c r="I2055">
        <f t="shared" si="98"/>
        <v>0</v>
      </c>
    </row>
    <row r="2056" spans="1:9" x14ac:dyDescent="0.3">
      <c r="A2056" t="str">
        <f t="shared" si="96"/>
        <v>-</v>
      </c>
      <c r="B2056" t="str">
        <f t="shared" si="97"/>
        <v>0-</v>
      </c>
      <c r="H2056" t="str">
        <f>IFERROR(VLOOKUP(E2056,DC_Xref!A:B,2,FALSE),"")</f>
        <v/>
      </c>
      <c r="I2056">
        <f t="shared" si="98"/>
        <v>0</v>
      </c>
    </row>
    <row r="2057" spans="1:9" x14ac:dyDescent="0.3">
      <c r="A2057" t="str">
        <f t="shared" si="96"/>
        <v>-</v>
      </c>
      <c r="B2057" t="str">
        <f t="shared" si="97"/>
        <v>0-</v>
      </c>
      <c r="H2057" t="str">
        <f>IFERROR(VLOOKUP(E2057,DC_Xref!A:B,2,FALSE),"")</f>
        <v/>
      </c>
      <c r="I2057">
        <f t="shared" si="98"/>
        <v>0</v>
      </c>
    </row>
    <row r="2058" spans="1:9" x14ac:dyDescent="0.3">
      <c r="A2058" t="str">
        <f t="shared" si="96"/>
        <v>-</v>
      </c>
      <c r="B2058" t="str">
        <f t="shared" si="97"/>
        <v>0-</v>
      </c>
      <c r="H2058" t="str">
        <f>IFERROR(VLOOKUP(E2058,DC_Xref!A:B,2,FALSE),"")</f>
        <v/>
      </c>
      <c r="I2058">
        <f t="shared" si="98"/>
        <v>0</v>
      </c>
    </row>
    <row r="2059" spans="1:9" x14ac:dyDescent="0.3">
      <c r="A2059" t="str">
        <f t="shared" si="96"/>
        <v>-</v>
      </c>
      <c r="B2059" t="str">
        <f t="shared" si="97"/>
        <v>0-</v>
      </c>
      <c r="H2059" t="str">
        <f>IFERROR(VLOOKUP(E2059,DC_Xref!A:B,2,FALSE),"")</f>
        <v/>
      </c>
      <c r="I2059">
        <f t="shared" si="98"/>
        <v>0</v>
      </c>
    </row>
    <row r="2060" spans="1:9" x14ac:dyDescent="0.3">
      <c r="A2060" t="str">
        <f t="shared" si="96"/>
        <v>-</v>
      </c>
      <c r="B2060" t="str">
        <f t="shared" si="97"/>
        <v>0-</v>
      </c>
      <c r="H2060" t="str">
        <f>IFERROR(VLOOKUP(E2060,DC_Xref!A:B,2,FALSE),"")</f>
        <v/>
      </c>
      <c r="I2060">
        <f t="shared" si="98"/>
        <v>0</v>
      </c>
    </row>
    <row r="2061" spans="1:9" x14ac:dyDescent="0.3">
      <c r="A2061" t="str">
        <f t="shared" si="96"/>
        <v>-</v>
      </c>
      <c r="B2061" t="str">
        <f t="shared" si="97"/>
        <v>0-</v>
      </c>
      <c r="H2061" t="str">
        <f>IFERROR(VLOOKUP(E2061,DC_Xref!A:B,2,FALSE),"")</f>
        <v/>
      </c>
      <c r="I2061">
        <f t="shared" si="98"/>
        <v>0</v>
      </c>
    </row>
    <row r="2062" spans="1:9" x14ac:dyDescent="0.3">
      <c r="A2062" t="str">
        <f t="shared" si="96"/>
        <v>-</v>
      </c>
      <c r="B2062" t="str">
        <f t="shared" si="97"/>
        <v>0-</v>
      </c>
      <c r="H2062" t="str">
        <f>IFERROR(VLOOKUP(E2062,DC_Xref!A:B,2,FALSE),"")</f>
        <v/>
      </c>
      <c r="I2062">
        <f t="shared" si="98"/>
        <v>0</v>
      </c>
    </row>
    <row r="2063" spans="1:9" x14ac:dyDescent="0.3">
      <c r="A2063" t="str">
        <f t="shared" si="96"/>
        <v>-</v>
      </c>
      <c r="B2063" t="str">
        <f t="shared" si="97"/>
        <v>0-</v>
      </c>
      <c r="H2063" t="str">
        <f>IFERROR(VLOOKUP(E2063,DC_Xref!A:B,2,FALSE),"")</f>
        <v/>
      </c>
      <c r="I2063">
        <f t="shared" si="98"/>
        <v>0</v>
      </c>
    </row>
    <row r="2064" spans="1:9" x14ac:dyDescent="0.3">
      <c r="A2064" t="str">
        <f t="shared" si="96"/>
        <v>-</v>
      </c>
      <c r="B2064" t="str">
        <f t="shared" si="97"/>
        <v>0-</v>
      </c>
      <c r="H2064" t="str">
        <f>IFERROR(VLOOKUP(E2064,DC_Xref!A:B,2,FALSE),"")</f>
        <v/>
      </c>
      <c r="I2064">
        <f t="shared" si="98"/>
        <v>0</v>
      </c>
    </row>
    <row r="2065" spans="1:9" x14ac:dyDescent="0.3">
      <c r="A2065" t="str">
        <f t="shared" si="96"/>
        <v>-</v>
      </c>
      <c r="B2065" t="str">
        <f t="shared" si="97"/>
        <v>0-</v>
      </c>
      <c r="H2065" t="str">
        <f>IFERROR(VLOOKUP(E2065,DC_Xref!A:B,2,FALSE),"")</f>
        <v/>
      </c>
      <c r="I2065">
        <f t="shared" si="98"/>
        <v>0</v>
      </c>
    </row>
    <row r="2066" spans="1:9" x14ac:dyDescent="0.3">
      <c r="A2066" t="str">
        <f t="shared" si="96"/>
        <v>-</v>
      </c>
      <c r="B2066" t="str">
        <f t="shared" si="97"/>
        <v>0-</v>
      </c>
      <c r="H2066" t="str">
        <f>IFERROR(VLOOKUP(E2066,DC_Xref!A:B,2,FALSE),"")</f>
        <v/>
      </c>
      <c r="I2066">
        <f t="shared" si="98"/>
        <v>0</v>
      </c>
    </row>
    <row r="2067" spans="1:9" x14ac:dyDescent="0.3">
      <c r="A2067" t="str">
        <f t="shared" si="96"/>
        <v>-</v>
      </c>
      <c r="B2067" t="str">
        <f t="shared" si="97"/>
        <v>0-</v>
      </c>
      <c r="H2067" t="str">
        <f>IFERROR(VLOOKUP(E2067,DC_Xref!A:B,2,FALSE),"")</f>
        <v/>
      </c>
      <c r="I2067">
        <f t="shared" si="98"/>
        <v>0</v>
      </c>
    </row>
    <row r="2068" spans="1:9" x14ac:dyDescent="0.3">
      <c r="A2068" t="str">
        <f t="shared" si="96"/>
        <v>-</v>
      </c>
      <c r="B2068" t="str">
        <f t="shared" si="97"/>
        <v>0-</v>
      </c>
      <c r="H2068" t="str">
        <f>IFERROR(VLOOKUP(E2068,DC_Xref!A:B,2,FALSE),"")</f>
        <v/>
      </c>
      <c r="I2068">
        <f t="shared" si="98"/>
        <v>0</v>
      </c>
    </row>
    <row r="2069" spans="1:9" x14ac:dyDescent="0.3">
      <c r="A2069" t="str">
        <f t="shared" si="96"/>
        <v>-</v>
      </c>
      <c r="B2069" t="str">
        <f t="shared" si="97"/>
        <v>0-</v>
      </c>
      <c r="H2069" t="str">
        <f>IFERROR(VLOOKUP(E2069,DC_Xref!A:B,2,FALSE),"")</f>
        <v/>
      </c>
      <c r="I2069">
        <f t="shared" si="98"/>
        <v>0</v>
      </c>
    </row>
    <row r="2070" spans="1:9" x14ac:dyDescent="0.3">
      <c r="A2070" t="str">
        <f t="shared" si="96"/>
        <v>-</v>
      </c>
      <c r="B2070" t="str">
        <f t="shared" si="97"/>
        <v>0-</v>
      </c>
      <c r="H2070" t="str">
        <f>IFERROR(VLOOKUP(E2070,DC_Xref!A:B,2,FALSE),"")</f>
        <v/>
      </c>
      <c r="I2070">
        <f t="shared" si="98"/>
        <v>0</v>
      </c>
    </row>
    <row r="2071" spans="1:9" x14ac:dyDescent="0.3">
      <c r="A2071" t="str">
        <f t="shared" si="96"/>
        <v>-</v>
      </c>
      <c r="B2071" t="str">
        <f t="shared" si="97"/>
        <v>0-</v>
      </c>
      <c r="H2071" t="str">
        <f>IFERROR(VLOOKUP(E2071,DC_Xref!A:B,2,FALSE),"")</f>
        <v/>
      </c>
      <c r="I2071">
        <f t="shared" si="98"/>
        <v>0</v>
      </c>
    </row>
    <row r="2072" spans="1:9" x14ac:dyDescent="0.3">
      <c r="A2072" t="str">
        <f t="shared" si="96"/>
        <v>-</v>
      </c>
      <c r="B2072" t="str">
        <f t="shared" si="97"/>
        <v>0-</v>
      </c>
      <c r="H2072" t="str">
        <f>IFERROR(VLOOKUP(E2072,DC_Xref!A:B,2,FALSE),"")</f>
        <v/>
      </c>
      <c r="I2072">
        <f t="shared" si="98"/>
        <v>0</v>
      </c>
    </row>
    <row r="2073" spans="1:9" x14ac:dyDescent="0.3">
      <c r="A2073" t="str">
        <f t="shared" si="96"/>
        <v>-</v>
      </c>
      <c r="B2073" t="str">
        <f t="shared" si="97"/>
        <v>0-</v>
      </c>
      <c r="H2073" t="str">
        <f>IFERROR(VLOOKUP(E2073,DC_Xref!A:B,2,FALSE),"")</f>
        <v/>
      </c>
      <c r="I2073">
        <f t="shared" si="98"/>
        <v>0</v>
      </c>
    </row>
    <row r="2074" spans="1:9" x14ac:dyDescent="0.3">
      <c r="A2074" t="str">
        <f t="shared" si="96"/>
        <v>-</v>
      </c>
      <c r="B2074" t="str">
        <f t="shared" si="97"/>
        <v>0-</v>
      </c>
      <c r="H2074" t="str">
        <f>IFERROR(VLOOKUP(E2074,DC_Xref!A:B,2,FALSE),"")</f>
        <v/>
      </c>
      <c r="I2074">
        <f t="shared" si="98"/>
        <v>0</v>
      </c>
    </row>
    <row r="2075" spans="1:9" x14ac:dyDescent="0.3">
      <c r="A2075" t="str">
        <f t="shared" si="96"/>
        <v>-</v>
      </c>
      <c r="B2075" t="str">
        <f t="shared" si="97"/>
        <v>0-</v>
      </c>
      <c r="H2075" t="str">
        <f>IFERROR(VLOOKUP(E2075,DC_Xref!A:B,2,FALSE),"")</f>
        <v/>
      </c>
      <c r="I2075">
        <f t="shared" si="98"/>
        <v>0</v>
      </c>
    </row>
    <row r="2076" spans="1:9" x14ac:dyDescent="0.3">
      <c r="A2076" t="str">
        <f t="shared" si="96"/>
        <v>-</v>
      </c>
      <c r="B2076" t="str">
        <f t="shared" si="97"/>
        <v>0-</v>
      </c>
      <c r="H2076" t="str">
        <f>IFERROR(VLOOKUP(E2076,DC_Xref!A:B,2,FALSE),"")</f>
        <v/>
      </c>
      <c r="I2076">
        <f t="shared" si="98"/>
        <v>0</v>
      </c>
    </row>
    <row r="2077" spans="1:9" x14ac:dyDescent="0.3">
      <c r="A2077" t="str">
        <f t="shared" si="96"/>
        <v>-</v>
      </c>
      <c r="B2077" t="str">
        <f t="shared" si="97"/>
        <v>0-</v>
      </c>
      <c r="H2077" t="str">
        <f>IFERROR(VLOOKUP(E2077,DC_Xref!A:B,2,FALSE),"")</f>
        <v/>
      </c>
      <c r="I2077">
        <f t="shared" si="98"/>
        <v>0</v>
      </c>
    </row>
    <row r="2078" spans="1:9" x14ac:dyDescent="0.3">
      <c r="A2078" t="str">
        <f t="shared" si="96"/>
        <v>-</v>
      </c>
      <c r="B2078" t="str">
        <f t="shared" si="97"/>
        <v>0-</v>
      </c>
      <c r="H2078" t="str">
        <f>IFERROR(VLOOKUP(E2078,DC_Xref!A:B,2,FALSE),"")</f>
        <v/>
      </c>
      <c r="I2078">
        <f t="shared" si="98"/>
        <v>0</v>
      </c>
    </row>
    <row r="2079" spans="1:9" x14ac:dyDescent="0.3">
      <c r="A2079" t="str">
        <f t="shared" si="96"/>
        <v>-</v>
      </c>
      <c r="B2079" t="str">
        <f t="shared" si="97"/>
        <v>0-</v>
      </c>
      <c r="H2079" t="str">
        <f>IFERROR(VLOOKUP(E2079,DC_Xref!A:B,2,FALSE),"")</f>
        <v/>
      </c>
      <c r="I2079">
        <f t="shared" si="98"/>
        <v>0</v>
      </c>
    </row>
    <row r="2080" spans="1:9" x14ac:dyDescent="0.3">
      <c r="A2080" t="str">
        <f t="shared" si="96"/>
        <v>-</v>
      </c>
      <c r="B2080" t="str">
        <f t="shared" si="97"/>
        <v>0-</v>
      </c>
      <c r="H2080" t="str">
        <f>IFERROR(VLOOKUP(E2080,DC_Xref!A:B,2,FALSE),"")</f>
        <v/>
      </c>
      <c r="I2080">
        <f t="shared" si="98"/>
        <v>0</v>
      </c>
    </row>
    <row r="2081" spans="1:9" x14ac:dyDescent="0.3">
      <c r="A2081" t="str">
        <f t="shared" si="96"/>
        <v>-</v>
      </c>
      <c r="B2081" t="str">
        <f t="shared" si="97"/>
        <v>0-</v>
      </c>
      <c r="H2081" t="str">
        <f>IFERROR(VLOOKUP(E2081,DC_Xref!A:B,2,FALSE),"")</f>
        <v/>
      </c>
      <c r="I2081">
        <f t="shared" si="98"/>
        <v>0</v>
      </c>
    </row>
    <row r="2082" spans="1:9" x14ac:dyDescent="0.3">
      <c r="A2082" t="str">
        <f t="shared" si="96"/>
        <v>-</v>
      </c>
      <c r="B2082" t="str">
        <f t="shared" si="97"/>
        <v>0-</v>
      </c>
      <c r="H2082" t="str">
        <f>IFERROR(VLOOKUP(E2082,DC_Xref!A:B,2,FALSE),"")</f>
        <v/>
      </c>
      <c r="I2082">
        <f t="shared" si="98"/>
        <v>0</v>
      </c>
    </row>
    <row r="2083" spans="1:9" x14ac:dyDescent="0.3">
      <c r="A2083" t="str">
        <f t="shared" si="96"/>
        <v>-</v>
      </c>
      <c r="B2083" t="str">
        <f t="shared" si="97"/>
        <v>0-</v>
      </c>
      <c r="H2083" t="str">
        <f>IFERROR(VLOOKUP(E2083,DC_Xref!A:B,2,FALSE),"")</f>
        <v/>
      </c>
      <c r="I2083">
        <f t="shared" si="98"/>
        <v>0</v>
      </c>
    </row>
    <row r="2084" spans="1:9" x14ac:dyDescent="0.3">
      <c r="A2084" t="str">
        <f t="shared" si="96"/>
        <v>-</v>
      </c>
      <c r="B2084" t="str">
        <f t="shared" si="97"/>
        <v>0-</v>
      </c>
      <c r="H2084" t="str">
        <f>IFERROR(VLOOKUP(E2084,DC_Xref!A:B,2,FALSE),"")</f>
        <v/>
      </c>
      <c r="I2084">
        <f t="shared" si="98"/>
        <v>0</v>
      </c>
    </row>
    <row r="2085" spans="1:9" x14ac:dyDescent="0.3">
      <c r="A2085" t="str">
        <f t="shared" si="96"/>
        <v>-</v>
      </c>
      <c r="B2085" t="str">
        <f t="shared" si="97"/>
        <v>0-</v>
      </c>
      <c r="H2085" t="str">
        <f>IFERROR(VLOOKUP(E2085,DC_Xref!A:B,2,FALSE),"")</f>
        <v/>
      </c>
      <c r="I2085">
        <f t="shared" si="98"/>
        <v>0</v>
      </c>
    </row>
    <row r="2086" spans="1:9" x14ac:dyDescent="0.3">
      <c r="A2086" t="str">
        <f t="shared" si="96"/>
        <v>-</v>
      </c>
      <c r="B2086" t="str">
        <f t="shared" si="97"/>
        <v>0-</v>
      </c>
      <c r="H2086" t="str">
        <f>IFERROR(VLOOKUP(E2086,DC_Xref!A:B,2,FALSE),"")</f>
        <v/>
      </c>
      <c r="I2086">
        <f t="shared" si="98"/>
        <v>0</v>
      </c>
    </row>
    <row r="2087" spans="1:9" x14ac:dyDescent="0.3">
      <c r="A2087" t="str">
        <f t="shared" si="96"/>
        <v>-</v>
      </c>
      <c r="B2087" t="str">
        <f t="shared" si="97"/>
        <v>0-</v>
      </c>
      <c r="H2087" t="str">
        <f>IFERROR(VLOOKUP(E2087,DC_Xref!A:B,2,FALSE),"")</f>
        <v/>
      </c>
      <c r="I2087">
        <f t="shared" si="98"/>
        <v>0</v>
      </c>
    </row>
    <row r="2088" spans="1:9" x14ac:dyDescent="0.3">
      <c r="A2088" t="str">
        <f t="shared" si="96"/>
        <v>-</v>
      </c>
      <c r="B2088" t="str">
        <f t="shared" si="97"/>
        <v>0-</v>
      </c>
      <c r="H2088" t="str">
        <f>IFERROR(VLOOKUP(E2088,DC_Xref!A:B,2,FALSE),"")</f>
        <v/>
      </c>
      <c r="I2088">
        <f t="shared" si="98"/>
        <v>0</v>
      </c>
    </row>
    <row r="2089" spans="1:9" x14ac:dyDescent="0.3">
      <c r="A2089" t="str">
        <f t="shared" si="96"/>
        <v>-</v>
      </c>
      <c r="B2089" t="str">
        <f t="shared" si="97"/>
        <v>0-</v>
      </c>
      <c r="H2089" t="str">
        <f>IFERROR(VLOOKUP(E2089,DC_Xref!A:B,2,FALSE),"")</f>
        <v/>
      </c>
      <c r="I2089">
        <f t="shared" si="98"/>
        <v>0</v>
      </c>
    </row>
    <row r="2090" spans="1:9" x14ac:dyDescent="0.3">
      <c r="A2090" t="str">
        <f t="shared" si="96"/>
        <v>-</v>
      </c>
      <c r="B2090" t="str">
        <f t="shared" si="97"/>
        <v>0-</v>
      </c>
      <c r="H2090" t="str">
        <f>IFERROR(VLOOKUP(E2090,DC_Xref!A:B,2,FALSE),"")</f>
        <v/>
      </c>
      <c r="I2090">
        <f t="shared" si="98"/>
        <v>0</v>
      </c>
    </row>
    <row r="2091" spans="1:9" x14ac:dyDescent="0.3">
      <c r="A2091" t="str">
        <f t="shared" si="96"/>
        <v>-</v>
      </c>
      <c r="B2091" t="str">
        <f t="shared" si="97"/>
        <v>0-</v>
      </c>
      <c r="H2091" t="str">
        <f>IFERROR(VLOOKUP(E2091,DC_Xref!A:B,2,FALSE),"")</f>
        <v/>
      </c>
      <c r="I2091">
        <f t="shared" si="98"/>
        <v>0</v>
      </c>
    </row>
    <row r="2092" spans="1:9" x14ac:dyDescent="0.3">
      <c r="A2092" t="str">
        <f t="shared" si="96"/>
        <v>-</v>
      </c>
      <c r="B2092" t="str">
        <f t="shared" si="97"/>
        <v>0-</v>
      </c>
      <c r="H2092" t="str">
        <f>IFERROR(VLOOKUP(E2092,DC_Xref!A:B,2,FALSE),"")</f>
        <v/>
      </c>
      <c r="I2092">
        <f t="shared" si="98"/>
        <v>0</v>
      </c>
    </row>
    <row r="2093" spans="1:9" x14ac:dyDescent="0.3">
      <c r="A2093" t="str">
        <f t="shared" si="96"/>
        <v>-</v>
      </c>
      <c r="B2093" t="str">
        <f t="shared" si="97"/>
        <v>0-</v>
      </c>
      <c r="H2093" t="str">
        <f>IFERROR(VLOOKUP(E2093,DC_Xref!A:B,2,FALSE),"")</f>
        <v/>
      </c>
      <c r="I2093">
        <f t="shared" si="98"/>
        <v>0</v>
      </c>
    </row>
    <row r="2094" spans="1:9" x14ac:dyDescent="0.3">
      <c r="A2094" t="str">
        <f t="shared" si="96"/>
        <v>-</v>
      </c>
      <c r="B2094" t="str">
        <f t="shared" si="97"/>
        <v>0-</v>
      </c>
      <c r="H2094" t="str">
        <f>IFERROR(VLOOKUP(E2094,DC_Xref!A:B,2,FALSE),"")</f>
        <v/>
      </c>
      <c r="I2094">
        <f t="shared" si="98"/>
        <v>0</v>
      </c>
    </row>
    <row r="2095" spans="1:9" x14ac:dyDescent="0.3">
      <c r="A2095" t="str">
        <f t="shared" si="96"/>
        <v>-</v>
      </c>
      <c r="B2095" t="str">
        <f t="shared" si="97"/>
        <v>0-</v>
      </c>
      <c r="H2095" t="str">
        <f>IFERROR(VLOOKUP(E2095,DC_Xref!A:B,2,FALSE),"")</f>
        <v/>
      </c>
      <c r="I2095">
        <f t="shared" si="98"/>
        <v>0</v>
      </c>
    </row>
    <row r="2096" spans="1:9" x14ac:dyDescent="0.3">
      <c r="A2096" t="str">
        <f t="shared" si="96"/>
        <v>-</v>
      </c>
      <c r="B2096" t="str">
        <f t="shared" si="97"/>
        <v>0-</v>
      </c>
      <c r="H2096" t="str">
        <f>IFERROR(VLOOKUP(E2096,DC_Xref!A:B,2,FALSE),"")</f>
        <v/>
      </c>
      <c r="I2096">
        <f t="shared" si="98"/>
        <v>0</v>
      </c>
    </row>
    <row r="2097" spans="1:9" x14ac:dyDescent="0.3">
      <c r="A2097" t="str">
        <f t="shared" si="96"/>
        <v>-</v>
      </c>
      <c r="B2097" t="str">
        <f t="shared" si="97"/>
        <v>0-</v>
      </c>
      <c r="H2097" t="str">
        <f>IFERROR(VLOOKUP(E2097,DC_Xref!A:B,2,FALSE),"")</f>
        <v/>
      </c>
      <c r="I2097">
        <f t="shared" si="98"/>
        <v>0</v>
      </c>
    </row>
    <row r="2098" spans="1:9" x14ac:dyDescent="0.3">
      <c r="A2098" t="str">
        <f t="shared" si="96"/>
        <v>-</v>
      </c>
      <c r="B2098" t="str">
        <f t="shared" si="97"/>
        <v>0-</v>
      </c>
      <c r="H2098" t="str">
        <f>IFERROR(VLOOKUP(E2098,DC_Xref!A:B,2,FALSE),"")</f>
        <v/>
      </c>
      <c r="I2098">
        <f t="shared" si="98"/>
        <v>0</v>
      </c>
    </row>
    <row r="2099" spans="1:9" x14ac:dyDescent="0.3">
      <c r="A2099" t="str">
        <f t="shared" si="96"/>
        <v>-</v>
      </c>
      <c r="B2099" t="str">
        <f t="shared" si="97"/>
        <v>0-</v>
      </c>
      <c r="H2099" t="str">
        <f>IFERROR(VLOOKUP(E2099,DC_Xref!A:B,2,FALSE),"")</f>
        <v/>
      </c>
      <c r="I2099">
        <f t="shared" si="98"/>
        <v>0</v>
      </c>
    </row>
    <row r="2100" spans="1:9" x14ac:dyDescent="0.3">
      <c r="A2100" t="str">
        <f t="shared" si="96"/>
        <v>-</v>
      </c>
      <c r="B2100" t="str">
        <f t="shared" si="97"/>
        <v>0-</v>
      </c>
      <c r="H2100" t="str">
        <f>IFERROR(VLOOKUP(E2100,DC_Xref!A:B,2,FALSE),"")</f>
        <v/>
      </c>
      <c r="I2100">
        <f t="shared" si="98"/>
        <v>0</v>
      </c>
    </row>
    <row r="2101" spans="1:9" x14ac:dyDescent="0.3">
      <c r="A2101" t="str">
        <f t="shared" si="96"/>
        <v>-</v>
      </c>
      <c r="B2101" t="str">
        <f t="shared" si="97"/>
        <v>0-</v>
      </c>
      <c r="H2101" t="str">
        <f>IFERROR(VLOOKUP(E2101,DC_Xref!A:B,2,FALSE),"")</f>
        <v/>
      </c>
      <c r="I2101">
        <f t="shared" si="98"/>
        <v>0</v>
      </c>
    </row>
    <row r="2102" spans="1:9" x14ac:dyDescent="0.3">
      <c r="A2102" t="str">
        <f t="shared" si="96"/>
        <v>-</v>
      </c>
      <c r="B2102" t="str">
        <f t="shared" si="97"/>
        <v>0-</v>
      </c>
      <c r="H2102" t="str">
        <f>IFERROR(VLOOKUP(E2102,DC_Xref!A:B,2,FALSE),"")</f>
        <v/>
      </c>
      <c r="I2102">
        <f t="shared" si="98"/>
        <v>0</v>
      </c>
    </row>
    <row r="2103" spans="1:9" x14ac:dyDescent="0.3">
      <c r="A2103" t="str">
        <f t="shared" si="96"/>
        <v>-</v>
      </c>
      <c r="B2103" t="str">
        <f t="shared" si="97"/>
        <v>0-</v>
      </c>
      <c r="H2103" t="str">
        <f>IFERROR(VLOOKUP(E2103,DC_Xref!A:B,2,FALSE),"")</f>
        <v/>
      </c>
      <c r="I2103">
        <f t="shared" si="98"/>
        <v>0</v>
      </c>
    </row>
    <row r="2104" spans="1:9" x14ac:dyDescent="0.3">
      <c r="A2104" t="str">
        <f t="shared" si="96"/>
        <v>-</v>
      </c>
      <c r="B2104" t="str">
        <f t="shared" si="97"/>
        <v>0-</v>
      </c>
      <c r="H2104" t="str">
        <f>IFERROR(VLOOKUP(E2104,DC_Xref!A:B,2,FALSE),"")</f>
        <v/>
      </c>
      <c r="I2104">
        <f t="shared" si="98"/>
        <v>0</v>
      </c>
    </row>
    <row r="2105" spans="1:9" x14ac:dyDescent="0.3">
      <c r="A2105" t="str">
        <f t="shared" si="96"/>
        <v>-</v>
      </c>
      <c r="B2105" t="str">
        <f t="shared" si="97"/>
        <v>0-</v>
      </c>
      <c r="H2105" t="str">
        <f>IFERROR(VLOOKUP(E2105,DC_Xref!A:B,2,FALSE),"")</f>
        <v/>
      </c>
      <c r="I2105">
        <f t="shared" si="98"/>
        <v>0</v>
      </c>
    </row>
    <row r="2106" spans="1:9" x14ac:dyDescent="0.3">
      <c r="A2106" t="str">
        <f t="shared" si="96"/>
        <v>-</v>
      </c>
      <c r="B2106" t="str">
        <f t="shared" si="97"/>
        <v>0-</v>
      </c>
      <c r="H2106" t="str">
        <f>IFERROR(VLOOKUP(E2106,DC_Xref!A:B,2,FALSE),"")</f>
        <v/>
      </c>
      <c r="I2106">
        <f t="shared" si="98"/>
        <v>0</v>
      </c>
    </row>
    <row r="2107" spans="1:9" x14ac:dyDescent="0.3">
      <c r="A2107" t="str">
        <f t="shared" si="96"/>
        <v>-</v>
      </c>
      <c r="B2107" t="str">
        <f t="shared" si="97"/>
        <v>0-</v>
      </c>
      <c r="H2107" t="str">
        <f>IFERROR(VLOOKUP(E2107,DC_Xref!A:B,2,FALSE),"")</f>
        <v/>
      </c>
      <c r="I2107">
        <f t="shared" si="98"/>
        <v>0</v>
      </c>
    </row>
    <row r="2108" spans="1:9" x14ac:dyDescent="0.3">
      <c r="A2108" t="str">
        <f t="shared" si="96"/>
        <v>-</v>
      </c>
      <c r="B2108" t="str">
        <f t="shared" si="97"/>
        <v>0-</v>
      </c>
      <c r="H2108" t="str">
        <f>IFERROR(VLOOKUP(E2108,DC_Xref!A:B,2,FALSE),"")</f>
        <v/>
      </c>
      <c r="I2108">
        <f t="shared" si="98"/>
        <v>0</v>
      </c>
    </row>
    <row r="2109" spans="1:9" x14ac:dyDescent="0.3">
      <c r="A2109" t="str">
        <f t="shared" si="96"/>
        <v>-</v>
      </c>
      <c r="B2109" t="str">
        <f t="shared" si="97"/>
        <v>0-</v>
      </c>
      <c r="H2109" t="str">
        <f>IFERROR(VLOOKUP(E2109,DC_Xref!A:B,2,FALSE),"")</f>
        <v/>
      </c>
      <c r="I2109">
        <f t="shared" si="98"/>
        <v>0</v>
      </c>
    </row>
    <row r="2110" spans="1:9" x14ac:dyDescent="0.3">
      <c r="A2110" t="str">
        <f t="shared" si="96"/>
        <v>-</v>
      </c>
      <c r="B2110" t="str">
        <f t="shared" si="97"/>
        <v>0-</v>
      </c>
      <c r="H2110" t="str">
        <f>IFERROR(VLOOKUP(E2110,DC_Xref!A:B,2,FALSE),"")</f>
        <v/>
      </c>
      <c r="I2110">
        <f t="shared" si="98"/>
        <v>0</v>
      </c>
    </row>
    <row r="2111" spans="1:9" x14ac:dyDescent="0.3">
      <c r="A2111" t="str">
        <f t="shared" si="96"/>
        <v>-</v>
      </c>
      <c r="B2111" t="str">
        <f t="shared" si="97"/>
        <v>0-</v>
      </c>
      <c r="H2111" t="str">
        <f>IFERROR(VLOOKUP(E2111,DC_Xref!A:B,2,FALSE),"")</f>
        <v/>
      </c>
      <c r="I2111">
        <f t="shared" si="98"/>
        <v>0</v>
      </c>
    </row>
    <row r="2112" spans="1:9" x14ac:dyDescent="0.3">
      <c r="A2112" t="str">
        <f t="shared" si="96"/>
        <v>-</v>
      </c>
      <c r="B2112" t="str">
        <f t="shared" si="97"/>
        <v>0-</v>
      </c>
      <c r="H2112" t="str">
        <f>IFERROR(VLOOKUP(E2112,DC_Xref!A:B,2,FALSE),"")</f>
        <v/>
      </c>
      <c r="I2112">
        <f t="shared" si="98"/>
        <v>0</v>
      </c>
    </row>
    <row r="2113" spans="1:9" x14ac:dyDescent="0.3">
      <c r="A2113" t="str">
        <f t="shared" si="96"/>
        <v>-</v>
      </c>
      <c r="B2113" t="str">
        <f t="shared" si="97"/>
        <v>0-</v>
      </c>
      <c r="H2113" t="str">
        <f>IFERROR(VLOOKUP(E2113,DC_Xref!A:B,2,FALSE),"")</f>
        <v/>
      </c>
      <c r="I2113">
        <f t="shared" si="98"/>
        <v>0</v>
      </c>
    </row>
    <row r="2114" spans="1:9" x14ac:dyDescent="0.3">
      <c r="A2114" t="str">
        <f t="shared" ref="A2114:A2177" si="99">C2114&amp;"-"&amp;F2114</f>
        <v>-</v>
      </c>
      <c r="B2114" t="str">
        <f t="shared" ref="B2114:B2177" si="100">I2114&amp;"-"&amp;H2114</f>
        <v>0-</v>
      </c>
      <c r="H2114" t="str">
        <f>IFERROR(VLOOKUP(E2114,DC_Xref!A:B,2,FALSE),"")</f>
        <v/>
      </c>
      <c r="I2114">
        <f t="shared" ref="I2114:I2177" si="101">C2114*100+D2114</f>
        <v>0</v>
      </c>
    </row>
    <row r="2115" spans="1:9" x14ac:dyDescent="0.3">
      <c r="A2115" t="str">
        <f t="shared" si="99"/>
        <v>-</v>
      </c>
      <c r="B2115" t="str">
        <f t="shared" si="100"/>
        <v>0-</v>
      </c>
      <c r="H2115" t="str">
        <f>IFERROR(VLOOKUP(E2115,DC_Xref!A:B,2,FALSE),"")</f>
        <v/>
      </c>
      <c r="I2115">
        <f t="shared" si="101"/>
        <v>0</v>
      </c>
    </row>
    <row r="2116" spans="1:9" x14ac:dyDescent="0.3">
      <c r="A2116" t="str">
        <f t="shared" si="99"/>
        <v>-</v>
      </c>
      <c r="B2116" t="str">
        <f t="shared" si="100"/>
        <v>0-</v>
      </c>
      <c r="H2116" t="str">
        <f>IFERROR(VLOOKUP(E2116,DC_Xref!A:B,2,FALSE),"")</f>
        <v/>
      </c>
      <c r="I2116">
        <f t="shared" si="101"/>
        <v>0</v>
      </c>
    </row>
    <row r="2117" spans="1:9" x14ac:dyDescent="0.3">
      <c r="A2117" t="str">
        <f t="shared" si="99"/>
        <v>-</v>
      </c>
      <c r="B2117" t="str">
        <f t="shared" si="100"/>
        <v>0-</v>
      </c>
      <c r="H2117" t="str">
        <f>IFERROR(VLOOKUP(E2117,DC_Xref!A:B,2,FALSE),"")</f>
        <v/>
      </c>
      <c r="I2117">
        <f t="shared" si="101"/>
        <v>0</v>
      </c>
    </row>
    <row r="2118" spans="1:9" x14ac:dyDescent="0.3">
      <c r="A2118" t="str">
        <f t="shared" si="99"/>
        <v>-</v>
      </c>
      <c r="B2118" t="str">
        <f t="shared" si="100"/>
        <v>0-</v>
      </c>
      <c r="H2118" t="str">
        <f>IFERROR(VLOOKUP(E2118,DC_Xref!A:B,2,FALSE),"")</f>
        <v/>
      </c>
      <c r="I2118">
        <f t="shared" si="101"/>
        <v>0</v>
      </c>
    </row>
    <row r="2119" spans="1:9" x14ac:dyDescent="0.3">
      <c r="A2119" t="str">
        <f t="shared" si="99"/>
        <v>-</v>
      </c>
      <c r="B2119" t="str">
        <f t="shared" si="100"/>
        <v>0-</v>
      </c>
      <c r="H2119" t="str">
        <f>IFERROR(VLOOKUP(E2119,DC_Xref!A:B,2,FALSE),"")</f>
        <v/>
      </c>
      <c r="I2119">
        <f t="shared" si="101"/>
        <v>0</v>
      </c>
    </row>
    <row r="2120" spans="1:9" x14ac:dyDescent="0.3">
      <c r="A2120" t="str">
        <f t="shared" si="99"/>
        <v>-</v>
      </c>
      <c r="B2120" t="str">
        <f t="shared" si="100"/>
        <v>0-</v>
      </c>
      <c r="H2120" t="str">
        <f>IFERROR(VLOOKUP(E2120,DC_Xref!A:B,2,FALSE),"")</f>
        <v/>
      </c>
      <c r="I2120">
        <f t="shared" si="101"/>
        <v>0</v>
      </c>
    </row>
    <row r="2121" spans="1:9" x14ac:dyDescent="0.3">
      <c r="A2121" t="str">
        <f t="shared" si="99"/>
        <v>-</v>
      </c>
      <c r="B2121" t="str">
        <f t="shared" si="100"/>
        <v>0-</v>
      </c>
      <c r="H2121" t="str">
        <f>IFERROR(VLOOKUP(E2121,DC_Xref!A:B,2,FALSE),"")</f>
        <v/>
      </c>
      <c r="I2121">
        <f t="shared" si="101"/>
        <v>0</v>
      </c>
    </row>
    <row r="2122" spans="1:9" x14ac:dyDescent="0.3">
      <c r="A2122" t="str">
        <f t="shared" si="99"/>
        <v>-</v>
      </c>
      <c r="B2122" t="str">
        <f t="shared" si="100"/>
        <v>0-</v>
      </c>
      <c r="H2122" t="str">
        <f>IFERROR(VLOOKUP(E2122,DC_Xref!A:B,2,FALSE),"")</f>
        <v/>
      </c>
      <c r="I2122">
        <f t="shared" si="101"/>
        <v>0</v>
      </c>
    </row>
    <row r="2123" spans="1:9" x14ac:dyDescent="0.3">
      <c r="A2123" t="str">
        <f t="shared" si="99"/>
        <v>-</v>
      </c>
      <c r="B2123" t="str">
        <f t="shared" si="100"/>
        <v>0-</v>
      </c>
      <c r="H2123" t="str">
        <f>IFERROR(VLOOKUP(E2123,DC_Xref!A:B,2,FALSE),"")</f>
        <v/>
      </c>
      <c r="I2123">
        <f t="shared" si="101"/>
        <v>0</v>
      </c>
    </row>
    <row r="2124" spans="1:9" x14ac:dyDescent="0.3">
      <c r="A2124" t="str">
        <f t="shared" si="99"/>
        <v>-</v>
      </c>
      <c r="B2124" t="str">
        <f t="shared" si="100"/>
        <v>0-</v>
      </c>
      <c r="H2124" t="str">
        <f>IFERROR(VLOOKUP(E2124,DC_Xref!A:B,2,FALSE),"")</f>
        <v/>
      </c>
      <c r="I2124">
        <f t="shared" si="101"/>
        <v>0</v>
      </c>
    </row>
    <row r="2125" spans="1:9" x14ac:dyDescent="0.3">
      <c r="A2125" t="str">
        <f t="shared" si="99"/>
        <v>-</v>
      </c>
      <c r="B2125" t="str">
        <f t="shared" si="100"/>
        <v>0-</v>
      </c>
      <c r="H2125" t="str">
        <f>IFERROR(VLOOKUP(E2125,DC_Xref!A:B,2,FALSE),"")</f>
        <v/>
      </c>
      <c r="I2125">
        <f t="shared" si="101"/>
        <v>0</v>
      </c>
    </row>
    <row r="2126" spans="1:9" x14ac:dyDescent="0.3">
      <c r="A2126" t="str">
        <f t="shared" si="99"/>
        <v>-</v>
      </c>
      <c r="B2126" t="str">
        <f t="shared" si="100"/>
        <v>0-</v>
      </c>
      <c r="H2126" t="str">
        <f>IFERROR(VLOOKUP(E2126,DC_Xref!A:B,2,FALSE),"")</f>
        <v/>
      </c>
      <c r="I2126">
        <f t="shared" si="101"/>
        <v>0</v>
      </c>
    </row>
    <row r="2127" spans="1:9" x14ac:dyDescent="0.3">
      <c r="A2127" t="str">
        <f t="shared" si="99"/>
        <v>-</v>
      </c>
      <c r="B2127" t="str">
        <f t="shared" si="100"/>
        <v>0-</v>
      </c>
      <c r="H2127" t="str">
        <f>IFERROR(VLOOKUP(E2127,DC_Xref!A:B,2,FALSE),"")</f>
        <v/>
      </c>
      <c r="I2127">
        <f t="shared" si="101"/>
        <v>0</v>
      </c>
    </row>
    <row r="2128" spans="1:9" x14ac:dyDescent="0.3">
      <c r="A2128" t="str">
        <f t="shared" si="99"/>
        <v>-</v>
      </c>
      <c r="B2128" t="str">
        <f t="shared" si="100"/>
        <v>0-</v>
      </c>
      <c r="H2128" t="str">
        <f>IFERROR(VLOOKUP(E2128,DC_Xref!A:B,2,FALSE),"")</f>
        <v/>
      </c>
      <c r="I2128">
        <f t="shared" si="101"/>
        <v>0</v>
      </c>
    </row>
    <row r="2129" spans="1:9" x14ac:dyDescent="0.3">
      <c r="A2129" t="str">
        <f t="shared" si="99"/>
        <v>-</v>
      </c>
      <c r="B2129" t="str">
        <f t="shared" si="100"/>
        <v>0-</v>
      </c>
      <c r="H2129" t="str">
        <f>IFERROR(VLOOKUP(E2129,DC_Xref!A:B,2,FALSE),"")</f>
        <v/>
      </c>
      <c r="I2129">
        <f t="shared" si="101"/>
        <v>0</v>
      </c>
    </row>
    <row r="2130" spans="1:9" x14ac:dyDescent="0.3">
      <c r="A2130" t="str">
        <f t="shared" si="99"/>
        <v>-</v>
      </c>
      <c r="B2130" t="str">
        <f t="shared" si="100"/>
        <v>0-</v>
      </c>
      <c r="H2130" t="str">
        <f>IFERROR(VLOOKUP(E2130,DC_Xref!A:B,2,FALSE),"")</f>
        <v/>
      </c>
      <c r="I2130">
        <f t="shared" si="101"/>
        <v>0</v>
      </c>
    </row>
    <row r="2131" spans="1:9" x14ac:dyDescent="0.3">
      <c r="A2131" t="str">
        <f t="shared" si="99"/>
        <v>-</v>
      </c>
      <c r="B2131" t="str">
        <f t="shared" si="100"/>
        <v>0-</v>
      </c>
      <c r="H2131" t="str">
        <f>IFERROR(VLOOKUP(E2131,DC_Xref!A:B,2,FALSE),"")</f>
        <v/>
      </c>
      <c r="I2131">
        <f t="shared" si="101"/>
        <v>0</v>
      </c>
    </row>
    <row r="2132" spans="1:9" x14ac:dyDescent="0.3">
      <c r="A2132" t="str">
        <f t="shared" si="99"/>
        <v>-</v>
      </c>
      <c r="B2132" t="str">
        <f t="shared" si="100"/>
        <v>0-</v>
      </c>
      <c r="H2132" t="str">
        <f>IFERROR(VLOOKUP(E2132,DC_Xref!A:B,2,FALSE),"")</f>
        <v/>
      </c>
      <c r="I2132">
        <f t="shared" si="101"/>
        <v>0</v>
      </c>
    </row>
    <row r="2133" spans="1:9" x14ac:dyDescent="0.3">
      <c r="A2133" t="str">
        <f t="shared" si="99"/>
        <v>-</v>
      </c>
      <c r="B2133" t="str">
        <f t="shared" si="100"/>
        <v>0-</v>
      </c>
      <c r="H2133" t="str">
        <f>IFERROR(VLOOKUP(E2133,DC_Xref!A:B,2,FALSE),"")</f>
        <v/>
      </c>
      <c r="I2133">
        <f t="shared" si="101"/>
        <v>0</v>
      </c>
    </row>
    <row r="2134" spans="1:9" x14ac:dyDescent="0.3">
      <c r="A2134" t="str">
        <f t="shared" si="99"/>
        <v>-</v>
      </c>
      <c r="B2134" t="str">
        <f t="shared" si="100"/>
        <v>0-</v>
      </c>
      <c r="H2134" t="str">
        <f>IFERROR(VLOOKUP(E2134,DC_Xref!A:B,2,FALSE),"")</f>
        <v/>
      </c>
      <c r="I2134">
        <f t="shared" si="101"/>
        <v>0</v>
      </c>
    </row>
    <row r="2135" spans="1:9" x14ac:dyDescent="0.3">
      <c r="A2135" t="str">
        <f t="shared" si="99"/>
        <v>-</v>
      </c>
      <c r="B2135" t="str">
        <f t="shared" si="100"/>
        <v>0-</v>
      </c>
      <c r="H2135" t="str">
        <f>IFERROR(VLOOKUP(E2135,DC_Xref!A:B,2,FALSE),"")</f>
        <v/>
      </c>
      <c r="I2135">
        <f t="shared" si="101"/>
        <v>0</v>
      </c>
    </row>
    <row r="2136" spans="1:9" x14ac:dyDescent="0.3">
      <c r="A2136" t="str">
        <f t="shared" si="99"/>
        <v>-</v>
      </c>
      <c r="B2136" t="str">
        <f t="shared" si="100"/>
        <v>0-</v>
      </c>
      <c r="H2136" t="str">
        <f>IFERROR(VLOOKUP(E2136,DC_Xref!A:B,2,FALSE),"")</f>
        <v/>
      </c>
      <c r="I2136">
        <f t="shared" si="101"/>
        <v>0</v>
      </c>
    </row>
    <row r="2137" spans="1:9" x14ac:dyDescent="0.3">
      <c r="A2137" t="str">
        <f t="shared" si="99"/>
        <v>-</v>
      </c>
      <c r="B2137" t="str">
        <f t="shared" si="100"/>
        <v>0-</v>
      </c>
      <c r="H2137" t="str">
        <f>IFERROR(VLOOKUP(E2137,DC_Xref!A:B,2,FALSE),"")</f>
        <v/>
      </c>
      <c r="I2137">
        <f t="shared" si="101"/>
        <v>0</v>
      </c>
    </row>
    <row r="2138" spans="1:9" x14ac:dyDescent="0.3">
      <c r="A2138" t="str">
        <f t="shared" si="99"/>
        <v>-</v>
      </c>
      <c r="B2138" t="str">
        <f t="shared" si="100"/>
        <v>0-</v>
      </c>
      <c r="H2138" t="str">
        <f>IFERROR(VLOOKUP(E2138,DC_Xref!A:B,2,FALSE),"")</f>
        <v/>
      </c>
      <c r="I2138">
        <f t="shared" si="101"/>
        <v>0</v>
      </c>
    </row>
    <row r="2139" spans="1:9" x14ac:dyDescent="0.3">
      <c r="A2139" t="str">
        <f t="shared" si="99"/>
        <v>-</v>
      </c>
      <c r="B2139" t="str">
        <f t="shared" si="100"/>
        <v>0-</v>
      </c>
      <c r="H2139" t="str">
        <f>IFERROR(VLOOKUP(E2139,DC_Xref!A:B,2,FALSE),"")</f>
        <v/>
      </c>
      <c r="I2139">
        <f t="shared" si="101"/>
        <v>0</v>
      </c>
    </row>
    <row r="2140" spans="1:9" x14ac:dyDescent="0.3">
      <c r="A2140" t="str">
        <f t="shared" si="99"/>
        <v>-</v>
      </c>
      <c r="B2140" t="str">
        <f t="shared" si="100"/>
        <v>0-</v>
      </c>
      <c r="H2140" t="str">
        <f>IFERROR(VLOOKUP(E2140,DC_Xref!A:B,2,FALSE),"")</f>
        <v/>
      </c>
      <c r="I2140">
        <f t="shared" si="101"/>
        <v>0</v>
      </c>
    </row>
    <row r="2141" spans="1:9" x14ac:dyDescent="0.3">
      <c r="A2141" t="str">
        <f t="shared" si="99"/>
        <v>-</v>
      </c>
      <c r="B2141" t="str">
        <f t="shared" si="100"/>
        <v>0-</v>
      </c>
      <c r="H2141" t="str">
        <f>IFERROR(VLOOKUP(E2141,DC_Xref!A:B,2,FALSE),"")</f>
        <v/>
      </c>
      <c r="I2141">
        <f t="shared" si="101"/>
        <v>0</v>
      </c>
    </row>
    <row r="2142" spans="1:9" x14ac:dyDescent="0.3">
      <c r="A2142" t="str">
        <f t="shared" si="99"/>
        <v>-</v>
      </c>
      <c r="B2142" t="str">
        <f t="shared" si="100"/>
        <v>0-</v>
      </c>
      <c r="H2142" t="str">
        <f>IFERROR(VLOOKUP(E2142,DC_Xref!A:B,2,FALSE),"")</f>
        <v/>
      </c>
      <c r="I2142">
        <f t="shared" si="101"/>
        <v>0</v>
      </c>
    </row>
    <row r="2143" spans="1:9" x14ac:dyDescent="0.3">
      <c r="A2143" t="str">
        <f t="shared" si="99"/>
        <v>-</v>
      </c>
      <c r="B2143" t="str">
        <f t="shared" si="100"/>
        <v>0-</v>
      </c>
      <c r="H2143" t="str">
        <f>IFERROR(VLOOKUP(E2143,DC_Xref!A:B,2,FALSE),"")</f>
        <v/>
      </c>
      <c r="I2143">
        <f t="shared" si="101"/>
        <v>0</v>
      </c>
    </row>
    <row r="2144" spans="1:9" x14ac:dyDescent="0.3">
      <c r="A2144" t="str">
        <f t="shared" si="99"/>
        <v>-</v>
      </c>
      <c r="B2144" t="str">
        <f t="shared" si="100"/>
        <v>0-</v>
      </c>
      <c r="H2144" t="str">
        <f>IFERROR(VLOOKUP(E2144,DC_Xref!A:B,2,FALSE),"")</f>
        <v/>
      </c>
      <c r="I2144">
        <f t="shared" si="101"/>
        <v>0</v>
      </c>
    </row>
    <row r="2145" spans="1:9" x14ac:dyDescent="0.3">
      <c r="A2145" t="str">
        <f t="shared" si="99"/>
        <v>-</v>
      </c>
      <c r="B2145" t="str">
        <f t="shared" si="100"/>
        <v>0-</v>
      </c>
      <c r="H2145" t="str">
        <f>IFERROR(VLOOKUP(E2145,DC_Xref!A:B,2,FALSE),"")</f>
        <v/>
      </c>
      <c r="I2145">
        <f t="shared" si="101"/>
        <v>0</v>
      </c>
    </row>
    <row r="2146" spans="1:9" x14ac:dyDescent="0.3">
      <c r="A2146" t="str">
        <f t="shared" si="99"/>
        <v>-</v>
      </c>
      <c r="B2146" t="str">
        <f t="shared" si="100"/>
        <v>0-</v>
      </c>
      <c r="H2146" t="str">
        <f>IFERROR(VLOOKUP(E2146,DC_Xref!A:B,2,FALSE),"")</f>
        <v/>
      </c>
      <c r="I2146">
        <f t="shared" si="101"/>
        <v>0</v>
      </c>
    </row>
    <row r="2147" spans="1:9" x14ac:dyDescent="0.3">
      <c r="A2147" t="str">
        <f t="shared" si="99"/>
        <v>-</v>
      </c>
      <c r="B2147" t="str">
        <f t="shared" si="100"/>
        <v>0-</v>
      </c>
      <c r="H2147" t="str">
        <f>IFERROR(VLOOKUP(E2147,DC_Xref!A:B,2,FALSE),"")</f>
        <v/>
      </c>
      <c r="I2147">
        <f t="shared" si="101"/>
        <v>0</v>
      </c>
    </row>
    <row r="2148" spans="1:9" x14ac:dyDescent="0.3">
      <c r="A2148" t="str">
        <f t="shared" si="99"/>
        <v>-</v>
      </c>
      <c r="B2148" t="str">
        <f t="shared" si="100"/>
        <v>0-</v>
      </c>
      <c r="H2148" t="str">
        <f>IFERROR(VLOOKUP(E2148,DC_Xref!A:B,2,FALSE),"")</f>
        <v/>
      </c>
      <c r="I2148">
        <f t="shared" si="101"/>
        <v>0</v>
      </c>
    </row>
    <row r="2149" spans="1:9" x14ac:dyDescent="0.3">
      <c r="A2149" t="str">
        <f t="shared" si="99"/>
        <v>-</v>
      </c>
      <c r="B2149" t="str">
        <f t="shared" si="100"/>
        <v>0-</v>
      </c>
      <c r="H2149" t="str">
        <f>IFERROR(VLOOKUP(E2149,DC_Xref!A:B,2,FALSE),"")</f>
        <v/>
      </c>
      <c r="I2149">
        <f t="shared" si="101"/>
        <v>0</v>
      </c>
    </row>
    <row r="2150" spans="1:9" x14ac:dyDescent="0.3">
      <c r="A2150" t="str">
        <f t="shared" si="99"/>
        <v>-</v>
      </c>
      <c r="B2150" t="str">
        <f t="shared" si="100"/>
        <v>0-</v>
      </c>
      <c r="H2150" t="str">
        <f>IFERROR(VLOOKUP(E2150,DC_Xref!A:B,2,FALSE),"")</f>
        <v/>
      </c>
      <c r="I2150">
        <f t="shared" si="101"/>
        <v>0</v>
      </c>
    </row>
    <row r="2151" spans="1:9" x14ac:dyDescent="0.3">
      <c r="A2151" t="str">
        <f t="shared" si="99"/>
        <v>-</v>
      </c>
      <c r="B2151" t="str">
        <f t="shared" si="100"/>
        <v>0-</v>
      </c>
      <c r="H2151" t="str">
        <f>IFERROR(VLOOKUP(E2151,DC_Xref!A:B,2,FALSE),"")</f>
        <v/>
      </c>
      <c r="I2151">
        <f t="shared" si="101"/>
        <v>0</v>
      </c>
    </row>
    <row r="2152" spans="1:9" x14ac:dyDescent="0.3">
      <c r="A2152" t="str">
        <f t="shared" si="99"/>
        <v>-</v>
      </c>
      <c r="B2152" t="str">
        <f t="shared" si="100"/>
        <v>0-</v>
      </c>
      <c r="H2152" t="str">
        <f>IFERROR(VLOOKUP(E2152,DC_Xref!A:B,2,FALSE),"")</f>
        <v/>
      </c>
      <c r="I2152">
        <f t="shared" si="101"/>
        <v>0</v>
      </c>
    </row>
    <row r="2153" spans="1:9" x14ac:dyDescent="0.3">
      <c r="A2153" t="str">
        <f t="shared" si="99"/>
        <v>-</v>
      </c>
      <c r="B2153" t="str">
        <f t="shared" si="100"/>
        <v>0-</v>
      </c>
      <c r="H2153" t="str">
        <f>IFERROR(VLOOKUP(E2153,DC_Xref!A:B,2,FALSE),"")</f>
        <v/>
      </c>
      <c r="I2153">
        <f t="shared" si="101"/>
        <v>0</v>
      </c>
    </row>
    <row r="2154" spans="1:9" x14ac:dyDescent="0.3">
      <c r="A2154" t="str">
        <f t="shared" si="99"/>
        <v>-</v>
      </c>
      <c r="B2154" t="str">
        <f t="shared" si="100"/>
        <v>0-</v>
      </c>
      <c r="H2154" t="str">
        <f>IFERROR(VLOOKUP(E2154,DC_Xref!A:B,2,FALSE),"")</f>
        <v/>
      </c>
      <c r="I2154">
        <f t="shared" si="101"/>
        <v>0</v>
      </c>
    </row>
    <row r="2155" spans="1:9" x14ac:dyDescent="0.3">
      <c r="A2155" t="str">
        <f t="shared" si="99"/>
        <v>-</v>
      </c>
      <c r="B2155" t="str">
        <f t="shared" si="100"/>
        <v>0-</v>
      </c>
      <c r="H2155" t="str">
        <f>IFERROR(VLOOKUP(E2155,DC_Xref!A:B,2,FALSE),"")</f>
        <v/>
      </c>
      <c r="I2155">
        <f t="shared" si="101"/>
        <v>0</v>
      </c>
    </row>
    <row r="2156" spans="1:9" x14ac:dyDescent="0.3">
      <c r="A2156" t="str">
        <f t="shared" si="99"/>
        <v>-</v>
      </c>
      <c r="B2156" t="str">
        <f t="shared" si="100"/>
        <v>0-</v>
      </c>
      <c r="H2156" t="str">
        <f>IFERROR(VLOOKUP(E2156,DC_Xref!A:B,2,FALSE),"")</f>
        <v/>
      </c>
      <c r="I2156">
        <f t="shared" si="101"/>
        <v>0</v>
      </c>
    </row>
    <row r="2157" spans="1:9" x14ac:dyDescent="0.3">
      <c r="A2157" t="str">
        <f t="shared" si="99"/>
        <v>-</v>
      </c>
      <c r="B2157" t="str">
        <f t="shared" si="100"/>
        <v>0-</v>
      </c>
      <c r="H2157" t="str">
        <f>IFERROR(VLOOKUP(E2157,DC_Xref!A:B,2,FALSE),"")</f>
        <v/>
      </c>
      <c r="I2157">
        <f t="shared" si="101"/>
        <v>0</v>
      </c>
    </row>
    <row r="2158" spans="1:9" x14ac:dyDescent="0.3">
      <c r="A2158" t="str">
        <f t="shared" si="99"/>
        <v>-</v>
      </c>
      <c r="B2158" t="str">
        <f t="shared" si="100"/>
        <v>0-</v>
      </c>
      <c r="H2158" t="str">
        <f>IFERROR(VLOOKUP(E2158,DC_Xref!A:B,2,FALSE),"")</f>
        <v/>
      </c>
      <c r="I2158">
        <f t="shared" si="101"/>
        <v>0</v>
      </c>
    </row>
    <row r="2159" spans="1:9" x14ac:dyDescent="0.3">
      <c r="A2159" t="str">
        <f t="shared" si="99"/>
        <v>-</v>
      </c>
      <c r="B2159" t="str">
        <f t="shared" si="100"/>
        <v>0-</v>
      </c>
      <c r="H2159" t="str">
        <f>IFERROR(VLOOKUP(E2159,DC_Xref!A:B,2,FALSE),"")</f>
        <v/>
      </c>
      <c r="I2159">
        <f t="shared" si="101"/>
        <v>0</v>
      </c>
    </row>
    <row r="2160" spans="1:9" x14ac:dyDescent="0.3">
      <c r="A2160" t="str">
        <f t="shared" si="99"/>
        <v>-</v>
      </c>
      <c r="B2160" t="str">
        <f t="shared" si="100"/>
        <v>0-</v>
      </c>
      <c r="H2160" t="str">
        <f>IFERROR(VLOOKUP(E2160,DC_Xref!A:B,2,FALSE),"")</f>
        <v/>
      </c>
      <c r="I2160">
        <f t="shared" si="101"/>
        <v>0</v>
      </c>
    </row>
    <row r="2161" spans="1:9" x14ac:dyDescent="0.3">
      <c r="A2161" t="str">
        <f t="shared" si="99"/>
        <v>-</v>
      </c>
      <c r="B2161" t="str">
        <f t="shared" si="100"/>
        <v>0-</v>
      </c>
      <c r="H2161" t="str">
        <f>IFERROR(VLOOKUP(E2161,DC_Xref!A:B,2,FALSE),"")</f>
        <v/>
      </c>
      <c r="I2161">
        <f t="shared" si="101"/>
        <v>0</v>
      </c>
    </row>
    <row r="2162" spans="1:9" x14ac:dyDescent="0.3">
      <c r="A2162" t="str">
        <f t="shared" si="99"/>
        <v>-</v>
      </c>
      <c r="B2162" t="str">
        <f t="shared" si="100"/>
        <v>0-</v>
      </c>
      <c r="H2162" t="str">
        <f>IFERROR(VLOOKUP(E2162,DC_Xref!A:B,2,FALSE),"")</f>
        <v/>
      </c>
      <c r="I2162">
        <f t="shared" si="101"/>
        <v>0</v>
      </c>
    </row>
    <row r="2163" spans="1:9" x14ac:dyDescent="0.3">
      <c r="A2163" t="str">
        <f t="shared" si="99"/>
        <v>-</v>
      </c>
      <c r="B2163" t="str">
        <f t="shared" si="100"/>
        <v>0-</v>
      </c>
      <c r="H2163" t="str">
        <f>IFERROR(VLOOKUP(E2163,DC_Xref!A:B,2,FALSE),"")</f>
        <v/>
      </c>
      <c r="I2163">
        <f t="shared" si="101"/>
        <v>0</v>
      </c>
    </row>
    <row r="2164" spans="1:9" x14ac:dyDescent="0.3">
      <c r="A2164" t="str">
        <f t="shared" si="99"/>
        <v>-</v>
      </c>
      <c r="B2164" t="str">
        <f t="shared" si="100"/>
        <v>0-</v>
      </c>
      <c r="H2164" t="str">
        <f>IFERROR(VLOOKUP(E2164,DC_Xref!A:B,2,FALSE),"")</f>
        <v/>
      </c>
      <c r="I2164">
        <f t="shared" si="101"/>
        <v>0</v>
      </c>
    </row>
    <row r="2165" spans="1:9" x14ac:dyDescent="0.3">
      <c r="A2165" t="str">
        <f t="shared" si="99"/>
        <v>-</v>
      </c>
      <c r="B2165" t="str">
        <f t="shared" si="100"/>
        <v>0-</v>
      </c>
      <c r="H2165" t="str">
        <f>IFERROR(VLOOKUP(E2165,DC_Xref!A:B,2,FALSE),"")</f>
        <v/>
      </c>
      <c r="I2165">
        <f t="shared" si="101"/>
        <v>0</v>
      </c>
    </row>
    <row r="2166" spans="1:9" x14ac:dyDescent="0.3">
      <c r="A2166" t="str">
        <f t="shared" si="99"/>
        <v>-</v>
      </c>
      <c r="B2166" t="str">
        <f t="shared" si="100"/>
        <v>0-</v>
      </c>
      <c r="H2166" t="str">
        <f>IFERROR(VLOOKUP(E2166,DC_Xref!A:B,2,FALSE),"")</f>
        <v/>
      </c>
      <c r="I2166">
        <f t="shared" si="101"/>
        <v>0</v>
      </c>
    </row>
    <row r="2167" spans="1:9" x14ac:dyDescent="0.3">
      <c r="A2167" t="str">
        <f t="shared" si="99"/>
        <v>-</v>
      </c>
      <c r="B2167" t="str">
        <f t="shared" si="100"/>
        <v>0-</v>
      </c>
      <c r="H2167" t="str">
        <f>IFERROR(VLOOKUP(E2167,DC_Xref!A:B,2,FALSE),"")</f>
        <v/>
      </c>
      <c r="I2167">
        <f t="shared" si="101"/>
        <v>0</v>
      </c>
    </row>
    <row r="2168" spans="1:9" x14ac:dyDescent="0.3">
      <c r="A2168" t="str">
        <f t="shared" si="99"/>
        <v>-</v>
      </c>
      <c r="B2168" t="str">
        <f t="shared" si="100"/>
        <v>0-</v>
      </c>
      <c r="H2168" t="str">
        <f>IFERROR(VLOOKUP(E2168,DC_Xref!A:B,2,FALSE),"")</f>
        <v/>
      </c>
      <c r="I2168">
        <f t="shared" si="101"/>
        <v>0</v>
      </c>
    </row>
    <row r="2169" spans="1:9" x14ac:dyDescent="0.3">
      <c r="A2169" t="str">
        <f t="shared" si="99"/>
        <v>-</v>
      </c>
      <c r="B2169" t="str">
        <f t="shared" si="100"/>
        <v>0-</v>
      </c>
      <c r="H2169" t="str">
        <f>IFERROR(VLOOKUP(E2169,DC_Xref!A:B,2,FALSE),"")</f>
        <v/>
      </c>
      <c r="I2169">
        <f t="shared" si="101"/>
        <v>0</v>
      </c>
    </row>
    <row r="2170" spans="1:9" x14ac:dyDescent="0.3">
      <c r="A2170" t="str">
        <f t="shared" si="99"/>
        <v>-</v>
      </c>
      <c r="B2170" t="str">
        <f t="shared" si="100"/>
        <v>0-</v>
      </c>
      <c r="H2170" t="str">
        <f>IFERROR(VLOOKUP(E2170,DC_Xref!A:B,2,FALSE),"")</f>
        <v/>
      </c>
      <c r="I2170">
        <f t="shared" si="101"/>
        <v>0</v>
      </c>
    </row>
    <row r="2171" spans="1:9" x14ac:dyDescent="0.3">
      <c r="A2171" t="str">
        <f t="shared" si="99"/>
        <v>-</v>
      </c>
      <c r="B2171" t="str">
        <f t="shared" si="100"/>
        <v>0-</v>
      </c>
      <c r="H2171" t="str">
        <f>IFERROR(VLOOKUP(E2171,DC_Xref!A:B,2,FALSE),"")</f>
        <v/>
      </c>
      <c r="I2171">
        <f t="shared" si="101"/>
        <v>0</v>
      </c>
    </row>
    <row r="2172" spans="1:9" x14ac:dyDescent="0.3">
      <c r="A2172" t="str">
        <f t="shared" si="99"/>
        <v>-</v>
      </c>
      <c r="B2172" t="str">
        <f t="shared" si="100"/>
        <v>0-</v>
      </c>
      <c r="H2172" t="str">
        <f>IFERROR(VLOOKUP(E2172,DC_Xref!A:B,2,FALSE),"")</f>
        <v/>
      </c>
      <c r="I2172">
        <f t="shared" si="101"/>
        <v>0</v>
      </c>
    </row>
    <row r="2173" spans="1:9" x14ac:dyDescent="0.3">
      <c r="A2173" t="str">
        <f t="shared" si="99"/>
        <v>-</v>
      </c>
      <c r="B2173" t="str">
        <f t="shared" si="100"/>
        <v>0-</v>
      </c>
      <c r="H2173" t="str">
        <f>IFERROR(VLOOKUP(E2173,DC_Xref!A:B,2,FALSE),"")</f>
        <v/>
      </c>
      <c r="I2173">
        <f t="shared" si="101"/>
        <v>0</v>
      </c>
    </row>
    <row r="2174" spans="1:9" x14ac:dyDescent="0.3">
      <c r="A2174" t="str">
        <f t="shared" si="99"/>
        <v>-</v>
      </c>
      <c r="B2174" t="str">
        <f t="shared" si="100"/>
        <v>0-</v>
      </c>
      <c r="H2174" t="str">
        <f>IFERROR(VLOOKUP(E2174,DC_Xref!A:B,2,FALSE),"")</f>
        <v/>
      </c>
      <c r="I2174">
        <f t="shared" si="101"/>
        <v>0</v>
      </c>
    </row>
    <row r="2175" spans="1:9" x14ac:dyDescent="0.3">
      <c r="A2175" t="str">
        <f t="shared" si="99"/>
        <v>-</v>
      </c>
      <c r="B2175" t="str">
        <f t="shared" si="100"/>
        <v>0-</v>
      </c>
      <c r="H2175" t="str">
        <f>IFERROR(VLOOKUP(E2175,DC_Xref!A:B,2,FALSE),"")</f>
        <v/>
      </c>
      <c r="I2175">
        <f t="shared" si="101"/>
        <v>0</v>
      </c>
    </row>
    <row r="2176" spans="1:9" x14ac:dyDescent="0.3">
      <c r="A2176" t="str">
        <f t="shared" si="99"/>
        <v>-</v>
      </c>
      <c r="B2176" t="str">
        <f t="shared" si="100"/>
        <v>0-</v>
      </c>
      <c r="H2176" t="str">
        <f>IFERROR(VLOOKUP(E2176,DC_Xref!A:B,2,FALSE),"")</f>
        <v/>
      </c>
      <c r="I2176">
        <f t="shared" si="101"/>
        <v>0</v>
      </c>
    </row>
    <row r="2177" spans="1:9" x14ac:dyDescent="0.3">
      <c r="A2177" t="str">
        <f t="shared" si="99"/>
        <v>-</v>
      </c>
      <c r="B2177" t="str">
        <f t="shared" si="100"/>
        <v>0-</v>
      </c>
      <c r="H2177" t="str">
        <f>IFERROR(VLOOKUP(E2177,DC_Xref!A:B,2,FALSE),"")</f>
        <v/>
      </c>
      <c r="I2177">
        <f t="shared" si="101"/>
        <v>0</v>
      </c>
    </row>
    <row r="2178" spans="1:9" x14ac:dyDescent="0.3">
      <c r="A2178" t="str">
        <f t="shared" ref="A2178:A2241" si="102">C2178&amp;"-"&amp;F2178</f>
        <v>-</v>
      </c>
      <c r="B2178" t="str">
        <f t="shared" ref="B2178:B2241" si="103">I2178&amp;"-"&amp;H2178</f>
        <v>0-</v>
      </c>
      <c r="H2178" t="str">
        <f>IFERROR(VLOOKUP(E2178,DC_Xref!A:B,2,FALSE),"")</f>
        <v/>
      </c>
      <c r="I2178">
        <f t="shared" ref="I2178:I2241" si="104">C2178*100+D2178</f>
        <v>0</v>
      </c>
    </row>
    <row r="2179" spans="1:9" x14ac:dyDescent="0.3">
      <c r="A2179" t="str">
        <f t="shared" si="102"/>
        <v>-</v>
      </c>
      <c r="B2179" t="str">
        <f t="shared" si="103"/>
        <v>0-</v>
      </c>
      <c r="H2179" t="str">
        <f>IFERROR(VLOOKUP(E2179,DC_Xref!A:B,2,FALSE),"")</f>
        <v/>
      </c>
      <c r="I2179">
        <f t="shared" si="104"/>
        <v>0</v>
      </c>
    </row>
    <row r="2180" spans="1:9" x14ac:dyDescent="0.3">
      <c r="A2180" t="str">
        <f t="shared" si="102"/>
        <v>-</v>
      </c>
      <c r="B2180" t="str">
        <f t="shared" si="103"/>
        <v>0-</v>
      </c>
      <c r="H2180" t="str">
        <f>IFERROR(VLOOKUP(E2180,DC_Xref!A:B,2,FALSE),"")</f>
        <v/>
      </c>
      <c r="I2180">
        <f t="shared" si="104"/>
        <v>0</v>
      </c>
    </row>
    <row r="2181" spans="1:9" x14ac:dyDescent="0.3">
      <c r="A2181" t="str">
        <f t="shared" si="102"/>
        <v>-</v>
      </c>
      <c r="B2181" t="str">
        <f t="shared" si="103"/>
        <v>0-</v>
      </c>
      <c r="H2181" t="str">
        <f>IFERROR(VLOOKUP(E2181,DC_Xref!A:B,2,FALSE),"")</f>
        <v/>
      </c>
      <c r="I2181">
        <f t="shared" si="104"/>
        <v>0</v>
      </c>
    </row>
    <row r="2182" spans="1:9" x14ac:dyDescent="0.3">
      <c r="A2182" t="str">
        <f t="shared" si="102"/>
        <v>-</v>
      </c>
      <c r="B2182" t="str">
        <f t="shared" si="103"/>
        <v>0-</v>
      </c>
      <c r="H2182" t="str">
        <f>IFERROR(VLOOKUP(E2182,DC_Xref!A:B,2,FALSE),"")</f>
        <v/>
      </c>
      <c r="I2182">
        <f t="shared" si="104"/>
        <v>0</v>
      </c>
    </row>
    <row r="2183" spans="1:9" x14ac:dyDescent="0.3">
      <c r="A2183" t="str">
        <f t="shared" si="102"/>
        <v>-</v>
      </c>
      <c r="B2183" t="str">
        <f t="shared" si="103"/>
        <v>0-</v>
      </c>
      <c r="H2183" t="str">
        <f>IFERROR(VLOOKUP(E2183,DC_Xref!A:B,2,FALSE),"")</f>
        <v/>
      </c>
      <c r="I2183">
        <f t="shared" si="104"/>
        <v>0</v>
      </c>
    </row>
    <row r="2184" spans="1:9" x14ac:dyDescent="0.3">
      <c r="A2184" t="str">
        <f t="shared" si="102"/>
        <v>-</v>
      </c>
      <c r="B2184" t="str">
        <f t="shared" si="103"/>
        <v>0-</v>
      </c>
      <c r="H2184" t="str">
        <f>IFERROR(VLOOKUP(E2184,DC_Xref!A:B,2,FALSE),"")</f>
        <v/>
      </c>
      <c r="I2184">
        <f t="shared" si="104"/>
        <v>0</v>
      </c>
    </row>
    <row r="2185" spans="1:9" x14ac:dyDescent="0.3">
      <c r="A2185" t="str">
        <f t="shared" si="102"/>
        <v>-</v>
      </c>
      <c r="B2185" t="str">
        <f t="shared" si="103"/>
        <v>0-</v>
      </c>
      <c r="H2185" t="str">
        <f>IFERROR(VLOOKUP(E2185,DC_Xref!A:B,2,FALSE),"")</f>
        <v/>
      </c>
      <c r="I2185">
        <f t="shared" si="104"/>
        <v>0</v>
      </c>
    </row>
    <row r="2186" spans="1:9" x14ac:dyDescent="0.3">
      <c r="A2186" t="str">
        <f t="shared" si="102"/>
        <v>-</v>
      </c>
      <c r="B2186" t="str">
        <f t="shared" si="103"/>
        <v>0-</v>
      </c>
      <c r="H2186" t="str">
        <f>IFERROR(VLOOKUP(E2186,DC_Xref!A:B,2,FALSE),"")</f>
        <v/>
      </c>
      <c r="I2186">
        <f t="shared" si="104"/>
        <v>0</v>
      </c>
    </row>
    <row r="2187" spans="1:9" x14ac:dyDescent="0.3">
      <c r="A2187" t="str">
        <f t="shared" si="102"/>
        <v>-</v>
      </c>
      <c r="B2187" t="str">
        <f t="shared" si="103"/>
        <v>0-</v>
      </c>
      <c r="H2187" t="str">
        <f>IFERROR(VLOOKUP(E2187,DC_Xref!A:B,2,FALSE),"")</f>
        <v/>
      </c>
      <c r="I2187">
        <f t="shared" si="104"/>
        <v>0</v>
      </c>
    </row>
    <row r="2188" spans="1:9" x14ac:dyDescent="0.3">
      <c r="A2188" t="str">
        <f t="shared" si="102"/>
        <v>-</v>
      </c>
      <c r="B2188" t="str">
        <f t="shared" si="103"/>
        <v>0-</v>
      </c>
      <c r="H2188" t="str">
        <f>IFERROR(VLOOKUP(E2188,DC_Xref!A:B,2,FALSE),"")</f>
        <v/>
      </c>
      <c r="I2188">
        <f t="shared" si="104"/>
        <v>0</v>
      </c>
    </row>
    <row r="2189" spans="1:9" x14ac:dyDescent="0.3">
      <c r="A2189" t="str">
        <f t="shared" si="102"/>
        <v>-</v>
      </c>
      <c r="B2189" t="str">
        <f t="shared" si="103"/>
        <v>0-</v>
      </c>
      <c r="H2189" t="str">
        <f>IFERROR(VLOOKUP(E2189,DC_Xref!A:B,2,FALSE),"")</f>
        <v/>
      </c>
      <c r="I2189">
        <f t="shared" si="104"/>
        <v>0</v>
      </c>
    </row>
    <row r="2190" spans="1:9" x14ac:dyDescent="0.3">
      <c r="A2190" t="str">
        <f t="shared" si="102"/>
        <v>-</v>
      </c>
      <c r="B2190" t="str">
        <f t="shared" si="103"/>
        <v>0-</v>
      </c>
      <c r="H2190" t="str">
        <f>IFERROR(VLOOKUP(E2190,DC_Xref!A:B,2,FALSE),"")</f>
        <v/>
      </c>
      <c r="I2190">
        <f t="shared" si="104"/>
        <v>0</v>
      </c>
    </row>
    <row r="2191" spans="1:9" x14ac:dyDescent="0.3">
      <c r="A2191" t="str">
        <f t="shared" si="102"/>
        <v>-</v>
      </c>
      <c r="B2191" t="str">
        <f t="shared" si="103"/>
        <v>0-</v>
      </c>
      <c r="H2191" t="str">
        <f>IFERROR(VLOOKUP(E2191,DC_Xref!A:B,2,FALSE),"")</f>
        <v/>
      </c>
      <c r="I2191">
        <f t="shared" si="104"/>
        <v>0</v>
      </c>
    </row>
    <row r="2192" spans="1:9" x14ac:dyDescent="0.3">
      <c r="A2192" t="str">
        <f t="shared" si="102"/>
        <v>-</v>
      </c>
      <c r="B2192" t="str">
        <f t="shared" si="103"/>
        <v>0-</v>
      </c>
      <c r="H2192" t="str">
        <f>IFERROR(VLOOKUP(E2192,DC_Xref!A:B,2,FALSE),"")</f>
        <v/>
      </c>
      <c r="I2192">
        <f t="shared" si="104"/>
        <v>0</v>
      </c>
    </row>
    <row r="2193" spans="1:9" x14ac:dyDescent="0.3">
      <c r="A2193" t="str">
        <f t="shared" si="102"/>
        <v>-</v>
      </c>
      <c r="B2193" t="str">
        <f t="shared" si="103"/>
        <v>0-</v>
      </c>
      <c r="H2193" t="str">
        <f>IFERROR(VLOOKUP(E2193,DC_Xref!A:B,2,FALSE),"")</f>
        <v/>
      </c>
      <c r="I2193">
        <f t="shared" si="104"/>
        <v>0</v>
      </c>
    </row>
    <row r="2194" spans="1:9" x14ac:dyDescent="0.3">
      <c r="A2194" t="str">
        <f t="shared" si="102"/>
        <v>-</v>
      </c>
      <c r="B2194" t="str">
        <f t="shared" si="103"/>
        <v>0-</v>
      </c>
      <c r="H2194" t="str">
        <f>IFERROR(VLOOKUP(E2194,DC_Xref!A:B,2,FALSE),"")</f>
        <v/>
      </c>
      <c r="I2194">
        <f t="shared" si="104"/>
        <v>0</v>
      </c>
    </row>
    <row r="2195" spans="1:9" x14ac:dyDescent="0.3">
      <c r="A2195" t="str">
        <f t="shared" si="102"/>
        <v>-</v>
      </c>
      <c r="B2195" t="str">
        <f t="shared" si="103"/>
        <v>0-</v>
      </c>
      <c r="H2195" t="str">
        <f>IFERROR(VLOOKUP(E2195,DC_Xref!A:B,2,FALSE),"")</f>
        <v/>
      </c>
      <c r="I2195">
        <f t="shared" si="104"/>
        <v>0</v>
      </c>
    </row>
    <row r="2196" spans="1:9" x14ac:dyDescent="0.3">
      <c r="A2196" t="str">
        <f t="shared" si="102"/>
        <v>-</v>
      </c>
      <c r="B2196" t="str">
        <f t="shared" si="103"/>
        <v>0-</v>
      </c>
      <c r="H2196" t="str">
        <f>IFERROR(VLOOKUP(E2196,DC_Xref!A:B,2,FALSE),"")</f>
        <v/>
      </c>
      <c r="I2196">
        <f t="shared" si="104"/>
        <v>0</v>
      </c>
    </row>
    <row r="2197" spans="1:9" x14ac:dyDescent="0.3">
      <c r="A2197" t="str">
        <f t="shared" si="102"/>
        <v>-</v>
      </c>
      <c r="B2197" t="str">
        <f t="shared" si="103"/>
        <v>0-</v>
      </c>
      <c r="H2197" t="str">
        <f>IFERROR(VLOOKUP(E2197,DC_Xref!A:B,2,FALSE),"")</f>
        <v/>
      </c>
      <c r="I2197">
        <f t="shared" si="104"/>
        <v>0</v>
      </c>
    </row>
    <row r="2198" spans="1:9" x14ac:dyDescent="0.3">
      <c r="A2198" t="str">
        <f t="shared" si="102"/>
        <v>-</v>
      </c>
      <c r="B2198" t="str">
        <f t="shared" si="103"/>
        <v>0-</v>
      </c>
      <c r="H2198" t="str">
        <f>IFERROR(VLOOKUP(E2198,DC_Xref!A:B,2,FALSE),"")</f>
        <v/>
      </c>
      <c r="I2198">
        <f t="shared" si="104"/>
        <v>0</v>
      </c>
    </row>
    <row r="2199" spans="1:9" x14ac:dyDescent="0.3">
      <c r="A2199" t="str">
        <f t="shared" si="102"/>
        <v>-</v>
      </c>
      <c r="B2199" t="str">
        <f t="shared" si="103"/>
        <v>0-</v>
      </c>
      <c r="H2199" t="str">
        <f>IFERROR(VLOOKUP(E2199,DC_Xref!A:B,2,FALSE),"")</f>
        <v/>
      </c>
      <c r="I2199">
        <f t="shared" si="104"/>
        <v>0</v>
      </c>
    </row>
    <row r="2200" spans="1:9" x14ac:dyDescent="0.3">
      <c r="A2200" t="str">
        <f t="shared" si="102"/>
        <v>-</v>
      </c>
      <c r="B2200" t="str">
        <f t="shared" si="103"/>
        <v>0-</v>
      </c>
      <c r="H2200" t="str">
        <f>IFERROR(VLOOKUP(E2200,DC_Xref!A:B,2,FALSE),"")</f>
        <v/>
      </c>
      <c r="I2200">
        <f t="shared" si="104"/>
        <v>0</v>
      </c>
    </row>
    <row r="2201" spans="1:9" x14ac:dyDescent="0.3">
      <c r="A2201" t="str">
        <f t="shared" si="102"/>
        <v>-</v>
      </c>
      <c r="B2201" t="str">
        <f t="shared" si="103"/>
        <v>0-</v>
      </c>
      <c r="H2201" t="str">
        <f>IFERROR(VLOOKUP(E2201,DC_Xref!A:B,2,FALSE),"")</f>
        <v/>
      </c>
      <c r="I2201">
        <f t="shared" si="104"/>
        <v>0</v>
      </c>
    </row>
    <row r="2202" spans="1:9" x14ac:dyDescent="0.3">
      <c r="A2202" t="str">
        <f t="shared" si="102"/>
        <v>-</v>
      </c>
      <c r="B2202" t="str">
        <f t="shared" si="103"/>
        <v>0-</v>
      </c>
      <c r="H2202" t="str">
        <f>IFERROR(VLOOKUP(E2202,DC_Xref!A:B,2,FALSE),"")</f>
        <v/>
      </c>
      <c r="I2202">
        <f t="shared" si="104"/>
        <v>0</v>
      </c>
    </row>
    <row r="2203" spans="1:9" x14ac:dyDescent="0.3">
      <c r="A2203" t="str">
        <f t="shared" si="102"/>
        <v>-</v>
      </c>
      <c r="B2203" t="str">
        <f t="shared" si="103"/>
        <v>0-</v>
      </c>
      <c r="H2203" t="str">
        <f>IFERROR(VLOOKUP(E2203,DC_Xref!A:B,2,FALSE),"")</f>
        <v/>
      </c>
      <c r="I2203">
        <f t="shared" si="104"/>
        <v>0</v>
      </c>
    </row>
    <row r="2204" spans="1:9" x14ac:dyDescent="0.3">
      <c r="A2204" t="str">
        <f t="shared" si="102"/>
        <v>-</v>
      </c>
      <c r="B2204" t="str">
        <f t="shared" si="103"/>
        <v>0-</v>
      </c>
      <c r="H2204" t="str">
        <f>IFERROR(VLOOKUP(E2204,DC_Xref!A:B,2,FALSE),"")</f>
        <v/>
      </c>
      <c r="I2204">
        <f t="shared" si="104"/>
        <v>0</v>
      </c>
    </row>
    <row r="2205" spans="1:9" x14ac:dyDescent="0.3">
      <c r="A2205" t="str">
        <f t="shared" si="102"/>
        <v>-</v>
      </c>
      <c r="B2205" t="str">
        <f t="shared" si="103"/>
        <v>0-</v>
      </c>
      <c r="H2205" t="str">
        <f>IFERROR(VLOOKUP(E2205,DC_Xref!A:B,2,FALSE),"")</f>
        <v/>
      </c>
      <c r="I2205">
        <f t="shared" si="104"/>
        <v>0</v>
      </c>
    </row>
    <row r="2206" spans="1:9" x14ac:dyDescent="0.3">
      <c r="A2206" t="str">
        <f t="shared" si="102"/>
        <v>-</v>
      </c>
      <c r="B2206" t="str">
        <f t="shared" si="103"/>
        <v>0-</v>
      </c>
      <c r="H2206" t="str">
        <f>IFERROR(VLOOKUP(E2206,DC_Xref!A:B,2,FALSE),"")</f>
        <v/>
      </c>
      <c r="I2206">
        <f t="shared" si="104"/>
        <v>0</v>
      </c>
    </row>
    <row r="2207" spans="1:9" x14ac:dyDescent="0.3">
      <c r="A2207" t="str">
        <f t="shared" si="102"/>
        <v>-</v>
      </c>
      <c r="B2207" t="str">
        <f t="shared" si="103"/>
        <v>0-</v>
      </c>
      <c r="H2207" t="str">
        <f>IFERROR(VLOOKUP(E2207,DC_Xref!A:B,2,FALSE),"")</f>
        <v/>
      </c>
      <c r="I2207">
        <f t="shared" si="104"/>
        <v>0</v>
      </c>
    </row>
    <row r="2208" spans="1:9" x14ac:dyDescent="0.3">
      <c r="A2208" t="str">
        <f t="shared" si="102"/>
        <v>-</v>
      </c>
      <c r="B2208" t="str">
        <f t="shared" si="103"/>
        <v>0-</v>
      </c>
      <c r="H2208" t="str">
        <f>IFERROR(VLOOKUP(E2208,DC_Xref!A:B,2,FALSE),"")</f>
        <v/>
      </c>
      <c r="I2208">
        <f t="shared" si="104"/>
        <v>0</v>
      </c>
    </row>
    <row r="2209" spans="1:9" x14ac:dyDescent="0.3">
      <c r="A2209" t="str">
        <f t="shared" si="102"/>
        <v>-</v>
      </c>
      <c r="B2209" t="str">
        <f t="shared" si="103"/>
        <v>0-</v>
      </c>
      <c r="H2209" t="str">
        <f>IFERROR(VLOOKUP(E2209,DC_Xref!A:B,2,FALSE),"")</f>
        <v/>
      </c>
      <c r="I2209">
        <f t="shared" si="104"/>
        <v>0</v>
      </c>
    </row>
    <row r="2210" spans="1:9" x14ac:dyDescent="0.3">
      <c r="A2210" t="str">
        <f t="shared" si="102"/>
        <v>-</v>
      </c>
      <c r="B2210" t="str">
        <f t="shared" si="103"/>
        <v>0-</v>
      </c>
      <c r="H2210" t="str">
        <f>IFERROR(VLOOKUP(E2210,DC_Xref!A:B,2,FALSE),"")</f>
        <v/>
      </c>
      <c r="I2210">
        <f t="shared" si="104"/>
        <v>0</v>
      </c>
    </row>
    <row r="2211" spans="1:9" x14ac:dyDescent="0.3">
      <c r="A2211" t="str">
        <f t="shared" si="102"/>
        <v>-</v>
      </c>
      <c r="B2211" t="str">
        <f t="shared" si="103"/>
        <v>0-</v>
      </c>
      <c r="H2211" t="str">
        <f>IFERROR(VLOOKUP(E2211,DC_Xref!A:B,2,FALSE),"")</f>
        <v/>
      </c>
      <c r="I2211">
        <f t="shared" si="104"/>
        <v>0</v>
      </c>
    </row>
    <row r="2212" spans="1:9" x14ac:dyDescent="0.3">
      <c r="A2212" t="str">
        <f t="shared" si="102"/>
        <v>-</v>
      </c>
      <c r="B2212" t="str">
        <f t="shared" si="103"/>
        <v>0-</v>
      </c>
      <c r="H2212" t="str">
        <f>IFERROR(VLOOKUP(E2212,DC_Xref!A:B,2,FALSE),"")</f>
        <v/>
      </c>
      <c r="I2212">
        <f t="shared" si="104"/>
        <v>0</v>
      </c>
    </row>
    <row r="2213" spans="1:9" x14ac:dyDescent="0.3">
      <c r="A2213" t="str">
        <f t="shared" si="102"/>
        <v>-</v>
      </c>
      <c r="B2213" t="str">
        <f t="shared" si="103"/>
        <v>0-</v>
      </c>
      <c r="H2213" t="str">
        <f>IFERROR(VLOOKUP(E2213,DC_Xref!A:B,2,FALSE),"")</f>
        <v/>
      </c>
      <c r="I2213">
        <f t="shared" si="104"/>
        <v>0</v>
      </c>
    </row>
    <row r="2214" spans="1:9" x14ac:dyDescent="0.3">
      <c r="A2214" t="str">
        <f t="shared" si="102"/>
        <v>-</v>
      </c>
      <c r="B2214" t="str">
        <f t="shared" si="103"/>
        <v>0-</v>
      </c>
      <c r="H2214" t="str">
        <f>IFERROR(VLOOKUP(E2214,DC_Xref!A:B,2,FALSE),"")</f>
        <v/>
      </c>
      <c r="I2214">
        <f t="shared" si="104"/>
        <v>0</v>
      </c>
    </row>
    <row r="2215" spans="1:9" x14ac:dyDescent="0.3">
      <c r="A2215" t="str">
        <f t="shared" si="102"/>
        <v>-</v>
      </c>
      <c r="B2215" t="str">
        <f t="shared" si="103"/>
        <v>0-</v>
      </c>
      <c r="H2215" t="str">
        <f>IFERROR(VLOOKUP(E2215,DC_Xref!A:B,2,FALSE),"")</f>
        <v/>
      </c>
      <c r="I2215">
        <f t="shared" si="104"/>
        <v>0</v>
      </c>
    </row>
    <row r="2216" spans="1:9" x14ac:dyDescent="0.3">
      <c r="A2216" t="str">
        <f t="shared" si="102"/>
        <v>-</v>
      </c>
      <c r="B2216" t="str">
        <f t="shared" si="103"/>
        <v>0-</v>
      </c>
      <c r="H2216" t="str">
        <f>IFERROR(VLOOKUP(E2216,DC_Xref!A:B,2,FALSE),"")</f>
        <v/>
      </c>
      <c r="I2216">
        <f t="shared" si="104"/>
        <v>0</v>
      </c>
    </row>
    <row r="2217" spans="1:9" x14ac:dyDescent="0.3">
      <c r="A2217" t="str">
        <f t="shared" si="102"/>
        <v>-</v>
      </c>
      <c r="B2217" t="str">
        <f t="shared" si="103"/>
        <v>0-</v>
      </c>
      <c r="H2217" t="str">
        <f>IFERROR(VLOOKUP(E2217,DC_Xref!A:B,2,FALSE),"")</f>
        <v/>
      </c>
      <c r="I2217">
        <f t="shared" si="104"/>
        <v>0</v>
      </c>
    </row>
    <row r="2218" spans="1:9" x14ac:dyDescent="0.3">
      <c r="A2218" t="str">
        <f t="shared" si="102"/>
        <v>-</v>
      </c>
      <c r="B2218" t="str">
        <f t="shared" si="103"/>
        <v>0-</v>
      </c>
      <c r="H2218" t="str">
        <f>IFERROR(VLOOKUP(E2218,DC_Xref!A:B,2,FALSE),"")</f>
        <v/>
      </c>
      <c r="I2218">
        <f t="shared" si="104"/>
        <v>0</v>
      </c>
    </row>
    <row r="2219" spans="1:9" x14ac:dyDescent="0.3">
      <c r="A2219" t="str">
        <f t="shared" si="102"/>
        <v>-</v>
      </c>
      <c r="B2219" t="str">
        <f t="shared" si="103"/>
        <v>0-</v>
      </c>
      <c r="H2219" t="str">
        <f>IFERROR(VLOOKUP(E2219,DC_Xref!A:B,2,FALSE),"")</f>
        <v/>
      </c>
      <c r="I2219">
        <f t="shared" si="104"/>
        <v>0</v>
      </c>
    </row>
    <row r="2220" spans="1:9" x14ac:dyDescent="0.3">
      <c r="A2220" t="str">
        <f t="shared" si="102"/>
        <v>-</v>
      </c>
      <c r="B2220" t="str">
        <f t="shared" si="103"/>
        <v>0-</v>
      </c>
      <c r="H2220" t="str">
        <f>IFERROR(VLOOKUP(E2220,DC_Xref!A:B,2,FALSE),"")</f>
        <v/>
      </c>
      <c r="I2220">
        <f t="shared" si="104"/>
        <v>0</v>
      </c>
    </row>
    <row r="2221" spans="1:9" x14ac:dyDescent="0.3">
      <c r="A2221" t="str">
        <f t="shared" si="102"/>
        <v>-</v>
      </c>
      <c r="B2221" t="str">
        <f t="shared" si="103"/>
        <v>0-</v>
      </c>
      <c r="H2221" t="str">
        <f>IFERROR(VLOOKUP(E2221,DC_Xref!A:B,2,FALSE),"")</f>
        <v/>
      </c>
      <c r="I2221">
        <f t="shared" si="104"/>
        <v>0</v>
      </c>
    </row>
    <row r="2222" spans="1:9" x14ac:dyDescent="0.3">
      <c r="A2222" t="str">
        <f t="shared" si="102"/>
        <v>-</v>
      </c>
      <c r="B2222" t="str">
        <f t="shared" si="103"/>
        <v>0-</v>
      </c>
      <c r="H2222" t="str">
        <f>IFERROR(VLOOKUP(E2222,DC_Xref!A:B,2,FALSE),"")</f>
        <v/>
      </c>
      <c r="I2222">
        <f t="shared" si="104"/>
        <v>0</v>
      </c>
    </row>
    <row r="2223" spans="1:9" x14ac:dyDescent="0.3">
      <c r="A2223" t="str">
        <f t="shared" si="102"/>
        <v>-</v>
      </c>
      <c r="B2223" t="str">
        <f t="shared" si="103"/>
        <v>0-</v>
      </c>
      <c r="H2223" t="str">
        <f>IFERROR(VLOOKUP(E2223,DC_Xref!A:B,2,FALSE),"")</f>
        <v/>
      </c>
      <c r="I2223">
        <f t="shared" si="104"/>
        <v>0</v>
      </c>
    </row>
    <row r="2224" spans="1:9" x14ac:dyDescent="0.3">
      <c r="A2224" t="str">
        <f t="shared" si="102"/>
        <v>-</v>
      </c>
      <c r="B2224" t="str">
        <f t="shared" si="103"/>
        <v>0-</v>
      </c>
      <c r="H2224" t="str">
        <f>IFERROR(VLOOKUP(E2224,DC_Xref!A:B,2,FALSE),"")</f>
        <v/>
      </c>
      <c r="I2224">
        <f t="shared" si="104"/>
        <v>0</v>
      </c>
    </row>
    <row r="2225" spans="1:9" x14ac:dyDescent="0.3">
      <c r="A2225" t="str">
        <f t="shared" si="102"/>
        <v>-</v>
      </c>
      <c r="B2225" t="str">
        <f t="shared" si="103"/>
        <v>0-</v>
      </c>
      <c r="H2225" t="str">
        <f>IFERROR(VLOOKUP(E2225,DC_Xref!A:B,2,FALSE),"")</f>
        <v/>
      </c>
      <c r="I2225">
        <f t="shared" si="104"/>
        <v>0</v>
      </c>
    </row>
    <row r="2226" spans="1:9" x14ac:dyDescent="0.3">
      <c r="A2226" t="str">
        <f t="shared" si="102"/>
        <v>-</v>
      </c>
      <c r="B2226" t="str">
        <f t="shared" si="103"/>
        <v>0-</v>
      </c>
      <c r="H2226" t="str">
        <f>IFERROR(VLOOKUP(E2226,DC_Xref!A:B,2,FALSE),"")</f>
        <v/>
      </c>
      <c r="I2226">
        <f t="shared" si="104"/>
        <v>0</v>
      </c>
    </row>
    <row r="2227" spans="1:9" x14ac:dyDescent="0.3">
      <c r="A2227" t="str">
        <f t="shared" si="102"/>
        <v>-</v>
      </c>
      <c r="B2227" t="str">
        <f t="shared" si="103"/>
        <v>0-</v>
      </c>
      <c r="H2227" t="str">
        <f>IFERROR(VLOOKUP(E2227,DC_Xref!A:B,2,FALSE),"")</f>
        <v/>
      </c>
      <c r="I2227">
        <f t="shared" si="104"/>
        <v>0</v>
      </c>
    </row>
    <row r="2228" spans="1:9" x14ac:dyDescent="0.3">
      <c r="A2228" t="str">
        <f t="shared" si="102"/>
        <v>-</v>
      </c>
      <c r="B2228" t="str">
        <f t="shared" si="103"/>
        <v>0-</v>
      </c>
      <c r="H2228" t="str">
        <f>IFERROR(VLOOKUP(E2228,DC_Xref!A:B,2,FALSE),"")</f>
        <v/>
      </c>
      <c r="I2228">
        <f t="shared" si="104"/>
        <v>0</v>
      </c>
    </row>
    <row r="2229" spans="1:9" x14ac:dyDescent="0.3">
      <c r="A2229" t="str">
        <f t="shared" si="102"/>
        <v>-</v>
      </c>
      <c r="B2229" t="str">
        <f t="shared" si="103"/>
        <v>0-</v>
      </c>
      <c r="H2229" t="str">
        <f>IFERROR(VLOOKUP(E2229,DC_Xref!A:B,2,FALSE),"")</f>
        <v/>
      </c>
      <c r="I2229">
        <f t="shared" si="104"/>
        <v>0</v>
      </c>
    </row>
    <row r="2230" spans="1:9" x14ac:dyDescent="0.3">
      <c r="A2230" t="str">
        <f t="shared" si="102"/>
        <v>-</v>
      </c>
      <c r="B2230" t="str">
        <f t="shared" si="103"/>
        <v>0-</v>
      </c>
      <c r="H2230" t="str">
        <f>IFERROR(VLOOKUP(E2230,DC_Xref!A:B,2,FALSE),"")</f>
        <v/>
      </c>
      <c r="I2230">
        <f t="shared" si="104"/>
        <v>0</v>
      </c>
    </row>
    <row r="2231" spans="1:9" x14ac:dyDescent="0.3">
      <c r="A2231" t="str">
        <f t="shared" si="102"/>
        <v>-</v>
      </c>
      <c r="B2231" t="str">
        <f t="shared" si="103"/>
        <v>0-</v>
      </c>
      <c r="H2231" t="str">
        <f>IFERROR(VLOOKUP(E2231,DC_Xref!A:B,2,FALSE),"")</f>
        <v/>
      </c>
      <c r="I2231">
        <f t="shared" si="104"/>
        <v>0</v>
      </c>
    </row>
    <row r="2232" spans="1:9" x14ac:dyDescent="0.3">
      <c r="A2232" t="str">
        <f t="shared" si="102"/>
        <v>-</v>
      </c>
      <c r="B2232" t="str">
        <f t="shared" si="103"/>
        <v>0-</v>
      </c>
      <c r="H2232" t="str">
        <f>IFERROR(VLOOKUP(E2232,DC_Xref!A:B,2,FALSE),"")</f>
        <v/>
      </c>
      <c r="I2232">
        <f t="shared" si="104"/>
        <v>0</v>
      </c>
    </row>
    <row r="2233" spans="1:9" x14ac:dyDescent="0.3">
      <c r="A2233" t="str">
        <f t="shared" si="102"/>
        <v>-</v>
      </c>
      <c r="B2233" t="str">
        <f t="shared" si="103"/>
        <v>0-</v>
      </c>
      <c r="H2233" t="str">
        <f>IFERROR(VLOOKUP(E2233,DC_Xref!A:B,2,FALSE),"")</f>
        <v/>
      </c>
      <c r="I2233">
        <f t="shared" si="104"/>
        <v>0</v>
      </c>
    </row>
    <row r="2234" spans="1:9" x14ac:dyDescent="0.3">
      <c r="A2234" t="str">
        <f t="shared" si="102"/>
        <v>-</v>
      </c>
      <c r="B2234" t="str">
        <f t="shared" si="103"/>
        <v>0-</v>
      </c>
      <c r="H2234" t="str">
        <f>IFERROR(VLOOKUP(E2234,DC_Xref!A:B,2,FALSE),"")</f>
        <v/>
      </c>
      <c r="I2234">
        <f t="shared" si="104"/>
        <v>0</v>
      </c>
    </row>
    <row r="2235" spans="1:9" x14ac:dyDescent="0.3">
      <c r="A2235" t="str">
        <f t="shared" si="102"/>
        <v>-</v>
      </c>
      <c r="B2235" t="str">
        <f t="shared" si="103"/>
        <v>0-</v>
      </c>
      <c r="H2235" t="str">
        <f>IFERROR(VLOOKUP(E2235,DC_Xref!A:B,2,FALSE),"")</f>
        <v/>
      </c>
      <c r="I2235">
        <f t="shared" si="104"/>
        <v>0</v>
      </c>
    </row>
    <row r="2236" spans="1:9" x14ac:dyDescent="0.3">
      <c r="A2236" t="str">
        <f t="shared" si="102"/>
        <v>-</v>
      </c>
      <c r="B2236" t="str">
        <f t="shared" si="103"/>
        <v>0-</v>
      </c>
      <c r="H2236" t="str">
        <f>IFERROR(VLOOKUP(E2236,DC_Xref!A:B,2,FALSE),"")</f>
        <v/>
      </c>
      <c r="I2236">
        <f t="shared" si="104"/>
        <v>0</v>
      </c>
    </row>
    <row r="2237" spans="1:9" x14ac:dyDescent="0.3">
      <c r="A2237" t="str">
        <f t="shared" si="102"/>
        <v>-</v>
      </c>
      <c r="B2237" t="str">
        <f t="shared" si="103"/>
        <v>0-</v>
      </c>
      <c r="H2237" t="str">
        <f>IFERROR(VLOOKUP(E2237,DC_Xref!A:B,2,FALSE),"")</f>
        <v/>
      </c>
      <c r="I2237">
        <f t="shared" si="104"/>
        <v>0</v>
      </c>
    </row>
    <row r="2238" spans="1:9" x14ac:dyDescent="0.3">
      <c r="A2238" t="str">
        <f t="shared" si="102"/>
        <v>-</v>
      </c>
      <c r="B2238" t="str">
        <f t="shared" si="103"/>
        <v>0-</v>
      </c>
      <c r="H2238" t="str">
        <f>IFERROR(VLOOKUP(E2238,DC_Xref!A:B,2,FALSE),"")</f>
        <v/>
      </c>
      <c r="I2238">
        <f t="shared" si="104"/>
        <v>0</v>
      </c>
    </row>
    <row r="2239" spans="1:9" x14ac:dyDescent="0.3">
      <c r="A2239" t="str">
        <f t="shared" si="102"/>
        <v>-</v>
      </c>
      <c r="B2239" t="str">
        <f t="shared" si="103"/>
        <v>0-</v>
      </c>
      <c r="H2239" t="str">
        <f>IFERROR(VLOOKUP(E2239,DC_Xref!A:B,2,FALSE),"")</f>
        <v/>
      </c>
      <c r="I2239">
        <f t="shared" si="104"/>
        <v>0</v>
      </c>
    </row>
    <row r="2240" spans="1:9" x14ac:dyDescent="0.3">
      <c r="A2240" t="str">
        <f t="shared" si="102"/>
        <v>-</v>
      </c>
      <c r="B2240" t="str">
        <f t="shared" si="103"/>
        <v>0-</v>
      </c>
      <c r="H2240" t="str">
        <f>IFERROR(VLOOKUP(E2240,DC_Xref!A:B,2,FALSE),"")</f>
        <v/>
      </c>
      <c r="I2240">
        <f t="shared" si="104"/>
        <v>0</v>
      </c>
    </row>
    <row r="2241" spans="1:9" x14ac:dyDescent="0.3">
      <c r="A2241" t="str">
        <f t="shared" si="102"/>
        <v>-</v>
      </c>
      <c r="B2241" t="str">
        <f t="shared" si="103"/>
        <v>0-</v>
      </c>
      <c r="H2241" t="str">
        <f>IFERROR(VLOOKUP(E2241,DC_Xref!A:B,2,FALSE),"")</f>
        <v/>
      </c>
      <c r="I2241">
        <f t="shared" si="104"/>
        <v>0</v>
      </c>
    </row>
    <row r="2242" spans="1:9" x14ac:dyDescent="0.3">
      <c r="A2242" t="str">
        <f t="shared" ref="A2242:A2305" si="105">C2242&amp;"-"&amp;F2242</f>
        <v>-</v>
      </c>
      <c r="B2242" t="str">
        <f t="shared" ref="B2242:B2305" si="106">I2242&amp;"-"&amp;H2242</f>
        <v>0-</v>
      </c>
      <c r="H2242" t="str">
        <f>IFERROR(VLOOKUP(E2242,DC_Xref!A:B,2,FALSE),"")</f>
        <v/>
      </c>
      <c r="I2242">
        <f t="shared" ref="I2242:I2305" si="107">C2242*100+D2242</f>
        <v>0</v>
      </c>
    </row>
    <row r="2243" spans="1:9" x14ac:dyDescent="0.3">
      <c r="A2243" t="str">
        <f t="shared" si="105"/>
        <v>-</v>
      </c>
      <c r="B2243" t="str">
        <f t="shared" si="106"/>
        <v>0-</v>
      </c>
      <c r="H2243" t="str">
        <f>IFERROR(VLOOKUP(E2243,DC_Xref!A:B,2,FALSE),"")</f>
        <v/>
      </c>
      <c r="I2243">
        <f t="shared" si="107"/>
        <v>0</v>
      </c>
    </row>
    <row r="2244" spans="1:9" x14ac:dyDescent="0.3">
      <c r="A2244" t="str">
        <f t="shared" si="105"/>
        <v>-</v>
      </c>
      <c r="B2244" t="str">
        <f t="shared" si="106"/>
        <v>0-</v>
      </c>
      <c r="H2244" t="str">
        <f>IFERROR(VLOOKUP(E2244,DC_Xref!A:B,2,FALSE),"")</f>
        <v/>
      </c>
      <c r="I2244">
        <f t="shared" si="107"/>
        <v>0</v>
      </c>
    </row>
    <row r="2245" spans="1:9" x14ac:dyDescent="0.3">
      <c r="A2245" t="str">
        <f t="shared" si="105"/>
        <v>-</v>
      </c>
      <c r="B2245" t="str">
        <f t="shared" si="106"/>
        <v>0-</v>
      </c>
      <c r="H2245" t="str">
        <f>IFERROR(VLOOKUP(E2245,DC_Xref!A:B,2,FALSE),"")</f>
        <v/>
      </c>
      <c r="I2245">
        <f t="shared" si="107"/>
        <v>0</v>
      </c>
    </row>
    <row r="2246" spans="1:9" x14ac:dyDescent="0.3">
      <c r="A2246" t="str">
        <f t="shared" si="105"/>
        <v>-</v>
      </c>
      <c r="B2246" t="str">
        <f t="shared" si="106"/>
        <v>0-</v>
      </c>
      <c r="H2246" t="str">
        <f>IFERROR(VLOOKUP(E2246,DC_Xref!A:B,2,FALSE),"")</f>
        <v/>
      </c>
      <c r="I2246">
        <f t="shared" si="107"/>
        <v>0</v>
      </c>
    </row>
    <row r="2247" spans="1:9" x14ac:dyDescent="0.3">
      <c r="A2247" t="str">
        <f t="shared" si="105"/>
        <v>-</v>
      </c>
      <c r="B2247" t="str">
        <f t="shared" si="106"/>
        <v>0-</v>
      </c>
      <c r="H2247" t="str">
        <f>IFERROR(VLOOKUP(E2247,DC_Xref!A:B,2,FALSE),"")</f>
        <v/>
      </c>
      <c r="I2247">
        <f t="shared" si="107"/>
        <v>0</v>
      </c>
    </row>
    <row r="2248" spans="1:9" x14ac:dyDescent="0.3">
      <c r="A2248" t="str">
        <f t="shared" si="105"/>
        <v>-</v>
      </c>
      <c r="B2248" t="str">
        <f t="shared" si="106"/>
        <v>0-</v>
      </c>
      <c r="H2248" t="str">
        <f>IFERROR(VLOOKUP(E2248,DC_Xref!A:B,2,FALSE),"")</f>
        <v/>
      </c>
      <c r="I2248">
        <f t="shared" si="107"/>
        <v>0</v>
      </c>
    </row>
    <row r="2249" spans="1:9" x14ac:dyDescent="0.3">
      <c r="A2249" t="str">
        <f t="shared" si="105"/>
        <v>-</v>
      </c>
      <c r="B2249" t="str">
        <f t="shared" si="106"/>
        <v>0-</v>
      </c>
      <c r="H2249" t="str">
        <f>IFERROR(VLOOKUP(E2249,DC_Xref!A:B,2,FALSE),"")</f>
        <v/>
      </c>
      <c r="I2249">
        <f t="shared" si="107"/>
        <v>0</v>
      </c>
    </row>
    <row r="2250" spans="1:9" x14ac:dyDescent="0.3">
      <c r="A2250" t="str">
        <f t="shared" si="105"/>
        <v>-</v>
      </c>
      <c r="B2250" t="str">
        <f t="shared" si="106"/>
        <v>0-</v>
      </c>
      <c r="H2250" t="str">
        <f>IFERROR(VLOOKUP(E2250,DC_Xref!A:B,2,FALSE),"")</f>
        <v/>
      </c>
      <c r="I2250">
        <f t="shared" si="107"/>
        <v>0</v>
      </c>
    </row>
    <row r="2251" spans="1:9" x14ac:dyDescent="0.3">
      <c r="A2251" t="str">
        <f t="shared" si="105"/>
        <v>-</v>
      </c>
      <c r="B2251" t="str">
        <f t="shared" si="106"/>
        <v>0-</v>
      </c>
      <c r="H2251" t="str">
        <f>IFERROR(VLOOKUP(E2251,DC_Xref!A:B,2,FALSE),"")</f>
        <v/>
      </c>
      <c r="I2251">
        <f t="shared" si="107"/>
        <v>0</v>
      </c>
    </row>
    <row r="2252" spans="1:9" x14ac:dyDescent="0.3">
      <c r="A2252" t="str">
        <f t="shared" si="105"/>
        <v>-</v>
      </c>
      <c r="B2252" t="str">
        <f t="shared" si="106"/>
        <v>0-</v>
      </c>
      <c r="H2252" t="str">
        <f>IFERROR(VLOOKUP(E2252,DC_Xref!A:B,2,FALSE),"")</f>
        <v/>
      </c>
      <c r="I2252">
        <f t="shared" si="107"/>
        <v>0</v>
      </c>
    </row>
    <row r="2253" spans="1:9" x14ac:dyDescent="0.3">
      <c r="A2253" t="str">
        <f t="shared" si="105"/>
        <v>-</v>
      </c>
      <c r="B2253" t="str">
        <f t="shared" si="106"/>
        <v>0-</v>
      </c>
      <c r="H2253" t="str">
        <f>IFERROR(VLOOKUP(E2253,DC_Xref!A:B,2,FALSE),"")</f>
        <v/>
      </c>
      <c r="I2253">
        <f t="shared" si="107"/>
        <v>0</v>
      </c>
    </row>
    <row r="2254" spans="1:9" x14ac:dyDescent="0.3">
      <c r="A2254" t="str">
        <f t="shared" si="105"/>
        <v>-</v>
      </c>
      <c r="B2254" t="str">
        <f t="shared" si="106"/>
        <v>0-</v>
      </c>
      <c r="H2254" t="str">
        <f>IFERROR(VLOOKUP(E2254,DC_Xref!A:B,2,FALSE),"")</f>
        <v/>
      </c>
      <c r="I2254">
        <f t="shared" si="107"/>
        <v>0</v>
      </c>
    </row>
    <row r="2255" spans="1:9" x14ac:dyDescent="0.3">
      <c r="A2255" t="str">
        <f t="shared" si="105"/>
        <v>-</v>
      </c>
      <c r="B2255" t="str">
        <f t="shared" si="106"/>
        <v>0-</v>
      </c>
      <c r="H2255" t="str">
        <f>IFERROR(VLOOKUP(E2255,DC_Xref!A:B,2,FALSE),"")</f>
        <v/>
      </c>
      <c r="I2255">
        <f t="shared" si="107"/>
        <v>0</v>
      </c>
    </row>
    <row r="2256" spans="1:9" x14ac:dyDescent="0.3">
      <c r="A2256" t="str">
        <f t="shared" si="105"/>
        <v>-</v>
      </c>
      <c r="B2256" t="str">
        <f t="shared" si="106"/>
        <v>0-</v>
      </c>
      <c r="H2256" t="str">
        <f>IFERROR(VLOOKUP(E2256,DC_Xref!A:B,2,FALSE),"")</f>
        <v/>
      </c>
      <c r="I2256">
        <f t="shared" si="107"/>
        <v>0</v>
      </c>
    </row>
    <row r="2257" spans="1:9" x14ac:dyDescent="0.3">
      <c r="A2257" t="str">
        <f t="shared" si="105"/>
        <v>-</v>
      </c>
      <c r="B2257" t="str">
        <f t="shared" si="106"/>
        <v>0-</v>
      </c>
      <c r="H2257" t="str">
        <f>IFERROR(VLOOKUP(E2257,DC_Xref!A:B,2,FALSE),"")</f>
        <v/>
      </c>
      <c r="I2257">
        <f t="shared" si="107"/>
        <v>0</v>
      </c>
    </row>
    <row r="2258" spans="1:9" x14ac:dyDescent="0.3">
      <c r="A2258" t="str">
        <f t="shared" si="105"/>
        <v>-</v>
      </c>
      <c r="B2258" t="str">
        <f t="shared" si="106"/>
        <v>0-</v>
      </c>
      <c r="H2258" t="str">
        <f>IFERROR(VLOOKUP(E2258,DC_Xref!A:B,2,FALSE),"")</f>
        <v/>
      </c>
      <c r="I2258">
        <f t="shared" si="107"/>
        <v>0</v>
      </c>
    </row>
    <row r="2259" spans="1:9" x14ac:dyDescent="0.3">
      <c r="A2259" t="str">
        <f t="shared" si="105"/>
        <v>-</v>
      </c>
      <c r="B2259" t="str">
        <f t="shared" si="106"/>
        <v>0-</v>
      </c>
      <c r="H2259" t="str">
        <f>IFERROR(VLOOKUP(E2259,DC_Xref!A:B,2,FALSE),"")</f>
        <v/>
      </c>
      <c r="I2259">
        <f t="shared" si="107"/>
        <v>0</v>
      </c>
    </row>
    <row r="2260" spans="1:9" x14ac:dyDescent="0.3">
      <c r="A2260" t="str">
        <f t="shared" si="105"/>
        <v>-</v>
      </c>
      <c r="B2260" t="str">
        <f t="shared" si="106"/>
        <v>0-</v>
      </c>
      <c r="H2260" t="str">
        <f>IFERROR(VLOOKUP(E2260,DC_Xref!A:B,2,FALSE),"")</f>
        <v/>
      </c>
      <c r="I2260">
        <f t="shared" si="107"/>
        <v>0</v>
      </c>
    </row>
    <row r="2261" spans="1:9" x14ac:dyDescent="0.3">
      <c r="A2261" t="str">
        <f t="shared" si="105"/>
        <v>-</v>
      </c>
      <c r="B2261" t="str">
        <f t="shared" si="106"/>
        <v>0-</v>
      </c>
      <c r="H2261" t="str">
        <f>IFERROR(VLOOKUP(E2261,DC_Xref!A:B,2,FALSE),"")</f>
        <v/>
      </c>
      <c r="I2261">
        <f t="shared" si="107"/>
        <v>0</v>
      </c>
    </row>
    <row r="2262" spans="1:9" x14ac:dyDescent="0.3">
      <c r="A2262" t="str">
        <f t="shared" si="105"/>
        <v>-</v>
      </c>
      <c r="B2262" t="str">
        <f t="shared" si="106"/>
        <v>0-</v>
      </c>
      <c r="H2262" t="str">
        <f>IFERROR(VLOOKUP(E2262,DC_Xref!A:B,2,FALSE),"")</f>
        <v/>
      </c>
      <c r="I2262">
        <f t="shared" si="107"/>
        <v>0</v>
      </c>
    </row>
    <row r="2263" spans="1:9" x14ac:dyDescent="0.3">
      <c r="A2263" t="str">
        <f t="shared" si="105"/>
        <v>-</v>
      </c>
      <c r="B2263" t="str">
        <f t="shared" si="106"/>
        <v>0-</v>
      </c>
      <c r="H2263" t="str">
        <f>IFERROR(VLOOKUP(E2263,DC_Xref!A:B,2,FALSE),"")</f>
        <v/>
      </c>
      <c r="I2263">
        <f t="shared" si="107"/>
        <v>0</v>
      </c>
    </row>
    <row r="2264" spans="1:9" x14ac:dyDescent="0.3">
      <c r="A2264" t="str">
        <f t="shared" si="105"/>
        <v>-</v>
      </c>
      <c r="B2264" t="str">
        <f t="shared" si="106"/>
        <v>0-</v>
      </c>
      <c r="H2264" t="str">
        <f>IFERROR(VLOOKUP(E2264,DC_Xref!A:B,2,FALSE),"")</f>
        <v/>
      </c>
      <c r="I2264">
        <f t="shared" si="107"/>
        <v>0</v>
      </c>
    </row>
    <row r="2265" spans="1:9" x14ac:dyDescent="0.3">
      <c r="A2265" t="str">
        <f t="shared" si="105"/>
        <v>-</v>
      </c>
      <c r="B2265" t="str">
        <f t="shared" si="106"/>
        <v>0-</v>
      </c>
      <c r="H2265" t="str">
        <f>IFERROR(VLOOKUP(E2265,DC_Xref!A:B,2,FALSE),"")</f>
        <v/>
      </c>
      <c r="I2265">
        <f t="shared" si="107"/>
        <v>0</v>
      </c>
    </row>
    <row r="2266" spans="1:9" x14ac:dyDescent="0.3">
      <c r="A2266" t="str">
        <f t="shared" si="105"/>
        <v>-</v>
      </c>
      <c r="B2266" t="str">
        <f t="shared" si="106"/>
        <v>0-</v>
      </c>
      <c r="H2266" t="str">
        <f>IFERROR(VLOOKUP(E2266,DC_Xref!A:B,2,FALSE),"")</f>
        <v/>
      </c>
      <c r="I2266">
        <f t="shared" si="107"/>
        <v>0</v>
      </c>
    </row>
    <row r="2267" spans="1:9" x14ac:dyDescent="0.3">
      <c r="A2267" t="str">
        <f t="shared" si="105"/>
        <v>-</v>
      </c>
      <c r="B2267" t="str">
        <f t="shared" si="106"/>
        <v>0-</v>
      </c>
      <c r="H2267" t="str">
        <f>IFERROR(VLOOKUP(E2267,DC_Xref!A:B,2,FALSE),"")</f>
        <v/>
      </c>
      <c r="I2267">
        <f t="shared" si="107"/>
        <v>0</v>
      </c>
    </row>
    <row r="2268" spans="1:9" x14ac:dyDescent="0.3">
      <c r="A2268" t="str">
        <f t="shared" si="105"/>
        <v>-</v>
      </c>
      <c r="B2268" t="str">
        <f t="shared" si="106"/>
        <v>0-</v>
      </c>
      <c r="H2268" t="str">
        <f>IFERROR(VLOOKUP(E2268,DC_Xref!A:B,2,FALSE),"")</f>
        <v/>
      </c>
      <c r="I2268">
        <f t="shared" si="107"/>
        <v>0</v>
      </c>
    </row>
    <row r="2269" spans="1:9" x14ac:dyDescent="0.3">
      <c r="A2269" t="str">
        <f t="shared" si="105"/>
        <v>-</v>
      </c>
      <c r="B2269" t="str">
        <f t="shared" si="106"/>
        <v>0-</v>
      </c>
      <c r="H2269" t="str">
        <f>IFERROR(VLOOKUP(E2269,DC_Xref!A:B,2,FALSE),"")</f>
        <v/>
      </c>
      <c r="I2269">
        <f t="shared" si="107"/>
        <v>0</v>
      </c>
    </row>
    <row r="2270" spans="1:9" x14ac:dyDescent="0.3">
      <c r="A2270" t="str">
        <f t="shared" si="105"/>
        <v>-</v>
      </c>
      <c r="B2270" t="str">
        <f t="shared" si="106"/>
        <v>0-</v>
      </c>
      <c r="H2270" t="str">
        <f>IFERROR(VLOOKUP(E2270,DC_Xref!A:B,2,FALSE),"")</f>
        <v/>
      </c>
      <c r="I2270">
        <f t="shared" si="107"/>
        <v>0</v>
      </c>
    </row>
    <row r="2271" spans="1:9" x14ac:dyDescent="0.3">
      <c r="A2271" t="str">
        <f t="shared" si="105"/>
        <v>-</v>
      </c>
      <c r="B2271" t="str">
        <f t="shared" si="106"/>
        <v>0-</v>
      </c>
      <c r="H2271" t="str">
        <f>IFERROR(VLOOKUP(E2271,DC_Xref!A:B,2,FALSE),"")</f>
        <v/>
      </c>
      <c r="I2271">
        <f t="shared" si="107"/>
        <v>0</v>
      </c>
    </row>
    <row r="2272" spans="1:9" x14ac:dyDescent="0.3">
      <c r="A2272" t="str">
        <f t="shared" si="105"/>
        <v>-</v>
      </c>
      <c r="B2272" t="str">
        <f t="shared" si="106"/>
        <v>0-</v>
      </c>
      <c r="H2272" t="str">
        <f>IFERROR(VLOOKUP(E2272,DC_Xref!A:B,2,FALSE),"")</f>
        <v/>
      </c>
      <c r="I2272">
        <f t="shared" si="107"/>
        <v>0</v>
      </c>
    </row>
    <row r="2273" spans="1:9" x14ac:dyDescent="0.3">
      <c r="A2273" t="str">
        <f t="shared" si="105"/>
        <v>-</v>
      </c>
      <c r="B2273" t="str">
        <f t="shared" si="106"/>
        <v>0-</v>
      </c>
      <c r="H2273" t="str">
        <f>IFERROR(VLOOKUP(E2273,DC_Xref!A:B,2,FALSE),"")</f>
        <v/>
      </c>
      <c r="I2273">
        <f t="shared" si="107"/>
        <v>0</v>
      </c>
    </row>
    <row r="2274" spans="1:9" x14ac:dyDescent="0.3">
      <c r="A2274" t="str">
        <f t="shared" si="105"/>
        <v>-</v>
      </c>
      <c r="B2274" t="str">
        <f t="shared" si="106"/>
        <v>0-</v>
      </c>
      <c r="H2274" t="str">
        <f>IFERROR(VLOOKUP(E2274,DC_Xref!A:B,2,FALSE),"")</f>
        <v/>
      </c>
      <c r="I2274">
        <f t="shared" si="107"/>
        <v>0</v>
      </c>
    </row>
    <row r="2275" spans="1:9" x14ac:dyDescent="0.3">
      <c r="A2275" t="str">
        <f t="shared" si="105"/>
        <v>-</v>
      </c>
      <c r="B2275" t="str">
        <f t="shared" si="106"/>
        <v>0-</v>
      </c>
      <c r="H2275" t="str">
        <f>IFERROR(VLOOKUP(E2275,DC_Xref!A:B,2,FALSE),"")</f>
        <v/>
      </c>
      <c r="I2275">
        <f t="shared" si="107"/>
        <v>0</v>
      </c>
    </row>
    <row r="2276" spans="1:9" x14ac:dyDescent="0.3">
      <c r="A2276" t="str">
        <f t="shared" si="105"/>
        <v>-</v>
      </c>
      <c r="B2276" t="str">
        <f t="shared" si="106"/>
        <v>0-</v>
      </c>
      <c r="H2276" t="str">
        <f>IFERROR(VLOOKUP(E2276,DC_Xref!A:B,2,FALSE),"")</f>
        <v/>
      </c>
      <c r="I2276">
        <f t="shared" si="107"/>
        <v>0</v>
      </c>
    </row>
    <row r="2277" spans="1:9" x14ac:dyDescent="0.3">
      <c r="A2277" t="str">
        <f t="shared" si="105"/>
        <v>-</v>
      </c>
      <c r="B2277" t="str">
        <f t="shared" si="106"/>
        <v>0-</v>
      </c>
      <c r="H2277" t="str">
        <f>IFERROR(VLOOKUP(E2277,DC_Xref!A:B,2,FALSE),"")</f>
        <v/>
      </c>
      <c r="I2277">
        <f t="shared" si="107"/>
        <v>0</v>
      </c>
    </row>
    <row r="2278" spans="1:9" x14ac:dyDescent="0.3">
      <c r="A2278" t="str">
        <f t="shared" si="105"/>
        <v>-</v>
      </c>
      <c r="B2278" t="str">
        <f t="shared" si="106"/>
        <v>0-</v>
      </c>
      <c r="H2278" t="str">
        <f>IFERROR(VLOOKUP(E2278,DC_Xref!A:B,2,FALSE),"")</f>
        <v/>
      </c>
      <c r="I2278">
        <f t="shared" si="107"/>
        <v>0</v>
      </c>
    </row>
    <row r="2279" spans="1:9" x14ac:dyDescent="0.3">
      <c r="A2279" t="str">
        <f t="shared" si="105"/>
        <v>-</v>
      </c>
      <c r="B2279" t="str">
        <f t="shared" si="106"/>
        <v>0-</v>
      </c>
      <c r="H2279" t="str">
        <f>IFERROR(VLOOKUP(E2279,DC_Xref!A:B,2,FALSE),"")</f>
        <v/>
      </c>
      <c r="I2279">
        <f t="shared" si="107"/>
        <v>0</v>
      </c>
    </row>
    <row r="2280" spans="1:9" x14ac:dyDescent="0.3">
      <c r="A2280" t="str">
        <f t="shared" si="105"/>
        <v>-</v>
      </c>
      <c r="B2280" t="str">
        <f t="shared" si="106"/>
        <v>0-</v>
      </c>
      <c r="H2280" t="str">
        <f>IFERROR(VLOOKUP(E2280,DC_Xref!A:B,2,FALSE),"")</f>
        <v/>
      </c>
      <c r="I2280">
        <f t="shared" si="107"/>
        <v>0</v>
      </c>
    </row>
    <row r="2281" spans="1:9" x14ac:dyDescent="0.3">
      <c r="A2281" t="str">
        <f t="shared" si="105"/>
        <v>-</v>
      </c>
      <c r="B2281" t="str">
        <f t="shared" si="106"/>
        <v>0-</v>
      </c>
      <c r="H2281" t="str">
        <f>IFERROR(VLOOKUP(E2281,DC_Xref!A:B,2,FALSE),"")</f>
        <v/>
      </c>
      <c r="I2281">
        <f t="shared" si="107"/>
        <v>0</v>
      </c>
    </row>
    <row r="2282" spans="1:9" x14ac:dyDescent="0.3">
      <c r="A2282" t="str">
        <f t="shared" si="105"/>
        <v>-</v>
      </c>
      <c r="B2282" t="str">
        <f t="shared" si="106"/>
        <v>0-</v>
      </c>
      <c r="H2282" t="str">
        <f>IFERROR(VLOOKUP(E2282,DC_Xref!A:B,2,FALSE),"")</f>
        <v/>
      </c>
      <c r="I2282">
        <f t="shared" si="107"/>
        <v>0</v>
      </c>
    </row>
    <row r="2283" spans="1:9" x14ac:dyDescent="0.3">
      <c r="A2283" t="str">
        <f t="shared" si="105"/>
        <v>-</v>
      </c>
      <c r="B2283" t="str">
        <f t="shared" si="106"/>
        <v>0-</v>
      </c>
      <c r="H2283" t="str">
        <f>IFERROR(VLOOKUP(E2283,DC_Xref!A:B,2,FALSE),"")</f>
        <v/>
      </c>
      <c r="I2283">
        <f t="shared" si="107"/>
        <v>0</v>
      </c>
    </row>
    <row r="2284" spans="1:9" x14ac:dyDescent="0.3">
      <c r="A2284" t="str">
        <f t="shared" si="105"/>
        <v>-</v>
      </c>
      <c r="B2284" t="str">
        <f t="shared" si="106"/>
        <v>0-</v>
      </c>
      <c r="H2284" t="str">
        <f>IFERROR(VLOOKUP(E2284,DC_Xref!A:B,2,FALSE),"")</f>
        <v/>
      </c>
      <c r="I2284">
        <f t="shared" si="107"/>
        <v>0</v>
      </c>
    </row>
    <row r="2285" spans="1:9" x14ac:dyDescent="0.3">
      <c r="A2285" t="str">
        <f t="shared" si="105"/>
        <v>-</v>
      </c>
      <c r="B2285" t="str">
        <f t="shared" si="106"/>
        <v>0-</v>
      </c>
      <c r="H2285" t="str">
        <f>IFERROR(VLOOKUP(E2285,DC_Xref!A:B,2,FALSE),"")</f>
        <v/>
      </c>
      <c r="I2285">
        <f t="shared" si="107"/>
        <v>0</v>
      </c>
    </row>
    <row r="2286" spans="1:9" x14ac:dyDescent="0.3">
      <c r="A2286" t="str">
        <f t="shared" si="105"/>
        <v>-</v>
      </c>
      <c r="B2286" t="str">
        <f t="shared" si="106"/>
        <v>0-</v>
      </c>
      <c r="H2286" t="str">
        <f>IFERROR(VLOOKUP(E2286,DC_Xref!A:B,2,FALSE),"")</f>
        <v/>
      </c>
      <c r="I2286">
        <f t="shared" si="107"/>
        <v>0</v>
      </c>
    </row>
    <row r="2287" spans="1:9" x14ac:dyDescent="0.3">
      <c r="A2287" t="str">
        <f t="shared" si="105"/>
        <v>-</v>
      </c>
      <c r="B2287" t="str">
        <f t="shared" si="106"/>
        <v>0-</v>
      </c>
      <c r="H2287" t="str">
        <f>IFERROR(VLOOKUP(E2287,DC_Xref!A:B,2,FALSE),"")</f>
        <v/>
      </c>
      <c r="I2287">
        <f t="shared" si="107"/>
        <v>0</v>
      </c>
    </row>
    <row r="2288" spans="1:9" x14ac:dyDescent="0.3">
      <c r="A2288" t="str">
        <f t="shared" si="105"/>
        <v>-</v>
      </c>
      <c r="B2288" t="str">
        <f t="shared" si="106"/>
        <v>0-</v>
      </c>
      <c r="H2288" t="str">
        <f>IFERROR(VLOOKUP(E2288,DC_Xref!A:B,2,FALSE),"")</f>
        <v/>
      </c>
      <c r="I2288">
        <f t="shared" si="107"/>
        <v>0</v>
      </c>
    </row>
    <row r="2289" spans="1:9" x14ac:dyDescent="0.3">
      <c r="A2289" t="str">
        <f t="shared" si="105"/>
        <v>-</v>
      </c>
      <c r="B2289" t="str">
        <f t="shared" si="106"/>
        <v>0-</v>
      </c>
      <c r="H2289" t="str">
        <f>IFERROR(VLOOKUP(E2289,DC_Xref!A:B,2,FALSE),"")</f>
        <v/>
      </c>
      <c r="I2289">
        <f t="shared" si="107"/>
        <v>0</v>
      </c>
    </row>
    <row r="2290" spans="1:9" x14ac:dyDescent="0.3">
      <c r="A2290" t="str">
        <f t="shared" si="105"/>
        <v>-</v>
      </c>
      <c r="B2290" t="str">
        <f t="shared" si="106"/>
        <v>0-</v>
      </c>
      <c r="H2290" t="str">
        <f>IFERROR(VLOOKUP(E2290,DC_Xref!A:B,2,FALSE),"")</f>
        <v/>
      </c>
      <c r="I2290">
        <f t="shared" si="107"/>
        <v>0</v>
      </c>
    </row>
    <row r="2291" spans="1:9" x14ac:dyDescent="0.3">
      <c r="A2291" t="str">
        <f t="shared" si="105"/>
        <v>-</v>
      </c>
      <c r="B2291" t="str">
        <f t="shared" si="106"/>
        <v>0-</v>
      </c>
      <c r="H2291" t="str">
        <f>IFERROR(VLOOKUP(E2291,DC_Xref!A:B,2,FALSE),"")</f>
        <v/>
      </c>
      <c r="I2291">
        <f t="shared" si="107"/>
        <v>0</v>
      </c>
    </row>
    <row r="2292" spans="1:9" x14ac:dyDescent="0.3">
      <c r="A2292" t="str">
        <f t="shared" si="105"/>
        <v>-</v>
      </c>
      <c r="B2292" t="str">
        <f t="shared" si="106"/>
        <v>0-</v>
      </c>
      <c r="H2292" t="str">
        <f>IFERROR(VLOOKUP(E2292,DC_Xref!A:B,2,FALSE),"")</f>
        <v/>
      </c>
      <c r="I2292">
        <f t="shared" si="107"/>
        <v>0</v>
      </c>
    </row>
    <row r="2293" spans="1:9" x14ac:dyDescent="0.3">
      <c r="A2293" t="str">
        <f t="shared" si="105"/>
        <v>-</v>
      </c>
      <c r="B2293" t="str">
        <f t="shared" si="106"/>
        <v>0-</v>
      </c>
      <c r="H2293" t="str">
        <f>IFERROR(VLOOKUP(E2293,DC_Xref!A:B,2,FALSE),"")</f>
        <v/>
      </c>
      <c r="I2293">
        <f t="shared" si="107"/>
        <v>0</v>
      </c>
    </row>
    <row r="2294" spans="1:9" x14ac:dyDescent="0.3">
      <c r="A2294" t="str">
        <f t="shared" si="105"/>
        <v>-</v>
      </c>
      <c r="B2294" t="str">
        <f t="shared" si="106"/>
        <v>0-</v>
      </c>
      <c r="H2294" t="str">
        <f>IFERROR(VLOOKUP(E2294,DC_Xref!A:B,2,FALSE),"")</f>
        <v/>
      </c>
      <c r="I2294">
        <f t="shared" si="107"/>
        <v>0</v>
      </c>
    </row>
    <row r="2295" spans="1:9" x14ac:dyDescent="0.3">
      <c r="A2295" t="str">
        <f t="shared" si="105"/>
        <v>-</v>
      </c>
      <c r="B2295" t="str">
        <f t="shared" si="106"/>
        <v>0-</v>
      </c>
      <c r="H2295" t="str">
        <f>IFERROR(VLOOKUP(E2295,DC_Xref!A:B,2,FALSE),"")</f>
        <v/>
      </c>
      <c r="I2295">
        <f t="shared" si="107"/>
        <v>0</v>
      </c>
    </row>
    <row r="2296" spans="1:9" x14ac:dyDescent="0.3">
      <c r="A2296" t="str">
        <f t="shared" si="105"/>
        <v>-</v>
      </c>
      <c r="B2296" t="str">
        <f t="shared" si="106"/>
        <v>0-</v>
      </c>
      <c r="H2296" t="str">
        <f>IFERROR(VLOOKUP(E2296,DC_Xref!A:B,2,FALSE),"")</f>
        <v/>
      </c>
      <c r="I2296">
        <f t="shared" si="107"/>
        <v>0</v>
      </c>
    </row>
    <row r="2297" spans="1:9" x14ac:dyDescent="0.3">
      <c r="A2297" t="str">
        <f t="shared" si="105"/>
        <v>-</v>
      </c>
      <c r="B2297" t="str">
        <f t="shared" si="106"/>
        <v>0-</v>
      </c>
      <c r="H2297" t="str">
        <f>IFERROR(VLOOKUP(E2297,DC_Xref!A:B,2,FALSE),"")</f>
        <v/>
      </c>
      <c r="I2297">
        <f t="shared" si="107"/>
        <v>0</v>
      </c>
    </row>
    <row r="2298" spans="1:9" x14ac:dyDescent="0.3">
      <c r="A2298" t="str">
        <f t="shared" si="105"/>
        <v>-</v>
      </c>
      <c r="B2298" t="str">
        <f t="shared" si="106"/>
        <v>0-</v>
      </c>
      <c r="H2298" t="str">
        <f>IFERROR(VLOOKUP(E2298,DC_Xref!A:B,2,FALSE),"")</f>
        <v/>
      </c>
      <c r="I2298">
        <f t="shared" si="107"/>
        <v>0</v>
      </c>
    </row>
    <row r="2299" spans="1:9" x14ac:dyDescent="0.3">
      <c r="A2299" t="str">
        <f t="shared" si="105"/>
        <v>-</v>
      </c>
      <c r="B2299" t="str">
        <f t="shared" si="106"/>
        <v>0-</v>
      </c>
      <c r="H2299" t="str">
        <f>IFERROR(VLOOKUP(E2299,DC_Xref!A:B,2,FALSE),"")</f>
        <v/>
      </c>
      <c r="I2299">
        <f t="shared" si="107"/>
        <v>0</v>
      </c>
    </row>
    <row r="2300" spans="1:9" x14ac:dyDescent="0.3">
      <c r="A2300" t="str">
        <f t="shared" si="105"/>
        <v>-</v>
      </c>
      <c r="B2300" t="str">
        <f t="shared" si="106"/>
        <v>0-</v>
      </c>
      <c r="H2300" t="str">
        <f>IFERROR(VLOOKUP(E2300,DC_Xref!A:B,2,FALSE),"")</f>
        <v/>
      </c>
      <c r="I2300">
        <f t="shared" si="107"/>
        <v>0</v>
      </c>
    </row>
    <row r="2301" spans="1:9" x14ac:dyDescent="0.3">
      <c r="A2301" t="str">
        <f t="shared" si="105"/>
        <v>-</v>
      </c>
      <c r="B2301" t="str">
        <f t="shared" si="106"/>
        <v>0-</v>
      </c>
      <c r="H2301" t="str">
        <f>IFERROR(VLOOKUP(E2301,DC_Xref!A:B,2,FALSE),"")</f>
        <v/>
      </c>
      <c r="I2301">
        <f t="shared" si="107"/>
        <v>0</v>
      </c>
    </row>
    <row r="2302" spans="1:9" x14ac:dyDescent="0.3">
      <c r="A2302" t="str">
        <f t="shared" si="105"/>
        <v>-</v>
      </c>
      <c r="B2302" t="str">
        <f t="shared" si="106"/>
        <v>0-</v>
      </c>
      <c r="H2302" t="str">
        <f>IFERROR(VLOOKUP(E2302,DC_Xref!A:B,2,FALSE),"")</f>
        <v/>
      </c>
      <c r="I2302">
        <f t="shared" si="107"/>
        <v>0</v>
      </c>
    </row>
    <row r="2303" spans="1:9" x14ac:dyDescent="0.3">
      <c r="A2303" t="str">
        <f t="shared" si="105"/>
        <v>-</v>
      </c>
      <c r="B2303" t="str">
        <f t="shared" si="106"/>
        <v>0-</v>
      </c>
      <c r="H2303" t="str">
        <f>IFERROR(VLOOKUP(E2303,DC_Xref!A:B,2,FALSE),"")</f>
        <v/>
      </c>
      <c r="I2303">
        <f t="shared" si="107"/>
        <v>0</v>
      </c>
    </row>
    <row r="2304" spans="1:9" x14ac:dyDescent="0.3">
      <c r="A2304" t="str">
        <f t="shared" si="105"/>
        <v>-</v>
      </c>
      <c r="B2304" t="str">
        <f t="shared" si="106"/>
        <v>0-</v>
      </c>
      <c r="H2304" t="str">
        <f>IFERROR(VLOOKUP(E2304,DC_Xref!A:B,2,FALSE),"")</f>
        <v/>
      </c>
      <c r="I2304">
        <f t="shared" si="107"/>
        <v>0</v>
      </c>
    </row>
    <row r="2305" spans="1:9" x14ac:dyDescent="0.3">
      <c r="A2305" t="str">
        <f t="shared" si="105"/>
        <v>-</v>
      </c>
      <c r="B2305" t="str">
        <f t="shared" si="106"/>
        <v>0-</v>
      </c>
      <c r="H2305" t="str">
        <f>IFERROR(VLOOKUP(E2305,DC_Xref!A:B,2,FALSE),"")</f>
        <v/>
      </c>
      <c r="I2305">
        <f t="shared" si="107"/>
        <v>0</v>
      </c>
    </row>
    <row r="2306" spans="1:9" x14ac:dyDescent="0.3">
      <c r="A2306" t="str">
        <f t="shared" ref="A2306:A2369" si="108">C2306&amp;"-"&amp;F2306</f>
        <v>-</v>
      </c>
      <c r="B2306" t="str">
        <f t="shared" ref="B2306:B2369" si="109">I2306&amp;"-"&amp;H2306</f>
        <v>0-</v>
      </c>
      <c r="H2306" t="str">
        <f>IFERROR(VLOOKUP(E2306,DC_Xref!A:B,2,FALSE),"")</f>
        <v/>
      </c>
      <c r="I2306">
        <f t="shared" ref="I2306:I2369" si="110">C2306*100+D2306</f>
        <v>0</v>
      </c>
    </row>
    <row r="2307" spans="1:9" x14ac:dyDescent="0.3">
      <c r="A2307" t="str">
        <f t="shared" si="108"/>
        <v>-</v>
      </c>
      <c r="B2307" t="str">
        <f t="shared" si="109"/>
        <v>0-</v>
      </c>
      <c r="H2307" t="str">
        <f>IFERROR(VLOOKUP(E2307,DC_Xref!A:B,2,FALSE),"")</f>
        <v/>
      </c>
      <c r="I2307">
        <f t="shared" si="110"/>
        <v>0</v>
      </c>
    </row>
    <row r="2308" spans="1:9" x14ac:dyDescent="0.3">
      <c r="A2308" t="str">
        <f t="shared" si="108"/>
        <v>-</v>
      </c>
      <c r="B2308" t="str">
        <f t="shared" si="109"/>
        <v>0-</v>
      </c>
      <c r="H2308" t="str">
        <f>IFERROR(VLOOKUP(E2308,DC_Xref!A:B,2,FALSE),"")</f>
        <v/>
      </c>
      <c r="I2308">
        <f t="shared" si="110"/>
        <v>0</v>
      </c>
    </row>
    <row r="2309" spans="1:9" x14ac:dyDescent="0.3">
      <c r="A2309" t="str">
        <f t="shared" si="108"/>
        <v>-</v>
      </c>
      <c r="B2309" t="str">
        <f t="shared" si="109"/>
        <v>0-</v>
      </c>
      <c r="H2309" t="str">
        <f>IFERROR(VLOOKUP(E2309,DC_Xref!A:B,2,FALSE),"")</f>
        <v/>
      </c>
      <c r="I2309">
        <f t="shared" si="110"/>
        <v>0</v>
      </c>
    </row>
    <row r="2310" spans="1:9" x14ac:dyDescent="0.3">
      <c r="A2310" t="str">
        <f t="shared" si="108"/>
        <v>-</v>
      </c>
      <c r="B2310" t="str">
        <f t="shared" si="109"/>
        <v>0-</v>
      </c>
      <c r="H2310" t="str">
        <f>IFERROR(VLOOKUP(E2310,DC_Xref!A:B,2,FALSE),"")</f>
        <v/>
      </c>
      <c r="I2310">
        <f t="shared" si="110"/>
        <v>0</v>
      </c>
    </row>
    <row r="2311" spans="1:9" x14ac:dyDescent="0.3">
      <c r="A2311" t="str">
        <f t="shared" si="108"/>
        <v>-</v>
      </c>
      <c r="B2311" t="str">
        <f t="shared" si="109"/>
        <v>0-</v>
      </c>
      <c r="H2311" t="str">
        <f>IFERROR(VLOOKUP(E2311,DC_Xref!A:B,2,FALSE),"")</f>
        <v/>
      </c>
      <c r="I2311">
        <f t="shared" si="110"/>
        <v>0</v>
      </c>
    </row>
    <row r="2312" spans="1:9" x14ac:dyDescent="0.3">
      <c r="A2312" t="str">
        <f t="shared" si="108"/>
        <v>-</v>
      </c>
      <c r="B2312" t="str">
        <f t="shared" si="109"/>
        <v>0-</v>
      </c>
      <c r="H2312" t="str">
        <f>IFERROR(VLOOKUP(E2312,DC_Xref!A:B,2,FALSE),"")</f>
        <v/>
      </c>
      <c r="I2312">
        <f t="shared" si="110"/>
        <v>0</v>
      </c>
    </row>
    <row r="2313" spans="1:9" x14ac:dyDescent="0.3">
      <c r="A2313" t="str">
        <f t="shared" si="108"/>
        <v>-</v>
      </c>
      <c r="B2313" t="str">
        <f t="shared" si="109"/>
        <v>0-</v>
      </c>
      <c r="H2313" t="str">
        <f>IFERROR(VLOOKUP(E2313,DC_Xref!A:B,2,FALSE),"")</f>
        <v/>
      </c>
      <c r="I2313">
        <f t="shared" si="110"/>
        <v>0</v>
      </c>
    </row>
    <row r="2314" spans="1:9" x14ac:dyDescent="0.3">
      <c r="A2314" t="str">
        <f t="shared" si="108"/>
        <v>-</v>
      </c>
      <c r="B2314" t="str">
        <f t="shared" si="109"/>
        <v>0-</v>
      </c>
      <c r="H2314" t="str">
        <f>IFERROR(VLOOKUP(E2314,DC_Xref!A:B,2,FALSE),"")</f>
        <v/>
      </c>
      <c r="I2314">
        <f t="shared" si="110"/>
        <v>0</v>
      </c>
    </row>
    <row r="2315" spans="1:9" x14ac:dyDescent="0.3">
      <c r="A2315" t="str">
        <f t="shared" si="108"/>
        <v>-</v>
      </c>
      <c r="B2315" t="str">
        <f t="shared" si="109"/>
        <v>0-</v>
      </c>
      <c r="H2315" t="str">
        <f>IFERROR(VLOOKUP(E2315,DC_Xref!A:B,2,FALSE),"")</f>
        <v/>
      </c>
      <c r="I2315">
        <f t="shared" si="110"/>
        <v>0</v>
      </c>
    </row>
    <row r="2316" spans="1:9" x14ac:dyDescent="0.3">
      <c r="A2316" t="str">
        <f t="shared" si="108"/>
        <v>-</v>
      </c>
      <c r="B2316" t="str">
        <f t="shared" si="109"/>
        <v>0-</v>
      </c>
      <c r="H2316" t="str">
        <f>IFERROR(VLOOKUP(E2316,DC_Xref!A:B,2,FALSE),"")</f>
        <v/>
      </c>
      <c r="I2316">
        <f t="shared" si="110"/>
        <v>0</v>
      </c>
    </row>
    <row r="2317" spans="1:9" x14ac:dyDescent="0.3">
      <c r="A2317" t="str">
        <f t="shared" si="108"/>
        <v>-</v>
      </c>
      <c r="B2317" t="str">
        <f t="shared" si="109"/>
        <v>0-</v>
      </c>
      <c r="H2317" t="str">
        <f>IFERROR(VLOOKUP(E2317,DC_Xref!A:B,2,FALSE),"")</f>
        <v/>
      </c>
      <c r="I2317">
        <f t="shared" si="110"/>
        <v>0</v>
      </c>
    </row>
    <row r="2318" spans="1:9" x14ac:dyDescent="0.3">
      <c r="A2318" t="str">
        <f t="shared" si="108"/>
        <v>-</v>
      </c>
      <c r="B2318" t="str">
        <f t="shared" si="109"/>
        <v>0-</v>
      </c>
      <c r="H2318" t="str">
        <f>IFERROR(VLOOKUP(E2318,DC_Xref!A:B,2,FALSE),"")</f>
        <v/>
      </c>
      <c r="I2318">
        <f t="shared" si="110"/>
        <v>0</v>
      </c>
    </row>
    <row r="2319" spans="1:9" x14ac:dyDescent="0.3">
      <c r="A2319" t="str">
        <f t="shared" si="108"/>
        <v>-</v>
      </c>
      <c r="B2319" t="str">
        <f t="shared" si="109"/>
        <v>0-</v>
      </c>
      <c r="H2319" t="str">
        <f>IFERROR(VLOOKUP(E2319,DC_Xref!A:B,2,FALSE),"")</f>
        <v/>
      </c>
      <c r="I2319">
        <f t="shared" si="110"/>
        <v>0</v>
      </c>
    </row>
    <row r="2320" spans="1:9" x14ac:dyDescent="0.3">
      <c r="A2320" t="str">
        <f t="shared" si="108"/>
        <v>-</v>
      </c>
      <c r="B2320" t="str">
        <f t="shared" si="109"/>
        <v>0-</v>
      </c>
      <c r="H2320" t="str">
        <f>IFERROR(VLOOKUP(E2320,DC_Xref!A:B,2,FALSE),"")</f>
        <v/>
      </c>
      <c r="I2320">
        <f t="shared" si="110"/>
        <v>0</v>
      </c>
    </row>
    <row r="2321" spans="1:9" x14ac:dyDescent="0.3">
      <c r="A2321" t="str">
        <f t="shared" si="108"/>
        <v>-</v>
      </c>
      <c r="B2321" t="str">
        <f t="shared" si="109"/>
        <v>0-</v>
      </c>
      <c r="H2321" t="str">
        <f>IFERROR(VLOOKUP(E2321,DC_Xref!A:B,2,FALSE),"")</f>
        <v/>
      </c>
      <c r="I2321">
        <f t="shared" si="110"/>
        <v>0</v>
      </c>
    </row>
    <row r="2322" spans="1:9" x14ac:dyDescent="0.3">
      <c r="A2322" t="str">
        <f t="shared" si="108"/>
        <v>-</v>
      </c>
      <c r="B2322" t="str">
        <f t="shared" si="109"/>
        <v>0-</v>
      </c>
      <c r="H2322" t="str">
        <f>IFERROR(VLOOKUP(E2322,DC_Xref!A:B,2,FALSE),"")</f>
        <v/>
      </c>
      <c r="I2322">
        <f t="shared" si="110"/>
        <v>0</v>
      </c>
    </row>
    <row r="2323" spans="1:9" x14ac:dyDescent="0.3">
      <c r="A2323" t="str">
        <f t="shared" si="108"/>
        <v>-</v>
      </c>
      <c r="B2323" t="str">
        <f t="shared" si="109"/>
        <v>0-</v>
      </c>
      <c r="H2323" t="str">
        <f>IFERROR(VLOOKUP(E2323,DC_Xref!A:B,2,FALSE),"")</f>
        <v/>
      </c>
      <c r="I2323">
        <f t="shared" si="110"/>
        <v>0</v>
      </c>
    </row>
    <row r="2324" spans="1:9" x14ac:dyDescent="0.3">
      <c r="A2324" t="str">
        <f t="shared" si="108"/>
        <v>-</v>
      </c>
      <c r="B2324" t="str">
        <f t="shared" si="109"/>
        <v>0-</v>
      </c>
      <c r="H2324" t="str">
        <f>IFERROR(VLOOKUP(E2324,DC_Xref!A:B,2,FALSE),"")</f>
        <v/>
      </c>
      <c r="I2324">
        <f t="shared" si="110"/>
        <v>0</v>
      </c>
    </row>
    <row r="2325" spans="1:9" x14ac:dyDescent="0.3">
      <c r="A2325" t="str">
        <f t="shared" si="108"/>
        <v>-</v>
      </c>
      <c r="B2325" t="str">
        <f t="shared" si="109"/>
        <v>0-</v>
      </c>
      <c r="H2325" t="str">
        <f>IFERROR(VLOOKUP(E2325,DC_Xref!A:B,2,FALSE),"")</f>
        <v/>
      </c>
      <c r="I2325">
        <f t="shared" si="110"/>
        <v>0</v>
      </c>
    </row>
    <row r="2326" spans="1:9" x14ac:dyDescent="0.3">
      <c r="A2326" t="str">
        <f t="shared" si="108"/>
        <v>-</v>
      </c>
      <c r="B2326" t="str">
        <f t="shared" si="109"/>
        <v>0-</v>
      </c>
      <c r="H2326" t="str">
        <f>IFERROR(VLOOKUP(E2326,DC_Xref!A:B,2,FALSE),"")</f>
        <v/>
      </c>
      <c r="I2326">
        <f t="shared" si="110"/>
        <v>0</v>
      </c>
    </row>
    <row r="2327" spans="1:9" x14ac:dyDescent="0.3">
      <c r="A2327" t="str">
        <f t="shared" si="108"/>
        <v>-</v>
      </c>
      <c r="B2327" t="str">
        <f t="shared" si="109"/>
        <v>0-</v>
      </c>
      <c r="H2327" t="str">
        <f>IFERROR(VLOOKUP(E2327,DC_Xref!A:B,2,FALSE),"")</f>
        <v/>
      </c>
      <c r="I2327">
        <f t="shared" si="110"/>
        <v>0</v>
      </c>
    </row>
    <row r="2328" spans="1:9" x14ac:dyDescent="0.3">
      <c r="A2328" t="str">
        <f t="shared" si="108"/>
        <v>-</v>
      </c>
      <c r="B2328" t="str">
        <f t="shared" si="109"/>
        <v>0-</v>
      </c>
      <c r="H2328" t="str">
        <f>IFERROR(VLOOKUP(E2328,DC_Xref!A:B,2,FALSE),"")</f>
        <v/>
      </c>
      <c r="I2328">
        <f t="shared" si="110"/>
        <v>0</v>
      </c>
    </row>
    <row r="2329" spans="1:9" x14ac:dyDescent="0.3">
      <c r="A2329" t="str">
        <f t="shared" si="108"/>
        <v>-</v>
      </c>
      <c r="B2329" t="str">
        <f t="shared" si="109"/>
        <v>0-</v>
      </c>
      <c r="H2329" t="str">
        <f>IFERROR(VLOOKUP(E2329,DC_Xref!A:B,2,FALSE),"")</f>
        <v/>
      </c>
      <c r="I2329">
        <f t="shared" si="110"/>
        <v>0</v>
      </c>
    </row>
    <row r="2330" spans="1:9" x14ac:dyDescent="0.3">
      <c r="A2330" t="str">
        <f t="shared" si="108"/>
        <v>-</v>
      </c>
      <c r="B2330" t="str">
        <f t="shared" si="109"/>
        <v>0-</v>
      </c>
      <c r="H2330" t="str">
        <f>IFERROR(VLOOKUP(E2330,DC_Xref!A:B,2,FALSE),"")</f>
        <v/>
      </c>
      <c r="I2330">
        <f t="shared" si="110"/>
        <v>0</v>
      </c>
    </row>
    <row r="2331" spans="1:9" x14ac:dyDescent="0.3">
      <c r="A2331" t="str">
        <f t="shared" si="108"/>
        <v>-</v>
      </c>
      <c r="B2331" t="str">
        <f t="shared" si="109"/>
        <v>0-</v>
      </c>
      <c r="H2331" t="str">
        <f>IFERROR(VLOOKUP(E2331,DC_Xref!A:B,2,FALSE),"")</f>
        <v/>
      </c>
      <c r="I2331">
        <f t="shared" si="110"/>
        <v>0</v>
      </c>
    </row>
    <row r="2332" spans="1:9" x14ac:dyDescent="0.3">
      <c r="A2332" t="str">
        <f t="shared" si="108"/>
        <v>-</v>
      </c>
      <c r="B2332" t="str">
        <f t="shared" si="109"/>
        <v>0-</v>
      </c>
      <c r="H2332" t="str">
        <f>IFERROR(VLOOKUP(E2332,DC_Xref!A:B,2,FALSE),"")</f>
        <v/>
      </c>
      <c r="I2332">
        <f t="shared" si="110"/>
        <v>0</v>
      </c>
    </row>
    <row r="2333" spans="1:9" x14ac:dyDescent="0.3">
      <c r="A2333" t="str">
        <f t="shared" si="108"/>
        <v>-</v>
      </c>
      <c r="B2333" t="str">
        <f t="shared" si="109"/>
        <v>0-</v>
      </c>
      <c r="H2333" t="str">
        <f>IFERROR(VLOOKUP(E2333,DC_Xref!A:B,2,FALSE),"")</f>
        <v/>
      </c>
      <c r="I2333">
        <f t="shared" si="110"/>
        <v>0</v>
      </c>
    </row>
    <row r="2334" spans="1:9" x14ac:dyDescent="0.3">
      <c r="A2334" t="str">
        <f t="shared" si="108"/>
        <v>-</v>
      </c>
      <c r="B2334" t="str">
        <f t="shared" si="109"/>
        <v>0-</v>
      </c>
      <c r="H2334" t="str">
        <f>IFERROR(VLOOKUP(E2334,DC_Xref!A:B,2,FALSE),"")</f>
        <v/>
      </c>
      <c r="I2334">
        <f t="shared" si="110"/>
        <v>0</v>
      </c>
    </row>
    <row r="2335" spans="1:9" x14ac:dyDescent="0.3">
      <c r="A2335" t="str">
        <f t="shared" si="108"/>
        <v>-</v>
      </c>
      <c r="B2335" t="str">
        <f t="shared" si="109"/>
        <v>0-</v>
      </c>
      <c r="H2335" t="str">
        <f>IFERROR(VLOOKUP(E2335,DC_Xref!A:B,2,FALSE),"")</f>
        <v/>
      </c>
      <c r="I2335">
        <f t="shared" si="110"/>
        <v>0</v>
      </c>
    </row>
    <row r="2336" spans="1:9" x14ac:dyDescent="0.3">
      <c r="A2336" t="str">
        <f t="shared" si="108"/>
        <v>-</v>
      </c>
      <c r="B2336" t="str">
        <f t="shared" si="109"/>
        <v>0-</v>
      </c>
      <c r="H2336" t="str">
        <f>IFERROR(VLOOKUP(E2336,DC_Xref!A:B,2,FALSE),"")</f>
        <v/>
      </c>
      <c r="I2336">
        <f t="shared" si="110"/>
        <v>0</v>
      </c>
    </row>
    <row r="2337" spans="1:9" x14ac:dyDescent="0.3">
      <c r="A2337" t="str">
        <f t="shared" si="108"/>
        <v>-</v>
      </c>
      <c r="B2337" t="str">
        <f t="shared" si="109"/>
        <v>0-</v>
      </c>
      <c r="H2337" t="str">
        <f>IFERROR(VLOOKUP(E2337,DC_Xref!A:B,2,FALSE),"")</f>
        <v/>
      </c>
      <c r="I2337">
        <f t="shared" si="110"/>
        <v>0</v>
      </c>
    </row>
    <row r="2338" spans="1:9" x14ac:dyDescent="0.3">
      <c r="A2338" t="str">
        <f t="shared" si="108"/>
        <v>-</v>
      </c>
      <c r="B2338" t="str">
        <f t="shared" si="109"/>
        <v>0-</v>
      </c>
      <c r="H2338" t="str">
        <f>IFERROR(VLOOKUP(E2338,DC_Xref!A:B,2,FALSE),"")</f>
        <v/>
      </c>
      <c r="I2338">
        <f t="shared" si="110"/>
        <v>0</v>
      </c>
    </row>
    <row r="2339" spans="1:9" x14ac:dyDescent="0.3">
      <c r="A2339" t="str">
        <f t="shared" si="108"/>
        <v>-</v>
      </c>
      <c r="B2339" t="str">
        <f t="shared" si="109"/>
        <v>0-</v>
      </c>
      <c r="H2339" t="str">
        <f>IFERROR(VLOOKUP(E2339,DC_Xref!A:B,2,FALSE),"")</f>
        <v/>
      </c>
      <c r="I2339">
        <f t="shared" si="110"/>
        <v>0</v>
      </c>
    </row>
    <row r="2340" spans="1:9" x14ac:dyDescent="0.3">
      <c r="A2340" t="str">
        <f t="shared" si="108"/>
        <v>-</v>
      </c>
      <c r="B2340" t="str">
        <f t="shared" si="109"/>
        <v>0-</v>
      </c>
      <c r="H2340" t="str">
        <f>IFERROR(VLOOKUP(E2340,DC_Xref!A:B,2,FALSE),"")</f>
        <v/>
      </c>
      <c r="I2340">
        <f t="shared" si="110"/>
        <v>0</v>
      </c>
    </row>
    <row r="2341" spans="1:9" x14ac:dyDescent="0.3">
      <c r="A2341" t="str">
        <f t="shared" si="108"/>
        <v>-</v>
      </c>
      <c r="B2341" t="str">
        <f t="shared" si="109"/>
        <v>0-</v>
      </c>
      <c r="H2341" t="str">
        <f>IFERROR(VLOOKUP(E2341,DC_Xref!A:B,2,FALSE),"")</f>
        <v/>
      </c>
      <c r="I2341">
        <f t="shared" si="110"/>
        <v>0</v>
      </c>
    </row>
    <row r="2342" spans="1:9" x14ac:dyDescent="0.3">
      <c r="A2342" t="str">
        <f t="shared" si="108"/>
        <v>-</v>
      </c>
      <c r="B2342" t="str">
        <f t="shared" si="109"/>
        <v>0-</v>
      </c>
      <c r="H2342" t="str">
        <f>IFERROR(VLOOKUP(E2342,DC_Xref!A:B,2,FALSE),"")</f>
        <v/>
      </c>
      <c r="I2342">
        <f t="shared" si="110"/>
        <v>0</v>
      </c>
    </row>
    <row r="2343" spans="1:9" x14ac:dyDescent="0.3">
      <c r="A2343" t="str">
        <f t="shared" si="108"/>
        <v>-</v>
      </c>
      <c r="B2343" t="str">
        <f t="shared" si="109"/>
        <v>0-</v>
      </c>
      <c r="H2343" t="str">
        <f>IFERROR(VLOOKUP(E2343,DC_Xref!A:B,2,FALSE),"")</f>
        <v/>
      </c>
      <c r="I2343">
        <f t="shared" si="110"/>
        <v>0</v>
      </c>
    </row>
    <row r="2344" spans="1:9" x14ac:dyDescent="0.3">
      <c r="A2344" t="str">
        <f t="shared" si="108"/>
        <v>-</v>
      </c>
      <c r="B2344" t="str">
        <f t="shared" si="109"/>
        <v>0-</v>
      </c>
      <c r="H2344" t="str">
        <f>IFERROR(VLOOKUP(E2344,DC_Xref!A:B,2,FALSE),"")</f>
        <v/>
      </c>
      <c r="I2344">
        <f t="shared" si="110"/>
        <v>0</v>
      </c>
    </row>
    <row r="2345" spans="1:9" x14ac:dyDescent="0.3">
      <c r="A2345" t="str">
        <f t="shared" si="108"/>
        <v>-</v>
      </c>
      <c r="B2345" t="str">
        <f t="shared" si="109"/>
        <v>0-</v>
      </c>
      <c r="H2345" t="str">
        <f>IFERROR(VLOOKUP(E2345,DC_Xref!A:B,2,FALSE),"")</f>
        <v/>
      </c>
      <c r="I2345">
        <f t="shared" si="110"/>
        <v>0</v>
      </c>
    </row>
    <row r="2346" spans="1:9" x14ac:dyDescent="0.3">
      <c r="A2346" t="str">
        <f t="shared" si="108"/>
        <v>-</v>
      </c>
      <c r="B2346" t="str">
        <f t="shared" si="109"/>
        <v>0-</v>
      </c>
      <c r="H2346" t="str">
        <f>IFERROR(VLOOKUP(E2346,DC_Xref!A:B,2,FALSE),"")</f>
        <v/>
      </c>
      <c r="I2346">
        <f t="shared" si="110"/>
        <v>0</v>
      </c>
    </row>
    <row r="2347" spans="1:9" x14ac:dyDescent="0.3">
      <c r="A2347" t="str">
        <f t="shared" si="108"/>
        <v>-</v>
      </c>
      <c r="B2347" t="str">
        <f t="shared" si="109"/>
        <v>0-</v>
      </c>
      <c r="H2347" t="str">
        <f>IFERROR(VLOOKUP(E2347,DC_Xref!A:B,2,FALSE),"")</f>
        <v/>
      </c>
      <c r="I2347">
        <f t="shared" si="110"/>
        <v>0</v>
      </c>
    </row>
    <row r="2348" spans="1:9" x14ac:dyDescent="0.3">
      <c r="A2348" t="str">
        <f t="shared" si="108"/>
        <v>-</v>
      </c>
      <c r="B2348" t="str">
        <f t="shared" si="109"/>
        <v>0-</v>
      </c>
      <c r="H2348" t="str">
        <f>IFERROR(VLOOKUP(E2348,DC_Xref!A:B,2,FALSE),"")</f>
        <v/>
      </c>
      <c r="I2348">
        <f t="shared" si="110"/>
        <v>0</v>
      </c>
    </row>
    <row r="2349" spans="1:9" x14ac:dyDescent="0.3">
      <c r="A2349" t="str">
        <f t="shared" si="108"/>
        <v>-</v>
      </c>
      <c r="B2349" t="str">
        <f t="shared" si="109"/>
        <v>0-</v>
      </c>
      <c r="H2349" t="str">
        <f>IFERROR(VLOOKUP(E2349,DC_Xref!A:B,2,FALSE),"")</f>
        <v/>
      </c>
      <c r="I2349">
        <f t="shared" si="110"/>
        <v>0</v>
      </c>
    </row>
    <row r="2350" spans="1:9" x14ac:dyDescent="0.3">
      <c r="A2350" t="str">
        <f t="shared" si="108"/>
        <v>-</v>
      </c>
      <c r="B2350" t="str">
        <f t="shared" si="109"/>
        <v>0-</v>
      </c>
      <c r="H2350" t="str">
        <f>IFERROR(VLOOKUP(E2350,DC_Xref!A:B,2,FALSE),"")</f>
        <v/>
      </c>
      <c r="I2350">
        <f t="shared" si="110"/>
        <v>0</v>
      </c>
    </row>
    <row r="2351" spans="1:9" x14ac:dyDescent="0.3">
      <c r="A2351" t="str">
        <f t="shared" si="108"/>
        <v>-</v>
      </c>
      <c r="B2351" t="str">
        <f t="shared" si="109"/>
        <v>0-</v>
      </c>
      <c r="H2351" t="str">
        <f>IFERROR(VLOOKUP(E2351,DC_Xref!A:B,2,FALSE),"")</f>
        <v/>
      </c>
      <c r="I2351">
        <f t="shared" si="110"/>
        <v>0</v>
      </c>
    </row>
    <row r="2352" spans="1:9" x14ac:dyDescent="0.3">
      <c r="A2352" t="str">
        <f t="shared" si="108"/>
        <v>-</v>
      </c>
      <c r="B2352" t="str">
        <f t="shared" si="109"/>
        <v>0-</v>
      </c>
      <c r="H2352" t="str">
        <f>IFERROR(VLOOKUP(E2352,DC_Xref!A:B,2,FALSE),"")</f>
        <v/>
      </c>
      <c r="I2352">
        <f t="shared" si="110"/>
        <v>0</v>
      </c>
    </row>
    <row r="2353" spans="1:9" x14ac:dyDescent="0.3">
      <c r="A2353" t="str">
        <f t="shared" si="108"/>
        <v>-</v>
      </c>
      <c r="B2353" t="str">
        <f t="shared" si="109"/>
        <v>0-</v>
      </c>
      <c r="H2353" t="str">
        <f>IFERROR(VLOOKUP(E2353,DC_Xref!A:B,2,FALSE),"")</f>
        <v/>
      </c>
      <c r="I2353">
        <f t="shared" si="110"/>
        <v>0</v>
      </c>
    </row>
    <row r="2354" spans="1:9" x14ac:dyDescent="0.3">
      <c r="A2354" t="str">
        <f t="shared" si="108"/>
        <v>-</v>
      </c>
      <c r="B2354" t="str">
        <f t="shared" si="109"/>
        <v>0-</v>
      </c>
      <c r="H2354" t="str">
        <f>IFERROR(VLOOKUP(E2354,DC_Xref!A:B,2,FALSE),"")</f>
        <v/>
      </c>
      <c r="I2354">
        <f t="shared" si="110"/>
        <v>0</v>
      </c>
    </row>
    <row r="2355" spans="1:9" x14ac:dyDescent="0.3">
      <c r="A2355" t="str">
        <f t="shared" si="108"/>
        <v>-</v>
      </c>
      <c r="B2355" t="str">
        <f t="shared" si="109"/>
        <v>0-</v>
      </c>
      <c r="H2355" t="str">
        <f>IFERROR(VLOOKUP(E2355,DC_Xref!A:B,2,FALSE),"")</f>
        <v/>
      </c>
      <c r="I2355">
        <f t="shared" si="110"/>
        <v>0</v>
      </c>
    </row>
    <row r="2356" spans="1:9" x14ac:dyDescent="0.3">
      <c r="A2356" t="str">
        <f t="shared" si="108"/>
        <v>-</v>
      </c>
      <c r="B2356" t="str">
        <f t="shared" si="109"/>
        <v>0-</v>
      </c>
      <c r="H2356" t="str">
        <f>IFERROR(VLOOKUP(E2356,DC_Xref!A:B,2,FALSE),"")</f>
        <v/>
      </c>
      <c r="I2356">
        <f t="shared" si="110"/>
        <v>0</v>
      </c>
    </row>
    <row r="2357" spans="1:9" x14ac:dyDescent="0.3">
      <c r="A2357" t="str">
        <f t="shared" si="108"/>
        <v>-</v>
      </c>
      <c r="B2357" t="str">
        <f t="shared" si="109"/>
        <v>0-</v>
      </c>
      <c r="H2357" t="str">
        <f>IFERROR(VLOOKUP(E2357,DC_Xref!A:B,2,FALSE),"")</f>
        <v/>
      </c>
      <c r="I2357">
        <f t="shared" si="110"/>
        <v>0</v>
      </c>
    </row>
    <row r="2358" spans="1:9" x14ac:dyDescent="0.3">
      <c r="A2358" t="str">
        <f t="shared" si="108"/>
        <v>-</v>
      </c>
      <c r="B2358" t="str">
        <f t="shared" si="109"/>
        <v>0-</v>
      </c>
      <c r="H2358" t="str">
        <f>IFERROR(VLOOKUP(E2358,DC_Xref!A:B,2,FALSE),"")</f>
        <v/>
      </c>
      <c r="I2358">
        <f t="shared" si="110"/>
        <v>0</v>
      </c>
    </row>
    <row r="2359" spans="1:9" x14ac:dyDescent="0.3">
      <c r="A2359" t="str">
        <f t="shared" si="108"/>
        <v>-</v>
      </c>
      <c r="B2359" t="str">
        <f t="shared" si="109"/>
        <v>0-</v>
      </c>
      <c r="H2359" t="str">
        <f>IFERROR(VLOOKUP(E2359,DC_Xref!A:B,2,FALSE),"")</f>
        <v/>
      </c>
      <c r="I2359">
        <f t="shared" si="110"/>
        <v>0</v>
      </c>
    </row>
    <row r="2360" spans="1:9" x14ac:dyDescent="0.3">
      <c r="A2360" t="str">
        <f t="shared" si="108"/>
        <v>-</v>
      </c>
      <c r="B2360" t="str">
        <f t="shared" si="109"/>
        <v>0-</v>
      </c>
      <c r="H2360" t="str">
        <f>IFERROR(VLOOKUP(E2360,DC_Xref!A:B,2,FALSE),"")</f>
        <v/>
      </c>
      <c r="I2360">
        <f t="shared" si="110"/>
        <v>0</v>
      </c>
    </row>
    <row r="2361" spans="1:9" x14ac:dyDescent="0.3">
      <c r="A2361" t="str">
        <f t="shared" si="108"/>
        <v>-</v>
      </c>
      <c r="B2361" t="str">
        <f t="shared" si="109"/>
        <v>0-</v>
      </c>
      <c r="H2361" t="str">
        <f>IFERROR(VLOOKUP(E2361,DC_Xref!A:B,2,FALSE),"")</f>
        <v/>
      </c>
      <c r="I2361">
        <f t="shared" si="110"/>
        <v>0</v>
      </c>
    </row>
    <row r="2362" spans="1:9" x14ac:dyDescent="0.3">
      <c r="A2362" t="str">
        <f t="shared" si="108"/>
        <v>-</v>
      </c>
      <c r="B2362" t="str">
        <f t="shared" si="109"/>
        <v>0-</v>
      </c>
      <c r="H2362" t="str">
        <f>IFERROR(VLOOKUP(E2362,DC_Xref!A:B,2,FALSE),"")</f>
        <v/>
      </c>
      <c r="I2362">
        <f t="shared" si="110"/>
        <v>0</v>
      </c>
    </row>
    <row r="2363" spans="1:9" x14ac:dyDescent="0.3">
      <c r="A2363" t="str">
        <f t="shared" si="108"/>
        <v>-</v>
      </c>
      <c r="B2363" t="str">
        <f t="shared" si="109"/>
        <v>0-</v>
      </c>
      <c r="H2363" t="str">
        <f>IFERROR(VLOOKUP(E2363,DC_Xref!A:B,2,FALSE),"")</f>
        <v/>
      </c>
      <c r="I2363">
        <f t="shared" si="110"/>
        <v>0</v>
      </c>
    </row>
    <row r="2364" spans="1:9" x14ac:dyDescent="0.3">
      <c r="A2364" t="str">
        <f t="shared" si="108"/>
        <v>-</v>
      </c>
      <c r="B2364" t="str">
        <f t="shared" si="109"/>
        <v>0-</v>
      </c>
      <c r="H2364" t="str">
        <f>IFERROR(VLOOKUP(E2364,DC_Xref!A:B,2,FALSE),"")</f>
        <v/>
      </c>
      <c r="I2364">
        <f t="shared" si="110"/>
        <v>0</v>
      </c>
    </row>
    <row r="2365" spans="1:9" x14ac:dyDescent="0.3">
      <c r="A2365" t="str">
        <f t="shared" si="108"/>
        <v>-</v>
      </c>
      <c r="B2365" t="str">
        <f t="shared" si="109"/>
        <v>0-</v>
      </c>
      <c r="H2365" t="str">
        <f>IFERROR(VLOOKUP(E2365,DC_Xref!A:B,2,FALSE),"")</f>
        <v/>
      </c>
      <c r="I2365">
        <f t="shared" si="110"/>
        <v>0</v>
      </c>
    </row>
    <row r="2366" spans="1:9" x14ac:dyDescent="0.3">
      <c r="A2366" t="str">
        <f t="shared" si="108"/>
        <v>-</v>
      </c>
      <c r="B2366" t="str">
        <f t="shared" si="109"/>
        <v>0-</v>
      </c>
      <c r="H2366" t="str">
        <f>IFERROR(VLOOKUP(E2366,DC_Xref!A:B,2,FALSE),"")</f>
        <v/>
      </c>
      <c r="I2366">
        <f t="shared" si="110"/>
        <v>0</v>
      </c>
    </row>
    <row r="2367" spans="1:9" x14ac:dyDescent="0.3">
      <c r="A2367" t="str">
        <f t="shared" si="108"/>
        <v>-</v>
      </c>
      <c r="B2367" t="str">
        <f t="shared" si="109"/>
        <v>0-</v>
      </c>
      <c r="H2367" t="str">
        <f>IFERROR(VLOOKUP(E2367,DC_Xref!A:B,2,FALSE),"")</f>
        <v/>
      </c>
      <c r="I2367">
        <f t="shared" si="110"/>
        <v>0</v>
      </c>
    </row>
    <row r="2368" spans="1:9" x14ac:dyDescent="0.3">
      <c r="A2368" t="str">
        <f t="shared" si="108"/>
        <v>-</v>
      </c>
      <c r="B2368" t="str">
        <f t="shared" si="109"/>
        <v>0-</v>
      </c>
      <c r="H2368" t="str">
        <f>IFERROR(VLOOKUP(E2368,DC_Xref!A:B,2,FALSE),"")</f>
        <v/>
      </c>
      <c r="I2368">
        <f t="shared" si="110"/>
        <v>0</v>
      </c>
    </row>
    <row r="2369" spans="1:9" x14ac:dyDescent="0.3">
      <c r="A2369" t="str">
        <f t="shared" si="108"/>
        <v>-</v>
      </c>
      <c r="B2369" t="str">
        <f t="shared" si="109"/>
        <v>0-</v>
      </c>
      <c r="H2369" t="str">
        <f>IFERROR(VLOOKUP(E2369,DC_Xref!A:B,2,FALSE),"")</f>
        <v/>
      </c>
      <c r="I2369">
        <f t="shared" si="110"/>
        <v>0</v>
      </c>
    </row>
    <row r="2370" spans="1:9" x14ac:dyDescent="0.3">
      <c r="A2370" t="str">
        <f t="shared" ref="A2370:A2433" si="111">C2370&amp;"-"&amp;F2370</f>
        <v>-</v>
      </c>
      <c r="B2370" t="str">
        <f t="shared" ref="B2370:B2433" si="112">I2370&amp;"-"&amp;H2370</f>
        <v>0-</v>
      </c>
      <c r="H2370" t="str">
        <f>IFERROR(VLOOKUP(E2370,DC_Xref!A:B,2,FALSE),"")</f>
        <v/>
      </c>
      <c r="I2370">
        <f t="shared" ref="I2370:I2433" si="113">C2370*100+D2370</f>
        <v>0</v>
      </c>
    </row>
    <row r="2371" spans="1:9" x14ac:dyDescent="0.3">
      <c r="A2371" t="str">
        <f t="shared" si="111"/>
        <v>-</v>
      </c>
      <c r="B2371" t="str">
        <f t="shared" si="112"/>
        <v>0-</v>
      </c>
      <c r="H2371" t="str">
        <f>IFERROR(VLOOKUP(E2371,DC_Xref!A:B,2,FALSE),"")</f>
        <v/>
      </c>
      <c r="I2371">
        <f t="shared" si="113"/>
        <v>0</v>
      </c>
    </row>
    <row r="2372" spans="1:9" x14ac:dyDescent="0.3">
      <c r="A2372" t="str">
        <f t="shared" si="111"/>
        <v>-</v>
      </c>
      <c r="B2372" t="str">
        <f t="shared" si="112"/>
        <v>0-</v>
      </c>
      <c r="H2372" t="str">
        <f>IFERROR(VLOOKUP(E2372,DC_Xref!A:B,2,FALSE),"")</f>
        <v/>
      </c>
      <c r="I2372">
        <f t="shared" si="113"/>
        <v>0</v>
      </c>
    </row>
    <row r="2373" spans="1:9" x14ac:dyDescent="0.3">
      <c r="A2373" t="str">
        <f t="shared" si="111"/>
        <v>-</v>
      </c>
      <c r="B2373" t="str">
        <f t="shared" si="112"/>
        <v>0-</v>
      </c>
      <c r="H2373" t="str">
        <f>IFERROR(VLOOKUP(E2373,DC_Xref!A:B,2,FALSE),"")</f>
        <v/>
      </c>
      <c r="I2373">
        <f t="shared" si="113"/>
        <v>0</v>
      </c>
    </row>
    <row r="2374" spans="1:9" x14ac:dyDescent="0.3">
      <c r="A2374" t="str">
        <f t="shared" si="111"/>
        <v>-</v>
      </c>
      <c r="B2374" t="str">
        <f t="shared" si="112"/>
        <v>0-</v>
      </c>
      <c r="H2374" t="str">
        <f>IFERROR(VLOOKUP(E2374,DC_Xref!A:B,2,FALSE),"")</f>
        <v/>
      </c>
      <c r="I2374">
        <f t="shared" si="113"/>
        <v>0</v>
      </c>
    </row>
    <row r="2375" spans="1:9" x14ac:dyDescent="0.3">
      <c r="A2375" t="str">
        <f t="shared" si="111"/>
        <v>-</v>
      </c>
      <c r="B2375" t="str">
        <f t="shared" si="112"/>
        <v>0-</v>
      </c>
      <c r="H2375" t="str">
        <f>IFERROR(VLOOKUP(E2375,DC_Xref!A:B,2,FALSE),"")</f>
        <v/>
      </c>
      <c r="I2375">
        <f t="shared" si="113"/>
        <v>0</v>
      </c>
    </row>
    <row r="2376" spans="1:9" x14ac:dyDescent="0.3">
      <c r="A2376" t="str">
        <f t="shared" si="111"/>
        <v>-</v>
      </c>
      <c r="B2376" t="str">
        <f t="shared" si="112"/>
        <v>0-</v>
      </c>
      <c r="H2376" t="str">
        <f>IFERROR(VLOOKUP(E2376,DC_Xref!A:B,2,FALSE),"")</f>
        <v/>
      </c>
      <c r="I2376">
        <f t="shared" si="113"/>
        <v>0</v>
      </c>
    </row>
    <row r="2377" spans="1:9" x14ac:dyDescent="0.3">
      <c r="A2377" t="str">
        <f t="shared" si="111"/>
        <v>-</v>
      </c>
      <c r="B2377" t="str">
        <f t="shared" si="112"/>
        <v>0-</v>
      </c>
      <c r="H2377" t="str">
        <f>IFERROR(VLOOKUP(E2377,DC_Xref!A:B,2,FALSE),"")</f>
        <v/>
      </c>
      <c r="I2377">
        <f t="shared" si="113"/>
        <v>0</v>
      </c>
    </row>
    <row r="2378" spans="1:9" x14ac:dyDescent="0.3">
      <c r="A2378" t="str">
        <f t="shared" si="111"/>
        <v>-</v>
      </c>
      <c r="B2378" t="str">
        <f t="shared" si="112"/>
        <v>0-</v>
      </c>
      <c r="H2378" t="str">
        <f>IFERROR(VLOOKUP(E2378,DC_Xref!A:B,2,FALSE),"")</f>
        <v/>
      </c>
      <c r="I2378">
        <f t="shared" si="113"/>
        <v>0</v>
      </c>
    </row>
    <row r="2379" spans="1:9" x14ac:dyDescent="0.3">
      <c r="A2379" t="str">
        <f t="shared" si="111"/>
        <v>-</v>
      </c>
      <c r="B2379" t="str">
        <f t="shared" si="112"/>
        <v>0-</v>
      </c>
      <c r="H2379" t="str">
        <f>IFERROR(VLOOKUP(E2379,DC_Xref!A:B,2,FALSE),"")</f>
        <v/>
      </c>
      <c r="I2379">
        <f t="shared" si="113"/>
        <v>0</v>
      </c>
    </row>
    <row r="2380" spans="1:9" x14ac:dyDescent="0.3">
      <c r="A2380" t="str">
        <f t="shared" si="111"/>
        <v>-</v>
      </c>
      <c r="B2380" t="str">
        <f t="shared" si="112"/>
        <v>0-</v>
      </c>
      <c r="H2380" t="str">
        <f>IFERROR(VLOOKUP(E2380,DC_Xref!A:B,2,FALSE),"")</f>
        <v/>
      </c>
      <c r="I2380">
        <f t="shared" si="113"/>
        <v>0</v>
      </c>
    </row>
    <row r="2381" spans="1:9" x14ac:dyDescent="0.3">
      <c r="A2381" t="str">
        <f t="shared" si="111"/>
        <v>-</v>
      </c>
      <c r="B2381" t="str">
        <f t="shared" si="112"/>
        <v>0-</v>
      </c>
      <c r="H2381" t="str">
        <f>IFERROR(VLOOKUP(E2381,DC_Xref!A:B,2,FALSE),"")</f>
        <v/>
      </c>
      <c r="I2381">
        <f t="shared" si="113"/>
        <v>0</v>
      </c>
    </row>
    <row r="2382" spans="1:9" x14ac:dyDescent="0.3">
      <c r="A2382" t="str">
        <f t="shared" si="111"/>
        <v>-</v>
      </c>
      <c r="B2382" t="str">
        <f t="shared" si="112"/>
        <v>0-</v>
      </c>
      <c r="H2382" t="str">
        <f>IFERROR(VLOOKUP(E2382,DC_Xref!A:B,2,FALSE),"")</f>
        <v/>
      </c>
      <c r="I2382">
        <f t="shared" si="113"/>
        <v>0</v>
      </c>
    </row>
    <row r="2383" spans="1:9" x14ac:dyDescent="0.3">
      <c r="A2383" t="str">
        <f t="shared" si="111"/>
        <v>-</v>
      </c>
      <c r="B2383" t="str">
        <f t="shared" si="112"/>
        <v>0-</v>
      </c>
      <c r="H2383" t="str">
        <f>IFERROR(VLOOKUP(E2383,DC_Xref!A:B,2,FALSE),"")</f>
        <v/>
      </c>
      <c r="I2383">
        <f t="shared" si="113"/>
        <v>0</v>
      </c>
    </row>
    <row r="2384" spans="1:9" x14ac:dyDescent="0.3">
      <c r="A2384" t="str">
        <f t="shared" si="111"/>
        <v>-</v>
      </c>
      <c r="B2384" t="str">
        <f t="shared" si="112"/>
        <v>0-</v>
      </c>
      <c r="H2384" t="str">
        <f>IFERROR(VLOOKUP(E2384,DC_Xref!A:B,2,FALSE),"")</f>
        <v/>
      </c>
      <c r="I2384">
        <f t="shared" si="113"/>
        <v>0</v>
      </c>
    </row>
    <row r="2385" spans="1:9" x14ac:dyDescent="0.3">
      <c r="A2385" t="str">
        <f t="shared" si="111"/>
        <v>-</v>
      </c>
      <c r="B2385" t="str">
        <f t="shared" si="112"/>
        <v>0-</v>
      </c>
      <c r="H2385" t="str">
        <f>IFERROR(VLOOKUP(E2385,DC_Xref!A:B,2,FALSE),"")</f>
        <v/>
      </c>
      <c r="I2385">
        <f t="shared" si="113"/>
        <v>0</v>
      </c>
    </row>
    <row r="2386" spans="1:9" x14ac:dyDescent="0.3">
      <c r="A2386" t="str">
        <f t="shared" si="111"/>
        <v>-</v>
      </c>
      <c r="B2386" t="str">
        <f t="shared" si="112"/>
        <v>0-</v>
      </c>
      <c r="H2386" t="str">
        <f>IFERROR(VLOOKUP(E2386,DC_Xref!A:B,2,FALSE),"")</f>
        <v/>
      </c>
      <c r="I2386">
        <f t="shared" si="113"/>
        <v>0</v>
      </c>
    </row>
    <row r="2387" spans="1:9" x14ac:dyDescent="0.3">
      <c r="A2387" t="str">
        <f t="shared" si="111"/>
        <v>-</v>
      </c>
      <c r="B2387" t="str">
        <f t="shared" si="112"/>
        <v>0-</v>
      </c>
      <c r="H2387" t="str">
        <f>IFERROR(VLOOKUP(E2387,DC_Xref!A:B,2,FALSE),"")</f>
        <v/>
      </c>
      <c r="I2387">
        <f t="shared" si="113"/>
        <v>0</v>
      </c>
    </row>
    <row r="2388" spans="1:9" x14ac:dyDescent="0.3">
      <c r="A2388" t="str">
        <f t="shared" si="111"/>
        <v>-</v>
      </c>
      <c r="B2388" t="str">
        <f t="shared" si="112"/>
        <v>0-</v>
      </c>
      <c r="H2388" t="str">
        <f>IFERROR(VLOOKUP(E2388,DC_Xref!A:B,2,FALSE),"")</f>
        <v/>
      </c>
      <c r="I2388">
        <f t="shared" si="113"/>
        <v>0</v>
      </c>
    </row>
    <row r="2389" spans="1:9" x14ac:dyDescent="0.3">
      <c r="A2389" t="str">
        <f t="shared" si="111"/>
        <v>-</v>
      </c>
      <c r="B2389" t="str">
        <f t="shared" si="112"/>
        <v>0-</v>
      </c>
      <c r="H2389" t="str">
        <f>IFERROR(VLOOKUP(E2389,DC_Xref!A:B,2,FALSE),"")</f>
        <v/>
      </c>
      <c r="I2389">
        <f t="shared" si="113"/>
        <v>0</v>
      </c>
    </row>
    <row r="2390" spans="1:9" x14ac:dyDescent="0.3">
      <c r="A2390" t="str">
        <f t="shared" si="111"/>
        <v>-</v>
      </c>
      <c r="B2390" t="str">
        <f t="shared" si="112"/>
        <v>0-</v>
      </c>
      <c r="H2390" t="str">
        <f>IFERROR(VLOOKUP(E2390,DC_Xref!A:B,2,FALSE),"")</f>
        <v/>
      </c>
      <c r="I2390">
        <f t="shared" si="113"/>
        <v>0</v>
      </c>
    </row>
    <row r="2391" spans="1:9" x14ac:dyDescent="0.3">
      <c r="A2391" t="str">
        <f t="shared" si="111"/>
        <v>-</v>
      </c>
      <c r="B2391" t="str">
        <f t="shared" si="112"/>
        <v>0-</v>
      </c>
      <c r="H2391" t="str">
        <f>IFERROR(VLOOKUP(E2391,DC_Xref!A:B,2,FALSE),"")</f>
        <v/>
      </c>
      <c r="I2391">
        <f t="shared" si="113"/>
        <v>0</v>
      </c>
    </row>
    <row r="2392" spans="1:9" x14ac:dyDescent="0.3">
      <c r="A2392" t="str">
        <f t="shared" si="111"/>
        <v>-</v>
      </c>
      <c r="B2392" t="str">
        <f t="shared" si="112"/>
        <v>0-</v>
      </c>
      <c r="H2392" t="str">
        <f>IFERROR(VLOOKUP(E2392,DC_Xref!A:B,2,FALSE),"")</f>
        <v/>
      </c>
      <c r="I2392">
        <f t="shared" si="113"/>
        <v>0</v>
      </c>
    </row>
    <row r="2393" spans="1:9" x14ac:dyDescent="0.3">
      <c r="A2393" t="str">
        <f t="shared" si="111"/>
        <v>-</v>
      </c>
      <c r="B2393" t="str">
        <f t="shared" si="112"/>
        <v>0-</v>
      </c>
      <c r="H2393" t="str">
        <f>IFERROR(VLOOKUP(E2393,DC_Xref!A:B,2,FALSE),"")</f>
        <v/>
      </c>
      <c r="I2393">
        <f t="shared" si="113"/>
        <v>0</v>
      </c>
    </row>
    <row r="2394" spans="1:9" x14ac:dyDescent="0.3">
      <c r="A2394" t="str">
        <f t="shared" si="111"/>
        <v>-</v>
      </c>
      <c r="B2394" t="str">
        <f t="shared" si="112"/>
        <v>0-</v>
      </c>
      <c r="H2394" t="str">
        <f>IFERROR(VLOOKUP(E2394,DC_Xref!A:B,2,FALSE),"")</f>
        <v/>
      </c>
      <c r="I2394">
        <f t="shared" si="113"/>
        <v>0</v>
      </c>
    </row>
    <row r="2395" spans="1:9" x14ac:dyDescent="0.3">
      <c r="A2395" t="str">
        <f t="shared" si="111"/>
        <v>-</v>
      </c>
      <c r="B2395" t="str">
        <f t="shared" si="112"/>
        <v>0-</v>
      </c>
      <c r="H2395" t="str">
        <f>IFERROR(VLOOKUP(E2395,DC_Xref!A:B,2,FALSE),"")</f>
        <v/>
      </c>
      <c r="I2395">
        <f t="shared" si="113"/>
        <v>0</v>
      </c>
    </row>
    <row r="2396" spans="1:9" x14ac:dyDescent="0.3">
      <c r="A2396" t="str">
        <f t="shared" si="111"/>
        <v>-</v>
      </c>
      <c r="B2396" t="str">
        <f t="shared" si="112"/>
        <v>0-</v>
      </c>
      <c r="H2396" t="str">
        <f>IFERROR(VLOOKUP(E2396,DC_Xref!A:B,2,FALSE),"")</f>
        <v/>
      </c>
      <c r="I2396">
        <f t="shared" si="113"/>
        <v>0</v>
      </c>
    </row>
    <row r="2397" spans="1:9" x14ac:dyDescent="0.3">
      <c r="A2397" t="str">
        <f t="shared" si="111"/>
        <v>-</v>
      </c>
      <c r="B2397" t="str">
        <f t="shared" si="112"/>
        <v>0-</v>
      </c>
      <c r="H2397" t="str">
        <f>IFERROR(VLOOKUP(E2397,DC_Xref!A:B,2,FALSE),"")</f>
        <v/>
      </c>
      <c r="I2397">
        <f t="shared" si="113"/>
        <v>0</v>
      </c>
    </row>
    <row r="2398" spans="1:9" x14ac:dyDescent="0.3">
      <c r="A2398" t="str">
        <f t="shared" si="111"/>
        <v>-</v>
      </c>
      <c r="B2398" t="str">
        <f t="shared" si="112"/>
        <v>0-</v>
      </c>
      <c r="H2398" t="str">
        <f>IFERROR(VLOOKUP(E2398,DC_Xref!A:B,2,FALSE),"")</f>
        <v/>
      </c>
      <c r="I2398">
        <f t="shared" si="113"/>
        <v>0</v>
      </c>
    </row>
    <row r="2399" spans="1:9" x14ac:dyDescent="0.3">
      <c r="A2399" t="str">
        <f t="shared" si="111"/>
        <v>-</v>
      </c>
      <c r="B2399" t="str">
        <f t="shared" si="112"/>
        <v>0-</v>
      </c>
      <c r="H2399" t="str">
        <f>IFERROR(VLOOKUP(E2399,DC_Xref!A:B,2,FALSE),"")</f>
        <v/>
      </c>
      <c r="I2399">
        <f t="shared" si="113"/>
        <v>0</v>
      </c>
    </row>
    <row r="2400" spans="1:9" x14ac:dyDescent="0.3">
      <c r="A2400" t="str">
        <f t="shared" si="111"/>
        <v>-</v>
      </c>
      <c r="B2400" t="str">
        <f t="shared" si="112"/>
        <v>0-</v>
      </c>
      <c r="H2400" t="str">
        <f>IFERROR(VLOOKUP(E2400,DC_Xref!A:B,2,FALSE),"")</f>
        <v/>
      </c>
      <c r="I2400">
        <f t="shared" si="113"/>
        <v>0</v>
      </c>
    </row>
    <row r="2401" spans="1:9" x14ac:dyDescent="0.3">
      <c r="A2401" t="str">
        <f t="shared" si="111"/>
        <v>-</v>
      </c>
      <c r="B2401" t="str">
        <f t="shared" si="112"/>
        <v>0-</v>
      </c>
      <c r="H2401" t="str">
        <f>IFERROR(VLOOKUP(E2401,DC_Xref!A:B,2,FALSE),"")</f>
        <v/>
      </c>
      <c r="I2401">
        <f t="shared" si="113"/>
        <v>0</v>
      </c>
    </row>
    <row r="2402" spans="1:9" x14ac:dyDescent="0.3">
      <c r="A2402" t="str">
        <f t="shared" si="111"/>
        <v>-</v>
      </c>
      <c r="B2402" t="str">
        <f t="shared" si="112"/>
        <v>0-</v>
      </c>
      <c r="H2402" t="str">
        <f>IFERROR(VLOOKUP(E2402,DC_Xref!A:B,2,FALSE),"")</f>
        <v/>
      </c>
      <c r="I2402">
        <f t="shared" si="113"/>
        <v>0</v>
      </c>
    </row>
    <row r="2403" spans="1:9" x14ac:dyDescent="0.3">
      <c r="A2403" t="str">
        <f t="shared" si="111"/>
        <v>-</v>
      </c>
      <c r="B2403" t="str">
        <f t="shared" si="112"/>
        <v>0-</v>
      </c>
      <c r="H2403" t="str">
        <f>IFERROR(VLOOKUP(E2403,DC_Xref!A:B,2,FALSE),"")</f>
        <v/>
      </c>
      <c r="I2403">
        <f t="shared" si="113"/>
        <v>0</v>
      </c>
    </row>
    <row r="2404" spans="1:9" x14ac:dyDescent="0.3">
      <c r="A2404" t="str">
        <f t="shared" si="111"/>
        <v>-</v>
      </c>
      <c r="B2404" t="str">
        <f t="shared" si="112"/>
        <v>0-</v>
      </c>
      <c r="H2404" t="str">
        <f>IFERROR(VLOOKUP(E2404,DC_Xref!A:B,2,FALSE),"")</f>
        <v/>
      </c>
      <c r="I2404">
        <f t="shared" si="113"/>
        <v>0</v>
      </c>
    </row>
    <row r="2405" spans="1:9" x14ac:dyDescent="0.3">
      <c r="A2405" t="str">
        <f t="shared" si="111"/>
        <v>-</v>
      </c>
      <c r="B2405" t="str">
        <f t="shared" si="112"/>
        <v>0-</v>
      </c>
      <c r="H2405" t="str">
        <f>IFERROR(VLOOKUP(E2405,DC_Xref!A:B,2,FALSE),"")</f>
        <v/>
      </c>
      <c r="I2405">
        <f t="shared" si="113"/>
        <v>0</v>
      </c>
    </row>
    <row r="2406" spans="1:9" x14ac:dyDescent="0.3">
      <c r="A2406" t="str">
        <f t="shared" si="111"/>
        <v>-</v>
      </c>
      <c r="B2406" t="str">
        <f t="shared" si="112"/>
        <v>0-</v>
      </c>
      <c r="H2406" t="str">
        <f>IFERROR(VLOOKUP(E2406,DC_Xref!A:B,2,FALSE),"")</f>
        <v/>
      </c>
      <c r="I2406">
        <f t="shared" si="113"/>
        <v>0</v>
      </c>
    </row>
    <row r="2407" spans="1:9" x14ac:dyDescent="0.3">
      <c r="A2407" t="str">
        <f t="shared" si="111"/>
        <v>-</v>
      </c>
      <c r="B2407" t="str">
        <f t="shared" si="112"/>
        <v>0-</v>
      </c>
      <c r="H2407" t="str">
        <f>IFERROR(VLOOKUP(E2407,DC_Xref!A:B,2,FALSE),"")</f>
        <v/>
      </c>
      <c r="I2407">
        <f t="shared" si="113"/>
        <v>0</v>
      </c>
    </row>
    <row r="2408" spans="1:9" x14ac:dyDescent="0.3">
      <c r="A2408" t="str">
        <f t="shared" si="111"/>
        <v>-</v>
      </c>
      <c r="B2408" t="str">
        <f t="shared" si="112"/>
        <v>0-</v>
      </c>
      <c r="H2408" t="str">
        <f>IFERROR(VLOOKUP(E2408,DC_Xref!A:B,2,FALSE),"")</f>
        <v/>
      </c>
      <c r="I2408">
        <f t="shared" si="113"/>
        <v>0</v>
      </c>
    </row>
    <row r="2409" spans="1:9" x14ac:dyDescent="0.3">
      <c r="A2409" t="str">
        <f t="shared" si="111"/>
        <v>-</v>
      </c>
      <c r="B2409" t="str">
        <f t="shared" si="112"/>
        <v>0-</v>
      </c>
      <c r="H2409" t="str">
        <f>IFERROR(VLOOKUP(E2409,DC_Xref!A:B,2,FALSE),"")</f>
        <v/>
      </c>
      <c r="I2409">
        <f t="shared" si="113"/>
        <v>0</v>
      </c>
    </row>
    <row r="2410" spans="1:9" x14ac:dyDescent="0.3">
      <c r="A2410" t="str">
        <f t="shared" si="111"/>
        <v>-</v>
      </c>
      <c r="B2410" t="str">
        <f t="shared" si="112"/>
        <v>0-</v>
      </c>
      <c r="H2410" t="str">
        <f>IFERROR(VLOOKUP(E2410,DC_Xref!A:B,2,FALSE),"")</f>
        <v/>
      </c>
      <c r="I2410">
        <f t="shared" si="113"/>
        <v>0</v>
      </c>
    </row>
    <row r="2411" spans="1:9" x14ac:dyDescent="0.3">
      <c r="A2411" t="str">
        <f t="shared" si="111"/>
        <v>-</v>
      </c>
      <c r="B2411" t="str">
        <f t="shared" si="112"/>
        <v>0-</v>
      </c>
      <c r="H2411" t="str">
        <f>IFERROR(VLOOKUP(E2411,DC_Xref!A:B,2,FALSE),"")</f>
        <v/>
      </c>
      <c r="I2411">
        <f t="shared" si="113"/>
        <v>0</v>
      </c>
    </row>
    <row r="2412" spans="1:9" x14ac:dyDescent="0.3">
      <c r="A2412" t="str">
        <f t="shared" si="111"/>
        <v>-</v>
      </c>
      <c r="B2412" t="str">
        <f t="shared" si="112"/>
        <v>0-</v>
      </c>
      <c r="H2412" t="str">
        <f>IFERROR(VLOOKUP(E2412,DC_Xref!A:B,2,FALSE),"")</f>
        <v/>
      </c>
      <c r="I2412">
        <f t="shared" si="113"/>
        <v>0</v>
      </c>
    </row>
    <row r="2413" spans="1:9" x14ac:dyDescent="0.3">
      <c r="A2413" t="str">
        <f t="shared" si="111"/>
        <v>-</v>
      </c>
      <c r="B2413" t="str">
        <f t="shared" si="112"/>
        <v>0-</v>
      </c>
      <c r="H2413" t="str">
        <f>IFERROR(VLOOKUP(E2413,DC_Xref!A:B,2,FALSE),"")</f>
        <v/>
      </c>
      <c r="I2413">
        <f t="shared" si="113"/>
        <v>0</v>
      </c>
    </row>
    <row r="2414" spans="1:9" x14ac:dyDescent="0.3">
      <c r="A2414" t="str">
        <f t="shared" si="111"/>
        <v>-</v>
      </c>
      <c r="B2414" t="str">
        <f t="shared" si="112"/>
        <v>0-</v>
      </c>
      <c r="H2414" t="str">
        <f>IFERROR(VLOOKUP(E2414,DC_Xref!A:B,2,FALSE),"")</f>
        <v/>
      </c>
      <c r="I2414">
        <f t="shared" si="113"/>
        <v>0</v>
      </c>
    </row>
    <row r="2415" spans="1:9" x14ac:dyDescent="0.3">
      <c r="A2415" t="str">
        <f t="shared" si="111"/>
        <v>-</v>
      </c>
      <c r="B2415" t="str">
        <f t="shared" si="112"/>
        <v>0-</v>
      </c>
      <c r="H2415" t="str">
        <f>IFERROR(VLOOKUP(E2415,DC_Xref!A:B,2,FALSE),"")</f>
        <v/>
      </c>
      <c r="I2415">
        <f t="shared" si="113"/>
        <v>0</v>
      </c>
    </row>
    <row r="2416" spans="1:9" x14ac:dyDescent="0.3">
      <c r="A2416" t="str">
        <f t="shared" si="111"/>
        <v>-</v>
      </c>
      <c r="B2416" t="str">
        <f t="shared" si="112"/>
        <v>0-</v>
      </c>
      <c r="H2416" t="str">
        <f>IFERROR(VLOOKUP(E2416,DC_Xref!A:B,2,FALSE),"")</f>
        <v/>
      </c>
      <c r="I2416">
        <f t="shared" si="113"/>
        <v>0</v>
      </c>
    </row>
    <row r="2417" spans="1:9" x14ac:dyDescent="0.3">
      <c r="A2417" t="str">
        <f t="shared" si="111"/>
        <v>-</v>
      </c>
      <c r="B2417" t="str">
        <f t="shared" si="112"/>
        <v>0-</v>
      </c>
      <c r="H2417" t="str">
        <f>IFERROR(VLOOKUP(E2417,DC_Xref!A:B,2,FALSE),"")</f>
        <v/>
      </c>
      <c r="I2417">
        <f t="shared" si="113"/>
        <v>0</v>
      </c>
    </row>
    <row r="2418" spans="1:9" x14ac:dyDescent="0.3">
      <c r="A2418" t="str">
        <f t="shared" si="111"/>
        <v>-</v>
      </c>
      <c r="B2418" t="str">
        <f t="shared" si="112"/>
        <v>0-</v>
      </c>
      <c r="H2418" t="str">
        <f>IFERROR(VLOOKUP(E2418,DC_Xref!A:B,2,FALSE),"")</f>
        <v/>
      </c>
      <c r="I2418">
        <f t="shared" si="113"/>
        <v>0</v>
      </c>
    </row>
    <row r="2419" spans="1:9" x14ac:dyDescent="0.3">
      <c r="A2419" t="str">
        <f t="shared" si="111"/>
        <v>-</v>
      </c>
      <c r="B2419" t="str">
        <f t="shared" si="112"/>
        <v>0-</v>
      </c>
      <c r="H2419" t="str">
        <f>IFERROR(VLOOKUP(E2419,DC_Xref!A:B,2,FALSE),"")</f>
        <v/>
      </c>
      <c r="I2419">
        <f t="shared" si="113"/>
        <v>0</v>
      </c>
    </row>
    <row r="2420" spans="1:9" x14ac:dyDescent="0.3">
      <c r="A2420" t="str">
        <f t="shared" si="111"/>
        <v>-</v>
      </c>
      <c r="B2420" t="str">
        <f t="shared" si="112"/>
        <v>0-</v>
      </c>
      <c r="H2420" t="str">
        <f>IFERROR(VLOOKUP(E2420,DC_Xref!A:B,2,FALSE),"")</f>
        <v/>
      </c>
      <c r="I2420">
        <f t="shared" si="113"/>
        <v>0</v>
      </c>
    </row>
    <row r="2421" spans="1:9" x14ac:dyDescent="0.3">
      <c r="A2421" t="str">
        <f t="shared" si="111"/>
        <v>-</v>
      </c>
      <c r="B2421" t="str">
        <f t="shared" si="112"/>
        <v>0-</v>
      </c>
      <c r="H2421" t="str">
        <f>IFERROR(VLOOKUP(E2421,DC_Xref!A:B,2,FALSE),"")</f>
        <v/>
      </c>
      <c r="I2421">
        <f t="shared" si="113"/>
        <v>0</v>
      </c>
    </row>
    <row r="2422" spans="1:9" x14ac:dyDescent="0.3">
      <c r="A2422" t="str">
        <f t="shared" si="111"/>
        <v>-</v>
      </c>
      <c r="B2422" t="str">
        <f t="shared" si="112"/>
        <v>0-</v>
      </c>
      <c r="H2422" t="str">
        <f>IFERROR(VLOOKUP(E2422,DC_Xref!A:B,2,FALSE),"")</f>
        <v/>
      </c>
      <c r="I2422">
        <f t="shared" si="113"/>
        <v>0</v>
      </c>
    </row>
    <row r="2423" spans="1:9" x14ac:dyDescent="0.3">
      <c r="A2423" t="str">
        <f t="shared" si="111"/>
        <v>-</v>
      </c>
      <c r="B2423" t="str">
        <f t="shared" si="112"/>
        <v>0-</v>
      </c>
      <c r="H2423" t="str">
        <f>IFERROR(VLOOKUP(E2423,DC_Xref!A:B,2,FALSE),"")</f>
        <v/>
      </c>
      <c r="I2423">
        <f t="shared" si="113"/>
        <v>0</v>
      </c>
    </row>
    <row r="2424" spans="1:9" x14ac:dyDescent="0.3">
      <c r="A2424" t="str">
        <f t="shared" si="111"/>
        <v>-</v>
      </c>
      <c r="B2424" t="str">
        <f t="shared" si="112"/>
        <v>0-</v>
      </c>
      <c r="H2424" t="str">
        <f>IFERROR(VLOOKUP(E2424,DC_Xref!A:B,2,FALSE),"")</f>
        <v/>
      </c>
      <c r="I2424">
        <f t="shared" si="113"/>
        <v>0</v>
      </c>
    </row>
    <row r="2425" spans="1:9" x14ac:dyDescent="0.3">
      <c r="A2425" t="str">
        <f t="shared" si="111"/>
        <v>-</v>
      </c>
      <c r="B2425" t="str">
        <f t="shared" si="112"/>
        <v>0-</v>
      </c>
      <c r="H2425" t="str">
        <f>IFERROR(VLOOKUP(E2425,DC_Xref!A:B,2,FALSE),"")</f>
        <v/>
      </c>
      <c r="I2425">
        <f t="shared" si="113"/>
        <v>0</v>
      </c>
    </row>
    <row r="2426" spans="1:9" x14ac:dyDescent="0.3">
      <c r="A2426" t="str">
        <f t="shared" si="111"/>
        <v>-</v>
      </c>
      <c r="B2426" t="str">
        <f t="shared" si="112"/>
        <v>0-</v>
      </c>
      <c r="H2426" t="str">
        <f>IFERROR(VLOOKUP(E2426,DC_Xref!A:B,2,FALSE),"")</f>
        <v/>
      </c>
      <c r="I2426">
        <f t="shared" si="113"/>
        <v>0</v>
      </c>
    </row>
    <row r="2427" spans="1:9" x14ac:dyDescent="0.3">
      <c r="A2427" t="str">
        <f t="shared" si="111"/>
        <v>-</v>
      </c>
      <c r="B2427" t="str">
        <f t="shared" si="112"/>
        <v>0-</v>
      </c>
      <c r="H2427" t="str">
        <f>IFERROR(VLOOKUP(E2427,DC_Xref!A:B,2,FALSE),"")</f>
        <v/>
      </c>
      <c r="I2427">
        <f t="shared" si="113"/>
        <v>0</v>
      </c>
    </row>
    <row r="2428" spans="1:9" x14ac:dyDescent="0.3">
      <c r="A2428" t="str">
        <f t="shared" si="111"/>
        <v>-</v>
      </c>
      <c r="B2428" t="str">
        <f t="shared" si="112"/>
        <v>0-</v>
      </c>
      <c r="H2428" t="str">
        <f>IFERROR(VLOOKUP(E2428,DC_Xref!A:B,2,FALSE),"")</f>
        <v/>
      </c>
      <c r="I2428">
        <f t="shared" si="113"/>
        <v>0</v>
      </c>
    </row>
    <row r="2429" spans="1:9" x14ac:dyDescent="0.3">
      <c r="A2429" t="str">
        <f t="shared" si="111"/>
        <v>-</v>
      </c>
      <c r="B2429" t="str">
        <f t="shared" si="112"/>
        <v>0-</v>
      </c>
      <c r="H2429" t="str">
        <f>IFERROR(VLOOKUP(E2429,DC_Xref!A:B,2,FALSE),"")</f>
        <v/>
      </c>
      <c r="I2429">
        <f t="shared" si="113"/>
        <v>0</v>
      </c>
    </row>
    <row r="2430" spans="1:9" x14ac:dyDescent="0.3">
      <c r="A2430" t="str">
        <f t="shared" si="111"/>
        <v>-</v>
      </c>
      <c r="B2430" t="str">
        <f t="shared" si="112"/>
        <v>0-</v>
      </c>
      <c r="H2430" t="str">
        <f>IFERROR(VLOOKUP(E2430,DC_Xref!A:B,2,FALSE),"")</f>
        <v/>
      </c>
      <c r="I2430">
        <f t="shared" si="113"/>
        <v>0</v>
      </c>
    </row>
    <row r="2431" spans="1:9" x14ac:dyDescent="0.3">
      <c r="A2431" t="str">
        <f t="shared" si="111"/>
        <v>-</v>
      </c>
      <c r="B2431" t="str">
        <f t="shared" si="112"/>
        <v>0-</v>
      </c>
      <c r="H2431" t="str">
        <f>IFERROR(VLOOKUP(E2431,DC_Xref!A:B,2,FALSE),"")</f>
        <v/>
      </c>
      <c r="I2431">
        <f t="shared" si="113"/>
        <v>0</v>
      </c>
    </row>
    <row r="2432" spans="1:9" x14ac:dyDescent="0.3">
      <c r="A2432" t="str">
        <f t="shared" si="111"/>
        <v>-</v>
      </c>
      <c r="B2432" t="str">
        <f t="shared" si="112"/>
        <v>0-</v>
      </c>
      <c r="H2432" t="str">
        <f>IFERROR(VLOOKUP(E2432,DC_Xref!A:B,2,FALSE),"")</f>
        <v/>
      </c>
      <c r="I2432">
        <f t="shared" si="113"/>
        <v>0</v>
      </c>
    </row>
    <row r="2433" spans="1:9" x14ac:dyDescent="0.3">
      <c r="A2433" t="str">
        <f t="shared" si="111"/>
        <v>-</v>
      </c>
      <c r="B2433" t="str">
        <f t="shared" si="112"/>
        <v>0-</v>
      </c>
      <c r="H2433" t="str">
        <f>IFERROR(VLOOKUP(E2433,DC_Xref!A:B,2,FALSE),"")</f>
        <v/>
      </c>
      <c r="I2433">
        <f t="shared" si="113"/>
        <v>0</v>
      </c>
    </row>
    <row r="2434" spans="1:9" x14ac:dyDescent="0.3">
      <c r="A2434" t="str">
        <f t="shared" ref="A2434:A2497" si="114">C2434&amp;"-"&amp;F2434</f>
        <v>-</v>
      </c>
      <c r="B2434" t="str">
        <f t="shared" ref="B2434:B2497" si="115">I2434&amp;"-"&amp;H2434</f>
        <v>0-</v>
      </c>
      <c r="H2434" t="str">
        <f>IFERROR(VLOOKUP(E2434,DC_Xref!A:B,2,FALSE),"")</f>
        <v/>
      </c>
      <c r="I2434">
        <f t="shared" ref="I2434:I2497" si="116">C2434*100+D2434</f>
        <v>0</v>
      </c>
    </row>
    <row r="2435" spans="1:9" x14ac:dyDescent="0.3">
      <c r="A2435" t="str">
        <f t="shared" si="114"/>
        <v>-</v>
      </c>
      <c r="B2435" t="str">
        <f t="shared" si="115"/>
        <v>0-</v>
      </c>
      <c r="H2435" t="str">
        <f>IFERROR(VLOOKUP(E2435,DC_Xref!A:B,2,FALSE),"")</f>
        <v/>
      </c>
      <c r="I2435">
        <f t="shared" si="116"/>
        <v>0</v>
      </c>
    </row>
    <row r="2436" spans="1:9" x14ac:dyDescent="0.3">
      <c r="A2436" t="str">
        <f t="shared" si="114"/>
        <v>-</v>
      </c>
      <c r="B2436" t="str">
        <f t="shared" si="115"/>
        <v>0-</v>
      </c>
      <c r="H2436" t="str">
        <f>IFERROR(VLOOKUP(E2436,DC_Xref!A:B,2,FALSE),"")</f>
        <v/>
      </c>
      <c r="I2436">
        <f t="shared" si="116"/>
        <v>0</v>
      </c>
    </row>
    <row r="2437" spans="1:9" x14ac:dyDescent="0.3">
      <c r="A2437" t="str">
        <f t="shared" si="114"/>
        <v>-</v>
      </c>
      <c r="B2437" t="str">
        <f t="shared" si="115"/>
        <v>0-</v>
      </c>
      <c r="H2437" t="str">
        <f>IFERROR(VLOOKUP(E2437,DC_Xref!A:B,2,FALSE),"")</f>
        <v/>
      </c>
      <c r="I2437">
        <f t="shared" si="116"/>
        <v>0</v>
      </c>
    </row>
    <row r="2438" spans="1:9" x14ac:dyDescent="0.3">
      <c r="A2438" t="str">
        <f t="shared" si="114"/>
        <v>-</v>
      </c>
      <c r="B2438" t="str">
        <f t="shared" si="115"/>
        <v>0-</v>
      </c>
      <c r="H2438" t="str">
        <f>IFERROR(VLOOKUP(E2438,DC_Xref!A:B,2,FALSE),"")</f>
        <v/>
      </c>
      <c r="I2438">
        <f t="shared" si="116"/>
        <v>0</v>
      </c>
    </row>
    <row r="2439" spans="1:9" x14ac:dyDescent="0.3">
      <c r="A2439" t="str">
        <f t="shared" si="114"/>
        <v>-</v>
      </c>
      <c r="B2439" t="str">
        <f t="shared" si="115"/>
        <v>0-</v>
      </c>
      <c r="H2439" t="str">
        <f>IFERROR(VLOOKUP(E2439,DC_Xref!A:B,2,FALSE),"")</f>
        <v/>
      </c>
      <c r="I2439">
        <f t="shared" si="116"/>
        <v>0</v>
      </c>
    </row>
    <row r="2440" spans="1:9" x14ac:dyDescent="0.3">
      <c r="A2440" t="str">
        <f t="shared" si="114"/>
        <v>-</v>
      </c>
      <c r="B2440" t="str">
        <f t="shared" si="115"/>
        <v>0-</v>
      </c>
      <c r="H2440" t="str">
        <f>IFERROR(VLOOKUP(E2440,DC_Xref!A:B,2,FALSE),"")</f>
        <v/>
      </c>
      <c r="I2440">
        <f t="shared" si="116"/>
        <v>0</v>
      </c>
    </row>
    <row r="2441" spans="1:9" x14ac:dyDescent="0.3">
      <c r="A2441" t="str">
        <f t="shared" si="114"/>
        <v>-</v>
      </c>
      <c r="B2441" t="str">
        <f t="shared" si="115"/>
        <v>0-</v>
      </c>
      <c r="H2441" t="str">
        <f>IFERROR(VLOOKUP(E2441,DC_Xref!A:B,2,FALSE),"")</f>
        <v/>
      </c>
      <c r="I2441">
        <f t="shared" si="116"/>
        <v>0</v>
      </c>
    </row>
    <row r="2442" spans="1:9" x14ac:dyDescent="0.3">
      <c r="A2442" t="str">
        <f t="shared" si="114"/>
        <v>-</v>
      </c>
      <c r="B2442" t="str">
        <f t="shared" si="115"/>
        <v>0-</v>
      </c>
      <c r="H2442" t="str">
        <f>IFERROR(VLOOKUP(E2442,DC_Xref!A:B,2,FALSE),"")</f>
        <v/>
      </c>
      <c r="I2442">
        <f t="shared" si="116"/>
        <v>0</v>
      </c>
    </row>
    <row r="2443" spans="1:9" x14ac:dyDescent="0.3">
      <c r="A2443" t="str">
        <f t="shared" si="114"/>
        <v>-</v>
      </c>
      <c r="B2443" t="str">
        <f t="shared" si="115"/>
        <v>0-</v>
      </c>
      <c r="H2443" t="str">
        <f>IFERROR(VLOOKUP(E2443,DC_Xref!A:B,2,FALSE),"")</f>
        <v/>
      </c>
      <c r="I2443">
        <f t="shared" si="116"/>
        <v>0</v>
      </c>
    </row>
    <row r="2444" spans="1:9" x14ac:dyDescent="0.3">
      <c r="A2444" t="str">
        <f t="shared" si="114"/>
        <v>-</v>
      </c>
      <c r="B2444" t="str">
        <f t="shared" si="115"/>
        <v>0-</v>
      </c>
      <c r="H2444" t="str">
        <f>IFERROR(VLOOKUP(E2444,DC_Xref!A:B,2,FALSE),"")</f>
        <v/>
      </c>
      <c r="I2444">
        <f t="shared" si="116"/>
        <v>0</v>
      </c>
    </row>
    <row r="2445" spans="1:9" x14ac:dyDescent="0.3">
      <c r="A2445" t="str">
        <f t="shared" si="114"/>
        <v>-</v>
      </c>
      <c r="B2445" t="str">
        <f t="shared" si="115"/>
        <v>0-</v>
      </c>
      <c r="H2445" t="str">
        <f>IFERROR(VLOOKUP(E2445,DC_Xref!A:B,2,FALSE),"")</f>
        <v/>
      </c>
      <c r="I2445">
        <f t="shared" si="116"/>
        <v>0</v>
      </c>
    </row>
    <row r="2446" spans="1:9" x14ac:dyDescent="0.3">
      <c r="A2446" t="str">
        <f t="shared" si="114"/>
        <v>-</v>
      </c>
      <c r="B2446" t="str">
        <f t="shared" si="115"/>
        <v>0-</v>
      </c>
      <c r="H2446" t="str">
        <f>IFERROR(VLOOKUP(E2446,DC_Xref!A:B,2,FALSE),"")</f>
        <v/>
      </c>
      <c r="I2446">
        <f t="shared" si="116"/>
        <v>0</v>
      </c>
    </row>
    <row r="2447" spans="1:9" x14ac:dyDescent="0.3">
      <c r="A2447" t="str">
        <f t="shared" si="114"/>
        <v>-</v>
      </c>
      <c r="B2447" t="str">
        <f t="shared" si="115"/>
        <v>0-</v>
      </c>
      <c r="H2447" t="str">
        <f>IFERROR(VLOOKUP(E2447,DC_Xref!A:B,2,FALSE),"")</f>
        <v/>
      </c>
      <c r="I2447">
        <f t="shared" si="116"/>
        <v>0</v>
      </c>
    </row>
    <row r="2448" spans="1:9" x14ac:dyDescent="0.3">
      <c r="A2448" t="str">
        <f t="shared" si="114"/>
        <v>-</v>
      </c>
      <c r="B2448" t="str">
        <f t="shared" si="115"/>
        <v>0-</v>
      </c>
      <c r="H2448" t="str">
        <f>IFERROR(VLOOKUP(E2448,DC_Xref!A:B,2,FALSE),"")</f>
        <v/>
      </c>
      <c r="I2448">
        <f t="shared" si="116"/>
        <v>0</v>
      </c>
    </row>
    <row r="2449" spans="1:9" x14ac:dyDescent="0.3">
      <c r="A2449" t="str">
        <f t="shared" si="114"/>
        <v>-</v>
      </c>
      <c r="B2449" t="str">
        <f t="shared" si="115"/>
        <v>0-</v>
      </c>
      <c r="H2449" t="str">
        <f>IFERROR(VLOOKUP(E2449,DC_Xref!A:B,2,FALSE),"")</f>
        <v/>
      </c>
      <c r="I2449">
        <f t="shared" si="116"/>
        <v>0</v>
      </c>
    </row>
    <row r="2450" spans="1:9" x14ac:dyDescent="0.3">
      <c r="A2450" t="str">
        <f t="shared" si="114"/>
        <v>-</v>
      </c>
      <c r="B2450" t="str">
        <f t="shared" si="115"/>
        <v>0-</v>
      </c>
      <c r="H2450" t="str">
        <f>IFERROR(VLOOKUP(E2450,DC_Xref!A:B,2,FALSE),"")</f>
        <v/>
      </c>
      <c r="I2450">
        <f t="shared" si="116"/>
        <v>0</v>
      </c>
    </row>
    <row r="2451" spans="1:9" x14ac:dyDescent="0.3">
      <c r="A2451" t="str">
        <f t="shared" si="114"/>
        <v>-</v>
      </c>
      <c r="B2451" t="str">
        <f t="shared" si="115"/>
        <v>0-</v>
      </c>
      <c r="H2451" t="str">
        <f>IFERROR(VLOOKUP(E2451,DC_Xref!A:B,2,FALSE),"")</f>
        <v/>
      </c>
      <c r="I2451">
        <f t="shared" si="116"/>
        <v>0</v>
      </c>
    </row>
    <row r="2452" spans="1:9" x14ac:dyDescent="0.3">
      <c r="A2452" t="str">
        <f t="shared" si="114"/>
        <v>-</v>
      </c>
      <c r="B2452" t="str">
        <f t="shared" si="115"/>
        <v>0-</v>
      </c>
      <c r="H2452" t="str">
        <f>IFERROR(VLOOKUP(E2452,DC_Xref!A:B,2,FALSE),"")</f>
        <v/>
      </c>
      <c r="I2452">
        <f t="shared" si="116"/>
        <v>0</v>
      </c>
    </row>
    <row r="2453" spans="1:9" x14ac:dyDescent="0.3">
      <c r="A2453" t="str">
        <f t="shared" si="114"/>
        <v>-</v>
      </c>
      <c r="B2453" t="str">
        <f t="shared" si="115"/>
        <v>0-</v>
      </c>
      <c r="H2453" t="str">
        <f>IFERROR(VLOOKUP(E2453,DC_Xref!A:B,2,FALSE),"")</f>
        <v/>
      </c>
      <c r="I2453">
        <f t="shared" si="116"/>
        <v>0</v>
      </c>
    </row>
    <row r="2454" spans="1:9" x14ac:dyDescent="0.3">
      <c r="A2454" t="str">
        <f t="shared" si="114"/>
        <v>-</v>
      </c>
      <c r="B2454" t="str">
        <f t="shared" si="115"/>
        <v>0-</v>
      </c>
      <c r="H2454" t="str">
        <f>IFERROR(VLOOKUP(E2454,DC_Xref!A:B,2,FALSE),"")</f>
        <v/>
      </c>
      <c r="I2454">
        <f t="shared" si="116"/>
        <v>0</v>
      </c>
    </row>
    <row r="2455" spans="1:9" x14ac:dyDescent="0.3">
      <c r="A2455" t="str">
        <f t="shared" si="114"/>
        <v>-</v>
      </c>
      <c r="B2455" t="str">
        <f t="shared" si="115"/>
        <v>0-</v>
      </c>
      <c r="H2455" t="str">
        <f>IFERROR(VLOOKUP(E2455,DC_Xref!A:B,2,FALSE),"")</f>
        <v/>
      </c>
      <c r="I2455">
        <f t="shared" si="116"/>
        <v>0</v>
      </c>
    </row>
    <row r="2456" spans="1:9" x14ac:dyDescent="0.3">
      <c r="A2456" t="str">
        <f t="shared" si="114"/>
        <v>-</v>
      </c>
      <c r="B2456" t="str">
        <f t="shared" si="115"/>
        <v>0-</v>
      </c>
      <c r="H2456" t="str">
        <f>IFERROR(VLOOKUP(E2456,DC_Xref!A:B,2,FALSE),"")</f>
        <v/>
      </c>
      <c r="I2456">
        <f t="shared" si="116"/>
        <v>0</v>
      </c>
    </row>
    <row r="2457" spans="1:9" x14ac:dyDescent="0.3">
      <c r="A2457" t="str">
        <f t="shared" si="114"/>
        <v>-</v>
      </c>
      <c r="B2457" t="str">
        <f t="shared" si="115"/>
        <v>0-</v>
      </c>
      <c r="H2457" t="str">
        <f>IFERROR(VLOOKUP(E2457,DC_Xref!A:B,2,FALSE),"")</f>
        <v/>
      </c>
      <c r="I2457">
        <f t="shared" si="116"/>
        <v>0</v>
      </c>
    </row>
    <row r="2458" spans="1:9" x14ac:dyDescent="0.3">
      <c r="A2458" t="str">
        <f t="shared" si="114"/>
        <v>-</v>
      </c>
      <c r="B2458" t="str">
        <f t="shared" si="115"/>
        <v>0-</v>
      </c>
      <c r="H2458" t="str">
        <f>IFERROR(VLOOKUP(E2458,DC_Xref!A:B,2,FALSE),"")</f>
        <v/>
      </c>
      <c r="I2458">
        <f t="shared" si="116"/>
        <v>0</v>
      </c>
    </row>
    <row r="2459" spans="1:9" x14ac:dyDescent="0.3">
      <c r="A2459" t="str">
        <f t="shared" si="114"/>
        <v>-</v>
      </c>
      <c r="B2459" t="str">
        <f t="shared" si="115"/>
        <v>0-</v>
      </c>
      <c r="H2459" t="str">
        <f>IFERROR(VLOOKUP(E2459,DC_Xref!A:B,2,FALSE),"")</f>
        <v/>
      </c>
      <c r="I2459">
        <f t="shared" si="116"/>
        <v>0</v>
      </c>
    </row>
    <row r="2460" spans="1:9" x14ac:dyDescent="0.3">
      <c r="A2460" t="str">
        <f t="shared" si="114"/>
        <v>-</v>
      </c>
      <c r="B2460" t="str">
        <f t="shared" si="115"/>
        <v>0-</v>
      </c>
      <c r="H2460" t="str">
        <f>IFERROR(VLOOKUP(E2460,DC_Xref!A:B,2,FALSE),"")</f>
        <v/>
      </c>
      <c r="I2460">
        <f t="shared" si="116"/>
        <v>0</v>
      </c>
    </row>
    <row r="2461" spans="1:9" x14ac:dyDescent="0.3">
      <c r="A2461" t="str">
        <f t="shared" si="114"/>
        <v>-</v>
      </c>
      <c r="B2461" t="str">
        <f t="shared" si="115"/>
        <v>0-</v>
      </c>
      <c r="H2461" t="str">
        <f>IFERROR(VLOOKUP(E2461,DC_Xref!A:B,2,FALSE),"")</f>
        <v/>
      </c>
      <c r="I2461">
        <f t="shared" si="116"/>
        <v>0</v>
      </c>
    </row>
    <row r="2462" spans="1:9" x14ac:dyDescent="0.3">
      <c r="A2462" t="str">
        <f t="shared" si="114"/>
        <v>-</v>
      </c>
      <c r="B2462" t="str">
        <f t="shared" si="115"/>
        <v>0-</v>
      </c>
      <c r="H2462" t="str">
        <f>IFERROR(VLOOKUP(E2462,DC_Xref!A:B,2,FALSE),"")</f>
        <v/>
      </c>
      <c r="I2462">
        <f t="shared" si="116"/>
        <v>0</v>
      </c>
    </row>
    <row r="2463" spans="1:9" x14ac:dyDescent="0.3">
      <c r="A2463" t="str">
        <f t="shared" si="114"/>
        <v>-</v>
      </c>
      <c r="B2463" t="str">
        <f t="shared" si="115"/>
        <v>0-</v>
      </c>
      <c r="H2463" t="str">
        <f>IFERROR(VLOOKUP(E2463,DC_Xref!A:B,2,FALSE),"")</f>
        <v/>
      </c>
      <c r="I2463">
        <f t="shared" si="116"/>
        <v>0</v>
      </c>
    </row>
    <row r="2464" spans="1:9" x14ac:dyDescent="0.3">
      <c r="A2464" t="str">
        <f t="shared" si="114"/>
        <v>-</v>
      </c>
      <c r="B2464" t="str">
        <f t="shared" si="115"/>
        <v>0-</v>
      </c>
      <c r="H2464" t="str">
        <f>IFERROR(VLOOKUP(E2464,DC_Xref!A:B,2,FALSE),"")</f>
        <v/>
      </c>
      <c r="I2464">
        <f t="shared" si="116"/>
        <v>0</v>
      </c>
    </row>
    <row r="2465" spans="1:9" x14ac:dyDescent="0.3">
      <c r="A2465" t="str">
        <f t="shared" si="114"/>
        <v>-</v>
      </c>
      <c r="B2465" t="str">
        <f t="shared" si="115"/>
        <v>0-</v>
      </c>
      <c r="H2465" t="str">
        <f>IFERROR(VLOOKUP(E2465,DC_Xref!A:B,2,FALSE),"")</f>
        <v/>
      </c>
      <c r="I2465">
        <f t="shared" si="116"/>
        <v>0</v>
      </c>
    </row>
    <row r="2466" spans="1:9" x14ac:dyDescent="0.3">
      <c r="A2466" t="str">
        <f t="shared" si="114"/>
        <v>-</v>
      </c>
      <c r="B2466" t="str">
        <f t="shared" si="115"/>
        <v>0-</v>
      </c>
      <c r="H2466" t="str">
        <f>IFERROR(VLOOKUP(E2466,DC_Xref!A:B,2,FALSE),"")</f>
        <v/>
      </c>
      <c r="I2466">
        <f t="shared" si="116"/>
        <v>0</v>
      </c>
    </row>
    <row r="2467" spans="1:9" x14ac:dyDescent="0.3">
      <c r="A2467" t="str">
        <f t="shared" si="114"/>
        <v>-</v>
      </c>
      <c r="B2467" t="str">
        <f t="shared" si="115"/>
        <v>0-</v>
      </c>
      <c r="H2467" t="str">
        <f>IFERROR(VLOOKUP(E2467,DC_Xref!A:B,2,FALSE),"")</f>
        <v/>
      </c>
      <c r="I2467">
        <f t="shared" si="116"/>
        <v>0</v>
      </c>
    </row>
    <row r="2468" spans="1:9" x14ac:dyDescent="0.3">
      <c r="A2468" t="str">
        <f t="shared" si="114"/>
        <v>-</v>
      </c>
      <c r="B2468" t="str">
        <f t="shared" si="115"/>
        <v>0-</v>
      </c>
      <c r="H2468" t="str">
        <f>IFERROR(VLOOKUP(E2468,DC_Xref!A:B,2,FALSE),"")</f>
        <v/>
      </c>
      <c r="I2468">
        <f t="shared" si="116"/>
        <v>0</v>
      </c>
    </row>
    <row r="2469" spans="1:9" x14ac:dyDescent="0.3">
      <c r="A2469" t="str">
        <f t="shared" si="114"/>
        <v>-</v>
      </c>
      <c r="B2469" t="str">
        <f t="shared" si="115"/>
        <v>0-</v>
      </c>
      <c r="H2469" t="str">
        <f>IFERROR(VLOOKUP(E2469,DC_Xref!A:B,2,FALSE),"")</f>
        <v/>
      </c>
      <c r="I2469">
        <f t="shared" si="116"/>
        <v>0</v>
      </c>
    </row>
    <row r="2470" spans="1:9" x14ac:dyDescent="0.3">
      <c r="A2470" t="str">
        <f t="shared" si="114"/>
        <v>-</v>
      </c>
      <c r="B2470" t="str">
        <f t="shared" si="115"/>
        <v>0-</v>
      </c>
      <c r="H2470" t="str">
        <f>IFERROR(VLOOKUP(E2470,DC_Xref!A:B,2,FALSE),"")</f>
        <v/>
      </c>
      <c r="I2470">
        <f t="shared" si="116"/>
        <v>0</v>
      </c>
    </row>
    <row r="2471" spans="1:9" x14ac:dyDescent="0.3">
      <c r="A2471" t="str">
        <f t="shared" si="114"/>
        <v>-</v>
      </c>
      <c r="B2471" t="str">
        <f t="shared" si="115"/>
        <v>0-</v>
      </c>
      <c r="H2471" t="str">
        <f>IFERROR(VLOOKUP(E2471,DC_Xref!A:B,2,FALSE),"")</f>
        <v/>
      </c>
      <c r="I2471">
        <f t="shared" si="116"/>
        <v>0</v>
      </c>
    </row>
    <row r="2472" spans="1:9" x14ac:dyDescent="0.3">
      <c r="A2472" t="str">
        <f t="shared" si="114"/>
        <v>-</v>
      </c>
      <c r="B2472" t="str">
        <f t="shared" si="115"/>
        <v>0-</v>
      </c>
      <c r="H2472" t="str">
        <f>IFERROR(VLOOKUP(E2472,DC_Xref!A:B,2,FALSE),"")</f>
        <v/>
      </c>
      <c r="I2472">
        <f t="shared" si="116"/>
        <v>0</v>
      </c>
    </row>
    <row r="2473" spans="1:9" x14ac:dyDescent="0.3">
      <c r="A2473" t="str">
        <f t="shared" si="114"/>
        <v>-</v>
      </c>
      <c r="B2473" t="str">
        <f t="shared" si="115"/>
        <v>0-</v>
      </c>
      <c r="H2473" t="str">
        <f>IFERROR(VLOOKUP(E2473,DC_Xref!A:B,2,FALSE),"")</f>
        <v/>
      </c>
      <c r="I2473">
        <f t="shared" si="116"/>
        <v>0</v>
      </c>
    </row>
    <row r="2474" spans="1:9" x14ac:dyDescent="0.3">
      <c r="A2474" t="str">
        <f t="shared" si="114"/>
        <v>-</v>
      </c>
      <c r="B2474" t="str">
        <f t="shared" si="115"/>
        <v>0-</v>
      </c>
      <c r="H2474" t="str">
        <f>IFERROR(VLOOKUP(E2474,DC_Xref!A:B,2,FALSE),"")</f>
        <v/>
      </c>
      <c r="I2474">
        <f t="shared" si="116"/>
        <v>0</v>
      </c>
    </row>
    <row r="2475" spans="1:9" x14ac:dyDescent="0.3">
      <c r="A2475" t="str">
        <f t="shared" si="114"/>
        <v>-</v>
      </c>
      <c r="B2475" t="str">
        <f t="shared" si="115"/>
        <v>0-</v>
      </c>
      <c r="H2475" t="str">
        <f>IFERROR(VLOOKUP(E2475,DC_Xref!A:B,2,FALSE),"")</f>
        <v/>
      </c>
      <c r="I2475">
        <f t="shared" si="116"/>
        <v>0</v>
      </c>
    </row>
    <row r="2476" spans="1:9" x14ac:dyDescent="0.3">
      <c r="A2476" t="str">
        <f t="shared" si="114"/>
        <v>-</v>
      </c>
      <c r="B2476" t="str">
        <f t="shared" si="115"/>
        <v>0-</v>
      </c>
      <c r="H2476" t="str">
        <f>IFERROR(VLOOKUP(E2476,DC_Xref!A:B,2,FALSE),"")</f>
        <v/>
      </c>
      <c r="I2476">
        <f t="shared" si="116"/>
        <v>0</v>
      </c>
    </row>
    <row r="2477" spans="1:9" x14ac:dyDescent="0.3">
      <c r="A2477" t="str">
        <f t="shared" si="114"/>
        <v>-</v>
      </c>
      <c r="B2477" t="str">
        <f t="shared" si="115"/>
        <v>0-</v>
      </c>
      <c r="H2477" t="str">
        <f>IFERROR(VLOOKUP(E2477,DC_Xref!A:B,2,FALSE),"")</f>
        <v/>
      </c>
      <c r="I2477">
        <f t="shared" si="116"/>
        <v>0</v>
      </c>
    </row>
    <row r="2478" spans="1:9" x14ac:dyDescent="0.3">
      <c r="A2478" t="str">
        <f t="shared" si="114"/>
        <v>-</v>
      </c>
      <c r="B2478" t="str">
        <f t="shared" si="115"/>
        <v>0-</v>
      </c>
      <c r="H2478" t="str">
        <f>IFERROR(VLOOKUP(E2478,DC_Xref!A:B,2,FALSE),"")</f>
        <v/>
      </c>
      <c r="I2478">
        <f t="shared" si="116"/>
        <v>0</v>
      </c>
    </row>
    <row r="2479" spans="1:9" x14ac:dyDescent="0.3">
      <c r="A2479" t="str">
        <f t="shared" si="114"/>
        <v>-</v>
      </c>
      <c r="B2479" t="str">
        <f t="shared" si="115"/>
        <v>0-</v>
      </c>
      <c r="H2479" t="str">
        <f>IFERROR(VLOOKUP(E2479,DC_Xref!A:B,2,FALSE),"")</f>
        <v/>
      </c>
      <c r="I2479">
        <f t="shared" si="116"/>
        <v>0</v>
      </c>
    </row>
    <row r="2480" spans="1:9" x14ac:dyDescent="0.3">
      <c r="A2480" t="str">
        <f t="shared" si="114"/>
        <v>-</v>
      </c>
      <c r="B2480" t="str">
        <f t="shared" si="115"/>
        <v>0-</v>
      </c>
      <c r="H2480" t="str">
        <f>IFERROR(VLOOKUP(E2480,DC_Xref!A:B,2,FALSE),"")</f>
        <v/>
      </c>
      <c r="I2480">
        <f t="shared" si="116"/>
        <v>0</v>
      </c>
    </row>
    <row r="2481" spans="1:9" x14ac:dyDescent="0.3">
      <c r="A2481" t="str">
        <f t="shared" si="114"/>
        <v>-</v>
      </c>
      <c r="B2481" t="str">
        <f t="shared" si="115"/>
        <v>0-</v>
      </c>
      <c r="H2481" t="str">
        <f>IFERROR(VLOOKUP(E2481,DC_Xref!A:B,2,FALSE),"")</f>
        <v/>
      </c>
      <c r="I2481">
        <f t="shared" si="116"/>
        <v>0</v>
      </c>
    </row>
    <row r="2482" spans="1:9" x14ac:dyDescent="0.3">
      <c r="A2482" t="str">
        <f t="shared" si="114"/>
        <v>-</v>
      </c>
      <c r="B2482" t="str">
        <f t="shared" si="115"/>
        <v>0-</v>
      </c>
      <c r="H2482" t="str">
        <f>IFERROR(VLOOKUP(E2482,DC_Xref!A:B,2,FALSE),"")</f>
        <v/>
      </c>
      <c r="I2482">
        <f t="shared" si="116"/>
        <v>0</v>
      </c>
    </row>
    <row r="2483" spans="1:9" x14ac:dyDescent="0.3">
      <c r="A2483" t="str">
        <f t="shared" si="114"/>
        <v>-</v>
      </c>
      <c r="B2483" t="str">
        <f t="shared" si="115"/>
        <v>0-</v>
      </c>
      <c r="H2483" t="str">
        <f>IFERROR(VLOOKUP(E2483,DC_Xref!A:B,2,FALSE),"")</f>
        <v/>
      </c>
      <c r="I2483">
        <f t="shared" si="116"/>
        <v>0</v>
      </c>
    </row>
    <row r="2484" spans="1:9" x14ac:dyDescent="0.3">
      <c r="A2484" t="str">
        <f t="shared" si="114"/>
        <v>-</v>
      </c>
      <c r="B2484" t="str">
        <f t="shared" si="115"/>
        <v>0-</v>
      </c>
      <c r="H2484" t="str">
        <f>IFERROR(VLOOKUP(E2484,DC_Xref!A:B,2,FALSE),"")</f>
        <v/>
      </c>
      <c r="I2484">
        <f t="shared" si="116"/>
        <v>0</v>
      </c>
    </row>
    <row r="2485" spans="1:9" x14ac:dyDescent="0.3">
      <c r="A2485" t="str">
        <f t="shared" si="114"/>
        <v>-</v>
      </c>
      <c r="B2485" t="str">
        <f t="shared" si="115"/>
        <v>0-</v>
      </c>
      <c r="H2485" t="str">
        <f>IFERROR(VLOOKUP(E2485,DC_Xref!A:B,2,FALSE),"")</f>
        <v/>
      </c>
      <c r="I2485">
        <f t="shared" si="116"/>
        <v>0</v>
      </c>
    </row>
    <row r="2486" spans="1:9" x14ac:dyDescent="0.3">
      <c r="A2486" t="str">
        <f t="shared" si="114"/>
        <v>-</v>
      </c>
      <c r="B2486" t="str">
        <f t="shared" si="115"/>
        <v>0-</v>
      </c>
      <c r="H2486" t="str">
        <f>IFERROR(VLOOKUP(E2486,DC_Xref!A:B,2,FALSE),"")</f>
        <v/>
      </c>
      <c r="I2486">
        <f t="shared" si="116"/>
        <v>0</v>
      </c>
    </row>
    <row r="2487" spans="1:9" x14ac:dyDescent="0.3">
      <c r="A2487" t="str">
        <f t="shared" si="114"/>
        <v>-</v>
      </c>
      <c r="B2487" t="str">
        <f t="shared" si="115"/>
        <v>0-</v>
      </c>
      <c r="H2487" t="str">
        <f>IFERROR(VLOOKUP(E2487,DC_Xref!A:B,2,FALSE),"")</f>
        <v/>
      </c>
      <c r="I2487">
        <f t="shared" si="116"/>
        <v>0</v>
      </c>
    </row>
    <row r="2488" spans="1:9" x14ac:dyDescent="0.3">
      <c r="A2488" t="str">
        <f t="shared" si="114"/>
        <v>-</v>
      </c>
      <c r="B2488" t="str">
        <f t="shared" si="115"/>
        <v>0-</v>
      </c>
      <c r="H2488" t="str">
        <f>IFERROR(VLOOKUP(E2488,DC_Xref!A:B,2,FALSE),"")</f>
        <v/>
      </c>
      <c r="I2488">
        <f t="shared" si="116"/>
        <v>0</v>
      </c>
    </row>
    <row r="2489" spans="1:9" x14ac:dyDescent="0.3">
      <c r="A2489" t="str">
        <f t="shared" si="114"/>
        <v>-</v>
      </c>
      <c r="B2489" t="str">
        <f t="shared" si="115"/>
        <v>0-</v>
      </c>
      <c r="H2489" t="str">
        <f>IFERROR(VLOOKUP(E2489,DC_Xref!A:B,2,FALSE),"")</f>
        <v/>
      </c>
      <c r="I2489">
        <f t="shared" si="116"/>
        <v>0</v>
      </c>
    </row>
    <row r="2490" spans="1:9" x14ac:dyDescent="0.3">
      <c r="A2490" t="str">
        <f t="shared" si="114"/>
        <v>-</v>
      </c>
      <c r="B2490" t="str">
        <f t="shared" si="115"/>
        <v>0-</v>
      </c>
      <c r="H2490" t="str">
        <f>IFERROR(VLOOKUP(E2490,DC_Xref!A:B,2,FALSE),"")</f>
        <v/>
      </c>
      <c r="I2490">
        <f t="shared" si="116"/>
        <v>0</v>
      </c>
    </row>
    <row r="2491" spans="1:9" x14ac:dyDescent="0.3">
      <c r="A2491" t="str">
        <f t="shared" si="114"/>
        <v>-</v>
      </c>
      <c r="B2491" t="str">
        <f t="shared" si="115"/>
        <v>0-</v>
      </c>
      <c r="H2491" t="str">
        <f>IFERROR(VLOOKUP(E2491,DC_Xref!A:B,2,FALSE),"")</f>
        <v/>
      </c>
      <c r="I2491">
        <f t="shared" si="116"/>
        <v>0</v>
      </c>
    </row>
    <row r="2492" spans="1:9" x14ac:dyDescent="0.3">
      <c r="A2492" t="str">
        <f t="shared" si="114"/>
        <v>-</v>
      </c>
      <c r="B2492" t="str">
        <f t="shared" si="115"/>
        <v>0-</v>
      </c>
      <c r="H2492" t="str">
        <f>IFERROR(VLOOKUP(E2492,DC_Xref!A:B,2,FALSE),"")</f>
        <v/>
      </c>
      <c r="I2492">
        <f t="shared" si="116"/>
        <v>0</v>
      </c>
    </row>
    <row r="2493" spans="1:9" x14ac:dyDescent="0.3">
      <c r="A2493" t="str">
        <f t="shared" si="114"/>
        <v>-</v>
      </c>
      <c r="B2493" t="str">
        <f t="shared" si="115"/>
        <v>0-</v>
      </c>
      <c r="H2493" t="str">
        <f>IFERROR(VLOOKUP(E2493,DC_Xref!A:B,2,FALSE),"")</f>
        <v/>
      </c>
      <c r="I2493">
        <f t="shared" si="116"/>
        <v>0</v>
      </c>
    </row>
    <row r="2494" spans="1:9" x14ac:dyDescent="0.3">
      <c r="A2494" t="str">
        <f t="shared" si="114"/>
        <v>-</v>
      </c>
      <c r="B2494" t="str">
        <f t="shared" si="115"/>
        <v>0-</v>
      </c>
      <c r="H2494" t="str">
        <f>IFERROR(VLOOKUP(E2494,DC_Xref!A:B,2,FALSE),"")</f>
        <v/>
      </c>
      <c r="I2494">
        <f t="shared" si="116"/>
        <v>0</v>
      </c>
    </row>
    <row r="2495" spans="1:9" x14ac:dyDescent="0.3">
      <c r="A2495" t="str">
        <f t="shared" si="114"/>
        <v>-</v>
      </c>
      <c r="B2495" t="str">
        <f t="shared" si="115"/>
        <v>0-</v>
      </c>
      <c r="H2495" t="str">
        <f>IFERROR(VLOOKUP(E2495,DC_Xref!A:B,2,FALSE),"")</f>
        <v/>
      </c>
      <c r="I2495">
        <f t="shared" si="116"/>
        <v>0</v>
      </c>
    </row>
    <row r="2496" spans="1:9" x14ac:dyDescent="0.3">
      <c r="A2496" t="str">
        <f t="shared" si="114"/>
        <v>-</v>
      </c>
      <c r="B2496" t="str">
        <f t="shared" si="115"/>
        <v>0-</v>
      </c>
      <c r="H2496" t="str">
        <f>IFERROR(VLOOKUP(E2496,DC_Xref!A:B,2,FALSE),"")</f>
        <v/>
      </c>
      <c r="I2496">
        <f t="shared" si="116"/>
        <v>0</v>
      </c>
    </row>
    <row r="2497" spans="1:9" x14ac:dyDescent="0.3">
      <c r="A2497" t="str">
        <f t="shared" si="114"/>
        <v>-</v>
      </c>
      <c r="B2497" t="str">
        <f t="shared" si="115"/>
        <v>0-</v>
      </c>
      <c r="H2497" t="str">
        <f>IFERROR(VLOOKUP(E2497,DC_Xref!A:B,2,FALSE),"")</f>
        <v/>
      </c>
      <c r="I2497">
        <f t="shared" si="116"/>
        <v>0</v>
      </c>
    </row>
    <row r="2498" spans="1:9" x14ac:dyDescent="0.3">
      <c r="A2498" t="str">
        <f t="shared" ref="A2498:A2561" si="117">C2498&amp;"-"&amp;F2498</f>
        <v>-</v>
      </c>
      <c r="B2498" t="str">
        <f t="shared" ref="B2498:B2561" si="118">I2498&amp;"-"&amp;H2498</f>
        <v>0-</v>
      </c>
      <c r="H2498" t="str">
        <f>IFERROR(VLOOKUP(E2498,DC_Xref!A:B,2,FALSE),"")</f>
        <v/>
      </c>
      <c r="I2498">
        <f t="shared" ref="I2498:I2561" si="119">C2498*100+D2498</f>
        <v>0</v>
      </c>
    </row>
    <row r="2499" spans="1:9" x14ac:dyDescent="0.3">
      <c r="A2499" t="str">
        <f t="shared" si="117"/>
        <v>-</v>
      </c>
      <c r="B2499" t="str">
        <f t="shared" si="118"/>
        <v>0-</v>
      </c>
      <c r="H2499" t="str">
        <f>IFERROR(VLOOKUP(E2499,DC_Xref!A:B,2,FALSE),"")</f>
        <v/>
      </c>
      <c r="I2499">
        <f t="shared" si="119"/>
        <v>0</v>
      </c>
    </row>
    <row r="2500" spans="1:9" x14ac:dyDescent="0.3">
      <c r="A2500" t="str">
        <f t="shared" si="117"/>
        <v>-</v>
      </c>
      <c r="B2500" t="str">
        <f t="shared" si="118"/>
        <v>0-</v>
      </c>
      <c r="H2500" t="str">
        <f>IFERROR(VLOOKUP(E2500,DC_Xref!A:B,2,FALSE),"")</f>
        <v/>
      </c>
      <c r="I2500">
        <f t="shared" si="119"/>
        <v>0</v>
      </c>
    </row>
    <row r="2501" spans="1:9" x14ac:dyDescent="0.3">
      <c r="A2501" t="str">
        <f t="shared" si="117"/>
        <v>-</v>
      </c>
      <c r="B2501" t="str">
        <f t="shared" si="118"/>
        <v>0-</v>
      </c>
      <c r="H2501" t="str">
        <f>IFERROR(VLOOKUP(E2501,DC_Xref!A:B,2,FALSE),"")</f>
        <v/>
      </c>
      <c r="I2501">
        <f t="shared" si="119"/>
        <v>0</v>
      </c>
    </row>
    <row r="2502" spans="1:9" x14ac:dyDescent="0.3">
      <c r="A2502" t="str">
        <f t="shared" si="117"/>
        <v>-</v>
      </c>
      <c r="B2502" t="str">
        <f t="shared" si="118"/>
        <v>0-</v>
      </c>
      <c r="H2502" t="str">
        <f>IFERROR(VLOOKUP(E2502,DC_Xref!A:B,2,FALSE),"")</f>
        <v/>
      </c>
      <c r="I2502">
        <f t="shared" si="119"/>
        <v>0</v>
      </c>
    </row>
    <row r="2503" spans="1:9" x14ac:dyDescent="0.3">
      <c r="A2503" t="str">
        <f t="shared" si="117"/>
        <v>-</v>
      </c>
      <c r="B2503" t="str">
        <f t="shared" si="118"/>
        <v>0-</v>
      </c>
      <c r="H2503" t="str">
        <f>IFERROR(VLOOKUP(E2503,DC_Xref!A:B,2,FALSE),"")</f>
        <v/>
      </c>
      <c r="I2503">
        <f t="shared" si="119"/>
        <v>0</v>
      </c>
    </row>
    <row r="2504" spans="1:9" x14ac:dyDescent="0.3">
      <c r="A2504" t="str">
        <f t="shared" si="117"/>
        <v>-</v>
      </c>
      <c r="B2504" t="str">
        <f t="shared" si="118"/>
        <v>0-</v>
      </c>
      <c r="H2504" t="str">
        <f>IFERROR(VLOOKUP(E2504,DC_Xref!A:B,2,FALSE),"")</f>
        <v/>
      </c>
      <c r="I2504">
        <f t="shared" si="119"/>
        <v>0</v>
      </c>
    </row>
    <row r="2505" spans="1:9" x14ac:dyDescent="0.3">
      <c r="A2505" t="str">
        <f t="shared" si="117"/>
        <v>-</v>
      </c>
      <c r="B2505" t="str">
        <f t="shared" si="118"/>
        <v>0-</v>
      </c>
      <c r="H2505" t="str">
        <f>IFERROR(VLOOKUP(E2505,DC_Xref!A:B,2,FALSE),"")</f>
        <v/>
      </c>
      <c r="I2505">
        <f t="shared" si="119"/>
        <v>0</v>
      </c>
    </row>
    <row r="2506" spans="1:9" x14ac:dyDescent="0.3">
      <c r="A2506" t="str">
        <f t="shared" si="117"/>
        <v>-</v>
      </c>
      <c r="B2506" t="str">
        <f t="shared" si="118"/>
        <v>0-</v>
      </c>
      <c r="H2506" t="str">
        <f>IFERROR(VLOOKUP(E2506,DC_Xref!A:B,2,FALSE),"")</f>
        <v/>
      </c>
      <c r="I2506">
        <f t="shared" si="119"/>
        <v>0</v>
      </c>
    </row>
    <row r="2507" spans="1:9" x14ac:dyDescent="0.3">
      <c r="A2507" t="str">
        <f t="shared" si="117"/>
        <v>-</v>
      </c>
      <c r="B2507" t="str">
        <f t="shared" si="118"/>
        <v>0-</v>
      </c>
      <c r="H2507" t="str">
        <f>IFERROR(VLOOKUP(E2507,DC_Xref!A:B,2,FALSE),"")</f>
        <v/>
      </c>
      <c r="I2507">
        <f t="shared" si="119"/>
        <v>0</v>
      </c>
    </row>
    <row r="2508" spans="1:9" x14ac:dyDescent="0.3">
      <c r="A2508" t="str">
        <f t="shared" si="117"/>
        <v>-</v>
      </c>
      <c r="B2508" t="str">
        <f t="shared" si="118"/>
        <v>0-</v>
      </c>
      <c r="H2508" t="str">
        <f>IFERROR(VLOOKUP(E2508,DC_Xref!A:B,2,FALSE),"")</f>
        <v/>
      </c>
      <c r="I2508">
        <f t="shared" si="119"/>
        <v>0</v>
      </c>
    </row>
    <row r="2509" spans="1:9" x14ac:dyDescent="0.3">
      <c r="A2509" t="str">
        <f t="shared" si="117"/>
        <v>-</v>
      </c>
      <c r="B2509" t="str">
        <f t="shared" si="118"/>
        <v>0-</v>
      </c>
      <c r="H2509" t="str">
        <f>IFERROR(VLOOKUP(E2509,DC_Xref!A:B,2,FALSE),"")</f>
        <v/>
      </c>
      <c r="I2509">
        <f t="shared" si="119"/>
        <v>0</v>
      </c>
    </row>
    <row r="2510" spans="1:9" x14ac:dyDescent="0.3">
      <c r="A2510" t="str">
        <f t="shared" si="117"/>
        <v>-</v>
      </c>
      <c r="B2510" t="str">
        <f t="shared" si="118"/>
        <v>0-</v>
      </c>
      <c r="H2510" t="str">
        <f>IFERROR(VLOOKUP(E2510,DC_Xref!A:B,2,FALSE),"")</f>
        <v/>
      </c>
      <c r="I2510">
        <f t="shared" si="119"/>
        <v>0</v>
      </c>
    </row>
    <row r="2511" spans="1:9" x14ac:dyDescent="0.3">
      <c r="A2511" t="str">
        <f t="shared" si="117"/>
        <v>-</v>
      </c>
      <c r="B2511" t="str">
        <f t="shared" si="118"/>
        <v>0-</v>
      </c>
      <c r="H2511" t="str">
        <f>IFERROR(VLOOKUP(E2511,DC_Xref!A:B,2,FALSE),"")</f>
        <v/>
      </c>
      <c r="I2511">
        <f t="shared" si="119"/>
        <v>0</v>
      </c>
    </row>
    <row r="2512" spans="1:9" x14ac:dyDescent="0.3">
      <c r="A2512" t="str">
        <f t="shared" si="117"/>
        <v>-</v>
      </c>
      <c r="B2512" t="str">
        <f t="shared" si="118"/>
        <v>0-</v>
      </c>
      <c r="H2512" t="str">
        <f>IFERROR(VLOOKUP(E2512,DC_Xref!A:B,2,FALSE),"")</f>
        <v/>
      </c>
      <c r="I2512">
        <f t="shared" si="119"/>
        <v>0</v>
      </c>
    </row>
    <row r="2513" spans="1:9" x14ac:dyDescent="0.3">
      <c r="A2513" t="str">
        <f t="shared" si="117"/>
        <v>-</v>
      </c>
      <c r="B2513" t="str">
        <f t="shared" si="118"/>
        <v>0-</v>
      </c>
      <c r="H2513" t="str">
        <f>IFERROR(VLOOKUP(E2513,DC_Xref!A:B,2,FALSE),"")</f>
        <v/>
      </c>
      <c r="I2513">
        <f t="shared" si="119"/>
        <v>0</v>
      </c>
    </row>
    <row r="2514" spans="1:9" x14ac:dyDescent="0.3">
      <c r="A2514" t="str">
        <f t="shared" si="117"/>
        <v>-</v>
      </c>
      <c r="B2514" t="str">
        <f t="shared" si="118"/>
        <v>0-</v>
      </c>
      <c r="H2514" t="str">
        <f>IFERROR(VLOOKUP(E2514,DC_Xref!A:B,2,FALSE),"")</f>
        <v/>
      </c>
      <c r="I2514">
        <f t="shared" si="119"/>
        <v>0</v>
      </c>
    </row>
    <row r="2515" spans="1:9" x14ac:dyDescent="0.3">
      <c r="A2515" t="str">
        <f t="shared" si="117"/>
        <v>-</v>
      </c>
      <c r="B2515" t="str">
        <f t="shared" si="118"/>
        <v>0-</v>
      </c>
      <c r="H2515" t="str">
        <f>IFERROR(VLOOKUP(E2515,DC_Xref!A:B,2,FALSE),"")</f>
        <v/>
      </c>
      <c r="I2515">
        <f t="shared" si="119"/>
        <v>0</v>
      </c>
    </row>
    <row r="2516" spans="1:9" x14ac:dyDescent="0.3">
      <c r="A2516" t="str">
        <f t="shared" si="117"/>
        <v>-</v>
      </c>
      <c r="B2516" t="str">
        <f t="shared" si="118"/>
        <v>0-</v>
      </c>
      <c r="H2516" t="str">
        <f>IFERROR(VLOOKUP(E2516,DC_Xref!A:B,2,FALSE),"")</f>
        <v/>
      </c>
      <c r="I2516">
        <f t="shared" si="119"/>
        <v>0</v>
      </c>
    </row>
    <row r="2517" spans="1:9" x14ac:dyDescent="0.3">
      <c r="A2517" t="str">
        <f t="shared" si="117"/>
        <v>-</v>
      </c>
      <c r="B2517" t="str">
        <f t="shared" si="118"/>
        <v>0-</v>
      </c>
      <c r="H2517" t="str">
        <f>IFERROR(VLOOKUP(E2517,DC_Xref!A:B,2,FALSE),"")</f>
        <v/>
      </c>
      <c r="I2517">
        <f t="shared" si="119"/>
        <v>0</v>
      </c>
    </row>
    <row r="2518" spans="1:9" x14ac:dyDescent="0.3">
      <c r="A2518" t="str">
        <f t="shared" si="117"/>
        <v>-</v>
      </c>
      <c r="B2518" t="str">
        <f t="shared" si="118"/>
        <v>0-</v>
      </c>
      <c r="H2518" t="str">
        <f>IFERROR(VLOOKUP(E2518,DC_Xref!A:B,2,FALSE),"")</f>
        <v/>
      </c>
      <c r="I2518">
        <f t="shared" si="119"/>
        <v>0</v>
      </c>
    </row>
    <row r="2519" spans="1:9" x14ac:dyDescent="0.3">
      <c r="A2519" t="str">
        <f t="shared" si="117"/>
        <v>-</v>
      </c>
      <c r="B2519" t="str">
        <f t="shared" si="118"/>
        <v>0-</v>
      </c>
      <c r="H2519" t="str">
        <f>IFERROR(VLOOKUP(E2519,DC_Xref!A:B,2,FALSE),"")</f>
        <v/>
      </c>
      <c r="I2519">
        <f t="shared" si="119"/>
        <v>0</v>
      </c>
    </row>
    <row r="2520" spans="1:9" x14ac:dyDescent="0.3">
      <c r="A2520" t="str">
        <f t="shared" si="117"/>
        <v>-</v>
      </c>
      <c r="B2520" t="str">
        <f t="shared" si="118"/>
        <v>0-</v>
      </c>
      <c r="H2520" t="str">
        <f>IFERROR(VLOOKUP(E2520,DC_Xref!A:B,2,FALSE),"")</f>
        <v/>
      </c>
      <c r="I2520">
        <f t="shared" si="119"/>
        <v>0</v>
      </c>
    </row>
    <row r="2521" spans="1:9" x14ac:dyDescent="0.3">
      <c r="A2521" t="str">
        <f t="shared" si="117"/>
        <v>-</v>
      </c>
      <c r="B2521" t="str">
        <f t="shared" si="118"/>
        <v>0-</v>
      </c>
      <c r="H2521" t="str">
        <f>IFERROR(VLOOKUP(E2521,DC_Xref!A:B,2,FALSE),"")</f>
        <v/>
      </c>
      <c r="I2521">
        <f t="shared" si="119"/>
        <v>0</v>
      </c>
    </row>
    <row r="2522" spans="1:9" x14ac:dyDescent="0.3">
      <c r="A2522" t="str">
        <f t="shared" si="117"/>
        <v>-</v>
      </c>
      <c r="B2522" t="str">
        <f t="shared" si="118"/>
        <v>0-</v>
      </c>
      <c r="H2522" t="str">
        <f>IFERROR(VLOOKUP(E2522,DC_Xref!A:B,2,FALSE),"")</f>
        <v/>
      </c>
      <c r="I2522">
        <f t="shared" si="119"/>
        <v>0</v>
      </c>
    </row>
    <row r="2523" spans="1:9" x14ac:dyDescent="0.3">
      <c r="A2523" t="str">
        <f t="shared" si="117"/>
        <v>-</v>
      </c>
      <c r="B2523" t="str">
        <f t="shared" si="118"/>
        <v>0-</v>
      </c>
      <c r="H2523" t="str">
        <f>IFERROR(VLOOKUP(E2523,DC_Xref!A:B,2,FALSE),"")</f>
        <v/>
      </c>
      <c r="I2523">
        <f t="shared" si="119"/>
        <v>0</v>
      </c>
    </row>
    <row r="2524" spans="1:9" x14ac:dyDescent="0.3">
      <c r="A2524" t="str">
        <f t="shared" si="117"/>
        <v>-</v>
      </c>
      <c r="B2524" t="str">
        <f t="shared" si="118"/>
        <v>0-</v>
      </c>
      <c r="H2524" t="str">
        <f>IFERROR(VLOOKUP(E2524,DC_Xref!A:B,2,FALSE),"")</f>
        <v/>
      </c>
      <c r="I2524">
        <f t="shared" si="119"/>
        <v>0</v>
      </c>
    </row>
    <row r="2525" spans="1:9" x14ac:dyDescent="0.3">
      <c r="A2525" t="str">
        <f t="shared" si="117"/>
        <v>-</v>
      </c>
      <c r="B2525" t="str">
        <f t="shared" si="118"/>
        <v>0-</v>
      </c>
      <c r="H2525" t="str">
        <f>IFERROR(VLOOKUP(E2525,DC_Xref!A:B,2,FALSE),"")</f>
        <v/>
      </c>
      <c r="I2525">
        <f t="shared" si="119"/>
        <v>0</v>
      </c>
    </row>
    <row r="2526" spans="1:9" x14ac:dyDescent="0.3">
      <c r="A2526" t="str">
        <f t="shared" si="117"/>
        <v>-</v>
      </c>
      <c r="B2526" t="str">
        <f t="shared" si="118"/>
        <v>0-</v>
      </c>
      <c r="H2526" t="str">
        <f>IFERROR(VLOOKUP(E2526,DC_Xref!A:B,2,FALSE),"")</f>
        <v/>
      </c>
      <c r="I2526">
        <f t="shared" si="119"/>
        <v>0</v>
      </c>
    </row>
    <row r="2527" spans="1:9" x14ac:dyDescent="0.3">
      <c r="A2527" t="str">
        <f t="shared" si="117"/>
        <v>-</v>
      </c>
      <c r="B2527" t="str">
        <f t="shared" si="118"/>
        <v>0-</v>
      </c>
      <c r="H2527" t="str">
        <f>IFERROR(VLOOKUP(E2527,DC_Xref!A:B,2,FALSE),"")</f>
        <v/>
      </c>
      <c r="I2527">
        <f t="shared" si="119"/>
        <v>0</v>
      </c>
    </row>
    <row r="2528" spans="1:9" x14ac:dyDescent="0.3">
      <c r="A2528" t="str">
        <f t="shared" si="117"/>
        <v>-</v>
      </c>
      <c r="B2528" t="str">
        <f t="shared" si="118"/>
        <v>0-</v>
      </c>
      <c r="H2528" t="str">
        <f>IFERROR(VLOOKUP(E2528,DC_Xref!A:B,2,FALSE),"")</f>
        <v/>
      </c>
      <c r="I2528">
        <f t="shared" si="119"/>
        <v>0</v>
      </c>
    </row>
    <row r="2529" spans="1:9" x14ac:dyDescent="0.3">
      <c r="A2529" t="str">
        <f t="shared" si="117"/>
        <v>-</v>
      </c>
      <c r="B2529" t="str">
        <f t="shared" si="118"/>
        <v>0-</v>
      </c>
      <c r="H2529" t="str">
        <f>IFERROR(VLOOKUP(E2529,DC_Xref!A:B,2,FALSE),"")</f>
        <v/>
      </c>
      <c r="I2529">
        <f t="shared" si="119"/>
        <v>0</v>
      </c>
    </row>
    <row r="2530" spans="1:9" x14ac:dyDescent="0.3">
      <c r="A2530" t="str">
        <f t="shared" si="117"/>
        <v>-</v>
      </c>
      <c r="B2530" t="str">
        <f t="shared" si="118"/>
        <v>0-</v>
      </c>
      <c r="H2530" t="str">
        <f>IFERROR(VLOOKUP(E2530,DC_Xref!A:B,2,FALSE),"")</f>
        <v/>
      </c>
      <c r="I2530">
        <f t="shared" si="119"/>
        <v>0</v>
      </c>
    </row>
    <row r="2531" spans="1:9" x14ac:dyDescent="0.3">
      <c r="A2531" t="str">
        <f t="shared" si="117"/>
        <v>-</v>
      </c>
      <c r="B2531" t="str">
        <f t="shared" si="118"/>
        <v>0-</v>
      </c>
      <c r="H2531" t="str">
        <f>IFERROR(VLOOKUP(E2531,DC_Xref!A:B,2,FALSE),"")</f>
        <v/>
      </c>
      <c r="I2531">
        <f t="shared" si="119"/>
        <v>0</v>
      </c>
    </row>
    <row r="2532" spans="1:9" x14ac:dyDescent="0.3">
      <c r="A2532" t="str">
        <f t="shared" si="117"/>
        <v>-</v>
      </c>
      <c r="B2532" t="str">
        <f t="shared" si="118"/>
        <v>0-</v>
      </c>
      <c r="H2532" t="str">
        <f>IFERROR(VLOOKUP(E2532,DC_Xref!A:B,2,FALSE),"")</f>
        <v/>
      </c>
      <c r="I2532">
        <f t="shared" si="119"/>
        <v>0</v>
      </c>
    </row>
    <row r="2533" spans="1:9" x14ac:dyDescent="0.3">
      <c r="A2533" t="str">
        <f t="shared" si="117"/>
        <v>-</v>
      </c>
      <c r="B2533" t="str">
        <f t="shared" si="118"/>
        <v>0-</v>
      </c>
      <c r="H2533" t="str">
        <f>IFERROR(VLOOKUP(E2533,DC_Xref!A:B,2,FALSE),"")</f>
        <v/>
      </c>
      <c r="I2533">
        <f t="shared" si="119"/>
        <v>0</v>
      </c>
    </row>
    <row r="2534" spans="1:9" x14ac:dyDescent="0.3">
      <c r="A2534" t="str">
        <f t="shared" si="117"/>
        <v>-</v>
      </c>
      <c r="B2534" t="str">
        <f t="shared" si="118"/>
        <v>0-</v>
      </c>
      <c r="H2534" t="str">
        <f>IFERROR(VLOOKUP(E2534,DC_Xref!A:B,2,FALSE),"")</f>
        <v/>
      </c>
      <c r="I2534">
        <f t="shared" si="119"/>
        <v>0</v>
      </c>
    </row>
    <row r="2535" spans="1:9" x14ac:dyDescent="0.3">
      <c r="A2535" t="str">
        <f t="shared" si="117"/>
        <v>-</v>
      </c>
      <c r="B2535" t="str">
        <f t="shared" si="118"/>
        <v>0-</v>
      </c>
      <c r="H2535" t="str">
        <f>IFERROR(VLOOKUP(E2535,DC_Xref!A:B,2,FALSE),"")</f>
        <v/>
      </c>
      <c r="I2535">
        <f t="shared" si="119"/>
        <v>0</v>
      </c>
    </row>
    <row r="2536" spans="1:9" x14ac:dyDescent="0.3">
      <c r="A2536" t="str">
        <f t="shared" si="117"/>
        <v>-</v>
      </c>
      <c r="B2536" t="str">
        <f t="shared" si="118"/>
        <v>0-</v>
      </c>
      <c r="H2536" t="str">
        <f>IFERROR(VLOOKUP(E2536,DC_Xref!A:B,2,FALSE),"")</f>
        <v/>
      </c>
      <c r="I2536">
        <f t="shared" si="119"/>
        <v>0</v>
      </c>
    </row>
    <row r="2537" spans="1:9" x14ac:dyDescent="0.3">
      <c r="A2537" t="str">
        <f t="shared" si="117"/>
        <v>-</v>
      </c>
      <c r="B2537" t="str">
        <f t="shared" si="118"/>
        <v>0-</v>
      </c>
      <c r="H2537" t="str">
        <f>IFERROR(VLOOKUP(E2537,DC_Xref!A:B,2,FALSE),"")</f>
        <v/>
      </c>
      <c r="I2537">
        <f t="shared" si="119"/>
        <v>0</v>
      </c>
    </row>
    <row r="2538" spans="1:9" x14ac:dyDescent="0.3">
      <c r="A2538" t="str">
        <f t="shared" si="117"/>
        <v>-</v>
      </c>
      <c r="B2538" t="str">
        <f t="shared" si="118"/>
        <v>0-</v>
      </c>
      <c r="H2538" t="str">
        <f>IFERROR(VLOOKUP(E2538,DC_Xref!A:B,2,FALSE),"")</f>
        <v/>
      </c>
      <c r="I2538">
        <f t="shared" si="119"/>
        <v>0</v>
      </c>
    </row>
    <row r="2539" spans="1:9" x14ac:dyDescent="0.3">
      <c r="A2539" t="str">
        <f t="shared" si="117"/>
        <v>-</v>
      </c>
      <c r="B2539" t="str">
        <f t="shared" si="118"/>
        <v>0-</v>
      </c>
      <c r="H2539" t="str">
        <f>IFERROR(VLOOKUP(E2539,DC_Xref!A:B,2,FALSE),"")</f>
        <v/>
      </c>
      <c r="I2539">
        <f t="shared" si="119"/>
        <v>0</v>
      </c>
    </row>
    <row r="2540" spans="1:9" x14ac:dyDescent="0.3">
      <c r="A2540" t="str">
        <f t="shared" si="117"/>
        <v>-</v>
      </c>
      <c r="B2540" t="str">
        <f t="shared" si="118"/>
        <v>0-</v>
      </c>
      <c r="H2540" t="str">
        <f>IFERROR(VLOOKUP(E2540,DC_Xref!A:B,2,FALSE),"")</f>
        <v/>
      </c>
      <c r="I2540">
        <f t="shared" si="119"/>
        <v>0</v>
      </c>
    </row>
    <row r="2541" spans="1:9" x14ac:dyDescent="0.3">
      <c r="A2541" t="str">
        <f t="shared" si="117"/>
        <v>-</v>
      </c>
      <c r="B2541" t="str">
        <f t="shared" si="118"/>
        <v>0-</v>
      </c>
      <c r="H2541" t="str">
        <f>IFERROR(VLOOKUP(E2541,DC_Xref!A:B,2,FALSE),"")</f>
        <v/>
      </c>
      <c r="I2541">
        <f t="shared" si="119"/>
        <v>0</v>
      </c>
    </row>
    <row r="2542" spans="1:9" x14ac:dyDescent="0.3">
      <c r="A2542" t="str">
        <f t="shared" si="117"/>
        <v>-</v>
      </c>
      <c r="B2542" t="str">
        <f t="shared" si="118"/>
        <v>0-</v>
      </c>
      <c r="H2542" t="str">
        <f>IFERROR(VLOOKUP(E2542,DC_Xref!A:B,2,FALSE),"")</f>
        <v/>
      </c>
      <c r="I2542">
        <f t="shared" si="119"/>
        <v>0</v>
      </c>
    </row>
    <row r="2543" spans="1:9" x14ac:dyDescent="0.3">
      <c r="A2543" t="str">
        <f t="shared" si="117"/>
        <v>-</v>
      </c>
      <c r="B2543" t="str">
        <f t="shared" si="118"/>
        <v>0-</v>
      </c>
      <c r="H2543" t="str">
        <f>IFERROR(VLOOKUP(E2543,DC_Xref!A:B,2,FALSE),"")</f>
        <v/>
      </c>
      <c r="I2543">
        <f t="shared" si="119"/>
        <v>0</v>
      </c>
    </row>
    <row r="2544" spans="1:9" x14ac:dyDescent="0.3">
      <c r="A2544" t="str">
        <f t="shared" si="117"/>
        <v>-</v>
      </c>
      <c r="B2544" t="str">
        <f t="shared" si="118"/>
        <v>0-</v>
      </c>
      <c r="H2544" t="str">
        <f>IFERROR(VLOOKUP(E2544,DC_Xref!A:B,2,FALSE),"")</f>
        <v/>
      </c>
      <c r="I2544">
        <f t="shared" si="119"/>
        <v>0</v>
      </c>
    </row>
    <row r="2545" spans="1:9" x14ac:dyDescent="0.3">
      <c r="A2545" t="str">
        <f t="shared" si="117"/>
        <v>-</v>
      </c>
      <c r="B2545" t="str">
        <f t="shared" si="118"/>
        <v>0-</v>
      </c>
      <c r="H2545" t="str">
        <f>IFERROR(VLOOKUP(E2545,DC_Xref!A:B,2,FALSE),"")</f>
        <v/>
      </c>
      <c r="I2545">
        <f t="shared" si="119"/>
        <v>0</v>
      </c>
    </row>
    <row r="2546" spans="1:9" x14ac:dyDescent="0.3">
      <c r="A2546" t="str">
        <f t="shared" si="117"/>
        <v>-</v>
      </c>
      <c r="B2546" t="str">
        <f t="shared" si="118"/>
        <v>0-</v>
      </c>
      <c r="H2546" t="str">
        <f>IFERROR(VLOOKUP(E2546,DC_Xref!A:B,2,FALSE),"")</f>
        <v/>
      </c>
      <c r="I2546">
        <f t="shared" si="119"/>
        <v>0</v>
      </c>
    </row>
    <row r="2547" spans="1:9" x14ac:dyDescent="0.3">
      <c r="A2547" t="str">
        <f t="shared" si="117"/>
        <v>-</v>
      </c>
      <c r="B2547" t="str">
        <f t="shared" si="118"/>
        <v>0-</v>
      </c>
      <c r="H2547" t="str">
        <f>IFERROR(VLOOKUP(E2547,DC_Xref!A:B,2,FALSE),"")</f>
        <v/>
      </c>
      <c r="I2547">
        <f t="shared" si="119"/>
        <v>0</v>
      </c>
    </row>
    <row r="2548" spans="1:9" x14ac:dyDescent="0.3">
      <c r="A2548" t="str">
        <f t="shared" si="117"/>
        <v>-</v>
      </c>
      <c r="B2548" t="str">
        <f t="shared" si="118"/>
        <v>0-</v>
      </c>
      <c r="H2548" t="str">
        <f>IFERROR(VLOOKUP(E2548,DC_Xref!A:B,2,FALSE),"")</f>
        <v/>
      </c>
      <c r="I2548">
        <f t="shared" si="119"/>
        <v>0</v>
      </c>
    </row>
    <row r="2549" spans="1:9" x14ac:dyDescent="0.3">
      <c r="A2549" t="str">
        <f t="shared" si="117"/>
        <v>-</v>
      </c>
      <c r="B2549" t="str">
        <f t="shared" si="118"/>
        <v>0-</v>
      </c>
      <c r="H2549" t="str">
        <f>IFERROR(VLOOKUP(E2549,DC_Xref!A:B,2,FALSE),"")</f>
        <v/>
      </c>
      <c r="I2549">
        <f t="shared" si="119"/>
        <v>0</v>
      </c>
    </row>
    <row r="2550" spans="1:9" x14ac:dyDescent="0.3">
      <c r="A2550" t="str">
        <f t="shared" si="117"/>
        <v>-</v>
      </c>
      <c r="B2550" t="str">
        <f t="shared" si="118"/>
        <v>0-</v>
      </c>
      <c r="H2550" t="str">
        <f>IFERROR(VLOOKUP(E2550,DC_Xref!A:B,2,FALSE),"")</f>
        <v/>
      </c>
      <c r="I2550">
        <f t="shared" si="119"/>
        <v>0</v>
      </c>
    </row>
    <row r="2551" spans="1:9" x14ac:dyDescent="0.3">
      <c r="A2551" t="str">
        <f t="shared" si="117"/>
        <v>-</v>
      </c>
      <c r="B2551" t="str">
        <f t="shared" si="118"/>
        <v>0-</v>
      </c>
      <c r="H2551" t="str">
        <f>IFERROR(VLOOKUP(E2551,DC_Xref!A:B,2,FALSE),"")</f>
        <v/>
      </c>
      <c r="I2551">
        <f t="shared" si="119"/>
        <v>0</v>
      </c>
    </row>
    <row r="2552" spans="1:9" x14ac:dyDescent="0.3">
      <c r="A2552" t="str">
        <f t="shared" si="117"/>
        <v>-</v>
      </c>
      <c r="B2552" t="str">
        <f t="shared" si="118"/>
        <v>0-</v>
      </c>
      <c r="H2552" t="str">
        <f>IFERROR(VLOOKUP(E2552,DC_Xref!A:B,2,FALSE),"")</f>
        <v/>
      </c>
      <c r="I2552">
        <f t="shared" si="119"/>
        <v>0</v>
      </c>
    </row>
    <row r="2553" spans="1:9" x14ac:dyDescent="0.3">
      <c r="A2553" t="str">
        <f t="shared" si="117"/>
        <v>-</v>
      </c>
      <c r="B2553" t="str">
        <f t="shared" si="118"/>
        <v>0-</v>
      </c>
      <c r="H2553" t="str">
        <f>IFERROR(VLOOKUP(E2553,DC_Xref!A:B,2,FALSE),"")</f>
        <v/>
      </c>
      <c r="I2553">
        <f t="shared" si="119"/>
        <v>0</v>
      </c>
    </row>
    <row r="2554" spans="1:9" x14ac:dyDescent="0.3">
      <c r="A2554" t="str">
        <f t="shared" si="117"/>
        <v>-</v>
      </c>
      <c r="B2554" t="str">
        <f t="shared" si="118"/>
        <v>0-</v>
      </c>
      <c r="H2554" t="str">
        <f>IFERROR(VLOOKUP(E2554,DC_Xref!A:B,2,FALSE),"")</f>
        <v/>
      </c>
      <c r="I2554">
        <f t="shared" si="119"/>
        <v>0</v>
      </c>
    </row>
    <row r="2555" spans="1:9" x14ac:dyDescent="0.3">
      <c r="A2555" t="str">
        <f t="shared" si="117"/>
        <v>-</v>
      </c>
      <c r="B2555" t="str">
        <f t="shared" si="118"/>
        <v>0-</v>
      </c>
      <c r="H2555" t="str">
        <f>IFERROR(VLOOKUP(E2555,DC_Xref!A:B,2,FALSE),"")</f>
        <v/>
      </c>
      <c r="I2555">
        <f t="shared" si="119"/>
        <v>0</v>
      </c>
    </row>
    <row r="2556" spans="1:9" x14ac:dyDescent="0.3">
      <c r="A2556" t="str">
        <f t="shared" si="117"/>
        <v>-</v>
      </c>
      <c r="B2556" t="str">
        <f t="shared" si="118"/>
        <v>0-</v>
      </c>
      <c r="H2556" t="str">
        <f>IFERROR(VLOOKUP(E2556,DC_Xref!A:B,2,FALSE),"")</f>
        <v/>
      </c>
      <c r="I2556">
        <f t="shared" si="119"/>
        <v>0</v>
      </c>
    </row>
    <row r="2557" spans="1:9" x14ac:dyDescent="0.3">
      <c r="A2557" t="str">
        <f t="shared" si="117"/>
        <v>-</v>
      </c>
      <c r="B2557" t="str">
        <f t="shared" si="118"/>
        <v>0-</v>
      </c>
      <c r="H2557" t="str">
        <f>IFERROR(VLOOKUP(E2557,DC_Xref!A:B,2,FALSE),"")</f>
        <v/>
      </c>
      <c r="I2557">
        <f t="shared" si="119"/>
        <v>0</v>
      </c>
    </row>
    <row r="2558" spans="1:9" x14ac:dyDescent="0.3">
      <c r="A2558" t="str">
        <f t="shared" si="117"/>
        <v>-</v>
      </c>
      <c r="B2558" t="str">
        <f t="shared" si="118"/>
        <v>0-</v>
      </c>
      <c r="H2558" t="str">
        <f>IFERROR(VLOOKUP(E2558,DC_Xref!A:B,2,FALSE),"")</f>
        <v/>
      </c>
      <c r="I2558">
        <f t="shared" si="119"/>
        <v>0</v>
      </c>
    </row>
    <row r="2559" spans="1:9" x14ac:dyDescent="0.3">
      <c r="A2559" t="str">
        <f t="shared" si="117"/>
        <v>-</v>
      </c>
      <c r="B2559" t="str">
        <f t="shared" si="118"/>
        <v>0-</v>
      </c>
      <c r="H2559" t="str">
        <f>IFERROR(VLOOKUP(E2559,DC_Xref!A:B,2,FALSE),"")</f>
        <v/>
      </c>
      <c r="I2559">
        <f t="shared" si="119"/>
        <v>0</v>
      </c>
    </row>
    <row r="2560" spans="1:9" x14ac:dyDescent="0.3">
      <c r="A2560" t="str">
        <f t="shared" si="117"/>
        <v>-</v>
      </c>
      <c r="B2560" t="str">
        <f t="shared" si="118"/>
        <v>0-</v>
      </c>
      <c r="H2560" t="str">
        <f>IFERROR(VLOOKUP(E2560,DC_Xref!A:B,2,FALSE),"")</f>
        <v/>
      </c>
      <c r="I2560">
        <f t="shared" si="119"/>
        <v>0</v>
      </c>
    </row>
    <row r="2561" spans="1:9" x14ac:dyDescent="0.3">
      <c r="A2561" t="str">
        <f t="shared" si="117"/>
        <v>-</v>
      </c>
      <c r="B2561" t="str">
        <f t="shared" si="118"/>
        <v>0-</v>
      </c>
      <c r="H2561" t="str">
        <f>IFERROR(VLOOKUP(E2561,DC_Xref!A:B,2,FALSE),"")</f>
        <v/>
      </c>
      <c r="I2561">
        <f t="shared" si="119"/>
        <v>0</v>
      </c>
    </row>
    <row r="2562" spans="1:9" x14ac:dyDescent="0.3">
      <c r="A2562" t="str">
        <f t="shared" ref="A2562:A2625" si="120">C2562&amp;"-"&amp;F2562</f>
        <v>-</v>
      </c>
      <c r="B2562" t="str">
        <f t="shared" ref="B2562:B2625" si="121">I2562&amp;"-"&amp;H2562</f>
        <v>0-</v>
      </c>
      <c r="H2562" t="str">
        <f>IFERROR(VLOOKUP(E2562,DC_Xref!A:B,2,FALSE),"")</f>
        <v/>
      </c>
      <c r="I2562">
        <f t="shared" ref="I2562:I2625" si="122">C2562*100+D2562</f>
        <v>0</v>
      </c>
    </row>
    <row r="2563" spans="1:9" x14ac:dyDescent="0.3">
      <c r="A2563" t="str">
        <f t="shared" si="120"/>
        <v>-</v>
      </c>
      <c r="B2563" t="str">
        <f t="shared" si="121"/>
        <v>0-</v>
      </c>
      <c r="H2563" t="str">
        <f>IFERROR(VLOOKUP(E2563,DC_Xref!A:B,2,FALSE),"")</f>
        <v/>
      </c>
      <c r="I2563">
        <f t="shared" si="122"/>
        <v>0</v>
      </c>
    </row>
    <row r="2564" spans="1:9" x14ac:dyDescent="0.3">
      <c r="A2564" t="str">
        <f t="shared" si="120"/>
        <v>-</v>
      </c>
      <c r="B2564" t="str">
        <f t="shared" si="121"/>
        <v>0-</v>
      </c>
      <c r="H2564" t="str">
        <f>IFERROR(VLOOKUP(E2564,DC_Xref!A:B,2,FALSE),"")</f>
        <v/>
      </c>
      <c r="I2564">
        <f t="shared" si="122"/>
        <v>0</v>
      </c>
    </row>
    <row r="2565" spans="1:9" x14ac:dyDescent="0.3">
      <c r="A2565" t="str">
        <f t="shared" si="120"/>
        <v>-</v>
      </c>
      <c r="B2565" t="str">
        <f t="shared" si="121"/>
        <v>0-</v>
      </c>
      <c r="H2565" t="str">
        <f>IFERROR(VLOOKUP(E2565,DC_Xref!A:B,2,FALSE),"")</f>
        <v/>
      </c>
      <c r="I2565">
        <f t="shared" si="122"/>
        <v>0</v>
      </c>
    </row>
    <row r="2566" spans="1:9" x14ac:dyDescent="0.3">
      <c r="A2566" t="str">
        <f t="shared" si="120"/>
        <v>-</v>
      </c>
      <c r="B2566" t="str">
        <f t="shared" si="121"/>
        <v>0-</v>
      </c>
      <c r="H2566" t="str">
        <f>IFERROR(VLOOKUP(E2566,DC_Xref!A:B,2,FALSE),"")</f>
        <v/>
      </c>
      <c r="I2566">
        <f t="shared" si="122"/>
        <v>0</v>
      </c>
    </row>
    <row r="2567" spans="1:9" x14ac:dyDescent="0.3">
      <c r="A2567" t="str">
        <f t="shared" si="120"/>
        <v>-</v>
      </c>
      <c r="B2567" t="str">
        <f t="shared" si="121"/>
        <v>0-</v>
      </c>
      <c r="H2567" t="str">
        <f>IFERROR(VLOOKUP(E2567,DC_Xref!A:B,2,FALSE),"")</f>
        <v/>
      </c>
      <c r="I2567">
        <f t="shared" si="122"/>
        <v>0</v>
      </c>
    </row>
    <row r="2568" spans="1:9" x14ac:dyDescent="0.3">
      <c r="A2568" t="str">
        <f t="shared" si="120"/>
        <v>-</v>
      </c>
      <c r="B2568" t="str">
        <f t="shared" si="121"/>
        <v>0-</v>
      </c>
      <c r="H2568" t="str">
        <f>IFERROR(VLOOKUP(E2568,DC_Xref!A:B,2,FALSE),"")</f>
        <v/>
      </c>
      <c r="I2568">
        <f t="shared" si="122"/>
        <v>0</v>
      </c>
    </row>
    <row r="2569" spans="1:9" x14ac:dyDescent="0.3">
      <c r="A2569" t="str">
        <f t="shared" si="120"/>
        <v>-</v>
      </c>
      <c r="B2569" t="str">
        <f t="shared" si="121"/>
        <v>0-</v>
      </c>
      <c r="H2569" t="str">
        <f>IFERROR(VLOOKUP(E2569,DC_Xref!A:B,2,FALSE),"")</f>
        <v/>
      </c>
      <c r="I2569">
        <f t="shared" si="122"/>
        <v>0</v>
      </c>
    </row>
    <row r="2570" spans="1:9" x14ac:dyDescent="0.3">
      <c r="A2570" t="str">
        <f t="shared" si="120"/>
        <v>-</v>
      </c>
      <c r="B2570" t="str">
        <f t="shared" si="121"/>
        <v>0-</v>
      </c>
      <c r="H2570" t="str">
        <f>IFERROR(VLOOKUP(E2570,DC_Xref!A:B,2,FALSE),"")</f>
        <v/>
      </c>
      <c r="I2570">
        <f t="shared" si="122"/>
        <v>0</v>
      </c>
    </row>
    <row r="2571" spans="1:9" x14ac:dyDescent="0.3">
      <c r="A2571" t="str">
        <f t="shared" si="120"/>
        <v>-</v>
      </c>
      <c r="B2571" t="str">
        <f t="shared" si="121"/>
        <v>0-</v>
      </c>
      <c r="H2571" t="str">
        <f>IFERROR(VLOOKUP(E2571,DC_Xref!A:B,2,FALSE),"")</f>
        <v/>
      </c>
      <c r="I2571">
        <f t="shared" si="122"/>
        <v>0</v>
      </c>
    </row>
    <row r="2572" spans="1:9" x14ac:dyDescent="0.3">
      <c r="A2572" t="str">
        <f t="shared" si="120"/>
        <v>-</v>
      </c>
      <c r="B2572" t="str">
        <f t="shared" si="121"/>
        <v>0-</v>
      </c>
      <c r="H2572" t="str">
        <f>IFERROR(VLOOKUP(E2572,DC_Xref!A:B,2,FALSE),"")</f>
        <v/>
      </c>
      <c r="I2572">
        <f t="shared" si="122"/>
        <v>0</v>
      </c>
    </row>
    <row r="2573" spans="1:9" x14ac:dyDescent="0.3">
      <c r="A2573" t="str">
        <f t="shared" si="120"/>
        <v>-</v>
      </c>
      <c r="B2573" t="str">
        <f t="shared" si="121"/>
        <v>0-</v>
      </c>
      <c r="H2573" t="str">
        <f>IFERROR(VLOOKUP(E2573,DC_Xref!A:B,2,FALSE),"")</f>
        <v/>
      </c>
      <c r="I2573">
        <f t="shared" si="122"/>
        <v>0</v>
      </c>
    </row>
    <row r="2574" spans="1:9" x14ac:dyDescent="0.3">
      <c r="A2574" t="str">
        <f t="shared" si="120"/>
        <v>-</v>
      </c>
      <c r="B2574" t="str">
        <f t="shared" si="121"/>
        <v>0-</v>
      </c>
      <c r="H2574" t="str">
        <f>IFERROR(VLOOKUP(E2574,DC_Xref!A:B,2,FALSE),"")</f>
        <v/>
      </c>
      <c r="I2574">
        <f t="shared" si="122"/>
        <v>0</v>
      </c>
    </row>
    <row r="2575" spans="1:9" x14ac:dyDescent="0.3">
      <c r="A2575" t="str">
        <f t="shared" si="120"/>
        <v>-</v>
      </c>
      <c r="B2575" t="str">
        <f t="shared" si="121"/>
        <v>0-</v>
      </c>
      <c r="H2575" t="str">
        <f>IFERROR(VLOOKUP(E2575,DC_Xref!A:B,2,FALSE),"")</f>
        <v/>
      </c>
      <c r="I2575">
        <f t="shared" si="122"/>
        <v>0</v>
      </c>
    </row>
    <row r="2576" spans="1:9" x14ac:dyDescent="0.3">
      <c r="A2576" t="str">
        <f t="shared" si="120"/>
        <v>-</v>
      </c>
      <c r="B2576" t="str">
        <f t="shared" si="121"/>
        <v>0-</v>
      </c>
      <c r="H2576" t="str">
        <f>IFERROR(VLOOKUP(E2576,DC_Xref!A:B,2,FALSE),"")</f>
        <v/>
      </c>
      <c r="I2576">
        <f t="shared" si="122"/>
        <v>0</v>
      </c>
    </row>
    <row r="2577" spans="1:9" x14ac:dyDescent="0.3">
      <c r="A2577" t="str">
        <f t="shared" si="120"/>
        <v>-</v>
      </c>
      <c r="B2577" t="str">
        <f t="shared" si="121"/>
        <v>0-</v>
      </c>
      <c r="H2577" t="str">
        <f>IFERROR(VLOOKUP(E2577,DC_Xref!A:B,2,FALSE),"")</f>
        <v/>
      </c>
      <c r="I2577">
        <f t="shared" si="122"/>
        <v>0</v>
      </c>
    </row>
    <row r="2578" spans="1:9" x14ac:dyDescent="0.3">
      <c r="A2578" t="str">
        <f t="shared" si="120"/>
        <v>-</v>
      </c>
      <c r="B2578" t="str">
        <f t="shared" si="121"/>
        <v>0-</v>
      </c>
      <c r="H2578" t="str">
        <f>IFERROR(VLOOKUP(E2578,DC_Xref!A:B,2,FALSE),"")</f>
        <v/>
      </c>
      <c r="I2578">
        <f t="shared" si="122"/>
        <v>0</v>
      </c>
    </row>
    <row r="2579" spans="1:9" x14ac:dyDescent="0.3">
      <c r="A2579" t="str">
        <f t="shared" si="120"/>
        <v>-</v>
      </c>
      <c r="B2579" t="str">
        <f t="shared" si="121"/>
        <v>0-</v>
      </c>
      <c r="H2579" t="str">
        <f>IFERROR(VLOOKUP(E2579,DC_Xref!A:B,2,FALSE),"")</f>
        <v/>
      </c>
      <c r="I2579">
        <f t="shared" si="122"/>
        <v>0</v>
      </c>
    </row>
    <row r="2580" spans="1:9" x14ac:dyDescent="0.3">
      <c r="A2580" t="str">
        <f t="shared" si="120"/>
        <v>-</v>
      </c>
      <c r="B2580" t="str">
        <f t="shared" si="121"/>
        <v>0-</v>
      </c>
      <c r="H2580" t="str">
        <f>IFERROR(VLOOKUP(E2580,DC_Xref!A:B,2,FALSE),"")</f>
        <v/>
      </c>
      <c r="I2580">
        <f t="shared" si="122"/>
        <v>0</v>
      </c>
    </row>
    <row r="2581" spans="1:9" x14ac:dyDescent="0.3">
      <c r="A2581" t="str">
        <f t="shared" si="120"/>
        <v>-</v>
      </c>
      <c r="B2581" t="str">
        <f t="shared" si="121"/>
        <v>0-</v>
      </c>
      <c r="H2581" t="str">
        <f>IFERROR(VLOOKUP(E2581,DC_Xref!A:B,2,FALSE),"")</f>
        <v/>
      </c>
      <c r="I2581">
        <f t="shared" si="122"/>
        <v>0</v>
      </c>
    </row>
    <row r="2582" spans="1:9" x14ac:dyDescent="0.3">
      <c r="A2582" t="str">
        <f t="shared" si="120"/>
        <v>-</v>
      </c>
      <c r="B2582" t="str">
        <f t="shared" si="121"/>
        <v>0-</v>
      </c>
      <c r="H2582" t="str">
        <f>IFERROR(VLOOKUP(E2582,DC_Xref!A:B,2,FALSE),"")</f>
        <v/>
      </c>
      <c r="I2582">
        <f t="shared" si="122"/>
        <v>0</v>
      </c>
    </row>
    <row r="2583" spans="1:9" x14ac:dyDescent="0.3">
      <c r="A2583" t="str">
        <f t="shared" si="120"/>
        <v>-</v>
      </c>
      <c r="B2583" t="str">
        <f t="shared" si="121"/>
        <v>0-</v>
      </c>
      <c r="H2583" t="str">
        <f>IFERROR(VLOOKUP(E2583,DC_Xref!A:B,2,FALSE),"")</f>
        <v/>
      </c>
      <c r="I2583">
        <f t="shared" si="122"/>
        <v>0</v>
      </c>
    </row>
    <row r="2584" spans="1:9" x14ac:dyDescent="0.3">
      <c r="A2584" t="str">
        <f t="shared" si="120"/>
        <v>-</v>
      </c>
      <c r="B2584" t="str">
        <f t="shared" si="121"/>
        <v>0-</v>
      </c>
      <c r="H2584" t="str">
        <f>IFERROR(VLOOKUP(E2584,DC_Xref!A:B,2,FALSE),"")</f>
        <v/>
      </c>
      <c r="I2584">
        <f t="shared" si="122"/>
        <v>0</v>
      </c>
    </row>
    <row r="2585" spans="1:9" x14ac:dyDescent="0.3">
      <c r="A2585" t="str">
        <f t="shared" si="120"/>
        <v>-</v>
      </c>
      <c r="B2585" t="str">
        <f t="shared" si="121"/>
        <v>0-</v>
      </c>
      <c r="H2585" t="str">
        <f>IFERROR(VLOOKUP(E2585,DC_Xref!A:B,2,FALSE),"")</f>
        <v/>
      </c>
      <c r="I2585">
        <f t="shared" si="122"/>
        <v>0</v>
      </c>
    </row>
    <row r="2586" spans="1:9" x14ac:dyDescent="0.3">
      <c r="A2586" t="str">
        <f t="shared" si="120"/>
        <v>-</v>
      </c>
      <c r="B2586" t="str">
        <f t="shared" si="121"/>
        <v>0-</v>
      </c>
      <c r="H2586" t="str">
        <f>IFERROR(VLOOKUP(E2586,DC_Xref!A:B,2,FALSE),"")</f>
        <v/>
      </c>
      <c r="I2586">
        <f t="shared" si="122"/>
        <v>0</v>
      </c>
    </row>
    <row r="2587" spans="1:9" x14ac:dyDescent="0.3">
      <c r="A2587" t="str">
        <f t="shared" si="120"/>
        <v>-</v>
      </c>
      <c r="B2587" t="str">
        <f t="shared" si="121"/>
        <v>0-</v>
      </c>
      <c r="H2587" t="str">
        <f>IFERROR(VLOOKUP(E2587,DC_Xref!A:B,2,FALSE),"")</f>
        <v/>
      </c>
      <c r="I2587">
        <f t="shared" si="122"/>
        <v>0</v>
      </c>
    </row>
    <row r="2588" spans="1:9" x14ac:dyDescent="0.3">
      <c r="A2588" t="str">
        <f t="shared" si="120"/>
        <v>-</v>
      </c>
      <c r="B2588" t="str">
        <f t="shared" si="121"/>
        <v>0-</v>
      </c>
      <c r="H2588" t="str">
        <f>IFERROR(VLOOKUP(E2588,DC_Xref!A:B,2,FALSE),"")</f>
        <v/>
      </c>
      <c r="I2588">
        <f t="shared" si="122"/>
        <v>0</v>
      </c>
    </row>
    <row r="2589" spans="1:9" x14ac:dyDescent="0.3">
      <c r="A2589" t="str">
        <f t="shared" si="120"/>
        <v>-</v>
      </c>
      <c r="B2589" t="str">
        <f t="shared" si="121"/>
        <v>0-</v>
      </c>
      <c r="H2589" t="str">
        <f>IFERROR(VLOOKUP(E2589,DC_Xref!A:B,2,FALSE),"")</f>
        <v/>
      </c>
      <c r="I2589">
        <f t="shared" si="122"/>
        <v>0</v>
      </c>
    </row>
    <row r="2590" spans="1:9" x14ac:dyDescent="0.3">
      <c r="A2590" t="str">
        <f t="shared" si="120"/>
        <v>-</v>
      </c>
      <c r="B2590" t="str">
        <f t="shared" si="121"/>
        <v>0-</v>
      </c>
      <c r="H2590" t="str">
        <f>IFERROR(VLOOKUP(E2590,DC_Xref!A:B,2,FALSE),"")</f>
        <v/>
      </c>
      <c r="I2590">
        <f t="shared" si="122"/>
        <v>0</v>
      </c>
    </row>
    <row r="2591" spans="1:9" x14ac:dyDescent="0.3">
      <c r="A2591" t="str">
        <f t="shared" si="120"/>
        <v>-</v>
      </c>
      <c r="B2591" t="str">
        <f t="shared" si="121"/>
        <v>0-</v>
      </c>
      <c r="H2591" t="str">
        <f>IFERROR(VLOOKUP(E2591,DC_Xref!A:B,2,FALSE),"")</f>
        <v/>
      </c>
      <c r="I2591">
        <f t="shared" si="122"/>
        <v>0</v>
      </c>
    </row>
    <row r="2592" spans="1:9" x14ac:dyDescent="0.3">
      <c r="A2592" t="str">
        <f t="shared" si="120"/>
        <v>-</v>
      </c>
      <c r="B2592" t="str">
        <f t="shared" si="121"/>
        <v>0-</v>
      </c>
      <c r="H2592" t="str">
        <f>IFERROR(VLOOKUP(E2592,DC_Xref!A:B,2,FALSE),"")</f>
        <v/>
      </c>
      <c r="I2592">
        <f t="shared" si="122"/>
        <v>0</v>
      </c>
    </row>
    <row r="2593" spans="1:9" x14ac:dyDescent="0.3">
      <c r="A2593" t="str">
        <f t="shared" si="120"/>
        <v>-</v>
      </c>
      <c r="B2593" t="str">
        <f t="shared" si="121"/>
        <v>0-</v>
      </c>
      <c r="H2593" t="str">
        <f>IFERROR(VLOOKUP(E2593,DC_Xref!A:B,2,FALSE),"")</f>
        <v/>
      </c>
      <c r="I2593">
        <f t="shared" si="122"/>
        <v>0</v>
      </c>
    </row>
    <row r="2594" spans="1:9" x14ac:dyDescent="0.3">
      <c r="A2594" t="str">
        <f t="shared" si="120"/>
        <v>-</v>
      </c>
      <c r="B2594" t="str">
        <f t="shared" si="121"/>
        <v>0-</v>
      </c>
      <c r="H2594" t="str">
        <f>IFERROR(VLOOKUP(E2594,DC_Xref!A:B,2,FALSE),"")</f>
        <v/>
      </c>
      <c r="I2594">
        <f t="shared" si="122"/>
        <v>0</v>
      </c>
    </row>
    <row r="2595" spans="1:9" x14ac:dyDescent="0.3">
      <c r="A2595" t="str">
        <f t="shared" si="120"/>
        <v>-</v>
      </c>
      <c r="B2595" t="str">
        <f t="shared" si="121"/>
        <v>0-</v>
      </c>
      <c r="H2595" t="str">
        <f>IFERROR(VLOOKUP(E2595,DC_Xref!A:B,2,FALSE),"")</f>
        <v/>
      </c>
      <c r="I2595">
        <f t="shared" si="122"/>
        <v>0</v>
      </c>
    </row>
    <row r="2596" spans="1:9" x14ac:dyDescent="0.3">
      <c r="A2596" t="str">
        <f t="shared" si="120"/>
        <v>-</v>
      </c>
      <c r="B2596" t="str">
        <f t="shared" si="121"/>
        <v>0-</v>
      </c>
      <c r="H2596" t="str">
        <f>IFERROR(VLOOKUP(E2596,DC_Xref!A:B,2,FALSE),"")</f>
        <v/>
      </c>
      <c r="I2596">
        <f t="shared" si="122"/>
        <v>0</v>
      </c>
    </row>
    <row r="2597" spans="1:9" x14ac:dyDescent="0.3">
      <c r="A2597" t="str">
        <f t="shared" si="120"/>
        <v>-</v>
      </c>
      <c r="B2597" t="str">
        <f t="shared" si="121"/>
        <v>0-</v>
      </c>
      <c r="H2597" t="str">
        <f>IFERROR(VLOOKUP(E2597,DC_Xref!A:B,2,FALSE),"")</f>
        <v/>
      </c>
      <c r="I2597">
        <f t="shared" si="122"/>
        <v>0</v>
      </c>
    </row>
    <row r="2598" spans="1:9" x14ac:dyDescent="0.3">
      <c r="A2598" t="str">
        <f t="shared" si="120"/>
        <v>-</v>
      </c>
      <c r="B2598" t="str">
        <f t="shared" si="121"/>
        <v>0-</v>
      </c>
      <c r="H2598" t="str">
        <f>IFERROR(VLOOKUP(E2598,DC_Xref!A:B,2,FALSE),"")</f>
        <v/>
      </c>
      <c r="I2598">
        <f t="shared" si="122"/>
        <v>0</v>
      </c>
    </row>
    <row r="2599" spans="1:9" x14ac:dyDescent="0.3">
      <c r="A2599" t="str">
        <f t="shared" si="120"/>
        <v>-</v>
      </c>
      <c r="B2599" t="str">
        <f t="shared" si="121"/>
        <v>0-</v>
      </c>
      <c r="H2599" t="str">
        <f>IFERROR(VLOOKUP(E2599,DC_Xref!A:B,2,FALSE),"")</f>
        <v/>
      </c>
      <c r="I2599">
        <f t="shared" si="122"/>
        <v>0</v>
      </c>
    </row>
    <row r="2600" spans="1:9" x14ac:dyDescent="0.3">
      <c r="A2600" t="str">
        <f t="shared" si="120"/>
        <v>-</v>
      </c>
      <c r="B2600" t="str">
        <f t="shared" si="121"/>
        <v>0-</v>
      </c>
      <c r="H2600" t="str">
        <f>IFERROR(VLOOKUP(E2600,DC_Xref!A:B,2,FALSE),"")</f>
        <v/>
      </c>
      <c r="I2600">
        <f t="shared" si="122"/>
        <v>0</v>
      </c>
    </row>
    <row r="2601" spans="1:9" x14ac:dyDescent="0.3">
      <c r="A2601" t="str">
        <f t="shared" si="120"/>
        <v>-</v>
      </c>
      <c r="B2601" t="str">
        <f t="shared" si="121"/>
        <v>0-</v>
      </c>
      <c r="H2601" t="str">
        <f>IFERROR(VLOOKUP(E2601,DC_Xref!A:B,2,FALSE),"")</f>
        <v/>
      </c>
      <c r="I2601">
        <f t="shared" si="122"/>
        <v>0</v>
      </c>
    </row>
    <row r="2602" spans="1:9" x14ac:dyDescent="0.3">
      <c r="A2602" t="str">
        <f t="shared" si="120"/>
        <v>-</v>
      </c>
      <c r="B2602" t="str">
        <f t="shared" si="121"/>
        <v>0-</v>
      </c>
      <c r="H2602" t="str">
        <f>IFERROR(VLOOKUP(E2602,DC_Xref!A:B,2,FALSE),"")</f>
        <v/>
      </c>
      <c r="I2602">
        <f t="shared" si="122"/>
        <v>0</v>
      </c>
    </row>
    <row r="2603" spans="1:9" x14ac:dyDescent="0.3">
      <c r="A2603" t="str">
        <f t="shared" si="120"/>
        <v>-</v>
      </c>
      <c r="B2603" t="str">
        <f t="shared" si="121"/>
        <v>0-</v>
      </c>
      <c r="H2603" t="str">
        <f>IFERROR(VLOOKUP(E2603,DC_Xref!A:B,2,FALSE),"")</f>
        <v/>
      </c>
      <c r="I2603">
        <f t="shared" si="122"/>
        <v>0</v>
      </c>
    </row>
    <row r="2604" spans="1:9" x14ac:dyDescent="0.3">
      <c r="A2604" t="str">
        <f t="shared" si="120"/>
        <v>-</v>
      </c>
      <c r="B2604" t="str">
        <f t="shared" si="121"/>
        <v>0-</v>
      </c>
      <c r="H2604" t="str">
        <f>IFERROR(VLOOKUP(E2604,DC_Xref!A:B,2,FALSE),"")</f>
        <v/>
      </c>
      <c r="I2604">
        <f t="shared" si="122"/>
        <v>0</v>
      </c>
    </row>
    <row r="2605" spans="1:9" x14ac:dyDescent="0.3">
      <c r="A2605" t="str">
        <f t="shared" si="120"/>
        <v>-</v>
      </c>
      <c r="B2605" t="str">
        <f t="shared" si="121"/>
        <v>0-</v>
      </c>
      <c r="H2605" t="str">
        <f>IFERROR(VLOOKUP(E2605,DC_Xref!A:B,2,FALSE),"")</f>
        <v/>
      </c>
      <c r="I2605">
        <f t="shared" si="122"/>
        <v>0</v>
      </c>
    </row>
    <row r="2606" spans="1:9" x14ac:dyDescent="0.3">
      <c r="A2606" t="str">
        <f t="shared" si="120"/>
        <v>-</v>
      </c>
      <c r="B2606" t="str">
        <f t="shared" si="121"/>
        <v>0-</v>
      </c>
      <c r="H2606" t="str">
        <f>IFERROR(VLOOKUP(E2606,DC_Xref!A:B,2,FALSE),"")</f>
        <v/>
      </c>
      <c r="I2606">
        <f t="shared" si="122"/>
        <v>0</v>
      </c>
    </row>
    <row r="2607" spans="1:9" x14ac:dyDescent="0.3">
      <c r="A2607" t="str">
        <f t="shared" si="120"/>
        <v>-</v>
      </c>
      <c r="B2607" t="str">
        <f t="shared" si="121"/>
        <v>0-</v>
      </c>
      <c r="H2607" t="str">
        <f>IFERROR(VLOOKUP(E2607,DC_Xref!A:B,2,FALSE),"")</f>
        <v/>
      </c>
      <c r="I2607">
        <f t="shared" si="122"/>
        <v>0</v>
      </c>
    </row>
    <row r="2608" spans="1:9" x14ac:dyDescent="0.3">
      <c r="A2608" t="str">
        <f t="shared" si="120"/>
        <v>-</v>
      </c>
      <c r="B2608" t="str">
        <f t="shared" si="121"/>
        <v>0-</v>
      </c>
      <c r="H2608" t="str">
        <f>IFERROR(VLOOKUP(E2608,DC_Xref!A:B,2,FALSE),"")</f>
        <v/>
      </c>
      <c r="I2608">
        <f t="shared" si="122"/>
        <v>0</v>
      </c>
    </row>
    <row r="2609" spans="1:9" x14ac:dyDescent="0.3">
      <c r="A2609" t="str">
        <f t="shared" si="120"/>
        <v>-</v>
      </c>
      <c r="B2609" t="str">
        <f t="shared" si="121"/>
        <v>0-</v>
      </c>
      <c r="H2609" t="str">
        <f>IFERROR(VLOOKUP(E2609,DC_Xref!A:B,2,FALSE),"")</f>
        <v/>
      </c>
      <c r="I2609">
        <f t="shared" si="122"/>
        <v>0</v>
      </c>
    </row>
    <row r="2610" spans="1:9" x14ac:dyDescent="0.3">
      <c r="A2610" t="str">
        <f t="shared" si="120"/>
        <v>-</v>
      </c>
      <c r="B2610" t="str">
        <f t="shared" si="121"/>
        <v>0-</v>
      </c>
      <c r="H2610" t="str">
        <f>IFERROR(VLOOKUP(E2610,DC_Xref!A:B,2,FALSE),"")</f>
        <v/>
      </c>
      <c r="I2610">
        <f t="shared" si="122"/>
        <v>0</v>
      </c>
    </row>
    <row r="2611" spans="1:9" x14ac:dyDescent="0.3">
      <c r="A2611" t="str">
        <f t="shared" si="120"/>
        <v>-</v>
      </c>
      <c r="B2611" t="str">
        <f t="shared" si="121"/>
        <v>0-</v>
      </c>
      <c r="H2611" t="str">
        <f>IFERROR(VLOOKUP(E2611,DC_Xref!A:B,2,FALSE),"")</f>
        <v/>
      </c>
      <c r="I2611">
        <f t="shared" si="122"/>
        <v>0</v>
      </c>
    </row>
    <row r="2612" spans="1:9" x14ac:dyDescent="0.3">
      <c r="A2612" t="str">
        <f t="shared" si="120"/>
        <v>-</v>
      </c>
      <c r="B2612" t="str">
        <f t="shared" si="121"/>
        <v>0-</v>
      </c>
      <c r="H2612" t="str">
        <f>IFERROR(VLOOKUP(E2612,DC_Xref!A:B,2,FALSE),"")</f>
        <v/>
      </c>
      <c r="I2612">
        <f t="shared" si="122"/>
        <v>0</v>
      </c>
    </row>
    <row r="2613" spans="1:9" x14ac:dyDescent="0.3">
      <c r="A2613" t="str">
        <f t="shared" si="120"/>
        <v>-</v>
      </c>
      <c r="B2613" t="str">
        <f t="shared" si="121"/>
        <v>0-</v>
      </c>
      <c r="H2613" t="str">
        <f>IFERROR(VLOOKUP(E2613,DC_Xref!A:B,2,FALSE),"")</f>
        <v/>
      </c>
      <c r="I2613">
        <f t="shared" si="122"/>
        <v>0</v>
      </c>
    </row>
    <row r="2614" spans="1:9" x14ac:dyDescent="0.3">
      <c r="A2614" t="str">
        <f t="shared" si="120"/>
        <v>-</v>
      </c>
      <c r="B2614" t="str">
        <f t="shared" si="121"/>
        <v>0-</v>
      </c>
      <c r="H2614" t="str">
        <f>IFERROR(VLOOKUP(E2614,DC_Xref!A:B,2,FALSE),"")</f>
        <v/>
      </c>
      <c r="I2614">
        <f t="shared" si="122"/>
        <v>0</v>
      </c>
    </row>
    <row r="2615" spans="1:9" x14ac:dyDescent="0.3">
      <c r="A2615" t="str">
        <f t="shared" si="120"/>
        <v>-</v>
      </c>
      <c r="B2615" t="str">
        <f t="shared" si="121"/>
        <v>0-</v>
      </c>
      <c r="H2615" t="str">
        <f>IFERROR(VLOOKUP(E2615,DC_Xref!A:B,2,FALSE),"")</f>
        <v/>
      </c>
      <c r="I2615">
        <f t="shared" si="122"/>
        <v>0</v>
      </c>
    </row>
    <row r="2616" spans="1:9" x14ac:dyDescent="0.3">
      <c r="A2616" t="str">
        <f t="shared" si="120"/>
        <v>-</v>
      </c>
      <c r="B2616" t="str">
        <f t="shared" si="121"/>
        <v>0-</v>
      </c>
      <c r="H2616" t="str">
        <f>IFERROR(VLOOKUP(E2616,DC_Xref!A:B,2,FALSE),"")</f>
        <v/>
      </c>
      <c r="I2616">
        <f t="shared" si="122"/>
        <v>0</v>
      </c>
    </row>
    <row r="2617" spans="1:9" x14ac:dyDescent="0.3">
      <c r="A2617" t="str">
        <f t="shared" si="120"/>
        <v>-</v>
      </c>
      <c r="B2617" t="str">
        <f t="shared" si="121"/>
        <v>0-</v>
      </c>
      <c r="H2617" t="str">
        <f>IFERROR(VLOOKUP(E2617,DC_Xref!A:B,2,FALSE),"")</f>
        <v/>
      </c>
      <c r="I2617">
        <f t="shared" si="122"/>
        <v>0</v>
      </c>
    </row>
    <row r="2618" spans="1:9" x14ac:dyDescent="0.3">
      <c r="A2618" t="str">
        <f t="shared" si="120"/>
        <v>-</v>
      </c>
      <c r="B2618" t="str">
        <f t="shared" si="121"/>
        <v>0-</v>
      </c>
      <c r="H2618" t="str">
        <f>IFERROR(VLOOKUP(E2618,DC_Xref!A:B,2,FALSE),"")</f>
        <v/>
      </c>
      <c r="I2618">
        <f t="shared" si="122"/>
        <v>0</v>
      </c>
    </row>
    <row r="2619" spans="1:9" x14ac:dyDescent="0.3">
      <c r="A2619" t="str">
        <f t="shared" si="120"/>
        <v>-</v>
      </c>
      <c r="B2619" t="str">
        <f t="shared" si="121"/>
        <v>0-</v>
      </c>
      <c r="H2619" t="str">
        <f>IFERROR(VLOOKUP(E2619,DC_Xref!A:B,2,FALSE),"")</f>
        <v/>
      </c>
      <c r="I2619">
        <f t="shared" si="122"/>
        <v>0</v>
      </c>
    </row>
    <row r="2620" spans="1:9" x14ac:dyDescent="0.3">
      <c r="A2620" t="str">
        <f t="shared" si="120"/>
        <v>-</v>
      </c>
      <c r="B2620" t="str">
        <f t="shared" si="121"/>
        <v>0-</v>
      </c>
      <c r="H2620" t="str">
        <f>IFERROR(VLOOKUP(E2620,DC_Xref!A:B,2,FALSE),"")</f>
        <v/>
      </c>
      <c r="I2620">
        <f t="shared" si="122"/>
        <v>0</v>
      </c>
    </row>
    <row r="2621" spans="1:9" x14ac:dyDescent="0.3">
      <c r="A2621" t="str">
        <f t="shared" si="120"/>
        <v>-</v>
      </c>
      <c r="B2621" t="str">
        <f t="shared" si="121"/>
        <v>0-</v>
      </c>
      <c r="H2621" t="str">
        <f>IFERROR(VLOOKUP(E2621,DC_Xref!A:B,2,FALSE),"")</f>
        <v/>
      </c>
      <c r="I2621">
        <f t="shared" si="122"/>
        <v>0</v>
      </c>
    </row>
    <row r="2622" spans="1:9" x14ac:dyDescent="0.3">
      <c r="A2622" t="str">
        <f t="shared" si="120"/>
        <v>-</v>
      </c>
      <c r="B2622" t="str">
        <f t="shared" si="121"/>
        <v>0-</v>
      </c>
      <c r="H2622" t="str">
        <f>IFERROR(VLOOKUP(E2622,DC_Xref!A:B,2,FALSE),"")</f>
        <v/>
      </c>
      <c r="I2622">
        <f t="shared" si="122"/>
        <v>0</v>
      </c>
    </row>
    <row r="2623" spans="1:9" x14ac:dyDescent="0.3">
      <c r="A2623" t="str">
        <f t="shared" si="120"/>
        <v>-</v>
      </c>
      <c r="B2623" t="str">
        <f t="shared" si="121"/>
        <v>0-</v>
      </c>
      <c r="H2623" t="str">
        <f>IFERROR(VLOOKUP(E2623,DC_Xref!A:B,2,FALSE),"")</f>
        <v/>
      </c>
      <c r="I2623">
        <f t="shared" si="122"/>
        <v>0</v>
      </c>
    </row>
    <row r="2624" spans="1:9" x14ac:dyDescent="0.3">
      <c r="A2624" t="str">
        <f t="shared" si="120"/>
        <v>-</v>
      </c>
      <c r="B2624" t="str">
        <f t="shared" si="121"/>
        <v>0-</v>
      </c>
      <c r="H2624" t="str">
        <f>IFERROR(VLOOKUP(E2624,DC_Xref!A:B,2,FALSE),"")</f>
        <v/>
      </c>
      <c r="I2624">
        <f t="shared" si="122"/>
        <v>0</v>
      </c>
    </row>
    <row r="2625" spans="1:9" x14ac:dyDescent="0.3">
      <c r="A2625" t="str">
        <f t="shared" si="120"/>
        <v>-</v>
      </c>
      <c r="B2625" t="str">
        <f t="shared" si="121"/>
        <v>0-</v>
      </c>
      <c r="H2625" t="str">
        <f>IFERROR(VLOOKUP(E2625,DC_Xref!A:B,2,FALSE),"")</f>
        <v/>
      </c>
      <c r="I2625">
        <f t="shared" si="122"/>
        <v>0</v>
      </c>
    </row>
    <row r="2626" spans="1:9" x14ac:dyDescent="0.3">
      <c r="A2626" t="str">
        <f t="shared" ref="A2626:A2689" si="123">C2626&amp;"-"&amp;F2626</f>
        <v>-</v>
      </c>
      <c r="B2626" t="str">
        <f t="shared" ref="B2626:B2689" si="124">I2626&amp;"-"&amp;H2626</f>
        <v>0-</v>
      </c>
      <c r="H2626" t="str">
        <f>IFERROR(VLOOKUP(E2626,DC_Xref!A:B,2,FALSE),"")</f>
        <v/>
      </c>
      <c r="I2626">
        <f t="shared" ref="I2626:I2689" si="125">C2626*100+D2626</f>
        <v>0</v>
      </c>
    </row>
    <row r="2627" spans="1:9" x14ac:dyDescent="0.3">
      <c r="A2627" t="str">
        <f t="shared" si="123"/>
        <v>-</v>
      </c>
      <c r="B2627" t="str">
        <f t="shared" si="124"/>
        <v>0-</v>
      </c>
      <c r="H2627" t="str">
        <f>IFERROR(VLOOKUP(E2627,DC_Xref!A:B,2,FALSE),"")</f>
        <v/>
      </c>
      <c r="I2627">
        <f t="shared" si="125"/>
        <v>0</v>
      </c>
    </row>
    <row r="2628" spans="1:9" x14ac:dyDescent="0.3">
      <c r="A2628" t="str">
        <f t="shared" si="123"/>
        <v>-</v>
      </c>
      <c r="B2628" t="str">
        <f t="shared" si="124"/>
        <v>0-</v>
      </c>
      <c r="H2628" t="str">
        <f>IFERROR(VLOOKUP(E2628,DC_Xref!A:B,2,FALSE),"")</f>
        <v/>
      </c>
      <c r="I2628">
        <f t="shared" si="125"/>
        <v>0</v>
      </c>
    </row>
    <row r="2629" spans="1:9" x14ac:dyDescent="0.3">
      <c r="A2629" t="str">
        <f t="shared" si="123"/>
        <v>-</v>
      </c>
      <c r="B2629" t="str">
        <f t="shared" si="124"/>
        <v>0-</v>
      </c>
      <c r="H2629" t="str">
        <f>IFERROR(VLOOKUP(E2629,DC_Xref!A:B,2,FALSE),"")</f>
        <v/>
      </c>
      <c r="I2629">
        <f t="shared" si="125"/>
        <v>0</v>
      </c>
    </row>
    <row r="2630" spans="1:9" x14ac:dyDescent="0.3">
      <c r="A2630" t="str">
        <f t="shared" si="123"/>
        <v>-</v>
      </c>
      <c r="B2630" t="str">
        <f t="shared" si="124"/>
        <v>0-</v>
      </c>
      <c r="H2630" t="str">
        <f>IFERROR(VLOOKUP(E2630,DC_Xref!A:B,2,FALSE),"")</f>
        <v/>
      </c>
      <c r="I2630">
        <f t="shared" si="125"/>
        <v>0</v>
      </c>
    </row>
    <row r="2631" spans="1:9" x14ac:dyDescent="0.3">
      <c r="A2631" t="str">
        <f t="shared" si="123"/>
        <v>-</v>
      </c>
      <c r="B2631" t="str">
        <f t="shared" si="124"/>
        <v>0-</v>
      </c>
      <c r="H2631" t="str">
        <f>IFERROR(VLOOKUP(E2631,DC_Xref!A:B,2,FALSE),"")</f>
        <v/>
      </c>
      <c r="I2631">
        <f t="shared" si="125"/>
        <v>0</v>
      </c>
    </row>
    <row r="2632" spans="1:9" x14ac:dyDescent="0.3">
      <c r="A2632" t="str">
        <f t="shared" si="123"/>
        <v>-</v>
      </c>
      <c r="B2632" t="str">
        <f t="shared" si="124"/>
        <v>0-</v>
      </c>
      <c r="H2632" t="str">
        <f>IFERROR(VLOOKUP(E2632,DC_Xref!A:B,2,FALSE),"")</f>
        <v/>
      </c>
      <c r="I2632">
        <f t="shared" si="125"/>
        <v>0</v>
      </c>
    </row>
    <row r="2633" spans="1:9" x14ac:dyDescent="0.3">
      <c r="A2633" t="str">
        <f t="shared" si="123"/>
        <v>-</v>
      </c>
      <c r="B2633" t="str">
        <f t="shared" si="124"/>
        <v>0-</v>
      </c>
      <c r="H2633" t="str">
        <f>IFERROR(VLOOKUP(E2633,DC_Xref!A:B,2,FALSE),"")</f>
        <v/>
      </c>
      <c r="I2633">
        <f t="shared" si="125"/>
        <v>0</v>
      </c>
    </row>
    <row r="2634" spans="1:9" x14ac:dyDescent="0.3">
      <c r="A2634" t="str">
        <f t="shared" si="123"/>
        <v>-</v>
      </c>
      <c r="B2634" t="str">
        <f t="shared" si="124"/>
        <v>0-</v>
      </c>
      <c r="H2634" t="str">
        <f>IFERROR(VLOOKUP(E2634,DC_Xref!A:B,2,FALSE),"")</f>
        <v/>
      </c>
      <c r="I2634">
        <f t="shared" si="125"/>
        <v>0</v>
      </c>
    </row>
    <row r="2635" spans="1:9" x14ac:dyDescent="0.3">
      <c r="A2635" t="str">
        <f t="shared" si="123"/>
        <v>-</v>
      </c>
      <c r="B2635" t="str">
        <f t="shared" si="124"/>
        <v>0-</v>
      </c>
      <c r="H2635" t="str">
        <f>IFERROR(VLOOKUP(E2635,DC_Xref!A:B,2,FALSE),"")</f>
        <v/>
      </c>
      <c r="I2635">
        <f t="shared" si="125"/>
        <v>0</v>
      </c>
    </row>
    <row r="2636" spans="1:9" x14ac:dyDescent="0.3">
      <c r="A2636" t="str">
        <f t="shared" si="123"/>
        <v>-</v>
      </c>
      <c r="B2636" t="str">
        <f t="shared" si="124"/>
        <v>0-</v>
      </c>
      <c r="H2636" t="str">
        <f>IFERROR(VLOOKUP(E2636,DC_Xref!A:B,2,FALSE),"")</f>
        <v/>
      </c>
      <c r="I2636">
        <f t="shared" si="125"/>
        <v>0</v>
      </c>
    </row>
    <row r="2637" spans="1:9" x14ac:dyDescent="0.3">
      <c r="A2637" t="str">
        <f t="shared" si="123"/>
        <v>-</v>
      </c>
      <c r="B2637" t="str">
        <f t="shared" si="124"/>
        <v>0-</v>
      </c>
      <c r="H2637" t="str">
        <f>IFERROR(VLOOKUP(E2637,DC_Xref!A:B,2,FALSE),"")</f>
        <v/>
      </c>
      <c r="I2637">
        <f t="shared" si="125"/>
        <v>0</v>
      </c>
    </row>
    <row r="2638" spans="1:9" x14ac:dyDescent="0.3">
      <c r="A2638" t="str">
        <f t="shared" si="123"/>
        <v>-</v>
      </c>
      <c r="B2638" t="str">
        <f t="shared" si="124"/>
        <v>0-</v>
      </c>
      <c r="H2638" t="str">
        <f>IFERROR(VLOOKUP(E2638,DC_Xref!A:B,2,FALSE),"")</f>
        <v/>
      </c>
      <c r="I2638">
        <f t="shared" si="125"/>
        <v>0</v>
      </c>
    </row>
    <row r="2639" spans="1:9" x14ac:dyDescent="0.3">
      <c r="A2639" t="str">
        <f t="shared" si="123"/>
        <v>-</v>
      </c>
      <c r="B2639" t="str">
        <f t="shared" si="124"/>
        <v>0-</v>
      </c>
      <c r="H2639" t="str">
        <f>IFERROR(VLOOKUP(E2639,DC_Xref!A:B,2,FALSE),"")</f>
        <v/>
      </c>
      <c r="I2639">
        <f t="shared" si="125"/>
        <v>0</v>
      </c>
    </row>
    <row r="2640" spans="1:9" x14ac:dyDescent="0.3">
      <c r="A2640" t="str">
        <f t="shared" si="123"/>
        <v>-</v>
      </c>
      <c r="B2640" t="str">
        <f t="shared" si="124"/>
        <v>0-</v>
      </c>
      <c r="H2640" t="str">
        <f>IFERROR(VLOOKUP(E2640,DC_Xref!A:B,2,FALSE),"")</f>
        <v/>
      </c>
      <c r="I2640">
        <f t="shared" si="125"/>
        <v>0</v>
      </c>
    </row>
    <row r="2641" spans="1:9" x14ac:dyDescent="0.3">
      <c r="A2641" t="str">
        <f t="shared" si="123"/>
        <v>-</v>
      </c>
      <c r="B2641" t="str">
        <f t="shared" si="124"/>
        <v>0-</v>
      </c>
      <c r="H2641" t="str">
        <f>IFERROR(VLOOKUP(E2641,DC_Xref!A:B,2,FALSE),"")</f>
        <v/>
      </c>
      <c r="I2641">
        <f t="shared" si="125"/>
        <v>0</v>
      </c>
    </row>
    <row r="2642" spans="1:9" x14ac:dyDescent="0.3">
      <c r="A2642" t="str">
        <f t="shared" si="123"/>
        <v>-</v>
      </c>
      <c r="B2642" t="str">
        <f t="shared" si="124"/>
        <v>0-</v>
      </c>
      <c r="H2642" t="str">
        <f>IFERROR(VLOOKUP(E2642,DC_Xref!A:B,2,FALSE),"")</f>
        <v/>
      </c>
      <c r="I2642">
        <f t="shared" si="125"/>
        <v>0</v>
      </c>
    </row>
    <row r="2643" spans="1:9" x14ac:dyDescent="0.3">
      <c r="A2643" t="str">
        <f t="shared" si="123"/>
        <v>-</v>
      </c>
      <c r="B2643" t="str">
        <f t="shared" si="124"/>
        <v>0-</v>
      </c>
      <c r="H2643" t="str">
        <f>IFERROR(VLOOKUP(E2643,DC_Xref!A:B,2,FALSE),"")</f>
        <v/>
      </c>
      <c r="I2643">
        <f t="shared" si="125"/>
        <v>0</v>
      </c>
    </row>
    <row r="2644" spans="1:9" x14ac:dyDescent="0.3">
      <c r="A2644" t="str">
        <f t="shared" si="123"/>
        <v>-</v>
      </c>
      <c r="B2644" t="str">
        <f t="shared" si="124"/>
        <v>0-</v>
      </c>
      <c r="H2644" t="str">
        <f>IFERROR(VLOOKUP(E2644,DC_Xref!A:B,2,FALSE),"")</f>
        <v/>
      </c>
      <c r="I2644">
        <f t="shared" si="125"/>
        <v>0</v>
      </c>
    </row>
    <row r="2645" spans="1:9" x14ac:dyDescent="0.3">
      <c r="A2645" t="str">
        <f t="shared" si="123"/>
        <v>-</v>
      </c>
      <c r="B2645" t="str">
        <f t="shared" si="124"/>
        <v>0-</v>
      </c>
      <c r="H2645" t="str">
        <f>IFERROR(VLOOKUP(E2645,DC_Xref!A:B,2,FALSE),"")</f>
        <v/>
      </c>
      <c r="I2645">
        <f t="shared" si="125"/>
        <v>0</v>
      </c>
    </row>
    <row r="2646" spans="1:9" x14ac:dyDescent="0.3">
      <c r="A2646" t="str">
        <f t="shared" si="123"/>
        <v>-</v>
      </c>
      <c r="B2646" t="str">
        <f t="shared" si="124"/>
        <v>0-</v>
      </c>
      <c r="H2646" t="str">
        <f>IFERROR(VLOOKUP(E2646,DC_Xref!A:B,2,FALSE),"")</f>
        <v/>
      </c>
      <c r="I2646">
        <f t="shared" si="125"/>
        <v>0</v>
      </c>
    </row>
    <row r="2647" spans="1:9" x14ac:dyDescent="0.3">
      <c r="A2647" t="str">
        <f t="shared" si="123"/>
        <v>-</v>
      </c>
      <c r="B2647" t="str">
        <f t="shared" si="124"/>
        <v>0-</v>
      </c>
      <c r="H2647" t="str">
        <f>IFERROR(VLOOKUP(E2647,DC_Xref!A:B,2,FALSE),"")</f>
        <v/>
      </c>
      <c r="I2647">
        <f t="shared" si="125"/>
        <v>0</v>
      </c>
    </row>
    <row r="2648" spans="1:9" x14ac:dyDescent="0.3">
      <c r="A2648" t="str">
        <f t="shared" si="123"/>
        <v>-</v>
      </c>
      <c r="B2648" t="str">
        <f t="shared" si="124"/>
        <v>0-</v>
      </c>
      <c r="H2648" t="str">
        <f>IFERROR(VLOOKUP(E2648,DC_Xref!A:B,2,FALSE),"")</f>
        <v/>
      </c>
      <c r="I2648">
        <f t="shared" si="125"/>
        <v>0</v>
      </c>
    </row>
    <row r="2649" spans="1:9" x14ac:dyDescent="0.3">
      <c r="A2649" t="str">
        <f t="shared" si="123"/>
        <v>-</v>
      </c>
      <c r="B2649" t="str">
        <f t="shared" si="124"/>
        <v>0-</v>
      </c>
      <c r="H2649" t="str">
        <f>IFERROR(VLOOKUP(E2649,DC_Xref!A:B,2,FALSE),"")</f>
        <v/>
      </c>
      <c r="I2649">
        <f t="shared" si="125"/>
        <v>0</v>
      </c>
    </row>
    <row r="2650" spans="1:9" x14ac:dyDescent="0.3">
      <c r="A2650" t="str">
        <f t="shared" si="123"/>
        <v>-</v>
      </c>
      <c r="B2650" t="str">
        <f t="shared" si="124"/>
        <v>0-</v>
      </c>
      <c r="H2650" t="str">
        <f>IFERROR(VLOOKUP(E2650,DC_Xref!A:B,2,FALSE),"")</f>
        <v/>
      </c>
      <c r="I2650">
        <f t="shared" si="125"/>
        <v>0</v>
      </c>
    </row>
    <row r="2651" spans="1:9" x14ac:dyDescent="0.3">
      <c r="A2651" t="str">
        <f t="shared" si="123"/>
        <v>-</v>
      </c>
      <c r="B2651" t="str">
        <f t="shared" si="124"/>
        <v>0-</v>
      </c>
      <c r="H2651" t="str">
        <f>IFERROR(VLOOKUP(E2651,DC_Xref!A:B,2,FALSE),"")</f>
        <v/>
      </c>
      <c r="I2651">
        <f t="shared" si="125"/>
        <v>0</v>
      </c>
    </row>
    <row r="2652" spans="1:9" x14ac:dyDescent="0.3">
      <c r="A2652" t="str">
        <f t="shared" si="123"/>
        <v>-</v>
      </c>
      <c r="B2652" t="str">
        <f t="shared" si="124"/>
        <v>0-</v>
      </c>
      <c r="H2652" t="str">
        <f>IFERROR(VLOOKUP(E2652,DC_Xref!A:B,2,FALSE),"")</f>
        <v/>
      </c>
      <c r="I2652">
        <f t="shared" si="125"/>
        <v>0</v>
      </c>
    </row>
    <row r="2653" spans="1:9" x14ac:dyDescent="0.3">
      <c r="A2653" t="str">
        <f t="shared" si="123"/>
        <v>-</v>
      </c>
      <c r="B2653" t="str">
        <f t="shared" si="124"/>
        <v>0-</v>
      </c>
      <c r="H2653" t="str">
        <f>IFERROR(VLOOKUP(E2653,DC_Xref!A:B,2,FALSE),"")</f>
        <v/>
      </c>
      <c r="I2653">
        <f t="shared" si="125"/>
        <v>0</v>
      </c>
    </row>
    <row r="2654" spans="1:9" x14ac:dyDescent="0.3">
      <c r="A2654" t="str">
        <f t="shared" si="123"/>
        <v>-</v>
      </c>
      <c r="B2654" t="str">
        <f t="shared" si="124"/>
        <v>0-</v>
      </c>
      <c r="H2654" t="str">
        <f>IFERROR(VLOOKUP(E2654,DC_Xref!A:B,2,FALSE),"")</f>
        <v/>
      </c>
      <c r="I2654">
        <f t="shared" si="125"/>
        <v>0</v>
      </c>
    </row>
    <row r="2655" spans="1:9" x14ac:dyDescent="0.3">
      <c r="A2655" t="str">
        <f t="shared" si="123"/>
        <v>-</v>
      </c>
      <c r="B2655" t="str">
        <f t="shared" si="124"/>
        <v>0-</v>
      </c>
      <c r="H2655" t="str">
        <f>IFERROR(VLOOKUP(E2655,DC_Xref!A:B,2,FALSE),"")</f>
        <v/>
      </c>
      <c r="I2655">
        <f t="shared" si="125"/>
        <v>0</v>
      </c>
    </row>
    <row r="2656" spans="1:9" x14ac:dyDescent="0.3">
      <c r="A2656" t="str">
        <f t="shared" si="123"/>
        <v>-</v>
      </c>
      <c r="B2656" t="str">
        <f t="shared" si="124"/>
        <v>0-</v>
      </c>
      <c r="H2656" t="str">
        <f>IFERROR(VLOOKUP(E2656,DC_Xref!A:B,2,FALSE),"")</f>
        <v/>
      </c>
      <c r="I2656">
        <f t="shared" si="125"/>
        <v>0</v>
      </c>
    </row>
    <row r="2657" spans="1:9" x14ac:dyDescent="0.3">
      <c r="A2657" t="str">
        <f t="shared" si="123"/>
        <v>-</v>
      </c>
      <c r="B2657" t="str">
        <f t="shared" si="124"/>
        <v>0-</v>
      </c>
      <c r="H2657" t="str">
        <f>IFERROR(VLOOKUP(E2657,DC_Xref!A:B,2,FALSE),"")</f>
        <v/>
      </c>
      <c r="I2657">
        <f t="shared" si="125"/>
        <v>0</v>
      </c>
    </row>
    <row r="2658" spans="1:9" x14ac:dyDescent="0.3">
      <c r="A2658" t="str">
        <f t="shared" si="123"/>
        <v>-</v>
      </c>
      <c r="B2658" t="str">
        <f t="shared" si="124"/>
        <v>0-</v>
      </c>
      <c r="H2658" t="str">
        <f>IFERROR(VLOOKUP(E2658,DC_Xref!A:B,2,FALSE),"")</f>
        <v/>
      </c>
      <c r="I2658">
        <f t="shared" si="125"/>
        <v>0</v>
      </c>
    </row>
    <row r="2659" spans="1:9" x14ac:dyDescent="0.3">
      <c r="A2659" t="str">
        <f t="shared" si="123"/>
        <v>-</v>
      </c>
      <c r="B2659" t="str">
        <f t="shared" si="124"/>
        <v>0-</v>
      </c>
      <c r="H2659" t="str">
        <f>IFERROR(VLOOKUP(E2659,DC_Xref!A:B,2,FALSE),"")</f>
        <v/>
      </c>
      <c r="I2659">
        <f t="shared" si="125"/>
        <v>0</v>
      </c>
    </row>
    <row r="2660" spans="1:9" x14ac:dyDescent="0.3">
      <c r="A2660" t="str">
        <f t="shared" si="123"/>
        <v>-</v>
      </c>
      <c r="B2660" t="str">
        <f t="shared" si="124"/>
        <v>0-</v>
      </c>
      <c r="H2660" t="str">
        <f>IFERROR(VLOOKUP(E2660,DC_Xref!A:B,2,FALSE),"")</f>
        <v/>
      </c>
      <c r="I2660">
        <f t="shared" si="125"/>
        <v>0</v>
      </c>
    </row>
    <row r="2661" spans="1:9" x14ac:dyDescent="0.3">
      <c r="A2661" t="str">
        <f t="shared" si="123"/>
        <v>-</v>
      </c>
      <c r="B2661" t="str">
        <f t="shared" si="124"/>
        <v>0-</v>
      </c>
      <c r="H2661" t="str">
        <f>IFERROR(VLOOKUP(E2661,DC_Xref!A:B,2,FALSE),"")</f>
        <v/>
      </c>
      <c r="I2661">
        <f t="shared" si="125"/>
        <v>0</v>
      </c>
    </row>
    <row r="2662" spans="1:9" x14ac:dyDescent="0.3">
      <c r="A2662" t="str">
        <f t="shared" si="123"/>
        <v>-</v>
      </c>
      <c r="B2662" t="str">
        <f t="shared" si="124"/>
        <v>0-</v>
      </c>
      <c r="H2662" t="str">
        <f>IFERROR(VLOOKUP(E2662,DC_Xref!A:B,2,FALSE),"")</f>
        <v/>
      </c>
      <c r="I2662">
        <f t="shared" si="125"/>
        <v>0</v>
      </c>
    </row>
    <row r="2663" spans="1:9" x14ac:dyDescent="0.3">
      <c r="A2663" t="str">
        <f t="shared" si="123"/>
        <v>-</v>
      </c>
      <c r="B2663" t="str">
        <f t="shared" si="124"/>
        <v>0-</v>
      </c>
      <c r="H2663" t="str">
        <f>IFERROR(VLOOKUP(E2663,DC_Xref!A:B,2,FALSE),"")</f>
        <v/>
      </c>
      <c r="I2663">
        <f t="shared" si="125"/>
        <v>0</v>
      </c>
    </row>
    <row r="2664" spans="1:9" x14ac:dyDescent="0.3">
      <c r="A2664" t="str">
        <f t="shared" si="123"/>
        <v>-</v>
      </c>
      <c r="B2664" t="str">
        <f t="shared" si="124"/>
        <v>0-</v>
      </c>
      <c r="H2664" t="str">
        <f>IFERROR(VLOOKUP(E2664,DC_Xref!A:B,2,FALSE),"")</f>
        <v/>
      </c>
      <c r="I2664">
        <f t="shared" si="125"/>
        <v>0</v>
      </c>
    </row>
    <row r="2665" spans="1:9" x14ac:dyDescent="0.3">
      <c r="A2665" t="str">
        <f t="shared" si="123"/>
        <v>-</v>
      </c>
      <c r="B2665" t="str">
        <f t="shared" si="124"/>
        <v>0-</v>
      </c>
      <c r="H2665" t="str">
        <f>IFERROR(VLOOKUP(E2665,DC_Xref!A:B,2,FALSE),"")</f>
        <v/>
      </c>
      <c r="I2665">
        <f t="shared" si="125"/>
        <v>0</v>
      </c>
    </row>
    <row r="2666" spans="1:9" x14ac:dyDescent="0.3">
      <c r="A2666" t="str">
        <f t="shared" si="123"/>
        <v>-</v>
      </c>
      <c r="B2666" t="str">
        <f t="shared" si="124"/>
        <v>0-</v>
      </c>
      <c r="H2666" t="str">
        <f>IFERROR(VLOOKUP(E2666,DC_Xref!A:B,2,FALSE),"")</f>
        <v/>
      </c>
      <c r="I2666">
        <f t="shared" si="125"/>
        <v>0</v>
      </c>
    </row>
    <row r="2667" spans="1:9" x14ac:dyDescent="0.3">
      <c r="A2667" t="str">
        <f t="shared" si="123"/>
        <v>-</v>
      </c>
      <c r="B2667" t="str">
        <f t="shared" si="124"/>
        <v>0-</v>
      </c>
      <c r="H2667" t="str">
        <f>IFERROR(VLOOKUP(E2667,DC_Xref!A:B,2,FALSE),"")</f>
        <v/>
      </c>
      <c r="I2667">
        <f t="shared" si="125"/>
        <v>0</v>
      </c>
    </row>
    <row r="2668" spans="1:9" x14ac:dyDescent="0.3">
      <c r="A2668" t="str">
        <f t="shared" si="123"/>
        <v>-</v>
      </c>
      <c r="B2668" t="str">
        <f t="shared" si="124"/>
        <v>0-</v>
      </c>
      <c r="H2668" t="str">
        <f>IFERROR(VLOOKUP(E2668,DC_Xref!A:B,2,FALSE),"")</f>
        <v/>
      </c>
      <c r="I2668">
        <f t="shared" si="125"/>
        <v>0</v>
      </c>
    </row>
    <row r="2669" spans="1:9" x14ac:dyDescent="0.3">
      <c r="A2669" t="str">
        <f t="shared" si="123"/>
        <v>-</v>
      </c>
      <c r="B2669" t="str">
        <f t="shared" si="124"/>
        <v>0-</v>
      </c>
      <c r="H2669" t="str">
        <f>IFERROR(VLOOKUP(E2669,DC_Xref!A:B,2,FALSE),"")</f>
        <v/>
      </c>
      <c r="I2669">
        <f t="shared" si="125"/>
        <v>0</v>
      </c>
    </row>
    <row r="2670" spans="1:9" x14ac:dyDescent="0.3">
      <c r="A2670" t="str">
        <f t="shared" si="123"/>
        <v>-</v>
      </c>
      <c r="B2670" t="str">
        <f t="shared" si="124"/>
        <v>0-</v>
      </c>
      <c r="H2670" t="str">
        <f>IFERROR(VLOOKUP(E2670,DC_Xref!A:B,2,FALSE),"")</f>
        <v/>
      </c>
      <c r="I2670">
        <f t="shared" si="125"/>
        <v>0</v>
      </c>
    </row>
    <row r="2671" spans="1:9" x14ac:dyDescent="0.3">
      <c r="A2671" t="str">
        <f t="shared" si="123"/>
        <v>-</v>
      </c>
      <c r="B2671" t="str">
        <f t="shared" si="124"/>
        <v>0-</v>
      </c>
      <c r="H2671" t="str">
        <f>IFERROR(VLOOKUP(E2671,DC_Xref!A:B,2,FALSE),"")</f>
        <v/>
      </c>
      <c r="I2671">
        <f t="shared" si="125"/>
        <v>0</v>
      </c>
    </row>
    <row r="2672" spans="1:9" x14ac:dyDescent="0.3">
      <c r="A2672" t="str">
        <f t="shared" si="123"/>
        <v>-</v>
      </c>
      <c r="B2672" t="str">
        <f t="shared" si="124"/>
        <v>0-</v>
      </c>
      <c r="H2672" t="str">
        <f>IFERROR(VLOOKUP(E2672,DC_Xref!A:B,2,FALSE),"")</f>
        <v/>
      </c>
      <c r="I2672">
        <f t="shared" si="125"/>
        <v>0</v>
      </c>
    </row>
    <row r="2673" spans="1:9" x14ac:dyDescent="0.3">
      <c r="A2673" t="str">
        <f t="shared" si="123"/>
        <v>-</v>
      </c>
      <c r="B2673" t="str">
        <f t="shared" si="124"/>
        <v>0-</v>
      </c>
      <c r="H2673" t="str">
        <f>IFERROR(VLOOKUP(E2673,DC_Xref!A:B,2,FALSE),"")</f>
        <v/>
      </c>
      <c r="I2673">
        <f t="shared" si="125"/>
        <v>0</v>
      </c>
    </row>
    <row r="2674" spans="1:9" x14ac:dyDescent="0.3">
      <c r="A2674" t="str">
        <f t="shared" si="123"/>
        <v>-</v>
      </c>
      <c r="B2674" t="str">
        <f t="shared" si="124"/>
        <v>0-</v>
      </c>
      <c r="H2674" t="str">
        <f>IFERROR(VLOOKUP(E2674,DC_Xref!A:B,2,FALSE),"")</f>
        <v/>
      </c>
      <c r="I2674">
        <f t="shared" si="125"/>
        <v>0</v>
      </c>
    </row>
    <row r="2675" spans="1:9" x14ac:dyDescent="0.3">
      <c r="A2675" t="str">
        <f t="shared" si="123"/>
        <v>-</v>
      </c>
      <c r="B2675" t="str">
        <f t="shared" si="124"/>
        <v>0-</v>
      </c>
      <c r="H2675" t="str">
        <f>IFERROR(VLOOKUP(E2675,DC_Xref!A:B,2,FALSE),"")</f>
        <v/>
      </c>
      <c r="I2675">
        <f t="shared" si="125"/>
        <v>0</v>
      </c>
    </row>
    <row r="2676" spans="1:9" x14ac:dyDescent="0.3">
      <c r="A2676" t="str">
        <f t="shared" si="123"/>
        <v>-</v>
      </c>
      <c r="B2676" t="str">
        <f t="shared" si="124"/>
        <v>0-</v>
      </c>
      <c r="H2676" t="str">
        <f>IFERROR(VLOOKUP(E2676,DC_Xref!A:B,2,FALSE),"")</f>
        <v/>
      </c>
      <c r="I2676">
        <f t="shared" si="125"/>
        <v>0</v>
      </c>
    </row>
    <row r="2677" spans="1:9" x14ac:dyDescent="0.3">
      <c r="A2677" t="str">
        <f t="shared" si="123"/>
        <v>-</v>
      </c>
      <c r="B2677" t="str">
        <f t="shared" si="124"/>
        <v>0-</v>
      </c>
      <c r="H2677" t="str">
        <f>IFERROR(VLOOKUP(E2677,DC_Xref!A:B,2,FALSE),"")</f>
        <v/>
      </c>
      <c r="I2677">
        <f t="shared" si="125"/>
        <v>0</v>
      </c>
    </row>
    <row r="2678" spans="1:9" x14ac:dyDescent="0.3">
      <c r="A2678" t="str">
        <f t="shared" si="123"/>
        <v>-</v>
      </c>
      <c r="B2678" t="str">
        <f t="shared" si="124"/>
        <v>0-</v>
      </c>
      <c r="H2678" t="str">
        <f>IFERROR(VLOOKUP(E2678,DC_Xref!A:B,2,FALSE),"")</f>
        <v/>
      </c>
      <c r="I2678">
        <f t="shared" si="125"/>
        <v>0</v>
      </c>
    </row>
    <row r="2679" spans="1:9" x14ac:dyDescent="0.3">
      <c r="A2679" t="str">
        <f t="shared" si="123"/>
        <v>-</v>
      </c>
      <c r="B2679" t="str">
        <f t="shared" si="124"/>
        <v>0-</v>
      </c>
      <c r="H2679" t="str">
        <f>IFERROR(VLOOKUP(E2679,DC_Xref!A:B,2,FALSE),"")</f>
        <v/>
      </c>
      <c r="I2679">
        <f t="shared" si="125"/>
        <v>0</v>
      </c>
    </row>
    <row r="2680" spans="1:9" x14ac:dyDescent="0.3">
      <c r="A2680" t="str">
        <f t="shared" si="123"/>
        <v>-</v>
      </c>
      <c r="B2680" t="str">
        <f t="shared" si="124"/>
        <v>0-</v>
      </c>
      <c r="H2680" t="str">
        <f>IFERROR(VLOOKUP(E2680,DC_Xref!A:B,2,FALSE),"")</f>
        <v/>
      </c>
      <c r="I2680">
        <f t="shared" si="125"/>
        <v>0</v>
      </c>
    </row>
    <row r="2681" spans="1:9" x14ac:dyDescent="0.3">
      <c r="A2681" t="str">
        <f t="shared" si="123"/>
        <v>-</v>
      </c>
      <c r="B2681" t="str">
        <f t="shared" si="124"/>
        <v>0-</v>
      </c>
      <c r="H2681" t="str">
        <f>IFERROR(VLOOKUP(E2681,DC_Xref!A:B,2,FALSE),"")</f>
        <v/>
      </c>
      <c r="I2681">
        <f t="shared" si="125"/>
        <v>0</v>
      </c>
    </row>
    <row r="2682" spans="1:9" x14ac:dyDescent="0.3">
      <c r="A2682" t="str">
        <f t="shared" si="123"/>
        <v>-</v>
      </c>
      <c r="B2682" t="str">
        <f t="shared" si="124"/>
        <v>0-</v>
      </c>
      <c r="H2682" t="str">
        <f>IFERROR(VLOOKUP(E2682,DC_Xref!A:B,2,FALSE),"")</f>
        <v/>
      </c>
      <c r="I2682">
        <f t="shared" si="125"/>
        <v>0</v>
      </c>
    </row>
    <row r="2683" spans="1:9" x14ac:dyDescent="0.3">
      <c r="A2683" t="str">
        <f t="shared" si="123"/>
        <v>-</v>
      </c>
      <c r="B2683" t="str">
        <f t="shared" si="124"/>
        <v>0-</v>
      </c>
      <c r="H2683" t="str">
        <f>IFERROR(VLOOKUP(E2683,DC_Xref!A:B,2,FALSE),"")</f>
        <v/>
      </c>
      <c r="I2683">
        <f t="shared" si="125"/>
        <v>0</v>
      </c>
    </row>
    <row r="2684" spans="1:9" x14ac:dyDescent="0.3">
      <c r="A2684" t="str">
        <f t="shared" si="123"/>
        <v>-</v>
      </c>
      <c r="B2684" t="str">
        <f t="shared" si="124"/>
        <v>0-</v>
      </c>
      <c r="H2684" t="str">
        <f>IFERROR(VLOOKUP(E2684,DC_Xref!A:B,2,FALSE),"")</f>
        <v/>
      </c>
      <c r="I2684">
        <f t="shared" si="125"/>
        <v>0</v>
      </c>
    </row>
    <row r="2685" spans="1:9" x14ac:dyDescent="0.3">
      <c r="A2685" t="str">
        <f t="shared" si="123"/>
        <v>-</v>
      </c>
      <c r="B2685" t="str">
        <f t="shared" si="124"/>
        <v>0-</v>
      </c>
      <c r="H2685" t="str">
        <f>IFERROR(VLOOKUP(E2685,DC_Xref!A:B,2,FALSE),"")</f>
        <v/>
      </c>
      <c r="I2685">
        <f t="shared" si="125"/>
        <v>0</v>
      </c>
    </row>
    <row r="2686" spans="1:9" x14ac:dyDescent="0.3">
      <c r="A2686" t="str">
        <f t="shared" si="123"/>
        <v>-</v>
      </c>
      <c r="B2686" t="str">
        <f t="shared" si="124"/>
        <v>0-</v>
      </c>
      <c r="H2686" t="str">
        <f>IFERROR(VLOOKUP(E2686,DC_Xref!A:B,2,FALSE),"")</f>
        <v/>
      </c>
      <c r="I2686">
        <f t="shared" si="125"/>
        <v>0</v>
      </c>
    </row>
    <row r="2687" spans="1:9" x14ac:dyDescent="0.3">
      <c r="A2687" t="str">
        <f t="shared" si="123"/>
        <v>-</v>
      </c>
      <c r="B2687" t="str">
        <f t="shared" si="124"/>
        <v>0-</v>
      </c>
      <c r="H2687" t="str">
        <f>IFERROR(VLOOKUP(E2687,DC_Xref!A:B,2,FALSE),"")</f>
        <v/>
      </c>
      <c r="I2687">
        <f t="shared" si="125"/>
        <v>0</v>
      </c>
    </row>
    <row r="2688" spans="1:9" x14ac:dyDescent="0.3">
      <c r="A2688" t="str">
        <f t="shared" si="123"/>
        <v>-</v>
      </c>
      <c r="B2688" t="str">
        <f t="shared" si="124"/>
        <v>0-</v>
      </c>
      <c r="H2688" t="str">
        <f>IFERROR(VLOOKUP(E2688,DC_Xref!A:B,2,FALSE),"")</f>
        <v/>
      </c>
      <c r="I2688">
        <f t="shared" si="125"/>
        <v>0</v>
      </c>
    </row>
    <row r="2689" spans="1:9" x14ac:dyDescent="0.3">
      <c r="A2689" t="str">
        <f t="shared" si="123"/>
        <v>-</v>
      </c>
      <c r="B2689" t="str">
        <f t="shared" si="124"/>
        <v>0-</v>
      </c>
      <c r="H2689" t="str">
        <f>IFERROR(VLOOKUP(E2689,DC_Xref!A:B,2,FALSE),"")</f>
        <v/>
      </c>
      <c r="I2689">
        <f t="shared" si="125"/>
        <v>0</v>
      </c>
    </row>
    <row r="2690" spans="1:9" x14ac:dyDescent="0.3">
      <c r="A2690" t="str">
        <f t="shared" ref="A2690:A2753" si="126">C2690&amp;"-"&amp;F2690</f>
        <v>-</v>
      </c>
      <c r="B2690" t="str">
        <f t="shared" ref="B2690:B2753" si="127">I2690&amp;"-"&amp;H2690</f>
        <v>0-</v>
      </c>
      <c r="H2690" t="str">
        <f>IFERROR(VLOOKUP(E2690,DC_Xref!A:B,2,FALSE),"")</f>
        <v/>
      </c>
      <c r="I2690">
        <f t="shared" ref="I2690:I2753" si="128">C2690*100+D2690</f>
        <v>0</v>
      </c>
    </row>
    <row r="2691" spans="1:9" x14ac:dyDescent="0.3">
      <c r="A2691" t="str">
        <f t="shared" si="126"/>
        <v>-</v>
      </c>
      <c r="B2691" t="str">
        <f t="shared" si="127"/>
        <v>0-</v>
      </c>
      <c r="H2691" t="str">
        <f>IFERROR(VLOOKUP(E2691,DC_Xref!A:B,2,FALSE),"")</f>
        <v/>
      </c>
      <c r="I2691">
        <f t="shared" si="128"/>
        <v>0</v>
      </c>
    </row>
    <row r="2692" spans="1:9" x14ac:dyDescent="0.3">
      <c r="A2692" t="str">
        <f t="shared" si="126"/>
        <v>-</v>
      </c>
      <c r="B2692" t="str">
        <f t="shared" si="127"/>
        <v>0-</v>
      </c>
      <c r="H2692" t="str">
        <f>IFERROR(VLOOKUP(E2692,DC_Xref!A:B,2,FALSE),"")</f>
        <v/>
      </c>
      <c r="I2692">
        <f t="shared" si="128"/>
        <v>0</v>
      </c>
    </row>
    <row r="2693" spans="1:9" x14ac:dyDescent="0.3">
      <c r="A2693" t="str">
        <f t="shared" si="126"/>
        <v>-</v>
      </c>
      <c r="B2693" t="str">
        <f t="shared" si="127"/>
        <v>0-</v>
      </c>
      <c r="H2693" t="str">
        <f>IFERROR(VLOOKUP(E2693,DC_Xref!A:B,2,FALSE),"")</f>
        <v/>
      </c>
      <c r="I2693">
        <f t="shared" si="128"/>
        <v>0</v>
      </c>
    </row>
    <row r="2694" spans="1:9" x14ac:dyDescent="0.3">
      <c r="A2694" t="str">
        <f t="shared" si="126"/>
        <v>-</v>
      </c>
      <c r="B2694" t="str">
        <f t="shared" si="127"/>
        <v>0-</v>
      </c>
      <c r="H2694" t="str">
        <f>IFERROR(VLOOKUP(E2694,DC_Xref!A:B,2,FALSE),"")</f>
        <v/>
      </c>
      <c r="I2694">
        <f t="shared" si="128"/>
        <v>0</v>
      </c>
    </row>
    <row r="2695" spans="1:9" x14ac:dyDescent="0.3">
      <c r="A2695" t="str">
        <f t="shared" si="126"/>
        <v>-</v>
      </c>
      <c r="B2695" t="str">
        <f t="shared" si="127"/>
        <v>0-</v>
      </c>
      <c r="H2695" t="str">
        <f>IFERROR(VLOOKUP(E2695,DC_Xref!A:B,2,FALSE),"")</f>
        <v/>
      </c>
      <c r="I2695">
        <f t="shared" si="128"/>
        <v>0</v>
      </c>
    </row>
    <row r="2696" spans="1:9" x14ac:dyDescent="0.3">
      <c r="A2696" t="str">
        <f t="shared" si="126"/>
        <v>-</v>
      </c>
      <c r="B2696" t="str">
        <f t="shared" si="127"/>
        <v>0-</v>
      </c>
      <c r="H2696" t="str">
        <f>IFERROR(VLOOKUP(E2696,DC_Xref!A:B,2,FALSE),"")</f>
        <v/>
      </c>
      <c r="I2696">
        <f t="shared" si="128"/>
        <v>0</v>
      </c>
    </row>
    <row r="2697" spans="1:9" x14ac:dyDescent="0.3">
      <c r="A2697" t="str">
        <f t="shared" si="126"/>
        <v>-</v>
      </c>
      <c r="B2697" t="str">
        <f t="shared" si="127"/>
        <v>0-</v>
      </c>
      <c r="H2697" t="str">
        <f>IFERROR(VLOOKUP(E2697,DC_Xref!A:B,2,FALSE),"")</f>
        <v/>
      </c>
      <c r="I2697">
        <f t="shared" si="128"/>
        <v>0</v>
      </c>
    </row>
    <row r="2698" spans="1:9" x14ac:dyDescent="0.3">
      <c r="A2698" t="str">
        <f t="shared" si="126"/>
        <v>-</v>
      </c>
      <c r="B2698" t="str">
        <f t="shared" si="127"/>
        <v>0-</v>
      </c>
      <c r="H2698" t="str">
        <f>IFERROR(VLOOKUP(E2698,DC_Xref!A:B,2,FALSE),"")</f>
        <v/>
      </c>
      <c r="I2698">
        <f t="shared" si="128"/>
        <v>0</v>
      </c>
    </row>
    <row r="2699" spans="1:9" x14ac:dyDescent="0.3">
      <c r="A2699" t="str">
        <f t="shared" si="126"/>
        <v>-</v>
      </c>
      <c r="B2699" t="str">
        <f t="shared" si="127"/>
        <v>0-</v>
      </c>
      <c r="H2699" t="str">
        <f>IFERROR(VLOOKUP(E2699,DC_Xref!A:B,2,FALSE),"")</f>
        <v/>
      </c>
      <c r="I2699">
        <f t="shared" si="128"/>
        <v>0</v>
      </c>
    </row>
    <row r="2700" spans="1:9" x14ac:dyDescent="0.3">
      <c r="A2700" t="str">
        <f t="shared" si="126"/>
        <v>-</v>
      </c>
      <c r="B2700" t="str">
        <f t="shared" si="127"/>
        <v>0-</v>
      </c>
      <c r="H2700" t="str">
        <f>IFERROR(VLOOKUP(E2700,DC_Xref!A:B,2,FALSE),"")</f>
        <v/>
      </c>
      <c r="I2700">
        <f t="shared" si="128"/>
        <v>0</v>
      </c>
    </row>
    <row r="2701" spans="1:9" x14ac:dyDescent="0.3">
      <c r="A2701" t="str">
        <f t="shared" si="126"/>
        <v>-</v>
      </c>
      <c r="B2701" t="str">
        <f t="shared" si="127"/>
        <v>0-</v>
      </c>
      <c r="H2701" t="str">
        <f>IFERROR(VLOOKUP(E2701,DC_Xref!A:B,2,FALSE),"")</f>
        <v/>
      </c>
      <c r="I2701">
        <f t="shared" si="128"/>
        <v>0</v>
      </c>
    </row>
    <row r="2702" spans="1:9" x14ac:dyDescent="0.3">
      <c r="A2702" t="str">
        <f t="shared" si="126"/>
        <v>-</v>
      </c>
      <c r="B2702" t="str">
        <f t="shared" si="127"/>
        <v>0-</v>
      </c>
      <c r="H2702" t="str">
        <f>IFERROR(VLOOKUP(E2702,DC_Xref!A:B,2,FALSE),"")</f>
        <v/>
      </c>
      <c r="I2702">
        <f t="shared" si="128"/>
        <v>0</v>
      </c>
    </row>
    <row r="2703" spans="1:9" x14ac:dyDescent="0.3">
      <c r="A2703" t="str">
        <f t="shared" si="126"/>
        <v>-</v>
      </c>
      <c r="B2703" t="str">
        <f t="shared" si="127"/>
        <v>0-</v>
      </c>
      <c r="H2703" t="str">
        <f>IFERROR(VLOOKUP(E2703,DC_Xref!A:B,2,FALSE),"")</f>
        <v/>
      </c>
      <c r="I2703">
        <f t="shared" si="128"/>
        <v>0</v>
      </c>
    </row>
    <row r="2704" spans="1:9" x14ac:dyDescent="0.3">
      <c r="A2704" t="str">
        <f t="shared" si="126"/>
        <v>-</v>
      </c>
      <c r="B2704" t="str">
        <f t="shared" si="127"/>
        <v>0-</v>
      </c>
      <c r="H2704" t="str">
        <f>IFERROR(VLOOKUP(E2704,DC_Xref!A:B,2,FALSE),"")</f>
        <v/>
      </c>
      <c r="I2704">
        <f t="shared" si="128"/>
        <v>0</v>
      </c>
    </row>
    <row r="2705" spans="1:9" x14ac:dyDescent="0.3">
      <c r="A2705" t="str">
        <f t="shared" si="126"/>
        <v>-</v>
      </c>
      <c r="B2705" t="str">
        <f t="shared" si="127"/>
        <v>0-</v>
      </c>
      <c r="H2705" t="str">
        <f>IFERROR(VLOOKUP(E2705,DC_Xref!A:B,2,FALSE),"")</f>
        <v/>
      </c>
      <c r="I2705">
        <f t="shared" si="128"/>
        <v>0</v>
      </c>
    </row>
    <row r="2706" spans="1:9" x14ac:dyDescent="0.3">
      <c r="A2706" t="str">
        <f t="shared" si="126"/>
        <v>-</v>
      </c>
      <c r="B2706" t="str">
        <f t="shared" si="127"/>
        <v>0-</v>
      </c>
      <c r="H2706" t="str">
        <f>IFERROR(VLOOKUP(E2706,DC_Xref!A:B,2,FALSE),"")</f>
        <v/>
      </c>
      <c r="I2706">
        <f t="shared" si="128"/>
        <v>0</v>
      </c>
    </row>
    <row r="2707" spans="1:9" x14ac:dyDescent="0.3">
      <c r="A2707" t="str">
        <f t="shared" si="126"/>
        <v>-</v>
      </c>
      <c r="B2707" t="str">
        <f t="shared" si="127"/>
        <v>0-</v>
      </c>
      <c r="H2707" t="str">
        <f>IFERROR(VLOOKUP(E2707,DC_Xref!A:B,2,FALSE),"")</f>
        <v/>
      </c>
      <c r="I2707">
        <f t="shared" si="128"/>
        <v>0</v>
      </c>
    </row>
    <row r="2708" spans="1:9" x14ac:dyDescent="0.3">
      <c r="A2708" t="str">
        <f t="shared" si="126"/>
        <v>-</v>
      </c>
      <c r="B2708" t="str">
        <f t="shared" si="127"/>
        <v>0-</v>
      </c>
      <c r="H2708" t="str">
        <f>IFERROR(VLOOKUP(E2708,DC_Xref!A:B,2,FALSE),"")</f>
        <v/>
      </c>
      <c r="I2708">
        <f t="shared" si="128"/>
        <v>0</v>
      </c>
    </row>
    <row r="2709" spans="1:9" x14ac:dyDescent="0.3">
      <c r="A2709" t="str">
        <f t="shared" si="126"/>
        <v>-</v>
      </c>
      <c r="B2709" t="str">
        <f t="shared" si="127"/>
        <v>0-</v>
      </c>
      <c r="H2709" t="str">
        <f>IFERROR(VLOOKUP(E2709,DC_Xref!A:B,2,FALSE),"")</f>
        <v/>
      </c>
      <c r="I2709">
        <f t="shared" si="128"/>
        <v>0</v>
      </c>
    </row>
    <row r="2710" spans="1:9" x14ac:dyDescent="0.3">
      <c r="A2710" t="str">
        <f t="shared" si="126"/>
        <v>-</v>
      </c>
      <c r="B2710" t="str">
        <f t="shared" si="127"/>
        <v>0-</v>
      </c>
      <c r="H2710" t="str">
        <f>IFERROR(VLOOKUP(E2710,DC_Xref!A:B,2,FALSE),"")</f>
        <v/>
      </c>
      <c r="I2710">
        <f t="shared" si="128"/>
        <v>0</v>
      </c>
    </row>
    <row r="2711" spans="1:9" x14ac:dyDescent="0.3">
      <c r="A2711" t="str">
        <f t="shared" si="126"/>
        <v>-</v>
      </c>
      <c r="B2711" t="str">
        <f t="shared" si="127"/>
        <v>0-</v>
      </c>
      <c r="H2711" t="str">
        <f>IFERROR(VLOOKUP(E2711,DC_Xref!A:B,2,FALSE),"")</f>
        <v/>
      </c>
      <c r="I2711">
        <f t="shared" si="128"/>
        <v>0</v>
      </c>
    </row>
    <row r="2712" spans="1:9" x14ac:dyDescent="0.3">
      <c r="A2712" t="str">
        <f t="shared" si="126"/>
        <v>-</v>
      </c>
      <c r="B2712" t="str">
        <f t="shared" si="127"/>
        <v>0-</v>
      </c>
      <c r="H2712" t="str">
        <f>IFERROR(VLOOKUP(E2712,DC_Xref!A:B,2,FALSE),"")</f>
        <v/>
      </c>
      <c r="I2712">
        <f t="shared" si="128"/>
        <v>0</v>
      </c>
    </row>
    <row r="2713" spans="1:9" x14ac:dyDescent="0.3">
      <c r="A2713" t="str">
        <f t="shared" si="126"/>
        <v>-</v>
      </c>
      <c r="B2713" t="str">
        <f t="shared" si="127"/>
        <v>0-</v>
      </c>
      <c r="H2713" t="str">
        <f>IFERROR(VLOOKUP(E2713,DC_Xref!A:B,2,FALSE),"")</f>
        <v/>
      </c>
      <c r="I2713">
        <f t="shared" si="128"/>
        <v>0</v>
      </c>
    </row>
    <row r="2714" spans="1:9" x14ac:dyDescent="0.3">
      <c r="A2714" t="str">
        <f t="shared" si="126"/>
        <v>-</v>
      </c>
      <c r="B2714" t="str">
        <f t="shared" si="127"/>
        <v>0-</v>
      </c>
      <c r="H2714" t="str">
        <f>IFERROR(VLOOKUP(E2714,DC_Xref!A:B,2,FALSE),"")</f>
        <v/>
      </c>
      <c r="I2714">
        <f t="shared" si="128"/>
        <v>0</v>
      </c>
    </row>
    <row r="2715" spans="1:9" x14ac:dyDescent="0.3">
      <c r="A2715" t="str">
        <f t="shared" si="126"/>
        <v>-</v>
      </c>
      <c r="B2715" t="str">
        <f t="shared" si="127"/>
        <v>0-</v>
      </c>
      <c r="H2715" t="str">
        <f>IFERROR(VLOOKUP(E2715,DC_Xref!A:B,2,FALSE),"")</f>
        <v/>
      </c>
      <c r="I2715">
        <f t="shared" si="128"/>
        <v>0</v>
      </c>
    </row>
    <row r="2716" spans="1:9" x14ac:dyDescent="0.3">
      <c r="A2716" t="str">
        <f t="shared" si="126"/>
        <v>-</v>
      </c>
      <c r="B2716" t="str">
        <f t="shared" si="127"/>
        <v>0-</v>
      </c>
      <c r="H2716" t="str">
        <f>IFERROR(VLOOKUP(E2716,DC_Xref!A:B,2,FALSE),"")</f>
        <v/>
      </c>
      <c r="I2716">
        <f t="shared" si="128"/>
        <v>0</v>
      </c>
    </row>
    <row r="2717" spans="1:9" x14ac:dyDescent="0.3">
      <c r="A2717" t="str">
        <f t="shared" si="126"/>
        <v>-</v>
      </c>
      <c r="B2717" t="str">
        <f t="shared" si="127"/>
        <v>0-</v>
      </c>
      <c r="H2717" t="str">
        <f>IFERROR(VLOOKUP(E2717,DC_Xref!A:B,2,FALSE),"")</f>
        <v/>
      </c>
      <c r="I2717">
        <f t="shared" si="128"/>
        <v>0</v>
      </c>
    </row>
    <row r="2718" spans="1:9" x14ac:dyDescent="0.3">
      <c r="A2718" t="str">
        <f t="shared" si="126"/>
        <v>-</v>
      </c>
      <c r="B2718" t="str">
        <f t="shared" si="127"/>
        <v>0-</v>
      </c>
      <c r="H2718" t="str">
        <f>IFERROR(VLOOKUP(E2718,DC_Xref!A:B,2,FALSE),"")</f>
        <v/>
      </c>
      <c r="I2718">
        <f t="shared" si="128"/>
        <v>0</v>
      </c>
    </row>
    <row r="2719" spans="1:9" x14ac:dyDescent="0.3">
      <c r="A2719" t="str">
        <f t="shared" si="126"/>
        <v>-</v>
      </c>
      <c r="B2719" t="str">
        <f t="shared" si="127"/>
        <v>0-</v>
      </c>
      <c r="H2719" t="str">
        <f>IFERROR(VLOOKUP(E2719,DC_Xref!A:B,2,FALSE),"")</f>
        <v/>
      </c>
      <c r="I2719">
        <f t="shared" si="128"/>
        <v>0</v>
      </c>
    </row>
    <row r="2720" spans="1:9" x14ac:dyDescent="0.3">
      <c r="A2720" t="str">
        <f t="shared" si="126"/>
        <v>-</v>
      </c>
      <c r="B2720" t="str">
        <f t="shared" si="127"/>
        <v>0-</v>
      </c>
      <c r="H2720" t="str">
        <f>IFERROR(VLOOKUP(E2720,DC_Xref!A:B,2,FALSE),"")</f>
        <v/>
      </c>
      <c r="I2720">
        <f t="shared" si="128"/>
        <v>0</v>
      </c>
    </row>
    <row r="2721" spans="1:9" x14ac:dyDescent="0.3">
      <c r="A2721" t="str">
        <f t="shared" si="126"/>
        <v>-</v>
      </c>
      <c r="B2721" t="str">
        <f t="shared" si="127"/>
        <v>0-</v>
      </c>
      <c r="H2721" t="str">
        <f>IFERROR(VLOOKUP(E2721,DC_Xref!A:B,2,FALSE),"")</f>
        <v/>
      </c>
      <c r="I2721">
        <f t="shared" si="128"/>
        <v>0</v>
      </c>
    </row>
    <row r="2722" spans="1:9" x14ac:dyDescent="0.3">
      <c r="A2722" t="str">
        <f t="shared" si="126"/>
        <v>-</v>
      </c>
      <c r="B2722" t="str">
        <f t="shared" si="127"/>
        <v>0-</v>
      </c>
      <c r="H2722" t="str">
        <f>IFERROR(VLOOKUP(E2722,DC_Xref!A:B,2,FALSE),"")</f>
        <v/>
      </c>
      <c r="I2722">
        <f t="shared" si="128"/>
        <v>0</v>
      </c>
    </row>
    <row r="2723" spans="1:9" x14ac:dyDescent="0.3">
      <c r="A2723" t="str">
        <f t="shared" si="126"/>
        <v>-</v>
      </c>
      <c r="B2723" t="str">
        <f t="shared" si="127"/>
        <v>0-</v>
      </c>
      <c r="H2723" t="str">
        <f>IFERROR(VLOOKUP(E2723,DC_Xref!A:B,2,FALSE),"")</f>
        <v/>
      </c>
      <c r="I2723">
        <f t="shared" si="128"/>
        <v>0</v>
      </c>
    </row>
    <row r="2724" spans="1:9" x14ac:dyDescent="0.3">
      <c r="A2724" t="str">
        <f t="shared" si="126"/>
        <v>-</v>
      </c>
      <c r="B2724" t="str">
        <f t="shared" si="127"/>
        <v>0-</v>
      </c>
      <c r="H2724" t="str">
        <f>IFERROR(VLOOKUP(E2724,DC_Xref!A:B,2,FALSE),"")</f>
        <v/>
      </c>
      <c r="I2724">
        <f t="shared" si="128"/>
        <v>0</v>
      </c>
    </row>
    <row r="2725" spans="1:9" x14ac:dyDescent="0.3">
      <c r="A2725" t="str">
        <f t="shared" si="126"/>
        <v>-</v>
      </c>
      <c r="B2725" t="str">
        <f t="shared" si="127"/>
        <v>0-</v>
      </c>
      <c r="H2725" t="str">
        <f>IFERROR(VLOOKUP(E2725,DC_Xref!A:B,2,FALSE),"")</f>
        <v/>
      </c>
      <c r="I2725">
        <f t="shared" si="128"/>
        <v>0</v>
      </c>
    </row>
    <row r="2726" spans="1:9" x14ac:dyDescent="0.3">
      <c r="A2726" t="str">
        <f t="shared" si="126"/>
        <v>-</v>
      </c>
      <c r="B2726" t="str">
        <f t="shared" si="127"/>
        <v>0-</v>
      </c>
      <c r="H2726" t="str">
        <f>IFERROR(VLOOKUP(E2726,DC_Xref!A:B,2,FALSE),"")</f>
        <v/>
      </c>
      <c r="I2726">
        <f t="shared" si="128"/>
        <v>0</v>
      </c>
    </row>
    <row r="2727" spans="1:9" x14ac:dyDescent="0.3">
      <c r="A2727" t="str">
        <f t="shared" si="126"/>
        <v>-</v>
      </c>
      <c r="B2727" t="str">
        <f t="shared" si="127"/>
        <v>0-</v>
      </c>
      <c r="H2727" t="str">
        <f>IFERROR(VLOOKUP(E2727,DC_Xref!A:B,2,FALSE),"")</f>
        <v/>
      </c>
      <c r="I2727">
        <f t="shared" si="128"/>
        <v>0</v>
      </c>
    </row>
    <row r="2728" spans="1:9" x14ac:dyDescent="0.3">
      <c r="A2728" t="str">
        <f t="shared" si="126"/>
        <v>-</v>
      </c>
      <c r="B2728" t="str">
        <f t="shared" si="127"/>
        <v>0-</v>
      </c>
      <c r="H2728" t="str">
        <f>IFERROR(VLOOKUP(E2728,DC_Xref!A:B,2,FALSE),"")</f>
        <v/>
      </c>
      <c r="I2728">
        <f t="shared" si="128"/>
        <v>0</v>
      </c>
    </row>
    <row r="2729" spans="1:9" x14ac:dyDescent="0.3">
      <c r="A2729" t="str">
        <f t="shared" si="126"/>
        <v>-</v>
      </c>
      <c r="B2729" t="str">
        <f t="shared" si="127"/>
        <v>0-</v>
      </c>
      <c r="H2729" t="str">
        <f>IFERROR(VLOOKUP(E2729,DC_Xref!A:B,2,FALSE),"")</f>
        <v/>
      </c>
      <c r="I2729">
        <f t="shared" si="128"/>
        <v>0</v>
      </c>
    </row>
    <row r="2730" spans="1:9" x14ac:dyDescent="0.3">
      <c r="A2730" t="str">
        <f t="shared" si="126"/>
        <v>-</v>
      </c>
      <c r="B2730" t="str">
        <f t="shared" si="127"/>
        <v>0-</v>
      </c>
      <c r="H2730" t="str">
        <f>IFERROR(VLOOKUP(E2730,DC_Xref!A:B,2,FALSE),"")</f>
        <v/>
      </c>
      <c r="I2730">
        <f t="shared" si="128"/>
        <v>0</v>
      </c>
    </row>
    <row r="2731" spans="1:9" x14ac:dyDescent="0.3">
      <c r="A2731" t="str">
        <f t="shared" si="126"/>
        <v>-</v>
      </c>
      <c r="B2731" t="str">
        <f t="shared" si="127"/>
        <v>0-</v>
      </c>
      <c r="H2731" t="str">
        <f>IFERROR(VLOOKUP(E2731,DC_Xref!A:B,2,FALSE),"")</f>
        <v/>
      </c>
      <c r="I2731">
        <f t="shared" si="128"/>
        <v>0</v>
      </c>
    </row>
    <row r="2732" spans="1:9" x14ac:dyDescent="0.3">
      <c r="A2732" t="str">
        <f t="shared" si="126"/>
        <v>-</v>
      </c>
      <c r="B2732" t="str">
        <f t="shared" si="127"/>
        <v>0-</v>
      </c>
      <c r="H2732" t="str">
        <f>IFERROR(VLOOKUP(E2732,DC_Xref!A:B,2,FALSE),"")</f>
        <v/>
      </c>
      <c r="I2732">
        <f t="shared" si="128"/>
        <v>0</v>
      </c>
    </row>
    <row r="2733" spans="1:9" x14ac:dyDescent="0.3">
      <c r="A2733" t="str">
        <f t="shared" si="126"/>
        <v>-</v>
      </c>
      <c r="B2733" t="str">
        <f t="shared" si="127"/>
        <v>0-</v>
      </c>
      <c r="H2733" t="str">
        <f>IFERROR(VLOOKUP(E2733,DC_Xref!A:B,2,FALSE),"")</f>
        <v/>
      </c>
      <c r="I2733">
        <f t="shared" si="128"/>
        <v>0</v>
      </c>
    </row>
    <row r="2734" spans="1:9" x14ac:dyDescent="0.3">
      <c r="A2734" t="str">
        <f t="shared" si="126"/>
        <v>-</v>
      </c>
      <c r="B2734" t="str">
        <f t="shared" si="127"/>
        <v>0-</v>
      </c>
      <c r="H2734" t="str">
        <f>IFERROR(VLOOKUP(E2734,DC_Xref!A:B,2,FALSE),"")</f>
        <v/>
      </c>
      <c r="I2734">
        <f t="shared" si="128"/>
        <v>0</v>
      </c>
    </row>
    <row r="2735" spans="1:9" x14ac:dyDescent="0.3">
      <c r="A2735" t="str">
        <f t="shared" si="126"/>
        <v>-</v>
      </c>
      <c r="B2735" t="str">
        <f t="shared" si="127"/>
        <v>0-</v>
      </c>
      <c r="H2735" t="str">
        <f>IFERROR(VLOOKUP(E2735,DC_Xref!A:B,2,FALSE),"")</f>
        <v/>
      </c>
      <c r="I2735">
        <f t="shared" si="128"/>
        <v>0</v>
      </c>
    </row>
    <row r="2736" spans="1:9" x14ac:dyDescent="0.3">
      <c r="A2736" t="str">
        <f t="shared" si="126"/>
        <v>-</v>
      </c>
      <c r="B2736" t="str">
        <f t="shared" si="127"/>
        <v>0-</v>
      </c>
      <c r="H2736" t="str">
        <f>IFERROR(VLOOKUP(E2736,DC_Xref!A:B,2,FALSE),"")</f>
        <v/>
      </c>
      <c r="I2736">
        <f t="shared" si="128"/>
        <v>0</v>
      </c>
    </row>
    <row r="2737" spans="1:9" x14ac:dyDescent="0.3">
      <c r="A2737" t="str">
        <f t="shared" si="126"/>
        <v>-</v>
      </c>
      <c r="B2737" t="str">
        <f t="shared" si="127"/>
        <v>0-</v>
      </c>
      <c r="H2737" t="str">
        <f>IFERROR(VLOOKUP(E2737,DC_Xref!A:B,2,FALSE),"")</f>
        <v/>
      </c>
      <c r="I2737">
        <f t="shared" si="128"/>
        <v>0</v>
      </c>
    </row>
    <row r="2738" spans="1:9" x14ac:dyDescent="0.3">
      <c r="A2738" t="str">
        <f t="shared" si="126"/>
        <v>-</v>
      </c>
      <c r="B2738" t="str">
        <f t="shared" si="127"/>
        <v>0-</v>
      </c>
      <c r="H2738" t="str">
        <f>IFERROR(VLOOKUP(E2738,DC_Xref!A:B,2,FALSE),"")</f>
        <v/>
      </c>
      <c r="I2738">
        <f t="shared" si="128"/>
        <v>0</v>
      </c>
    </row>
    <row r="2739" spans="1:9" x14ac:dyDescent="0.3">
      <c r="A2739" t="str">
        <f t="shared" si="126"/>
        <v>-</v>
      </c>
      <c r="B2739" t="str">
        <f t="shared" si="127"/>
        <v>0-</v>
      </c>
      <c r="H2739" t="str">
        <f>IFERROR(VLOOKUP(E2739,DC_Xref!A:B,2,FALSE),"")</f>
        <v/>
      </c>
      <c r="I2739">
        <f t="shared" si="128"/>
        <v>0</v>
      </c>
    </row>
    <row r="2740" spans="1:9" x14ac:dyDescent="0.3">
      <c r="A2740" t="str">
        <f t="shared" si="126"/>
        <v>-</v>
      </c>
      <c r="B2740" t="str">
        <f t="shared" si="127"/>
        <v>0-</v>
      </c>
      <c r="H2740" t="str">
        <f>IFERROR(VLOOKUP(E2740,DC_Xref!A:B,2,FALSE),"")</f>
        <v/>
      </c>
      <c r="I2740">
        <f t="shared" si="128"/>
        <v>0</v>
      </c>
    </row>
    <row r="2741" spans="1:9" x14ac:dyDescent="0.3">
      <c r="A2741" t="str">
        <f t="shared" si="126"/>
        <v>-</v>
      </c>
      <c r="B2741" t="str">
        <f t="shared" si="127"/>
        <v>0-</v>
      </c>
      <c r="H2741" t="str">
        <f>IFERROR(VLOOKUP(E2741,DC_Xref!A:B,2,FALSE),"")</f>
        <v/>
      </c>
      <c r="I2741">
        <f t="shared" si="128"/>
        <v>0</v>
      </c>
    </row>
    <row r="2742" spans="1:9" x14ac:dyDescent="0.3">
      <c r="A2742" t="str">
        <f t="shared" si="126"/>
        <v>-</v>
      </c>
      <c r="B2742" t="str">
        <f t="shared" si="127"/>
        <v>0-</v>
      </c>
      <c r="H2742" t="str">
        <f>IFERROR(VLOOKUP(E2742,DC_Xref!A:B,2,FALSE),"")</f>
        <v/>
      </c>
      <c r="I2742">
        <f t="shared" si="128"/>
        <v>0</v>
      </c>
    </row>
    <row r="2743" spans="1:9" x14ac:dyDescent="0.3">
      <c r="A2743" t="str">
        <f t="shared" si="126"/>
        <v>-</v>
      </c>
      <c r="B2743" t="str">
        <f t="shared" si="127"/>
        <v>0-</v>
      </c>
      <c r="H2743" t="str">
        <f>IFERROR(VLOOKUP(E2743,DC_Xref!A:B,2,FALSE),"")</f>
        <v/>
      </c>
      <c r="I2743">
        <f t="shared" si="128"/>
        <v>0</v>
      </c>
    </row>
    <row r="2744" spans="1:9" x14ac:dyDescent="0.3">
      <c r="A2744" t="str">
        <f t="shared" si="126"/>
        <v>-</v>
      </c>
      <c r="B2744" t="str">
        <f t="shared" si="127"/>
        <v>0-</v>
      </c>
      <c r="H2744" t="str">
        <f>IFERROR(VLOOKUP(E2744,DC_Xref!A:B,2,FALSE),"")</f>
        <v/>
      </c>
      <c r="I2744">
        <f t="shared" si="128"/>
        <v>0</v>
      </c>
    </row>
    <row r="2745" spans="1:9" x14ac:dyDescent="0.3">
      <c r="A2745" t="str">
        <f t="shared" si="126"/>
        <v>-</v>
      </c>
      <c r="B2745" t="str">
        <f t="shared" si="127"/>
        <v>0-</v>
      </c>
      <c r="H2745" t="str">
        <f>IFERROR(VLOOKUP(E2745,DC_Xref!A:B,2,FALSE),"")</f>
        <v/>
      </c>
      <c r="I2745">
        <f t="shared" si="128"/>
        <v>0</v>
      </c>
    </row>
    <row r="2746" spans="1:9" x14ac:dyDescent="0.3">
      <c r="A2746" t="str">
        <f t="shared" si="126"/>
        <v>-</v>
      </c>
      <c r="B2746" t="str">
        <f t="shared" si="127"/>
        <v>0-</v>
      </c>
      <c r="H2746" t="str">
        <f>IFERROR(VLOOKUP(E2746,DC_Xref!A:B,2,FALSE),"")</f>
        <v/>
      </c>
      <c r="I2746">
        <f t="shared" si="128"/>
        <v>0</v>
      </c>
    </row>
    <row r="2747" spans="1:9" x14ac:dyDescent="0.3">
      <c r="A2747" t="str">
        <f t="shared" si="126"/>
        <v>-</v>
      </c>
      <c r="B2747" t="str">
        <f t="shared" si="127"/>
        <v>0-</v>
      </c>
      <c r="H2747" t="str">
        <f>IFERROR(VLOOKUP(E2747,DC_Xref!A:B,2,FALSE),"")</f>
        <v/>
      </c>
      <c r="I2747">
        <f t="shared" si="128"/>
        <v>0</v>
      </c>
    </row>
    <row r="2748" spans="1:9" x14ac:dyDescent="0.3">
      <c r="A2748" t="str">
        <f t="shared" si="126"/>
        <v>-</v>
      </c>
      <c r="B2748" t="str">
        <f t="shared" si="127"/>
        <v>0-</v>
      </c>
      <c r="H2748" t="str">
        <f>IFERROR(VLOOKUP(E2748,DC_Xref!A:B,2,FALSE),"")</f>
        <v/>
      </c>
      <c r="I2748">
        <f t="shared" si="128"/>
        <v>0</v>
      </c>
    </row>
    <row r="2749" spans="1:9" x14ac:dyDescent="0.3">
      <c r="A2749" t="str">
        <f t="shared" si="126"/>
        <v>-</v>
      </c>
      <c r="B2749" t="str">
        <f t="shared" si="127"/>
        <v>0-</v>
      </c>
      <c r="H2749" t="str">
        <f>IFERROR(VLOOKUP(E2749,DC_Xref!A:B,2,FALSE),"")</f>
        <v/>
      </c>
      <c r="I2749">
        <f t="shared" si="128"/>
        <v>0</v>
      </c>
    </row>
    <row r="2750" spans="1:9" x14ac:dyDescent="0.3">
      <c r="A2750" t="str">
        <f t="shared" si="126"/>
        <v>-</v>
      </c>
      <c r="B2750" t="str">
        <f t="shared" si="127"/>
        <v>0-</v>
      </c>
      <c r="H2750" t="str">
        <f>IFERROR(VLOOKUP(E2750,DC_Xref!A:B,2,FALSE),"")</f>
        <v/>
      </c>
      <c r="I2750">
        <f t="shared" si="128"/>
        <v>0</v>
      </c>
    </row>
    <row r="2751" spans="1:9" x14ac:dyDescent="0.3">
      <c r="A2751" t="str">
        <f t="shared" si="126"/>
        <v>-</v>
      </c>
      <c r="B2751" t="str">
        <f t="shared" si="127"/>
        <v>0-</v>
      </c>
      <c r="H2751" t="str">
        <f>IFERROR(VLOOKUP(E2751,DC_Xref!A:B,2,FALSE),"")</f>
        <v/>
      </c>
      <c r="I2751">
        <f t="shared" si="128"/>
        <v>0</v>
      </c>
    </row>
    <row r="2752" spans="1:9" x14ac:dyDescent="0.3">
      <c r="A2752" t="str">
        <f t="shared" si="126"/>
        <v>-</v>
      </c>
      <c r="B2752" t="str">
        <f t="shared" si="127"/>
        <v>0-</v>
      </c>
      <c r="H2752" t="str">
        <f>IFERROR(VLOOKUP(E2752,DC_Xref!A:B,2,FALSE),"")</f>
        <v/>
      </c>
      <c r="I2752">
        <f t="shared" si="128"/>
        <v>0</v>
      </c>
    </row>
    <row r="2753" spans="1:9" x14ac:dyDescent="0.3">
      <c r="A2753" t="str">
        <f t="shared" si="126"/>
        <v>-</v>
      </c>
      <c r="B2753" t="str">
        <f t="shared" si="127"/>
        <v>0-</v>
      </c>
      <c r="H2753" t="str">
        <f>IFERROR(VLOOKUP(E2753,DC_Xref!A:B,2,FALSE),"")</f>
        <v/>
      </c>
      <c r="I2753">
        <f t="shared" si="128"/>
        <v>0</v>
      </c>
    </row>
    <row r="2754" spans="1:9" x14ac:dyDescent="0.3">
      <c r="A2754" t="str">
        <f t="shared" ref="A2754:A2820" si="129">C2754&amp;"-"&amp;F2754</f>
        <v>-</v>
      </c>
      <c r="B2754" t="str">
        <f t="shared" ref="B2754:B2817" si="130">I2754&amp;"-"&amp;H2754</f>
        <v>0-</v>
      </c>
      <c r="H2754" t="str">
        <f>IFERROR(VLOOKUP(E2754,DC_Xref!A:B,2,FALSE),"")</f>
        <v/>
      </c>
      <c r="I2754">
        <f t="shared" ref="I2754:I2817" si="131">C2754*100+D2754</f>
        <v>0</v>
      </c>
    </row>
    <row r="2755" spans="1:9" x14ac:dyDescent="0.3">
      <c r="A2755" t="str">
        <f t="shared" si="129"/>
        <v>-</v>
      </c>
      <c r="B2755" t="str">
        <f t="shared" si="130"/>
        <v>0-</v>
      </c>
      <c r="H2755" t="str">
        <f>IFERROR(VLOOKUP(E2755,DC_Xref!A:B,2,FALSE),"")</f>
        <v/>
      </c>
      <c r="I2755">
        <f t="shared" si="131"/>
        <v>0</v>
      </c>
    </row>
    <row r="2756" spans="1:9" x14ac:dyDescent="0.3">
      <c r="A2756" t="str">
        <f t="shared" si="129"/>
        <v>-</v>
      </c>
      <c r="B2756" t="str">
        <f t="shared" si="130"/>
        <v>0-</v>
      </c>
      <c r="H2756" t="str">
        <f>IFERROR(VLOOKUP(E2756,DC_Xref!A:B,2,FALSE),"")</f>
        <v/>
      </c>
      <c r="I2756">
        <f t="shared" si="131"/>
        <v>0</v>
      </c>
    </row>
    <row r="2757" spans="1:9" x14ac:dyDescent="0.3">
      <c r="A2757" t="str">
        <f t="shared" si="129"/>
        <v>-</v>
      </c>
      <c r="B2757" t="str">
        <f t="shared" si="130"/>
        <v>0-</v>
      </c>
      <c r="H2757" t="str">
        <f>IFERROR(VLOOKUP(E2757,DC_Xref!A:B,2,FALSE),"")</f>
        <v/>
      </c>
      <c r="I2757">
        <f t="shared" si="131"/>
        <v>0</v>
      </c>
    </row>
    <row r="2758" spans="1:9" x14ac:dyDescent="0.3">
      <c r="A2758" t="str">
        <f t="shared" si="129"/>
        <v>-</v>
      </c>
      <c r="B2758" t="str">
        <f t="shared" si="130"/>
        <v>0-</v>
      </c>
      <c r="H2758" t="str">
        <f>IFERROR(VLOOKUP(E2758,DC_Xref!A:B,2,FALSE),"")</f>
        <v/>
      </c>
      <c r="I2758">
        <f t="shared" si="131"/>
        <v>0</v>
      </c>
    </row>
    <row r="2759" spans="1:9" x14ac:dyDescent="0.3">
      <c r="A2759" t="str">
        <f t="shared" si="129"/>
        <v>-</v>
      </c>
      <c r="B2759" t="str">
        <f t="shared" si="130"/>
        <v>0-</v>
      </c>
      <c r="H2759" t="str">
        <f>IFERROR(VLOOKUP(E2759,DC_Xref!A:B,2,FALSE),"")</f>
        <v/>
      </c>
      <c r="I2759">
        <f t="shared" si="131"/>
        <v>0</v>
      </c>
    </row>
    <row r="2760" spans="1:9" x14ac:dyDescent="0.3">
      <c r="A2760" t="str">
        <f t="shared" si="129"/>
        <v>-</v>
      </c>
      <c r="B2760" t="str">
        <f t="shared" si="130"/>
        <v>0-</v>
      </c>
      <c r="H2760" t="str">
        <f>IFERROR(VLOOKUP(E2760,DC_Xref!A:B,2,FALSE),"")</f>
        <v/>
      </c>
      <c r="I2760">
        <f t="shared" si="131"/>
        <v>0</v>
      </c>
    </row>
    <row r="2761" spans="1:9" x14ac:dyDescent="0.3">
      <c r="A2761" t="str">
        <f t="shared" si="129"/>
        <v>-</v>
      </c>
      <c r="B2761" t="str">
        <f t="shared" si="130"/>
        <v>0-</v>
      </c>
      <c r="H2761" t="str">
        <f>IFERROR(VLOOKUP(E2761,DC_Xref!A:B,2,FALSE),"")</f>
        <v/>
      </c>
      <c r="I2761">
        <f t="shared" si="131"/>
        <v>0</v>
      </c>
    </row>
    <row r="2762" spans="1:9" x14ac:dyDescent="0.3">
      <c r="A2762" t="str">
        <f t="shared" si="129"/>
        <v>-</v>
      </c>
      <c r="B2762" t="str">
        <f t="shared" si="130"/>
        <v>0-</v>
      </c>
      <c r="H2762" t="str">
        <f>IFERROR(VLOOKUP(E2762,DC_Xref!A:B,2,FALSE),"")</f>
        <v/>
      </c>
      <c r="I2762">
        <f t="shared" si="131"/>
        <v>0</v>
      </c>
    </row>
    <row r="2763" spans="1:9" x14ac:dyDescent="0.3">
      <c r="A2763" t="str">
        <f t="shared" si="129"/>
        <v>-</v>
      </c>
      <c r="B2763" t="str">
        <f t="shared" si="130"/>
        <v>0-</v>
      </c>
      <c r="H2763" t="str">
        <f>IFERROR(VLOOKUP(E2763,DC_Xref!A:B,2,FALSE),"")</f>
        <v/>
      </c>
      <c r="I2763">
        <f t="shared" si="131"/>
        <v>0</v>
      </c>
    </row>
    <row r="2764" spans="1:9" x14ac:dyDescent="0.3">
      <c r="A2764" t="str">
        <f t="shared" si="129"/>
        <v>-</v>
      </c>
      <c r="B2764" t="str">
        <f t="shared" si="130"/>
        <v>0-</v>
      </c>
      <c r="H2764" t="str">
        <f>IFERROR(VLOOKUP(E2764,DC_Xref!A:B,2,FALSE),"")</f>
        <v/>
      </c>
      <c r="I2764">
        <f t="shared" si="131"/>
        <v>0</v>
      </c>
    </row>
    <row r="2765" spans="1:9" x14ac:dyDescent="0.3">
      <c r="A2765" t="str">
        <f t="shared" si="129"/>
        <v>-</v>
      </c>
      <c r="B2765" t="str">
        <f t="shared" si="130"/>
        <v>0-</v>
      </c>
      <c r="H2765" t="str">
        <f>IFERROR(VLOOKUP(E2765,DC_Xref!A:B,2,FALSE),"")</f>
        <v/>
      </c>
      <c r="I2765">
        <f t="shared" si="131"/>
        <v>0</v>
      </c>
    </row>
    <row r="2766" spans="1:9" x14ac:dyDescent="0.3">
      <c r="A2766" t="str">
        <f t="shared" si="129"/>
        <v>-</v>
      </c>
      <c r="B2766" t="str">
        <f t="shared" si="130"/>
        <v>0-</v>
      </c>
      <c r="H2766" t="str">
        <f>IFERROR(VLOOKUP(E2766,DC_Xref!A:B,2,FALSE),"")</f>
        <v/>
      </c>
      <c r="I2766">
        <f t="shared" si="131"/>
        <v>0</v>
      </c>
    </row>
    <row r="2767" spans="1:9" x14ac:dyDescent="0.3">
      <c r="A2767" t="str">
        <f t="shared" si="129"/>
        <v>-</v>
      </c>
      <c r="B2767" t="str">
        <f t="shared" si="130"/>
        <v>0-</v>
      </c>
      <c r="H2767" t="str">
        <f>IFERROR(VLOOKUP(E2767,DC_Xref!A:B,2,FALSE),"")</f>
        <v/>
      </c>
      <c r="I2767">
        <f t="shared" si="131"/>
        <v>0</v>
      </c>
    </row>
    <row r="2768" spans="1:9" x14ac:dyDescent="0.3">
      <c r="A2768" t="str">
        <f t="shared" si="129"/>
        <v>-</v>
      </c>
      <c r="B2768" t="str">
        <f t="shared" si="130"/>
        <v>0-</v>
      </c>
      <c r="H2768" t="str">
        <f>IFERROR(VLOOKUP(E2768,DC_Xref!A:B,2,FALSE),"")</f>
        <v/>
      </c>
      <c r="I2768">
        <f t="shared" si="131"/>
        <v>0</v>
      </c>
    </row>
    <row r="2769" spans="1:9" x14ac:dyDescent="0.3">
      <c r="A2769" t="str">
        <f t="shared" si="129"/>
        <v>-</v>
      </c>
      <c r="B2769" t="str">
        <f t="shared" si="130"/>
        <v>0-</v>
      </c>
      <c r="H2769" t="str">
        <f>IFERROR(VLOOKUP(E2769,DC_Xref!A:B,2,FALSE),"")</f>
        <v/>
      </c>
      <c r="I2769">
        <f t="shared" si="131"/>
        <v>0</v>
      </c>
    </row>
    <row r="2770" spans="1:9" x14ac:dyDescent="0.3">
      <c r="A2770" t="str">
        <f t="shared" si="129"/>
        <v>-</v>
      </c>
      <c r="B2770" t="str">
        <f t="shared" si="130"/>
        <v>0-</v>
      </c>
      <c r="H2770" t="str">
        <f>IFERROR(VLOOKUP(E2770,DC_Xref!A:B,2,FALSE),"")</f>
        <v/>
      </c>
      <c r="I2770">
        <f t="shared" si="131"/>
        <v>0</v>
      </c>
    </row>
    <row r="2771" spans="1:9" x14ac:dyDescent="0.3">
      <c r="A2771" t="str">
        <f t="shared" si="129"/>
        <v>-</v>
      </c>
      <c r="B2771" t="str">
        <f t="shared" si="130"/>
        <v>0-</v>
      </c>
      <c r="H2771" t="str">
        <f>IFERROR(VLOOKUP(E2771,DC_Xref!A:B,2,FALSE),"")</f>
        <v/>
      </c>
      <c r="I2771">
        <f t="shared" si="131"/>
        <v>0</v>
      </c>
    </row>
    <row r="2772" spans="1:9" x14ac:dyDescent="0.3">
      <c r="A2772" t="str">
        <f t="shared" si="129"/>
        <v>-</v>
      </c>
      <c r="B2772" t="str">
        <f t="shared" si="130"/>
        <v>0-</v>
      </c>
      <c r="H2772" t="str">
        <f>IFERROR(VLOOKUP(E2772,DC_Xref!A:B,2,FALSE),"")</f>
        <v/>
      </c>
      <c r="I2772">
        <f t="shared" si="131"/>
        <v>0</v>
      </c>
    </row>
    <row r="2773" spans="1:9" x14ac:dyDescent="0.3">
      <c r="A2773" t="str">
        <f t="shared" si="129"/>
        <v>-</v>
      </c>
      <c r="B2773" t="str">
        <f t="shared" si="130"/>
        <v>0-</v>
      </c>
      <c r="H2773" t="str">
        <f>IFERROR(VLOOKUP(E2773,DC_Xref!A:B,2,FALSE),"")</f>
        <v/>
      </c>
      <c r="I2773">
        <f t="shared" si="131"/>
        <v>0</v>
      </c>
    </row>
    <row r="2774" spans="1:9" x14ac:dyDescent="0.3">
      <c r="A2774" t="str">
        <f t="shared" si="129"/>
        <v>-</v>
      </c>
      <c r="B2774" t="str">
        <f t="shared" si="130"/>
        <v>0-</v>
      </c>
      <c r="H2774" t="str">
        <f>IFERROR(VLOOKUP(E2774,DC_Xref!A:B,2,FALSE),"")</f>
        <v/>
      </c>
      <c r="I2774">
        <f t="shared" si="131"/>
        <v>0</v>
      </c>
    </row>
    <row r="2775" spans="1:9" x14ac:dyDescent="0.3">
      <c r="A2775" t="str">
        <f t="shared" si="129"/>
        <v>-</v>
      </c>
      <c r="B2775" t="str">
        <f t="shared" si="130"/>
        <v>0-</v>
      </c>
      <c r="H2775" t="str">
        <f>IFERROR(VLOOKUP(E2775,DC_Xref!A:B,2,FALSE),"")</f>
        <v/>
      </c>
      <c r="I2775">
        <f t="shared" si="131"/>
        <v>0</v>
      </c>
    </row>
    <row r="2776" spans="1:9" x14ac:dyDescent="0.3">
      <c r="A2776" t="str">
        <f t="shared" si="129"/>
        <v>-</v>
      </c>
      <c r="B2776" t="str">
        <f t="shared" si="130"/>
        <v>0-</v>
      </c>
      <c r="H2776" t="str">
        <f>IFERROR(VLOOKUP(E2776,DC_Xref!A:B,2,FALSE),"")</f>
        <v/>
      </c>
      <c r="I2776">
        <f t="shared" si="131"/>
        <v>0</v>
      </c>
    </row>
    <row r="2777" spans="1:9" x14ac:dyDescent="0.3">
      <c r="A2777" t="str">
        <f t="shared" si="129"/>
        <v>-</v>
      </c>
      <c r="B2777" t="str">
        <f t="shared" si="130"/>
        <v>0-</v>
      </c>
      <c r="H2777" t="str">
        <f>IFERROR(VLOOKUP(E2777,DC_Xref!A:B,2,FALSE),"")</f>
        <v/>
      </c>
      <c r="I2777">
        <f t="shared" si="131"/>
        <v>0</v>
      </c>
    </row>
    <row r="2778" spans="1:9" x14ac:dyDescent="0.3">
      <c r="A2778" t="str">
        <f t="shared" si="129"/>
        <v>-</v>
      </c>
      <c r="B2778" t="str">
        <f t="shared" si="130"/>
        <v>0-</v>
      </c>
      <c r="H2778" t="str">
        <f>IFERROR(VLOOKUP(E2778,DC_Xref!A:B,2,FALSE),"")</f>
        <v/>
      </c>
      <c r="I2778">
        <f t="shared" si="131"/>
        <v>0</v>
      </c>
    </row>
    <row r="2779" spans="1:9" x14ac:dyDescent="0.3">
      <c r="A2779" t="str">
        <f t="shared" si="129"/>
        <v>-</v>
      </c>
      <c r="B2779" t="str">
        <f t="shared" si="130"/>
        <v>0-</v>
      </c>
      <c r="H2779" t="str">
        <f>IFERROR(VLOOKUP(E2779,DC_Xref!A:B,2,FALSE),"")</f>
        <v/>
      </c>
      <c r="I2779">
        <f t="shared" si="131"/>
        <v>0</v>
      </c>
    </row>
    <row r="2780" spans="1:9" x14ac:dyDescent="0.3">
      <c r="A2780" t="str">
        <f t="shared" si="129"/>
        <v>-</v>
      </c>
      <c r="B2780" t="str">
        <f t="shared" si="130"/>
        <v>0-</v>
      </c>
      <c r="H2780" t="str">
        <f>IFERROR(VLOOKUP(E2780,DC_Xref!A:B,2,FALSE),"")</f>
        <v/>
      </c>
      <c r="I2780">
        <f t="shared" si="131"/>
        <v>0</v>
      </c>
    </row>
    <row r="2781" spans="1:9" x14ac:dyDescent="0.3">
      <c r="A2781" t="str">
        <f t="shared" si="129"/>
        <v>-</v>
      </c>
      <c r="B2781" t="str">
        <f t="shared" si="130"/>
        <v>0-</v>
      </c>
      <c r="H2781" t="str">
        <f>IFERROR(VLOOKUP(E2781,DC_Xref!A:B,2,FALSE),"")</f>
        <v/>
      </c>
      <c r="I2781">
        <f t="shared" si="131"/>
        <v>0</v>
      </c>
    </row>
    <row r="2782" spans="1:9" x14ac:dyDescent="0.3">
      <c r="A2782" t="str">
        <f t="shared" si="129"/>
        <v>-</v>
      </c>
      <c r="B2782" t="str">
        <f t="shared" si="130"/>
        <v>0-</v>
      </c>
      <c r="H2782" t="str">
        <f>IFERROR(VLOOKUP(E2782,DC_Xref!A:B,2,FALSE),"")</f>
        <v/>
      </c>
      <c r="I2782">
        <f t="shared" si="131"/>
        <v>0</v>
      </c>
    </row>
    <row r="2783" spans="1:9" x14ac:dyDescent="0.3">
      <c r="A2783" t="str">
        <f t="shared" si="129"/>
        <v>-</v>
      </c>
      <c r="B2783" t="str">
        <f t="shared" si="130"/>
        <v>0-</v>
      </c>
      <c r="H2783" t="str">
        <f>IFERROR(VLOOKUP(E2783,DC_Xref!A:B,2,FALSE),"")</f>
        <v/>
      </c>
      <c r="I2783">
        <f t="shared" si="131"/>
        <v>0</v>
      </c>
    </row>
    <row r="2784" spans="1:9" x14ac:dyDescent="0.3">
      <c r="A2784" t="str">
        <f t="shared" si="129"/>
        <v>-</v>
      </c>
      <c r="B2784" t="str">
        <f t="shared" si="130"/>
        <v>0-</v>
      </c>
      <c r="H2784" t="str">
        <f>IFERROR(VLOOKUP(E2784,DC_Xref!A:B,2,FALSE),"")</f>
        <v/>
      </c>
      <c r="I2784">
        <f t="shared" si="131"/>
        <v>0</v>
      </c>
    </row>
    <row r="2785" spans="1:9" x14ac:dyDescent="0.3">
      <c r="A2785" t="str">
        <f t="shared" si="129"/>
        <v>-</v>
      </c>
      <c r="B2785" t="str">
        <f t="shared" si="130"/>
        <v>0-</v>
      </c>
      <c r="H2785" t="str">
        <f>IFERROR(VLOOKUP(E2785,DC_Xref!A:B,2,FALSE),"")</f>
        <v/>
      </c>
      <c r="I2785">
        <f t="shared" si="131"/>
        <v>0</v>
      </c>
    </row>
    <row r="2786" spans="1:9" x14ac:dyDescent="0.3">
      <c r="A2786" t="str">
        <f t="shared" si="129"/>
        <v>-</v>
      </c>
      <c r="B2786" t="str">
        <f t="shared" si="130"/>
        <v>0-</v>
      </c>
      <c r="H2786" t="str">
        <f>IFERROR(VLOOKUP(E2786,DC_Xref!A:B,2,FALSE),"")</f>
        <v/>
      </c>
      <c r="I2786">
        <f t="shared" si="131"/>
        <v>0</v>
      </c>
    </row>
    <row r="2787" spans="1:9" x14ac:dyDescent="0.3">
      <c r="A2787" t="str">
        <f t="shared" si="129"/>
        <v>-</v>
      </c>
      <c r="B2787" t="str">
        <f t="shared" si="130"/>
        <v>0-</v>
      </c>
      <c r="H2787" t="str">
        <f>IFERROR(VLOOKUP(E2787,DC_Xref!A:B,2,FALSE),"")</f>
        <v/>
      </c>
      <c r="I2787">
        <f t="shared" si="131"/>
        <v>0</v>
      </c>
    </row>
    <row r="2788" spans="1:9" x14ac:dyDescent="0.3">
      <c r="A2788" t="str">
        <f t="shared" si="129"/>
        <v>-</v>
      </c>
      <c r="B2788" t="str">
        <f t="shared" si="130"/>
        <v>0-</v>
      </c>
      <c r="H2788" t="str">
        <f>IFERROR(VLOOKUP(E2788,DC_Xref!A:B,2,FALSE),"")</f>
        <v/>
      </c>
      <c r="I2788">
        <f t="shared" si="131"/>
        <v>0</v>
      </c>
    </row>
    <row r="2789" spans="1:9" x14ac:dyDescent="0.3">
      <c r="A2789" t="str">
        <f t="shared" si="129"/>
        <v>-</v>
      </c>
      <c r="B2789" t="str">
        <f t="shared" si="130"/>
        <v>0-</v>
      </c>
      <c r="H2789" t="str">
        <f>IFERROR(VLOOKUP(E2789,DC_Xref!A:B,2,FALSE),"")</f>
        <v/>
      </c>
      <c r="I2789">
        <f t="shared" si="131"/>
        <v>0</v>
      </c>
    </row>
    <row r="2790" spans="1:9" x14ac:dyDescent="0.3">
      <c r="A2790" t="str">
        <f t="shared" si="129"/>
        <v>-</v>
      </c>
      <c r="B2790" t="str">
        <f t="shared" si="130"/>
        <v>0-</v>
      </c>
      <c r="H2790" t="str">
        <f>IFERROR(VLOOKUP(E2790,DC_Xref!A:B,2,FALSE),"")</f>
        <v/>
      </c>
      <c r="I2790">
        <f t="shared" si="131"/>
        <v>0</v>
      </c>
    </row>
    <row r="2791" spans="1:9" x14ac:dyDescent="0.3">
      <c r="A2791" t="str">
        <f t="shared" si="129"/>
        <v>-</v>
      </c>
      <c r="B2791" t="str">
        <f t="shared" si="130"/>
        <v>0-</v>
      </c>
      <c r="H2791" t="str">
        <f>IFERROR(VLOOKUP(E2791,DC_Xref!A:B,2,FALSE),"")</f>
        <v/>
      </c>
      <c r="I2791">
        <f t="shared" si="131"/>
        <v>0</v>
      </c>
    </row>
    <row r="2792" spans="1:9" x14ac:dyDescent="0.3">
      <c r="A2792" t="str">
        <f t="shared" si="129"/>
        <v>-</v>
      </c>
      <c r="B2792" t="str">
        <f t="shared" si="130"/>
        <v>0-</v>
      </c>
      <c r="H2792" t="str">
        <f>IFERROR(VLOOKUP(E2792,DC_Xref!A:B,2,FALSE),"")</f>
        <v/>
      </c>
      <c r="I2792">
        <f t="shared" si="131"/>
        <v>0</v>
      </c>
    </row>
    <row r="2793" spans="1:9" x14ac:dyDescent="0.3">
      <c r="A2793" t="str">
        <f t="shared" si="129"/>
        <v>-</v>
      </c>
      <c r="B2793" t="str">
        <f t="shared" si="130"/>
        <v>0-</v>
      </c>
      <c r="H2793" t="str">
        <f>IFERROR(VLOOKUP(E2793,DC_Xref!A:B,2,FALSE),"")</f>
        <v/>
      </c>
      <c r="I2793">
        <f t="shared" si="131"/>
        <v>0</v>
      </c>
    </row>
    <row r="2794" spans="1:9" x14ac:dyDescent="0.3">
      <c r="A2794" t="str">
        <f t="shared" si="129"/>
        <v>-</v>
      </c>
      <c r="B2794" t="str">
        <f t="shared" si="130"/>
        <v>0-</v>
      </c>
      <c r="H2794" t="str">
        <f>IFERROR(VLOOKUP(E2794,DC_Xref!A:B,2,FALSE),"")</f>
        <v/>
      </c>
      <c r="I2794">
        <f t="shared" si="131"/>
        <v>0</v>
      </c>
    </row>
    <row r="2795" spans="1:9" x14ac:dyDescent="0.3">
      <c r="A2795" t="str">
        <f t="shared" si="129"/>
        <v>-</v>
      </c>
      <c r="B2795" t="str">
        <f t="shared" si="130"/>
        <v>0-</v>
      </c>
      <c r="H2795" t="str">
        <f>IFERROR(VLOOKUP(E2795,DC_Xref!A:B,2,FALSE),"")</f>
        <v/>
      </c>
      <c r="I2795">
        <f t="shared" si="131"/>
        <v>0</v>
      </c>
    </row>
    <row r="2796" spans="1:9" x14ac:dyDescent="0.3">
      <c r="A2796" t="str">
        <f t="shared" si="129"/>
        <v>-</v>
      </c>
      <c r="B2796" t="str">
        <f t="shared" si="130"/>
        <v>0-</v>
      </c>
      <c r="H2796" t="str">
        <f>IFERROR(VLOOKUP(E2796,DC_Xref!A:B,2,FALSE),"")</f>
        <v/>
      </c>
      <c r="I2796">
        <f t="shared" si="131"/>
        <v>0</v>
      </c>
    </row>
    <row r="2797" spans="1:9" x14ac:dyDescent="0.3">
      <c r="A2797" t="str">
        <f t="shared" si="129"/>
        <v>-</v>
      </c>
      <c r="B2797" t="str">
        <f t="shared" si="130"/>
        <v>0-</v>
      </c>
      <c r="H2797" t="str">
        <f>IFERROR(VLOOKUP(E2797,DC_Xref!A:B,2,FALSE),"")</f>
        <v/>
      </c>
      <c r="I2797">
        <f t="shared" si="131"/>
        <v>0</v>
      </c>
    </row>
    <row r="2798" spans="1:9" x14ac:dyDescent="0.3">
      <c r="A2798" t="str">
        <f t="shared" si="129"/>
        <v>-</v>
      </c>
      <c r="B2798" t="str">
        <f t="shared" si="130"/>
        <v>0-</v>
      </c>
      <c r="H2798" t="str">
        <f>IFERROR(VLOOKUP(E2798,DC_Xref!A:B,2,FALSE),"")</f>
        <v/>
      </c>
      <c r="I2798">
        <f t="shared" si="131"/>
        <v>0</v>
      </c>
    </row>
    <row r="2799" spans="1:9" x14ac:dyDescent="0.3">
      <c r="A2799" t="str">
        <f t="shared" si="129"/>
        <v>-</v>
      </c>
      <c r="B2799" t="str">
        <f t="shared" si="130"/>
        <v>0-</v>
      </c>
      <c r="H2799" t="str">
        <f>IFERROR(VLOOKUP(E2799,DC_Xref!A:B,2,FALSE),"")</f>
        <v/>
      </c>
      <c r="I2799">
        <f t="shared" si="131"/>
        <v>0</v>
      </c>
    </row>
    <row r="2800" spans="1:9" x14ac:dyDescent="0.3">
      <c r="A2800" t="str">
        <f t="shared" si="129"/>
        <v>-</v>
      </c>
      <c r="B2800" t="str">
        <f t="shared" si="130"/>
        <v>0-</v>
      </c>
      <c r="H2800" t="str">
        <f>IFERROR(VLOOKUP(E2800,DC_Xref!A:B,2,FALSE),"")</f>
        <v/>
      </c>
      <c r="I2800">
        <f t="shared" si="131"/>
        <v>0</v>
      </c>
    </row>
    <row r="2801" spans="1:9" x14ac:dyDescent="0.3">
      <c r="A2801" t="str">
        <f t="shared" si="129"/>
        <v>-</v>
      </c>
      <c r="B2801" t="str">
        <f t="shared" si="130"/>
        <v>0-</v>
      </c>
      <c r="H2801" t="str">
        <f>IFERROR(VLOOKUP(E2801,DC_Xref!A:B,2,FALSE),"")</f>
        <v/>
      </c>
      <c r="I2801">
        <f t="shared" si="131"/>
        <v>0</v>
      </c>
    </row>
    <row r="2802" spans="1:9" x14ac:dyDescent="0.3">
      <c r="A2802" t="str">
        <f t="shared" si="129"/>
        <v>-</v>
      </c>
      <c r="B2802" t="str">
        <f t="shared" si="130"/>
        <v>0-</v>
      </c>
      <c r="H2802" t="str">
        <f>IFERROR(VLOOKUP(E2802,DC_Xref!A:B,2,FALSE),"")</f>
        <v/>
      </c>
      <c r="I2802">
        <f t="shared" si="131"/>
        <v>0</v>
      </c>
    </row>
    <row r="2803" spans="1:9" x14ac:dyDescent="0.3">
      <c r="A2803" t="str">
        <f t="shared" si="129"/>
        <v>-</v>
      </c>
      <c r="B2803" t="str">
        <f t="shared" si="130"/>
        <v>0-</v>
      </c>
      <c r="H2803" t="str">
        <f>IFERROR(VLOOKUP(E2803,DC_Xref!A:B,2,FALSE),"")</f>
        <v/>
      </c>
      <c r="I2803">
        <f t="shared" si="131"/>
        <v>0</v>
      </c>
    </row>
    <row r="2804" spans="1:9" x14ac:dyDescent="0.3">
      <c r="A2804" t="str">
        <f t="shared" si="129"/>
        <v>-</v>
      </c>
      <c r="B2804" t="str">
        <f t="shared" si="130"/>
        <v>0-</v>
      </c>
      <c r="H2804" t="str">
        <f>IFERROR(VLOOKUP(E2804,DC_Xref!A:B,2,FALSE),"")</f>
        <v/>
      </c>
      <c r="I2804">
        <f t="shared" si="131"/>
        <v>0</v>
      </c>
    </row>
    <row r="2805" spans="1:9" x14ac:dyDescent="0.3">
      <c r="A2805" t="str">
        <f t="shared" si="129"/>
        <v>-</v>
      </c>
      <c r="B2805" t="str">
        <f t="shared" si="130"/>
        <v>0-</v>
      </c>
      <c r="H2805" t="str">
        <f>IFERROR(VLOOKUP(E2805,DC_Xref!A:B,2,FALSE),"")</f>
        <v/>
      </c>
      <c r="I2805">
        <f t="shared" si="131"/>
        <v>0</v>
      </c>
    </row>
    <row r="2806" spans="1:9" x14ac:dyDescent="0.3">
      <c r="A2806" t="str">
        <f t="shared" si="129"/>
        <v>-</v>
      </c>
      <c r="B2806" t="str">
        <f t="shared" si="130"/>
        <v>0-</v>
      </c>
      <c r="H2806" t="str">
        <f>IFERROR(VLOOKUP(E2806,DC_Xref!A:B,2,FALSE),"")</f>
        <v/>
      </c>
      <c r="I2806">
        <f t="shared" si="131"/>
        <v>0</v>
      </c>
    </row>
    <row r="2807" spans="1:9" x14ac:dyDescent="0.3">
      <c r="A2807" t="str">
        <f t="shared" si="129"/>
        <v>-</v>
      </c>
      <c r="B2807" t="str">
        <f t="shared" si="130"/>
        <v>0-</v>
      </c>
      <c r="H2807" t="str">
        <f>IFERROR(VLOOKUP(E2807,DC_Xref!A:B,2,FALSE),"")</f>
        <v/>
      </c>
      <c r="I2807">
        <f t="shared" si="131"/>
        <v>0</v>
      </c>
    </row>
    <row r="2808" spans="1:9" x14ac:dyDescent="0.3">
      <c r="A2808" t="str">
        <f t="shared" si="129"/>
        <v>-</v>
      </c>
      <c r="B2808" t="str">
        <f t="shared" si="130"/>
        <v>0-</v>
      </c>
      <c r="H2808" t="str">
        <f>IFERROR(VLOOKUP(E2808,DC_Xref!A:B,2,FALSE),"")</f>
        <v/>
      </c>
      <c r="I2808">
        <f t="shared" si="131"/>
        <v>0</v>
      </c>
    </row>
    <row r="2809" spans="1:9" x14ac:dyDescent="0.3">
      <c r="A2809" t="str">
        <f t="shared" si="129"/>
        <v>-</v>
      </c>
      <c r="B2809" t="str">
        <f t="shared" si="130"/>
        <v>0-</v>
      </c>
      <c r="H2809" t="str">
        <f>IFERROR(VLOOKUP(E2809,DC_Xref!A:B,2,FALSE),"")</f>
        <v/>
      </c>
      <c r="I2809">
        <f t="shared" si="131"/>
        <v>0</v>
      </c>
    </row>
    <row r="2810" spans="1:9" x14ac:dyDescent="0.3">
      <c r="A2810" t="str">
        <f t="shared" si="129"/>
        <v>-</v>
      </c>
      <c r="B2810" t="str">
        <f t="shared" si="130"/>
        <v>0-</v>
      </c>
      <c r="H2810" t="str">
        <f>IFERROR(VLOOKUP(E2810,DC_Xref!A:B,2,FALSE),"")</f>
        <v/>
      </c>
      <c r="I2810">
        <f t="shared" si="131"/>
        <v>0</v>
      </c>
    </row>
    <row r="2811" spans="1:9" x14ac:dyDescent="0.3">
      <c r="A2811" t="str">
        <f t="shared" si="129"/>
        <v>-</v>
      </c>
      <c r="B2811" t="str">
        <f t="shared" si="130"/>
        <v>0-</v>
      </c>
      <c r="H2811" t="str">
        <f>IFERROR(VLOOKUP(E2811,DC_Xref!A:B,2,FALSE),"")</f>
        <v/>
      </c>
      <c r="I2811">
        <f t="shared" si="131"/>
        <v>0</v>
      </c>
    </row>
    <row r="2812" spans="1:9" x14ac:dyDescent="0.3">
      <c r="A2812" t="str">
        <f t="shared" si="129"/>
        <v>-</v>
      </c>
      <c r="B2812" t="str">
        <f t="shared" si="130"/>
        <v>0-</v>
      </c>
      <c r="H2812" t="str">
        <f>IFERROR(VLOOKUP(E2812,DC_Xref!A:B,2,FALSE),"")</f>
        <v/>
      </c>
      <c r="I2812">
        <f t="shared" si="131"/>
        <v>0</v>
      </c>
    </row>
    <row r="2813" spans="1:9" x14ac:dyDescent="0.3">
      <c r="A2813" t="str">
        <f t="shared" si="129"/>
        <v>-</v>
      </c>
      <c r="B2813" t="str">
        <f t="shared" si="130"/>
        <v>0-</v>
      </c>
      <c r="H2813" t="str">
        <f>IFERROR(VLOOKUP(E2813,DC_Xref!A:B,2,FALSE),"")</f>
        <v/>
      </c>
      <c r="I2813">
        <f t="shared" si="131"/>
        <v>0</v>
      </c>
    </row>
    <row r="2814" spans="1:9" x14ac:dyDescent="0.3">
      <c r="A2814" t="str">
        <f t="shared" si="129"/>
        <v>-</v>
      </c>
      <c r="B2814" t="str">
        <f t="shared" si="130"/>
        <v>0-</v>
      </c>
      <c r="H2814" t="str">
        <f>IFERROR(VLOOKUP(E2814,DC_Xref!A:B,2,FALSE),"")</f>
        <v/>
      </c>
      <c r="I2814">
        <f t="shared" si="131"/>
        <v>0</v>
      </c>
    </row>
    <row r="2815" spans="1:9" x14ac:dyDescent="0.3">
      <c r="A2815" t="str">
        <f t="shared" si="129"/>
        <v>-</v>
      </c>
      <c r="B2815" t="str">
        <f t="shared" si="130"/>
        <v>0-</v>
      </c>
      <c r="H2815" t="str">
        <f>IFERROR(VLOOKUP(E2815,DC_Xref!A:B,2,FALSE),"")</f>
        <v/>
      </c>
      <c r="I2815">
        <f t="shared" si="131"/>
        <v>0</v>
      </c>
    </row>
    <row r="2816" spans="1:9" x14ac:dyDescent="0.3">
      <c r="A2816" t="str">
        <f t="shared" si="129"/>
        <v>-</v>
      </c>
      <c r="B2816" t="str">
        <f t="shared" si="130"/>
        <v>0-</v>
      </c>
      <c r="H2816" t="str">
        <f>IFERROR(VLOOKUP(E2816,DC_Xref!A:B,2,FALSE),"")</f>
        <v/>
      </c>
      <c r="I2816">
        <f t="shared" si="131"/>
        <v>0</v>
      </c>
    </row>
    <row r="2817" spans="1:9" x14ac:dyDescent="0.3">
      <c r="A2817" t="str">
        <f t="shared" si="129"/>
        <v>-</v>
      </c>
      <c r="B2817" t="str">
        <f t="shared" si="130"/>
        <v>0-</v>
      </c>
      <c r="H2817" t="str">
        <f>IFERROR(VLOOKUP(E2817,DC_Xref!A:B,2,FALSE),"")</f>
        <v/>
      </c>
      <c r="I2817">
        <f t="shared" si="131"/>
        <v>0</v>
      </c>
    </row>
    <row r="2818" spans="1:9" x14ac:dyDescent="0.3">
      <c r="A2818" t="str">
        <f t="shared" si="129"/>
        <v>-</v>
      </c>
      <c r="B2818" t="str">
        <f t="shared" ref="B2818:B2820" si="132">I2818&amp;"-"&amp;H2818</f>
        <v>0-</v>
      </c>
      <c r="H2818" t="str">
        <f>IFERROR(VLOOKUP(E2818,DC_Xref!A:B,2,FALSE),"")</f>
        <v/>
      </c>
      <c r="I2818">
        <f t="shared" ref="I2818:I2820" si="133">C2818*100+D2818</f>
        <v>0</v>
      </c>
    </row>
    <row r="2819" spans="1:9" x14ac:dyDescent="0.3">
      <c r="A2819" t="str">
        <f t="shared" si="129"/>
        <v>-</v>
      </c>
      <c r="B2819" t="str">
        <f t="shared" si="132"/>
        <v>0-</v>
      </c>
      <c r="H2819" t="str">
        <f>IFERROR(VLOOKUP(E2819,DC_Xref!A:B,2,FALSE),"")</f>
        <v/>
      </c>
      <c r="I2819">
        <f t="shared" si="133"/>
        <v>0</v>
      </c>
    </row>
    <row r="2820" spans="1:9" x14ac:dyDescent="0.3">
      <c r="A2820" t="str">
        <f t="shared" si="129"/>
        <v>-</v>
      </c>
      <c r="B2820" t="str">
        <f t="shared" si="132"/>
        <v>0-</v>
      </c>
      <c r="H2820" t="str">
        <f>IFERROR(VLOOKUP(E2820,DC_Xref!A:B,2,FALSE),"")</f>
        <v/>
      </c>
      <c r="I2820">
        <f t="shared" si="133"/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activeCell="C8" sqref="C8"/>
    </sheetView>
  </sheetViews>
  <sheetFormatPr defaultRowHeight="14.4" x14ac:dyDescent="0.3"/>
  <sheetData>
    <row r="1" spans="1:2" x14ac:dyDescent="0.3">
      <c r="A1" t="s">
        <v>49</v>
      </c>
      <c r="B1" t="s">
        <v>3</v>
      </c>
    </row>
    <row r="2" spans="1:2" x14ac:dyDescent="0.3">
      <c r="A2">
        <v>1</v>
      </c>
      <c r="B2" t="s">
        <v>5</v>
      </c>
    </row>
    <row r="3" spans="1:2" x14ac:dyDescent="0.3">
      <c r="A3">
        <v>2</v>
      </c>
      <c r="B3" t="s">
        <v>6</v>
      </c>
    </row>
    <row r="4" spans="1:2" x14ac:dyDescent="0.3">
      <c r="A4">
        <v>3</v>
      </c>
      <c r="B4" t="s">
        <v>7</v>
      </c>
    </row>
    <row r="5" spans="1:2" x14ac:dyDescent="0.3">
      <c r="A5">
        <v>4</v>
      </c>
      <c r="B5" t="s">
        <v>8</v>
      </c>
    </row>
    <row r="6" spans="1:2" x14ac:dyDescent="0.3">
      <c r="A6">
        <v>5</v>
      </c>
      <c r="B6" t="s">
        <v>23</v>
      </c>
    </row>
    <row r="7" spans="1:2" x14ac:dyDescent="0.3">
      <c r="A7">
        <v>6</v>
      </c>
      <c r="B7" t="s">
        <v>10</v>
      </c>
    </row>
    <row r="8" spans="1:2" x14ac:dyDescent="0.3">
      <c r="A8">
        <v>7</v>
      </c>
      <c r="B8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593"/>
  <sheetViews>
    <sheetView topLeftCell="H1" workbookViewId="0">
      <selection activeCell="O15" sqref="O15"/>
    </sheetView>
  </sheetViews>
  <sheetFormatPr defaultRowHeight="14.4" x14ac:dyDescent="0.3"/>
  <cols>
    <col min="1" max="1" width="24.109375" bestFit="1" customWidth="1"/>
    <col min="2" max="2" width="14.109375" customWidth="1"/>
    <col min="3" max="3" width="13.109375" customWidth="1"/>
    <col min="4" max="4" width="15.6640625" bestFit="1" customWidth="1"/>
    <col min="5" max="5" width="18.6640625" customWidth="1"/>
    <col min="6" max="6" width="13.33203125" customWidth="1"/>
    <col min="7" max="7" width="10" customWidth="1"/>
    <col min="8" max="8" width="15.44140625" customWidth="1"/>
    <col min="9" max="9" width="35.109375" bestFit="1" customWidth="1"/>
    <col min="10" max="10" width="34.6640625" bestFit="1" customWidth="1"/>
    <col min="12" max="12" width="33.6640625" style="3" bestFit="1" customWidth="1"/>
  </cols>
  <sheetData>
    <row r="1" spans="1:15" x14ac:dyDescent="0.3">
      <c r="A1" s="13" t="s">
        <v>94</v>
      </c>
      <c r="B1" s="13" t="s">
        <v>98</v>
      </c>
      <c r="C1" s="13" t="s">
        <v>29</v>
      </c>
      <c r="D1" t="s">
        <v>0</v>
      </c>
      <c r="E1" t="s">
        <v>93</v>
      </c>
      <c r="F1" t="s">
        <v>13</v>
      </c>
      <c r="G1" t="s">
        <v>14</v>
      </c>
      <c r="H1" t="s">
        <v>24</v>
      </c>
      <c r="I1" t="s">
        <v>15</v>
      </c>
      <c r="J1" s="13" t="s">
        <v>26</v>
      </c>
      <c r="K1" s="13" t="s">
        <v>97</v>
      </c>
      <c r="L1" s="13" t="s">
        <v>39</v>
      </c>
      <c r="M1" s="13" t="s">
        <v>40</v>
      </c>
      <c r="N1" s="14" t="s">
        <v>44</v>
      </c>
      <c r="O1" s="13" t="s">
        <v>38</v>
      </c>
    </row>
    <row r="2" spans="1:15" x14ac:dyDescent="0.3">
      <c r="A2" s="19" t="str">
        <f>Table1[[#This Row],[Year_Week]]&amp;"-"&amp;Table1[[#This Row],[DC_name_Xref]]</f>
        <v>201843-OFC</v>
      </c>
      <c r="B2" s="19" t="str">
        <f>Table1[[#This Row],[Fiscal_Year]]*100+Table1[[#This Row],[Fiscal_Week]] &amp; "-" &amp;Table1[[#This Row],[BRAND]]</f>
        <v>201843-Gap Factory Store</v>
      </c>
      <c r="C2" t="str">
        <f>Table1[[#This Row],[Fiscal_Year]]&amp;"-"&amp;Table1[[#This Row],[BRAND]]</f>
        <v>2018-Gap Factory Store</v>
      </c>
      <c r="D2">
        <v>2018</v>
      </c>
      <c r="E2">
        <v>43</v>
      </c>
      <c r="F2" t="s">
        <v>22</v>
      </c>
      <c r="G2" t="s">
        <v>5</v>
      </c>
      <c r="H2">
        <v>1</v>
      </c>
      <c r="I2">
        <v>782855</v>
      </c>
      <c r="J2" t="str">
        <f>VLOOKUP(H2,DC_Xref!A:B,2,FALSE)</f>
        <v>OFC</v>
      </c>
      <c r="K2">
        <f t="shared" ref="K2:K65" si="0">D2*100+E2</f>
        <v>201843</v>
      </c>
      <c r="L2">
        <f>IFERROR(Table1[[#This Row],[Demand]]/SUMIFS(Table1[Demand],Table1[Fiscal_Year],Table1[[#This Row],[Fiscal_Year]],Table1[BRAND],Table1[[#This Row],[BRAND]],Table1[DC_name_Xref],Table1[[#This Row],[DC_name_Xref]]),0)</f>
        <v>0.43484382993401705</v>
      </c>
      <c r="M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2" s="3">
        <f>IFERROR(INDEX(Table3[#All],MATCH(Table1[[#This Row],[Key_Year_Week_Brand]],Table3[[#All],[Key_Year_Week_Brand]],0),MATCH(Table1[[#This Row],[DC_name_Xref]],Table3[#Headers],0)),0)</f>
        <v>1</v>
      </c>
      <c r="O2">
        <f>IFERROR(INDEX(Table35[#All],MATCH(Table1[[#This Row],[Key_Year_Week_Brand]],Table35[[#All],[Key_Year_Month_Brand]],0),MATCH(Table1[[#This Row],[DC_name_Xref]],Table35[#Headers],0)),0)</f>
        <v>782855</v>
      </c>
    </row>
    <row r="3" spans="1:15" x14ac:dyDescent="0.3">
      <c r="A3" s="19" t="str">
        <f>Table1[[#This Row],[Year_Week]]&amp;"-"&amp;Table1[[#This Row],[DC_name_Xref]]</f>
        <v>201843-TFC</v>
      </c>
      <c r="B3" s="19" t="str">
        <f>Table1[[#This Row],[Fiscal_Year]]*100+Table1[[#This Row],[Fiscal_Week]] &amp; "-" &amp;Table1[[#This Row],[BRAND]]</f>
        <v>201843-Gap Factory Store</v>
      </c>
      <c r="C3" t="str">
        <f>Table1[[#This Row],[Fiscal_Year]]&amp;"-"&amp;Table1[[#This Row],[BRAND]]</f>
        <v>2018-Gap Factory Store</v>
      </c>
      <c r="D3">
        <v>2018</v>
      </c>
      <c r="E3">
        <v>43</v>
      </c>
      <c r="F3" t="s">
        <v>22</v>
      </c>
      <c r="G3" t="s">
        <v>21</v>
      </c>
      <c r="H3">
        <v>2</v>
      </c>
      <c r="I3">
        <v>0</v>
      </c>
      <c r="J3" t="str">
        <f>VLOOKUP(H3,DC_Xref!A:B,2,FALSE)</f>
        <v>TFC</v>
      </c>
      <c r="K3">
        <f t="shared" si="0"/>
        <v>201843</v>
      </c>
      <c r="L3">
        <f>IFERROR(Table1[[#This Row],[Demand]]/SUMIFS(Table1[Demand],Table1[Fiscal_Year],Table1[[#This Row],[Fiscal_Year]],Table1[BRAND],Table1[[#This Row],[BRAND]],Table1[DC_name_Xref],Table1[[#This Row],[DC_name_Xref]]),0)</f>
        <v>0</v>
      </c>
      <c r="M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" s="3">
        <f>IFERROR(INDEX(Table3[#All],MATCH(Table1[[#This Row],[Key_Year_Week_Brand]],Table3[[#All],[Key_Year_Week_Brand]],0),MATCH(Table1[[#This Row],[DC_name_Xref]],Table3[#Headers],0)),0)</f>
        <v>0</v>
      </c>
      <c r="O3">
        <f>IFERROR(INDEX(Table35[#All],MATCH(Table1[[#This Row],[Key_Year_Week_Brand]],Table35[[#All],[Key_Year_Month_Brand]],0),MATCH(Table1[[#This Row],[DC_name_Xref]],Table35[#Headers],0)),0)</f>
        <v>0</v>
      </c>
    </row>
    <row r="4" spans="1:15" x14ac:dyDescent="0.3">
      <c r="A4" s="19" t="str">
        <f>Table1[[#This Row],[Year_Week]]&amp;"-"&amp;Table1[[#This Row],[DC_name_Xref]]</f>
        <v>201843-WFC</v>
      </c>
      <c r="B4" s="19" t="str">
        <f>Table1[[#This Row],[Fiscal_Year]]*100+Table1[[#This Row],[Fiscal_Week]] &amp; "-" &amp;Table1[[#This Row],[BRAND]]</f>
        <v>201843-Gap Factory Store</v>
      </c>
      <c r="C4" t="str">
        <f>Table1[[#This Row],[Fiscal_Year]]&amp;"-"&amp;Table1[[#This Row],[BRAND]]</f>
        <v>2018-Gap Factory Store</v>
      </c>
      <c r="D4">
        <v>2018</v>
      </c>
      <c r="E4">
        <v>43</v>
      </c>
      <c r="F4" t="s">
        <v>22</v>
      </c>
      <c r="G4" t="s">
        <v>7</v>
      </c>
      <c r="H4">
        <v>3</v>
      </c>
      <c r="I4">
        <v>0</v>
      </c>
      <c r="J4" t="str">
        <f>VLOOKUP(H4,DC_Xref!A:B,2,FALSE)</f>
        <v>WFC</v>
      </c>
      <c r="K4">
        <f t="shared" si="0"/>
        <v>201843</v>
      </c>
      <c r="L4">
        <f>IFERROR(Table1[[#This Row],[Demand]]/SUMIFS(Table1[Demand],Table1[Fiscal_Year],Table1[[#This Row],[Fiscal_Year]],Table1[BRAND],Table1[[#This Row],[BRAND]],Table1[DC_name_Xref],Table1[[#This Row],[DC_name_Xref]]),0)</f>
        <v>0</v>
      </c>
      <c r="M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" s="3">
        <f>IFERROR(INDEX(Table3[#All],MATCH(Table1[[#This Row],[Key_Year_Week_Brand]],Table3[[#All],[Key_Year_Week_Brand]],0),MATCH(Table1[[#This Row],[DC_name_Xref]],Table3[#Headers],0)),0)</f>
        <v>0</v>
      </c>
      <c r="O4">
        <f>IFERROR(INDEX(Table35[#All],MATCH(Table1[[#This Row],[Key_Year_Week_Brand]],Table35[[#All],[Key_Year_Month_Brand]],0),MATCH(Table1[[#This Row],[DC_name_Xref]],Table35[#Headers],0)),0)</f>
        <v>0</v>
      </c>
    </row>
    <row r="5" spans="1:15" x14ac:dyDescent="0.3">
      <c r="A5" s="19" t="str">
        <f>Table1[[#This Row],[Year_Week]]&amp;"-"&amp;Table1[[#This Row],[DC_name_Xref]]</f>
        <v>201843-EAO</v>
      </c>
      <c r="B5" s="19" t="str">
        <f>Table1[[#This Row],[Fiscal_Year]]*100+Table1[[#This Row],[Fiscal_Week]] &amp; "-" &amp;Table1[[#This Row],[BRAND]]</f>
        <v>201843-Gap Factory Store</v>
      </c>
      <c r="C5" t="str">
        <f>Table1[[#This Row],[Fiscal_Year]]&amp;"-"&amp;Table1[[#This Row],[BRAND]]</f>
        <v>2018-Gap Factory Store</v>
      </c>
      <c r="D5">
        <v>2018</v>
      </c>
      <c r="E5">
        <v>43</v>
      </c>
      <c r="F5" t="s">
        <v>22</v>
      </c>
      <c r="G5" t="s">
        <v>8</v>
      </c>
      <c r="H5">
        <v>4</v>
      </c>
      <c r="I5">
        <v>0</v>
      </c>
      <c r="J5" t="str">
        <f>VLOOKUP(H5,DC_Xref!A:B,2,FALSE)</f>
        <v>EAO</v>
      </c>
      <c r="K5">
        <f t="shared" si="0"/>
        <v>201843</v>
      </c>
      <c r="L5">
        <f>IFERROR(Table1[[#This Row],[Demand]]/SUMIFS(Table1[Demand],Table1[Fiscal_Year],Table1[[#This Row],[Fiscal_Year]],Table1[BRAND],Table1[[#This Row],[BRAND]],Table1[DC_name_Xref],Table1[[#This Row],[DC_name_Xref]]),0)</f>
        <v>0</v>
      </c>
      <c r="M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" s="3">
        <f>IFERROR(INDEX(Table3[#All],MATCH(Table1[[#This Row],[Key_Year_Week_Brand]],Table3[[#All],[Key_Year_Week_Brand]],0),MATCH(Table1[[#This Row],[DC_name_Xref]],Table3[#Headers],0)),0)</f>
        <v>0</v>
      </c>
      <c r="O5">
        <f>IFERROR(INDEX(Table35[#All],MATCH(Table1[[#This Row],[Key_Year_Week_Brand]],Table35[[#All],[Key_Year_Month_Brand]],0),MATCH(Table1[[#This Row],[DC_name_Xref]],Table35[#Headers],0)),0)</f>
        <v>0</v>
      </c>
    </row>
    <row r="6" spans="1:15" x14ac:dyDescent="0.3">
      <c r="A6" s="19" t="str">
        <f>Table1[[#This Row],[Year_Week]]&amp;"-"&amp;Table1[[#This Row],[DC_name_Xref]]</f>
        <v>201843-FFC-ODC</v>
      </c>
      <c r="B6" s="19" t="str">
        <f>Table1[[#This Row],[Fiscal_Year]]*100+Table1[[#This Row],[Fiscal_Week]] &amp; "-" &amp;Table1[[#This Row],[BRAND]]</f>
        <v>201843-Gap Factory Store</v>
      </c>
      <c r="C6" t="str">
        <f>Table1[[#This Row],[Fiscal_Year]]&amp;"-"&amp;Table1[[#This Row],[BRAND]]</f>
        <v>2018-Gap Factory Store</v>
      </c>
      <c r="D6">
        <v>2018</v>
      </c>
      <c r="E6">
        <v>43</v>
      </c>
      <c r="F6" t="s">
        <v>22</v>
      </c>
      <c r="G6" t="s">
        <v>23</v>
      </c>
      <c r="H6">
        <v>5</v>
      </c>
      <c r="I6">
        <v>0</v>
      </c>
      <c r="J6" t="str">
        <f>VLOOKUP(H6,DC_Xref!A:B,2,FALSE)</f>
        <v>FFC-ODC</v>
      </c>
      <c r="K6">
        <f t="shared" si="0"/>
        <v>201843</v>
      </c>
      <c r="L6">
        <f>IFERROR(Table1[[#This Row],[Demand]]/SUMIFS(Table1[Demand],Table1[Fiscal_Year],Table1[[#This Row],[Fiscal_Year]],Table1[BRAND],Table1[[#This Row],[BRAND]],Table1[DC_name_Xref],Table1[[#This Row],[DC_name_Xref]]),0)</f>
        <v>0</v>
      </c>
      <c r="M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" s="3">
        <f>IFERROR(INDEX(Table3[#All],MATCH(Table1[[#This Row],[Key_Year_Week_Brand]],Table3[[#All],[Key_Year_Week_Brand]],0),MATCH(Table1[[#This Row],[DC_name_Xref]],Table3[#Headers],0)),0)</f>
        <v>0</v>
      </c>
      <c r="O6">
        <f>IFERROR(INDEX(Table35[#All],MATCH(Table1[[#This Row],[Key_Year_Week_Brand]],Table35[[#All],[Key_Year_Month_Brand]],0),MATCH(Table1[[#This Row],[DC_name_Xref]],Table35[#Headers],0)),0)</f>
        <v>0</v>
      </c>
    </row>
    <row r="7" spans="1:15" x14ac:dyDescent="0.3">
      <c r="A7" s="19" t="str">
        <f>Table1[[#This Row],[Year_Week]]&amp;"-"&amp;Table1[[#This Row],[DC_name_Xref]]</f>
        <v>201843-WEO</v>
      </c>
      <c r="B7" s="19" t="str">
        <f>Table1[[#This Row],[Fiscal_Year]]*100+Table1[[#This Row],[Fiscal_Week]] &amp; "-" &amp;Table1[[#This Row],[BRAND]]</f>
        <v>201843-Gap Factory Store</v>
      </c>
      <c r="C7" t="str">
        <f>Table1[[#This Row],[Fiscal_Year]]&amp;"-"&amp;Table1[[#This Row],[BRAND]]</f>
        <v>2018-Gap Factory Store</v>
      </c>
      <c r="D7">
        <v>2018</v>
      </c>
      <c r="E7">
        <v>43</v>
      </c>
      <c r="F7" t="s">
        <v>22</v>
      </c>
      <c r="G7" t="s">
        <v>10</v>
      </c>
      <c r="H7">
        <v>6</v>
      </c>
      <c r="I7">
        <v>0</v>
      </c>
      <c r="J7" t="str">
        <f>VLOOKUP(H7,DC_Xref!A:B,2,FALSE)</f>
        <v>WEO</v>
      </c>
      <c r="K7">
        <f t="shared" si="0"/>
        <v>201843</v>
      </c>
      <c r="L7">
        <f>IFERROR(Table1[[#This Row],[Demand]]/SUMIFS(Table1[Demand],Table1[Fiscal_Year],Table1[[#This Row],[Fiscal_Year]],Table1[BRAND],Table1[[#This Row],[BRAND]],Table1[DC_name_Xref],Table1[[#This Row],[DC_name_Xref]]),0)</f>
        <v>0</v>
      </c>
      <c r="M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" s="3">
        <f>IFERROR(INDEX(Table3[#All],MATCH(Table1[[#This Row],[Key_Year_Week_Brand]],Table3[[#All],[Key_Year_Week_Brand]],0),MATCH(Table1[[#This Row],[DC_name_Xref]],Table3[#Headers],0)),0)</f>
        <v>0</v>
      </c>
      <c r="O7">
        <f>IFERROR(INDEX(Table35[#All],MATCH(Table1[[#This Row],[Key_Year_Week_Brand]],Table35[[#All],[Key_Year_Month_Brand]],0),MATCH(Table1[[#This Row],[DC_name_Xref]],Table35[#Headers],0)),0)</f>
        <v>0</v>
      </c>
    </row>
    <row r="8" spans="1:15" x14ac:dyDescent="0.3">
      <c r="A8" s="19" t="str">
        <f>Table1[[#This Row],[Year_Week]]&amp;"-"&amp;Table1[[#This Row],[DC_name_Xref]]</f>
        <v>201843-OCC</v>
      </c>
      <c r="B8" s="19" t="str">
        <f>Table1[[#This Row],[Fiscal_Year]]*100+Table1[[#This Row],[Fiscal_Week]] &amp; "-" &amp;Table1[[#This Row],[BRAND]]</f>
        <v>201843-Gap Factory Store</v>
      </c>
      <c r="C8" t="str">
        <f>Table1[[#This Row],[Fiscal_Year]]&amp;"-"&amp;Table1[[#This Row],[BRAND]]</f>
        <v>2018-Gap Factory Store</v>
      </c>
      <c r="D8">
        <v>2018</v>
      </c>
      <c r="E8">
        <v>43</v>
      </c>
      <c r="F8" t="s">
        <v>22</v>
      </c>
      <c r="G8" t="s">
        <v>11</v>
      </c>
      <c r="H8">
        <v>7</v>
      </c>
      <c r="I8">
        <v>0</v>
      </c>
      <c r="J8" t="str">
        <f>VLOOKUP(H8,DC_Xref!A:B,2,FALSE)</f>
        <v>OCC</v>
      </c>
      <c r="K8">
        <f t="shared" si="0"/>
        <v>201843</v>
      </c>
      <c r="L8">
        <f>IFERROR(Table1[[#This Row],[Demand]]/SUMIFS(Table1[Demand],Table1[Fiscal_Year],Table1[[#This Row],[Fiscal_Year]],Table1[BRAND],Table1[[#This Row],[BRAND]],Table1[DC_name_Xref],Table1[[#This Row],[DC_name_Xref]]),0)</f>
        <v>0</v>
      </c>
      <c r="M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" s="3">
        <f>IFERROR(INDEX(Table3[#All],MATCH(Table1[[#This Row],[Key_Year_Week_Brand]],Table3[[#All],[Key_Year_Week_Brand]],0),MATCH(Table1[[#This Row],[DC_name_Xref]],Table3[#Headers],0)),0)</f>
        <v>0</v>
      </c>
      <c r="O8">
        <f>IFERROR(INDEX(Table35[#All],MATCH(Table1[[#This Row],[Key_Year_Week_Brand]],Table35[[#All],[Key_Year_Month_Brand]],0),MATCH(Table1[[#This Row],[DC_name_Xref]],Table35[#Headers],0)),0)</f>
        <v>0</v>
      </c>
    </row>
    <row r="9" spans="1:15" x14ac:dyDescent="0.3">
      <c r="A9" s="19" t="str">
        <f>Table1[[#This Row],[Year_Week]]&amp;"-"&amp;Table1[[#This Row],[DC_name_Xref]]</f>
        <v>201843-OFC</v>
      </c>
      <c r="B9" s="19" t="str">
        <f>Table1[[#This Row],[Fiscal_Year]]*100+Table1[[#This Row],[Fiscal_Week]] &amp; "-" &amp;Table1[[#This Row],[BRAND]]</f>
        <v>201843-Athleta</v>
      </c>
      <c r="C9" t="str">
        <f>Table1[[#This Row],[Fiscal_Year]]&amp;"-"&amp;Table1[[#This Row],[BRAND]]</f>
        <v>2018-Athleta</v>
      </c>
      <c r="D9">
        <v>2018</v>
      </c>
      <c r="E9">
        <v>43</v>
      </c>
      <c r="F9" t="s">
        <v>19</v>
      </c>
      <c r="G9" t="s">
        <v>5</v>
      </c>
      <c r="H9">
        <v>1</v>
      </c>
      <c r="I9">
        <v>28421</v>
      </c>
      <c r="J9" t="str">
        <f>VLOOKUP(H9,DC_Xref!A:B,2,FALSE)</f>
        <v>OFC</v>
      </c>
      <c r="K9">
        <f t="shared" si="0"/>
        <v>201843</v>
      </c>
      <c r="L9">
        <f>IFERROR(Table1[[#This Row],[Demand]]/SUMIFS(Table1[Demand],Table1[Fiscal_Year],Table1[[#This Row],[Fiscal_Year]],Table1[BRAND],Table1[[#This Row],[BRAND]],Table1[DC_name_Xref],Table1[[#This Row],[DC_name_Xref]]),0)</f>
        <v>0.27496831493503354</v>
      </c>
      <c r="M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0.10136830192084012</v>
      </c>
      <c r="N9" s="3">
        <f>IFERROR(INDEX(Table3[#All],MATCH(Table1[[#This Row],[Key_Year_Week_Brand]],Table3[[#All],[Key_Year_Week_Brand]],0),MATCH(Table1[[#This Row],[DC_name_Xref]],Table3[#Headers],0)),0)</f>
        <v>0</v>
      </c>
      <c r="O9">
        <f>IFERROR(INDEX(Table35[#All],MATCH(Table1[[#This Row],[Key_Year_Week_Brand]],Table35[[#All],[Key_Year_Month_Brand]],0),MATCH(Table1[[#This Row],[DC_name_Xref]],Table35[#Headers],0)),0)</f>
        <v>0</v>
      </c>
    </row>
    <row r="10" spans="1:15" x14ac:dyDescent="0.3">
      <c r="A10" s="19" t="str">
        <f>Table1[[#This Row],[Year_Week]]&amp;"-"&amp;Table1[[#This Row],[DC_name_Xref]]</f>
        <v>201843-TFC</v>
      </c>
      <c r="B10" s="19" t="str">
        <f>Table1[[#This Row],[Fiscal_Year]]*100+Table1[[#This Row],[Fiscal_Week]] &amp; "-" &amp;Table1[[#This Row],[BRAND]]</f>
        <v>201843-Athleta</v>
      </c>
      <c r="C10" t="str">
        <f>Table1[[#This Row],[Fiscal_Year]]&amp;"-"&amp;Table1[[#This Row],[BRAND]]</f>
        <v>2018-Athleta</v>
      </c>
      <c r="D10">
        <v>2018</v>
      </c>
      <c r="E10">
        <v>43</v>
      </c>
      <c r="F10" t="s">
        <v>19</v>
      </c>
      <c r="G10" t="s">
        <v>21</v>
      </c>
      <c r="H10">
        <v>2</v>
      </c>
      <c r="I10">
        <v>265800</v>
      </c>
      <c r="J10" t="str">
        <f>VLOOKUP(H10,DC_Xref!A:B,2,FALSE)</f>
        <v>TFC</v>
      </c>
      <c r="K10">
        <f t="shared" si="0"/>
        <v>201843</v>
      </c>
      <c r="L10">
        <f>IFERROR(Table1[[#This Row],[Demand]]/SUMIFS(Table1[Demand],Table1[Fiscal_Year],Table1[[#This Row],[Fiscal_Year]],Table1[BRAND],Table1[[#This Row],[BRAND]],Table1[DC_name_Xref],Table1[[#This Row],[DC_name_Xref]]),0)</f>
        <v>0.29009169866260959</v>
      </c>
      <c r="M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0.89859737284462049</v>
      </c>
      <c r="N10" s="3">
        <f>IFERROR(INDEX(Table3[#All],MATCH(Table1[[#This Row],[Key_Year_Week_Brand]],Table3[[#All],[Key_Year_Week_Brand]],0),MATCH(Table1[[#This Row],[DC_name_Xref]],Table3[#Headers],0)),0)</f>
        <v>1</v>
      </c>
      <c r="O10">
        <f>IFERROR(INDEX(Table35[#All],MATCH(Table1[[#This Row],[Key_Year_Week_Brand]],Table35[[#All],[Key_Year_Month_Brand]],0),MATCH(Table1[[#This Row],[DC_name_Xref]],Table35[#Headers],0)),0)</f>
        <v>294229</v>
      </c>
    </row>
    <row r="11" spans="1:15" x14ac:dyDescent="0.3">
      <c r="A11" s="19" t="str">
        <f>Table1[[#This Row],[Year_Week]]&amp;"-"&amp;Table1[[#This Row],[DC_name_Xref]]</f>
        <v>201843-WFC</v>
      </c>
      <c r="B11" s="19" t="str">
        <f>Table1[[#This Row],[Fiscal_Year]]*100+Table1[[#This Row],[Fiscal_Week]] &amp; "-" &amp;Table1[[#This Row],[BRAND]]</f>
        <v>201843-Athleta</v>
      </c>
      <c r="C11" t="str">
        <f>Table1[[#This Row],[Fiscal_Year]]&amp;"-"&amp;Table1[[#This Row],[BRAND]]</f>
        <v>2018-Athleta</v>
      </c>
      <c r="D11">
        <v>2018</v>
      </c>
      <c r="E11">
        <v>43</v>
      </c>
      <c r="F11" t="s">
        <v>19</v>
      </c>
      <c r="G11" t="s">
        <v>7</v>
      </c>
      <c r="H11">
        <v>3</v>
      </c>
      <c r="I11">
        <v>0</v>
      </c>
      <c r="J11" t="str">
        <f>VLOOKUP(H11,DC_Xref!A:B,2,FALSE)</f>
        <v>WFC</v>
      </c>
      <c r="K11">
        <f t="shared" si="0"/>
        <v>201843</v>
      </c>
      <c r="L11">
        <f>IFERROR(Table1[[#This Row],[Demand]]/SUMIFS(Table1[Demand],Table1[Fiscal_Year],Table1[[#This Row],[Fiscal_Year]],Table1[BRAND],Table1[[#This Row],[BRAND]],Table1[DC_name_Xref],Table1[[#This Row],[DC_name_Xref]]),0)</f>
        <v>0</v>
      </c>
      <c r="M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" s="3">
        <f>IFERROR(INDEX(Table3[#All],MATCH(Table1[[#This Row],[Key_Year_Week_Brand]],Table3[[#All],[Key_Year_Week_Brand]],0),MATCH(Table1[[#This Row],[DC_name_Xref]],Table3[#Headers],0)),0)</f>
        <v>0</v>
      </c>
      <c r="O11">
        <f>IFERROR(INDEX(Table35[#All],MATCH(Table1[[#This Row],[Key_Year_Week_Brand]],Table35[[#All],[Key_Year_Month_Brand]],0),MATCH(Table1[[#This Row],[DC_name_Xref]],Table35[#Headers],0)),0)</f>
        <v>0</v>
      </c>
    </row>
    <row r="12" spans="1:15" x14ac:dyDescent="0.3">
      <c r="A12" s="19" t="str">
        <f>Table1[[#This Row],[Year_Week]]&amp;"-"&amp;Table1[[#This Row],[DC_name_Xref]]</f>
        <v>201843-EAO</v>
      </c>
      <c r="B12" s="19" t="str">
        <f>Table1[[#This Row],[Fiscal_Year]]*100+Table1[[#This Row],[Fiscal_Week]] &amp; "-" &amp;Table1[[#This Row],[BRAND]]</f>
        <v>201843-Athleta</v>
      </c>
      <c r="C12" t="str">
        <f>Table1[[#This Row],[Fiscal_Year]]&amp;"-"&amp;Table1[[#This Row],[BRAND]]</f>
        <v>2018-Athleta</v>
      </c>
      <c r="D12">
        <v>2018</v>
      </c>
      <c r="E12">
        <v>43</v>
      </c>
      <c r="F12" t="s">
        <v>19</v>
      </c>
      <c r="G12" t="s">
        <v>8</v>
      </c>
      <c r="H12">
        <v>4</v>
      </c>
      <c r="I12">
        <v>8</v>
      </c>
      <c r="J12" t="str">
        <f>VLOOKUP(H12,DC_Xref!A:B,2,FALSE)</f>
        <v>EAO</v>
      </c>
      <c r="K12">
        <f t="shared" si="0"/>
        <v>201843</v>
      </c>
      <c r="L12">
        <f>IFERROR(Table1[[#This Row],[Demand]]/SUMIFS(Table1[Demand],Table1[Fiscal_Year],Table1[[#This Row],[Fiscal_Year]],Table1[BRAND],Table1[[#This Row],[BRAND]],Table1[DC_name_Xref],Table1[[#This Row],[DC_name_Xref]]),0)</f>
        <v>0.22857142857142856</v>
      </c>
      <c r="M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3.4325234539424002E-5</v>
      </c>
      <c r="N12" s="3">
        <f>IFERROR(INDEX(Table3[#All],MATCH(Table1[[#This Row],[Key_Year_Week_Brand]],Table3[[#All],[Key_Year_Week_Brand]],0),MATCH(Table1[[#This Row],[DC_name_Xref]],Table3[#Headers],0)),0)</f>
        <v>3.447122356821831E-5</v>
      </c>
      <c r="O12">
        <f>IFERROR(INDEX(Table35[#All],MATCH(Table1[[#This Row],[Key_Year_Week_Brand]],Table35[[#All],[Key_Year_Month_Brand]],0),MATCH(Table1[[#This Row],[DC_name_Xref]],Table35[#Headers],0)),0)</f>
        <v>10.142433639253305</v>
      </c>
    </row>
    <row r="13" spans="1:15" x14ac:dyDescent="0.3">
      <c r="A13" s="19" t="str">
        <f>Table1[[#This Row],[Year_Week]]&amp;"-"&amp;Table1[[#This Row],[DC_name_Xref]]</f>
        <v>201843-FFC-ODC</v>
      </c>
      <c r="B13" s="19" t="str">
        <f>Table1[[#This Row],[Fiscal_Year]]*100+Table1[[#This Row],[Fiscal_Week]] &amp; "-" &amp;Table1[[#This Row],[BRAND]]</f>
        <v>201843-Athleta</v>
      </c>
      <c r="C13" t="str">
        <f>Table1[[#This Row],[Fiscal_Year]]&amp;"-"&amp;Table1[[#This Row],[BRAND]]</f>
        <v>2018-Athleta</v>
      </c>
      <c r="D13">
        <v>2018</v>
      </c>
      <c r="E13">
        <v>43</v>
      </c>
      <c r="F13" t="s">
        <v>19</v>
      </c>
      <c r="G13" t="s">
        <v>23</v>
      </c>
      <c r="H13">
        <v>5</v>
      </c>
      <c r="I13">
        <v>0</v>
      </c>
      <c r="J13" t="str">
        <f>VLOOKUP(H13,DC_Xref!A:B,2,FALSE)</f>
        <v>FFC-ODC</v>
      </c>
      <c r="K13">
        <f t="shared" si="0"/>
        <v>201843</v>
      </c>
      <c r="L13">
        <f>IFERROR(Table1[[#This Row],[Demand]]/SUMIFS(Table1[Demand],Table1[Fiscal_Year],Table1[[#This Row],[Fiscal_Year]],Table1[BRAND],Table1[[#This Row],[BRAND]],Table1[DC_name_Xref],Table1[[#This Row],[DC_name_Xref]]),0)</f>
        <v>0</v>
      </c>
      <c r="M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" s="3">
        <f>IFERROR(INDEX(Table3[#All],MATCH(Table1[[#This Row],[Key_Year_Week_Brand]],Table3[[#All],[Key_Year_Week_Brand]],0),MATCH(Table1[[#This Row],[DC_name_Xref]],Table3[#Headers],0)),0)</f>
        <v>0</v>
      </c>
      <c r="O13">
        <f>IFERROR(INDEX(Table35[#All],MATCH(Table1[[#This Row],[Key_Year_Week_Brand]],Table35[[#All],[Key_Year_Month_Brand]],0),MATCH(Table1[[#This Row],[DC_name_Xref]],Table35[#Headers],0)),0)</f>
        <v>0</v>
      </c>
    </row>
    <row r="14" spans="1:15" x14ac:dyDescent="0.3">
      <c r="A14" s="19" t="str">
        <f>Table1[[#This Row],[Year_Week]]&amp;"-"&amp;Table1[[#This Row],[DC_name_Xref]]</f>
        <v>201843-WEO</v>
      </c>
      <c r="B14" s="19" t="str">
        <f>Table1[[#This Row],[Fiscal_Year]]*100+Table1[[#This Row],[Fiscal_Week]] &amp; "-" &amp;Table1[[#This Row],[BRAND]]</f>
        <v>201843-Athleta</v>
      </c>
      <c r="C14" t="str">
        <f>Table1[[#This Row],[Fiscal_Year]]&amp;"-"&amp;Table1[[#This Row],[BRAND]]</f>
        <v>2018-Athleta</v>
      </c>
      <c r="D14">
        <v>2018</v>
      </c>
      <c r="E14">
        <v>43</v>
      </c>
      <c r="F14" t="s">
        <v>19</v>
      </c>
      <c r="G14" t="s">
        <v>10</v>
      </c>
      <c r="H14">
        <v>6</v>
      </c>
      <c r="I14">
        <v>0</v>
      </c>
      <c r="J14" t="str">
        <f>VLOOKUP(H14,DC_Xref!A:B,2,FALSE)</f>
        <v>WEO</v>
      </c>
      <c r="K14">
        <f t="shared" si="0"/>
        <v>201843</v>
      </c>
      <c r="L14">
        <f>IFERROR(Table1[[#This Row],[Demand]]/SUMIFS(Table1[Demand],Table1[Fiscal_Year],Table1[[#This Row],[Fiscal_Year]],Table1[BRAND],Table1[[#This Row],[BRAND]],Table1[DC_name_Xref],Table1[[#This Row],[DC_name_Xref]]),0)</f>
        <v>0</v>
      </c>
      <c r="M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" s="3">
        <f>IFERROR(INDEX(Table3[#All],MATCH(Table1[[#This Row],[Key_Year_Week_Brand]],Table3[[#All],[Key_Year_Week_Brand]],0),MATCH(Table1[[#This Row],[DC_name_Xref]],Table3[#Headers],0)),0)</f>
        <v>0</v>
      </c>
      <c r="O14">
        <f>IFERROR(INDEX(Table35[#All],MATCH(Table1[[#This Row],[Key_Year_Week_Brand]],Table35[[#All],[Key_Year_Month_Brand]],0),MATCH(Table1[[#This Row],[DC_name_Xref]],Table35[#Headers],0)),0)</f>
        <v>0</v>
      </c>
    </row>
    <row r="15" spans="1:15" x14ac:dyDescent="0.3">
      <c r="A15" s="19" t="str">
        <f>Table1[[#This Row],[Year_Week]]&amp;"-"&amp;Table1[[#This Row],[DC_name_Xref]]</f>
        <v>201843-OCC</v>
      </c>
      <c r="B15" s="19" t="str">
        <f>Table1[[#This Row],[Fiscal_Year]]*100+Table1[[#This Row],[Fiscal_Week]] &amp; "-" &amp;Table1[[#This Row],[BRAND]]</f>
        <v>201843-Athleta</v>
      </c>
      <c r="C15" t="str">
        <f>Table1[[#This Row],[Fiscal_Year]]&amp;"-"&amp;Table1[[#This Row],[BRAND]]</f>
        <v>2018-Athleta</v>
      </c>
      <c r="D15">
        <v>2018</v>
      </c>
      <c r="E15">
        <v>43</v>
      </c>
      <c r="F15" t="s">
        <v>19</v>
      </c>
      <c r="G15" t="s">
        <v>11</v>
      </c>
      <c r="H15">
        <v>7</v>
      </c>
      <c r="I15">
        <v>0</v>
      </c>
      <c r="J15" t="str">
        <f>VLOOKUP(H15,DC_Xref!A:B,2,FALSE)</f>
        <v>OCC</v>
      </c>
      <c r="K15">
        <f t="shared" si="0"/>
        <v>201843</v>
      </c>
      <c r="L15">
        <f>IFERROR(Table1[[#This Row],[Demand]]/SUMIFS(Table1[Demand],Table1[Fiscal_Year],Table1[[#This Row],[Fiscal_Year]],Table1[BRAND],Table1[[#This Row],[BRAND]],Table1[DC_name_Xref],Table1[[#This Row],[DC_name_Xref]]),0)</f>
        <v>0</v>
      </c>
      <c r="M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" s="3">
        <f>IFERROR(INDEX(Table3[#All],MATCH(Table1[[#This Row],[Key_Year_Week_Brand]],Table3[[#All],[Key_Year_Week_Brand]],0),MATCH(Table1[[#This Row],[DC_name_Xref]],Table3[#Headers],0)),0)</f>
        <v>0</v>
      </c>
      <c r="O15">
        <f>IFERROR(INDEX(Table35[#All],MATCH(Table1[[#This Row],[Key_Year_Week_Brand]],Table35[[#All],[Key_Year_Month_Brand]],0),MATCH(Table1[[#This Row],[DC_name_Xref]],Table35[#Headers],0)),0)</f>
        <v>0</v>
      </c>
    </row>
    <row r="16" spans="1:15" x14ac:dyDescent="0.3">
      <c r="A16" s="19" t="str">
        <f>Table1[[#This Row],[Year_Week]]&amp;"-"&amp;Table1[[#This Row],[DC_name_Xref]]</f>
        <v>201843-OFC</v>
      </c>
      <c r="B16" s="19" t="str">
        <f>Table1[[#This Row],[Fiscal_Year]]*100+Table1[[#This Row],[Fiscal_Week]] &amp; "-" &amp;Table1[[#This Row],[BRAND]]</f>
        <v>201843-BR Factory Store</v>
      </c>
      <c r="C16" t="str">
        <f>Table1[[#This Row],[Fiscal_Year]]&amp;"-"&amp;Table1[[#This Row],[BRAND]]</f>
        <v>2018-BR Factory Store</v>
      </c>
      <c r="D16">
        <v>2018</v>
      </c>
      <c r="E16">
        <v>43</v>
      </c>
      <c r="F16" t="s">
        <v>17</v>
      </c>
      <c r="G16" t="s">
        <v>5</v>
      </c>
      <c r="H16">
        <v>1</v>
      </c>
      <c r="I16">
        <v>292560</v>
      </c>
      <c r="J16" t="str">
        <f>VLOOKUP(H16,DC_Xref!A:B,2,FALSE)</f>
        <v>OFC</v>
      </c>
      <c r="K16">
        <f t="shared" si="0"/>
        <v>201843</v>
      </c>
      <c r="L16">
        <f>IFERROR(Table1[[#This Row],[Demand]]/SUMIFS(Table1[Demand],Table1[Fiscal_Year],Table1[[#This Row],[Fiscal_Year]],Table1[BRAND],Table1[[#This Row],[BRAND]],Table1[DC_name_Xref],Table1[[#This Row],[DC_name_Xref]]),0)</f>
        <v>0.44263760936958635</v>
      </c>
      <c r="M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6" s="3">
        <f>IFERROR(INDEX(Table3[#All],MATCH(Table1[[#This Row],[Key_Year_Week_Brand]],Table3[[#All],[Key_Year_Week_Brand]],0),MATCH(Table1[[#This Row],[DC_name_Xref]],Table3[#Headers],0)),0)</f>
        <v>1</v>
      </c>
      <c r="O16">
        <f>IFERROR(INDEX(Table35[#All],MATCH(Table1[[#This Row],[Key_Year_Week_Brand]],Table35[[#All],[Key_Year_Month_Brand]],0),MATCH(Table1[[#This Row],[DC_name_Xref]],Table35[#Headers],0)),0)</f>
        <v>292560</v>
      </c>
    </row>
    <row r="17" spans="1:15" x14ac:dyDescent="0.3">
      <c r="A17" s="19" t="str">
        <f>Table1[[#This Row],[Year_Week]]&amp;"-"&amp;Table1[[#This Row],[DC_name_Xref]]</f>
        <v>201843-TFC</v>
      </c>
      <c r="B17" s="19" t="str">
        <f>Table1[[#This Row],[Fiscal_Year]]*100+Table1[[#This Row],[Fiscal_Week]] &amp; "-" &amp;Table1[[#This Row],[BRAND]]</f>
        <v>201843-BR Factory Store</v>
      </c>
      <c r="C17" t="str">
        <f>Table1[[#This Row],[Fiscal_Year]]&amp;"-"&amp;Table1[[#This Row],[BRAND]]</f>
        <v>2018-BR Factory Store</v>
      </c>
      <c r="D17">
        <v>2018</v>
      </c>
      <c r="E17">
        <v>43</v>
      </c>
      <c r="F17" t="s">
        <v>17</v>
      </c>
      <c r="G17" t="s">
        <v>21</v>
      </c>
      <c r="H17">
        <v>2</v>
      </c>
      <c r="I17">
        <v>0</v>
      </c>
      <c r="J17" t="str">
        <f>VLOOKUP(H17,DC_Xref!A:B,2,FALSE)</f>
        <v>TFC</v>
      </c>
      <c r="K17">
        <f t="shared" si="0"/>
        <v>201843</v>
      </c>
      <c r="L17">
        <f>IFERROR(Table1[[#This Row],[Demand]]/SUMIFS(Table1[Demand],Table1[Fiscal_Year],Table1[[#This Row],[Fiscal_Year]],Table1[BRAND],Table1[[#This Row],[BRAND]],Table1[DC_name_Xref],Table1[[#This Row],[DC_name_Xref]]),0)</f>
        <v>0</v>
      </c>
      <c r="M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" s="3">
        <f>IFERROR(INDEX(Table3[#All],MATCH(Table1[[#This Row],[Key_Year_Week_Brand]],Table3[[#All],[Key_Year_Week_Brand]],0),MATCH(Table1[[#This Row],[DC_name_Xref]],Table3[#Headers],0)),0)</f>
        <v>0</v>
      </c>
      <c r="O17">
        <f>IFERROR(INDEX(Table35[#All],MATCH(Table1[[#This Row],[Key_Year_Week_Brand]],Table35[[#All],[Key_Year_Month_Brand]],0),MATCH(Table1[[#This Row],[DC_name_Xref]],Table35[#Headers],0)),0)</f>
        <v>0</v>
      </c>
    </row>
    <row r="18" spans="1:15" x14ac:dyDescent="0.3">
      <c r="A18" s="19" t="str">
        <f>Table1[[#This Row],[Year_Week]]&amp;"-"&amp;Table1[[#This Row],[DC_name_Xref]]</f>
        <v>201843-WFC</v>
      </c>
      <c r="B18" s="19" t="str">
        <f>Table1[[#This Row],[Fiscal_Year]]*100+Table1[[#This Row],[Fiscal_Week]] &amp; "-" &amp;Table1[[#This Row],[BRAND]]</f>
        <v>201843-BR Factory Store</v>
      </c>
      <c r="C18" t="str">
        <f>Table1[[#This Row],[Fiscal_Year]]&amp;"-"&amp;Table1[[#This Row],[BRAND]]</f>
        <v>2018-BR Factory Store</v>
      </c>
      <c r="D18">
        <v>2018</v>
      </c>
      <c r="E18">
        <v>43</v>
      </c>
      <c r="F18" t="s">
        <v>17</v>
      </c>
      <c r="G18" t="s">
        <v>7</v>
      </c>
      <c r="H18">
        <v>3</v>
      </c>
      <c r="I18">
        <v>0</v>
      </c>
      <c r="J18" t="str">
        <f>VLOOKUP(H18,DC_Xref!A:B,2,FALSE)</f>
        <v>WFC</v>
      </c>
      <c r="K18">
        <f t="shared" si="0"/>
        <v>201843</v>
      </c>
      <c r="L18">
        <f>IFERROR(Table1[[#This Row],[Demand]]/SUMIFS(Table1[Demand],Table1[Fiscal_Year],Table1[[#This Row],[Fiscal_Year]],Table1[BRAND],Table1[[#This Row],[BRAND]],Table1[DC_name_Xref],Table1[[#This Row],[DC_name_Xref]]),0)</f>
        <v>0</v>
      </c>
      <c r="M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" s="3">
        <f>IFERROR(INDEX(Table3[#All],MATCH(Table1[[#This Row],[Key_Year_Week_Brand]],Table3[[#All],[Key_Year_Week_Brand]],0),MATCH(Table1[[#This Row],[DC_name_Xref]],Table3[#Headers],0)),0)</f>
        <v>0</v>
      </c>
      <c r="O18">
        <f>IFERROR(INDEX(Table35[#All],MATCH(Table1[[#This Row],[Key_Year_Week_Brand]],Table35[[#All],[Key_Year_Month_Brand]],0),MATCH(Table1[[#This Row],[DC_name_Xref]],Table35[#Headers],0)),0)</f>
        <v>0</v>
      </c>
    </row>
    <row r="19" spans="1:15" x14ac:dyDescent="0.3">
      <c r="A19" s="19" t="str">
        <f>Table1[[#This Row],[Year_Week]]&amp;"-"&amp;Table1[[#This Row],[DC_name_Xref]]</f>
        <v>201843-EAO</v>
      </c>
      <c r="B19" s="19" t="str">
        <f>Table1[[#This Row],[Fiscal_Year]]*100+Table1[[#This Row],[Fiscal_Week]] &amp; "-" &amp;Table1[[#This Row],[BRAND]]</f>
        <v>201843-BR Factory Store</v>
      </c>
      <c r="C19" t="str">
        <f>Table1[[#This Row],[Fiscal_Year]]&amp;"-"&amp;Table1[[#This Row],[BRAND]]</f>
        <v>2018-BR Factory Store</v>
      </c>
      <c r="D19">
        <v>2018</v>
      </c>
      <c r="E19">
        <v>43</v>
      </c>
      <c r="F19" t="s">
        <v>17</v>
      </c>
      <c r="G19" t="s">
        <v>8</v>
      </c>
      <c r="H19">
        <v>4</v>
      </c>
      <c r="I19">
        <v>0</v>
      </c>
      <c r="J19" t="str">
        <f>VLOOKUP(H19,DC_Xref!A:B,2,FALSE)</f>
        <v>EAO</v>
      </c>
      <c r="K19">
        <f t="shared" si="0"/>
        <v>201843</v>
      </c>
      <c r="L19">
        <f>IFERROR(Table1[[#This Row],[Demand]]/SUMIFS(Table1[Demand],Table1[Fiscal_Year],Table1[[#This Row],[Fiscal_Year]],Table1[BRAND],Table1[[#This Row],[BRAND]],Table1[DC_name_Xref],Table1[[#This Row],[DC_name_Xref]]),0)</f>
        <v>0</v>
      </c>
      <c r="M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" s="3">
        <f>IFERROR(INDEX(Table3[#All],MATCH(Table1[[#This Row],[Key_Year_Week_Brand]],Table3[[#All],[Key_Year_Week_Brand]],0),MATCH(Table1[[#This Row],[DC_name_Xref]],Table3[#Headers],0)),0)</f>
        <v>0</v>
      </c>
      <c r="O19">
        <f>IFERROR(INDEX(Table35[#All],MATCH(Table1[[#This Row],[Key_Year_Week_Brand]],Table35[[#All],[Key_Year_Month_Brand]],0),MATCH(Table1[[#This Row],[DC_name_Xref]],Table35[#Headers],0)),0)</f>
        <v>0</v>
      </c>
    </row>
    <row r="20" spans="1:15" x14ac:dyDescent="0.3">
      <c r="A20" s="19" t="str">
        <f>Table1[[#This Row],[Year_Week]]&amp;"-"&amp;Table1[[#This Row],[DC_name_Xref]]</f>
        <v>201843-FFC-ODC</v>
      </c>
      <c r="B20" s="19" t="str">
        <f>Table1[[#This Row],[Fiscal_Year]]*100+Table1[[#This Row],[Fiscal_Week]] &amp; "-" &amp;Table1[[#This Row],[BRAND]]</f>
        <v>201843-BR Factory Store</v>
      </c>
      <c r="C20" t="str">
        <f>Table1[[#This Row],[Fiscal_Year]]&amp;"-"&amp;Table1[[#This Row],[BRAND]]</f>
        <v>2018-BR Factory Store</v>
      </c>
      <c r="D20">
        <v>2018</v>
      </c>
      <c r="E20">
        <v>43</v>
      </c>
      <c r="F20" t="s">
        <v>17</v>
      </c>
      <c r="G20" t="s">
        <v>23</v>
      </c>
      <c r="H20">
        <v>5</v>
      </c>
      <c r="I20">
        <v>0</v>
      </c>
      <c r="J20" t="str">
        <f>VLOOKUP(H20,DC_Xref!A:B,2,FALSE)</f>
        <v>FFC-ODC</v>
      </c>
      <c r="K20">
        <f t="shared" si="0"/>
        <v>201843</v>
      </c>
      <c r="L20">
        <f>IFERROR(Table1[[#This Row],[Demand]]/SUMIFS(Table1[Demand],Table1[Fiscal_Year],Table1[[#This Row],[Fiscal_Year]],Table1[BRAND],Table1[[#This Row],[BRAND]],Table1[DC_name_Xref],Table1[[#This Row],[DC_name_Xref]]),0)</f>
        <v>0</v>
      </c>
      <c r="M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" s="3">
        <f>IFERROR(INDEX(Table3[#All],MATCH(Table1[[#This Row],[Key_Year_Week_Brand]],Table3[[#All],[Key_Year_Week_Brand]],0),MATCH(Table1[[#This Row],[DC_name_Xref]],Table3[#Headers],0)),0)</f>
        <v>0</v>
      </c>
      <c r="O20">
        <f>IFERROR(INDEX(Table35[#All],MATCH(Table1[[#This Row],[Key_Year_Week_Brand]],Table35[[#All],[Key_Year_Month_Brand]],0),MATCH(Table1[[#This Row],[DC_name_Xref]],Table35[#Headers],0)),0)</f>
        <v>0</v>
      </c>
    </row>
    <row r="21" spans="1:15" x14ac:dyDescent="0.3">
      <c r="A21" s="19" t="str">
        <f>Table1[[#This Row],[Year_Week]]&amp;"-"&amp;Table1[[#This Row],[DC_name_Xref]]</f>
        <v>201843-WEO</v>
      </c>
      <c r="B21" s="19" t="str">
        <f>Table1[[#This Row],[Fiscal_Year]]*100+Table1[[#This Row],[Fiscal_Week]] &amp; "-" &amp;Table1[[#This Row],[BRAND]]</f>
        <v>201843-BR Factory Store</v>
      </c>
      <c r="C21" t="str">
        <f>Table1[[#This Row],[Fiscal_Year]]&amp;"-"&amp;Table1[[#This Row],[BRAND]]</f>
        <v>2018-BR Factory Store</v>
      </c>
      <c r="D21">
        <v>2018</v>
      </c>
      <c r="E21">
        <v>43</v>
      </c>
      <c r="F21" t="s">
        <v>17</v>
      </c>
      <c r="G21" t="s">
        <v>10</v>
      </c>
      <c r="H21">
        <v>6</v>
      </c>
      <c r="I21">
        <v>0</v>
      </c>
      <c r="J21" t="str">
        <f>VLOOKUP(H21,DC_Xref!A:B,2,FALSE)</f>
        <v>WEO</v>
      </c>
      <c r="K21">
        <f t="shared" si="0"/>
        <v>201843</v>
      </c>
      <c r="L21">
        <f>IFERROR(Table1[[#This Row],[Demand]]/SUMIFS(Table1[Demand],Table1[Fiscal_Year],Table1[[#This Row],[Fiscal_Year]],Table1[BRAND],Table1[[#This Row],[BRAND]],Table1[DC_name_Xref],Table1[[#This Row],[DC_name_Xref]]),0)</f>
        <v>0</v>
      </c>
      <c r="M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" s="3">
        <f>IFERROR(INDEX(Table3[#All],MATCH(Table1[[#This Row],[Key_Year_Week_Brand]],Table3[[#All],[Key_Year_Week_Brand]],0),MATCH(Table1[[#This Row],[DC_name_Xref]],Table3[#Headers],0)),0)</f>
        <v>0</v>
      </c>
      <c r="O21">
        <f>IFERROR(INDEX(Table35[#All],MATCH(Table1[[#This Row],[Key_Year_Week_Brand]],Table35[[#All],[Key_Year_Month_Brand]],0),MATCH(Table1[[#This Row],[DC_name_Xref]],Table35[#Headers],0)),0)</f>
        <v>0</v>
      </c>
    </row>
    <row r="22" spans="1:15" x14ac:dyDescent="0.3">
      <c r="A22" s="19" t="str">
        <f>Table1[[#This Row],[Year_Week]]&amp;"-"&amp;Table1[[#This Row],[DC_name_Xref]]</f>
        <v>201843-OCC</v>
      </c>
      <c r="B22" s="19" t="str">
        <f>Table1[[#This Row],[Fiscal_Year]]*100+Table1[[#This Row],[Fiscal_Week]] &amp; "-" &amp;Table1[[#This Row],[BRAND]]</f>
        <v>201843-BR Factory Store</v>
      </c>
      <c r="C22" t="str">
        <f>Table1[[#This Row],[Fiscal_Year]]&amp;"-"&amp;Table1[[#This Row],[BRAND]]</f>
        <v>2018-BR Factory Store</v>
      </c>
      <c r="D22">
        <v>2018</v>
      </c>
      <c r="E22">
        <v>43</v>
      </c>
      <c r="F22" t="s">
        <v>17</v>
      </c>
      <c r="G22" t="s">
        <v>11</v>
      </c>
      <c r="H22">
        <v>7</v>
      </c>
      <c r="I22">
        <v>0</v>
      </c>
      <c r="J22" t="str">
        <f>VLOOKUP(H22,DC_Xref!A:B,2,FALSE)</f>
        <v>OCC</v>
      </c>
      <c r="K22">
        <f t="shared" si="0"/>
        <v>201843</v>
      </c>
      <c r="L22">
        <f>IFERROR(Table1[[#This Row],[Demand]]/SUMIFS(Table1[Demand],Table1[Fiscal_Year],Table1[[#This Row],[Fiscal_Year]],Table1[BRAND],Table1[[#This Row],[BRAND]],Table1[DC_name_Xref],Table1[[#This Row],[DC_name_Xref]]),0)</f>
        <v>0</v>
      </c>
      <c r="M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" s="3">
        <f>IFERROR(INDEX(Table3[#All],MATCH(Table1[[#This Row],[Key_Year_Week_Brand]],Table3[[#All],[Key_Year_Week_Brand]],0),MATCH(Table1[[#This Row],[DC_name_Xref]],Table3[#Headers],0)),0)</f>
        <v>0</v>
      </c>
      <c r="O22">
        <f>IFERROR(INDEX(Table35[#All],MATCH(Table1[[#This Row],[Key_Year_Week_Brand]],Table35[[#All],[Key_Year_Month_Brand]],0),MATCH(Table1[[#This Row],[DC_name_Xref]],Table35[#Headers],0)),0)</f>
        <v>0</v>
      </c>
    </row>
    <row r="23" spans="1:15" x14ac:dyDescent="0.3">
      <c r="A23" s="19" t="str">
        <f>Table1[[#This Row],[Year_Week]]&amp;"-"&amp;Table1[[#This Row],[DC_name_Xref]]</f>
        <v>201843-OFC</v>
      </c>
      <c r="B23" s="19" t="str">
        <f>Table1[[#This Row],[Fiscal_Year]]*100+Table1[[#This Row],[Fiscal_Week]] &amp; "-" &amp;Table1[[#This Row],[BRAND]]</f>
        <v>201843-Banana Republic</v>
      </c>
      <c r="C23" t="str">
        <f>Table1[[#This Row],[Fiscal_Year]]&amp;"-"&amp;Table1[[#This Row],[BRAND]]</f>
        <v>2018-Banana Republic</v>
      </c>
      <c r="D23">
        <v>2018</v>
      </c>
      <c r="E23">
        <v>43</v>
      </c>
      <c r="F23" t="s">
        <v>18</v>
      </c>
      <c r="G23" t="s">
        <v>5</v>
      </c>
      <c r="H23">
        <v>1</v>
      </c>
      <c r="I23">
        <v>7196</v>
      </c>
      <c r="J23" t="str">
        <f>VLOOKUP(H23,DC_Xref!A:B,2,FALSE)</f>
        <v>OFC</v>
      </c>
      <c r="K23">
        <f t="shared" si="0"/>
        <v>201843</v>
      </c>
      <c r="L23">
        <f>IFERROR(Table1[[#This Row],[Demand]]/SUMIFS(Table1[Demand],Table1[Fiscal_Year],Table1[[#This Row],[Fiscal_Year]],Table1[BRAND],Table1[[#This Row],[BRAND]],Table1[DC_name_Xref],Table1[[#This Row],[DC_name_Xref]]),0)</f>
        <v>0.21020038558158555</v>
      </c>
      <c r="M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2.132932922954231E-2</v>
      </c>
      <c r="N23" s="3">
        <f>IFERROR(INDEX(Table3[#All],MATCH(Table1[[#This Row],[Key_Year_Week_Brand]],Table3[[#All],[Key_Year_Week_Brand]],0),MATCH(Table1[[#This Row],[DC_name_Xref]],Table3[#Headers],0)),0)</f>
        <v>0</v>
      </c>
      <c r="O23">
        <f>IFERROR(INDEX(Table35[#All],MATCH(Table1[[#This Row],[Key_Year_Week_Brand]],Table35[[#All],[Key_Year_Month_Brand]],0),MATCH(Table1[[#This Row],[DC_name_Xref]],Table35[#Headers],0)),0)</f>
        <v>0</v>
      </c>
    </row>
    <row r="24" spans="1:15" x14ac:dyDescent="0.3">
      <c r="A24" s="19" t="str">
        <f>Table1[[#This Row],[Year_Week]]&amp;"-"&amp;Table1[[#This Row],[DC_name_Xref]]</f>
        <v>201843-TFC</v>
      </c>
      <c r="B24" s="19" t="str">
        <f>Table1[[#This Row],[Fiscal_Year]]*100+Table1[[#This Row],[Fiscal_Week]] &amp; "-" &amp;Table1[[#This Row],[BRAND]]</f>
        <v>201843-Banana Republic</v>
      </c>
      <c r="C24" t="str">
        <f>Table1[[#This Row],[Fiscal_Year]]&amp;"-"&amp;Table1[[#This Row],[BRAND]]</f>
        <v>2018-Banana Republic</v>
      </c>
      <c r="D24">
        <v>2018</v>
      </c>
      <c r="E24">
        <v>43</v>
      </c>
      <c r="F24" t="s">
        <v>18</v>
      </c>
      <c r="G24" t="s">
        <v>21</v>
      </c>
      <c r="H24">
        <v>2</v>
      </c>
      <c r="I24">
        <v>549300</v>
      </c>
      <c r="J24" t="str">
        <f>VLOOKUP(H24,DC_Xref!A:B,2,FALSE)</f>
        <v>TFC</v>
      </c>
      <c r="K24">
        <f t="shared" si="0"/>
        <v>201843</v>
      </c>
      <c r="L24">
        <f>IFERROR(Table1[[#This Row],[Demand]]/SUMIFS(Table1[Demand],Table1[Fiscal_Year],Table1[[#This Row],[Fiscal_Year]],Table1[BRAND],Table1[[#This Row],[BRAND]],Table1[DC_name_Xref],Table1[[#This Row],[DC_name_Xref]]),0)</f>
        <v>0.34971356975235468</v>
      </c>
      <c r="M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0.97862581151636741</v>
      </c>
      <c r="N24" s="3">
        <f>IFERROR(INDEX(Table3[#All],MATCH(Table1[[#This Row],[Key_Year_Week_Brand]],Table3[[#All],[Key_Year_Week_Brand]],0),MATCH(Table1[[#This Row],[DC_name_Xref]],Table3[#Headers],0)),0)</f>
        <v>1</v>
      </c>
      <c r="O24">
        <f>IFERROR(INDEX(Table35[#All],MATCH(Table1[[#This Row],[Key_Year_Week_Brand]],Table35[[#All],[Key_Year_Month_Brand]],0),MATCH(Table1[[#This Row],[DC_name_Xref]],Table35[#Headers],0)),0)</f>
        <v>556506</v>
      </c>
    </row>
    <row r="25" spans="1:15" x14ac:dyDescent="0.3">
      <c r="A25" s="19" t="str">
        <f>Table1[[#This Row],[Year_Week]]&amp;"-"&amp;Table1[[#This Row],[DC_name_Xref]]</f>
        <v>201843-WFC</v>
      </c>
      <c r="B25" s="19" t="str">
        <f>Table1[[#This Row],[Fiscal_Year]]*100+Table1[[#This Row],[Fiscal_Week]] &amp; "-" &amp;Table1[[#This Row],[BRAND]]</f>
        <v>201843-Banana Republic</v>
      </c>
      <c r="C25" t="str">
        <f>Table1[[#This Row],[Fiscal_Year]]&amp;"-"&amp;Table1[[#This Row],[BRAND]]</f>
        <v>2018-Banana Republic</v>
      </c>
      <c r="D25">
        <v>2018</v>
      </c>
      <c r="E25">
        <v>43</v>
      </c>
      <c r="F25" t="s">
        <v>18</v>
      </c>
      <c r="G25" t="s">
        <v>7</v>
      </c>
      <c r="H25">
        <v>3</v>
      </c>
      <c r="I25">
        <v>1</v>
      </c>
      <c r="J25" t="str">
        <f>VLOOKUP(H25,DC_Xref!A:B,2,FALSE)</f>
        <v>WFC</v>
      </c>
      <c r="K25">
        <f t="shared" si="0"/>
        <v>201843</v>
      </c>
      <c r="L25">
        <f>IFERROR(Table1[[#This Row],[Demand]]/SUMIFS(Table1[Demand],Table1[Fiscal_Year],Table1[[#This Row],[Fiscal_Year]],Table1[BRAND],Table1[[#This Row],[BRAND]],Table1[DC_name_Xref],Table1[[#This Row],[DC_name_Xref]]),0)</f>
        <v>0.2</v>
      </c>
      <c r="M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3.11522597849248E-6</v>
      </c>
      <c r="N25" s="3">
        <f>IFERROR(INDEX(Table3[#All],MATCH(Table1[[#This Row],[Key_Year_Week_Brand]],Table3[[#All],[Key_Year_Week_Brand]],0),MATCH(Table1[[#This Row],[DC_name_Xref]],Table3[#Headers],0)),0)</f>
        <v>3.4959629396853166E-6</v>
      </c>
      <c r="O25">
        <f>IFERROR(INDEX(Table35[#All],MATCH(Table1[[#This Row],[Key_Year_Week_Brand]],Table35[[#All],[Key_Year_Month_Brand]],0),MATCH(Table1[[#This Row],[DC_name_Xref]],Table35[#Headers],0)),0)</f>
        <v>1.9455243517125167</v>
      </c>
    </row>
    <row r="26" spans="1:15" x14ac:dyDescent="0.3">
      <c r="A26" s="19" t="str">
        <f>Table1[[#This Row],[Year_Week]]&amp;"-"&amp;Table1[[#This Row],[DC_name_Xref]]</f>
        <v>201843-EAO</v>
      </c>
      <c r="B26" s="19" t="str">
        <f>Table1[[#This Row],[Fiscal_Year]]*100+Table1[[#This Row],[Fiscal_Week]] &amp; "-" &amp;Table1[[#This Row],[BRAND]]</f>
        <v>201843-Banana Republic</v>
      </c>
      <c r="C26" t="str">
        <f>Table1[[#This Row],[Fiscal_Year]]&amp;"-"&amp;Table1[[#This Row],[BRAND]]</f>
        <v>2018-Banana Republic</v>
      </c>
      <c r="D26">
        <v>2018</v>
      </c>
      <c r="E26">
        <v>43</v>
      </c>
      <c r="F26" t="s">
        <v>18</v>
      </c>
      <c r="G26" t="s">
        <v>8</v>
      </c>
      <c r="H26">
        <v>4</v>
      </c>
      <c r="I26">
        <v>9</v>
      </c>
      <c r="J26" t="str">
        <f>VLOOKUP(H26,DC_Xref!A:B,2,FALSE)</f>
        <v>EAO</v>
      </c>
      <c r="K26">
        <f t="shared" si="0"/>
        <v>201843</v>
      </c>
      <c r="L26">
        <f>IFERROR(Table1[[#This Row],[Demand]]/SUMIFS(Table1[Demand],Table1[Fiscal_Year],Table1[[#This Row],[Fiscal_Year]],Table1[BRAND],Table1[[#This Row],[BRAND]],Table1[DC_name_Xref],Table1[[#This Row],[DC_name_Xref]]),0)</f>
        <v>0.13432835820895522</v>
      </c>
      <c r="M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4.174402811179923E-5</v>
      </c>
      <c r="N26" s="3">
        <f>IFERROR(INDEX(Table3[#All],MATCH(Table1[[#This Row],[Key_Year_Week_Brand]],Table3[[#All],[Key_Year_Week_Brand]],0),MATCH(Table1[[#This Row],[DC_name_Xref]],Table3[#Headers],0)),0)</f>
        <v>4.2339995602855504E-5</v>
      </c>
      <c r="O26">
        <f>IFERROR(INDEX(Table35[#All],MATCH(Table1[[#This Row],[Key_Year_Week_Brand]],Table35[[#All],[Key_Year_Month_Brand]],0),MATCH(Table1[[#This Row],[DC_name_Xref]],Table35[#Headers],0)),0)</f>
        <v>23.562461592962705</v>
      </c>
    </row>
    <row r="27" spans="1:15" x14ac:dyDescent="0.3">
      <c r="A27" s="19" t="str">
        <f>Table1[[#This Row],[Year_Week]]&amp;"-"&amp;Table1[[#This Row],[DC_name_Xref]]</f>
        <v>201843-FFC-ODC</v>
      </c>
      <c r="B27" s="19" t="str">
        <f>Table1[[#This Row],[Fiscal_Year]]*100+Table1[[#This Row],[Fiscal_Week]] &amp; "-" &amp;Table1[[#This Row],[BRAND]]</f>
        <v>201843-Banana Republic</v>
      </c>
      <c r="C27" t="str">
        <f>Table1[[#This Row],[Fiscal_Year]]&amp;"-"&amp;Table1[[#This Row],[BRAND]]</f>
        <v>2018-Banana Republic</v>
      </c>
      <c r="D27">
        <v>2018</v>
      </c>
      <c r="E27">
        <v>43</v>
      </c>
      <c r="F27" t="s">
        <v>18</v>
      </c>
      <c r="G27" t="s">
        <v>23</v>
      </c>
      <c r="H27">
        <v>5</v>
      </c>
      <c r="I27">
        <v>0</v>
      </c>
      <c r="J27" t="str">
        <f>VLOOKUP(H27,DC_Xref!A:B,2,FALSE)</f>
        <v>FFC-ODC</v>
      </c>
      <c r="K27">
        <f t="shared" si="0"/>
        <v>201843</v>
      </c>
      <c r="L27">
        <f>IFERROR(Table1[[#This Row],[Demand]]/SUMIFS(Table1[Demand],Table1[Fiscal_Year],Table1[[#This Row],[Fiscal_Year]],Table1[BRAND],Table1[[#This Row],[BRAND]],Table1[DC_name_Xref],Table1[[#This Row],[DC_name_Xref]]),0)</f>
        <v>0</v>
      </c>
      <c r="M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7" s="3">
        <f>IFERROR(INDEX(Table3[#All],MATCH(Table1[[#This Row],[Key_Year_Week_Brand]],Table3[[#All],[Key_Year_Week_Brand]],0),MATCH(Table1[[#This Row],[DC_name_Xref]],Table3[#Headers],0)),0)</f>
        <v>0</v>
      </c>
      <c r="O27">
        <f>IFERROR(INDEX(Table35[#All],MATCH(Table1[[#This Row],[Key_Year_Week_Brand]],Table35[[#All],[Key_Year_Month_Brand]],0),MATCH(Table1[[#This Row],[DC_name_Xref]],Table35[#Headers],0)),0)</f>
        <v>0</v>
      </c>
    </row>
    <row r="28" spans="1:15" x14ac:dyDescent="0.3">
      <c r="A28" s="19" t="str">
        <f>Table1[[#This Row],[Year_Week]]&amp;"-"&amp;Table1[[#This Row],[DC_name_Xref]]</f>
        <v>201843-WEO</v>
      </c>
      <c r="B28" s="19" t="str">
        <f>Table1[[#This Row],[Fiscal_Year]]*100+Table1[[#This Row],[Fiscal_Week]] &amp; "-" &amp;Table1[[#This Row],[BRAND]]</f>
        <v>201843-Banana Republic</v>
      </c>
      <c r="C28" t="str">
        <f>Table1[[#This Row],[Fiscal_Year]]&amp;"-"&amp;Table1[[#This Row],[BRAND]]</f>
        <v>2018-Banana Republic</v>
      </c>
      <c r="D28">
        <v>2018</v>
      </c>
      <c r="E28">
        <v>43</v>
      </c>
      <c r="F28" t="s">
        <v>18</v>
      </c>
      <c r="G28" t="s">
        <v>10</v>
      </c>
      <c r="H28">
        <v>6</v>
      </c>
      <c r="I28">
        <v>0</v>
      </c>
      <c r="J28" t="str">
        <f>VLOOKUP(H28,DC_Xref!A:B,2,FALSE)</f>
        <v>WEO</v>
      </c>
      <c r="K28">
        <f t="shared" si="0"/>
        <v>201843</v>
      </c>
      <c r="L28">
        <f>IFERROR(Table1[[#This Row],[Demand]]/SUMIFS(Table1[Demand],Table1[Fiscal_Year],Table1[[#This Row],[Fiscal_Year]],Table1[BRAND],Table1[[#This Row],[BRAND]],Table1[DC_name_Xref],Table1[[#This Row],[DC_name_Xref]]),0)</f>
        <v>0</v>
      </c>
      <c r="M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" s="3">
        <f>IFERROR(INDEX(Table3[#All],MATCH(Table1[[#This Row],[Key_Year_Week_Brand]],Table3[[#All],[Key_Year_Week_Brand]],0),MATCH(Table1[[#This Row],[DC_name_Xref]],Table3[#Headers],0)),0)</f>
        <v>0</v>
      </c>
      <c r="O28">
        <f>IFERROR(INDEX(Table35[#All],MATCH(Table1[[#This Row],[Key_Year_Week_Brand]],Table35[[#All],[Key_Year_Month_Brand]],0),MATCH(Table1[[#This Row],[DC_name_Xref]],Table35[#Headers],0)),0)</f>
        <v>0</v>
      </c>
    </row>
    <row r="29" spans="1:15" x14ac:dyDescent="0.3">
      <c r="A29" s="19" t="str">
        <f>Table1[[#This Row],[Year_Week]]&amp;"-"&amp;Table1[[#This Row],[DC_name_Xref]]</f>
        <v>201843-OCC</v>
      </c>
      <c r="B29" s="19" t="str">
        <f>Table1[[#This Row],[Fiscal_Year]]*100+Table1[[#This Row],[Fiscal_Week]] &amp; "-" &amp;Table1[[#This Row],[BRAND]]</f>
        <v>201843-Banana Republic</v>
      </c>
      <c r="C29" t="str">
        <f>Table1[[#This Row],[Fiscal_Year]]&amp;"-"&amp;Table1[[#This Row],[BRAND]]</f>
        <v>2018-Banana Republic</v>
      </c>
      <c r="D29">
        <v>2018</v>
      </c>
      <c r="E29">
        <v>43</v>
      </c>
      <c r="F29" t="s">
        <v>18</v>
      </c>
      <c r="G29" t="s">
        <v>11</v>
      </c>
      <c r="H29">
        <v>7</v>
      </c>
      <c r="I29">
        <v>0</v>
      </c>
      <c r="J29" t="str">
        <f>VLOOKUP(H29,DC_Xref!A:B,2,FALSE)</f>
        <v>OCC</v>
      </c>
      <c r="K29">
        <f t="shared" si="0"/>
        <v>201843</v>
      </c>
      <c r="L29">
        <f>IFERROR(Table1[[#This Row],[Demand]]/SUMIFS(Table1[Demand],Table1[Fiscal_Year],Table1[[#This Row],[Fiscal_Year]],Table1[BRAND],Table1[[#This Row],[BRAND]],Table1[DC_name_Xref],Table1[[#This Row],[DC_name_Xref]]),0)</f>
        <v>0</v>
      </c>
      <c r="M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9" s="3">
        <f>IFERROR(INDEX(Table3[#All],MATCH(Table1[[#This Row],[Key_Year_Week_Brand]],Table3[[#All],[Key_Year_Week_Brand]],0),MATCH(Table1[[#This Row],[DC_name_Xref]],Table3[#Headers],0)),0)</f>
        <v>0</v>
      </c>
      <c r="O29">
        <f>IFERROR(INDEX(Table35[#All],MATCH(Table1[[#This Row],[Key_Year_Week_Brand]],Table35[[#All],[Key_Year_Month_Brand]],0),MATCH(Table1[[#This Row],[DC_name_Xref]],Table35[#Headers],0)),0)</f>
        <v>0</v>
      </c>
    </row>
    <row r="30" spans="1:15" x14ac:dyDescent="0.3">
      <c r="A30" s="19" t="str">
        <f>Table1[[#This Row],[Year_Week]]&amp;"-"&amp;Table1[[#This Row],[DC_name_Xref]]</f>
        <v>201843-OFC</v>
      </c>
      <c r="B30" s="19" t="str">
        <f>Table1[[#This Row],[Fiscal_Year]]*100+Table1[[#This Row],[Fiscal_Week]] &amp; "-" &amp;Table1[[#This Row],[BRAND]]</f>
        <v>201843-Old Navy</v>
      </c>
      <c r="C30" t="str">
        <f>Table1[[#This Row],[Fiscal_Year]]&amp;"-"&amp;Table1[[#This Row],[BRAND]]</f>
        <v>2018-Old Navy</v>
      </c>
      <c r="D30">
        <v>2018</v>
      </c>
      <c r="E30">
        <v>43</v>
      </c>
      <c r="F30" t="s">
        <v>20</v>
      </c>
      <c r="G30" t="s">
        <v>5</v>
      </c>
      <c r="H30">
        <v>1</v>
      </c>
      <c r="I30">
        <v>1889994</v>
      </c>
      <c r="J30" t="str">
        <f>VLOOKUP(H30,DC_Xref!A:B,2,FALSE)</f>
        <v>OFC</v>
      </c>
      <c r="K30">
        <f t="shared" si="0"/>
        <v>201843</v>
      </c>
      <c r="L30">
        <f>IFERROR(Table1[[#This Row],[Demand]]/SUMIFS(Table1[Demand],Table1[Fiscal_Year],Table1[[#This Row],[Fiscal_Year]],Table1[BRAND],Table1[[#This Row],[BRAND]],Table1[DC_name_Xref],Table1[[#This Row],[DC_name_Xref]]),0)</f>
        <v>0.34276297212348866</v>
      </c>
      <c r="M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0.29585489044805086</v>
      </c>
      <c r="N30" s="3">
        <f>IFERROR(INDEX(Table3[#All],MATCH(Table1[[#This Row],[Key_Year_Week_Brand]],Table3[[#All],[Key_Year_Week_Brand]],0),MATCH(Table1[[#This Row],[DC_name_Xref]],Table3[#Headers],0)),0)</f>
        <v>0.27</v>
      </c>
      <c r="O30">
        <f>IFERROR(INDEX(Table35[#All],MATCH(Table1[[#This Row],[Key_Year_Week_Brand]],Table35[[#All],[Key_Year_Month_Brand]],0),MATCH(Table1[[#This Row],[DC_name_Xref]],Table35[#Headers],0)),0)</f>
        <v>1824674.85</v>
      </c>
    </row>
    <row r="31" spans="1:15" x14ac:dyDescent="0.3">
      <c r="A31" s="19" t="str">
        <f>Table1[[#This Row],[Year_Week]]&amp;"-"&amp;Table1[[#This Row],[DC_name_Xref]]</f>
        <v>201843-TFC</v>
      </c>
      <c r="B31" s="19" t="str">
        <f>Table1[[#This Row],[Fiscal_Year]]*100+Table1[[#This Row],[Fiscal_Week]] &amp; "-" &amp;Table1[[#This Row],[BRAND]]</f>
        <v>201843-Old Navy</v>
      </c>
      <c r="C31" t="str">
        <f>Table1[[#This Row],[Fiscal_Year]]&amp;"-"&amp;Table1[[#This Row],[BRAND]]</f>
        <v>2018-Old Navy</v>
      </c>
      <c r="D31">
        <v>2018</v>
      </c>
      <c r="E31">
        <v>43</v>
      </c>
      <c r="F31" t="s">
        <v>20</v>
      </c>
      <c r="G31" t="s">
        <v>21</v>
      </c>
      <c r="H31">
        <v>2</v>
      </c>
      <c r="I31">
        <v>1242664</v>
      </c>
      <c r="J31" t="str">
        <f>VLOOKUP(H31,DC_Xref!A:B,2,FALSE)</f>
        <v>TFC</v>
      </c>
      <c r="K31">
        <f t="shared" si="0"/>
        <v>201843</v>
      </c>
      <c r="L31">
        <f>IFERROR(Table1[[#This Row],[Demand]]/SUMIFS(Table1[Demand],Table1[Fiscal_Year],Table1[[#This Row],[Fiscal_Year]],Table1[BRAND],Table1[[#This Row],[BRAND]],Table1[DC_name_Xref],Table1[[#This Row],[DC_name_Xref]]),0)</f>
        <v>0.3920481362109392</v>
      </c>
      <c r="M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0.17006954525297244</v>
      </c>
      <c r="N31" s="3">
        <f>IFERROR(INDEX(Table3[#All],MATCH(Table1[[#This Row],[Key_Year_Week_Brand]],Table3[[#All],[Key_Year_Week_Brand]],0),MATCH(Table1[[#This Row],[DC_name_Xref]],Table3[#Headers],0)),0)</f>
        <v>0.25</v>
      </c>
      <c r="O31">
        <f>IFERROR(INDEX(Table35[#All],MATCH(Table1[[#This Row],[Key_Year_Week_Brand]],Table35[[#All],[Key_Year_Month_Brand]],0),MATCH(Table1[[#This Row],[DC_name_Xref]],Table35[#Headers],0)),0)</f>
        <v>1689513.75</v>
      </c>
    </row>
    <row r="32" spans="1:15" x14ac:dyDescent="0.3">
      <c r="A32" s="19" t="str">
        <f>Table1[[#This Row],[Year_Week]]&amp;"-"&amp;Table1[[#This Row],[DC_name_Xref]]</f>
        <v>201843-WFC</v>
      </c>
      <c r="B32" s="19" t="str">
        <f>Table1[[#This Row],[Fiscal_Year]]*100+Table1[[#This Row],[Fiscal_Week]] &amp; "-" &amp;Table1[[#This Row],[BRAND]]</f>
        <v>201843-Old Navy</v>
      </c>
      <c r="C32" t="str">
        <f>Table1[[#This Row],[Fiscal_Year]]&amp;"-"&amp;Table1[[#This Row],[BRAND]]</f>
        <v>2018-Old Navy</v>
      </c>
      <c r="D32">
        <v>2018</v>
      </c>
      <c r="E32">
        <v>43</v>
      </c>
      <c r="F32" t="s">
        <v>20</v>
      </c>
      <c r="G32" t="s">
        <v>7</v>
      </c>
      <c r="H32">
        <v>3</v>
      </c>
      <c r="I32">
        <v>1375006</v>
      </c>
      <c r="J32" t="str">
        <f>VLOOKUP(H32,DC_Xref!A:B,2,FALSE)</f>
        <v>WFC</v>
      </c>
      <c r="K32">
        <f t="shared" si="0"/>
        <v>201843</v>
      </c>
      <c r="L32">
        <f>IFERROR(Table1[[#This Row],[Demand]]/SUMIFS(Table1[Demand],Table1[Fiscal_Year],Table1[[#This Row],[Fiscal_Year]],Table1[BRAND],Table1[[#This Row],[BRAND]],Table1[DC_name_Xref],Table1[[#This Row],[DC_name_Xref]]),0)</f>
        <v>0.36580788651757734</v>
      </c>
      <c r="M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0.20168042879130013</v>
      </c>
      <c r="N32" s="3">
        <f>IFERROR(INDEX(Table3[#All],MATCH(Table1[[#This Row],[Key_Year_Week_Brand]],Table3[[#All],[Key_Year_Week_Brand]],0),MATCH(Table1[[#This Row],[DC_name_Xref]],Table3[#Headers],0)),0)</f>
        <v>0.1</v>
      </c>
      <c r="O32">
        <f>IFERROR(INDEX(Table35[#All],MATCH(Table1[[#This Row],[Key_Year_Week_Brand]],Table35[[#All],[Key_Year_Month_Brand]],0),MATCH(Table1[[#This Row],[DC_name_Xref]],Table35[#Headers],0)),0)</f>
        <v>675805.5</v>
      </c>
    </row>
    <row r="33" spans="1:15" x14ac:dyDescent="0.3">
      <c r="A33" s="19" t="str">
        <f>Table1[[#This Row],[Year_Week]]&amp;"-"&amp;Table1[[#This Row],[DC_name_Xref]]</f>
        <v>201843-EAO</v>
      </c>
      <c r="B33" s="19" t="str">
        <f>Table1[[#This Row],[Fiscal_Year]]*100+Table1[[#This Row],[Fiscal_Week]] &amp; "-" &amp;Table1[[#This Row],[BRAND]]</f>
        <v>201843-Old Navy</v>
      </c>
      <c r="C33" t="str">
        <f>Table1[[#This Row],[Fiscal_Year]]&amp;"-"&amp;Table1[[#This Row],[BRAND]]</f>
        <v>2018-Old Navy</v>
      </c>
      <c r="D33">
        <v>2018</v>
      </c>
      <c r="E33">
        <v>43</v>
      </c>
      <c r="F33" t="s">
        <v>20</v>
      </c>
      <c r="G33" t="s">
        <v>8</v>
      </c>
      <c r="H33">
        <v>4</v>
      </c>
      <c r="I33">
        <v>2250391</v>
      </c>
      <c r="J33" t="str">
        <f>VLOOKUP(H33,DC_Xref!A:B,2,FALSE)</f>
        <v>EAO</v>
      </c>
      <c r="K33">
        <f t="shared" si="0"/>
        <v>201843</v>
      </c>
      <c r="L33">
        <f>IFERROR(Table1[[#This Row],[Demand]]/SUMIFS(Table1[Demand],Table1[Fiscal_Year],Table1[[#This Row],[Fiscal_Year]],Table1[BRAND],Table1[[#This Row],[BRAND]],Table1[DC_name_Xref],Table1[[#This Row],[DC_name_Xref]]),0)</f>
        <v>0.36325830312625507</v>
      </c>
      <c r="M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0.33239513550767658</v>
      </c>
      <c r="N33" s="3">
        <f>IFERROR(INDEX(Table3[#All],MATCH(Table1[[#This Row],[Key_Year_Week_Brand]],Table3[[#All],[Key_Year_Week_Brand]],0),MATCH(Table1[[#This Row],[DC_name_Xref]],Table3[#Headers],0)),0)</f>
        <v>0.28000000000000003</v>
      </c>
      <c r="O33">
        <f>IFERROR(INDEX(Table35[#All],MATCH(Table1[[#This Row],[Key_Year_Week_Brand]],Table35[[#All],[Key_Year_Month_Brand]],0),MATCH(Table1[[#This Row],[DC_name_Xref]],Table35[#Headers],0)),0)</f>
        <v>1892255.4000000001</v>
      </c>
    </row>
    <row r="34" spans="1:15" x14ac:dyDescent="0.3">
      <c r="A34" s="19" t="str">
        <f>Table1[[#This Row],[Year_Week]]&amp;"-"&amp;Table1[[#This Row],[DC_name_Xref]]</f>
        <v>201843-FFC-ODC</v>
      </c>
      <c r="B34" s="19" t="str">
        <f>Table1[[#This Row],[Fiscal_Year]]*100+Table1[[#This Row],[Fiscal_Week]] &amp; "-" &amp;Table1[[#This Row],[BRAND]]</f>
        <v>201843-Old Navy</v>
      </c>
      <c r="C34" t="str">
        <f>Table1[[#This Row],[Fiscal_Year]]&amp;"-"&amp;Table1[[#This Row],[BRAND]]</f>
        <v>2018-Old Navy</v>
      </c>
      <c r="D34">
        <v>2018</v>
      </c>
      <c r="E34">
        <v>43</v>
      </c>
      <c r="F34" t="s">
        <v>20</v>
      </c>
      <c r="G34" t="s">
        <v>23</v>
      </c>
      <c r="H34">
        <v>5</v>
      </c>
      <c r="I34">
        <v>0</v>
      </c>
      <c r="J34" t="str">
        <f>VLOOKUP(H34,DC_Xref!A:B,2,FALSE)</f>
        <v>FFC-ODC</v>
      </c>
      <c r="K34">
        <f t="shared" si="0"/>
        <v>201843</v>
      </c>
      <c r="L34">
        <f>IFERROR(Table1[[#This Row],[Demand]]/SUMIFS(Table1[Demand],Table1[Fiscal_Year],Table1[[#This Row],[Fiscal_Year]],Table1[BRAND],Table1[[#This Row],[BRAND]],Table1[DC_name_Xref],Table1[[#This Row],[DC_name_Xref]]),0)</f>
        <v>0</v>
      </c>
      <c r="M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" s="3">
        <f>IFERROR(INDEX(Table3[#All],MATCH(Table1[[#This Row],[Key_Year_Week_Brand]],Table3[[#All],[Key_Year_Week_Brand]],0),MATCH(Table1[[#This Row],[DC_name_Xref]],Table3[#Headers],0)),0)</f>
        <v>0</v>
      </c>
      <c r="O34">
        <f>IFERROR(INDEX(Table35[#All],MATCH(Table1[[#This Row],[Key_Year_Week_Brand]],Table35[[#All],[Key_Year_Month_Brand]],0),MATCH(Table1[[#This Row],[DC_name_Xref]],Table35[#Headers],0)),0)</f>
        <v>0</v>
      </c>
    </row>
    <row r="35" spans="1:15" x14ac:dyDescent="0.3">
      <c r="A35" s="19" t="str">
        <f>Table1[[#This Row],[Year_Week]]&amp;"-"&amp;Table1[[#This Row],[DC_name_Xref]]</f>
        <v>201843-WEO</v>
      </c>
      <c r="B35" s="19" t="str">
        <f>Table1[[#This Row],[Fiscal_Year]]*100+Table1[[#This Row],[Fiscal_Week]] &amp; "-" &amp;Table1[[#This Row],[BRAND]]</f>
        <v>201843-Old Navy</v>
      </c>
      <c r="C35" t="str">
        <f>Table1[[#This Row],[Fiscal_Year]]&amp;"-"&amp;Table1[[#This Row],[BRAND]]</f>
        <v>2018-Old Navy</v>
      </c>
      <c r="D35">
        <v>2018</v>
      </c>
      <c r="E35">
        <v>43</v>
      </c>
      <c r="F35" t="s">
        <v>20</v>
      </c>
      <c r="G35" t="s">
        <v>10</v>
      </c>
      <c r="H35">
        <v>6</v>
      </c>
      <c r="I35">
        <v>0</v>
      </c>
      <c r="J35" t="str">
        <f>VLOOKUP(H35,DC_Xref!A:B,2,FALSE)</f>
        <v>WEO</v>
      </c>
      <c r="K35">
        <f t="shared" si="0"/>
        <v>201843</v>
      </c>
      <c r="L35">
        <f>IFERROR(Table1[[#This Row],[Demand]]/SUMIFS(Table1[Demand],Table1[Fiscal_Year],Table1[[#This Row],[Fiscal_Year]],Table1[BRAND],Table1[[#This Row],[BRAND]],Table1[DC_name_Xref],Table1[[#This Row],[DC_name_Xref]]),0)</f>
        <v>0</v>
      </c>
      <c r="M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5" s="3">
        <f>IFERROR(INDEX(Table3[#All],MATCH(Table1[[#This Row],[Key_Year_Week_Brand]],Table3[[#All],[Key_Year_Week_Brand]],0),MATCH(Table1[[#This Row],[DC_name_Xref]],Table3[#Headers],0)),0)</f>
        <v>0.1</v>
      </c>
      <c r="O35">
        <f>IFERROR(INDEX(Table35[#All],MATCH(Table1[[#This Row],[Key_Year_Week_Brand]],Table35[[#All],[Key_Year_Month_Brand]],0),MATCH(Table1[[#This Row],[DC_name_Xref]],Table35[#Headers],0)),0)</f>
        <v>675805.5</v>
      </c>
    </row>
    <row r="36" spans="1:15" x14ac:dyDescent="0.3">
      <c r="A36" s="19" t="str">
        <f>Table1[[#This Row],[Year_Week]]&amp;"-"&amp;Table1[[#This Row],[DC_name_Xref]]</f>
        <v>201843-OCC</v>
      </c>
      <c r="B36" s="19" t="str">
        <f>Table1[[#This Row],[Fiscal_Year]]*100+Table1[[#This Row],[Fiscal_Week]] &amp; "-" &amp;Table1[[#This Row],[BRAND]]</f>
        <v>201843-Old Navy</v>
      </c>
      <c r="C36" t="str">
        <f>Table1[[#This Row],[Fiscal_Year]]&amp;"-"&amp;Table1[[#This Row],[BRAND]]</f>
        <v>2018-Old Navy</v>
      </c>
      <c r="D36">
        <v>2018</v>
      </c>
      <c r="E36">
        <v>43</v>
      </c>
      <c r="F36" t="s">
        <v>20</v>
      </c>
      <c r="G36" t="s">
        <v>11</v>
      </c>
      <c r="H36">
        <v>7</v>
      </c>
      <c r="I36">
        <v>0</v>
      </c>
      <c r="J36" t="str">
        <f>VLOOKUP(H36,DC_Xref!A:B,2,FALSE)</f>
        <v>OCC</v>
      </c>
      <c r="K36">
        <f t="shared" si="0"/>
        <v>201843</v>
      </c>
      <c r="L36">
        <f>IFERROR(Table1[[#This Row],[Demand]]/SUMIFS(Table1[Demand],Table1[Fiscal_Year],Table1[[#This Row],[Fiscal_Year]],Table1[BRAND],Table1[[#This Row],[BRAND]],Table1[DC_name_Xref],Table1[[#This Row],[DC_name_Xref]]),0)</f>
        <v>0</v>
      </c>
      <c r="M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6" s="3">
        <f>IFERROR(INDEX(Table3[#All],MATCH(Table1[[#This Row],[Key_Year_Week_Brand]],Table3[[#All],[Key_Year_Week_Brand]],0),MATCH(Table1[[#This Row],[DC_name_Xref]],Table3[#Headers],0)),0)</f>
        <v>0</v>
      </c>
      <c r="O36">
        <f>IFERROR(INDEX(Table35[#All],MATCH(Table1[[#This Row],[Key_Year_Week_Brand]],Table35[[#All],[Key_Year_Month_Brand]],0),MATCH(Table1[[#This Row],[DC_name_Xref]],Table35[#Headers],0)),0)</f>
        <v>0</v>
      </c>
    </row>
    <row r="37" spans="1:15" x14ac:dyDescent="0.3">
      <c r="A37" s="19" t="str">
        <f>Table1[[#This Row],[Year_Week]]&amp;"-"&amp;Table1[[#This Row],[DC_name_Xref]]</f>
        <v>201843-OFC</v>
      </c>
      <c r="B37" s="19" t="str">
        <f>Table1[[#This Row],[Fiscal_Year]]*100+Table1[[#This Row],[Fiscal_Week]] &amp; "-" &amp;Table1[[#This Row],[BRAND]]</f>
        <v>201843-Gap</v>
      </c>
      <c r="C37" t="str">
        <f>Table1[[#This Row],[Fiscal_Year]]&amp;"-"&amp;Table1[[#This Row],[BRAND]]</f>
        <v>2018-Gap</v>
      </c>
      <c r="D37">
        <v>2018</v>
      </c>
      <c r="E37">
        <v>43</v>
      </c>
      <c r="F37" t="s">
        <v>16</v>
      </c>
      <c r="G37" t="s">
        <v>5</v>
      </c>
      <c r="H37">
        <v>1</v>
      </c>
      <c r="I37">
        <v>2237922</v>
      </c>
      <c r="J37" t="str">
        <f>VLOOKUP(H37,DC_Xref!A:B,2,FALSE)</f>
        <v>OFC</v>
      </c>
      <c r="K37">
        <f t="shared" si="0"/>
        <v>201843</v>
      </c>
      <c r="L37">
        <f>IFERROR(Table1[[#This Row],[Demand]]/SUMIFS(Table1[Demand],Table1[Fiscal_Year],Table1[[#This Row],[Fiscal_Year]],Table1[BRAND],Table1[[#This Row],[BRAND]],Table1[DC_name_Xref],Table1[[#This Row],[DC_name_Xref]]),0)</f>
        <v>0.40459950574947257</v>
      </c>
      <c r="M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0.66900258652960543</v>
      </c>
      <c r="N37" s="3">
        <f>IFERROR(INDEX(Table3[#All],MATCH(Table1[[#This Row],[Key_Year_Week_Brand]],Table3[[#All],[Key_Year_Week_Brand]],0),MATCH(Table1[[#This Row],[DC_name_Xref]],Table3[#Headers],0)),0)</f>
        <v>0.25</v>
      </c>
      <c r="O37">
        <f>IFERROR(INDEX(Table35[#All],MATCH(Table1[[#This Row],[Key_Year_Week_Brand]],Table35[[#All],[Key_Year_Month_Brand]],0),MATCH(Table1[[#This Row],[DC_name_Xref]],Table35[#Headers],0)),0)</f>
        <v>869491.5</v>
      </c>
    </row>
    <row r="38" spans="1:15" x14ac:dyDescent="0.3">
      <c r="A38" s="19" t="str">
        <f>Table1[[#This Row],[Year_Week]]&amp;"-"&amp;Table1[[#This Row],[DC_name_Xref]]</f>
        <v>201843-TFC</v>
      </c>
      <c r="B38" s="19" t="str">
        <f>Table1[[#This Row],[Fiscal_Year]]*100+Table1[[#This Row],[Fiscal_Week]] &amp; "-" &amp;Table1[[#This Row],[BRAND]]</f>
        <v>201843-Gap</v>
      </c>
      <c r="C38" t="str">
        <f>Table1[[#This Row],[Fiscal_Year]]&amp;"-"&amp;Table1[[#This Row],[BRAND]]</f>
        <v>2018-Gap</v>
      </c>
      <c r="D38">
        <v>2018</v>
      </c>
      <c r="E38">
        <v>43</v>
      </c>
      <c r="F38" t="s">
        <v>16</v>
      </c>
      <c r="G38" t="s">
        <v>21</v>
      </c>
      <c r="H38">
        <v>2</v>
      </c>
      <c r="I38">
        <v>165</v>
      </c>
      <c r="J38" t="str">
        <f>VLOOKUP(H38,DC_Xref!A:B,2,FALSE)</f>
        <v>TFC</v>
      </c>
      <c r="K38">
        <f t="shared" si="0"/>
        <v>201843</v>
      </c>
      <c r="L38">
        <f>IFERROR(Table1[[#This Row],[Demand]]/SUMIFS(Table1[Demand],Table1[Fiscal_Year],Table1[[#This Row],[Fiscal_Year]],Table1[BRAND],Table1[[#This Row],[BRAND]],Table1[DC_name_Xref],Table1[[#This Row],[DC_name_Xref]]),0)</f>
        <v>0.16599597585513079</v>
      </c>
      <c r="M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1.2022494401496885E-4</v>
      </c>
      <c r="N38" s="3">
        <f>IFERROR(INDEX(Table3[#All],MATCH(Table1[[#This Row],[Key_Year_Week_Brand]],Table3[[#All],[Key_Year_Week_Brand]],0),MATCH(Table1[[#This Row],[DC_name_Xref]],Table3[#Headers],0)),0)</f>
        <v>0.2</v>
      </c>
      <c r="O38">
        <f>IFERROR(INDEX(Table35[#All],MATCH(Table1[[#This Row],[Key_Year_Week_Brand]],Table35[[#All],[Key_Year_Month_Brand]],0),MATCH(Table1[[#This Row],[DC_name_Xref]],Table35[#Headers],0)),0)</f>
        <v>695593.20000000007</v>
      </c>
    </row>
    <row r="39" spans="1:15" x14ac:dyDescent="0.3">
      <c r="A39" s="19" t="str">
        <f>Table1[[#This Row],[Year_Week]]&amp;"-"&amp;Table1[[#This Row],[DC_name_Xref]]</f>
        <v>201843-WFC</v>
      </c>
      <c r="B39" s="19" t="str">
        <f>Table1[[#This Row],[Fiscal_Year]]*100+Table1[[#This Row],[Fiscal_Week]] &amp; "-" &amp;Table1[[#This Row],[BRAND]]</f>
        <v>201843-Gap</v>
      </c>
      <c r="C39" t="str">
        <f>Table1[[#This Row],[Fiscal_Year]]&amp;"-"&amp;Table1[[#This Row],[BRAND]]</f>
        <v>2018-Gap</v>
      </c>
      <c r="D39">
        <v>2018</v>
      </c>
      <c r="E39">
        <v>43</v>
      </c>
      <c r="F39" t="s">
        <v>16</v>
      </c>
      <c r="G39" t="s">
        <v>7</v>
      </c>
      <c r="H39">
        <v>3</v>
      </c>
      <c r="I39">
        <v>84174</v>
      </c>
      <c r="J39" t="str">
        <f>VLOOKUP(H39,DC_Xref!A:B,2,FALSE)</f>
        <v>WFC</v>
      </c>
      <c r="K39">
        <f t="shared" si="0"/>
        <v>201843</v>
      </c>
      <c r="L39">
        <f>IFERROR(Table1[[#This Row],[Demand]]/SUMIFS(Table1[Demand],Table1[Fiscal_Year],Table1[[#This Row],[Fiscal_Year]],Table1[BRAND],Table1[[#This Row],[BRAND]],Table1[DC_name_Xref],Table1[[#This Row],[DC_name_Xref]]),0)</f>
        <v>0.42740936325784501</v>
      </c>
      <c r="M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2.3820020597895338E-2</v>
      </c>
      <c r="N39" s="3">
        <f>IFERROR(INDEX(Table3[#All],MATCH(Table1[[#This Row],[Key_Year_Week_Brand]],Table3[[#All],[Key_Year_Week_Brand]],0),MATCH(Table1[[#This Row],[DC_name_Xref]],Table3[#Headers],0)),0)</f>
        <v>0.15</v>
      </c>
      <c r="O39">
        <f>IFERROR(INDEX(Table35[#All],MATCH(Table1[[#This Row],[Key_Year_Week_Brand]],Table35[[#All],[Key_Year_Month_Brand]],0),MATCH(Table1[[#This Row],[DC_name_Xref]],Table35[#Headers],0)),0)</f>
        <v>521694.89999999997</v>
      </c>
    </row>
    <row r="40" spans="1:15" x14ac:dyDescent="0.3">
      <c r="A40" s="19" t="str">
        <f>Table1[[#This Row],[Year_Week]]&amp;"-"&amp;Table1[[#This Row],[DC_name_Xref]]</f>
        <v>201843-EAO</v>
      </c>
      <c r="B40" s="19" t="str">
        <f>Table1[[#This Row],[Fiscal_Year]]*100+Table1[[#This Row],[Fiscal_Week]] &amp; "-" &amp;Table1[[#This Row],[BRAND]]</f>
        <v>201843-Gap</v>
      </c>
      <c r="C40" t="str">
        <f>Table1[[#This Row],[Fiscal_Year]]&amp;"-"&amp;Table1[[#This Row],[BRAND]]</f>
        <v>2018-Gap</v>
      </c>
      <c r="D40">
        <v>2018</v>
      </c>
      <c r="E40">
        <v>43</v>
      </c>
      <c r="F40" t="s">
        <v>16</v>
      </c>
      <c r="G40" t="s">
        <v>8</v>
      </c>
      <c r="H40">
        <v>4</v>
      </c>
      <c r="I40">
        <v>397</v>
      </c>
      <c r="J40" t="str">
        <f>VLOOKUP(H40,DC_Xref!A:B,2,FALSE)</f>
        <v>EAO</v>
      </c>
      <c r="K40">
        <f t="shared" si="0"/>
        <v>201843</v>
      </c>
      <c r="L40">
        <f>IFERROR(Table1[[#This Row],[Demand]]/SUMIFS(Table1[Demand],Table1[Fiscal_Year],Table1[[#This Row],[Fiscal_Year]],Table1[BRAND],Table1[[#This Row],[BRAND]],Table1[DC_name_Xref],Table1[[#This Row],[DC_name_Xref]]),0)</f>
        <v>0.3997985901309164</v>
      </c>
      <c r="M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1.2010399336706647E-4</v>
      </c>
      <c r="N40" s="3">
        <f>IFERROR(INDEX(Table3[#All],MATCH(Table1[[#This Row],[Key_Year_Week_Brand]],Table3[[#All],[Key_Year_Week_Brand]],0),MATCH(Table1[[#This Row],[DC_name_Xref]],Table3[#Headers],0)),0)</f>
        <v>0</v>
      </c>
      <c r="O40">
        <f>IFERROR(INDEX(Table35[#All],MATCH(Table1[[#This Row],[Key_Year_Week_Brand]],Table35[[#All],[Key_Year_Month_Brand]],0),MATCH(Table1[[#This Row],[DC_name_Xref]],Table35[#Headers],0)),0)</f>
        <v>0</v>
      </c>
    </row>
    <row r="41" spans="1:15" x14ac:dyDescent="0.3">
      <c r="A41" s="19" t="str">
        <f>Table1[[#This Row],[Year_Week]]&amp;"-"&amp;Table1[[#This Row],[DC_name_Xref]]</f>
        <v>201843-FFC-ODC</v>
      </c>
      <c r="B41" s="19" t="str">
        <f>Table1[[#This Row],[Fiscal_Year]]*100+Table1[[#This Row],[Fiscal_Week]] &amp; "-" &amp;Table1[[#This Row],[BRAND]]</f>
        <v>201843-Gap</v>
      </c>
      <c r="C41" t="str">
        <f>Table1[[#This Row],[Fiscal_Year]]&amp;"-"&amp;Table1[[#This Row],[BRAND]]</f>
        <v>2018-Gap</v>
      </c>
      <c r="D41">
        <v>2018</v>
      </c>
      <c r="E41">
        <v>43</v>
      </c>
      <c r="F41" t="s">
        <v>16</v>
      </c>
      <c r="G41" t="s">
        <v>23</v>
      </c>
      <c r="H41">
        <v>5</v>
      </c>
      <c r="I41">
        <v>0</v>
      </c>
      <c r="J41" t="str">
        <f>VLOOKUP(H41,DC_Xref!A:B,2,FALSE)</f>
        <v>FFC-ODC</v>
      </c>
      <c r="K41">
        <f t="shared" si="0"/>
        <v>201843</v>
      </c>
      <c r="L41">
        <f>IFERROR(Table1[[#This Row],[Demand]]/SUMIFS(Table1[Demand],Table1[Fiscal_Year],Table1[[#This Row],[Fiscal_Year]],Table1[BRAND],Table1[[#This Row],[BRAND]],Table1[DC_name_Xref],Table1[[#This Row],[DC_name_Xref]]),0)</f>
        <v>0</v>
      </c>
      <c r="M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" s="3">
        <f>IFERROR(INDEX(Table3[#All],MATCH(Table1[[#This Row],[Key_Year_Week_Brand]],Table3[[#All],[Key_Year_Week_Brand]],0),MATCH(Table1[[#This Row],[DC_name_Xref]],Table3[#Headers],0)),0)</f>
        <v>0</v>
      </c>
      <c r="O41">
        <f>IFERROR(INDEX(Table35[#All],MATCH(Table1[[#This Row],[Key_Year_Week_Brand]],Table35[[#All],[Key_Year_Month_Brand]],0),MATCH(Table1[[#This Row],[DC_name_Xref]],Table35[#Headers],0)),0)</f>
        <v>0</v>
      </c>
    </row>
    <row r="42" spans="1:15" x14ac:dyDescent="0.3">
      <c r="A42" s="19" t="str">
        <f>Table1[[#This Row],[Year_Week]]&amp;"-"&amp;Table1[[#This Row],[DC_name_Xref]]</f>
        <v>201843-WEO</v>
      </c>
      <c r="B42" s="19" t="str">
        <f>Table1[[#This Row],[Fiscal_Year]]*100+Table1[[#This Row],[Fiscal_Week]] &amp; "-" &amp;Table1[[#This Row],[BRAND]]</f>
        <v>201843-Gap</v>
      </c>
      <c r="C42" t="str">
        <f>Table1[[#This Row],[Fiscal_Year]]&amp;"-"&amp;Table1[[#This Row],[BRAND]]</f>
        <v>2018-Gap</v>
      </c>
      <c r="D42">
        <v>2018</v>
      </c>
      <c r="E42">
        <v>43</v>
      </c>
      <c r="F42" t="s">
        <v>16</v>
      </c>
      <c r="G42" t="s">
        <v>10</v>
      </c>
      <c r="H42">
        <v>6</v>
      </c>
      <c r="I42">
        <v>1155308</v>
      </c>
      <c r="J42" t="str">
        <f>VLOOKUP(H42,DC_Xref!A:B,2,FALSE)</f>
        <v>WEO</v>
      </c>
      <c r="K42">
        <f t="shared" si="0"/>
        <v>201843</v>
      </c>
      <c r="L42">
        <f>IFERROR(Table1[[#This Row],[Demand]]/SUMIFS(Table1[Demand],Table1[Fiscal_Year],Table1[[#This Row],[Fiscal_Year]],Table1[BRAND],Table1[[#This Row],[BRAND]],Table1[DC_name_Xref],Table1[[#This Row],[DC_name_Xref]]),0)</f>
        <v>0.45525701371908872</v>
      </c>
      <c r="M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0.30693706393511722</v>
      </c>
      <c r="N42" s="3">
        <f>IFERROR(INDEX(Table3[#All],MATCH(Table1[[#This Row],[Key_Year_Week_Brand]],Table3[[#All],[Key_Year_Week_Brand]],0),MATCH(Table1[[#This Row],[DC_name_Xref]],Table3[#Headers],0)),0)</f>
        <v>0.4</v>
      </c>
      <c r="O42">
        <f>IFERROR(INDEX(Table35[#All],MATCH(Table1[[#This Row],[Key_Year_Week_Brand]],Table35[[#All],[Key_Year_Month_Brand]],0),MATCH(Table1[[#This Row],[DC_name_Xref]],Table35[#Headers],0)),0)</f>
        <v>1391186.4000000001</v>
      </c>
    </row>
    <row r="43" spans="1:15" x14ac:dyDescent="0.3">
      <c r="A43" s="19" t="str">
        <f>Table1[[#This Row],[Year_Week]]&amp;"-"&amp;Table1[[#This Row],[DC_name_Xref]]</f>
        <v>201843-OCC</v>
      </c>
      <c r="B43" s="19" t="str">
        <f>Table1[[#This Row],[Fiscal_Year]]*100+Table1[[#This Row],[Fiscal_Week]] &amp; "-" &amp;Table1[[#This Row],[BRAND]]</f>
        <v>201843-Gap</v>
      </c>
      <c r="C43" t="str">
        <f>Table1[[#This Row],[Fiscal_Year]]&amp;"-"&amp;Table1[[#This Row],[BRAND]]</f>
        <v>2018-Gap</v>
      </c>
      <c r="D43">
        <v>2018</v>
      </c>
      <c r="E43">
        <v>43</v>
      </c>
      <c r="F43" t="s">
        <v>16</v>
      </c>
      <c r="G43" t="s">
        <v>11</v>
      </c>
      <c r="H43">
        <v>7</v>
      </c>
      <c r="I43">
        <v>0</v>
      </c>
      <c r="J43" t="str">
        <f>VLOOKUP(H43,DC_Xref!A:B,2,FALSE)</f>
        <v>OCC</v>
      </c>
      <c r="K43">
        <f t="shared" si="0"/>
        <v>201843</v>
      </c>
      <c r="L43">
        <f>IFERROR(Table1[[#This Row],[Demand]]/SUMIFS(Table1[Demand],Table1[Fiscal_Year],Table1[[#This Row],[Fiscal_Year]],Table1[BRAND],Table1[[#This Row],[BRAND]],Table1[DC_name_Xref],Table1[[#This Row],[DC_name_Xref]]),0)</f>
        <v>0</v>
      </c>
      <c r="M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3" s="3">
        <f>IFERROR(INDEX(Table3[#All],MATCH(Table1[[#This Row],[Key_Year_Week_Brand]],Table3[[#All],[Key_Year_Week_Brand]],0),MATCH(Table1[[#This Row],[DC_name_Xref]],Table3[#Headers],0)),0)</f>
        <v>0</v>
      </c>
      <c r="O43">
        <f>IFERROR(INDEX(Table35[#All],MATCH(Table1[[#This Row],[Key_Year_Week_Brand]],Table35[[#All],[Key_Year_Month_Brand]],0),MATCH(Table1[[#This Row],[DC_name_Xref]],Table35[#Headers],0)),0)</f>
        <v>0</v>
      </c>
    </row>
    <row r="44" spans="1:15" x14ac:dyDescent="0.3">
      <c r="A44" s="19" t="str">
        <f>Table1[[#This Row],[Year_Week]]&amp;"-"&amp;Table1[[#This Row],[DC_name_Xref]]</f>
        <v>201844-OFC</v>
      </c>
      <c r="B44" s="19" t="str">
        <f>Table1[[#This Row],[Fiscal_Year]]*100+Table1[[#This Row],[Fiscal_Week]] &amp; "-" &amp;Table1[[#This Row],[BRAND]]</f>
        <v>201844-Banana Republic</v>
      </c>
      <c r="C44" t="str">
        <f>Table1[[#This Row],[Fiscal_Year]]&amp;"-"&amp;Table1[[#This Row],[BRAND]]</f>
        <v>2018-Banana Republic</v>
      </c>
      <c r="D44">
        <v>2018</v>
      </c>
      <c r="E44">
        <v>44</v>
      </c>
      <c r="F44" t="s">
        <v>18</v>
      </c>
      <c r="G44" t="s">
        <v>5</v>
      </c>
      <c r="H44">
        <v>1</v>
      </c>
      <c r="I44">
        <v>6530</v>
      </c>
      <c r="J44" t="str">
        <f>VLOOKUP(H44,DC_Xref!A:B,2,FALSE)</f>
        <v>OFC</v>
      </c>
      <c r="K44">
        <f t="shared" si="0"/>
        <v>201844</v>
      </c>
      <c r="L44">
        <f>IFERROR(Table1[[#This Row],[Demand]]/SUMIFS(Table1[Demand],Table1[Fiscal_Year],Table1[[#This Row],[Fiscal_Year]],Table1[BRAND],Table1[[#This Row],[BRAND]],Table1[DC_name_Xref],Table1[[#This Row],[DC_name_Xref]]),0)</f>
        <v>0.1907460419466028</v>
      </c>
      <c r="M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2.132932922954231E-2</v>
      </c>
      <c r="N44" s="3">
        <f>IFERROR(INDEX(Table3[#All],MATCH(Table1[[#This Row],[Key_Year_Week_Brand]],Table3[[#All],[Key_Year_Week_Brand]],0),MATCH(Table1[[#This Row],[DC_name_Xref]],Table3[#Headers],0)),0)</f>
        <v>0</v>
      </c>
      <c r="O44">
        <f>IFERROR(INDEX(Table35[#All],MATCH(Table1[[#This Row],[Key_Year_Week_Brand]],Table35[[#All],[Key_Year_Month_Brand]],0),MATCH(Table1[[#This Row],[DC_name_Xref]],Table35[#Headers],0)),0)</f>
        <v>0</v>
      </c>
    </row>
    <row r="45" spans="1:15" x14ac:dyDescent="0.3">
      <c r="A45" s="19" t="str">
        <f>Table1[[#This Row],[Year_Week]]&amp;"-"&amp;Table1[[#This Row],[DC_name_Xref]]</f>
        <v>201844-TFC</v>
      </c>
      <c r="B45" s="19" t="str">
        <f>Table1[[#This Row],[Fiscal_Year]]*100+Table1[[#This Row],[Fiscal_Week]] &amp; "-" &amp;Table1[[#This Row],[BRAND]]</f>
        <v>201844-Banana Republic</v>
      </c>
      <c r="C45" t="str">
        <f>Table1[[#This Row],[Fiscal_Year]]&amp;"-"&amp;Table1[[#This Row],[BRAND]]</f>
        <v>2018-Banana Republic</v>
      </c>
      <c r="D45">
        <v>2018</v>
      </c>
      <c r="E45">
        <v>44</v>
      </c>
      <c r="F45" t="s">
        <v>18</v>
      </c>
      <c r="G45" t="s">
        <v>21</v>
      </c>
      <c r="H45">
        <v>2</v>
      </c>
      <c r="I45">
        <v>429350</v>
      </c>
      <c r="J45" t="str">
        <f>VLOOKUP(H45,DC_Xref!A:B,2,FALSE)</f>
        <v>TFC</v>
      </c>
      <c r="K45">
        <f t="shared" si="0"/>
        <v>201844</v>
      </c>
      <c r="L45">
        <f>IFERROR(Table1[[#This Row],[Demand]]/SUMIFS(Table1[Demand],Table1[Fiscal_Year],Table1[[#This Row],[Fiscal_Year]],Table1[BRAND],Table1[[#This Row],[BRAND]],Table1[DC_name_Xref],Table1[[#This Row],[DC_name_Xref]]),0)</f>
        <v>0.27334702562019564</v>
      </c>
      <c r="M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0.97862581151636741</v>
      </c>
      <c r="N45" s="3">
        <f>IFERROR(INDEX(Table3[#All],MATCH(Table1[[#This Row],[Key_Year_Week_Brand]],Table3[[#All],[Key_Year_Week_Brand]],0),MATCH(Table1[[#This Row],[DC_name_Xref]],Table3[#Headers],0)),0)</f>
        <v>1</v>
      </c>
      <c r="O45">
        <f>IFERROR(INDEX(Table35[#All],MATCH(Table1[[#This Row],[Key_Year_Week_Brand]],Table35[[#All],[Key_Year_Month_Brand]],0),MATCH(Table1[[#This Row],[DC_name_Xref]],Table35[#Headers],0)),0)</f>
        <v>435927</v>
      </c>
    </row>
    <row r="46" spans="1:15" x14ac:dyDescent="0.3">
      <c r="A46" s="19" t="str">
        <f>Table1[[#This Row],[Year_Week]]&amp;"-"&amp;Table1[[#This Row],[DC_name_Xref]]</f>
        <v>201844-WFC</v>
      </c>
      <c r="B46" s="19" t="str">
        <f>Table1[[#This Row],[Fiscal_Year]]*100+Table1[[#This Row],[Fiscal_Week]] &amp; "-" &amp;Table1[[#This Row],[BRAND]]</f>
        <v>201844-Banana Republic</v>
      </c>
      <c r="C46" t="str">
        <f>Table1[[#This Row],[Fiscal_Year]]&amp;"-"&amp;Table1[[#This Row],[BRAND]]</f>
        <v>2018-Banana Republic</v>
      </c>
      <c r="D46">
        <v>2018</v>
      </c>
      <c r="E46">
        <v>44</v>
      </c>
      <c r="F46" t="s">
        <v>18</v>
      </c>
      <c r="G46" t="s">
        <v>7</v>
      </c>
      <c r="H46">
        <v>3</v>
      </c>
      <c r="I46">
        <v>0</v>
      </c>
      <c r="J46" t="str">
        <f>VLOOKUP(H46,DC_Xref!A:B,2,FALSE)</f>
        <v>WFC</v>
      </c>
      <c r="K46">
        <f t="shared" si="0"/>
        <v>201844</v>
      </c>
      <c r="L46">
        <f>IFERROR(Table1[[#This Row],[Demand]]/SUMIFS(Table1[Demand],Table1[Fiscal_Year],Table1[[#This Row],[Fiscal_Year]],Table1[BRAND],Table1[[#This Row],[BRAND]],Table1[DC_name_Xref],Table1[[#This Row],[DC_name_Xref]]),0)</f>
        <v>0</v>
      </c>
      <c r="M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3.11522597849248E-6</v>
      </c>
      <c r="N46" s="3">
        <f>IFERROR(INDEX(Table3[#All],MATCH(Table1[[#This Row],[Key_Year_Week_Brand]],Table3[[#All],[Key_Year_Week_Brand]],0),MATCH(Table1[[#This Row],[DC_name_Xref]],Table3[#Headers],0)),0)</f>
        <v>3.4959629396853166E-6</v>
      </c>
      <c r="O46">
        <f>IFERROR(INDEX(Table35[#All],MATCH(Table1[[#This Row],[Key_Year_Week_Brand]],Table35[[#All],[Key_Year_Month_Brand]],0),MATCH(Table1[[#This Row],[DC_name_Xref]],Table35[#Headers],0)),0)</f>
        <v>1.523984636408201</v>
      </c>
    </row>
    <row r="47" spans="1:15" x14ac:dyDescent="0.3">
      <c r="A47" s="19" t="str">
        <f>Table1[[#This Row],[Year_Week]]&amp;"-"&amp;Table1[[#This Row],[DC_name_Xref]]</f>
        <v>201844-EAO</v>
      </c>
      <c r="B47" s="19" t="str">
        <f>Table1[[#This Row],[Fiscal_Year]]*100+Table1[[#This Row],[Fiscal_Week]] &amp; "-" &amp;Table1[[#This Row],[BRAND]]</f>
        <v>201844-Banana Republic</v>
      </c>
      <c r="C47" t="str">
        <f>Table1[[#This Row],[Fiscal_Year]]&amp;"-"&amp;Table1[[#This Row],[BRAND]]</f>
        <v>2018-Banana Republic</v>
      </c>
      <c r="D47">
        <v>2018</v>
      </c>
      <c r="E47">
        <v>44</v>
      </c>
      <c r="F47" t="s">
        <v>18</v>
      </c>
      <c r="G47" t="s">
        <v>8</v>
      </c>
      <c r="H47">
        <v>4</v>
      </c>
      <c r="I47">
        <v>47</v>
      </c>
      <c r="J47" t="str">
        <f>VLOOKUP(H47,DC_Xref!A:B,2,FALSE)</f>
        <v>EAO</v>
      </c>
      <c r="K47">
        <f t="shared" si="0"/>
        <v>201844</v>
      </c>
      <c r="L47">
        <f>IFERROR(Table1[[#This Row],[Demand]]/SUMIFS(Table1[Demand],Table1[Fiscal_Year],Table1[[#This Row],[Fiscal_Year]],Table1[BRAND],Table1[[#This Row],[BRAND]],Table1[DC_name_Xref],Table1[[#This Row],[DC_name_Xref]]),0)</f>
        <v>0.70149253731343286</v>
      </c>
      <c r="M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4.174402811179923E-5</v>
      </c>
      <c r="N47" s="3">
        <f>IFERROR(INDEX(Table3[#All],MATCH(Table1[[#This Row],[Key_Year_Week_Brand]],Table3[[#All],[Key_Year_Week_Brand]],0),MATCH(Table1[[#This Row],[DC_name_Xref]],Table3[#Headers],0)),0)</f>
        <v>4.2339995602855504E-5</v>
      </c>
      <c r="O47">
        <f>IFERROR(INDEX(Table35[#All],MATCH(Table1[[#This Row],[Key_Year_Week_Brand]],Table35[[#All],[Key_Year_Month_Brand]],0),MATCH(Table1[[#This Row],[DC_name_Xref]],Table35[#Headers],0)),0)</f>
        <v>18.457147263165993</v>
      </c>
    </row>
    <row r="48" spans="1:15" x14ac:dyDescent="0.3">
      <c r="A48" s="19" t="str">
        <f>Table1[[#This Row],[Year_Week]]&amp;"-"&amp;Table1[[#This Row],[DC_name_Xref]]</f>
        <v>201844-FFC-ODC</v>
      </c>
      <c r="B48" s="19" t="str">
        <f>Table1[[#This Row],[Fiscal_Year]]*100+Table1[[#This Row],[Fiscal_Week]] &amp; "-" &amp;Table1[[#This Row],[BRAND]]</f>
        <v>201844-Banana Republic</v>
      </c>
      <c r="C48" t="str">
        <f>Table1[[#This Row],[Fiscal_Year]]&amp;"-"&amp;Table1[[#This Row],[BRAND]]</f>
        <v>2018-Banana Republic</v>
      </c>
      <c r="D48">
        <v>2018</v>
      </c>
      <c r="E48">
        <v>44</v>
      </c>
      <c r="F48" t="s">
        <v>18</v>
      </c>
      <c r="G48" t="s">
        <v>23</v>
      </c>
      <c r="H48">
        <v>5</v>
      </c>
      <c r="I48">
        <v>0</v>
      </c>
      <c r="J48" t="str">
        <f>VLOOKUP(H48,DC_Xref!A:B,2,FALSE)</f>
        <v>FFC-ODC</v>
      </c>
      <c r="K48">
        <f t="shared" si="0"/>
        <v>201844</v>
      </c>
      <c r="L48">
        <f>IFERROR(Table1[[#This Row],[Demand]]/SUMIFS(Table1[Demand],Table1[Fiscal_Year],Table1[[#This Row],[Fiscal_Year]],Table1[BRAND],Table1[[#This Row],[BRAND]],Table1[DC_name_Xref],Table1[[#This Row],[DC_name_Xref]]),0)</f>
        <v>0</v>
      </c>
      <c r="M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" s="3">
        <f>IFERROR(INDEX(Table3[#All],MATCH(Table1[[#This Row],[Key_Year_Week_Brand]],Table3[[#All],[Key_Year_Week_Brand]],0),MATCH(Table1[[#This Row],[DC_name_Xref]],Table3[#Headers],0)),0)</f>
        <v>0</v>
      </c>
      <c r="O48">
        <f>IFERROR(INDEX(Table35[#All],MATCH(Table1[[#This Row],[Key_Year_Week_Brand]],Table35[[#All],[Key_Year_Month_Brand]],0),MATCH(Table1[[#This Row],[DC_name_Xref]],Table35[#Headers],0)),0)</f>
        <v>0</v>
      </c>
    </row>
    <row r="49" spans="1:15" x14ac:dyDescent="0.3">
      <c r="A49" s="19" t="str">
        <f>Table1[[#This Row],[Year_Week]]&amp;"-"&amp;Table1[[#This Row],[DC_name_Xref]]</f>
        <v>201844-WEO</v>
      </c>
      <c r="B49" s="19" t="str">
        <f>Table1[[#This Row],[Fiscal_Year]]*100+Table1[[#This Row],[Fiscal_Week]] &amp; "-" &amp;Table1[[#This Row],[BRAND]]</f>
        <v>201844-Banana Republic</v>
      </c>
      <c r="C49" t="str">
        <f>Table1[[#This Row],[Fiscal_Year]]&amp;"-"&amp;Table1[[#This Row],[BRAND]]</f>
        <v>2018-Banana Republic</v>
      </c>
      <c r="D49">
        <v>2018</v>
      </c>
      <c r="E49">
        <v>44</v>
      </c>
      <c r="F49" t="s">
        <v>18</v>
      </c>
      <c r="G49" t="s">
        <v>10</v>
      </c>
      <c r="H49">
        <v>6</v>
      </c>
      <c r="I49">
        <v>0</v>
      </c>
      <c r="J49" t="str">
        <f>VLOOKUP(H49,DC_Xref!A:B,2,FALSE)</f>
        <v>WEO</v>
      </c>
      <c r="K49">
        <f t="shared" si="0"/>
        <v>201844</v>
      </c>
      <c r="L49">
        <f>IFERROR(Table1[[#This Row],[Demand]]/SUMIFS(Table1[Demand],Table1[Fiscal_Year],Table1[[#This Row],[Fiscal_Year]],Table1[BRAND],Table1[[#This Row],[BRAND]],Table1[DC_name_Xref],Table1[[#This Row],[DC_name_Xref]]),0)</f>
        <v>0</v>
      </c>
      <c r="M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" s="3">
        <f>IFERROR(INDEX(Table3[#All],MATCH(Table1[[#This Row],[Key_Year_Week_Brand]],Table3[[#All],[Key_Year_Week_Brand]],0),MATCH(Table1[[#This Row],[DC_name_Xref]],Table3[#Headers],0)),0)</f>
        <v>0</v>
      </c>
      <c r="O49">
        <f>IFERROR(INDEX(Table35[#All],MATCH(Table1[[#This Row],[Key_Year_Week_Brand]],Table35[[#All],[Key_Year_Month_Brand]],0),MATCH(Table1[[#This Row],[DC_name_Xref]],Table35[#Headers],0)),0)</f>
        <v>0</v>
      </c>
    </row>
    <row r="50" spans="1:15" x14ac:dyDescent="0.3">
      <c r="A50" s="19" t="str">
        <f>Table1[[#This Row],[Year_Week]]&amp;"-"&amp;Table1[[#This Row],[DC_name_Xref]]</f>
        <v>201844-OCC</v>
      </c>
      <c r="B50" s="19" t="str">
        <f>Table1[[#This Row],[Fiscal_Year]]*100+Table1[[#This Row],[Fiscal_Week]] &amp; "-" &amp;Table1[[#This Row],[BRAND]]</f>
        <v>201844-Banana Republic</v>
      </c>
      <c r="C50" t="str">
        <f>Table1[[#This Row],[Fiscal_Year]]&amp;"-"&amp;Table1[[#This Row],[BRAND]]</f>
        <v>2018-Banana Republic</v>
      </c>
      <c r="D50">
        <v>2018</v>
      </c>
      <c r="E50">
        <v>44</v>
      </c>
      <c r="F50" t="s">
        <v>18</v>
      </c>
      <c r="G50" t="s">
        <v>11</v>
      </c>
      <c r="H50">
        <v>7</v>
      </c>
      <c r="I50">
        <v>0</v>
      </c>
      <c r="J50" t="str">
        <f>VLOOKUP(H50,DC_Xref!A:B,2,FALSE)</f>
        <v>OCC</v>
      </c>
      <c r="K50">
        <f t="shared" si="0"/>
        <v>201844</v>
      </c>
      <c r="L50">
        <f>IFERROR(Table1[[#This Row],[Demand]]/SUMIFS(Table1[Demand],Table1[Fiscal_Year],Table1[[#This Row],[Fiscal_Year]],Table1[BRAND],Table1[[#This Row],[BRAND]],Table1[DC_name_Xref],Table1[[#This Row],[DC_name_Xref]]),0)</f>
        <v>0</v>
      </c>
      <c r="M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0" s="3">
        <f>IFERROR(INDEX(Table3[#All],MATCH(Table1[[#This Row],[Key_Year_Week_Brand]],Table3[[#All],[Key_Year_Week_Brand]],0),MATCH(Table1[[#This Row],[DC_name_Xref]],Table3[#Headers],0)),0)</f>
        <v>0</v>
      </c>
      <c r="O50">
        <f>IFERROR(INDEX(Table35[#All],MATCH(Table1[[#This Row],[Key_Year_Week_Brand]],Table35[[#All],[Key_Year_Month_Brand]],0),MATCH(Table1[[#This Row],[DC_name_Xref]],Table35[#Headers],0)),0)</f>
        <v>0</v>
      </c>
    </row>
    <row r="51" spans="1:15" x14ac:dyDescent="0.3">
      <c r="A51" s="19" t="str">
        <f>Table1[[#This Row],[Year_Week]]&amp;"-"&amp;Table1[[#This Row],[DC_name_Xref]]</f>
        <v>201844-OFC</v>
      </c>
      <c r="B51" s="19" t="str">
        <f>Table1[[#This Row],[Fiscal_Year]]*100+Table1[[#This Row],[Fiscal_Week]] &amp; "-" &amp;Table1[[#This Row],[BRAND]]</f>
        <v>201844-Gap Factory Store</v>
      </c>
      <c r="C51" t="str">
        <f>Table1[[#This Row],[Fiscal_Year]]&amp;"-"&amp;Table1[[#This Row],[BRAND]]</f>
        <v>2018-Gap Factory Store</v>
      </c>
      <c r="D51">
        <v>2018</v>
      </c>
      <c r="E51">
        <v>44</v>
      </c>
      <c r="F51" t="s">
        <v>22</v>
      </c>
      <c r="G51" t="s">
        <v>5</v>
      </c>
      <c r="H51">
        <v>1</v>
      </c>
      <c r="I51">
        <v>559923</v>
      </c>
      <c r="J51" t="str">
        <f>VLOOKUP(H51,DC_Xref!A:B,2,FALSE)</f>
        <v>OFC</v>
      </c>
      <c r="K51">
        <f t="shared" si="0"/>
        <v>201844</v>
      </c>
      <c r="L51">
        <f>IFERROR(Table1[[#This Row],[Demand]]/SUMIFS(Table1[Demand],Table1[Fiscal_Year],Table1[[#This Row],[Fiscal_Year]],Table1[BRAND],Table1[[#This Row],[BRAND]],Table1[DC_name_Xref],Table1[[#This Row],[DC_name_Xref]]),0)</f>
        <v>0.31101425141072692</v>
      </c>
      <c r="M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51" s="3">
        <f>IFERROR(INDEX(Table3[#All],MATCH(Table1[[#This Row],[Key_Year_Week_Brand]],Table3[[#All],[Key_Year_Week_Brand]],0),MATCH(Table1[[#This Row],[DC_name_Xref]],Table3[#Headers],0)),0)</f>
        <v>1</v>
      </c>
      <c r="O51">
        <f>IFERROR(INDEX(Table35[#All],MATCH(Table1[[#This Row],[Key_Year_Week_Brand]],Table35[[#All],[Key_Year_Month_Brand]],0),MATCH(Table1[[#This Row],[DC_name_Xref]],Table35[#Headers],0)),0)</f>
        <v>559923</v>
      </c>
    </row>
    <row r="52" spans="1:15" x14ac:dyDescent="0.3">
      <c r="A52" s="19" t="str">
        <f>Table1[[#This Row],[Year_Week]]&amp;"-"&amp;Table1[[#This Row],[DC_name_Xref]]</f>
        <v>201844-TFC</v>
      </c>
      <c r="B52" s="19" t="str">
        <f>Table1[[#This Row],[Fiscal_Year]]*100+Table1[[#This Row],[Fiscal_Week]] &amp; "-" &amp;Table1[[#This Row],[BRAND]]</f>
        <v>201844-Gap Factory Store</v>
      </c>
      <c r="C52" t="str">
        <f>Table1[[#This Row],[Fiscal_Year]]&amp;"-"&amp;Table1[[#This Row],[BRAND]]</f>
        <v>2018-Gap Factory Store</v>
      </c>
      <c r="D52">
        <v>2018</v>
      </c>
      <c r="E52">
        <v>44</v>
      </c>
      <c r="F52" t="s">
        <v>22</v>
      </c>
      <c r="G52" t="s">
        <v>21</v>
      </c>
      <c r="H52">
        <v>2</v>
      </c>
      <c r="I52">
        <v>0</v>
      </c>
      <c r="J52" t="str">
        <f>VLOOKUP(H52,DC_Xref!A:B,2,FALSE)</f>
        <v>TFC</v>
      </c>
      <c r="K52">
        <f t="shared" si="0"/>
        <v>201844</v>
      </c>
      <c r="L52">
        <f>IFERROR(Table1[[#This Row],[Demand]]/SUMIFS(Table1[Demand],Table1[Fiscal_Year],Table1[[#This Row],[Fiscal_Year]],Table1[BRAND],Table1[[#This Row],[BRAND]],Table1[DC_name_Xref],Table1[[#This Row],[DC_name_Xref]]),0)</f>
        <v>0</v>
      </c>
      <c r="M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" s="3">
        <f>IFERROR(INDEX(Table3[#All],MATCH(Table1[[#This Row],[Key_Year_Week_Brand]],Table3[[#All],[Key_Year_Week_Brand]],0),MATCH(Table1[[#This Row],[DC_name_Xref]],Table3[#Headers],0)),0)</f>
        <v>0</v>
      </c>
      <c r="O52">
        <f>IFERROR(INDEX(Table35[#All],MATCH(Table1[[#This Row],[Key_Year_Week_Brand]],Table35[[#All],[Key_Year_Month_Brand]],0),MATCH(Table1[[#This Row],[DC_name_Xref]],Table35[#Headers],0)),0)</f>
        <v>0</v>
      </c>
    </row>
    <row r="53" spans="1:15" x14ac:dyDescent="0.3">
      <c r="A53" s="19" t="str">
        <f>Table1[[#This Row],[Year_Week]]&amp;"-"&amp;Table1[[#This Row],[DC_name_Xref]]</f>
        <v>201844-WFC</v>
      </c>
      <c r="B53" s="19" t="str">
        <f>Table1[[#This Row],[Fiscal_Year]]*100+Table1[[#This Row],[Fiscal_Week]] &amp; "-" &amp;Table1[[#This Row],[BRAND]]</f>
        <v>201844-Gap Factory Store</v>
      </c>
      <c r="C53" t="str">
        <f>Table1[[#This Row],[Fiscal_Year]]&amp;"-"&amp;Table1[[#This Row],[BRAND]]</f>
        <v>2018-Gap Factory Store</v>
      </c>
      <c r="D53">
        <v>2018</v>
      </c>
      <c r="E53">
        <v>44</v>
      </c>
      <c r="F53" t="s">
        <v>22</v>
      </c>
      <c r="G53" t="s">
        <v>7</v>
      </c>
      <c r="H53">
        <v>3</v>
      </c>
      <c r="I53">
        <v>0</v>
      </c>
      <c r="J53" t="str">
        <f>VLOOKUP(H53,DC_Xref!A:B,2,FALSE)</f>
        <v>WFC</v>
      </c>
      <c r="K53">
        <f t="shared" si="0"/>
        <v>201844</v>
      </c>
      <c r="L53">
        <f>IFERROR(Table1[[#This Row],[Demand]]/SUMIFS(Table1[Demand],Table1[Fiscal_Year],Table1[[#This Row],[Fiscal_Year]],Table1[BRAND],Table1[[#This Row],[BRAND]],Table1[DC_name_Xref],Table1[[#This Row],[DC_name_Xref]]),0)</f>
        <v>0</v>
      </c>
      <c r="M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3" s="3">
        <f>IFERROR(INDEX(Table3[#All],MATCH(Table1[[#This Row],[Key_Year_Week_Brand]],Table3[[#All],[Key_Year_Week_Brand]],0),MATCH(Table1[[#This Row],[DC_name_Xref]],Table3[#Headers],0)),0)</f>
        <v>0</v>
      </c>
      <c r="O53">
        <f>IFERROR(INDEX(Table35[#All],MATCH(Table1[[#This Row],[Key_Year_Week_Brand]],Table35[[#All],[Key_Year_Month_Brand]],0),MATCH(Table1[[#This Row],[DC_name_Xref]],Table35[#Headers],0)),0)</f>
        <v>0</v>
      </c>
    </row>
    <row r="54" spans="1:15" x14ac:dyDescent="0.3">
      <c r="A54" s="19" t="str">
        <f>Table1[[#This Row],[Year_Week]]&amp;"-"&amp;Table1[[#This Row],[DC_name_Xref]]</f>
        <v>201844-EAO</v>
      </c>
      <c r="B54" s="19" t="str">
        <f>Table1[[#This Row],[Fiscal_Year]]*100+Table1[[#This Row],[Fiscal_Week]] &amp; "-" &amp;Table1[[#This Row],[BRAND]]</f>
        <v>201844-Gap Factory Store</v>
      </c>
      <c r="C54" t="str">
        <f>Table1[[#This Row],[Fiscal_Year]]&amp;"-"&amp;Table1[[#This Row],[BRAND]]</f>
        <v>2018-Gap Factory Store</v>
      </c>
      <c r="D54">
        <v>2018</v>
      </c>
      <c r="E54">
        <v>44</v>
      </c>
      <c r="F54" t="s">
        <v>22</v>
      </c>
      <c r="G54" t="s">
        <v>8</v>
      </c>
      <c r="H54">
        <v>4</v>
      </c>
      <c r="I54">
        <v>0</v>
      </c>
      <c r="J54" t="str">
        <f>VLOOKUP(H54,DC_Xref!A:B,2,FALSE)</f>
        <v>EAO</v>
      </c>
      <c r="K54">
        <f t="shared" si="0"/>
        <v>201844</v>
      </c>
      <c r="L54">
        <f>IFERROR(Table1[[#This Row],[Demand]]/SUMIFS(Table1[Demand],Table1[Fiscal_Year],Table1[[#This Row],[Fiscal_Year]],Table1[BRAND],Table1[[#This Row],[BRAND]],Table1[DC_name_Xref],Table1[[#This Row],[DC_name_Xref]]),0)</f>
        <v>0</v>
      </c>
      <c r="M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4" s="3">
        <f>IFERROR(INDEX(Table3[#All],MATCH(Table1[[#This Row],[Key_Year_Week_Brand]],Table3[[#All],[Key_Year_Week_Brand]],0),MATCH(Table1[[#This Row],[DC_name_Xref]],Table3[#Headers],0)),0)</f>
        <v>0</v>
      </c>
      <c r="O54">
        <f>IFERROR(INDEX(Table35[#All],MATCH(Table1[[#This Row],[Key_Year_Week_Brand]],Table35[[#All],[Key_Year_Month_Brand]],0),MATCH(Table1[[#This Row],[DC_name_Xref]],Table35[#Headers],0)),0)</f>
        <v>0</v>
      </c>
    </row>
    <row r="55" spans="1:15" x14ac:dyDescent="0.3">
      <c r="A55" s="19" t="str">
        <f>Table1[[#This Row],[Year_Week]]&amp;"-"&amp;Table1[[#This Row],[DC_name_Xref]]</f>
        <v>201844-FFC-ODC</v>
      </c>
      <c r="B55" s="19" t="str">
        <f>Table1[[#This Row],[Fiscal_Year]]*100+Table1[[#This Row],[Fiscal_Week]] &amp; "-" &amp;Table1[[#This Row],[BRAND]]</f>
        <v>201844-Gap Factory Store</v>
      </c>
      <c r="C55" t="str">
        <f>Table1[[#This Row],[Fiscal_Year]]&amp;"-"&amp;Table1[[#This Row],[BRAND]]</f>
        <v>2018-Gap Factory Store</v>
      </c>
      <c r="D55">
        <v>2018</v>
      </c>
      <c r="E55">
        <v>44</v>
      </c>
      <c r="F55" t="s">
        <v>22</v>
      </c>
      <c r="G55" t="s">
        <v>23</v>
      </c>
      <c r="H55">
        <v>5</v>
      </c>
      <c r="I55">
        <v>0</v>
      </c>
      <c r="J55" t="str">
        <f>VLOOKUP(H55,DC_Xref!A:B,2,FALSE)</f>
        <v>FFC-ODC</v>
      </c>
      <c r="K55">
        <f t="shared" si="0"/>
        <v>201844</v>
      </c>
      <c r="L55">
        <f>IFERROR(Table1[[#This Row],[Demand]]/SUMIFS(Table1[Demand],Table1[Fiscal_Year],Table1[[#This Row],[Fiscal_Year]],Table1[BRAND],Table1[[#This Row],[BRAND]],Table1[DC_name_Xref],Table1[[#This Row],[DC_name_Xref]]),0)</f>
        <v>0</v>
      </c>
      <c r="M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" s="3">
        <f>IFERROR(INDEX(Table3[#All],MATCH(Table1[[#This Row],[Key_Year_Week_Brand]],Table3[[#All],[Key_Year_Week_Brand]],0),MATCH(Table1[[#This Row],[DC_name_Xref]],Table3[#Headers],0)),0)</f>
        <v>0</v>
      </c>
      <c r="O55">
        <f>IFERROR(INDEX(Table35[#All],MATCH(Table1[[#This Row],[Key_Year_Week_Brand]],Table35[[#All],[Key_Year_Month_Brand]],0),MATCH(Table1[[#This Row],[DC_name_Xref]],Table35[#Headers],0)),0)</f>
        <v>0</v>
      </c>
    </row>
    <row r="56" spans="1:15" x14ac:dyDescent="0.3">
      <c r="A56" s="19" t="str">
        <f>Table1[[#This Row],[Year_Week]]&amp;"-"&amp;Table1[[#This Row],[DC_name_Xref]]</f>
        <v>201844-WEO</v>
      </c>
      <c r="B56" s="19" t="str">
        <f>Table1[[#This Row],[Fiscal_Year]]*100+Table1[[#This Row],[Fiscal_Week]] &amp; "-" &amp;Table1[[#This Row],[BRAND]]</f>
        <v>201844-Gap Factory Store</v>
      </c>
      <c r="C56" t="str">
        <f>Table1[[#This Row],[Fiscal_Year]]&amp;"-"&amp;Table1[[#This Row],[BRAND]]</f>
        <v>2018-Gap Factory Store</v>
      </c>
      <c r="D56">
        <v>2018</v>
      </c>
      <c r="E56">
        <v>44</v>
      </c>
      <c r="F56" t="s">
        <v>22</v>
      </c>
      <c r="G56" t="s">
        <v>10</v>
      </c>
      <c r="H56">
        <v>6</v>
      </c>
      <c r="I56">
        <v>0</v>
      </c>
      <c r="J56" t="str">
        <f>VLOOKUP(H56,DC_Xref!A:B,2,FALSE)</f>
        <v>WEO</v>
      </c>
      <c r="K56">
        <f t="shared" si="0"/>
        <v>201844</v>
      </c>
      <c r="L56">
        <f>IFERROR(Table1[[#This Row],[Demand]]/SUMIFS(Table1[Demand],Table1[Fiscal_Year],Table1[[#This Row],[Fiscal_Year]],Table1[BRAND],Table1[[#This Row],[BRAND]],Table1[DC_name_Xref],Table1[[#This Row],[DC_name_Xref]]),0)</f>
        <v>0</v>
      </c>
      <c r="M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6" s="3">
        <f>IFERROR(INDEX(Table3[#All],MATCH(Table1[[#This Row],[Key_Year_Week_Brand]],Table3[[#All],[Key_Year_Week_Brand]],0),MATCH(Table1[[#This Row],[DC_name_Xref]],Table3[#Headers],0)),0)</f>
        <v>0</v>
      </c>
      <c r="O56">
        <f>IFERROR(INDEX(Table35[#All],MATCH(Table1[[#This Row],[Key_Year_Week_Brand]],Table35[[#All],[Key_Year_Month_Brand]],0),MATCH(Table1[[#This Row],[DC_name_Xref]],Table35[#Headers],0)),0)</f>
        <v>0</v>
      </c>
    </row>
    <row r="57" spans="1:15" x14ac:dyDescent="0.3">
      <c r="A57" s="19" t="str">
        <f>Table1[[#This Row],[Year_Week]]&amp;"-"&amp;Table1[[#This Row],[DC_name_Xref]]</f>
        <v>201844-OCC</v>
      </c>
      <c r="B57" s="19" t="str">
        <f>Table1[[#This Row],[Fiscal_Year]]*100+Table1[[#This Row],[Fiscal_Week]] &amp; "-" &amp;Table1[[#This Row],[BRAND]]</f>
        <v>201844-Gap Factory Store</v>
      </c>
      <c r="C57" t="str">
        <f>Table1[[#This Row],[Fiscal_Year]]&amp;"-"&amp;Table1[[#This Row],[BRAND]]</f>
        <v>2018-Gap Factory Store</v>
      </c>
      <c r="D57">
        <v>2018</v>
      </c>
      <c r="E57">
        <v>44</v>
      </c>
      <c r="F57" t="s">
        <v>22</v>
      </c>
      <c r="G57" t="s">
        <v>11</v>
      </c>
      <c r="H57">
        <v>7</v>
      </c>
      <c r="I57">
        <v>0</v>
      </c>
      <c r="J57" t="str">
        <f>VLOOKUP(H57,DC_Xref!A:B,2,FALSE)</f>
        <v>OCC</v>
      </c>
      <c r="K57">
        <f t="shared" si="0"/>
        <v>201844</v>
      </c>
      <c r="L57">
        <f>IFERROR(Table1[[#This Row],[Demand]]/SUMIFS(Table1[Demand],Table1[Fiscal_Year],Table1[[#This Row],[Fiscal_Year]],Table1[BRAND],Table1[[#This Row],[BRAND]],Table1[DC_name_Xref],Table1[[#This Row],[DC_name_Xref]]),0)</f>
        <v>0</v>
      </c>
      <c r="M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7" s="3">
        <f>IFERROR(INDEX(Table3[#All],MATCH(Table1[[#This Row],[Key_Year_Week_Brand]],Table3[[#All],[Key_Year_Week_Brand]],0),MATCH(Table1[[#This Row],[DC_name_Xref]],Table3[#Headers],0)),0)</f>
        <v>0</v>
      </c>
      <c r="O57">
        <f>IFERROR(INDEX(Table35[#All],MATCH(Table1[[#This Row],[Key_Year_Week_Brand]],Table35[[#All],[Key_Year_Month_Brand]],0),MATCH(Table1[[#This Row],[DC_name_Xref]],Table35[#Headers],0)),0)</f>
        <v>0</v>
      </c>
    </row>
    <row r="58" spans="1:15" x14ac:dyDescent="0.3">
      <c r="A58" s="19" t="str">
        <f>Table1[[#This Row],[Year_Week]]&amp;"-"&amp;Table1[[#This Row],[DC_name_Xref]]</f>
        <v>201844-EAO</v>
      </c>
      <c r="B58" s="19" t="str">
        <f>Table1[[#This Row],[Fiscal_Year]]*100+Table1[[#This Row],[Fiscal_Week]] &amp; "-" &amp;Table1[[#This Row],[BRAND]]</f>
        <v>201844-BR Factory Store</v>
      </c>
      <c r="C58" t="str">
        <f>Table1[[#This Row],[Fiscal_Year]]&amp;"-"&amp;Table1[[#This Row],[BRAND]]</f>
        <v>2018-BR Factory Store</v>
      </c>
      <c r="D58">
        <v>2018</v>
      </c>
      <c r="E58">
        <v>44</v>
      </c>
      <c r="F58" t="s">
        <v>17</v>
      </c>
      <c r="G58" t="s">
        <v>8</v>
      </c>
      <c r="H58">
        <v>4</v>
      </c>
      <c r="I58">
        <v>0</v>
      </c>
      <c r="J58" t="str">
        <f>VLOOKUP(H58,DC_Xref!A:B,2,FALSE)</f>
        <v>EAO</v>
      </c>
      <c r="K58">
        <f t="shared" si="0"/>
        <v>201844</v>
      </c>
      <c r="L58">
        <f>IFERROR(Table1[[#This Row],[Demand]]/SUMIFS(Table1[Demand],Table1[Fiscal_Year],Table1[[#This Row],[Fiscal_Year]],Table1[BRAND],Table1[[#This Row],[BRAND]],Table1[DC_name_Xref],Table1[[#This Row],[DC_name_Xref]]),0)</f>
        <v>0</v>
      </c>
      <c r="M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8" s="3">
        <f>IFERROR(INDEX(Table3[#All],MATCH(Table1[[#This Row],[Key_Year_Week_Brand]],Table3[[#All],[Key_Year_Week_Brand]],0),MATCH(Table1[[#This Row],[DC_name_Xref]],Table3[#Headers],0)),0)</f>
        <v>0</v>
      </c>
      <c r="O58">
        <f>IFERROR(INDEX(Table35[#All],MATCH(Table1[[#This Row],[Key_Year_Week_Brand]],Table35[[#All],[Key_Year_Month_Brand]],0),MATCH(Table1[[#This Row],[DC_name_Xref]],Table35[#Headers],0)),0)</f>
        <v>0</v>
      </c>
    </row>
    <row r="59" spans="1:15" x14ac:dyDescent="0.3">
      <c r="A59" s="19" t="str">
        <f>Table1[[#This Row],[Year_Week]]&amp;"-"&amp;Table1[[#This Row],[DC_name_Xref]]</f>
        <v>201844-FFC-ODC</v>
      </c>
      <c r="B59" s="19" t="str">
        <f>Table1[[#This Row],[Fiscal_Year]]*100+Table1[[#This Row],[Fiscal_Week]] &amp; "-" &amp;Table1[[#This Row],[BRAND]]</f>
        <v>201844-BR Factory Store</v>
      </c>
      <c r="C59" t="str">
        <f>Table1[[#This Row],[Fiscal_Year]]&amp;"-"&amp;Table1[[#This Row],[BRAND]]</f>
        <v>2018-BR Factory Store</v>
      </c>
      <c r="D59">
        <v>2018</v>
      </c>
      <c r="E59">
        <v>44</v>
      </c>
      <c r="F59" t="s">
        <v>17</v>
      </c>
      <c r="G59" t="s">
        <v>23</v>
      </c>
      <c r="H59">
        <v>5</v>
      </c>
      <c r="I59">
        <v>0</v>
      </c>
      <c r="J59" t="str">
        <f>VLOOKUP(H59,DC_Xref!A:B,2,FALSE)</f>
        <v>FFC-ODC</v>
      </c>
      <c r="K59">
        <f t="shared" si="0"/>
        <v>201844</v>
      </c>
      <c r="L59">
        <f>IFERROR(Table1[[#This Row],[Demand]]/SUMIFS(Table1[Demand],Table1[Fiscal_Year],Table1[[#This Row],[Fiscal_Year]],Table1[BRAND],Table1[[#This Row],[BRAND]],Table1[DC_name_Xref],Table1[[#This Row],[DC_name_Xref]]),0)</f>
        <v>0</v>
      </c>
      <c r="M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" s="3">
        <f>IFERROR(INDEX(Table3[#All],MATCH(Table1[[#This Row],[Key_Year_Week_Brand]],Table3[[#All],[Key_Year_Week_Brand]],0),MATCH(Table1[[#This Row],[DC_name_Xref]],Table3[#Headers],0)),0)</f>
        <v>0</v>
      </c>
      <c r="O59">
        <f>IFERROR(INDEX(Table35[#All],MATCH(Table1[[#This Row],[Key_Year_Week_Brand]],Table35[[#All],[Key_Year_Month_Brand]],0),MATCH(Table1[[#This Row],[DC_name_Xref]],Table35[#Headers],0)),0)</f>
        <v>0</v>
      </c>
    </row>
    <row r="60" spans="1:15" x14ac:dyDescent="0.3">
      <c r="A60" s="19" t="str">
        <f>Table1[[#This Row],[Year_Week]]&amp;"-"&amp;Table1[[#This Row],[DC_name_Xref]]</f>
        <v>201844-WEO</v>
      </c>
      <c r="B60" s="19" t="str">
        <f>Table1[[#This Row],[Fiscal_Year]]*100+Table1[[#This Row],[Fiscal_Week]] &amp; "-" &amp;Table1[[#This Row],[BRAND]]</f>
        <v>201844-BR Factory Store</v>
      </c>
      <c r="C60" t="str">
        <f>Table1[[#This Row],[Fiscal_Year]]&amp;"-"&amp;Table1[[#This Row],[BRAND]]</f>
        <v>2018-BR Factory Store</v>
      </c>
      <c r="D60">
        <v>2018</v>
      </c>
      <c r="E60">
        <v>44</v>
      </c>
      <c r="F60" t="s">
        <v>17</v>
      </c>
      <c r="G60" t="s">
        <v>10</v>
      </c>
      <c r="H60">
        <v>6</v>
      </c>
      <c r="I60">
        <v>0</v>
      </c>
      <c r="J60" t="str">
        <f>VLOOKUP(H60,DC_Xref!A:B,2,FALSE)</f>
        <v>WEO</v>
      </c>
      <c r="K60">
        <f t="shared" si="0"/>
        <v>201844</v>
      </c>
      <c r="L60">
        <f>IFERROR(Table1[[#This Row],[Demand]]/SUMIFS(Table1[Demand],Table1[Fiscal_Year],Table1[[#This Row],[Fiscal_Year]],Table1[BRAND],Table1[[#This Row],[BRAND]],Table1[DC_name_Xref],Table1[[#This Row],[DC_name_Xref]]),0)</f>
        <v>0</v>
      </c>
      <c r="M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0" s="3">
        <f>IFERROR(INDEX(Table3[#All],MATCH(Table1[[#This Row],[Key_Year_Week_Brand]],Table3[[#All],[Key_Year_Week_Brand]],0),MATCH(Table1[[#This Row],[DC_name_Xref]],Table3[#Headers],0)),0)</f>
        <v>0</v>
      </c>
      <c r="O60">
        <f>IFERROR(INDEX(Table35[#All],MATCH(Table1[[#This Row],[Key_Year_Week_Brand]],Table35[[#All],[Key_Year_Month_Brand]],0),MATCH(Table1[[#This Row],[DC_name_Xref]],Table35[#Headers],0)),0)</f>
        <v>0</v>
      </c>
    </row>
    <row r="61" spans="1:15" x14ac:dyDescent="0.3">
      <c r="A61" s="19" t="str">
        <f>Table1[[#This Row],[Year_Week]]&amp;"-"&amp;Table1[[#This Row],[DC_name_Xref]]</f>
        <v>201844-OCC</v>
      </c>
      <c r="B61" s="19" t="str">
        <f>Table1[[#This Row],[Fiscal_Year]]*100+Table1[[#This Row],[Fiscal_Week]] &amp; "-" &amp;Table1[[#This Row],[BRAND]]</f>
        <v>201844-BR Factory Store</v>
      </c>
      <c r="C61" t="str">
        <f>Table1[[#This Row],[Fiscal_Year]]&amp;"-"&amp;Table1[[#This Row],[BRAND]]</f>
        <v>2018-BR Factory Store</v>
      </c>
      <c r="D61">
        <v>2018</v>
      </c>
      <c r="E61">
        <v>44</v>
      </c>
      <c r="F61" t="s">
        <v>17</v>
      </c>
      <c r="G61" t="s">
        <v>11</v>
      </c>
      <c r="H61">
        <v>7</v>
      </c>
      <c r="I61">
        <v>0</v>
      </c>
      <c r="J61" t="str">
        <f>VLOOKUP(H61,DC_Xref!A:B,2,FALSE)</f>
        <v>OCC</v>
      </c>
      <c r="K61">
        <f t="shared" si="0"/>
        <v>201844</v>
      </c>
      <c r="L61">
        <f>IFERROR(Table1[[#This Row],[Demand]]/SUMIFS(Table1[Demand],Table1[Fiscal_Year],Table1[[#This Row],[Fiscal_Year]],Table1[BRAND],Table1[[#This Row],[BRAND]],Table1[DC_name_Xref],Table1[[#This Row],[DC_name_Xref]]),0)</f>
        <v>0</v>
      </c>
      <c r="M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" s="3">
        <f>IFERROR(INDEX(Table3[#All],MATCH(Table1[[#This Row],[Key_Year_Week_Brand]],Table3[[#All],[Key_Year_Week_Brand]],0),MATCH(Table1[[#This Row],[DC_name_Xref]],Table3[#Headers],0)),0)</f>
        <v>0</v>
      </c>
      <c r="O61">
        <f>IFERROR(INDEX(Table35[#All],MATCH(Table1[[#This Row],[Key_Year_Week_Brand]],Table35[[#All],[Key_Year_Month_Brand]],0),MATCH(Table1[[#This Row],[DC_name_Xref]],Table35[#Headers],0)),0)</f>
        <v>0</v>
      </c>
    </row>
    <row r="62" spans="1:15" x14ac:dyDescent="0.3">
      <c r="A62" s="19" t="str">
        <f>Table1[[#This Row],[Year_Week]]&amp;"-"&amp;Table1[[#This Row],[DC_name_Xref]]</f>
        <v>201844-OFC</v>
      </c>
      <c r="B62" s="19" t="str">
        <f>Table1[[#This Row],[Fiscal_Year]]*100+Table1[[#This Row],[Fiscal_Week]] &amp; "-" &amp;Table1[[#This Row],[BRAND]]</f>
        <v>201844-BR Factory Store</v>
      </c>
      <c r="C62" t="str">
        <f>Table1[[#This Row],[Fiscal_Year]]&amp;"-"&amp;Table1[[#This Row],[BRAND]]</f>
        <v>2018-BR Factory Store</v>
      </c>
      <c r="D62">
        <v>2018</v>
      </c>
      <c r="E62">
        <v>44</v>
      </c>
      <c r="F62" t="s">
        <v>17</v>
      </c>
      <c r="G62" t="s">
        <v>5</v>
      </c>
      <c r="H62">
        <v>1</v>
      </c>
      <c r="I62">
        <v>183985</v>
      </c>
      <c r="J62" t="str">
        <f>VLOOKUP(H62,DC_Xref!A:B,2,FALSE)</f>
        <v>OFC</v>
      </c>
      <c r="K62">
        <f t="shared" si="0"/>
        <v>201844</v>
      </c>
      <c r="L62">
        <f>IFERROR(Table1[[#This Row],[Demand]]/SUMIFS(Table1[Demand],Table1[Fiscal_Year],Table1[[#This Row],[Fiscal_Year]],Table1[BRAND],Table1[[#This Row],[BRAND]],Table1[DC_name_Xref],Table1[[#This Row],[DC_name_Xref]]),0)</f>
        <v>0.2783657388565195</v>
      </c>
      <c r="M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62" s="3">
        <f>IFERROR(INDEX(Table3[#All],MATCH(Table1[[#This Row],[Key_Year_Week_Brand]],Table3[[#All],[Key_Year_Week_Brand]],0),MATCH(Table1[[#This Row],[DC_name_Xref]],Table3[#Headers],0)),0)</f>
        <v>1</v>
      </c>
      <c r="O62">
        <f>IFERROR(INDEX(Table35[#All],MATCH(Table1[[#This Row],[Key_Year_Week_Brand]],Table35[[#All],[Key_Year_Month_Brand]],0),MATCH(Table1[[#This Row],[DC_name_Xref]],Table35[#Headers],0)),0)</f>
        <v>183985</v>
      </c>
    </row>
    <row r="63" spans="1:15" x14ac:dyDescent="0.3">
      <c r="A63" s="19" t="str">
        <f>Table1[[#This Row],[Year_Week]]&amp;"-"&amp;Table1[[#This Row],[DC_name_Xref]]</f>
        <v>201844-TFC</v>
      </c>
      <c r="B63" s="19" t="str">
        <f>Table1[[#This Row],[Fiscal_Year]]*100+Table1[[#This Row],[Fiscal_Week]] &amp; "-" &amp;Table1[[#This Row],[BRAND]]</f>
        <v>201844-BR Factory Store</v>
      </c>
      <c r="C63" t="str">
        <f>Table1[[#This Row],[Fiscal_Year]]&amp;"-"&amp;Table1[[#This Row],[BRAND]]</f>
        <v>2018-BR Factory Store</v>
      </c>
      <c r="D63">
        <v>2018</v>
      </c>
      <c r="E63">
        <v>44</v>
      </c>
      <c r="F63" t="s">
        <v>17</v>
      </c>
      <c r="G63" t="s">
        <v>21</v>
      </c>
      <c r="H63">
        <v>2</v>
      </c>
      <c r="I63">
        <v>0</v>
      </c>
      <c r="J63" t="str">
        <f>VLOOKUP(H63,DC_Xref!A:B,2,FALSE)</f>
        <v>TFC</v>
      </c>
      <c r="K63">
        <f t="shared" si="0"/>
        <v>201844</v>
      </c>
      <c r="L63">
        <f>IFERROR(Table1[[#This Row],[Demand]]/SUMIFS(Table1[Demand],Table1[Fiscal_Year],Table1[[#This Row],[Fiscal_Year]],Table1[BRAND],Table1[[#This Row],[BRAND]],Table1[DC_name_Xref],Table1[[#This Row],[DC_name_Xref]]),0)</f>
        <v>0</v>
      </c>
      <c r="M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3" s="3">
        <f>IFERROR(INDEX(Table3[#All],MATCH(Table1[[#This Row],[Key_Year_Week_Brand]],Table3[[#All],[Key_Year_Week_Brand]],0),MATCH(Table1[[#This Row],[DC_name_Xref]],Table3[#Headers],0)),0)</f>
        <v>0</v>
      </c>
      <c r="O63">
        <f>IFERROR(INDEX(Table35[#All],MATCH(Table1[[#This Row],[Key_Year_Week_Brand]],Table35[[#All],[Key_Year_Month_Brand]],0),MATCH(Table1[[#This Row],[DC_name_Xref]],Table35[#Headers],0)),0)</f>
        <v>0</v>
      </c>
    </row>
    <row r="64" spans="1:15" x14ac:dyDescent="0.3">
      <c r="A64" s="19" t="str">
        <f>Table1[[#This Row],[Year_Week]]&amp;"-"&amp;Table1[[#This Row],[DC_name_Xref]]</f>
        <v>201844-WFC</v>
      </c>
      <c r="B64" s="19" t="str">
        <f>Table1[[#This Row],[Fiscal_Year]]*100+Table1[[#This Row],[Fiscal_Week]] &amp; "-" &amp;Table1[[#This Row],[BRAND]]</f>
        <v>201844-BR Factory Store</v>
      </c>
      <c r="C64" t="str">
        <f>Table1[[#This Row],[Fiscal_Year]]&amp;"-"&amp;Table1[[#This Row],[BRAND]]</f>
        <v>2018-BR Factory Store</v>
      </c>
      <c r="D64">
        <v>2018</v>
      </c>
      <c r="E64">
        <v>44</v>
      </c>
      <c r="F64" t="s">
        <v>17</v>
      </c>
      <c r="G64" t="s">
        <v>7</v>
      </c>
      <c r="H64">
        <v>3</v>
      </c>
      <c r="I64">
        <v>0</v>
      </c>
      <c r="J64" t="str">
        <f>VLOOKUP(H64,DC_Xref!A:B,2,FALSE)</f>
        <v>WFC</v>
      </c>
      <c r="K64">
        <f t="shared" si="0"/>
        <v>201844</v>
      </c>
      <c r="L64">
        <f>IFERROR(Table1[[#This Row],[Demand]]/SUMIFS(Table1[Demand],Table1[Fiscal_Year],Table1[[#This Row],[Fiscal_Year]],Table1[BRAND],Table1[[#This Row],[BRAND]],Table1[DC_name_Xref],Table1[[#This Row],[DC_name_Xref]]),0)</f>
        <v>0</v>
      </c>
      <c r="M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" s="3">
        <f>IFERROR(INDEX(Table3[#All],MATCH(Table1[[#This Row],[Key_Year_Week_Brand]],Table3[[#All],[Key_Year_Week_Brand]],0),MATCH(Table1[[#This Row],[DC_name_Xref]],Table3[#Headers],0)),0)</f>
        <v>0</v>
      </c>
      <c r="O64">
        <f>IFERROR(INDEX(Table35[#All],MATCH(Table1[[#This Row],[Key_Year_Week_Brand]],Table35[[#All],[Key_Year_Month_Brand]],0),MATCH(Table1[[#This Row],[DC_name_Xref]],Table35[#Headers],0)),0)</f>
        <v>0</v>
      </c>
    </row>
    <row r="65" spans="1:15" x14ac:dyDescent="0.3">
      <c r="A65" s="19" t="str">
        <f>Table1[[#This Row],[Year_Week]]&amp;"-"&amp;Table1[[#This Row],[DC_name_Xref]]</f>
        <v>201844-OFC</v>
      </c>
      <c r="B65" s="19" t="str">
        <f>Table1[[#This Row],[Fiscal_Year]]*100+Table1[[#This Row],[Fiscal_Week]] &amp; "-" &amp;Table1[[#This Row],[BRAND]]</f>
        <v>201844-Gap</v>
      </c>
      <c r="C65" t="str">
        <f>Table1[[#This Row],[Fiscal_Year]]&amp;"-"&amp;Table1[[#This Row],[BRAND]]</f>
        <v>2018-Gap</v>
      </c>
      <c r="D65">
        <v>2018</v>
      </c>
      <c r="E65">
        <v>44</v>
      </c>
      <c r="F65" t="s">
        <v>16</v>
      </c>
      <c r="G65" t="s">
        <v>5</v>
      </c>
      <c r="H65">
        <v>1</v>
      </c>
      <c r="I65">
        <v>1490995</v>
      </c>
      <c r="J65" t="str">
        <f>VLOOKUP(H65,DC_Xref!A:B,2,FALSE)</f>
        <v>OFC</v>
      </c>
      <c r="K65">
        <f t="shared" si="0"/>
        <v>201844</v>
      </c>
      <c r="L65">
        <f>IFERROR(Table1[[#This Row],[Demand]]/SUMIFS(Table1[Demand],Table1[Fiscal_Year],Table1[[#This Row],[Fiscal_Year]],Table1[BRAND],Table1[[#This Row],[BRAND]],Table1[DC_name_Xref],Table1[[#This Row],[DC_name_Xref]]),0)</f>
        <v>0.26956070858364806</v>
      </c>
      <c r="M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0.66900258652960543</v>
      </c>
      <c r="N65" s="3">
        <f>IFERROR(INDEX(Table3[#All],MATCH(Table1[[#This Row],[Key_Year_Week_Brand]],Table3[[#All],[Key_Year_Week_Brand]],0),MATCH(Table1[[#This Row],[DC_name_Xref]],Table3[#Headers],0)),0)</f>
        <v>0.25</v>
      </c>
      <c r="O65">
        <f>IFERROR(INDEX(Table35[#All],MATCH(Table1[[#This Row],[Key_Year_Week_Brand]],Table35[[#All],[Key_Year_Month_Brand]],0),MATCH(Table1[[#This Row],[DC_name_Xref]],Table35[#Headers],0)),0)</f>
        <v>577289</v>
      </c>
    </row>
    <row r="66" spans="1:15" x14ac:dyDescent="0.3">
      <c r="A66" s="19" t="str">
        <f>Table1[[#This Row],[Year_Week]]&amp;"-"&amp;Table1[[#This Row],[DC_name_Xref]]</f>
        <v>201844-TFC</v>
      </c>
      <c r="B66" s="19" t="str">
        <f>Table1[[#This Row],[Fiscal_Year]]*100+Table1[[#This Row],[Fiscal_Week]] &amp; "-" &amp;Table1[[#This Row],[BRAND]]</f>
        <v>201844-Gap</v>
      </c>
      <c r="C66" t="str">
        <f>Table1[[#This Row],[Fiscal_Year]]&amp;"-"&amp;Table1[[#This Row],[BRAND]]</f>
        <v>2018-Gap</v>
      </c>
      <c r="D66">
        <v>2018</v>
      </c>
      <c r="E66">
        <v>44</v>
      </c>
      <c r="F66" t="s">
        <v>16</v>
      </c>
      <c r="G66" t="s">
        <v>21</v>
      </c>
      <c r="H66">
        <v>2</v>
      </c>
      <c r="I66">
        <v>81</v>
      </c>
      <c r="J66" t="str">
        <f>VLOOKUP(H66,DC_Xref!A:B,2,FALSE)</f>
        <v>TFC</v>
      </c>
      <c r="K66">
        <f t="shared" ref="K66:K129" si="1">D66*100+E66</f>
        <v>201844</v>
      </c>
      <c r="L66">
        <f>IFERROR(Table1[[#This Row],[Demand]]/SUMIFS(Table1[Demand],Table1[Fiscal_Year],Table1[[#This Row],[Fiscal_Year]],Table1[BRAND],Table1[[#This Row],[BRAND]],Table1[DC_name_Xref],Table1[[#This Row],[DC_name_Xref]]),0)</f>
        <v>8.1488933601609664E-2</v>
      </c>
      <c r="M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1.2022494401496885E-4</v>
      </c>
      <c r="N66" s="3">
        <f>IFERROR(INDEX(Table3[#All],MATCH(Table1[[#This Row],[Key_Year_Week_Brand]],Table3[[#All],[Key_Year_Week_Brand]],0),MATCH(Table1[[#This Row],[DC_name_Xref]],Table3[#Headers],0)),0)</f>
        <v>0.2</v>
      </c>
      <c r="O66">
        <f>IFERROR(INDEX(Table35[#All],MATCH(Table1[[#This Row],[Key_Year_Week_Brand]],Table35[[#All],[Key_Year_Month_Brand]],0),MATCH(Table1[[#This Row],[DC_name_Xref]],Table35[#Headers],0)),0)</f>
        <v>461831.2</v>
      </c>
    </row>
    <row r="67" spans="1:15" x14ac:dyDescent="0.3">
      <c r="A67" s="19" t="str">
        <f>Table1[[#This Row],[Year_Week]]&amp;"-"&amp;Table1[[#This Row],[DC_name_Xref]]</f>
        <v>201844-WFC</v>
      </c>
      <c r="B67" s="19" t="str">
        <f>Table1[[#This Row],[Fiscal_Year]]*100+Table1[[#This Row],[Fiscal_Week]] &amp; "-" &amp;Table1[[#This Row],[BRAND]]</f>
        <v>201844-Gap</v>
      </c>
      <c r="C67" t="str">
        <f>Table1[[#This Row],[Fiscal_Year]]&amp;"-"&amp;Table1[[#This Row],[BRAND]]</f>
        <v>2018-Gap</v>
      </c>
      <c r="D67">
        <v>2018</v>
      </c>
      <c r="E67">
        <v>44</v>
      </c>
      <c r="F67" t="s">
        <v>16</v>
      </c>
      <c r="G67" t="s">
        <v>7</v>
      </c>
      <c r="H67">
        <v>3</v>
      </c>
      <c r="I67">
        <v>56455</v>
      </c>
      <c r="J67" t="str">
        <f>VLOOKUP(H67,DC_Xref!A:B,2,FALSE)</f>
        <v>WFC</v>
      </c>
      <c r="K67">
        <f t="shared" si="1"/>
        <v>201844</v>
      </c>
      <c r="L67">
        <f>IFERROR(Table1[[#This Row],[Demand]]/SUMIFS(Table1[Demand],Table1[Fiscal_Year],Table1[[#This Row],[Fiscal_Year]],Table1[BRAND],Table1[[#This Row],[BRAND]],Table1[DC_name_Xref],Table1[[#This Row],[DC_name_Xref]]),0)</f>
        <v>0.28666091195287907</v>
      </c>
      <c r="M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2.3820020597895338E-2</v>
      </c>
      <c r="N67" s="3">
        <f>IFERROR(INDEX(Table3[#All],MATCH(Table1[[#This Row],[Key_Year_Week_Brand]],Table3[[#All],[Key_Year_Week_Brand]],0),MATCH(Table1[[#This Row],[DC_name_Xref]],Table3[#Headers],0)),0)</f>
        <v>0.15</v>
      </c>
      <c r="O67">
        <f>IFERROR(INDEX(Table35[#All],MATCH(Table1[[#This Row],[Key_Year_Week_Brand]],Table35[[#All],[Key_Year_Month_Brand]],0),MATCH(Table1[[#This Row],[DC_name_Xref]],Table35[#Headers],0)),0)</f>
        <v>346373.39999999997</v>
      </c>
    </row>
    <row r="68" spans="1:15" x14ac:dyDescent="0.3">
      <c r="A68" s="19" t="str">
        <f>Table1[[#This Row],[Year_Week]]&amp;"-"&amp;Table1[[#This Row],[DC_name_Xref]]</f>
        <v>201844-EAO</v>
      </c>
      <c r="B68" s="19" t="str">
        <f>Table1[[#This Row],[Fiscal_Year]]*100+Table1[[#This Row],[Fiscal_Week]] &amp; "-" &amp;Table1[[#This Row],[BRAND]]</f>
        <v>201844-Gap</v>
      </c>
      <c r="C68" t="str">
        <f>Table1[[#This Row],[Fiscal_Year]]&amp;"-"&amp;Table1[[#This Row],[BRAND]]</f>
        <v>2018-Gap</v>
      </c>
      <c r="D68">
        <v>2018</v>
      </c>
      <c r="E68">
        <v>44</v>
      </c>
      <c r="F68" t="s">
        <v>16</v>
      </c>
      <c r="G68" t="s">
        <v>8</v>
      </c>
      <c r="H68">
        <v>4</v>
      </c>
      <c r="I68">
        <v>266</v>
      </c>
      <c r="J68" t="str">
        <f>VLOOKUP(H68,DC_Xref!A:B,2,FALSE)</f>
        <v>EAO</v>
      </c>
      <c r="K68">
        <f t="shared" si="1"/>
        <v>201844</v>
      </c>
      <c r="L68">
        <f>IFERROR(Table1[[#This Row],[Demand]]/SUMIFS(Table1[Demand],Table1[Fiscal_Year],Table1[[#This Row],[Fiscal_Year]],Table1[BRAND],Table1[[#This Row],[BRAND]],Table1[DC_name_Xref],Table1[[#This Row],[DC_name_Xref]]),0)</f>
        <v>0.26787512588116819</v>
      </c>
      <c r="M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1.2010399336706647E-4</v>
      </c>
      <c r="N68" s="3">
        <f>IFERROR(INDEX(Table3[#All],MATCH(Table1[[#This Row],[Key_Year_Week_Brand]],Table3[[#All],[Key_Year_Week_Brand]],0),MATCH(Table1[[#This Row],[DC_name_Xref]],Table3[#Headers],0)),0)</f>
        <v>0</v>
      </c>
      <c r="O68">
        <f>IFERROR(INDEX(Table35[#All],MATCH(Table1[[#This Row],[Key_Year_Week_Brand]],Table35[[#All],[Key_Year_Month_Brand]],0),MATCH(Table1[[#This Row],[DC_name_Xref]],Table35[#Headers],0)),0)</f>
        <v>0</v>
      </c>
    </row>
    <row r="69" spans="1:15" x14ac:dyDescent="0.3">
      <c r="A69" s="19" t="str">
        <f>Table1[[#This Row],[Year_Week]]&amp;"-"&amp;Table1[[#This Row],[DC_name_Xref]]</f>
        <v>201844-FFC-ODC</v>
      </c>
      <c r="B69" s="19" t="str">
        <f>Table1[[#This Row],[Fiscal_Year]]*100+Table1[[#This Row],[Fiscal_Week]] &amp; "-" &amp;Table1[[#This Row],[BRAND]]</f>
        <v>201844-Gap</v>
      </c>
      <c r="C69" t="str">
        <f>Table1[[#This Row],[Fiscal_Year]]&amp;"-"&amp;Table1[[#This Row],[BRAND]]</f>
        <v>2018-Gap</v>
      </c>
      <c r="D69">
        <v>2018</v>
      </c>
      <c r="E69">
        <v>44</v>
      </c>
      <c r="F69" t="s">
        <v>16</v>
      </c>
      <c r="G69" t="s">
        <v>23</v>
      </c>
      <c r="H69">
        <v>5</v>
      </c>
      <c r="I69">
        <v>0</v>
      </c>
      <c r="J69" t="str">
        <f>VLOOKUP(H69,DC_Xref!A:B,2,FALSE)</f>
        <v>FFC-ODC</v>
      </c>
      <c r="K69">
        <f t="shared" si="1"/>
        <v>201844</v>
      </c>
      <c r="L69">
        <f>IFERROR(Table1[[#This Row],[Demand]]/SUMIFS(Table1[Demand],Table1[Fiscal_Year],Table1[[#This Row],[Fiscal_Year]],Table1[BRAND],Table1[[#This Row],[BRAND]],Table1[DC_name_Xref],Table1[[#This Row],[DC_name_Xref]]),0)</f>
        <v>0</v>
      </c>
      <c r="M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9" s="3">
        <f>IFERROR(INDEX(Table3[#All],MATCH(Table1[[#This Row],[Key_Year_Week_Brand]],Table3[[#All],[Key_Year_Week_Brand]],0),MATCH(Table1[[#This Row],[DC_name_Xref]],Table3[#Headers],0)),0)</f>
        <v>0</v>
      </c>
      <c r="O69">
        <f>IFERROR(INDEX(Table35[#All],MATCH(Table1[[#This Row],[Key_Year_Week_Brand]],Table35[[#All],[Key_Year_Month_Brand]],0),MATCH(Table1[[#This Row],[DC_name_Xref]],Table35[#Headers],0)),0)</f>
        <v>0</v>
      </c>
    </row>
    <row r="70" spans="1:15" x14ac:dyDescent="0.3">
      <c r="A70" s="19" t="str">
        <f>Table1[[#This Row],[Year_Week]]&amp;"-"&amp;Table1[[#This Row],[DC_name_Xref]]</f>
        <v>201844-WEO</v>
      </c>
      <c r="B70" s="19" t="str">
        <f>Table1[[#This Row],[Fiscal_Year]]*100+Table1[[#This Row],[Fiscal_Week]] &amp; "-" &amp;Table1[[#This Row],[BRAND]]</f>
        <v>201844-Gap</v>
      </c>
      <c r="C70" t="str">
        <f>Table1[[#This Row],[Fiscal_Year]]&amp;"-"&amp;Table1[[#This Row],[BRAND]]</f>
        <v>2018-Gap</v>
      </c>
      <c r="D70">
        <v>2018</v>
      </c>
      <c r="E70">
        <v>44</v>
      </c>
      <c r="F70" t="s">
        <v>16</v>
      </c>
      <c r="G70" t="s">
        <v>10</v>
      </c>
      <c r="H70">
        <v>6</v>
      </c>
      <c r="I70">
        <v>761359</v>
      </c>
      <c r="J70" t="str">
        <f>VLOOKUP(H70,DC_Xref!A:B,2,FALSE)</f>
        <v>WEO</v>
      </c>
      <c r="K70">
        <f t="shared" si="1"/>
        <v>201844</v>
      </c>
      <c r="L70">
        <f>IFERROR(Table1[[#This Row],[Demand]]/SUMIFS(Table1[Demand],Table1[Fiscal_Year],Table1[[#This Row],[Fiscal_Year]],Table1[BRAND],Table1[[#This Row],[BRAND]],Table1[DC_name_Xref],Table1[[#This Row],[DC_name_Xref]]),0)</f>
        <v>0.30001871769965383</v>
      </c>
      <c r="M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0.30693706393511722</v>
      </c>
      <c r="N70" s="3">
        <f>IFERROR(INDEX(Table3[#All],MATCH(Table1[[#This Row],[Key_Year_Week_Brand]],Table3[[#All],[Key_Year_Week_Brand]],0),MATCH(Table1[[#This Row],[DC_name_Xref]],Table3[#Headers],0)),0)</f>
        <v>0.4</v>
      </c>
      <c r="O70">
        <f>IFERROR(INDEX(Table35[#All],MATCH(Table1[[#This Row],[Key_Year_Week_Brand]],Table35[[#All],[Key_Year_Month_Brand]],0),MATCH(Table1[[#This Row],[DC_name_Xref]],Table35[#Headers],0)),0)</f>
        <v>923662.4</v>
      </c>
    </row>
    <row r="71" spans="1:15" x14ac:dyDescent="0.3">
      <c r="A71" s="19" t="str">
        <f>Table1[[#This Row],[Year_Week]]&amp;"-"&amp;Table1[[#This Row],[DC_name_Xref]]</f>
        <v>201844-OCC</v>
      </c>
      <c r="B71" s="19" t="str">
        <f>Table1[[#This Row],[Fiscal_Year]]*100+Table1[[#This Row],[Fiscal_Week]] &amp; "-" &amp;Table1[[#This Row],[BRAND]]</f>
        <v>201844-Gap</v>
      </c>
      <c r="C71" t="str">
        <f>Table1[[#This Row],[Fiscal_Year]]&amp;"-"&amp;Table1[[#This Row],[BRAND]]</f>
        <v>2018-Gap</v>
      </c>
      <c r="D71">
        <v>2018</v>
      </c>
      <c r="E71">
        <v>44</v>
      </c>
      <c r="F71" t="s">
        <v>16</v>
      </c>
      <c r="G71" t="s">
        <v>11</v>
      </c>
      <c r="H71">
        <v>7</v>
      </c>
      <c r="I71">
        <v>0</v>
      </c>
      <c r="J71" t="str">
        <f>VLOOKUP(H71,DC_Xref!A:B,2,FALSE)</f>
        <v>OCC</v>
      </c>
      <c r="K71">
        <f t="shared" si="1"/>
        <v>201844</v>
      </c>
      <c r="L71">
        <f>IFERROR(Table1[[#This Row],[Demand]]/SUMIFS(Table1[Demand],Table1[Fiscal_Year],Table1[[#This Row],[Fiscal_Year]],Table1[BRAND],Table1[[#This Row],[BRAND]],Table1[DC_name_Xref],Table1[[#This Row],[DC_name_Xref]]),0)</f>
        <v>0</v>
      </c>
      <c r="M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1" s="3">
        <f>IFERROR(INDEX(Table3[#All],MATCH(Table1[[#This Row],[Key_Year_Week_Brand]],Table3[[#All],[Key_Year_Week_Brand]],0),MATCH(Table1[[#This Row],[DC_name_Xref]],Table3[#Headers],0)),0)</f>
        <v>0</v>
      </c>
      <c r="O71">
        <f>IFERROR(INDEX(Table35[#All],MATCH(Table1[[#This Row],[Key_Year_Week_Brand]],Table35[[#All],[Key_Year_Month_Brand]],0),MATCH(Table1[[#This Row],[DC_name_Xref]],Table35[#Headers],0)),0)</f>
        <v>0</v>
      </c>
    </row>
    <row r="72" spans="1:15" x14ac:dyDescent="0.3">
      <c r="A72" s="19" t="str">
        <f>Table1[[#This Row],[Year_Week]]&amp;"-"&amp;Table1[[#This Row],[DC_name_Xref]]</f>
        <v>201844-OFC</v>
      </c>
      <c r="B72" s="19" t="str">
        <f>Table1[[#This Row],[Fiscal_Year]]*100+Table1[[#This Row],[Fiscal_Week]] &amp; "-" &amp;Table1[[#This Row],[BRAND]]</f>
        <v>201844-Old Navy</v>
      </c>
      <c r="C72" t="str">
        <f>Table1[[#This Row],[Fiscal_Year]]&amp;"-"&amp;Table1[[#This Row],[BRAND]]</f>
        <v>2018-Old Navy</v>
      </c>
      <c r="D72">
        <v>2018</v>
      </c>
      <c r="E72">
        <v>44</v>
      </c>
      <c r="F72" t="s">
        <v>20</v>
      </c>
      <c r="G72" t="s">
        <v>5</v>
      </c>
      <c r="H72">
        <v>1</v>
      </c>
      <c r="I72">
        <v>1617459</v>
      </c>
      <c r="J72" t="str">
        <f>VLOOKUP(H72,DC_Xref!A:B,2,FALSE)</f>
        <v>OFC</v>
      </c>
      <c r="K72">
        <f t="shared" si="1"/>
        <v>201844</v>
      </c>
      <c r="L72">
        <f>IFERROR(Table1[[#This Row],[Demand]]/SUMIFS(Table1[Demand],Table1[Fiscal_Year],Table1[[#This Row],[Fiscal_Year]],Table1[BRAND],Table1[[#This Row],[BRAND]],Table1[DC_name_Xref],Table1[[#This Row],[DC_name_Xref]]),0)</f>
        <v>0.29333693870344868</v>
      </c>
      <c r="M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0.29585489044805086</v>
      </c>
      <c r="N72" s="3">
        <f>IFERROR(INDEX(Table3[#All],MATCH(Table1[[#This Row],[Key_Year_Week_Brand]],Table3[[#All],[Key_Year_Week_Brand]],0),MATCH(Table1[[#This Row],[DC_name_Xref]],Table3[#Headers],0)),0)</f>
        <v>0.27</v>
      </c>
      <c r="O72">
        <f>IFERROR(INDEX(Table35[#All],MATCH(Table1[[#This Row],[Key_Year_Week_Brand]],Table35[[#All],[Key_Year_Month_Brand]],0),MATCH(Table1[[#This Row],[DC_name_Xref]],Table35[#Headers],0)),0)</f>
        <v>1458306.99</v>
      </c>
    </row>
    <row r="73" spans="1:15" x14ac:dyDescent="0.3">
      <c r="A73" s="19" t="str">
        <f>Table1[[#This Row],[Year_Week]]&amp;"-"&amp;Table1[[#This Row],[DC_name_Xref]]</f>
        <v>201844-TFC</v>
      </c>
      <c r="B73" s="19" t="str">
        <f>Table1[[#This Row],[Fiscal_Year]]*100+Table1[[#This Row],[Fiscal_Week]] &amp; "-" &amp;Table1[[#This Row],[BRAND]]</f>
        <v>201844-Old Navy</v>
      </c>
      <c r="C73" t="str">
        <f>Table1[[#This Row],[Fiscal_Year]]&amp;"-"&amp;Table1[[#This Row],[BRAND]]</f>
        <v>2018-Old Navy</v>
      </c>
      <c r="D73">
        <v>2018</v>
      </c>
      <c r="E73">
        <v>44</v>
      </c>
      <c r="F73" t="s">
        <v>20</v>
      </c>
      <c r="G73" t="s">
        <v>21</v>
      </c>
      <c r="H73">
        <v>2</v>
      </c>
      <c r="I73">
        <v>638847</v>
      </c>
      <c r="J73" t="str">
        <f>VLOOKUP(H73,DC_Xref!A:B,2,FALSE)</f>
        <v>TFC</v>
      </c>
      <c r="K73">
        <f t="shared" si="1"/>
        <v>201844</v>
      </c>
      <c r="L73">
        <f>IFERROR(Table1[[#This Row],[Demand]]/SUMIFS(Table1[Demand],Table1[Fiscal_Year],Table1[[#This Row],[Fiscal_Year]],Table1[BRAND],Table1[[#This Row],[BRAND]],Table1[DC_name_Xref],Table1[[#This Row],[DC_name_Xref]]),0)</f>
        <v>0.20154987645409367</v>
      </c>
      <c r="M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0.17006954525297244</v>
      </c>
      <c r="N73" s="3">
        <f>IFERROR(INDEX(Table3[#All],MATCH(Table1[[#This Row],[Key_Year_Week_Brand]],Table3[[#All],[Key_Year_Week_Brand]],0),MATCH(Table1[[#This Row],[DC_name_Xref]],Table3[#Headers],0)),0)</f>
        <v>0.25</v>
      </c>
      <c r="O73">
        <f>IFERROR(INDEX(Table35[#All],MATCH(Table1[[#This Row],[Key_Year_Week_Brand]],Table35[[#All],[Key_Year_Month_Brand]],0),MATCH(Table1[[#This Row],[DC_name_Xref]],Table35[#Headers],0)),0)</f>
        <v>1350284.25</v>
      </c>
    </row>
    <row r="74" spans="1:15" x14ac:dyDescent="0.3">
      <c r="A74" s="19" t="str">
        <f>Table1[[#This Row],[Year_Week]]&amp;"-"&amp;Table1[[#This Row],[DC_name_Xref]]</f>
        <v>201844-WFC</v>
      </c>
      <c r="B74" s="19" t="str">
        <f>Table1[[#This Row],[Fiscal_Year]]*100+Table1[[#This Row],[Fiscal_Week]] &amp; "-" &amp;Table1[[#This Row],[BRAND]]</f>
        <v>201844-Old Navy</v>
      </c>
      <c r="C74" t="str">
        <f>Table1[[#This Row],[Fiscal_Year]]&amp;"-"&amp;Table1[[#This Row],[BRAND]]</f>
        <v>2018-Old Navy</v>
      </c>
      <c r="D74">
        <v>2018</v>
      </c>
      <c r="E74">
        <v>44</v>
      </c>
      <c r="F74" t="s">
        <v>20</v>
      </c>
      <c r="G74" t="s">
        <v>7</v>
      </c>
      <c r="H74">
        <v>3</v>
      </c>
      <c r="I74">
        <v>1094999</v>
      </c>
      <c r="J74" t="str">
        <f>VLOOKUP(H74,DC_Xref!A:B,2,FALSE)</f>
        <v>WFC</v>
      </c>
      <c r="K74">
        <f t="shared" si="1"/>
        <v>201844</v>
      </c>
      <c r="L74">
        <f>IFERROR(Table1[[#This Row],[Demand]]/SUMIFS(Table1[Demand],Table1[Fiscal_Year],Table1[[#This Row],[Fiscal_Year]],Table1[BRAND],Table1[[#This Row],[BRAND]],Table1[DC_name_Xref],Table1[[#This Row],[DC_name_Xref]]),0)</f>
        <v>0.29131456148472129</v>
      </c>
      <c r="M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0.20168042879130013</v>
      </c>
      <c r="N74" s="3">
        <f>IFERROR(INDEX(Table3[#All],MATCH(Table1[[#This Row],[Key_Year_Week_Brand]],Table3[[#All],[Key_Year_Week_Brand]],0),MATCH(Table1[[#This Row],[DC_name_Xref]],Table3[#Headers],0)),0)</f>
        <v>0.1</v>
      </c>
      <c r="O74">
        <f>IFERROR(INDEX(Table35[#All],MATCH(Table1[[#This Row],[Key_Year_Week_Brand]],Table35[[#All],[Key_Year_Month_Brand]],0),MATCH(Table1[[#This Row],[DC_name_Xref]],Table35[#Headers],0)),0)</f>
        <v>540113.70000000007</v>
      </c>
    </row>
    <row r="75" spans="1:15" x14ac:dyDescent="0.3">
      <c r="A75" s="19" t="str">
        <f>Table1[[#This Row],[Year_Week]]&amp;"-"&amp;Table1[[#This Row],[DC_name_Xref]]</f>
        <v>201844-EAO</v>
      </c>
      <c r="B75" s="19" t="str">
        <f>Table1[[#This Row],[Fiscal_Year]]*100+Table1[[#This Row],[Fiscal_Week]] &amp; "-" &amp;Table1[[#This Row],[BRAND]]</f>
        <v>201844-Old Navy</v>
      </c>
      <c r="C75" t="str">
        <f>Table1[[#This Row],[Fiscal_Year]]&amp;"-"&amp;Table1[[#This Row],[BRAND]]</f>
        <v>2018-Old Navy</v>
      </c>
      <c r="D75">
        <v>2018</v>
      </c>
      <c r="E75">
        <v>44</v>
      </c>
      <c r="F75" t="s">
        <v>20</v>
      </c>
      <c r="G75" t="s">
        <v>8</v>
      </c>
      <c r="H75">
        <v>4</v>
      </c>
      <c r="I75">
        <v>2049832</v>
      </c>
      <c r="J75" t="str">
        <f>VLOOKUP(H75,DC_Xref!A:B,2,FALSE)</f>
        <v>EAO</v>
      </c>
      <c r="K75">
        <f t="shared" si="1"/>
        <v>201844</v>
      </c>
      <c r="L75">
        <f>IFERROR(Table1[[#This Row],[Demand]]/SUMIFS(Table1[Demand],Table1[Fiscal_Year],Table1[[#This Row],[Fiscal_Year]],Table1[BRAND],Table1[[#This Row],[BRAND]],Table1[DC_name_Xref],Table1[[#This Row],[DC_name_Xref]]),0)</f>
        <v>0.33088405259970272</v>
      </c>
      <c r="M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0.33239513550767658</v>
      </c>
      <c r="N75" s="3">
        <f>IFERROR(INDEX(Table3[#All],MATCH(Table1[[#This Row],[Key_Year_Week_Brand]],Table3[[#All],[Key_Year_Week_Brand]],0),MATCH(Table1[[#This Row],[DC_name_Xref]],Table3[#Headers],0)),0)</f>
        <v>0.28000000000000003</v>
      </c>
      <c r="O75">
        <f>IFERROR(INDEX(Table35[#All],MATCH(Table1[[#This Row],[Key_Year_Week_Brand]],Table35[[#All],[Key_Year_Month_Brand]],0),MATCH(Table1[[#This Row],[DC_name_Xref]],Table35[#Headers],0)),0)</f>
        <v>1512318.36</v>
      </c>
    </row>
    <row r="76" spans="1:15" x14ac:dyDescent="0.3">
      <c r="A76" s="19" t="str">
        <f>Table1[[#This Row],[Year_Week]]&amp;"-"&amp;Table1[[#This Row],[DC_name_Xref]]</f>
        <v>201844-FFC-ODC</v>
      </c>
      <c r="B76" s="19" t="str">
        <f>Table1[[#This Row],[Fiscal_Year]]*100+Table1[[#This Row],[Fiscal_Week]] &amp; "-" &amp;Table1[[#This Row],[BRAND]]</f>
        <v>201844-Old Navy</v>
      </c>
      <c r="C76" t="str">
        <f>Table1[[#This Row],[Fiscal_Year]]&amp;"-"&amp;Table1[[#This Row],[BRAND]]</f>
        <v>2018-Old Navy</v>
      </c>
      <c r="D76">
        <v>2018</v>
      </c>
      <c r="E76">
        <v>44</v>
      </c>
      <c r="F76" t="s">
        <v>20</v>
      </c>
      <c r="G76" t="s">
        <v>23</v>
      </c>
      <c r="H76">
        <v>5</v>
      </c>
      <c r="I76">
        <v>0</v>
      </c>
      <c r="J76" t="str">
        <f>VLOOKUP(H76,DC_Xref!A:B,2,FALSE)</f>
        <v>FFC-ODC</v>
      </c>
      <c r="K76">
        <f t="shared" si="1"/>
        <v>201844</v>
      </c>
      <c r="L76">
        <f>IFERROR(Table1[[#This Row],[Demand]]/SUMIFS(Table1[Demand],Table1[Fiscal_Year],Table1[[#This Row],[Fiscal_Year]],Table1[BRAND],Table1[[#This Row],[BRAND]],Table1[DC_name_Xref],Table1[[#This Row],[DC_name_Xref]]),0)</f>
        <v>0</v>
      </c>
      <c r="M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6" s="3">
        <f>IFERROR(INDEX(Table3[#All],MATCH(Table1[[#This Row],[Key_Year_Week_Brand]],Table3[[#All],[Key_Year_Week_Brand]],0),MATCH(Table1[[#This Row],[DC_name_Xref]],Table3[#Headers],0)),0)</f>
        <v>0</v>
      </c>
      <c r="O76">
        <f>IFERROR(INDEX(Table35[#All],MATCH(Table1[[#This Row],[Key_Year_Week_Brand]],Table35[[#All],[Key_Year_Month_Brand]],0),MATCH(Table1[[#This Row],[DC_name_Xref]],Table35[#Headers],0)),0)</f>
        <v>0</v>
      </c>
    </row>
    <row r="77" spans="1:15" x14ac:dyDescent="0.3">
      <c r="A77" s="19" t="str">
        <f>Table1[[#This Row],[Year_Week]]&amp;"-"&amp;Table1[[#This Row],[DC_name_Xref]]</f>
        <v>201844-WEO</v>
      </c>
      <c r="B77" s="19" t="str">
        <f>Table1[[#This Row],[Fiscal_Year]]*100+Table1[[#This Row],[Fiscal_Week]] &amp; "-" &amp;Table1[[#This Row],[BRAND]]</f>
        <v>201844-Old Navy</v>
      </c>
      <c r="C77" t="str">
        <f>Table1[[#This Row],[Fiscal_Year]]&amp;"-"&amp;Table1[[#This Row],[BRAND]]</f>
        <v>2018-Old Navy</v>
      </c>
      <c r="D77">
        <v>2018</v>
      </c>
      <c r="E77">
        <v>44</v>
      </c>
      <c r="F77" t="s">
        <v>20</v>
      </c>
      <c r="G77" t="s">
        <v>10</v>
      </c>
      <c r="H77">
        <v>6</v>
      </c>
      <c r="I77">
        <v>0</v>
      </c>
      <c r="J77" t="str">
        <f>VLOOKUP(H77,DC_Xref!A:B,2,FALSE)</f>
        <v>WEO</v>
      </c>
      <c r="K77">
        <f t="shared" si="1"/>
        <v>201844</v>
      </c>
      <c r="L77">
        <f>IFERROR(Table1[[#This Row],[Demand]]/SUMIFS(Table1[Demand],Table1[Fiscal_Year],Table1[[#This Row],[Fiscal_Year]],Table1[BRAND],Table1[[#This Row],[BRAND]],Table1[DC_name_Xref],Table1[[#This Row],[DC_name_Xref]]),0)</f>
        <v>0</v>
      </c>
      <c r="M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" s="3">
        <f>IFERROR(INDEX(Table3[#All],MATCH(Table1[[#This Row],[Key_Year_Week_Brand]],Table3[[#All],[Key_Year_Week_Brand]],0),MATCH(Table1[[#This Row],[DC_name_Xref]],Table3[#Headers],0)),0)</f>
        <v>0.1</v>
      </c>
      <c r="O77">
        <f>IFERROR(INDEX(Table35[#All],MATCH(Table1[[#This Row],[Key_Year_Week_Brand]],Table35[[#All],[Key_Year_Month_Brand]],0),MATCH(Table1[[#This Row],[DC_name_Xref]],Table35[#Headers],0)),0)</f>
        <v>540113.70000000007</v>
      </c>
    </row>
    <row r="78" spans="1:15" x14ac:dyDescent="0.3">
      <c r="A78" s="19" t="str">
        <f>Table1[[#This Row],[Year_Week]]&amp;"-"&amp;Table1[[#This Row],[DC_name_Xref]]</f>
        <v>201844-OCC</v>
      </c>
      <c r="B78" s="19" t="str">
        <f>Table1[[#This Row],[Fiscal_Year]]*100+Table1[[#This Row],[Fiscal_Week]] &amp; "-" &amp;Table1[[#This Row],[BRAND]]</f>
        <v>201844-Old Navy</v>
      </c>
      <c r="C78" t="str">
        <f>Table1[[#This Row],[Fiscal_Year]]&amp;"-"&amp;Table1[[#This Row],[BRAND]]</f>
        <v>2018-Old Navy</v>
      </c>
      <c r="D78">
        <v>2018</v>
      </c>
      <c r="E78">
        <v>44</v>
      </c>
      <c r="F78" t="s">
        <v>20</v>
      </c>
      <c r="G78" t="s">
        <v>11</v>
      </c>
      <c r="H78">
        <v>7</v>
      </c>
      <c r="I78">
        <v>0</v>
      </c>
      <c r="J78" t="str">
        <f>VLOOKUP(H78,DC_Xref!A:B,2,FALSE)</f>
        <v>OCC</v>
      </c>
      <c r="K78">
        <f t="shared" si="1"/>
        <v>201844</v>
      </c>
      <c r="L78">
        <f>IFERROR(Table1[[#This Row],[Demand]]/SUMIFS(Table1[Demand],Table1[Fiscal_Year],Table1[[#This Row],[Fiscal_Year]],Table1[BRAND],Table1[[#This Row],[BRAND]],Table1[DC_name_Xref],Table1[[#This Row],[DC_name_Xref]]),0)</f>
        <v>0</v>
      </c>
      <c r="M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8" s="3">
        <f>IFERROR(INDEX(Table3[#All],MATCH(Table1[[#This Row],[Key_Year_Week_Brand]],Table3[[#All],[Key_Year_Week_Brand]],0),MATCH(Table1[[#This Row],[DC_name_Xref]],Table3[#Headers],0)),0)</f>
        <v>0</v>
      </c>
      <c r="O78">
        <f>IFERROR(INDEX(Table35[#All],MATCH(Table1[[#This Row],[Key_Year_Week_Brand]],Table35[[#All],[Key_Year_Month_Brand]],0),MATCH(Table1[[#This Row],[DC_name_Xref]],Table35[#Headers],0)),0)</f>
        <v>0</v>
      </c>
    </row>
    <row r="79" spans="1:15" x14ac:dyDescent="0.3">
      <c r="A79" s="19" t="str">
        <f>Table1[[#This Row],[Year_Week]]&amp;"-"&amp;Table1[[#This Row],[DC_name_Xref]]</f>
        <v>201844-OFC</v>
      </c>
      <c r="B79" s="19" t="str">
        <f>Table1[[#This Row],[Fiscal_Year]]*100+Table1[[#This Row],[Fiscal_Week]] &amp; "-" &amp;Table1[[#This Row],[BRAND]]</f>
        <v>201844-Athleta</v>
      </c>
      <c r="C79" t="str">
        <f>Table1[[#This Row],[Fiscal_Year]]&amp;"-"&amp;Table1[[#This Row],[BRAND]]</f>
        <v>2018-Athleta</v>
      </c>
      <c r="D79">
        <v>2018</v>
      </c>
      <c r="E79">
        <v>44</v>
      </c>
      <c r="F79" t="s">
        <v>19</v>
      </c>
      <c r="G79" t="s">
        <v>5</v>
      </c>
      <c r="H79">
        <v>1</v>
      </c>
      <c r="I79">
        <v>20176</v>
      </c>
      <c r="J79" t="str">
        <f>VLOOKUP(H79,DC_Xref!A:B,2,FALSE)</f>
        <v>OFC</v>
      </c>
      <c r="K79">
        <f t="shared" si="1"/>
        <v>201844</v>
      </c>
      <c r="L79">
        <f>IFERROR(Table1[[#This Row],[Demand]]/SUMIFS(Table1[Demand],Table1[Fiscal_Year],Table1[[#This Row],[Fiscal_Year]],Table1[BRAND],Table1[[#This Row],[BRAND]],Table1[DC_name_Xref],Table1[[#This Row],[DC_name_Xref]]),0)</f>
        <v>0.19519934985149137</v>
      </c>
      <c r="M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0.10136830192084012</v>
      </c>
      <c r="N79" s="3">
        <f>IFERROR(INDEX(Table3[#All],MATCH(Table1[[#This Row],[Key_Year_Week_Brand]],Table3[[#All],[Key_Year_Week_Brand]],0),MATCH(Table1[[#This Row],[DC_name_Xref]],Table3[#Headers],0)),0)</f>
        <v>0</v>
      </c>
      <c r="O79">
        <f>IFERROR(INDEX(Table35[#All],MATCH(Table1[[#This Row],[Key_Year_Week_Brand]],Table35[[#All],[Key_Year_Month_Brand]],0),MATCH(Table1[[#This Row],[DC_name_Xref]],Table35[#Headers],0)),0)</f>
        <v>0</v>
      </c>
    </row>
    <row r="80" spans="1:15" x14ac:dyDescent="0.3">
      <c r="A80" s="19" t="str">
        <f>Table1[[#This Row],[Year_Week]]&amp;"-"&amp;Table1[[#This Row],[DC_name_Xref]]</f>
        <v>201844-TFC</v>
      </c>
      <c r="B80" s="19" t="str">
        <f>Table1[[#This Row],[Fiscal_Year]]*100+Table1[[#This Row],[Fiscal_Week]] &amp; "-" &amp;Table1[[#This Row],[BRAND]]</f>
        <v>201844-Athleta</v>
      </c>
      <c r="C80" t="str">
        <f>Table1[[#This Row],[Fiscal_Year]]&amp;"-"&amp;Table1[[#This Row],[BRAND]]</f>
        <v>2018-Athleta</v>
      </c>
      <c r="D80">
        <v>2018</v>
      </c>
      <c r="E80">
        <v>44</v>
      </c>
      <c r="F80" t="s">
        <v>19</v>
      </c>
      <c r="G80" t="s">
        <v>21</v>
      </c>
      <c r="H80">
        <v>2</v>
      </c>
      <c r="I80">
        <v>212150</v>
      </c>
      <c r="J80" t="str">
        <f>VLOOKUP(H80,DC_Xref!A:B,2,FALSE)</f>
        <v>TFC</v>
      </c>
      <c r="K80">
        <f t="shared" si="1"/>
        <v>201844</v>
      </c>
      <c r="L80">
        <f>IFERROR(Table1[[#This Row],[Demand]]/SUMIFS(Table1[Demand],Table1[Fiscal_Year],Table1[[#This Row],[Fiscal_Year]],Table1[BRAND],Table1[[#This Row],[BRAND]],Table1[DC_name_Xref],Table1[[#This Row],[DC_name_Xref]]),0)</f>
        <v>0.23153857739380221</v>
      </c>
      <c r="M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0.89859737284462049</v>
      </c>
      <c r="N80" s="3">
        <f>IFERROR(INDEX(Table3[#All],MATCH(Table1[[#This Row],[Key_Year_Week_Brand]],Table3[[#All],[Key_Year_Week_Brand]],0),MATCH(Table1[[#This Row],[DC_name_Xref]],Table3[#Headers],0)),0)</f>
        <v>1</v>
      </c>
      <c r="O80">
        <f>IFERROR(INDEX(Table35[#All],MATCH(Table1[[#This Row],[Key_Year_Week_Brand]],Table35[[#All],[Key_Year_Month_Brand]],0),MATCH(Table1[[#This Row],[DC_name_Xref]],Table35[#Headers],0)),0)</f>
        <v>232345</v>
      </c>
    </row>
    <row r="81" spans="1:15" x14ac:dyDescent="0.3">
      <c r="A81" s="19" t="str">
        <f>Table1[[#This Row],[Year_Week]]&amp;"-"&amp;Table1[[#This Row],[DC_name_Xref]]</f>
        <v>201844-WFC</v>
      </c>
      <c r="B81" s="19" t="str">
        <f>Table1[[#This Row],[Fiscal_Year]]*100+Table1[[#This Row],[Fiscal_Week]] &amp; "-" &amp;Table1[[#This Row],[BRAND]]</f>
        <v>201844-Athleta</v>
      </c>
      <c r="C81" t="str">
        <f>Table1[[#This Row],[Fiscal_Year]]&amp;"-"&amp;Table1[[#This Row],[BRAND]]</f>
        <v>2018-Athleta</v>
      </c>
      <c r="D81">
        <v>2018</v>
      </c>
      <c r="E81">
        <v>44</v>
      </c>
      <c r="F81" t="s">
        <v>19</v>
      </c>
      <c r="G81" t="s">
        <v>7</v>
      </c>
      <c r="H81">
        <v>3</v>
      </c>
      <c r="I81">
        <v>0</v>
      </c>
      <c r="J81" t="str">
        <f>VLOOKUP(H81,DC_Xref!A:B,2,FALSE)</f>
        <v>WFC</v>
      </c>
      <c r="K81">
        <f t="shared" si="1"/>
        <v>201844</v>
      </c>
      <c r="L81">
        <f>IFERROR(Table1[[#This Row],[Demand]]/SUMIFS(Table1[Demand],Table1[Fiscal_Year],Table1[[#This Row],[Fiscal_Year]],Table1[BRAND],Table1[[#This Row],[BRAND]],Table1[DC_name_Xref],Table1[[#This Row],[DC_name_Xref]]),0)</f>
        <v>0</v>
      </c>
      <c r="M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1" s="3">
        <f>IFERROR(INDEX(Table3[#All],MATCH(Table1[[#This Row],[Key_Year_Week_Brand]],Table3[[#All],[Key_Year_Week_Brand]],0),MATCH(Table1[[#This Row],[DC_name_Xref]],Table3[#Headers],0)),0)</f>
        <v>0</v>
      </c>
      <c r="O81">
        <f>IFERROR(INDEX(Table35[#All],MATCH(Table1[[#This Row],[Key_Year_Week_Brand]],Table35[[#All],[Key_Year_Month_Brand]],0),MATCH(Table1[[#This Row],[DC_name_Xref]],Table35[#Headers],0)),0)</f>
        <v>0</v>
      </c>
    </row>
    <row r="82" spans="1:15" x14ac:dyDescent="0.3">
      <c r="A82" s="19" t="str">
        <f>Table1[[#This Row],[Year_Week]]&amp;"-"&amp;Table1[[#This Row],[DC_name_Xref]]</f>
        <v>201844-EAO</v>
      </c>
      <c r="B82" s="19" t="str">
        <f>Table1[[#This Row],[Fiscal_Year]]*100+Table1[[#This Row],[Fiscal_Week]] &amp; "-" &amp;Table1[[#This Row],[BRAND]]</f>
        <v>201844-Athleta</v>
      </c>
      <c r="C82" t="str">
        <f>Table1[[#This Row],[Fiscal_Year]]&amp;"-"&amp;Table1[[#This Row],[BRAND]]</f>
        <v>2018-Athleta</v>
      </c>
      <c r="D82">
        <v>2018</v>
      </c>
      <c r="E82">
        <v>44</v>
      </c>
      <c r="F82" t="s">
        <v>19</v>
      </c>
      <c r="G82" t="s">
        <v>8</v>
      </c>
      <c r="H82">
        <v>4</v>
      </c>
      <c r="I82">
        <v>19</v>
      </c>
      <c r="J82" t="str">
        <f>VLOOKUP(H82,DC_Xref!A:B,2,FALSE)</f>
        <v>EAO</v>
      </c>
      <c r="K82">
        <f t="shared" si="1"/>
        <v>201844</v>
      </c>
      <c r="L82">
        <f>IFERROR(Table1[[#This Row],[Demand]]/SUMIFS(Table1[Demand],Table1[Fiscal_Year],Table1[[#This Row],[Fiscal_Year]],Table1[BRAND],Table1[[#This Row],[BRAND]],Table1[DC_name_Xref],Table1[[#This Row],[DC_name_Xref]]),0)</f>
        <v>0.54285714285714282</v>
      </c>
      <c r="M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3.4325234539424002E-5</v>
      </c>
      <c r="N82" s="3">
        <f>IFERROR(INDEX(Table3[#All],MATCH(Table1[[#This Row],[Key_Year_Week_Brand]],Table3[[#All],[Key_Year_Week_Brand]],0),MATCH(Table1[[#This Row],[DC_name_Xref]],Table3[#Headers],0)),0)</f>
        <v>3.447122356821831E-5</v>
      </c>
      <c r="O82">
        <f>IFERROR(INDEX(Table35[#All],MATCH(Table1[[#This Row],[Key_Year_Week_Brand]],Table35[[#All],[Key_Year_Month_Brand]],0),MATCH(Table1[[#This Row],[DC_name_Xref]],Table35[#Headers],0)),0)</f>
        <v>8.0092164399576831</v>
      </c>
    </row>
    <row r="83" spans="1:15" x14ac:dyDescent="0.3">
      <c r="A83" s="19" t="str">
        <f>Table1[[#This Row],[Year_Week]]&amp;"-"&amp;Table1[[#This Row],[DC_name_Xref]]</f>
        <v>201844-FFC-ODC</v>
      </c>
      <c r="B83" s="19" t="str">
        <f>Table1[[#This Row],[Fiscal_Year]]*100+Table1[[#This Row],[Fiscal_Week]] &amp; "-" &amp;Table1[[#This Row],[BRAND]]</f>
        <v>201844-Athleta</v>
      </c>
      <c r="C83" t="str">
        <f>Table1[[#This Row],[Fiscal_Year]]&amp;"-"&amp;Table1[[#This Row],[BRAND]]</f>
        <v>2018-Athleta</v>
      </c>
      <c r="D83">
        <v>2018</v>
      </c>
      <c r="E83">
        <v>44</v>
      </c>
      <c r="F83" t="s">
        <v>19</v>
      </c>
      <c r="G83" t="s">
        <v>23</v>
      </c>
      <c r="H83">
        <v>5</v>
      </c>
      <c r="I83">
        <v>0</v>
      </c>
      <c r="J83" t="str">
        <f>VLOOKUP(H83,DC_Xref!A:B,2,FALSE)</f>
        <v>FFC-ODC</v>
      </c>
      <c r="K83">
        <f t="shared" si="1"/>
        <v>201844</v>
      </c>
      <c r="L83">
        <f>IFERROR(Table1[[#This Row],[Demand]]/SUMIFS(Table1[Demand],Table1[Fiscal_Year],Table1[[#This Row],[Fiscal_Year]],Table1[BRAND],Table1[[#This Row],[BRAND]],Table1[DC_name_Xref],Table1[[#This Row],[DC_name_Xref]]),0)</f>
        <v>0</v>
      </c>
      <c r="M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3" s="3">
        <f>IFERROR(INDEX(Table3[#All],MATCH(Table1[[#This Row],[Key_Year_Week_Brand]],Table3[[#All],[Key_Year_Week_Brand]],0),MATCH(Table1[[#This Row],[DC_name_Xref]],Table3[#Headers],0)),0)</f>
        <v>0</v>
      </c>
      <c r="O83">
        <f>IFERROR(INDEX(Table35[#All],MATCH(Table1[[#This Row],[Key_Year_Week_Brand]],Table35[[#All],[Key_Year_Month_Brand]],0),MATCH(Table1[[#This Row],[DC_name_Xref]],Table35[#Headers],0)),0)</f>
        <v>0</v>
      </c>
    </row>
    <row r="84" spans="1:15" x14ac:dyDescent="0.3">
      <c r="A84" s="19" t="str">
        <f>Table1[[#This Row],[Year_Week]]&amp;"-"&amp;Table1[[#This Row],[DC_name_Xref]]</f>
        <v>201844-WEO</v>
      </c>
      <c r="B84" s="19" t="str">
        <f>Table1[[#This Row],[Fiscal_Year]]*100+Table1[[#This Row],[Fiscal_Week]] &amp; "-" &amp;Table1[[#This Row],[BRAND]]</f>
        <v>201844-Athleta</v>
      </c>
      <c r="C84" t="str">
        <f>Table1[[#This Row],[Fiscal_Year]]&amp;"-"&amp;Table1[[#This Row],[BRAND]]</f>
        <v>2018-Athleta</v>
      </c>
      <c r="D84">
        <v>2018</v>
      </c>
      <c r="E84">
        <v>44</v>
      </c>
      <c r="F84" t="s">
        <v>19</v>
      </c>
      <c r="G84" t="s">
        <v>10</v>
      </c>
      <c r="H84">
        <v>6</v>
      </c>
      <c r="I84">
        <v>0</v>
      </c>
      <c r="J84" t="str">
        <f>VLOOKUP(H84,DC_Xref!A:B,2,FALSE)</f>
        <v>WEO</v>
      </c>
      <c r="K84">
        <f t="shared" si="1"/>
        <v>201844</v>
      </c>
      <c r="L84">
        <f>IFERROR(Table1[[#This Row],[Demand]]/SUMIFS(Table1[Demand],Table1[Fiscal_Year],Table1[[#This Row],[Fiscal_Year]],Table1[BRAND],Table1[[#This Row],[BRAND]],Table1[DC_name_Xref],Table1[[#This Row],[DC_name_Xref]]),0)</f>
        <v>0</v>
      </c>
      <c r="M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" s="3">
        <f>IFERROR(INDEX(Table3[#All],MATCH(Table1[[#This Row],[Key_Year_Week_Brand]],Table3[[#All],[Key_Year_Week_Brand]],0),MATCH(Table1[[#This Row],[DC_name_Xref]],Table3[#Headers],0)),0)</f>
        <v>0</v>
      </c>
      <c r="O84">
        <f>IFERROR(INDEX(Table35[#All],MATCH(Table1[[#This Row],[Key_Year_Week_Brand]],Table35[[#All],[Key_Year_Month_Brand]],0),MATCH(Table1[[#This Row],[DC_name_Xref]],Table35[#Headers],0)),0)</f>
        <v>0</v>
      </c>
    </row>
    <row r="85" spans="1:15" x14ac:dyDescent="0.3">
      <c r="A85" s="19" t="str">
        <f>Table1[[#This Row],[Year_Week]]&amp;"-"&amp;Table1[[#This Row],[DC_name_Xref]]</f>
        <v>201844-OCC</v>
      </c>
      <c r="B85" s="19" t="str">
        <f>Table1[[#This Row],[Fiscal_Year]]*100+Table1[[#This Row],[Fiscal_Week]] &amp; "-" &amp;Table1[[#This Row],[BRAND]]</f>
        <v>201844-Athleta</v>
      </c>
      <c r="C85" t="str">
        <f>Table1[[#This Row],[Fiscal_Year]]&amp;"-"&amp;Table1[[#This Row],[BRAND]]</f>
        <v>2018-Athleta</v>
      </c>
      <c r="D85">
        <v>2018</v>
      </c>
      <c r="E85">
        <v>44</v>
      </c>
      <c r="F85" t="s">
        <v>19</v>
      </c>
      <c r="G85" t="s">
        <v>11</v>
      </c>
      <c r="H85">
        <v>7</v>
      </c>
      <c r="I85">
        <v>0</v>
      </c>
      <c r="J85" t="str">
        <f>VLOOKUP(H85,DC_Xref!A:B,2,FALSE)</f>
        <v>OCC</v>
      </c>
      <c r="K85">
        <f t="shared" si="1"/>
        <v>201844</v>
      </c>
      <c r="L85">
        <f>IFERROR(Table1[[#This Row],[Demand]]/SUMIFS(Table1[Demand],Table1[Fiscal_Year],Table1[[#This Row],[Fiscal_Year]],Table1[BRAND],Table1[[#This Row],[BRAND]],Table1[DC_name_Xref],Table1[[#This Row],[DC_name_Xref]]),0)</f>
        <v>0</v>
      </c>
      <c r="M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5" s="3">
        <f>IFERROR(INDEX(Table3[#All],MATCH(Table1[[#This Row],[Key_Year_Week_Brand]],Table3[[#All],[Key_Year_Week_Brand]],0),MATCH(Table1[[#This Row],[DC_name_Xref]],Table3[#Headers],0)),0)</f>
        <v>0</v>
      </c>
      <c r="O85">
        <f>IFERROR(INDEX(Table35[#All],MATCH(Table1[[#This Row],[Key_Year_Week_Brand]],Table35[[#All],[Key_Year_Month_Brand]],0),MATCH(Table1[[#This Row],[DC_name_Xref]],Table35[#Headers],0)),0)</f>
        <v>0</v>
      </c>
    </row>
    <row r="86" spans="1:15" x14ac:dyDescent="0.3">
      <c r="A86" s="19" t="str">
        <f>Table1[[#This Row],[Year_Week]]&amp;"-"&amp;Table1[[#This Row],[DC_name_Xref]]</f>
        <v>201845-OFC</v>
      </c>
      <c r="B86" s="19" t="str">
        <f>Table1[[#This Row],[Fiscal_Year]]*100+Table1[[#This Row],[Fiscal_Week]] &amp; "-" &amp;Table1[[#This Row],[BRAND]]</f>
        <v>201845-BR Factory Store</v>
      </c>
      <c r="C86" t="str">
        <f>Table1[[#This Row],[Fiscal_Year]]&amp;"-"&amp;Table1[[#This Row],[BRAND]]</f>
        <v>2018-BR Factory Store</v>
      </c>
      <c r="D86">
        <v>2018</v>
      </c>
      <c r="E86">
        <v>45</v>
      </c>
      <c r="F86" t="s">
        <v>17</v>
      </c>
      <c r="G86" t="s">
        <v>5</v>
      </c>
      <c r="H86">
        <v>1</v>
      </c>
      <c r="I86">
        <v>50728</v>
      </c>
      <c r="J86" t="str">
        <f>VLOOKUP(H86,DC_Xref!A:B,2,FALSE)</f>
        <v>OFC</v>
      </c>
      <c r="K86">
        <f t="shared" si="1"/>
        <v>201845</v>
      </c>
      <c r="L86">
        <f>IFERROR(Table1[[#This Row],[Demand]]/SUMIFS(Table1[Demand],Table1[Fiscal_Year],Table1[[#This Row],[Fiscal_Year]],Table1[BRAND],Table1[[#This Row],[BRAND]],Table1[DC_name_Xref],Table1[[#This Row],[DC_name_Xref]]),0)</f>
        <v>7.6750480749591121E-2</v>
      </c>
      <c r="M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86" s="3">
        <f>IFERROR(INDEX(Table3[#All],MATCH(Table1[[#This Row],[Key_Year_Week_Brand]],Table3[[#All],[Key_Year_Week_Brand]],0),MATCH(Table1[[#This Row],[DC_name_Xref]],Table3[#Headers],0)),0)</f>
        <v>1</v>
      </c>
      <c r="O86">
        <f>IFERROR(INDEX(Table35[#All],MATCH(Table1[[#This Row],[Key_Year_Week_Brand]],Table35[[#All],[Key_Year_Month_Brand]],0),MATCH(Table1[[#This Row],[DC_name_Xref]],Table35[#Headers],0)),0)</f>
        <v>50728</v>
      </c>
    </row>
    <row r="87" spans="1:15" x14ac:dyDescent="0.3">
      <c r="A87" s="19" t="str">
        <f>Table1[[#This Row],[Year_Week]]&amp;"-"&amp;Table1[[#This Row],[DC_name_Xref]]</f>
        <v>201845-TFC</v>
      </c>
      <c r="B87" s="19" t="str">
        <f>Table1[[#This Row],[Fiscal_Year]]*100+Table1[[#This Row],[Fiscal_Week]] &amp; "-" &amp;Table1[[#This Row],[BRAND]]</f>
        <v>201845-BR Factory Store</v>
      </c>
      <c r="C87" t="str">
        <f>Table1[[#This Row],[Fiscal_Year]]&amp;"-"&amp;Table1[[#This Row],[BRAND]]</f>
        <v>2018-BR Factory Store</v>
      </c>
      <c r="D87">
        <v>2018</v>
      </c>
      <c r="E87">
        <v>45</v>
      </c>
      <c r="F87" t="s">
        <v>17</v>
      </c>
      <c r="G87" t="s">
        <v>21</v>
      </c>
      <c r="H87">
        <v>2</v>
      </c>
      <c r="I87">
        <v>0</v>
      </c>
      <c r="J87" t="str">
        <f>VLOOKUP(H87,DC_Xref!A:B,2,FALSE)</f>
        <v>TFC</v>
      </c>
      <c r="K87">
        <f t="shared" si="1"/>
        <v>201845</v>
      </c>
      <c r="L87">
        <f>IFERROR(Table1[[#This Row],[Demand]]/SUMIFS(Table1[Demand],Table1[Fiscal_Year],Table1[[#This Row],[Fiscal_Year]],Table1[BRAND],Table1[[#This Row],[BRAND]],Table1[DC_name_Xref],Table1[[#This Row],[DC_name_Xref]]),0)</f>
        <v>0</v>
      </c>
      <c r="M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" s="3">
        <f>IFERROR(INDEX(Table3[#All],MATCH(Table1[[#This Row],[Key_Year_Week_Brand]],Table3[[#All],[Key_Year_Week_Brand]],0),MATCH(Table1[[#This Row],[DC_name_Xref]],Table3[#Headers],0)),0)</f>
        <v>0</v>
      </c>
      <c r="O87">
        <f>IFERROR(INDEX(Table35[#All],MATCH(Table1[[#This Row],[Key_Year_Week_Brand]],Table35[[#All],[Key_Year_Month_Brand]],0),MATCH(Table1[[#This Row],[DC_name_Xref]],Table35[#Headers],0)),0)</f>
        <v>0</v>
      </c>
    </row>
    <row r="88" spans="1:15" x14ac:dyDescent="0.3">
      <c r="A88" s="19" t="str">
        <f>Table1[[#This Row],[Year_Week]]&amp;"-"&amp;Table1[[#This Row],[DC_name_Xref]]</f>
        <v>201845-WFC</v>
      </c>
      <c r="B88" s="19" t="str">
        <f>Table1[[#This Row],[Fiscal_Year]]*100+Table1[[#This Row],[Fiscal_Week]] &amp; "-" &amp;Table1[[#This Row],[BRAND]]</f>
        <v>201845-BR Factory Store</v>
      </c>
      <c r="C88" t="str">
        <f>Table1[[#This Row],[Fiscal_Year]]&amp;"-"&amp;Table1[[#This Row],[BRAND]]</f>
        <v>2018-BR Factory Store</v>
      </c>
      <c r="D88">
        <v>2018</v>
      </c>
      <c r="E88">
        <v>45</v>
      </c>
      <c r="F88" t="s">
        <v>17</v>
      </c>
      <c r="G88" t="s">
        <v>7</v>
      </c>
      <c r="H88">
        <v>3</v>
      </c>
      <c r="I88">
        <v>0</v>
      </c>
      <c r="J88" t="str">
        <f>VLOOKUP(H88,DC_Xref!A:B,2,FALSE)</f>
        <v>WFC</v>
      </c>
      <c r="K88">
        <f t="shared" si="1"/>
        <v>201845</v>
      </c>
      <c r="L88">
        <f>IFERROR(Table1[[#This Row],[Demand]]/SUMIFS(Table1[Demand],Table1[Fiscal_Year],Table1[[#This Row],[Fiscal_Year]],Table1[BRAND],Table1[[#This Row],[BRAND]],Table1[DC_name_Xref],Table1[[#This Row],[DC_name_Xref]]),0)</f>
        <v>0</v>
      </c>
      <c r="M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" s="3">
        <f>IFERROR(INDEX(Table3[#All],MATCH(Table1[[#This Row],[Key_Year_Week_Brand]],Table3[[#All],[Key_Year_Week_Brand]],0),MATCH(Table1[[#This Row],[DC_name_Xref]],Table3[#Headers],0)),0)</f>
        <v>0</v>
      </c>
      <c r="O88">
        <f>IFERROR(INDEX(Table35[#All],MATCH(Table1[[#This Row],[Key_Year_Week_Brand]],Table35[[#All],[Key_Year_Month_Brand]],0),MATCH(Table1[[#This Row],[DC_name_Xref]],Table35[#Headers],0)),0)</f>
        <v>0</v>
      </c>
    </row>
    <row r="89" spans="1:15" x14ac:dyDescent="0.3">
      <c r="A89" s="19" t="str">
        <f>Table1[[#This Row],[Year_Week]]&amp;"-"&amp;Table1[[#This Row],[DC_name_Xref]]</f>
        <v>201845-EAO</v>
      </c>
      <c r="B89" s="19" t="str">
        <f>Table1[[#This Row],[Fiscal_Year]]*100+Table1[[#This Row],[Fiscal_Week]] &amp; "-" &amp;Table1[[#This Row],[BRAND]]</f>
        <v>201845-BR Factory Store</v>
      </c>
      <c r="C89" t="str">
        <f>Table1[[#This Row],[Fiscal_Year]]&amp;"-"&amp;Table1[[#This Row],[BRAND]]</f>
        <v>2018-BR Factory Store</v>
      </c>
      <c r="D89">
        <v>2018</v>
      </c>
      <c r="E89">
        <v>45</v>
      </c>
      <c r="F89" t="s">
        <v>17</v>
      </c>
      <c r="G89" t="s">
        <v>8</v>
      </c>
      <c r="H89">
        <v>4</v>
      </c>
      <c r="I89">
        <v>0</v>
      </c>
      <c r="J89" t="str">
        <f>VLOOKUP(H89,DC_Xref!A:B,2,FALSE)</f>
        <v>EAO</v>
      </c>
      <c r="K89">
        <f t="shared" si="1"/>
        <v>201845</v>
      </c>
      <c r="L89">
        <f>IFERROR(Table1[[#This Row],[Demand]]/SUMIFS(Table1[Demand],Table1[Fiscal_Year],Table1[[#This Row],[Fiscal_Year]],Table1[BRAND],Table1[[#This Row],[BRAND]],Table1[DC_name_Xref],Table1[[#This Row],[DC_name_Xref]]),0)</f>
        <v>0</v>
      </c>
      <c r="M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9" s="3">
        <f>IFERROR(INDEX(Table3[#All],MATCH(Table1[[#This Row],[Key_Year_Week_Brand]],Table3[[#All],[Key_Year_Week_Brand]],0),MATCH(Table1[[#This Row],[DC_name_Xref]],Table3[#Headers],0)),0)</f>
        <v>0</v>
      </c>
      <c r="O89">
        <f>IFERROR(INDEX(Table35[#All],MATCH(Table1[[#This Row],[Key_Year_Week_Brand]],Table35[[#All],[Key_Year_Month_Brand]],0),MATCH(Table1[[#This Row],[DC_name_Xref]],Table35[#Headers],0)),0)</f>
        <v>0</v>
      </c>
    </row>
    <row r="90" spans="1:15" x14ac:dyDescent="0.3">
      <c r="A90" s="19" t="str">
        <f>Table1[[#This Row],[Year_Week]]&amp;"-"&amp;Table1[[#This Row],[DC_name_Xref]]</f>
        <v>201845-FFC-ODC</v>
      </c>
      <c r="B90" s="19" t="str">
        <f>Table1[[#This Row],[Fiscal_Year]]*100+Table1[[#This Row],[Fiscal_Week]] &amp; "-" &amp;Table1[[#This Row],[BRAND]]</f>
        <v>201845-BR Factory Store</v>
      </c>
      <c r="C90" t="str">
        <f>Table1[[#This Row],[Fiscal_Year]]&amp;"-"&amp;Table1[[#This Row],[BRAND]]</f>
        <v>2018-BR Factory Store</v>
      </c>
      <c r="D90">
        <v>2018</v>
      </c>
      <c r="E90">
        <v>45</v>
      </c>
      <c r="F90" t="s">
        <v>17</v>
      </c>
      <c r="G90" t="s">
        <v>23</v>
      </c>
      <c r="H90">
        <v>5</v>
      </c>
      <c r="I90">
        <v>0</v>
      </c>
      <c r="J90" t="str">
        <f>VLOOKUP(H90,DC_Xref!A:B,2,FALSE)</f>
        <v>FFC-ODC</v>
      </c>
      <c r="K90">
        <f t="shared" si="1"/>
        <v>201845</v>
      </c>
      <c r="L90">
        <f>IFERROR(Table1[[#This Row],[Demand]]/SUMIFS(Table1[Demand],Table1[Fiscal_Year],Table1[[#This Row],[Fiscal_Year]],Table1[BRAND],Table1[[#This Row],[BRAND]],Table1[DC_name_Xref],Table1[[#This Row],[DC_name_Xref]]),0)</f>
        <v>0</v>
      </c>
      <c r="M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0" s="3">
        <f>IFERROR(INDEX(Table3[#All],MATCH(Table1[[#This Row],[Key_Year_Week_Brand]],Table3[[#All],[Key_Year_Week_Brand]],0),MATCH(Table1[[#This Row],[DC_name_Xref]],Table3[#Headers],0)),0)</f>
        <v>0</v>
      </c>
      <c r="O90">
        <f>IFERROR(INDEX(Table35[#All],MATCH(Table1[[#This Row],[Key_Year_Week_Brand]],Table35[[#All],[Key_Year_Month_Brand]],0),MATCH(Table1[[#This Row],[DC_name_Xref]],Table35[#Headers],0)),0)</f>
        <v>0</v>
      </c>
    </row>
    <row r="91" spans="1:15" x14ac:dyDescent="0.3">
      <c r="A91" s="19" t="str">
        <f>Table1[[#This Row],[Year_Week]]&amp;"-"&amp;Table1[[#This Row],[DC_name_Xref]]</f>
        <v>201845-WEO</v>
      </c>
      <c r="B91" s="19" t="str">
        <f>Table1[[#This Row],[Fiscal_Year]]*100+Table1[[#This Row],[Fiscal_Week]] &amp; "-" &amp;Table1[[#This Row],[BRAND]]</f>
        <v>201845-BR Factory Store</v>
      </c>
      <c r="C91" t="str">
        <f>Table1[[#This Row],[Fiscal_Year]]&amp;"-"&amp;Table1[[#This Row],[BRAND]]</f>
        <v>2018-BR Factory Store</v>
      </c>
      <c r="D91">
        <v>2018</v>
      </c>
      <c r="E91">
        <v>45</v>
      </c>
      <c r="F91" t="s">
        <v>17</v>
      </c>
      <c r="G91" t="s">
        <v>10</v>
      </c>
      <c r="H91">
        <v>6</v>
      </c>
      <c r="I91">
        <v>0</v>
      </c>
      <c r="J91" t="str">
        <f>VLOOKUP(H91,DC_Xref!A:B,2,FALSE)</f>
        <v>WEO</v>
      </c>
      <c r="K91">
        <f t="shared" si="1"/>
        <v>201845</v>
      </c>
      <c r="L91">
        <f>IFERROR(Table1[[#This Row],[Demand]]/SUMIFS(Table1[Demand],Table1[Fiscal_Year],Table1[[#This Row],[Fiscal_Year]],Table1[BRAND],Table1[[#This Row],[BRAND]],Table1[DC_name_Xref],Table1[[#This Row],[DC_name_Xref]]),0)</f>
        <v>0</v>
      </c>
      <c r="M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" s="3">
        <f>IFERROR(INDEX(Table3[#All],MATCH(Table1[[#This Row],[Key_Year_Week_Brand]],Table3[[#All],[Key_Year_Week_Brand]],0),MATCH(Table1[[#This Row],[DC_name_Xref]],Table3[#Headers],0)),0)</f>
        <v>0</v>
      </c>
      <c r="O91">
        <f>IFERROR(INDEX(Table35[#All],MATCH(Table1[[#This Row],[Key_Year_Week_Brand]],Table35[[#All],[Key_Year_Month_Brand]],0),MATCH(Table1[[#This Row],[DC_name_Xref]],Table35[#Headers],0)),0)</f>
        <v>0</v>
      </c>
    </row>
    <row r="92" spans="1:15" x14ac:dyDescent="0.3">
      <c r="A92" s="19" t="str">
        <f>Table1[[#This Row],[Year_Week]]&amp;"-"&amp;Table1[[#This Row],[DC_name_Xref]]</f>
        <v>201845-OCC</v>
      </c>
      <c r="B92" s="19" t="str">
        <f>Table1[[#This Row],[Fiscal_Year]]*100+Table1[[#This Row],[Fiscal_Week]] &amp; "-" &amp;Table1[[#This Row],[BRAND]]</f>
        <v>201845-BR Factory Store</v>
      </c>
      <c r="C92" t="str">
        <f>Table1[[#This Row],[Fiscal_Year]]&amp;"-"&amp;Table1[[#This Row],[BRAND]]</f>
        <v>2018-BR Factory Store</v>
      </c>
      <c r="D92">
        <v>2018</v>
      </c>
      <c r="E92">
        <v>45</v>
      </c>
      <c r="F92" t="s">
        <v>17</v>
      </c>
      <c r="G92" t="s">
        <v>11</v>
      </c>
      <c r="H92">
        <v>7</v>
      </c>
      <c r="I92">
        <v>0</v>
      </c>
      <c r="J92" t="str">
        <f>VLOOKUP(H92,DC_Xref!A:B,2,FALSE)</f>
        <v>OCC</v>
      </c>
      <c r="K92">
        <f t="shared" si="1"/>
        <v>201845</v>
      </c>
      <c r="L92">
        <f>IFERROR(Table1[[#This Row],[Demand]]/SUMIFS(Table1[Demand],Table1[Fiscal_Year],Table1[[#This Row],[Fiscal_Year]],Table1[BRAND],Table1[[#This Row],[BRAND]],Table1[DC_name_Xref],Table1[[#This Row],[DC_name_Xref]]),0)</f>
        <v>0</v>
      </c>
      <c r="M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" s="3">
        <f>IFERROR(INDEX(Table3[#All],MATCH(Table1[[#This Row],[Key_Year_Week_Brand]],Table3[[#All],[Key_Year_Week_Brand]],0),MATCH(Table1[[#This Row],[DC_name_Xref]],Table3[#Headers],0)),0)</f>
        <v>0</v>
      </c>
      <c r="O92">
        <f>IFERROR(INDEX(Table35[#All],MATCH(Table1[[#This Row],[Key_Year_Week_Brand]],Table35[[#All],[Key_Year_Month_Brand]],0),MATCH(Table1[[#This Row],[DC_name_Xref]],Table35[#Headers],0)),0)</f>
        <v>0</v>
      </c>
    </row>
    <row r="93" spans="1:15" x14ac:dyDescent="0.3">
      <c r="A93" s="19" t="str">
        <f>Table1[[#This Row],[Year_Week]]&amp;"-"&amp;Table1[[#This Row],[DC_name_Xref]]</f>
        <v>201845-OFC</v>
      </c>
      <c r="B93" s="19" t="str">
        <f>Table1[[#This Row],[Fiscal_Year]]*100+Table1[[#This Row],[Fiscal_Week]] &amp; "-" &amp;Table1[[#This Row],[BRAND]]</f>
        <v>201845-Athleta</v>
      </c>
      <c r="C93" t="str">
        <f>Table1[[#This Row],[Fiscal_Year]]&amp;"-"&amp;Table1[[#This Row],[BRAND]]</f>
        <v>2018-Athleta</v>
      </c>
      <c r="D93">
        <v>2018</v>
      </c>
      <c r="E93">
        <v>45</v>
      </c>
      <c r="F93" t="s">
        <v>19</v>
      </c>
      <c r="G93" t="s">
        <v>5</v>
      </c>
      <c r="H93">
        <v>1</v>
      </c>
      <c r="I93">
        <v>16885</v>
      </c>
      <c r="J93" t="str">
        <f>VLOOKUP(H93,DC_Xref!A:B,2,FALSE)</f>
        <v>OFC</v>
      </c>
      <c r="K93">
        <f t="shared" si="1"/>
        <v>201845</v>
      </c>
      <c r="L93">
        <f>IFERROR(Table1[[#This Row],[Demand]]/SUMIFS(Table1[Demand],Table1[Fiscal_Year],Table1[[#This Row],[Fiscal_Year]],Table1[BRAND],Table1[[#This Row],[BRAND]],Table1[DC_name_Xref],Table1[[#This Row],[DC_name_Xref]]),0)</f>
        <v>0.16335948762105629</v>
      </c>
      <c r="M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0.10136830192084012</v>
      </c>
      <c r="N93" s="3">
        <f>IFERROR(INDEX(Table3[#All],MATCH(Table1[[#This Row],[Key_Year_Week_Brand]],Table3[[#All],[Key_Year_Week_Brand]],0),MATCH(Table1[[#This Row],[DC_name_Xref]],Table3[#Headers],0)),0)</f>
        <v>0</v>
      </c>
      <c r="O93">
        <f>IFERROR(INDEX(Table35[#All],MATCH(Table1[[#This Row],[Key_Year_Week_Brand]],Table35[[#All],[Key_Year_Month_Brand]],0),MATCH(Table1[[#This Row],[DC_name_Xref]],Table35[#Headers],0)),0)</f>
        <v>0</v>
      </c>
    </row>
    <row r="94" spans="1:15" x14ac:dyDescent="0.3">
      <c r="A94" s="19" t="str">
        <f>Table1[[#This Row],[Year_Week]]&amp;"-"&amp;Table1[[#This Row],[DC_name_Xref]]</f>
        <v>201845-TFC</v>
      </c>
      <c r="B94" s="19" t="str">
        <f>Table1[[#This Row],[Fiscal_Year]]*100+Table1[[#This Row],[Fiscal_Week]] &amp; "-" &amp;Table1[[#This Row],[BRAND]]</f>
        <v>201845-Athleta</v>
      </c>
      <c r="C94" t="str">
        <f>Table1[[#This Row],[Fiscal_Year]]&amp;"-"&amp;Table1[[#This Row],[BRAND]]</f>
        <v>2018-Athleta</v>
      </c>
      <c r="D94">
        <v>2018</v>
      </c>
      <c r="E94">
        <v>45</v>
      </c>
      <c r="F94" t="s">
        <v>19</v>
      </c>
      <c r="G94" t="s">
        <v>21</v>
      </c>
      <c r="H94">
        <v>2</v>
      </c>
      <c r="I94">
        <v>132373</v>
      </c>
      <c r="J94" t="str">
        <f>VLOOKUP(H94,DC_Xref!A:B,2,FALSE)</f>
        <v>TFC</v>
      </c>
      <c r="K94">
        <f t="shared" si="1"/>
        <v>201845</v>
      </c>
      <c r="L94">
        <f>IFERROR(Table1[[#This Row],[Demand]]/SUMIFS(Table1[Demand],Table1[Fiscal_Year],Table1[[#This Row],[Fiscal_Year]],Table1[BRAND],Table1[[#This Row],[BRAND]],Table1[DC_name_Xref],Table1[[#This Row],[DC_name_Xref]]),0)</f>
        <v>0.14447068633207533</v>
      </c>
      <c r="M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0.89859737284462049</v>
      </c>
      <c r="N94" s="3">
        <f>IFERROR(INDEX(Table3[#All],MATCH(Table1[[#This Row],[Key_Year_Week_Brand]],Table3[[#All],[Key_Year_Week_Brand]],0),MATCH(Table1[[#This Row],[DC_name_Xref]],Table3[#Headers],0)),0)</f>
        <v>1</v>
      </c>
      <c r="O94">
        <f>IFERROR(INDEX(Table35[#All],MATCH(Table1[[#This Row],[Key_Year_Week_Brand]],Table35[[#All],[Key_Year_Month_Brand]],0),MATCH(Table1[[#This Row],[DC_name_Xref]],Table35[#Headers],0)),0)</f>
        <v>149265</v>
      </c>
    </row>
    <row r="95" spans="1:15" x14ac:dyDescent="0.3">
      <c r="A95" s="19" t="str">
        <f>Table1[[#This Row],[Year_Week]]&amp;"-"&amp;Table1[[#This Row],[DC_name_Xref]]</f>
        <v>201845-WFC</v>
      </c>
      <c r="B95" s="19" t="str">
        <f>Table1[[#This Row],[Fiscal_Year]]*100+Table1[[#This Row],[Fiscal_Week]] &amp; "-" &amp;Table1[[#This Row],[BRAND]]</f>
        <v>201845-Athleta</v>
      </c>
      <c r="C95" t="str">
        <f>Table1[[#This Row],[Fiscal_Year]]&amp;"-"&amp;Table1[[#This Row],[BRAND]]</f>
        <v>2018-Athleta</v>
      </c>
      <c r="D95">
        <v>2018</v>
      </c>
      <c r="E95">
        <v>45</v>
      </c>
      <c r="F95" t="s">
        <v>19</v>
      </c>
      <c r="G95" t="s">
        <v>7</v>
      </c>
      <c r="H95">
        <v>3</v>
      </c>
      <c r="I95">
        <v>0</v>
      </c>
      <c r="J95" t="str">
        <f>VLOOKUP(H95,DC_Xref!A:B,2,FALSE)</f>
        <v>WFC</v>
      </c>
      <c r="K95">
        <f t="shared" si="1"/>
        <v>201845</v>
      </c>
      <c r="L95">
        <f>IFERROR(Table1[[#This Row],[Demand]]/SUMIFS(Table1[Demand],Table1[Fiscal_Year],Table1[[#This Row],[Fiscal_Year]],Table1[BRAND],Table1[[#This Row],[BRAND]],Table1[DC_name_Xref],Table1[[#This Row],[DC_name_Xref]]),0)</f>
        <v>0</v>
      </c>
      <c r="M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5" s="3">
        <f>IFERROR(INDEX(Table3[#All],MATCH(Table1[[#This Row],[Key_Year_Week_Brand]],Table3[[#All],[Key_Year_Week_Brand]],0),MATCH(Table1[[#This Row],[DC_name_Xref]],Table3[#Headers],0)),0)</f>
        <v>0</v>
      </c>
      <c r="O95">
        <f>IFERROR(INDEX(Table35[#All],MATCH(Table1[[#This Row],[Key_Year_Week_Brand]],Table35[[#All],[Key_Year_Month_Brand]],0),MATCH(Table1[[#This Row],[DC_name_Xref]],Table35[#Headers],0)),0)</f>
        <v>0</v>
      </c>
    </row>
    <row r="96" spans="1:15" x14ac:dyDescent="0.3">
      <c r="A96" s="19" t="str">
        <f>Table1[[#This Row],[Year_Week]]&amp;"-"&amp;Table1[[#This Row],[DC_name_Xref]]</f>
        <v>201845-EAO</v>
      </c>
      <c r="B96" s="19" t="str">
        <f>Table1[[#This Row],[Fiscal_Year]]*100+Table1[[#This Row],[Fiscal_Week]] &amp; "-" &amp;Table1[[#This Row],[BRAND]]</f>
        <v>201845-Athleta</v>
      </c>
      <c r="C96" t="str">
        <f>Table1[[#This Row],[Fiscal_Year]]&amp;"-"&amp;Table1[[#This Row],[BRAND]]</f>
        <v>2018-Athleta</v>
      </c>
      <c r="D96">
        <v>2018</v>
      </c>
      <c r="E96">
        <v>45</v>
      </c>
      <c r="F96" t="s">
        <v>19</v>
      </c>
      <c r="G96" t="s">
        <v>8</v>
      </c>
      <c r="H96">
        <v>4</v>
      </c>
      <c r="I96">
        <v>7</v>
      </c>
      <c r="J96" t="str">
        <f>VLOOKUP(H96,DC_Xref!A:B,2,FALSE)</f>
        <v>EAO</v>
      </c>
      <c r="K96">
        <f t="shared" si="1"/>
        <v>201845</v>
      </c>
      <c r="L96">
        <f>IFERROR(Table1[[#This Row],[Demand]]/SUMIFS(Table1[Demand],Table1[Fiscal_Year],Table1[[#This Row],[Fiscal_Year]],Table1[BRAND],Table1[[#This Row],[BRAND]],Table1[DC_name_Xref],Table1[[#This Row],[DC_name_Xref]]),0)</f>
        <v>0.2</v>
      </c>
      <c r="M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3.4325234539424002E-5</v>
      </c>
      <c r="N96" s="3">
        <f>IFERROR(INDEX(Table3[#All],MATCH(Table1[[#This Row],[Key_Year_Week_Brand]],Table3[[#All],[Key_Year_Week_Brand]],0),MATCH(Table1[[#This Row],[DC_name_Xref]],Table3[#Headers],0)),0)</f>
        <v>3.447122356821831E-5</v>
      </c>
      <c r="O96">
        <f>IFERROR(INDEX(Table35[#All],MATCH(Table1[[#This Row],[Key_Year_Week_Brand]],Table35[[#All],[Key_Year_Month_Brand]],0),MATCH(Table1[[#This Row],[DC_name_Xref]],Table35[#Headers],0)),0)</f>
        <v>5.1453471859101061</v>
      </c>
    </row>
    <row r="97" spans="1:15" x14ac:dyDescent="0.3">
      <c r="A97" s="19" t="str">
        <f>Table1[[#This Row],[Year_Week]]&amp;"-"&amp;Table1[[#This Row],[DC_name_Xref]]</f>
        <v>201845-FFC-ODC</v>
      </c>
      <c r="B97" s="19" t="str">
        <f>Table1[[#This Row],[Fiscal_Year]]*100+Table1[[#This Row],[Fiscal_Week]] &amp; "-" &amp;Table1[[#This Row],[BRAND]]</f>
        <v>201845-Athleta</v>
      </c>
      <c r="C97" t="str">
        <f>Table1[[#This Row],[Fiscal_Year]]&amp;"-"&amp;Table1[[#This Row],[BRAND]]</f>
        <v>2018-Athleta</v>
      </c>
      <c r="D97">
        <v>2018</v>
      </c>
      <c r="E97">
        <v>45</v>
      </c>
      <c r="F97" t="s">
        <v>19</v>
      </c>
      <c r="G97" t="s">
        <v>23</v>
      </c>
      <c r="H97">
        <v>5</v>
      </c>
      <c r="I97">
        <v>0</v>
      </c>
      <c r="J97" t="str">
        <f>VLOOKUP(H97,DC_Xref!A:B,2,FALSE)</f>
        <v>FFC-ODC</v>
      </c>
      <c r="K97">
        <f t="shared" si="1"/>
        <v>201845</v>
      </c>
      <c r="L97">
        <f>IFERROR(Table1[[#This Row],[Demand]]/SUMIFS(Table1[Demand],Table1[Fiscal_Year],Table1[[#This Row],[Fiscal_Year]],Table1[BRAND],Table1[[#This Row],[BRAND]],Table1[DC_name_Xref],Table1[[#This Row],[DC_name_Xref]]),0)</f>
        <v>0</v>
      </c>
      <c r="M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7" s="3">
        <f>IFERROR(INDEX(Table3[#All],MATCH(Table1[[#This Row],[Key_Year_Week_Brand]],Table3[[#All],[Key_Year_Week_Brand]],0),MATCH(Table1[[#This Row],[DC_name_Xref]],Table3[#Headers],0)),0)</f>
        <v>0</v>
      </c>
      <c r="O97">
        <f>IFERROR(INDEX(Table35[#All],MATCH(Table1[[#This Row],[Key_Year_Week_Brand]],Table35[[#All],[Key_Year_Month_Brand]],0),MATCH(Table1[[#This Row],[DC_name_Xref]],Table35[#Headers],0)),0)</f>
        <v>0</v>
      </c>
    </row>
    <row r="98" spans="1:15" x14ac:dyDescent="0.3">
      <c r="A98" s="19" t="str">
        <f>Table1[[#This Row],[Year_Week]]&amp;"-"&amp;Table1[[#This Row],[DC_name_Xref]]</f>
        <v>201845-WEO</v>
      </c>
      <c r="B98" s="19" t="str">
        <f>Table1[[#This Row],[Fiscal_Year]]*100+Table1[[#This Row],[Fiscal_Week]] &amp; "-" &amp;Table1[[#This Row],[BRAND]]</f>
        <v>201845-Athleta</v>
      </c>
      <c r="C98" t="str">
        <f>Table1[[#This Row],[Fiscal_Year]]&amp;"-"&amp;Table1[[#This Row],[BRAND]]</f>
        <v>2018-Athleta</v>
      </c>
      <c r="D98">
        <v>2018</v>
      </c>
      <c r="E98">
        <v>45</v>
      </c>
      <c r="F98" t="s">
        <v>19</v>
      </c>
      <c r="G98" t="s">
        <v>10</v>
      </c>
      <c r="H98">
        <v>6</v>
      </c>
      <c r="I98">
        <v>0</v>
      </c>
      <c r="J98" t="str">
        <f>VLOOKUP(H98,DC_Xref!A:B,2,FALSE)</f>
        <v>WEO</v>
      </c>
      <c r="K98">
        <f t="shared" si="1"/>
        <v>201845</v>
      </c>
      <c r="L98">
        <f>IFERROR(Table1[[#This Row],[Demand]]/SUMIFS(Table1[Demand],Table1[Fiscal_Year],Table1[[#This Row],[Fiscal_Year]],Table1[BRAND],Table1[[#This Row],[BRAND]],Table1[DC_name_Xref],Table1[[#This Row],[DC_name_Xref]]),0)</f>
        <v>0</v>
      </c>
      <c r="M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" s="3">
        <f>IFERROR(INDEX(Table3[#All],MATCH(Table1[[#This Row],[Key_Year_Week_Brand]],Table3[[#All],[Key_Year_Week_Brand]],0),MATCH(Table1[[#This Row],[DC_name_Xref]],Table3[#Headers],0)),0)</f>
        <v>0</v>
      </c>
      <c r="O98">
        <f>IFERROR(INDEX(Table35[#All],MATCH(Table1[[#This Row],[Key_Year_Week_Brand]],Table35[[#All],[Key_Year_Month_Brand]],0),MATCH(Table1[[#This Row],[DC_name_Xref]],Table35[#Headers],0)),0)</f>
        <v>0</v>
      </c>
    </row>
    <row r="99" spans="1:15" x14ac:dyDescent="0.3">
      <c r="A99" s="19" t="str">
        <f>Table1[[#This Row],[Year_Week]]&amp;"-"&amp;Table1[[#This Row],[DC_name_Xref]]</f>
        <v>201845-OCC</v>
      </c>
      <c r="B99" s="19" t="str">
        <f>Table1[[#This Row],[Fiscal_Year]]*100+Table1[[#This Row],[Fiscal_Week]] &amp; "-" &amp;Table1[[#This Row],[BRAND]]</f>
        <v>201845-Athleta</v>
      </c>
      <c r="C99" t="str">
        <f>Table1[[#This Row],[Fiscal_Year]]&amp;"-"&amp;Table1[[#This Row],[BRAND]]</f>
        <v>2018-Athleta</v>
      </c>
      <c r="D99">
        <v>2018</v>
      </c>
      <c r="E99">
        <v>45</v>
      </c>
      <c r="F99" t="s">
        <v>19</v>
      </c>
      <c r="G99" t="s">
        <v>11</v>
      </c>
      <c r="H99">
        <v>7</v>
      </c>
      <c r="I99">
        <v>0</v>
      </c>
      <c r="J99" t="str">
        <f>VLOOKUP(H99,DC_Xref!A:B,2,FALSE)</f>
        <v>OCC</v>
      </c>
      <c r="K99">
        <f t="shared" si="1"/>
        <v>201845</v>
      </c>
      <c r="L99">
        <f>IFERROR(Table1[[#This Row],[Demand]]/SUMIFS(Table1[Demand],Table1[Fiscal_Year],Table1[[#This Row],[Fiscal_Year]],Table1[BRAND],Table1[[#This Row],[BRAND]],Table1[DC_name_Xref],Table1[[#This Row],[DC_name_Xref]]),0)</f>
        <v>0</v>
      </c>
      <c r="M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9" s="3">
        <f>IFERROR(INDEX(Table3[#All],MATCH(Table1[[#This Row],[Key_Year_Week_Brand]],Table3[[#All],[Key_Year_Week_Brand]],0),MATCH(Table1[[#This Row],[DC_name_Xref]],Table3[#Headers],0)),0)</f>
        <v>0</v>
      </c>
      <c r="O99">
        <f>IFERROR(INDEX(Table35[#All],MATCH(Table1[[#This Row],[Key_Year_Week_Brand]],Table35[[#All],[Key_Year_Month_Brand]],0),MATCH(Table1[[#This Row],[DC_name_Xref]],Table35[#Headers],0)),0)</f>
        <v>0</v>
      </c>
    </row>
    <row r="100" spans="1:15" x14ac:dyDescent="0.3">
      <c r="A100" s="19" t="str">
        <f>Table1[[#This Row],[Year_Week]]&amp;"-"&amp;Table1[[#This Row],[DC_name_Xref]]</f>
        <v>201845-OFC</v>
      </c>
      <c r="B100" s="19" t="str">
        <f>Table1[[#This Row],[Fiscal_Year]]*100+Table1[[#This Row],[Fiscal_Week]] &amp; "-" &amp;Table1[[#This Row],[BRAND]]</f>
        <v>201845-Old Navy</v>
      </c>
      <c r="C100" t="str">
        <f>Table1[[#This Row],[Fiscal_Year]]&amp;"-"&amp;Table1[[#This Row],[BRAND]]</f>
        <v>2018-Old Navy</v>
      </c>
      <c r="D100">
        <v>2018</v>
      </c>
      <c r="E100">
        <v>45</v>
      </c>
      <c r="F100" t="s">
        <v>20</v>
      </c>
      <c r="G100" t="s">
        <v>5</v>
      </c>
      <c r="H100">
        <v>1</v>
      </c>
      <c r="I100">
        <v>830191</v>
      </c>
      <c r="J100" t="str">
        <f>VLOOKUP(H100,DC_Xref!A:B,2,FALSE)</f>
        <v>OFC</v>
      </c>
      <c r="K100">
        <f t="shared" si="1"/>
        <v>201845</v>
      </c>
      <c r="L100">
        <f>IFERROR(Table1[[#This Row],[Demand]]/SUMIFS(Table1[Demand],Table1[Fiscal_Year],Table1[[#This Row],[Fiscal_Year]],Table1[BRAND],Table1[[#This Row],[BRAND]],Table1[DC_name_Xref],Table1[[#This Row],[DC_name_Xref]]),0)</f>
        <v>0.15056065500216992</v>
      </c>
      <c r="M1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0.29585489044805086</v>
      </c>
      <c r="N100" s="3">
        <f>IFERROR(INDEX(Table3[#All],MATCH(Table1[[#This Row],[Key_Year_Week_Brand]],Table3[[#All],[Key_Year_Week_Brand]],0),MATCH(Table1[[#This Row],[DC_name_Xref]],Table3[#Headers],0)),0)</f>
        <v>0.27</v>
      </c>
      <c r="O100">
        <f>IFERROR(INDEX(Table35[#All],MATCH(Table1[[#This Row],[Key_Year_Week_Brand]],Table35[[#All],[Key_Year_Month_Brand]],0),MATCH(Table1[[#This Row],[DC_name_Xref]],Table35[#Headers],0)),0)</f>
        <v>768120.03</v>
      </c>
    </row>
    <row r="101" spans="1:15" x14ac:dyDescent="0.3">
      <c r="A101" s="19" t="str">
        <f>Table1[[#This Row],[Year_Week]]&amp;"-"&amp;Table1[[#This Row],[DC_name_Xref]]</f>
        <v>201845-TFC</v>
      </c>
      <c r="B101" s="19" t="str">
        <f>Table1[[#This Row],[Fiscal_Year]]*100+Table1[[#This Row],[Fiscal_Week]] &amp; "-" &amp;Table1[[#This Row],[BRAND]]</f>
        <v>201845-Old Navy</v>
      </c>
      <c r="C101" t="str">
        <f>Table1[[#This Row],[Fiscal_Year]]&amp;"-"&amp;Table1[[#This Row],[BRAND]]</f>
        <v>2018-Old Navy</v>
      </c>
      <c r="D101">
        <v>2018</v>
      </c>
      <c r="E101">
        <v>45</v>
      </c>
      <c r="F101" t="s">
        <v>20</v>
      </c>
      <c r="G101" t="s">
        <v>21</v>
      </c>
      <c r="H101">
        <v>2</v>
      </c>
      <c r="I101">
        <v>663019</v>
      </c>
      <c r="J101" t="str">
        <f>VLOOKUP(H101,DC_Xref!A:B,2,FALSE)</f>
        <v>TFC</v>
      </c>
      <c r="K101">
        <f t="shared" si="1"/>
        <v>201845</v>
      </c>
      <c r="L101">
        <f>IFERROR(Table1[[#This Row],[Demand]]/SUMIFS(Table1[Demand],Table1[Fiscal_Year],Table1[[#This Row],[Fiscal_Year]],Table1[BRAND],Table1[[#This Row],[BRAND]],Table1[DC_name_Xref],Table1[[#This Row],[DC_name_Xref]]),0)</f>
        <v>0.20917590211226902</v>
      </c>
      <c r="M1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0.17006954525297244</v>
      </c>
      <c r="N101" s="3">
        <f>IFERROR(INDEX(Table3[#All],MATCH(Table1[[#This Row],[Key_Year_Week_Brand]],Table3[[#All],[Key_Year_Week_Brand]],0),MATCH(Table1[[#This Row],[DC_name_Xref]],Table3[#Headers],0)),0)</f>
        <v>0.25</v>
      </c>
      <c r="O101">
        <f>IFERROR(INDEX(Table35[#All],MATCH(Table1[[#This Row],[Key_Year_Week_Brand]],Table35[[#All],[Key_Year_Month_Brand]],0),MATCH(Table1[[#This Row],[DC_name_Xref]],Table35[#Headers],0)),0)</f>
        <v>711222.25</v>
      </c>
    </row>
    <row r="102" spans="1:15" x14ac:dyDescent="0.3">
      <c r="A102" s="19" t="str">
        <f>Table1[[#This Row],[Year_Week]]&amp;"-"&amp;Table1[[#This Row],[DC_name_Xref]]</f>
        <v>201845-WFC</v>
      </c>
      <c r="B102" s="19" t="str">
        <f>Table1[[#This Row],[Fiscal_Year]]*100+Table1[[#This Row],[Fiscal_Week]] &amp; "-" &amp;Table1[[#This Row],[BRAND]]</f>
        <v>201845-Old Navy</v>
      </c>
      <c r="C102" t="str">
        <f>Table1[[#This Row],[Fiscal_Year]]&amp;"-"&amp;Table1[[#This Row],[BRAND]]</f>
        <v>2018-Old Navy</v>
      </c>
      <c r="D102">
        <v>2018</v>
      </c>
      <c r="E102">
        <v>45</v>
      </c>
      <c r="F102" t="s">
        <v>20</v>
      </c>
      <c r="G102" t="s">
        <v>7</v>
      </c>
      <c r="H102">
        <v>3</v>
      </c>
      <c r="I102">
        <v>629534</v>
      </c>
      <c r="J102" t="str">
        <f>VLOOKUP(H102,DC_Xref!A:B,2,FALSE)</f>
        <v>WFC</v>
      </c>
      <c r="K102">
        <f t="shared" si="1"/>
        <v>201845</v>
      </c>
      <c r="L102">
        <f>IFERROR(Table1[[#This Row],[Demand]]/SUMIFS(Table1[Demand],Table1[Fiscal_Year],Table1[[#This Row],[Fiscal_Year]],Table1[BRAND],Table1[[#This Row],[BRAND]],Table1[DC_name_Xref],Table1[[#This Row],[DC_name_Xref]]),0)</f>
        <v>0.16748181610186175</v>
      </c>
      <c r="M1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0.20168042879130013</v>
      </c>
      <c r="N102" s="3">
        <f>IFERROR(INDEX(Table3[#All],MATCH(Table1[[#This Row],[Key_Year_Week_Brand]],Table3[[#All],[Key_Year_Week_Brand]],0),MATCH(Table1[[#This Row],[DC_name_Xref]],Table3[#Headers],0)),0)</f>
        <v>0.1</v>
      </c>
      <c r="O102">
        <f>IFERROR(INDEX(Table35[#All],MATCH(Table1[[#This Row],[Key_Year_Week_Brand]],Table35[[#All],[Key_Year_Month_Brand]],0),MATCH(Table1[[#This Row],[DC_name_Xref]],Table35[#Headers],0)),0)</f>
        <v>284488.90000000002</v>
      </c>
    </row>
    <row r="103" spans="1:15" x14ac:dyDescent="0.3">
      <c r="A103" s="19" t="str">
        <f>Table1[[#This Row],[Year_Week]]&amp;"-"&amp;Table1[[#This Row],[DC_name_Xref]]</f>
        <v>201845-EAO</v>
      </c>
      <c r="B103" s="19" t="str">
        <f>Table1[[#This Row],[Fiscal_Year]]*100+Table1[[#This Row],[Fiscal_Week]] &amp; "-" &amp;Table1[[#This Row],[BRAND]]</f>
        <v>201845-Old Navy</v>
      </c>
      <c r="C103" t="str">
        <f>Table1[[#This Row],[Fiscal_Year]]&amp;"-"&amp;Table1[[#This Row],[BRAND]]</f>
        <v>2018-Old Navy</v>
      </c>
      <c r="D103">
        <v>2018</v>
      </c>
      <c r="E103">
        <v>45</v>
      </c>
      <c r="F103" t="s">
        <v>20</v>
      </c>
      <c r="G103" t="s">
        <v>8</v>
      </c>
      <c r="H103">
        <v>4</v>
      </c>
      <c r="I103">
        <v>722145</v>
      </c>
      <c r="J103" t="str">
        <f>VLOOKUP(H103,DC_Xref!A:B,2,FALSE)</f>
        <v>EAO</v>
      </c>
      <c r="K103">
        <f t="shared" si="1"/>
        <v>201845</v>
      </c>
      <c r="L103">
        <f>IFERROR(Table1[[#This Row],[Demand]]/SUMIFS(Table1[Demand],Table1[Fiscal_Year],Table1[[#This Row],[Fiscal_Year]],Table1[BRAND],Table1[[#This Row],[BRAND]],Table1[DC_name_Xref],Table1[[#This Row],[DC_name_Xref]]),0)</f>
        <v>0.11656870619866035</v>
      </c>
      <c r="M1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0.33239513550767658</v>
      </c>
      <c r="N103" s="3">
        <f>IFERROR(INDEX(Table3[#All],MATCH(Table1[[#This Row],[Key_Year_Week_Brand]],Table3[[#All],[Key_Year_Week_Brand]],0),MATCH(Table1[[#This Row],[DC_name_Xref]],Table3[#Headers],0)),0)</f>
        <v>0.28000000000000003</v>
      </c>
      <c r="O103">
        <f>IFERROR(INDEX(Table35[#All],MATCH(Table1[[#This Row],[Key_Year_Week_Brand]],Table35[[#All],[Key_Year_Month_Brand]],0),MATCH(Table1[[#This Row],[DC_name_Xref]],Table35[#Headers],0)),0)</f>
        <v>796568.92</v>
      </c>
    </row>
    <row r="104" spans="1:15" x14ac:dyDescent="0.3">
      <c r="A104" s="19" t="str">
        <f>Table1[[#This Row],[Year_Week]]&amp;"-"&amp;Table1[[#This Row],[DC_name_Xref]]</f>
        <v>201845-FFC-ODC</v>
      </c>
      <c r="B104" s="19" t="str">
        <f>Table1[[#This Row],[Fiscal_Year]]*100+Table1[[#This Row],[Fiscal_Week]] &amp; "-" &amp;Table1[[#This Row],[BRAND]]</f>
        <v>201845-Old Navy</v>
      </c>
      <c r="C104" t="str">
        <f>Table1[[#This Row],[Fiscal_Year]]&amp;"-"&amp;Table1[[#This Row],[BRAND]]</f>
        <v>2018-Old Navy</v>
      </c>
      <c r="D104">
        <v>2018</v>
      </c>
      <c r="E104">
        <v>45</v>
      </c>
      <c r="F104" t="s">
        <v>20</v>
      </c>
      <c r="G104" t="s">
        <v>23</v>
      </c>
      <c r="H104">
        <v>5</v>
      </c>
      <c r="I104">
        <v>0</v>
      </c>
      <c r="J104" t="str">
        <f>VLOOKUP(H104,DC_Xref!A:B,2,FALSE)</f>
        <v>FFC-ODC</v>
      </c>
      <c r="K104">
        <f t="shared" si="1"/>
        <v>201845</v>
      </c>
      <c r="L104">
        <f>IFERROR(Table1[[#This Row],[Demand]]/SUMIFS(Table1[Demand],Table1[Fiscal_Year],Table1[[#This Row],[Fiscal_Year]],Table1[BRAND],Table1[[#This Row],[BRAND]],Table1[DC_name_Xref],Table1[[#This Row],[DC_name_Xref]]),0)</f>
        <v>0</v>
      </c>
      <c r="M1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" s="3">
        <f>IFERROR(INDEX(Table3[#All],MATCH(Table1[[#This Row],[Key_Year_Week_Brand]],Table3[[#All],[Key_Year_Week_Brand]],0),MATCH(Table1[[#This Row],[DC_name_Xref]],Table3[#Headers],0)),0)</f>
        <v>0</v>
      </c>
      <c r="O104">
        <f>IFERROR(INDEX(Table35[#All],MATCH(Table1[[#This Row],[Key_Year_Week_Brand]],Table35[[#All],[Key_Year_Month_Brand]],0),MATCH(Table1[[#This Row],[DC_name_Xref]],Table35[#Headers],0)),0)</f>
        <v>0</v>
      </c>
    </row>
    <row r="105" spans="1:15" x14ac:dyDescent="0.3">
      <c r="A105" s="19" t="str">
        <f>Table1[[#This Row],[Year_Week]]&amp;"-"&amp;Table1[[#This Row],[DC_name_Xref]]</f>
        <v>201845-WEO</v>
      </c>
      <c r="B105" s="19" t="str">
        <f>Table1[[#This Row],[Fiscal_Year]]*100+Table1[[#This Row],[Fiscal_Week]] &amp; "-" &amp;Table1[[#This Row],[BRAND]]</f>
        <v>201845-Old Navy</v>
      </c>
      <c r="C105" t="str">
        <f>Table1[[#This Row],[Fiscal_Year]]&amp;"-"&amp;Table1[[#This Row],[BRAND]]</f>
        <v>2018-Old Navy</v>
      </c>
      <c r="D105">
        <v>2018</v>
      </c>
      <c r="E105">
        <v>45</v>
      </c>
      <c r="F105" t="s">
        <v>20</v>
      </c>
      <c r="G105" t="s">
        <v>10</v>
      </c>
      <c r="H105">
        <v>6</v>
      </c>
      <c r="I105">
        <v>0</v>
      </c>
      <c r="J105" t="str">
        <f>VLOOKUP(H105,DC_Xref!A:B,2,FALSE)</f>
        <v>WEO</v>
      </c>
      <c r="K105">
        <f t="shared" si="1"/>
        <v>201845</v>
      </c>
      <c r="L105">
        <f>IFERROR(Table1[[#This Row],[Demand]]/SUMIFS(Table1[Demand],Table1[Fiscal_Year],Table1[[#This Row],[Fiscal_Year]],Table1[BRAND],Table1[[#This Row],[BRAND]],Table1[DC_name_Xref],Table1[[#This Row],[DC_name_Xref]]),0)</f>
        <v>0</v>
      </c>
      <c r="M1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5" s="3">
        <f>IFERROR(INDEX(Table3[#All],MATCH(Table1[[#This Row],[Key_Year_Week_Brand]],Table3[[#All],[Key_Year_Week_Brand]],0),MATCH(Table1[[#This Row],[DC_name_Xref]],Table3[#Headers],0)),0)</f>
        <v>0.1</v>
      </c>
      <c r="O105">
        <f>IFERROR(INDEX(Table35[#All],MATCH(Table1[[#This Row],[Key_Year_Week_Brand]],Table35[[#All],[Key_Year_Month_Brand]],0),MATCH(Table1[[#This Row],[DC_name_Xref]],Table35[#Headers],0)),0)</f>
        <v>284488.90000000002</v>
      </c>
    </row>
    <row r="106" spans="1:15" x14ac:dyDescent="0.3">
      <c r="A106" s="19" t="str">
        <f>Table1[[#This Row],[Year_Week]]&amp;"-"&amp;Table1[[#This Row],[DC_name_Xref]]</f>
        <v>201845-OCC</v>
      </c>
      <c r="B106" s="19" t="str">
        <f>Table1[[#This Row],[Fiscal_Year]]*100+Table1[[#This Row],[Fiscal_Week]] &amp; "-" &amp;Table1[[#This Row],[BRAND]]</f>
        <v>201845-Old Navy</v>
      </c>
      <c r="C106" t="str">
        <f>Table1[[#This Row],[Fiscal_Year]]&amp;"-"&amp;Table1[[#This Row],[BRAND]]</f>
        <v>2018-Old Navy</v>
      </c>
      <c r="D106">
        <v>2018</v>
      </c>
      <c r="E106">
        <v>45</v>
      </c>
      <c r="F106" t="s">
        <v>20</v>
      </c>
      <c r="G106" t="s">
        <v>11</v>
      </c>
      <c r="H106">
        <v>7</v>
      </c>
      <c r="I106">
        <v>0</v>
      </c>
      <c r="J106" t="str">
        <f>VLOOKUP(H106,DC_Xref!A:B,2,FALSE)</f>
        <v>OCC</v>
      </c>
      <c r="K106">
        <f t="shared" si="1"/>
        <v>201845</v>
      </c>
      <c r="L106">
        <f>IFERROR(Table1[[#This Row],[Demand]]/SUMIFS(Table1[Demand],Table1[Fiscal_Year],Table1[[#This Row],[Fiscal_Year]],Table1[BRAND],Table1[[#This Row],[BRAND]],Table1[DC_name_Xref],Table1[[#This Row],[DC_name_Xref]]),0)</f>
        <v>0</v>
      </c>
      <c r="M1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" s="3">
        <f>IFERROR(INDEX(Table3[#All],MATCH(Table1[[#This Row],[Key_Year_Week_Brand]],Table3[[#All],[Key_Year_Week_Brand]],0),MATCH(Table1[[#This Row],[DC_name_Xref]],Table3[#Headers],0)),0)</f>
        <v>0</v>
      </c>
      <c r="O106">
        <f>IFERROR(INDEX(Table35[#All],MATCH(Table1[[#This Row],[Key_Year_Week_Brand]],Table35[[#All],[Key_Year_Month_Brand]],0),MATCH(Table1[[#This Row],[DC_name_Xref]],Table35[#Headers],0)),0)</f>
        <v>0</v>
      </c>
    </row>
    <row r="107" spans="1:15" x14ac:dyDescent="0.3">
      <c r="A107" s="19" t="str">
        <f>Table1[[#This Row],[Year_Week]]&amp;"-"&amp;Table1[[#This Row],[DC_name_Xref]]</f>
        <v>201845-OFC</v>
      </c>
      <c r="B107" s="19" t="str">
        <f>Table1[[#This Row],[Fiscal_Year]]*100+Table1[[#This Row],[Fiscal_Week]] &amp; "-" &amp;Table1[[#This Row],[BRAND]]</f>
        <v>201845-Gap</v>
      </c>
      <c r="C107" t="str">
        <f>Table1[[#This Row],[Fiscal_Year]]&amp;"-"&amp;Table1[[#This Row],[BRAND]]</f>
        <v>2018-Gap</v>
      </c>
      <c r="D107">
        <v>2018</v>
      </c>
      <c r="E107">
        <v>45</v>
      </c>
      <c r="F107" t="s">
        <v>16</v>
      </c>
      <c r="G107" t="s">
        <v>5</v>
      </c>
      <c r="H107">
        <v>1</v>
      </c>
      <c r="I107">
        <v>650581</v>
      </c>
      <c r="J107" t="str">
        <f>VLOOKUP(H107,DC_Xref!A:B,2,FALSE)</f>
        <v>OFC</v>
      </c>
      <c r="K107">
        <f t="shared" si="1"/>
        <v>201845</v>
      </c>
      <c r="L107">
        <f>IFERROR(Table1[[#This Row],[Demand]]/SUMIFS(Table1[Demand],Table1[Fiscal_Year],Table1[[#This Row],[Fiscal_Year]],Table1[BRAND],Table1[[#This Row],[BRAND]],Table1[DC_name_Xref],Table1[[#This Row],[DC_name_Xref]]),0)</f>
        <v>0.11762016328093546</v>
      </c>
      <c r="M1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0.66900258652960543</v>
      </c>
      <c r="N107" s="3">
        <f>IFERROR(INDEX(Table3[#All],MATCH(Table1[[#This Row],[Key_Year_Week_Brand]],Table3[[#All],[Key_Year_Week_Brand]],0),MATCH(Table1[[#This Row],[DC_name_Xref]],Table3[#Headers],0)),0)</f>
        <v>0.25</v>
      </c>
      <c r="O107">
        <f>IFERROR(INDEX(Table35[#All],MATCH(Table1[[#This Row],[Key_Year_Week_Brand]],Table35[[#All],[Key_Year_Month_Brand]],0),MATCH(Table1[[#This Row],[DC_name_Xref]],Table35[#Headers],0)),0)</f>
        <v>230838.5</v>
      </c>
    </row>
    <row r="108" spans="1:15" x14ac:dyDescent="0.3">
      <c r="A108" s="19" t="str">
        <f>Table1[[#This Row],[Year_Week]]&amp;"-"&amp;Table1[[#This Row],[DC_name_Xref]]</f>
        <v>201845-TFC</v>
      </c>
      <c r="B108" s="19" t="str">
        <f>Table1[[#This Row],[Fiscal_Year]]*100+Table1[[#This Row],[Fiscal_Week]] &amp; "-" &amp;Table1[[#This Row],[BRAND]]</f>
        <v>201845-Gap</v>
      </c>
      <c r="C108" t="str">
        <f>Table1[[#This Row],[Fiscal_Year]]&amp;"-"&amp;Table1[[#This Row],[BRAND]]</f>
        <v>2018-Gap</v>
      </c>
      <c r="D108">
        <v>2018</v>
      </c>
      <c r="E108">
        <v>45</v>
      </c>
      <c r="F108" t="s">
        <v>16</v>
      </c>
      <c r="G108" t="s">
        <v>21</v>
      </c>
      <c r="H108">
        <v>2</v>
      </c>
      <c r="I108">
        <v>205</v>
      </c>
      <c r="J108" t="str">
        <f>VLOOKUP(H108,DC_Xref!A:B,2,FALSE)</f>
        <v>TFC</v>
      </c>
      <c r="K108">
        <f t="shared" si="1"/>
        <v>201845</v>
      </c>
      <c r="L108">
        <f>IFERROR(Table1[[#This Row],[Demand]]/SUMIFS(Table1[Demand],Table1[Fiscal_Year],Table1[[#This Row],[Fiscal_Year]],Table1[BRAND],Table1[[#This Row],[BRAND]],Table1[DC_name_Xref],Table1[[#This Row],[DC_name_Xref]]),0)</f>
        <v>0.20623742454728369</v>
      </c>
      <c r="M1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1.2022494401496885E-4</v>
      </c>
      <c r="N108" s="3">
        <f>IFERROR(INDEX(Table3[#All],MATCH(Table1[[#This Row],[Key_Year_Week_Brand]],Table3[[#All],[Key_Year_Week_Brand]],0),MATCH(Table1[[#This Row],[DC_name_Xref]],Table3[#Headers],0)),0)</f>
        <v>0.2</v>
      </c>
      <c r="O108">
        <f>IFERROR(INDEX(Table35[#All],MATCH(Table1[[#This Row],[Key_Year_Week_Brand]],Table35[[#All],[Key_Year_Month_Brand]],0),MATCH(Table1[[#This Row],[DC_name_Xref]],Table35[#Headers],0)),0)</f>
        <v>184670.80000000002</v>
      </c>
    </row>
    <row r="109" spans="1:15" x14ac:dyDescent="0.3">
      <c r="A109" s="19" t="str">
        <f>Table1[[#This Row],[Year_Week]]&amp;"-"&amp;Table1[[#This Row],[DC_name_Xref]]</f>
        <v>201845-WFC</v>
      </c>
      <c r="B109" s="19" t="str">
        <f>Table1[[#This Row],[Fiscal_Year]]*100+Table1[[#This Row],[Fiscal_Week]] &amp; "-" &amp;Table1[[#This Row],[BRAND]]</f>
        <v>201845-Gap</v>
      </c>
      <c r="C109" t="str">
        <f>Table1[[#This Row],[Fiscal_Year]]&amp;"-"&amp;Table1[[#This Row],[BRAND]]</f>
        <v>2018-Gap</v>
      </c>
      <c r="D109">
        <v>2018</v>
      </c>
      <c r="E109">
        <v>45</v>
      </c>
      <c r="F109" t="s">
        <v>16</v>
      </c>
      <c r="G109" t="s">
        <v>7</v>
      </c>
      <c r="H109">
        <v>3</v>
      </c>
      <c r="I109">
        <v>16660</v>
      </c>
      <c r="J109" t="str">
        <f>VLOOKUP(H109,DC_Xref!A:B,2,FALSE)</f>
        <v>WFC</v>
      </c>
      <c r="K109">
        <f t="shared" si="1"/>
        <v>201845</v>
      </c>
      <c r="L109">
        <f>IFERROR(Table1[[#This Row],[Demand]]/SUMIFS(Table1[Demand],Table1[Fiscal_Year],Table1[[#This Row],[Fiscal_Year]],Table1[BRAND],Table1[[#This Row],[BRAND]],Table1[DC_name_Xref],Table1[[#This Row],[DC_name_Xref]]),0)</f>
        <v>8.4594292677972985E-2</v>
      </c>
      <c r="M1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2.3820020597895338E-2</v>
      </c>
      <c r="N109" s="3">
        <f>IFERROR(INDEX(Table3[#All],MATCH(Table1[[#This Row],[Key_Year_Week_Brand]],Table3[[#All],[Key_Year_Week_Brand]],0),MATCH(Table1[[#This Row],[DC_name_Xref]],Table3[#Headers],0)),0)</f>
        <v>0.15</v>
      </c>
      <c r="O109">
        <f>IFERROR(INDEX(Table35[#All],MATCH(Table1[[#This Row],[Key_Year_Week_Brand]],Table35[[#All],[Key_Year_Month_Brand]],0),MATCH(Table1[[#This Row],[DC_name_Xref]],Table35[#Headers],0)),0)</f>
        <v>138503.1</v>
      </c>
    </row>
    <row r="110" spans="1:15" x14ac:dyDescent="0.3">
      <c r="A110" s="19" t="str">
        <f>Table1[[#This Row],[Year_Week]]&amp;"-"&amp;Table1[[#This Row],[DC_name_Xref]]</f>
        <v>201845-EAO</v>
      </c>
      <c r="B110" s="19" t="str">
        <f>Table1[[#This Row],[Fiscal_Year]]*100+Table1[[#This Row],[Fiscal_Week]] &amp; "-" &amp;Table1[[#This Row],[BRAND]]</f>
        <v>201845-Gap</v>
      </c>
      <c r="C110" t="str">
        <f>Table1[[#This Row],[Fiscal_Year]]&amp;"-"&amp;Table1[[#This Row],[BRAND]]</f>
        <v>2018-Gap</v>
      </c>
      <c r="D110">
        <v>2018</v>
      </c>
      <c r="E110">
        <v>45</v>
      </c>
      <c r="F110" t="s">
        <v>16</v>
      </c>
      <c r="G110" t="s">
        <v>8</v>
      </c>
      <c r="H110">
        <v>4</v>
      </c>
      <c r="I110">
        <v>94</v>
      </c>
      <c r="J110" t="str">
        <f>VLOOKUP(H110,DC_Xref!A:B,2,FALSE)</f>
        <v>EAO</v>
      </c>
      <c r="K110">
        <f t="shared" si="1"/>
        <v>201845</v>
      </c>
      <c r="L110">
        <f>IFERROR(Table1[[#This Row],[Demand]]/SUMIFS(Table1[Demand],Table1[Fiscal_Year],Table1[[#This Row],[Fiscal_Year]],Table1[BRAND],Table1[[#This Row],[BRAND]],Table1[DC_name_Xref],Table1[[#This Row],[DC_name_Xref]]),0)</f>
        <v>9.4662638469284993E-2</v>
      </c>
      <c r="M1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1.2010399336706647E-4</v>
      </c>
      <c r="N110" s="3">
        <f>IFERROR(INDEX(Table3[#All],MATCH(Table1[[#This Row],[Key_Year_Week_Brand]],Table3[[#All],[Key_Year_Week_Brand]],0),MATCH(Table1[[#This Row],[DC_name_Xref]],Table3[#Headers],0)),0)</f>
        <v>0</v>
      </c>
      <c r="O110">
        <f>IFERROR(INDEX(Table35[#All],MATCH(Table1[[#This Row],[Key_Year_Week_Brand]],Table35[[#All],[Key_Year_Month_Brand]],0),MATCH(Table1[[#This Row],[DC_name_Xref]],Table35[#Headers],0)),0)</f>
        <v>0</v>
      </c>
    </row>
    <row r="111" spans="1:15" x14ac:dyDescent="0.3">
      <c r="A111" s="19" t="str">
        <f>Table1[[#This Row],[Year_Week]]&amp;"-"&amp;Table1[[#This Row],[DC_name_Xref]]</f>
        <v>201845-FFC-ODC</v>
      </c>
      <c r="B111" s="19" t="str">
        <f>Table1[[#This Row],[Fiscal_Year]]*100+Table1[[#This Row],[Fiscal_Week]] &amp; "-" &amp;Table1[[#This Row],[BRAND]]</f>
        <v>201845-Gap</v>
      </c>
      <c r="C111" t="str">
        <f>Table1[[#This Row],[Fiscal_Year]]&amp;"-"&amp;Table1[[#This Row],[BRAND]]</f>
        <v>2018-Gap</v>
      </c>
      <c r="D111">
        <v>2018</v>
      </c>
      <c r="E111">
        <v>45</v>
      </c>
      <c r="F111" t="s">
        <v>16</v>
      </c>
      <c r="G111" t="s">
        <v>23</v>
      </c>
      <c r="H111">
        <v>5</v>
      </c>
      <c r="I111">
        <v>0</v>
      </c>
      <c r="J111" t="str">
        <f>VLOOKUP(H111,DC_Xref!A:B,2,FALSE)</f>
        <v>FFC-ODC</v>
      </c>
      <c r="K111">
        <f t="shared" si="1"/>
        <v>201845</v>
      </c>
      <c r="L111">
        <f>IFERROR(Table1[[#This Row],[Demand]]/SUMIFS(Table1[Demand],Table1[Fiscal_Year],Table1[[#This Row],[Fiscal_Year]],Table1[BRAND],Table1[[#This Row],[BRAND]],Table1[DC_name_Xref],Table1[[#This Row],[DC_name_Xref]]),0)</f>
        <v>0</v>
      </c>
      <c r="M1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1" s="3">
        <f>IFERROR(INDEX(Table3[#All],MATCH(Table1[[#This Row],[Key_Year_Week_Brand]],Table3[[#All],[Key_Year_Week_Brand]],0),MATCH(Table1[[#This Row],[DC_name_Xref]],Table3[#Headers],0)),0)</f>
        <v>0</v>
      </c>
      <c r="O111">
        <f>IFERROR(INDEX(Table35[#All],MATCH(Table1[[#This Row],[Key_Year_Week_Brand]],Table35[[#All],[Key_Year_Month_Brand]],0),MATCH(Table1[[#This Row],[DC_name_Xref]],Table35[#Headers],0)),0)</f>
        <v>0</v>
      </c>
    </row>
    <row r="112" spans="1:15" x14ac:dyDescent="0.3">
      <c r="A112" s="19" t="str">
        <f>Table1[[#This Row],[Year_Week]]&amp;"-"&amp;Table1[[#This Row],[DC_name_Xref]]</f>
        <v>201845-WEO</v>
      </c>
      <c r="B112" s="19" t="str">
        <f>Table1[[#This Row],[Fiscal_Year]]*100+Table1[[#This Row],[Fiscal_Week]] &amp; "-" &amp;Table1[[#This Row],[BRAND]]</f>
        <v>201845-Gap</v>
      </c>
      <c r="C112" t="str">
        <f>Table1[[#This Row],[Fiscal_Year]]&amp;"-"&amp;Table1[[#This Row],[BRAND]]</f>
        <v>2018-Gap</v>
      </c>
      <c r="D112">
        <v>2018</v>
      </c>
      <c r="E112">
        <v>45</v>
      </c>
      <c r="F112" t="s">
        <v>16</v>
      </c>
      <c r="G112" t="s">
        <v>10</v>
      </c>
      <c r="H112">
        <v>6</v>
      </c>
      <c r="I112">
        <v>255814</v>
      </c>
      <c r="J112" t="str">
        <f>VLOOKUP(H112,DC_Xref!A:B,2,FALSE)</f>
        <v>WEO</v>
      </c>
      <c r="K112">
        <f t="shared" si="1"/>
        <v>201845</v>
      </c>
      <c r="L112">
        <f>IFERROR(Table1[[#This Row],[Demand]]/SUMIFS(Table1[Demand],Table1[Fiscal_Year],Table1[[#This Row],[Fiscal_Year]],Table1[BRAND],Table1[[#This Row],[BRAND]],Table1[DC_name_Xref],Table1[[#This Row],[DC_name_Xref]]),0)</f>
        <v>0.10080525514194913</v>
      </c>
      <c r="M1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0.30693706393511722</v>
      </c>
      <c r="N112" s="3">
        <f>IFERROR(INDEX(Table3[#All],MATCH(Table1[[#This Row],[Key_Year_Week_Brand]],Table3[[#All],[Key_Year_Week_Brand]],0),MATCH(Table1[[#This Row],[DC_name_Xref]],Table3[#Headers],0)),0)</f>
        <v>0.4</v>
      </c>
      <c r="O112">
        <f>IFERROR(INDEX(Table35[#All],MATCH(Table1[[#This Row],[Key_Year_Week_Brand]],Table35[[#All],[Key_Year_Month_Brand]],0),MATCH(Table1[[#This Row],[DC_name_Xref]],Table35[#Headers],0)),0)</f>
        <v>369341.60000000003</v>
      </c>
    </row>
    <row r="113" spans="1:15" x14ac:dyDescent="0.3">
      <c r="A113" s="19" t="str">
        <f>Table1[[#This Row],[Year_Week]]&amp;"-"&amp;Table1[[#This Row],[DC_name_Xref]]</f>
        <v>201845-OCC</v>
      </c>
      <c r="B113" s="19" t="str">
        <f>Table1[[#This Row],[Fiscal_Year]]*100+Table1[[#This Row],[Fiscal_Week]] &amp; "-" &amp;Table1[[#This Row],[BRAND]]</f>
        <v>201845-Gap</v>
      </c>
      <c r="C113" t="str">
        <f>Table1[[#This Row],[Fiscal_Year]]&amp;"-"&amp;Table1[[#This Row],[BRAND]]</f>
        <v>2018-Gap</v>
      </c>
      <c r="D113">
        <v>2018</v>
      </c>
      <c r="E113">
        <v>45</v>
      </c>
      <c r="F113" t="s">
        <v>16</v>
      </c>
      <c r="G113" t="s">
        <v>11</v>
      </c>
      <c r="H113">
        <v>7</v>
      </c>
      <c r="I113">
        <v>0</v>
      </c>
      <c r="J113" t="str">
        <f>VLOOKUP(H113,DC_Xref!A:B,2,FALSE)</f>
        <v>OCC</v>
      </c>
      <c r="K113">
        <f t="shared" si="1"/>
        <v>201845</v>
      </c>
      <c r="L113">
        <f>IFERROR(Table1[[#This Row],[Demand]]/SUMIFS(Table1[Demand],Table1[Fiscal_Year],Table1[[#This Row],[Fiscal_Year]],Table1[BRAND],Table1[[#This Row],[BRAND]],Table1[DC_name_Xref],Table1[[#This Row],[DC_name_Xref]]),0)</f>
        <v>0</v>
      </c>
      <c r="M1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3" s="3">
        <f>IFERROR(INDEX(Table3[#All],MATCH(Table1[[#This Row],[Key_Year_Week_Brand]],Table3[[#All],[Key_Year_Week_Brand]],0),MATCH(Table1[[#This Row],[DC_name_Xref]],Table3[#Headers],0)),0)</f>
        <v>0</v>
      </c>
      <c r="O113">
        <f>IFERROR(INDEX(Table35[#All],MATCH(Table1[[#This Row],[Key_Year_Week_Brand]],Table35[[#All],[Key_Year_Month_Brand]],0),MATCH(Table1[[#This Row],[DC_name_Xref]],Table35[#Headers],0)),0)</f>
        <v>0</v>
      </c>
    </row>
    <row r="114" spans="1:15" x14ac:dyDescent="0.3">
      <c r="A114" s="19" t="str">
        <f>Table1[[#This Row],[Year_Week]]&amp;"-"&amp;Table1[[#This Row],[DC_name_Xref]]</f>
        <v>201845-OFC</v>
      </c>
      <c r="B114" s="19" t="str">
        <f>Table1[[#This Row],[Fiscal_Year]]*100+Table1[[#This Row],[Fiscal_Week]] &amp; "-" &amp;Table1[[#This Row],[BRAND]]</f>
        <v>201845-Banana Republic</v>
      </c>
      <c r="C114" t="str">
        <f>Table1[[#This Row],[Fiscal_Year]]&amp;"-"&amp;Table1[[#This Row],[BRAND]]</f>
        <v>2018-Banana Republic</v>
      </c>
      <c r="D114">
        <v>2018</v>
      </c>
      <c r="E114">
        <v>45</v>
      </c>
      <c r="F114" t="s">
        <v>18</v>
      </c>
      <c r="G114" t="s">
        <v>5</v>
      </c>
      <c r="H114">
        <v>1</v>
      </c>
      <c r="I114">
        <v>6081</v>
      </c>
      <c r="J114" t="str">
        <f>VLOOKUP(H114,DC_Xref!A:B,2,FALSE)</f>
        <v>OFC</v>
      </c>
      <c r="K114">
        <f t="shared" si="1"/>
        <v>201845</v>
      </c>
      <c r="L114">
        <f>IFERROR(Table1[[#This Row],[Demand]]/SUMIFS(Table1[Demand],Table1[Fiscal_Year],Table1[[#This Row],[Fiscal_Year]],Table1[BRAND],Table1[[#This Row],[BRAND]],Table1[DC_name_Xref],Table1[[#This Row],[DC_name_Xref]]),0)</f>
        <v>0.17763042589238767</v>
      </c>
      <c r="M1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2.132932922954231E-2</v>
      </c>
      <c r="N114" s="3">
        <f>IFERROR(INDEX(Table3[#All],MATCH(Table1[[#This Row],[Key_Year_Week_Brand]],Table3[[#All],[Key_Year_Week_Brand]],0),MATCH(Table1[[#This Row],[DC_name_Xref]],Table3[#Headers],0)),0)</f>
        <v>0</v>
      </c>
      <c r="O114">
        <f>IFERROR(INDEX(Table35[#All],MATCH(Table1[[#This Row],[Key_Year_Week_Brand]],Table35[[#All],[Key_Year_Month_Brand]],0),MATCH(Table1[[#This Row],[DC_name_Xref]],Table35[#Headers],0)),0)</f>
        <v>0</v>
      </c>
    </row>
    <row r="115" spans="1:15" x14ac:dyDescent="0.3">
      <c r="A115" s="19" t="str">
        <f>Table1[[#This Row],[Year_Week]]&amp;"-"&amp;Table1[[#This Row],[DC_name_Xref]]</f>
        <v>201845-TFC</v>
      </c>
      <c r="B115" s="19" t="str">
        <f>Table1[[#This Row],[Fiscal_Year]]*100+Table1[[#This Row],[Fiscal_Week]] &amp; "-" &amp;Table1[[#This Row],[BRAND]]</f>
        <v>201845-Banana Republic</v>
      </c>
      <c r="C115" t="str">
        <f>Table1[[#This Row],[Fiscal_Year]]&amp;"-"&amp;Table1[[#This Row],[BRAND]]</f>
        <v>2018-Banana Republic</v>
      </c>
      <c r="D115">
        <v>2018</v>
      </c>
      <c r="E115">
        <v>45</v>
      </c>
      <c r="F115" t="s">
        <v>18</v>
      </c>
      <c r="G115" t="s">
        <v>21</v>
      </c>
      <c r="H115">
        <v>2</v>
      </c>
      <c r="I115">
        <v>203969</v>
      </c>
      <c r="J115" t="str">
        <f>VLOOKUP(H115,DC_Xref!A:B,2,FALSE)</f>
        <v>TFC</v>
      </c>
      <c r="K115">
        <f t="shared" si="1"/>
        <v>201845</v>
      </c>
      <c r="L115">
        <f>IFERROR(Table1[[#This Row],[Demand]]/SUMIFS(Table1[Demand],Table1[Fiscal_Year],Table1[[#This Row],[Fiscal_Year]],Table1[BRAND],Table1[[#This Row],[BRAND]],Table1[DC_name_Xref],Table1[[#This Row],[DC_name_Xref]]),0)</f>
        <v>0.12985750429422543</v>
      </c>
      <c r="M1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0.97862581151636741</v>
      </c>
      <c r="N115" s="3">
        <f>IFERROR(INDEX(Table3[#All],MATCH(Table1[[#This Row],[Key_Year_Week_Brand]],Table3[[#All],[Key_Year_Week_Brand]],0),MATCH(Table1[[#This Row],[DC_name_Xref]],Table3[#Headers],0)),0)</f>
        <v>1</v>
      </c>
      <c r="O115">
        <f>IFERROR(INDEX(Table35[#All],MATCH(Table1[[#This Row],[Key_Year_Week_Brand]],Table35[[#All],[Key_Year_Month_Brand]],0),MATCH(Table1[[#This Row],[DC_name_Xref]],Table35[#Headers],0)),0)</f>
        <v>210058</v>
      </c>
    </row>
    <row r="116" spans="1:15" x14ac:dyDescent="0.3">
      <c r="A116" s="19" t="str">
        <f>Table1[[#This Row],[Year_Week]]&amp;"-"&amp;Table1[[#This Row],[DC_name_Xref]]</f>
        <v>201845-WFC</v>
      </c>
      <c r="B116" s="19" t="str">
        <f>Table1[[#This Row],[Fiscal_Year]]*100+Table1[[#This Row],[Fiscal_Week]] &amp; "-" &amp;Table1[[#This Row],[BRAND]]</f>
        <v>201845-Banana Republic</v>
      </c>
      <c r="C116" t="str">
        <f>Table1[[#This Row],[Fiscal_Year]]&amp;"-"&amp;Table1[[#This Row],[BRAND]]</f>
        <v>2018-Banana Republic</v>
      </c>
      <c r="D116">
        <v>2018</v>
      </c>
      <c r="E116">
        <v>45</v>
      </c>
      <c r="F116" t="s">
        <v>18</v>
      </c>
      <c r="G116" t="s">
        <v>7</v>
      </c>
      <c r="H116">
        <v>3</v>
      </c>
      <c r="I116">
        <v>2</v>
      </c>
      <c r="J116" t="str">
        <f>VLOOKUP(H116,DC_Xref!A:B,2,FALSE)</f>
        <v>WFC</v>
      </c>
      <c r="K116">
        <f t="shared" si="1"/>
        <v>201845</v>
      </c>
      <c r="L116">
        <f>IFERROR(Table1[[#This Row],[Demand]]/SUMIFS(Table1[Demand],Table1[Fiscal_Year],Table1[[#This Row],[Fiscal_Year]],Table1[BRAND],Table1[[#This Row],[BRAND]],Table1[DC_name_Xref],Table1[[#This Row],[DC_name_Xref]]),0)</f>
        <v>0.4</v>
      </c>
      <c r="M1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3.11522597849248E-6</v>
      </c>
      <c r="N116" s="3">
        <f>IFERROR(INDEX(Table3[#All],MATCH(Table1[[#This Row],[Key_Year_Week_Brand]],Table3[[#All],[Key_Year_Week_Brand]],0),MATCH(Table1[[#This Row],[DC_name_Xref]],Table3[#Headers],0)),0)</f>
        <v>3.4959629396853166E-6</v>
      </c>
      <c r="O116">
        <f>IFERROR(INDEX(Table35[#All],MATCH(Table1[[#This Row],[Key_Year_Week_Brand]],Table35[[#All],[Key_Year_Month_Brand]],0),MATCH(Table1[[#This Row],[DC_name_Xref]],Table35[#Headers],0)),0)</f>
        <v>0.73435498318441828</v>
      </c>
    </row>
    <row r="117" spans="1:15" x14ac:dyDescent="0.3">
      <c r="A117" s="19" t="str">
        <f>Table1[[#This Row],[Year_Week]]&amp;"-"&amp;Table1[[#This Row],[DC_name_Xref]]</f>
        <v>201845-EAO</v>
      </c>
      <c r="B117" s="19" t="str">
        <f>Table1[[#This Row],[Fiscal_Year]]*100+Table1[[#This Row],[Fiscal_Week]] &amp; "-" &amp;Table1[[#This Row],[BRAND]]</f>
        <v>201845-Banana Republic</v>
      </c>
      <c r="C117" t="str">
        <f>Table1[[#This Row],[Fiscal_Year]]&amp;"-"&amp;Table1[[#This Row],[BRAND]]</f>
        <v>2018-Banana Republic</v>
      </c>
      <c r="D117">
        <v>2018</v>
      </c>
      <c r="E117">
        <v>45</v>
      </c>
      <c r="F117" t="s">
        <v>18</v>
      </c>
      <c r="G117" t="s">
        <v>8</v>
      </c>
      <c r="H117">
        <v>4</v>
      </c>
      <c r="I117">
        <v>6</v>
      </c>
      <c r="J117" t="str">
        <f>VLOOKUP(H117,DC_Xref!A:B,2,FALSE)</f>
        <v>EAO</v>
      </c>
      <c r="K117">
        <f t="shared" si="1"/>
        <v>201845</v>
      </c>
      <c r="L117">
        <f>IFERROR(Table1[[#This Row],[Demand]]/SUMIFS(Table1[Demand],Table1[Fiscal_Year],Table1[[#This Row],[Fiscal_Year]],Table1[BRAND],Table1[[#This Row],[BRAND]],Table1[DC_name_Xref],Table1[[#This Row],[DC_name_Xref]]),0)</f>
        <v>8.9552238805970144E-2</v>
      </c>
      <c r="M1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4.174402811179923E-5</v>
      </c>
      <c r="N117" s="3">
        <f>IFERROR(INDEX(Table3[#All],MATCH(Table1[[#This Row],[Key_Year_Week_Brand]],Table3[[#All],[Key_Year_Week_Brand]],0),MATCH(Table1[[#This Row],[DC_name_Xref]],Table3[#Headers],0)),0)</f>
        <v>4.2339995602855504E-5</v>
      </c>
      <c r="O117">
        <f>IFERROR(INDEX(Table35[#All],MATCH(Table1[[#This Row],[Key_Year_Week_Brand]],Table35[[#All],[Key_Year_Month_Brand]],0),MATCH(Table1[[#This Row],[DC_name_Xref]],Table35[#Headers],0)),0)</f>
        <v>8.8938547963446215</v>
      </c>
    </row>
    <row r="118" spans="1:15" x14ac:dyDescent="0.3">
      <c r="A118" s="19" t="str">
        <f>Table1[[#This Row],[Year_Week]]&amp;"-"&amp;Table1[[#This Row],[DC_name_Xref]]</f>
        <v>201845-FFC-ODC</v>
      </c>
      <c r="B118" s="19" t="str">
        <f>Table1[[#This Row],[Fiscal_Year]]*100+Table1[[#This Row],[Fiscal_Week]] &amp; "-" &amp;Table1[[#This Row],[BRAND]]</f>
        <v>201845-Banana Republic</v>
      </c>
      <c r="C118" t="str">
        <f>Table1[[#This Row],[Fiscal_Year]]&amp;"-"&amp;Table1[[#This Row],[BRAND]]</f>
        <v>2018-Banana Republic</v>
      </c>
      <c r="D118">
        <v>2018</v>
      </c>
      <c r="E118">
        <v>45</v>
      </c>
      <c r="F118" t="s">
        <v>18</v>
      </c>
      <c r="G118" t="s">
        <v>23</v>
      </c>
      <c r="H118">
        <v>5</v>
      </c>
      <c r="I118">
        <v>0</v>
      </c>
      <c r="J118" t="str">
        <f>VLOOKUP(H118,DC_Xref!A:B,2,FALSE)</f>
        <v>FFC-ODC</v>
      </c>
      <c r="K118">
        <f t="shared" si="1"/>
        <v>201845</v>
      </c>
      <c r="L118">
        <f>IFERROR(Table1[[#This Row],[Demand]]/SUMIFS(Table1[Demand],Table1[Fiscal_Year],Table1[[#This Row],[Fiscal_Year]],Table1[BRAND],Table1[[#This Row],[BRAND]],Table1[DC_name_Xref],Table1[[#This Row],[DC_name_Xref]]),0)</f>
        <v>0</v>
      </c>
      <c r="M1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8" s="3">
        <f>IFERROR(INDEX(Table3[#All],MATCH(Table1[[#This Row],[Key_Year_Week_Brand]],Table3[[#All],[Key_Year_Week_Brand]],0),MATCH(Table1[[#This Row],[DC_name_Xref]],Table3[#Headers],0)),0)</f>
        <v>0</v>
      </c>
      <c r="O118">
        <f>IFERROR(INDEX(Table35[#All],MATCH(Table1[[#This Row],[Key_Year_Week_Brand]],Table35[[#All],[Key_Year_Month_Brand]],0),MATCH(Table1[[#This Row],[DC_name_Xref]],Table35[#Headers],0)),0)</f>
        <v>0</v>
      </c>
    </row>
    <row r="119" spans="1:15" x14ac:dyDescent="0.3">
      <c r="A119" s="19" t="str">
        <f>Table1[[#This Row],[Year_Week]]&amp;"-"&amp;Table1[[#This Row],[DC_name_Xref]]</f>
        <v>201845-WEO</v>
      </c>
      <c r="B119" s="19" t="str">
        <f>Table1[[#This Row],[Fiscal_Year]]*100+Table1[[#This Row],[Fiscal_Week]] &amp; "-" &amp;Table1[[#This Row],[BRAND]]</f>
        <v>201845-Banana Republic</v>
      </c>
      <c r="C119" t="str">
        <f>Table1[[#This Row],[Fiscal_Year]]&amp;"-"&amp;Table1[[#This Row],[BRAND]]</f>
        <v>2018-Banana Republic</v>
      </c>
      <c r="D119">
        <v>2018</v>
      </c>
      <c r="E119">
        <v>45</v>
      </c>
      <c r="F119" t="s">
        <v>18</v>
      </c>
      <c r="G119" t="s">
        <v>10</v>
      </c>
      <c r="H119">
        <v>6</v>
      </c>
      <c r="I119">
        <v>0</v>
      </c>
      <c r="J119" t="str">
        <f>VLOOKUP(H119,DC_Xref!A:B,2,FALSE)</f>
        <v>WEO</v>
      </c>
      <c r="K119">
        <f t="shared" si="1"/>
        <v>201845</v>
      </c>
      <c r="L119">
        <f>IFERROR(Table1[[#This Row],[Demand]]/SUMIFS(Table1[Demand],Table1[Fiscal_Year],Table1[[#This Row],[Fiscal_Year]],Table1[BRAND],Table1[[#This Row],[BRAND]],Table1[DC_name_Xref],Table1[[#This Row],[DC_name_Xref]]),0)</f>
        <v>0</v>
      </c>
      <c r="M1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9" s="3">
        <f>IFERROR(INDEX(Table3[#All],MATCH(Table1[[#This Row],[Key_Year_Week_Brand]],Table3[[#All],[Key_Year_Week_Brand]],0),MATCH(Table1[[#This Row],[DC_name_Xref]],Table3[#Headers],0)),0)</f>
        <v>0</v>
      </c>
      <c r="O119">
        <f>IFERROR(INDEX(Table35[#All],MATCH(Table1[[#This Row],[Key_Year_Week_Brand]],Table35[[#All],[Key_Year_Month_Brand]],0),MATCH(Table1[[#This Row],[DC_name_Xref]],Table35[#Headers],0)),0)</f>
        <v>0</v>
      </c>
    </row>
    <row r="120" spans="1:15" x14ac:dyDescent="0.3">
      <c r="A120" s="19" t="str">
        <f>Table1[[#This Row],[Year_Week]]&amp;"-"&amp;Table1[[#This Row],[DC_name_Xref]]</f>
        <v>201845-OCC</v>
      </c>
      <c r="B120" s="19" t="str">
        <f>Table1[[#This Row],[Fiscal_Year]]*100+Table1[[#This Row],[Fiscal_Week]] &amp; "-" &amp;Table1[[#This Row],[BRAND]]</f>
        <v>201845-Banana Republic</v>
      </c>
      <c r="C120" t="str">
        <f>Table1[[#This Row],[Fiscal_Year]]&amp;"-"&amp;Table1[[#This Row],[BRAND]]</f>
        <v>2018-Banana Republic</v>
      </c>
      <c r="D120">
        <v>2018</v>
      </c>
      <c r="E120">
        <v>45</v>
      </c>
      <c r="F120" t="s">
        <v>18</v>
      </c>
      <c r="G120" t="s">
        <v>11</v>
      </c>
      <c r="H120">
        <v>7</v>
      </c>
      <c r="I120">
        <v>0</v>
      </c>
      <c r="J120" t="str">
        <f>VLOOKUP(H120,DC_Xref!A:B,2,FALSE)</f>
        <v>OCC</v>
      </c>
      <c r="K120">
        <f t="shared" si="1"/>
        <v>201845</v>
      </c>
      <c r="L120">
        <f>IFERROR(Table1[[#This Row],[Demand]]/SUMIFS(Table1[Demand],Table1[Fiscal_Year],Table1[[#This Row],[Fiscal_Year]],Table1[BRAND],Table1[[#This Row],[BRAND]],Table1[DC_name_Xref],Table1[[#This Row],[DC_name_Xref]]),0)</f>
        <v>0</v>
      </c>
      <c r="M1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" s="3">
        <f>IFERROR(INDEX(Table3[#All],MATCH(Table1[[#This Row],[Key_Year_Week_Brand]],Table3[[#All],[Key_Year_Week_Brand]],0),MATCH(Table1[[#This Row],[DC_name_Xref]],Table3[#Headers],0)),0)</f>
        <v>0</v>
      </c>
      <c r="O120">
        <f>IFERROR(INDEX(Table35[#All],MATCH(Table1[[#This Row],[Key_Year_Week_Brand]],Table35[[#All],[Key_Year_Month_Brand]],0),MATCH(Table1[[#This Row],[DC_name_Xref]],Table35[#Headers],0)),0)</f>
        <v>0</v>
      </c>
    </row>
    <row r="121" spans="1:15" x14ac:dyDescent="0.3">
      <c r="A121" s="19" t="str">
        <f>Table1[[#This Row],[Year_Week]]&amp;"-"&amp;Table1[[#This Row],[DC_name_Xref]]</f>
        <v>201845-OFC</v>
      </c>
      <c r="B121" s="19" t="str">
        <f>Table1[[#This Row],[Fiscal_Year]]*100+Table1[[#This Row],[Fiscal_Week]] &amp; "-" &amp;Table1[[#This Row],[BRAND]]</f>
        <v>201845-Gap Factory Store</v>
      </c>
      <c r="C121" t="str">
        <f>Table1[[#This Row],[Fiscal_Year]]&amp;"-"&amp;Table1[[#This Row],[BRAND]]</f>
        <v>2018-Gap Factory Store</v>
      </c>
      <c r="D121">
        <v>2018</v>
      </c>
      <c r="E121">
        <v>45</v>
      </c>
      <c r="F121" t="s">
        <v>22</v>
      </c>
      <c r="G121" t="s">
        <v>5</v>
      </c>
      <c r="H121">
        <v>1</v>
      </c>
      <c r="I121">
        <v>199813</v>
      </c>
      <c r="J121" t="str">
        <f>VLOOKUP(H121,DC_Xref!A:B,2,FALSE)</f>
        <v>OFC</v>
      </c>
      <c r="K121">
        <f t="shared" si="1"/>
        <v>201845</v>
      </c>
      <c r="L121">
        <f>IFERROR(Table1[[#This Row],[Demand]]/SUMIFS(Table1[Demand],Table1[Fiscal_Year],Table1[[#This Row],[Fiscal_Year]],Table1[BRAND],Table1[[#This Row],[BRAND]],Table1[DC_name_Xref],Table1[[#This Row],[DC_name_Xref]]),0)</f>
        <v>0.11098792265567155</v>
      </c>
      <c r="M1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21" s="3">
        <f>IFERROR(INDEX(Table3[#All],MATCH(Table1[[#This Row],[Key_Year_Week_Brand]],Table3[[#All],[Key_Year_Week_Brand]],0),MATCH(Table1[[#This Row],[DC_name_Xref]],Table3[#Headers],0)),0)</f>
        <v>1</v>
      </c>
      <c r="O121">
        <f>IFERROR(INDEX(Table35[#All],MATCH(Table1[[#This Row],[Key_Year_Week_Brand]],Table35[[#All],[Key_Year_Month_Brand]],0),MATCH(Table1[[#This Row],[DC_name_Xref]],Table35[#Headers],0)),0)</f>
        <v>199813</v>
      </c>
    </row>
    <row r="122" spans="1:15" x14ac:dyDescent="0.3">
      <c r="A122" s="19" t="str">
        <f>Table1[[#This Row],[Year_Week]]&amp;"-"&amp;Table1[[#This Row],[DC_name_Xref]]</f>
        <v>201845-TFC</v>
      </c>
      <c r="B122" s="19" t="str">
        <f>Table1[[#This Row],[Fiscal_Year]]*100+Table1[[#This Row],[Fiscal_Week]] &amp; "-" &amp;Table1[[#This Row],[BRAND]]</f>
        <v>201845-Gap Factory Store</v>
      </c>
      <c r="C122" t="str">
        <f>Table1[[#This Row],[Fiscal_Year]]&amp;"-"&amp;Table1[[#This Row],[BRAND]]</f>
        <v>2018-Gap Factory Store</v>
      </c>
      <c r="D122">
        <v>2018</v>
      </c>
      <c r="E122">
        <v>45</v>
      </c>
      <c r="F122" t="s">
        <v>22</v>
      </c>
      <c r="G122" t="s">
        <v>21</v>
      </c>
      <c r="H122">
        <v>2</v>
      </c>
      <c r="I122">
        <v>0</v>
      </c>
      <c r="J122" t="str">
        <f>VLOOKUP(H122,DC_Xref!A:B,2,FALSE)</f>
        <v>TFC</v>
      </c>
      <c r="K122">
        <f t="shared" si="1"/>
        <v>201845</v>
      </c>
      <c r="L122">
        <f>IFERROR(Table1[[#This Row],[Demand]]/SUMIFS(Table1[Demand],Table1[Fiscal_Year],Table1[[#This Row],[Fiscal_Year]],Table1[BRAND],Table1[[#This Row],[BRAND]],Table1[DC_name_Xref],Table1[[#This Row],[DC_name_Xref]]),0)</f>
        <v>0</v>
      </c>
      <c r="M1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" s="3">
        <f>IFERROR(INDEX(Table3[#All],MATCH(Table1[[#This Row],[Key_Year_Week_Brand]],Table3[[#All],[Key_Year_Week_Brand]],0),MATCH(Table1[[#This Row],[DC_name_Xref]],Table3[#Headers],0)),0)</f>
        <v>0</v>
      </c>
      <c r="O122">
        <f>IFERROR(INDEX(Table35[#All],MATCH(Table1[[#This Row],[Key_Year_Week_Brand]],Table35[[#All],[Key_Year_Month_Brand]],0),MATCH(Table1[[#This Row],[DC_name_Xref]],Table35[#Headers],0)),0)</f>
        <v>0</v>
      </c>
    </row>
    <row r="123" spans="1:15" x14ac:dyDescent="0.3">
      <c r="A123" s="19" t="str">
        <f>Table1[[#This Row],[Year_Week]]&amp;"-"&amp;Table1[[#This Row],[DC_name_Xref]]</f>
        <v>201845-WFC</v>
      </c>
      <c r="B123" s="19" t="str">
        <f>Table1[[#This Row],[Fiscal_Year]]*100+Table1[[#This Row],[Fiscal_Week]] &amp; "-" &amp;Table1[[#This Row],[BRAND]]</f>
        <v>201845-Gap Factory Store</v>
      </c>
      <c r="C123" t="str">
        <f>Table1[[#This Row],[Fiscal_Year]]&amp;"-"&amp;Table1[[#This Row],[BRAND]]</f>
        <v>2018-Gap Factory Store</v>
      </c>
      <c r="D123">
        <v>2018</v>
      </c>
      <c r="E123">
        <v>45</v>
      </c>
      <c r="F123" t="s">
        <v>22</v>
      </c>
      <c r="G123" t="s">
        <v>7</v>
      </c>
      <c r="H123">
        <v>3</v>
      </c>
      <c r="I123">
        <v>0</v>
      </c>
      <c r="J123" t="str">
        <f>VLOOKUP(H123,DC_Xref!A:B,2,FALSE)</f>
        <v>WFC</v>
      </c>
      <c r="K123">
        <f t="shared" si="1"/>
        <v>201845</v>
      </c>
      <c r="L123">
        <f>IFERROR(Table1[[#This Row],[Demand]]/SUMIFS(Table1[Demand],Table1[Fiscal_Year],Table1[[#This Row],[Fiscal_Year]],Table1[BRAND],Table1[[#This Row],[BRAND]],Table1[DC_name_Xref],Table1[[#This Row],[DC_name_Xref]]),0)</f>
        <v>0</v>
      </c>
      <c r="M1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" s="3">
        <f>IFERROR(INDEX(Table3[#All],MATCH(Table1[[#This Row],[Key_Year_Week_Brand]],Table3[[#All],[Key_Year_Week_Brand]],0),MATCH(Table1[[#This Row],[DC_name_Xref]],Table3[#Headers],0)),0)</f>
        <v>0</v>
      </c>
      <c r="O123">
        <f>IFERROR(INDEX(Table35[#All],MATCH(Table1[[#This Row],[Key_Year_Week_Brand]],Table35[[#All],[Key_Year_Month_Brand]],0),MATCH(Table1[[#This Row],[DC_name_Xref]],Table35[#Headers],0)),0)</f>
        <v>0</v>
      </c>
    </row>
    <row r="124" spans="1:15" x14ac:dyDescent="0.3">
      <c r="A124" s="19" t="str">
        <f>Table1[[#This Row],[Year_Week]]&amp;"-"&amp;Table1[[#This Row],[DC_name_Xref]]</f>
        <v>201845-EAO</v>
      </c>
      <c r="B124" s="19" t="str">
        <f>Table1[[#This Row],[Fiscal_Year]]*100+Table1[[#This Row],[Fiscal_Week]] &amp; "-" &amp;Table1[[#This Row],[BRAND]]</f>
        <v>201845-Gap Factory Store</v>
      </c>
      <c r="C124" t="str">
        <f>Table1[[#This Row],[Fiscal_Year]]&amp;"-"&amp;Table1[[#This Row],[BRAND]]</f>
        <v>2018-Gap Factory Store</v>
      </c>
      <c r="D124">
        <v>2018</v>
      </c>
      <c r="E124">
        <v>45</v>
      </c>
      <c r="F124" t="s">
        <v>22</v>
      </c>
      <c r="G124" t="s">
        <v>8</v>
      </c>
      <c r="H124">
        <v>4</v>
      </c>
      <c r="I124">
        <v>0</v>
      </c>
      <c r="J124" t="str">
        <f>VLOOKUP(H124,DC_Xref!A:B,2,FALSE)</f>
        <v>EAO</v>
      </c>
      <c r="K124">
        <f t="shared" si="1"/>
        <v>201845</v>
      </c>
      <c r="L124">
        <f>IFERROR(Table1[[#This Row],[Demand]]/SUMIFS(Table1[Demand],Table1[Fiscal_Year],Table1[[#This Row],[Fiscal_Year]],Table1[BRAND],Table1[[#This Row],[BRAND]],Table1[DC_name_Xref],Table1[[#This Row],[DC_name_Xref]]),0)</f>
        <v>0</v>
      </c>
      <c r="M1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" s="3">
        <f>IFERROR(INDEX(Table3[#All],MATCH(Table1[[#This Row],[Key_Year_Week_Brand]],Table3[[#All],[Key_Year_Week_Brand]],0),MATCH(Table1[[#This Row],[DC_name_Xref]],Table3[#Headers],0)),0)</f>
        <v>0</v>
      </c>
      <c r="O124">
        <f>IFERROR(INDEX(Table35[#All],MATCH(Table1[[#This Row],[Key_Year_Week_Brand]],Table35[[#All],[Key_Year_Month_Brand]],0),MATCH(Table1[[#This Row],[DC_name_Xref]],Table35[#Headers],0)),0)</f>
        <v>0</v>
      </c>
    </row>
    <row r="125" spans="1:15" x14ac:dyDescent="0.3">
      <c r="A125" s="19" t="str">
        <f>Table1[[#This Row],[Year_Week]]&amp;"-"&amp;Table1[[#This Row],[DC_name_Xref]]</f>
        <v>201845-FFC-ODC</v>
      </c>
      <c r="B125" s="19" t="str">
        <f>Table1[[#This Row],[Fiscal_Year]]*100+Table1[[#This Row],[Fiscal_Week]] &amp; "-" &amp;Table1[[#This Row],[BRAND]]</f>
        <v>201845-Gap Factory Store</v>
      </c>
      <c r="C125" t="str">
        <f>Table1[[#This Row],[Fiscal_Year]]&amp;"-"&amp;Table1[[#This Row],[BRAND]]</f>
        <v>2018-Gap Factory Store</v>
      </c>
      <c r="D125">
        <v>2018</v>
      </c>
      <c r="E125">
        <v>45</v>
      </c>
      <c r="F125" t="s">
        <v>22</v>
      </c>
      <c r="G125" t="s">
        <v>23</v>
      </c>
      <c r="H125">
        <v>5</v>
      </c>
      <c r="I125">
        <v>0</v>
      </c>
      <c r="J125" t="str">
        <f>VLOOKUP(H125,DC_Xref!A:B,2,FALSE)</f>
        <v>FFC-ODC</v>
      </c>
      <c r="K125">
        <f t="shared" si="1"/>
        <v>201845</v>
      </c>
      <c r="L125">
        <f>IFERROR(Table1[[#This Row],[Demand]]/SUMIFS(Table1[Demand],Table1[Fiscal_Year],Table1[[#This Row],[Fiscal_Year]],Table1[BRAND],Table1[[#This Row],[BRAND]],Table1[DC_name_Xref],Table1[[#This Row],[DC_name_Xref]]),0)</f>
        <v>0</v>
      </c>
      <c r="M1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5" s="3">
        <f>IFERROR(INDEX(Table3[#All],MATCH(Table1[[#This Row],[Key_Year_Week_Brand]],Table3[[#All],[Key_Year_Week_Brand]],0),MATCH(Table1[[#This Row],[DC_name_Xref]],Table3[#Headers],0)),0)</f>
        <v>0</v>
      </c>
      <c r="O125">
        <f>IFERROR(INDEX(Table35[#All],MATCH(Table1[[#This Row],[Key_Year_Week_Brand]],Table35[[#All],[Key_Year_Month_Brand]],0),MATCH(Table1[[#This Row],[DC_name_Xref]],Table35[#Headers],0)),0)</f>
        <v>0</v>
      </c>
    </row>
    <row r="126" spans="1:15" x14ac:dyDescent="0.3">
      <c r="A126" s="19" t="str">
        <f>Table1[[#This Row],[Year_Week]]&amp;"-"&amp;Table1[[#This Row],[DC_name_Xref]]</f>
        <v>201845-WEO</v>
      </c>
      <c r="B126" s="19" t="str">
        <f>Table1[[#This Row],[Fiscal_Year]]*100+Table1[[#This Row],[Fiscal_Week]] &amp; "-" &amp;Table1[[#This Row],[BRAND]]</f>
        <v>201845-Gap Factory Store</v>
      </c>
      <c r="C126" t="str">
        <f>Table1[[#This Row],[Fiscal_Year]]&amp;"-"&amp;Table1[[#This Row],[BRAND]]</f>
        <v>2018-Gap Factory Store</v>
      </c>
      <c r="D126">
        <v>2018</v>
      </c>
      <c r="E126">
        <v>45</v>
      </c>
      <c r="F126" t="s">
        <v>22</v>
      </c>
      <c r="G126" t="s">
        <v>10</v>
      </c>
      <c r="H126">
        <v>6</v>
      </c>
      <c r="I126">
        <v>0</v>
      </c>
      <c r="J126" t="str">
        <f>VLOOKUP(H126,DC_Xref!A:B,2,FALSE)</f>
        <v>WEO</v>
      </c>
      <c r="K126">
        <f t="shared" si="1"/>
        <v>201845</v>
      </c>
      <c r="L126">
        <f>IFERROR(Table1[[#This Row],[Demand]]/SUMIFS(Table1[Demand],Table1[Fiscal_Year],Table1[[#This Row],[Fiscal_Year]],Table1[BRAND],Table1[[#This Row],[BRAND]],Table1[DC_name_Xref],Table1[[#This Row],[DC_name_Xref]]),0)</f>
        <v>0</v>
      </c>
      <c r="M1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" s="3">
        <f>IFERROR(INDEX(Table3[#All],MATCH(Table1[[#This Row],[Key_Year_Week_Brand]],Table3[[#All],[Key_Year_Week_Brand]],0),MATCH(Table1[[#This Row],[DC_name_Xref]],Table3[#Headers],0)),0)</f>
        <v>0</v>
      </c>
      <c r="O126">
        <f>IFERROR(INDEX(Table35[#All],MATCH(Table1[[#This Row],[Key_Year_Week_Brand]],Table35[[#All],[Key_Year_Month_Brand]],0),MATCH(Table1[[#This Row],[DC_name_Xref]],Table35[#Headers],0)),0)</f>
        <v>0</v>
      </c>
    </row>
    <row r="127" spans="1:15" x14ac:dyDescent="0.3">
      <c r="A127" s="19" t="str">
        <f>Table1[[#This Row],[Year_Week]]&amp;"-"&amp;Table1[[#This Row],[DC_name_Xref]]</f>
        <v>201845-OCC</v>
      </c>
      <c r="B127" s="19" t="str">
        <f>Table1[[#This Row],[Fiscal_Year]]*100+Table1[[#This Row],[Fiscal_Week]] &amp; "-" &amp;Table1[[#This Row],[BRAND]]</f>
        <v>201845-Gap Factory Store</v>
      </c>
      <c r="C127" t="str">
        <f>Table1[[#This Row],[Fiscal_Year]]&amp;"-"&amp;Table1[[#This Row],[BRAND]]</f>
        <v>2018-Gap Factory Store</v>
      </c>
      <c r="D127">
        <v>2018</v>
      </c>
      <c r="E127">
        <v>45</v>
      </c>
      <c r="F127" t="s">
        <v>22</v>
      </c>
      <c r="G127" t="s">
        <v>11</v>
      </c>
      <c r="H127">
        <v>7</v>
      </c>
      <c r="I127">
        <v>0</v>
      </c>
      <c r="J127" t="str">
        <f>VLOOKUP(H127,DC_Xref!A:B,2,FALSE)</f>
        <v>OCC</v>
      </c>
      <c r="K127">
        <f t="shared" si="1"/>
        <v>201845</v>
      </c>
      <c r="L127">
        <f>IFERROR(Table1[[#This Row],[Demand]]/SUMIFS(Table1[Demand],Table1[Fiscal_Year],Table1[[#This Row],[Fiscal_Year]],Table1[BRAND],Table1[[#This Row],[BRAND]],Table1[DC_name_Xref],Table1[[#This Row],[DC_name_Xref]]),0)</f>
        <v>0</v>
      </c>
      <c r="M1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7" s="3">
        <f>IFERROR(INDEX(Table3[#All],MATCH(Table1[[#This Row],[Key_Year_Week_Brand]],Table3[[#All],[Key_Year_Week_Brand]],0),MATCH(Table1[[#This Row],[DC_name_Xref]],Table3[#Headers],0)),0)</f>
        <v>0</v>
      </c>
      <c r="O127">
        <f>IFERROR(INDEX(Table35[#All],MATCH(Table1[[#This Row],[Key_Year_Week_Brand]],Table35[[#All],[Key_Year_Month_Brand]],0),MATCH(Table1[[#This Row],[DC_name_Xref]],Table35[#Headers],0)),0)</f>
        <v>0</v>
      </c>
    </row>
    <row r="128" spans="1:15" x14ac:dyDescent="0.3">
      <c r="A128" s="19" t="str">
        <f>Table1[[#This Row],[Year_Week]]&amp;"-"&amp;Table1[[#This Row],[DC_name_Xref]]</f>
        <v>201846-OFC</v>
      </c>
      <c r="B128" s="19" t="str">
        <f>Table1[[#This Row],[Fiscal_Year]]*100+Table1[[#This Row],[Fiscal_Week]] &amp; "-" &amp;Table1[[#This Row],[BRAND]]</f>
        <v>201846-Old Navy</v>
      </c>
      <c r="C128" t="str">
        <f>Table1[[#This Row],[Fiscal_Year]]&amp;"-"&amp;Table1[[#This Row],[BRAND]]</f>
        <v>2018-Old Navy</v>
      </c>
      <c r="D128">
        <v>2018</v>
      </c>
      <c r="E128">
        <v>46</v>
      </c>
      <c r="F128" t="s">
        <v>20</v>
      </c>
      <c r="G128" t="s">
        <v>5</v>
      </c>
      <c r="H128">
        <v>1</v>
      </c>
      <c r="I128">
        <v>718324</v>
      </c>
      <c r="J128" t="str">
        <f>VLOOKUP(H128,DC_Xref!A:B,2,FALSE)</f>
        <v>OFC</v>
      </c>
      <c r="K128">
        <f t="shared" si="1"/>
        <v>201846</v>
      </c>
      <c r="L128">
        <f>IFERROR(Table1[[#This Row],[Demand]]/SUMIFS(Table1[Demand],Table1[Fiscal_Year],Table1[[#This Row],[Fiscal_Year]],Table1[BRAND],Table1[[#This Row],[BRAND]],Table1[DC_name_Xref],Table1[[#This Row],[DC_name_Xref]]),0)</f>
        <v>0.13027283112413734</v>
      </c>
      <c r="M1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0.29585489044805086</v>
      </c>
      <c r="N128" s="3">
        <f>IFERROR(INDEX(Table3[#All],MATCH(Table1[[#This Row],[Key_Year_Week_Brand]],Table3[[#All],[Key_Year_Week_Brand]],0),MATCH(Table1[[#This Row],[DC_name_Xref]],Table3[#Headers],0)),0)</f>
        <v>0.27</v>
      </c>
      <c r="O128">
        <f>IFERROR(INDEX(Table35[#All],MATCH(Table1[[#This Row],[Key_Year_Week_Brand]],Table35[[#All],[Key_Year_Month_Brand]],0),MATCH(Table1[[#This Row],[DC_name_Xref]],Table35[#Headers],0)),0)</f>
        <v>640915.20000000007</v>
      </c>
    </row>
    <row r="129" spans="1:15" x14ac:dyDescent="0.3">
      <c r="A129" s="19" t="str">
        <f>Table1[[#This Row],[Year_Week]]&amp;"-"&amp;Table1[[#This Row],[DC_name_Xref]]</f>
        <v>201846-TFC</v>
      </c>
      <c r="B129" s="19" t="str">
        <f>Table1[[#This Row],[Fiscal_Year]]*100+Table1[[#This Row],[Fiscal_Week]] &amp; "-" &amp;Table1[[#This Row],[BRAND]]</f>
        <v>201846-Old Navy</v>
      </c>
      <c r="C129" t="str">
        <f>Table1[[#This Row],[Fiscal_Year]]&amp;"-"&amp;Table1[[#This Row],[BRAND]]</f>
        <v>2018-Old Navy</v>
      </c>
      <c r="D129">
        <v>2018</v>
      </c>
      <c r="E129">
        <v>46</v>
      </c>
      <c r="F129" t="s">
        <v>20</v>
      </c>
      <c r="G129" t="s">
        <v>21</v>
      </c>
      <c r="H129">
        <v>2</v>
      </c>
      <c r="I129">
        <v>438541</v>
      </c>
      <c r="J129" t="str">
        <f>VLOOKUP(H129,DC_Xref!A:B,2,FALSE)</f>
        <v>TFC</v>
      </c>
      <c r="K129">
        <f t="shared" si="1"/>
        <v>201846</v>
      </c>
      <c r="L129">
        <f>IFERROR(Table1[[#This Row],[Demand]]/SUMIFS(Table1[Demand],Table1[Fiscal_Year],Table1[[#This Row],[Fiscal_Year]],Table1[BRAND],Table1[[#This Row],[BRAND]],Table1[DC_name_Xref],Table1[[#This Row],[DC_name_Xref]]),0)</f>
        <v>0.13835532509357434</v>
      </c>
      <c r="M1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0.17006954525297244</v>
      </c>
      <c r="N129" s="3">
        <f>IFERROR(INDEX(Table3[#All],MATCH(Table1[[#This Row],[Key_Year_Week_Brand]],Table3[[#All],[Key_Year_Week_Brand]],0),MATCH(Table1[[#This Row],[DC_name_Xref]],Table3[#Headers],0)),0)</f>
        <v>0.25</v>
      </c>
      <c r="O129">
        <f>IFERROR(INDEX(Table35[#All],MATCH(Table1[[#This Row],[Key_Year_Week_Brand]],Table35[[#All],[Key_Year_Month_Brand]],0),MATCH(Table1[[#This Row],[DC_name_Xref]],Table35[#Headers],0)),0)</f>
        <v>593440</v>
      </c>
    </row>
    <row r="130" spans="1:15" x14ac:dyDescent="0.3">
      <c r="A130" s="19" t="str">
        <f>Table1[[#This Row],[Year_Week]]&amp;"-"&amp;Table1[[#This Row],[DC_name_Xref]]</f>
        <v>201846-WFC</v>
      </c>
      <c r="B130" s="19" t="str">
        <f>Table1[[#This Row],[Fiscal_Year]]*100+Table1[[#This Row],[Fiscal_Week]] &amp; "-" &amp;Table1[[#This Row],[BRAND]]</f>
        <v>201846-Old Navy</v>
      </c>
      <c r="C130" t="str">
        <f>Table1[[#This Row],[Fiscal_Year]]&amp;"-"&amp;Table1[[#This Row],[BRAND]]</f>
        <v>2018-Old Navy</v>
      </c>
      <c r="D130">
        <v>2018</v>
      </c>
      <c r="E130">
        <v>46</v>
      </c>
      <c r="F130" t="s">
        <v>20</v>
      </c>
      <c r="G130" t="s">
        <v>7</v>
      </c>
      <c r="H130">
        <v>3</v>
      </c>
      <c r="I130">
        <v>448637</v>
      </c>
      <c r="J130" t="str">
        <f>VLOOKUP(H130,DC_Xref!A:B,2,FALSE)</f>
        <v>WFC</v>
      </c>
      <c r="K130">
        <f t="shared" ref="K130:K193" si="2">D130*100+E130</f>
        <v>201846</v>
      </c>
      <c r="L130">
        <f>IFERROR(Table1[[#This Row],[Demand]]/SUMIFS(Table1[Demand],Table1[Fiscal_Year],Table1[[#This Row],[Fiscal_Year]],Table1[BRAND],Table1[[#This Row],[BRAND]],Table1[DC_name_Xref],Table1[[#This Row],[DC_name_Xref]]),0)</f>
        <v>0.11935580847180764</v>
      </c>
      <c r="M1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0.20168042879130013</v>
      </c>
      <c r="N130" s="3">
        <f>IFERROR(INDEX(Table3[#All],MATCH(Table1[[#This Row],[Key_Year_Week_Brand]],Table3[[#All],[Key_Year_Week_Brand]],0),MATCH(Table1[[#This Row],[DC_name_Xref]],Table3[#Headers],0)),0)</f>
        <v>0.1</v>
      </c>
      <c r="O130">
        <f>IFERROR(INDEX(Table35[#All],MATCH(Table1[[#This Row],[Key_Year_Week_Brand]],Table35[[#All],[Key_Year_Month_Brand]],0),MATCH(Table1[[#This Row],[DC_name_Xref]],Table35[#Headers],0)),0)</f>
        <v>237376</v>
      </c>
    </row>
    <row r="131" spans="1:15" x14ac:dyDescent="0.3">
      <c r="A131" s="19" t="str">
        <f>Table1[[#This Row],[Year_Week]]&amp;"-"&amp;Table1[[#This Row],[DC_name_Xref]]</f>
        <v>201846-EAO</v>
      </c>
      <c r="B131" s="19" t="str">
        <f>Table1[[#This Row],[Fiscal_Year]]*100+Table1[[#This Row],[Fiscal_Week]] &amp; "-" &amp;Table1[[#This Row],[BRAND]]</f>
        <v>201846-Old Navy</v>
      </c>
      <c r="C131" t="str">
        <f>Table1[[#This Row],[Fiscal_Year]]&amp;"-"&amp;Table1[[#This Row],[BRAND]]</f>
        <v>2018-Old Navy</v>
      </c>
      <c r="D131">
        <v>2018</v>
      </c>
      <c r="E131">
        <v>46</v>
      </c>
      <c r="F131" t="s">
        <v>20</v>
      </c>
      <c r="G131" t="s">
        <v>8</v>
      </c>
      <c r="H131">
        <v>4</v>
      </c>
      <c r="I131">
        <v>768258</v>
      </c>
      <c r="J131" t="str">
        <f>VLOOKUP(H131,DC_Xref!A:B,2,FALSE)</f>
        <v>EAO</v>
      </c>
      <c r="K131">
        <f t="shared" si="2"/>
        <v>201846</v>
      </c>
      <c r="L131">
        <f>IFERROR(Table1[[#This Row],[Demand]]/SUMIFS(Table1[Demand],Table1[Fiscal_Year],Table1[[#This Row],[Fiscal_Year]],Table1[BRAND],Table1[[#This Row],[BRAND]],Table1[DC_name_Xref],Table1[[#This Row],[DC_name_Xref]]),0)</f>
        <v>0.12401227050906728</v>
      </c>
      <c r="M1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0.33239513550767658</v>
      </c>
      <c r="N131" s="3">
        <f>IFERROR(INDEX(Table3[#All],MATCH(Table1[[#This Row],[Key_Year_Week_Brand]],Table3[[#All],[Key_Year_Week_Brand]],0),MATCH(Table1[[#This Row],[DC_name_Xref]],Table3[#Headers],0)),0)</f>
        <v>0.28000000000000003</v>
      </c>
      <c r="O131">
        <f>IFERROR(INDEX(Table35[#All],MATCH(Table1[[#This Row],[Key_Year_Week_Brand]],Table35[[#All],[Key_Year_Month_Brand]],0),MATCH(Table1[[#This Row],[DC_name_Xref]],Table35[#Headers],0)),0)</f>
        <v>664652.80000000005</v>
      </c>
    </row>
    <row r="132" spans="1:15" x14ac:dyDescent="0.3">
      <c r="A132" s="19" t="str">
        <f>Table1[[#This Row],[Year_Week]]&amp;"-"&amp;Table1[[#This Row],[DC_name_Xref]]</f>
        <v>201846-FFC-ODC</v>
      </c>
      <c r="B132" s="19" t="str">
        <f>Table1[[#This Row],[Fiscal_Year]]*100+Table1[[#This Row],[Fiscal_Week]] &amp; "-" &amp;Table1[[#This Row],[BRAND]]</f>
        <v>201846-Old Navy</v>
      </c>
      <c r="C132" t="str">
        <f>Table1[[#This Row],[Fiscal_Year]]&amp;"-"&amp;Table1[[#This Row],[BRAND]]</f>
        <v>2018-Old Navy</v>
      </c>
      <c r="D132">
        <v>2018</v>
      </c>
      <c r="E132">
        <v>46</v>
      </c>
      <c r="F132" t="s">
        <v>20</v>
      </c>
      <c r="G132" t="s">
        <v>23</v>
      </c>
      <c r="H132">
        <v>5</v>
      </c>
      <c r="I132">
        <v>0</v>
      </c>
      <c r="J132" t="str">
        <f>VLOOKUP(H132,DC_Xref!A:B,2,FALSE)</f>
        <v>FFC-ODC</v>
      </c>
      <c r="K132">
        <f t="shared" si="2"/>
        <v>201846</v>
      </c>
      <c r="L132">
        <f>IFERROR(Table1[[#This Row],[Demand]]/SUMIFS(Table1[Demand],Table1[Fiscal_Year],Table1[[#This Row],[Fiscal_Year]],Table1[BRAND],Table1[[#This Row],[BRAND]],Table1[DC_name_Xref],Table1[[#This Row],[DC_name_Xref]]),0)</f>
        <v>0</v>
      </c>
      <c r="M1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" s="3">
        <f>IFERROR(INDEX(Table3[#All],MATCH(Table1[[#This Row],[Key_Year_Week_Brand]],Table3[[#All],[Key_Year_Week_Brand]],0),MATCH(Table1[[#This Row],[DC_name_Xref]],Table3[#Headers],0)),0)</f>
        <v>0</v>
      </c>
      <c r="O132">
        <f>IFERROR(INDEX(Table35[#All],MATCH(Table1[[#This Row],[Key_Year_Week_Brand]],Table35[[#All],[Key_Year_Month_Brand]],0),MATCH(Table1[[#This Row],[DC_name_Xref]],Table35[#Headers],0)),0)</f>
        <v>0</v>
      </c>
    </row>
    <row r="133" spans="1:15" x14ac:dyDescent="0.3">
      <c r="A133" s="19" t="str">
        <f>Table1[[#This Row],[Year_Week]]&amp;"-"&amp;Table1[[#This Row],[DC_name_Xref]]</f>
        <v>201846-WEO</v>
      </c>
      <c r="B133" s="19" t="str">
        <f>Table1[[#This Row],[Fiscal_Year]]*100+Table1[[#This Row],[Fiscal_Week]] &amp; "-" &amp;Table1[[#This Row],[BRAND]]</f>
        <v>201846-Old Navy</v>
      </c>
      <c r="C133" t="str">
        <f>Table1[[#This Row],[Fiscal_Year]]&amp;"-"&amp;Table1[[#This Row],[BRAND]]</f>
        <v>2018-Old Navy</v>
      </c>
      <c r="D133">
        <v>2018</v>
      </c>
      <c r="E133">
        <v>46</v>
      </c>
      <c r="F133" t="s">
        <v>20</v>
      </c>
      <c r="G133" t="s">
        <v>10</v>
      </c>
      <c r="H133">
        <v>6</v>
      </c>
      <c r="I133">
        <v>0</v>
      </c>
      <c r="J133" t="str">
        <f>VLOOKUP(H133,DC_Xref!A:B,2,FALSE)</f>
        <v>WEO</v>
      </c>
      <c r="K133">
        <f t="shared" si="2"/>
        <v>201846</v>
      </c>
      <c r="L133">
        <f>IFERROR(Table1[[#This Row],[Demand]]/SUMIFS(Table1[Demand],Table1[Fiscal_Year],Table1[[#This Row],[Fiscal_Year]],Table1[BRAND],Table1[[#This Row],[BRAND]],Table1[DC_name_Xref],Table1[[#This Row],[DC_name_Xref]]),0)</f>
        <v>0</v>
      </c>
      <c r="M1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" s="3">
        <f>IFERROR(INDEX(Table3[#All],MATCH(Table1[[#This Row],[Key_Year_Week_Brand]],Table3[[#All],[Key_Year_Week_Brand]],0),MATCH(Table1[[#This Row],[DC_name_Xref]],Table3[#Headers],0)),0)</f>
        <v>0.1</v>
      </c>
      <c r="O133">
        <f>IFERROR(INDEX(Table35[#All],MATCH(Table1[[#This Row],[Key_Year_Week_Brand]],Table35[[#All],[Key_Year_Month_Brand]],0),MATCH(Table1[[#This Row],[DC_name_Xref]],Table35[#Headers],0)),0)</f>
        <v>237376</v>
      </c>
    </row>
    <row r="134" spans="1:15" x14ac:dyDescent="0.3">
      <c r="A134" s="19" t="str">
        <f>Table1[[#This Row],[Year_Week]]&amp;"-"&amp;Table1[[#This Row],[DC_name_Xref]]</f>
        <v>201846-OCC</v>
      </c>
      <c r="B134" s="19" t="str">
        <f>Table1[[#This Row],[Fiscal_Year]]*100+Table1[[#This Row],[Fiscal_Week]] &amp; "-" &amp;Table1[[#This Row],[BRAND]]</f>
        <v>201846-Old Navy</v>
      </c>
      <c r="C134" t="str">
        <f>Table1[[#This Row],[Fiscal_Year]]&amp;"-"&amp;Table1[[#This Row],[BRAND]]</f>
        <v>2018-Old Navy</v>
      </c>
      <c r="D134">
        <v>2018</v>
      </c>
      <c r="E134">
        <v>46</v>
      </c>
      <c r="F134" t="s">
        <v>20</v>
      </c>
      <c r="G134" t="s">
        <v>11</v>
      </c>
      <c r="H134">
        <v>7</v>
      </c>
      <c r="I134">
        <v>0</v>
      </c>
      <c r="J134" t="str">
        <f>VLOOKUP(H134,DC_Xref!A:B,2,FALSE)</f>
        <v>OCC</v>
      </c>
      <c r="K134">
        <f t="shared" si="2"/>
        <v>201846</v>
      </c>
      <c r="L134">
        <f>IFERROR(Table1[[#This Row],[Demand]]/SUMIFS(Table1[Demand],Table1[Fiscal_Year],Table1[[#This Row],[Fiscal_Year]],Table1[BRAND],Table1[[#This Row],[BRAND]],Table1[DC_name_Xref],Table1[[#This Row],[DC_name_Xref]]),0)</f>
        <v>0</v>
      </c>
      <c r="M1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" s="3">
        <f>IFERROR(INDEX(Table3[#All],MATCH(Table1[[#This Row],[Key_Year_Week_Brand]],Table3[[#All],[Key_Year_Week_Brand]],0),MATCH(Table1[[#This Row],[DC_name_Xref]],Table3[#Headers],0)),0)</f>
        <v>0</v>
      </c>
      <c r="O134">
        <f>IFERROR(INDEX(Table35[#All],MATCH(Table1[[#This Row],[Key_Year_Week_Brand]],Table35[[#All],[Key_Year_Month_Brand]],0),MATCH(Table1[[#This Row],[DC_name_Xref]],Table35[#Headers],0)),0)</f>
        <v>0</v>
      </c>
    </row>
    <row r="135" spans="1:15" x14ac:dyDescent="0.3">
      <c r="A135" s="19" t="str">
        <f>Table1[[#This Row],[Year_Week]]&amp;"-"&amp;Table1[[#This Row],[DC_name_Xref]]</f>
        <v>201846-OFC</v>
      </c>
      <c r="B135" s="19" t="str">
        <f>Table1[[#This Row],[Fiscal_Year]]*100+Table1[[#This Row],[Fiscal_Week]] &amp; "-" &amp;Table1[[#This Row],[BRAND]]</f>
        <v>201846-Gap Factory Store</v>
      </c>
      <c r="C135" t="str">
        <f>Table1[[#This Row],[Fiscal_Year]]&amp;"-"&amp;Table1[[#This Row],[BRAND]]</f>
        <v>2018-Gap Factory Store</v>
      </c>
      <c r="D135">
        <v>2018</v>
      </c>
      <c r="E135">
        <v>46</v>
      </c>
      <c r="F135" t="s">
        <v>22</v>
      </c>
      <c r="G135" t="s">
        <v>5</v>
      </c>
      <c r="H135">
        <v>1</v>
      </c>
      <c r="I135">
        <v>118879</v>
      </c>
      <c r="J135" t="str">
        <f>VLOOKUP(H135,DC_Xref!A:B,2,FALSE)</f>
        <v>OFC</v>
      </c>
      <c r="K135">
        <f t="shared" si="2"/>
        <v>201846</v>
      </c>
      <c r="L135">
        <f>IFERROR(Table1[[#This Row],[Demand]]/SUMIFS(Table1[Demand],Table1[Fiscal_Year],Table1[[#This Row],[Fiscal_Year]],Table1[BRAND],Table1[[#This Row],[BRAND]],Table1[DC_name_Xref],Table1[[#This Row],[DC_name_Xref]]),0)</f>
        <v>6.6032406587076806E-2</v>
      </c>
      <c r="M1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35" s="3">
        <f>IFERROR(INDEX(Table3[#All],MATCH(Table1[[#This Row],[Key_Year_Week_Brand]],Table3[[#All],[Key_Year_Week_Brand]],0),MATCH(Table1[[#This Row],[DC_name_Xref]],Table3[#Headers],0)),0)</f>
        <v>1</v>
      </c>
      <c r="O135">
        <f>IFERROR(INDEX(Table35[#All],MATCH(Table1[[#This Row],[Key_Year_Week_Brand]],Table35[[#All],[Key_Year_Month_Brand]],0),MATCH(Table1[[#This Row],[DC_name_Xref]],Table35[#Headers],0)),0)</f>
        <v>118879</v>
      </c>
    </row>
    <row r="136" spans="1:15" x14ac:dyDescent="0.3">
      <c r="A136" s="19" t="str">
        <f>Table1[[#This Row],[Year_Week]]&amp;"-"&amp;Table1[[#This Row],[DC_name_Xref]]</f>
        <v>201846-TFC</v>
      </c>
      <c r="B136" s="19" t="str">
        <f>Table1[[#This Row],[Fiscal_Year]]*100+Table1[[#This Row],[Fiscal_Week]] &amp; "-" &amp;Table1[[#This Row],[BRAND]]</f>
        <v>201846-Gap Factory Store</v>
      </c>
      <c r="C136" t="str">
        <f>Table1[[#This Row],[Fiscal_Year]]&amp;"-"&amp;Table1[[#This Row],[BRAND]]</f>
        <v>2018-Gap Factory Store</v>
      </c>
      <c r="D136">
        <v>2018</v>
      </c>
      <c r="E136">
        <v>46</v>
      </c>
      <c r="F136" t="s">
        <v>22</v>
      </c>
      <c r="G136" t="s">
        <v>21</v>
      </c>
      <c r="H136">
        <v>2</v>
      </c>
      <c r="I136">
        <v>0</v>
      </c>
      <c r="J136" t="str">
        <f>VLOOKUP(H136,DC_Xref!A:B,2,FALSE)</f>
        <v>TFC</v>
      </c>
      <c r="K136">
        <f t="shared" si="2"/>
        <v>201846</v>
      </c>
      <c r="L136">
        <f>IFERROR(Table1[[#This Row],[Demand]]/SUMIFS(Table1[Demand],Table1[Fiscal_Year],Table1[[#This Row],[Fiscal_Year]],Table1[BRAND],Table1[[#This Row],[BRAND]],Table1[DC_name_Xref],Table1[[#This Row],[DC_name_Xref]]),0)</f>
        <v>0</v>
      </c>
      <c r="M1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" s="3">
        <f>IFERROR(INDEX(Table3[#All],MATCH(Table1[[#This Row],[Key_Year_Week_Brand]],Table3[[#All],[Key_Year_Week_Brand]],0),MATCH(Table1[[#This Row],[DC_name_Xref]],Table3[#Headers],0)),0)</f>
        <v>0</v>
      </c>
      <c r="O136">
        <f>IFERROR(INDEX(Table35[#All],MATCH(Table1[[#This Row],[Key_Year_Week_Brand]],Table35[[#All],[Key_Year_Month_Brand]],0),MATCH(Table1[[#This Row],[DC_name_Xref]],Table35[#Headers],0)),0)</f>
        <v>0</v>
      </c>
    </row>
    <row r="137" spans="1:15" x14ac:dyDescent="0.3">
      <c r="A137" s="19" t="str">
        <f>Table1[[#This Row],[Year_Week]]&amp;"-"&amp;Table1[[#This Row],[DC_name_Xref]]</f>
        <v>201846-WFC</v>
      </c>
      <c r="B137" s="19" t="str">
        <f>Table1[[#This Row],[Fiscal_Year]]*100+Table1[[#This Row],[Fiscal_Week]] &amp; "-" &amp;Table1[[#This Row],[BRAND]]</f>
        <v>201846-Gap Factory Store</v>
      </c>
      <c r="C137" t="str">
        <f>Table1[[#This Row],[Fiscal_Year]]&amp;"-"&amp;Table1[[#This Row],[BRAND]]</f>
        <v>2018-Gap Factory Store</v>
      </c>
      <c r="D137">
        <v>2018</v>
      </c>
      <c r="E137">
        <v>46</v>
      </c>
      <c r="F137" t="s">
        <v>22</v>
      </c>
      <c r="G137" t="s">
        <v>7</v>
      </c>
      <c r="H137">
        <v>3</v>
      </c>
      <c r="I137">
        <v>0</v>
      </c>
      <c r="J137" t="str">
        <f>VLOOKUP(H137,DC_Xref!A:B,2,FALSE)</f>
        <v>WFC</v>
      </c>
      <c r="K137">
        <f t="shared" si="2"/>
        <v>201846</v>
      </c>
      <c r="L137">
        <f>IFERROR(Table1[[#This Row],[Demand]]/SUMIFS(Table1[Demand],Table1[Fiscal_Year],Table1[[#This Row],[Fiscal_Year]],Table1[BRAND],Table1[[#This Row],[BRAND]],Table1[DC_name_Xref],Table1[[#This Row],[DC_name_Xref]]),0)</f>
        <v>0</v>
      </c>
      <c r="M1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" s="3">
        <f>IFERROR(INDEX(Table3[#All],MATCH(Table1[[#This Row],[Key_Year_Week_Brand]],Table3[[#All],[Key_Year_Week_Brand]],0),MATCH(Table1[[#This Row],[DC_name_Xref]],Table3[#Headers],0)),0)</f>
        <v>0</v>
      </c>
      <c r="O137">
        <f>IFERROR(INDEX(Table35[#All],MATCH(Table1[[#This Row],[Key_Year_Week_Brand]],Table35[[#All],[Key_Year_Month_Brand]],0),MATCH(Table1[[#This Row],[DC_name_Xref]],Table35[#Headers],0)),0)</f>
        <v>0</v>
      </c>
    </row>
    <row r="138" spans="1:15" x14ac:dyDescent="0.3">
      <c r="A138" s="19" t="str">
        <f>Table1[[#This Row],[Year_Week]]&amp;"-"&amp;Table1[[#This Row],[DC_name_Xref]]</f>
        <v>201846-EAO</v>
      </c>
      <c r="B138" s="19" t="str">
        <f>Table1[[#This Row],[Fiscal_Year]]*100+Table1[[#This Row],[Fiscal_Week]] &amp; "-" &amp;Table1[[#This Row],[BRAND]]</f>
        <v>201846-Gap Factory Store</v>
      </c>
      <c r="C138" t="str">
        <f>Table1[[#This Row],[Fiscal_Year]]&amp;"-"&amp;Table1[[#This Row],[BRAND]]</f>
        <v>2018-Gap Factory Store</v>
      </c>
      <c r="D138">
        <v>2018</v>
      </c>
      <c r="E138">
        <v>46</v>
      </c>
      <c r="F138" t="s">
        <v>22</v>
      </c>
      <c r="G138" t="s">
        <v>8</v>
      </c>
      <c r="H138">
        <v>4</v>
      </c>
      <c r="I138">
        <v>0</v>
      </c>
      <c r="J138" t="str">
        <f>VLOOKUP(H138,DC_Xref!A:B,2,FALSE)</f>
        <v>EAO</v>
      </c>
      <c r="K138">
        <f t="shared" si="2"/>
        <v>201846</v>
      </c>
      <c r="L138">
        <f>IFERROR(Table1[[#This Row],[Demand]]/SUMIFS(Table1[Demand],Table1[Fiscal_Year],Table1[[#This Row],[Fiscal_Year]],Table1[BRAND],Table1[[#This Row],[BRAND]],Table1[DC_name_Xref],Table1[[#This Row],[DC_name_Xref]]),0)</f>
        <v>0</v>
      </c>
      <c r="M1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" s="3">
        <f>IFERROR(INDEX(Table3[#All],MATCH(Table1[[#This Row],[Key_Year_Week_Brand]],Table3[[#All],[Key_Year_Week_Brand]],0),MATCH(Table1[[#This Row],[DC_name_Xref]],Table3[#Headers],0)),0)</f>
        <v>0</v>
      </c>
      <c r="O138">
        <f>IFERROR(INDEX(Table35[#All],MATCH(Table1[[#This Row],[Key_Year_Week_Brand]],Table35[[#All],[Key_Year_Month_Brand]],0),MATCH(Table1[[#This Row],[DC_name_Xref]],Table35[#Headers],0)),0)</f>
        <v>0</v>
      </c>
    </row>
    <row r="139" spans="1:15" x14ac:dyDescent="0.3">
      <c r="A139" s="19" t="str">
        <f>Table1[[#This Row],[Year_Week]]&amp;"-"&amp;Table1[[#This Row],[DC_name_Xref]]</f>
        <v>201846-FFC-ODC</v>
      </c>
      <c r="B139" s="19" t="str">
        <f>Table1[[#This Row],[Fiscal_Year]]*100+Table1[[#This Row],[Fiscal_Week]] &amp; "-" &amp;Table1[[#This Row],[BRAND]]</f>
        <v>201846-Gap Factory Store</v>
      </c>
      <c r="C139" t="str">
        <f>Table1[[#This Row],[Fiscal_Year]]&amp;"-"&amp;Table1[[#This Row],[BRAND]]</f>
        <v>2018-Gap Factory Store</v>
      </c>
      <c r="D139">
        <v>2018</v>
      </c>
      <c r="E139">
        <v>46</v>
      </c>
      <c r="F139" t="s">
        <v>22</v>
      </c>
      <c r="G139" t="s">
        <v>23</v>
      </c>
      <c r="H139">
        <v>5</v>
      </c>
      <c r="I139">
        <v>0</v>
      </c>
      <c r="J139" t="str">
        <f>VLOOKUP(H139,DC_Xref!A:B,2,FALSE)</f>
        <v>FFC-ODC</v>
      </c>
      <c r="K139">
        <f t="shared" si="2"/>
        <v>201846</v>
      </c>
      <c r="L139">
        <f>IFERROR(Table1[[#This Row],[Demand]]/SUMIFS(Table1[Demand],Table1[Fiscal_Year],Table1[[#This Row],[Fiscal_Year]],Table1[BRAND],Table1[[#This Row],[BRAND]],Table1[DC_name_Xref],Table1[[#This Row],[DC_name_Xref]]),0)</f>
        <v>0</v>
      </c>
      <c r="M1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" s="3">
        <f>IFERROR(INDEX(Table3[#All],MATCH(Table1[[#This Row],[Key_Year_Week_Brand]],Table3[[#All],[Key_Year_Week_Brand]],0),MATCH(Table1[[#This Row],[DC_name_Xref]],Table3[#Headers],0)),0)</f>
        <v>0</v>
      </c>
      <c r="O139">
        <f>IFERROR(INDEX(Table35[#All],MATCH(Table1[[#This Row],[Key_Year_Week_Brand]],Table35[[#All],[Key_Year_Month_Brand]],0),MATCH(Table1[[#This Row],[DC_name_Xref]],Table35[#Headers],0)),0)</f>
        <v>0</v>
      </c>
    </row>
    <row r="140" spans="1:15" x14ac:dyDescent="0.3">
      <c r="A140" s="19" t="str">
        <f>Table1[[#This Row],[Year_Week]]&amp;"-"&amp;Table1[[#This Row],[DC_name_Xref]]</f>
        <v>201846-WEO</v>
      </c>
      <c r="B140" s="19" t="str">
        <f>Table1[[#This Row],[Fiscal_Year]]*100+Table1[[#This Row],[Fiscal_Week]] &amp; "-" &amp;Table1[[#This Row],[BRAND]]</f>
        <v>201846-Gap Factory Store</v>
      </c>
      <c r="C140" t="str">
        <f>Table1[[#This Row],[Fiscal_Year]]&amp;"-"&amp;Table1[[#This Row],[BRAND]]</f>
        <v>2018-Gap Factory Store</v>
      </c>
      <c r="D140">
        <v>2018</v>
      </c>
      <c r="E140">
        <v>46</v>
      </c>
      <c r="F140" t="s">
        <v>22</v>
      </c>
      <c r="G140" t="s">
        <v>10</v>
      </c>
      <c r="H140">
        <v>6</v>
      </c>
      <c r="I140">
        <v>0</v>
      </c>
      <c r="J140" t="str">
        <f>VLOOKUP(H140,DC_Xref!A:B,2,FALSE)</f>
        <v>WEO</v>
      </c>
      <c r="K140">
        <f t="shared" si="2"/>
        <v>201846</v>
      </c>
      <c r="L140">
        <f>IFERROR(Table1[[#This Row],[Demand]]/SUMIFS(Table1[Demand],Table1[Fiscal_Year],Table1[[#This Row],[Fiscal_Year]],Table1[BRAND],Table1[[#This Row],[BRAND]],Table1[DC_name_Xref],Table1[[#This Row],[DC_name_Xref]]),0)</f>
        <v>0</v>
      </c>
      <c r="M1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" s="3">
        <f>IFERROR(INDEX(Table3[#All],MATCH(Table1[[#This Row],[Key_Year_Week_Brand]],Table3[[#All],[Key_Year_Week_Brand]],0),MATCH(Table1[[#This Row],[DC_name_Xref]],Table3[#Headers],0)),0)</f>
        <v>0</v>
      </c>
      <c r="O140">
        <f>IFERROR(INDEX(Table35[#All],MATCH(Table1[[#This Row],[Key_Year_Week_Brand]],Table35[[#All],[Key_Year_Month_Brand]],0),MATCH(Table1[[#This Row],[DC_name_Xref]],Table35[#Headers],0)),0)</f>
        <v>0</v>
      </c>
    </row>
    <row r="141" spans="1:15" x14ac:dyDescent="0.3">
      <c r="A141" s="19" t="str">
        <f>Table1[[#This Row],[Year_Week]]&amp;"-"&amp;Table1[[#This Row],[DC_name_Xref]]</f>
        <v>201846-OCC</v>
      </c>
      <c r="B141" s="19" t="str">
        <f>Table1[[#This Row],[Fiscal_Year]]*100+Table1[[#This Row],[Fiscal_Week]] &amp; "-" &amp;Table1[[#This Row],[BRAND]]</f>
        <v>201846-Gap Factory Store</v>
      </c>
      <c r="C141" t="str">
        <f>Table1[[#This Row],[Fiscal_Year]]&amp;"-"&amp;Table1[[#This Row],[BRAND]]</f>
        <v>2018-Gap Factory Store</v>
      </c>
      <c r="D141">
        <v>2018</v>
      </c>
      <c r="E141">
        <v>46</v>
      </c>
      <c r="F141" t="s">
        <v>22</v>
      </c>
      <c r="G141" t="s">
        <v>11</v>
      </c>
      <c r="H141">
        <v>7</v>
      </c>
      <c r="I141">
        <v>0</v>
      </c>
      <c r="J141" t="str">
        <f>VLOOKUP(H141,DC_Xref!A:B,2,FALSE)</f>
        <v>OCC</v>
      </c>
      <c r="K141">
        <f t="shared" si="2"/>
        <v>201846</v>
      </c>
      <c r="L141">
        <f>IFERROR(Table1[[#This Row],[Demand]]/SUMIFS(Table1[Demand],Table1[Fiscal_Year],Table1[[#This Row],[Fiscal_Year]],Table1[BRAND],Table1[[#This Row],[BRAND]],Table1[DC_name_Xref],Table1[[#This Row],[DC_name_Xref]]),0)</f>
        <v>0</v>
      </c>
      <c r="M1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" s="3">
        <f>IFERROR(INDEX(Table3[#All],MATCH(Table1[[#This Row],[Key_Year_Week_Brand]],Table3[[#All],[Key_Year_Week_Brand]],0),MATCH(Table1[[#This Row],[DC_name_Xref]],Table3[#Headers],0)),0)</f>
        <v>0</v>
      </c>
      <c r="O141">
        <f>IFERROR(INDEX(Table35[#All],MATCH(Table1[[#This Row],[Key_Year_Week_Brand]],Table35[[#All],[Key_Year_Month_Brand]],0),MATCH(Table1[[#This Row],[DC_name_Xref]],Table35[#Headers],0)),0)</f>
        <v>0</v>
      </c>
    </row>
    <row r="142" spans="1:15" x14ac:dyDescent="0.3">
      <c r="A142" s="19" t="str">
        <f>Table1[[#This Row],[Year_Week]]&amp;"-"&amp;Table1[[#This Row],[DC_name_Xref]]</f>
        <v>201846-OFC</v>
      </c>
      <c r="B142" s="19" t="str">
        <f>Table1[[#This Row],[Fiscal_Year]]*100+Table1[[#This Row],[Fiscal_Week]] &amp; "-" &amp;Table1[[#This Row],[BRAND]]</f>
        <v>201846-Gap</v>
      </c>
      <c r="C142" t="str">
        <f>Table1[[#This Row],[Fiscal_Year]]&amp;"-"&amp;Table1[[#This Row],[BRAND]]</f>
        <v>2018-Gap</v>
      </c>
      <c r="D142">
        <v>2018</v>
      </c>
      <c r="E142">
        <v>46</v>
      </c>
      <c r="F142" t="s">
        <v>16</v>
      </c>
      <c r="G142" t="s">
        <v>5</v>
      </c>
      <c r="H142">
        <v>1</v>
      </c>
      <c r="I142">
        <v>628423</v>
      </c>
      <c r="J142" t="str">
        <f>VLOOKUP(H142,DC_Xref!A:B,2,FALSE)</f>
        <v>OFC</v>
      </c>
      <c r="K142">
        <f t="shared" si="2"/>
        <v>201846</v>
      </c>
      <c r="L142">
        <f>IFERROR(Table1[[#This Row],[Demand]]/SUMIFS(Table1[Demand],Table1[Fiscal_Year],Table1[[#This Row],[Fiscal_Year]],Table1[BRAND],Table1[[#This Row],[BRAND]],Table1[DC_name_Xref],Table1[[#This Row],[DC_name_Xref]]),0)</f>
        <v>0.11361416313955572</v>
      </c>
      <c r="M1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0.66900258652960543</v>
      </c>
      <c r="N142" s="3">
        <f>IFERROR(INDEX(Table3[#All],MATCH(Table1[[#This Row],[Key_Year_Week_Brand]],Table3[[#All],[Key_Year_Week_Brand]],0),MATCH(Table1[[#This Row],[DC_name_Xref]],Table3[#Headers],0)),0)</f>
        <v>0.25</v>
      </c>
      <c r="O142">
        <f>IFERROR(INDEX(Table35[#All],MATCH(Table1[[#This Row],[Key_Year_Week_Brand]],Table35[[#All],[Key_Year_Month_Brand]],0),MATCH(Table1[[#This Row],[DC_name_Xref]],Table35[#Headers],0)),0)</f>
        <v>212155.75</v>
      </c>
    </row>
    <row r="143" spans="1:15" x14ac:dyDescent="0.3">
      <c r="A143" s="19" t="str">
        <f>Table1[[#This Row],[Year_Week]]&amp;"-"&amp;Table1[[#This Row],[DC_name_Xref]]</f>
        <v>201846-TFC</v>
      </c>
      <c r="B143" s="19" t="str">
        <f>Table1[[#This Row],[Fiscal_Year]]*100+Table1[[#This Row],[Fiscal_Week]] &amp; "-" &amp;Table1[[#This Row],[BRAND]]</f>
        <v>201846-Gap</v>
      </c>
      <c r="C143" t="str">
        <f>Table1[[#This Row],[Fiscal_Year]]&amp;"-"&amp;Table1[[#This Row],[BRAND]]</f>
        <v>2018-Gap</v>
      </c>
      <c r="D143">
        <v>2018</v>
      </c>
      <c r="E143">
        <v>46</v>
      </c>
      <c r="F143" t="s">
        <v>16</v>
      </c>
      <c r="G143" t="s">
        <v>21</v>
      </c>
      <c r="H143">
        <v>2</v>
      </c>
      <c r="I143">
        <v>179</v>
      </c>
      <c r="J143" t="str">
        <f>VLOOKUP(H143,DC_Xref!A:B,2,FALSE)</f>
        <v>TFC</v>
      </c>
      <c r="K143">
        <f t="shared" si="2"/>
        <v>201846</v>
      </c>
      <c r="L143">
        <f>IFERROR(Table1[[#This Row],[Demand]]/SUMIFS(Table1[Demand],Table1[Fiscal_Year],Table1[[#This Row],[Fiscal_Year]],Table1[BRAND],Table1[[#This Row],[BRAND]],Table1[DC_name_Xref],Table1[[#This Row],[DC_name_Xref]]),0)</f>
        <v>0.18008048289738432</v>
      </c>
      <c r="M1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1.2022494401496885E-4</v>
      </c>
      <c r="N143" s="3">
        <f>IFERROR(INDEX(Table3[#All],MATCH(Table1[[#This Row],[Key_Year_Week_Brand]],Table3[[#All],[Key_Year_Week_Brand]],0),MATCH(Table1[[#This Row],[DC_name_Xref]],Table3[#Headers],0)),0)</f>
        <v>0.2</v>
      </c>
      <c r="O143">
        <f>IFERROR(INDEX(Table35[#All],MATCH(Table1[[#This Row],[Key_Year_Week_Brand]],Table35[[#All],[Key_Year_Month_Brand]],0),MATCH(Table1[[#This Row],[DC_name_Xref]],Table35[#Headers],0)),0)</f>
        <v>169724.6</v>
      </c>
    </row>
    <row r="144" spans="1:15" x14ac:dyDescent="0.3">
      <c r="A144" s="19" t="str">
        <f>Table1[[#This Row],[Year_Week]]&amp;"-"&amp;Table1[[#This Row],[DC_name_Xref]]</f>
        <v>201846-WFC</v>
      </c>
      <c r="B144" s="19" t="str">
        <f>Table1[[#This Row],[Fiscal_Year]]*100+Table1[[#This Row],[Fiscal_Week]] &amp; "-" &amp;Table1[[#This Row],[BRAND]]</f>
        <v>201846-Gap</v>
      </c>
      <c r="C144" t="str">
        <f>Table1[[#This Row],[Fiscal_Year]]&amp;"-"&amp;Table1[[#This Row],[BRAND]]</f>
        <v>2018-Gap</v>
      </c>
      <c r="D144">
        <v>2018</v>
      </c>
      <c r="E144">
        <v>46</v>
      </c>
      <c r="F144" t="s">
        <v>16</v>
      </c>
      <c r="G144" t="s">
        <v>7</v>
      </c>
      <c r="H144">
        <v>3</v>
      </c>
      <c r="I144">
        <v>12647</v>
      </c>
      <c r="J144" t="str">
        <f>VLOOKUP(H144,DC_Xref!A:B,2,FALSE)</f>
        <v>WFC</v>
      </c>
      <c r="K144">
        <f t="shared" si="2"/>
        <v>201846</v>
      </c>
      <c r="L144">
        <f>IFERROR(Table1[[#This Row],[Demand]]/SUMIFS(Table1[Demand],Table1[Fiscal_Year],Table1[[#This Row],[Fiscal_Year]],Table1[BRAND],Table1[[#This Row],[BRAND]],Table1[DC_name_Xref],Table1[[#This Row],[DC_name_Xref]]),0)</f>
        <v>6.4217528181171935E-2</v>
      </c>
      <c r="M1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2.3820020597895338E-2</v>
      </c>
      <c r="N144" s="3">
        <f>IFERROR(INDEX(Table3[#All],MATCH(Table1[[#This Row],[Key_Year_Week_Brand]],Table3[[#All],[Key_Year_Week_Brand]],0),MATCH(Table1[[#This Row],[DC_name_Xref]],Table3[#Headers],0)),0)</f>
        <v>0.15</v>
      </c>
      <c r="O144">
        <f>IFERROR(INDEX(Table35[#All],MATCH(Table1[[#This Row],[Key_Year_Week_Brand]],Table35[[#All],[Key_Year_Month_Brand]],0),MATCH(Table1[[#This Row],[DC_name_Xref]],Table35[#Headers],0)),0)</f>
        <v>127293.45</v>
      </c>
    </row>
    <row r="145" spans="1:15" x14ac:dyDescent="0.3">
      <c r="A145" s="19" t="str">
        <f>Table1[[#This Row],[Year_Week]]&amp;"-"&amp;Table1[[#This Row],[DC_name_Xref]]</f>
        <v>201846-EAO</v>
      </c>
      <c r="B145" s="19" t="str">
        <f>Table1[[#This Row],[Fiscal_Year]]*100+Table1[[#This Row],[Fiscal_Week]] &amp; "-" &amp;Table1[[#This Row],[BRAND]]</f>
        <v>201846-Gap</v>
      </c>
      <c r="C145" t="str">
        <f>Table1[[#This Row],[Fiscal_Year]]&amp;"-"&amp;Table1[[#This Row],[BRAND]]</f>
        <v>2018-Gap</v>
      </c>
      <c r="D145">
        <v>2018</v>
      </c>
      <c r="E145">
        <v>46</v>
      </c>
      <c r="F145" t="s">
        <v>16</v>
      </c>
      <c r="G145" t="s">
        <v>8</v>
      </c>
      <c r="H145">
        <v>4</v>
      </c>
      <c r="I145">
        <v>107</v>
      </c>
      <c r="J145" t="str">
        <f>VLOOKUP(H145,DC_Xref!A:B,2,FALSE)</f>
        <v>EAO</v>
      </c>
      <c r="K145">
        <f t="shared" si="2"/>
        <v>201846</v>
      </c>
      <c r="L145">
        <f>IFERROR(Table1[[#This Row],[Demand]]/SUMIFS(Table1[Demand],Table1[Fiscal_Year],Table1[[#This Row],[Fiscal_Year]],Table1[BRAND],Table1[[#This Row],[BRAND]],Table1[DC_name_Xref],Table1[[#This Row],[DC_name_Xref]]),0)</f>
        <v>0.10775427995971802</v>
      </c>
      <c r="M1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1.2010399336706647E-4</v>
      </c>
      <c r="N145" s="3">
        <f>IFERROR(INDEX(Table3[#All],MATCH(Table1[[#This Row],[Key_Year_Week_Brand]],Table3[[#All],[Key_Year_Week_Brand]],0),MATCH(Table1[[#This Row],[DC_name_Xref]],Table3[#Headers],0)),0)</f>
        <v>0</v>
      </c>
      <c r="O145">
        <f>IFERROR(INDEX(Table35[#All],MATCH(Table1[[#This Row],[Key_Year_Week_Brand]],Table35[[#All],[Key_Year_Month_Brand]],0),MATCH(Table1[[#This Row],[DC_name_Xref]],Table35[#Headers],0)),0)</f>
        <v>0</v>
      </c>
    </row>
    <row r="146" spans="1:15" x14ac:dyDescent="0.3">
      <c r="A146" s="19" t="str">
        <f>Table1[[#This Row],[Year_Week]]&amp;"-"&amp;Table1[[#This Row],[DC_name_Xref]]</f>
        <v>201846-FFC-ODC</v>
      </c>
      <c r="B146" s="19" t="str">
        <f>Table1[[#This Row],[Fiscal_Year]]*100+Table1[[#This Row],[Fiscal_Week]] &amp; "-" &amp;Table1[[#This Row],[BRAND]]</f>
        <v>201846-Gap</v>
      </c>
      <c r="C146" t="str">
        <f>Table1[[#This Row],[Fiscal_Year]]&amp;"-"&amp;Table1[[#This Row],[BRAND]]</f>
        <v>2018-Gap</v>
      </c>
      <c r="D146">
        <v>2018</v>
      </c>
      <c r="E146">
        <v>46</v>
      </c>
      <c r="F146" t="s">
        <v>16</v>
      </c>
      <c r="G146" t="s">
        <v>23</v>
      </c>
      <c r="H146">
        <v>5</v>
      </c>
      <c r="I146">
        <v>0</v>
      </c>
      <c r="J146" t="str">
        <f>VLOOKUP(H146,DC_Xref!A:B,2,FALSE)</f>
        <v>FFC-ODC</v>
      </c>
      <c r="K146">
        <f t="shared" si="2"/>
        <v>201846</v>
      </c>
      <c r="L146">
        <f>IFERROR(Table1[[#This Row],[Demand]]/SUMIFS(Table1[Demand],Table1[Fiscal_Year],Table1[[#This Row],[Fiscal_Year]],Table1[BRAND],Table1[[#This Row],[BRAND]],Table1[DC_name_Xref],Table1[[#This Row],[DC_name_Xref]]),0)</f>
        <v>0</v>
      </c>
      <c r="M1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" s="3">
        <f>IFERROR(INDEX(Table3[#All],MATCH(Table1[[#This Row],[Key_Year_Week_Brand]],Table3[[#All],[Key_Year_Week_Brand]],0),MATCH(Table1[[#This Row],[DC_name_Xref]],Table3[#Headers],0)),0)</f>
        <v>0</v>
      </c>
      <c r="O146">
        <f>IFERROR(INDEX(Table35[#All],MATCH(Table1[[#This Row],[Key_Year_Week_Brand]],Table35[[#All],[Key_Year_Month_Brand]],0),MATCH(Table1[[#This Row],[DC_name_Xref]],Table35[#Headers],0)),0)</f>
        <v>0</v>
      </c>
    </row>
    <row r="147" spans="1:15" x14ac:dyDescent="0.3">
      <c r="A147" s="19" t="str">
        <f>Table1[[#This Row],[Year_Week]]&amp;"-"&amp;Table1[[#This Row],[DC_name_Xref]]</f>
        <v>201846-WEO</v>
      </c>
      <c r="B147" s="19" t="str">
        <f>Table1[[#This Row],[Fiscal_Year]]*100+Table1[[#This Row],[Fiscal_Week]] &amp; "-" &amp;Table1[[#This Row],[BRAND]]</f>
        <v>201846-Gap</v>
      </c>
      <c r="C147" t="str">
        <f>Table1[[#This Row],[Fiscal_Year]]&amp;"-"&amp;Table1[[#This Row],[BRAND]]</f>
        <v>2018-Gap</v>
      </c>
      <c r="D147">
        <v>2018</v>
      </c>
      <c r="E147">
        <v>46</v>
      </c>
      <c r="F147" t="s">
        <v>16</v>
      </c>
      <c r="G147" t="s">
        <v>10</v>
      </c>
      <c r="H147">
        <v>6</v>
      </c>
      <c r="I147">
        <v>207267</v>
      </c>
      <c r="J147" t="str">
        <f>VLOOKUP(H147,DC_Xref!A:B,2,FALSE)</f>
        <v>WEO</v>
      </c>
      <c r="K147">
        <f t="shared" si="2"/>
        <v>201846</v>
      </c>
      <c r="L147">
        <f>IFERROR(Table1[[#This Row],[Demand]]/SUMIFS(Table1[Demand],Table1[Fiscal_Year],Table1[[#This Row],[Fiscal_Year]],Table1[BRAND],Table1[[#This Row],[BRAND]],Table1[DC_name_Xref],Table1[[#This Row],[DC_name_Xref]]),0)</f>
        <v>8.1674977982074348E-2</v>
      </c>
      <c r="M1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0.30693706393511722</v>
      </c>
      <c r="N147" s="3">
        <f>IFERROR(INDEX(Table3[#All],MATCH(Table1[[#This Row],[Key_Year_Week_Brand]],Table3[[#All],[Key_Year_Week_Brand]],0),MATCH(Table1[[#This Row],[DC_name_Xref]],Table3[#Headers],0)),0)</f>
        <v>0.4</v>
      </c>
      <c r="O147">
        <f>IFERROR(INDEX(Table35[#All],MATCH(Table1[[#This Row],[Key_Year_Week_Brand]],Table35[[#All],[Key_Year_Month_Brand]],0),MATCH(Table1[[#This Row],[DC_name_Xref]],Table35[#Headers],0)),0)</f>
        <v>339449.2</v>
      </c>
    </row>
    <row r="148" spans="1:15" x14ac:dyDescent="0.3">
      <c r="A148" s="19" t="str">
        <f>Table1[[#This Row],[Year_Week]]&amp;"-"&amp;Table1[[#This Row],[DC_name_Xref]]</f>
        <v>201846-OCC</v>
      </c>
      <c r="B148" s="19" t="str">
        <f>Table1[[#This Row],[Fiscal_Year]]*100+Table1[[#This Row],[Fiscal_Week]] &amp; "-" &amp;Table1[[#This Row],[BRAND]]</f>
        <v>201846-Gap</v>
      </c>
      <c r="C148" t="str">
        <f>Table1[[#This Row],[Fiscal_Year]]&amp;"-"&amp;Table1[[#This Row],[BRAND]]</f>
        <v>2018-Gap</v>
      </c>
      <c r="D148">
        <v>2018</v>
      </c>
      <c r="E148">
        <v>46</v>
      </c>
      <c r="F148" t="s">
        <v>16</v>
      </c>
      <c r="G148" t="s">
        <v>11</v>
      </c>
      <c r="H148">
        <v>7</v>
      </c>
      <c r="I148">
        <v>0</v>
      </c>
      <c r="J148" t="str">
        <f>VLOOKUP(H148,DC_Xref!A:B,2,FALSE)</f>
        <v>OCC</v>
      </c>
      <c r="K148">
        <f t="shared" si="2"/>
        <v>201846</v>
      </c>
      <c r="L148">
        <f>IFERROR(Table1[[#This Row],[Demand]]/SUMIFS(Table1[Demand],Table1[Fiscal_Year],Table1[[#This Row],[Fiscal_Year]],Table1[BRAND],Table1[[#This Row],[BRAND]],Table1[DC_name_Xref],Table1[[#This Row],[DC_name_Xref]]),0)</f>
        <v>0</v>
      </c>
      <c r="M1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" s="3">
        <f>IFERROR(INDEX(Table3[#All],MATCH(Table1[[#This Row],[Key_Year_Week_Brand]],Table3[[#All],[Key_Year_Week_Brand]],0),MATCH(Table1[[#This Row],[DC_name_Xref]],Table3[#Headers],0)),0)</f>
        <v>0</v>
      </c>
      <c r="O148">
        <f>IFERROR(INDEX(Table35[#All],MATCH(Table1[[#This Row],[Key_Year_Week_Brand]],Table35[[#All],[Key_Year_Month_Brand]],0),MATCH(Table1[[#This Row],[DC_name_Xref]],Table35[#Headers],0)),0)</f>
        <v>0</v>
      </c>
    </row>
    <row r="149" spans="1:15" x14ac:dyDescent="0.3">
      <c r="A149" s="19" t="str">
        <f>Table1[[#This Row],[Year_Week]]&amp;"-"&amp;Table1[[#This Row],[DC_name_Xref]]</f>
        <v>201846-OFC</v>
      </c>
      <c r="B149" s="19" t="str">
        <f>Table1[[#This Row],[Fiscal_Year]]*100+Table1[[#This Row],[Fiscal_Week]] &amp; "-" &amp;Table1[[#This Row],[BRAND]]</f>
        <v>201846-Banana Republic</v>
      </c>
      <c r="C149" t="str">
        <f>Table1[[#This Row],[Fiscal_Year]]&amp;"-"&amp;Table1[[#This Row],[BRAND]]</f>
        <v>2018-Banana Republic</v>
      </c>
      <c r="D149">
        <v>2018</v>
      </c>
      <c r="E149">
        <v>46</v>
      </c>
      <c r="F149" t="s">
        <v>18</v>
      </c>
      <c r="G149" t="s">
        <v>5</v>
      </c>
      <c r="H149">
        <v>1</v>
      </c>
      <c r="I149">
        <v>7599</v>
      </c>
      <c r="J149" t="str">
        <f>VLOOKUP(H149,DC_Xref!A:B,2,FALSE)</f>
        <v>OFC</v>
      </c>
      <c r="K149">
        <f t="shared" si="2"/>
        <v>201846</v>
      </c>
      <c r="L149">
        <f>IFERROR(Table1[[#This Row],[Demand]]/SUMIFS(Table1[Demand],Table1[Fiscal_Year],Table1[[#This Row],[Fiscal_Year]],Table1[BRAND],Table1[[#This Row],[BRAND]],Table1[DC_name_Xref],Table1[[#This Row],[DC_name_Xref]]),0)</f>
        <v>0.22197230823158265</v>
      </c>
      <c r="M1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2.132932922954231E-2</v>
      </c>
      <c r="N149" s="3">
        <f>IFERROR(INDEX(Table3[#All],MATCH(Table1[[#This Row],[Key_Year_Week_Brand]],Table3[[#All],[Key_Year_Week_Brand]],0),MATCH(Table1[[#This Row],[DC_name_Xref]],Table3[#Headers],0)),0)</f>
        <v>0</v>
      </c>
      <c r="O149">
        <f>IFERROR(INDEX(Table35[#All],MATCH(Table1[[#This Row],[Key_Year_Week_Brand]],Table35[[#All],[Key_Year_Month_Brand]],0),MATCH(Table1[[#This Row],[DC_name_Xref]],Table35[#Headers],0)),0)</f>
        <v>0</v>
      </c>
    </row>
    <row r="150" spans="1:15" x14ac:dyDescent="0.3">
      <c r="A150" s="19" t="str">
        <f>Table1[[#This Row],[Year_Week]]&amp;"-"&amp;Table1[[#This Row],[DC_name_Xref]]</f>
        <v>201846-TFC</v>
      </c>
      <c r="B150" s="19" t="str">
        <f>Table1[[#This Row],[Fiscal_Year]]*100+Table1[[#This Row],[Fiscal_Week]] &amp; "-" &amp;Table1[[#This Row],[BRAND]]</f>
        <v>201846-Banana Republic</v>
      </c>
      <c r="C150" t="str">
        <f>Table1[[#This Row],[Fiscal_Year]]&amp;"-"&amp;Table1[[#This Row],[BRAND]]</f>
        <v>2018-Banana Republic</v>
      </c>
      <c r="D150">
        <v>2018</v>
      </c>
      <c r="E150">
        <v>46</v>
      </c>
      <c r="F150" t="s">
        <v>18</v>
      </c>
      <c r="G150" t="s">
        <v>21</v>
      </c>
      <c r="H150">
        <v>2</v>
      </c>
      <c r="I150">
        <v>183322</v>
      </c>
      <c r="J150" t="str">
        <f>VLOOKUP(H150,DC_Xref!A:B,2,FALSE)</f>
        <v>TFC</v>
      </c>
      <c r="K150">
        <f t="shared" si="2"/>
        <v>201846</v>
      </c>
      <c r="L150">
        <f>IFERROR(Table1[[#This Row],[Demand]]/SUMIFS(Table1[Demand],Table1[Fiscal_Year],Table1[[#This Row],[Fiscal_Year]],Table1[BRAND],Table1[[#This Row],[BRAND]],Table1[DC_name_Xref],Table1[[#This Row],[DC_name_Xref]]),0)</f>
        <v>0.11671252691451149</v>
      </c>
      <c r="M1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0.97862581151636741</v>
      </c>
      <c r="N150" s="3">
        <f>IFERROR(INDEX(Table3[#All],MATCH(Table1[[#This Row],[Key_Year_Week_Brand]],Table3[[#All],[Key_Year_Week_Brand]],0),MATCH(Table1[[#This Row],[DC_name_Xref]],Table3[#Headers],0)),0)</f>
        <v>1</v>
      </c>
      <c r="O150">
        <f>IFERROR(INDEX(Table35[#All],MATCH(Table1[[#This Row],[Key_Year_Week_Brand]],Table35[[#All],[Key_Year_Month_Brand]],0),MATCH(Table1[[#This Row],[DC_name_Xref]],Table35[#Headers],0)),0)</f>
        <v>190924</v>
      </c>
    </row>
    <row r="151" spans="1:15" x14ac:dyDescent="0.3">
      <c r="A151" s="19" t="str">
        <f>Table1[[#This Row],[Year_Week]]&amp;"-"&amp;Table1[[#This Row],[DC_name_Xref]]</f>
        <v>201846-WFC</v>
      </c>
      <c r="B151" s="19" t="str">
        <f>Table1[[#This Row],[Fiscal_Year]]*100+Table1[[#This Row],[Fiscal_Week]] &amp; "-" &amp;Table1[[#This Row],[BRAND]]</f>
        <v>201846-Banana Republic</v>
      </c>
      <c r="C151" t="str">
        <f>Table1[[#This Row],[Fiscal_Year]]&amp;"-"&amp;Table1[[#This Row],[BRAND]]</f>
        <v>2018-Banana Republic</v>
      </c>
      <c r="D151">
        <v>2018</v>
      </c>
      <c r="E151">
        <v>46</v>
      </c>
      <c r="F151" t="s">
        <v>18</v>
      </c>
      <c r="G151" t="s">
        <v>7</v>
      </c>
      <c r="H151">
        <v>3</v>
      </c>
      <c r="I151">
        <v>1</v>
      </c>
      <c r="J151" t="str">
        <f>VLOOKUP(H151,DC_Xref!A:B,2,FALSE)</f>
        <v>WFC</v>
      </c>
      <c r="K151">
        <f t="shared" si="2"/>
        <v>201846</v>
      </c>
      <c r="L151">
        <f>IFERROR(Table1[[#This Row],[Demand]]/SUMIFS(Table1[Demand],Table1[Fiscal_Year],Table1[[#This Row],[Fiscal_Year]],Table1[BRAND],Table1[[#This Row],[BRAND]],Table1[DC_name_Xref],Table1[[#This Row],[DC_name_Xref]]),0)</f>
        <v>0.2</v>
      </c>
      <c r="M1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3.11522597849248E-6</v>
      </c>
      <c r="N151" s="3">
        <f>IFERROR(INDEX(Table3[#All],MATCH(Table1[[#This Row],[Key_Year_Week_Brand]],Table3[[#All],[Key_Year_Week_Brand]],0),MATCH(Table1[[#This Row],[DC_name_Xref]],Table3[#Headers],0)),0)</f>
        <v>3.4959629396853166E-6</v>
      </c>
      <c r="O151">
        <f>IFERROR(INDEX(Table35[#All],MATCH(Table1[[#This Row],[Key_Year_Week_Brand]],Table35[[#All],[Key_Year_Month_Brand]],0),MATCH(Table1[[#This Row],[DC_name_Xref]],Table35[#Headers],0)),0)</f>
        <v>0.66746322829647942</v>
      </c>
    </row>
    <row r="152" spans="1:15" x14ac:dyDescent="0.3">
      <c r="A152" s="19" t="str">
        <f>Table1[[#This Row],[Year_Week]]&amp;"-"&amp;Table1[[#This Row],[DC_name_Xref]]</f>
        <v>201846-EAO</v>
      </c>
      <c r="B152" s="19" t="str">
        <f>Table1[[#This Row],[Fiscal_Year]]*100+Table1[[#This Row],[Fiscal_Week]] &amp; "-" &amp;Table1[[#This Row],[BRAND]]</f>
        <v>201846-Banana Republic</v>
      </c>
      <c r="C152" t="str">
        <f>Table1[[#This Row],[Fiscal_Year]]&amp;"-"&amp;Table1[[#This Row],[BRAND]]</f>
        <v>2018-Banana Republic</v>
      </c>
      <c r="D152">
        <v>2018</v>
      </c>
      <c r="E152">
        <v>46</v>
      </c>
      <c r="F152" t="s">
        <v>18</v>
      </c>
      <c r="G152" t="s">
        <v>8</v>
      </c>
      <c r="H152">
        <v>4</v>
      </c>
      <c r="I152">
        <v>2</v>
      </c>
      <c r="J152" t="str">
        <f>VLOOKUP(H152,DC_Xref!A:B,2,FALSE)</f>
        <v>EAO</v>
      </c>
      <c r="K152">
        <f t="shared" si="2"/>
        <v>201846</v>
      </c>
      <c r="L152">
        <f>IFERROR(Table1[[#This Row],[Demand]]/SUMIFS(Table1[Demand],Table1[Fiscal_Year],Table1[[#This Row],[Fiscal_Year]],Table1[BRAND],Table1[[#This Row],[BRAND]],Table1[DC_name_Xref],Table1[[#This Row],[DC_name_Xref]]),0)</f>
        <v>2.9850746268656716E-2</v>
      </c>
      <c r="M1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4.174402811179923E-5</v>
      </c>
      <c r="N152" s="3">
        <f>IFERROR(INDEX(Table3[#All],MATCH(Table1[[#This Row],[Key_Year_Week_Brand]],Table3[[#All],[Key_Year_Week_Brand]],0),MATCH(Table1[[#This Row],[DC_name_Xref]],Table3[#Headers],0)),0)</f>
        <v>4.2339995602855504E-5</v>
      </c>
      <c r="O152">
        <f>IFERROR(INDEX(Table35[#All],MATCH(Table1[[#This Row],[Key_Year_Week_Brand]],Table35[[#All],[Key_Year_Month_Brand]],0),MATCH(Table1[[#This Row],[DC_name_Xref]],Table35[#Headers],0)),0)</f>
        <v>8.0837213204795848</v>
      </c>
    </row>
    <row r="153" spans="1:15" x14ac:dyDescent="0.3">
      <c r="A153" s="19" t="str">
        <f>Table1[[#This Row],[Year_Week]]&amp;"-"&amp;Table1[[#This Row],[DC_name_Xref]]</f>
        <v>201846-FFC-ODC</v>
      </c>
      <c r="B153" s="19" t="str">
        <f>Table1[[#This Row],[Fiscal_Year]]*100+Table1[[#This Row],[Fiscal_Week]] &amp; "-" &amp;Table1[[#This Row],[BRAND]]</f>
        <v>201846-Banana Republic</v>
      </c>
      <c r="C153" t="str">
        <f>Table1[[#This Row],[Fiscal_Year]]&amp;"-"&amp;Table1[[#This Row],[BRAND]]</f>
        <v>2018-Banana Republic</v>
      </c>
      <c r="D153">
        <v>2018</v>
      </c>
      <c r="E153">
        <v>46</v>
      </c>
      <c r="F153" t="s">
        <v>18</v>
      </c>
      <c r="G153" t="s">
        <v>23</v>
      </c>
      <c r="H153">
        <v>5</v>
      </c>
      <c r="I153">
        <v>0</v>
      </c>
      <c r="J153" t="str">
        <f>VLOOKUP(H153,DC_Xref!A:B,2,FALSE)</f>
        <v>FFC-ODC</v>
      </c>
      <c r="K153">
        <f t="shared" si="2"/>
        <v>201846</v>
      </c>
      <c r="L153">
        <f>IFERROR(Table1[[#This Row],[Demand]]/SUMIFS(Table1[Demand],Table1[Fiscal_Year],Table1[[#This Row],[Fiscal_Year]],Table1[BRAND],Table1[[#This Row],[BRAND]],Table1[DC_name_Xref],Table1[[#This Row],[DC_name_Xref]]),0)</f>
        <v>0</v>
      </c>
      <c r="M1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" s="3">
        <f>IFERROR(INDEX(Table3[#All],MATCH(Table1[[#This Row],[Key_Year_Week_Brand]],Table3[[#All],[Key_Year_Week_Brand]],0),MATCH(Table1[[#This Row],[DC_name_Xref]],Table3[#Headers],0)),0)</f>
        <v>0</v>
      </c>
      <c r="O153">
        <f>IFERROR(INDEX(Table35[#All],MATCH(Table1[[#This Row],[Key_Year_Week_Brand]],Table35[[#All],[Key_Year_Month_Brand]],0),MATCH(Table1[[#This Row],[DC_name_Xref]],Table35[#Headers],0)),0)</f>
        <v>0</v>
      </c>
    </row>
    <row r="154" spans="1:15" x14ac:dyDescent="0.3">
      <c r="A154" s="19" t="str">
        <f>Table1[[#This Row],[Year_Week]]&amp;"-"&amp;Table1[[#This Row],[DC_name_Xref]]</f>
        <v>201846-WEO</v>
      </c>
      <c r="B154" s="19" t="str">
        <f>Table1[[#This Row],[Fiscal_Year]]*100+Table1[[#This Row],[Fiscal_Week]] &amp; "-" &amp;Table1[[#This Row],[BRAND]]</f>
        <v>201846-Banana Republic</v>
      </c>
      <c r="C154" t="str">
        <f>Table1[[#This Row],[Fiscal_Year]]&amp;"-"&amp;Table1[[#This Row],[BRAND]]</f>
        <v>2018-Banana Republic</v>
      </c>
      <c r="D154">
        <v>2018</v>
      </c>
      <c r="E154">
        <v>46</v>
      </c>
      <c r="F154" t="s">
        <v>18</v>
      </c>
      <c r="G154" t="s">
        <v>10</v>
      </c>
      <c r="H154">
        <v>6</v>
      </c>
      <c r="I154">
        <v>0</v>
      </c>
      <c r="J154" t="str">
        <f>VLOOKUP(H154,DC_Xref!A:B,2,FALSE)</f>
        <v>WEO</v>
      </c>
      <c r="K154">
        <f t="shared" si="2"/>
        <v>201846</v>
      </c>
      <c r="L154">
        <f>IFERROR(Table1[[#This Row],[Demand]]/SUMIFS(Table1[Demand],Table1[Fiscal_Year],Table1[[#This Row],[Fiscal_Year]],Table1[BRAND],Table1[[#This Row],[BRAND]],Table1[DC_name_Xref],Table1[[#This Row],[DC_name_Xref]]),0)</f>
        <v>0</v>
      </c>
      <c r="M1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" s="3">
        <f>IFERROR(INDEX(Table3[#All],MATCH(Table1[[#This Row],[Key_Year_Week_Brand]],Table3[[#All],[Key_Year_Week_Brand]],0),MATCH(Table1[[#This Row],[DC_name_Xref]],Table3[#Headers],0)),0)</f>
        <v>0</v>
      </c>
      <c r="O154">
        <f>IFERROR(INDEX(Table35[#All],MATCH(Table1[[#This Row],[Key_Year_Week_Brand]],Table35[[#All],[Key_Year_Month_Brand]],0),MATCH(Table1[[#This Row],[DC_name_Xref]],Table35[#Headers],0)),0)</f>
        <v>0</v>
      </c>
    </row>
    <row r="155" spans="1:15" x14ac:dyDescent="0.3">
      <c r="A155" s="19" t="str">
        <f>Table1[[#This Row],[Year_Week]]&amp;"-"&amp;Table1[[#This Row],[DC_name_Xref]]</f>
        <v>201846-OCC</v>
      </c>
      <c r="B155" s="19" t="str">
        <f>Table1[[#This Row],[Fiscal_Year]]*100+Table1[[#This Row],[Fiscal_Week]] &amp; "-" &amp;Table1[[#This Row],[BRAND]]</f>
        <v>201846-Banana Republic</v>
      </c>
      <c r="C155" t="str">
        <f>Table1[[#This Row],[Fiscal_Year]]&amp;"-"&amp;Table1[[#This Row],[BRAND]]</f>
        <v>2018-Banana Republic</v>
      </c>
      <c r="D155">
        <v>2018</v>
      </c>
      <c r="E155">
        <v>46</v>
      </c>
      <c r="F155" t="s">
        <v>18</v>
      </c>
      <c r="G155" t="s">
        <v>11</v>
      </c>
      <c r="H155">
        <v>7</v>
      </c>
      <c r="I155">
        <v>0</v>
      </c>
      <c r="J155" t="str">
        <f>VLOOKUP(H155,DC_Xref!A:B,2,FALSE)</f>
        <v>OCC</v>
      </c>
      <c r="K155">
        <f t="shared" si="2"/>
        <v>201846</v>
      </c>
      <c r="L155">
        <f>IFERROR(Table1[[#This Row],[Demand]]/SUMIFS(Table1[Demand],Table1[Fiscal_Year],Table1[[#This Row],[Fiscal_Year]],Table1[BRAND],Table1[[#This Row],[BRAND]],Table1[DC_name_Xref],Table1[[#This Row],[DC_name_Xref]]),0)</f>
        <v>0</v>
      </c>
      <c r="M1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" s="3">
        <f>IFERROR(INDEX(Table3[#All],MATCH(Table1[[#This Row],[Key_Year_Week_Brand]],Table3[[#All],[Key_Year_Week_Brand]],0),MATCH(Table1[[#This Row],[DC_name_Xref]],Table3[#Headers],0)),0)</f>
        <v>0</v>
      </c>
      <c r="O155">
        <f>IFERROR(INDEX(Table35[#All],MATCH(Table1[[#This Row],[Key_Year_Week_Brand]],Table35[[#All],[Key_Year_Month_Brand]],0),MATCH(Table1[[#This Row],[DC_name_Xref]],Table35[#Headers],0)),0)</f>
        <v>0</v>
      </c>
    </row>
    <row r="156" spans="1:15" x14ac:dyDescent="0.3">
      <c r="A156" s="19" t="str">
        <f>Table1[[#This Row],[Year_Week]]&amp;"-"&amp;Table1[[#This Row],[DC_name_Xref]]</f>
        <v>201846-OFC</v>
      </c>
      <c r="B156" s="19" t="str">
        <f>Table1[[#This Row],[Fiscal_Year]]*100+Table1[[#This Row],[Fiscal_Week]] &amp; "-" &amp;Table1[[#This Row],[BRAND]]</f>
        <v>201846-Athleta</v>
      </c>
      <c r="C156" t="str">
        <f>Table1[[#This Row],[Fiscal_Year]]&amp;"-"&amp;Table1[[#This Row],[BRAND]]</f>
        <v>2018-Athleta</v>
      </c>
      <c r="D156">
        <v>2018</v>
      </c>
      <c r="E156">
        <v>46</v>
      </c>
      <c r="F156" t="s">
        <v>19</v>
      </c>
      <c r="G156" t="s">
        <v>5</v>
      </c>
      <c r="H156">
        <v>1</v>
      </c>
      <c r="I156">
        <v>18130</v>
      </c>
      <c r="J156" t="str">
        <f>VLOOKUP(H156,DC_Xref!A:B,2,FALSE)</f>
        <v>OFC</v>
      </c>
      <c r="K156">
        <f t="shared" si="2"/>
        <v>201846</v>
      </c>
      <c r="L156">
        <f>IFERROR(Table1[[#This Row],[Demand]]/SUMIFS(Table1[Demand],Table1[Fiscal_Year],Table1[[#This Row],[Fiscal_Year]],Table1[BRAND],Table1[[#This Row],[BRAND]],Table1[DC_name_Xref],Table1[[#This Row],[DC_name_Xref]]),0)</f>
        <v>0.17540464972281614</v>
      </c>
      <c r="M1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0.10136830192084012</v>
      </c>
      <c r="N156" s="3">
        <f>IFERROR(INDEX(Table3[#All],MATCH(Table1[[#This Row],[Key_Year_Week_Brand]],Table3[[#All],[Key_Year_Week_Brand]],0),MATCH(Table1[[#This Row],[DC_name_Xref]],Table3[#Headers],0)),0)</f>
        <v>0</v>
      </c>
      <c r="O156">
        <f>IFERROR(INDEX(Table35[#All],MATCH(Table1[[#This Row],[Key_Year_Week_Brand]],Table35[[#All],[Key_Year_Month_Brand]],0),MATCH(Table1[[#This Row],[DC_name_Xref]],Table35[#Headers],0)),0)</f>
        <v>0</v>
      </c>
    </row>
    <row r="157" spans="1:15" x14ac:dyDescent="0.3">
      <c r="A157" s="19" t="str">
        <f>Table1[[#This Row],[Year_Week]]&amp;"-"&amp;Table1[[#This Row],[DC_name_Xref]]</f>
        <v>201846-TFC</v>
      </c>
      <c r="B157" s="19" t="str">
        <f>Table1[[#This Row],[Fiscal_Year]]*100+Table1[[#This Row],[Fiscal_Week]] &amp; "-" &amp;Table1[[#This Row],[BRAND]]</f>
        <v>201846-Athleta</v>
      </c>
      <c r="C157" t="str">
        <f>Table1[[#This Row],[Fiscal_Year]]&amp;"-"&amp;Table1[[#This Row],[BRAND]]</f>
        <v>2018-Athleta</v>
      </c>
      <c r="D157">
        <v>2018</v>
      </c>
      <c r="E157">
        <v>46</v>
      </c>
      <c r="F157" t="s">
        <v>19</v>
      </c>
      <c r="G157" t="s">
        <v>21</v>
      </c>
      <c r="H157">
        <v>2</v>
      </c>
      <c r="I157">
        <v>139779</v>
      </c>
      <c r="J157" t="str">
        <f>VLOOKUP(H157,DC_Xref!A:B,2,FALSE)</f>
        <v>TFC</v>
      </c>
      <c r="K157">
        <f t="shared" si="2"/>
        <v>201846</v>
      </c>
      <c r="L157">
        <f>IFERROR(Table1[[#This Row],[Demand]]/SUMIFS(Table1[Demand],Table1[Fiscal_Year],Table1[[#This Row],[Fiscal_Year]],Table1[BRAND],Table1[[#This Row],[BRAND]],Table1[DC_name_Xref],Table1[[#This Row],[DC_name_Xref]]),0)</f>
        <v>0.15255352726621862</v>
      </c>
      <c r="M1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0.89859737284462049</v>
      </c>
      <c r="N157" s="3">
        <f>IFERROR(INDEX(Table3[#All],MATCH(Table1[[#This Row],[Key_Year_Week_Brand]],Table3[[#All],[Key_Year_Week_Brand]],0),MATCH(Table1[[#This Row],[DC_name_Xref]],Table3[#Headers],0)),0)</f>
        <v>1</v>
      </c>
      <c r="O157">
        <f>IFERROR(INDEX(Table35[#All],MATCH(Table1[[#This Row],[Key_Year_Week_Brand]],Table35[[#All],[Key_Year_Month_Brand]],0),MATCH(Table1[[#This Row],[DC_name_Xref]],Table35[#Headers],0)),0)</f>
        <v>157910</v>
      </c>
    </row>
    <row r="158" spans="1:15" x14ac:dyDescent="0.3">
      <c r="A158" s="19" t="str">
        <f>Table1[[#This Row],[Year_Week]]&amp;"-"&amp;Table1[[#This Row],[DC_name_Xref]]</f>
        <v>201846-WFC</v>
      </c>
      <c r="B158" s="19" t="str">
        <f>Table1[[#This Row],[Fiscal_Year]]*100+Table1[[#This Row],[Fiscal_Week]] &amp; "-" &amp;Table1[[#This Row],[BRAND]]</f>
        <v>201846-Athleta</v>
      </c>
      <c r="C158" t="str">
        <f>Table1[[#This Row],[Fiscal_Year]]&amp;"-"&amp;Table1[[#This Row],[BRAND]]</f>
        <v>2018-Athleta</v>
      </c>
      <c r="D158">
        <v>2018</v>
      </c>
      <c r="E158">
        <v>46</v>
      </c>
      <c r="F158" t="s">
        <v>19</v>
      </c>
      <c r="G158" t="s">
        <v>7</v>
      </c>
      <c r="H158">
        <v>3</v>
      </c>
      <c r="I158">
        <v>0</v>
      </c>
      <c r="J158" t="str">
        <f>VLOOKUP(H158,DC_Xref!A:B,2,FALSE)</f>
        <v>WFC</v>
      </c>
      <c r="K158">
        <f t="shared" si="2"/>
        <v>201846</v>
      </c>
      <c r="L158">
        <f>IFERROR(Table1[[#This Row],[Demand]]/SUMIFS(Table1[Demand],Table1[Fiscal_Year],Table1[[#This Row],[Fiscal_Year]],Table1[BRAND],Table1[[#This Row],[BRAND]],Table1[DC_name_Xref],Table1[[#This Row],[DC_name_Xref]]),0)</f>
        <v>0</v>
      </c>
      <c r="M1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" s="3">
        <f>IFERROR(INDEX(Table3[#All],MATCH(Table1[[#This Row],[Key_Year_Week_Brand]],Table3[[#All],[Key_Year_Week_Brand]],0),MATCH(Table1[[#This Row],[DC_name_Xref]],Table3[#Headers],0)),0)</f>
        <v>0</v>
      </c>
      <c r="O158">
        <f>IFERROR(INDEX(Table35[#All],MATCH(Table1[[#This Row],[Key_Year_Week_Brand]],Table35[[#All],[Key_Year_Month_Brand]],0),MATCH(Table1[[#This Row],[DC_name_Xref]],Table35[#Headers],0)),0)</f>
        <v>0</v>
      </c>
    </row>
    <row r="159" spans="1:15" x14ac:dyDescent="0.3">
      <c r="A159" s="19" t="str">
        <f>Table1[[#This Row],[Year_Week]]&amp;"-"&amp;Table1[[#This Row],[DC_name_Xref]]</f>
        <v>201846-EAO</v>
      </c>
      <c r="B159" s="19" t="str">
        <f>Table1[[#This Row],[Fiscal_Year]]*100+Table1[[#This Row],[Fiscal_Week]] &amp; "-" &amp;Table1[[#This Row],[BRAND]]</f>
        <v>201846-Athleta</v>
      </c>
      <c r="C159" t="str">
        <f>Table1[[#This Row],[Fiscal_Year]]&amp;"-"&amp;Table1[[#This Row],[BRAND]]</f>
        <v>2018-Athleta</v>
      </c>
      <c r="D159">
        <v>2018</v>
      </c>
      <c r="E159">
        <v>46</v>
      </c>
      <c r="F159" t="s">
        <v>19</v>
      </c>
      <c r="G159" t="s">
        <v>8</v>
      </c>
      <c r="H159">
        <v>4</v>
      </c>
      <c r="I159">
        <v>1</v>
      </c>
      <c r="J159" t="str">
        <f>VLOOKUP(H159,DC_Xref!A:B,2,FALSE)</f>
        <v>EAO</v>
      </c>
      <c r="K159">
        <f t="shared" si="2"/>
        <v>201846</v>
      </c>
      <c r="L159">
        <f>IFERROR(Table1[[#This Row],[Demand]]/SUMIFS(Table1[Demand],Table1[Fiscal_Year],Table1[[#This Row],[Fiscal_Year]],Table1[BRAND],Table1[[#This Row],[BRAND]],Table1[DC_name_Xref],Table1[[#This Row],[DC_name_Xref]]),0)</f>
        <v>2.8571428571428571E-2</v>
      </c>
      <c r="M1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3.4325234539424002E-5</v>
      </c>
      <c r="N159" s="3">
        <f>IFERROR(INDEX(Table3[#All],MATCH(Table1[[#This Row],[Key_Year_Week_Brand]],Table3[[#All],[Key_Year_Week_Brand]],0),MATCH(Table1[[#This Row],[DC_name_Xref]],Table3[#Headers],0)),0)</f>
        <v>3.447122356821831E-5</v>
      </c>
      <c r="O159">
        <f>IFERROR(INDEX(Table35[#All],MATCH(Table1[[#This Row],[Key_Year_Week_Brand]],Table35[[#All],[Key_Year_Month_Brand]],0),MATCH(Table1[[#This Row],[DC_name_Xref]],Table35[#Headers],0)),0)</f>
        <v>5.443350913657353</v>
      </c>
    </row>
    <row r="160" spans="1:15" x14ac:dyDescent="0.3">
      <c r="A160" s="19" t="str">
        <f>Table1[[#This Row],[Year_Week]]&amp;"-"&amp;Table1[[#This Row],[DC_name_Xref]]</f>
        <v>201846-FFC-ODC</v>
      </c>
      <c r="B160" s="19" t="str">
        <f>Table1[[#This Row],[Fiscal_Year]]*100+Table1[[#This Row],[Fiscal_Week]] &amp; "-" &amp;Table1[[#This Row],[BRAND]]</f>
        <v>201846-Athleta</v>
      </c>
      <c r="C160" t="str">
        <f>Table1[[#This Row],[Fiscal_Year]]&amp;"-"&amp;Table1[[#This Row],[BRAND]]</f>
        <v>2018-Athleta</v>
      </c>
      <c r="D160">
        <v>2018</v>
      </c>
      <c r="E160">
        <v>46</v>
      </c>
      <c r="F160" t="s">
        <v>19</v>
      </c>
      <c r="G160" t="s">
        <v>23</v>
      </c>
      <c r="H160">
        <v>5</v>
      </c>
      <c r="I160">
        <v>0</v>
      </c>
      <c r="J160" t="str">
        <f>VLOOKUP(H160,DC_Xref!A:B,2,FALSE)</f>
        <v>FFC-ODC</v>
      </c>
      <c r="K160">
        <f t="shared" si="2"/>
        <v>201846</v>
      </c>
      <c r="L160">
        <f>IFERROR(Table1[[#This Row],[Demand]]/SUMIFS(Table1[Demand],Table1[Fiscal_Year],Table1[[#This Row],[Fiscal_Year]],Table1[BRAND],Table1[[#This Row],[BRAND]],Table1[DC_name_Xref],Table1[[#This Row],[DC_name_Xref]]),0)</f>
        <v>0</v>
      </c>
      <c r="M1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" s="3">
        <f>IFERROR(INDEX(Table3[#All],MATCH(Table1[[#This Row],[Key_Year_Week_Brand]],Table3[[#All],[Key_Year_Week_Brand]],0),MATCH(Table1[[#This Row],[DC_name_Xref]],Table3[#Headers],0)),0)</f>
        <v>0</v>
      </c>
      <c r="O160">
        <f>IFERROR(INDEX(Table35[#All],MATCH(Table1[[#This Row],[Key_Year_Week_Brand]],Table35[[#All],[Key_Year_Month_Brand]],0),MATCH(Table1[[#This Row],[DC_name_Xref]],Table35[#Headers],0)),0)</f>
        <v>0</v>
      </c>
    </row>
    <row r="161" spans="1:15" x14ac:dyDescent="0.3">
      <c r="A161" s="19" t="str">
        <f>Table1[[#This Row],[Year_Week]]&amp;"-"&amp;Table1[[#This Row],[DC_name_Xref]]</f>
        <v>201846-WEO</v>
      </c>
      <c r="B161" s="19" t="str">
        <f>Table1[[#This Row],[Fiscal_Year]]*100+Table1[[#This Row],[Fiscal_Week]] &amp; "-" &amp;Table1[[#This Row],[BRAND]]</f>
        <v>201846-Athleta</v>
      </c>
      <c r="C161" t="str">
        <f>Table1[[#This Row],[Fiscal_Year]]&amp;"-"&amp;Table1[[#This Row],[BRAND]]</f>
        <v>2018-Athleta</v>
      </c>
      <c r="D161">
        <v>2018</v>
      </c>
      <c r="E161">
        <v>46</v>
      </c>
      <c r="F161" t="s">
        <v>19</v>
      </c>
      <c r="G161" t="s">
        <v>10</v>
      </c>
      <c r="H161">
        <v>6</v>
      </c>
      <c r="I161">
        <v>0</v>
      </c>
      <c r="J161" t="str">
        <f>VLOOKUP(H161,DC_Xref!A:B,2,FALSE)</f>
        <v>WEO</v>
      </c>
      <c r="K161">
        <f t="shared" si="2"/>
        <v>201846</v>
      </c>
      <c r="L161">
        <f>IFERROR(Table1[[#This Row],[Demand]]/SUMIFS(Table1[Demand],Table1[Fiscal_Year],Table1[[#This Row],[Fiscal_Year]],Table1[BRAND],Table1[[#This Row],[BRAND]],Table1[DC_name_Xref],Table1[[#This Row],[DC_name_Xref]]),0)</f>
        <v>0</v>
      </c>
      <c r="M1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" s="3">
        <f>IFERROR(INDEX(Table3[#All],MATCH(Table1[[#This Row],[Key_Year_Week_Brand]],Table3[[#All],[Key_Year_Week_Brand]],0),MATCH(Table1[[#This Row],[DC_name_Xref]],Table3[#Headers],0)),0)</f>
        <v>0</v>
      </c>
      <c r="O161">
        <f>IFERROR(INDEX(Table35[#All],MATCH(Table1[[#This Row],[Key_Year_Week_Brand]],Table35[[#All],[Key_Year_Month_Brand]],0),MATCH(Table1[[#This Row],[DC_name_Xref]],Table35[#Headers],0)),0)</f>
        <v>0</v>
      </c>
    </row>
    <row r="162" spans="1:15" x14ac:dyDescent="0.3">
      <c r="A162" s="19" t="str">
        <f>Table1[[#This Row],[Year_Week]]&amp;"-"&amp;Table1[[#This Row],[DC_name_Xref]]</f>
        <v>201846-OCC</v>
      </c>
      <c r="B162" s="19" t="str">
        <f>Table1[[#This Row],[Fiscal_Year]]*100+Table1[[#This Row],[Fiscal_Week]] &amp; "-" &amp;Table1[[#This Row],[BRAND]]</f>
        <v>201846-Athleta</v>
      </c>
      <c r="C162" t="str">
        <f>Table1[[#This Row],[Fiscal_Year]]&amp;"-"&amp;Table1[[#This Row],[BRAND]]</f>
        <v>2018-Athleta</v>
      </c>
      <c r="D162">
        <v>2018</v>
      </c>
      <c r="E162">
        <v>46</v>
      </c>
      <c r="F162" t="s">
        <v>19</v>
      </c>
      <c r="G162" t="s">
        <v>11</v>
      </c>
      <c r="H162">
        <v>7</v>
      </c>
      <c r="I162">
        <v>0</v>
      </c>
      <c r="J162" t="str">
        <f>VLOOKUP(H162,DC_Xref!A:B,2,FALSE)</f>
        <v>OCC</v>
      </c>
      <c r="K162">
        <f t="shared" si="2"/>
        <v>201846</v>
      </c>
      <c r="L162">
        <f>IFERROR(Table1[[#This Row],[Demand]]/SUMIFS(Table1[Demand],Table1[Fiscal_Year],Table1[[#This Row],[Fiscal_Year]],Table1[BRAND],Table1[[#This Row],[BRAND]],Table1[DC_name_Xref],Table1[[#This Row],[DC_name_Xref]]),0)</f>
        <v>0</v>
      </c>
      <c r="M1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" s="3">
        <f>IFERROR(INDEX(Table3[#All],MATCH(Table1[[#This Row],[Key_Year_Week_Brand]],Table3[[#All],[Key_Year_Week_Brand]],0),MATCH(Table1[[#This Row],[DC_name_Xref]],Table3[#Headers],0)),0)</f>
        <v>0</v>
      </c>
      <c r="O162">
        <f>IFERROR(INDEX(Table35[#All],MATCH(Table1[[#This Row],[Key_Year_Week_Brand]],Table35[[#All],[Key_Year_Month_Brand]],0),MATCH(Table1[[#This Row],[DC_name_Xref]],Table35[#Headers],0)),0)</f>
        <v>0</v>
      </c>
    </row>
    <row r="163" spans="1:15" x14ac:dyDescent="0.3">
      <c r="A163" s="19" t="str">
        <f>Table1[[#This Row],[Year_Week]]&amp;"-"&amp;Table1[[#This Row],[DC_name_Xref]]</f>
        <v>201846-OFC</v>
      </c>
      <c r="B163" s="19" t="str">
        <f>Table1[[#This Row],[Fiscal_Year]]*100+Table1[[#This Row],[Fiscal_Week]] &amp; "-" &amp;Table1[[#This Row],[BRAND]]</f>
        <v>201846-BR Factory Store</v>
      </c>
      <c r="C163" t="str">
        <f>Table1[[#This Row],[Fiscal_Year]]&amp;"-"&amp;Table1[[#This Row],[BRAND]]</f>
        <v>2018-BR Factory Store</v>
      </c>
      <c r="D163">
        <v>2018</v>
      </c>
      <c r="E163">
        <v>46</v>
      </c>
      <c r="F163" t="s">
        <v>17</v>
      </c>
      <c r="G163" t="s">
        <v>5</v>
      </c>
      <c r="H163">
        <v>1</v>
      </c>
      <c r="I163">
        <v>71335</v>
      </c>
      <c r="J163" t="str">
        <f>VLOOKUP(H163,DC_Xref!A:B,2,FALSE)</f>
        <v>OFC</v>
      </c>
      <c r="K163">
        <f t="shared" si="2"/>
        <v>201846</v>
      </c>
      <c r="L163">
        <f>IFERROR(Table1[[#This Row],[Demand]]/SUMIFS(Table1[Demand],Table1[Fiscal_Year],Table1[[#This Row],[Fiscal_Year]],Table1[BRAND],Table1[[#This Row],[BRAND]],Table1[DC_name_Xref],Table1[[#This Row],[DC_name_Xref]]),0)</f>
        <v>0.107928472328341</v>
      </c>
      <c r="M1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63" s="3">
        <f>IFERROR(INDEX(Table3[#All],MATCH(Table1[[#This Row],[Key_Year_Week_Brand]],Table3[[#All],[Key_Year_Week_Brand]],0),MATCH(Table1[[#This Row],[DC_name_Xref]],Table3[#Headers],0)),0)</f>
        <v>1</v>
      </c>
      <c r="O163">
        <f>IFERROR(INDEX(Table35[#All],MATCH(Table1[[#This Row],[Key_Year_Week_Brand]],Table35[[#All],[Key_Year_Month_Brand]],0),MATCH(Table1[[#This Row],[DC_name_Xref]],Table35[#Headers],0)),0)</f>
        <v>71335</v>
      </c>
    </row>
    <row r="164" spans="1:15" x14ac:dyDescent="0.3">
      <c r="A164" s="19" t="str">
        <f>Table1[[#This Row],[Year_Week]]&amp;"-"&amp;Table1[[#This Row],[DC_name_Xref]]</f>
        <v>201846-TFC</v>
      </c>
      <c r="B164" s="19" t="str">
        <f>Table1[[#This Row],[Fiscal_Year]]*100+Table1[[#This Row],[Fiscal_Week]] &amp; "-" &amp;Table1[[#This Row],[BRAND]]</f>
        <v>201846-BR Factory Store</v>
      </c>
      <c r="C164" t="str">
        <f>Table1[[#This Row],[Fiscal_Year]]&amp;"-"&amp;Table1[[#This Row],[BRAND]]</f>
        <v>2018-BR Factory Store</v>
      </c>
      <c r="D164">
        <v>2018</v>
      </c>
      <c r="E164">
        <v>46</v>
      </c>
      <c r="F164" t="s">
        <v>17</v>
      </c>
      <c r="G164" t="s">
        <v>21</v>
      </c>
      <c r="H164">
        <v>2</v>
      </c>
      <c r="I164">
        <v>0</v>
      </c>
      <c r="J164" t="str">
        <f>VLOOKUP(H164,DC_Xref!A:B,2,FALSE)</f>
        <v>TFC</v>
      </c>
      <c r="K164">
        <f t="shared" si="2"/>
        <v>201846</v>
      </c>
      <c r="L164">
        <f>IFERROR(Table1[[#This Row],[Demand]]/SUMIFS(Table1[Demand],Table1[Fiscal_Year],Table1[[#This Row],[Fiscal_Year]],Table1[BRAND],Table1[[#This Row],[BRAND]],Table1[DC_name_Xref],Table1[[#This Row],[DC_name_Xref]]),0)</f>
        <v>0</v>
      </c>
      <c r="M1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" s="3">
        <f>IFERROR(INDEX(Table3[#All],MATCH(Table1[[#This Row],[Key_Year_Week_Brand]],Table3[[#All],[Key_Year_Week_Brand]],0),MATCH(Table1[[#This Row],[DC_name_Xref]],Table3[#Headers],0)),0)</f>
        <v>0</v>
      </c>
      <c r="O164">
        <f>IFERROR(INDEX(Table35[#All],MATCH(Table1[[#This Row],[Key_Year_Week_Brand]],Table35[[#All],[Key_Year_Month_Brand]],0),MATCH(Table1[[#This Row],[DC_name_Xref]],Table35[#Headers],0)),0)</f>
        <v>0</v>
      </c>
    </row>
    <row r="165" spans="1:15" x14ac:dyDescent="0.3">
      <c r="A165" s="19" t="str">
        <f>Table1[[#This Row],[Year_Week]]&amp;"-"&amp;Table1[[#This Row],[DC_name_Xref]]</f>
        <v>201846-WFC</v>
      </c>
      <c r="B165" s="19" t="str">
        <f>Table1[[#This Row],[Fiscal_Year]]*100+Table1[[#This Row],[Fiscal_Week]] &amp; "-" &amp;Table1[[#This Row],[BRAND]]</f>
        <v>201846-BR Factory Store</v>
      </c>
      <c r="C165" t="str">
        <f>Table1[[#This Row],[Fiscal_Year]]&amp;"-"&amp;Table1[[#This Row],[BRAND]]</f>
        <v>2018-BR Factory Store</v>
      </c>
      <c r="D165">
        <v>2018</v>
      </c>
      <c r="E165">
        <v>46</v>
      </c>
      <c r="F165" t="s">
        <v>17</v>
      </c>
      <c r="G165" t="s">
        <v>7</v>
      </c>
      <c r="H165">
        <v>3</v>
      </c>
      <c r="I165">
        <v>0</v>
      </c>
      <c r="J165" t="str">
        <f>VLOOKUP(H165,DC_Xref!A:B,2,FALSE)</f>
        <v>WFC</v>
      </c>
      <c r="K165">
        <f t="shared" si="2"/>
        <v>201846</v>
      </c>
      <c r="L165">
        <f>IFERROR(Table1[[#This Row],[Demand]]/SUMIFS(Table1[Demand],Table1[Fiscal_Year],Table1[[#This Row],[Fiscal_Year]],Table1[BRAND],Table1[[#This Row],[BRAND]],Table1[DC_name_Xref],Table1[[#This Row],[DC_name_Xref]]),0)</f>
        <v>0</v>
      </c>
      <c r="M1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" s="3">
        <f>IFERROR(INDEX(Table3[#All],MATCH(Table1[[#This Row],[Key_Year_Week_Brand]],Table3[[#All],[Key_Year_Week_Brand]],0),MATCH(Table1[[#This Row],[DC_name_Xref]],Table3[#Headers],0)),0)</f>
        <v>0</v>
      </c>
      <c r="O165">
        <f>IFERROR(INDEX(Table35[#All],MATCH(Table1[[#This Row],[Key_Year_Week_Brand]],Table35[[#All],[Key_Year_Month_Brand]],0),MATCH(Table1[[#This Row],[DC_name_Xref]],Table35[#Headers],0)),0)</f>
        <v>0</v>
      </c>
    </row>
    <row r="166" spans="1:15" x14ac:dyDescent="0.3">
      <c r="A166" s="19" t="str">
        <f>Table1[[#This Row],[Year_Week]]&amp;"-"&amp;Table1[[#This Row],[DC_name_Xref]]</f>
        <v>201846-EAO</v>
      </c>
      <c r="B166" s="19" t="str">
        <f>Table1[[#This Row],[Fiscal_Year]]*100+Table1[[#This Row],[Fiscal_Week]] &amp; "-" &amp;Table1[[#This Row],[BRAND]]</f>
        <v>201846-BR Factory Store</v>
      </c>
      <c r="C166" t="str">
        <f>Table1[[#This Row],[Fiscal_Year]]&amp;"-"&amp;Table1[[#This Row],[BRAND]]</f>
        <v>2018-BR Factory Store</v>
      </c>
      <c r="D166">
        <v>2018</v>
      </c>
      <c r="E166">
        <v>46</v>
      </c>
      <c r="F166" t="s">
        <v>17</v>
      </c>
      <c r="G166" t="s">
        <v>8</v>
      </c>
      <c r="H166">
        <v>4</v>
      </c>
      <c r="I166">
        <v>0</v>
      </c>
      <c r="J166" t="str">
        <f>VLOOKUP(H166,DC_Xref!A:B,2,FALSE)</f>
        <v>EAO</v>
      </c>
      <c r="K166">
        <f t="shared" si="2"/>
        <v>201846</v>
      </c>
      <c r="L166">
        <f>IFERROR(Table1[[#This Row],[Demand]]/SUMIFS(Table1[Demand],Table1[Fiscal_Year],Table1[[#This Row],[Fiscal_Year]],Table1[BRAND],Table1[[#This Row],[BRAND]],Table1[DC_name_Xref],Table1[[#This Row],[DC_name_Xref]]),0)</f>
        <v>0</v>
      </c>
      <c r="M1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" s="3">
        <f>IFERROR(INDEX(Table3[#All],MATCH(Table1[[#This Row],[Key_Year_Week_Brand]],Table3[[#All],[Key_Year_Week_Brand]],0),MATCH(Table1[[#This Row],[DC_name_Xref]],Table3[#Headers],0)),0)</f>
        <v>0</v>
      </c>
      <c r="O166">
        <f>IFERROR(INDEX(Table35[#All],MATCH(Table1[[#This Row],[Key_Year_Week_Brand]],Table35[[#All],[Key_Year_Month_Brand]],0),MATCH(Table1[[#This Row],[DC_name_Xref]],Table35[#Headers],0)),0)</f>
        <v>0</v>
      </c>
    </row>
    <row r="167" spans="1:15" x14ac:dyDescent="0.3">
      <c r="A167" s="19" t="str">
        <f>Table1[[#This Row],[Year_Week]]&amp;"-"&amp;Table1[[#This Row],[DC_name_Xref]]</f>
        <v>201846-FFC-ODC</v>
      </c>
      <c r="B167" s="19" t="str">
        <f>Table1[[#This Row],[Fiscal_Year]]*100+Table1[[#This Row],[Fiscal_Week]] &amp; "-" &amp;Table1[[#This Row],[BRAND]]</f>
        <v>201846-BR Factory Store</v>
      </c>
      <c r="C167" t="str">
        <f>Table1[[#This Row],[Fiscal_Year]]&amp;"-"&amp;Table1[[#This Row],[BRAND]]</f>
        <v>2018-BR Factory Store</v>
      </c>
      <c r="D167">
        <v>2018</v>
      </c>
      <c r="E167">
        <v>46</v>
      </c>
      <c r="F167" t="s">
        <v>17</v>
      </c>
      <c r="G167" t="s">
        <v>23</v>
      </c>
      <c r="H167">
        <v>5</v>
      </c>
      <c r="I167">
        <v>0</v>
      </c>
      <c r="J167" t="str">
        <f>VLOOKUP(H167,DC_Xref!A:B,2,FALSE)</f>
        <v>FFC-ODC</v>
      </c>
      <c r="K167">
        <f t="shared" si="2"/>
        <v>201846</v>
      </c>
      <c r="L167">
        <f>IFERROR(Table1[[#This Row],[Demand]]/SUMIFS(Table1[Demand],Table1[Fiscal_Year],Table1[[#This Row],[Fiscal_Year]],Table1[BRAND],Table1[[#This Row],[BRAND]],Table1[DC_name_Xref],Table1[[#This Row],[DC_name_Xref]]),0)</f>
        <v>0</v>
      </c>
      <c r="M1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" s="3">
        <f>IFERROR(INDEX(Table3[#All],MATCH(Table1[[#This Row],[Key_Year_Week_Brand]],Table3[[#All],[Key_Year_Week_Brand]],0),MATCH(Table1[[#This Row],[DC_name_Xref]],Table3[#Headers],0)),0)</f>
        <v>0</v>
      </c>
      <c r="O167">
        <f>IFERROR(INDEX(Table35[#All],MATCH(Table1[[#This Row],[Key_Year_Week_Brand]],Table35[[#All],[Key_Year_Month_Brand]],0),MATCH(Table1[[#This Row],[DC_name_Xref]],Table35[#Headers],0)),0)</f>
        <v>0</v>
      </c>
    </row>
    <row r="168" spans="1:15" x14ac:dyDescent="0.3">
      <c r="A168" s="19" t="str">
        <f>Table1[[#This Row],[Year_Week]]&amp;"-"&amp;Table1[[#This Row],[DC_name_Xref]]</f>
        <v>201846-WEO</v>
      </c>
      <c r="B168" s="19" t="str">
        <f>Table1[[#This Row],[Fiscal_Year]]*100+Table1[[#This Row],[Fiscal_Week]] &amp; "-" &amp;Table1[[#This Row],[BRAND]]</f>
        <v>201846-BR Factory Store</v>
      </c>
      <c r="C168" t="str">
        <f>Table1[[#This Row],[Fiscal_Year]]&amp;"-"&amp;Table1[[#This Row],[BRAND]]</f>
        <v>2018-BR Factory Store</v>
      </c>
      <c r="D168">
        <v>2018</v>
      </c>
      <c r="E168">
        <v>46</v>
      </c>
      <c r="F168" t="s">
        <v>17</v>
      </c>
      <c r="G168" t="s">
        <v>10</v>
      </c>
      <c r="H168">
        <v>6</v>
      </c>
      <c r="I168">
        <v>0</v>
      </c>
      <c r="J168" t="str">
        <f>VLOOKUP(H168,DC_Xref!A:B,2,FALSE)</f>
        <v>WEO</v>
      </c>
      <c r="K168">
        <f t="shared" si="2"/>
        <v>201846</v>
      </c>
      <c r="L168">
        <f>IFERROR(Table1[[#This Row],[Demand]]/SUMIFS(Table1[Demand],Table1[Fiscal_Year],Table1[[#This Row],[Fiscal_Year]],Table1[BRAND],Table1[[#This Row],[BRAND]],Table1[DC_name_Xref],Table1[[#This Row],[DC_name_Xref]]),0)</f>
        <v>0</v>
      </c>
      <c r="M1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" s="3">
        <f>IFERROR(INDEX(Table3[#All],MATCH(Table1[[#This Row],[Key_Year_Week_Brand]],Table3[[#All],[Key_Year_Week_Brand]],0),MATCH(Table1[[#This Row],[DC_name_Xref]],Table3[#Headers],0)),0)</f>
        <v>0</v>
      </c>
      <c r="O168">
        <f>IFERROR(INDEX(Table35[#All],MATCH(Table1[[#This Row],[Key_Year_Week_Brand]],Table35[[#All],[Key_Year_Month_Brand]],0),MATCH(Table1[[#This Row],[DC_name_Xref]],Table35[#Headers],0)),0)</f>
        <v>0</v>
      </c>
    </row>
    <row r="169" spans="1:15" x14ac:dyDescent="0.3">
      <c r="A169" s="19" t="str">
        <f>Table1[[#This Row],[Year_Week]]&amp;"-"&amp;Table1[[#This Row],[DC_name_Xref]]</f>
        <v>201846-OCC</v>
      </c>
      <c r="B169" s="19" t="str">
        <f>Table1[[#This Row],[Fiscal_Year]]*100+Table1[[#This Row],[Fiscal_Week]] &amp; "-" &amp;Table1[[#This Row],[BRAND]]</f>
        <v>201846-BR Factory Store</v>
      </c>
      <c r="C169" t="str">
        <f>Table1[[#This Row],[Fiscal_Year]]&amp;"-"&amp;Table1[[#This Row],[BRAND]]</f>
        <v>2018-BR Factory Store</v>
      </c>
      <c r="D169">
        <v>2018</v>
      </c>
      <c r="E169">
        <v>46</v>
      </c>
      <c r="F169" t="s">
        <v>17</v>
      </c>
      <c r="G169" t="s">
        <v>11</v>
      </c>
      <c r="H169">
        <v>7</v>
      </c>
      <c r="I169">
        <v>0</v>
      </c>
      <c r="J169" t="str">
        <f>VLOOKUP(H169,DC_Xref!A:B,2,FALSE)</f>
        <v>OCC</v>
      </c>
      <c r="K169">
        <f t="shared" si="2"/>
        <v>201846</v>
      </c>
      <c r="L169">
        <f>IFERROR(Table1[[#This Row],[Demand]]/SUMIFS(Table1[Demand],Table1[Fiscal_Year],Table1[[#This Row],[Fiscal_Year]],Table1[BRAND],Table1[[#This Row],[BRAND]],Table1[DC_name_Xref],Table1[[#This Row],[DC_name_Xref]]),0)</f>
        <v>0</v>
      </c>
      <c r="M1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" s="3">
        <f>IFERROR(INDEX(Table3[#All],MATCH(Table1[[#This Row],[Key_Year_Week_Brand]],Table3[[#All],[Key_Year_Week_Brand]],0),MATCH(Table1[[#This Row],[DC_name_Xref]],Table3[#Headers],0)),0)</f>
        <v>0</v>
      </c>
      <c r="O169">
        <f>IFERROR(INDEX(Table35[#All],MATCH(Table1[[#This Row],[Key_Year_Week_Brand]],Table35[[#All],[Key_Year_Month_Brand]],0),MATCH(Table1[[#This Row],[DC_name_Xref]],Table35[#Headers],0)),0)</f>
        <v>0</v>
      </c>
    </row>
    <row r="170" spans="1:15" x14ac:dyDescent="0.3">
      <c r="A170" s="19" t="str">
        <f>Table1[[#This Row],[Year_Week]]&amp;"-"&amp;Table1[[#This Row],[DC_name_Xref]]</f>
        <v>201847-OFC</v>
      </c>
      <c r="B170" s="19" t="str">
        <f>Table1[[#This Row],[Fiscal_Year]]*100+Table1[[#This Row],[Fiscal_Week]] &amp; "-" &amp;Table1[[#This Row],[BRAND]]</f>
        <v>201847-Gap Factory Store</v>
      </c>
      <c r="C170" t="str">
        <f>Table1[[#This Row],[Fiscal_Year]]&amp;"-"&amp;Table1[[#This Row],[BRAND]]</f>
        <v>2018-Gap Factory Store</v>
      </c>
      <c r="D170">
        <v>2018</v>
      </c>
      <c r="E170">
        <v>47</v>
      </c>
      <c r="F170" t="s">
        <v>22</v>
      </c>
      <c r="G170" t="s">
        <v>5</v>
      </c>
      <c r="H170">
        <v>1</v>
      </c>
      <c r="I170">
        <v>138843</v>
      </c>
      <c r="J170" t="str">
        <f>VLOOKUP(H170,DC_Xref!A:B,2,FALSE)</f>
        <v>OFC</v>
      </c>
      <c r="K170">
        <f t="shared" si="2"/>
        <v>201847</v>
      </c>
      <c r="L170">
        <f>IFERROR(Table1[[#This Row],[Demand]]/SUMIFS(Table1[Demand],Table1[Fiscal_Year],Table1[[#This Row],[Fiscal_Year]],Table1[BRAND],Table1[[#This Row],[BRAND]],Table1[DC_name_Xref],Table1[[#This Row],[DC_name_Xref]]),0)</f>
        <v>7.7121589412507713E-2</v>
      </c>
      <c r="M1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70" s="3">
        <f>IFERROR(INDEX(Table3[#All],MATCH(Table1[[#This Row],[Key_Year_Week_Brand]],Table3[[#All],[Key_Year_Week_Brand]],0),MATCH(Table1[[#This Row],[DC_name_Xref]],Table3[#Headers],0)),0)</f>
        <v>1</v>
      </c>
      <c r="O170">
        <f>IFERROR(INDEX(Table35[#All],MATCH(Table1[[#This Row],[Key_Year_Week_Brand]],Table35[[#All],[Key_Year_Month_Brand]],0),MATCH(Table1[[#This Row],[DC_name_Xref]],Table35[#Headers],0)),0)</f>
        <v>138843</v>
      </c>
    </row>
    <row r="171" spans="1:15" x14ac:dyDescent="0.3">
      <c r="A171" s="19" t="str">
        <f>Table1[[#This Row],[Year_Week]]&amp;"-"&amp;Table1[[#This Row],[DC_name_Xref]]</f>
        <v>201847-TFC</v>
      </c>
      <c r="B171" s="19" t="str">
        <f>Table1[[#This Row],[Fiscal_Year]]*100+Table1[[#This Row],[Fiscal_Week]] &amp; "-" &amp;Table1[[#This Row],[BRAND]]</f>
        <v>201847-Gap Factory Store</v>
      </c>
      <c r="C171" t="str">
        <f>Table1[[#This Row],[Fiscal_Year]]&amp;"-"&amp;Table1[[#This Row],[BRAND]]</f>
        <v>2018-Gap Factory Store</v>
      </c>
      <c r="D171">
        <v>2018</v>
      </c>
      <c r="E171">
        <v>47</v>
      </c>
      <c r="F171" t="s">
        <v>22</v>
      </c>
      <c r="G171" t="s">
        <v>21</v>
      </c>
      <c r="H171">
        <v>2</v>
      </c>
      <c r="I171">
        <v>0</v>
      </c>
      <c r="J171" t="str">
        <f>VLOOKUP(H171,DC_Xref!A:B,2,FALSE)</f>
        <v>TFC</v>
      </c>
      <c r="K171">
        <f t="shared" si="2"/>
        <v>201847</v>
      </c>
      <c r="L171">
        <f>IFERROR(Table1[[#This Row],[Demand]]/SUMIFS(Table1[Demand],Table1[Fiscal_Year],Table1[[#This Row],[Fiscal_Year]],Table1[BRAND],Table1[[#This Row],[BRAND]],Table1[DC_name_Xref],Table1[[#This Row],[DC_name_Xref]]),0)</f>
        <v>0</v>
      </c>
      <c r="M1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" s="3">
        <f>IFERROR(INDEX(Table3[#All],MATCH(Table1[[#This Row],[Key_Year_Week_Brand]],Table3[[#All],[Key_Year_Week_Brand]],0),MATCH(Table1[[#This Row],[DC_name_Xref]],Table3[#Headers],0)),0)</f>
        <v>0</v>
      </c>
      <c r="O171">
        <f>IFERROR(INDEX(Table35[#All],MATCH(Table1[[#This Row],[Key_Year_Week_Brand]],Table35[[#All],[Key_Year_Month_Brand]],0),MATCH(Table1[[#This Row],[DC_name_Xref]],Table35[#Headers],0)),0)</f>
        <v>0</v>
      </c>
    </row>
    <row r="172" spans="1:15" x14ac:dyDescent="0.3">
      <c r="A172" s="19" t="str">
        <f>Table1[[#This Row],[Year_Week]]&amp;"-"&amp;Table1[[#This Row],[DC_name_Xref]]</f>
        <v>201847-WFC</v>
      </c>
      <c r="B172" s="19" t="str">
        <f>Table1[[#This Row],[Fiscal_Year]]*100+Table1[[#This Row],[Fiscal_Week]] &amp; "-" &amp;Table1[[#This Row],[BRAND]]</f>
        <v>201847-Gap Factory Store</v>
      </c>
      <c r="C172" t="str">
        <f>Table1[[#This Row],[Fiscal_Year]]&amp;"-"&amp;Table1[[#This Row],[BRAND]]</f>
        <v>2018-Gap Factory Store</v>
      </c>
      <c r="D172">
        <v>2018</v>
      </c>
      <c r="E172">
        <v>47</v>
      </c>
      <c r="F172" t="s">
        <v>22</v>
      </c>
      <c r="G172" t="s">
        <v>7</v>
      </c>
      <c r="H172">
        <v>3</v>
      </c>
      <c r="I172">
        <v>0</v>
      </c>
      <c r="J172" t="str">
        <f>VLOOKUP(H172,DC_Xref!A:B,2,FALSE)</f>
        <v>WFC</v>
      </c>
      <c r="K172">
        <f t="shared" si="2"/>
        <v>201847</v>
      </c>
      <c r="L172">
        <f>IFERROR(Table1[[#This Row],[Demand]]/SUMIFS(Table1[Demand],Table1[Fiscal_Year],Table1[[#This Row],[Fiscal_Year]],Table1[BRAND],Table1[[#This Row],[BRAND]],Table1[DC_name_Xref],Table1[[#This Row],[DC_name_Xref]]),0)</f>
        <v>0</v>
      </c>
      <c r="M1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" s="3">
        <f>IFERROR(INDEX(Table3[#All],MATCH(Table1[[#This Row],[Key_Year_Week_Brand]],Table3[[#All],[Key_Year_Week_Brand]],0),MATCH(Table1[[#This Row],[DC_name_Xref]],Table3[#Headers],0)),0)</f>
        <v>0</v>
      </c>
      <c r="O172">
        <f>IFERROR(INDEX(Table35[#All],MATCH(Table1[[#This Row],[Key_Year_Week_Brand]],Table35[[#All],[Key_Year_Month_Brand]],0),MATCH(Table1[[#This Row],[DC_name_Xref]],Table35[#Headers],0)),0)</f>
        <v>0</v>
      </c>
    </row>
    <row r="173" spans="1:15" x14ac:dyDescent="0.3">
      <c r="A173" s="19" t="str">
        <f>Table1[[#This Row],[Year_Week]]&amp;"-"&amp;Table1[[#This Row],[DC_name_Xref]]</f>
        <v>201847-EAO</v>
      </c>
      <c r="B173" s="19" t="str">
        <f>Table1[[#This Row],[Fiscal_Year]]*100+Table1[[#This Row],[Fiscal_Week]] &amp; "-" &amp;Table1[[#This Row],[BRAND]]</f>
        <v>201847-Gap Factory Store</v>
      </c>
      <c r="C173" t="str">
        <f>Table1[[#This Row],[Fiscal_Year]]&amp;"-"&amp;Table1[[#This Row],[BRAND]]</f>
        <v>2018-Gap Factory Store</v>
      </c>
      <c r="D173">
        <v>2018</v>
      </c>
      <c r="E173">
        <v>47</v>
      </c>
      <c r="F173" t="s">
        <v>22</v>
      </c>
      <c r="G173" t="s">
        <v>8</v>
      </c>
      <c r="H173">
        <v>4</v>
      </c>
      <c r="I173">
        <v>0</v>
      </c>
      <c r="J173" t="str">
        <f>VLOOKUP(H173,DC_Xref!A:B,2,FALSE)</f>
        <v>EAO</v>
      </c>
      <c r="K173">
        <f t="shared" si="2"/>
        <v>201847</v>
      </c>
      <c r="L173">
        <f>IFERROR(Table1[[#This Row],[Demand]]/SUMIFS(Table1[Demand],Table1[Fiscal_Year],Table1[[#This Row],[Fiscal_Year]],Table1[BRAND],Table1[[#This Row],[BRAND]],Table1[DC_name_Xref],Table1[[#This Row],[DC_name_Xref]]),0)</f>
        <v>0</v>
      </c>
      <c r="M1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" s="3">
        <f>IFERROR(INDEX(Table3[#All],MATCH(Table1[[#This Row],[Key_Year_Week_Brand]],Table3[[#All],[Key_Year_Week_Brand]],0),MATCH(Table1[[#This Row],[DC_name_Xref]],Table3[#Headers],0)),0)</f>
        <v>0</v>
      </c>
      <c r="O173">
        <f>IFERROR(INDEX(Table35[#All],MATCH(Table1[[#This Row],[Key_Year_Week_Brand]],Table35[[#All],[Key_Year_Month_Brand]],0),MATCH(Table1[[#This Row],[DC_name_Xref]],Table35[#Headers],0)),0)</f>
        <v>0</v>
      </c>
    </row>
    <row r="174" spans="1:15" x14ac:dyDescent="0.3">
      <c r="A174" s="19" t="str">
        <f>Table1[[#This Row],[Year_Week]]&amp;"-"&amp;Table1[[#This Row],[DC_name_Xref]]</f>
        <v>201847-FFC-ODC</v>
      </c>
      <c r="B174" s="19" t="str">
        <f>Table1[[#This Row],[Fiscal_Year]]*100+Table1[[#This Row],[Fiscal_Week]] &amp; "-" &amp;Table1[[#This Row],[BRAND]]</f>
        <v>201847-Gap Factory Store</v>
      </c>
      <c r="C174" t="str">
        <f>Table1[[#This Row],[Fiscal_Year]]&amp;"-"&amp;Table1[[#This Row],[BRAND]]</f>
        <v>2018-Gap Factory Store</v>
      </c>
      <c r="D174">
        <v>2018</v>
      </c>
      <c r="E174">
        <v>47</v>
      </c>
      <c r="F174" t="s">
        <v>22</v>
      </c>
      <c r="G174" t="s">
        <v>23</v>
      </c>
      <c r="H174">
        <v>5</v>
      </c>
      <c r="I174">
        <v>0</v>
      </c>
      <c r="J174" t="str">
        <f>VLOOKUP(H174,DC_Xref!A:B,2,FALSE)</f>
        <v>FFC-ODC</v>
      </c>
      <c r="K174">
        <f t="shared" si="2"/>
        <v>201847</v>
      </c>
      <c r="L174">
        <f>IFERROR(Table1[[#This Row],[Demand]]/SUMIFS(Table1[Demand],Table1[Fiscal_Year],Table1[[#This Row],[Fiscal_Year]],Table1[BRAND],Table1[[#This Row],[BRAND]],Table1[DC_name_Xref],Table1[[#This Row],[DC_name_Xref]]),0)</f>
        <v>0</v>
      </c>
      <c r="M1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" s="3">
        <f>IFERROR(INDEX(Table3[#All],MATCH(Table1[[#This Row],[Key_Year_Week_Brand]],Table3[[#All],[Key_Year_Week_Brand]],0),MATCH(Table1[[#This Row],[DC_name_Xref]],Table3[#Headers],0)),0)</f>
        <v>0</v>
      </c>
      <c r="O174">
        <f>IFERROR(INDEX(Table35[#All],MATCH(Table1[[#This Row],[Key_Year_Week_Brand]],Table35[[#All],[Key_Year_Month_Brand]],0),MATCH(Table1[[#This Row],[DC_name_Xref]],Table35[#Headers],0)),0)</f>
        <v>0</v>
      </c>
    </row>
    <row r="175" spans="1:15" x14ac:dyDescent="0.3">
      <c r="A175" s="19" t="str">
        <f>Table1[[#This Row],[Year_Week]]&amp;"-"&amp;Table1[[#This Row],[DC_name_Xref]]</f>
        <v>201847-WEO</v>
      </c>
      <c r="B175" s="19" t="str">
        <f>Table1[[#This Row],[Fiscal_Year]]*100+Table1[[#This Row],[Fiscal_Week]] &amp; "-" &amp;Table1[[#This Row],[BRAND]]</f>
        <v>201847-Gap Factory Store</v>
      </c>
      <c r="C175" t="str">
        <f>Table1[[#This Row],[Fiscal_Year]]&amp;"-"&amp;Table1[[#This Row],[BRAND]]</f>
        <v>2018-Gap Factory Store</v>
      </c>
      <c r="D175">
        <v>2018</v>
      </c>
      <c r="E175">
        <v>47</v>
      </c>
      <c r="F175" t="s">
        <v>22</v>
      </c>
      <c r="G175" t="s">
        <v>10</v>
      </c>
      <c r="H175">
        <v>6</v>
      </c>
      <c r="I175">
        <v>0</v>
      </c>
      <c r="J175" t="str">
        <f>VLOOKUP(H175,DC_Xref!A:B,2,FALSE)</f>
        <v>WEO</v>
      </c>
      <c r="K175">
        <f t="shared" si="2"/>
        <v>201847</v>
      </c>
      <c r="L175">
        <f>IFERROR(Table1[[#This Row],[Demand]]/SUMIFS(Table1[Demand],Table1[Fiscal_Year],Table1[[#This Row],[Fiscal_Year]],Table1[BRAND],Table1[[#This Row],[BRAND]],Table1[DC_name_Xref],Table1[[#This Row],[DC_name_Xref]]),0)</f>
        <v>0</v>
      </c>
      <c r="M1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" s="3">
        <f>IFERROR(INDEX(Table3[#All],MATCH(Table1[[#This Row],[Key_Year_Week_Brand]],Table3[[#All],[Key_Year_Week_Brand]],0),MATCH(Table1[[#This Row],[DC_name_Xref]],Table3[#Headers],0)),0)</f>
        <v>0</v>
      </c>
      <c r="O175">
        <f>IFERROR(INDEX(Table35[#All],MATCH(Table1[[#This Row],[Key_Year_Week_Brand]],Table35[[#All],[Key_Year_Month_Brand]],0),MATCH(Table1[[#This Row],[DC_name_Xref]],Table35[#Headers],0)),0)</f>
        <v>0</v>
      </c>
    </row>
    <row r="176" spans="1:15" x14ac:dyDescent="0.3">
      <c r="A176" s="19" t="str">
        <f>Table1[[#This Row],[Year_Week]]&amp;"-"&amp;Table1[[#This Row],[DC_name_Xref]]</f>
        <v>201847-OCC</v>
      </c>
      <c r="B176" s="19" t="str">
        <f>Table1[[#This Row],[Fiscal_Year]]*100+Table1[[#This Row],[Fiscal_Week]] &amp; "-" &amp;Table1[[#This Row],[BRAND]]</f>
        <v>201847-Gap Factory Store</v>
      </c>
      <c r="C176" t="str">
        <f>Table1[[#This Row],[Fiscal_Year]]&amp;"-"&amp;Table1[[#This Row],[BRAND]]</f>
        <v>2018-Gap Factory Store</v>
      </c>
      <c r="D176">
        <v>2018</v>
      </c>
      <c r="E176">
        <v>47</v>
      </c>
      <c r="F176" t="s">
        <v>22</v>
      </c>
      <c r="G176" t="s">
        <v>11</v>
      </c>
      <c r="H176">
        <v>7</v>
      </c>
      <c r="I176">
        <v>0</v>
      </c>
      <c r="J176" t="str">
        <f>VLOOKUP(H176,DC_Xref!A:B,2,FALSE)</f>
        <v>OCC</v>
      </c>
      <c r="K176">
        <f t="shared" si="2"/>
        <v>201847</v>
      </c>
      <c r="L176">
        <f>IFERROR(Table1[[#This Row],[Demand]]/SUMIFS(Table1[Demand],Table1[Fiscal_Year],Table1[[#This Row],[Fiscal_Year]],Table1[BRAND],Table1[[#This Row],[BRAND]],Table1[DC_name_Xref],Table1[[#This Row],[DC_name_Xref]]),0)</f>
        <v>0</v>
      </c>
      <c r="M1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" s="3">
        <f>IFERROR(INDEX(Table3[#All],MATCH(Table1[[#This Row],[Key_Year_Week_Brand]],Table3[[#All],[Key_Year_Week_Brand]],0),MATCH(Table1[[#This Row],[DC_name_Xref]],Table3[#Headers],0)),0)</f>
        <v>0</v>
      </c>
      <c r="O176">
        <f>IFERROR(INDEX(Table35[#All],MATCH(Table1[[#This Row],[Key_Year_Week_Brand]],Table35[[#All],[Key_Year_Month_Brand]],0),MATCH(Table1[[#This Row],[DC_name_Xref]],Table35[#Headers],0)),0)</f>
        <v>0</v>
      </c>
    </row>
    <row r="177" spans="1:15" x14ac:dyDescent="0.3">
      <c r="A177" s="19" t="str">
        <f>Table1[[#This Row],[Year_Week]]&amp;"-"&amp;Table1[[#This Row],[DC_name_Xref]]</f>
        <v>201847-OFC</v>
      </c>
      <c r="B177" s="19" t="str">
        <f>Table1[[#This Row],[Fiscal_Year]]*100+Table1[[#This Row],[Fiscal_Week]] &amp; "-" &amp;Table1[[#This Row],[BRAND]]</f>
        <v>201847-Gap</v>
      </c>
      <c r="C177" t="str">
        <f>Table1[[#This Row],[Fiscal_Year]]&amp;"-"&amp;Table1[[#This Row],[BRAND]]</f>
        <v>2018-Gap</v>
      </c>
      <c r="D177">
        <v>2018</v>
      </c>
      <c r="E177">
        <v>47</v>
      </c>
      <c r="F177" t="s">
        <v>16</v>
      </c>
      <c r="G177" t="s">
        <v>5</v>
      </c>
      <c r="H177">
        <v>1</v>
      </c>
      <c r="I177">
        <v>523282</v>
      </c>
      <c r="J177" t="str">
        <f>VLOOKUP(H177,DC_Xref!A:B,2,FALSE)</f>
        <v>OFC</v>
      </c>
      <c r="K177">
        <f t="shared" si="2"/>
        <v>201847</v>
      </c>
      <c r="L177">
        <f>IFERROR(Table1[[#This Row],[Demand]]/SUMIFS(Table1[Demand],Table1[Fiscal_Year],Table1[[#This Row],[Fiscal_Year]],Table1[BRAND],Table1[[#This Row],[BRAND]],Table1[DC_name_Xref],Table1[[#This Row],[DC_name_Xref]]),0)</f>
        <v>9.4605459246388177E-2</v>
      </c>
      <c r="M1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0.66900258652960543</v>
      </c>
      <c r="N177" s="3">
        <f>IFERROR(INDEX(Table3[#All],MATCH(Table1[[#This Row],[Key_Year_Week_Brand]],Table3[[#All],[Key_Year_Week_Brand]],0),MATCH(Table1[[#This Row],[DC_name_Xref]],Table3[#Headers],0)),0)</f>
        <v>0.25</v>
      </c>
      <c r="O177">
        <f>IFERROR(INDEX(Table35[#All],MATCH(Table1[[#This Row],[Key_Year_Week_Brand]],Table35[[#All],[Key_Year_Month_Brand]],0),MATCH(Table1[[#This Row],[DC_name_Xref]],Table35[#Headers],0)),0)</f>
        <v>177184</v>
      </c>
    </row>
    <row r="178" spans="1:15" x14ac:dyDescent="0.3">
      <c r="A178" s="19" t="str">
        <f>Table1[[#This Row],[Year_Week]]&amp;"-"&amp;Table1[[#This Row],[DC_name_Xref]]</f>
        <v>201847-TFC</v>
      </c>
      <c r="B178" s="19" t="str">
        <f>Table1[[#This Row],[Fiscal_Year]]*100+Table1[[#This Row],[Fiscal_Week]] &amp; "-" &amp;Table1[[#This Row],[BRAND]]</f>
        <v>201847-Gap</v>
      </c>
      <c r="C178" t="str">
        <f>Table1[[#This Row],[Fiscal_Year]]&amp;"-"&amp;Table1[[#This Row],[BRAND]]</f>
        <v>2018-Gap</v>
      </c>
      <c r="D178">
        <v>2018</v>
      </c>
      <c r="E178">
        <v>47</v>
      </c>
      <c r="F178" t="s">
        <v>16</v>
      </c>
      <c r="G178" t="s">
        <v>21</v>
      </c>
      <c r="H178">
        <v>2</v>
      </c>
      <c r="I178">
        <v>364</v>
      </c>
      <c r="J178" t="str">
        <f>VLOOKUP(H178,DC_Xref!A:B,2,FALSE)</f>
        <v>TFC</v>
      </c>
      <c r="K178">
        <f t="shared" si="2"/>
        <v>201847</v>
      </c>
      <c r="L178">
        <f>IFERROR(Table1[[#This Row],[Demand]]/SUMIFS(Table1[Demand],Table1[Fiscal_Year],Table1[[#This Row],[Fiscal_Year]],Table1[BRAND],Table1[[#This Row],[BRAND]],Table1[DC_name_Xref],Table1[[#This Row],[DC_name_Xref]]),0)</f>
        <v>0.36619718309859156</v>
      </c>
      <c r="M1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1.2022494401496885E-4</v>
      </c>
      <c r="N178" s="3">
        <f>IFERROR(INDEX(Table3[#All],MATCH(Table1[[#This Row],[Key_Year_Week_Brand]],Table3[[#All],[Key_Year_Week_Brand]],0),MATCH(Table1[[#This Row],[DC_name_Xref]],Table3[#Headers],0)),0)</f>
        <v>0.2</v>
      </c>
      <c r="O178">
        <f>IFERROR(INDEX(Table35[#All],MATCH(Table1[[#This Row],[Key_Year_Week_Brand]],Table35[[#All],[Key_Year_Month_Brand]],0),MATCH(Table1[[#This Row],[DC_name_Xref]],Table35[#Headers],0)),0)</f>
        <v>141747.20000000001</v>
      </c>
    </row>
    <row r="179" spans="1:15" x14ac:dyDescent="0.3">
      <c r="A179" s="19" t="str">
        <f>Table1[[#This Row],[Year_Week]]&amp;"-"&amp;Table1[[#This Row],[DC_name_Xref]]</f>
        <v>201847-WFC</v>
      </c>
      <c r="B179" s="19" t="str">
        <f>Table1[[#This Row],[Fiscal_Year]]*100+Table1[[#This Row],[Fiscal_Week]] &amp; "-" &amp;Table1[[#This Row],[BRAND]]</f>
        <v>201847-Gap</v>
      </c>
      <c r="C179" t="str">
        <f>Table1[[#This Row],[Fiscal_Year]]&amp;"-"&amp;Table1[[#This Row],[BRAND]]</f>
        <v>2018-Gap</v>
      </c>
      <c r="D179">
        <v>2018</v>
      </c>
      <c r="E179">
        <v>47</v>
      </c>
      <c r="F179" t="s">
        <v>16</v>
      </c>
      <c r="G179" t="s">
        <v>7</v>
      </c>
      <c r="H179">
        <v>3</v>
      </c>
      <c r="I179">
        <v>27004</v>
      </c>
      <c r="J179" t="str">
        <f>VLOOKUP(H179,DC_Xref!A:B,2,FALSE)</f>
        <v>WFC</v>
      </c>
      <c r="K179">
        <f t="shared" si="2"/>
        <v>201847</v>
      </c>
      <c r="L179">
        <f>IFERROR(Table1[[#This Row],[Demand]]/SUMIFS(Table1[Demand],Table1[Fiscal_Year],Table1[[#This Row],[Fiscal_Year]],Table1[BRAND],Table1[[#This Row],[BRAND]],Table1[DC_name_Xref],Table1[[#This Row],[DC_name_Xref]]),0)</f>
        <v>0.13711790393013101</v>
      </c>
      <c r="M1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2.3820020597895338E-2</v>
      </c>
      <c r="N179" s="3">
        <f>IFERROR(INDEX(Table3[#All],MATCH(Table1[[#This Row],[Key_Year_Week_Brand]],Table3[[#All],[Key_Year_Week_Brand]],0),MATCH(Table1[[#This Row],[DC_name_Xref]],Table3[#Headers],0)),0)</f>
        <v>0.15</v>
      </c>
      <c r="O179">
        <f>IFERROR(INDEX(Table35[#All],MATCH(Table1[[#This Row],[Key_Year_Week_Brand]],Table35[[#All],[Key_Year_Month_Brand]],0),MATCH(Table1[[#This Row],[DC_name_Xref]],Table35[#Headers],0)),0)</f>
        <v>106310.39999999999</v>
      </c>
    </row>
    <row r="180" spans="1:15" x14ac:dyDescent="0.3">
      <c r="A180" s="19" t="str">
        <f>Table1[[#This Row],[Year_Week]]&amp;"-"&amp;Table1[[#This Row],[DC_name_Xref]]</f>
        <v>201847-EAO</v>
      </c>
      <c r="B180" s="19" t="str">
        <f>Table1[[#This Row],[Fiscal_Year]]*100+Table1[[#This Row],[Fiscal_Week]] &amp; "-" &amp;Table1[[#This Row],[BRAND]]</f>
        <v>201847-Gap</v>
      </c>
      <c r="C180" t="str">
        <f>Table1[[#This Row],[Fiscal_Year]]&amp;"-"&amp;Table1[[#This Row],[BRAND]]</f>
        <v>2018-Gap</v>
      </c>
      <c r="D180">
        <v>2018</v>
      </c>
      <c r="E180">
        <v>47</v>
      </c>
      <c r="F180" t="s">
        <v>16</v>
      </c>
      <c r="G180" t="s">
        <v>8</v>
      </c>
      <c r="H180">
        <v>4</v>
      </c>
      <c r="I180">
        <v>129</v>
      </c>
      <c r="J180" t="str">
        <f>VLOOKUP(H180,DC_Xref!A:B,2,FALSE)</f>
        <v>EAO</v>
      </c>
      <c r="K180">
        <f t="shared" si="2"/>
        <v>201847</v>
      </c>
      <c r="L180">
        <f>IFERROR(Table1[[#This Row],[Demand]]/SUMIFS(Table1[Demand],Table1[Fiscal_Year],Table1[[#This Row],[Fiscal_Year]],Table1[BRAND],Table1[[#This Row],[BRAND]],Table1[DC_name_Xref],Table1[[#This Row],[DC_name_Xref]]),0)</f>
        <v>0.12990936555891239</v>
      </c>
      <c r="M1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1.2010399336706647E-4</v>
      </c>
      <c r="N180" s="3">
        <f>IFERROR(INDEX(Table3[#All],MATCH(Table1[[#This Row],[Key_Year_Week_Brand]],Table3[[#All],[Key_Year_Week_Brand]],0),MATCH(Table1[[#This Row],[DC_name_Xref]],Table3[#Headers],0)),0)</f>
        <v>0</v>
      </c>
      <c r="O180">
        <f>IFERROR(INDEX(Table35[#All],MATCH(Table1[[#This Row],[Key_Year_Week_Brand]],Table35[[#All],[Key_Year_Month_Brand]],0),MATCH(Table1[[#This Row],[DC_name_Xref]],Table35[#Headers],0)),0)</f>
        <v>0</v>
      </c>
    </row>
    <row r="181" spans="1:15" x14ac:dyDescent="0.3">
      <c r="A181" s="19" t="str">
        <f>Table1[[#This Row],[Year_Week]]&amp;"-"&amp;Table1[[#This Row],[DC_name_Xref]]</f>
        <v>201847-FFC-ODC</v>
      </c>
      <c r="B181" s="19" t="str">
        <f>Table1[[#This Row],[Fiscal_Year]]*100+Table1[[#This Row],[Fiscal_Week]] &amp; "-" &amp;Table1[[#This Row],[BRAND]]</f>
        <v>201847-Gap</v>
      </c>
      <c r="C181" t="str">
        <f>Table1[[#This Row],[Fiscal_Year]]&amp;"-"&amp;Table1[[#This Row],[BRAND]]</f>
        <v>2018-Gap</v>
      </c>
      <c r="D181">
        <v>2018</v>
      </c>
      <c r="E181">
        <v>47</v>
      </c>
      <c r="F181" t="s">
        <v>16</v>
      </c>
      <c r="G181" t="s">
        <v>23</v>
      </c>
      <c r="H181">
        <v>5</v>
      </c>
      <c r="I181">
        <v>0</v>
      </c>
      <c r="J181" t="str">
        <f>VLOOKUP(H181,DC_Xref!A:B,2,FALSE)</f>
        <v>FFC-ODC</v>
      </c>
      <c r="K181">
        <f t="shared" si="2"/>
        <v>201847</v>
      </c>
      <c r="L181">
        <f>IFERROR(Table1[[#This Row],[Demand]]/SUMIFS(Table1[Demand],Table1[Fiscal_Year],Table1[[#This Row],[Fiscal_Year]],Table1[BRAND],Table1[[#This Row],[BRAND]],Table1[DC_name_Xref],Table1[[#This Row],[DC_name_Xref]]),0)</f>
        <v>0</v>
      </c>
      <c r="M1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" s="3">
        <f>IFERROR(INDEX(Table3[#All],MATCH(Table1[[#This Row],[Key_Year_Week_Brand]],Table3[[#All],[Key_Year_Week_Brand]],0),MATCH(Table1[[#This Row],[DC_name_Xref]],Table3[#Headers],0)),0)</f>
        <v>0</v>
      </c>
      <c r="O181">
        <f>IFERROR(INDEX(Table35[#All],MATCH(Table1[[#This Row],[Key_Year_Week_Brand]],Table35[[#All],[Key_Year_Month_Brand]],0),MATCH(Table1[[#This Row],[DC_name_Xref]],Table35[#Headers],0)),0)</f>
        <v>0</v>
      </c>
    </row>
    <row r="182" spans="1:15" x14ac:dyDescent="0.3">
      <c r="A182" s="19" t="str">
        <f>Table1[[#This Row],[Year_Week]]&amp;"-"&amp;Table1[[#This Row],[DC_name_Xref]]</f>
        <v>201847-WEO</v>
      </c>
      <c r="B182" s="19" t="str">
        <f>Table1[[#This Row],[Fiscal_Year]]*100+Table1[[#This Row],[Fiscal_Week]] &amp; "-" &amp;Table1[[#This Row],[BRAND]]</f>
        <v>201847-Gap</v>
      </c>
      <c r="C182" t="str">
        <f>Table1[[#This Row],[Fiscal_Year]]&amp;"-"&amp;Table1[[#This Row],[BRAND]]</f>
        <v>2018-Gap</v>
      </c>
      <c r="D182">
        <v>2018</v>
      </c>
      <c r="E182">
        <v>47</v>
      </c>
      <c r="F182" t="s">
        <v>16</v>
      </c>
      <c r="G182" t="s">
        <v>10</v>
      </c>
      <c r="H182">
        <v>6</v>
      </c>
      <c r="I182">
        <v>157957</v>
      </c>
      <c r="J182" t="str">
        <f>VLOOKUP(H182,DC_Xref!A:B,2,FALSE)</f>
        <v>WEO</v>
      </c>
      <c r="K182">
        <f t="shared" si="2"/>
        <v>201847</v>
      </c>
      <c r="L182">
        <f>IFERROR(Table1[[#This Row],[Demand]]/SUMIFS(Table1[Demand],Table1[Fiscal_Year],Table1[[#This Row],[Fiscal_Year]],Table1[BRAND],Table1[[#This Row],[BRAND]],Table1[DC_name_Xref],Table1[[#This Row],[DC_name_Xref]]),0)</f>
        <v>6.2244035457233997E-2</v>
      </c>
      <c r="M1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0.30693706393511722</v>
      </c>
      <c r="N182" s="3">
        <f>IFERROR(INDEX(Table3[#All],MATCH(Table1[[#This Row],[Key_Year_Week_Brand]],Table3[[#All],[Key_Year_Week_Brand]],0),MATCH(Table1[[#This Row],[DC_name_Xref]],Table3[#Headers],0)),0)</f>
        <v>0.4</v>
      </c>
      <c r="O182">
        <f>IFERROR(INDEX(Table35[#All],MATCH(Table1[[#This Row],[Key_Year_Week_Brand]],Table35[[#All],[Key_Year_Month_Brand]],0),MATCH(Table1[[#This Row],[DC_name_Xref]],Table35[#Headers],0)),0)</f>
        <v>283494.40000000002</v>
      </c>
    </row>
    <row r="183" spans="1:15" x14ac:dyDescent="0.3">
      <c r="A183" s="19" t="str">
        <f>Table1[[#This Row],[Year_Week]]&amp;"-"&amp;Table1[[#This Row],[DC_name_Xref]]</f>
        <v>201847-OCC</v>
      </c>
      <c r="B183" s="19" t="str">
        <f>Table1[[#This Row],[Fiscal_Year]]*100+Table1[[#This Row],[Fiscal_Week]] &amp; "-" &amp;Table1[[#This Row],[BRAND]]</f>
        <v>201847-Gap</v>
      </c>
      <c r="C183" t="str">
        <f>Table1[[#This Row],[Fiscal_Year]]&amp;"-"&amp;Table1[[#This Row],[BRAND]]</f>
        <v>2018-Gap</v>
      </c>
      <c r="D183">
        <v>2018</v>
      </c>
      <c r="E183">
        <v>47</v>
      </c>
      <c r="F183" t="s">
        <v>16</v>
      </c>
      <c r="G183" t="s">
        <v>11</v>
      </c>
      <c r="H183">
        <v>7</v>
      </c>
      <c r="I183">
        <v>0</v>
      </c>
      <c r="J183" t="str">
        <f>VLOOKUP(H183,DC_Xref!A:B,2,FALSE)</f>
        <v>OCC</v>
      </c>
      <c r="K183">
        <f t="shared" si="2"/>
        <v>201847</v>
      </c>
      <c r="L183">
        <f>IFERROR(Table1[[#This Row],[Demand]]/SUMIFS(Table1[Demand],Table1[Fiscal_Year],Table1[[#This Row],[Fiscal_Year]],Table1[BRAND],Table1[[#This Row],[BRAND]],Table1[DC_name_Xref],Table1[[#This Row],[DC_name_Xref]]),0)</f>
        <v>0</v>
      </c>
      <c r="M1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" s="3">
        <f>IFERROR(INDEX(Table3[#All],MATCH(Table1[[#This Row],[Key_Year_Week_Brand]],Table3[[#All],[Key_Year_Week_Brand]],0),MATCH(Table1[[#This Row],[DC_name_Xref]],Table3[#Headers],0)),0)</f>
        <v>0</v>
      </c>
      <c r="O183">
        <f>IFERROR(INDEX(Table35[#All],MATCH(Table1[[#This Row],[Key_Year_Week_Brand]],Table35[[#All],[Key_Year_Month_Brand]],0),MATCH(Table1[[#This Row],[DC_name_Xref]],Table35[#Headers],0)),0)</f>
        <v>0</v>
      </c>
    </row>
    <row r="184" spans="1:15" x14ac:dyDescent="0.3">
      <c r="A184" s="19" t="str">
        <f>Table1[[#This Row],[Year_Week]]&amp;"-"&amp;Table1[[#This Row],[DC_name_Xref]]</f>
        <v>201847-OFC</v>
      </c>
      <c r="B184" s="19" t="str">
        <f>Table1[[#This Row],[Fiscal_Year]]*100+Table1[[#This Row],[Fiscal_Week]] &amp; "-" &amp;Table1[[#This Row],[BRAND]]</f>
        <v>201847-Banana Republic</v>
      </c>
      <c r="C184" t="str">
        <f>Table1[[#This Row],[Fiscal_Year]]&amp;"-"&amp;Table1[[#This Row],[BRAND]]</f>
        <v>2018-Banana Republic</v>
      </c>
      <c r="D184">
        <v>2018</v>
      </c>
      <c r="E184">
        <v>47</v>
      </c>
      <c r="F184" t="s">
        <v>18</v>
      </c>
      <c r="G184" t="s">
        <v>5</v>
      </c>
      <c r="H184">
        <v>1</v>
      </c>
      <c r="I184">
        <v>6828</v>
      </c>
      <c r="J184" t="str">
        <f>VLOOKUP(H184,DC_Xref!A:B,2,FALSE)</f>
        <v>OFC</v>
      </c>
      <c r="K184">
        <f t="shared" si="2"/>
        <v>201847</v>
      </c>
      <c r="L184">
        <f>IFERROR(Table1[[#This Row],[Demand]]/SUMIFS(Table1[Demand],Table1[Fiscal_Year],Table1[[#This Row],[Fiscal_Year]],Table1[BRAND],Table1[[#This Row],[BRAND]],Table1[DC_name_Xref],Table1[[#This Row],[DC_name_Xref]]),0)</f>
        <v>0.19945083834784133</v>
      </c>
      <c r="M1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2.132932922954231E-2</v>
      </c>
      <c r="N184" s="3">
        <f>IFERROR(INDEX(Table3[#All],MATCH(Table1[[#This Row],[Key_Year_Week_Brand]],Table3[[#All],[Key_Year_Week_Brand]],0),MATCH(Table1[[#This Row],[DC_name_Xref]],Table3[#Headers],0)),0)</f>
        <v>0</v>
      </c>
      <c r="O184">
        <f>IFERROR(INDEX(Table35[#All],MATCH(Table1[[#This Row],[Key_Year_Week_Brand]],Table35[[#All],[Key_Year_Month_Brand]],0),MATCH(Table1[[#This Row],[DC_name_Xref]],Table35[#Headers],0)),0)</f>
        <v>0</v>
      </c>
    </row>
    <row r="185" spans="1:15" x14ac:dyDescent="0.3">
      <c r="A185" s="19" t="str">
        <f>Table1[[#This Row],[Year_Week]]&amp;"-"&amp;Table1[[#This Row],[DC_name_Xref]]</f>
        <v>201847-TFC</v>
      </c>
      <c r="B185" s="19" t="str">
        <f>Table1[[#This Row],[Fiscal_Year]]*100+Table1[[#This Row],[Fiscal_Week]] &amp; "-" &amp;Table1[[#This Row],[BRAND]]</f>
        <v>201847-Banana Republic</v>
      </c>
      <c r="C185" t="str">
        <f>Table1[[#This Row],[Fiscal_Year]]&amp;"-"&amp;Table1[[#This Row],[BRAND]]</f>
        <v>2018-Banana Republic</v>
      </c>
      <c r="D185">
        <v>2018</v>
      </c>
      <c r="E185">
        <v>47</v>
      </c>
      <c r="F185" t="s">
        <v>18</v>
      </c>
      <c r="G185" t="s">
        <v>21</v>
      </c>
      <c r="H185">
        <v>2</v>
      </c>
      <c r="I185">
        <v>204773</v>
      </c>
      <c r="J185" t="str">
        <f>VLOOKUP(H185,DC_Xref!A:B,2,FALSE)</f>
        <v>TFC</v>
      </c>
      <c r="K185">
        <f t="shared" si="2"/>
        <v>201847</v>
      </c>
      <c r="L185">
        <f>IFERROR(Table1[[#This Row],[Demand]]/SUMIFS(Table1[Demand],Table1[Fiscal_Year],Table1[[#This Row],[Fiscal_Year]],Table1[BRAND],Table1[[#This Row],[BRAND]],Table1[DC_name_Xref],Table1[[#This Row],[DC_name_Xref]]),0)</f>
        <v>0.13036937341871277</v>
      </c>
      <c r="M1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0.97862581151636741</v>
      </c>
      <c r="N185" s="3">
        <f>IFERROR(INDEX(Table3[#All],MATCH(Table1[[#This Row],[Key_Year_Week_Brand]],Table3[[#All],[Key_Year_Week_Brand]],0),MATCH(Table1[[#This Row],[DC_name_Xref]],Table3[#Headers],0)),0)</f>
        <v>1</v>
      </c>
      <c r="O185">
        <f>IFERROR(INDEX(Table35[#All],MATCH(Table1[[#This Row],[Key_Year_Week_Brand]],Table35[[#All],[Key_Year_Month_Brand]],0),MATCH(Table1[[#This Row],[DC_name_Xref]],Table35[#Headers],0)),0)</f>
        <v>211605</v>
      </c>
    </row>
    <row r="186" spans="1:15" x14ac:dyDescent="0.3">
      <c r="A186" s="19" t="str">
        <f>Table1[[#This Row],[Year_Week]]&amp;"-"&amp;Table1[[#This Row],[DC_name_Xref]]</f>
        <v>201847-WFC</v>
      </c>
      <c r="B186" s="19" t="str">
        <f>Table1[[#This Row],[Fiscal_Year]]*100+Table1[[#This Row],[Fiscal_Week]] &amp; "-" &amp;Table1[[#This Row],[BRAND]]</f>
        <v>201847-Banana Republic</v>
      </c>
      <c r="C186" t="str">
        <f>Table1[[#This Row],[Fiscal_Year]]&amp;"-"&amp;Table1[[#This Row],[BRAND]]</f>
        <v>2018-Banana Republic</v>
      </c>
      <c r="D186">
        <v>2018</v>
      </c>
      <c r="E186">
        <v>47</v>
      </c>
      <c r="F186" t="s">
        <v>18</v>
      </c>
      <c r="G186" t="s">
        <v>7</v>
      </c>
      <c r="H186">
        <v>3</v>
      </c>
      <c r="I186">
        <v>1</v>
      </c>
      <c r="J186" t="str">
        <f>VLOOKUP(H186,DC_Xref!A:B,2,FALSE)</f>
        <v>WFC</v>
      </c>
      <c r="K186">
        <f t="shared" si="2"/>
        <v>201847</v>
      </c>
      <c r="L186">
        <f>IFERROR(Table1[[#This Row],[Demand]]/SUMIFS(Table1[Demand],Table1[Fiscal_Year],Table1[[#This Row],[Fiscal_Year]],Table1[BRAND],Table1[[#This Row],[BRAND]],Table1[DC_name_Xref],Table1[[#This Row],[DC_name_Xref]]),0)</f>
        <v>0.2</v>
      </c>
      <c r="M1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3.11522597849248E-6</v>
      </c>
      <c r="N186" s="3">
        <f>IFERROR(INDEX(Table3[#All],MATCH(Table1[[#This Row],[Key_Year_Week_Brand]],Table3[[#All],[Key_Year_Week_Brand]],0),MATCH(Table1[[#This Row],[DC_name_Xref]],Table3[#Headers],0)),0)</f>
        <v>3.4959629396853166E-6</v>
      </c>
      <c r="O186">
        <f>IFERROR(INDEX(Table35[#All],MATCH(Table1[[#This Row],[Key_Year_Week_Brand]],Table35[[#All],[Key_Year_Month_Brand]],0),MATCH(Table1[[#This Row],[DC_name_Xref]],Table35[#Headers],0)),0)</f>
        <v>0.7397632378521114</v>
      </c>
    </row>
    <row r="187" spans="1:15" x14ac:dyDescent="0.3">
      <c r="A187" s="19" t="str">
        <f>Table1[[#This Row],[Year_Week]]&amp;"-"&amp;Table1[[#This Row],[DC_name_Xref]]</f>
        <v>201847-EAO</v>
      </c>
      <c r="B187" s="19" t="str">
        <f>Table1[[#This Row],[Fiscal_Year]]*100+Table1[[#This Row],[Fiscal_Week]] &amp; "-" &amp;Table1[[#This Row],[BRAND]]</f>
        <v>201847-Banana Republic</v>
      </c>
      <c r="C187" t="str">
        <f>Table1[[#This Row],[Fiscal_Year]]&amp;"-"&amp;Table1[[#This Row],[BRAND]]</f>
        <v>2018-Banana Republic</v>
      </c>
      <c r="D187">
        <v>2018</v>
      </c>
      <c r="E187">
        <v>47</v>
      </c>
      <c r="F187" t="s">
        <v>18</v>
      </c>
      <c r="G187" t="s">
        <v>8</v>
      </c>
      <c r="H187">
        <v>4</v>
      </c>
      <c r="I187">
        <v>3</v>
      </c>
      <c r="J187" t="str">
        <f>VLOOKUP(H187,DC_Xref!A:B,2,FALSE)</f>
        <v>EAO</v>
      </c>
      <c r="K187">
        <f t="shared" si="2"/>
        <v>201847</v>
      </c>
      <c r="L187">
        <f>IFERROR(Table1[[#This Row],[Demand]]/SUMIFS(Table1[Demand],Table1[Fiscal_Year],Table1[[#This Row],[Fiscal_Year]],Table1[BRAND],Table1[[#This Row],[BRAND]],Table1[DC_name_Xref],Table1[[#This Row],[DC_name_Xref]]),0)</f>
        <v>4.4776119402985072E-2</v>
      </c>
      <c r="M1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4.174402811179923E-5</v>
      </c>
      <c r="N187" s="3">
        <f>IFERROR(INDEX(Table3[#All],MATCH(Table1[[#This Row],[Key_Year_Week_Brand]],Table3[[#All],[Key_Year_Week_Brand]],0),MATCH(Table1[[#This Row],[DC_name_Xref]],Table3[#Headers],0)),0)</f>
        <v>4.2339995602855504E-5</v>
      </c>
      <c r="O187">
        <f>IFERROR(INDEX(Table35[#All],MATCH(Table1[[#This Row],[Key_Year_Week_Brand]],Table35[[#All],[Key_Year_Month_Brand]],0),MATCH(Table1[[#This Row],[DC_name_Xref]],Table35[#Headers],0)),0)</f>
        <v>8.9593547695422391</v>
      </c>
    </row>
    <row r="188" spans="1:15" x14ac:dyDescent="0.3">
      <c r="A188" s="19" t="str">
        <f>Table1[[#This Row],[Year_Week]]&amp;"-"&amp;Table1[[#This Row],[DC_name_Xref]]</f>
        <v>201847-FFC-ODC</v>
      </c>
      <c r="B188" s="19" t="str">
        <f>Table1[[#This Row],[Fiscal_Year]]*100+Table1[[#This Row],[Fiscal_Week]] &amp; "-" &amp;Table1[[#This Row],[BRAND]]</f>
        <v>201847-Banana Republic</v>
      </c>
      <c r="C188" t="str">
        <f>Table1[[#This Row],[Fiscal_Year]]&amp;"-"&amp;Table1[[#This Row],[BRAND]]</f>
        <v>2018-Banana Republic</v>
      </c>
      <c r="D188">
        <v>2018</v>
      </c>
      <c r="E188">
        <v>47</v>
      </c>
      <c r="F188" t="s">
        <v>18</v>
      </c>
      <c r="G188" t="s">
        <v>23</v>
      </c>
      <c r="H188">
        <v>5</v>
      </c>
      <c r="I188">
        <v>0</v>
      </c>
      <c r="J188" t="str">
        <f>VLOOKUP(H188,DC_Xref!A:B,2,FALSE)</f>
        <v>FFC-ODC</v>
      </c>
      <c r="K188">
        <f t="shared" si="2"/>
        <v>201847</v>
      </c>
      <c r="L188">
        <f>IFERROR(Table1[[#This Row],[Demand]]/SUMIFS(Table1[Demand],Table1[Fiscal_Year],Table1[[#This Row],[Fiscal_Year]],Table1[BRAND],Table1[[#This Row],[BRAND]],Table1[DC_name_Xref],Table1[[#This Row],[DC_name_Xref]]),0)</f>
        <v>0</v>
      </c>
      <c r="M1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" s="3">
        <f>IFERROR(INDEX(Table3[#All],MATCH(Table1[[#This Row],[Key_Year_Week_Brand]],Table3[[#All],[Key_Year_Week_Brand]],0),MATCH(Table1[[#This Row],[DC_name_Xref]],Table3[#Headers],0)),0)</f>
        <v>0</v>
      </c>
      <c r="O188">
        <f>IFERROR(INDEX(Table35[#All],MATCH(Table1[[#This Row],[Key_Year_Week_Brand]],Table35[[#All],[Key_Year_Month_Brand]],0),MATCH(Table1[[#This Row],[DC_name_Xref]],Table35[#Headers],0)),0)</f>
        <v>0</v>
      </c>
    </row>
    <row r="189" spans="1:15" x14ac:dyDescent="0.3">
      <c r="A189" s="19" t="str">
        <f>Table1[[#This Row],[Year_Week]]&amp;"-"&amp;Table1[[#This Row],[DC_name_Xref]]</f>
        <v>201847-WEO</v>
      </c>
      <c r="B189" s="19" t="str">
        <f>Table1[[#This Row],[Fiscal_Year]]*100+Table1[[#This Row],[Fiscal_Week]] &amp; "-" &amp;Table1[[#This Row],[BRAND]]</f>
        <v>201847-Banana Republic</v>
      </c>
      <c r="C189" t="str">
        <f>Table1[[#This Row],[Fiscal_Year]]&amp;"-"&amp;Table1[[#This Row],[BRAND]]</f>
        <v>2018-Banana Republic</v>
      </c>
      <c r="D189">
        <v>2018</v>
      </c>
      <c r="E189">
        <v>47</v>
      </c>
      <c r="F189" t="s">
        <v>18</v>
      </c>
      <c r="G189" t="s">
        <v>10</v>
      </c>
      <c r="H189">
        <v>6</v>
      </c>
      <c r="I189">
        <v>0</v>
      </c>
      <c r="J189" t="str">
        <f>VLOOKUP(H189,DC_Xref!A:B,2,FALSE)</f>
        <v>WEO</v>
      </c>
      <c r="K189">
        <f t="shared" si="2"/>
        <v>201847</v>
      </c>
      <c r="L189">
        <f>IFERROR(Table1[[#This Row],[Demand]]/SUMIFS(Table1[Demand],Table1[Fiscal_Year],Table1[[#This Row],[Fiscal_Year]],Table1[BRAND],Table1[[#This Row],[BRAND]],Table1[DC_name_Xref],Table1[[#This Row],[DC_name_Xref]]),0)</f>
        <v>0</v>
      </c>
      <c r="M1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" s="3">
        <f>IFERROR(INDEX(Table3[#All],MATCH(Table1[[#This Row],[Key_Year_Week_Brand]],Table3[[#All],[Key_Year_Week_Brand]],0),MATCH(Table1[[#This Row],[DC_name_Xref]],Table3[#Headers],0)),0)</f>
        <v>0</v>
      </c>
      <c r="O189">
        <f>IFERROR(INDEX(Table35[#All],MATCH(Table1[[#This Row],[Key_Year_Week_Brand]],Table35[[#All],[Key_Year_Month_Brand]],0),MATCH(Table1[[#This Row],[DC_name_Xref]],Table35[#Headers],0)),0)</f>
        <v>0</v>
      </c>
    </row>
    <row r="190" spans="1:15" x14ac:dyDescent="0.3">
      <c r="A190" s="19" t="str">
        <f>Table1[[#This Row],[Year_Week]]&amp;"-"&amp;Table1[[#This Row],[DC_name_Xref]]</f>
        <v>201847-OCC</v>
      </c>
      <c r="B190" s="19" t="str">
        <f>Table1[[#This Row],[Fiscal_Year]]*100+Table1[[#This Row],[Fiscal_Week]] &amp; "-" &amp;Table1[[#This Row],[BRAND]]</f>
        <v>201847-Banana Republic</v>
      </c>
      <c r="C190" t="str">
        <f>Table1[[#This Row],[Fiscal_Year]]&amp;"-"&amp;Table1[[#This Row],[BRAND]]</f>
        <v>2018-Banana Republic</v>
      </c>
      <c r="D190">
        <v>2018</v>
      </c>
      <c r="E190">
        <v>47</v>
      </c>
      <c r="F190" t="s">
        <v>18</v>
      </c>
      <c r="G190" t="s">
        <v>11</v>
      </c>
      <c r="H190">
        <v>7</v>
      </c>
      <c r="I190">
        <v>0</v>
      </c>
      <c r="J190" t="str">
        <f>VLOOKUP(H190,DC_Xref!A:B,2,FALSE)</f>
        <v>OCC</v>
      </c>
      <c r="K190">
        <f t="shared" si="2"/>
        <v>201847</v>
      </c>
      <c r="L190">
        <f>IFERROR(Table1[[#This Row],[Demand]]/SUMIFS(Table1[Demand],Table1[Fiscal_Year],Table1[[#This Row],[Fiscal_Year]],Table1[BRAND],Table1[[#This Row],[BRAND]],Table1[DC_name_Xref],Table1[[#This Row],[DC_name_Xref]]),0)</f>
        <v>0</v>
      </c>
      <c r="M1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" s="3">
        <f>IFERROR(INDEX(Table3[#All],MATCH(Table1[[#This Row],[Key_Year_Week_Brand]],Table3[[#All],[Key_Year_Week_Brand]],0),MATCH(Table1[[#This Row],[DC_name_Xref]],Table3[#Headers],0)),0)</f>
        <v>0</v>
      </c>
      <c r="O190">
        <f>IFERROR(INDEX(Table35[#All],MATCH(Table1[[#This Row],[Key_Year_Week_Brand]],Table35[[#All],[Key_Year_Month_Brand]],0),MATCH(Table1[[#This Row],[DC_name_Xref]],Table35[#Headers],0)),0)</f>
        <v>0</v>
      </c>
    </row>
    <row r="191" spans="1:15" x14ac:dyDescent="0.3">
      <c r="A191" s="19" t="str">
        <f>Table1[[#This Row],[Year_Week]]&amp;"-"&amp;Table1[[#This Row],[DC_name_Xref]]</f>
        <v>201847-OFC</v>
      </c>
      <c r="B191" s="19" t="str">
        <f>Table1[[#This Row],[Fiscal_Year]]*100+Table1[[#This Row],[Fiscal_Week]] &amp; "-" &amp;Table1[[#This Row],[BRAND]]</f>
        <v>201847-Athleta</v>
      </c>
      <c r="C191" t="str">
        <f>Table1[[#This Row],[Fiscal_Year]]&amp;"-"&amp;Table1[[#This Row],[BRAND]]</f>
        <v>2018-Athleta</v>
      </c>
      <c r="D191">
        <v>2018</v>
      </c>
      <c r="E191">
        <v>47</v>
      </c>
      <c r="F191" t="s">
        <v>19</v>
      </c>
      <c r="G191" t="s">
        <v>5</v>
      </c>
      <c r="H191">
        <v>1</v>
      </c>
      <c r="I191">
        <v>19749</v>
      </c>
      <c r="J191" t="str">
        <f>VLOOKUP(H191,DC_Xref!A:B,2,FALSE)</f>
        <v>OFC</v>
      </c>
      <c r="K191">
        <f t="shared" si="2"/>
        <v>201847</v>
      </c>
      <c r="L191">
        <f>IFERROR(Table1[[#This Row],[Demand]]/SUMIFS(Table1[Demand],Table1[Fiscal_Year],Table1[[#This Row],[Fiscal_Year]],Table1[BRAND],Table1[[#This Row],[BRAND]],Table1[DC_name_Xref],Table1[[#This Row],[DC_name_Xref]]),0)</f>
        <v>0.19106819786960266</v>
      </c>
      <c r="M1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0.10136830192084012</v>
      </c>
      <c r="N191" s="3">
        <f>IFERROR(INDEX(Table3[#All],MATCH(Table1[[#This Row],[Key_Year_Week_Brand]],Table3[[#All],[Key_Year_Week_Brand]],0),MATCH(Table1[[#This Row],[DC_name_Xref]],Table3[#Headers],0)),0)</f>
        <v>0</v>
      </c>
      <c r="O191">
        <f>IFERROR(INDEX(Table35[#All],MATCH(Table1[[#This Row],[Key_Year_Week_Brand]],Table35[[#All],[Key_Year_Month_Brand]],0),MATCH(Table1[[#This Row],[DC_name_Xref]],Table35[#Headers],0)),0)</f>
        <v>0</v>
      </c>
    </row>
    <row r="192" spans="1:15" x14ac:dyDescent="0.3">
      <c r="A192" s="19" t="str">
        <f>Table1[[#This Row],[Year_Week]]&amp;"-"&amp;Table1[[#This Row],[DC_name_Xref]]</f>
        <v>201847-TFC</v>
      </c>
      <c r="B192" s="19" t="str">
        <f>Table1[[#This Row],[Fiscal_Year]]*100+Table1[[#This Row],[Fiscal_Week]] &amp; "-" &amp;Table1[[#This Row],[BRAND]]</f>
        <v>201847-Athleta</v>
      </c>
      <c r="C192" t="str">
        <f>Table1[[#This Row],[Fiscal_Year]]&amp;"-"&amp;Table1[[#This Row],[BRAND]]</f>
        <v>2018-Athleta</v>
      </c>
      <c r="D192">
        <v>2018</v>
      </c>
      <c r="E192">
        <v>47</v>
      </c>
      <c r="F192" t="s">
        <v>19</v>
      </c>
      <c r="G192" t="s">
        <v>21</v>
      </c>
      <c r="H192">
        <v>2</v>
      </c>
      <c r="I192">
        <v>166160</v>
      </c>
      <c r="J192" t="str">
        <f>VLOOKUP(H192,DC_Xref!A:B,2,FALSE)</f>
        <v>TFC</v>
      </c>
      <c r="K192">
        <f t="shared" si="2"/>
        <v>201847</v>
      </c>
      <c r="L192">
        <f>IFERROR(Table1[[#This Row],[Demand]]/SUMIFS(Table1[Demand],Table1[Fiscal_Year],Table1[[#This Row],[Fiscal_Year]],Table1[BRAND],Table1[[#This Row],[BRAND]],Table1[DC_name_Xref],Table1[[#This Row],[DC_name_Xref]]),0)</f>
        <v>0.18134551034529425</v>
      </c>
      <c r="M1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0.89859737284462049</v>
      </c>
      <c r="N192" s="3">
        <f>IFERROR(INDEX(Table3[#All],MATCH(Table1[[#This Row],[Key_Year_Week_Brand]],Table3[[#All],[Key_Year_Week_Brand]],0),MATCH(Table1[[#This Row],[DC_name_Xref]],Table3[#Headers],0)),0)</f>
        <v>1</v>
      </c>
      <c r="O192">
        <f>IFERROR(INDEX(Table35[#All],MATCH(Table1[[#This Row],[Key_Year_Week_Brand]],Table35[[#All],[Key_Year_Month_Brand]],0),MATCH(Table1[[#This Row],[DC_name_Xref]],Table35[#Headers],0)),0)</f>
        <v>185909</v>
      </c>
    </row>
    <row r="193" spans="1:15" x14ac:dyDescent="0.3">
      <c r="A193" s="19" t="str">
        <f>Table1[[#This Row],[Year_Week]]&amp;"-"&amp;Table1[[#This Row],[DC_name_Xref]]</f>
        <v>201847-WFC</v>
      </c>
      <c r="B193" s="19" t="str">
        <f>Table1[[#This Row],[Fiscal_Year]]*100+Table1[[#This Row],[Fiscal_Week]] &amp; "-" &amp;Table1[[#This Row],[BRAND]]</f>
        <v>201847-Athleta</v>
      </c>
      <c r="C193" t="str">
        <f>Table1[[#This Row],[Fiscal_Year]]&amp;"-"&amp;Table1[[#This Row],[BRAND]]</f>
        <v>2018-Athleta</v>
      </c>
      <c r="D193">
        <v>2018</v>
      </c>
      <c r="E193">
        <v>47</v>
      </c>
      <c r="F193" t="s">
        <v>19</v>
      </c>
      <c r="G193" t="s">
        <v>7</v>
      </c>
      <c r="H193">
        <v>3</v>
      </c>
      <c r="I193">
        <v>0</v>
      </c>
      <c r="J193" t="str">
        <f>VLOOKUP(H193,DC_Xref!A:B,2,FALSE)</f>
        <v>WFC</v>
      </c>
      <c r="K193">
        <f t="shared" si="2"/>
        <v>201847</v>
      </c>
      <c r="L193">
        <f>IFERROR(Table1[[#This Row],[Demand]]/SUMIFS(Table1[Demand],Table1[Fiscal_Year],Table1[[#This Row],[Fiscal_Year]],Table1[BRAND],Table1[[#This Row],[BRAND]],Table1[DC_name_Xref],Table1[[#This Row],[DC_name_Xref]]),0)</f>
        <v>0</v>
      </c>
      <c r="M1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" s="3">
        <f>IFERROR(INDEX(Table3[#All],MATCH(Table1[[#This Row],[Key_Year_Week_Brand]],Table3[[#All],[Key_Year_Week_Brand]],0),MATCH(Table1[[#This Row],[DC_name_Xref]],Table3[#Headers],0)),0)</f>
        <v>0</v>
      </c>
      <c r="O193">
        <f>IFERROR(INDEX(Table35[#All],MATCH(Table1[[#This Row],[Key_Year_Week_Brand]],Table35[[#All],[Key_Year_Month_Brand]],0),MATCH(Table1[[#This Row],[DC_name_Xref]],Table35[#Headers],0)),0)</f>
        <v>0</v>
      </c>
    </row>
    <row r="194" spans="1:15" x14ac:dyDescent="0.3">
      <c r="A194" s="19" t="str">
        <f>Table1[[#This Row],[Year_Week]]&amp;"-"&amp;Table1[[#This Row],[DC_name_Xref]]</f>
        <v>201847-EAO</v>
      </c>
      <c r="B194" s="19" t="str">
        <f>Table1[[#This Row],[Fiscal_Year]]*100+Table1[[#This Row],[Fiscal_Week]] &amp; "-" &amp;Table1[[#This Row],[BRAND]]</f>
        <v>201847-Athleta</v>
      </c>
      <c r="C194" t="str">
        <f>Table1[[#This Row],[Fiscal_Year]]&amp;"-"&amp;Table1[[#This Row],[BRAND]]</f>
        <v>2018-Athleta</v>
      </c>
      <c r="D194">
        <v>2018</v>
      </c>
      <c r="E194">
        <v>47</v>
      </c>
      <c r="F194" t="s">
        <v>19</v>
      </c>
      <c r="G194" t="s">
        <v>8</v>
      </c>
      <c r="H194">
        <v>4</v>
      </c>
      <c r="I194">
        <v>0</v>
      </c>
      <c r="J194" t="str">
        <f>VLOOKUP(H194,DC_Xref!A:B,2,FALSE)</f>
        <v>EAO</v>
      </c>
      <c r="K194">
        <f t="shared" ref="K194:K257" si="3">D194*100+E194</f>
        <v>201847</v>
      </c>
      <c r="L194">
        <f>IFERROR(Table1[[#This Row],[Demand]]/SUMIFS(Table1[Demand],Table1[Fiscal_Year],Table1[[#This Row],[Fiscal_Year]],Table1[BRAND],Table1[[#This Row],[BRAND]],Table1[DC_name_Xref],Table1[[#This Row],[DC_name_Xref]]),0)</f>
        <v>0</v>
      </c>
      <c r="M1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3.4325234539424002E-5</v>
      </c>
      <c r="N194" s="3">
        <f>IFERROR(INDEX(Table3[#All],MATCH(Table1[[#This Row],[Key_Year_Week_Brand]],Table3[[#All],[Key_Year_Week_Brand]],0),MATCH(Table1[[#This Row],[DC_name_Xref]],Table3[#Headers],0)),0)</f>
        <v>3.447122356821831E-5</v>
      </c>
      <c r="O194">
        <f>IFERROR(INDEX(Table35[#All],MATCH(Table1[[#This Row],[Key_Year_Week_Brand]],Table35[[#All],[Key_Year_Month_Brand]],0),MATCH(Table1[[#This Row],[DC_name_Xref]],Table35[#Headers],0)),0)</f>
        <v>6.4085107023438974</v>
      </c>
    </row>
    <row r="195" spans="1:15" x14ac:dyDescent="0.3">
      <c r="A195" s="19" t="str">
        <f>Table1[[#This Row],[Year_Week]]&amp;"-"&amp;Table1[[#This Row],[DC_name_Xref]]</f>
        <v>201847-FFC-ODC</v>
      </c>
      <c r="B195" s="19" t="str">
        <f>Table1[[#This Row],[Fiscal_Year]]*100+Table1[[#This Row],[Fiscal_Week]] &amp; "-" &amp;Table1[[#This Row],[BRAND]]</f>
        <v>201847-Athleta</v>
      </c>
      <c r="C195" t="str">
        <f>Table1[[#This Row],[Fiscal_Year]]&amp;"-"&amp;Table1[[#This Row],[BRAND]]</f>
        <v>2018-Athleta</v>
      </c>
      <c r="D195">
        <v>2018</v>
      </c>
      <c r="E195">
        <v>47</v>
      </c>
      <c r="F195" t="s">
        <v>19</v>
      </c>
      <c r="G195" t="s">
        <v>23</v>
      </c>
      <c r="H195">
        <v>5</v>
      </c>
      <c r="I195">
        <v>0</v>
      </c>
      <c r="J195" t="str">
        <f>VLOOKUP(H195,DC_Xref!A:B,2,FALSE)</f>
        <v>FFC-ODC</v>
      </c>
      <c r="K195">
        <f t="shared" si="3"/>
        <v>201847</v>
      </c>
      <c r="L195">
        <f>IFERROR(Table1[[#This Row],[Demand]]/SUMIFS(Table1[Demand],Table1[Fiscal_Year],Table1[[#This Row],[Fiscal_Year]],Table1[BRAND],Table1[[#This Row],[BRAND]],Table1[DC_name_Xref],Table1[[#This Row],[DC_name_Xref]]),0)</f>
        <v>0</v>
      </c>
      <c r="M1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" s="3">
        <f>IFERROR(INDEX(Table3[#All],MATCH(Table1[[#This Row],[Key_Year_Week_Brand]],Table3[[#All],[Key_Year_Week_Brand]],0),MATCH(Table1[[#This Row],[DC_name_Xref]],Table3[#Headers],0)),0)</f>
        <v>0</v>
      </c>
      <c r="O195">
        <f>IFERROR(INDEX(Table35[#All],MATCH(Table1[[#This Row],[Key_Year_Week_Brand]],Table35[[#All],[Key_Year_Month_Brand]],0),MATCH(Table1[[#This Row],[DC_name_Xref]],Table35[#Headers],0)),0)</f>
        <v>0</v>
      </c>
    </row>
    <row r="196" spans="1:15" x14ac:dyDescent="0.3">
      <c r="A196" s="19" t="str">
        <f>Table1[[#This Row],[Year_Week]]&amp;"-"&amp;Table1[[#This Row],[DC_name_Xref]]</f>
        <v>201847-WEO</v>
      </c>
      <c r="B196" s="19" t="str">
        <f>Table1[[#This Row],[Fiscal_Year]]*100+Table1[[#This Row],[Fiscal_Week]] &amp; "-" &amp;Table1[[#This Row],[BRAND]]</f>
        <v>201847-Athleta</v>
      </c>
      <c r="C196" t="str">
        <f>Table1[[#This Row],[Fiscal_Year]]&amp;"-"&amp;Table1[[#This Row],[BRAND]]</f>
        <v>2018-Athleta</v>
      </c>
      <c r="D196">
        <v>2018</v>
      </c>
      <c r="E196">
        <v>47</v>
      </c>
      <c r="F196" t="s">
        <v>19</v>
      </c>
      <c r="G196" t="s">
        <v>10</v>
      </c>
      <c r="H196">
        <v>6</v>
      </c>
      <c r="I196">
        <v>0</v>
      </c>
      <c r="J196" t="str">
        <f>VLOOKUP(H196,DC_Xref!A:B,2,FALSE)</f>
        <v>WEO</v>
      </c>
      <c r="K196">
        <f t="shared" si="3"/>
        <v>201847</v>
      </c>
      <c r="L196">
        <f>IFERROR(Table1[[#This Row],[Demand]]/SUMIFS(Table1[Demand],Table1[Fiscal_Year],Table1[[#This Row],[Fiscal_Year]],Table1[BRAND],Table1[[#This Row],[BRAND]],Table1[DC_name_Xref],Table1[[#This Row],[DC_name_Xref]]),0)</f>
        <v>0</v>
      </c>
      <c r="M1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" s="3">
        <f>IFERROR(INDEX(Table3[#All],MATCH(Table1[[#This Row],[Key_Year_Week_Brand]],Table3[[#All],[Key_Year_Week_Brand]],0),MATCH(Table1[[#This Row],[DC_name_Xref]],Table3[#Headers],0)),0)</f>
        <v>0</v>
      </c>
      <c r="O196">
        <f>IFERROR(INDEX(Table35[#All],MATCH(Table1[[#This Row],[Key_Year_Week_Brand]],Table35[[#All],[Key_Year_Month_Brand]],0),MATCH(Table1[[#This Row],[DC_name_Xref]],Table35[#Headers],0)),0)</f>
        <v>0</v>
      </c>
    </row>
    <row r="197" spans="1:15" x14ac:dyDescent="0.3">
      <c r="A197" s="19" t="str">
        <f>Table1[[#This Row],[Year_Week]]&amp;"-"&amp;Table1[[#This Row],[DC_name_Xref]]</f>
        <v>201847-OCC</v>
      </c>
      <c r="B197" s="19" t="str">
        <f>Table1[[#This Row],[Fiscal_Year]]*100+Table1[[#This Row],[Fiscal_Week]] &amp; "-" &amp;Table1[[#This Row],[BRAND]]</f>
        <v>201847-Athleta</v>
      </c>
      <c r="C197" t="str">
        <f>Table1[[#This Row],[Fiscal_Year]]&amp;"-"&amp;Table1[[#This Row],[BRAND]]</f>
        <v>2018-Athleta</v>
      </c>
      <c r="D197">
        <v>2018</v>
      </c>
      <c r="E197">
        <v>47</v>
      </c>
      <c r="F197" t="s">
        <v>19</v>
      </c>
      <c r="G197" t="s">
        <v>11</v>
      </c>
      <c r="H197">
        <v>7</v>
      </c>
      <c r="I197">
        <v>0</v>
      </c>
      <c r="J197" t="str">
        <f>VLOOKUP(H197,DC_Xref!A:B,2,FALSE)</f>
        <v>OCC</v>
      </c>
      <c r="K197">
        <f t="shared" si="3"/>
        <v>201847</v>
      </c>
      <c r="L197">
        <f>IFERROR(Table1[[#This Row],[Demand]]/SUMIFS(Table1[Demand],Table1[Fiscal_Year],Table1[[#This Row],[Fiscal_Year]],Table1[BRAND],Table1[[#This Row],[BRAND]],Table1[DC_name_Xref],Table1[[#This Row],[DC_name_Xref]]),0)</f>
        <v>0</v>
      </c>
      <c r="M1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" s="3">
        <f>IFERROR(INDEX(Table3[#All],MATCH(Table1[[#This Row],[Key_Year_Week_Brand]],Table3[[#All],[Key_Year_Week_Brand]],0),MATCH(Table1[[#This Row],[DC_name_Xref]],Table3[#Headers],0)),0)</f>
        <v>0</v>
      </c>
      <c r="O197">
        <f>IFERROR(INDEX(Table35[#All],MATCH(Table1[[#This Row],[Key_Year_Week_Brand]],Table35[[#All],[Key_Year_Month_Brand]],0),MATCH(Table1[[#This Row],[DC_name_Xref]],Table35[#Headers],0)),0)</f>
        <v>0</v>
      </c>
    </row>
    <row r="198" spans="1:15" x14ac:dyDescent="0.3">
      <c r="A198" s="19" t="str">
        <f>Table1[[#This Row],[Year_Week]]&amp;"-"&amp;Table1[[#This Row],[DC_name_Xref]]</f>
        <v>201847-OFC</v>
      </c>
      <c r="B198" s="19" t="str">
        <f>Table1[[#This Row],[Fiscal_Year]]*100+Table1[[#This Row],[Fiscal_Week]] &amp; "-" &amp;Table1[[#This Row],[BRAND]]</f>
        <v>201847-BR Factory Store</v>
      </c>
      <c r="C198" t="str">
        <f>Table1[[#This Row],[Fiscal_Year]]&amp;"-"&amp;Table1[[#This Row],[BRAND]]</f>
        <v>2018-BR Factory Store</v>
      </c>
      <c r="D198">
        <v>2018</v>
      </c>
      <c r="E198">
        <v>47</v>
      </c>
      <c r="F198" t="s">
        <v>17</v>
      </c>
      <c r="G198" t="s">
        <v>5</v>
      </c>
      <c r="H198">
        <v>1</v>
      </c>
      <c r="I198">
        <v>62339</v>
      </c>
      <c r="J198" t="str">
        <f>VLOOKUP(H198,DC_Xref!A:B,2,FALSE)</f>
        <v>OFC</v>
      </c>
      <c r="K198">
        <f t="shared" si="3"/>
        <v>201847</v>
      </c>
      <c r="L198">
        <f>IFERROR(Table1[[#This Row],[Demand]]/SUMIFS(Table1[Demand],Table1[Fiscal_Year],Table1[[#This Row],[Fiscal_Year]],Table1[BRAND],Table1[[#This Row],[BRAND]],Table1[DC_name_Xref],Table1[[#This Row],[DC_name_Xref]]),0)</f>
        <v>9.4317698695962002E-2</v>
      </c>
      <c r="M1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98" s="3">
        <f>IFERROR(INDEX(Table3[#All],MATCH(Table1[[#This Row],[Key_Year_Week_Brand]],Table3[[#All],[Key_Year_Week_Brand]],0),MATCH(Table1[[#This Row],[DC_name_Xref]],Table3[#Headers],0)),0)</f>
        <v>1</v>
      </c>
      <c r="O198">
        <f>IFERROR(INDEX(Table35[#All],MATCH(Table1[[#This Row],[Key_Year_Week_Brand]],Table35[[#All],[Key_Year_Month_Brand]],0),MATCH(Table1[[#This Row],[DC_name_Xref]],Table35[#Headers],0)),0)</f>
        <v>62339</v>
      </c>
    </row>
    <row r="199" spans="1:15" x14ac:dyDescent="0.3">
      <c r="A199" s="19" t="str">
        <f>Table1[[#This Row],[Year_Week]]&amp;"-"&amp;Table1[[#This Row],[DC_name_Xref]]</f>
        <v>201847-TFC</v>
      </c>
      <c r="B199" s="19" t="str">
        <f>Table1[[#This Row],[Fiscal_Year]]*100+Table1[[#This Row],[Fiscal_Week]] &amp; "-" &amp;Table1[[#This Row],[BRAND]]</f>
        <v>201847-BR Factory Store</v>
      </c>
      <c r="C199" t="str">
        <f>Table1[[#This Row],[Fiscal_Year]]&amp;"-"&amp;Table1[[#This Row],[BRAND]]</f>
        <v>2018-BR Factory Store</v>
      </c>
      <c r="D199">
        <v>2018</v>
      </c>
      <c r="E199">
        <v>47</v>
      </c>
      <c r="F199" t="s">
        <v>17</v>
      </c>
      <c r="G199" t="s">
        <v>21</v>
      </c>
      <c r="H199">
        <v>2</v>
      </c>
      <c r="I199">
        <v>0</v>
      </c>
      <c r="J199" t="str">
        <f>VLOOKUP(H199,DC_Xref!A:B,2,FALSE)</f>
        <v>TFC</v>
      </c>
      <c r="K199">
        <f t="shared" si="3"/>
        <v>201847</v>
      </c>
      <c r="L199">
        <f>IFERROR(Table1[[#This Row],[Demand]]/SUMIFS(Table1[Demand],Table1[Fiscal_Year],Table1[[#This Row],[Fiscal_Year]],Table1[BRAND],Table1[[#This Row],[BRAND]],Table1[DC_name_Xref],Table1[[#This Row],[DC_name_Xref]]),0)</f>
        <v>0</v>
      </c>
      <c r="M1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" s="3">
        <f>IFERROR(INDEX(Table3[#All],MATCH(Table1[[#This Row],[Key_Year_Week_Brand]],Table3[[#All],[Key_Year_Week_Brand]],0),MATCH(Table1[[#This Row],[DC_name_Xref]],Table3[#Headers],0)),0)</f>
        <v>0</v>
      </c>
      <c r="O199">
        <f>IFERROR(INDEX(Table35[#All],MATCH(Table1[[#This Row],[Key_Year_Week_Brand]],Table35[[#All],[Key_Year_Month_Brand]],0),MATCH(Table1[[#This Row],[DC_name_Xref]],Table35[#Headers],0)),0)</f>
        <v>0</v>
      </c>
    </row>
    <row r="200" spans="1:15" x14ac:dyDescent="0.3">
      <c r="A200" s="19" t="str">
        <f>Table1[[#This Row],[Year_Week]]&amp;"-"&amp;Table1[[#This Row],[DC_name_Xref]]</f>
        <v>201847-WFC</v>
      </c>
      <c r="B200" s="19" t="str">
        <f>Table1[[#This Row],[Fiscal_Year]]*100+Table1[[#This Row],[Fiscal_Week]] &amp; "-" &amp;Table1[[#This Row],[BRAND]]</f>
        <v>201847-BR Factory Store</v>
      </c>
      <c r="C200" t="str">
        <f>Table1[[#This Row],[Fiscal_Year]]&amp;"-"&amp;Table1[[#This Row],[BRAND]]</f>
        <v>2018-BR Factory Store</v>
      </c>
      <c r="D200">
        <v>2018</v>
      </c>
      <c r="E200">
        <v>47</v>
      </c>
      <c r="F200" t="s">
        <v>17</v>
      </c>
      <c r="G200" t="s">
        <v>7</v>
      </c>
      <c r="H200">
        <v>3</v>
      </c>
      <c r="I200">
        <v>0</v>
      </c>
      <c r="J200" t="str">
        <f>VLOOKUP(H200,DC_Xref!A:B,2,FALSE)</f>
        <v>WFC</v>
      </c>
      <c r="K200">
        <f t="shared" si="3"/>
        <v>201847</v>
      </c>
      <c r="L200">
        <f>IFERROR(Table1[[#This Row],[Demand]]/SUMIFS(Table1[Demand],Table1[Fiscal_Year],Table1[[#This Row],[Fiscal_Year]],Table1[BRAND],Table1[[#This Row],[BRAND]],Table1[DC_name_Xref],Table1[[#This Row],[DC_name_Xref]]),0)</f>
        <v>0</v>
      </c>
      <c r="M2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" s="3">
        <f>IFERROR(INDEX(Table3[#All],MATCH(Table1[[#This Row],[Key_Year_Week_Brand]],Table3[[#All],[Key_Year_Week_Brand]],0),MATCH(Table1[[#This Row],[DC_name_Xref]],Table3[#Headers],0)),0)</f>
        <v>0</v>
      </c>
      <c r="O200">
        <f>IFERROR(INDEX(Table35[#All],MATCH(Table1[[#This Row],[Key_Year_Week_Brand]],Table35[[#All],[Key_Year_Month_Brand]],0),MATCH(Table1[[#This Row],[DC_name_Xref]],Table35[#Headers],0)),0)</f>
        <v>0</v>
      </c>
    </row>
    <row r="201" spans="1:15" x14ac:dyDescent="0.3">
      <c r="A201" s="19" t="str">
        <f>Table1[[#This Row],[Year_Week]]&amp;"-"&amp;Table1[[#This Row],[DC_name_Xref]]</f>
        <v>201847-EAO</v>
      </c>
      <c r="B201" s="19" t="str">
        <f>Table1[[#This Row],[Fiscal_Year]]*100+Table1[[#This Row],[Fiscal_Week]] &amp; "-" &amp;Table1[[#This Row],[BRAND]]</f>
        <v>201847-BR Factory Store</v>
      </c>
      <c r="C201" t="str">
        <f>Table1[[#This Row],[Fiscal_Year]]&amp;"-"&amp;Table1[[#This Row],[BRAND]]</f>
        <v>2018-BR Factory Store</v>
      </c>
      <c r="D201">
        <v>2018</v>
      </c>
      <c r="E201">
        <v>47</v>
      </c>
      <c r="F201" t="s">
        <v>17</v>
      </c>
      <c r="G201" t="s">
        <v>8</v>
      </c>
      <c r="H201">
        <v>4</v>
      </c>
      <c r="I201">
        <v>0</v>
      </c>
      <c r="J201" t="str">
        <f>VLOOKUP(H201,DC_Xref!A:B,2,FALSE)</f>
        <v>EAO</v>
      </c>
      <c r="K201">
        <f t="shared" si="3"/>
        <v>201847</v>
      </c>
      <c r="L201">
        <f>IFERROR(Table1[[#This Row],[Demand]]/SUMIFS(Table1[Demand],Table1[Fiscal_Year],Table1[[#This Row],[Fiscal_Year]],Table1[BRAND],Table1[[#This Row],[BRAND]],Table1[DC_name_Xref],Table1[[#This Row],[DC_name_Xref]]),0)</f>
        <v>0</v>
      </c>
      <c r="M2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" s="3">
        <f>IFERROR(INDEX(Table3[#All],MATCH(Table1[[#This Row],[Key_Year_Week_Brand]],Table3[[#All],[Key_Year_Week_Brand]],0),MATCH(Table1[[#This Row],[DC_name_Xref]],Table3[#Headers],0)),0)</f>
        <v>0</v>
      </c>
      <c r="O201">
        <f>IFERROR(INDEX(Table35[#All],MATCH(Table1[[#This Row],[Key_Year_Week_Brand]],Table35[[#All],[Key_Year_Month_Brand]],0),MATCH(Table1[[#This Row],[DC_name_Xref]],Table35[#Headers],0)),0)</f>
        <v>0</v>
      </c>
    </row>
    <row r="202" spans="1:15" x14ac:dyDescent="0.3">
      <c r="A202" s="19" t="str">
        <f>Table1[[#This Row],[Year_Week]]&amp;"-"&amp;Table1[[#This Row],[DC_name_Xref]]</f>
        <v>201847-FFC-ODC</v>
      </c>
      <c r="B202" s="19" t="str">
        <f>Table1[[#This Row],[Fiscal_Year]]*100+Table1[[#This Row],[Fiscal_Week]] &amp; "-" &amp;Table1[[#This Row],[BRAND]]</f>
        <v>201847-BR Factory Store</v>
      </c>
      <c r="C202" t="str">
        <f>Table1[[#This Row],[Fiscal_Year]]&amp;"-"&amp;Table1[[#This Row],[BRAND]]</f>
        <v>2018-BR Factory Store</v>
      </c>
      <c r="D202">
        <v>2018</v>
      </c>
      <c r="E202">
        <v>47</v>
      </c>
      <c r="F202" t="s">
        <v>17</v>
      </c>
      <c r="G202" t="s">
        <v>23</v>
      </c>
      <c r="H202">
        <v>5</v>
      </c>
      <c r="I202">
        <v>0</v>
      </c>
      <c r="J202" t="str">
        <f>VLOOKUP(H202,DC_Xref!A:B,2,FALSE)</f>
        <v>FFC-ODC</v>
      </c>
      <c r="K202">
        <f t="shared" si="3"/>
        <v>201847</v>
      </c>
      <c r="L202">
        <f>IFERROR(Table1[[#This Row],[Demand]]/SUMIFS(Table1[Demand],Table1[Fiscal_Year],Table1[[#This Row],[Fiscal_Year]],Table1[BRAND],Table1[[#This Row],[BRAND]],Table1[DC_name_Xref],Table1[[#This Row],[DC_name_Xref]]),0)</f>
        <v>0</v>
      </c>
      <c r="M2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" s="3">
        <f>IFERROR(INDEX(Table3[#All],MATCH(Table1[[#This Row],[Key_Year_Week_Brand]],Table3[[#All],[Key_Year_Week_Brand]],0),MATCH(Table1[[#This Row],[DC_name_Xref]],Table3[#Headers],0)),0)</f>
        <v>0</v>
      </c>
      <c r="O202">
        <f>IFERROR(INDEX(Table35[#All],MATCH(Table1[[#This Row],[Key_Year_Week_Brand]],Table35[[#All],[Key_Year_Month_Brand]],0),MATCH(Table1[[#This Row],[DC_name_Xref]],Table35[#Headers],0)),0)</f>
        <v>0</v>
      </c>
    </row>
    <row r="203" spans="1:15" x14ac:dyDescent="0.3">
      <c r="A203" s="19" t="str">
        <f>Table1[[#This Row],[Year_Week]]&amp;"-"&amp;Table1[[#This Row],[DC_name_Xref]]</f>
        <v>201847-WEO</v>
      </c>
      <c r="B203" s="19" t="str">
        <f>Table1[[#This Row],[Fiscal_Year]]*100+Table1[[#This Row],[Fiscal_Week]] &amp; "-" &amp;Table1[[#This Row],[BRAND]]</f>
        <v>201847-BR Factory Store</v>
      </c>
      <c r="C203" t="str">
        <f>Table1[[#This Row],[Fiscal_Year]]&amp;"-"&amp;Table1[[#This Row],[BRAND]]</f>
        <v>2018-BR Factory Store</v>
      </c>
      <c r="D203">
        <v>2018</v>
      </c>
      <c r="E203">
        <v>47</v>
      </c>
      <c r="F203" t="s">
        <v>17</v>
      </c>
      <c r="G203" t="s">
        <v>10</v>
      </c>
      <c r="H203">
        <v>6</v>
      </c>
      <c r="I203">
        <v>0</v>
      </c>
      <c r="J203" t="str">
        <f>VLOOKUP(H203,DC_Xref!A:B,2,FALSE)</f>
        <v>WEO</v>
      </c>
      <c r="K203">
        <f t="shared" si="3"/>
        <v>201847</v>
      </c>
      <c r="L203">
        <f>IFERROR(Table1[[#This Row],[Demand]]/SUMIFS(Table1[Demand],Table1[Fiscal_Year],Table1[[#This Row],[Fiscal_Year]],Table1[BRAND],Table1[[#This Row],[BRAND]],Table1[DC_name_Xref],Table1[[#This Row],[DC_name_Xref]]),0)</f>
        <v>0</v>
      </c>
      <c r="M2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" s="3">
        <f>IFERROR(INDEX(Table3[#All],MATCH(Table1[[#This Row],[Key_Year_Week_Brand]],Table3[[#All],[Key_Year_Week_Brand]],0),MATCH(Table1[[#This Row],[DC_name_Xref]],Table3[#Headers],0)),0)</f>
        <v>0</v>
      </c>
      <c r="O203">
        <f>IFERROR(INDEX(Table35[#All],MATCH(Table1[[#This Row],[Key_Year_Week_Brand]],Table35[[#All],[Key_Year_Month_Brand]],0),MATCH(Table1[[#This Row],[DC_name_Xref]],Table35[#Headers],0)),0)</f>
        <v>0</v>
      </c>
    </row>
    <row r="204" spans="1:15" x14ac:dyDescent="0.3">
      <c r="A204" s="19" t="str">
        <f>Table1[[#This Row],[Year_Week]]&amp;"-"&amp;Table1[[#This Row],[DC_name_Xref]]</f>
        <v>201847-OCC</v>
      </c>
      <c r="B204" s="19" t="str">
        <f>Table1[[#This Row],[Fiscal_Year]]*100+Table1[[#This Row],[Fiscal_Week]] &amp; "-" &amp;Table1[[#This Row],[BRAND]]</f>
        <v>201847-BR Factory Store</v>
      </c>
      <c r="C204" t="str">
        <f>Table1[[#This Row],[Fiscal_Year]]&amp;"-"&amp;Table1[[#This Row],[BRAND]]</f>
        <v>2018-BR Factory Store</v>
      </c>
      <c r="D204">
        <v>2018</v>
      </c>
      <c r="E204">
        <v>47</v>
      </c>
      <c r="F204" t="s">
        <v>17</v>
      </c>
      <c r="G204" t="s">
        <v>11</v>
      </c>
      <c r="H204">
        <v>7</v>
      </c>
      <c r="I204">
        <v>0</v>
      </c>
      <c r="J204" t="str">
        <f>VLOOKUP(H204,DC_Xref!A:B,2,FALSE)</f>
        <v>OCC</v>
      </c>
      <c r="K204">
        <f t="shared" si="3"/>
        <v>201847</v>
      </c>
      <c r="L204">
        <f>IFERROR(Table1[[#This Row],[Demand]]/SUMIFS(Table1[Demand],Table1[Fiscal_Year],Table1[[#This Row],[Fiscal_Year]],Table1[BRAND],Table1[[#This Row],[BRAND]],Table1[DC_name_Xref],Table1[[#This Row],[DC_name_Xref]]),0)</f>
        <v>0</v>
      </c>
      <c r="M2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" s="3">
        <f>IFERROR(INDEX(Table3[#All],MATCH(Table1[[#This Row],[Key_Year_Week_Brand]],Table3[[#All],[Key_Year_Week_Brand]],0),MATCH(Table1[[#This Row],[DC_name_Xref]],Table3[#Headers],0)),0)</f>
        <v>0</v>
      </c>
      <c r="O204">
        <f>IFERROR(INDEX(Table35[#All],MATCH(Table1[[#This Row],[Key_Year_Week_Brand]],Table35[[#All],[Key_Year_Month_Brand]],0),MATCH(Table1[[#This Row],[DC_name_Xref]],Table35[#Headers],0)),0)</f>
        <v>0</v>
      </c>
    </row>
    <row r="205" spans="1:15" x14ac:dyDescent="0.3">
      <c r="A205" s="19" t="str">
        <f>Table1[[#This Row],[Year_Week]]&amp;"-"&amp;Table1[[#This Row],[DC_name_Xref]]</f>
        <v>201847-OFC</v>
      </c>
      <c r="B205" s="19" t="str">
        <f>Table1[[#This Row],[Fiscal_Year]]*100+Table1[[#This Row],[Fiscal_Week]] &amp; "-" &amp;Table1[[#This Row],[BRAND]]</f>
        <v>201847-Old Navy</v>
      </c>
      <c r="C205" t="str">
        <f>Table1[[#This Row],[Fiscal_Year]]&amp;"-"&amp;Table1[[#This Row],[BRAND]]</f>
        <v>2018-Old Navy</v>
      </c>
      <c r="D205">
        <v>2018</v>
      </c>
      <c r="E205">
        <v>47</v>
      </c>
      <c r="F205" t="s">
        <v>20</v>
      </c>
      <c r="G205" t="s">
        <v>5</v>
      </c>
      <c r="H205">
        <v>1</v>
      </c>
      <c r="I205">
        <v>458029</v>
      </c>
      <c r="J205" t="str">
        <f>VLOOKUP(H205,DC_Xref!A:B,2,FALSE)</f>
        <v>OFC</v>
      </c>
      <c r="K205">
        <f t="shared" si="3"/>
        <v>201847</v>
      </c>
      <c r="L205">
        <f>IFERROR(Table1[[#This Row],[Demand]]/SUMIFS(Table1[Demand],Table1[Fiscal_Year],Table1[[#This Row],[Fiscal_Year]],Table1[BRAND],Table1[[#This Row],[BRAND]],Table1[DC_name_Xref],Table1[[#This Row],[DC_name_Xref]]),0)</f>
        <v>8.306660304675538E-2</v>
      </c>
      <c r="M2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0.29585489044805086</v>
      </c>
      <c r="N205" s="3">
        <f>IFERROR(INDEX(Table3[#All],MATCH(Table1[[#This Row],[Key_Year_Week_Brand]],Table3[[#All],[Key_Year_Week_Brand]],0),MATCH(Table1[[#This Row],[DC_name_Xref]],Table3[#Headers],0)),0)</f>
        <v>0.27</v>
      </c>
      <c r="O205">
        <f>IFERROR(INDEX(Table35[#All],MATCH(Table1[[#This Row],[Key_Year_Week_Brand]],Table35[[#All],[Key_Year_Month_Brand]],0),MATCH(Table1[[#This Row],[DC_name_Xref]],Table35[#Headers],0)),0)</f>
        <v>340109.28</v>
      </c>
    </row>
    <row r="206" spans="1:15" x14ac:dyDescent="0.3">
      <c r="A206" s="19" t="str">
        <f>Table1[[#This Row],[Year_Week]]&amp;"-"&amp;Table1[[#This Row],[DC_name_Xref]]</f>
        <v>201847-TFC</v>
      </c>
      <c r="B206" s="19" t="str">
        <f>Table1[[#This Row],[Fiscal_Year]]*100+Table1[[#This Row],[Fiscal_Week]] &amp; "-" &amp;Table1[[#This Row],[BRAND]]</f>
        <v>201847-Old Navy</v>
      </c>
      <c r="C206" t="str">
        <f>Table1[[#This Row],[Fiscal_Year]]&amp;"-"&amp;Table1[[#This Row],[BRAND]]</f>
        <v>2018-Old Navy</v>
      </c>
      <c r="D206">
        <v>2018</v>
      </c>
      <c r="E206">
        <v>47</v>
      </c>
      <c r="F206" t="s">
        <v>20</v>
      </c>
      <c r="G206" t="s">
        <v>21</v>
      </c>
      <c r="H206">
        <v>2</v>
      </c>
      <c r="I206">
        <v>186601</v>
      </c>
      <c r="J206" t="str">
        <f>VLOOKUP(H206,DC_Xref!A:B,2,FALSE)</f>
        <v>TFC</v>
      </c>
      <c r="K206">
        <f t="shared" si="3"/>
        <v>201847</v>
      </c>
      <c r="L206">
        <f>IFERROR(Table1[[#This Row],[Demand]]/SUMIFS(Table1[Demand],Table1[Fiscal_Year],Table1[[#This Row],[Fiscal_Year]],Table1[BRAND],Table1[[#This Row],[BRAND]],Table1[DC_name_Xref],Table1[[#This Row],[DC_name_Xref]]),0)</f>
        <v>5.8870760129123768E-2</v>
      </c>
      <c r="M2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0.17006954525297244</v>
      </c>
      <c r="N206" s="3">
        <f>IFERROR(INDEX(Table3[#All],MATCH(Table1[[#This Row],[Key_Year_Week_Brand]],Table3[[#All],[Key_Year_Week_Brand]],0),MATCH(Table1[[#This Row],[DC_name_Xref]],Table3[#Headers],0)),0)</f>
        <v>0.25</v>
      </c>
      <c r="O206">
        <f>IFERROR(INDEX(Table35[#All],MATCH(Table1[[#This Row],[Key_Year_Week_Brand]],Table35[[#All],[Key_Year_Month_Brand]],0),MATCH(Table1[[#This Row],[DC_name_Xref]],Table35[#Headers],0)),0)</f>
        <v>314916</v>
      </c>
    </row>
    <row r="207" spans="1:15" x14ac:dyDescent="0.3">
      <c r="A207" s="19" t="str">
        <f>Table1[[#This Row],[Year_Week]]&amp;"-"&amp;Table1[[#This Row],[DC_name_Xref]]</f>
        <v>201847-WFC</v>
      </c>
      <c r="B207" s="19" t="str">
        <f>Table1[[#This Row],[Fiscal_Year]]*100+Table1[[#This Row],[Fiscal_Week]] &amp; "-" &amp;Table1[[#This Row],[BRAND]]</f>
        <v>201847-Old Navy</v>
      </c>
      <c r="C207" t="str">
        <f>Table1[[#This Row],[Fiscal_Year]]&amp;"-"&amp;Table1[[#This Row],[BRAND]]</f>
        <v>2018-Old Navy</v>
      </c>
      <c r="D207">
        <v>2018</v>
      </c>
      <c r="E207">
        <v>47</v>
      </c>
      <c r="F207" t="s">
        <v>20</v>
      </c>
      <c r="G207" t="s">
        <v>7</v>
      </c>
      <c r="H207">
        <v>3</v>
      </c>
      <c r="I207">
        <v>210644</v>
      </c>
      <c r="J207" t="str">
        <f>VLOOKUP(H207,DC_Xref!A:B,2,FALSE)</f>
        <v>WFC</v>
      </c>
      <c r="K207">
        <f t="shared" si="3"/>
        <v>201847</v>
      </c>
      <c r="L207">
        <f>IFERROR(Table1[[#This Row],[Demand]]/SUMIFS(Table1[Demand],Table1[Fiscal_Year],Table1[[#This Row],[Fiscal_Year]],Table1[BRAND],Table1[[#This Row],[BRAND]],Table1[DC_name_Xref],Table1[[#This Row],[DC_name_Xref]]),0)</f>
        <v>5.6039927424032007E-2</v>
      </c>
      <c r="M2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0.20168042879130013</v>
      </c>
      <c r="N207" s="3">
        <f>IFERROR(INDEX(Table3[#All],MATCH(Table1[[#This Row],[Key_Year_Week_Brand]],Table3[[#All],[Key_Year_Week_Brand]],0),MATCH(Table1[[#This Row],[DC_name_Xref]],Table3[#Headers],0)),0)</f>
        <v>0.1</v>
      </c>
      <c r="O207">
        <f>IFERROR(INDEX(Table35[#All],MATCH(Table1[[#This Row],[Key_Year_Week_Brand]],Table35[[#All],[Key_Year_Month_Brand]],0),MATCH(Table1[[#This Row],[DC_name_Xref]],Table35[#Headers],0)),0)</f>
        <v>125966.40000000001</v>
      </c>
    </row>
    <row r="208" spans="1:15" x14ac:dyDescent="0.3">
      <c r="A208" s="19" t="str">
        <f>Table1[[#This Row],[Year_Week]]&amp;"-"&amp;Table1[[#This Row],[DC_name_Xref]]</f>
        <v>201847-EAO</v>
      </c>
      <c r="B208" s="19" t="str">
        <f>Table1[[#This Row],[Fiscal_Year]]*100+Table1[[#This Row],[Fiscal_Week]] &amp; "-" &amp;Table1[[#This Row],[BRAND]]</f>
        <v>201847-Old Navy</v>
      </c>
      <c r="C208" t="str">
        <f>Table1[[#This Row],[Fiscal_Year]]&amp;"-"&amp;Table1[[#This Row],[BRAND]]</f>
        <v>2018-Old Navy</v>
      </c>
      <c r="D208">
        <v>2018</v>
      </c>
      <c r="E208">
        <v>47</v>
      </c>
      <c r="F208" t="s">
        <v>20</v>
      </c>
      <c r="G208" t="s">
        <v>8</v>
      </c>
      <c r="H208">
        <v>4</v>
      </c>
      <c r="I208">
        <v>404390</v>
      </c>
      <c r="J208" t="str">
        <f>VLOOKUP(H208,DC_Xref!A:B,2,FALSE)</f>
        <v>EAO</v>
      </c>
      <c r="K208">
        <f t="shared" si="3"/>
        <v>201847</v>
      </c>
      <c r="L208">
        <f>IFERROR(Table1[[#This Row],[Demand]]/SUMIFS(Table1[Demand],Table1[Fiscal_Year],Table1[[#This Row],[Fiscal_Year]],Table1[BRAND],Table1[[#This Row],[BRAND]],Table1[DC_name_Xref],Table1[[#This Row],[DC_name_Xref]]),0)</f>
        <v>6.5276667566314603E-2</v>
      </c>
      <c r="M2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0.33239513550767658</v>
      </c>
      <c r="N208" s="3">
        <f>IFERROR(INDEX(Table3[#All],MATCH(Table1[[#This Row],[Key_Year_Week_Brand]],Table3[[#All],[Key_Year_Week_Brand]],0),MATCH(Table1[[#This Row],[DC_name_Xref]],Table3[#Headers],0)),0)</f>
        <v>0.28000000000000003</v>
      </c>
      <c r="O208">
        <f>IFERROR(INDEX(Table35[#All],MATCH(Table1[[#This Row],[Key_Year_Week_Brand]],Table35[[#All],[Key_Year_Month_Brand]],0),MATCH(Table1[[#This Row],[DC_name_Xref]],Table35[#Headers],0)),0)</f>
        <v>352705.92000000004</v>
      </c>
    </row>
    <row r="209" spans="1:15" x14ac:dyDescent="0.3">
      <c r="A209" s="19" t="str">
        <f>Table1[[#This Row],[Year_Week]]&amp;"-"&amp;Table1[[#This Row],[DC_name_Xref]]</f>
        <v>201847-FFC-ODC</v>
      </c>
      <c r="B209" s="19" t="str">
        <f>Table1[[#This Row],[Fiscal_Year]]*100+Table1[[#This Row],[Fiscal_Week]] &amp; "-" &amp;Table1[[#This Row],[BRAND]]</f>
        <v>201847-Old Navy</v>
      </c>
      <c r="C209" t="str">
        <f>Table1[[#This Row],[Fiscal_Year]]&amp;"-"&amp;Table1[[#This Row],[BRAND]]</f>
        <v>2018-Old Navy</v>
      </c>
      <c r="D209">
        <v>2018</v>
      </c>
      <c r="E209">
        <v>47</v>
      </c>
      <c r="F209" t="s">
        <v>20</v>
      </c>
      <c r="G209" t="s">
        <v>23</v>
      </c>
      <c r="H209">
        <v>5</v>
      </c>
      <c r="I209">
        <v>0</v>
      </c>
      <c r="J209" t="str">
        <f>VLOOKUP(H209,DC_Xref!A:B,2,FALSE)</f>
        <v>FFC-ODC</v>
      </c>
      <c r="K209">
        <f t="shared" si="3"/>
        <v>201847</v>
      </c>
      <c r="L209">
        <f>IFERROR(Table1[[#This Row],[Demand]]/SUMIFS(Table1[Demand],Table1[Fiscal_Year],Table1[[#This Row],[Fiscal_Year]],Table1[BRAND],Table1[[#This Row],[BRAND]],Table1[DC_name_Xref],Table1[[#This Row],[DC_name_Xref]]),0)</f>
        <v>0</v>
      </c>
      <c r="M2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" s="3">
        <f>IFERROR(INDEX(Table3[#All],MATCH(Table1[[#This Row],[Key_Year_Week_Brand]],Table3[[#All],[Key_Year_Week_Brand]],0),MATCH(Table1[[#This Row],[DC_name_Xref]],Table3[#Headers],0)),0)</f>
        <v>0</v>
      </c>
      <c r="O209">
        <f>IFERROR(INDEX(Table35[#All],MATCH(Table1[[#This Row],[Key_Year_Week_Brand]],Table35[[#All],[Key_Year_Month_Brand]],0),MATCH(Table1[[#This Row],[DC_name_Xref]],Table35[#Headers],0)),0)</f>
        <v>0</v>
      </c>
    </row>
    <row r="210" spans="1:15" x14ac:dyDescent="0.3">
      <c r="A210" s="19" t="str">
        <f>Table1[[#This Row],[Year_Week]]&amp;"-"&amp;Table1[[#This Row],[DC_name_Xref]]</f>
        <v>201847-WEO</v>
      </c>
      <c r="B210" s="19" t="str">
        <f>Table1[[#This Row],[Fiscal_Year]]*100+Table1[[#This Row],[Fiscal_Week]] &amp; "-" &amp;Table1[[#This Row],[BRAND]]</f>
        <v>201847-Old Navy</v>
      </c>
      <c r="C210" t="str">
        <f>Table1[[#This Row],[Fiscal_Year]]&amp;"-"&amp;Table1[[#This Row],[BRAND]]</f>
        <v>2018-Old Navy</v>
      </c>
      <c r="D210">
        <v>2018</v>
      </c>
      <c r="E210">
        <v>47</v>
      </c>
      <c r="F210" t="s">
        <v>20</v>
      </c>
      <c r="G210" t="s">
        <v>10</v>
      </c>
      <c r="H210">
        <v>6</v>
      </c>
      <c r="I210">
        <v>0</v>
      </c>
      <c r="J210" t="str">
        <f>VLOOKUP(H210,DC_Xref!A:B,2,FALSE)</f>
        <v>WEO</v>
      </c>
      <c r="K210">
        <f t="shared" si="3"/>
        <v>201847</v>
      </c>
      <c r="L210">
        <f>IFERROR(Table1[[#This Row],[Demand]]/SUMIFS(Table1[Demand],Table1[Fiscal_Year],Table1[[#This Row],[Fiscal_Year]],Table1[BRAND],Table1[[#This Row],[BRAND]],Table1[DC_name_Xref],Table1[[#This Row],[DC_name_Xref]]),0)</f>
        <v>0</v>
      </c>
      <c r="M2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" s="3">
        <f>IFERROR(INDEX(Table3[#All],MATCH(Table1[[#This Row],[Key_Year_Week_Brand]],Table3[[#All],[Key_Year_Week_Brand]],0),MATCH(Table1[[#This Row],[DC_name_Xref]],Table3[#Headers],0)),0)</f>
        <v>0.1</v>
      </c>
      <c r="O210">
        <f>IFERROR(INDEX(Table35[#All],MATCH(Table1[[#This Row],[Key_Year_Week_Brand]],Table35[[#All],[Key_Year_Month_Brand]],0),MATCH(Table1[[#This Row],[DC_name_Xref]],Table35[#Headers],0)),0)</f>
        <v>125966.40000000001</v>
      </c>
    </row>
    <row r="211" spans="1:15" x14ac:dyDescent="0.3">
      <c r="A211" s="19" t="str">
        <f>Table1[[#This Row],[Year_Week]]&amp;"-"&amp;Table1[[#This Row],[DC_name_Xref]]</f>
        <v>201847-OCC</v>
      </c>
      <c r="B211" s="19" t="str">
        <f>Table1[[#This Row],[Fiscal_Year]]*100+Table1[[#This Row],[Fiscal_Week]] &amp; "-" &amp;Table1[[#This Row],[BRAND]]</f>
        <v>201847-Old Navy</v>
      </c>
      <c r="C211" t="str">
        <f>Table1[[#This Row],[Fiscal_Year]]&amp;"-"&amp;Table1[[#This Row],[BRAND]]</f>
        <v>2018-Old Navy</v>
      </c>
      <c r="D211">
        <v>2018</v>
      </c>
      <c r="E211">
        <v>47</v>
      </c>
      <c r="F211" t="s">
        <v>20</v>
      </c>
      <c r="G211" t="s">
        <v>11</v>
      </c>
      <c r="H211">
        <v>7</v>
      </c>
      <c r="I211">
        <v>0</v>
      </c>
      <c r="J211" t="str">
        <f>VLOOKUP(H211,DC_Xref!A:B,2,FALSE)</f>
        <v>OCC</v>
      </c>
      <c r="K211">
        <f t="shared" si="3"/>
        <v>201847</v>
      </c>
      <c r="L211">
        <f>IFERROR(Table1[[#This Row],[Demand]]/SUMIFS(Table1[Demand],Table1[Fiscal_Year],Table1[[#This Row],[Fiscal_Year]],Table1[BRAND],Table1[[#This Row],[BRAND]],Table1[DC_name_Xref],Table1[[#This Row],[DC_name_Xref]]),0)</f>
        <v>0</v>
      </c>
      <c r="M2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" s="3">
        <f>IFERROR(INDEX(Table3[#All],MATCH(Table1[[#This Row],[Key_Year_Week_Brand]],Table3[[#All],[Key_Year_Week_Brand]],0),MATCH(Table1[[#This Row],[DC_name_Xref]],Table3[#Headers],0)),0)</f>
        <v>0</v>
      </c>
      <c r="O211">
        <f>IFERROR(INDEX(Table35[#All],MATCH(Table1[[#This Row],[Key_Year_Week_Brand]],Table35[[#All],[Key_Year_Month_Brand]],0),MATCH(Table1[[#This Row],[DC_name_Xref]],Table35[#Headers],0)),0)</f>
        <v>0</v>
      </c>
    </row>
    <row r="212" spans="1:15" x14ac:dyDescent="0.3">
      <c r="A212" s="19" t="str">
        <f>Table1[[#This Row],[Year_Week]]&amp;"-"&amp;Table1[[#This Row],[DC_name_Xref]]</f>
        <v>201943-OFC</v>
      </c>
      <c r="B212" s="19" t="str">
        <f>Table1[[#This Row],[Fiscal_Year]]*100+Table1[[#This Row],[Fiscal_Week]] &amp; "-" &amp;Table1[[#This Row],[BRAND]]</f>
        <v>201943-Gap</v>
      </c>
      <c r="C212" t="str">
        <f>Table1[[#This Row],[Fiscal_Year]]&amp;"-"&amp;Table1[[#This Row],[BRAND]]</f>
        <v>2019-Gap</v>
      </c>
      <c r="D212">
        <v>2019</v>
      </c>
      <c r="E212">
        <v>43</v>
      </c>
      <c r="F212" t="s">
        <v>16</v>
      </c>
      <c r="G212" t="s">
        <v>5</v>
      </c>
      <c r="H212">
        <v>1</v>
      </c>
      <c r="I212">
        <v>2521540</v>
      </c>
      <c r="J212" t="str">
        <f>VLOOKUP(H212,DC_Xref!A:B,2,FALSE)</f>
        <v>OFC</v>
      </c>
      <c r="K212">
        <f t="shared" si="3"/>
        <v>201943</v>
      </c>
      <c r="L212">
        <f>IFERROR(Table1[[#This Row],[Demand]]/SUMIFS(Table1[Demand],Table1[Fiscal_Year],Table1[[#This Row],[Fiscal_Year]],Table1[BRAND],Table1[[#This Row],[BRAND]],Table1[DC_name_Xref],Table1[[#This Row],[DC_name_Xref]]),0)</f>
        <v>0.40459954105998425</v>
      </c>
      <c r="M2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0.66900248732212841</v>
      </c>
      <c r="N212" s="3">
        <f>IFERROR(INDEX(Table3[#All],MATCH(Table1[[#This Row],[Key_Year_Week_Brand]],Table3[[#All],[Key_Year_Week_Brand]],0),MATCH(Table1[[#This Row],[DC_name_Xref]],Table3[#Headers],0)),0)</f>
        <v>0.25</v>
      </c>
      <c r="O212">
        <f>IFERROR(INDEX(Table35[#All],MATCH(Table1[[#This Row],[Key_Year_Week_Brand]],Table35[[#All],[Key_Year_Month_Brand]],0),MATCH(Table1[[#This Row],[DC_name_Xref]],Table35[#Headers],0)),0)</f>
        <v>979684.75</v>
      </c>
    </row>
    <row r="213" spans="1:15" x14ac:dyDescent="0.3">
      <c r="A213" s="19" t="str">
        <f>Table1[[#This Row],[Year_Week]]&amp;"-"&amp;Table1[[#This Row],[DC_name_Xref]]</f>
        <v>201943-TFC</v>
      </c>
      <c r="B213" s="19" t="str">
        <f>Table1[[#This Row],[Fiscal_Year]]*100+Table1[[#This Row],[Fiscal_Week]] &amp; "-" &amp;Table1[[#This Row],[BRAND]]</f>
        <v>201943-Gap</v>
      </c>
      <c r="C213" t="str">
        <f>Table1[[#This Row],[Fiscal_Year]]&amp;"-"&amp;Table1[[#This Row],[BRAND]]</f>
        <v>2019-Gap</v>
      </c>
      <c r="D213">
        <v>2019</v>
      </c>
      <c r="E213">
        <v>43</v>
      </c>
      <c r="F213" t="s">
        <v>16</v>
      </c>
      <c r="G213" t="s">
        <v>21</v>
      </c>
      <c r="H213">
        <v>2</v>
      </c>
      <c r="I213">
        <v>186</v>
      </c>
      <c r="J213" t="str">
        <f>VLOOKUP(H213,DC_Xref!A:B,2,FALSE)</f>
        <v>TFC</v>
      </c>
      <c r="K213">
        <f t="shared" si="3"/>
        <v>201943</v>
      </c>
      <c r="L213">
        <f>IFERROR(Table1[[#This Row],[Demand]]/SUMIFS(Table1[Demand],Table1[Fiscal_Year],Table1[[#This Row],[Fiscal_Year]],Table1[BRAND],Table1[[#This Row],[BRAND]],Table1[DC_name_Xref],Table1[[#This Row],[DC_name_Xref]]),0)</f>
        <v>0.16577540106951871</v>
      </c>
      <c r="M2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1.2044259756252951E-4</v>
      </c>
      <c r="N213" s="3">
        <f>IFERROR(INDEX(Table3[#All],MATCH(Table1[[#This Row],[Key_Year_Week_Brand]],Table3[[#All],[Key_Year_Week_Brand]],0),MATCH(Table1[[#This Row],[DC_name_Xref]],Table3[#Headers],0)),0)</f>
        <v>0.2</v>
      </c>
      <c r="O213">
        <f>IFERROR(INDEX(Table35[#All],MATCH(Table1[[#This Row],[Key_Year_Week_Brand]],Table35[[#All],[Key_Year_Month_Brand]],0),MATCH(Table1[[#This Row],[DC_name_Xref]],Table35[#Headers],0)),0)</f>
        <v>783747.8</v>
      </c>
    </row>
    <row r="214" spans="1:15" x14ac:dyDescent="0.3">
      <c r="A214" s="19" t="str">
        <f>Table1[[#This Row],[Year_Week]]&amp;"-"&amp;Table1[[#This Row],[DC_name_Xref]]</f>
        <v>201943-WFC</v>
      </c>
      <c r="B214" s="19" t="str">
        <f>Table1[[#This Row],[Fiscal_Year]]*100+Table1[[#This Row],[Fiscal_Week]] &amp; "-" &amp;Table1[[#This Row],[BRAND]]</f>
        <v>201943-Gap</v>
      </c>
      <c r="C214" t="str">
        <f>Table1[[#This Row],[Fiscal_Year]]&amp;"-"&amp;Table1[[#This Row],[BRAND]]</f>
        <v>2019-Gap</v>
      </c>
      <c r="D214">
        <v>2019</v>
      </c>
      <c r="E214">
        <v>43</v>
      </c>
      <c r="F214" t="s">
        <v>16</v>
      </c>
      <c r="G214" t="s">
        <v>7</v>
      </c>
      <c r="H214">
        <v>3</v>
      </c>
      <c r="I214">
        <v>94842</v>
      </c>
      <c r="J214" t="str">
        <f>VLOOKUP(H214,DC_Xref!A:B,2,FALSE)</f>
        <v>WFC</v>
      </c>
      <c r="K214">
        <f t="shared" si="3"/>
        <v>201943</v>
      </c>
      <c r="L214">
        <f>IFERROR(Table1[[#This Row],[Demand]]/SUMIFS(Table1[Demand],Table1[Fiscal_Year],Table1[[#This Row],[Fiscal_Year]],Table1[BRAND],Table1[[#This Row],[BRAND]],Table1[DC_name_Xref],Table1[[#This Row],[DC_name_Xref]]),0)</f>
        <v>0.42741066881779549</v>
      </c>
      <c r="M2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2.3820046307065718E-2</v>
      </c>
      <c r="N214" s="3">
        <f>IFERROR(INDEX(Table3[#All],MATCH(Table1[[#This Row],[Key_Year_Week_Brand]],Table3[[#All],[Key_Year_Week_Brand]],0),MATCH(Table1[[#This Row],[DC_name_Xref]],Table3[#Headers],0)),0)</f>
        <v>0.15</v>
      </c>
      <c r="O214">
        <f>IFERROR(INDEX(Table35[#All],MATCH(Table1[[#This Row],[Key_Year_Week_Brand]],Table35[[#All],[Key_Year_Month_Brand]],0),MATCH(Table1[[#This Row],[DC_name_Xref]],Table35[#Headers],0)),0)</f>
        <v>587810.85</v>
      </c>
    </row>
    <row r="215" spans="1:15" x14ac:dyDescent="0.3">
      <c r="A215" s="19" t="str">
        <f>Table1[[#This Row],[Year_Week]]&amp;"-"&amp;Table1[[#This Row],[DC_name_Xref]]</f>
        <v>201943-OFC</v>
      </c>
      <c r="B215" s="19" t="str">
        <f>Table1[[#This Row],[Fiscal_Year]]*100+Table1[[#This Row],[Fiscal_Week]] &amp; "-" &amp;Table1[[#This Row],[BRAND]]</f>
        <v>201943-Old Navy</v>
      </c>
      <c r="C215" t="str">
        <f>Table1[[#This Row],[Fiscal_Year]]&amp;"-"&amp;Table1[[#This Row],[BRAND]]</f>
        <v>2019-Old Navy</v>
      </c>
      <c r="D215">
        <v>2019</v>
      </c>
      <c r="E215">
        <v>43</v>
      </c>
      <c r="F215" t="s">
        <v>20</v>
      </c>
      <c r="G215" t="s">
        <v>5</v>
      </c>
      <c r="H215">
        <v>1</v>
      </c>
      <c r="I215">
        <v>2038492</v>
      </c>
      <c r="J215" t="str">
        <f>VLOOKUP(H215,DC_Xref!A:B,2,FALSE)</f>
        <v>OFC</v>
      </c>
      <c r="K215">
        <f t="shared" si="3"/>
        <v>201943</v>
      </c>
      <c r="L215">
        <f>IFERROR(Table1[[#This Row],[Demand]]/SUMIFS(Table1[Demand],Table1[Fiscal_Year],Table1[[#This Row],[Fiscal_Year]],Table1[BRAND],Table1[[#This Row],[BRAND]],Table1[DC_name_Xref],Table1[[#This Row],[DC_name_Xref]]),0)</f>
        <v>0.34276292381872858</v>
      </c>
      <c r="M2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0.29585490740735676</v>
      </c>
      <c r="N215" s="3">
        <f>IFERROR(INDEX(Table3[#All],MATCH(Table1[[#This Row],[Key_Year_Week_Brand]],Table3[[#All],[Key_Year_Week_Brand]],0),MATCH(Table1[[#This Row],[DC_name_Xref]],Table3[#Headers],0)),0)</f>
        <v>0.15</v>
      </c>
      <c r="O215">
        <f>IFERROR(INDEX(Table35[#All],MATCH(Table1[[#This Row],[Key_Year_Week_Brand]],Table35[[#All],[Key_Year_Month_Brand]],0),MATCH(Table1[[#This Row],[DC_name_Xref]],Table35[#Headers],0)),0)</f>
        <v>1093356</v>
      </c>
    </row>
    <row r="216" spans="1:15" x14ac:dyDescent="0.3">
      <c r="A216" s="19" t="str">
        <f>Table1[[#This Row],[Year_Week]]&amp;"-"&amp;Table1[[#This Row],[DC_name_Xref]]</f>
        <v>201943-TFC</v>
      </c>
      <c r="B216" s="19" t="str">
        <f>Table1[[#This Row],[Fiscal_Year]]*100+Table1[[#This Row],[Fiscal_Week]] &amp; "-" &amp;Table1[[#This Row],[BRAND]]</f>
        <v>201943-Old Navy</v>
      </c>
      <c r="C216" t="str">
        <f>Table1[[#This Row],[Fiscal_Year]]&amp;"-"&amp;Table1[[#This Row],[BRAND]]</f>
        <v>2019-Old Navy</v>
      </c>
      <c r="D216">
        <v>2019</v>
      </c>
      <c r="E216">
        <v>43</v>
      </c>
      <c r="F216" t="s">
        <v>20</v>
      </c>
      <c r="G216" t="s">
        <v>21</v>
      </c>
      <c r="H216">
        <v>2</v>
      </c>
      <c r="I216">
        <v>1340301</v>
      </c>
      <c r="J216" t="str">
        <f>VLOOKUP(H216,DC_Xref!A:B,2,FALSE)</f>
        <v>TFC</v>
      </c>
      <c r="K216">
        <f t="shared" si="3"/>
        <v>201943</v>
      </c>
      <c r="L216">
        <f>IFERROR(Table1[[#This Row],[Demand]]/SUMIFS(Table1[Demand],Table1[Fiscal_Year],Table1[[#This Row],[Fiscal_Year]],Table1[BRAND],Table1[[#This Row],[BRAND]],Table1[DC_name_Xref],Table1[[#This Row],[DC_name_Xref]]),0)</f>
        <v>0.39204806716907753</v>
      </c>
      <c r="M2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0.17006957612444654</v>
      </c>
      <c r="N216" s="3">
        <f>IFERROR(INDEX(Table3[#All],MATCH(Table1[[#This Row],[Key_Year_Week_Brand]],Table3[[#All],[Key_Year_Week_Brand]],0),MATCH(Table1[[#This Row],[DC_name_Xref]],Table3[#Headers],0)),0)</f>
        <v>0.2</v>
      </c>
      <c r="O216">
        <f>IFERROR(INDEX(Table35[#All],MATCH(Table1[[#This Row],[Key_Year_Week_Brand]],Table35[[#All],[Key_Year_Month_Brand]],0),MATCH(Table1[[#This Row],[DC_name_Xref]],Table35[#Headers],0)),0)</f>
        <v>1457808</v>
      </c>
    </row>
    <row r="217" spans="1:15" x14ac:dyDescent="0.3">
      <c r="A217" s="19" t="str">
        <f>Table1[[#This Row],[Year_Week]]&amp;"-"&amp;Table1[[#This Row],[DC_name_Xref]]</f>
        <v>201943-WFC</v>
      </c>
      <c r="B217" s="19" t="str">
        <f>Table1[[#This Row],[Fiscal_Year]]*100+Table1[[#This Row],[Fiscal_Week]] &amp; "-" &amp;Table1[[#This Row],[BRAND]]</f>
        <v>201943-Old Navy</v>
      </c>
      <c r="C217" t="str">
        <f>Table1[[#This Row],[Fiscal_Year]]&amp;"-"&amp;Table1[[#This Row],[BRAND]]</f>
        <v>2019-Old Navy</v>
      </c>
      <c r="D217">
        <v>2019</v>
      </c>
      <c r="E217">
        <v>43</v>
      </c>
      <c r="F217" t="s">
        <v>20</v>
      </c>
      <c r="G217" t="s">
        <v>7</v>
      </c>
      <c r="H217">
        <v>3</v>
      </c>
      <c r="I217">
        <v>1483041</v>
      </c>
      <c r="J217" t="str">
        <f>VLOOKUP(H217,DC_Xref!A:B,2,FALSE)</f>
        <v>WFC</v>
      </c>
      <c r="K217">
        <f t="shared" si="3"/>
        <v>201943</v>
      </c>
      <c r="L217">
        <f>IFERROR(Table1[[#This Row],[Demand]]/SUMIFS(Table1[Demand],Table1[Fiscal_Year],Table1[[#This Row],[Fiscal_Year]],Table1[BRAND],Table1[[#This Row],[BRAND]],Table1[DC_name_Xref],Table1[[#This Row],[DC_name_Xref]]),0)</f>
        <v>0.36580794208011935</v>
      </c>
      <c r="M2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0.20168037128093624</v>
      </c>
      <c r="N217" s="3">
        <f>IFERROR(INDEX(Table3[#All],MATCH(Table1[[#This Row],[Key_Year_Week_Brand]],Table3[[#All],[Key_Year_Week_Brand]],0),MATCH(Table1[[#This Row],[DC_name_Xref]],Table3[#Headers],0)),0)</f>
        <v>0.02</v>
      </c>
      <c r="O217">
        <f>IFERROR(INDEX(Table35[#All],MATCH(Table1[[#This Row],[Key_Year_Week_Brand]],Table35[[#All],[Key_Year_Month_Brand]],0),MATCH(Table1[[#This Row],[DC_name_Xref]],Table35[#Headers],0)),0)</f>
        <v>145780.80000000002</v>
      </c>
    </row>
    <row r="218" spans="1:15" x14ac:dyDescent="0.3">
      <c r="A218" s="19" t="str">
        <f>Table1[[#This Row],[Year_Week]]&amp;"-"&amp;Table1[[#This Row],[DC_name_Xref]]</f>
        <v>201943-EAO</v>
      </c>
      <c r="B218" s="19" t="str">
        <f>Table1[[#This Row],[Fiscal_Year]]*100+Table1[[#This Row],[Fiscal_Week]] &amp; "-" &amp;Table1[[#This Row],[BRAND]]</f>
        <v>201943-Old Navy</v>
      </c>
      <c r="C218" t="str">
        <f>Table1[[#This Row],[Fiscal_Year]]&amp;"-"&amp;Table1[[#This Row],[BRAND]]</f>
        <v>2019-Old Navy</v>
      </c>
      <c r="D218">
        <v>2019</v>
      </c>
      <c r="E218">
        <v>43</v>
      </c>
      <c r="F218" t="s">
        <v>20</v>
      </c>
      <c r="G218" t="s">
        <v>8</v>
      </c>
      <c r="H218">
        <v>4</v>
      </c>
      <c r="I218">
        <v>2427206</v>
      </c>
      <c r="J218" t="str">
        <f>VLOOKUP(H218,DC_Xref!A:B,2,FALSE)</f>
        <v>EAO</v>
      </c>
      <c r="K218">
        <f t="shared" si="3"/>
        <v>201943</v>
      </c>
      <c r="L218">
        <f>IFERROR(Table1[[#This Row],[Demand]]/SUMIFS(Table1[Demand],Table1[Fiscal_Year],Table1[[#This Row],[Fiscal_Year]],Table1[BRAND],Table1[[#This Row],[BRAND]],Table1[DC_name_Xref],Table1[[#This Row],[DC_name_Xref]]),0)</f>
        <v>0.36325831969795996</v>
      </c>
      <c r="M2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0.33239514518726049</v>
      </c>
      <c r="N218" s="3">
        <f>IFERROR(INDEX(Table3[#All],MATCH(Table1[[#This Row],[Key_Year_Week_Brand]],Table3[[#All],[Key_Year_Week_Brand]],0),MATCH(Table1[[#This Row],[DC_name_Xref]],Table3[#Headers],0)),0)</f>
        <v>0.41</v>
      </c>
      <c r="O218">
        <f>IFERROR(INDEX(Table35[#All],MATCH(Table1[[#This Row],[Key_Year_Week_Brand]],Table35[[#All],[Key_Year_Month_Brand]],0),MATCH(Table1[[#This Row],[DC_name_Xref]],Table35[#Headers],0)),0)</f>
        <v>2988506.4</v>
      </c>
    </row>
    <row r="219" spans="1:15" x14ac:dyDescent="0.3">
      <c r="A219" s="19" t="str">
        <f>Table1[[#This Row],[Year_Week]]&amp;"-"&amp;Table1[[#This Row],[DC_name_Xref]]</f>
        <v>201943-FFC-ODC</v>
      </c>
      <c r="B219" s="19" t="str">
        <f>Table1[[#This Row],[Fiscal_Year]]*100+Table1[[#This Row],[Fiscal_Week]] &amp; "-" &amp;Table1[[#This Row],[BRAND]]</f>
        <v>201943-Old Navy</v>
      </c>
      <c r="C219" t="str">
        <f>Table1[[#This Row],[Fiscal_Year]]&amp;"-"&amp;Table1[[#This Row],[BRAND]]</f>
        <v>2019-Old Navy</v>
      </c>
      <c r="D219">
        <v>2019</v>
      </c>
      <c r="E219">
        <v>43</v>
      </c>
      <c r="F219" t="s">
        <v>20</v>
      </c>
      <c r="G219" t="s">
        <v>23</v>
      </c>
      <c r="H219">
        <v>5</v>
      </c>
      <c r="I219">
        <v>0</v>
      </c>
      <c r="J219" t="str">
        <f>VLOOKUP(H219,DC_Xref!A:B,2,FALSE)</f>
        <v>FFC-ODC</v>
      </c>
      <c r="K219">
        <f t="shared" si="3"/>
        <v>201943</v>
      </c>
      <c r="L219">
        <f>IFERROR(Table1[[#This Row],[Demand]]/SUMIFS(Table1[Demand],Table1[Fiscal_Year],Table1[[#This Row],[Fiscal_Year]],Table1[BRAND],Table1[[#This Row],[BRAND]],Table1[DC_name_Xref],Table1[[#This Row],[DC_name_Xref]]),0)</f>
        <v>0</v>
      </c>
      <c r="M2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" s="3">
        <f>IFERROR(INDEX(Table3[#All],MATCH(Table1[[#This Row],[Key_Year_Week_Brand]],Table3[[#All],[Key_Year_Week_Brand]],0),MATCH(Table1[[#This Row],[DC_name_Xref]],Table3[#Headers],0)),0)</f>
        <v>0</v>
      </c>
      <c r="O219">
        <f>IFERROR(INDEX(Table35[#All],MATCH(Table1[[#This Row],[Key_Year_Week_Brand]],Table35[[#All],[Key_Year_Month_Brand]],0),MATCH(Table1[[#This Row],[DC_name_Xref]],Table35[#Headers],0)),0)</f>
        <v>0</v>
      </c>
    </row>
    <row r="220" spans="1:15" x14ac:dyDescent="0.3">
      <c r="A220" s="19" t="str">
        <f>Table1[[#This Row],[Year_Week]]&amp;"-"&amp;Table1[[#This Row],[DC_name_Xref]]</f>
        <v>201943-WEO</v>
      </c>
      <c r="B220" s="19" t="str">
        <f>Table1[[#This Row],[Fiscal_Year]]*100+Table1[[#This Row],[Fiscal_Week]] &amp; "-" &amp;Table1[[#This Row],[BRAND]]</f>
        <v>201943-Old Navy</v>
      </c>
      <c r="C220" t="str">
        <f>Table1[[#This Row],[Fiscal_Year]]&amp;"-"&amp;Table1[[#This Row],[BRAND]]</f>
        <v>2019-Old Navy</v>
      </c>
      <c r="D220">
        <v>2019</v>
      </c>
      <c r="E220">
        <v>43</v>
      </c>
      <c r="F220" t="s">
        <v>20</v>
      </c>
      <c r="G220" t="s">
        <v>10</v>
      </c>
      <c r="H220">
        <v>6</v>
      </c>
      <c r="I220">
        <v>0</v>
      </c>
      <c r="J220" t="str">
        <f>VLOOKUP(H220,DC_Xref!A:B,2,FALSE)</f>
        <v>WEO</v>
      </c>
      <c r="K220">
        <f t="shared" si="3"/>
        <v>201943</v>
      </c>
      <c r="L220">
        <f>IFERROR(Table1[[#This Row],[Demand]]/SUMIFS(Table1[Demand],Table1[Fiscal_Year],Table1[[#This Row],[Fiscal_Year]],Table1[BRAND],Table1[[#This Row],[BRAND]],Table1[DC_name_Xref],Table1[[#This Row],[DC_name_Xref]]),0)</f>
        <v>0</v>
      </c>
      <c r="M2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" s="3">
        <f>IFERROR(INDEX(Table3[#All],MATCH(Table1[[#This Row],[Key_Year_Week_Brand]],Table3[[#All],[Key_Year_Week_Brand]],0),MATCH(Table1[[#This Row],[DC_name_Xref]],Table3[#Headers],0)),0)</f>
        <v>0.22</v>
      </c>
      <c r="O220">
        <f>IFERROR(INDEX(Table35[#All],MATCH(Table1[[#This Row],[Key_Year_Week_Brand]],Table35[[#All],[Key_Year_Month_Brand]],0),MATCH(Table1[[#This Row],[DC_name_Xref]],Table35[#Headers],0)),0)</f>
        <v>1603588.8</v>
      </c>
    </row>
    <row r="221" spans="1:15" x14ac:dyDescent="0.3">
      <c r="A221" s="19" t="str">
        <f>Table1[[#This Row],[Year_Week]]&amp;"-"&amp;Table1[[#This Row],[DC_name_Xref]]</f>
        <v>201943-OCC</v>
      </c>
      <c r="B221" s="19" t="str">
        <f>Table1[[#This Row],[Fiscal_Year]]*100+Table1[[#This Row],[Fiscal_Week]] &amp; "-" &amp;Table1[[#This Row],[BRAND]]</f>
        <v>201943-Old Navy</v>
      </c>
      <c r="C221" t="str">
        <f>Table1[[#This Row],[Fiscal_Year]]&amp;"-"&amp;Table1[[#This Row],[BRAND]]</f>
        <v>2019-Old Navy</v>
      </c>
      <c r="D221">
        <v>2019</v>
      </c>
      <c r="E221">
        <v>43</v>
      </c>
      <c r="F221" t="s">
        <v>20</v>
      </c>
      <c r="G221" t="s">
        <v>11</v>
      </c>
      <c r="H221">
        <v>7</v>
      </c>
      <c r="I221">
        <v>0</v>
      </c>
      <c r="J221" t="str">
        <f>VLOOKUP(H221,DC_Xref!A:B,2,FALSE)</f>
        <v>OCC</v>
      </c>
      <c r="K221">
        <f t="shared" si="3"/>
        <v>201943</v>
      </c>
      <c r="L221">
        <f>IFERROR(Table1[[#This Row],[Demand]]/SUMIFS(Table1[Demand],Table1[Fiscal_Year],Table1[[#This Row],[Fiscal_Year]],Table1[BRAND],Table1[[#This Row],[BRAND]],Table1[DC_name_Xref],Table1[[#This Row],[DC_name_Xref]]),0)</f>
        <v>0</v>
      </c>
      <c r="M2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" s="3">
        <f>IFERROR(INDEX(Table3[#All],MATCH(Table1[[#This Row],[Key_Year_Week_Brand]],Table3[[#All],[Key_Year_Week_Brand]],0),MATCH(Table1[[#This Row],[DC_name_Xref]],Table3[#Headers],0)),0)</f>
        <v>0</v>
      </c>
      <c r="O221">
        <f>IFERROR(INDEX(Table35[#All],MATCH(Table1[[#This Row],[Key_Year_Week_Brand]],Table35[[#All],[Key_Year_Month_Brand]],0),MATCH(Table1[[#This Row],[DC_name_Xref]],Table35[#Headers],0)),0)</f>
        <v>0</v>
      </c>
    </row>
    <row r="222" spans="1:15" x14ac:dyDescent="0.3">
      <c r="A222" s="19" t="str">
        <f>Table1[[#This Row],[Year_Week]]&amp;"-"&amp;Table1[[#This Row],[DC_name_Xref]]</f>
        <v>201943-OFC</v>
      </c>
      <c r="B222" s="19" t="str">
        <f>Table1[[#This Row],[Fiscal_Year]]*100+Table1[[#This Row],[Fiscal_Week]] &amp; "-" &amp;Table1[[#This Row],[BRAND]]</f>
        <v>201943-BR Factory Store</v>
      </c>
      <c r="C222" t="str">
        <f>Table1[[#This Row],[Fiscal_Year]]&amp;"-"&amp;Table1[[#This Row],[BRAND]]</f>
        <v>2019-BR Factory Store</v>
      </c>
      <c r="D222">
        <v>2019</v>
      </c>
      <c r="E222">
        <v>43</v>
      </c>
      <c r="F222" t="s">
        <v>17</v>
      </c>
      <c r="G222" t="s">
        <v>5</v>
      </c>
      <c r="H222">
        <v>1</v>
      </c>
      <c r="I222">
        <v>410510</v>
      </c>
      <c r="J222" t="str">
        <f>VLOOKUP(H222,DC_Xref!A:B,2,FALSE)</f>
        <v>OFC</v>
      </c>
      <c r="K222">
        <f t="shared" si="3"/>
        <v>201943</v>
      </c>
      <c r="L222">
        <f>IFERROR(Table1[[#This Row],[Demand]]/SUMIFS(Table1[Demand],Table1[Fiscal_Year],Table1[[#This Row],[Fiscal_Year]],Table1[BRAND],Table1[[#This Row],[BRAND]],Table1[DC_name_Xref],Table1[[#This Row],[DC_name_Xref]]),0)</f>
        <v>0.44263799348081823</v>
      </c>
      <c r="M2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222" s="3">
        <f>IFERROR(INDEX(Table3[#All],MATCH(Table1[[#This Row],[Key_Year_Week_Brand]],Table3[[#All],[Key_Year_Week_Brand]],0),MATCH(Table1[[#This Row],[DC_name_Xref]],Table3[#Headers],0)),0)</f>
        <v>1</v>
      </c>
      <c r="O222">
        <f>IFERROR(INDEX(Table35[#All],MATCH(Table1[[#This Row],[Key_Year_Week_Brand]],Table35[[#All],[Key_Year_Month_Brand]],0),MATCH(Table1[[#This Row],[DC_name_Xref]],Table35[#Headers],0)),0)</f>
        <v>410510</v>
      </c>
    </row>
    <row r="223" spans="1:15" x14ac:dyDescent="0.3">
      <c r="A223" s="19" t="str">
        <f>Table1[[#This Row],[Year_Week]]&amp;"-"&amp;Table1[[#This Row],[DC_name_Xref]]</f>
        <v>201943-TFC</v>
      </c>
      <c r="B223" s="19" t="str">
        <f>Table1[[#This Row],[Fiscal_Year]]*100+Table1[[#This Row],[Fiscal_Week]] &amp; "-" &amp;Table1[[#This Row],[BRAND]]</f>
        <v>201943-BR Factory Store</v>
      </c>
      <c r="C223" t="str">
        <f>Table1[[#This Row],[Fiscal_Year]]&amp;"-"&amp;Table1[[#This Row],[BRAND]]</f>
        <v>2019-BR Factory Store</v>
      </c>
      <c r="D223">
        <v>2019</v>
      </c>
      <c r="E223">
        <v>43</v>
      </c>
      <c r="F223" t="s">
        <v>17</v>
      </c>
      <c r="G223" t="s">
        <v>21</v>
      </c>
      <c r="H223">
        <v>2</v>
      </c>
      <c r="I223">
        <v>0</v>
      </c>
      <c r="J223" t="str">
        <f>VLOOKUP(H223,DC_Xref!A:B,2,FALSE)</f>
        <v>TFC</v>
      </c>
      <c r="K223">
        <f t="shared" si="3"/>
        <v>201943</v>
      </c>
      <c r="L223">
        <f>IFERROR(Table1[[#This Row],[Demand]]/SUMIFS(Table1[Demand],Table1[Fiscal_Year],Table1[[#This Row],[Fiscal_Year]],Table1[BRAND],Table1[[#This Row],[BRAND]],Table1[DC_name_Xref],Table1[[#This Row],[DC_name_Xref]]),0)</f>
        <v>0</v>
      </c>
      <c r="M2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" s="3">
        <f>IFERROR(INDEX(Table3[#All],MATCH(Table1[[#This Row],[Key_Year_Week_Brand]],Table3[[#All],[Key_Year_Week_Brand]],0),MATCH(Table1[[#This Row],[DC_name_Xref]],Table3[#Headers],0)),0)</f>
        <v>0</v>
      </c>
      <c r="O223">
        <f>IFERROR(INDEX(Table35[#All],MATCH(Table1[[#This Row],[Key_Year_Week_Brand]],Table35[[#All],[Key_Year_Month_Brand]],0),MATCH(Table1[[#This Row],[DC_name_Xref]],Table35[#Headers],0)),0)</f>
        <v>0</v>
      </c>
    </row>
    <row r="224" spans="1:15" x14ac:dyDescent="0.3">
      <c r="A224" s="19" t="str">
        <f>Table1[[#This Row],[Year_Week]]&amp;"-"&amp;Table1[[#This Row],[DC_name_Xref]]</f>
        <v>201943-WFC</v>
      </c>
      <c r="B224" s="19" t="str">
        <f>Table1[[#This Row],[Fiscal_Year]]*100+Table1[[#This Row],[Fiscal_Week]] &amp; "-" &amp;Table1[[#This Row],[BRAND]]</f>
        <v>201943-BR Factory Store</v>
      </c>
      <c r="C224" t="str">
        <f>Table1[[#This Row],[Fiscal_Year]]&amp;"-"&amp;Table1[[#This Row],[BRAND]]</f>
        <v>2019-BR Factory Store</v>
      </c>
      <c r="D224">
        <v>2019</v>
      </c>
      <c r="E224">
        <v>43</v>
      </c>
      <c r="F224" t="s">
        <v>17</v>
      </c>
      <c r="G224" t="s">
        <v>7</v>
      </c>
      <c r="H224">
        <v>3</v>
      </c>
      <c r="I224">
        <v>0</v>
      </c>
      <c r="J224" t="str">
        <f>VLOOKUP(H224,DC_Xref!A:B,2,FALSE)</f>
        <v>WFC</v>
      </c>
      <c r="K224">
        <f t="shared" si="3"/>
        <v>201943</v>
      </c>
      <c r="L224">
        <f>IFERROR(Table1[[#This Row],[Demand]]/SUMIFS(Table1[Demand],Table1[Fiscal_Year],Table1[[#This Row],[Fiscal_Year]],Table1[BRAND],Table1[[#This Row],[BRAND]],Table1[DC_name_Xref],Table1[[#This Row],[DC_name_Xref]]),0)</f>
        <v>0</v>
      </c>
      <c r="M2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" s="3">
        <f>IFERROR(INDEX(Table3[#All],MATCH(Table1[[#This Row],[Key_Year_Week_Brand]],Table3[[#All],[Key_Year_Week_Brand]],0),MATCH(Table1[[#This Row],[DC_name_Xref]],Table3[#Headers],0)),0)</f>
        <v>0</v>
      </c>
      <c r="O224">
        <f>IFERROR(INDEX(Table35[#All],MATCH(Table1[[#This Row],[Key_Year_Week_Brand]],Table35[[#All],[Key_Year_Month_Brand]],0),MATCH(Table1[[#This Row],[DC_name_Xref]],Table35[#Headers],0)),0)</f>
        <v>0</v>
      </c>
    </row>
    <row r="225" spans="1:15" x14ac:dyDescent="0.3">
      <c r="A225" s="19" t="str">
        <f>Table1[[#This Row],[Year_Week]]&amp;"-"&amp;Table1[[#This Row],[DC_name_Xref]]</f>
        <v>201943-EAO</v>
      </c>
      <c r="B225" s="19" t="str">
        <f>Table1[[#This Row],[Fiscal_Year]]*100+Table1[[#This Row],[Fiscal_Week]] &amp; "-" &amp;Table1[[#This Row],[BRAND]]</f>
        <v>201943-BR Factory Store</v>
      </c>
      <c r="C225" t="str">
        <f>Table1[[#This Row],[Fiscal_Year]]&amp;"-"&amp;Table1[[#This Row],[BRAND]]</f>
        <v>2019-BR Factory Store</v>
      </c>
      <c r="D225">
        <v>2019</v>
      </c>
      <c r="E225">
        <v>43</v>
      </c>
      <c r="F225" t="s">
        <v>17</v>
      </c>
      <c r="G225" t="s">
        <v>8</v>
      </c>
      <c r="H225">
        <v>4</v>
      </c>
      <c r="I225">
        <v>0</v>
      </c>
      <c r="J225" t="str">
        <f>VLOOKUP(H225,DC_Xref!A:B,2,FALSE)</f>
        <v>EAO</v>
      </c>
      <c r="K225">
        <f t="shared" si="3"/>
        <v>201943</v>
      </c>
      <c r="L225">
        <f>IFERROR(Table1[[#This Row],[Demand]]/SUMIFS(Table1[Demand],Table1[Fiscal_Year],Table1[[#This Row],[Fiscal_Year]],Table1[BRAND],Table1[[#This Row],[BRAND]],Table1[DC_name_Xref],Table1[[#This Row],[DC_name_Xref]]),0)</f>
        <v>0</v>
      </c>
      <c r="M2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" s="3">
        <f>IFERROR(INDEX(Table3[#All],MATCH(Table1[[#This Row],[Key_Year_Week_Brand]],Table3[[#All],[Key_Year_Week_Brand]],0),MATCH(Table1[[#This Row],[DC_name_Xref]],Table3[#Headers],0)),0)</f>
        <v>0</v>
      </c>
      <c r="O225">
        <f>IFERROR(INDEX(Table35[#All],MATCH(Table1[[#This Row],[Key_Year_Week_Brand]],Table35[[#All],[Key_Year_Month_Brand]],0),MATCH(Table1[[#This Row],[DC_name_Xref]],Table35[#Headers],0)),0)</f>
        <v>0</v>
      </c>
    </row>
    <row r="226" spans="1:15" x14ac:dyDescent="0.3">
      <c r="A226" s="19" t="str">
        <f>Table1[[#This Row],[Year_Week]]&amp;"-"&amp;Table1[[#This Row],[DC_name_Xref]]</f>
        <v>201943-FFC-ODC</v>
      </c>
      <c r="B226" s="19" t="str">
        <f>Table1[[#This Row],[Fiscal_Year]]*100+Table1[[#This Row],[Fiscal_Week]] &amp; "-" &amp;Table1[[#This Row],[BRAND]]</f>
        <v>201943-BR Factory Store</v>
      </c>
      <c r="C226" t="str">
        <f>Table1[[#This Row],[Fiscal_Year]]&amp;"-"&amp;Table1[[#This Row],[BRAND]]</f>
        <v>2019-BR Factory Store</v>
      </c>
      <c r="D226">
        <v>2019</v>
      </c>
      <c r="E226">
        <v>43</v>
      </c>
      <c r="F226" t="s">
        <v>17</v>
      </c>
      <c r="G226" t="s">
        <v>23</v>
      </c>
      <c r="H226">
        <v>5</v>
      </c>
      <c r="I226">
        <v>0</v>
      </c>
      <c r="J226" t="str">
        <f>VLOOKUP(H226,DC_Xref!A:B,2,FALSE)</f>
        <v>FFC-ODC</v>
      </c>
      <c r="K226">
        <f t="shared" si="3"/>
        <v>201943</v>
      </c>
      <c r="L226">
        <f>IFERROR(Table1[[#This Row],[Demand]]/SUMIFS(Table1[Demand],Table1[Fiscal_Year],Table1[[#This Row],[Fiscal_Year]],Table1[BRAND],Table1[[#This Row],[BRAND]],Table1[DC_name_Xref],Table1[[#This Row],[DC_name_Xref]]),0)</f>
        <v>0</v>
      </c>
      <c r="M2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" s="3">
        <f>IFERROR(INDEX(Table3[#All],MATCH(Table1[[#This Row],[Key_Year_Week_Brand]],Table3[[#All],[Key_Year_Week_Brand]],0),MATCH(Table1[[#This Row],[DC_name_Xref]],Table3[#Headers],0)),0)</f>
        <v>0</v>
      </c>
      <c r="O226">
        <f>IFERROR(INDEX(Table35[#All],MATCH(Table1[[#This Row],[Key_Year_Week_Brand]],Table35[[#All],[Key_Year_Month_Brand]],0),MATCH(Table1[[#This Row],[DC_name_Xref]],Table35[#Headers],0)),0)</f>
        <v>0</v>
      </c>
    </row>
    <row r="227" spans="1:15" x14ac:dyDescent="0.3">
      <c r="A227" s="19" t="str">
        <f>Table1[[#This Row],[Year_Week]]&amp;"-"&amp;Table1[[#This Row],[DC_name_Xref]]</f>
        <v>201943-WEO</v>
      </c>
      <c r="B227" s="19" t="str">
        <f>Table1[[#This Row],[Fiscal_Year]]*100+Table1[[#This Row],[Fiscal_Week]] &amp; "-" &amp;Table1[[#This Row],[BRAND]]</f>
        <v>201943-BR Factory Store</v>
      </c>
      <c r="C227" t="str">
        <f>Table1[[#This Row],[Fiscal_Year]]&amp;"-"&amp;Table1[[#This Row],[BRAND]]</f>
        <v>2019-BR Factory Store</v>
      </c>
      <c r="D227">
        <v>2019</v>
      </c>
      <c r="E227">
        <v>43</v>
      </c>
      <c r="F227" t="s">
        <v>17</v>
      </c>
      <c r="G227" t="s">
        <v>10</v>
      </c>
      <c r="H227">
        <v>6</v>
      </c>
      <c r="I227">
        <v>0</v>
      </c>
      <c r="J227" t="str">
        <f>VLOOKUP(H227,DC_Xref!A:B,2,FALSE)</f>
        <v>WEO</v>
      </c>
      <c r="K227">
        <f t="shared" si="3"/>
        <v>201943</v>
      </c>
      <c r="L227">
        <f>IFERROR(Table1[[#This Row],[Demand]]/SUMIFS(Table1[Demand],Table1[Fiscal_Year],Table1[[#This Row],[Fiscal_Year]],Table1[BRAND],Table1[[#This Row],[BRAND]],Table1[DC_name_Xref],Table1[[#This Row],[DC_name_Xref]]),0)</f>
        <v>0</v>
      </c>
      <c r="M2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" s="3">
        <f>IFERROR(INDEX(Table3[#All],MATCH(Table1[[#This Row],[Key_Year_Week_Brand]],Table3[[#All],[Key_Year_Week_Brand]],0),MATCH(Table1[[#This Row],[DC_name_Xref]],Table3[#Headers],0)),0)</f>
        <v>0</v>
      </c>
      <c r="O227">
        <f>IFERROR(INDEX(Table35[#All],MATCH(Table1[[#This Row],[Key_Year_Week_Brand]],Table35[[#All],[Key_Year_Month_Brand]],0),MATCH(Table1[[#This Row],[DC_name_Xref]],Table35[#Headers],0)),0)</f>
        <v>0</v>
      </c>
    </row>
    <row r="228" spans="1:15" x14ac:dyDescent="0.3">
      <c r="A228" s="19" t="str">
        <f>Table1[[#This Row],[Year_Week]]&amp;"-"&amp;Table1[[#This Row],[DC_name_Xref]]</f>
        <v>201943-OCC</v>
      </c>
      <c r="B228" s="19" t="str">
        <f>Table1[[#This Row],[Fiscal_Year]]*100+Table1[[#This Row],[Fiscal_Week]] &amp; "-" &amp;Table1[[#This Row],[BRAND]]</f>
        <v>201943-BR Factory Store</v>
      </c>
      <c r="C228" t="str">
        <f>Table1[[#This Row],[Fiscal_Year]]&amp;"-"&amp;Table1[[#This Row],[BRAND]]</f>
        <v>2019-BR Factory Store</v>
      </c>
      <c r="D228">
        <v>2019</v>
      </c>
      <c r="E228">
        <v>43</v>
      </c>
      <c r="F228" t="s">
        <v>17</v>
      </c>
      <c r="G228" t="s">
        <v>11</v>
      </c>
      <c r="H228">
        <v>7</v>
      </c>
      <c r="I228">
        <v>0</v>
      </c>
      <c r="J228" t="str">
        <f>VLOOKUP(H228,DC_Xref!A:B,2,FALSE)</f>
        <v>OCC</v>
      </c>
      <c r="K228">
        <f t="shared" si="3"/>
        <v>201943</v>
      </c>
      <c r="L228">
        <f>IFERROR(Table1[[#This Row],[Demand]]/SUMIFS(Table1[Demand],Table1[Fiscal_Year],Table1[[#This Row],[Fiscal_Year]],Table1[BRAND],Table1[[#This Row],[BRAND]],Table1[DC_name_Xref],Table1[[#This Row],[DC_name_Xref]]),0)</f>
        <v>0</v>
      </c>
      <c r="M2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" s="3">
        <f>IFERROR(INDEX(Table3[#All],MATCH(Table1[[#This Row],[Key_Year_Week_Brand]],Table3[[#All],[Key_Year_Week_Brand]],0),MATCH(Table1[[#This Row],[DC_name_Xref]],Table3[#Headers],0)),0)</f>
        <v>0</v>
      </c>
      <c r="O228">
        <f>IFERROR(INDEX(Table35[#All],MATCH(Table1[[#This Row],[Key_Year_Week_Brand]],Table35[[#All],[Key_Year_Month_Brand]],0),MATCH(Table1[[#This Row],[DC_name_Xref]],Table35[#Headers],0)),0)</f>
        <v>0</v>
      </c>
    </row>
    <row r="229" spans="1:15" x14ac:dyDescent="0.3">
      <c r="A229" s="19" t="str">
        <f>Table1[[#This Row],[Year_Week]]&amp;"-"&amp;Table1[[#This Row],[DC_name_Xref]]</f>
        <v>201943-EAO</v>
      </c>
      <c r="B229" s="19" t="str">
        <f>Table1[[#This Row],[Fiscal_Year]]*100+Table1[[#This Row],[Fiscal_Week]] &amp; "-" &amp;Table1[[#This Row],[BRAND]]</f>
        <v>201943-Gap</v>
      </c>
      <c r="C229" t="str">
        <f>Table1[[#This Row],[Fiscal_Year]]&amp;"-"&amp;Table1[[#This Row],[BRAND]]</f>
        <v>2019-Gap</v>
      </c>
      <c r="D229">
        <v>2019</v>
      </c>
      <c r="E229">
        <v>43</v>
      </c>
      <c r="F229" t="s">
        <v>16</v>
      </c>
      <c r="G229" t="s">
        <v>8</v>
      </c>
      <c r="H229">
        <v>4</v>
      </c>
      <c r="I229">
        <v>448</v>
      </c>
      <c r="J229" t="str">
        <f>VLOOKUP(H229,DC_Xref!A:B,2,FALSE)</f>
        <v>EAO</v>
      </c>
      <c r="K229">
        <f t="shared" si="3"/>
        <v>201943</v>
      </c>
      <c r="L229">
        <f>IFERROR(Table1[[#This Row],[Demand]]/SUMIFS(Table1[Demand],Table1[Fiscal_Year],Table1[[#This Row],[Fiscal_Year]],Table1[BRAND],Table1[[#This Row],[BRAND]],Table1[DC_name_Xref],Table1[[#This Row],[DC_name_Xref]]),0)</f>
        <v>0.4007155635062612</v>
      </c>
      <c r="M2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1.2001321218797504E-4</v>
      </c>
      <c r="N229" s="3">
        <f>IFERROR(INDEX(Table3[#All],MATCH(Table1[[#This Row],[Key_Year_Week_Brand]],Table3[[#All],[Key_Year_Week_Brand]],0),MATCH(Table1[[#This Row],[DC_name_Xref]],Table3[#Headers],0)),0)</f>
        <v>0</v>
      </c>
      <c r="O229">
        <f>IFERROR(INDEX(Table35[#All],MATCH(Table1[[#This Row],[Key_Year_Week_Brand]],Table35[[#All],[Key_Year_Month_Brand]],0),MATCH(Table1[[#This Row],[DC_name_Xref]],Table35[#Headers],0)),0)</f>
        <v>0</v>
      </c>
    </row>
    <row r="230" spans="1:15" x14ac:dyDescent="0.3">
      <c r="A230" s="19" t="str">
        <f>Table1[[#This Row],[Year_Week]]&amp;"-"&amp;Table1[[#This Row],[DC_name_Xref]]</f>
        <v>201943-FFC-ODC</v>
      </c>
      <c r="B230" s="19" t="str">
        <f>Table1[[#This Row],[Fiscal_Year]]*100+Table1[[#This Row],[Fiscal_Week]] &amp; "-" &amp;Table1[[#This Row],[BRAND]]</f>
        <v>201943-Gap</v>
      </c>
      <c r="C230" t="str">
        <f>Table1[[#This Row],[Fiscal_Year]]&amp;"-"&amp;Table1[[#This Row],[BRAND]]</f>
        <v>2019-Gap</v>
      </c>
      <c r="D230">
        <v>2019</v>
      </c>
      <c r="E230">
        <v>43</v>
      </c>
      <c r="F230" t="s">
        <v>16</v>
      </c>
      <c r="G230" t="s">
        <v>23</v>
      </c>
      <c r="H230">
        <v>5</v>
      </c>
      <c r="I230">
        <v>0</v>
      </c>
      <c r="J230" t="str">
        <f>VLOOKUP(H230,DC_Xref!A:B,2,FALSE)</f>
        <v>FFC-ODC</v>
      </c>
      <c r="K230">
        <f t="shared" si="3"/>
        <v>201943</v>
      </c>
      <c r="L230">
        <f>IFERROR(Table1[[#This Row],[Demand]]/SUMIFS(Table1[Demand],Table1[Fiscal_Year],Table1[[#This Row],[Fiscal_Year]],Table1[BRAND],Table1[[#This Row],[BRAND]],Table1[DC_name_Xref],Table1[[#This Row],[DC_name_Xref]]),0)</f>
        <v>0</v>
      </c>
      <c r="M2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" s="3">
        <f>IFERROR(INDEX(Table3[#All],MATCH(Table1[[#This Row],[Key_Year_Week_Brand]],Table3[[#All],[Key_Year_Week_Brand]],0),MATCH(Table1[[#This Row],[DC_name_Xref]],Table3[#Headers],0)),0)</f>
        <v>0</v>
      </c>
      <c r="O230">
        <f>IFERROR(INDEX(Table35[#All],MATCH(Table1[[#This Row],[Key_Year_Week_Brand]],Table35[[#All],[Key_Year_Month_Brand]],0),MATCH(Table1[[#This Row],[DC_name_Xref]],Table35[#Headers],0)),0)</f>
        <v>0</v>
      </c>
    </row>
    <row r="231" spans="1:15" x14ac:dyDescent="0.3">
      <c r="A231" s="19" t="str">
        <f>Table1[[#This Row],[Year_Week]]&amp;"-"&amp;Table1[[#This Row],[DC_name_Xref]]</f>
        <v>201943-WEO</v>
      </c>
      <c r="B231" s="19" t="str">
        <f>Table1[[#This Row],[Fiscal_Year]]*100+Table1[[#This Row],[Fiscal_Week]] &amp; "-" &amp;Table1[[#This Row],[BRAND]]</f>
        <v>201943-Gap</v>
      </c>
      <c r="C231" t="str">
        <f>Table1[[#This Row],[Fiscal_Year]]&amp;"-"&amp;Table1[[#This Row],[BRAND]]</f>
        <v>2019-Gap</v>
      </c>
      <c r="D231">
        <v>2019</v>
      </c>
      <c r="E231">
        <v>43</v>
      </c>
      <c r="F231" t="s">
        <v>16</v>
      </c>
      <c r="G231" t="s">
        <v>10</v>
      </c>
      <c r="H231">
        <v>6</v>
      </c>
      <c r="I231">
        <v>1301723</v>
      </c>
      <c r="J231" t="str">
        <f>VLOOKUP(H231,DC_Xref!A:B,2,FALSE)</f>
        <v>WEO</v>
      </c>
      <c r="K231">
        <f t="shared" si="3"/>
        <v>201943</v>
      </c>
      <c r="L231">
        <f>IFERROR(Table1[[#This Row],[Demand]]/SUMIFS(Table1[Demand],Table1[Fiscal_Year],Table1[[#This Row],[Fiscal_Year]],Table1[BRAND],Table1[[#This Row],[BRAND]],Table1[DC_name_Xref],Table1[[#This Row],[DC_name_Xref]]),0)</f>
        <v>0.45525694091067265</v>
      </c>
      <c r="M2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0.30693701056105532</v>
      </c>
      <c r="N231" s="3">
        <f>IFERROR(INDEX(Table3[#All],MATCH(Table1[[#This Row],[Key_Year_Week_Brand]],Table3[[#All],[Key_Year_Week_Brand]],0),MATCH(Table1[[#This Row],[DC_name_Xref]],Table3[#Headers],0)),0)</f>
        <v>0.4</v>
      </c>
      <c r="O231">
        <f>IFERROR(INDEX(Table35[#All],MATCH(Table1[[#This Row],[Key_Year_Week_Brand]],Table35[[#All],[Key_Year_Month_Brand]],0),MATCH(Table1[[#This Row],[DC_name_Xref]],Table35[#Headers],0)),0)</f>
        <v>1567495.6</v>
      </c>
    </row>
    <row r="232" spans="1:15" x14ac:dyDescent="0.3">
      <c r="A232" s="19" t="str">
        <f>Table1[[#This Row],[Year_Week]]&amp;"-"&amp;Table1[[#This Row],[DC_name_Xref]]</f>
        <v>201943-OCC</v>
      </c>
      <c r="B232" s="19" t="str">
        <f>Table1[[#This Row],[Fiscal_Year]]*100+Table1[[#This Row],[Fiscal_Week]] &amp; "-" &amp;Table1[[#This Row],[BRAND]]</f>
        <v>201943-Gap</v>
      </c>
      <c r="C232" t="str">
        <f>Table1[[#This Row],[Fiscal_Year]]&amp;"-"&amp;Table1[[#This Row],[BRAND]]</f>
        <v>2019-Gap</v>
      </c>
      <c r="D232">
        <v>2019</v>
      </c>
      <c r="E232">
        <v>43</v>
      </c>
      <c r="F232" t="s">
        <v>16</v>
      </c>
      <c r="G232" t="s">
        <v>11</v>
      </c>
      <c r="H232">
        <v>7</v>
      </c>
      <c r="I232">
        <v>0</v>
      </c>
      <c r="J232" t="str">
        <f>VLOOKUP(H232,DC_Xref!A:B,2,FALSE)</f>
        <v>OCC</v>
      </c>
      <c r="K232">
        <f t="shared" si="3"/>
        <v>201943</v>
      </c>
      <c r="L232">
        <f>IFERROR(Table1[[#This Row],[Demand]]/SUMIFS(Table1[Demand],Table1[Fiscal_Year],Table1[[#This Row],[Fiscal_Year]],Table1[BRAND],Table1[[#This Row],[BRAND]],Table1[DC_name_Xref],Table1[[#This Row],[DC_name_Xref]]),0)</f>
        <v>0</v>
      </c>
      <c r="M2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" s="3">
        <f>IFERROR(INDEX(Table3[#All],MATCH(Table1[[#This Row],[Key_Year_Week_Brand]],Table3[[#All],[Key_Year_Week_Brand]],0),MATCH(Table1[[#This Row],[DC_name_Xref]],Table3[#Headers],0)),0)</f>
        <v>0</v>
      </c>
      <c r="O232">
        <f>IFERROR(INDEX(Table35[#All],MATCH(Table1[[#This Row],[Key_Year_Week_Brand]],Table35[[#All],[Key_Year_Month_Brand]],0),MATCH(Table1[[#This Row],[DC_name_Xref]],Table35[#Headers],0)),0)</f>
        <v>0</v>
      </c>
    </row>
    <row r="233" spans="1:15" x14ac:dyDescent="0.3">
      <c r="A233" s="19" t="str">
        <f>Table1[[#This Row],[Year_Week]]&amp;"-"&amp;Table1[[#This Row],[DC_name_Xref]]</f>
        <v>201943-OFC</v>
      </c>
      <c r="B233" s="19" t="str">
        <f>Table1[[#This Row],[Fiscal_Year]]*100+Table1[[#This Row],[Fiscal_Week]] &amp; "-" &amp;Table1[[#This Row],[BRAND]]</f>
        <v>201943-Gap Factory Store</v>
      </c>
      <c r="C233" t="str">
        <f>Table1[[#This Row],[Fiscal_Year]]&amp;"-"&amp;Table1[[#This Row],[BRAND]]</f>
        <v>2019-Gap Factory Store</v>
      </c>
      <c r="D233">
        <v>2019</v>
      </c>
      <c r="E233">
        <v>43</v>
      </c>
      <c r="F233" t="s">
        <v>22</v>
      </c>
      <c r="G233" t="s">
        <v>5</v>
      </c>
      <c r="H233">
        <v>1</v>
      </c>
      <c r="I233">
        <v>994226</v>
      </c>
      <c r="J233" t="str">
        <f>VLOOKUP(H233,DC_Xref!A:B,2,FALSE)</f>
        <v>OFC</v>
      </c>
      <c r="K233">
        <f t="shared" si="3"/>
        <v>201943</v>
      </c>
      <c r="L233">
        <f>IFERROR(Table1[[#This Row],[Demand]]/SUMIFS(Table1[Demand],Table1[Fiscal_Year],Table1[[#This Row],[Fiscal_Year]],Table1[BRAND],Table1[[#This Row],[BRAND]],Table1[DC_name_Xref],Table1[[#This Row],[DC_name_Xref]]),0)</f>
        <v>0.43484380234762277</v>
      </c>
      <c r="M2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233" s="3">
        <f>IFERROR(INDEX(Table3[#All],MATCH(Table1[[#This Row],[Key_Year_Week_Brand]],Table3[[#All],[Key_Year_Week_Brand]],0),MATCH(Table1[[#This Row],[DC_name_Xref]],Table3[#Headers],0)),0)</f>
        <v>1</v>
      </c>
      <c r="O233">
        <f>IFERROR(INDEX(Table35[#All],MATCH(Table1[[#This Row],[Key_Year_Week_Brand]],Table35[[#All],[Key_Year_Month_Brand]],0),MATCH(Table1[[#This Row],[DC_name_Xref]],Table35[#Headers],0)),0)</f>
        <v>994226</v>
      </c>
    </row>
    <row r="234" spans="1:15" x14ac:dyDescent="0.3">
      <c r="A234" s="19" t="str">
        <f>Table1[[#This Row],[Year_Week]]&amp;"-"&amp;Table1[[#This Row],[DC_name_Xref]]</f>
        <v>201943-TFC</v>
      </c>
      <c r="B234" s="19" t="str">
        <f>Table1[[#This Row],[Fiscal_Year]]*100+Table1[[#This Row],[Fiscal_Week]] &amp; "-" &amp;Table1[[#This Row],[BRAND]]</f>
        <v>201943-Gap Factory Store</v>
      </c>
      <c r="C234" t="str">
        <f>Table1[[#This Row],[Fiscal_Year]]&amp;"-"&amp;Table1[[#This Row],[BRAND]]</f>
        <v>2019-Gap Factory Store</v>
      </c>
      <c r="D234">
        <v>2019</v>
      </c>
      <c r="E234">
        <v>43</v>
      </c>
      <c r="F234" t="s">
        <v>22</v>
      </c>
      <c r="G234" t="s">
        <v>21</v>
      </c>
      <c r="H234">
        <v>2</v>
      </c>
      <c r="I234">
        <v>0</v>
      </c>
      <c r="J234" t="str">
        <f>VLOOKUP(H234,DC_Xref!A:B,2,FALSE)</f>
        <v>TFC</v>
      </c>
      <c r="K234">
        <f t="shared" si="3"/>
        <v>201943</v>
      </c>
      <c r="L234">
        <f>IFERROR(Table1[[#This Row],[Demand]]/SUMIFS(Table1[Demand],Table1[Fiscal_Year],Table1[[#This Row],[Fiscal_Year]],Table1[BRAND],Table1[[#This Row],[BRAND]],Table1[DC_name_Xref],Table1[[#This Row],[DC_name_Xref]]),0)</f>
        <v>0</v>
      </c>
      <c r="M2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" s="3">
        <f>IFERROR(INDEX(Table3[#All],MATCH(Table1[[#This Row],[Key_Year_Week_Brand]],Table3[[#All],[Key_Year_Week_Brand]],0),MATCH(Table1[[#This Row],[DC_name_Xref]],Table3[#Headers],0)),0)</f>
        <v>0</v>
      </c>
      <c r="O234">
        <f>IFERROR(INDEX(Table35[#All],MATCH(Table1[[#This Row],[Key_Year_Week_Brand]],Table35[[#All],[Key_Year_Month_Brand]],0),MATCH(Table1[[#This Row],[DC_name_Xref]],Table35[#Headers],0)),0)</f>
        <v>0</v>
      </c>
    </row>
    <row r="235" spans="1:15" x14ac:dyDescent="0.3">
      <c r="A235" s="19" t="str">
        <f>Table1[[#This Row],[Year_Week]]&amp;"-"&amp;Table1[[#This Row],[DC_name_Xref]]</f>
        <v>201943-WFC</v>
      </c>
      <c r="B235" s="19" t="str">
        <f>Table1[[#This Row],[Fiscal_Year]]*100+Table1[[#This Row],[Fiscal_Week]] &amp; "-" &amp;Table1[[#This Row],[BRAND]]</f>
        <v>201943-Gap Factory Store</v>
      </c>
      <c r="C235" t="str">
        <f>Table1[[#This Row],[Fiscal_Year]]&amp;"-"&amp;Table1[[#This Row],[BRAND]]</f>
        <v>2019-Gap Factory Store</v>
      </c>
      <c r="D235">
        <v>2019</v>
      </c>
      <c r="E235">
        <v>43</v>
      </c>
      <c r="F235" t="s">
        <v>22</v>
      </c>
      <c r="G235" t="s">
        <v>7</v>
      </c>
      <c r="H235">
        <v>3</v>
      </c>
      <c r="I235">
        <v>0</v>
      </c>
      <c r="J235" t="str">
        <f>VLOOKUP(H235,DC_Xref!A:B,2,FALSE)</f>
        <v>WFC</v>
      </c>
      <c r="K235">
        <f t="shared" si="3"/>
        <v>201943</v>
      </c>
      <c r="L235">
        <f>IFERROR(Table1[[#This Row],[Demand]]/SUMIFS(Table1[Demand],Table1[Fiscal_Year],Table1[[#This Row],[Fiscal_Year]],Table1[BRAND],Table1[[#This Row],[BRAND]],Table1[DC_name_Xref],Table1[[#This Row],[DC_name_Xref]]),0)</f>
        <v>0</v>
      </c>
      <c r="M2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" s="3">
        <f>IFERROR(INDEX(Table3[#All],MATCH(Table1[[#This Row],[Key_Year_Week_Brand]],Table3[[#All],[Key_Year_Week_Brand]],0),MATCH(Table1[[#This Row],[DC_name_Xref]],Table3[#Headers],0)),0)</f>
        <v>0</v>
      </c>
      <c r="O235">
        <f>IFERROR(INDEX(Table35[#All],MATCH(Table1[[#This Row],[Key_Year_Week_Brand]],Table35[[#All],[Key_Year_Month_Brand]],0),MATCH(Table1[[#This Row],[DC_name_Xref]],Table35[#Headers],0)),0)</f>
        <v>0</v>
      </c>
    </row>
    <row r="236" spans="1:15" x14ac:dyDescent="0.3">
      <c r="A236" s="19" t="str">
        <f>Table1[[#This Row],[Year_Week]]&amp;"-"&amp;Table1[[#This Row],[DC_name_Xref]]</f>
        <v>201943-EAO</v>
      </c>
      <c r="B236" s="19" t="str">
        <f>Table1[[#This Row],[Fiscal_Year]]*100+Table1[[#This Row],[Fiscal_Week]] &amp; "-" &amp;Table1[[#This Row],[BRAND]]</f>
        <v>201943-Gap Factory Store</v>
      </c>
      <c r="C236" t="str">
        <f>Table1[[#This Row],[Fiscal_Year]]&amp;"-"&amp;Table1[[#This Row],[BRAND]]</f>
        <v>2019-Gap Factory Store</v>
      </c>
      <c r="D236">
        <v>2019</v>
      </c>
      <c r="E236">
        <v>43</v>
      </c>
      <c r="F236" t="s">
        <v>22</v>
      </c>
      <c r="G236" t="s">
        <v>8</v>
      </c>
      <c r="H236">
        <v>4</v>
      </c>
      <c r="I236">
        <v>0</v>
      </c>
      <c r="J236" t="str">
        <f>VLOOKUP(H236,DC_Xref!A:B,2,FALSE)</f>
        <v>EAO</v>
      </c>
      <c r="K236">
        <f t="shared" si="3"/>
        <v>201943</v>
      </c>
      <c r="L236">
        <f>IFERROR(Table1[[#This Row],[Demand]]/SUMIFS(Table1[Demand],Table1[Fiscal_Year],Table1[[#This Row],[Fiscal_Year]],Table1[BRAND],Table1[[#This Row],[BRAND]],Table1[DC_name_Xref],Table1[[#This Row],[DC_name_Xref]]),0)</f>
        <v>0</v>
      </c>
      <c r="M2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" s="3">
        <f>IFERROR(INDEX(Table3[#All],MATCH(Table1[[#This Row],[Key_Year_Week_Brand]],Table3[[#All],[Key_Year_Week_Brand]],0),MATCH(Table1[[#This Row],[DC_name_Xref]],Table3[#Headers],0)),0)</f>
        <v>0</v>
      </c>
      <c r="O236">
        <f>IFERROR(INDEX(Table35[#All],MATCH(Table1[[#This Row],[Key_Year_Week_Brand]],Table35[[#All],[Key_Year_Month_Brand]],0),MATCH(Table1[[#This Row],[DC_name_Xref]],Table35[#Headers],0)),0)</f>
        <v>0</v>
      </c>
    </row>
    <row r="237" spans="1:15" x14ac:dyDescent="0.3">
      <c r="A237" s="19" t="str">
        <f>Table1[[#This Row],[Year_Week]]&amp;"-"&amp;Table1[[#This Row],[DC_name_Xref]]</f>
        <v>201943-FFC-ODC</v>
      </c>
      <c r="B237" s="19" t="str">
        <f>Table1[[#This Row],[Fiscal_Year]]*100+Table1[[#This Row],[Fiscal_Week]] &amp; "-" &amp;Table1[[#This Row],[BRAND]]</f>
        <v>201943-Gap Factory Store</v>
      </c>
      <c r="C237" t="str">
        <f>Table1[[#This Row],[Fiscal_Year]]&amp;"-"&amp;Table1[[#This Row],[BRAND]]</f>
        <v>2019-Gap Factory Store</v>
      </c>
      <c r="D237">
        <v>2019</v>
      </c>
      <c r="E237">
        <v>43</v>
      </c>
      <c r="F237" t="s">
        <v>22</v>
      </c>
      <c r="G237" t="s">
        <v>23</v>
      </c>
      <c r="H237">
        <v>5</v>
      </c>
      <c r="I237">
        <v>0</v>
      </c>
      <c r="J237" t="str">
        <f>VLOOKUP(H237,DC_Xref!A:B,2,FALSE)</f>
        <v>FFC-ODC</v>
      </c>
      <c r="K237">
        <f t="shared" si="3"/>
        <v>201943</v>
      </c>
      <c r="L237">
        <f>IFERROR(Table1[[#This Row],[Demand]]/SUMIFS(Table1[Demand],Table1[Fiscal_Year],Table1[[#This Row],[Fiscal_Year]],Table1[BRAND],Table1[[#This Row],[BRAND]],Table1[DC_name_Xref],Table1[[#This Row],[DC_name_Xref]]),0)</f>
        <v>0</v>
      </c>
      <c r="M2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" s="3">
        <f>IFERROR(INDEX(Table3[#All],MATCH(Table1[[#This Row],[Key_Year_Week_Brand]],Table3[[#All],[Key_Year_Week_Brand]],0),MATCH(Table1[[#This Row],[DC_name_Xref]],Table3[#Headers],0)),0)</f>
        <v>0</v>
      </c>
      <c r="O237">
        <f>IFERROR(INDEX(Table35[#All],MATCH(Table1[[#This Row],[Key_Year_Week_Brand]],Table35[[#All],[Key_Year_Month_Brand]],0),MATCH(Table1[[#This Row],[DC_name_Xref]],Table35[#Headers],0)),0)</f>
        <v>0</v>
      </c>
    </row>
    <row r="238" spans="1:15" x14ac:dyDescent="0.3">
      <c r="A238" s="19" t="str">
        <f>Table1[[#This Row],[Year_Week]]&amp;"-"&amp;Table1[[#This Row],[DC_name_Xref]]</f>
        <v>201943-WEO</v>
      </c>
      <c r="B238" s="19" t="str">
        <f>Table1[[#This Row],[Fiscal_Year]]*100+Table1[[#This Row],[Fiscal_Week]] &amp; "-" &amp;Table1[[#This Row],[BRAND]]</f>
        <v>201943-Gap Factory Store</v>
      </c>
      <c r="C238" t="str">
        <f>Table1[[#This Row],[Fiscal_Year]]&amp;"-"&amp;Table1[[#This Row],[BRAND]]</f>
        <v>2019-Gap Factory Store</v>
      </c>
      <c r="D238">
        <v>2019</v>
      </c>
      <c r="E238">
        <v>43</v>
      </c>
      <c r="F238" t="s">
        <v>22</v>
      </c>
      <c r="G238" t="s">
        <v>10</v>
      </c>
      <c r="H238">
        <v>6</v>
      </c>
      <c r="I238">
        <v>0</v>
      </c>
      <c r="J238" t="str">
        <f>VLOOKUP(H238,DC_Xref!A:B,2,FALSE)</f>
        <v>WEO</v>
      </c>
      <c r="K238">
        <f t="shared" si="3"/>
        <v>201943</v>
      </c>
      <c r="L238">
        <f>IFERROR(Table1[[#This Row],[Demand]]/SUMIFS(Table1[Demand],Table1[Fiscal_Year],Table1[[#This Row],[Fiscal_Year]],Table1[BRAND],Table1[[#This Row],[BRAND]],Table1[DC_name_Xref],Table1[[#This Row],[DC_name_Xref]]),0)</f>
        <v>0</v>
      </c>
      <c r="M2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" s="3">
        <f>IFERROR(INDEX(Table3[#All],MATCH(Table1[[#This Row],[Key_Year_Week_Brand]],Table3[[#All],[Key_Year_Week_Brand]],0),MATCH(Table1[[#This Row],[DC_name_Xref]],Table3[#Headers],0)),0)</f>
        <v>0</v>
      </c>
      <c r="O238">
        <f>IFERROR(INDEX(Table35[#All],MATCH(Table1[[#This Row],[Key_Year_Week_Brand]],Table35[[#All],[Key_Year_Month_Brand]],0),MATCH(Table1[[#This Row],[DC_name_Xref]],Table35[#Headers],0)),0)</f>
        <v>0</v>
      </c>
    </row>
    <row r="239" spans="1:15" x14ac:dyDescent="0.3">
      <c r="A239" s="19" t="str">
        <f>Table1[[#This Row],[Year_Week]]&amp;"-"&amp;Table1[[#This Row],[DC_name_Xref]]</f>
        <v>201943-OCC</v>
      </c>
      <c r="B239" s="19" t="str">
        <f>Table1[[#This Row],[Fiscal_Year]]*100+Table1[[#This Row],[Fiscal_Week]] &amp; "-" &amp;Table1[[#This Row],[BRAND]]</f>
        <v>201943-Gap Factory Store</v>
      </c>
      <c r="C239" t="str">
        <f>Table1[[#This Row],[Fiscal_Year]]&amp;"-"&amp;Table1[[#This Row],[BRAND]]</f>
        <v>2019-Gap Factory Store</v>
      </c>
      <c r="D239">
        <v>2019</v>
      </c>
      <c r="E239">
        <v>43</v>
      </c>
      <c r="F239" t="s">
        <v>22</v>
      </c>
      <c r="G239" t="s">
        <v>11</v>
      </c>
      <c r="H239">
        <v>7</v>
      </c>
      <c r="I239">
        <v>0</v>
      </c>
      <c r="J239" t="str">
        <f>VLOOKUP(H239,DC_Xref!A:B,2,FALSE)</f>
        <v>OCC</v>
      </c>
      <c r="K239">
        <f t="shared" si="3"/>
        <v>201943</v>
      </c>
      <c r="L239">
        <f>IFERROR(Table1[[#This Row],[Demand]]/SUMIFS(Table1[Demand],Table1[Fiscal_Year],Table1[[#This Row],[Fiscal_Year]],Table1[BRAND],Table1[[#This Row],[BRAND]],Table1[DC_name_Xref],Table1[[#This Row],[DC_name_Xref]]),0)</f>
        <v>0</v>
      </c>
      <c r="M2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" s="3">
        <f>IFERROR(INDEX(Table3[#All],MATCH(Table1[[#This Row],[Key_Year_Week_Brand]],Table3[[#All],[Key_Year_Week_Brand]],0),MATCH(Table1[[#This Row],[DC_name_Xref]],Table3[#Headers],0)),0)</f>
        <v>0</v>
      </c>
      <c r="O239">
        <f>IFERROR(INDEX(Table35[#All],MATCH(Table1[[#This Row],[Key_Year_Week_Brand]],Table35[[#All],[Key_Year_Month_Brand]],0),MATCH(Table1[[#This Row],[DC_name_Xref]],Table35[#Headers],0)),0)</f>
        <v>0</v>
      </c>
    </row>
    <row r="240" spans="1:15" x14ac:dyDescent="0.3">
      <c r="A240" s="19" t="str">
        <f>Table1[[#This Row],[Year_Week]]&amp;"-"&amp;Table1[[#This Row],[DC_name_Xref]]</f>
        <v>201943-OFC</v>
      </c>
      <c r="B240" s="19" t="str">
        <f>Table1[[#This Row],[Fiscal_Year]]*100+Table1[[#This Row],[Fiscal_Week]] &amp; "-" &amp;Table1[[#This Row],[BRAND]]</f>
        <v>201943-Banana Republic</v>
      </c>
      <c r="C240" t="str">
        <f>Table1[[#This Row],[Fiscal_Year]]&amp;"-"&amp;Table1[[#This Row],[BRAND]]</f>
        <v>2019-Banana Republic</v>
      </c>
      <c r="D240">
        <v>2019</v>
      </c>
      <c r="E240">
        <v>43</v>
      </c>
      <c r="F240" t="s">
        <v>18</v>
      </c>
      <c r="G240" t="s">
        <v>5</v>
      </c>
      <c r="H240">
        <v>1</v>
      </c>
      <c r="I240">
        <v>7446</v>
      </c>
      <c r="J240" t="str">
        <f>VLOOKUP(H240,DC_Xref!A:B,2,FALSE)</f>
        <v>OFC</v>
      </c>
      <c r="K240">
        <f t="shared" si="3"/>
        <v>201943</v>
      </c>
      <c r="L240">
        <f>IFERROR(Table1[[#This Row],[Demand]]/SUMIFS(Table1[Demand],Table1[Fiscal_Year],Table1[[#This Row],[Fiscal_Year]],Table1[BRAND],Table1[[#This Row],[BRAND]],Table1[DC_name_Xref],Table1[[#This Row],[DC_name_Xref]]),0)</f>
        <v>0.21018461017331902</v>
      </c>
      <c r="M2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2.1329374038925836E-2</v>
      </c>
      <c r="N240" s="3">
        <f>IFERROR(INDEX(Table3[#All],MATCH(Table1[[#This Row],[Key_Year_Week_Brand]],Table3[[#All],[Key_Year_Week_Brand]],0),MATCH(Table1[[#This Row],[DC_name_Xref]],Table3[#Headers],0)),0)</f>
        <v>0</v>
      </c>
      <c r="O240">
        <f>IFERROR(INDEX(Table35[#All],MATCH(Table1[[#This Row],[Key_Year_Week_Brand]],Table35[[#All],[Key_Year_Month_Brand]],0),MATCH(Table1[[#This Row],[DC_name_Xref]],Table35[#Headers],0)),0)</f>
        <v>0</v>
      </c>
    </row>
    <row r="241" spans="1:15" x14ac:dyDescent="0.3">
      <c r="A241" s="19" t="str">
        <f>Table1[[#This Row],[Year_Week]]&amp;"-"&amp;Table1[[#This Row],[DC_name_Xref]]</f>
        <v>201943-TFC</v>
      </c>
      <c r="B241" s="19" t="str">
        <f>Table1[[#This Row],[Fiscal_Year]]*100+Table1[[#This Row],[Fiscal_Week]] &amp; "-" &amp;Table1[[#This Row],[BRAND]]</f>
        <v>201943-Banana Republic</v>
      </c>
      <c r="C241" t="str">
        <f>Table1[[#This Row],[Fiscal_Year]]&amp;"-"&amp;Table1[[#This Row],[BRAND]]</f>
        <v>2019-Banana Republic</v>
      </c>
      <c r="D241">
        <v>2019</v>
      </c>
      <c r="E241">
        <v>43</v>
      </c>
      <c r="F241" t="s">
        <v>18</v>
      </c>
      <c r="G241" t="s">
        <v>21</v>
      </c>
      <c r="H241">
        <v>2</v>
      </c>
      <c r="I241">
        <v>568425</v>
      </c>
      <c r="J241" t="str">
        <f>VLOOKUP(H241,DC_Xref!A:B,2,FALSE)</f>
        <v>TFC</v>
      </c>
      <c r="K241">
        <f t="shared" si="3"/>
        <v>201943</v>
      </c>
      <c r="L241">
        <f>IFERROR(Table1[[#This Row],[Demand]]/SUMIFS(Table1[Demand],Table1[Fiscal_Year],Table1[[#This Row],[Fiscal_Year]],Table1[BRAND],Table1[[#This Row],[BRAND]],Table1[DC_name_Xref],Table1[[#This Row],[DC_name_Xref]]),0)</f>
        <v>0.34971370141891139</v>
      </c>
      <c r="M2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0.97862546977485732</v>
      </c>
      <c r="N241" s="3">
        <f>IFERROR(INDEX(Table3[#All],MATCH(Table1[[#This Row],[Key_Year_Week_Brand]],Table3[[#All],[Key_Year_Week_Brand]],0),MATCH(Table1[[#This Row],[DC_name_Xref]],Table3[#Headers],0)),0)</f>
        <v>1</v>
      </c>
      <c r="O241">
        <f>IFERROR(INDEX(Table35[#All],MATCH(Table1[[#This Row],[Key_Year_Week_Brand]],Table35[[#All],[Key_Year_Month_Brand]],0),MATCH(Table1[[#This Row],[DC_name_Xref]],Table35[#Headers],0)),0)</f>
        <v>575882</v>
      </c>
    </row>
    <row r="242" spans="1:15" x14ac:dyDescent="0.3">
      <c r="A242" s="19" t="str">
        <f>Table1[[#This Row],[Year_Week]]&amp;"-"&amp;Table1[[#This Row],[DC_name_Xref]]</f>
        <v>201943-WFC</v>
      </c>
      <c r="B242" s="19" t="str">
        <f>Table1[[#This Row],[Fiscal_Year]]*100+Table1[[#This Row],[Fiscal_Week]] &amp; "-" &amp;Table1[[#This Row],[BRAND]]</f>
        <v>201943-Banana Republic</v>
      </c>
      <c r="C242" t="str">
        <f>Table1[[#This Row],[Fiscal_Year]]&amp;"-"&amp;Table1[[#This Row],[BRAND]]</f>
        <v>2019-Banana Republic</v>
      </c>
      <c r="D242">
        <v>2019</v>
      </c>
      <c r="E242">
        <v>43</v>
      </c>
      <c r="F242" t="s">
        <v>18</v>
      </c>
      <c r="G242" t="s">
        <v>7</v>
      </c>
      <c r="H242">
        <v>3</v>
      </c>
      <c r="I242">
        <v>1</v>
      </c>
      <c r="J242" t="str">
        <f>VLOOKUP(H242,DC_Xref!A:B,2,FALSE)</f>
        <v>WFC</v>
      </c>
      <c r="K242">
        <f t="shared" si="3"/>
        <v>201943</v>
      </c>
      <c r="L242">
        <f>IFERROR(Table1[[#This Row],[Demand]]/SUMIFS(Table1[Demand],Table1[Fiscal_Year],Table1[[#This Row],[Fiscal_Year]],Table1[BRAND],Table1[[#This Row],[BRAND]],Table1[DC_name_Xref],Table1[[#This Row],[DC_name_Xref]]),0)</f>
        <v>0.2</v>
      </c>
      <c r="M2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3.0104124144591312E-6</v>
      </c>
      <c r="N242" s="3">
        <f>IFERROR(INDEX(Table3[#All],MATCH(Table1[[#This Row],[Key_Year_Week_Brand]],Table3[[#All],[Key_Year_Week_Brand]],0),MATCH(Table1[[#This Row],[DC_name_Xref]],Table3[#Headers],0)),0)</f>
        <v>3.4959629396853166E-6</v>
      </c>
      <c r="O242">
        <f>IFERROR(INDEX(Table35[#All],MATCH(Table1[[#This Row],[Key_Year_Week_Brand]],Table35[[#All],[Key_Year_Month_Brand]],0),MATCH(Table1[[#This Row],[DC_name_Xref]],Table35[#Headers],0)),0)</f>
        <v>2.0132621296318596</v>
      </c>
    </row>
    <row r="243" spans="1:15" x14ac:dyDescent="0.3">
      <c r="A243" s="19" t="str">
        <f>Table1[[#This Row],[Year_Week]]&amp;"-"&amp;Table1[[#This Row],[DC_name_Xref]]</f>
        <v>201943-EAO</v>
      </c>
      <c r="B243" s="19" t="str">
        <f>Table1[[#This Row],[Fiscal_Year]]*100+Table1[[#This Row],[Fiscal_Week]] &amp; "-" &amp;Table1[[#This Row],[BRAND]]</f>
        <v>201943-Banana Republic</v>
      </c>
      <c r="C243" t="str">
        <f>Table1[[#This Row],[Fiscal_Year]]&amp;"-"&amp;Table1[[#This Row],[BRAND]]</f>
        <v>2019-Banana Republic</v>
      </c>
      <c r="D243">
        <v>2019</v>
      </c>
      <c r="E243">
        <v>43</v>
      </c>
      <c r="F243" t="s">
        <v>18</v>
      </c>
      <c r="G243" t="s">
        <v>8</v>
      </c>
      <c r="H243">
        <v>4</v>
      </c>
      <c r="I243">
        <v>10</v>
      </c>
      <c r="J243" t="str">
        <f>VLOOKUP(H243,DC_Xref!A:B,2,FALSE)</f>
        <v>EAO</v>
      </c>
      <c r="K243">
        <f t="shared" si="3"/>
        <v>201943</v>
      </c>
      <c r="L243">
        <f>IFERROR(Table1[[#This Row],[Demand]]/SUMIFS(Table1[Demand],Table1[Fiscal_Year],Table1[[#This Row],[Fiscal_Year]],Table1[BRAND],Table1[[#This Row],[BRAND]],Table1[DC_name_Xref],Table1[[#This Row],[DC_name_Xref]]),0)</f>
        <v>0.14285714285714285</v>
      </c>
      <c r="M2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4.2145773802427838E-5</v>
      </c>
      <c r="N243" s="3">
        <f>IFERROR(INDEX(Table3[#All],MATCH(Table1[[#This Row],[Key_Year_Week_Brand]],Table3[[#All],[Key_Year_Week_Brand]],0),MATCH(Table1[[#This Row],[DC_name_Xref]],Table3[#Headers],0)),0)</f>
        <v>4.2339995602855504E-5</v>
      </c>
      <c r="O243">
        <f>IFERROR(INDEX(Table35[#All],MATCH(Table1[[#This Row],[Key_Year_Week_Brand]],Table35[[#All],[Key_Year_Month_Brand]],0),MATCH(Table1[[#This Row],[DC_name_Xref]],Table35[#Headers],0)),0)</f>
        <v>24.382841347763634</v>
      </c>
    </row>
    <row r="244" spans="1:15" x14ac:dyDescent="0.3">
      <c r="A244" s="19" t="str">
        <f>Table1[[#This Row],[Year_Week]]&amp;"-"&amp;Table1[[#This Row],[DC_name_Xref]]</f>
        <v>201943-FFC-ODC</v>
      </c>
      <c r="B244" s="19" t="str">
        <f>Table1[[#This Row],[Fiscal_Year]]*100+Table1[[#This Row],[Fiscal_Week]] &amp; "-" &amp;Table1[[#This Row],[BRAND]]</f>
        <v>201943-Banana Republic</v>
      </c>
      <c r="C244" t="str">
        <f>Table1[[#This Row],[Fiscal_Year]]&amp;"-"&amp;Table1[[#This Row],[BRAND]]</f>
        <v>2019-Banana Republic</v>
      </c>
      <c r="D244">
        <v>2019</v>
      </c>
      <c r="E244">
        <v>43</v>
      </c>
      <c r="F244" t="s">
        <v>18</v>
      </c>
      <c r="G244" t="s">
        <v>23</v>
      </c>
      <c r="H244">
        <v>5</v>
      </c>
      <c r="I244">
        <v>0</v>
      </c>
      <c r="J244" t="str">
        <f>VLOOKUP(H244,DC_Xref!A:B,2,FALSE)</f>
        <v>FFC-ODC</v>
      </c>
      <c r="K244">
        <f t="shared" si="3"/>
        <v>201943</v>
      </c>
      <c r="L244">
        <f>IFERROR(Table1[[#This Row],[Demand]]/SUMIFS(Table1[Demand],Table1[Fiscal_Year],Table1[[#This Row],[Fiscal_Year]],Table1[BRAND],Table1[[#This Row],[BRAND]],Table1[DC_name_Xref],Table1[[#This Row],[DC_name_Xref]]),0)</f>
        <v>0</v>
      </c>
      <c r="M2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" s="3">
        <f>IFERROR(INDEX(Table3[#All],MATCH(Table1[[#This Row],[Key_Year_Week_Brand]],Table3[[#All],[Key_Year_Week_Brand]],0),MATCH(Table1[[#This Row],[DC_name_Xref]],Table3[#Headers],0)),0)</f>
        <v>0</v>
      </c>
      <c r="O244">
        <f>IFERROR(INDEX(Table35[#All],MATCH(Table1[[#This Row],[Key_Year_Week_Brand]],Table35[[#All],[Key_Year_Month_Brand]],0),MATCH(Table1[[#This Row],[DC_name_Xref]],Table35[#Headers],0)),0)</f>
        <v>0</v>
      </c>
    </row>
    <row r="245" spans="1:15" x14ac:dyDescent="0.3">
      <c r="A245" s="19" t="str">
        <f>Table1[[#This Row],[Year_Week]]&amp;"-"&amp;Table1[[#This Row],[DC_name_Xref]]</f>
        <v>201943-WEO</v>
      </c>
      <c r="B245" s="19" t="str">
        <f>Table1[[#This Row],[Fiscal_Year]]*100+Table1[[#This Row],[Fiscal_Week]] &amp; "-" &amp;Table1[[#This Row],[BRAND]]</f>
        <v>201943-Banana Republic</v>
      </c>
      <c r="C245" t="str">
        <f>Table1[[#This Row],[Fiscal_Year]]&amp;"-"&amp;Table1[[#This Row],[BRAND]]</f>
        <v>2019-Banana Republic</v>
      </c>
      <c r="D245">
        <v>2019</v>
      </c>
      <c r="E245">
        <v>43</v>
      </c>
      <c r="F245" t="s">
        <v>18</v>
      </c>
      <c r="G245" t="s">
        <v>10</v>
      </c>
      <c r="H245">
        <v>6</v>
      </c>
      <c r="I245">
        <v>0</v>
      </c>
      <c r="J245" t="str">
        <f>VLOOKUP(H245,DC_Xref!A:B,2,FALSE)</f>
        <v>WEO</v>
      </c>
      <c r="K245">
        <f t="shared" si="3"/>
        <v>201943</v>
      </c>
      <c r="L245">
        <f>IFERROR(Table1[[#This Row],[Demand]]/SUMIFS(Table1[Demand],Table1[Fiscal_Year],Table1[[#This Row],[Fiscal_Year]],Table1[BRAND],Table1[[#This Row],[BRAND]],Table1[DC_name_Xref],Table1[[#This Row],[DC_name_Xref]]),0)</f>
        <v>0</v>
      </c>
      <c r="M2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" s="3">
        <f>IFERROR(INDEX(Table3[#All],MATCH(Table1[[#This Row],[Key_Year_Week_Brand]],Table3[[#All],[Key_Year_Week_Brand]],0),MATCH(Table1[[#This Row],[DC_name_Xref]],Table3[#Headers],0)),0)</f>
        <v>0</v>
      </c>
      <c r="O245">
        <f>IFERROR(INDEX(Table35[#All],MATCH(Table1[[#This Row],[Key_Year_Week_Brand]],Table35[[#All],[Key_Year_Month_Brand]],0),MATCH(Table1[[#This Row],[DC_name_Xref]],Table35[#Headers],0)),0)</f>
        <v>0</v>
      </c>
    </row>
    <row r="246" spans="1:15" x14ac:dyDescent="0.3">
      <c r="A246" s="19" t="str">
        <f>Table1[[#This Row],[Year_Week]]&amp;"-"&amp;Table1[[#This Row],[DC_name_Xref]]</f>
        <v>201943-OCC</v>
      </c>
      <c r="B246" s="19" t="str">
        <f>Table1[[#This Row],[Fiscal_Year]]*100+Table1[[#This Row],[Fiscal_Week]] &amp; "-" &amp;Table1[[#This Row],[BRAND]]</f>
        <v>201943-Banana Republic</v>
      </c>
      <c r="C246" t="str">
        <f>Table1[[#This Row],[Fiscal_Year]]&amp;"-"&amp;Table1[[#This Row],[BRAND]]</f>
        <v>2019-Banana Republic</v>
      </c>
      <c r="D246">
        <v>2019</v>
      </c>
      <c r="E246">
        <v>43</v>
      </c>
      <c r="F246" t="s">
        <v>18</v>
      </c>
      <c r="G246" t="s">
        <v>11</v>
      </c>
      <c r="H246">
        <v>7</v>
      </c>
      <c r="I246">
        <v>0</v>
      </c>
      <c r="J246" t="str">
        <f>VLOOKUP(H246,DC_Xref!A:B,2,FALSE)</f>
        <v>OCC</v>
      </c>
      <c r="K246">
        <f t="shared" si="3"/>
        <v>201943</v>
      </c>
      <c r="L246">
        <f>IFERROR(Table1[[#This Row],[Demand]]/SUMIFS(Table1[Demand],Table1[Fiscal_Year],Table1[[#This Row],[Fiscal_Year]],Table1[BRAND],Table1[[#This Row],[BRAND]],Table1[DC_name_Xref],Table1[[#This Row],[DC_name_Xref]]),0)</f>
        <v>0</v>
      </c>
      <c r="M2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" s="3">
        <f>IFERROR(INDEX(Table3[#All],MATCH(Table1[[#This Row],[Key_Year_Week_Brand]],Table3[[#All],[Key_Year_Week_Brand]],0),MATCH(Table1[[#This Row],[DC_name_Xref]],Table3[#Headers],0)),0)</f>
        <v>0</v>
      </c>
      <c r="O246">
        <f>IFERROR(INDEX(Table35[#All],MATCH(Table1[[#This Row],[Key_Year_Week_Brand]],Table35[[#All],[Key_Year_Month_Brand]],0),MATCH(Table1[[#This Row],[DC_name_Xref]],Table35[#Headers],0)),0)</f>
        <v>0</v>
      </c>
    </row>
    <row r="247" spans="1:15" x14ac:dyDescent="0.3">
      <c r="A247" s="19" t="str">
        <f>Table1[[#This Row],[Year_Week]]&amp;"-"&amp;Table1[[#This Row],[DC_name_Xref]]</f>
        <v>201943-OFC</v>
      </c>
      <c r="B247" s="19" t="str">
        <f>Table1[[#This Row],[Fiscal_Year]]*100+Table1[[#This Row],[Fiscal_Week]] &amp; "-" &amp;Table1[[#This Row],[BRAND]]</f>
        <v>201943-Athleta</v>
      </c>
      <c r="C247" t="str">
        <f>Table1[[#This Row],[Fiscal_Year]]&amp;"-"&amp;Table1[[#This Row],[BRAND]]</f>
        <v>2019-Athleta</v>
      </c>
      <c r="D247">
        <v>2019</v>
      </c>
      <c r="E247">
        <v>43</v>
      </c>
      <c r="F247" t="s">
        <v>19</v>
      </c>
      <c r="G247" t="s">
        <v>5</v>
      </c>
      <c r="H247">
        <v>1</v>
      </c>
      <c r="I247">
        <v>34887</v>
      </c>
      <c r="J247" t="str">
        <f>VLOOKUP(H247,DC_Xref!A:B,2,FALSE)</f>
        <v>OFC</v>
      </c>
      <c r="K247">
        <f t="shared" si="3"/>
        <v>201943</v>
      </c>
      <c r="L247">
        <f>IFERROR(Table1[[#This Row],[Demand]]/SUMIFS(Table1[Demand],Table1[Fiscal_Year],Table1[[#This Row],[Fiscal_Year]],Table1[BRAND],Table1[[#This Row],[BRAND]],Table1[DC_name_Xref],Table1[[#This Row],[DC_name_Xref]]),0)</f>
        <v>0.27496926132601912</v>
      </c>
      <c r="M2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0.10136821038082189</v>
      </c>
      <c r="N247" s="3">
        <f>IFERROR(INDEX(Table3[#All],MATCH(Table1[[#This Row],[Key_Year_Week_Brand]],Table3[[#All],[Key_Year_Week_Brand]],0),MATCH(Table1[[#This Row],[DC_name_Xref]],Table3[#Headers],0)),0)</f>
        <v>0</v>
      </c>
      <c r="O247">
        <f>IFERROR(INDEX(Table35[#All],MATCH(Table1[[#This Row],[Key_Year_Week_Brand]],Table35[[#All],[Key_Year_Month_Brand]],0),MATCH(Table1[[#This Row],[DC_name_Xref]],Table35[#Headers],0)),0)</f>
        <v>0</v>
      </c>
    </row>
    <row r="248" spans="1:15" x14ac:dyDescent="0.3">
      <c r="A248" s="19" t="str">
        <f>Table1[[#This Row],[Year_Week]]&amp;"-"&amp;Table1[[#This Row],[DC_name_Xref]]</f>
        <v>201943-TFC</v>
      </c>
      <c r="B248" s="19" t="str">
        <f>Table1[[#This Row],[Fiscal_Year]]*100+Table1[[#This Row],[Fiscal_Week]] &amp; "-" &amp;Table1[[#This Row],[BRAND]]</f>
        <v>201943-Athleta</v>
      </c>
      <c r="C248" t="str">
        <f>Table1[[#This Row],[Fiscal_Year]]&amp;"-"&amp;Table1[[#This Row],[BRAND]]</f>
        <v>2019-Athleta</v>
      </c>
      <c r="D248">
        <v>2019</v>
      </c>
      <c r="E248">
        <v>43</v>
      </c>
      <c r="F248" t="s">
        <v>19</v>
      </c>
      <c r="G248" t="s">
        <v>21</v>
      </c>
      <c r="H248">
        <v>2</v>
      </c>
      <c r="I248">
        <v>326271</v>
      </c>
      <c r="J248" t="str">
        <f>VLOOKUP(H248,DC_Xref!A:B,2,FALSE)</f>
        <v>TFC</v>
      </c>
      <c r="K248">
        <f t="shared" si="3"/>
        <v>201943</v>
      </c>
      <c r="L248">
        <f>IFERROR(Table1[[#This Row],[Demand]]/SUMIFS(Table1[Demand],Table1[Fiscal_Year],Table1[[#This Row],[Fiscal_Year]],Table1[BRAND],Table1[[#This Row],[BRAND]],Table1[DC_name_Xref],Table1[[#This Row],[DC_name_Xref]]),0)</f>
        <v>0.29009189875488567</v>
      </c>
      <c r="M2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0.89859743455560126</v>
      </c>
      <c r="N248" s="3">
        <f>IFERROR(INDEX(Table3[#All],MATCH(Table1[[#This Row],[Key_Year_Week_Brand]],Table3[[#All],[Key_Year_Week_Brand]],0),MATCH(Table1[[#This Row],[DC_name_Xref]],Table3[#Headers],0)),0)</f>
        <v>1</v>
      </c>
      <c r="O248">
        <f>IFERROR(INDEX(Table35[#All],MATCH(Table1[[#This Row],[Key_Year_Week_Brand]],Table35[[#All],[Key_Year_Month_Brand]],0),MATCH(Table1[[#This Row],[DC_name_Xref]],Table35[#Headers],0)),0)</f>
        <v>361168</v>
      </c>
    </row>
    <row r="249" spans="1:15" x14ac:dyDescent="0.3">
      <c r="A249" s="19" t="str">
        <f>Table1[[#This Row],[Year_Week]]&amp;"-"&amp;Table1[[#This Row],[DC_name_Xref]]</f>
        <v>201943-WFC</v>
      </c>
      <c r="B249" s="19" t="str">
        <f>Table1[[#This Row],[Fiscal_Year]]*100+Table1[[#This Row],[Fiscal_Week]] &amp; "-" &amp;Table1[[#This Row],[BRAND]]</f>
        <v>201943-Athleta</v>
      </c>
      <c r="C249" t="str">
        <f>Table1[[#This Row],[Fiscal_Year]]&amp;"-"&amp;Table1[[#This Row],[BRAND]]</f>
        <v>2019-Athleta</v>
      </c>
      <c r="D249">
        <v>2019</v>
      </c>
      <c r="E249">
        <v>43</v>
      </c>
      <c r="F249" t="s">
        <v>19</v>
      </c>
      <c r="G249" t="s">
        <v>7</v>
      </c>
      <c r="H249">
        <v>3</v>
      </c>
      <c r="I249">
        <v>0</v>
      </c>
      <c r="J249" t="str">
        <f>VLOOKUP(H249,DC_Xref!A:B,2,FALSE)</f>
        <v>WFC</v>
      </c>
      <c r="K249">
        <f t="shared" si="3"/>
        <v>201943</v>
      </c>
      <c r="L249">
        <f>IFERROR(Table1[[#This Row],[Demand]]/SUMIFS(Table1[Demand],Table1[Fiscal_Year],Table1[[#This Row],[Fiscal_Year]],Table1[BRAND],Table1[[#This Row],[BRAND]],Table1[DC_name_Xref],Table1[[#This Row],[DC_name_Xref]]),0)</f>
        <v>0</v>
      </c>
      <c r="M2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" s="3">
        <f>IFERROR(INDEX(Table3[#All],MATCH(Table1[[#This Row],[Key_Year_Week_Brand]],Table3[[#All],[Key_Year_Week_Brand]],0),MATCH(Table1[[#This Row],[DC_name_Xref]],Table3[#Headers],0)),0)</f>
        <v>0</v>
      </c>
      <c r="O249">
        <f>IFERROR(INDEX(Table35[#All],MATCH(Table1[[#This Row],[Key_Year_Week_Brand]],Table35[[#All],[Key_Year_Month_Brand]],0),MATCH(Table1[[#This Row],[DC_name_Xref]],Table35[#Headers],0)),0)</f>
        <v>0</v>
      </c>
    </row>
    <row r="250" spans="1:15" x14ac:dyDescent="0.3">
      <c r="A250" s="19" t="str">
        <f>Table1[[#This Row],[Year_Week]]&amp;"-"&amp;Table1[[#This Row],[DC_name_Xref]]</f>
        <v>201943-EAO</v>
      </c>
      <c r="B250" s="19" t="str">
        <f>Table1[[#This Row],[Fiscal_Year]]*100+Table1[[#This Row],[Fiscal_Week]] &amp; "-" &amp;Table1[[#This Row],[BRAND]]</f>
        <v>201943-Athleta</v>
      </c>
      <c r="C250" t="str">
        <f>Table1[[#This Row],[Fiscal_Year]]&amp;"-"&amp;Table1[[#This Row],[BRAND]]</f>
        <v>2019-Athleta</v>
      </c>
      <c r="D250">
        <v>2019</v>
      </c>
      <c r="E250">
        <v>43</v>
      </c>
      <c r="F250" t="s">
        <v>19</v>
      </c>
      <c r="G250" t="s">
        <v>8</v>
      </c>
      <c r="H250">
        <v>4</v>
      </c>
      <c r="I250">
        <v>10</v>
      </c>
      <c r="J250" t="str">
        <f>VLOOKUP(H250,DC_Xref!A:B,2,FALSE)</f>
        <v>EAO</v>
      </c>
      <c r="K250">
        <f t="shared" si="3"/>
        <v>201943</v>
      </c>
      <c r="L250">
        <f>IFERROR(Table1[[#This Row],[Demand]]/SUMIFS(Table1[Demand],Table1[Fiscal_Year],Table1[[#This Row],[Fiscal_Year]],Table1[BRAND],Table1[[#This Row],[BRAND]],Table1[DC_name_Xref],Table1[[#This Row],[DC_name_Xref]]),0)</f>
        <v>0.23255813953488372</v>
      </c>
      <c r="M2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3.435506357684149E-5</v>
      </c>
      <c r="N250" s="3">
        <f>IFERROR(INDEX(Table3[#All],MATCH(Table1[[#This Row],[Key_Year_Week_Brand]],Table3[[#All],[Key_Year_Week_Brand]],0),MATCH(Table1[[#This Row],[DC_name_Xref]],Table3[#Headers],0)),0)</f>
        <v>3.447122356821831E-5</v>
      </c>
      <c r="O250">
        <f>IFERROR(INDEX(Table35[#All],MATCH(Table1[[#This Row],[Key_Year_Week_Brand]],Table35[[#All],[Key_Year_Month_Brand]],0),MATCH(Table1[[#This Row],[DC_name_Xref]],Table35[#Headers],0)),0)</f>
        <v>12.44990287368627</v>
      </c>
    </row>
    <row r="251" spans="1:15" x14ac:dyDescent="0.3">
      <c r="A251" s="19" t="str">
        <f>Table1[[#This Row],[Year_Week]]&amp;"-"&amp;Table1[[#This Row],[DC_name_Xref]]</f>
        <v>201943-FFC-ODC</v>
      </c>
      <c r="B251" s="19" t="str">
        <f>Table1[[#This Row],[Fiscal_Year]]*100+Table1[[#This Row],[Fiscal_Week]] &amp; "-" &amp;Table1[[#This Row],[BRAND]]</f>
        <v>201943-Athleta</v>
      </c>
      <c r="C251" t="str">
        <f>Table1[[#This Row],[Fiscal_Year]]&amp;"-"&amp;Table1[[#This Row],[BRAND]]</f>
        <v>2019-Athleta</v>
      </c>
      <c r="D251">
        <v>2019</v>
      </c>
      <c r="E251">
        <v>43</v>
      </c>
      <c r="F251" t="s">
        <v>19</v>
      </c>
      <c r="G251" t="s">
        <v>23</v>
      </c>
      <c r="H251">
        <v>5</v>
      </c>
      <c r="I251">
        <v>0</v>
      </c>
      <c r="J251" t="str">
        <f>VLOOKUP(H251,DC_Xref!A:B,2,FALSE)</f>
        <v>FFC-ODC</v>
      </c>
      <c r="K251">
        <f t="shared" si="3"/>
        <v>201943</v>
      </c>
      <c r="L251">
        <f>IFERROR(Table1[[#This Row],[Demand]]/SUMIFS(Table1[Demand],Table1[Fiscal_Year],Table1[[#This Row],[Fiscal_Year]],Table1[BRAND],Table1[[#This Row],[BRAND]],Table1[DC_name_Xref],Table1[[#This Row],[DC_name_Xref]]),0)</f>
        <v>0</v>
      </c>
      <c r="M2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" s="3">
        <f>IFERROR(INDEX(Table3[#All],MATCH(Table1[[#This Row],[Key_Year_Week_Brand]],Table3[[#All],[Key_Year_Week_Brand]],0),MATCH(Table1[[#This Row],[DC_name_Xref]],Table3[#Headers],0)),0)</f>
        <v>0</v>
      </c>
      <c r="O251">
        <f>IFERROR(INDEX(Table35[#All],MATCH(Table1[[#This Row],[Key_Year_Week_Brand]],Table35[[#All],[Key_Year_Month_Brand]],0),MATCH(Table1[[#This Row],[DC_name_Xref]],Table35[#Headers],0)),0)</f>
        <v>0</v>
      </c>
    </row>
    <row r="252" spans="1:15" x14ac:dyDescent="0.3">
      <c r="A252" s="19" t="str">
        <f>Table1[[#This Row],[Year_Week]]&amp;"-"&amp;Table1[[#This Row],[DC_name_Xref]]</f>
        <v>201943-WEO</v>
      </c>
      <c r="B252" s="19" t="str">
        <f>Table1[[#This Row],[Fiscal_Year]]*100+Table1[[#This Row],[Fiscal_Week]] &amp; "-" &amp;Table1[[#This Row],[BRAND]]</f>
        <v>201943-Athleta</v>
      </c>
      <c r="C252" t="str">
        <f>Table1[[#This Row],[Fiscal_Year]]&amp;"-"&amp;Table1[[#This Row],[BRAND]]</f>
        <v>2019-Athleta</v>
      </c>
      <c r="D252">
        <v>2019</v>
      </c>
      <c r="E252">
        <v>43</v>
      </c>
      <c r="F252" t="s">
        <v>19</v>
      </c>
      <c r="G252" t="s">
        <v>10</v>
      </c>
      <c r="H252">
        <v>6</v>
      </c>
      <c r="I252">
        <v>0</v>
      </c>
      <c r="J252" t="str">
        <f>VLOOKUP(H252,DC_Xref!A:B,2,FALSE)</f>
        <v>WEO</v>
      </c>
      <c r="K252">
        <f t="shared" si="3"/>
        <v>201943</v>
      </c>
      <c r="L252">
        <f>IFERROR(Table1[[#This Row],[Demand]]/SUMIFS(Table1[Demand],Table1[Fiscal_Year],Table1[[#This Row],[Fiscal_Year]],Table1[BRAND],Table1[[#This Row],[BRAND]],Table1[DC_name_Xref],Table1[[#This Row],[DC_name_Xref]]),0)</f>
        <v>0</v>
      </c>
      <c r="M2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" s="3">
        <f>IFERROR(INDEX(Table3[#All],MATCH(Table1[[#This Row],[Key_Year_Week_Brand]],Table3[[#All],[Key_Year_Week_Brand]],0),MATCH(Table1[[#This Row],[DC_name_Xref]],Table3[#Headers],0)),0)</f>
        <v>0</v>
      </c>
      <c r="O252">
        <f>IFERROR(INDEX(Table35[#All],MATCH(Table1[[#This Row],[Key_Year_Week_Brand]],Table35[[#All],[Key_Year_Month_Brand]],0),MATCH(Table1[[#This Row],[DC_name_Xref]],Table35[#Headers],0)),0)</f>
        <v>0</v>
      </c>
    </row>
    <row r="253" spans="1:15" x14ac:dyDescent="0.3">
      <c r="A253" s="19" t="str">
        <f>Table1[[#This Row],[Year_Week]]&amp;"-"&amp;Table1[[#This Row],[DC_name_Xref]]</f>
        <v>201943-OCC</v>
      </c>
      <c r="B253" s="19" t="str">
        <f>Table1[[#This Row],[Fiscal_Year]]*100+Table1[[#This Row],[Fiscal_Week]] &amp; "-" &amp;Table1[[#This Row],[BRAND]]</f>
        <v>201943-Athleta</v>
      </c>
      <c r="C253" t="str">
        <f>Table1[[#This Row],[Fiscal_Year]]&amp;"-"&amp;Table1[[#This Row],[BRAND]]</f>
        <v>2019-Athleta</v>
      </c>
      <c r="D253">
        <v>2019</v>
      </c>
      <c r="E253">
        <v>43</v>
      </c>
      <c r="F253" t="s">
        <v>19</v>
      </c>
      <c r="G253" t="s">
        <v>11</v>
      </c>
      <c r="H253">
        <v>7</v>
      </c>
      <c r="I253">
        <v>0</v>
      </c>
      <c r="J253" t="str">
        <f>VLOOKUP(H253,DC_Xref!A:B,2,FALSE)</f>
        <v>OCC</v>
      </c>
      <c r="K253">
        <f t="shared" si="3"/>
        <v>201943</v>
      </c>
      <c r="L253">
        <f>IFERROR(Table1[[#This Row],[Demand]]/SUMIFS(Table1[Demand],Table1[Fiscal_Year],Table1[[#This Row],[Fiscal_Year]],Table1[BRAND],Table1[[#This Row],[BRAND]],Table1[DC_name_Xref],Table1[[#This Row],[DC_name_Xref]]),0)</f>
        <v>0</v>
      </c>
      <c r="M2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" s="3">
        <f>IFERROR(INDEX(Table3[#All],MATCH(Table1[[#This Row],[Key_Year_Week_Brand]],Table3[[#All],[Key_Year_Week_Brand]],0),MATCH(Table1[[#This Row],[DC_name_Xref]],Table3[#Headers],0)),0)</f>
        <v>0</v>
      </c>
      <c r="O253">
        <f>IFERROR(INDEX(Table35[#All],MATCH(Table1[[#This Row],[Key_Year_Week_Brand]],Table35[[#All],[Key_Year_Month_Brand]],0),MATCH(Table1[[#This Row],[DC_name_Xref]],Table35[#Headers],0)),0)</f>
        <v>0</v>
      </c>
    </row>
    <row r="254" spans="1:15" x14ac:dyDescent="0.3">
      <c r="A254" s="19" t="str">
        <f>Table1[[#This Row],[Year_Week]]&amp;"-"&amp;Table1[[#This Row],[DC_name_Xref]]</f>
        <v>201944-OFC</v>
      </c>
      <c r="B254" s="19" t="str">
        <f>Table1[[#This Row],[Fiscal_Year]]*100+Table1[[#This Row],[Fiscal_Week]] &amp; "-" &amp;Table1[[#This Row],[BRAND]]</f>
        <v>201944-Gap</v>
      </c>
      <c r="C254" t="str">
        <f>Table1[[#This Row],[Fiscal_Year]]&amp;"-"&amp;Table1[[#This Row],[BRAND]]</f>
        <v>2019-Gap</v>
      </c>
      <c r="D254">
        <v>2019</v>
      </c>
      <c r="E254">
        <v>44</v>
      </c>
      <c r="F254" t="s">
        <v>16</v>
      </c>
      <c r="G254" t="s">
        <v>5</v>
      </c>
      <c r="H254">
        <v>1</v>
      </c>
      <c r="I254">
        <v>1679953</v>
      </c>
      <c r="J254" t="str">
        <f>VLOOKUP(H254,DC_Xref!A:B,2,FALSE)</f>
        <v>OFC</v>
      </c>
      <c r="K254">
        <f t="shared" si="3"/>
        <v>201944</v>
      </c>
      <c r="L254">
        <f>IFERROR(Table1[[#This Row],[Demand]]/SUMIFS(Table1[Demand],Table1[Fiscal_Year],Table1[[#This Row],[Fiscal_Year]],Table1[BRAND],Table1[[#This Row],[BRAND]],Table1[DC_name_Xref],Table1[[#This Row],[DC_name_Xref]]),0)</f>
        <v>0.26956074970150928</v>
      </c>
      <c r="M2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0.66900248732212841</v>
      </c>
      <c r="N254" s="3">
        <f>IFERROR(INDEX(Table3[#All],MATCH(Table1[[#This Row],[Key_Year_Week_Brand]],Table3[[#All],[Key_Year_Week_Brand]],0),MATCH(Table1[[#This Row],[DC_name_Xref]],Table3[#Headers],0)),0)</f>
        <v>0.25</v>
      </c>
      <c r="O254">
        <f>IFERROR(INDEX(Table35[#All],MATCH(Table1[[#This Row],[Key_Year_Week_Brand]],Table35[[#All],[Key_Year_Month_Brand]],0),MATCH(Table1[[#This Row],[DC_name_Xref]],Table35[#Headers],0)),0)</f>
        <v>650450.75</v>
      </c>
    </row>
    <row r="255" spans="1:15" x14ac:dyDescent="0.3">
      <c r="A255" s="19" t="str">
        <f>Table1[[#This Row],[Year_Week]]&amp;"-"&amp;Table1[[#This Row],[DC_name_Xref]]</f>
        <v>201944-TFC</v>
      </c>
      <c r="B255" s="19" t="str">
        <f>Table1[[#This Row],[Fiscal_Year]]*100+Table1[[#This Row],[Fiscal_Week]] &amp; "-" &amp;Table1[[#This Row],[BRAND]]</f>
        <v>201944-Gap</v>
      </c>
      <c r="C255" t="str">
        <f>Table1[[#This Row],[Fiscal_Year]]&amp;"-"&amp;Table1[[#This Row],[BRAND]]</f>
        <v>2019-Gap</v>
      </c>
      <c r="D255">
        <v>2019</v>
      </c>
      <c r="E255">
        <v>44</v>
      </c>
      <c r="F255" t="s">
        <v>16</v>
      </c>
      <c r="G255" t="s">
        <v>21</v>
      </c>
      <c r="H255">
        <v>2</v>
      </c>
      <c r="I255">
        <v>92</v>
      </c>
      <c r="J255" t="str">
        <f>VLOOKUP(H255,DC_Xref!A:B,2,FALSE)</f>
        <v>TFC</v>
      </c>
      <c r="K255">
        <f t="shared" si="3"/>
        <v>201944</v>
      </c>
      <c r="L255">
        <f>IFERROR(Table1[[#This Row],[Demand]]/SUMIFS(Table1[Demand],Table1[Fiscal_Year],Table1[[#This Row],[Fiscal_Year]],Table1[BRAND],Table1[[#This Row],[BRAND]],Table1[DC_name_Xref],Table1[[#This Row],[DC_name_Xref]]),0)</f>
        <v>8.1996434937611412E-2</v>
      </c>
      <c r="M2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1.2044259756252951E-4</v>
      </c>
      <c r="N255" s="3">
        <f>IFERROR(INDEX(Table3[#All],MATCH(Table1[[#This Row],[Key_Year_Week_Brand]],Table3[[#All],[Key_Year_Week_Brand]],0),MATCH(Table1[[#This Row],[DC_name_Xref]],Table3[#Headers],0)),0)</f>
        <v>0.2</v>
      </c>
      <c r="O255">
        <f>IFERROR(INDEX(Table35[#All],MATCH(Table1[[#This Row],[Key_Year_Week_Brand]],Table35[[#All],[Key_Year_Month_Brand]],0),MATCH(Table1[[#This Row],[DC_name_Xref]],Table35[#Headers],0)),0)</f>
        <v>520360.60000000003</v>
      </c>
    </row>
    <row r="256" spans="1:15" x14ac:dyDescent="0.3">
      <c r="A256" s="19" t="str">
        <f>Table1[[#This Row],[Year_Week]]&amp;"-"&amp;Table1[[#This Row],[DC_name_Xref]]</f>
        <v>201944-WFC</v>
      </c>
      <c r="B256" s="19" t="str">
        <f>Table1[[#This Row],[Fiscal_Year]]*100+Table1[[#This Row],[Fiscal_Week]] &amp; "-" &amp;Table1[[#This Row],[BRAND]]</f>
        <v>201944-Gap</v>
      </c>
      <c r="C256" t="str">
        <f>Table1[[#This Row],[Fiscal_Year]]&amp;"-"&amp;Table1[[#This Row],[BRAND]]</f>
        <v>2019-Gap</v>
      </c>
      <c r="D256">
        <v>2019</v>
      </c>
      <c r="E256">
        <v>44</v>
      </c>
      <c r="F256" t="s">
        <v>16</v>
      </c>
      <c r="G256" t="s">
        <v>7</v>
      </c>
      <c r="H256">
        <v>3</v>
      </c>
      <c r="I256">
        <v>63610</v>
      </c>
      <c r="J256" t="str">
        <f>VLOOKUP(H256,DC_Xref!A:B,2,FALSE)</f>
        <v>WFC</v>
      </c>
      <c r="K256">
        <f t="shared" si="3"/>
        <v>201944</v>
      </c>
      <c r="L256">
        <f>IFERROR(Table1[[#This Row],[Demand]]/SUMIFS(Table1[Demand],Table1[Fiscal_Year],Table1[[#This Row],[Fiscal_Year]],Table1[BRAND],Table1[[#This Row],[BRAND]],Table1[DC_name_Xref],Table1[[#This Row],[DC_name_Xref]]),0)</f>
        <v>0.2866619498059928</v>
      </c>
      <c r="M2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2.3820046307065718E-2</v>
      </c>
      <c r="N256" s="3">
        <f>IFERROR(INDEX(Table3[#All],MATCH(Table1[[#This Row],[Key_Year_Week_Brand]],Table3[[#All],[Key_Year_Week_Brand]],0),MATCH(Table1[[#This Row],[DC_name_Xref]],Table3[#Headers],0)),0)</f>
        <v>0.15</v>
      </c>
      <c r="O256">
        <f>IFERROR(INDEX(Table35[#All],MATCH(Table1[[#This Row],[Key_Year_Week_Brand]],Table35[[#All],[Key_Year_Month_Brand]],0),MATCH(Table1[[#This Row],[DC_name_Xref]],Table35[#Headers],0)),0)</f>
        <v>390270.45</v>
      </c>
    </row>
    <row r="257" spans="1:15" x14ac:dyDescent="0.3">
      <c r="A257" s="19" t="str">
        <f>Table1[[#This Row],[Year_Week]]&amp;"-"&amp;Table1[[#This Row],[DC_name_Xref]]</f>
        <v>201944-EAO</v>
      </c>
      <c r="B257" s="19" t="str">
        <f>Table1[[#This Row],[Fiscal_Year]]*100+Table1[[#This Row],[Fiscal_Week]] &amp; "-" &amp;Table1[[#This Row],[BRAND]]</f>
        <v>201944-Gap</v>
      </c>
      <c r="C257" t="str">
        <f>Table1[[#This Row],[Fiscal_Year]]&amp;"-"&amp;Table1[[#This Row],[BRAND]]</f>
        <v>2019-Gap</v>
      </c>
      <c r="D257">
        <v>2019</v>
      </c>
      <c r="E257">
        <v>44</v>
      </c>
      <c r="F257" t="s">
        <v>16</v>
      </c>
      <c r="G257" t="s">
        <v>8</v>
      </c>
      <c r="H257">
        <v>4</v>
      </c>
      <c r="I257">
        <v>300</v>
      </c>
      <c r="J257" t="str">
        <f>VLOOKUP(H257,DC_Xref!A:B,2,FALSE)</f>
        <v>EAO</v>
      </c>
      <c r="K257">
        <f t="shared" si="3"/>
        <v>201944</v>
      </c>
      <c r="L257">
        <f>IFERROR(Table1[[#This Row],[Demand]]/SUMIFS(Table1[Demand],Table1[Fiscal_Year],Table1[[#This Row],[Fiscal_Year]],Table1[BRAND],Table1[[#This Row],[BRAND]],Table1[DC_name_Xref],Table1[[#This Row],[DC_name_Xref]]),0)</f>
        <v>0.26833631484794274</v>
      </c>
      <c r="M2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1.2001321218797504E-4</v>
      </c>
      <c r="N257" s="3">
        <f>IFERROR(INDEX(Table3[#All],MATCH(Table1[[#This Row],[Key_Year_Week_Brand]],Table3[[#All],[Key_Year_Week_Brand]],0),MATCH(Table1[[#This Row],[DC_name_Xref]],Table3[#Headers],0)),0)</f>
        <v>0</v>
      </c>
      <c r="O257">
        <f>IFERROR(INDEX(Table35[#All],MATCH(Table1[[#This Row],[Key_Year_Week_Brand]],Table35[[#All],[Key_Year_Month_Brand]],0),MATCH(Table1[[#This Row],[DC_name_Xref]],Table35[#Headers],0)),0)</f>
        <v>0</v>
      </c>
    </row>
    <row r="258" spans="1:15" x14ac:dyDescent="0.3">
      <c r="A258" s="19" t="str">
        <f>Table1[[#This Row],[Year_Week]]&amp;"-"&amp;Table1[[#This Row],[DC_name_Xref]]</f>
        <v>201944-FFC-ODC</v>
      </c>
      <c r="B258" s="19" t="str">
        <f>Table1[[#This Row],[Fiscal_Year]]*100+Table1[[#This Row],[Fiscal_Week]] &amp; "-" &amp;Table1[[#This Row],[BRAND]]</f>
        <v>201944-Gap</v>
      </c>
      <c r="C258" t="str">
        <f>Table1[[#This Row],[Fiscal_Year]]&amp;"-"&amp;Table1[[#This Row],[BRAND]]</f>
        <v>2019-Gap</v>
      </c>
      <c r="D258">
        <v>2019</v>
      </c>
      <c r="E258">
        <v>44</v>
      </c>
      <c r="F258" t="s">
        <v>16</v>
      </c>
      <c r="G258" t="s">
        <v>23</v>
      </c>
      <c r="H258">
        <v>5</v>
      </c>
      <c r="I258">
        <v>0</v>
      </c>
      <c r="J258" t="str">
        <f>VLOOKUP(H258,DC_Xref!A:B,2,FALSE)</f>
        <v>FFC-ODC</v>
      </c>
      <c r="K258">
        <f t="shared" ref="K258:K321" si="4">D258*100+E258</f>
        <v>201944</v>
      </c>
      <c r="L258">
        <f>IFERROR(Table1[[#This Row],[Demand]]/SUMIFS(Table1[Demand],Table1[Fiscal_Year],Table1[[#This Row],[Fiscal_Year]],Table1[BRAND],Table1[[#This Row],[BRAND]],Table1[DC_name_Xref],Table1[[#This Row],[DC_name_Xref]]),0)</f>
        <v>0</v>
      </c>
      <c r="M2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" s="3">
        <f>IFERROR(INDEX(Table3[#All],MATCH(Table1[[#This Row],[Key_Year_Week_Brand]],Table3[[#All],[Key_Year_Week_Brand]],0),MATCH(Table1[[#This Row],[DC_name_Xref]],Table3[#Headers],0)),0)</f>
        <v>0</v>
      </c>
      <c r="O258">
        <f>IFERROR(INDEX(Table35[#All],MATCH(Table1[[#This Row],[Key_Year_Week_Brand]],Table35[[#All],[Key_Year_Month_Brand]],0),MATCH(Table1[[#This Row],[DC_name_Xref]],Table35[#Headers],0)),0)</f>
        <v>0</v>
      </c>
    </row>
    <row r="259" spans="1:15" x14ac:dyDescent="0.3">
      <c r="A259" s="19" t="str">
        <f>Table1[[#This Row],[Year_Week]]&amp;"-"&amp;Table1[[#This Row],[DC_name_Xref]]</f>
        <v>201944-WEO</v>
      </c>
      <c r="B259" s="19" t="str">
        <f>Table1[[#This Row],[Fiscal_Year]]*100+Table1[[#This Row],[Fiscal_Week]] &amp; "-" &amp;Table1[[#This Row],[BRAND]]</f>
        <v>201944-Gap</v>
      </c>
      <c r="C259" t="str">
        <f>Table1[[#This Row],[Fiscal_Year]]&amp;"-"&amp;Table1[[#This Row],[BRAND]]</f>
        <v>2019-Gap</v>
      </c>
      <c r="D259">
        <v>2019</v>
      </c>
      <c r="E259">
        <v>44</v>
      </c>
      <c r="F259" t="s">
        <v>16</v>
      </c>
      <c r="G259" t="s">
        <v>10</v>
      </c>
      <c r="H259">
        <v>6</v>
      </c>
      <c r="I259">
        <v>857848</v>
      </c>
      <c r="J259" t="str">
        <f>VLOOKUP(H259,DC_Xref!A:B,2,FALSE)</f>
        <v>WEO</v>
      </c>
      <c r="K259">
        <f t="shared" si="4"/>
        <v>201944</v>
      </c>
      <c r="L259">
        <f>IFERROR(Table1[[#This Row],[Demand]]/SUMIFS(Table1[Demand],Table1[Fiscal_Year],Table1[[#This Row],[Fiscal_Year]],Table1[BRAND],Table1[[#This Row],[BRAND]],Table1[DC_name_Xref],Table1[[#This Row],[DC_name_Xref]]),0)</f>
        <v>0.3000187107751332</v>
      </c>
      <c r="M2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0.30693701056105532</v>
      </c>
      <c r="N259" s="3">
        <f>IFERROR(INDEX(Table3[#All],MATCH(Table1[[#This Row],[Key_Year_Week_Brand]],Table3[[#All],[Key_Year_Week_Brand]],0),MATCH(Table1[[#This Row],[DC_name_Xref]],Table3[#Headers],0)),0)</f>
        <v>0.4</v>
      </c>
      <c r="O259">
        <f>IFERROR(INDEX(Table35[#All],MATCH(Table1[[#This Row],[Key_Year_Week_Brand]],Table35[[#All],[Key_Year_Month_Brand]],0),MATCH(Table1[[#This Row],[DC_name_Xref]],Table35[#Headers],0)),0)</f>
        <v>1040721.2000000001</v>
      </c>
    </row>
    <row r="260" spans="1:15" x14ac:dyDescent="0.3">
      <c r="A260" s="19" t="str">
        <f>Table1[[#This Row],[Year_Week]]&amp;"-"&amp;Table1[[#This Row],[DC_name_Xref]]</f>
        <v>201944-OCC</v>
      </c>
      <c r="B260" s="19" t="str">
        <f>Table1[[#This Row],[Fiscal_Year]]*100+Table1[[#This Row],[Fiscal_Week]] &amp; "-" &amp;Table1[[#This Row],[BRAND]]</f>
        <v>201944-Gap</v>
      </c>
      <c r="C260" t="str">
        <f>Table1[[#This Row],[Fiscal_Year]]&amp;"-"&amp;Table1[[#This Row],[BRAND]]</f>
        <v>2019-Gap</v>
      </c>
      <c r="D260">
        <v>2019</v>
      </c>
      <c r="E260">
        <v>44</v>
      </c>
      <c r="F260" t="s">
        <v>16</v>
      </c>
      <c r="G260" t="s">
        <v>11</v>
      </c>
      <c r="H260">
        <v>7</v>
      </c>
      <c r="I260">
        <v>0</v>
      </c>
      <c r="J260" t="str">
        <f>VLOOKUP(H260,DC_Xref!A:B,2,FALSE)</f>
        <v>OCC</v>
      </c>
      <c r="K260">
        <f t="shared" si="4"/>
        <v>201944</v>
      </c>
      <c r="L260">
        <f>IFERROR(Table1[[#This Row],[Demand]]/SUMIFS(Table1[Demand],Table1[Fiscal_Year],Table1[[#This Row],[Fiscal_Year]],Table1[BRAND],Table1[[#This Row],[BRAND]],Table1[DC_name_Xref],Table1[[#This Row],[DC_name_Xref]]),0)</f>
        <v>0</v>
      </c>
      <c r="M2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0" s="3">
        <f>IFERROR(INDEX(Table3[#All],MATCH(Table1[[#This Row],[Key_Year_Week_Brand]],Table3[[#All],[Key_Year_Week_Brand]],0),MATCH(Table1[[#This Row],[DC_name_Xref]],Table3[#Headers],0)),0)</f>
        <v>0</v>
      </c>
      <c r="O260">
        <f>IFERROR(INDEX(Table35[#All],MATCH(Table1[[#This Row],[Key_Year_Week_Brand]],Table35[[#All],[Key_Year_Month_Brand]],0),MATCH(Table1[[#This Row],[DC_name_Xref]],Table35[#Headers],0)),0)</f>
        <v>0</v>
      </c>
    </row>
    <row r="261" spans="1:15" x14ac:dyDescent="0.3">
      <c r="A261" s="19" t="str">
        <f>Table1[[#This Row],[Year_Week]]&amp;"-"&amp;Table1[[#This Row],[DC_name_Xref]]</f>
        <v>201944-OFC</v>
      </c>
      <c r="B261" s="19" t="str">
        <f>Table1[[#This Row],[Fiscal_Year]]*100+Table1[[#This Row],[Fiscal_Week]] &amp; "-" &amp;Table1[[#This Row],[BRAND]]</f>
        <v>201944-Gap Factory Store</v>
      </c>
      <c r="C261" t="str">
        <f>Table1[[#This Row],[Fiscal_Year]]&amp;"-"&amp;Table1[[#This Row],[BRAND]]</f>
        <v>2019-Gap Factory Store</v>
      </c>
      <c r="D261">
        <v>2019</v>
      </c>
      <c r="E261">
        <v>44</v>
      </c>
      <c r="F261" t="s">
        <v>22</v>
      </c>
      <c r="G261" t="s">
        <v>5</v>
      </c>
      <c r="H261">
        <v>1</v>
      </c>
      <c r="I261">
        <v>711103</v>
      </c>
      <c r="J261" t="str">
        <f>VLOOKUP(H261,DC_Xref!A:B,2,FALSE)</f>
        <v>OFC</v>
      </c>
      <c r="K261">
        <f t="shared" si="4"/>
        <v>201944</v>
      </c>
      <c r="L261">
        <f>IFERROR(Table1[[#This Row],[Demand]]/SUMIFS(Table1[Demand],Table1[Fiscal_Year],Table1[[#This Row],[Fiscal_Year]],Table1[BRAND],Table1[[#This Row],[BRAND]],Table1[DC_name_Xref],Table1[[#This Row],[DC_name_Xref]]),0)</f>
        <v>0.31101453027863041</v>
      </c>
      <c r="M2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261" s="3">
        <f>IFERROR(INDEX(Table3[#All],MATCH(Table1[[#This Row],[Key_Year_Week_Brand]],Table3[[#All],[Key_Year_Week_Brand]],0),MATCH(Table1[[#This Row],[DC_name_Xref]],Table3[#Headers],0)),0)</f>
        <v>1</v>
      </c>
      <c r="O261">
        <f>IFERROR(INDEX(Table35[#All],MATCH(Table1[[#This Row],[Key_Year_Week_Brand]],Table35[[#All],[Key_Year_Month_Brand]],0),MATCH(Table1[[#This Row],[DC_name_Xref]],Table35[#Headers],0)),0)</f>
        <v>711103</v>
      </c>
    </row>
    <row r="262" spans="1:15" x14ac:dyDescent="0.3">
      <c r="A262" s="19" t="str">
        <f>Table1[[#This Row],[Year_Week]]&amp;"-"&amp;Table1[[#This Row],[DC_name_Xref]]</f>
        <v>201944-TFC</v>
      </c>
      <c r="B262" s="19" t="str">
        <f>Table1[[#This Row],[Fiscal_Year]]*100+Table1[[#This Row],[Fiscal_Week]] &amp; "-" &amp;Table1[[#This Row],[BRAND]]</f>
        <v>201944-Gap Factory Store</v>
      </c>
      <c r="C262" t="str">
        <f>Table1[[#This Row],[Fiscal_Year]]&amp;"-"&amp;Table1[[#This Row],[BRAND]]</f>
        <v>2019-Gap Factory Store</v>
      </c>
      <c r="D262">
        <v>2019</v>
      </c>
      <c r="E262">
        <v>44</v>
      </c>
      <c r="F262" t="s">
        <v>22</v>
      </c>
      <c r="G262" t="s">
        <v>21</v>
      </c>
      <c r="H262">
        <v>2</v>
      </c>
      <c r="I262">
        <v>0</v>
      </c>
      <c r="J262" t="str">
        <f>VLOOKUP(H262,DC_Xref!A:B,2,FALSE)</f>
        <v>TFC</v>
      </c>
      <c r="K262">
        <f t="shared" si="4"/>
        <v>201944</v>
      </c>
      <c r="L262">
        <f>IFERROR(Table1[[#This Row],[Demand]]/SUMIFS(Table1[Demand],Table1[Fiscal_Year],Table1[[#This Row],[Fiscal_Year]],Table1[BRAND],Table1[[#This Row],[BRAND]],Table1[DC_name_Xref],Table1[[#This Row],[DC_name_Xref]]),0)</f>
        <v>0</v>
      </c>
      <c r="M2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2" s="3">
        <f>IFERROR(INDEX(Table3[#All],MATCH(Table1[[#This Row],[Key_Year_Week_Brand]],Table3[[#All],[Key_Year_Week_Brand]],0),MATCH(Table1[[#This Row],[DC_name_Xref]],Table3[#Headers],0)),0)</f>
        <v>0</v>
      </c>
      <c r="O262">
        <f>IFERROR(INDEX(Table35[#All],MATCH(Table1[[#This Row],[Key_Year_Week_Brand]],Table35[[#All],[Key_Year_Month_Brand]],0),MATCH(Table1[[#This Row],[DC_name_Xref]],Table35[#Headers],0)),0)</f>
        <v>0</v>
      </c>
    </row>
    <row r="263" spans="1:15" x14ac:dyDescent="0.3">
      <c r="A263" s="19" t="str">
        <f>Table1[[#This Row],[Year_Week]]&amp;"-"&amp;Table1[[#This Row],[DC_name_Xref]]</f>
        <v>201944-WFC</v>
      </c>
      <c r="B263" s="19" t="str">
        <f>Table1[[#This Row],[Fiscal_Year]]*100+Table1[[#This Row],[Fiscal_Week]] &amp; "-" &amp;Table1[[#This Row],[BRAND]]</f>
        <v>201944-Gap Factory Store</v>
      </c>
      <c r="C263" t="str">
        <f>Table1[[#This Row],[Fiscal_Year]]&amp;"-"&amp;Table1[[#This Row],[BRAND]]</f>
        <v>2019-Gap Factory Store</v>
      </c>
      <c r="D263">
        <v>2019</v>
      </c>
      <c r="E263">
        <v>44</v>
      </c>
      <c r="F263" t="s">
        <v>22</v>
      </c>
      <c r="G263" t="s">
        <v>7</v>
      </c>
      <c r="H263">
        <v>3</v>
      </c>
      <c r="I263">
        <v>0</v>
      </c>
      <c r="J263" t="str">
        <f>VLOOKUP(H263,DC_Xref!A:B,2,FALSE)</f>
        <v>WFC</v>
      </c>
      <c r="K263">
        <f t="shared" si="4"/>
        <v>201944</v>
      </c>
      <c r="L263">
        <f>IFERROR(Table1[[#This Row],[Demand]]/SUMIFS(Table1[Demand],Table1[Fiscal_Year],Table1[[#This Row],[Fiscal_Year]],Table1[BRAND],Table1[[#This Row],[BRAND]],Table1[DC_name_Xref],Table1[[#This Row],[DC_name_Xref]]),0)</f>
        <v>0</v>
      </c>
      <c r="M2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3" s="3">
        <f>IFERROR(INDEX(Table3[#All],MATCH(Table1[[#This Row],[Key_Year_Week_Brand]],Table3[[#All],[Key_Year_Week_Brand]],0),MATCH(Table1[[#This Row],[DC_name_Xref]],Table3[#Headers],0)),0)</f>
        <v>0</v>
      </c>
      <c r="O263">
        <f>IFERROR(INDEX(Table35[#All],MATCH(Table1[[#This Row],[Key_Year_Week_Brand]],Table35[[#All],[Key_Year_Month_Brand]],0),MATCH(Table1[[#This Row],[DC_name_Xref]],Table35[#Headers],0)),0)</f>
        <v>0</v>
      </c>
    </row>
    <row r="264" spans="1:15" x14ac:dyDescent="0.3">
      <c r="A264" s="19" t="str">
        <f>Table1[[#This Row],[Year_Week]]&amp;"-"&amp;Table1[[#This Row],[DC_name_Xref]]</f>
        <v>201944-EAO</v>
      </c>
      <c r="B264" s="19" t="str">
        <f>Table1[[#This Row],[Fiscal_Year]]*100+Table1[[#This Row],[Fiscal_Week]] &amp; "-" &amp;Table1[[#This Row],[BRAND]]</f>
        <v>201944-Gap Factory Store</v>
      </c>
      <c r="C264" t="str">
        <f>Table1[[#This Row],[Fiscal_Year]]&amp;"-"&amp;Table1[[#This Row],[BRAND]]</f>
        <v>2019-Gap Factory Store</v>
      </c>
      <c r="D264">
        <v>2019</v>
      </c>
      <c r="E264">
        <v>44</v>
      </c>
      <c r="F264" t="s">
        <v>22</v>
      </c>
      <c r="G264" t="s">
        <v>8</v>
      </c>
      <c r="H264">
        <v>4</v>
      </c>
      <c r="I264">
        <v>0</v>
      </c>
      <c r="J264" t="str">
        <f>VLOOKUP(H264,DC_Xref!A:B,2,FALSE)</f>
        <v>EAO</v>
      </c>
      <c r="K264">
        <f t="shared" si="4"/>
        <v>201944</v>
      </c>
      <c r="L264">
        <f>IFERROR(Table1[[#This Row],[Demand]]/SUMIFS(Table1[Demand],Table1[Fiscal_Year],Table1[[#This Row],[Fiscal_Year]],Table1[BRAND],Table1[[#This Row],[BRAND]],Table1[DC_name_Xref],Table1[[#This Row],[DC_name_Xref]]),0)</f>
        <v>0</v>
      </c>
      <c r="M2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4" s="3">
        <f>IFERROR(INDEX(Table3[#All],MATCH(Table1[[#This Row],[Key_Year_Week_Brand]],Table3[[#All],[Key_Year_Week_Brand]],0),MATCH(Table1[[#This Row],[DC_name_Xref]],Table3[#Headers],0)),0)</f>
        <v>0</v>
      </c>
      <c r="O264">
        <f>IFERROR(INDEX(Table35[#All],MATCH(Table1[[#This Row],[Key_Year_Week_Brand]],Table35[[#All],[Key_Year_Month_Brand]],0),MATCH(Table1[[#This Row],[DC_name_Xref]],Table35[#Headers],0)),0)</f>
        <v>0</v>
      </c>
    </row>
    <row r="265" spans="1:15" x14ac:dyDescent="0.3">
      <c r="A265" s="19" t="str">
        <f>Table1[[#This Row],[Year_Week]]&amp;"-"&amp;Table1[[#This Row],[DC_name_Xref]]</f>
        <v>201944-FFC-ODC</v>
      </c>
      <c r="B265" s="19" t="str">
        <f>Table1[[#This Row],[Fiscal_Year]]*100+Table1[[#This Row],[Fiscal_Week]] &amp; "-" &amp;Table1[[#This Row],[BRAND]]</f>
        <v>201944-Gap Factory Store</v>
      </c>
      <c r="C265" t="str">
        <f>Table1[[#This Row],[Fiscal_Year]]&amp;"-"&amp;Table1[[#This Row],[BRAND]]</f>
        <v>2019-Gap Factory Store</v>
      </c>
      <c r="D265">
        <v>2019</v>
      </c>
      <c r="E265">
        <v>44</v>
      </c>
      <c r="F265" t="s">
        <v>22</v>
      </c>
      <c r="G265" t="s">
        <v>23</v>
      </c>
      <c r="H265">
        <v>5</v>
      </c>
      <c r="I265">
        <v>0</v>
      </c>
      <c r="J265" t="str">
        <f>VLOOKUP(H265,DC_Xref!A:B,2,FALSE)</f>
        <v>FFC-ODC</v>
      </c>
      <c r="K265">
        <f t="shared" si="4"/>
        <v>201944</v>
      </c>
      <c r="L265">
        <f>IFERROR(Table1[[#This Row],[Demand]]/SUMIFS(Table1[Demand],Table1[Fiscal_Year],Table1[[#This Row],[Fiscal_Year]],Table1[BRAND],Table1[[#This Row],[BRAND]],Table1[DC_name_Xref],Table1[[#This Row],[DC_name_Xref]]),0)</f>
        <v>0</v>
      </c>
      <c r="M2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5" s="3">
        <f>IFERROR(INDEX(Table3[#All],MATCH(Table1[[#This Row],[Key_Year_Week_Brand]],Table3[[#All],[Key_Year_Week_Brand]],0),MATCH(Table1[[#This Row],[DC_name_Xref]],Table3[#Headers],0)),0)</f>
        <v>0</v>
      </c>
      <c r="O265">
        <f>IFERROR(INDEX(Table35[#All],MATCH(Table1[[#This Row],[Key_Year_Week_Brand]],Table35[[#All],[Key_Year_Month_Brand]],0),MATCH(Table1[[#This Row],[DC_name_Xref]],Table35[#Headers],0)),0)</f>
        <v>0</v>
      </c>
    </row>
    <row r="266" spans="1:15" x14ac:dyDescent="0.3">
      <c r="A266" s="19" t="str">
        <f>Table1[[#This Row],[Year_Week]]&amp;"-"&amp;Table1[[#This Row],[DC_name_Xref]]</f>
        <v>201944-WEO</v>
      </c>
      <c r="B266" s="19" t="str">
        <f>Table1[[#This Row],[Fiscal_Year]]*100+Table1[[#This Row],[Fiscal_Week]] &amp; "-" &amp;Table1[[#This Row],[BRAND]]</f>
        <v>201944-Gap Factory Store</v>
      </c>
      <c r="C266" t="str">
        <f>Table1[[#This Row],[Fiscal_Year]]&amp;"-"&amp;Table1[[#This Row],[BRAND]]</f>
        <v>2019-Gap Factory Store</v>
      </c>
      <c r="D266">
        <v>2019</v>
      </c>
      <c r="E266">
        <v>44</v>
      </c>
      <c r="F266" t="s">
        <v>22</v>
      </c>
      <c r="G266" t="s">
        <v>10</v>
      </c>
      <c r="H266">
        <v>6</v>
      </c>
      <c r="I266">
        <v>0</v>
      </c>
      <c r="J266" t="str">
        <f>VLOOKUP(H266,DC_Xref!A:B,2,FALSE)</f>
        <v>WEO</v>
      </c>
      <c r="K266">
        <f t="shared" si="4"/>
        <v>201944</v>
      </c>
      <c r="L266">
        <f>IFERROR(Table1[[#This Row],[Demand]]/SUMIFS(Table1[Demand],Table1[Fiscal_Year],Table1[[#This Row],[Fiscal_Year]],Table1[BRAND],Table1[[#This Row],[BRAND]],Table1[DC_name_Xref],Table1[[#This Row],[DC_name_Xref]]),0)</f>
        <v>0</v>
      </c>
      <c r="M2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6" s="3">
        <f>IFERROR(INDEX(Table3[#All],MATCH(Table1[[#This Row],[Key_Year_Week_Brand]],Table3[[#All],[Key_Year_Week_Brand]],0),MATCH(Table1[[#This Row],[DC_name_Xref]],Table3[#Headers],0)),0)</f>
        <v>0</v>
      </c>
      <c r="O266">
        <f>IFERROR(INDEX(Table35[#All],MATCH(Table1[[#This Row],[Key_Year_Week_Brand]],Table35[[#All],[Key_Year_Month_Brand]],0),MATCH(Table1[[#This Row],[DC_name_Xref]],Table35[#Headers],0)),0)</f>
        <v>0</v>
      </c>
    </row>
    <row r="267" spans="1:15" x14ac:dyDescent="0.3">
      <c r="A267" s="19" t="str">
        <f>Table1[[#This Row],[Year_Week]]&amp;"-"&amp;Table1[[#This Row],[DC_name_Xref]]</f>
        <v>201944-OCC</v>
      </c>
      <c r="B267" s="19" t="str">
        <f>Table1[[#This Row],[Fiscal_Year]]*100+Table1[[#This Row],[Fiscal_Week]] &amp; "-" &amp;Table1[[#This Row],[BRAND]]</f>
        <v>201944-Gap Factory Store</v>
      </c>
      <c r="C267" t="str">
        <f>Table1[[#This Row],[Fiscal_Year]]&amp;"-"&amp;Table1[[#This Row],[BRAND]]</f>
        <v>2019-Gap Factory Store</v>
      </c>
      <c r="D267">
        <v>2019</v>
      </c>
      <c r="E267">
        <v>44</v>
      </c>
      <c r="F267" t="s">
        <v>22</v>
      </c>
      <c r="G267" t="s">
        <v>11</v>
      </c>
      <c r="H267">
        <v>7</v>
      </c>
      <c r="I267">
        <v>0</v>
      </c>
      <c r="J267" t="str">
        <f>VLOOKUP(H267,DC_Xref!A:B,2,FALSE)</f>
        <v>OCC</v>
      </c>
      <c r="K267">
        <f t="shared" si="4"/>
        <v>201944</v>
      </c>
      <c r="L267">
        <f>IFERROR(Table1[[#This Row],[Demand]]/SUMIFS(Table1[Demand],Table1[Fiscal_Year],Table1[[#This Row],[Fiscal_Year]],Table1[BRAND],Table1[[#This Row],[BRAND]],Table1[DC_name_Xref],Table1[[#This Row],[DC_name_Xref]]),0)</f>
        <v>0</v>
      </c>
      <c r="M2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67" s="3">
        <f>IFERROR(INDEX(Table3[#All],MATCH(Table1[[#This Row],[Key_Year_Week_Brand]],Table3[[#All],[Key_Year_Week_Brand]],0),MATCH(Table1[[#This Row],[DC_name_Xref]],Table3[#Headers],0)),0)</f>
        <v>0</v>
      </c>
      <c r="O267">
        <f>IFERROR(INDEX(Table35[#All],MATCH(Table1[[#This Row],[Key_Year_Week_Brand]],Table35[[#All],[Key_Year_Month_Brand]],0),MATCH(Table1[[#This Row],[DC_name_Xref]],Table35[#Headers],0)),0)</f>
        <v>0</v>
      </c>
    </row>
    <row r="268" spans="1:15" x14ac:dyDescent="0.3">
      <c r="A268" s="19" t="str">
        <f>Table1[[#This Row],[Year_Week]]&amp;"-"&amp;Table1[[#This Row],[DC_name_Xref]]</f>
        <v>201944-OFC</v>
      </c>
      <c r="B268" s="19" t="str">
        <f>Table1[[#This Row],[Fiscal_Year]]*100+Table1[[#This Row],[Fiscal_Week]] &amp; "-" &amp;Table1[[#This Row],[BRAND]]</f>
        <v>201944-Banana Republic</v>
      </c>
      <c r="C268" t="str">
        <f>Table1[[#This Row],[Fiscal_Year]]&amp;"-"&amp;Table1[[#This Row],[BRAND]]</f>
        <v>2019-Banana Republic</v>
      </c>
      <c r="D268">
        <v>2019</v>
      </c>
      <c r="E268">
        <v>44</v>
      </c>
      <c r="F268" t="s">
        <v>18</v>
      </c>
      <c r="G268" t="s">
        <v>5</v>
      </c>
      <c r="H268">
        <v>1</v>
      </c>
      <c r="I268">
        <v>6757</v>
      </c>
      <c r="J268" t="str">
        <f>VLOOKUP(H268,DC_Xref!A:B,2,FALSE)</f>
        <v>OFC</v>
      </c>
      <c r="K268">
        <f t="shared" si="4"/>
        <v>201944</v>
      </c>
      <c r="L268">
        <f>IFERROR(Table1[[#This Row],[Demand]]/SUMIFS(Table1[Demand],Table1[Fiscal_Year],Table1[[#This Row],[Fiscal_Year]],Table1[BRAND],Table1[[#This Row],[BRAND]],Table1[DC_name_Xref],Table1[[#This Row],[DC_name_Xref]]),0)</f>
        <v>0.19073561790775137</v>
      </c>
      <c r="M2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2.1329374038925836E-2</v>
      </c>
      <c r="N268" s="3">
        <f>IFERROR(INDEX(Table3[#All],MATCH(Table1[[#This Row],[Key_Year_Week_Brand]],Table3[[#All],[Key_Year_Week_Brand]],0),MATCH(Table1[[#This Row],[DC_name_Xref]],Table3[#Headers],0)),0)</f>
        <v>0</v>
      </c>
      <c r="O268">
        <f>IFERROR(INDEX(Table35[#All],MATCH(Table1[[#This Row],[Key_Year_Week_Brand]],Table35[[#All],[Key_Year_Month_Brand]],0),MATCH(Table1[[#This Row],[DC_name_Xref]],Table35[#Headers],0)),0)</f>
        <v>0</v>
      </c>
    </row>
    <row r="269" spans="1:15" x14ac:dyDescent="0.3">
      <c r="A269" s="19" t="str">
        <f>Table1[[#This Row],[Year_Week]]&amp;"-"&amp;Table1[[#This Row],[DC_name_Xref]]</f>
        <v>201944-TFC</v>
      </c>
      <c r="B269" s="19" t="str">
        <f>Table1[[#This Row],[Fiscal_Year]]*100+Table1[[#This Row],[Fiscal_Week]] &amp; "-" &amp;Table1[[#This Row],[BRAND]]</f>
        <v>201944-Banana Republic</v>
      </c>
      <c r="C269" t="str">
        <f>Table1[[#This Row],[Fiscal_Year]]&amp;"-"&amp;Table1[[#This Row],[BRAND]]</f>
        <v>2019-Banana Republic</v>
      </c>
      <c r="D269">
        <v>2019</v>
      </c>
      <c r="E269">
        <v>44</v>
      </c>
      <c r="F269" t="s">
        <v>18</v>
      </c>
      <c r="G269" t="s">
        <v>21</v>
      </c>
      <c r="H269">
        <v>2</v>
      </c>
      <c r="I269">
        <v>444299</v>
      </c>
      <c r="J269" t="str">
        <f>VLOOKUP(H269,DC_Xref!A:B,2,FALSE)</f>
        <v>TFC</v>
      </c>
      <c r="K269">
        <f t="shared" si="4"/>
        <v>201944</v>
      </c>
      <c r="L269">
        <f>IFERROR(Table1[[#This Row],[Demand]]/SUMIFS(Table1[Demand],Table1[Fiscal_Year],Table1[[#This Row],[Fiscal_Year]],Table1[BRAND],Table1[[#This Row],[BRAND]],Table1[DC_name_Xref],Table1[[#This Row],[DC_name_Xref]]),0)</f>
        <v>0.27334731552398456</v>
      </c>
      <c r="M2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0.97862546977485732</v>
      </c>
      <c r="N269" s="3">
        <f>IFERROR(INDEX(Table3[#All],MATCH(Table1[[#This Row],[Key_Year_Week_Brand]],Table3[[#All],[Key_Year_Week_Brand]],0),MATCH(Table1[[#This Row],[DC_name_Xref]],Table3[#Headers],0)),0)</f>
        <v>1</v>
      </c>
      <c r="O269">
        <f>IFERROR(INDEX(Table35[#All],MATCH(Table1[[#This Row],[Key_Year_Week_Brand]],Table35[[#All],[Key_Year_Month_Brand]],0),MATCH(Table1[[#This Row],[DC_name_Xref]],Table35[#Headers],0)),0)</f>
        <v>451105</v>
      </c>
    </row>
    <row r="270" spans="1:15" x14ac:dyDescent="0.3">
      <c r="A270" s="19" t="str">
        <f>Table1[[#This Row],[Year_Week]]&amp;"-"&amp;Table1[[#This Row],[DC_name_Xref]]</f>
        <v>201944-WFC</v>
      </c>
      <c r="B270" s="19" t="str">
        <f>Table1[[#This Row],[Fiscal_Year]]*100+Table1[[#This Row],[Fiscal_Week]] &amp; "-" &amp;Table1[[#This Row],[BRAND]]</f>
        <v>201944-Banana Republic</v>
      </c>
      <c r="C270" t="str">
        <f>Table1[[#This Row],[Fiscal_Year]]&amp;"-"&amp;Table1[[#This Row],[BRAND]]</f>
        <v>2019-Banana Republic</v>
      </c>
      <c r="D270">
        <v>2019</v>
      </c>
      <c r="E270">
        <v>44</v>
      </c>
      <c r="F270" t="s">
        <v>18</v>
      </c>
      <c r="G270" t="s">
        <v>7</v>
      </c>
      <c r="H270">
        <v>3</v>
      </c>
      <c r="I270">
        <v>0</v>
      </c>
      <c r="J270" t="str">
        <f>VLOOKUP(H270,DC_Xref!A:B,2,FALSE)</f>
        <v>WFC</v>
      </c>
      <c r="K270">
        <f t="shared" si="4"/>
        <v>201944</v>
      </c>
      <c r="L270">
        <f>IFERROR(Table1[[#This Row],[Demand]]/SUMIFS(Table1[Demand],Table1[Fiscal_Year],Table1[[#This Row],[Fiscal_Year]],Table1[BRAND],Table1[[#This Row],[BRAND]],Table1[DC_name_Xref],Table1[[#This Row],[DC_name_Xref]]),0)</f>
        <v>0</v>
      </c>
      <c r="M2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3.0104124144591312E-6</v>
      </c>
      <c r="N270" s="3">
        <f>IFERROR(INDEX(Table3[#All],MATCH(Table1[[#This Row],[Key_Year_Week_Brand]],Table3[[#All],[Key_Year_Week_Brand]],0),MATCH(Table1[[#This Row],[DC_name_Xref]],Table3[#Headers],0)),0)</f>
        <v>3.4959629396853166E-6</v>
      </c>
      <c r="O270">
        <f>IFERROR(INDEX(Table35[#All],MATCH(Table1[[#This Row],[Key_Year_Week_Brand]],Table35[[#All],[Key_Year_Month_Brand]],0),MATCH(Table1[[#This Row],[DC_name_Xref]],Table35[#Headers],0)),0)</f>
        <v>1.5770463619067447</v>
      </c>
    </row>
    <row r="271" spans="1:15" x14ac:dyDescent="0.3">
      <c r="A271" s="19" t="str">
        <f>Table1[[#This Row],[Year_Week]]&amp;"-"&amp;Table1[[#This Row],[DC_name_Xref]]</f>
        <v>201944-EAO</v>
      </c>
      <c r="B271" s="19" t="str">
        <f>Table1[[#This Row],[Fiscal_Year]]*100+Table1[[#This Row],[Fiscal_Week]] &amp; "-" &amp;Table1[[#This Row],[BRAND]]</f>
        <v>201944-Banana Republic</v>
      </c>
      <c r="C271" t="str">
        <f>Table1[[#This Row],[Fiscal_Year]]&amp;"-"&amp;Table1[[#This Row],[BRAND]]</f>
        <v>2019-Banana Republic</v>
      </c>
      <c r="D271">
        <v>2019</v>
      </c>
      <c r="E271">
        <v>44</v>
      </c>
      <c r="F271" t="s">
        <v>18</v>
      </c>
      <c r="G271" t="s">
        <v>8</v>
      </c>
      <c r="H271">
        <v>4</v>
      </c>
      <c r="I271">
        <v>49</v>
      </c>
      <c r="J271" t="str">
        <f>VLOOKUP(H271,DC_Xref!A:B,2,FALSE)</f>
        <v>EAO</v>
      </c>
      <c r="K271">
        <f t="shared" si="4"/>
        <v>201944</v>
      </c>
      <c r="L271">
        <f>IFERROR(Table1[[#This Row],[Demand]]/SUMIFS(Table1[Demand],Table1[Fiscal_Year],Table1[[#This Row],[Fiscal_Year]],Table1[BRAND],Table1[[#This Row],[BRAND]],Table1[DC_name_Xref],Table1[[#This Row],[DC_name_Xref]]),0)</f>
        <v>0.7</v>
      </c>
      <c r="M2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4.2145773802427838E-5</v>
      </c>
      <c r="N271" s="3">
        <f>IFERROR(INDEX(Table3[#All],MATCH(Table1[[#This Row],[Key_Year_Week_Brand]],Table3[[#All],[Key_Year_Week_Brand]],0),MATCH(Table1[[#This Row],[DC_name_Xref]],Table3[#Headers],0)),0)</f>
        <v>4.2339995602855504E-5</v>
      </c>
      <c r="O271">
        <f>IFERROR(INDEX(Table35[#All],MATCH(Table1[[#This Row],[Key_Year_Week_Brand]],Table35[[#All],[Key_Year_Month_Brand]],0),MATCH(Table1[[#This Row],[DC_name_Xref]],Table35[#Headers],0)),0)</f>
        <v>19.099783716426131</v>
      </c>
    </row>
    <row r="272" spans="1:15" x14ac:dyDescent="0.3">
      <c r="A272" s="19" t="str">
        <f>Table1[[#This Row],[Year_Week]]&amp;"-"&amp;Table1[[#This Row],[DC_name_Xref]]</f>
        <v>201944-FFC-ODC</v>
      </c>
      <c r="B272" s="19" t="str">
        <f>Table1[[#This Row],[Fiscal_Year]]*100+Table1[[#This Row],[Fiscal_Week]] &amp; "-" &amp;Table1[[#This Row],[BRAND]]</f>
        <v>201944-Banana Republic</v>
      </c>
      <c r="C272" t="str">
        <f>Table1[[#This Row],[Fiscal_Year]]&amp;"-"&amp;Table1[[#This Row],[BRAND]]</f>
        <v>2019-Banana Republic</v>
      </c>
      <c r="D272">
        <v>2019</v>
      </c>
      <c r="E272">
        <v>44</v>
      </c>
      <c r="F272" t="s">
        <v>18</v>
      </c>
      <c r="G272" t="s">
        <v>23</v>
      </c>
      <c r="H272">
        <v>5</v>
      </c>
      <c r="I272">
        <v>0</v>
      </c>
      <c r="J272" t="str">
        <f>VLOOKUP(H272,DC_Xref!A:B,2,FALSE)</f>
        <v>FFC-ODC</v>
      </c>
      <c r="K272">
        <f t="shared" si="4"/>
        <v>201944</v>
      </c>
      <c r="L272">
        <f>IFERROR(Table1[[#This Row],[Demand]]/SUMIFS(Table1[Demand],Table1[Fiscal_Year],Table1[[#This Row],[Fiscal_Year]],Table1[BRAND],Table1[[#This Row],[BRAND]],Table1[DC_name_Xref],Table1[[#This Row],[DC_name_Xref]]),0)</f>
        <v>0</v>
      </c>
      <c r="M2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72" s="3">
        <f>IFERROR(INDEX(Table3[#All],MATCH(Table1[[#This Row],[Key_Year_Week_Brand]],Table3[[#All],[Key_Year_Week_Brand]],0),MATCH(Table1[[#This Row],[DC_name_Xref]],Table3[#Headers],0)),0)</f>
        <v>0</v>
      </c>
      <c r="O272">
        <f>IFERROR(INDEX(Table35[#All],MATCH(Table1[[#This Row],[Key_Year_Week_Brand]],Table35[[#All],[Key_Year_Month_Brand]],0),MATCH(Table1[[#This Row],[DC_name_Xref]],Table35[#Headers],0)),0)</f>
        <v>0</v>
      </c>
    </row>
    <row r="273" spans="1:15" x14ac:dyDescent="0.3">
      <c r="A273" s="19" t="str">
        <f>Table1[[#This Row],[Year_Week]]&amp;"-"&amp;Table1[[#This Row],[DC_name_Xref]]</f>
        <v>201944-WEO</v>
      </c>
      <c r="B273" s="19" t="str">
        <f>Table1[[#This Row],[Fiscal_Year]]*100+Table1[[#This Row],[Fiscal_Week]] &amp; "-" &amp;Table1[[#This Row],[BRAND]]</f>
        <v>201944-Banana Republic</v>
      </c>
      <c r="C273" t="str">
        <f>Table1[[#This Row],[Fiscal_Year]]&amp;"-"&amp;Table1[[#This Row],[BRAND]]</f>
        <v>2019-Banana Republic</v>
      </c>
      <c r="D273">
        <v>2019</v>
      </c>
      <c r="E273">
        <v>44</v>
      </c>
      <c r="F273" t="s">
        <v>18</v>
      </c>
      <c r="G273" t="s">
        <v>10</v>
      </c>
      <c r="H273">
        <v>6</v>
      </c>
      <c r="I273">
        <v>0</v>
      </c>
      <c r="J273" t="str">
        <f>VLOOKUP(H273,DC_Xref!A:B,2,FALSE)</f>
        <v>WEO</v>
      </c>
      <c r="K273">
        <f t="shared" si="4"/>
        <v>201944</v>
      </c>
      <c r="L273">
        <f>IFERROR(Table1[[#This Row],[Demand]]/SUMIFS(Table1[Demand],Table1[Fiscal_Year],Table1[[#This Row],[Fiscal_Year]],Table1[BRAND],Table1[[#This Row],[BRAND]],Table1[DC_name_Xref],Table1[[#This Row],[DC_name_Xref]]),0)</f>
        <v>0</v>
      </c>
      <c r="M2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73" s="3">
        <f>IFERROR(INDEX(Table3[#All],MATCH(Table1[[#This Row],[Key_Year_Week_Brand]],Table3[[#All],[Key_Year_Week_Brand]],0),MATCH(Table1[[#This Row],[DC_name_Xref]],Table3[#Headers],0)),0)</f>
        <v>0</v>
      </c>
      <c r="O273">
        <f>IFERROR(INDEX(Table35[#All],MATCH(Table1[[#This Row],[Key_Year_Week_Brand]],Table35[[#All],[Key_Year_Month_Brand]],0),MATCH(Table1[[#This Row],[DC_name_Xref]],Table35[#Headers],0)),0)</f>
        <v>0</v>
      </c>
    </row>
    <row r="274" spans="1:15" x14ac:dyDescent="0.3">
      <c r="A274" s="19" t="str">
        <f>Table1[[#This Row],[Year_Week]]&amp;"-"&amp;Table1[[#This Row],[DC_name_Xref]]</f>
        <v>201944-OCC</v>
      </c>
      <c r="B274" s="19" t="str">
        <f>Table1[[#This Row],[Fiscal_Year]]*100+Table1[[#This Row],[Fiscal_Week]] &amp; "-" &amp;Table1[[#This Row],[BRAND]]</f>
        <v>201944-Banana Republic</v>
      </c>
      <c r="C274" t="str">
        <f>Table1[[#This Row],[Fiscal_Year]]&amp;"-"&amp;Table1[[#This Row],[BRAND]]</f>
        <v>2019-Banana Republic</v>
      </c>
      <c r="D274">
        <v>2019</v>
      </c>
      <c r="E274">
        <v>44</v>
      </c>
      <c r="F274" t="s">
        <v>18</v>
      </c>
      <c r="G274" t="s">
        <v>11</v>
      </c>
      <c r="H274">
        <v>7</v>
      </c>
      <c r="I274">
        <v>0</v>
      </c>
      <c r="J274" t="str">
        <f>VLOOKUP(H274,DC_Xref!A:B,2,FALSE)</f>
        <v>OCC</v>
      </c>
      <c r="K274">
        <f t="shared" si="4"/>
        <v>201944</v>
      </c>
      <c r="L274">
        <f>IFERROR(Table1[[#This Row],[Demand]]/SUMIFS(Table1[Demand],Table1[Fiscal_Year],Table1[[#This Row],[Fiscal_Year]],Table1[BRAND],Table1[[#This Row],[BRAND]],Table1[DC_name_Xref],Table1[[#This Row],[DC_name_Xref]]),0)</f>
        <v>0</v>
      </c>
      <c r="M2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74" s="3">
        <f>IFERROR(INDEX(Table3[#All],MATCH(Table1[[#This Row],[Key_Year_Week_Brand]],Table3[[#All],[Key_Year_Week_Brand]],0),MATCH(Table1[[#This Row],[DC_name_Xref]],Table3[#Headers],0)),0)</f>
        <v>0</v>
      </c>
      <c r="O274">
        <f>IFERROR(INDEX(Table35[#All],MATCH(Table1[[#This Row],[Key_Year_Week_Brand]],Table35[[#All],[Key_Year_Month_Brand]],0),MATCH(Table1[[#This Row],[DC_name_Xref]],Table35[#Headers],0)),0)</f>
        <v>0</v>
      </c>
    </row>
    <row r="275" spans="1:15" x14ac:dyDescent="0.3">
      <c r="A275" s="19" t="str">
        <f>Table1[[#This Row],[Year_Week]]&amp;"-"&amp;Table1[[#This Row],[DC_name_Xref]]</f>
        <v>201944-OFC</v>
      </c>
      <c r="B275" s="19" t="str">
        <f>Table1[[#This Row],[Fiscal_Year]]*100+Table1[[#This Row],[Fiscal_Week]] &amp; "-" &amp;Table1[[#This Row],[BRAND]]</f>
        <v>201944-Old Navy</v>
      </c>
      <c r="C275" t="str">
        <f>Table1[[#This Row],[Fiscal_Year]]&amp;"-"&amp;Table1[[#This Row],[BRAND]]</f>
        <v>2019-Old Navy</v>
      </c>
      <c r="D275">
        <v>2019</v>
      </c>
      <c r="E275">
        <v>44</v>
      </c>
      <c r="F275" t="s">
        <v>20</v>
      </c>
      <c r="G275" t="s">
        <v>5</v>
      </c>
      <c r="H275">
        <v>1</v>
      </c>
      <c r="I275">
        <v>1744544</v>
      </c>
      <c r="J275" t="str">
        <f>VLOOKUP(H275,DC_Xref!A:B,2,FALSE)</f>
        <v>OFC</v>
      </c>
      <c r="K275">
        <f t="shared" si="4"/>
        <v>201944</v>
      </c>
      <c r="L275">
        <f>IFERROR(Table1[[#This Row],[Demand]]/SUMIFS(Table1[Demand],Table1[Fiscal_Year],Table1[[#This Row],[Fiscal_Year]],Table1[BRAND],Table1[[#This Row],[BRAND]],Table1[DC_name_Xref],Table1[[#This Row],[DC_name_Xref]]),0)</f>
        <v>0.29333693836935343</v>
      </c>
      <c r="M2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0.29585490740735676</v>
      </c>
      <c r="N275" s="3">
        <f>IFERROR(INDEX(Table3[#All],MATCH(Table1[[#This Row],[Key_Year_Week_Brand]],Table3[[#All],[Key_Year_Week_Brand]],0),MATCH(Table1[[#This Row],[DC_name_Xref]],Table3[#Headers],0)),0)</f>
        <v>0.15</v>
      </c>
      <c r="O275">
        <f>IFERROR(INDEX(Table35[#All],MATCH(Table1[[#This Row],[Key_Year_Week_Brand]],Table35[[#All],[Key_Year_Month_Brand]],0),MATCH(Table1[[#This Row],[DC_name_Xref]],Table35[#Headers],0)),0)</f>
        <v>873826.35</v>
      </c>
    </row>
    <row r="276" spans="1:15" x14ac:dyDescent="0.3">
      <c r="A276" s="19" t="str">
        <f>Table1[[#This Row],[Year_Week]]&amp;"-"&amp;Table1[[#This Row],[DC_name_Xref]]</f>
        <v>201944-TFC</v>
      </c>
      <c r="B276" s="19" t="str">
        <f>Table1[[#This Row],[Fiscal_Year]]*100+Table1[[#This Row],[Fiscal_Week]] &amp; "-" &amp;Table1[[#This Row],[BRAND]]</f>
        <v>201944-Old Navy</v>
      </c>
      <c r="C276" t="str">
        <f>Table1[[#This Row],[Fiscal_Year]]&amp;"-"&amp;Table1[[#This Row],[BRAND]]</f>
        <v>2019-Old Navy</v>
      </c>
      <c r="D276">
        <v>2019</v>
      </c>
      <c r="E276">
        <v>44</v>
      </c>
      <c r="F276" t="s">
        <v>20</v>
      </c>
      <c r="G276" t="s">
        <v>21</v>
      </c>
      <c r="H276">
        <v>2</v>
      </c>
      <c r="I276">
        <v>689042</v>
      </c>
      <c r="J276" t="str">
        <f>VLOOKUP(H276,DC_Xref!A:B,2,FALSE)</f>
        <v>TFC</v>
      </c>
      <c r="K276">
        <f t="shared" si="4"/>
        <v>201944</v>
      </c>
      <c r="L276">
        <f>IFERROR(Table1[[#This Row],[Demand]]/SUMIFS(Table1[Demand],Table1[Fiscal_Year],Table1[[#This Row],[Fiscal_Year]],Table1[BRAND],Table1[[#This Row],[BRAND]],Table1[DC_name_Xref],Table1[[#This Row],[DC_name_Xref]]),0)</f>
        <v>0.20154993863193083</v>
      </c>
      <c r="M2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0.17006957612444654</v>
      </c>
      <c r="N276" s="3">
        <f>IFERROR(INDEX(Table3[#All],MATCH(Table1[[#This Row],[Key_Year_Week_Brand]],Table3[[#All],[Key_Year_Week_Brand]],0),MATCH(Table1[[#This Row],[DC_name_Xref]],Table3[#Headers],0)),0)</f>
        <v>0.2</v>
      </c>
      <c r="O276">
        <f>IFERROR(INDEX(Table35[#All],MATCH(Table1[[#This Row],[Key_Year_Week_Brand]],Table35[[#All],[Key_Year_Month_Brand]],0),MATCH(Table1[[#This Row],[DC_name_Xref]],Table35[#Headers],0)),0)</f>
        <v>1165101.8</v>
      </c>
    </row>
    <row r="277" spans="1:15" x14ac:dyDescent="0.3">
      <c r="A277" s="19" t="str">
        <f>Table1[[#This Row],[Year_Week]]&amp;"-"&amp;Table1[[#This Row],[DC_name_Xref]]</f>
        <v>201944-WFC</v>
      </c>
      <c r="B277" s="19" t="str">
        <f>Table1[[#This Row],[Fiscal_Year]]*100+Table1[[#This Row],[Fiscal_Week]] &amp; "-" &amp;Table1[[#This Row],[BRAND]]</f>
        <v>201944-Old Navy</v>
      </c>
      <c r="C277" t="str">
        <f>Table1[[#This Row],[Fiscal_Year]]&amp;"-"&amp;Table1[[#This Row],[BRAND]]</f>
        <v>2019-Old Navy</v>
      </c>
      <c r="D277">
        <v>2019</v>
      </c>
      <c r="E277">
        <v>44</v>
      </c>
      <c r="F277" t="s">
        <v>20</v>
      </c>
      <c r="G277" t="s">
        <v>7</v>
      </c>
      <c r="H277">
        <v>3</v>
      </c>
      <c r="I277">
        <v>1181034</v>
      </c>
      <c r="J277" t="str">
        <f>VLOOKUP(H277,DC_Xref!A:B,2,FALSE)</f>
        <v>WFC</v>
      </c>
      <c r="K277">
        <f t="shared" si="4"/>
        <v>201944</v>
      </c>
      <c r="L277">
        <f>IFERROR(Table1[[#This Row],[Demand]]/SUMIFS(Table1[Demand],Table1[Fiscal_Year],Table1[[#This Row],[Fiscal_Year]],Table1[BRAND],Table1[[#This Row],[BRAND]],Table1[DC_name_Xref],Table1[[#This Row],[DC_name_Xref]]),0)</f>
        <v>0.29131468183728682</v>
      </c>
      <c r="M2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0.20168037128093624</v>
      </c>
      <c r="N277" s="3">
        <f>IFERROR(INDEX(Table3[#All],MATCH(Table1[[#This Row],[Key_Year_Week_Brand]],Table3[[#All],[Key_Year_Week_Brand]],0),MATCH(Table1[[#This Row],[DC_name_Xref]],Table3[#Headers],0)),0)</f>
        <v>0.02</v>
      </c>
      <c r="O277">
        <f>IFERROR(INDEX(Table35[#All],MATCH(Table1[[#This Row],[Key_Year_Week_Brand]],Table35[[#All],[Key_Year_Month_Brand]],0),MATCH(Table1[[#This Row],[DC_name_Xref]],Table35[#Headers],0)),0)</f>
        <v>116510.18000000001</v>
      </c>
    </row>
    <row r="278" spans="1:15" x14ac:dyDescent="0.3">
      <c r="A278" s="19" t="str">
        <f>Table1[[#This Row],[Year_Week]]&amp;"-"&amp;Table1[[#This Row],[DC_name_Xref]]</f>
        <v>201944-EAO</v>
      </c>
      <c r="B278" s="19" t="str">
        <f>Table1[[#This Row],[Fiscal_Year]]*100+Table1[[#This Row],[Fiscal_Week]] &amp; "-" &amp;Table1[[#This Row],[BRAND]]</f>
        <v>201944-Old Navy</v>
      </c>
      <c r="C278" t="str">
        <f>Table1[[#This Row],[Fiscal_Year]]&amp;"-"&amp;Table1[[#This Row],[BRAND]]</f>
        <v>2019-Old Navy</v>
      </c>
      <c r="D278">
        <v>2019</v>
      </c>
      <c r="E278">
        <v>44</v>
      </c>
      <c r="F278" t="s">
        <v>20</v>
      </c>
      <c r="G278" t="s">
        <v>8</v>
      </c>
      <c r="H278">
        <v>4</v>
      </c>
      <c r="I278">
        <v>2210889</v>
      </c>
      <c r="J278" t="str">
        <f>VLOOKUP(H278,DC_Xref!A:B,2,FALSE)</f>
        <v>EAO</v>
      </c>
      <c r="K278">
        <f t="shared" si="4"/>
        <v>201944</v>
      </c>
      <c r="L278">
        <f>IFERROR(Table1[[#This Row],[Demand]]/SUMIFS(Table1[Demand],Table1[Fiscal_Year],Table1[[#This Row],[Fiscal_Year]],Table1[BRAND],Table1[[#This Row],[BRAND]],Table1[DC_name_Xref],Table1[[#This Row],[DC_name_Xref]]),0)</f>
        <v>0.33088407954607191</v>
      </c>
      <c r="M2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0.33239514518726049</v>
      </c>
      <c r="N278" s="3">
        <f>IFERROR(INDEX(Table3[#All],MATCH(Table1[[#This Row],[Key_Year_Week_Brand]],Table3[[#All],[Key_Year_Week_Brand]],0),MATCH(Table1[[#This Row],[DC_name_Xref]],Table3[#Headers],0)),0)</f>
        <v>0.41</v>
      </c>
      <c r="O278">
        <f>IFERROR(INDEX(Table35[#All],MATCH(Table1[[#This Row],[Key_Year_Week_Brand]],Table35[[#All],[Key_Year_Month_Brand]],0),MATCH(Table1[[#This Row],[DC_name_Xref]],Table35[#Headers],0)),0)</f>
        <v>2388458.69</v>
      </c>
    </row>
    <row r="279" spans="1:15" x14ac:dyDescent="0.3">
      <c r="A279" s="19" t="str">
        <f>Table1[[#This Row],[Year_Week]]&amp;"-"&amp;Table1[[#This Row],[DC_name_Xref]]</f>
        <v>201944-FFC-ODC</v>
      </c>
      <c r="B279" s="19" t="str">
        <f>Table1[[#This Row],[Fiscal_Year]]*100+Table1[[#This Row],[Fiscal_Week]] &amp; "-" &amp;Table1[[#This Row],[BRAND]]</f>
        <v>201944-Old Navy</v>
      </c>
      <c r="C279" t="str">
        <f>Table1[[#This Row],[Fiscal_Year]]&amp;"-"&amp;Table1[[#This Row],[BRAND]]</f>
        <v>2019-Old Navy</v>
      </c>
      <c r="D279">
        <v>2019</v>
      </c>
      <c r="E279">
        <v>44</v>
      </c>
      <c r="F279" t="s">
        <v>20</v>
      </c>
      <c r="G279" t="s">
        <v>23</v>
      </c>
      <c r="H279">
        <v>5</v>
      </c>
      <c r="I279">
        <v>0</v>
      </c>
      <c r="J279" t="str">
        <f>VLOOKUP(H279,DC_Xref!A:B,2,FALSE)</f>
        <v>FFC-ODC</v>
      </c>
      <c r="K279">
        <f t="shared" si="4"/>
        <v>201944</v>
      </c>
      <c r="L279">
        <f>IFERROR(Table1[[#This Row],[Demand]]/SUMIFS(Table1[Demand],Table1[Fiscal_Year],Table1[[#This Row],[Fiscal_Year]],Table1[BRAND],Table1[[#This Row],[BRAND]],Table1[DC_name_Xref],Table1[[#This Row],[DC_name_Xref]]),0)</f>
        <v>0</v>
      </c>
      <c r="M2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79" s="3">
        <f>IFERROR(INDEX(Table3[#All],MATCH(Table1[[#This Row],[Key_Year_Week_Brand]],Table3[[#All],[Key_Year_Week_Brand]],0),MATCH(Table1[[#This Row],[DC_name_Xref]],Table3[#Headers],0)),0)</f>
        <v>0</v>
      </c>
      <c r="O279">
        <f>IFERROR(INDEX(Table35[#All],MATCH(Table1[[#This Row],[Key_Year_Week_Brand]],Table35[[#All],[Key_Year_Month_Brand]],0),MATCH(Table1[[#This Row],[DC_name_Xref]],Table35[#Headers],0)),0)</f>
        <v>0</v>
      </c>
    </row>
    <row r="280" spans="1:15" x14ac:dyDescent="0.3">
      <c r="A280" s="19" t="str">
        <f>Table1[[#This Row],[Year_Week]]&amp;"-"&amp;Table1[[#This Row],[DC_name_Xref]]</f>
        <v>201944-WEO</v>
      </c>
      <c r="B280" s="19" t="str">
        <f>Table1[[#This Row],[Fiscal_Year]]*100+Table1[[#This Row],[Fiscal_Week]] &amp; "-" &amp;Table1[[#This Row],[BRAND]]</f>
        <v>201944-Old Navy</v>
      </c>
      <c r="C280" t="str">
        <f>Table1[[#This Row],[Fiscal_Year]]&amp;"-"&amp;Table1[[#This Row],[BRAND]]</f>
        <v>2019-Old Navy</v>
      </c>
      <c r="D280">
        <v>2019</v>
      </c>
      <c r="E280">
        <v>44</v>
      </c>
      <c r="F280" t="s">
        <v>20</v>
      </c>
      <c r="G280" t="s">
        <v>10</v>
      </c>
      <c r="H280">
        <v>6</v>
      </c>
      <c r="I280">
        <v>0</v>
      </c>
      <c r="J280" t="str">
        <f>VLOOKUP(H280,DC_Xref!A:B,2,FALSE)</f>
        <v>WEO</v>
      </c>
      <c r="K280">
        <f t="shared" si="4"/>
        <v>201944</v>
      </c>
      <c r="L280">
        <f>IFERROR(Table1[[#This Row],[Demand]]/SUMIFS(Table1[Demand],Table1[Fiscal_Year],Table1[[#This Row],[Fiscal_Year]],Table1[BRAND],Table1[[#This Row],[BRAND]],Table1[DC_name_Xref],Table1[[#This Row],[DC_name_Xref]]),0)</f>
        <v>0</v>
      </c>
      <c r="M2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0" s="3">
        <f>IFERROR(INDEX(Table3[#All],MATCH(Table1[[#This Row],[Key_Year_Week_Brand]],Table3[[#All],[Key_Year_Week_Brand]],0),MATCH(Table1[[#This Row],[DC_name_Xref]],Table3[#Headers],0)),0)</f>
        <v>0.22</v>
      </c>
      <c r="O280">
        <f>IFERROR(INDEX(Table35[#All],MATCH(Table1[[#This Row],[Key_Year_Week_Brand]],Table35[[#All],[Key_Year_Month_Brand]],0),MATCH(Table1[[#This Row],[DC_name_Xref]],Table35[#Headers],0)),0)</f>
        <v>1281611.98</v>
      </c>
    </row>
    <row r="281" spans="1:15" x14ac:dyDescent="0.3">
      <c r="A281" s="19" t="str">
        <f>Table1[[#This Row],[Year_Week]]&amp;"-"&amp;Table1[[#This Row],[DC_name_Xref]]</f>
        <v>201944-OCC</v>
      </c>
      <c r="B281" s="19" t="str">
        <f>Table1[[#This Row],[Fiscal_Year]]*100+Table1[[#This Row],[Fiscal_Week]] &amp; "-" &amp;Table1[[#This Row],[BRAND]]</f>
        <v>201944-Old Navy</v>
      </c>
      <c r="C281" t="str">
        <f>Table1[[#This Row],[Fiscal_Year]]&amp;"-"&amp;Table1[[#This Row],[BRAND]]</f>
        <v>2019-Old Navy</v>
      </c>
      <c r="D281">
        <v>2019</v>
      </c>
      <c r="E281">
        <v>44</v>
      </c>
      <c r="F281" t="s">
        <v>20</v>
      </c>
      <c r="G281" t="s">
        <v>11</v>
      </c>
      <c r="H281">
        <v>7</v>
      </c>
      <c r="I281">
        <v>0</v>
      </c>
      <c r="J281" t="str">
        <f>VLOOKUP(H281,DC_Xref!A:B,2,FALSE)</f>
        <v>OCC</v>
      </c>
      <c r="K281">
        <f t="shared" si="4"/>
        <v>201944</v>
      </c>
      <c r="L281">
        <f>IFERROR(Table1[[#This Row],[Demand]]/SUMIFS(Table1[Demand],Table1[Fiscal_Year],Table1[[#This Row],[Fiscal_Year]],Table1[BRAND],Table1[[#This Row],[BRAND]],Table1[DC_name_Xref],Table1[[#This Row],[DC_name_Xref]]),0)</f>
        <v>0</v>
      </c>
      <c r="M2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1" s="3">
        <f>IFERROR(INDEX(Table3[#All],MATCH(Table1[[#This Row],[Key_Year_Week_Brand]],Table3[[#All],[Key_Year_Week_Brand]],0),MATCH(Table1[[#This Row],[DC_name_Xref]],Table3[#Headers],0)),0)</f>
        <v>0</v>
      </c>
      <c r="O281">
        <f>IFERROR(INDEX(Table35[#All],MATCH(Table1[[#This Row],[Key_Year_Week_Brand]],Table35[[#All],[Key_Year_Month_Brand]],0),MATCH(Table1[[#This Row],[DC_name_Xref]],Table35[#Headers],0)),0)</f>
        <v>0</v>
      </c>
    </row>
    <row r="282" spans="1:15" x14ac:dyDescent="0.3">
      <c r="A282" s="19" t="str">
        <f>Table1[[#This Row],[Year_Week]]&amp;"-"&amp;Table1[[#This Row],[DC_name_Xref]]</f>
        <v>201944-OFC</v>
      </c>
      <c r="B282" s="19" t="str">
        <f>Table1[[#This Row],[Fiscal_Year]]*100+Table1[[#This Row],[Fiscal_Week]] &amp; "-" &amp;Table1[[#This Row],[BRAND]]</f>
        <v>201944-BR Factory Store</v>
      </c>
      <c r="C282" t="str">
        <f>Table1[[#This Row],[Fiscal_Year]]&amp;"-"&amp;Table1[[#This Row],[BRAND]]</f>
        <v>2019-BR Factory Store</v>
      </c>
      <c r="D282">
        <v>2019</v>
      </c>
      <c r="E282">
        <v>44</v>
      </c>
      <c r="F282" t="s">
        <v>17</v>
      </c>
      <c r="G282" t="s">
        <v>5</v>
      </c>
      <c r="H282">
        <v>1</v>
      </c>
      <c r="I282">
        <v>258161</v>
      </c>
      <c r="J282" t="str">
        <f>VLOOKUP(H282,DC_Xref!A:B,2,FALSE)</f>
        <v>OFC</v>
      </c>
      <c r="K282">
        <f t="shared" si="4"/>
        <v>201944</v>
      </c>
      <c r="L282">
        <f>IFERROR(Table1[[#This Row],[Demand]]/SUMIFS(Table1[Demand],Table1[Fiscal_Year],Table1[[#This Row],[Fiscal_Year]],Table1[BRAND],Table1[[#This Row],[BRAND]],Table1[DC_name_Xref],Table1[[#This Row],[DC_name_Xref]]),0)</f>
        <v>0.27836561115442138</v>
      </c>
      <c r="M2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282" s="3">
        <f>IFERROR(INDEX(Table3[#All],MATCH(Table1[[#This Row],[Key_Year_Week_Brand]],Table3[[#All],[Key_Year_Week_Brand]],0),MATCH(Table1[[#This Row],[DC_name_Xref]],Table3[#Headers],0)),0)</f>
        <v>1</v>
      </c>
      <c r="O282">
        <f>IFERROR(INDEX(Table35[#All],MATCH(Table1[[#This Row],[Key_Year_Week_Brand]],Table35[[#All],[Key_Year_Month_Brand]],0),MATCH(Table1[[#This Row],[DC_name_Xref]],Table35[#Headers],0)),0)</f>
        <v>258161</v>
      </c>
    </row>
    <row r="283" spans="1:15" x14ac:dyDescent="0.3">
      <c r="A283" s="19" t="str">
        <f>Table1[[#This Row],[Year_Week]]&amp;"-"&amp;Table1[[#This Row],[DC_name_Xref]]</f>
        <v>201944-TFC</v>
      </c>
      <c r="B283" s="19" t="str">
        <f>Table1[[#This Row],[Fiscal_Year]]*100+Table1[[#This Row],[Fiscal_Week]] &amp; "-" &amp;Table1[[#This Row],[BRAND]]</f>
        <v>201944-BR Factory Store</v>
      </c>
      <c r="C283" t="str">
        <f>Table1[[#This Row],[Fiscal_Year]]&amp;"-"&amp;Table1[[#This Row],[BRAND]]</f>
        <v>2019-BR Factory Store</v>
      </c>
      <c r="D283">
        <v>2019</v>
      </c>
      <c r="E283">
        <v>44</v>
      </c>
      <c r="F283" t="s">
        <v>17</v>
      </c>
      <c r="G283" t="s">
        <v>21</v>
      </c>
      <c r="H283">
        <v>2</v>
      </c>
      <c r="I283">
        <v>0</v>
      </c>
      <c r="J283" t="str">
        <f>VLOOKUP(H283,DC_Xref!A:B,2,FALSE)</f>
        <v>TFC</v>
      </c>
      <c r="K283">
        <f t="shared" si="4"/>
        <v>201944</v>
      </c>
      <c r="L283">
        <f>IFERROR(Table1[[#This Row],[Demand]]/SUMIFS(Table1[Demand],Table1[Fiscal_Year],Table1[[#This Row],[Fiscal_Year]],Table1[BRAND],Table1[[#This Row],[BRAND]],Table1[DC_name_Xref],Table1[[#This Row],[DC_name_Xref]]),0)</f>
        <v>0</v>
      </c>
      <c r="M2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3" s="3">
        <f>IFERROR(INDEX(Table3[#All],MATCH(Table1[[#This Row],[Key_Year_Week_Brand]],Table3[[#All],[Key_Year_Week_Brand]],0),MATCH(Table1[[#This Row],[DC_name_Xref]],Table3[#Headers],0)),0)</f>
        <v>0</v>
      </c>
      <c r="O283">
        <f>IFERROR(INDEX(Table35[#All],MATCH(Table1[[#This Row],[Key_Year_Week_Brand]],Table35[[#All],[Key_Year_Month_Brand]],0),MATCH(Table1[[#This Row],[DC_name_Xref]],Table35[#Headers],0)),0)</f>
        <v>0</v>
      </c>
    </row>
    <row r="284" spans="1:15" x14ac:dyDescent="0.3">
      <c r="A284" s="19" t="str">
        <f>Table1[[#This Row],[Year_Week]]&amp;"-"&amp;Table1[[#This Row],[DC_name_Xref]]</f>
        <v>201944-WFC</v>
      </c>
      <c r="B284" s="19" t="str">
        <f>Table1[[#This Row],[Fiscal_Year]]*100+Table1[[#This Row],[Fiscal_Week]] &amp; "-" &amp;Table1[[#This Row],[BRAND]]</f>
        <v>201944-BR Factory Store</v>
      </c>
      <c r="C284" t="str">
        <f>Table1[[#This Row],[Fiscal_Year]]&amp;"-"&amp;Table1[[#This Row],[BRAND]]</f>
        <v>2019-BR Factory Store</v>
      </c>
      <c r="D284">
        <v>2019</v>
      </c>
      <c r="E284">
        <v>44</v>
      </c>
      <c r="F284" t="s">
        <v>17</v>
      </c>
      <c r="G284" t="s">
        <v>7</v>
      </c>
      <c r="H284">
        <v>3</v>
      </c>
      <c r="I284">
        <v>0</v>
      </c>
      <c r="J284" t="str">
        <f>VLOOKUP(H284,DC_Xref!A:B,2,FALSE)</f>
        <v>WFC</v>
      </c>
      <c r="K284">
        <f t="shared" si="4"/>
        <v>201944</v>
      </c>
      <c r="L284">
        <f>IFERROR(Table1[[#This Row],[Demand]]/SUMIFS(Table1[Demand],Table1[Fiscal_Year],Table1[[#This Row],[Fiscal_Year]],Table1[BRAND],Table1[[#This Row],[BRAND]],Table1[DC_name_Xref],Table1[[#This Row],[DC_name_Xref]]),0)</f>
        <v>0</v>
      </c>
      <c r="M2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4" s="3">
        <f>IFERROR(INDEX(Table3[#All],MATCH(Table1[[#This Row],[Key_Year_Week_Brand]],Table3[[#All],[Key_Year_Week_Brand]],0),MATCH(Table1[[#This Row],[DC_name_Xref]],Table3[#Headers],0)),0)</f>
        <v>0</v>
      </c>
      <c r="O284">
        <f>IFERROR(INDEX(Table35[#All],MATCH(Table1[[#This Row],[Key_Year_Week_Brand]],Table35[[#All],[Key_Year_Month_Brand]],0),MATCH(Table1[[#This Row],[DC_name_Xref]],Table35[#Headers],0)),0)</f>
        <v>0</v>
      </c>
    </row>
    <row r="285" spans="1:15" x14ac:dyDescent="0.3">
      <c r="A285" s="19" t="str">
        <f>Table1[[#This Row],[Year_Week]]&amp;"-"&amp;Table1[[#This Row],[DC_name_Xref]]</f>
        <v>201944-EAO</v>
      </c>
      <c r="B285" s="19" t="str">
        <f>Table1[[#This Row],[Fiscal_Year]]*100+Table1[[#This Row],[Fiscal_Week]] &amp; "-" &amp;Table1[[#This Row],[BRAND]]</f>
        <v>201944-BR Factory Store</v>
      </c>
      <c r="C285" t="str">
        <f>Table1[[#This Row],[Fiscal_Year]]&amp;"-"&amp;Table1[[#This Row],[BRAND]]</f>
        <v>2019-BR Factory Store</v>
      </c>
      <c r="D285">
        <v>2019</v>
      </c>
      <c r="E285">
        <v>44</v>
      </c>
      <c r="F285" t="s">
        <v>17</v>
      </c>
      <c r="G285" t="s">
        <v>8</v>
      </c>
      <c r="H285">
        <v>4</v>
      </c>
      <c r="I285">
        <v>0</v>
      </c>
      <c r="J285" t="str">
        <f>VLOOKUP(H285,DC_Xref!A:B,2,FALSE)</f>
        <v>EAO</v>
      </c>
      <c r="K285">
        <f t="shared" si="4"/>
        <v>201944</v>
      </c>
      <c r="L285">
        <f>IFERROR(Table1[[#This Row],[Demand]]/SUMIFS(Table1[Demand],Table1[Fiscal_Year],Table1[[#This Row],[Fiscal_Year]],Table1[BRAND],Table1[[#This Row],[BRAND]],Table1[DC_name_Xref],Table1[[#This Row],[DC_name_Xref]]),0)</f>
        <v>0</v>
      </c>
      <c r="M2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5" s="3">
        <f>IFERROR(INDEX(Table3[#All],MATCH(Table1[[#This Row],[Key_Year_Week_Brand]],Table3[[#All],[Key_Year_Week_Brand]],0),MATCH(Table1[[#This Row],[DC_name_Xref]],Table3[#Headers],0)),0)</f>
        <v>0</v>
      </c>
      <c r="O285">
        <f>IFERROR(INDEX(Table35[#All],MATCH(Table1[[#This Row],[Key_Year_Week_Brand]],Table35[[#All],[Key_Year_Month_Brand]],0),MATCH(Table1[[#This Row],[DC_name_Xref]],Table35[#Headers],0)),0)</f>
        <v>0</v>
      </c>
    </row>
    <row r="286" spans="1:15" x14ac:dyDescent="0.3">
      <c r="A286" s="19" t="str">
        <f>Table1[[#This Row],[Year_Week]]&amp;"-"&amp;Table1[[#This Row],[DC_name_Xref]]</f>
        <v>201944-FFC-ODC</v>
      </c>
      <c r="B286" s="19" t="str">
        <f>Table1[[#This Row],[Fiscal_Year]]*100+Table1[[#This Row],[Fiscal_Week]] &amp; "-" &amp;Table1[[#This Row],[BRAND]]</f>
        <v>201944-BR Factory Store</v>
      </c>
      <c r="C286" t="str">
        <f>Table1[[#This Row],[Fiscal_Year]]&amp;"-"&amp;Table1[[#This Row],[BRAND]]</f>
        <v>2019-BR Factory Store</v>
      </c>
      <c r="D286">
        <v>2019</v>
      </c>
      <c r="E286">
        <v>44</v>
      </c>
      <c r="F286" t="s">
        <v>17</v>
      </c>
      <c r="G286" t="s">
        <v>23</v>
      </c>
      <c r="H286">
        <v>5</v>
      </c>
      <c r="I286">
        <v>0</v>
      </c>
      <c r="J286" t="str">
        <f>VLOOKUP(H286,DC_Xref!A:B,2,FALSE)</f>
        <v>FFC-ODC</v>
      </c>
      <c r="K286">
        <f t="shared" si="4"/>
        <v>201944</v>
      </c>
      <c r="L286">
        <f>IFERROR(Table1[[#This Row],[Demand]]/SUMIFS(Table1[Demand],Table1[Fiscal_Year],Table1[[#This Row],[Fiscal_Year]],Table1[BRAND],Table1[[#This Row],[BRAND]],Table1[DC_name_Xref],Table1[[#This Row],[DC_name_Xref]]),0)</f>
        <v>0</v>
      </c>
      <c r="M2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6" s="3">
        <f>IFERROR(INDEX(Table3[#All],MATCH(Table1[[#This Row],[Key_Year_Week_Brand]],Table3[[#All],[Key_Year_Week_Brand]],0),MATCH(Table1[[#This Row],[DC_name_Xref]],Table3[#Headers],0)),0)</f>
        <v>0</v>
      </c>
      <c r="O286">
        <f>IFERROR(INDEX(Table35[#All],MATCH(Table1[[#This Row],[Key_Year_Week_Brand]],Table35[[#All],[Key_Year_Month_Brand]],0),MATCH(Table1[[#This Row],[DC_name_Xref]],Table35[#Headers],0)),0)</f>
        <v>0</v>
      </c>
    </row>
    <row r="287" spans="1:15" x14ac:dyDescent="0.3">
      <c r="A287" s="19" t="str">
        <f>Table1[[#This Row],[Year_Week]]&amp;"-"&amp;Table1[[#This Row],[DC_name_Xref]]</f>
        <v>201944-WEO</v>
      </c>
      <c r="B287" s="19" t="str">
        <f>Table1[[#This Row],[Fiscal_Year]]*100+Table1[[#This Row],[Fiscal_Week]] &amp; "-" &amp;Table1[[#This Row],[BRAND]]</f>
        <v>201944-BR Factory Store</v>
      </c>
      <c r="C287" t="str">
        <f>Table1[[#This Row],[Fiscal_Year]]&amp;"-"&amp;Table1[[#This Row],[BRAND]]</f>
        <v>2019-BR Factory Store</v>
      </c>
      <c r="D287">
        <v>2019</v>
      </c>
      <c r="E287">
        <v>44</v>
      </c>
      <c r="F287" t="s">
        <v>17</v>
      </c>
      <c r="G287" t="s">
        <v>10</v>
      </c>
      <c r="H287">
        <v>6</v>
      </c>
      <c r="I287">
        <v>0</v>
      </c>
      <c r="J287" t="str">
        <f>VLOOKUP(H287,DC_Xref!A:B,2,FALSE)</f>
        <v>WEO</v>
      </c>
      <c r="K287">
        <f t="shared" si="4"/>
        <v>201944</v>
      </c>
      <c r="L287">
        <f>IFERROR(Table1[[#This Row],[Demand]]/SUMIFS(Table1[Demand],Table1[Fiscal_Year],Table1[[#This Row],[Fiscal_Year]],Table1[BRAND],Table1[[#This Row],[BRAND]],Table1[DC_name_Xref],Table1[[#This Row],[DC_name_Xref]]),0)</f>
        <v>0</v>
      </c>
      <c r="M2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7" s="3">
        <f>IFERROR(INDEX(Table3[#All],MATCH(Table1[[#This Row],[Key_Year_Week_Brand]],Table3[[#All],[Key_Year_Week_Brand]],0),MATCH(Table1[[#This Row],[DC_name_Xref]],Table3[#Headers],0)),0)</f>
        <v>0</v>
      </c>
      <c r="O287">
        <f>IFERROR(INDEX(Table35[#All],MATCH(Table1[[#This Row],[Key_Year_Week_Brand]],Table35[[#All],[Key_Year_Month_Brand]],0),MATCH(Table1[[#This Row],[DC_name_Xref]],Table35[#Headers],0)),0)</f>
        <v>0</v>
      </c>
    </row>
    <row r="288" spans="1:15" x14ac:dyDescent="0.3">
      <c r="A288" s="19" t="str">
        <f>Table1[[#This Row],[Year_Week]]&amp;"-"&amp;Table1[[#This Row],[DC_name_Xref]]</f>
        <v>201944-OCC</v>
      </c>
      <c r="B288" s="19" t="str">
        <f>Table1[[#This Row],[Fiscal_Year]]*100+Table1[[#This Row],[Fiscal_Week]] &amp; "-" &amp;Table1[[#This Row],[BRAND]]</f>
        <v>201944-BR Factory Store</v>
      </c>
      <c r="C288" t="str">
        <f>Table1[[#This Row],[Fiscal_Year]]&amp;"-"&amp;Table1[[#This Row],[BRAND]]</f>
        <v>2019-BR Factory Store</v>
      </c>
      <c r="D288">
        <v>2019</v>
      </c>
      <c r="E288">
        <v>44</v>
      </c>
      <c r="F288" t="s">
        <v>17</v>
      </c>
      <c r="G288" t="s">
        <v>11</v>
      </c>
      <c r="H288">
        <v>7</v>
      </c>
      <c r="I288">
        <v>0</v>
      </c>
      <c r="J288" t="str">
        <f>VLOOKUP(H288,DC_Xref!A:B,2,FALSE)</f>
        <v>OCC</v>
      </c>
      <c r="K288">
        <f t="shared" si="4"/>
        <v>201944</v>
      </c>
      <c r="L288">
        <f>IFERROR(Table1[[#This Row],[Demand]]/SUMIFS(Table1[Demand],Table1[Fiscal_Year],Table1[[#This Row],[Fiscal_Year]],Table1[BRAND],Table1[[#This Row],[BRAND]],Table1[DC_name_Xref],Table1[[#This Row],[DC_name_Xref]]),0)</f>
        <v>0</v>
      </c>
      <c r="M2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88" s="3">
        <f>IFERROR(INDEX(Table3[#All],MATCH(Table1[[#This Row],[Key_Year_Week_Brand]],Table3[[#All],[Key_Year_Week_Brand]],0),MATCH(Table1[[#This Row],[DC_name_Xref]],Table3[#Headers],0)),0)</f>
        <v>0</v>
      </c>
      <c r="O288">
        <f>IFERROR(INDEX(Table35[#All],MATCH(Table1[[#This Row],[Key_Year_Week_Brand]],Table35[[#All],[Key_Year_Month_Brand]],0),MATCH(Table1[[#This Row],[DC_name_Xref]],Table35[#Headers],0)),0)</f>
        <v>0</v>
      </c>
    </row>
    <row r="289" spans="1:15" x14ac:dyDescent="0.3">
      <c r="A289" s="19" t="str">
        <f>Table1[[#This Row],[Year_Week]]&amp;"-"&amp;Table1[[#This Row],[DC_name_Xref]]</f>
        <v>201944-OFC</v>
      </c>
      <c r="B289" s="19" t="str">
        <f>Table1[[#This Row],[Fiscal_Year]]*100+Table1[[#This Row],[Fiscal_Week]] &amp; "-" &amp;Table1[[#This Row],[BRAND]]</f>
        <v>201944-Athleta</v>
      </c>
      <c r="C289" t="str">
        <f>Table1[[#This Row],[Fiscal_Year]]&amp;"-"&amp;Table1[[#This Row],[BRAND]]</f>
        <v>2019-Athleta</v>
      </c>
      <c r="D289">
        <v>2019</v>
      </c>
      <c r="E289">
        <v>44</v>
      </c>
      <c r="F289" t="s">
        <v>19</v>
      </c>
      <c r="G289" t="s">
        <v>5</v>
      </c>
      <c r="H289">
        <v>1</v>
      </c>
      <c r="I289">
        <v>24766</v>
      </c>
      <c r="J289" t="str">
        <f>VLOOKUP(H289,DC_Xref!A:B,2,FALSE)</f>
        <v>OFC</v>
      </c>
      <c r="K289">
        <f t="shared" si="4"/>
        <v>201944</v>
      </c>
      <c r="L289">
        <f>IFERROR(Table1[[#This Row],[Demand]]/SUMIFS(Table1[Demand],Table1[Fiscal_Year],Table1[[#This Row],[Fiscal_Year]],Table1[BRAND],Table1[[#This Row],[BRAND]],Table1[DC_name_Xref],Table1[[#This Row],[DC_name_Xref]]),0)</f>
        <v>0.1951984614899587</v>
      </c>
      <c r="M2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0.10136821038082189</v>
      </c>
      <c r="N289" s="3">
        <f>IFERROR(INDEX(Table3[#All],MATCH(Table1[[#This Row],[Key_Year_Week_Brand]],Table3[[#All],[Key_Year_Week_Brand]],0),MATCH(Table1[[#This Row],[DC_name_Xref]],Table3[#Headers],0)),0)</f>
        <v>0</v>
      </c>
      <c r="O289">
        <f>IFERROR(INDEX(Table35[#All],MATCH(Table1[[#This Row],[Key_Year_Week_Brand]],Table35[[#All],[Key_Year_Month_Brand]],0),MATCH(Table1[[#This Row],[DC_name_Xref]],Table35[#Headers],0)),0)</f>
        <v>0</v>
      </c>
    </row>
    <row r="290" spans="1:15" x14ac:dyDescent="0.3">
      <c r="A290" s="19" t="str">
        <f>Table1[[#This Row],[Year_Week]]&amp;"-"&amp;Table1[[#This Row],[DC_name_Xref]]</f>
        <v>201944-TFC</v>
      </c>
      <c r="B290" s="19" t="str">
        <f>Table1[[#This Row],[Fiscal_Year]]*100+Table1[[#This Row],[Fiscal_Week]] &amp; "-" &amp;Table1[[#This Row],[BRAND]]</f>
        <v>201944-Athleta</v>
      </c>
      <c r="C290" t="str">
        <f>Table1[[#This Row],[Fiscal_Year]]&amp;"-"&amp;Table1[[#This Row],[BRAND]]</f>
        <v>2019-Athleta</v>
      </c>
      <c r="D290">
        <v>2019</v>
      </c>
      <c r="E290">
        <v>44</v>
      </c>
      <c r="F290" t="s">
        <v>19</v>
      </c>
      <c r="G290" t="s">
        <v>21</v>
      </c>
      <c r="H290">
        <v>2</v>
      </c>
      <c r="I290">
        <v>260415</v>
      </c>
      <c r="J290" t="str">
        <f>VLOOKUP(H290,DC_Xref!A:B,2,FALSE)</f>
        <v>TFC</v>
      </c>
      <c r="K290">
        <f t="shared" si="4"/>
        <v>201944</v>
      </c>
      <c r="L290">
        <f>IFERROR(Table1[[#This Row],[Demand]]/SUMIFS(Table1[Demand],Table1[Fiscal_Year],Table1[[#This Row],[Fiscal_Year]],Table1[BRAND],Table1[[#This Row],[BRAND]],Table1[DC_name_Xref],Table1[[#This Row],[DC_name_Xref]]),0)</f>
        <v>0.23153845059552811</v>
      </c>
      <c r="M2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0.89859743455560126</v>
      </c>
      <c r="N290" s="3">
        <f>IFERROR(INDEX(Table3[#All],MATCH(Table1[[#This Row],[Key_Year_Week_Brand]],Table3[[#All],[Key_Year_Week_Brand]],0),MATCH(Table1[[#This Row],[DC_name_Xref]],Table3[#Headers],0)),0)</f>
        <v>1</v>
      </c>
      <c r="O290">
        <f>IFERROR(INDEX(Table35[#All],MATCH(Table1[[#This Row],[Key_Year_Week_Brand]],Table35[[#All],[Key_Year_Month_Brand]],0),MATCH(Table1[[#This Row],[DC_name_Xref]],Table35[#Headers],0)),0)</f>
        <v>285204</v>
      </c>
    </row>
    <row r="291" spans="1:15" x14ac:dyDescent="0.3">
      <c r="A291" s="19" t="str">
        <f>Table1[[#This Row],[Year_Week]]&amp;"-"&amp;Table1[[#This Row],[DC_name_Xref]]</f>
        <v>201944-WFC</v>
      </c>
      <c r="B291" s="19" t="str">
        <f>Table1[[#This Row],[Fiscal_Year]]*100+Table1[[#This Row],[Fiscal_Week]] &amp; "-" &amp;Table1[[#This Row],[BRAND]]</f>
        <v>201944-Athleta</v>
      </c>
      <c r="C291" t="str">
        <f>Table1[[#This Row],[Fiscal_Year]]&amp;"-"&amp;Table1[[#This Row],[BRAND]]</f>
        <v>2019-Athleta</v>
      </c>
      <c r="D291">
        <v>2019</v>
      </c>
      <c r="E291">
        <v>44</v>
      </c>
      <c r="F291" t="s">
        <v>19</v>
      </c>
      <c r="G291" t="s">
        <v>7</v>
      </c>
      <c r="H291">
        <v>3</v>
      </c>
      <c r="I291">
        <v>0</v>
      </c>
      <c r="J291" t="str">
        <f>VLOOKUP(H291,DC_Xref!A:B,2,FALSE)</f>
        <v>WFC</v>
      </c>
      <c r="K291">
        <f t="shared" si="4"/>
        <v>201944</v>
      </c>
      <c r="L291">
        <f>IFERROR(Table1[[#This Row],[Demand]]/SUMIFS(Table1[Demand],Table1[Fiscal_Year],Table1[[#This Row],[Fiscal_Year]],Table1[BRAND],Table1[[#This Row],[BRAND]],Table1[DC_name_Xref],Table1[[#This Row],[DC_name_Xref]]),0)</f>
        <v>0</v>
      </c>
      <c r="M2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91" s="3">
        <f>IFERROR(INDEX(Table3[#All],MATCH(Table1[[#This Row],[Key_Year_Week_Brand]],Table3[[#All],[Key_Year_Week_Brand]],0),MATCH(Table1[[#This Row],[DC_name_Xref]],Table3[#Headers],0)),0)</f>
        <v>0</v>
      </c>
      <c r="O291">
        <f>IFERROR(INDEX(Table35[#All],MATCH(Table1[[#This Row],[Key_Year_Week_Brand]],Table35[[#All],[Key_Year_Month_Brand]],0),MATCH(Table1[[#This Row],[DC_name_Xref]],Table35[#Headers],0)),0)</f>
        <v>0</v>
      </c>
    </row>
    <row r="292" spans="1:15" x14ac:dyDescent="0.3">
      <c r="A292" s="19" t="str">
        <f>Table1[[#This Row],[Year_Week]]&amp;"-"&amp;Table1[[#This Row],[DC_name_Xref]]</f>
        <v>201944-EAO</v>
      </c>
      <c r="B292" s="19" t="str">
        <f>Table1[[#This Row],[Fiscal_Year]]*100+Table1[[#This Row],[Fiscal_Week]] &amp; "-" &amp;Table1[[#This Row],[BRAND]]</f>
        <v>201944-Athleta</v>
      </c>
      <c r="C292" t="str">
        <f>Table1[[#This Row],[Fiscal_Year]]&amp;"-"&amp;Table1[[#This Row],[BRAND]]</f>
        <v>2019-Athleta</v>
      </c>
      <c r="D292">
        <v>2019</v>
      </c>
      <c r="E292">
        <v>44</v>
      </c>
      <c r="F292" t="s">
        <v>19</v>
      </c>
      <c r="G292" t="s">
        <v>8</v>
      </c>
      <c r="H292">
        <v>4</v>
      </c>
      <c r="I292">
        <v>23</v>
      </c>
      <c r="J292" t="str">
        <f>VLOOKUP(H292,DC_Xref!A:B,2,FALSE)</f>
        <v>EAO</v>
      </c>
      <c r="K292">
        <f t="shared" si="4"/>
        <v>201944</v>
      </c>
      <c r="L292">
        <f>IFERROR(Table1[[#This Row],[Demand]]/SUMIFS(Table1[Demand],Table1[Fiscal_Year],Table1[[#This Row],[Fiscal_Year]],Table1[BRAND],Table1[[#This Row],[BRAND]],Table1[DC_name_Xref],Table1[[#This Row],[DC_name_Xref]]),0)</f>
        <v>0.53488372093023251</v>
      </c>
      <c r="M2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3.435506357684149E-5</v>
      </c>
      <c r="N292" s="3">
        <f>IFERROR(INDEX(Table3[#All],MATCH(Table1[[#This Row],[Key_Year_Week_Brand]],Table3[[#All],[Key_Year_Week_Brand]],0),MATCH(Table1[[#This Row],[DC_name_Xref]],Table3[#Headers],0)),0)</f>
        <v>3.447122356821831E-5</v>
      </c>
      <c r="O292">
        <f>IFERROR(INDEX(Table35[#All],MATCH(Table1[[#This Row],[Key_Year_Week_Brand]],Table35[[#All],[Key_Year_Month_Brand]],0),MATCH(Table1[[#This Row],[DC_name_Xref]],Table35[#Headers],0)),0)</f>
        <v>9.8313308465501343</v>
      </c>
    </row>
    <row r="293" spans="1:15" x14ac:dyDescent="0.3">
      <c r="A293" s="19" t="str">
        <f>Table1[[#This Row],[Year_Week]]&amp;"-"&amp;Table1[[#This Row],[DC_name_Xref]]</f>
        <v>201944-FFC-ODC</v>
      </c>
      <c r="B293" s="19" t="str">
        <f>Table1[[#This Row],[Fiscal_Year]]*100+Table1[[#This Row],[Fiscal_Week]] &amp; "-" &amp;Table1[[#This Row],[BRAND]]</f>
        <v>201944-Athleta</v>
      </c>
      <c r="C293" t="str">
        <f>Table1[[#This Row],[Fiscal_Year]]&amp;"-"&amp;Table1[[#This Row],[BRAND]]</f>
        <v>2019-Athleta</v>
      </c>
      <c r="D293">
        <v>2019</v>
      </c>
      <c r="E293">
        <v>44</v>
      </c>
      <c r="F293" t="s">
        <v>19</v>
      </c>
      <c r="G293" t="s">
        <v>23</v>
      </c>
      <c r="H293">
        <v>5</v>
      </c>
      <c r="I293">
        <v>0</v>
      </c>
      <c r="J293" t="str">
        <f>VLOOKUP(H293,DC_Xref!A:B,2,FALSE)</f>
        <v>FFC-ODC</v>
      </c>
      <c r="K293">
        <f t="shared" si="4"/>
        <v>201944</v>
      </c>
      <c r="L293">
        <f>IFERROR(Table1[[#This Row],[Demand]]/SUMIFS(Table1[Demand],Table1[Fiscal_Year],Table1[[#This Row],[Fiscal_Year]],Table1[BRAND],Table1[[#This Row],[BRAND]],Table1[DC_name_Xref],Table1[[#This Row],[DC_name_Xref]]),0)</f>
        <v>0</v>
      </c>
      <c r="M2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93" s="3">
        <f>IFERROR(INDEX(Table3[#All],MATCH(Table1[[#This Row],[Key_Year_Week_Brand]],Table3[[#All],[Key_Year_Week_Brand]],0),MATCH(Table1[[#This Row],[DC_name_Xref]],Table3[#Headers],0)),0)</f>
        <v>0</v>
      </c>
      <c r="O293">
        <f>IFERROR(INDEX(Table35[#All],MATCH(Table1[[#This Row],[Key_Year_Week_Brand]],Table35[[#All],[Key_Year_Month_Brand]],0),MATCH(Table1[[#This Row],[DC_name_Xref]],Table35[#Headers],0)),0)</f>
        <v>0</v>
      </c>
    </row>
    <row r="294" spans="1:15" x14ac:dyDescent="0.3">
      <c r="A294" s="19" t="str">
        <f>Table1[[#This Row],[Year_Week]]&amp;"-"&amp;Table1[[#This Row],[DC_name_Xref]]</f>
        <v>201944-WEO</v>
      </c>
      <c r="B294" s="19" t="str">
        <f>Table1[[#This Row],[Fiscal_Year]]*100+Table1[[#This Row],[Fiscal_Week]] &amp; "-" &amp;Table1[[#This Row],[BRAND]]</f>
        <v>201944-Athleta</v>
      </c>
      <c r="C294" t="str">
        <f>Table1[[#This Row],[Fiscal_Year]]&amp;"-"&amp;Table1[[#This Row],[BRAND]]</f>
        <v>2019-Athleta</v>
      </c>
      <c r="D294">
        <v>2019</v>
      </c>
      <c r="E294">
        <v>44</v>
      </c>
      <c r="F294" t="s">
        <v>19</v>
      </c>
      <c r="G294" t="s">
        <v>10</v>
      </c>
      <c r="H294">
        <v>6</v>
      </c>
      <c r="I294">
        <v>0</v>
      </c>
      <c r="J294" t="str">
        <f>VLOOKUP(H294,DC_Xref!A:B,2,FALSE)</f>
        <v>WEO</v>
      </c>
      <c r="K294">
        <f t="shared" si="4"/>
        <v>201944</v>
      </c>
      <c r="L294">
        <f>IFERROR(Table1[[#This Row],[Demand]]/SUMIFS(Table1[Demand],Table1[Fiscal_Year],Table1[[#This Row],[Fiscal_Year]],Table1[BRAND],Table1[[#This Row],[BRAND]],Table1[DC_name_Xref],Table1[[#This Row],[DC_name_Xref]]),0)</f>
        <v>0</v>
      </c>
      <c r="M2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94" s="3">
        <f>IFERROR(INDEX(Table3[#All],MATCH(Table1[[#This Row],[Key_Year_Week_Brand]],Table3[[#All],[Key_Year_Week_Brand]],0),MATCH(Table1[[#This Row],[DC_name_Xref]],Table3[#Headers],0)),0)</f>
        <v>0</v>
      </c>
      <c r="O294">
        <f>IFERROR(INDEX(Table35[#All],MATCH(Table1[[#This Row],[Key_Year_Week_Brand]],Table35[[#All],[Key_Year_Month_Brand]],0),MATCH(Table1[[#This Row],[DC_name_Xref]],Table35[#Headers],0)),0)</f>
        <v>0</v>
      </c>
    </row>
    <row r="295" spans="1:15" x14ac:dyDescent="0.3">
      <c r="A295" s="19" t="str">
        <f>Table1[[#This Row],[Year_Week]]&amp;"-"&amp;Table1[[#This Row],[DC_name_Xref]]</f>
        <v>201944-OCC</v>
      </c>
      <c r="B295" s="19" t="str">
        <f>Table1[[#This Row],[Fiscal_Year]]*100+Table1[[#This Row],[Fiscal_Week]] &amp; "-" &amp;Table1[[#This Row],[BRAND]]</f>
        <v>201944-Athleta</v>
      </c>
      <c r="C295" t="str">
        <f>Table1[[#This Row],[Fiscal_Year]]&amp;"-"&amp;Table1[[#This Row],[BRAND]]</f>
        <v>2019-Athleta</v>
      </c>
      <c r="D295">
        <v>2019</v>
      </c>
      <c r="E295">
        <v>44</v>
      </c>
      <c r="F295" t="s">
        <v>19</v>
      </c>
      <c r="G295" t="s">
        <v>11</v>
      </c>
      <c r="H295">
        <v>7</v>
      </c>
      <c r="I295">
        <v>0</v>
      </c>
      <c r="J295" t="str">
        <f>VLOOKUP(H295,DC_Xref!A:B,2,FALSE)</f>
        <v>OCC</v>
      </c>
      <c r="K295">
        <f t="shared" si="4"/>
        <v>201944</v>
      </c>
      <c r="L295">
        <f>IFERROR(Table1[[#This Row],[Demand]]/SUMIFS(Table1[Demand],Table1[Fiscal_Year],Table1[[#This Row],[Fiscal_Year]],Table1[BRAND],Table1[[#This Row],[BRAND]],Table1[DC_name_Xref],Table1[[#This Row],[DC_name_Xref]]),0)</f>
        <v>0</v>
      </c>
      <c r="M2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95" s="3">
        <f>IFERROR(INDEX(Table3[#All],MATCH(Table1[[#This Row],[Key_Year_Week_Brand]],Table3[[#All],[Key_Year_Week_Brand]],0),MATCH(Table1[[#This Row],[DC_name_Xref]],Table3[#Headers],0)),0)</f>
        <v>0</v>
      </c>
      <c r="O295">
        <f>IFERROR(INDEX(Table35[#All],MATCH(Table1[[#This Row],[Key_Year_Week_Brand]],Table35[[#All],[Key_Year_Month_Brand]],0),MATCH(Table1[[#This Row],[DC_name_Xref]],Table35[#Headers],0)),0)</f>
        <v>0</v>
      </c>
    </row>
    <row r="296" spans="1:15" x14ac:dyDescent="0.3">
      <c r="A296" s="19" t="str">
        <f>Table1[[#This Row],[Year_Week]]&amp;"-"&amp;Table1[[#This Row],[DC_name_Xref]]</f>
        <v>201945-OFC</v>
      </c>
      <c r="B296" s="19" t="str">
        <f>Table1[[#This Row],[Fiscal_Year]]*100+Table1[[#This Row],[Fiscal_Week]] &amp; "-" &amp;Table1[[#This Row],[BRAND]]</f>
        <v>201945-Old Navy</v>
      </c>
      <c r="C296" t="str">
        <f>Table1[[#This Row],[Fiscal_Year]]&amp;"-"&amp;Table1[[#This Row],[BRAND]]</f>
        <v>2019-Old Navy</v>
      </c>
      <c r="D296">
        <v>2019</v>
      </c>
      <c r="E296">
        <v>45</v>
      </c>
      <c r="F296" t="s">
        <v>20</v>
      </c>
      <c r="G296" t="s">
        <v>5</v>
      </c>
      <c r="H296">
        <v>1</v>
      </c>
      <c r="I296">
        <v>895420</v>
      </c>
      <c r="J296" t="str">
        <f>VLOOKUP(H296,DC_Xref!A:B,2,FALSE)</f>
        <v>OFC</v>
      </c>
      <c r="K296">
        <f t="shared" si="4"/>
        <v>201945</v>
      </c>
      <c r="L296">
        <f>IFERROR(Table1[[#This Row],[Demand]]/SUMIFS(Table1[Demand],Table1[Fiscal_Year],Table1[[#This Row],[Fiscal_Year]],Table1[BRAND],Table1[[#This Row],[BRAND]],Table1[DC_name_Xref],Table1[[#This Row],[DC_name_Xref]]),0)</f>
        <v>0.15056069743995362</v>
      </c>
      <c r="M2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0.29585490740735676</v>
      </c>
      <c r="N296" s="3">
        <f>IFERROR(INDEX(Table3[#All],MATCH(Table1[[#This Row],[Key_Year_Week_Brand]],Table3[[#All],[Key_Year_Week_Brand]],0),MATCH(Table1[[#This Row],[DC_name_Xref]],Table3[#Headers],0)),0)</f>
        <v>0.15</v>
      </c>
      <c r="O296">
        <f>IFERROR(INDEX(Table35[#All],MATCH(Table1[[#This Row],[Key_Year_Week_Brand]],Table35[[#All],[Key_Year_Month_Brand]],0),MATCH(Table1[[#This Row],[DC_name_Xref]],Table35[#Headers],0)),0)</f>
        <v>460262.1</v>
      </c>
    </row>
    <row r="297" spans="1:15" x14ac:dyDescent="0.3">
      <c r="A297" s="19" t="str">
        <f>Table1[[#This Row],[Year_Week]]&amp;"-"&amp;Table1[[#This Row],[DC_name_Xref]]</f>
        <v>201945-TFC</v>
      </c>
      <c r="B297" s="19" t="str">
        <f>Table1[[#This Row],[Fiscal_Year]]*100+Table1[[#This Row],[Fiscal_Week]] &amp; "-" &amp;Table1[[#This Row],[BRAND]]</f>
        <v>201945-Old Navy</v>
      </c>
      <c r="C297" t="str">
        <f>Table1[[#This Row],[Fiscal_Year]]&amp;"-"&amp;Table1[[#This Row],[BRAND]]</f>
        <v>2019-Old Navy</v>
      </c>
      <c r="D297">
        <v>2019</v>
      </c>
      <c r="E297">
        <v>45</v>
      </c>
      <c r="F297" t="s">
        <v>20</v>
      </c>
      <c r="G297" t="s">
        <v>21</v>
      </c>
      <c r="H297">
        <v>2</v>
      </c>
      <c r="I297">
        <v>715113</v>
      </c>
      <c r="J297" t="str">
        <f>VLOOKUP(H297,DC_Xref!A:B,2,FALSE)</f>
        <v>TFC</v>
      </c>
      <c r="K297">
        <f t="shared" si="4"/>
        <v>201945</v>
      </c>
      <c r="L297">
        <f>IFERROR(Table1[[#This Row],[Demand]]/SUMIFS(Table1[Demand],Table1[Fiscal_Year],Table1[[#This Row],[Fiscal_Year]],Table1[BRAND],Table1[[#This Row],[BRAND]],Table1[DC_name_Xref],Table1[[#This Row],[DC_name_Xref]]),0)</f>
        <v>0.20917590112779183</v>
      </c>
      <c r="M2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0.17006957612444654</v>
      </c>
      <c r="N297" s="3">
        <f>IFERROR(INDEX(Table3[#All],MATCH(Table1[[#This Row],[Key_Year_Week_Brand]],Table3[[#All],[Key_Year_Week_Brand]],0),MATCH(Table1[[#This Row],[DC_name_Xref]],Table3[#Headers],0)),0)</f>
        <v>0.2</v>
      </c>
      <c r="O297">
        <f>IFERROR(INDEX(Table35[#All],MATCH(Table1[[#This Row],[Key_Year_Week_Brand]],Table35[[#All],[Key_Year_Month_Brand]],0),MATCH(Table1[[#This Row],[DC_name_Xref]],Table35[#Headers],0)),0)</f>
        <v>613682.80000000005</v>
      </c>
    </row>
    <row r="298" spans="1:15" x14ac:dyDescent="0.3">
      <c r="A298" s="19" t="str">
        <f>Table1[[#This Row],[Year_Week]]&amp;"-"&amp;Table1[[#This Row],[DC_name_Xref]]</f>
        <v>201945-WFC</v>
      </c>
      <c r="B298" s="19" t="str">
        <f>Table1[[#This Row],[Fiscal_Year]]*100+Table1[[#This Row],[Fiscal_Week]] &amp; "-" &amp;Table1[[#This Row],[BRAND]]</f>
        <v>201945-Old Navy</v>
      </c>
      <c r="C298" t="str">
        <f>Table1[[#This Row],[Fiscal_Year]]&amp;"-"&amp;Table1[[#This Row],[BRAND]]</f>
        <v>2019-Old Navy</v>
      </c>
      <c r="D298">
        <v>2019</v>
      </c>
      <c r="E298">
        <v>45</v>
      </c>
      <c r="F298" t="s">
        <v>20</v>
      </c>
      <c r="G298" t="s">
        <v>7</v>
      </c>
      <c r="H298">
        <v>3</v>
      </c>
      <c r="I298">
        <v>678997</v>
      </c>
      <c r="J298" t="str">
        <f>VLOOKUP(H298,DC_Xref!A:B,2,FALSE)</f>
        <v>WFC</v>
      </c>
      <c r="K298">
        <f t="shared" si="4"/>
        <v>201945</v>
      </c>
      <c r="L298">
        <f>IFERROR(Table1[[#This Row],[Demand]]/SUMIFS(Table1[Demand],Table1[Fiscal_Year],Table1[[#This Row],[Fiscal_Year]],Table1[BRAND],Table1[[#This Row],[BRAND]],Table1[DC_name_Xref],Table1[[#This Row],[DC_name_Xref]]),0)</f>
        <v>0.1674818803044385</v>
      </c>
      <c r="M2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0.20168037128093624</v>
      </c>
      <c r="N298" s="3">
        <f>IFERROR(INDEX(Table3[#All],MATCH(Table1[[#This Row],[Key_Year_Week_Brand]],Table3[[#All],[Key_Year_Week_Brand]],0),MATCH(Table1[[#This Row],[DC_name_Xref]],Table3[#Headers],0)),0)</f>
        <v>0.02</v>
      </c>
      <c r="O298">
        <f>IFERROR(INDEX(Table35[#All],MATCH(Table1[[#This Row],[Key_Year_Week_Brand]],Table35[[#All],[Key_Year_Month_Brand]],0),MATCH(Table1[[#This Row],[DC_name_Xref]],Table35[#Headers],0)),0)</f>
        <v>61368.28</v>
      </c>
    </row>
    <row r="299" spans="1:15" x14ac:dyDescent="0.3">
      <c r="A299" s="19" t="str">
        <f>Table1[[#This Row],[Year_Week]]&amp;"-"&amp;Table1[[#This Row],[DC_name_Xref]]</f>
        <v>201945-EAO</v>
      </c>
      <c r="B299" s="19" t="str">
        <f>Table1[[#This Row],[Fiscal_Year]]*100+Table1[[#This Row],[Fiscal_Week]] &amp; "-" &amp;Table1[[#This Row],[BRAND]]</f>
        <v>201945-Old Navy</v>
      </c>
      <c r="C299" t="str">
        <f>Table1[[#This Row],[Fiscal_Year]]&amp;"-"&amp;Table1[[#This Row],[BRAND]]</f>
        <v>2019-Old Navy</v>
      </c>
      <c r="D299">
        <v>2019</v>
      </c>
      <c r="E299">
        <v>45</v>
      </c>
      <c r="F299" t="s">
        <v>20</v>
      </c>
      <c r="G299" t="s">
        <v>8</v>
      </c>
      <c r="H299">
        <v>4</v>
      </c>
      <c r="I299">
        <v>778884</v>
      </c>
      <c r="J299" t="str">
        <f>VLOOKUP(H299,DC_Xref!A:B,2,FALSE)</f>
        <v>EAO</v>
      </c>
      <c r="K299">
        <f t="shared" si="4"/>
        <v>201945</v>
      </c>
      <c r="L299">
        <f>IFERROR(Table1[[#This Row],[Demand]]/SUMIFS(Table1[Demand],Table1[Fiscal_Year],Table1[[#This Row],[Fiscal_Year]],Table1[BRAND],Table1[[#This Row],[BRAND]],Table1[DC_name_Xref],Table1[[#This Row],[DC_name_Xref]]),0)</f>
        <v>0.11656863615186591</v>
      </c>
      <c r="M2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0.33239514518726049</v>
      </c>
      <c r="N299" s="3">
        <f>IFERROR(INDEX(Table3[#All],MATCH(Table1[[#This Row],[Key_Year_Week_Brand]],Table3[[#All],[Key_Year_Week_Brand]],0),MATCH(Table1[[#This Row],[DC_name_Xref]],Table3[#Headers],0)),0)</f>
        <v>0.41</v>
      </c>
      <c r="O299">
        <f>IFERROR(INDEX(Table35[#All],MATCH(Table1[[#This Row],[Key_Year_Week_Brand]],Table35[[#All],[Key_Year_Month_Brand]],0),MATCH(Table1[[#This Row],[DC_name_Xref]],Table35[#Headers],0)),0)</f>
        <v>1258049.74</v>
      </c>
    </row>
    <row r="300" spans="1:15" x14ac:dyDescent="0.3">
      <c r="A300" s="19" t="str">
        <f>Table1[[#This Row],[Year_Week]]&amp;"-"&amp;Table1[[#This Row],[DC_name_Xref]]</f>
        <v>201945-FFC-ODC</v>
      </c>
      <c r="B300" s="19" t="str">
        <f>Table1[[#This Row],[Fiscal_Year]]*100+Table1[[#This Row],[Fiscal_Week]] &amp; "-" &amp;Table1[[#This Row],[BRAND]]</f>
        <v>201945-Old Navy</v>
      </c>
      <c r="C300" t="str">
        <f>Table1[[#This Row],[Fiscal_Year]]&amp;"-"&amp;Table1[[#This Row],[BRAND]]</f>
        <v>2019-Old Navy</v>
      </c>
      <c r="D300">
        <v>2019</v>
      </c>
      <c r="E300">
        <v>45</v>
      </c>
      <c r="F300" t="s">
        <v>20</v>
      </c>
      <c r="G300" t="s">
        <v>23</v>
      </c>
      <c r="H300">
        <v>5</v>
      </c>
      <c r="I300">
        <v>0</v>
      </c>
      <c r="J300" t="str">
        <f>VLOOKUP(H300,DC_Xref!A:B,2,FALSE)</f>
        <v>FFC-ODC</v>
      </c>
      <c r="K300">
        <f t="shared" si="4"/>
        <v>201945</v>
      </c>
      <c r="L300">
        <f>IFERROR(Table1[[#This Row],[Demand]]/SUMIFS(Table1[Demand],Table1[Fiscal_Year],Table1[[#This Row],[Fiscal_Year]],Table1[BRAND],Table1[[#This Row],[BRAND]],Table1[DC_name_Xref],Table1[[#This Row],[DC_name_Xref]]),0)</f>
        <v>0</v>
      </c>
      <c r="M3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00" s="3">
        <f>IFERROR(INDEX(Table3[#All],MATCH(Table1[[#This Row],[Key_Year_Week_Brand]],Table3[[#All],[Key_Year_Week_Brand]],0),MATCH(Table1[[#This Row],[DC_name_Xref]],Table3[#Headers],0)),0)</f>
        <v>0</v>
      </c>
      <c r="O300">
        <f>IFERROR(INDEX(Table35[#All],MATCH(Table1[[#This Row],[Key_Year_Week_Brand]],Table35[[#All],[Key_Year_Month_Brand]],0),MATCH(Table1[[#This Row],[DC_name_Xref]],Table35[#Headers],0)),0)</f>
        <v>0</v>
      </c>
    </row>
    <row r="301" spans="1:15" x14ac:dyDescent="0.3">
      <c r="A301" s="19" t="str">
        <f>Table1[[#This Row],[Year_Week]]&amp;"-"&amp;Table1[[#This Row],[DC_name_Xref]]</f>
        <v>201945-WEO</v>
      </c>
      <c r="B301" s="19" t="str">
        <f>Table1[[#This Row],[Fiscal_Year]]*100+Table1[[#This Row],[Fiscal_Week]] &amp; "-" &amp;Table1[[#This Row],[BRAND]]</f>
        <v>201945-Old Navy</v>
      </c>
      <c r="C301" t="str">
        <f>Table1[[#This Row],[Fiscal_Year]]&amp;"-"&amp;Table1[[#This Row],[BRAND]]</f>
        <v>2019-Old Navy</v>
      </c>
      <c r="D301">
        <v>2019</v>
      </c>
      <c r="E301">
        <v>45</v>
      </c>
      <c r="F301" t="s">
        <v>20</v>
      </c>
      <c r="G301" t="s">
        <v>10</v>
      </c>
      <c r="H301">
        <v>6</v>
      </c>
      <c r="I301">
        <v>0</v>
      </c>
      <c r="J301" t="str">
        <f>VLOOKUP(H301,DC_Xref!A:B,2,FALSE)</f>
        <v>WEO</v>
      </c>
      <c r="K301">
        <f t="shared" si="4"/>
        <v>201945</v>
      </c>
      <c r="L301">
        <f>IFERROR(Table1[[#This Row],[Demand]]/SUMIFS(Table1[Demand],Table1[Fiscal_Year],Table1[[#This Row],[Fiscal_Year]],Table1[BRAND],Table1[[#This Row],[BRAND]],Table1[DC_name_Xref],Table1[[#This Row],[DC_name_Xref]]),0)</f>
        <v>0</v>
      </c>
      <c r="M3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01" s="3">
        <f>IFERROR(INDEX(Table3[#All],MATCH(Table1[[#This Row],[Key_Year_Week_Brand]],Table3[[#All],[Key_Year_Week_Brand]],0),MATCH(Table1[[#This Row],[DC_name_Xref]],Table3[#Headers],0)),0)</f>
        <v>0.22</v>
      </c>
      <c r="O301">
        <f>IFERROR(INDEX(Table35[#All],MATCH(Table1[[#This Row],[Key_Year_Week_Brand]],Table35[[#All],[Key_Year_Month_Brand]],0),MATCH(Table1[[#This Row],[DC_name_Xref]],Table35[#Headers],0)),0)</f>
        <v>675051.08</v>
      </c>
    </row>
    <row r="302" spans="1:15" x14ac:dyDescent="0.3">
      <c r="A302" s="19" t="str">
        <f>Table1[[#This Row],[Year_Week]]&amp;"-"&amp;Table1[[#This Row],[DC_name_Xref]]</f>
        <v>201945-OCC</v>
      </c>
      <c r="B302" s="19" t="str">
        <f>Table1[[#This Row],[Fiscal_Year]]*100+Table1[[#This Row],[Fiscal_Week]] &amp; "-" &amp;Table1[[#This Row],[BRAND]]</f>
        <v>201945-Old Navy</v>
      </c>
      <c r="C302" t="str">
        <f>Table1[[#This Row],[Fiscal_Year]]&amp;"-"&amp;Table1[[#This Row],[BRAND]]</f>
        <v>2019-Old Navy</v>
      </c>
      <c r="D302">
        <v>2019</v>
      </c>
      <c r="E302">
        <v>45</v>
      </c>
      <c r="F302" t="s">
        <v>20</v>
      </c>
      <c r="G302" t="s">
        <v>11</v>
      </c>
      <c r="H302">
        <v>7</v>
      </c>
      <c r="I302">
        <v>0</v>
      </c>
      <c r="J302" t="str">
        <f>VLOOKUP(H302,DC_Xref!A:B,2,FALSE)</f>
        <v>OCC</v>
      </c>
      <c r="K302">
        <f t="shared" si="4"/>
        <v>201945</v>
      </c>
      <c r="L302">
        <f>IFERROR(Table1[[#This Row],[Demand]]/SUMIFS(Table1[Demand],Table1[Fiscal_Year],Table1[[#This Row],[Fiscal_Year]],Table1[BRAND],Table1[[#This Row],[BRAND]],Table1[DC_name_Xref],Table1[[#This Row],[DC_name_Xref]]),0)</f>
        <v>0</v>
      </c>
      <c r="M3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02" s="3">
        <f>IFERROR(INDEX(Table3[#All],MATCH(Table1[[#This Row],[Key_Year_Week_Brand]],Table3[[#All],[Key_Year_Week_Brand]],0),MATCH(Table1[[#This Row],[DC_name_Xref]],Table3[#Headers],0)),0)</f>
        <v>0</v>
      </c>
      <c r="O302">
        <f>IFERROR(INDEX(Table35[#All],MATCH(Table1[[#This Row],[Key_Year_Week_Brand]],Table35[[#All],[Key_Year_Month_Brand]],0),MATCH(Table1[[#This Row],[DC_name_Xref]],Table35[#Headers],0)),0)</f>
        <v>0</v>
      </c>
    </row>
    <row r="303" spans="1:15" x14ac:dyDescent="0.3">
      <c r="A303" s="19" t="str">
        <f>Table1[[#This Row],[Year_Week]]&amp;"-"&amp;Table1[[#This Row],[DC_name_Xref]]</f>
        <v>201945-OFC</v>
      </c>
      <c r="B303" s="19" t="str">
        <f>Table1[[#This Row],[Fiscal_Year]]*100+Table1[[#This Row],[Fiscal_Week]] &amp; "-" &amp;Table1[[#This Row],[BRAND]]</f>
        <v>201945-Banana Republic</v>
      </c>
      <c r="C303" t="str">
        <f>Table1[[#This Row],[Fiscal_Year]]&amp;"-"&amp;Table1[[#This Row],[BRAND]]</f>
        <v>2019-Banana Republic</v>
      </c>
      <c r="D303">
        <v>2019</v>
      </c>
      <c r="E303">
        <v>45</v>
      </c>
      <c r="F303" t="s">
        <v>18</v>
      </c>
      <c r="G303" t="s">
        <v>5</v>
      </c>
      <c r="H303">
        <v>1</v>
      </c>
      <c r="I303">
        <v>6293</v>
      </c>
      <c r="J303" t="str">
        <f>VLOOKUP(H303,DC_Xref!A:B,2,FALSE)</f>
        <v>OFC</v>
      </c>
      <c r="K303">
        <f t="shared" si="4"/>
        <v>201945</v>
      </c>
      <c r="L303">
        <f>IFERROR(Table1[[#This Row],[Demand]]/SUMIFS(Table1[Demand],Table1[Fiscal_Year],Table1[[#This Row],[Fiscal_Year]],Table1[BRAND],Table1[[#This Row],[BRAND]],Table1[DC_name_Xref],Table1[[#This Row],[DC_name_Xref]]),0)</f>
        <v>0.17763789307288433</v>
      </c>
      <c r="M3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2.1329374038925836E-2</v>
      </c>
      <c r="N303" s="3">
        <f>IFERROR(INDEX(Table3[#All],MATCH(Table1[[#This Row],[Key_Year_Week_Brand]],Table3[[#All],[Key_Year_Week_Brand]],0),MATCH(Table1[[#This Row],[DC_name_Xref]],Table3[#Headers],0)),0)</f>
        <v>0</v>
      </c>
      <c r="O303">
        <f>IFERROR(INDEX(Table35[#All],MATCH(Table1[[#This Row],[Key_Year_Week_Brand]],Table35[[#All],[Key_Year_Month_Brand]],0),MATCH(Table1[[#This Row],[DC_name_Xref]],Table35[#Headers],0)),0)</f>
        <v>0</v>
      </c>
    </row>
    <row r="304" spans="1:15" x14ac:dyDescent="0.3">
      <c r="A304" s="19" t="str">
        <f>Table1[[#This Row],[Year_Week]]&amp;"-"&amp;Table1[[#This Row],[DC_name_Xref]]</f>
        <v>201945-TFC</v>
      </c>
      <c r="B304" s="19" t="str">
        <f>Table1[[#This Row],[Fiscal_Year]]*100+Table1[[#This Row],[Fiscal_Week]] &amp; "-" &amp;Table1[[#This Row],[BRAND]]</f>
        <v>201945-Banana Republic</v>
      </c>
      <c r="C304" t="str">
        <f>Table1[[#This Row],[Fiscal_Year]]&amp;"-"&amp;Table1[[#This Row],[BRAND]]</f>
        <v>2019-Banana Republic</v>
      </c>
      <c r="D304">
        <v>2019</v>
      </c>
      <c r="E304">
        <v>45</v>
      </c>
      <c r="F304" t="s">
        <v>18</v>
      </c>
      <c r="G304" t="s">
        <v>21</v>
      </c>
      <c r="H304">
        <v>2</v>
      </c>
      <c r="I304">
        <v>211070</v>
      </c>
      <c r="J304" t="str">
        <f>VLOOKUP(H304,DC_Xref!A:B,2,FALSE)</f>
        <v>TFC</v>
      </c>
      <c r="K304">
        <f t="shared" si="4"/>
        <v>201945</v>
      </c>
      <c r="L304">
        <f>IFERROR(Table1[[#This Row],[Demand]]/SUMIFS(Table1[Demand],Table1[Fiscal_Year],Table1[[#This Row],[Fiscal_Year]],Table1[BRAND],Table1[[#This Row],[BRAND]],Table1[DC_name_Xref],Table1[[#This Row],[DC_name_Xref]]),0)</f>
        <v>0.1298571860113289</v>
      </c>
      <c r="M3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0.97862546977485732</v>
      </c>
      <c r="N304" s="3">
        <f>IFERROR(INDEX(Table3[#All],MATCH(Table1[[#This Row],[Key_Year_Week_Brand]],Table3[[#All],[Key_Year_Week_Brand]],0),MATCH(Table1[[#This Row],[DC_name_Xref]],Table3[#Headers],0)),0)</f>
        <v>1</v>
      </c>
      <c r="O304">
        <f>IFERROR(INDEX(Table35[#All],MATCH(Table1[[#This Row],[Key_Year_Week_Brand]],Table35[[#All],[Key_Year_Month_Brand]],0),MATCH(Table1[[#This Row],[DC_name_Xref]],Table35[#Headers],0)),0)</f>
        <v>217371</v>
      </c>
    </row>
    <row r="305" spans="1:15" x14ac:dyDescent="0.3">
      <c r="A305" s="19" t="str">
        <f>Table1[[#This Row],[Year_Week]]&amp;"-"&amp;Table1[[#This Row],[DC_name_Xref]]</f>
        <v>201945-WFC</v>
      </c>
      <c r="B305" s="19" t="str">
        <f>Table1[[#This Row],[Fiscal_Year]]*100+Table1[[#This Row],[Fiscal_Week]] &amp; "-" &amp;Table1[[#This Row],[BRAND]]</f>
        <v>201945-Banana Republic</v>
      </c>
      <c r="C305" t="str">
        <f>Table1[[#This Row],[Fiscal_Year]]&amp;"-"&amp;Table1[[#This Row],[BRAND]]</f>
        <v>2019-Banana Republic</v>
      </c>
      <c r="D305">
        <v>2019</v>
      </c>
      <c r="E305">
        <v>45</v>
      </c>
      <c r="F305" t="s">
        <v>18</v>
      </c>
      <c r="G305" t="s">
        <v>7</v>
      </c>
      <c r="H305">
        <v>3</v>
      </c>
      <c r="I305">
        <v>2</v>
      </c>
      <c r="J305" t="str">
        <f>VLOOKUP(H305,DC_Xref!A:B,2,FALSE)</f>
        <v>WFC</v>
      </c>
      <c r="K305">
        <f t="shared" si="4"/>
        <v>201945</v>
      </c>
      <c r="L305">
        <f>IFERROR(Table1[[#This Row],[Demand]]/SUMIFS(Table1[Demand],Table1[Fiscal_Year],Table1[[#This Row],[Fiscal_Year]],Table1[BRAND],Table1[[#This Row],[BRAND]],Table1[DC_name_Xref],Table1[[#This Row],[DC_name_Xref]]),0)</f>
        <v>0.4</v>
      </c>
      <c r="M3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3.0104124144591312E-6</v>
      </c>
      <c r="N305" s="3">
        <f>IFERROR(INDEX(Table3[#All],MATCH(Table1[[#This Row],[Key_Year_Week_Brand]],Table3[[#All],[Key_Year_Week_Brand]],0),MATCH(Table1[[#This Row],[DC_name_Xref]],Table3[#Headers],0)),0)</f>
        <v>3.4959629396853166E-6</v>
      </c>
      <c r="O305">
        <f>IFERROR(INDEX(Table35[#All],MATCH(Table1[[#This Row],[Key_Year_Week_Brand]],Table35[[#All],[Key_Year_Month_Brand]],0),MATCH(Table1[[#This Row],[DC_name_Xref]],Table35[#Headers],0)),0)</f>
        <v>0.7599209601623369</v>
      </c>
    </row>
    <row r="306" spans="1:15" x14ac:dyDescent="0.3">
      <c r="A306" s="19" t="str">
        <f>Table1[[#This Row],[Year_Week]]&amp;"-"&amp;Table1[[#This Row],[DC_name_Xref]]</f>
        <v>201945-OFC</v>
      </c>
      <c r="B306" s="19" t="str">
        <f>Table1[[#This Row],[Fiscal_Year]]*100+Table1[[#This Row],[Fiscal_Week]] &amp; "-" &amp;Table1[[#This Row],[BRAND]]</f>
        <v>201945-BR Factory Store</v>
      </c>
      <c r="C306" t="str">
        <f>Table1[[#This Row],[Fiscal_Year]]&amp;"-"&amp;Table1[[#This Row],[BRAND]]</f>
        <v>2019-BR Factory Store</v>
      </c>
      <c r="D306">
        <v>2019</v>
      </c>
      <c r="E306">
        <v>45</v>
      </c>
      <c r="F306" t="s">
        <v>17</v>
      </c>
      <c r="G306" t="s">
        <v>5</v>
      </c>
      <c r="H306">
        <v>1</v>
      </c>
      <c r="I306">
        <v>71179</v>
      </c>
      <c r="J306" t="str">
        <f>VLOOKUP(H306,DC_Xref!A:B,2,FALSE)</f>
        <v>OFC</v>
      </c>
      <c r="K306">
        <f t="shared" si="4"/>
        <v>201945</v>
      </c>
      <c r="L306">
        <f>IFERROR(Table1[[#This Row],[Demand]]/SUMIFS(Table1[Demand],Table1[Fiscal_Year],Table1[[#This Row],[Fiscal_Year]],Table1[BRAND],Table1[[#This Row],[BRAND]],Table1[DC_name_Xref],Table1[[#This Row],[DC_name_Xref]]),0)</f>
        <v>7.6749725312346015E-2</v>
      </c>
      <c r="M3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306" s="3">
        <f>IFERROR(INDEX(Table3[#All],MATCH(Table1[[#This Row],[Key_Year_Week_Brand]],Table3[[#All],[Key_Year_Week_Brand]],0),MATCH(Table1[[#This Row],[DC_name_Xref]],Table3[#Headers],0)),0)</f>
        <v>1</v>
      </c>
      <c r="O306">
        <f>IFERROR(INDEX(Table35[#All],MATCH(Table1[[#This Row],[Key_Year_Week_Brand]],Table35[[#All],[Key_Year_Month_Brand]],0),MATCH(Table1[[#This Row],[DC_name_Xref]],Table35[#Headers],0)),0)</f>
        <v>71179</v>
      </c>
    </row>
    <row r="307" spans="1:15" x14ac:dyDescent="0.3">
      <c r="A307" s="19" t="str">
        <f>Table1[[#This Row],[Year_Week]]&amp;"-"&amp;Table1[[#This Row],[DC_name_Xref]]</f>
        <v>201945-TFC</v>
      </c>
      <c r="B307" s="19" t="str">
        <f>Table1[[#This Row],[Fiscal_Year]]*100+Table1[[#This Row],[Fiscal_Week]] &amp; "-" &amp;Table1[[#This Row],[BRAND]]</f>
        <v>201945-BR Factory Store</v>
      </c>
      <c r="C307" t="str">
        <f>Table1[[#This Row],[Fiscal_Year]]&amp;"-"&amp;Table1[[#This Row],[BRAND]]</f>
        <v>2019-BR Factory Store</v>
      </c>
      <c r="D307">
        <v>2019</v>
      </c>
      <c r="E307">
        <v>45</v>
      </c>
      <c r="F307" t="s">
        <v>17</v>
      </c>
      <c r="G307" t="s">
        <v>21</v>
      </c>
      <c r="H307">
        <v>2</v>
      </c>
      <c r="I307">
        <v>0</v>
      </c>
      <c r="J307" t="str">
        <f>VLOOKUP(H307,DC_Xref!A:B,2,FALSE)</f>
        <v>TFC</v>
      </c>
      <c r="K307">
        <f t="shared" si="4"/>
        <v>201945</v>
      </c>
      <c r="L307">
        <f>IFERROR(Table1[[#This Row],[Demand]]/SUMIFS(Table1[Demand],Table1[Fiscal_Year],Table1[[#This Row],[Fiscal_Year]],Table1[BRAND],Table1[[#This Row],[BRAND]],Table1[DC_name_Xref],Table1[[#This Row],[DC_name_Xref]]),0)</f>
        <v>0</v>
      </c>
      <c r="M3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07" s="3">
        <f>IFERROR(INDEX(Table3[#All],MATCH(Table1[[#This Row],[Key_Year_Week_Brand]],Table3[[#All],[Key_Year_Week_Brand]],0),MATCH(Table1[[#This Row],[DC_name_Xref]],Table3[#Headers],0)),0)</f>
        <v>0</v>
      </c>
      <c r="O307">
        <f>IFERROR(INDEX(Table35[#All],MATCH(Table1[[#This Row],[Key_Year_Week_Brand]],Table35[[#All],[Key_Year_Month_Brand]],0),MATCH(Table1[[#This Row],[DC_name_Xref]],Table35[#Headers],0)),0)</f>
        <v>0</v>
      </c>
    </row>
    <row r="308" spans="1:15" x14ac:dyDescent="0.3">
      <c r="A308" s="19" t="str">
        <f>Table1[[#This Row],[Year_Week]]&amp;"-"&amp;Table1[[#This Row],[DC_name_Xref]]</f>
        <v>201945-WFC</v>
      </c>
      <c r="B308" s="19" t="str">
        <f>Table1[[#This Row],[Fiscal_Year]]*100+Table1[[#This Row],[Fiscal_Week]] &amp; "-" &amp;Table1[[#This Row],[BRAND]]</f>
        <v>201945-BR Factory Store</v>
      </c>
      <c r="C308" t="str">
        <f>Table1[[#This Row],[Fiscal_Year]]&amp;"-"&amp;Table1[[#This Row],[BRAND]]</f>
        <v>2019-BR Factory Store</v>
      </c>
      <c r="D308">
        <v>2019</v>
      </c>
      <c r="E308">
        <v>45</v>
      </c>
      <c r="F308" t="s">
        <v>17</v>
      </c>
      <c r="G308" t="s">
        <v>7</v>
      </c>
      <c r="H308">
        <v>3</v>
      </c>
      <c r="I308">
        <v>0</v>
      </c>
      <c r="J308" t="str">
        <f>VLOOKUP(H308,DC_Xref!A:B,2,FALSE)</f>
        <v>WFC</v>
      </c>
      <c r="K308">
        <f t="shared" si="4"/>
        <v>201945</v>
      </c>
      <c r="L308">
        <f>IFERROR(Table1[[#This Row],[Demand]]/SUMIFS(Table1[Demand],Table1[Fiscal_Year],Table1[[#This Row],[Fiscal_Year]],Table1[BRAND],Table1[[#This Row],[BRAND]],Table1[DC_name_Xref],Table1[[#This Row],[DC_name_Xref]]),0)</f>
        <v>0</v>
      </c>
      <c r="M3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08" s="3">
        <f>IFERROR(INDEX(Table3[#All],MATCH(Table1[[#This Row],[Key_Year_Week_Brand]],Table3[[#All],[Key_Year_Week_Brand]],0),MATCH(Table1[[#This Row],[DC_name_Xref]],Table3[#Headers],0)),0)</f>
        <v>0</v>
      </c>
      <c r="O308">
        <f>IFERROR(INDEX(Table35[#All],MATCH(Table1[[#This Row],[Key_Year_Week_Brand]],Table35[[#All],[Key_Year_Month_Brand]],0),MATCH(Table1[[#This Row],[DC_name_Xref]],Table35[#Headers],0)),0)</f>
        <v>0</v>
      </c>
    </row>
    <row r="309" spans="1:15" x14ac:dyDescent="0.3">
      <c r="A309" s="19" t="str">
        <f>Table1[[#This Row],[Year_Week]]&amp;"-"&amp;Table1[[#This Row],[DC_name_Xref]]</f>
        <v>201945-EAO</v>
      </c>
      <c r="B309" s="19" t="str">
        <f>Table1[[#This Row],[Fiscal_Year]]*100+Table1[[#This Row],[Fiscal_Week]] &amp; "-" &amp;Table1[[#This Row],[BRAND]]</f>
        <v>201945-BR Factory Store</v>
      </c>
      <c r="C309" t="str">
        <f>Table1[[#This Row],[Fiscal_Year]]&amp;"-"&amp;Table1[[#This Row],[BRAND]]</f>
        <v>2019-BR Factory Store</v>
      </c>
      <c r="D309">
        <v>2019</v>
      </c>
      <c r="E309">
        <v>45</v>
      </c>
      <c r="F309" t="s">
        <v>17</v>
      </c>
      <c r="G309" t="s">
        <v>8</v>
      </c>
      <c r="H309">
        <v>4</v>
      </c>
      <c r="I309">
        <v>0</v>
      </c>
      <c r="J309" t="str">
        <f>VLOOKUP(H309,DC_Xref!A:B,2,FALSE)</f>
        <v>EAO</v>
      </c>
      <c r="K309">
        <f t="shared" si="4"/>
        <v>201945</v>
      </c>
      <c r="L309">
        <f>IFERROR(Table1[[#This Row],[Demand]]/SUMIFS(Table1[Demand],Table1[Fiscal_Year],Table1[[#This Row],[Fiscal_Year]],Table1[BRAND],Table1[[#This Row],[BRAND]],Table1[DC_name_Xref],Table1[[#This Row],[DC_name_Xref]]),0)</f>
        <v>0</v>
      </c>
      <c r="M3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09" s="3">
        <f>IFERROR(INDEX(Table3[#All],MATCH(Table1[[#This Row],[Key_Year_Week_Brand]],Table3[[#All],[Key_Year_Week_Brand]],0),MATCH(Table1[[#This Row],[DC_name_Xref]],Table3[#Headers],0)),0)</f>
        <v>0</v>
      </c>
      <c r="O309">
        <f>IFERROR(INDEX(Table35[#All],MATCH(Table1[[#This Row],[Key_Year_Week_Brand]],Table35[[#All],[Key_Year_Month_Brand]],0),MATCH(Table1[[#This Row],[DC_name_Xref]],Table35[#Headers],0)),0)</f>
        <v>0</v>
      </c>
    </row>
    <row r="310" spans="1:15" x14ac:dyDescent="0.3">
      <c r="A310" s="19" t="str">
        <f>Table1[[#This Row],[Year_Week]]&amp;"-"&amp;Table1[[#This Row],[DC_name_Xref]]</f>
        <v>201945-FFC-ODC</v>
      </c>
      <c r="B310" s="19" t="str">
        <f>Table1[[#This Row],[Fiscal_Year]]*100+Table1[[#This Row],[Fiscal_Week]] &amp; "-" &amp;Table1[[#This Row],[BRAND]]</f>
        <v>201945-BR Factory Store</v>
      </c>
      <c r="C310" t="str">
        <f>Table1[[#This Row],[Fiscal_Year]]&amp;"-"&amp;Table1[[#This Row],[BRAND]]</f>
        <v>2019-BR Factory Store</v>
      </c>
      <c r="D310">
        <v>2019</v>
      </c>
      <c r="E310">
        <v>45</v>
      </c>
      <c r="F310" t="s">
        <v>17</v>
      </c>
      <c r="G310" t="s">
        <v>23</v>
      </c>
      <c r="H310">
        <v>5</v>
      </c>
      <c r="I310">
        <v>0</v>
      </c>
      <c r="J310" t="str">
        <f>VLOOKUP(H310,DC_Xref!A:B,2,FALSE)</f>
        <v>FFC-ODC</v>
      </c>
      <c r="K310">
        <f t="shared" si="4"/>
        <v>201945</v>
      </c>
      <c r="L310">
        <f>IFERROR(Table1[[#This Row],[Demand]]/SUMIFS(Table1[Demand],Table1[Fiscal_Year],Table1[[#This Row],[Fiscal_Year]],Table1[BRAND],Table1[[#This Row],[BRAND]],Table1[DC_name_Xref],Table1[[#This Row],[DC_name_Xref]]),0)</f>
        <v>0</v>
      </c>
      <c r="M3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10" s="3">
        <f>IFERROR(INDEX(Table3[#All],MATCH(Table1[[#This Row],[Key_Year_Week_Brand]],Table3[[#All],[Key_Year_Week_Brand]],0),MATCH(Table1[[#This Row],[DC_name_Xref]],Table3[#Headers],0)),0)</f>
        <v>0</v>
      </c>
      <c r="O310">
        <f>IFERROR(INDEX(Table35[#All],MATCH(Table1[[#This Row],[Key_Year_Week_Brand]],Table35[[#All],[Key_Year_Month_Brand]],0),MATCH(Table1[[#This Row],[DC_name_Xref]],Table35[#Headers],0)),0)</f>
        <v>0</v>
      </c>
    </row>
    <row r="311" spans="1:15" x14ac:dyDescent="0.3">
      <c r="A311" s="19" t="str">
        <f>Table1[[#This Row],[Year_Week]]&amp;"-"&amp;Table1[[#This Row],[DC_name_Xref]]</f>
        <v>201945-WEO</v>
      </c>
      <c r="B311" s="19" t="str">
        <f>Table1[[#This Row],[Fiscal_Year]]*100+Table1[[#This Row],[Fiscal_Week]] &amp; "-" &amp;Table1[[#This Row],[BRAND]]</f>
        <v>201945-BR Factory Store</v>
      </c>
      <c r="C311" t="str">
        <f>Table1[[#This Row],[Fiscal_Year]]&amp;"-"&amp;Table1[[#This Row],[BRAND]]</f>
        <v>2019-BR Factory Store</v>
      </c>
      <c r="D311">
        <v>2019</v>
      </c>
      <c r="E311">
        <v>45</v>
      </c>
      <c r="F311" t="s">
        <v>17</v>
      </c>
      <c r="G311" t="s">
        <v>10</v>
      </c>
      <c r="H311">
        <v>6</v>
      </c>
      <c r="I311">
        <v>0</v>
      </c>
      <c r="J311" t="str">
        <f>VLOOKUP(H311,DC_Xref!A:B,2,FALSE)</f>
        <v>WEO</v>
      </c>
      <c r="K311">
        <f t="shared" si="4"/>
        <v>201945</v>
      </c>
      <c r="L311">
        <f>IFERROR(Table1[[#This Row],[Demand]]/SUMIFS(Table1[Demand],Table1[Fiscal_Year],Table1[[#This Row],[Fiscal_Year]],Table1[BRAND],Table1[[#This Row],[BRAND]],Table1[DC_name_Xref],Table1[[#This Row],[DC_name_Xref]]),0)</f>
        <v>0</v>
      </c>
      <c r="M3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11" s="3">
        <f>IFERROR(INDEX(Table3[#All],MATCH(Table1[[#This Row],[Key_Year_Week_Brand]],Table3[[#All],[Key_Year_Week_Brand]],0),MATCH(Table1[[#This Row],[DC_name_Xref]],Table3[#Headers],0)),0)</f>
        <v>0</v>
      </c>
      <c r="O311">
        <f>IFERROR(INDEX(Table35[#All],MATCH(Table1[[#This Row],[Key_Year_Week_Brand]],Table35[[#All],[Key_Year_Month_Brand]],0),MATCH(Table1[[#This Row],[DC_name_Xref]],Table35[#Headers],0)),0)</f>
        <v>0</v>
      </c>
    </row>
    <row r="312" spans="1:15" x14ac:dyDescent="0.3">
      <c r="A312" s="19" t="str">
        <f>Table1[[#This Row],[Year_Week]]&amp;"-"&amp;Table1[[#This Row],[DC_name_Xref]]</f>
        <v>201945-OCC</v>
      </c>
      <c r="B312" s="19" t="str">
        <f>Table1[[#This Row],[Fiscal_Year]]*100+Table1[[#This Row],[Fiscal_Week]] &amp; "-" &amp;Table1[[#This Row],[BRAND]]</f>
        <v>201945-BR Factory Store</v>
      </c>
      <c r="C312" t="str">
        <f>Table1[[#This Row],[Fiscal_Year]]&amp;"-"&amp;Table1[[#This Row],[BRAND]]</f>
        <v>2019-BR Factory Store</v>
      </c>
      <c r="D312">
        <v>2019</v>
      </c>
      <c r="E312">
        <v>45</v>
      </c>
      <c r="F312" t="s">
        <v>17</v>
      </c>
      <c r="G312" t="s">
        <v>11</v>
      </c>
      <c r="H312">
        <v>7</v>
      </c>
      <c r="I312">
        <v>0</v>
      </c>
      <c r="J312" t="str">
        <f>VLOOKUP(H312,DC_Xref!A:B,2,FALSE)</f>
        <v>OCC</v>
      </c>
      <c r="K312">
        <f t="shared" si="4"/>
        <v>201945</v>
      </c>
      <c r="L312">
        <f>IFERROR(Table1[[#This Row],[Demand]]/SUMIFS(Table1[Demand],Table1[Fiscal_Year],Table1[[#This Row],[Fiscal_Year]],Table1[BRAND],Table1[[#This Row],[BRAND]],Table1[DC_name_Xref],Table1[[#This Row],[DC_name_Xref]]),0)</f>
        <v>0</v>
      </c>
      <c r="M3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12" s="3">
        <f>IFERROR(INDEX(Table3[#All],MATCH(Table1[[#This Row],[Key_Year_Week_Brand]],Table3[[#All],[Key_Year_Week_Brand]],0),MATCH(Table1[[#This Row],[DC_name_Xref]],Table3[#Headers],0)),0)</f>
        <v>0</v>
      </c>
      <c r="O312">
        <f>IFERROR(INDEX(Table35[#All],MATCH(Table1[[#This Row],[Key_Year_Week_Brand]],Table35[[#All],[Key_Year_Month_Brand]],0),MATCH(Table1[[#This Row],[DC_name_Xref]],Table35[#Headers],0)),0)</f>
        <v>0</v>
      </c>
    </row>
    <row r="313" spans="1:15" x14ac:dyDescent="0.3">
      <c r="A313" s="19" t="str">
        <f>Table1[[#This Row],[Year_Week]]&amp;"-"&amp;Table1[[#This Row],[DC_name_Xref]]</f>
        <v>201945-EAO</v>
      </c>
      <c r="B313" s="19" t="str">
        <f>Table1[[#This Row],[Fiscal_Year]]*100+Table1[[#This Row],[Fiscal_Week]] &amp; "-" &amp;Table1[[#This Row],[BRAND]]</f>
        <v>201945-Banana Republic</v>
      </c>
      <c r="C313" t="str">
        <f>Table1[[#This Row],[Fiscal_Year]]&amp;"-"&amp;Table1[[#This Row],[BRAND]]</f>
        <v>2019-Banana Republic</v>
      </c>
      <c r="D313">
        <v>2019</v>
      </c>
      <c r="E313">
        <v>45</v>
      </c>
      <c r="F313" t="s">
        <v>18</v>
      </c>
      <c r="G313" t="s">
        <v>8</v>
      </c>
      <c r="H313">
        <v>4</v>
      </c>
      <c r="I313">
        <v>6</v>
      </c>
      <c r="J313" t="str">
        <f>VLOOKUP(H313,DC_Xref!A:B,2,FALSE)</f>
        <v>EAO</v>
      </c>
      <c r="K313">
        <f t="shared" si="4"/>
        <v>201945</v>
      </c>
      <c r="L313">
        <f>IFERROR(Table1[[#This Row],[Demand]]/SUMIFS(Table1[Demand],Table1[Fiscal_Year],Table1[[#This Row],[Fiscal_Year]],Table1[BRAND],Table1[[#This Row],[BRAND]],Table1[DC_name_Xref],Table1[[#This Row],[DC_name_Xref]]),0)</f>
        <v>8.5714285714285715E-2</v>
      </c>
      <c r="M3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4.2145773802427838E-5</v>
      </c>
      <c r="N313" s="3">
        <f>IFERROR(INDEX(Table3[#All],MATCH(Table1[[#This Row],[Key_Year_Week_Brand]],Table3[[#All],[Key_Year_Week_Brand]],0),MATCH(Table1[[#This Row],[DC_name_Xref]],Table3[#Headers],0)),0)</f>
        <v>4.2339995602855504E-5</v>
      </c>
      <c r="O313">
        <f>IFERROR(INDEX(Table35[#All],MATCH(Table1[[#This Row],[Key_Year_Week_Brand]],Table35[[#All],[Key_Year_Month_Brand]],0),MATCH(Table1[[#This Row],[DC_name_Xref]],Table35[#Headers],0)),0)</f>
        <v>9.2034871841883046</v>
      </c>
    </row>
    <row r="314" spans="1:15" x14ac:dyDescent="0.3">
      <c r="A314" s="19" t="str">
        <f>Table1[[#This Row],[Year_Week]]&amp;"-"&amp;Table1[[#This Row],[DC_name_Xref]]</f>
        <v>201945-FFC-ODC</v>
      </c>
      <c r="B314" s="19" t="str">
        <f>Table1[[#This Row],[Fiscal_Year]]*100+Table1[[#This Row],[Fiscal_Week]] &amp; "-" &amp;Table1[[#This Row],[BRAND]]</f>
        <v>201945-Banana Republic</v>
      </c>
      <c r="C314" t="str">
        <f>Table1[[#This Row],[Fiscal_Year]]&amp;"-"&amp;Table1[[#This Row],[BRAND]]</f>
        <v>2019-Banana Republic</v>
      </c>
      <c r="D314">
        <v>2019</v>
      </c>
      <c r="E314">
        <v>45</v>
      </c>
      <c r="F314" t="s">
        <v>18</v>
      </c>
      <c r="G314" t="s">
        <v>23</v>
      </c>
      <c r="H314">
        <v>5</v>
      </c>
      <c r="I314">
        <v>0</v>
      </c>
      <c r="J314" t="str">
        <f>VLOOKUP(H314,DC_Xref!A:B,2,FALSE)</f>
        <v>FFC-ODC</v>
      </c>
      <c r="K314">
        <f t="shared" si="4"/>
        <v>201945</v>
      </c>
      <c r="L314">
        <f>IFERROR(Table1[[#This Row],[Demand]]/SUMIFS(Table1[Demand],Table1[Fiscal_Year],Table1[[#This Row],[Fiscal_Year]],Table1[BRAND],Table1[[#This Row],[BRAND]],Table1[DC_name_Xref],Table1[[#This Row],[DC_name_Xref]]),0)</f>
        <v>0</v>
      </c>
      <c r="M3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14" s="3">
        <f>IFERROR(INDEX(Table3[#All],MATCH(Table1[[#This Row],[Key_Year_Week_Brand]],Table3[[#All],[Key_Year_Week_Brand]],0),MATCH(Table1[[#This Row],[DC_name_Xref]],Table3[#Headers],0)),0)</f>
        <v>0</v>
      </c>
      <c r="O314">
        <f>IFERROR(INDEX(Table35[#All],MATCH(Table1[[#This Row],[Key_Year_Week_Brand]],Table35[[#All],[Key_Year_Month_Brand]],0),MATCH(Table1[[#This Row],[DC_name_Xref]],Table35[#Headers],0)),0)</f>
        <v>0</v>
      </c>
    </row>
    <row r="315" spans="1:15" x14ac:dyDescent="0.3">
      <c r="A315" s="19" t="str">
        <f>Table1[[#This Row],[Year_Week]]&amp;"-"&amp;Table1[[#This Row],[DC_name_Xref]]</f>
        <v>201945-WEO</v>
      </c>
      <c r="B315" s="19" t="str">
        <f>Table1[[#This Row],[Fiscal_Year]]*100+Table1[[#This Row],[Fiscal_Week]] &amp; "-" &amp;Table1[[#This Row],[BRAND]]</f>
        <v>201945-Banana Republic</v>
      </c>
      <c r="C315" t="str">
        <f>Table1[[#This Row],[Fiscal_Year]]&amp;"-"&amp;Table1[[#This Row],[BRAND]]</f>
        <v>2019-Banana Republic</v>
      </c>
      <c r="D315">
        <v>2019</v>
      </c>
      <c r="E315">
        <v>45</v>
      </c>
      <c r="F315" t="s">
        <v>18</v>
      </c>
      <c r="G315" t="s">
        <v>10</v>
      </c>
      <c r="H315">
        <v>6</v>
      </c>
      <c r="I315">
        <v>0</v>
      </c>
      <c r="J315" t="str">
        <f>VLOOKUP(H315,DC_Xref!A:B,2,FALSE)</f>
        <v>WEO</v>
      </c>
      <c r="K315">
        <f t="shared" si="4"/>
        <v>201945</v>
      </c>
      <c r="L315">
        <f>IFERROR(Table1[[#This Row],[Demand]]/SUMIFS(Table1[Demand],Table1[Fiscal_Year],Table1[[#This Row],[Fiscal_Year]],Table1[BRAND],Table1[[#This Row],[BRAND]],Table1[DC_name_Xref],Table1[[#This Row],[DC_name_Xref]]),0)</f>
        <v>0</v>
      </c>
      <c r="M3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15" s="3">
        <f>IFERROR(INDEX(Table3[#All],MATCH(Table1[[#This Row],[Key_Year_Week_Brand]],Table3[[#All],[Key_Year_Week_Brand]],0),MATCH(Table1[[#This Row],[DC_name_Xref]],Table3[#Headers],0)),0)</f>
        <v>0</v>
      </c>
      <c r="O315">
        <f>IFERROR(INDEX(Table35[#All],MATCH(Table1[[#This Row],[Key_Year_Week_Brand]],Table35[[#All],[Key_Year_Month_Brand]],0),MATCH(Table1[[#This Row],[DC_name_Xref]],Table35[#Headers],0)),0)</f>
        <v>0</v>
      </c>
    </row>
    <row r="316" spans="1:15" x14ac:dyDescent="0.3">
      <c r="A316" s="19" t="str">
        <f>Table1[[#This Row],[Year_Week]]&amp;"-"&amp;Table1[[#This Row],[DC_name_Xref]]</f>
        <v>201945-OCC</v>
      </c>
      <c r="B316" s="19" t="str">
        <f>Table1[[#This Row],[Fiscal_Year]]*100+Table1[[#This Row],[Fiscal_Week]] &amp; "-" &amp;Table1[[#This Row],[BRAND]]</f>
        <v>201945-Banana Republic</v>
      </c>
      <c r="C316" t="str">
        <f>Table1[[#This Row],[Fiscal_Year]]&amp;"-"&amp;Table1[[#This Row],[BRAND]]</f>
        <v>2019-Banana Republic</v>
      </c>
      <c r="D316">
        <v>2019</v>
      </c>
      <c r="E316">
        <v>45</v>
      </c>
      <c r="F316" t="s">
        <v>18</v>
      </c>
      <c r="G316" t="s">
        <v>11</v>
      </c>
      <c r="H316">
        <v>7</v>
      </c>
      <c r="I316">
        <v>0</v>
      </c>
      <c r="J316" t="str">
        <f>VLOOKUP(H316,DC_Xref!A:B,2,FALSE)</f>
        <v>OCC</v>
      </c>
      <c r="K316">
        <f t="shared" si="4"/>
        <v>201945</v>
      </c>
      <c r="L316">
        <f>IFERROR(Table1[[#This Row],[Demand]]/SUMIFS(Table1[Demand],Table1[Fiscal_Year],Table1[[#This Row],[Fiscal_Year]],Table1[BRAND],Table1[[#This Row],[BRAND]],Table1[DC_name_Xref],Table1[[#This Row],[DC_name_Xref]]),0)</f>
        <v>0</v>
      </c>
      <c r="M3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16" s="3">
        <f>IFERROR(INDEX(Table3[#All],MATCH(Table1[[#This Row],[Key_Year_Week_Brand]],Table3[[#All],[Key_Year_Week_Brand]],0),MATCH(Table1[[#This Row],[DC_name_Xref]],Table3[#Headers],0)),0)</f>
        <v>0</v>
      </c>
      <c r="O316">
        <f>IFERROR(INDEX(Table35[#All],MATCH(Table1[[#This Row],[Key_Year_Week_Brand]],Table35[[#All],[Key_Year_Month_Brand]],0),MATCH(Table1[[#This Row],[DC_name_Xref]],Table35[#Headers],0)),0)</f>
        <v>0</v>
      </c>
    </row>
    <row r="317" spans="1:15" x14ac:dyDescent="0.3">
      <c r="A317" s="19" t="str">
        <f>Table1[[#This Row],[Year_Week]]&amp;"-"&amp;Table1[[#This Row],[DC_name_Xref]]</f>
        <v>201945-OFC</v>
      </c>
      <c r="B317" s="19" t="str">
        <f>Table1[[#This Row],[Fiscal_Year]]*100+Table1[[#This Row],[Fiscal_Week]] &amp; "-" &amp;Table1[[#This Row],[BRAND]]</f>
        <v>201945-Gap</v>
      </c>
      <c r="C317" t="str">
        <f>Table1[[#This Row],[Fiscal_Year]]&amp;"-"&amp;Table1[[#This Row],[BRAND]]</f>
        <v>2019-Gap</v>
      </c>
      <c r="D317">
        <v>2019</v>
      </c>
      <c r="E317">
        <v>45</v>
      </c>
      <c r="F317" t="s">
        <v>16</v>
      </c>
      <c r="G317" t="s">
        <v>5</v>
      </c>
      <c r="H317">
        <v>1</v>
      </c>
      <c r="I317">
        <v>733031</v>
      </c>
      <c r="J317" t="str">
        <f>VLOOKUP(H317,DC_Xref!A:B,2,FALSE)</f>
        <v>OFC</v>
      </c>
      <c r="K317">
        <f t="shared" si="4"/>
        <v>201945</v>
      </c>
      <c r="L317">
        <f>IFERROR(Table1[[#This Row],[Demand]]/SUMIFS(Table1[Demand],Table1[Fiscal_Year],Table1[[#This Row],[Fiscal_Year]],Table1[BRAND],Table1[[#This Row],[BRAND]],Table1[DC_name_Xref],Table1[[#This Row],[DC_name_Xref]]),0)</f>
        <v>0.1176201869424008</v>
      </c>
      <c r="M3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0.66900248732212841</v>
      </c>
      <c r="N317" s="3">
        <f>IFERROR(INDEX(Table3[#All],MATCH(Table1[[#This Row],[Key_Year_Week_Brand]],Table3[[#All],[Key_Year_Week_Brand]],0),MATCH(Table1[[#This Row],[DC_name_Xref]],Table3[#Headers],0)),0)</f>
        <v>0.25</v>
      </c>
      <c r="O317">
        <f>IFERROR(INDEX(Table35[#All],MATCH(Table1[[#This Row],[Key_Year_Week_Brand]],Table35[[#All],[Key_Year_Month_Brand]],0),MATCH(Table1[[#This Row],[DC_name_Xref]],Table35[#Headers],0)),0)</f>
        <v>260093</v>
      </c>
    </row>
    <row r="318" spans="1:15" x14ac:dyDescent="0.3">
      <c r="A318" s="19" t="str">
        <f>Table1[[#This Row],[Year_Week]]&amp;"-"&amp;Table1[[#This Row],[DC_name_Xref]]</f>
        <v>201945-TFC</v>
      </c>
      <c r="B318" s="19" t="str">
        <f>Table1[[#This Row],[Fiscal_Year]]*100+Table1[[#This Row],[Fiscal_Week]] &amp; "-" &amp;Table1[[#This Row],[BRAND]]</f>
        <v>201945-Gap</v>
      </c>
      <c r="C318" t="str">
        <f>Table1[[#This Row],[Fiscal_Year]]&amp;"-"&amp;Table1[[#This Row],[BRAND]]</f>
        <v>2019-Gap</v>
      </c>
      <c r="D318">
        <v>2019</v>
      </c>
      <c r="E318">
        <v>45</v>
      </c>
      <c r="F318" t="s">
        <v>16</v>
      </c>
      <c r="G318" t="s">
        <v>21</v>
      </c>
      <c r="H318">
        <v>2</v>
      </c>
      <c r="I318">
        <v>231</v>
      </c>
      <c r="J318" t="str">
        <f>VLOOKUP(H318,DC_Xref!A:B,2,FALSE)</f>
        <v>TFC</v>
      </c>
      <c r="K318">
        <f t="shared" si="4"/>
        <v>201945</v>
      </c>
      <c r="L318">
        <f>IFERROR(Table1[[#This Row],[Demand]]/SUMIFS(Table1[Demand],Table1[Fiscal_Year],Table1[[#This Row],[Fiscal_Year]],Table1[BRAND],Table1[[#This Row],[BRAND]],Table1[DC_name_Xref],Table1[[#This Row],[DC_name_Xref]]),0)</f>
        <v>0.20588235294117646</v>
      </c>
      <c r="M3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1.2044259756252951E-4</v>
      </c>
      <c r="N318" s="3">
        <f>IFERROR(INDEX(Table3[#All],MATCH(Table1[[#This Row],[Key_Year_Week_Brand]],Table3[[#All],[Key_Year_Week_Brand]],0),MATCH(Table1[[#This Row],[DC_name_Xref]],Table3[#Headers],0)),0)</f>
        <v>0.2</v>
      </c>
      <c r="O318">
        <f>IFERROR(INDEX(Table35[#All],MATCH(Table1[[#This Row],[Key_Year_Week_Brand]],Table35[[#All],[Key_Year_Month_Brand]],0),MATCH(Table1[[#This Row],[DC_name_Xref]],Table35[#Headers],0)),0)</f>
        <v>208074.40000000002</v>
      </c>
    </row>
    <row r="319" spans="1:15" x14ac:dyDescent="0.3">
      <c r="A319" s="19" t="str">
        <f>Table1[[#This Row],[Year_Week]]&amp;"-"&amp;Table1[[#This Row],[DC_name_Xref]]</f>
        <v>201945-WFC</v>
      </c>
      <c r="B319" s="19" t="str">
        <f>Table1[[#This Row],[Fiscal_Year]]*100+Table1[[#This Row],[Fiscal_Week]] &amp; "-" &amp;Table1[[#This Row],[BRAND]]</f>
        <v>201945-Gap</v>
      </c>
      <c r="C319" t="str">
        <f>Table1[[#This Row],[Fiscal_Year]]&amp;"-"&amp;Table1[[#This Row],[BRAND]]</f>
        <v>2019-Gap</v>
      </c>
      <c r="D319">
        <v>2019</v>
      </c>
      <c r="E319">
        <v>45</v>
      </c>
      <c r="F319" t="s">
        <v>16</v>
      </c>
      <c r="G319" t="s">
        <v>7</v>
      </c>
      <c r="H319">
        <v>3</v>
      </c>
      <c r="I319">
        <v>18771</v>
      </c>
      <c r="J319" t="str">
        <f>VLOOKUP(H319,DC_Xref!A:B,2,FALSE)</f>
        <v>WFC</v>
      </c>
      <c r="K319">
        <f t="shared" si="4"/>
        <v>201945</v>
      </c>
      <c r="L319">
        <f>IFERROR(Table1[[#This Row],[Demand]]/SUMIFS(Table1[Demand],Table1[Fiscal_Year],Table1[[#This Row],[Fiscal_Year]],Table1[BRAND],Table1[[#This Row],[BRAND]],Table1[DC_name_Xref],Table1[[#This Row],[DC_name_Xref]]),0)</f>
        <v>8.4592539849210682E-2</v>
      </c>
      <c r="M3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2.3820046307065718E-2</v>
      </c>
      <c r="N319" s="3">
        <f>IFERROR(INDEX(Table3[#All],MATCH(Table1[[#This Row],[Key_Year_Week_Brand]],Table3[[#All],[Key_Year_Week_Brand]],0),MATCH(Table1[[#This Row],[DC_name_Xref]],Table3[#Headers],0)),0)</f>
        <v>0.15</v>
      </c>
      <c r="O319">
        <f>IFERROR(INDEX(Table35[#All],MATCH(Table1[[#This Row],[Key_Year_Week_Brand]],Table35[[#All],[Key_Year_Month_Brand]],0),MATCH(Table1[[#This Row],[DC_name_Xref]],Table35[#Headers],0)),0)</f>
        <v>156055.79999999999</v>
      </c>
    </row>
    <row r="320" spans="1:15" x14ac:dyDescent="0.3">
      <c r="A320" s="19" t="str">
        <f>Table1[[#This Row],[Year_Week]]&amp;"-"&amp;Table1[[#This Row],[DC_name_Xref]]</f>
        <v>201945-EAO</v>
      </c>
      <c r="B320" s="19" t="str">
        <f>Table1[[#This Row],[Fiscal_Year]]*100+Table1[[#This Row],[Fiscal_Week]] &amp; "-" &amp;Table1[[#This Row],[BRAND]]</f>
        <v>201945-Gap</v>
      </c>
      <c r="C320" t="str">
        <f>Table1[[#This Row],[Fiscal_Year]]&amp;"-"&amp;Table1[[#This Row],[BRAND]]</f>
        <v>2019-Gap</v>
      </c>
      <c r="D320">
        <v>2019</v>
      </c>
      <c r="E320">
        <v>45</v>
      </c>
      <c r="F320" t="s">
        <v>16</v>
      </c>
      <c r="G320" t="s">
        <v>8</v>
      </c>
      <c r="H320">
        <v>4</v>
      </c>
      <c r="I320">
        <v>105</v>
      </c>
      <c r="J320" t="str">
        <f>VLOOKUP(H320,DC_Xref!A:B,2,FALSE)</f>
        <v>EAO</v>
      </c>
      <c r="K320">
        <f t="shared" si="4"/>
        <v>201945</v>
      </c>
      <c r="L320">
        <f>IFERROR(Table1[[#This Row],[Demand]]/SUMIFS(Table1[Demand],Table1[Fiscal_Year],Table1[[#This Row],[Fiscal_Year]],Table1[BRAND],Table1[[#This Row],[BRAND]],Table1[DC_name_Xref],Table1[[#This Row],[DC_name_Xref]]),0)</f>
        <v>9.3917710196779969E-2</v>
      </c>
      <c r="M3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1.2001321218797504E-4</v>
      </c>
      <c r="N320" s="3">
        <f>IFERROR(INDEX(Table3[#All],MATCH(Table1[[#This Row],[Key_Year_Week_Brand]],Table3[[#All],[Key_Year_Week_Brand]],0),MATCH(Table1[[#This Row],[DC_name_Xref]],Table3[#Headers],0)),0)</f>
        <v>0</v>
      </c>
      <c r="O320">
        <f>IFERROR(INDEX(Table35[#All],MATCH(Table1[[#This Row],[Key_Year_Week_Brand]],Table35[[#All],[Key_Year_Month_Brand]],0),MATCH(Table1[[#This Row],[DC_name_Xref]],Table35[#Headers],0)),0)</f>
        <v>0</v>
      </c>
    </row>
    <row r="321" spans="1:15" x14ac:dyDescent="0.3">
      <c r="A321" s="19" t="str">
        <f>Table1[[#This Row],[Year_Week]]&amp;"-"&amp;Table1[[#This Row],[DC_name_Xref]]</f>
        <v>201945-FFC-ODC</v>
      </c>
      <c r="B321" s="19" t="str">
        <f>Table1[[#This Row],[Fiscal_Year]]*100+Table1[[#This Row],[Fiscal_Week]] &amp; "-" &amp;Table1[[#This Row],[BRAND]]</f>
        <v>201945-Gap</v>
      </c>
      <c r="C321" t="str">
        <f>Table1[[#This Row],[Fiscal_Year]]&amp;"-"&amp;Table1[[#This Row],[BRAND]]</f>
        <v>2019-Gap</v>
      </c>
      <c r="D321">
        <v>2019</v>
      </c>
      <c r="E321">
        <v>45</v>
      </c>
      <c r="F321" t="s">
        <v>16</v>
      </c>
      <c r="G321" t="s">
        <v>23</v>
      </c>
      <c r="H321">
        <v>5</v>
      </c>
      <c r="I321">
        <v>0</v>
      </c>
      <c r="J321" t="str">
        <f>VLOOKUP(H321,DC_Xref!A:B,2,FALSE)</f>
        <v>FFC-ODC</v>
      </c>
      <c r="K321">
        <f t="shared" si="4"/>
        <v>201945</v>
      </c>
      <c r="L321">
        <f>IFERROR(Table1[[#This Row],[Demand]]/SUMIFS(Table1[Demand],Table1[Fiscal_Year],Table1[[#This Row],[Fiscal_Year]],Table1[BRAND],Table1[[#This Row],[BRAND]],Table1[DC_name_Xref],Table1[[#This Row],[DC_name_Xref]]),0)</f>
        <v>0</v>
      </c>
      <c r="M3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21" s="3">
        <f>IFERROR(INDEX(Table3[#All],MATCH(Table1[[#This Row],[Key_Year_Week_Brand]],Table3[[#All],[Key_Year_Week_Brand]],0),MATCH(Table1[[#This Row],[DC_name_Xref]],Table3[#Headers],0)),0)</f>
        <v>0</v>
      </c>
      <c r="O321">
        <f>IFERROR(INDEX(Table35[#All],MATCH(Table1[[#This Row],[Key_Year_Week_Brand]],Table35[[#All],[Key_Year_Month_Brand]],0),MATCH(Table1[[#This Row],[DC_name_Xref]],Table35[#Headers],0)),0)</f>
        <v>0</v>
      </c>
    </row>
    <row r="322" spans="1:15" x14ac:dyDescent="0.3">
      <c r="A322" s="19" t="str">
        <f>Table1[[#This Row],[Year_Week]]&amp;"-"&amp;Table1[[#This Row],[DC_name_Xref]]</f>
        <v>201945-WEO</v>
      </c>
      <c r="B322" s="19" t="str">
        <f>Table1[[#This Row],[Fiscal_Year]]*100+Table1[[#This Row],[Fiscal_Week]] &amp; "-" &amp;Table1[[#This Row],[BRAND]]</f>
        <v>201945-Gap</v>
      </c>
      <c r="C322" t="str">
        <f>Table1[[#This Row],[Fiscal_Year]]&amp;"-"&amp;Table1[[#This Row],[BRAND]]</f>
        <v>2019-Gap</v>
      </c>
      <c r="D322">
        <v>2019</v>
      </c>
      <c r="E322">
        <v>45</v>
      </c>
      <c r="F322" t="s">
        <v>16</v>
      </c>
      <c r="G322" t="s">
        <v>10</v>
      </c>
      <c r="H322">
        <v>6</v>
      </c>
      <c r="I322">
        <v>288234</v>
      </c>
      <c r="J322" t="str">
        <f>VLOOKUP(H322,DC_Xref!A:B,2,FALSE)</f>
        <v>WEO</v>
      </c>
      <c r="K322">
        <f t="shared" ref="K322:K385" si="5">D322*100+E322</f>
        <v>201945</v>
      </c>
      <c r="L322">
        <f>IFERROR(Table1[[#This Row],[Demand]]/SUMIFS(Table1[Demand],Table1[Fiscal_Year],Table1[[#This Row],[Fiscal_Year]],Table1[BRAND],Table1[[#This Row],[BRAND]],Table1[DC_name_Xref],Table1[[#This Row],[DC_name_Xref]]),0)</f>
        <v>0.10080526279895709</v>
      </c>
      <c r="M3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0.30693701056105532</v>
      </c>
      <c r="N322" s="3">
        <f>IFERROR(INDEX(Table3[#All],MATCH(Table1[[#This Row],[Key_Year_Week_Brand]],Table3[[#All],[Key_Year_Week_Brand]],0),MATCH(Table1[[#This Row],[DC_name_Xref]],Table3[#Headers],0)),0)</f>
        <v>0.4</v>
      </c>
      <c r="O322">
        <f>IFERROR(INDEX(Table35[#All],MATCH(Table1[[#This Row],[Key_Year_Week_Brand]],Table35[[#All],[Key_Year_Month_Brand]],0),MATCH(Table1[[#This Row],[DC_name_Xref]],Table35[#Headers],0)),0)</f>
        <v>416148.80000000005</v>
      </c>
    </row>
    <row r="323" spans="1:15" x14ac:dyDescent="0.3">
      <c r="A323" s="19" t="str">
        <f>Table1[[#This Row],[Year_Week]]&amp;"-"&amp;Table1[[#This Row],[DC_name_Xref]]</f>
        <v>201945-OCC</v>
      </c>
      <c r="B323" s="19" t="str">
        <f>Table1[[#This Row],[Fiscal_Year]]*100+Table1[[#This Row],[Fiscal_Week]] &amp; "-" &amp;Table1[[#This Row],[BRAND]]</f>
        <v>201945-Gap</v>
      </c>
      <c r="C323" t="str">
        <f>Table1[[#This Row],[Fiscal_Year]]&amp;"-"&amp;Table1[[#This Row],[BRAND]]</f>
        <v>2019-Gap</v>
      </c>
      <c r="D323">
        <v>2019</v>
      </c>
      <c r="E323">
        <v>45</v>
      </c>
      <c r="F323" t="s">
        <v>16</v>
      </c>
      <c r="G323" t="s">
        <v>11</v>
      </c>
      <c r="H323">
        <v>7</v>
      </c>
      <c r="I323">
        <v>0</v>
      </c>
      <c r="J323" t="str">
        <f>VLOOKUP(H323,DC_Xref!A:B,2,FALSE)</f>
        <v>OCC</v>
      </c>
      <c r="K323">
        <f t="shared" si="5"/>
        <v>201945</v>
      </c>
      <c r="L323">
        <f>IFERROR(Table1[[#This Row],[Demand]]/SUMIFS(Table1[Demand],Table1[Fiscal_Year],Table1[[#This Row],[Fiscal_Year]],Table1[BRAND],Table1[[#This Row],[BRAND]],Table1[DC_name_Xref],Table1[[#This Row],[DC_name_Xref]]),0)</f>
        <v>0</v>
      </c>
      <c r="M3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23" s="3">
        <f>IFERROR(INDEX(Table3[#All],MATCH(Table1[[#This Row],[Key_Year_Week_Brand]],Table3[[#All],[Key_Year_Week_Brand]],0),MATCH(Table1[[#This Row],[DC_name_Xref]],Table3[#Headers],0)),0)</f>
        <v>0</v>
      </c>
      <c r="O323">
        <f>IFERROR(INDEX(Table35[#All],MATCH(Table1[[#This Row],[Key_Year_Week_Brand]],Table35[[#All],[Key_Year_Month_Brand]],0),MATCH(Table1[[#This Row],[DC_name_Xref]],Table35[#Headers],0)),0)</f>
        <v>0</v>
      </c>
    </row>
    <row r="324" spans="1:15" x14ac:dyDescent="0.3">
      <c r="A324" s="19" t="str">
        <f>Table1[[#This Row],[Year_Week]]&amp;"-"&amp;Table1[[#This Row],[DC_name_Xref]]</f>
        <v>201945-OFC</v>
      </c>
      <c r="B324" s="19" t="str">
        <f>Table1[[#This Row],[Fiscal_Year]]*100+Table1[[#This Row],[Fiscal_Week]] &amp; "-" &amp;Table1[[#This Row],[BRAND]]</f>
        <v>201945-Athleta</v>
      </c>
      <c r="C324" t="str">
        <f>Table1[[#This Row],[Fiscal_Year]]&amp;"-"&amp;Table1[[#This Row],[BRAND]]</f>
        <v>2019-Athleta</v>
      </c>
      <c r="D324">
        <v>2019</v>
      </c>
      <c r="E324">
        <v>45</v>
      </c>
      <c r="F324" t="s">
        <v>19</v>
      </c>
      <c r="G324" t="s">
        <v>5</v>
      </c>
      <c r="H324">
        <v>1</v>
      </c>
      <c r="I324">
        <v>20726</v>
      </c>
      <c r="J324" t="str">
        <f>VLOOKUP(H324,DC_Xref!A:B,2,FALSE)</f>
        <v>OFC</v>
      </c>
      <c r="K324">
        <f t="shared" si="5"/>
        <v>201945</v>
      </c>
      <c r="L324">
        <f>IFERROR(Table1[[#This Row],[Demand]]/SUMIFS(Table1[Demand],Table1[Fiscal_Year],Table1[[#This Row],[Fiscal_Year]],Table1[BRAND],Table1[[#This Row],[BRAND]],Table1[DC_name_Xref],Table1[[#This Row],[DC_name_Xref]]),0)</f>
        <v>0.16335634793026263</v>
      </c>
      <c r="M3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0.10136821038082189</v>
      </c>
      <c r="N324" s="3">
        <f>IFERROR(INDEX(Table3[#All],MATCH(Table1[[#This Row],[Key_Year_Week_Brand]],Table3[[#All],[Key_Year_Week_Brand]],0),MATCH(Table1[[#This Row],[DC_name_Xref]],Table3[#Headers],0)),0)</f>
        <v>0</v>
      </c>
      <c r="O324">
        <f>IFERROR(INDEX(Table35[#All],MATCH(Table1[[#This Row],[Key_Year_Week_Brand]],Table35[[#All],[Key_Year_Month_Brand]],0),MATCH(Table1[[#This Row],[DC_name_Xref]],Table35[#Headers],0)),0)</f>
        <v>0</v>
      </c>
    </row>
    <row r="325" spans="1:15" x14ac:dyDescent="0.3">
      <c r="A325" s="19" t="str">
        <f>Table1[[#This Row],[Year_Week]]&amp;"-"&amp;Table1[[#This Row],[DC_name_Xref]]</f>
        <v>201945-TFC</v>
      </c>
      <c r="B325" s="19" t="str">
        <f>Table1[[#This Row],[Fiscal_Year]]*100+Table1[[#This Row],[Fiscal_Week]] &amp; "-" &amp;Table1[[#This Row],[BRAND]]</f>
        <v>201945-Athleta</v>
      </c>
      <c r="C325" t="str">
        <f>Table1[[#This Row],[Fiscal_Year]]&amp;"-"&amp;Table1[[#This Row],[BRAND]]</f>
        <v>2019-Athleta</v>
      </c>
      <c r="D325">
        <v>2019</v>
      </c>
      <c r="E325">
        <v>45</v>
      </c>
      <c r="F325" t="s">
        <v>19</v>
      </c>
      <c r="G325" t="s">
        <v>21</v>
      </c>
      <c r="H325">
        <v>2</v>
      </c>
      <c r="I325">
        <v>162489</v>
      </c>
      <c r="J325" t="str">
        <f>VLOOKUP(H325,DC_Xref!A:B,2,FALSE)</f>
        <v>TFC</v>
      </c>
      <c r="K325">
        <f t="shared" si="5"/>
        <v>201945</v>
      </c>
      <c r="L325">
        <f>IFERROR(Table1[[#This Row],[Demand]]/SUMIFS(Table1[Demand],Table1[Fiscal_Year],Table1[[#This Row],[Fiscal_Year]],Table1[BRAND],Table1[[#This Row],[BRAND]],Table1[DC_name_Xref],Table1[[#This Row],[DC_name_Xref]]),0)</f>
        <v>0.14447113760273705</v>
      </c>
      <c r="M3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0.89859743455560126</v>
      </c>
      <c r="N325" s="3">
        <f>IFERROR(INDEX(Table3[#All],MATCH(Table1[[#This Row],[Key_Year_Week_Brand]],Table3[[#All],[Key_Year_Week_Brand]],0),MATCH(Table1[[#This Row],[DC_name_Xref]],Table3[#Headers],0)),0)</f>
        <v>1</v>
      </c>
      <c r="O325">
        <f>IFERROR(INDEX(Table35[#All],MATCH(Table1[[#This Row],[Key_Year_Week_Brand]],Table35[[#All],[Key_Year_Month_Brand]],0),MATCH(Table1[[#This Row],[DC_name_Xref]],Table35[#Headers],0)),0)</f>
        <v>183224</v>
      </c>
    </row>
    <row r="326" spans="1:15" x14ac:dyDescent="0.3">
      <c r="A326" s="19" t="str">
        <f>Table1[[#This Row],[Year_Week]]&amp;"-"&amp;Table1[[#This Row],[DC_name_Xref]]</f>
        <v>201945-WFC</v>
      </c>
      <c r="B326" s="19" t="str">
        <f>Table1[[#This Row],[Fiscal_Year]]*100+Table1[[#This Row],[Fiscal_Week]] &amp; "-" &amp;Table1[[#This Row],[BRAND]]</f>
        <v>201945-Athleta</v>
      </c>
      <c r="C326" t="str">
        <f>Table1[[#This Row],[Fiscal_Year]]&amp;"-"&amp;Table1[[#This Row],[BRAND]]</f>
        <v>2019-Athleta</v>
      </c>
      <c r="D326">
        <v>2019</v>
      </c>
      <c r="E326">
        <v>45</v>
      </c>
      <c r="F326" t="s">
        <v>19</v>
      </c>
      <c r="G326" t="s">
        <v>7</v>
      </c>
      <c r="H326">
        <v>3</v>
      </c>
      <c r="I326">
        <v>0</v>
      </c>
      <c r="J326" t="str">
        <f>VLOOKUP(H326,DC_Xref!A:B,2,FALSE)</f>
        <v>WFC</v>
      </c>
      <c r="K326">
        <f t="shared" si="5"/>
        <v>201945</v>
      </c>
      <c r="L326">
        <f>IFERROR(Table1[[#This Row],[Demand]]/SUMIFS(Table1[Demand],Table1[Fiscal_Year],Table1[[#This Row],[Fiscal_Year]],Table1[BRAND],Table1[[#This Row],[BRAND]],Table1[DC_name_Xref],Table1[[#This Row],[DC_name_Xref]]),0)</f>
        <v>0</v>
      </c>
      <c r="M3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26" s="3">
        <f>IFERROR(INDEX(Table3[#All],MATCH(Table1[[#This Row],[Key_Year_Week_Brand]],Table3[[#All],[Key_Year_Week_Brand]],0),MATCH(Table1[[#This Row],[DC_name_Xref]],Table3[#Headers],0)),0)</f>
        <v>0</v>
      </c>
      <c r="O326">
        <f>IFERROR(INDEX(Table35[#All],MATCH(Table1[[#This Row],[Key_Year_Week_Brand]],Table35[[#All],[Key_Year_Month_Brand]],0),MATCH(Table1[[#This Row],[DC_name_Xref]],Table35[#Headers],0)),0)</f>
        <v>0</v>
      </c>
    </row>
    <row r="327" spans="1:15" x14ac:dyDescent="0.3">
      <c r="A327" s="19" t="str">
        <f>Table1[[#This Row],[Year_Week]]&amp;"-"&amp;Table1[[#This Row],[DC_name_Xref]]</f>
        <v>201945-EAO</v>
      </c>
      <c r="B327" s="19" t="str">
        <f>Table1[[#This Row],[Fiscal_Year]]*100+Table1[[#This Row],[Fiscal_Week]] &amp; "-" &amp;Table1[[#This Row],[BRAND]]</f>
        <v>201945-Athleta</v>
      </c>
      <c r="C327" t="str">
        <f>Table1[[#This Row],[Fiscal_Year]]&amp;"-"&amp;Table1[[#This Row],[BRAND]]</f>
        <v>2019-Athleta</v>
      </c>
      <c r="D327">
        <v>2019</v>
      </c>
      <c r="E327">
        <v>45</v>
      </c>
      <c r="F327" t="s">
        <v>19</v>
      </c>
      <c r="G327" t="s">
        <v>8</v>
      </c>
      <c r="H327">
        <v>4</v>
      </c>
      <c r="I327">
        <v>9</v>
      </c>
      <c r="J327" t="str">
        <f>VLOOKUP(H327,DC_Xref!A:B,2,FALSE)</f>
        <v>EAO</v>
      </c>
      <c r="K327">
        <f t="shared" si="5"/>
        <v>201945</v>
      </c>
      <c r="L327">
        <f>IFERROR(Table1[[#This Row],[Demand]]/SUMIFS(Table1[Demand],Table1[Fiscal_Year],Table1[[#This Row],[Fiscal_Year]],Table1[BRAND],Table1[[#This Row],[BRAND]],Table1[DC_name_Xref],Table1[[#This Row],[DC_name_Xref]]),0)</f>
        <v>0.20930232558139536</v>
      </c>
      <c r="M3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3.435506357684149E-5</v>
      </c>
      <c r="N327" s="3">
        <f>IFERROR(INDEX(Table3[#All],MATCH(Table1[[#This Row],[Key_Year_Week_Brand]],Table3[[#All],[Key_Year_Week_Brand]],0),MATCH(Table1[[#This Row],[DC_name_Xref]],Table3[#Headers],0)),0)</f>
        <v>3.447122356821831E-5</v>
      </c>
      <c r="O327">
        <f>IFERROR(INDEX(Table35[#All],MATCH(Table1[[#This Row],[Key_Year_Week_Brand]],Table35[[#All],[Key_Year_Month_Brand]],0),MATCH(Table1[[#This Row],[DC_name_Xref]],Table35[#Headers],0)),0)</f>
        <v>6.3159554670632314</v>
      </c>
    </row>
    <row r="328" spans="1:15" x14ac:dyDescent="0.3">
      <c r="A328" s="19" t="str">
        <f>Table1[[#This Row],[Year_Week]]&amp;"-"&amp;Table1[[#This Row],[DC_name_Xref]]</f>
        <v>201945-FFC-ODC</v>
      </c>
      <c r="B328" s="19" t="str">
        <f>Table1[[#This Row],[Fiscal_Year]]*100+Table1[[#This Row],[Fiscal_Week]] &amp; "-" &amp;Table1[[#This Row],[BRAND]]</f>
        <v>201945-Athleta</v>
      </c>
      <c r="C328" t="str">
        <f>Table1[[#This Row],[Fiscal_Year]]&amp;"-"&amp;Table1[[#This Row],[BRAND]]</f>
        <v>2019-Athleta</v>
      </c>
      <c r="D328">
        <v>2019</v>
      </c>
      <c r="E328">
        <v>45</v>
      </c>
      <c r="F328" t="s">
        <v>19</v>
      </c>
      <c r="G328" t="s">
        <v>23</v>
      </c>
      <c r="H328">
        <v>5</v>
      </c>
      <c r="I328">
        <v>0</v>
      </c>
      <c r="J328" t="str">
        <f>VLOOKUP(H328,DC_Xref!A:B,2,FALSE)</f>
        <v>FFC-ODC</v>
      </c>
      <c r="K328">
        <f t="shared" si="5"/>
        <v>201945</v>
      </c>
      <c r="L328">
        <f>IFERROR(Table1[[#This Row],[Demand]]/SUMIFS(Table1[Demand],Table1[Fiscal_Year],Table1[[#This Row],[Fiscal_Year]],Table1[BRAND],Table1[[#This Row],[BRAND]],Table1[DC_name_Xref],Table1[[#This Row],[DC_name_Xref]]),0)</f>
        <v>0</v>
      </c>
      <c r="M3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28" s="3">
        <f>IFERROR(INDEX(Table3[#All],MATCH(Table1[[#This Row],[Key_Year_Week_Brand]],Table3[[#All],[Key_Year_Week_Brand]],0),MATCH(Table1[[#This Row],[DC_name_Xref]],Table3[#Headers],0)),0)</f>
        <v>0</v>
      </c>
      <c r="O328">
        <f>IFERROR(INDEX(Table35[#All],MATCH(Table1[[#This Row],[Key_Year_Week_Brand]],Table35[[#All],[Key_Year_Month_Brand]],0),MATCH(Table1[[#This Row],[DC_name_Xref]],Table35[#Headers],0)),0)</f>
        <v>0</v>
      </c>
    </row>
    <row r="329" spans="1:15" x14ac:dyDescent="0.3">
      <c r="A329" s="19" t="str">
        <f>Table1[[#This Row],[Year_Week]]&amp;"-"&amp;Table1[[#This Row],[DC_name_Xref]]</f>
        <v>201945-WEO</v>
      </c>
      <c r="B329" s="19" t="str">
        <f>Table1[[#This Row],[Fiscal_Year]]*100+Table1[[#This Row],[Fiscal_Week]] &amp; "-" &amp;Table1[[#This Row],[BRAND]]</f>
        <v>201945-Athleta</v>
      </c>
      <c r="C329" t="str">
        <f>Table1[[#This Row],[Fiscal_Year]]&amp;"-"&amp;Table1[[#This Row],[BRAND]]</f>
        <v>2019-Athleta</v>
      </c>
      <c r="D329">
        <v>2019</v>
      </c>
      <c r="E329">
        <v>45</v>
      </c>
      <c r="F329" t="s">
        <v>19</v>
      </c>
      <c r="G329" t="s">
        <v>10</v>
      </c>
      <c r="H329">
        <v>6</v>
      </c>
      <c r="I329">
        <v>0</v>
      </c>
      <c r="J329" t="str">
        <f>VLOOKUP(H329,DC_Xref!A:B,2,FALSE)</f>
        <v>WEO</v>
      </c>
      <c r="K329">
        <f t="shared" si="5"/>
        <v>201945</v>
      </c>
      <c r="L329">
        <f>IFERROR(Table1[[#This Row],[Demand]]/SUMIFS(Table1[Demand],Table1[Fiscal_Year],Table1[[#This Row],[Fiscal_Year]],Table1[BRAND],Table1[[#This Row],[BRAND]],Table1[DC_name_Xref],Table1[[#This Row],[DC_name_Xref]]),0)</f>
        <v>0</v>
      </c>
      <c r="M3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29" s="3">
        <f>IFERROR(INDEX(Table3[#All],MATCH(Table1[[#This Row],[Key_Year_Week_Brand]],Table3[[#All],[Key_Year_Week_Brand]],0),MATCH(Table1[[#This Row],[DC_name_Xref]],Table3[#Headers],0)),0)</f>
        <v>0</v>
      </c>
      <c r="O329">
        <f>IFERROR(INDEX(Table35[#All],MATCH(Table1[[#This Row],[Key_Year_Week_Brand]],Table35[[#All],[Key_Year_Month_Brand]],0),MATCH(Table1[[#This Row],[DC_name_Xref]],Table35[#Headers],0)),0)</f>
        <v>0</v>
      </c>
    </row>
    <row r="330" spans="1:15" x14ac:dyDescent="0.3">
      <c r="A330" s="19" t="str">
        <f>Table1[[#This Row],[Year_Week]]&amp;"-"&amp;Table1[[#This Row],[DC_name_Xref]]</f>
        <v>201945-OCC</v>
      </c>
      <c r="B330" s="19" t="str">
        <f>Table1[[#This Row],[Fiscal_Year]]*100+Table1[[#This Row],[Fiscal_Week]] &amp; "-" &amp;Table1[[#This Row],[BRAND]]</f>
        <v>201945-Athleta</v>
      </c>
      <c r="C330" t="str">
        <f>Table1[[#This Row],[Fiscal_Year]]&amp;"-"&amp;Table1[[#This Row],[BRAND]]</f>
        <v>2019-Athleta</v>
      </c>
      <c r="D330">
        <v>2019</v>
      </c>
      <c r="E330">
        <v>45</v>
      </c>
      <c r="F330" t="s">
        <v>19</v>
      </c>
      <c r="G330" t="s">
        <v>11</v>
      </c>
      <c r="H330">
        <v>7</v>
      </c>
      <c r="I330">
        <v>0</v>
      </c>
      <c r="J330" t="str">
        <f>VLOOKUP(H330,DC_Xref!A:B,2,FALSE)</f>
        <v>OCC</v>
      </c>
      <c r="K330">
        <f t="shared" si="5"/>
        <v>201945</v>
      </c>
      <c r="L330">
        <f>IFERROR(Table1[[#This Row],[Demand]]/SUMIFS(Table1[Demand],Table1[Fiscal_Year],Table1[[#This Row],[Fiscal_Year]],Table1[BRAND],Table1[[#This Row],[BRAND]],Table1[DC_name_Xref],Table1[[#This Row],[DC_name_Xref]]),0)</f>
        <v>0</v>
      </c>
      <c r="M3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0" s="3">
        <f>IFERROR(INDEX(Table3[#All],MATCH(Table1[[#This Row],[Key_Year_Week_Brand]],Table3[[#All],[Key_Year_Week_Brand]],0),MATCH(Table1[[#This Row],[DC_name_Xref]],Table3[#Headers],0)),0)</f>
        <v>0</v>
      </c>
      <c r="O330">
        <f>IFERROR(INDEX(Table35[#All],MATCH(Table1[[#This Row],[Key_Year_Week_Brand]],Table35[[#All],[Key_Year_Month_Brand]],0),MATCH(Table1[[#This Row],[DC_name_Xref]],Table35[#Headers],0)),0)</f>
        <v>0</v>
      </c>
    </row>
    <row r="331" spans="1:15" x14ac:dyDescent="0.3">
      <c r="A331" s="19" t="str">
        <f>Table1[[#This Row],[Year_Week]]&amp;"-"&amp;Table1[[#This Row],[DC_name_Xref]]</f>
        <v>201945-OFC</v>
      </c>
      <c r="B331" s="19" t="str">
        <f>Table1[[#This Row],[Fiscal_Year]]*100+Table1[[#This Row],[Fiscal_Week]] &amp; "-" &amp;Table1[[#This Row],[BRAND]]</f>
        <v>201945-Gap Factory Store</v>
      </c>
      <c r="C331" t="str">
        <f>Table1[[#This Row],[Fiscal_Year]]&amp;"-"&amp;Table1[[#This Row],[BRAND]]</f>
        <v>2019-Gap Factory Store</v>
      </c>
      <c r="D331">
        <v>2019</v>
      </c>
      <c r="E331">
        <v>45</v>
      </c>
      <c r="F331" t="s">
        <v>22</v>
      </c>
      <c r="G331" t="s">
        <v>5</v>
      </c>
      <c r="H331">
        <v>1</v>
      </c>
      <c r="I331">
        <v>253763</v>
      </c>
      <c r="J331" t="str">
        <f>VLOOKUP(H331,DC_Xref!A:B,2,FALSE)</f>
        <v>OFC</v>
      </c>
      <c r="K331">
        <f t="shared" si="5"/>
        <v>201945</v>
      </c>
      <c r="L331">
        <f>IFERROR(Table1[[#This Row],[Demand]]/SUMIFS(Table1[Demand],Table1[Fiscal_Year],Table1[[#This Row],[Fiscal_Year]],Table1[BRAND],Table1[[#This Row],[BRAND]],Table1[DC_name_Xref],Table1[[#This Row],[DC_name_Xref]]),0)</f>
        <v>0.11098811318064485</v>
      </c>
      <c r="M3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331" s="3">
        <f>IFERROR(INDEX(Table3[#All],MATCH(Table1[[#This Row],[Key_Year_Week_Brand]],Table3[[#All],[Key_Year_Week_Brand]],0),MATCH(Table1[[#This Row],[DC_name_Xref]],Table3[#Headers],0)),0)</f>
        <v>1</v>
      </c>
      <c r="O331">
        <f>IFERROR(INDEX(Table35[#All],MATCH(Table1[[#This Row],[Key_Year_Week_Brand]],Table35[[#All],[Key_Year_Month_Brand]],0),MATCH(Table1[[#This Row],[DC_name_Xref]],Table35[#Headers],0)),0)</f>
        <v>253763</v>
      </c>
    </row>
    <row r="332" spans="1:15" x14ac:dyDescent="0.3">
      <c r="A332" s="19" t="str">
        <f>Table1[[#This Row],[Year_Week]]&amp;"-"&amp;Table1[[#This Row],[DC_name_Xref]]</f>
        <v>201945-TFC</v>
      </c>
      <c r="B332" s="19" t="str">
        <f>Table1[[#This Row],[Fiscal_Year]]*100+Table1[[#This Row],[Fiscal_Week]] &amp; "-" &amp;Table1[[#This Row],[BRAND]]</f>
        <v>201945-Gap Factory Store</v>
      </c>
      <c r="C332" t="str">
        <f>Table1[[#This Row],[Fiscal_Year]]&amp;"-"&amp;Table1[[#This Row],[BRAND]]</f>
        <v>2019-Gap Factory Store</v>
      </c>
      <c r="D332">
        <v>2019</v>
      </c>
      <c r="E332">
        <v>45</v>
      </c>
      <c r="F332" t="s">
        <v>22</v>
      </c>
      <c r="G332" t="s">
        <v>21</v>
      </c>
      <c r="H332">
        <v>2</v>
      </c>
      <c r="I332">
        <v>0</v>
      </c>
      <c r="J332" t="str">
        <f>VLOOKUP(H332,DC_Xref!A:B,2,FALSE)</f>
        <v>TFC</v>
      </c>
      <c r="K332">
        <f t="shared" si="5"/>
        <v>201945</v>
      </c>
      <c r="L332">
        <f>IFERROR(Table1[[#This Row],[Demand]]/SUMIFS(Table1[Demand],Table1[Fiscal_Year],Table1[[#This Row],[Fiscal_Year]],Table1[BRAND],Table1[[#This Row],[BRAND]],Table1[DC_name_Xref],Table1[[#This Row],[DC_name_Xref]]),0)</f>
        <v>0</v>
      </c>
      <c r="M3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2" s="3">
        <f>IFERROR(INDEX(Table3[#All],MATCH(Table1[[#This Row],[Key_Year_Week_Brand]],Table3[[#All],[Key_Year_Week_Brand]],0),MATCH(Table1[[#This Row],[DC_name_Xref]],Table3[#Headers],0)),0)</f>
        <v>0</v>
      </c>
      <c r="O332">
        <f>IFERROR(INDEX(Table35[#All],MATCH(Table1[[#This Row],[Key_Year_Week_Brand]],Table35[[#All],[Key_Year_Month_Brand]],0),MATCH(Table1[[#This Row],[DC_name_Xref]],Table35[#Headers],0)),0)</f>
        <v>0</v>
      </c>
    </row>
    <row r="333" spans="1:15" x14ac:dyDescent="0.3">
      <c r="A333" s="19" t="str">
        <f>Table1[[#This Row],[Year_Week]]&amp;"-"&amp;Table1[[#This Row],[DC_name_Xref]]</f>
        <v>201945-WFC</v>
      </c>
      <c r="B333" s="19" t="str">
        <f>Table1[[#This Row],[Fiscal_Year]]*100+Table1[[#This Row],[Fiscal_Week]] &amp; "-" &amp;Table1[[#This Row],[BRAND]]</f>
        <v>201945-Gap Factory Store</v>
      </c>
      <c r="C333" t="str">
        <f>Table1[[#This Row],[Fiscal_Year]]&amp;"-"&amp;Table1[[#This Row],[BRAND]]</f>
        <v>2019-Gap Factory Store</v>
      </c>
      <c r="D333">
        <v>2019</v>
      </c>
      <c r="E333">
        <v>45</v>
      </c>
      <c r="F333" t="s">
        <v>22</v>
      </c>
      <c r="G333" t="s">
        <v>7</v>
      </c>
      <c r="H333">
        <v>3</v>
      </c>
      <c r="I333">
        <v>0</v>
      </c>
      <c r="J333" t="str">
        <f>VLOOKUP(H333,DC_Xref!A:B,2,FALSE)</f>
        <v>WFC</v>
      </c>
      <c r="K333">
        <f t="shared" si="5"/>
        <v>201945</v>
      </c>
      <c r="L333">
        <f>IFERROR(Table1[[#This Row],[Demand]]/SUMIFS(Table1[Demand],Table1[Fiscal_Year],Table1[[#This Row],[Fiscal_Year]],Table1[BRAND],Table1[[#This Row],[BRAND]],Table1[DC_name_Xref],Table1[[#This Row],[DC_name_Xref]]),0)</f>
        <v>0</v>
      </c>
      <c r="M3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3" s="3">
        <f>IFERROR(INDEX(Table3[#All],MATCH(Table1[[#This Row],[Key_Year_Week_Brand]],Table3[[#All],[Key_Year_Week_Brand]],0),MATCH(Table1[[#This Row],[DC_name_Xref]],Table3[#Headers],0)),0)</f>
        <v>0</v>
      </c>
      <c r="O333">
        <f>IFERROR(INDEX(Table35[#All],MATCH(Table1[[#This Row],[Key_Year_Week_Brand]],Table35[[#All],[Key_Year_Month_Brand]],0),MATCH(Table1[[#This Row],[DC_name_Xref]],Table35[#Headers],0)),0)</f>
        <v>0</v>
      </c>
    </row>
    <row r="334" spans="1:15" x14ac:dyDescent="0.3">
      <c r="A334" s="19" t="str">
        <f>Table1[[#This Row],[Year_Week]]&amp;"-"&amp;Table1[[#This Row],[DC_name_Xref]]</f>
        <v>201945-EAO</v>
      </c>
      <c r="B334" s="19" t="str">
        <f>Table1[[#This Row],[Fiscal_Year]]*100+Table1[[#This Row],[Fiscal_Week]] &amp; "-" &amp;Table1[[#This Row],[BRAND]]</f>
        <v>201945-Gap Factory Store</v>
      </c>
      <c r="C334" t="str">
        <f>Table1[[#This Row],[Fiscal_Year]]&amp;"-"&amp;Table1[[#This Row],[BRAND]]</f>
        <v>2019-Gap Factory Store</v>
      </c>
      <c r="D334">
        <v>2019</v>
      </c>
      <c r="E334">
        <v>45</v>
      </c>
      <c r="F334" t="s">
        <v>22</v>
      </c>
      <c r="G334" t="s">
        <v>8</v>
      </c>
      <c r="H334">
        <v>4</v>
      </c>
      <c r="I334">
        <v>0</v>
      </c>
      <c r="J334" t="str">
        <f>VLOOKUP(H334,DC_Xref!A:B,2,FALSE)</f>
        <v>EAO</v>
      </c>
      <c r="K334">
        <f t="shared" si="5"/>
        <v>201945</v>
      </c>
      <c r="L334">
        <f>IFERROR(Table1[[#This Row],[Demand]]/SUMIFS(Table1[Demand],Table1[Fiscal_Year],Table1[[#This Row],[Fiscal_Year]],Table1[BRAND],Table1[[#This Row],[BRAND]],Table1[DC_name_Xref],Table1[[#This Row],[DC_name_Xref]]),0)</f>
        <v>0</v>
      </c>
      <c r="M3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4" s="3">
        <f>IFERROR(INDEX(Table3[#All],MATCH(Table1[[#This Row],[Key_Year_Week_Brand]],Table3[[#All],[Key_Year_Week_Brand]],0),MATCH(Table1[[#This Row],[DC_name_Xref]],Table3[#Headers],0)),0)</f>
        <v>0</v>
      </c>
      <c r="O334">
        <f>IFERROR(INDEX(Table35[#All],MATCH(Table1[[#This Row],[Key_Year_Week_Brand]],Table35[[#All],[Key_Year_Month_Brand]],0),MATCH(Table1[[#This Row],[DC_name_Xref]],Table35[#Headers],0)),0)</f>
        <v>0</v>
      </c>
    </row>
    <row r="335" spans="1:15" x14ac:dyDescent="0.3">
      <c r="A335" s="19" t="str">
        <f>Table1[[#This Row],[Year_Week]]&amp;"-"&amp;Table1[[#This Row],[DC_name_Xref]]</f>
        <v>201945-FFC-ODC</v>
      </c>
      <c r="B335" s="19" t="str">
        <f>Table1[[#This Row],[Fiscal_Year]]*100+Table1[[#This Row],[Fiscal_Week]] &amp; "-" &amp;Table1[[#This Row],[BRAND]]</f>
        <v>201945-Gap Factory Store</v>
      </c>
      <c r="C335" t="str">
        <f>Table1[[#This Row],[Fiscal_Year]]&amp;"-"&amp;Table1[[#This Row],[BRAND]]</f>
        <v>2019-Gap Factory Store</v>
      </c>
      <c r="D335">
        <v>2019</v>
      </c>
      <c r="E335">
        <v>45</v>
      </c>
      <c r="F335" t="s">
        <v>22</v>
      </c>
      <c r="G335" t="s">
        <v>23</v>
      </c>
      <c r="H335">
        <v>5</v>
      </c>
      <c r="I335">
        <v>0</v>
      </c>
      <c r="J335" t="str">
        <f>VLOOKUP(H335,DC_Xref!A:B,2,FALSE)</f>
        <v>FFC-ODC</v>
      </c>
      <c r="K335">
        <f t="shared" si="5"/>
        <v>201945</v>
      </c>
      <c r="L335">
        <f>IFERROR(Table1[[#This Row],[Demand]]/SUMIFS(Table1[Demand],Table1[Fiscal_Year],Table1[[#This Row],[Fiscal_Year]],Table1[BRAND],Table1[[#This Row],[BRAND]],Table1[DC_name_Xref],Table1[[#This Row],[DC_name_Xref]]),0)</f>
        <v>0</v>
      </c>
      <c r="M3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5" s="3">
        <f>IFERROR(INDEX(Table3[#All],MATCH(Table1[[#This Row],[Key_Year_Week_Brand]],Table3[[#All],[Key_Year_Week_Brand]],0),MATCH(Table1[[#This Row],[DC_name_Xref]],Table3[#Headers],0)),0)</f>
        <v>0</v>
      </c>
      <c r="O335">
        <f>IFERROR(INDEX(Table35[#All],MATCH(Table1[[#This Row],[Key_Year_Week_Brand]],Table35[[#All],[Key_Year_Month_Brand]],0),MATCH(Table1[[#This Row],[DC_name_Xref]],Table35[#Headers],0)),0)</f>
        <v>0</v>
      </c>
    </row>
    <row r="336" spans="1:15" x14ac:dyDescent="0.3">
      <c r="A336" s="19" t="str">
        <f>Table1[[#This Row],[Year_Week]]&amp;"-"&amp;Table1[[#This Row],[DC_name_Xref]]</f>
        <v>201945-WEO</v>
      </c>
      <c r="B336" s="19" t="str">
        <f>Table1[[#This Row],[Fiscal_Year]]*100+Table1[[#This Row],[Fiscal_Week]] &amp; "-" &amp;Table1[[#This Row],[BRAND]]</f>
        <v>201945-Gap Factory Store</v>
      </c>
      <c r="C336" t="str">
        <f>Table1[[#This Row],[Fiscal_Year]]&amp;"-"&amp;Table1[[#This Row],[BRAND]]</f>
        <v>2019-Gap Factory Store</v>
      </c>
      <c r="D336">
        <v>2019</v>
      </c>
      <c r="E336">
        <v>45</v>
      </c>
      <c r="F336" t="s">
        <v>22</v>
      </c>
      <c r="G336" t="s">
        <v>10</v>
      </c>
      <c r="H336">
        <v>6</v>
      </c>
      <c r="I336">
        <v>0</v>
      </c>
      <c r="J336" t="str">
        <f>VLOOKUP(H336,DC_Xref!A:B,2,FALSE)</f>
        <v>WEO</v>
      </c>
      <c r="K336">
        <f t="shared" si="5"/>
        <v>201945</v>
      </c>
      <c r="L336">
        <f>IFERROR(Table1[[#This Row],[Demand]]/SUMIFS(Table1[Demand],Table1[Fiscal_Year],Table1[[#This Row],[Fiscal_Year]],Table1[BRAND],Table1[[#This Row],[BRAND]],Table1[DC_name_Xref],Table1[[#This Row],[DC_name_Xref]]),0)</f>
        <v>0</v>
      </c>
      <c r="M3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6" s="3">
        <f>IFERROR(INDEX(Table3[#All],MATCH(Table1[[#This Row],[Key_Year_Week_Brand]],Table3[[#All],[Key_Year_Week_Brand]],0),MATCH(Table1[[#This Row],[DC_name_Xref]],Table3[#Headers],0)),0)</f>
        <v>0</v>
      </c>
      <c r="O336">
        <f>IFERROR(INDEX(Table35[#All],MATCH(Table1[[#This Row],[Key_Year_Week_Brand]],Table35[[#All],[Key_Year_Month_Brand]],0),MATCH(Table1[[#This Row],[DC_name_Xref]],Table35[#Headers],0)),0)</f>
        <v>0</v>
      </c>
    </row>
    <row r="337" spans="1:15" x14ac:dyDescent="0.3">
      <c r="A337" s="19" t="str">
        <f>Table1[[#This Row],[Year_Week]]&amp;"-"&amp;Table1[[#This Row],[DC_name_Xref]]</f>
        <v>201945-OCC</v>
      </c>
      <c r="B337" s="19" t="str">
        <f>Table1[[#This Row],[Fiscal_Year]]*100+Table1[[#This Row],[Fiscal_Week]] &amp; "-" &amp;Table1[[#This Row],[BRAND]]</f>
        <v>201945-Gap Factory Store</v>
      </c>
      <c r="C337" t="str">
        <f>Table1[[#This Row],[Fiscal_Year]]&amp;"-"&amp;Table1[[#This Row],[BRAND]]</f>
        <v>2019-Gap Factory Store</v>
      </c>
      <c r="D337">
        <v>2019</v>
      </c>
      <c r="E337">
        <v>45</v>
      </c>
      <c r="F337" t="s">
        <v>22</v>
      </c>
      <c r="G337" t="s">
        <v>11</v>
      </c>
      <c r="H337">
        <v>7</v>
      </c>
      <c r="I337">
        <v>0</v>
      </c>
      <c r="J337" t="str">
        <f>VLOOKUP(H337,DC_Xref!A:B,2,FALSE)</f>
        <v>OCC</v>
      </c>
      <c r="K337">
        <f t="shared" si="5"/>
        <v>201945</v>
      </c>
      <c r="L337">
        <f>IFERROR(Table1[[#This Row],[Demand]]/SUMIFS(Table1[Demand],Table1[Fiscal_Year],Table1[[#This Row],[Fiscal_Year]],Table1[BRAND],Table1[[#This Row],[BRAND]],Table1[DC_name_Xref],Table1[[#This Row],[DC_name_Xref]]),0)</f>
        <v>0</v>
      </c>
      <c r="M3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7" s="3">
        <f>IFERROR(INDEX(Table3[#All],MATCH(Table1[[#This Row],[Key_Year_Week_Brand]],Table3[[#All],[Key_Year_Week_Brand]],0),MATCH(Table1[[#This Row],[DC_name_Xref]],Table3[#Headers],0)),0)</f>
        <v>0</v>
      </c>
      <c r="O337">
        <f>IFERROR(INDEX(Table35[#All],MATCH(Table1[[#This Row],[Key_Year_Week_Brand]],Table35[[#All],[Key_Year_Month_Brand]],0),MATCH(Table1[[#This Row],[DC_name_Xref]],Table35[#Headers],0)),0)</f>
        <v>0</v>
      </c>
    </row>
    <row r="338" spans="1:15" x14ac:dyDescent="0.3">
      <c r="A338" s="19" t="str">
        <f>Table1[[#This Row],[Year_Week]]&amp;"-"&amp;Table1[[#This Row],[DC_name_Xref]]</f>
        <v>201946-OFC</v>
      </c>
      <c r="B338" s="19" t="str">
        <f>Table1[[#This Row],[Fiscal_Year]]*100+Table1[[#This Row],[Fiscal_Week]] &amp; "-" &amp;Table1[[#This Row],[BRAND]]</f>
        <v>201946-Gap Factory Store</v>
      </c>
      <c r="C338" t="str">
        <f>Table1[[#This Row],[Fiscal_Year]]&amp;"-"&amp;Table1[[#This Row],[BRAND]]</f>
        <v>2019-Gap Factory Store</v>
      </c>
      <c r="D338">
        <v>2019</v>
      </c>
      <c r="E338">
        <v>46</v>
      </c>
      <c r="F338" t="s">
        <v>22</v>
      </c>
      <c r="G338" t="s">
        <v>5</v>
      </c>
      <c r="H338">
        <v>1</v>
      </c>
      <c r="I338">
        <v>150976</v>
      </c>
      <c r="J338" t="str">
        <f>VLOOKUP(H338,DC_Xref!A:B,2,FALSE)</f>
        <v>OFC</v>
      </c>
      <c r="K338">
        <f t="shared" si="5"/>
        <v>201946</v>
      </c>
      <c r="L338">
        <f>IFERROR(Table1[[#This Row],[Demand]]/SUMIFS(Table1[Demand],Table1[Fiscal_Year],Table1[[#This Row],[Fiscal_Year]],Table1[BRAND],Table1[[#This Row],[BRAND]],Table1[DC_name_Xref],Table1[[#This Row],[DC_name_Xref]]),0)</f>
        <v>6.6032248103785954E-2</v>
      </c>
      <c r="M3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338" s="3">
        <f>IFERROR(INDEX(Table3[#All],MATCH(Table1[[#This Row],[Key_Year_Week_Brand]],Table3[[#All],[Key_Year_Week_Brand]],0),MATCH(Table1[[#This Row],[DC_name_Xref]],Table3[#Headers],0)),0)</f>
        <v>1</v>
      </c>
      <c r="O338">
        <f>IFERROR(INDEX(Table35[#All],MATCH(Table1[[#This Row],[Key_Year_Week_Brand]],Table35[[#All],[Key_Year_Month_Brand]],0),MATCH(Table1[[#This Row],[DC_name_Xref]],Table35[#Headers],0)),0)</f>
        <v>150976</v>
      </c>
    </row>
    <row r="339" spans="1:15" x14ac:dyDescent="0.3">
      <c r="A339" s="19" t="str">
        <f>Table1[[#This Row],[Year_Week]]&amp;"-"&amp;Table1[[#This Row],[DC_name_Xref]]</f>
        <v>201946-TFC</v>
      </c>
      <c r="B339" s="19" t="str">
        <f>Table1[[#This Row],[Fiscal_Year]]*100+Table1[[#This Row],[Fiscal_Week]] &amp; "-" &amp;Table1[[#This Row],[BRAND]]</f>
        <v>201946-Gap Factory Store</v>
      </c>
      <c r="C339" t="str">
        <f>Table1[[#This Row],[Fiscal_Year]]&amp;"-"&amp;Table1[[#This Row],[BRAND]]</f>
        <v>2019-Gap Factory Store</v>
      </c>
      <c r="D339">
        <v>2019</v>
      </c>
      <c r="E339">
        <v>46</v>
      </c>
      <c r="F339" t="s">
        <v>22</v>
      </c>
      <c r="G339" t="s">
        <v>21</v>
      </c>
      <c r="H339">
        <v>2</v>
      </c>
      <c r="I339">
        <v>0</v>
      </c>
      <c r="J339" t="str">
        <f>VLOOKUP(H339,DC_Xref!A:B,2,FALSE)</f>
        <v>TFC</v>
      </c>
      <c r="K339">
        <f t="shared" si="5"/>
        <v>201946</v>
      </c>
      <c r="L339">
        <f>IFERROR(Table1[[#This Row],[Demand]]/SUMIFS(Table1[Demand],Table1[Fiscal_Year],Table1[[#This Row],[Fiscal_Year]],Table1[BRAND],Table1[[#This Row],[BRAND]],Table1[DC_name_Xref],Table1[[#This Row],[DC_name_Xref]]),0)</f>
        <v>0</v>
      </c>
      <c r="M3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39" s="3">
        <f>IFERROR(INDEX(Table3[#All],MATCH(Table1[[#This Row],[Key_Year_Week_Brand]],Table3[[#All],[Key_Year_Week_Brand]],0),MATCH(Table1[[#This Row],[DC_name_Xref]],Table3[#Headers],0)),0)</f>
        <v>0</v>
      </c>
      <c r="O339">
        <f>IFERROR(INDEX(Table35[#All],MATCH(Table1[[#This Row],[Key_Year_Week_Brand]],Table35[[#All],[Key_Year_Month_Brand]],0),MATCH(Table1[[#This Row],[DC_name_Xref]],Table35[#Headers],0)),0)</f>
        <v>0</v>
      </c>
    </row>
    <row r="340" spans="1:15" x14ac:dyDescent="0.3">
      <c r="A340" s="19" t="str">
        <f>Table1[[#This Row],[Year_Week]]&amp;"-"&amp;Table1[[#This Row],[DC_name_Xref]]</f>
        <v>201946-WFC</v>
      </c>
      <c r="B340" s="19" t="str">
        <f>Table1[[#This Row],[Fiscal_Year]]*100+Table1[[#This Row],[Fiscal_Week]] &amp; "-" &amp;Table1[[#This Row],[BRAND]]</f>
        <v>201946-Gap Factory Store</v>
      </c>
      <c r="C340" t="str">
        <f>Table1[[#This Row],[Fiscal_Year]]&amp;"-"&amp;Table1[[#This Row],[BRAND]]</f>
        <v>2019-Gap Factory Store</v>
      </c>
      <c r="D340">
        <v>2019</v>
      </c>
      <c r="E340">
        <v>46</v>
      </c>
      <c r="F340" t="s">
        <v>22</v>
      </c>
      <c r="G340" t="s">
        <v>7</v>
      </c>
      <c r="H340">
        <v>3</v>
      </c>
      <c r="I340">
        <v>0</v>
      </c>
      <c r="J340" t="str">
        <f>VLOOKUP(H340,DC_Xref!A:B,2,FALSE)</f>
        <v>WFC</v>
      </c>
      <c r="K340">
        <f t="shared" si="5"/>
        <v>201946</v>
      </c>
      <c r="L340">
        <f>IFERROR(Table1[[#This Row],[Demand]]/SUMIFS(Table1[Demand],Table1[Fiscal_Year],Table1[[#This Row],[Fiscal_Year]],Table1[BRAND],Table1[[#This Row],[BRAND]],Table1[DC_name_Xref],Table1[[#This Row],[DC_name_Xref]]),0)</f>
        <v>0</v>
      </c>
      <c r="M3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0" s="3">
        <f>IFERROR(INDEX(Table3[#All],MATCH(Table1[[#This Row],[Key_Year_Week_Brand]],Table3[[#All],[Key_Year_Week_Brand]],0),MATCH(Table1[[#This Row],[DC_name_Xref]],Table3[#Headers],0)),0)</f>
        <v>0</v>
      </c>
      <c r="O340">
        <f>IFERROR(INDEX(Table35[#All],MATCH(Table1[[#This Row],[Key_Year_Week_Brand]],Table35[[#All],[Key_Year_Month_Brand]],0),MATCH(Table1[[#This Row],[DC_name_Xref]],Table35[#Headers],0)),0)</f>
        <v>0</v>
      </c>
    </row>
    <row r="341" spans="1:15" x14ac:dyDescent="0.3">
      <c r="A341" s="19" t="str">
        <f>Table1[[#This Row],[Year_Week]]&amp;"-"&amp;Table1[[#This Row],[DC_name_Xref]]</f>
        <v>201946-EAO</v>
      </c>
      <c r="B341" s="19" t="str">
        <f>Table1[[#This Row],[Fiscal_Year]]*100+Table1[[#This Row],[Fiscal_Week]] &amp; "-" &amp;Table1[[#This Row],[BRAND]]</f>
        <v>201946-Gap Factory Store</v>
      </c>
      <c r="C341" t="str">
        <f>Table1[[#This Row],[Fiscal_Year]]&amp;"-"&amp;Table1[[#This Row],[BRAND]]</f>
        <v>2019-Gap Factory Store</v>
      </c>
      <c r="D341">
        <v>2019</v>
      </c>
      <c r="E341">
        <v>46</v>
      </c>
      <c r="F341" t="s">
        <v>22</v>
      </c>
      <c r="G341" t="s">
        <v>8</v>
      </c>
      <c r="H341">
        <v>4</v>
      </c>
      <c r="I341">
        <v>0</v>
      </c>
      <c r="J341" t="str">
        <f>VLOOKUP(H341,DC_Xref!A:B,2,FALSE)</f>
        <v>EAO</v>
      </c>
      <c r="K341">
        <f t="shared" si="5"/>
        <v>201946</v>
      </c>
      <c r="L341">
        <f>IFERROR(Table1[[#This Row],[Demand]]/SUMIFS(Table1[Demand],Table1[Fiscal_Year],Table1[[#This Row],[Fiscal_Year]],Table1[BRAND],Table1[[#This Row],[BRAND]],Table1[DC_name_Xref],Table1[[#This Row],[DC_name_Xref]]),0)</f>
        <v>0</v>
      </c>
      <c r="M3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1" s="3">
        <f>IFERROR(INDEX(Table3[#All],MATCH(Table1[[#This Row],[Key_Year_Week_Brand]],Table3[[#All],[Key_Year_Week_Brand]],0),MATCH(Table1[[#This Row],[DC_name_Xref]],Table3[#Headers],0)),0)</f>
        <v>0</v>
      </c>
      <c r="O341">
        <f>IFERROR(INDEX(Table35[#All],MATCH(Table1[[#This Row],[Key_Year_Week_Brand]],Table35[[#All],[Key_Year_Month_Brand]],0),MATCH(Table1[[#This Row],[DC_name_Xref]],Table35[#Headers],0)),0)</f>
        <v>0</v>
      </c>
    </row>
    <row r="342" spans="1:15" x14ac:dyDescent="0.3">
      <c r="A342" s="19" t="str">
        <f>Table1[[#This Row],[Year_Week]]&amp;"-"&amp;Table1[[#This Row],[DC_name_Xref]]</f>
        <v>201946-FFC-ODC</v>
      </c>
      <c r="B342" s="19" t="str">
        <f>Table1[[#This Row],[Fiscal_Year]]*100+Table1[[#This Row],[Fiscal_Week]] &amp; "-" &amp;Table1[[#This Row],[BRAND]]</f>
        <v>201946-Gap Factory Store</v>
      </c>
      <c r="C342" t="str">
        <f>Table1[[#This Row],[Fiscal_Year]]&amp;"-"&amp;Table1[[#This Row],[BRAND]]</f>
        <v>2019-Gap Factory Store</v>
      </c>
      <c r="D342">
        <v>2019</v>
      </c>
      <c r="E342">
        <v>46</v>
      </c>
      <c r="F342" t="s">
        <v>22</v>
      </c>
      <c r="G342" t="s">
        <v>23</v>
      </c>
      <c r="H342">
        <v>5</v>
      </c>
      <c r="I342">
        <v>0</v>
      </c>
      <c r="J342" t="str">
        <f>VLOOKUP(H342,DC_Xref!A:B,2,FALSE)</f>
        <v>FFC-ODC</v>
      </c>
      <c r="K342">
        <f t="shared" si="5"/>
        <v>201946</v>
      </c>
      <c r="L342">
        <f>IFERROR(Table1[[#This Row],[Demand]]/SUMIFS(Table1[Demand],Table1[Fiscal_Year],Table1[[#This Row],[Fiscal_Year]],Table1[BRAND],Table1[[#This Row],[BRAND]],Table1[DC_name_Xref],Table1[[#This Row],[DC_name_Xref]]),0)</f>
        <v>0</v>
      </c>
      <c r="M3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2" s="3">
        <f>IFERROR(INDEX(Table3[#All],MATCH(Table1[[#This Row],[Key_Year_Week_Brand]],Table3[[#All],[Key_Year_Week_Brand]],0),MATCH(Table1[[#This Row],[DC_name_Xref]],Table3[#Headers],0)),0)</f>
        <v>0</v>
      </c>
      <c r="O342">
        <f>IFERROR(INDEX(Table35[#All],MATCH(Table1[[#This Row],[Key_Year_Week_Brand]],Table35[[#All],[Key_Year_Month_Brand]],0),MATCH(Table1[[#This Row],[DC_name_Xref]],Table35[#Headers],0)),0)</f>
        <v>0</v>
      </c>
    </row>
    <row r="343" spans="1:15" x14ac:dyDescent="0.3">
      <c r="A343" s="19" t="str">
        <f>Table1[[#This Row],[Year_Week]]&amp;"-"&amp;Table1[[#This Row],[DC_name_Xref]]</f>
        <v>201946-WEO</v>
      </c>
      <c r="B343" s="19" t="str">
        <f>Table1[[#This Row],[Fiscal_Year]]*100+Table1[[#This Row],[Fiscal_Week]] &amp; "-" &amp;Table1[[#This Row],[BRAND]]</f>
        <v>201946-Gap Factory Store</v>
      </c>
      <c r="C343" t="str">
        <f>Table1[[#This Row],[Fiscal_Year]]&amp;"-"&amp;Table1[[#This Row],[BRAND]]</f>
        <v>2019-Gap Factory Store</v>
      </c>
      <c r="D343">
        <v>2019</v>
      </c>
      <c r="E343">
        <v>46</v>
      </c>
      <c r="F343" t="s">
        <v>22</v>
      </c>
      <c r="G343" t="s">
        <v>10</v>
      </c>
      <c r="H343">
        <v>6</v>
      </c>
      <c r="I343">
        <v>0</v>
      </c>
      <c r="J343" t="str">
        <f>VLOOKUP(H343,DC_Xref!A:B,2,FALSE)</f>
        <v>WEO</v>
      </c>
      <c r="K343">
        <f t="shared" si="5"/>
        <v>201946</v>
      </c>
      <c r="L343">
        <f>IFERROR(Table1[[#This Row],[Demand]]/SUMIFS(Table1[Demand],Table1[Fiscal_Year],Table1[[#This Row],[Fiscal_Year]],Table1[BRAND],Table1[[#This Row],[BRAND]],Table1[DC_name_Xref],Table1[[#This Row],[DC_name_Xref]]),0)</f>
        <v>0</v>
      </c>
      <c r="M3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3" s="3">
        <f>IFERROR(INDEX(Table3[#All],MATCH(Table1[[#This Row],[Key_Year_Week_Brand]],Table3[[#All],[Key_Year_Week_Brand]],0),MATCH(Table1[[#This Row],[DC_name_Xref]],Table3[#Headers],0)),0)</f>
        <v>0</v>
      </c>
      <c r="O343">
        <f>IFERROR(INDEX(Table35[#All],MATCH(Table1[[#This Row],[Key_Year_Week_Brand]],Table35[[#All],[Key_Year_Month_Brand]],0),MATCH(Table1[[#This Row],[DC_name_Xref]],Table35[#Headers],0)),0)</f>
        <v>0</v>
      </c>
    </row>
    <row r="344" spans="1:15" x14ac:dyDescent="0.3">
      <c r="A344" s="19" t="str">
        <f>Table1[[#This Row],[Year_Week]]&amp;"-"&amp;Table1[[#This Row],[DC_name_Xref]]</f>
        <v>201946-OCC</v>
      </c>
      <c r="B344" s="19" t="str">
        <f>Table1[[#This Row],[Fiscal_Year]]*100+Table1[[#This Row],[Fiscal_Week]] &amp; "-" &amp;Table1[[#This Row],[BRAND]]</f>
        <v>201946-Gap Factory Store</v>
      </c>
      <c r="C344" t="str">
        <f>Table1[[#This Row],[Fiscal_Year]]&amp;"-"&amp;Table1[[#This Row],[BRAND]]</f>
        <v>2019-Gap Factory Store</v>
      </c>
      <c r="D344">
        <v>2019</v>
      </c>
      <c r="E344">
        <v>46</v>
      </c>
      <c r="F344" t="s">
        <v>22</v>
      </c>
      <c r="G344" t="s">
        <v>11</v>
      </c>
      <c r="H344">
        <v>7</v>
      </c>
      <c r="I344">
        <v>0</v>
      </c>
      <c r="J344" t="str">
        <f>VLOOKUP(H344,DC_Xref!A:B,2,FALSE)</f>
        <v>OCC</v>
      </c>
      <c r="K344">
        <f t="shared" si="5"/>
        <v>201946</v>
      </c>
      <c r="L344">
        <f>IFERROR(Table1[[#This Row],[Demand]]/SUMIFS(Table1[Demand],Table1[Fiscal_Year],Table1[[#This Row],[Fiscal_Year]],Table1[BRAND],Table1[[#This Row],[BRAND]],Table1[DC_name_Xref],Table1[[#This Row],[DC_name_Xref]]),0)</f>
        <v>0</v>
      </c>
      <c r="M3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4" s="3">
        <f>IFERROR(INDEX(Table3[#All],MATCH(Table1[[#This Row],[Key_Year_Week_Brand]],Table3[[#All],[Key_Year_Week_Brand]],0),MATCH(Table1[[#This Row],[DC_name_Xref]],Table3[#Headers],0)),0)</f>
        <v>0</v>
      </c>
      <c r="O344">
        <f>IFERROR(INDEX(Table35[#All],MATCH(Table1[[#This Row],[Key_Year_Week_Brand]],Table35[[#All],[Key_Year_Month_Brand]],0),MATCH(Table1[[#This Row],[DC_name_Xref]],Table35[#Headers],0)),0)</f>
        <v>0</v>
      </c>
    </row>
    <row r="345" spans="1:15" x14ac:dyDescent="0.3">
      <c r="A345" s="19" t="str">
        <f>Table1[[#This Row],[Year_Week]]&amp;"-"&amp;Table1[[#This Row],[DC_name_Xref]]</f>
        <v>201946-OFC</v>
      </c>
      <c r="B345" s="19" t="str">
        <f>Table1[[#This Row],[Fiscal_Year]]*100+Table1[[#This Row],[Fiscal_Week]] &amp; "-" &amp;Table1[[#This Row],[BRAND]]</f>
        <v>201946-Athleta</v>
      </c>
      <c r="C345" t="str">
        <f>Table1[[#This Row],[Fiscal_Year]]&amp;"-"&amp;Table1[[#This Row],[BRAND]]</f>
        <v>2019-Athleta</v>
      </c>
      <c r="D345">
        <v>2019</v>
      </c>
      <c r="E345">
        <v>46</v>
      </c>
      <c r="F345" t="s">
        <v>19</v>
      </c>
      <c r="G345" t="s">
        <v>5</v>
      </c>
      <c r="H345">
        <v>1</v>
      </c>
      <c r="I345">
        <v>22255</v>
      </c>
      <c r="J345" t="str">
        <f>VLOOKUP(H345,DC_Xref!A:B,2,FALSE)</f>
        <v>OFC</v>
      </c>
      <c r="K345">
        <f t="shared" si="5"/>
        <v>201946</v>
      </c>
      <c r="L345">
        <f>IFERROR(Table1[[#This Row],[Demand]]/SUMIFS(Table1[Demand],Table1[Fiscal_Year],Table1[[#This Row],[Fiscal_Year]],Table1[BRAND],Table1[[#This Row],[BRAND]],Table1[DC_name_Xref],Table1[[#This Row],[DC_name_Xref]]),0)</f>
        <v>0.17540748447302879</v>
      </c>
      <c r="M3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0.10136821038082189</v>
      </c>
      <c r="N345" s="3">
        <f>IFERROR(INDEX(Table3[#All],MATCH(Table1[[#This Row],[Key_Year_Week_Brand]],Table3[[#All],[Key_Year_Week_Brand]],0),MATCH(Table1[[#This Row],[DC_name_Xref]],Table3[#Headers],0)),0)</f>
        <v>0</v>
      </c>
      <c r="O345">
        <f>IFERROR(INDEX(Table35[#All],MATCH(Table1[[#This Row],[Key_Year_Week_Brand]],Table35[[#All],[Key_Year_Month_Brand]],0),MATCH(Table1[[#This Row],[DC_name_Xref]],Table35[#Headers],0)),0)</f>
        <v>0</v>
      </c>
    </row>
    <row r="346" spans="1:15" x14ac:dyDescent="0.3">
      <c r="A346" s="19" t="str">
        <f>Table1[[#This Row],[Year_Week]]&amp;"-"&amp;Table1[[#This Row],[DC_name_Xref]]</f>
        <v>201946-TFC</v>
      </c>
      <c r="B346" s="19" t="str">
        <f>Table1[[#This Row],[Fiscal_Year]]*100+Table1[[#This Row],[Fiscal_Week]] &amp; "-" &amp;Table1[[#This Row],[BRAND]]</f>
        <v>201946-Athleta</v>
      </c>
      <c r="C346" t="str">
        <f>Table1[[#This Row],[Fiscal_Year]]&amp;"-"&amp;Table1[[#This Row],[BRAND]]</f>
        <v>2019-Athleta</v>
      </c>
      <c r="D346">
        <v>2019</v>
      </c>
      <c r="E346">
        <v>46</v>
      </c>
      <c r="F346" t="s">
        <v>19</v>
      </c>
      <c r="G346" t="s">
        <v>21</v>
      </c>
      <c r="H346">
        <v>2</v>
      </c>
      <c r="I346">
        <v>171579</v>
      </c>
      <c r="J346" t="str">
        <f>VLOOKUP(H346,DC_Xref!A:B,2,FALSE)</f>
        <v>TFC</v>
      </c>
      <c r="K346">
        <f t="shared" si="5"/>
        <v>201946</v>
      </c>
      <c r="L346">
        <f>IFERROR(Table1[[#This Row],[Demand]]/SUMIFS(Table1[Demand],Table1[Fiscal_Year],Table1[[#This Row],[Fiscal_Year]],Table1[BRAND],Table1[[#This Row],[BRAND]],Table1[DC_name_Xref],Table1[[#This Row],[DC_name_Xref]]),0)</f>
        <v>0.15255317786890202</v>
      </c>
      <c r="M3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0.89859743455560126</v>
      </c>
      <c r="N346" s="3">
        <f>IFERROR(INDEX(Table3[#All],MATCH(Table1[[#This Row],[Key_Year_Week_Brand]],Table3[[#All],[Key_Year_Week_Brand]],0),MATCH(Table1[[#This Row],[DC_name_Xref]],Table3[#Headers],0)),0)</f>
        <v>1</v>
      </c>
      <c r="O346">
        <f>IFERROR(INDEX(Table35[#All],MATCH(Table1[[#This Row],[Key_Year_Week_Brand]],Table35[[#All],[Key_Year_Month_Brand]],0),MATCH(Table1[[#This Row],[DC_name_Xref]],Table35[#Headers],0)),0)</f>
        <v>193835</v>
      </c>
    </row>
    <row r="347" spans="1:15" x14ac:dyDescent="0.3">
      <c r="A347" s="19" t="str">
        <f>Table1[[#This Row],[Year_Week]]&amp;"-"&amp;Table1[[#This Row],[DC_name_Xref]]</f>
        <v>201946-WFC</v>
      </c>
      <c r="B347" s="19" t="str">
        <f>Table1[[#This Row],[Fiscal_Year]]*100+Table1[[#This Row],[Fiscal_Week]] &amp; "-" &amp;Table1[[#This Row],[BRAND]]</f>
        <v>201946-Athleta</v>
      </c>
      <c r="C347" t="str">
        <f>Table1[[#This Row],[Fiscal_Year]]&amp;"-"&amp;Table1[[#This Row],[BRAND]]</f>
        <v>2019-Athleta</v>
      </c>
      <c r="D347">
        <v>2019</v>
      </c>
      <c r="E347">
        <v>46</v>
      </c>
      <c r="F347" t="s">
        <v>19</v>
      </c>
      <c r="G347" t="s">
        <v>7</v>
      </c>
      <c r="H347">
        <v>3</v>
      </c>
      <c r="I347">
        <v>0</v>
      </c>
      <c r="J347" t="str">
        <f>VLOOKUP(H347,DC_Xref!A:B,2,FALSE)</f>
        <v>WFC</v>
      </c>
      <c r="K347">
        <f t="shared" si="5"/>
        <v>201946</v>
      </c>
      <c r="L347">
        <f>IFERROR(Table1[[#This Row],[Demand]]/SUMIFS(Table1[Demand],Table1[Fiscal_Year],Table1[[#This Row],[Fiscal_Year]],Table1[BRAND],Table1[[#This Row],[BRAND]],Table1[DC_name_Xref],Table1[[#This Row],[DC_name_Xref]]),0)</f>
        <v>0</v>
      </c>
      <c r="M3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7" s="3">
        <f>IFERROR(INDEX(Table3[#All],MATCH(Table1[[#This Row],[Key_Year_Week_Brand]],Table3[[#All],[Key_Year_Week_Brand]],0),MATCH(Table1[[#This Row],[DC_name_Xref]],Table3[#Headers],0)),0)</f>
        <v>0</v>
      </c>
      <c r="O347">
        <f>IFERROR(INDEX(Table35[#All],MATCH(Table1[[#This Row],[Key_Year_Week_Brand]],Table35[[#All],[Key_Year_Month_Brand]],0),MATCH(Table1[[#This Row],[DC_name_Xref]],Table35[#Headers],0)),0)</f>
        <v>0</v>
      </c>
    </row>
    <row r="348" spans="1:15" x14ac:dyDescent="0.3">
      <c r="A348" s="19" t="str">
        <f>Table1[[#This Row],[Year_Week]]&amp;"-"&amp;Table1[[#This Row],[DC_name_Xref]]</f>
        <v>201946-EAO</v>
      </c>
      <c r="B348" s="19" t="str">
        <f>Table1[[#This Row],[Fiscal_Year]]*100+Table1[[#This Row],[Fiscal_Week]] &amp; "-" &amp;Table1[[#This Row],[BRAND]]</f>
        <v>201946-Athleta</v>
      </c>
      <c r="C348" t="str">
        <f>Table1[[#This Row],[Fiscal_Year]]&amp;"-"&amp;Table1[[#This Row],[BRAND]]</f>
        <v>2019-Athleta</v>
      </c>
      <c r="D348">
        <v>2019</v>
      </c>
      <c r="E348">
        <v>46</v>
      </c>
      <c r="F348" t="s">
        <v>19</v>
      </c>
      <c r="G348" t="s">
        <v>8</v>
      </c>
      <c r="H348">
        <v>4</v>
      </c>
      <c r="I348">
        <v>1</v>
      </c>
      <c r="J348" t="str">
        <f>VLOOKUP(H348,DC_Xref!A:B,2,FALSE)</f>
        <v>EAO</v>
      </c>
      <c r="K348">
        <f t="shared" si="5"/>
        <v>201946</v>
      </c>
      <c r="L348">
        <f>IFERROR(Table1[[#This Row],[Demand]]/SUMIFS(Table1[Demand],Table1[Fiscal_Year],Table1[[#This Row],[Fiscal_Year]],Table1[BRAND],Table1[[#This Row],[BRAND]],Table1[DC_name_Xref],Table1[[#This Row],[DC_name_Xref]]),0)</f>
        <v>2.3255813953488372E-2</v>
      </c>
      <c r="M3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3.435506357684149E-5</v>
      </c>
      <c r="N348" s="3">
        <f>IFERROR(INDEX(Table3[#All],MATCH(Table1[[#This Row],[Key_Year_Week_Brand]],Table3[[#All],[Key_Year_Week_Brand]],0),MATCH(Table1[[#This Row],[DC_name_Xref]],Table3[#Headers],0)),0)</f>
        <v>3.447122356821831E-5</v>
      </c>
      <c r="O348">
        <f>IFERROR(INDEX(Table35[#All],MATCH(Table1[[#This Row],[Key_Year_Week_Brand]],Table35[[#All],[Key_Year_Month_Brand]],0),MATCH(Table1[[#This Row],[DC_name_Xref]],Table35[#Headers],0)),0)</f>
        <v>6.681729620345596</v>
      </c>
    </row>
    <row r="349" spans="1:15" x14ac:dyDescent="0.3">
      <c r="A349" s="19" t="str">
        <f>Table1[[#This Row],[Year_Week]]&amp;"-"&amp;Table1[[#This Row],[DC_name_Xref]]</f>
        <v>201946-FFC-ODC</v>
      </c>
      <c r="B349" s="19" t="str">
        <f>Table1[[#This Row],[Fiscal_Year]]*100+Table1[[#This Row],[Fiscal_Week]] &amp; "-" &amp;Table1[[#This Row],[BRAND]]</f>
        <v>201946-Athleta</v>
      </c>
      <c r="C349" t="str">
        <f>Table1[[#This Row],[Fiscal_Year]]&amp;"-"&amp;Table1[[#This Row],[BRAND]]</f>
        <v>2019-Athleta</v>
      </c>
      <c r="D349">
        <v>2019</v>
      </c>
      <c r="E349">
        <v>46</v>
      </c>
      <c r="F349" t="s">
        <v>19</v>
      </c>
      <c r="G349" t="s">
        <v>23</v>
      </c>
      <c r="H349">
        <v>5</v>
      </c>
      <c r="I349">
        <v>0</v>
      </c>
      <c r="J349" t="str">
        <f>VLOOKUP(H349,DC_Xref!A:B,2,FALSE)</f>
        <v>FFC-ODC</v>
      </c>
      <c r="K349">
        <f t="shared" si="5"/>
        <v>201946</v>
      </c>
      <c r="L349">
        <f>IFERROR(Table1[[#This Row],[Demand]]/SUMIFS(Table1[Demand],Table1[Fiscal_Year],Table1[[#This Row],[Fiscal_Year]],Table1[BRAND],Table1[[#This Row],[BRAND]],Table1[DC_name_Xref],Table1[[#This Row],[DC_name_Xref]]),0)</f>
        <v>0</v>
      </c>
      <c r="M3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49" s="3">
        <f>IFERROR(INDEX(Table3[#All],MATCH(Table1[[#This Row],[Key_Year_Week_Brand]],Table3[[#All],[Key_Year_Week_Brand]],0),MATCH(Table1[[#This Row],[DC_name_Xref]],Table3[#Headers],0)),0)</f>
        <v>0</v>
      </c>
      <c r="O349">
        <f>IFERROR(INDEX(Table35[#All],MATCH(Table1[[#This Row],[Key_Year_Week_Brand]],Table35[[#All],[Key_Year_Month_Brand]],0),MATCH(Table1[[#This Row],[DC_name_Xref]],Table35[#Headers],0)),0)</f>
        <v>0</v>
      </c>
    </row>
    <row r="350" spans="1:15" x14ac:dyDescent="0.3">
      <c r="A350" s="19" t="str">
        <f>Table1[[#This Row],[Year_Week]]&amp;"-"&amp;Table1[[#This Row],[DC_name_Xref]]</f>
        <v>201946-WEO</v>
      </c>
      <c r="B350" s="19" t="str">
        <f>Table1[[#This Row],[Fiscal_Year]]*100+Table1[[#This Row],[Fiscal_Week]] &amp; "-" &amp;Table1[[#This Row],[BRAND]]</f>
        <v>201946-Athleta</v>
      </c>
      <c r="C350" t="str">
        <f>Table1[[#This Row],[Fiscal_Year]]&amp;"-"&amp;Table1[[#This Row],[BRAND]]</f>
        <v>2019-Athleta</v>
      </c>
      <c r="D350">
        <v>2019</v>
      </c>
      <c r="E350">
        <v>46</v>
      </c>
      <c r="F350" t="s">
        <v>19</v>
      </c>
      <c r="G350" t="s">
        <v>10</v>
      </c>
      <c r="H350">
        <v>6</v>
      </c>
      <c r="I350">
        <v>0</v>
      </c>
      <c r="J350" t="str">
        <f>VLOOKUP(H350,DC_Xref!A:B,2,FALSE)</f>
        <v>WEO</v>
      </c>
      <c r="K350">
        <f t="shared" si="5"/>
        <v>201946</v>
      </c>
      <c r="L350">
        <f>IFERROR(Table1[[#This Row],[Demand]]/SUMIFS(Table1[Demand],Table1[Fiscal_Year],Table1[[#This Row],[Fiscal_Year]],Table1[BRAND],Table1[[#This Row],[BRAND]],Table1[DC_name_Xref],Table1[[#This Row],[DC_name_Xref]]),0)</f>
        <v>0</v>
      </c>
      <c r="M3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50" s="3">
        <f>IFERROR(INDEX(Table3[#All],MATCH(Table1[[#This Row],[Key_Year_Week_Brand]],Table3[[#All],[Key_Year_Week_Brand]],0),MATCH(Table1[[#This Row],[DC_name_Xref]],Table3[#Headers],0)),0)</f>
        <v>0</v>
      </c>
      <c r="O350">
        <f>IFERROR(INDEX(Table35[#All],MATCH(Table1[[#This Row],[Key_Year_Week_Brand]],Table35[[#All],[Key_Year_Month_Brand]],0),MATCH(Table1[[#This Row],[DC_name_Xref]],Table35[#Headers],0)),0)</f>
        <v>0</v>
      </c>
    </row>
    <row r="351" spans="1:15" x14ac:dyDescent="0.3">
      <c r="A351" s="19" t="str">
        <f>Table1[[#This Row],[Year_Week]]&amp;"-"&amp;Table1[[#This Row],[DC_name_Xref]]</f>
        <v>201946-OCC</v>
      </c>
      <c r="B351" s="19" t="str">
        <f>Table1[[#This Row],[Fiscal_Year]]*100+Table1[[#This Row],[Fiscal_Week]] &amp; "-" &amp;Table1[[#This Row],[BRAND]]</f>
        <v>201946-Athleta</v>
      </c>
      <c r="C351" t="str">
        <f>Table1[[#This Row],[Fiscal_Year]]&amp;"-"&amp;Table1[[#This Row],[BRAND]]</f>
        <v>2019-Athleta</v>
      </c>
      <c r="D351">
        <v>2019</v>
      </c>
      <c r="E351">
        <v>46</v>
      </c>
      <c r="F351" t="s">
        <v>19</v>
      </c>
      <c r="G351" t="s">
        <v>11</v>
      </c>
      <c r="H351">
        <v>7</v>
      </c>
      <c r="I351">
        <v>0</v>
      </c>
      <c r="J351" t="str">
        <f>VLOOKUP(H351,DC_Xref!A:B,2,FALSE)</f>
        <v>OCC</v>
      </c>
      <c r="K351">
        <f t="shared" si="5"/>
        <v>201946</v>
      </c>
      <c r="L351">
        <f>IFERROR(Table1[[#This Row],[Demand]]/SUMIFS(Table1[Demand],Table1[Fiscal_Year],Table1[[#This Row],[Fiscal_Year]],Table1[BRAND],Table1[[#This Row],[BRAND]],Table1[DC_name_Xref],Table1[[#This Row],[DC_name_Xref]]),0)</f>
        <v>0</v>
      </c>
      <c r="M3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51" s="3">
        <f>IFERROR(INDEX(Table3[#All],MATCH(Table1[[#This Row],[Key_Year_Week_Brand]],Table3[[#All],[Key_Year_Week_Brand]],0),MATCH(Table1[[#This Row],[DC_name_Xref]],Table3[#Headers],0)),0)</f>
        <v>0</v>
      </c>
      <c r="O351">
        <f>IFERROR(INDEX(Table35[#All],MATCH(Table1[[#This Row],[Key_Year_Week_Brand]],Table35[[#All],[Key_Year_Month_Brand]],0),MATCH(Table1[[#This Row],[DC_name_Xref]],Table35[#Headers],0)),0)</f>
        <v>0</v>
      </c>
    </row>
    <row r="352" spans="1:15" x14ac:dyDescent="0.3">
      <c r="A352" s="19" t="str">
        <f>Table1[[#This Row],[Year_Week]]&amp;"-"&amp;Table1[[#This Row],[DC_name_Xref]]</f>
        <v>201946-OFC</v>
      </c>
      <c r="B352" s="19" t="str">
        <f>Table1[[#This Row],[Fiscal_Year]]*100+Table1[[#This Row],[Fiscal_Week]] &amp; "-" &amp;Table1[[#This Row],[BRAND]]</f>
        <v>201946-Old Navy</v>
      </c>
      <c r="C352" t="str">
        <f>Table1[[#This Row],[Fiscal_Year]]&amp;"-"&amp;Table1[[#This Row],[BRAND]]</f>
        <v>2019-Old Navy</v>
      </c>
      <c r="D352">
        <v>2019</v>
      </c>
      <c r="E352">
        <v>46</v>
      </c>
      <c r="F352" t="s">
        <v>20</v>
      </c>
      <c r="G352" t="s">
        <v>5</v>
      </c>
      <c r="H352">
        <v>1</v>
      </c>
      <c r="I352">
        <v>774763</v>
      </c>
      <c r="J352" t="str">
        <f>VLOOKUP(H352,DC_Xref!A:B,2,FALSE)</f>
        <v>OFC</v>
      </c>
      <c r="K352">
        <f t="shared" si="5"/>
        <v>201946</v>
      </c>
      <c r="L352">
        <f>IFERROR(Table1[[#This Row],[Demand]]/SUMIFS(Table1[Demand],Table1[Fiscal_Year],Table1[[#This Row],[Fiscal_Year]],Table1[BRAND],Table1[[#This Row],[BRAND]],Table1[DC_name_Xref],Table1[[#This Row],[DC_name_Xref]]),0)</f>
        <v>0.13027278554272942</v>
      </c>
      <c r="M3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0.29585490740735676</v>
      </c>
      <c r="N352" s="3">
        <f>IFERROR(INDEX(Table3[#All],MATCH(Table1[[#This Row],[Key_Year_Week_Brand]],Table3[[#All],[Key_Year_Week_Brand]],0),MATCH(Table1[[#This Row],[DC_name_Xref]],Table3[#Headers],0)),0)</f>
        <v>0.15</v>
      </c>
      <c r="O352">
        <f>IFERROR(INDEX(Table35[#All],MATCH(Table1[[#This Row],[Key_Year_Week_Brand]],Table35[[#All],[Key_Year_Month_Brand]],0),MATCH(Table1[[#This Row],[DC_name_Xref]],Table35[#Headers],0)),0)</f>
        <v>384040.2</v>
      </c>
    </row>
    <row r="353" spans="1:15" x14ac:dyDescent="0.3">
      <c r="A353" s="19" t="str">
        <f>Table1[[#This Row],[Year_Week]]&amp;"-"&amp;Table1[[#This Row],[DC_name_Xref]]</f>
        <v>201946-TFC</v>
      </c>
      <c r="B353" s="19" t="str">
        <f>Table1[[#This Row],[Fiscal_Year]]*100+Table1[[#This Row],[Fiscal_Week]] &amp; "-" &amp;Table1[[#This Row],[BRAND]]</f>
        <v>201946-Old Navy</v>
      </c>
      <c r="C353" t="str">
        <f>Table1[[#This Row],[Fiscal_Year]]&amp;"-"&amp;Table1[[#This Row],[BRAND]]</f>
        <v>2019-Old Navy</v>
      </c>
      <c r="D353">
        <v>2019</v>
      </c>
      <c r="E353">
        <v>46</v>
      </c>
      <c r="F353" t="s">
        <v>20</v>
      </c>
      <c r="G353" t="s">
        <v>21</v>
      </c>
      <c r="H353">
        <v>2</v>
      </c>
      <c r="I353">
        <v>472998</v>
      </c>
      <c r="J353" t="str">
        <f>VLOOKUP(H353,DC_Xref!A:B,2,FALSE)</f>
        <v>TFC</v>
      </c>
      <c r="K353">
        <f t="shared" si="5"/>
        <v>201946</v>
      </c>
      <c r="L353">
        <f>IFERROR(Table1[[#This Row],[Demand]]/SUMIFS(Table1[Demand],Table1[Fiscal_Year],Table1[[#This Row],[Fiscal_Year]],Table1[BRAND],Table1[[#This Row],[BRAND]],Table1[DC_name_Xref],Table1[[#This Row],[DC_name_Xref]]),0)</f>
        <v>0.1383554527489268</v>
      </c>
      <c r="M3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0.17006957612444654</v>
      </c>
      <c r="N353" s="3">
        <f>IFERROR(INDEX(Table3[#All],MATCH(Table1[[#This Row],[Key_Year_Week_Brand]],Table3[[#All],[Key_Year_Week_Brand]],0),MATCH(Table1[[#This Row],[DC_name_Xref]],Table3[#Headers],0)),0)</f>
        <v>0.2</v>
      </c>
      <c r="O353">
        <f>IFERROR(INDEX(Table35[#All],MATCH(Table1[[#This Row],[Key_Year_Week_Brand]],Table35[[#All],[Key_Year_Month_Brand]],0),MATCH(Table1[[#This Row],[DC_name_Xref]],Table35[#Headers],0)),0)</f>
        <v>512053.60000000003</v>
      </c>
    </row>
    <row r="354" spans="1:15" x14ac:dyDescent="0.3">
      <c r="A354" s="19" t="str">
        <f>Table1[[#This Row],[Year_Week]]&amp;"-"&amp;Table1[[#This Row],[DC_name_Xref]]</f>
        <v>201946-WFC</v>
      </c>
      <c r="B354" s="19" t="str">
        <f>Table1[[#This Row],[Fiscal_Year]]*100+Table1[[#This Row],[Fiscal_Week]] &amp; "-" &amp;Table1[[#This Row],[BRAND]]</f>
        <v>201946-Old Navy</v>
      </c>
      <c r="C354" t="str">
        <f>Table1[[#This Row],[Fiscal_Year]]&amp;"-"&amp;Table1[[#This Row],[BRAND]]</f>
        <v>2019-Old Navy</v>
      </c>
      <c r="D354">
        <v>2019</v>
      </c>
      <c r="E354">
        <v>46</v>
      </c>
      <c r="F354" t="s">
        <v>20</v>
      </c>
      <c r="G354" t="s">
        <v>7</v>
      </c>
      <c r="H354">
        <v>3</v>
      </c>
      <c r="I354">
        <v>483886</v>
      </c>
      <c r="J354" t="str">
        <f>VLOOKUP(H354,DC_Xref!A:B,2,FALSE)</f>
        <v>WFC</v>
      </c>
      <c r="K354">
        <f t="shared" si="5"/>
        <v>201946</v>
      </c>
      <c r="L354">
        <f>IFERROR(Table1[[#This Row],[Demand]]/SUMIFS(Table1[Demand],Table1[Fiscal_Year],Table1[[#This Row],[Fiscal_Year]],Table1[BRAND],Table1[[#This Row],[BRAND]],Table1[DC_name_Xref],Table1[[#This Row],[DC_name_Xref]]),0)</f>
        <v>0.11935566303384777</v>
      </c>
      <c r="M3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0.20168037128093624</v>
      </c>
      <c r="N354" s="3">
        <f>IFERROR(INDEX(Table3[#All],MATCH(Table1[[#This Row],[Key_Year_Week_Brand]],Table3[[#All],[Key_Year_Week_Brand]],0),MATCH(Table1[[#This Row],[DC_name_Xref]],Table3[#Headers],0)),0)</f>
        <v>0.02</v>
      </c>
      <c r="O354">
        <f>IFERROR(INDEX(Table35[#All],MATCH(Table1[[#This Row],[Key_Year_Week_Brand]],Table35[[#All],[Key_Year_Month_Brand]],0),MATCH(Table1[[#This Row],[DC_name_Xref]],Table35[#Headers],0)),0)</f>
        <v>51205.36</v>
      </c>
    </row>
    <row r="355" spans="1:15" x14ac:dyDescent="0.3">
      <c r="A355" s="19" t="str">
        <f>Table1[[#This Row],[Year_Week]]&amp;"-"&amp;Table1[[#This Row],[DC_name_Xref]]</f>
        <v>201946-EAO</v>
      </c>
      <c r="B355" s="19" t="str">
        <f>Table1[[#This Row],[Fiscal_Year]]*100+Table1[[#This Row],[Fiscal_Week]] &amp; "-" &amp;Table1[[#This Row],[BRAND]]</f>
        <v>201946-Old Navy</v>
      </c>
      <c r="C355" t="str">
        <f>Table1[[#This Row],[Fiscal_Year]]&amp;"-"&amp;Table1[[#This Row],[BRAND]]</f>
        <v>2019-Old Navy</v>
      </c>
      <c r="D355">
        <v>2019</v>
      </c>
      <c r="E355">
        <v>46</v>
      </c>
      <c r="F355" t="s">
        <v>20</v>
      </c>
      <c r="G355" t="s">
        <v>8</v>
      </c>
      <c r="H355">
        <v>4</v>
      </c>
      <c r="I355">
        <v>828621</v>
      </c>
      <c r="J355" t="str">
        <f>VLOOKUP(H355,DC_Xref!A:B,2,FALSE)</f>
        <v>EAO</v>
      </c>
      <c r="K355">
        <f t="shared" si="5"/>
        <v>201946</v>
      </c>
      <c r="L355">
        <f>IFERROR(Table1[[#This Row],[Demand]]/SUMIFS(Table1[Demand],Table1[Fiscal_Year],Table1[[#This Row],[Fiscal_Year]],Table1[BRAND],Table1[[#This Row],[BRAND]],Table1[DC_name_Xref],Table1[[#This Row],[DC_name_Xref]]),0)</f>
        <v>0.1240123302787004</v>
      </c>
      <c r="M3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0.33239514518726049</v>
      </c>
      <c r="N355" s="3">
        <f>IFERROR(INDEX(Table3[#All],MATCH(Table1[[#This Row],[Key_Year_Week_Brand]],Table3[[#All],[Key_Year_Week_Brand]],0),MATCH(Table1[[#This Row],[DC_name_Xref]],Table3[#Headers],0)),0)</f>
        <v>0.41</v>
      </c>
      <c r="O355">
        <f>IFERROR(INDEX(Table35[#All],MATCH(Table1[[#This Row],[Key_Year_Week_Brand]],Table35[[#All],[Key_Year_Month_Brand]],0),MATCH(Table1[[#This Row],[DC_name_Xref]],Table35[#Headers],0)),0)</f>
        <v>1049709.8799999999</v>
      </c>
    </row>
    <row r="356" spans="1:15" x14ac:dyDescent="0.3">
      <c r="A356" s="19" t="str">
        <f>Table1[[#This Row],[Year_Week]]&amp;"-"&amp;Table1[[#This Row],[DC_name_Xref]]</f>
        <v>201946-FFC-ODC</v>
      </c>
      <c r="B356" s="19" t="str">
        <f>Table1[[#This Row],[Fiscal_Year]]*100+Table1[[#This Row],[Fiscal_Week]] &amp; "-" &amp;Table1[[#This Row],[BRAND]]</f>
        <v>201946-Old Navy</v>
      </c>
      <c r="C356" t="str">
        <f>Table1[[#This Row],[Fiscal_Year]]&amp;"-"&amp;Table1[[#This Row],[BRAND]]</f>
        <v>2019-Old Navy</v>
      </c>
      <c r="D356">
        <v>2019</v>
      </c>
      <c r="E356">
        <v>46</v>
      </c>
      <c r="F356" t="s">
        <v>20</v>
      </c>
      <c r="G356" t="s">
        <v>23</v>
      </c>
      <c r="H356">
        <v>5</v>
      </c>
      <c r="I356">
        <v>0</v>
      </c>
      <c r="J356" t="str">
        <f>VLOOKUP(H356,DC_Xref!A:B,2,FALSE)</f>
        <v>FFC-ODC</v>
      </c>
      <c r="K356">
        <f t="shared" si="5"/>
        <v>201946</v>
      </c>
      <c r="L356">
        <f>IFERROR(Table1[[#This Row],[Demand]]/SUMIFS(Table1[Demand],Table1[Fiscal_Year],Table1[[#This Row],[Fiscal_Year]],Table1[BRAND],Table1[[#This Row],[BRAND]],Table1[DC_name_Xref],Table1[[#This Row],[DC_name_Xref]]),0)</f>
        <v>0</v>
      </c>
      <c r="M3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56" s="3">
        <f>IFERROR(INDEX(Table3[#All],MATCH(Table1[[#This Row],[Key_Year_Week_Brand]],Table3[[#All],[Key_Year_Week_Brand]],0),MATCH(Table1[[#This Row],[DC_name_Xref]],Table3[#Headers],0)),0)</f>
        <v>0</v>
      </c>
      <c r="O356">
        <f>IFERROR(INDEX(Table35[#All],MATCH(Table1[[#This Row],[Key_Year_Week_Brand]],Table35[[#All],[Key_Year_Month_Brand]],0),MATCH(Table1[[#This Row],[DC_name_Xref]],Table35[#Headers],0)),0)</f>
        <v>0</v>
      </c>
    </row>
    <row r="357" spans="1:15" x14ac:dyDescent="0.3">
      <c r="A357" s="19" t="str">
        <f>Table1[[#This Row],[Year_Week]]&amp;"-"&amp;Table1[[#This Row],[DC_name_Xref]]</f>
        <v>201946-WEO</v>
      </c>
      <c r="B357" s="19" t="str">
        <f>Table1[[#This Row],[Fiscal_Year]]*100+Table1[[#This Row],[Fiscal_Week]] &amp; "-" &amp;Table1[[#This Row],[BRAND]]</f>
        <v>201946-Old Navy</v>
      </c>
      <c r="C357" t="str">
        <f>Table1[[#This Row],[Fiscal_Year]]&amp;"-"&amp;Table1[[#This Row],[BRAND]]</f>
        <v>2019-Old Navy</v>
      </c>
      <c r="D357">
        <v>2019</v>
      </c>
      <c r="E357">
        <v>46</v>
      </c>
      <c r="F357" t="s">
        <v>20</v>
      </c>
      <c r="G357" t="s">
        <v>10</v>
      </c>
      <c r="H357">
        <v>6</v>
      </c>
      <c r="I357">
        <v>0</v>
      </c>
      <c r="J357" t="str">
        <f>VLOOKUP(H357,DC_Xref!A:B,2,FALSE)</f>
        <v>WEO</v>
      </c>
      <c r="K357">
        <f t="shared" si="5"/>
        <v>201946</v>
      </c>
      <c r="L357">
        <f>IFERROR(Table1[[#This Row],[Demand]]/SUMIFS(Table1[Demand],Table1[Fiscal_Year],Table1[[#This Row],[Fiscal_Year]],Table1[BRAND],Table1[[#This Row],[BRAND]],Table1[DC_name_Xref],Table1[[#This Row],[DC_name_Xref]]),0)</f>
        <v>0</v>
      </c>
      <c r="M3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57" s="3">
        <f>IFERROR(INDEX(Table3[#All],MATCH(Table1[[#This Row],[Key_Year_Week_Brand]],Table3[[#All],[Key_Year_Week_Brand]],0),MATCH(Table1[[#This Row],[DC_name_Xref]],Table3[#Headers],0)),0)</f>
        <v>0.22</v>
      </c>
      <c r="O357">
        <f>IFERROR(INDEX(Table35[#All],MATCH(Table1[[#This Row],[Key_Year_Week_Brand]],Table35[[#All],[Key_Year_Month_Brand]],0),MATCH(Table1[[#This Row],[DC_name_Xref]],Table35[#Headers],0)),0)</f>
        <v>563258.96</v>
      </c>
    </row>
    <row r="358" spans="1:15" x14ac:dyDescent="0.3">
      <c r="A358" s="19" t="str">
        <f>Table1[[#This Row],[Year_Week]]&amp;"-"&amp;Table1[[#This Row],[DC_name_Xref]]</f>
        <v>201946-OCC</v>
      </c>
      <c r="B358" s="19" t="str">
        <f>Table1[[#This Row],[Fiscal_Year]]*100+Table1[[#This Row],[Fiscal_Week]] &amp; "-" &amp;Table1[[#This Row],[BRAND]]</f>
        <v>201946-Old Navy</v>
      </c>
      <c r="C358" t="str">
        <f>Table1[[#This Row],[Fiscal_Year]]&amp;"-"&amp;Table1[[#This Row],[BRAND]]</f>
        <v>2019-Old Navy</v>
      </c>
      <c r="D358">
        <v>2019</v>
      </c>
      <c r="E358">
        <v>46</v>
      </c>
      <c r="F358" t="s">
        <v>20</v>
      </c>
      <c r="G358" t="s">
        <v>11</v>
      </c>
      <c r="H358">
        <v>7</v>
      </c>
      <c r="I358">
        <v>0</v>
      </c>
      <c r="J358" t="str">
        <f>VLOOKUP(H358,DC_Xref!A:B,2,FALSE)</f>
        <v>OCC</v>
      </c>
      <c r="K358">
        <f t="shared" si="5"/>
        <v>201946</v>
      </c>
      <c r="L358">
        <f>IFERROR(Table1[[#This Row],[Demand]]/SUMIFS(Table1[Demand],Table1[Fiscal_Year],Table1[[#This Row],[Fiscal_Year]],Table1[BRAND],Table1[[#This Row],[BRAND]],Table1[DC_name_Xref],Table1[[#This Row],[DC_name_Xref]]),0)</f>
        <v>0</v>
      </c>
      <c r="M3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58" s="3">
        <f>IFERROR(INDEX(Table3[#All],MATCH(Table1[[#This Row],[Key_Year_Week_Brand]],Table3[[#All],[Key_Year_Week_Brand]],0),MATCH(Table1[[#This Row],[DC_name_Xref]],Table3[#Headers],0)),0)</f>
        <v>0</v>
      </c>
      <c r="O358">
        <f>IFERROR(INDEX(Table35[#All],MATCH(Table1[[#This Row],[Key_Year_Week_Brand]],Table35[[#All],[Key_Year_Month_Brand]],0),MATCH(Table1[[#This Row],[DC_name_Xref]],Table35[#Headers],0)),0)</f>
        <v>0</v>
      </c>
    </row>
    <row r="359" spans="1:15" x14ac:dyDescent="0.3">
      <c r="A359" s="19" t="str">
        <f>Table1[[#This Row],[Year_Week]]&amp;"-"&amp;Table1[[#This Row],[DC_name_Xref]]</f>
        <v>201946-OFC</v>
      </c>
      <c r="B359" s="19" t="str">
        <f>Table1[[#This Row],[Fiscal_Year]]*100+Table1[[#This Row],[Fiscal_Week]] &amp; "-" &amp;Table1[[#This Row],[BRAND]]</f>
        <v>201946-Banana Republic</v>
      </c>
      <c r="C359" t="str">
        <f>Table1[[#This Row],[Fiscal_Year]]&amp;"-"&amp;Table1[[#This Row],[BRAND]]</f>
        <v>2019-Banana Republic</v>
      </c>
      <c r="D359">
        <v>2019</v>
      </c>
      <c r="E359">
        <v>46</v>
      </c>
      <c r="F359" t="s">
        <v>18</v>
      </c>
      <c r="G359" t="s">
        <v>5</v>
      </c>
      <c r="H359">
        <v>1</v>
      </c>
      <c r="I359">
        <v>7864</v>
      </c>
      <c r="J359" t="str">
        <f>VLOOKUP(H359,DC_Xref!A:B,2,FALSE)</f>
        <v>OFC</v>
      </c>
      <c r="K359">
        <f t="shared" si="5"/>
        <v>201946</v>
      </c>
      <c r="L359">
        <f>IFERROR(Table1[[#This Row],[Demand]]/SUMIFS(Table1[Demand],Table1[Fiscal_Year],Table1[[#This Row],[Fiscal_Year]],Table1[BRAND],Table1[[#This Row],[BRAND]],Table1[DC_name_Xref],Table1[[#This Row],[DC_name_Xref]]),0)</f>
        <v>0.2219838536667984</v>
      </c>
      <c r="M3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2.1329374038925836E-2</v>
      </c>
      <c r="N359" s="3">
        <f>IFERROR(INDEX(Table3[#All],MATCH(Table1[[#This Row],[Key_Year_Week_Brand]],Table3[[#All],[Key_Year_Week_Brand]],0),MATCH(Table1[[#This Row],[DC_name_Xref]],Table3[#Headers],0)),0)</f>
        <v>0</v>
      </c>
      <c r="O359">
        <f>IFERROR(INDEX(Table35[#All],MATCH(Table1[[#This Row],[Key_Year_Week_Brand]],Table35[[#All],[Key_Year_Month_Brand]],0),MATCH(Table1[[#This Row],[DC_name_Xref]],Table35[#Headers],0)),0)</f>
        <v>0</v>
      </c>
    </row>
    <row r="360" spans="1:15" x14ac:dyDescent="0.3">
      <c r="A360" s="19" t="str">
        <f>Table1[[#This Row],[Year_Week]]&amp;"-"&amp;Table1[[#This Row],[DC_name_Xref]]</f>
        <v>201946-TFC</v>
      </c>
      <c r="B360" s="19" t="str">
        <f>Table1[[#This Row],[Fiscal_Year]]*100+Table1[[#This Row],[Fiscal_Week]] &amp; "-" &amp;Table1[[#This Row],[BRAND]]</f>
        <v>201946-Banana Republic</v>
      </c>
      <c r="C360" t="str">
        <f>Table1[[#This Row],[Fiscal_Year]]&amp;"-"&amp;Table1[[#This Row],[BRAND]]</f>
        <v>2019-Banana Republic</v>
      </c>
      <c r="D360">
        <v>2019</v>
      </c>
      <c r="E360">
        <v>46</v>
      </c>
      <c r="F360" t="s">
        <v>18</v>
      </c>
      <c r="G360" t="s">
        <v>21</v>
      </c>
      <c r="H360">
        <v>2</v>
      </c>
      <c r="I360">
        <v>189705</v>
      </c>
      <c r="J360" t="str">
        <f>VLOOKUP(H360,DC_Xref!A:B,2,FALSE)</f>
        <v>TFC</v>
      </c>
      <c r="K360">
        <f t="shared" si="5"/>
        <v>201946</v>
      </c>
      <c r="L360">
        <f>IFERROR(Table1[[#This Row],[Demand]]/SUMIFS(Table1[Demand],Table1[Fiscal_Year],Table1[[#This Row],[Fiscal_Year]],Table1[BRAND],Table1[[#This Row],[BRAND]],Table1[DC_name_Xref],Table1[[#This Row],[DC_name_Xref]]),0)</f>
        <v>0.11671273734912185</v>
      </c>
      <c r="M3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0.97862546977485732</v>
      </c>
      <c r="N360" s="3">
        <f>IFERROR(INDEX(Table3[#All],MATCH(Table1[[#This Row],[Key_Year_Week_Brand]],Table3[[#All],[Key_Year_Week_Brand]],0),MATCH(Table1[[#This Row],[DC_name_Xref]],Table3[#Headers],0)),0)</f>
        <v>1</v>
      </c>
      <c r="O360">
        <f>IFERROR(INDEX(Table35[#All],MATCH(Table1[[#This Row],[Key_Year_Week_Brand]],Table35[[#All],[Key_Year_Month_Brand]],0),MATCH(Table1[[#This Row],[DC_name_Xref]],Table35[#Headers],0)),0)</f>
        <v>197572</v>
      </c>
    </row>
    <row r="361" spans="1:15" x14ac:dyDescent="0.3">
      <c r="A361" s="19" t="str">
        <f>Table1[[#This Row],[Year_Week]]&amp;"-"&amp;Table1[[#This Row],[DC_name_Xref]]</f>
        <v>201946-WFC</v>
      </c>
      <c r="B361" s="19" t="str">
        <f>Table1[[#This Row],[Fiscal_Year]]*100+Table1[[#This Row],[Fiscal_Week]] &amp; "-" &amp;Table1[[#This Row],[BRAND]]</f>
        <v>201946-Banana Republic</v>
      </c>
      <c r="C361" t="str">
        <f>Table1[[#This Row],[Fiscal_Year]]&amp;"-"&amp;Table1[[#This Row],[BRAND]]</f>
        <v>2019-Banana Republic</v>
      </c>
      <c r="D361">
        <v>2019</v>
      </c>
      <c r="E361">
        <v>46</v>
      </c>
      <c r="F361" t="s">
        <v>18</v>
      </c>
      <c r="G361" t="s">
        <v>7</v>
      </c>
      <c r="H361">
        <v>3</v>
      </c>
      <c r="I361">
        <v>1</v>
      </c>
      <c r="J361" t="str">
        <f>VLOOKUP(H361,DC_Xref!A:B,2,FALSE)</f>
        <v>WFC</v>
      </c>
      <c r="K361">
        <f t="shared" si="5"/>
        <v>201946</v>
      </c>
      <c r="L361">
        <f>IFERROR(Table1[[#This Row],[Demand]]/SUMIFS(Table1[Demand],Table1[Fiscal_Year],Table1[[#This Row],[Fiscal_Year]],Table1[BRAND],Table1[[#This Row],[BRAND]],Table1[DC_name_Xref],Table1[[#This Row],[DC_name_Xref]]),0)</f>
        <v>0.2</v>
      </c>
      <c r="M3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3.0104124144591312E-6</v>
      </c>
      <c r="N361" s="3">
        <f>IFERROR(INDEX(Table3[#All],MATCH(Table1[[#This Row],[Key_Year_Week_Brand]],Table3[[#All],[Key_Year_Week_Brand]],0),MATCH(Table1[[#This Row],[DC_name_Xref]],Table3[#Headers],0)),0)</f>
        <v>3.4959629396853166E-6</v>
      </c>
      <c r="O361">
        <f>IFERROR(INDEX(Table35[#All],MATCH(Table1[[#This Row],[Key_Year_Week_Brand]],Table35[[#All],[Key_Year_Month_Brand]],0),MATCH(Table1[[#This Row],[DC_name_Xref]],Table35[#Headers],0)),0)</f>
        <v>0.69070438991950733</v>
      </c>
    </row>
    <row r="362" spans="1:15" x14ac:dyDescent="0.3">
      <c r="A362" s="19" t="str">
        <f>Table1[[#This Row],[Year_Week]]&amp;"-"&amp;Table1[[#This Row],[DC_name_Xref]]</f>
        <v>201946-EAO</v>
      </c>
      <c r="B362" s="19" t="str">
        <f>Table1[[#This Row],[Fiscal_Year]]*100+Table1[[#This Row],[Fiscal_Week]] &amp; "-" &amp;Table1[[#This Row],[BRAND]]</f>
        <v>201946-Banana Republic</v>
      </c>
      <c r="C362" t="str">
        <f>Table1[[#This Row],[Fiscal_Year]]&amp;"-"&amp;Table1[[#This Row],[BRAND]]</f>
        <v>2019-Banana Republic</v>
      </c>
      <c r="D362">
        <v>2019</v>
      </c>
      <c r="E362">
        <v>46</v>
      </c>
      <c r="F362" t="s">
        <v>18</v>
      </c>
      <c r="G362" t="s">
        <v>8</v>
      </c>
      <c r="H362">
        <v>4</v>
      </c>
      <c r="I362">
        <v>2</v>
      </c>
      <c r="J362" t="str">
        <f>VLOOKUP(H362,DC_Xref!A:B,2,FALSE)</f>
        <v>EAO</v>
      </c>
      <c r="K362">
        <f t="shared" si="5"/>
        <v>201946</v>
      </c>
      <c r="L362">
        <f>IFERROR(Table1[[#This Row],[Demand]]/SUMIFS(Table1[Demand],Table1[Fiscal_Year],Table1[[#This Row],[Fiscal_Year]],Table1[BRAND],Table1[[#This Row],[BRAND]],Table1[DC_name_Xref],Table1[[#This Row],[DC_name_Xref]]),0)</f>
        <v>2.8571428571428571E-2</v>
      </c>
      <c r="M3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4.2145773802427838E-5</v>
      </c>
      <c r="N362" s="3">
        <f>IFERROR(INDEX(Table3[#All],MATCH(Table1[[#This Row],[Key_Year_Week_Brand]],Table3[[#All],[Key_Year_Week_Brand]],0),MATCH(Table1[[#This Row],[DC_name_Xref]],Table3[#Headers],0)),0)</f>
        <v>4.2339995602855504E-5</v>
      </c>
      <c r="O362">
        <f>IFERROR(INDEX(Table35[#All],MATCH(Table1[[#This Row],[Key_Year_Week_Brand]],Table35[[#All],[Key_Year_Month_Brand]],0),MATCH(Table1[[#This Row],[DC_name_Xref]],Table35[#Headers],0)),0)</f>
        <v>8.3651976112473676</v>
      </c>
    </row>
    <row r="363" spans="1:15" x14ac:dyDescent="0.3">
      <c r="A363" s="19" t="str">
        <f>Table1[[#This Row],[Year_Week]]&amp;"-"&amp;Table1[[#This Row],[DC_name_Xref]]</f>
        <v>201946-FFC-ODC</v>
      </c>
      <c r="B363" s="19" t="str">
        <f>Table1[[#This Row],[Fiscal_Year]]*100+Table1[[#This Row],[Fiscal_Week]] &amp; "-" &amp;Table1[[#This Row],[BRAND]]</f>
        <v>201946-Banana Republic</v>
      </c>
      <c r="C363" t="str">
        <f>Table1[[#This Row],[Fiscal_Year]]&amp;"-"&amp;Table1[[#This Row],[BRAND]]</f>
        <v>2019-Banana Republic</v>
      </c>
      <c r="D363">
        <v>2019</v>
      </c>
      <c r="E363">
        <v>46</v>
      </c>
      <c r="F363" t="s">
        <v>18</v>
      </c>
      <c r="G363" t="s">
        <v>23</v>
      </c>
      <c r="H363">
        <v>5</v>
      </c>
      <c r="I363">
        <v>0</v>
      </c>
      <c r="J363" t="str">
        <f>VLOOKUP(H363,DC_Xref!A:B,2,FALSE)</f>
        <v>FFC-ODC</v>
      </c>
      <c r="K363">
        <f t="shared" si="5"/>
        <v>201946</v>
      </c>
      <c r="L363">
        <f>IFERROR(Table1[[#This Row],[Demand]]/SUMIFS(Table1[Demand],Table1[Fiscal_Year],Table1[[#This Row],[Fiscal_Year]],Table1[BRAND],Table1[[#This Row],[BRAND]],Table1[DC_name_Xref],Table1[[#This Row],[DC_name_Xref]]),0)</f>
        <v>0</v>
      </c>
      <c r="M3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63" s="3">
        <f>IFERROR(INDEX(Table3[#All],MATCH(Table1[[#This Row],[Key_Year_Week_Brand]],Table3[[#All],[Key_Year_Week_Brand]],0),MATCH(Table1[[#This Row],[DC_name_Xref]],Table3[#Headers],0)),0)</f>
        <v>0</v>
      </c>
      <c r="O363">
        <f>IFERROR(INDEX(Table35[#All],MATCH(Table1[[#This Row],[Key_Year_Week_Brand]],Table35[[#All],[Key_Year_Month_Brand]],0),MATCH(Table1[[#This Row],[DC_name_Xref]],Table35[#Headers],0)),0)</f>
        <v>0</v>
      </c>
    </row>
    <row r="364" spans="1:15" x14ac:dyDescent="0.3">
      <c r="A364" s="19" t="str">
        <f>Table1[[#This Row],[Year_Week]]&amp;"-"&amp;Table1[[#This Row],[DC_name_Xref]]</f>
        <v>201946-WEO</v>
      </c>
      <c r="B364" s="19" t="str">
        <f>Table1[[#This Row],[Fiscal_Year]]*100+Table1[[#This Row],[Fiscal_Week]] &amp; "-" &amp;Table1[[#This Row],[BRAND]]</f>
        <v>201946-Banana Republic</v>
      </c>
      <c r="C364" t="str">
        <f>Table1[[#This Row],[Fiscal_Year]]&amp;"-"&amp;Table1[[#This Row],[BRAND]]</f>
        <v>2019-Banana Republic</v>
      </c>
      <c r="D364">
        <v>2019</v>
      </c>
      <c r="E364">
        <v>46</v>
      </c>
      <c r="F364" t="s">
        <v>18</v>
      </c>
      <c r="G364" t="s">
        <v>10</v>
      </c>
      <c r="H364">
        <v>6</v>
      </c>
      <c r="I364">
        <v>0</v>
      </c>
      <c r="J364" t="str">
        <f>VLOOKUP(H364,DC_Xref!A:B,2,FALSE)</f>
        <v>WEO</v>
      </c>
      <c r="K364">
        <f t="shared" si="5"/>
        <v>201946</v>
      </c>
      <c r="L364">
        <f>IFERROR(Table1[[#This Row],[Demand]]/SUMIFS(Table1[Demand],Table1[Fiscal_Year],Table1[[#This Row],[Fiscal_Year]],Table1[BRAND],Table1[[#This Row],[BRAND]],Table1[DC_name_Xref],Table1[[#This Row],[DC_name_Xref]]),0)</f>
        <v>0</v>
      </c>
      <c r="M3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64" s="3">
        <f>IFERROR(INDEX(Table3[#All],MATCH(Table1[[#This Row],[Key_Year_Week_Brand]],Table3[[#All],[Key_Year_Week_Brand]],0),MATCH(Table1[[#This Row],[DC_name_Xref]],Table3[#Headers],0)),0)</f>
        <v>0</v>
      </c>
      <c r="O364">
        <f>IFERROR(INDEX(Table35[#All],MATCH(Table1[[#This Row],[Key_Year_Week_Brand]],Table35[[#All],[Key_Year_Month_Brand]],0),MATCH(Table1[[#This Row],[DC_name_Xref]],Table35[#Headers],0)),0)</f>
        <v>0</v>
      </c>
    </row>
    <row r="365" spans="1:15" x14ac:dyDescent="0.3">
      <c r="A365" s="19" t="str">
        <f>Table1[[#This Row],[Year_Week]]&amp;"-"&amp;Table1[[#This Row],[DC_name_Xref]]</f>
        <v>201946-OCC</v>
      </c>
      <c r="B365" s="19" t="str">
        <f>Table1[[#This Row],[Fiscal_Year]]*100+Table1[[#This Row],[Fiscal_Week]] &amp; "-" &amp;Table1[[#This Row],[BRAND]]</f>
        <v>201946-Banana Republic</v>
      </c>
      <c r="C365" t="str">
        <f>Table1[[#This Row],[Fiscal_Year]]&amp;"-"&amp;Table1[[#This Row],[BRAND]]</f>
        <v>2019-Banana Republic</v>
      </c>
      <c r="D365">
        <v>2019</v>
      </c>
      <c r="E365">
        <v>46</v>
      </c>
      <c r="F365" t="s">
        <v>18</v>
      </c>
      <c r="G365" t="s">
        <v>11</v>
      </c>
      <c r="H365">
        <v>7</v>
      </c>
      <c r="I365">
        <v>0</v>
      </c>
      <c r="J365" t="str">
        <f>VLOOKUP(H365,DC_Xref!A:B,2,FALSE)</f>
        <v>OCC</v>
      </c>
      <c r="K365">
        <f t="shared" si="5"/>
        <v>201946</v>
      </c>
      <c r="L365">
        <f>IFERROR(Table1[[#This Row],[Demand]]/SUMIFS(Table1[Demand],Table1[Fiscal_Year],Table1[[#This Row],[Fiscal_Year]],Table1[BRAND],Table1[[#This Row],[BRAND]],Table1[DC_name_Xref],Table1[[#This Row],[DC_name_Xref]]),0)</f>
        <v>0</v>
      </c>
      <c r="M3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65" s="3">
        <f>IFERROR(INDEX(Table3[#All],MATCH(Table1[[#This Row],[Key_Year_Week_Brand]],Table3[[#All],[Key_Year_Week_Brand]],0),MATCH(Table1[[#This Row],[DC_name_Xref]],Table3[#Headers],0)),0)</f>
        <v>0</v>
      </c>
      <c r="O365">
        <f>IFERROR(INDEX(Table35[#All],MATCH(Table1[[#This Row],[Key_Year_Week_Brand]],Table35[[#All],[Key_Year_Month_Brand]],0),MATCH(Table1[[#This Row],[DC_name_Xref]],Table35[#Headers],0)),0)</f>
        <v>0</v>
      </c>
    </row>
    <row r="366" spans="1:15" x14ac:dyDescent="0.3">
      <c r="A366" s="19" t="str">
        <f>Table1[[#This Row],[Year_Week]]&amp;"-"&amp;Table1[[#This Row],[DC_name_Xref]]</f>
        <v>201946-OFC</v>
      </c>
      <c r="B366" s="19" t="str">
        <f>Table1[[#This Row],[Fiscal_Year]]*100+Table1[[#This Row],[Fiscal_Week]] &amp; "-" &amp;Table1[[#This Row],[BRAND]]</f>
        <v>201946-Gap</v>
      </c>
      <c r="C366" t="str">
        <f>Table1[[#This Row],[Fiscal_Year]]&amp;"-"&amp;Table1[[#This Row],[BRAND]]</f>
        <v>2019-Gap</v>
      </c>
      <c r="D366">
        <v>2019</v>
      </c>
      <c r="E366">
        <v>46</v>
      </c>
      <c r="F366" t="s">
        <v>16</v>
      </c>
      <c r="G366" t="s">
        <v>5</v>
      </c>
      <c r="H366">
        <v>1</v>
      </c>
      <c r="I366">
        <v>708065</v>
      </c>
      <c r="J366" t="str">
        <f>VLOOKUP(H366,DC_Xref!A:B,2,FALSE)</f>
        <v>OFC</v>
      </c>
      <c r="K366">
        <f t="shared" si="5"/>
        <v>201946</v>
      </c>
      <c r="L366">
        <f>IFERROR(Table1[[#This Row],[Demand]]/SUMIFS(Table1[Demand],Table1[Fiscal_Year],Table1[[#This Row],[Fiscal_Year]],Table1[BRAND],Table1[[#This Row],[BRAND]],Table1[DC_name_Xref],Table1[[#This Row],[DC_name_Xref]]),0)</f>
        <v>0.11361420958645817</v>
      </c>
      <c r="M3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0.66900248732212841</v>
      </c>
      <c r="N366" s="3">
        <f>IFERROR(INDEX(Table3[#All],MATCH(Table1[[#This Row],[Key_Year_Week_Brand]],Table3[[#All],[Key_Year_Week_Brand]],0),MATCH(Table1[[#This Row],[DC_name_Xref]],Table3[#Headers],0)),0)</f>
        <v>0.25</v>
      </c>
      <c r="O366">
        <f>IFERROR(INDEX(Table35[#All],MATCH(Table1[[#This Row],[Key_Year_Week_Brand]],Table35[[#All],[Key_Year_Month_Brand]],0),MATCH(Table1[[#This Row],[DC_name_Xref]],Table35[#Headers],0)),0)</f>
        <v>239043</v>
      </c>
    </row>
    <row r="367" spans="1:15" x14ac:dyDescent="0.3">
      <c r="A367" s="19" t="str">
        <f>Table1[[#This Row],[Year_Week]]&amp;"-"&amp;Table1[[#This Row],[DC_name_Xref]]</f>
        <v>201946-TFC</v>
      </c>
      <c r="B367" s="19" t="str">
        <f>Table1[[#This Row],[Fiscal_Year]]*100+Table1[[#This Row],[Fiscal_Week]] &amp; "-" &amp;Table1[[#This Row],[BRAND]]</f>
        <v>201946-Gap</v>
      </c>
      <c r="C367" t="str">
        <f>Table1[[#This Row],[Fiscal_Year]]&amp;"-"&amp;Table1[[#This Row],[BRAND]]</f>
        <v>2019-Gap</v>
      </c>
      <c r="D367">
        <v>2019</v>
      </c>
      <c r="E367">
        <v>46</v>
      </c>
      <c r="F367" t="s">
        <v>16</v>
      </c>
      <c r="G367" t="s">
        <v>21</v>
      </c>
      <c r="H367">
        <v>2</v>
      </c>
      <c r="I367">
        <v>202</v>
      </c>
      <c r="J367" t="str">
        <f>VLOOKUP(H367,DC_Xref!A:B,2,FALSE)</f>
        <v>TFC</v>
      </c>
      <c r="K367">
        <f t="shared" si="5"/>
        <v>201946</v>
      </c>
      <c r="L367">
        <f>IFERROR(Table1[[#This Row],[Demand]]/SUMIFS(Table1[Demand],Table1[Fiscal_Year],Table1[[#This Row],[Fiscal_Year]],Table1[BRAND],Table1[[#This Row],[BRAND]],Table1[DC_name_Xref],Table1[[#This Row],[DC_name_Xref]]),0)</f>
        <v>0.18003565062388591</v>
      </c>
      <c r="M3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1.2044259756252951E-4</v>
      </c>
      <c r="N367" s="3">
        <f>IFERROR(INDEX(Table3[#All],MATCH(Table1[[#This Row],[Key_Year_Week_Brand]],Table3[[#All],[Key_Year_Week_Brand]],0),MATCH(Table1[[#This Row],[DC_name_Xref]],Table3[#Headers],0)),0)</f>
        <v>0.2</v>
      </c>
      <c r="O367">
        <f>IFERROR(INDEX(Table35[#All],MATCH(Table1[[#This Row],[Key_Year_Week_Brand]],Table35[[#All],[Key_Year_Month_Brand]],0),MATCH(Table1[[#This Row],[DC_name_Xref]],Table35[#Headers],0)),0)</f>
        <v>191234.40000000002</v>
      </c>
    </row>
    <row r="368" spans="1:15" x14ac:dyDescent="0.3">
      <c r="A368" s="19" t="str">
        <f>Table1[[#This Row],[Year_Week]]&amp;"-"&amp;Table1[[#This Row],[DC_name_Xref]]</f>
        <v>201946-WFC</v>
      </c>
      <c r="B368" s="19" t="str">
        <f>Table1[[#This Row],[Fiscal_Year]]*100+Table1[[#This Row],[Fiscal_Week]] &amp; "-" &amp;Table1[[#This Row],[BRAND]]</f>
        <v>201946-Gap</v>
      </c>
      <c r="C368" t="str">
        <f>Table1[[#This Row],[Fiscal_Year]]&amp;"-"&amp;Table1[[#This Row],[BRAND]]</f>
        <v>2019-Gap</v>
      </c>
      <c r="D368">
        <v>2019</v>
      </c>
      <c r="E368">
        <v>46</v>
      </c>
      <c r="F368" t="s">
        <v>16</v>
      </c>
      <c r="G368" t="s">
        <v>7</v>
      </c>
      <c r="H368">
        <v>3</v>
      </c>
      <c r="I368">
        <v>14250</v>
      </c>
      <c r="J368" t="str">
        <f>VLOOKUP(H368,DC_Xref!A:B,2,FALSE)</f>
        <v>WFC</v>
      </c>
      <c r="K368">
        <f t="shared" si="5"/>
        <v>201946</v>
      </c>
      <c r="L368">
        <f>IFERROR(Table1[[#This Row],[Demand]]/SUMIFS(Table1[Demand],Table1[Fiscal_Year],Table1[[#This Row],[Fiscal_Year]],Table1[BRAND],Table1[[#This Row],[BRAND]],Table1[DC_name_Xref],Table1[[#This Row],[DC_name_Xref]]),0)</f>
        <v>6.4218405671048542E-2</v>
      </c>
      <c r="M3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2.3820046307065718E-2</v>
      </c>
      <c r="N368" s="3">
        <f>IFERROR(INDEX(Table3[#All],MATCH(Table1[[#This Row],[Key_Year_Week_Brand]],Table3[[#All],[Key_Year_Week_Brand]],0),MATCH(Table1[[#This Row],[DC_name_Xref]],Table3[#Headers],0)),0)</f>
        <v>0.15</v>
      </c>
      <c r="O368">
        <f>IFERROR(INDEX(Table35[#All],MATCH(Table1[[#This Row],[Key_Year_Week_Brand]],Table35[[#All],[Key_Year_Month_Brand]],0),MATCH(Table1[[#This Row],[DC_name_Xref]],Table35[#Headers],0)),0)</f>
        <v>143425.79999999999</v>
      </c>
    </row>
    <row r="369" spans="1:15" x14ac:dyDescent="0.3">
      <c r="A369" s="19" t="str">
        <f>Table1[[#This Row],[Year_Week]]&amp;"-"&amp;Table1[[#This Row],[DC_name_Xref]]</f>
        <v>201946-EAO</v>
      </c>
      <c r="B369" s="19" t="str">
        <f>Table1[[#This Row],[Fiscal_Year]]*100+Table1[[#This Row],[Fiscal_Week]] &amp; "-" &amp;Table1[[#This Row],[BRAND]]</f>
        <v>201946-Gap</v>
      </c>
      <c r="C369" t="str">
        <f>Table1[[#This Row],[Fiscal_Year]]&amp;"-"&amp;Table1[[#This Row],[BRAND]]</f>
        <v>2019-Gap</v>
      </c>
      <c r="D369">
        <v>2019</v>
      </c>
      <c r="E369">
        <v>46</v>
      </c>
      <c r="F369" t="s">
        <v>16</v>
      </c>
      <c r="G369" t="s">
        <v>8</v>
      </c>
      <c r="H369">
        <v>4</v>
      </c>
      <c r="I369">
        <v>120</v>
      </c>
      <c r="J369" t="str">
        <f>VLOOKUP(H369,DC_Xref!A:B,2,FALSE)</f>
        <v>EAO</v>
      </c>
      <c r="K369">
        <f t="shared" si="5"/>
        <v>201946</v>
      </c>
      <c r="L369">
        <f>IFERROR(Table1[[#This Row],[Demand]]/SUMIFS(Table1[Demand],Table1[Fiscal_Year],Table1[[#This Row],[Fiscal_Year]],Table1[BRAND],Table1[[#This Row],[BRAND]],Table1[DC_name_Xref],Table1[[#This Row],[DC_name_Xref]]),0)</f>
        <v>0.1073345259391771</v>
      </c>
      <c r="M3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1.2001321218797504E-4</v>
      </c>
      <c r="N369" s="3">
        <f>IFERROR(INDEX(Table3[#All],MATCH(Table1[[#This Row],[Key_Year_Week_Brand]],Table3[[#All],[Key_Year_Week_Brand]],0),MATCH(Table1[[#This Row],[DC_name_Xref]],Table3[#Headers],0)),0)</f>
        <v>0</v>
      </c>
      <c r="O369">
        <f>IFERROR(INDEX(Table35[#All],MATCH(Table1[[#This Row],[Key_Year_Week_Brand]],Table35[[#All],[Key_Year_Month_Brand]],0),MATCH(Table1[[#This Row],[DC_name_Xref]],Table35[#Headers],0)),0)</f>
        <v>0</v>
      </c>
    </row>
    <row r="370" spans="1:15" x14ac:dyDescent="0.3">
      <c r="A370" s="19" t="str">
        <f>Table1[[#This Row],[Year_Week]]&amp;"-"&amp;Table1[[#This Row],[DC_name_Xref]]</f>
        <v>201946-FFC-ODC</v>
      </c>
      <c r="B370" s="19" t="str">
        <f>Table1[[#This Row],[Fiscal_Year]]*100+Table1[[#This Row],[Fiscal_Week]] &amp; "-" &amp;Table1[[#This Row],[BRAND]]</f>
        <v>201946-Gap</v>
      </c>
      <c r="C370" t="str">
        <f>Table1[[#This Row],[Fiscal_Year]]&amp;"-"&amp;Table1[[#This Row],[BRAND]]</f>
        <v>2019-Gap</v>
      </c>
      <c r="D370">
        <v>2019</v>
      </c>
      <c r="E370">
        <v>46</v>
      </c>
      <c r="F370" t="s">
        <v>16</v>
      </c>
      <c r="G370" t="s">
        <v>23</v>
      </c>
      <c r="H370">
        <v>5</v>
      </c>
      <c r="I370">
        <v>0</v>
      </c>
      <c r="J370" t="str">
        <f>VLOOKUP(H370,DC_Xref!A:B,2,FALSE)</f>
        <v>FFC-ODC</v>
      </c>
      <c r="K370">
        <f t="shared" si="5"/>
        <v>201946</v>
      </c>
      <c r="L370">
        <f>IFERROR(Table1[[#This Row],[Demand]]/SUMIFS(Table1[Demand],Table1[Fiscal_Year],Table1[[#This Row],[Fiscal_Year]],Table1[BRAND],Table1[[#This Row],[BRAND]],Table1[DC_name_Xref],Table1[[#This Row],[DC_name_Xref]]),0)</f>
        <v>0</v>
      </c>
      <c r="M3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0" s="3">
        <f>IFERROR(INDEX(Table3[#All],MATCH(Table1[[#This Row],[Key_Year_Week_Brand]],Table3[[#All],[Key_Year_Week_Brand]],0),MATCH(Table1[[#This Row],[DC_name_Xref]],Table3[#Headers],0)),0)</f>
        <v>0</v>
      </c>
      <c r="O370">
        <f>IFERROR(INDEX(Table35[#All],MATCH(Table1[[#This Row],[Key_Year_Week_Brand]],Table35[[#All],[Key_Year_Month_Brand]],0),MATCH(Table1[[#This Row],[DC_name_Xref]],Table35[#Headers],0)),0)</f>
        <v>0</v>
      </c>
    </row>
    <row r="371" spans="1:15" x14ac:dyDescent="0.3">
      <c r="A371" s="19" t="str">
        <f>Table1[[#This Row],[Year_Week]]&amp;"-"&amp;Table1[[#This Row],[DC_name_Xref]]</f>
        <v>201946-WEO</v>
      </c>
      <c r="B371" s="19" t="str">
        <f>Table1[[#This Row],[Fiscal_Year]]*100+Table1[[#This Row],[Fiscal_Week]] &amp; "-" &amp;Table1[[#This Row],[BRAND]]</f>
        <v>201946-Gap</v>
      </c>
      <c r="C371" t="str">
        <f>Table1[[#This Row],[Fiscal_Year]]&amp;"-"&amp;Table1[[#This Row],[BRAND]]</f>
        <v>2019-Gap</v>
      </c>
      <c r="D371">
        <v>2019</v>
      </c>
      <c r="E371">
        <v>46</v>
      </c>
      <c r="F371" t="s">
        <v>16</v>
      </c>
      <c r="G371" t="s">
        <v>10</v>
      </c>
      <c r="H371">
        <v>6</v>
      </c>
      <c r="I371">
        <v>233535</v>
      </c>
      <c r="J371" t="str">
        <f>VLOOKUP(H371,DC_Xref!A:B,2,FALSE)</f>
        <v>WEO</v>
      </c>
      <c r="K371">
        <f t="shared" si="5"/>
        <v>201946</v>
      </c>
      <c r="L371">
        <f>IFERROR(Table1[[#This Row],[Demand]]/SUMIFS(Table1[Demand],Table1[Fiscal_Year],Table1[[#This Row],[Fiscal_Year]],Table1[BRAND],Table1[[#This Row],[BRAND]],Table1[DC_name_Xref],Table1[[#This Row],[DC_name_Xref]]),0)</f>
        <v>8.1675156462299531E-2</v>
      </c>
      <c r="M3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0.30693701056105532</v>
      </c>
      <c r="N371" s="3">
        <f>IFERROR(INDEX(Table3[#All],MATCH(Table1[[#This Row],[Key_Year_Week_Brand]],Table3[[#All],[Key_Year_Week_Brand]],0),MATCH(Table1[[#This Row],[DC_name_Xref]],Table3[#Headers],0)),0)</f>
        <v>0.4</v>
      </c>
      <c r="O371">
        <f>IFERROR(INDEX(Table35[#All],MATCH(Table1[[#This Row],[Key_Year_Week_Brand]],Table35[[#All],[Key_Year_Month_Brand]],0),MATCH(Table1[[#This Row],[DC_name_Xref]],Table35[#Headers],0)),0)</f>
        <v>382468.80000000005</v>
      </c>
    </row>
    <row r="372" spans="1:15" x14ac:dyDescent="0.3">
      <c r="A372" s="19" t="str">
        <f>Table1[[#This Row],[Year_Week]]&amp;"-"&amp;Table1[[#This Row],[DC_name_Xref]]</f>
        <v>201946-OCC</v>
      </c>
      <c r="B372" s="19" t="str">
        <f>Table1[[#This Row],[Fiscal_Year]]*100+Table1[[#This Row],[Fiscal_Week]] &amp; "-" &amp;Table1[[#This Row],[BRAND]]</f>
        <v>201946-Gap</v>
      </c>
      <c r="C372" t="str">
        <f>Table1[[#This Row],[Fiscal_Year]]&amp;"-"&amp;Table1[[#This Row],[BRAND]]</f>
        <v>2019-Gap</v>
      </c>
      <c r="D372">
        <v>2019</v>
      </c>
      <c r="E372">
        <v>46</v>
      </c>
      <c r="F372" t="s">
        <v>16</v>
      </c>
      <c r="G372" t="s">
        <v>11</v>
      </c>
      <c r="H372">
        <v>7</v>
      </c>
      <c r="I372">
        <v>0</v>
      </c>
      <c r="J372" t="str">
        <f>VLOOKUP(H372,DC_Xref!A:B,2,FALSE)</f>
        <v>OCC</v>
      </c>
      <c r="K372">
        <f t="shared" si="5"/>
        <v>201946</v>
      </c>
      <c r="L372">
        <f>IFERROR(Table1[[#This Row],[Demand]]/SUMIFS(Table1[Demand],Table1[Fiscal_Year],Table1[[#This Row],[Fiscal_Year]],Table1[BRAND],Table1[[#This Row],[BRAND]],Table1[DC_name_Xref],Table1[[#This Row],[DC_name_Xref]]),0)</f>
        <v>0</v>
      </c>
      <c r="M3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2" s="3">
        <f>IFERROR(INDEX(Table3[#All],MATCH(Table1[[#This Row],[Key_Year_Week_Brand]],Table3[[#All],[Key_Year_Week_Brand]],0),MATCH(Table1[[#This Row],[DC_name_Xref]],Table3[#Headers],0)),0)</f>
        <v>0</v>
      </c>
      <c r="O372">
        <f>IFERROR(INDEX(Table35[#All],MATCH(Table1[[#This Row],[Key_Year_Week_Brand]],Table35[[#All],[Key_Year_Month_Brand]],0),MATCH(Table1[[#This Row],[DC_name_Xref]],Table35[#Headers],0)),0)</f>
        <v>0</v>
      </c>
    </row>
    <row r="373" spans="1:15" x14ac:dyDescent="0.3">
      <c r="A373" s="19" t="str">
        <f>Table1[[#This Row],[Year_Week]]&amp;"-"&amp;Table1[[#This Row],[DC_name_Xref]]</f>
        <v>201946-OFC</v>
      </c>
      <c r="B373" s="19" t="str">
        <f>Table1[[#This Row],[Fiscal_Year]]*100+Table1[[#This Row],[Fiscal_Week]] &amp; "-" &amp;Table1[[#This Row],[BRAND]]</f>
        <v>201946-BR Factory Store</v>
      </c>
      <c r="C373" t="str">
        <f>Table1[[#This Row],[Fiscal_Year]]&amp;"-"&amp;Table1[[#This Row],[BRAND]]</f>
        <v>2019-BR Factory Store</v>
      </c>
      <c r="D373">
        <v>2019</v>
      </c>
      <c r="E373">
        <v>46</v>
      </c>
      <c r="F373" t="s">
        <v>17</v>
      </c>
      <c r="G373" t="s">
        <v>5</v>
      </c>
      <c r="H373">
        <v>1</v>
      </c>
      <c r="I373">
        <v>100095</v>
      </c>
      <c r="J373" t="str">
        <f>VLOOKUP(H373,DC_Xref!A:B,2,FALSE)</f>
        <v>OFC</v>
      </c>
      <c r="K373">
        <f t="shared" si="5"/>
        <v>201946</v>
      </c>
      <c r="L373">
        <f>IFERROR(Table1[[#This Row],[Demand]]/SUMIFS(Table1[Demand],Table1[Fiscal_Year],Table1[[#This Row],[Fiscal_Year]],Table1[BRAND],Table1[[#This Row],[BRAND]],Table1[DC_name_Xref],Table1[[#This Row],[DC_name_Xref]]),0)</f>
        <v>0.10792879578442061</v>
      </c>
      <c r="M3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373" s="3">
        <f>IFERROR(INDEX(Table3[#All],MATCH(Table1[[#This Row],[Key_Year_Week_Brand]],Table3[[#All],[Key_Year_Week_Brand]],0),MATCH(Table1[[#This Row],[DC_name_Xref]],Table3[#Headers],0)),0)</f>
        <v>1</v>
      </c>
      <c r="O373">
        <f>IFERROR(INDEX(Table35[#All],MATCH(Table1[[#This Row],[Key_Year_Week_Brand]],Table35[[#All],[Key_Year_Month_Brand]],0),MATCH(Table1[[#This Row],[DC_name_Xref]],Table35[#Headers],0)),0)</f>
        <v>100095</v>
      </c>
    </row>
    <row r="374" spans="1:15" x14ac:dyDescent="0.3">
      <c r="A374" s="19" t="str">
        <f>Table1[[#This Row],[Year_Week]]&amp;"-"&amp;Table1[[#This Row],[DC_name_Xref]]</f>
        <v>201946-TFC</v>
      </c>
      <c r="B374" s="19" t="str">
        <f>Table1[[#This Row],[Fiscal_Year]]*100+Table1[[#This Row],[Fiscal_Week]] &amp; "-" &amp;Table1[[#This Row],[BRAND]]</f>
        <v>201946-BR Factory Store</v>
      </c>
      <c r="C374" t="str">
        <f>Table1[[#This Row],[Fiscal_Year]]&amp;"-"&amp;Table1[[#This Row],[BRAND]]</f>
        <v>2019-BR Factory Store</v>
      </c>
      <c r="D374">
        <v>2019</v>
      </c>
      <c r="E374">
        <v>46</v>
      </c>
      <c r="F374" t="s">
        <v>17</v>
      </c>
      <c r="G374" t="s">
        <v>21</v>
      </c>
      <c r="H374">
        <v>2</v>
      </c>
      <c r="I374">
        <v>0</v>
      </c>
      <c r="J374" t="str">
        <f>VLOOKUP(H374,DC_Xref!A:B,2,FALSE)</f>
        <v>TFC</v>
      </c>
      <c r="K374">
        <f t="shared" si="5"/>
        <v>201946</v>
      </c>
      <c r="L374">
        <f>IFERROR(Table1[[#This Row],[Demand]]/SUMIFS(Table1[Demand],Table1[Fiscal_Year],Table1[[#This Row],[Fiscal_Year]],Table1[BRAND],Table1[[#This Row],[BRAND]],Table1[DC_name_Xref],Table1[[#This Row],[DC_name_Xref]]),0)</f>
        <v>0</v>
      </c>
      <c r="M3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4" s="3">
        <f>IFERROR(INDEX(Table3[#All],MATCH(Table1[[#This Row],[Key_Year_Week_Brand]],Table3[[#All],[Key_Year_Week_Brand]],0),MATCH(Table1[[#This Row],[DC_name_Xref]],Table3[#Headers],0)),0)</f>
        <v>0</v>
      </c>
      <c r="O374">
        <f>IFERROR(INDEX(Table35[#All],MATCH(Table1[[#This Row],[Key_Year_Week_Brand]],Table35[[#All],[Key_Year_Month_Brand]],0),MATCH(Table1[[#This Row],[DC_name_Xref]],Table35[#Headers],0)),0)</f>
        <v>0</v>
      </c>
    </row>
    <row r="375" spans="1:15" x14ac:dyDescent="0.3">
      <c r="A375" s="19" t="str">
        <f>Table1[[#This Row],[Year_Week]]&amp;"-"&amp;Table1[[#This Row],[DC_name_Xref]]</f>
        <v>201946-WFC</v>
      </c>
      <c r="B375" s="19" t="str">
        <f>Table1[[#This Row],[Fiscal_Year]]*100+Table1[[#This Row],[Fiscal_Week]] &amp; "-" &amp;Table1[[#This Row],[BRAND]]</f>
        <v>201946-BR Factory Store</v>
      </c>
      <c r="C375" t="str">
        <f>Table1[[#This Row],[Fiscal_Year]]&amp;"-"&amp;Table1[[#This Row],[BRAND]]</f>
        <v>2019-BR Factory Store</v>
      </c>
      <c r="D375">
        <v>2019</v>
      </c>
      <c r="E375">
        <v>46</v>
      </c>
      <c r="F375" t="s">
        <v>17</v>
      </c>
      <c r="G375" t="s">
        <v>7</v>
      </c>
      <c r="H375">
        <v>3</v>
      </c>
      <c r="I375">
        <v>0</v>
      </c>
      <c r="J375" t="str">
        <f>VLOOKUP(H375,DC_Xref!A:B,2,FALSE)</f>
        <v>WFC</v>
      </c>
      <c r="K375">
        <f t="shared" si="5"/>
        <v>201946</v>
      </c>
      <c r="L375">
        <f>IFERROR(Table1[[#This Row],[Demand]]/SUMIFS(Table1[Demand],Table1[Fiscal_Year],Table1[[#This Row],[Fiscal_Year]],Table1[BRAND],Table1[[#This Row],[BRAND]],Table1[DC_name_Xref],Table1[[#This Row],[DC_name_Xref]]),0)</f>
        <v>0</v>
      </c>
      <c r="M3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5" s="3">
        <f>IFERROR(INDEX(Table3[#All],MATCH(Table1[[#This Row],[Key_Year_Week_Brand]],Table3[[#All],[Key_Year_Week_Brand]],0),MATCH(Table1[[#This Row],[DC_name_Xref]],Table3[#Headers],0)),0)</f>
        <v>0</v>
      </c>
      <c r="O375">
        <f>IFERROR(INDEX(Table35[#All],MATCH(Table1[[#This Row],[Key_Year_Week_Brand]],Table35[[#All],[Key_Year_Month_Brand]],0),MATCH(Table1[[#This Row],[DC_name_Xref]],Table35[#Headers],0)),0)</f>
        <v>0</v>
      </c>
    </row>
    <row r="376" spans="1:15" x14ac:dyDescent="0.3">
      <c r="A376" s="19" t="str">
        <f>Table1[[#This Row],[Year_Week]]&amp;"-"&amp;Table1[[#This Row],[DC_name_Xref]]</f>
        <v>201946-EAO</v>
      </c>
      <c r="B376" s="19" t="str">
        <f>Table1[[#This Row],[Fiscal_Year]]*100+Table1[[#This Row],[Fiscal_Week]] &amp; "-" &amp;Table1[[#This Row],[BRAND]]</f>
        <v>201946-BR Factory Store</v>
      </c>
      <c r="C376" t="str">
        <f>Table1[[#This Row],[Fiscal_Year]]&amp;"-"&amp;Table1[[#This Row],[BRAND]]</f>
        <v>2019-BR Factory Store</v>
      </c>
      <c r="D376">
        <v>2019</v>
      </c>
      <c r="E376">
        <v>46</v>
      </c>
      <c r="F376" t="s">
        <v>17</v>
      </c>
      <c r="G376" t="s">
        <v>8</v>
      </c>
      <c r="H376">
        <v>4</v>
      </c>
      <c r="I376">
        <v>0</v>
      </c>
      <c r="J376" t="str">
        <f>VLOOKUP(H376,DC_Xref!A:B,2,FALSE)</f>
        <v>EAO</v>
      </c>
      <c r="K376">
        <f t="shared" si="5"/>
        <v>201946</v>
      </c>
      <c r="L376">
        <f>IFERROR(Table1[[#This Row],[Demand]]/SUMIFS(Table1[Demand],Table1[Fiscal_Year],Table1[[#This Row],[Fiscal_Year]],Table1[BRAND],Table1[[#This Row],[BRAND]],Table1[DC_name_Xref],Table1[[#This Row],[DC_name_Xref]]),0)</f>
        <v>0</v>
      </c>
      <c r="M3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6" s="3">
        <f>IFERROR(INDEX(Table3[#All],MATCH(Table1[[#This Row],[Key_Year_Week_Brand]],Table3[[#All],[Key_Year_Week_Brand]],0),MATCH(Table1[[#This Row],[DC_name_Xref]],Table3[#Headers],0)),0)</f>
        <v>0</v>
      </c>
      <c r="O376">
        <f>IFERROR(INDEX(Table35[#All],MATCH(Table1[[#This Row],[Key_Year_Week_Brand]],Table35[[#All],[Key_Year_Month_Brand]],0),MATCH(Table1[[#This Row],[DC_name_Xref]],Table35[#Headers],0)),0)</f>
        <v>0</v>
      </c>
    </row>
    <row r="377" spans="1:15" x14ac:dyDescent="0.3">
      <c r="A377" s="19" t="str">
        <f>Table1[[#This Row],[Year_Week]]&amp;"-"&amp;Table1[[#This Row],[DC_name_Xref]]</f>
        <v>201946-FFC-ODC</v>
      </c>
      <c r="B377" s="19" t="str">
        <f>Table1[[#This Row],[Fiscal_Year]]*100+Table1[[#This Row],[Fiscal_Week]] &amp; "-" &amp;Table1[[#This Row],[BRAND]]</f>
        <v>201946-BR Factory Store</v>
      </c>
      <c r="C377" t="str">
        <f>Table1[[#This Row],[Fiscal_Year]]&amp;"-"&amp;Table1[[#This Row],[BRAND]]</f>
        <v>2019-BR Factory Store</v>
      </c>
      <c r="D377">
        <v>2019</v>
      </c>
      <c r="E377">
        <v>46</v>
      </c>
      <c r="F377" t="s">
        <v>17</v>
      </c>
      <c r="G377" t="s">
        <v>23</v>
      </c>
      <c r="H377">
        <v>5</v>
      </c>
      <c r="I377">
        <v>0</v>
      </c>
      <c r="J377" t="str">
        <f>VLOOKUP(H377,DC_Xref!A:B,2,FALSE)</f>
        <v>FFC-ODC</v>
      </c>
      <c r="K377">
        <f t="shared" si="5"/>
        <v>201946</v>
      </c>
      <c r="L377">
        <f>IFERROR(Table1[[#This Row],[Demand]]/SUMIFS(Table1[Demand],Table1[Fiscal_Year],Table1[[#This Row],[Fiscal_Year]],Table1[BRAND],Table1[[#This Row],[BRAND]],Table1[DC_name_Xref],Table1[[#This Row],[DC_name_Xref]]),0)</f>
        <v>0</v>
      </c>
      <c r="M3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7" s="3">
        <f>IFERROR(INDEX(Table3[#All],MATCH(Table1[[#This Row],[Key_Year_Week_Brand]],Table3[[#All],[Key_Year_Week_Brand]],0),MATCH(Table1[[#This Row],[DC_name_Xref]],Table3[#Headers],0)),0)</f>
        <v>0</v>
      </c>
      <c r="O377">
        <f>IFERROR(INDEX(Table35[#All],MATCH(Table1[[#This Row],[Key_Year_Week_Brand]],Table35[[#All],[Key_Year_Month_Brand]],0),MATCH(Table1[[#This Row],[DC_name_Xref]],Table35[#Headers],0)),0)</f>
        <v>0</v>
      </c>
    </row>
    <row r="378" spans="1:15" x14ac:dyDescent="0.3">
      <c r="A378" s="19" t="str">
        <f>Table1[[#This Row],[Year_Week]]&amp;"-"&amp;Table1[[#This Row],[DC_name_Xref]]</f>
        <v>201946-WEO</v>
      </c>
      <c r="B378" s="19" t="str">
        <f>Table1[[#This Row],[Fiscal_Year]]*100+Table1[[#This Row],[Fiscal_Week]] &amp; "-" &amp;Table1[[#This Row],[BRAND]]</f>
        <v>201946-BR Factory Store</v>
      </c>
      <c r="C378" t="str">
        <f>Table1[[#This Row],[Fiscal_Year]]&amp;"-"&amp;Table1[[#This Row],[BRAND]]</f>
        <v>2019-BR Factory Store</v>
      </c>
      <c r="D378">
        <v>2019</v>
      </c>
      <c r="E378">
        <v>46</v>
      </c>
      <c r="F378" t="s">
        <v>17</v>
      </c>
      <c r="G378" t="s">
        <v>10</v>
      </c>
      <c r="H378">
        <v>6</v>
      </c>
      <c r="I378">
        <v>0</v>
      </c>
      <c r="J378" t="str">
        <f>VLOOKUP(H378,DC_Xref!A:B,2,FALSE)</f>
        <v>WEO</v>
      </c>
      <c r="K378">
        <f t="shared" si="5"/>
        <v>201946</v>
      </c>
      <c r="L378">
        <f>IFERROR(Table1[[#This Row],[Demand]]/SUMIFS(Table1[Demand],Table1[Fiscal_Year],Table1[[#This Row],[Fiscal_Year]],Table1[BRAND],Table1[[#This Row],[BRAND]],Table1[DC_name_Xref],Table1[[#This Row],[DC_name_Xref]]),0)</f>
        <v>0</v>
      </c>
      <c r="M3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8" s="3">
        <f>IFERROR(INDEX(Table3[#All],MATCH(Table1[[#This Row],[Key_Year_Week_Brand]],Table3[[#All],[Key_Year_Week_Brand]],0),MATCH(Table1[[#This Row],[DC_name_Xref]],Table3[#Headers],0)),0)</f>
        <v>0</v>
      </c>
      <c r="O378">
        <f>IFERROR(INDEX(Table35[#All],MATCH(Table1[[#This Row],[Key_Year_Week_Brand]],Table35[[#All],[Key_Year_Month_Brand]],0),MATCH(Table1[[#This Row],[DC_name_Xref]],Table35[#Headers],0)),0)</f>
        <v>0</v>
      </c>
    </row>
    <row r="379" spans="1:15" x14ac:dyDescent="0.3">
      <c r="A379" s="19" t="str">
        <f>Table1[[#This Row],[Year_Week]]&amp;"-"&amp;Table1[[#This Row],[DC_name_Xref]]</f>
        <v>201946-OCC</v>
      </c>
      <c r="B379" s="19" t="str">
        <f>Table1[[#This Row],[Fiscal_Year]]*100+Table1[[#This Row],[Fiscal_Week]] &amp; "-" &amp;Table1[[#This Row],[BRAND]]</f>
        <v>201946-BR Factory Store</v>
      </c>
      <c r="C379" t="str">
        <f>Table1[[#This Row],[Fiscal_Year]]&amp;"-"&amp;Table1[[#This Row],[BRAND]]</f>
        <v>2019-BR Factory Store</v>
      </c>
      <c r="D379">
        <v>2019</v>
      </c>
      <c r="E379">
        <v>46</v>
      </c>
      <c r="F379" t="s">
        <v>17</v>
      </c>
      <c r="G379" t="s">
        <v>11</v>
      </c>
      <c r="H379">
        <v>7</v>
      </c>
      <c r="I379">
        <v>0</v>
      </c>
      <c r="J379" t="str">
        <f>VLOOKUP(H379,DC_Xref!A:B,2,FALSE)</f>
        <v>OCC</v>
      </c>
      <c r="K379">
        <f t="shared" si="5"/>
        <v>201946</v>
      </c>
      <c r="L379">
        <f>IFERROR(Table1[[#This Row],[Demand]]/SUMIFS(Table1[Demand],Table1[Fiscal_Year],Table1[[#This Row],[Fiscal_Year]],Table1[BRAND],Table1[[#This Row],[BRAND]],Table1[DC_name_Xref],Table1[[#This Row],[DC_name_Xref]]),0)</f>
        <v>0</v>
      </c>
      <c r="M3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79" s="3">
        <f>IFERROR(INDEX(Table3[#All],MATCH(Table1[[#This Row],[Key_Year_Week_Brand]],Table3[[#All],[Key_Year_Week_Brand]],0),MATCH(Table1[[#This Row],[DC_name_Xref]],Table3[#Headers],0)),0)</f>
        <v>0</v>
      </c>
      <c r="O379">
        <f>IFERROR(INDEX(Table35[#All],MATCH(Table1[[#This Row],[Key_Year_Week_Brand]],Table35[[#All],[Key_Year_Month_Brand]],0),MATCH(Table1[[#This Row],[DC_name_Xref]],Table35[#Headers],0)),0)</f>
        <v>0</v>
      </c>
    </row>
    <row r="380" spans="1:15" x14ac:dyDescent="0.3">
      <c r="A380" s="19" t="str">
        <f>Table1[[#This Row],[Year_Week]]&amp;"-"&amp;Table1[[#This Row],[DC_name_Xref]]</f>
        <v>201947-WFC</v>
      </c>
      <c r="B380" s="19" t="str">
        <f>Table1[[#This Row],[Fiscal_Year]]*100+Table1[[#This Row],[Fiscal_Week]] &amp; "-" &amp;Table1[[#This Row],[BRAND]]</f>
        <v>201947-Old Navy</v>
      </c>
      <c r="C380" t="str">
        <f>Table1[[#This Row],[Fiscal_Year]]&amp;"-"&amp;Table1[[#This Row],[BRAND]]</f>
        <v>2019-Old Navy</v>
      </c>
      <c r="D380">
        <v>2019</v>
      </c>
      <c r="E380">
        <v>47</v>
      </c>
      <c r="F380" t="s">
        <v>20</v>
      </c>
      <c r="G380" t="s">
        <v>7</v>
      </c>
      <c r="H380">
        <v>3</v>
      </c>
      <c r="I380">
        <v>227194</v>
      </c>
      <c r="J380" t="str">
        <f>VLOOKUP(H380,DC_Xref!A:B,2,FALSE)</f>
        <v>WFC</v>
      </c>
      <c r="K380">
        <f t="shared" si="5"/>
        <v>201947</v>
      </c>
      <c r="L380">
        <f>IFERROR(Table1[[#This Row],[Demand]]/SUMIFS(Table1[Demand],Table1[Fiscal_Year],Table1[[#This Row],[Fiscal_Year]],Table1[BRAND],Table1[[#This Row],[BRAND]],Table1[DC_name_Xref],Table1[[#This Row],[DC_name_Xref]]),0)</f>
        <v>5.6039832744307565E-2</v>
      </c>
      <c r="M3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0.20168037128093624</v>
      </c>
      <c r="N380" s="3">
        <f>IFERROR(INDEX(Table3[#All],MATCH(Table1[[#This Row],[Key_Year_Week_Brand]],Table3[[#All],[Key_Year_Week_Brand]],0),MATCH(Table1[[#This Row],[DC_name_Xref]],Table3[#Headers],0)),0)</f>
        <v>0.02</v>
      </c>
      <c r="O380">
        <f>IFERROR(INDEX(Table35[#All],MATCH(Table1[[#This Row],[Key_Year_Week_Brand]],Table35[[#All],[Key_Year_Month_Brand]],0),MATCH(Table1[[#This Row],[DC_name_Xref]],Table35[#Headers],0)),0)</f>
        <v>27172.720000000001</v>
      </c>
    </row>
    <row r="381" spans="1:15" x14ac:dyDescent="0.3">
      <c r="A381" s="19" t="str">
        <f>Table1[[#This Row],[Year_Week]]&amp;"-"&amp;Table1[[#This Row],[DC_name_Xref]]</f>
        <v>201947-EAO</v>
      </c>
      <c r="B381" s="19" t="str">
        <f>Table1[[#This Row],[Fiscal_Year]]*100+Table1[[#This Row],[Fiscal_Week]] &amp; "-" &amp;Table1[[#This Row],[BRAND]]</f>
        <v>201947-Old Navy</v>
      </c>
      <c r="C381" t="str">
        <f>Table1[[#This Row],[Fiscal_Year]]&amp;"-"&amp;Table1[[#This Row],[BRAND]]</f>
        <v>2019-Old Navy</v>
      </c>
      <c r="D381">
        <v>2019</v>
      </c>
      <c r="E381">
        <v>47</v>
      </c>
      <c r="F381" t="s">
        <v>20</v>
      </c>
      <c r="G381" t="s">
        <v>8</v>
      </c>
      <c r="H381">
        <v>4</v>
      </c>
      <c r="I381">
        <v>436163</v>
      </c>
      <c r="J381" t="str">
        <f>VLOOKUP(H381,DC_Xref!A:B,2,FALSE)</f>
        <v>EAO</v>
      </c>
      <c r="K381">
        <f t="shared" si="5"/>
        <v>201947</v>
      </c>
      <c r="L381">
        <f>IFERROR(Table1[[#This Row],[Demand]]/SUMIFS(Table1[Demand],Table1[Fiscal_Year],Table1[[#This Row],[Fiscal_Year]],Table1[BRAND],Table1[[#This Row],[BRAND]],Table1[DC_name_Xref],Table1[[#This Row],[DC_name_Xref]]),0)</f>
        <v>6.5276634325401844E-2</v>
      </c>
      <c r="M3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0.33239514518726049</v>
      </c>
      <c r="N381" s="3">
        <f>IFERROR(INDEX(Table3[#All],MATCH(Table1[[#This Row],[Key_Year_Week_Brand]],Table3[[#All],[Key_Year_Week_Brand]],0),MATCH(Table1[[#This Row],[DC_name_Xref]],Table3[#Headers],0)),0)</f>
        <v>0.41</v>
      </c>
      <c r="O381">
        <f>IFERROR(INDEX(Table35[#All],MATCH(Table1[[#This Row],[Key_Year_Week_Brand]],Table35[[#All],[Key_Year_Month_Brand]],0),MATCH(Table1[[#This Row],[DC_name_Xref]],Table35[#Headers],0)),0)</f>
        <v>557040.76</v>
      </c>
    </row>
    <row r="382" spans="1:15" x14ac:dyDescent="0.3">
      <c r="A382" s="19" t="str">
        <f>Table1[[#This Row],[Year_Week]]&amp;"-"&amp;Table1[[#This Row],[DC_name_Xref]]</f>
        <v>201947-FFC-ODC</v>
      </c>
      <c r="B382" s="19" t="str">
        <f>Table1[[#This Row],[Fiscal_Year]]*100+Table1[[#This Row],[Fiscal_Week]] &amp; "-" &amp;Table1[[#This Row],[BRAND]]</f>
        <v>201947-Old Navy</v>
      </c>
      <c r="C382" t="str">
        <f>Table1[[#This Row],[Fiscal_Year]]&amp;"-"&amp;Table1[[#This Row],[BRAND]]</f>
        <v>2019-Old Navy</v>
      </c>
      <c r="D382">
        <v>2019</v>
      </c>
      <c r="E382">
        <v>47</v>
      </c>
      <c r="F382" t="s">
        <v>20</v>
      </c>
      <c r="G382" t="s">
        <v>23</v>
      </c>
      <c r="H382">
        <v>5</v>
      </c>
      <c r="I382">
        <v>0</v>
      </c>
      <c r="J382" t="str">
        <f>VLOOKUP(H382,DC_Xref!A:B,2,FALSE)</f>
        <v>FFC-ODC</v>
      </c>
      <c r="K382">
        <f t="shared" si="5"/>
        <v>201947</v>
      </c>
      <c r="L382">
        <f>IFERROR(Table1[[#This Row],[Demand]]/SUMIFS(Table1[Demand],Table1[Fiscal_Year],Table1[[#This Row],[Fiscal_Year]],Table1[BRAND],Table1[[#This Row],[BRAND]],Table1[DC_name_Xref],Table1[[#This Row],[DC_name_Xref]]),0)</f>
        <v>0</v>
      </c>
      <c r="M3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82" s="3">
        <f>IFERROR(INDEX(Table3[#All],MATCH(Table1[[#This Row],[Key_Year_Week_Brand]],Table3[[#All],[Key_Year_Week_Brand]],0),MATCH(Table1[[#This Row],[DC_name_Xref]],Table3[#Headers],0)),0)</f>
        <v>0</v>
      </c>
      <c r="O382">
        <f>IFERROR(INDEX(Table35[#All],MATCH(Table1[[#This Row],[Key_Year_Week_Brand]],Table35[[#All],[Key_Year_Month_Brand]],0),MATCH(Table1[[#This Row],[DC_name_Xref]],Table35[#Headers],0)),0)</f>
        <v>0</v>
      </c>
    </row>
    <row r="383" spans="1:15" x14ac:dyDescent="0.3">
      <c r="A383" s="19" t="str">
        <f>Table1[[#This Row],[Year_Week]]&amp;"-"&amp;Table1[[#This Row],[DC_name_Xref]]</f>
        <v>201947-WEO</v>
      </c>
      <c r="B383" s="19" t="str">
        <f>Table1[[#This Row],[Fiscal_Year]]*100+Table1[[#This Row],[Fiscal_Week]] &amp; "-" &amp;Table1[[#This Row],[BRAND]]</f>
        <v>201947-Old Navy</v>
      </c>
      <c r="C383" t="str">
        <f>Table1[[#This Row],[Fiscal_Year]]&amp;"-"&amp;Table1[[#This Row],[BRAND]]</f>
        <v>2019-Old Navy</v>
      </c>
      <c r="D383">
        <v>2019</v>
      </c>
      <c r="E383">
        <v>47</v>
      </c>
      <c r="F383" t="s">
        <v>20</v>
      </c>
      <c r="G383" t="s">
        <v>10</v>
      </c>
      <c r="H383">
        <v>6</v>
      </c>
      <c r="I383">
        <v>0</v>
      </c>
      <c r="J383" t="str">
        <f>VLOOKUP(H383,DC_Xref!A:B,2,FALSE)</f>
        <v>WEO</v>
      </c>
      <c r="K383">
        <f t="shared" si="5"/>
        <v>201947</v>
      </c>
      <c r="L383">
        <f>IFERROR(Table1[[#This Row],[Demand]]/SUMIFS(Table1[Demand],Table1[Fiscal_Year],Table1[[#This Row],[Fiscal_Year]],Table1[BRAND],Table1[[#This Row],[BRAND]],Table1[DC_name_Xref],Table1[[#This Row],[DC_name_Xref]]),0)</f>
        <v>0</v>
      </c>
      <c r="M3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83" s="3">
        <f>IFERROR(INDEX(Table3[#All],MATCH(Table1[[#This Row],[Key_Year_Week_Brand]],Table3[[#All],[Key_Year_Week_Brand]],0),MATCH(Table1[[#This Row],[DC_name_Xref]],Table3[#Headers],0)),0)</f>
        <v>0.22</v>
      </c>
      <c r="O383">
        <f>IFERROR(INDEX(Table35[#All],MATCH(Table1[[#This Row],[Key_Year_Week_Brand]],Table35[[#All],[Key_Year_Month_Brand]],0),MATCH(Table1[[#This Row],[DC_name_Xref]],Table35[#Headers],0)),0)</f>
        <v>298899.92</v>
      </c>
    </row>
    <row r="384" spans="1:15" x14ac:dyDescent="0.3">
      <c r="A384" s="19" t="str">
        <f>Table1[[#This Row],[Year_Week]]&amp;"-"&amp;Table1[[#This Row],[DC_name_Xref]]</f>
        <v>201947-OCC</v>
      </c>
      <c r="B384" s="19" t="str">
        <f>Table1[[#This Row],[Fiscal_Year]]*100+Table1[[#This Row],[Fiscal_Week]] &amp; "-" &amp;Table1[[#This Row],[BRAND]]</f>
        <v>201947-Old Navy</v>
      </c>
      <c r="C384" t="str">
        <f>Table1[[#This Row],[Fiscal_Year]]&amp;"-"&amp;Table1[[#This Row],[BRAND]]</f>
        <v>2019-Old Navy</v>
      </c>
      <c r="D384">
        <v>2019</v>
      </c>
      <c r="E384">
        <v>47</v>
      </c>
      <c r="F384" t="s">
        <v>20</v>
      </c>
      <c r="G384" t="s">
        <v>11</v>
      </c>
      <c r="H384">
        <v>7</v>
      </c>
      <c r="I384">
        <v>0</v>
      </c>
      <c r="J384" t="str">
        <f>VLOOKUP(H384,DC_Xref!A:B,2,FALSE)</f>
        <v>OCC</v>
      </c>
      <c r="K384">
        <f t="shared" si="5"/>
        <v>201947</v>
      </c>
      <c r="L384">
        <f>IFERROR(Table1[[#This Row],[Demand]]/SUMIFS(Table1[Demand],Table1[Fiscal_Year],Table1[[#This Row],[Fiscal_Year]],Table1[BRAND],Table1[[#This Row],[BRAND]],Table1[DC_name_Xref],Table1[[#This Row],[DC_name_Xref]]),0)</f>
        <v>0</v>
      </c>
      <c r="M3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84" s="3">
        <f>IFERROR(INDEX(Table3[#All],MATCH(Table1[[#This Row],[Key_Year_Week_Brand]],Table3[[#All],[Key_Year_Week_Brand]],0),MATCH(Table1[[#This Row],[DC_name_Xref]],Table3[#Headers],0)),0)</f>
        <v>0</v>
      </c>
      <c r="O384">
        <f>IFERROR(INDEX(Table35[#All],MATCH(Table1[[#This Row],[Key_Year_Week_Brand]],Table35[[#All],[Key_Year_Month_Brand]],0),MATCH(Table1[[#This Row],[DC_name_Xref]],Table35[#Headers],0)),0)</f>
        <v>0</v>
      </c>
    </row>
    <row r="385" spans="1:15" x14ac:dyDescent="0.3">
      <c r="A385" s="19" t="str">
        <f>Table1[[#This Row],[Year_Week]]&amp;"-"&amp;Table1[[#This Row],[DC_name_Xref]]</f>
        <v>201947-OFC</v>
      </c>
      <c r="B385" s="19" t="str">
        <f>Table1[[#This Row],[Fiscal_Year]]*100+Table1[[#This Row],[Fiscal_Week]] &amp; "-" &amp;Table1[[#This Row],[BRAND]]</f>
        <v>201947-Old Navy</v>
      </c>
      <c r="C385" t="str">
        <f>Table1[[#This Row],[Fiscal_Year]]&amp;"-"&amp;Table1[[#This Row],[BRAND]]</f>
        <v>2019-Old Navy</v>
      </c>
      <c r="D385">
        <v>2019</v>
      </c>
      <c r="E385">
        <v>47</v>
      </c>
      <c r="F385" t="s">
        <v>20</v>
      </c>
      <c r="G385" t="s">
        <v>5</v>
      </c>
      <c r="H385">
        <v>1</v>
      </c>
      <c r="I385">
        <v>494017</v>
      </c>
      <c r="J385" t="str">
        <f>VLOOKUP(H385,DC_Xref!A:B,2,FALSE)</f>
        <v>OFC</v>
      </c>
      <c r="K385">
        <f t="shared" si="5"/>
        <v>201947</v>
      </c>
      <c r="L385">
        <f>IFERROR(Table1[[#This Row],[Demand]]/SUMIFS(Table1[Demand],Table1[Fiscal_Year],Table1[[#This Row],[Fiscal_Year]],Table1[BRAND],Table1[[#This Row],[BRAND]],Table1[DC_name_Xref],Table1[[#This Row],[DC_name_Xref]]),0)</f>
        <v>8.3066654829234962E-2</v>
      </c>
      <c r="M3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0.29585490740735676</v>
      </c>
      <c r="N385" s="3">
        <f>IFERROR(INDEX(Table3[#All],MATCH(Table1[[#This Row],[Key_Year_Week_Brand]],Table3[[#All],[Key_Year_Week_Brand]],0),MATCH(Table1[[#This Row],[DC_name_Xref]],Table3[#Headers],0)),0)</f>
        <v>0.15</v>
      </c>
      <c r="O385">
        <f>IFERROR(INDEX(Table35[#All],MATCH(Table1[[#This Row],[Key_Year_Week_Brand]],Table35[[#All],[Key_Year_Month_Brand]],0),MATCH(Table1[[#This Row],[DC_name_Xref]],Table35[#Headers],0)),0)</f>
        <v>203795.4</v>
      </c>
    </row>
    <row r="386" spans="1:15" x14ac:dyDescent="0.3">
      <c r="A386" s="19" t="str">
        <f>Table1[[#This Row],[Year_Week]]&amp;"-"&amp;Table1[[#This Row],[DC_name_Xref]]</f>
        <v>201947-TFC</v>
      </c>
      <c r="B386" s="19" t="str">
        <f>Table1[[#This Row],[Fiscal_Year]]*100+Table1[[#This Row],[Fiscal_Week]] &amp; "-" &amp;Table1[[#This Row],[BRAND]]</f>
        <v>201947-Old Navy</v>
      </c>
      <c r="C386" t="str">
        <f>Table1[[#This Row],[Fiscal_Year]]&amp;"-"&amp;Table1[[#This Row],[BRAND]]</f>
        <v>2019-Old Navy</v>
      </c>
      <c r="D386">
        <v>2019</v>
      </c>
      <c r="E386">
        <v>47</v>
      </c>
      <c r="F386" t="s">
        <v>20</v>
      </c>
      <c r="G386" t="s">
        <v>21</v>
      </c>
      <c r="H386">
        <v>2</v>
      </c>
      <c r="I386">
        <v>201262</v>
      </c>
      <c r="J386" t="str">
        <f>VLOOKUP(H386,DC_Xref!A:B,2,FALSE)</f>
        <v>TFC</v>
      </c>
      <c r="K386">
        <f t="shared" ref="K386:K449" si="6">D386*100+E386</f>
        <v>201947</v>
      </c>
      <c r="L386">
        <f>IFERROR(Table1[[#This Row],[Demand]]/SUMIFS(Table1[Demand],Table1[Fiscal_Year],Table1[[#This Row],[Fiscal_Year]],Table1[BRAND],Table1[[#This Row],[BRAND]],Table1[DC_name_Xref],Table1[[#This Row],[DC_name_Xref]]),0)</f>
        <v>5.8870640322273043E-2</v>
      </c>
      <c r="M3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0.17006957612444654</v>
      </c>
      <c r="N386" s="3">
        <f>IFERROR(INDEX(Table3[#All],MATCH(Table1[[#This Row],[Key_Year_Week_Brand]],Table3[[#All],[Key_Year_Week_Brand]],0),MATCH(Table1[[#This Row],[DC_name_Xref]],Table3[#Headers],0)),0)</f>
        <v>0.2</v>
      </c>
      <c r="O386">
        <f>IFERROR(INDEX(Table35[#All],MATCH(Table1[[#This Row],[Key_Year_Week_Brand]],Table35[[#All],[Key_Year_Month_Brand]],0),MATCH(Table1[[#This Row],[DC_name_Xref]],Table35[#Headers],0)),0)</f>
        <v>271727.2</v>
      </c>
    </row>
    <row r="387" spans="1:15" x14ac:dyDescent="0.3">
      <c r="A387" s="19" t="str">
        <f>Table1[[#This Row],[Year_Week]]&amp;"-"&amp;Table1[[#This Row],[DC_name_Xref]]</f>
        <v>201947-OFC</v>
      </c>
      <c r="B387" s="19" t="str">
        <f>Table1[[#This Row],[Fiscal_Year]]*100+Table1[[#This Row],[Fiscal_Week]] &amp; "-" &amp;Table1[[#This Row],[BRAND]]</f>
        <v>201947-BR Factory Store</v>
      </c>
      <c r="C387" t="str">
        <f>Table1[[#This Row],[Fiscal_Year]]&amp;"-"&amp;Table1[[#This Row],[BRAND]]</f>
        <v>2019-BR Factory Store</v>
      </c>
      <c r="D387">
        <v>2019</v>
      </c>
      <c r="E387">
        <v>47</v>
      </c>
      <c r="F387" t="s">
        <v>17</v>
      </c>
      <c r="G387" t="s">
        <v>5</v>
      </c>
      <c r="H387">
        <v>1</v>
      </c>
      <c r="I387">
        <v>87472</v>
      </c>
      <c r="J387" t="str">
        <f>VLOOKUP(H387,DC_Xref!A:B,2,FALSE)</f>
        <v>OFC</v>
      </c>
      <c r="K387">
        <f t="shared" si="6"/>
        <v>201947</v>
      </c>
      <c r="L387">
        <f>IFERROR(Table1[[#This Row],[Demand]]/SUMIFS(Table1[Demand],Table1[Fiscal_Year],Table1[[#This Row],[Fiscal_Year]],Table1[BRAND],Table1[[#This Row],[BRAND]],Table1[DC_name_Xref],Table1[[#This Row],[DC_name_Xref]]),0)</f>
        <v>9.431787426799379E-2</v>
      </c>
      <c r="M3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387" s="3">
        <f>IFERROR(INDEX(Table3[#All],MATCH(Table1[[#This Row],[Key_Year_Week_Brand]],Table3[[#All],[Key_Year_Week_Brand]],0),MATCH(Table1[[#This Row],[DC_name_Xref]],Table3[#Headers],0)),0)</f>
        <v>1</v>
      </c>
      <c r="O387">
        <f>IFERROR(INDEX(Table35[#All],MATCH(Table1[[#This Row],[Key_Year_Week_Brand]],Table35[[#All],[Key_Year_Month_Brand]],0),MATCH(Table1[[#This Row],[DC_name_Xref]],Table35[#Headers],0)),0)</f>
        <v>87472</v>
      </c>
    </row>
    <row r="388" spans="1:15" x14ac:dyDescent="0.3">
      <c r="A388" s="19" t="str">
        <f>Table1[[#This Row],[Year_Week]]&amp;"-"&amp;Table1[[#This Row],[DC_name_Xref]]</f>
        <v>201947-TFC</v>
      </c>
      <c r="B388" s="19" t="str">
        <f>Table1[[#This Row],[Fiscal_Year]]*100+Table1[[#This Row],[Fiscal_Week]] &amp; "-" &amp;Table1[[#This Row],[BRAND]]</f>
        <v>201947-BR Factory Store</v>
      </c>
      <c r="C388" t="str">
        <f>Table1[[#This Row],[Fiscal_Year]]&amp;"-"&amp;Table1[[#This Row],[BRAND]]</f>
        <v>2019-BR Factory Store</v>
      </c>
      <c r="D388">
        <v>2019</v>
      </c>
      <c r="E388">
        <v>47</v>
      </c>
      <c r="F388" t="s">
        <v>17</v>
      </c>
      <c r="G388" t="s">
        <v>21</v>
      </c>
      <c r="H388">
        <v>2</v>
      </c>
      <c r="I388">
        <v>0</v>
      </c>
      <c r="J388" t="str">
        <f>VLOOKUP(H388,DC_Xref!A:B,2,FALSE)</f>
        <v>TFC</v>
      </c>
      <c r="K388">
        <f t="shared" si="6"/>
        <v>201947</v>
      </c>
      <c r="L388">
        <f>IFERROR(Table1[[#This Row],[Demand]]/SUMIFS(Table1[Demand],Table1[Fiscal_Year],Table1[[#This Row],[Fiscal_Year]],Table1[BRAND],Table1[[#This Row],[BRAND]],Table1[DC_name_Xref],Table1[[#This Row],[DC_name_Xref]]),0)</f>
        <v>0</v>
      </c>
      <c r="M3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88" s="3">
        <f>IFERROR(INDEX(Table3[#All],MATCH(Table1[[#This Row],[Key_Year_Week_Brand]],Table3[[#All],[Key_Year_Week_Brand]],0),MATCH(Table1[[#This Row],[DC_name_Xref]],Table3[#Headers],0)),0)</f>
        <v>0</v>
      </c>
      <c r="O388">
        <f>IFERROR(INDEX(Table35[#All],MATCH(Table1[[#This Row],[Key_Year_Week_Brand]],Table35[[#All],[Key_Year_Month_Brand]],0),MATCH(Table1[[#This Row],[DC_name_Xref]],Table35[#Headers],0)),0)</f>
        <v>0</v>
      </c>
    </row>
    <row r="389" spans="1:15" x14ac:dyDescent="0.3">
      <c r="A389" s="19" t="str">
        <f>Table1[[#This Row],[Year_Week]]&amp;"-"&amp;Table1[[#This Row],[DC_name_Xref]]</f>
        <v>201947-WFC</v>
      </c>
      <c r="B389" s="19" t="str">
        <f>Table1[[#This Row],[Fiscal_Year]]*100+Table1[[#This Row],[Fiscal_Week]] &amp; "-" &amp;Table1[[#This Row],[BRAND]]</f>
        <v>201947-BR Factory Store</v>
      </c>
      <c r="C389" t="str">
        <f>Table1[[#This Row],[Fiscal_Year]]&amp;"-"&amp;Table1[[#This Row],[BRAND]]</f>
        <v>2019-BR Factory Store</v>
      </c>
      <c r="D389">
        <v>2019</v>
      </c>
      <c r="E389">
        <v>47</v>
      </c>
      <c r="F389" t="s">
        <v>17</v>
      </c>
      <c r="G389" t="s">
        <v>7</v>
      </c>
      <c r="H389">
        <v>3</v>
      </c>
      <c r="I389">
        <v>0</v>
      </c>
      <c r="J389" t="str">
        <f>VLOOKUP(H389,DC_Xref!A:B,2,FALSE)</f>
        <v>WFC</v>
      </c>
      <c r="K389">
        <f t="shared" si="6"/>
        <v>201947</v>
      </c>
      <c r="L389">
        <f>IFERROR(Table1[[#This Row],[Demand]]/SUMIFS(Table1[Demand],Table1[Fiscal_Year],Table1[[#This Row],[Fiscal_Year]],Table1[BRAND],Table1[[#This Row],[BRAND]],Table1[DC_name_Xref],Table1[[#This Row],[DC_name_Xref]]),0)</f>
        <v>0</v>
      </c>
      <c r="M3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89" s="3">
        <f>IFERROR(INDEX(Table3[#All],MATCH(Table1[[#This Row],[Key_Year_Week_Brand]],Table3[[#All],[Key_Year_Week_Brand]],0),MATCH(Table1[[#This Row],[DC_name_Xref]],Table3[#Headers],0)),0)</f>
        <v>0</v>
      </c>
      <c r="O389">
        <f>IFERROR(INDEX(Table35[#All],MATCH(Table1[[#This Row],[Key_Year_Week_Brand]],Table35[[#All],[Key_Year_Month_Brand]],0),MATCH(Table1[[#This Row],[DC_name_Xref]],Table35[#Headers],0)),0)</f>
        <v>0</v>
      </c>
    </row>
    <row r="390" spans="1:15" x14ac:dyDescent="0.3">
      <c r="A390" s="19" t="str">
        <f>Table1[[#This Row],[Year_Week]]&amp;"-"&amp;Table1[[#This Row],[DC_name_Xref]]</f>
        <v>201947-EAO</v>
      </c>
      <c r="B390" s="19" t="str">
        <f>Table1[[#This Row],[Fiscal_Year]]*100+Table1[[#This Row],[Fiscal_Week]] &amp; "-" &amp;Table1[[#This Row],[BRAND]]</f>
        <v>201947-BR Factory Store</v>
      </c>
      <c r="C390" t="str">
        <f>Table1[[#This Row],[Fiscal_Year]]&amp;"-"&amp;Table1[[#This Row],[BRAND]]</f>
        <v>2019-BR Factory Store</v>
      </c>
      <c r="D390">
        <v>2019</v>
      </c>
      <c r="E390">
        <v>47</v>
      </c>
      <c r="F390" t="s">
        <v>17</v>
      </c>
      <c r="G390" t="s">
        <v>8</v>
      </c>
      <c r="H390">
        <v>4</v>
      </c>
      <c r="I390">
        <v>0</v>
      </c>
      <c r="J390" t="str">
        <f>VLOOKUP(H390,DC_Xref!A:B,2,FALSE)</f>
        <v>EAO</v>
      </c>
      <c r="K390">
        <f t="shared" si="6"/>
        <v>201947</v>
      </c>
      <c r="L390">
        <f>IFERROR(Table1[[#This Row],[Demand]]/SUMIFS(Table1[Demand],Table1[Fiscal_Year],Table1[[#This Row],[Fiscal_Year]],Table1[BRAND],Table1[[#This Row],[BRAND]],Table1[DC_name_Xref],Table1[[#This Row],[DC_name_Xref]]),0)</f>
        <v>0</v>
      </c>
      <c r="M3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90" s="3">
        <f>IFERROR(INDEX(Table3[#All],MATCH(Table1[[#This Row],[Key_Year_Week_Brand]],Table3[[#All],[Key_Year_Week_Brand]],0),MATCH(Table1[[#This Row],[DC_name_Xref]],Table3[#Headers],0)),0)</f>
        <v>0</v>
      </c>
      <c r="O390">
        <f>IFERROR(INDEX(Table35[#All],MATCH(Table1[[#This Row],[Key_Year_Week_Brand]],Table35[[#All],[Key_Year_Month_Brand]],0),MATCH(Table1[[#This Row],[DC_name_Xref]],Table35[#Headers],0)),0)</f>
        <v>0</v>
      </c>
    </row>
    <row r="391" spans="1:15" x14ac:dyDescent="0.3">
      <c r="A391" s="19" t="str">
        <f>Table1[[#This Row],[Year_Week]]&amp;"-"&amp;Table1[[#This Row],[DC_name_Xref]]</f>
        <v>201947-FFC-ODC</v>
      </c>
      <c r="B391" s="19" t="str">
        <f>Table1[[#This Row],[Fiscal_Year]]*100+Table1[[#This Row],[Fiscal_Week]] &amp; "-" &amp;Table1[[#This Row],[BRAND]]</f>
        <v>201947-BR Factory Store</v>
      </c>
      <c r="C391" t="str">
        <f>Table1[[#This Row],[Fiscal_Year]]&amp;"-"&amp;Table1[[#This Row],[BRAND]]</f>
        <v>2019-BR Factory Store</v>
      </c>
      <c r="D391">
        <v>2019</v>
      </c>
      <c r="E391">
        <v>47</v>
      </c>
      <c r="F391" t="s">
        <v>17</v>
      </c>
      <c r="G391" t="s">
        <v>23</v>
      </c>
      <c r="H391">
        <v>5</v>
      </c>
      <c r="I391">
        <v>0</v>
      </c>
      <c r="J391" t="str">
        <f>VLOOKUP(H391,DC_Xref!A:B,2,FALSE)</f>
        <v>FFC-ODC</v>
      </c>
      <c r="K391">
        <f t="shared" si="6"/>
        <v>201947</v>
      </c>
      <c r="L391">
        <f>IFERROR(Table1[[#This Row],[Demand]]/SUMIFS(Table1[Demand],Table1[Fiscal_Year],Table1[[#This Row],[Fiscal_Year]],Table1[BRAND],Table1[[#This Row],[BRAND]],Table1[DC_name_Xref],Table1[[#This Row],[DC_name_Xref]]),0)</f>
        <v>0</v>
      </c>
      <c r="M3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91" s="3">
        <f>IFERROR(INDEX(Table3[#All],MATCH(Table1[[#This Row],[Key_Year_Week_Brand]],Table3[[#All],[Key_Year_Week_Brand]],0),MATCH(Table1[[#This Row],[DC_name_Xref]],Table3[#Headers],0)),0)</f>
        <v>0</v>
      </c>
      <c r="O391">
        <f>IFERROR(INDEX(Table35[#All],MATCH(Table1[[#This Row],[Key_Year_Week_Brand]],Table35[[#All],[Key_Year_Month_Brand]],0),MATCH(Table1[[#This Row],[DC_name_Xref]],Table35[#Headers],0)),0)</f>
        <v>0</v>
      </c>
    </row>
    <row r="392" spans="1:15" x14ac:dyDescent="0.3">
      <c r="A392" s="19" t="str">
        <f>Table1[[#This Row],[Year_Week]]&amp;"-"&amp;Table1[[#This Row],[DC_name_Xref]]</f>
        <v>201947-WEO</v>
      </c>
      <c r="B392" s="19" t="str">
        <f>Table1[[#This Row],[Fiscal_Year]]*100+Table1[[#This Row],[Fiscal_Week]] &amp; "-" &amp;Table1[[#This Row],[BRAND]]</f>
        <v>201947-BR Factory Store</v>
      </c>
      <c r="C392" t="str">
        <f>Table1[[#This Row],[Fiscal_Year]]&amp;"-"&amp;Table1[[#This Row],[BRAND]]</f>
        <v>2019-BR Factory Store</v>
      </c>
      <c r="D392">
        <v>2019</v>
      </c>
      <c r="E392">
        <v>47</v>
      </c>
      <c r="F392" t="s">
        <v>17</v>
      </c>
      <c r="G392" t="s">
        <v>10</v>
      </c>
      <c r="H392">
        <v>6</v>
      </c>
      <c r="I392">
        <v>0</v>
      </c>
      <c r="J392" t="str">
        <f>VLOOKUP(H392,DC_Xref!A:B,2,FALSE)</f>
        <v>WEO</v>
      </c>
      <c r="K392">
        <f t="shared" si="6"/>
        <v>201947</v>
      </c>
      <c r="L392">
        <f>IFERROR(Table1[[#This Row],[Demand]]/SUMIFS(Table1[Demand],Table1[Fiscal_Year],Table1[[#This Row],[Fiscal_Year]],Table1[BRAND],Table1[[#This Row],[BRAND]],Table1[DC_name_Xref],Table1[[#This Row],[DC_name_Xref]]),0)</f>
        <v>0</v>
      </c>
      <c r="M3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92" s="3">
        <f>IFERROR(INDEX(Table3[#All],MATCH(Table1[[#This Row],[Key_Year_Week_Brand]],Table3[[#All],[Key_Year_Week_Brand]],0),MATCH(Table1[[#This Row],[DC_name_Xref]],Table3[#Headers],0)),0)</f>
        <v>0</v>
      </c>
      <c r="O392">
        <f>IFERROR(INDEX(Table35[#All],MATCH(Table1[[#This Row],[Key_Year_Week_Brand]],Table35[[#All],[Key_Year_Month_Brand]],0),MATCH(Table1[[#This Row],[DC_name_Xref]],Table35[#Headers],0)),0)</f>
        <v>0</v>
      </c>
    </row>
    <row r="393" spans="1:15" x14ac:dyDescent="0.3">
      <c r="A393" s="19" t="str">
        <f>Table1[[#This Row],[Year_Week]]&amp;"-"&amp;Table1[[#This Row],[DC_name_Xref]]</f>
        <v>201947-OCC</v>
      </c>
      <c r="B393" s="19" t="str">
        <f>Table1[[#This Row],[Fiscal_Year]]*100+Table1[[#This Row],[Fiscal_Week]] &amp; "-" &amp;Table1[[#This Row],[BRAND]]</f>
        <v>201947-BR Factory Store</v>
      </c>
      <c r="C393" t="str">
        <f>Table1[[#This Row],[Fiscal_Year]]&amp;"-"&amp;Table1[[#This Row],[BRAND]]</f>
        <v>2019-BR Factory Store</v>
      </c>
      <c r="D393">
        <v>2019</v>
      </c>
      <c r="E393">
        <v>47</v>
      </c>
      <c r="F393" t="s">
        <v>17</v>
      </c>
      <c r="G393" t="s">
        <v>11</v>
      </c>
      <c r="H393">
        <v>7</v>
      </c>
      <c r="I393">
        <v>0</v>
      </c>
      <c r="J393" t="str">
        <f>VLOOKUP(H393,DC_Xref!A:B,2,FALSE)</f>
        <v>OCC</v>
      </c>
      <c r="K393">
        <f t="shared" si="6"/>
        <v>201947</v>
      </c>
      <c r="L393">
        <f>IFERROR(Table1[[#This Row],[Demand]]/SUMIFS(Table1[Demand],Table1[Fiscal_Year],Table1[[#This Row],[Fiscal_Year]],Table1[BRAND],Table1[[#This Row],[BRAND]],Table1[DC_name_Xref],Table1[[#This Row],[DC_name_Xref]]),0)</f>
        <v>0</v>
      </c>
      <c r="M3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93" s="3">
        <f>IFERROR(INDEX(Table3[#All],MATCH(Table1[[#This Row],[Key_Year_Week_Brand]],Table3[[#All],[Key_Year_Week_Brand]],0),MATCH(Table1[[#This Row],[DC_name_Xref]],Table3[#Headers],0)),0)</f>
        <v>0</v>
      </c>
      <c r="O393">
        <f>IFERROR(INDEX(Table35[#All],MATCH(Table1[[#This Row],[Key_Year_Week_Brand]],Table35[[#All],[Key_Year_Month_Brand]],0),MATCH(Table1[[#This Row],[DC_name_Xref]],Table35[#Headers],0)),0)</f>
        <v>0</v>
      </c>
    </row>
    <row r="394" spans="1:15" x14ac:dyDescent="0.3">
      <c r="A394" s="19" t="str">
        <f>Table1[[#This Row],[Year_Week]]&amp;"-"&amp;Table1[[#This Row],[DC_name_Xref]]</f>
        <v>201947-OFC</v>
      </c>
      <c r="B394" s="19" t="str">
        <f>Table1[[#This Row],[Fiscal_Year]]*100+Table1[[#This Row],[Fiscal_Week]] &amp; "-" &amp;Table1[[#This Row],[BRAND]]</f>
        <v>201947-Gap</v>
      </c>
      <c r="C394" t="str">
        <f>Table1[[#This Row],[Fiscal_Year]]&amp;"-"&amp;Table1[[#This Row],[BRAND]]</f>
        <v>2019-Gap</v>
      </c>
      <c r="D394">
        <v>2019</v>
      </c>
      <c r="E394">
        <v>47</v>
      </c>
      <c r="F394" t="s">
        <v>16</v>
      </c>
      <c r="G394" t="s">
        <v>5</v>
      </c>
      <c r="H394">
        <v>1</v>
      </c>
      <c r="I394">
        <v>589598</v>
      </c>
      <c r="J394" t="str">
        <f>VLOOKUP(H394,DC_Xref!A:B,2,FALSE)</f>
        <v>OFC</v>
      </c>
      <c r="K394">
        <f t="shared" si="6"/>
        <v>201947</v>
      </c>
      <c r="L394">
        <f>IFERROR(Table1[[#This Row],[Demand]]/SUMIFS(Table1[Demand],Table1[Fiscal_Year],Table1[[#This Row],[Fiscal_Year]],Table1[BRAND],Table1[[#This Row],[BRAND]],Table1[DC_name_Xref],Table1[[#This Row],[DC_name_Xref]]),0)</f>
        <v>9.4605312709647518E-2</v>
      </c>
      <c r="M3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0.66900248732212841</v>
      </c>
      <c r="N394" s="3">
        <f>IFERROR(INDEX(Table3[#All],MATCH(Table1[[#This Row],[Key_Year_Week_Brand]],Table3[[#All],[Key_Year_Week_Brand]],0),MATCH(Table1[[#This Row],[DC_name_Xref]],Table3[#Headers],0)),0)</f>
        <v>0.25</v>
      </c>
      <c r="O394">
        <f>IFERROR(INDEX(Table35[#All],MATCH(Table1[[#This Row],[Key_Year_Week_Brand]],Table35[[#All],[Key_Year_Month_Brand]],0),MATCH(Table1[[#This Row],[DC_name_Xref]],Table35[#Headers],0)),0)</f>
        <v>199638.75</v>
      </c>
    </row>
    <row r="395" spans="1:15" x14ac:dyDescent="0.3">
      <c r="A395" s="19" t="str">
        <f>Table1[[#This Row],[Year_Week]]&amp;"-"&amp;Table1[[#This Row],[DC_name_Xref]]</f>
        <v>201947-TFC</v>
      </c>
      <c r="B395" s="19" t="str">
        <f>Table1[[#This Row],[Fiscal_Year]]*100+Table1[[#This Row],[Fiscal_Week]] &amp; "-" &amp;Table1[[#This Row],[BRAND]]</f>
        <v>201947-Gap</v>
      </c>
      <c r="C395" t="str">
        <f>Table1[[#This Row],[Fiscal_Year]]&amp;"-"&amp;Table1[[#This Row],[BRAND]]</f>
        <v>2019-Gap</v>
      </c>
      <c r="D395">
        <v>2019</v>
      </c>
      <c r="E395">
        <v>47</v>
      </c>
      <c r="F395" t="s">
        <v>16</v>
      </c>
      <c r="G395" t="s">
        <v>21</v>
      </c>
      <c r="H395">
        <v>2</v>
      </c>
      <c r="I395">
        <v>411</v>
      </c>
      <c r="J395" t="str">
        <f>VLOOKUP(H395,DC_Xref!A:B,2,FALSE)</f>
        <v>TFC</v>
      </c>
      <c r="K395">
        <f t="shared" si="6"/>
        <v>201947</v>
      </c>
      <c r="L395">
        <f>IFERROR(Table1[[#This Row],[Demand]]/SUMIFS(Table1[Demand],Table1[Fiscal_Year],Table1[[#This Row],[Fiscal_Year]],Table1[BRAND],Table1[[#This Row],[BRAND]],Table1[DC_name_Xref],Table1[[#This Row],[DC_name_Xref]]),0)</f>
        <v>0.36631016042780751</v>
      </c>
      <c r="M3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1.2044259756252951E-4</v>
      </c>
      <c r="N395" s="3">
        <f>IFERROR(INDEX(Table3[#All],MATCH(Table1[[#This Row],[Key_Year_Week_Brand]],Table3[[#All],[Key_Year_Week_Brand]],0),MATCH(Table1[[#This Row],[DC_name_Xref]],Table3[#Headers],0)),0)</f>
        <v>0.2</v>
      </c>
      <c r="O395">
        <f>IFERROR(INDEX(Table35[#All],MATCH(Table1[[#This Row],[Key_Year_Week_Brand]],Table35[[#All],[Key_Year_Month_Brand]],0),MATCH(Table1[[#This Row],[DC_name_Xref]],Table35[#Headers],0)),0)</f>
        <v>159711</v>
      </c>
    </row>
    <row r="396" spans="1:15" x14ac:dyDescent="0.3">
      <c r="A396" s="19" t="str">
        <f>Table1[[#This Row],[Year_Week]]&amp;"-"&amp;Table1[[#This Row],[DC_name_Xref]]</f>
        <v>201947-WFC</v>
      </c>
      <c r="B396" s="19" t="str">
        <f>Table1[[#This Row],[Fiscal_Year]]*100+Table1[[#This Row],[Fiscal_Week]] &amp; "-" &amp;Table1[[#This Row],[BRAND]]</f>
        <v>201947-Gap</v>
      </c>
      <c r="C396" t="str">
        <f>Table1[[#This Row],[Fiscal_Year]]&amp;"-"&amp;Table1[[#This Row],[BRAND]]</f>
        <v>2019-Gap</v>
      </c>
      <c r="D396">
        <v>2019</v>
      </c>
      <c r="E396">
        <v>47</v>
      </c>
      <c r="F396" t="s">
        <v>16</v>
      </c>
      <c r="G396" t="s">
        <v>7</v>
      </c>
      <c r="H396">
        <v>3</v>
      </c>
      <c r="I396">
        <v>30426</v>
      </c>
      <c r="J396" t="str">
        <f>VLOOKUP(H396,DC_Xref!A:B,2,FALSE)</f>
        <v>WFC</v>
      </c>
      <c r="K396">
        <f t="shared" si="6"/>
        <v>201947</v>
      </c>
      <c r="L396">
        <f>IFERROR(Table1[[#This Row],[Demand]]/SUMIFS(Table1[Demand],Table1[Fiscal_Year],Table1[[#This Row],[Fiscal_Year]],Table1[BRAND],Table1[[#This Row],[BRAND]],Table1[DC_name_Xref],Table1[[#This Row],[DC_name_Xref]]),0)</f>
        <v>0.13711643585595248</v>
      </c>
      <c r="M3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2.3820046307065718E-2</v>
      </c>
      <c r="N396" s="3">
        <f>IFERROR(INDEX(Table3[#All],MATCH(Table1[[#This Row],[Key_Year_Week_Brand]],Table3[[#All],[Key_Year_Week_Brand]],0),MATCH(Table1[[#This Row],[DC_name_Xref]],Table3[#Headers],0)),0)</f>
        <v>0.15</v>
      </c>
      <c r="O396">
        <f>IFERROR(INDEX(Table35[#All],MATCH(Table1[[#This Row],[Key_Year_Week_Brand]],Table35[[#All],[Key_Year_Month_Brand]],0),MATCH(Table1[[#This Row],[DC_name_Xref]],Table35[#Headers],0)),0)</f>
        <v>119783.25</v>
      </c>
    </row>
    <row r="397" spans="1:15" x14ac:dyDescent="0.3">
      <c r="A397" s="19" t="str">
        <f>Table1[[#This Row],[Year_Week]]&amp;"-"&amp;Table1[[#This Row],[DC_name_Xref]]</f>
        <v>201947-EAO</v>
      </c>
      <c r="B397" s="19" t="str">
        <f>Table1[[#This Row],[Fiscal_Year]]*100+Table1[[#This Row],[Fiscal_Week]] &amp; "-" &amp;Table1[[#This Row],[BRAND]]</f>
        <v>201947-Gap</v>
      </c>
      <c r="C397" t="str">
        <f>Table1[[#This Row],[Fiscal_Year]]&amp;"-"&amp;Table1[[#This Row],[BRAND]]</f>
        <v>2019-Gap</v>
      </c>
      <c r="D397">
        <v>2019</v>
      </c>
      <c r="E397">
        <v>47</v>
      </c>
      <c r="F397" t="s">
        <v>16</v>
      </c>
      <c r="G397" t="s">
        <v>8</v>
      </c>
      <c r="H397">
        <v>4</v>
      </c>
      <c r="I397">
        <v>145</v>
      </c>
      <c r="J397" t="str">
        <f>VLOOKUP(H397,DC_Xref!A:B,2,FALSE)</f>
        <v>EAO</v>
      </c>
      <c r="K397">
        <f t="shared" si="6"/>
        <v>201947</v>
      </c>
      <c r="L397">
        <f>IFERROR(Table1[[#This Row],[Demand]]/SUMIFS(Table1[Demand],Table1[Fiscal_Year],Table1[[#This Row],[Fiscal_Year]],Table1[BRAND],Table1[[#This Row],[BRAND]],Table1[DC_name_Xref],Table1[[#This Row],[DC_name_Xref]]),0)</f>
        <v>0.12969588550983899</v>
      </c>
      <c r="M3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1.2001321218797504E-4</v>
      </c>
      <c r="N397" s="3">
        <f>IFERROR(INDEX(Table3[#All],MATCH(Table1[[#This Row],[Key_Year_Week_Brand]],Table3[[#All],[Key_Year_Week_Brand]],0),MATCH(Table1[[#This Row],[DC_name_Xref]],Table3[#Headers],0)),0)</f>
        <v>0</v>
      </c>
      <c r="O397">
        <f>IFERROR(INDEX(Table35[#All],MATCH(Table1[[#This Row],[Key_Year_Week_Brand]],Table35[[#All],[Key_Year_Month_Brand]],0),MATCH(Table1[[#This Row],[DC_name_Xref]],Table35[#Headers],0)),0)</f>
        <v>0</v>
      </c>
    </row>
    <row r="398" spans="1:15" x14ac:dyDescent="0.3">
      <c r="A398" s="19" t="str">
        <f>Table1[[#This Row],[Year_Week]]&amp;"-"&amp;Table1[[#This Row],[DC_name_Xref]]</f>
        <v>201947-FFC-ODC</v>
      </c>
      <c r="B398" s="19" t="str">
        <f>Table1[[#This Row],[Fiscal_Year]]*100+Table1[[#This Row],[Fiscal_Week]] &amp; "-" &amp;Table1[[#This Row],[BRAND]]</f>
        <v>201947-Gap</v>
      </c>
      <c r="C398" t="str">
        <f>Table1[[#This Row],[Fiscal_Year]]&amp;"-"&amp;Table1[[#This Row],[BRAND]]</f>
        <v>2019-Gap</v>
      </c>
      <c r="D398">
        <v>2019</v>
      </c>
      <c r="E398">
        <v>47</v>
      </c>
      <c r="F398" t="s">
        <v>16</v>
      </c>
      <c r="G398" t="s">
        <v>23</v>
      </c>
      <c r="H398">
        <v>5</v>
      </c>
      <c r="I398">
        <v>0</v>
      </c>
      <c r="J398" t="str">
        <f>VLOOKUP(H398,DC_Xref!A:B,2,FALSE)</f>
        <v>FFC-ODC</v>
      </c>
      <c r="K398">
        <f t="shared" si="6"/>
        <v>201947</v>
      </c>
      <c r="L398">
        <f>IFERROR(Table1[[#This Row],[Demand]]/SUMIFS(Table1[Demand],Table1[Fiscal_Year],Table1[[#This Row],[Fiscal_Year]],Table1[BRAND],Table1[[#This Row],[BRAND]],Table1[DC_name_Xref],Table1[[#This Row],[DC_name_Xref]]),0)</f>
        <v>0</v>
      </c>
      <c r="M3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398" s="3">
        <f>IFERROR(INDEX(Table3[#All],MATCH(Table1[[#This Row],[Key_Year_Week_Brand]],Table3[[#All],[Key_Year_Week_Brand]],0),MATCH(Table1[[#This Row],[DC_name_Xref]],Table3[#Headers],0)),0)</f>
        <v>0</v>
      </c>
      <c r="O398">
        <f>IFERROR(INDEX(Table35[#All],MATCH(Table1[[#This Row],[Key_Year_Week_Brand]],Table35[[#All],[Key_Year_Month_Brand]],0),MATCH(Table1[[#This Row],[DC_name_Xref]],Table35[#Headers],0)),0)</f>
        <v>0</v>
      </c>
    </row>
    <row r="399" spans="1:15" x14ac:dyDescent="0.3">
      <c r="A399" s="19" t="str">
        <f>Table1[[#This Row],[Year_Week]]&amp;"-"&amp;Table1[[#This Row],[DC_name_Xref]]</f>
        <v>201947-WEO</v>
      </c>
      <c r="B399" s="19" t="str">
        <f>Table1[[#This Row],[Fiscal_Year]]*100+Table1[[#This Row],[Fiscal_Week]] &amp; "-" &amp;Table1[[#This Row],[BRAND]]</f>
        <v>201947-Gap</v>
      </c>
      <c r="C399" t="str">
        <f>Table1[[#This Row],[Fiscal_Year]]&amp;"-"&amp;Table1[[#This Row],[BRAND]]</f>
        <v>2019-Gap</v>
      </c>
      <c r="D399">
        <v>2019</v>
      </c>
      <c r="E399">
        <v>47</v>
      </c>
      <c r="F399" t="s">
        <v>16</v>
      </c>
      <c r="G399" t="s">
        <v>10</v>
      </c>
      <c r="H399">
        <v>6</v>
      </c>
      <c r="I399">
        <v>177975</v>
      </c>
      <c r="J399" t="str">
        <f>VLOOKUP(H399,DC_Xref!A:B,2,FALSE)</f>
        <v>WEO</v>
      </c>
      <c r="K399">
        <f t="shared" si="6"/>
        <v>201947</v>
      </c>
      <c r="L399">
        <f>IFERROR(Table1[[#This Row],[Demand]]/SUMIFS(Table1[Demand],Table1[Fiscal_Year],Table1[[#This Row],[Fiscal_Year]],Table1[BRAND],Table1[[#This Row],[BRAND]],Table1[DC_name_Xref],Table1[[#This Row],[DC_name_Xref]]),0)</f>
        <v>6.2243929052937505E-2</v>
      </c>
      <c r="M3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0.30693701056105532</v>
      </c>
      <c r="N399" s="3">
        <f>IFERROR(INDEX(Table3[#All],MATCH(Table1[[#This Row],[Key_Year_Week_Brand]],Table3[[#All],[Key_Year_Week_Brand]],0),MATCH(Table1[[#This Row],[DC_name_Xref]],Table3[#Headers],0)),0)</f>
        <v>0.4</v>
      </c>
      <c r="O399">
        <f>IFERROR(INDEX(Table35[#All],MATCH(Table1[[#This Row],[Key_Year_Week_Brand]],Table35[[#All],[Key_Year_Month_Brand]],0),MATCH(Table1[[#This Row],[DC_name_Xref]],Table35[#Headers],0)),0)</f>
        <v>319422</v>
      </c>
    </row>
    <row r="400" spans="1:15" x14ac:dyDescent="0.3">
      <c r="A400" s="19" t="str">
        <f>Table1[[#This Row],[Year_Week]]&amp;"-"&amp;Table1[[#This Row],[DC_name_Xref]]</f>
        <v>201947-OCC</v>
      </c>
      <c r="B400" s="19" t="str">
        <f>Table1[[#This Row],[Fiscal_Year]]*100+Table1[[#This Row],[Fiscal_Week]] &amp; "-" &amp;Table1[[#This Row],[BRAND]]</f>
        <v>201947-Gap</v>
      </c>
      <c r="C400" t="str">
        <f>Table1[[#This Row],[Fiscal_Year]]&amp;"-"&amp;Table1[[#This Row],[BRAND]]</f>
        <v>2019-Gap</v>
      </c>
      <c r="D400">
        <v>2019</v>
      </c>
      <c r="E400">
        <v>47</v>
      </c>
      <c r="F400" t="s">
        <v>16</v>
      </c>
      <c r="G400" t="s">
        <v>11</v>
      </c>
      <c r="H400">
        <v>7</v>
      </c>
      <c r="I400">
        <v>0</v>
      </c>
      <c r="J400" t="str">
        <f>VLOOKUP(H400,DC_Xref!A:B,2,FALSE)</f>
        <v>OCC</v>
      </c>
      <c r="K400">
        <f t="shared" si="6"/>
        <v>201947</v>
      </c>
      <c r="L400">
        <f>IFERROR(Table1[[#This Row],[Demand]]/SUMIFS(Table1[Demand],Table1[Fiscal_Year],Table1[[#This Row],[Fiscal_Year]],Table1[BRAND],Table1[[#This Row],[BRAND]],Table1[DC_name_Xref],Table1[[#This Row],[DC_name_Xref]]),0)</f>
        <v>0</v>
      </c>
      <c r="M4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00" s="3">
        <f>IFERROR(INDEX(Table3[#All],MATCH(Table1[[#This Row],[Key_Year_Week_Brand]],Table3[[#All],[Key_Year_Week_Brand]],0),MATCH(Table1[[#This Row],[DC_name_Xref]],Table3[#Headers],0)),0)</f>
        <v>0</v>
      </c>
      <c r="O400">
        <f>IFERROR(INDEX(Table35[#All],MATCH(Table1[[#This Row],[Key_Year_Week_Brand]],Table35[[#All],[Key_Year_Month_Brand]],0),MATCH(Table1[[#This Row],[DC_name_Xref]],Table35[#Headers],0)),0)</f>
        <v>0</v>
      </c>
    </row>
    <row r="401" spans="1:15" x14ac:dyDescent="0.3">
      <c r="A401" s="19" t="str">
        <f>Table1[[#This Row],[Year_Week]]&amp;"-"&amp;Table1[[#This Row],[DC_name_Xref]]</f>
        <v>201947-OFC</v>
      </c>
      <c r="B401" s="19" t="str">
        <f>Table1[[#This Row],[Fiscal_Year]]*100+Table1[[#This Row],[Fiscal_Week]] &amp; "-" &amp;Table1[[#This Row],[BRAND]]</f>
        <v>201947-Banana Republic</v>
      </c>
      <c r="C401" t="str">
        <f>Table1[[#This Row],[Fiscal_Year]]&amp;"-"&amp;Table1[[#This Row],[BRAND]]</f>
        <v>2019-Banana Republic</v>
      </c>
      <c r="D401">
        <v>2019</v>
      </c>
      <c r="E401">
        <v>47</v>
      </c>
      <c r="F401" t="s">
        <v>18</v>
      </c>
      <c r="G401" t="s">
        <v>5</v>
      </c>
      <c r="H401">
        <v>1</v>
      </c>
      <c r="I401">
        <v>7066</v>
      </c>
      <c r="J401" t="str">
        <f>VLOOKUP(H401,DC_Xref!A:B,2,FALSE)</f>
        <v>OFC</v>
      </c>
      <c r="K401">
        <f t="shared" si="6"/>
        <v>201947</v>
      </c>
      <c r="L401">
        <f>IFERROR(Table1[[#This Row],[Demand]]/SUMIFS(Table1[Demand],Table1[Fiscal_Year],Table1[[#This Row],[Fiscal_Year]],Table1[BRAND],Table1[[#This Row],[BRAND]],Table1[DC_name_Xref],Table1[[#This Row],[DC_name_Xref]]),0)</f>
        <v>0.19945802517924688</v>
      </c>
      <c r="M4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2.1329374038925836E-2</v>
      </c>
      <c r="N401" s="3">
        <f>IFERROR(INDEX(Table3[#All],MATCH(Table1[[#This Row],[Key_Year_Week_Brand]],Table3[[#All],[Key_Year_Week_Brand]],0),MATCH(Table1[[#This Row],[DC_name_Xref]],Table3[#Headers],0)),0)</f>
        <v>0</v>
      </c>
      <c r="O401">
        <f>IFERROR(INDEX(Table35[#All],MATCH(Table1[[#This Row],[Key_Year_Week_Brand]],Table35[[#All],[Key_Year_Month_Brand]],0),MATCH(Table1[[#This Row],[DC_name_Xref]],Table35[#Headers],0)),0)</f>
        <v>0</v>
      </c>
    </row>
    <row r="402" spans="1:15" x14ac:dyDescent="0.3">
      <c r="A402" s="19" t="str">
        <f>Table1[[#This Row],[Year_Week]]&amp;"-"&amp;Table1[[#This Row],[DC_name_Xref]]</f>
        <v>201947-TFC</v>
      </c>
      <c r="B402" s="19" t="str">
        <f>Table1[[#This Row],[Fiscal_Year]]*100+Table1[[#This Row],[Fiscal_Week]] &amp; "-" &amp;Table1[[#This Row],[BRAND]]</f>
        <v>201947-Banana Republic</v>
      </c>
      <c r="C402" t="str">
        <f>Table1[[#This Row],[Fiscal_Year]]&amp;"-"&amp;Table1[[#This Row],[BRAND]]</f>
        <v>2019-Banana Republic</v>
      </c>
      <c r="D402">
        <v>2019</v>
      </c>
      <c r="E402">
        <v>47</v>
      </c>
      <c r="F402" t="s">
        <v>18</v>
      </c>
      <c r="G402" t="s">
        <v>21</v>
      </c>
      <c r="H402">
        <v>2</v>
      </c>
      <c r="I402">
        <v>211902</v>
      </c>
      <c r="J402" t="str">
        <f>VLOOKUP(H402,DC_Xref!A:B,2,FALSE)</f>
        <v>TFC</v>
      </c>
      <c r="K402">
        <f t="shared" si="6"/>
        <v>201947</v>
      </c>
      <c r="L402">
        <f>IFERROR(Table1[[#This Row],[Demand]]/SUMIFS(Table1[Demand],Table1[Fiscal_Year],Table1[[#This Row],[Fiscal_Year]],Table1[BRAND],Table1[[#This Row],[BRAND]],Table1[DC_name_Xref],Table1[[#This Row],[DC_name_Xref]]),0)</f>
        <v>0.13036905969665333</v>
      </c>
      <c r="M4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0.97862546977485732</v>
      </c>
      <c r="N402" s="3">
        <f>IFERROR(INDEX(Table3[#All],MATCH(Table1[[#This Row],[Key_Year_Week_Brand]],Table3[[#All],[Key_Year_Week_Brand]],0),MATCH(Table1[[#This Row],[DC_name_Xref]],Table3[#Headers],0)),0)</f>
        <v>1</v>
      </c>
      <c r="O402">
        <f>IFERROR(INDEX(Table35[#All],MATCH(Table1[[#This Row],[Key_Year_Week_Brand]],Table35[[#All],[Key_Year_Month_Brand]],0),MATCH(Table1[[#This Row],[DC_name_Xref]],Table35[#Headers],0)),0)</f>
        <v>218972</v>
      </c>
    </row>
    <row r="403" spans="1:15" x14ac:dyDescent="0.3">
      <c r="A403" s="19" t="str">
        <f>Table1[[#This Row],[Year_Week]]&amp;"-"&amp;Table1[[#This Row],[DC_name_Xref]]</f>
        <v>201947-WFC</v>
      </c>
      <c r="B403" s="19" t="str">
        <f>Table1[[#This Row],[Fiscal_Year]]*100+Table1[[#This Row],[Fiscal_Week]] &amp; "-" &amp;Table1[[#This Row],[BRAND]]</f>
        <v>201947-Banana Republic</v>
      </c>
      <c r="C403" t="str">
        <f>Table1[[#This Row],[Fiscal_Year]]&amp;"-"&amp;Table1[[#This Row],[BRAND]]</f>
        <v>2019-Banana Republic</v>
      </c>
      <c r="D403">
        <v>2019</v>
      </c>
      <c r="E403">
        <v>47</v>
      </c>
      <c r="F403" t="s">
        <v>18</v>
      </c>
      <c r="G403" t="s">
        <v>7</v>
      </c>
      <c r="H403">
        <v>3</v>
      </c>
      <c r="I403">
        <v>1</v>
      </c>
      <c r="J403" t="str">
        <f>VLOOKUP(H403,DC_Xref!A:B,2,FALSE)</f>
        <v>WFC</v>
      </c>
      <c r="K403">
        <f t="shared" si="6"/>
        <v>201947</v>
      </c>
      <c r="L403">
        <f>IFERROR(Table1[[#This Row],[Demand]]/SUMIFS(Table1[Demand],Table1[Fiscal_Year],Table1[[#This Row],[Fiscal_Year]],Table1[BRAND],Table1[[#This Row],[BRAND]],Table1[DC_name_Xref],Table1[[#This Row],[DC_name_Xref]]),0)</f>
        <v>0.2</v>
      </c>
      <c r="M4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3.0104124144591312E-6</v>
      </c>
      <c r="N403" s="3">
        <f>IFERROR(INDEX(Table3[#All],MATCH(Table1[[#This Row],[Key_Year_Week_Brand]],Table3[[#All],[Key_Year_Week_Brand]],0),MATCH(Table1[[#This Row],[DC_name_Xref]],Table3[#Headers],0)),0)</f>
        <v>3.4959629396853166E-6</v>
      </c>
      <c r="O403">
        <f>IFERROR(INDEX(Table35[#All],MATCH(Table1[[#This Row],[Key_Year_Week_Brand]],Table35[[#All],[Key_Year_Month_Brand]],0),MATCH(Table1[[#This Row],[DC_name_Xref]],Table35[#Headers],0)),0)</f>
        <v>0.76551799682877308</v>
      </c>
    </row>
    <row r="404" spans="1:15" x14ac:dyDescent="0.3">
      <c r="A404" s="19" t="str">
        <f>Table1[[#This Row],[Year_Week]]&amp;"-"&amp;Table1[[#This Row],[DC_name_Xref]]</f>
        <v>201947-EAO</v>
      </c>
      <c r="B404" s="19" t="str">
        <f>Table1[[#This Row],[Fiscal_Year]]*100+Table1[[#This Row],[Fiscal_Week]] &amp; "-" &amp;Table1[[#This Row],[BRAND]]</f>
        <v>201947-Banana Republic</v>
      </c>
      <c r="C404" t="str">
        <f>Table1[[#This Row],[Fiscal_Year]]&amp;"-"&amp;Table1[[#This Row],[BRAND]]</f>
        <v>2019-Banana Republic</v>
      </c>
      <c r="D404">
        <v>2019</v>
      </c>
      <c r="E404">
        <v>47</v>
      </c>
      <c r="F404" t="s">
        <v>18</v>
      </c>
      <c r="G404" t="s">
        <v>8</v>
      </c>
      <c r="H404">
        <v>4</v>
      </c>
      <c r="I404">
        <v>3</v>
      </c>
      <c r="J404" t="str">
        <f>VLOOKUP(H404,DC_Xref!A:B,2,FALSE)</f>
        <v>EAO</v>
      </c>
      <c r="K404">
        <f t="shared" si="6"/>
        <v>201947</v>
      </c>
      <c r="L404">
        <f>IFERROR(Table1[[#This Row],[Demand]]/SUMIFS(Table1[Demand],Table1[Fiscal_Year],Table1[[#This Row],[Fiscal_Year]],Table1[BRAND],Table1[[#This Row],[BRAND]],Table1[DC_name_Xref],Table1[[#This Row],[DC_name_Xref]]),0)</f>
        <v>4.2857142857142858E-2</v>
      </c>
      <c r="M4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4.2145773802427838E-5</v>
      </c>
      <c r="N404" s="3">
        <f>IFERROR(INDEX(Table3[#All],MATCH(Table1[[#This Row],[Key_Year_Week_Brand]],Table3[[#All],[Key_Year_Week_Brand]],0),MATCH(Table1[[#This Row],[DC_name_Xref]],Table3[#Headers],0)),0)</f>
        <v>4.2339995602855504E-5</v>
      </c>
      <c r="O404">
        <f>IFERROR(INDEX(Table35[#All],MATCH(Table1[[#This Row],[Key_Year_Week_Brand]],Table35[[#All],[Key_Year_Month_Brand]],0),MATCH(Table1[[#This Row],[DC_name_Xref]],Table35[#Headers],0)),0)</f>
        <v>9.2712735171484759</v>
      </c>
    </row>
    <row r="405" spans="1:15" x14ac:dyDescent="0.3">
      <c r="A405" s="19" t="str">
        <f>Table1[[#This Row],[Year_Week]]&amp;"-"&amp;Table1[[#This Row],[DC_name_Xref]]</f>
        <v>201947-FFC-ODC</v>
      </c>
      <c r="B405" s="19" t="str">
        <f>Table1[[#This Row],[Fiscal_Year]]*100+Table1[[#This Row],[Fiscal_Week]] &amp; "-" &amp;Table1[[#This Row],[BRAND]]</f>
        <v>201947-Banana Republic</v>
      </c>
      <c r="C405" t="str">
        <f>Table1[[#This Row],[Fiscal_Year]]&amp;"-"&amp;Table1[[#This Row],[BRAND]]</f>
        <v>2019-Banana Republic</v>
      </c>
      <c r="D405">
        <v>2019</v>
      </c>
      <c r="E405">
        <v>47</v>
      </c>
      <c r="F405" t="s">
        <v>18</v>
      </c>
      <c r="G405" t="s">
        <v>23</v>
      </c>
      <c r="H405">
        <v>5</v>
      </c>
      <c r="I405">
        <v>0</v>
      </c>
      <c r="J405" t="str">
        <f>VLOOKUP(H405,DC_Xref!A:B,2,FALSE)</f>
        <v>FFC-ODC</v>
      </c>
      <c r="K405">
        <f t="shared" si="6"/>
        <v>201947</v>
      </c>
      <c r="L405">
        <f>IFERROR(Table1[[#This Row],[Demand]]/SUMIFS(Table1[Demand],Table1[Fiscal_Year],Table1[[#This Row],[Fiscal_Year]],Table1[BRAND],Table1[[#This Row],[BRAND]],Table1[DC_name_Xref],Table1[[#This Row],[DC_name_Xref]]),0)</f>
        <v>0</v>
      </c>
      <c r="M4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05" s="3">
        <f>IFERROR(INDEX(Table3[#All],MATCH(Table1[[#This Row],[Key_Year_Week_Brand]],Table3[[#All],[Key_Year_Week_Brand]],0),MATCH(Table1[[#This Row],[DC_name_Xref]],Table3[#Headers],0)),0)</f>
        <v>0</v>
      </c>
      <c r="O405">
        <f>IFERROR(INDEX(Table35[#All],MATCH(Table1[[#This Row],[Key_Year_Week_Brand]],Table35[[#All],[Key_Year_Month_Brand]],0),MATCH(Table1[[#This Row],[DC_name_Xref]],Table35[#Headers],0)),0)</f>
        <v>0</v>
      </c>
    </row>
    <row r="406" spans="1:15" x14ac:dyDescent="0.3">
      <c r="A406" s="19" t="str">
        <f>Table1[[#This Row],[Year_Week]]&amp;"-"&amp;Table1[[#This Row],[DC_name_Xref]]</f>
        <v>201947-WEO</v>
      </c>
      <c r="B406" s="19" t="str">
        <f>Table1[[#This Row],[Fiscal_Year]]*100+Table1[[#This Row],[Fiscal_Week]] &amp; "-" &amp;Table1[[#This Row],[BRAND]]</f>
        <v>201947-Banana Republic</v>
      </c>
      <c r="C406" t="str">
        <f>Table1[[#This Row],[Fiscal_Year]]&amp;"-"&amp;Table1[[#This Row],[BRAND]]</f>
        <v>2019-Banana Republic</v>
      </c>
      <c r="D406">
        <v>2019</v>
      </c>
      <c r="E406">
        <v>47</v>
      </c>
      <c r="F406" t="s">
        <v>18</v>
      </c>
      <c r="G406" t="s">
        <v>10</v>
      </c>
      <c r="H406">
        <v>6</v>
      </c>
      <c r="I406">
        <v>0</v>
      </c>
      <c r="J406" t="str">
        <f>VLOOKUP(H406,DC_Xref!A:B,2,FALSE)</f>
        <v>WEO</v>
      </c>
      <c r="K406">
        <f t="shared" si="6"/>
        <v>201947</v>
      </c>
      <c r="L406">
        <f>IFERROR(Table1[[#This Row],[Demand]]/SUMIFS(Table1[Demand],Table1[Fiscal_Year],Table1[[#This Row],[Fiscal_Year]],Table1[BRAND],Table1[[#This Row],[BRAND]],Table1[DC_name_Xref],Table1[[#This Row],[DC_name_Xref]]),0)</f>
        <v>0</v>
      </c>
      <c r="M4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06" s="3">
        <f>IFERROR(INDEX(Table3[#All],MATCH(Table1[[#This Row],[Key_Year_Week_Brand]],Table3[[#All],[Key_Year_Week_Brand]],0),MATCH(Table1[[#This Row],[DC_name_Xref]],Table3[#Headers],0)),0)</f>
        <v>0</v>
      </c>
      <c r="O406">
        <f>IFERROR(INDEX(Table35[#All],MATCH(Table1[[#This Row],[Key_Year_Week_Brand]],Table35[[#All],[Key_Year_Month_Brand]],0),MATCH(Table1[[#This Row],[DC_name_Xref]],Table35[#Headers],0)),0)</f>
        <v>0</v>
      </c>
    </row>
    <row r="407" spans="1:15" x14ac:dyDescent="0.3">
      <c r="A407" s="19" t="str">
        <f>Table1[[#This Row],[Year_Week]]&amp;"-"&amp;Table1[[#This Row],[DC_name_Xref]]</f>
        <v>201947-OCC</v>
      </c>
      <c r="B407" s="19" t="str">
        <f>Table1[[#This Row],[Fiscal_Year]]*100+Table1[[#This Row],[Fiscal_Week]] &amp; "-" &amp;Table1[[#This Row],[BRAND]]</f>
        <v>201947-Banana Republic</v>
      </c>
      <c r="C407" t="str">
        <f>Table1[[#This Row],[Fiscal_Year]]&amp;"-"&amp;Table1[[#This Row],[BRAND]]</f>
        <v>2019-Banana Republic</v>
      </c>
      <c r="D407">
        <v>2019</v>
      </c>
      <c r="E407">
        <v>47</v>
      </c>
      <c r="F407" t="s">
        <v>18</v>
      </c>
      <c r="G407" t="s">
        <v>11</v>
      </c>
      <c r="H407">
        <v>7</v>
      </c>
      <c r="I407">
        <v>0</v>
      </c>
      <c r="J407" t="str">
        <f>VLOOKUP(H407,DC_Xref!A:B,2,FALSE)</f>
        <v>OCC</v>
      </c>
      <c r="K407">
        <f t="shared" si="6"/>
        <v>201947</v>
      </c>
      <c r="L407">
        <f>IFERROR(Table1[[#This Row],[Demand]]/SUMIFS(Table1[Demand],Table1[Fiscal_Year],Table1[[#This Row],[Fiscal_Year]],Table1[BRAND],Table1[[#This Row],[BRAND]],Table1[DC_name_Xref],Table1[[#This Row],[DC_name_Xref]]),0)</f>
        <v>0</v>
      </c>
      <c r="M4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07" s="3">
        <f>IFERROR(INDEX(Table3[#All],MATCH(Table1[[#This Row],[Key_Year_Week_Brand]],Table3[[#All],[Key_Year_Week_Brand]],0),MATCH(Table1[[#This Row],[DC_name_Xref]],Table3[#Headers],0)),0)</f>
        <v>0</v>
      </c>
      <c r="O407">
        <f>IFERROR(INDEX(Table35[#All],MATCH(Table1[[#This Row],[Key_Year_Week_Brand]],Table35[[#All],[Key_Year_Month_Brand]],0),MATCH(Table1[[#This Row],[DC_name_Xref]],Table35[#Headers],0)),0)</f>
        <v>0</v>
      </c>
    </row>
    <row r="408" spans="1:15" x14ac:dyDescent="0.3">
      <c r="A408" s="19" t="str">
        <f>Table1[[#This Row],[Year_Week]]&amp;"-"&amp;Table1[[#This Row],[DC_name_Xref]]</f>
        <v>201947-OFC</v>
      </c>
      <c r="B408" s="19" t="str">
        <f>Table1[[#This Row],[Fiscal_Year]]*100+Table1[[#This Row],[Fiscal_Week]] &amp; "-" &amp;Table1[[#This Row],[BRAND]]</f>
        <v>201947-Gap Factory Store</v>
      </c>
      <c r="C408" t="str">
        <f>Table1[[#This Row],[Fiscal_Year]]&amp;"-"&amp;Table1[[#This Row],[BRAND]]</f>
        <v>2019-Gap Factory Store</v>
      </c>
      <c r="D408">
        <v>2019</v>
      </c>
      <c r="E408">
        <v>47</v>
      </c>
      <c r="F408" t="s">
        <v>22</v>
      </c>
      <c r="G408" t="s">
        <v>5</v>
      </c>
      <c r="H408">
        <v>1</v>
      </c>
      <c r="I408">
        <v>176330</v>
      </c>
      <c r="J408" t="str">
        <f>VLOOKUP(H408,DC_Xref!A:B,2,FALSE)</f>
        <v>OFC</v>
      </c>
      <c r="K408">
        <f t="shared" si="6"/>
        <v>201947</v>
      </c>
      <c r="L408">
        <f>IFERROR(Table1[[#This Row],[Demand]]/SUMIFS(Table1[Demand],Table1[Fiscal_Year],Table1[[#This Row],[Fiscal_Year]],Table1[BRAND],Table1[[#This Row],[BRAND]],Table1[DC_name_Xref],Table1[[#This Row],[DC_name_Xref]]),0)</f>
        <v>7.7121306089316027E-2</v>
      </c>
      <c r="M4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408" s="3">
        <f>IFERROR(INDEX(Table3[#All],MATCH(Table1[[#This Row],[Key_Year_Week_Brand]],Table3[[#All],[Key_Year_Week_Brand]],0),MATCH(Table1[[#This Row],[DC_name_Xref]],Table3[#Headers],0)),0)</f>
        <v>1</v>
      </c>
      <c r="O408">
        <f>IFERROR(INDEX(Table35[#All],MATCH(Table1[[#This Row],[Key_Year_Week_Brand]],Table35[[#All],[Key_Year_Month_Brand]],0),MATCH(Table1[[#This Row],[DC_name_Xref]],Table35[#Headers],0)),0)</f>
        <v>176330</v>
      </c>
    </row>
    <row r="409" spans="1:15" x14ac:dyDescent="0.3">
      <c r="A409" s="19" t="str">
        <f>Table1[[#This Row],[Year_Week]]&amp;"-"&amp;Table1[[#This Row],[DC_name_Xref]]</f>
        <v>201947-TFC</v>
      </c>
      <c r="B409" s="19" t="str">
        <f>Table1[[#This Row],[Fiscal_Year]]*100+Table1[[#This Row],[Fiscal_Week]] &amp; "-" &amp;Table1[[#This Row],[BRAND]]</f>
        <v>201947-Gap Factory Store</v>
      </c>
      <c r="C409" t="str">
        <f>Table1[[#This Row],[Fiscal_Year]]&amp;"-"&amp;Table1[[#This Row],[BRAND]]</f>
        <v>2019-Gap Factory Store</v>
      </c>
      <c r="D409">
        <v>2019</v>
      </c>
      <c r="E409">
        <v>47</v>
      </c>
      <c r="F409" t="s">
        <v>22</v>
      </c>
      <c r="G409" t="s">
        <v>21</v>
      </c>
      <c r="H409">
        <v>2</v>
      </c>
      <c r="I409">
        <v>0</v>
      </c>
      <c r="J409" t="str">
        <f>VLOOKUP(H409,DC_Xref!A:B,2,FALSE)</f>
        <v>TFC</v>
      </c>
      <c r="K409">
        <f t="shared" si="6"/>
        <v>201947</v>
      </c>
      <c r="L409">
        <f>IFERROR(Table1[[#This Row],[Demand]]/SUMIFS(Table1[Demand],Table1[Fiscal_Year],Table1[[#This Row],[Fiscal_Year]],Table1[BRAND],Table1[[#This Row],[BRAND]],Table1[DC_name_Xref],Table1[[#This Row],[DC_name_Xref]]),0)</f>
        <v>0</v>
      </c>
      <c r="M4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09" s="3">
        <f>IFERROR(INDEX(Table3[#All],MATCH(Table1[[#This Row],[Key_Year_Week_Brand]],Table3[[#All],[Key_Year_Week_Brand]],0),MATCH(Table1[[#This Row],[DC_name_Xref]],Table3[#Headers],0)),0)</f>
        <v>0</v>
      </c>
      <c r="O409">
        <f>IFERROR(INDEX(Table35[#All],MATCH(Table1[[#This Row],[Key_Year_Week_Brand]],Table35[[#All],[Key_Year_Month_Brand]],0),MATCH(Table1[[#This Row],[DC_name_Xref]],Table35[#Headers],0)),0)</f>
        <v>0</v>
      </c>
    </row>
    <row r="410" spans="1:15" x14ac:dyDescent="0.3">
      <c r="A410" s="19" t="str">
        <f>Table1[[#This Row],[Year_Week]]&amp;"-"&amp;Table1[[#This Row],[DC_name_Xref]]</f>
        <v>201947-WFC</v>
      </c>
      <c r="B410" s="19" t="str">
        <f>Table1[[#This Row],[Fiscal_Year]]*100+Table1[[#This Row],[Fiscal_Week]] &amp; "-" &amp;Table1[[#This Row],[BRAND]]</f>
        <v>201947-Gap Factory Store</v>
      </c>
      <c r="C410" t="str">
        <f>Table1[[#This Row],[Fiscal_Year]]&amp;"-"&amp;Table1[[#This Row],[BRAND]]</f>
        <v>2019-Gap Factory Store</v>
      </c>
      <c r="D410">
        <v>2019</v>
      </c>
      <c r="E410">
        <v>47</v>
      </c>
      <c r="F410" t="s">
        <v>22</v>
      </c>
      <c r="G410" t="s">
        <v>7</v>
      </c>
      <c r="H410">
        <v>3</v>
      </c>
      <c r="I410">
        <v>0</v>
      </c>
      <c r="J410" t="str">
        <f>VLOOKUP(H410,DC_Xref!A:B,2,FALSE)</f>
        <v>WFC</v>
      </c>
      <c r="K410">
        <f t="shared" si="6"/>
        <v>201947</v>
      </c>
      <c r="L410">
        <f>IFERROR(Table1[[#This Row],[Demand]]/SUMIFS(Table1[Demand],Table1[Fiscal_Year],Table1[[#This Row],[Fiscal_Year]],Table1[BRAND],Table1[[#This Row],[BRAND]],Table1[DC_name_Xref],Table1[[#This Row],[DC_name_Xref]]),0)</f>
        <v>0</v>
      </c>
      <c r="M4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0" s="3">
        <f>IFERROR(INDEX(Table3[#All],MATCH(Table1[[#This Row],[Key_Year_Week_Brand]],Table3[[#All],[Key_Year_Week_Brand]],0),MATCH(Table1[[#This Row],[DC_name_Xref]],Table3[#Headers],0)),0)</f>
        <v>0</v>
      </c>
      <c r="O410">
        <f>IFERROR(INDEX(Table35[#All],MATCH(Table1[[#This Row],[Key_Year_Week_Brand]],Table35[[#All],[Key_Year_Month_Brand]],0),MATCH(Table1[[#This Row],[DC_name_Xref]],Table35[#Headers],0)),0)</f>
        <v>0</v>
      </c>
    </row>
    <row r="411" spans="1:15" x14ac:dyDescent="0.3">
      <c r="A411" s="19" t="str">
        <f>Table1[[#This Row],[Year_Week]]&amp;"-"&amp;Table1[[#This Row],[DC_name_Xref]]</f>
        <v>201947-EAO</v>
      </c>
      <c r="B411" s="19" t="str">
        <f>Table1[[#This Row],[Fiscal_Year]]*100+Table1[[#This Row],[Fiscal_Week]] &amp; "-" &amp;Table1[[#This Row],[BRAND]]</f>
        <v>201947-Gap Factory Store</v>
      </c>
      <c r="C411" t="str">
        <f>Table1[[#This Row],[Fiscal_Year]]&amp;"-"&amp;Table1[[#This Row],[BRAND]]</f>
        <v>2019-Gap Factory Store</v>
      </c>
      <c r="D411">
        <v>2019</v>
      </c>
      <c r="E411">
        <v>47</v>
      </c>
      <c r="F411" t="s">
        <v>22</v>
      </c>
      <c r="G411" t="s">
        <v>8</v>
      </c>
      <c r="H411">
        <v>4</v>
      </c>
      <c r="I411">
        <v>0</v>
      </c>
      <c r="J411" t="str">
        <f>VLOOKUP(H411,DC_Xref!A:B,2,FALSE)</f>
        <v>EAO</v>
      </c>
      <c r="K411">
        <f t="shared" si="6"/>
        <v>201947</v>
      </c>
      <c r="L411">
        <f>IFERROR(Table1[[#This Row],[Demand]]/SUMIFS(Table1[Demand],Table1[Fiscal_Year],Table1[[#This Row],[Fiscal_Year]],Table1[BRAND],Table1[[#This Row],[BRAND]],Table1[DC_name_Xref],Table1[[#This Row],[DC_name_Xref]]),0)</f>
        <v>0</v>
      </c>
      <c r="M4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1" s="3">
        <f>IFERROR(INDEX(Table3[#All],MATCH(Table1[[#This Row],[Key_Year_Week_Brand]],Table3[[#All],[Key_Year_Week_Brand]],0),MATCH(Table1[[#This Row],[DC_name_Xref]],Table3[#Headers],0)),0)</f>
        <v>0</v>
      </c>
      <c r="O411">
        <f>IFERROR(INDEX(Table35[#All],MATCH(Table1[[#This Row],[Key_Year_Week_Brand]],Table35[[#All],[Key_Year_Month_Brand]],0),MATCH(Table1[[#This Row],[DC_name_Xref]],Table35[#Headers],0)),0)</f>
        <v>0</v>
      </c>
    </row>
    <row r="412" spans="1:15" x14ac:dyDescent="0.3">
      <c r="A412" s="19" t="str">
        <f>Table1[[#This Row],[Year_Week]]&amp;"-"&amp;Table1[[#This Row],[DC_name_Xref]]</f>
        <v>201947-FFC-ODC</v>
      </c>
      <c r="B412" s="19" t="str">
        <f>Table1[[#This Row],[Fiscal_Year]]*100+Table1[[#This Row],[Fiscal_Week]] &amp; "-" &amp;Table1[[#This Row],[BRAND]]</f>
        <v>201947-Gap Factory Store</v>
      </c>
      <c r="C412" t="str">
        <f>Table1[[#This Row],[Fiscal_Year]]&amp;"-"&amp;Table1[[#This Row],[BRAND]]</f>
        <v>2019-Gap Factory Store</v>
      </c>
      <c r="D412">
        <v>2019</v>
      </c>
      <c r="E412">
        <v>47</v>
      </c>
      <c r="F412" t="s">
        <v>22</v>
      </c>
      <c r="G412" t="s">
        <v>23</v>
      </c>
      <c r="H412">
        <v>5</v>
      </c>
      <c r="I412">
        <v>0</v>
      </c>
      <c r="J412" t="str">
        <f>VLOOKUP(H412,DC_Xref!A:B,2,FALSE)</f>
        <v>FFC-ODC</v>
      </c>
      <c r="K412">
        <f t="shared" si="6"/>
        <v>201947</v>
      </c>
      <c r="L412">
        <f>IFERROR(Table1[[#This Row],[Demand]]/SUMIFS(Table1[Demand],Table1[Fiscal_Year],Table1[[#This Row],[Fiscal_Year]],Table1[BRAND],Table1[[#This Row],[BRAND]],Table1[DC_name_Xref],Table1[[#This Row],[DC_name_Xref]]),0)</f>
        <v>0</v>
      </c>
      <c r="M4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2" s="3">
        <f>IFERROR(INDEX(Table3[#All],MATCH(Table1[[#This Row],[Key_Year_Week_Brand]],Table3[[#All],[Key_Year_Week_Brand]],0),MATCH(Table1[[#This Row],[DC_name_Xref]],Table3[#Headers],0)),0)</f>
        <v>0</v>
      </c>
      <c r="O412">
        <f>IFERROR(INDEX(Table35[#All],MATCH(Table1[[#This Row],[Key_Year_Week_Brand]],Table35[[#All],[Key_Year_Month_Brand]],0),MATCH(Table1[[#This Row],[DC_name_Xref]],Table35[#Headers],0)),0)</f>
        <v>0</v>
      </c>
    </row>
    <row r="413" spans="1:15" x14ac:dyDescent="0.3">
      <c r="A413" s="19" t="str">
        <f>Table1[[#This Row],[Year_Week]]&amp;"-"&amp;Table1[[#This Row],[DC_name_Xref]]</f>
        <v>201947-WEO</v>
      </c>
      <c r="B413" s="19" t="str">
        <f>Table1[[#This Row],[Fiscal_Year]]*100+Table1[[#This Row],[Fiscal_Week]] &amp; "-" &amp;Table1[[#This Row],[BRAND]]</f>
        <v>201947-Gap Factory Store</v>
      </c>
      <c r="C413" t="str">
        <f>Table1[[#This Row],[Fiscal_Year]]&amp;"-"&amp;Table1[[#This Row],[BRAND]]</f>
        <v>2019-Gap Factory Store</v>
      </c>
      <c r="D413">
        <v>2019</v>
      </c>
      <c r="E413">
        <v>47</v>
      </c>
      <c r="F413" t="s">
        <v>22</v>
      </c>
      <c r="G413" t="s">
        <v>10</v>
      </c>
      <c r="H413">
        <v>6</v>
      </c>
      <c r="I413">
        <v>0</v>
      </c>
      <c r="J413" t="str">
        <f>VLOOKUP(H413,DC_Xref!A:B,2,FALSE)</f>
        <v>WEO</v>
      </c>
      <c r="K413">
        <f t="shared" si="6"/>
        <v>201947</v>
      </c>
      <c r="L413">
        <f>IFERROR(Table1[[#This Row],[Demand]]/SUMIFS(Table1[Demand],Table1[Fiscal_Year],Table1[[#This Row],[Fiscal_Year]],Table1[BRAND],Table1[[#This Row],[BRAND]],Table1[DC_name_Xref],Table1[[#This Row],[DC_name_Xref]]),0)</f>
        <v>0</v>
      </c>
      <c r="M4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3" s="3">
        <f>IFERROR(INDEX(Table3[#All],MATCH(Table1[[#This Row],[Key_Year_Week_Brand]],Table3[[#All],[Key_Year_Week_Brand]],0),MATCH(Table1[[#This Row],[DC_name_Xref]],Table3[#Headers],0)),0)</f>
        <v>0</v>
      </c>
      <c r="O413">
        <f>IFERROR(INDEX(Table35[#All],MATCH(Table1[[#This Row],[Key_Year_Week_Brand]],Table35[[#All],[Key_Year_Month_Brand]],0),MATCH(Table1[[#This Row],[DC_name_Xref]],Table35[#Headers],0)),0)</f>
        <v>0</v>
      </c>
    </row>
    <row r="414" spans="1:15" x14ac:dyDescent="0.3">
      <c r="A414" s="19" t="str">
        <f>Table1[[#This Row],[Year_Week]]&amp;"-"&amp;Table1[[#This Row],[DC_name_Xref]]</f>
        <v>201947-OCC</v>
      </c>
      <c r="B414" s="19" t="str">
        <f>Table1[[#This Row],[Fiscal_Year]]*100+Table1[[#This Row],[Fiscal_Week]] &amp; "-" &amp;Table1[[#This Row],[BRAND]]</f>
        <v>201947-Gap Factory Store</v>
      </c>
      <c r="C414" t="str">
        <f>Table1[[#This Row],[Fiscal_Year]]&amp;"-"&amp;Table1[[#This Row],[BRAND]]</f>
        <v>2019-Gap Factory Store</v>
      </c>
      <c r="D414">
        <v>2019</v>
      </c>
      <c r="E414">
        <v>47</v>
      </c>
      <c r="F414" t="s">
        <v>22</v>
      </c>
      <c r="G414" t="s">
        <v>11</v>
      </c>
      <c r="H414">
        <v>7</v>
      </c>
      <c r="I414">
        <v>0</v>
      </c>
      <c r="J414" t="str">
        <f>VLOOKUP(H414,DC_Xref!A:B,2,FALSE)</f>
        <v>OCC</v>
      </c>
      <c r="K414">
        <f t="shared" si="6"/>
        <v>201947</v>
      </c>
      <c r="L414">
        <f>IFERROR(Table1[[#This Row],[Demand]]/SUMIFS(Table1[Demand],Table1[Fiscal_Year],Table1[[#This Row],[Fiscal_Year]],Table1[BRAND],Table1[[#This Row],[BRAND]],Table1[DC_name_Xref],Table1[[#This Row],[DC_name_Xref]]),0)</f>
        <v>0</v>
      </c>
      <c r="M4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4" s="3">
        <f>IFERROR(INDEX(Table3[#All],MATCH(Table1[[#This Row],[Key_Year_Week_Brand]],Table3[[#All],[Key_Year_Week_Brand]],0),MATCH(Table1[[#This Row],[DC_name_Xref]],Table3[#Headers],0)),0)</f>
        <v>0</v>
      </c>
      <c r="O414">
        <f>IFERROR(INDEX(Table35[#All],MATCH(Table1[[#This Row],[Key_Year_Week_Brand]],Table35[[#All],[Key_Year_Month_Brand]],0),MATCH(Table1[[#This Row],[DC_name_Xref]],Table35[#Headers],0)),0)</f>
        <v>0</v>
      </c>
    </row>
    <row r="415" spans="1:15" x14ac:dyDescent="0.3">
      <c r="A415" s="19" t="str">
        <f>Table1[[#This Row],[Year_Week]]&amp;"-"&amp;Table1[[#This Row],[DC_name_Xref]]</f>
        <v>201947-OFC</v>
      </c>
      <c r="B415" s="19" t="str">
        <f>Table1[[#This Row],[Fiscal_Year]]*100+Table1[[#This Row],[Fiscal_Week]] &amp; "-" &amp;Table1[[#This Row],[BRAND]]</f>
        <v>201947-Athleta</v>
      </c>
      <c r="C415" t="str">
        <f>Table1[[#This Row],[Fiscal_Year]]&amp;"-"&amp;Table1[[#This Row],[BRAND]]</f>
        <v>2019-Athleta</v>
      </c>
      <c r="D415">
        <v>2019</v>
      </c>
      <c r="E415">
        <v>47</v>
      </c>
      <c r="F415" t="s">
        <v>19</v>
      </c>
      <c r="G415" t="s">
        <v>5</v>
      </c>
      <c r="H415">
        <v>1</v>
      </c>
      <c r="I415">
        <v>24242</v>
      </c>
      <c r="J415" t="str">
        <f>VLOOKUP(H415,DC_Xref!A:B,2,FALSE)</f>
        <v>OFC</v>
      </c>
      <c r="K415">
        <f t="shared" si="6"/>
        <v>201947</v>
      </c>
      <c r="L415">
        <f>IFERROR(Table1[[#This Row],[Demand]]/SUMIFS(Table1[Demand],Table1[Fiscal_Year],Table1[[#This Row],[Fiscal_Year]],Table1[BRAND],Table1[[#This Row],[BRAND]],Table1[DC_name_Xref],Table1[[#This Row],[DC_name_Xref]]),0)</f>
        <v>0.19106844478073079</v>
      </c>
      <c r="M4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0.10136821038082189</v>
      </c>
      <c r="N415" s="3">
        <f>IFERROR(INDEX(Table3[#All],MATCH(Table1[[#This Row],[Key_Year_Week_Brand]],Table3[[#All],[Key_Year_Week_Brand]],0),MATCH(Table1[[#This Row],[DC_name_Xref]],Table3[#Headers],0)),0)</f>
        <v>0</v>
      </c>
      <c r="O415">
        <f>IFERROR(INDEX(Table35[#All],MATCH(Table1[[#This Row],[Key_Year_Week_Brand]],Table35[[#All],[Key_Year_Month_Brand]],0),MATCH(Table1[[#This Row],[DC_name_Xref]],Table35[#Headers],0)),0)</f>
        <v>0</v>
      </c>
    </row>
    <row r="416" spans="1:15" x14ac:dyDescent="0.3">
      <c r="A416" s="19" t="str">
        <f>Table1[[#This Row],[Year_Week]]&amp;"-"&amp;Table1[[#This Row],[DC_name_Xref]]</f>
        <v>201947-TFC</v>
      </c>
      <c r="B416" s="19" t="str">
        <f>Table1[[#This Row],[Fiscal_Year]]*100+Table1[[#This Row],[Fiscal_Week]] &amp; "-" &amp;Table1[[#This Row],[BRAND]]</f>
        <v>201947-Athleta</v>
      </c>
      <c r="C416" t="str">
        <f>Table1[[#This Row],[Fiscal_Year]]&amp;"-"&amp;Table1[[#This Row],[BRAND]]</f>
        <v>2019-Athleta</v>
      </c>
      <c r="D416">
        <v>2019</v>
      </c>
      <c r="E416">
        <v>47</v>
      </c>
      <c r="F416" t="s">
        <v>19</v>
      </c>
      <c r="G416" t="s">
        <v>21</v>
      </c>
      <c r="H416">
        <v>2</v>
      </c>
      <c r="I416">
        <v>203962</v>
      </c>
      <c r="J416" t="str">
        <f>VLOOKUP(H416,DC_Xref!A:B,2,FALSE)</f>
        <v>TFC</v>
      </c>
      <c r="K416">
        <f t="shared" si="6"/>
        <v>201947</v>
      </c>
      <c r="L416">
        <f>IFERROR(Table1[[#This Row],[Demand]]/SUMIFS(Table1[Demand],Table1[Fiscal_Year],Table1[[#This Row],[Fiscal_Year]],Table1[BRAND],Table1[[#This Row],[BRAND]],Table1[DC_name_Xref],Table1[[#This Row],[DC_name_Xref]]),0)</f>
        <v>0.18134533517794715</v>
      </c>
      <c r="M4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0.89859743455560126</v>
      </c>
      <c r="N416" s="3">
        <f>IFERROR(INDEX(Table3[#All],MATCH(Table1[[#This Row],[Key_Year_Week_Brand]],Table3[[#All],[Key_Year_Week_Brand]],0),MATCH(Table1[[#This Row],[DC_name_Xref]],Table3[#Headers],0)),0)</f>
        <v>1</v>
      </c>
      <c r="O416">
        <f>IFERROR(INDEX(Table35[#All],MATCH(Table1[[#This Row],[Key_Year_Week_Brand]],Table35[[#All],[Key_Year_Month_Brand]],0),MATCH(Table1[[#This Row],[DC_name_Xref]],Table35[#Headers],0)),0)</f>
        <v>228204</v>
      </c>
    </row>
    <row r="417" spans="1:15" x14ac:dyDescent="0.3">
      <c r="A417" s="19" t="str">
        <f>Table1[[#This Row],[Year_Week]]&amp;"-"&amp;Table1[[#This Row],[DC_name_Xref]]</f>
        <v>201947-WFC</v>
      </c>
      <c r="B417" s="19" t="str">
        <f>Table1[[#This Row],[Fiscal_Year]]*100+Table1[[#This Row],[Fiscal_Week]] &amp; "-" &amp;Table1[[#This Row],[BRAND]]</f>
        <v>201947-Athleta</v>
      </c>
      <c r="C417" t="str">
        <f>Table1[[#This Row],[Fiscal_Year]]&amp;"-"&amp;Table1[[#This Row],[BRAND]]</f>
        <v>2019-Athleta</v>
      </c>
      <c r="D417">
        <v>2019</v>
      </c>
      <c r="E417">
        <v>47</v>
      </c>
      <c r="F417" t="s">
        <v>19</v>
      </c>
      <c r="G417" t="s">
        <v>7</v>
      </c>
      <c r="H417">
        <v>3</v>
      </c>
      <c r="I417">
        <v>0</v>
      </c>
      <c r="J417" t="str">
        <f>VLOOKUP(H417,DC_Xref!A:B,2,FALSE)</f>
        <v>WFC</v>
      </c>
      <c r="K417">
        <f t="shared" si="6"/>
        <v>201947</v>
      </c>
      <c r="L417">
        <f>IFERROR(Table1[[#This Row],[Demand]]/SUMIFS(Table1[Demand],Table1[Fiscal_Year],Table1[[#This Row],[Fiscal_Year]],Table1[BRAND],Table1[[#This Row],[BRAND]],Table1[DC_name_Xref],Table1[[#This Row],[DC_name_Xref]]),0)</f>
        <v>0</v>
      </c>
      <c r="M4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7" s="3">
        <f>IFERROR(INDEX(Table3[#All],MATCH(Table1[[#This Row],[Key_Year_Week_Brand]],Table3[[#All],[Key_Year_Week_Brand]],0),MATCH(Table1[[#This Row],[DC_name_Xref]],Table3[#Headers],0)),0)</f>
        <v>0</v>
      </c>
      <c r="O417">
        <f>IFERROR(INDEX(Table35[#All],MATCH(Table1[[#This Row],[Key_Year_Week_Brand]],Table35[[#All],[Key_Year_Month_Brand]],0),MATCH(Table1[[#This Row],[DC_name_Xref]],Table35[#Headers],0)),0)</f>
        <v>0</v>
      </c>
    </row>
    <row r="418" spans="1:15" x14ac:dyDescent="0.3">
      <c r="A418" s="19" t="str">
        <f>Table1[[#This Row],[Year_Week]]&amp;"-"&amp;Table1[[#This Row],[DC_name_Xref]]</f>
        <v>201947-EAO</v>
      </c>
      <c r="B418" s="19" t="str">
        <f>Table1[[#This Row],[Fiscal_Year]]*100+Table1[[#This Row],[Fiscal_Week]] &amp; "-" &amp;Table1[[#This Row],[BRAND]]</f>
        <v>201947-Athleta</v>
      </c>
      <c r="C418" t="str">
        <f>Table1[[#This Row],[Fiscal_Year]]&amp;"-"&amp;Table1[[#This Row],[BRAND]]</f>
        <v>2019-Athleta</v>
      </c>
      <c r="D418">
        <v>2019</v>
      </c>
      <c r="E418">
        <v>47</v>
      </c>
      <c r="F418" t="s">
        <v>19</v>
      </c>
      <c r="G418" t="s">
        <v>8</v>
      </c>
      <c r="H418">
        <v>4</v>
      </c>
      <c r="I418">
        <v>0</v>
      </c>
      <c r="J418" t="str">
        <f>VLOOKUP(H418,DC_Xref!A:B,2,FALSE)</f>
        <v>EAO</v>
      </c>
      <c r="K418">
        <f t="shared" si="6"/>
        <v>201947</v>
      </c>
      <c r="L418">
        <f>IFERROR(Table1[[#This Row],[Demand]]/SUMIFS(Table1[Demand],Table1[Fiscal_Year],Table1[[#This Row],[Fiscal_Year]],Table1[BRAND],Table1[[#This Row],[BRAND]],Table1[DC_name_Xref],Table1[[#This Row],[DC_name_Xref]]),0)</f>
        <v>0</v>
      </c>
      <c r="M4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3.435506357684149E-5</v>
      </c>
      <c r="N418" s="3">
        <f>IFERROR(INDEX(Table3[#All],MATCH(Table1[[#This Row],[Key_Year_Week_Brand]],Table3[[#All],[Key_Year_Week_Brand]],0),MATCH(Table1[[#This Row],[DC_name_Xref]],Table3[#Headers],0)),0)</f>
        <v>3.447122356821831E-5</v>
      </c>
      <c r="O418">
        <f>IFERROR(INDEX(Table35[#All],MATCH(Table1[[#This Row],[Key_Year_Week_Brand]],Table35[[#All],[Key_Year_Month_Brand]],0),MATCH(Table1[[#This Row],[DC_name_Xref]],Table35[#Headers],0)),0)</f>
        <v>7.8664711031616914</v>
      </c>
    </row>
    <row r="419" spans="1:15" x14ac:dyDescent="0.3">
      <c r="A419" s="19" t="str">
        <f>Table1[[#This Row],[Year_Week]]&amp;"-"&amp;Table1[[#This Row],[DC_name_Xref]]</f>
        <v>201947-FFC-ODC</v>
      </c>
      <c r="B419" s="19" t="str">
        <f>Table1[[#This Row],[Fiscal_Year]]*100+Table1[[#This Row],[Fiscal_Week]] &amp; "-" &amp;Table1[[#This Row],[BRAND]]</f>
        <v>201947-Athleta</v>
      </c>
      <c r="C419" t="str">
        <f>Table1[[#This Row],[Fiscal_Year]]&amp;"-"&amp;Table1[[#This Row],[BRAND]]</f>
        <v>2019-Athleta</v>
      </c>
      <c r="D419">
        <v>2019</v>
      </c>
      <c r="E419">
        <v>47</v>
      </c>
      <c r="F419" t="s">
        <v>19</v>
      </c>
      <c r="G419" t="s">
        <v>23</v>
      </c>
      <c r="H419">
        <v>5</v>
      </c>
      <c r="I419">
        <v>0</v>
      </c>
      <c r="J419" t="str">
        <f>VLOOKUP(H419,DC_Xref!A:B,2,FALSE)</f>
        <v>FFC-ODC</v>
      </c>
      <c r="K419">
        <f t="shared" si="6"/>
        <v>201947</v>
      </c>
      <c r="L419">
        <f>IFERROR(Table1[[#This Row],[Demand]]/SUMIFS(Table1[Demand],Table1[Fiscal_Year],Table1[[#This Row],[Fiscal_Year]],Table1[BRAND],Table1[[#This Row],[BRAND]],Table1[DC_name_Xref],Table1[[#This Row],[DC_name_Xref]]),0)</f>
        <v>0</v>
      </c>
      <c r="M4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19" s="3">
        <f>IFERROR(INDEX(Table3[#All],MATCH(Table1[[#This Row],[Key_Year_Week_Brand]],Table3[[#All],[Key_Year_Week_Brand]],0),MATCH(Table1[[#This Row],[DC_name_Xref]],Table3[#Headers],0)),0)</f>
        <v>0</v>
      </c>
      <c r="O419">
        <f>IFERROR(INDEX(Table35[#All],MATCH(Table1[[#This Row],[Key_Year_Week_Brand]],Table35[[#All],[Key_Year_Month_Brand]],0),MATCH(Table1[[#This Row],[DC_name_Xref]],Table35[#Headers],0)),0)</f>
        <v>0</v>
      </c>
    </row>
    <row r="420" spans="1:15" x14ac:dyDescent="0.3">
      <c r="A420" s="19" t="str">
        <f>Table1[[#This Row],[Year_Week]]&amp;"-"&amp;Table1[[#This Row],[DC_name_Xref]]</f>
        <v>201947-WEO</v>
      </c>
      <c r="B420" s="19" t="str">
        <f>Table1[[#This Row],[Fiscal_Year]]*100+Table1[[#This Row],[Fiscal_Week]] &amp; "-" &amp;Table1[[#This Row],[BRAND]]</f>
        <v>201947-Athleta</v>
      </c>
      <c r="C420" t="str">
        <f>Table1[[#This Row],[Fiscal_Year]]&amp;"-"&amp;Table1[[#This Row],[BRAND]]</f>
        <v>2019-Athleta</v>
      </c>
      <c r="D420">
        <v>2019</v>
      </c>
      <c r="E420">
        <v>47</v>
      </c>
      <c r="F420" t="s">
        <v>19</v>
      </c>
      <c r="G420" t="s">
        <v>10</v>
      </c>
      <c r="H420">
        <v>6</v>
      </c>
      <c r="I420">
        <v>0</v>
      </c>
      <c r="J420" t="str">
        <f>VLOOKUP(H420,DC_Xref!A:B,2,FALSE)</f>
        <v>WEO</v>
      </c>
      <c r="K420">
        <f t="shared" si="6"/>
        <v>201947</v>
      </c>
      <c r="L420">
        <f>IFERROR(Table1[[#This Row],[Demand]]/SUMIFS(Table1[Demand],Table1[Fiscal_Year],Table1[[#This Row],[Fiscal_Year]],Table1[BRAND],Table1[[#This Row],[BRAND]],Table1[DC_name_Xref],Table1[[#This Row],[DC_name_Xref]]),0)</f>
        <v>0</v>
      </c>
      <c r="M4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20" s="3">
        <f>IFERROR(INDEX(Table3[#All],MATCH(Table1[[#This Row],[Key_Year_Week_Brand]],Table3[[#All],[Key_Year_Week_Brand]],0),MATCH(Table1[[#This Row],[DC_name_Xref]],Table3[#Headers],0)),0)</f>
        <v>0</v>
      </c>
      <c r="O420">
        <f>IFERROR(INDEX(Table35[#All],MATCH(Table1[[#This Row],[Key_Year_Week_Brand]],Table35[[#All],[Key_Year_Month_Brand]],0),MATCH(Table1[[#This Row],[DC_name_Xref]],Table35[#Headers],0)),0)</f>
        <v>0</v>
      </c>
    </row>
    <row r="421" spans="1:15" x14ac:dyDescent="0.3">
      <c r="A421" s="19" t="str">
        <f>Table1[[#This Row],[Year_Week]]&amp;"-"&amp;Table1[[#This Row],[DC_name_Xref]]</f>
        <v>201947-OCC</v>
      </c>
      <c r="B421" s="19" t="str">
        <f>Table1[[#This Row],[Fiscal_Year]]*100+Table1[[#This Row],[Fiscal_Week]] &amp; "-" &amp;Table1[[#This Row],[BRAND]]</f>
        <v>201947-Athleta</v>
      </c>
      <c r="C421" t="str">
        <f>Table1[[#This Row],[Fiscal_Year]]&amp;"-"&amp;Table1[[#This Row],[BRAND]]</f>
        <v>2019-Athleta</v>
      </c>
      <c r="D421">
        <v>2019</v>
      </c>
      <c r="E421">
        <v>47</v>
      </c>
      <c r="F421" t="s">
        <v>19</v>
      </c>
      <c r="G421" t="s">
        <v>11</v>
      </c>
      <c r="H421">
        <v>7</v>
      </c>
      <c r="I421">
        <v>0</v>
      </c>
      <c r="J421" t="str">
        <f>VLOOKUP(H421,DC_Xref!A:B,2,FALSE)</f>
        <v>OCC</v>
      </c>
      <c r="K421">
        <f t="shared" si="6"/>
        <v>201947</v>
      </c>
      <c r="L421">
        <f>IFERROR(Table1[[#This Row],[Demand]]/SUMIFS(Table1[Demand],Table1[Fiscal_Year],Table1[[#This Row],[Fiscal_Year]],Table1[BRAND],Table1[[#This Row],[BRAND]],Table1[DC_name_Xref],Table1[[#This Row],[DC_name_Xref]]),0)</f>
        <v>0</v>
      </c>
      <c r="M4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21" s="3">
        <f>IFERROR(INDEX(Table3[#All],MATCH(Table1[[#This Row],[Key_Year_Week_Brand]],Table3[[#All],[Key_Year_Week_Brand]],0),MATCH(Table1[[#This Row],[DC_name_Xref]],Table3[#Headers],0)),0)</f>
        <v>0</v>
      </c>
      <c r="O421">
        <f>IFERROR(INDEX(Table35[#All],MATCH(Table1[[#This Row],[Key_Year_Week_Brand]],Table35[[#All],[Key_Year_Month_Brand]],0),MATCH(Table1[[#This Row],[DC_name_Xref]],Table35[#Headers],0)),0)</f>
        <v>0</v>
      </c>
    </row>
    <row r="422" spans="1:15" x14ac:dyDescent="0.3">
      <c r="A422" s="19" t="str">
        <f>Table1[[#This Row],[Year_Week]]&amp;"-"&amp;Table1[[#This Row],[DC_name_Xref]]</f>
        <v>202043-OFC</v>
      </c>
      <c r="B422" s="19" t="str">
        <f>Table1[[#This Row],[Fiscal_Year]]*100+Table1[[#This Row],[Fiscal_Week]] &amp; "-" &amp;Table1[[#This Row],[BRAND]]</f>
        <v>202043-Athleta</v>
      </c>
      <c r="C422" t="str">
        <f>Table1[[#This Row],[Fiscal_Year]]&amp;"-"&amp;Table1[[#This Row],[BRAND]]</f>
        <v>2020-Athleta</v>
      </c>
      <c r="D422">
        <v>2020</v>
      </c>
      <c r="E422">
        <v>43</v>
      </c>
      <c r="F422" t="s">
        <v>19</v>
      </c>
      <c r="G422" t="s">
        <v>5</v>
      </c>
      <c r="H422">
        <v>1</v>
      </c>
      <c r="I422">
        <v>47447</v>
      </c>
      <c r="J422" t="str">
        <f>VLOOKUP(H422,DC_Xref!A:B,2,FALSE)</f>
        <v>OFC</v>
      </c>
      <c r="K422">
        <f t="shared" si="6"/>
        <v>202043</v>
      </c>
      <c r="L422">
        <f>IFERROR(Table1[[#This Row],[Demand]]/SUMIFS(Table1[Demand],Table1[Fiscal_Year],Table1[[#This Row],[Fiscal_Year]],Table1[BRAND],Table1[[#This Row],[BRAND]],Table1[DC_name_Xref],Table1[[#This Row],[DC_name_Xref]]),0)</f>
        <v>0.27497218229866938</v>
      </c>
      <c r="M4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0.10136844343818036</v>
      </c>
      <c r="N422" s="3">
        <f>IFERROR(INDEX(Table3[#All],MATCH(Table1[[#This Row],[Key_Year_Week_Brand]],Table3[[#All],[Key_Year_Week_Brand]],0),MATCH(Table1[[#This Row],[DC_name_Xref]],Table3[#Headers],0)),0)</f>
        <v>0</v>
      </c>
      <c r="O422">
        <f>IFERROR(INDEX(Table35[#All],MATCH(Table1[[#This Row],[Key_Year_Week_Brand]],Table35[[#All],[Key_Year_Month_Brand]],0),MATCH(Table1[[#This Row],[DC_name_Xref]],Table35[#Headers],0)),0)</f>
        <v>0</v>
      </c>
    </row>
    <row r="423" spans="1:15" x14ac:dyDescent="0.3">
      <c r="A423" s="19" t="str">
        <f>Table1[[#This Row],[Year_Week]]&amp;"-"&amp;Table1[[#This Row],[DC_name_Xref]]</f>
        <v>202043-TFC</v>
      </c>
      <c r="B423" s="19" t="str">
        <f>Table1[[#This Row],[Fiscal_Year]]*100+Table1[[#This Row],[Fiscal_Week]] &amp; "-" &amp;Table1[[#This Row],[BRAND]]</f>
        <v>202043-Athleta</v>
      </c>
      <c r="C423" t="str">
        <f>Table1[[#This Row],[Fiscal_Year]]&amp;"-"&amp;Table1[[#This Row],[BRAND]]</f>
        <v>2020-Athleta</v>
      </c>
      <c r="D423">
        <v>2020</v>
      </c>
      <c r="E423">
        <v>43</v>
      </c>
      <c r="F423" t="s">
        <v>19</v>
      </c>
      <c r="G423" t="s">
        <v>21</v>
      </c>
      <c r="H423">
        <v>2</v>
      </c>
      <c r="I423">
        <v>443728</v>
      </c>
      <c r="J423" t="str">
        <f>VLOOKUP(H423,DC_Xref!A:B,2,FALSE)</f>
        <v>TFC</v>
      </c>
      <c r="K423">
        <f t="shared" si="6"/>
        <v>202043</v>
      </c>
      <c r="L423">
        <f>IFERROR(Table1[[#This Row],[Demand]]/SUMIFS(Table1[Demand],Table1[Fiscal_Year],Table1[[#This Row],[Fiscal_Year]],Table1[BRAND],Table1[[#This Row],[BRAND]],Table1[DC_name_Xref],Table1[[#This Row],[DC_name_Xref]]),0)</f>
        <v>0.2900914871333552</v>
      </c>
      <c r="M4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0.89859630859827078</v>
      </c>
      <c r="N423" s="3">
        <f>IFERROR(INDEX(Table3[#All],MATCH(Table1[[#This Row],[Key_Year_Week_Brand]],Table3[[#All],[Key_Year_Week_Brand]],0),MATCH(Table1[[#This Row],[DC_name_Xref]],Table3[#Headers],0)),0)</f>
        <v>1</v>
      </c>
      <c r="O423">
        <f>IFERROR(INDEX(Table35[#All],MATCH(Table1[[#This Row],[Key_Year_Week_Brand]],Table35[[#All],[Key_Year_Month_Brand]],0),MATCH(Table1[[#This Row],[DC_name_Xref]],Table35[#Headers],0)),0)</f>
        <v>491189</v>
      </c>
    </row>
    <row r="424" spans="1:15" x14ac:dyDescent="0.3">
      <c r="A424" s="19" t="str">
        <f>Table1[[#This Row],[Year_Week]]&amp;"-"&amp;Table1[[#This Row],[DC_name_Xref]]</f>
        <v>202043-WFC</v>
      </c>
      <c r="B424" s="19" t="str">
        <f>Table1[[#This Row],[Fiscal_Year]]*100+Table1[[#This Row],[Fiscal_Week]] &amp; "-" &amp;Table1[[#This Row],[BRAND]]</f>
        <v>202043-Athleta</v>
      </c>
      <c r="C424" t="str">
        <f>Table1[[#This Row],[Fiscal_Year]]&amp;"-"&amp;Table1[[#This Row],[BRAND]]</f>
        <v>2020-Athleta</v>
      </c>
      <c r="D424">
        <v>2020</v>
      </c>
      <c r="E424">
        <v>43</v>
      </c>
      <c r="F424" t="s">
        <v>19</v>
      </c>
      <c r="G424" t="s">
        <v>7</v>
      </c>
      <c r="H424">
        <v>3</v>
      </c>
      <c r="I424">
        <v>0</v>
      </c>
      <c r="J424" t="str">
        <f>VLOOKUP(H424,DC_Xref!A:B,2,FALSE)</f>
        <v>WFC</v>
      </c>
      <c r="K424">
        <f t="shared" si="6"/>
        <v>202043</v>
      </c>
      <c r="L424">
        <f>IFERROR(Table1[[#This Row],[Demand]]/SUMIFS(Table1[Demand],Table1[Fiscal_Year],Table1[[#This Row],[Fiscal_Year]],Table1[BRAND],Table1[[#This Row],[BRAND]],Table1[DC_name_Xref],Table1[[#This Row],[DC_name_Xref]]),0)</f>
        <v>0</v>
      </c>
      <c r="M4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24" s="3">
        <f>IFERROR(INDEX(Table3[#All],MATCH(Table1[[#This Row],[Key_Year_Week_Brand]],Table3[[#All],[Key_Year_Week_Brand]],0),MATCH(Table1[[#This Row],[DC_name_Xref]],Table3[#Headers],0)),0)</f>
        <v>0</v>
      </c>
      <c r="O424">
        <f>IFERROR(INDEX(Table35[#All],MATCH(Table1[[#This Row],[Key_Year_Week_Brand]],Table35[[#All],[Key_Year_Month_Brand]],0),MATCH(Table1[[#This Row],[DC_name_Xref]],Table35[#Headers],0)),0)</f>
        <v>0</v>
      </c>
    </row>
    <row r="425" spans="1:15" x14ac:dyDescent="0.3">
      <c r="A425" s="19" t="str">
        <f>Table1[[#This Row],[Year_Week]]&amp;"-"&amp;Table1[[#This Row],[DC_name_Xref]]</f>
        <v>202043-EAO</v>
      </c>
      <c r="B425" s="19" t="str">
        <f>Table1[[#This Row],[Fiscal_Year]]*100+Table1[[#This Row],[Fiscal_Week]] &amp; "-" &amp;Table1[[#This Row],[BRAND]]</f>
        <v>202043-Athleta</v>
      </c>
      <c r="C425" t="str">
        <f>Table1[[#This Row],[Fiscal_Year]]&amp;"-"&amp;Table1[[#This Row],[BRAND]]</f>
        <v>2020-Athleta</v>
      </c>
      <c r="D425">
        <v>2020</v>
      </c>
      <c r="E425">
        <v>43</v>
      </c>
      <c r="F425" t="s">
        <v>19</v>
      </c>
      <c r="G425" t="s">
        <v>8</v>
      </c>
      <c r="H425">
        <v>4</v>
      </c>
      <c r="I425">
        <v>14</v>
      </c>
      <c r="J425" t="str">
        <f>VLOOKUP(H425,DC_Xref!A:B,2,FALSE)</f>
        <v>EAO</v>
      </c>
      <c r="K425">
        <f t="shared" si="6"/>
        <v>202043</v>
      </c>
      <c r="L425">
        <f>IFERROR(Table1[[#This Row],[Demand]]/SUMIFS(Table1[Demand],Table1[Fiscal_Year],Table1[[#This Row],[Fiscal_Year]],Table1[BRAND],Table1[[#This Row],[BRAND]],Table1[DC_name_Xref],Table1[[#This Row],[DC_name_Xref]]),0)</f>
        <v>0.23333333333333334</v>
      </c>
      <c r="M4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3.5247963548905963E-5</v>
      </c>
      <c r="N425" s="3">
        <f>IFERROR(INDEX(Table3[#All],MATCH(Table1[[#This Row],[Key_Year_Week_Brand]],Table3[[#All],[Key_Year_Week_Brand]],0),MATCH(Table1[[#This Row],[DC_name_Xref]],Table3[#Headers],0)),0)</f>
        <v>3.447122356821831E-5</v>
      </c>
      <c r="O425">
        <f>IFERROR(INDEX(Table35[#All],MATCH(Table1[[#This Row],[Key_Year_Week_Brand]],Table35[[#All],[Key_Year_Month_Brand]],0),MATCH(Table1[[#This Row],[DC_name_Xref]],Table35[#Headers],0)),0)</f>
        <v>16.931885833249584</v>
      </c>
    </row>
    <row r="426" spans="1:15" x14ac:dyDescent="0.3">
      <c r="A426" s="19" t="str">
        <f>Table1[[#This Row],[Year_Week]]&amp;"-"&amp;Table1[[#This Row],[DC_name_Xref]]</f>
        <v>202043-FFC-ODC</v>
      </c>
      <c r="B426" s="19" t="str">
        <f>Table1[[#This Row],[Fiscal_Year]]*100+Table1[[#This Row],[Fiscal_Week]] &amp; "-" &amp;Table1[[#This Row],[BRAND]]</f>
        <v>202043-Athleta</v>
      </c>
      <c r="C426" t="str">
        <f>Table1[[#This Row],[Fiscal_Year]]&amp;"-"&amp;Table1[[#This Row],[BRAND]]</f>
        <v>2020-Athleta</v>
      </c>
      <c r="D426">
        <v>2020</v>
      </c>
      <c r="E426">
        <v>43</v>
      </c>
      <c r="F426" t="s">
        <v>19</v>
      </c>
      <c r="G426" t="s">
        <v>23</v>
      </c>
      <c r="H426">
        <v>5</v>
      </c>
      <c r="I426">
        <v>0</v>
      </c>
      <c r="J426" t="str">
        <f>VLOOKUP(H426,DC_Xref!A:B,2,FALSE)</f>
        <v>FFC-ODC</v>
      </c>
      <c r="K426">
        <f t="shared" si="6"/>
        <v>202043</v>
      </c>
      <c r="L426">
        <f>IFERROR(Table1[[#This Row],[Demand]]/SUMIFS(Table1[Demand],Table1[Fiscal_Year],Table1[[#This Row],[Fiscal_Year]],Table1[BRAND],Table1[[#This Row],[BRAND]],Table1[DC_name_Xref],Table1[[#This Row],[DC_name_Xref]]),0)</f>
        <v>0</v>
      </c>
      <c r="M4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26" s="3">
        <f>IFERROR(INDEX(Table3[#All],MATCH(Table1[[#This Row],[Key_Year_Week_Brand]],Table3[[#All],[Key_Year_Week_Brand]],0),MATCH(Table1[[#This Row],[DC_name_Xref]],Table3[#Headers],0)),0)</f>
        <v>0</v>
      </c>
      <c r="O426">
        <f>IFERROR(INDEX(Table35[#All],MATCH(Table1[[#This Row],[Key_Year_Week_Brand]],Table35[[#All],[Key_Year_Month_Brand]],0),MATCH(Table1[[#This Row],[DC_name_Xref]],Table35[#Headers],0)),0)</f>
        <v>0</v>
      </c>
    </row>
    <row r="427" spans="1:15" x14ac:dyDescent="0.3">
      <c r="A427" s="19" t="str">
        <f>Table1[[#This Row],[Year_Week]]&amp;"-"&amp;Table1[[#This Row],[DC_name_Xref]]</f>
        <v>202043-WEO</v>
      </c>
      <c r="B427" s="19" t="str">
        <f>Table1[[#This Row],[Fiscal_Year]]*100+Table1[[#This Row],[Fiscal_Week]] &amp; "-" &amp;Table1[[#This Row],[BRAND]]</f>
        <v>202043-Athleta</v>
      </c>
      <c r="C427" t="str">
        <f>Table1[[#This Row],[Fiscal_Year]]&amp;"-"&amp;Table1[[#This Row],[BRAND]]</f>
        <v>2020-Athleta</v>
      </c>
      <c r="D427">
        <v>2020</v>
      </c>
      <c r="E427">
        <v>43</v>
      </c>
      <c r="F427" t="s">
        <v>19</v>
      </c>
      <c r="G427" t="s">
        <v>10</v>
      </c>
      <c r="H427">
        <v>6</v>
      </c>
      <c r="I427">
        <v>0</v>
      </c>
      <c r="J427" t="str">
        <f>VLOOKUP(H427,DC_Xref!A:B,2,FALSE)</f>
        <v>WEO</v>
      </c>
      <c r="K427">
        <f t="shared" si="6"/>
        <v>202043</v>
      </c>
      <c r="L427">
        <f>IFERROR(Table1[[#This Row],[Demand]]/SUMIFS(Table1[Demand],Table1[Fiscal_Year],Table1[[#This Row],[Fiscal_Year]],Table1[BRAND],Table1[[#This Row],[BRAND]],Table1[DC_name_Xref],Table1[[#This Row],[DC_name_Xref]]),0)</f>
        <v>0</v>
      </c>
      <c r="M4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27" s="3">
        <f>IFERROR(INDEX(Table3[#All],MATCH(Table1[[#This Row],[Key_Year_Week_Brand]],Table3[[#All],[Key_Year_Week_Brand]],0),MATCH(Table1[[#This Row],[DC_name_Xref]],Table3[#Headers],0)),0)</f>
        <v>0</v>
      </c>
      <c r="O427">
        <f>IFERROR(INDEX(Table35[#All],MATCH(Table1[[#This Row],[Key_Year_Week_Brand]],Table35[[#All],[Key_Year_Month_Brand]],0),MATCH(Table1[[#This Row],[DC_name_Xref]],Table35[#Headers],0)),0)</f>
        <v>0</v>
      </c>
    </row>
    <row r="428" spans="1:15" x14ac:dyDescent="0.3">
      <c r="A428" s="19" t="str">
        <f>Table1[[#This Row],[Year_Week]]&amp;"-"&amp;Table1[[#This Row],[DC_name_Xref]]</f>
        <v>202043-OCC</v>
      </c>
      <c r="B428" s="19" t="str">
        <f>Table1[[#This Row],[Fiscal_Year]]*100+Table1[[#This Row],[Fiscal_Week]] &amp; "-" &amp;Table1[[#This Row],[BRAND]]</f>
        <v>202043-Athleta</v>
      </c>
      <c r="C428" t="str">
        <f>Table1[[#This Row],[Fiscal_Year]]&amp;"-"&amp;Table1[[#This Row],[BRAND]]</f>
        <v>2020-Athleta</v>
      </c>
      <c r="D428">
        <v>2020</v>
      </c>
      <c r="E428">
        <v>43</v>
      </c>
      <c r="F428" t="s">
        <v>19</v>
      </c>
      <c r="G428" t="s">
        <v>11</v>
      </c>
      <c r="H428">
        <v>7</v>
      </c>
      <c r="I428">
        <v>0</v>
      </c>
      <c r="J428" t="str">
        <f>VLOOKUP(H428,DC_Xref!A:B,2,FALSE)</f>
        <v>OCC</v>
      </c>
      <c r="K428">
        <f t="shared" si="6"/>
        <v>202043</v>
      </c>
      <c r="L428">
        <f>IFERROR(Table1[[#This Row],[Demand]]/SUMIFS(Table1[Demand],Table1[Fiscal_Year],Table1[[#This Row],[Fiscal_Year]],Table1[BRAND],Table1[[#This Row],[BRAND]],Table1[DC_name_Xref],Table1[[#This Row],[DC_name_Xref]]),0)</f>
        <v>0</v>
      </c>
      <c r="M4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28" s="3">
        <f>IFERROR(INDEX(Table3[#All],MATCH(Table1[[#This Row],[Key_Year_Week_Brand]],Table3[[#All],[Key_Year_Week_Brand]],0),MATCH(Table1[[#This Row],[DC_name_Xref]],Table3[#Headers],0)),0)</f>
        <v>0</v>
      </c>
      <c r="O428">
        <f>IFERROR(INDEX(Table35[#All],MATCH(Table1[[#This Row],[Key_Year_Week_Brand]],Table35[[#All],[Key_Year_Month_Brand]],0),MATCH(Table1[[#This Row],[DC_name_Xref]],Table35[#Headers],0)),0)</f>
        <v>0</v>
      </c>
    </row>
    <row r="429" spans="1:15" x14ac:dyDescent="0.3">
      <c r="A429" s="19" t="str">
        <f>Table1[[#This Row],[Year_Week]]&amp;"-"&amp;Table1[[#This Row],[DC_name_Xref]]</f>
        <v>202043-OFC</v>
      </c>
      <c r="B429" s="19" t="str">
        <f>Table1[[#This Row],[Fiscal_Year]]*100+Table1[[#This Row],[Fiscal_Week]] &amp; "-" &amp;Table1[[#This Row],[BRAND]]</f>
        <v>202043-Old Navy</v>
      </c>
      <c r="C429" t="str">
        <f>Table1[[#This Row],[Fiscal_Year]]&amp;"-"&amp;Table1[[#This Row],[BRAND]]</f>
        <v>2020-Old Navy</v>
      </c>
      <c r="D429">
        <v>2020</v>
      </c>
      <c r="E429">
        <v>43</v>
      </c>
      <c r="F429" t="s">
        <v>20</v>
      </c>
      <c r="G429" t="s">
        <v>5</v>
      </c>
      <c r="H429">
        <v>1</v>
      </c>
      <c r="I429">
        <v>2527730</v>
      </c>
      <c r="J429" t="str">
        <f>VLOOKUP(H429,DC_Xref!A:B,2,FALSE)</f>
        <v>OFC</v>
      </c>
      <c r="K429">
        <f t="shared" si="6"/>
        <v>202043</v>
      </c>
      <c r="L429">
        <f>IFERROR(Table1[[#This Row],[Demand]]/SUMIFS(Table1[Demand],Table1[Fiscal_Year],Table1[[#This Row],[Fiscal_Year]],Table1[BRAND],Table1[[#This Row],[BRAND]],Table1[DC_name_Xref],Table1[[#This Row],[DC_name_Xref]]),0)</f>
        <v>0.34276289623819578</v>
      </c>
      <c r="M4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0.29585489906110074</v>
      </c>
      <c r="N429" s="3">
        <f>IFERROR(INDEX(Table3[#All],MATCH(Table1[[#This Row],[Key_Year_Week_Brand]],Table3[[#All],[Key_Year_Week_Brand]],0),MATCH(Table1[[#This Row],[DC_name_Xref]],Table3[#Headers],0)),0)</f>
        <v>0.1</v>
      </c>
      <c r="O429">
        <f>IFERROR(INDEX(Table35[#All],MATCH(Table1[[#This Row],[Key_Year_Week_Brand]],Table35[[#All],[Key_Year_Month_Brand]],0),MATCH(Table1[[#This Row],[DC_name_Xref]],Table35[#Headers],0)),0)</f>
        <v>903841.10000000009</v>
      </c>
    </row>
    <row r="430" spans="1:15" x14ac:dyDescent="0.3">
      <c r="A430" s="19" t="str">
        <f>Table1[[#This Row],[Year_Week]]&amp;"-"&amp;Table1[[#This Row],[DC_name_Xref]]</f>
        <v>202043-TFC</v>
      </c>
      <c r="B430" s="19" t="str">
        <f>Table1[[#This Row],[Fiscal_Year]]*100+Table1[[#This Row],[Fiscal_Week]] &amp; "-" &amp;Table1[[#This Row],[BRAND]]</f>
        <v>202043-Old Navy</v>
      </c>
      <c r="C430" t="str">
        <f>Table1[[#This Row],[Fiscal_Year]]&amp;"-"&amp;Table1[[#This Row],[BRAND]]</f>
        <v>2020-Old Navy</v>
      </c>
      <c r="D430">
        <v>2020</v>
      </c>
      <c r="E430">
        <v>43</v>
      </c>
      <c r="F430" t="s">
        <v>20</v>
      </c>
      <c r="G430" t="s">
        <v>21</v>
      </c>
      <c r="H430">
        <v>2</v>
      </c>
      <c r="I430">
        <v>1661974</v>
      </c>
      <c r="J430" t="str">
        <f>VLOOKUP(H430,DC_Xref!A:B,2,FALSE)</f>
        <v>TFC</v>
      </c>
      <c r="K430">
        <f t="shared" si="6"/>
        <v>202043</v>
      </c>
      <c r="L430">
        <f>IFERROR(Table1[[#This Row],[Demand]]/SUMIFS(Table1[Demand],Table1[Fiscal_Year],Table1[[#This Row],[Fiscal_Year]],Table1[BRAND],Table1[[#This Row],[BRAND]],Table1[DC_name_Xref],Table1[[#This Row],[DC_name_Xref]]),0)</f>
        <v>0.39204823165081781</v>
      </c>
      <c r="M4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0.17006956944341195</v>
      </c>
      <c r="N430" s="3">
        <f>IFERROR(INDEX(Table3[#All],MATCH(Table1[[#This Row],[Key_Year_Week_Brand]],Table3[[#All],[Key_Year_Week_Brand]],0),MATCH(Table1[[#This Row],[DC_name_Xref]],Table3[#Headers],0)),0)</f>
        <v>0.2</v>
      </c>
      <c r="O430">
        <f>IFERROR(INDEX(Table35[#All],MATCH(Table1[[#This Row],[Key_Year_Week_Brand]],Table35[[#All],[Key_Year_Month_Brand]],0),MATCH(Table1[[#This Row],[DC_name_Xref]],Table35[#Headers],0)),0)</f>
        <v>1807682.2000000002</v>
      </c>
    </row>
    <row r="431" spans="1:15" x14ac:dyDescent="0.3">
      <c r="A431" s="19" t="str">
        <f>Table1[[#This Row],[Year_Week]]&amp;"-"&amp;Table1[[#This Row],[DC_name_Xref]]</f>
        <v>202043-WFC</v>
      </c>
      <c r="B431" s="19" t="str">
        <f>Table1[[#This Row],[Fiscal_Year]]*100+Table1[[#This Row],[Fiscal_Week]] &amp; "-" &amp;Table1[[#This Row],[BRAND]]</f>
        <v>202043-Old Navy</v>
      </c>
      <c r="C431" t="str">
        <f>Table1[[#This Row],[Fiscal_Year]]&amp;"-"&amp;Table1[[#This Row],[BRAND]]</f>
        <v>2020-Old Navy</v>
      </c>
      <c r="D431">
        <v>2020</v>
      </c>
      <c r="E431">
        <v>43</v>
      </c>
      <c r="F431" t="s">
        <v>20</v>
      </c>
      <c r="G431" t="s">
        <v>7</v>
      </c>
      <c r="H431">
        <v>3</v>
      </c>
      <c r="I431">
        <v>1838971</v>
      </c>
      <c r="J431" t="str">
        <f>VLOOKUP(H431,DC_Xref!A:B,2,FALSE)</f>
        <v>WFC</v>
      </c>
      <c r="K431">
        <f t="shared" si="6"/>
        <v>202043</v>
      </c>
      <c r="L431">
        <f>IFERROR(Table1[[#This Row],[Demand]]/SUMIFS(Table1[Demand],Table1[Fiscal_Year],Table1[[#This Row],[Fiscal_Year]],Table1[BRAND],Table1[[#This Row],[BRAND]],Table1[DC_name_Xref],Table1[[#This Row],[DC_name_Xref]]),0)</f>
        <v>0.36580793606873396</v>
      </c>
      <c r="M4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0.20168037660758306</v>
      </c>
      <c r="N431" s="3">
        <f>IFERROR(INDEX(Table3[#All],MATCH(Table1[[#This Row],[Key_Year_Week_Brand]],Table3[[#All],[Key_Year_Week_Brand]],0),MATCH(Table1[[#This Row],[DC_name_Xref]],Table3[#Headers],0)),0)</f>
        <v>0.02</v>
      </c>
      <c r="O431">
        <f>IFERROR(INDEX(Table35[#All],MATCH(Table1[[#This Row],[Key_Year_Week_Brand]],Table35[[#All],[Key_Year_Month_Brand]],0),MATCH(Table1[[#This Row],[DC_name_Xref]],Table35[#Headers],0)),0)</f>
        <v>180768.22</v>
      </c>
    </row>
    <row r="432" spans="1:15" x14ac:dyDescent="0.3">
      <c r="A432" s="19" t="str">
        <f>Table1[[#This Row],[Year_Week]]&amp;"-"&amp;Table1[[#This Row],[DC_name_Xref]]</f>
        <v>202043-EAO</v>
      </c>
      <c r="B432" s="19" t="str">
        <f>Table1[[#This Row],[Fiscal_Year]]*100+Table1[[#This Row],[Fiscal_Week]] &amp; "-" &amp;Table1[[#This Row],[BRAND]]</f>
        <v>202043-Old Navy</v>
      </c>
      <c r="C432" t="str">
        <f>Table1[[#This Row],[Fiscal_Year]]&amp;"-"&amp;Table1[[#This Row],[BRAND]]</f>
        <v>2020-Old Navy</v>
      </c>
      <c r="D432">
        <v>2020</v>
      </c>
      <c r="E432">
        <v>43</v>
      </c>
      <c r="F432" t="s">
        <v>20</v>
      </c>
      <c r="G432" t="s">
        <v>8</v>
      </c>
      <c r="H432">
        <v>4</v>
      </c>
      <c r="I432">
        <v>3009736</v>
      </c>
      <c r="J432" t="str">
        <f>VLOOKUP(H432,DC_Xref!A:B,2,FALSE)</f>
        <v>EAO</v>
      </c>
      <c r="K432">
        <f t="shared" si="6"/>
        <v>202043</v>
      </c>
      <c r="L432">
        <f>IFERROR(Table1[[#This Row],[Demand]]/SUMIFS(Table1[Demand],Table1[Fiscal_Year],Table1[[#This Row],[Fiscal_Year]],Table1[BRAND],Table1[[#This Row],[BRAND]],Table1[DC_name_Xref],Table1[[#This Row],[DC_name_Xref]]),0)</f>
        <v>0.36325834870477386</v>
      </c>
      <c r="M4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0.33239515488790422</v>
      </c>
      <c r="N432" s="3">
        <f>IFERROR(INDEX(Table3[#All],MATCH(Table1[[#This Row],[Key_Year_Week_Brand]],Table3[[#All],[Key_Year_Week_Brand]],0),MATCH(Table1[[#This Row],[DC_name_Xref]],Table3[#Headers],0)),0)</f>
        <v>0.41</v>
      </c>
      <c r="O432">
        <f>IFERROR(INDEX(Table35[#All],MATCH(Table1[[#This Row],[Key_Year_Week_Brand]],Table35[[#All],[Key_Year_Month_Brand]],0),MATCH(Table1[[#This Row],[DC_name_Xref]],Table35[#Headers],0)),0)</f>
        <v>3705748.51</v>
      </c>
    </row>
    <row r="433" spans="1:15" x14ac:dyDescent="0.3">
      <c r="A433" s="19" t="str">
        <f>Table1[[#This Row],[Year_Week]]&amp;"-"&amp;Table1[[#This Row],[DC_name_Xref]]</f>
        <v>202043-FFC-ODC</v>
      </c>
      <c r="B433" s="19" t="str">
        <f>Table1[[#This Row],[Fiscal_Year]]*100+Table1[[#This Row],[Fiscal_Week]] &amp; "-" &amp;Table1[[#This Row],[BRAND]]</f>
        <v>202043-Old Navy</v>
      </c>
      <c r="C433" t="str">
        <f>Table1[[#This Row],[Fiscal_Year]]&amp;"-"&amp;Table1[[#This Row],[BRAND]]</f>
        <v>2020-Old Navy</v>
      </c>
      <c r="D433">
        <v>2020</v>
      </c>
      <c r="E433">
        <v>43</v>
      </c>
      <c r="F433" t="s">
        <v>20</v>
      </c>
      <c r="G433" t="s">
        <v>23</v>
      </c>
      <c r="H433">
        <v>5</v>
      </c>
      <c r="I433">
        <v>0</v>
      </c>
      <c r="J433" t="str">
        <f>VLOOKUP(H433,DC_Xref!A:B,2,FALSE)</f>
        <v>FFC-ODC</v>
      </c>
      <c r="K433">
        <f t="shared" si="6"/>
        <v>202043</v>
      </c>
      <c r="L433">
        <f>IFERROR(Table1[[#This Row],[Demand]]/SUMIFS(Table1[Demand],Table1[Fiscal_Year],Table1[[#This Row],[Fiscal_Year]],Table1[BRAND],Table1[[#This Row],[BRAND]],Table1[DC_name_Xref],Table1[[#This Row],[DC_name_Xref]]),0)</f>
        <v>0</v>
      </c>
      <c r="M4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33" s="3">
        <f>IFERROR(INDEX(Table3[#All],MATCH(Table1[[#This Row],[Key_Year_Week_Brand]],Table3[[#All],[Key_Year_Week_Brand]],0),MATCH(Table1[[#This Row],[DC_name_Xref]],Table3[#Headers],0)),0)</f>
        <v>0</v>
      </c>
      <c r="O433">
        <f>IFERROR(INDEX(Table35[#All],MATCH(Table1[[#This Row],[Key_Year_Week_Brand]],Table35[[#All],[Key_Year_Month_Brand]],0),MATCH(Table1[[#This Row],[DC_name_Xref]],Table35[#Headers],0)),0)</f>
        <v>0</v>
      </c>
    </row>
    <row r="434" spans="1:15" x14ac:dyDescent="0.3">
      <c r="A434" s="19" t="str">
        <f>Table1[[#This Row],[Year_Week]]&amp;"-"&amp;Table1[[#This Row],[DC_name_Xref]]</f>
        <v>202043-WEO</v>
      </c>
      <c r="B434" s="19" t="str">
        <f>Table1[[#This Row],[Fiscal_Year]]*100+Table1[[#This Row],[Fiscal_Week]] &amp; "-" &amp;Table1[[#This Row],[BRAND]]</f>
        <v>202043-Old Navy</v>
      </c>
      <c r="C434" t="str">
        <f>Table1[[#This Row],[Fiscal_Year]]&amp;"-"&amp;Table1[[#This Row],[BRAND]]</f>
        <v>2020-Old Navy</v>
      </c>
      <c r="D434">
        <v>2020</v>
      </c>
      <c r="E434">
        <v>43</v>
      </c>
      <c r="F434" t="s">
        <v>20</v>
      </c>
      <c r="G434" t="s">
        <v>10</v>
      </c>
      <c r="H434">
        <v>6</v>
      </c>
      <c r="I434">
        <v>0</v>
      </c>
      <c r="J434" t="str">
        <f>VLOOKUP(H434,DC_Xref!A:B,2,FALSE)</f>
        <v>WEO</v>
      </c>
      <c r="K434">
        <f t="shared" si="6"/>
        <v>202043</v>
      </c>
      <c r="L434">
        <f>IFERROR(Table1[[#This Row],[Demand]]/SUMIFS(Table1[Demand],Table1[Fiscal_Year],Table1[[#This Row],[Fiscal_Year]],Table1[BRAND],Table1[[#This Row],[BRAND]],Table1[DC_name_Xref],Table1[[#This Row],[DC_name_Xref]]),0)</f>
        <v>0</v>
      </c>
      <c r="M4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34" s="3">
        <f>IFERROR(INDEX(Table3[#All],MATCH(Table1[[#This Row],[Key_Year_Week_Brand]],Table3[[#All],[Key_Year_Week_Brand]],0),MATCH(Table1[[#This Row],[DC_name_Xref]],Table3[#Headers],0)),0)</f>
        <v>0.27</v>
      </c>
      <c r="O434">
        <f>IFERROR(INDEX(Table35[#All],MATCH(Table1[[#This Row],[Key_Year_Week_Brand]],Table35[[#All],[Key_Year_Month_Brand]],0),MATCH(Table1[[#This Row],[DC_name_Xref]],Table35[#Headers],0)),0)</f>
        <v>2440370.9700000002</v>
      </c>
    </row>
    <row r="435" spans="1:15" x14ac:dyDescent="0.3">
      <c r="A435" s="19" t="str">
        <f>Table1[[#This Row],[Year_Week]]&amp;"-"&amp;Table1[[#This Row],[DC_name_Xref]]</f>
        <v>202043-OCC</v>
      </c>
      <c r="B435" s="19" t="str">
        <f>Table1[[#This Row],[Fiscal_Year]]*100+Table1[[#This Row],[Fiscal_Week]] &amp; "-" &amp;Table1[[#This Row],[BRAND]]</f>
        <v>202043-Old Navy</v>
      </c>
      <c r="C435" t="str">
        <f>Table1[[#This Row],[Fiscal_Year]]&amp;"-"&amp;Table1[[#This Row],[BRAND]]</f>
        <v>2020-Old Navy</v>
      </c>
      <c r="D435">
        <v>2020</v>
      </c>
      <c r="E435">
        <v>43</v>
      </c>
      <c r="F435" t="s">
        <v>20</v>
      </c>
      <c r="G435" t="s">
        <v>11</v>
      </c>
      <c r="H435">
        <v>7</v>
      </c>
      <c r="I435">
        <v>0</v>
      </c>
      <c r="J435" t="str">
        <f>VLOOKUP(H435,DC_Xref!A:B,2,FALSE)</f>
        <v>OCC</v>
      </c>
      <c r="K435">
        <f t="shared" si="6"/>
        <v>202043</v>
      </c>
      <c r="L435">
        <f>IFERROR(Table1[[#This Row],[Demand]]/SUMIFS(Table1[Demand],Table1[Fiscal_Year],Table1[[#This Row],[Fiscal_Year]],Table1[BRAND],Table1[[#This Row],[BRAND]],Table1[DC_name_Xref],Table1[[#This Row],[DC_name_Xref]]),0)</f>
        <v>0</v>
      </c>
      <c r="M4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35" s="3">
        <f>IFERROR(INDEX(Table3[#All],MATCH(Table1[[#This Row],[Key_Year_Week_Brand]],Table3[[#All],[Key_Year_Week_Brand]],0),MATCH(Table1[[#This Row],[DC_name_Xref]],Table3[#Headers],0)),0)</f>
        <v>0</v>
      </c>
      <c r="O435">
        <f>IFERROR(INDEX(Table35[#All],MATCH(Table1[[#This Row],[Key_Year_Week_Brand]],Table35[[#All],[Key_Year_Month_Brand]],0),MATCH(Table1[[#This Row],[DC_name_Xref]],Table35[#Headers],0)),0)</f>
        <v>0</v>
      </c>
    </row>
    <row r="436" spans="1:15" x14ac:dyDescent="0.3">
      <c r="A436" s="19" t="str">
        <f>Table1[[#This Row],[Year_Week]]&amp;"-"&amp;Table1[[#This Row],[DC_name_Xref]]</f>
        <v>202043-OFC</v>
      </c>
      <c r="B436" s="19" t="str">
        <f>Table1[[#This Row],[Fiscal_Year]]*100+Table1[[#This Row],[Fiscal_Week]] &amp; "-" &amp;Table1[[#This Row],[BRAND]]</f>
        <v>202043-Gap</v>
      </c>
      <c r="C436" t="str">
        <f>Table1[[#This Row],[Fiscal_Year]]&amp;"-"&amp;Table1[[#This Row],[BRAND]]</f>
        <v>2020-Gap</v>
      </c>
      <c r="D436">
        <v>2020</v>
      </c>
      <c r="E436">
        <v>43</v>
      </c>
      <c r="F436" t="s">
        <v>16</v>
      </c>
      <c r="G436" t="s">
        <v>5</v>
      </c>
      <c r="H436">
        <v>1</v>
      </c>
      <c r="I436">
        <v>3177140</v>
      </c>
      <c r="J436" t="str">
        <f>VLOOKUP(H436,DC_Xref!A:B,2,FALSE)</f>
        <v>OFC</v>
      </c>
      <c r="K436">
        <f t="shared" si="6"/>
        <v>202043</v>
      </c>
      <c r="L436">
        <f>IFERROR(Table1[[#This Row],[Demand]]/SUMIFS(Table1[Demand],Table1[Fiscal_Year],Table1[[#This Row],[Fiscal_Year]],Table1[BRAND],Table1[[#This Row],[BRAND]],Table1[DC_name_Xref],Table1[[#This Row],[DC_name_Xref]]),0)</f>
        <v>0.40459952206638478</v>
      </c>
      <c r="M4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0.66900241512227088</v>
      </c>
      <c r="N436" s="3">
        <f>IFERROR(INDEX(Table3[#All],MATCH(Table1[[#This Row],[Key_Year_Week_Brand]],Table3[[#All],[Key_Year_Week_Brand]],0),MATCH(Table1[[#This Row],[DC_name_Xref]],Table3[#Headers],0)),0)</f>
        <v>0.25</v>
      </c>
      <c r="O436">
        <f>IFERROR(INDEX(Table35[#All],MATCH(Table1[[#This Row],[Key_Year_Week_Brand]],Table35[[#All],[Key_Year_Month_Brand]],0),MATCH(Table1[[#This Row],[DC_name_Xref]],Table35[#Headers],0)),0)</f>
        <v>1234402.75</v>
      </c>
    </row>
    <row r="437" spans="1:15" x14ac:dyDescent="0.3">
      <c r="A437" s="19" t="str">
        <f>Table1[[#This Row],[Year_Week]]&amp;"-"&amp;Table1[[#This Row],[DC_name_Xref]]</f>
        <v>202043-TFC</v>
      </c>
      <c r="B437" s="19" t="str">
        <f>Table1[[#This Row],[Fiscal_Year]]*100+Table1[[#This Row],[Fiscal_Week]] &amp; "-" &amp;Table1[[#This Row],[BRAND]]</f>
        <v>202043-Gap</v>
      </c>
      <c r="C437" t="str">
        <f>Table1[[#This Row],[Fiscal_Year]]&amp;"-"&amp;Table1[[#This Row],[BRAND]]</f>
        <v>2020-Gap</v>
      </c>
      <c r="D437">
        <v>2020</v>
      </c>
      <c r="E437">
        <v>43</v>
      </c>
      <c r="F437" t="s">
        <v>16</v>
      </c>
      <c r="G437" t="s">
        <v>21</v>
      </c>
      <c r="H437">
        <v>2</v>
      </c>
      <c r="I437">
        <v>234</v>
      </c>
      <c r="J437" t="str">
        <f>VLOOKUP(H437,DC_Xref!A:B,2,FALSE)</f>
        <v>TFC</v>
      </c>
      <c r="K437">
        <f t="shared" si="6"/>
        <v>202043</v>
      </c>
      <c r="L437">
        <f>IFERROR(Table1[[#This Row],[Demand]]/SUMIFS(Table1[Demand],Table1[Fiscal_Year],Table1[[#This Row],[Fiscal_Year]],Table1[BRAND],Table1[[#This Row],[BRAND]],Table1[DC_name_Xref],Table1[[#This Row],[DC_name_Xref]]),0)</f>
        <v>0.16560509554140126</v>
      </c>
      <c r="M4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1.2038125330771561E-4</v>
      </c>
      <c r="N437" s="3">
        <f>IFERROR(INDEX(Table3[#All],MATCH(Table1[[#This Row],[Key_Year_Week_Brand]],Table3[[#All],[Key_Year_Week_Brand]],0),MATCH(Table1[[#This Row],[DC_name_Xref]],Table3[#Headers],0)),0)</f>
        <v>0.2</v>
      </c>
      <c r="O437">
        <f>IFERROR(INDEX(Table35[#All],MATCH(Table1[[#This Row],[Key_Year_Week_Brand]],Table35[[#All],[Key_Year_Month_Brand]],0),MATCH(Table1[[#This Row],[DC_name_Xref]],Table35[#Headers],0)),0)</f>
        <v>987522.20000000007</v>
      </c>
    </row>
    <row r="438" spans="1:15" x14ac:dyDescent="0.3">
      <c r="A438" s="19" t="str">
        <f>Table1[[#This Row],[Year_Week]]&amp;"-"&amp;Table1[[#This Row],[DC_name_Xref]]</f>
        <v>202043-WFC</v>
      </c>
      <c r="B438" s="19" t="str">
        <f>Table1[[#This Row],[Fiscal_Year]]*100+Table1[[#This Row],[Fiscal_Week]] &amp; "-" &amp;Table1[[#This Row],[BRAND]]</f>
        <v>202043-Gap</v>
      </c>
      <c r="C438" t="str">
        <f>Table1[[#This Row],[Fiscal_Year]]&amp;"-"&amp;Table1[[#This Row],[BRAND]]</f>
        <v>2020-Gap</v>
      </c>
      <c r="D438">
        <v>2020</v>
      </c>
      <c r="E438">
        <v>43</v>
      </c>
      <c r="F438" t="s">
        <v>16</v>
      </c>
      <c r="G438" t="s">
        <v>7</v>
      </c>
      <c r="H438">
        <v>3</v>
      </c>
      <c r="I438">
        <v>119501</v>
      </c>
      <c r="J438" t="str">
        <f>VLOOKUP(H438,DC_Xref!A:B,2,FALSE)</f>
        <v>WFC</v>
      </c>
      <c r="K438">
        <f t="shared" si="6"/>
        <v>202043</v>
      </c>
      <c r="L438">
        <f>IFERROR(Table1[[#This Row],[Demand]]/SUMIFS(Table1[Demand],Table1[Fiscal_Year],Table1[[#This Row],[Fiscal_Year]],Table1[BRAND],Table1[[#This Row],[BRAND]],Table1[DC_name_Xref],Table1[[#This Row],[DC_name_Xref]]),0)</f>
        <v>0.42741055748892137</v>
      </c>
      <c r="M4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2.3820067767915166E-2</v>
      </c>
      <c r="N438" s="3">
        <f>IFERROR(INDEX(Table3[#All],MATCH(Table1[[#This Row],[Key_Year_Week_Brand]],Table3[[#All],[Key_Year_Week_Brand]],0),MATCH(Table1[[#This Row],[DC_name_Xref]],Table3[#Headers],0)),0)</f>
        <v>0.15</v>
      </c>
      <c r="O438">
        <f>IFERROR(INDEX(Table35[#All],MATCH(Table1[[#This Row],[Key_Year_Week_Brand]],Table35[[#All],[Key_Year_Month_Brand]],0),MATCH(Table1[[#This Row],[DC_name_Xref]],Table35[#Headers],0)),0)</f>
        <v>740641.65</v>
      </c>
    </row>
    <row r="439" spans="1:15" x14ac:dyDescent="0.3">
      <c r="A439" s="19" t="str">
        <f>Table1[[#This Row],[Year_Week]]&amp;"-"&amp;Table1[[#This Row],[DC_name_Xref]]</f>
        <v>202043-EAO</v>
      </c>
      <c r="B439" s="19" t="str">
        <f>Table1[[#This Row],[Fiscal_Year]]*100+Table1[[#This Row],[Fiscal_Week]] &amp; "-" &amp;Table1[[#This Row],[BRAND]]</f>
        <v>202043-Gap</v>
      </c>
      <c r="C439" t="str">
        <f>Table1[[#This Row],[Fiscal_Year]]&amp;"-"&amp;Table1[[#This Row],[BRAND]]</f>
        <v>2020-Gap</v>
      </c>
      <c r="D439">
        <v>2020</v>
      </c>
      <c r="E439">
        <v>43</v>
      </c>
      <c r="F439" t="s">
        <v>16</v>
      </c>
      <c r="G439" t="s">
        <v>8</v>
      </c>
      <c r="H439">
        <v>4</v>
      </c>
      <c r="I439">
        <v>564</v>
      </c>
      <c r="J439" t="str">
        <f>VLOOKUP(H439,DC_Xref!A:B,2,FALSE)</f>
        <v>EAO</v>
      </c>
      <c r="K439">
        <f t="shared" si="6"/>
        <v>202043</v>
      </c>
      <c r="L439">
        <f>IFERROR(Table1[[#This Row],[Demand]]/SUMIFS(Table1[Demand],Table1[Fiscal_Year],Table1[[#This Row],[Fiscal_Year]],Table1[BRAND],Table1[[#This Row],[BRAND]],Table1[DC_name_Xref],Table1[[#This Row],[DC_name_Xref]]),0)</f>
        <v>0.4</v>
      </c>
      <c r="M4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1.2012566678264615E-4</v>
      </c>
      <c r="N439" s="3">
        <f>IFERROR(INDEX(Table3[#All],MATCH(Table1[[#This Row],[Key_Year_Week_Brand]],Table3[[#All],[Key_Year_Week_Brand]],0),MATCH(Table1[[#This Row],[DC_name_Xref]],Table3[#Headers],0)),0)</f>
        <v>0</v>
      </c>
      <c r="O439">
        <f>IFERROR(INDEX(Table35[#All],MATCH(Table1[[#This Row],[Key_Year_Week_Brand]],Table35[[#All],[Key_Year_Month_Brand]],0),MATCH(Table1[[#This Row],[DC_name_Xref]],Table35[#Headers],0)),0)</f>
        <v>0</v>
      </c>
    </row>
    <row r="440" spans="1:15" x14ac:dyDescent="0.3">
      <c r="A440" s="19" t="str">
        <f>Table1[[#This Row],[Year_Week]]&amp;"-"&amp;Table1[[#This Row],[DC_name_Xref]]</f>
        <v>202043-FFC-ODC</v>
      </c>
      <c r="B440" s="19" t="str">
        <f>Table1[[#This Row],[Fiscal_Year]]*100+Table1[[#This Row],[Fiscal_Week]] &amp; "-" &amp;Table1[[#This Row],[BRAND]]</f>
        <v>202043-Gap</v>
      </c>
      <c r="C440" t="str">
        <f>Table1[[#This Row],[Fiscal_Year]]&amp;"-"&amp;Table1[[#This Row],[BRAND]]</f>
        <v>2020-Gap</v>
      </c>
      <c r="D440">
        <v>2020</v>
      </c>
      <c r="E440">
        <v>43</v>
      </c>
      <c r="F440" t="s">
        <v>16</v>
      </c>
      <c r="G440" t="s">
        <v>23</v>
      </c>
      <c r="H440">
        <v>5</v>
      </c>
      <c r="I440">
        <v>0</v>
      </c>
      <c r="J440" t="str">
        <f>VLOOKUP(H440,DC_Xref!A:B,2,FALSE)</f>
        <v>FFC-ODC</v>
      </c>
      <c r="K440">
        <f t="shared" si="6"/>
        <v>202043</v>
      </c>
      <c r="L440">
        <f>IFERROR(Table1[[#This Row],[Demand]]/SUMIFS(Table1[Demand],Table1[Fiscal_Year],Table1[[#This Row],[Fiscal_Year]],Table1[BRAND],Table1[[#This Row],[BRAND]],Table1[DC_name_Xref],Table1[[#This Row],[DC_name_Xref]]),0)</f>
        <v>0</v>
      </c>
      <c r="M4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0" s="3">
        <f>IFERROR(INDEX(Table3[#All],MATCH(Table1[[#This Row],[Key_Year_Week_Brand]],Table3[[#All],[Key_Year_Week_Brand]],0),MATCH(Table1[[#This Row],[DC_name_Xref]],Table3[#Headers],0)),0)</f>
        <v>0</v>
      </c>
      <c r="O440">
        <f>IFERROR(INDEX(Table35[#All],MATCH(Table1[[#This Row],[Key_Year_Week_Brand]],Table35[[#All],[Key_Year_Month_Brand]],0),MATCH(Table1[[#This Row],[DC_name_Xref]],Table35[#Headers],0)),0)</f>
        <v>0</v>
      </c>
    </row>
    <row r="441" spans="1:15" x14ac:dyDescent="0.3">
      <c r="A441" s="19" t="str">
        <f>Table1[[#This Row],[Year_Week]]&amp;"-"&amp;Table1[[#This Row],[DC_name_Xref]]</f>
        <v>202043-WEO</v>
      </c>
      <c r="B441" s="19" t="str">
        <f>Table1[[#This Row],[Fiscal_Year]]*100+Table1[[#This Row],[Fiscal_Week]] &amp; "-" &amp;Table1[[#This Row],[BRAND]]</f>
        <v>202043-Gap</v>
      </c>
      <c r="C441" t="str">
        <f>Table1[[#This Row],[Fiscal_Year]]&amp;"-"&amp;Table1[[#This Row],[BRAND]]</f>
        <v>2020-Gap</v>
      </c>
      <c r="D441">
        <v>2020</v>
      </c>
      <c r="E441">
        <v>43</v>
      </c>
      <c r="F441" t="s">
        <v>16</v>
      </c>
      <c r="G441" t="s">
        <v>10</v>
      </c>
      <c r="H441">
        <v>6</v>
      </c>
      <c r="I441">
        <v>1640172</v>
      </c>
      <c r="J441" t="str">
        <f>VLOOKUP(H441,DC_Xref!A:B,2,FALSE)</f>
        <v>WEO</v>
      </c>
      <c r="K441">
        <f t="shared" si="6"/>
        <v>202043</v>
      </c>
      <c r="L441">
        <f>IFERROR(Table1[[#This Row],[Demand]]/SUMIFS(Table1[Demand],Table1[Fiscal_Year],Table1[[#This Row],[Fiscal_Year]],Table1[BRAND],Table1[[#This Row],[BRAND]],Table1[DC_name_Xref],Table1[[#This Row],[DC_name_Xref]]),0)</f>
        <v>0.45525721139233866</v>
      </c>
      <c r="M4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0.30693701018972358</v>
      </c>
      <c r="N441" s="3">
        <f>IFERROR(INDEX(Table3[#All],MATCH(Table1[[#This Row],[Key_Year_Week_Brand]],Table3[[#All],[Key_Year_Week_Brand]],0),MATCH(Table1[[#This Row],[DC_name_Xref]],Table3[#Headers],0)),0)</f>
        <v>0.4</v>
      </c>
      <c r="O441">
        <f>IFERROR(INDEX(Table35[#All],MATCH(Table1[[#This Row],[Key_Year_Week_Brand]],Table35[[#All],[Key_Year_Month_Brand]],0),MATCH(Table1[[#This Row],[DC_name_Xref]],Table35[#Headers],0)),0)</f>
        <v>1975044.4000000001</v>
      </c>
    </row>
    <row r="442" spans="1:15" x14ac:dyDescent="0.3">
      <c r="A442" s="19" t="str">
        <f>Table1[[#This Row],[Year_Week]]&amp;"-"&amp;Table1[[#This Row],[DC_name_Xref]]</f>
        <v>202043-OCC</v>
      </c>
      <c r="B442" s="19" t="str">
        <f>Table1[[#This Row],[Fiscal_Year]]*100+Table1[[#This Row],[Fiscal_Week]] &amp; "-" &amp;Table1[[#This Row],[BRAND]]</f>
        <v>202043-Gap</v>
      </c>
      <c r="C442" t="str">
        <f>Table1[[#This Row],[Fiscal_Year]]&amp;"-"&amp;Table1[[#This Row],[BRAND]]</f>
        <v>2020-Gap</v>
      </c>
      <c r="D442">
        <v>2020</v>
      </c>
      <c r="E442">
        <v>43</v>
      </c>
      <c r="F442" t="s">
        <v>16</v>
      </c>
      <c r="G442" t="s">
        <v>11</v>
      </c>
      <c r="H442">
        <v>7</v>
      </c>
      <c r="I442">
        <v>0</v>
      </c>
      <c r="J442" t="str">
        <f>VLOOKUP(H442,DC_Xref!A:B,2,FALSE)</f>
        <v>OCC</v>
      </c>
      <c r="K442">
        <f t="shared" si="6"/>
        <v>202043</v>
      </c>
      <c r="L442">
        <f>IFERROR(Table1[[#This Row],[Demand]]/SUMIFS(Table1[Demand],Table1[Fiscal_Year],Table1[[#This Row],[Fiscal_Year]],Table1[BRAND],Table1[[#This Row],[BRAND]],Table1[DC_name_Xref],Table1[[#This Row],[DC_name_Xref]]),0)</f>
        <v>0</v>
      </c>
      <c r="M4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2" s="3">
        <f>IFERROR(INDEX(Table3[#All],MATCH(Table1[[#This Row],[Key_Year_Week_Brand]],Table3[[#All],[Key_Year_Week_Brand]],0),MATCH(Table1[[#This Row],[DC_name_Xref]],Table3[#Headers],0)),0)</f>
        <v>0</v>
      </c>
      <c r="O442">
        <f>IFERROR(INDEX(Table35[#All],MATCH(Table1[[#This Row],[Key_Year_Week_Brand]],Table35[[#All],[Key_Year_Month_Brand]],0),MATCH(Table1[[#This Row],[DC_name_Xref]],Table35[#Headers],0)),0)</f>
        <v>0</v>
      </c>
    </row>
    <row r="443" spans="1:15" x14ac:dyDescent="0.3">
      <c r="A443" s="19" t="str">
        <f>Table1[[#This Row],[Year_Week]]&amp;"-"&amp;Table1[[#This Row],[DC_name_Xref]]</f>
        <v>202043-OFC</v>
      </c>
      <c r="B443" s="19" t="str">
        <f>Table1[[#This Row],[Fiscal_Year]]*100+Table1[[#This Row],[Fiscal_Week]] &amp; "-" &amp;Table1[[#This Row],[BRAND]]</f>
        <v>202043-BR Factory Store</v>
      </c>
      <c r="C443" t="str">
        <f>Table1[[#This Row],[Fiscal_Year]]&amp;"-"&amp;Table1[[#This Row],[BRAND]]</f>
        <v>2020-BR Factory Store</v>
      </c>
      <c r="D443">
        <v>2020</v>
      </c>
      <c r="E443">
        <v>43</v>
      </c>
      <c r="F443" t="s">
        <v>17</v>
      </c>
      <c r="G443" t="s">
        <v>5</v>
      </c>
      <c r="H443">
        <v>1</v>
      </c>
      <c r="I443">
        <v>615765</v>
      </c>
      <c r="J443" t="str">
        <f>VLOOKUP(H443,DC_Xref!A:B,2,FALSE)</f>
        <v>OFC</v>
      </c>
      <c r="K443">
        <f t="shared" si="6"/>
        <v>202043</v>
      </c>
      <c r="L443">
        <f>IFERROR(Table1[[#This Row],[Demand]]/SUMIFS(Table1[Demand],Table1[Fiscal_Year],Table1[[#This Row],[Fiscal_Year]],Table1[BRAND],Table1[[#This Row],[BRAND]],Table1[DC_name_Xref],Table1[[#This Row],[DC_name_Xref]]),0)</f>
        <v>0.44263815257435529</v>
      </c>
      <c r="M4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443" s="3">
        <f>IFERROR(INDEX(Table3[#All],MATCH(Table1[[#This Row],[Key_Year_Week_Brand]],Table3[[#All],[Key_Year_Week_Brand]],0),MATCH(Table1[[#This Row],[DC_name_Xref]],Table3[#Headers],0)),0)</f>
        <v>1</v>
      </c>
      <c r="O443">
        <f>IFERROR(INDEX(Table35[#All],MATCH(Table1[[#This Row],[Key_Year_Week_Brand]],Table35[[#All],[Key_Year_Month_Brand]],0),MATCH(Table1[[#This Row],[DC_name_Xref]],Table35[#Headers],0)),0)</f>
        <v>615765</v>
      </c>
    </row>
    <row r="444" spans="1:15" x14ac:dyDescent="0.3">
      <c r="A444" s="19" t="str">
        <f>Table1[[#This Row],[Year_Week]]&amp;"-"&amp;Table1[[#This Row],[DC_name_Xref]]</f>
        <v>202043-TFC</v>
      </c>
      <c r="B444" s="19" t="str">
        <f>Table1[[#This Row],[Fiscal_Year]]*100+Table1[[#This Row],[Fiscal_Week]] &amp; "-" &amp;Table1[[#This Row],[BRAND]]</f>
        <v>202043-BR Factory Store</v>
      </c>
      <c r="C444" t="str">
        <f>Table1[[#This Row],[Fiscal_Year]]&amp;"-"&amp;Table1[[#This Row],[BRAND]]</f>
        <v>2020-BR Factory Store</v>
      </c>
      <c r="D444">
        <v>2020</v>
      </c>
      <c r="E444">
        <v>43</v>
      </c>
      <c r="F444" t="s">
        <v>17</v>
      </c>
      <c r="G444" t="s">
        <v>21</v>
      </c>
      <c r="H444">
        <v>2</v>
      </c>
      <c r="I444">
        <v>0</v>
      </c>
      <c r="J444" t="str">
        <f>VLOOKUP(H444,DC_Xref!A:B,2,FALSE)</f>
        <v>TFC</v>
      </c>
      <c r="K444">
        <f t="shared" si="6"/>
        <v>202043</v>
      </c>
      <c r="L444">
        <f>IFERROR(Table1[[#This Row],[Demand]]/SUMIFS(Table1[Demand],Table1[Fiscal_Year],Table1[[#This Row],[Fiscal_Year]],Table1[BRAND],Table1[[#This Row],[BRAND]],Table1[DC_name_Xref],Table1[[#This Row],[DC_name_Xref]]),0)</f>
        <v>0</v>
      </c>
      <c r="M4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4" s="3">
        <f>IFERROR(INDEX(Table3[#All],MATCH(Table1[[#This Row],[Key_Year_Week_Brand]],Table3[[#All],[Key_Year_Week_Brand]],0),MATCH(Table1[[#This Row],[DC_name_Xref]],Table3[#Headers],0)),0)</f>
        <v>0</v>
      </c>
      <c r="O444">
        <f>IFERROR(INDEX(Table35[#All],MATCH(Table1[[#This Row],[Key_Year_Week_Brand]],Table35[[#All],[Key_Year_Month_Brand]],0),MATCH(Table1[[#This Row],[DC_name_Xref]],Table35[#Headers],0)),0)</f>
        <v>0</v>
      </c>
    </row>
    <row r="445" spans="1:15" x14ac:dyDescent="0.3">
      <c r="A445" s="19" t="str">
        <f>Table1[[#This Row],[Year_Week]]&amp;"-"&amp;Table1[[#This Row],[DC_name_Xref]]</f>
        <v>202043-WFC</v>
      </c>
      <c r="B445" s="19" t="str">
        <f>Table1[[#This Row],[Fiscal_Year]]*100+Table1[[#This Row],[Fiscal_Week]] &amp; "-" &amp;Table1[[#This Row],[BRAND]]</f>
        <v>202043-BR Factory Store</v>
      </c>
      <c r="C445" t="str">
        <f>Table1[[#This Row],[Fiscal_Year]]&amp;"-"&amp;Table1[[#This Row],[BRAND]]</f>
        <v>2020-BR Factory Store</v>
      </c>
      <c r="D445">
        <v>2020</v>
      </c>
      <c r="E445">
        <v>43</v>
      </c>
      <c r="F445" t="s">
        <v>17</v>
      </c>
      <c r="G445" t="s">
        <v>7</v>
      </c>
      <c r="H445">
        <v>3</v>
      </c>
      <c r="I445">
        <v>0</v>
      </c>
      <c r="J445" t="str">
        <f>VLOOKUP(H445,DC_Xref!A:B,2,FALSE)</f>
        <v>WFC</v>
      </c>
      <c r="K445">
        <f t="shared" si="6"/>
        <v>202043</v>
      </c>
      <c r="L445">
        <f>IFERROR(Table1[[#This Row],[Demand]]/SUMIFS(Table1[Demand],Table1[Fiscal_Year],Table1[[#This Row],[Fiscal_Year]],Table1[BRAND],Table1[[#This Row],[BRAND]],Table1[DC_name_Xref],Table1[[#This Row],[DC_name_Xref]]),0)</f>
        <v>0</v>
      </c>
      <c r="M4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5" s="3">
        <f>IFERROR(INDEX(Table3[#All],MATCH(Table1[[#This Row],[Key_Year_Week_Brand]],Table3[[#All],[Key_Year_Week_Brand]],0),MATCH(Table1[[#This Row],[DC_name_Xref]],Table3[#Headers],0)),0)</f>
        <v>0</v>
      </c>
      <c r="O445">
        <f>IFERROR(INDEX(Table35[#All],MATCH(Table1[[#This Row],[Key_Year_Week_Brand]],Table35[[#All],[Key_Year_Month_Brand]],0),MATCH(Table1[[#This Row],[DC_name_Xref]],Table35[#Headers],0)),0)</f>
        <v>0</v>
      </c>
    </row>
    <row r="446" spans="1:15" x14ac:dyDescent="0.3">
      <c r="A446" s="19" t="str">
        <f>Table1[[#This Row],[Year_Week]]&amp;"-"&amp;Table1[[#This Row],[DC_name_Xref]]</f>
        <v>202043-EAO</v>
      </c>
      <c r="B446" s="19" t="str">
        <f>Table1[[#This Row],[Fiscal_Year]]*100+Table1[[#This Row],[Fiscal_Week]] &amp; "-" &amp;Table1[[#This Row],[BRAND]]</f>
        <v>202043-BR Factory Store</v>
      </c>
      <c r="C446" t="str">
        <f>Table1[[#This Row],[Fiscal_Year]]&amp;"-"&amp;Table1[[#This Row],[BRAND]]</f>
        <v>2020-BR Factory Store</v>
      </c>
      <c r="D446">
        <v>2020</v>
      </c>
      <c r="E446">
        <v>43</v>
      </c>
      <c r="F446" t="s">
        <v>17</v>
      </c>
      <c r="G446" t="s">
        <v>8</v>
      </c>
      <c r="H446">
        <v>4</v>
      </c>
      <c r="I446">
        <v>0</v>
      </c>
      <c r="J446" t="str">
        <f>VLOOKUP(H446,DC_Xref!A:B,2,FALSE)</f>
        <v>EAO</v>
      </c>
      <c r="K446">
        <f t="shared" si="6"/>
        <v>202043</v>
      </c>
      <c r="L446">
        <f>IFERROR(Table1[[#This Row],[Demand]]/SUMIFS(Table1[Demand],Table1[Fiscal_Year],Table1[[#This Row],[Fiscal_Year]],Table1[BRAND],Table1[[#This Row],[BRAND]],Table1[DC_name_Xref],Table1[[#This Row],[DC_name_Xref]]),0)</f>
        <v>0</v>
      </c>
      <c r="M4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6" s="3">
        <f>IFERROR(INDEX(Table3[#All],MATCH(Table1[[#This Row],[Key_Year_Week_Brand]],Table3[[#All],[Key_Year_Week_Brand]],0),MATCH(Table1[[#This Row],[DC_name_Xref]],Table3[#Headers],0)),0)</f>
        <v>0</v>
      </c>
      <c r="O446">
        <f>IFERROR(INDEX(Table35[#All],MATCH(Table1[[#This Row],[Key_Year_Week_Brand]],Table35[[#All],[Key_Year_Month_Brand]],0),MATCH(Table1[[#This Row],[DC_name_Xref]],Table35[#Headers],0)),0)</f>
        <v>0</v>
      </c>
    </row>
    <row r="447" spans="1:15" x14ac:dyDescent="0.3">
      <c r="A447" s="19" t="str">
        <f>Table1[[#This Row],[Year_Week]]&amp;"-"&amp;Table1[[#This Row],[DC_name_Xref]]</f>
        <v>202043-FFC-ODC</v>
      </c>
      <c r="B447" s="19" t="str">
        <f>Table1[[#This Row],[Fiscal_Year]]*100+Table1[[#This Row],[Fiscal_Week]] &amp; "-" &amp;Table1[[#This Row],[BRAND]]</f>
        <v>202043-BR Factory Store</v>
      </c>
      <c r="C447" t="str">
        <f>Table1[[#This Row],[Fiscal_Year]]&amp;"-"&amp;Table1[[#This Row],[BRAND]]</f>
        <v>2020-BR Factory Store</v>
      </c>
      <c r="D447">
        <v>2020</v>
      </c>
      <c r="E447">
        <v>43</v>
      </c>
      <c r="F447" t="s">
        <v>17</v>
      </c>
      <c r="G447" t="s">
        <v>23</v>
      </c>
      <c r="H447">
        <v>5</v>
      </c>
      <c r="I447">
        <v>0</v>
      </c>
      <c r="J447" t="str">
        <f>VLOOKUP(H447,DC_Xref!A:B,2,FALSE)</f>
        <v>FFC-ODC</v>
      </c>
      <c r="K447">
        <f t="shared" si="6"/>
        <v>202043</v>
      </c>
      <c r="L447">
        <f>IFERROR(Table1[[#This Row],[Demand]]/SUMIFS(Table1[Demand],Table1[Fiscal_Year],Table1[[#This Row],[Fiscal_Year]],Table1[BRAND],Table1[[#This Row],[BRAND]],Table1[DC_name_Xref],Table1[[#This Row],[DC_name_Xref]]),0)</f>
        <v>0</v>
      </c>
      <c r="M4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7" s="3">
        <f>IFERROR(INDEX(Table3[#All],MATCH(Table1[[#This Row],[Key_Year_Week_Brand]],Table3[[#All],[Key_Year_Week_Brand]],0),MATCH(Table1[[#This Row],[DC_name_Xref]],Table3[#Headers],0)),0)</f>
        <v>0</v>
      </c>
      <c r="O447">
        <f>IFERROR(INDEX(Table35[#All],MATCH(Table1[[#This Row],[Key_Year_Week_Brand]],Table35[[#All],[Key_Year_Month_Brand]],0),MATCH(Table1[[#This Row],[DC_name_Xref]],Table35[#Headers],0)),0)</f>
        <v>0</v>
      </c>
    </row>
    <row r="448" spans="1:15" x14ac:dyDescent="0.3">
      <c r="A448" s="19" t="str">
        <f>Table1[[#This Row],[Year_Week]]&amp;"-"&amp;Table1[[#This Row],[DC_name_Xref]]</f>
        <v>202043-WEO</v>
      </c>
      <c r="B448" s="19" t="str">
        <f>Table1[[#This Row],[Fiscal_Year]]*100+Table1[[#This Row],[Fiscal_Week]] &amp; "-" &amp;Table1[[#This Row],[BRAND]]</f>
        <v>202043-BR Factory Store</v>
      </c>
      <c r="C448" t="str">
        <f>Table1[[#This Row],[Fiscal_Year]]&amp;"-"&amp;Table1[[#This Row],[BRAND]]</f>
        <v>2020-BR Factory Store</v>
      </c>
      <c r="D448">
        <v>2020</v>
      </c>
      <c r="E448">
        <v>43</v>
      </c>
      <c r="F448" t="s">
        <v>17</v>
      </c>
      <c r="G448" t="s">
        <v>10</v>
      </c>
      <c r="H448">
        <v>6</v>
      </c>
      <c r="I448">
        <v>0</v>
      </c>
      <c r="J448" t="str">
        <f>VLOOKUP(H448,DC_Xref!A:B,2,FALSE)</f>
        <v>WEO</v>
      </c>
      <c r="K448">
        <f t="shared" si="6"/>
        <v>202043</v>
      </c>
      <c r="L448">
        <f>IFERROR(Table1[[#This Row],[Demand]]/SUMIFS(Table1[Demand],Table1[Fiscal_Year],Table1[[#This Row],[Fiscal_Year]],Table1[BRAND],Table1[[#This Row],[BRAND]],Table1[DC_name_Xref],Table1[[#This Row],[DC_name_Xref]]),0)</f>
        <v>0</v>
      </c>
      <c r="M4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8" s="3">
        <f>IFERROR(INDEX(Table3[#All],MATCH(Table1[[#This Row],[Key_Year_Week_Brand]],Table3[[#All],[Key_Year_Week_Brand]],0),MATCH(Table1[[#This Row],[DC_name_Xref]],Table3[#Headers],0)),0)</f>
        <v>0</v>
      </c>
      <c r="O448">
        <f>IFERROR(INDEX(Table35[#All],MATCH(Table1[[#This Row],[Key_Year_Week_Brand]],Table35[[#All],[Key_Year_Month_Brand]],0),MATCH(Table1[[#This Row],[DC_name_Xref]],Table35[#Headers],0)),0)</f>
        <v>0</v>
      </c>
    </row>
    <row r="449" spans="1:15" x14ac:dyDescent="0.3">
      <c r="A449" s="19" t="str">
        <f>Table1[[#This Row],[Year_Week]]&amp;"-"&amp;Table1[[#This Row],[DC_name_Xref]]</f>
        <v>202043-OCC</v>
      </c>
      <c r="B449" s="19" t="str">
        <f>Table1[[#This Row],[Fiscal_Year]]*100+Table1[[#This Row],[Fiscal_Week]] &amp; "-" &amp;Table1[[#This Row],[BRAND]]</f>
        <v>202043-BR Factory Store</v>
      </c>
      <c r="C449" t="str">
        <f>Table1[[#This Row],[Fiscal_Year]]&amp;"-"&amp;Table1[[#This Row],[BRAND]]</f>
        <v>2020-BR Factory Store</v>
      </c>
      <c r="D449">
        <v>2020</v>
      </c>
      <c r="E449">
        <v>43</v>
      </c>
      <c r="F449" t="s">
        <v>17</v>
      </c>
      <c r="G449" t="s">
        <v>11</v>
      </c>
      <c r="H449">
        <v>7</v>
      </c>
      <c r="I449">
        <v>0</v>
      </c>
      <c r="J449" t="str">
        <f>VLOOKUP(H449,DC_Xref!A:B,2,FALSE)</f>
        <v>OCC</v>
      </c>
      <c r="K449">
        <f t="shared" si="6"/>
        <v>202043</v>
      </c>
      <c r="L449">
        <f>IFERROR(Table1[[#This Row],[Demand]]/SUMIFS(Table1[Demand],Table1[Fiscal_Year],Table1[[#This Row],[Fiscal_Year]],Table1[BRAND],Table1[[#This Row],[BRAND]],Table1[DC_name_Xref],Table1[[#This Row],[DC_name_Xref]]),0)</f>
        <v>0</v>
      </c>
      <c r="M4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49" s="3">
        <f>IFERROR(INDEX(Table3[#All],MATCH(Table1[[#This Row],[Key_Year_Week_Brand]],Table3[[#All],[Key_Year_Week_Brand]],0),MATCH(Table1[[#This Row],[DC_name_Xref]],Table3[#Headers],0)),0)</f>
        <v>0</v>
      </c>
      <c r="O449">
        <f>IFERROR(INDEX(Table35[#All],MATCH(Table1[[#This Row],[Key_Year_Week_Brand]],Table35[[#All],[Key_Year_Month_Brand]],0),MATCH(Table1[[#This Row],[DC_name_Xref]],Table35[#Headers],0)),0)</f>
        <v>0</v>
      </c>
    </row>
    <row r="450" spans="1:15" x14ac:dyDescent="0.3">
      <c r="A450" s="19" t="str">
        <f>Table1[[#This Row],[Year_Week]]&amp;"-"&amp;Table1[[#This Row],[DC_name_Xref]]</f>
        <v>202043-OFC</v>
      </c>
      <c r="B450" s="19" t="str">
        <f>Table1[[#This Row],[Fiscal_Year]]*100+Table1[[#This Row],[Fiscal_Week]] &amp; "-" &amp;Table1[[#This Row],[BRAND]]</f>
        <v>202043-Gap Factory Store</v>
      </c>
      <c r="C450" t="str">
        <f>Table1[[#This Row],[Fiscal_Year]]&amp;"-"&amp;Table1[[#This Row],[BRAND]]</f>
        <v>2020-Gap Factory Store</v>
      </c>
      <c r="D450">
        <v>2020</v>
      </c>
      <c r="E450">
        <v>43</v>
      </c>
      <c r="F450" t="s">
        <v>22</v>
      </c>
      <c r="G450" t="s">
        <v>5</v>
      </c>
      <c r="H450">
        <v>1</v>
      </c>
      <c r="I450">
        <v>1521166</v>
      </c>
      <c r="J450" t="str">
        <f>VLOOKUP(H450,DC_Xref!A:B,2,FALSE)</f>
        <v>OFC</v>
      </c>
      <c r="K450">
        <f t="shared" ref="K450:K513" si="7">D450*100+E450</f>
        <v>202043</v>
      </c>
      <c r="L450">
        <f>IFERROR(Table1[[#This Row],[Demand]]/SUMIFS(Table1[Demand],Table1[Fiscal_Year],Table1[[#This Row],[Fiscal_Year]],Table1[BRAND],Table1[[#This Row],[BRAND]],Table1[DC_name_Xref],Table1[[#This Row],[DC_name_Xref]]),0)</f>
        <v>0.43484385777898221</v>
      </c>
      <c r="M4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450" s="3">
        <f>IFERROR(INDEX(Table3[#All],MATCH(Table1[[#This Row],[Key_Year_Week_Brand]],Table3[[#All],[Key_Year_Week_Brand]],0),MATCH(Table1[[#This Row],[DC_name_Xref]],Table3[#Headers],0)),0)</f>
        <v>1</v>
      </c>
      <c r="O450">
        <f>IFERROR(INDEX(Table35[#All],MATCH(Table1[[#This Row],[Key_Year_Week_Brand]],Table35[[#All],[Key_Year_Month_Brand]],0),MATCH(Table1[[#This Row],[DC_name_Xref]],Table35[#Headers],0)),0)</f>
        <v>1521166</v>
      </c>
    </row>
    <row r="451" spans="1:15" x14ac:dyDescent="0.3">
      <c r="A451" s="19" t="str">
        <f>Table1[[#This Row],[Year_Week]]&amp;"-"&amp;Table1[[#This Row],[DC_name_Xref]]</f>
        <v>202043-TFC</v>
      </c>
      <c r="B451" s="19" t="str">
        <f>Table1[[#This Row],[Fiscal_Year]]*100+Table1[[#This Row],[Fiscal_Week]] &amp; "-" &amp;Table1[[#This Row],[BRAND]]</f>
        <v>202043-Gap Factory Store</v>
      </c>
      <c r="C451" t="str">
        <f>Table1[[#This Row],[Fiscal_Year]]&amp;"-"&amp;Table1[[#This Row],[BRAND]]</f>
        <v>2020-Gap Factory Store</v>
      </c>
      <c r="D451">
        <v>2020</v>
      </c>
      <c r="E451">
        <v>43</v>
      </c>
      <c r="F451" t="s">
        <v>22</v>
      </c>
      <c r="G451" t="s">
        <v>21</v>
      </c>
      <c r="H451">
        <v>2</v>
      </c>
      <c r="I451">
        <v>0</v>
      </c>
      <c r="J451" t="str">
        <f>VLOOKUP(H451,DC_Xref!A:B,2,FALSE)</f>
        <v>TFC</v>
      </c>
      <c r="K451">
        <f t="shared" si="7"/>
        <v>202043</v>
      </c>
      <c r="L451">
        <f>IFERROR(Table1[[#This Row],[Demand]]/SUMIFS(Table1[Demand],Table1[Fiscal_Year],Table1[[#This Row],[Fiscal_Year]],Table1[BRAND],Table1[[#This Row],[BRAND]],Table1[DC_name_Xref],Table1[[#This Row],[DC_name_Xref]]),0)</f>
        <v>0</v>
      </c>
      <c r="M4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51" s="3">
        <f>IFERROR(INDEX(Table3[#All],MATCH(Table1[[#This Row],[Key_Year_Week_Brand]],Table3[[#All],[Key_Year_Week_Brand]],0),MATCH(Table1[[#This Row],[DC_name_Xref]],Table3[#Headers],0)),0)</f>
        <v>0</v>
      </c>
      <c r="O451">
        <f>IFERROR(INDEX(Table35[#All],MATCH(Table1[[#This Row],[Key_Year_Week_Brand]],Table35[[#All],[Key_Year_Month_Brand]],0),MATCH(Table1[[#This Row],[DC_name_Xref]],Table35[#Headers],0)),0)</f>
        <v>0</v>
      </c>
    </row>
    <row r="452" spans="1:15" x14ac:dyDescent="0.3">
      <c r="A452" s="19" t="str">
        <f>Table1[[#This Row],[Year_Week]]&amp;"-"&amp;Table1[[#This Row],[DC_name_Xref]]</f>
        <v>202043-WFC</v>
      </c>
      <c r="B452" s="19" t="str">
        <f>Table1[[#This Row],[Fiscal_Year]]*100+Table1[[#This Row],[Fiscal_Week]] &amp; "-" &amp;Table1[[#This Row],[BRAND]]</f>
        <v>202043-Gap Factory Store</v>
      </c>
      <c r="C452" t="str">
        <f>Table1[[#This Row],[Fiscal_Year]]&amp;"-"&amp;Table1[[#This Row],[BRAND]]</f>
        <v>2020-Gap Factory Store</v>
      </c>
      <c r="D452">
        <v>2020</v>
      </c>
      <c r="E452">
        <v>43</v>
      </c>
      <c r="F452" t="s">
        <v>22</v>
      </c>
      <c r="G452" t="s">
        <v>7</v>
      </c>
      <c r="H452">
        <v>3</v>
      </c>
      <c r="I452">
        <v>0</v>
      </c>
      <c r="J452" t="str">
        <f>VLOOKUP(H452,DC_Xref!A:B,2,FALSE)</f>
        <v>WFC</v>
      </c>
      <c r="K452">
        <f t="shared" si="7"/>
        <v>202043</v>
      </c>
      <c r="L452">
        <f>IFERROR(Table1[[#This Row],[Demand]]/SUMIFS(Table1[Demand],Table1[Fiscal_Year],Table1[[#This Row],[Fiscal_Year]],Table1[BRAND],Table1[[#This Row],[BRAND]],Table1[DC_name_Xref],Table1[[#This Row],[DC_name_Xref]]),0)</f>
        <v>0</v>
      </c>
      <c r="M4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52" s="3">
        <f>IFERROR(INDEX(Table3[#All],MATCH(Table1[[#This Row],[Key_Year_Week_Brand]],Table3[[#All],[Key_Year_Week_Brand]],0),MATCH(Table1[[#This Row],[DC_name_Xref]],Table3[#Headers],0)),0)</f>
        <v>0</v>
      </c>
      <c r="O452">
        <f>IFERROR(INDEX(Table35[#All],MATCH(Table1[[#This Row],[Key_Year_Week_Brand]],Table35[[#All],[Key_Year_Month_Brand]],0),MATCH(Table1[[#This Row],[DC_name_Xref]],Table35[#Headers],0)),0)</f>
        <v>0</v>
      </c>
    </row>
    <row r="453" spans="1:15" x14ac:dyDescent="0.3">
      <c r="A453" s="19" t="str">
        <f>Table1[[#This Row],[Year_Week]]&amp;"-"&amp;Table1[[#This Row],[DC_name_Xref]]</f>
        <v>202043-EAO</v>
      </c>
      <c r="B453" s="19" t="str">
        <f>Table1[[#This Row],[Fiscal_Year]]*100+Table1[[#This Row],[Fiscal_Week]] &amp; "-" &amp;Table1[[#This Row],[BRAND]]</f>
        <v>202043-Gap Factory Store</v>
      </c>
      <c r="C453" t="str">
        <f>Table1[[#This Row],[Fiscal_Year]]&amp;"-"&amp;Table1[[#This Row],[BRAND]]</f>
        <v>2020-Gap Factory Store</v>
      </c>
      <c r="D453">
        <v>2020</v>
      </c>
      <c r="E453">
        <v>43</v>
      </c>
      <c r="F453" t="s">
        <v>22</v>
      </c>
      <c r="G453" t="s">
        <v>8</v>
      </c>
      <c r="H453">
        <v>4</v>
      </c>
      <c r="I453">
        <v>0</v>
      </c>
      <c r="J453" t="str">
        <f>VLOOKUP(H453,DC_Xref!A:B,2,FALSE)</f>
        <v>EAO</v>
      </c>
      <c r="K453">
        <f t="shared" si="7"/>
        <v>202043</v>
      </c>
      <c r="L453">
        <f>IFERROR(Table1[[#This Row],[Demand]]/SUMIFS(Table1[Demand],Table1[Fiscal_Year],Table1[[#This Row],[Fiscal_Year]],Table1[BRAND],Table1[[#This Row],[BRAND]],Table1[DC_name_Xref],Table1[[#This Row],[DC_name_Xref]]),0)</f>
        <v>0</v>
      </c>
      <c r="M4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53" s="3">
        <f>IFERROR(INDEX(Table3[#All],MATCH(Table1[[#This Row],[Key_Year_Week_Brand]],Table3[[#All],[Key_Year_Week_Brand]],0),MATCH(Table1[[#This Row],[DC_name_Xref]],Table3[#Headers],0)),0)</f>
        <v>0</v>
      </c>
      <c r="O453">
        <f>IFERROR(INDEX(Table35[#All],MATCH(Table1[[#This Row],[Key_Year_Week_Brand]],Table35[[#All],[Key_Year_Month_Brand]],0),MATCH(Table1[[#This Row],[DC_name_Xref]],Table35[#Headers],0)),0)</f>
        <v>0</v>
      </c>
    </row>
    <row r="454" spans="1:15" x14ac:dyDescent="0.3">
      <c r="A454" s="19" t="str">
        <f>Table1[[#This Row],[Year_Week]]&amp;"-"&amp;Table1[[#This Row],[DC_name_Xref]]</f>
        <v>202043-FFC-ODC</v>
      </c>
      <c r="B454" s="19" t="str">
        <f>Table1[[#This Row],[Fiscal_Year]]*100+Table1[[#This Row],[Fiscal_Week]] &amp; "-" &amp;Table1[[#This Row],[BRAND]]</f>
        <v>202043-Gap Factory Store</v>
      </c>
      <c r="C454" t="str">
        <f>Table1[[#This Row],[Fiscal_Year]]&amp;"-"&amp;Table1[[#This Row],[BRAND]]</f>
        <v>2020-Gap Factory Store</v>
      </c>
      <c r="D454">
        <v>2020</v>
      </c>
      <c r="E454">
        <v>43</v>
      </c>
      <c r="F454" t="s">
        <v>22</v>
      </c>
      <c r="G454" t="s">
        <v>23</v>
      </c>
      <c r="H454">
        <v>5</v>
      </c>
      <c r="I454">
        <v>0</v>
      </c>
      <c r="J454" t="str">
        <f>VLOOKUP(H454,DC_Xref!A:B,2,FALSE)</f>
        <v>FFC-ODC</v>
      </c>
      <c r="K454">
        <f t="shared" si="7"/>
        <v>202043</v>
      </c>
      <c r="L454">
        <f>IFERROR(Table1[[#This Row],[Demand]]/SUMIFS(Table1[Demand],Table1[Fiscal_Year],Table1[[#This Row],[Fiscal_Year]],Table1[BRAND],Table1[[#This Row],[BRAND]],Table1[DC_name_Xref],Table1[[#This Row],[DC_name_Xref]]),0)</f>
        <v>0</v>
      </c>
      <c r="M4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54" s="3">
        <f>IFERROR(INDEX(Table3[#All],MATCH(Table1[[#This Row],[Key_Year_Week_Brand]],Table3[[#All],[Key_Year_Week_Brand]],0),MATCH(Table1[[#This Row],[DC_name_Xref]],Table3[#Headers],0)),0)</f>
        <v>0</v>
      </c>
      <c r="O454">
        <f>IFERROR(INDEX(Table35[#All],MATCH(Table1[[#This Row],[Key_Year_Week_Brand]],Table35[[#All],[Key_Year_Month_Brand]],0),MATCH(Table1[[#This Row],[DC_name_Xref]],Table35[#Headers],0)),0)</f>
        <v>0</v>
      </c>
    </row>
    <row r="455" spans="1:15" x14ac:dyDescent="0.3">
      <c r="A455" s="19" t="str">
        <f>Table1[[#This Row],[Year_Week]]&amp;"-"&amp;Table1[[#This Row],[DC_name_Xref]]</f>
        <v>202043-WEO</v>
      </c>
      <c r="B455" s="19" t="str">
        <f>Table1[[#This Row],[Fiscal_Year]]*100+Table1[[#This Row],[Fiscal_Week]] &amp; "-" &amp;Table1[[#This Row],[BRAND]]</f>
        <v>202043-Gap Factory Store</v>
      </c>
      <c r="C455" t="str">
        <f>Table1[[#This Row],[Fiscal_Year]]&amp;"-"&amp;Table1[[#This Row],[BRAND]]</f>
        <v>2020-Gap Factory Store</v>
      </c>
      <c r="D455">
        <v>2020</v>
      </c>
      <c r="E455">
        <v>43</v>
      </c>
      <c r="F455" t="s">
        <v>22</v>
      </c>
      <c r="G455" t="s">
        <v>10</v>
      </c>
      <c r="H455">
        <v>6</v>
      </c>
      <c r="I455">
        <v>0</v>
      </c>
      <c r="J455" t="str">
        <f>VLOOKUP(H455,DC_Xref!A:B,2,FALSE)</f>
        <v>WEO</v>
      </c>
      <c r="K455">
        <f t="shared" si="7"/>
        <v>202043</v>
      </c>
      <c r="L455">
        <f>IFERROR(Table1[[#This Row],[Demand]]/SUMIFS(Table1[Demand],Table1[Fiscal_Year],Table1[[#This Row],[Fiscal_Year]],Table1[BRAND],Table1[[#This Row],[BRAND]],Table1[DC_name_Xref],Table1[[#This Row],[DC_name_Xref]]),0)</f>
        <v>0</v>
      </c>
      <c r="M4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55" s="3">
        <f>IFERROR(INDEX(Table3[#All],MATCH(Table1[[#This Row],[Key_Year_Week_Brand]],Table3[[#All],[Key_Year_Week_Brand]],0),MATCH(Table1[[#This Row],[DC_name_Xref]],Table3[#Headers],0)),0)</f>
        <v>0</v>
      </c>
      <c r="O455">
        <f>IFERROR(INDEX(Table35[#All],MATCH(Table1[[#This Row],[Key_Year_Week_Brand]],Table35[[#All],[Key_Year_Month_Brand]],0),MATCH(Table1[[#This Row],[DC_name_Xref]],Table35[#Headers],0)),0)</f>
        <v>0</v>
      </c>
    </row>
    <row r="456" spans="1:15" x14ac:dyDescent="0.3">
      <c r="A456" s="19" t="str">
        <f>Table1[[#This Row],[Year_Week]]&amp;"-"&amp;Table1[[#This Row],[DC_name_Xref]]</f>
        <v>202043-OCC</v>
      </c>
      <c r="B456" s="19" t="str">
        <f>Table1[[#This Row],[Fiscal_Year]]*100+Table1[[#This Row],[Fiscal_Week]] &amp; "-" &amp;Table1[[#This Row],[BRAND]]</f>
        <v>202043-Gap Factory Store</v>
      </c>
      <c r="C456" t="str">
        <f>Table1[[#This Row],[Fiscal_Year]]&amp;"-"&amp;Table1[[#This Row],[BRAND]]</f>
        <v>2020-Gap Factory Store</v>
      </c>
      <c r="D456">
        <v>2020</v>
      </c>
      <c r="E456">
        <v>43</v>
      </c>
      <c r="F456" t="s">
        <v>22</v>
      </c>
      <c r="G456" t="s">
        <v>11</v>
      </c>
      <c r="H456">
        <v>7</v>
      </c>
      <c r="I456">
        <v>0</v>
      </c>
      <c r="J456" t="str">
        <f>VLOOKUP(H456,DC_Xref!A:B,2,FALSE)</f>
        <v>OCC</v>
      </c>
      <c r="K456">
        <f t="shared" si="7"/>
        <v>202043</v>
      </c>
      <c r="L456">
        <f>IFERROR(Table1[[#This Row],[Demand]]/SUMIFS(Table1[Demand],Table1[Fiscal_Year],Table1[[#This Row],[Fiscal_Year]],Table1[BRAND],Table1[[#This Row],[BRAND]],Table1[DC_name_Xref],Table1[[#This Row],[DC_name_Xref]]),0)</f>
        <v>0</v>
      </c>
      <c r="M4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56" s="3">
        <f>IFERROR(INDEX(Table3[#All],MATCH(Table1[[#This Row],[Key_Year_Week_Brand]],Table3[[#All],[Key_Year_Week_Brand]],0),MATCH(Table1[[#This Row],[DC_name_Xref]],Table3[#Headers],0)),0)</f>
        <v>0</v>
      </c>
      <c r="O456">
        <f>IFERROR(INDEX(Table35[#All],MATCH(Table1[[#This Row],[Key_Year_Week_Brand]],Table35[[#All],[Key_Year_Month_Brand]],0),MATCH(Table1[[#This Row],[DC_name_Xref]],Table35[#Headers],0)),0)</f>
        <v>0</v>
      </c>
    </row>
    <row r="457" spans="1:15" x14ac:dyDescent="0.3">
      <c r="A457" s="19" t="str">
        <f>Table1[[#This Row],[Year_Week]]&amp;"-"&amp;Table1[[#This Row],[DC_name_Xref]]</f>
        <v>202043-OFC</v>
      </c>
      <c r="B457" s="19" t="str">
        <f>Table1[[#This Row],[Fiscal_Year]]*100+Table1[[#This Row],[Fiscal_Week]] &amp; "-" &amp;Table1[[#This Row],[BRAND]]</f>
        <v>202043-Banana Republic</v>
      </c>
      <c r="C457" t="str">
        <f>Table1[[#This Row],[Fiscal_Year]]&amp;"-"&amp;Table1[[#This Row],[BRAND]]</f>
        <v>2020-Banana Republic</v>
      </c>
      <c r="D457">
        <v>2020</v>
      </c>
      <c r="E457">
        <v>43</v>
      </c>
      <c r="F457" t="s">
        <v>18</v>
      </c>
      <c r="G457" t="s">
        <v>5</v>
      </c>
      <c r="H457">
        <v>1</v>
      </c>
      <c r="I457">
        <v>9308</v>
      </c>
      <c r="J457" t="str">
        <f>VLOOKUP(H457,DC_Xref!A:B,2,FALSE)</f>
        <v>OFC</v>
      </c>
      <c r="K457">
        <f t="shared" si="7"/>
        <v>202043</v>
      </c>
      <c r="L457">
        <f>IFERROR(Table1[[#This Row],[Demand]]/SUMIFS(Table1[Demand],Table1[Fiscal_Year],Table1[[#This Row],[Fiscal_Year]],Table1[BRAND],Table1[[#This Row],[BRAND]],Table1[DC_name_Xref],Table1[[#This Row],[DC_name_Xref]]),0)</f>
        <v>0.21020302161197804</v>
      </c>
      <c r="M4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2.1328687496507917E-2</v>
      </c>
      <c r="N457" s="3">
        <f>IFERROR(INDEX(Table3[#All],MATCH(Table1[[#This Row],[Key_Year_Week_Brand]],Table3[[#All],[Key_Year_Week_Brand]],0),MATCH(Table1[[#This Row],[DC_name_Xref]],Table3[#Headers],0)),0)</f>
        <v>0</v>
      </c>
      <c r="O457">
        <f>IFERROR(INDEX(Table35[#All],MATCH(Table1[[#This Row],[Key_Year_Week_Brand]],Table35[[#All],[Key_Year_Month_Brand]],0),MATCH(Table1[[#This Row],[DC_name_Xref]],Table35[#Headers],0)),0)</f>
        <v>0</v>
      </c>
    </row>
    <row r="458" spans="1:15" x14ac:dyDescent="0.3">
      <c r="A458" s="19" t="str">
        <f>Table1[[#This Row],[Year_Week]]&amp;"-"&amp;Table1[[#This Row],[DC_name_Xref]]</f>
        <v>202043-TFC</v>
      </c>
      <c r="B458" s="19" t="str">
        <f>Table1[[#This Row],[Fiscal_Year]]*100+Table1[[#This Row],[Fiscal_Week]] &amp; "-" &amp;Table1[[#This Row],[BRAND]]</f>
        <v>202043-Banana Republic</v>
      </c>
      <c r="C458" t="str">
        <f>Table1[[#This Row],[Fiscal_Year]]&amp;"-"&amp;Table1[[#This Row],[BRAND]]</f>
        <v>2020-Banana Republic</v>
      </c>
      <c r="D458">
        <v>2020</v>
      </c>
      <c r="E458">
        <v>43</v>
      </c>
      <c r="F458" t="s">
        <v>18</v>
      </c>
      <c r="G458" t="s">
        <v>21</v>
      </c>
      <c r="H458">
        <v>2</v>
      </c>
      <c r="I458">
        <v>710531</v>
      </c>
      <c r="J458" t="str">
        <f>VLOOKUP(H458,DC_Xref!A:B,2,FALSE)</f>
        <v>TFC</v>
      </c>
      <c r="K458">
        <f t="shared" si="7"/>
        <v>202043</v>
      </c>
      <c r="L458">
        <f>IFERROR(Table1[[#This Row],[Demand]]/SUMIFS(Table1[Demand],Table1[Fiscal_Year],Table1[[#This Row],[Fiscal_Year]],Table1[BRAND],Table1[[#This Row],[BRAND]],Table1[DC_name_Xref],Table1[[#This Row],[DC_name_Xref]]),0)</f>
        <v>0.34971396565225332</v>
      </c>
      <c r="M4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0.97862603582444985</v>
      </c>
      <c r="N458" s="3">
        <f>IFERROR(INDEX(Table3[#All],MATCH(Table1[[#This Row],[Key_Year_Week_Brand]],Table3[[#All],[Key_Year_Week_Brand]],0),MATCH(Table1[[#This Row],[DC_name_Xref]],Table3[#Headers],0)),0)</f>
        <v>1</v>
      </c>
      <c r="O458">
        <f>IFERROR(INDEX(Table35[#All],MATCH(Table1[[#This Row],[Key_Year_Week_Brand]],Table35[[#All],[Key_Year_Month_Brand]],0),MATCH(Table1[[#This Row],[DC_name_Xref]],Table35[#Headers],0)),0)</f>
        <v>719852</v>
      </c>
    </row>
    <row r="459" spans="1:15" x14ac:dyDescent="0.3">
      <c r="A459" s="19" t="str">
        <f>Table1[[#This Row],[Year_Week]]&amp;"-"&amp;Table1[[#This Row],[DC_name_Xref]]</f>
        <v>202043-WFC</v>
      </c>
      <c r="B459" s="19" t="str">
        <f>Table1[[#This Row],[Fiscal_Year]]*100+Table1[[#This Row],[Fiscal_Week]] &amp; "-" &amp;Table1[[#This Row],[BRAND]]</f>
        <v>202043-Banana Republic</v>
      </c>
      <c r="C459" t="str">
        <f>Table1[[#This Row],[Fiscal_Year]]&amp;"-"&amp;Table1[[#This Row],[BRAND]]</f>
        <v>2020-Banana Republic</v>
      </c>
      <c r="D459">
        <v>2020</v>
      </c>
      <c r="E459">
        <v>43</v>
      </c>
      <c r="F459" t="s">
        <v>18</v>
      </c>
      <c r="G459" t="s">
        <v>7</v>
      </c>
      <c r="H459">
        <v>3</v>
      </c>
      <c r="I459">
        <v>1</v>
      </c>
      <c r="J459" t="str">
        <f>VLOOKUP(H459,DC_Xref!A:B,2,FALSE)</f>
        <v>WFC</v>
      </c>
      <c r="K459">
        <f t="shared" si="7"/>
        <v>202043</v>
      </c>
      <c r="L459">
        <f>IFERROR(Table1[[#This Row],[Demand]]/SUMIFS(Table1[Demand],Table1[Fiscal_Year],Table1[[#This Row],[Fiscal_Year]],Table1[BRAND],Table1[[#This Row],[BRAND]],Table1[DC_name_Xref],Table1[[#This Row],[DC_name_Xref]]),0)</f>
        <v>0.16666666666666666</v>
      </c>
      <c r="M4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2.8900007899335494E-6</v>
      </c>
      <c r="N459" s="3">
        <f>IFERROR(INDEX(Table3[#All],MATCH(Table1[[#This Row],[Key_Year_Week_Brand]],Table3[[#All],[Key_Year_Week_Brand]],0),MATCH(Table1[[#This Row],[DC_name_Xref]],Table3[#Headers],0)),0)</f>
        <v>3.4959629396853166E-6</v>
      </c>
      <c r="O459">
        <f>IFERROR(INDEX(Table35[#All],MATCH(Table1[[#This Row],[Key_Year_Week_Brand]],Table35[[#All],[Key_Year_Month_Brand]],0),MATCH(Table1[[#This Row],[DC_name_Xref]],Table35[#Headers],0)),0)</f>
        <v>2.5165759140583543</v>
      </c>
    </row>
    <row r="460" spans="1:15" x14ac:dyDescent="0.3">
      <c r="A460" s="19" t="str">
        <f>Table1[[#This Row],[Year_Week]]&amp;"-"&amp;Table1[[#This Row],[DC_name_Xref]]</f>
        <v>202043-EAO</v>
      </c>
      <c r="B460" s="19" t="str">
        <f>Table1[[#This Row],[Fiscal_Year]]*100+Table1[[#This Row],[Fiscal_Week]] &amp; "-" &amp;Table1[[#This Row],[BRAND]]</f>
        <v>202043-Banana Republic</v>
      </c>
      <c r="C460" t="str">
        <f>Table1[[#This Row],[Fiscal_Year]]&amp;"-"&amp;Table1[[#This Row],[BRAND]]</f>
        <v>2020-Banana Republic</v>
      </c>
      <c r="D460">
        <v>2020</v>
      </c>
      <c r="E460">
        <v>43</v>
      </c>
      <c r="F460" t="s">
        <v>18</v>
      </c>
      <c r="G460" t="s">
        <v>8</v>
      </c>
      <c r="H460">
        <v>4</v>
      </c>
      <c r="I460">
        <v>12</v>
      </c>
      <c r="J460" t="str">
        <f>VLOOKUP(H460,DC_Xref!A:B,2,FALSE)</f>
        <v>EAO</v>
      </c>
      <c r="K460">
        <f t="shared" si="7"/>
        <v>202043</v>
      </c>
      <c r="L460">
        <f>IFERROR(Table1[[#This Row],[Demand]]/SUMIFS(Table1[Demand],Table1[Fiscal_Year],Table1[[#This Row],[Fiscal_Year]],Table1[BRAND],Table1[[#This Row],[BRAND]],Table1[DC_name_Xref],Table1[[#This Row],[DC_name_Xref]]),0)</f>
        <v>0.13636363636363635</v>
      </c>
      <c r="M4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4.238667825235872E-5</v>
      </c>
      <c r="N460" s="3">
        <f>IFERROR(INDEX(Table3[#All],MATCH(Table1[[#This Row],[Key_Year_Week_Brand]],Table3[[#All],[Key_Year_Week_Brand]],0),MATCH(Table1[[#This Row],[DC_name_Xref]],Table3[#Headers],0)),0)</f>
        <v>4.2339995602855504E-5</v>
      </c>
      <c r="O460">
        <f>IFERROR(INDEX(Table35[#All],MATCH(Table1[[#This Row],[Key_Year_Week_Brand]],Table35[[#All],[Key_Year_Month_Brand]],0),MATCH(Table1[[#This Row],[DC_name_Xref]],Table35[#Headers],0)),0)</f>
        <v>30.47853051470674</v>
      </c>
    </row>
    <row r="461" spans="1:15" x14ac:dyDescent="0.3">
      <c r="A461" s="19" t="str">
        <f>Table1[[#This Row],[Year_Week]]&amp;"-"&amp;Table1[[#This Row],[DC_name_Xref]]</f>
        <v>202043-FFC-ODC</v>
      </c>
      <c r="B461" s="19" t="str">
        <f>Table1[[#This Row],[Fiscal_Year]]*100+Table1[[#This Row],[Fiscal_Week]] &amp; "-" &amp;Table1[[#This Row],[BRAND]]</f>
        <v>202043-Banana Republic</v>
      </c>
      <c r="C461" t="str">
        <f>Table1[[#This Row],[Fiscal_Year]]&amp;"-"&amp;Table1[[#This Row],[BRAND]]</f>
        <v>2020-Banana Republic</v>
      </c>
      <c r="D461">
        <v>2020</v>
      </c>
      <c r="E461">
        <v>43</v>
      </c>
      <c r="F461" t="s">
        <v>18</v>
      </c>
      <c r="G461" t="s">
        <v>23</v>
      </c>
      <c r="H461">
        <v>5</v>
      </c>
      <c r="I461">
        <v>0</v>
      </c>
      <c r="J461" t="str">
        <f>VLOOKUP(H461,DC_Xref!A:B,2,FALSE)</f>
        <v>FFC-ODC</v>
      </c>
      <c r="K461">
        <f t="shared" si="7"/>
        <v>202043</v>
      </c>
      <c r="L461">
        <f>IFERROR(Table1[[#This Row],[Demand]]/SUMIFS(Table1[Demand],Table1[Fiscal_Year],Table1[[#This Row],[Fiscal_Year]],Table1[BRAND],Table1[[#This Row],[BRAND]],Table1[DC_name_Xref],Table1[[#This Row],[DC_name_Xref]]),0)</f>
        <v>0</v>
      </c>
      <c r="M4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61" s="3">
        <f>IFERROR(INDEX(Table3[#All],MATCH(Table1[[#This Row],[Key_Year_Week_Brand]],Table3[[#All],[Key_Year_Week_Brand]],0),MATCH(Table1[[#This Row],[DC_name_Xref]],Table3[#Headers],0)),0)</f>
        <v>0</v>
      </c>
      <c r="O461">
        <f>IFERROR(INDEX(Table35[#All],MATCH(Table1[[#This Row],[Key_Year_Week_Brand]],Table35[[#All],[Key_Year_Month_Brand]],0),MATCH(Table1[[#This Row],[DC_name_Xref]],Table35[#Headers],0)),0)</f>
        <v>0</v>
      </c>
    </row>
    <row r="462" spans="1:15" x14ac:dyDescent="0.3">
      <c r="A462" s="19" t="str">
        <f>Table1[[#This Row],[Year_Week]]&amp;"-"&amp;Table1[[#This Row],[DC_name_Xref]]</f>
        <v>202043-WEO</v>
      </c>
      <c r="B462" s="19" t="str">
        <f>Table1[[#This Row],[Fiscal_Year]]*100+Table1[[#This Row],[Fiscal_Week]] &amp; "-" &amp;Table1[[#This Row],[BRAND]]</f>
        <v>202043-Banana Republic</v>
      </c>
      <c r="C462" t="str">
        <f>Table1[[#This Row],[Fiscal_Year]]&amp;"-"&amp;Table1[[#This Row],[BRAND]]</f>
        <v>2020-Banana Republic</v>
      </c>
      <c r="D462">
        <v>2020</v>
      </c>
      <c r="E462">
        <v>43</v>
      </c>
      <c r="F462" t="s">
        <v>18</v>
      </c>
      <c r="G462" t="s">
        <v>10</v>
      </c>
      <c r="H462">
        <v>6</v>
      </c>
      <c r="I462">
        <v>0</v>
      </c>
      <c r="J462" t="str">
        <f>VLOOKUP(H462,DC_Xref!A:B,2,FALSE)</f>
        <v>WEO</v>
      </c>
      <c r="K462">
        <f t="shared" si="7"/>
        <v>202043</v>
      </c>
      <c r="L462">
        <f>IFERROR(Table1[[#This Row],[Demand]]/SUMIFS(Table1[Demand],Table1[Fiscal_Year],Table1[[#This Row],[Fiscal_Year]],Table1[BRAND],Table1[[#This Row],[BRAND]],Table1[DC_name_Xref],Table1[[#This Row],[DC_name_Xref]]),0)</f>
        <v>0</v>
      </c>
      <c r="M4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62" s="3">
        <f>IFERROR(INDEX(Table3[#All],MATCH(Table1[[#This Row],[Key_Year_Week_Brand]],Table3[[#All],[Key_Year_Week_Brand]],0),MATCH(Table1[[#This Row],[DC_name_Xref]],Table3[#Headers],0)),0)</f>
        <v>0</v>
      </c>
      <c r="O462">
        <f>IFERROR(INDEX(Table35[#All],MATCH(Table1[[#This Row],[Key_Year_Week_Brand]],Table35[[#All],[Key_Year_Month_Brand]],0),MATCH(Table1[[#This Row],[DC_name_Xref]],Table35[#Headers],0)),0)</f>
        <v>0</v>
      </c>
    </row>
    <row r="463" spans="1:15" x14ac:dyDescent="0.3">
      <c r="A463" s="19" t="str">
        <f>Table1[[#This Row],[Year_Week]]&amp;"-"&amp;Table1[[#This Row],[DC_name_Xref]]</f>
        <v>202043-OCC</v>
      </c>
      <c r="B463" s="19" t="str">
        <f>Table1[[#This Row],[Fiscal_Year]]*100+Table1[[#This Row],[Fiscal_Week]] &amp; "-" &amp;Table1[[#This Row],[BRAND]]</f>
        <v>202043-Banana Republic</v>
      </c>
      <c r="C463" t="str">
        <f>Table1[[#This Row],[Fiscal_Year]]&amp;"-"&amp;Table1[[#This Row],[BRAND]]</f>
        <v>2020-Banana Republic</v>
      </c>
      <c r="D463">
        <v>2020</v>
      </c>
      <c r="E463">
        <v>43</v>
      </c>
      <c r="F463" t="s">
        <v>18</v>
      </c>
      <c r="G463" t="s">
        <v>11</v>
      </c>
      <c r="H463">
        <v>7</v>
      </c>
      <c r="I463">
        <v>0</v>
      </c>
      <c r="J463" t="str">
        <f>VLOOKUP(H463,DC_Xref!A:B,2,FALSE)</f>
        <v>OCC</v>
      </c>
      <c r="K463">
        <f t="shared" si="7"/>
        <v>202043</v>
      </c>
      <c r="L463">
        <f>IFERROR(Table1[[#This Row],[Demand]]/SUMIFS(Table1[Demand],Table1[Fiscal_Year],Table1[[#This Row],[Fiscal_Year]],Table1[BRAND],Table1[[#This Row],[BRAND]],Table1[DC_name_Xref],Table1[[#This Row],[DC_name_Xref]]),0)</f>
        <v>0</v>
      </c>
      <c r="M4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63" s="3">
        <f>IFERROR(INDEX(Table3[#All],MATCH(Table1[[#This Row],[Key_Year_Week_Brand]],Table3[[#All],[Key_Year_Week_Brand]],0),MATCH(Table1[[#This Row],[DC_name_Xref]],Table3[#Headers],0)),0)</f>
        <v>0</v>
      </c>
      <c r="O463">
        <f>IFERROR(INDEX(Table35[#All],MATCH(Table1[[#This Row],[Key_Year_Week_Brand]],Table35[[#All],[Key_Year_Month_Brand]],0),MATCH(Table1[[#This Row],[DC_name_Xref]],Table35[#Headers],0)),0)</f>
        <v>0</v>
      </c>
    </row>
    <row r="464" spans="1:15" x14ac:dyDescent="0.3">
      <c r="A464" s="19" t="str">
        <f>Table1[[#This Row],[Year_Week]]&amp;"-"&amp;Table1[[#This Row],[DC_name_Xref]]</f>
        <v>202044-OFC</v>
      </c>
      <c r="B464" s="19" t="str">
        <f>Table1[[#This Row],[Fiscal_Year]]*100+Table1[[#This Row],[Fiscal_Week]] &amp; "-" &amp;Table1[[#This Row],[BRAND]]</f>
        <v>202044-Banana Republic</v>
      </c>
      <c r="C464" t="str">
        <f>Table1[[#This Row],[Fiscal_Year]]&amp;"-"&amp;Table1[[#This Row],[BRAND]]</f>
        <v>2020-Banana Republic</v>
      </c>
      <c r="D464">
        <v>2020</v>
      </c>
      <c r="E464">
        <v>44</v>
      </c>
      <c r="F464" t="s">
        <v>18</v>
      </c>
      <c r="G464" t="s">
        <v>5</v>
      </c>
      <c r="H464">
        <v>1</v>
      </c>
      <c r="I464">
        <v>8446</v>
      </c>
      <c r="J464" t="str">
        <f>VLOOKUP(H464,DC_Xref!A:B,2,FALSE)</f>
        <v>OFC</v>
      </c>
      <c r="K464">
        <f t="shared" si="7"/>
        <v>202044</v>
      </c>
      <c r="L464">
        <f>IFERROR(Table1[[#This Row],[Demand]]/SUMIFS(Table1[Demand],Table1[Fiscal_Year],Table1[[#This Row],[Fiscal_Year]],Table1[BRAND],Table1[[#This Row],[BRAND]],Table1[DC_name_Xref],Table1[[#This Row],[DC_name_Xref]]),0)</f>
        <v>0.19073643323321515</v>
      </c>
      <c r="M4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2.1328687496507917E-2</v>
      </c>
      <c r="N464" s="3">
        <f>IFERROR(INDEX(Table3[#All],MATCH(Table1[[#This Row],[Key_Year_Week_Brand]],Table3[[#All],[Key_Year_Week_Brand]],0),MATCH(Table1[[#This Row],[DC_name_Xref]],Table3[#Headers],0)),0)</f>
        <v>0</v>
      </c>
      <c r="O464">
        <f>IFERROR(INDEX(Table35[#All],MATCH(Table1[[#This Row],[Key_Year_Week_Brand]],Table35[[#All],[Key_Year_Month_Brand]],0),MATCH(Table1[[#This Row],[DC_name_Xref]],Table35[#Headers],0)),0)</f>
        <v>0</v>
      </c>
    </row>
    <row r="465" spans="1:15" x14ac:dyDescent="0.3">
      <c r="A465" s="19" t="str">
        <f>Table1[[#This Row],[Year_Week]]&amp;"-"&amp;Table1[[#This Row],[DC_name_Xref]]</f>
        <v>202044-TFC</v>
      </c>
      <c r="B465" s="19" t="str">
        <f>Table1[[#This Row],[Fiscal_Year]]*100+Table1[[#This Row],[Fiscal_Week]] &amp; "-" &amp;Table1[[#This Row],[BRAND]]</f>
        <v>202044-Banana Republic</v>
      </c>
      <c r="C465" t="str">
        <f>Table1[[#This Row],[Fiscal_Year]]&amp;"-"&amp;Table1[[#This Row],[BRAND]]</f>
        <v>2020-Banana Republic</v>
      </c>
      <c r="D465">
        <v>2020</v>
      </c>
      <c r="E465">
        <v>44</v>
      </c>
      <c r="F465" t="s">
        <v>18</v>
      </c>
      <c r="G465" t="s">
        <v>21</v>
      </c>
      <c r="H465">
        <v>2</v>
      </c>
      <c r="I465">
        <v>555373</v>
      </c>
      <c r="J465" t="str">
        <f>VLOOKUP(H465,DC_Xref!A:B,2,FALSE)</f>
        <v>TFC</v>
      </c>
      <c r="K465">
        <f t="shared" si="7"/>
        <v>202044</v>
      </c>
      <c r="L465">
        <f>IFERROR(Table1[[#This Row],[Demand]]/SUMIFS(Table1[Demand],Table1[Fiscal_Year],Table1[[#This Row],[Fiscal_Year]],Table1[BRAND],Table1[[#This Row],[BRAND]],Table1[DC_name_Xref],Table1[[#This Row],[DC_name_Xref]]),0)</f>
        <v>0.27334724909425329</v>
      </c>
      <c r="M4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0.97862603582444985</v>
      </c>
      <c r="N465" s="3">
        <f>IFERROR(INDEX(Table3[#All],MATCH(Table1[[#This Row],[Key_Year_Week_Brand]],Table3[[#All],[Key_Year_Week_Brand]],0),MATCH(Table1[[#This Row],[DC_name_Xref]],Table3[#Headers],0)),0)</f>
        <v>1</v>
      </c>
      <c r="O465">
        <f>IFERROR(INDEX(Table35[#All],MATCH(Table1[[#This Row],[Key_Year_Week_Brand]],Table35[[#All],[Key_Year_Month_Brand]],0),MATCH(Table1[[#This Row],[DC_name_Xref]],Table35[#Headers],0)),0)</f>
        <v>563880</v>
      </c>
    </row>
    <row r="466" spans="1:15" x14ac:dyDescent="0.3">
      <c r="A466" s="19" t="str">
        <f>Table1[[#This Row],[Year_Week]]&amp;"-"&amp;Table1[[#This Row],[DC_name_Xref]]</f>
        <v>202044-WFC</v>
      </c>
      <c r="B466" s="19" t="str">
        <f>Table1[[#This Row],[Fiscal_Year]]*100+Table1[[#This Row],[Fiscal_Week]] &amp; "-" &amp;Table1[[#This Row],[BRAND]]</f>
        <v>202044-Banana Republic</v>
      </c>
      <c r="C466" t="str">
        <f>Table1[[#This Row],[Fiscal_Year]]&amp;"-"&amp;Table1[[#This Row],[BRAND]]</f>
        <v>2020-Banana Republic</v>
      </c>
      <c r="D466">
        <v>2020</v>
      </c>
      <c r="E466">
        <v>44</v>
      </c>
      <c r="F466" t="s">
        <v>18</v>
      </c>
      <c r="G466" t="s">
        <v>7</v>
      </c>
      <c r="H466">
        <v>3</v>
      </c>
      <c r="I466">
        <v>0</v>
      </c>
      <c r="J466" t="str">
        <f>VLOOKUP(H466,DC_Xref!A:B,2,FALSE)</f>
        <v>WFC</v>
      </c>
      <c r="K466">
        <f t="shared" si="7"/>
        <v>202044</v>
      </c>
      <c r="L466">
        <f>IFERROR(Table1[[#This Row],[Demand]]/SUMIFS(Table1[Demand],Table1[Fiscal_Year],Table1[[#This Row],[Fiscal_Year]],Table1[BRAND],Table1[[#This Row],[BRAND]],Table1[DC_name_Xref],Table1[[#This Row],[DC_name_Xref]]),0)</f>
        <v>0</v>
      </c>
      <c r="M4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2.8900007899335494E-6</v>
      </c>
      <c r="N466" s="3">
        <f>IFERROR(INDEX(Table3[#All],MATCH(Table1[[#This Row],[Key_Year_Week_Brand]],Table3[[#All],[Key_Year_Week_Brand]],0),MATCH(Table1[[#This Row],[DC_name_Xref]],Table3[#Headers],0)),0)</f>
        <v>3.4959629396853166E-6</v>
      </c>
      <c r="O466">
        <f>IFERROR(INDEX(Table35[#All],MATCH(Table1[[#This Row],[Key_Year_Week_Brand]],Table35[[#All],[Key_Year_Month_Brand]],0),MATCH(Table1[[#This Row],[DC_name_Xref]],Table35[#Headers],0)),0)</f>
        <v>1.9713035824297562</v>
      </c>
    </row>
    <row r="467" spans="1:15" x14ac:dyDescent="0.3">
      <c r="A467" s="19" t="str">
        <f>Table1[[#This Row],[Year_Week]]&amp;"-"&amp;Table1[[#This Row],[DC_name_Xref]]</f>
        <v>202044-EAO</v>
      </c>
      <c r="B467" s="19" t="str">
        <f>Table1[[#This Row],[Fiscal_Year]]*100+Table1[[#This Row],[Fiscal_Week]] &amp; "-" &amp;Table1[[#This Row],[BRAND]]</f>
        <v>202044-Banana Republic</v>
      </c>
      <c r="C467" t="str">
        <f>Table1[[#This Row],[Fiscal_Year]]&amp;"-"&amp;Table1[[#This Row],[BRAND]]</f>
        <v>2020-Banana Republic</v>
      </c>
      <c r="D467">
        <v>2020</v>
      </c>
      <c r="E467">
        <v>44</v>
      </c>
      <c r="F467" t="s">
        <v>18</v>
      </c>
      <c r="G467" t="s">
        <v>8</v>
      </c>
      <c r="H467">
        <v>4</v>
      </c>
      <c r="I467">
        <v>61</v>
      </c>
      <c r="J467" t="str">
        <f>VLOOKUP(H467,DC_Xref!A:B,2,FALSE)</f>
        <v>EAO</v>
      </c>
      <c r="K467">
        <f t="shared" si="7"/>
        <v>202044</v>
      </c>
      <c r="L467">
        <f>IFERROR(Table1[[#This Row],[Demand]]/SUMIFS(Table1[Demand],Table1[Fiscal_Year],Table1[[#This Row],[Fiscal_Year]],Table1[BRAND],Table1[[#This Row],[BRAND]],Table1[DC_name_Xref],Table1[[#This Row],[DC_name_Xref]]),0)</f>
        <v>0.69318181818181823</v>
      </c>
      <c r="M4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4.238667825235872E-5</v>
      </c>
      <c r="N467" s="3">
        <f>IFERROR(INDEX(Table3[#All],MATCH(Table1[[#This Row],[Key_Year_Week_Brand]],Table3[[#All],[Key_Year_Week_Brand]],0),MATCH(Table1[[#This Row],[DC_name_Xref]],Table3[#Headers],0)),0)</f>
        <v>4.2339995602855504E-5</v>
      </c>
      <c r="O467">
        <f>IFERROR(INDEX(Table35[#All],MATCH(Table1[[#This Row],[Key_Year_Week_Brand]],Table35[[#All],[Key_Year_Month_Brand]],0),MATCH(Table1[[#This Row],[DC_name_Xref]],Table35[#Headers],0)),0)</f>
        <v>23.874676720538162</v>
      </c>
    </row>
    <row r="468" spans="1:15" x14ac:dyDescent="0.3">
      <c r="A468" s="19" t="str">
        <f>Table1[[#This Row],[Year_Week]]&amp;"-"&amp;Table1[[#This Row],[DC_name_Xref]]</f>
        <v>202044-FFC-ODC</v>
      </c>
      <c r="B468" s="19" t="str">
        <f>Table1[[#This Row],[Fiscal_Year]]*100+Table1[[#This Row],[Fiscal_Week]] &amp; "-" &amp;Table1[[#This Row],[BRAND]]</f>
        <v>202044-Banana Republic</v>
      </c>
      <c r="C468" t="str">
        <f>Table1[[#This Row],[Fiscal_Year]]&amp;"-"&amp;Table1[[#This Row],[BRAND]]</f>
        <v>2020-Banana Republic</v>
      </c>
      <c r="D468">
        <v>2020</v>
      </c>
      <c r="E468">
        <v>44</v>
      </c>
      <c r="F468" t="s">
        <v>18</v>
      </c>
      <c r="G468" t="s">
        <v>23</v>
      </c>
      <c r="H468">
        <v>5</v>
      </c>
      <c r="I468">
        <v>0</v>
      </c>
      <c r="J468" t="str">
        <f>VLOOKUP(H468,DC_Xref!A:B,2,FALSE)</f>
        <v>FFC-ODC</v>
      </c>
      <c r="K468">
        <f t="shared" si="7"/>
        <v>202044</v>
      </c>
      <c r="L468">
        <f>IFERROR(Table1[[#This Row],[Demand]]/SUMIFS(Table1[Demand],Table1[Fiscal_Year],Table1[[#This Row],[Fiscal_Year]],Table1[BRAND],Table1[[#This Row],[BRAND]],Table1[DC_name_Xref],Table1[[#This Row],[DC_name_Xref]]),0)</f>
        <v>0</v>
      </c>
      <c r="M4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68" s="3">
        <f>IFERROR(INDEX(Table3[#All],MATCH(Table1[[#This Row],[Key_Year_Week_Brand]],Table3[[#All],[Key_Year_Week_Brand]],0),MATCH(Table1[[#This Row],[DC_name_Xref]],Table3[#Headers],0)),0)</f>
        <v>0</v>
      </c>
      <c r="O468">
        <f>IFERROR(INDEX(Table35[#All],MATCH(Table1[[#This Row],[Key_Year_Week_Brand]],Table35[[#All],[Key_Year_Month_Brand]],0),MATCH(Table1[[#This Row],[DC_name_Xref]],Table35[#Headers],0)),0)</f>
        <v>0</v>
      </c>
    </row>
    <row r="469" spans="1:15" x14ac:dyDescent="0.3">
      <c r="A469" s="19" t="str">
        <f>Table1[[#This Row],[Year_Week]]&amp;"-"&amp;Table1[[#This Row],[DC_name_Xref]]</f>
        <v>202044-WEO</v>
      </c>
      <c r="B469" s="19" t="str">
        <f>Table1[[#This Row],[Fiscal_Year]]*100+Table1[[#This Row],[Fiscal_Week]] &amp; "-" &amp;Table1[[#This Row],[BRAND]]</f>
        <v>202044-Banana Republic</v>
      </c>
      <c r="C469" t="str">
        <f>Table1[[#This Row],[Fiscal_Year]]&amp;"-"&amp;Table1[[#This Row],[BRAND]]</f>
        <v>2020-Banana Republic</v>
      </c>
      <c r="D469">
        <v>2020</v>
      </c>
      <c r="E469">
        <v>44</v>
      </c>
      <c r="F469" t="s">
        <v>18</v>
      </c>
      <c r="G469" t="s">
        <v>10</v>
      </c>
      <c r="H469">
        <v>6</v>
      </c>
      <c r="I469">
        <v>0</v>
      </c>
      <c r="J469" t="str">
        <f>VLOOKUP(H469,DC_Xref!A:B,2,FALSE)</f>
        <v>WEO</v>
      </c>
      <c r="K469">
        <f t="shared" si="7"/>
        <v>202044</v>
      </c>
      <c r="L469">
        <f>IFERROR(Table1[[#This Row],[Demand]]/SUMIFS(Table1[Demand],Table1[Fiscal_Year],Table1[[#This Row],[Fiscal_Year]],Table1[BRAND],Table1[[#This Row],[BRAND]],Table1[DC_name_Xref],Table1[[#This Row],[DC_name_Xref]]),0)</f>
        <v>0</v>
      </c>
      <c r="M4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69" s="3">
        <f>IFERROR(INDEX(Table3[#All],MATCH(Table1[[#This Row],[Key_Year_Week_Brand]],Table3[[#All],[Key_Year_Week_Brand]],0),MATCH(Table1[[#This Row],[DC_name_Xref]],Table3[#Headers],0)),0)</f>
        <v>0</v>
      </c>
      <c r="O469">
        <f>IFERROR(INDEX(Table35[#All],MATCH(Table1[[#This Row],[Key_Year_Week_Brand]],Table35[[#All],[Key_Year_Month_Brand]],0),MATCH(Table1[[#This Row],[DC_name_Xref]],Table35[#Headers],0)),0)</f>
        <v>0</v>
      </c>
    </row>
    <row r="470" spans="1:15" x14ac:dyDescent="0.3">
      <c r="A470" s="19" t="str">
        <f>Table1[[#This Row],[Year_Week]]&amp;"-"&amp;Table1[[#This Row],[DC_name_Xref]]</f>
        <v>202044-OCC</v>
      </c>
      <c r="B470" s="19" t="str">
        <f>Table1[[#This Row],[Fiscal_Year]]*100+Table1[[#This Row],[Fiscal_Week]] &amp; "-" &amp;Table1[[#This Row],[BRAND]]</f>
        <v>202044-Banana Republic</v>
      </c>
      <c r="C470" t="str">
        <f>Table1[[#This Row],[Fiscal_Year]]&amp;"-"&amp;Table1[[#This Row],[BRAND]]</f>
        <v>2020-Banana Republic</v>
      </c>
      <c r="D470">
        <v>2020</v>
      </c>
      <c r="E470">
        <v>44</v>
      </c>
      <c r="F470" t="s">
        <v>18</v>
      </c>
      <c r="G470" t="s">
        <v>11</v>
      </c>
      <c r="H470">
        <v>7</v>
      </c>
      <c r="I470">
        <v>0</v>
      </c>
      <c r="J470" t="str">
        <f>VLOOKUP(H470,DC_Xref!A:B,2,FALSE)</f>
        <v>OCC</v>
      </c>
      <c r="K470">
        <f t="shared" si="7"/>
        <v>202044</v>
      </c>
      <c r="L470">
        <f>IFERROR(Table1[[#This Row],[Demand]]/SUMIFS(Table1[Demand],Table1[Fiscal_Year],Table1[[#This Row],[Fiscal_Year]],Table1[BRAND],Table1[[#This Row],[BRAND]],Table1[DC_name_Xref],Table1[[#This Row],[DC_name_Xref]]),0)</f>
        <v>0</v>
      </c>
      <c r="M4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70" s="3">
        <f>IFERROR(INDEX(Table3[#All],MATCH(Table1[[#This Row],[Key_Year_Week_Brand]],Table3[[#All],[Key_Year_Week_Brand]],0),MATCH(Table1[[#This Row],[DC_name_Xref]],Table3[#Headers],0)),0)</f>
        <v>0</v>
      </c>
      <c r="O470">
        <f>IFERROR(INDEX(Table35[#All],MATCH(Table1[[#This Row],[Key_Year_Week_Brand]],Table35[[#All],[Key_Year_Month_Brand]],0),MATCH(Table1[[#This Row],[DC_name_Xref]],Table35[#Headers],0)),0)</f>
        <v>0</v>
      </c>
    </row>
    <row r="471" spans="1:15" x14ac:dyDescent="0.3">
      <c r="A471" s="19" t="str">
        <f>Table1[[#This Row],[Year_Week]]&amp;"-"&amp;Table1[[#This Row],[DC_name_Xref]]</f>
        <v>202044-OFC</v>
      </c>
      <c r="B471" s="19" t="str">
        <f>Table1[[#This Row],[Fiscal_Year]]*100+Table1[[#This Row],[Fiscal_Week]] &amp; "-" &amp;Table1[[#This Row],[BRAND]]</f>
        <v>202044-Old Navy</v>
      </c>
      <c r="C471" t="str">
        <f>Table1[[#This Row],[Fiscal_Year]]&amp;"-"&amp;Table1[[#This Row],[BRAND]]</f>
        <v>2020-Old Navy</v>
      </c>
      <c r="D471">
        <v>2020</v>
      </c>
      <c r="E471">
        <v>44</v>
      </c>
      <c r="F471" t="s">
        <v>20</v>
      </c>
      <c r="G471" t="s">
        <v>5</v>
      </c>
      <c r="H471">
        <v>1</v>
      </c>
      <c r="I471">
        <v>2163235</v>
      </c>
      <c r="J471" t="str">
        <f>VLOOKUP(H471,DC_Xref!A:B,2,FALSE)</f>
        <v>OFC</v>
      </c>
      <c r="K471">
        <f t="shared" si="7"/>
        <v>202044</v>
      </c>
      <c r="L471">
        <f>IFERROR(Table1[[#This Row],[Demand]]/SUMIFS(Table1[Demand],Table1[Fiscal_Year],Table1[[#This Row],[Fiscal_Year]],Table1[BRAND],Table1[[#This Row],[BRAND]],Table1[DC_name_Xref],Table1[[#This Row],[DC_name_Xref]]),0)</f>
        <v>0.29333698371417571</v>
      </c>
      <c r="M4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0.29585489906110074</v>
      </c>
      <c r="N471" s="3">
        <f>IFERROR(INDEX(Table3[#All],MATCH(Table1[[#This Row],[Key_Year_Week_Brand]],Table3[[#All],[Key_Year_Week_Brand]],0),MATCH(Table1[[#This Row],[DC_name_Xref]],Table3[#Headers],0)),0)</f>
        <v>0.1</v>
      </c>
      <c r="O471">
        <f>IFERROR(INDEX(Table35[#All],MATCH(Table1[[#This Row],[Key_Year_Week_Brand]],Table35[[#All],[Key_Year_Month_Brand]],0),MATCH(Table1[[#This Row],[DC_name_Xref]],Table35[#Headers],0)),0)</f>
        <v>722363.10000000009</v>
      </c>
    </row>
    <row r="472" spans="1:15" x14ac:dyDescent="0.3">
      <c r="A472" s="19" t="str">
        <f>Table1[[#This Row],[Year_Week]]&amp;"-"&amp;Table1[[#This Row],[DC_name_Xref]]</f>
        <v>202044-TFC</v>
      </c>
      <c r="B472" s="19" t="str">
        <f>Table1[[#This Row],[Fiscal_Year]]*100+Table1[[#This Row],[Fiscal_Week]] &amp; "-" &amp;Table1[[#This Row],[BRAND]]</f>
        <v>202044-Old Navy</v>
      </c>
      <c r="C472" t="str">
        <f>Table1[[#This Row],[Fiscal_Year]]&amp;"-"&amp;Table1[[#This Row],[BRAND]]</f>
        <v>2020-Old Navy</v>
      </c>
      <c r="D472">
        <v>2020</v>
      </c>
      <c r="E472">
        <v>44</v>
      </c>
      <c r="F472" t="s">
        <v>20</v>
      </c>
      <c r="G472" t="s">
        <v>21</v>
      </c>
      <c r="H472">
        <v>2</v>
      </c>
      <c r="I472">
        <v>854412</v>
      </c>
      <c r="J472" t="str">
        <f>VLOOKUP(H472,DC_Xref!A:B,2,FALSE)</f>
        <v>TFC</v>
      </c>
      <c r="K472">
        <f t="shared" si="7"/>
        <v>202044</v>
      </c>
      <c r="L472">
        <f>IFERROR(Table1[[#This Row],[Demand]]/SUMIFS(Table1[Demand],Table1[Fiscal_Year],Table1[[#This Row],[Fiscal_Year]],Table1[BRAND],Table1[[#This Row],[BRAND]],Table1[DC_name_Xref],Table1[[#This Row],[DC_name_Xref]]),0)</f>
        <v>0.20154991215340223</v>
      </c>
      <c r="M4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0.17006956944341195</v>
      </c>
      <c r="N472" s="3">
        <f>IFERROR(INDEX(Table3[#All],MATCH(Table1[[#This Row],[Key_Year_Week_Brand]],Table3[[#All],[Key_Year_Week_Brand]],0),MATCH(Table1[[#This Row],[DC_name_Xref]],Table3[#Headers],0)),0)</f>
        <v>0.2</v>
      </c>
      <c r="O472">
        <f>IFERROR(INDEX(Table35[#All],MATCH(Table1[[#This Row],[Key_Year_Week_Brand]],Table35[[#All],[Key_Year_Month_Brand]],0),MATCH(Table1[[#This Row],[DC_name_Xref]],Table35[#Headers],0)),0)</f>
        <v>1444726.2000000002</v>
      </c>
    </row>
    <row r="473" spans="1:15" x14ac:dyDescent="0.3">
      <c r="A473" s="19" t="str">
        <f>Table1[[#This Row],[Year_Week]]&amp;"-"&amp;Table1[[#This Row],[DC_name_Xref]]</f>
        <v>202044-WFC</v>
      </c>
      <c r="B473" s="19" t="str">
        <f>Table1[[#This Row],[Fiscal_Year]]*100+Table1[[#This Row],[Fiscal_Week]] &amp; "-" &amp;Table1[[#This Row],[BRAND]]</f>
        <v>202044-Old Navy</v>
      </c>
      <c r="C473" t="str">
        <f>Table1[[#This Row],[Fiscal_Year]]&amp;"-"&amp;Table1[[#This Row],[BRAND]]</f>
        <v>2020-Old Navy</v>
      </c>
      <c r="D473">
        <v>2020</v>
      </c>
      <c r="E473">
        <v>44</v>
      </c>
      <c r="F473" t="s">
        <v>20</v>
      </c>
      <c r="G473" t="s">
        <v>7</v>
      </c>
      <c r="H473">
        <v>3</v>
      </c>
      <c r="I473">
        <v>1464482</v>
      </c>
      <c r="J473" t="str">
        <f>VLOOKUP(H473,DC_Xref!A:B,2,FALSE)</f>
        <v>WFC</v>
      </c>
      <c r="K473">
        <f t="shared" si="7"/>
        <v>202044</v>
      </c>
      <c r="L473">
        <f>IFERROR(Table1[[#This Row],[Demand]]/SUMIFS(Table1[Demand],Table1[Fiscal_Year],Table1[[#This Row],[Fiscal_Year]],Table1[BRAND],Table1[[#This Row],[BRAND]],Table1[DC_name_Xref],Table1[[#This Row],[DC_name_Xref]]),0)</f>
        <v>0.29131461987699192</v>
      </c>
      <c r="M4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0.20168037660758306</v>
      </c>
      <c r="N473" s="3">
        <f>IFERROR(INDEX(Table3[#All],MATCH(Table1[[#This Row],[Key_Year_Week_Brand]],Table3[[#All],[Key_Year_Week_Brand]],0),MATCH(Table1[[#This Row],[DC_name_Xref]],Table3[#Headers],0)),0)</f>
        <v>0.02</v>
      </c>
      <c r="O473">
        <f>IFERROR(INDEX(Table35[#All],MATCH(Table1[[#This Row],[Key_Year_Week_Brand]],Table35[[#All],[Key_Year_Month_Brand]],0),MATCH(Table1[[#This Row],[DC_name_Xref]],Table35[#Headers],0)),0)</f>
        <v>144472.62</v>
      </c>
    </row>
    <row r="474" spans="1:15" x14ac:dyDescent="0.3">
      <c r="A474" s="19" t="str">
        <f>Table1[[#This Row],[Year_Week]]&amp;"-"&amp;Table1[[#This Row],[DC_name_Xref]]</f>
        <v>202044-EAO</v>
      </c>
      <c r="B474" s="19" t="str">
        <f>Table1[[#This Row],[Fiscal_Year]]*100+Table1[[#This Row],[Fiscal_Week]] &amp; "-" &amp;Table1[[#This Row],[BRAND]]</f>
        <v>202044-Old Navy</v>
      </c>
      <c r="C474" t="str">
        <f>Table1[[#This Row],[Fiscal_Year]]&amp;"-"&amp;Table1[[#This Row],[BRAND]]</f>
        <v>2020-Old Navy</v>
      </c>
      <c r="D474">
        <v>2020</v>
      </c>
      <c r="E474">
        <v>44</v>
      </c>
      <c r="F474" t="s">
        <v>20</v>
      </c>
      <c r="G474" t="s">
        <v>8</v>
      </c>
      <c r="H474">
        <v>4</v>
      </c>
      <c r="I474">
        <v>2741502</v>
      </c>
      <c r="J474" t="str">
        <f>VLOOKUP(H474,DC_Xref!A:B,2,FALSE)</f>
        <v>EAO</v>
      </c>
      <c r="K474">
        <f t="shared" si="7"/>
        <v>202044</v>
      </c>
      <c r="L474">
        <f>IFERROR(Table1[[#This Row],[Demand]]/SUMIFS(Table1[Demand],Table1[Fiscal_Year],Table1[[#This Row],[Fiscal_Year]],Table1[BRAND],Table1[[#This Row],[BRAND]],Table1[DC_name_Xref],Table1[[#This Row],[DC_name_Xref]]),0)</f>
        <v>0.33088400095252041</v>
      </c>
      <c r="M4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0.33239515488790422</v>
      </c>
      <c r="N474" s="3">
        <f>IFERROR(INDEX(Table3[#All],MATCH(Table1[[#This Row],[Key_Year_Week_Brand]],Table3[[#All],[Key_Year_Week_Brand]],0),MATCH(Table1[[#This Row],[DC_name_Xref]],Table3[#Headers],0)),0)</f>
        <v>0.41</v>
      </c>
      <c r="O474">
        <f>IFERROR(INDEX(Table35[#All],MATCH(Table1[[#This Row],[Key_Year_Week_Brand]],Table35[[#All],[Key_Year_Month_Brand]],0),MATCH(Table1[[#This Row],[DC_name_Xref]],Table35[#Headers],0)),0)</f>
        <v>2961688.71</v>
      </c>
    </row>
    <row r="475" spans="1:15" x14ac:dyDescent="0.3">
      <c r="A475" s="19" t="str">
        <f>Table1[[#This Row],[Year_Week]]&amp;"-"&amp;Table1[[#This Row],[DC_name_Xref]]</f>
        <v>202044-FFC-ODC</v>
      </c>
      <c r="B475" s="19" t="str">
        <f>Table1[[#This Row],[Fiscal_Year]]*100+Table1[[#This Row],[Fiscal_Week]] &amp; "-" &amp;Table1[[#This Row],[BRAND]]</f>
        <v>202044-Old Navy</v>
      </c>
      <c r="C475" t="str">
        <f>Table1[[#This Row],[Fiscal_Year]]&amp;"-"&amp;Table1[[#This Row],[BRAND]]</f>
        <v>2020-Old Navy</v>
      </c>
      <c r="D475">
        <v>2020</v>
      </c>
      <c r="E475">
        <v>44</v>
      </c>
      <c r="F475" t="s">
        <v>20</v>
      </c>
      <c r="G475" t="s">
        <v>23</v>
      </c>
      <c r="H475">
        <v>5</v>
      </c>
      <c r="I475">
        <v>0</v>
      </c>
      <c r="J475" t="str">
        <f>VLOOKUP(H475,DC_Xref!A:B,2,FALSE)</f>
        <v>FFC-ODC</v>
      </c>
      <c r="K475">
        <f t="shared" si="7"/>
        <v>202044</v>
      </c>
      <c r="L475">
        <f>IFERROR(Table1[[#This Row],[Demand]]/SUMIFS(Table1[Demand],Table1[Fiscal_Year],Table1[[#This Row],[Fiscal_Year]],Table1[BRAND],Table1[[#This Row],[BRAND]],Table1[DC_name_Xref],Table1[[#This Row],[DC_name_Xref]]),0)</f>
        <v>0</v>
      </c>
      <c r="M4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75" s="3">
        <f>IFERROR(INDEX(Table3[#All],MATCH(Table1[[#This Row],[Key_Year_Week_Brand]],Table3[[#All],[Key_Year_Week_Brand]],0),MATCH(Table1[[#This Row],[DC_name_Xref]],Table3[#Headers],0)),0)</f>
        <v>0</v>
      </c>
      <c r="O475">
        <f>IFERROR(INDEX(Table35[#All],MATCH(Table1[[#This Row],[Key_Year_Week_Brand]],Table35[[#All],[Key_Year_Month_Brand]],0),MATCH(Table1[[#This Row],[DC_name_Xref]],Table35[#Headers],0)),0)</f>
        <v>0</v>
      </c>
    </row>
    <row r="476" spans="1:15" x14ac:dyDescent="0.3">
      <c r="A476" s="19" t="str">
        <f>Table1[[#This Row],[Year_Week]]&amp;"-"&amp;Table1[[#This Row],[DC_name_Xref]]</f>
        <v>202044-WEO</v>
      </c>
      <c r="B476" s="19" t="str">
        <f>Table1[[#This Row],[Fiscal_Year]]*100+Table1[[#This Row],[Fiscal_Week]] &amp; "-" &amp;Table1[[#This Row],[BRAND]]</f>
        <v>202044-Old Navy</v>
      </c>
      <c r="C476" t="str">
        <f>Table1[[#This Row],[Fiscal_Year]]&amp;"-"&amp;Table1[[#This Row],[BRAND]]</f>
        <v>2020-Old Navy</v>
      </c>
      <c r="D476">
        <v>2020</v>
      </c>
      <c r="E476">
        <v>44</v>
      </c>
      <c r="F476" t="s">
        <v>20</v>
      </c>
      <c r="G476" t="s">
        <v>10</v>
      </c>
      <c r="H476">
        <v>6</v>
      </c>
      <c r="I476">
        <v>0</v>
      </c>
      <c r="J476" t="str">
        <f>VLOOKUP(H476,DC_Xref!A:B,2,FALSE)</f>
        <v>WEO</v>
      </c>
      <c r="K476">
        <f t="shared" si="7"/>
        <v>202044</v>
      </c>
      <c r="L476">
        <f>IFERROR(Table1[[#This Row],[Demand]]/SUMIFS(Table1[Demand],Table1[Fiscal_Year],Table1[[#This Row],[Fiscal_Year]],Table1[BRAND],Table1[[#This Row],[BRAND]],Table1[DC_name_Xref],Table1[[#This Row],[DC_name_Xref]]),0)</f>
        <v>0</v>
      </c>
      <c r="M4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76" s="3">
        <f>IFERROR(INDEX(Table3[#All],MATCH(Table1[[#This Row],[Key_Year_Week_Brand]],Table3[[#All],[Key_Year_Week_Brand]],0),MATCH(Table1[[#This Row],[DC_name_Xref]],Table3[#Headers],0)),0)</f>
        <v>0.27</v>
      </c>
      <c r="O476">
        <f>IFERROR(INDEX(Table35[#All],MATCH(Table1[[#This Row],[Key_Year_Week_Brand]],Table35[[#All],[Key_Year_Month_Brand]],0),MATCH(Table1[[#This Row],[DC_name_Xref]],Table35[#Headers],0)),0)</f>
        <v>1950380.37</v>
      </c>
    </row>
    <row r="477" spans="1:15" x14ac:dyDescent="0.3">
      <c r="A477" s="19" t="str">
        <f>Table1[[#This Row],[Year_Week]]&amp;"-"&amp;Table1[[#This Row],[DC_name_Xref]]</f>
        <v>202044-OCC</v>
      </c>
      <c r="B477" s="19" t="str">
        <f>Table1[[#This Row],[Fiscal_Year]]*100+Table1[[#This Row],[Fiscal_Week]] &amp; "-" &amp;Table1[[#This Row],[BRAND]]</f>
        <v>202044-Old Navy</v>
      </c>
      <c r="C477" t="str">
        <f>Table1[[#This Row],[Fiscal_Year]]&amp;"-"&amp;Table1[[#This Row],[BRAND]]</f>
        <v>2020-Old Navy</v>
      </c>
      <c r="D477">
        <v>2020</v>
      </c>
      <c r="E477">
        <v>44</v>
      </c>
      <c r="F477" t="s">
        <v>20</v>
      </c>
      <c r="G477" t="s">
        <v>11</v>
      </c>
      <c r="H477">
        <v>7</v>
      </c>
      <c r="I477">
        <v>0</v>
      </c>
      <c r="J477" t="str">
        <f>VLOOKUP(H477,DC_Xref!A:B,2,FALSE)</f>
        <v>OCC</v>
      </c>
      <c r="K477">
        <f t="shared" si="7"/>
        <v>202044</v>
      </c>
      <c r="L477">
        <f>IFERROR(Table1[[#This Row],[Demand]]/SUMIFS(Table1[Demand],Table1[Fiscal_Year],Table1[[#This Row],[Fiscal_Year]],Table1[BRAND],Table1[[#This Row],[BRAND]],Table1[DC_name_Xref],Table1[[#This Row],[DC_name_Xref]]),0)</f>
        <v>0</v>
      </c>
      <c r="M4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77" s="3">
        <f>IFERROR(INDEX(Table3[#All],MATCH(Table1[[#This Row],[Key_Year_Week_Brand]],Table3[[#All],[Key_Year_Week_Brand]],0),MATCH(Table1[[#This Row],[DC_name_Xref]],Table3[#Headers],0)),0)</f>
        <v>0</v>
      </c>
      <c r="O477">
        <f>IFERROR(INDEX(Table35[#All],MATCH(Table1[[#This Row],[Key_Year_Week_Brand]],Table35[[#All],[Key_Year_Month_Brand]],0),MATCH(Table1[[#This Row],[DC_name_Xref]],Table35[#Headers],0)),0)</f>
        <v>0</v>
      </c>
    </row>
    <row r="478" spans="1:15" x14ac:dyDescent="0.3">
      <c r="A478" s="19" t="str">
        <f>Table1[[#This Row],[Year_Week]]&amp;"-"&amp;Table1[[#This Row],[DC_name_Xref]]</f>
        <v>202044-OFC</v>
      </c>
      <c r="B478" s="19" t="str">
        <f>Table1[[#This Row],[Fiscal_Year]]*100+Table1[[#This Row],[Fiscal_Week]] &amp; "-" &amp;Table1[[#This Row],[BRAND]]</f>
        <v>202044-BR Factory Store</v>
      </c>
      <c r="C478" t="str">
        <f>Table1[[#This Row],[Fiscal_Year]]&amp;"-"&amp;Table1[[#This Row],[BRAND]]</f>
        <v>2020-BR Factory Store</v>
      </c>
      <c r="D478">
        <v>2020</v>
      </c>
      <c r="E478">
        <v>44</v>
      </c>
      <c r="F478" t="s">
        <v>17</v>
      </c>
      <c r="G478" t="s">
        <v>5</v>
      </c>
      <c r="H478">
        <v>1</v>
      </c>
      <c r="I478">
        <v>387241</v>
      </c>
      <c r="J478" t="str">
        <f>VLOOKUP(H478,DC_Xref!A:B,2,FALSE)</f>
        <v>OFC</v>
      </c>
      <c r="K478">
        <f t="shared" si="7"/>
        <v>202044</v>
      </c>
      <c r="L478">
        <f>IFERROR(Table1[[#This Row],[Demand]]/SUMIFS(Table1[Demand],Table1[Fiscal_Year],Table1[[#This Row],[Fiscal_Year]],Table1[BRAND],Table1[[#This Row],[BRAND]],Table1[DC_name_Xref],Table1[[#This Row],[DC_name_Xref]]),0)</f>
        <v>0.27836535178362837</v>
      </c>
      <c r="M4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478" s="3">
        <f>IFERROR(INDEX(Table3[#All],MATCH(Table1[[#This Row],[Key_Year_Week_Brand]],Table3[[#All],[Key_Year_Week_Brand]],0),MATCH(Table1[[#This Row],[DC_name_Xref]],Table3[#Headers],0)),0)</f>
        <v>1</v>
      </c>
      <c r="O478">
        <f>IFERROR(INDEX(Table35[#All],MATCH(Table1[[#This Row],[Key_Year_Week_Brand]],Table35[[#All],[Key_Year_Month_Brand]],0),MATCH(Table1[[#This Row],[DC_name_Xref]],Table35[#Headers],0)),0)</f>
        <v>387241</v>
      </c>
    </row>
    <row r="479" spans="1:15" x14ac:dyDescent="0.3">
      <c r="A479" s="19" t="str">
        <f>Table1[[#This Row],[Year_Week]]&amp;"-"&amp;Table1[[#This Row],[DC_name_Xref]]</f>
        <v>202044-TFC</v>
      </c>
      <c r="B479" s="19" t="str">
        <f>Table1[[#This Row],[Fiscal_Year]]*100+Table1[[#This Row],[Fiscal_Week]] &amp; "-" &amp;Table1[[#This Row],[BRAND]]</f>
        <v>202044-BR Factory Store</v>
      </c>
      <c r="C479" t="str">
        <f>Table1[[#This Row],[Fiscal_Year]]&amp;"-"&amp;Table1[[#This Row],[BRAND]]</f>
        <v>2020-BR Factory Store</v>
      </c>
      <c r="D479">
        <v>2020</v>
      </c>
      <c r="E479">
        <v>44</v>
      </c>
      <c r="F479" t="s">
        <v>17</v>
      </c>
      <c r="G479" t="s">
        <v>21</v>
      </c>
      <c r="H479">
        <v>2</v>
      </c>
      <c r="I479">
        <v>0</v>
      </c>
      <c r="J479" t="str">
        <f>VLOOKUP(H479,DC_Xref!A:B,2,FALSE)</f>
        <v>TFC</v>
      </c>
      <c r="K479">
        <f t="shared" si="7"/>
        <v>202044</v>
      </c>
      <c r="L479">
        <f>IFERROR(Table1[[#This Row],[Demand]]/SUMIFS(Table1[Demand],Table1[Fiscal_Year],Table1[[#This Row],[Fiscal_Year]],Table1[BRAND],Table1[[#This Row],[BRAND]],Table1[DC_name_Xref],Table1[[#This Row],[DC_name_Xref]]),0)</f>
        <v>0</v>
      </c>
      <c r="M4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79" s="3">
        <f>IFERROR(INDEX(Table3[#All],MATCH(Table1[[#This Row],[Key_Year_Week_Brand]],Table3[[#All],[Key_Year_Week_Brand]],0),MATCH(Table1[[#This Row],[DC_name_Xref]],Table3[#Headers],0)),0)</f>
        <v>0</v>
      </c>
      <c r="O479">
        <f>IFERROR(INDEX(Table35[#All],MATCH(Table1[[#This Row],[Key_Year_Week_Brand]],Table35[[#All],[Key_Year_Month_Brand]],0),MATCH(Table1[[#This Row],[DC_name_Xref]],Table35[#Headers],0)),0)</f>
        <v>0</v>
      </c>
    </row>
    <row r="480" spans="1:15" x14ac:dyDescent="0.3">
      <c r="A480" s="19" t="str">
        <f>Table1[[#This Row],[Year_Week]]&amp;"-"&amp;Table1[[#This Row],[DC_name_Xref]]</f>
        <v>202044-WFC</v>
      </c>
      <c r="B480" s="19" t="str">
        <f>Table1[[#This Row],[Fiscal_Year]]*100+Table1[[#This Row],[Fiscal_Week]] &amp; "-" &amp;Table1[[#This Row],[BRAND]]</f>
        <v>202044-BR Factory Store</v>
      </c>
      <c r="C480" t="str">
        <f>Table1[[#This Row],[Fiscal_Year]]&amp;"-"&amp;Table1[[#This Row],[BRAND]]</f>
        <v>2020-BR Factory Store</v>
      </c>
      <c r="D480">
        <v>2020</v>
      </c>
      <c r="E480">
        <v>44</v>
      </c>
      <c r="F480" t="s">
        <v>17</v>
      </c>
      <c r="G480" t="s">
        <v>7</v>
      </c>
      <c r="H480">
        <v>3</v>
      </c>
      <c r="I480">
        <v>0</v>
      </c>
      <c r="J480" t="str">
        <f>VLOOKUP(H480,DC_Xref!A:B,2,FALSE)</f>
        <v>WFC</v>
      </c>
      <c r="K480">
        <f t="shared" si="7"/>
        <v>202044</v>
      </c>
      <c r="L480">
        <f>IFERROR(Table1[[#This Row],[Demand]]/SUMIFS(Table1[Demand],Table1[Fiscal_Year],Table1[[#This Row],[Fiscal_Year]],Table1[BRAND],Table1[[#This Row],[BRAND]],Table1[DC_name_Xref],Table1[[#This Row],[DC_name_Xref]]),0)</f>
        <v>0</v>
      </c>
      <c r="M4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0" s="3">
        <f>IFERROR(INDEX(Table3[#All],MATCH(Table1[[#This Row],[Key_Year_Week_Brand]],Table3[[#All],[Key_Year_Week_Brand]],0),MATCH(Table1[[#This Row],[DC_name_Xref]],Table3[#Headers],0)),0)</f>
        <v>0</v>
      </c>
      <c r="O480">
        <f>IFERROR(INDEX(Table35[#All],MATCH(Table1[[#This Row],[Key_Year_Week_Brand]],Table35[[#All],[Key_Year_Month_Brand]],0),MATCH(Table1[[#This Row],[DC_name_Xref]],Table35[#Headers],0)),0)</f>
        <v>0</v>
      </c>
    </row>
    <row r="481" spans="1:15" x14ac:dyDescent="0.3">
      <c r="A481" s="19" t="str">
        <f>Table1[[#This Row],[Year_Week]]&amp;"-"&amp;Table1[[#This Row],[DC_name_Xref]]</f>
        <v>202044-EAO</v>
      </c>
      <c r="B481" s="19" t="str">
        <f>Table1[[#This Row],[Fiscal_Year]]*100+Table1[[#This Row],[Fiscal_Week]] &amp; "-" &amp;Table1[[#This Row],[BRAND]]</f>
        <v>202044-BR Factory Store</v>
      </c>
      <c r="C481" t="str">
        <f>Table1[[#This Row],[Fiscal_Year]]&amp;"-"&amp;Table1[[#This Row],[BRAND]]</f>
        <v>2020-BR Factory Store</v>
      </c>
      <c r="D481">
        <v>2020</v>
      </c>
      <c r="E481">
        <v>44</v>
      </c>
      <c r="F481" t="s">
        <v>17</v>
      </c>
      <c r="G481" t="s">
        <v>8</v>
      </c>
      <c r="H481">
        <v>4</v>
      </c>
      <c r="I481">
        <v>0</v>
      </c>
      <c r="J481" t="str">
        <f>VLOOKUP(H481,DC_Xref!A:B,2,FALSE)</f>
        <v>EAO</v>
      </c>
      <c r="K481">
        <f t="shared" si="7"/>
        <v>202044</v>
      </c>
      <c r="L481">
        <f>IFERROR(Table1[[#This Row],[Demand]]/SUMIFS(Table1[Demand],Table1[Fiscal_Year],Table1[[#This Row],[Fiscal_Year]],Table1[BRAND],Table1[[#This Row],[BRAND]],Table1[DC_name_Xref],Table1[[#This Row],[DC_name_Xref]]),0)</f>
        <v>0</v>
      </c>
      <c r="M4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1" s="3">
        <f>IFERROR(INDEX(Table3[#All],MATCH(Table1[[#This Row],[Key_Year_Week_Brand]],Table3[[#All],[Key_Year_Week_Brand]],0),MATCH(Table1[[#This Row],[DC_name_Xref]],Table3[#Headers],0)),0)</f>
        <v>0</v>
      </c>
      <c r="O481">
        <f>IFERROR(INDEX(Table35[#All],MATCH(Table1[[#This Row],[Key_Year_Week_Brand]],Table35[[#All],[Key_Year_Month_Brand]],0),MATCH(Table1[[#This Row],[DC_name_Xref]],Table35[#Headers],0)),0)</f>
        <v>0</v>
      </c>
    </row>
    <row r="482" spans="1:15" x14ac:dyDescent="0.3">
      <c r="A482" s="19" t="str">
        <f>Table1[[#This Row],[Year_Week]]&amp;"-"&amp;Table1[[#This Row],[DC_name_Xref]]</f>
        <v>202044-FFC-ODC</v>
      </c>
      <c r="B482" s="19" t="str">
        <f>Table1[[#This Row],[Fiscal_Year]]*100+Table1[[#This Row],[Fiscal_Week]] &amp; "-" &amp;Table1[[#This Row],[BRAND]]</f>
        <v>202044-BR Factory Store</v>
      </c>
      <c r="C482" t="str">
        <f>Table1[[#This Row],[Fiscal_Year]]&amp;"-"&amp;Table1[[#This Row],[BRAND]]</f>
        <v>2020-BR Factory Store</v>
      </c>
      <c r="D482">
        <v>2020</v>
      </c>
      <c r="E482">
        <v>44</v>
      </c>
      <c r="F482" t="s">
        <v>17</v>
      </c>
      <c r="G482" t="s">
        <v>23</v>
      </c>
      <c r="H482">
        <v>5</v>
      </c>
      <c r="I482">
        <v>0</v>
      </c>
      <c r="J482" t="str">
        <f>VLOOKUP(H482,DC_Xref!A:B,2,FALSE)</f>
        <v>FFC-ODC</v>
      </c>
      <c r="K482">
        <f t="shared" si="7"/>
        <v>202044</v>
      </c>
      <c r="L482">
        <f>IFERROR(Table1[[#This Row],[Demand]]/SUMIFS(Table1[Demand],Table1[Fiscal_Year],Table1[[#This Row],[Fiscal_Year]],Table1[BRAND],Table1[[#This Row],[BRAND]],Table1[DC_name_Xref],Table1[[#This Row],[DC_name_Xref]]),0)</f>
        <v>0</v>
      </c>
      <c r="M4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2" s="3">
        <f>IFERROR(INDEX(Table3[#All],MATCH(Table1[[#This Row],[Key_Year_Week_Brand]],Table3[[#All],[Key_Year_Week_Brand]],0),MATCH(Table1[[#This Row],[DC_name_Xref]],Table3[#Headers],0)),0)</f>
        <v>0</v>
      </c>
      <c r="O482">
        <f>IFERROR(INDEX(Table35[#All],MATCH(Table1[[#This Row],[Key_Year_Week_Brand]],Table35[[#All],[Key_Year_Month_Brand]],0),MATCH(Table1[[#This Row],[DC_name_Xref]],Table35[#Headers],0)),0)</f>
        <v>0</v>
      </c>
    </row>
    <row r="483" spans="1:15" x14ac:dyDescent="0.3">
      <c r="A483" s="19" t="str">
        <f>Table1[[#This Row],[Year_Week]]&amp;"-"&amp;Table1[[#This Row],[DC_name_Xref]]</f>
        <v>202044-WEO</v>
      </c>
      <c r="B483" s="19" t="str">
        <f>Table1[[#This Row],[Fiscal_Year]]*100+Table1[[#This Row],[Fiscal_Week]] &amp; "-" &amp;Table1[[#This Row],[BRAND]]</f>
        <v>202044-BR Factory Store</v>
      </c>
      <c r="C483" t="str">
        <f>Table1[[#This Row],[Fiscal_Year]]&amp;"-"&amp;Table1[[#This Row],[BRAND]]</f>
        <v>2020-BR Factory Store</v>
      </c>
      <c r="D483">
        <v>2020</v>
      </c>
      <c r="E483">
        <v>44</v>
      </c>
      <c r="F483" t="s">
        <v>17</v>
      </c>
      <c r="G483" t="s">
        <v>10</v>
      </c>
      <c r="H483">
        <v>6</v>
      </c>
      <c r="I483">
        <v>0</v>
      </c>
      <c r="J483" t="str">
        <f>VLOOKUP(H483,DC_Xref!A:B,2,FALSE)</f>
        <v>WEO</v>
      </c>
      <c r="K483">
        <f t="shared" si="7"/>
        <v>202044</v>
      </c>
      <c r="L483">
        <f>IFERROR(Table1[[#This Row],[Demand]]/SUMIFS(Table1[Demand],Table1[Fiscal_Year],Table1[[#This Row],[Fiscal_Year]],Table1[BRAND],Table1[[#This Row],[BRAND]],Table1[DC_name_Xref],Table1[[#This Row],[DC_name_Xref]]),0)</f>
        <v>0</v>
      </c>
      <c r="M4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3" s="3">
        <f>IFERROR(INDEX(Table3[#All],MATCH(Table1[[#This Row],[Key_Year_Week_Brand]],Table3[[#All],[Key_Year_Week_Brand]],0),MATCH(Table1[[#This Row],[DC_name_Xref]],Table3[#Headers],0)),0)</f>
        <v>0</v>
      </c>
      <c r="O483">
        <f>IFERROR(INDEX(Table35[#All],MATCH(Table1[[#This Row],[Key_Year_Week_Brand]],Table35[[#All],[Key_Year_Month_Brand]],0),MATCH(Table1[[#This Row],[DC_name_Xref]],Table35[#Headers],0)),0)</f>
        <v>0</v>
      </c>
    </row>
    <row r="484" spans="1:15" x14ac:dyDescent="0.3">
      <c r="A484" s="19" t="str">
        <f>Table1[[#This Row],[Year_Week]]&amp;"-"&amp;Table1[[#This Row],[DC_name_Xref]]</f>
        <v>202044-OCC</v>
      </c>
      <c r="B484" s="19" t="str">
        <f>Table1[[#This Row],[Fiscal_Year]]*100+Table1[[#This Row],[Fiscal_Week]] &amp; "-" &amp;Table1[[#This Row],[BRAND]]</f>
        <v>202044-BR Factory Store</v>
      </c>
      <c r="C484" t="str">
        <f>Table1[[#This Row],[Fiscal_Year]]&amp;"-"&amp;Table1[[#This Row],[BRAND]]</f>
        <v>2020-BR Factory Store</v>
      </c>
      <c r="D484">
        <v>2020</v>
      </c>
      <c r="E484">
        <v>44</v>
      </c>
      <c r="F484" t="s">
        <v>17</v>
      </c>
      <c r="G484" t="s">
        <v>11</v>
      </c>
      <c r="H484">
        <v>7</v>
      </c>
      <c r="I484">
        <v>0</v>
      </c>
      <c r="J484" t="str">
        <f>VLOOKUP(H484,DC_Xref!A:B,2,FALSE)</f>
        <v>OCC</v>
      </c>
      <c r="K484">
        <f t="shared" si="7"/>
        <v>202044</v>
      </c>
      <c r="L484">
        <f>IFERROR(Table1[[#This Row],[Demand]]/SUMIFS(Table1[Demand],Table1[Fiscal_Year],Table1[[#This Row],[Fiscal_Year]],Table1[BRAND],Table1[[#This Row],[BRAND]],Table1[DC_name_Xref],Table1[[#This Row],[DC_name_Xref]]),0)</f>
        <v>0</v>
      </c>
      <c r="M4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4" s="3">
        <f>IFERROR(INDEX(Table3[#All],MATCH(Table1[[#This Row],[Key_Year_Week_Brand]],Table3[[#All],[Key_Year_Week_Brand]],0),MATCH(Table1[[#This Row],[DC_name_Xref]],Table3[#Headers],0)),0)</f>
        <v>0</v>
      </c>
      <c r="O484">
        <f>IFERROR(INDEX(Table35[#All],MATCH(Table1[[#This Row],[Key_Year_Week_Brand]],Table35[[#All],[Key_Year_Month_Brand]],0),MATCH(Table1[[#This Row],[DC_name_Xref]],Table35[#Headers],0)),0)</f>
        <v>0</v>
      </c>
    </row>
    <row r="485" spans="1:15" x14ac:dyDescent="0.3">
      <c r="A485" s="19" t="str">
        <f>Table1[[#This Row],[Year_Week]]&amp;"-"&amp;Table1[[#This Row],[DC_name_Xref]]</f>
        <v>202044-OFC</v>
      </c>
      <c r="B485" s="19" t="str">
        <f>Table1[[#This Row],[Fiscal_Year]]*100+Table1[[#This Row],[Fiscal_Week]] &amp; "-" &amp;Table1[[#This Row],[BRAND]]</f>
        <v>202044-Gap</v>
      </c>
      <c r="C485" t="str">
        <f>Table1[[#This Row],[Fiscal_Year]]&amp;"-"&amp;Table1[[#This Row],[BRAND]]</f>
        <v>2020-Gap</v>
      </c>
      <c r="D485">
        <v>2020</v>
      </c>
      <c r="E485">
        <v>44</v>
      </c>
      <c r="F485" t="s">
        <v>16</v>
      </c>
      <c r="G485" t="s">
        <v>5</v>
      </c>
      <c r="H485">
        <v>1</v>
      </c>
      <c r="I485">
        <v>2116740</v>
      </c>
      <c r="J485" t="str">
        <f>VLOOKUP(H485,DC_Xref!A:B,2,FALSE)</f>
        <v>OFC</v>
      </c>
      <c r="K485">
        <f t="shared" si="7"/>
        <v>202044</v>
      </c>
      <c r="L485">
        <f>IFERROR(Table1[[#This Row],[Demand]]/SUMIFS(Table1[Demand],Table1[Fiscal_Year],Table1[[#This Row],[Fiscal_Year]],Table1[BRAND],Table1[[#This Row],[BRAND]],Table1[DC_name_Xref],Table1[[#This Row],[DC_name_Xref]]),0)</f>
        <v>0.26956067165400305</v>
      </c>
      <c r="M4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0.66900241512227088</v>
      </c>
      <c r="N485" s="3">
        <f>IFERROR(INDEX(Table3[#All],MATCH(Table1[[#This Row],[Key_Year_Week_Brand]],Table3[[#All],[Key_Year_Week_Brand]],0),MATCH(Table1[[#This Row],[DC_name_Xref]],Table3[#Headers],0)),0)</f>
        <v>0.25</v>
      </c>
      <c r="O485">
        <f>IFERROR(INDEX(Table35[#All],MATCH(Table1[[#This Row],[Key_Year_Week_Brand]],Table35[[#All],[Key_Year_Month_Brand]],0),MATCH(Table1[[#This Row],[DC_name_Xref]],Table35[#Headers],0)),0)</f>
        <v>819567.5</v>
      </c>
    </row>
    <row r="486" spans="1:15" x14ac:dyDescent="0.3">
      <c r="A486" s="19" t="str">
        <f>Table1[[#This Row],[Year_Week]]&amp;"-"&amp;Table1[[#This Row],[DC_name_Xref]]</f>
        <v>202044-TFC</v>
      </c>
      <c r="B486" s="19" t="str">
        <f>Table1[[#This Row],[Fiscal_Year]]*100+Table1[[#This Row],[Fiscal_Week]] &amp; "-" &amp;Table1[[#This Row],[BRAND]]</f>
        <v>202044-Gap</v>
      </c>
      <c r="C486" t="str">
        <f>Table1[[#This Row],[Fiscal_Year]]&amp;"-"&amp;Table1[[#This Row],[BRAND]]</f>
        <v>2020-Gap</v>
      </c>
      <c r="D486">
        <v>2020</v>
      </c>
      <c r="E486">
        <v>44</v>
      </c>
      <c r="F486" t="s">
        <v>16</v>
      </c>
      <c r="G486" t="s">
        <v>21</v>
      </c>
      <c r="H486">
        <v>2</v>
      </c>
      <c r="I486">
        <v>116</v>
      </c>
      <c r="J486" t="str">
        <f>VLOOKUP(H486,DC_Xref!A:B,2,FALSE)</f>
        <v>TFC</v>
      </c>
      <c r="K486">
        <f t="shared" si="7"/>
        <v>202044</v>
      </c>
      <c r="L486">
        <f>IFERROR(Table1[[#This Row],[Demand]]/SUMIFS(Table1[Demand],Table1[Fiscal_Year],Table1[[#This Row],[Fiscal_Year]],Table1[BRAND],Table1[[#This Row],[BRAND]],Table1[DC_name_Xref],Table1[[#This Row],[DC_name_Xref]]),0)</f>
        <v>8.209483368719038E-2</v>
      </c>
      <c r="M4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1.2038125330771561E-4</v>
      </c>
      <c r="N486" s="3">
        <f>IFERROR(INDEX(Table3[#All],MATCH(Table1[[#This Row],[Key_Year_Week_Brand]],Table3[[#All],[Key_Year_Week_Brand]],0),MATCH(Table1[[#This Row],[DC_name_Xref]],Table3[#Headers],0)),0)</f>
        <v>0.2</v>
      </c>
      <c r="O486">
        <f>IFERROR(INDEX(Table35[#All],MATCH(Table1[[#This Row],[Key_Year_Week_Brand]],Table35[[#All],[Key_Year_Month_Brand]],0),MATCH(Table1[[#This Row],[DC_name_Xref]],Table35[#Headers],0)),0)</f>
        <v>655654</v>
      </c>
    </row>
    <row r="487" spans="1:15" x14ac:dyDescent="0.3">
      <c r="A487" s="19" t="str">
        <f>Table1[[#This Row],[Year_Week]]&amp;"-"&amp;Table1[[#This Row],[DC_name_Xref]]</f>
        <v>202044-WFC</v>
      </c>
      <c r="B487" s="19" t="str">
        <f>Table1[[#This Row],[Fiscal_Year]]*100+Table1[[#This Row],[Fiscal_Week]] &amp; "-" &amp;Table1[[#This Row],[BRAND]]</f>
        <v>202044-Gap</v>
      </c>
      <c r="C487" t="str">
        <f>Table1[[#This Row],[Fiscal_Year]]&amp;"-"&amp;Table1[[#This Row],[BRAND]]</f>
        <v>2020-Gap</v>
      </c>
      <c r="D487">
        <v>2020</v>
      </c>
      <c r="E487">
        <v>44</v>
      </c>
      <c r="F487" t="s">
        <v>16</v>
      </c>
      <c r="G487" t="s">
        <v>7</v>
      </c>
      <c r="H487">
        <v>3</v>
      </c>
      <c r="I487">
        <v>80148</v>
      </c>
      <c r="J487" t="str">
        <f>VLOOKUP(H487,DC_Xref!A:B,2,FALSE)</f>
        <v>WFC</v>
      </c>
      <c r="K487">
        <f t="shared" si="7"/>
        <v>202044</v>
      </c>
      <c r="L487">
        <f>IFERROR(Table1[[#This Row],[Demand]]/SUMIFS(Table1[Demand],Table1[Fiscal_Year],Table1[[#This Row],[Fiscal_Year]],Table1[BRAND],Table1[[#This Row],[BRAND]],Table1[DC_name_Xref],Table1[[#This Row],[DC_name_Xref]]),0)</f>
        <v>0.2866595372559399</v>
      </c>
      <c r="M4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2.3820067767915166E-2</v>
      </c>
      <c r="N487" s="3">
        <f>IFERROR(INDEX(Table3[#All],MATCH(Table1[[#This Row],[Key_Year_Week_Brand]],Table3[[#All],[Key_Year_Week_Brand]],0),MATCH(Table1[[#This Row],[DC_name_Xref]],Table3[#Headers],0)),0)</f>
        <v>0.15</v>
      </c>
      <c r="O487">
        <f>IFERROR(INDEX(Table35[#All],MATCH(Table1[[#This Row],[Key_Year_Week_Brand]],Table35[[#All],[Key_Year_Month_Brand]],0),MATCH(Table1[[#This Row],[DC_name_Xref]],Table35[#Headers],0)),0)</f>
        <v>491740.5</v>
      </c>
    </row>
    <row r="488" spans="1:15" x14ac:dyDescent="0.3">
      <c r="A488" s="19" t="str">
        <f>Table1[[#This Row],[Year_Week]]&amp;"-"&amp;Table1[[#This Row],[DC_name_Xref]]</f>
        <v>202044-OFC</v>
      </c>
      <c r="B488" s="19" t="str">
        <f>Table1[[#This Row],[Fiscal_Year]]*100+Table1[[#This Row],[Fiscal_Week]] &amp; "-" &amp;Table1[[#This Row],[BRAND]]</f>
        <v>202044-Gap Factory Store</v>
      </c>
      <c r="C488" t="str">
        <f>Table1[[#This Row],[Fiscal_Year]]&amp;"-"&amp;Table1[[#This Row],[BRAND]]</f>
        <v>2020-Gap Factory Store</v>
      </c>
      <c r="D488">
        <v>2020</v>
      </c>
      <c r="E488">
        <v>44</v>
      </c>
      <c r="F488" t="s">
        <v>22</v>
      </c>
      <c r="G488" t="s">
        <v>5</v>
      </c>
      <c r="H488">
        <v>1</v>
      </c>
      <c r="I488">
        <v>1087987</v>
      </c>
      <c r="J488" t="str">
        <f>VLOOKUP(H488,DC_Xref!A:B,2,FALSE)</f>
        <v>OFC</v>
      </c>
      <c r="K488">
        <f t="shared" si="7"/>
        <v>202044</v>
      </c>
      <c r="L488">
        <f>IFERROR(Table1[[#This Row],[Demand]]/SUMIFS(Table1[Demand],Table1[Fiscal_Year],Table1[[#This Row],[Fiscal_Year]],Table1[BRAND],Table1[[#This Row],[BRAND]],Table1[DC_name_Xref],Table1[[#This Row],[DC_name_Xref]]),0)</f>
        <v>0.31101435628549517</v>
      </c>
      <c r="M4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488" s="3">
        <f>IFERROR(INDEX(Table3[#All],MATCH(Table1[[#This Row],[Key_Year_Week_Brand]],Table3[[#All],[Key_Year_Week_Brand]],0),MATCH(Table1[[#This Row],[DC_name_Xref]],Table3[#Headers],0)),0)</f>
        <v>1</v>
      </c>
      <c r="O488">
        <f>IFERROR(INDEX(Table35[#All],MATCH(Table1[[#This Row],[Key_Year_Week_Brand]],Table35[[#All],[Key_Year_Month_Brand]],0),MATCH(Table1[[#This Row],[DC_name_Xref]],Table35[#Headers],0)),0)</f>
        <v>1087987</v>
      </c>
    </row>
    <row r="489" spans="1:15" x14ac:dyDescent="0.3">
      <c r="A489" s="19" t="str">
        <f>Table1[[#This Row],[Year_Week]]&amp;"-"&amp;Table1[[#This Row],[DC_name_Xref]]</f>
        <v>202044-TFC</v>
      </c>
      <c r="B489" s="19" t="str">
        <f>Table1[[#This Row],[Fiscal_Year]]*100+Table1[[#This Row],[Fiscal_Week]] &amp; "-" &amp;Table1[[#This Row],[BRAND]]</f>
        <v>202044-Gap Factory Store</v>
      </c>
      <c r="C489" t="str">
        <f>Table1[[#This Row],[Fiscal_Year]]&amp;"-"&amp;Table1[[#This Row],[BRAND]]</f>
        <v>2020-Gap Factory Store</v>
      </c>
      <c r="D489">
        <v>2020</v>
      </c>
      <c r="E489">
        <v>44</v>
      </c>
      <c r="F489" t="s">
        <v>22</v>
      </c>
      <c r="G489" t="s">
        <v>21</v>
      </c>
      <c r="H489">
        <v>2</v>
      </c>
      <c r="I489">
        <v>0</v>
      </c>
      <c r="J489" t="str">
        <f>VLOOKUP(H489,DC_Xref!A:B,2,FALSE)</f>
        <v>TFC</v>
      </c>
      <c r="K489">
        <f t="shared" si="7"/>
        <v>202044</v>
      </c>
      <c r="L489">
        <f>IFERROR(Table1[[#This Row],[Demand]]/SUMIFS(Table1[Demand],Table1[Fiscal_Year],Table1[[#This Row],[Fiscal_Year]],Table1[BRAND],Table1[[#This Row],[BRAND]],Table1[DC_name_Xref],Table1[[#This Row],[DC_name_Xref]]),0)</f>
        <v>0</v>
      </c>
      <c r="M4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89" s="3">
        <f>IFERROR(INDEX(Table3[#All],MATCH(Table1[[#This Row],[Key_Year_Week_Brand]],Table3[[#All],[Key_Year_Week_Brand]],0),MATCH(Table1[[#This Row],[DC_name_Xref]],Table3[#Headers],0)),0)</f>
        <v>0</v>
      </c>
      <c r="O489">
        <f>IFERROR(INDEX(Table35[#All],MATCH(Table1[[#This Row],[Key_Year_Week_Brand]],Table35[[#All],[Key_Year_Month_Brand]],0),MATCH(Table1[[#This Row],[DC_name_Xref]],Table35[#Headers],0)),0)</f>
        <v>0</v>
      </c>
    </row>
    <row r="490" spans="1:15" x14ac:dyDescent="0.3">
      <c r="A490" s="19" t="str">
        <f>Table1[[#This Row],[Year_Week]]&amp;"-"&amp;Table1[[#This Row],[DC_name_Xref]]</f>
        <v>202044-WFC</v>
      </c>
      <c r="B490" s="19" t="str">
        <f>Table1[[#This Row],[Fiscal_Year]]*100+Table1[[#This Row],[Fiscal_Week]] &amp; "-" &amp;Table1[[#This Row],[BRAND]]</f>
        <v>202044-Gap Factory Store</v>
      </c>
      <c r="C490" t="str">
        <f>Table1[[#This Row],[Fiscal_Year]]&amp;"-"&amp;Table1[[#This Row],[BRAND]]</f>
        <v>2020-Gap Factory Store</v>
      </c>
      <c r="D490">
        <v>2020</v>
      </c>
      <c r="E490">
        <v>44</v>
      </c>
      <c r="F490" t="s">
        <v>22</v>
      </c>
      <c r="G490" t="s">
        <v>7</v>
      </c>
      <c r="H490">
        <v>3</v>
      </c>
      <c r="I490">
        <v>0</v>
      </c>
      <c r="J490" t="str">
        <f>VLOOKUP(H490,DC_Xref!A:B,2,FALSE)</f>
        <v>WFC</v>
      </c>
      <c r="K490">
        <f t="shared" si="7"/>
        <v>202044</v>
      </c>
      <c r="L490">
        <f>IFERROR(Table1[[#This Row],[Demand]]/SUMIFS(Table1[Demand],Table1[Fiscal_Year],Table1[[#This Row],[Fiscal_Year]],Table1[BRAND],Table1[[#This Row],[BRAND]],Table1[DC_name_Xref],Table1[[#This Row],[DC_name_Xref]]),0)</f>
        <v>0</v>
      </c>
      <c r="M4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0" s="3">
        <f>IFERROR(INDEX(Table3[#All],MATCH(Table1[[#This Row],[Key_Year_Week_Brand]],Table3[[#All],[Key_Year_Week_Brand]],0),MATCH(Table1[[#This Row],[DC_name_Xref]],Table3[#Headers],0)),0)</f>
        <v>0</v>
      </c>
      <c r="O490">
        <f>IFERROR(INDEX(Table35[#All],MATCH(Table1[[#This Row],[Key_Year_Week_Brand]],Table35[[#All],[Key_Year_Month_Brand]],0),MATCH(Table1[[#This Row],[DC_name_Xref]],Table35[#Headers],0)),0)</f>
        <v>0</v>
      </c>
    </row>
    <row r="491" spans="1:15" x14ac:dyDescent="0.3">
      <c r="A491" s="19" t="str">
        <f>Table1[[#This Row],[Year_Week]]&amp;"-"&amp;Table1[[#This Row],[DC_name_Xref]]</f>
        <v>202044-EAO</v>
      </c>
      <c r="B491" s="19" t="str">
        <f>Table1[[#This Row],[Fiscal_Year]]*100+Table1[[#This Row],[Fiscal_Week]] &amp; "-" &amp;Table1[[#This Row],[BRAND]]</f>
        <v>202044-Gap Factory Store</v>
      </c>
      <c r="C491" t="str">
        <f>Table1[[#This Row],[Fiscal_Year]]&amp;"-"&amp;Table1[[#This Row],[BRAND]]</f>
        <v>2020-Gap Factory Store</v>
      </c>
      <c r="D491">
        <v>2020</v>
      </c>
      <c r="E491">
        <v>44</v>
      </c>
      <c r="F491" t="s">
        <v>22</v>
      </c>
      <c r="G491" t="s">
        <v>8</v>
      </c>
      <c r="H491">
        <v>4</v>
      </c>
      <c r="I491">
        <v>0</v>
      </c>
      <c r="J491" t="str">
        <f>VLOOKUP(H491,DC_Xref!A:B,2,FALSE)</f>
        <v>EAO</v>
      </c>
      <c r="K491">
        <f t="shared" si="7"/>
        <v>202044</v>
      </c>
      <c r="L491">
        <f>IFERROR(Table1[[#This Row],[Demand]]/SUMIFS(Table1[Demand],Table1[Fiscal_Year],Table1[[#This Row],[Fiscal_Year]],Table1[BRAND],Table1[[#This Row],[BRAND]],Table1[DC_name_Xref],Table1[[#This Row],[DC_name_Xref]]),0)</f>
        <v>0</v>
      </c>
      <c r="M4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1" s="3">
        <f>IFERROR(INDEX(Table3[#All],MATCH(Table1[[#This Row],[Key_Year_Week_Brand]],Table3[[#All],[Key_Year_Week_Brand]],0),MATCH(Table1[[#This Row],[DC_name_Xref]],Table3[#Headers],0)),0)</f>
        <v>0</v>
      </c>
      <c r="O491">
        <f>IFERROR(INDEX(Table35[#All],MATCH(Table1[[#This Row],[Key_Year_Week_Brand]],Table35[[#All],[Key_Year_Month_Brand]],0),MATCH(Table1[[#This Row],[DC_name_Xref]],Table35[#Headers],0)),0)</f>
        <v>0</v>
      </c>
    </row>
    <row r="492" spans="1:15" x14ac:dyDescent="0.3">
      <c r="A492" s="19" t="str">
        <f>Table1[[#This Row],[Year_Week]]&amp;"-"&amp;Table1[[#This Row],[DC_name_Xref]]</f>
        <v>202044-FFC-ODC</v>
      </c>
      <c r="B492" s="19" t="str">
        <f>Table1[[#This Row],[Fiscal_Year]]*100+Table1[[#This Row],[Fiscal_Week]] &amp; "-" &amp;Table1[[#This Row],[BRAND]]</f>
        <v>202044-Gap Factory Store</v>
      </c>
      <c r="C492" t="str">
        <f>Table1[[#This Row],[Fiscal_Year]]&amp;"-"&amp;Table1[[#This Row],[BRAND]]</f>
        <v>2020-Gap Factory Store</v>
      </c>
      <c r="D492">
        <v>2020</v>
      </c>
      <c r="E492">
        <v>44</v>
      </c>
      <c r="F492" t="s">
        <v>22</v>
      </c>
      <c r="G492" t="s">
        <v>23</v>
      </c>
      <c r="H492">
        <v>5</v>
      </c>
      <c r="I492">
        <v>0</v>
      </c>
      <c r="J492" t="str">
        <f>VLOOKUP(H492,DC_Xref!A:B,2,FALSE)</f>
        <v>FFC-ODC</v>
      </c>
      <c r="K492">
        <f t="shared" si="7"/>
        <v>202044</v>
      </c>
      <c r="L492">
        <f>IFERROR(Table1[[#This Row],[Demand]]/SUMIFS(Table1[Demand],Table1[Fiscal_Year],Table1[[#This Row],[Fiscal_Year]],Table1[BRAND],Table1[[#This Row],[BRAND]],Table1[DC_name_Xref],Table1[[#This Row],[DC_name_Xref]]),0)</f>
        <v>0</v>
      </c>
      <c r="M4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2" s="3">
        <f>IFERROR(INDEX(Table3[#All],MATCH(Table1[[#This Row],[Key_Year_Week_Brand]],Table3[[#All],[Key_Year_Week_Brand]],0),MATCH(Table1[[#This Row],[DC_name_Xref]],Table3[#Headers],0)),0)</f>
        <v>0</v>
      </c>
      <c r="O492">
        <f>IFERROR(INDEX(Table35[#All],MATCH(Table1[[#This Row],[Key_Year_Week_Brand]],Table35[[#All],[Key_Year_Month_Brand]],0),MATCH(Table1[[#This Row],[DC_name_Xref]],Table35[#Headers],0)),0)</f>
        <v>0</v>
      </c>
    </row>
    <row r="493" spans="1:15" x14ac:dyDescent="0.3">
      <c r="A493" s="19" t="str">
        <f>Table1[[#This Row],[Year_Week]]&amp;"-"&amp;Table1[[#This Row],[DC_name_Xref]]</f>
        <v>202044-WEO</v>
      </c>
      <c r="B493" s="19" t="str">
        <f>Table1[[#This Row],[Fiscal_Year]]*100+Table1[[#This Row],[Fiscal_Week]] &amp; "-" &amp;Table1[[#This Row],[BRAND]]</f>
        <v>202044-Gap Factory Store</v>
      </c>
      <c r="C493" t="str">
        <f>Table1[[#This Row],[Fiscal_Year]]&amp;"-"&amp;Table1[[#This Row],[BRAND]]</f>
        <v>2020-Gap Factory Store</v>
      </c>
      <c r="D493">
        <v>2020</v>
      </c>
      <c r="E493">
        <v>44</v>
      </c>
      <c r="F493" t="s">
        <v>22</v>
      </c>
      <c r="G493" t="s">
        <v>10</v>
      </c>
      <c r="H493">
        <v>6</v>
      </c>
      <c r="I493">
        <v>0</v>
      </c>
      <c r="J493" t="str">
        <f>VLOOKUP(H493,DC_Xref!A:B,2,FALSE)</f>
        <v>WEO</v>
      </c>
      <c r="K493">
        <f t="shared" si="7"/>
        <v>202044</v>
      </c>
      <c r="L493">
        <f>IFERROR(Table1[[#This Row],[Demand]]/SUMIFS(Table1[Demand],Table1[Fiscal_Year],Table1[[#This Row],[Fiscal_Year]],Table1[BRAND],Table1[[#This Row],[BRAND]],Table1[DC_name_Xref],Table1[[#This Row],[DC_name_Xref]]),0)</f>
        <v>0</v>
      </c>
      <c r="M4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3" s="3">
        <f>IFERROR(INDEX(Table3[#All],MATCH(Table1[[#This Row],[Key_Year_Week_Brand]],Table3[[#All],[Key_Year_Week_Brand]],0),MATCH(Table1[[#This Row],[DC_name_Xref]],Table3[#Headers],0)),0)</f>
        <v>0</v>
      </c>
      <c r="O493">
        <f>IFERROR(INDEX(Table35[#All],MATCH(Table1[[#This Row],[Key_Year_Week_Brand]],Table35[[#All],[Key_Year_Month_Brand]],0),MATCH(Table1[[#This Row],[DC_name_Xref]],Table35[#Headers],0)),0)</f>
        <v>0</v>
      </c>
    </row>
    <row r="494" spans="1:15" x14ac:dyDescent="0.3">
      <c r="A494" s="19" t="str">
        <f>Table1[[#This Row],[Year_Week]]&amp;"-"&amp;Table1[[#This Row],[DC_name_Xref]]</f>
        <v>202044-OCC</v>
      </c>
      <c r="B494" s="19" t="str">
        <f>Table1[[#This Row],[Fiscal_Year]]*100+Table1[[#This Row],[Fiscal_Week]] &amp; "-" &amp;Table1[[#This Row],[BRAND]]</f>
        <v>202044-Gap Factory Store</v>
      </c>
      <c r="C494" t="str">
        <f>Table1[[#This Row],[Fiscal_Year]]&amp;"-"&amp;Table1[[#This Row],[BRAND]]</f>
        <v>2020-Gap Factory Store</v>
      </c>
      <c r="D494">
        <v>2020</v>
      </c>
      <c r="E494">
        <v>44</v>
      </c>
      <c r="F494" t="s">
        <v>22</v>
      </c>
      <c r="G494" t="s">
        <v>11</v>
      </c>
      <c r="H494">
        <v>7</v>
      </c>
      <c r="I494">
        <v>0</v>
      </c>
      <c r="J494" t="str">
        <f>VLOOKUP(H494,DC_Xref!A:B,2,FALSE)</f>
        <v>OCC</v>
      </c>
      <c r="K494">
        <f t="shared" si="7"/>
        <v>202044</v>
      </c>
      <c r="L494">
        <f>IFERROR(Table1[[#This Row],[Demand]]/SUMIFS(Table1[Demand],Table1[Fiscal_Year],Table1[[#This Row],[Fiscal_Year]],Table1[BRAND],Table1[[#This Row],[BRAND]],Table1[DC_name_Xref],Table1[[#This Row],[DC_name_Xref]]),0)</f>
        <v>0</v>
      </c>
      <c r="M4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4" s="3">
        <f>IFERROR(INDEX(Table3[#All],MATCH(Table1[[#This Row],[Key_Year_Week_Brand]],Table3[[#All],[Key_Year_Week_Brand]],0),MATCH(Table1[[#This Row],[DC_name_Xref]],Table3[#Headers],0)),0)</f>
        <v>0</v>
      </c>
      <c r="O494">
        <f>IFERROR(INDEX(Table35[#All],MATCH(Table1[[#This Row],[Key_Year_Week_Brand]],Table35[[#All],[Key_Year_Month_Brand]],0),MATCH(Table1[[#This Row],[DC_name_Xref]],Table35[#Headers],0)),0)</f>
        <v>0</v>
      </c>
    </row>
    <row r="495" spans="1:15" x14ac:dyDescent="0.3">
      <c r="A495" s="19" t="str">
        <f>Table1[[#This Row],[Year_Week]]&amp;"-"&amp;Table1[[#This Row],[DC_name_Xref]]</f>
        <v>202044-OFC</v>
      </c>
      <c r="B495" s="19" t="str">
        <f>Table1[[#This Row],[Fiscal_Year]]*100+Table1[[#This Row],[Fiscal_Week]] &amp; "-" &amp;Table1[[#This Row],[BRAND]]</f>
        <v>202044-Athleta</v>
      </c>
      <c r="C495" t="str">
        <f>Table1[[#This Row],[Fiscal_Year]]&amp;"-"&amp;Table1[[#This Row],[BRAND]]</f>
        <v>2020-Athleta</v>
      </c>
      <c r="D495">
        <v>2020</v>
      </c>
      <c r="E495">
        <v>44</v>
      </c>
      <c r="F495" t="s">
        <v>19</v>
      </c>
      <c r="G495" t="s">
        <v>5</v>
      </c>
      <c r="H495">
        <v>1</v>
      </c>
      <c r="I495">
        <v>33682</v>
      </c>
      <c r="J495" t="str">
        <f>VLOOKUP(H495,DC_Xref!A:B,2,FALSE)</f>
        <v>OFC</v>
      </c>
      <c r="K495">
        <f t="shared" si="7"/>
        <v>202044</v>
      </c>
      <c r="L495">
        <f>IFERROR(Table1[[#This Row],[Demand]]/SUMIFS(Table1[Demand],Table1[Fiscal_Year],Table1[[#This Row],[Fiscal_Year]],Table1[BRAND],Table1[[#This Row],[BRAND]],Table1[DC_name_Xref],Table1[[#This Row],[DC_name_Xref]]),0)</f>
        <v>0.19519912837869163</v>
      </c>
      <c r="M4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0.10136844343818036</v>
      </c>
      <c r="N495" s="3">
        <f>IFERROR(INDEX(Table3[#All],MATCH(Table1[[#This Row],[Key_Year_Week_Brand]],Table3[[#All],[Key_Year_Week_Brand]],0),MATCH(Table1[[#This Row],[DC_name_Xref]],Table3[#Headers],0)),0)</f>
        <v>0</v>
      </c>
      <c r="O495">
        <f>IFERROR(INDEX(Table35[#All],MATCH(Table1[[#This Row],[Key_Year_Week_Brand]],Table35[[#All],[Key_Year_Month_Brand]],0),MATCH(Table1[[#This Row],[DC_name_Xref]],Table35[#Headers],0)),0)</f>
        <v>0</v>
      </c>
    </row>
    <row r="496" spans="1:15" x14ac:dyDescent="0.3">
      <c r="A496" s="19" t="str">
        <f>Table1[[#This Row],[Year_Week]]&amp;"-"&amp;Table1[[#This Row],[DC_name_Xref]]</f>
        <v>202044-TFC</v>
      </c>
      <c r="B496" s="19" t="str">
        <f>Table1[[#This Row],[Fiscal_Year]]*100+Table1[[#This Row],[Fiscal_Week]] &amp; "-" &amp;Table1[[#This Row],[BRAND]]</f>
        <v>202044-Athleta</v>
      </c>
      <c r="C496" t="str">
        <f>Table1[[#This Row],[Fiscal_Year]]&amp;"-"&amp;Table1[[#This Row],[BRAND]]</f>
        <v>2020-Athleta</v>
      </c>
      <c r="D496">
        <v>2020</v>
      </c>
      <c r="E496">
        <v>44</v>
      </c>
      <c r="F496" t="s">
        <v>19</v>
      </c>
      <c r="G496" t="s">
        <v>21</v>
      </c>
      <c r="H496">
        <v>2</v>
      </c>
      <c r="I496">
        <v>354165</v>
      </c>
      <c r="J496" t="str">
        <f>VLOOKUP(H496,DC_Xref!A:B,2,FALSE)</f>
        <v>TFC</v>
      </c>
      <c r="K496">
        <f t="shared" si="7"/>
        <v>202044</v>
      </c>
      <c r="L496">
        <f>IFERROR(Table1[[#This Row],[Demand]]/SUMIFS(Table1[Demand],Table1[Fiscal_Year],Table1[[#This Row],[Fiscal_Year]],Table1[BRAND],Table1[[#This Row],[BRAND]],Table1[DC_name_Xref],Table1[[#This Row],[DC_name_Xref]]),0)</f>
        <v>0.23153880652242984</v>
      </c>
      <c r="M4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0.89859630859827078</v>
      </c>
      <c r="N496" s="3">
        <f>IFERROR(INDEX(Table3[#All],MATCH(Table1[[#This Row],[Key_Year_Week_Brand]],Table3[[#All],[Key_Year_Week_Brand]],0),MATCH(Table1[[#This Row],[DC_name_Xref]],Table3[#Headers],0)),0)</f>
        <v>1</v>
      </c>
      <c r="O496">
        <f>IFERROR(INDEX(Table35[#All],MATCH(Table1[[#This Row],[Key_Year_Week_Brand]],Table35[[#All],[Key_Year_Month_Brand]],0),MATCH(Table1[[#This Row],[DC_name_Xref]],Table35[#Headers],0)),0)</f>
        <v>387879</v>
      </c>
    </row>
    <row r="497" spans="1:15" x14ac:dyDescent="0.3">
      <c r="A497" s="19" t="str">
        <f>Table1[[#This Row],[Year_Week]]&amp;"-"&amp;Table1[[#This Row],[DC_name_Xref]]</f>
        <v>202044-WFC</v>
      </c>
      <c r="B497" s="19" t="str">
        <f>Table1[[#This Row],[Fiscal_Year]]*100+Table1[[#This Row],[Fiscal_Week]] &amp; "-" &amp;Table1[[#This Row],[BRAND]]</f>
        <v>202044-Athleta</v>
      </c>
      <c r="C497" t="str">
        <f>Table1[[#This Row],[Fiscal_Year]]&amp;"-"&amp;Table1[[#This Row],[BRAND]]</f>
        <v>2020-Athleta</v>
      </c>
      <c r="D497">
        <v>2020</v>
      </c>
      <c r="E497">
        <v>44</v>
      </c>
      <c r="F497" t="s">
        <v>19</v>
      </c>
      <c r="G497" t="s">
        <v>7</v>
      </c>
      <c r="H497">
        <v>3</v>
      </c>
      <c r="I497">
        <v>0</v>
      </c>
      <c r="J497" t="str">
        <f>VLOOKUP(H497,DC_Xref!A:B,2,FALSE)</f>
        <v>WFC</v>
      </c>
      <c r="K497">
        <f t="shared" si="7"/>
        <v>202044</v>
      </c>
      <c r="L497">
        <f>IFERROR(Table1[[#This Row],[Demand]]/SUMIFS(Table1[Demand],Table1[Fiscal_Year],Table1[[#This Row],[Fiscal_Year]],Table1[BRAND],Table1[[#This Row],[BRAND]],Table1[DC_name_Xref],Table1[[#This Row],[DC_name_Xref]]),0)</f>
        <v>0</v>
      </c>
      <c r="M4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7" s="3">
        <f>IFERROR(INDEX(Table3[#All],MATCH(Table1[[#This Row],[Key_Year_Week_Brand]],Table3[[#All],[Key_Year_Week_Brand]],0),MATCH(Table1[[#This Row],[DC_name_Xref]],Table3[#Headers],0)),0)</f>
        <v>0</v>
      </c>
      <c r="O497">
        <f>IFERROR(INDEX(Table35[#All],MATCH(Table1[[#This Row],[Key_Year_Week_Brand]],Table35[[#All],[Key_Year_Month_Brand]],0),MATCH(Table1[[#This Row],[DC_name_Xref]],Table35[#Headers],0)),0)</f>
        <v>0</v>
      </c>
    </row>
    <row r="498" spans="1:15" x14ac:dyDescent="0.3">
      <c r="A498" s="19" t="str">
        <f>Table1[[#This Row],[Year_Week]]&amp;"-"&amp;Table1[[#This Row],[DC_name_Xref]]</f>
        <v>202044-EAO</v>
      </c>
      <c r="B498" s="19" t="str">
        <f>Table1[[#This Row],[Fiscal_Year]]*100+Table1[[#This Row],[Fiscal_Week]] &amp; "-" &amp;Table1[[#This Row],[BRAND]]</f>
        <v>202044-Athleta</v>
      </c>
      <c r="C498" t="str">
        <f>Table1[[#This Row],[Fiscal_Year]]&amp;"-"&amp;Table1[[#This Row],[BRAND]]</f>
        <v>2020-Athleta</v>
      </c>
      <c r="D498">
        <v>2020</v>
      </c>
      <c r="E498">
        <v>44</v>
      </c>
      <c r="F498" t="s">
        <v>19</v>
      </c>
      <c r="G498" t="s">
        <v>8</v>
      </c>
      <c r="H498">
        <v>4</v>
      </c>
      <c r="I498">
        <v>32</v>
      </c>
      <c r="J498" t="str">
        <f>VLOOKUP(H498,DC_Xref!A:B,2,FALSE)</f>
        <v>EAO</v>
      </c>
      <c r="K498">
        <f t="shared" si="7"/>
        <v>202044</v>
      </c>
      <c r="L498">
        <f>IFERROR(Table1[[#This Row],[Demand]]/SUMIFS(Table1[Demand],Table1[Fiscal_Year],Table1[[#This Row],[Fiscal_Year]],Table1[BRAND],Table1[[#This Row],[BRAND]],Table1[DC_name_Xref],Table1[[#This Row],[DC_name_Xref]]),0)</f>
        <v>0.53333333333333333</v>
      </c>
      <c r="M4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3.5247963548905963E-5</v>
      </c>
      <c r="N498" s="3">
        <f>IFERROR(INDEX(Table3[#All],MATCH(Table1[[#This Row],[Key_Year_Week_Brand]],Table3[[#All],[Key_Year_Week_Brand]],0),MATCH(Table1[[#This Row],[DC_name_Xref]],Table3[#Headers],0)),0)</f>
        <v>3.447122356821831E-5</v>
      </c>
      <c r="O498">
        <f>IFERROR(INDEX(Table35[#All],MATCH(Table1[[#This Row],[Key_Year_Week_Brand]],Table35[[#All],[Key_Year_Month_Brand]],0),MATCH(Table1[[#This Row],[DC_name_Xref]],Table35[#Headers],0)),0)</f>
        <v>13.37066372641695</v>
      </c>
    </row>
    <row r="499" spans="1:15" x14ac:dyDescent="0.3">
      <c r="A499" s="19" t="str">
        <f>Table1[[#This Row],[Year_Week]]&amp;"-"&amp;Table1[[#This Row],[DC_name_Xref]]</f>
        <v>202044-FFC-ODC</v>
      </c>
      <c r="B499" s="19" t="str">
        <f>Table1[[#This Row],[Fiscal_Year]]*100+Table1[[#This Row],[Fiscal_Week]] &amp; "-" &amp;Table1[[#This Row],[BRAND]]</f>
        <v>202044-Athleta</v>
      </c>
      <c r="C499" t="str">
        <f>Table1[[#This Row],[Fiscal_Year]]&amp;"-"&amp;Table1[[#This Row],[BRAND]]</f>
        <v>2020-Athleta</v>
      </c>
      <c r="D499">
        <v>2020</v>
      </c>
      <c r="E499">
        <v>44</v>
      </c>
      <c r="F499" t="s">
        <v>19</v>
      </c>
      <c r="G499" t="s">
        <v>23</v>
      </c>
      <c r="H499">
        <v>5</v>
      </c>
      <c r="I499">
        <v>0</v>
      </c>
      <c r="J499" t="str">
        <f>VLOOKUP(H499,DC_Xref!A:B,2,FALSE)</f>
        <v>FFC-ODC</v>
      </c>
      <c r="K499">
        <f t="shared" si="7"/>
        <v>202044</v>
      </c>
      <c r="L499">
        <f>IFERROR(Table1[[#This Row],[Demand]]/SUMIFS(Table1[Demand],Table1[Fiscal_Year],Table1[[#This Row],[Fiscal_Year]],Table1[BRAND],Table1[[#This Row],[BRAND]],Table1[DC_name_Xref],Table1[[#This Row],[DC_name_Xref]]),0)</f>
        <v>0</v>
      </c>
      <c r="M4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499" s="3">
        <f>IFERROR(INDEX(Table3[#All],MATCH(Table1[[#This Row],[Key_Year_Week_Brand]],Table3[[#All],[Key_Year_Week_Brand]],0),MATCH(Table1[[#This Row],[DC_name_Xref]],Table3[#Headers],0)),0)</f>
        <v>0</v>
      </c>
      <c r="O499">
        <f>IFERROR(INDEX(Table35[#All],MATCH(Table1[[#This Row],[Key_Year_Week_Brand]],Table35[[#All],[Key_Year_Month_Brand]],0),MATCH(Table1[[#This Row],[DC_name_Xref]],Table35[#Headers],0)),0)</f>
        <v>0</v>
      </c>
    </row>
    <row r="500" spans="1:15" x14ac:dyDescent="0.3">
      <c r="A500" s="19" t="str">
        <f>Table1[[#This Row],[Year_Week]]&amp;"-"&amp;Table1[[#This Row],[DC_name_Xref]]</f>
        <v>202044-WEO</v>
      </c>
      <c r="B500" s="19" t="str">
        <f>Table1[[#This Row],[Fiscal_Year]]*100+Table1[[#This Row],[Fiscal_Week]] &amp; "-" &amp;Table1[[#This Row],[BRAND]]</f>
        <v>202044-Athleta</v>
      </c>
      <c r="C500" t="str">
        <f>Table1[[#This Row],[Fiscal_Year]]&amp;"-"&amp;Table1[[#This Row],[BRAND]]</f>
        <v>2020-Athleta</v>
      </c>
      <c r="D500">
        <v>2020</v>
      </c>
      <c r="E500">
        <v>44</v>
      </c>
      <c r="F500" t="s">
        <v>19</v>
      </c>
      <c r="G500" t="s">
        <v>10</v>
      </c>
      <c r="H500">
        <v>6</v>
      </c>
      <c r="I500">
        <v>0</v>
      </c>
      <c r="J500" t="str">
        <f>VLOOKUP(H500,DC_Xref!A:B,2,FALSE)</f>
        <v>WEO</v>
      </c>
      <c r="K500">
        <f t="shared" si="7"/>
        <v>202044</v>
      </c>
      <c r="L500">
        <f>IFERROR(Table1[[#This Row],[Demand]]/SUMIFS(Table1[Demand],Table1[Fiscal_Year],Table1[[#This Row],[Fiscal_Year]],Table1[BRAND],Table1[[#This Row],[BRAND]],Table1[DC_name_Xref],Table1[[#This Row],[DC_name_Xref]]),0)</f>
        <v>0</v>
      </c>
      <c r="M5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00" s="3">
        <f>IFERROR(INDEX(Table3[#All],MATCH(Table1[[#This Row],[Key_Year_Week_Brand]],Table3[[#All],[Key_Year_Week_Brand]],0),MATCH(Table1[[#This Row],[DC_name_Xref]],Table3[#Headers],0)),0)</f>
        <v>0</v>
      </c>
      <c r="O500">
        <f>IFERROR(INDEX(Table35[#All],MATCH(Table1[[#This Row],[Key_Year_Week_Brand]],Table35[[#All],[Key_Year_Month_Brand]],0),MATCH(Table1[[#This Row],[DC_name_Xref]],Table35[#Headers],0)),0)</f>
        <v>0</v>
      </c>
    </row>
    <row r="501" spans="1:15" x14ac:dyDescent="0.3">
      <c r="A501" s="19" t="str">
        <f>Table1[[#This Row],[Year_Week]]&amp;"-"&amp;Table1[[#This Row],[DC_name_Xref]]</f>
        <v>202044-OCC</v>
      </c>
      <c r="B501" s="19" t="str">
        <f>Table1[[#This Row],[Fiscal_Year]]*100+Table1[[#This Row],[Fiscal_Week]] &amp; "-" &amp;Table1[[#This Row],[BRAND]]</f>
        <v>202044-Athleta</v>
      </c>
      <c r="C501" t="str">
        <f>Table1[[#This Row],[Fiscal_Year]]&amp;"-"&amp;Table1[[#This Row],[BRAND]]</f>
        <v>2020-Athleta</v>
      </c>
      <c r="D501">
        <v>2020</v>
      </c>
      <c r="E501">
        <v>44</v>
      </c>
      <c r="F501" t="s">
        <v>19</v>
      </c>
      <c r="G501" t="s">
        <v>11</v>
      </c>
      <c r="H501">
        <v>7</v>
      </c>
      <c r="I501">
        <v>0</v>
      </c>
      <c r="J501" t="str">
        <f>VLOOKUP(H501,DC_Xref!A:B,2,FALSE)</f>
        <v>OCC</v>
      </c>
      <c r="K501">
        <f t="shared" si="7"/>
        <v>202044</v>
      </c>
      <c r="L501">
        <f>IFERROR(Table1[[#This Row],[Demand]]/SUMIFS(Table1[Demand],Table1[Fiscal_Year],Table1[[#This Row],[Fiscal_Year]],Table1[BRAND],Table1[[#This Row],[BRAND]],Table1[DC_name_Xref],Table1[[#This Row],[DC_name_Xref]]),0)</f>
        <v>0</v>
      </c>
      <c r="M5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01" s="3">
        <f>IFERROR(INDEX(Table3[#All],MATCH(Table1[[#This Row],[Key_Year_Week_Brand]],Table3[[#All],[Key_Year_Week_Brand]],0),MATCH(Table1[[#This Row],[DC_name_Xref]],Table3[#Headers],0)),0)</f>
        <v>0</v>
      </c>
      <c r="O501">
        <f>IFERROR(INDEX(Table35[#All],MATCH(Table1[[#This Row],[Key_Year_Week_Brand]],Table35[[#All],[Key_Year_Month_Brand]],0),MATCH(Table1[[#This Row],[DC_name_Xref]],Table35[#Headers],0)),0)</f>
        <v>0</v>
      </c>
    </row>
    <row r="502" spans="1:15" x14ac:dyDescent="0.3">
      <c r="A502" s="19" t="str">
        <f>Table1[[#This Row],[Year_Week]]&amp;"-"&amp;Table1[[#This Row],[DC_name_Xref]]</f>
        <v>202044-EAO</v>
      </c>
      <c r="B502" s="19" t="str">
        <f>Table1[[#This Row],[Fiscal_Year]]*100+Table1[[#This Row],[Fiscal_Week]] &amp; "-" &amp;Table1[[#This Row],[BRAND]]</f>
        <v>202044-Gap</v>
      </c>
      <c r="C502" t="str">
        <f>Table1[[#This Row],[Fiscal_Year]]&amp;"-"&amp;Table1[[#This Row],[BRAND]]</f>
        <v>2020-Gap</v>
      </c>
      <c r="D502">
        <v>2020</v>
      </c>
      <c r="E502">
        <v>44</v>
      </c>
      <c r="F502" t="s">
        <v>16</v>
      </c>
      <c r="G502" t="s">
        <v>8</v>
      </c>
      <c r="H502">
        <v>4</v>
      </c>
      <c r="I502">
        <v>378</v>
      </c>
      <c r="J502" t="str">
        <f>VLOOKUP(H502,DC_Xref!A:B,2,FALSE)</f>
        <v>EAO</v>
      </c>
      <c r="K502">
        <f t="shared" si="7"/>
        <v>202044</v>
      </c>
      <c r="L502">
        <f>IFERROR(Table1[[#This Row],[Demand]]/SUMIFS(Table1[Demand],Table1[Fiscal_Year],Table1[[#This Row],[Fiscal_Year]],Table1[BRAND],Table1[[#This Row],[BRAND]],Table1[DC_name_Xref],Table1[[#This Row],[DC_name_Xref]]),0)</f>
        <v>0.26808510638297872</v>
      </c>
      <c r="M5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1.2012566678264615E-4</v>
      </c>
      <c r="N502" s="3">
        <f>IFERROR(INDEX(Table3[#All],MATCH(Table1[[#This Row],[Key_Year_Week_Brand]],Table3[[#All],[Key_Year_Week_Brand]],0),MATCH(Table1[[#This Row],[DC_name_Xref]],Table3[#Headers],0)),0)</f>
        <v>0</v>
      </c>
      <c r="O502">
        <f>IFERROR(INDEX(Table35[#All],MATCH(Table1[[#This Row],[Key_Year_Week_Brand]],Table35[[#All],[Key_Year_Month_Brand]],0),MATCH(Table1[[#This Row],[DC_name_Xref]],Table35[#Headers],0)),0)</f>
        <v>0</v>
      </c>
    </row>
    <row r="503" spans="1:15" x14ac:dyDescent="0.3">
      <c r="A503" s="19" t="str">
        <f>Table1[[#This Row],[Year_Week]]&amp;"-"&amp;Table1[[#This Row],[DC_name_Xref]]</f>
        <v>202044-FFC-ODC</v>
      </c>
      <c r="B503" s="19" t="str">
        <f>Table1[[#This Row],[Fiscal_Year]]*100+Table1[[#This Row],[Fiscal_Week]] &amp; "-" &amp;Table1[[#This Row],[BRAND]]</f>
        <v>202044-Gap</v>
      </c>
      <c r="C503" t="str">
        <f>Table1[[#This Row],[Fiscal_Year]]&amp;"-"&amp;Table1[[#This Row],[BRAND]]</f>
        <v>2020-Gap</v>
      </c>
      <c r="D503">
        <v>2020</v>
      </c>
      <c r="E503">
        <v>44</v>
      </c>
      <c r="F503" t="s">
        <v>16</v>
      </c>
      <c r="G503" t="s">
        <v>23</v>
      </c>
      <c r="H503">
        <v>5</v>
      </c>
      <c r="I503">
        <v>0</v>
      </c>
      <c r="J503" t="str">
        <f>VLOOKUP(H503,DC_Xref!A:B,2,FALSE)</f>
        <v>FFC-ODC</v>
      </c>
      <c r="K503">
        <f t="shared" si="7"/>
        <v>202044</v>
      </c>
      <c r="L503">
        <f>IFERROR(Table1[[#This Row],[Demand]]/SUMIFS(Table1[Demand],Table1[Fiscal_Year],Table1[[#This Row],[Fiscal_Year]],Table1[BRAND],Table1[[#This Row],[BRAND]],Table1[DC_name_Xref],Table1[[#This Row],[DC_name_Xref]]),0)</f>
        <v>0</v>
      </c>
      <c r="M5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03" s="3">
        <f>IFERROR(INDEX(Table3[#All],MATCH(Table1[[#This Row],[Key_Year_Week_Brand]],Table3[[#All],[Key_Year_Week_Brand]],0),MATCH(Table1[[#This Row],[DC_name_Xref]],Table3[#Headers],0)),0)</f>
        <v>0</v>
      </c>
      <c r="O503">
        <f>IFERROR(INDEX(Table35[#All],MATCH(Table1[[#This Row],[Key_Year_Week_Brand]],Table35[[#All],[Key_Year_Month_Brand]],0),MATCH(Table1[[#This Row],[DC_name_Xref]],Table35[#Headers],0)),0)</f>
        <v>0</v>
      </c>
    </row>
    <row r="504" spans="1:15" x14ac:dyDescent="0.3">
      <c r="A504" s="19" t="str">
        <f>Table1[[#This Row],[Year_Week]]&amp;"-"&amp;Table1[[#This Row],[DC_name_Xref]]</f>
        <v>202044-WEO</v>
      </c>
      <c r="B504" s="19" t="str">
        <f>Table1[[#This Row],[Fiscal_Year]]*100+Table1[[#This Row],[Fiscal_Week]] &amp; "-" &amp;Table1[[#This Row],[BRAND]]</f>
        <v>202044-Gap</v>
      </c>
      <c r="C504" t="str">
        <f>Table1[[#This Row],[Fiscal_Year]]&amp;"-"&amp;Table1[[#This Row],[BRAND]]</f>
        <v>2020-Gap</v>
      </c>
      <c r="D504">
        <v>2020</v>
      </c>
      <c r="E504">
        <v>44</v>
      </c>
      <c r="F504" t="s">
        <v>16</v>
      </c>
      <c r="G504" t="s">
        <v>10</v>
      </c>
      <c r="H504">
        <v>6</v>
      </c>
      <c r="I504">
        <v>1080888</v>
      </c>
      <c r="J504" t="str">
        <f>VLOOKUP(H504,DC_Xref!A:B,2,FALSE)</f>
        <v>WEO</v>
      </c>
      <c r="K504">
        <f t="shared" si="7"/>
        <v>202044</v>
      </c>
      <c r="L504">
        <f>IFERROR(Table1[[#This Row],[Demand]]/SUMIFS(Table1[Demand],Table1[Fiscal_Year],Table1[[#This Row],[Fiscal_Year]],Table1[BRAND],Table1[[#This Row],[BRAND]],Table1[DC_name_Xref],Table1[[#This Row],[DC_name_Xref]]),0)</f>
        <v>0.30001856921557141</v>
      </c>
      <c r="M5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0.30693701018972358</v>
      </c>
      <c r="N504" s="3">
        <f>IFERROR(INDEX(Table3[#All],MATCH(Table1[[#This Row],[Key_Year_Week_Brand]],Table3[[#All],[Key_Year_Week_Brand]],0),MATCH(Table1[[#This Row],[DC_name_Xref]],Table3[#Headers],0)),0)</f>
        <v>0.4</v>
      </c>
      <c r="O504">
        <f>IFERROR(INDEX(Table35[#All],MATCH(Table1[[#This Row],[Key_Year_Week_Brand]],Table35[[#All],[Key_Year_Month_Brand]],0),MATCH(Table1[[#This Row],[DC_name_Xref]],Table35[#Headers],0)),0)</f>
        <v>1311308</v>
      </c>
    </row>
    <row r="505" spans="1:15" x14ac:dyDescent="0.3">
      <c r="A505" s="19" t="str">
        <f>Table1[[#This Row],[Year_Week]]&amp;"-"&amp;Table1[[#This Row],[DC_name_Xref]]</f>
        <v>202044-OCC</v>
      </c>
      <c r="B505" s="19" t="str">
        <f>Table1[[#This Row],[Fiscal_Year]]*100+Table1[[#This Row],[Fiscal_Week]] &amp; "-" &amp;Table1[[#This Row],[BRAND]]</f>
        <v>202044-Gap</v>
      </c>
      <c r="C505" t="str">
        <f>Table1[[#This Row],[Fiscal_Year]]&amp;"-"&amp;Table1[[#This Row],[BRAND]]</f>
        <v>2020-Gap</v>
      </c>
      <c r="D505">
        <v>2020</v>
      </c>
      <c r="E505">
        <v>44</v>
      </c>
      <c r="F505" t="s">
        <v>16</v>
      </c>
      <c r="G505" t="s">
        <v>11</v>
      </c>
      <c r="H505">
        <v>7</v>
      </c>
      <c r="I505">
        <v>0</v>
      </c>
      <c r="J505" t="str">
        <f>VLOOKUP(H505,DC_Xref!A:B,2,FALSE)</f>
        <v>OCC</v>
      </c>
      <c r="K505">
        <f t="shared" si="7"/>
        <v>202044</v>
      </c>
      <c r="L505">
        <f>IFERROR(Table1[[#This Row],[Demand]]/SUMIFS(Table1[Demand],Table1[Fiscal_Year],Table1[[#This Row],[Fiscal_Year]],Table1[BRAND],Table1[[#This Row],[BRAND]],Table1[DC_name_Xref],Table1[[#This Row],[DC_name_Xref]]),0)</f>
        <v>0</v>
      </c>
      <c r="M5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05" s="3">
        <f>IFERROR(INDEX(Table3[#All],MATCH(Table1[[#This Row],[Key_Year_Week_Brand]],Table3[[#All],[Key_Year_Week_Brand]],0),MATCH(Table1[[#This Row],[DC_name_Xref]],Table3[#Headers],0)),0)</f>
        <v>0</v>
      </c>
      <c r="O505">
        <f>IFERROR(INDEX(Table35[#All],MATCH(Table1[[#This Row],[Key_Year_Week_Brand]],Table35[[#All],[Key_Year_Month_Brand]],0),MATCH(Table1[[#This Row],[DC_name_Xref]],Table35[#Headers],0)),0)</f>
        <v>0</v>
      </c>
    </row>
    <row r="506" spans="1:15" x14ac:dyDescent="0.3">
      <c r="A506" s="19" t="str">
        <f>Table1[[#This Row],[Year_Week]]&amp;"-"&amp;Table1[[#This Row],[DC_name_Xref]]</f>
        <v>202045-OFC</v>
      </c>
      <c r="B506" s="19" t="str">
        <f>Table1[[#This Row],[Fiscal_Year]]*100+Table1[[#This Row],[Fiscal_Week]] &amp; "-" &amp;Table1[[#This Row],[BRAND]]</f>
        <v>202045-Banana Republic</v>
      </c>
      <c r="C506" t="str">
        <f>Table1[[#This Row],[Fiscal_Year]]&amp;"-"&amp;Table1[[#This Row],[BRAND]]</f>
        <v>2020-Banana Republic</v>
      </c>
      <c r="D506">
        <v>2020</v>
      </c>
      <c r="E506">
        <v>45</v>
      </c>
      <c r="F506" t="s">
        <v>18</v>
      </c>
      <c r="G506" t="s">
        <v>5</v>
      </c>
      <c r="H506">
        <v>1</v>
      </c>
      <c r="I506">
        <v>7866</v>
      </c>
      <c r="J506" t="str">
        <f>VLOOKUP(H506,DC_Xref!A:B,2,FALSE)</f>
        <v>OFC</v>
      </c>
      <c r="K506">
        <f t="shared" si="7"/>
        <v>202045</v>
      </c>
      <c r="L506">
        <f>IFERROR(Table1[[#This Row],[Demand]]/SUMIFS(Table1[Demand],Table1[Fiscal_Year],Table1[[#This Row],[Fiscal_Year]],Table1[BRAND],Table1[[#This Row],[BRAND]],Table1[DC_name_Xref],Table1[[#This Row],[DC_name_Xref]]),0)</f>
        <v>0.1776382647185023</v>
      </c>
      <c r="M5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2.1328687496507917E-2</v>
      </c>
      <c r="N506" s="3">
        <f>IFERROR(INDEX(Table3[#All],MATCH(Table1[[#This Row],[Key_Year_Week_Brand]],Table3[[#All],[Key_Year_Week_Brand]],0),MATCH(Table1[[#This Row],[DC_name_Xref]],Table3[#Headers],0)),0)</f>
        <v>0</v>
      </c>
      <c r="O506">
        <f>IFERROR(INDEX(Table35[#All],MATCH(Table1[[#This Row],[Key_Year_Week_Brand]],Table35[[#All],[Key_Year_Month_Brand]],0),MATCH(Table1[[#This Row],[DC_name_Xref]],Table35[#Headers],0)),0)</f>
        <v>0</v>
      </c>
    </row>
    <row r="507" spans="1:15" x14ac:dyDescent="0.3">
      <c r="A507" s="19" t="str">
        <f>Table1[[#This Row],[Year_Week]]&amp;"-"&amp;Table1[[#This Row],[DC_name_Xref]]</f>
        <v>202045-TFC</v>
      </c>
      <c r="B507" s="19" t="str">
        <f>Table1[[#This Row],[Fiscal_Year]]*100+Table1[[#This Row],[Fiscal_Week]] &amp; "-" &amp;Table1[[#This Row],[BRAND]]</f>
        <v>202045-Banana Republic</v>
      </c>
      <c r="C507" t="str">
        <f>Table1[[#This Row],[Fiscal_Year]]&amp;"-"&amp;Table1[[#This Row],[BRAND]]</f>
        <v>2020-Banana Republic</v>
      </c>
      <c r="D507">
        <v>2020</v>
      </c>
      <c r="E507">
        <v>45</v>
      </c>
      <c r="F507" t="s">
        <v>18</v>
      </c>
      <c r="G507" t="s">
        <v>21</v>
      </c>
      <c r="H507">
        <v>2</v>
      </c>
      <c r="I507">
        <v>263837</v>
      </c>
      <c r="J507" t="str">
        <f>VLOOKUP(H507,DC_Xref!A:B,2,FALSE)</f>
        <v>TFC</v>
      </c>
      <c r="K507">
        <f t="shared" si="7"/>
        <v>202045</v>
      </c>
      <c r="L507">
        <f>IFERROR(Table1[[#This Row],[Demand]]/SUMIFS(Table1[Demand],Table1[Fiscal_Year],Table1[[#This Row],[Fiscal_Year]],Table1[BRAND],Table1[[#This Row],[BRAND]],Table1[DC_name_Xref],Table1[[#This Row],[DC_name_Xref]]),0)</f>
        <v>0.12985708372441673</v>
      </c>
      <c r="M5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0.97862603582444985</v>
      </c>
      <c r="N507" s="3">
        <f>IFERROR(INDEX(Table3[#All],MATCH(Table1[[#This Row],[Key_Year_Week_Brand]],Table3[[#All],[Key_Year_Week_Brand]],0),MATCH(Table1[[#This Row],[DC_name_Xref]],Table3[#Headers],0)),0)</f>
        <v>1</v>
      </c>
      <c r="O507">
        <f>IFERROR(INDEX(Table35[#All],MATCH(Table1[[#This Row],[Key_Year_Week_Brand]],Table35[[#All],[Key_Year_Month_Brand]],0),MATCH(Table1[[#This Row],[DC_name_Xref]],Table35[#Headers],0)),0)</f>
        <v>271714</v>
      </c>
    </row>
    <row r="508" spans="1:15" x14ac:dyDescent="0.3">
      <c r="A508" s="19" t="str">
        <f>Table1[[#This Row],[Year_Week]]&amp;"-"&amp;Table1[[#This Row],[DC_name_Xref]]</f>
        <v>202045-WFC</v>
      </c>
      <c r="B508" s="19" t="str">
        <f>Table1[[#This Row],[Fiscal_Year]]*100+Table1[[#This Row],[Fiscal_Week]] &amp; "-" &amp;Table1[[#This Row],[BRAND]]</f>
        <v>202045-Banana Republic</v>
      </c>
      <c r="C508" t="str">
        <f>Table1[[#This Row],[Fiscal_Year]]&amp;"-"&amp;Table1[[#This Row],[BRAND]]</f>
        <v>2020-Banana Republic</v>
      </c>
      <c r="D508">
        <v>2020</v>
      </c>
      <c r="E508">
        <v>45</v>
      </c>
      <c r="F508" t="s">
        <v>18</v>
      </c>
      <c r="G508" t="s">
        <v>7</v>
      </c>
      <c r="H508">
        <v>3</v>
      </c>
      <c r="I508">
        <v>3</v>
      </c>
      <c r="J508" t="str">
        <f>VLOOKUP(H508,DC_Xref!A:B,2,FALSE)</f>
        <v>WFC</v>
      </c>
      <c r="K508">
        <f t="shared" si="7"/>
        <v>202045</v>
      </c>
      <c r="L508">
        <f>IFERROR(Table1[[#This Row],[Demand]]/SUMIFS(Table1[Demand],Table1[Fiscal_Year],Table1[[#This Row],[Fiscal_Year]],Table1[BRAND],Table1[[#This Row],[BRAND]],Table1[DC_name_Xref],Table1[[#This Row],[DC_name_Xref]]),0)</f>
        <v>0.5</v>
      </c>
      <c r="M5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2.8900007899335494E-6</v>
      </c>
      <c r="N508" s="3">
        <f>IFERROR(INDEX(Table3[#All],MATCH(Table1[[#This Row],[Key_Year_Week_Brand]],Table3[[#All],[Key_Year_Week_Brand]],0),MATCH(Table1[[#This Row],[DC_name_Xref]],Table3[#Headers],0)),0)</f>
        <v>3.4959629396853166E-6</v>
      </c>
      <c r="O508">
        <f>IFERROR(INDEX(Table35[#All],MATCH(Table1[[#This Row],[Key_Year_Week_Brand]],Table35[[#All],[Key_Year_Month_Brand]],0),MATCH(Table1[[#This Row],[DC_name_Xref]],Table35[#Headers],0)),0)</f>
        <v>0.94990207419365613</v>
      </c>
    </row>
    <row r="509" spans="1:15" x14ac:dyDescent="0.3">
      <c r="A509" s="19" t="str">
        <f>Table1[[#This Row],[Year_Week]]&amp;"-"&amp;Table1[[#This Row],[DC_name_Xref]]</f>
        <v>202045-EAO</v>
      </c>
      <c r="B509" s="19" t="str">
        <f>Table1[[#This Row],[Fiscal_Year]]*100+Table1[[#This Row],[Fiscal_Week]] &amp; "-" &amp;Table1[[#This Row],[BRAND]]</f>
        <v>202045-Banana Republic</v>
      </c>
      <c r="C509" t="str">
        <f>Table1[[#This Row],[Fiscal_Year]]&amp;"-"&amp;Table1[[#This Row],[BRAND]]</f>
        <v>2020-Banana Republic</v>
      </c>
      <c r="D509">
        <v>2020</v>
      </c>
      <c r="E509">
        <v>45</v>
      </c>
      <c r="F509" t="s">
        <v>18</v>
      </c>
      <c r="G509" t="s">
        <v>8</v>
      </c>
      <c r="H509">
        <v>4</v>
      </c>
      <c r="I509">
        <v>8</v>
      </c>
      <c r="J509" t="str">
        <f>VLOOKUP(H509,DC_Xref!A:B,2,FALSE)</f>
        <v>EAO</v>
      </c>
      <c r="K509">
        <f t="shared" si="7"/>
        <v>202045</v>
      </c>
      <c r="L509">
        <f>IFERROR(Table1[[#This Row],[Demand]]/SUMIFS(Table1[Demand],Table1[Fiscal_Year],Table1[[#This Row],[Fiscal_Year]],Table1[BRAND],Table1[[#This Row],[BRAND]],Table1[DC_name_Xref],Table1[[#This Row],[DC_name_Xref]]),0)</f>
        <v>9.0909090909090912E-2</v>
      </c>
      <c r="M5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4.238667825235872E-5</v>
      </c>
      <c r="N509" s="3">
        <f>IFERROR(INDEX(Table3[#All],MATCH(Table1[[#This Row],[Key_Year_Week_Brand]],Table3[[#All],[Key_Year_Week_Brand]],0),MATCH(Table1[[#This Row],[DC_name_Xref]],Table3[#Headers],0)),0)</f>
        <v>4.2339995602855504E-5</v>
      </c>
      <c r="O509">
        <f>IFERROR(INDEX(Table35[#All],MATCH(Table1[[#This Row],[Key_Year_Week_Brand]],Table35[[#All],[Key_Year_Month_Brand]],0),MATCH(Table1[[#This Row],[DC_name_Xref]],Table35[#Headers],0)),0)</f>
        <v>11.504369565234281</v>
      </c>
    </row>
    <row r="510" spans="1:15" x14ac:dyDescent="0.3">
      <c r="A510" s="19" t="str">
        <f>Table1[[#This Row],[Year_Week]]&amp;"-"&amp;Table1[[#This Row],[DC_name_Xref]]</f>
        <v>202045-FFC-ODC</v>
      </c>
      <c r="B510" s="19" t="str">
        <f>Table1[[#This Row],[Fiscal_Year]]*100+Table1[[#This Row],[Fiscal_Week]] &amp; "-" &amp;Table1[[#This Row],[BRAND]]</f>
        <v>202045-Banana Republic</v>
      </c>
      <c r="C510" t="str">
        <f>Table1[[#This Row],[Fiscal_Year]]&amp;"-"&amp;Table1[[#This Row],[BRAND]]</f>
        <v>2020-Banana Republic</v>
      </c>
      <c r="D510">
        <v>2020</v>
      </c>
      <c r="E510">
        <v>45</v>
      </c>
      <c r="F510" t="s">
        <v>18</v>
      </c>
      <c r="G510" t="s">
        <v>23</v>
      </c>
      <c r="H510">
        <v>5</v>
      </c>
      <c r="I510">
        <v>0</v>
      </c>
      <c r="J510" t="str">
        <f>VLOOKUP(H510,DC_Xref!A:B,2,FALSE)</f>
        <v>FFC-ODC</v>
      </c>
      <c r="K510">
        <f t="shared" si="7"/>
        <v>202045</v>
      </c>
      <c r="L510">
        <f>IFERROR(Table1[[#This Row],[Demand]]/SUMIFS(Table1[Demand],Table1[Fiscal_Year],Table1[[#This Row],[Fiscal_Year]],Table1[BRAND],Table1[[#This Row],[BRAND]],Table1[DC_name_Xref],Table1[[#This Row],[DC_name_Xref]]),0)</f>
        <v>0</v>
      </c>
      <c r="M5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0" s="3">
        <f>IFERROR(INDEX(Table3[#All],MATCH(Table1[[#This Row],[Key_Year_Week_Brand]],Table3[[#All],[Key_Year_Week_Brand]],0),MATCH(Table1[[#This Row],[DC_name_Xref]],Table3[#Headers],0)),0)</f>
        <v>0</v>
      </c>
      <c r="O510">
        <f>IFERROR(INDEX(Table35[#All],MATCH(Table1[[#This Row],[Key_Year_Week_Brand]],Table35[[#All],[Key_Year_Month_Brand]],0),MATCH(Table1[[#This Row],[DC_name_Xref]],Table35[#Headers],0)),0)</f>
        <v>0</v>
      </c>
    </row>
    <row r="511" spans="1:15" x14ac:dyDescent="0.3">
      <c r="A511" s="19" t="str">
        <f>Table1[[#This Row],[Year_Week]]&amp;"-"&amp;Table1[[#This Row],[DC_name_Xref]]</f>
        <v>202045-WEO</v>
      </c>
      <c r="B511" s="19" t="str">
        <f>Table1[[#This Row],[Fiscal_Year]]*100+Table1[[#This Row],[Fiscal_Week]] &amp; "-" &amp;Table1[[#This Row],[BRAND]]</f>
        <v>202045-Banana Republic</v>
      </c>
      <c r="C511" t="str">
        <f>Table1[[#This Row],[Fiscal_Year]]&amp;"-"&amp;Table1[[#This Row],[BRAND]]</f>
        <v>2020-Banana Republic</v>
      </c>
      <c r="D511">
        <v>2020</v>
      </c>
      <c r="E511">
        <v>45</v>
      </c>
      <c r="F511" t="s">
        <v>18</v>
      </c>
      <c r="G511" t="s">
        <v>10</v>
      </c>
      <c r="H511">
        <v>6</v>
      </c>
      <c r="I511">
        <v>0</v>
      </c>
      <c r="J511" t="str">
        <f>VLOOKUP(H511,DC_Xref!A:B,2,FALSE)</f>
        <v>WEO</v>
      </c>
      <c r="K511">
        <f t="shared" si="7"/>
        <v>202045</v>
      </c>
      <c r="L511">
        <f>IFERROR(Table1[[#This Row],[Demand]]/SUMIFS(Table1[Demand],Table1[Fiscal_Year],Table1[[#This Row],[Fiscal_Year]],Table1[BRAND],Table1[[#This Row],[BRAND]],Table1[DC_name_Xref],Table1[[#This Row],[DC_name_Xref]]),0)</f>
        <v>0</v>
      </c>
      <c r="M5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1" s="3">
        <f>IFERROR(INDEX(Table3[#All],MATCH(Table1[[#This Row],[Key_Year_Week_Brand]],Table3[[#All],[Key_Year_Week_Brand]],0),MATCH(Table1[[#This Row],[DC_name_Xref]],Table3[#Headers],0)),0)</f>
        <v>0</v>
      </c>
      <c r="O511">
        <f>IFERROR(INDEX(Table35[#All],MATCH(Table1[[#This Row],[Key_Year_Week_Brand]],Table35[[#All],[Key_Year_Month_Brand]],0),MATCH(Table1[[#This Row],[DC_name_Xref]],Table35[#Headers],0)),0)</f>
        <v>0</v>
      </c>
    </row>
    <row r="512" spans="1:15" x14ac:dyDescent="0.3">
      <c r="A512" s="19" t="str">
        <f>Table1[[#This Row],[Year_Week]]&amp;"-"&amp;Table1[[#This Row],[DC_name_Xref]]</f>
        <v>202045-OCC</v>
      </c>
      <c r="B512" s="19" t="str">
        <f>Table1[[#This Row],[Fiscal_Year]]*100+Table1[[#This Row],[Fiscal_Week]] &amp; "-" &amp;Table1[[#This Row],[BRAND]]</f>
        <v>202045-Banana Republic</v>
      </c>
      <c r="C512" t="str">
        <f>Table1[[#This Row],[Fiscal_Year]]&amp;"-"&amp;Table1[[#This Row],[BRAND]]</f>
        <v>2020-Banana Republic</v>
      </c>
      <c r="D512">
        <v>2020</v>
      </c>
      <c r="E512">
        <v>45</v>
      </c>
      <c r="F512" t="s">
        <v>18</v>
      </c>
      <c r="G512" t="s">
        <v>11</v>
      </c>
      <c r="H512">
        <v>7</v>
      </c>
      <c r="I512">
        <v>0</v>
      </c>
      <c r="J512" t="str">
        <f>VLOOKUP(H512,DC_Xref!A:B,2,FALSE)</f>
        <v>OCC</v>
      </c>
      <c r="K512">
        <f t="shared" si="7"/>
        <v>202045</v>
      </c>
      <c r="L512">
        <f>IFERROR(Table1[[#This Row],[Demand]]/SUMIFS(Table1[Demand],Table1[Fiscal_Year],Table1[[#This Row],[Fiscal_Year]],Table1[BRAND],Table1[[#This Row],[BRAND]],Table1[DC_name_Xref],Table1[[#This Row],[DC_name_Xref]]),0)</f>
        <v>0</v>
      </c>
      <c r="M5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2" s="3">
        <f>IFERROR(INDEX(Table3[#All],MATCH(Table1[[#This Row],[Key_Year_Week_Brand]],Table3[[#All],[Key_Year_Week_Brand]],0),MATCH(Table1[[#This Row],[DC_name_Xref]],Table3[#Headers],0)),0)</f>
        <v>0</v>
      </c>
      <c r="O512">
        <f>IFERROR(INDEX(Table35[#All],MATCH(Table1[[#This Row],[Key_Year_Week_Brand]],Table35[[#All],[Key_Year_Month_Brand]],0),MATCH(Table1[[#This Row],[DC_name_Xref]],Table35[#Headers],0)),0)</f>
        <v>0</v>
      </c>
    </row>
    <row r="513" spans="1:15" x14ac:dyDescent="0.3">
      <c r="A513" s="19" t="str">
        <f>Table1[[#This Row],[Year_Week]]&amp;"-"&amp;Table1[[#This Row],[DC_name_Xref]]</f>
        <v>202045-OFC</v>
      </c>
      <c r="B513" s="19" t="str">
        <f>Table1[[#This Row],[Fiscal_Year]]*100+Table1[[#This Row],[Fiscal_Week]] &amp; "-" &amp;Table1[[#This Row],[BRAND]]</f>
        <v>202045-BR Factory Store</v>
      </c>
      <c r="C513" t="str">
        <f>Table1[[#This Row],[Fiscal_Year]]&amp;"-"&amp;Table1[[#This Row],[BRAND]]</f>
        <v>2020-BR Factory Store</v>
      </c>
      <c r="D513">
        <v>2020</v>
      </c>
      <c r="E513">
        <v>45</v>
      </c>
      <c r="F513" t="s">
        <v>17</v>
      </c>
      <c r="G513" t="s">
        <v>5</v>
      </c>
      <c r="H513">
        <v>1</v>
      </c>
      <c r="I513">
        <v>106769</v>
      </c>
      <c r="J513" t="str">
        <f>VLOOKUP(H513,DC_Xref!A:B,2,FALSE)</f>
        <v>OFC</v>
      </c>
      <c r="K513">
        <f t="shared" si="7"/>
        <v>202045</v>
      </c>
      <c r="L513">
        <f>IFERROR(Table1[[#This Row],[Demand]]/SUMIFS(Table1[Demand],Table1[Fiscal_Year],Table1[[#This Row],[Fiscal_Year]],Table1[BRAND],Table1[[#This Row],[BRAND]],Table1[DC_name_Xref],Table1[[#This Row],[DC_name_Xref]]),0)</f>
        <v>7.6750112319166147E-2</v>
      </c>
      <c r="M5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513" s="3">
        <f>IFERROR(INDEX(Table3[#All],MATCH(Table1[[#This Row],[Key_Year_Week_Brand]],Table3[[#All],[Key_Year_Week_Brand]],0),MATCH(Table1[[#This Row],[DC_name_Xref]],Table3[#Headers],0)),0)</f>
        <v>1</v>
      </c>
      <c r="O513">
        <f>IFERROR(INDEX(Table35[#All],MATCH(Table1[[#This Row],[Key_Year_Week_Brand]],Table35[[#All],[Key_Year_Month_Brand]],0),MATCH(Table1[[#This Row],[DC_name_Xref]],Table35[#Headers],0)),0)</f>
        <v>106769</v>
      </c>
    </row>
    <row r="514" spans="1:15" x14ac:dyDescent="0.3">
      <c r="A514" s="19" t="str">
        <f>Table1[[#This Row],[Year_Week]]&amp;"-"&amp;Table1[[#This Row],[DC_name_Xref]]</f>
        <v>202045-TFC</v>
      </c>
      <c r="B514" s="19" t="str">
        <f>Table1[[#This Row],[Fiscal_Year]]*100+Table1[[#This Row],[Fiscal_Week]] &amp; "-" &amp;Table1[[#This Row],[BRAND]]</f>
        <v>202045-BR Factory Store</v>
      </c>
      <c r="C514" t="str">
        <f>Table1[[#This Row],[Fiscal_Year]]&amp;"-"&amp;Table1[[#This Row],[BRAND]]</f>
        <v>2020-BR Factory Store</v>
      </c>
      <c r="D514">
        <v>2020</v>
      </c>
      <c r="E514">
        <v>45</v>
      </c>
      <c r="F514" t="s">
        <v>17</v>
      </c>
      <c r="G514" t="s">
        <v>21</v>
      </c>
      <c r="H514">
        <v>2</v>
      </c>
      <c r="I514">
        <v>0</v>
      </c>
      <c r="J514" t="str">
        <f>VLOOKUP(H514,DC_Xref!A:B,2,FALSE)</f>
        <v>TFC</v>
      </c>
      <c r="K514">
        <f t="shared" ref="K514:K577" si="8">D514*100+E514</f>
        <v>202045</v>
      </c>
      <c r="L514">
        <f>IFERROR(Table1[[#This Row],[Demand]]/SUMIFS(Table1[Demand],Table1[Fiscal_Year],Table1[[#This Row],[Fiscal_Year]],Table1[BRAND],Table1[[#This Row],[BRAND]],Table1[DC_name_Xref],Table1[[#This Row],[DC_name_Xref]]),0)</f>
        <v>0</v>
      </c>
      <c r="M5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4" s="3">
        <f>IFERROR(INDEX(Table3[#All],MATCH(Table1[[#This Row],[Key_Year_Week_Brand]],Table3[[#All],[Key_Year_Week_Brand]],0),MATCH(Table1[[#This Row],[DC_name_Xref]],Table3[#Headers],0)),0)</f>
        <v>0</v>
      </c>
      <c r="O514">
        <f>IFERROR(INDEX(Table35[#All],MATCH(Table1[[#This Row],[Key_Year_Week_Brand]],Table35[[#All],[Key_Year_Month_Brand]],0),MATCH(Table1[[#This Row],[DC_name_Xref]],Table35[#Headers],0)),0)</f>
        <v>0</v>
      </c>
    </row>
    <row r="515" spans="1:15" x14ac:dyDescent="0.3">
      <c r="A515" s="19" t="str">
        <f>Table1[[#This Row],[Year_Week]]&amp;"-"&amp;Table1[[#This Row],[DC_name_Xref]]</f>
        <v>202045-WFC</v>
      </c>
      <c r="B515" s="19" t="str">
        <f>Table1[[#This Row],[Fiscal_Year]]*100+Table1[[#This Row],[Fiscal_Week]] &amp; "-" &amp;Table1[[#This Row],[BRAND]]</f>
        <v>202045-BR Factory Store</v>
      </c>
      <c r="C515" t="str">
        <f>Table1[[#This Row],[Fiscal_Year]]&amp;"-"&amp;Table1[[#This Row],[BRAND]]</f>
        <v>2020-BR Factory Store</v>
      </c>
      <c r="D515">
        <v>2020</v>
      </c>
      <c r="E515">
        <v>45</v>
      </c>
      <c r="F515" t="s">
        <v>17</v>
      </c>
      <c r="G515" t="s">
        <v>7</v>
      </c>
      <c r="H515">
        <v>3</v>
      </c>
      <c r="I515">
        <v>0</v>
      </c>
      <c r="J515" t="str">
        <f>VLOOKUP(H515,DC_Xref!A:B,2,FALSE)</f>
        <v>WFC</v>
      </c>
      <c r="K515">
        <f t="shared" si="8"/>
        <v>202045</v>
      </c>
      <c r="L515">
        <f>IFERROR(Table1[[#This Row],[Demand]]/SUMIFS(Table1[Demand],Table1[Fiscal_Year],Table1[[#This Row],[Fiscal_Year]],Table1[BRAND],Table1[[#This Row],[BRAND]],Table1[DC_name_Xref],Table1[[#This Row],[DC_name_Xref]]),0)</f>
        <v>0</v>
      </c>
      <c r="M5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5" s="3">
        <f>IFERROR(INDEX(Table3[#All],MATCH(Table1[[#This Row],[Key_Year_Week_Brand]],Table3[[#All],[Key_Year_Week_Brand]],0),MATCH(Table1[[#This Row],[DC_name_Xref]],Table3[#Headers],0)),0)</f>
        <v>0</v>
      </c>
      <c r="O515">
        <f>IFERROR(INDEX(Table35[#All],MATCH(Table1[[#This Row],[Key_Year_Week_Brand]],Table35[[#All],[Key_Year_Month_Brand]],0),MATCH(Table1[[#This Row],[DC_name_Xref]],Table35[#Headers],0)),0)</f>
        <v>0</v>
      </c>
    </row>
    <row r="516" spans="1:15" x14ac:dyDescent="0.3">
      <c r="A516" s="19" t="str">
        <f>Table1[[#This Row],[Year_Week]]&amp;"-"&amp;Table1[[#This Row],[DC_name_Xref]]</f>
        <v>202045-EAO</v>
      </c>
      <c r="B516" s="19" t="str">
        <f>Table1[[#This Row],[Fiscal_Year]]*100+Table1[[#This Row],[Fiscal_Week]] &amp; "-" &amp;Table1[[#This Row],[BRAND]]</f>
        <v>202045-BR Factory Store</v>
      </c>
      <c r="C516" t="str">
        <f>Table1[[#This Row],[Fiscal_Year]]&amp;"-"&amp;Table1[[#This Row],[BRAND]]</f>
        <v>2020-BR Factory Store</v>
      </c>
      <c r="D516">
        <v>2020</v>
      </c>
      <c r="E516">
        <v>45</v>
      </c>
      <c r="F516" t="s">
        <v>17</v>
      </c>
      <c r="G516" t="s">
        <v>8</v>
      </c>
      <c r="H516">
        <v>4</v>
      </c>
      <c r="I516">
        <v>0</v>
      </c>
      <c r="J516" t="str">
        <f>VLOOKUP(H516,DC_Xref!A:B,2,FALSE)</f>
        <v>EAO</v>
      </c>
      <c r="K516">
        <f t="shared" si="8"/>
        <v>202045</v>
      </c>
      <c r="L516">
        <f>IFERROR(Table1[[#This Row],[Demand]]/SUMIFS(Table1[Demand],Table1[Fiscal_Year],Table1[[#This Row],[Fiscal_Year]],Table1[BRAND],Table1[[#This Row],[BRAND]],Table1[DC_name_Xref],Table1[[#This Row],[DC_name_Xref]]),0)</f>
        <v>0</v>
      </c>
      <c r="M5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6" s="3">
        <f>IFERROR(INDEX(Table3[#All],MATCH(Table1[[#This Row],[Key_Year_Week_Brand]],Table3[[#All],[Key_Year_Week_Brand]],0),MATCH(Table1[[#This Row],[DC_name_Xref]],Table3[#Headers],0)),0)</f>
        <v>0</v>
      </c>
      <c r="O516">
        <f>IFERROR(INDEX(Table35[#All],MATCH(Table1[[#This Row],[Key_Year_Week_Brand]],Table35[[#All],[Key_Year_Month_Brand]],0),MATCH(Table1[[#This Row],[DC_name_Xref]],Table35[#Headers],0)),0)</f>
        <v>0</v>
      </c>
    </row>
    <row r="517" spans="1:15" x14ac:dyDescent="0.3">
      <c r="A517" s="19" t="str">
        <f>Table1[[#This Row],[Year_Week]]&amp;"-"&amp;Table1[[#This Row],[DC_name_Xref]]</f>
        <v>202045-FFC-ODC</v>
      </c>
      <c r="B517" s="19" t="str">
        <f>Table1[[#This Row],[Fiscal_Year]]*100+Table1[[#This Row],[Fiscal_Week]] &amp; "-" &amp;Table1[[#This Row],[BRAND]]</f>
        <v>202045-BR Factory Store</v>
      </c>
      <c r="C517" t="str">
        <f>Table1[[#This Row],[Fiscal_Year]]&amp;"-"&amp;Table1[[#This Row],[BRAND]]</f>
        <v>2020-BR Factory Store</v>
      </c>
      <c r="D517">
        <v>2020</v>
      </c>
      <c r="E517">
        <v>45</v>
      </c>
      <c r="F517" t="s">
        <v>17</v>
      </c>
      <c r="G517" t="s">
        <v>23</v>
      </c>
      <c r="H517">
        <v>5</v>
      </c>
      <c r="I517">
        <v>0</v>
      </c>
      <c r="J517" t="str">
        <f>VLOOKUP(H517,DC_Xref!A:B,2,FALSE)</f>
        <v>FFC-ODC</v>
      </c>
      <c r="K517">
        <f t="shared" si="8"/>
        <v>202045</v>
      </c>
      <c r="L517">
        <f>IFERROR(Table1[[#This Row],[Demand]]/SUMIFS(Table1[Demand],Table1[Fiscal_Year],Table1[[#This Row],[Fiscal_Year]],Table1[BRAND],Table1[[#This Row],[BRAND]],Table1[DC_name_Xref],Table1[[#This Row],[DC_name_Xref]]),0)</f>
        <v>0</v>
      </c>
      <c r="M5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7" s="3">
        <f>IFERROR(INDEX(Table3[#All],MATCH(Table1[[#This Row],[Key_Year_Week_Brand]],Table3[[#All],[Key_Year_Week_Brand]],0),MATCH(Table1[[#This Row],[DC_name_Xref]],Table3[#Headers],0)),0)</f>
        <v>0</v>
      </c>
      <c r="O517">
        <f>IFERROR(INDEX(Table35[#All],MATCH(Table1[[#This Row],[Key_Year_Week_Brand]],Table35[[#All],[Key_Year_Month_Brand]],0),MATCH(Table1[[#This Row],[DC_name_Xref]],Table35[#Headers],0)),0)</f>
        <v>0</v>
      </c>
    </row>
    <row r="518" spans="1:15" x14ac:dyDescent="0.3">
      <c r="A518" s="19" t="str">
        <f>Table1[[#This Row],[Year_Week]]&amp;"-"&amp;Table1[[#This Row],[DC_name_Xref]]</f>
        <v>202045-WEO</v>
      </c>
      <c r="B518" s="19" t="str">
        <f>Table1[[#This Row],[Fiscal_Year]]*100+Table1[[#This Row],[Fiscal_Week]] &amp; "-" &amp;Table1[[#This Row],[BRAND]]</f>
        <v>202045-BR Factory Store</v>
      </c>
      <c r="C518" t="str">
        <f>Table1[[#This Row],[Fiscal_Year]]&amp;"-"&amp;Table1[[#This Row],[BRAND]]</f>
        <v>2020-BR Factory Store</v>
      </c>
      <c r="D518">
        <v>2020</v>
      </c>
      <c r="E518">
        <v>45</v>
      </c>
      <c r="F518" t="s">
        <v>17</v>
      </c>
      <c r="G518" t="s">
        <v>10</v>
      </c>
      <c r="H518">
        <v>6</v>
      </c>
      <c r="I518">
        <v>0</v>
      </c>
      <c r="J518" t="str">
        <f>VLOOKUP(H518,DC_Xref!A:B,2,FALSE)</f>
        <v>WEO</v>
      </c>
      <c r="K518">
        <f t="shared" si="8"/>
        <v>202045</v>
      </c>
      <c r="L518">
        <f>IFERROR(Table1[[#This Row],[Demand]]/SUMIFS(Table1[Demand],Table1[Fiscal_Year],Table1[[#This Row],[Fiscal_Year]],Table1[BRAND],Table1[[#This Row],[BRAND]],Table1[DC_name_Xref],Table1[[#This Row],[DC_name_Xref]]),0)</f>
        <v>0</v>
      </c>
      <c r="M5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8" s="3">
        <f>IFERROR(INDEX(Table3[#All],MATCH(Table1[[#This Row],[Key_Year_Week_Brand]],Table3[[#All],[Key_Year_Week_Brand]],0),MATCH(Table1[[#This Row],[DC_name_Xref]],Table3[#Headers],0)),0)</f>
        <v>0</v>
      </c>
      <c r="O518">
        <f>IFERROR(INDEX(Table35[#All],MATCH(Table1[[#This Row],[Key_Year_Week_Brand]],Table35[[#All],[Key_Year_Month_Brand]],0),MATCH(Table1[[#This Row],[DC_name_Xref]],Table35[#Headers],0)),0)</f>
        <v>0</v>
      </c>
    </row>
    <row r="519" spans="1:15" x14ac:dyDescent="0.3">
      <c r="A519" s="19" t="str">
        <f>Table1[[#This Row],[Year_Week]]&amp;"-"&amp;Table1[[#This Row],[DC_name_Xref]]</f>
        <v>202045-OCC</v>
      </c>
      <c r="B519" s="19" t="str">
        <f>Table1[[#This Row],[Fiscal_Year]]*100+Table1[[#This Row],[Fiscal_Week]] &amp; "-" &amp;Table1[[#This Row],[BRAND]]</f>
        <v>202045-BR Factory Store</v>
      </c>
      <c r="C519" t="str">
        <f>Table1[[#This Row],[Fiscal_Year]]&amp;"-"&amp;Table1[[#This Row],[BRAND]]</f>
        <v>2020-BR Factory Store</v>
      </c>
      <c r="D519">
        <v>2020</v>
      </c>
      <c r="E519">
        <v>45</v>
      </c>
      <c r="F519" t="s">
        <v>17</v>
      </c>
      <c r="G519" t="s">
        <v>11</v>
      </c>
      <c r="H519">
        <v>7</v>
      </c>
      <c r="I519">
        <v>0</v>
      </c>
      <c r="J519" t="str">
        <f>VLOOKUP(H519,DC_Xref!A:B,2,FALSE)</f>
        <v>OCC</v>
      </c>
      <c r="K519">
        <f t="shared" si="8"/>
        <v>202045</v>
      </c>
      <c r="L519">
        <f>IFERROR(Table1[[#This Row],[Demand]]/SUMIFS(Table1[Demand],Table1[Fiscal_Year],Table1[[#This Row],[Fiscal_Year]],Table1[BRAND],Table1[[#This Row],[BRAND]],Table1[DC_name_Xref],Table1[[#This Row],[DC_name_Xref]]),0)</f>
        <v>0</v>
      </c>
      <c r="M5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19" s="3">
        <f>IFERROR(INDEX(Table3[#All],MATCH(Table1[[#This Row],[Key_Year_Week_Brand]],Table3[[#All],[Key_Year_Week_Brand]],0),MATCH(Table1[[#This Row],[DC_name_Xref]],Table3[#Headers],0)),0)</f>
        <v>0</v>
      </c>
      <c r="O519">
        <f>IFERROR(INDEX(Table35[#All],MATCH(Table1[[#This Row],[Key_Year_Week_Brand]],Table35[[#All],[Key_Year_Month_Brand]],0),MATCH(Table1[[#This Row],[DC_name_Xref]],Table35[#Headers],0)),0)</f>
        <v>0</v>
      </c>
    </row>
    <row r="520" spans="1:15" x14ac:dyDescent="0.3">
      <c r="A520" s="19" t="str">
        <f>Table1[[#This Row],[Year_Week]]&amp;"-"&amp;Table1[[#This Row],[DC_name_Xref]]</f>
        <v>202045-OFC</v>
      </c>
      <c r="B520" s="19" t="str">
        <f>Table1[[#This Row],[Fiscal_Year]]*100+Table1[[#This Row],[Fiscal_Week]] &amp; "-" &amp;Table1[[#This Row],[BRAND]]</f>
        <v>202045-Gap Factory Store</v>
      </c>
      <c r="C520" t="str">
        <f>Table1[[#This Row],[Fiscal_Year]]&amp;"-"&amp;Table1[[#This Row],[BRAND]]</f>
        <v>2020-Gap Factory Store</v>
      </c>
      <c r="D520">
        <v>2020</v>
      </c>
      <c r="E520">
        <v>45</v>
      </c>
      <c r="F520" t="s">
        <v>22</v>
      </c>
      <c r="G520" t="s">
        <v>5</v>
      </c>
      <c r="H520">
        <v>1</v>
      </c>
      <c r="I520">
        <v>388257</v>
      </c>
      <c r="J520" t="str">
        <f>VLOOKUP(H520,DC_Xref!A:B,2,FALSE)</f>
        <v>OFC</v>
      </c>
      <c r="K520">
        <f t="shared" si="8"/>
        <v>202045</v>
      </c>
      <c r="L520">
        <f>IFERROR(Table1[[#This Row],[Demand]]/SUMIFS(Table1[Demand],Table1[Fiscal_Year],Table1[[#This Row],[Fiscal_Year]],Table1[BRAND],Table1[[#This Row],[BRAND]],Table1[DC_name_Xref],Table1[[#This Row],[DC_name_Xref]]),0)</f>
        <v>0.11098799979074887</v>
      </c>
      <c r="M5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520" s="3">
        <f>IFERROR(INDEX(Table3[#All],MATCH(Table1[[#This Row],[Key_Year_Week_Brand]],Table3[[#All],[Key_Year_Week_Brand]],0),MATCH(Table1[[#This Row],[DC_name_Xref]],Table3[#Headers],0)),0)</f>
        <v>1</v>
      </c>
      <c r="O520">
        <f>IFERROR(INDEX(Table35[#All],MATCH(Table1[[#This Row],[Key_Year_Week_Brand]],Table35[[#All],[Key_Year_Month_Brand]],0),MATCH(Table1[[#This Row],[DC_name_Xref]],Table35[#Headers],0)),0)</f>
        <v>388257</v>
      </c>
    </row>
    <row r="521" spans="1:15" x14ac:dyDescent="0.3">
      <c r="A521" s="19" t="str">
        <f>Table1[[#This Row],[Year_Week]]&amp;"-"&amp;Table1[[#This Row],[DC_name_Xref]]</f>
        <v>202045-TFC</v>
      </c>
      <c r="B521" s="19" t="str">
        <f>Table1[[#This Row],[Fiscal_Year]]*100+Table1[[#This Row],[Fiscal_Week]] &amp; "-" &amp;Table1[[#This Row],[BRAND]]</f>
        <v>202045-Gap Factory Store</v>
      </c>
      <c r="C521" t="str">
        <f>Table1[[#This Row],[Fiscal_Year]]&amp;"-"&amp;Table1[[#This Row],[BRAND]]</f>
        <v>2020-Gap Factory Store</v>
      </c>
      <c r="D521">
        <v>2020</v>
      </c>
      <c r="E521">
        <v>45</v>
      </c>
      <c r="F521" t="s">
        <v>22</v>
      </c>
      <c r="G521" t="s">
        <v>21</v>
      </c>
      <c r="H521">
        <v>2</v>
      </c>
      <c r="I521">
        <v>0</v>
      </c>
      <c r="J521" t="str">
        <f>VLOOKUP(H521,DC_Xref!A:B,2,FALSE)</f>
        <v>TFC</v>
      </c>
      <c r="K521">
        <f t="shared" si="8"/>
        <v>202045</v>
      </c>
      <c r="L521">
        <f>IFERROR(Table1[[#This Row],[Demand]]/SUMIFS(Table1[Demand],Table1[Fiscal_Year],Table1[[#This Row],[Fiscal_Year]],Table1[BRAND],Table1[[#This Row],[BRAND]],Table1[DC_name_Xref],Table1[[#This Row],[DC_name_Xref]]),0)</f>
        <v>0</v>
      </c>
      <c r="M5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1" s="3">
        <f>IFERROR(INDEX(Table3[#All],MATCH(Table1[[#This Row],[Key_Year_Week_Brand]],Table3[[#All],[Key_Year_Week_Brand]],0),MATCH(Table1[[#This Row],[DC_name_Xref]],Table3[#Headers],0)),0)</f>
        <v>0</v>
      </c>
      <c r="O521">
        <f>IFERROR(INDEX(Table35[#All],MATCH(Table1[[#This Row],[Key_Year_Week_Brand]],Table35[[#All],[Key_Year_Month_Brand]],0),MATCH(Table1[[#This Row],[DC_name_Xref]],Table35[#Headers],0)),0)</f>
        <v>0</v>
      </c>
    </row>
    <row r="522" spans="1:15" x14ac:dyDescent="0.3">
      <c r="A522" s="19" t="str">
        <f>Table1[[#This Row],[Year_Week]]&amp;"-"&amp;Table1[[#This Row],[DC_name_Xref]]</f>
        <v>202045-WFC</v>
      </c>
      <c r="B522" s="19" t="str">
        <f>Table1[[#This Row],[Fiscal_Year]]*100+Table1[[#This Row],[Fiscal_Week]] &amp; "-" &amp;Table1[[#This Row],[BRAND]]</f>
        <v>202045-Gap Factory Store</v>
      </c>
      <c r="C522" t="str">
        <f>Table1[[#This Row],[Fiscal_Year]]&amp;"-"&amp;Table1[[#This Row],[BRAND]]</f>
        <v>2020-Gap Factory Store</v>
      </c>
      <c r="D522">
        <v>2020</v>
      </c>
      <c r="E522">
        <v>45</v>
      </c>
      <c r="F522" t="s">
        <v>22</v>
      </c>
      <c r="G522" t="s">
        <v>7</v>
      </c>
      <c r="H522">
        <v>3</v>
      </c>
      <c r="I522">
        <v>0</v>
      </c>
      <c r="J522" t="str">
        <f>VLOOKUP(H522,DC_Xref!A:B,2,FALSE)</f>
        <v>WFC</v>
      </c>
      <c r="K522">
        <f t="shared" si="8"/>
        <v>202045</v>
      </c>
      <c r="L522">
        <f>IFERROR(Table1[[#This Row],[Demand]]/SUMIFS(Table1[Demand],Table1[Fiscal_Year],Table1[[#This Row],[Fiscal_Year]],Table1[BRAND],Table1[[#This Row],[BRAND]],Table1[DC_name_Xref],Table1[[#This Row],[DC_name_Xref]]),0)</f>
        <v>0</v>
      </c>
      <c r="M5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2" s="3">
        <f>IFERROR(INDEX(Table3[#All],MATCH(Table1[[#This Row],[Key_Year_Week_Brand]],Table3[[#All],[Key_Year_Week_Brand]],0),MATCH(Table1[[#This Row],[DC_name_Xref]],Table3[#Headers],0)),0)</f>
        <v>0</v>
      </c>
      <c r="O522">
        <f>IFERROR(INDEX(Table35[#All],MATCH(Table1[[#This Row],[Key_Year_Week_Brand]],Table35[[#All],[Key_Year_Month_Brand]],0),MATCH(Table1[[#This Row],[DC_name_Xref]],Table35[#Headers],0)),0)</f>
        <v>0</v>
      </c>
    </row>
    <row r="523" spans="1:15" x14ac:dyDescent="0.3">
      <c r="A523" s="19" t="str">
        <f>Table1[[#This Row],[Year_Week]]&amp;"-"&amp;Table1[[#This Row],[DC_name_Xref]]</f>
        <v>202045-EAO</v>
      </c>
      <c r="B523" s="19" t="str">
        <f>Table1[[#This Row],[Fiscal_Year]]*100+Table1[[#This Row],[Fiscal_Week]] &amp; "-" &amp;Table1[[#This Row],[BRAND]]</f>
        <v>202045-Gap Factory Store</v>
      </c>
      <c r="C523" t="str">
        <f>Table1[[#This Row],[Fiscal_Year]]&amp;"-"&amp;Table1[[#This Row],[BRAND]]</f>
        <v>2020-Gap Factory Store</v>
      </c>
      <c r="D523">
        <v>2020</v>
      </c>
      <c r="E523">
        <v>45</v>
      </c>
      <c r="F523" t="s">
        <v>22</v>
      </c>
      <c r="G523" t="s">
        <v>8</v>
      </c>
      <c r="H523">
        <v>4</v>
      </c>
      <c r="I523">
        <v>0</v>
      </c>
      <c r="J523" t="str">
        <f>VLOOKUP(H523,DC_Xref!A:B,2,FALSE)</f>
        <v>EAO</v>
      </c>
      <c r="K523">
        <f t="shared" si="8"/>
        <v>202045</v>
      </c>
      <c r="L523">
        <f>IFERROR(Table1[[#This Row],[Demand]]/SUMIFS(Table1[Demand],Table1[Fiscal_Year],Table1[[#This Row],[Fiscal_Year]],Table1[BRAND],Table1[[#This Row],[BRAND]],Table1[DC_name_Xref],Table1[[#This Row],[DC_name_Xref]]),0)</f>
        <v>0</v>
      </c>
      <c r="M5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3" s="3">
        <f>IFERROR(INDEX(Table3[#All],MATCH(Table1[[#This Row],[Key_Year_Week_Brand]],Table3[[#All],[Key_Year_Week_Brand]],0),MATCH(Table1[[#This Row],[DC_name_Xref]],Table3[#Headers],0)),0)</f>
        <v>0</v>
      </c>
      <c r="O523">
        <f>IFERROR(INDEX(Table35[#All],MATCH(Table1[[#This Row],[Key_Year_Week_Brand]],Table35[[#All],[Key_Year_Month_Brand]],0),MATCH(Table1[[#This Row],[DC_name_Xref]],Table35[#Headers],0)),0)</f>
        <v>0</v>
      </c>
    </row>
    <row r="524" spans="1:15" x14ac:dyDescent="0.3">
      <c r="A524" s="19" t="str">
        <f>Table1[[#This Row],[Year_Week]]&amp;"-"&amp;Table1[[#This Row],[DC_name_Xref]]</f>
        <v>202045-FFC-ODC</v>
      </c>
      <c r="B524" s="19" t="str">
        <f>Table1[[#This Row],[Fiscal_Year]]*100+Table1[[#This Row],[Fiscal_Week]] &amp; "-" &amp;Table1[[#This Row],[BRAND]]</f>
        <v>202045-Gap Factory Store</v>
      </c>
      <c r="C524" t="str">
        <f>Table1[[#This Row],[Fiscal_Year]]&amp;"-"&amp;Table1[[#This Row],[BRAND]]</f>
        <v>2020-Gap Factory Store</v>
      </c>
      <c r="D524">
        <v>2020</v>
      </c>
      <c r="E524">
        <v>45</v>
      </c>
      <c r="F524" t="s">
        <v>22</v>
      </c>
      <c r="G524" t="s">
        <v>23</v>
      </c>
      <c r="H524">
        <v>5</v>
      </c>
      <c r="I524">
        <v>0</v>
      </c>
      <c r="J524" t="str">
        <f>VLOOKUP(H524,DC_Xref!A:B,2,FALSE)</f>
        <v>FFC-ODC</v>
      </c>
      <c r="K524">
        <f t="shared" si="8"/>
        <v>202045</v>
      </c>
      <c r="L524">
        <f>IFERROR(Table1[[#This Row],[Demand]]/SUMIFS(Table1[Demand],Table1[Fiscal_Year],Table1[[#This Row],[Fiscal_Year]],Table1[BRAND],Table1[[#This Row],[BRAND]],Table1[DC_name_Xref],Table1[[#This Row],[DC_name_Xref]]),0)</f>
        <v>0</v>
      </c>
      <c r="M5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4" s="3">
        <f>IFERROR(INDEX(Table3[#All],MATCH(Table1[[#This Row],[Key_Year_Week_Brand]],Table3[[#All],[Key_Year_Week_Brand]],0),MATCH(Table1[[#This Row],[DC_name_Xref]],Table3[#Headers],0)),0)</f>
        <v>0</v>
      </c>
      <c r="O524">
        <f>IFERROR(INDEX(Table35[#All],MATCH(Table1[[#This Row],[Key_Year_Week_Brand]],Table35[[#All],[Key_Year_Month_Brand]],0),MATCH(Table1[[#This Row],[DC_name_Xref]],Table35[#Headers],0)),0)</f>
        <v>0</v>
      </c>
    </row>
    <row r="525" spans="1:15" x14ac:dyDescent="0.3">
      <c r="A525" s="19" t="str">
        <f>Table1[[#This Row],[Year_Week]]&amp;"-"&amp;Table1[[#This Row],[DC_name_Xref]]</f>
        <v>202045-WEO</v>
      </c>
      <c r="B525" s="19" t="str">
        <f>Table1[[#This Row],[Fiscal_Year]]*100+Table1[[#This Row],[Fiscal_Week]] &amp; "-" &amp;Table1[[#This Row],[BRAND]]</f>
        <v>202045-Gap Factory Store</v>
      </c>
      <c r="C525" t="str">
        <f>Table1[[#This Row],[Fiscal_Year]]&amp;"-"&amp;Table1[[#This Row],[BRAND]]</f>
        <v>2020-Gap Factory Store</v>
      </c>
      <c r="D525">
        <v>2020</v>
      </c>
      <c r="E525">
        <v>45</v>
      </c>
      <c r="F525" t="s">
        <v>22</v>
      </c>
      <c r="G525" t="s">
        <v>10</v>
      </c>
      <c r="H525">
        <v>6</v>
      </c>
      <c r="I525">
        <v>0</v>
      </c>
      <c r="J525" t="str">
        <f>VLOOKUP(H525,DC_Xref!A:B,2,FALSE)</f>
        <v>WEO</v>
      </c>
      <c r="K525">
        <f t="shared" si="8"/>
        <v>202045</v>
      </c>
      <c r="L525">
        <f>IFERROR(Table1[[#This Row],[Demand]]/SUMIFS(Table1[Demand],Table1[Fiscal_Year],Table1[[#This Row],[Fiscal_Year]],Table1[BRAND],Table1[[#This Row],[BRAND]],Table1[DC_name_Xref],Table1[[#This Row],[DC_name_Xref]]),0)</f>
        <v>0</v>
      </c>
      <c r="M5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5" s="3">
        <f>IFERROR(INDEX(Table3[#All],MATCH(Table1[[#This Row],[Key_Year_Week_Brand]],Table3[[#All],[Key_Year_Week_Brand]],0),MATCH(Table1[[#This Row],[DC_name_Xref]],Table3[#Headers],0)),0)</f>
        <v>0</v>
      </c>
      <c r="O525">
        <f>IFERROR(INDEX(Table35[#All],MATCH(Table1[[#This Row],[Key_Year_Week_Brand]],Table35[[#All],[Key_Year_Month_Brand]],0),MATCH(Table1[[#This Row],[DC_name_Xref]],Table35[#Headers],0)),0)</f>
        <v>0</v>
      </c>
    </row>
    <row r="526" spans="1:15" x14ac:dyDescent="0.3">
      <c r="A526" s="19" t="str">
        <f>Table1[[#This Row],[Year_Week]]&amp;"-"&amp;Table1[[#This Row],[DC_name_Xref]]</f>
        <v>202045-OCC</v>
      </c>
      <c r="B526" s="19" t="str">
        <f>Table1[[#This Row],[Fiscal_Year]]*100+Table1[[#This Row],[Fiscal_Week]] &amp; "-" &amp;Table1[[#This Row],[BRAND]]</f>
        <v>202045-Gap Factory Store</v>
      </c>
      <c r="C526" t="str">
        <f>Table1[[#This Row],[Fiscal_Year]]&amp;"-"&amp;Table1[[#This Row],[BRAND]]</f>
        <v>2020-Gap Factory Store</v>
      </c>
      <c r="D526">
        <v>2020</v>
      </c>
      <c r="E526">
        <v>45</v>
      </c>
      <c r="F526" t="s">
        <v>22</v>
      </c>
      <c r="G526" t="s">
        <v>11</v>
      </c>
      <c r="H526">
        <v>7</v>
      </c>
      <c r="I526">
        <v>0</v>
      </c>
      <c r="J526" t="str">
        <f>VLOOKUP(H526,DC_Xref!A:B,2,FALSE)</f>
        <v>OCC</v>
      </c>
      <c r="K526">
        <f t="shared" si="8"/>
        <v>202045</v>
      </c>
      <c r="L526">
        <f>IFERROR(Table1[[#This Row],[Demand]]/SUMIFS(Table1[Demand],Table1[Fiscal_Year],Table1[[#This Row],[Fiscal_Year]],Table1[BRAND],Table1[[#This Row],[BRAND]],Table1[DC_name_Xref],Table1[[#This Row],[DC_name_Xref]]),0)</f>
        <v>0</v>
      </c>
      <c r="M5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26" s="3">
        <f>IFERROR(INDEX(Table3[#All],MATCH(Table1[[#This Row],[Key_Year_Week_Brand]],Table3[[#All],[Key_Year_Week_Brand]],0),MATCH(Table1[[#This Row],[DC_name_Xref]],Table3[#Headers],0)),0)</f>
        <v>0</v>
      </c>
      <c r="O526">
        <f>IFERROR(INDEX(Table35[#All],MATCH(Table1[[#This Row],[Key_Year_Week_Brand]],Table35[[#All],[Key_Year_Month_Brand]],0),MATCH(Table1[[#This Row],[DC_name_Xref]],Table35[#Headers],0)),0)</f>
        <v>0</v>
      </c>
    </row>
    <row r="527" spans="1:15" x14ac:dyDescent="0.3">
      <c r="A527" s="19" t="str">
        <f>Table1[[#This Row],[Year_Week]]&amp;"-"&amp;Table1[[#This Row],[DC_name_Xref]]</f>
        <v>202045-OFC</v>
      </c>
      <c r="B527" s="19" t="str">
        <f>Table1[[#This Row],[Fiscal_Year]]*100+Table1[[#This Row],[Fiscal_Week]] &amp; "-" &amp;Table1[[#This Row],[BRAND]]</f>
        <v>202045-Gap</v>
      </c>
      <c r="C527" t="str">
        <f>Table1[[#This Row],[Fiscal_Year]]&amp;"-"&amp;Table1[[#This Row],[BRAND]]</f>
        <v>2020-Gap</v>
      </c>
      <c r="D527">
        <v>2020</v>
      </c>
      <c r="E527">
        <v>45</v>
      </c>
      <c r="F527" t="s">
        <v>16</v>
      </c>
      <c r="G527" t="s">
        <v>5</v>
      </c>
      <c r="H527">
        <v>1</v>
      </c>
      <c r="I527">
        <v>923619</v>
      </c>
      <c r="J527" t="str">
        <f>VLOOKUP(H527,DC_Xref!A:B,2,FALSE)</f>
        <v>OFC</v>
      </c>
      <c r="K527">
        <f t="shared" si="8"/>
        <v>202045</v>
      </c>
      <c r="L527">
        <f>IFERROR(Table1[[#This Row],[Demand]]/SUMIFS(Table1[Demand],Table1[Fiscal_Year],Table1[[#This Row],[Fiscal_Year]],Table1[BRAND],Table1[[#This Row],[BRAND]],Table1[DC_name_Xref],Table1[[#This Row],[DC_name_Xref]]),0)</f>
        <v>0.11762018858830024</v>
      </c>
      <c r="M5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0.66900241512227088</v>
      </c>
      <c r="N527" s="3">
        <f>IFERROR(INDEX(Table3[#All],MATCH(Table1[[#This Row],[Key_Year_Week_Brand]],Table3[[#All],[Key_Year_Week_Brand]],0),MATCH(Table1[[#This Row],[DC_name_Xref]],Table3[#Headers],0)),0)</f>
        <v>0.25</v>
      </c>
      <c r="O527">
        <f>IFERROR(INDEX(Table35[#All],MATCH(Table1[[#This Row],[Key_Year_Week_Brand]],Table35[[#All],[Key_Year_Month_Brand]],0),MATCH(Table1[[#This Row],[DC_name_Xref]],Table35[#Headers],0)),0)</f>
        <v>327717.5</v>
      </c>
    </row>
    <row r="528" spans="1:15" x14ac:dyDescent="0.3">
      <c r="A528" s="19" t="str">
        <f>Table1[[#This Row],[Year_Week]]&amp;"-"&amp;Table1[[#This Row],[DC_name_Xref]]</f>
        <v>202045-TFC</v>
      </c>
      <c r="B528" s="19" t="str">
        <f>Table1[[#This Row],[Fiscal_Year]]*100+Table1[[#This Row],[Fiscal_Week]] &amp; "-" &amp;Table1[[#This Row],[BRAND]]</f>
        <v>202045-Gap</v>
      </c>
      <c r="C528" t="str">
        <f>Table1[[#This Row],[Fiscal_Year]]&amp;"-"&amp;Table1[[#This Row],[BRAND]]</f>
        <v>2020-Gap</v>
      </c>
      <c r="D528">
        <v>2020</v>
      </c>
      <c r="E528">
        <v>45</v>
      </c>
      <c r="F528" t="s">
        <v>16</v>
      </c>
      <c r="G528" t="s">
        <v>21</v>
      </c>
      <c r="H528">
        <v>2</v>
      </c>
      <c r="I528">
        <v>291</v>
      </c>
      <c r="J528" t="str">
        <f>VLOOKUP(H528,DC_Xref!A:B,2,FALSE)</f>
        <v>TFC</v>
      </c>
      <c r="K528">
        <f t="shared" si="8"/>
        <v>202045</v>
      </c>
      <c r="L528">
        <f>IFERROR(Table1[[#This Row],[Demand]]/SUMIFS(Table1[Demand],Table1[Fiscal_Year],Table1[[#This Row],[Fiscal_Year]],Table1[BRAND],Table1[[#This Row],[BRAND]],Table1[DC_name_Xref],Table1[[#This Row],[DC_name_Xref]]),0)</f>
        <v>0.20594479830148621</v>
      </c>
      <c r="M5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1.2038125330771561E-4</v>
      </c>
      <c r="N528" s="3">
        <f>IFERROR(INDEX(Table3[#All],MATCH(Table1[[#This Row],[Key_Year_Week_Brand]],Table3[[#All],[Key_Year_Week_Brand]],0),MATCH(Table1[[#This Row],[DC_name_Xref]],Table3[#Headers],0)),0)</f>
        <v>0.2</v>
      </c>
      <c r="O528">
        <f>IFERROR(INDEX(Table35[#All],MATCH(Table1[[#This Row],[Key_Year_Week_Brand]],Table35[[#All],[Key_Year_Month_Brand]],0),MATCH(Table1[[#This Row],[DC_name_Xref]],Table35[#Headers],0)),0)</f>
        <v>262174</v>
      </c>
    </row>
    <row r="529" spans="1:15" x14ac:dyDescent="0.3">
      <c r="A529" s="19" t="str">
        <f>Table1[[#This Row],[Year_Week]]&amp;"-"&amp;Table1[[#This Row],[DC_name_Xref]]</f>
        <v>202045-WFC</v>
      </c>
      <c r="B529" s="19" t="str">
        <f>Table1[[#This Row],[Fiscal_Year]]*100+Table1[[#This Row],[Fiscal_Week]] &amp; "-" &amp;Table1[[#This Row],[BRAND]]</f>
        <v>202045-Gap</v>
      </c>
      <c r="C529" t="str">
        <f>Table1[[#This Row],[Fiscal_Year]]&amp;"-"&amp;Table1[[#This Row],[BRAND]]</f>
        <v>2020-Gap</v>
      </c>
      <c r="D529">
        <v>2020</v>
      </c>
      <c r="E529">
        <v>45</v>
      </c>
      <c r="F529" t="s">
        <v>16</v>
      </c>
      <c r="G529" t="s">
        <v>7</v>
      </c>
      <c r="H529">
        <v>3</v>
      </c>
      <c r="I529">
        <v>23652</v>
      </c>
      <c r="J529" t="str">
        <f>VLOOKUP(H529,DC_Xref!A:B,2,FALSE)</f>
        <v>WFC</v>
      </c>
      <c r="K529">
        <f t="shared" si="8"/>
        <v>202045</v>
      </c>
      <c r="L529">
        <f>IFERROR(Table1[[#This Row],[Demand]]/SUMIFS(Table1[Demand],Table1[Fiscal_Year],Table1[[#This Row],[Fiscal_Year]],Table1[BRAND],Table1[[#This Row],[BRAND]],Table1[DC_name_Xref],Table1[[#This Row],[DC_name_Xref]]),0)</f>
        <v>8.4594392563476201E-2</v>
      </c>
      <c r="M5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2.3820067767915166E-2</v>
      </c>
      <c r="N529" s="3">
        <f>IFERROR(INDEX(Table3[#All],MATCH(Table1[[#This Row],[Key_Year_Week_Brand]],Table3[[#All],[Key_Year_Week_Brand]],0),MATCH(Table1[[#This Row],[DC_name_Xref]],Table3[#Headers],0)),0)</f>
        <v>0.15</v>
      </c>
      <c r="O529">
        <f>IFERROR(INDEX(Table35[#All],MATCH(Table1[[#This Row],[Key_Year_Week_Brand]],Table35[[#All],[Key_Year_Month_Brand]],0),MATCH(Table1[[#This Row],[DC_name_Xref]],Table35[#Headers],0)),0)</f>
        <v>196630.5</v>
      </c>
    </row>
    <row r="530" spans="1:15" x14ac:dyDescent="0.3">
      <c r="A530" s="19" t="str">
        <f>Table1[[#This Row],[Year_Week]]&amp;"-"&amp;Table1[[#This Row],[DC_name_Xref]]</f>
        <v>202045-EAO</v>
      </c>
      <c r="B530" s="19" t="str">
        <f>Table1[[#This Row],[Fiscal_Year]]*100+Table1[[#This Row],[Fiscal_Week]] &amp; "-" &amp;Table1[[#This Row],[BRAND]]</f>
        <v>202045-Gap</v>
      </c>
      <c r="C530" t="str">
        <f>Table1[[#This Row],[Fiscal_Year]]&amp;"-"&amp;Table1[[#This Row],[BRAND]]</f>
        <v>2020-Gap</v>
      </c>
      <c r="D530">
        <v>2020</v>
      </c>
      <c r="E530">
        <v>45</v>
      </c>
      <c r="F530" t="s">
        <v>16</v>
      </c>
      <c r="G530" t="s">
        <v>8</v>
      </c>
      <c r="H530">
        <v>4</v>
      </c>
      <c r="I530">
        <v>133</v>
      </c>
      <c r="J530" t="str">
        <f>VLOOKUP(H530,DC_Xref!A:B,2,FALSE)</f>
        <v>EAO</v>
      </c>
      <c r="K530">
        <f t="shared" si="8"/>
        <v>202045</v>
      </c>
      <c r="L530">
        <f>IFERROR(Table1[[#This Row],[Demand]]/SUMIFS(Table1[Demand],Table1[Fiscal_Year],Table1[[#This Row],[Fiscal_Year]],Table1[BRAND],Table1[[#This Row],[BRAND]],Table1[DC_name_Xref],Table1[[#This Row],[DC_name_Xref]]),0)</f>
        <v>9.432624113475177E-2</v>
      </c>
      <c r="M5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1.2012566678264615E-4</v>
      </c>
      <c r="N530" s="3">
        <f>IFERROR(INDEX(Table3[#All],MATCH(Table1[[#This Row],[Key_Year_Week_Brand]],Table3[[#All],[Key_Year_Week_Brand]],0),MATCH(Table1[[#This Row],[DC_name_Xref]],Table3[#Headers],0)),0)</f>
        <v>0</v>
      </c>
      <c r="O530">
        <f>IFERROR(INDEX(Table35[#All],MATCH(Table1[[#This Row],[Key_Year_Week_Brand]],Table35[[#All],[Key_Year_Month_Brand]],0),MATCH(Table1[[#This Row],[DC_name_Xref]],Table35[#Headers],0)),0)</f>
        <v>0</v>
      </c>
    </row>
    <row r="531" spans="1:15" x14ac:dyDescent="0.3">
      <c r="A531" s="19" t="str">
        <f>Table1[[#This Row],[Year_Week]]&amp;"-"&amp;Table1[[#This Row],[DC_name_Xref]]</f>
        <v>202045-FFC-ODC</v>
      </c>
      <c r="B531" s="19" t="str">
        <f>Table1[[#This Row],[Fiscal_Year]]*100+Table1[[#This Row],[Fiscal_Week]] &amp; "-" &amp;Table1[[#This Row],[BRAND]]</f>
        <v>202045-Gap</v>
      </c>
      <c r="C531" t="str">
        <f>Table1[[#This Row],[Fiscal_Year]]&amp;"-"&amp;Table1[[#This Row],[BRAND]]</f>
        <v>2020-Gap</v>
      </c>
      <c r="D531">
        <v>2020</v>
      </c>
      <c r="E531">
        <v>45</v>
      </c>
      <c r="F531" t="s">
        <v>16</v>
      </c>
      <c r="G531" t="s">
        <v>23</v>
      </c>
      <c r="H531">
        <v>5</v>
      </c>
      <c r="I531">
        <v>0</v>
      </c>
      <c r="J531" t="str">
        <f>VLOOKUP(H531,DC_Xref!A:B,2,FALSE)</f>
        <v>FFC-ODC</v>
      </c>
      <c r="K531">
        <f t="shared" si="8"/>
        <v>202045</v>
      </c>
      <c r="L531">
        <f>IFERROR(Table1[[#This Row],[Demand]]/SUMIFS(Table1[Demand],Table1[Fiscal_Year],Table1[[#This Row],[Fiscal_Year]],Table1[BRAND],Table1[[#This Row],[BRAND]],Table1[DC_name_Xref],Table1[[#This Row],[DC_name_Xref]]),0)</f>
        <v>0</v>
      </c>
      <c r="M5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31" s="3">
        <f>IFERROR(INDEX(Table3[#All],MATCH(Table1[[#This Row],[Key_Year_Week_Brand]],Table3[[#All],[Key_Year_Week_Brand]],0),MATCH(Table1[[#This Row],[DC_name_Xref]],Table3[#Headers],0)),0)</f>
        <v>0</v>
      </c>
      <c r="O531">
        <f>IFERROR(INDEX(Table35[#All],MATCH(Table1[[#This Row],[Key_Year_Week_Brand]],Table35[[#All],[Key_Year_Month_Brand]],0),MATCH(Table1[[#This Row],[DC_name_Xref]],Table35[#Headers],0)),0)</f>
        <v>0</v>
      </c>
    </row>
    <row r="532" spans="1:15" x14ac:dyDescent="0.3">
      <c r="A532" s="19" t="str">
        <f>Table1[[#This Row],[Year_Week]]&amp;"-"&amp;Table1[[#This Row],[DC_name_Xref]]</f>
        <v>202045-WEO</v>
      </c>
      <c r="B532" s="19" t="str">
        <f>Table1[[#This Row],[Fiscal_Year]]*100+Table1[[#This Row],[Fiscal_Week]] &amp; "-" &amp;Table1[[#This Row],[BRAND]]</f>
        <v>202045-Gap</v>
      </c>
      <c r="C532" t="str">
        <f>Table1[[#This Row],[Fiscal_Year]]&amp;"-"&amp;Table1[[#This Row],[BRAND]]</f>
        <v>2020-Gap</v>
      </c>
      <c r="D532">
        <v>2020</v>
      </c>
      <c r="E532">
        <v>45</v>
      </c>
      <c r="F532" t="s">
        <v>16</v>
      </c>
      <c r="G532" t="s">
        <v>10</v>
      </c>
      <c r="H532">
        <v>6</v>
      </c>
      <c r="I532">
        <v>363175</v>
      </c>
      <c r="J532" t="str">
        <f>VLOOKUP(H532,DC_Xref!A:B,2,FALSE)</f>
        <v>WEO</v>
      </c>
      <c r="K532">
        <f t="shared" si="8"/>
        <v>202045</v>
      </c>
      <c r="L532">
        <f>IFERROR(Table1[[#This Row],[Demand]]/SUMIFS(Table1[Demand],Table1[Fiscal_Year],Table1[[#This Row],[Fiscal_Year]],Table1[BRAND],Table1[[#This Row],[BRAND]],Table1[DC_name_Xref],Table1[[#This Row],[DC_name_Xref]]),0)</f>
        <v>0.10080530441161817</v>
      </c>
      <c r="M5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0.30693701018972358</v>
      </c>
      <c r="N532" s="3">
        <f>IFERROR(INDEX(Table3[#All],MATCH(Table1[[#This Row],[Key_Year_Week_Brand]],Table3[[#All],[Key_Year_Week_Brand]],0),MATCH(Table1[[#This Row],[DC_name_Xref]],Table3[#Headers],0)),0)</f>
        <v>0.4</v>
      </c>
      <c r="O532">
        <f>IFERROR(INDEX(Table35[#All],MATCH(Table1[[#This Row],[Key_Year_Week_Brand]],Table35[[#All],[Key_Year_Month_Brand]],0),MATCH(Table1[[#This Row],[DC_name_Xref]],Table35[#Headers],0)),0)</f>
        <v>524348</v>
      </c>
    </row>
    <row r="533" spans="1:15" x14ac:dyDescent="0.3">
      <c r="A533" s="19" t="str">
        <f>Table1[[#This Row],[Year_Week]]&amp;"-"&amp;Table1[[#This Row],[DC_name_Xref]]</f>
        <v>202045-OCC</v>
      </c>
      <c r="B533" s="19" t="str">
        <f>Table1[[#This Row],[Fiscal_Year]]*100+Table1[[#This Row],[Fiscal_Week]] &amp; "-" &amp;Table1[[#This Row],[BRAND]]</f>
        <v>202045-Gap</v>
      </c>
      <c r="C533" t="str">
        <f>Table1[[#This Row],[Fiscal_Year]]&amp;"-"&amp;Table1[[#This Row],[BRAND]]</f>
        <v>2020-Gap</v>
      </c>
      <c r="D533">
        <v>2020</v>
      </c>
      <c r="E533">
        <v>45</v>
      </c>
      <c r="F533" t="s">
        <v>16</v>
      </c>
      <c r="G533" t="s">
        <v>11</v>
      </c>
      <c r="H533">
        <v>7</v>
      </c>
      <c r="I533">
        <v>0</v>
      </c>
      <c r="J533" t="str">
        <f>VLOOKUP(H533,DC_Xref!A:B,2,FALSE)</f>
        <v>OCC</v>
      </c>
      <c r="K533">
        <f t="shared" si="8"/>
        <v>202045</v>
      </c>
      <c r="L533">
        <f>IFERROR(Table1[[#This Row],[Demand]]/SUMIFS(Table1[Demand],Table1[Fiscal_Year],Table1[[#This Row],[Fiscal_Year]],Table1[BRAND],Table1[[#This Row],[BRAND]],Table1[DC_name_Xref],Table1[[#This Row],[DC_name_Xref]]),0)</f>
        <v>0</v>
      </c>
      <c r="M5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33" s="3">
        <f>IFERROR(INDEX(Table3[#All],MATCH(Table1[[#This Row],[Key_Year_Week_Brand]],Table3[[#All],[Key_Year_Week_Brand]],0),MATCH(Table1[[#This Row],[DC_name_Xref]],Table3[#Headers],0)),0)</f>
        <v>0</v>
      </c>
      <c r="O533">
        <f>IFERROR(INDEX(Table35[#All],MATCH(Table1[[#This Row],[Key_Year_Week_Brand]],Table35[[#All],[Key_Year_Month_Brand]],0),MATCH(Table1[[#This Row],[DC_name_Xref]],Table35[#Headers],0)),0)</f>
        <v>0</v>
      </c>
    </row>
    <row r="534" spans="1:15" x14ac:dyDescent="0.3">
      <c r="A534" s="19" t="str">
        <f>Table1[[#This Row],[Year_Week]]&amp;"-"&amp;Table1[[#This Row],[DC_name_Xref]]</f>
        <v>202045-OFC</v>
      </c>
      <c r="B534" s="19" t="str">
        <f>Table1[[#This Row],[Fiscal_Year]]*100+Table1[[#This Row],[Fiscal_Week]] &amp; "-" &amp;Table1[[#This Row],[BRAND]]</f>
        <v>202045-Athleta</v>
      </c>
      <c r="C534" t="str">
        <f>Table1[[#This Row],[Fiscal_Year]]&amp;"-"&amp;Table1[[#This Row],[BRAND]]</f>
        <v>2020-Athleta</v>
      </c>
      <c r="D534">
        <v>2020</v>
      </c>
      <c r="E534">
        <v>45</v>
      </c>
      <c r="F534" t="s">
        <v>19</v>
      </c>
      <c r="G534" t="s">
        <v>5</v>
      </c>
      <c r="H534">
        <v>1</v>
      </c>
      <c r="I534">
        <v>28187</v>
      </c>
      <c r="J534" t="str">
        <f>VLOOKUP(H534,DC_Xref!A:B,2,FALSE)</f>
        <v>OFC</v>
      </c>
      <c r="K534">
        <f t="shared" si="8"/>
        <v>202045</v>
      </c>
      <c r="L534">
        <f>IFERROR(Table1[[#This Row],[Demand]]/SUMIFS(Table1[Demand],Table1[Fiscal_Year],Table1[[#This Row],[Fiscal_Year]],Table1[BRAND],Table1[[#This Row],[BRAND]],Table1[DC_name_Xref],Table1[[#This Row],[DC_name_Xref]]),0)</f>
        <v>0.16335365570958318</v>
      </c>
      <c r="M5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0.10136844343818036</v>
      </c>
      <c r="N534" s="3">
        <f>IFERROR(INDEX(Table3[#All],MATCH(Table1[[#This Row],[Key_Year_Week_Brand]],Table3[[#All],[Key_Year_Week_Brand]],0),MATCH(Table1[[#This Row],[DC_name_Xref]],Table3[#Headers],0)),0)</f>
        <v>0</v>
      </c>
      <c r="O534">
        <f>IFERROR(INDEX(Table35[#All],MATCH(Table1[[#This Row],[Key_Year_Week_Brand]],Table35[[#All],[Key_Year_Month_Brand]],0),MATCH(Table1[[#This Row],[DC_name_Xref]],Table35[#Headers],0)),0)</f>
        <v>0</v>
      </c>
    </row>
    <row r="535" spans="1:15" x14ac:dyDescent="0.3">
      <c r="A535" s="19" t="str">
        <f>Table1[[#This Row],[Year_Week]]&amp;"-"&amp;Table1[[#This Row],[DC_name_Xref]]</f>
        <v>202045-TFC</v>
      </c>
      <c r="B535" s="19" t="str">
        <f>Table1[[#This Row],[Fiscal_Year]]*100+Table1[[#This Row],[Fiscal_Week]] &amp; "-" &amp;Table1[[#This Row],[BRAND]]</f>
        <v>202045-Athleta</v>
      </c>
      <c r="C535" t="str">
        <f>Table1[[#This Row],[Fiscal_Year]]&amp;"-"&amp;Table1[[#This Row],[BRAND]]</f>
        <v>2020-Athleta</v>
      </c>
      <c r="D535">
        <v>2020</v>
      </c>
      <c r="E535">
        <v>45</v>
      </c>
      <c r="F535" t="s">
        <v>19</v>
      </c>
      <c r="G535" t="s">
        <v>21</v>
      </c>
      <c r="H535">
        <v>2</v>
      </c>
      <c r="I535">
        <v>220985</v>
      </c>
      <c r="J535" t="str">
        <f>VLOOKUP(H535,DC_Xref!A:B,2,FALSE)</f>
        <v>TFC</v>
      </c>
      <c r="K535">
        <f t="shared" si="8"/>
        <v>202045</v>
      </c>
      <c r="L535">
        <f>IFERROR(Table1[[#This Row],[Demand]]/SUMIFS(Table1[Demand],Table1[Fiscal_Year],Table1[[#This Row],[Fiscal_Year]],Table1[BRAND],Table1[[#This Row],[BRAND]],Table1[DC_name_Xref],Table1[[#This Row],[DC_name_Xref]]),0)</f>
        <v>0.14447108878449072</v>
      </c>
      <c r="M5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0.89859630859827078</v>
      </c>
      <c r="N535" s="3">
        <f>IFERROR(INDEX(Table3[#All],MATCH(Table1[[#This Row],[Key_Year_Week_Brand]],Table3[[#All],[Key_Year_Week_Brand]],0),MATCH(Table1[[#This Row],[DC_name_Xref]],Table3[#Headers],0)),0)</f>
        <v>1</v>
      </c>
      <c r="O535">
        <f>IFERROR(INDEX(Table35[#All],MATCH(Table1[[#This Row],[Key_Year_Week_Brand]],Table35[[#All],[Key_Year_Month_Brand]],0),MATCH(Table1[[#This Row],[DC_name_Xref]],Table35[#Headers],0)),0)</f>
        <v>249184</v>
      </c>
    </row>
    <row r="536" spans="1:15" x14ac:dyDescent="0.3">
      <c r="A536" s="19" t="str">
        <f>Table1[[#This Row],[Year_Week]]&amp;"-"&amp;Table1[[#This Row],[DC_name_Xref]]</f>
        <v>202045-WFC</v>
      </c>
      <c r="B536" s="19" t="str">
        <f>Table1[[#This Row],[Fiscal_Year]]*100+Table1[[#This Row],[Fiscal_Week]] &amp; "-" &amp;Table1[[#This Row],[BRAND]]</f>
        <v>202045-Athleta</v>
      </c>
      <c r="C536" t="str">
        <f>Table1[[#This Row],[Fiscal_Year]]&amp;"-"&amp;Table1[[#This Row],[BRAND]]</f>
        <v>2020-Athleta</v>
      </c>
      <c r="D536">
        <v>2020</v>
      </c>
      <c r="E536">
        <v>45</v>
      </c>
      <c r="F536" t="s">
        <v>19</v>
      </c>
      <c r="G536" t="s">
        <v>7</v>
      </c>
      <c r="H536">
        <v>3</v>
      </c>
      <c r="I536">
        <v>0</v>
      </c>
      <c r="J536" t="str">
        <f>VLOOKUP(H536,DC_Xref!A:B,2,FALSE)</f>
        <v>WFC</v>
      </c>
      <c r="K536">
        <f t="shared" si="8"/>
        <v>202045</v>
      </c>
      <c r="L536">
        <f>IFERROR(Table1[[#This Row],[Demand]]/SUMIFS(Table1[Demand],Table1[Fiscal_Year],Table1[[#This Row],[Fiscal_Year]],Table1[BRAND],Table1[[#This Row],[BRAND]],Table1[DC_name_Xref],Table1[[#This Row],[DC_name_Xref]]),0)</f>
        <v>0</v>
      </c>
      <c r="M5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36" s="3">
        <f>IFERROR(INDEX(Table3[#All],MATCH(Table1[[#This Row],[Key_Year_Week_Brand]],Table3[[#All],[Key_Year_Week_Brand]],0),MATCH(Table1[[#This Row],[DC_name_Xref]],Table3[#Headers],0)),0)</f>
        <v>0</v>
      </c>
      <c r="O536">
        <f>IFERROR(INDEX(Table35[#All],MATCH(Table1[[#This Row],[Key_Year_Week_Brand]],Table35[[#All],[Key_Year_Month_Brand]],0),MATCH(Table1[[#This Row],[DC_name_Xref]],Table35[#Headers],0)),0)</f>
        <v>0</v>
      </c>
    </row>
    <row r="537" spans="1:15" x14ac:dyDescent="0.3">
      <c r="A537" s="19" t="str">
        <f>Table1[[#This Row],[Year_Week]]&amp;"-"&amp;Table1[[#This Row],[DC_name_Xref]]</f>
        <v>202045-EAO</v>
      </c>
      <c r="B537" s="19" t="str">
        <f>Table1[[#This Row],[Fiscal_Year]]*100+Table1[[#This Row],[Fiscal_Week]] &amp; "-" &amp;Table1[[#This Row],[BRAND]]</f>
        <v>202045-Athleta</v>
      </c>
      <c r="C537" t="str">
        <f>Table1[[#This Row],[Fiscal_Year]]&amp;"-"&amp;Table1[[#This Row],[BRAND]]</f>
        <v>2020-Athleta</v>
      </c>
      <c r="D537">
        <v>2020</v>
      </c>
      <c r="E537">
        <v>45</v>
      </c>
      <c r="F537" t="s">
        <v>19</v>
      </c>
      <c r="G537" t="s">
        <v>8</v>
      </c>
      <c r="H537">
        <v>4</v>
      </c>
      <c r="I537">
        <v>12</v>
      </c>
      <c r="J537" t="str">
        <f>VLOOKUP(H537,DC_Xref!A:B,2,FALSE)</f>
        <v>EAO</v>
      </c>
      <c r="K537">
        <f t="shared" si="8"/>
        <v>202045</v>
      </c>
      <c r="L537">
        <f>IFERROR(Table1[[#This Row],[Demand]]/SUMIFS(Table1[Demand],Table1[Fiscal_Year],Table1[[#This Row],[Fiscal_Year]],Table1[BRAND],Table1[[#This Row],[BRAND]],Table1[DC_name_Xref],Table1[[#This Row],[DC_name_Xref]]),0)</f>
        <v>0.2</v>
      </c>
      <c r="M5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3.5247963548905963E-5</v>
      </c>
      <c r="N537" s="3">
        <f>IFERROR(INDEX(Table3[#All],MATCH(Table1[[#This Row],[Key_Year_Week_Brand]],Table3[[#All],[Key_Year_Week_Brand]],0),MATCH(Table1[[#This Row],[DC_name_Xref]],Table3[#Headers],0)),0)</f>
        <v>3.447122356821831E-5</v>
      </c>
      <c r="O537">
        <f>IFERROR(INDEX(Table35[#All],MATCH(Table1[[#This Row],[Key_Year_Week_Brand]],Table35[[#All],[Key_Year_Month_Brand]],0),MATCH(Table1[[#This Row],[DC_name_Xref]],Table35[#Headers],0)),0)</f>
        <v>8.5896773736229104</v>
      </c>
    </row>
    <row r="538" spans="1:15" x14ac:dyDescent="0.3">
      <c r="A538" s="19" t="str">
        <f>Table1[[#This Row],[Year_Week]]&amp;"-"&amp;Table1[[#This Row],[DC_name_Xref]]</f>
        <v>202045-FFC-ODC</v>
      </c>
      <c r="B538" s="19" t="str">
        <f>Table1[[#This Row],[Fiscal_Year]]*100+Table1[[#This Row],[Fiscal_Week]] &amp; "-" &amp;Table1[[#This Row],[BRAND]]</f>
        <v>202045-Athleta</v>
      </c>
      <c r="C538" t="str">
        <f>Table1[[#This Row],[Fiscal_Year]]&amp;"-"&amp;Table1[[#This Row],[BRAND]]</f>
        <v>2020-Athleta</v>
      </c>
      <c r="D538">
        <v>2020</v>
      </c>
      <c r="E538">
        <v>45</v>
      </c>
      <c r="F538" t="s">
        <v>19</v>
      </c>
      <c r="G538" t="s">
        <v>23</v>
      </c>
      <c r="H538">
        <v>5</v>
      </c>
      <c r="I538">
        <v>0</v>
      </c>
      <c r="J538" t="str">
        <f>VLOOKUP(H538,DC_Xref!A:B,2,FALSE)</f>
        <v>FFC-ODC</v>
      </c>
      <c r="K538">
        <f t="shared" si="8"/>
        <v>202045</v>
      </c>
      <c r="L538">
        <f>IFERROR(Table1[[#This Row],[Demand]]/SUMIFS(Table1[Demand],Table1[Fiscal_Year],Table1[[#This Row],[Fiscal_Year]],Table1[BRAND],Table1[[#This Row],[BRAND]],Table1[DC_name_Xref],Table1[[#This Row],[DC_name_Xref]]),0)</f>
        <v>0</v>
      </c>
      <c r="M5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38" s="3">
        <f>IFERROR(INDEX(Table3[#All],MATCH(Table1[[#This Row],[Key_Year_Week_Brand]],Table3[[#All],[Key_Year_Week_Brand]],0),MATCH(Table1[[#This Row],[DC_name_Xref]],Table3[#Headers],0)),0)</f>
        <v>0</v>
      </c>
      <c r="O538">
        <f>IFERROR(INDEX(Table35[#All],MATCH(Table1[[#This Row],[Key_Year_Week_Brand]],Table35[[#All],[Key_Year_Month_Brand]],0),MATCH(Table1[[#This Row],[DC_name_Xref]],Table35[#Headers],0)),0)</f>
        <v>0</v>
      </c>
    </row>
    <row r="539" spans="1:15" x14ac:dyDescent="0.3">
      <c r="A539" s="19" t="str">
        <f>Table1[[#This Row],[Year_Week]]&amp;"-"&amp;Table1[[#This Row],[DC_name_Xref]]</f>
        <v>202045-WEO</v>
      </c>
      <c r="B539" s="19" t="str">
        <f>Table1[[#This Row],[Fiscal_Year]]*100+Table1[[#This Row],[Fiscal_Week]] &amp; "-" &amp;Table1[[#This Row],[BRAND]]</f>
        <v>202045-Athleta</v>
      </c>
      <c r="C539" t="str">
        <f>Table1[[#This Row],[Fiscal_Year]]&amp;"-"&amp;Table1[[#This Row],[BRAND]]</f>
        <v>2020-Athleta</v>
      </c>
      <c r="D539">
        <v>2020</v>
      </c>
      <c r="E539">
        <v>45</v>
      </c>
      <c r="F539" t="s">
        <v>19</v>
      </c>
      <c r="G539" t="s">
        <v>10</v>
      </c>
      <c r="H539">
        <v>6</v>
      </c>
      <c r="I539">
        <v>0</v>
      </c>
      <c r="J539" t="str">
        <f>VLOOKUP(H539,DC_Xref!A:B,2,FALSE)</f>
        <v>WEO</v>
      </c>
      <c r="K539">
        <f t="shared" si="8"/>
        <v>202045</v>
      </c>
      <c r="L539">
        <f>IFERROR(Table1[[#This Row],[Demand]]/SUMIFS(Table1[Demand],Table1[Fiscal_Year],Table1[[#This Row],[Fiscal_Year]],Table1[BRAND],Table1[[#This Row],[BRAND]],Table1[DC_name_Xref],Table1[[#This Row],[DC_name_Xref]]),0)</f>
        <v>0</v>
      </c>
      <c r="M5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39" s="3">
        <f>IFERROR(INDEX(Table3[#All],MATCH(Table1[[#This Row],[Key_Year_Week_Brand]],Table3[[#All],[Key_Year_Week_Brand]],0),MATCH(Table1[[#This Row],[DC_name_Xref]],Table3[#Headers],0)),0)</f>
        <v>0</v>
      </c>
      <c r="O539">
        <f>IFERROR(INDEX(Table35[#All],MATCH(Table1[[#This Row],[Key_Year_Week_Brand]],Table35[[#All],[Key_Year_Month_Brand]],0),MATCH(Table1[[#This Row],[DC_name_Xref]],Table35[#Headers],0)),0)</f>
        <v>0</v>
      </c>
    </row>
    <row r="540" spans="1:15" x14ac:dyDescent="0.3">
      <c r="A540" s="19" t="str">
        <f>Table1[[#This Row],[Year_Week]]&amp;"-"&amp;Table1[[#This Row],[DC_name_Xref]]</f>
        <v>202045-OCC</v>
      </c>
      <c r="B540" s="19" t="str">
        <f>Table1[[#This Row],[Fiscal_Year]]*100+Table1[[#This Row],[Fiscal_Week]] &amp; "-" &amp;Table1[[#This Row],[BRAND]]</f>
        <v>202045-Athleta</v>
      </c>
      <c r="C540" t="str">
        <f>Table1[[#This Row],[Fiscal_Year]]&amp;"-"&amp;Table1[[#This Row],[BRAND]]</f>
        <v>2020-Athleta</v>
      </c>
      <c r="D540">
        <v>2020</v>
      </c>
      <c r="E540">
        <v>45</v>
      </c>
      <c r="F540" t="s">
        <v>19</v>
      </c>
      <c r="G540" t="s">
        <v>11</v>
      </c>
      <c r="H540">
        <v>7</v>
      </c>
      <c r="I540">
        <v>0</v>
      </c>
      <c r="J540" t="str">
        <f>VLOOKUP(H540,DC_Xref!A:B,2,FALSE)</f>
        <v>OCC</v>
      </c>
      <c r="K540">
        <f t="shared" si="8"/>
        <v>202045</v>
      </c>
      <c r="L540">
        <f>IFERROR(Table1[[#This Row],[Demand]]/SUMIFS(Table1[Demand],Table1[Fiscal_Year],Table1[[#This Row],[Fiscal_Year]],Table1[BRAND],Table1[[#This Row],[BRAND]],Table1[DC_name_Xref],Table1[[#This Row],[DC_name_Xref]]),0)</f>
        <v>0</v>
      </c>
      <c r="M5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40" s="3">
        <f>IFERROR(INDEX(Table3[#All],MATCH(Table1[[#This Row],[Key_Year_Week_Brand]],Table3[[#All],[Key_Year_Week_Brand]],0),MATCH(Table1[[#This Row],[DC_name_Xref]],Table3[#Headers],0)),0)</f>
        <v>0</v>
      </c>
      <c r="O540">
        <f>IFERROR(INDEX(Table35[#All],MATCH(Table1[[#This Row],[Key_Year_Week_Brand]],Table35[[#All],[Key_Year_Month_Brand]],0),MATCH(Table1[[#This Row],[DC_name_Xref]],Table35[#Headers],0)),0)</f>
        <v>0</v>
      </c>
    </row>
    <row r="541" spans="1:15" x14ac:dyDescent="0.3">
      <c r="A541" s="19" t="str">
        <f>Table1[[#This Row],[Year_Week]]&amp;"-"&amp;Table1[[#This Row],[DC_name_Xref]]</f>
        <v>202045-OFC</v>
      </c>
      <c r="B541" s="19" t="str">
        <f>Table1[[#This Row],[Fiscal_Year]]*100+Table1[[#This Row],[Fiscal_Week]] &amp; "-" &amp;Table1[[#This Row],[BRAND]]</f>
        <v>202045-Old Navy</v>
      </c>
      <c r="C541" t="str">
        <f>Table1[[#This Row],[Fiscal_Year]]&amp;"-"&amp;Table1[[#This Row],[BRAND]]</f>
        <v>2020-Old Navy</v>
      </c>
      <c r="D541">
        <v>2020</v>
      </c>
      <c r="E541">
        <v>45</v>
      </c>
      <c r="F541" t="s">
        <v>20</v>
      </c>
      <c r="G541" t="s">
        <v>5</v>
      </c>
      <c r="H541">
        <v>1</v>
      </c>
      <c r="I541">
        <v>1110321</v>
      </c>
      <c r="J541" t="str">
        <f>VLOOKUP(H541,DC_Xref!A:B,2,FALSE)</f>
        <v>OFC</v>
      </c>
      <c r="K541">
        <f t="shared" si="8"/>
        <v>202045</v>
      </c>
      <c r="L541">
        <f>IFERROR(Table1[[#This Row],[Demand]]/SUMIFS(Table1[Demand],Table1[Fiscal_Year],Table1[[#This Row],[Fiscal_Year]],Table1[BRAND],Table1[[#This Row],[BRAND]],Table1[DC_name_Xref],Table1[[#This Row],[DC_name_Xref]]),0)</f>
        <v>0.15056071721033881</v>
      </c>
      <c r="M5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0.29585489906110074</v>
      </c>
      <c r="N541" s="3">
        <f>IFERROR(INDEX(Table3[#All],MATCH(Table1[[#This Row],[Key_Year_Week_Brand]],Table3[[#All],[Key_Year_Week_Brand]],0),MATCH(Table1[[#This Row],[DC_name_Xref]],Table3[#Headers],0)),0)</f>
        <v>0.1</v>
      </c>
      <c r="O541">
        <f>IFERROR(INDEX(Table35[#All],MATCH(Table1[[#This Row],[Key_Year_Week_Brand]],Table35[[#All],[Key_Year_Month_Brand]],0),MATCH(Table1[[#This Row],[DC_name_Xref]],Table35[#Headers],0)),0)</f>
        <v>380483.4</v>
      </c>
    </row>
    <row r="542" spans="1:15" x14ac:dyDescent="0.3">
      <c r="A542" s="19" t="str">
        <f>Table1[[#This Row],[Year_Week]]&amp;"-"&amp;Table1[[#This Row],[DC_name_Xref]]</f>
        <v>202045-TFC</v>
      </c>
      <c r="B542" s="19" t="str">
        <f>Table1[[#This Row],[Fiscal_Year]]*100+Table1[[#This Row],[Fiscal_Week]] &amp; "-" &amp;Table1[[#This Row],[BRAND]]</f>
        <v>202045-Old Navy</v>
      </c>
      <c r="C542" t="str">
        <f>Table1[[#This Row],[Fiscal_Year]]&amp;"-"&amp;Table1[[#This Row],[BRAND]]</f>
        <v>2020-Old Navy</v>
      </c>
      <c r="D542">
        <v>2020</v>
      </c>
      <c r="E542">
        <v>45</v>
      </c>
      <c r="F542" t="s">
        <v>20</v>
      </c>
      <c r="G542" t="s">
        <v>21</v>
      </c>
      <c r="H542">
        <v>2</v>
      </c>
      <c r="I542">
        <v>886740</v>
      </c>
      <c r="J542" t="str">
        <f>VLOOKUP(H542,DC_Xref!A:B,2,FALSE)</f>
        <v>TFC</v>
      </c>
      <c r="K542">
        <f t="shared" si="8"/>
        <v>202045</v>
      </c>
      <c r="L542">
        <f>IFERROR(Table1[[#This Row],[Demand]]/SUMIFS(Table1[Demand],Table1[Fiscal_Year],Table1[[#This Row],[Fiscal_Year]],Table1[BRAND],Table1[[#This Row],[BRAND]],Table1[DC_name_Xref],Table1[[#This Row],[DC_name_Xref]]),0)</f>
        <v>0.20917586492571255</v>
      </c>
      <c r="M5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0.17006956944341195</v>
      </c>
      <c r="N542" s="3">
        <f>IFERROR(INDEX(Table3[#All],MATCH(Table1[[#This Row],[Key_Year_Week_Brand]],Table3[[#All],[Key_Year_Week_Brand]],0),MATCH(Table1[[#This Row],[DC_name_Xref]],Table3[#Headers],0)),0)</f>
        <v>0.2</v>
      </c>
      <c r="O542">
        <f>IFERROR(INDEX(Table35[#All],MATCH(Table1[[#This Row],[Key_Year_Week_Brand]],Table35[[#All],[Key_Year_Month_Brand]],0),MATCH(Table1[[#This Row],[DC_name_Xref]],Table35[#Headers],0)),0)</f>
        <v>760966.8</v>
      </c>
    </row>
    <row r="543" spans="1:15" x14ac:dyDescent="0.3">
      <c r="A543" s="19" t="str">
        <f>Table1[[#This Row],[Year_Week]]&amp;"-"&amp;Table1[[#This Row],[DC_name_Xref]]</f>
        <v>202045-WFC</v>
      </c>
      <c r="B543" s="19" t="str">
        <f>Table1[[#This Row],[Fiscal_Year]]*100+Table1[[#This Row],[Fiscal_Week]] &amp; "-" &amp;Table1[[#This Row],[BRAND]]</f>
        <v>202045-Old Navy</v>
      </c>
      <c r="C543" t="str">
        <f>Table1[[#This Row],[Fiscal_Year]]&amp;"-"&amp;Table1[[#This Row],[BRAND]]</f>
        <v>2020-Old Navy</v>
      </c>
      <c r="D543">
        <v>2020</v>
      </c>
      <c r="E543">
        <v>45</v>
      </c>
      <c r="F543" t="s">
        <v>20</v>
      </c>
      <c r="G543" t="s">
        <v>7</v>
      </c>
      <c r="H543">
        <v>3</v>
      </c>
      <c r="I543">
        <v>841956</v>
      </c>
      <c r="J543" t="str">
        <f>VLOOKUP(H543,DC_Xref!A:B,2,FALSE)</f>
        <v>WFC</v>
      </c>
      <c r="K543">
        <f t="shared" si="8"/>
        <v>202045</v>
      </c>
      <c r="L543">
        <f>IFERROR(Table1[[#This Row],[Demand]]/SUMIFS(Table1[Demand],Table1[Fiscal_Year],Table1[[#This Row],[Fiscal_Year]],Table1[BRAND],Table1[[#This Row],[BRAND]],Table1[DC_name_Xref],Table1[[#This Row],[DC_name_Xref]]),0)</f>
        <v>0.16748180728281575</v>
      </c>
      <c r="M5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0.20168037660758306</v>
      </c>
      <c r="N543" s="3">
        <f>IFERROR(INDEX(Table3[#All],MATCH(Table1[[#This Row],[Key_Year_Week_Brand]],Table3[[#All],[Key_Year_Week_Brand]],0),MATCH(Table1[[#This Row],[DC_name_Xref]],Table3[#Headers],0)),0)</f>
        <v>0.02</v>
      </c>
      <c r="O543">
        <f>IFERROR(INDEX(Table35[#All],MATCH(Table1[[#This Row],[Key_Year_Week_Brand]],Table35[[#All],[Key_Year_Month_Brand]],0),MATCH(Table1[[#This Row],[DC_name_Xref]],Table35[#Headers],0)),0)</f>
        <v>76096.680000000008</v>
      </c>
    </row>
    <row r="544" spans="1:15" x14ac:dyDescent="0.3">
      <c r="A544" s="19" t="str">
        <f>Table1[[#This Row],[Year_Week]]&amp;"-"&amp;Table1[[#This Row],[DC_name_Xref]]</f>
        <v>202045-EAO</v>
      </c>
      <c r="B544" s="19" t="str">
        <f>Table1[[#This Row],[Fiscal_Year]]*100+Table1[[#This Row],[Fiscal_Week]] &amp; "-" &amp;Table1[[#This Row],[BRAND]]</f>
        <v>202045-Old Navy</v>
      </c>
      <c r="C544" t="str">
        <f>Table1[[#This Row],[Fiscal_Year]]&amp;"-"&amp;Table1[[#This Row],[BRAND]]</f>
        <v>2020-Old Navy</v>
      </c>
      <c r="D544">
        <v>2020</v>
      </c>
      <c r="E544">
        <v>45</v>
      </c>
      <c r="F544" t="s">
        <v>20</v>
      </c>
      <c r="G544" t="s">
        <v>8</v>
      </c>
      <c r="H544">
        <v>4</v>
      </c>
      <c r="I544">
        <v>965817</v>
      </c>
      <c r="J544" t="str">
        <f>VLOOKUP(H544,DC_Xref!A:B,2,FALSE)</f>
        <v>EAO</v>
      </c>
      <c r="K544">
        <f t="shared" si="8"/>
        <v>202045</v>
      </c>
      <c r="L544">
        <f>IFERROR(Table1[[#This Row],[Demand]]/SUMIFS(Table1[Demand],Table1[Fiscal_Year],Table1[[#This Row],[Fiscal_Year]],Table1[BRAND],Table1[[#This Row],[BRAND]],Table1[DC_name_Xref],Table1[[#This Row],[DC_name_Xref]]),0)</f>
        <v>0.11656872515429877</v>
      </c>
      <c r="M5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0.33239515488790422</v>
      </c>
      <c r="N544" s="3">
        <f>IFERROR(INDEX(Table3[#All],MATCH(Table1[[#This Row],[Key_Year_Week_Brand]],Table3[[#All],[Key_Year_Week_Brand]],0),MATCH(Table1[[#This Row],[DC_name_Xref]],Table3[#Headers],0)),0)</f>
        <v>0.41</v>
      </c>
      <c r="O544">
        <f>IFERROR(INDEX(Table35[#All],MATCH(Table1[[#This Row],[Key_Year_Week_Brand]],Table35[[#All],[Key_Year_Month_Brand]],0),MATCH(Table1[[#This Row],[DC_name_Xref]],Table35[#Headers],0)),0)</f>
        <v>1559981.94</v>
      </c>
    </row>
    <row r="545" spans="1:15" x14ac:dyDescent="0.3">
      <c r="A545" s="19" t="str">
        <f>Table1[[#This Row],[Year_Week]]&amp;"-"&amp;Table1[[#This Row],[DC_name_Xref]]</f>
        <v>202045-FFC-ODC</v>
      </c>
      <c r="B545" s="19" t="str">
        <f>Table1[[#This Row],[Fiscal_Year]]*100+Table1[[#This Row],[Fiscal_Week]] &amp; "-" &amp;Table1[[#This Row],[BRAND]]</f>
        <v>202045-Old Navy</v>
      </c>
      <c r="C545" t="str">
        <f>Table1[[#This Row],[Fiscal_Year]]&amp;"-"&amp;Table1[[#This Row],[BRAND]]</f>
        <v>2020-Old Navy</v>
      </c>
      <c r="D545">
        <v>2020</v>
      </c>
      <c r="E545">
        <v>45</v>
      </c>
      <c r="F545" t="s">
        <v>20</v>
      </c>
      <c r="G545" t="s">
        <v>23</v>
      </c>
      <c r="H545">
        <v>5</v>
      </c>
      <c r="I545">
        <v>0</v>
      </c>
      <c r="J545" t="str">
        <f>VLOOKUP(H545,DC_Xref!A:B,2,FALSE)</f>
        <v>FFC-ODC</v>
      </c>
      <c r="K545">
        <f t="shared" si="8"/>
        <v>202045</v>
      </c>
      <c r="L545">
        <f>IFERROR(Table1[[#This Row],[Demand]]/SUMIFS(Table1[Demand],Table1[Fiscal_Year],Table1[[#This Row],[Fiscal_Year]],Table1[BRAND],Table1[[#This Row],[BRAND]],Table1[DC_name_Xref],Table1[[#This Row],[DC_name_Xref]]),0)</f>
        <v>0</v>
      </c>
      <c r="M5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45" s="3">
        <f>IFERROR(INDEX(Table3[#All],MATCH(Table1[[#This Row],[Key_Year_Week_Brand]],Table3[[#All],[Key_Year_Week_Brand]],0),MATCH(Table1[[#This Row],[DC_name_Xref]],Table3[#Headers],0)),0)</f>
        <v>0</v>
      </c>
      <c r="O545">
        <f>IFERROR(INDEX(Table35[#All],MATCH(Table1[[#This Row],[Key_Year_Week_Brand]],Table35[[#All],[Key_Year_Month_Brand]],0),MATCH(Table1[[#This Row],[DC_name_Xref]],Table35[#Headers],0)),0)</f>
        <v>0</v>
      </c>
    </row>
    <row r="546" spans="1:15" x14ac:dyDescent="0.3">
      <c r="A546" s="19" t="str">
        <f>Table1[[#This Row],[Year_Week]]&amp;"-"&amp;Table1[[#This Row],[DC_name_Xref]]</f>
        <v>202045-WEO</v>
      </c>
      <c r="B546" s="19" t="str">
        <f>Table1[[#This Row],[Fiscal_Year]]*100+Table1[[#This Row],[Fiscal_Week]] &amp; "-" &amp;Table1[[#This Row],[BRAND]]</f>
        <v>202045-Old Navy</v>
      </c>
      <c r="C546" t="str">
        <f>Table1[[#This Row],[Fiscal_Year]]&amp;"-"&amp;Table1[[#This Row],[BRAND]]</f>
        <v>2020-Old Navy</v>
      </c>
      <c r="D546">
        <v>2020</v>
      </c>
      <c r="E546">
        <v>45</v>
      </c>
      <c r="F546" t="s">
        <v>20</v>
      </c>
      <c r="G546" t="s">
        <v>10</v>
      </c>
      <c r="H546">
        <v>6</v>
      </c>
      <c r="I546">
        <v>0</v>
      </c>
      <c r="J546" t="str">
        <f>VLOOKUP(H546,DC_Xref!A:B,2,FALSE)</f>
        <v>WEO</v>
      </c>
      <c r="K546">
        <f t="shared" si="8"/>
        <v>202045</v>
      </c>
      <c r="L546">
        <f>IFERROR(Table1[[#This Row],[Demand]]/SUMIFS(Table1[Demand],Table1[Fiscal_Year],Table1[[#This Row],[Fiscal_Year]],Table1[BRAND],Table1[[#This Row],[BRAND]],Table1[DC_name_Xref],Table1[[#This Row],[DC_name_Xref]]),0)</f>
        <v>0</v>
      </c>
      <c r="M5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46" s="3">
        <f>IFERROR(INDEX(Table3[#All],MATCH(Table1[[#This Row],[Key_Year_Week_Brand]],Table3[[#All],[Key_Year_Week_Brand]],0),MATCH(Table1[[#This Row],[DC_name_Xref]],Table3[#Headers],0)),0)</f>
        <v>0.27</v>
      </c>
      <c r="O546">
        <f>IFERROR(INDEX(Table35[#All],MATCH(Table1[[#This Row],[Key_Year_Week_Brand]],Table35[[#All],[Key_Year_Month_Brand]],0),MATCH(Table1[[#This Row],[DC_name_Xref]],Table35[#Headers],0)),0)</f>
        <v>1027305.18</v>
      </c>
    </row>
    <row r="547" spans="1:15" x14ac:dyDescent="0.3">
      <c r="A547" s="19" t="str">
        <f>Table1[[#This Row],[Year_Week]]&amp;"-"&amp;Table1[[#This Row],[DC_name_Xref]]</f>
        <v>202045-OCC</v>
      </c>
      <c r="B547" s="19" t="str">
        <f>Table1[[#This Row],[Fiscal_Year]]*100+Table1[[#This Row],[Fiscal_Week]] &amp; "-" &amp;Table1[[#This Row],[BRAND]]</f>
        <v>202045-Old Navy</v>
      </c>
      <c r="C547" t="str">
        <f>Table1[[#This Row],[Fiscal_Year]]&amp;"-"&amp;Table1[[#This Row],[BRAND]]</f>
        <v>2020-Old Navy</v>
      </c>
      <c r="D547">
        <v>2020</v>
      </c>
      <c r="E547">
        <v>45</v>
      </c>
      <c r="F547" t="s">
        <v>20</v>
      </c>
      <c r="G547" t="s">
        <v>11</v>
      </c>
      <c r="H547">
        <v>7</v>
      </c>
      <c r="I547">
        <v>0</v>
      </c>
      <c r="J547" t="str">
        <f>VLOOKUP(H547,DC_Xref!A:B,2,FALSE)</f>
        <v>OCC</v>
      </c>
      <c r="K547">
        <f t="shared" si="8"/>
        <v>202045</v>
      </c>
      <c r="L547">
        <f>IFERROR(Table1[[#This Row],[Demand]]/SUMIFS(Table1[Demand],Table1[Fiscal_Year],Table1[[#This Row],[Fiscal_Year]],Table1[BRAND],Table1[[#This Row],[BRAND]],Table1[DC_name_Xref],Table1[[#This Row],[DC_name_Xref]]),0)</f>
        <v>0</v>
      </c>
      <c r="M5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47" s="3">
        <f>IFERROR(INDEX(Table3[#All],MATCH(Table1[[#This Row],[Key_Year_Week_Brand]],Table3[[#All],[Key_Year_Week_Brand]],0),MATCH(Table1[[#This Row],[DC_name_Xref]],Table3[#Headers],0)),0)</f>
        <v>0</v>
      </c>
      <c r="O547">
        <f>IFERROR(INDEX(Table35[#All],MATCH(Table1[[#This Row],[Key_Year_Week_Brand]],Table35[[#All],[Key_Year_Month_Brand]],0),MATCH(Table1[[#This Row],[DC_name_Xref]],Table35[#Headers],0)),0)</f>
        <v>0</v>
      </c>
    </row>
    <row r="548" spans="1:15" x14ac:dyDescent="0.3">
      <c r="A548" s="19" t="str">
        <f>Table1[[#This Row],[Year_Week]]&amp;"-"&amp;Table1[[#This Row],[DC_name_Xref]]</f>
        <v>202046-OFC</v>
      </c>
      <c r="B548" s="19" t="str">
        <f>Table1[[#This Row],[Fiscal_Year]]*100+Table1[[#This Row],[Fiscal_Week]] &amp; "-" &amp;Table1[[#This Row],[BRAND]]</f>
        <v>202046-BR Factory Store</v>
      </c>
      <c r="C548" t="str">
        <f>Table1[[#This Row],[Fiscal_Year]]&amp;"-"&amp;Table1[[#This Row],[BRAND]]</f>
        <v>2020-BR Factory Store</v>
      </c>
      <c r="D548">
        <v>2020</v>
      </c>
      <c r="E548">
        <v>46</v>
      </c>
      <c r="F548" t="s">
        <v>17</v>
      </c>
      <c r="G548" t="s">
        <v>5</v>
      </c>
      <c r="H548">
        <v>1</v>
      </c>
      <c r="I548">
        <v>150142</v>
      </c>
      <c r="J548" t="str">
        <f>VLOOKUP(H548,DC_Xref!A:B,2,FALSE)</f>
        <v>OFC</v>
      </c>
      <c r="K548">
        <f t="shared" si="8"/>
        <v>202046</v>
      </c>
      <c r="L548">
        <f>IFERROR(Table1[[#This Row],[Demand]]/SUMIFS(Table1[Demand],Table1[Fiscal_Year],Table1[[#This Row],[Fiscal_Year]],Table1[BRAND],Table1[[#This Row],[BRAND]],Table1[DC_name_Xref],Table1[[#This Row],[DC_name_Xref]]),0)</f>
        <v>0.10792847515500045</v>
      </c>
      <c r="M5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548" s="3">
        <f>IFERROR(INDEX(Table3[#All],MATCH(Table1[[#This Row],[Key_Year_Week_Brand]],Table3[[#All],[Key_Year_Week_Brand]],0),MATCH(Table1[[#This Row],[DC_name_Xref]],Table3[#Headers],0)),0)</f>
        <v>1</v>
      </c>
      <c r="O548">
        <f>IFERROR(INDEX(Table35[#All],MATCH(Table1[[#This Row],[Key_Year_Week_Brand]],Table35[[#All],[Key_Year_Month_Brand]],0),MATCH(Table1[[#This Row],[DC_name_Xref]],Table35[#Headers],0)),0)</f>
        <v>150142</v>
      </c>
    </row>
    <row r="549" spans="1:15" x14ac:dyDescent="0.3">
      <c r="A549" s="19" t="str">
        <f>Table1[[#This Row],[Year_Week]]&amp;"-"&amp;Table1[[#This Row],[DC_name_Xref]]</f>
        <v>202046-TFC</v>
      </c>
      <c r="B549" s="19" t="str">
        <f>Table1[[#This Row],[Fiscal_Year]]*100+Table1[[#This Row],[Fiscal_Week]] &amp; "-" &amp;Table1[[#This Row],[BRAND]]</f>
        <v>202046-BR Factory Store</v>
      </c>
      <c r="C549" t="str">
        <f>Table1[[#This Row],[Fiscal_Year]]&amp;"-"&amp;Table1[[#This Row],[BRAND]]</f>
        <v>2020-BR Factory Store</v>
      </c>
      <c r="D549">
        <v>2020</v>
      </c>
      <c r="E549">
        <v>46</v>
      </c>
      <c r="F549" t="s">
        <v>17</v>
      </c>
      <c r="G549" t="s">
        <v>21</v>
      </c>
      <c r="H549">
        <v>2</v>
      </c>
      <c r="I549">
        <v>0</v>
      </c>
      <c r="J549" t="str">
        <f>VLOOKUP(H549,DC_Xref!A:B,2,FALSE)</f>
        <v>TFC</v>
      </c>
      <c r="K549">
        <f t="shared" si="8"/>
        <v>202046</v>
      </c>
      <c r="L549">
        <f>IFERROR(Table1[[#This Row],[Demand]]/SUMIFS(Table1[Demand],Table1[Fiscal_Year],Table1[[#This Row],[Fiscal_Year]],Table1[BRAND],Table1[[#This Row],[BRAND]],Table1[DC_name_Xref],Table1[[#This Row],[DC_name_Xref]]),0)</f>
        <v>0</v>
      </c>
      <c r="M5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49" s="3">
        <f>IFERROR(INDEX(Table3[#All],MATCH(Table1[[#This Row],[Key_Year_Week_Brand]],Table3[[#All],[Key_Year_Week_Brand]],0),MATCH(Table1[[#This Row],[DC_name_Xref]],Table3[#Headers],0)),0)</f>
        <v>0</v>
      </c>
      <c r="O549">
        <f>IFERROR(INDEX(Table35[#All],MATCH(Table1[[#This Row],[Key_Year_Week_Brand]],Table35[[#All],[Key_Year_Month_Brand]],0),MATCH(Table1[[#This Row],[DC_name_Xref]],Table35[#Headers],0)),0)</f>
        <v>0</v>
      </c>
    </row>
    <row r="550" spans="1:15" x14ac:dyDescent="0.3">
      <c r="A550" s="19" t="str">
        <f>Table1[[#This Row],[Year_Week]]&amp;"-"&amp;Table1[[#This Row],[DC_name_Xref]]</f>
        <v>202046-WFC</v>
      </c>
      <c r="B550" s="19" t="str">
        <f>Table1[[#This Row],[Fiscal_Year]]*100+Table1[[#This Row],[Fiscal_Week]] &amp; "-" &amp;Table1[[#This Row],[BRAND]]</f>
        <v>202046-BR Factory Store</v>
      </c>
      <c r="C550" t="str">
        <f>Table1[[#This Row],[Fiscal_Year]]&amp;"-"&amp;Table1[[#This Row],[BRAND]]</f>
        <v>2020-BR Factory Store</v>
      </c>
      <c r="D550">
        <v>2020</v>
      </c>
      <c r="E550">
        <v>46</v>
      </c>
      <c r="F550" t="s">
        <v>17</v>
      </c>
      <c r="G550" t="s">
        <v>7</v>
      </c>
      <c r="H550">
        <v>3</v>
      </c>
      <c r="I550">
        <v>0</v>
      </c>
      <c r="J550" t="str">
        <f>VLOOKUP(H550,DC_Xref!A:B,2,FALSE)</f>
        <v>WFC</v>
      </c>
      <c r="K550">
        <f t="shared" si="8"/>
        <v>202046</v>
      </c>
      <c r="L550">
        <f>IFERROR(Table1[[#This Row],[Demand]]/SUMIFS(Table1[Demand],Table1[Fiscal_Year],Table1[[#This Row],[Fiscal_Year]],Table1[BRAND],Table1[[#This Row],[BRAND]],Table1[DC_name_Xref],Table1[[#This Row],[DC_name_Xref]]),0)</f>
        <v>0</v>
      </c>
      <c r="M5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0" s="3">
        <f>IFERROR(INDEX(Table3[#All],MATCH(Table1[[#This Row],[Key_Year_Week_Brand]],Table3[[#All],[Key_Year_Week_Brand]],0),MATCH(Table1[[#This Row],[DC_name_Xref]],Table3[#Headers],0)),0)</f>
        <v>0</v>
      </c>
      <c r="O550">
        <f>IFERROR(INDEX(Table35[#All],MATCH(Table1[[#This Row],[Key_Year_Week_Brand]],Table35[[#All],[Key_Year_Month_Brand]],0),MATCH(Table1[[#This Row],[DC_name_Xref]],Table35[#Headers],0)),0)</f>
        <v>0</v>
      </c>
    </row>
    <row r="551" spans="1:15" x14ac:dyDescent="0.3">
      <c r="A551" s="19" t="str">
        <f>Table1[[#This Row],[Year_Week]]&amp;"-"&amp;Table1[[#This Row],[DC_name_Xref]]</f>
        <v>202046-EAO</v>
      </c>
      <c r="B551" s="19" t="str">
        <f>Table1[[#This Row],[Fiscal_Year]]*100+Table1[[#This Row],[Fiscal_Week]] &amp; "-" &amp;Table1[[#This Row],[BRAND]]</f>
        <v>202046-BR Factory Store</v>
      </c>
      <c r="C551" t="str">
        <f>Table1[[#This Row],[Fiscal_Year]]&amp;"-"&amp;Table1[[#This Row],[BRAND]]</f>
        <v>2020-BR Factory Store</v>
      </c>
      <c r="D551">
        <v>2020</v>
      </c>
      <c r="E551">
        <v>46</v>
      </c>
      <c r="F551" t="s">
        <v>17</v>
      </c>
      <c r="G551" t="s">
        <v>8</v>
      </c>
      <c r="H551">
        <v>4</v>
      </c>
      <c r="I551">
        <v>0</v>
      </c>
      <c r="J551" t="str">
        <f>VLOOKUP(H551,DC_Xref!A:B,2,FALSE)</f>
        <v>EAO</v>
      </c>
      <c r="K551">
        <f t="shared" si="8"/>
        <v>202046</v>
      </c>
      <c r="L551">
        <f>IFERROR(Table1[[#This Row],[Demand]]/SUMIFS(Table1[Demand],Table1[Fiscal_Year],Table1[[#This Row],[Fiscal_Year]],Table1[BRAND],Table1[[#This Row],[BRAND]],Table1[DC_name_Xref],Table1[[#This Row],[DC_name_Xref]]),0)</f>
        <v>0</v>
      </c>
      <c r="M5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1" s="3">
        <f>IFERROR(INDEX(Table3[#All],MATCH(Table1[[#This Row],[Key_Year_Week_Brand]],Table3[[#All],[Key_Year_Week_Brand]],0),MATCH(Table1[[#This Row],[DC_name_Xref]],Table3[#Headers],0)),0)</f>
        <v>0</v>
      </c>
      <c r="O551">
        <f>IFERROR(INDEX(Table35[#All],MATCH(Table1[[#This Row],[Key_Year_Week_Brand]],Table35[[#All],[Key_Year_Month_Brand]],0),MATCH(Table1[[#This Row],[DC_name_Xref]],Table35[#Headers],0)),0)</f>
        <v>0</v>
      </c>
    </row>
    <row r="552" spans="1:15" x14ac:dyDescent="0.3">
      <c r="A552" s="19" t="str">
        <f>Table1[[#This Row],[Year_Week]]&amp;"-"&amp;Table1[[#This Row],[DC_name_Xref]]</f>
        <v>202046-FFC-ODC</v>
      </c>
      <c r="B552" s="19" t="str">
        <f>Table1[[#This Row],[Fiscal_Year]]*100+Table1[[#This Row],[Fiscal_Week]] &amp; "-" &amp;Table1[[#This Row],[BRAND]]</f>
        <v>202046-BR Factory Store</v>
      </c>
      <c r="C552" t="str">
        <f>Table1[[#This Row],[Fiscal_Year]]&amp;"-"&amp;Table1[[#This Row],[BRAND]]</f>
        <v>2020-BR Factory Store</v>
      </c>
      <c r="D552">
        <v>2020</v>
      </c>
      <c r="E552">
        <v>46</v>
      </c>
      <c r="F552" t="s">
        <v>17</v>
      </c>
      <c r="G552" t="s">
        <v>23</v>
      </c>
      <c r="H552">
        <v>5</v>
      </c>
      <c r="I552">
        <v>0</v>
      </c>
      <c r="J552" t="str">
        <f>VLOOKUP(H552,DC_Xref!A:B,2,FALSE)</f>
        <v>FFC-ODC</v>
      </c>
      <c r="K552">
        <f t="shared" si="8"/>
        <v>202046</v>
      </c>
      <c r="L552">
        <f>IFERROR(Table1[[#This Row],[Demand]]/SUMIFS(Table1[Demand],Table1[Fiscal_Year],Table1[[#This Row],[Fiscal_Year]],Table1[BRAND],Table1[[#This Row],[BRAND]],Table1[DC_name_Xref],Table1[[#This Row],[DC_name_Xref]]),0)</f>
        <v>0</v>
      </c>
      <c r="M5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2" s="3">
        <f>IFERROR(INDEX(Table3[#All],MATCH(Table1[[#This Row],[Key_Year_Week_Brand]],Table3[[#All],[Key_Year_Week_Brand]],0),MATCH(Table1[[#This Row],[DC_name_Xref]],Table3[#Headers],0)),0)</f>
        <v>0</v>
      </c>
      <c r="O552">
        <f>IFERROR(INDEX(Table35[#All],MATCH(Table1[[#This Row],[Key_Year_Week_Brand]],Table35[[#All],[Key_Year_Month_Brand]],0),MATCH(Table1[[#This Row],[DC_name_Xref]],Table35[#Headers],0)),0)</f>
        <v>0</v>
      </c>
    </row>
    <row r="553" spans="1:15" x14ac:dyDescent="0.3">
      <c r="A553" s="19" t="str">
        <f>Table1[[#This Row],[Year_Week]]&amp;"-"&amp;Table1[[#This Row],[DC_name_Xref]]</f>
        <v>202046-WEO</v>
      </c>
      <c r="B553" s="19" t="str">
        <f>Table1[[#This Row],[Fiscal_Year]]*100+Table1[[#This Row],[Fiscal_Week]] &amp; "-" &amp;Table1[[#This Row],[BRAND]]</f>
        <v>202046-BR Factory Store</v>
      </c>
      <c r="C553" t="str">
        <f>Table1[[#This Row],[Fiscal_Year]]&amp;"-"&amp;Table1[[#This Row],[BRAND]]</f>
        <v>2020-BR Factory Store</v>
      </c>
      <c r="D553">
        <v>2020</v>
      </c>
      <c r="E553">
        <v>46</v>
      </c>
      <c r="F553" t="s">
        <v>17</v>
      </c>
      <c r="G553" t="s">
        <v>10</v>
      </c>
      <c r="H553">
        <v>6</v>
      </c>
      <c r="I553">
        <v>0</v>
      </c>
      <c r="J553" t="str">
        <f>VLOOKUP(H553,DC_Xref!A:B,2,FALSE)</f>
        <v>WEO</v>
      </c>
      <c r="K553">
        <f t="shared" si="8"/>
        <v>202046</v>
      </c>
      <c r="L553">
        <f>IFERROR(Table1[[#This Row],[Demand]]/SUMIFS(Table1[Demand],Table1[Fiscal_Year],Table1[[#This Row],[Fiscal_Year]],Table1[BRAND],Table1[[#This Row],[BRAND]],Table1[DC_name_Xref],Table1[[#This Row],[DC_name_Xref]]),0)</f>
        <v>0</v>
      </c>
      <c r="M5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3" s="3">
        <f>IFERROR(INDEX(Table3[#All],MATCH(Table1[[#This Row],[Key_Year_Week_Brand]],Table3[[#All],[Key_Year_Week_Brand]],0),MATCH(Table1[[#This Row],[DC_name_Xref]],Table3[#Headers],0)),0)</f>
        <v>0</v>
      </c>
      <c r="O553">
        <f>IFERROR(INDEX(Table35[#All],MATCH(Table1[[#This Row],[Key_Year_Week_Brand]],Table35[[#All],[Key_Year_Month_Brand]],0),MATCH(Table1[[#This Row],[DC_name_Xref]],Table35[#Headers],0)),0)</f>
        <v>0</v>
      </c>
    </row>
    <row r="554" spans="1:15" x14ac:dyDescent="0.3">
      <c r="A554" s="19" t="str">
        <f>Table1[[#This Row],[Year_Week]]&amp;"-"&amp;Table1[[#This Row],[DC_name_Xref]]</f>
        <v>202046-OCC</v>
      </c>
      <c r="B554" s="19" t="str">
        <f>Table1[[#This Row],[Fiscal_Year]]*100+Table1[[#This Row],[Fiscal_Week]] &amp; "-" &amp;Table1[[#This Row],[BRAND]]</f>
        <v>202046-BR Factory Store</v>
      </c>
      <c r="C554" t="str">
        <f>Table1[[#This Row],[Fiscal_Year]]&amp;"-"&amp;Table1[[#This Row],[BRAND]]</f>
        <v>2020-BR Factory Store</v>
      </c>
      <c r="D554">
        <v>2020</v>
      </c>
      <c r="E554">
        <v>46</v>
      </c>
      <c r="F554" t="s">
        <v>17</v>
      </c>
      <c r="G554" t="s">
        <v>11</v>
      </c>
      <c r="H554">
        <v>7</v>
      </c>
      <c r="I554">
        <v>0</v>
      </c>
      <c r="J554" t="str">
        <f>VLOOKUP(H554,DC_Xref!A:B,2,FALSE)</f>
        <v>OCC</v>
      </c>
      <c r="K554">
        <f t="shared" si="8"/>
        <v>202046</v>
      </c>
      <c r="L554">
        <f>IFERROR(Table1[[#This Row],[Demand]]/SUMIFS(Table1[Demand],Table1[Fiscal_Year],Table1[[#This Row],[Fiscal_Year]],Table1[BRAND],Table1[[#This Row],[BRAND]],Table1[DC_name_Xref],Table1[[#This Row],[DC_name_Xref]]),0)</f>
        <v>0</v>
      </c>
      <c r="M5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4" s="3">
        <f>IFERROR(INDEX(Table3[#All],MATCH(Table1[[#This Row],[Key_Year_Week_Brand]],Table3[[#All],[Key_Year_Week_Brand]],0),MATCH(Table1[[#This Row],[DC_name_Xref]],Table3[#Headers],0)),0)</f>
        <v>0</v>
      </c>
      <c r="O554">
        <f>IFERROR(INDEX(Table35[#All],MATCH(Table1[[#This Row],[Key_Year_Week_Brand]],Table35[[#All],[Key_Year_Month_Brand]],0),MATCH(Table1[[#This Row],[DC_name_Xref]],Table35[#Headers],0)),0)</f>
        <v>0</v>
      </c>
    </row>
    <row r="555" spans="1:15" x14ac:dyDescent="0.3">
      <c r="A555" s="19" t="str">
        <f>Table1[[#This Row],[Year_Week]]&amp;"-"&amp;Table1[[#This Row],[DC_name_Xref]]</f>
        <v>202046-OFC</v>
      </c>
      <c r="B555" s="19" t="str">
        <f>Table1[[#This Row],[Fiscal_Year]]*100+Table1[[#This Row],[Fiscal_Week]] &amp; "-" &amp;Table1[[#This Row],[BRAND]]</f>
        <v>202046-Gap Factory Store</v>
      </c>
      <c r="C555" t="str">
        <f>Table1[[#This Row],[Fiscal_Year]]&amp;"-"&amp;Table1[[#This Row],[BRAND]]</f>
        <v>2020-Gap Factory Store</v>
      </c>
      <c r="D555">
        <v>2020</v>
      </c>
      <c r="E555">
        <v>46</v>
      </c>
      <c r="F555" t="s">
        <v>22</v>
      </c>
      <c r="G555" t="s">
        <v>5</v>
      </c>
      <c r="H555">
        <v>1</v>
      </c>
      <c r="I555">
        <v>230994</v>
      </c>
      <c r="J555" t="str">
        <f>VLOOKUP(H555,DC_Xref!A:B,2,FALSE)</f>
        <v>OFC</v>
      </c>
      <c r="K555">
        <f t="shared" si="8"/>
        <v>202046</v>
      </c>
      <c r="L555">
        <f>IFERROR(Table1[[#This Row],[Demand]]/SUMIFS(Table1[Demand],Table1[Fiscal_Year],Table1[[#This Row],[Fiscal_Year]],Table1[BRAND],Table1[[#This Row],[BRAND]],Table1[DC_name_Xref],Table1[[#This Row],[DC_name_Xref]]),0)</f>
        <v>6.6032452792001803E-2</v>
      </c>
      <c r="M5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555" s="3">
        <f>IFERROR(INDEX(Table3[#All],MATCH(Table1[[#This Row],[Key_Year_Week_Brand]],Table3[[#All],[Key_Year_Week_Brand]],0),MATCH(Table1[[#This Row],[DC_name_Xref]],Table3[#Headers],0)),0)</f>
        <v>1</v>
      </c>
      <c r="O555">
        <f>IFERROR(INDEX(Table35[#All],MATCH(Table1[[#This Row],[Key_Year_Week_Brand]],Table35[[#All],[Key_Year_Month_Brand]],0),MATCH(Table1[[#This Row],[DC_name_Xref]],Table35[#Headers],0)),0)</f>
        <v>230994</v>
      </c>
    </row>
    <row r="556" spans="1:15" x14ac:dyDescent="0.3">
      <c r="A556" s="19" t="str">
        <f>Table1[[#This Row],[Year_Week]]&amp;"-"&amp;Table1[[#This Row],[DC_name_Xref]]</f>
        <v>202046-TFC</v>
      </c>
      <c r="B556" s="19" t="str">
        <f>Table1[[#This Row],[Fiscal_Year]]*100+Table1[[#This Row],[Fiscal_Week]] &amp; "-" &amp;Table1[[#This Row],[BRAND]]</f>
        <v>202046-Gap Factory Store</v>
      </c>
      <c r="C556" t="str">
        <f>Table1[[#This Row],[Fiscal_Year]]&amp;"-"&amp;Table1[[#This Row],[BRAND]]</f>
        <v>2020-Gap Factory Store</v>
      </c>
      <c r="D556">
        <v>2020</v>
      </c>
      <c r="E556">
        <v>46</v>
      </c>
      <c r="F556" t="s">
        <v>22</v>
      </c>
      <c r="G556" t="s">
        <v>21</v>
      </c>
      <c r="H556">
        <v>2</v>
      </c>
      <c r="I556">
        <v>0</v>
      </c>
      <c r="J556" t="str">
        <f>VLOOKUP(H556,DC_Xref!A:B,2,FALSE)</f>
        <v>TFC</v>
      </c>
      <c r="K556">
        <f t="shared" si="8"/>
        <v>202046</v>
      </c>
      <c r="L556">
        <f>IFERROR(Table1[[#This Row],[Demand]]/SUMIFS(Table1[Demand],Table1[Fiscal_Year],Table1[[#This Row],[Fiscal_Year]],Table1[BRAND],Table1[[#This Row],[BRAND]],Table1[DC_name_Xref],Table1[[#This Row],[DC_name_Xref]]),0)</f>
        <v>0</v>
      </c>
      <c r="M5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6" s="3">
        <f>IFERROR(INDEX(Table3[#All],MATCH(Table1[[#This Row],[Key_Year_Week_Brand]],Table3[[#All],[Key_Year_Week_Brand]],0),MATCH(Table1[[#This Row],[DC_name_Xref]],Table3[#Headers],0)),0)</f>
        <v>0</v>
      </c>
      <c r="O556">
        <f>IFERROR(INDEX(Table35[#All],MATCH(Table1[[#This Row],[Key_Year_Week_Brand]],Table35[[#All],[Key_Year_Month_Brand]],0),MATCH(Table1[[#This Row],[DC_name_Xref]],Table35[#Headers],0)),0)</f>
        <v>0</v>
      </c>
    </row>
    <row r="557" spans="1:15" x14ac:dyDescent="0.3">
      <c r="A557" s="19" t="str">
        <f>Table1[[#This Row],[Year_Week]]&amp;"-"&amp;Table1[[#This Row],[DC_name_Xref]]</f>
        <v>202046-WFC</v>
      </c>
      <c r="B557" s="19" t="str">
        <f>Table1[[#This Row],[Fiscal_Year]]*100+Table1[[#This Row],[Fiscal_Week]] &amp; "-" &amp;Table1[[#This Row],[BRAND]]</f>
        <v>202046-Gap Factory Store</v>
      </c>
      <c r="C557" t="str">
        <f>Table1[[#This Row],[Fiscal_Year]]&amp;"-"&amp;Table1[[#This Row],[BRAND]]</f>
        <v>2020-Gap Factory Store</v>
      </c>
      <c r="D557">
        <v>2020</v>
      </c>
      <c r="E557">
        <v>46</v>
      </c>
      <c r="F557" t="s">
        <v>22</v>
      </c>
      <c r="G557" t="s">
        <v>7</v>
      </c>
      <c r="H557">
        <v>3</v>
      </c>
      <c r="I557">
        <v>0</v>
      </c>
      <c r="J557" t="str">
        <f>VLOOKUP(H557,DC_Xref!A:B,2,FALSE)</f>
        <v>WFC</v>
      </c>
      <c r="K557">
        <f t="shared" si="8"/>
        <v>202046</v>
      </c>
      <c r="L557">
        <f>IFERROR(Table1[[#This Row],[Demand]]/SUMIFS(Table1[Demand],Table1[Fiscal_Year],Table1[[#This Row],[Fiscal_Year]],Table1[BRAND],Table1[[#This Row],[BRAND]],Table1[DC_name_Xref],Table1[[#This Row],[DC_name_Xref]]),0)</f>
        <v>0</v>
      </c>
      <c r="M5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7" s="3">
        <f>IFERROR(INDEX(Table3[#All],MATCH(Table1[[#This Row],[Key_Year_Week_Brand]],Table3[[#All],[Key_Year_Week_Brand]],0),MATCH(Table1[[#This Row],[DC_name_Xref]],Table3[#Headers],0)),0)</f>
        <v>0</v>
      </c>
      <c r="O557">
        <f>IFERROR(INDEX(Table35[#All],MATCH(Table1[[#This Row],[Key_Year_Week_Brand]],Table35[[#All],[Key_Year_Month_Brand]],0),MATCH(Table1[[#This Row],[DC_name_Xref]],Table35[#Headers],0)),0)</f>
        <v>0</v>
      </c>
    </row>
    <row r="558" spans="1:15" x14ac:dyDescent="0.3">
      <c r="A558" s="19" t="str">
        <f>Table1[[#This Row],[Year_Week]]&amp;"-"&amp;Table1[[#This Row],[DC_name_Xref]]</f>
        <v>202046-EAO</v>
      </c>
      <c r="B558" s="19" t="str">
        <f>Table1[[#This Row],[Fiscal_Year]]*100+Table1[[#This Row],[Fiscal_Week]] &amp; "-" &amp;Table1[[#This Row],[BRAND]]</f>
        <v>202046-Gap Factory Store</v>
      </c>
      <c r="C558" t="str">
        <f>Table1[[#This Row],[Fiscal_Year]]&amp;"-"&amp;Table1[[#This Row],[BRAND]]</f>
        <v>2020-Gap Factory Store</v>
      </c>
      <c r="D558">
        <v>2020</v>
      </c>
      <c r="E558">
        <v>46</v>
      </c>
      <c r="F558" t="s">
        <v>22</v>
      </c>
      <c r="G558" t="s">
        <v>8</v>
      </c>
      <c r="H558">
        <v>4</v>
      </c>
      <c r="I558">
        <v>0</v>
      </c>
      <c r="J558" t="str">
        <f>VLOOKUP(H558,DC_Xref!A:B,2,FALSE)</f>
        <v>EAO</v>
      </c>
      <c r="K558">
        <f t="shared" si="8"/>
        <v>202046</v>
      </c>
      <c r="L558">
        <f>IFERROR(Table1[[#This Row],[Demand]]/SUMIFS(Table1[Demand],Table1[Fiscal_Year],Table1[[#This Row],[Fiscal_Year]],Table1[BRAND],Table1[[#This Row],[BRAND]],Table1[DC_name_Xref],Table1[[#This Row],[DC_name_Xref]]),0)</f>
        <v>0</v>
      </c>
      <c r="M5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8" s="3">
        <f>IFERROR(INDEX(Table3[#All],MATCH(Table1[[#This Row],[Key_Year_Week_Brand]],Table3[[#All],[Key_Year_Week_Brand]],0),MATCH(Table1[[#This Row],[DC_name_Xref]],Table3[#Headers],0)),0)</f>
        <v>0</v>
      </c>
      <c r="O558">
        <f>IFERROR(INDEX(Table35[#All],MATCH(Table1[[#This Row],[Key_Year_Week_Brand]],Table35[[#All],[Key_Year_Month_Brand]],0),MATCH(Table1[[#This Row],[DC_name_Xref]],Table35[#Headers],0)),0)</f>
        <v>0</v>
      </c>
    </row>
    <row r="559" spans="1:15" x14ac:dyDescent="0.3">
      <c r="A559" s="19" t="str">
        <f>Table1[[#This Row],[Year_Week]]&amp;"-"&amp;Table1[[#This Row],[DC_name_Xref]]</f>
        <v>202046-FFC-ODC</v>
      </c>
      <c r="B559" s="19" t="str">
        <f>Table1[[#This Row],[Fiscal_Year]]*100+Table1[[#This Row],[Fiscal_Week]] &amp; "-" &amp;Table1[[#This Row],[BRAND]]</f>
        <v>202046-Gap Factory Store</v>
      </c>
      <c r="C559" t="str">
        <f>Table1[[#This Row],[Fiscal_Year]]&amp;"-"&amp;Table1[[#This Row],[BRAND]]</f>
        <v>2020-Gap Factory Store</v>
      </c>
      <c r="D559">
        <v>2020</v>
      </c>
      <c r="E559">
        <v>46</v>
      </c>
      <c r="F559" t="s">
        <v>22</v>
      </c>
      <c r="G559" t="s">
        <v>23</v>
      </c>
      <c r="H559">
        <v>5</v>
      </c>
      <c r="I559">
        <v>0</v>
      </c>
      <c r="J559" t="str">
        <f>VLOOKUP(H559,DC_Xref!A:B,2,FALSE)</f>
        <v>FFC-ODC</v>
      </c>
      <c r="K559">
        <f t="shared" si="8"/>
        <v>202046</v>
      </c>
      <c r="L559">
        <f>IFERROR(Table1[[#This Row],[Demand]]/SUMIFS(Table1[Demand],Table1[Fiscal_Year],Table1[[#This Row],[Fiscal_Year]],Table1[BRAND],Table1[[#This Row],[BRAND]],Table1[DC_name_Xref],Table1[[#This Row],[DC_name_Xref]]),0)</f>
        <v>0</v>
      </c>
      <c r="M5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59" s="3">
        <f>IFERROR(INDEX(Table3[#All],MATCH(Table1[[#This Row],[Key_Year_Week_Brand]],Table3[[#All],[Key_Year_Week_Brand]],0),MATCH(Table1[[#This Row],[DC_name_Xref]],Table3[#Headers],0)),0)</f>
        <v>0</v>
      </c>
      <c r="O559">
        <f>IFERROR(INDEX(Table35[#All],MATCH(Table1[[#This Row],[Key_Year_Week_Brand]],Table35[[#All],[Key_Year_Month_Brand]],0),MATCH(Table1[[#This Row],[DC_name_Xref]],Table35[#Headers],0)),0)</f>
        <v>0</v>
      </c>
    </row>
    <row r="560" spans="1:15" x14ac:dyDescent="0.3">
      <c r="A560" s="19" t="str">
        <f>Table1[[#This Row],[Year_Week]]&amp;"-"&amp;Table1[[#This Row],[DC_name_Xref]]</f>
        <v>202046-WEO</v>
      </c>
      <c r="B560" s="19" t="str">
        <f>Table1[[#This Row],[Fiscal_Year]]*100+Table1[[#This Row],[Fiscal_Week]] &amp; "-" &amp;Table1[[#This Row],[BRAND]]</f>
        <v>202046-Gap Factory Store</v>
      </c>
      <c r="C560" t="str">
        <f>Table1[[#This Row],[Fiscal_Year]]&amp;"-"&amp;Table1[[#This Row],[BRAND]]</f>
        <v>2020-Gap Factory Store</v>
      </c>
      <c r="D560">
        <v>2020</v>
      </c>
      <c r="E560">
        <v>46</v>
      </c>
      <c r="F560" t="s">
        <v>22</v>
      </c>
      <c r="G560" t="s">
        <v>10</v>
      </c>
      <c r="H560">
        <v>6</v>
      </c>
      <c r="I560">
        <v>0</v>
      </c>
      <c r="J560" t="str">
        <f>VLOOKUP(H560,DC_Xref!A:B,2,FALSE)</f>
        <v>WEO</v>
      </c>
      <c r="K560">
        <f t="shared" si="8"/>
        <v>202046</v>
      </c>
      <c r="L560">
        <f>IFERROR(Table1[[#This Row],[Demand]]/SUMIFS(Table1[Demand],Table1[Fiscal_Year],Table1[[#This Row],[Fiscal_Year]],Table1[BRAND],Table1[[#This Row],[BRAND]],Table1[DC_name_Xref],Table1[[#This Row],[DC_name_Xref]]),0)</f>
        <v>0</v>
      </c>
      <c r="M5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60" s="3">
        <f>IFERROR(INDEX(Table3[#All],MATCH(Table1[[#This Row],[Key_Year_Week_Brand]],Table3[[#All],[Key_Year_Week_Brand]],0),MATCH(Table1[[#This Row],[DC_name_Xref]],Table3[#Headers],0)),0)</f>
        <v>0</v>
      </c>
      <c r="O560">
        <f>IFERROR(INDEX(Table35[#All],MATCH(Table1[[#This Row],[Key_Year_Week_Brand]],Table35[[#All],[Key_Year_Month_Brand]],0),MATCH(Table1[[#This Row],[DC_name_Xref]],Table35[#Headers],0)),0)</f>
        <v>0</v>
      </c>
    </row>
    <row r="561" spans="1:15" x14ac:dyDescent="0.3">
      <c r="A561" s="19" t="str">
        <f>Table1[[#This Row],[Year_Week]]&amp;"-"&amp;Table1[[#This Row],[DC_name_Xref]]</f>
        <v>202046-OCC</v>
      </c>
      <c r="B561" s="19" t="str">
        <f>Table1[[#This Row],[Fiscal_Year]]*100+Table1[[#This Row],[Fiscal_Week]] &amp; "-" &amp;Table1[[#This Row],[BRAND]]</f>
        <v>202046-Gap Factory Store</v>
      </c>
      <c r="C561" t="str">
        <f>Table1[[#This Row],[Fiscal_Year]]&amp;"-"&amp;Table1[[#This Row],[BRAND]]</f>
        <v>2020-Gap Factory Store</v>
      </c>
      <c r="D561">
        <v>2020</v>
      </c>
      <c r="E561">
        <v>46</v>
      </c>
      <c r="F561" t="s">
        <v>22</v>
      </c>
      <c r="G561" t="s">
        <v>11</v>
      </c>
      <c r="H561">
        <v>7</v>
      </c>
      <c r="I561">
        <v>0</v>
      </c>
      <c r="J561" t="str">
        <f>VLOOKUP(H561,DC_Xref!A:B,2,FALSE)</f>
        <v>OCC</v>
      </c>
      <c r="K561">
        <f t="shared" si="8"/>
        <v>202046</v>
      </c>
      <c r="L561">
        <f>IFERROR(Table1[[#This Row],[Demand]]/SUMIFS(Table1[Demand],Table1[Fiscal_Year],Table1[[#This Row],[Fiscal_Year]],Table1[BRAND],Table1[[#This Row],[BRAND]],Table1[DC_name_Xref],Table1[[#This Row],[DC_name_Xref]]),0)</f>
        <v>0</v>
      </c>
      <c r="M5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61" s="3">
        <f>IFERROR(INDEX(Table3[#All],MATCH(Table1[[#This Row],[Key_Year_Week_Brand]],Table3[[#All],[Key_Year_Week_Brand]],0),MATCH(Table1[[#This Row],[DC_name_Xref]],Table3[#Headers],0)),0)</f>
        <v>0</v>
      </c>
      <c r="O561">
        <f>IFERROR(INDEX(Table35[#All],MATCH(Table1[[#This Row],[Key_Year_Week_Brand]],Table35[[#All],[Key_Year_Month_Brand]],0),MATCH(Table1[[#This Row],[DC_name_Xref]],Table35[#Headers],0)),0)</f>
        <v>0</v>
      </c>
    </row>
    <row r="562" spans="1:15" x14ac:dyDescent="0.3">
      <c r="A562" s="19" t="str">
        <f>Table1[[#This Row],[Year_Week]]&amp;"-"&amp;Table1[[#This Row],[DC_name_Xref]]</f>
        <v>202046-OFC</v>
      </c>
      <c r="B562" s="19" t="str">
        <f>Table1[[#This Row],[Fiscal_Year]]*100+Table1[[#This Row],[Fiscal_Week]] &amp; "-" &amp;Table1[[#This Row],[BRAND]]</f>
        <v>202046-Banana Republic</v>
      </c>
      <c r="C562" t="str">
        <f>Table1[[#This Row],[Fiscal_Year]]&amp;"-"&amp;Table1[[#This Row],[BRAND]]</f>
        <v>2020-Banana Republic</v>
      </c>
      <c r="D562">
        <v>2020</v>
      </c>
      <c r="E562">
        <v>46</v>
      </c>
      <c r="F562" t="s">
        <v>18</v>
      </c>
      <c r="G562" t="s">
        <v>5</v>
      </c>
      <c r="H562">
        <v>1</v>
      </c>
      <c r="I562">
        <v>9829</v>
      </c>
      <c r="J562" t="str">
        <f>VLOOKUP(H562,DC_Xref!A:B,2,FALSE)</f>
        <v>OFC</v>
      </c>
      <c r="K562">
        <f t="shared" si="8"/>
        <v>202046</v>
      </c>
      <c r="L562">
        <f>IFERROR(Table1[[#This Row],[Demand]]/SUMIFS(Table1[Demand],Table1[Fiscal_Year],Table1[[#This Row],[Fiscal_Year]],Table1[BRAND],Table1[[#This Row],[BRAND]],Table1[DC_name_Xref],Table1[[#This Row],[DC_name_Xref]]),0)</f>
        <v>0.22196879022605631</v>
      </c>
      <c r="M5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2.1328687496507917E-2</v>
      </c>
      <c r="N562" s="3">
        <f>IFERROR(INDEX(Table3[#All],MATCH(Table1[[#This Row],[Key_Year_Week_Brand]],Table3[[#All],[Key_Year_Week_Brand]],0),MATCH(Table1[[#This Row],[DC_name_Xref]],Table3[#Headers],0)),0)</f>
        <v>0</v>
      </c>
      <c r="O562">
        <f>IFERROR(INDEX(Table35[#All],MATCH(Table1[[#This Row],[Key_Year_Week_Brand]],Table35[[#All],[Key_Year_Month_Brand]],0),MATCH(Table1[[#This Row],[DC_name_Xref]],Table35[#Headers],0)),0)</f>
        <v>0</v>
      </c>
    </row>
    <row r="563" spans="1:15" x14ac:dyDescent="0.3">
      <c r="A563" s="19" t="str">
        <f>Table1[[#This Row],[Year_Week]]&amp;"-"&amp;Table1[[#This Row],[DC_name_Xref]]</f>
        <v>202046-TFC</v>
      </c>
      <c r="B563" s="19" t="str">
        <f>Table1[[#This Row],[Fiscal_Year]]*100+Table1[[#This Row],[Fiscal_Week]] &amp; "-" &amp;Table1[[#This Row],[BRAND]]</f>
        <v>202046-Banana Republic</v>
      </c>
      <c r="C563" t="str">
        <f>Table1[[#This Row],[Fiscal_Year]]&amp;"-"&amp;Table1[[#This Row],[BRAND]]</f>
        <v>2020-Banana Republic</v>
      </c>
      <c r="D563">
        <v>2020</v>
      </c>
      <c r="E563">
        <v>46</v>
      </c>
      <c r="F563" t="s">
        <v>18</v>
      </c>
      <c r="G563" t="s">
        <v>21</v>
      </c>
      <c r="H563">
        <v>2</v>
      </c>
      <c r="I563">
        <v>237131</v>
      </c>
      <c r="J563" t="str">
        <f>VLOOKUP(H563,DC_Xref!A:B,2,FALSE)</f>
        <v>TFC</v>
      </c>
      <c r="K563">
        <f t="shared" si="8"/>
        <v>202046</v>
      </c>
      <c r="L563">
        <f>IFERROR(Table1[[#This Row],[Demand]]/SUMIFS(Table1[Demand],Table1[Fiscal_Year],Table1[[#This Row],[Fiscal_Year]],Table1[BRAND],Table1[[#This Row],[BRAND]],Table1[DC_name_Xref],Table1[[#This Row],[DC_name_Xref]]),0)</f>
        <v>0.11671274355247621</v>
      </c>
      <c r="M5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0.97862603582444985</v>
      </c>
      <c r="N563" s="3">
        <f>IFERROR(INDEX(Table3[#All],MATCH(Table1[[#This Row],[Key_Year_Week_Brand]],Table3[[#All],[Key_Year_Week_Brand]],0),MATCH(Table1[[#This Row],[DC_name_Xref]],Table3[#Headers],0)),0)</f>
        <v>1</v>
      </c>
      <c r="O563">
        <f>IFERROR(INDEX(Table35[#All],MATCH(Table1[[#This Row],[Key_Year_Week_Brand]],Table35[[#All],[Key_Year_Month_Brand]],0),MATCH(Table1[[#This Row],[DC_name_Xref]],Table35[#Headers],0)),0)</f>
        <v>246964</v>
      </c>
    </row>
    <row r="564" spans="1:15" x14ac:dyDescent="0.3">
      <c r="A564" s="19" t="str">
        <f>Table1[[#This Row],[Year_Week]]&amp;"-"&amp;Table1[[#This Row],[DC_name_Xref]]</f>
        <v>202046-WFC</v>
      </c>
      <c r="B564" s="19" t="str">
        <f>Table1[[#This Row],[Fiscal_Year]]*100+Table1[[#This Row],[Fiscal_Week]] &amp; "-" &amp;Table1[[#This Row],[BRAND]]</f>
        <v>202046-Banana Republic</v>
      </c>
      <c r="C564" t="str">
        <f>Table1[[#This Row],[Fiscal_Year]]&amp;"-"&amp;Table1[[#This Row],[BRAND]]</f>
        <v>2020-Banana Republic</v>
      </c>
      <c r="D564">
        <v>2020</v>
      </c>
      <c r="E564">
        <v>46</v>
      </c>
      <c r="F564" t="s">
        <v>18</v>
      </c>
      <c r="G564" t="s">
        <v>7</v>
      </c>
      <c r="H564">
        <v>3</v>
      </c>
      <c r="I564">
        <v>1</v>
      </c>
      <c r="J564" t="str">
        <f>VLOOKUP(H564,DC_Xref!A:B,2,FALSE)</f>
        <v>WFC</v>
      </c>
      <c r="K564">
        <f t="shared" si="8"/>
        <v>202046</v>
      </c>
      <c r="L564">
        <f>IFERROR(Table1[[#This Row],[Demand]]/SUMIFS(Table1[Demand],Table1[Fiscal_Year],Table1[[#This Row],[Fiscal_Year]],Table1[BRAND],Table1[[#This Row],[BRAND]],Table1[DC_name_Xref],Table1[[#This Row],[DC_name_Xref]]),0)</f>
        <v>0.16666666666666666</v>
      </c>
      <c r="M5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2.8900007899335494E-6</v>
      </c>
      <c r="N564" s="3">
        <f>IFERROR(INDEX(Table3[#All],MATCH(Table1[[#This Row],[Key_Year_Week_Brand]],Table3[[#All],[Key_Year_Week_Brand]],0),MATCH(Table1[[#This Row],[DC_name_Xref]],Table3[#Headers],0)),0)</f>
        <v>3.4959629396853166E-6</v>
      </c>
      <c r="O564">
        <f>IFERROR(INDEX(Table35[#All],MATCH(Table1[[#This Row],[Key_Year_Week_Brand]],Table35[[#All],[Key_Year_Month_Brand]],0),MATCH(Table1[[#This Row],[DC_name_Xref]],Table35[#Headers],0)),0)</f>
        <v>0.86337699143644453</v>
      </c>
    </row>
    <row r="565" spans="1:15" x14ac:dyDescent="0.3">
      <c r="A565" s="19" t="str">
        <f>Table1[[#This Row],[Year_Week]]&amp;"-"&amp;Table1[[#This Row],[DC_name_Xref]]</f>
        <v>202046-EAO</v>
      </c>
      <c r="B565" s="19" t="str">
        <f>Table1[[#This Row],[Fiscal_Year]]*100+Table1[[#This Row],[Fiscal_Week]] &amp; "-" &amp;Table1[[#This Row],[BRAND]]</f>
        <v>202046-Banana Republic</v>
      </c>
      <c r="C565" t="str">
        <f>Table1[[#This Row],[Fiscal_Year]]&amp;"-"&amp;Table1[[#This Row],[BRAND]]</f>
        <v>2020-Banana Republic</v>
      </c>
      <c r="D565">
        <v>2020</v>
      </c>
      <c r="E565">
        <v>46</v>
      </c>
      <c r="F565" t="s">
        <v>18</v>
      </c>
      <c r="G565" t="s">
        <v>8</v>
      </c>
      <c r="H565">
        <v>4</v>
      </c>
      <c r="I565">
        <v>3</v>
      </c>
      <c r="J565" t="str">
        <f>VLOOKUP(H565,DC_Xref!A:B,2,FALSE)</f>
        <v>EAO</v>
      </c>
      <c r="K565">
        <f t="shared" si="8"/>
        <v>202046</v>
      </c>
      <c r="L565">
        <f>IFERROR(Table1[[#This Row],[Demand]]/SUMIFS(Table1[Demand],Table1[Fiscal_Year],Table1[[#This Row],[Fiscal_Year]],Table1[BRAND],Table1[[#This Row],[BRAND]],Table1[DC_name_Xref],Table1[[#This Row],[DC_name_Xref]]),0)</f>
        <v>3.4090909090909088E-2</v>
      </c>
      <c r="M5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4.238667825235872E-5</v>
      </c>
      <c r="N565" s="3">
        <f>IFERROR(INDEX(Table3[#All],MATCH(Table1[[#This Row],[Key_Year_Week_Brand]],Table3[[#All],[Key_Year_Week_Brand]],0),MATCH(Table1[[#This Row],[DC_name_Xref]],Table3[#Headers],0)),0)</f>
        <v>4.2339995602855504E-5</v>
      </c>
      <c r="O565">
        <f>IFERROR(INDEX(Table35[#All],MATCH(Table1[[#This Row],[Key_Year_Week_Brand]],Table35[[#All],[Key_Year_Month_Brand]],0),MATCH(Table1[[#This Row],[DC_name_Xref]],Table35[#Headers],0)),0)</f>
        <v>10.456454674063608</v>
      </c>
    </row>
    <row r="566" spans="1:15" x14ac:dyDescent="0.3">
      <c r="A566" s="19" t="str">
        <f>Table1[[#This Row],[Year_Week]]&amp;"-"&amp;Table1[[#This Row],[DC_name_Xref]]</f>
        <v>202046-FFC-ODC</v>
      </c>
      <c r="B566" s="19" t="str">
        <f>Table1[[#This Row],[Fiscal_Year]]*100+Table1[[#This Row],[Fiscal_Week]] &amp; "-" &amp;Table1[[#This Row],[BRAND]]</f>
        <v>202046-Banana Republic</v>
      </c>
      <c r="C566" t="str">
        <f>Table1[[#This Row],[Fiscal_Year]]&amp;"-"&amp;Table1[[#This Row],[BRAND]]</f>
        <v>2020-Banana Republic</v>
      </c>
      <c r="D566">
        <v>2020</v>
      </c>
      <c r="E566">
        <v>46</v>
      </c>
      <c r="F566" t="s">
        <v>18</v>
      </c>
      <c r="G566" t="s">
        <v>23</v>
      </c>
      <c r="H566">
        <v>5</v>
      </c>
      <c r="I566">
        <v>0</v>
      </c>
      <c r="J566" t="str">
        <f>VLOOKUP(H566,DC_Xref!A:B,2,FALSE)</f>
        <v>FFC-ODC</v>
      </c>
      <c r="K566">
        <f t="shared" si="8"/>
        <v>202046</v>
      </c>
      <c r="L566">
        <f>IFERROR(Table1[[#This Row],[Demand]]/SUMIFS(Table1[Demand],Table1[Fiscal_Year],Table1[[#This Row],[Fiscal_Year]],Table1[BRAND],Table1[[#This Row],[BRAND]],Table1[DC_name_Xref],Table1[[#This Row],[DC_name_Xref]]),0)</f>
        <v>0</v>
      </c>
      <c r="M5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66" s="3">
        <f>IFERROR(INDEX(Table3[#All],MATCH(Table1[[#This Row],[Key_Year_Week_Brand]],Table3[[#All],[Key_Year_Week_Brand]],0),MATCH(Table1[[#This Row],[DC_name_Xref]],Table3[#Headers],0)),0)</f>
        <v>0</v>
      </c>
      <c r="O566">
        <f>IFERROR(INDEX(Table35[#All],MATCH(Table1[[#This Row],[Key_Year_Week_Brand]],Table35[[#All],[Key_Year_Month_Brand]],0),MATCH(Table1[[#This Row],[DC_name_Xref]],Table35[#Headers],0)),0)</f>
        <v>0</v>
      </c>
    </row>
    <row r="567" spans="1:15" x14ac:dyDescent="0.3">
      <c r="A567" s="19" t="str">
        <f>Table1[[#This Row],[Year_Week]]&amp;"-"&amp;Table1[[#This Row],[DC_name_Xref]]</f>
        <v>202046-WEO</v>
      </c>
      <c r="B567" s="19" t="str">
        <f>Table1[[#This Row],[Fiscal_Year]]*100+Table1[[#This Row],[Fiscal_Week]] &amp; "-" &amp;Table1[[#This Row],[BRAND]]</f>
        <v>202046-Banana Republic</v>
      </c>
      <c r="C567" t="str">
        <f>Table1[[#This Row],[Fiscal_Year]]&amp;"-"&amp;Table1[[#This Row],[BRAND]]</f>
        <v>2020-Banana Republic</v>
      </c>
      <c r="D567">
        <v>2020</v>
      </c>
      <c r="E567">
        <v>46</v>
      </c>
      <c r="F567" t="s">
        <v>18</v>
      </c>
      <c r="G567" t="s">
        <v>10</v>
      </c>
      <c r="H567">
        <v>6</v>
      </c>
      <c r="I567">
        <v>0</v>
      </c>
      <c r="J567" t="str">
        <f>VLOOKUP(H567,DC_Xref!A:B,2,FALSE)</f>
        <v>WEO</v>
      </c>
      <c r="K567">
        <f t="shared" si="8"/>
        <v>202046</v>
      </c>
      <c r="L567">
        <f>IFERROR(Table1[[#This Row],[Demand]]/SUMIFS(Table1[Demand],Table1[Fiscal_Year],Table1[[#This Row],[Fiscal_Year]],Table1[BRAND],Table1[[#This Row],[BRAND]],Table1[DC_name_Xref],Table1[[#This Row],[DC_name_Xref]]),0)</f>
        <v>0</v>
      </c>
      <c r="M5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67" s="3">
        <f>IFERROR(INDEX(Table3[#All],MATCH(Table1[[#This Row],[Key_Year_Week_Brand]],Table3[[#All],[Key_Year_Week_Brand]],0),MATCH(Table1[[#This Row],[DC_name_Xref]],Table3[#Headers],0)),0)</f>
        <v>0</v>
      </c>
      <c r="O567">
        <f>IFERROR(INDEX(Table35[#All],MATCH(Table1[[#This Row],[Key_Year_Week_Brand]],Table35[[#All],[Key_Year_Month_Brand]],0),MATCH(Table1[[#This Row],[DC_name_Xref]],Table35[#Headers],0)),0)</f>
        <v>0</v>
      </c>
    </row>
    <row r="568" spans="1:15" x14ac:dyDescent="0.3">
      <c r="A568" s="19" t="str">
        <f>Table1[[#This Row],[Year_Week]]&amp;"-"&amp;Table1[[#This Row],[DC_name_Xref]]</f>
        <v>202046-OCC</v>
      </c>
      <c r="B568" s="19" t="str">
        <f>Table1[[#This Row],[Fiscal_Year]]*100+Table1[[#This Row],[Fiscal_Week]] &amp; "-" &amp;Table1[[#This Row],[BRAND]]</f>
        <v>202046-Banana Republic</v>
      </c>
      <c r="C568" t="str">
        <f>Table1[[#This Row],[Fiscal_Year]]&amp;"-"&amp;Table1[[#This Row],[BRAND]]</f>
        <v>2020-Banana Republic</v>
      </c>
      <c r="D568">
        <v>2020</v>
      </c>
      <c r="E568">
        <v>46</v>
      </c>
      <c r="F568" t="s">
        <v>18</v>
      </c>
      <c r="G568" t="s">
        <v>11</v>
      </c>
      <c r="H568">
        <v>7</v>
      </c>
      <c r="I568">
        <v>0</v>
      </c>
      <c r="J568" t="str">
        <f>VLOOKUP(H568,DC_Xref!A:B,2,FALSE)</f>
        <v>OCC</v>
      </c>
      <c r="K568">
        <f t="shared" si="8"/>
        <v>202046</v>
      </c>
      <c r="L568">
        <f>IFERROR(Table1[[#This Row],[Demand]]/SUMIFS(Table1[Demand],Table1[Fiscal_Year],Table1[[#This Row],[Fiscal_Year]],Table1[BRAND],Table1[[#This Row],[BRAND]],Table1[DC_name_Xref],Table1[[#This Row],[DC_name_Xref]]),0)</f>
        <v>0</v>
      </c>
      <c r="M5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68" s="3">
        <f>IFERROR(INDEX(Table3[#All],MATCH(Table1[[#This Row],[Key_Year_Week_Brand]],Table3[[#All],[Key_Year_Week_Brand]],0),MATCH(Table1[[#This Row],[DC_name_Xref]],Table3[#Headers],0)),0)</f>
        <v>0</v>
      </c>
      <c r="O568">
        <f>IFERROR(INDEX(Table35[#All],MATCH(Table1[[#This Row],[Key_Year_Week_Brand]],Table35[[#All],[Key_Year_Month_Brand]],0),MATCH(Table1[[#This Row],[DC_name_Xref]],Table35[#Headers],0)),0)</f>
        <v>0</v>
      </c>
    </row>
    <row r="569" spans="1:15" x14ac:dyDescent="0.3">
      <c r="A569" s="19" t="str">
        <f>Table1[[#This Row],[Year_Week]]&amp;"-"&amp;Table1[[#This Row],[DC_name_Xref]]</f>
        <v>202046-OFC</v>
      </c>
      <c r="B569" s="19" t="str">
        <f>Table1[[#This Row],[Fiscal_Year]]*100+Table1[[#This Row],[Fiscal_Week]] &amp; "-" &amp;Table1[[#This Row],[BRAND]]</f>
        <v>202046-Old Navy</v>
      </c>
      <c r="C569" t="str">
        <f>Table1[[#This Row],[Fiscal_Year]]&amp;"-"&amp;Table1[[#This Row],[BRAND]]</f>
        <v>2020-Old Navy</v>
      </c>
      <c r="D569">
        <v>2020</v>
      </c>
      <c r="E569">
        <v>46</v>
      </c>
      <c r="F569" t="s">
        <v>20</v>
      </c>
      <c r="G569" t="s">
        <v>5</v>
      </c>
      <c r="H569">
        <v>1</v>
      </c>
      <c r="I569">
        <v>960706</v>
      </c>
      <c r="J569" t="str">
        <f>VLOOKUP(H569,DC_Xref!A:B,2,FALSE)</f>
        <v>OFC</v>
      </c>
      <c r="K569">
        <f t="shared" si="8"/>
        <v>202046</v>
      </c>
      <c r="L569">
        <f>IFERROR(Table1[[#This Row],[Demand]]/SUMIFS(Table1[Demand],Table1[Fiscal_Year],Table1[[#This Row],[Fiscal_Year]],Table1[BRAND],Table1[[#This Row],[BRAND]],Table1[DC_name_Xref],Table1[[#This Row],[DC_name_Xref]]),0)</f>
        <v>0.13027276291115431</v>
      </c>
      <c r="M5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0.29585489906110074</v>
      </c>
      <c r="N569" s="3">
        <f>IFERROR(INDEX(Table3[#All],MATCH(Table1[[#This Row],[Key_Year_Week_Brand]],Table3[[#All],[Key_Year_Week_Brand]],0),MATCH(Table1[[#This Row],[DC_name_Xref]],Table3[#Headers],0)),0)</f>
        <v>0.1</v>
      </c>
      <c r="O569">
        <f>IFERROR(INDEX(Table35[#All],MATCH(Table1[[#This Row],[Key_Year_Week_Brand]],Table35[[#All],[Key_Year_Month_Brand]],0),MATCH(Table1[[#This Row],[DC_name_Xref]],Table35[#Headers],0)),0)</f>
        <v>317473.2</v>
      </c>
    </row>
    <row r="570" spans="1:15" x14ac:dyDescent="0.3">
      <c r="A570" s="19" t="str">
        <f>Table1[[#This Row],[Year_Week]]&amp;"-"&amp;Table1[[#This Row],[DC_name_Xref]]</f>
        <v>202046-TFC</v>
      </c>
      <c r="B570" s="19" t="str">
        <f>Table1[[#This Row],[Fiscal_Year]]*100+Table1[[#This Row],[Fiscal_Week]] &amp; "-" &amp;Table1[[#This Row],[BRAND]]</f>
        <v>202046-Old Navy</v>
      </c>
      <c r="C570" t="str">
        <f>Table1[[#This Row],[Fiscal_Year]]&amp;"-"&amp;Table1[[#This Row],[BRAND]]</f>
        <v>2020-Old Navy</v>
      </c>
      <c r="D570">
        <v>2020</v>
      </c>
      <c r="E570">
        <v>46</v>
      </c>
      <c r="F570" t="s">
        <v>20</v>
      </c>
      <c r="G570" t="s">
        <v>21</v>
      </c>
      <c r="H570">
        <v>2</v>
      </c>
      <c r="I570">
        <v>586517</v>
      </c>
      <c r="J570" t="str">
        <f>VLOOKUP(H570,DC_Xref!A:B,2,FALSE)</f>
        <v>TFC</v>
      </c>
      <c r="K570">
        <f t="shared" si="8"/>
        <v>202046</v>
      </c>
      <c r="L570">
        <f>IFERROR(Table1[[#This Row],[Demand]]/SUMIFS(Table1[Demand],Table1[Fiscal_Year],Table1[[#This Row],[Fiscal_Year]],Table1[BRAND],Table1[[#This Row],[BRAND]],Table1[DC_name_Xref],Table1[[#This Row],[DC_name_Xref]]),0)</f>
        <v>0.13835532486256866</v>
      </c>
      <c r="M5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0.17006956944341195</v>
      </c>
      <c r="N570" s="3">
        <f>IFERROR(INDEX(Table3[#All],MATCH(Table1[[#This Row],[Key_Year_Week_Brand]],Table3[[#All],[Key_Year_Week_Brand]],0),MATCH(Table1[[#This Row],[DC_name_Xref]],Table3[#Headers],0)),0)</f>
        <v>0.2</v>
      </c>
      <c r="O570">
        <f>IFERROR(INDEX(Table35[#All],MATCH(Table1[[#This Row],[Key_Year_Week_Brand]],Table35[[#All],[Key_Year_Month_Brand]],0),MATCH(Table1[[#This Row],[DC_name_Xref]],Table35[#Headers],0)),0)</f>
        <v>634946.4</v>
      </c>
    </row>
    <row r="571" spans="1:15" x14ac:dyDescent="0.3">
      <c r="A571" s="19" t="str">
        <f>Table1[[#This Row],[Year_Week]]&amp;"-"&amp;Table1[[#This Row],[DC_name_Xref]]</f>
        <v>202046-WFC</v>
      </c>
      <c r="B571" s="19" t="str">
        <f>Table1[[#This Row],[Fiscal_Year]]*100+Table1[[#This Row],[Fiscal_Week]] &amp; "-" &amp;Table1[[#This Row],[BRAND]]</f>
        <v>202046-Old Navy</v>
      </c>
      <c r="C571" t="str">
        <f>Table1[[#This Row],[Fiscal_Year]]&amp;"-"&amp;Table1[[#This Row],[BRAND]]</f>
        <v>2020-Old Navy</v>
      </c>
      <c r="D571">
        <v>2020</v>
      </c>
      <c r="E571">
        <v>46</v>
      </c>
      <c r="F571" t="s">
        <v>20</v>
      </c>
      <c r="G571" t="s">
        <v>7</v>
      </c>
      <c r="H571">
        <v>3</v>
      </c>
      <c r="I571">
        <v>600019</v>
      </c>
      <c r="J571" t="str">
        <f>VLOOKUP(H571,DC_Xref!A:B,2,FALSE)</f>
        <v>WFC</v>
      </c>
      <c r="K571">
        <f t="shared" si="8"/>
        <v>202046</v>
      </c>
      <c r="L571">
        <f>IFERROR(Table1[[#This Row],[Demand]]/SUMIFS(Table1[Demand],Table1[Fiscal_Year],Table1[[#This Row],[Fiscal_Year]],Table1[BRAND],Table1[[#This Row],[BRAND]],Table1[DC_name_Xref],Table1[[#This Row],[DC_name_Xref]]),0)</f>
        <v>0.11935572229906057</v>
      </c>
      <c r="M5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0.20168037660758306</v>
      </c>
      <c r="N571" s="3">
        <f>IFERROR(INDEX(Table3[#All],MATCH(Table1[[#This Row],[Key_Year_Week_Brand]],Table3[[#All],[Key_Year_Week_Brand]],0),MATCH(Table1[[#This Row],[DC_name_Xref]],Table3[#Headers],0)),0)</f>
        <v>0.02</v>
      </c>
      <c r="O571">
        <f>IFERROR(INDEX(Table35[#All],MATCH(Table1[[#This Row],[Key_Year_Week_Brand]],Table35[[#All],[Key_Year_Month_Brand]],0),MATCH(Table1[[#This Row],[DC_name_Xref]],Table35[#Headers],0)),0)</f>
        <v>63494.64</v>
      </c>
    </row>
    <row r="572" spans="1:15" x14ac:dyDescent="0.3">
      <c r="A572" s="19" t="str">
        <f>Table1[[#This Row],[Year_Week]]&amp;"-"&amp;Table1[[#This Row],[DC_name_Xref]]</f>
        <v>202046-EAO</v>
      </c>
      <c r="B572" s="19" t="str">
        <f>Table1[[#This Row],[Fiscal_Year]]*100+Table1[[#This Row],[Fiscal_Week]] &amp; "-" &amp;Table1[[#This Row],[BRAND]]</f>
        <v>202046-Old Navy</v>
      </c>
      <c r="C572" t="str">
        <f>Table1[[#This Row],[Fiscal_Year]]&amp;"-"&amp;Table1[[#This Row],[BRAND]]</f>
        <v>2020-Old Navy</v>
      </c>
      <c r="D572">
        <v>2020</v>
      </c>
      <c r="E572">
        <v>46</v>
      </c>
      <c r="F572" t="s">
        <v>20</v>
      </c>
      <c r="G572" t="s">
        <v>8</v>
      </c>
      <c r="H572">
        <v>4</v>
      </c>
      <c r="I572">
        <v>1027490</v>
      </c>
      <c r="J572" t="str">
        <f>VLOOKUP(H572,DC_Xref!A:B,2,FALSE)</f>
        <v>EAO</v>
      </c>
      <c r="K572">
        <f t="shared" si="8"/>
        <v>202046</v>
      </c>
      <c r="L572">
        <f>IFERROR(Table1[[#This Row],[Demand]]/SUMIFS(Table1[Demand],Table1[Fiscal_Year],Table1[[#This Row],[Fiscal_Year]],Table1[BRAND],Table1[[#This Row],[BRAND]],Table1[DC_name_Xref],Table1[[#This Row],[DC_name_Xref]]),0)</f>
        <v>0.12401231227943849</v>
      </c>
      <c r="M5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0.33239515488790422</v>
      </c>
      <c r="N572" s="3">
        <f>IFERROR(INDEX(Table3[#All],MATCH(Table1[[#This Row],[Key_Year_Week_Brand]],Table3[[#All],[Key_Year_Week_Brand]],0),MATCH(Table1[[#This Row],[DC_name_Xref]],Table3[#Headers],0)),0)</f>
        <v>0.41</v>
      </c>
      <c r="O572">
        <f>IFERROR(INDEX(Table35[#All],MATCH(Table1[[#This Row],[Key_Year_Week_Brand]],Table35[[#All],[Key_Year_Month_Brand]],0),MATCH(Table1[[#This Row],[DC_name_Xref]],Table35[#Headers],0)),0)</f>
        <v>1301640.1199999999</v>
      </c>
    </row>
    <row r="573" spans="1:15" x14ac:dyDescent="0.3">
      <c r="A573" s="19" t="str">
        <f>Table1[[#This Row],[Year_Week]]&amp;"-"&amp;Table1[[#This Row],[DC_name_Xref]]</f>
        <v>202046-FFC-ODC</v>
      </c>
      <c r="B573" s="19" t="str">
        <f>Table1[[#This Row],[Fiscal_Year]]*100+Table1[[#This Row],[Fiscal_Week]] &amp; "-" &amp;Table1[[#This Row],[BRAND]]</f>
        <v>202046-Old Navy</v>
      </c>
      <c r="C573" t="str">
        <f>Table1[[#This Row],[Fiscal_Year]]&amp;"-"&amp;Table1[[#This Row],[BRAND]]</f>
        <v>2020-Old Navy</v>
      </c>
      <c r="D573">
        <v>2020</v>
      </c>
      <c r="E573">
        <v>46</v>
      </c>
      <c r="F573" t="s">
        <v>20</v>
      </c>
      <c r="G573" t="s">
        <v>23</v>
      </c>
      <c r="H573">
        <v>5</v>
      </c>
      <c r="I573">
        <v>0</v>
      </c>
      <c r="J573" t="str">
        <f>VLOOKUP(H573,DC_Xref!A:B,2,FALSE)</f>
        <v>FFC-ODC</v>
      </c>
      <c r="K573">
        <f t="shared" si="8"/>
        <v>202046</v>
      </c>
      <c r="L573">
        <f>IFERROR(Table1[[#This Row],[Demand]]/SUMIFS(Table1[Demand],Table1[Fiscal_Year],Table1[[#This Row],[Fiscal_Year]],Table1[BRAND],Table1[[#This Row],[BRAND]],Table1[DC_name_Xref],Table1[[#This Row],[DC_name_Xref]]),0)</f>
        <v>0</v>
      </c>
      <c r="M5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73" s="3">
        <f>IFERROR(INDEX(Table3[#All],MATCH(Table1[[#This Row],[Key_Year_Week_Brand]],Table3[[#All],[Key_Year_Week_Brand]],0),MATCH(Table1[[#This Row],[DC_name_Xref]],Table3[#Headers],0)),0)</f>
        <v>0</v>
      </c>
      <c r="O573">
        <f>IFERROR(INDEX(Table35[#All],MATCH(Table1[[#This Row],[Key_Year_Week_Brand]],Table35[[#All],[Key_Year_Month_Brand]],0),MATCH(Table1[[#This Row],[DC_name_Xref]],Table35[#Headers],0)),0)</f>
        <v>0</v>
      </c>
    </row>
    <row r="574" spans="1:15" x14ac:dyDescent="0.3">
      <c r="A574" s="19" t="str">
        <f>Table1[[#This Row],[Year_Week]]&amp;"-"&amp;Table1[[#This Row],[DC_name_Xref]]</f>
        <v>202046-WEO</v>
      </c>
      <c r="B574" s="19" t="str">
        <f>Table1[[#This Row],[Fiscal_Year]]*100+Table1[[#This Row],[Fiscal_Week]] &amp; "-" &amp;Table1[[#This Row],[BRAND]]</f>
        <v>202046-Old Navy</v>
      </c>
      <c r="C574" t="str">
        <f>Table1[[#This Row],[Fiscal_Year]]&amp;"-"&amp;Table1[[#This Row],[BRAND]]</f>
        <v>2020-Old Navy</v>
      </c>
      <c r="D574">
        <v>2020</v>
      </c>
      <c r="E574">
        <v>46</v>
      </c>
      <c r="F574" t="s">
        <v>20</v>
      </c>
      <c r="G574" t="s">
        <v>10</v>
      </c>
      <c r="H574">
        <v>6</v>
      </c>
      <c r="I574">
        <v>0</v>
      </c>
      <c r="J574" t="str">
        <f>VLOOKUP(H574,DC_Xref!A:B,2,FALSE)</f>
        <v>WEO</v>
      </c>
      <c r="K574">
        <f t="shared" si="8"/>
        <v>202046</v>
      </c>
      <c r="L574">
        <f>IFERROR(Table1[[#This Row],[Demand]]/SUMIFS(Table1[Demand],Table1[Fiscal_Year],Table1[[#This Row],[Fiscal_Year]],Table1[BRAND],Table1[[#This Row],[BRAND]],Table1[DC_name_Xref],Table1[[#This Row],[DC_name_Xref]]),0)</f>
        <v>0</v>
      </c>
      <c r="M5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74" s="3">
        <f>IFERROR(INDEX(Table3[#All],MATCH(Table1[[#This Row],[Key_Year_Week_Brand]],Table3[[#All],[Key_Year_Week_Brand]],0),MATCH(Table1[[#This Row],[DC_name_Xref]],Table3[#Headers],0)),0)</f>
        <v>0.27</v>
      </c>
      <c r="O574">
        <f>IFERROR(INDEX(Table35[#All],MATCH(Table1[[#This Row],[Key_Year_Week_Brand]],Table35[[#All],[Key_Year_Month_Brand]],0),MATCH(Table1[[#This Row],[DC_name_Xref]],Table35[#Headers],0)),0)</f>
        <v>857177.64</v>
      </c>
    </row>
    <row r="575" spans="1:15" x14ac:dyDescent="0.3">
      <c r="A575" s="19" t="str">
        <f>Table1[[#This Row],[Year_Week]]&amp;"-"&amp;Table1[[#This Row],[DC_name_Xref]]</f>
        <v>202046-OCC</v>
      </c>
      <c r="B575" s="19" t="str">
        <f>Table1[[#This Row],[Fiscal_Year]]*100+Table1[[#This Row],[Fiscal_Week]] &amp; "-" &amp;Table1[[#This Row],[BRAND]]</f>
        <v>202046-Old Navy</v>
      </c>
      <c r="C575" t="str">
        <f>Table1[[#This Row],[Fiscal_Year]]&amp;"-"&amp;Table1[[#This Row],[BRAND]]</f>
        <v>2020-Old Navy</v>
      </c>
      <c r="D575">
        <v>2020</v>
      </c>
      <c r="E575">
        <v>46</v>
      </c>
      <c r="F575" t="s">
        <v>20</v>
      </c>
      <c r="G575" t="s">
        <v>11</v>
      </c>
      <c r="H575">
        <v>7</v>
      </c>
      <c r="I575">
        <v>0</v>
      </c>
      <c r="J575" t="str">
        <f>VLOOKUP(H575,DC_Xref!A:B,2,FALSE)</f>
        <v>OCC</v>
      </c>
      <c r="K575">
        <f t="shared" si="8"/>
        <v>202046</v>
      </c>
      <c r="L575">
        <f>IFERROR(Table1[[#This Row],[Demand]]/SUMIFS(Table1[Demand],Table1[Fiscal_Year],Table1[[#This Row],[Fiscal_Year]],Table1[BRAND],Table1[[#This Row],[BRAND]],Table1[DC_name_Xref],Table1[[#This Row],[DC_name_Xref]]),0)</f>
        <v>0</v>
      </c>
      <c r="M5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75" s="3">
        <f>IFERROR(INDEX(Table3[#All],MATCH(Table1[[#This Row],[Key_Year_Week_Brand]],Table3[[#All],[Key_Year_Week_Brand]],0),MATCH(Table1[[#This Row],[DC_name_Xref]],Table3[#Headers],0)),0)</f>
        <v>0</v>
      </c>
      <c r="O575">
        <f>IFERROR(INDEX(Table35[#All],MATCH(Table1[[#This Row],[Key_Year_Week_Brand]],Table35[[#All],[Key_Year_Month_Brand]],0),MATCH(Table1[[#This Row],[DC_name_Xref]],Table35[#Headers],0)),0)</f>
        <v>0</v>
      </c>
    </row>
    <row r="576" spans="1:15" x14ac:dyDescent="0.3">
      <c r="A576" s="19" t="str">
        <f>Table1[[#This Row],[Year_Week]]&amp;"-"&amp;Table1[[#This Row],[DC_name_Xref]]</f>
        <v>202046-OFC</v>
      </c>
      <c r="B576" s="19" t="str">
        <f>Table1[[#This Row],[Fiscal_Year]]*100+Table1[[#This Row],[Fiscal_Week]] &amp; "-" &amp;Table1[[#This Row],[BRAND]]</f>
        <v>202046-Athleta</v>
      </c>
      <c r="C576" t="str">
        <f>Table1[[#This Row],[Fiscal_Year]]&amp;"-"&amp;Table1[[#This Row],[BRAND]]</f>
        <v>2020-Athleta</v>
      </c>
      <c r="D576">
        <v>2020</v>
      </c>
      <c r="E576">
        <v>46</v>
      </c>
      <c r="F576" t="s">
        <v>19</v>
      </c>
      <c r="G576" t="s">
        <v>5</v>
      </c>
      <c r="H576">
        <v>1</v>
      </c>
      <c r="I576">
        <v>30267</v>
      </c>
      <c r="J576" t="str">
        <f>VLOOKUP(H576,DC_Xref!A:B,2,FALSE)</f>
        <v>OFC</v>
      </c>
      <c r="K576">
        <f t="shared" si="8"/>
        <v>202046</v>
      </c>
      <c r="L576">
        <f>IFERROR(Table1[[#This Row],[Demand]]/SUMIFS(Table1[Demand],Table1[Fiscal_Year],Table1[[#This Row],[Fiscal_Year]],Table1[BRAND],Table1[[#This Row],[BRAND]],Table1[DC_name_Xref],Table1[[#This Row],[DC_name_Xref]]),0)</f>
        <v>0.17540799295284901</v>
      </c>
      <c r="M5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0.10136844343818036</v>
      </c>
      <c r="N576" s="3">
        <f>IFERROR(INDEX(Table3[#All],MATCH(Table1[[#This Row],[Key_Year_Week_Brand]],Table3[[#All],[Key_Year_Week_Brand]],0),MATCH(Table1[[#This Row],[DC_name_Xref]],Table3[#Headers],0)),0)</f>
        <v>0</v>
      </c>
      <c r="O576">
        <f>IFERROR(INDEX(Table35[#All],MATCH(Table1[[#This Row],[Key_Year_Week_Brand]],Table35[[#All],[Key_Year_Month_Brand]],0),MATCH(Table1[[#This Row],[DC_name_Xref]],Table35[#Headers],0)),0)</f>
        <v>0</v>
      </c>
    </row>
    <row r="577" spans="1:15" x14ac:dyDescent="0.3">
      <c r="A577" s="19" t="str">
        <f>Table1[[#This Row],[Year_Week]]&amp;"-"&amp;Table1[[#This Row],[DC_name_Xref]]</f>
        <v>202046-TFC</v>
      </c>
      <c r="B577" s="19" t="str">
        <f>Table1[[#This Row],[Fiscal_Year]]*100+Table1[[#This Row],[Fiscal_Week]] &amp; "-" &amp;Table1[[#This Row],[BRAND]]</f>
        <v>202046-Athleta</v>
      </c>
      <c r="C577" t="str">
        <f>Table1[[#This Row],[Fiscal_Year]]&amp;"-"&amp;Table1[[#This Row],[BRAND]]</f>
        <v>2020-Athleta</v>
      </c>
      <c r="D577">
        <v>2020</v>
      </c>
      <c r="E577">
        <v>46</v>
      </c>
      <c r="F577" t="s">
        <v>19</v>
      </c>
      <c r="G577" t="s">
        <v>21</v>
      </c>
      <c r="H577">
        <v>2</v>
      </c>
      <c r="I577">
        <v>233347</v>
      </c>
      <c r="J577" t="str">
        <f>VLOOKUP(H577,DC_Xref!A:B,2,FALSE)</f>
        <v>TFC</v>
      </c>
      <c r="K577">
        <f t="shared" si="8"/>
        <v>202046</v>
      </c>
      <c r="L577">
        <f>IFERROR(Table1[[#This Row],[Demand]]/SUMIFS(Table1[Demand],Table1[Fiscal_Year],Table1[[#This Row],[Fiscal_Year]],Table1[BRAND],Table1[[#This Row],[BRAND]],Table1[DC_name_Xref],Table1[[#This Row],[DC_name_Xref]]),0)</f>
        <v>0.15255286627868209</v>
      </c>
      <c r="M5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0.89859630859827078</v>
      </c>
      <c r="N577" s="3">
        <f>IFERROR(INDEX(Table3[#All],MATCH(Table1[[#This Row],[Key_Year_Week_Brand]],Table3[[#All],[Key_Year_Week_Brand]],0),MATCH(Table1[[#This Row],[DC_name_Xref]],Table3[#Headers],0)),0)</f>
        <v>1</v>
      </c>
      <c r="O577">
        <f>IFERROR(INDEX(Table35[#All],MATCH(Table1[[#This Row],[Key_Year_Week_Brand]],Table35[[#All],[Key_Year_Month_Brand]],0),MATCH(Table1[[#This Row],[DC_name_Xref]],Table35[#Headers],0)),0)</f>
        <v>263616</v>
      </c>
    </row>
    <row r="578" spans="1:15" x14ac:dyDescent="0.3">
      <c r="A578" s="19" t="str">
        <f>Table1[[#This Row],[Year_Week]]&amp;"-"&amp;Table1[[#This Row],[DC_name_Xref]]</f>
        <v>202046-WFC</v>
      </c>
      <c r="B578" s="19" t="str">
        <f>Table1[[#This Row],[Fiscal_Year]]*100+Table1[[#This Row],[Fiscal_Week]] &amp; "-" &amp;Table1[[#This Row],[BRAND]]</f>
        <v>202046-Athleta</v>
      </c>
      <c r="C578" t="str">
        <f>Table1[[#This Row],[Fiscal_Year]]&amp;"-"&amp;Table1[[#This Row],[BRAND]]</f>
        <v>2020-Athleta</v>
      </c>
      <c r="D578">
        <v>2020</v>
      </c>
      <c r="E578">
        <v>46</v>
      </c>
      <c r="F578" t="s">
        <v>19</v>
      </c>
      <c r="G578" t="s">
        <v>7</v>
      </c>
      <c r="H578">
        <v>3</v>
      </c>
      <c r="I578">
        <v>0</v>
      </c>
      <c r="J578" t="str">
        <f>VLOOKUP(H578,DC_Xref!A:B,2,FALSE)</f>
        <v>WFC</v>
      </c>
      <c r="K578">
        <f t="shared" ref="K578:K641" si="9">D578*100+E578</f>
        <v>202046</v>
      </c>
      <c r="L578">
        <f>IFERROR(Table1[[#This Row],[Demand]]/SUMIFS(Table1[Demand],Table1[Fiscal_Year],Table1[[#This Row],[Fiscal_Year]],Table1[BRAND],Table1[[#This Row],[BRAND]],Table1[DC_name_Xref],Table1[[#This Row],[DC_name_Xref]]),0)</f>
        <v>0</v>
      </c>
      <c r="M5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78" s="3">
        <f>IFERROR(INDEX(Table3[#All],MATCH(Table1[[#This Row],[Key_Year_Week_Brand]],Table3[[#All],[Key_Year_Week_Brand]],0),MATCH(Table1[[#This Row],[DC_name_Xref]],Table3[#Headers],0)),0)</f>
        <v>0</v>
      </c>
      <c r="O578">
        <f>IFERROR(INDEX(Table35[#All],MATCH(Table1[[#This Row],[Key_Year_Week_Brand]],Table35[[#All],[Key_Year_Month_Brand]],0),MATCH(Table1[[#This Row],[DC_name_Xref]],Table35[#Headers],0)),0)</f>
        <v>0</v>
      </c>
    </row>
    <row r="579" spans="1:15" x14ac:dyDescent="0.3">
      <c r="A579" s="19" t="str">
        <f>Table1[[#This Row],[Year_Week]]&amp;"-"&amp;Table1[[#This Row],[DC_name_Xref]]</f>
        <v>202046-EAO</v>
      </c>
      <c r="B579" s="19" t="str">
        <f>Table1[[#This Row],[Fiscal_Year]]*100+Table1[[#This Row],[Fiscal_Week]] &amp; "-" &amp;Table1[[#This Row],[BRAND]]</f>
        <v>202046-Athleta</v>
      </c>
      <c r="C579" t="str">
        <f>Table1[[#This Row],[Fiscal_Year]]&amp;"-"&amp;Table1[[#This Row],[BRAND]]</f>
        <v>2020-Athleta</v>
      </c>
      <c r="D579">
        <v>2020</v>
      </c>
      <c r="E579">
        <v>46</v>
      </c>
      <c r="F579" t="s">
        <v>19</v>
      </c>
      <c r="G579" t="s">
        <v>8</v>
      </c>
      <c r="H579">
        <v>4</v>
      </c>
      <c r="I579">
        <v>2</v>
      </c>
      <c r="J579" t="str">
        <f>VLOOKUP(H579,DC_Xref!A:B,2,FALSE)</f>
        <v>EAO</v>
      </c>
      <c r="K579">
        <f t="shared" si="9"/>
        <v>202046</v>
      </c>
      <c r="L579">
        <f>IFERROR(Table1[[#This Row],[Demand]]/SUMIFS(Table1[Demand],Table1[Fiscal_Year],Table1[[#This Row],[Fiscal_Year]],Table1[BRAND],Table1[[#This Row],[BRAND]],Table1[DC_name_Xref],Table1[[#This Row],[DC_name_Xref]]),0)</f>
        <v>3.3333333333333333E-2</v>
      </c>
      <c r="M5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3.5247963548905963E-5</v>
      </c>
      <c r="N579" s="3">
        <f>IFERROR(INDEX(Table3[#All],MATCH(Table1[[#This Row],[Key_Year_Week_Brand]],Table3[[#All],[Key_Year_Week_Brand]],0),MATCH(Table1[[#This Row],[DC_name_Xref]],Table3[#Headers],0)),0)</f>
        <v>3.447122356821831E-5</v>
      </c>
      <c r="O579">
        <f>IFERROR(INDEX(Table35[#All],MATCH(Table1[[#This Row],[Key_Year_Week_Brand]],Table35[[#All],[Key_Year_Month_Brand]],0),MATCH(Table1[[#This Row],[DC_name_Xref]],Table35[#Headers],0)),0)</f>
        <v>9.0871660721594374</v>
      </c>
    </row>
    <row r="580" spans="1:15" x14ac:dyDescent="0.3">
      <c r="A580" s="19" t="str">
        <f>Table1[[#This Row],[Year_Week]]&amp;"-"&amp;Table1[[#This Row],[DC_name_Xref]]</f>
        <v>202046-FFC-ODC</v>
      </c>
      <c r="B580" s="19" t="str">
        <f>Table1[[#This Row],[Fiscal_Year]]*100+Table1[[#This Row],[Fiscal_Week]] &amp; "-" &amp;Table1[[#This Row],[BRAND]]</f>
        <v>202046-Athleta</v>
      </c>
      <c r="C580" t="str">
        <f>Table1[[#This Row],[Fiscal_Year]]&amp;"-"&amp;Table1[[#This Row],[BRAND]]</f>
        <v>2020-Athleta</v>
      </c>
      <c r="D580">
        <v>2020</v>
      </c>
      <c r="E580">
        <v>46</v>
      </c>
      <c r="F580" t="s">
        <v>19</v>
      </c>
      <c r="G580" t="s">
        <v>23</v>
      </c>
      <c r="H580">
        <v>5</v>
      </c>
      <c r="I580">
        <v>0</v>
      </c>
      <c r="J580" t="str">
        <f>VLOOKUP(H580,DC_Xref!A:B,2,FALSE)</f>
        <v>FFC-ODC</v>
      </c>
      <c r="K580">
        <f t="shared" si="9"/>
        <v>202046</v>
      </c>
      <c r="L580">
        <f>IFERROR(Table1[[#This Row],[Demand]]/SUMIFS(Table1[Demand],Table1[Fiscal_Year],Table1[[#This Row],[Fiscal_Year]],Table1[BRAND],Table1[[#This Row],[BRAND]],Table1[DC_name_Xref],Table1[[#This Row],[DC_name_Xref]]),0)</f>
        <v>0</v>
      </c>
      <c r="M5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80" s="3">
        <f>IFERROR(INDEX(Table3[#All],MATCH(Table1[[#This Row],[Key_Year_Week_Brand]],Table3[[#All],[Key_Year_Week_Brand]],0),MATCH(Table1[[#This Row],[DC_name_Xref]],Table3[#Headers],0)),0)</f>
        <v>0</v>
      </c>
      <c r="O580">
        <f>IFERROR(INDEX(Table35[#All],MATCH(Table1[[#This Row],[Key_Year_Week_Brand]],Table35[[#All],[Key_Year_Month_Brand]],0),MATCH(Table1[[#This Row],[DC_name_Xref]],Table35[#Headers],0)),0)</f>
        <v>0</v>
      </c>
    </row>
    <row r="581" spans="1:15" x14ac:dyDescent="0.3">
      <c r="A581" s="19" t="str">
        <f>Table1[[#This Row],[Year_Week]]&amp;"-"&amp;Table1[[#This Row],[DC_name_Xref]]</f>
        <v>202046-WEO</v>
      </c>
      <c r="B581" s="19" t="str">
        <f>Table1[[#This Row],[Fiscal_Year]]*100+Table1[[#This Row],[Fiscal_Week]] &amp; "-" &amp;Table1[[#This Row],[BRAND]]</f>
        <v>202046-Athleta</v>
      </c>
      <c r="C581" t="str">
        <f>Table1[[#This Row],[Fiscal_Year]]&amp;"-"&amp;Table1[[#This Row],[BRAND]]</f>
        <v>2020-Athleta</v>
      </c>
      <c r="D581">
        <v>2020</v>
      </c>
      <c r="E581">
        <v>46</v>
      </c>
      <c r="F581" t="s">
        <v>19</v>
      </c>
      <c r="G581" t="s">
        <v>10</v>
      </c>
      <c r="H581">
        <v>6</v>
      </c>
      <c r="I581">
        <v>0</v>
      </c>
      <c r="J581" t="str">
        <f>VLOOKUP(H581,DC_Xref!A:B,2,FALSE)</f>
        <v>WEO</v>
      </c>
      <c r="K581">
        <f t="shared" si="9"/>
        <v>202046</v>
      </c>
      <c r="L581">
        <f>IFERROR(Table1[[#This Row],[Demand]]/SUMIFS(Table1[Demand],Table1[Fiscal_Year],Table1[[#This Row],[Fiscal_Year]],Table1[BRAND],Table1[[#This Row],[BRAND]],Table1[DC_name_Xref],Table1[[#This Row],[DC_name_Xref]]),0)</f>
        <v>0</v>
      </c>
      <c r="M5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81" s="3">
        <f>IFERROR(INDEX(Table3[#All],MATCH(Table1[[#This Row],[Key_Year_Week_Brand]],Table3[[#All],[Key_Year_Week_Brand]],0),MATCH(Table1[[#This Row],[DC_name_Xref]],Table3[#Headers],0)),0)</f>
        <v>0</v>
      </c>
      <c r="O581">
        <f>IFERROR(INDEX(Table35[#All],MATCH(Table1[[#This Row],[Key_Year_Week_Brand]],Table35[[#All],[Key_Year_Month_Brand]],0),MATCH(Table1[[#This Row],[DC_name_Xref]],Table35[#Headers],0)),0)</f>
        <v>0</v>
      </c>
    </row>
    <row r="582" spans="1:15" x14ac:dyDescent="0.3">
      <c r="A582" s="19" t="str">
        <f>Table1[[#This Row],[Year_Week]]&amp;"-"&amp;Table1[[#This Row],[DC_name_Xref]]</f>
        <v>202046-OCC</v>
      </c>
      <c r="B582" s="19" t="str">
        <f>Table1[[#This Row],[Fiscal_Year]]*100+Table1[[#This Row],[Fiscal_Week]] &amp; "-" &amp;Table1[[#This Row],[BRAND]]</f>
        <v>202046-Athleta</v>
      </c>
      <c r="C582" t="str">
        <f>Table1[[#This Row],[Fiscal_Year]]&amp;"-"&amp;Table1[[#This Row],[BRAND]]</f>
        <v>2020-Athleta</v>
      </c>
      <c r="D582">
        <v>2020</v>
      </c>
      <c r="E582">
        <v>46</v>
      </c>
      <c r="F582" t="s">
        <v>19</v>
      </c>
      <c r="G582" t="s">
        <v>11</v>
      </c>
      <c r="H582">
        <v>7</v>
      </c>
      <c r="I582">
        <v>0</v>
      </c>
      <c r="J582" t="str">
        <f>VLOOKUP(H582,DC_Xref!A:B,2,FALSE)</f>
        <v>OCC</v>
      </c>
      <c r="K582">
        <f t="shared" si="9"/>
        <v>202046</v>
      </c>
      <c r="L582">
        <f>IFERROR(Table1[[#This Row],[Demand]]/SUMIFS(Table1[Demand],Table1[Fiscal_Year],Table1[[#This Row],[Fiscal_Year]],Table1[BRAND],Table1[[#This Row],[BRAND]],Table1[DC_name_Xref],Table1[[#This Row],[DC_name_Xref]]),0)</f>
        <v>0</v>
      </c>
      <c r="M5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82" s="3">
        <f>IFERROR(INDEX(Table3[#All],MATCH(Table1[[#This Row],[Key_Year_Week_Brand]],Table3[[#All],[Key_Year_Week_Brand]],0),MATCH(Table1[[#This Row],[DC_name_Xref]],Table3[#Headers],0)),0)</f>
        <v>0</v>
      </c>
      <c r="O582">
        <f>IFERROR(INDEX(Table35[#All],MATCH(Table1[[#This Row],[Key_Year_Week_Brand]],Table35[[#All],[Key_Year_Month_Brand]],0),MATCH(Table1[[#This Row],[DC_name_Xref]],Table35[#Headers],0)),0)</f>
        <v>0</v>
      </c>
    </row>
    <row r="583" spans="1:15" x14ac:dyDescent="0.3">
      <c r="A583" s="19" t="str">
        <f>Table1[[#This Row],[Year_Week]]&amp;"-"&amp;Table1[[#This Row],[DC_name_Xref]]</f>
        <v>202046-OFC</v>
      </c>
      <c r="B583" s="19" t="str">
        <f>Table1[[#This Row],[Fiscal_Year]]*100+Table1[[#This Row],[Fiscal_Week]] &amp; "-" &amp;Table1[[#This Row],[BRAND]]</f>
        <v>202046-Gap</v>
      </c>
      <c r="C583" t="str">
        <f>Table1[[#This Row],[Fiscal_Year]]&amp;"-"&amp;Table1[[#This Row],[BRAND]]</f>
        <v>2020-Gap</v>
      </c>
      <c r="D583">
        <v>2020</v>
      </c>
      <c r="E583">
        <v>46</v>
      </c>
      <c r="F583" t="s">
        <v>16</v>
      </c>
      <c r="G583" t="s">
        <v>5</v>
      </c>
      <c r="H583">
        <v>1</v>
      </c>
      <c r="I583">
        <v>892162</v>
      </c>
      <c r="J583" t="str">
        <f>VLOOKUP(H583,DC_Xref!A:B,2,FALSE)</f>
        <v>OFC</v>
      </c>
      <c r="K583">
        <f t="shared" si="9"/>
        <v>202046</v>
      </c>
      <c r="L583">
        <f>IFERROR(Table1[[#This Row],[Demand]]/SUMIFS(Table1[Demand],Table1[Fiscal_Year],Table1[[#This Row],[Fiscal_Year]],Table1[BRAND],Table1[[#This Row],[BRAND]],Table1[DC_name_Xref],Table1[[#This Row],[DC_name_Xref]]),0)</f>
        <v>0.11361423129159873</v>
      </c>
      <c r="M5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0.66900241512227088</v>
      </c>
      <c r="N583" s="3">
        <f>IFERROR(INDEX(Table3[#All],MATCH(Table1[[#This Row],[Key_Year_Week_Brand]],Table3[[#All],[Key_Year_Week_Brand]],0),MATCH(Table1[[#This Row],[DC_name_Xref]],Table3[#Headers],0)),0)</f>
        <v>0.25</v>
      </c>
      <c r="O583">
        <f>IFERROR(INDEX(Table35[#All],MATCH(Table1[[#This Row],[Key_Year_Week_Brand]],Table35[[#All],[Key_Year_Month_Brand]],0),MATCH(Table1[[#This Row],[DC_name_Xref]],Table35[#Headers],0)),0)</f>
        <v>301194.5</v>
      </c>
    </row>
    <row r="584" spans="1:15" x14ac:dyDescent="0.3">
      <c r="A584" s="19" t="str">
        <f>Table1[[#This Row],[Year_Week]]&amp;"-"&amp;Table1[[#This Row],[DC_name_Xref]]</f>
        <v>202046-TFC</v>
      </c>
      <c r="B584" s="19" t="str">
        <f>Table1[[#This Row],[Fiscal_Year]]*100+Table1[[#This Row],[Fiscal_Week]] &amp; "-" &amp;Table1[[#This Row],[BRAND]]</f>
        <v>202046-Gap</v>
      </c>
      <c r="C584" t="str">
        <f>Table1[[#This Row],[Fiscal_Year]]&amp;"-"&amp;Table1[[#This Row],[BRAND]]</f>
        <v>2020-Gap</v>
      </c>
      <c r="D584">
        <v>2020</v>
      </c>
      <c r="E584">
        <v>46</v>
      </c>
      <c r="F584" t="s">
        <v>16</v>
      </c>
      <c r="G584" t="s">
        <v>21</v>
      </c>
      <c r="H584">
        <v>2</v>
      </c>
      <c r="I584">
        <v>255</v>
      </c>
      <c r="J584" t="str">
        <f>VLOOKUP(H584,DC_Xref!A:B,2,FALSE)</f>
        <v>TFC</v>
      </c>
      <c r="K584">
        <f t="shared" si="9"/>
        <v>202046</v>
      </c>
      <c r="L584">
        <f>IFERROR(Table1[[#This Row],[Demand]]/SUMIFS(Table1[Demand],Table1[Fiscal_Year],Table1[[#This Row],[Fiscal_Year]],Table1[BRAND],Table1[[#This Row],[BRAND]],Table1[DC_name_Xref],Table1[[#This Row],[DC_name_Xref]]),0)</f>
        <v>0.18046709129511676</v>
      </c>
      <c r="M5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1.2038125330771561E-4</v>
      </c>
      <c r="N584" s="3">
        <f>IFERROR(INDEX(Table3[#All],MATCH(Table1[[#This Row],[Key_Year_Week_Brand]],Table3[[#All],[Key_Year_Week_Brand]],0),MATCH(Table1[[#This Row],[DC_name_Xref]],Table3[#Headers],0)),0)</f>
        <v>0.2</v>
      </c>
      <c r="O584">
        <f>IFERROR(INDEX(Table35[#All],MATCH(Table1[[#This Row],[Key_Year_Week_Brand]],Table35[[#All],[Key_Year_Month_Brand]],0),MATCH(Table1[[#This Row],[DC_name_Xref]],Table35[#Headers],0)),0)</f>
        <v>240955.6</v>
      </c>
    </row>
    <row r="585" spans="1:15" x14ac:dyDescent="0.3">
      <c r="A585" s="19" t="str">
        <f>Table1[[#This Row],[Year_Week]]&amp;"-"&amp;Table1[[#This Row],[DC_name_Xref]]</f>
        <v>202046-WFC</v>
      </c>
      <c r="B585" s="19" t="str">
        <f>Table1[[#This Row],[Fiscal_Year]]*100+Table1[[#This Row],[Fiscal_Week]] &amp; "-" &amp;Table1[[#This Row],[BRAND]]</f>
        <v>202046-Gap</v>
      </c>
      <c r="C585" t="str">
        <f>Table1[[#This Row],[Fiscal_Year]]&amp;"-"&amp;Table1[[#This Row],[BRAND]]</f>
        <v>2020-Gap</v>
      </c>
      <c r="D585">
        <v>2020</v>
      </c>
      <c r="E585">
        <v>46</v>
      </c>
      <c r="F585" t="s">
        <v>16</v>
      </c>
      <c r="G585" t="s">
        <v>7</v>
      </c>
      <c r="H585">
        <v>3</v>
      </c>
      <c r="I585">
        <v>17955</v>
      </c>
      <c r="J585" t="str">
        <f>VLOOKUP(H585,DC_Xref!A:B,2,FALSE)</f>
        <v>WFC</v>
      </c>
      <c r="K585">
        <f t="shared" si="9"/>
        <v>202046</v>
      </c>
      <c r="L585">
        <f>IFERROR(Table1[[#This Row],[Demand]]/SUMIFS(Table1[Demand],Table1[Fiscal_Year],Table1[[#This Row],[Fiscal_Year]],Table1[BRAND],Table1[[#This Row],[BRAND]],Table1[DC_name_Xref],Table1[[#This Row],[DC_name_Xref]]),0)</f>
        <v>6.4218345952867198E-2</v>
      </c>
      <c r="M5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2.3820067767915166E-2</v>
      </c>
      <c r="N585" s="3">
        <f>IFERROR(INDEX(Table3[#All],MATCH(Table1[[#This Row],[Key_Year_Week_Brand]],Table3[[#All],[Key_Year_Week_Brand]],0),MATCH(Table1[[#This Row],[DC_name_Xref]],Table3[#Headers],0)),0)</f>
        <v>0.15</v>
      </c>
      <c r="O585">
        <f>IFERROR(INDEX(Table35[#All],MATCH(Table1[[#This Row],[Key_Year_Week_Brand]],Table35[[#All],[Key_Year_Month_Brand]],0),MATCH(Table1[[#This Row],[DC_name_Xref]],Table35[#Headers],0)),0)</f>
        <v>180716.69999999998</v>
      </c>
    </row>
    <row r="586" spans="1:15" x14ac:dyDescent="0.3">
      <c r="A586" s="19" t="str">
        <f>Table1[[#This Row],[Year_Week]]&amp;"-"&amp;Table1[[#This Row],[DC_name_Xref]]</f>
        <v>202046-EAO</v>
      </c>
      <c r="B586" s="19" t="str">
        <f>Table1[[#This Row],[Fiscal_Year]]*100+Table1[[#This Row],[Fiscal_Week]] &amp; "-" &amp;Table1[[#This Row],[BRAND]]</f>
        <v>202046-Gap</v>
      </c>
      <c r="C586" t="str">
        <f>Table1[[#This Row],[Fiscal_Year]]&amp;"-"&amp;Table1[[#This Row],[BRAND]]</f>
        <v>2020-Gap</v>
      </c>
      <c r="D586">
        <v>2020</v>
      </c>
      <c r="E586">
        <v>46</v>
      </c>
      <c r="F586" t="s">
        <v>16</v>
      </c>
      <c r="G586" t="s">
        <v>8</v>
      </c>
      <c r="H586">
        <v>4</v>
      </c>
      <c r="I586">
        <v>152</v>
      </c>
      <c r="J586" t="str">
        <f>VLOOKUP(H586,DC_Xref!A:B,2,FALSE)</f>
        <v>EAO</v>
      </c>
      <c r="K586">
        <f t="shared" si="9"/>
        <v>202046</v>
      </c>
      <c r="L586">
        <f>IFERROR(Table1[[#This Row],[Demand]]/SUMIFS(Table1[Demand],Table1[Fiscal_Year],Table1[[#This Row],[Fiscal_Year]],Table1[BRAND],Table1[[#This Row],[BRAND]],Table1[DC_name_Xref],Table1[[#This Row],[DC_name_Xref]]),0)</f>
        <v>0.10780141843971631</v>
      </c>
      <c r="M5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1.2012566678264615E-4</v>
      </c>
      <c r="N586" s="3">
        <f>IFERROR(INDEX(Table3[#All],MATCH(Table1[[#This Row],[Key_Year_Week_Brand]],Table3[[#All],[Key_Year_Week_Brand]],0),MATCH(Table1[[#This Row],[DC_name_Xref]],Table3[#Headers],0)),0)</f>
        <v>0</v>
      </c>
      <c r="O586">
        <f>IFERROR(INDEX(Table35[#All],MATCH(Table1[[#This Row],[Key_Year_Week_Brand]],Table35[[#All],[Key_Year_Month_Brand]],0),MATCH(Table1[[#This Row],[DC_name_Xref]],Table35[#Headers],0)),0)</f>
        <v>0</v>
      </c>
    </row>
    <row r="587" spans="1:15" x14ac:dyDescent="0.3">
      <c r="A587" s="19" t="str">
        <f>Table1[[#This Row],[Year_Week]]&amp;"-"&amp;Table1[[#This Row],[DC_name_Xref]]</f>
        <v>202046-FFC-ODC</v>
      </c>
      <c r="B587" s="19" t="str">
        <f>Table1[[#This Row],[Fiscal_Year]]*100+Table1[[#This Row],[Fiscal_Week]] &amp; "-" &amp;Table1[[#This Row],[BRAND]]</f>
        <v>202046-Gap</v>
      </c>
      <c r="C587" t="str">
        <f>Table1[[#This Row],[Fiscal_Year]]&amp;"-"&amp;Table1[[#This Row],[BRAND]]</f>
        <v>2020-Gap</v>
      </c>
      <c r="D587">
        <v>2020</v>
      </c>
      <c r="E587">
        <v>46</v>
      </c>
      <c r="F587" t="s">
        <v>16</v>
      </c>
      <c r="G587" t="s">
        <v>23</v>
      </c>
      <c r="H587">
        <v>5</v>
      </c>
      <c r="I587">
        <v>0</v>
      </c>
      <c r="J587" t="str">
        <f>VLOOKUP(H587,DC_Xref!A:B,2,FALSE)</f>
        <v>FFC-ODC</v>
      </c>
      <c r="K587">
        <f t="shared" si="9"/>
        <v>202046</v>
      </c>
      <c r="L587">
        <f>IFERROR(Table1[[#This Row],[Demand]]/SUMIFS(Table1[Demand],Table1[Fiscal_Year],Table1[[#This Row],[Fiscal_Year]],Table1[BRAND],Table1[[#This Row],[BRAND]],Table1[DC_name_Xref],Table1[[#This Row],[DC_name_Xref]]),0)</f>
        <v>0</v>
      </c>
      <c r="M5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87" s="3">
        <f>IFERROR(INDEX(Table3[#All],MATCH(Table1[[#This Row],[Key_Year_Week_Brand]],Table3[[#All],[Key_Year_Week_Brand]],0),MATCH(Table1[[#This Row],[DC_name_Xref]],Table3[#Headers],0)),0)</f>
        <v>0</v>
      </c>
      <c r="O587">
        <f>IFERROR(INDEX(Table35[#All],MATCH(Table1[[#This Row],[Key_Year_Week_Brand]],Table35[[#All],[Key_Year_Month_Brand]],0),MATCH(Table1[[#This Row],[DC_name_Xref]],Table35[#Headers],0)),0)</f>
        <v>0</v>
      </c>
    </row>
    <row r="588" spans="1:15" x14ac:dyDescent="0.3">
      <c r="A588" s="19" t="str">
        <f>Table1[[#This Row],[Year_Week]]&amp;"-"&amp;Table1[[#This Row],[DC_name_Xref]]</f>
        <v>202046-WEO</v>
      </c>
      <c r="B588" s="19" t="str">
        <f>Table1[[#This Row],[Fiscal_Year]]*100+Table1[[#This Row],[Fiscal_Week]] &amp; "-" &amp;Table1[[#This Row],[BRAND]]</f>
        <v>202046-Gap</v>
      </c>
      <c r="C588" t="str">
        <f>Table1[[#This Row],[Fiscal_Year]]&amp;"-"&amp;Table1[[#This Row],[BRAND]]</f>
        <v>2020-Gap</v>
      </c>
      <c r="D588">
        <v>2020</v>
      </c>
      <c r="E588">
        <v>46</v>
      </c>
      <c r="F588" t="s">
        <v>16</v>
      </c>
      <c r="G588" t="s">
        <v>10</v>
      </c>
      <c r="H588">
        <v>6</v>
      </c>
      <c r="I588">
        <v>294254</v>
      </c>
      <c r="J588" t="str">
        <f>VLOOKUP(H588,DC_Xref!A:B,2,FALSE)</f>
        <v>WEO</v>
      </c>
      <c r="K588">
        <f t="shared" si="9"/>
        <v>202046</v>
      </c>
      <c r="L588">
        <f>IFERROR(Table1[[#This Row],[Demand]]/SUMIFS(Table1[Demand],Table1[Fiscal_Year],Table1[[#This Row],[Fiscal_Year]],Table1[BRAND],Table1[[#This Row],[BRAND]],Table1[DC_name_Xref],Table1[[#This Row],[DC_name_Xref]]),0)</f>
        <v>8.1675126438593773E-2</v>
      </c>
      <c r="M5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0.30693701018972358</v>
      </c>
      <c r="N588" s="3">
        <f>IFERROR(INDEX(Table3[#All],MATCH(Table1[[#This Row],[Key_Year_Week_Brand]],Table3[[#All],[Key_Year_Week_Brand]],0),MATCH(Table1[[#This Row],[DC_name_Xref]],Table3[#Headers],0)),0)</f>
        <v>0.4</v>
      </c>
      <c r="O588">
        <f>IFERROR(INDEX(Table35[#All],MATCH(Table1[[#This Row],[Key_Year_Week_Brand]],Table35[[#All],[Key_Year_Month_Brand]],0),MATCH(Table1[[#This Row],[DC_name_Xref]],Table35[#Headers],0)),0)</f>
        <v>481911.2</v>
      </c>
    </row>
    <row r="589" spans="1:15" x14ac:dyDescent="0.3">
      <c r="A589" s="19" t="str">
        <f>Table1[[#This Row],[Year_Week]]&amp;"-"&amp;Table1[[#This Row],[DC_name_Xref]]</f>
        <v>202046-OCC</v>
      </c>
      <c r="B589" s="19" t="str">
        <f>Table1[[#This Row],[Fiscal_Year]]*100+Table1[[#This Row],[Fiscal_Week]] &amp; "-" &amp;Table1[[#This Row],[BRAND]]</f>
        <v>202046-Gap</v>
      </c>
      <c r="C589" t="str">
        <f>Table1[[#This Row],[Fiscal_Year]]&amp;"-"&amp;Table1[[#This Row],[BRAND]]</f>
        <v>2020-Gap</v>
      </c>
      <c r="D589">
        <v>2020</v>
      </c>
      <c r="E589">
        <v>46</v>
      </c>
      <c r="F589" t="s">
        <v>16</v>
      </c>
      <c r="G589" t="s">
        <v>11</v>
      </c>
      <c r="H589">
        <v>7</v>
      </c>
      <c r="I589">
        <v>0</v>
      </c>
      <c r="J589" t="str">
        <f>VLOOKUP(H589,DC_Xref!A:B,2,FALSE)</f>
        <v>OCC</v>
      </c>
      <c r="K589">
        <f t="shared" si="9"/>
        <v>202046</v>
      </c>
      <c r="L589">
        <f>IFERROR(Table1[[#This Row],[Demand]]/SUMIFS(Table1[Demand],Table1[Fiscal_Year],Table1[[#This Row],[Fiscal_Year]],Table1[BRAND],Table1[[#This Row],[BRAND]],Table1[DC_name_Xref],Table1[[#This Row],[DC_name_Xref]]),0)</f>
        <v>0</v>
      </c>
      <c r="M5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89" s="3">
        <f>IFERROR(INDEX(Table3[#All],MATCH(Table1[[#This Row],[Key_Year_Week_Brand]],Table3[[#All],[Key_Year_Week_Brand]],0),MATCH(Table1[[#This Row],[DC_name_Xref]],Table3[#Headers],0)),0)</f>
        <v>0</v>
      </c>
      <c r="O589">
        <f>IFERROR(INDEX(Table35[#All],MATCH(Table1[[#This Row],[Key_Year_Week_Brand]],Table35[[#All],[Key_Year_Month_Brand]],0),MATCH(Table1[[#This Row],[DC_name_Xref]],Table35[#Headers],0)),0)</f>
        <v>0</v>
      </c>
    </row>
    <row r="590" spans="1:15" x14ac:dyDescent="0.3">
      <c r="A590" s="19" t="str">
        <f>Table1[[#This Row],[Year_Week]]&amp;"-"&amp;Table1[[#This Row],[DC_name_Xref]]</f>
        <v>202047-OFC</v>
      </c>
      <c r="B590" s="19" t="str">
        <f>Table1[[#This Row],[Fiscal_Year]]*100+Table1[[#This Row],[Fiscal_Week]] &amp; "-" &amp;Table1[[#This Row],[BRAND]]</f>
        <v>202047-Gap Factory Store</v>
      </c>
      <c r="C590" t="str">
        <f>Table1[[#This Row],[Fiscal_Year]]&amp;"-"&amp;Table1[[#This Row],[BRAND]]</f>
        <v>2020-Gap Factory Store</v>
      </c>
      <c r="D590">
        <v>2020</v>
      </c>
      <c r="E590">
        <v>47</v>
      </c>
      <c r="F590" t="s">
        <v>22</v>
      </c>
      <c r="G590" t="s">
        <v>5</v>
      </c>
      <c r="H590">
        <v>1</v>
      </c>
      <c r="I590">
        <v>269785</v>
      </c>
      <c r="J590" t="str">
        <f>VLOOKUP(H590,DC_Xref!A:B,2,FALSE)</f>
        <v>OFC</v>
      </c>
      <c r="K590">
        <f t="shared" si="9"/>
        <v>202047</v>
      </c>
      <c r="L590">
        <f>IFERROR(Table1[[#This Row],[Demand]]/SUMIFS(Table1[Demand],Table1[Fiscal_Year],Table1[[#This Row],[Fiscal_Year]],Table1[BRAND],Table1[[#This Row],[BRAND]],Table1[DC_name_Xref],Table1[[#This Row],[DC_name_Xref]]),0)</f>
        <v>7.7121333352771965E-2</v>
      </c>
      <c r="M5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590" s="3">
        <f>IFERROR(INDEX(Table3[#All],MATCH(Table1[[#This Row],[Key_Year_Week_Brand]],Table3[[#All],[Key_Year_Week_Brand]],0),MATCH(Table1[[#This Row],[DC_name_Xref]],Table3[#Headers],0)),0)</f>
        <v>1</v>
      </c>
      <c r="O590">
        <f>IFERROR(INDEX(Table35[#All],MATCH(Table1[[#This Row],[Key_Year_Week_Brand]],Table35[[#All],[Key_Year_Month_Brand]],0),MATCH(Table1[[#This Row],[DC_name_Xref]],Table35[#Headers],0)),0)</f>
        <v>269785</v>
      </c>
    </row>
    <row r="591" spans="1:15" x14ac:dyDescent="0.3">
      <c r="A591" s="19" t="str">
        <f>Table1[[#This Row],[Year_Week]]&amp;"-"&amp;Table1[[#This Row],[DC_name_Xref]]</f>
        <v>202047-TFC</v>
      </c>
      <c r="B591" s="19" t="str">
        <f>Table1[[#This Row],[Fiscal_Year]]*100+Table1[[#This Row],[Fiscal_Week]] &amp; "-" &amp;Table1[[#This Row],[BRAND]]</f>
        <v>202047-Gap Factory Store</v>
      </c>
      <c r="C591" t="str">
        <f>Table1[[#This Row],[Fiscal_Year]]&amp;"-"&amp;Table1[[#This Row],[BRAND]]</f>
        <v>2020-Gap Factory Store</v>
      </c>
      <c r="D591">
        <v>2020</v>
      </c>
      <c r="E591">
        <v>47</v>
      </c>
      <c r="F591" t="s">
        <v>22</v>
      </c>
      <c r="G591" t="s">
        <v>21</v>
      </c>
      <c r="H591">
        <v>2</v>
      </c>
      <c r="I591">
        <v>0</v>
      </c>
      <c r="J591" t="str">
        <f>VLOOKUP(H591,DC_Xref!A:B,2,FALSE)</f>
        <v>TFC</v>
      </c>
      <c r="K591">
        <f t="shared" si="9"/>
        <v>202047</v>
      </c>
      <c r="L591">
        <f>IFERROR(Table1[[#This Row],[Demand]]/SUMIFS(Table1[Demand],Table1[Fiscal_Year],Table1[[#This Row],[Fiscal_Year]],Table1[BRAND],Table1[[#This Row],[BRAND]],Table1[DC_name_Xref],Table1[[#This Row],[DC_name_Xref]]),0)</f>
        <v>0</v>
      </c>
      <c r="M5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1" s="3">
        <f>IFERROR(INDEX(Table3[#All],MATCH(Table1[[#This Row],[Key_Year_Week_Brand]],Table3[[#All],[Key_Year_Week_Brand]],0),MATCH(Table1[[#This Row],[DC_name_Xref]],Table3[#Headers],0)),0)</f>
        <v>0</v>
      </c>
      <c r="O591">
        <f>IFERROR(INDEX(Table35[#All],MATCH(Table1[[#This Row],[Key_Year_Week_Brand]],Table35[[#All],[Key_Year_Month_Brand]],0),MATCH(Table1[[#This Row],[DC_name_Xref]],Table35[#Headers],0)),0)</f>
        <v>0</v>
      </c>
    </row>
    <row r="592" spans="1:15" x14ac:dyDescent="0.3">
      <c r="A592" s="19" t="str">
        <f>Table1[[#This Row],[Year_Week]]&amp;"-"&amp;Table1[[#This Row],[DC_name_Xref]]</f>
        <v>202047-WFC</v>
      </c>
      <c r="B592" s="19" t="str">
        <f>Table1[[#This Row],[Fiscal_Year]]*100+Table1[[#This Row],[Fiscal_Week]] &amp; "-" &amp;Table1[[#This Row],[BRAND]]</f>
        <v>202047-Gap Factory Store</v>
      </c>
      <c r="C592" t="str">
        <f>Table1[[#This Row],[Fiscal_Year]]&amp;"-"&amp;Table1[[#This Row],[BRAND]]</f>
        <v>2020-Gap Factory Store</v>
      </c>
      <c r="D592">
        <v>2020</v>
      </c>
      <c r="E592">
        <v>47</v>
      </c>
      <c r="F592" t="s">
        <v>22</v>
      </c>
      <c r="G592" t="s">
        <v>7</v>
      </c>
      <c r="H592">
        <v>3</v>
      </c>
      <c r="I592">
        <v>0</v>
      </c>
      <c r="J592" t="str">
        <f>VLOOKUP(H592,DC_Xref!A:B,2,FALSE)</f>
        <v>WFC</v>
      </c>
      <c r="K592">
        <f t="shared" si="9"/>
        <v>202047</v>
      </c>
      <c r="L592">
        <f>IFERROR(Table1[[#This Row],[Demand]]/SUMIFS(Table1[Demand],Table1[Fiscal_Year],Table1[[#This Row],[Fiscal_Year]],Table1[BRAND],Table1[[#This Row],[BRAND]],Table1[DC_name_Xref],Table1[[#This Row],[DC_name_Xref]]),0)</f>
        <v>0</v>
      </c>
      <c r="M5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2" s="3">
        <f>IFERROR(INDEX(Table3[#All],MATCH(Table1[[#This Row],[Key_Year_Week_Brand]],Table3[[#All],[Key_Year_Week_Brand]],0),MATCH(Table1[[#This Row],[DC_name_Xref]],Table3[#Headers],0)),0)</f>
        <v>0</v>
      </c>
      <c r="O592">
        <f>IFERROR(INDEX(Table35[#All],MATCH(Table1[[#This Row],[Key_Year_Week_Brand]],Table35[[#All],[Key_Year_Month_Brand]],0),MATCH(Table1[[#This Row],[DC_name_Xref]],Table35[#Headers],0)),0)</f>
        <v>0</v>
      </c>
    </row>
    <row r="593" spans="1:15" x14ac:dyDescent="0.3">
      <c r="A593" s="19" t="str">
        <f>Table1[[#This Row],[Year_Week]]&amp;"-"&amp;Table1[[#This Row],[DC_name_Xref]]</f>
        <v>202047-EAO</v>
      </c>
      <c r="B593" s="19" t="str">
        <f>Table1[[#This Row],[Fiscal_Year]]*100+Table1[[#This Row],[Fiscal_Week]] &amp; "-" &amp;Table1[[#This Row],[BRAND]]</f>
        <v>202047-Gap Factory Store</v>
      </c>
      <c r="C593" t="str">
        <f>Table1[[#This Row],[Fiscal_Year]]&amp;"-"&amp;Table1[[#This Row],[BRAND]]</f>
        <v>2020-Gap Factory Store</v>
      </c>
      <c r="D593">
        <v>2020</v>
      </c>
      <c r="E593">
        <v>47</v>
      </c>
      <c r="F593" t="s">
        <v>22</v>
      </c>
      <c r="G593" t="s">
        <v>8</v>
      </c>
      <c r="H593">
        <v>4</v>
      </c>
      <c r="I593">
        <v>0</v>
      </c>
      <c r="J593" t="str">
        <f>VLOOKUP(H593,DC_Xref!A:B,2,FALSE)</f>
        <v>EAO</v>
      </c>
      <c r="K593">
        <f t="shared" si="9"/>
        <v>202047</v>
      </c>
      <c r="L593">
        <f>IFERROR(Table1[[#This Row],[Demand]]/SUMIFS(Table1[Demand],Table1[Fiscal_Year],Table1[[#This Row],[Fiscal_Year]],Table1[BRAND],Table1[[#This Row],[BRAND]],Table1[DC_name_Xref],Table1[[#This Row],[DC_name_Xref]]),0)</f>
        <v>0</v>
      </c>
      <c r="M5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3" s="3">
        <f>IFERROR(INDEX(Table3[#All],MATCH(Table1[[#This Row],[Key_Year_Week_Brand]],Table3[[#All],[Key_Year_Week_Brand]],0),MATCH(Table1[[#This Row],[DC_name_Xref]],Table3[#Headers],0)),0)</f>
        <v>0</v>
      </c>
      <c r="O593">
        <f>IFERROR(INDEX(Table35[#All],MATCH(Table1[[#This Row],[Key_Year_Week_Brand]],Table35[[#All],[Key_Year_Month_Brand]],0),MATCH(Table1[[#This Row],[DC_name_Xref]],Table35[#Headers],0)),0)</f>
        <v>0</v>
      </c>
    </row>
    <row r="594" spans="1:15" x14ac:dyDescent="0.3">
      <c r="A594" s="19" t="str">
        <f>Table1[[#This Row],[Year_Week]]&amp;"-"&amp;Table1[[#This Row],[DC_name_Xref]]</f>
        <v>202047-FFC-ODC</v>
      </c>
      <c r="B594" s="19" t="str">
        <f>Table1[[#This Row],[Fiscal_Year]]*100+Table1[[#This Row],[Fiscal_Week]] &amp; "-" &amp;Table1[[#This Row],[BRAND]]</f>
        <v>202047-Gap Factory Store</v>
      </c>
      <c r="C594" t="str">
        <f>Table1[[#This Row],[Fiscal_Year]]&amp;"-"&amp;Table1[[#This Row],[BRAND]]</f>
        <v>2020-Gap Factory Store</v>
      </c>
      <c r="D594">
        <v>2020</v>
      </c>
      <c r="E594">
        <v>47</v>
      </c>
      <c r="F594" t="s">
        <v>22</v>
      </c>
      <c r="G594" t="s">
        <v>23</v>
      </c>
      <c r="H594">
        <v>5</v>
      </c>
      <c r="I594">
        <v>0</v>
      </c>
      <c r="J594" t="str">
        <f>VLOOKUP(H594,DC_Xref!A:B,2,FALSE)</f>
        <v>FFC-ODC</v>
      </c>
      <c r="K594">
        <f t="shared" si="9"/>
        <v>202047</v>
      </c>
      <c r="L594">
        <f>IFERROR(Table1[[#This Row],[Demand]]/SUMIFS(Table1[Demand],Table1[Fiscal_Year],Table1[[#This Row],[Fiscal_Year]],Table1[BRAND],Table1[[#This Row],[BRAND]],Table1[DC_name_Xref],Table1[[#This Row],[DC_name_Xref]]),0)</f>
        <v>0</v>
      </c>
      <c r="M5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4" s="3">
        <f>IFERROR(INDEX(Table3[#All],MATCH(Table1[[#This Row],[Key_Year_Week_Brand]],Table3[[#All],[Key_Year_Week_Brand]],0),MATCH(Table1[[#This Row],[DC_name_Xref]],Table3[#Headers],0)),0)</f>
        <v>0</v>
      </c>
      <c r="O594">
        <f>IFERROR(INDEX(Table35[#All],MATCH(Table1[[#This Row],[Key_Year_Week_Brand]],Table35[[#All],[Key_Year_Month_Brand]],0),MATCH(Table1[[#This Row],[DC_name_Xref]],Table35[#Headers],0)),0)</f>
        <v>0</v>
      </c>
    </row>
    <row r="595" spans="1:15" x14ac:dyDescent="0.3">
      <c r="A595" s="19" t="str">
        <f>Table1[[#This Row],[Year_Week]]&amp;"-"&amp;Table1[[#This Row],[DC_name_Xref]]</f>
        <v>202047-WEO</v>
      </c>
      <c r="B595" s="19" t="str">
        <f>Table1[[#This Row],[Fiscal_Year]]*100+Table1[[#This Row],[Fiscal_Week]] &amp; "-" &amp;Table1[[#This Row],[BRAND]]</f>
        <v>202047-Gap Factory Store</v>
      </c>
      <c r="C595" t="str">
        <f>Table1[[#This Row],[Fiscal_Year]]&amp;"-"&amp;Table1[[#This Row],[BRAND]]</f>
        <v>2020-Gap Factory Store</v>
      </c>
      <c r="D595">
        <v>2020</v>
      </c>
      <c r="E595">
        <v>47</v>
      </c>
      <c r="F595" t="s">
        <v>22</v>
      </c>
      <c r="G595" t="s">
        <v>10</v>
      </c>
      <c r="H595">
        <v>6</v>
      </c>
      <c r="I595">
        <v>0</v>
      </c>
      <c r="J595" t="str">
        <f>VLOOKUP(H595,DC_Xref!A:B,2,FALSE)</f>
        <v>WEO</v>
      </c>
      <c r="K595">
        <f t="shared" si="9"/>
        <v>202047</v>
      </c>
      <c r="L595">
        <f>IFERROR(Table1[[#This Row],[Demand]]/SUMIFS(Table1[Demand],Table1[Fiscal_Year],Table1[[#This Row],[Fiscal_Year]],Table1[BRAND],Table1[[#This Row],[BRAND]],Table1[DC_name_Xref],Table1[[#This Row],[DC_name_Xref]]),0)</f>
        <v>0</v>
      </c>
      <c r="M5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5" s="3">
        <f>IFERROR(INDEX(Table3[#All],MATCH(Table1[[#This Row],[Key_Year_Week_Brand]],Table3[[#All],[Key_Year_Week_Brand]],0),MATCH(Table1[[#This Row],[DC_name_Xref]],Table3[#Headers],0)),0)</f>
        <v>0</v>
      </c>
      <c r="O595">
        <f>IFERROR(INDEX(Table35[#All],MATCH(Table1[[#This Row],[Key_Year_Week_Brand]],Table35[[#All],[Key_Year_Month_Brand]],0),MATCH(Table1[[#This Row],[DC_name_Xref]],Table35[#Headers],0)),0)</f>
        <v>0</v>
      </c>
    </row>
    <row r="596" spans="1:15" x14ac:dyDescent="0.3">
      <c r="A596" s="19" t="str">
        <f>Table1[[#This Row],[Year_Week]]&amp;"-"&amp;Table1[[#This Row],[DC_name_Xref]]</f>
        <v>202047-OCC</v>
      </c>
      <c r="B596" s="19" t="str">
        <f>Table1[[#This Row],[Fiscal_Year]]*100+Table1[[#This Row],[Fiscal_Week]] &amp; "-" &amp;Table1[[#This Row],[BRAND]]</f>
        <v>202047-Gap Factory Store</v>
      </c>
      <c r="C596" t="str">
        <f>Table1[[#This Row],[Fiscal_Year]]&amp;"-"&amp;Table1[[#This Row],[BRAND]]</f>
        <v>2020-Gap Factory Store</v>
      </c>
      <c r="D596">
        <v>2020</v>
      </c>
      <c r="E596">
        <v>47</v>
      </c>
      <c r="F596" t="s">
        <v>22</v>
      </c>
      <c r="G596" t="s">
        <v>11</v>
      </c>
      <c r="H596">
        <v>7</v>
      </c>
      <c r="I596">
        <v>0</v>
      </c>
      <c r="J596" t="str">
        <f>VLOOKUP(H596,DC_Xref!A:B,2,FALSE)</f>
        <v>OCC</v>
      </c>
      <c r="K596">
        <f t="shared" si="9"/>
        <v>202047</v>
      </c>
      <c r="L596">
        <f>IFERROR(Table1[[#This Row],[Demand]]/SUMIFS(Table1[Demand],Table1[Fiscal_Year],Table1[[#This Row],[Fiscal_Year]],Table1[BRAND],Table1[[#This Row],[BRAND]],Table1[DC_name_Xref],Table1[[#This Row],[DC_name_Xref]]),0)</f>
        <v>0</v>
      </c>
      <c r="M5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596" s="3">
        <f>IFERROR(INDEX(Table3[#All],MATCH(Table1[[#This Row],[Key_Year_Week_Brand]],Table3[[#All],[Key_Year_Week_Brand]],0),MATCH(Table1[[#This Row],[DC_name_Xref]],Table3[#Headers],0)),0)</f>
        <v>0</v>
      </c>
      <c r="O596">
        <f>IFERROR(INDEX(Table35[#All],MATCH(Table1[[#This Row],[Key_Year_Week_Brand]],Table35[[#All],[Key_Year_Month_Brand]],0),MATCH(Table1[[#This Row],[DC_name_Xref]],Table35[#Headers],0)),0)</f>
        <v>0</v>
      </c>
    </row>
    <row r="597" spans="1:15" x14ac:dyDescent="0.3">
      <c r="A597" s="19" t="str">
        <f>Table1[[#This Row],[Year_Week]]&amp;"-"&amp;Table1[[#This Row],[DC_name_Xref]]</f>
        <v>202047-OFC</v>
      </c>
      <c r="B597" s="19" t="str">
        <f>Table1[[#This Row],[Fiscal_Year]]*100+Table1[[#This Row],[Fiscal_Week]] &amp; "-" &amp;Table1[[#This Row],[BRAND]]</f>
        <v>202047-Gap</v>
      </c>
      <c r="C597" t="str">
        <f>Table1[[#This Row],[Fiscal_Year]]&amp;"-"&amp;Table1[[#This Row],[BRAND]]</f>
        <v>2020-Gap</v>
      </c>
      <c r="D597">
        <v>2020</v>
      </c>
      <c r="E597">
        <v>47</v>
      </c>
      <c r="F597" t="s">
        <v>16</v>
      </c>
      <c r="G597" t="s">
        <v>5</v>
      </c>
      <c r="H597">
        <v>1</v>
      </c>
      <c r="I597">
        <v>742894</v>
      </c>
      <c r="J597" t="str">
        <f>VLOOKUP(H597,DC_Xref!A:B,2,FALSE)</f>
        <v>OFC</v>
      </c>
      <c r="K597">
        <f t="shared" si="9"/>
        <v>202047</v>
      </c>
      <c r="L597">
        <f>IFERROR(Table1[[#This Row],[Demand]]/SUMIFS(Table1[Demand],Table1[Fiscal_Year],Table1[[#This Row],[Fiscal_Year]],Table1[BRAND],Table1[[#This Row],[BRAND]],Table1[DC_name_Xref],Table1[[#This Row],[DC_name_Xref]]),0)</f>
        <v>9.4605386399713221E-2</v>
      </c>
      <c r="M5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0.66900241512227088</v>
      </c>
      <c r="N597" s="3">
        <f>IFERROR(INDEX(Table3[#All],MATCH(Table1[[#This Row],[Key_Year_Week_Brand]],Table3[[#All],[Key_Year_Week_Brand]],0),MATCH(Table1[[#This Row],[DC_name_Xref]],Table3[#Headers],0)),0)</f>
        <v>0.25</v>
      </c>
      <c r="O597">
        <f>IFERROR(INDEX(Table35[#All],MATCH(Table1[[#This Row],[Key_Year_Week_Brand]],Table35[[#All],[Key_Year_Month_Brand]],0),MATCH(Table1[[#This Row],[DC_name_Xref]],Table35[#Headers],0)),0)</f>
        <v>251544.75</v>
      </c>
    </row>
    <row r="598" spans="1:15" x14ac:dyDescent="0.3">
      <c r="A598" s="19" t="str">
        <f>Table1[[#This Row],[Year_Week]]&amp;"-"&amp;Table1[[#This Row],[DC_name_Xref]]</f>
        <v>202047-TFC</v>
      </c>
      <c r="B598" s="19" t="str">
        <f>Table1[[#This Row],[Fiscal_Year]]*100+Table1[[#This Row],[Fiscal_Week]] &amp; "-" &amp;Table1[[#This Row],[BRAND]]</f>
        <v>202047-Gap</v>
      </c>
      <c r="C598" t="str">
        <f>Table1[[#This Row],[Fiscal_Year]]&amp;"-"&amp;Table1[[#This Row],[BRAND]]</f>
        <v>2020-Gap</v>
      </c>
      <c r="D598">
        <v>2020</v>
      </c>
      <c r="E598">
        <v>47</v>
      </c>
      <c r="F598" t="s">
        <v>16</v>
      </c>
      <c r="G598" t="s">
        <v>21</v>
      </c>
      <c r="H598">
        <v>2</v>
      </c>
      <c r="I598">
        <v>517</v>
      </c>
      <c r="J598" t="str">
        <f>VLOOKUP(H598,DC_Xref!A:B,2,FALSE)</f>
        <v>TFC</v>
      </c>
      <c r="K598">
        <f t="shared" si="9"/>
        <v>202047</v>
      </c>
      <c r="L598">
        <f>IFERROR(Table1[[#This Row],[Demand]]/SUMIFS(Table1[Demand],Table1[Fiscal_Year],Table1[[#This Row],[Fiscal_Year]],Table1[BRAND],Table1[[#This Row],[BRAND]],Table1[DC_name_Xref],Table1[[#This Row],[DC_name_Xref]]),0)</f>
        <v>0.36588818117480537</v>
      </c>
      <c r="M5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1.2038125330771561E-4</v>
      </c>
      <c r="N598" s="3">
        <f>IFERROR(INDEX(Table3[#All],MATCH(Table1[[#This Row],[Key_Year_Week_Brand]],Table3[[#All],[Key_Year_Week_Brand]],0),MATCH(Table1[[#This Row],[DC_name_Xref]],Table3[#Headers],0)),0)</f>
        <v>0.2</v>
      </c>
      <c r="O598">
        <f>IFERROR(INDEX(Table35[#All],MATCH(Table1[[#This Row],[Key_Year_Week_Brand]],Table35[[#All],[Key_Year_Month_Brand]],0),MATCH(Table1[[#This Row],[DC_name_Xref]],Table35[#Headers],0)),0)</f>
        <v>201235.80000000002</v>
      </c>
    </row>
    <row r="599" spans="1:15" x14ac:dyDescent="0.3">
      <c r="A599" s="19" t="str">
        <f>Table1[[#This Row],[Year_Week]]&amp;"-"&amp;Table1[[#This Row],[DC_name_Xref]]</f>
        <v>202047-WFC</v>
      </c>
      <c r="B599" s="19" t="str">
        <f>Table1[[#This Row],[Fiscal_Year]]*100+Table1[[#This Row],[Fiscal_Week]] &amp; "-" &amp;Table1[[#This Row],[BRAND]]</f>
        <v>202047-Gap</v>
      </c>
      <c r="C599" t="str">
        <f>Table1[[#This Row],[Fiscal_Year]]&amp;"-"&amp;Table1[[#This Row],[BRAND]]</f>
        <v>2020-Gap</v>
      </c>
      <c r="D599">
        <v>2020</v>
      </c>
      <c r="E599">
        <v>47</v>
      </c>
      <c r="F599" t="s">
        <v>16</v>
      </c>
      <c r="G599" t="s">
        <v>7</v>
      </c>
      <c r="H599">
        <v>3</v>
      </c>
      <c r="I599">
        <v>38337</v>
      </c>
      <c r="J599" t="str">
        <f>VLOOKUP(H599,DC_Xref!A:B,2,FALSE)</f>
        <v>WFC</v>
      </c>
      <c r="K599">
        <f t="shared" si="9"/>
        <v>202047</v>
      </c>
      <c r="L599">
        <f>IFERROR(Table1[[#This Row],[Demand]]/SUMIFS(Table1[Demand],Table1[Fiscal_Year],Table1[[#This Row],[Fiscal_Year]],Table1[BRAND],Table1[[#This Row],[BRAND]],Table1[DC_name_Xref],Table1[[#This Row],[DC_name_Xref]]),0)</f>
        <v>0.13711716673879532</v>
      </c>
      <c r="M5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2.3820067767915166E-2</v>
      </c>
      <c r="N599" s="3">
        <f>IFERROR(INDEX(Table3[#All],MATCH(Table1[[#This Row],[Key_Year_Week_Brand]],Table3[[#All],[Key_Year_Week_Brand]],0),MATCH(Table1[[#This Row],[DC_name_Xref]],Table3[#Headers],0)),0)</f>
        <v>0.15</v>
      </c>
      <c r="O599">
        <f>IFERROR(INDEX(Table35[#All],MATCH(Table1[[#This Row],[Key_Year_Week_Brand]],Table35[[#All],[Key_Year_Month_Brand]],0),MATCH(Table1[[#This Row],[DC_name_Xref]],Table35[#Headers],0)),0)</f>
        <v>150926.85</v>
      </c>
    </row>
    <row r="600" spans="1:15" x14ac:dyDescent="0.3">
      <c r="A600" s="19" t="str">
        <f>Table1[[#This Row],[Year_Week]]&amp;"-"&amp;Table1[[#This Row],[DC_name_Xref]]</f>
        <v>202047-EAO</v>
      </c>
      <c r="B600" s="19" t="str">
        <f>Table1[[#This Row],[Fiscal_Year]]*100+Table1[[#This Row],[Fiscal_Week]] &amp; "-" &amp;Table1[[#This Row],[BRAND]]</f>
        <v>202047-Gap</v>
      </c>
      <c r="C600" t="str">
        <f>Table1[[#This Row],[Fiscal_Year]]&amp;"-"&amp;Table1[[#This Row],[BRAND]]</f>
        <v>2020-Gap</v>
      </c>
      <c r="D600">
        <v>2020</v>
      </c>
      <c r="E600">
        <v>47</v>
      </c>
      <c r="F600" t="s">
        <v>16</v>
      </c>
      <c r="G600" t="s">
        <v>8</v>
      </c>
      <c r="H600">
        <v>4</v>
      </c>
      <c r="I600">
        <v>183</v>
      </c>
      <c r="J600" t="str">
        <f>VLOOKUP(H600,DC_Xref!A:B,2,FALSE)</f>
        <v>EAO</v>
      </c>
      <c r="K600">
        <f t="shared" si="9"/>
        <v>202047</v>
      </c>
      <c r="L600">
        <f>IFERROR(Table1[[#This Row],[Demand]]/SUMIFS(Table1[Demand],Table1[Fiscal_Year],Table1[[#This Row],[Fiscal_Year]],Table1[BRAND],Table1[[#This Row],[BRAND]],Table1[DC_name_Xref],Table1[[#This Row],[DC_name_Xref]]),0)</f>
        <v>0.12978723404255318</v>
      </c>
      <c r="M6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1.2012566678264615E-4</v>
      </c>
      <c r="N600" s="3">
        <f>IFERROR(INDEX(Table3[#All],MATCH(Table1[[#This Row],[Key_Year_Week_Brand]],Table3[[#All],[Key_Year_Week_Brand]],0),MATCH(Table1[[#This Row],[DC_name_Xref]],Table3[#Headers],0)),0)</f>
        <v>0</v>
      </c>
      <c r="O600">
        <f>IFERROR(INDEX(Table35[#All],MATCH(Table1[[#This Row],[Key_Year_Week_Brand]],Table35[[#All],[Key_Year_Month_Brand]],0),MATCH(Table1[[#This Row],[DC_name_Xref]],Table35[#Headers],0)),0)</f>
        <v>0</v>
      </c>
    </row>
    <row r="601" spans="1:15" x14ac:dyDescent="0.3">
      <c r="A601" s="19" t="str">
        <f>Table1[[#This Row],[Year_Week]]&amp;"-"&amp;Table1[[#This Row],[DC_name_Xref]]</f>
        <v>202047-FFC-ODC</v>
      </c>
      <c r="B601" s="19" t="str">
        <f>Table1[[#This Row],[Fiscal_Year]]*100+Table1[[#This Row],[Fiscal_Week]] &amp; "-" &amp;Table1[[#This Row],[BRAND]]</f>
        <v>202047-Gap</v>
      </c>
      <c r="C601" t="str">
        <f>Table1[[#This Row],[Fiscal_Year]]&amp;"-"&amp;Table1[[#This Row],[BRAND]]</f>
        <v>2020-Gap</v>
      </c>
      <c r="D601">
        <v>2020</v>
      </c>
      <c r="E601">
        <v>47</v>
      </c>
      <c r="F601" t="s">
        <v>16</v>
      </c>
      <c r="G601" t="s">
        <v>23</v>
      </c>
      <c r="H601">
        <v>5</v>
      </c>
      <c r="I601">
        <v>0</v>
      </c>
      <c r="J601" t="str">
        <f>VLOOKUP(H601,DC_Xref!A:B,2,FALSE)</f>
        <v>FFC-ODC</v>
      </c>
      <c r="K601">
        <f t="shared" si="9"/>
        <v>202047</v>
      </c>
      <c r="L601">
        <f>IFERROR(Table1[[#This Row],[Demand]]/SUMIFS(Table1[Demand],Table1[Fiscal_Year],Table1[[#This Row],[Fiscal_Year]],Table1[BRAND],Table1[[#This Row],[BRAND]],Table1[DC_name_Xref],Table1[[#This Row],[DC_name_Xref]]),0)</f>
        <v>0</v>
      </c>
      <c r="M6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01" s="3">
        <f>IFERROR(INDEX(Table3[#All],MATCH(Table1[[#This Row],[Key_Year_Week_Brand]],Table3[[#All],[Key_Year_Week_Brand]],0),MATCH(Table1[[#This Row],[DC_name_Xref]],Table3[#Headers],0)),0)</f>
        <v>0</v>
      </c>
      <c r="O601">
        <f>IFERROR(INDEX(Table35[#All],MATCH(Table1[[#This Row],[Key_Year_Week_Brand]],Table35[[#All],[Key_Year_Month_Brand]],0),MATCH(Table1[[#This Row],[DC_name_Xref]],Table35[#Headers],0)),0)</f>
        <v>0</v>
      </c>
    </row>
    <row r="602" spans="1:15" x14ac:dyDescent="0.3">
      <c r="A602" s="19" t="str">
        <f>Table1[[#This Row],[Year_Week]]&amp;"-"&amp;Table1[[#This Row],[DC_name_Xref]]</f>
        <v>202047-WEO</v>
      </c>
      <c r="B602" s="19" t="str">
        <f>Table1[[#This Row],[Fiscal_Year]]*100+Table1[[#This Row],[Fiscal_Week]] &amp; "-" &amp;Table1[[#This Row],[BRAND]]</f>
        <v>202047-Gap</v>
      </c>
      <c r="C602" t="str">
        <f>Table1[[#This Row],[Fiscal_Year]]&amp;"-"&amp;Table1[[#This Row],[BRAND]]</f>
        <v>2020-Gap</v>
      </c>
      <c r="D602">
        <v>2020</v>
      </c>
      <c r="E602">
        <v>47</v>
      </c>
      <c r="F602" t="s">
        <v>16</v>
      </c>
      <c r="G602" t="s">
        <v>10</v>
      </c>
      <c r="H602">
        <v>6</v>
      </c>
      <c r="I602">
        <v>224248</v>
      </c>
      <c r="J602" t="str">
        <f>VLOOKUP(H602,DC_Xref!A:B,2,FALSE)</f>
        <v>WEO</v>
      </c>
      <c r="K602">
        <f t="shared" si="9"/>
        <v>202047</v>
      </c>
      <c r="L602">
        <f>IFERROR(Table1[[#This Row],[Demand]]/SUMIFS(Table1[Demand],Table1[Fiscal_Year],Table1[[#This Row],[Fiscal_Year]],Table1[BRAND],Table1[[#This Row],[BRAND]],Table1[DC_name_Xref],Table1[[#This Row],[DC_name_Xref]]),0)</f>
        <v>6.2243788541878023E-2</v>
      </c>
      <c r="M6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0.30693701018972358</v>
      </c>
      <c r="N602" s="3">
        <f>IFERROR(INDEX(Table3[#All],MATCH(Table1[[#This Row],[Key_Year_Week_Brand]],Table3[[#All],[Key_Year_Week_Brand]],0),MATCH(Table1[[#This Row],[DC_name_Xref]],Table3[#Headers],0)),0)</f>
        <v>0.4</v>
      </c>
      <c r="O602">
        <f>IFERROR(INDEX(Table35[#All],MATCH(Table1[[#This Row],[Key_Year_Week_Brand]],Table35[[#All],[Key_Year_Month_Brand]],0),MATCH(Table1[[#This Row],[DC_name_Xref]],Table35[#Headers],0)),0)</f>
        <v>402471.60000000003</v>
      </c>
    </row>
    <row r="603" spans="1:15" x14ac:dyDescent="0.3">
      <c r="A603" s="19" t="str">
        <f>Table1[[#This Row],[Year_Week]]&amp;"-"&amp;Table1[[#This Row],[DC_name_Xref]]</f>
        <v>202047-OCC</v>
      </c>
      <c r="B603" s="19" t="str">
        <f>Table1[[#This Row],[Fiscal_Year]]*100+Table1[[#This Row],[Fiscal_Week]] &amp; "-" &amp;Table1[[#This Row],[BRAND]]</f>
        <v>202047-Gap</v>
      </c>
      <c r="C603" t="str">
        <f>Table1[[#This Row],[Fiscal_Year]]&amp;"-"&amp;Table1[[#This Row],[BRAND]]</f>
        <v>2020-Gap</v>
      </c>
      <c r="D603">
        <v>2020</v>
      </c>
      <c r="E603">
        <v>47</v>
      </c>
      <c r="F603" t="s">
        <v>16</v>
      </c>
      <c r="G603" t="s">
        <v>11</v>
      </c>
      <c r="H603">
        <v>7</v>
      </c>
      <c r="I603">
        <v>0</v>
      </c>
      <c r="J603" t="str">
        <f>VLOOKUP(H603,DC_Xref!A:B,2,FALSE)</f>
        <v>OCC</v>
      </c>
      <c r="K603">
        <f t="shared" si="9"/>
        <v>202047</v>
      </c>
      <c r="L603">
        <f>IFERROR(Table1[[#This Row],[Demand]]/SUMIFS(Table1[Demand],Table1[Fiscal_Year],Table1[[#This Row],[Fiscal_Year]],Table1[BRAND],Table1[[#This Row],[BRAND]],Table1[DC_name_Xref],Table1[[#This Row],[DC_name_Xref]]),0)</f>
        <v>0</v>
      </c>
      <c r="M6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03" s="3">
        <f>IFERROR(INDEX(Table3[#All],MATCH(Table1[[#This Row],[Key_Year_Week_Brand]],Table3[[#All],[Key_Year_Week_Brand]],0),MATCH(Table1[[#This Row],[DC_name_Xref]],Table3[#Headers],0)),0)</f>
        <v>0</v>
      </c>
      <c r="O603">
        <f>IFERROR(INDEX(Table35[#All],MATCH(Table1[[#This Row],[Key_Year_Week_Brand]],Table35[[#All],[Key_Year_Month_Brand]],0),MATCH(Table1[[#This Row],[DC_name_Xref]],Table35[#Headers],0)),0)</f>
        <v>0</v>
      </c>
    </row>
    <row r="604" spans="1:15" x14ac:dyDescent="0.3">
      <c r="A604" s="19" t="str">
        <f>Table1[[#This Row],[Year_Week]]&amp;"-"&amp;Table1[[#This Row],[DC_name_Xref]]</f>
        <v>202047-OFC</v>
      </c>
      <c r="B604" s="19" t="str">
        <f>Table1[[#This Row],[Fiscal_Year]]*100+Table1[[#This Row],[Fiscal_Week]] &amp; "-" &amp;Table1[[#This Row],[BRAND]]</f>
        <v>202047-Athleta</v>
      </c>
      <c r="C604" t="str">
        <f>Table1[[#This Row],[Fiscal_Year]]&amp;"-"&amp;Table1[[#This Row],[BRAND]]</f>
        <v>2020-Athleta</v>
      </c>
      <c r="D604">
        <v>2020</v>
      </c>
      <c r="E604">
        <v>47</v>
      </c>
      <c r="F604" t="s">
        <v>19</v>
      </c>
      <c r="G604" t="s">
        <v>5</v>
      </c>
      <c r="H604">
        <v>1</v>
      </c>
      <c r="I604">
        <v>32969</v>
      </c>
      <c r="J604" t="str">
        <f>VLOOKUP(H604,DC_Xref!A:B,2,FALSE)</f>
        <v>OFC</v>
      </c>
      <c r="K604">
        <f t="shared" si="9"/>
        <v>202047</v>
      </c>
      <c r="L604">
        <f>IFERROR(Table1[[#This Row],[Demand]]/SUMIFS(Table1[Demand],Table1[Fiscal_Year],Table1[[#This Row],[Fiscal_Year]],Table1[BRAND],Table1[[#This Row],[BRAND]],Table1[DC_name_Xref],Table1[[#This Row],[DC_name_Xref]]),0)</f>
        <v>0.19106704066020677</v>
      </c>
      <c r="M6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0.10136844343818036</v>
      </c>
      <c r="N604" s="3">
        <f>IFERROR(INDEX(Table3[#All],MATCH(Table1[[#This Row],[Key_Year_Week_Brand]],Table3[[#All],[Key_Year_Week_Brand]],0),MATCH(Table1[[#This Row],[DC_name_Xref]],Table3[#Headers],0)),0)</f>
        <v>0</v>
      </c>
      <c r="O604">
        <f>IFERROR(INDEX(Table35[#All],MATCH(Table1[[#This Row],[Key_Year_Week_Brand]],Table35[[#All],[Key_Year_Month_Brand]],0),MATCH(Table1[[#This Row],[DC_name_Xref]],Table35[#Headers],0)),0)</f>
        <v>0</v>
      </c>
    </row>
    <row r="605" spans="1:15" x14ac:dyDescent="0.3">
      <c r="A605" s="19" t="str">
        <f>Table1[[#This Row],[Year_Week]]&amp;"-"&amp;Table1[[#This Row],[DC_name_Xref]]</f>
        <v>202047-TFC</v>
      </c>
      <c r="B605" s="19" t="str">
        <f>Table1[[#This Row],[Fiscal_Year]]*100+Table1[[#This Row],[Fiscal_Week]] &amp; "-" &amp;Table1[[#This Row],[BRAND]]</f>
        <v>202047-Athleta</v>
      </c>
      <c r="C605" t="str">
        <f>Table1[[#This Row],[Fiscal_Year]]&amp;"-"&amp;Table1[[#This Row],[BRAND]]</f>
        <v>2020-Athleta</v>
      </c>
      <c r="D605">
        <v>2020</v>
      </c>
      <c r="E605">
        <v>47</v>
      </c>
      <c r="F605" t="s">
        <v>19</v>
      </c>
      <c r="G605" t="s">
        <v>21</v>
      </c>
      <c r="H605">
        <v>2</v>
      </c>
      <c r="I605">
        <v>277389</v>
      </c>
      <c r="J605" t="str">
        <f>VLOOKUP(H605,DC_Xref!A:B,2,FALSE)</f>
        <v>TFC</v>
      </c>
      <c r="K605">
        <f t="shared" si="9"/>
        <v>202047</v>
      </c>
      <c r="L605">
        <f>IFERROR(Table1[[#This Row],[Demand]]/SUMIFS(Table1[Demand],Table1[Fiscal_Year],Table1[[#This Row],[Fiscal_Year]],Table1[BRAND],Table1[[#This Row],[BRAND]],Table1[DC_name_Xref],Table1[[#This Row],[DC_name_Xref]]),0)</f>
        <v>0.18134575128104213</v>
      </c>
      <c r="M6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0.89859630859827078</v>
      </c>
      <c r="N605" s="3">
        <f>IFERROR(INDEX(Table3[#All],MATCH(Table1[[#This Row],[Key_Year_Week_Brand]],Table3[[#All],[Key_Year_Week_Brand]],0),MATCH(Table1[[#This Row],[DC_name_Xref]],Table3[#Headers],0)),0)</f>
        <v>1</v>
      </c>
      <c r="O605">
        <f>IFERROR(INDEX(Table35[#All],MATCH(Table1[[#This Row],[Key_Year_Week_Brand]],Table35[[#All],[Key_Year_Month_Brand]],0),MATCH(Table1[[#This Row],[DC_name_Xref]],Table35[#Headers],0)),0)</f>
        <v>310358</v>
      </c>
    </row>
    <row r="606" spans="1:15" x14ac:dyDescent="0.3">
      <c r="A606" s="19" t="str">
        <f>Table1[[#This Row],[Year_Week]]&amp;"-"&amp;Table1[[#This Row],[DC_name_Xref]]</f>
        <v>202047-WFC</v>
      </c>
      <c r="B606" s="19" t="str">
        <f>Table1[[#This Row],[Fiscal_Year]]*100+Table1[[#This Row],[Fiscal_Week]] &amp; "-" &amp;Table1[[#This Row],[BRAND]]</f>
        <v>202047-Athleta</v>
      </c>
      <c r="C606" t="str">
        <f>Table1[[#This Row],[Fiscal_Year]]&amp;"-"&amp;Table1[[#This Row],[BRAND]]</f>
        <v>2020-Athleta</v>
      </c>
      <c r="D606">
        <v>2020</v>
      </c>
      <c r="E606">
        <v>47</v>
      </c>
      <c r="F606" t="s">
        <v>19</v>
      </c>
      <c r="G606" t="s">
        <v>7</v>
      </c>
      <c r="H606">
        <v>3</v>
      </c>
      <c r="I606">
        <v>0</v>
      </c>
      <c r="J606" t="str">
        <f>VLOOKUP(H606,DC_Xref!A:B,2,FALSE)</f>
        <v>WFC</v>
      </c>
      <c r="K606">
        <f t="shared" si="9"/>
        <v>202047</v>
      </c>
      <c r="L606">
        <f>IFERROR(Table1[[#This Row],[Demand]]/SUMIFS(Table1[Demand],Table1[Fiscal_Year],Table1[[#This Row],[Fiscal_Year]],Table1[BRAND],Table1[[#This Row],[BRAND]],Table1[DC_name_Xref],Table1[[#This Row],[DC_name_Xref]]),0)</f>
        <v>0</v>
      </c>
      <c r="M6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06" s="3">
        <f>IFERROR(INDEX(Table3[#All],MATCH(Table1[[#This Row],[Key_Year_Week_Brand]],Table3[[#All],[Key_Year_Week_Brand]],0),MATCH(Table1[[#This Row],[DC_name_Xref]],Table3[#Headers],0)),0)</f>
        <v>0</v>
      </c>
      <c r="O606">
        <f>IFERROR(INDEX(Table35[#All],MATCH(Table1[[#This Row],[Key_Year_Week_Brand]],Table35[[#All],[Key_Year_Month_Brand]],0),MATCH(Table1[[#This Row],[DC_name_Xref]],Table35[#Headers],0)),0)</f>
        <v>0</v>
      </c>
    </row>
    <row r="607" spans="1:15" x14ac:dyDescent="0.3">
      <c r="A607" s="19" t="str">
        <f>Table1[[#This Row],[Year_Week]]&amp;"-"&amp;Table1[[#This Row],[DC_name_Xref]]</f>
        <v>202047-EAO</v>
      </c>
      <c r="B607" s="19" t="str">
        <f>Table1[[#This Row],[Fiscal_Year]]*100+Table1[[#This Row],[Fiscal_Week]] &amp; "-" &amp;Table1[[#This Row],[BRAND]]</f>
        <v>202047-Athleta</v>
      </c>
      <c r="C607" t="str">
        <f>Table1[[#This Row],[Fiscal_Year]]&amp;"-"&amp;Table1[[#This Row],[BRAND]]</f>
        <v>2020-Athleta</v>
      </c>
      <c r="D607">
        <v>2020</v>
      </c>
      <c r="E607">
        <v>47</v>
      </c>
      <c r="F607" t="s">
        <v>19</v>
      </c>
      <c r="G607" t="s">
        <v>8</v>
      </c>
      <c r="H607">
        <v>4</v>
      </c>
      <c r="I607">
        <v>0</v>
      </c>
      <c r="J607" t="str">
        <f>VLOOKUP(H607,DC_Xref!A:B,2,FALSE)</f>
        <v>EAO</v>
      </c>
      <c r="K607">
        <f t="shared" si="9"/>
        <v>202047</v>
      </c>
      <c r="L607">
        <f>IFERROR(Table1[[#This Row],[Demand]]/SUMIFS(Table1[Demand],Table1[Fiscal_Year],Table1[[#This Row],[Fiscal_Year]],Table1[BRAND],Table1[[#This Row],[BRAND]],Table1[DC_name_Xref],Table1[[#This Row],[DC_name_Xref]]),0)</f>
        <v>0</v>
      </c>
      <c r="M6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3.5247963548905963E-5</v>
      </c>
      <c r="N607" s="3">
        <f>IFERROR(INDEX(Table3[#All],MATCH(Table1[[#This Row],[Key_Year_Week_Brand]],Table3[[#All],[Key_Year_Week_Brand]],0),MATCH(Table1[[#This Row],[DC_name_Xref]],Table3[#Headers],0)),0)</f>
        <v>3.447122356821831E-5</v>
      </c>
      <c r="O607">
        <f>IFERROR(INDEX(Table35[#All],MATCH(Table1[[#This Row],[Key_Year_Week_Brand]],Table35[[#All],[Key_Year_Month_Brand]],0),MATCH(Table1[[#This Row],[DC_name_Xref]],Table35[#Headers],0)),0)</f>
        <v>10.698420004185099</v>
      </c>
    </row>
    <row r="608" spans="1:15" x14ac:dyDescent="0.3">
      <c r="A608" s="19" t="str">
        <f>Table1[[#This Row],[Year_Week]]&amp;"-"&amp;Table1[[#This Row],[DC_name_Xref]]</f>
        <v>202047-FFC-ODC</v>
      </c>
      <c r="B608" s="19" t="str">
        <f>Table1[[#This Row],[Fiscal_Year]]*100+Table1[[#This Row],[Fiscal_Week]] &amp; "-" &amp;Table1[[#This Row],[BRAND]]</f>
        <v>202047-Athleta</v>
      </c>
      <c r="C608" t="str">
        <f>Table1[[#This Row],[Fiscal_Year]]&amp;"-"&amp;Table1[[#This Row],[BRAND]]</f>
        <v>2020-Athleta</v>
      </c>
      <c r="D608">
        <v>2020</v>
      </c>
      <c r="E608">
        <v>47</v>
      </c>
      <c r="F608" t="s">
        <v>19</v>
      </c>
      <c r="G608" t="s">
        <v>23</v>
      </c>
      <c r="H608">
        <v>5</v>
      </c>
      <c r="I608">
        <v>0</v>
      </c>
      <c r="J608" t="str">
        <f>VLOOKUP(H608,DC_Xref!A:B,2,FALSE)</f>
        <v>FFC-ODC</v>
      </c>
      <c r="K608">
        <f t="shared" si="9"/>
        <v>202047</v>
      </c>
      <c r="L608">
        <f>IFERROR(Table1[[#This Row],[Demand]]/SUMIFS(Table1[Demand],Table1[Fiscal_Year],Table1[[#This Row],[Fiscal_Year]],Table1[BRAND],Table1[[#This Row],[BRAND]],Table1[DC_name_Xref],Table1[[#This Row],[DC_name_Xref]]),0)</f>
        <v>0</v>
      </c>
      <c r="M6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08" s="3">
        <f>IFERROR(INDEX(Table3[#All],MATCH(Table1[[#This Row],[Key_Year_Week_Brand]],Table3[[#All],[Key_Year_Week_Brand]],0),MATCH(Table1[[#This Row],[DC_name_Xref]],Table3[#Headers],0)),0)</f>
        <v>0</v>
      </c>
      <c r="O608">
        <f>IFERROR(INDEX(Table35[#All],MATCH(Table1[[#This Row],[Key_Year_Week_Brand]],Table35[[#All],[Key_Year_Month_Brand]],0),MATCH(Table1[[#This Row],[DC_name_Xref]],Table35[#Headers],0)),0)</f>
        <v>0</v>
      </c>
    </row>
    <row r="609" spans="1:15" x14ac:dyDescent="0.3">
      <c r="A609" s="19" t="str">
        <f>Table1[[#This Row],[Year_Week]]&amp;"-"&amp;Table1[[#This Row],[DC_name_Xref]]</f>
        <v>202047-WEO</v>
      </c>
      <c r="B609" s="19" t="str">
        <f>Table1[[#This Row],[Fiscal_Year]]*100+Table1[[#This Row],[Fiscal_Week]] &amp; "-" &amp;Table1[[#This Row],[BRAND]]</f>
        <v>202047-Athleta</v>
      </c>
      <c r="C609" t="str">
        <f>Table1[[#This Row],[Fiscal_Year]]&amp;"-"&amp;Table1[[#This Row],[BRAND]]</f>
        <v>2020-Athleta</v>
      </c>
      <c r="D609">
        <v>2020</v>
      </c>
      <c r="E609">
        <v>47</v>
      </c>
      <c r="F609" t="s">
        <v>19</v>
      </c>
      <c r="G609" t="s">
        <v>10</v>
      </c>
      <c r="H609">
        <v>6</v>
      </c>
      <c r="I609">
        <v>0</v>
      </c>
      <c r="J609" t="str">
        <f>VLOOKUP(H609,DC_Xref!A:B,2,FALSE)</f>
        <v>WEO</v>
      </c>
      <c r="K609">
        <f t="shared" si="9"/>
        <v>202047</v>
      </c>
      <c r="L609">
        <f>IFERROR(Table1[[#This Row],[Demand]]/SUMIFS(Table1[Demand],Table1[Fiscal_Year],Table1[[#This Row],[Fiscal_Year]],Table1[BRAND],Table1[[#This Row],[BRAND]],Table1[DC_name_Xref],Table1[[#This Row],[DC_name_Xref]]),0)</f>
        <v>0</v>
      </c>
      <c r="M6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09" s="3">
        <f>IFERROR(INDEX(Table3[#All],MATCH(Table1[[#This Row],[Key_Year_Week_Brand]],Table3[[#All],[Key_Year_Week_Brand]],0),MATCH(Table1[[#This Row],[DC_name_Xref]],Table3[#Headers],0)),0)</f>
        <v>0</v>
      </c>
      <c r="O609">
        <f>IFERROR(INDEX(Table35[#All],MATCH(Table1[[#This Row],[Key_Year_Week_Brand]],Table35[[#All],[Key_Year_Month_Brand]],0),MATCH(Table1[[#This Row],[DC_name_Xref]],Table35[#Headers],0)),0)</f>
        <v>0</v>
      </c>
    </row>
    <row r="610" spans="1:15" x14ac:dyDescent="0.3">
      <c r="A610" s="19" t="str">
        <f>Table1[[#This Row],[Year_Week]]&amp;"-"&amp;Table1[[#This Row],[DC_name_Xref]]</f>
        <v>202047-OCC</v>
      </c>
      <c r="B610" s="19" t="str">
        <f>Table1[[#This Row],[Fiscal_Year]]*100+Table1[[#This Row],[Fiscal_Week]] &amp; "-" &amp;Table1[[#This Row],[BRAND]]</f>
        <v>202047-Athleta</v>
      </c>
      <c r="C610" t="str">
        <f>Table1[[#This Row],[Fiscal_Year]]&amp;"-"&amp;Table1[[#This Row],[BRAND]]</f>
        <v>2020-Athleta</v>
      </c>
      <c r="D610">
        <v>2020</v>
      </c>
      <c r="E610">
        <v>47</v>
      </c>
      <c r="F610" t="s">
        <v>19</v>
      </c>
      <c r="G610" t="s">
        <v>11</v>
      </c>
      <c r="H610">
        <v>7</v>
      </c>
      <c r="I610">
        <v>0</v>
      </c>
      <c r="J610" t="str">
        <f>VLOOKUP(H610,DC_Xref!A:B,2,FALSE)</f>
        <v>OCC</v>
      </c>
      <c r="K610">
        <f t="shared" si="9"/>
        <v>202047</v>
      </c>
      <c r="L610">
        <f>IFERROR(Table1[[#This Row],[Demand]]/SUMIFS(Table1[Demand],Table1[Fiscal_Year],Table1[[#This Row],[Fiscal_Year]],Table1[BRAND],Table1[[#This Row],[BRAND]],Table1[DC_name_Xref],Table1[[#This Row],[DC_name_Xref]]),0)</f>
        <v>0</v>
      </c>
      <c r="M6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0" s="3">
        <f>IFERROR(INDEX(Table3[#All],MATCH(Table1[[#This Row],[Key_Year_Week_Brand]],Table3[[#All],[Key_Year_Week_Brand]],0),MATCH(Table1[[#This Row],[DC_name_Xref]],Table3[#Headers],0)),0)</f>
        <v>0</v>
      </c>
      <c r="O610">
        <f>IFERROR(INDEX(Table35[#All],MATCH(Table1[[#This Row],[Key_Year_Week_Brand]],Table35[[#All],[Key_Year_Month_Brand]],0),MATCH(Table1[[#This Row],[DC_name_Xref]],Table35[#Headers],0)),0)</f>
        <v>0</v>
      </c>
    </row>
    <row r="611" spans="1:15" x14ac:dyDescent="0.3">
      <c r="A611" s="19" t="str">
        <f>Table1[[#This Row],[Year_Week]]&amp;"-"&amp;Table1[[#This Row],[DC_name_Xref]]</f>
        <v>202047-OFC</v>
      </c>
      <c r="B611" s="19" t="str">
        <f>Table1[[#This Row],[Fiscal_Year]]*100+Table1[[#This Row],[Fiscal_Week]] &amp; "-" &amp;Table1[[#This Row],[BRAND]]</f>
        <v>202047-BR Factory Store</v>
      </c>
      <c r="C611" t="str">
        <f>Table1[[#This Row],[Fiscal_Year]]&amp;"-"&amp;Table1[[#This Row],[BRAND]]</f>
        <v>2020-BR Factory Store</v>
      </c>
      <c r="D611">
        <v>2020</v>
      </c>
      <c r="E611">
        <v>47</v>
      </c>
      <c r="F611" t="s">
        <v>17</v>
      </c>
      <c r="G611" t="s">
        <v>5</v>
      </c>
      <c r="H611">
        <v>1</v>
      </c>
      <c r="I611">
        <v>131208</v>
      </c>
      <c r="J611" t="str">
        <f>VLOOKUP(H611,DC_Xref!A:B,2,FALSE)</f>
        <v>OFC</v>
      </c>
      <c r="K611">
        <f t="shared" si="9"/>
        <v>202047</v>
      </c>
      <c r="L611">
        <f>IFERROR(Table1[[#This Row],[Demand]]/SUMIFS(Table1[Demand],Table1[Fiscal_Year],Table1[[#This Row],[Fiscal_Year]],Table1[BRAND],Table1[[#This Row],[BRAND]],Table1[DC_name_Xref],Table1[[#This Row],[DC_name_Xref]]),0)</f>
        <v>9.4317908167849768E-2</v>
      </c>
      <c r="M6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611" s="3">
        <f>IFERROR(INDEX(Table3[#All],MATCH(Table1[[#This Row],[Key_Year_Week_Brand]],Table3[[#All],[Key_Year_Week_Brand]],0),MATCH(Table1[[#This Row],[DC_name_Xref]],Table3[#Headers],0)),0)</f>
        <v>1</v>
      </c>
      <c r="O611">
        <f>IFERROR(INDEX(Table35[#All],MATCH(Table1[[#This Row],[Key_Year_Week_Brand]],Table35[[#All],[Key_Year_Month_Brand]],0),MATCH(Table1[[#This Row],[DC_name_Xref]],Table35[#Headers],0)),0)</f>
        <v>131208</v>
      </c>
    </row>
    <row r="612" spans="1:15" x14ac:dyDescent="0.3">
      <c r="A612" s="19" t="str">
        <f>Table1[[#This Row],[Year_Week]]&amp;"-"&amp;Table1[[#This Row],[DC_name_Xref]]</f>
        <v>202047-TFC</v>
      </c>
      <c r="B612" s="19" t="str">
        <f>Table1[[#This Row],[Fiscal_Year]]*100+Table1[[#This Row],[Fiscal_Week]] &amp; "-" &amp;Table1[[#This Row],[BRAND]]</f>
        <v>202047-BR Factory Store</v>
      </c>
      <c r="C612" t="str">
        <f>Table1[[#This Row],[Fiscal_Year]]&amp;"-"&amp;Table1[[#This Row],[BRAND]]</f>
        <v>2020-BR Factory Store</v>
      </c>
      <c r="D612">
        <v>2020</v>
      </c>
      <c r="E612">
        <v>47</v>
      </c>
      <c r="F612" t="s">
        <v>17</v>
      </c>
      <c r="G612" t="s">
        <v>21</v>
      </c>
      <c r="H612">
        <v>2</v>
      </c>
      <c r="I612">
        <v>0</v>
      </c>
      <c r="J612" t="str">
        <f>VLOOKUP(H612,DC_Xref!A:B,2,FALSE)</f>
        <v>TFC</v>
      </c>
      <c r="K612">
        <f t="shared" si="9"/>
        <v>202047</v>
      </c>
      <c r="L612">
        <f>IFERROR(Table1[[#This Row],[Demand]]/SUMIFS(Table1[Demand],Table1[Fiscal_Year],Table1[[#This Row],[Fiscal_Year]],Table1[BRAND],Table1[[#This Row],[BRAND]],Table1[DC_name_Xref],Table1[[#This Row],[DC_name_Xref]]),0)</f>
        <v>0</v>
      </c>
      <c r="M6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2" s="3">
        <f>IFERROR(INDEX(Table3[#All],MATCH(Table1[[#This Row],[Key_Year_Week_Brand]],Table3[[#All],[Key_Year_Week_Brand]],0),MATCH(Table1[[#This Row],[DC_name_Xref]],Table3[#Headers],0)),0)</f>
        <v>0</v>
      </c>
      <c r="O612">
        <f>IFERROR(INDEX(Table35[#All],MATCH(Table1[[#This Row],[Key_Year_Week_Brand]],Table35[[#All],[Key_Year_Month_Brand]],0),MATCH(Table1[[#This Row],[DC_name_Xref]],Table35[#Headers],0)),0)</f>
        <v>0</v>
      </c>
    </row>
    <row r="613" spans="1:15" x14ac:dyDescent="0.3">
      <c r="A613" s="19" t="str">
        <f>Table1[[#This Row],[Year_Week]]&amp;"-"&amp;Table1[[#This Row],[DC_name_Xref]]</f>
        <v>202047-WFC</v>
      </c>
      <c r="B613" s="19" t="str">
        <f>Table1[[#This Row],[Fiscal_Year]]*100+Table1[[#This Row],[Fiscal_Week]] &amp; "-" &amp;Table1[[#This Row],[BRAND]]</f>
        <v>202047-BR Factory Store</v>
      </c>
      <c r="C613" t="str">
        <f>Table1[[#This Row],[Fiscal_Year]]&amp;"-"&amp;Table1[[#This Row],[BRAND]]</f>
        <v>2020-BR Factory Store</v>
      </c>
      <c r="D613">
        <v>2020</v>
      </c>
      <c r="E613">
        <v>47</v>
      </c>
      <c r="F613" t="s">
        <v>17</v>
      </c>
      <c r="G613" t="s">
        <v>7</v>
      </c>
      <c r="H613">
        <v>3</v>
      </c>
      <c r="I613">
        <v>0</v>
      </c>
      <c r="J613" t="str">
        <f>VLOOKUP(H613,DC_Xref!A:B,2,FALSE)</f>
        <v>WFC</v>
      </c>
      <c r="K613">
        <f t="shared" si="9"/>
        <v>202047</v>
      </c>
      <c r="L613">
        <f>IFERROR(Table1[[#This Row],[Demand]]/SUMIFS(Table1[Demand],Table1[Fiscal_Year],Table1[[#This Row],[Fiscal_Year]],Table1[BRAND],Table1[[#This Row],[BRAND]],Table1[DC_name_Xref],Table1[[#This Row],[DC_name_Xref]]),0)</f>
        <v>0</v>
      </c>
      <c r="M6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3" s="3">
        <f>IFERROR(INDEX(Table3[#All],MATCH(Table1[[#This Row],[Key_Year_Week_Brand]],Table3[[#All],[Key_Year_Week_Brand]],0),MATCH(Table1[[#This Row],[DC_name_Xref]],Table3[#Headers],0)),0)</f>
        <v>0</v>
      </c>
      <c r="O613">
        <f>IFERROR(INDEX(Table35[#All],MATCH(Table1[[#This Row],[Key_Year_Week_Brand]],Table35[[#All],[Key_Year_Month_Brand]],0),MATCH(Table1[[#This Row],[DC_name_Xref]],Table35[#Headers],0)),0)</f>
        <v>0</v>
      </c>
    </row>
    <row r="614" spans="1:15" x14ac:dyDescent="0.3">
      <c r="A614" s="19" t="str">
        <f>Table1[[#This Row],[Year_Week]]&amp;"-"&amp;Table1[[#This Row],[DC_name_Xref]]</f>
        <v>202047-EAO</v>
      </c>
      <c r="B614" s="19" t="str">
        <f>Table1[[#This Row],[Fiscal_Year]]*100+Table1[[#This Row],[Fiscal_Week]] &amp; "-" &amp;Table1[[#This Row],[BRAND]]</f>
        <v>202047-BR Factory Store</v>
      </c>
      <c r="C614" t="str">
        <f>Table1[[#This Row],[Fiscal_Year]]&amp;"-"&amp;Table1[[#This Row],[BRAND]]</f>
        <v>2020-BR Factory Store</v>
      </c>
      <c r="D614">
        <v>2020</v>
      </c>
      <c r="E614">
        <v>47</v>
      </c>
      <c r="F614" t="s">
        <v>17</v>
      </c>
      <c r="G614" t="s">
        <v>8</v>
      </c>
      <c r="H614">
        <v>4</v>
      </c>
      <c r="I614">
        <v>0</v>
      </c>
      <c r="J614" t="str">
        <f>VLOOKUP(H614,DC_Xref!A:B,2,FALSE)</f>
        <v>EAO</v>
      </c>
      <c r="K614">
        <f t="shared" si="9"/>
        <v>202047</v>
      </c>
      <c r="L614">
        <f>IFERROR(Table1[[#This Row],[Demand]]/SUMIFS(Table1[Demand],Table1[Fiscal_Year],Table1[[#This Row],[Fiscal_Year]],Table1[BRAND],Table1[[#This Row],[BRAND]],Table1[DC_name_Xref],Table1[[#This Row],[DC_name_Xref]]),0)</f>
        <v>0</v>
      </c>
      <c r="M6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4" s="3">
        <f>IFERROR(INDEX(Table3[#All],MATCH(Table1[[#This Row],[Key_Year_Week_Brand]],Table3[[#All],[Key_Year_Week_Brand]],0),MATCH(Table1[[#This Row],[DC_name_Xref]],Table3[#Headers],0)),0)</f>
        <v>0</v>
      </c>
      <c r="O614">
        <f>IFERROR(INDEX(Table35[#All],MATCH(Table1[[#This Row],[Key_Year_Week_Brand]],Table35[[#All],[Key_Year_Month_Brand]],0),MATCH(Table1[[#This Row],[DC_name_Xref]],Table35[#Headers],0)),0)</f>
        <v>0</v>
      </c>
    </row>
    <row r="615" spans="1:15" x14ac:dyDescent="0.3">
      <c r="A615" s="19" t="str">
        <f>Table1[[#This Row],[Year_Week]]&amp;"-"&amp;Table1[[#This Row],[DC_name_Xref]]</f>
        <v>202047-FFC-ODC</v>
      </c>
      <c r="B615" s="19" t="str">
        <f>Table1[[#This Row],[Fiscal_Year]]*100+Table1[[#This Row],[Fiscal_Week]] &amp; "-" &amp;Table1[[#This Row],[BRAND]]</f>
        <v>202047-BR Factory Store</v>
      </c>
      <c r="C615" t="str">
        <f>Table1[[#This Row],[Fiscal_Year]]&amp;"-"&amp;Table1[[#This Row],[BRAND]]</f>
        <v>2020-BR Factory Store</v>
      </c>
      <c r="D615">
        <v>2020</v>
      </c>
      <c r="E615">
        <v>47</v>
      </c>
      <c r="F615" t="s">
        <v>17</v>
      </c>
      <c r="G615" t="s">
        <v>23</v>
      </c>
      <c r="H615">
        <v>5</v>
      </c>
      <c r="I615">
        <v>0</v>
      </c>
      <c r="J615" t="str">
        <f>VLOOKUP(H615,DC_Xref!A:B,2,FALSE)</f>
        <v>FFC-ODC</v>
      </c>
      <c r="K615">
        <f t="shared" si="9"/>
        <v>202047</v>
      </c>
      <c r="L615">
        <f>IFERROR(Table1[[#This Row],[Demand]]/SUMIFS(Table1[Demand],Table1[Fiscal_Year],Table1[[#This Row],[Fiscal_Year]],Table1[BRAND],Table1[[#This Row],[BRAND]],Table1[DC_name_Xref],Table1[[#This Row],[DC_name_Xref]]),0)</f>
        <v>0</v>
      </c>
      <c r="M6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5" s="3">
        <f>IFERROR(INDEX(Table3[#All],MATCH(Table1[[#This Row],[Key_Year_Week_Brand]],Table3[[#All],[Key_Year_Week_Brand]],0),MATCH(Table1[[#This Row],[DC_name_Xref]],Table3[#Headers],0)),0)</f>
        <v>0</v>
      </c>
      <c r="O615">
        <f>IFERROR(INDEX(Table35[#All],MATCH(Table1[[#This Row],[Key_Year_Week_Brand]],Table35[[#All],[Key_Year_Month_Brand]],0),MATCH(Table1[[#This Row],[DC_name_Xref]],Table35[#Headers],0)),0)</f>
        <v>0</v>
      </c>
    </row>
    <row r="616" spans="1:15" x14ac:dyDescent="0.3">
      <c r="A616" s="19" t="str">
        <f>Table1[[#This Row],[Year_Week]]&amp;"-"&amp;Table1[[#This Row],[DC_name_Xref]]</f>
        <v>202047-WEO</v>
      </c>
      <c r="B616" s="19" t="str">
        <f>Table1[[#This Row],[Fiscal_Year]]*100+Table1[[#This Row],[Fiscal_Week]] &amp; "-" &amp;Table1[[#This Row],[BRAND]]</f>
        <v>202047-BR Factory Store</v>
      </c>
      <c r="C616" t="str">
        <f>Table1[[#This Row],[Fiscal_Year]]&amp;"-"&amp;Table1[[#This Row],[BRAND]]</f>
        <v>2020-BR Factory Store</v>
      </c>
      <c r="D616">
        <v>2020</v>
      </c>
      <c r="E616">
        <v>47</v>
      </c>
      <c r="F616" t="s">
        <v>17</v>
      </c>
      <c r="G616" t="s">
        <v>10</v>
      </c>
      <c r="H616">
        <v>6</v>
      </c>
      <c r="I616">
        <v>0</v>
      </c>
      <c r="J616" t="str">
        <f>VLOOKUP(H616,DC_Xref!A:B,2,FALSE)</f>
        <v>WEO</v>
      </c>
      <c r="K616">
        <f t="shared" si="9"/>
        <v>202047</v>
      </c>
      <c r="L616">
        <f>IFERROR(Table1[[#This Row],[Demand]]/SUMIFS(Table1[Demand],Table1[Fiscal_Year],Table1[[#This Row],[Fiscal_Year]],Table1[BRAND],Table1[[#This Row],[BRAND]],Table1[DC_name_Xref],Table1[[#This Row],[DC_name_Xref]]),0)</f>
        <v>0</v>
      </c>
      <c r="M6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6" s="3">
        <f>IFERROR(INDEX(Table3[#All],MATCH(Table1[[#This Row],[Key_Year_Week_Brand]],Table3[[#All],[Key_Year_Week_Brand]],0),MATCH(Table1[[#This Row],[DC_name_Xref]],Table3[#Headers],0)),0)</f>
        <v>0</v>
      </c>
      <c r="O616">
        <f>IFERROR(INDEX(Table35[#All],MATCH(Table1[[#This Row],[Key_Year_Week_Brand]],Table35[[#All],[Key_Year_Month_Brand]],0),MATCH(Table1[[#This Row],[DC_name_Xref]],Table35[#Headers],0)),0)</f>
        <v>0</v>
      </c>
    </row>
    <row r="617" spans="1:15" x14ac:dyDescent="0.3">
      <c r="A617" s="19" t="str">
        <f>Table1[[#This Row],[Year_Week]]&amp;"-"&amp;Table1[[#This Row],[DC_name_Xref]]</f>
        <v>202047-OCC</v>
      </c>
      <c r="B617" s="19" t="str">
        <f>Table1[[#This Row],[Fiscal_Year]]*100+Table1[[#This Row],[Fiscal_Week]] &amp; "-" &amp;Table1[[#This Row],[BRAND]]</f>
        <v>202047-BR Factory Store</v>
      </c>
      <c r="C617" t="str">
        <f>Table1[[#This Row],[Fiscal_Year]]&amp;"-"&amp;Table1[[#This Row],[BRAND]]</f>
        <v>2020-BR Factory Store</v>
      </c>
      <c r="D617">
        <v>2020</v>
      </c>
      <c r="E617">
        <v>47</v>
      </c>
      <c r="F617" t="s">
        <v>17</v>
      </c>
      <c r="G617" t="s">
        <v>11</v>
      </c>
      <c r="H617">
        <v>7</v>
      </c>
      <c r="I617">
        <v>0</v>
      </c>
      <c r="J617" t="str">
        <f>VLOOKUP(H617,DC_Xref!A:B,2,FALSE)</f>
        <v>OCC</v>
      </c>
      <c r="K617">
        <f t="shared" si="9"/>
        <v>202047</v>
      </c>
      <c r="L617">
        <f>IFERROR(Table1[[#This Row],[Demand]]/SUMIFS(Table1[Demand],Table1[Fiscal_Year],Table1[[#This Row],[Fiscal_Year]],Table1[BRAND],Table1[[#This Row],[BRAND]],Table1[DC_name_Xref],Table1[[#This Row],[DC_name_Xref]]),0)</f>
        <v>0</v>
      </c>
      <c r="M6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17" s="3">
        <f>IFERROR(INDEX(Table3[#All],MATCH(Table1[[#This Row],[Key_Year_Week_Brand]],Table3[[#All],[Key_Year_Week_Brand]],0),MATCH(Table1[[#This Row],[DC_name_Xref]],Table3[#Headers],0)),0)</f>
        <v>0</v>
      </c>
      <c r="O617">
        <f>IFERROR(INDEX(Table35[#All],MATCH(Table1[[#This Row],[Key_Year_Week_Brand]],Table35[[#All],[Key_Year_Month_Brand]],0),MATCH(Table1[[#This Row],[DC_name_Xref]],Table35[#Headers],0)),0)</f>
        <v>0</v>
      </c>
    </row>
    <row r="618" spans="1:15" x14ac:dyDescent="0.3">
      <c r="A618" s="19" t="str">
        <f>Table1[[#This Row],[Year_Week]]&amp;"-"&amp;Table1[[#This Row],[DC_name_Xref]]</f>
        <v>202047-OFC</v>
      </c>
      <c r="B618" s="19" t="str">
        <f>Table1[[#This Row],[Fiscal_Year]]*100+Table1[[#This Row],[Fiscal_Week]] &amp; "-" &amp;Table1[[#This Row],[BRAND]]</f>
        <v>202047-Old Navy</v>
      </c>
      <c r="C618" t="str">
        <f>Table1[[#This Row],[Fiscal_Year]]&amp;"-"&amp;Table1[[#This Row],[BRAND]]</f>
        <v>2020-Old Navy</v>
      </c>
      <c r="D618">
        <v>2020</v>
      </c>
      <c r="E618">
        <v>47</v>
      </c>
      <c r="F618" t="s">
        <v>20</v>
      </c>
      <c r="G618" t="s">
        <v>5</v>
      </c>
      <c r="H618">
        <v>1</v>
      </c>
      <c r="I618">
        <v>612581</v>
      </c>
      <c r="J618" t="str">
        <f>VLOOKUP(H618,DC_Xref!A:B,2,FALSE)</f>
        <v>OFC</v>
      </c>
      <c r="K618">
        <f t="shared" si="9"/>
        <v>202047</v>
      </c>
      <c r="L618">
        <f>IFERROR(Table1[[#This Row],[Demand]]/SUMIFS(Table1[Demand],Table1[Fiscal_Year],Table1[[#This Row],[Fiscal_Year]],Table1[BRAND],Table1[[#This Row],[BRAND]],Table1[DC_name_Xref],Table1[[#This Row],[DC_name_Xref]]),0)</f>
        <v>8.3066639926135388E-2</v>
      </c>
      <c r="M6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0.29585489906110074</v>
      </c>
      <c r="N618" s="3">
        <f>IFERROR(INDEX(Table3[#All],MATCH(Table1[[#This Row],[Key_Year_Week_Brand]],Table3[[#All],[Key_Year_Week_Brand]],0),MATCH(Table1[[#This Row],[DC_name_Xref]],Table3[#Headers],0)),0)</f>
        <v>0.1</v>
      </c>
      <c r="O618">
        <f>IFERROR(INDEX(Table35[#All],MATCH(Table1[[#This Row],[Key_Year_Week_Brand]],Table35[[#All],[Key_Year_Month_Brand]],0),MATCH(Table1[[#This Row],[DC_name_Xref]],Table35[#Headers],0)),0)</f>
        <v>168470.90000000002</v>
      </c>
    </row>
    <row r="619" spans="1:15" x14ac:dyDescent="0.3">
      <c r="A619" s="19" t="str">
        <f>Table1[[#This Row],[Year_Week]]&amp;"-"&amp;Table1[[#This Row],[DC_name_Xref]]</f>
        <v>202047-TFC</v>
      </c>
      <c r="B619" s="19" t="str">
        <f>Table1[[#This Row],[Fiscal_Year]]*100+Table1[[#This Row],[Fiscal_Week]] &amp; "-" &amp;Table1[[#This Row],[BRAND]]</f>
        <v>202047-Old Navy</v>
      </c>
      <c r="C619" t="str">
        <f>Table1[[#This Row],[Fiscal_Year]]&amp;"-"&amp;Table1[[#This Row],[BRAND]]</f>
        <v>2020-Old Navy</v>
      </c>
      <c r="D619">
        <v>2020</v>
      </c>
      <c r="E619">
        <v>47</v>
      </c>
      <c r="F619" t="s">
        <v>20</v>
      </c>
      <c r="G619" t="s">
        <v>21</v>
      </c>
      <c r="H619">
        <v>2</v>
      </c>
      <c r="I619">
        <v>249565</v>
      </c>
      <c r="J619" t="str">
        <f>VLOOKUP(H619,DC_Xref!A:B,2,FALSE)</f>
        <v>TFC</v>
      </c>
      <c r="K619">
        <f t="shared" si="9"/>
        <v>202047</v>
      </c>
      <c r="L619">
        <f>IFERROR(Table1[[#This Row],[Demand]]/SUMIFS(Table1[Demand],Table1[Fiscal_Year],Table1[[#This Row],[Fiscal_Year]],Table1[BRAND],Table1[[#This Row],[BRAND]],Table1[DC_name_Xref],Table1[[#This Row],[DC_name_Xref]]),0)</f>
        <v>5.8870666407498759E-2</v>
      </c>
      <c r="M6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0.17006956944341195</v>
      </c>
      <c r="N619" s="3">
        <f>IFERROR(INDEX(Table3[#All],MATCH(Table1[[#This Row],[Key_Year_Week_Brand]],Table3[[#All],[Key_Year_Week_Brand]],0),MATCH(Table1[[#This Row],[DC_name_Xref]],Table3[#Headers],0)),0)</f>
        <v>0.2</v>
      </c>
      <c r="O619">
        <f>IFERROR(INDEX(Table35[#All],MATCH(Table1[[#This Row],[Key_Year_Week_Brand]],Table35[[#All],[Key_Year_Month_Brand]],0),MATCH(Table1[[#This Row],[DC_name_Xref]],Table35[#Headers],0)),0)</f>
        <v>336941.80000000005</v>
      </c>
    </row>
    <row r="620" spans="1:15" x14ac:dyDescent="0.3">
      <c r="A620" s="19" t="str">
        <f>Table1[[#This Row],[Year_Week]]&amp;"-"&amp;Table1[[#This Row],[DC_name_Xref]]</f>
        <v>202047-WFC</v>
      </c>
      <c r="B620" s="19" t="str">
        <f>Table1[[#This Row],[Fiscal_Year]]*100+Table1[[#This Row],[Fiscal_Week]] &amp; "-" &amp;Table1[[#This Row],[BRAND]]</f>
        <v>202047-Old Navy</v>
      </c>
      <c r="C620" t="str">
        <f>Table1[[#This Row],[Fiscal_Year]]&amp;"-"&amp;Table1[[#This Row],[BRAND]]</f>
        <v>2020-Old Navy</v>
      </c>
      <c r="D620">
        <v>2020</v>
      </c>
      <c r="E620">
        <v>47</v>
      </c>
      <c r="F620" t="s">
        <v>20</v>
      </c>
      <c r="G620" t="s">
        <v>7</v>
      </c>
      <c r="H620">
        <v>3</v>
      </c>
      <c r="I620">
        <v>281721</v>
      </c>
      <c r="J620" t="str">
        <f>VLOOKUP(H620,DC_Xref!A:B,2,FALSE)</f>
        <v>WFC</v>
      </c>
      <c r="K620">
        <f t="shared" si="9"/>
        <v>202047</v>
      </c>
      <c r="L620">
        <f>IFERROR(Table1[[#This Row],[Demand]]/SUMIFS(Table1[Demand],Table1[Fiscal_Year],Table1[[#This Row],[Fiscal_Year]],Table1[BRAND],Table1[[#This Row],[BRAND]],Table1[DC_name_Xref],Table1[[#This Row],[DC_name_Xref]]),0)</f>
        <v>5.6039914472397777E-2</v>
      </c>
      <c r="M6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0.20168037660758306</v>
      </c>
      <c r="N620" s="3">
        <f>IFERROR(INDEX(Table3[#All],MATCH(Table1[[#This Row],[Key_Year_Week_Brand]],Table3[[#All],[Key_Year_Week_Brand]],0),MATCH(Table1[[#This Row],[DC_name_Xref]],Table3[#Headers],0)),0)</f>
        <v>0.02</v>
      </c>
      <c r="O620">
        <f>IFERROR(INDEX(Table35[#All],MATCH(Table1[[#This Row],[Key_Year_Week_Brand]],Table35[[#All],[Key_Year_Month_Brand]],0),MATCH(Table1[[#This Row],[DC_name_Xref]],Table35[#Headers],0)),0)</f>
        <v>33694.18</v>
      </c>
    </row>
    <row r="621" spans="1:15" x14ac:dyDescent="0.3">
      <c r="A621" s="19" t="str">
        <f>Table1[[#This Row],[Year_Week]]&amp;"-"&amp;Table1[[#This Row],[DC_name_Xref]]</f>
        <v>202047-EAO</v>
      </c>
      <c r="B621" s="19" t="str">
        <f>Table1[[#This Row],[Fiscal_Year]]*100+Table1[[#This Row],[Fiscal_Week]] &amp; "-" &amp;Table1[[#This Row],[BRAND]]</f>
        <v>202047-Old Navy</v>
      </c>
      <c r="C621" t="str">
        <f>Table1[[#This Row],[Fiscal_Year]]&amp;"-"&amp;Table1[[#This Row],[BRAND]]</f>
        <v>2020-Old Navy</v>
      </c>
      <c r="D621">
        <v>2020</v>
      </c>
      <c r="E621">
        <v>47</v>
      </c>
      <c r="F621" t="s">
        <v>20</v>
      </c>
      <c r="G621" t="s">
        <v>8</v>
      </c>
      <c r="H621">
        <v>4</v>
      </c>
      <c r="I621">
        <v>540842</v>
      </c>
      <c r="J621" t="str">
        <f>VLOOKUP(H621,DC_Xref!A:B,2,FALSE)</f>
        <v>EAO</v>
      </c>
      <c r="K621">
        <f t="shared" si="9"/>
        <v>202047</v>
      </c>
      <c r="L621">
        <f>IFERROR(Table1[[#This Row],[Demand]]/SUMIFS(Table1[Demand],Table1[Fiscal_Year],Table1[[#This Row],[Fiscal_Year]],Table1[BRAND],Table1[[#This Row],[BRAND]],Table1[DC_name_Xref],Table1[[#This Row],[DC_name_Xref]]),0)</f>
        <v>6.5276612908968523E-2</v>
      </c>
      <c r="M6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0.33239515488790422</v>
      </c>
      <c r="N621" s="3">
        <f>IFERROR(INDEX(Table3[#All],MATCH(Table1[[#This Row],[Key_Year_Week_Brand]],Table3[[#All],[Key_Year_Week_Brand]],0),MATCH(Table1[[#This Row],[DC_name_Xref]],Table3[#Headers],0)),0)</f>
        <v>0.41</v>
      </c>
      <c r="O621">
        <f>IFERROR(INDEX(Table35[#All],MATCH(Table1[[#This Row],[Key_Year_Week_Brand]],Table35[[#All],[Key_Year_Month_Brand]],0),MATCH(Table1[[#This Row],[DC_name_Xref]],Table35[#Headers],0)),0)</f>
        <v>690730.69</v>
      </c>
    </row>
    <row r="622" spans="1:15" x14ac:dyDescent="0.3">
      <c r="A622" s="19" t="str">
        <f>Table1[[#This Row],[Year_Week]]&amp;"-"&amp;Table1[[#This Row],[DC_name_Xref]]</f>
        <v>202047-FFC-ODC</v>
      </c>
      <c r="B622" s="19" t="str">
        <f>Table1[[#This Row],[Fiscal_Year]]*100+Table1[[#This Row],[Fiscal_Week]] &amp; "-" &amp;Table1[[#This Row],[BRAND]]</f>
        <v>202047-Old Navy</v>
      </c>
      <c r="C622" t="str">
        <f>Table1[[#This Row],[Fiscal_Year]]&amp;"-"&amp;Table1[[#This Row],[BRAND]]</f>
        <v>2020-Old Navy</v>
      </c>
      <c r="D622">
        <v>2020</v>
      </c>
      <c r="E622">
        <v>47</v>
      </c>
      <c r="F622" t="s">
        <v>20</v>
      </c>
      <c r="G622" t="s">
        <v>23</v>
      </c>
      <c r="H622">
        <v>5</v>
      </c>
      <c r="I622">
        <v>0</v>
      </c>
      <c r="J622" t="str">
        <f>VLOOKUP(H622,DC_Xref!A:B,2,FALSE)</f>
        <v>FFC-ODC</v>
      </c>
      <c r="K622">
        <f t="shared" si="9"/>
        <v>202047</v>
      </c>
      <c r="L622">
        <f>IFERROR(Table1[[#This Row],[Demand]]/SUMIFS(Table1[Demand],Table1[Fiscal_Year],Table1[[#This Row],[Fiscal_Year]],Table1[BRAND],Table1[[#This Row],[BRAND]],Table1[DC_name_Xref],Table1[[#This Row],[DC_name_Xref]]),0)</f>
        <v>0</v>
      </c>
      <c r="M6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22" s="3">
        <f>IFERROR(INDEX(Table3[#All],MATCH(Table1[[#This Row],[Key_Year_Week_Brand]],Table3[[#All],[Key_Year_Week_Brand]],0),MATCH(Table1[[#This Row],[DC_name_Xref]],Table3[#Headers],0)),0)</f>
        <v>0</v>
      </c>
      <c r="O622">
        <f>IFERROR(INDEX(Table35[#All],MATCH(Table1[[#This Row],[Key_Year_Week_Brand]],Table35[[#All],[Key_Year_Month_Brand]],0),MATCH(Table1[[#This Row],[DC_name_Xref]],Table35[#Headers],0)),0)</f>
        <v>0</v>
      </c>
    </row>
    <row r="623" spans="1:15" x14ac:dyDescent="0.3">
      <c r="A623" s="19" t="str">
        <f>Table1[[#This Row],[Year_Week]]&amp;"-"&amp;Table1[[#This Row],[DC_name_Xref]]</f>
        <v>202047-WEO</v>
      </c>
      <c r="B623" s="19" t="str">
        <f>Table1[[#This Row],[Fiscal_Year]]*100+Table1[[#This Row],[Fiscal_Week]] &amp; "-" &amp;Table1[[#This Row],[BRAND]]</f>
        <v>202047-Old Navy</v>
      </c>
      <c r="C623" t="str">
        <f>Table1[[#This Row],[Fiscal_Year]]&amp;"-"&amp;Table1[[#This Row],[BRAND]]</f>
        <v>2020-Old Navy</v>
      </c>
      <c r="D623">
        <v>2020</v>
      </c>
      <c r="E623">
        <v>47</v>
      </c>
      <c r="F623" t="s">
        <v>20</v>
      </c>
      <c r="G623" t="s">
        <v>10</v>
      </c>
      <c r="H623">
        <v>6</v>
      </c>
      <c r="I623">
        <v>0</v>
      </c>
      <c r="J623" t="str">
        <f>VLOOKUP(H623,DC_Xref!A:B,2,FALSE)</f>
        <v>WEO</v>
      </c>
      <c r="K623">
        <f t="shared" si="9"/>
        <v>202047</v>
      </c>
      <c r="L623">
        <f>IFERROR(Table1[[#This Row],[Demand]]/SUMIFS(Table1[Demand],Table1[Fiscal_Year],Table1[[#This Row],[Fiscal_Year]],Table1[BRAND],Table1[[#This Row],[BRAND]],Table1[DC_name_Xref],Table1[[#This Row],[DC_name_Xref]]),0)</f>
        <v>0</v>
      </c>
      <c r="M6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23" s="3">
        <f>IFERROR(INDEX(Table3[#All],MATCH(Table1[[#This Row],[Key_Year_Week_Brand]],Table3[[#All],[Key_Year_Week_Brand]],0),MATCH(Table1[[#This Row],[DC_name_Xref]],Table3[#Headers],0)),0)</f>
        <v>0.27</v>
      </c>
      <c r="O623">
        <f>IFERROR(INDEX(Table35[#All],MATCH(Table1[[#This Row],[Key_Year_Week_Brand]],Table35[[#All],[Key_Year_Month_Brand]],0),MATCH(Table1[[#This Row],[DC_name_Xref]],Table35[#Headers],0)),0)</f>
        <v>454871.43000000005</v>
      </c>
    </row>
    <row r="624" spans="1:15" x14ac:dyDescent="0.3">
      <c r="A624" s="19" t="str">
        <f>Table1[[#This Row],[Year_Week]]&amp;"-"&amp;Table1[[#This Row],[DC_name_Xref]]</f>
        <v>202047-OCC</v>
      </c>
      <c r="B624" s="19" t="str">
        <f>Table1[[#This Row],[Fiscal_Year]]*100+Table1[[#This Row],[Fiscal_Week]] &amp; "-" &amp;Table1[[#This Row],[BRAND]]</f>
        <v>202047-Old Navy</v>
      </c>
      <c r="C624" t="str">
        <f>Table1[[#This Row],[Fiscal_Year]]&amp;"-"&amp;Table1[[#This Row],[BRAND]]</f>
        <v>2020-Old Navy</v>
      </c>
      <c r="D624">
        <v>2020</v>
      </c>
      <c r="E624">
        <v>47</v>
      </c>
      <c r="F624" t="s">
        <v>20</v>
      </c>
      <c r="G624" t="s">
        <v>11</v>
      </c>
      <c r="H624">
        <v>7</v>
      </c>
      <c r="I624">
        <v>0</v>
      </c>
      <c r="J624" t="str">
        <f>VLOOKUP(H624,DC_Xref!A:B,2,FALSE)</f>
        <v>OCC</v>
      </c>
      <c r="K624">
        <f t="shared" si="9"/>
        <v>202047</v>
      </c>
      <c r="L624">
        <f>IFERROR(Table1[[#This Row],[Demand]]/SUMIFS(Table1[Demand],Table1[Fiscal_Year],Table1[[#This Row],[Fiscal_Year]],Table1[BRAND],Table1[[#This Row],[BRAND]],Table1[DC_name_Xref],Table1[[#This Row],[DC_name_Xref]]),0)</f>
        <v>0</v>
      </c>
      <c r="M6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24" s="3">
        <f>IFERROR(INDEX(Table3[#All],MATCH(Table1[[#This Row],[Key_Year_Week_Brand]],Table3[[#All],[Key_Year_Week_Brand]],0),MATCH(Table1[[#This Row],[DC_name_Xref]],Table3[#Headers],0)),0)</f>
        <v>0</v>
      </c>
      <c r="O624">
        <f>IFERROR(INDEX(Table35[#All],MATCH(Table1[[#This Row],[Key_Year_Week_Brand]],Table35[[#All],[Key_Year_Month_Brand]],0),MATCH(Table1[[#This Row],[DC_name_Xref]],Table35[#Headers],0)),0)</f>
        <v>0</v>
      </c>
    </row>
    <row r="625" spans="1:15" x14ac:dyDescent="0.3">
      <c r="A625" s="19" t="str">
        <f>Table1[[#This Row],[Year_Week]]&amp;"-"&amp;Table1[[#This Row],[DC_name_Xref]]</f>
        <v>202047-OFC</v>
      </c>
      <c r="B625" s="19" t="str">
        <f>Table1[[#This Row],[Fiscal_Year]]*100+Table1[[#This Row],[Fiscal_Week]] &amp; "-" &amp;Table1[[#This Row],[BRAND]]</f>
        <v>202047-Banana Republic</v>
      </c>
      <c r="C625" t="str">
        <f>Table1[[#This Row],[Fiscal_Year]]&amp;"-"&amp;Table1[[#This Row],[BRAND]]</f>
        <v>2020-Banana Republic</v>
      </c>
      <c r="D625">
        <v>2020</v>
      </c>
      <c r="E625">
        <v>47</v>
      </c>
      <c r="F625" t="s">
        <v>18</v>
      </c>
      <c r="G625" t="s">
        <v>5</v>
      </c>
      <c r="H625">
        <v>1</v>
      </c>
      <c r="I625">
        <v>8832</v>
      </c>
      <c r="J625" t="str">
        <f>VLOOKUP(H625,DC_Xref!A:B,2,FALSE)</f>
        <v>OFC</v>
      </c>
      <c r="K625">
        <f t="shared" si="9"/>
        <v>202047</v>
      </c>
      <c r="L625">
        <f>IFERROR(Table1[[#This Row],[Demand]]/SUMIFS(Table1[Demand],Table1[Fiscal_Year],Table1[[#This Row],[Fiscal_Year]],Table1[BRAND],Table1[[#This Row],[BRAND]],Table1[DC_name_Xref],Table1[[#This Row],[DC_name_Xref]]),0)</f>
        <v>0.19945349021024819</v>
      </c>
      <c r="M6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2.1328687496507917E-2</v>
      </c>
      <c r="N625" s="3">
        <f>IFERROR(INDEX(Table3[#All],MATCH(Table1[[#This Row],[Key_Year_Week_Brand]],Table3[[#All],[Key_Year_Week_Brand]],0),MATCH(Table1[[#This Row],[DC_name_Xref]],Table3[#Headers],0)),0)</f>
        <v>0</v>
      </c>
      <c r="O625">
        <f>IFERROR(INDEX(Table35[#All],MATCH(Table1[[#This Row],[Key_Year_Week_Brand]],Table35[[#All],[Key_Year_Month_Brand]],0),MATCH(Table1[[#This Row],[DC_name_Xref]],Table35[#Headers],0)),0)</f>
        <v>0</v>
      </c>
    </row>
    <row r="626" spans="1:15" x14ac:dyDescent="0.3">
      <c r="A626" s="19" t="str">
        <f>Table1[[#This Row],[Year_Week]]&amp;"-"&amp;Table1[[#This Row],[DC_name_Xref]]</f>
        <v>202047-TFC</v>
      </c>
      <c r="B626" s="19" t="str">
        <f>Table1[[#This Row],[Fiscal_Year]]*100+Table1[[#This Row],[Fiscal_Week]] &amp; "-" &amp;Table1[[#This Row],[BRAND]]</f>
        <v>202047-Banana Republic</v>
      </c>
      <c r="C626" t="str">
        <f>Table1[[#This Row],[Fiscal_Year]]&amp;"-"&amp;Table1[[#This Row],[BRAND]]</f>
        <v>2020-Banana Republic</v>
      </c>
      <c r="D626">
        <v>2020</v>
      </c>
      <c r="E626">
        <v>47</v>
      </c>
      <c r="F626" t="s">
        <v>18</v>
      </c>
      <c r="G626" t="s">
        <v>21</v>
      </c>
      <c r="H626">
        <v>2</v>
      </c>
      <c r="I626">
        <v>264877</v>
      </c>
      <c r="J626" t="str">
        <f>VLOOKUP(H626,DC_Xref!A:B,2,FALSE)</f>
        <v>TFC</v>
      </c>
      <c r="K626">
        <f t="shared" si="9"/>
        <v>202047</v>
      </c>
      <c r="L626">
        <f>IFERROR(Table1[[#This Row],[Demand]]/SUMIFS(Table1[Demand],Table1[Fiscal_Year],Table1[[#This Row],[Fiscal_Year]],Table1[BRAND],Table1[[#This Row],[BRAND]],Table1[DC_name_Xref],Table1[[#This Row],[DC_name_Xref]]),0)</f>
        <v>0.13036895797660045</v>
      </c>
      <c r="M6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0.97862603582444985</v>
      </c>
      <c r="N626" s="3">
        <f>IFERROR(INDEX(Table3[#All],MATCH(Table1[[#This Row],[Key_Year_Week_Brand]],Table3[[#All],[Key_Year_Week_Brand]],0),MATCH(Table1[[#This Row],[DC_name_Xref]],Table3[#Headers],0)),0)</f>
        <v>1</v>
      </c>
      <c r="O626">
        <f>IFERROR(INDEX(Table35[#All],MATCH(Table1[[#This Row],[Key_Year_Week_Brand]],Table35[[#All],[Key_Year_Month_Brand]],0),MATCH(Table1[[#This Row],[DC_name_Xref]],Table35[#Headers],0)),0)</f>
        <v>273714</v>
      </c>
    </row>
    <row r="627" spans="1:15" x14ac:dyDescent="0.3">
      <c r="A627" s="19" t="str">
        <f>Table1[[#This Row],[Year_Week]]&amp;"-"&amp;Table1[[#This Row],[DC_name_Xref]]</f>
        <v>202047-WFC</v>
      </c>
      <c r="B627" s="19" t="str">
        <f>Table1[[#This Row],[Fiscal_Year]]*100+Table1[[#This Row],[Fiscal_Week]] &amp; "-" &amp;Table1[[#This Row],[BRAND]]</f>
        <v>202047-Banana Republic</v>
      </c>
      <c r="C627" t="str">
        <f>Table1[[#This Row],[Fiscal_Year]]&amp;"-"&amp;Table1[[#This Row],[BRAND]]</f>
        <v>2020-Banana Republic</v>
      </c>
      <c r="D627">
        <v>2020</v>
      </c>
      <c r="E627">
        <v>47</v>
      </c>
      <c r="F627" t="s">
        <v>18</v>
      </c>
      <c r="G627" t="s">
        <v>7</v>
      </c>
      <c r="H627">
        <v>3</v>
      </c>
      <c r="I627">
        <v>1</v>
      </c>
      <c r="J627" t="str">
        <f>VLOOKUP(H627,DC_Xref!A:B,2,FALSE)</f>
        <v>WFC</v>
      </c>
      <c r="K627">
        <f t="shared" si="9"/>
        <v>202047</v>
      </c>
      <c r="L627">
        <f>IFERROR(Table1[[#This Row],[Demand]]/SUMIFS(Table1[Demand],Table1[Fiscal_Year],Table1[[#This Row],[Fiscal_Year]],Table1[BRAND],Table1[[#This Row],[BRAND]],Table1[DC_name_Xref],Table1[[#This Row],[DC_name_Xref]]),0)</f>
        <v>0.16666666666666666</v>
      </c>
      <c r="M6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2.8900007899335494E-6</v>
      </c>
      <c r="N627" s="3">
        <f>IFERROR(INDEX(Table3[#All],MATCH(Table1[[#This Row],[Key_Year_Week_Brand]],Table3[[#All],[Key_Year_Week_Brand]],0),MATCH(Table1[[#This Row],[DC_name_Xref]],Table3[#Headers],0)),0)</f>
        <v>3.4959629396853166E-6</v>
      </c>
      <c r="O627">
        <f>IFERROR(INDEX(Table35[#All],MATCH(Table1[[#This Row],[Key_Year_Week_Brand]],Table35[[#All],[Key_Year_Month_Brand]],0),MATCH(Table1[[#This Row],[DC_name_Xref]],Table35[#Headers],0)),0)</f>
        <v>0.95689400007302672</v>
      </c>
    </row>
    <row r="628" spans="1:15" x14ac:dyDescent="0.3">
      <c r="A628" s="19" t="str">
        <f>Table1[[#This Row],[Year_Week]]&amp;"-"&amp;Table1[[#This Row],[DC_name_Xref]]</f>
        <v>202047-EAO</v>
      </c>
      <c r="B628" s="19" t="str">
        <f>Table1[[#This Row],[Fiscal_Year]]*100+Table1[[#This Row],[Fiscal_Week]] &amp; "-" &amp;Table1[[#This Row],[BRAND]]</f>
        <v>202047-Banana Republic</v>
      </c>
      <c r="C628" t="str">
        <f>Table1[[#This Row],[Fiscal_Year]]&amp;"-"&amp;Table1[[#This Row],[BRAND]]</f>
        <v>2020-Banana Republic</v>
      </c>
      <c r="D628">
        <v>2020</v>
      </c>
      <c r="E628">
        <v>47</v>
      </c>
      <c r="F628" t="s">
        <v>18</v>
      </c>
      <c r="G628" t="s">
        <v>8</v>
      </c>
      <c r="H628">
        <v>4</v>
      </c>
      <c r="I628">
        <v>4</v>
      </c>
      <c r="J628" t="str">
        <f>VLOOKUP(H628,DC_Xref!A:B,2,FALSE)</f>
        <v>EAO</v>
      </c>
      <c r="K628">
        <f t="shared" si="9"/>
        <v>202047</v>
      </c>
      <c r="L628">
        <f>IFERROR(Table1[[#This Row],[Demand]]/SUMIFS(Table1[Demand],Table1[Fiscal_Year],Table1[[#This Row],[Fiscal_Year]],Table1[BRAND],Table1[[#This Row],[BRAND]],Table1[DC_name_Xref],Table1[[#This Row],[DC_name_Xref]]),0)</f>
        <v>4.5454545454545456E-2</v>
      </c>
      <c r="M6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4.238667825235872E-5</v>
      </c>
      <c r="N628" s="3">
        <f>IFERROR(INDEX(Table3[#All],MATCH(Table1[[#This Row],[Key_Year_Week_Brand]],Table3[[#All],[Key_Year_Week_Brand]],0),MATCH(Table1[[#This Row],[DC_name_Xref]],Table3[#Headers],0)),0)</f>
        <v>4.2339995602855504E-5</v>
      </c>
      <c r="O628">
        <f>IFERROR(INDEX(Table35[#All],MATCH(Table1[[#This Row],[Key_Year_Week_Brand]],Table35[[#All],[Key_Year_Month_Brand]],0),MATCH(Table1[[#This Row],[DC_name_Xref]],Table35[#Headers],0)),0)</f>
        <v>11.589049556439992</v>
      </c>
    </row>
    <row r="629" spans="1:15" x14ac:dyDescent="0.3">
      <c r="A629" s="19" t="str">
        <f>Table1[[#This Row],[Year_Week]]&amp;"-"&amp;Table1[[#This Row],[DC_name_Xref]]</f>
        <v>202047-FFC-ODC</v>
      </c>
      <c r="B629" s="19" t="str">
        <f>Table1[[#This Row],[Fiscal_Year]]*100+Table1[[#This Row],[Fiscal_Week]] &amp; "-" &amp;Table1[[#This Row],[BRAND]]</f>
        <v>202047-Banana Republic</v>
      </c>
      <c r="C629" t="str">
        <f>Table1[[#This Row],[Fiscal_Year]]&amp;"-"&amp;Table1[[#This Row],[BRAND]]</f>
        <v>2020-Banana Republic</v>
      </c>
      <c r="D629">
        <v>2020</v>
      </c>
      <c r="E629">
        <v>47</v>
      </c>
      <c r="F629" t="s">
        <v>18</v>
      </c>
      <c r="G629" t="s">
        <v>23</v>
      </c>
      <c r="H629">
        <v>5</v>
      </c>
      <c r="I629">
        <v>0</v>
      </c>
      <c r="J629" t="str">
        <f>VLOOKUP(H629,DC_Xref!A:B,2,FALSE)</f>
        <v>FFC-ODC</v>
      </c>
      <c r="K629">
        <f t="shared" si="9"/>
        <v>202047</v>
      </c>
      <c r="L629">
        <f>IFERROR(Table1[[#This Row],[Demand]]/SUMIFS(Table1[Demand],Table1[Fiscal_Year],Table1[[#This Row],[Fiscal_Year]],Table1[BRAND],Table1[[#This Row],[BRAND]],Table1[DC_name_Xref],Table1[[#This Row],[DC_name_Xref]]),0)</f>
        <v>0</v>
      </c>
      <c r="M6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29" s="3">
        <f>IFERROR(INDEX(Table3[#All],MATCH(Table1[[#This Row],[Key_Year_Week_Brand]],Table3[[#All],[Key_Year_Week_Brand]],0),MATCH(Table1[[#This Row],[DC_name_Xref]],Table3[#Headers],0)),0)</f>
        <v>0</v>
      </c>
      <c r="O629">
        <f>IFERROR(INDEX(Table35[#All],MATCH(Table1[[#This Row],[Key_Year_Week_Brand]],Table35[[#All],[Key_Year_Month_Brand]],0),MATCH(Table1[[#This Row],[DC_name_Xref]],Table35[#Headers],0)),0)</f>
        <v>0</v>
      </c>
    </row>
    <row r="630" spans="1:15" x14ac:dyDescent="0.3">
      <c r="A630" s="19" t="str">
        <f>Table1[[#This Row],[Year_Week]]&amp;"-"&amp;Table1[[#This Row],[DC_name_Xref]]</f>
        <v>202047-WEO</v>
      </c>
      <c r="B630" s="19" t="str">
        <f>Table1[[#This Row],[Fiscal_Year]]*100+Table1[[#This Row],[Fiscal_Week]] &amp; "-" &amp;Table1[[#This Row],[BRAND]]</f>
        <v>202047-Banana Republic</v>
      </c>
      <c r="C630" t="str">
        <f>Table1[[#This Row],[Fiscal_Year]]&amp;"-"&amp;Table1[[#This Row],[BRAND]]</f>
        <v>2020-Banana Republic</v>
      </c>
      <c r="D630">
        <v>2020</v>
      </c>
      <c r="E630">
        <v>47</v>
      </c>
      <c r="F630" t="s">
        <v>18</v>
      </c>
      <c r="G630" t="s">
        <v>10</v>
      </c>
      <c r="H630">
        <v>6</v>
      </c>
      <c r="I630">
        <v>0</v>
      </c>
      <c r="J630" t="str">
        <f>VLOOKUP(H630,DC_Xref!A:B,2,FALSE)</f>
        <v>WEO</v>
      </c>
      <c r="K630">
        <f t="shared" si="9"/>
        <v>202047</v>
      </c>
      <c r="L630">
        <f>IFERROR(Table1[[#This Row],[Demand]]/SUMIFS(Table1[Demand],Table1[Fiscal_Year],Table1[[#This Row],[Fiscal_Year]],Table1[BRAND],Table1[[#This Row],[BRAND]],Table1[DC_name_Xref],Table1[[#This Row],[DC_name_Xref]]),0)</f>
        <v>0</v>
      </c>
      <c r="M6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30" s="3">
        <f>IFERROR(INDEX(Table3[#All],MATCH(Table1[[#This Row],[Key_Year_Week_Brand]],Table3[[#All],[Key_Year_Week_Brand]],0),MATCH(Table1[[#This Row],[DC_name_Xref]],Table3[#Headers],0)),0)</f>
        <v>0</v>
      </c>
      <c r="O630">
        <f>IFERROR(INDEX(Table35[#All],MATCH(Table1[[#This Row],[Key_Year_Week_Brand]],Table35[[#All],[Key_Year_Month_Brand]],0),MATCH(Table1[[#This Row],[DC_name_Xref]],Table35[#Headers],0)),0)</f>
        <v>0</v>
      </c>
    </row>
    <row r="631" spans="1:15" x14ac:dyDescent="0.3">
      <c r="A631" s="19" t="str">
        <f>Table1[[#This Row],[Year_Week]]&amp;"-"&amp;Table1[[#This Row],[DC_name_Xref]]</f>
        <v>202047-OCC</v>
      </c>
      <c r="B631" s="19" t="str">
        <f>Table1[[#This Row],[Fiscal_Year]]*100+Table1[[#This Row],[Fiscal_Week]] &amp; "-" &amp;Table1[[#This Row],[BRAND]]</f>
        <v>202047-Banana Republic</v>
      </c>
      <c r="C631" t="str">
        <f>Table1[[#This Row],[Fiscal_Year]]&amp;"-"&amp;Table1[[#This Row],[BRAND]]</f>
        <v>2020-Banana Republic</v>
      </c>
      <c r="D631">
        <v>2020</v>
      </c>
      <c r="E631">
        <v>47</v>
      </c>
      <c r="F631" t="s">
        <v>18</v>
      </c>
      <c r="G631" t="s">
        <v>11</v>
      </c>
      <c r="H631">
        <v>7</v>
      </c>
      <c r="I631">
        <v>0</v>
      </c>
      <c r="J631" t="str">
        <f>VLOOKUP(H631,DC_Xref!A:B,2,FALSE)</f>
        <v>OCC</v>
      </c>
      <c r="K631">
        <f t="shared" si="9"/>
        <v>202047</v>
      </c>
      <c r="L631">
        <f>IFERROR(Table1[[#This Row],[Demand]]/SUMIFS(Table1[Demand],Table1[Fiscal_Year],Table1[[#This Row],[Fiscal_Year]],Table1[BRAND],Table1[[#This Row],[BRAND]],Table1[DC_name_Xref],Table1[[#This Row],[DC_name_Xref]]),0)</f>
        <v>0</v>
      </c>
      <c r="M6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31" s="3">
        <f>IFERROR(INDEX(Table3[#All],MATCH(Table1[[#This Row],[Key_Year_Week_Brand]],Table3[[#All],[Key_Year_Week_Brand]],0),MATCH(Table1[[#This Row],[DC_name_Xref]],Table3[#Headers],0)),0)</f>
        <v>0</v>
      </c>
      <c r="O631">
        <f>IFERROR(INDEX(Table35[#All],MATCH(Table1[[#This Row],[Key_Year_Week_Brand]],Table35[[#All],[Key_Year_Month_Brand]],0),MATCH(Table1[[#This Row],[DC_name_Xref]],Table35[#Headers],0)),0)</f>
        <v>0</v>
      </c>
    </row>
    <row r="632" spans="1:15" x14ac:dyDescent="0.3">
      <c r="A632" s="19" t="str">
        <f>Table1[[#This Row],[Year_Week]]&amp;"-"&amp;Table1[[#This Row],[DC_name_Xref]]</f>
        <v>202143-OFC</v>
      </c>
      <c r="B632" s="19" t="str">
        <f>Table1[[#This Row],[Fiscal_Year]]*100+Table1[[#This Row],[Fiscal_Week]] &amp; "-" &amp;Table1[[#This Row],[BRAND]]</f>
        <v>202143-Gap</v>
      </c>
      <c r="C632" t="str">
        <f>Table1[[#This Row],[Fiscal_Year]]&amp;"-"&amp;Table1[[#This Row],[BRAND]]</f>
        <v>2021-Gap</v>
      </c>
      <c r="D632">
        <v>2021</v>
      </c>
      <c r="E632">
        <v>43</v>
      </c>
      <c r="F632" t="s">
        <v>16</v>
      </c>
      <c r="G632" t="s">
        <v>5</v>
      </c>
      <c r="H632">
        <v>1</v>
      </c>
      <c r="I632">
        <v>3876111</v>
      </c>
      <c r="J632" t="str">
        <f>VLOOKUP(H632,DC_Xref!A:B,2,FALSE)</f>
        <v>OFC</v>
      </c>
      <c r="K632">
        <f t="shared" si="9"/>
        <v>202143</v>
      </c>
      <c r="L632">
        <f>IFERROR(Table1[[#This Row],[Demand]]/SUMIFS(Table1[Demand],Table1[Fiscal_Year],Table1[[#This Row],[Fiscal_Year]],Table1[BRAND],Table1[[#This Row],[BRAND]],Table1[DC_name_Xref],Table1[[#This Row],[DC_name_Xref]]),0)</f>
        <v>0.40459950493302899</v>
      </c>
      <c r="M6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0.66900256019517312</v>
      </c>
      <c r="N632" s="3">
        <f>IFERROR(INDEX(Table3[#All],MATCH(Table1[[#This Row],[Key_Year_Week_Brand]],Table3[[#All],[Key_Year_Week_Brand]],0),MATCH(Table1[[#This Row],[DC_name_Xref]],Table3[#Headers],0)),0)</f>
        <v>0</v>
      </c>
      <c r="O632">
        <f>IFERROR(INDEX(Table35[#All],MATCH(Table1[[#This Row],[Key_Year_Week_Brand]],Table35[[#All],[Key_Year_Month_Brand]],0),MATCH(Table1[[#This Row],[DC_name_Xref]],Table35[#Headers],0)),0)</f>
        <v>0</v>
      </c>
    </row>
    <row r="633" spans="1:15" x14ac:dyDescent="0.3">
      <c r="A633" s="19" t="str">
        <f>Table1[[#This Row],[Year_Week]]&amp;"-"&amp;Table1[[#This Row],[DC_name_Xref]]</f>
        <v>202143-TFC</v>
      </c>
      <c r="B633" s="19" t="str">
        <f>Table1[[#This Row],[Fiscal_Year]]*100+Table1[[#This Row],[Fiscal_Week]] &amp; "-" &amp;Table1[[#This Row],[BRAND]]</f>
        <v>202143-Gap</v>
      </c>
      <c r="C633" t="str">
        <f>Table1[[#This Row],[Fiscal_Year]]&amp;"-"&amp;Table1[[#This Row],[BRAND]]</f>
        <v>2021-Gap</v>
      </c>
      <c r="D633">
        <v>2021</v>
      </c>
      <c r="E633">
        <v>43</v>
      </c>
      <c r="F633" t="s">
        <v>16</v>
      </c>
      <c r="G633" t="s">
        <v>21</v>
      </c>
      <c r="H633">
        <v>2</v>
      </c>
      <c r="I633">
        <v>286</v>
      </c>
      <c r="J633" t="str">
        <f>VLOOKUP(H633,DC_Xref!A:B,2,FALSE)</f>
        <v>TFC</v>
      </c>
      <c r="K633">
        <f t="shared" si="9"/>
        <v>202143</v>
      </c>
      <c r="L633">
        <f>IFERROR(Table1[[#This Row],[Demand]]/SUMIFS(Table1[Demand],Table1[Fiscal_Year],Table1[[#This Row],[Fiscal_Year]],Table1[BRAND],Table1[[#This Row],[BRAND]],Table1[DC_name_Xref],Table1[[#This Row],[DC_name_Xref]]),0)</f>
        <v>0.16589327146171692</v>
      </c>
      <c r="M6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1.2039104463812225E-4</v>
      </c>
      <c r="N633" s="3">
        <f>IFERROR(INDEX(Table3[#All],MATCH(Table1[[#This Row],[Key_Year_Week_Brand]],Table3[[#All],[Key_Year_Week_Brand]],0),MATCH(Table1[[#This Row],[DC_name_Xref]],Table3[#Headers],0)),0)</f>
        <v>0.2</v>
      </c>
      <c r="O633">
        <f>IFERROR(INDEX(Table35[#All],MATCH(Table1[[#This Row],[Key_Year_Week_Brand]],Table35[[#All],[Key_Year_Month_Brand]],0),MATCH(Table1[[#This Row],[DC_name_Xref]],Table35[#Headers],0)),0)</f>
        <v>1204777</v>
      </c>
    </row>
    <row r="634" spans="1:15" x14ac:dyDescent="0.3">
      <c r="A634" s="19" t="str">
        <f>Table1[[#This Row],[Year_Week]]&amp;"-"&amp;Table1[[#This Row],[DC_name_Xref]]</f>
        <v>202143-WFC</v>
      </c>
      <c r="B634" s="19" t="str">
        <f>Table1[[#This Row],[Fiscal_Year]]*100+Table1[[#This Row],[Fiscal_Week]] &amp; "-" &amp;Table1[[#This Row],[BRAND]]</f>
        <v>202143-Gap</v>
      </c>
      <c r="C634" t="str">
        <f>Table1[[#This Row],[Fiscal_Year]]&amp;"-"&amp;Table1[[#This Row],[BRAND]]</f>
        <v>2021-Gap</v>
      </c>
      <c r="D634">
        <v>2021</v>
      </c>
      <c r="E634">
        <v>43</v>
      </c>
      <c r="F634" t="s">
        <v>16</v>
      </c>
      <c r="G634" t="s">
        <v>7</v>
      </c>
      <c r="H634">
        <v>3</v>
      </c>
      <c r="I634">
        <v>145791</v>
      </c>
      <c r="J634" t="str">
        <f>VLOOKUP(H634,DC_Xref!A:B,2,FALSE)</f>
        <v>WFC</v>
      </c>
      <c r="K634">
        <f t="shared" si="9"/>
        <v>202143</v>
      </c>
      <c r="L634">
        <f>IFERROR(Table1[[#This Row],[Demand]]/SUMIFS(Table1[Demand],Table1[Fiscal_Year],Table1[[#This Row],[Fiscal_Year]],Table1[BRAND],Table1[[#This Row],[BRAND]],Table1[DC_name_Xref],Table1[[#This Row],[DC_name_Xref]]),0)</f>
        <v>0.42741048891390576</v>
      </c>
      <c r="M6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2.3820038572620311E-2</v>
      </c>
      <c r="N634" s="3">
        <f>IFERROR(INDEX(Table3[#All],MATCH(Table1[[#This Row],[Key_Year_Week_Brand]],Table3[[#All],[Key_Year_Week_Brand]],0),MATCH(Table1[[#This Row],[DC_name_Xref]],Table3[#Headers],0)),0)</f>
        <v>0.15</v>
      </c>
      <c r="O634">
        <f>IFERROR(INDEX(Table35[#All],MATCH(Table1[[#This Row],[Key_Year_Week_Brand]],Table35[[#All],[Key_Year_Month_Brand]],0),MATCH(Table1[[#This Row],[DC_name_Xref]],Table35[#Headers],0)),0)</f>
        <v>903582.75</v>
      </c>
    </row>
    <row r="635" spans="1:15" x14ac:dyDescent="0.3">
      <c r="A635" s="19" t="str">
        <f>Table1[[#This Row],[Year_Week]]&amp;"-"&amp;Table1[[#This Row],[DC_name_Xref]]</f>
        <v>202143-EAO</v>
      </c>
      <c r="B635" s="19" t="str">
        <f>Table1[[#This Row],[Fiscal_Year]]*100+Table1[[#This Row],[Fiscal_Week]] &amp; "-" &amp;Table1[[#This Row],[BRAND]]</f>
        <v>202143-Gap</v>
      </c>
      <c r="C635" t="str">
        <f>Table1[[#This Row],[Fiscal_Year]]&amp;"-"&amp;Table1[[#This Row],[BRAND]]</f>
        <v>2021-Gap</v>
      </c>
      <c r="D635">
        <v>2021</v>
      </c>
      <c r="E635">
        <v>43</v>
      </c>
      <c r="F635" t="s">
        <v>16</v>
      </c>
      <c r="G635" t="s">
        <v>8</v>
      </c>
      <c r="H635">
        <v>4</v>
      </c>
      <c r="I635">
        <v>688</v>
      </c>
      <c r="J635" t="str">
        <f>VLOOKUP(H635,DC_Xref!A:B,2,FALSE)</f>
        <v>EAO</v>
      </c>
      <c r="K635">
        <f t="shared" si="9"/>
        <v>202143</v>
      </c>
      <c r="L635">
        <f>IFERROR(Table1[[#This Row],[Demand]]/SUMIFS(Table1[Demand],Table1[Fiscal_Year],Table1[[#This Row],[Fiscal_Year]],Table1[BRAND],Table1[[#This Row],[BRAND]],Table1[DC_name_Xref],Table1[[#This Row],[DC_name_Xref]]),0)</f>
        <v>0.40023269342641071</v>
      </c>
      <c r="M6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1.200418826757147E-4</v>
      </c>
      <c r="N635" s="3">
        <f>IFERROR(INDEX(Table3[#All],MATCH(Table1[[#This Row],[Key_Year_Week_Brand]],Table3[[#All],[Key_Year_Week_Brand]],0),MATCH(Table1[[#This Row],[DC_name_Xref]],Table3[#Headers],0)),0)</f>
        <v>0</v>
      </c>
      <c r="O635">
        <f>IFERROR(INDEX(Table35[#All],MATCH(Table1[[#This Row],[Key_Year_Week_Brand]],Table35[[#All],[Key_Year_Month_Brand]],0),MATCH(Table1[[#This Row],[DC_name_Xref]],Table35[#Headers],0)),0)</f>
        <v>0</v>
      </c>
    </row>
    <row r="636" spans="1:15" x14ac:dyDescent="0.3">
      <c r="A636" s="19" t="str">
        <f>Table1[[#This Row],[Year_Week]]&amp;"-"&amp;Table1[[#This Row],[DC_name_Xref]]</f>
        <v>202143-FFC-ODC</v>
      </c>
      <c r="B636" s="19" t="str">
        <f>Table1[[#This Row],[Fiscal_Year]]*100+Table1[[#This Row],[Fiscal_Week]] &amp; "-" &amp;Table1[[#This Row],[BRAND]]</f>
        <v>202143-Gap</v>
      </c>
      <c r="C636" t="str">
        <f>Table1[[#This Row],[Fiscal_Year]]&amp;"-"&amp;Table1[[#This Row],[BRAND]]</f>
        <v>2021-Gap</v>
      </c>
      <c r="D636">
        <v>2021</v>
      </c>
      <c r="E636">
        <v>43</v>
      </c>
      <c r="F636" t="s">
        <v>16</v>
      </c>
      <c r="G636" t="s">
        <v>23</v>
      </c>
      <c r="H636">
        <v>5</v>
      </c>
      <c r="I636">
        <v>0</v>
      </c>
      <c r="J636" t="str">
        <f>VLOOKUP(H636,DC_Xref!A:B,2,FALSE)</f>
        <v>FFC-ODC</v>
      </c>
      <c r="K636">
        <f t="shared" si="9"/>
        <v>202143</v>
      </c>
      <c r="L636">
        <f>IFERROR(Table1[[#This Row],[Demand]]/SUMIFS(Table1[Demand],Table1[Fiscal_Year],Table1[[#This Row],[Fiscal_Year]],Table1[BRAND],Table1[[#This Row],[BRAND]],Table1[DC_name_Xref],Table1[[#This Row],[DC_name_Xref]]),0)</f>
        <v>0</v>
      </c>
      <c r="M6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36" s="3">
        <f>IFERROR(INDEX(Table3[#All],MATCH(Table1[[#This Row],[Key_Year_Week_Brand]],Table3[[#All],[Key_Year_Week_Brand]],0),MATCH(Table1[[#This Row],[DC_name_Xref]],Table3[#Headers],0)),0)</f>
        <v>0</v>
      </c>
      <c r="O636">
        <f>IFERROR(INDEX(Table35[#All],MATCH(Table1[[#This Row],[Key_Year_Week_Brand]],Table35[[#All],[Key_Year_Month_Brand]],0),MATCH(Table1[[#This Row],[DC_name_Xref]],Table35[#Headers],0)),0)</f>
        <v>0</v>
      </c>
    </row>
    <row r="637" spans="1:15" x14ac:dyDescent="0.3">
      <c r="A637" s="19" t="str">
        <f>Table1[[#This Row],[Year_Week]]&amp;"-"&amp;Table1[[#This Row],[DC_name_Xref]]</f>
        <v>202143-WEO</v>
      </c>
      <c r="B637" s="19" t="str">
        <f>Table1[[#This Row],[Fiscal_Year]]*100+Table1[[#This Row],[Fiscal_Week]] &amp; "-" &amp;Table1[[#This Row],[BRAND]]</f>
        <v>202143-Gap</v>
      </c>
      <c r="C637" t="str">
        <f>Table1[[#This Row],[Fiscal_Year]]&amp;"-"&amp;Table1[[#This Row],[BRAND]]</f>
        <v>2021-Gap</v>
      </c>
      <c r="D637">
        <v>2021</v>
      </c>
      <c r="E637">
        <v>43</v>
      </c>
      <c r="F637" t="s">
        <v>16</v>
      </c>
      <c r="G637" t="s">
        <v>10</v>
      </c>
      <c r="H637">
        <v>6</v>
      </c>
      <c r="I637">
        <v>2001009</v>
      </c>
      <c r="J637" t="str">
        <f>VLOOKUP(H637,DC_Xref!A:B,2,FALSE)</f>
        <v>WEO</v>
      </c>
      <c r="K637">
        <f t="shared" si="9"/>
        <v>202143</v>
      </c>
      <c r="L637">
        <f>IFERROR(Table1[[#This Row],[Demand]]/SUMIFS(Table1[Demand],Table1[Fiscal_Year],Table1[[#This Row],[Fiscal_Year]],Table1[BRAND],Table1[[#This Row],[BRAND]],Table1[DC_name_Xref],Table1[[#This Row],[DC_name_Xref]]),0)</f>
        <v>0.45525713835887022</v>
      </c>
      <c r="M6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0.3069369683048927</v>
      </c>
      <c r="N637" s="3">
        <f>IFERROR(INDEX(Table3[#All],MATCH(Table1[[#This Row],[Key_Year_Week_Brand]],Table3[[#All],[Key_Year_Week_Brand]],0),MATCH(Table1[[#This Row],[DC_name_Xref]],Table3[#Headers],0)),0)</f>
        <v>0.4</v>
      </c>
      <c r="O637">
        <f>IFERROR(INDEX(Table35[#All],MATCH(Table1[[#This Row],[Key_Year_Week_Brand]],Table35[[#All],[Key_Year_Month_Brand]],0),MATCH(Table1[[#This Row],[DC_name_Xref]],Table35[#Headers],0)),0)</f>
        <v>2409554</v>
      </c>
    </row>
    <row r="638" spans="1:15" x14ac:dyDescent="0.3">
      <c r="A638" s="19" t="str">
        <f>Table1[[#This Row],[Year_Week]]&amp;"-"&amp;Table1[[#This Row],[DC_name_Xref]]</f>
        <v>202143-OCC</v>
      </c>
      <c r="B638" s="19" t="str">
        <f>Table1[[#This Row],[Fiscal_Year]]*100+Table1[[#This Row],[Fiscal_Week]] &amp; "-" &amp;Table1[[#This Row],[BRAND]]</f>
        <v>202143-Gap</v>
      </c>
      <c r="C638" t="str">
        <f>Table1[[#This Row],[Fiscal_Year]]&amp;"-"&amp;Table1[[#This Row],[BRAND]]</f>
        <v>2021-Gap</v>
      </c>
      <c r="D638">
        <v>2021</v>
      </c>
      <c r="E638">
        <v>43</v>
      </c>
      <c r="F638" t="s">
        <v>16</v>
      </c>
      <c r="G638" t="s">
        <v>11</v>
      </c>
      <c r="H638">
        <v>7</v>
      </c>
      <c r="I638">
        <v>0</v>
      </c>
      <c r="J638" t="str">
        <f>VLOOKUP(H638,DC_Xref!A:B,2,FALSE)</f>
        <v>OCC</v>
      </c>
      <c r="K638">
        <f t="shared" si="9"/>
        <v>202143</v>
      </c>
      <c r="L638">
        <f>IFERROR(Table1[[#This Row],[Demand]]/SUMIFS(Table1[Demand],Table1[Fiscal_Year],Table1[[#This Row],[Fiscal_Year]],Table1[BRAND],Table1[[#This Row],[BRAND]],Table1[DC_name_Xref],Table1[[#This Row],[DC_name_Xref]]),0)</f>
        <v>0</v>
      </c>
      <c r="M6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38" s="3">
        <f>IFERROR(INDEX(Table3[#All],MATCH(Table1[[#This Row],[Key_Year_Week_Brand]],Table3[[#All],[Key_Year_Week_Brand]],0),MATCH(Table1[[#This Row],[DC_name_Xref]],Table3[#Headers],0)),0)</f>
        <v>0.25</v>
      </c>
      <c r="O638">
        <f>IFERROR(INDEX(Table35[#All],MATCH(Table1[[#This Row],[Key_Year_Week_Brand]],Table35[[#All],[Key_Year_Month_Brand]],0),MATCH(Table1[[#This Row],[DC_name_Xref]],Table35[#Headers],0)),0)</f>
        <v>1505971.25</v>
      </c>
    </row>
    <row r="639" spans="1:15" x14ac:dyDescent="0.3">
      <c r="A639" s="19" t="str">
        <f>Table1[[#This Row],[Year_Week]]&amp;"-"&amp;Table1[[#This Row],[DC_name_Xref]]</f>
        <v>202143-OFC</v>
      </c>
      <c r="B639" s="19" t="str">
        <f>Table1[[#This Row],[Fiscal_Year]]*100+Table1[[#This Row],[Fiscal_Week]] &amp; "-" &amp;Table1[[#This Row],[BRAND]]</f>
        <v>202143-Gap Factory Store</v>
      </c>
      <c r="C639" t="str">
        <f>Table1[[#This Row],[Fiscal_Year]]&amp;"-"&amp;Table1[[#This Row],[BRAND]]</f>
        <v>2021-Gap Factory Store</v>
      </c>
      <c r="D639">
        <v>2021</v>
      </c>
      <c r="E639">
        <v>43</v>
      </c>
      <c r="F639" t="s">
        <v>22</v>
      </c>
      <c r="G639" t="s">
        <v>5</v>
      </c>
      <c r="H639">
        <v>1</v>
      </c>
      <c r="I639">
        <v>2114421</v>
      </c>
      <c r="J639" t="str">
        <f>VLOOKUP(H639,DC_Xref!A:B,2,FALSE)</f>
        <v>OFC</v>
      </c>
      <c r="K639">
        <f t="shared" si="9"/>
        <v>202143</v>
      </c>
      <c r="L639">
        <f>IFERROR(Table1[[#This Row],[Demand]]/SUMIFS(Table1[Demand],Table1[Fiscal_Year],Table1[[#This Row],[Fiscal_Year]],Table1[BRAND],Table1[[#This Row],[BRAND]],Table1[DC_name_Xref],Table1[[#This Row],[DC_name_Xref]]),0)</f>
        <v>0.43484388531538309</v>
      </c>
      <c r="M6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639" s="3">
        <f>IFERROR(INDEX(Table3[#All],MATCH(Table1[[#This Row],[Key_Year_Week_Brand]],Table3[[#All],[Key_Year_Week_Brand]],0),MATCH(Table1[[#This Row],[DC_name_Xref]],Table3[#Headers],0)),0)</f>
        <v>1</v>
      </c>
      <c r="O639">
        <f>IFERROR(INDEX(Table35[#All],MATCH(Table1[[#This Row],[Key_Year_Week_Brand]],Table35[[#All],[Key_Year_Month_Brand]],0),MATCH(Table1[[#This Row],[DC_name_Xref]],Table35[#Headers],0)),0)</f>
        <v>2114421</v>
      </c>
    </row>
    <row r="640" spans="1:15" x14ac:dyDescent="0.3">
      <c r="A640" s="19" t="str">
        <f>Table1[[#This Row],[Year_Week]]&amp;"-"&amp;Table1[[#This Row],[DC_name_Xref]]</f>
        <v>202143-TFC</v>
      </c>
      <c r="B640" s="19" t="str">
        <f>Table1[[#This Row],[Fiscal_Year]]*100+Table1[[#This Row],[Fiscal_Week]] &amp; "-" &amp;Table1[[#This Row],[BRAND]]</f>
        <v>202143-Gap Factory Store</v>
      </c>
      <c r="C640" t="str">
        <f>Table1[[#This Row],[Fiscal_Year]]&amp;"-"&amp;Table1[[#This Row],[BRAND]]</f>
        <v>2021-Gap Factory Store</v>
      </c>
      <c r="D640">
        <v>2021</v>
      </c>
      <c r="E640">
        <v>43</v>
      </c>
      <c r="F640" t="s">
        <v>22</v>
      </c>
      <c r="G640" t="s">
        <v>21</v>
      </c>
      <c r="H640">
        <v>2</v>
      </c>
      <c r="I640">
        <v>0</v>
      </c>
      <c r="J640" t="str">
        <f>VLOOKUP(H640,DC_Xref!A:B,2,FALSE)</f>
        <v>TFC</v>
      </c>
      <c r="K640">
        <f t="shared" si="9"/>
        <v>202143</v>
      </c>
      <c r="L640">
        <f>IFERROR(Table1[[#This Row],[Demand]]/SUMIFS(Table1[Demand],Table1[Fiscal_Year],Table1[[#This Row],[Fiscal_Year]],Table1[BRAND],Table1[[#This Row],[BRAND]],Table1[DC_name_Xref],Table1[[#This Row],[DC_name_Xref]]),0)</f>
        <v>0</v>
      </c>
      <c r="M6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0" s="3">
        <f>IFERROR(INDEX(Table3[#All],MATCH(Table1[[#This Row],[Key_Year_Week_Brand]],Table3[[#All],[Key_Year_Week_Brand]],0),MATCH(Table1[[#This Row],[DC_name_Xref]],Table3[#Headers],0)),0)</f>
        <v>0</v>
      </c>
      <c r="O640">
        <f>IFERROR(INDEX(Table35[#All],MATCH(Table1[[#This Row],[Key_Year_Week_Brand]],Table35[[#All],[Key_Year_Month_Brand]],0),MATCH(Table1[[#This Row],[DC_name_Xref]],Table35[#Headers],0)),0)</f>
        <v>0</v>
      </c>
    </row>
    <row r="641" spans="1:15" x14ac:dyDescent="0.3">
      <c r="A641" s="19" t="str">
        <f>Table1[[#This Row],[Year_Week]]&amp;"-"&amp;Table1[[#This Row],[DC_name_Xref]]</f>
        <v>202143-WFC</v>
      </c>
      <c r="B641" s="19" t="str">
        <f>Table1[[#This Row],[Fiscal_Year]]*100+Table1[[#This Row],[Fiscal_Week]] &amp; "-" &amp;Table1[[#This Row],[BRAND]]</f>
        <v>202143-Gap Factory Store</v>
      </c>
      <c r="C641" t="str">
        <f>Table1[[#This Row],[Fiscal_Year]]&amp;"-"&amp;Table1[[#This Row],[BRAND]]</f>
        <v>2021-Gap Factory Store</v>
      </c>
      <c r="D641">
        <v>2021</v>
      </c>
      <c r="E641">
        <v>43</v>
      </c>
      <c r="F641" t="s">
        <v>22</v>
      </c>
      <c r="G641" t="s">
        <v>7</v>
      </c>
      <c r="H641">
        <v>3</v>
      </c>
      <c r="I641">
        <v>0</v>
      </c>
      <c r="J641" t="str">
        <f>VLOOKUP(H641,DC_Xref!A:B,2,FALSE)</f>
        <v>WFC</v>
      </c>
      <c r="K641">
        <f t="shared" si="9"/>
        <v>202143</v>
      </c>
      <c r="L641">
        <f>IFERROR(Table1[[#This Row],[Demand]]/SUMIFS(Table1[Demand],Table1[Fiscal_Year],Table1[[#This Row],[Fiscal_Year]],Table1[BRAND],Table1[[#This Row],[BRAND]],Table1[DC_name_Xref],Table1[[#This Row],[DC_name_Xref]]),0)</f>
        <v>0</v>
      </c>
      <c r="M6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1" s="3">
        <f>IFERROR(INDEX(Table3[#All],MATCH(Table1[[#This Row],[Key_Year_Week_Brand]],Table3[[#All],[Key_Year_Week_Brand]],0),MATCH(Table1[[#This Row],[DC_name_Xref]],Table3[#Headers],0)),0)</f>
        <v>0</v>
      </c>
      <c r="O641">
        <f>IFERROR(INDEX(Table35[#All],MATCH(Table1[[#This Row],[Key_Year_Week_Brand]],Table35[[#All],[Key_Year_Month_Brand]],0),MATCH(Table1[[#This Row],[DC_name_Xref]],Table35[#Headers],0)),0)</f>
        <v>0</v>
      </c>
    </row>
    <row r="642" spans="1:15" x14ac:dyDescent="0.3">
      <c r="A642" s="19" t="str">
        <f>Table1[[#This Row],[Year_Week]]&amp;"-"&amp;Table1[[#This Row],[DC_name_Xref]]</f>
        <v>202143-EAO</v>
      </c>
      <c r="B642" s="19" t="str">
        <f>Table1[[#This Row],[Fiscal_Year]]*100+Table1[[#This Row],[Fiscal_Week]] &amp; "-" &amp;Table1[[#This Row],[BRAND]]</f>
        <v>202143-Gap Factory Store</v>
      </c>
      <c r="C642" t="str">
        <f>Table1[[#This Row],[Fiscal_Year]]&amp;"-"&amp;Table1[[#This Row],[BRAND]]</f>
        <v>2021-Gap Factory Store</v>
      </c>
      <c r="D642">
        <v>2021</v>
      </c>
      <c r="E642">
        <v>43</v>
      </c>
      <c r="F642" t="s">
        <v>22</v>
      </c>
      <c r="G642" t="s">
        <v>8</v>
      </c>
      <c r="H642">
        <v>4</v>
      </c>
      <c r="I642">
        <v>0</v>
      </c>
      <c r="J642" t="str">
        <f>VLOOKUP(H642,DC_Xref!A:B,2,FALSE)</f>
        <v>EAO</v>
      </c>
      <c r="K642">
        <f t="shared" ref="K642:K705" si="10">D642*100+E642</f>
        <v>202143</v>
      </c>
      <c r="L642">
        <f>IFERROR(Table1[[#This Row],[Demand]]/SUMIFS(Table1[Demand],Table1[Fiscal_Year],Table1[[#This Row],[Fiscal_Year]],Table1[BRAND],Table1[[#This Row],[BRAND]],Table1[DC_name_Xref],Table1[[#This Row],[DC_name_Xref]]),0)</f>
        <v>0</v>
      </c>
      <c r="M6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2" s="3">
        <f>IFERROR(INDEX(Table3[#All],MATCH(Table1[[#This Row],[Key_Year_Week_Brand]],Table3[[#All],[Key_Year_Week_Brand]],0),MATCH(Table1[[#This Row],[DC_name_Xref]],Table3[#Headers],0)),0)</f>
        <v>0</v>
      </c>
      <c r="O642">
        <f>IFERROR(INDEX(Table35[#All],MATCH(Table1[[#This Row],[Key_Year_Week_Brand]],Table35[[#All],[Key_Year_Month_Brand]],0),MATCH(Table1[[#This Row],[DC_name_Xref]],Table35[#Headers],0)),0)</f>
        <v>0</v>
      </c>
    </row>
    <row r="643" spans="1:15" x14ac:dyDescent="0.3">
      <c r="A643" s="19" t="str">
        <f>Table1[[#This Row],[Year_Week]]&amp;"-"&amp;Table1[[#This Row],[DC_name_Xref]]</f>
        <v>202143-FFC-ODC</v>
      </c>
      <c r="B643" s="19" t="str">
        <f>Table1[[#This Row],[Fiscal_Year]]*100+Table1[[#This Row],[Fiscal_Week]] &amp; "-" &amp;Table1[[#This Row],[BRAND]]</f>
        <v>202143-Gap Factory Store</v>
      </c>
      <c r="C643" t="str">
        <f>Table1[[#This Row],[Fiscal_Year]]&amp;"-"&amp;Table1[[#This Row],[BRAND]]</f>
        <v>2021-Gap Factory Store</v>
      </c>
      <c r="D643">
        <v>2021</v>
      </c>
      <c r="E643">
        <v>43</v>
      </c>
      <c r="F643" t="s">
        <v>22</v>
      </c>
      <c r="G643" t="s">
        <v>23</v>
      </c>
      <c r="H643">
        <v>5</v>
      </c>
      <c r="I643">
        <v>0</v>
      </c>
      <c r="J643" t="str">
        <f>VLOOKUP(H643,DC_Xref!A:B,2,FALSE)</f>
        <v>FFC-ODC</v>
      </c>
      <c r="K643">
        <f t="shared" si="10"/>
        <v>202143</v>
      </c>
      <c r="L643">
        <f>IFERROR(Table1[[#This Row],[Demand]]/SUMIFS(Table1[Demand],Table1[Fiscal_Year],Table1[[#This Row],[Fiscal_Year]],Table1[BRAND],Table1[[#This Row],[BRAND]],Table1[DC_name_Xref],Table1[[#This Row],[DC_name_Xref]]),0)</f>
        <v>0</v>
      </c>
      <c r="M6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3" s="3">
        <f>IFERROR(INDEX(Table3[#All],MATCH(Table1[[#This Row],[Key_Year_Week_Brand]],Table3[[#All],[Key_Year_Week_Brand]],0),MATCH(Table1[[#This Row],[DC_name_Xref]],Table3[#Headers],0)),0)</f>
        <v>0</v>
      </c>
      <c r="O643">
        <f>IFERROR(INDEX(Table35[#All],MATCH(Table1[[#This Row],[Key_Year_Week_Brand]],Table35[[#All],[Key_Year_Month_Brand]],0),MATCH(Table1[[#This Row],[DC_name_Xref]],Table35[#Headers],0)),0)</f>
        <v>0</v>
      </c>
    </row>
    <row r="644" spans="1:15" x14ac:dyDescent="0.3">
      <c r="A644" s="19" t="str">
        <f>Table1[[#This Row],[Year_Week]]&amp;"-"&amp;Table1[[#This Row],[DC_name_Xref]]</f>
        <v>202143-WEO</v>
      </c>
      <c r="B644" s="19" t="str">
        <f>Table1[[#This Row],[Fiscal_Year]]*100+Table1[[#This Row],[Fiscal_Week]] &amp; "-" &amp;Table1[[#This Row],[BRAND]]</f>
        <v>202143-Gap Factory Store</v>
      </c>
      <c r="C644" t="str">
        <f>Table1[[#This Row],[Fiscal_Year]]&amp;"-"&amp;Table1[[#This Row],[BRAND]]</f>
        <v>2021-Gap Factory Store</v>
      </c>
      <c r="D644">
        <v>2021</v>
      </c>
      <c r="E644">
        <v>43</v>
      </c>
      <c r="F644" t="s">
        <v>22</v>
      </c>
      <c r="G644" t="s">
        <v>10</v>
      </c>
      <c r="H644">
        <v>6</v>
      </c>
      <c r="I644">
        <v>0</v>
      </c>
      <c r="J644" t="str">
        <f>VLOOKUP(H644,DC_Xref!A:B,2,FALSE)</f>
        <v>WEO</v>
      </c>
      <c r="K644">
        <f t="shared" si="10"/>
        <v>202143</v>
      </c>
      <c r="L644">
        <f>IFERROR(Table1[[#This Row],[Demand]]/SUMIFS(Table1[Demand],Table1[Fiscal_Year],Table1[[#This Row],[Fiscal_Year]],Table1[BRAND],Table1[[#This Row],[BRAND]],Table1[DC_name_Xref],Table1[[#This Row],[DC_name_Xref]]),0)</f>
        <v>0</v>
      </c>
      <c r="M6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4" s="3">
        <f>IFERROR(INDEX(Table3[#All],MATCH(Table1[[#This Row],[Key_Year_Week_Brand]],Table3[[#All],[Key_Year_Week_Brand]],0),MATCH(Table1[[#This Row],[DC_name_Xref]],Table3[#Headers],0)),0)</f>
        <v>0</v>
      </c>
      <c r="O644">
        <f>IFERROR(INDEX(Table35[#All],MATCH(Table1[[#This Row],[Key_Year_Week_Brand]],Table35[[#All],[Key_Year_Month_Brand]],0),MATCH(Table1[[#This Row],[DC_name_Xref]],Table35[#Headers],0)),0)</f>
        <v>0</v>
      </c>
    </row>
    <row r="645" spans="1:15" x14ac:dyDescent="0.3">
      <c r="A645" s="19" t="str">
        <f>Table1[[#This Row],[Year_Week]]&amp;"-"&amp;Table1[[#This Row],[DC_name_Xref]]</f>
        <v>202143-OCC</v>
      </c>
      <c r="B645" s="19" t="str">
        <f>Table1[[#This Row],[Fiscal_Year]]*100+Table1[[#This Row],[Fiscal_Week]] &amp; "-" &amp;Table1[[#This Row],[BRAND]]</f>
        <v>202143-Gap Factory Store</v>
      </c>
      <c r="C645" t="str">
        <f>Table1[[#This Row],[Fiscal_Year]]&amp;"-"&amp;Table1[[#This Row],[BRAND]]</f>
        <v>2021-Gap Factory Store</v>
      </c>
      <c r="D645">
        <v>2021</v>
      </c>
      <c r="E645">
        <v>43</v>
      </c>
      <c r="F645" t="s">
        <v>22</v>
      </c>
      <c r="G645" t="s">
        <v>11</v>
      </c>
      <c r="H645">
        <v>7</v>
      </c>
      <c r="I645">
        <v>0</v>
      </c>
      <c r="J645" t="str">
        <f>VLOOKUP(H645,DC_Xref!A:B,2,FALSE)</f>
        <v>OCC</v>
      </c>
      <c r="K645">
        <f t="shared" si="10"/>
        <v>202143</v>
      </c>
      <c r="L645">
        <f>IFERROR(Table1[[#This Row],[Demand]]/SUMIFS(Table1[Demand],Table1[Fiscal_Year],Table1[[#This Row],[Fiscal_Year]],Table1[BRAND],Table1[[#This Row],[BRAND]],Table1[DC_name_Xref],Table1[[#This Row],[DC_name_Xref]]),0)</f>
        <v>0</v>
      </c>
      <c r="M6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45" s="3">
        <f>IFERROR(INDEX(Table3[#All],MATCH(Table1[[#This Row],[Key_Year_Week_Brand]],Table3[[#All],[Key_Year_Week_Brand]],0),MATCH(Table1[[#This Row],[DC_name_Xref]],Table3[#Headers],0)),0)</f>
        <v>0</v>
      </c>
      <c r="O645">
        <f>IFERROR(INDEX(Table35[#All],MATCH(Table1[[#This Row],[Key_Year_Week_Brand]],Table35[[#All],[Key_Year_Month_Brand]],0),MATCH(Table1[[#This Row],[DC_name_Xref]],Table35[#Headers],0)),0)</f>
        <v>0</v>
      </c>
    </row>
    <row r="646" spans="1:15" x14ac:dyDescent="0.3">
      <c r="A646" s="19" t="str">
        <f>Table1[[#This Row],[Year_Week]]&amp;"-"&amp;Table1[[#This Row],[DC_name_Xref]]</f>
        <v>202143-OFC</v>
      </c>
      <c r="B646" s="19" t="str">
        <f>Table1[[#This Row],[Fiscal_Year]]*100+Table1[[#This Row],[Fiscal_Week]] &amp; "-" &amp;Table1[[#This Row],[BRAND]]</f>
        <v>202143-Banana Republic</v>
      </c>
      <c r="C646" t="str">
        <f>Table1[[#This Row],[Fiscal_Year]]&amp;"-"&amp;Table1[[#This Row],[BRAND]]</f>
        <v>2021-Banana Republic</v>
      </c>
      <c r="D646">
        <v>2021</v>
      </c>
      <c r="E646">
        <v>43</v>
      </c>
      <c r="F646" t="s">
        <v>18</v>
      </c>
      <c r="G646" t="s">
        <v>5</v>
      </c>
      <c r="H646">
        <v>1</v>
      </c>
      <c r="I646">
        <v>11542</v>
      </c>
      <c r="J646" t="str">
        <f>VLOOKUP(H646,DC_Xref!A:B,2,FALSE)</f>
        <v>OFC</v>
      </c>
      <c r="K646">
        <f t="shared" si="10"/>
        <v>202143</v>
      </c>
      <c r="L646">
        <f>IFERROR(Table1[[#This Row],[Demand]]/SUMIFS(Table1[Demand],Table1[Fiscal_Year],Table1[[#This Row],[Fiscal_Year]],Table1[BRAND],Table1[[#This Row],[BRAND]],Table1[DC_name_Xref],Table1[[#This Row],[DC_name_Xref]]),0)</f>
        <v>0.21019850664724093</v>
      </c>
      <c r="M6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2.1329258335346751E-2</v>
      </c>
      <c r="N646" s="3">
        <f>IFERROR(INDEX(Table3[#All],MATCH(Table1[[#This Row],[Key_Year_Week_Brand]],Table3[[#All],[Key_Year_Week_Brand]],0),MATCH(Table1[[#This Row],[DC_name_Xref]],Table3[#Headers],0)),0)</f>
        <v>0</v>
      </c>
      <c r="O646">
        <f>IFERROR(INDEX(Table35[#All],MATCH(Table1[[#This Row],[Key_Year_Week_Brand]],Table35[[#All],[Key_Year_Month_Brand]],0),MATCH(Table1[[#This Row],[DC_name_Xref]],Table35[#Headers],0)),0)</f>
        <v>0</v>
      </c>
    </row>
    <row r="647" spans="1:15" x14ac:dyDescent="0.3">
      <c r="A647" s="19" t="str">
        <f>Table1[[#This Row],[Year_Week]]&amp;"-"&amp;Table1[[#This Row],[DC_name_Xref]]</f>
        <v>202143-TFC</v>
      </c>
      <c r="B647" s="19" t="str">
        <f>Table1[[#This Row],[Fiscal_Year]]*100+Table1[[#This Row],[Fiscal_Week]] &amp; "-" &amp;Table1[[#This Row],[BRAND]]</f>
        <v>202143-Banana Republic</v>
      </c>
      <c r="C647" t="str">
        <f>Table1[[#This Row],[Fiscal_Year]]&amp;"-"&amp;Table1[[#This Row],[BRAND]]</f>
        <v>2021-Banana Republic</v>
      </c>
      <c r="D647">
        <v>2021</v>
      </c>
      <c r="E647">
        <v>43</v>
      </c>
      <c r="F647" t="s">
        <v>18</v>
      </c>
      <c r="G647" t="s">
        <v>21</v>
      </c>
      <c r="H647">
        <v>2</v>
      </c>
      <c r="I647">
        <v>881058</v>
      </c>
      <c r="J647" t="str">
        <f>VLOOKUP(H647,DC_Xref!A:B,2,FALSE)</f>
        <v>TFC</v>
      </c>
      <c r="K647">
        <f t="shared" si="10"/>
        <v>202143</v>
      </c>
      <c r="L647">
        <f>IFERROR(Table1[[#This Row],[Demand]]/SUMIFS(Table1[Demand],Table1[Fiscal_Year],Table1[[#This Row],[Fiscal_Year]],Table1[BRAND],Table1[[#This Row],[BRAND]],Table1[DC_name_Xref],Table1[[#This Row],[DC_name_Xref]]),0)</f>
        <v>0.34971361888091068</v>
      </c>
      <c r="M6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0.97862490570611071</v>
      </c>
      <c r="N647" s="3">
        <f>IFERROR(INDEX(Table3[#All],MATCH(Table1[[#This Row],[Key_Year_Week_Brand]],Table3[[#All],[Key_Year_Week_Brand]],0),MATCH(Table1[[#This Row],[DC_name_Xref]],Table3[#Headers],0)),0)</f>
        <v>1</v>
      </c>
      <c r="O647">
        <f>IFERROR(INDEX(Table35[#All],MATCH(Table1[[#This Row],[Key_Year_Week_Brand]],Table35[[#All],[Key_Year_Month_Brand]],0),MATCH(Table1[[#This Row],[DC_name_Xref]],Table35[#Headers],0)),0)</f>
        <v>892617</v>
      </c>
    </row>
    <row r="648" spans="1:15" x14ac:dyDescent="0.3">
      <c r="A648" s="19" t="str">
        <f>Table1[[#This Row],[Year_Week]]&amp;"-"&amp;Table1[[#This Row],[DC_name_Xref]]</f>
        <v>202143-WFC</v>
      </c>
      <c r="B648" s="19" t="str">
        <f>Table1[[#This Row],[Fiscal_Year]]*100+Table1[[#This Row],[Fiscal_Week]] &amp; "-" &amp;Table1[[#This Row],[BRAND]]</f>
        <v>202143-Banana Republic</v>
      </c>
      <c r="C648" t="str">
        <f>Table1[[#This Row],[Fiscal_Year]]&amp;"-"&amp;Table1[[#This Row],[BRAND]]</f>
        <v>2021-Banana Republic</v>
      </c>
      <c r="D648">
        <v>2021</v>
      </c>
      <c r="E648">
        <v>43</v>
      </c>
      <c r="F648" t="s">
        <v>18</v>
      </c>
      <c r="G648" t="s">
        <v>7</v>
      </c>
      <c r="H648">
        <v>3</v>
      </c>
      <c r="I648">
        <v>2</v>
      </c>
      <c r="J648" t="str">
        <f>VLOOKUP(H648,DC_Xref!A:B,2,FALSE)</f>
        <v>WFC</v>
      </c>
      <c r="K648">
        <f t="shared" si="10"/>
        <v>202143</v>
      </c>
      <c r="L648">
        <f>IFERROR(Table1[[#This Row],[Demand]]/SUMIFS(Table1[Demand],Table1[Fiscal_Year],Table1[[#This Row],[Fiscal_Year]],Table1[BRAND],Table1[[#This Row],[BRAND]],Table1[DC_name_Xref],Table1[[#This Row],[DC_name_Xref]]),0)</f>
        <v>0.22222222222222221</v>
      </c>
      <c r="M6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3.4959629396853166E-6</v>
      </c>
      <c r="N648" s="3">
        <f>IFERROR(INDEX(Table3[#All],MATCH(Table1[[#This Row],[Key_Year_Week_Brand]],Table3[[#All],[Key_Year_Week_Brand]],0),MATCH(Table1[[#This Row],[DC_name_Xref]],Table3[#Headers],0)),0)</f>
        <v>3.4959629396853166E-6</v>
      </c>
      <c r="O648">
        <f>IFERROR(INDEX(Table35[#All],MATCH(Table1[[#This Row],[Key_Year_Week_Brand]],Table35[[#All],[Key_Year_Month_Brand]],0),MATCH(Table1[[#This Row],[DC_name_Xref]],Table35[#Headers],0)),0)</f>
        <v>3.1205559513330883</v>
      </c>
    </row>
    <row r="649" spans="1:15" x14ac:dyDescent="0.3">
      <c r="A649" s="19" t="str">
        <f>Table1[[#This Row],[Year_Week]]&amp;"-"&amp;Table1[[#This Row],[DC_name_Xref]]</f>
        <v>202143-EAO</v>
      </c>
      <c r="B649" s="19" t="str">
        <f>Table1[[#This Row],[Fiscal_Year]]*100+Table1[[#This Row],[Fiscal_Week]] &amp; "-" &amp;Table1[[#This Row],[BRAND]]</f>
        <v>202143-Banana Republic</v>
      </c>
      <c r="C649" t="str">
        <f>Table1[[#This Row],[Fiscal_Year]]&amp;"-"&amp;Table1[[#This Row],[BRAND]]</f>
        <v>2021-Banana Republic</v>
      </c>
      <c r="D649">
        <v>2021</v>
      </c>
      <c r="E649">
        <v>43</v>
      </c>
      <c r="F649" t="s">
        <v>18</v>
      </c>
      <c r="G649" t="s">
        <v>8</v>
      </c>
      <c r="H649">
        <v>4</v>
      </c>
      <c r="I649">
        <v>15</v>
      </c>
      <c r="J649" t="str">
        <f>VLOOKUP(H649,DC_Xref!A:B,2,FALSE)</f>
        <v>EAO</v>
      </c>
      <c r="K649">
        <f t="shared" si="10"/>
        <v>202143</v>
      </c>
      <c r="L649">
        <f>IFERROR(Table1[[#This Row],[Demand]]/SUMIFS(Table1[Demand],Table1[Fiscal_Year],Table1[[#This Row],[Fiscal_Year]],Table1[BRAND],Table1[[#This Row],[BRAND]],Table1[DC_name_Xref],Table1[[#This Row],[DC_name_Xref]]),0)</f>
        <v>0.13761467889908258</v>
      </c>
      <c r="M6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4.2339995602855504E-5</v>
      </c>
      <c r="N649" s="3">
        <f>IFERROR(INDEX(Table3[#All],MATCH(Table1[[#This Row],[Key_Year_Week_Brand]],Table3[[#All],[Key_Year_Week_Brand]],0),MATCH(Table1[[#This Row],[DC_name_Xref]],Table3[#Headers],0)),0)</f>
        <v>4.2339995602855504E-5</v>
      </c>
      <c r="O649">
        <f>IFERROR(INDEX(Table35[#All],MATCH(Table1[[#This Row],[Key_Year_Week_Brand]],Table35[[#All],[Key_Year_Month_Brand]],0),MATCH(Table1[[#This Row],[DC_name_Xref]],Table35[#Headers],0)),0)</f>
        <v>37.793399855034075</v>
      </c>
    </row>
    <row r="650" spans="1:15" x14ac:dyDescent="0.3">
      <c r="A650" s="19" t="str">
        <f>Table1[[#This Row],[Year_Week]]&amp;"-"&amp;Table1[[#This Row],[DC_name_Xref]]</f>
        <v>202143-FFC-ODC</v>
      </c>
      <c r="B650" s="19" t="str">
        <f>Table1[[#This Row],[Fiscal_Year]]*100+Table1[[#This Row],[Fiscal_Week]] &amp; "-" &amp;Table1[[#This Row],[BRAND]]</f>
        <v>202143-Banana Republic</v>
      </c>
      <c r="C650" t="str">
        <f>Table1[[#This Row],[Fiscal_Year]]&amp;"-"&amp;Table1[[#This Row],[BRAND]]</f>
        <v>2021-Banana Republic</v>
      </c>
      <c r="D650">
        <v>2021</v>
      </c>
      <c r="E650">
        <v>43</v>
      </c>
      <c r="F650" t="s">
        <v>18</v>
      </c>
      <c r="G650" t="s">
        <v>23</v>
      </c>
      <c r="H650">
        <v>5</v>
      </c>
      <c r="I650">
        <v>0</v>
      </c>
      <c r="J650" t="str">
        <f>VLOOKUP(H650,DC_Xref!A:B,2,FALSE)</f>
        <v>FFC-ODC</v>
      </c>
      <c r="K650">
        <f t="shared" si="10"/>
        <v>202143</v>
      </c>
      <c r="L650">
        <f>IFERROR(Table1[[#This Row],[Demand]]/SUMIFS(Table1[Demand],Table1[Fiscal_Year],Table1[[#This Row],[Fiscal_Year]],Table1[BRAND],Table1[[#This Row],[BRAND]],Table1[DC_name_Xref],Table1[[#This Row],[DC_name_Xref]]),0)</f>
        <v>0</v>
      </c>
      <c r="M6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50" s="3">
        <f>IFERROR(INDEX(Table3[#All],MATCH(Table1[[#This Row],[Key_Year_Week_Brand]],Table3[[#All],[Key_Year_Week_Brand]],0),MATCH(Table1[[#This Row],[DC_name_Xref]],Table3[#Headers],0)),0)</f>
        <v>0</v>
      </c>
      <c r="O650">
        <f>IFERROR(INDEX(Table35[#All],MATCH(Table1[[#This Row],[Key_Year_Week_Brand]],Table35[[#All],[Key_Year_Month_Brand]],0),MATCH(Table1[[#This Row],[DC_name_Xref]],Table35[#Headers],0)),0)</f>
        <v>0</v>
      </c>
    </row>
    <row r="651" spans="1:15" x14ac:dyDescent="0.3">
      <c r="A651" s="19" t="str">
        <f>Table1[[#This Row],[Year_Week]]&amp;"-"&amp;Table1[[#This Row],[DC_name_Xref]]</f>
        <v>202143-WEO</v>
      </c>
      <c r="B651" s="19" t="str">
        <f>Table1[[#This Row],[Fiscal_Year]]*100+Table1[[#This Row],[Fiscal_Week]] &amp; "-" &amp;Table1[[#This Row],[BRAND]]</f>
        <v>202143-Banana Republic</v>
      </c>
      <c r="C651" t="str">
        <f>Table1[[#This Row],[Fiscal_Year]]&amp;"-"&amp;Table1[[#This Row],[BRAND]]</f>
        <v>2021-Banana Republic</v>
      </c>
      <c r="D651">
        <v>2021</v>
      </c>
      <c r="E651">
        <v>43</v>
      </c>
      <c r="F651" t="s">
        <v>18</v>
      </c>
      <c r="G651" t="s">
        <v>10</v>
      </c>
      <c r="H651">
        <v>6</v>
      </c>
      <c r="I651">
        <v>0</v>
      </c>
      <c r="J651" t="str">
        <f>VLOOKUP(H651,DC_Xref!A:B,2,FALSE)</f>
        <v>WEO</v>
      </c>
      <c r="K651">
        <f t="shared" si="10"/>
        <v>202143</v>
      </c>
      <c r="L651">
        <f>IFERROR(Table1[[#This Row],[Demand]]/SUMIFS(Table1[Demand],Table1[Fiscal_Year],Table1[[#This Row],[Fiscal_Year]],Table1[BRAND],Table1[[#This Row],[BRAND]],Table1[DC_name_Xref],Table1[[#This Row],[DC_name_Xref]]),0)</f>
        <v>0</v>
      </c>
      <c r="M6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51" s="3">
        <f>IFERROR(INDEX(Table3[#All],MATCH(Table1[[#This Row],[Key_Year_Week_Brand]],Table3[[#All],[Key_Year_Week_Brand]],0),MATCH(Table1[[#This Row],[DC_name_Xref]],Table3[#Headers],0)),0)</f>
        <v>0</v>
      </c>
      <c r="O651">
        <f>IFERROR(INDEX(Table35[#All],MATCH(Table1[[#This Row],[Key_Year_Week_Brand]],Table35[[#All],[Key_Year_Month_Brand]],0),MATCH(Table1[[#This Row],[DC_name_Xref]],Table35[#Headers],0)),0)</f>
        <v>0</v>
      </c>
    </row>
    <row r="652" spans="1:15" x14ac:dyDescent="0.3">
      <c r="A652" s="19" t="str">
        <f>Table1[[#This Row],[Year_Week]]&amp;"-"&amp;Table1[[#This Row],[DC_name_Xref]]</f>
        <v>202143-OCC</v>
      </c>
      <c r="B652" s="19" t="str">
        <f>Table1[[#This Row],[Fiscal_Year]]*100+Table1[[#This Row],[Fiscal_Week]] &amp; "-" &amp;Table1[[#This Row],[BRAND]]</f>
        <v>202143-Banana Republic</v>
      </c>
      <c r="C652" t="str">
        <f>Table1[[#This Row],[Fiscal_Year]]&amp;"-"&amp;Table1[[#This Row],[BRAND]]</f>
        <v>2021-Banana Republic</v>
      </c>
      <c r="D652">
        <v>2021</v>
      </c>
      <c r="E652">
        <v>43</v>
      </c>
      <c r="F652" t="s">
        <v>18</v>
      </c>
      <c r="G652" t="s">
        <v>11</v>
      </c>
      <c r="H652">
        <v>7</v>
      </c>
      <c r="I652">
        <v>0</v>
      </c>
      <c r="J652" t="str">
        <f>VLOOKUP(H652,DC_Xref!A:B,2,FALSE)</f>
        <v>OCC</v>
      </c>
      <c r="K652">
        <f t="shared" si="10"/>
        <v>202143</v>
      </c>
      <c r="L652">
        <f>IFERROR(Table1[[#This Row],[Demand]]/SUMIFS(Table1[Demand],Table1[Fiscal_Year],Table1[[#This Row],[Fiscal_Year]],Table1[BRAND],Table1[[#This Row],[BRAND]],Table1[DC_name_Xref],Table1[[#This Row],[DC_name_Xref]]),0)</f>
        <v>0</v>
      </c>
      <c r="M6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52" s="3">
        <f>IFERROR(INDEX(Table3[#All],MATCH(Table1[[#This Row],[Key_Year_Week_Brand]],Table3[[#All],[Key_Year_Week_Brand]],0),MATCH(Table1[[#This Row],[DC_name_Xref]],Table3[#Headers],0)),0)</f>
        <v>0</v>
      </c>
      <c r="O652">
        <f>IFERROR(INDEX(Table35[#All],MATCH(Table1[[#This Row],[Key_Year_Week_Brand]],Table35[[#All],[Key_Year_Month_Brand]],0),MATCH(Table1[[#This Row],[DC_name_Xref]],Table35[#Headers],0)),0)</f>
        <v>0</v>
      </c>
    </row>
    <row r="653" spans="1:15" x14ac:dyDescent="0.3">
      <c r="A653" s="19" t="str">
        <f>Table1[[#This Row],[Year_Week]]&amp;"-"&amp;Table1[[#This Row],[DC_name_Xref]]</f>
        <v>202143-OFC</v>
      </c>
      <c r="B653" s="19" t="str">
        <f>Table1[[#This Row],[Fiscal_Year]]*100+Table1[[#This Row],[Fiscal_Week]] &amp; "-" &amp;Table1[[#This Row],[BRAND]]</f>
        <v>202143-Old Navy</v>
      </c>
      <c r="C653" t="str">
        <f>Table1[[#This Row],[Fiscal_Year]]&amp;"-"&amp;Table1[[#This Row],[BRAND]]</f>
        <v>2021-Old Navy</v>
      </c>
      <c r="D653">
        <v>2021</v>
      </c>
      <c r="E653">
        <v>43</v>
      </c>
      <c r="F653" t="s">
        <v>20</v>
      </c>
      <c r="G653" t="s">
        <v>5</v>
      </c>
      <c r="H653">
        <v>1</v>
      </c>
      <c r="I653">
        <v>3058554</v>
      </c>
      <c r="J653" t="str">
        <f>VLOOKUP(H653,DC_Xref!A:B,2,FALSE)</f>
        <v>OFC</v>
      </c>
      <c r="K653">
        <f t="shared" si="10"/>
        <v>202143</v>
      </c>
      <c r="L653">
        <f>IFERROR(Table1[[#This Row],[Demand]]/SUMIFS(Table1[Demand],Table1[Fiscal_Year],Table1[[#This Row],[Fiscal_Year]],Table1[BRAND],Table1[[#This Row],[BRAND]],Table1[DC_name_Xref],Table1[[#This Row],[DC_name_Xref]]),0)</f>
        <v>0.3427629873611952</v>
      </c>
      <c r="M6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0.29585491332950564</v>
      </c>
      <c r="N653" s="3">
        <f>IFERROR(INDEX(Table3[#All],MATCH(Table1[[#This Row],[Key_Year_Week_Brand]],Table3[[#All],[Key_Year_Week_Brand]],0),MATCH(Table1[[#This Row],[DC_name_Xref]],Table3[#Headers],0)),0)</f>
        <v>0.15</v>
      </c>
      <c r="O653">
        <f>IFERROR(INDEX(Table35[#All],MATCH(Table1[[#This Row],[Key_Year_Week_Brand]],Table35[[#All],[Key_Year_Month_Brand]],0),MATCH(Table1[[#This Row],[DC_name_Xref]],Table35[#Headers],0)),0)</f>
        <v>1640471.4</v>
      </c>
    </row>
    <row r="654" spans="1:15" x14ac:dyDescent="0.3">
      <c r="A654" s="19" t="str">
        <f>Table1[[#This Row],[Year_Week]]&amp;"-"&amp;Table1[[#This Row],[DC_name_Xref]]</f>
        <v>202143-TFC</v>
      </c>
      <c r="B654" s="19" t="str">
        <f>Table1[[#This Row],[Fiscal_Year]]*100+Table1[[#This Row],[Fiscal_Week]] &amp; "-" &amp;Table1[[#This Row],[BRAND]]</f>
        <v>202143-Old Navy</v>
      </c>
      <c r="C654" t="str">
        <f>Table1[[#This Row],[Fiscal_Year]]&amp;"-"&amp;Table1[[#This Row],[BRAND]]</f>
        <v>2021-Old Navy</v>
      </c>
      <c r="D654">
        <v>2021</v>
      </c>
      <c r="E654">
        <v>43</v>
      </c>
      <c r="F654" t="s">
        <v>20</v>
      </c>
      <c r="G654" t="s">
        <v>21</v>
      </c>
      <c r="H654">
        <v>2</v>
      </c>
      <c r="I654">
        <v>2010988</v>
      </c>
      <c r="J654" t="str">
        <f>VLOOKUP(H654,DC_Xref!A:B,2,FALSE)</f>
        <v>TFC</v>
      </c>
      <c r="K654">
        <f t="shared" si="10"/>
        <v>202143</v>
      </c>
      <c r="L654">
        <f>IFERROR(Table1[[#This Row],[Demand]]/SUMIFS(Table1[Demand],Table1[Fiscal_Year],Table1[[#This Row],[Fiscal_Year]],Table1[BRAND],Table1[[#This Row],[BRAND]],Table1[DC_name_Xref],Table1[[#This Row],[DC_name_Xref]]),0)</f>
        <v>0.3920481783492587</v>
      </c>
      <c r="M6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0.17006956138921989</v>
      </c>
      <c r="N654" s="3">
        <f>IFERROR(INDEX(Table3[#All],MATCH(Table1[[#This Row],[Key_Year_Week_Brand]],Table3[[#All],[Key_Year_Week_Brand]],0),MATCH(Table1[[#This Row],[DC_name_Xref]],Table3[#Headers],0)),0)</f>
        <v>0.17760000000000001</v>
      </c>
      <c r="O654">
        <f>IFERROR(INDEX(Table35[#All],MATCH(Table1[[#This Row],[Key_Year_Week_Brand]],Table35[[#All],[Key_Year_Month_Brand]],0),MATCH(Table1[[#This Row],[DC_name_Xref]],Table35[#Headers],0)),0)</f>
        <v>1942318.1376</v>
      </c>
    </row>
    <row r="655" spans="1:15" x14ac:dyDescent="0.3">
      <c r="A655" s="19" t="str">
        <f>Table1[[#This Row],[Year_Week]]&amp;"-"&amp;Table1[[#This Row],[DC_name_Xref]]</f>
        <v>202143-WFC</v>
      </c>
      <c r="B655" s="19" t="str">
        <f>Table1[[#This Row],[Fiscal_Year]]*100+Table1[[#This Row],[Fiscal_Week]] &amp; "-" &amp;Table1[[#This Row],[BRAND]]</f>
        <v>202143-Old Navy</v>
      </c>
      <c r="C655" t="str">
        <f>Table1[[#This Row],[Fiscal_Year]]&amp;"-"&amp;Table1[[#This Row],[BRAND]]</f>
        <v>2021-Old Navy</v>
      </c>
      <c r="D655">
        <v>2021</v>
      </c>
      <c r="E655">
        <v>43</v>
      </c>
      <c r="F655" t="s">
        <v>20</v>
      </c>
      <c r="G655" t="s">
        <v>7</v>
      </c>
      <c r="H655">
        <v>3</v>
      </c>
      <c r="I655">
        <v>2225154</v>
      </c>
      <c r="J655" t="str">
        <f>VLOOKUP(H655,DC_Xref!A:B,2,FALSE)</f>
        <v>WFC</v>
      </c>
      <c r="K655">
        <f t="shared" si="10"/>
        <v>202143</v>
      </c>
      <c r="L655">
        <f>IFERROR(Table1[[#This Row],[Demand]]/SUMIFS(Table1[Demand],Table1[Fiscal_Year],Table1[[#This Row],[Fiscal_Year]],Table1[BRAND],Table1[[#This Row],[BRAND]],Table1[DC_name_Xref],Table1[[#This Row],[DC_name_Xref]]),0)</f>
        <v>0.36580780390770773</v>
      </c>
      <c r="M6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0.20168038417761627</v>
      </c>
      <c r="N655" s="3">
        <f>IFERROR(INDEX(Table3[#All],MATCH(Table1[[#This Row],[Key_Year_Week_Brand]],Table3[[#All],[Key_Year_Week_Brand]],0),MATCH(Table1[[#This Row],[DC_name_Xref]],Table3[#Headers],0)),0)</f>
        <v>0</v>
      </c>
      <c r="O655">
        <f>IFERROR(INDEX(Table35[#All],MATCH(Table1[[#This Row],[Key_Year_Week_Brand]],Table35[[#All],[Key_Year_Month_Brand]],0),MATCH(Table1[[#This Row],[DC_name_Xref]],Table35[#Headers],0)),0)</f>
        <v>0</v>
      </c>
    </row>
    <row r="656" spans="1:15" x14ac:dyDescent="0.3">
      <c r="A656" s="19" t="str">
        <f>Table1[[#This Row],[Year_Week]]&amp;"-"&amp;Table1[[#This Row],[DC_name_Xref]]</f>
        <v>202143-EAO</v>
      </c>
      <c r="B656" s="19" t="str">
        <f>Table1[[#This Row],[Fiscal_Year]]*100+Table1[[#This Row],[Fiscal_Week]] &amp; "-" &amp;Table1[[#This Row],[BRAND]]</f>
        <v>202143-Old Navy</v>
      </c>
      <c r="C656" t="str">
        <f>Table1[[#This Row],[Fiscal_Year]]&amp;"-"&amp;Table1[[#This Row],[BRAND]]</f>
        <v>2021-Old Navy</v>
      </c>
      <c r="D656">
        <v>2021</v>
      </c>
      <c r="E656">
        <v>43</v>
      </c>
      <c r="F656" t="s">
        <v>20</v>
      </c>
      <c r="G656" t="s">
        <v>8</v>
      </c>
      <c r="H656">
        <v>4</v>
      </c>
      <c r="I656">
        <v>3641780</v>
      </c>
      <c r="J656" t="str">
        <f>VLOOKUP(H656,DC_Xref!A:B,2,FALSE)</f>
        <v>EAO</v>
      </c>
      <c r="K656">
        <f t="shared" si="10"/>
        <v>202143</v>
      </c>
      <c r="L656">
        <f>IFERROR(Table1[[#This Row],[Demand]]/SUMIFS(Table1[Demand],Table1[Fiscal_Year],Table1[[#This Row],[Fiscal_Year]],Table1[BRAND],Table1[[#This Row],[BRAND]],Table1[DC_name_Xref],Table1[[#This Row],[DC_name_Xref]]),0)</f>
        <v>0.36325833886349929</v>
      </c>
      <c r="M6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0.3323951411036582</v>
      </c>
      <c r="N656" s="3">
        <f>IFERROR(INDEX(Table3[#All],MATCH(Table1[[#This Row],[Key_Year_Week_Brand]],Table3[[#All],[Key_Year_Week_Brand]],0),MATCH(Table1[[#This Row],[DC_name_Xref]],Table3[#Headers],0)),0)</f>
        <v>0.27239514110365798</v>
      </c>
      <c r="O656">
        <f>IFERROR(INDEX(Table35[#All],MATCH(Table1[[#This Row],[Key_Year_Week_Brand]],Table35[[#All],[Key_Year_Month_Brand]],0),MATCH(Table1[[#This Row],[DC_name_Xref]],Table35[#Headers],0)),0)</f>
        <v>2979042.9231967689</v>
      </c>
    </row>
    <row r="657" spans="1:15" x14ac:dyDescent="0.3">
      <c r="A657" s="19" t="str">
        <f>Table1[[#This Row],[Year_Week]]&amp;"-"&amp;Table1[[#This Row],[DC_name_Xref]]</f>
        <v>202143-FFC-ODC</v>
      </c>
      <c r="B657" s="19" t="str">
        <f>Table1[[#This Row],[Fiscal_Year]]*100+Table1[[#This Row],[Fiscal_Week]] &amp; "-" &amp;Table1[[#This Row],[BRAND]]</f>
        <v>202143-Old Navy</v>
      </c>
      <c r="C657" t="str">
        <f>Table1[[#This Row],[Fiscal_Year]]&amp;"-"&amp;Table1[[#This Row],[BRAND]]</f>
        <v>2021-Old Navy</v>
      </c>
      <c r="D657">
        <v>2021</v>
      </c>
      <c r="E657">
        <v>43</v>
      </c>
      <c r="F657" t="s">
        <v>20</v>
      </c>
      <c r="G657" t="s">
        <v>23</v>
      </c>
      <c r="H657">
        <v>5</v>
      </c>
      <c r="I657">
        <v>0</v>
      </c>
      <c r="J657" t="str">
        <f>VLOOKUP(H657,DC_Xref!A:B,2,FALSE)</f>
        <v>FFC-ODC</v>
      </c>
      <c r="K657">
        <f t="shared" si="10"/>
        <v>202143</v>
      </c>
      <c r="L657">
        <f>IFERROR(Table1[[#This Row],[Demand]]/SUMIFS(Table1[Demand],Table1[Fiscal_Year],Table1[[#This Row],[Fiscal_Year]],Table1[BRAND],Table1[[#This Row],[BRAND]],Table1[DC_name_Xref],Table1[[#This Row],[DC_name_Xref]]),0)</f>
        <v>0</v>
      </c>
      <c r="M6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57" s="3">
        <f>IFERROR(INDEX(Table3[#All],MATCH(Table1[[#This Row],[Key_Year_Week_Brand]],Table3[[#All],[Key_Year_Week_Brand]],0),MATCH(Table1[[#This Row],[DC_name_Xref]],Table3[#Headers],0)),0)</f>
        <v>0</v>
      </c>
      <c r="O657">
        <f>IFERROR(INDEX(Table35[#All],MATCH(Table1[[#This Row],[Key_Year_Week_Brand]],Table35[[#All],[Key_Year_Month_Brand]],0),MATCH(Table1[[#This Row],[DC_name_Xref]],Table35[#Headers],0)),0)</f>
        <v>0</v>
      </c>
    </row>
    <row r="658" spans="1:15" x14ac:dyDescent="0.3">
      <c r="A658" s="19" t="str">
        <f>Table1[[#This Row],[Year_Week]]&amp;"-"&amp;Table1[[#This Row],[DC_name_Xref]]</f>
        <v>202143-WEO</v>
      </c>
      <c r="B658" s="19" t="str">
        <f>Table1[[#This Row],[Fiscal_Year]]*100+Table1[[#This Row],[Fiscal_Week]] &amp; "-" &amp;Table1[[#This Row],[BRAND]]</f>
        <v>202143-Old Navy</v>
      </c>
      <c r="C658" t="str">
        <f>Table1[[#This Row],[Fiscal_Year]]&amp;"-"&amp;Table1[[#This Row],[BRAND]]</f>
        <v>2021-Old Navy</v>
      </c>
      <c r="D658">
        <v>2021</v>
      </c>
      <c r="E658">
        <v>43</v>
      </c>
      <c r="F658" t="s">
        <v>20</v>
      </c>
      <c r="G658" t="s">
        <v>10</v>
      </c>
      <c r="H658">
        <v>6</v>
      </c>
      <c r="I658">
        <v>0</v>
      </c>
      <c r="J658" t="str">
        <f>VLOOKUP(H658,DC_Xref!A:B,2,FALSE)</f>
        <v>WEO</v>
      </c>
      <c r="K658">
        <f t="shared" si="10"/>
        <v>202143</v>
      </c>
      <c r="L658">
        <f>IFERROR(Table1[[#This Row],[Demand]]/SUMIFS(Table1[Demand],Table1[Fiscal_Year],Table1[[#This Row],[Fiscal_Year]],Table1[BRAND],Table1[[#This Row],[BRAND]],Table1[DC_name_Xref],Table1[[#This Row],[DC_name_Xref]]),0)</f>
        <v>0</v>
      </c>
      <c r="M6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58" s="3">
        <f>IFERROR(INDEX(Table3[#All],MATCH(Table1[[#This Row],[Key_Year_Week_Brand]],Table3[[#All],[Key_Year_Week_Brand]],0),MATCH(Table1[[#This Row],[DC_name_Xref]],Table3[#Headers],0)),0)</f>
        <v>0.24</v>
      </c>
      <c r="O658">
        <f>IFERROR(INDEX(Table35[#All],MATCH(Table1[[#This Row],[Key_Year_Week_Brand]],Table35[[#All],[Key_Year_Month_Brand]],0),MATCH(Table1[[#This Row],[DC_name_Xref]],Table35[#Headers],0)),0)</f>
        <v>2624754.2399999998</v>
      </c>
    </row>
    <row r="659" spans="1:15" x14ac:dyDescent="0.3">
      <c r="A659" s="19" t="str">
        <f>Table1[[#This Row],[Year_Week]]&amp;"-"&amp;Table1[[#This Row],[DC_name_Xref]]</f>
        <v>202143-OCC</v>
      </c>
      <c r="B659" s="19" t="str">
        <f>Table1[[#This Row],[Fiscal_Year]]*100+Table1[[#This Row],[Fiscal_Week]] &amp; "-" &amp;Table1[[#This Row],[BRAND]]</f>
        <v>202143-Old Navy</v>
      </c>
      <c r="C659" t="str">
        <f>Table1[[#This Row],[Fiscal_Year]]&amp;"-"&amp;Table1[[#This Row],[BRAND]]</f>
        <v>2021-Old Navy</v>
      </c>
      <c r="D659">
        <v>2021</v>
      </c>
      <c r="E659">
        <v>43</v>
      </c>
      <c r="F659" t="s">
        <v>20</v>
      </c>
      <c r="G659" t="s">
        <v>11</v>
      </c>
      <c r="H659">
        <v>7</v>
      </c>
      <c r="I659">
        <v>0</v>
      </c>
      <c r="J659" t="str">
        <f>VLOOKUP(H659,DC_Xref!A:B,2,FALSE)</f>
        <v>OCC</v>
      </c>
      <c r="K659">
        <f t="shared" si="10"/>
        <v>202143</v>
      </c>
      <c r="L659">
        <f>IFERROR(Table1[[#This Row],[Demand]]/SUMIFS(Table1[Demand],Table1[Fiscal_Year],Table1[[#This Row],[Fiscal_Year]],Table1[BRAND],Table1[[#This Row],[BRAND]],Table1[DC_name_Xref],Table1[[#This Row],[DC_name_Xref]]),0)</f>
        <v>0</v>
      </c>
      <c r="M6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59" s="3">
        <f>IFERROR(INDEX(Table3[#All],MATCH(Table1[[#This Row],[Key_Year_Week_Brand]],Table3[[#All],[Key_Year_Week_Brand]],0),MATCH(Table1[[#This Row],[DC_name_Xref]],Table3[#Headers],0)),0)</f>
        <v>0.16</v>
      </c>
      <c r="O659">
        <f>IFERROR(INDEX(Table35[#All],MATCH(Table1[[#This Row],[Key_Year_Week_Brand]],Table35[[#All],[Key_Year_Month_Brand]],0),MATCH(Table1[[#This Row],[DC_name_Xref]],Table35[#Headers],0)),0)</f>
        <v>1749836.1600000001</v>
      </c>
    </row>
    <row r="660" spans="1:15" x14ac:dyDescent="0.3">
      <c r="A660" s="19" t="str">
        <f>Table1[[#This Row],[Year_Week]]&amp;"-"&amp;Table1[[#This Row],[DC_name_Xref]]</f>
        <v>202143-OFC</v>
      </c>
      <c r="B660" s="19" t="str">
        <f>Table1[[#This Row],[Fiscal_Year]]*100+Table1[[#This Row],[Fiscal_Week]] &amp; "-" &amp;Table1[[#This Row],[BRAND]]</f>
        <v>202143-BR Factory Store</v>
      </c>
      <c r="C660" t="str">
        <f>Table1[[#This Row],[Fiscal_Year]]&amp;"-"&amp;Table1[[#This Row],[BRAND]]</f>
        <v>2021-BR Factory Store</v>
      </c>
      <c r="D660">
        <v>2021</v>
      </c>
      <c r="E660">
        <v>43</v>
      </c>
      <c r="F660" t="s">
        <v>17</v>
      </c>
      <c r="G660" t="s">
        <v>5</v>
      </c>
      <c r="H660">
        <v>1</v>
      </c>
      <c r="I660">
        <v>788179</v>
      </c>
      <c r="J660" t="str">
        <f>VLOOKUP(H660,DC_Xref!A:B,2,FALSE)</f>
        <v>OFC</v>
      </c>
      <c r="K660">
        <f t="shared" si="10"/>
        <v>202143</v>
      </c>
      <c r="L660">
        <f>IFERROR(Table1[[#This Row],[Demand]]/SUMIFS(Table1[Demand],Table1[Fiscal_Year],Table1[[#This Row],[Fiscal_Year]],Table1[BRAND],Table1[[#This Row],[BRAND]],Table1[DC_name_Xref],Table1[[#This Row],[DC_name_Xref]]),0)</f>
        <v>0.44263804025518916</v>
      </c>
      <c r="M6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660" s="3">
        <f>IFERROR(INDEX(Table3[#All],MATCH(Table1[[#This Row],[Key_Year_Week_Brand]],Table3[[#All],[Key_Year_Week_Brand]],0),MATCH(Table1[[#This Row],[DC_name_Xref]],Table3[#Headers],0)),0)</f>
        <v>1</v>
      </c>
      <c r="O660">
        <f>IFERROR(INDEX(Table35[#All],MATCH(Table1[[#This Row],[Key_Year_Week_Brand]],Table35[[#All],[Key_Year_Month_Brand]],0),MATCH(Table1[[#This Row],[DC_name_Xref]],Table35[#Headers],0)),0)</f>
        <v>788179</v>
      </c>
    </row>
    <row r="661" spans="1:15" x14ac:dyDescent="0.3">
      <c r="A661" s="19" t="str">
        <f>Table1[[#This Row],[Year_Week]]&amp;"-"&amp;Table1[[#This Row],[DC_name_Xref]]</f>
        <v>202143-TFC</v>
      </c>
      <c r="B661" s="19" t="str">
        <f>Table1[[#This Row],[Fiscal_Year]]*100+Table1[[#This Row],[Fiscal_Week]] &amp; "-" &amp;Table1[[#This Row],[BRAND]]</f>
        <v>202143-BR Factory Store</v>
      </c>
      <c r="C661" t="str">
        <f>Table1[[#This Row],[Fiscal_Year]]&amp;"-"&amp;Table1[[#This Row],[BRAND]]</f>
        <v>2021-BR Factory Store</v>
      </c>
      <c r="D661">
        <v>2021</v>
      </c>
      <c r="E661">
        <v>43</v>
      </c>
      <c r="F661" t="s">
        <v>17</v>
      </c>
      <c r="G661" t="s">
        <v>21</v>
      </c>
      <c r="H661">
        <v>2</v>
      </c>
      <c r="I661">
        <v>0</v>
      </c>
      <c r="J661" t="str">
        <f>VLOOKUP(H661,DC_Xref!A:B,2,FALSE)</f>
        <v>TFC</v>
      </c>
      <c r="K661">
        <f t="shared" si="10"/>
        <v>202143</v>
      </c>
      <c r="L661">
        <f>IFERROR(Table1[[#This Row],[Demand]]/SUMIFS(Table1[Demand],Table1[Fiscal_Year],Table1[[#This Row],[Fiscal_Year]],Table1[BRAND],Table1[[#This Row],[BRAND]],Table1[DC_name_Xref],Table1[[#This Row],[DC_name_Xref]]),0)</f>
        <v>0</v>
      </c>
      <c r="M6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1" s="3">
        <f>IFERROR(INDEX(Table3[#All],MATCH(Table1[[#This Row],[Key_Year_Week_Brand]],Table3[[#All],[Key_Year_Week_Brand]],0),MATCH(Table1[[#This Row],[DC_name_Xref]],Table3[#Headers],0)),0)</f>
        <v>0</v>
      </c>
      <c r="O661">
        <f>IFERROR(INDEX(Table35[#All],MATCH(Table1[[#This Row],[Key_Year_Week_Brand]],Table35[[#All],[Key_Year_Month_Brand]],0),MATCH(Table1[[#This Row],[DC_name_Xref]],Table35[#Headers],0)),0)</f>
        <v>0</v>
      </c>
    </row>
    <row r="662" spans="1:15" x14ac:dyDescent="0.3">
      <c r="A662" s="19" t="str">
        <f>Table1[[#This Row],[Year_Week]]&amp;"-"&amp;Table1[[#This Row],[DC_name_Xref]]</f>
        <v>202143-WFC</v>
      </c>
      <c r="B662" s="19" t="str">
        <f>Table1[[#This Row],[Fiscal_Year]]*100+Table1[[#This Row],[Fiscal_Week]] &amp; "-" &amp;Table1[[#This Row],[BRAND]]</f>
        <v>202143-BR Factory Store</v>
      </c>
      <c r="C662" t="str">
        <f>Table1[[#This Row],[Fiscal_Year]]&amp;"-"&amp;Table1[[#This Row],[BRAND]]</f>
        <v>2021-BR Factory Store</v>
      </c>
      <c r="D662">
        <v>2021</v>
      </c>
      <c r="E662">
        <v>43</v>
      </c>
      <c r="F662" t="s">
        <v>17</v>
      </c>
      <c r="G662" t="s">
        <v>7</v>
      </c>
      <c r="H662">
        <v>3</v>
      </c>
      <c r="I662">
        <v>0</v>
      </c>
      <c r="J662" t="str">
        <f>VLOOKUP(H662,DC_Xref!A:B,2,FALSE)</f>
        <v>WFC</v>
      </c>
      <c r="K662">
        <f t="shared" si="10"/>
        <v>202143</v>
      </c>
      <c r="L662">
        <f>IFERROR(Table1[[#This Row],[Demand]]/SUMIFS(Table1[Demand],Table1[Fiscal_Year],Table1[[#This Row],[Fiscal_Year]],Table1[BRAND],Table1[[#This Row],[BRAND]],Table1[DC_name_Xref],Table1[[#This Row],[DC_name_Xref]]),0)</f>
        <v>0</v>
      </c>
      <c r="M6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2" s="3">
        <f>IFERROR(INDEX(Table3[#All],MATCH(Table1[[#This Row],[Key_Year_Week_Brand]],Table3[[#All],[Key_Year_Week_Brand]],0),MATCH(Table1[[#This Row],[DC_name_Xref]],Table3[#Headers],0)),0)</f>
        <v>0</v>
      </c>
      <c r="O662">
        <f>IFERROR(INDEX(Table35[#All],MATCH(Table1[[#This Row],[Key_Year_Week_Brand]],Table35[[#All],[Key_Year_Month_Brand]],0),MATCH(Table1[[#This Row],[DC_name_Xref]],Table35[#Headers],0)),0)</f>
        <v>0</v>
      </c>
    </row>
    <row r="663" spans="1:15" x14ac:dyDescent="0.3">
      <c r="A663" s="19" t="str">
        <f>Table1[[#This Row],[Year_Week]]&amp;"-"&amp;Table1[[#This Row],[DC_name_Xref]]</f>
        <v>202143-EAO</v>
      </c>
      <c r="B663" s="19" t="str">
        <f>Table1[[#This Row],[Fiscal_Year]]*100+Table1[[#This Row],[Fiscal_Week]] &amp; "-" &amp;Table1[[#This Row],[BRAND]]</f>
        <v>202143-BR Factory Store</v>
      </c>
      <c r="C663" t="str">
        <f>Table1[[#This Row],[Fiscal_Year]]&amp;"-"&amp;Table1[[#This Row],[BRAND]]</f>
        <v>2021-BR Factory Store</v>
      </c>
      <c r="D663">
        <v>2021</v>
      </c>
      <c r="E663">
        <v>43</v>
      </c>
      <c r="F663" t="s">
        <v>17</v>
      </c>
      <c r="G663" t="s">
        <v>8</v>
      </c>
      <c r="H663">
        <v>4</v>
      </c>
      <c r="I663">
        <v>0</v>
      </c>
      <c r="J663" t="str">
        <f>VLOOKUP(H663,DC_Xref!A:B,2,FALSE)</f>
        <v>EAO</v>
      </c>
      <c r="K663">
        <f t="shared" si="10"/>
        <v>202143</v>
      </c>
      <c r="L663">
        <f>IFERROR(Table1[[#This Row],[Demand]]/SUMIFS(Table1[Demand],Table1[Fiscal_Year],Table1[[#This Row],[Fiscal_Year]],Table1[BRAND],Table1[[#This Row],[BRAND]],Table1[DC_name_Xref],Table1[[#This Row],[DC_name_Xref]]),0)</f>
        <v>0</v>
      </c>
      <c r="M6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3" s="3">
        <f>IFERROR(INDEX(Table3[#All],MATCH(Table1[[#This Row],[Key_Year_Week_Brand]],Table3[[#All],[Key_Year_Week_Brand]],0),MATCH(Table1[[#This Row],[DC_name_Xref]],Table3[#Headers],0)),0)</f>
        <v>0</v>
      </c>
      <c r="O663">
        <f>IFERROR(INDEX(Table35[#All],MATCH(Table1[[#This Row],[Key_Year_Week_Brand]],Table35[[#All],[Key_Year_Month_Brand]],0),MATCH(Table1[[#This Row],[DC_name_Xref]],Table35[#Headers],0)),0)</f>
        <v>0</v>
      </c>
    </row>
    <row r="664" spans="1:15" x14ac:dyDescent="0.3">
      <c r="A664" s="19" t="str">
        <f>Table1[[#This Row],[Year_Week]]&amp;"-"&amp;Table1[[#This Row],[DC_name_Xref]]</f>
        <v>202143-FFC-ODC</v>
      </c>
      <c r="B664" s="19" t="str">
        <f>Table1[[#This Row],[Fiscal_Year]]*100+Table1[[#This Row],[Fiscal_Week]] &amp; "-" &amp;Table1[[#This Row],[BRAND]]</f>
        <v>202143-BR Factory Store</v>
      </c>
      <c r="C664" t="str">
        <f>Table1[[#This Row],[Fiscal_Year]]&amp;"-"&amp;Table1[[#This Row],[BRAND]]</f>
        <v>2021-BR Factory Store</v>
      </c>
      <c r="D664">
        <v>2021</v>
      </c>
      <c r="E664">
        <v>43</v>
      </c>
      <c r="F664" t="s">
        <v>17</v>
      </c>
      <c r="G664" t="s">
        <v>23</v>
      </c>
      <c r="H664">
        <v>5</v>
      </c>
      <c r="I664">
        <v>0</v>
      </c>
      <c r="J664" t="str">
        <f>VLOOKUP(H664,DC_Xref!A:B,2,FALSE)</f>
        <v>FFC-ODC</v>
      </c>
      <c r="K664">
        <f t="shared" si="10"/>
        <v>202143</v>
      </c>
      <c r="L664">
        <f>IFERROR(Table1[[#This Row],[Demand]]/SUMIFS(Table1[Demand],Table1[Fiscal_Year],Table1[[#This Row],[Fiscal_Year]],Table1[BRAND],Table1[[#This Row],[BRAND]],Table1[DC_name_Xref],Table1[[#This Row],[DC_name_Xref]]),0)</f>
        <v>0</v>
      </c>
      <c r="M6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4" s="3">
        <f>IFERROR(INDEX(Table3[#All],MATCH(Table1[[#This Row],[Key_Year_Week_Brand]],Table3[[#All],[Key_Year_Week_Brand]],0),MATCH(Table1[[#This Row],[DC_name_Xref]],Table3[#Headers],0)),0)</f>
        <v>0</v>
      </c>
      <c r="O664">
        <f>IFERROR(INDEX(Table35[#All],MATCH(Table1[[#This Row],[Key_Year_Week_Brand]],Table35[[#All],[Key_Year_Month_Brand]],0),MATCH(Table1[[#This Row],[DC_name_Xref]],Table35[#Headers],0)),0)</f>
        <v>0</v>
      </c>
    </row>
    <row r="665" spans="1:15" x14ac:dyDescent="0.3">
      <c r="A665" s="19" t="str">
        <f>Table1[[#This Row],[Year_Week]]&amp;"-"&amp;Table1[[#This Row],[DC_name_Xref]]</f>
        <v>202143-WEO</v>
      </c>
      <c r="B665" s="19" t="str">
        <f>Table1[[#This Row],[Fiscal_Year]]*100+Table1[[#This Row],[Fiscal_Week]] &amp; "-" &amp;Table1[[#This Row],[BRAND]]</f>
        <v>202143-BR Factory Store</v>
      </c>
      <c r="C665" t="str">
        <f>Table1[[#This Row],[Fiscal_Year]]&amp;"-"&amp;Table1[[#This Row],[BRAND]]</f>
        <v>2021-BR Factory Store</v>
      </c>
      <c r="D665">
        <v>2021</v>
      </c>
      <c r="E665">
        <v>43</v>
      </c>
      <c r="F665" t="s">
        <v>17</v>
      </c>
      <c r="G665" t="s">
        <v>10</v>
      </c>
      <c r="H665">
        <v>6</v>
      </c>
      <c r="I665">
        <v>0</v>
      </c>
      <c r="J665" t="str">
        <f>VLOOKUP(H665,DC_Xref!A:B,2,FALSE)</f>
        <v>WEO</v>
      </c>
      <c r="K665">
        <f t="shared" si="10"/>
        <v>202143</v>
      </c>
      <c r="L665">
        <f>IFERROR(Table1[[#This Row],[Demand]]/SUMIFS(Table1[Demand],Table1[Fiscal_Year],Table1[[#This Row],[Fiscal_Year]],Table1[BRAND],Table1[[#This Row],[BRAND]],Table1[DC_name_Xref],Table1[[#This Row],[DC_name_Xref]]),0)</f>
        <v>0</v>
      </c>
      <c r="M6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5" s="3">
        <f>IFERROR(INDEX(Table3[#All],MATCH(Table1[[#This Row],[Key_Year_Week_Brand]],Table3[[#All],[Key_Year_Week_Brand]],0),MATCH(Table1[[#This Row],[DC_name_Xref]],Table3[#Headers],0)),0)</f>
        <v>0</v>
      </c>
      <c r="O665">
        <f>IFERROR(INDEX(Table35[#All],MATCH(Table1[[#This Row],[Key_Year_Week_Brand]],Table35[[#All],[Key_Year_Month_Brand]],0),MATCH(Table1[[#This Row],[DC_name_Xref]],Table35[#Headers],0)),0)</f>
        <v>0</v>
      </c>
    </row>
    <row r="666" spans="1:15" x14ac:dyDescent="0.3">
      <c r="A666" s="19" t="str">
        <f>Table1[[#This Row],[Year_Week]]&amp;"-"&amp;Table1[[#This Row],[DC_name_Xref]]</f>
        <v>202143-OCC</v>
      </c>
      <c r="B666" s="19" t="str">
        <f>Table1[[#This Row],[Fiscal_Year]]*100+Table1[[#This Row],[Fiscal_Week]] &amp; "-" &amp;Table1[[#This Row],[BRAND]]</f>
        <v>202143-BR Factory Store</v>
      </c>
      <c r="C666" t="str">
        <f>Table1[[#This Row],[Fiscal_Year]]&amp;"-"&amp;Table1[[#This Row],[BRAND]]</f>
        <v>2021-BR Factory Store</v>
      </c>
      <c r="D666">
        <v>2021</v>
      </c>
      <c r="E666">
        <v>43</v>
      </c>
      <c r="F666" t="s">
        <v>17</v>
      </c>
      <c r="G666" t="s">
        <v>11</v>
      </c>
      <c r="H666">
        <v>7</v>
      </c>
      <c r="I666">
        <v>0</v>
      </c>
      <c r="J666" t="str">
        <f>VLOOKUP(H666,DC_Xref!A:B,2,FALSE)</f>
        <v>OCC</v>
      </c>
      <c r="K666">
        <f t="shared" si="10"/>
        <v>202143</v>
      </c>
      <c r="L666">
        <f>IFERROR(Table1[[#This Row],[Demand]]/SUMIFS(Table1[Demand],Table1[Fiscal_Year],Table1[[#This Row],[Fiscal_Year]],Table1[BRAND],Table1[[#This Row],[BRAND]],Table1[DC_name_Xref],Table1[[#This Row],[DC_name_Xref]]),0)</f>
        <v>0</v>
      </c>
      <c r="M6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6" s="3">
        <f>IFERROR(INDEX(Table3[#All],MATCH(Table1[[#This Row],[Key_Year_Week_Brand]],Table3[[#All],[Key_Year_Week_Brand]],0),MATCH(Table1[[#This Row],[DC_name_Xref]],Table3[#Headers],0)),0)</f>
        <v>0</v>
      </c>
      <c r="O666">
        <f>IFERROR(INDEX(Table35[#All],MATCH(Table1[[#This Row],[Key_Year_Week_Brand]],Table35[[#All],[Key_Year_Month_Brand]],0),MATCH(Table1[[#This Row],[DC_name_Xref]],Table35[#Headers],0)),0)</f>
        <v>0</v>
      </c>
    </row>
    <row r="667" spans="1:15" x14ac:dyDescent="0.3">
      <c r="A667" s="19" t="str">
        <f>Table1[[#This Row],[Year_Week]]&amp;"-"&amp;Table1[[#This Row],[DC_name_Xref]]</f>
        <v>202143-OFC</v>
      </c>
      <c r="B667" s="19" t="str">
        <f>Table1[[#This Row],[Fiscal_Year]]*100+Table1[[#This Row],[Fiscal_Week]] &amp; "-" &amp;Table1[[#This Row],[BRAND]]</f>
        <v>202143-Athleta</v>
      </c>
      <c r="C667" t="str">
        <f>Table1[[#This Row],[Fiscal_Year]]&amp;"-"&amp;Table1[[#This Row],[BRAND]]</f>
        <v>2021-Athleta</v>
      </c>
      <c r="D667">
        <v>2021</v>
      </c>
      <c r="E667">
        <v>43</v>
      </c>
      <c r="F667" t="s">
        <v>19</v>
      </c>
      <c r="G667" t="s">
        <v>5</v>
      </c>
      <c r="H667">
        <v>1</v>
      </c>
      <c r="I667">
        <v>57410</v>
      </c>
      <c r="J667" t="str">
        <f>VLOOKUP(H667,DC_Xref!A:B,2,FALSE)</f>
        <v>OFC</v>
      </c>
      <c r="K667">
        <f t="shared" si="10"/>
        <v>202143</v>
      </c>
      <c r="L667">
        <f>IFERROR(Table1[[#This Row],[Demand]]/SUMIFS(Table1[Demand],Table1[Fiscal_Year],Table1[[#This Row],[Fiscal_Year]],Table1[BRAND],Table1[[#This Row],[BRAND]],Table1[DC_name_Xref],Table1[[#This Row],[DC_name_Xref]]),0)</f>
        <v>0.27497054400199245</v>
      </c>
      <c r="M6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0.1013677307593525</v>
      </c>
      <c r="N667" s="3">
        <f>IFERROR(INDEX(Table3[#All],MATCH(Table1[[#This Row],[Key_Year_Week_Brand]],Table3[[#All],[Key_Year_Week_Brand]],0),MATCH(Table1[[#This Row],[DC_name_Xref]],Table3[#Headers],0)),0)</f>
        <v>0</v>
      </c>
      <c r="O667">
        <f>IFERROR(INDEX(Table35[#All],MATCH(Table1[[#This Row],[Key_Year_Week_Brand]],Table35[[#All],[Key_Year_Month_Brand]],0),MATCH(Table1[[#This Row],[DC_name_Xref]],Table35[#Headers],0)),0)</f>
        <v>0</v>
      </c>
    </row>
    <row r="668" spans="1:15" x14ac:dyDescent="0.3">
      <c r="A668" s="19" t="str">
        <f>Table1[[#This Row],[Year_Week]]&amp;"-"&amp;Table1[[#This Row],[DC_name_Xref]]</f>
        <v>202143-TFC</v>
      </c>
      <c r="B668" s="19" t="str">
        <f>Table1[[#This Row],[Fiscal_Year]]*100+Table1[[#This Row],[Fiscal_Week]] &amp; "-" &amp;Table1[[#This Row],[BRAND]]</f>
        <v>202143-Athleta</v>
      </c>
      <c r="C668" t="str">
        <f>Table1[[#This Row],[Fiscal_Year]]&amp;"-"&amp;Table1[[#This Row],[BRAND]]</f>
        <v>2021-Athleta</v>
      </c>
      <c r="D668">
        <v>2021</v>
      </c>
      <c r="E668">
        <v>43</v>
      </c>
      <c r="F668" t="s">
        <v>19</v>
      </c>
      <c r="G668" t="s">
        <v>21</v>
      </c>
      <c r="H668">
        <v>2</v>
      </c>
      <c r="I668">
        <v>536911</v>
      </c>
      <c r="J668" t="str">
        <f>VLOOKUP(H668,DC_Xref!A:B,2,FALSE)</f>
        <v>TFC</v>
      </c>
      <c r="K668">
        <f t="shared" si="10"/>
        <v>202143</v>
      </c>
      <c r="L668">
        <f>IFERROR(Table1[[#This Row],[Demand]]/SUMIFS(Table1[Demand],Table1[Fiscal_Year],Table1[[#This Row],[Fiscal_Year]],Table1[BRAND],Table1[[#This Row],[BRAND]],Table1[DC_name_Xref],Table1[[#This Row],[DC_name_Xref]]),0)</f>
        <v>0.29009169930063883</v>
      </c>
      <c r="M6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0.89859779801707929</v>
      </c>
      <c r="N668" s="3">
        <f>IFERROR(INDEX(Table3[#All],MATCH(Table1[[#This Row],[Key_Year_Week_Brand]],Table3[[#All],[Key_Year_Week_Brand]],0),MATCH(Table1[[#This Row],[DC_name_Xref]],Table3[#Headers],0)),0)</f>
        <v>1</v>
      </c>
      <c r="O668">
        <f>IFERROR(INDEX(Table35[#All],MATCH(Table1[[#This Row],[Key_Year_Week_Brand]],Table35[[#All],[Key_Year_Month_Brand]],0),MATCH(Table1[[#This Row],[DC_name_Xref]],Table35[#Headers],0)),0)</f>
        <v>594338</v>
      </c>
    </row>
    <row r="669" spans="1:15" x14ac:dyDescent="0.3">
      <c r="A669" s="19" t="str">
        <f>Table1[[#This Row],[Year_Week]]&amp;"-"&amp;Table1[[#This Row],[DC_name_Xref]]</f>
        <v>202143-WFC</v>
      </c>
      <c r="B669" s="19" t="str">
        <f>Table1[[#This Row],[Fiscal_Year]]*100+Table1[[#This Row],[Fiscal_Week]] &amp; "-" &amp;Table1[[#This Row],[BRAND]]</f>
        <v>202143-Athleta</v>
      </c>
      <c r="C669" t="str">
        <f>Table1[[#This Row],[Fiscal_Year]]&amp;"-"&amp;Table1[[#This Row],[BRAND]]</f>
        <v>2021-Athleta</v>
      </c>
      <c r="D669">
        <v>2021</v>
      </c>
      <c r="E669">
        <v>43</v>
      </c>
      <c r="F669" t="s">
        <v>19</v>
      </c>
      <c r="G669" t="s">
        <v>7</v>
      </c>
      <c r="H669">
        <v>3</v>
      </c>
      <c r="I669">
        <v>0</v>
      </c>
      <c r="J669" t="str">
        <f>VLOOKUP(H669,DC_Xref!A:B,2,FALSE)</f>
        <v>WFC</v>
      </c>
      <c r="K669">
        <f t="shared" si="10"/>
        <v>202143</v>
      </c>
      <c r="L669">
        <f>IFERROR(Table1[[#This Row],[Demand]]/SUMIFS(Table1[Demand],Table1[Fiscal_Year],Table1[[#This Row],[Fiscal_Year]],Table1[BRAND],Table1[[#This Row],[BRAND]],Table1[DC_name_Xref],Table1[[#This Row],[DC_name_Xref]]),0)</f>
        <v>0</v>
      </c>
      <c r="M6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69" s="3">
        <f>IFERROR(INDEX(Table3[#All],MATCH(Table1[[#This Row],[Key_Year_Week_Brand]],Table3[[#All],[Key_Year_Week_Brand]],0),MATCH(Table1[[#This Row],[DC_name_Xref]],Table3[#Headers],0)),0)</f>
        <v>0</v>
      </c>
      <c r="O669">
        <f>IFERROR(INDEX(Table35[#All],MATCH(Table1[[#This Row],[Key_Year_Week_Brand]],Table35[[#All],[Key_Year_Month_Brand]],0),MATCH(Table1[[#This Row],[DC_name_Xref]],Table35[#Headers],0)),0)</f>
        <v>0</v>
      </c>
    </row>
    <row r="670" spans="1:15" x14ac:dyDescent="0.3">
      <c r="A670" s="19" t="str">
        <f>Table1[[#This Row],[Year_Week]]&amp;"-"&amp;Table1[[#This Row],[DC_name_Xref]]</f>
        <v>202143-EAO</v>
      </c>
      <c r="B670" s="19" t="str">
        <f>Table1[[#This Row],[Fiscal_Year]]*100+Table1[[#This Row],[Fiscal_Week]] &amp; "-" &amp;Table1[[#This Row],[BRAND]]</f>
        <v>202143-Athleta</v>
      </c>
      <c r="C670" t="str">
        <f>Table1[[#This Row],[Fiscal_Year]]&amp;"-"&amp;Table1[[#This Row],[BRAND]]</f>
        <v>2021-Athleta</v>
      </c>
      <c r="D670">
        <v>2021</v>
      </c>
      <c r="E670">
        <v>43</v>
      </c>
      <c r="F670" t="s">
        <v>19</v>
      </c>
      <c r="G670" t="s">
        <v>8</v>
      </c>
      <c r="H670">
        <v>4</v>
      </c>
      <c r="I670">
        <v>17</v>
      </c>
      <c r="J670" t="str">
        <f>VLOOKUP(H670,DC_Xref!A:B,2,FALSE)</f>
        <v>EAO</v>
      </c>
      <c r="K670">
        <f t="shared" si="10"/>
        <v>202143</v>
      </c>
      <c r="L670">
        <f>IFERROR(Table1[[#This Row],[Demand]]/SUMIFS(Table1[Demand],Table1[Fiscal_Year],Table1[[#This Row],[Fiscal_Year]],Table1[BRAND],Table1[[#This Row],[BRAND]],Table1[DC_name_Xref],Table1[[#This Row],[DC_name_Xref]]),0)</f>
        <v>0.23943661971830985</v>
      </c>
      <c r="M6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3.447122356821831E-5</v>
      </c>
      <c r="N670" s="3">
        <f>IFERROR(INDEX(Table3[#All],MATCH(Table1[[#This Row],[Key_Year_Week_Brand]],Table3[[#All],[Key_Year_Week_Brand]],0),MATCH(Table1[[#This Row],[DC_name_Xref]],Table3[#Headers],0)),0)</f>
        <v>3.447122356821831E-5</v>
      </c>
      <c r="O670">
        <f>IFERROR(INDEX(Table35[#All],MATCH(Table1[[#This Row],[Key_Year_Week_Brand]],Table35[[#All],[Key_Year_Month_Brand]],0),MATCH(Table1[[#This Row],[DC_name_Xref]],Table35[#Headers],0)),0)</f>
        <v>20.487558073087733</v>
      </c>
    </row>
    <row r="671" spans="1:15" x14ac:dyDescent="0.3">
      <c r="A671" s="19" t="str">
        <f>Table1[[#This Row],[Year_Week]]&amp;"-"&amp;Table1[[#This Row],[DC_name_Xref]]</f>
        <v>202143-FFC-ODC</v>
      </c>
      <c r="B671" s="19" t="str">
        <f>Table1[[#This Row],[Fiscal_Year]]*100+Table1[[#This Row],[Fiscal_Week]] &amp; "-" &amp;Table1[[#This Row],[BRAND]]</f>
        <v>202143-Athleta</v>
      </c>
      <c r="C671" t="str">
        <f>Table1[[#This Row],[Fiscal_Year]]&amp;"-"&amp;Table1[[#This Row],[BRAND]]</f>
        <v>2021-Athleta</v>
      </c>
      <c r="D671">
        <v>2021</v>
      </c>
      <c r="E671">
        <v>43</v>
      </c>
      <c r="F671" t="s">
        <v>19</v>
      </c>
      <c r="G671" t="s">
        <v>23</v>
      </c>
      <c r="H671">
        <v>5</v>
      </c>
      <c r="I671">
        <v>0</v>
      </c>
      <c r="J671" t="str">
        <f>VLOOKUP(H671,DC_Xref!A:B,2,FALSE)</f>
        <v>FFC-ODC</v>
      </c>
      <c r="K671">
        <f t="shared" si="10"/>
        <v>202143</v>
      </c>
      <c r="L671">
        <f>IFERROR(Table1[[#This Row],[Demand]]/SUMIFS(Table1[Demand],Table1[Fiscal_Year],Table1[[#This Row],[Fiscal_Year]],Table1[BRAND],Table1[[#This Row],[BRAND]],Table1[DC_name_Xref],Table1[[#This Row],[DC_name_Xref]]),0)</f>
        <v>0</v>
      </c>
      <c r="M6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1" s="3">
        <f>IFERROR(INDEX(Table3[#All],MATCH(Table1[[#This Row],[Key_Year_Week_Brand]],Table3[[#All],[Key_Year_Week_Brand]],0),MATCH(Table1[[#This Row],[DC_name_Xref]],Table3[#Headers],0)),0)</f>
        <v>0</v>
      </c>
      <c r="O671">
        <f>IFERROR(INDEX(Table35[#All],MATCH(Table1[[#This Row],[Key_Year_Week_Brand]],Table35[[#All],[Key_Year_Month_Brand]],0),MATCH(Table1[[#This Row],[DC_name_Xref]],Table35[#Headers],0)),0)</f>
        <v>0</v>
      </c>
    </row>
    <row r="672" spans="1:15" x14ac:dyDescent="0.3">
      <c r="A672" s="19" t="str">
        <f>Table1[[#This Row],[Year_Week]]&amp;"-"&amp;Table1[[#This Row],[DC_name_Xref]]</f>
        <v>202143-WEO</v>
      </c>
      <c r="B672" s="19" t="str">
        <f>Table1[[#This Row],[Fiscal_Year]]*100+Table1[[#This Row],[Fiscal_Week]] &amp; "-" &amp;Table1[[#This Row],[BRAND]]</f>
        <v>202143-Athleta</v>
      </c>
      <c r="C672" t="str">
        <f>Table1[[#This Row],[Fiscal_Year]]&amp;"-"&amp;Table1[[#This Row],[BRAND]]</f>
        <v>2021-Athleta</v>
      </c>
      <c r="D672">
        <v>2021</v>
      </c>
      <c r="E672">
        <v>43</v>
      </c>
      <c r="F672" t="s">
        <v>19</v>
      </c>
      <c r="G672" t="s">
        <v>10</v>
      </c>
      <c r="H672">
        <v>6</v>
      </c>
      <c r="I672">
        <v>0</v>
      </c>
      <c r="J672" t="str">
        <f>VLOOKUP(H672,DC_Xref!A:B,2,FALSE)</f>
        <v>WEO</v>
      </c>
      <c r="K672">
        <f t="shared" si="10"/>
        <v>202143</v>
      </c>
      <c r="L672">
        <f>IFERROR(Table1[[#This Row],[Demand]]/SUMIFS(Table1[Demand],Table1[Fiscal_Year],Table1[[#This Row],[Fiscal_Year]],Table1[BRAND],Table1[[#This Row],[BRAND]],Table1[DC_name_Xref],Table1[[#This Row],[DC_name_Xref]]),0)</f>
        <v>0</v>
      </c>
      <c r="M6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2" s="3">
        <f>IFERROR(INDEX(Table3[#All],MATCH(Table1[[#This Row],[Key_Year_Week_Brand]],Table3[[#All],[Key_Year_Week_Brand]],0),MATCH(Table1[[#This Row],[DC_name_Xref]],Table3[#Headers],0)),0)</f>
        <v>0</v>
      </c>
      <c r="O672">
        <f>IFERROR(INDEX(Table35[#All],MATCH(Table1[[#This Row],[Key_Year_Week_Brand]],Table35[[#All],[Key_Year_Month_Brand]],0),MATCH(Table1[[#This Row],[DC_name_Xref]],Table35[#Headers],0)),0)</f>
        <v>0</v>
      </c>
    </row>
    <row r="673" spans="1:15" x14ac:dyDescent="0.3">
      <c r="A673" s="19" t="str">
        <f>Table1[[#This Row],[Year_Week]]&amp;"-"&amp;Table1[[#This Row],[DC_name_Xref]]</f>
        <v>202143-OCC</v>
      </c>
      <c r="B673" s="19" t="str">
        <f>Table1[[#This Row],[Fiscal_Year]]*100+Table1[[#This Row],[Fiscal_Week]] &amp; "-" &amp;Table1[[#This Row],[BRAND]]</f>
        <v>202143-Athleta</v>
      </c>
      <c r="C673" t="str">
        <f>Table1[[#This Row],[Fiscal_Year]]&amp;"-"&amp;Table1[[#This Row],[BRAND]]</f>
        <v>2021-Athleta</v>
      </c>
      <c r="D673">
        <v>2021</v>
      </c>
      <c r="E673">
        <v>43</v>
      </c>
      <c r="F673" t="s">
        <v>19</v>
      </c>
      <c r="G673" t="s">
        <v>11</v>
      </c>
      <c r="H673">
        <v>7</v>
      </c>
      <c r="I673">
        <v>0</v>
      </c>
      <c r="J673" t="str">
        <f>VLOOKUP(H673,DC_Xref!A:B,2,FALSE)</f>
        <v>OCC</v>
      </c>
      <c r="K673">
        <f t="shared" si="10"/>
        <v>202143</v>
      </c>
      <c r="L673">
        <f>IFERROR(Table1[[#This Row],[Demand]]/SUMIFS(Table1[Demand],Table1[Fiscal_Year],Table1[[#This Row],[Fiscal_Year]],Table1[BRAND],Table1[[#This Row],[BRAND]],Table1[DC_name_Xref],Table1[[#This Row],[DC_name_Xref]]),0)</f>
        <v>0</v>
      </c>
      <c r="M6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3" s="3">
        <f>IFERROR(INDEX(Table3[#All],MATCH(Table1[[#This Row],[Key_Year_Week_Brand]],Table3[[#All],[Key_Year_Week_Brand]],0),MATCH(Table1[[#This Row],[DC_name_Xref]],Table3[#Headers],0)),0)</f>
        <v>0</v>
      </c>
      <c r="O673">
        <f>IFERROR(INDEX(Table35[#All],MATCH(Table1[[#This Row],[Key_Year_Week_Brand]],Table35[[#All],[Key_Year_Month_Brand]],0),MATCH(Table1[[#This Row],[DC_name_Xref]],Table35[#Headers],0)),0)</f>
        <v>0</v>
      </c>
    </row>
    <row r="674" spans="1:15" x14ac:dyDescent="0.3">
      <c r="A674" s="19" t="str">
        <f>Table1[[#This Row],[Year_Week]]&amp;"-"&amp;Table1[[#This Row],[DC_name_Xref]]</f>
        <v>202144-OFC</v>
      </c>
      <c r="B674" s="19" t="str">
        <f>Table1[[#This Row],[Fiscal_Year]]*100+Table1[[#This Row],[Fiscal_Week]] &amp; "-" &amp;Table1[[#This Row],[BRAND]]</f>
        <v>202144-Gap Factory Store</v>
      </c>
      <c r="C674" t="str">
        <f>Table1[[#This Row],[Fiscal_Year]]&amp;"-"&amp;Table1[[#This Row],[BRAND]]</f>
        <v>2021-Gap Factory Store</v>
      </c>
      <c r="D674">
        <v>2021</v>
      </c>
      <c r="E674">
        <v>44</v>
      </c>
      <c r="F674" t="s">
        <v>22</v>
      </c>
      <c r="G674" t="s">
        <v>5</v>
      </c>
      <c r="H674">
        <v>1</v>
      </c>
      <c r="I674">
        <v>1512302</v>
      </c>
      <c r="J674" t="str">
        <f>VLOOKUP(H674,DC_Xref!A:B,2,FALSE)</f>
        <v>OFC</v>
      </c>
      <c r="K674">
        <f t="shared" si="10"/>
        <v>202144</v>
      </c>
      <c r="L674">
        <f>IFERROR(Table1[[#This Row],[Demand]]/SUMIFS(Table1[Demand],Table1[Fiscal_Year],Table1[[#This Row],[Fiscal_Year]],Table1[BRAND],Table1[[#This Row],[BRAND]],Table1[DC_name_Xref],Table1[[#This Row],[DC_name_Xref]]),0)</f>
        <v>0.31101435213243933</v>
      </c>
      <c r="M6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674" s="3">
        <f>IFERROR(INDEX(Table3[#All],MATCH(Table1[[#This Row],[Key_Year_Week_Brand]],Table3[[#All],[Key_Year_Week_Brand]],0),MATCH(Table1[[#This Row],[DC_name_Xref]],Table3[#Headers],0)),0)</f>
        <v>1</v>
      </c>
      <c r="O674">
        <f>IFERROR(INDEX(Table35[#All],MATCH(Table1[[#This Row],[Key_Year_Week_Brand]],Table35[[#All],[Key_Year_Month_Brand]],0),MATCH(Table1[[#This Row],[DC_name_Xref]],Table35[#Headers],0)),0)</f>
        <v>1512302</v>
      </c>
    </row>
    <row r="675" spans="1:15" x14ac:dyDescent="0.3">
      <c r="A675" s="19" t="str">
        <f>Table1[[#This Row],[Year_Week]]&amp;"-"&amp;Table1[[#This Row],[DC_name_Xref]]</f>
        <v>202144-TFC</v>
      </c>
      <c r="B675" s="19" t="str">
        <f>Table1[[#This Row],[Fiscal_Year]]*100+Table1[[#This Row],[Fiscal_Week]] &amp; "-" &amp;Table1[[#This Row],[BRAND]]</f>
        <v>202144-Gap Factory Store</v>
      </c>
      <c r="C675" t="str">
        <f>Table1[[#This Row],[Fiscal_Year]]&amp;"-"&amp;Table1[[#This Row],[BRAND]]</f>
        <v>2021-Gap Factory Store</v>
      </c>
      <c r="D675">
        <v>2021</v>
      </c>
      <c r="E675">
        <v>44</v>
      </c>
      <c r="F675" t="s">
        <v>22</v>
      </c>
      <c r="G675" t="s">
        <v>21</v>
      </c>
      <c r="H675">
        <v>2</v>
      </c>
      <c r="I675">
        <v>0</v>
      </c>
      <c r="J675" t="str">
        <f>VLOOKUP(H675,DC_Xref!A:B,2,FALSE)</f>
        <v>TFC</v>
      </c>
      <c r="K675">
        <f t="shared" si="10"/>
        <v>202144</v>
      </c>
      <c r="L675">
        <f>IFERROR(Table1[[#This Row],[Demand]]/SUMIFS(Table1[Demand],Table1[Fiscal_Year],Table1[[#This Row],[Fiscal_Year]],Table1[BRAND],Table1[[#This Row],[BRAND]],Table1[DC_name_Xref],Table1[[#This Row],[DC_name_Xref]]),0)</f>
        <v>0</v>
      </c>
      <c r="M6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5" s="3">
        <f>IFERROR(INDEX(Table3[#All],MATCH(Table1[[#This Row],[Key_Year_Week_Brand]],Table3[[#All],[Key_Year_Week_Brand]],0),MATCH(Table1[[#This Row],[DC_name_Xref]],Table3[#Headers],0)),0)</f>
        <v>0</v>
      </c>
      <c r="O675">
        <f>IFERROR(INDEX(Table35[#All],MATCH(Table1[[#This Row],[Key_Year_Week_Brand]],Table35[[#All],[Key_Year_Month_Brand]],0),MATCH(Table1[[#This Row],[DC_name_Xref]],Table35[#Headers],0)),0)</f>
        <v>0</v>
      </c>
    </row>
    <row r="676" spans="1:15" x14ac:dyDescent="0.3">
      <c r="A676" s="19" t="str">
        <f>Table1[[#This Row],[Year_Week]]&amp;"-"&amp;Table1[[#This Row],[DC_name_Xref]]</f>
        <v>202144-WFC</v>
      </c>
      <c r="B676" s="19" t="str">
        <f>Table1[[#This Row],[Fiscal_Year]]*100+Table1[[#This Row],[Fiscal_Week]] &amp; "-" &amp;Table1[[#This Row],[BRAND]]</f>
        <v>202144-Gap Factory Store</v>
      </c>
      <c r="C676" t="str">
        <f>Table1[[#This Row],[Fiscal_Year]]&amp;"-"&amp;Table1[[#This Row],[BRAND]]</f>
        <v>2021-Gap Factory Store</v>
      </c>
      <c r="D676">
        <v>2021</v>
      </c>
      <c r="E676">
        <v>44</v>
      </c>
      <c r="F676" t="s">
        <v>22</v>
      </c>
      <c r="G676" t="s">
        <v>7</v>
      </c>
      <c r="H676">
        <v>3</v>
      </c>
      <c r="I676">
        <v>0</v>
      </c>
      <c r="J676" t="str">
        <f>VLOOKUP(H676,DC_Xref!A:B,2,FALSE)</f>
        <v>WFC</v>
      </c>
      <c r="K676">
        <f t="shared" si="10"/>
        <v>202144</v>
      </c>
      <c r="L676">
        <f>IFERROR(Table1[[#This Row],[Demand]]/SUMIFS(Table1[Demand],Table1[Fiscal_Year],Table1[[#This Row],[Fiscal_Year]],Table1[BRAND],Table1[[#This Row],[BRAND]],Table1[DC_name_Xref],Table1[[#This Row],[DC_name_Xref]]),0)</f>
        <v>0</v>
      </c>
      <c r="M6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6" s="3">
        <f>IFERROR(INDEX(Table3[#All],MATCH(Table1[[#This Row],[Key_Year_Week_Brand]],Table3[[#All],[Key_Year_Week_Brand]],0),MATCH(Table1[[#This Row],[DC_name_Xref]],Table3[#Headers],0)),0)</f>
        <v>0</v>
      </c>
      <c r="O676">
        <f>IFERROR(INDEX(Table35[#All],MATCH(Table1[[#This Row],[Key_Year_Week_Brand]],Table35[[#All],[Key_Year_Month_Brand]],0),MATCH(Table1[[#This Row],[DC_name_Xref]],Table35[#Headers],0)),0)</f>
        <v>0</v>
      </c>
    </row>
    <row r="677" spans="1:15" x14ac:dyDescent="0.3">
      <c r="A677" s="19" t="str">
        <f>Table1[[#This Row],[Year_Week]]&amp;"-"&amp;Table1[[#This Row],[DC_name_Xref]]</f>
        <v>202144-EAO</v>
      </c>
      <c r="B677" s="19" t="str">
        <f>Table1[[#This Row],[Fiscal_Year]]*100+Table1[[#This Row],[Fiscal_Week]] &amp; "-" &amp;Table1[[#This Row],[BRAND]]</f>
        <v>202144-Gap Factory Store</v>
      </c>
      <c r="C677" t="str">
        <f>Table1[[#This Row],[Fiscal_Year]]&amp;"-"&amp;Table1[[#This Row],[BRAND]]</f>
        <v>2021-Gap Factory Store</v>
      </c>
      <c r="D677">
        <v>2021</v>
      </c>
      <c r="E677">
        <v>44</v>
      </c>
      <c r="F677" t="s">
        <v>22</v>
      </c>
      <c r="G677" t="s">
        <v>8</v>
      </c>
      <c r="H677">
        <v>4</v>
      </c>
      <c r="I677">
        <v>0</v>
      </c>
      <c r="J677" t="str">
        <f>VLOOKUP(H677,DC_Xref!A:B,2,FALSE)</f>
        <v>EAO</v>
      </c>
      <c r="K677">
        <f t="shared" si="10"/>
        <v>202144</v>
      </c>
      <c r="L677">
        <f>IFERROR(Table1[[#This Row],[Demand]]/SUMIFS(Table1[Demand],Table1[Fiscal_Year],Table1[[#This Row],[Fiscal_Year]],Table1[BRAND],Table1[[#This Row],[BRAND]],Table1[DC_name_Xref],Table1[[#This Row],[DC_name_Xref]]),0)</f>
        <v>0</v>
      </c>
      <c r="M6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7" s="3">
        <f>IFERROR(INDEX(Table3[#All],MATCH(Table1[[#This Row],[Key_Year_Week_Brand]],Table3[[#All],[Key_Year_Week_Brand]],0),MATCH(Table1[[#This Row],[DC_name_Xref]],Table3[#Headers],0)),0)</f>
        <v>0</v>
      </c>
      <c r="O677">
        <f>IFERROR(INDEX(Table35[#All],MATCH(Table1[[#This Row],[Key_Year_Week_Brand]],Table35[[#All],[Key_Year_Month_Brand]],0),MATCH(Table1[[#This Row],[DC_name_Xref]],Table35[#Headers],0)),0)</f>
        <v>0</v>
      </c>
    </row>
    <row r="678" spans="1:15" x14ac:dyDescent="0.3">
      <c r="A678" s="19" t="str">
        <f>Table1[[#This Row],[Year_Week]]&amp;"-"&amp;Table1[[#This Row],[DC_name_Xref]]</f>
        <v>202144-FFC-ODC</v>
      </c>
      <c r="B678" s="19" t="str">
        <f>Table1[[#This Row],[Fiscal_Year]]*100+Table1[[#This Row],[Fiscal_Week]] &amp; "-" &amp;Table1[[#This Row],[BRAND]]</f>
        <v>202144-Gap Factory Store</v>
      </c>
      <c r="C678" t="str">
        <f>Table1[[#This Row],[Fiscal_Year]]&amp;"-"&amp;Table1[[#This Row],[BRAND]]</f>
        <v>2021-Gap Factory Store</v>
      </c>
      <c r="D678">
        <v>2021</v>
      </c>
      <c r="E678">
        <v>44</v>
      </c>
      <c r="F678" t="s">
        <v>22</v>
      </c>
      <c r="G678" t="s">
        <v>23</v>
      </c>
      <c r="H678">
        <v>5</v>
      </c>
      <c r="I678">
        <v>0</v>
      </c>
      <c r="J678" t="str">
        <f>VLOOKUP(H678,DC_Xref!A:B,2,FALSE)</f>
        <v>FFC-ODC</v>
      </c>
      <c r="K678">
        <f t="shared" si="10"/>
        <v>202144</v>
      </c>
      <c r="L678">
        <f>IFERROR(Table1[[#This Row],[Demand]]/SUMIFS(Table1[Demand],Table1[Fiscal_Year],Table1[[#This Row],[Fiscal_Year]],Table1[BRAND],Table1[[#This Row],[BRAND]],Table1[DC_name_Xref],Table1[[#This Row],[DC_name_Xref]]),0)</f>
        <v>0</v>
      </c>
      <c r="M6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8" s="3">
        <f>IFERROR(INDEX(Table3[#All],MATCH(Table1[[#This Row],[Key_Year_Week_Brand]],Table3[[#All],[Key_Year_Week_Brand]],0),MATCH(Table1[[#This Row],[DC_name_Xref]],Table3[#Headers],0)),0)</f>
        <v>0</v>
      </c>
      <c r="O678">
        <f>IFERROR(INDEX(Table35[#All],MATCH(Table1[[#This Row],[Key_Year_Week_Brand]],Table35[[#All],[Key_Year_Month_Brand]],0),MATCH(Table1[[#This Row],[DC_name_Xref]],Table35[#Headers],0)),0)</f>
        <v>0</v>
      </c>
    </row>
    <row r="679" spans="1:15" x14ac:dyDescent="0.3">
      <c r="A679" s="19" t="str">
        <f>Table1[[#This Row],[Year_Week]]&amp;"-"&amp;Table1[[#This Row],[DC_name_Xref]]</f>
        <v>202144-WEO</v>
      </c>
      <c r="B679" s="19" t="str">
        <f>Table1[[#This Row],[Fiscal_Year]]*100+Table1[[#This Row],[Fiscal_Week]] &amp; "-" &amp;Table1[[#This Row],[BRAND]]</f>
        <v>202144-Gap Factory Store</v>
      </c>
      <c r="C679" t="str">
        <f>Table1[[#This Row],[Fiscal_Year]]&amp;"-"&amp;Table1[[#This Row],[BRAND]]</f>
        <v>2021-Gap Factory Store</v>
      </c>
      <c r="D679">
        <v>2021</v>
      </c>
      <c r="E679">
        <v>44</v>
      </c>
      <c r="F679" t="s">
        <v>22</v>
      </c>
      <c r="G679" t="s">
        <v>10</v>
      </c>
      <c r="H679">
        <v>6</v>
      </c>
      <c r="I679">
        <v>0</v>
      </c>
      <c r="J679" t="str">
        <f>VLOOKUP(H679,DC_Xref!A:B,2,FALSE)</f>
        <v>WEO</v>
      </c>
      <c r="K679">
        <f t="shared" si="10"/>
        <v>202144</v>
      </c>
      <c r="L679">
        <f>IFERROR(Table1[[#This Row],[Demand]]/SUMIFS(Table1[Demand],Table1[Fiscal_Year],Table1[[#This Row],[Fiscal_Year]],Table1[BRAND],Table1[[#This Row],[BRAND]],Table1[DC_name_Xref],Table1[[#This Row],[DC_name_Xref]]),0)</f>
        <v>0</v>
      </c>
      <c r="M6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79" s="3">
        <f>IFERROR(INDEX(Table3[#All],MATCH(Table1[[#This Row],[Key_Year_Week_Brand]],Table3[[#All],[Key_Year_Week_Brand]],0),MATCH(Table1[[#This Row],[DC_name_Xref]],Table3[#Headers],0)),0)</f>
        <v>0</v>
      </c>
      <c r="O679">
        <f>IFERROR(INDEX(Table35[#All],MATCH(Table1[[#This Row],[Key_Year_Week_Brand]],Table35[[#All],[Key_Year_Month_Brand]],0),MATCH(Table1[[#This Row],[DC_name_Xref]],Table35[#Headers],0)),0)</f>
        <v>0</v>
      </c>
    </row>
    <row r="680" spans="1:15" x14ac:dyDescent="0.3">
      <c r="A680" s="19" t="str">
        <f>Table1[[#This Row],[Year_Week]]&amp;"-"&amp;Table1[[#This Row],[DC_name_Xref]]</f>
        <v>202144-OCC</v>
      </c>
      <c r="B680" s="19" t="str">
        <f>Table1[[#This Row],[Fiscal_Year]]*100+Table1[[#This Row],[Fiscal_Week]] &amp; "-" &amp;Table1[[#This Row],[BRAND]]</f>
        <v>202144-Gap Factory Store</v>
      </c>
      <c r="C680" t="str">
        <f>Table1[[#This Row],[Fiscal_Year]]&amp;"-"&amp;Table1[[#This Row],[BRAND]]</f>
        <v>2021-Gap Factory Store</v>
      </c>
      <c r="D680">
        <v>2021</v>
      </c>
      <c r="E680">
        <v>44</v>
      </c>
      <c r="F680" t="s">
        <v>22</v>
      </c>
      <c r="G680" t="s">
        <v>11</v>
      </c>
      <c r="H680">
        <v>7</v>
      </c>
      <c r="I680">
        <v>0</v>
      </c>
      <c r="J680" t="str">
        <f>VLOOKUP(H680,DC_Xref!A:B,2,FALSE)</f>
        <v>OCC</v>
      </c>
      <c r="K680">
        <f t="shared" si="10"/>
        <v>202144</v>
      </c>
      <c r="L680">
        <f>IFERROR(Table1[[#This Row],[Demand]]/SUMIFS(Table1[Demand],Table1[Fiscal_Year],Table1[[#This Row],[Fiscal_Year]],Table1[BRAND],Table1[[#This Row],[BRAND]],Table1[DC_name_Xref],Table1[[#This Row],[DC_name_Xref]]),0)</f>
        <v>0</v>
      </c>
      <c r="M6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0" s="3">
        <f>IFERROR(INDEX(Table3[#All],MATCH(Table1[[#This Row],[Key_Year_Week_Brand]],Table3[[#All],[Key_Year_Week_Brand]],0),MATCH(Table1[[#This Row],[DC_name_Xref]],Table3[#Headers],0)),0)</f>
        <v>0</v>
      </c>
      <c r="O680">
        <f>IFERROR(INDEX(Table35[#All],MATCH(Table1[[#This Row],[Key_Year_Week_Brand]],Table35[[#All],[Key_Year_Month_Brand]],0),MATCH(Table1[[#This Row],[DC_name_Xref]],Table35[#Headers],0)),0)</f>
        <v>0</v>
      </c>
    </row>
    <row r="681" spans="1:15" x14ac:dyDescent="0.3">
      <c r="A681" s="19" t="str">
        <f>Table1[[#This Row],[Year_Week]]&amp;"-"&amp;Table1[[#This Row],[DC_name_Xref]]</f>
        <v>202144-OFC</v>
      </c>
      <c r="B681" s="19" t="str">
        <f>Table1[[#This Row],[Fiscal_Year]]*100+Table1[[#This Row],[Fiscal_Week]] &amp; "-" &amp;Table1[[#This Row],[BRAND]]</f>
        <v>202144-BR Factory Store</v>
      </c>
      <c r="C681" t="str">
        <f>Table1[[#This Row],[Fiscal_Year]]&amp;"-"&amp;Table1[[#This Row],[BRAND]]</f>
        <v>2021-BR Factory Store</v>
      </c>
      <c r="D681">
        <v>2021</v>
      </c>
      <c r="E681">
        <v>44</v>
      </c>
      <c r="F681" t="s">
        <v>17</v>
      </c>
      <c r="G681" t="s">
        <v>5</v>
      </c>
      <c r="H681">
        <v>1</v>
      </c>
      <c r="I681">
        <v>495669</v>
      </c>
      <c r="J681" t="str">
        <f>VLOOKUP(H681,DC_Xref!A:B,2,FALSE)</f>
        <v>OFC</v>
      </c>
      <c r="K681">
        <f t="shared" si="10"/>
        <v>202144</v>
      </c>
      <c r="L681">
        <f>IFERROR(Table1[[#This Row],[Demand]]/SUMIFS(Table1[Demand],Table1[Fiscal_Year],Table1[[#This Row],[Fiscal_Year]],Table1[BRAND],Table1[[#This Row],[BRAND]],Table1[DC_name_Xref],Table1[[#This Row],[DC_name_Xref]]),0)</f>
        <v>0.27836564381346035</v>
      </c>
      <c r="M6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681" s="3">
        <f>IFERROR(INDEX(Table3[#All],MATCH(Table1[[#This Row],[Key_Year_Week_Brand]],Table3[[#All],[Key_Year_Week_Brand]],0),MATCH(Table1[[#This Row],[DC_name_Xref]],Table3[#Headers],0)),0)</f>
        <v>1</v>
      </c>
      <c r="O681">
        <f>IFERROR(INDEX(Table35[#All],MATCH(Table1[[#This Row],[Key_Year_Week_Brand]],Table35[[#All],[Key_Year_Month_Brand]],0),MATCH(Table1[[#This Row],[DC_name_Xref]],Table35[#Headers],0)),0)</f>
        <v>495669</v>
      </c>
    </row>
    <row r="682" spans="1:15" x14ac:dyDescent="0.3">
      <c r="A682" s="19" t="str">
        <f>Table1[[#This Row],[Year_Week]]&amp;"-"&amp;Table1[[#This Row],[DC_name_Xref]]</f>
        <v>202144-TFC</v>
      </c>
      <c r="B682" s="19" t="str">
        <f>Table1[[#This Row],[Fiscal_Year]]*100+Table1[[#This Row],[Fiscal_Week]] &amp; "-" &amp;Table1[[#This Row],[BRAND]]</f>
        <v>202144-BR Factory Store</v>
      </c>
      <c r="C682" t="str">
        <f>Table1[[#This Row],[Fiscal_Year]]&amp;"-"&amp;Table1[[#This Row],[BRAND]]</f>
        <v>2021-BR Factory Store</v>
      </c>
      <c r="D682">
        <v>2021</v>
      </c>
      <c r="E682">
        <v>44</v>
      </c>
      <c r="F682" t="s">
        <v>17</v>
      </c>
      <c r="G682" t="s">
        <v>21</v>
      </c>
      <c r="H682">
        <v>2</v>
      </c>
      <c r="I682">
        <v>0</v>
      </c>
      <c r="J682" t="str">
        <f>VLOOKUP(H682,DC_Xref!A:B,2,FALSE)</f>
        <v>TFC</v>
      </c>
      <c r="K682">
        <f t="shared" si="10"/>
        <v>202144</v>
      </c>
      <c r="L682">
        <f>IFERROR(Table1[[#This Row],[Demand]]/SUMIFS(Table1[Demand],Table1[Fiscal_Year],Table1[[#This Row],[Fiscal_Year]],Table1[BRAND],Table1[[#This Row],[BRAND]],Table1[DC_name_Xref],Table1[[#This Row],[DC_name_Xref]]),0)</f>
        <v>0</v>
      </c>
      <c r="M6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2" s="3">
        <f>IFERROR(INDEX(Table3[#All],MATCH(Table1[[#This Row],[Key_Year_Week_Brand]],Table3[[#All],[Key_Year_Week_Brand]],0),MATCH(Table1[[#This Row],[DC_name_Xref]],Table3[#Headers],0)),0)</f>
        <v>0</v>
      </c>
      <c r="O682">
        <f>IFERROR(INDEX(Table35[#All],MATCH(Table1[[#This Row],[Key_Year_Week_Brand]],Table35[[#All],[Key_Year_Month_Brand]],0),MATCH(Table1[[#This Row],[DC_name_Xref]],Table35[#Headers],0)),0)</f>
        <v>0</v>
      </c>
    </row>
    <row r="683" spans="1:15" x14ac:dyDescent="0.3">
      <c r="A683" s="19" t="str">
        <f>Table1[[#This Row],[Year_Week]]&amp;"-"&amp;Table1[[#This Row],[DC_name_Xref]]</f>
        <v>202144-WFC</v>
      </c>
      <c r="B683" s="19" t="str">
        <f>Table1[[#This Row],[Fiscal_Year]]*100+Table1[[#This Row],[Fiscal_Week]] &amp; "-" &amp;Table1[[#This Row],[BRAND]]</f>
        <v>202144-BR Factory Store</v>
      </c>
      <c r="C683" t="str">
        <f>Table1[[#This Row],[Fiscal_Year]]&amp;"-"&amp;Table1[[#This Row],[BRAND]]</f>
        <v>2021-BR Factory Store</v>
      </c>
      <c r="D683">
        <v>2021</v>
      </c>
      <c r="E683">
        <v>44</v>
      </c>
      <c r="F683" t="s">
        <v>17</v>
      </c>
      <c r="G683" t="s">
        <v>7</v>
      </c>
      <c r="H683">
        <v>3</v>
      </c>
      <c r="I683">
        <v>0</v>
      </c>
      <c r="J683" t="str">
        <f>VLOOKUP(H683,DC_Xref!A:B,2,FALSE)</f>
        <v>WFC</v>
      </c>
      <c r="K683">
        <f t="shared" si="10"/>
        <v>202144</v>
      </c>
      <c r="L683">
        <f>IFERROR(Table1[[#This Row],[Demand]]/SUMIFS(Table1[Demand],Table1[Fiscal_Year],Table1[[#This Row],[Fiscal_Year]],Table1[BRAND],Table1[[#This Row],[BRAND]],Table1[DC_name_Xref],Table1[[#This Row],[DC_name_Xref]]),0)</f>
        <v>0</v>
      </c>
      <c r="M6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3" s="3">
        <f>IFERROR(INDEX(Table3[#All],MATCH(Table1[[#This Row],[Key_Year_Week_Brand]],Table3[[#All],[Key_Year_Week_Brand]],0),MATCH(Table1[[#This Row],[DC_name_Xref]],Table3[#Headers],0)),0)</f>
        <v>0</v>
      </c>
      <c r="O683">
        <f>IFERROR(INDEX(Table35[#All],MATCH(Table1[[#This Row],[Key_Year_Week_Brand]],Table35[[#All],[Key_Year_Month_Brand]],0),MATCH(Table1[[#This Row],[DC_name_Xref]],Table35[#Headers],0)),0)</f>
        <v>0</v>
      </c>
    </row>
    <row r="684" spans="1:15" x14ac:dyDescent="0.3">
      <c r="A684" s="19" t="str">
        <f>Table1[[#This Row],[Year_Week]]&amp;"-"&amp;Table1[[#This Row],[DC_name_Xref]]</f>
        <v>202144-EAO</v>
      </c>
      <c r="B684" s="19" t="str">
        <f>Table1[[#This Row],[Fiscal_Year]]*100+Table1[[#This Row],[Fiscal_Week]] &amp; "-" &amp;Table1[[#This Row],[BRAND]]</f>
        <v>202144-BR Factory Store</v>
      </c>
      <c r="C684" t="str">
        <f>Table1[[#This Row],[Fiscal_Year]]&amp;"-"&amp;Table1[[#This Row],[BRAND]]</f>
        <v>2021-BR Factory Store</v>
      </c>
      <c r="D684">
        <v>2021</v>
      </c>
      <c r="E684">
        <v>44</v>
      </c>
      <c r="F684" t="s">
        <v>17</v>
      </c>
      <c r="G684" t="s">
        <v>8</v>
      </c>
      <c r="H684">
        <v>4</v>
      </c>
      <c r="I684">
        <v>0</v>
      </c>
      <c r="J684" t="str">
        <f>VLOOKUP(H684,DC_Xref!A:B,2,FALSE)</f>
        <v>EAO</v>
      </c>
      <c r="K684">
        <f t="shared" si="10"/>
        <v>202144</v>
      </c>
      <c r="L684">
        <f>IFERROR(Table1[[#This Row],[Demand]]/SUMIFS(Table1[Demand],Table1[Fiscal_Year],Table1[[#This Row],[Fiscal_Year]],Table1[BRAND],Table1[[#This Row],[BRAND]],Table1[DC_name_Xref],Table1[[#This Row],[DC_name_Xref]]),0)</f>
        <v>0</v>
      </c>
      <c r="M6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4" s="3">
        <f>IFERROR(INDEX(Table3[#All],MATCH(Table1[[#This Row],[Key_Year_Week_Brand]],Table3[[#All],[Key_Year_Week_Brand]],0),MATCH(Table1[[#This Row],[DC_name_Xref]],Table3[#Headers],0)),0)</f>
        <v>0</v>
      </c>
      <c r="O684">
        <f>IFERROR(INDEX(Table35[#All],MATCH(Table1[[#This Row],[Key_Year_Week_Brand]],Table35[[#All],[Key_Year_Month_Brand]],0),MATCH(Table1[[#This Row],[DC_name_Xref]],Table35[#Headers],0)),0)</f>
        <v>0</v>
      </c>
    </row>
    <row r="685" spans="1:15" x14ac:dyDescent="0.3">
      <c r="A685" s="19" t="str">
        <f>Table1[[#This Row],[Year_Week]]&amp;"-"&amp;Table1[[#This Row],[DC_name_Xref]]</f>
        <v>202144-FFC-ODC</v>
      </c>
      <c r="B685" s="19" t="str">
        <f>Table1[[#This Row],[Fiscal_Year]]*100+Table1[[#This Row],[Fiscal_Week]] &amp; "-" &amp;Table1[[#This Row],[BRAND]]</f>
        <v>202144-BR Factory Store</v>
      </c>
      <c r="C685" t="str">
        <f>Table1[[#This Row],[Fiscal_Year]]&amp;"-"&amp;Table1[[#This Row],[BRAND]]</f>
        <v>2021-BR Factory Store</v>
      </c>
      <c r="D685">
        <v>2021</v>
      </c>
      <c r="E685">
        <v>44</v>
      </c>
      <c r="F685" t="s">
        <v>17</v>
      </c>
      <c r="G685" t="s">
        <v>23</v>
      </c>
      <c r="H685">
        <v>5</v>
      </c>
      <c r="I685">
        <v>0</v>
      </c>
      <c r="J685" t="str">
        <f>VLOOKUP(H685,DC_Xref!A:B,2,FALSE)</f>
        <v>FFC-ODC</v>
      </c>
      <c r="K685">
        <f t="shared" si="10"/>
        <v>202144</v>
      </c>
      <c r="L685">
        <f>IFERROR(Table1[[#This Row],[Demand]]/SUMIFS(Table1[Demand],Table1[Fiscal_Year],Table1[[#This Row],[Fiscal_Year]],Table1[BRAND],Table1[[#This Row],[BRAND]],Table1[DC_name_Xref],Table1[[#This Row],[DC_name_Xref]]),0)</f>
        <v>0</v>
      </c>
      <c r="M6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5" s="3">
        <f>IFERROR(INDEX(Table3[#All],MATCH(Table1[[#This Row],[Key_Year_Week_Brand]],Table3[[#All],[Key_Year_Week_Brand]],0),MATCH(Table1[[#This Row],[DC_name_Xref]],Table3[#Headers],0)),0)</f>
        <v>0</v>
      </c>
      <c r="O685">
        <f>IFERROR(INDEX(Table35[#All],MATCH(Table1[[#This Row],[Key_Year_Week_Brand]],Table35[[#All],[Key_Year_Month_Brand]],0),MATCH(Table1[[#This Row],[DC_name_Xref]],Table35[#Headers],0)),0)</f>
        <v>0</v>
      </c>
    </row>
    <row r="686" spans="1:15" x14ac:dyDescent="0.3">
      <c r="A686" s="19" t="str">
        <f>Table1[[#This Row],[Year_Week]]&amp;"-"&amp;Table1[[#This Row],[DC_name_Xref]]</f>
        <v>202144-WEO</v>
      </c>
      <c r="B686" s="19" t="str">
        <f>Table1[[#This Row],[Fiscal_Year]]*100+Table1[[#This Row],[Fiscal_Week]] &amp; "-" &amp;Table1[[#This Row],[BRAND]]</f>
        <v>202144-BR Factory Store</v>
      </c>
      <c r="C686" t="str">
        <f>Table1[[#This Row],[Fiscal_Year]]&amp;"-"&amp;Table1[[#This Row],[BRAND]]</f>
        <v>2021-BR Factory Store</v>
      </c>
      <c r="D686">
        <v>2021</v>
      </c>
      <c r="E686">
        <v>44</v>
      </c>
      <c r="F686" t="s">
        <v>17</v>
      </c>
      <c r="G686" t="s">
        <v>10</v>
      </c>
      <c r="H686">
        <v>6</v>
      </c>
      <c r="I686">
        <v>0</v>
      </c>
      <c r="J686" t="str">
        <f>VLOOKUP(H686,DC_Xref!A:B,2,FALSE)</f>
        <v>WEO</v>
      </c>
      <c r="K686">
        <f t="shared" si="10"/>
        <v>202144</v>
      </c>
      <c r="L686">
        <f>IFERROR(Table1[[#This Row],[Demand]]/SUMIFS(Table1[Demand],Table1[Fiscal_Year],Table1[[#This Row],[Fiscal_Year]],Table1[BRAND],Table1[[#This Row],[BRAND]],Table1[DC_name_Xref],Table1[[#This Row],[DC_name_Xref]]),0)</f>
        <v>0</v>
      </c>
      <c r="M6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6" s="3">
        <f>IFERROR(INDEX(Table3[#All],MATCH(Table1[[#This Row],[Key_Year_Week_Brand]],Table3[[#All],[Key_Year_Week_Brand]],0),MATCH(Table1[[#This Row],[DC_name_Xref]],Table3[#Headers],0)),0)</f>
        <v>0</v>
      </c>
      <c r="O686">
        <f>IFERROR(INDEX(Table35[#All],MATCH(Table1[[#This Row],[Key_Year_Week_Brand]],Table35[[#All],[Key_Year_Month_Brand]],0),MATCH(Table1[[#This Row],[DC_name_Xref]],Table35[#Headers],0)),0)</f>
        <v>0</v>
      </c>
    </row>
    <row r="687" spans="1:15" x14ac:dyDescent="0.3">
      <c r="A687" s="19" t="str">
        <f>Table1[[#This Row],[Year_Week]]&amp;"-"&amp;Table1[[#This Row],[DC_name_Xref]]</f>
        <v>202144-OCC</v>
      </c>
      <c r="B687" s="19" t="str">
        <f>Table1[[#This Row],[Fiscal_Year]]*100+Table1[[#This Row],[Fiscal_Week]] &amp; "-" &amp;Table1[[#This Row],[BRAND]]</f>
        <v>202144-BR Factory Store</v>
      </c>
      <c r="C687" t="str">
        <f>Table1[[#This Row],[Fiscal_Year]]&amp;"-"&amp;Table1[[#This Row],[BRAND]]</f>
        <v>2021-BR Factory Store</v>
      </c>
      <c r="D687">
        <v>2021</v>
      </c>
      <c r="E687">
        <v>44</v>
      </c>
      <c r="F687" t="s">
        <v>17</v>
      </c>
      <c r="G687" t="s">
        <v>11</v>
      </c>
      <c r="H687">
        <v>7</v>
      </c>
      <c r="I687">
        <v>0</v>
      </c>
      <c r="J687" t="str">
        <f>VLOOKUP(H687,DC_Xref!A:B,2,FALSE)</f>
        <v>OCC</v>
      </c>
      <c r="K687">
        <f t="shared" si="10"/>
        <v>202144</v>
      </c>
      <c r="L687">
        <f>IFERROR(Table1[[#This Row],[Demand]]/SUMIFS(Table1[Demand],Table1[Fiscal_Year],Table1[[#This Row],[Fiscal_Year]],Table1[BRAND],Table1[[#This Row],[BRAND]],Table1[DC_name_Xref],Table1[[#This Row],[DC_name_Xref]]),0)</f>
        <v>0</v>
      </c>
      <c r="M6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87" s="3">
        <f>IFERROR(INDEX(Table3[#All],MATCH(Table1[[#This Row],[Key_Year_Week_Brand]],Table3[[#All],[Key_Year_Week_Brand]],0),MATCH(Table1[[#This Row],[DC_name_Xref]],Table3[#Headers],0)),0)</f>
        <v>0</v>
      </c>
      <c r="O687">
        <f>IFERROR(INDEX(Table35[#All],MATCH(Table1[[#This Row],[Key_Year_Week_Brand]],Table35[[#All],[Key_Year_Month_Brand]],0),MATCH(Table1[[#This Row],[DC_name_Xref]],Table35[#Headers],0)),0)</f>
        <v>0</v>
      </c>
    </row>
    <row r="688" spans="1:15" x14ac:dyDescent="0.3">
      <c r="A688" s="19" t="str">
        <f>Table1[[#This Row],[Year_Week]]&amp;"-"&amp;Table1[[#This Row],[DC_name_Xref]]</f>
        <v>202144-OFC</v>
      </c>
      <c r="B688" s="19" t="str">
        <f>Table1[[#This Row],[Fiscal_Year]]*100+Table1[[#This Row],[Fiscal_Week]] &amp; "-" &amp;Table1[[#This Row],[BRAND]]</f>
        <v>202144-Old Navy</v>
      </c>
      <c r="C688" t="str">
        <f>Table1[[#This Row],[Fiscal_Year]]&amp;"-"&amp;Table1[[#This Row],[BRAND]]</f>
        <v>2021-Old Navy</v>
      </c>
      <c r="D688">
        <v>2021</v>
      </c>
      <c r="E688">
        <v>44</v>
      </c>
      <c r="F688" t="s">
        <v>20</v>
      </c>
      <c r="G688" t="s">
        <v>5</v>
      </c>
      <c r="H688">
        <v>1</v>
      </c>
      <c r="I688">
        <v>2617514</v>
      </c>
      <c r="J688" t="str">
        <f>VLOOKUP(H688,DC_Xref!A:B,2,FALSE)</f>
        <v>OFC</v>
      </c>
      <c r="K688">
        <f t="shared" si="10"/>
        <v>202144</v>
      </c>
      <c r="L688">
        <f>IFERROR(Table1[[#This Row],[Demand]]/SUMIFS(Table1[Demand],Table1[Fiscal_Year],Table1[[#This Row],[Fiscal_Year]],Table1[BRAND],Table1[[#This Row],[BRAND]],Table1[DC_name_Xref],Table1[[#This Row],[DC_name_Xref]]),0)</f>
        <v>0.29333695533894499</v>
      </c>
      <c r="M6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0.29585491332950564</v>
      </c>
      <c r="N688" s="3">
        <f>IFERROR(INDEX(Table3[#All],MATCH(Table1[[#This Row],[Key_Year_Week_Brand]],Table3[[#All],[Key_Year_Week_Brand]],0),MATCH(Table1[[#This Row],[DC_name_Xref]],Table3[#Headers],0)),0)</f>
        <v>0.15</v>
      </c>
      <c r="O688">
        <f>IFERROR(INDEX(Table35[#All],MATCH(Table1[[#This Row],[Key_Year_Week_Brand]],Table35[[#All],[Key_Year_Month_Brand]],0),MATCH(Table1[[#This Row],[DC_name_Xref]],Table35[#Headers],0)),0)</f>
        <v>1311088.95</v>
      </c>
    </row>
    <row r="689" spans="1:15" x14ac:dyDescent="0.3">
      <c r="A689" s="19" t="str">
        <f>Table1[[#This Row],[Year_Week]]&amp;"-"&amp;Table1[[#This Row],[DC_name_Xref]]</f>
        <v>202144-TFC</v>
      </c>
      <c r="B689" s="19" t="str">
        <f>Table1[[#This Row],[Fiscal_Year]]*100+Table1[[#This Row],[Fiscal_Week]] &amp; "-" &amp;Table1[[#This Row],[BRAND]]</f>
        <v>202144-Old Navy</v>
      </c>
      <c r="C689" t="str">
        <f>Table1[[#This Row],[Fiscal_Year]]&amp;"-"&amp;Table1[[#This Row],[BRAND]]</f>
        <v>2021-Old Navy</v>
      </c>
      <c r="D689">
        <v>2021</v>
      </c>
      <c r="E689">
        <v>44</v>
      </c>
      <c r="F689" t="s">
        <v>20</v>
      </c>
      <c r="G689" t="s">
        <v>21</v>
      </c>
      <c r="H689">
        <v>2</v>
      </c>
      <c r="I689">
        <v>1033838</v>
      </c>
      <c r="J689" t="str">
        <f>VLOOKUP(H689,DC_Xref!A:B,2,FALSE)</f>
        <v>TFC</v>
      </c>
      <c r="K689">
        <f t="shared" si="10"/>
        <v>202144</v>
      </c>
      <c r="L689">
        <f>IFERROR(Table1[[#This Row],[Demand]]/SUMIFS(Table1[Demand],Table1[Fiscal_Year],Table1[[#This Row],[Fiscal_Year]],Table1[BRAND],Table1[[#This Row],[BRAND]],Table1[DC_name_Xref],Table1[[#This Row],[DC_name_Xref]]),0)</f>
        <v>0.20154983749691244</v>
      </c>
      <c r="M6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0.17006956138921989</v>
      </c>
      <c r="N689" s="3">
        <f>IFERROR(INDEX(Table3[#All],MATCH(Table1[[#This Row],[Key_Year_Week_Brand]],Table3[[#All],[Key_Year_Week_Brand]],0),MATCH(Table1[[#This Row],[DC_name_Xref]],Table3[#Headers],0)),0)</f>
        <v>0.17760000000000001</v>
      </c>
      <c r="O689">
        <f>IFERROR(INDEX(Table35[#All],MATCH(Table1[[#This Row],[Key_Year_Week_Brand]],Table35[[#All],[Key_Year_Month_Brand]],0),MATCH(Table1[[#This Row],[DC_name_Xref]],Table35[#Headers],0)),0)</f>
        <v>1552329.3168000001</v>
      </c>
    </row>
    <row r="690" spans="1:15" x14ac:dyDescent="0.3">
      <c r="A690" s="19" t="str">
        <f>Table1[[#This Row],[Year_Week]]&amp;"-"&amp;Table1[[#This Row],[DC_name_Xref]]</f>
        <v>202144-WFC</v>
      </c>
      <c r="B690" s="19" t="str">
        <f>Table1[[#This Row],[Fiscal_Year]]*100+Table1[[#This Row],[Fiscal_Week]] &amp; "-" &amp;Table1[[#This Row],[BRAND]]</f>
        <v>202144-Old Navy</v>
      </c>
      <c r="C690" t="str">
        <f>Table1[[#This Row],[Fiscal_Year]]&amp;"-"&amp;Table1[[#This Row],[BRAND]]</f>
        <v>2021-Old Navy</v>
      </c>
      <c r="D690">
        <v>2021</v>
      </c>
      <c r="E690">
        <v>44</v>
      </c>
      <c r="F690" t="s">
        <v>20</v>
      </c>
      <c r="G690" t="s">
        <v>7</v>
      </c>
      <c r="H690">
        <v>3</v>
      </c>
      <c r="I690">
        <v>1772023</v>
      </c>
      <c r="J690" t="str">
        <f>VLOOKUP(H690,DC_Xref!A:B,2,FALSE)</f>
        <v>WFC</v>
      </c>
      <c r="K690">
        <f t="shared" si="10"/>
        <v>202144</v>
      </c>
      <c r="L690">
        <f>IFERROR(Table1[[#This Row],[Demand]]/SUMIFS(Table1[Demand],Table1[Fiscal_Year],Table1[[#This Row],[Fiscal_Year]],Table1[BRAND],Table1[[#This Row],[BRAND]],Table1[DC_name_Xref],Table1[[#This Row],[DC_name_Xref]]),0)</f>
        <v>0.29131459759816536</v>
      </c>
      <c r="M6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0.20168038417761627</v>
      </c>
      <c r="N690" s="3">
        <f>IFERROR(INDEX(Table3[#All],MATCH(Table1[[#This Row],[Key_Year_Week_Brand]],Table3[[#All],[Key_Year_Week_Brand]],0),MATCH(Table1[[#This Row],[DC_name_Xref]],Table3[#Headers],0)),0)</f>
        <v>0</v>
      </c>
      <c r="O690">
        <f>IFERROR(INDEX(Table35[#All],MATCH(Table1[[#This Row],[Key_Year_Week_Brand]],Table35[[#All],[Key_Year_Month_Brand]],0),MATCH(Table1[[#This Row],[DC_name_Xref]],Table35[#Headers],0)),0)</f>
        <v>0</v>
      </c>
    </row>
    <row r="691" spans="1:15" x14ac:dyDescent="0.3">
      <c r="A691" s="19" t="str">
        <f>Table1[[#This Row],[Year_Week]]&amp;"-"&amp;Table1[[#This Row],[DC_name_Xref]]</f>
        <v>202144-EAO</v>
      </c>
      <c r="B691" s="19" t="str">
        <f>Table1[[#This Row],[Fiscal_Year]]*100+Table1[[#This Row],[Fiscal_Week]] &amp; "-" &amp;Table1[[#This Row],[BRAND]]</f>
        <v>202144-Old Navy</v>
      </c>
      <c r="C691" t="str">
        <f>Table1[[#This Row],[Fiscal_Year]]&amp;"-"&amp;Table1[[#This Row],[BRAND]]</f>
        <v>2021-Old Navy</v>
      </c>
      <c r="D691">
        <v>2021</v>
      </c>
      <c r="E691">
        <v>44</v>
      </c>
      <c r="F691" t="s">
        <v>20</v>
      </c>
      <c r="G691" t="s">
        <v>8</v>
      </c>
      <c r="H691">
        <v>4</v>
      </c>
      <c r="I691">
        <v>3317218</v>
      </c>
      <c r="J691" t="str">
        <f>VLOOKUP(H691,DC_Xref!A:B,2,FALSE)</f>
        <v>EAO</v>
      </c>
      <c r="K691">
        <f t="shared" si="10"/>
        <v>202144</v>
      </c>
      <c r="L691">
        <f>IFERROR(Table1[[#This Row],[Demand]]/SUMIFS(Table1[Demand],Table1[Fiscal_Year],Table1[[#This Row],[Fiscal_Year]],Table1[BRAND],Table1[[#This Row],[BRAND]],Table1[DC_name_Xref],Table1[[#This Row],[DC_name_Xref]]),0)</f>
        <v>0.33088410072220159</v>
      </c>
      <c r="M6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0.3323951411036582</v>
      </c>
      <c r="N691" s="3">
        <f>IFERROR(INDEX(Table3[#All],MATCH(Table1[[#This Row],[Key_Year_Week_Brand]],Table3[[#All],[Key_Year_Week_Brand]],0),MATCH(Table1[[#This Row],[DC_name_Xref]],Table3[#Headers],0)),0)</f>
        <v>0.27239514110365798</v>
      </c>
      <c r="O691">
        <f>IFERROR(INDEX(Table35[#All],MATCH(Table1[[#This Row],[Key_Year_Week_Brand]],Table35[[#All],[Key_Year_Month_Brand]],0),MATCH(Table1[[#This Row],[DC_name_Xref]],Table35[#Headers],0)),0)</f>
        <v>2380895.0635646451</v>
      </c>
    </row>
    <row r="692" spans="1:15" x14ac:dyDescent="0.3">
      <c r="A692" s="19" t="str">
        <f>Table1[[#This Row],[Year_Week]]&amp;"-"&amp;Table1[[#This Row],[DC_name_Xref]]</f>
        <v>202144-FFC-ODC</v>
      </c>
      <c r="B692" s="19" t="str">
        <f>Table1[[#This Row],[Fiscal_Year]]*100+Table1[[#This Row],[Fiscal_Week]] &amp; "-" &amp;Table1[[#This Row],[BRAND]]</f>
        <v>202144-Old Navy</v>
      </c>
      <c r="C692" t="str">
        <f>Table1[[#This Row],[Fiscal_Year]]&amp;"-"&amp;Table1[[#This Row],[BRAND]]</f>
        <v>2021-Old Navy</v>
      </c>
      <c r="D692">
        <v>2021</v>
      </c>
      <c r="E692">
        <v>44</v>
      </c>
      <c r="F692" t="s">
        <v>20</v>
      </c>
      <c r="G692" t="s">
        <v>23</v>
      </c>
      <c r="H692">
        <v>5</v>
      </c>
      <c r="I692">
        <v>0</v>
      </c>
      <c r="J692" t="str">
        <f>VLOOKUP(H692,DC_Xref!A:B,2,FALSE)</f>
        <v>FFC-ODC</v>
      </c>
      <c r="K692">
        <f t="shared" si="10"/>
        <v>202144</v>
      </c>
      <c r="L692">
        <f>IFERROR(Table1[[#This Row],[Demand]]/SUMIFS(Table1[Demand],Table1[Fiscal_Year],Table1[[#This Row],[Fiscal_Year]],Table1[BRAND],Table1[[#This Row],[BRAND]],Table1[DC_name_Xref],Table1[[#This Row],[DC_name_Xref]]),0)</f>
        <v>0</v>
      </c>
      <c r="M6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92" s="3">
        <f>IFERROR(INDEX(Table3[#All],MATCH(Table1[[#This Row],[Key_Year_Week_Brand]],Table3[[#All],[Key_Year_Week_Brand]],0),MATCH(Table1[[#This Row],[DC_name_Xref]],Table3[#Headers],0)),0)</f>
        <v>0</v>
      </c>
      <c r="O692">
        <f>IFERROR(INDEX(Table35[#All],MATCH(Table1[[#This Row],[Key_Year_Week_Brand]],Table35[[#All],[Key_Year_Month_Brand]],0),MATCH(Table1[[#This Row],[DC_name_Xref]],Table35[#Headers],0)),0)</f>
        <v>0</v>
      </c>
    </row>
    <row r="693" spans="1:15" x14ac:dyDescent="0.3">
      <c r="A693" s="19" t="str">
        <f>Table1[[#This Row],[Year_Week]]&amp;"-"&amp;Table1[[#This Row],[DC_name_Xref]]</f>
        <v>202144-WEO</v>
      </c>
      <c r="B693" s="19" t="str">
        <f>Table1[[#This Row],[Fiscal_Year]]*100+Table1[[#This Row],[Fiscal_Week]] &amp; "-" &amp;Table1[[#This Row],[BRAND]]</f>
        <v>202144-Old Navy</v>
      </c>
      <c r="C693" t="str">
        <f>Table1[[#This Row],[Fiscal_Year]]&amp;"-"&amp;Table1[[#This Row],[BRAND]]</f>
        <v>2021-Old Navy</v>
      </c>
      <c r="D693">
        <v>2021</v>
      </c>
      <c r="E693">
        <v>44</v>
      </c>
      <c r="F693" t="s">
        <v>20</v>
      </c>
      <c r="G693" t="s">
        <v>10</v>
      </c>
      <c r="H693">
        <v>6</v>
      </c>
      <c r="I693">
        <v>0</v>
      </c>
      <c r="J693" t="str">
        <f>VLOOKUP(H693,DC_Xref!A:B,2,FALSE)</f>
        <v>WEO</v>
      </c>
      <c r="K693">
        <f t="shared" si="10"/>
        <v>202144</v>
      </c>
      <c r="L693">
        <f>IFERROR(Table1[[#This Row],[Demand]]/SUMIFS(Table1[Demand],Table1[Fiscal_Year],Table1[[#This Row],[Fiscal_Year]],Table1[BRAND],Table1[[#This Row],[BRAND]],Table1[DC_name_Xref],Table1[[#This Row],[DC_name_Xref]]),0)</f>
        <v>0</v>
      </c>
      <c r="M6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93" s="3">
        <f>IFERROR(INDEX(Table3[#All],MATCH(Table1[[#This Row],[Key_Year_Week_Brand]],Table3[[#All],[Key_Year_Week_Brand]],0),MATCH(Table1[[#This Row],[DC_name_Xref]],Table3[#Headers],0)),0)</f>
        <v>0.24</v>
      </c>
      <c r="O693">
        <f>IFERROR(INDEX(Table35[#All],MATCH(Table1[[#This Row],[Key_Year_Week_Brand]],Table35[[#All],[Key_Year_Month_Brand]],0),MATCH(Table1[[#This Row],[DC_name_Xref]],Table35[#Headers],0)),0)</f>
        <v>2097742.3199999998</v>
      </c>
    </row>
    <row r="694" spans="1:15" x14ac:dyDescent="0.3">
      <c r="A694" s="19" t="str">
        <f>Table1[[#This Row],[Year_Week]]&amp;"-"&amp;Table1[[#This Row],[DC_name_Xref]]</f>
        <v>202144-OCC</v>
      </c>
      <c r="B694" s="19" t="str">
        <f>Table1[[#This Row],[Fiscal_Year]]*100+Table1[[#This Row],[Fiscal_Week]] &amp; "-" &amp;Table1[[#This Row],[BRAND]]</f>
        <v>202144-Old Navy</v>
      </c>
      <c r="C694" t="str">
        <f>Table1[[#This Row],[Fiscal_Year]]&amp;"-"&amp;Table1[[#This Row],[BRAND]]</f>
        <v>2021-Old Navy</v>
      </c>
      <c r="D694">
        <v>2021</v>
      </c>
      <c r="E694">
        <v>44</v>
      </c>
      <c r="F694" t="s">
        <v>20</v>
      </c>
      <c r="G694" t="s">
        <v>11</v>
      </c>
      <c r="H694">
        <v>7</v>
      </c>
      <c r="I694">
        <v>0</v>
      </c>
      <c r="J694" t="str">
        <f>VLOOKUP(H694,DC_Xref!A:B,2,FALSE)</f>
        <v>OCC</v>
      </c>
      <c r="K694">
        <f t="shared" si="10"/>
        <v>202144</v>
      </c>
      <c r="L694">
        <f>IFERROR(Table1[[#This Row],[Demand]]/SUMIFS(Table1[Demand],Table1[Fiscal_Year],Table1[[#This Row],[Fiscal_Year]],Table1[BRAND],Table1[[#This Row],[BRAND]],Table1[DC_name_Xref],Table1[[#This Row],[DC_name_Xref]]),0)</f>
        <v>0</v>
      </c>
      <c r="M6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94" s="3">
        <f>IFERROR(INDEX(Table3[#All],MATCH(Table1[[#This Row],[Key_Year_Week_Brand]],Table3[[#All],[Key_Year_Week_Brand]],0),MATCH(Table1[[#This Row],[DC_name_Xref]],Table3[#Headers],0)),0)</f>
        <v>0.16</v>
      </c>
      <c r="O694">
        <f>IFERROR(INDEX(Table35[#All],MATCH(Table1[[#This Row],[Key_Year_Week_Brand]],Table35[[#All],[Key_Year_Month_Brand]],0),MATCH(Table1[[#This Row],[DC_name_Xref]],Table35[#Headers],0)),0)</f>
        <v>1398494.8800000001</v>
      </c>
    </row>
    <row r="695" spans="1:15" x14ac:dyDescent="0.3">
      <c r="A695" s="19" t="str">
        <f>Table1[[#This Row],[Year_Week]]&amp;"-"&amp;Table1[[#This Row],[DC_name_Xref]]</f>
        <v>202144-OFC</v>
      </c>
      <c r="B695" s="19" t="str">
        <f>Table1[[#This Row],[Fiscal_Year]]*100+Table1[[#This Row],[Fiscal_Week]] &amp; "-" &amp;Table1[[#This Row],[BRAND]]</f>
        <v>202144-Athleta</v>
      </c>
      <c r="C695" t="str">
        <f>Table1[[#This Row],[Fiscal_Year]]&amp;"-"&amp;Table1[[#This Row],[BRAND]]</f>
        <v>2021-Athleta</v>
      </c>
      <c r="D695">
        <v>2021</v>
      </c>
      <c r="E695">
        <v>44</v>
      </c>
      <c r="F695" t="s">
        <v>19</v>
      </c>
      <c r="G695" t="s">
        <v>5</v>
      </c>
      <c r="H695">
        <v>1</v>
      </c>
      <c r="I695">
        <v>40755</v>
      </c>
      <c r="J695" t="str">
        <f>VLOOKUP(H695,DC_Xref!A:B,2,FALSE)</f>
        <v>OFC</v>
      </c>
      <c r="K695">
        <f t="shared" si="10"/>
        <v>202144</v>
      </c>
      <c r="L695">
        <f>IFERROR(Table1[[#This Row],[Demand]]/SUMIFS(Table1[Demand],Table1[Fiscal_Year],Table1[[#This Row],[Fiscal_Year]],Table1[BRAND],Table1[[#This Row],[BRAND]],Table1[DC_name_Xref],Table1[[#This Row],[DC_name_Xref]]),0)</f>
        <v>0.19519986972306572</v>
      </c>
      <c r="M6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0.1013677307593525</v>
      </c>
      <c r="N695" s="3">
        <f>IFERROR(INDEX(Table3[#All],MATCH(Table1[[#This Row],[Key_Year_Week_Brand]],Table3[[#All],[Key_Year_Week_Brand]],0),MATCH(Table1[[#This Row],[DC_name_Xref]],Table3[#Headers],0)),0)</f>
        <v>0</v>
      </c>
      <c r="O695">
        <f>IFERROR(INDEX(Table35[#All],MATCH(Table1[[#This Row],[Key_Year_Week_Brand]],Table35[[#All],[Key_Year_Month_Brand]],0),MATCH(Table1[[#This Row],[DC_name_Xref]],Table35[#Headers],0)),0)</f>
        <v>0</v>
      </c>
    </row>
    <row r="696" spans="1:15" x14ac:dyDescent="0.3">
      <c r="A696" s="19" t="str">
        <f>Table1[[#This Row],[Year_Week]]&amp;"-"&amp;Table1[[#This Row],[DC_name_Xref]]</f>
        <v>202144-TFC</v>
      </c>
      <c r="B696" s="19" t="str">
        <f>Table1[[#This Row],[Fiscal_Year]]*100+Table1[[#This Row],[Fiscal_Week]] &amp; "-" &amp;Table1[[#This Row],[BRAND]]</f>
        <v>202144-Athleta</v>
      </c>
      <c r="C696" t="str">
        <f>Table1[[#This Row],[Fiscal_Year]]&amp;"-"&amp;Table1[[#This Row],[BRAND]]</f>
        <v>2021-Athleta</v>
      </c>
      <c r="D696">
        <v>2021</v>
      </c>
      <c r="E696">
        <v>44</v>
      </c>
      <c r="F696" t="s">
        <v>19</v>
      </c>
      <c r="G696" t="s">
        <v>21</v>
      </c>
      <c r="H696">
        <v>2</v>
      </c>
      <c r="I696">
        <v>428539</v>
      </c>
      <c r="J696" t="str">
        <f>VLOOKUP(H696,DC_Xref!A:B,2,FALSE)</f>
        <v>TFC</v>
      </c>
      <c r="K696">
        <f t="shared" si="10"/>
        <v>202144</v>
      </c>
      <c r="L696">
        <f>IFERROR(Table1[[#This Row],[Demand]]/SUMIFS(Table1[Demand],Table1[Fiscal_Year],Table1[[#This Row],[Fiscal_Year]],Table1[BRAND],Table1[[#This Row],[BRAND]],Table1[DC_name_Xref],Table1[[#This Row],[DC_name_Xref]]),0)</f>
        <v>0.23153857292288008</v>
      </c>
      <c r="M6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0.89859779801707929</v>
      </c>
      <c r="N696" s="3">
        <f>IFERROR(INDEX(Table3[#All],MATCH(Table1[[#This Row],[Key_Year_Week_Brand]],Table3[[#All],[Key_Year_Week_Brand]],0),MATCH(Table1[[#This Row],[DC_name_Xref]],Table3[#Headers],0)),0)</f>
        <v>1</v>
      </c>
      <c r="O696">
        <f>IFERROR(INDEX(Table35[#All],MATCH(Table1[[#This Row],[Key_Year_Week_Brand]],Table35[[#All],[Key_Year_Month_Brand]],0),MATCH(Table1[[#This Row],[DC_name_Xref]],Table35[#Headers],0)),0)</f>
        <v>469332</v>
      </c>
    </row>
    <row r="697" spans="1:15" x14ac:dyDescent="0.3">
      <c r="A697" s="19" t="str">
        <f>Table1[[#This Row],[Year_Week]]&amp;"-"&amp;Table1[[#This Row],[DC_name_Xref]]</f>
        <v>202144-WFC</v>
      </c>
      <c r="B697" s="19" t="str">
        <f>Table1[[#This Row],[Fiscal_Year]]*100+Table1[[#This Row],[Fiscal_Week]] &amp; "-" &amp;Table1[[#This Row],[BRAND]]</f>
        <v>202144-Athleta</v>
      </c>
      <c r="C697" t="str">
        <f>Table1[[#This Row],[Fiscal_Year]]&amp;"-"&amp;Table1[[#This Row],[BRAND]]</f>
        <v>2021-Athleta</v>
      </c>
      <c r="D697">
        <v>2021</v>
      </c>
      <c r="E697">
        <v>44</v>
      </c>
      <c r="F697" t="s">
        <v>19</v>
      </c>
      <c r="G697" t="s">
        <v>7</v>
      </c>
      <c r="H697">
        <v>3</v>
      </c>
      <c r="I697">
        <v>0</v>
      </c>
      <c r="J697" t="str">
        <f>VLOOKUP(H697,DC_Xref!A:B,2,FALSE)</f>
        <v>WFC</v>
      </c>
      <c r="K697">
        <f t="shared" si="10"/>
        <v>202144</v>
      </c>
      <c r="L697">
        <f>IFERROR(Table1[[#This Row],[Demand]]/SUMIFS(Table1[Demand],Table1[Fiscal_Year],Table1[[#This Row],[Fiscal_Year]],Table1[BRAND],Table1[[#This Row],[BRAND]],Table1[DC_name_Xref],Table1[[#This Row],[DC_name_Xref]]),0)</f>
        <v>0</v>
      </c>
      <c r="M6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97" s="3">
        <f>IFERROR(INDEX(Table3[#All],MATCH(Table1[[#This Row],[Key_Year_Week_Brand]],Table3[[#All],[Key_Year_Week_Brand]],0),MATCH(Table1[[#This Row],[DC_name_Xref]],Table3[#Headers],0)),0)</f>
        <v>0</v>
      </c>
      <c r="O697">
        <f>IFERROR(INDEX(Table35[#All],MATCH(Table1[[#This Row],[Key_Year_Week_Brand]],Table35[[#All],[Key_Year_Month_Brand]],0),MATCH(Table1[[#This Row],[DC_name_Xref]],Table35[#Headers],0)),0)</f>
        <v>0</v>
      </c>
    </row>
    <row r="698" spans="1:15" x14ac:dyDescent="0.3">
      <c r="A698" s="19" t="str">
        <f>Table1[[#This Row],[Year_Week]]&amp;"-"&amp;Table1[[#This Row],[DC_name_Xref]]</f>
        <v>202144-EAO</v>
      </c>
      <c r="B698" s="19" t="str">
        <f>Table1[[#This Row],[Fiscal_Year]]*100+Table1[[#This Row],[Fiscal_Week]] &amp; "-" &amp;Table1[[#This Row],[BRAND]]</f>
        <v>202144-Athleta</v>
      </c>
      <c r="C698" t="str">
        <f>Table1[[#This Row],[Fiscal_Year]]&amp;"-"&amp;Table1[[#This Row],[BRAND]]</f>
        <v>2021-Athleta</v>
      </c>
      <c r="D698">
        <v>2021</v>
      </c>
      <c r="E698">
        <v>44</v>
      </c>
      <c r="F698" t="s">
        <v>19</v>
      </c>
      <c r="G698" t="s">
        <v>8</v>
      </c>
      <c r="H698">
        <v>4</v>
      </c>
      <c r="I698">
        <v>38</v>
      </c>
      <c r="J698" t="str">
        <f>VLOOKUP(H698,DC_Xref!A:B,2,FALSE)</f>
        <v>EAO</v>
      </c>
      <c r="K698">
        <f t="shared" si="10"/>
        <v>202144</v>
      </c>
      <c r="L698">
        <f>IFERROR(Table1[[#This Row],[Demand]]/SUMIFS(Table1[Demand],Table1[Fiscal_Year],Table1[[#This Row],[Fiscal_Year]],Table1[BRAND],Table1[[#This Row],[BRAND]],Table1[DC_name_Xref],Table1[[#This Row],[DC_name_Xref]]),0)</f>
        <v>0.53521126760563376</v>
      </c>
      <c r="M6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3.447122356821831E-5</v>
      </c>
      <c r="N698" s="3">
        <f>IFERROR(INDEX(Table3[#All],MATCH(Table1[[#This Row],[Key_Year_Week_Brand]],Table3[[#All],[Key_Year_Week_Brand]],0),MATCH(Table1[[#This Row],[DC_name_Xref]],Table3[#Headers],0)),0)</f>
        <v>3.447122356821831E-5</v>
      </c>
      <c r="O698">
        <f>IFERROR(INDEX(Table35[#All],MATCH(Table1[[#This Row],[Key_Year_Week_Brand]],Table35[[#All],[Key_Year_Month_Brand]],0),MATCH(Table1[[#This Row],[DC_name_Xref]],Table35[#Headers],0)),0)</f>
        <v>16.178448299719037</v>
      </c>
    </row>
    <row r="699" spans="1:15" x14ac:dyDescent="0.3">
      <c r="A699" s="19" t="str">
        <f>Table1[[#This Row],[Year_Week]]&amp;"-"&amp;Table1[[#This Row],[DC_name_Xref]]</f>
        <v>202144-FFC-ODC</v>
      </c>
      <c r="B699" s="19" t="str">
        <f>Table1[[#This Row],[Fiscal_Year]]*100+Table1[[#This Row],[Fiscal_Week]] &amp; "-" &amp;Table1[[#This Row],[BRAND]]</f>
        <v>202144-Athleta</v>
      </c>
      <c r="C699" t="str">
        <f>Table1[[#This Row],[Fiscal_Year]]&amp;"-"&amp;Table1[[#This Row],[BRAND]]</f>
        <v>2021-Athleta</v>
      </c>
      <c r="D699">
        <v>2021</v>
      </c>
      <c r="E699">
        <v>44</v>
      </c>
      <c r="F699" t="s">
        <v>19</v>
      </c>
      <c r="G699" t="s">
        <v>23</v>
      </c>
      <c r="H699">
        <v>5</v>
      </c>
      <c r="I699">
        <v>0</v>
      </c>
      <c r="J699" t="str">
        <f>VLOOKUP(H699,DC_Xref!A:B,2,FALSE)</f>
        <v>FFC-ODC</v>
      </c>
      <c r="K699">
        <f t="shared" si="10"/>
        <v>202144</v>
      </c>
      <c r="L699">
        <f>IFERROR(Table1[[#This Row],[Demand]]/SUMIFS(Table1[Demand],Table1[Fiscal_Year],Table1[[#This Row],[Fiscal_Year]],Table1[BRAND],Table1[[#This Row],[BRAND]],Table1[DC_name_Xref],Table1[[#This Row],[DC_name_Xref]]),0)</f>
        <v>0</v>
      </c>
      <c r="M6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699" s="3">
        <f>IFERROR(INDEX(Table3[#All],MATCH(Table1[[#This Row],[Key_Year_Week_Brand]],Table3[[#All],[Key_Year_Week_Brand]],0),MATCH(Table1[[#This Row],[DC_name_Xref]],Table3[#Headers],0)),0)</f>
        <v>0</v>
      </c>
      <c r="O699">
        <f>IFERROR(INDEX(Table35[#All],MATCH(Table1[[#This Row],[Key_Year_Week_Brand]],Table35[[#All],[Key_Year_Month_Brand]],0),MATCH(Table1[[#This Row],[DC_name_Xref]],Table35[#Headers],0)),0)</f>
        <v>0</v>
      </c>
    </row>
    <row r="700" spans="1:15" x14ac:dyDescent="0.3">
      <c r="A700" s="19" t="str">
        <f>Table1[[#This Row],[Year_Week]]&amp;"-"&amp;Table1[[#This Row],[DC_name_Xref]]</f>
        <v>202144-WEO</v>
      </c>
      <c r="B700" s="19" t="str">
        <f>Table1[[#This Row],[Fiscal_Year]]*100+Table1[[#This Row],[Fiscal_Week]] &amp; "-" &amp;Table1[[#This Row],[BRAND]]</f>
        <v>202144-Athleta</v>
      </c>
      <c r="C700" t="str">
        <f>Table1[[#This Row],[Fiscal_Year]]&amp;"-"&amp;Table1[[#This Row],[BRAND]]</f>
        <v>2021-Athleta</v>
      </c>
      <c r="D700">
        <v>2021</v>
      </c>
      <c r="E700">
        <v>44</v>
      </c>
      <c r="F700" t="s">
        <v>19</v>
      </c>
      <c r="G700" t="s">
        <v>10</v>
      </c>
      <c r="H700">
        <v>6</v>
      </c>
      <c r="I700">
        <v>0</v>
      </c>
      <c r="J700" t="str">
        <f>VLOOKUP(H700,DC_Xref!A:B,2,FALSE)</f>
        <v>WEO</v>
      </c>
      <c r="K700">
        <f t="shared" si="10"/>
        <v>202144</v>
      </c>
      <c r="L700">
        <f>IFERROR(Table1[[#This Row],[Demand]]/SUMIFS(Table1[Demand],Table1[Fiscal_Year],Table1[[#This Row],[Fiscal_Year]],Table1[BRAND],Table1[[#This Row],[BRAND]],Table1[DC_name_Xref],Table1[[#This Row],[DC_name_Xref]]),0)</f>
        <v>0</v>
      </c>
      <c r="M7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00" s="3">
        <f>IFERROR(INDEX(Table3[#All],MATCH(Table1[[#This Row],[Key_Year_Week_Brand]],Table3[[#All],[Key_Year_Week_Brand]],0),MATCH(Table1[[#This Row],[DC_name_Xref]],Table3[#Headers],0)),0)</f>
        <v>0</v>
      </c>
      <c r="O700">
        <f>IFERROR(INDEX(Table35[#All],MATCH(Table1[[#This Row],[Key_Year_Week_Brand]],Table35[[#All],[Key_Year_Month_Brand]],0),MATCH(Table1[[#This Row],[DC_name_Xref]],Table35[#Headers],0)),0)</f>
        <v>0</v>
      </c>
    </row>
    <row r="701" spans="1:15" x14ac:dyDescent="0.3">
      <c r="A701" s="19" t="str">
        <f>Table1[[#This Row],[Year_Week]]&amp;"-"&amp;Table1[[#This Row],[DC_name_Xref]]</f>
        <v>202144-OCC</v>
      </c>
      <c r="B701" s="19" t="str">
        <f>Table1[[#This Row],[Fiscal_Year]]*100+Table1[[#This Row],[Fiscal_Week]] &amp; "-" &amp;Table1[[#This Row],[BRAND]]</f>
        <v>202144-Athleta</v>
      </c>
      <c r="C701" t="str">
        <f>Table1[[#This Row],[Fiscal_Year]]&amp;"-"&amp;Table1[[#This Row],[BRAND]]</f>
        <v>2021-Athleta</v>
      </c>
      <c r="D701">
        <v>2021</v>
      </c>
      <c r="E701">
        <v>44</v>
      </c>
      <c r="F701" t="s">
        <v>19</v>
      </c>
      <c r="G701" t="s">
        <v>11</v>
      </c>
      <c r="H701">
        <v>7</v>
      </c>
      <c r="I701">
        <v>0</v>
      </c>
      <c r="J701" t="str">
        <f>VLOOKUP(H701,DC_Xref!A:B,2,FALSE)</f>
        <v>OCC</v>
      </c>
      <c r="K701">
        <f t="shared" si="10"/>
        <v>202144</v>
      </c>
      <c r="L701">
        <f>IFERROR(Table1[[#This Row],[Demand]]/SUMIFS(Table1[Demand],Table1[Fiscal_Year],Table1[[#This Row],[Fiscal_Year]],Table1[BRAND],Table1[[#This Row],[BRAND]],Table1[DC_name_Xref],Table1[[#This Row],[DC_name_Xref]]),0)</f>
        <v>0</v>
      </c>
      <c r="M7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01" s="3">
        <f>IFERROR(INDEX(Table3[#All],MATCH(Table1[[#This Row],[Key_Year_Week_Brand]],Table3[[#All],[Key_Year_Week_Brand]],0),MATCH(Table1[[#This Row],[DC_name_Xref]],Table3[#Headers],0)),0)</f>
        <v>0</v>
      </c>
      <c r="O701">
        <f>IFERROR(INDEX(Table35[#All],MATCH(Table1[[#This Row],[Key_Year_Week_Brand]],Table35[[#All],[Key_Year_Month_Brand]],0),MATCH(Table1[[#This Row],[DC_name_Xref]],Table35[#Headers],0)),0)</f>
        <v>0</v>
      </c>
    </row>
    <row r="702" spans="1:15" x14ac:dyDescent="0.3">
      <c r="A702" s="19" t="str">
        <f>Table1[[#This Row],[Year_Week]]&amp;"-"&amp;Table1[[#This Row],[DC_name_Xref]]</f>
        <v>202144-OFC</v>
      </c>
      <c r="B702" s="19" t="str">
        <f>Table1[[#This Row],[Fiscal_Year]]*100+Table1[[#This Row],[Fiscal_Week]] &amp; "-" &amp;Table1[[#This Row],[BRAND]]</f>
        <v>202144-Banana Republic</v>
      </c>
      <c r="C702" t="str">
        <f>Table1[[#This Row],[Fiscal_Year]]&amp;"-"&amp;Table1[[#This Row],[BRAND]]</f>
        <v>2021-Banana Republic</v>
      </c>
      <c r="D702">
        <v>2021</v>
      </c>
      <c r="E702">
        <v>44</v>
      </c>
      <c r="F702" t="s">
        <v>18</v>
      </c>
      <c r="G702" t="s">
        <v>5</v>
      </c>
      <c r="H702">
        <v>1</v>
      </c>
      <c r="I702">
        <v>10473</v>
      </c>
      <c r="J702" t="str">
        <f>VLOOKUP(H702,DC_Xref!A:B,2,FALSE)</f>
        <v>OFC</v>
      </c>
      <c r="K702">
        <f t="shared" si="10"/>
        <v>202144</v>
      </c>
      <c r="L702">
        <f>IFERROR(Table1[[#This Row],[Demand]]/SUMIFS(Table1[Demand],Table1[Fiscal_Year],Table1[[#This Row],[Fiscal_Year]],Table1[BRAND],Table1[[#This Row],[BRAND]],Table1[DC_name_Xref],Table1[[#This Row],[DC_name_Xref]]),0)</f>
        <v>0.1907302859224185</v>
      </c>
      <c r="M7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2.1329258335346751E-2</v>
      </c>
      <c r="N702" s="3">
        <f>IFERROR(INDEX(Table3[#All],MATCH(Table1[[#This Row],[Key_Year_Week_Brand]],Table3[[#All],[Key_Year_Week_Brand]],0),MATCH(Table1[[#This Row],[DC_name_Xref]],Table3[#Headers],0)),0)</f>
        <v>0</v>
      </c>
      <c r="O702">
        <f>IFERROR(INDEX(Table35[#All],MATCH(Table1[[#This Row],[Key_Year_Week_Brand]],Table35[[#All],[Key_Year_Month_Brand]],0),MATCH(Table1[[#This Row],[DC_name_Xref]],Table35[#Headers],0)),0)</f>
        <v>0</v>
      </c>
    </row>
    <row r="703" spans="1:15" x14ac:dyDescent="0.3">
      <c r="A703" s="19" t="str">
        <f>Table1[[#This Row],[Year_Week]]&amp;"-"&amp;Table1[[#This Row],[DC_name_Xref]]</f>
        <v>202144-TFC</v>
      </c>
      <c r="B703" s="19" t="str">
        <f>Table1[[#This Row],[Fiscal_Year]]*100+Table1[[#This Row],[Fiscal_Week]] &amp; "-" &amp;Table1[[#This Row],[BRAND]]</f>
        <v>202144-Banana Republic</v>
      </c>
      <c r="C703" t="str">
        <f>Table1[[#This Row],[Fiscal_Year]]&amp;"-"&amp;Table1[[#This Row],[BRAND]]</f>
        <v>2021-Banana Republic</v>
      </c>
      <c r="D703">
        <v>2021</v>
      </c>
      <c r="E703">
        <v>44</v>
      </c>
      <c r="F703" t="s">
        <v>18</v>
      </c>
      <c r="G703" t="s">
        <v>21</v>
      </c>
      <c r="H703">
        <v>2</v>
      </c>
      <c r="I703">
        <v>688663</v>
      </c>
      <c r="J703" t="str">
        <f>VLOOKUP(H703,DC_Xref!A:B,2,FALSE)</f>
        <v>TFC</v>
      </c>
      <c r="K703">
        <f t="shared" si="10"/>
        <v>202144</v>
      </c>
      <c r="L703">
        <f>IFERROR(Table1[[#This Row],[Demand]]/SUMIFS(Table1[Demand],Table1[Fiscal_Year],Table1[[#This Row],[Fiscal_Year]],Table1[BRAND],Table1[[#This Row],[BRAND]],Table1[DC_name_Xref],Table1[[#This Row],[DC_name_Xref]]),0)</f>
        <v>0.2733473050802383</v>
      </c>
      <c r="M7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0.97862490570611071</v>
      </c>
      <c r="N703" s="3">
        <f>IFERROR(INDEX(Table3[#All],MATCH(Table1[[#This Row],[Key_Year_Week_Brand]],Table3[[#All],[Key_Year_Week_Brand]],0),MATCH(Table1[[#This Row],[DC_name_Xref]],Table3[#Headers],0)),0)</f>
        <v>1</v>
      </c>
      <c r="O703">
        <f>IFERROR(INDEX(Table35[#All],MATCH(Table1[[#This Row],[Key_Year_Week_Brand]],Table35[[#All],[Key_Year_Month_Brand]],0),MATCH(Table1[[#This Row],[DC_name_Xref]],Table35[#Headers],0)),0)</f>
        <v>699212</v>
      </c>
    </row>
    <row r="704" spans="1:15" x14ac:dyDescent="0.3">
      <c r="A704" s="19" t="str">
        <f>Table1[[#This Row],[Year_Week]]&amp;"-"&amp;Table1[[#This Row],[DC_name_Xref]]</f>
        <v>202144-WFC</v>
      </c>
      <c r="B704" s="19" t="str">
        <f>Table1[[#This Row],[Fiscal_Year]]*100+Table1[[#This Row],[Fiscal_Week]] &amp; "-" &amp;Table1[[#This Row],[BRAND]]</f>
        <v>202144-Banana Republic</v>
      </c>
      <c r="C704" t="str">
        <f>Table1[[#This Row],[Fiscal_Year]]&amp;"-"&amp;Table1[[#This Row],[BRAND]]</f>
        <v>2021-Banana Republic</v>
      </c>
      <c r="D704">
        <v>2021</v>
      </c>
      <c r="E704">
        <v>44</v>
      </c>
      <c r="F704" t="s">
        <v>18</v>
      </c>
      <c r="G704" t="s">
        <v>7</v>
      </c>
      <c r="H704">
        <v>3</v>
      </c>
      <c r="I704">
        <v>0</v>
      </c>
      <c r="J704" t="str">
        <f>VLOOKUP(H704,DC_Xref!A:B,2,FALSE)</f>
        <v>WFC</v>
      </c>
      <c r="K704">
        <f t="shared" si="10"/>
        <v>202144</v>
      </c>
      <c r="L704">
        <f>IFERROR(Table1[[#This Row],[Demand]]/SUMIFS(Table1[Demand],Table1[Fiscal_Year],Table1[[#This Row],[Fiscal_Year]],Table1[BRAND],Table1[[#This Row],[BRAND]],Table1[DC_name_Xref],Table1[[#This Row],[DC_name_Xref]]),0)</f>
        <v>0</v>
      </c>
      <c r="M7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3.4959629396853166E-6</v>
      </c>
      <c r="N704" s="3">
        <f>IFERROR(INDEX(Table3[#All],MATCH(Table1[[#This Row],[Key_Year_Week_Brand]],Table3[[#All],[Key_Year_Week_Brand]],0),MATCH(Table1[[#This Row],[DC_name_Xref]],Table3[#Headers],0)),0)</f>
        <v>3.4959629396853166E-6</v>
      </c>
      <c r="O704">
        <f>IFERROR(INDEX(Table35[#All],MATCH(Table1[[#This Row],[Key_Year_Week_Brand]],Table35[[#All],[Key_Year_Month_Brand]],0),MATCH(Table1[[#This Row],[DC_name_Xref]],Table35[#Headers],0)),0)</f>
        <v>2.4444192389832495</v>
      </c>
    </row>
    <row r="705" spans="1:15" x14ac:dyDescent="0.3">
      <c r="A705" s="19" t="str">
        <f>Table1[[#This Row],[Year_Week]]&amp;"-"&amp;Table1[[#This Row],[DC_name_Xref]]</f>
        <v>202144-EAO</v>
      </c>
      <c r="B705" s="19" t="str">
        <f>Table1[[#This Row],[Fiscal_Year]]*100+Table1[[#This Row],[Fiscal_Week]] &amp; "-" &amp;Table1[[#This Row],[BRAND]]</f>
        <v>202144-Banana Republic</v>
      </c>
      <c r="C705" t="str">
        <f>Table1[[#This Row],[Fiscal_Year]]&amp;"-"&amp;Table1[[#This Row],[BRAND]]</f>
        <v>2021-Banana Republic</v>
      </c>
      <c r="D705">
        <v>2021</v>
      </c>
      <c r="E705">
        <v>44</v>
      </c>
      <c r="F705" t="s">
        <v>18</v>
      </c>
      <c r="G705" t="s">
        <v>8</v>
      </c>
      <c r="H705">
        <v>4</v>
      </c>
      <c r="I705">
        <v>76</v>
      </c>
      <c r="J705" t="str">
        <f>VLOOKUP(H705,DC_Xref!A:B,2,FALSE)</f>
        <v>EAO</v>
      </c>
      <c r="K705">
        <f t="shared" si="10"/>
        <v>202144</v>
      </c>
      <c r="L705">
        <f>IFERROR(Table1[[#This Row],[Demand]]/SUMIFS(Table1[Demand],Table1[Fiscal_Year],Table1[[#This Row],[Fiscal_Year]],Table1[BRAND],Table1[[#This Row],[BRAND]],Table1[DC_name_Xref],Table1[[#This Row],[DC_name_Xref]]),0)</f>
        <v>0.69724770642201839</v>
      </c>
      <c r="M7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4.2339995602855504E-5</v>
      </c>
      <c r="N705" s="3">
        <f>IFERROR(INDEX(Table3[#All],MATCH(Table1[[#This Row],[Key_Year_Week_Brand]],Table3[[#All],[Key_Year_Week_Brand]],0),MATCH(Table1[[#This Row],[DC_name_Xref]],Table3[#Headers],0)),0)</f>
        <v>4.2339995602855504E-5</v>
      </c>
      <c r="O705">
        <f>IFERROR(INDEX(Table35[#All],MATCH(Table1[[#This Row],[Key_Year_Week_Brand]],Table35[[#All],[Key_Year_Month_Brand]],0),MATCH(Table1[[#This Row],[DC_name_Xref]],Table35[#Headers],0)),0)</f>
        <v>29.604633005463803</v>
      </c>
    </row>
    <row r="706" spans="1:15" x14ac:dyDescent="0.3">
      <c r="A706" s="19" t="str">
        <f>Table1[[#This Row],[Year_Week]]&amp;"-"&amp;Table1[[#This Row],[DC_name_Xref]]</f>
        <v>202144-FFC-ODC</v>
      </c>
      <c r="B706" s="19" t="str">
        <f>Table1[[#This Row],[Fiscal_Year]]*100+Table1[[#This Row],[Fiscal_Week]] &amp; "-" &amp;Table1[[#This Row],[BRAND]]</f>
        <v>202144-Banana Republic</v>
      </c>
      <c r="C706" t="str">
        <f>Table1[[#This Row],[Fiscal_Year]]&amp;"-"&amp;Table1[[#This Row],[BRAND]]</f>
        <v>2021-Banana Republic</v>
      </c>
      <c r="D706">
        <v>2021</v>
      </c>
      <c r="E706">
        <v>44</v>
      </c>
      <c r="F706" t="s">
        <v>18</v>
      </c>
      <c r="G706" t="s">
        <v>23</v>
      </c>
      <c r="H706">
        <v>5</v>
      </c>
      <c r="I706">
        <v>0</v>
      </c>
      <c r="J706" t="str">
        <f>VLOOKUP(H706,DC_Xref!A:B,2,FALSE)</f>
        <v>FFC-ODC</v>
      </c>
      <c r="K706">
        <f t="shared" ref="K706:K769" si="11">D706*100+E706</f>
        <v>202144</v>
      </c>
      <c r="L706">
        <f>IFERROR(Table1[[#This Row],[Demand]]/SUMIFS(Table1[Demand],Table1[Fiscal_Year],Table1[[#This Row],[Fiscal_Year]],Table1[BRAND],Table1[[#This Row],[BRAND]],Table1[DC_name_Xref],Table1[[#This Row],[DC_name_Xref]]),0)</f>
        <v>0</v>
      </c>
      <c r="M7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06" s="3">
        <f>IFERROR(INDEX(Table3[#All],MATCH(Table1[[#This Row],[Key_Year_Week_Brand]],Table3[[#All],[Key_Year_Week_Brand]],0),MATCH(Table1[[#This Row],[DC_name_Xref]],Table3[#Headers],0)),0)</f>
        <v>0</v>
      </c>
      <c r="O706">
        <f>IFERROR(INDEX(Table35[#All],MATCH(Table1[[#This Row],[Key_Year_Week_Brand]],Table35[[#All],[Key_Year_Month_Brand]],0),MATCH(Table1[[#This Row],[DC_name_Xref]],Table35[#Headers],0)),0)</f>
        <v>0</v>
      </c>
    </row>
    <row r="707" spans="1:15" x14ac:dyDescent="0.3">
      <c r="A707" s="19" t="str">
        <f>Table1[[#This Row],[Year_Week]]&amp;"-"&amp;Table1[[#This Row],[DC_name_Xref]]</f>
        <v>202144-WEO</v>
      </c>
      <c r="B707" s="19" t="str">
        <f>Table1[[#This Row],[Fiscal_Year]]*100+Table1[[#This Row],[Fiscal_Week]] &amp; "-" &amp;Table1[[#This Row],[BRAND]]</f>
        <v>202144-Banana Republic</v>
      </c>
      <c r="C707" t="str">
        <f>Table1[[#This Row],[Fiscal_Year]]&amp;"-"&amp;Table1[[#This Row],[BRAND]]</f>
        <v>2021-Banana Republic</v>
      </c>
      <c r="D707">
        <v>2021</v>
      </c>
      <c r="E707">
        <v>44</v>
      </c>
      <c r="F707" t="s">
        <v>18</v>
      </c>
      <c r="G707" t="s">
        <v>10</v>
      </c>
      <c r="H707">
        <v>6</v>
      </c>
      <c r="I707">
        <v>0</v>
      </c>
      <c r="J707" t="str">
        <f>VLOOKUP(H707,DC_Xref!A:B,2,FALSE)</f>
        <v>WEO</v>
      </c>
      <c r="K707">
        <f t="shared" si="11"/>
        <v>202144</v>
      </c>
      <c r="L707">
        <f>IFERROR(Table1[[#This Row],[Demand]]/SUMIFS(Table1[Demand],Table1[Fiscal_Year],Table1[[#This Row],[Fiscal_Year]],Table1[BRAND],Table1[[#This Row],[BRAND]],Table1[DC_name_Xref],Table1[[#This Row],[DC_name_Xref]]),0)</f>
        <v>0</v>
      </c>
      <c r="M7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07" s="3">
        <f>IFERROR(INDEX(Table3[#All],MATCH(Table1[[#This Row],[Key_Year_Week_Brand]],Table3[[#All],[Key_Year_Week_Brand]],0),MATCH(Table1[[#This Row],[DC_name_Xref]],Table3[#Headers],0)),0)</f>
        <v>0</v>
      </c>
      <c r="O707">
        <f>IFERROR(INDEX(Table35[#All],MATCH(Table1[[#This Row],[Key_Year_Week_Brand]],Table35[[#All],[Key_Year_Month_Brand]],0),MATCH(Table1[[#This Row],[DC_name_Xref]],Table35[#Headers],0)),0)</f>
        <v>0</v>
      </c>
    </row>
    <row r="708" spans="1:15" x14ac:dyDescent="0.3">
      <c r="A708" s="19" t="str">
        <f>Table1[[#This Row],[Year_Week]]&amp;"-"&amp;Table1[[#This Row],[DC_name_Xref]]</f>
        <v>202144-OCC</v>
      </c>
      <c r="B708" s="19" t="str">
        <f>Table1[[#This Row],[Fiscal_Year]]*100+Table1[[#This Row],[Fiscal_Week]] &amp; "-" &amp;Table1[[#This Row],[BRAND]]</f>
        <v>202144-Banana Republic</v>
      </c>
      <c r="C708" t="str">
        <f>Table1[[#This Row],[Fiscal_Year]]&amp;"-"&amp;Table1[[#This Row],[BRAND]]</f>
        <v>2021-Banana Republic</v>
      </c>
      <c r="D708">
        <v>2021</v>
      </c>
      <c r="E708">
        <v>44</v>
      </c>
      <c r="F708" t="s">
        <v>18</v>
      </c>
      <c r="G708" t="s">
        <v>11</v>
      </c>
      <c r="H708">
        <v>7</v>
      </c>
      <c r="I708">
        <v>0</v>
      </c>
      <c r="J708" t="str">
        <f>VLOOKUP(H708,DC_Xref!A:B,2,FALSE)</f>
        <v>OCC</v>
      </c>
      <c r="K708">
        <f t="shared" si="11"/>
        <v>202144</v>
      </c>
      <c r="L708">
        <f>IFERROR(Table1[[#This Row],[Demand]]/SUMIFS(Table1[Demand],Table1[Fiscal_Year],Table1[[#This Row],[Fiscal_Year]],Table1[BRAND],Table1[[#This Row],[BRAND]],Table1[DC_name_Xref],Table1[[#This Row],[DC_name_Xref]]),0)</f>
        <v>0</v>
      </c>
      <c r="M7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08" s="3">
        <f>IFERROR(INDEX(Table3[#All],MATCH(Table1[[#This Row],[Key_Year_Week_Brand]],Table3[[#All],[Key_Year_Week_Brand]],0),MATCH(Table1[[#This Row],[DC_name_Xref]],Table3[#Headers],0)),0)</f>
        <v>0</v>
      </c>
      <c r="O708">
        <f>IFERROR(INDEX(Table35[#All],MATCH(Table1[[#This Row],[Key_Year_Week_Brand]],Table35[[#All],[Key_Year_Month_Brand]],0),MATCH(Table1[[#This Row],[DC_name_Xref]],Table35[#Headers],0)),0)</f>
        <v>0</v>
      </c>
    </row>
    <row r="709" spans="1:15" x14ac:dyDescent="0.3">
      <c r="A709" s="19" t="str">
        <f>Table1[[#This Row],[Year_Week]]&amp;"-"&amp;Table1[[#This Row],[DC_name_Xref]]</f>
        <v>202144-OFC</v>
      </c>
      <c r="B709" s="19" t="str">
        <f>Table1[[#This Row],[Fiscal_Year]]*100+Table1[[#This Row],[Fiscal_Week]] &amp; "-" &amp;Table1[[#This Row],[BRAND]]</f>
        <v>202144-Gap</v>
      </c>
      <c r="C709" t="str">
        <f>Table1[[#This Row],[Fiscal_Year]]&amp;"-"&amp;Table1[[#This Row],[BRAND]]</f>
        <v>2021-Gap</v>
      </c>
      <c r="D709">
        <v>2021</v>
      </c>
      <c r="E709">
        <v>44</v>
      </c>
      <c r="F709" t="s">
        <v>16</v>
      </c>
      <c r="G709" t="s">
        <v>5</v>
      </c>
      <c r="H709">
        <v>1</v>
      </c>
      <c r="I709">
        <v>2582423</v>
      </c>
      <c r="J709" t="str">
        <f>VLOOKUP(H709,DC_Xref!A:B,2,FALSE)</f>
        <v>OFC</v>
      </c>
      <c r="K709">
        <f t="shared" si="11"/>
        <v>202144</v>
      </c>
      <c r="L709">
        <f>IFERROR(Table1[[#This Row],[Demand]]/SUMIFS(Table1[Demand],Table1[Fiscal_Year],Table1[[#This Row],[Fiscal_Year]],Table1[BRAND],Table1[[#This Row],[BRAND]],Table1[DC_name_Xref],Table1[[#This Row],[DC_name_Xref]]),0)</f>
        <v>0.2695606672068131</v>
      </c>
      <c r="M7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0.66900256019517312</v>
      </c>
      <c r="N709" s="3">
        <f>IFERROR(INDEX(Table3[#All],MATCH(Table1[[#This Row],[Key_Year_Week_Brand]],Table3[[#All],[Key_Year_Week_Brand]],0),MATCH(Table1[[#This Row],[DC_name_Xref]],Table3[#Headers],0)),0)</f>
        <v>0</v>
      </c>
      <c r="O709">
        <f>IFERROR(INDEX(Table35[#All],MATCH(Table1[[#This Row],[Key_Year_Week_Brand]],Table35[[#All],[Key_Year_Month_Brand]],0),MATCH(Table1[[#This Row],[DC_name_Xref]],Table35[#Headers],0)),0)</f>
        <v>0</v>
      </c>
    </row>
    <row r="710" spans="1:15" x14ac:dyDescent="0.3">
      <c r="A710" s="19" t="str">
        <f>Table1[[#This Row],[Year_Week]]&amp;"-"&amp;Table1[[#This Row],[DC_name_Xref]]</f>
        <v>202144-TFC</v>
      </c>
      <c r="B710" s="19" t="str">
        <f>Table1[[#This Row],[Fiscal_Year]]*100+Table1[[#This Row],[Fiscal_Week]] &amp; "-" &amp;Table1[[#This Row],[BRAND]]</f>
        <v>202144-Gap</v>
      </c>
      <c r="C710" t="str">
        <f>Table1[[#This Row],[Fiscal_Year]]&amp;"-"&amp;Table1[[#This Row],[BRAND]]</f>
        <v>2021-Gap</v>
      </c>
      <c r="D710">
        <v>2021</v>
      </c>
      <c r="E710">
        <v>44</v>
      </c>
      <c r="F710" t="s">
        <v>16</v>
      </c>
      <c r="G710" t="s">
        <v>21</v>
      </c>
      <c r="H710">
        <v>2</v>
      </c>
      <c r="I710">
        <v>141</v>
      </c>
      <c r="J710" t="str">
        <f>VLOOKUP(H710,DC_Xref!A:B,2,FALSE)</f>
        <v>TFC</v>
      </c>
      <c r="K710">
        <f t="shared" si="11"/>
        <v>202144</v>
      </c>
      <c r="L710">
        <f>IFERROR(Table1[[#This Row],[Demand]]/SUMIFS(Table1[Demand],Table1[Fiscal_Year],Table1[[#This Row],[Fiscal_Year]],Table1[BRAND],Table1[[#This Row],[BRAND]],Table1[DC_name_Xref],Table1[[#This Row],[DC_name_Xref]]),0)</f>
        <v>8.1786542923433875E-2</v>
      </c>
      <c r="M7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1.2039104463812225E-4</v>
      </c>
      <c r="N710" s="3">
        <f>IFERROR(INDEX(Table3[#All],MATCH(Table1[[#This Row],[Key_Year_Week_Brand]],Table3[[#All],[Key_Year_Week_Brand]],0),MATCH(Table1[[#This Row],[DC_name_Xref]],Table3[#Headers],0)),0)</f>
        <v>0.2</v>
      </c>
      <c r="O710">
        <f>IFERROR(INDEX(Table35[#All],MATCH(Table1[[#This Row],[Key_Year_Week_Brand]],Table35[[#All],[Key_Year_Month_Brand]],0),MATCH(Table1[[#This Row],[DC_name_Xref]],Table35[#Headers],0)),0)</f>
        <v>799897.8</v>
      </c>
    </row>
    <row r="711" spans="1:15" x14ac:dyDescent="0.3">
      <c r="A711" s="19" t="str">
        <f>Table1[[#This Row],[Year_Week]]&amp;"-"&amp;Table1[[#This Row],[DC_name_Xref]]</f>
        <v>202144-WFC</v>
      </c>
      <c r="B711" s="19" t="str">
        <f>Table1[[#This Row],[Fiscal_Year]]*100+Table1[[#This Row],[Fiscal_Week]] &amp; "-" &amp;Table1[[#This Row],[BRAND]]</f>
        <v>202144-Gap</v>
      </c>
      <c r="C711" t="str">
        <f>Table1[[#This Row],[Fiscal_Year]]&amp;"-"&amp;Table1[[#This Row],[BRAND]]</f>
        <v>2021-Gap</v>
      </c>
      <c r="D711">
        <v>2021</v>
      </c>
      <c r="E711">
        <v>44</v>
      </c>
      <c r="F711" t="s">
        <v>16</v>
      </c>
      <c r="G711" t="s">
        <v>7</v>
      </c>
      <c r="H711">
        <v>3</v>
      </c>
      <c r="I711">
        <v>97781</v>
      </c>
      <c r="J711" t="str">
        <f>VLOOKUP(H711,DC_Xref!A:B,2,FALSE)</f>
        <v>WFC</v>
      </c>
      <c r="K711">
        <f t="shared" si="11"/>
        <v>202144</v>
      </c>
      <c r="L711">
        <f>IFERROR(Table1[[#This Row],[Demand]]/SUMIFS(Table1[Demand],Table1[Fiscal_Year],Table1[[#This Row],[Fiscal_Year]],Table1[BRAND],Table1[[#This Row],[BRAND]],Table1[DC_name_Xref],Table1[[#This Row],[DC_name_Xref]]),0)</f>
        <v>0.28666121376827525</v>
      </c>
      <c r="M7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2.3820038572620311E-2</v>
      </c>
      <c r="N711" s="3">
        <f>IFERROR(INDEX(Table3[#All],MATCH(Table1[[#This Row],[Key_Year_Week_Brand]],Table3[[#All],[Key_Year_Week_Brand]],0),MATCH(Table1[[#This Row],[DC_name_Xref]],Table3[#Headers],0)),0)</f>
        <v>0.15</v>
      </c>
      <c r="O711">
        <f>IFERROR(INDEX(Table35[#All],MATCH(Table1[[#This Row],[Key_Year_Week_Brand]],Table35[[#All],[Key_Year_Month_Brand]],0),MATCH(Table1[[#This Row],[DC_name_Xref]],Table35[#Headers],0)),0)</f>
        <v>599923.35</v>
      </c>
    </row>
    <row r="712" spans="1:15" x14ac:dyDescent="0.3">
      <c r="A712" s="19" t="str">
        <f>Table1[[#This Row],[Year_Week]]&amp;"-"&amp;Table1[[#This Row],[DC_name_Xref]]</f>
        <v>202144-EAO</v>
      </c>
      <c r="B712" s="19" t="str">
        <f>Table1[[#This Row],[Fiscal_Year]]*100+Table1[[#This Row],[Fiscal_Week]] &amp; "-" &amp;Table1[[#This Row],[BRAND]]</f>
        <v>202144-Gap</v>
      </c>
      <c r="C712" t="str">
        <f>Table1[[#This Row],[Fiscal_Year]]&amp;"-"&amp;Table1[[#This Row],[BRAND]]</f>
        <v>2021-Gap</v>
      </c>
      <c r="D712">
        <v>2021</v>
      </c>
      <c r="E712">
        <v>44</v>
      </c>
      <c r="F712" t="s">
        <v>16</v>
      </c>
      <c r="G712" t="s">
        <v>8</v>
      </c>
      <c r="H712">
        <v>4</v>
      </c>
      <c r="I712">
        <v>461</v>
      </c>
      <c r="J712" t="str">
        <f>VLOOKUP(H712,DC_Xref!A:B,2,FALSE)</f>
        <v>EAO</v>
      </c>
      <c r="K712">
        <f t="shared" si="11"/>
        <v>202144</v>
      </c>
      <c r="L712">
        <f>IFERROR(Table1[[#This Row],[Demand]]/SUMIFS(Table1[Demand],Table1[Fiscal_Year],Table1[[#This Row],[Fiscal_Year]],Table1[BRAND],Table1[[#This Row],[BRAND]],Table1[DC_name_Xref],Table1[[#This Row],[DC_name_Xref]]),0)</f>
        <v>0.26817917393833623</v>
      </c>
      <c r="M7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1.200418826757147E-4</v>
      </c>
      <c r="N712" s="3">
        <f>IFERROR(INDEX(Table3[#All],MATCH(Table1[[#This Row],[Key_Year_Week_Brand]],Table3[[#All],[Key_Year_Week_Brand]],0),MATCH(Table1[[#This Row],[DC_name_Xref]],Table3[#Headers],0)),0)</f>
        <v>0</v>
      </c>
      <c r="O712">
        <f>IFERROR(INDEX(Table35[#All],MATCH(Table1[[#This Row],[Key_Year_Week_Brand]],Table35[[#All],[Key_Year_Month_Brand]],0),MATCH(Table1[[#This Row],[DC_name_Xref]],Table35[#Headers],0)),0)</f>
        <v>0</v>
      </c>
    </row>
    <row r="713" spans="1:15" x14ac:dyDescent="0.3">
      <c r="A713" s="19" t="str">
        <f>Table1[[#This Row],[Year_Week]]&amp;"-"&amp;Table1[[#This Row],[DC_name_Xref]]</f>
        <v>202144-FFC-ODC</v>
      </c>
      <c r="B713" s="19" t="str">
        <f>Table1[[#This Row],[Fiscal_Year]]*100+Table1[[#This Row],[Fiscal_Week]] &amp; "-" &amp;Table1[[#This Row],[BRAND]]</f>
        <v>202144-Gap</v>
      </c>
      <c r="C713" t="str">
        <f>Table1[[#This Row],[Fiscal_Year]]&amp;"-"&amp;Table1[[#This Row],[BRAND]]</f>
        <v>2021-Gap</v>
      </c>
      <c r="D713">
        <v>2021</v>
      </c>
      <c r="E713">
        <v>44</v>
      </c>
      <c r="F713" t="s">
        <v>16</v>
      </c>
      <c r="G713" t="s">
        <v>23</v>
      </c>
      <c r="H713">
        <v>5</v>
      </c>
      <c r="I713">
        <v>0</v>
      </c>
      <c r="J713" t="str">
        <f>VLOOKUP(H713,DC_Xref!A:B,2,FALSE)</f>
        <v>FFC-ODC</v>
      </c>
      <c r="K713">
        <f t="shared" si="11"/>
        <v>202144</v>
      </c>
      <c r="L713">
        <f>IFERROR(Table1[[#This Row],[Demand]]/SUMIFS(Table1[Demand],Table1[Fiscal_Year],Table1[[#This Row],[Fiscal_Year]],Table1[BRAND],Table1[[#This Row],[BRAND]],Table1[DC_name_Xref],Table1[[#This Row],[DC_name_Xref]]),0)</f>
        <v>0</v>
      </c>
      <c r="M7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13" s="3">
        <f>IFERROR(INDEX(Table3[#All],MATCH(Table1[[#This Row],[Key_Year_Week_Brand]],Table3[[#All],[Key_Year_Week_Brand]],0),MATCH(Table1[[#This Row],[DC_name_Xref]],Table3[#Headers],0)),0)</f>
        <v>0</v>
      </c>
      <c r="O713">
        <f>IFERROR(INDEX(Table35[#All],MATCH(Table1[[#This Row],[Key_Year_Week_Brand]],Table35[[#All],[Key_Year_Month_Brand]],0),MATCH(Table1[[#This Row],[DC_name_Xref]],Table35[#Headers],0)),0)</f>
        <v>0</v>
      </c>
    </row>
    <row r="714" spans="1:15" x14ac:dyDescent="0.3">
      <c r="A714" s="19" t="str">
        <f>Table1[[#This Row],[Year_Week]]&amp;"-"&amp;Table1[[#This Row],[DC_name_Xref]]</f>
        <v>202144-WEO</v>
      </c>
      <c r="B714" s="19" t="str">
        <f>Table1[[#This Row],[Fiscal_Year]]*100+Table1[[#This Row],[Fiscal_Week]] &amp; "-" &amp;Table1[[#This Row],[BRAND]]</f>
        <v>202144-Gap</v>
      </c>
      <c r="C714" t="str">
        <f>Table1[[#This Row],[Fiscal_Year]]&amp;"-"&amp;Table1[[#This Row],[BRAND]]</f>
        <v>2021-Gap</v>
      </c>
      <c r="D714">
        <v>2021</v>
      </c>
      <c r="E714">
        <v>44</v>
      </c>
      <c r="F714" t="s">
        <v>16</v>
      </c>
      <c r="G714" t="s">
        <v>10</v>
      </c>
      <c r="H714">
        <v>6</v>
      </c>
      <c r="I714">
        <v>1318683</v>
      </c>
      <c r="J714" t="str">
        <f>VLOOKUP(H714,DC_Xref!A:B,2,FALSE)</f>
        <v>WEO</v>
      </c>
      <c r="K714">
        <f t="shared" si="11"/>
        <v>202144</v>
      </c>
      <c r="L714">
        <f>IFERROR(Table1[[#This Row],[Demand]]/SUMIFS(Table1[Demand],Table1[Fiscal_Year],Table1[[#This Row],[Fiscal_Year]],Table1[BRAND],Table1[[#This Row],[BRAND]],Table1[DC_name_Xref],Table1[[#This Row],[DC_name_Xref]]),0)</f>
        <v>0.30001856512513941</v>
      </c>
      <c r="M7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0.3069369683048927</v>
      </c>
      <c r="N714" s="3">
        <f>IFERROR(INDEX(Table3[#All],MATCH(Table1[[#This Row],[Key_Year_Week_Brand]],Table3[[#All],[Key_Year_Week_Brand]],0),MATCH(Table1[[#This Row],[DC_name_Xref]],Table3[#Headers],0)),0)</f>
        <v>0.4</v>
      </c>
      <c r="O714">
        <f>IFERROR(INDEX(Table35[#All],MATCH(Table1[[#This Row],[Key_Year_Week_Brand]],Table35[[#All],[Key_Year_Month_Brand]],0),MATCH(Table1[[#This Row],[DC_name_Xref]],Table35[#Headers],0)),0)</f>
        <v>1599795.6</v>
      </c>
    </row>
    <row r="715" spans="1:15" x14ac:dyDescent="0.3">
      <c r="A715" s="19" t="str">
        <f>Table1[[#This Row],[Year_Week]]&amp;"-"&amp;Table1[[#This Row],[DC_name_Xref]]</f>
        <v>202144-OCC</v>
      </c>
      <c r="B715" s="19" t="str">
        <f>Table1[[#This Row],[Fiscal_Year]]*100+Table1[[#This Row],[Fiscal_Week]] &amp; "-" &amp;Table1[[#This Row],[BRAND]]</f>
        <v>202144-Gap</v>
      </c>
      <c r="C715" t="str">
        <f>Table1[[#This Row],[Fiscal_Year]]&amp;"-"&amp;Table1[[#This Row],[BRAND]]</f>
        <v>2021-Gap</v>
      </c>
      <c r="D715">
        <v>2021</v>
      </c>
      <c r="E715">
        <v>44</v>
      </c>
      <c r="F715" t="s">
        <v>16</v>
      </c>
      <c r="G715" t="s">
        <v>11</v>
      </c>
      <c r="H715">
        <v>7</v>
      </c>
      <c r="I715">
        <v>0</v>
      </c>
      <c r="J715" t="str">
        <f>VLOOKUP(H715,DC_Xref!A:B,2,FALSE)</f>
        <v>OCC</v>
      </c>
      <c r="K715">
        <f t="shared" si="11"/>
        <v>202144</v>
      </c>
      <c r="L715">
        <f>IFERROR(Table1[[#This Row],[Demand]]/SUMIFS(Table1[Demand],Table1[Fiscal_Year],Table1[[#This Row],[Fiscal_Year]],Table1[BRAND],Table1[[#This Row],[BRAND]],Table1[DC_name_Xref],Table1[[#This Row],[DC_name_Xref]]),0)</f>
        <v>0</v>
      </c>
      <c r="M7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15" s="3">
        <f>IFERROR(INDEX(Table3[#All],MATCH(Table1[[#This Row],[Key_Year_Week_Brand]],Table3[[#All],[Key_Year_Week_Brand]],0),MATCH(Table1[[#This Row],[DC_name_Xref]],Table3[#Headers],0)),0)</f>
        <v>0.25</v>
      </c>
      <c r="O715">
        <f>IFERROR(INDEX(Table35[#All],MATCH(Table1[[#This Row],[Key_Year_Week_Brand]],Table35[[#All],[Key_Year_Month_Brand]],0),MATCH(Table1[[#This Row],[DC_name_Xref]],Table35[#Headers],0)),0)</f>
        <v>999872.25</v>
      </c>
    </row>
    <row r="716" spans="1:15" x14ac:dyDescent="0.3">
      <c r="A716" s="19" t="str">
        <f>Table1[[#This Row],[Year_Week]]&amp;"-"&amp;Table1[[#This Row],[DC_name_Xref]]</f>
        <v>202145-OFC</v>
      </c>
      <c r="B716" s="19" t="str">
        <f>Table1[[#This Row],[Fiscal_Year]]*100+Table1[[#This Row],[Fiscal_Week]] &amp; "-" &amp;Table1[[#This Row],[BRAND]]</f>
        <v>202145-Old Navy</v>
      </c>
      <c r="C716" t="str">
        <f>Table1[[#This Row],[Fiscal_Year]]&amp;"-"&amp;Table1[[#This Row],[BRAND]]</f>
        <v>2021-Old Navy</v>
      </c>
      <c r="D716">
        <v>2021</v>
      </c>
      <c r="E716">
        <v>45</v>
      </c>
      <c r="F716" t="s">
        <v>20</v>
      </c>
      <c r="G716" t="s">
        <v>5</v>
      </c>
      <c r="H716">
        <v>1</v>
      </c>
      <c r="I716">
        <v>1343488</v>
      </c>
      <c r="J716" t="str">
        <f>VLOOKUP(H716,DC_Xref!A:B,2,FALSE)</f>
        <v>OFC</v>
      </c>
      <c r="K716">
        <f t="shared" si="11"/>
        <v>202145</v>
      </c>
      <c r="L716">
        <f>IFERROR(Table1[[#This Row],[Demand]]/SUMIFS(Table1[Demand],Table1[Fiscal_Year],Table1[[#This Row],[Fiscal_Year]],Table1[BRAND],Table1[[#This Row],[BRAND]],Table1[DC_name_Xref],Table1[[#This Row],[DC_name_Xref]]),0)</f>
        <v>0.15056067683091992</v>
      </c>
      <c r="M7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0.29585491332950564</v>
      </c>
      <c r="N716" s="3">
        <f>IFERROR(INDEX(Table3[#All],MATCH(Table1[[#This Row],[Key_Year_Week_Brand]],Table3[[#All],[Key_Year_Week_Brand]],0),MATCH(Table1[[#This Row],[DC_name_Xref]],Table3[#Headers],0)),0)</f>
        <v>0.15</v>
      </c>
      <c r="O716">
        <f>IFERROR(INDEX(Table35[#All],MATCH(Table1[[#This Row],[Key_Year_Week_Brand]],Table35[[#All],[Key_Year_Month_Brand]],0),MATCH(Table1[[#This Row],[DC_name_Xref]],Table35[#Headers],0)),0)</f>
        <v>690577.35</v>
      </c>
    </row>
    <row r="717" spans="1:15" x14ac:dyDescent="0.3">
      <c r="A717" s="19" t="str">
        <f>Table1[[#This Row],[Year_Week]]&amp;"-"&amp;Table1[[#This Row],[DC_name_Xref]]</f>
        <v>202145-TFC</v>
      </c>
      <c r="B717" s="19" t="str">
        <f>Table1[[#This Row],[Fiscal_Year]]*100+Table1[[#This Row],[Fiscal_Week]] &amp; "-" &amp;Table1[[#This Row],[BRAND]]</f>
        <v>202145-Old Navy</v>
      </c>
      <c r="C717" t="str">
        <f>Table1[[#This Row],[Fiscal_Year]]&amp;"-"&amp;Table1[[#This Row],[BRAND]]</f>
        <v>2021-Old Navy</v>
      </c>
      <c r="D717">
        <v>2021</v>
      </c>
      <c r="E717">
        <v>45</v>
      </c>
      <c r="F717" t="s">
        <v>20</v>
      </c>
      <c r="G717" t="s">
        <v>21</v>
      </c>
      <c r="H717">
        <v>2</v>
      </c>
      <c r="I717">
        <v>1072956</v>
      </c>
      <c r="J717" t="str">
        <f>VLOOKUP(H717,DC_Xref!A:B,2,FALSE)</f>
        <v>TFC</v>
      </c>
      <c r="K717">
        <f t="shared" si="11"/>
        <v>202145</v>
      </c>
      <c r="L717">
        <f>IFERROR(Table1[[#This Row],[Demand]]/SUMIFS(Table1[Demand],Table1[Fiscal_Year],Table1[[#This Row],[Fiscal_Year]],Table1[BRAND],Table1[[#This Row],[BRAND]],Table1[DC_name_Xref],Table1[[#This Row],[DC_name_Xref]]),0)</f>
        <v>0.20917600962755981</v>
      </c>
      <c r="M7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0.17006956138921989</v>
      </c>
      <c r="N717" s="3">
        <f>IFERROR(INDEX(Table3[#All],MATCH(Table1[[#This Row],[Key_Year_Week_Brand]],Table3[[#All],[Key_Year_Week_Brand]],0),MATCH(Table1[[#This Row],[DC_name_Xref]],Table3[#Headers],0)),0)</f>
        <v>0.17760000000000001</v>
      </c>
      <c r="O717">
        <f>IFERROR(INDEX(Table35[#All],MATCH(Table1[[#This Row],[Key_Year_Week_Brand]],Table35[[#All],[Key_Year_Month_Brand]],0),MATCH(Table1[[#This Row],[DC_name_Xref]],Table35[#Headers],0)),0)</f>
        <v>817643.58240000007</v>
      </c>
    </row>
    <row r="718" spans="1:15" x14ac:dyDescent="0.3">
      <c r="A718" s="19" t="str">
        <f>Table1[[#This Row],[Year_Week]]&amp;"-"&amp;Table1[[#This Row],[DC_name_Xref]]</f>
        <v>202145-WFC</v>
      </c>
      <c r="B718" s="19" t="str">
        <f>Table1[[#This Row],[Fiscal_Year]]*100+Table1[[#This Row],[Fiscal_Week]] &amp; "-" &amp;Table1[[#This Row],[BRAND]]</f>
        <v>202145-Old Navy</v>
      </c>
      <c r="C718" t="str">
        <f>Table1[[#This Row],[Fiscal_Year]]&amp;"-"&amp;Table1[[#This Row],[BRAND]]</f>
        <v>2021-Old Navy</v>
      </c>
      <c r="D718">
        <v>2021</v>
      </c>
      <c r="E718">
        <v>45</v>
      </c>
      <c r="F718" t="s">
        <v>20</v>
      </c>
      <c r="G718" t="s">
        <v>7</v>
      </c>
      <c r="H718">
        <v>3</v>
      </c>
      <c r="I718">
        <v>1018767</v>
      </c>
      <c r="J718" t="str">
        <f>VLOOKUP(H718,DC_Xref!A:B,2,FALSE)</f>
        <v>WFC</v>
      </c>
      <c r="K718">
        <f t="shared" si="11"/>
        <v>202145</v>
      </c>
      <c r="L718">
        <f>IFERROR(Table1[[#This Row],[Demand]]/SUMIFS(Table1[Demand],Table1[Fiscal_Year],Table1[[#This Row],[Fiscal_Year]],Table1[BRAND],Table1[[#This Row],[BRAND]],Table1[DC_name_Xref],Table1[[#This Row],[DC_name_Xref]]),0)</f>
        <v>0.16748185472270399</v>
      </c>
      <c r="M7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0.20168038417761627</v>
      </c>
      <c r="N718" s="3">
        <f>IFERROR(INDEX(Table3[#All],MATCH(Table1[[#This Row],[Key_Year_Week_Brand]],Table3[[#All],[Key_Year_Week_Brand]],0),MATCH(Table1[[#This Row],[DC_name_Xref]],Table3[#Headers],0)),0)</f>
        <v>0</v>
      </c>
      <c r="O718">
        <f>IFERROR(INDEX(Table35[#All],MATCH(Table1[[#This Row],[Key_Year_Week_Brand]],Table35[[#All],[Key_Year_Month_Brand]],0),MATCH(Table1[[#This Row],[DC_name_Xref]],Table35[#Headers],0)),0)</f>
        <v>0</v>
      </c>
    </row>
    <row r="719" spans="1:15" x14ac:dyDescent="0.3">
      <c r="A719" s="19" t="str">
        <f>Table1[[#This Row],[Year_Week]]&amp;"-"&amp;Table1[[#This Row],[DC_name_Xref]]</f>
        <v>202145-EAO</v>
      </c>
      <c r="B719" s="19" t="str">
        <f>Table1[[#This Row],[Fiscal_Year]]*100+Table1[[#This Row],[Fiscal_Week]] &amp; "-" &amp;Table1[[#This Row],[BRAND]]</f>
        <v>202145-Old Navy</v>
      </c>
      <c r="C719" t="str">
        <f>Table1[[#This Row],[Fiscal_Year]]&amp;"-"&amp;Table1[[#This Row],[BRAND]]</f>
        <v>2021-Old Navy</v>
      </c>
      <c r="D719">
        <v>2021</v>
      </c>
      <c r="E719">
        <v>45</v>
      </c>
      <c r="F719" t="s">
        <v>20</v>
      </c>
      <c r="G719" t="s">
        <v>8</v>
      </c>
      <c r="H719">
        <v>4</v>
      </c>
      <c r="I719">
        <v>1168638</v>
      </c>
      <c r="J719" t="str">
        <f>VLOOKUP(H719,DC_Xref!A:B,2,FALSE)</f>
        <v>EAO</v>
      </c>
      <c r="K719">
        <f t="shared" si="11"/>
        <v>202145</v>
      </c>
      <c r="L719">
        <f>IFERROR(Table1[[#This Row],[Demand]]/SUMIFS(Table1[Demand],Table1[Fiscal_Year],Table1[[#This Row],[Fiscal_Year]],Table1[BRAND],Table1[[#This Row],[BRAND]],Table1[DC_name_Xref],Table1[[#This Row],[DC_name_Xref]]),0)</f>
        <v>0.11656868306508412</v>
      </c>
      <c r="M7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0.3323951411036582</v>
      </c>
      <c r="N719" s="3">
        <f>IFERROR(INDEX(Table3[#All],MATCH(Table1[[#This Row],[Key_Year_Week_Brand]],Table3[[#All],[Key_Year_Week_Brand]],0),MATCH(Table1[[#This Row],[DC_name_Xref]],Table3[#Headers],0)),0)</f>
        <v>0.27239514110365798</v>
      </c>
      <c r="O719">
        <f>IFERROR(INDEX(Table35[#All],MATCH(Table1[[#This Row],[Key_Year_Week_Brand]],Table35[[#All],[Key_Year_Month_Brand]],0),MATCH(Table1[[#This Row],[DC_name_Xref]],Table35[#Headers],0)),0)</f>
        <v>1254066.0979749346</v>
      </c>
    </row>
    <row r="720" spans="1:15" x14ac:dyDescent="0.3">
      <c r="A720" s="19" t="str">
        <f>Table1[[#This Row],[Year_Week]]&amp;"-"&amp;Table1[[#This Row],[DC_name_Xref]]</f>
        <v>202145-FFC-ODC</v>
      </c>
      <c r="B720" s="19" t="str">
        <f>Table1[[#This Row],[Fiscal_Year]]*100+Table1[[#This Row],[Fiscal_Week]] &amp; "-" &amp;Table1[[#This Row],[BRAND]]</f>
        <v>202145-Old Navy</v>
      </c>
      <c r="C720" t="str">
        <f>Table1[[#This Row],[Fiscal_Year]]&amp;"-"&amp;Table1[[#This Row],[BRAND]]</f>
        <v>2021-Old Navy</v>
      </c>
      <c r="D720">
        <v>2021</v>
      </c>
      <c r="E720">
        <v>45</v>
      </c>
      <c r="F720" t="s">
        <v>20</v>
      </c>
      <c r="G720" t="s">
        <v>23</v>
      </c>
      <c r="H720">
        <v>5</v>
      </c>
      <c r="I720">
        <v>0</v>
      </c>
      <c r="J720" t="str">
        <f>VLOOKUP(H720,DC_Xref!A:B,2,FALSE)</f>
        <v>FFC-ODC</v>
      </c>
      <c r="K720">
        <f t="shared" si="11"/>
        <v>202145</v>
      </c>
      <c r="L720">
        <f>IFERROR(Table1[[#This Row],[Demand]]/SUMIFS(Table1[Demand],Table1[Fiscal_Year],Table1[[#This Row],[Fiscal_Year]],Table1[BRAND],Table1[[#This Row],[BRAND]],Table1[DC_name_Xref],Table1[[#This Row],[DC_name_Xref]]),0)</f>
        <v>0</v>
      </c>
      <c r="M7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20" s="3">
        <f>IFERROR(INDEX(Table3[#All],MATCH(Table1[[#This Row],[Key_Year_Week_Brand]],Table3[[#All],[Key_Year_Week_Brand]],0),MATCH(Table1[[#This Row],[DC_name_Xref]],Table3[#Headers],0)),0)</f>
        <v>0</v>
      </c>
      <c r="O720">
        <f>IFERROR(INDEX(Table35[#All],MATCH(Table1[[#This Row],[Key_Year_Week_Brand]],Table35[[#All],[Key_Year_Month_Brand]],0),MATCH(Table1[[#This Row],[DC_name_Xref]],Table35[#Headers],0)),0)</f>
        <v>0</v>
      </c>
    </row>
    <row r="721" spans="1:15" x14ac:dyDescent="0.3">
      <c r="A721" s="19" t="str">
        <f>Table1[[#This Row],[Year_Week]]&amp;"-"&amp;Table1[[#This Row],[DC_name_Xref]]</f>
        <v>202145-WEO</v>
      </c>
      <c r="B721" s="19" t="str">
        <f>Table1[[#This Row],[Fiscal_Year]]*100+Table1[[#This Row],[Fiscal_Week]] &amp; "-" &amp;Table1[[#This Row],[BRAND]]</f>
        <v>202145-Old Navy</v>
      </c>
      <c r="C721" t="str">
        <f>Table1[[#This Row],[Fiscal_Year]]&amp;"-"&amp;Table1[[#This Row],[BRAND]]</f>
        <v>2021-Old Navy</v>
      </c>
      <c r="D721">
        <v>2021</v>
      </c>
      <c r="E721">
        <v>45</v>
      </c>
      <c r="F721" t="s">
        <v>20</v>
      </c>
      <c r="G721" t="s">
        <v>10</v>
      </c>
      <c r="H721">
        <v>6</v>
      </c>
      <c r="I721">
        <v>0</v>
      </c>
      <c r="J721" t="str">
        <f>VLOOKUP(H721,DC_Xref!A:B,2,FALSE)</f>
        <v>WEO</v>
      </c>
      <c r="K721">
        <f t="shared" si="11"/>
        <v>202145</v>
      </c>
      <c r="L721">
        <f>IFERROR(Table1[[#This Row],[Demand]]/SUMIFS(Table1[Demand],Table1[Fiscal_Year],Table1[[#This Row],[Fiscal_Year]],Table1[BRAND],Table1[[#This Row],[BRAND]],Table1[DC_name_Xref],Table1[[#This Row],[DC_name_Xref]]),0)</f>
        <v>0</v>
      </c>
      <c r="M7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21" s="3">
        <f>IFERROR(INDEX(Table3[#All],MATCH(Table1[[#This Row],[Key_Year_Week_Brand]],Table3[[#All],[Key_Year_Week_Brand]],0),MATCH(Table1[[#This Row],[DC_name_Xref]],Table3[#Headers],0)),0)</f>
        <v>0.24</v>
      </c>
      <c r="O721">
        <f>IFERROR(INDEX(Table35[#All],MATCH(Table1[[#This Row],[Key_Year_Week_Brand]],Table35[[#All],[Key_Year_Month_Brand]],0),MATCH(Table1[[#This Row],[DC_name_Xref]],Table35[#Headers],0)),0)</f>
        <v>1104923.76</v>
      </c>
    </row>
    <row r="722" spans="1:15" x14ac:dyDescent="0.3">
      <c r="A722" s="19" t="str">
        <f>Table1[[#This Row],[Year_Week]]&amp;"-"&amp;Table1[[#This Row],[DC_name_Xref]]</f>
        <v>202145-OCC</v>
      </c>
      <c r="B722" s="19" t="str">
        <f>Table1[[#This Row],[Fiscal_Year]]*100+Table1[[#This Row],[Fiscal_Week]] &amp; "-" &amp;Table1[[#This Row],[BRAND]]</f>
        <v>202145-Old Navy</v>
      </c>
      <c r="C722" t="str">
        <f>Table1[[#This Row],[Fiscal_Year]]&amp;"-"&amp;Table1[[#This Row],[BRAND]]</f>
        <v>2021-Old Navy</v>
      </c>
      <c r="D722">
        <v>2021</v>
      </c>
      <c r="E722">
        <v>45</v>
      </c>
      <c r="F722" t="s">
        <v>20</v>
      </c>
      <c r="G722" t="s">
        <v>11</v>
      </c>
      <c r="H722">
        <v>7</v>
      </c>
      <c r="I722">
        <v>0</v>
      </c>
      <c r="J722" t="str">
        <f>VLOOKUP(H722,DC_Xref!A:B,2,FALSE)</f>
        <v>OCC</v>
      </c>
      <c r="K722">
        <f t="shared" si="11"/>
        <v>202145</v>
      </c>
      <c r="L722">
        <f>IFERROR(Table1[[#This Row],[Demand]]/SUMIFS(Table1[Demand],Table1[Fiscal_Year],Table1[[#This Row],[Fiscal_Year]],Table1[BRAND],Table1[[#This Row],[BRAND]],Table1[DC_name_Xref],Table1[[#This Row],[DC_name_Xref]]),0)</f>
        <v>0</v>
      </c>
      <c r="M7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22" s="3">
        <f>IFERROR(INDEX(Table3[#All],MATCH(Table1[[#This Row],[Key_Year_Week_Brand]],Table3[[#All],[Key_Year_Week_Brand]],0),MATCH(Table1[[#This Row],[DC_name_Xref]],Table3[#Headers],0)),0)</f>
        <v>0.16</v>
      </c>
      <c r="O722">
        <f>IFERROR(INDEX(Table35[#All],MATCH(Table1[[#This Row],[Key_Year_Week_Brand]],Table35[[#All],[Key_Year_Month_Brand]],0),MATCH(Table1[[#This Row],[DC_name_Xref]],Table35[#Headers],0)),0)</f>
        <v>736615.84</v>
      </c>
    </row>
    <row r="723" spans="1:15" x14ac:dyDescent="0.3">
      <c r="A723" s="19" t="str">
        <f>Table1[[#This Row],[Year_Week]]&amp;"-"&amp;Table1[[#This Row],[DC_name_Xref]]</f>
        <v>202145-OFC</v>
      </c>
      <c r="B723" s="19" t="str">
        <f>Table1[[#This Row],[Fiscal_Year]]*100+Table1[[#This Row],[Fiscal_Week]] &amp; "-" &amp;Table1[[#This Row],[BRAND]]</f>
        <v>202145-Gap</v>
      </c>
      <c r="C723" t="str">
        <f>Table1[[#This Row],[Fiscal_Year]]&amp;"-"&amp;Table1[[#This Row],[BRAND]]</f>
        <v>2021-Gap</v>
      </c>
      <c r="D723">
        <v>2021</v>
      </c>
      <c r="E723">
        <v>45</v>
      </c>
      <c r="F723" t="s">
        <v>16</v>
      </c>
      <c r="G723" t="s">
        <v>5</v>
      </c>
      <c r="H723">
        <v>1</v>
      </c>
      <c r="I723">
        <v>1126816</v>
      </c>
      <c r="J723" t="str">
        <f>VLOOKUP(H723,DC_Xref!A:B,2,FALSE)</f>
        <v>OFC</v>
      </c>
      <c r="K723">
        <f t="shared" si="11"/>
        <v>202145</v>
      </c>
      <c r="L723">
        <f>IFERROR(Table1[[#This Row],[Demand]]/SUMIFS(Table1[Demand],Table1[Fiscal_Year],Table1[[#This Row],[Fiscal_Year]],Table1[BRAND],Table1[[#This Row],[BRAND]],Table1[DC_name_Xref],Table1[[#This Row],[DC_name_Xref]]),0)</f>
        <v>0.11762026313245828</v>
      </c>
      <c r="M7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0.66900256019517312</v>
      </c>
      <c r="N723" s="3">
        <f>IFERROR(INDEX(Table3[#All],MATCH(Table1[[#This Row],[Key_Year_Week_Brand]],Table3[[#All],[Key_Year_Week_Brand]],0),MATCH(Table1[[#This Row],[DC_name_Xref]],Table3[#Headers],0)),0)</f>
        <v>0</v>
      </c>
      <c r="O723">
        <f>IFERROR(INDEX(Table35[#All],MATCH(Table1[[#This Row],[Key_Year_Week_Brand]],Table35[[#All],[Key_Year_Month_Brand]],0),MATCH(Table1[[#This Row],[DC_name_Xref]],Table35[#Headers],0)),0)</f>
        <v>0</v>
      </c>
    </row>
    <row r="724" spans="1:15" x14ac:dyDescent="0.3">
      <c r="A724" s="19" t="str">
        <f>Table1[[#This Row],[Year_Week]]&amp;"-"&amp;Table1[[#This Row],[DC_name_Xref]]</f>
        <v>202145-TFC</v>
      </c>
      <c r="B724" s="19" t="str">
        <f>Table1[[#This Row],[Fiscal_Year]]*100+Table1[[#This Row],[Fiscal_Week]] &amp; "-" &amp;Table1[[#This Row],[BRAND]]</f>
        <v>202145-Gap</v>
      </c>
      <c r="C724" t="str">
        <f>Table1[[#This Row],[Fiscal_Year]]&amp;"-"&amp;Table1[[#This Row],[BRAND]]</f>
        <v>2021-Gap</v>
      </c>
      <c r="D724">
        <v>2021</v>
      </c>
      <c r="E724">
        <v>45</v>
      </c>
      <c r="F724" t="s">
        <v>16</v>
      </c>
      <c r="G724" t="s">
        <v>21</v>
      </c>
      <c r="H724">
        <v>2</v>
      </c>
      <c r="I724">
        <v>355</v>
      </c>
      <c r="J724" t="str">
        <f>VLOOKUP(H724,DC_Xref!A:B,2,FALSE)</f>
        <v>TFC</v>
      </c>
      <c r="K724">
        <f t="shared" si="11"/>
        <v>202145</v>
      </c>
      <c r="L724">
        <f>IFERROR(Table1[[#This Row],[Demand]]/SUMIFS(Table1[Demand],Table1[Fiscal_Year],Table1[[#This Row],[Fiscal_Year]],Table1[BRAND],Table1[[#This Row],[BRAND]],Table1[DC_name_Xref],Table1[[#This Row],[DC_name_Xref]]),0)</f>
        <v>0.20591647331786542</v>
      </c>
      <c r="M7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1.2039104463812225E-4</v>
      </c>
      <c r="N724" s="3">
        <f>IFERROR(INDEX(Table3[#All],MATCH(Table1[[#This Row],[Key_Year_Week_Brand]],Table3[[#All],[Key_Year_Week_Brand]],0),MATCH(Table1[[#This Row],[DC_name_Xref]],Table3[#Headers],0)),0)</f>
        <v>0.2</v>
      </c>
      <c r="O724">
        <f>IFERROR(INDEX(Table35[#All],MATCH(Table1[[#This Row],[Key_Year_Week_Brand]],Table35[[#All],[Key_Year_Month_Brand]],0),MATCH(Table1[[#This Row],[DC_name_Xref]],Table35[#Headers],0)),0)</f>
        <v>319852.2</v>
      </c>
    </row>
    <row r="725" spans="1:15" x14ac:dyDescent="0.3">
      <c r="A725" s="19" t="str">
        <f>Table1[[#This Row],[Year_Week]]&amp;"-"&amp;Table1[[#This Row],[DC_name_Xref]]</f>
        <v>202145-WFC</v>
      </c>
      <c r="B725" s="19" t="str">
        <f>Table1[[#This Row],[Fiscal_Year]]*100+Table1[[#This Row],[Fiscal_Week]] &amp; "-" &amp;Table1[[#This Row],[BRAND]]</f>
        <v>202145-Gap</v>
      </c>
      <c r="C725" t="str">
        <f>Table1[[#This Row],[Fiscal_Year]]&amp;"-"&amp;Table1[[#This Row],[BRAND]]</f>
        <v>2021-Gap</v>
      </c>
      <c r="D725">
        <v>2021</v>
      </c>
      <c r="E725">
        <v>45</v>
      </c>
      <c r="F725" t="s">
        <v>16</v>
      </c>
      <c r="G725" t="s">
        <v>7</v>
      </c>
      <c r="H725">
        <v>3</v>
      </c>
      <c r="I725">
        <v>28855</v>
      </c>
      <c r="J725" t="str">
        <f>VLOOKUP(H725,DC_Xref!A:B,2,FALSE)</f>
        <v>WFC</v>
      </c>
      <c r="K725">
        <f t="shared" si="11"/>
        <v>202145</v>
      </c>
      <c r="L725">
        <f>IFERROR(Table1[[#This Row],[Demand]]/SUMIFS(Table1[Demand],Table1[Fiscal_Year],Table1[[#This Row],[Fiscal_Year]],Table1[BRAND],Table1[[#This Row],[BRAND]],Table1[DC_name_Xref],Table1[[#This Row],[DC_name_Xref]]),0)</f>
        <v>8.4593216711667737E-2</v>
      </c>
      <c r="M7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2.3820038572620311E-2</v>
      </c>
      <c r="N725" s="3">
        <f>IFERROR(INDEX(Table3[#All],MATCH(Table1[[#This Row],[Key_Year_Week_Brand]],Table3[[#All],[Key_Year_Week_Brand]],0),MATCH(Table1[[#This Row],[DC_name_Xref]],Table3[#Headers],0)),0)</f>
        <v>0.15</v>
      </c>
      <c r="O725">
        <f>IFERROR(INDEX(Table35[#All],MATCH(Table1[[#This Row],[Key_Year_Week_Brand]],Table35[[#All],[Key_Year_Month_Brand]],0),MATCH(Table1[[#This Row],[DC_name_Xref]],Table35[#Headers],0)),0)</f>
        <v>239889.15</v>
      </c>
    </row>
    <row r="726" spans="1:15" x14ac:dyDescent="0.3">
      <c r="A726" s="19" t="str">
        <f>Table1[[#This Row],[Year_Week]]&amp;"-"&amp;Table1[[#This Row],[DC_name_Xref]]</f>
        <v>202145-EAO</v>
      </c>
      <c r="B726" s="19" t="str">
        <f>Table1[[#This Row],[Fiscal_Year]]*100+Table1[[#This Row],[Fiscal_Week]] &amp; "-" &amp;Table1[[#This Row],[BRAND]]</f>
        <v>202145-Gap</v>
      </c>
      <c r="C726" t="str">
        <f>Table1[[#This Row],[Fiscal_Year]]&amp;"-"&amp;Table1[[#This Row],[BRAND]]</f>
        <v>2021-Gap</v>
      </c>
      <c r="D726">
        <v>2021</v>
      </c>
      <c r="E726">
        <v>45</v>
      </c>
      <c r="F726" t="s">
        <v>16</v>
      </c>
      <c r="G726" t="s">
        <v>8</v>
      </c>
      <c r="H726">
        <v>4</v>
      </c>
      <c r="I726">
        <v>162</v>
      </c>
      <c r="J726" t="str">
        <f>VLOOKUP(H726,DC_Xref!A:B,2,FALSE)</f>
        <v>EAO</v>
      </c>
      <c r="K726">
        <f t="shared" si="11"/>
        <v>202145</v>
      </c>
      <c r="L726">
        <f>IFERROR(Table1[[#This Row],[Demand]]/SUMIFS(Table1[Demand],Table1[Fiscal_Year],Table1[[#This Row],[Fiscal_Year]],Table1[BRAND],Table1[[#This Row],[BRAND]],Table1[DC_name_Xref],Table1[[#This Row],[DC_name_Xref]]),0)</f>
        <v>9.4240837696335081E-2</v>
      </c>
      <c r="M7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1.200418826757147E-4</v>
      </c>
      <c r="N726" s="3">
        <f>IFERROR(INDEX(Table3[#All],MATCH(Table1[[#This Row],[Key_Year_Week_Brand]],Table3[[#All],[Key_Year_Week_Brand]],0),MATCH(Table1[[#This Row],[DC_name_Xref]],Table3[#Headers],0)),0)</f>
        <v>0</v>
      </c>
      <c r="O726">
        <f>IFERROR(INDEX(Table35[#All],MATCH(Table1[[#This Row],[Key_Year_Week_Brand]],Table35[[#All],[Key_Year_Month_Brand]],0),MATCH(Table1[[#This Row],[DC_name_Xref]],Table35[#Headers],0)),0)</f>
        <v>0</v>
      </c>
    </row>
    <row r="727" spans="1:15" x14ac:dyDescent="0.3">
      <c r="A727" s="19" t="str">
        <f>Table1[[#This Row],[Year_Week]]&amp;"-"&amp;Table1[[#This Row],[DC_name_Xref]]</f>
        <v>202145-FFC-ODC</v>
      </c>
      <c r="B727" s="19" t="str">
        <f>Table1[[#This Row],[Fiscal_Year]]*100+Table1[[#This Row],[Fiscal_Week]] &amp; "-" &amp;Table1[[#This Row],[BRAND]]</f>
        <v>202145-Gap</v>
      </c>
      <c r="C727" t="str">
        <f>Table1[[#This Row],[Fiscal_Year]]&amp;"-"&amp;Table1[[#This Row],[BRAND]]</f>
        <v>2021-Gap</v>
      </c>
      <c r="D727">
        <v>2021</v>
      </c>
      <c r="E727">
        <v>45</v>
      </c>
      <c r="F727" t="s">
        <v>16</v>
      </c>
      <c r="G727" t="s">
        <v>23</v>
      </c>
      <c r="H727">
        <v>5</v>
      </c>
      <c r="I727">
        <v>0</v>
      </c>
      <c r="J727" t="str">
        <f>VLOOKUP(H727,DC_Xref!A:B,2,FALSE)</f>
        <v>FFC-ODC</v>
      </c>
      <c r="K727">
        <f t="shared" si="11"/>
        <v>202145</v>
      </c>
      <c r="L727">
        <f>IFERROR(Table1[[#This Row],[Demand]]/SUMIFS(Table1[Demand],Table1[Fiscal_Year],Table1[[#This Row],[Fiscal_Year]],Table1[BRAND],Table1[[#This Row],[BRAND]],Table1[DC_name_Xref],Table1[[#This Row],[DC_name_Xref]]),0)</f>
        <v>0</v>
      </c>
      <c r="M7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27" s="3">
        <f>IFERROR(INDEX(Table3[#All],MATCH(Table1[[#This Row],[Key_Year_Week_Brand]],Table3[[#All],[Key_Year_Week_Brand]],0),MATCH(Table1[[#This Row],[DC_name_Xref]],Table3[#Headers],0)),0)</f>
        <v>0</v>
      </c>
      <c r="O727">
        <f>IFERROR(INDEX(Table35[#All],MATCH(Table1[[#This Row],[Key_Year_Week_Brand]],Table35[[#All],[Key_Year_Month_Brand]],0),MATCH(Table1[[#This Row],[DC_name_Xref]],Table35[#Headers],0)),0)</f>
        <v>0</v>
      </c>
    </row>
    <row r="728" spans="1:15" x14ac:dyDescent="0.3">
      <c r="A728" s="19" t="str">
        <f>Table1[[#This Row],[Year_Week]]&amp;"-"&amp;Table1[[#This Row],[DC_name_Xref]]</f>
        <v>202145-WEO</v>
      </c>
      <c r="B728" s="19" t="str">
        <f>Table1[[#This Row],[Fiscal_Year]]*100+Table1[[#This Row],[Fiscal_Week]] &amp; "-" &amp;Table1[[#This Row],[BRAND]]</f>
        <v>202145-Gap</v>
      </c>
      <c r="C728" t="str">
        <f>Table1[[#This Row],[Fiscal_Year]]&amp;"-"&amp;Table1[[#This Row],[BRAND]]</f>
        <v>2021-Gap</v>
      </c>
      <c r="D728">
        <v>2021</v>
      </c>
      <c r="E728">
        <v>45</v>
      </c>
      <c r="F728" t="s">
        <v>16</v>
      </c>
      <c r="G728" t="s">
        <v>10</v>
      </c>
      <c r="H728">
        <v>6</v>
      </c>
      <c r="I728">
        <v>443073</v>
      </c>
      <c r="J728" t="str">
        <f>VLOOKUP(H728,DC_Xref!A:B,2,FALSE)</f>
        <v>WEO</v>
      </c>
      <c r="K728">
        <f t="shared" si="11"/>
        <v>202145</v>
      </c>
      <c r="L728">
        <f>IFERROR(Table1[[#This Row],[Demand]]/SUMIFS(Table1[Demand],Table1[Fiscal_Year],Table1[[#This Row],[Fiscal_Year]],Table1[BRAND],Table1[[#This Row],[BRAND]],Table1[DC_name_Xref],Table1[[#This Row],[DC_name_Xref]]),0)</f>
        <v>0.10080521680016417</v>
      </c>
      <c r="M7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0.3069369683048927</v>
      </c>
      <c r="N728" s="3">
        <f>IFERROR(INDEX(Table3[#All],MATCH(Table1[[#This Row],[Key_Year_Week_Brand]],Table3[[#All],[Key_Year_Week_Brand]],0),MATCH(Table1[[#This Row],[DC_name_Xref]],Table3[#Headers],0)),0)</f>
        <v>0.4</v>
      </c>
      <c r="O728">
        <f>IFERROR(INDEX(Table35[#All],MATCH(Table1[[#This Row],[Key_Year_Week_Brand]],Table35[[#All],[Key_Year_Month_Brand]],0),MATCH(Table1[[#This Row],[DC_name_Xref]],Table35[#Headers],0)),0)</f>
        <v>639704.4</v>
      </c>
    </row>
    <row r="729" spans="1:15" x14ac:dyDescent="0.3">
      <c r="A729" s="19" t="str">
        <f>Table1[[#This Row],[Year_Week]]&amp;"-"&amp;Table1[[#This Row],[DC_name_Xref]]</f>
        <v>202145-OCC</v>
      </c>
      <c r="B729" s="19" t="str">
        <f>Table1[[#This Row],[Fiscal_Year]]*100+Table1[[#This Row],[Fiscal_Week]] &amp; "-" &amp;Table1[[#This Row],[BRAND]]</f>
        <v>202145-Gap</v>
      </c>
      <c r="C729" t="str">
        <f>Table1[[#This Row],[Fiscal_Year]]&amp;"-"&amp;Table1[[#This Row],[BRAND]]</f>
        <v>2021-Gap</v>
      </c>
      <c r="D729">
        <v>2021</v>
      </c>
      <c r="E729">
        <v>45</v>
      </c>
      <c r="F729" t="s">
        <v>16</v>
      </c>
      <c r="G729" t="s">
        <v>11</v>
      </c>
      <c r="H729">
        <v>7</v>
      </c>
      <c r="I729">
        <v>0</v>
      </c>
      <c r="J729" t="str">
        <f>VLOOKUP(H729,DC_Xref!A:B,2,FALSE)</f>
        <v>OCC</v>
      </c>
      <c r="K729">
        <f t="shared" si="11"/>
        <v>202145</v>
      </c>
      <c r="L729">
        <f>IFERROR(Table1[[#This Row],[Demand]]/SUMIFS(Table1[Demand],Table1[Fiscal_Year],Table1[[#This Row],[Fiscal_Year]],Table1[BRAND],Table1[[#This Row],[BRAND]],Table1[DC_name_Xref],Table1[[#This Row],[DC_name_Xref]]),0)</f>
        <v>0</v>
      </c>
      <c r="M7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29" s="3">
        <f>IFERROR(INDEX(Table3[#All],MATCH(Table1[[#This Row],[Key_Year_Week_Brand]],Table3[[#All],[Key_Year_Week_Brand]],0),MATCH(Table1[[#This Row],[DC_name_Xref]],Table3[#Headers],0)),0)</f>
        <v>0.25</v>
      </c>
      <c r="O729">
        <f>IFERROR(INDEX(Table35[#All],MATCH(Table1[[#This Row],[Key_Year_Week_Brand]],Table35[[#All],[Key_Year_Month_Brand]],0),MATCH(Table1[[#This Row],[DC_name_Xref]],Table35[#Headers],0)),0)</f>
        <v>399815.25</v>
      </c>
    </row>
    <row r="730" spans="1:15" x14ac:dyDescent="0.3">
      <c r="A730" s="19" t="str">
        <f>Table1[[#This Row],[Year_Week]]&amp;"-"&amp;Table1[[#This Row],[DC_name_Xref]]</f>
        <v>202145-OFC</v>
      </c>
      <c r="B730" s="19" t="str">
        <f>Table1[[#This Row],[Fiscal_Year]]*100+Table1[[#This Row],[Fiscal_Week]] &amp; "-" &amp;Table1[[#This Row],[BRAND]]</f>
        <v>202145-Athleta</v>
      </c>
      <c r="C730" t="str">
        <f>Table1[[#This Row],[Fiscal_Year]]&amp;"-"&amp;Table1[[#This Row],[BRAND]]</f>
        <v>2021-Athleta</v>
      </c>
      <c r="D730">
        <v>2021</v>
      </c>
      <c r="E730">
        <v>45</v>
      </c>
      <c r="F730" t="s">
        <v>19</v>
      </c>
      <c r="G730" t="s">
        <v>5</v>
      </c>
      <c r="H730">
        <v>1</v>
      </c>
      <c r="I730">
        <v>34106</v>
      </c>
      <c r="J730" t="str">
        <f>VLOOKUP(H730,DC_Xref!A:B,2,FALSE)</f>
        <v>OFC</v>
      </c>
      <c r="K730">
        <f t="shared" si="11"/>
        <v>202145</v>
      </c>
      <c r="L730">
        <f>IFERROR(Table1[[#This Row],[Demand]]/SUMIFS(Table1[Demand],Table1[Fiscal_Year],Table1[[#This Row],[Fiscal_Year]],Table1[BRAND],Table1[[#This Row],[BRAND]],Table1[DC_name_Xref],Table1[[#This Row],[DC_name_Xref]]),0)</f>
        <v>0.16335386472273045</v>
      </c>
      <c r="M7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0.1013677307593525</v>
      </c>
      <c r="N730" s="3">
        <f>IFERROR(INDEX(Table3[#All],MATCH(Table1[[#This Row],[Key_Year_Week_Brand]],Table3[[#All],[Key_Year_Week_Brand]],0),MATCH(Table1[[#This Row],[DC_name_Xref]],Table3[#Headers],0)),0)</f>
        <v>0</v>
      </c>
      <c r="O730">
        <f>IFERROR(INDEX(Table35[#All],MATCH(Table1[[#This Row],[Key_Year_Week_Brand]],Table35[[#All],[Key_Year_Month_Brand]],0),MATCH(Table1[[#This Row],[DC_name_Xref]],Table35[#Headers],0)),0)</f>
        <v>0</v>
      </c>
    </row>
    <row r="731" spans="1:15" x14ac:dyDescent="0.3">
      <c r="A731" s="19" t="str">
        <f>Table1[[#This Row],[Year_Week]]&amp;"-"&amp;Table1[[#This Row],[DC_name_Xref]]</f>
        <v>202145-TFC</v>
      </c>
      <c r="B731" s="19" t="str">
        <f>Table1[[#This Row],[Fiscal_Year]]*100+Table1[[#This Row],[Fiscal_Week]] &amp; "-" &amp;Table1[[#This Row],[BRAND]]</f>
        <v>202145-Athleta</v>
      </c>
      <c r="C731" t="str">
        <f>Table1[[#This Row],[Fiscal_Year]]&amp;"-"&amp;Table1[[#This Row],[BRAND]]</f>
        <v>2021-Athleta</v>
      </c>
      <c r="D731">
        <v>2021</v>
      </c>
      <c r="E731">
        <v>45</v>
      </c>
      <c r="F731" t="s">
        <v>19</v>
      </c>
      <c r="G731" t="s">
        <v>21</v>
      </c>
      <c r="H731">
        <v>2</v>
      </c>
      <c r="I731">
        <v>267392</v>
      </c>
      <c r="J731" t="str">
        <f>VLOOKUP(H731,DC_Xref!A:B,2,FALSE)</f>
        <v>TFC</v>
      </c>
      <c r="K731">
        <f t="shared" si="11"/>
        <v>202145</v>
      </c>
      <c r="L731">
        <f>IFERROR(Table1[[#This Row],[Demand]]/SUMIFS(Table1[Demand],Table1[Fiscal_Year],Table1[[#This Row],[Fiscal_Year]],Table1[BRAND],Table1[[#This Row],[BRAND]],Table1[DC_name_Xref],Table1[[#This Row],[DC_name_Xref]]),0)</f>
        <v>0.14447124320305679</v>
      </c>
      <c r="M7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0.89859779801707929</v>
      </c>
      <c r="N731" s="3">
        <f>IFERROR(INDEX(Table3[#All],MATCH(Table1[[#This Row],[Key_Year_Week_Brand]],Table3[[#All],[Key_Year_Week_Brand]],0),MATCH(Table1[[#This Row],[DC_name_Xref]],Table3[#Headers],0)),0)</f>
        <v>1</v>
      </c>
      <c r="O731">
        <f>IFERROR(INDEX(Table35[#All],MATCH(Table1[[#This Row],[Key_Year_Week_Brand]],Table35[[#All],[Key_Year_Month_Brand]],0),MATCH(Table1[[#This Row],[DC_name_Xref]],Table35[#Headers],0)),0)</f>
        <v>301512</v>
      </c>
    </row>
    <row r="732" spans="1:15" x14ac:dyDescent="0.3">
      <c r="A732" s="19" t="str">
        <f>Table1[[#This Row],[Year_Week]]&amp;"-"&amp;Table1[[#This Row],[DC_name_Xref]]</f>
        <v>202145-WFC</v>
      </c>
      <c r="B732" s="19" t="str">
        <f>Table1[[#This Row],[Fiscal_Year]]*100+Table1[[#This Row],[Fiscal_Week]] &amp; "-" &amp;Table1[[#This Row],[BRAND]]</f>
        <v>202145-Athleta</v>
      </c>
      <c r="C732" t="str">
        <f>Table1[[#This Row],[Fiscal_Year]]&amp;"-"&amp;Table1[[#This Row],[BRAND]]</f>
        <v>2021-Athleta</v>
      </c>
      <c r="D732">
        <v>2021</v>
      </c>
      <c r="E732">
        <v>45</v>
      </c>
      <c r="F732" t="s">
        <v>19</v>
      </c>
      <c r="G732" t="s">
        <v>7</v>
      </c>
      <c r="H732">
        <v>3</v>
      </c>
      <c r="I732">
        <v>0</v>
      </c>
      <c r="J732" t="str">
        <f>VLOOKUP(H732,DC_Xref!A:B,2,FALSE)</f>
        <v>WFC</v>
      </c>
      <c r="K732">
        <f t="shared" si="11"/>
        <v>202145</v>
      </c>
      <c r="L732">
        <f>IFERROR(Table1[[#This Row],[Demand]]/SUMIFS(Table1[Demand],Table1[Fiscal_Year],Table1[[#This Row],[Fiscal_Year]],Table1[BRAND],Table1[[#This Row],[BRAND]],Table1[DC_name_Xref],Table1[[#This Row],[DC_name_Xref]]),0)</f>
        <v>0</v>
      </c>
      <c r="M7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32" s="3">
        <f>IFERROR(INDEX(Table3[#All],MATCH(Table1[[#This Row],[Key_Year_Week_Brand]],Table3[[#All],[Key_Year_Week_Brand]],0),MATCH(Table1[[#This Row],[DC_name_Xref]],Table3[#Headers],0)),0)</f>
        <v>0</v>
      </c>
      <c r="O732">
        <f>IFERROR(INDEX(Table35[#All],MATCH(Table1[[#This Row],[Key_Year_Week_Brand]],Table35[[#All],[Key_Year_Month_Brand]],0),MATCH(Table1[[#This Row],[DC_name_Xref]],Table35[#Headers],0)),0)</f>
        <v>0</v>
      </c>
    </row>
    <row r="733" spans="1:15" x14ac:dyDescent="0.3">
      <c r="A733" s="19" t="str">
        <f>Table1[[#This Row],[Year_Week]]&amp;"-"&amp;Table1[[#This Row],[DC_name_Xref]]</f>
        <v>202145-EAO</v>
      </c>
      <c r="B733" s="19" t="str">
        <f>Table1[[#This Row],[Fiscal_Year]]*100+Table1[[#This Row],[Fiscal_Week]] &amp; "-" &amp;Table1[[#This Row],[BRAND]]</f>
        <v>202145-Athleta</v>
      </c>
      <c r="C733" t="str">
        <f>Table1[[#This Row],[Fiscal_Year]]&amp;"-"&amp;Table1[[#This Row],[BRAND]]</f>
        <v>2021-Athleta</v>
      </c>
      <c r="D733">
        <v>2021</v>
      </c>
      <c r="E733">
        <v>45</v>
      </c>
      <c r="F733" t="s">
        <v>19</v>
      </c>
      <c r="G733" t="s">
        <v>8</v>
      </c>
      <c r="H733">
        <v>4</v>
      </c>
      <c r="I733">
        <v>14</v>
      </c>
      <c r="J733" t="str">
        <f>VLOOKUP(H733,DC_Xref!A:B,2,FALSE)</f>
        <v>EAO</v>
      </c>
      <c r="K733">
        <f t="shared" si="11"/>
        <v>202145</v>
      </c>
      <c r="L733">
        <f>IFERROR(Table1[[#This Row],[Demand]]/SUMIFS(Table1[Demand],Table1[Fiscal_Year],Table1[[#This Row],[Fiscal_Year]],Table1[BRAND],Table1[[#This Row],[BRAND]],Table1[DC_name_Xref],Table1[[#This Row],[DC_name_Xref]]),0)</f>
        <v>0.19718309859154928</v>
      </c>
      <c r="M7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3.447122356821831E-5</v>
      </c>
      <c r="N733" s="3">
        <f>IFERROR(INDEX(Table3[#All],MATCH(Table1[[#This Row],[Key_Year_Week_Brand]],Table3[[#All],[Key_Year_Week_Brand]],0),MATCH(Table1[[#This Row],[DC_name_Xref]],Table3[#Headers],0)),0)</f>
        <v>3.447122356821831E-5</v>
      </c>
      <c r="O733">
        <f>IFERROR(INDEX(Table35[#All],MATCH(Table1[[#This Row],[Key_Year_Week_Brand]],Table35[[#All],[Key_Year_Month_Brand]],0),MATCH(Table1[[#This Row],[DC_name_Xref]],Table35[#Headers],0)),0)</f>
        <v>10.393487560500638</v>
      </c>
    </row>
    <row r="734" spans="1:15" x14ac:dyDescent="0.3">
      <c r="A734" s="19" t="str">
        <f>Table1[[#This Row],[Year_Week]]&amp;"-"&amp;Table1[[#This Row],[DC_name_Xref]]</f>
        <v>202145-FFC-ODC</v>
      </c>
      <c r="B734" s="19" t="str">
        <f>Table1[[#This Row],[Fiscal_Year]]*100+Table1[[#This Row],[Fiscal_Week]] &amp; "-" &amp;Table1[[#This Row],[BRAND]]</f>
        <v>202145-Athleta</v>
      </c>
      <c r="C734" t="str">
        <f>Table1[[#This Row],[Fiscal_Year]]&amp;"-"&amp;Table1[[#This Row],[BRAND]]</f>
        <v>2021-Athleta</v>
      </c>
      <c r="D734">
        <v>2021</v>
      </c>
      <c r="E734">
        <v>45</v>
      </c>
      <c r="F734" t="s">
        <v>19</v>
      </c>
      <c r="G734" t="s">
        <v>23</v>
      </c>
      <c r="H734">
        <v>5</v>
      </c>
      <c r="I734">
        <v>0</v>
      </c>
      <c r="J734" t="str">
        <f>VLOOKUP(H734,DC_Xref!A:B,2,FALSE)</f>
        <v>FFC-ODC</v>
      </c>
      <c r="K734">
        <f t="shared" si="11"/>
        <v>202145</v>
      </c>
      <c r="L734">
        <f>IFERROR(Table1[[#This Row],[Demand]]/SUMIFS(Table1[Demand],Table1[Fiscal_Year],Table1[[#This Row],[Fiscal_Year]],Table1[BRAND],Table1[[#This Row],[BRAND]],Table1[DC_name_Xref],Table1[[#This Row],[DC_name_Xref]]),0)</f>
        <v>0</v>
      </c>
      <c r="M7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34" s="3">
        <f>IFERROR(INDEX(Table3[#All],MATCH(Table1[[#This Row],[Key_Year_Week_Brand]],Table3[[#All],[Key_Year_Week_Brand]],0),MATCH(Table1[[#This Row],[DC_name_Xref]],Table3[#Headers],0)),0)</f>
        <v>0</v>
      </c>
      <c r="O734">
        <f>IFERROR(INDEX(Table35[#All],MATCH(Table1[[#This Row],[Key_Year_Week_Brand]],Table35[[#All],[Key_Year_Month_Brand]],0),MATCH(Table1[[#This Row],[DC_name_Xref]],Table35[#Headers],0)),0)</f>
        <v>0</v>
      </c>
    </row>
    <row r="735" spans="1:15" x14ac:dyDescent="0.3">
      <c r="A735" s="19" t="str">
        <f>Table1[[#This Row],[Year_Week]]&amp;"-"&amp;Table1[[#This Row],[DC_name_Xref]]</f>
        <v>202145-WEO</v>
      </c>
      <c r="B735" s="19" t="str">
        <f>Table1[[#This Row],[Fiscal_Year]]*100+Table1[[#This Row],[Fiscal_Week]] &amp; "-" &amp;Table1[[#This Row],[BRAND]]</f>
        <v>202145-Athleta</v>
      </c>
      <c r="C735" t="str">
        <f>Table1[[#This Row],[Fiscal_Year]]&amp;"-"&amp;Table1[[#This Row],[BRAND]]</f>
        <v>2021-Athleta</v>
      </c>
      <c r="D735">
        <v>2021</v>
      </c>
      <c r="E735">
        <v>45</v>
      </c>
      <c r="F735" t="s">
        <v>19</v>
      </c>
      <c r="G735" t="s">
        <v>10</v>
      </c>
      <c r="H735">
        <v>6</v>
      </c>
      <c r="I735">
        <v>0</v>
      </c>
      <c r="J735" t="str">
        <f>VLOOKUP(H735,DC_Xref!A:B,2,FALSE)</f>
        <v>WEO</v>
      </c>
      <c r="K735">
        <f t="shared" si="11"/>
        <v>202145</v>
      </c>
      <c r="L735">
        <f>IFERROR(Table1[[#This Row],[Demand]]/SUMIFS(Table1[Demand],Table1[Fiscal_Year],Table1[[#This Row],[Fiscal_Year]],Table1[BRAND],Table1[[#This Row],[BRAND]],Table1[DC_name_Xref],Table1[[#This Row],[DC_name_Xref]]),0)</f>
        <v>0</v>
      </c>
      <c r="M7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35" s="3">
        <f>IFERROR(INDEX(Table3[#All],MATCH(Table1[[#This Row],[Key_Year_Week_Brand]],Table3[[#All],[Key_Year_Week_Brand]],0),MATCH(Table1[[#This Row],[DC_name_Xref]],Table3[#Headers],0)),0)</f>
        <v>0</v>
      </c>
      <c r="O735">
        <f>IFERROR(INDEX(Table35[#All],MATCH(Table1[[#This Row],[Key_Year_Week_Brand]],Table35[[#All],[Key_Year_Month_Brand]],0),MATCH(Table1[[#This Row],[DC_name_Xref]],Table35[#Headers],0)),0)</f>
        <v>0</v>
      </c>
    </row>
    <row r="736" spans="1:15" x14ac:dyDescent="0.3">
      <c r="A736" s="19" t="str">
        <f>Table1[[#This Row],[Year_Week]]&amp;"-"&amp;Table1[[#This Row],[DC_name_Xref]]</f>
        <v>202145-OCC</v>
      </c>
      <c r="B736" s="19" t="str">
        <f>Table1[[#This Row],[Fiscal_Year]]*100+Table1[[#This Row],[Fiscal_Week]] &amp; "-" &amp;Table1[[#This Row],[BRAND]]</f>
        <v>202145-Athleta</v>
      </c>
      <c r="C736" t="str">
        <f>Table1[[#This Row],[Fiscal_Year]]&amp;"-"&amp;Table1[[#This Row],[BRAND]]</f>
        <v>2021-Athleta</v>
      </c>
      <c r="D736">
        <v>2021</v>
      </c>
      <c r="E736">
        <v>45</v>
      </c>
      <c r="F736" t="s">
        <v>19</v>
      </c>
      <c r="G736" t="s">
        <v>11</v>
      </c>
      <c r="H736">
        <v>7</v>
      </c>
      <c r="I736">
        <v>0</v>
      </c>
      <c r="J736" t="str">
        <f>VLOOKUP(H736,DC_Xref!A:B,2,FALSE)</f>
        <v>OCC</v>
      </c>
      <c r="K736">
        <f t="shared" si="11"/>
        <v>202145</v>
      </c>
      <c r="L736">
        <f>IFERROR(Table1[[#This Row],[Demand]]/SUMIFS(Table1[Demand],Table1[Fiscal_Year],Table1[[#This Row],[Fiscal_Year]],Table1[BRAND],Table1[[#This Row],[BRAND]],Table1[DC_name_Xref],Table1[[#This Row],[DC_name_Xref]]),0)</f>
        <v>0</v>
      </c>
      <c r="M7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36" s="3">
        <f>IFERROR(INDEX(Table3[#All],MATCH(Table1[[#This Row],[Key_Year_Week_Brand]],Table3[[#All],[Key_Year_Week_Brand]],0),MATCH(Table1[[#This Row],[DC_name_Xref]],Table3[#Headers],0)),0)</f>
        <v>0</v>
      </c>
      <c r="O736">
        <f>IFERROR(INDEX(Table35[#All],MATCH(Table1[[#This Row],[Key_Year_Week_Brand]],Table35[[#All],[Key_Year_Month_Brand]],0),MATCH(Table1[[#This Row],[DC_name_Xref]],Table35[#Headers],0)),0)</f>
        <v>0</v>
      </c>
    </row>
    <row r="737" spans="1:15" x14ac:dyDescent="0.3">
      <c r="A737" s="19" t="str">
        <f>Table1[[#This Row],[Year_Week]]&amp;"-"&amp;Table1[[#This Row],[DC_name_Xref]]</f>
        <v>202145-OFC</v>
      </c>
      <c r="B737" s="19" t="str">
        <f>Table1[[#This Row],[Fiscal_Year]]*100+Table1[[#This Row],[Fiscal_Week]] &amp; "-" &amp;Table1[[#This Row],[BRAND]]</f>
        <v>202145-Gap Factory Store</v>
      </c>
      <c r="C737" t="str">
        <f>Table1[[#This Row],[Fiscal_Year]]&amp;"-"&amp;Table1[[#This Row],[BRAND]]</f>
        <v>2021-Gap Factory Store</v>
      </c>
      <c r="D737">
        <v>2021</v>
      </c>
      <c r="E737">
        <v>45</v>
      </c>
      <c r="F737" t="s">
        <v>22</v>
      </c>
      <c r="G737" t="s">
        <v>5</v>
      </c>
      <c r="H737">
        <v>1</v>
      </c>
      <c r="I737">
        <v>539677</v>
      </c>
      <c r="J737" t="str">
        <f>VLOOKUP(H737,DC_Xref!A:B,2,FALSE)</f>
        <v>OFC</v>
      </c>
      <c r="K737">
        <f t="shared" si="11"/>
        <v>202145</v>
      </c>
      <c r="L737">
        <f>IFERROR(Table1[[#This Row],[Demand]]/SUMIFS(Table1[Demand],Table1[Fiscal_Year],Table1[[#This Row],[Fiscal_Year]],Table1[BRAND],Table1[[#This Row],[BRAND]],Table1[DC_name_Xref],Table1[[#This Row],[DC_name_Xref]]),0)</f>
        <v>0.11098794587045342</v>
      </c>
      <c r="M7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737" s="3">
        <f>IFERROR(INDEX(Table3[#All],MATCH(Table1[[#This Row],[Key_Year_Week_Brand]],Table3[[#All],[Key_Year_Week_Brand]],0),MATCH(Table1[[#This Row],[DC_name_Xref]],Table3[#Headers],0)),0)</f>
        <v>1</v>
      </c>
      <c r="O737">
        <f>IFERROR(INDEX(Table35[#All],MATCH(Table1[[#This Row],[Key_Year_Week_Brand]],Table35[[#All],[Key_Year_Month_Brand]],0),MATCH(Table1[[#This Row],[DC_name_Xref]],Table35[#Headers],0)),0)</f>
        <v>539677</v>
      </c>
    </row>
    <row r="738" spans="1:15" x14ac:dyDescent="0.3">
      <c r="A738" s="19" t="str">
        <f>Table1[[#This Row],[Year_Week]]&amp;"-"&amp;Table1[[#This Row],[DC_name_Xref]]</f>
        <v>202145-TFC</v>
      </c>
      <c r="B738" s="19" t="str">
        <f>Table1[[#This Row],[Fiscal_Year]]*100+Table1[[#This Row],[Fiscal_Week]] &amp; "-" &amp;Table1[[#This Row],[BRAND]]</f>
        <v>202145-Gap Factory Store</v>
      </c>
      <c r="C738" t="str">
        <f>Table1[[#This Row],[Fiscal_Year]]&amp;"-"&amp;Table1[[#This Row],[BRAND]]</f>
        <v>2021-Gap Factory Store</v>
      </c>
      <c r="D738">
        <v>2021</v>
      </c>
      <c r="E738">
        <v>45</v>
      </c>
      <c r="F738" t="s">
        <v>22</v>
      </c>
      <c r="G738" t="s">
        <v>21</v>
      </c>
      <c r="H738">
        <v>2</v>
      </c>
      <c r="I738">
        <v>0</v>
      </c>
      <c r="J738" t="str">
        <f>VLOOKUP(H738,DC_Xref!A:B,2,FALSE)</f>
        <v>TFC</v>
      </c>
      <c r="K738">
        <f t="shared" si="11"/>
        <v>202145</v>
      </c>
      <c r="L738">
        <f>IFERROR(Table1[[#This Row],[Demand]]/SUMIFS(Table1[Demand],Table1[Fiscal_Year],Table1[[#This Row],[Fiscal_Year]],Table1[BRAND],Table1[[#This Row],[BRAND]],Table1[DC_name_Xref],Table1[[#This Row],[DC_name_Xref]]),0)</f>
        <v>0</v>
      </c>
      <c r="M7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38" s="3">
        <f>IFERROR(INDEX(Table3[#All],MATCH(Table1[[#This Row],[Key_Year_Week_Brand]],Table3[[#All],[Key_Year_Week_Brand]],0),MATCH(Table1[[#This Row],[DC_name_Xref]],Table3[#Headers],0)),0)</f>
        <v>0</v>
      </c>
      <c r="O738">
        <f>IFERROR(INDEX(Table35[#All],MATCH(Table1[[#This Row],[Key_Year_Week_Brand]],Table35[[#All],[Key_Year_Month_Brand]],0),MATCH(Table1[[#This Row],[DC_name_Xref]],Table35[#Headers],0)),0)</f>
        <v>0</v>
      </c>
    </row>
    <row r="739" spans="1:15" x14ac:dyDescent="0.3">
      <c r="A739" s="19" t="str">
        <f>Table1[[#This Row],[Year_Week]]&amp;"-"&amp;Table1[[#This Row],[DC_name_Xref]]</f>
        <v>202145-WFC</v>
      </c>
      <c r="B739" s="19" t="str">
        <f>Table1[[#This Row],[Fiscal_Year]]*100+Table1[[#This Row],[Fiscal_Week]] &amp; "-" &amp;Table1[[#This Row],[BRAND]]</f>
        <v>202145-Gap Factory Store</v>
      </c>
      <c r="C739" t="str">
        <f>Table1[[#This Row],[Fiscal_Year]]&amp;"-"&amp;Table1[[#This Row],[BRAND]]</f>
        <v>2021-Gap Factory Store</v>
      </c>
      <c r="D739">
        <v>2021</v>
      </c>
      <c r="E739">
        <v>45</v>
      </c>
      <c r="F739" t="s">
        <v>22</v>
      </c>
      <c r="G739" t="s">
        <v>7</v>
      </c>
      <c r="H739">
        <v>3</v>
      </c>
      <c r="I739">
        <v>0</v>
      </c>
      <c r="J739" t="str">
        <f>VLOOKUP(H739,DC_Xref!A:B,2,FALSE)</f>
        <v>WFC</v>
      </c>
      <c r="K739">
        <f t="shared" si="11"/>
        <v>202145</v>
      </c>
      <c r="L739">
        <f>IFERROR(Table1[[#This Row],[Demand]]/SUMIFS(Table1[Demand],Table1[Fiscal_Year],Table1[[#This Row],[Fiscal_Year]],Table1[BRAND],Table1[[#This Row],[BRAND]],Table1[DC_name_Xref],Table1[[#This Row],[DC_name_Xref]]),0)</f>
        <v>0</v>
      </c>
      <c r="M7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39" s="3">
        <f>IFERROR(INDEX(Table3[#All],MATCH(Table1[[#This Row],[Key_Year_Week_Brand]],Table3[[#All],[Key_Year_Week_Brand]],0),MATCH(Table1[[#This Row],[DC_name_Xref]],Table3[#Headers],0)),0)</f>
        <v>0</v>
      </c>
      <c r="O739">
        <f>IFERROR(INDEX(Table35[#All],MATCH(Table1[[#This Row],[Key_Year_Week_Brand]],Table35[[#All],[Key_Year_Month_Brand]],0),MATCH(Table1[[#This Row],[DC_name_Xref]],Table35[#Headers],0)),0)</f>
        <v>0</v>
      </c>
    </row>
    <row r="740" spans="1:15" x14ac:dyDescent="0.3">
      <c r="A740" s="19" t="str">
        <f>Table1[[#This Row],[Year_Week]]&amp;"-"&amp;Table1[[#This Row],[DC_name_Xref]]</f>
        <v>202145-EAO</v>
      </c>
      <c r="B740" s="19" t="str">
        <f>Table1[[#This Row],[Fiscal_Year]]*100+Table1[[#This Row],[Fiscal_Week]] &amp; "-" &amp;Table1[[#This Row],[BRAND]]</f>
        <v>202145-Gap Factory Store</v>
      </c>
      <c r="C740" t="str">
        <f>Table1[[#This Row],[Fiscal_Year]]&amp;"-"&amp;Table1[[#This Row],[BRAND]]</f>
        <v>2021-Gap Factory Store</v>
      </c>
      <c r="D740">
        <v>2021</v>
      </c>
      <c r="E740">
        <v>45</v>
      </c>
      <c r="F740" t="s">
        <v>22</v>
      </c>
      <c r="G740" t="s">
        <v>8</v>
      </c>
      <c r="H740">
        <v>4</v>
      </c>
      <c r="I740">
        <v>0</v>
      </c>
      <c r="J740" t="str">
        <f>VLOOKUP(H740,DC_Xref!A:B,2,FALSE)</f>
        <v>EAO</v>
      </c>
      <c r="K740">
        <f t="shared" si="11"/>
        <v>202145</v>
      </c>
      <c r="L740">
        <f>IFERROR(Table1[[#This Row],[Demand]]/SUMIFS(Table1[Demand],Table1[Fiscal_Year],Table1[[#This Row],[Fiscal_Year]],Table1[BRAND],Table1[[#This Row],[BRAND]],Table1[DC_name_Xref],Table1[[#This Row],[DC_name_Xref]]),0)</f>
        <v>0</v>
      </c>
      <c r="M7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40" s="3">
        <f>IFERROR(INDEX(Table3[#All],MATCH(Table1[[#This Row],[Key_Year_Week_Brand]],Table3[[#All],[Key_Year_Week_Brand]],0),MATCH(Table1[[#This Row],[DC_name_Xref]],Table3[#Headers],0)),0)</f>
        <v>0</v>
      </c>
      <c r="O740">
        <f>IFERROR(INDEX(Table35[#All],MATCH(Table1[[#This Row],[Key_Year_Week_Brand]],Table35[[#All],[Key_Year_Month_Brand]],0),MATCH(Table1[[#This Row],[DC_name_Xref]],Table35[#Headers],0)),0)</f>
        <v>0</v>
      </c>
    </row>
    <row r="741" spans="1:15" x14ac:dyDescent="0.3">
      <c r="A741" s="19" t="str">
        <f>Table1[[#This Row],[Year_Week]]&amp;"-"&amp;Table1[[#This Row],[DC_name_Xref]]</f>
        <v>202145-FFC-ODC</v>
      </c>
      <c r="B741" s="19" t="str">
        <f>Table1[[#This Row],[Fiscal_Year]]*100+Table1[[#This Row],[Fiscal_Week]] &amp; "-" &amp;Table1[[#This Row],[BRAND]]</f>
        <v>202145-Gap Factory Store</v>
      </c>
      <c r="C741" t="str">
        <f>Table1[[#This Row],[Fiscal_Year]]&amp;"-"&amp;Table1[[#This Row],[BRAND]]</f>
        <v>2021-Gap Factory Store</v>
      </c>
      <c r="D741">
        <v>2021</v>
      </c>
      <c r="E741">
        <v>45</v>
      </c>
      <c r="F741" t="s">
        <v>22</v>
      </c>
      <c r="G741" t="s">
        <v>23</v>
      </c>
      <c r="H741">
        <v>5</v>
      </c>
      <c r="I741">
        <v>0</v>
      </c>
      <c r="J741" t="str">
        <f>VLOOKUP(H741,DC_Xref!A:B,2,FALSE)</f>
        <v>FFC-ODC</v>
      </c>
      <c r="K741">
        <f t="shared" si="11"/>
        <v>202145</v>
      </c>
      <c r="L741">
        <f>IFERROR(Table1[[#This Row],[Demand]]/SUMIFS(Table1[Demand],Table1[Fiscal_Year],Table1[[#This Row],[Fiscal_Year]],Table1[BRAND],Table1[[#This Row],[BRAND]],Table1[DC_name_Xref],Table1[[#This Row],[DC_name_Xref]]),0)</f>
        <v>0</v>
      </c>
      <c r="M7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41" s="3">
        <f>IFERROR(INDEX(Table3[#All],MATCH(Table1[[#This Row],[Key_Year_Week_Brand]],Table3[[#All],[Key_Year_Week_Brand]],0),MATCH(Table1[[#This Row],[DC_name_Xref]],Table3[#Headers],0)),0)</f>
        <v>0</v>
      </c>
      <c r="O741">
        <f>IFERROR(INDEX(Table35[#All],MATCH(Table1[[#This Row],[Key_Year_Week_Brand]],Table35[[#All],[Key_Year_Month_Brand]],0),MATCH(Table1[[#This Row],[DC_name_Xref]],Table35[#Headers],0)),0)</f>
        <v>0</v>
      </c>
    </row>
    <row r="742" spans="1:15" x14ac:dyDescent="0.3">
      <c r="A742" s="19" t="str">
        <f>Table1[[#This Row],[Year_Week]]&amp;"-"&amp;Table1[[#This Row],[DC_name_Xref]]</f>
        <v>202145-WEO</v>
      </c>
      <c r="B742" s="19" t="str">
        <f>Table1[[#This Row],[Fiscal_Year]]*100+Table1[[#This Row],[Fiscal_Week]] &amp; "-" &amp;Table1[[#This Row],[BRAND]]</f>
        <v>202145-Gap Factory Store</v>
      </c>
      <c r="C742" t="str">
        <f>Table1[[#This Row],[Fiscal_Year]]&amp;"-"&amp;Table1[[#This Row],[BRAND]]</f>
        <v>2021-Gap Factory Store</v>
      </c>
      <c r="D742">
        <v>2021</v>
      </c>
      <c r="E742">
        <v>45</v>
      </c>
      <c r="F742" t="s">
        <v>22</v>
      </c>
      <c r="G742" t="s">
        <v>10</v>
      </c>
      <c r="H742">
        <v>6</v>
      </c>
      <c r="I742">
        <v>0</v>
      </c>
      <c r="J742" t="str">
        <f>VLOOKUP(H742,DC_Xref!A:B,2,FALSE)</f>
        <v>WEO</v>
      </c>
      <c r="K742">
        <f t="shared" si="11"/>
        <v>202145</v>
      </c>
      <c r="L742">
        <f>IFERROR(Table1[[#This Row],[Demand]]/SUMIFS(Table1[Demand],Table1[Fiscal_Year],Table1[[#This Row],[Fiscal_Year]],Table1[BRAND],Table1[[#This Row],[BRAND]],Table1[DC_name_Xref],Table1[[#This Row],[DC_name_Xref]]),0)</f>
        <v>0</v>
      </c>
      <c r="M7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42" s="3">
        <f>IFERROR(INDEX(Table3[#All],MATCH(Table1[[#This Row],[Key_Year_Week_Brand]],Table3[[#All],[Key_Year_Week_Brand]],0),MATCH(Table1[[#This Row],[DC_name_Xref]],Table3[#Headers],0)),0)</f>
        <v>0</v>
      </c>
      <c r="O742">
        <f>IFERROR(INDEX(Table35[#All],MATCH(Table1[[#This Row],[Key_Year_Week_Brand]],Table35[[#All],[Key_Year_Month_Brand]],0),MATCH(Table1[[#This Row],[DC_name_Xref]],Table35[#Headers],0)),0)</f>
        <v>0</v>
      </c>
    </row>
    <row r="743" spans="1:15" x14ac:dyDescent="0.3">
      <c r="A743" s="19" t="str">
        <f>Table1[[#This Row],[Year_Week]]&amp;"-"&amp;Table1[[#This Row],[DC_name_Xref]]</f>
        <v>202145-OCC</v>
      </c>
      <c r="B743" s="19" t="str">
        <f>Table1[[#This Row],[Fiscal_Year]]*100+Table1[[#This Row],[Fiscal_Week]] &amp; "-" &amp;Table1[[#This Row],[BRAND]]</f>
        <v>202145-Gap Factory Store</v>
      </c>
      <c r="C743" t="str">
        <f>Table1[[#This Row],[Fiscal_Year]]&amp;"-"&amp;Table1[[#This Row],[BRAND]]</f>
        <v>2021-Gap Factory Store</v>
      </c>
      <c r="D743">
        <v>2021</v>
      </c>
      <c r="E743">
        <v>45</v>
      </c>
      <c r="F743" t="s">
        <v>22</v>
      </c>
      <c r="G743" t="s">
        <v>11</v>
      </c>
      <c r="H743">
        <v>7</v>
      </c>
      <c r="I743">
        <v>0</v>
      </c>
      <c r="J743" t="str">
        <f>VLOOKUP(H743,DC_Xref!A:B,2,FALSE)</f>
        <v>OCC</v>
      </c>
      <c r="K743">
        <f t="shared" si="11"/>
        <v>202145</v>
      </c>
      <c r="L743">
        <f>IFERROR(Table1[[#This Row],[Demand]]/SUMIFS(Table1[Demand],Table1[Fiscal_Year],Table1[[#This Row],[Fiscal_Year]],Table1[BRAND],Table1[[#This Row],[BRAND]],Table1[DC_name_Xref],Table1[[#This Row],[DC_name_Xref]]),0)</f>
        <v>0</v>
      </c>
      <c r="M7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43" s="3">
        <f>IFERROR(INDEX(Table3[#All],MATCH(Table1[[#This Row],[Key_Year_Week_Brand]],Table3[[#All],[Key_Year_Week_Brand]],0),MATCH(Table1[[#This Row],[DC_name_Xref]],Table3[#Headers],0)),0)</f>
        <v>0</v>
      </c>
      <c r="O743">
        <f>IFERROR(INDEX(Table35[#All],MATCH(Table1[[#This Row],[Key_Year_Week_Brand]],Table35[[#All],[Key_Year_Month_Brand]],0),MATCH(Table1[[#This Row],[DC_name_Xref]],Table35[#Headers],0)),0)</f>
        <v>0</v>
      </c>
    </row>
    <row r="744" spans="1:15" x14ac:dyDescent="0.3">
      <c r="A744" s="19" t="str">
        <f>Table1[[#This Row],[Year_Week]]&amp;"-"&amp;Table1[[#This Row],[DC_name_Xref]]</f>
        <v>202145-OFC</v>
      </c>
      <c r="B744" s="19" t="str">
        <f>Table1[[#This Row],[Fiscal_Year]]*100+Table1[[#This Row],[Fiscal_Week]] &amp; "-" &amp;Table1[[#This Row],[BRAND]]</f>
        <v>202145-Banana Republic</v>
      </c>
      <c r="C744" t="str">
        <f>Table1[[#This Row],[Fiscal_Year]]&amp;"-"&amp;Table1[[#This Row],[BRAND]]</f>
        <v>2021-Banana Republic</v>
      </c>
      <c r="D744">
        <v>2021</v>
      </c>
      <c r="E744">
        <v>45</v>
      </c>
      <c r="F744" t="s">
        <v>18</v>
      </c>
      <c r="G744" t="s">
        <v>5</v>
      </c>
      <c r="H744">
        <v>1</v>
      </c>
      <c r="I744">
        <v>9754</v>
      </c>
      <c r="J744" t="str">
        <f>VLOOKUP(H744,DC_Xref!A:B,2,FALSE)</f>
        <v>OFC</v>
      </c>
      <c r="K744">
        <f t="shared" si="11"/>
        <v>202145</v>
      </c>
      <c r="L744">
        <f>IFERROR(Table1[[#This Row],[Demand]]/SUMIFS(Table1[Demand],Table1[Fiscal_Year],Table1[[#This Row],[Fiscal_Year]],Table1[BRAND],Table1[[#This Row],[BRAND]],Table1[DC_name_Xref],Table1[[#This Row],[DC_name_Xref]]),0)</f>
        <v>0.17763613185212165</v>
      </c>
      <c r="M7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2.1329258335346751E-2</v>
      </c>
      <c r="N744" s="3">
        <f>IFERROR(INDEX(Table3[#All],MATCH(Table1[[#This Row],[Key_Year_Week_Brand]],Table3[[#All],[Key_Year_Week_Brand]],0),MATCH(Table1[[#This Row],[DC_name_Xref]],Table3[#Headers],0)),0)</f>
        <v>0</v>
      </c>
      <c r="O744">
        <f>IFERROR(INDEX(Table35[#All],MATCH(Table1[[#This Row],[Key_Year_Week_Brand]],Table35[[#All],[Key_Year_Month_Brand]],0),MATCH(Table1[[#This Row],[DC_name_Xref]],Table35[#Headers],0)),0)</f>
        <v>0</v>
      </c>
    </row>
    <row r="745" spans="1:15" x14ac:dyDescent="0.3">
      <c r="A745" s="19" t="str">
        <f>Table1[[#This Row],[Year_Week]]&amp;"-"&amp;Table1[[#This Row],[DC_name_Xref]]</f>
        <v>202145-TFC</v>
      </c>
      <c r="B745" s="19" t="str">
        <f>Table1[[#This Row],[Fiscal_Year]]*100+Table1[[#This Row],[Fiscal_Week]] &amp; "-" &amp;Table1[[#This Row],[BRAND]]</f>
        <v>202145-Banana Republic</v>
      </c>
      <c r="C745" t="str">
        <f>Table1[[#This Row],[Fiscal_Year]]&amp;"-"&amp;Table1[[#This Row],[BRAND]]</f>
        <v>2021-Banana Republic</v>
      </c>
      <c r="D745">
        <v>2021</v>
      </c>
      <c r="E745">
        <v>45</v>
      </c>
      <c r="F745" t="s">
        <v>18</v>
      </c>
      <c r="G745" t="s">
        <v>21</v>
      </c>
      <c r="H745">
        <v>2</v>
      </c>
      <c r="I745">
        <v>327158</v>
      </c>
      <c r="J745" t="str">
        <f>VLOOKUP(H745,DC_Xref!A:B,2,FALSE)</f>
        <v>TFC</v>
      </c>
      <c r="K745">
        <f t="shared" si="11"/>
        <v>202145</v>
      </c>
      <c r="L745">
        <f>IFERROR(Table1[[#This Row],[Demand]]/SUMIFS(Table1[Demand],Table1[Fiscal_Year],Table1[[#This Row],[Fiscal_Year]],Table1[BRAND],Table1[[#This Row],[BRAND]],Table1[DC_name_Xref],Table1[[#This Row],[DC_name_Xref]]),0)</f>
        <v>0.12985706744146355</v>
      </c>
      <c r="M7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0.97862490570611071</v>
      </c>
      <c r="N745" s="3">
        <f>IFERROR(INDEX(Table3[#All],MATCH(Table1[[#This Row],[Key_Year_Week_Brand]],Table3[[#All],[Key_Year_Week_Brand]],0),MATCH(Table1[[#This Row],[DC_name_Xref]],Table3[#Headers],0)),0)</f>
        <v>1</v>
      </c>
      <c r="O745">
        <f>IFERROR(INDEX(Table35[#All],MATCH(Table1[[#This Row],[Key_Year_Week_Brand]],Table35[[#All],[Key_Year_Month_Brand]],0),MATCH(Table1[[#This Row],[DC_name_Xref]],Table35[#Headers],0)),0)</f>
        <v>336925</v>
      </c>
    </row>
    <row r="746" spans="1:15" x14ac:dyDescent="0.3">
      <c r="A746" s="19" t="str">
        <f>Table1[[#This Row],[Year_Week]]&amp;"-"&amp;Table1[[#This Row],[DC_name_Xref]]</f>
        <v>202145-WFC</v>
      </c>
      <c r="B746" s="19" t="str">
        <f>Table1[[#This Row],[Fiscal_Year]]*100+Table1[[#This Row],[Fiscal_Week]] &amp; "-" &amp;Table1[[#This Row],[BRAND]]</f>
        <v>202145-Banana Republic</v>
      </c>
      <c r="C746" t="str">
        <f>Table1[[#This Row],[Fiscal_Year]]&amp;"-"&amp;Table1[[#This Row],[BRAND]]</f>
        <v>2021-Banana Republic</v>
      </c>
      <c r="D746">
        <v>2021</v>
      </c>
      <c r="E746">
        <v>45</v>
      </c>
      <c r="F746" t="s">
        <v>18</v>
      </c>
      <c r="G746" t="s">
        <v>7</v>
      </c>
      <c r="H746">
        <v>3</v>
      </c>
      <c r="I746">
        <v>3</v>
      </c>
      <c r="J746" t="str">
        <f>VLOOKUP(H746,DC_Xref!A:B,2,FALSE)</f>
        <v>WFC</v>
      </c>
      <c r="K746">
        <f t="shared" si="11"/>
        <v>202145</v>
      </c>
      <c r="L746">
        <f>IFERROR(Table1[[#This Row],[Demand]]/SUMIFS(Table1[Demand],Table1[Fiscal_Year],Table1[[#This Row],[Fiscal_Year]],Table1[BRAND],Table1[[#This Row],[BRAND]],Table1[DC_name_Xref],Table1[[#This Row],[DC_name_Xref]]),0)</f>
        <v>0.33333333333333331</v>
      </c>
      <c r="M7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3.4959629396853166E-6</v>
      </c>
      <c r="N746" s="3">
        <f>IFERROR(INDEX(Table3[#All],MATCH(Table1[[#This Row],[Key_Year_Week_Brand]],Table3[[#All],[Key_Year_Week_Brand]],0),MATCH(Table1[[#This Row],[DC_name_Xref]],Table3[#Headers],0)),0)</f>
        <v>3.4959629396853166E-6</v>
      </c>
      <c r="O746">
        <f>IFERROR(INDEX(Table35[#All],MATCH(Table1[[#This Row],[Key_Year_Week_Brand]],Table35[[#All],[Key_Year_Month_Brand]],0),MATCH(Table1[[#This Row],[DC_name_Xref]],Table35[#Headers],0)),0)</f>
        <v>1.1778773134534752</v>
      </c>
    </row>
    <row r="747" spans="1:15" x14ac:dyDescent="0.3">
      <c r="A747" s="19" t="str">
        <f>Table1[[#This Row],[Year_Week]]&amp;"-"&amp;Table1[[#This Row],[DC_name_Xref]]</f>
        <v>202145-EAO</v>
      </c>
      <c r="B747" s="19" t="str">
        <f>Table1[[#This Row],[Fiscal_Year]]*100+Table1[[#This Row],[Fiscal_Week]] &amp; "-" &amp;Table1[[#This Row],[BRAND]]</f>
        <v>202145-Banana Republic</v>
      </c>
      <c r="C747" t="str">
        <f>Table1[[#This Row],[Fiscal_Year]]&amp;"-"&amp;Table1[[#This Row],[BRAND]]</f>
        <v>2021-Banana Republic</v>
      </c>
      <c r="D747">
        <v>2021</v>
      </c>
      <c r="E747">
        <v>45</v>
      </c>
      <c r="F747" t="s">
        <v>18</v>
      </c>
      <c r="G747" t="s">
        <v>8</v>
      </c>
      <c r="H747">
        <v>4</v>
      </c>
      <c r="I747">
        <v>10</v>
      </c>
      <c r="J747" t="str">
        <f>VLOOKUP(H747,DC_Xref!A:B,2,FALSE)</f>
        <v>EAO</v>
      </c>
      <c r="K747">
        <f t="shared" si="11"/>
        <v>202145</v>
      </c>
      <c r="L747">
        <f>IFERROR(Table1[[#This Row],[Demand]]/SUMIFS(Table1[Demand],Table1[Fiscal_Year],Table1[[#This Row],[Fiscal_Year]],Table1[BRAND],Table1[[#This Row],[BRAND]],Table1[DC_name_Xref],Table1[[#This Row],[DC_name_Xref]]),0)</f>
        <v>9.1743119266055051E-2</v>
      </c>
      <c r="M7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4.2339995602855504E-5</v>
      </c>
      <c r="N747" s="3">
        <f>IFERROR(INDEX(Table3[#All],MATCH(Table1[[#This Row],[Key_Year_Week_Brand]],Table3[[#All],[Key_Year_Week_Brand]],0),MATCH(Table1[[#This Row],[DC_name_Xref]],Table3[#Headers],0)),0)</f>
        <v>4.2339995602855504E-5</v>
      </c>
      <c r="O747">
        <f>IFERROR(INDEX(Table35[#All],MATCH(Table1[[#This Row],[Key_Year_Week_Brand]],Table35[[#All],[Key_Year_Month_Brand]],0),MATCH(Table1[[#This Row],[DC_name_Xref]],Table35[#Headers],0)),0)</f>
        <v>14.265403018492091</v>
      </c>
    </row>
    <row r="748" spans="1:15" x14ac:dyDescent="0.3">
      <c r="A748" s="19" t="str">
        <f>Table1[[#This Row],[Year_Week]]&amp;"-"&amp;Table1[[#This Row],[DC_name_Xref]]</f>
        <v>202145-FFC-ODC</v>
      </c>
      <c r="B748" s="19" t="str">
        <f>Table1[[#This Row],[Fiscal_Year]]*100+Table1[[#This Row],[Fiscal_Week]] &amp; "-" &amp;Table1[[#This Row],[BRAND]]</f>
        <v>202145-Banana Republic</v>
      </c>
      <c r="C748" t="str">
        <f>Table1[[#This Row],[Fiscal_Year]]&amp;"-"&amp;Table1[[#This Row],[BRAND]]</f>
        <v>2021-Banana Republic</v>
      </c>
      <c r="D748">
        <v>2021</v>
      </c>
      <c r="E748">
        <v>45</v>
      </c>
      <c r="F748" t="s">
        <v>18</v>
      </c>
      <c r="G748" t="s">
        <v>23</v>
      </c>
      <c r="H748">
        <v>5</v>
      </c>
      <c r="I748">
        <v>0</v>
      </c>
      <c r="J748" t="str">
        <f>VLOOKUP(H748,DC_Xref!A:B,2,FALSE)</f>
        <v>FFC-ODC</v>
      </c>
      <c r="K748">
        <f t="shared" si="11"/>
        <v>202145</v>
      </c>
      <c r="L748">
        <f>IFERROR(Table1[[#This Row],[Demand]]/SUMIFS(Table1[Demand],Table1[Fiscal_Year],Table1[[#This Row],[Fiscal_Year]],Table1[BRAND],Table1[[#This Row],[BRAND]],Table1[DC_name_Xref],Table1[[#This Row],[DC_name_Xref]]),0)</f>
        <v>0</v>
      </c>
      <c r="M7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48" s="3">
        <f>IFERROR(INDEX(Table3[#All],MATCH(Table1[[#This Row],[Key_Year_Week_Brand]],Table3[[#All],[Key_Year_Week_Brand]],0),MATCH(Table1[[#This Row],[DC_name_Xref]],Table3[#Headers],0)),0)</f>
        <v>0</v>
      </c>
      <c r="O748">
        <f>IFERROR(INDEX(Table35[#All],MATCH(Table1[[#This Row],[Key_Year_Week_Brand]],Table35[[#All],[Key_Year_Month_Brand]],0),MATCH(Table1[[#This Row],[DC_name_Xref]],Table35[#Headers],0)),0)</f>
        <v>0</v>
      </c>
    </row>
    <row r="749" spans="1:15" x14ac:dyDescent="0.3">
      <c r="A749" s="19" t="str">
        <f>Table1[[#This Row],[Year_Week]]&amp;"-"&amp;Table1[[#This Row],[DC_name_Xref]]</f>
        <v>202145-WEO</v>
      </c>
      <c r="B749" s="19" t="str">
        <f>Table1[[#This Row],[Fiscal_Year]]*100+Table1[[#This Row],[Fiscal_Week]] &amp; "-" &amp;Table1[[#This Row],[BRAND]]</f>
        <v>202145-Banana Republic</v>
      </c>
      <c r="C749" t="str">
        <f>Table1[[#This Row],[Fiscal_Year]]&amp;"-"&amp;Table1[[#This Row],[BRAND]]</f>
        <v>2021-Banana Republic</v>
      </c>
      <c r="D749">
        <v>2021</v>
      </c>
      <c r="E749">
        <v>45</v>
      </c>
      <c r="F749" t="s">
        <v>18</v>
      </c>
      <c r="G749" t="s">
        <v>10</v>
      </c>
      <c r="H749">
        <v>6</v>
      </c>
      <c r="I749">
        <v>0</v>
      </c>
      <c r="J749" t="str">
        <f>VLOOKUP(H749,DC_Xref!A:B,2,FALSE)</f>
        <v>WEO</v>
      </c>
      <c r="K749">
        <f t="shared" si="11"/>
        <v>202145</v>
      </c>
      <c r="L749">
        <f>IFERROR(Table1[[#This Row],[Demand]]/SUMIFS(Table1[Demand],Table1[Fiscal_Year],Table1[[#This Row],[Fiscal_Year]],Table1[BRAND],Table1[[#This Row],[BRAND]],Table1[DC_name_Xref],Table1[[#This Row],[DC_name_Xref]]),0)</f>
        <v>0</v>
      </c>
      <c r="M7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49" s="3">
        <f>IFERROR(INDEX(Table3[#All],MATCH(Table1[[#This Row],[Key_Year_Week_Brand]],Table3[[#All],[Key_Year_Week_Brand]],0),MATCH(Table1[[#This Row],[DC_name_Xref]],Table3[#Headers],0)),0)</f>
        <v>0</v>
      </c>
      <c r="O749">
        <f>IFERROR(INDEX(Table35[#All],MATCH(Table1[[#This Row],[Key_Year_Week_Brand]],Table35[[#All],[Key_Year_Month_Brand]],0),MATCH(Table1[[#This Row],[DC_name_Xref]],Table35[#Headers],0)),0)</f>
        <v>0</v>
      </c>
    </row>
    <row r="750" spans="1:15" x14ac:dyDescent="0.3">
      <c r="A750" s="19" t="str">
        <f>Table1[[#This Row],[Year_Week]]&amp;"-"&amp;Table1[[#This Row],[DC_name_Xref]]</f>
        <v>202145-OCC</v>
      </c>
      <c r="B750" s="19" t="str">
        <f>Table1[[#This Row],[Fiscal_Year]]*100+Table1[[#This Row],[Fiscal_Week]] &amp; "-" &amp;Table1[[#This Row],[BRAND]]</f>
        <v>202145-Banana Republic</v>
      </c>
      <c r="C750" t="str">
        <f>Table1[[#This Row],[Fiscal_Year]]&amp;"-"&amp;Table1[[#This Row],[BRAND]]</f>
        <v>2021-Banana Republic</v>
      </c>
      <c r="D750">
        <v>2021</v>
      </c>
      <c r="E750">
        <v>45</v>
      </c>
      <c r="F750" t="s">
        <v>18</v>
      </c>
      <c r="G750" t="s">
        <v>11</v>
      </c>
      <c r="H750">
        <v>7</v>
      </c>
      <c r="I750">
        <v>0</v>
      </c>
      <c r="J750" t="str">
        <f>VLOOKUP(H750,DC_Xref!A:B,2,FALSE)</f>
        <v>OCC</v>
      </c>
      <c r="K750">
        <f t="shared" si="11"/>
        <v>202145</v>
      </c>
      <c r="L750">
        <f>IFERROR(Table1[[#This Row],[Demand]]/SUMIFS(Table1[Demand],Table1[Fiscal_Year],Table1[[#This Row],[Fiscal_Year]],Table1[BRAND],Table1[[#This Row],[BRAND]],Table1[DC_name_Xref],Table1[[#This Row],[DC_name_Xref]]),0)</f>
        <v>0</v>
      </c>
      <c r="M7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0" s="3">
        <f>IFERROR(INDEX(Table3[#All],MATCH(Table1[[#This Row],[Key_Year_Week_Brand]],Table3[[#All],[Key_Year_Week_Brand]],0),MATCH(Table1[[#This Row],[DC_name_Xref]],Table3[#Headers],0)),0)</f>
        <v>0</v>
      </c>
      <c r="O750">
        <f>IFERROR(INDEX(Table35[#All],MATCH(Table1[[#This Row],[Key_Year_Week_Brand]],Table35[[#All],[Key_Year_Month_Brand]],0),MATCH(Table1[[#This Row],[DC_name_Xref]],Table35[#Headers],0)),0)</f>
        <v>0</v>
      </c>
    </row>
    <row r="751" spans="1:15" x14ac:dyDescent="0.3">
      <c r="A751" s="19" t="str">
        <f>Table1[[#This Row],[Year_Week]]&amp;"-"&amp;Table1[[#This Row],[DC_name_Xref]]</f>
        <v>202145-OFC</v>
      </c>
      <c r="B751" s="19" t="str">
        <f>Table1[[#This Row],[Fiscal_Year]]*100+Table1[[#This Row],[Fiscal_Week]] &amp; "-" &amp;Table1[[#This Row],[BRAND]]</f>
        <v>202145-BR Factory Store</v>
      </c>
      <c r="C751" t="str">
        <f>Table1[[#This Row],[Fiscal_Year]]&amp;"-"&amp;Table1[[#This Row],[BRAND]]</f>
        <v>2021-BR Factory Store</v>
      </c>
      <c r="D751">
        <v>2021</v>
      </c>
      <c r="E751">
        <v>45</v>
      </c>
      <c r="F751" t="s">
        <v>17</v>
      </c>
      <c r="G751" t="s">
        <v>5</v>
      </c>
      <c r="H751">
        <v>1</v>
      </c>
      <c r="I751">
        <v>136664</v>
      </c>
      <c r="J751" t="str">
        <f>VLOOKUP(H751,DC_Xref!A:B,2,FALSE)</f>
        <v>OFC</v>
      </c>
      <c r="K751">
        <f t="shared" si="11"/>
        <v>202145</v>
      </c>
      <c r="L751">
        <f>IFERROR(Table1[[#This Row],[Demand]]/SUMIFS(Table1[Demand],Table1[Fiscal_Year],Table1[[#This Row],[Fiscal_Year]],Table1[BRAND],Table1[[#This Row],[BRAND]],Table1[DC_name_Xref],Table1[[#This Row],[DC_name_Xref]]),0)</f>
        <v>7.6749932608500313E-2</v>
      </c>
      <c r="M7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751" s="3">
        <f>IFERROR(INDEX(Table3[#All],MATCH(Table1[[#This Row],[Key_Year_Week_Brand]],Table3[[#All],[Key_Year_Week_Brand]],0),MATCH(Table1[[#This Row],[DC_name_Xref]],Table3[#Headers],0)),0)</f>
        <v>1</v>
      </c>
      <c r="O751">
        <f>IFERROR(INDEX(Table35[#All],MATCH(Table1[[#This Row],[Key_Year_Week_Brand]],Table35[[#All],[Key_Year_Month_Brand]],0),MATCH(Table1[[#This Row],[DC_name_Xref]],Table35[#Headers],0)),0)</f>
        <v>136664</v>
      </c>
    </row>
    <row r="752" spans="1:15" x14ac:dyDescent="0.3">
      <c r="A752" s="19" t="str">
        <f>Table1[[#This Row],[Year_Week]]&amp;"-"&amp;Table1[[#This Row],[DC_name_Xref]]</f>
        <v>202145-TFC</v>
      </c>
      <c r="B752" s="19" t="str">
        <f>Table1[[#This Row],[Fiscal_Year]]*100+Table1[[#This Row],[Fiscal_Week]] &amp; "-" &amp;Table1[[#This Row],[BRAND]]</f>
        <v>202145-BR Factory Store</v>
      </c>
      <c r="C752" t="str">
        <f>Table1[[#This Row],[Fiscal_Year]]&amp;"-"&amp;Table1[[#This Row],[BRAND]]</f>
        <v>2021-BR Factory Store</v>
      </c>
      <c r="D752">
        <v>2021</v>
      </c>
      <c r="E752">
        <v>45</v>
      </c>
      <c r="F752" t="s">
        <v>17</v>
      </c>
      <c r="G752" t="s">
        <v>21</v>
      </c>
      <c r="H752">
        <v>2</v>
      </c>
      <c r="I752">
        <v>0</v>
      </c>
      <c r="J752" t="str">
        <f>VLOOKUP(H752,DC_Xref!A:B,2,FALSE)</f>
        <v>TFC</v>
      </c>
      <c r="K752">
        <f t="shared" si="11"/>
        <v>202145</v>
      </c>
      <c r="L752">
        <f>IFERROR(Table1[[#This Row],[Demand]]/SUMIFS(Table1[Demand],Table1[Fiscal_Year],Table1[[#This Row],[Fiscal_Year]],Table1[BRAND],Table1[[#This Row],[BRAND]],Table1[DC_name_Xref],Table1[[#This Row],[DC_name_Xref]]),0)</f>
        <v>0</v>
      </c>
      <c r="M7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2" s="3">
        <f>IFERROR(INDEX(Table3[#All],MATCH(Table1[[#This Row],[Key_Year_Week_Brand]],Table3[[#All],[Key_Year_Week_Brand]],0),MATCH(Table1[[#This Row],[DC_name_Xref]],Table3[#Headers],0)),0)</f>
        <v>0</v>
      </c>
      <c r="O752">
        <f>IFERROR(INDEX(Table35[#All],MATCH(Table1[[#This Row],[Key_Year_Week_Brand]],Table35[[#All],[Key_Year_Month_Brand]],0),MATCH(Table1[[#This Row],[DC_name_Xref]],Table35[#Headers],0)),0)</f>
        <v>0</v>
      </c>
    </row>
    <row r="753" spans="1:15" x14ac:dyDescent="0.3">
      <c r="A753" s="19" t="str">
        <f>Table1[[#This Row],[Year_Week]]&amp;"-"&amp;Table1[[#This Row],[DC_name_Xref]]</f>
        <v>202145-WFC</v>
      </c>
      <c r="B753" s="19" t="str">
        <f>Table1[[#This Row],[Fiscal_Year]]*100+Table1[[#This Row],[Fiscal_Week]] &amp; "-" &amp;Table1[[#This Row],[BRAND]]</f>
        <v>202145-BR Factory Store</v>
      </c>
      <c r="C753" t="str">
        <f>Table1[[#This Row],[Fiscal_Year]]&amp;"-"&amp;Table1[[#This Row],[BRAND]]</f>
        <v>2021-BR Factory Store</v>
      </c>
      <c r="D753">
        <v>2021</v>
      </c>
      <c r="E753">
        <v>45</v>
      </c>
      <c r="F753" t="s">
        <v>17</v>
      </c>
      <c r="G753" t="s">
        <v>7</v>
      </c>
      <c r="H753">
        <v>3</v>
      </c>
      <c r="I753">
        <v>0</v>
      </c>
      <c r="J753" t="str">
        <f>VLOOKUP(H753,DC_Xref!A:B,2,FALSE)</f>
        <v>WFC</v>
      </c>
      <c r="K753">
        <f t="shared" si="11"/>
        <v>202145</v>
      </c>
      <c r="L753">
        <f>IFERROR(Table1[[#This Row],[Demand]]/SUMIFS(Table1[Demand],Table1[Fiscal_Year],Table1[[#This Row],[Fiscal_Year]],Table1[BRAND],Table1[[#This Row],[BRAND]],Table1[DC_name_Xref],Table1[[#This Row],[DC_name_Xref]]),0)</f>
        <v>0</v>
      </c>
      <c r="M7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3" s="3">
        <f>IFERROR(INDEX(Table3[#All],MATCH(Table1[[#This Row],[Key_Year_Week_Brand]],Table3[[#All],[Key_Year_Week_Brand]],0),MATCH(Table1[[#This Row],[DC_name_Xref]],Table3[#Headers],0)),0)</f>
        <v>0</v>
      </c>
      <c r="O753">
        <f>IFERROR(INDEX(Table35[#All],MATCH(Table1[[#This Row],[Key_Year_Week_Brand]],Table35[[#All],[Key_Year_Month_Brand]],0),MATCH(Table1[[#This Row],[DC_name_Xref]],Table35[#Headers],0)),0)</f>
        <v>0</v>
      </c>
    </row>
    <row r="754" spans="1:15" x14ac:dyDescent="0.3">
      <c r="A754" s="19" t="str">
        <f>Table1[[#This Row],[Year_Week]]&amp;"-"&amp;Table1[[#This Row],[DC_name_Xref]]</f>
        <v>202145-EAO</v>
      </c>
      <c r="B754" s="19" t="str">
        <f>Table1[[#This Row],[Fiscal_Year]]*100+Table1[[#This Row],[Fiscal_Week]] &amp; "-" &amp;Table1[[#This Row],[BRAND]]</f>
        <v>202145-BR Factory Store</v>
      </c>
      <c r="C754" t="str">
        <f>Table1[[#This Row],[Fiscal_Year]]&amp;"-"&amp;Table1[[#This Row],[BRAND]]</f>
        <v>2021-BR Factory Store</v>
      </c>
      <c r="D754">
        <v>2021</v>
      </c>
      <c r="E754">
        <v>45</v>
      </c>
      <c r="F754" t="s">
        <v>17</v>
      </c>
      <c r="G754" t="s">
        <v>8</v>
      </c>
      <c r="H754">
        <v>4</v>
      </c>
      <c r="I754">
        <v>0</v>
      </c>
      <c r="J754" t="str">
        <f>VLOOKUP(H754,DC_Xref!A:B,2,FALSE)</f>
        <v>EAO</v>
      </c>
      <c r="K754">
        <f t="shared" si="11"/>
        <v>202145</v>
      </c>
      <c r="L754">
        <f>IFERROR(Table1[[#This Row],[Demand]]/SUMIFS(Table1[Demand],Table1[Fiscal_Year],Table1[[#This Row],[Fiscal_Year]],Table1[BRAND],Table1[[#This Row],[BRAND]],Table1[DC_name_Xref],Table1[[#This Row],[DC_name_Xref]]),0)</f>
        <v>0</v>
      </c>
      <c r="M7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4" s="3">
        <f>IFERROR(INDEX(Table3[#All],MATCH(Table1[[#This Row],[Key_Year_Week_Brand]],Table3[[#All],[Key_Year_Week_Brand]],0),MATCH(Table1[[#This Row],[DC_name_Xref]],Table3[#Headers],0)),0)</f>
        <v>0</v>
      </c>
      <c r="O754">
        <f>IFERROR(INDEX(Table35[#All],MATCH(Table1[[#This Row],[Key_Year_Week_Brand]],Table35[[#All],[Key_Year_Month_Brand]],0),MATCH(Table1[[#This Row],[DC_name_Xref]],Table35[#Headers],0)),0)</f>
        <v>0</v>
      </c>
    </row>
    <row r="755" spans="1:15" x14ac:dyDescent="0.3">
      <c r="A755" s="19" t="str">
        <f>Table1[[#This Row],[Year_Week]]&amp;"-"&amp;Table1[[#This Row],[DC_name_Xref]]</f>
        <v>202145-FFC-ODC</v>
      </c>
      <c r="B755" s="19" t="str">
        <f>Table1[[#This Row],[Fiscal_Year]]*100+Table1[[#This Row],[Fiscal_Week]] &amp; "-" &amp;Table1[[#This Row],[BRAND]]</f>
        <v>202145-BR Factory Store</v>
      </c>
      <c r="C755" t="str">
        <f>Table1[[#This Row],[Fiscal_Year]]&amp;"-"&amp;Table1[[#This Row],[BRAND]]</f>
        <v>2021-BR Factory Store</v>
      </c>
      <c r="D755">
        <v>2021</v>
      </c>
      <c r="E755">
        <v>45</v>
      </c>
      <c r="F755" t="s">
        <v>17</v>
      </c>
      <c r="G755" t="s">
        <v>23</v>
      </c>
      <c r="H755">
        <v>5</v>
      </c>
      <c r="I755">
        <v>0</v>
      </c>
      <c r="J755" t="str">
        <f>VLOOKUP(H755,DC_Xref!A:B,2,FALSE)</f>
        <v>FFC-ODC</v>
      </c>
      <c r="K755">
        <f t="shared" si="11"/>
        <v>202145</v>
      </c>
      <c r="L755">
        <f>IFERROR(Table1[[#This Row],[Demand]]/SUMIFS(Table1[Demand],Table1[Fiscal_Year],Table1[[#This Row],[Fiscal_Year]],Table1[BRAND],Table1[[#This Row],[BRAND]],Table1[DC_name_Xref],Table1[[#This Row],[DC_name_Xref]]),0)</f>
        <v>0</v>
      </c>
      <c r="M7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5" s="3">
        <f>IFERROR(INDEX(Table3[#All],MATCH(Table1[[#This Row],[Key_Year_Week_Brand]],Table3[[#All],[Key_Year_Week_Brand]],0),MATCH(Table1[[#This Row],[DC_name_Xref]],Table3[#Headers],0)),0)</f>
        <v>0</v>
      </c>
      <c r="O755">
        <f>IFERROR(INDEX(Table35[#All],MATCH(Table1[[#This Row],[Key_Year_Week_Brand]],Table35[[#All],[Key_Year_Month_Brand]],0),MATCH(Table1[[#This Row],[DC_name_Xref]],Table35[#Headers],0)),0)</f>
        <v>0</v>
      </c>
    </row>
    <row r="756" spans="1:15" x14ac:dyDescent="0.3">
      <c r="A756" s="19" t="str">
        <f>Table1[[#This Row],[Year_Week]]&amp;"-"&amp;Table1[[#This Row],[DC_name_Xref]]</f>
        <v>202145-WEO</v>
      </c>
      <c r="B756" s="19" t="str">
        <f>Table1[[#This Row],[Fiscal_Year]]*100+Table1[[#This Row],[Fiscal_Week]] &amp; "-" &amp;Table1[[#This Row],[BRAND]]</f>
        <v>202145-BR Factory Store</v>
      </c>
      <c r="C756" t="str">
        <f>Table1[[#This Row],[Fiscal_Year]]&amp;"-"&amp;Table1[[#This Row],[BRAND]]</f>
        <v>2021-BR Factory Store</v>
      </c>
      <c r="D756">
        <v>2021</v>
      </c>
      <c r="E756">
        <v>45</v>
      </c>
      <c r="F756" t="s">
        <v>17</v>
      </c>
      <c r="G756" t="s">
        <v>10</v>
      </c>
      <c r="H756">
        <v>6</v>
      </c>
      <c r="I756">
        <v>0</v>
      </c>
      <c r="J756" t="str">
        <f>VLOOKUP(H756,DC_Xref!A:B,2,FALSE)</f>
        <v>WEO</v>
      </c>
      <c r="K756">
        <f t="shared" si="11"/>
        <v>202145</v>
      </c>
      <c r="L756">
        <f>IFERROR(Table1[[#This Row],[Demand]]/SUMIFS(Table1[Demand],Table1[Fiscal_Year],Table1[[#This Row],[Fiscal_Year]],Table1[BRAND],Table1[[#This Row],[BRAND]],Table1[DC_name_Xref],Table1[[#This Row],[DC_name_Xref]]),0)</f>
        <v>0</v>
      </c>
      <c r="M7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6" s="3">
        <f>IFERROR(INDEX(Table3[#All],MATCH(Table1[[#This Row],[Key_Year_Week_Brand]],Table3[[#All],[Key_Year_Week_Brand]],0),MATCH(Table1[[#This Row],[DC_name_Xref]],Table3[#Headers],0)),0)</f>
        <v>0</v>
      </c>
      <c r="O756">
        <f>IFERROR(INDEX(Table35[#All],MATCH(Table1[[#This Row],[Key_Year_Week_Brand]],Table35[[#All],[Key_Year_Month_Brand]],0),MATCH(Table1[[#This Row],[DC_name_Xref]],Table35[#Headers],0)),0)</f>
        <v>0</v>
      </c>
    </row>
    <row r="757" spans="1:15" x14ac:dyDescent="0.3">
      <c r="A757" s="19" t="str">
        <f>Table1[[#This Row],[Year_Week]]&amp;"-"&amp;Table1[[#This Row],[DC_name_Xref]]</f>
        <v>202145-OCC</v>
      </c>
      <c r="B757" s="19" t="str">
        <f>Table1[[#This Row],[Fiscal_Year]]*100+Table1[[#This Row],[Fiscal_Week]] &amp; "-" &amp;Table1[[#This Row],[BRAND]]</f>
        <v>202145-BR Factory Store</v>
      </c>
      <c r="C757" t="str">
        <f>Table1[[#This Row],[Fiscal_Year]]&amp;"-"&amp;Table1[[#This Row],[BRAND]]</f>
        <v>2021-BR Factory Store</v>
      </c>
      <c r="D757">
        <v>2021</v>
      </c>
      <c r="E757">
        <v>45</v>
      </c>
      <c r="F757" t="s">
        <v>17</v>
      </c>
      <c r="G757" t="s">
        <v>11</v>
      </c>
      <c r="H757">
        <v>7</v>
      </c>
      <c r="I757">
        <v>0</v>
      </c>
      <c r="J757" t="str">
        <f>VLOOKUP(H757,DC_Xref!A:B,2,FALSE)</f>
        <v>OCC</v>
      </c>
      <c r="K757">
        <f t="shared" si="11"/>
        <v>202145</v>
      </c>
      <c r="L757">
        <f>IFERROR(Table1[[#This Row],[Demand]]/SUMIFS(Table1[Demand],Table1[Fiscal_Year],Table1[[#This Row],[Fiscal_Year]],Table1[BRAND],Table1[[#This Row],[BRAND]],Table1[DC_name_Xref],Table1[[#This Row],[DC_name_Xref]]),0)</f>
        <v>0</v>
      </c>
      <c r="M7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57" s="3">
        <f>IFERROR(INDEX(Table3[#All],MATCH(Table1[[#This Row],[Key_Year_Week_Brand]],Table3[[#All],[Key_Year_Week_Brand]],0),MATCH(Table1[[#This Row],[DC_name_Xref]],Table3[#Headers],0)),0)</f>
        <v>0</v>
      </c>
      <c r="O757">
        <f>IFERROR(INDEX(Table35[#All],MATCH(Table1[[#This Row],[Key_Year_Week_Brand]],Table35[[#All],[Key_Year_Month_Brand]],0),MATCH(Table1[[#This Row],[DC_name_Xref]],Table35[#Headers],0)),0)</f>
        <v>0</v>
      </c>
    </row>
    <row r="758" spans="1:15" x14ac:dyDescent="0.3">
      <c r="A758" s="19" t="str">
        <f>Table1[[#This Row],[Year_Week]]&amp;"-"&amp;Table1[[#This Row],[DC_name_Xref]]</f>
        <v>202146-OFC</v>
      </c>
      <c r="B758" s="19" t="str">
        <f>Table1[[#This Row],[Fiscal_Year]]*100+Table1[[#This Row],[Fiscal_Week]] &amp; "-" &amp;Table1[[#This Row],[BRAND]]</f>
        <v>202146-Old Navy</v>
      </c>
      <c r="C758" t="str">
        <f>Table1[[#This Row],[Fiscal_Year]]&amp;"-"&amp;Table1[[#This Row],[BRAND]]</f>
        <v>2021-Old Navy</v>
      </c>
      <c r="D758">
        <v>2021</v>
      </c>
      <c r="E758">
        <v>46</v>
      </c>
      <c r="F758" t="s">
        <v>20</v>
      </c>
      <c r="G758" t="s">
        <v>5</v>
      </c>
      <c r="H758">
        <v>1</v>
      </c>
      <c r="I758">
        <v>1162454</v>
      </c>
      <c r="J758" t="str">
        <f>VLOOKUP(H758,DC_Xref!A:B,2,FALSE)</f>
        <v>OFC</v>
      </c>
      <c r="K758">
        <f t="shared" si="11"/>
        <v>202146</v>
      </c>
      <c r="L758">
        <f>IFERROR(Table1[[#This Row],[Demand]]/SUMIFS(Table1[Demand],Table1[Fiscal_Year],Table1[[#This Row],[Fiscal_Year]],Table1[BRAND],Table1[[#This Row],[BRAND]],Table1[DC_name_Xref],Table1[[#This Row],[DC_name_Xref]]),0)</f>
        <v>0.1302727385914948</v>
      </c>
      <c r="M7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0.29585491332950564</v>
      </c>
      <c r="N758" s="3">
        <f>IFERROR(INDEX(Table3[#All],MATCH(Table1[[#This Row],[Key_Year_Week_Brand]],Table3[[#All],[Key_Year_Week_Brand]],0),MATCH(Table1[[#This Row],[DC_name_Xref]],Table3[#Headers],0)),0)</f>
        <v>0.15</v>
      </c>
      <c r="O758">
        <f>IFERROR(INDEX(Table35[#All],MATCH(Table1[[#This Row],[Key_Year_Week_Brand]],Table35[[#All],[Key_Year_Month_Brand]],0),MATCH(Table1[[#This Row],[DC_name_Xref]],Table35[#Headers],0)),0)</f>
        <v>576213.6</v>
      </c>
    </row>
    <row r="759" spans="1:15" x14ac:dyDescent="0.3">
      <c r="A759" s="19" t="str">
        <f>Table1[[#This Row],[Year_Week]]&amp;"-"&amp;Table1[[#This Row],[DC_name_Xref]]</f>
        <v>202146-TFC</v>
      </c>
      <c r="B759" s="19" t="str">
        <f>Table1[[#This Row],[Fiscal_Year]]*100+Table1[[#This Row],[Fiscal_Week]] &amp; "-" &amp;Table1[[#This Row],[BRAND]]</f>
        <v>202146-Old Navy</v>
      </c>
      <c r="C759" t="str">
        <f>Table1[[#This Row],[Fiscal_Year]]&amp;"-"&amp;Table1[[#This Row],[BRAND]]</f>
        <v>2021-Old Navy</v>
      </c>
      <c r="D759">
        <v>2021</v>
      </c>
      <c r="E759">
        <v>46</v>
      </c>
      <c r="F759" t="s">
        <v>20</v>
      </c>
      <c r="G759" t="s">
        <v>21</v>
      </c>
      <c r="H759">
        <v>2</v>
      </c>
      <c r="I759">
        <v>709685</v>
      </c>
      <c r="J759" t="str">
        <f>VLOOKUP(H759,DC_Xref!A:B,2,FALSE)</f>
        <v>TFC</v>
      </c>
      <c r="K759">
        <f t="shared" si="11"/>
        <v>202146</v>
      </c>
      <c r="L759">
        <f>IFERROR(Table1[[#This Row],[Demand]]/SUMIFS(Table1[Demand],Table1[Fiscal_Year],Table1[[#This Row],[Fiscal_Year]],Table1[BRAND],Table1[[#This Row],[BRAND]],Table1[DC_name_Xref],Table1[[#This Row],[DC_name_Xref]]),0)</f>
        <v>0.13835523208084469</v>
      </c>
      <c r="M7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0.17006956138921989</v>
      </c>
      <c r="N759" s="3">
        <f>IFERROR(INDEX(Table3[#All],MATCH(Table1[[#This Row],[Key_Year_Week_Brand]],Table3[[#All],[Key_Year_Week_Brand]],0),MATCH(Table1[[#This Row],[DC_name_Xref]],Table3[#Headers],0)),0)</f>
        <v>0.17760000000000001</v>
      </c>
      <c r="O759">
        <f>IFERROR(INDEX(Table35[#All],MATCH(Table1[[#This Row],[Key_Year_Week_Brand]],Table35[[#All],[Key_Year_Month_Brand]],0),MATCH(Table1[[#This Row],[DC_name_Xref]],Table35[#Headers],0)),0)</f>
        <v>682236.90240000002</v>
      </c>
    </row>
    <row r="760" spans="1:15" x14ac:dyDescent="0.3">
      <c r="A760" s="19" t="str">
        <f>Table1[[#This Row],[Year_Week]]&amp;"-"&amp;Table1[[#This Row],[DC_name_Xref]]</f>
        <v>202146-WFC</v>
      </c>
      <c r="B760" s="19" t="str">
        <f>Table1[[#This Row],[Fiscal_Year]]*100+Table1[[#This Row],[Fiscal_Week]] &amp; "-" &amp;Table1[[#This Row],[BRAND]]</f>
        <v>202146-Old Navy</v>
      </c>
      <c r="C760" t="str">
        <f>Table1[[#This Row],[Fiscal_Year]]&amp;"-"&amp;Table1[[#This Row],[BRAND]]</f>
        <v>2021-Old Navy</v>
      </c>
      <c r="D760">
        <v>2021</v>
      </c>
      <c r="E760">
        <v>46</v>
      </c>
      <c r="F760" t="s">
        <v>20</v>
      </c>
      <c r="G760" t="s">
        <v>7</v>
      </c>
      <c r="H760">
        <v>3</v>
      </c>
      <c r="I760">
        <v>726023</v>
      </c>
      <c r="J760" t="str">
        <f>VLOOKUP(H760,DC_Xref!A:B,2,FALSE)</f>
        <v>WFC</v>
      </c>
      <c r="K760">
        <f t="shared" si="11"/>
        <v>202146</v>
      </c>
      <c r="L760">
        <f>IFERROR(Table1[[#This Row],[Demand]]/SUMIFS(Table1[Demand],Table1[Fiscal_Year],Table1[[#This Row],[Fiscal_Year]],Table1[BRAND],Table1[[#This Row],[BRAND]],Table1[DC_name_Xref],Table1[[#This Row],[DC_name_Xref]]),0)</f>
        <v>0.11935572963331333</v>
      </c>
      <c r="M7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0.20168038417761627</v>
      </c>
      <c r="N760" s="3">
        <f>IFERROR(INDEX(Table3[#All],MATCH(Table1[[#This Row],[Key_Year_Week_Brand]],Table3[[#All],[Key_Year_Week_Brand]],0),MATCH(Table1[[#This Row],[DC_name_Xref]],Table3[#Headers],0)),0)</f>
        <v>0</v>
      </c>
      <c r="O760">
        <f>IFERROR(INDEX(Table35[#All],MATCH(Table1[[#This Row],[Key_Year_Week_Brand]],Table35[[#All],[Key_Year_Month_Brand]],0),MATCH(Table1[[#This Row],[DC_name_Xref]],Table35[#Headers],0)),0)</f>
        <v>0</v>
      </c>
    </row>
    <row r="761" spans="1:15" x14ac:dyDescent="0.3">
      <c r="A761" s="19" t="str">
        <f>Table1[[#This Row],[Year_Week]]&amp;"-"&amp;Table1[[#This Row],[DC_name_Xref]]</f>
        <v>202146-EAO</v>
      </c>
      <c r="B761" s="19" t="str">
        <f>Table1[[#This Row],[Fiscal_Year]]*100+Table1[[#This Row],[Fiscal_Week]] &amp; "-" &amp;Table1[[#This Row],[BRAND]]</f>
        <v>202146-Old Navy</v>
      </c>
      <c r="C761" t="str">
        <f>Table1[[#This Row],[Fiscal_Year]]&amp;"-"&amp;Table1[[#This Row],[BRAND]]</f>
        <v>2021-Old Navy</v>
      </c>
      <c r="D761">
        <v>2021</v>
      </c>
      <c r="E761">
        <v>46</v>
      </c>
      <c r="F761" t="s">
        <v>20</v>
      </c>
      <c r="G761" t="s">
        <v>8</v>
      </c>
      <c r="H761">
        <v>4</v>
      </c>
      <c r="I761">
        <v>1243262</v>
      </c>
      <c r="J761" t="str">
        <f>VLOOKUP(H761,DC_Xref!A:B,2,FALSE)</f>
        <v>EAO</v>
      </c>
      <c r="K761">
        <f t="shared" si="11"/>
        <v>202146</v>
      </c>
      <c r="L761">
        <f>IFERROR(Table1[[#This Row],[Demand]]/SUMIFS(Table1[Demand],Table1[Fiscal_Year],Table1[[#This Row],[Fiscal_Year]],Table1[BRAND],Table1[[#This Row],[BRAND]],Table1[DC_name_Xref],Table1[[#This Row],[DC_name_Xref]]),0)</f>
        <v>0.12401223821650727</v>
      </c>
      <c r="M7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0.3323951411036582</v>
      </c>
      <c r="N761" s="3">
        <f>IFERROR(INDEX(Table3[#All],MATCH(Table1[[#This Row],[Key_Year_Week_Brand]],Table3[[#All],[Key_Year_Week_Brand]],0),MATCH(Table1[[#This Row],[DC_name_Xref]],Table3[#Headers],0)),0)</f>
        <v>0.27239514110365798</v>
      </c>
      <c r="O761">
        <f>IFERROR(INDEX(Table35[#All],MATCH(Table1[[#This Row],[Key_Year_Week_Brand]],Table35[[#All],[Key_Year_Month_Brand]],0),MATCH(Table1[[#This Row],[DC_name_Xref]],Table35[#Headers],0)),0)</f>
        <v>1046385.2325189783</v>
      </c>
    </row>
    <row r="762" spans="1:15" x14ac:dyDescent="0.3">
      <c r="A762" s="19" t="str">
        <f>Table1[[#This Row],[Year_Week]]&amp;"-"&amp;Table1[[#This Row],[DC_name_Xref]]</f>
        <v>202146-FFC-ODC</v>
      </c>
      <c r="B762" s="19" t="str">
        <f>Table1[[#This Row],[Fiscal_Year]]*100+Table1[[#This Row],[Fiscal_Week]] &amp; "-" &amp;Table1[[#This Row],[BRAND]]</f>
        <v>202146-Old Navy</v>
      </c>
      <c r="C762" t="str">
        <f>Table1[[#This Row],[Fiscal_Year]]&amp;"-"&amp;Table1[[#This Row],[BRAND]]</f>
        <v>2021-Old Navy</v>
      </c>
      <c r="D762">
        <v>2021</v>
      </c>
      <c r="E762">
        <v>46</v>
      </c>
      <c r="F762" t="s">
        <v>20</v>
      </c>
      <c r="G762" t="s">
        <v>23</v>
      </c>
      <c r="H762">
        <v>5</v>
      </c>
      <c r="I762">
        <v>0</v>
      </c>
      <c r="J762" t="str">
        <f>VLOOKUP(H762,DC_Xref!A:B,2,FALSE)</f>
        <v>FFC-ODC</v>
      </c>
      <c r="K762">
        <f t="shared" si="11"/>
        <v>202146</v>
      </c>
      <c r="L762">
        <f>IFERROR(Table1[[#This Row],[Demand]]/SUMIFS(Table1[Demand],Table1[Fiscal_Year],Table1[[#This Row],[Fiscal_Year]],Table1[BRAND],Table1[[#This Row],[BRAND]],Table1[DC_name_Xref],Table1[[#This Row],[DC_name_Xref]]),0)</f>
        <v>0</v>
      </c>
      <c r="M7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62" s="3">
        <f>IFERROR(INDEX(Table3[#All],MATCH(Table1[[#This Row],[Key_Year_Week_Brand]],Table3[[#All],[Key_Year_Week_Brand]],0),MATCH(Table1[[#This Row],[DC_name_Xref]],Table3[#Headers],0)),0)</f>
        <v>0</v>
      </c>
      <c r="O762">
        <f>IFERROR(INDEX(Table35[#All],MATCH(Table1[[#This Row],[Key_Year_Week_Brand]],Table35[[#All],[Key_Year_Month_Brand]],0),MATCH(Table1[[#This Row],[DC_name_Xref]],Table35[#Headers],0)),0)</f>
        <v>0</v>
      </c>
    </row>
    <row r="763" spans="1:15" x14ac:dyDescent="0.3">
      <c r="A763" s="19" t="str">
        <f>Table1[[#This Row],[Year_Week]]&amp;"-"&amp;Table1[[#This Row],[DC_name_Xref]]</f>
        <v>202146-WEO</v>
      </c>
      <c r="B763" s="19" t="str">
        <f>Table1[[#This Row],[Fiscal_Year]]*100+Table1[[#This Row],[Fiscal_Week]] &amp; "-" &amp;Table1[[#This Row],[BRAND]]</f>
        <v>202146-Old Navy</v>
      </c>
      <c r="C763" t="str">
        <f>Table1[[#This Row],[Fiscal_Year]]&amp;"-"&amp;Table1[[#This Row],[BRAND]]</f>
        <v>2021-Old Navy</v>
      </c>
      <c r="D763">
        <v>2021</v>
      </c>
      <c r="E763">
        <v>46</v>
      </c>
      <c r="F763" t="s">
        <v>20</v>
      </c>
      <c r="G763" t="s">
        <v>10</v>
      </c>
      <c r="H763">
        <v>6</v>
      </c>
      <c r="I763">
        <v>0</v>
      </c>
      <c r="J763" t="str">
        <f>VLOOKUP(H763,DC_Xref!A:B,2,FALSE)</f>
        <v>WEO</v>
      </c>
      <c r="K763">
        <f t="shared" si="11"/>
        <v>202146</v>
      </c>
      <c r="L763">
        <f>IFERROR(Table1[[#This Row],[Demand]]/SUMIFS(Table1[Demand],Table1[Fiscal_Year],Table1[[#This Row],[Fiscal_Year]],Table1[BRAND],Table1[[#This Row],[BRAND]],Table1[DC_name_Xref],Table1[[#This Row],[DC_name_Xref]]),0)</f>
        <v>0</v>
      </c>
      <c r="M7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63" s="3">
        <f>IFERROR(INDEX(Table3[#All],MATCH(Table1[[#This Row],[Key_Year_Week_Brand]],Table3[[#All],[Key_Year_Week_Brand]],0),MATCH(Table1[[#This Row],[DC_name_Xref]],Table3[#Headers],0)),0)</f>
        <v>0.24</v>
      </c>
      <c r="O763">
        <f>IFERROR(INDEX(Table35[#All],MATCH(Table1[[#This Row],[Key_Year_Week_Brand]],Table35[[#All],[Key_Year_Month_Brand]],0),MATCH(Table1[[#This Row],[DC_name_Xref]],Table35[#Headers],0)),0)</f>
        <v>921941.76</v>
      </c>
    </row>
    <row r="764" spans="1:15" x14ac:dyDescent="0.3">
      <c r="A764" s="19" t="str">
        <f>Table1[[#This Row],[Year_Week]]&amp;"-"&amp;Table1[[#This Row],[DC_name_Xref]]</f>
        <v>202146-OCC</v>
      </c>
      <c r="B764" s="19" t="str">
        <f>Table1[[#This Row],[Fiscal_Year]]*100+Table1[[#This Row],[Fiscal_Week]] &amp; "-" &amp;Table1[[#This Row],[BRAND]]</f>
        <v>202146-Old Navy</v>
      </c>
      <c r="C764" t="str">
        <f>Table1[[#This Row],[Fiscal_Year]]&amp;"-"&amp;Table1[[#This Row],[BRAND]]</f>
        <v>2021-Old Navy</v>
      </c>
      <c r="D764">
        <v>2021</v>
      </c>
      <c r="E764">
        <v>46</v>
      </c>
      <c r="F764" t="s">
        <v>20</v>
      </c>
      <c r="G764" t="s">
        <v>11</v>
      </c>
      <c r="H764">
        <v>7</v>
      </c>
      <c r="I764">
        <v>0</v>
      </c>
      <c r="J764" t="str">
        <f>VLOOKUP(H764,DC_Xref!A:B,2,FALSE)</f>
        <v>OCC</v>
      </c>
      <c r="K764">
        <f t="shared" si="11"/>
        <v>202146</v>
      </c>
      <c r="L764">
        <f>IFERROR(Table1[[#This Row],[Demand]]/SUMIFS(Table1[Demand],Table1[Fiscal_Year],Table1[[#This Row],[Fiscal_Year]],Table1[BRAND],Table1[[#This Row],[BRAND]],Table1[DC_name_Xref],Table1[[#This Row],[DC_name_Xref]]),0)</f>
        <v>0</v>
      </c>
      <c r="M7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64" s="3">
        <f>IFERROR(INDEX(Table3[#All],MATCH(Table1[[#This Row],[Key_Year_Week_Brand]],Table3[[#All],[Key_Year_Week_Brand]],0),MATCH(Table1[[#This Row],[DC_name_Xref]],Table3[#Headers],0)),0)</f>
        <v>0.16</v>
      </c>
      <c r="O764">
        <f>IFERROR(INDEX(Table35[#All],MATCH(Table1[[#This Row],[Key_Year_Week_Brand]],Table35[[#All],[Key_Year_Month_Brand]],0),MATCH(Table1[[#This Row],[DC_name_Xref]],Table35[#Headers],0)),0)</f>
        <v>614627.83999999997</v>
      </c>
    </row>
    <row r="765" spans="1:15" x14ac:dyDescent="0.3">
      <c r="A765" s="19" t="str">
        <f>Table1[[#This Row],[Year_Week]]&amp;"-"&amp;Table1[[#This Row],[DC_name_Xref]]</f>
        <v>202146-OFC</v>
      </c>
      <c r="B765" s="19" t="str">
        <f>Table1[[#This Row],[Fiscal_Year]]*100+Table1[[#This Row],[Fiscal_Week]] &amp; "-" &amp;Table1[[#This Row],[BRAND]]</f>
        <v>202146-Athleta</v>
      </c>
      <c r="C765" t="str">
        <f>Table1[[#This Row],[Fiscal_Year]]&amp;"-"&amp;Table1[[#This Row],[BRAND]]</f>
        <v>2021-Athleta</v>
      </c>
      <c r="D765">
        <v>2021</v>
      </c>
      <c r="E765">
        <v>46</v>
      </c>
      <c r="F765" t="s">
        <v>19</v>
      </c>
      <c r="G765" t="s">
        <v>5</v>
      </c>
      <c r="H765">
        <v>1</v>
      </c>
      <c r="I765">
        <v>36623</v>
      </c>
      <c r="J765" t="str">
        <f>VLOOKUP(H765,DC_Xref!A:B,2,FALSE)</f>
        <v>OFC</v>
      </c>
      <c r="K765">
        <f t="shared" si="11"/>
        <v>202146</v>
      </c>
      <c r="L765">
        <f>IFERROR(Table1[[#This Row],[Demand]]/SUMIFS(Table1[Demand],Table1[Fiscal_Year],Table1[[#This Row],[Fiscal_Year]],Table1[BRAND],Table1[[#This Row],[BRAND]],Table1[DC_name_Xref],Table1[[#This Row],[DC_name_Xref]]),0)</f>
        <v>0.17540927073654364</v>
      </c>
      <c r="M7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0.1013677307593525</v>
      </c>
      <c r="N765" s="3">
        <f>IFERROR(INDEX(Table3[#All],MATCH(Table1[[#This Row],[Key_Year_Week_Brand]],Table3[[#All],[Key_Year_Week_Brand]],0),MATCH(Table1[[#This Row],[DC_name_Xref]],Table3[#Headers],0)),0)</f>
        <v>0</v>
      </c>
      <c r="O765">
        <f>IFERROR(INDEX(Table35[#All],MATCH(Table1[[#This Row],[Key_Year_Week_Brand]],Table35[[#All],[Key_Year_Month_Brand]],0),MATCH(Table1[[#This Row],[DC_name_Xref]],Table35[#Headers],0)),0)</f>
        <v>0</v>
      </c>
    </row>
    <row r="766" spans="1:15" x14ac:dyDescent="0.3">
      <c r="A766" s="19" t="str">
        <f>Table1[[#This Row],[Year_Week]]&amp;"-"&amp;Table1[[#This Row],[DC_name_Xref]]</f>
        <v>202146-TFC</v>
      </c>
      <c r="B766" s="19" t="str">
        <f>Table1[[#This Row],[Fiscal_Year]]*100+Table1[[#This Row],[Fiscal_Week]] &amp; "-" &amp;Table1[[#This Row],[BRAND]]</f>
        <v>202146-Athleta</v>
      </c>
      <c r="C766" t="str">
        <f>Table1[[#This Row],[Fiscal_Year]]&amp;"-"&amp;Table1[[#This Row],[BRAND]]</f>
        <v>2021-Athleta</v>
      </c>
      <c r="D766">
        <v>2021</v>
      </c>
      <c r="E766">
        <v>46</v>
      </c>
      <c r="F766" t="s">
        <v>19</v>
      </c>
      <c r="G766" t="s">
        <v>21</v>
      </c>
      <c r="H766">
        <v>2</v>
      </c>
      <c r="I766">
        <v>282350</v>
      </c>
      <c r="J766" t="str">
        <f>VLOOKUP(H766,DC_Xref!A:B,2,FALSE)</f>
        <v>TFC</v>
      </c>
      <c r="K766">
        <f t="shared" si="11"/>
        <v>202146</v>
      </c>
      <c r="L766">
        <f>IFERROR(Table1[[#This Row],[Demand]]/SUMIFS(Table1[Demand],Table1[Fiscal_Year],Table1[[#This Row],[Fiscal_Year]],Table1[BRAND],Table1[[#This Row],[BRAND]],Table1[DC_name_Xref],Table1[[#This Row],[DC_name_Xref]]),0)</f>
        <v>0.15255301399586779</v>
      </c>
      <c r="M7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0.89859779801707929</v>
      </c>
      <c r="N766" s="3">
        <f>IFERROR(INDEX(Table3[#All],MATCH(Table1[[#This Row],[Key_Year_Week_Brand]],Table3[[#All],[Key_Year_Week_Brand]],0),MATCH(Table1[[#This Row],[DC_name_Xref]],Table3[#Headers],0)),0)</f>
        <v>1</v>
      </c>
      <c r="O766">
        <f>IFERROR(INDEX(Table35[#All],MATCH(Table1[[#This Row],[Key_Year_Week_Brand]],Table35[[#All],[Key_Year_Month_Brand]],0),MATCH(Table1[[#This Row],[DC_name_Xref]],Table35[#Headers],0)),0)</f>
        <v>318975</v>
      </c>
    </row>
    <row r="767" spans="1:15" x14ac:dyDescent="0.3">
      <c r="A767" s="19" t="str">
        <f>Table1[[#This Row],[Year_Week]]&amp;"-"&amp;Table1[[#This Row],[DC_name_Xref]]</f>
        <v>202146-WFC</v>
      </c>
      <c r="B767" s="19" t="str">
        <f>Table1[[#This Row],[Fiscal_Year]]*100+Table1[[#This Row],[Fiscal_Week]] &amp; "-" &amp;Table1[[#This Row],[BRAND]]</f>
        <v>202146-Athleta</v>
      </c>
      <c r="C767" t="str">
        <f>Table1[[#This Row],[Fiscal_Year]]&amp;"-"&amp;Table1[[#This Row],[BRAND]]</f>
        <v>2021-Athleta</v>
      </c>
      <c r="D767">
        <v>2021</v>
      </c>
      <c r="E767">
        <v>46</v>
      </c>
      <c r="F767" t="s">
        <v>19</v>
      </c>
      <c r="G767" t="s">
        <v>7</v>
      </c>
      <c r="H767">
        <v>3</v>
      </c>
      <c r="I767">
        <v>0</v>
      </c>
      <c r="J767" t="str">
        <f>VLOOKUP(H767,DC_Xref!A:B,2,FALSE)</f>
        <v>WFC</v>
      </c>
      <c r="K767">
        <f t="shared" si="11"/>
        <v>202146</v>
      </c>
      <c r="L767">
        <f>IFERROR(Table1[[#This Row],[Demand]]/SUMIFS(Table1[Demand],Table1[Fiscal_Year],Table1[[#This Row],[Fiscal_Year]],Table1[BRAND],Table1[[#This Row],[BRAND]],Table1[DC_name_Xref],Table1[[#This Row],[DC_name_Xref]]),0)</f>
        <v>0</v>
      </c>
      <c r="M7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67" s="3">
        <f>IFERROR(INDEX(Table3[#All],MATCH(Table1[[#This Row],[Key_Year_Week_Brand]],Table3[[#All],[Key_Year_Week_Brand]],0),MATCH(Table1[[#This Row],[DC_name_Xref]],Table3[#Headers],0)),0)</f>
        <v>0</v>
      </c>
      <c r="O767">
        <f>IFERROR(INDEX(Table35[#All],MATCH(Table1[[#This Row],[Key_Year_Week_Brand]],Table35[[#All],[Key_Year_Month_Brand]],0),MATCH(Table1[[#This Row],[DC_name_Xref]],Table35[#Headers],0)),0)</f>
        <v>0</v>
      </c>
    </row>
    <row r="768" spans="1:15" x14ac:dyDescent="0.3">
      <c r="A768" s="19" t="str">
        <f>Table1[[#This Row],[Year_Week]]&amp;"-"&amp;Table1[[#This Row],[DC_name_Xref]]</f>
        <v>202146-EAO</v>
      </c>
      <c r="B768" s="19" t="str">
        <f>Table1[[#This Row],[Fiscal_Year]]*100+Table1[[#This Row],[Fiscal_Week]] &amp; "-" &amp;Table1[[#This Row],[BRAND]]</f>
        <v>202146-Athleta</v>
      </c>
      <c r="C768" t="str">
        <f>Table1[[#This Row],[Fiscal_Year]]&amp;"-"&amp;Table1[[#This Row],[BRAND]]</f>
        <v>2021-Athleta</v>
      </c>
      <c r="D768">
        <v>2021</v>
      </c>
      <c r="E768">
        <v>46</v>
      </c>
      <c r="F768" t="s">
        <v>19</v>
      </c>
      <c r="G768" t="s">
        <v>8</v>
      </c>
      <c r="H768">
        <v>4</v>
      </c>
      <c r="I768">
        <v>2</v>
      </c>
      <c r="J768" t="str">
        <f>VLOOKUP(H768,DC_Xref!A:B,2,FALSE)</f>
        <v>EAO</v>
      </c>
      <c r="K768">
        <f t="shared" si="11"/>
        <v>202146</v>
      </c>
      <c r="L768">
        <f>IFERROR(Table1[[#This Row],[Demand]]/SUMIFS(Table1[Demand],Table1[Fiscal_Year],Table1[[#This Row],[Fiscal_Year]],Table1[BRAND],Table1[[#This Row],[BRAND]],Table1[DC_name_Xref],Table1[[#This Row],[DC_name_Xref]]),0)</f>
        <v>2.8169014084507043E-2</v>
      </c>
      <c r="M7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3.447122356821831E-5</v>
      </c>
      <c r="N768" s="3">
        <f>IFERROR(INDEX(Table3[#All],MATCH(Table1[[#This Row],[Key_Year_Week_Brand]],Table3[[#All],[Key_Year_Week_Brand]],0),MATCH(Table1[[#This Row],[DC_name_Xref]],Table3[#Headers],0)),0)</f>
        <v>3.447122356821831E-5</v>
      </c>
      <c r="O768">
        <f>IFERROR(INDEX(Table35[#All],MATCH(Table1[[#This Row],[Key_Year_Week_Brand]],Table35[[#All],[Key_Year_Month_Brand]],0),MATCH(Table1[[#This Row],[DC_name_Xref]],Table35[#Headers],0)),0)</f>
        <v>10.995458537672436</v>
      </c>
    </row>
    <row r="769" spans="1:15" x14ac:dyDescent="0.3">
      <c r="A769" s="19" t="str">
        <f>Table1[[#This Row],[Year_Week]]&amp;"-"&amp;Table1[[#This Row],[DC_name_Xref]]</f>
        <v>202146-FFC-ODC</v>
      </c>
      <c r="B769" s="19" t="str">
        <f>Table1[[#This Row],[Fiscal_Year]]*100+Table1[[#This Row],[Fiscal_Week]] &amp; "-" &amp;Table1[[#This Row],[BRAND]]</f>
        <v>202146-Athleta</v>
      </c>
      <c r="C769" t="str">
        <f>Table1[[#This Row],[Fiscal_Year]]&amp;"-"&amp;Table1[[#This Row],[BRAND]]</f>
        <v>2021-Athleta</v>
      </c>
      <c r="D769">
        <v>2021</v>
      </c>
      <c r="E769">
        <v>46</v>
      </c>
      <c r="F769" t="s">
        <v>19</v>
      </c>
      <c r="G769" t="s">
        <v>23</v>
      </c>
      <c r="H769">
        <v>5</v>
      </c>
      <c r="I769">
        <v>0</v>
      </c>
      <c r="J769" t="str">
        <f>VLOOKUP(H769,DC_Xref!A:B,2,FALSE)</f>
        <v>FFC-ODC</v>
      </c>
      <c r="K769">
        <f t="shared" si="11"/>
        <v>202146</v>
      </c>
      <c r="L769">
        <f>IFERROR(Table1[[#This Row],[Demand]]/SUMIFS(Table1[Demand],Table1[Fiscal_Year],Table1[[#This Row],[Fiscal_Year]],Table1[BRAND],Table1[[#This Row],[BRAND]],Table1[DC_name_Xref],Table1[[#This Row],[DC_name_Xref]]),0)</f>
        <v>0</v>
      </c>
      <c r="M7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69" s="3">
        <f>IFERROR(INDEX(Table3[#All],MATCH(Table1[[#This Row],[Key_Year_Week_Brand]],Table3[[#All],[Key_Year_Week_Brand]],0),MATCH(Table1[[#This Row],[DC_name_Xref]],Table3[#Headers],0)),0)</f>
        <v>0</v>
      </c>
      <c r="O769">
        <f>IFERROR(INDEX(Table35[#All],MATCH(Table1[[#This Row],[Key_Year_Week_Brand]],Table35[[#All],[Key_Year_Month_Brand]],0),MATCH(Table1[[#This Row],[DC_name_Xref]],Table35[#Headers],0)),0)</f>
        <v>0</v>
      </c>
    </row>
    <row r="770" spans="1:15" x14ac:dyDescent="0.3">
      <c r="A770" s="19" t="str">
        <f>Table1[[#This Row],[Year_Week]]&amp;"-"&amp;Table1[[#This Row],[DC_name_Xref]]</f>
        <v>202146-WEO</v>
      </c>
      <c r="B770" s="19" t="str">
        <f>Table1[[#This Row],[Fiscal_Year]]*100+Table1[[#This Row],[Fiscal_Week]] &amp; "-" &amp;Table1[[#This Row],[BRAND]]</f>
        <v>202146-Athleta</v>
      </c>
      <c r="C770" t="str">
        <f>Table1[[#This Row],[Fiscal_Year]]&amp;"-"&amp;Table1[[#This Row],[BRAND]]</f>
        <v>2021-Athleta</v>
      </c>
      <c r="D770">
        <v>2021</v>
      </c>
      <c r="E770">
        <v>46</v>
      </c>
      <c r="F770" t="s">
        <v>19</v>
      </c>
      <c r="G770" t="s">
        <v>10</v>
      </c>
      <c r="H770">
        <v>6</v>
      </c>
      <c r="I770">
        <v>0</v>
      </c>
      <c r="J770" t="str">
        <f>VLOOKUP(H770,DC_Xref!A:B,2,FALSE)</f>
        <v>WEO</v>
      </c>
      <c r="K770">
        <f t="shared" ref="K770:K833" si="12">D770*100+E770</f>
        <v>202146</v>
      </c>
      <c r="L770">
        <f>IFERROR(Table1[[#This Row],[Demand]]/SUMIFS(Table1[Demand],Table1[Fiscal_Year],Table1[[#This Row],[Fiscal_Year]],Table1[BRAND],Table1[[#This Row],[BRAND]],Table1[DC_name_Xref],Table1[[#This Row],[DC_name_Xref]]),0)</f>
        <v>0</v>
      </c>
      <c r="M7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0" s="3">
        <f>IFERROR(INDEX(Table3[#All],MATCH(Table1[[#This Row],[Key_Year_Week_Brand]],Table3[[#All],[Key_Year_Week_Brand]],0),MATCH(Table1[[#This Row],[DC_name_Xref]],Table3[#Headers],0)),0)</f>
        <v>0</v>
      </c>
      <c r="O770">
        <f>IFERROR(INDEX(Table35[#All],MATCH(Table1[[#This Row],[Key_Year_Week_Brand]],Table35[[#All],[Key_Year_Month_Brand]],0),MATCH(Table1[[#This Row],[DC_name_Xref]],Table35[#Headers],0)),0)</f>
        <v>0</v>
      </c>
    </row>
    <row r="771" spans="1:15" x14ac:dyDescent="0.3">
      <c r="A771" s="19" t="str">
        <f>Table1[[#This Row],[Year_Week]]&amp;"-"&amp;Table1[[#This Row],[DC_name_Xref]]</f>
        <v>202146-OCC</v>
      </c>
      <c r="B771" s="19" t="str">
        <f>Table1[[#This Row],[Fiscal_Year]]*100+Table1[[#This Row],[Fiscal_Week]] &amp; "-" &amp;Table1[[#This Row],[BRAND]]</f>
        <v>202146-Athleta</v>
      </c>
      <c r="C771" t="str">
        <f>Table1[[#This Row],[Fiscal_Year]]&amp;"-"&amp;Table1[[#This Row],[BRAND]]</f>
        <v>2021-Athleta</v>
      </c>
      <c r="D771">
        <v>2021</v>
      </c>
      <c r="E771">
        <v>46</v>
      </c>
      <c r="F771" t="s">
        <v>19</v>
      </c>
      <c r="G771" t="s">
        <v>11</v>
      </c>
      <c r="H771">
        <v>7</v>
      </c>
      <c r="I771">
        <v>0</v>
      </c>
      <c r="J771" t="str">
        <f>VLOOKUP(H771,DC_Xref!A:B,2,FALSE)</f>
        <v>OCC</v>
      </c>
      <c r="K771">
        <f t="shared" si="12"/>
        <v>202146</v>
      </c>
      <c r="L771">
        <f>IFERROR(Table1[[#This Row],[Demand]]/SUMIFS(Table1[Demand],Table1[Fiscal_Year],Table1[[#This Row],[Fiscal_Year]],Table1[BRAND],Table1[[#This Row],[BRAND]],Table1[DC_name_Xref],Table1[[#This Row],[DC_name_Xref]]),0)</f>
        <v>0</v>
      </c>
      <c r="M7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1" s="3">
        <f>IFERROR(INDEX(Table3[#All],MATCH(Table1[[#This Row],[Key_Year_Week_Brand]],Table3[[#All],[Key_Year_Week_Brand]],0),MATCH(Table1[[#This Row],[DC_name_Xref]],Table3[#Headers],0)),0)</f>
        <v>0</v>
      </c>
      <c r="O771">
        <f>IFERROR(INDEX(Table35[#All],MATCH(Table1[[#This Row],[Key_Year_Week_Brand]],Table35[[#All],[Key_Year_Month_Brand]],0),MATCH(Table1[[#This Row],[DC_name_Xref]],Table35[#Headers],0)),0)</f>
        <v>0</v>
      </c>
    </row>
    <row r="772" spans="1:15" x14ac:dyDescent="0.3">
      <c r="A772" s="19" t="str">
        <f>Table1[[#This Row],[Year_Week]]&amp;"-"&amp;Table1[[#This Row],[DC_name_Xref]]</f>
        <v>202146-OFC</v>
      </c>
      <c r="B772" s="19" t="str">
        <f>Table1[[#This Row],[Fiscal_Year]]*100+Table1[[#This Row],[Fiscal_Week]] &amp; "-" &amp;Table1[[#This Row],[BRAND]]</f>
        <v>202146-Gap Factory Store</v>
      </c>
      <c r="C772" t="str">
        <f>Table1[[#This Row],[Fiscal_Year]]&amp;"-"&amp;Table1[[#This Row],[BRAND]]</f>
        <v>2021-Gap Factory Store</v>
      </c>
      <c r="D772">
        <v>2021</v>
      </c>
      <c r="E772">
        <v>46</v>
      </c>
      <c r="F772" t="s">
        <v>22</v>
      </c>
      <c r="G772" t="s">
        <v>5</v>
      </c>
      <c r="H772">
        <v>1</v>
      </c>
      <c r="I772">
        <v>321081</v>
      </c>
      <c r="J772" t="str">
        <f>VLOOKUP(H772,DC_Xref!A:B,2,FALSE)</f>
        <v>OFC</v>
      </c>
      <c r="K772">
        <f t="shared" si="12"/>
        <v>202146</v>
      </c>
      <c r="L772">
        <f>IFERROR(Table1[[#This Row],[Demand]]/SUMIFS(Table1[Demand],Table1[Fiscal_Year],Table1[[#This Row],[Fiscal_Year]],Table1[BRAND],Table1[[#This Row],[BRAND]],Table1[DC_name_Xref],Table1[[#This Row],[DC_name_Xref]]),0)</f>
        <v>6.6032313120683403E-2</v>
      </c>
      <c r="M7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772" s="3">
        <f>IFERROR(INDEX(Table3[#All],MATCH(Table1[[#This Row],[Key_Year_Week_Brand]],Table3[[#All],[Key_Year_Week_Brand]],0),MATCH(Table1[[#This Row],[DC_name_Xref]],Table3[#Headers],0)),0)</f>
        <v>1</v>
      </c>
      <c r="O772">
        <f>IFERROR(INDEX(Table35[#All],MATCH(Table1[[#This Row],[Key_Year_Week_Brand]],Table35[[#All],[Key_Year_Month_Brand]],0),MATCH(Table1[[#This Row],[DC_name_Xref]],Table35[#Headers],0)),0)</f>
        <v>321081</v>
      </c>
    </row>
    <row r="773" spans="1:15" x14ac:dyDescent="0.3">
      <c r="A773" s="19" t="str">
        <f>Table1[[#This Row],[Year_Week]]&amp;"-"&amp;Table1[[#This Row],[DC_name_Xref]]</f>
        <v>202146-TFC</v>
      </c>
      <c r="B773" s="19" t="str">
        <f>Table1[[#This Row],[Fiscal_Year]]*100+Table1[[#This Row],[Fiscal_Week]] &amp; "-" &amp;Table1[[#This Row],[BRAND]]</f>
        <v>202146-Gap Factory Store</v>
      </c>
      <c r="C773" t="str">
        <f>Table1[[#This Row],[Fiscal_Year]]&amp;"-"&amp;Table1[[#This Row],[BRAND]]</f>
        <v>2021-Gap Factory Store</v>
      </c>
      <c r="D773">
        <v>2021</v>
      </c>
      <c r="E773">
        <v>46</v>
      </c>
      <c r="F773" t="s">
        <v>22</v>
      </c>
      <c r="G773" t="s">
        <v>21</v>
      </c>
      <c r="H773">
        <v>2</v>
      </c>
      <c r="I773">
        <v>0</v>
      </c>
      <c r="J773" t="str">
        <f>VLOOKUP(H773,DC_Xref!A:B,2,FALSE)</f>
        <v>TFC</v>
      </c>
      <c r="K773">
        <f t="shared" si="12"/>
        <v>202146</v>
      </c>
      <c r="L773">
        <f>IFERROR(Table1[[#This Row],[Demand]]/SUMIFS(Table1[Demand],Table1[Fiscal_Year],Table1[[#This Row],[Fiscal_Year]],Table1[BRAND],Table1[[#This Row],[BRAND]],Table1[DC_name_Xref],Table1[[#This Row],[DC_name_Xref]]),0)</f>
        <v>0</v>
      </c>
      <c r="M7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3" s="3">
        <f>IFERROR(INDEX(Table3[#All],MATCH(Table1[[#This Row],[Key_Year_Week_Brand]],Table3[[#All],[Key_Year_Week_Brand]],0),MATCH(Table1[[#This Row],[DC_name_Xref]],Table3[#Headers],0)),0)</f>
        <v>0</v>
      </c>
      <c r="O773">
        <f>IFERROR(INDEX(Table35[#All],MATCH(Table1[[#This Row],[Key_Year_Week_Brand]],Table35[[#All],[Key_Year_Month_Brand]],0),MATCH(Table1[[#This Row],[DC_name_Xref]],Table35[#Headers],0)),0)</f>
        <v>0</v>
      </c>
    </row>
    <row r="774" spans="1:15" x14ac:dyDescent="0.3">
      <c r="A774" s="19" t="str">
        <f>Table1[[#This Row],[Year_Week]]&amp;"-"&amp;Table1[[#This Row],[DC_name_Xref]]</f>
        <v>202146-WFC</v>
      </c>
      <c r="B774" s="19" t="str">
        <f>Table1[[#This Row],[Fiscal_Year]]*100+Table1[[#This Row],[Fiscal_Week]] &amp; "-" &amp;Table1[[#This Row],[BRAND]]</f>
        <v>202146-Gap Factory Store</v>
      </c>
      <c r="C774" t="str">
        <f>Table1[[#This Row],[Fiscal_Year]]&amp;"-"&amp;Table1[[#This Row],[BRAND]]</f>
        <v>2021-Gap Factory Store</v>
      </c>
      <c r="D774">
        <v>2021</v>
      </c>
      <c r="E774">
        <v>46</v>
      </c>
      <c r="F774" t="s">
        <v>22</v>
      </c>
      <c r="G774" t="s">
        <v>7</v>
      </c>
      <c r="H774">
        <v>3</v>
      </c>
      <c r="I774">
        <v>0</v>
      </c>
      <c r="J774" t="str">
        <f>VLOOKUP(H774,DC_Xref!A:B,2,FALSE)</f>
        <v>WFC</v>
      </c>
      <c r="K774">
        <f t="shared" si="12"/>
        <v>202146</v>
      </c>
      <c r="L774">
        <f>IFERROR(Table1[[#This Row],[Demand]]/SUMIFS(Table1[Demand],Table1[Fiscal_Year],Table1[[#This Row],[Fiscal_Year]],Table1[BRAND],Table1[[#This Row],[BRAND]],Table1[DC_name_Xref],Table1[[#This Row],[DC_name_Xref]]),0)</f>
        <v>0</v>
      </c>
      <c r="M7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4" s="3">
        <f>IFERROR(INDEX(Table3[#All],MATCH(Table1[[#This Row],[Key_Year_Week_Brand]],Table3[[#All],[Key_Year_Week_Brand]],0),MATCH(Table1[[#This Row],[DC_name_Xref]],Table3[#Headers],0)),0)</f>
        <v>0</v>
      </c>
      <c r="O774">
        <f>IFERROR(INDEX(Table35[#All],MATCH(Table1[[#This Row],[Key_Year_Week_Brand]],Table35[[#All],[Key_Year_Month_Brand]],0),MATCH(Table1[[#This Row],[DC_name_Xref]],Table35[#Headers],0)),0)</f>
        <v>0</v>
      </c>
    </row>
    <row r="775" spans="1:15" x14ac:dyDescent="0.3">
      <c r="A775" s="19" t="str">
        <f>Table1[[#This Row],[Year_Week]]&amp;"-"&amp;Table1[[#This Row],[DC_name_Xref]]</f>
        <v>202146-EAO</v>
      </c>
      <c r="B775" s="19" t="str">
        <f>Table1[[#This Row],[Fiscal_Year]]*100+Table1[[#This Row],[Fiscal_Week]] &amp; "-" &amp;Table1[[#This Row],[BRAND]]</f>
        <v>202146-Gap Factory Store</v>
      </c>
      <c r="C775" t="str">
        <f>Table1[[#This Row],[Fiscal_Year]]&amp;"-"&amp;Table1[[#This Row],[BRAND]]</f>
        <v>2021-Gap Factory Store</v>
      </c>
      <c r="D775">
        <v>2021</v>
      </c>
      <c r="E775">
        <v>46</v>
      </c>
      <c r="F775" t="s">
        <v>22</v>
      </c>
      <c r="G775" t="s">
        <v>8</v>
      </c>
      <c r="H775">
        <v>4</v>
      </c>
      <c r="I775">
        <v>0</v>
      </c>
      <c r="J775" t="str">
        <f>VLOOKUP(H775,DC_Xref!A:B,2,FALSE)</f>
        <v>EAO</v>
      </c>
      <c r="K775">
        <f t="shared" si="12"/>
        <v>202146</v>
      </c>
      <c r="L775">
        <f>IFERROR(Table1[[#This Row],[Demand]]/SUMIFS(Table1[Demand],Table1[Fiscal_Year],Table1[[#This Row],[Fiscal_Year]],Table1[BRAND],Table1[[#This Row],[BRAND]],Table1[DC_name_Xref],Table1[[#This Row],[DC_name_Xref]]),0)</f>
        <v>0</v>
      </c>
      <c r="M7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5" s="3">
        <f>IFERROR(INDEX(Table3[#All],MATCH(Table1[[#This Row],[Key_Year_Week_Brand]],Table3[[#All],[Key_Year_Week_Brand]],0),MATCH(Table1[[#This Row],[DC_name_Xref]],Table3[#Headers],0)),0)</f>
        <v>0</v>
      </c>
      <c r="O775">
        <f>IFERROR(INDEX(Table35[#All],MATCH(Table1[[#This Row],[Key_Year_Week_Brand]],Table35[[#All],[Key_Year_Month_Brand]],0),MATCH(Table1[[#This Row],[DC_name_Xref]],Table35[#Headers],0)),0)</f>
        <v>0</v>
      </c>
    </row>
    <row r="776" spans="1:15" x14ac:dyDescent="0.3">
      <c r="A776" s="19" t="str">
        <f>Table1[[#This Row],[Year_Week]]&amp;"-"&amp;Table1[[#This Row],[DC_name_Xref]]</f>
        <v>202146-FFC-ODC</v>
      </c>
      <c r="B776" s="19" t="str">
        <f>Table1[[#This Row],[Fiscal_Year]]*100+Table1[[#This Row],[Fiscal_Week]] &amp; "-" &amp;Table1[[#This Row],[BRAND]]</f>
        <v>202146-Gap Factory Store</v>
      </c>
      <c r="C776" t="str">
        <f>Table1[[#This Row],[Fiscal_Year]]&amp;"-"&amp;Table1[[#This Row],[BRAND]]</f>
        <v>2021-Gap Factory Store</v>
      </c>
      <c r="D776">
        <v>2021</v>
      </c>
      <c r="E776">
        <v>46</v>
      </c>
      <c r="F776" t="s">
        <v>22</v>
      </c>
      <c r="G776" t="s">
        <v>23</v>
      </c>
      <c r="H776">
        <v>5</v>
      </c>
      <c r="I776">
        <v>0</v>
      </c>
      <c r="J776" t="str">
        <f>VLOOKUP(H776,DC_Xref!A:B,2,FALSE)</f>
        <v>FFC-ODC</v>
      </c>
      <c r="K776">
        <f t="shared" si="12"/>
        <v>202146</v>
      </c>
      <c r="L776">
        <f>IFERROR(Table1[[#This Row],[Demand]]/SUMIFS(Table1[Demand],Table1[Fiscal_Year],Table1[[#This Row],[Fiscal_Year]],Table1[BRAND],Table1[[#This Row],[BRAND]],Table1[DC_name_Xref],Table1[[#This Row],[DC_name_Xref]]),0)</f>
        <v>0</v>
      </c>
      <c r="M7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6" s="3">
        <f>IFERROR(INDEX(Table3[#All],MATCH(Table1[[#This Row],[Key_Year_Week_Brand]],Table3[[#All],[Key_Year_Week_Brand]],0),MATCH(Table1[[#This Row],[DC_name_Xref]],Table3[#Headers],0)),0)</f>
        <v>0</v>
      </c>
      <c r="O776">
        <f>IFERROR(INDEX(Table35[#All],MATCH(Table1[[#This Row],[Key_Year_Week_Brand]],Table35[[#All],[Key_Year_Month_Brand]],0),MATCH(Table1[[#This Row],[DC_name_Xref]],Table35[#Headers],0)),0)</f>
        <v>0</v>
      </c>
    </row>
    <row r="777" spans="1:15" x14ac:dyDescent="0.3">
      <c r="A777" s="19" t="str">
        <f>Table1[[#This Row],[Year_Week]]&amp;"-"&amp;Table1[[#This Row],[DC_name_Xref]]</f>
        <v>202146-WEO</v>
      </c>
      <c r="B777" s="19" t="str">
        <f>Table1[[#This Row],[Fiscal_Year]]*100+Table1[[#This Row],[Fiscal_Week]] &amp; "-" &amp;Table1[[#This Row],[BRAND]]</f>
        <v>202146-Gap Factory Store</v>
      </c>
      <c r="C777" t="str">
        <f>Table1[[#This Row],[Fiscal_Year]]&amp;"-"&amp;Table1[[#This Row],[BRAND]]</f>
        <v>2021-Gap Factory Store</v>
      </c>
      <c r="D777">
        <v>2021</v>
      </c>
      <c r="E777">
        <v>46</v>
      </c>
      <c r="F777" t="s">
        <v>22</v>
      </c>
      <c r="G777" t="s">
        <v>10</v>
      </c>
      <c r="H777">
        <v>6</v>
      </c>
      <c r="I777">
        <v>0</v>
      </c>
      <c r="J777" t="str">
        <f>VLOOKUP(H777,DC_Xref!A:B,2,FALSE)</f>
        <v>WEO</v>
      </c>
      <c r="K777">
        <f t="shared" si="12"/>
        <v>202146</v>
      </c>
      <c r="L777">
        <f>IFERROR(Table1[[#This Row],[Demand]]/SUMIFS(Table1[Demand],Table1[Fiscal_Year],Table1[[#This Row],[Fiscal_Year]],Table1[BRAND],Table1[[#This Row],[BRAND]],Table1[DC_name_Xref],Table1[[#This Row],[DC_name_Xref]]),0)</f>
        <v>0</v>
      </c>
      <c r="M7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7" s="3">
        <f>IFERROR(INDEX(Table3[#All],MATCH(Table1[[#This Row],[Key_Year_Week_Brand]],Table3[[#All],[Key_Year_Week_Brand]],0),MATCH(Table1[[#This Row],[DC_name_Xref]],Table3[#Headers],0)),0)</f>
        <v>0</v>
      </c>
      <c r="O777">
        <f>IFERROR(INDEX(Table35[#All],MATCH(Table1[[#This Row],[Key_Year_Week_Brand]],Table35[[#All],[Key_Year_Month_Brand]],0),MATCH(Table1[[#This Row],[DC_name_Xref]],Table35[#Headers],0)),0)</f>
        <v>0</v>
      </c>
    </row>
    <row r="778" spans="1:15" x14ac:dyDescent="0.3">
      <c r="A778" s="19" t="str">
        <f>Table1[[#This Row],[Year_Week]]&amp;"-"&amp;Table1[[#This Row],[DC_name_Xref]]</f>
        <v>202146-OCC</v>
      </c>
      <c r="B778" s="19" t="str">
        <f>Table1[[#This Row],[Fiscal_Year]]*100+Table1[[#This Row],[Fiscal_Week]] &amp; "-" &amp;Table1[[#This Row],[BRAND]]</f>
        <v>202146-Gap Factory Store</v>
      </c>
      <c r="C778" t="str">
        <f>Table1[[#This Row],[Fiscal_Year]]&amp;"-"&amp;Table1[[#This Row],[BRAND]]</f>
        <v>2021-Gap Factory Store</v>
      </c>
      <c r="D778">
        <v>2021</v>
      </c>
      <c r="E778">
        <v>46</v>
      </c>
      <c r="F778" t="s">
        <v>22</v>
      </c>
      <c r="G778" t="s">
        <v>11</v>
      </c>
      <c r="H778">
        <v>7</v>
      </c>
      <c r="I778">
        <v>0</v>
      </c>
      <c r="J778" t="str">
        <f>VLOOKUP(H778,DC_Xref!A:B,2,FALSE)</f>
        <v>OCC</v>
      </c>
      <c r="K778">
        <f t="shared" si="12"/>
        <v>202146</v>
      </c>
      <c r="L778">
        <f>IFERROR(Table1[[#This Row],[Demand]]/SUMIFS(Table1[Demand],Table1[Fiscal_Year],Table1[[#This Row],[Fiscal_Year]],Table1[BRAND],Table1[[#This Row],[BRAND]],Table1[DC_name_Xref],Table1[[#This Row],[DC_name_Xref]]),0)</f>
        <v>0</v>
      </c>
      <c r="M7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78" s="3">
        <f>IFERROR(INDEX(Table3[#All],MATCH(Table1[[#This Row],[Key_Year_Week_Brand]],Table3[[#All],[Key_Year_Week_Brand]],0),MATCH(Table1[[#This Row],[DC_name_Xref]],Table3[#Headers],0)),0)</f>
        <v>0</v>
      </c>
      <c r="O778">
        <f>IFERROR(INDEX(Table35[#All],MATCH(Table1[[#This Row],[Key_Year_Week_Brand]],Table35[[#All],[Key_Year_Month_Brand]],0),MATCH(Table1[[#This Row],[DC_name_Xref]],Table35[#Headers],0)),0)</f>
        <v>0</v>
      </c>
    </row>
    <row r="779" spans="1:15" x14ac:dyDescent="0.3">
      <c r="A779" s="19" t="str">
        <f>Table1[[#This Row],[Year_Week]]&amp;"-"&amp;Table1[[#This Row],[DC_name_Xref]]</f>
        <v>202146-OFC</v>
      </c>
      <c r="B779" s="19" t="str">
        <f>Table1[[#This Row],[Fiscal_Year]]*100+Table1[[#This Row],[Fiscal_Week]] &amp; "-" &amp;Table1[[#This Row],[BRAND]]</f>
        <v>202146-Gap</v>
      </c>
      <c r="C779" t="str">
        <f>Table1[[#This Row],[Fiscal_Year]]&amp;"-"&amp;Table1[[#This Row],[BRAND]]</f>
        <v>2021-Gap</v>
      </c>
      <c r="D779">
        <v>2021</v>
      </c>
      <c r="E779">
        <v>46</v>
      </c>
      <c r="F779" t="s">
        <v>16</v>
      </c>
      <c r="G779" t="s">
        <v>5</v>
      </c>
      <c r="H779">
        <v>1</v>
      </c>
      <c r="I779">
        <v>1088437</v>
      </c>
      <c r="J779" t="str">
        <f>VLOOKUP(H779,DC_Xref!A:B,2,FALSE)</f>
        <v>OFC</v>
      </c>
      <c r="K779">
        <f t="shared" si="12"/>
        <v>202146</v>
      </c>
      <c r="L779">
        <f>IFERROR(Table1[[#This Row],[Demand]]/SUMIFS(Table1[Demand],Table1[Fiscal_Year],Table1[[#This Row],[Fiscal_Year]],Table1[BRAND],Table1[[#This Row],[BRAND]],Table1[DC_name_Xref],Table1[[#This Row],[DC_name_Xref]]),0)</f>
        <v>0.11361415381313675</v>
      </c>
      <c r="M7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0.66900256019517312</v>
      </c>
      <c r="N779" s="3">
        <f>IFERROR(INDEX(Table3[#All],MATCH(Table1[[#This Row],[Key_Year_Week_Brand]],Table3[[#All],[Key_Year_Week_Brand]],0),MATCH(Table1[[#This Row],[DC_name_Xref]],Table3[#Headers],0)),0)</f>
        <v>0</v>
      </c>
      <c r="O779">
        <f>IFERROR(INDEX(Table35[#All],MATCH(Table1[[#This Row],[Key_Year_Week_Brand]],Table35[[#All],[Key_Year_Month_Brand]],0),MATCH(Table1[[#This Row],[DC_name_Xref]],Table35[#Headers],0)),0)</f>
        <v>0</v>
      </c>
    </row>
    <row r="780" spans="1:15" x14ac:dyDescent="0.3">
      <c r="A780" s="19" t="str">
        <f>Table1[[#This Row],[Year_Week]]&amp;"-"&amp;Table1[[#This Row],[DC_name_Xref]]</f>
        <v>202146-TFC</v>
      </c>
      <c r="B780" s="19" t="str">
        <f>Table1[[#This Row],[Fiscal_Year]]*100+Table1[[#This Row],[Fiscal_Week]] &amp; "-" &amp;Table1[[#This Row],[BRAND]]</f>
        <v>202146-Gap</v>
      </c>
      <c r="C780" t="str">
        <f>Table1[[#This Row],[Fiscal_Year]]&amp;"-"&amp;Table1[[#This Row],[BRAND]]</f>
        <v>2021-Gap</v>
      </c>
      <c r="D780">
        <v>2021</v>
      </c>
      <c r="E780">
        <v>46</v>
      </c>
      <c r="F780" t="s">
        <v>16</v>
      </c>
      <c r="G780" t="s">
        <v>21</v>
      </c>
      <c r="H780">
        <v>2</v>
      </c>
      <c r="I780">
        <v>311</v>
      </c>
      <c r="J780" t="str">
        <f>VLOOKUP(H780,DC_Xref!A:B,2,FALSE)</f>
        <v>TFC</v>
      </c>
      <c r="K780">
        <f t="shared" si="12"/>
        <v>202146</v>
      </c>
      <c r="L780">
        <f>IFERROR(Table1[[#This Row],[Demand]]/SUMIFS(Table1[Demand],Table1[Fiscal_Year],Table1[[#This Row],[Fiscal_Year]],Table1[BRAND],Table1[[#This Row],[BRAND]],Table1[DC_name_Xref],Table1[[#This Row],[DC_name_Xref]]),0)</f>
        <v>0.18039443155452436</v>
      </c>
      <c r="M7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1.2039104463812225E-4</v>
      </c>
      <c r="N780" s="3">
        <f>IFERROR(INDEX(Table3[#All],MATCH(Table1[[#This Row],[Key_Year_Week_Brand]],Table3[[#All],[Key_Year_Week_Brand]],0),MATCH(Table1[[#This Row],[DC_name_Xref]],Table3[#Headers],0)),0)</f>
        <v>0.2</v>
      </c>
      <c r="O780">
        <f>IFERROR(INDEX(Table35[#All],MATCH(Table1[[#This Row],[Key_Year_Week_Brand]],Table35[[#All],[Key_Year_Month_Brand]],0),MATCH(Table1[[#This Row],[DC_name_Xref]],Table35[#Headers],0)),0)</f>
        <v>293965.60000000003</v>
      </c>
    </row>
    <row r="781" spans="1:15" x14ac:dyDescent="0.3">
      <c r="A781" s="19" t="str">
        <f>Table1[[#This Row],[Year_Week]]&amp;"-"&amp;Table1[[#This Row],[DC_name_Xref]]</f>
        <v>202146-WFC</v>
      </c>
      <c r="B781" s="19" t="str">
        <f>Table1[[#This Row],[Fiscal_Year]]*100+Table1[[#This Row],[Fiscal_Week]] &amp; "-" &amp;Table1[[#This Row],[BRAND]]</f>
        <v>202146-Gap</v>
      </c>
      <c r="C781" t="str">
        <f>Table1[[#This Row],[Fiscal_Year]]&amp;"-"&amp;Table1[[#This Row],[BRAND]]</f>
        <v>2021-Gap</v>
      </c>
      <c r="D781">
        <v>2021</v>
      </c>
      <c r="E781">
        <v>46</v>
      </c>
      <c r="F781" t="s">
        <v>16</v>
      </c>
      <c r="G781" t="s">
        <v>7</v>
      </c>
      <c r="H781">
        <v>3</v>
      </c>
      <c r="I781">
        <v>21905</v>
      </c>
      <c r="J781" t="str">
        <f>VLOOKUP(H781,DC_Xref!A:B,2,FALSE)</f>
        <v>WFC</v>
      </c>
      <c r="K781">
        <f t="shared" si="12"/>
        <v>202146</v>
      </c>
      <c r="L781">
        <f>IFERROR(Table1[[#This Row],[Demand]]/SUMIFS(Table1[Demand],Table1[Fiscal_Year],Table1[[#This Row],[Fiscal_Year]],Table1[BRAND],Table1[[#This Row],[BRAND]],Table1[DC_name_Xref],Table1[[#This Row],[DC_name_Xref]]),0)</f>
        <v>6.4218139388982215E-2</v>
      </c>
      <c r="M7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2.3820038572620311E-2</v>
      </c>
      <c r="N781" s="3">
        <f>IFERROR(INDEX(Table3[#All],MATCH(Table1[[#This Row],[Key_Year_Week_Brand]],Table3[[#All],[Key_Year_Week_Brand]],0),MATCH(Table1[[#This Row],[DC_name_Xref]],Table3[#Headers],0)),0)</f>
        <v>0.15</v>
      </c>
      <c r="O781">
        <f>IFERROR(INDEX(Table35[#All],MATCH(Table1[[#This Row],[Key_Year_Week_Brand]],Table35[[#All],[Key_Year_Month_Brand]],0),MATCH(Table1[[#This Row],[DC_name_Xref]],Table35[#Headers],0)),0)</f>
        <v>220474.19999999998</v>
      </c>
    </row>
    <row r="782" spans="1:15" x14ac:dyDescent="0.3">
      <c r="A782" s="19" t="str">
        <f>Table1[[#This Row],[Year_Week]]&amp;"-"&amp;Table1[[#This Row],[DC_name_Xref]]</f>
        <v>202146-EAO</v>
      </c>
      <c r="B782" s="19" t="str">
        <f>Table1[[#This Row],[Fiscal_Year]]*100+Table1[[#This Row],[Fiscal_Week]] &amp; "-" &amp;Table1[[#This Row],[BRAND]]</f>
        <v>202146-Gap</v>
      </c>
      <c r="C782" t="str">
        <f>Table1[[#This Row],[Fiscal_Year]]&amp;"-"&amp;Table1[[#This Row],[BRAND]]</f>
        <v>2021-Gap</v>
      </c>
      <c r="D782">
        <v>2021</v>
      </c>
      <c r="E782">
        <v>46</v>
      </c>
      <c r="F782" t="s">
        <v>16</v>
      </c>
      <c r="G782" t="s">
        <v>8</v>
      </c>
      <c r="H782">
        <v>4</v>
      </c>
      <c r="I782">
        <v>185</v>
      </c>
      <c r="J782" t="str">
        <f>VLOOKUP(H782,DC_Xref!A:B,2,FALSE)</f>
        <v>EAO</v>
      </c>
      <c r="K782">
        <f t="shared" si="12"/>
        <v>202146</v>
      </c>
      <c r="L782">
        <f>IFERROR(Table1[[#This Row],[Demand]]/SUMIFS(Table1[Demand],Table1[Fiscal_Year],Table1[[#This Row],[Fiscal_Year]],Table1[BRAND],Table1[[#This Row],[BRAND]],Table1[DC_name_Xref],Table1[[#This Row],[DC_name_Xref]]),0)</f>
        <v>0.10762070971495055</v>
      </c>
      <c r="M7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1.200418826757147E-4</v>
      </c>
      <c r="N782" s="3">
        <f>IFERROR(INDEX(Table3[#All],MATCH(Table1[[#This Row],[Key_Year_Week_Brand]],Table3[[#All],[Key_Year_Week_Brand]],0),MATCH(Table1[[#This Row],[DC_name_Xref]],Table3[#Headers],0)),0)</f>
        <v>0</v>
      </c>
      <c r="O782">
        <f>IFERROR(INDEX(Table35[#All],MATCH(Table1[[#This Row],[Key_Year_Week_Brand]],Table35[[#All],[Key_Year_Month_Brand]],0),MATCH(Table1[[#This Row],[DC_name_Xref]],Table35[#Headers],0)),0)</f>
        <v>0</v>
      </c>
    </row>
    <row r="783" spans="1:15" x14ac:dyDescent="0.3">
      <c r="A783" s="19" t="str">
        <f>Table1[[#This Row],[Year_Week]]&amp;"-"&amp;Table1[[#This Row],[DC_name_Xref]]</f>
        <v>202146-FFC-ODC</v>
      </c>
      <c r="B783" s="19" t="str">
        <f>Table1[[#This Row],[Fiscal_Year]]*100+Table1[[#This Row],[Fiscal_Week]] &amp; "-" &amp;Table1[[#This Row],[BRAND]]</f>
        <v>202146-Gap</v>
      </c>
      <c r="C783" t="str">
        <f>Table1[[#This Row],[Fiscal_Year]]&amp;"-"&amp;Table1[[#This Row],[BRAND]]</f>
        <v>2021-Gap</v>
      </c>
      <c r="D783">
        <v>2021</v>
      </c>
      <c r="E783">
        <v>46</v>
      </c>
      <c r="F783" t="s">
        <v>16</v>
      </c>
      <c r="G783" t="s">
        <v>23</v>
      </c>
      <c r="H783">
        <v>5</v>
      </c>
      <c r="I783">
        <v>0</v>
      </c>
      <c r="J783" t="str">
        <f>VLOOKUP(H783,DC_Xref!A:B,2,FALSE)</f>
        <v>FFC-ODC</v>
      </c>
      <c r="K783">
        <f t="shared" si="12"/>
        <v>202146</v>
      </c>
      <c r="L783">
        <f>IFERROR(Table1[[#This Row],[Demand]]/SUMIFS(Table1[Demand],Table1[Fiscal_Year],Table1[[#This Row],[Fiscal_Year]],Table1[BRAND],Table1[[#This Row],[BRAND]],Table1[DC_name_Xref],Table1[[#This Row],[DC_name_Xref]]),0)</f>
        <v>0</v>
      </c>
      <c r="M7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83" s="3">
        <f>IFERROR(INDEX(Table3[#All],MATCH(Table1[[#This Row],[Key_Year_Week_Brand]],Table3[[#All],[Key_Year_Week_Brand]],0),MATCH(Table1[[#This Row],[DC_name_Xref]],Table3[#Headers],0)),0)</f>
        <v>0</v>
      </c>
      <c r="O783">
        <f>IFERROR(INDEX(Table35[#All],MATCH(Table1[[#This Row],[Key_Year_Week_Brand]],Table35[[#All],[Key_Year_Month_Brand]],0),MATCH(Table1[[#This Row],[DC_name_Xref]],Table35[#Headers],0)),0)</f>
        <v>0</v>
      </c>
    </row>
    <row r="784" spans="1:15" x14ac:dyDescent="0.3">
      <c r="A784" s="19" t="str">
        <f>Table1[[#This Row],[Year_Week]]&amp;"-"&amp;Table1[[#This Row],[DC_name_Xref]]</f>
        <v>202146-WEO</v>
      </c>
      <c r="B784" s="19" t="str">
        <f>Table1[[#This Row],[Fiscal_Year]]*100+Table1[[#This Row],[Fiscal_Week]] &amp; "-" &amp;Table1[[#This Row],[BRAND]]</f>
        <v>202146-Gap</v>
      </c>
      <c r="C784" t="str">
        <f>Table1[[#This Row],[Fiscal_Year]]&amp;"-"&amp;Table1[[#This Row],[BRAND]]</f>
        <v>2021-Gap</v>
      </c>
      <c r="D784">
        <v>2021</v>
      </c>
      <c r="E784">
        <v>46</v>
      </c>
      <c r="F784" t="s">
        <v>16</v>
      </c>
      <c r="G784" t="s">
        <v>10</v>
      </c>
      <c r="H784">
        <v>6</v>
      </c>
      <c r="I784">
        <v>358990</v>
      </c>
      <c r="J784" t="str">
        <f>VLOOKUP(H784,DC_Xref!A:B,2,FALSE)</f>
        <v>WEO</v>
      </c>
      <c r="K784">
        <f t="shared" si="12"/>
        <v>202146</v>
      </c>
      <c r="L784">
        <f>IFERROR(Table1[[#This Row],[Demand]]/SUMIFS(Table1[Demand],Table1[Fiscal_Year],Table1[[#This Row],[Fiscal_Year]],Table1[BRAND],Table1[[#This Row],[BRAND]],Table1[DC_name_Xref],Table1[[#This Row],[DC_name_Xref]]),0)</f>
        <v>8.1675174923976274E-2</v>
      </c>
      <c r="M7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0.3069369683048927</v>
      </c>
      <c r="N784" s="3">
        <f>IFERROR(INDEX(Table3[#All],MATCH(Table1[[#This Row],[Key_Year_Week_Brand]],Table3[[#All],[Key_Year_Week_Brand]],0),MATCH(Table1[[#This Row],[DC_name_Xref]],Table3[#Headers],0)),0)</f>
        <v>0.4</v>
      </c>
      <c r="O784">
        <f>IFERROR(INDEX(Table35[#All],MATCH(Table1[[#This Row],[Key_Year_Week_Brand]],Table35[[#All],[Key_Year_Month_Brand]],0),MATCH(Table1[[#This Row],[DC_name_Xref]],Table35[#Headers],0)),0)</f>
        <v>587931.20000000007</v>
      </c>
    </row>
    <row r="785" spans="1:15" x14ac:dyDescent="0.3">
      <c r="A785" s="19" t="str">
        <f>Table1[[#This Row],[Year_Week]]&amp;"-"&amp;Table1[[#This Row],[DC_name_Xref]]</f>
        <v>202146-OCC</v>
      </c>
      <c r="B785" s="19" t="str">
        <f>Table1[[#This Row],[Fiscal_Year]]*100+Table1[[#This Row],[Fiscal_Week]] &amp; "-" &amp;Table1[[#This Row],[BRAND]]</f>
        <v>202146-Gap</v>
      </c>
      <c r="C785" t="str">
        <f>Table1[[#This Row],[Fiscal_Year]]&amp;"-"&amp;Table1[[#This Row],[BRAND]]</f>
        <v>2021-Gap</v>
      </c>
      <c r="D785">
        <v>2021</v>
      </c>
      <c r="E785">
        <v>46</v>
      </c>
      <c r="F785" t="s">
        <v>16</v>
      </c>
      <c r="G785" t="s">
        <v>11</v>
      </c>
      <c r="H785">
        <v>7</v>
      </c>
      <c r="I785">
        <v>0</v>
      </c>
      <c r="J785" t="str">
        <f>VLOOKUP(H785,DC_Xref!A:B,2,FALSE)</f>
        <v>OCC</v>
      </c>
      <c r="K785">
        <f t="shared" si="12"/>
        <v>202146</v>
      </c>
      <c r="L785">
        <f>IFERROR(Table1[[#This Row],[Demand]]/SUMIFS(Table1[Demand],Table1[Fiscal_Year],Table1[[#This Row],[Fiscal_Year]],Table1[BRAND],Table1[[#This Row],[BRAND]],Table1[DC_name_Xref],Table1[[#This Row],[DC_name_Xref]]),0)</f>
        <v>0</v>
      </c>
      <c r="M7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85" s="3">
        <f>IFERROR(INDEX(Table3[#All],MATCH(Table1[[#This Row],[Key_Year_Week_Brand]],Table3[[#All],[Key_Year_Week_Brand]],0),MATCH(Table1[[#This Row],[DC_name_Xref]],Table3[#Headers],0)),0)</f>
        <v>0.25</v>
      </c>
      <c r="O785">
        <f>IFERROR(INDEX(Table35[#All],MATCH(Table1[[#This Row],[Key_Year_Week_Brand]],Table35[[#All],[Key_Year_Month_Brand]],0),MATCH(Table1[[#This Row],[DC_name_Xref]],Table35[#Headers],0)),0)</f>
        <v>367457</v>
      </c>
    </row>
    <row r="786" spans="1:15" x14ac:dyDescent="0.3">
      <c r="A786" s="19" t="str">
        <f>Table1[[#This Row],[Year_Week]]&amp;"-"&amp;Table1[[#This Row],[DC_name_Xref]]</f>
        <v>202146-OFC</v>
      </c>
      <c r="B786" s="19" t="str">
        <f>Table1[[#This Row],[Fiscal_Year]]*100+Table1[[#This Row],[Fiscal_Week]] &amp; "-" &amp;Table1[[#This Row],[BRAND]]</f>
        <v>202146-BR Factory Store</v>
      </c>
      <c r="C786" t="str">
        <f>Table1[[#This Row],[Fiscal_Year]]&amp;"-"&amp;Table1[[#This Row],[BRAND]]</f>
        <v>2021-BR Factory Store</v>
      </c>
      <c r="D786">
        <v>2021</v>
      </c>
      <c r="E786">
        <v>46</v>
      </c>
      <c r="F786" t="s">
        <v>17</v>
      </c>
      <c r="G786" t="s">
        <v>5</v>
      </c>
      <c r="H786">
        <v>1</v>
      </c>
      <c r="I786">
        <v>192182</v>
      </c>
      <c r="J786" t="str">
        <f>VLOOKUP(H786,DC_Xref!A:B,2,FALSE)</f>
        <v>OFC</v>
      </c>
      <c r="K786">
        <f t="shared" si="12"/>
        <v>202146</v>
      </c>
      <c r="L786">
        <f>IFERROR(Table1[[#This Row],[Demand]]/SUMIFS(Table1[Demand],Table1[Fiscal_Year],Table1[[#This Row],[Fiscal_Year]],Table1[BRAND],Table1[[#This Row],[BRAND]],Table1[DC_name_Xref],Table1[[#This Row],[DC_name_Xref]]),0)</f>
        <v>0.10792860993799983</v>
      </c>
      <c r="M7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786" s="3">
        <f>IFERROR(INDEX(Table3[#All],MATCH(Table1[[#This Row],[Key_Year_Week_Brand]],Table3[[#All],[Key_Year_Week_Brand]],0),MATCH(Table1[[#This Row],[DC_name_Xref]],Table3[#Headers],0)),0)</f>
        <v>1</v>
      </c>
      <c r="O786">
        <f>IFERROR(INDEX(Table35[#All],MATCH(Table1[[#This Row],[Key_Year_Week_Brand]],Table35[[#All],[Key_Year_Month_Brand]],0),MATCH(Table1[[#This Row],[DC_name_Xref]],Table35[#Headers],0)),0)</f>
        <v>192182</v>
      </c>
    </row>
    <row r="787" spans="1:15" x14ac:dyDescent="0.3">
      <c r="A787" s="19" t="str">
        <f>Table1[[#This Row],[Year_Week]]&amp;"-"&amp;Table1[[#This Row],[DC_name_Xref]]</f>
        <v>202146-TFC</v>
      </c>
      <c r="B787" s="19" t="str">
        <f>Table1[[#This Row],[Fiscal_Year]]*100+Table1[[#This Row],[Fiscal_Week]] &amp; "-" &amp;Table1[[#This Row],[BRAND]]</f>
        <v>202146-BR Factory Store</v>
      </c>
      <c r="C787" t="str">
        <f>Table1[[#This Row],[Fiscal_Year]]&amp;"-"&amp;Table1[[#This Row],[BRAND]]</f>
        <v>2021-BR Factory Store</v>
      </c>
      <c r="D787">
        <v>2021</v>
      </c>
      <c r="E787">
        <v>46</v>
      </c>
      <c r="F787" t="s">
        <v>17</v>
      </c>
      <c r="G787" t="s">
        <v>21</v>
      </c>
      <c r="H787">
        <v>2</v>
      </c>
      <c r="I787">
        <v>0</v>
      </c>
      <c r="J787" t="str">
        <f>VLOOKUP(H787,DC_Xref!A:B,2,FALSE)</f>
        <v>TFC</v>
      </c>
      <c r="K787">
        <f t="shared" si="12"/>
        <v>202146</v>
      </c>
      <c r="L787">
        <f>IFERROR(Table1[[#This Row],[Demand]]/SUMIFS(Table1[Demand],Table1[Fiscal_Year],Table1[[#This Row],[Fiscal_Year]],Table1[BRAND],Table1[[#This Row],[BRAND]],Table1[DC_name_Xref],Table1[[#This Row],[DC_name_Xref]]),0)</f>
        <v>0</v>
      </c>
      <c r="M7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87" s="3">
        <f>IFERROR(INDEX(Table3[#All],MATCH(Table1[[#This Row],[Key_Year_Week_Brand]],Table3[[#All],[Key_Year_Week_Brand]],0),MATCH(Table1[[#This Row],[DC_name_Xref]],Table3[#Headers],0)),0)</f>
        <v>0</v>
      </c>
      <c r="O787">
        <f>IFERROR(INDEX(Table35[#All],MATCH(Table1[[#This Row],[Key_Year_Week_Brand]],Table35[[#All],[Key_Year_Month_Brand]],0),MATCH(Table1[[#This Row],[DC_name_Xref]],Table35[#Headers],0)),0)</f>
        <v>0</v>
      </c>
    </row>
    <row r="788" spans="1:15" x14ac:dyDescent="0.3">
      <c r="A788" s="19" t="str">
        <f>Table1[[#This Row],[Year_Week]]&amp;"-"&amp;Table1[[#This Row],[DC_name_Xref]]</f>
        <v>202146-WFC</v>
      </c>
      <c r="B788" s="19" t="str">
        <f>Table1[[#This Row],[Fiscal_Year]]*100+Table1[[#This Row],[Fiscal_Week]] &amp; "-" &amp;Table1[[#This Row],[BRAND]]</f>
        <v>202146-BR Factory Store</v>
      </c>
      <c r="C788" t="str">
        <f>Table1[[#This Row],[Fiscal_Year]]&amp;"-"&amp;Table1[[#This Row],[BRAND]]</f>
        <v>2021-BR Factory Store</v>
      </c>
      <c r="D788">
        <v>2021</v>
      </c>
      <c r="E788">
        <v>46</v>
      </c>
      <c r="F788" t="s">
        <v>17</v>
      </c>
      <c r="G788" t="s">
        <v>7</v>
      </c>
      <c r="H788">
        <v>3</v>
      </c>
      <c r="I788">
        <v>0</v>
      </c>
      <c r="J788" t="str">
        <f>VLOOKUP(H788,DC_Xref!A:B,2,FALSE)</f>
        <v>WFC</v>
      </c>
      <c r="K788">
        <f t="shared" si="12"/>
        <v>202146</v>
      </c>
      <c r="L788">
        <f>IFERROR(Table1[[#This Row],[Demand]]/SUMIFS(Table1[Demand],Table1[Fiscal_Year],Table1[[#This Row],[Fiscal_Year]],Table1[BRAND],Table1[[#This Row],[BRAND]],Table1[DC_name_Xref],Table1[[#This Row],[DC_name_Xref]]),0)</f>
        <v>0</v>
      </c>
      <c r="M7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88" s="3">
        <f>IFERROR(INDEX(Table3[#All],MATCH(Table1[[#This Row],[Key_Year_Week_Brand]],Table3[[#All],[Key_Year_Week_Brand]],0),MATCH(Table1[[#This Row],[DC_name_Xref]],Table3[#Headers],0)),0)</f>
        <v>0</v>
      </c>
      <c r="O788">
        <f>IFERROR(INDEX(Table35[#All],MATCH(Table1[[#This Row],[Key_Year_Week_Brand]],Table35[[#All],[Key_Year_Month_Brand]],0),MATCH(Table1[[#This Row],[DC_name_Xref]],Table35[#Headers],0)),0)</f>
        <v>0</v>
      </c>
    </row>
    <row r="789" spans="1:15" x14ac:dyDescent="0.3">
      <c r="A789" s="19" t="str">
        <f>Table1[[#This Row],[Year_Week]]&amp;"-"&amp;Table1[[#This Row],[DC_name_Xref]]</f>
        <v>202146-EAO</v>
      </c>
      <c r="B789" s="19" t="str">
        <f>Table1[[#This Row],[Fiscal_Year]]*100+Table1[[#This Row],[Fiscal_Week]] &amp; "-" &amp;Table1[[#This Row],[BRAND]]</f>
        <v>202146-BR Factory Store</v>
      </c>
      <c r="C789" t="str">
        <f>Table1[[#This Row],[Fiscal_Year]]&amp;"-"&amp;Table1[[#This Row],[BRAND]]</f>
        <v>2021-BR Factory Store</v>
      </c>
      <c r="D789">
        <v>2021</v>
      </c>
      <c r="E789">
        <v>46</v>
      </c>
      <c r="F789" t="s">
        <v>17</v>
      </c>
      <c r="G789" t="s">
        <v>8</v>
      </c>
      <c r="H789">
        <v>4</v>
      </c>
      <c r="I789">
        <v>0</v>
      </c>
      <c r="J789" t="str">
        <f>VLOOKUP(H789,DC_Xref!A:B,2,FALSE)</f>
        <v>EAO</v>
      </c>
      <c r="K789">
        <f t="shared" si="12"/>
        <v>202146</v>
      </c>
      <c r="L789">
        <f>IFERROR(Table1[[#This Row],[Demand]]/SUMIFS(Table1[Demand],Table1[Fiscal_Year],Table1[[#This Row],[Fiscal_Year]],Table1[BRAND],Table1[[#This Row],[BRAND]],Table1[DC_name_Xref],Table1[[#This Row],[DC_name_Xref]]),0)</f>
        <v>0</v>
      </c>
      <c r="M7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89" s="3">
        <f>IFERROR(INDEX(Table3[#All],MATCH(Table1[[#This Row],[Key_Year_Week_Brand]],Table3[[#All],[Key_Year_Week_Brand]],0),MATCH(Table1[[#This Row],[DC_name_Xref]],Table3[#Headers],0)),0)</f>
        <v>0</v>
      </c>
      <c r="O789">
        <f>IFERROR(INDEX(Table35[#All],MATCH(Table1[[#This Row],[Key_Year_Week_Brand]],Table35[[#All],[Key_Year_Month_Brand]],0),MATCH(Table1[[#This Row],[DC_name_Xref]],Table35[#Headers],0)),0)</f>
        <v>0</v>
      </c>
    </row>
    <row r="790" spans="1:15" x14ac:dyDescent="0.3">
      <c r="A790" s="19" t="str">
        <f>Table1[[#This Row],[Year_Week]]&amp;"-"&amp;Table1[[#This Row],[DC_name_Xref]]</f>
        <v>202146-FFC-ODC</v>
      </c>
      <c r="B790" s="19" t="str">
        <f>Table1[[#This Row],[Fiscal_Year]]*100+Table1[[#This Row],[Fiscal_Week]] &amp; "-" &amp;Table1[[#This Row],[BRAND]]</f>
        <v>202146-BR Factory Store</v>
      </c>
      <c r="C790" t="str">
        <f>Table1[[#This Row],[Fiscal_Year]]&amp;"-"&amp;Table1[[#This Row],[BRAND]]</f>
        <v>2021-BR Factory Store</v>
      </c>
      <c r="D790">
        <v>2021</v>
      </c>
      <c r="E790">
        <v>46</v>
      </c>
      <c r="F790" t="s">
        <v>17</v>
      </c>
      <c r="G790" t="s">
        <v>23</v>
      </c>
      <c r="H790">
        <v>5</v>
      </c>
      <c r="I790">
        <v>0</v>
      </c>
      <c r="J790" t="str">
        <f>VLOOKUP(H790,DC_Xref!A:B,2,FALSE)</f>
        <v>FFC-ODC</v>
      </c>
      <c r="K790">
        <f t="shared" si="12"/>
        <v>202146</v>
      </c>
      <c r="L790">
        <f>IFERROR(Table1[[#This Row],[Demand]]/SUMIFS(Table1[Demand],Table1[Fiscal_Year],Table1[[#This Row],[Fiscal_Year]],Table1[BRAND],Table1[[#This Row],[BRAND]],Table1[DC_name_Xref],Table1[[#This Row],[DC_name_Xref]]),0)</f>
        <v>0</v>
      </c>
      <c r="M7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90" s="3">
        <f>IFERROR(INDEX(Table3[#All],MATCH(Table1[[#This Row],[Key_Year_Week_Brand]],Table3[[#All],[Key_Year_Week_Brand]],0),MATCH(Table1[[#This Row],[DC_name_Xref]],Table3[#Headers],0)),0)</f>
        <v>0</v>
      </c>
      <c r="O790">
        <f>IFERROR(INDEX(Table35[#All],MATCH(Table1[[#This Row],[Key_Year_Week_Brand]],Table35[[#All],[Key_Year_Month_Brand]],0),MATCH(Table1[[#This Row],[DC_name_Xref]],Table35[#Headers],0)),0)</f>
        <v>0</v>
      </c>
    </row>
    <row r="791" spans="1:15" x14ac:dyDescent="0.3">
      <c r="A791" s="19" t="str">
        <f>Table1[[#This Row],[Year_Week]]&amp;"-"&amp;Table1[[#This Row],[DC_name_Xref]]</f>
        <v>202146-WEO</v>
      </c>
      <c r="B791" s="19" t="str">
        <f>Table1[[#This Row],[Fiscal_Year]]*100+Table1[[#This Row],[Fiscal_Week]] &amp; "-" &amp;Table1[[#This Row],[BRAND]]</f>
        <v>202146-BR Factory Store</v>
      </c>
      <c r="C791" t="str">
        <f>Table1[[#This Row],[Fiscal_Year]]&amp;"-"&amp;Table1[[#This Row],[BRAND]]</f>
        <v>2021-BR Factory Store</v>
      </c>
      <c r="D791">
        <v>2021</v>
      </c>
      <c r="E791">
        <v>46</v>
      </c>
      <c r="F791" t="s">
        <v>17</v>
      </c>
      <c r="G791" t="s">
        <v>10</v>
      </c>
      <c r="H791">
        <v>6</v>
      </c>
      <c r="I791">
        <v>0</v>
      </c>
      <c r="J791" t="str">
        <f>VLOOKUP(H791,DC_Xref!A:B,2,FALSE)</f>
        <v>WEO</v>
      </c>
      <c r="K791">
        <f t="shared" si="12"/>
        <v>202146</v>
      </c>
      <c r="L791">
        <f>IFERROR(Table1[[#This Row],[Demand]]/SUMIFS(Table1[Demand],Table1[Fiscal_Year],Table1[[#This Row],[Fiscal_Year]],Table1[BRAND],Table1[[#This Row],[BRAND]],Table1[DC_name_Xref],Table1[[#This Row],[DC_name_Xref]]),0)</f>
        <v>0</v>
      </c>
      <c r="M7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91" s="3">
        <f>IFERROR(INDEX(Table3[#All],MATCH(Table1[[#This Row],[Key_Year_Week_Brand]],Table3[[#All],[Key_Year_Week_Brand]],0),MATCH(Table1[[#This Row],[DC_name_Xref]],Table3[#Headers],0)),0)</f>
        <v>0</v>
      </c>
      <c r="O791">
        <f>IFERROR(INDEX(Table35[#All],MATCH(Table1[[#This Row],[Key_Year_Week_Brand]],Table35[[#All],[Key_Year_Month_Brand]],0),MATCH(Table1[[#This Row],[DC_name_Xref]],Table35[#Headers],0)),0)</f>
        <v>0</v>
      </c>
    </row>
    <row r="792" spans="1:15" x14ac:dyDescent="0.3">
      <c r="A792" s="19" t="str">
        <f>Table1[[#This Row],[Year_Week]]&amp;"-"&amp;Table1[[#This Row],[DC_name_Xref]]</f>
        <v>202146-OCC</v>
      </c>
      <c r="B792" s="19" t="str">
        <f>Table1[[#This Row],[Fiscal_Year]]*100+Table1[[#This Row],[Fiscal_Week]] &amp; "-" &amp;Table1[[#This Row],[BRAND]]</f>
        <v>202146-BR Factory Store</v>
      </c>
      <c r="C792" t="str">
        <f>Table1[[#This Row],[Fiscal_Year]]&amp;"-"&amp;Table1[[#This Row],[BRAND]]</f>
        <v>2021-BR Factory Store</v>
      </c>
      <c r="D792">
        <v>2021</v>
      </c>
      <c r="E792">
        <v>46</v>
      </c>
      <c r="F792" t="s">
        <v>17</v>
      </c>
      <c r="G792" t="s">
        <v>11</v>
      </c>
      <c r="H792">
        <v>7</v>
      </c>
      <c r="I792">
        <v>0</v>
      </c>
      <c r="J792" t="str">
        <f>VLOOKUP(H792,DC_Xref!A:B,2,FALSE)</f>
        <v>OCC</v>
      </c>
      <c r="K792">
        <f t="shared" si="12"/>
        <v>202146</v>
      </c>
      <c r="L792">
        <f>IFERROR(Table1[[#This Row],[Demand]]/SUMIFS(Table1[Demand],Table1[Fiscal_Year],Table1[[#This Row],[Fiscal_Year]],Table1[BRAND],Table1[[#This Row],[BRAND]],Table1[DC_name_Xref],Table1[[#This Row],[DC_name_Xref]]),0)</f>
        <v>0</v>
      </c>
      <c r="M7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92" s="3">
        <f>IFERROR(INDEX(Table3[#All],MATCH(Table1[[#This Row],[Key_Year_Week_Brand]],Table3[[#All],[Key_Year_Week_Brand]],0),MATCH(Table1[[#This Row],[DC_name_Xref]],Table3[#Headers],0)),0)</f>
        <v>0</v>
      </c>
      <c r="O792">
        <f>IFERROR(INDEX(Table35[#All],MATCH(Table1[[#This Row],[Key_Year_Week_Brand]],Table35[[#All],[Key_Year_Month_Brand]],0),MATCH(Table1[[#This Row],[DC_name_Xref]],Table35[#Headers],0)),0)</f>
        <v>0</v>
      </c>
    </row>
    <row r="793" spans="1:15" x14ac:dyDescent="0.3">
      <c r="A793" s="19" t="str">
        <f>Table1[[#This Row],[Year_Week]]&amp;"-"&amp;Table1[[#This Row],[DC_name_Xref]]</f>
        <v>202146-OFC</v>
      </c>
      <c r="B793" s="19" t="str">
        <f>Table1[[#This Row],[Fiscal_Year]]*100+Table1[[#This Row],[Fiscal_Week]] &amp; "-" &amp;Table1[[#This Row],[BRAND]]</f>
        <v>202146-Banana Republic</v>
      </c>
      <c r="C793" t="str">
        <f>Table1[[#This Row],[Fiscal_Year]]&amp;"-"&amp;Table1[[#This Row],[BRAND]]</f>
        <v>2021-Banana Republic</v>
      </c>
      <c r="D793">
        <v>2021</v>
      </c>
      <c r="E793">
        <v>46</v>
      </c>
      <c r="F793" t="s">
        <v>18</v>
      </c>
      <c r="G793" t="s">
        <v>5</v>
      </c>
      <c r="H793">
        <v>1</v>
      </c>
      <c r="I793">
        <v>12189</v>
      </c>
      <c r="J793" t="str">
        <f>VLOOKUP(H793,DC_Xref!A:B,2,FALSE)</f>
        <v>OFC</v>
      </c>
      <c r="K793">
        <f t="shared" si="12"/>
        <v>202146</v>
      </c>
      <c r="L793">
        <f>IFERROR(Table1[[#This Row],[Demand]]/SUMIFS(Table1[Demand],Table1[Fiscal_Year],Table1[[#This Row],[Fiscal_Year]],Table1[BRAND],Table1[[#This Row],[BRAND]],Table1[DC_name_Xref],Table1[[#This Row],[DC_name_Xref]]),0)</f>
        <v>0.2219814241486068</v>
      </c>
      <c r="M7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2.1329258335346751E-2</v>
      </c>
      <c r="N793" s="3">
        <f>IFERROR(INDEX(Table3[#All],MATCH(Table1[[#This Row],[Key_Year_Week_Brand]],Table3[[#All],[Key_Year_Week_Brand]],0),MATCH(Table1[[#This Row],[DC_name_Xref]],Table3[#Headers],0)),0)</f>
        <v>0</v>
      </c>
      <c r="O793">
        <f>IFERROR(INDEX(Table35[#All],MATCH(Table1[[#This Row],[Key_Year_Week_Brand]],Table35[[#All],[Key_Year_Month_Brand]],0),MATCH(Table1[[#This Row],[DC_name_Xref]],Table35[#Headers],0)),0)</f>
        <v>0</v>
      </c>
    </row>
    <row r="794" spans="1:15" x14ac:dyDescent="0.3">
      <c r="A794" s="19" t="str">
        <f>Table1[[#This Row],[Year_Week]]&amp;"-"&amp;Table1[[#This Row],[DC_name_Xref]]</f>
        <v>202146-TFC</v>
      </c>
      <c r="B794" s="19" t="str">
        <f>Table1[[#This Row],[Fiscal_Year]]*100+Table1[[#This Row],[Fiscal_Week]] &amp; "-" &amp;Table1[[#This Row],[BRAND]]</f>
        <v>202146-Banana Republic</v>
      </c>
      <c r="C794" t="str">
        <f>Table1[[#This Row],[Fiscal_Year]]&amp;"-"&amp;Table1[[#This Row],[BRAND]]</f>
        <v>2021-Banana Republic</v>
      </c>
      <c r="D794">
        <v>2021</v>
      </c>
      <c r="E794">
        <v>46</v>
      </c>
      <c r="F794" t="s">
        <v>18</v>
      </c>
      <c r="G794" t="s">
        <v>21</v>
      </c>
      <c r="H794">
        <v>2</v>
      </c>
      <c r="I794">
        <v>294043</v>
      </c>
      <c r="J794" t="str">
        <f>VLOOKUP(H794,DC_Xref!A:B,2,FALSE)</f>
        <v>TFC</v>
      </c>
      <c r="K794">
        <f t="shared" si="12"/>
        <v>202146</v>
      </c>
      <c r="L794">
        <f>IFERROR(Table1[[#This Row],[Demand]]/SUMIFS(Table1[Demand],Table1[Fiscal_Year],Table1[[#This Row],[Fiscal_Year]],Table1[BRAND],Table1[[#This Row],[BRAND]],Table1[DC_name_Xref],Table1[[#This Row],[DC_name_Xref]]),0)</f>
        <v>0.11671290838582661</v>
      </c>
      <c r="M7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0.97862490570611071</v>
      </c>
      <c r="N794" s="3">
        <f>IFERROR(INDEX(Table3[#All],MATCH(Table1[[#This Row],[Key_Year_Week_Brand]],Table3[[#All],[Key_Year_Week_Brand]],0),MATCH(Table1[[#This Row],[DC_name_Xref]],Table3[#Headers],0)),0)</f>
        <v>1</v>
      </c>
      <c r="O794">
        <f>IFERROR(INDEX(Table35[#All],MATCH(Table1[[#This Row],[Key_Year_Week_Brand]],Table35[[#All],[Key_Year_Month_Brand]],0),MATCH(Table1[[#This Row],[DC_name_Xref]],Table35[#Headers],0)),0)</f>
        <v>306237</v>
      </c>
    </row>
    <row r="795" spans="1:15" x14ac:dyDescent="0.3">
      <c r="A795" s="19" t="str">
        <f>Table1[[#This Row],[Year_Week]]&amp;"-"&amp;Table1[[#This Row],[DC_name_Xref]]</f>
        <v>202146-WFC</v>
      </c>
      <c r="B795" s="19" t="str">
        <f>Table1[[#This Row],[Fiscal_Year]]*100+Table1[[#This Row],[Fiscal_Week]] &amp; "-" &amp;Table1[[#This Row],[BRAND]]</f>
        <v>202146-Banana Republic</v>
      </c>
      <c r="C795" t="str">
        <f>Table1[[#This Row],[Fiscal_Year]]&amp;"-"&amp;Table1[[#This Row],[BRAND]]</f>
        <v>2021-Banana Republic</v>
      </c>
      <c r="D795">
        <v>2021</v>
      </c>
      <c r="E795">
        <v>46</v>
      </c>
      <c r="F795" t="s">
        <v>18</v>
      </c>
      <c r="G795" t="s">
        <v>7</v>
      </c>
      <c r="H795">
        <v>3</v>
      </c>
      <c r="I795">
        <v>2</v>
      </c>
      <c r="J795" t="str">
        <f>VLOOKUP(H795,DC_Xref!A:B,2,FALSE)</f>
        <v>WFC</v>
      </c>
      <c r="K795">
        <f t="shared" si="12"/>
        <v>202146</v>
      </c>
      <c r="L795">
        <f>IFERROR(Table1[[#This Row],[Demand]]/SUMIFS(Table1[Demand],Table1[Fiscal_Year],Table1[[#This Row],[Fiscal_Year]],Table1[BRAND],Table1[[#This Row],[BRAND]],Table1[DC_name_Xref],Table1[[#This Row],[DC_name_Xref]]),0)</f>
        <v>0.22222222222222221</v>
      </c>
      <c r="M7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3.4959629396853166E-6</v>
      </c>
      <c r="N795" s="3">
        <f>IFERROR(INDEX(Table3[#All],MATCH(Table1[[#This Row],[Key_Year_Week_Brand]],Table3[[#All],[Key_Year_Week_Brand]],0),MATCH(Table1[[#This Row],[DC_name_Xref]],Table3[#Headers],0)),0)</f>
        <v>3.4959629396853166E-6</v>
      </c>
      <c r="O795">
        <f>IFERROR(INDEX(Table35[#All],MATCH(Table1[[#This Row],[Key_Year_Week_Brand]],Table35[[#All],[Key_Year_Month_Brand]],0),MATCH(Table1[[#This Row],[DC_name_Xref]],Table35[#Headers],0)),0)</f>
        <v>1.0705932027604124</v>
      </c>
    </row>
    <row r="796" spans="1:15" x14ac:dyDescent="0.3">
      <c r="A796" s="19" t="str">
        <f>Table1[[#This Row],[Year_Week]]&amp;"-"&amp;Table1[[#This Row],[DC_name_Xref]]</f>
        <v>202146-EAO</v>
      </c>
      <c r="B796" s="19" t="str">
        <f>Table1[[#This Row],[Fiscal_Year]]*100+Table1[[#This Row],[Fiscal_Week]] &amp; "-" &amp;Table1[[#This Row],[BRAND]]</f>
        <v>202146-Banana Republic</v>
      </c>
      <c r="C796" t="str">
        <f>Table1[[#This Row],[Fiscal_Year]]&amp;"-"&amp;Table1[[#This Row],[BRAND]]</f>
        <v>2021-Banana Republic</v>
      </c>
      <c r="D796">
        <v>2021</v>
      </c>
      <c r="E796">
        <v>46</v>
      </c>
      <c r="F796" t="s">
        <v>18</v>
      </c>
      <c r="G796" t="s">
        <v>8</v>
      </c>
      <c r="H796">
        <v>4</v>
      </c>
      <c r="I796">
        <v>3</v>
      </c>
      <c r="J796" t="str">
        <f>VLOOKUP(H796,DC_Xref!A:B,2,FALSE)</f>
        <v>EAO</v>
      </c>
      <c r="K796">
        <f t="shared" si="12"/>
        <v>202146</v>
      </c>
      <c r="L796">
        <f>IFERROR(Table1[[#This Row],[Demand]]/SUMIFS(Table1[Demand],Table1[Fiscal_Year],Table1[[#This Row],[Fiscal_Year]],Table1[BRAND],Table1[[#This Row],[BRAND]],Table1[DC_name_Xref],Table1[[#This Row],[DC_name_Xref]]),0)</f>
        <v>2.7522935779816515E-2</v>
      </c>
      <c r="M7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4.2339995602855504E-5</v>
      </c>
      <c r="N796" s="3">
        <f>IFERROR(INDEX(Table3[#All],MATCH(Table1[[#This Row],[Key_Year_Week_Brand]],Table3[[#All],[Key_Year_Week_Brand]],0),MATCH(Table1[[#This Row],[DC_name_Xref]],Table3[#Headers],0)),0)</f>
        <v>4.2339995602855504E-5</v>
      </c>
      <c r="O796">
        <f>IFERROR(INDEX(Table35[#All],MATCH(Table1[[#This Row],[Key_Year_Week_Brand]],Table35[[#All],[Key_Year_Month_Brand]],0),MATCH(Table1[[#This Row],[DC_name_Xref]],Table35[#Headers],0)),0)</f>
        <v>12.966073233431661</v>
      </c>
    </row>
    <row r="797" spans="1:15" x14ac:dyDescent="0.3">
      <c r="A797" s="19" t="str">
        <f>Table1[[#This Row],[Year_Week]]&amp;"-"&amp;Table1[[#This Row],[DC_name_Xref]]</f>
        <v>202146-FFC-ODC</v>
      </c>
      <c r="B797" s="19" t="str">
        <f>Table1[[#This Row],[Fiscal_Year]]*100+Table1[[#This Row],[Fiscal_Week]] &amp; "-" &amp;Table1[[#This Row],[BRAND]]</f>
        <v>202146-Banana Republic</v>
      </c>
      <c r="C797" t="str">
        <f>Table1[[#This Row],[Fiscal_Year]]&amp;"-"&amp;Table1[[#This Row],[BRAND]]</f>
        <v>2021-Banana Republic</v>
      </c>
      <c r="D797">
        <v>2021</v>
      </c>
      <c r="E797">
        <v>46</v>
      </c>
      <c r="F797" t="s">
        <v>18</v>
      </c>
      <c r="G797" t="s">
        <v>23</v>
      </c>
      <c r="H797">
        <v>5</v>
      </c>
      <c r="I797">
        <v>0</v>
      </c>
      <c r="J797" t="str">
        <f>VLOOKUP(H797,DC_Xref!A:B,2,FALSE)</f>
        <v>FFC-ODC</v>
      </c>
      <c r="K797">
        <f t="shared" si="12"/>
        <v>202146</v>
      </c>
      <c r="L797">
        <f>IFERROR(Table1[[#This Row],[Demand]]/SUMIFS(Table1[Demand],Table1[Fiscal_Year],Table1[[#This Row],[Fiscal_Year]],Table1[BRAND],Table1[[#This Row],[BRAND]],Table1[DC_name_Xref],Table1[[#This Row],[DC_name_Xref]]),0)</f>
        <v>0</v>
      </c>
      <c r="M7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97" s="3">
        <f>IFERROR(INDEX(Table3[#All],MATCH(Table1[[#This Row],[Key_Year_Week_Brand]],Table3[[#All],[Key_Year_Week_Brand]],0),MATCH(Table1[[#This Row],[DC_name_Xref]],Table3[#Headers],0)),0)</f>
        <v>0</v>
      </c>
      <c r="O797">
        <f>IFERROR(INDEX(Table35[#All],MATCH(Table1[[#This Row],[Key_Year_Week_Brand]],Table35[[#All],[Key_Year_Month_Brand]],0),MATCH(Table1[[#This Row],[DC_name_Xref]],Table35[#Headers],0)),0)</f>
        <v>0</v>
      </c>
    </row>
    <row r="798" spans="1:15" x14ac:dyDescent="0.3">
      <c r="A798" s="19" t="str">
        <f>Table1[[#This Row],[Year_Week]]&amp;"-"&amp;Table1[[#This Row],[DC_name_Xref]]</f>
        <v>202146-WEO</v>
      </c>
      <c r="B798" s="19" t="str">
        <f>Table1[[#This Row],[Fiscal_Year]]*100+Table1[[#This Row],[Fiscal_Week]] &amp; "-" &amp;Table1[[#This Row],[BRAND]]</f>
        <v>202146-Banana Republic</v>
      </c>
      <c r="C798" t="str">
        <f>Table1[[#This Row],[Fiscal_Year]]&amp;"-"&amp;Table1[[#This Row],[BRAND]]</f>
        <v>2021-Banana Republic</v>
      </c>
      <c r="D798">
        <v>2021</v>
      </c>
      <c r="E798">
        <v>46</v>
      </c>
      <c r="F798" t="s">
        <v>18</v>
      </c>
      <c r="G798" t="s">
        <v>10</v>
      </c>
      <c r="H798">
        <v>6</v>
      </c>
      <c r="I798">
        <v>0</v>
      </c>
      <c r="J798" t="str">
        <f>VLOOKUP(H798,DC_Xref!A:B,2,FALSE)</f>
        <v>WEO</v>
      </c>
      <c r="K798">
        <f t="shared" si="12"/>
        <v>202146</v>
      </c>
      <c r="L798">
        <f>IFERROR(Table1[[#This Row],[Demand]]/SUMIFS(Table1[Demand],Table1[Fiscal_Year],Table1[[#This Row],[Fiscal_Year]],Table1[BRAND],Table1[[#This Row],[BRAND]],Table1[DC_name_Xref],Table1[[#This Row],[DC_name_Xref]]),0)</f>
        <v>0</v>
      </c>
      <c r="M7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98" s="3">
        <f>IFERROR(INDEX(Table3[#All],MATCH(Table1[[#This Row],[Key_Year_Week_Brand]],Table3[[#All],[Key_Year_Week_Brand]],0),MATCH(Table1[[#This Row],[DC_name_Xref]],Table3[#Headers],0)),0)</f>
        <v>0</v>
      </c>
      <c r="O798">
        <f>IFERROR(INDEX(Table35[#All],MATCH(Table1[[#This Row],[Key_Year_Week_Brand]],Table35[[#All],[Key_Year_Month_Brand]],0),MATCH(Table1[[#This Row],[DC_name_Xref]],Table35[#Headers],0)),0)</f>
        <v>0</v>
      </c>
    </row>
    <row r="799" spans="1:15" x14ac:dyDescent="0.3">
      <c r="A799" s="19" t="str">
        <f>Table1[[#This Row],[Year_Week]]&amp;"-"&amp;Table1[[#This Row],[DC_name_Xref]]</f>
        <v>202146-OCC</v>
      </c>
      <c r="B799" s="19" t="str">
        <f>Table1[[#This Row],[Fiscal_Year]]*100+Table1[[#This Row],[Fiscal_Week]] &amp; "-" &amp;Table1[[#This Row],[BRAND]]</f>
        <v>202146-Banana Republic</v>
      </c>
      <c r="C799" t="str">
        <f>Table1[[#This Row],[Fiscal_Year]]&amp;"-"&amp;Table1[[#This Row],[BRAND]]</f>
        <v>2021-Banana Republic</v>
      </c>
      <c r="D799">
        <v>2021</v>
      </c>
      <c r="E799">
        <v>46</v>
      </c>
      <c r="F799" t="s">
        <v>18</v>
      </c>
      <c r="G799" t="s">
        <v>11</v>
      </c>
      <c r="H799">
        <v>7</v>
      </c>
      <c r="I799">
        <v>0</v>
      </c>
      <c r="J799" t="str">
        <f>VLOOKUP(H799,DC_Xref!A:B,2,FALSE)</f>
        <v>OCC</v>
      </c>
      <c r="K799">
        <f t="shared" si="12"/>
        <v>202146</v>
      </c>
      <c r="L799">
        <f>IFERROR(Table1[[#This Row],[Demand]]/SUMIFS(Table1[Demand],Table1[Fiscal_Year],Table1[[#This Row],[Fiscal_Year]],Table1[BRAND],Table1[[#This Row],[BRAND]],Table1[DC_name_Xref],Table1[[#This Row],[DC_name_Xref]]),0)</f>
        <v>0</v>
      </c>
      <c r="M7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799" s="3">
        <f>IFERROR(INDEX(Table3[#All],MATCH(Table1[[#This Row],[Key_Year_Week_Brand]],Table3[[#All],[Key_Year_Week_Brand]],0),MATCH(Table1[[#This Row],[DC_name_Xref]],Table3[#Headers],0)),0)</f>
        <v>0</v>
      </c>
      <c r="O799">
        <f>IFERROR(INDEX(Table35[#All],MATCH(Table1[[#This Row],[Key_Year_Week_Brand]],Table35[[#All],[Key_Year_Month_Brand]],0),MATCH(Table1[[#This Row],[DC_name_Xref]],Table35[#Headers],0)),0)</f>
        <v>0</v>
      </c>
    </row>
    <row r="800" spans="1:15" x14ac:dyDescent="0.3">
      <c r="A800" s="19" t="str">
        <f>Table1[[#This Row],[Year_Week]]&amp;"-"&amp;Table1[[#This Row],[DC_name_Xref]]</f>
        <v>202147-OFC</v>
      </c>
      <c r="B800" s="19" t="str">
        <f>Table1[[#This Row],[Fiscal_Year]]*100+Table1[[#This Row],[Fiscal_Week]] &amp; "-" &amp;Table1[[#This Row],[BRAND]]</f>
        <v>202147-Gap Factory Store</v>
      </c>
      <c r="C800" t="str">
        <f>Table1[[#This Row],[Fiscal_Year]]&amp;"-"&amp;Table1[[#This Row],[BRAND]]</f>
        <v>2021-Gap Factory Store</v>
      </c>
      <c r="D800">
        <v>2021</v>
      </c>
      <c r="E800">
        <v>47</v>
      </c>
      <c r="F800" t="s">
        <v>22</v>
      </c>
      <c r="G800" t="s">
        <v>5</v>
      </c>
      <c r="H800">
        <v>1</v>
      </c>
      <c r="I800">
        <v>375002</v>
      </c>
      <c r="J800" t="str">
        <f>VLOOKUP(H800,DC_Xref!A:B,2,FALSE)</f>
        <v>OFC</v>
      </c>
      <c r="K800">
        <f t="shared" si="12"/>
        <v>202147</v>
      </c>
      <c r="L800">
        <f>IFERROR(Table1[[#This Row],[Demand]]/SUMIFS(Table1[Demand],Table1[Fiscal_Year],Table1[[#This Row],[Fiscal_Year]],Table1[BRAND],Table1[[#This Row],[BRAND]],Table1[DC_name_Xref],Table1[[#This Row],[DC_name_Xref]]),0)</f>
        <v>7.7121503561040722E-2</v>
      </c>
      <c r="M8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800" s="3">
        <f>IFERROR(INDEX(Table3[#All],MATCH(Table1[[#This Row],[Key_Year_Week_Brand]],Table3[[#All],[Key_Year_Week_Brand]],0),MATCH(Table1[[#This Row],[DC_name_Xref]],Table3[#Headers],0)),0)</f>
        <v>1</v>
      </c>
      <c r="O800">
        <f>IFERROR(INDEX(Table35[#All],MATCH(Table1[[#This Row],[Key_Year_Week_Brand]],Table35[[#All],[Key_Year_Month_Brand]],0),MATCH(Table1[[#This Row],[DC_name_Xref]],Table35[#Headers],0)),0)</f>
        <v>375002</v>
      </c>
    </row>
    <row r="801" spans="1:15" x14ac:dyDescent="0.3">
      <c r="A801" s="19" t="str">
        <f>Table1[[#This Row],[Year_Week]]&amp;"-"&amp;Table1[[#This Row],[DC_name_Xref]]</f>
        <v>202147-TFC</v>
      </c>
      <c r="B801" s="19" t="str">
        <f>Table1[[#This Row],[Fiscal_Year]]*100+Table1[[#This Row],[Fiscal_Week]] &amp; "-" &amp;Table1[[#This Row],[BRAND]]</f>
        <v>202147-Gap Factory Store</v>
      </c>
      <c r="C801" t="str">
        <f>Table1[[#This Row],[Fiscal_Year]]&amp;"-"&amp;Table1[[#This Row],[BRAND]]</f>
        <v>2021-Gap Factory Store</v>
      </c>
      <c r="D801">
        <v>2021</v>
      </c>
      <c r="E801">
        <v>47</v>
      </c>
      <c r="F801" t="s">
        <v>22</v>
      </c>
      <c r="G801" t="s">
        <v>21</v>
      </c>
      <c r="H801">
        <v>2</v>
      </c>
      <c r="I801">
        <v>0</v>
      </c>
      <c r="J801" t="str">
        <f>VLOOKUP(H801,DC_Xref!A:B,2,FALSE)</f>
        <v>TFC</v>
      </c>
      <c r="K801">
        <f t="shared" si="12"/>
        <v>202147</v>
      </c>
      <c r="L801">
        <f>IFERROR(Table1[[#This Row],[Demand]]/SUMIFS(Table1[Demand],Table1[Fiscal_Year],Table1[[#This Row],[Fiscal_Year]],Table1[BRAND],Table1[[#This Row],[BRAND]],Table1[DC_name_Xref],Table1[[#This Row],[DC_name_Xref]]),0)</f>
        <v>0</v>
      </c>
      <c r="M8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1" s="3">
        <f>IFERROR(INDEX(Table3[#All],MATCH(Table1[[#This Row],[Key_Year_Week_Brand]],Table3[[#All],[Key_Year_Week_Brand]],0),MATCH(Table1[[#This Row],[DC_name_Xref]],Table3[#Headers],0)),0)</f>
        <v>0</v>
      </c>
      <c r="O801">
        <f>IFERROR(INDEX(Table35[#All],MATCH(Table1[[#This Row],[Key_Year_Week_Brand]],Table35[[#All],[Key_Year_Month_Brand]],0),MATCH(Table1[[#This Row],[DC_name_Xref]],Table35[#Headers],0)),0)</f>
        <v>0</v>
      </c>
    </row>
    <row r="802" spans="1:15" x14ac:dyDescent="0.3">
      <c r="A802" s="19" t="str">
        <f>Table1[[#This Row],[Year_Week]]&amp;"-"&amp;Table1[[#This Row],[DC_name_Xref]]</f>
        <v>202147-WFC</v>
      </c>
      <c r="B802" s="19" t="str">
        <f>Table1[[#This Row],[Fiscal_Year]]*100+Table1[[#This Row],[Fiscal_Week]] &amp; "-" &amp;Table1[[#This Row],[BRAND]]</f>
        <v>202147-Gap Factory Store</v>
      </c>
      <c r="C802" t="str">
        <f>Table1[[#This Row],[Fiscal_Year]]&amp;"-"&amp;Table1[[#This Row],[BRAND]]</f>
        <v>2021-Gap Factory Store</v>
      </c>
      <c r="D802">
        <v>2021</v>
      </c>
      <c r="E802">
        <v>47</v>
      </c>
      <c r="F802" t="s">
        <v>22</v>
      </c>
      <c r="G802" t="s">
        <v>7</v>
      </c>
      <c r="H802">
        <v>3</v>
      </c>
      <c r="I802">
        <v>0</v>
      </c>
      <c r="J802" t="str">
        <f>VLOOKUP(H802,DC_Xref!A:B,2,FALSE)</f>
        <v>WFC</v>
      </c>
      <c r="K802">
        <f t="shared" si="12"/>
        <v>202147</v>
      </c>
      <c r="L802">
        <f>IFERROR(Table1[[#This Row],[Demand]]/SUMIFS(Table1[Demand],Table1[Fiscal_Year],Table1[[#This Row],[Fiscal_Year]],Table1[BRAND],Table1[[#This Row],[BRAND]],Table1[DC_name_Xref],Table1[[#This Row],[DC_name_Xref]]),0)</f>
        <v>0</v>
      </c>
      <c r="M8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2" s="3">
        <f>IFERROR(INDEX(Table3[#All],MATCH(Table1[[#This Row],[Key_Year_Week_Brand]],Table3[[#All],[Key_Year_Week_Brand]],0),MATCH(Table1[[#This Row],[DC_name_Xref]],Table3[#Headers],0)),0)</f>
        <v>0</v>
      </c>
      <c r="O802">
        <f>IFERROR(INDEX(Table35[#All],MATCH(Table1[[#This Row],[Key_Year_Week_Brand]],Table35[[#All],[Key_Year_Month_Brand]],0),MATCH(Table1[[#This Row],[DC_name_Xref]],Table35[#Headers],0)),0)</f>
        <v>0</v>
      </c>
    </row>
    <row r="803" spans="1:15" x14ac:dyDescent="0.3">
      <c r="A803" s="19" t="str">
        <f>Table1[[#This Row],[Year_Week]]&amp;"-"&amp;Table1[[#This Row],[DC_name_Xref]]</f>
        <v>202147-EAO</v>
      </c>
      <c r="B803" s="19" t="str">
        <f>Table1[[#This Row],[Fiscal_Year]]*100+Table1[[#This Row],[Fiscal_Week]] &amp; "-" &amp;Table1[[#This Row],[BRAND]]</f>
        <v>202147-Gap Factory Store</v>
      </c>
      <c r="C803" t="str">
        <f>Table1[[#This Row],[Fiscal_Year]]&amp;"-"&amp;Table1[[#This Row],[BRAND]]</f>
        <v>2021-Gap Factory Store</v>
      </c>
      <c r="D803">
        <v>2021</v>
      </c>
      <c r="E803">
        <v>47</v>
      </c>
      <c r="F803" t="s">
        <v>22</v>
      </c>
      <c r="G803" t="s">
        <v>8</v>
      </c>
      <c r="H803">
        <v>4</v>
      </c>
      <c r="I803">
        <v>0</v>
      </c>
      <c r="J803" t="str">
        <f>VLOOKUP(H803,DC_Xref!A:B,2,FALSE)</f>
        <v>EAO</v>
      </c>
      <c r="K803">
        <f t="shared" si="12"/>
        <v>202147</v>
      </c>
      <c r="L803">
        <f>IFERROR(Table1[[#This Row],[Demand]]/SUMIFS(Table1[Demand],Table1[Fiscal_Year],Table1[[#This Row],[Fiscal_Year]],Table1[BRAND],Table1[[#This Row],[BRAND]],Table1[DC_name_Xref],Table1[[#This Row],[DC_name_Xref]]),0)</f>
        <v>0</v>
      </c>
      <c r="M8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3" s="3">
        <f>IFERROR(INDEX(Table3[#All],MATCH(Table1[[#This Row],[Key_Year_Week_Brand]],Table3[[#All],[Key_Year_Week_Brand]],0),MATCH(Table1[[#This Row],[DC_name_Xref]],Table3[#Headers],0)),0)</f>
        <v>0</v>
      </c>
      <c r="O803">
        <f>IFERROR(INDEX(Table35[#All],MATCH(Table1[[#This Row],[Key_Year_Week_Brand]],Table35[[#All],[Key_Year_Month_Brand]],0),MATCH(Table1[[#This Row],[DC_name_Xref]],Table35[#Headers],0)),0)</f>
        <v>0</v>
      </c>
    </row>
    <row r="804" spans="1:15" x14ac:dyDescent="0.3">
      <c r="A804" s="19" t="str">
        <f>Table1[[#This Row],[Year_Week]]&amp;"-"&amp;Table1[[#This Row],[DC_name_Xref]]</f>
        <v>202147-FFC-ODC</v>
      </c>
      <c r="B804" s="19" t="str">
        <f>Table1[[#This Row],[Fiscal_Year]]*100+Table1[[#This Row],[Fiscal_Week]] &amp; "-" &amp;Table1[[#This Row],[BRAND]]</f>
        <v>202147-Gap Factory Store</v>
      </c>
      <c r="C804" t="str">
        <f>Table1[[#This Row],[Fiscal_Year]]&amp;"-"&amp;Table1[[#This Row],[BRAND]]</f>
        <v>2021-Gap Factory Store</v>
      </c>
      <c r="D804">
        <v>2021</v>
      </c>
      <c r="E804">
        <v>47</v>
      </c>
      <c r="F804" t="s">
        <v>22</v>
      </c>
      <c r="G804" t="s">
        <v>23</v>
      </c>
      <c r="H804">
        <v>5</v>
      </c>
      <c r="I804">
        <v>0</v>
      </c>
      <c r="J804" t="str">
        <f>VLOOKUP(H804,DC_Xref!A:B,2,FALSE)</f>
        <v>FFC-ODC</v>
      </c>
      <c r="K804">
        <f t="shared" si="12"/>
        <v>202147</v>
      </c>
      <c r="L804">
        <f>IFERROR(Table1[[#This Row],[Demand]]/SUMIFS(Table1[Demand],Table1[Fiscal_Year],Table1[[#This Row],[Fiscal_Year]],Table1[BRAND],Table1[[#This Row],[BRAND]],Table1[DC_name_Xref],Table1[[#This Row],[DC_name_Xref]]),0)</f>
        <v>0</v>
      </c>
      <c r="M8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4" s="3">
        <f>IFERROR(INDEX(Table3[#All],MATCH(Table1[[#This Row],[Key_Year_Week_Brand]],Table3[[#All],[Key_Year_Week_Brand]],0),MATCH(Table1[[#This Row],[DC_name_Xref]],Table3[#Headers],0)),0)</f>
        <v>0</v>
      </c>
      <c r="O804">
        <f>IFERROR(INDEX(Table35[#All],MATCH(Table1[[#This Row],[Key_Year_Week_Brand]],Table35[[#All],[Key_Year_Month_Brand]],0),MATCH(Table1[[#This Row],[DC_name_Xref]],Table35[#Headers],0)),0)</f>
        <v>0</v>
      </c>
    </row>
    <row r="805" spans="1:15" x14ac:dyDescent="0.3">
      <c r="A805" s="19" t="str">
        <f>Table1[[#This Row],[Year_Week]]&amp;"-"&amp;Table1[[#This Row],[DC_name_Xref]]</f>
        <v>202147-WEO</v>
      </c>
      <c r="B805" s="19" t="str">
        <f>Table1[[#This Row],[Fiscal_Year]]*100+Table1[[#This Row],[Fiscal_Week]] &amp; "-" &amp;Table1[[#This Row],[BRAND]]</f>
        <v>202147-Gap Factory Store</v>
      </c>
      <c r="C805" t="str">
        <f>Table1[[#This Row],[Fiscal_Year]]&amp;"-"&amp;Table1[[#This Row],[BRAND]]</f>
        <v>2021-Gap Factory Store</v>
      </c>
      <c r="D805">
        <v>2021</v>
      </c>
      <c r="E805">
        <v>47</v>
      </c>
      <c r="F805" t="s">
        <v>22</v>
      </c>
      <c r="G805" t="s">
        <v>10</v>
      </c>
      <c r="H805">
        <v>6</v>
      </c>
      <c r="I805">
        <v>0</v>
      </c>
      <c r="J805" t="str">
        <f>VLOOKUP(H805,DC_Xref!A:B,2,FALSE)</f>
        <v>WEO</v>
      </c>
      <c r="K805">
        <f t="shared" si="12"/>
        <v>202147</v>
      </c>
      <c r="L805">
        <f>IFERROR(Table1[[#This Row],[Demand]]/SUMIFS(Table1[Demand],Table1[Fiscal_Year],Table1[[#This Row],[Fiscal_Year]],Table1[BRAND],Table1[[#This Row],[BRAND]],Table1[DC_name_Xref],Table1[[#This Row],[DC_name_Xref]]),0)</f>
        <v>0</v>
      </c>
      <c r="M8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5" s="3">
        <f>IFERROR(INDEX(Table3[#All],MATCH(Table1[[#This Row],[Key_Year_Week_Brand]],Table3[[#All],[Key_Year_Week_Brand]],0),MATCH(Table1[[#This Row],[DC_name_Xref]],Table3[#Headers],0)),0)</f>
        <v>0</v>
      </c>
      <c r="O805">
        <f>IFERROR(INDEX(Table35[#All],MATCH(Table1[[#This Row],[Key_Year_Week_Brand]],Table35[[#All],[Key_Year_Month_Brand]],0),MATCH(Table1[[#This Row],[DC_name_Xref]],Table35[#Headers],0)),0)</f>
        <v>0</v>
      </c>
    </row>
    <row r="806" spans="1:15" x14ac:dyDescent="0.3">
      <c r="A806" s="19" t="str">
        <f>Table1[[#This Row],[Year_Week]]&amp;"-"&amp;Table1[[#This Row],[DC_name_Xref]]</f>
        <v>202147-OCC</v>
      </c>
      <c r="B806" s="19" t="str">
        <f>Table1[[#This Row],[Fiscal_Year]]*100+Table1[[#This Row],[Fiscal_Week]] &amp; "-" &amp;Table1[[#This Row],[BRAND]]</f>
        <v>202147-Gap Factory Store</v>
      </c>
      <c r="C806" t="str">
        <f>Table1[[#This Row],[Fiscal_Year]]&amp;"-"&amp;Table1[[#This Row],[BRAND]]</f>
        <v>2021-Gap Factory Store</v>
      </c>
      <c r="D806">
        <v>2021</v>
      </c>
      <c r="E806">
        <v>47</v>
      </c>
      <c r="F806" t="s">
        <v>22</v>
      </c>
      <c r="G806" t="s">
        <v>11</v>
      </c>
      <c r="H806">
        <v>7</v>
      </c>
      <c r="I806">
        <v>0</v>
      </c>
      <c r="J806" t="str">
        <f>VLOOKUP(H806,DC_Xref!A:B,2,FALSE)</f>
        <v>OCC</v>
      </c>
      <c r="K806">
        <f t="shared" si="12"/>
        <v>202147</v>
      </c>
      <c r="L806">
        <f>IFERROR(Table1[[#This Row],[Demand]]/SUMIFS(Table1[Demand],Table1[Fiscal_Year],Table1[[#This Row],[Fiscal_Year]],Table1[BRAND],Table1[[#This Row],[BRAND]],Table1[DC_name_Xref],Table1[[#This Row],[DC_name_Xref]]),0)</f>
        <v>0</v>
      </c>
      <c r="M8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6" s="3">
        <f>IFERROR(INDEX(Table3[#All],MATCH(Table1[[#This Row],[Key_Year_Week_Brand]],Table3[[#All],[Key_Year_Week_Brand]],0),MATCH(Table1[[#This Row],[DC_name_Xref]],Table3[#Headers],0)),0)</f>
        <v>0</v>
      </c>
      <c r="O806">
        <f>IFERROR(INDEX(Table35[#All],MATCH(Table1[[#This Row],[Key_Year_Week_Brand]],Table35[[#All],[Key_Year_Month_Brand]],0),MATCH(Table1[[#This Row],[DC_name_Xref]],Table35[#Headers],0)),0)</f>
        <v>0</v>
      </c>
    </row>
    <row r="807" spans="1:15" x14ac:dyDescent="0.3">
      <c r="A807" s="19" t="str">
        <f>Table1[[#This Row],[Year_Week]]&amp;"-"&amp;Table1[[#This Row],[DC_name_Xref]]</f>
        <v>202147-OFC</v>
      </c>
      <c r="B807" s="19" t="str">
        <f>Table1[[#This Row],[Fiscal_Year]]*100+Table1[[#This Row],[Fiscal_Week]] &amp; "-" &amp;Table1[[#This Row],[BRAND]]</f>
        <v>202147-BR Factory Store</v>
      </c>
      <c r="C807" t="str">
        <f>Table1[[#This Row],[Fiscal_Year]]&amp;"-"&amp;Table1[[#This Row],[BRAND]]</f>
        <v>2021-BR Factory Store</v>
      </c>
      <c r="D807">
        <v>2021</v>
      </c>
      <c r="E807">
        <v>47</v>
      </c>
      <c r="F807" t="s">
        <v>17</v>
      </c>
      <c r="G807" t="s">
        <v>5</v>
      </c>
      <c r="H807">
        <v>1</v>
      </c>
      <c r="I807">
        <v>167946</v>
      </c>
      <c r="J807" t="str">
        <f>VLOOKUP(H807,DC_Xref!A:B,2,FALSE)</f>
        <v>OFC</v>
      </c>
      <c r="K807">
        <f t="shared" si="12"/>
        <v>202147</v>
      </c>
      <c r="L807">
        <f>IFERROR(Table1[[#This Row],[Demand]]/SUMIFS(Table1[Demand],Table1[Fiscal_Year],Table1[[#This Row],[Fiscal_Year]],Table1[BRAND],Table1[[#This Row],[BRAND]],Table1[DC_name_Xref],Table1[[#This Row],[DC_name_Xref]]),0)</f>
        <v>9.4317773384850395E-2</v>
      </c>
      <c r="M8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807" s="3">
        <f>IFERROR(INDEX(Table3[#All],MATCH(Table1[[#This Row],[Key_Year_Week_Brand]],Table3[[#All],[Key_Year_Week_Brand]],0),MATCH(Table1[[#This Row],[DC_name_Xref]],Table3[#Headers],0)),0)</f>
        <v>1</v>
      </c>
      <c r="O807">
        <f>IFERROR(INDEX(Table35[#All],MATCH(Table1[[#This Row],[Key_Year_Week_Brand]],Table35[[#All],[Key_Year_Month_Brand]],0),MATCH(Table1[[#This Row],[DC_name_Xref]],Table35[#Headers],0)),0)</f>
        <v>167946</v>
      </c>
    </row>
    <row r="808" spans="1:15" x14ac:dyDescent="0.3">
      <c r="A808" s="19" t="str">
        <f>Table1[[#This Row],[Year_Week]]&amp;"-"&amp;Table1[[#This Row],[DC_name_Xref]]</f>
        <v>202147-TFC</v>
      </c>
      <c r="B808" s="19" t="str">
        <f>Table1[[#This Row],[Fiscal_Year]]*100+Table1[[#This Row],[Fiscal_Week]] &amp; "-" &amp;Table1[[#This Row],[BRAND]]</f>
        <v>202147-BR Factory Store</v>
      </c>
      <c r="C808" t="str">
        <f>Table1[[#This Row],[Fiscal_Year]]&amp;"-"&amp;Table1[[#This Row],[BRAND]]</f>
        <v>2021-BR Factory Store</v>
      </c>
      <c r="D808">
        <v>2021</v>
      </c>
      <c r="E808">
        <v>47</v>
      </c>
      <c r="F808" t="s">
        <v>17</v>
      </c>
      <c r="G808" t="s">
        <v>21</v>
      </c>
      <c r="H808">
        <v>2</v>
      </c>
      <c r="I808">
        <v>0</v>
      </c>
      <c r="J808" t="str">
        <f>VLOOKUP(H808,DC_Xref!A:B,2,FALSE)</f>
        <v>TFC</v>
      </c>
      <c r="K808">
        <f t="shared" si="12"/>
        <v>202147</v>
      </c>
      <c r="L808">
        <f>IFERROR(Table1[[#This Row],[Demand]]/SUMIFS(Table1[Demand],Table1[Fiscal_Year],Table1[[#This Row],[Fiscal_Year]],Table1[BRAND],Table1[[#This Row],[BRAND]],Table1[DC_name_Xref],Table1[[#This Row],[DC_name_Xref]]),0)</f>
        <v>0</v>
      </c>
      <c r="M8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8" s="3">
        <f>IFERROR(INDEX(Table3[#All],MATCH(Table1[[#This Row],[Key_Year_Week_Brand]],Table3[[#All],[Key_Year_Week_Brand]],0),MATCH(Table1[[#This Row],[DC_name_Xref]],Table3[#Headers],0)),0)</f>
        <v>0</v>
      </c>
      <c r="O808">
        <f>IFERROR(INDEX(Table35[#All],MATCH(Table1[[#This Row],[Key_Year_Week_Brand]],Table35[[#All],[Key_Year_Month_Brand]],0),MATCH(Table1[[#This Row],[DC_name_Xref]],Table35[#Headers],0)),0)</f>
        <v>0</v>
      </c>
    </row>
    <row r="809" spans="1:15" x14ac:dyDescent="0.3">
      <c r="A809" s="19" t="str">
        <f>Table1[[#This Row],[Year_Week]]&amp;"-"&amp;Table1[[#This Row],[DC_name_Xref]]</f>
        <v>202147-WFC</v>
      </c>
      <c r="B809" s="19" t="str">
        <f>Table1[[#This Row],[Fiscal_Year]]*100+Table1[[#This Row],[Fiscal_Week]] &amp; "-" &amp;Table1[[#This Row],[BRAND]]</f>
        <v>202147-BR Factory Store</v>
      </c>
      <c r="C809" t="str">
        <f>Table1[[#This Row],[Fiscal_Year]]&amp;"-"&amp;Table1[[#This Row],[BRAND]]</f>
        <v>2021-BR Factory Store</v>
      </c>
      <c r="D809">
        <v>2021</v>
      </c>
      <c r="E809">
        <v>47</v>
      </c>
      <c r="F809" t="s">
        <v>17</v>
      </c>
      <c r="G809" t="s">
        <v>7</v>
      </c>
      <c r="H809">
        <v>3</v>
      </c>
      <c r="I809">
        <v>0</v>
      </c>
      <c r="J809" t="str">
        <f>VLOOKUP(H809,DC_Xref!A:B,2,FALSE)</f>
        <v>WFC</v>
      </c>
      <c r="K809">
        <f t="shared" si="12"/>
        <v>202147</v>
      </c>
      <c r="L809">
        <f>IFERROR(Table1[[#This Row],[Demand]]/SUMIFS(Table1[Demand],Table1[Fiscal_Year],Table1[[#This Row],[Fiscal_Year]],Table1[BRAND],Table1[[#This Row],[BRAND]],Table1[DC_name_Xref],Table1[[#This Row],[DC_name_Xref]]),0)</f>
        <v>0</v>
      </c>
      <c r="M8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09" s="3">
        <f>IFERROR(INDEX(Table3[#All],MATCH(Table1[[#This Row],[Key_Year_Week_Brand]],Table3[[#All],[Key_Year_Week_Brand]],0),MATCH(Table1[[#This Row],[DC_name_Xref]],Table3[#Headers],0)),0)</f>
        <v>0</v>
      </c>
      <c r="O809">
        <f>IFERROR(INDEX(Table35[#All],MATCH(Table1[[#This Row],[Key_Year_Week_Brand]],Table35[[#All],[Key_Year_Month_Brand]],0),MATCH(Table1[[#This Row],[DC_name_Xref]],Table35[#Headers],0)),0)</f>
        <v>0</v>
      </c>
    </row>
    <row r="810" spans="1:15" x14ac:dyDescent="0.3">
      <c r="A810" s="19" t="str">
        <f>Table1[[#This Row],[Year_Week]]&amp;"-"&amp;Table1[[#This Row],[DC_name_Xref]]</f>
        <v>202147-EAO</v>
      </c>
      <c r="B810" s="19" t="str">
        <f>Table1[[#This Row],[Fiscal_Year]]*100+Table1[[#This Row],[Fiscal_Week]] &amp; "-" &amp;Table1[[#This Row],[BRAND]]</f>
        <v>202147-BR Factory Store</v>
      </c>
      <c r="C810" t="str">
        <f>Table1[[#This Row],[Fiscal_Year]]&amp;"-"&amp;Table1[[#This Row],[BRAND]]</f>
        <v>2021-BR Factory Store</v>
      </c>
      <c r="D810">
        <v>2021</v>
      </c>
      <c r="E810">
        <v>47</v>
      </c>
      <c r="F810" t="s">
        <v>17</v>
      </c>
      <c r="G810" t="s">
        <v>8</v>
      </c>
      <c r="H810">
        <v>4</v>
      </c>
      <c r="I810">
        <v>0</v>
      </c>
      <c r="J810" t="str">
        <f>VLOOKUP(H810,DC_Xref!A:B,2,FALSE)</f>
        <v>EAO</v>
      </c>
      <c r="K810">
        <f t="shared" si="12"/>
        <v>202147</v>
      </c>
      <c r="L810">
        <f>IFERROR(Table1[[#This Row],[Demand]]/SUMIFS(Table1[Demand],Table1[Fiscal_Year],Table1[[#This Row],[Fiscal_Year]],Table1[BRAND],Table1[[#This Row],[BRAND]],Table1[DC_name_Xref],Table1[[#This Row],[DC_name_Xref]]),0)</f>
        <v>0</v>
      </c>
      <c r="M8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10" s="3">
        <f>IFERROR(INDEX(Table3[#All],MATCH(Table1[[#This Row],[Key_Year_Week_Brand]],Table3[[#All],[Key_Year_Week_Brand]],0),MATCH(Table1[[#This Row],[DC_name_Xref]],Table3[#Headers],0)),0)</f>
        <v>0</v>
      </c>
      <c r="O810">
        <f>IFERROR(INDEX(Table35[#All],MATCH(Table1[[#This Row],[Key_Year_Week_Brand]],Table35[[#All],[Key_Year_Month_Brand]],0),MATCH(Table1[[#This Row],[DC_name_Xref]],Table35[#Headers],0)),0)</f>
        <v>0</v>
      </c>
    </row>
    <row r="811" spans="1:15" x14ac:dyDescent="0.3">
      <c r="A811" s="19" t="str">
        <f>Table1[[#This Row],[Year_Week]]&amp;"-"&amp;Table1[[#This Row],[DC_name_Xref]]</f>
        <v>202147-FFC-ODC</v>
      </c>
      <c r="B811" s="19" t="str">
        <f>Table1[[#This Row],[Fiscal_Year]]*100+Table1[[#This Row],[Fiscal_Week]] &amp; "-" &amp;Table1[[#This Row],[BRAND]]</f>
        <v>202147-BR Factory Store</v>
      </c>
      <c r="C811" t="str">
        <f>Table1[[#This Row],[Fiscal_Year]]&amp;"-"&amp;Table1[[#This Row],[BRAND]]</f>
        <v>2021-BR Factory Store</v>
      </c>
      <c r="D811">
        <v>2021</v>
      </c>
      <c r="E811">
        <v>47</v>
      </c>
      <c r="F811" t="s">
        <v>17</v>
      </c>
      <c r="G811" t="s">
        <v>23</v>
      </c>
      <c r="H811">
        <v>5</v>
      </c>
      <c r="I811">
        <v>0</v>
      </c>
      <c r="J811" t="str">
        <f>VLOOKUP(H811,DC_Xref!A:B,2,FALSE)</f>
        <v>FFC-ODC</v>
      </c>
      <c r="K811">
        <f t="shared" si="12"/>
        <v>202147</v>
      </c>
      <c r="L811">
        <f>IFERROR(Table1[[#This Row],[Demand]]/SUMIFS(Table1[Demand],Table1[Fiscal_Year],Table1[[#This Row],[Fiscal_Year]],Table1[BRAND],Table1[[#This Row],[BRAND]],Table1[DC_name_Xref],Table1[[#This Row],[DC_name_Xref]]),0)</f>
        <v>0</v>
      </c>
      <c r="M8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11" s="3">
        <f>IFERROR(INDEX(Table3[#All],MATCH(Table1[[#This Row],[Key_Year_Week_Brand]],Table3[[#All],[Key_Year_Week_Brand]],0),MATCH(Table1[[#This Row],[DC_name_Xref]],Table3[#Headers],0)),0)</f>
        <v>0</v>
      </c>
      <c r="O811">
        <f>IFERROR(INDEX(Table35[#All],MATCH(Table1[[#This Row],[Key_Year_Week_Brand]],Table35[[#All],[Key_Year_Month_Brand]],0),MATCH(Table1[[#This Row],[DC_name_Xref]],Table35[#Headers],0)),0)</f>
        <v>0</v>
      </c>
    </row>
    <row r="812" spans="1:15" x14ac:dyDescent="0.3">
      <c r="A812" s="19" t="str">
        <f>Table1[[#This Row],[Year_Week]]&amp;"-"&amp;Table1[[#This Row],[DC_name_Xref]]</f>
        <v>202147-WEO</v>
      </c>
      <c r="B812" s="19" t="str">
        <f>Table1[[#This Row],[Fiscal_Year]]*100+Table1[[#This Row],[Fiscal_Week]] &amp; "-" &amp;Table1[[#This Row],[BRAND]]</f>
        <v>202147-BR Factory Store</v>
      </c>
      <c r="C812" t="str">
        <f>Table1[[#This Row],[Fiscal_Year]]&amp;"-"&amp;Table1[[#This Row],[BRAND]]</f>
        <v>2021-BR Factory Store</v>
      </c>
      <c r="D812">
        <v>2021</v>
      </c>
      <c r="E812">
        <v>47</v>
      </c>
      <c r="F812" t="s">
        <v>17</v>
      </c>
      <c r="G812" t="s">
        <v>10</v>
      </c>
      <c r="H812">
        <v>6</v>
      </c>
      <c r="I812">
        <v>0</v>
      </c>
      <c r="J812" t="str">
        <f>VLOOKUP(H812,DC_Xref!A:B,2,FALSE)</f>
        <v>WEO</v>
      </c>
      <c r="K812">
        <f t="shared" si="12"/>
        <v>202147</v>
      </c>
      <c r="L812">
        <f>IFERROR(Table1[[#This Row],[Demand]]/SUMIFS(Table1[Demand],Table1[Fiscal_Year],Table1[[#This Row],[Fiscal_Year]],Table1[BRAND],Table1[[#This Row],[BRAND]],Table1[DC_name_Xref],Table1[[#This Row],[DC_name_Xref]]),0)</f>
        <v>0</v>
      </c>
      <c r="M8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12" s="3">
        <f>IFERROR(INDEX(Table3[#All],MATCH(Table1[[#This Row],[Key_Year_Week_Brand]],Table3[[#All],[Key_Year_Week_Brand]],0),MATCH(Table1[[#This Row],[DC_name_Xref]],Table3[#Headers],0)),0)</f>
        <v>0</v>
      </c>
      <c r="O812">
        <f>IFERROR(INDEX(Table35[#All],MATCH(Table1[[#This Row],[Key_Year_Week_Brand]],Table35[[#All],[Key_Year_Month_Brand]],0),MATCH(Table1[[#This Row],[DC_name_Xref]],Table35[#Headers],0)),0)</f>
        <v>0</v>
      </c>
    </row>
    <row r="813" spans="1:15" x14ac:dyDescent="0.3">
      <c r="A813" s="19" t="str">
        <f>Table1[[#This Row],[Year_Week]]&amp;"-"&amp;Table1[[#This Row],[DC_name_Xref]]</f>
        <v>202147-OCC</v>
      </c>
      <c r="B813" s="19" t="str">
        <f>Table1[[#This Row],[Fiscal_Year]]*100+Table1[[#This Row],[Fiscal_Week]] &amp; "-" &amp;Table1[[#This Row],[BRAND]]</f>
        <v>202147-BR Factory Store</v>
      </c>
      <c r="C813" t="str">
        <f>Table1[[#This Row],[Fiscal_Year]]&amp;"-"&amp;Table1[[#This Row],[BRAND]]</f>
        <v>2021-BR Factory Store</v>
      </c>
      <c r="D813">
        <v>2021</v>
      </c>
      <c r="E813">
        <v>47</v>
      </c>
      <c r="F813" t="s">
        <v>17</v>
      </c>
      <c r="G813" t="s">
        <v>11</v>
      </c>
      <c r="H813">
        <v>7</v>
      </c>
      <c r="I813">
        <v>0</v>
      </c>
      <c r="J813" t="str">
        <f>VLOOKUP(H813,DC_Xref!A:B,2,FALSE)</f>
        <v>OCC</v>
      </c>
      <c r="K813">
        <f t="shared" si="12"/>
        <v>202147</v>
      </c>
      <c r="L813">
        <f>IFERROR(Table1[[#This Row],[Demand]]/SUMIFS(Table1[Demand],Table1[Fiscal_Year],Table1[[#This Row],[Fiscal_Year]],Table1[BRAND],Table1[[#This Row],[BRAND]],Table1[DC_name_Xref],Table1[[#This Row],[DC_name_Xref]]),0)</f>
        <v>0</v>
      </c>
      <c r="M8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13" s="3">
        <f>IFERROR(INDEX(Table3[#All],MATCH(Table1[[#This Row],[Key_Year_Week_Brand]],Table3[[#All],[Key_Year_Week_Brand]],0),MATCH(Table1[[#This Row],[DC_name_Xref]],Table3[#Headers],0)),0)</f>
        <v>0</v>
      </c>
      <c r="O813">
        <f>IFERROR(INDEX(Table35[#All],MATCH(Table1[[#This Row],[Key_Year_Week_Brand]],Table35[[#All],[Key_Year_Month_Brand]],0),MATCH(Table1[[#This Row],[DC_name_Xref]],Table35[#Headers],0)),0)</f>
        <v>0</v>
      </c>
    </row>
    <row r="814" spans="1:15" x14ac:dyDescent="0.3">
      <c r="A814" s="19" t="str">
        <f>Table1[[#This Row],[Year_Week]]&amp;"-"&amp;Table1[[#This Row],[DC_name_Xref]]</f>
        <v>202147-OFC</v>
      </c>
      <c r="B814" s="19" t="str">
        <f>Table1[[#This Row],[Fiscal_Year]]*100+Table1[[#This Row],[Fiscal_Week]] &amp; "-" &amp;Table1[[#This Row],[BRAND]]</f>
        <v>202147-Gap</v>
      </c>
      <c r="C814" t="str">
        <f>Table1[[#This Row],[Fiscal_Year]]&amp;"-"&amp;Table1[[#This Row],[BRAND]]</f>
        <v>2021-Gap</v>
      </c>
      <c r="D814">
        <v>2021</v>
      </c>
      <c r="E814">
        <v>47</v>
      </c>
      <c r="F814" t="s">
        <v>16</v>
      </c>
      <c r="G814" t="s">
        <v>5</v>
      </c>
      <c r="H814">
        <v>1</v>
      </c>
      <c r="I814">
        <v>906331</v>
      </c>
      <c r="J814" t="str">
        <f>VLOOKUP(H814,DC_Xref!A:B,2,FALSE)</f>
        <v>OFC</v>
      </c>
      <c r="K814">
        <f t="shared" si="12"/>
        <v>202147</v>
      </c>
      <c r="L814">
        <f>IFERROR(Table1[[#This Row],[Demand]]/SUMIFS(Table1[Demand],Table1[Fiscal_Year],Table1[[#This Row],[Fiscal_Year]],Table1[BRAND],Table1[[#This Row],[BRAND]],Table1[DC_name_Xref],Table1[[#This Row],[DC_name_Xref]]),0)</f>
        <v>9.4605410914562843E-2</v>
      </c>
      <c r="M8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0.66900256019517312</v>
      </c>
      <c r="N814" s="3">
        <f>IFERROR(INDEX(Table3[#All],MATCH(Table1[[#This Row],[Key_Year_Week_Brand]],Table3[[#All],[Key_Year_Week_Brand]],0),MATCH(Table1[[#This Row],[DC_name_Xref]],Table3[#Headers],0)),0)</f>
        <v>0</v>
      </c>
      <c r="O814">
        <f>IFERROR(INDEX(Table35[#All],MATCH(Table1[[#This Row],[Key_Year_Week_Brand]],Table35[[#All],[Key_Year_Month_Brand]],0),MATCH(Table1[[#This Row],[DC_name_Xref]],Table35[#Headers],0)),0)</f>
        <v>0</v>
      </c>
    </row>
    <row r="815" spans="1:15" x14ac:dyDescent="0.3">
      <c r="A815" s="19" t="str">
        <f>Table1[[#This Row],[Year_Week]]&amp;"-"&amp;Table1[[#This Row],[DC_name_Xref]]</f>
        <v>202147-TFC</v>
      </c>
      <c r="B815" s="19" t="str">
        <f>Table1[[#This Row],[Fiscal_Year]]*100+Table1[[#This Row],[Fiscal_Week]] &amp; "-" &amp;Table1[[#This Row],[BRAND]]</f>
        <v>202147-Gap</v>
      </c>
      <c r="C815" t="str">
        <f>Table1[[#This Row],[Fiscal_Year]]&amp;"-"&amp;Table1[[#This Row],[BRAND]]</f>
        <v>2021-Gap</v>
      </c>
      <c r="D815">
        <v>2021</v>
      </c>
      <c r="E815">
        <v>47</v>
      </c>
      <c r="F815" t="s">
        <v>16</v>
      </c>
      <c r="G815" t="s">
        <v>21</v>
      </c>
      <c r="H815">
        <v>2</v>
      </c>
      <c r="I815">
        <v>631</v>
      </c>
      <c r="J815" t="str">
        <f>VLOOKUP(H815,DC_Xref!A:B,2,FALSE)</f>
        <v>TFC</v>
      </c>
      <c r="K815">
        <f t="shared" si="12"/>
        <v>202147</v>
      </c>
      <c r="L815">
        <f>IFERROR(Table1[[#This Row],[Demand]]/SUMIFS(Table1[Demand],Table1[Fiscal_Year],Table1[[#This Row],[Fiscal_Year]],Table1[BRAND],Table1[[#This Row],[BRAND]],Table1[DC_name_Xref],Table1[[#This Row],[DC_name_Xref]]),0)</f>
        <v>0.36600928074245942</v>
      </c>
      <c r="M8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1.2039104463812225E-4</v>
      </c>
      <c r="N815" s="3">
        <f>IFERROR(INDEX(Table3[#All],MATCH(Table1[[#This Row],[Key_Year_Week_Brand]],Table3[[#All],[Key_Year_Week_Brand]],0),MATCH(Table1[[#This Row],[DC_name_Xref]],Table3[#Headers],0)),0)</f>
        <v>0.2</v>
      </c>
      <c r="O815">
        <f>IFERROR(INDEX(Table35[#All],MATCH(Table1[[#This Row],[Key_Year_Week_Brand]],Table35[[#All],[Key_Year_Month_Brand]],0),MATCH(Table1[[#This Row],[DC_name_Xref]],Table35[#Headers],0)),0)</f>
        <v>245507.80000000002</v>
      </c>
    </row>
    <row r="816" spans="1:15" x14ac:dyDescent="0.3">
      <c r="A816" s="19" t="str">
        <f>Table1[[#This Row],[Year_Week]]&amp;"-"&amp;Table1[[#This Row],[DC_name_Xref]]</f>
        <v>202147-WFC</v>
      </c>
      <c r="B816" s="19" t="str">
        <f>Table1[[#This Row],[Fiscal_Year]]*100+Table1[[#This Row],[Fiscal_Week]] &amp; "-" &amp;Table1[[#This Row],[BRAND]]</f>
        <v>202147-Gap</v>
      </c>
      <c r="C816" t="str">
        <f>Table1[[#This Row],[Fiscal_Year]]&amp;"-"&amp;Table1[[#This Row],[BRAND]]</f>
        <v>2021-Gap</v>
      </c>
      <c r="D816">
        <v>2021</v>
      </c>
      <c r="E816">
        <v>47</v>
      </c>
      <c r="F816" t="s">
        <v>16</v>
      </c>
      <c r="G816" t="s">
        <v>7</v>
      </c>
      <c r="H816">
        <v>3</v>
      </c>
      <c r="I816">
        <v>46771</v>
      </c>
      <c r="J816" t="str">
        <f>VLOOKUP(H816,DC_Xref!A:B,2,FALSE)</f>
        <v>WFC</v>
      </c>
      <c r="K816">
        <f t="shared" si="12"/>
        <v>202147</v>
      </c>
      <c r="L816">
        <f>IFERROR(Table1[[#This Row],[Demand]]/SUMIFS(Table1[Demand],Table1[Fiscal_Year],Table1[[#This Row],[Fiscal_Year]],Table1[BRAND],Table1[[#This Row],[BRAND]],Table1[DC_name_Xref],Table1[[#This Row],[DC_name_Xref]]),0)</f>
        <v>0.137116941217169</v>
      </c>
      <c r="M8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2.3820038572620311E-2</v>
      </c>
      <c r="N816" s="3">
        <f>IFERROR(INDEX(Table3[#All],MATCH(Table1[[#This Row],[Key_Year_Week_Brand]],Table3[[#All],[Key_Year_Week_Brand]],0),MATCH(Table1[[#This Row],[DC_name_Xref]],Table3[#Headers],0)),0)</f>
        <v>0.15</v>
      </c>
      <c r="O816">
        <f>IFERROR(INDEX(Table35[#All],MATCH(Table1[[#This Row],[Key_Year_Week_Brand]],Table35[[#All],[Key_Year_Month_Brand]],0),MATCH(Table1[[#This Row],[DC_name_Xref]],Table35[#Headers],0)),0)</f>
        <v>184130.85</v>
      </c>
    </row>
    <row r="817" spans="1:15" x14ac:dyDescent="0.3">
      <c r="A817" s="19" t="str">
        <f>Table1[[#This Row],[Year_Week]]&amp;"-"&amp;Table1[[#This Row],[DC_name_Xref]]</f>
        <v>202147-EAO</v>
      </c>
      <c r="B817" s="19" t="str">
        <f>Table1[[#This Row],[Fiscal_Year]]*100+Table1[[#This Row],[Fiscal_Week]] &amp; "-" &amp;Table1[[#This Row],[BRAND]]</f>
        <v>202147-Gap</v>
      </c>
      <c r="C817" t="str">
        <f>Table1[[#This Row],[Fiscal_Year]]&amp;"-"&amp;Table1[[#This Row],[BRAND]]</f>
        <v>2021-Gap</v>
      </c>
      <c r="D817">
        <v>2021</v>
      </c>
      <c r="E817">
        <v>47</v>
      </c>
      <c r="F817" t="s">
        <v>16</v>
      </c>
      <c r="G817" t="s">
        <v>8</v>
      </c>
      <c r="H817">
        <v>4</v>
      </c>
      <c r="I817">
        <v>223</v>
      </c>
      <c r="J817" t="str">
        <f>VLOOKUP(H817,DC_Xref!A:B,2,FALSE)</f>
        <v>EAO</v>
      </c>
      <c r="K817">
        <f t="shared" si="12"/>
        <v>202147</v>
      </c>
      <c r="L817">
        <f>IFERROR(Table1[[#This Row],[Demand]]/SUMIFS(Table1[Demand],Table1[Fiscal_Year],Table1[[#This Row],[Fiscal_Year]],Table1[BRAND],Table1[[#This Row],[BRAND]],Table1[DC_name_Xref],Table1[[#This Row],[DC_name_Xref]]),0)</f>
        <v>0.12972658522396743</v>
      </c>
      <c r="M8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1.200418826757147E-4</v>
      </c>
      <c r="N817" s="3">
        <f>IFERROR(INDEX(Table3[#All],MATCH(Table1[[#This Row],[Key_Year_Week_Brand]],Table3[[#All],[Key_Year_Week_Brand]],0),MATCH(Table1[[#This Row],[DC_name_Xref]],Table3[#Headers],0)),0)</f>
        <v>0</v>
      </c>
      <c r="O817">
        <f>IFERROR(INDEX(Table35[#All],MATCH(Table1[[#This Row],[Key_Year_Week_Brand]],Table35[[#All],[Key_Year_Month_Brand]],0),MATCH(Table1[[#This Row],[DC_name_Xref]],Table35[#Headers],0)),0)</f>
        <v>0</v>
      </c>
    </row>
    <row r="818" spans="1:15" x14ac:dyDescent="0.3">
      <c r="A818" s="19" t="str">
        <f>Table1[[#This Row],[Year_Week]]&amp;"-"&amp;Table1[[#This Row],[DC_name_Xref]]</f>
        <v>202147-FFC-ODC</v>
      </c>
      <c r="B818" s="19" t="str">
        <f>Table1[[#This Row],[Fiscal_Year]]*100+Table1[[#This Row],[Fiscal_Week]] &amp; "-" &amp;Table1[[#This Row],[BRAND]]</f>
        <v>202147-Gap</v>
      </c>
      <c r="C818" t="str">
        <f>Table1[[#This Row],[Fiscal_Year]]&amp;"-"&amp;Table1[[#This Row],[BRAND]]</f>
        <v>2021-Gap</v>
      </c>
      <c r="D818">
        <v>2021</v>
      </c>
      <c r="E818">
        <v>47</v>
      </c>
      <c r="F818" t="s">
        <v>16</v>
      </c>
      <c r="G818" t="s">
        <v>23</v>
      </c>
      <c r="H818">
        <v>5</v>
      </c>
      <c r="I818">
        <v>0</v>
      </c>
      <c r="J818" t="str">
        <f>VLOOKUP(H818,DC_Xref!A:B,2,FALSE)</f>
        <v>FFC-ODC</v>
      </c>
      <c r="K818">
        <f t="shared" si="12"/>
        <v>202147</v>
      </c>
      <c r="L818">
        <f>IFERROR(Table1[[#This Row],[Demand]]/SUMIFS(Table1[Demand],Table1[Fiscal_Year],Table1[[#This Row],[Fiscal_Year]],Table1[BRAND],Table1[[#This Row],[BRAND]],Table1[DC_name_Xref],Table1[[#This Row],[DC_name_Xref]]),0)</f>
        <v>0</v>
      </c>
      <c r="M8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18" s="3">
        <f>IFERROR(INDEX(Table3[#All],MATCH(Table1[[#This Row],[Key_Year_Week_Brand]],Table3[[#All],[Key_Year_Week_Brand]],0),MATCH(Table1[[#This Row],[DC_name_Xref]],Table3[#Headers],0)),0)</f>
        <v>0</v>
      </c>
      <c r="O818">
        <f>IFERROR(INDEX(Table35[#All],MATCH(Table1[[#This Row],[Key_Year_Week_Brand]],Table35[[#All],[Key_Year_Month_Brand]],0),MATCH(Table1[[#This Row],[DC_name_Xref]],Table35[#Headers],0)),0)</f>
        <v>0</v>
      </c>
    </row>
    <row r="819" spans="1:15" x14ac:dyDescent="0.3">
      <c r="A819" s="19" t="str">
        <f>Table1[[#This Row],[Year_Week]]&amp;"-"&amp;Table1[[#This Row],[DC_name_Xref]]</f>
        <v>202147-WEO</v>
      </c>
      <c r="B819" s="19" t="str">
        <f>Table1[[#This Row],[Fiscal_Year]]*100+Table1[[#This Row],[Fiscal_Week]] &amp; "-" &amp;Table1[[#This Row],[BRAND]]</f>
        <v>202147-Gap</v>
      </c>
      <c r="C819" t="str">
        <f>Table1[[#This Row],[Fiscal_Year]]&amp;"-"&amp;Table1[[#This Row],[BRAND]]</f>
        <v>2021-Gap</v>
      </c>
      <c r="D819">
        <v>2021</v>
      </c>
      <c r="E819">
        <v>47</v>
      </c>
      <c r="F819" t="s">
        <v>16</v>
      </c>
      <c r="G819" t="s">
        <v>10</v>
      </c>
      <c r="H819">
        <v>6</v>
      </c>
      <c r="I819">
        <v>273583</v>
      </c>
      <c r="J819" t="str">
        <f>VLOOKUP(H819,DC_Xref!A:B,2,FALSE)</f>
        <v>WEO</v>
      </c>
      <c r="K819">
        <f t="shared" si="12"/>
        <v>202147</v>
      </c>
      <c r="L819">
        <f>IFERROR(Table1[[#This Row],[Demand]]/SUMIFS(Table1[Demand],Table1[Fiscal_Year],Table1[[#This Row],[Fiscal_Year]],Table1[BRAND],Table1[[#This Row],[BRAND]],Table1[DC_name_Xref],Table1[[#This Row],[DC_name_Xref]]),0)</f>
        <v>6.2243904791849908E-2</v>
      </c>
      <c r="M8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0.3069369683048927</v>
      </c>
      <c r="N819" s="3">
        <f>IFERROR(INDEX(Table3[#All],MATCH(Table1[[#This Row],[Key_Year_Week_Brand]],Table3[[#All],[Key_Year_Week_Brand]],0),MATCH(Table1[[#This Row],[DC_name_Xref]],Table3[#Headers],0)),0)</f>
        <v>0.4</v>
      </c>
      <c r="O819">
        <f>IFERROR(INDEX(Table35[#All],MATCH(Table1[[#This Row],[Key_Year_Week_Brand]],Table35[[#All],[Key_Year_Month_Brand]],0),MATCH(Table1[[#This Row],[DC_name_Xref]],Table35[#Headers],0)),0)</f>
        <v>491015.60000000003</v>
      </c>
    </row>
    <row r="820" spans="1:15" x14ac:dyDescent="0.3">
      <c r="A820" s="19" t="str">
        <f>Table1[[#This Row],[Year_Week]]&amp;"-"&amp;Table1[[#This Row],[DC_name_Xref]]</f>
        <v>202147-OCC</v>
      </c>
      <c r="B820" s="19" t="str">
        <f>Table1[[#This Row],[Fiscal_Year]]*100+Table1[[#This Row],[Fiscal_Week]] &amp; "-" &amp;Table1[[#This Row],[BRAND]]</f>
        <v>202147-Gap</v>
      </c>
      <c r="C820" t="str">
        <f>Table1[[#This Row],[Fiscal_Year]]&amp;"-"&amp;Table1[[#This Row],[BRAND]]</f>
        <v>2021-Gap</v>
      </c>
      <c r="D820">
        <v>2021</v>
      </c>
      <c r="E820">
        <v>47</v>
      </c>
      <c r="F820" t="s">
        <v>16</v>
      </c>
      <c r="G820" t="s">
        <v>11</v>
      </c>
      <c r="H820">
        <v>7</v>
      </c>
      <c r="I820">
        <v>0</v>
      </c>
      <c r="J820" t="str">
        <f>VLOOKUP(H820,DC_Xref!A:B,2,FALSE)</f>
        <v>OCC</v>
      </c>
      <c r="K820">
        <f t="shared" si="12"/>
        <v>202147</v>
      </c>
      <c r="L820">
        <f>IFERROR(Table1[[#This Row],[Demand]]/SUMIFS(Table1[Demand],Table1[Fiscal_Year],Table1[[#This Row],[Fiscal_Year]],Table1[BRAND],Table1[[#This Row],[BRAND]],Table1[DC_name_Xref],Table1[[#This Row],[DC_name_Xref]]),0)</f>
        <v>0</v>
      </c>
      <c r="M8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20" s="3">
        <f>IFERROR(INDEX(Table3[#All],MATCH(Table1[[#This Row],[Key_Year_Week_Brand]],Table3[[#All],[Key_Year_Week_Brand]],0),MATCH(Table1[[#This Row],[DC_name_Xref]],Table3[#Headers],0)),0)</f>
        <v>0.25</v>
      </c>
      <c r="O820">
        <f>IFERROR(INDEX(Table35[#All],MATCH(Table1[[#This Row],[Key_Year_Week_Brand]],Table35[[#All],[Key_Year_Month_Brand]],0),MATCH(Table1[[#This Row],[DC_name_Xref]],Table35[#Headers],0)),0)</f>
        <v>306884.75</v>
      </c>
    </row>
    <row r="821" spans="1:15" x14ac:dyDescent="0.3">
      <c r="A821" s="19" t="str">
        <f>Table1[[#This Row],[Year_Week]]&amp;"-"&amp;Table1[[#This Row],[DC_name_Xref]]</f>
        <v>202147-OFC</v>
      </c>
      <c r="B821" s="19" t="str">
        <f>Table1[[#This Row],[Fiscal_Year]]*100+Table1[[#This Row],[Fiscal_Week]] &amp; "-" &amp;Table1[[#This Row],[BRAND]]</f>
        <v>202147-Old Navy</v>
      </c>
      <c r="C821" t="str">
        <f>Table1[[#This Row],[Fiscal_Year]]&amp;"-"&amp;Table1[[#This Row],[BRAND]]</f>
        <v>2021-Old Navy</v>
      </c>
      <c r="D821">
        <v>2021</v>
      </c>
      <c r="E821">
        <v>47</v>
      </c>
      <c r="F821" t="s">
        <v>20</v>
      </c>
      <c r="G821" t="s">
        <v>5</v>
      </c>
      <c r="H821">
        <v>1</v>
      </c>
      <c r="I821">
        <v>741223</v>
      </c>
      <c r="J821" t="str">
        <f>VLOOKUP(H821,DC_Xref!A:B,2,FALSE)</f>
        <v>OFC</v>
      </c>
      <c r="K821">
        <f t="shared" si="12"/>
        <v>202147</v>
      </c>
      <c r="L821">
        <f>IFERROR(Table1[[#This Row],[Demand]]/SUMIFS(Table1[Demand],Table1[Fiscal_Year],Table1[[#This Row],[Fiscal_Year]],Table1[BRAND],Table1[[#This Row],[BRAND]],Table1[DC_name_Xref],Table1[[#This Row],[DC_name_Xref]]),0)</f>
        <v>8.3066641877445085E-2</v>
      </c>
      <c r="M8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0.29585491332950564</v>
      </c>
      <c r="N821" s="3">
        <f>IFERROR(INDEX(Table3[#All],MATCH(Table1[[#This Row],[Key_Year_Week_Brand]],Table3[[#All],[Key_Year_Week_Brand]],0),MATCH(Table1[[#This Row],[DC_name_Xref]],Table3[#Headers],0)),0)</f>
        <v>0.15</v>
      </c>
      <c r="O821">
        <f>IFERROR(INDEX(Table35[#All],MATCH(Table1[[#This Row],[Key_Year_Week_Brand]],Table35[[#All],[Key_Year_Month_Brand]],0),MATCH(Table1[[#This Row],[DC_name_Xref]],Table35[#Headers],0)),0)</f>
        <v>305774.84999999998</v>
      </c>
    </row>
    <row r="822" spans="1:15" x14ac:dyDescent="0.3">
      <c r="A822" s="19" t="str">
        <f>Table1[[#This Row],[Year_Week]]&amp;"-"&amp;Table1[[#This Row],[DC_name_Xref]]</f>
        <v>202147-TFC</v>
      </c>
      <c r="B822" s="19" t="str">
        <f>Table1[[#This Row],[Fiscal_Year]]*100+Table1[[#This Row],[Fiscal_Week]] &amp; "-" &amp;Table1[[#This Row],[BRAND]]</f>
        <v>202147-Old Navy</v>
      </c>
      <c r="C822" t="str">
        <f>Table1[[#This Row],[Fiscal_Year]]&amp;"-"&amp;Table1[[#This Row],[BRAND]]</f>
        <v>2021-Old Navy</v>
      </c>
      <c r="D822">
        <v>2021</v>
      </c>
      <c r="E822">
        <v>47</v>
      </c>
      <c r="F822" t="s">
        <v>20</v>
      </c>
      <c r="G822" t="s">
        <v>21</v>
      </c>
      <c r="H822">
        <v>2</v>
      </c>
      <c r="I822">
        <v>301974</v>
      </c>
      <c r="J822" t="str">
        <f>VLOOKUP(H822,DC_Xref!A:B,2,FALSE)</f>
        <v>TFC</v>
      </c>
      <c r="K822">
        <f t="shared" si="12"/>
        <v>202147</v>
      </c>
      <c r="L822">
        <f>IFERROR(Table1[[#This Row],[Demand]]/SUMIFS(Table1[Demand],Table1[Fiscal_Year],Table1[[#This Row],[Fiscal_Year]],Table1[BRAND],Table1[[#This Row],[BRAND]],Table1[DC_name_Xref],Table1[[#This Row],[DC_name_Xref]]),0)</f>
        <v>5.8870742445424368E-2</v>
      </c>
      <c r="M8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0.17006956138921989</v>
      </c>
      <c r="N822" s="3">
        <f>IFERROR(INDEX(Table3[#All],MATCH(Table1[[#This Row],[Key_Year_Week_Brand]],Table3[[#All],[Key_Year_Week_Brand]],0),MATCH(Table1[[#This Row],[DC_name_Xref]],Table3[#Headers],0)),0)</f>
        <v>0.17760000000000001</v>
      </c>
      <c r="O822">
        <f>IFERROR(INDEX(Table35[#All],MATCH(Table1[[#This Row],[Key_Year_Week_Brand]],Table35[[#All],[Key_Year_Month_Brand]],0),MATCH(Table1[[#This Row],[DC_name_Xref]],Table35[#Headers],0)),0)</f>
        <v>362037.42240000004</v>
      </c>
    </row>
    <row r="823" spans="1:15" x14ac:dyDescent="0.3">
      <c r="A823" s="19" t="str">
        <f>Table1[[#This Row],[Year_Week]]&amp;"-"&amp;Table1[[#This Row],[DC_name_Xref]]</f>
        <v>202147-WFC</v>
      </c>
      <c r="B823" s="19" t="str">
        <f>Table1[[#This Row],[Fiscal_Year]]*100+Table1[[#This Row],[Fiscal_Week]] &amp; "-" &amp;Table1[[#This Row],[BRAND]]</f>
        <v>202147-Old Navy</v>
      </c>
      <c r="C823" t="str">
        <f>Table1[[#This Row],[Fiscal_Year]]&amp;"-"&amp;Table1[[#This Row],[BRAND]]</f>
        <v>2021-Old Navy</v>
      </c>
      <c r="D823">
        <v>2021</v>
      </c>
      <c r="E823">
        <v>47</v>
      </c>
      <c r="F823" t="s">
        <v>20</v>
      </c>
      <c r="G823" t="s">
        <v>7</v>
      </c>
      <c r="H823">
        <v>3</v>
      </c>
      <c r="I823">
        <v>340883</v>
      </c>
      <c r="J823" t="str">
        <f>VLOOKUP(H823,DC_Xref!A:B,2,FALSE)</f>
        <v>WFC</v>
      </c>
      <c r="K823">
        <f t="shared" si="12"/>
        <v>202147</v>
      </c>
      <c r="L823">
        <f>IFERROR(Table1[[#This Row],[Demand]]/SUMIFS(Table1[Demand],Table1[Fiscal_Year],Table1[[#This Row],[Fiscal_Year]],Table1[BRAND],Table1[[#This Row],[BRAND]],Table1[DC_name_Xref],Table1[[#This Row],[DC_name_Xref]]),0)</f>
        <v>5.6040014138109606E-2</v>
      </c>
      <c r="M8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0.20168038417761627</v>
      </c>
      <c r="N823" s="3">
        <f>IFERROR(INDEX(Table3[#All],MATCH(Table1[[#This Row],[Key_Year_Week_Brand]],Table3[[#All],[Key_Year_Week_Brand]],0),MATCH(Table1[[#This Row],[DC_name_Xref]],Table3[#Headers],0)),0)</f>
        <v>0</v>
      </c>
      <c r="O823">
        <f>IFERROR(INDEX(Table35[#All],MATCH(Table1[[#This Row],[Key_Year_Week_Brand]],Table35[[#All],[Key_Year_Month_Brand]],0),MATCH(Table1[[#This Row],[DC_name_Xref]],Table35[#Headers],0)),0)</f>
        <v>0</v>
      </c>
    </row>
    <row r="824" spans="1:15" x14ac:dyDescent="0.3">
      <c r="A824" s="19" t="str">
        <f>Table1[[#This Row],[Year_Week]]&amp;"-"&amp;Table1[[#This Row],[DC_name_Xref]]</f>
        <v>202147-EAO</v>
      </c>
      <c r="B824" s="19" t="str">
        <f>Table1[[#This Row],[Fiscal_Year]]*100+Table1[[#This Row],[Fiscal_Week]] &amp; "-" &amp;Table1[[#This Row],[BRAND]]</f>
        <v>202147-Old Navy</v>
      </c>
      <c r="C824" t="str">
        <f>Table1[[#This Row],[Fiscal_Year]]&amp;"-"&amp;Table1[[#This Row],[BRAND]]</f>
        <v>2021-Old Navy</v>
      </c>
      <c r="D824">
        <v>2021</v>
      </c>
      <c r="E824">
        <v>47</v>
      </c>
      <c r="F824" t="s">
        <v>20</v>
      </c>
      <c r="G824" t="s">
        <v>8</v>
      </c>
      <c r="H824">
        <v>4</v>
      </c>
      <c r="I824">
        <v>654419</v>
      </c>
      <c r="J824" t="str">
        <f>VLOOKUP(H824,DC_Xref!A:B,2,FALSE)</f>
        <v>EAO</v>
      </c>
      <c r="K824">
        <f t="shared" si="12"/>
        <v>202147</v>
      </c>
      <c r="L824">
        <f>IFERROR(Table1[[#This Row],[Demand]]/SUMIFS(Table1[Demand],Table1[Fiscal_Year],Table1[[#This Row],[Fiscal_Year]],Table1[BRAND],Table1[[#This Row],[BRAND]],Table1[DC_name_Xref],Table1[[#This Row],[DC_name_Xref]]),0)</f>
        <v>6.5276639132707717E-2</v>
      </c>
      <c r="M8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0.3323951411036582</v>
      </c>
      <c r="N824" s="3">
        <f>IFERROR(INDEX(Table3[#All],MATCH(Table1[[#This Row],[Key_Year_Week_Brand]],Table3[[#All],[Key_Year_Week_Brand]],0),MATCH(Table1[[#This Row],[DC_name_Xref]],Table3[#Headers],0)),0)</f>
        <v>0.27239514110365798</v>
      </c>
      <c r="O824">
        <f>IFERROR(INDEX(Table35[#All],MATCH(Table1[[#This Row],[Key_Year_Week_Brand]],Table35[[#All],[Key_Year_Month_Brand]],0),MATCH(Table1[[#This Row],[DC_name_Xref]],Table35[#Headers],0)),0)</f>
        <v>555277.22274466569</v>
      </c>
    </row>
    <row r="825" spans="1:15" x14ac:dyDescent="0.3">
      <c r="A825" s="19" t="str">
        <f>Table1[[#This Row],[Year_Week]]&amp;"-"&amp;Table1[[#This Row],[DC_name_Xref]]</f>
        <v>202147-FFC-ODC</v>
      </c>
      <c r="B825" s="19" t="str">
        <f>Table1[[#This Row],[Fiscal_Year]]*100+Table1[[#This Row],[Fiscal_Week]] &amp; "-" &amp;Table1[[#This Row],[BRAND]]</f>
        <v>202147-Old Navy</v>
      </c>
      <c r="C825" t="str">
        <f>Table1[[#This Row],[Fiscal_Year]]&amp;"-"&amp;Table1[[#This Row],[BRAND]]</f>
        <v>2021-Old Navy</v>
      </c>
      <c r="D825">
        <v>2021</v>
      </c>
      <c r="E825">
        <v>47</v>
      </c>
      <c r="F825" t="s">
        <v>20</v>
      </c>
      <c r="G825" t="s">
        <v>23</v>
      </c>
      <c r="H825">
        <v>5</v>
      </c>
      <c r="I825">
        <v>0</v>
      </c>
      <c r="J825" t="str">
        <f>VLOOKUP(H825,DC_Xref!A:B,2,FALSE)</f>
        <v>FFC-ODC</v>
      </c>
      <c r="K825">
        <f t="shared" si="12"/>
        <v>202147</v>
      </c>
      <c r="L825">
        <f>IFERROR(Table1[[#This Row],[Demand]]/SUMIFS(Table1[Demand],Table1[Fiscal_Year],Table1[[#This Row],[Fiscal_Year]],Table1[BRAND],Table1[[#This Row],[BRAND]],Table1[DC_name_Xref],Table1[[#This Row],[DC_name_Xref]]),0)</f>
        <v>0</v>
      </c>
      <c r="M8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25" s="3">
        <f>IFERROR(INDEX(Table3[#All],MATCH(Table1[[#This Row],[Key_Year_Week_Brand]],Table3[[#All],[Key_Year_Week_Brand]],0),MATCH(Table1[[#This Row],[DC_name_Xref]],Table3[#Headers],0)),0)</f>
        <v>0</v>
      </c>
      <c r="O825">
        <f>IFERROR(INDEX(Table35[#All],MATCH(Table1[[#This Row],[Key_Year_Week_Brand]],Table35[[#All],[Key_Year_Month_Brand]],0),MATCH(Table1[[#This Row],[DC_name_Xref]],Table35[#Headers],0)),0)</f>
        <v>0</v>
      </c>
    </row>
    <row r="826" spans="1:15" x14ac:dyDescent="0.3">
      <c r="A826" s="19" t="str">
        <f>Table1[[#This Row],[Year_Week]]&amp;"-"&amp;Table1[[#This Row],[DC_name_Xref]]</f>
        <v>202147-WEO</v>
      </c>
      <c r="B826" s="19" t="str">
        <f>Table1[[#This Row],[Fiscal_Year]]*100+Table1[[#This Row],[Fiscal_Week]] &amp; "-" &amp;Table1[[#This Row],[BRAND]]</f>
        <v>202147-Old Navy</v>
      </c>
      <c r="C826" t="str">
        <f>Table1[[#This Row],[Fiscal_Year]]&amp;"-"&amp;Table1[[#This Row],[BRAND]]</f>
        <v>2021-Old Navy</v>
      </c>
      <c r="D826">
        <v>2021</v>
      </c>
      <c r="E826">
        <v>47</v>
      </c>
      <c r="F826" t="s">
        <v>20</v>
      </c>
      <c r="G826" t="s">
        <v>10</v>
      </c>
      <c r="H826">
        <v>6</v>
      </c>
      <c r="I826">
        <v>0</v>
      </c>
      <c r="J826" t="str">
        <f>VLOOKUP(H826,DC_Xref!A:B,2,FALSE)</f>
        <v>WEO</v>
      </c>
      <c r="K826">
        <f t="shared" si="12"/>
        <v>202147</v>
      </c>
      <c r="L826">
        <f>IFERROR(Table1[[#This Row],[Demand]]/SUMIFS(Table1[Demand],Table1[Fiscal_Year],Table1[[#This Row],[Fiscal_Year]],Table1[BRAND],Table1[[#This Row],[BRAND]],Table1[DC_name_Xref],Table1[[#This Row],[DC_name_Xref]]),0)</f>
        <v>0</v>
      </c>
      <c r="M8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26" s="3">
        <f>IFERROR(INDEX(Table3[#All],MATCH(Table1[[#This Row],[Key_Year_Week_Brand]],Table3[[#All],[Key_Year_Week_Brand]],0),MATCH(Table1[[#This Row],[DC_name_Xref]],Table3[#Headers],0)),0)</f>
        <v>0.24</v>
      </c>
      <c r="O826">
        <f>IFERROR(INDEX(Table35[#All],MATCH(Table1[[#This Row],[Key_Year_Week_Brand]],Table35[[#All],[Key_Year_Month_Brand]],0),MATCH(Table1[[#This Row],[DC_name_Xref]],Table35[#Headers],0)),0)</f>
        <v>489239.76</v>
      </c>
    </row>
    <row r="827" spans="1:15" x14ac:dyDescent="0.3">
      <c r="A827" s="19" t="str">
        <f>Table1[[#This Row],[Year_Week]]&amp;"-"&amp;Table1[[#This Row],[DC_name_Xref]]</f>
        <v>202147-OCC</v>
      </c>
      <c r="B827" s="19" t="str">
        <f>Table1[[#This Row],[Fiscal_Year]]*100+Table1[[#This Row],[Fiscal_Week]] &amp; "-" &amp;Table1[[#This Row],[BRAND]]</f>
        <v>202147-Old Navy</v>
      </c>
      <c r="C827" t="str">
        <f>Table1[[#This Row],[Fiscal_Year]]&amp;"-"&amp;Table1[[#This Row],[BRAND]]</f>
        <v>2021-Old Navy</v>
      </c>
      <c r="D827">
        <v>2021</v>
      </c>
      <c r="E827">
        <v>47</v>
      </c>
      <c r="F827" t="s">
        <v>20</v>
      </c>
      <c r="G827" t="s">
        <v>11</v>
      </c>
      <c r="H827">
        <v>7</v>
      </c>
      <c r="I827">
        <v>0</v>
      </c>
      <c r="J827" t="str">
        <f>VLOOKUP(H827,DC_Xref!A:B,2,FALSE)</f>
        <v>OCC</v>
      </c>
      <c r="K827">
        <f t="shared" si="12"/>
        <v>202147</v>
      </c>
      <c r="L827">
        <f>IFERROR(Table1[[#This Row],[Demand]]/SUMIFS(Table1[Demand],Table1[Fiscal_Year],Table1[[#This Row],[Fiscal_Year]],Table1[BRAND],Table1[[#This Row],[BRAND]],Table1[DC_name_Xref],Table1[[#This Row],[DC_name_Xref]]),0)</f>
        <v>0</v>
      </c>
      <c r="M8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27" s="3">
        <f>IFERROR(INDEX(Table3[#All],MATCH(Table1[[#This Row],[Key_Year_Week_Brand]],Table3[[#All],[Key_Year_Week_Brand]],0),MATCH(Table1[[#This Row],[DC_name_Xref]],Table3[#Headers],0)),0)</f>
        <v>0.16</v>
      </c>
      <c r="O827">
        <f>IFERROR(INDEX(Table35[#All],MATCH(Table1[[#This Row],[Key_Year_Week_Brand]],Table35[[#All],[Key_Year_Month_Brand]],0),MATCH(Table1[[#This Row],[DC_name_Xref]],Table35[#Headers],0)),0)</f>
        <v>326159.84000000003</v>
      </c>
    </row>
    <row r="828" spans="1:15" x14ac:dyDescent="0.3">
      <c r="A828" s="19" t="str">
        <f>Table1[[#This Row],[Year_Week]]&amp;"-"&amp;Table1[[#This Row],[DC_name_Xref]]</f>
        <v>202147-OFC</v>
      </c>
      <c r="B828" s="19" t="str">
        <f>Table1[[#This Row],[Fiscal_Year]]*100+Table1[[#This Row],[Fiscal_Week]] &amp; "-" &amp;Table1[[#This Row],[BRAND]]</f>
        <v>202147-Banana Republic</v>
      </c>
      <c r="C828" t="str">
        <f>Table1[[#This Row],[Fiscal_Year]]&amp;"-"&amp;Table1[[#This Row],[BRAND]]</f>
        <v>2021-Banana Republic</v>
      </c>
      <c r="D828">
        <v>2021</v>
      </c>
      <c r="E828">
        <v>47</v>
      </c>
      <c r="F828" t="s">
        <v>18</v>
      </c>
      <c r="G828" t="s">
        <v>5</v>
      </c>
      <c r="H828">
        <v>1</v>
      </c>
      <c r="I828">
        <v>10952</v>
      </c>
      <c r="J828" t="str">
        <f>VLOOKUP(H828,DC_Xref!A:B,2,FALSE)</f>
        <v>OFC</v>
      </c>
      <c r="K828">
        <f t="shared" si="12"/>
        <v>202147</v>
      </c>
      <c r="L828">
        <f>IFERROR(Table1[[#This Row],[Demand]]/SUMIFS(Table1[Demand],Table1[Fiscal_Year],Table1[[#This Row],[Fiscal_Year]],Table1[BRAND],Table1[[#This Row],[BRAND]],Table1[DC_name_Xref],Table1[[#This Row],[DC_name_Xref]]),0)</f>
        <v>0.19945365142961211</v>
      </c>
      <c r="M8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2.1329258335346751E-2</v>
      </c>
      <c r="N828" s="3">
        <f>IFERROR(INDEX(Table3[#All],MATCH(Table1[[#This Row],[Key_Year_Week_Brand]],Table3[[#All],[Key_Year_Week_Brand]],0),MATCH(Table1[[#This Row],[DC_name_Xref]],Table3[#Headers],0)),0)</f>
        <v>0</v>
      </c>
      <c r="O828">
        <f>IFERROR(INDEX(Table35[#All],MATCH(Table1[[#This Row],[Key_Year_Week_Brand]],Table35[[#All],[Key_Year_Month_Brand]],0),MATCH(Table1[[#This Row],[DC_name_Xref]],Table35[#Headers],0)),0)</f>
        <v>0</v>
      </c>
    </row>
    <row r="829" spans="1:15" x14ac:dyDescent="0.3">
      <c r="A829" s="19" t="str">
        <f>Table1[[#This Row],[Year_Week]]&amp;"-"&amp;Table1[[#This Row],[DC_name_Xref]]</f>
        <v>202147-TFC</v>
      </c>
      <c r="B829" s="19" t="str">
        <f>Table1[[#This Row],[Fiscal_Year]]*100+Table1[[#This Row],[Fiscal_Week]] &amp; "-" &amp;Table1[[#This Row],[BRAND]]</f>
        <v>202147-Banana Republic</v>
      </c>
      <c r="C829" t="str">
        <f>Table1[[#This Row],[Fiscal_Year]]&amp;"-"&amp;Table1[[#This Row],[BRAND]]</f>
        <v>2021-Banana Republic</v>
      </c>
      <c r="D829">
        <v>2021</v>
      </c>
      <c r="E829">
        <v>47</v>
      </c>
      <c r="F829" t="s">
        <v>18</v>
      </c>
      <c r="G829" t="s">
        <v>21</v>
      </c>
      <c r="H829">
        <v>2</v>
      </c>
      <c r="I829">
        <v>328448</v>
      </c>
      <c r="J829" t="str">
        <f>VLOOKUP(H829,DC_Xref!A:B,2,FALSE)</f>
        <v>TFC</v>
      </c>
      <c r="K829">
        <f t="shared" si="12"/>
        <v>202147</v>
      </c>
      <c r="L829">
        <f>IFERROR(Table1[[#This Row],[Demand]]/SUMIFS(Table1[Demand],Table1[Fiscal_Year],Table1[[#This Row],[Fiscal_Year]],Table1[BRAND],Table1[[#This Row],[BRAND]],Table1[DC_name_Xref],Table1[[#This Row],[DC_name_Xref]]),0)</f>
        <v>0.13036910021156084</v>
      </c>
      <c r="M8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0.97862490570611071</v>
      </c>
      <c r="N829" s="3">
        <f>IFERROR(INDEX(Table3[#All],MATCH(Table1[[#This Row],[Key_Year_Week_Brand]],Table3[[#All],[Key_Year_Week_Brand]],0),MATCH(Table1[[#This Row],[DC_name_Xref]],Table3[#Headers],0)),0)</f>
        <v>1</v>
      </c>
      <c r="O829">
        <f>IFERROR(INDEX(Table35[#All],MATCH(Table1[[#This Row],[Key_Year_Week_Brand]],Table35[[#All],[Key_Year_Month_Brand]],0),MATCH(Table1[[#This Row],[DC_name_Xref]],Table35[#Headers],0)),0)</f>
        <v>339407</v>
      </c>
    </row>
    <row r="830" spans="1:15" x14ac:dyDescent="0.3">
      <c r="A830" s="19" t="str">
        <f>Table1[[#This Row],[Year_Week]]&amp;"-"&amp;Table1[[#This Row],[DC_name_Xref]]</f>
        <v>202147-WFC</v>
      </c>
      <c r="B830" s="19" t="str">
        <f>Table1[[#This Row],[Fiscal_Year]]*100+Table1[[#This Row],[Fiscal_Week]] &amp; "-" &amp;Table1[[#This Row],[BRAND]]</f>
        <v>202147-Banana Republic</v>
      </c>
      <c r="C830" t="str">
        <f>Table1[[#This Row],[Fiscal_Year]]&amp;"-"&amp;Table1[[#This Row],[BRAND]]</f>
        <v>2021-Banana Republic</v>
      </c>
      <c r="D830">
        <v>2021</v>
      </c>
      <c r="E830">
        <v>47</v>
      </c>
      <c r="F830" t="s">
        <v>18</v>
      </c>
      <c r="G830" t="s">
        <v>7</v>
      </c>
      <c r="H830">
        <v>3</v>
      </c>
      <c r="I830">
        <v>2</v>
      </c>
      <c r="J830" t="str">
        <f>VLOOKUP(H830,DC_Xref!A:B,2,FALSE)</f>
        <v>WFC</v>
      </c>
      <c r="K830">
        <f t="shared" si="12"/>
        <v>202147</v>
      </c>
      <c r="L830">
        <f>IFERROR(Table1[[#This Row],[Demand]]/SUMIFS(Table1[Demand],Table1[Fiscal_Year],Table1[[#This Row],[Fiscal_Year]],Table1[BRAND],Table1[[#This Row],[BRAND]],Table1[DC_name_Xref],Table1[[#This Row],[DC_name_Xref]]),0)</f>
        <v>0.22222222222222221</v>
      </c>
      <c r="M8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3.4959629396853166E-6</v>
      </c>
      <c r="N830" s="3">
        <f>IFERROR(INDEX(Table3[#All],MATCH(Table1[[#This Row],[Key_Year_Week_Brand]],Table3[[#All],[Key_Year_Week_Brand]],0),MATCH(Table1[[#This Row],[DC_name_Xref]],Table3[#Headers],0)),0)</f>
        <v>3.4959629396853166E-6</v>
      </c>
      <c r="O830">
        <f>IFERROR(INDEX(Table35[#All],MATCH(Table1[[#This Row],[Key_Year_Week_Brand]],Table35[[#All],[Key_Year_Month_Brand]],0),MATCH(Table1[[#This Row],[DC_name_Xref]],Table35[#Headers],0)),0)</f>
        <v>1.1865542934697741</v>
      </c>
    </row>
    <row r="831" spans="1:15" x14ac:dyDescent="0.3">
      <c r="A831" s="19" t="str">
        <f>Table1[[#This Row],[Year_Week]]&amp;"-"&amp;Table1[[#This Row],[DC_name_Xref]]</f>
        <v>202147-EAO</v>
      </c>
      <c r="B831" s="19" t="str">
        <f>Table1[[#This Row],[Fiscal_Year]]*100+Table1[[#This Row],[Fiscal_Week]] &amp; "-" &amp;Table1[[#This Row],[BRAND]]</f>
        <v>202147-Banana Republic</v>
      </c>
      <c r="C831" t="str">
        <f>Table1[[#This Row],[Fiscal_Year]]&amp;"-"&amp;Table1[[#This Row],[BRAND]]</f>
        <v>2021-Banana Republic</v>
      </c>
      <c r="D831">
        <v>2021</v>
      </c>
      <c r="E831">
        <v>47</v>
      </c>
      <c r="F831" t="s">
        <v>18</v>
      </c>
      <c r="G831" t="s">
        <v>8</v>
      </c>
      <c r="H831">
        <v>4</v>
      </c>
      <c r="I831">
        <v>5</v>
      </c>
      <c r="J831" t="str">
        <f>VLOOKUP(H831,DC_Xref!A:B,2,FALSE)</f>
        <v>EAO</v>
      </c>
      <c r="K831">
        <f t="shared" si="12"/>
        <v>202147</v>
      </c>
      <c r="L831">
        <f>IFERROR(Table1[[#This Row],[Demand]]/SUMIFS(Table1[Demand],Table1[Fiscal_Year],Table1[[#This Row],[Fiscal_Year]],Table1[BRAND],Table1[[#This Row],[BRAND]],Table1[DC_name_Xref],Table1[[#This Row],[DC_name_Xref]]),0)</f>
        <v>4.5871559633027525E-2</v>
      </c>
      <c r="M8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4.2339995602855504E-5</v>
      </c>
      <c r="N831" s="3">
        <f>IFERROR(INDEX(Table3[#All],MATCH(Table1[[#This Row],[Key_Year_Week_Brand]],Table3[[#All],[Key_Year_Week_Brand]],0),MATCH(Table1[[#This Row],[DC_name_Xref]],Table3[#Headers],0)),0)</f>
        <v>4.2339995602855504E-5</v>
      </c>
      <c r="O831">
        <f>IFERROR(INDEX(Table35[#All],MATCH(Table1[[#This Row],[Key_Year_Week_Brand]],Table35[[#All],[Key_Year_Month_Brand]],0),MATCH(Table1[[#This Row],[DC_name_Xref]],Table35[#Headers],0)),0)</f>
        <v>14.370490887578379</v>
      </c>
    </row>
    <row r="832" spans="1:15" x14ac:dyDescent="0.3">
      <c r="A832" s="19" t="str">
        <f>Table1[[#This Row],[Year_Week]]&amp;"-"&amp;Table1[[#This Row],[DC_name_Xref]]</f>
        <v>202147-FFC-ODC</v>
      </c>
      <c r="B832" s="19" t="str">
        <f>Table1[[#This Row],[Fiscal_Year]]*100+Table1[[#This Row],[Fiscal_Week]] &amp; "-" &amp;Table1[[#This Row],[BRAND]]</f>
        <v>202147-Banana Republic</v>
      </c>
      <c r="C832" t="str">
        <f>Table1[[#This Row],[Fiscal_Year]]&amp;"-"&amp;Table1[[#This Row],[BRAND]]</f>
        <v>2021-Banana Republic</v>
      </c>
      <c r="D832">
        <v>2021</v>
      </c>
      <c r="E832">
        <v>47</v>
      </c>
      <c r="F832" t="s">
        <v>18</v>
      </c>
      <c r="G832" t="s">
        <v>23</v>
      </c>
      <c r="H832">
        <v>5</v>
      </c>
      <c r="I832">
        <v>0</v>
      </c>
      <c r="J832" t="str">
        <f>VLOOKUP(H832,DC_Xref!A:B,2,FALSE)</f>
        <v>FFC-ODC</v>
      </c>
      <c r="K832">
        <f t="shared" si="12"/>
        <v>202147</v>
      </c>
      <c r="L832">
        <f>IFERROR(Table1[[#This Row],[Demand]]/SUMIFS(Table1[Demand],Table1[Fiscal_Year],Table1[[#This Row],[Fiscal_Year]],Table1[BRAND],Table1[[#This Row],[BRAND]],Table1[DC_name_Xref],Table1[[#This Row],[DC_name_Xref]]),0)</f>
        <v>0</v>
      </c>
      <c r="M8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32" s="3">
        <f>IFERROR(INDEX(Table3[#All],MATCH(Table1[[#This Row],[Key_Year_Week_Brand]],Table3[[#All],[Key_Year_Week_Brand]],0),MATCH(Table1[[#This Row],[DC_name_Xref]],Table3[#Headers],0)),0)</f>
        <v>0</v>
      </c>
      <c r="O832">
        <f>IFERROR(INDEX(Table35[#All],MATCH(Table1[[#This Row],[Key_Year_Week_Brand]],Table35[[#All],[Key_Year_Month_Brand]],0),MATCH(Table1[[#This Row],[DC_name_Xref]],Table35[#Headers],0)),0)</f>
        <v>0</v>
      </c>
    </row>
    <row r="833" spans="1:15" x14ac:dyDescent="0.3">
      <c r="A833" s="19" t="str">
        <f>Table1[[#This Row],[Year_Week]]&amp;"-"&amp;Table1[[#This Row],[DC_name_Xref]]</f>
        <v>202147-WEO</v>
      </c>
      <c r="B833" s="19" t="str">
        <f>Table1[[#This Row],[Fiscal_Year]]*100+Table1[[#This Row],[Fiscal_Week]] &amp; "-" &amp;Table1[[#This Row],[BRAND]]</f>
        <v>202147-Banana Republic</v>
      </c>
      <c r="C833" t="str">
        <f>Table1[[#This Row],[Fiscal_Year]]&amp;"-"&amp;Table1[[#This Row],[BRAND]]</f>
        <v>2021-Banana Republic</v>
      </c>
      <c r="D833">
        <v>2021</v>
      </c>
      <c r="E833">
        <v>47</v>
      </c>
      <c r="F833" t="s">
        <v>18</v>
      </c>
      <c r="G833" t="s">
        <v>10</v>
      </c>
      <c r="H833">
        <v>6</v>
      </c>
      <c r="I833">
        <v>0</v>
      </c>
      <c r="J833" t="str">
        <f>VLOOKUP(H833,DC_Xref!A:B,2,FALSE)</f>
        <v>WEO</v>
      </c>
      <c r="K833">
        <f t="shared" si="12"/>
        <v>202147</v>
      </c>
      <c r="L833">
        <f>IFERROR(Table1[[#This Row],[Demand]]/SUMIFS(Table1[Demand],Table1[Fiscal_Year],Table1[[#This Row],[Fiscal_Year]],Table1[BRAND],Table1[[#This Row],[BRAND]],Table1[DC_name_Xref],Table1[[#This Row],[DC_name_Xref]]),0)</f>
        <v>0</v>
      </c>
      <c r="M8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33" s="3">
        <f>IFERROR(INDEX(Table3[#All],MATCH(Table1[[#This Row],[Key_Year_Week_Brand]],Table3[[#All],[Key_Year_Week_Brand]],0),MATCH(Table1[[#This Row],[DC_name_Xref]],Table3[#Headers],0)),0)</f>
        <v>0</v>
      </c>
      <c r="O833">
        <f>IFERROR(INDEX(Table35[#All],MATCH(Table1[[#This Row],[Key_Year_Week_Brand]],Table35[[#All],[Key_Year_Month_Brand]],0),MATCH(Table1[[#This Row],[DC_name_Xref]],Table35[#Headers],0)),0)</f>
        <v>0</v>
      </c>
    </row>
    <row r="834" spans="1:15" x14ac:dyDescent="0.3">
      <c r="A834" s="19" t="str">
        <f>Table1[[#This Row],[Year_Week]]&amp;"-"&amp;Table1[[#This Row],[DC_name_Xref]]</f>
        <v>202147-OCC</v>
      </c>
      <c r="B834" s="19" t="str">
        <f>Table1[[#This Row],[Fiscal_Year]]*100+Table1[[#This Row],[Fiscal_Week]] &amp; "-" &amp;Table1[[#This Row],[BRAND]]</f>
        <v>202147-Banana Republic</v>
      </c>
      <c r="C834" t="str">
        <f>Table1[[#This Row],[Fiscal_Year]]&amp;"-"&amp;Table1[[#This Row],[BRAND]]</f>
        <v>2021-Banana Republic</v>
      </c>
      <c r="D834">
        <v>2021</v>
      </c>
      <c r="E834">
        <v>47</v>
      </c>
      <c r="F834" t="s">
        <v>18</v>
      </c>
      <c r="G834" t="s">
        <v>11</v>
      </c>
      <c r="H834">
        <v>7</v>
      </c>
      <c r="I834">
        <v>0</v>
      </c>
      <c r="J834" t="str">
        <f>VLOOKUP(H834,DC_Xref!A:B,2,FALSE)</f>
        <v>OCC</v>
      </c>
      <c r="K834">
        <f t="shared" ref="K834:K897" si="13">D834*100+E834</f>
        <v>202147</v>
      </c>
      <c r="L834">
        <f>IFERROR(Table1[[#This Row],[Demand]]/SUMIFS(Table1[Demand],Table1[Fiscal_Year],Table1[[#This Row],[Fiscal_Year]],Table1[BRAND],Table1[[#This Row],[BRAND]],Table1[DC_name_Xref],Table1[[#This Row],[DC_name_Xref]]),0)</f>
        <v>0</v>
      </c>
      <c r="M8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34" s="3">
        <f>IFERROR(INDEX(Table3[#All],MATCH(Table1[[#This Row],[Key_Year_Week_Brand]],Table3[[#All],[Key_Year_Week_Brand]],0),MATCH(Table1[[#This Row],[DC_name_Xref]],Table3[#Headers],0)),0)</f>
        <v>0</v>
      </c>
      <c r="O834">
        <f>IFERROR(INDEX(Table35[#All],MATCH(Table1[[#This Row],[Key_Year_Week_Brand]],Table35[[#All],[Key_Year_Month_Brand]],0),MATCH(Table1[[#This Row],[DC_name_Xref]],Table35[#Headers],0)),0)</f>
        <v>0</v>
      </c>
    </row>
    <row r="835" spans="1:15" x14ac:dyDescent="0.3">
      <c r="A835" s="19" t="str">
        <f>Table1[[#This Row],[Year_Week]]&amp;"-"&amp;Table1[[#This Row],[DC_name_Xref]]</f>
        <v>202147-OFC</v>
      </c>
      <c r="B835" s="19" t="str">
        <f>Table1[[#This Row],[Fiscal_Year]]*100+Table1[[#This Row],[Fiscal_Week]] &amp; "-" &amp;Table1[[#This Row],[BRAND]]</f>
        <v>202147-Athleta</v>
      </c>
      <c r="C835" t="str">
        <f>Table1[[#This Row],[Fiscal_Year]]&amp;"-"&amp;Table1[[#This Row],[BRAND]]</f>
        <v>2021-Athleta</v>
      </c>
      <c r="D835">
        <v>2021</v>
      </c>
      <c r="E835">
        <v>47</v>
      </c>
      <c r="F835" t="s">
        <v>19</v>
      </c>
      <c r="G835" t="s">
        <v>5</v>
      </c>
      <c r="H835">
        <v>1</v>
      </c>
      <c r="I835">
        <v>39892</v>
      </c>
      <c r="J835" t="str">
        <f>VLOOKUP(H835,DC_Xref!A:B,2,FALSE)</f>
        <v>OFC</v>
      </c>
      <c r="K835">
        <f t="shared" si="13"/>
        <v>202147</v>
      </c>
      <c r="L835">
        <f>IFERROR(Table1[[#This Row],[Demand]]/SUMIFS(Table1[Demand],Table1[Fiscal_Year],Table1[[#This Row],[Fiscal_Year]],Table1[BRAND],Table1[[#This Row],[BRAND]],Table1[DC_name_Xref],Table1[[#This Row],[DC_name_Xref]]),0)</f>
        <v>0.19106645081566773</v>
      </c>
      <c r="M8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0.1013677307593525</v>
      </c>
      <c r="N835" s="3">
        <f>IFERROR(INDEX(Table3[#All],MATCH(Table1[[#This Row],[Key_Year_Week_Brand]],Table3[[#All],[Key_Year_Week_Brand]],0),MATCH(Table1[[#This Row],[DC_name_Xref]],Table3[#Headers],0)),0)</f>
        <v>0</v>
      </c>
      <c r="O835">
        <f>IFERROR(INDEX(Table35[#All],MATCH(Table1[[#This Row],[Key_Year_Week_Brand]],Table35[[#All],[Key_Year_Month_Brand]],0),MATCH(Table1[[#This Row],[DC_name_Xref]],Table35[#Headers],0)),0)</f>
        <v>0</v>
      </c>
    </row>
    <row r="836" spans="1:15" x14ac:dyDescent="0.3">
      <c r="A836" s="19" t="str">
        <f>Table1[[#This Row],[Year_Week]]&amp;"-"&amp;Table1[[#This Row],[DC_name_Xref]]</f>
        <v>202147-TFC</v>
      </c>
      <c r="B836" s="19" t="str">
        <f>Table1[[#This Row],[Fiscal_Year]]*100+Table1[[#This Row],[Fiscal_Week]] &amp; "-" &amp;Table1[[#This Row],[BRAND]]</f>
        <v>202147-Athleta</v>
      </c>
      <c r="C836" t="str">
        <f>Table1[[#This Row],[Fiscal_Year]]&amp;"-"&amp;Table1[[#This Row],[BRAND]]</f>
        <v>2021-Athleta</v>
      </c>
      <c r="D836">
        <v>2021</v>
      </c>
      <c r="E836">
        <v>47</v>
      </c>
      <c r="F836" t="s">
        <v>19</v>
      </c>
      <c r="G836" t="s">
        <v>21</v>
      </c>
      <c r="H836">
        <v>2</v>
      </c>
      <c r="I836">
        <v>335640</v>
      </c>
      <c r="J836" t="str">
        <f>VLOOKUP(H836,DC_Xref!A:B,2,FALSE)</f>
        <v>TFC</v>
      </c>
      <c r="K836">
        <f t="shared" si="13"/>
        <v>202147</v>
      </c>
      <c r="L836">
        <f>IFERROR(Table1[[#This Row],[Demand]]/SUMIFS(Table1[Demand],Table1[Fiscal_Year],Table1[[#This Row],[Fiscal_Year]],Table1[BRAND],Table1[[#This Row],[BRAND]],Table1[DC_name_Xref],Table1[[#This Row],[DC_name_Xref]]),0)</f>
        <v>0.18134547057755648</v>
      </c>
      <c r="M8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0.89859779801707929</v>
      </c>
      <c r="N836" s="3">
        <f>IFERROR(INDEX(Table3[#All],MATCH(Table1[[#This Row],[Key_Year_Week_Brand]],Table3[[#All],[Key_Year_Week_Brand]],0),MATCH(Table1[[#This Row],[DC_name_Xref]],Table3[#Headers],0)),0)</f>
        <v>1</v>
      </c>
      <c r="O836">
        <f>IFERROR(INDEX(Table35[#All],MATCH(Table1[[#This Row],[Key_Year_Week_Brand]],Table35[[#All],[Key_Year_Month_Brand]],0),MATCH(Table1[[#This Row],[DC_name_Xref]],Table35[#Headers],0)),0)</f>
        <v>375532</v>
      </c>
    </row>
    <row r="837" spans="1:15" x14ac:dyDescent="0.3">
      <c r="A837" s="19" t="str">
        <f>Table1[[#This Row],[Year_Week]]&amp;"-"&amp;Table1[[#This Row],[DC_name_Xref]]</f>
        <v>202147-WFC</v>
      </c>
      <c r="B837" s="19" t="str">
        <f>Table1[[#This Row],[Fiscal_Year]]*100+Table1[[#This Row],[Fiscal_Week]] &amp; "-" &amp;Table1[[#This Row],[BRAND]]</f>
        <v>202147-Athleta</v>
      </c>
      <c r="C837" t="str">
        <f>Table1[[#This Row],[Fiscal_Year]]&amp;"-"&amp;Table1[[#This Row],[BRAND]]</f>
        <v>2021-Athleta</v>
      </c>
      <c r="D837">
        <v>2021</v>
      </c>
      <c r="E837">
        <v>47</v>
      </c>
      <c r="F837" t="s">
        <v>19</v>
      </c>
      <c r="G837" t="s">
        <v>7</v>
      </c>
      <c r="H837">
        <v>3</v>
      </c>
      <c r="I837">
        <v>0</v>
      </c>
      <c r="J837" t="str">
        <f>VLOOKUP(H837,DC_Xref!A:B,2,FALSE)</f>
        <v>WFC</v>
      </c>
      <c r="K837">
        <f t="shared" si="13"/>
        <v>202147</v>
      </c>
      <c r="L837">
        <f>IFERROR(Table1[[#This Row],[Demand]]/SUMIFS(Table1[Demand],Table1[Fiscal_Year],Table1[[#This Row],[Fiscal_Year]],Table1[BRAND],Table1[[#This Row],[BRAND]],Table1[DC_name_Xref],Table1[[#This Row],[DC_name_Xref]]),0)</f>
        <v>0</v>
      </c>
      <c r="M8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37" s="3">
        <f>IFERROR(INDEX(Table3[#All],MATCH(Table1[[#This Row],[Key_Year_Week_Brand]],Table3[[#All],[Key_Year_Week_Brand]],0),MATCH(Table1[[#This Row],[DC_name_Xref]],Table3[#Headers],0)),0)</f>
        <v>0</v>
      </c>
      <c r="O837">
        <f>IFERROR(INDEX(Table35[#All],MATCH(Table1[[#This Row],[Key_Year_Week_Brand]],Table35[[#All],[Key_Year_Month_Brand]],0),MATCH(Table1[[#This Row],[DC_name_Xref]],Table35[#Headers],0)),0)</f>
        <v>0</v>
      </c>
    </row>
    <row r="838" spans="1:15" x14ac:dyDescent="0.3">
      <c r="A838" s="19" t="str">
        <f>Table1[[#This Row],[Year_Week]]&amp;"-"&amp;Table1[[#This Row],[DC_name_Xref]]</f>
        <v>202147-EAO</v>
      </c>
      <c r="B838" s="19" t="str">
        <f>Table1[[#This Row],[Fiscal_Year]]*100+Table1[[#This Row],[Fiscal_Week]] &amp; "-" &amp;Table1[[#This Row],[BRAND]]</f>
        <v>202147-Athleta</v>
      </c>
      <c r="C838" t="str">
        <f>Table1[[#This Row],[Fiscal_Year]]&amp;"-"&amp;Table1[[#This Row],[BRAND]]</f>
        <v>2021-Athleta</v>
      </c>
      <c r="D838">
        <v>2021</v>
      </c>
      <c r="E838">
        <v>47</v>
      </c>
      <c r="F838" t="s">
        <v>19</v>
      </c>
      <c r="G838" t="s">
        <v>8</v>
      </c>
      <c r="H838">
        <v>4</v>
      </c>
      <c r="I838">
        <v>0</v>
      </c>
      <c r="J838" t="str">
        <f>VLOOKUP(H838,DC_Xref!A:B,2,FALSE)</f>
        <v>EAO</v>
      </c>
      <c r="K838">
        <f t="shared" si="13"/>
        <v>202147</v>
      </c>
      <c r="L838">
        <f>IFERROR(Table1[[#This Row],[Demand]]/SUMIFS(Table1[Demand],Table1[Fiscal_Year],Table1[[#This Row],[Fiscal_Year]],Table1[BRAND],Table1[[#This Row],[BRAND]],Table1[DC_name_Xref],Table1[[#This Row],[DC_name_Xref]]),0)</f>
        <v>0</v>
      </c>
      <c r="M8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3.447122356821831E-5</v>
      </c>
      <c r="N838" s="3">
        <f>IFERROR(INDEX(Table3[#All],MATCH(Table1[[#This Row],[Key_Year_Week_Brand]],Table3[[#All],[Key_Year_Week_Brand]],0),MATCH(Table1[[#This Row],[DC_name_Xref]],Table3[#Headers],0)),0)</f>
        <v>3.447122356821831E-5</v>
      </c>
      <c r="O838">
        <f>IFERROR(INDEX(Table35[#All],MATCH(Table1[[#This Row],[Key_Year_Week_Brand]],Table35[[#All],[Key_Year_Month_Brand]],0),MATCH(Table1[[#This Row],[DC_name_Xref]],Table35[#Headers],0)),0)</f>
        <v>12.945047529020158</v>
      </c>
    </row>
    <row r="839" spans="1:15" x14ac:dyDescent="0.3">
      <c r="A839" s="19" t="str">
        <f>Table1[[#This Row],[Year_Week]]&amp;"-"&amp;Table1[[#This Row],[DC_name_Xref]]</f>
        <v>202147-FFC-ODC</v>
      </c>
      <c r="B839" s="19" t="str">
        <f>Table1[[#This Row],[Fiscal_Year]]*100+Table1[[#This Row],[Fiscal_Week]] &amp; "-" &amp;Table1[[#This Row],[BRAND]]</f>
        <v>202147-Athleta</v>
      </c>
      <c r="C839" t="str">
        <f>Table1[[#This Row],[Fiscal_Year]]&amp;"-"&amp;Table1[[#This Row],[BRAND]]</f>
        <v>2021-Athleta</v>
      </c>
      <c r="D839">
        <v>2021</v>
      </c>
      <c r="E839">
        <v>47</v>
      </c>
      <c r="F839" t="s">
        <v>19</v>
      </c>
      <c r="G839" t="s">
        <v>23</v>
      </c>
      <c r="H839">
        <v>5</v>
      </c>
      <c r="I839">
        <v>0</v>
      </c>
      <c r="J839" t="str">
        <f>VLOOKUP(H839,DC_Xref!A:B,2,FALSE)</f>
        <v>FFC-ODC</v>
      </c>
      <c r="K839">
        <f t="shared" si="13"/>
        <v>202147</v>
      </c>
      <c r="L839">
        <f>IFERROR(Table1[[#This Row],[Demand]]/SUMIFS(Table1[Demand],Table1[Fiscal_Year],Table1[[#This Row],[Fiscal_Year]],Table1[BRAND],Table1[[#This Row],[BRAND]],Table1[DC_name_Xref],Table1[[#This Row],[DC_name_Xref]]),0)</f>
        <v>0</v>
      </c>
      <c r="M8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39" s="3">
        <f>IFERROR(INDEX(Table3[#All],MATCH(Table1[[#This Row],[Key_Year_Week_Brand]],Table3[[#All],[Key_Year_Week_Brand]],0),MATCH(Table1[[#This Row],[DC_name_Xref]],Table3[#Headers],0)),0)</f>
        <v>0</v>
      </c>
      <c r="O839">
        <f>IFERROR(INDEX(Table35[#All],MATCH(Table1[[#This Row],[Key_Year_Week_Brand]],Table35[[#All],[Key_Year_Month_Brand]],0),MATCH(Table1[[#This Row],[DC_name_Xref]],Table35[#Headers],0)),0)</f>
        <v>0</v>
      </c>
    </row>
    <row r="840" spans="1:15" x14ac:dyDescent="0.3">
      <c r="A840" s="19" t="str">
        <f>Table1[[#This Row],[Year_Week]]&amp;"-"&amp;Table1[[#This Row],[DC_name_Xref]]</f>
        <v>202147-WEO</v>
      </c>
      <c r="B840" s="19" t="str">
        <f>Table1[[#This Row],[Fiscal_Year]]*100+Table1[[#This Row],[Fiscal_Week]] &amp; "-" &amp;Table1[[#This Row],[BRAND]]</f>
        <v>202147-Athleta</v>
      </c>
      <c r="C840" t="str">
        <f>Table1[[#This Row],[Fiscal_Year]]&amp;"-"&amp;Table1[[#This Row],[BRAND]]</f>
        <v>2021-Athleta</v>
      </c>
      <c r="D840">
        <v>2021</v>
      </c>
      <c r="E840">
        <v>47</v>
      </c>
      <c r="F840" t="s">
        <v>19</v>
      </c>
      <c r="G840" t="s">
        <v>10</v>
      </c>
      <c r="H840">
        <v>6</v>
      </c>
      <c r="I840">
        <v>0</v>
      </c>
      <c r="J840" t="str">
        <f>VLOOKUP(H840,DC_Xref!A:B,2,FALSE)</f>
        <v>WEO</v>
      </c>
      <c r="K840">
        <f t="shared" si="13"/>
        <v>202147</v>
      </c>
      <c r="L840">
        <f>IFERROR(Table1[[#This Row],[Demand]]/SUMIFS(Table1[Demand],Table1[Fiscal_Year],Table1[[#This Row],[Fiscal_Year]],Table1[BRAND],Table1[[#This Row],[BRAND]],Table1[DC_name_Xref],Table1[[#This Row],[DC_name_Xref]]),0)</f>
        <v>0</v>
      </c>
      <c r="M8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0" s="3">
        <f>IFERROR(INDEX(Table3[#All],MATCH(Table1[[#This Row],[Key_Year_Week_Brand]],Table3[[#All],[Key_Year_Week_Brand]],0),MATCH(Table1[[#This Row],[DC_name_Xref]],Table3[#Headers],0)),0)</f>
        <v>0</v>
      </c>
      <c r="O840">
        <f>IFERROR(INDEX(Table35[#All],MATCH(Table1[[#This Row],[Key_Year_Week_Brand]],Table35[[#All],[Key_Year_Month_Brand]],0),MATCH(Table1[[#This Row],[DC_name_Xref]],Table35[#Headers],0)),0)</f>
        <v>0</v>
      </c>
    </row>
    <row r="841" spans="1:15" x14ac:dyDescent="0.3">
      <c r="A841" s="19" t="str">
        <f>Table1[[#This Row],[Year_Week]]&amp;"-"&amp;Table1[[#This Row],[DC_name_Xref]]</f>
        <v>202147-OCC</v>
      </c>
      <c r="B841" s="19" t="str">
        <f>Table1[[#This Row],[Fiscal_Year]]*100+Table1[[#This Row],[Fiscal_Week]] &amp; "-" &amp;Table1[[#This Row],[BRAND]]</f>
        <v>202147-Athleta</v>
      </c>
      <c r="C841" t="str">
        <f>Table1[[#This Row],[Fiscal_Year]]&amp;"-"&amp;Table1[[#This Row],[BRAND]]</f>
        <v>2021-Athleta</v>
      </c>
      <c r="D841">
        <v>2021</v>
      </c>
      <c r="E841">
        <v>47</v>
      </c>
      <c r="F841" t="s">
        <v>19</v>
      </c>
      <c r="G841" t="s">
        <v>11</v>
      </c>
      <c r="H841">
        <v>7</v>
      </c>
      <c r="I841">
        <v>0</v>
      </c>
      <c r="J841" t="str">
        <f>VLOOKUP(H841,DC_Xref!A:B,2,FALSE)</f>
        <v>OCC</v>
      </c>
      <c r="K841">
        <f t="shared" si="13"/>
        <v>202147</v>
      </c>
      <c r="L841">
        <f>IFERROR(Table1[[#This Row],[Demand]]/SUMIFS(Table1[Demand],Table1[Fiscal_Year],Table1[[#This Row],[Fiscal_Year]],Table1[BRAND],Table1[[#This Row],[BRAND]],Table1[DC_name_Xref],Table1[[#This Row],[DC_name_Xref]]),0)</f>
        <v>0</v>
      </c>
      <c r="M8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1" s="3">
        <f>IFERROR(INDEX(Table3[#All],MATCH(Table1[[#This Row],[Key_Year_Week_Brand]],Table3[[#All],[Key_Year_Week_Brand]],0),MATCH(Table1[[#This Row],[DC_name_Xref]],Table3[#Headers],0)),0)</f>
        <v>0</v>
      </c>
      <c r="O841">
        <f>IFERROR(INDEX(Table35[#All],MATCH(Table1[[#This Row],[Key_Year_Week_Brand]],Table35[[#All],[Key_Year_Month_Brand]],0),MATCH(Table1[[#This Row],[DC_name_Xref]],Table35[#Headers],0)),0)</f>
        <v>0</v>
      </c>
    </row>
    <row r="842" spans="1:15" x14ac:dyDescent="0.3">
      <c r="A842" s="19" t="str">
        <f>Table1[[#This Row],[Year_Week]]&amp;"-"&amp;Table1[[#This Row],[DC_name_Xref]]</f>
        <v>202243-OFC</v>
      </c>
      <c r="B842" s="19" t="str">
        <f>Table1[[#This Row],[Fiscal_Year]]*100+Table1[[#This Row],[Fiscal_Week]] &amp; "-" &amp;Table1[[#This Row],[BRAND]]</f>
        <v>202243-Gap Factory Store</v>
      </c>
      <c r="C842" t="str">
        <f>Table1[[#This Row],[Fiscal_Year]]&amp;"-"&amp;Table1[[#This Row],[BRAND]]</f>
        <v>2022-Gap Factory Store</v>
      </c>
      <c r="D842">
        <v>2022</v>
      </c>
      <c r="E842">
        <v>43</v>
      </c>
      <c r="F842" t="s">
        <v>22</v>
      </c>
      <c r="G842" t="s">
        <v>5</v>
      </c>
      <c r="H842">
        <v>1</v>
      </c>
      <c r="I842">
        <v>2917901</v>
      </c>
      <c r="J842" t="str">
        <f>VLOOKUP(H842,DC_Xref!A:B,2,FALSE)</f>
        <v>OFC</v>
      </c>
      <c r="K842">
        <f t="shared" si="13"/>
        <v>202243</v>
      </c>
      <c r="L842">
        <f>IFERROR(Table1[[#This Row],[Demand]]/SUMIFS(Table1[Demand],Table1[Fiscal_Year],Table1[[#This Row],[Fiscal_Year]],Table1[BRAND],Table1[[#This Row],[BRAND]],Table1[DC_name_Xref],Table1[[#This Row],[DC_name_Xref]]),0)</f>
        <v>0.43484385848645657</v>
      </c>
      <c r="M8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842" s="3">
        <f>IFERROR(INDEX(Table3[#All],MATCH(Table1[[#This Row],[Key_Year_Week_Brand]],Table3[[#All],[Key_Year_Week_Brand]],0),MATCH(Table1[[#This Row],[DC_name_Xref]],Table3[#Headers],0)),0)</f>
        <v>1</v>
      </c>
      <c r="O842">
        <f>IFERROR(INDEX(Table35[#All],MATCH(Table1[[#This Row],[Key_Year_Week_Brand]],Table35[[#All],[Key_Year_Month_Brand]],0),MATCH(Table1[[#This Row],[DC_name_Xref]],Table35[#Headers],0)),0)</f>
        <v>2917901</v>
      </c>
    </row>
    <row r="843" spans="1:15" x14ac:dyDescent="0.3">
      <c r="A843" s="19" t="str">
        <f>Table1[[#This Row],[Year_Week]]&amp;"-"&amp;Table1[[#This Row],[DC_name_Xref]]</f>
        <v>202243-TFC</v>
      </c>
      <c r="B843" s="19" t="str">
        <f>Table1[[#This Row],[Fiscal_Year]]*100+Table1[[#This Row],[Fiscal_Week]] &amp; "-" &amp;Table1[[#This Row],[BRAND]]</f>
        <v>202243-Gap Factory Store</v>
      </c>
      <c r="C843" t="str">
        <f>Table1[[#This Row],[Fiscal_Year]]&amp;"-"&amp;Table1[[#This Row],[BRAND]]</f>
        <v>2022-Gap Factory Store</v>
      </c>
      <c r="D843">
        <v>2022</v>
      </c>
      <c r="E843">
        <v>43</v>
      </c>
      <c r="F843" t="s">
        <v>22</v>
      </c>
      <c r="G843" t="s">
        <v>21</v>
      </c>
      <c r="H843">
        <v>2</v>
      </c>
      <c r="I843">
        <v>0</v>
      </c>
      <c r="J843" t="str">
        <f>VLOOKUP(H843,DC_Xref!A:B,2,FALSE)</f>
        <v>TFC</v>
      </c>
      <c r="K843">
        <f t="shared" si="13"/>
        <v>202243</v>
      </c>
      <c r="L843">
        <f>IFERROR(Table1[[#This Row],[Demand]]/SUMIFS(Table1[Demand],Table1[Fiscal_Year],Table1[[#This Row],[Fiscal_Year]],Table1[BRAND],Table1[[#This Row],[BRAND]],Table1[DC_name_Xref],Table1[[#This Row],[DC_name_Xref]]),0)</f>
        <v>0</v>
      </c>
      <c r="M8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3" s="3">
        <f>IFERROR(INDEX(Table3[#All],MATCH(Table1[[#This Row],[Key_Year_Week_Brand]],Table3[[#All],[Key_Year_Week_Brand]],0),MATCH(Table1[[#This Row],[DC_name_Xref]],Table3[#Headers],0)),0)</f>
        <v>0</v>
      </c>
      <c r="O843">
        <f>IFERROR(INDEX(Table35[#All],MATCH(Table1[[#This Row],[Key_Year_Week_Brand]],Table35[[#All],[Key_Year_Month_Brand]],0),MATCH(Table1[[#This Row],[DC_name_Xref]],Table35[#Headers],0)),0)</f>
        <v>0</v>
      </c>
    </row>
    <row r="844" spans="1:15" x14ac:dyDescent="0.3">
      <c r="A844" s="19" t="str">
        <f>Table1[[#This Row],[Year_Week]]&amp;"-"&amp;Table1[[#This Row],[DC_name_Xref]]</f>
        <v>202243-WFC</v>
      </c>
      <c r="B844" s="19" t="str">
        <f>Table1[[#This Row],[Fiscal_Year]]*100+Table1[[#This Row],[Fiscal_Week]] &amp; "-" &amp;Table1[[#This Row],[BRAND]]</f>
        <v>202243-Gap Factory Store</v>
      </c>
      <c r="C844" t="str">
        <f>Table1[[#This Row],[Fiscal_Year]]&amp;"-"&amp;Table1[[#This Row],[BRAND]]</f>
        <v>2022-Gap Factory Store</v>
      </c>
      <c r="D844">
        <v>2022</v>
      </c>
      <c r="E844">
        <v>43</v>
      </c>
      <c r="F844" t="s">
        <v>22</v>
      </c>
      <c r="G844" t="s">
        <v>7</v>
      </c>
      <c r="H844">
        <v>3</v>
      </c>
      <c r="I844">
        <v>0</v>
      </c>
      <c r="J844" t="str">
        <f>VLOOKUP(H844,DC_Xref!A:B,2,FALSE)</f>
        <v>WFC</v>
      </c>
      <c r="K844">
        <f t="shared" si="13"/>
        <v>202243</v>
      </c>
      <c r="L844">
        <f>IFERROR(Table1[[#This Row],[Demand]]/SUMIFS(Table1[Demand],Table1[Fiscal_Year],Table1[[#This Row],[Fiscal_Year]],Table1[BRAND],Table1[[#This Row],[BRAND]],Table1[DC_name_Xref],Table1[[#This Row],[DC_name_Xref]]),0)</f>
        <v>0</v>
      </c>
      <c r="M8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4" s="3">
        <f>IFERROR(INDEX(Table3[#All],MATCH(Table1[[#This Row],[Key_Year_Week_Brand]],Table3[[#All],[Key_Year_Week_Brand]],0),MATCH(Table1[[#This Row],[DC_name_Xref]],Table3[#Headers],0)),0)</f>
        <v>0</v>
      </c>
      <c r="O844">
        <f>IFERROR(INDEX(Table35[#All],MATCH(Table1[[#This Row],[Key_Year_Week_Brand]],Table35[[#All],[Key_Year_Month_Brand]],0),MATCH(Table1[[#This Row],[DC_name_Xref]],Table35[#Headers],0)),0)</f>
        <v>0</v>
      </c>
    </row>
    <row r="845" spans="1:15" x14ac:dyDescent="0.3">
      <c r="A845" s="19" t="str">
        <f>Table1[[#This Row],[Year_Week]]&amp;"-"&amp;Table1[[#This Row],[DC_name_Xref]]</f>
        <v>202243-EAO</v>
      </c>
      <c r="B845" s="19" t="str">
        <f>Table1[[#This Row],[Fiscal_Year]]*100+Table1[[#This Row],[Fiscal_Week]] &amp; "-" &amp;Table1[[#This Row],[BRAND]]</f>
        <v>202243-Gap Factory Store</v>
      </c>
      <c r="C845" t="str">
        <f>Table1[[#This Row],[Fiscal_Year]]&amp;"-"&amp;Table1[[#This Row],[BRAND]]</f>
        <v>2022-Gap Factory Store</v>
      </c>
      <c r="D845">
        <v>2022</v>
      </c>
      <c r="E845">
        <v>43</v>
      </c>
      <c r="F845" t="s">
        <v>22</v>
      </c>
      <c r="G845" t="s">
        <v>8</v>
      </c>
      <c r="H845">
        <v>4</v>
      </c>
      <c r="I845">
        <v>0</v>
      </c>
      <c r="J845" t="str">
        <f>VLOOKUP(H845,DC_Xref!A:B,2,FALSE)</f>
        <v>EAO</v>
      </c>
      <c r="K845">
        <f t="shared" si="13"/>
        <v>202243</v>
      </c>
      <c r="L845">
        <f>IFERROR(Table1[[#This Row],[Demand]]/SUMIFS(Table1[Demand],Table1[Fiscal_Year],Table1[[#This Row],[Fiscal_Year]],Table1[BRAND],Table1[[#This Row],[BRAND]],Table1[DC_name_Xref],Table1[[#This Row],[DC_name_Xref]]),0)</f>
        <v>0</v>
      </c>
      <c r="M8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5" s="3">
        <f>IFERROR(INDEX(Table3[#All],MATCH(Table1[[#This Row],[Key_Year_Week_Brand]],Table3[[#All],[Key_Year_Week_Brand]],0),MATCH(Table1[[#This Row],[DC_name_Xref]],Table3[#Headers],0)),0)</f>
        <v>0</v>
      </c>
      <c r="O845">
        <f>IFERROR(INDEX(Table35[#All],MATCH(Table1[[#This Row],[Key_Year_Week_Brand]],Table35[[#All],[Key_Year_Month_Brand]],0),MATCH(Table1[[#This Row],[DC_name_Xref]],Table35[#Headers],0)),0)</f>
        <v>0</v>
      </c>
    </row>
    <row r="846" spans="1:15" x14ac:dyDescent="0.3">
      <c r="A846" s="19" t="str">
        <f>Table1[[#This Row],[Year_Week]]&amp;"-"&amp;Table1[[#This Row],[DC_name_Xref]]</f>
        <v>202243-FFC-ODC</v>
      </c>
      <c r="B846" s="19" t="str">
        <f>Table1[[#This Row],[Fiscal_Year]]*100+Table1[[#This Row],[Fiscal_Week]] &amp; "-" &amp;Table1[[#This Row],[BRAND]]</f>
        <v>202243-Gap Factory Store</v>
      </c>
      <c r="C846" t="str">
        <f>Table1[[#This Row],[Fiscal_Year]]&amp;"-"&amp;Table1[[#This Row],[BRAND]]</f>
        <v>2022-Gap Factory Store</v>
      </c>
      <c r="D846">
        <v>2022</v>
      </c>
      <c r="E846">
        <v>43</v>
      </c>
      <c r="F846" t="s">
        <v>22</v>
      </c>
      <c r="G846" t="s">
        <v>23</v>
      </c>
      <c r="H846">
        <v>5</v>
      </c>
      <c r="I846">
        <v>0</v>
      </c>
      <c r="J846" t="str">
        <f>VLOOKUP(H846,DC_Xref!A:B,2,FALSE)</f>
        <v>FFC-ODC</v>
      </c>
      <c r="K846">
        <f t="shared" si="13"/>
        <v>202243</v>
      </c>
      <c r="L846">
        <f>IFERROR(Table1[[#This Row],[Demand]]/SUMIFS(Table1[Demand],Table1[Fiscal_Year],Table1[[#This Row],[Fiscal_Year]],Table1[BRAND],Table1[[#This Row],[BRAND]],Table1[DC_name_Xref],Table1[[#This Row],[DC_name_Xref]]),0)</f>
        <v>0</v>
      </c>
      <c r="M8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6" s="3">
        <f>IFERROR(INDEX(Table3[#All],MATCH(Table1[[#This Row],[Key_Year_Week_Brand]],Table3[[#All],[Key_Year_Week_Brand]],0),MATCH(Table1[[#This Row],[DC_name_Xref]],Table3[#Headers],0)),0)</f>
        <v>0</v>
      </c>
      <c r="O846">
        <f>IFERROR(INDEX(Table35[#All],MATCH(Table1[[#This Row],[Key_Year_Week_Brand]],Table35[[#All],[Key_Year_Month_Brand]],0),MATCH(Table1[[#This Row],[DC_name_Xref]],Table35[#Headers],0)),0)</f>
        <v>0</v>
      </c>
    </row>
    <row r="847" spans="1:15" x14ac:dyDescent="0.3">
      <c r="A847" s="19" t="str">
        <f>Table1[[#This Row],[Year_Week]]&amp;"-"&amp;Table1[[#This Row],[DC_name_Xref]]</f>
        <v>202243-WEO</v>
      </c>
      <c r="B847" s="19" t="str">
        <f>Table1[[#This Row],[Fiscal_Year]]*100+Table1[[#This Row],[Fiscal_Week]] &amp; "-" &amp;Table1[[#This Row],[BRAND]]</f>
        <v>202243-Gap Factory Store</v>
      </c>
      <c r="C847" t="str">
        <f>Table1[[#This Row],[Fiscal_Year]]&amp;"-"&amp;Table1[[#This Row],[BRAND]]</f>
        <v>2022-Gap Factory Store</v>
      </c>
      <c r="D847">
        <v>2022</v>
      </c>
      <c r="E847">
        <v>43</v>
      </c>
      <c r="F847" t="s">
        <v>22</v>
      </c>
      <c r="G847" t="s">
        <v>10</v>
      </c>
      <c r="H847">
        <v>6</v>
      </c>
      <c r="I847">
        <v>0</v>
      </c>
      <c r="J847" t="str">
        <f>VLOOKUP(H847,DC_Xref!A:B,2,FALSE)</f>
        <v>WEO</v>
      </c>
      <c r="K847">
        <f t="shared" si="13"/>
        <v>202243</v>
      </c>
      <c r="L847">
        <f>IFERROR(Table1[[#This Row],[Demand]]/SUMIFS(Table1[Demand],Table1[Fiscal_Year],Table1[[#This Row],[Fiscal_Year]],Table1[BRAND],Table1[[#This Row],[BRAND]],Table1[DC_name_Xref],Table1[[#This Row],[DC_name_Xref]]),0)</f>
        <v>0</v>
      </c>
      <c r="M8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7" s="3">
        <f>IFERROR(INDEX(Table3[#All],MATCH(Table1[[#This Row],[Key_Year_Week_Brand]],Table3[[#All],[Key_Year_Week_Brand]],0),MATCH(Table1[[#This Row],[DC_name_Xref]],Table3[#Headers],0)),0)</f>
        <v>0</v>
      </c>
      <c r="O847">
        <f>IFERROR(INDEX(Table35[#All],MATCH(Table1[[#This Row],[Key_Year_Week_Brand]],Table35[[#All],[Key_Year_Month_Brand]],0),MATCH(Table1[[#This Row],[DC_name_Xref]],Table35[#Headers],0)),0)</f>
        <v>0</v>
      </c>
    </row>
    <row r="848" spans="1:15" x14ac:dyDescent="0.3">
      <c r="A848" s="19" t="str">
        <f>Table1[[#This Row],[Year_Week]]&amp;"-"&amp;Table1[[#This Row],[DC_name_Xref]]</f>
        <v>202243-OCC</v>
      </c>
      <c r="B848" s="19" t="str">
        <f>Table1[[#This Row],[Fiscal_Year]]*100+Table1[[#This Row],[Fiscal_Week]] &amp; "-" &amp;Table1[[#This Row],[BRAND]]</f>
        <v>202243-Gap Factory Store</v>
      </c>
      <c r="C848" t="str">
        <f>Table1[[#This Row],[Fiscal_Year]]&amp;"-"&amp;Table1[[#This Row],[BRAND]]</f>
        <v>2022-Gap Factory Store</v>
      </c>
      <c r="D848">
        <v>2022</v>
      </c>
      <c r="E848">
        <v>43</v>
      </c>
      <c r="F848" t="s">
        <v>22</v>
      </c>
      <c r="G848" t="s">
        <v>11</v>
      </c>
      <c r="H848">
        <v>7</v>
      </c>
      <c r="I848">
        <v>0</v>
      </c>
      <c r="J848" t="str">
        <f>VLOOKUP(H848,DC_Xref!A:B,2,FALSE)</f>
        <v>OCC</v>
      </c>
      <c r="K848">
        <f t="shared" si="13"/>
        <v>202243</v>
      </c>
      <c r="L848">
        <f>IFERROR(Table1[[#This Row],[Demand]]/SUMIFS(Table1[Demand],Table1[Fiscal_Year],Table1[[#This Row],[Fiscal_Year]],Table1[BRAND],Table1[[#This Row],[BRAND]],Table1[DC_name_Xref],Table1[[#This Row],[DC_name_Xref]]),0)</f>
        <v>0</v>
      </c>
      <c r="M8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48" s="3">
        <f>IFERROR(INDEX(Table3[#All],MATCH(Table1[[#This Row],[Key_Year_Week_Brand]],Table3[[#All],[Key_Year_Week_Brand]],0),MATCH(Table1[[#This Row],[DC_name_Xref]],Table3[#Headers],0)),0)</f>
        <v>0</v>
      </c>
      <c r="O848">
        <f>IFERROR(INDEX(Table35[#All],MATCH(Table1[[#This Row],[Key_Year_Week_Brand]],Table35[[#All],[Key_Year_Month_Brand]],0),MATCH(Table1[[#This Row],[DC_name_Xref]],Table35[#Headers],0)),0)</f>
        <v>0</v>
      </c>
    </row>
    <row r="849" spans="1:15" x14ac:dyDescent="0.3">
      <c r="A849" s="19" t="str">
        <f>Table1[[#This Row],[Year_Week]]&amp;"-"&amp;Table1[[#This Row],[DC_name_Xref]]</f>
        <v>202243-OFC</v>
      </c>
      <c r="B849" s="19" t="str">
        <f>Table1[[#This Row],[Fiscal_Year]]*100+Table1[[#This Row],[Fiscal_Week]] &amp; "-" &amp;Table1[[#This Row],[BRAND]]</f>
        <v>202243-Old Navy</v>
      </c>
      <c r="C849" t="str">
        <f>Table1[[#This Row],[Fiscal_Year]]&amp;"-"&amp;Table1[[#This Row],[BRAND]]</f>
        <v>2022-Old Navy</v>
      </c>
      <c r="D849">
        <v>2022</v>
      </c>
      <c r="E849">
        <v>43</v>
      </c>
      <c r="F849" t="s">
        <v>20</v>
      </c>
      <c r="G849" t="s">
        <v>5</v>
      </c>
      <c r="H849">
        <v>1</v>
      </c>
      <c r="I849">
        <v>3700850</v>
      </c>
      <c r="J849" t="str">
        <f>VLOOKUP(H849,DC_Xref!A:B,2,FALSE)</f>
        <v>OFC</v>
      </c>
      <c r="K849">
        <f t="shared" si="13"/>
        <v>202243</v>
      </c>
      <c r="L849">
        <f>IFERROR(Table1[[#This Row],[Demand]]/SUMIFS(Table1[Demand],Table1[Fiscal_Year],Table1[[#This Row],[Fiscal_Year]],Table1[BRAND],Table1[[#This Row],[BRAND]],Table1[DC_name_Xref],Table1[[#This Row],[DC_name_Xref]]),0)</f>
        <v>0.34276298539488942</v>
      </c>
      <c r="M8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0.29585489279144922</v>
      </c>
      <c r="N849" s="3">
        <f>IFERROR(INDEX(Table3[#All],MATCH(Table1[[#This Row],[Key_Year_Week_Brand]],Table3[[#All],[Key_Year_Week_Brand]],0),MATCH(Table1[[#This Row],[DC_name_Xref]],Table3[#Headers],0)),0)</f>
        <v>0.09</v>
      </c>
      <c r="O849">
        <f>IFERROR(INDEX(Table35[#All],MATCH(Table1[[#This Row],[Key_Year_Week_Brand]],Table35[[#All],[Key_Year_Month_Brand]],0),MATCH(Table1[[#This Row],[DC_name_Xref]],Table35[#Headers],0)),0)</f>
        <v>1190982.3299999998</v>
      </c>
    </row>
    <row r="850" spans="1:15" x14ac:dyDescent="0.3">
      <c r="A850" s="19" t="str">
        <f>Table1[[#This Row],[Year_Week]]&amp;"-"&amp;Table1[[#This Row],[DC_name_Xref]]</f>
        <v>202243-TFC</v>
      </c>
      <c r="B850" s="19" t="str">
        <f>Table1[[#This Row],[Fiscal_Year]]*100+Table1[[#This Row],[Fiscal_Week]] &amp; "-" &amp;Table1[[#This Row],[BRAND]]</f>
        <v>202243-Old Navy</v>
      </c>
      <c r="C850" t="str">
        <f>Table1[[#This Row],[Fiscal_Year]]&amp;"-"&amp;Table1[[#This Row],[BRAND]]</f>
        <v>2022-Old Navy</v>
      </c>
      <c r="D850">
        <v>2022</v>
      </c>
      <c r="E850">
        <v>43</v>
      </c>
      <c r="F850" t="s">
        <v>20</v>
      </c>
      <c r="G850" t="s">
        <v>21</v>
      </c>
      <c r="H850">
        <v>2</v>
      </c>
      <c r="I850">
        <v>2433296</v>
      </c>
      <c r="J850" t="str">
        <f>VLOOKUP(H850,DC_Xref!A:B,2,FALSE)</f>
        <v>TFC</v>
      </c>
      <c r="K850">
        <f t="shared" si="13"/>
        <v>202243</v>
      </c>
      <c r="L850">
        <f>IFERROR(Table1[[#This Row],[Demand]]/SUMIFS(Table1[Demand],Table1[Fiscal_Year],Table1[[#This Row],[Fiscal_Year]],Table1[BRAND],Table1[[#This Row],[BRAND]],Table1[DC_name_Xref],Table1[[#This Row],[DC_name_Xref]]),0)</f>
        <v>0.39204823749593981</v>
      </c>
      <c r="M8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0.1700695749184051</v>
      </c>
      <c r="N850" s="3">
        <f>IFERROR(INDEX(Table3[#All],MATCH(Table1[[#This Row],[Key_Year_Week_Brand]],Table3[[#All],[Key_Year_Week_Brand]],0),MATCH(Table1[[#This Row],[DC_name_Xref]],Table3[#Headers],0)),0)</f>
        <v>0.11</v>
      </c>
      <c r="O850">
        <f>IFERROR(INDEX(Table35[#All],MATCH(Table1[[#This Row],[Key_Year_Week_Brand]],Table35[[#All],[Key_Year_Month_Brand]],0),MATCH(Table1[[#This Row],[DC_name_Xref]],Table35[#Headers],0)),0)</f>
        <v>1455645.07</v>
      </c>
    </row>
    <row r="851" spans="1:15" x14ac:dyDescent="0.3">
      <c r="A851" s="19" t="str">
        <f>Table1[[#This Row],[Year_Week]]&amp;"-"&amp;Table1[[#This Row],[DC_name_Xref]]</f>
        <v>202243-WFC</v>
      </c>
      <c r="B851" s="19" t="str">
        <f>Table1[[#This Row],[Fiscal_Year]]*100+Table1[[#This Row],[Fiscal_Week]] &amp; "-" &amp;Table1[[#This Row],[BRAND]]</f>
        <v>202243-Old Navy</v>
      </c>
      <c r="C851" t="str">
        <f>Table1[[#This Row],[Fiscal_Year]]&amp;"-"&amp;Table1[[#This Row],[BRAND]]</f>
        <v>2022-Old Navy</v>
      </c>
      <c r="D851">
        <v>2022</v>
      </c>
      <c r="E851">
        <v>43</v>
      </c>
      <c r="F851" t="s">
        <v>20</v>
      </c>
      <c r="G851" t="s">
        <v>7</v>
      </c>
      <c r="H851">
        <v>3</v>
      </c>
      <c r="I851">
        <v>2692437</v>
      </c>
      <c r="J851" t="str">
        <f>VLOOKUP(H851,DC_Xref!A:B,2,FALSE)</f>
        <v>WFC</v>
      </c>
      <c r="K851">
        <f t="shared" si="13"/>
        <v>202243</v>
      </c>
      <c r="L851">
        <f>IFERROR(Table1[[#This Row],[Demand]]/SUMIFS(Table1[Demand],Table1[Fiscal_Year],Table1[[#This Row],[Fiscal_Year]],Table1[BRAND],Table1[[#This Row],[BRAND]],Table1[DC_name_Xref],Table1[[#This Row],[DC_name_Xref]]),0)</f>
        <v>0.36580786872835419</v>
      </c>
      <c r="M8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0.20168040124931302</v>
      </c>
      <c r="N851" s="3">
        <f>IFERROR(INDEX(Table3[#All],MATCH(Table1[[#This Row],[Key_Year_Week_Brand]],Table3[[#All],[Key_Year_Week_Brand]],0),MATCH(Table1[[#This Row],[DC_name_Xref]],Table3[#Headers],0)),0)</f>
        <v>0</v>
      </c>
      <c r="O851">
        <f>IFERROR(INDEX(Table35[#All],MATCH(Table1[[#This Row],[Key_Year_Week_Brand]],Table35[[#All],[Key_Year_Month_Brand]],0),MATCH(Table1[[#This Row],[DC_name_Xref]],Table35[#Headers],0)),0)</f>
        <v>0</v>
      </c>
    </row>
    <row r="852" spans="1:15" x14ac:dyDescent="0.3">
      <c r="A852" s="19" t="str">
        <f>Table1[[#This Row],[Year_Week]]&amp;"-"&amp;Table1[[#This Row],[DC_name_Xref]]</f>
        <v>202243-EAO</v>
      </c>
      <c r="B852" s="19" t="str">
        <f>Table1[[#This Row],[Fiscal_Year]]*100+Table1[[#This Row],[Fiscal_Week]] &amp; "-" &amp;Table1[[#This Row],[BRAND]]</f>
        <v>202243-Old Navy</v>
      </c>
      <c r="C852" t="str">
        <f>Table1[[#This Row],[Fiscal_Year]]&amp;"-"&amp;Table1[[#This Row],[BRAND]]</f>
        <v>2022-Old Navy</v>
      </c>
      <c r="D852">
        <v>2022</v>
      </c>
      <c r="E852">
        <v>43</v>
      </c>
      <c r="F852" t="s">
        <v>20</v>
      </c>
      <c r="G852" t="s">
        <v>8</v>
      </c>
      <c r="H852">
        <v>4</v>
      </c>
      <c r="I852">
        <v>4406554</v>
      </c>
      <c r="J852" t="str">
        <f>VLOOKUP(H852,DC_Xref!A:B,2,FALSE)</f>
        <v>EAO</v>
      </c>
      <c r="K852">
        <f t="shared" si="13"/>
        <v>202243</v>
      </c>
      <c r="L852">
        <f>IFERROR(Table1[[#This Row],[Demand]]/SUMIFS(Table1[Demand],Table1[Fiscal_Year],Table1[[#This Row],[Fiscal_Year]],Table1[BRAND],Table1[[#This Row],[BRAND]],Table1[DC_name_Xref],Table1[[#This Row],[DC_name_Xref]]),0)</f>
        <v>0.36325837241964209</v>
      </c>
      <c r="M8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0.33239513104083268</v>
      </c>
      <c r="N852" s="3">
        <f>IFERROR(INDEX(Table3[#All],MATCH(Table1[[#This Row],[Key_Year_Week_Brand]],Table3[[#All],[Key_Year_Week_Brand]],0),MATCH(Table1[[#This Row],[DC_name_Xref]],Table3[#Headers],0)),0)</f>
        <v>0.21</v>
      </c>
      <c r="O852">
        <f>IFERROR(INDEX(Table35[#All],MATCH(Table1[[#This Row],[Key_Year_Week_Brand]],Table35[[#All],[Key_Year_Month_Brand]],0),MATCH(Table1[[#This Row],[DC_name_Xref]],Table35[#Headers],0)),0)</f>
        <v>2778958.77</v>
      </c>
    </row>
    <row r="853" spans="1:15" x14ac:dyDescent="0.3">
      <c r="A853" s="19" t="str">
        <f>Table1[[#This Row],[Year_Week]]&amp;"-"&amp;Table1[[#This Row],[DC_name_Xref]]</f>
        <v>202243-FFC-ODC</v>
      </c>
      <c r="B853" s="19" t="str">
        <f>Table1[[#This Row],[Fiscal_Year]]*100+Table1[[#This Row],[Fiscal_Week]] &amp; "-" &amp;Table1[[#This Row],[BRAND]]</f>
        <v>202243-Old Navy</v>
      </c>
      <c r="C853" t="str">
        <f>Table1[[#This Row],[Fiscal_Year]]&amp;"-"&amp;Table1[[#This Row],[BRAND]]</f>
        <v>2022-Old Navy</v>
      </c>
      <c r="D853">
        <v>2022</v>
      </c>
      <c r="E853">
        <v>43</v>
      </c>
      <c r="F853" t="s">
        <v>20</v>
      </c>
      <c r="G853" t="s">
        <v>23</v>
      </c>
      <c r="H853">
        <v>5</v>
      </c>
      <c r="I853">
        <v>0</v>
      </c>
      <c r="J853" t="str">
        <f>VLOOKUP(H853,DC_Xref!A:B,2,FALSE)</f>
        <v>FFC-ODC</v>
      </c>
      <c r="K853">
        <f t="shared" si="13"/>
        <v>202243</v>
      </c>
      <c r="L853">
        <f>IFERROR(Table1[[#This Row],[Demand]]/SUMIFS(Table1[Demand],Table1[Fiscal_Year],Table1[[#This Row],[Fiscal_Year]],Table1[BRAND],Table1[[#This Row],[BRAND]],Table1[DC_name_Xref],Table1[[#This Row],[DC_name_Xref]]),0)</f>
        <v>0</v>
      </c>
      <c r="M8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53" s="3">
        <f>IFERROR(INDEX(Table3[#All],MATCH(Table1[[#This Row],[Key_Year_Week_Brand]],Table3[[#All],[Key_Year_Week_Brand]],0),MATCH(Table1[[#This Row],[DC_name_Xref]],Table3[#Headers],0)),0)</f>
        <v>0</v>
      </c>
      <c r="O853">
        <f>IFERROR(INDEX(Table35[#All],MATCH(Table1[[#This Row],[Key_Year_Week_Brand]],Table35[[#All],[Key_Year_Month_Brand]],0),MATCH(Table1[[#This Row],[DC_name_Xref]],Table35[#Headers],0)),0)</f>
        <v>0</v>
      </c>
    </row>
    <row r="854" spans="1:15" x14ac:dyDescent="0.3">
      <c r="A854" s="19" t="str">
        <f>Table1[[#This Row],[Year_Week]]&amp;"-"&amp;Table1[[#This Row],[DC_name_Xref]]</f>
        <v>202243-WEO</v>
      </c>
      <c r="B854" s="19" t="str">
        <f>Table1[[#This Row],[Fiscal_Year]]*100+Table1[[#This Row],[Fiscal_Week]] &amp; "-" &amp;Table1[[#This Row],[BRAND]]</f>
        <v>202243-Old Navy</v>
      </c>
      <c r="C854" t="str">
        <f>Table1[[#This Row],[Fiscal_Year]]&amp;"-"&amp;Table1[[#This Row],[BRAND]]</f>
        <v>2022-Old Navy</v>
      </c>
      <c r="D854">
        <v>2022</v>
      </c>
      <c r="E854">
        <v>43</v>
      </c>
      <c r="F854" t="s">
        <v>20</v>
      </c>
      <c r="G854" t="s">
        <v>10</v>
      </c>
      <c r="H854">
        <v>6</v>
      </c>
      <c r="I854">
        <v>0</v>
      </c>
      <c r="J854" t="str">
        <f>VLOOKUP(H854,DC_Xref!A:B,2,FALSE)</f>
        <v>WEO</v>
      </c>
      <c r="K854">
        <f t="shared" si="13"/>
        <v>202243</v>
      </c>
      <c r="L854">
        <f>IFERROR(Table1[[#This Row],[Demand]]/SUMIFS(Table1[Demand],Table1[Fiscal_Year],Table1[[#This Row],[Fiscal_Year]],Table1[BRAND],Table1[[#This Row],[BRAND]],Table1[DC_name_Xref],Table1[[#This Row],[DC_name_Xref]]),0)</f>
        <v>0</v>
      </c>
      <c r="M8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54" s="3">
        <f>IFERROR(INDEX(Table3[#All],MATCH(Table1[[#This Row],[Key_Year_Week_Brand]],Table3[[#All],[Key_Year_Week_Brand]],0),MATCH(Table1[[#This Row],[DC_name_Xref]],Table3[#Headers],0)),0)</f>
        <v>0.14000000000000001</v>
      </c>
      <c r="O854">
        <f>IFERROR(INDEX(Table35[#All],MATCH(Table1[[#This Row],[Key_Year_Week_Brand]],Table35[[#All],[Key_Year_Month_Brand]],0),MATCH(Table1[[#This Row],[DC_name_Xref]],Table35[#Headers],0)),0)</f>
        <v>1852639.1800000002</v>
      </c>
    </row>
    <row r="855" spans="1:15" x14ac:dyDescent="0.3">
      <c r="A855" s="19" t="str">
        <f>Table1[[#This Row],[Year_Week]]&amp;"-"&amp;Table1[[#This Row],[DC_name_Xref]]</f>
        <v>202243-OCC</v>
      </c>
      <c r="B855" s="19" t="str">
        <f>Table1[[#This Row],[Fiscal_Year]]*100+Table1[[#This Row],[Fiscal_Week]] &amp; "-" &amp;Table1[[#This Row],[BRAND]]</f>
        <v>202243-Old Navy</v>
      </c>
      <c r="C855" t="str">
        <f>Table1[[#This Row],[Fiscal_Year]]&amp;"-"&amp;Table1[[#This Row],[BRAND]]</f>
        <v>2022-Old Navy</v>
      </c>
      <c r="D855">
        <v>2022</v>
      </c>
      <c r="E855">
        <v>43</v>
      </c>
      <c r="F855" t="s">
        <v>20</v>
      </c>
      <c r="G855" t="s">
        <v>11</v>
      </c>
      <c r="H855">
        <v>7</v>
      </c>
      <c r="I855">
        <v>0</v>
      </c>
      <c r="J855" t="str">
        <f>VLOOKUP(H855,DC_Xref!A:B,2,FALSE)</f>
        <v>OCC</v>
      </c>
      <c r="K855">
        <f t="shared" si="13"/>
        <v>202243</v>
      </c>
      <c r="L855">
        <f>IFERROR(Table1[[#This Row],[Demand]]/SUMIFS(Table1[Demand],Table1[Fiscal_Year],Table1[[#This Row],[Fiscal_Year]],Table1[BRAND],Table1[[#This Row],[BRAND]],Table1[DC_name_Xref],Table1[[#This Row],[DC_name_Xref]]),0)</f>
        <v>0</v>
      </c>
      <c r="M8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55" s="3">
        <f>IFERROR(INDEX(Table3[#All],MATCH(Table1[[#This Row],[Key_Year_Week_Brand]],Table3[[#All],[Key_Year_Week_Brand]],0),MATCH(Table1[[#This Row],[DC_name_Xref]],Table3[#Headers],0)),0)</f>
        <v>0.45</v>
      </c>
      <c r="O855">
        <f>IFERROR(INDEX(Table35[#All],MATCH(Table1[[#This Row],[Key_Year_Week_Brand]],Table35[[#All],[Key_Year_Month_Brand]],0),MATCH(Table1[[#This Row],[DC_name_Xref]],Table35[#Headers],0)),0)</f>
        <v>5954911.6500000004</v>
      </c>
    </row>
    <row r="856" spans="1:15" x14ac:dyDescent="0.3">
      <c r="A856" s="19" t="str">
        <f>Table1[[#This Row],[Year_Week]]&amp;"-"&amp;Table1[[#This Row],[DC_name_Xref]]</f>
        <v>202243-OFC</v>
      </c>
      <c r="B856" s="19" t="str">
        <f>Table1[[#This Row],[Fiscal_Year]]*100+Table1[[#This Row],[Fiscal_Week]] &amp; "-" &amp;Table1[[#This Row],[BRAND]]</f>
        <v>202243-Banana Republic</v>
      </c>
      <c r="C856" t="str">
        <f>Table1[[#This Row],[Fiscal_Year]]&amp;"-"&amp;Table1[[#This Row],[BRAND]]</f>
        <v>2022-Banana Republic</v>
      </c>
      <c r="D856">
        <v>2022</v>
      </c>
      <c r="E856">
        <v>43</v>
      </c>
      <c r="F856" t="s">
        <v>18</v>
      </c>
      <c r="G856" t="s">
        <v>5</v>
      </c>
      <c r="H856">
        <v>1</v>
      </c>
      <c r="I856">
        <v>14197</v>
      </c>
      <c r="J856" t="str">
        <f>VLOOKUP(H856,DC_Xref!A:B,2,FALSE)</f>
        <v>OFC</v>
      </c>
      <c r="K856">
        <f t="shared" si="13"/>
        <v>202243</v>
      </c>
      <c r="L856">
        <f>IFERROR(Table1[[#This Row],[Demand]]/SUMIFS(Table1[Demand],Table1[Fiscal_Year],Table1[[#This Row],[Fiscal_Year]],Table1[BRAND],Table1[[#This Row],[BRAND]],Table1[DC_name_Xref],Table1[[#This Row],[DC_name_Xref]]),0)</f>
        <v>0.21020136215575955</v>
      </c>
      <c r="M8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2.1329483036365917E-2</v>
      </c>
      <c r="N856" s="3">
        <f>IFERROR(INDEX(Table3[#All],MATCH(Table1[[#This Row],[Key_Year_Week_Brand]],Table3[[#All],[Key_Year_Week_Brand]],0),MATCH(Table1[[#This Row],[DC_name_Xref]],Table3[#Headers],0)),0)</f>
        <v>0</v>
      </c>
      <c r="O856">
        <f>IFERROR(INDEX(Table35[#All],MATCH(Table1[[#This Row],[Key_Year_Week_Brand]],Table35[[#All],[Key_Year_Month_Brand]],0),MATCH(Table1[[#This Row],[DC_name_Xref]],Table35[#Headers],0)),0)</f>
        <v>0</v>
      </c>
    </row>
    <row r="857" spans="1:15" x14ac:dyDescent="0.3">
      <c r="A857" s="19" t="str">
        <f>Table1[[#This Row],[Year_Week]]&amp;"-"&amp;Table1[[#This Row],[DC_name_Xref]]</f>
        <v>202243-TFC</v>
      </c>
      <c r="B857" s="19" t="str">
        <f>Table1[[#This Row],[Fiscal_Year]]*100+Table1[[#This Row],[Fiscal_Week]] &amp; "-" &amp;Table1[[#This Row],[BRAND]]</f>
        <v>202243-Banana Republic</v>
      </c>
      <c r="C857" t="str">
        <f>Table1[[#This Row],[Fiscal_Year]]&amp;"-"&amp;Table1[[#This Row],[BRAND]]</f>
        <v>2022-Banana Republic</v>
      </c>
      <c r="D857">
        <v>2022</v>
      </c>
      <c r="E857">
        <v>43</v>
      </c>
      <c r="F857" t="s">
        <v>18</v>
      </c>
      <c r="G857" t="s">
        <v>21</v>
      </c>
      <c r="H857">
        <v>2</v>
      </c>
      <c r="I857">
        <v>1083702</v>
      </c>
      <c r="J857" t="str">
        <f>VLOOKUP(H857,DC_Xref!A:B,2,FALSE)</f>
        <v>TFC</v>
      </c>
      <c r="K857">
        <f t="shared" si="13"/>
        <v>202243</v>
      </c>
      <c r="L857">
        <f>IFERROR(Table1[[#This Row],[Demand]]/SUMIFS(Table1[Demand],Table1[Fiscal_Year],Table1[[#This Row],[Fiscal_Year]],Table1[BRAND],Table1[[#This Row],[BRAND]],Table1[DC_name_Xref],Table1[[#This Row],[DC_name_Xref]]),0)</f>
        <v>0.34971373029657038</v>
      </c>
      <c r="M8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0.97862535682039753</v>
      </c>
      <c r="N857" s="3">
        <f>IFERROR(INDEX(Table3[#All],MATCH(Table1[[#This Row],[Key_Year_Week_Brand]],Table3[[#All],[Key_Year_Week_Brand]],0),MATCH(Table1[[#This Row],[DC_name_Xref]],Table3[#Headers],0)),0)</f>
        <v>1</v>
      </c>
      <c r="O857">
        <f>IFERROR(INDEX(Table35[#All],MATCH(Table1[[#This Row],[Key_Year_Week_Brand]],Table35[[#All],[Key_Year_Month_Brand]],0),MATCH(Table1[[#This Row],[DC_name_Xref]],Table35[#Headers],0)),0)</f>
        <v>1097919</v>
      </c>
    </row>
    <row r="858" spans="1:15" x14ac:dyDescent="0.3">
      <c r="A858" s="19" t="str">
        <f>Table1[[#This Row],[Year_Week]]&amp;"-"&amp;Table1[[#This Row],[DC_name_Xref]]</f>
        <v>202243-WFC</v>
      </c>
      <c r="B858" s="19" t="str">
        <f>Table1[[#This Row],[Fiscal_Year]]*100+Table1[[#This Row],[Fiscal_Week]] &amp; "-" &amp;Table1[[#This Row],[BRAND]]</f>
        <v>202243-Banana Republic</v>
      </c>
      <c r="C858" t="str">
        <f>Table1[[#This Row],[Fiscal_Year]]&amp;"-"&amp;Table1[[#This Row],[BRAND]]</f>
        <v>2022-Banana Republic</v>
      </c>
      <c r="D858">
        <v>2022</v>
      </c>
      <c r="E858">
        <v>43</v>
      </c>
      <c r="F858" t="s">
        <v>18</v>
      </c>
      <c r="G858" t="s">
        <v>7</v>
      </c>
      <c r="H858">
        <v>3</v>
      </c>
      <c r="I858">
        <v>2</v>
      </c>
      <c r="J858" t="str">
        <f>VLOOKUP(H858,DC_Xref!A:B,2,FALSE)</f>
        <v>WFC</v>
      </c>
      <c r="K858">
        <f t="shared" si="13"/>
        <v>202243</v>
      </c>
      <c r="L858">
        <f>IFERROR(Table1[[#This Row],[Demand]]/SUMIFS(Table1[Demand],Table1[Fiscal_Year],Table1[[#This Row],[Fiscal_Year]],Table1[BRAND],Table1[[#This Row],[BRAND]],Table1[DC_name_Xref],Table1[[#This Row],[DC_name_Xref]]),0)</f>
        <v>0.2</v>
      </c>
      <c r="M8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3.1580519745877874E-6</v>
      </c>
      <c r="N858" s="3">
        <f>IFERROR(INDEX(Table3[#All],MATCH(Table1[[#This Row],[Key_Year_Week_Brand]],Table3[[#All],[Key_Year_Week_Brand]],0),MATCH(Table1[[#This Row],[DC_name_Xref]],Table3[#Headers],0)),0)</f>
        <v>3.4959629396853166E-6</v>
      </c>
      <c r="O858">
        <f>IFERROR(INDEX(Table35[#All],MATCH(Table1[[#This Row],[Key_Year_Week_Brand]],Table35[[#All],[Key_Year_Month_Brand]],0),MATCH(Table1[[#This Row],[DC_name_Xref]],Table35[#Headers],0)),0)</f>
        <v>3.8382841347763632</v>
      </c>
    </row>
    <row r="859" spans="1:15" x14ac:dyDescent="0.3">
      <c r="A859" s="19" t="str">
        <f>Table1[[#This Row],[Year_Week]]&amp;"-"&amp;Table1[[#This Row],[DC_name_Xref]]</f>
        <v>202243-EAO</v>
      </c>
      <c r="B859" s="19" t="str">
        <f>Table1[[#This Row],[Fiscal_Year]]*100+Table1[[#This Row],[Fiscal_Week]] &amp; "-" &amp;Table1[[#This Row],[BRAND]]</f>
        <v>202243-Banana Republic</v>
      </c>
      <c r="C859" t="str">
        <f>Table1[[#This Row],[Fiscal_Year]]&amp;"-"&amp;Table1[[#This Row],[BRAND]]</f>
        <v>2022-Banana Republic</v>
      </c>
      <c r="D859">
        <v>2022</v>
      </c>
      <c r="E859">
        <v>43</v>
      </c>
      <c r="F859" t="s">
        <v>18</v>
      </c>
      <c r="G859" t="s">
        <v>8</v>
      </c>
      <c r="H859">
        <v>4</v>
      </c>
      <c r="I859">
        <v>18</v>
      </c>
      <c r="J859" t="str">
        <f>VLOOKUP(H859,DC_Xref!A:B,2,FALSE)</f>
        <v>EAO</v>
      </c>
      <c r="K859">
        <f t="shared" si="13"/>
        <v>202243</v>
      </c>
      <c r="L859">
        <f>IFERROR(Table1[[#This Row],[Demand]]/SUMIFS(Table1[Demand],Table1[Fiscal_Year],Table1[[#This Row],[Fiscal_Year]],Table1[BRAND],Table1[[#This Row],[BRAND]],Table1[DC_name_Xref],Table1[[#This Row],[DC_name_Xref]]),0)</f>
        <v>0.13533834586466165</v>
      </c>
      <c r="M8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4.2002091262017571E-5</v>
      </c>
      <c r="N859" s="3">
        <f>IFERROR(INDEX(Table3[#All],MATCH(Table1[[#This Row],[Key_Year_Week_Brand]],Table3[[#All],[Key_Year_Week_Brand]],0),MATCH(Table1[[#This Row],[DC_name_Xref]],Table3[#Headers],0)),0)</f>
        <v>4.2339995602855504E-5</v>
      </c>
      <c r="O859">
        <f>IFERROR(INDEX(Table35[#All],MATCH(Table1[[#This Row],[Key_Year_Week_Brand]],Table35[[#All],[Key_Year_Month_Brand]],0),MATCH(Table1[[#This Row],[DC_name_Xref]],Table35[#Headers],0)),0)</f>
        <v>46.485885632291513</v>
      </c>
    </row>
    <row r="860" spans="1:15" x14ac:dyDescent="0.3">
      <c r="A860" s="19" t="str">
        <f>Table1[[#This Row],[Year_Week]]&amp;"-"&amp;Table1[[#This Row],[DC_name_Xref]]</f>
        <v>202243-FFC-ODC</v>
      </c>
      <c r="B860" s="19" t="str">
        <f>Table1[[#This Row],[Fiscal_Year]]*100+Table1[[#This Row],[Fiscal_Week]] &amp; "-" &amp;Table1[[#This Row],[BRAND]]</f>
        <v>202243-Banana Republic</v>
      </c>
      <c r="C860" t="str">
        <f>Table1[[#This Row],[Fiscal_Year]]&amp;"-"&amp;Table1[[#This Row],[BRAND]]</f>
        <v>2022-Banana Republic</v>
      </c>
      <c r="D860">
        <v>2022</v>
      </c>
      <c r="E860">
        <v>43</v>
      </c>
      <c r="F860" t="s">
        <v>18</v>
      </c>
      <c r="G860" t="s">
        <v>23</v>
      </c>
      <c r="H860">
        <v>5</v>
      </c>
      <c r="I860">
        <v>0</v>
      </c>
      <c r="J860" t="str">
        <f>VLOOKUP(H860,DC_Xref!A:B,2,FALSE)</f>
        <v>FFC-ODC</v>
      </c>
      <c r="K860">
        <f t="shared" si="13"/>
        <v>202243</v>
      </c>
      <c r="L860">
        <f>IFERROR(Table1[[#This Row],[Demand]]/SUMIFS(Table1[Demand],Table1[Fiscal_Year],Table1[[#This Row],[Fiscal_Year]],Table1[BRAND],Table1[[#This Row],[BRAND]],Table1[DC_name_Xref],Table1[[#This Row],[DC_name_Xref]]),0)</f>
        <v>0</v>
      </c>
      <c r="M8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0" s="3">
        <f>IFERROR(INDEX(Table3[#All],MATCH(Table1[[#This Row],[Key_Year_Week_Brand]],Table3[[#All],[Key_Year_Week_Brand]],0),MATCH(Table1[[#This Row],[DC_name_Xref]],Table3[#Headers],0)),0)</f>
        <v>0</v>
      </c>
      <c r="O860">
        <f>IFERROR(INDEX(Table35[#All],MATCH(Table1[[#This Row],[Key_Year_Week_Brand]],Table35[[#All],[Key_Year_Month_Brand]],0),MATCH(Table1[[#This Row],[DC_name_Xref]],Table35[#Headers],0)),0)</f>
        <v>0</v>
      </c>
    </row>
    <row r="861" spans="1:15" x14ac:dyDescent="0.3">
      <c r="A861" s="19" t="str">
        <f>Table1[[#This Row],[Year_Week]]&amp;"-"&amp;Table1[[#This Row],[DC_name_Xref]]</f>
        <v>202243-WEO</v>
      </c>
      <c r="B861" s="19" t="str">
        <f>Table1[[#This Row],[Fiscal_Year]]*100+Table1[[#This Row],[Fiscal_Week]] &amp; "-" &amp;Table1[[#This Row],[BRAND]]</f>
        <v>202243-Banana Republic</v>
      </c>
      <c r="C861" t="str">
        <f>Table1[[#This Row],[Fiscal_Year]]&amp;"-"&amp;Table1[[#This Row],[BRAND]]</f>
        <v>2022-Banana Republic</v>
      </c>
      <c r="D861">
        <v>2022</v>
      </c>
      <c r="E861">
        <v>43</v>
      </c>
      <c r="F861" t="s">
        <v>18</v>
      </c>
      <c r="G861" t="s">
        <v>10</v>
      </c>
      <c r="H861">
        <v>6</v>
      </c>
      <c r="I861">
        <v>0</v>
      </c>
      <c r="J861" t="str">
        <f>VLOOKUP(H861,DC_Xref!A:B,2,FALSE)</f>
        <v>WEO</v>
      </c>
      <c r="K861">
        <f t="shared" si="13"/>
        <v>202243</v>
      </c>
      <c r="L861">
        <f>IFERROR(Table1[[#This Row],[Demand]]/SUMIFS(Table1[Demand],Table1[Fiscal_Year],Table1[[#This Row],[Fiscal_Year]],Table1[BRAND],Table1[[#This Row],[BRAND]],Table1[DC_name_Xref],Table1[[#This Row],[DC_name_Xref]]),0)</f>
        <v>0</v>
      </c>
      <c r="M8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1" s="3">
        <f>IFERROR(INDEX(Table3[#All],MATCH(Table1[[#This Row],[Key_Year_Week_Brand]],Table3[[#All],[Key_Year_Week_Brand]],0),MATCH(Table1[[#This Row],[DC_name_Xref]],Table3[#Headers],0)),0)</f>
        <v>0</v>
      </c>
      <c r="O861">
        <f>IFERROR(INDEX(Table35[#All],MATCH(Table1[[#This Row],[Key_Year_Week_Brand]],Table35[[#All],[Key_Year_Month_Brand]],0),MATCH(Table1[[#This Row],[DC_name_Xref]],Table35[#Headers],0)),0)</f>
        <v>0</v>
      </c>
    </row>
    <row r="862" spans="1:15" x14ac:dyDescent="0.3">
      <c r="A862" s="19" t="str">
        <f>Table1[[#This Row],[Year_Week]]&amp;"-"&amp;Table1[[#This Row],[DC_name_Xref]]</f>
        <v>202243-OCC</v>
      </c>
      <c r="B862" s="19" t="str">
        <f>Table1[[#This Row],[Fiscal_Year]]*100+Table1[[#This Row],[Fiscal_Week]] &amp; "-" &amp;Table1[[#This Row],[BRAND]]</f>
        <v>202243-Banana Republic</v>
      </c>
      <c r="C862" t="str">
        <f>Table1[[#This Row],[Fiscal_Year]]&amp;"-"&amp;Table1[[#This Row],[BRAND]]</f>
        <v>2022-Banana Republic</v>
      </c>
      <c r="D862">
        <v>2022</v>
      </c>
      <c r="E862">
        <v>43</v>
      </c>
      <c r="F862" t="s">
        <v>18</v>
      </c>
      <c r="G862" t="s">
        <v>11</v>
      </c>
      <c r="H862">
        <v>7</v>
      </c>
      <c r="I862">
        <v>0</v>
      </c>
      <c r="J862" t="str">
        <f>VLOOKUP(H862,DC_Xref!A:B,2,FALSE)</f>
        <v>OCC</v>
      </c>
      <c r="K862">
        <f t="shared" si="13"/>
        <v>202243</v>
      </c>
      <c r="L862">
        <f>IFERROR(Table1[[#This Row],[Demand]]/SUMIFS(Table1[Demand],Table1[Fiscal_Year],Table1[[#This Row],[Fiscal_Year]],Table1[BRAND],Table1[[#This Row],[BRAND]],Table1[DC_name_Xref],Table1[[#This Row],[DC_name_Xref]]),0)</f>
        <v>0</v>
      </c>
      <c r="M8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2" s="3">
        <f>IFERROR(INDEX(Table3[#All],MATCH(Table1[[#This Row],[Key_Year_Week_Brand]],Table3[[#All],[Key_Year_Week_Brand]],0),MATCH(Table1[[#This Row],[DC_name_Xref]],Table3[#Headers],0)),0)</f>
        <v>0</v>
      </c>
      <c r="O862">
        <f>IFERROR(INDEX(Table35[#All],MATCH(Table1[[#This Row],[Key_Year_Week_Brand]],Table35[[#All],[Key_Year_Month_Brand]],0),MATCH(Table1[[#This Row],[DC_name_Xref]],Table35[#Headers],0)),0)</f>
        <v>0</v>
      </c>
    </row>
    <row r="863" spans="1:15" x14ac:dyDescent="0.3">
      <c r="A863" s="19" t="str">
        <f>Table1[[#This Row],[Year_Week]]&amp;"-"&amp;Table1[[#This Row],[DC_name_Xref]]</f>
        <v>202243-OFC</v>
      </c>
      <c r="B863" s="19" t="str">
        <f>Table1[[#This Row],[Fiscal_Year]]*100+Table1[[#This Row],[Fiscal_Week]] &amp; "-" &amp;Table1[[#This Row],[BRAND]]</f>
        <v>202243-Athleta</v>
      </c>
      <c r="C863" t="str">
        <f>Table1[[#This Row],[Fiscal_Year]]&amp;"-"&amp;Table1[[#This Row],[BRAND]]</f>
        <v>2022-Athleta</v>
      </c>
      <c r="D863">
        <v>2022</v>
      </c>
      <c r="E863">
        <v>43</v>
      </c>
      <c r="F863" t="s">
        <v>19</v>
      </c>
      <c r="G863" t="s">
        <v>5</v>
      </c>
      <c r="H863">
        <v>1</v>
      </c>
      <c r="I863">
        <v>69467</v>
      </c>
      <c r="J863" t="str">
        <f>VLOOKUP(H863,DC_Xref!A:B,2,FALSE)</f>
        <v>OFC</v>
      </c>
      <c r="K863">
        <f t="shared" si="13"/>
        <v>202243</v>
      </c>
      <c r="L863">
        <f>IFERROR(Table1[[#This Row],[Demand]]/SUMIFS(Table1[Demand],Table1[Fiscal_Year],Table1[[#This Row],[Fiscal_Year]],Table1[BRAND],Table1[[#This Row],[BRAND]],Table1[DC_name_Xref],Table1[[#This Row],[DC_name_Xref]]),0)</f>
        <v>0.27497090652881245</v>
      </c>
      <c r="M8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0.10136873512375272</v>
      </c>
      <c r="N863" s="3">
        <f>IFERROR(INDEX(Table3[#All],MATCH(Table1[[#This Row],[Key_Year_Week_Brand]],Table3[[#All],[Key_Year_Week_Brand]],0),MATCH(Table1[[#This Row],[DC_name_Xref]],Table3[#Headers],0)),0)</f>
        <v>0</v>
      </c>
      <c r="O863">
        <f>IFERROR(INDEX(Table35[#All],MATCH(Table1[[#This Row],[Key_Year_Week_Brand]],Table35[[#All],[Key_Year_Month_Brand]],0),MATCH(Table1[[#This Row],[DC_name_Xref]],Table35[#Headers],0)),0)</f>
        <v>0</v>
      </c>
    </row>
    <row r="864" spans="1:15" x14ac:dyDescent="0.3">
      <c r="A864" s="19" t="str">
        <f>Table1[[#This Row],[Year_Week]]&amp;"-"&amp;Table1[[#This Row],[DC_name_Xref]]</f>
        <v>202243-TFC</v>
      </c>
      <c r="B864" s="19" t="str">
        <f>Table1[[#This Row],[Fiscal_Year]]*100+Table1[[#This Row],[Fiscal_Week]] &amp; "-" &amp;Table1[[#This Row],[BRAND]]</f>
        <v>202243-Athleta</v>
      </c>
      <c r="C864" t="str">
        <f>Table1[[#This Row],[Fiscal_Year]]&amp;"-"&amp;Table1[[#This Row],[BRAND]]</f>
        <v>2022-Athleta</v>
      </c>
      <c r="D864">
        <v>2022</v>
      </c>
      <c r="E864">
        <v>43</v>
      </c>
      <c r="F864" t="s">
        <v>19</v>
      </c>
      <c r="G864" t="s">
        <v>21</v>
      </c>
      <c r="H864">
        <v>2</v>
      </c>
      <c r="I864">
        <v>649663</v>
      </c>
      <c r="J864" t="str">
        <f>VLOOKUP(H864,DC_Xref!A:B,2,FALSE)</f>
        <v>TFC</v>
      </c>
      <c r="K864">
        <f t="shared" si="13"/>
        <v>202243</v>
      </c>
      <c r="L864">
        <f>IFERROR(Table1[[#This Row],[Demand]]/SUMIFS(Table1[Demand],Table1[Fiscal_Year],Table1[[#This Row],[Fiscal_Year]],Table1[BRAND],Table1[[#This Row],[BRAND]],Table1[DC_name_Xref],Table1[[#This Row],[DC_name_Xref]]),0)</f>
        <v>0.29009184160092305</v>
      </c>
      <c r="M8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0.898596757600027</v>
      </c>
      <c r="N864" s="3">
        <f>IFERROR(INDEX(Table3[#All],MATCH(Table1[[#This Row],[Key_Year_Week_Brand]],Table3[[#All],[Key_Year_Week_Brand]],0),MATCH(Table1[[#This Row],[DC_name_Xref]],Table3[#Headers],0)),0)</f>
        <v>1</v>
      </c>
      <c r="O864">
        <f>IFERROR(INDEX(Table35[#All],MATCH(Table1[[#This Row],[Key_Year_Week_Brand]],Table35[[#All],[Key_Year_Month_Brand]],0),MATCH(Table1[[#This Row],[DC_name_Xref]],Table35[#Headers],0)),0)</f>
        <v>719150</v>
      </c>
    </row>
    <row r="865" spans="1:15" x14ac:dyDescent="0.3">
      <c r="A865" s="19" t="str">
        <f>Table1[[#This Row],[Year_Week]]&amp;"-"&amp;Table1[[#This Row],[DC_name_Xref]]</f>
        <v>202243-WFC</v>
      </c>
      <c r="B865" s="19" t="str">
        <f>Table1[[#This Row],[Fiscal_Year]]*100+Table1[[#This Row],[Fiscal_Week]] &amp; "-" &amp;Table1[[#This Row],[BRAND]]</f>
        <v>202243-Athleta</v>
      </c>
      <c r="C865" t="str">
        <f>Table1[[#This Row],[Fiscal_Year]]&amp;"-"&amp;Table1[[#This Row],[BRAND]]</f>
        <v>2022-Athleta</v>
      </c>
      <c r="D865">
        <v>2022</v>
      </c>
      <c r="E865">
        <v>43</v>
      </c>
      <c r="F865" t="s">
        <v>19</v>
      </c>
      <c r="G865" t="s">
        <v>7</v>
      </c>
      <c r="H865">
        <v>3</v>
      </c>
      <c r="I865">
        <v>0</v>
      </c>
      <c r="J865" t="str">
        <f>VLOOKUP(H865,DC_Xref!A:B,2,FALSE)</f>
        <v>WFC</v>
      </c>
      <c r="K865">
        <f t="shared" si="13"/>
        <v>202243</v>
      </c>
      <c r="L865">
        <f>IFERROR(Table1[[#This Row],[Demand]]/SUMIFS(Table1[Demand],Table1[Fiscal_Year],Table1[[#This Row],[Fiscal_Year]],Table1[BRAND],Table1[[#This Row],[BRAND]],Table1[DC_name_Xref],Table1[[#This Row],[DC_name_Xref]]),0)</f>
        <v>0</v>
      </c>
      <c r="M8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5" s="3">
        <f>IFERROR(INDEX(Table3[#All],MATCH(Table1[[#This Row],[Key_Year_Week_Brand]],Table3[[#All],[Key_Year_Week_Brand]],0),MATCH(Table1[[#This Row],[DC_name_Xref]],Table3[#Headers],0)),0)</f>
        <v>0</v>
      </c>
      <c r="O865">
        <f>IFERROR(INDEX(Table35[#All],MATCH(Table1[[#This Row],[Key_Year_Week_Brand]],Table35[[#All],[Key_Year_Month_Brand]],0),MATCH(Table1[[#This Row],[DC_name_Xref]],Table35[#Headers],0)),0)</f>
        <v>0</v>
      </c>
    </row>
    <row r="866" spans="1:15" x14ac:dyDescent="0.3">
      <c r="A866" s="19" t="str">
        <f>Table1[[#This Row],[Year_Week]]&amp;"-"&amp;Table1[[#This Row],[DC_name_Xref]]</f>
        <v>202243-EAO</v>
      </c>
      <c r="B866" s="19" t="str">
        <f>Table1[[#This Row],[Fiscal_Year]]*100+Table1[[#This Row],[Fiscal_Week]] &amp; "-" &amp;Table1[[#This Row],[BRAND]]</f>
        <v>202243-Athleta</v>
      </c>
      <c r="C866" t="str">
        <f>Table1[[#This Row],[Fiscal_Year]]&amp;"-"&amp;Table1[[#This Row],[BRAND]]</f>
        <v>2022-Athleta</v>
      </c>
      <c r="D866">
        <v>2022</v>
      </c>
      <c r="E866">
        <v>43</v>
      </c>
      <c r="F866" t="s">
        <v>19</v>
      </c>
      <c r="G866" t="s">
        <v>8</v>
      </c>
      <c r="H866">
        <v>4</v>
      </c>
      <c r="I866">
        <v>20</v>
      </c>
      <c r="J866" t="str">
        <f>VLOOKUP(H866,DC_Xref!A:B,2,FALSE)</f>
        <v>EAO</v>
      </c>
      <c r="K866">
        <f t="shared" si="13"/>
        <v>202243</v>
      </c>
      <c r="L866">
        <f>IFERROR(Table1[[#This Row],[Demand]]/SUMIFS(Table1[Demand],Table1[Fiscal_Year],Table1[[#This Row],[Fiscal_Year]],Table1[BRAND],Table1[[#This Row],[BRAND]],Table1[DC_name_Xref],Table1[[#This Row],[DC_name_Xref]]),0)</f>
        <v>0.23255813953488372</v>
      </c>
      <c r="M8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3.4507276220313712E-5</v>
      </c>
      <c r="N866" s="3">
        <f>IFERROR(INDEX(Table3[#All],MATCH(Table1[[#This Row],[Key_Year_Week_Brand]],Table3[[#All],[Key_Year_Week_Brand]],0),MATCH(Table1[[#This Row],[DC_name_Xref]],Table3[#Headers],0)),0)</f>
        <v>3.447122356821831E-5</v>
      </c>
      <c r="O866">
        <f>IFERROR(INDEX(Table35[#All],MATCH(Table1[[#This Row],[Key_Year_Week_Brand]],Table35[[#All],[Key_Year_Month_Brand]],0),MATCH(Table1[[#This Row],[DC_name_Xref]],Table35[#Headers],0)),0)</f>
        <v>24.789980429084196</v>
      </c>
    </row>
    <row r="867" spans="1:15" x14ac:dyDescent="0.3">
      <c r="A867" s="19" t="str">
        <f>Table1[[#This Row],[Year_Week]]&amp;"-"&amp;Table1[[#This Row],[DC_name_Xref]]</f>
        <v>202243-FFC-ODC</v>
      </c>
      <c r="B867" s="19" t="str">
        <f>Table1[[#This Row],[Fiscal_Year]]*100+Table1[[#This Row],[Fiscal_Week]] &amp; "-" &amp;Table1[[#This Row],[BRAND]]</f>
        <v>202243-Athleta</v>
      </c>
      <c r="C867" t="str">
        <f>Table1[[#This Row],[Fiscal_Year]]&amp;"-"&amp;Table1[[#This Row],[BRAND]]</f>
        <v>2022-Athleta</v>
      </c>
      <c r="D867">
        <v>2022</v>
      </c>
      <c r="E867">
        <v>43</v>
      </c>
      <c r="F867" t="s">
        <v>19</v>
      </c>
      <c r="G867" t="s">
        <v>23</v>
      </c>
      <c r="H867">
        <v>5</v>
      </c>
      <c r="I867">
        <v>0</v>
      </c>
      <c r="J867" t="str">
        <f>VLOOKUP(H867,DC_Xref!A:B,2,FALSE)</f>
        <v>FFC-ODC</v>
      </c>
      <c r="K867">
        <f t="shared" si="13"/>
        <v>202243</v>
      </c>
      <c r="L867">
        <f>IFERROR(Table1[[#This Row],[Demand]]/SUMIFS(Table1[Demand],Table1[Fiscal_Year],Table1[[#This Row],[Fiscal_Year]],Table1[BRAND],Table1[[#This Row],[BRAND]],Table1[DC_name_Xref],Table1[[#This Row],[DC_name_Xref]]),0)</f>
        <v>0</v>
      </c>
      <c r="M8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7" s="3">
        <f>IFERROR(INDEX(Table3[#All],MATCH(Table1[[#This Row],[Key_Year_Week_Brand]],Table3[[#All],[Key_Year_Week_Brand]],0),MATCH(Table1[[#This Row],[DC_name_Xref]],Table3[#Headers],0)),0)</f>
        <v>0</v>
      </c>
      <c r="O867">
        <f>IFERROR(INDEX(Table35[#All],MATCH(Table1[[#This Row],[Key_Year_Week_Brand]],Table35[[#All],[Key_Year_Month_Brand]],0),MATCH(Table1[[#This Row],[DC_name_Xref]],Table35[#Headers],0)),0)</f>
        <v>0</v>
      </c>
    </row>
    <row r="868" spans="1:15" x14ac:dyDescent="0.3">
      <c r="A868" s="19" t="str">
        <f>Table1[[#This Row],[Year_Week]]&amp;"-"&amp;Table1[[#This Row],[DC_name_Xref]]</f>
        <v>202243-WEO</v>
      </c>
      <c r="B868" s="19" t="str">
        <f>Table1[[#This Row],[Fiscal_Year]]*100+Table1[[#This Row],[Fiscal_Week]] &amp; "-" &amp;Table1[[#This Row],[BRAND]]</f>
        <v>202243-Athleta</v>
      </c>
      <c r="C868" t="str">
        <f>Table1[[#This Row],[Fiscal_Year]]&amp;"-"&amp;Table1[[#This Row],[BRAND]]</f>
        <v>2022-Athleta</v>
      </c>
      <c r="D868">
        <v>2022</v>
      </c>
      <c r="E868">
        <v>43</v>
      </c>
      <c r="F868" t="s">
        <v>19</v>
      </c>
      <c r="G868" t="s">
        <v>10</v>
      </c>
      <c r="H868">
        <v>6</v>
      </c>
      <c r="I868">
        <v>0</v>
      </c>
      <c r="J868" t="str">
        <f>VLOOKUP(H868,DC_Xref!A:B,2,FALSE)</f>
        <v>WEO</v>
      </c>
      <c r="K868">
        <f t="shared" si="13"/>
        <v>202243</v>
      </c>
      <c r="L868">
        <f>IFERROR(Table1[[#This Row],[Demand]]/SUMIFS(Table1[Demand],Table1[Fiscal_Year],Table1[[#This Row],[Fiscal_Year]],Table1[BRAND],Table1[[#This Row],[BRAND]],Table1[DC_name_Xref],Table1[[#This Row],[DC_name_Xref]]),0)</f>
        <v>0</v>
      </c>
      <c r="M8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8" s="3">
        <f>IFERROR(INDEX(Table3[#All],MATCH(Table1[[#This Row],[Key_Year_Week_Brand]],Table3[[#All],[Key_Year_Week_Brand]],0),MATCH(Table1[[#This Row],[DC_name_Xref]],Table3[#Headers],0)),0)</f>
        <v>0</v>
      </c>
      <c r="O868">
        <f>IFERROR(INDEX(Table35[#All],MATCH(Table1[[#This Row],[Key_Year_Week_Brand]],Table35[[#All],[Key_Year_Month_Brand]],0),MATCH(Table1[[#This Row],[DC_name_Xref]],Table35[#Headers],0)),0)</f>
        <v>0</v>
      </c>
    </row>
    <row r="869" spans="1:15" x14ac:dyDescent="0.3">
      <c r="A869" s="19" t="str">
        <f>Table1[[#This Row],[Year_Week]]&amp;"-"&amp;Table1[[#This Row],[DC_name_Xref]]</f>
        <v>202243-OCC</v>
      </c>
      <c r="B869" s="19" t="str">
        <f>Table1[[#This Row],[Fiscal_Year]]*100+Table1[[#This Row],[Fiscal_Week]] &amp; "-" &amp;Table1[[#This Row],[BRAND]]</f>
        <v>202243-Athleta</v>
      </c>
      <c r="C869" t="str">
        <f>Table1[[#This Row],[Fiscal_Year]]&amp;"-"&amp;Table1[[#This Row],[BRAND]]</f>
        <v>2022-Athleta</v>
      </c>
      <c r="D869">
        <v>2022</v>
      </c>
      <c r="E869">
        <v>43</v>
      </c>
      <c r="F869" t="s">
        <v>19</v>
      </c>
      <c r="G869" t="s">
        <v>11</v>
      </c>
      <c r="H869">
        <v>7</v>
      </c>
      <c r="I869">
        <v>0</v>
      </c>
      <c r="J869" t="str">
        <f>VLOOKUP(H869,DC_Xref!A:B,2,FALSE)</f>
        <v>OCC</v>
      </c>
      <c r="K869">
        <f t="shared" si="13"/>
        <v>202243</v>
      </c>
      <c r="L869">
        <f>IFERROR(Table1[[#This Row],[Demand]]/SUMIFS(Table1[Demand],Table1[Fiscal_Year],Table1[[#This Row],[Fiscal_Year]],Table1[BRAND],Table1[[#This Row],[BRAND]],Table1[DC_name_Xref],Table1[[#This Row],[DC_name_Xref]]),0)</f>
        <v>0</v>
      </c>
      <c r="M8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69" s="3">
        <f>IFERROR(INDEX(Table3[#All],MATCH(Table1[[#This Row],[Key_Year_Week_Brand]],Table3[[#All],[Key_Year_Week_Brand]],0),MATCH(Table1[[#This Row],[DC_name_Xref]],Table3[#Headers],0)),0)</f>
        <v>0</v>
      </c>
      <c r="O869">
        <f>IFERROR(INDEX(Table35[#All],MATCH(Table1[[#This Row],[Key_Year_Week_Brand]],Table35[[#All],[Key_Year_Month_Brand]],0),MATCH(Table1[[#This Row],[DC_name_Xref]],Table35[#Headers],0)),0)</f>
        <v>0</v>
      </c>
    </row>
    <row r="870" spans="1:15" x14ac:dyDescent="0.3">
      <c r="A870" s="19" t="str">
        <f>Table1[[#This Row],[Year_Week]]&amp;"-"&amp;Table1[[#This Row],[DC_name_Xref]]</f>
        <v>202243-OFC</v>
      </c>
      <c r="B870" s="19" t="str">
        <f>Table1[[#This Row],[Fiscal_Year]]*100+Table1[[#This Row],[Fiscal_Week]] &amp; "-" &amp;Table1[[#This Row],[BRAND]]</f>
        <v>202243-BR Factory Store</v>
      </c>
      <c r="C870" t="str">
        <f>Table1[[#This Row],[Fiscal_Year]]&amp;"-"&amp;Table1[[#This Row],[BRAND]]</f>
        <v>2022-BR Factory Store</v>
      </c>
      <c r="D870">
        <v>2022</v>
      </c>
      <c r="E870">
        <v>43</v>
      </c>
      <c r="F870" t="s">
        <v>17</v>
      </c>
      <c r="G870" t="s">
        <v>5</v>
      </c>
      <c r="H870">
        <v>1</v>
      </c>
      <c r="I870">
        <v>1024632</v>
      </c>
      <c r="J870" t="str">
        <f>VLOOKUP(H870,DC_Xref!A:B,2,FALSE)</f>
        <v>OFC</v>
      </c>
      <c r="K870">
        <f t="shared" si="13"/>
        <v>202243</v>
      </c>
      <c r="L870">
        <f>IFERROR(Table1[[#This Row],[Demand]]/SUMIFS(Table1[Demand],Table1[Fiscal_Year],Table1[[#This Row],[Fiscal_Year]],Table1[BRAND],Table1[[#This Row],[BRAND]],Table1[DC_name_Xref],Table1[[#This Row],[DC_name_Xref]]),0)</f>
        <v>0.4426379290755999</v>
      </c>
      <c r="M8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870" s="3">
        <f>IFERROR(INDEX(Table3[#All],MATCH(Table1[[#This Row],[Key_Year_Week_Brand]],Table3[[#All],[Key_Year_Week_Brand]],0),MATCH(Table1[[#This Row],[DC_name_Xref]],Table3[#Headers],0)),0)</f>
        <v>1</v>
      </c>
      <c r="O870">
        <f>IFERROR(INDEX(Table35[#All],MATCH(Table1[[#This Row],[Key_Year_Week_Brand]],Table35[[#All],[Key_Year_Month_Brand]],0),MATCH(Table1[[#This Row],[DC_name_Xref]],Table35[#Headers],0)),0)</f>
        <v>1024632</v>
      </c>
    </row>
    <row r="871" spans="1:15" x14ac:dyDescent="0.3">
      <c r="A871" s="19" t="str">
        <f>Table1[[#This Row],[Year_Week]]&amp;"-"&amp;Table1[[#This Row],[DC_name_Xref]]</f>
        <v>202243-TFC</v>
      </c>
      <c r="B871" s="19" t="str">
        <f>Table1[[#This Row],[Fiscal_Year]]*100+Table1[[#This Row],[Fiscal_Week]] &amp; "-" &amp;Table1[[#This Row],[BRAND]]</f>
        <v>202243-BR Factory Store</v>
      </c>
      <c r="C871" t="str">
        <f>Table1[[#This Row],[Fiscal_Year]]&amp;"-"&amp;Table1[[#This Row],[BRAND]]</f>
        <v>2022-BR Factory Store</v>
      </c>
      <c r="D871">
        <v>2022</v>
      </c>
      <c r="E871">
        <v>43</v>
      </c>
      <c r="F871" t="s">
        <v>17</v>
      </c>
      <c r="G871" t="s">
        <v>21</v>
      </c>
      <c r="H871">
        <v>2</v>
      </c>
      <c r="I871">
        <v>0</v>
      </c>
      <c r="J871" t="str">
        <f>VLOOKUP(H871,DC_Xref!A:B,2,FALSE)</f>
        <v>TFC</v>
      </c>
      <c r="K871">
        <f t="shared" si="13"/>
        <v>202243</v>
      </c>
      <c r="L871">
        <f>IFERROR(Table1[[#This Row],[Demand]]/SUMIFS(Table1[Demand],Table1[Fiscal_Year],Table1[[#This Row],[Fiscal_Year]],Table1[BRAND],Table1[[#This Row],[BRAND]],Table1[DC_name_Xref],Table1[[#This Row],[DC_name_Xref]]),0)</f>
        <v>0</v>
      </c>
      <c r="M8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1" s="3">
        <f>IFERROR(INDEX(Table3[#All],MATCH(Table1[[#This Row],[Key_Year_Week_Brand]],Table3[[#All],[Key_Year_Week_Brand]],0),MATCH(Table1[[#This Row],[DC_name_Xref]],Table3[#Headers],0)),0)</f>
        <v>0</v>
      </c>
      <c r="O871">
        <f>IFERROR(INDEX(Table35[#All],MATCH(Table1[[#This Row],[Key_Year_Week_Brand]],Table35[[#All],[Key_Year_Month_Brand]],0),MATCH(Table1[[#This Row],[DC_name_Xref]],Table35[#Headers],0)),0)</f>
        <v>0</v>
      </c>
    </row>
    <row r="872" spans="1:15" x14ac:dyDescent="0.3">
      <c r="A872" s="19" t="str">
        <f>Table1[[#This Row],[Year_Week]]&amp;"-"&amp;Table1[[#This Row],[DC_name_Xref]]</f>
        <v>202243-WFC</v>
      </c>
      <c r="B872" s="19" t="str">
        <f>Table1[[#This Row],[Fiscal_Year]]*100+Table1[[#This Row],[Fiscal_Week]] &amp; "-" &amp;Table1[[#This Row],[BRAND]]</f>
        <v>202243-BR Factory Store</v>
      </c>
      <c r="C872" t="str">
        <f>Table1[[#This Row],[Fiscal_Year]]&amp;"-"&amp;Table1[[#This Row],[BRAND]]</f>
        <v>2022-BR Factory Store</v>
      </c>
      <c r="D872">
        <v>2022</v>
      </c>
      <c r="E872">
        <v>43</v>
      </c>
      <c r="F872" t="s">
        <v>17</v>
      </c>
      <c r="G872" t="s">
        <v>7</v>
      </c>
      <c r="H872">
        <v>3</v>
      </c>
      <c r="I872">
        <v>0</v>
      </c>
      <c r="J872" t="str">
        <f>VLOOKUP(H872,DC_Xref!A:B,2,FALSE)</f>
        <v>WFC</v>
      </c>
      <c r="K872">
        <f t="shared" si="13"/>
        <v>202243</v>
      </c>
      <c r="L872">
        <f>IFERROR(Table1[[#This Row],[Demand]]/SUMIFS(Table1[Demand],Table1[Fiscal_Year],Table1[[#This Row],[Fiscal_Year]],Table1[BRAND],Table1[[#This Row],[BRAND]],Table1[DC_name_Xref],Table1[[#This Row],[DC_name_Xref]]),0)</f>
        <v>0</v>
      </c>
      <c r="M8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2" s="3">
        <f>IFERROR(INDEX(Table3[#All],MATCH(Table1[[#This Row],[Key_Year_Week_Brand]],Table3[[#All],[Key_Year_Week_Brand]],0),MATCH(Table1[[#This Row],[DC_name_Xref]],Table3[#Headers],0)),0)</f>
        <v>0</v>
      </c>
      <c r="O872">
        <f>IFERROR(INDEX(Table35[#All],MATCH(Table1[[#This Row],[Key_Year_Week_Brand]],Table35[[#All],[Key_Year_Month_Brand]],0),MATCH(Table1[[#This Row],[DC_name_Xref]],Table35[#Headers],0)),0)</f>
        <v>0</v>
      </c>
    </row>
    <row r="873" spans="1:15" x14ac:dyDescent="0.3">
      <c r="A873" s="19" t="str">
        <f>Table1[[#This Row],[Year_Week]]&amp;"-"&amp;Table1[[#This Row],[DC_name_Xref]]</f>
        <v>202243-EAO</v>
      </c>
      <c r="B873" s="19" t="str">
        <f>Table1[[#This Row],[Fiscal_Year]]*100+Table1[[#This Row],[Fiscal_Week]] &amp; "-" &amp;Table1[[#This Row],[BRAND]]</f>
        <v>202243-BR Factory Store</v>
      </c>
      <c r="C873" t="str">
        <f>Table1[[#This Row],[Fiscal_Year]]&amp;"-"&amp;Table1[[#This Row],[BRAND]]</f>
        <v>2022-BR Factory Store</v>
      </c>
      <c r="D873">
        <v>2022</v>
      </c>
      <c r="E873">
        <v>43</v>
      </c>
      <c r="F873" t="s">
        <v>17</v>
      </c>
      <c r="G873" t="s">
        <v>8</v>
      </c>
      <c r="H873">
        <v>4</v>
      </c>
      <c r="I873">
        <v>0</v>
      </c>
      <c r="J873" t="str">
        <f>VLOOKUP(H873,DC_Xref!A:B,2,FALSE)</f>
        <v>EAO</v>
      </c>
      <c r="K873">
        <f t="shared" si="13"/>
        <v>202243</v>
      </c>
      <c r="L873">
        <f>IFERROR(Table1[[#This Row],[Demand]]/SUMIFS(Table1[Demand],Table1[Fiscal_Year],Table1[[#This Row],[Fiscal_Year]],Table1[BRAND],Table1[[#This Row],[BRAND]],Table1[DC_name_Xref],Table1[[#This Row],[DC_name_Xref]]),0)</f>
        <v>0</v>
      </c>
      <c r="M8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3" s="3">
        <f>IFERROR(INDEX(Table3[#All],MATCH(Table1[[#This Row],[Key_Year_Week_Brand]],Table3[[#All],[Key_Year_Week_Brand]],0),MATCH(Table1[[#This Row],[DC_name_Xref]],Table3[#Headers],0)),0)</f>
        <v>0</v>
      </c>
      <c r="O873">
        <f>IFERROR(INDEX(Table35[#All],MATCH(Table1[[#This Row],[Key_Year_Week_Brand]],Table35[[#All],[Key_Year_Month_Brand]],0),MATCH(Table1[[#This Row],[DC_name_Xref]],Table35[#Headers],0)),0)</f>
        <v>0</v>
      </c>
    </row>
    <row r="874" spans="1:15" x14ac:dyDescent="0.3">
      <c r="A874" s="19" t="str">
        <f>Table1[[#This Row],[Year_Week]]&amp;"-"&amp;Table1[[#This Row],[DC_name_Xref]]</f>
        <v>202243-FFC-ODC</v>
      </c>
      <c r="B874" s="19" t="str">
        <f>Table1[[#This Row],[Fiscal_Year]]*100+Table1[[#This Row],[Fiscal_Week]] &amp; "-" &amp;Table1[[#This Row],[BRAND]]</f>
        <v>202243-BR Factory Store</v>
      </c>
      <c r="C874" t="str">
        <f>Table1[[#This Row],[Fiscal_Year]]&amp;"-"&amp;Table1[[#This Row],[BRAND]]</f>
        <v>2022-BR Factory Store</v>
      </c>
      <c r="D874">
        <v>2022</v>
      </c>
      <c r="E874">
        <v>43</v>
      </c>
      <c r="F874" t="s">
        <v>17</v>
      </c>
      <c r="G874" t="s">
        <v>23</v>
      </c>
      <c r="H874">
        <v>5</v>
      </c>
      <c r="I874">
        <v>0</v>
      </c>
      <c r="J874" t="str">
        <f>VLOOKUP(H874,DC_Xref!A:B,2,FALSE)</f>
        <v>FFC-ODC</v>
      </c>
      <c r="K874">
        <f t="shared" si="13"/>
        <v>202243</v>
      </c>
      <c r="L874">
        <f>IFERROR(Table1[[#This Row],[Demand]]/SUMIFS(Table1[Demand],Table1[Fiscal_Year],Table1[[#This Row],[Fiscal_Year]],Table1[BRAND],Table1[[#This Row],[BRAND]],Table1[DC_name_Xref],Table1[[#This Row],[DC_name_Xref]]),0)</f>
        <v>0</v>
      </c>
      <c r="M8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4" s="3">
        <f>IFERROR(INDEX(Table3[#All],MATCH(Table1[[#This Row],[Key_Year_Week_Brand]],Table3[[#All],[Key_Year_Week_Brand]],0),MATCH(Table1[[#This Row],[DC_name_Xref]],Table3[#Headers],0)),0)</f>
        <v>0</v>
      </c>
      <c r="O874">
        <f>IFERROR(INDEX(Table35[#All],MATCH(Table1[[#This Row],[Key_Year_Week_Brand]],Table35[[#All],[Key_Year_Month_Brand]],0),MATCH(Table1[[#This Row],[DC_name_Xref]],Table35[#Headers],0)),0)</f>
        <v>0</v>
      </c>
    </row>
    <row r="875" spans="1:15" x14ac:dyDescent="0.3">
      <c r="A875" s="19" t="str">
        <f>Table1[[#This Row],[Year_Week]]&amp;"-"&amp;Table1[[#This Row],[DC_name_Xref]]</f>
        <v>202243-WEO</v>
      </c>
      <c r="B875" s="19" t="str">
        <f>Table1[[#This Row],[Fiscal_Year]]*100+Table1[[#This Row],[Fiscal_Week]] &amp; "-" &amp;Table1[[#This Row],[BRAND]]</f>
        <v>202243-BR Factory Store</v>
      </c>
      <c r="C875" t="str">
        <f>Table1[[#This Row],[Fiscal_Year]]&amp;"-"&amp;Table1[[#This Row],[BRAND]]</f>
        <v>2022-BR Factory Store</v>
      </c>
      <c r="D875">
        <v>2022</v>
      </c>
      <c r="E875">
        <v>43</v>
      </c>
      <c r="F875" t="s">
        <v>17</v>
      </c>
      <c r="G875" t="s">
        <v>10</v>
      </c>
      <c r="H875">
        <v>6</v>
      </c>
      <c r="I875">
        <v>0</v>
      </c>
      <c r="J875" t="str">
        <f>VLOOKUP(H875,DC_Xref!A:B,2,FALSE)</f>
        <v>WEO</v>
      </c>
      <c r="K875">
        <f t="shared" si="13"/>
        <v>202243</v>
      </c>
      <c r="L875">
        <f>IFERROR(Table1[[#This Row],[Demand]]/SUMIFS(Table1[Demand],Table1[Fiscal_Year],Table1[[#This Row],[Fiscal_Year]],Table1[BRAND],Table1[[#This Row],[BRAND]],Table1[DC_name_Xref],Table1[[#This Row],[DC_name_Xref]]),0)</f>
        <v>0</v>
      </c>
      <c r="M8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5" s="3">
        <f>IFERROR(INDEX(Table3[#All],MATCH(Table1[[#This Row],[Key_Year_Week_Brand]],Table3[[#All],[Key_Year_Week_Brand]],0),MATCH(Table1[[#This Row],[DC_name_Xref]],Table3[#Headers],0)),0)</f>
        <v>0</v>
      </c>
      <c r="O875">
        <f>IFERROR(INDEX(Table35[#All],MATCH(Table1[[#This Row],[Key_Year_Week_Brand]],Table35[[#All],[Key_Year_Month_Brand]],0),MATCH(Table1[[#This Row],[DC_name_Xref]],Table35[#Headers],0)),0)</f>
        <v>0</v>
      </c>
    </row>
    <row r="876" spans="1:15" x14ac:dyDescent="0.3">
      <c r="A876" s="19" t="str">
        <f>Table1[[#This Row],[Year_Week]]&amp;"-"&amp;Table1[[#This Row],[DC_name_Xref]]</f>
        <v>202243-OCC</v>
      </c>
      <c r="B876" s="19" t="str">
        <f>Table1[[#This Row],[Fiscal_Year]]*100+Table1[[#This Row],[Fiscal_Week]] &amp; "-" &amp;Table1[[#This Row],[BRAND]]</f>
        <v>202243-BR Factory Store</v>
      </c>
      <c r="C876" t="str">
        <f>Table1[[#This Row],[Fiscal_Year]]&amp;"-"&amp;Table1[[#This Row],[BRAND]]</f>
        <v>2022-BR Factory Store</v>
      </c>
      <c r="D876">
        <v>2022</v>
      </c>
      <c r="E876">
        <v>43</v>
      </c>
      <c r="F876" t="s">
        <v>17</v>
      </c>
      <c r="G876" t="s">
        <v>11</v>
      </c>
      <c r="H876">
        <v>7</v>
      </c>
      <c r="I876">
        <v>0</v>
      </c>
      <c r="J876" t="str">
        <f>VLOOKUP(H876,DC_Xref!A:B,2,FALSE)</f>
        <v>OCC</v>
      </c>
      <c r="K876">
        <f t="shared" si="13"/>
        <v>202243</v>
      </c>
      <c r="L876">
        <f>IFERROR(Table1[[#This Row],[Demand]]/SUMIFS(Table1[Demand],Table1[Fiscal_Year],Table1[[#This Row],[Fiscal_Year]],Table1[BRAND],Table1[[#This Row],[BRAND]],Table1[DC_name_Xref],Table1[[#This Row],[DC_name_Xref]]),0)</f>
        <v>0</v>
      </c>
      <c r="M8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76" s="3">
        <f>IFERROR(INDEX(Table3[#All],MATCH(Table1[[#This Row],[Key_Year_Week_Brand]],Table3[[#All],[Key_Year_Week_Brand]],0),MATCH(Table1[[#This Row],[DC_name_Xref]],Table3[#Headers],0)),0)</f>
        <v>0</v>
      </c>
      <c r="O876">
        <f>IFERROR(INDEX(Table35[#All],MATCH(Table1[[#This Row],[Key_Year_Week_Brand]],Table35[[#All],[Key_Year_Month_Brand]],0),MATCH(Table1[[#This Row],[DC_name_Xref]],Table35[#Headers],0)),0)</f>
        <v>0</v>
      </c>
    </row>
    <row r="877" spans="1:15" x14ac:dyDescent="0.3">
      <c r="A877" s="19" t="str">
        <f>Table1[[#This Row],[Year_Week]]&amp;"-"&amp;Table1[[#This Row],[DC_name_Xref]]</f>
        <v>202243-OFC</v>
      </c>
      <c r="B877" s="19" t="str">
        <f>Table1[[#This Row],[Fiscal_Year]]*100+Table1[[#This Row],[Fiscal_Week]] &amp; "-" &amp;Table1[[#This Row],[BRAND]]</f>
        <v>202243-Gap</v>
      </c>
      <c r="C877" t="str">
        <f>Table1[[#This Row],[Fiscal_Year]]&amp;"-"&amp;Table1[[#This Row],[BRAND]]</f>
        <v>2022-Gap</v>
      </c>
      <c r="D877">
        <v>2022</v>
      </c>
      <c r="E877">
        <v>43</v>
      </c>
      <c r="F877" t="s">
        <v>16</v>
      </c>
      <c r="G877" t="s">
        <v>5</v>
      </c>
      <c r="H877">
        <v>1</v>
      </c>
      <c r="I877">
        <v>4690094</v>
      </c>
      <c r="J877" t="str">
        <f>VLOOKUP(H877,DC_Xref!A:B,2,FALSE)</f>
        <v>OFC</v>
      </c>
      <c r="K877">
        <f t="shared" si="13"/>
        <v>202243</v>
      </c>
      <c r="L877">
        <f>IFERROR(Table1[[#This Row],[Demand]]/SUMIFS(Table1[Demand],Table1[Fiscal_Year],Table1[[#This Row],[Fiscal_Year]],Table1[BRAND],Table1[[#This Row],[BRAND]],Table1[DC_name_Xref],Table1[[#This Row],[DC_name_Xref]]),0)</f>
        <v>0.40459950541505468</v>
      </c>
      <c r="M8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0.66900253139543242</v>
      </c>
      <c r="N877" s="3">
        <f>IFERROR(INDEX(Table3[#All],MATCH(Table1[[#This Row],[Key_Year_Week_Brand]],Table3[[#All],[Key_Year_Week_Brand]],0),MATCH(Table1[[#This Row],[DC_name_Xref]],Table3[#Headers],0)),0)</f>
        <v>0</v>
      </c>
      <c r="O877">
        <f>IFERROR(INDEX(Table35[#All],MATCH(Table1[[#This Row],[Key_Year_Week_Brand]],Table35[[#All],[Key_Year_Month_Brand]],0),MATCH(Table1[[#This Row],[DC_name_Xref]],Table35[#Headers],0)),0)</f>
        <v>0</v>
      </c>
    </row>
    <row r="878" spans="1:15" x14ac:dyDescent="0.3">
      <c r="A878" s="19" t="str">
        <f>Table1[[#This Row],[Year_Week]]&amp;"-"&amp;Table1[[#This Row],[DC_name_Xref]]</f>
        <v>202243-TFC</v>
      </c>
      <c r="B878" s="19" t="str">
        <f>Table1[[#This Row],[Fiscal_Year]]*100+Table1[[#This Row],[Fiscal_Week]] &amp; "-" &amp;Table1[[#This Row],[BRAND]]</f>
        <v>202243-Gap</v>
      </c>
      <c r="C878" t="str">
        <f>Table1[[#This Row],[Fiscal_Year]]&amp;"-"&amp;Table1[[#This Row],[BRAND]]</f>
        <v>2022-Gap</v>
      </c>
      <c r="D878">
        <v>2022</v>
      </c>
      <c r="E878">
        <v>43</v>
      </c>
      <c r="F878" t="s">
        <v>16</v>
      </c>
      <c r="G878" t="s">
        <v>21</v>
      </c>
      <c r="H878">
        <v>2</v>
      </c>
      <c r="I878">
        <v>346</v>
      </c>
      <c r="J878" t="str">
        <f>VLOOKUP(H878,DC_Xref!A:B,2,FALSE)</f>
        <v>TFC</v>
      </c>
      <c r="K878">
        <f t="shared" si="13"/>
        <v>202243</v>
      </c>
      <c r="L878">
        <f>IFERROR(Table1[[#This Row],[Demand]]/SUMIFS(Table1[Demand],Table1[Fiscal_Year],Table1[[#This Row],[Fiscal_Year]],Table1[BRAND],Table1[[#This Row],[BRAND]],Table1[DC_name_Xref],Table1[[#This Row],[DC_name_Xref]]),0)</f>
        <v>0.16586768935762225</v>
      </c>
      <c r="M8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1.2038873904742382E-4</v>
      </c>
      <c r="N878" s="3">
        <f>IFERROR(INDEX(Table3[#All],MATCH(Table1[[#This Row],[Key_Year_Week_Brand]],Table3[[#All],[Key_Year_Week_Brand]],0),MATCH(Table1[[#This Row],[DC_name_Xref]],Table3[#Headers],0)),0)</f>
        <v>0.25</v>
      </c>
      <c r="O878">
        <f>IFERROR(INDEX(Table35[#All],MATCH(Table1[[#This Row],[Key_Year_Week_Brand]],Table35[[#All],[Key_Year_Month_Brand]],0),MATCH(Table1[[#This Row],[DC_name_Xref]],Table35[#Headers],0)),0)</f>
        <v>1822225.25</v>
      </c>
    </row>
    <row r="879" spans="1:15" x14ac:dyDescent="0.3">
      <c r="A879" s="19" t="str">
        <f>Table1[[#This Row],[Year_Week]]&amp;"-"&amp;Table1[[#This Row],[DC_name_Xref]]</f>
        <v>202243-WFC</v>
      </c>
      <c r="B879" s="19" t="str">
        <f>Table1[[#This Row],[Fiscal_Year]]*100+Table1[[#This Row],[Fiscal_Week]] &amp; "-" &amp;Table1[[#This Row],[BRAND]]</f>
        <v>202243-Gap</v>
      </c>
      <c r="C879" t="str">
        <f>Table1[[#This Row],[Fiscal_Year]]&amp;"-"&amp;Table1[[#This Row],[BRAND]]</f>
        <v>2022-Gap</v>
      </c>
      <c r="D879">
        <v>2022</v>
      </c>
      <c r="E879">
        <v>43</v>
      </c>
      <c r="F879" t="s">
        <v>16</v>
      </c>
      <c r="G879" t="s">
        <v>7</v>
      </c>
      <c r="H879">
        <v>3</v>
      </c>
      <c r="I879">
        <v>176407</v>
      </c>
      <c r="J879" t="str">
        <f>VLOOKUP(H879,DC_Xref!A:B,2,FALSE)</f>
        <v>WFC</v>
      </c>
      <c r="K879">
        <f t="shared" si="13"/>
        <v>202243</v>
      </c>
      <c r="L879">
        <f>IFERROR(Table1[[#This Row],[Demand]]/SUMIFS(Table1[Demand],Table1[Fiscal_Year],Table1[[#This Row],[Fiscal_Year]],Table1[BRAND],Table1[[#This Row],[BRAND]],Table1[DC_name_Xref],Table1[[#This Row],[DC_name_Xref]]),0)</f>
        <v>0.42740983924309789</v>
      </c>
      <c r="M8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2.3820060503709717E-2</v>
      </c>
      <c r="N879" s="3">
        <f>IFERROR(INDEX(Table3[#All],MATCH(Table1[[#This Row],[Key_Year_Week_Brand]],Table3[[#All],[Key_Year_Week_Brand]],0),MATCH(Table1[[#This Row],[DC_name_Xref]],Table3[#Headers],0)),0)</f>
        <v>0</v>
      </c>
      <c r="O879">
        <f>IFERROR(INDEX(Table35[#All],MATCH(Table1[[#This Row],[Key_Year_Week_Brand]],Table35[[#All],[Key_Year_Month_Brand]],0),MATCH(Table1[[#This Row],[DC_name_Xref]],Table35[#Headers],0)),0)</f>
        <v>0</v>
      </c>
    </row>
    <row r="880" spans="1:15" x14ac:dyDescent="0.3">
      <c r="A880" s="19" t="str">
        <f>Table1[[#This Row],[Year_Week]]&amp;"-"&amp;Table1[[#This Row],[DC_name_Xref]]</f>
        <v>202243-EAO</v>
      </c>
      <c r="B880" s="19" t="str">
        <f>Table1[[#This Row],[Fiscal_Year]]*100+Table1[[#This Row],[Fiscal_Week]] &amp; "-" &amp;Table1[[#This Row],[BRAND]]</f>
        <v>202243-Gap</v>
      </c>
      <c r="C880" t="str">
        <f>Table1[[#This Row],[Fiscal_Year]]&amp;"-"&amp;Table1[[#This Row],[BRAND]]</f>
        <v>2022-Gap</v>
      </c>
      <c r="D880">
        <v>2022</v>
      </c>
      <c r="E880">
        <v>43</v>
      </c>
      <c r="F880" t="s">
        <v>16</v>
      </c>
      <c r="G880" t="s">
        <v>8</v>
      </c>
      <c r="H880">
        <v>4</v>
      </c>
      <c r="I880">
        <v>833</v>
      </c>
      <c r="J880" t="str">
        <f>VLOOKUP(H880,DC_Xref!A:B,2,FALSE)</f>
        <v>EAO</v>
      </c>
      <c r="K880">
        <f t="shared" si="13"/>
        <v>202243</v>
      </c>
      <c r="L880">
        <f>IFERROR(Table1[[#This Row],[Demand]]/SUMIFS(Table1[Demand],Table1[Fiscal_Year],Table1[[#This Row],[Fiscal_Year]],Table1[BRAND],Table1[[#This Row],[BRAND]],Table1[DC_name_Xref],Table1[[#This Row],[DC_name_Xref]]),0)</f>
        <v>0.40028832292167227</v>
      </c>
      <c r="M8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1.2010017543513372E-4</v>
      </c>
      <c r="N880" s="3">
        <f>IFERROR(INDEX(Table3[#All],MATCH(Table1[[#This Row],[Key_Year_Week_Brand]],Table3[[#All],[Key_Year_Week_Brand]],0),MATCH(Table1[[#This Row],[DC_name_Xref]],Table3[#Headers],0)),0)</f>
        <v>0</v>
      </c>
      <c r="O880">
        <f>IFERROR(INDEX(Table35[#All],MATCH(Table1[[#This Row],[Key_Year_Week_Brand]],Table35[[#All],[Key_Year_Month_Brand]],0),MATCH(Table1[[#This Row],[DC_name_Xref]],Table35[#Headers],0)),0)</f>
        <v>0</v>
      </c>
    </row>
    <row r="881" spans="1:15" x14ac:dyDescent="0.3">
      <c r="A881" s="19" t="str">
        <f>Table1[[#This Row],[Year_Week]]&amp;"-"&amp;Table1[[#This Row],[DC_name_Xref]]</f>
        <v>202243-FFC-ODC</v>
      </c>
      <c r="B881" s="19" t="str">
        <f>Table1[[#This Row],[Fiscal_Year]]*100+Table1[[#This Row],[Fiscal_Week]] &amp; "-" &amp;Table1[[#This Row],[BRAND]]</f>
        <v>202243-Gap</v>
      </c>
      <c r="C881" t="str">
        <f>Table1[[#This Row],[Fiscal_Year]]&amp;"-"&amp;Table1[[#This Row],[BRAND]]</f>
        <v>2022-Gap</v>
      </c>
      <c r="D881">
        <v>2022</v>
      </c>
      <c r="E881">
        <v>43</v>
      </c>
      <c r="F881" t="s">
        <v>16</v>
      </c>
      <c r="G881" t="s">
        <v>23</v>
      </c>
      <c r="H881">
        <v>5</v>
      </c>
      <c r="I881">
        <v>0</v>
      </c>
      <c r="J881" t="str">
        <f>VLOOKUP(H881,DC_Xref!A:B,2,FALSE)</f>
        <v>FFC-ODC</v>
      </c>
      <c r="K881">
        <f t="shared" si="13"/>
        <v>202243</v>
      </c>
      <c r="L881">
        <f>IFERROR(Table1[[#This Row],[Demand]]/SUMIFS(Table1[Demand],Table1[Fiscal_Year],Table1[[#This Row],[Fiscal_Year]],Table1[BRAND],Table1[[#This Row],[BRAND]],Table1[DC_name_Xref],Table1[[#This Row],[DC_name_Xref]]),0)</f>
        <v>0</v>
      </c>
      <c r="M8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1" s="3">
        <f>IFERROR(INDEX(Table3[#All],MATCH(Table1[[#This Row],[Key_Year_Week_Brand]],Table3[[#All],[Key_Year_Week_Brand]],0),MATCH(Table1[[#This Row],[DC_name_Xref]],Table3[#Headers],0)),0)</f>
        <v>0</v>
      </c>
      <c r="O881">
        <f>IFERROR(INDEX(Table35[#All],MATCH(Table1[[#This Row],[Key_Year_Week_Brand]],Table35[[#All],[Key_Year_Month_Brand]],0),MATCH(Table1[[#This Row],[DC_name_Xref]],Table35[#Headers],0)),0)</f>
        <v>0</v>
      </c>
    </row>
    <row r="882" spans="1:15" x14ac:dyDescent="0.3">
      <c r="A882" s="19" t="str">
        <f>Table1[[#This Row],[Year_Week]]&amp;"-"&amp;Table1[[#This Row],[DC_name_Xref]]</f>
        <v>202243-WEO</v>
      </c>
      <c r="B882" s="19" t="str">
        <f>Table1[[#This Row],[Fiscal_Year]]*100+Table1[[#This Row],[Fiscal_Week]] &amp; "-" &amp;Table1[[#This Row],[BRAND]]</f>
        <v>202243-Gap</v>
      </c>
      <c r="C882" t="str">
        <f>Table1[[#This Row],[Fiscal_Year]]&amp;"-"&amp;Table1[[#This Row],[BRAND]]</f>
        <v>2022-Gap</v>
      </c>
      <c r="D882">
        <v>2022</v>
      </c>
      <c r="E882">
        <v>43</v>
      </c>
      <c r="F882" t="s">
        <v>16</v>
      </c>
      <c r="G882" t="s">
        <v>10</v>
      </c>
      <c r="H882">
        <v>6</v>
      </c>
      <c r="I882">
        <v>2421221</v>
      </c>
      <c r="J882" t="str">
        <f>VLOOKUP(H882,DC_Xref!A:B,2,FALSE)</f>
        <v>WEO</v>
      </c>
      <c r="K882">
        <f t="shared" si="13"/>
        <v>202243</v>
      </c>
      <c r="L882">
        <f>IFERROR(Table1[[#This Row],[Demand]]/SUMIFS(Table1[Demand],Table1[Fiscal_Year],Table1[[#This Row],[Fiscal_Year]],Table1[BRAND],Table1[[#This Row],[BRAND]],Table1[DC_name_Xref],Table1[[#This Row],[DC_name_Xref]]),0)</f>
        <v>0.45525724293099484</v>
      </c>
      <c r="M8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0.30693691918637528</v>
      </c>
      <c r="N882" s="3">
        <f>IFERROR(INDEX(Table3[#All],MATCH(Table1[[#This Row],[Key_Year_Week_Brand]],Table3[[#All],[Key_Year_Week_Brand]],0),MATCH(Table1[[#This Row],[DC_name_Xref]],Table3[#Headers],0)),0)</f>
        <v>0.45</v>
      </c>
      <c r="O882">
        <f>IFERROR(INDEX(Table35[#All],MATCH(Table1[[#This Row],[Key_Year_Week_Brand]],Table35[[#All],[Key_Year_Month_Brand]],0),MATCH(Table1[[#This Row],[DC_name_Xref]],Table35[#Headers],0)),0)</f>
        <v>3280005.45</v>
      </c>
    </row>
    <row r="883" spans="1:15" x14ac:dyDescent="0.3">
      <c r="A883" s="19" t="str">
        <f>Table1[[#This Row],[Year_Week]]&amp;"-"&amp;Table1[[#This Row],[DC_name_Xref]]</f>
        <v>202243-OCC</v>
      </c>
      <c r="B883" s="19" t="str">
        <f>Table1[[#This Row],[Fiscal_Year]]*100+Table1[[#This Row],[Fiscal_Week]] &amp; "-" &amp;Table1[[#This Row],[BRAND]]</f>
        <v>202243-Gap</v>
      </c>
      <c r="C883" t="str">
        <f>Table1[[#This Row],[Fiscal_Year]]&amp;"-"&amp;Table1[[#This Row],[BRAND]]</f>
        <v>2022-Gap</v>
      </c>
      <c r="D883">
        <v>2022</v>
      </c>
      <c r="E883">
        <v>43</v>
      </c>
      <c r="F883" t="s">
        <v>16</v>
      </c>
      <c r="G883" t="s">
        <v>11</v>
      </c>
      <c r="H883">
        <v>7</v>
      </c>
      <c r="I883">
        <v>0</v>
      </c>
      <c r="J883" t="str">
        <f>VLOOKUP(H883,DC_Xref!A:B,2,FALSE)</f>
        <v>OCC</v>
      </c>
      <c r="K883">
        <f t="shared" si="13"/>
        <v>202243</v>
      </c>
      <c r="L883">
        <f>IFERROR(Table1[[#This Row],[Demand]]/SUMIFS(Table1[Demand],Table1[Fiscal_Year],Table1[[#This Row],[Fiscal_Year]],Table1[BRAND],Table1[[#This Row],[BRAND]],Table1[DC_name_Xref],Table1[[#This Row],[DC_name_Xref]]),0)</f>
        <v>0</v>
      </c>
      <c r="M8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3" s="3">
        <f>IFERROR(INDEX(Table3[#All],MATCH(Table1[[#This Row],[Key_Year_Week_Brand]],Table3[[#All],[Key_Year_Week_Brand]],0),MATCH(Table1[[#This Row],[DC_name_Xref]],Table3[#Headers],0)),0)</f>
        <v>0.3</v>
      </c>
      <c r="O883">
        <f>IFERROR(INDEX(Table35[#All],MATCH(Table1[[#This Row],[Key_Year_Week_Brand]],Table35[[#All],[Key_Year_Month_Brand]],0),MATCH(Table1[[#This Row],[DC_name_Xref]],Table35[#Headers],0)),0)</f>
        <v>2186670.2999999998</v>
      </c>
    </row>
    <row r="884" spans="1:15" x14ac:dyDescent="0.3">
      <c r="A884" s="19" t="str">
        <f>Table1[[#This Row],[Year_Week]]&amp;"-"&amp;Table1[[#This Row],[DC_name_Xref]]</f>
        <v>202244-OFC</v>
      </c>
      <c r="B884" s="19" t="str">
        <f>Table1[[#This Row],[Fiscal_Year]]*100+Table1[[#This Row],[Fiscal_Week]] &amp; "-" &amp;Table1[[#This Row],[BRAND]]</f>
        <v>202244-Gap Factory Store</v>
      </c>
      <c r="C884" t="str">
        <f>Table1[[#This Row],[Fiscal_Year]]&amp;"-"&amp;Table1[[#This Row],[BRAND]]</f>
        <v>2022-Gap Factory Store</v>
      </c>
      <c r="D884">
        <v>2022</v>
      </c>
      <c r="E884">
        <v>44</v>
      </c>
      <c r="F884" t="s">
        <v>22</v>
      </c>
      <c r="G884" t="s">
        <v>5</v>
      </c>
      <c r="H884">
        <v>1</v>
      </c>
      <c r="I884">
        <v>2086977</v>
      </c>
      <c r="J884" t="str">
        <f>VLOOKUP(H884,DC_Xref!A:B,2,FALSE)</f>
        <v>OFC</v>
      </c>
      <c r="K884">
        <f t="shared" si="13"/>
        <v>202244</v>
      </c>
      <c r="L884">
        <f>IFERROR(Table1[[#This Row],[Demand]]/SUMIFS(Table1[Demand],Table1[Fiscal_Year],Table1[[#This Row],[Fiscal_Year]],Table1[BRAND],Table1[[#This Row],[BRAND]],Table1[DC_name_Xref],Table1[[#This Row],[DC_name_Xref]]),0)</f>
        <v>0.31101436657806064</v>
      </c>
      <c r="M8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884" s="3">
        <f>IFERROR(INDEX(Table3[#All],MATCH(Table1[[#This Row],[Key_Year_Week_Brand]],Table3[[#All],[Key_Year_Week_Brand]],0),MATCH(Table1[[#This Row],[DC_name_Xref]],Table3[#Headers],0)),0)</f>
        <v>1</v>
      </c>
      <c r="O884">
        <f>IFERROR(INDEX(Table35[#All],MATCH(Table1[[#This Row],[Key_Year_Week_Brand]],Table35[[#All],[Key_Year_Month_Brand]],0),MATCH(Table1[[#This Row],[DC_name_Xref]],Table35[#Headers],0)),0)</f>
        <v>2086977</v>
      </c>
    </row>
    <row r="885" spans="1:15" x14ac:dyDescent="0.3">
      <c r="A885" s="19" t="str">
        <f>Table1[[#This Row],[Year_Week]]&amp;"-"&amp;Table1[[#This Row],[DC_name_Xref]]</f>
        <v>202244-TFC</v>
      </c>
      <c r="B885" s="19" t="str">
        <f>Table1[[#This Row],[Fiscal_Year]]*100+Table1[[#This Row],[Fiscal_Week]] &amp; "-" &amp;Table1[[#This Row],[BRAND]]</f>
        <v>202244-Gap Factory Store</v>
      </c>
      <c r="C885" t="str">
        <f>Table1[[#This Row],[Fiscal_Year]]&amp;"-"&amp;Table1[[#This Row],[BRAND]]</f>
        <v>2022-Gap Factory Store</v>
      </c>
      <c r="D885">
        <v>2022</v>
      </c>
      <c r="E885">
        <v>44</v>
      </c>
      <c r="F885" t="s">
        <v>22</v>
      </c>
      <c r="G885" t="s">
        <v>21</v>
      </c>
      <c r="H885">
        <v>2</v>
      </c>
      <c r="I885">
        <v>0</v>
      </c>
      <c r="J885" t="str">
        <f>VLOOKUP(H885,DC_Xref!A:B,2,FALSE)</f>
        <v>TFC</v>
      </c>
      <c r="K885">
        <f t="shared" si="13"/>
        <v>202244</v>
      </c>
      <c r="L885">
        <f>IFERROR(Table1[[#This Row],[Demand]]/SUMIFS(Table1[Demand],Table1[Fiscal_Year],Table1[[#This Row],[Fiscal_Year]],Table1[BRAND],Table1[[#This Row],[BRAND]],Table1[DC_name_Xref],Table1[[#This Row],[DC_name_Xref]]),0)</f>
        <v>0</v>
      </c>
      <c r="M8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5" s="3">
        <f>IFERROR(INDEX(Table3[#All],MATCH(Table1[[#This Row],[Key_Year_Week_Brand]],Table3[[#All],[Key_Year_Week_Brand]],0),MATCH(Table1[[#This Row],[DC_name_Xref]],Table3[#Headers],0)),0)</f>
        <v>0</v>
      </c>
      <c r="O885">
        <f>IFERROR(INDEX(Table35[#All],MATCH(Table1[[#This Row],[Key_Year_Week_Brand]],Table35[[#All],[Key_Year_Month_Brand]],0),MATCH(Table1[[#This Row],[DC_name_Xref]],Table35[#Headers],0)),0)</f>
        <v>0</v>
      </c>
    </row>
    <row r="886" spans="1:15" x14ac:dyDescent="0.3">
      <c r="A886" s="19" t="str">
        <f>Table1[[#This Row],[Year_Week]]&amp;"-"&amp;Table1[[#This Row],[DC_name_Xref]]</f>
        <v>202244-WFC</v>
      </c>
      <c r="B886" s="19" t="str">
        <f>Table1[[#This Row],[Fiscal_Year]]*100+Table1[[#This Row],[Fiscal_Week]] &amp; "-" &amp;Table1[[#This Row],[BRAND]]</f>
        <v>202244-Gap Factory Store</v>
      </c>
      <c r="C886" t="str">
        <f>Table1[[#This Row],[Fiscal_Year]]&amp;"-"&amp;Table1[[#This Row],[BRAND]]</f>
        <v>2022-Gap Factory Store</v>
      </c>
      <c r="D886">
        <v>2022</v>
      </c>
      <c r="E886">
        <v>44</v>
      </c>
      <c r="F886" t="s">
        <v>22</v>
      </c>
      <c r="G886" t="s">
        <v>7</v>
      </c>
      <c r="H886">
        <v>3</v>
      </c>
      <c r="I886">
        <v>0</v>
      </c>
      <c r="J886" t="str">
        <f>VLOOKUP(H886,DC_Xref!A:B,2,FALSE)</f>
        <v>WFC</v>
      </c>
      <c r="K886">
        <f t="shared" si="13"/>
        <v>202244</v>
      </c>
      <c r="L886">
        <f>IFERROR(Table1[[#This Row],[Demand]]/SUMIFS(Table1[Demand],Table1[Fiscal_Year],Table1[[#This Row],[Fiscal_Year]],Table1[BRAND],Table1[[#This Row],[BRAND]],Table1[DC_name_Xref],Table1[[#This Row],[DC_name_Xref]]),0)</f>
        <v>0</v>
      </c>
      <c r="M8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6" s="3">
        <f>IFERROR(INDEX(Table3[#All],MATCH(Table1[[#This Row],[Key_Year_Week_Brand]],Table3[[#All],[Key_Year_Week_Brand]],0),MATCH(Table1[[#This Row],[DC_name_Xref]],Table3[#Headers],0)),0)</f>
        <v>0</v>
      </c>
      <c r="O886">
        <f>IFERROR(INDEX(Table35[#All],MATCH(Table1[[#This Row],[Key_Year_Week_Brand]],Table35[[#All],[Key_Year_Month_Brand]],0),MATCH(Table1[[#This Row],[DC_name_Xref]],Table35[#Headers],0)),0)</f>
        <v>0</v>
      </c>
    </row>
    <row r="887" spans="1:15" x14ac:dyDescent="0.3">
      <c r="A887" s="19" t="str">
        <f>Table1[[#This Row],[Year_Week]]&amp;"-"&amp;Table1[[#This Row],[DC_name_Xref]]</f>
        <v>202244-EAO</v>
      </c>
      <c r="B887" s="19" t="str">
        <f>Table1[[#This Row],[Fiscal_Year]]*100+Table1[[#This Row],[Fiscal_Week]] &amp; "-" &amp;Table1[[#This Row],[BRAND]]</f>
        <v>202244-Gap Factory Store</v>
      </c>
      <c r="C887" t="str">
        <f>Table1[[#This Row],[Fiscal_Year]]&amp;"-"&amp;Table1[[#This Row],[BRAND]]</f>
        <v>2022-Gap Factory Store</v>
      </c>
      <c r="D887">
        <v>2022</v>
      </c>
      <c r="E887">
        <v>44</v>
      </c>
      <c r="F887" t="s">
        <v>22</v>
      </c>
      <c r="G887" t="s">
        <v>8</v>
      </c>
      <c r="H887">
        <v>4</v>
      </c>
      <c r="I887">
        <v>0</v>
      </c>
      <c r="J887" t="str">
        <f>VLOOKUP(H887,DC_Xref!A:B,2,FALSE)</f>
        <v>EAO</v>
      </c>
      <c r="K887">
        <f t="shared" si="13"/>
        <v>202244</v>
      </c>
      <c r="L887">
        <f>IFERROR(Table1[[#This Row],[Demand]]/SUMIFS(Table1[Demand],Table1[Fiscal_Year],Table1[[#This Row],[Fiscal_Year]],Table1[BRAND],Table1[[#This Row],[BRAND]],Table1[DC_name_Xref],Table1[[#This Row],[DC_name_Xref]]),0)</f>
        <v>0</v>
      </c>
      <c r="M8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7" s="3">
        <f>IFERROR(INDEX(Table3[#All],MATCH(Table1[[#This Row],[Key_Year_Week_Brand]],Table3[[#All],[Key_Year_Week_Brand]],0),MATCH(Table1[[#This Row],[DC_name_Xref]],Table3[#Headers],0)),0)</f>
        <v>0</v>
      </c>
      <c r="O887">
        <f>IFERROR(INDEX(Table35[#All],MATCH(Table1[[#This Row],[Key_Year_Week_Brand]],Table35[[#All],[Key_Year_Month_Brand]],0),MATCH(Table1[[#This Row],[DC_name_Xref]],Table35[#Headers],0)),0)</f>
        <v>0</v>
      </c>
    </row>
    <row r="888" spans="1:15" x14ac:dyDescent="0.3">
      <c r="A888" s="19" t="str">
        <f>Table1[[#This Row],[Year_Week]]&amp;"-"&amp;Table1[[#This Row],[DC_name_Xref]]</f>
        <v>202244-FFC-ODC</v>
      </c>
      <c r="B888" s="19" t="str">
        <f>Table1[[#This Row],[Fiscal_Year]]*100+Table1[[#This Row],[Fiscal_Week]] &amp; "-" &amp;Table1[[#This Row],[BRAND]]</f>
        <v>202244-Gap Factory Store</v>
      </c>
      <c r="C888" t="str">
        <f>Table1[[#This Row],[Fiscal_Year]]&amp;"-"&amp;Table1[[#This Row],[BRAND]]</f>
        <v>2022-Gap Factory Store</v>
      </c>
      <c r="D888">
        <v>2022</v>
      </c>
      <c r="E888">
        <v>44</v>
      </c>
      <c r="F888" t="s">
        <v>22</v>
      </c>
      <c r="G888" t="s">
        <v>23</v>
      </c>
      <c r="H888">
        <v>5</v>
      </c>
      <c r="I888">
        <v>0</v>
      </c>
      <c r="J888" t="str">
        <f>VLOOKUP(H888,DC_Xref!A:B,2,FALSE)</f>
        <v>FFC-ODC</v>
      </c>
      <c r="K888">
        <f t="shared" si="13"/>
        <v>202244</v>
      </c>
      <c r="L888">
        <f>IFERROR(Table1[[#This Row],[Demand]]/SUMIFS(Table1[Demand],Table1[Fiscal_Year],Table1[[#This Row],[Fiscal_Year]],Table1[BRAND],Table1[[#This Row],[BRAND]],Table1[DC_name_Xref],Table1[[#This Row],[DC_name_Xref]]),0)</f>
        <v>0</v>
      </c>
      <c r="M8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8" s="3">
        <f>IFERROR(INDEX(Table3[#All],MATCH(Table1[[#This Row],[Key_Year_Week_Brand]],Table3[[#All],[Key_Year_Week_Brand]],0),MATCH(Table1[[#This Row],[DC_name_Xref]],Table3[#Headers],0)),0)</f>
        <v>0</v>
      </c>
      <c r="O888">
        <f>IFERROR(INDEX(Table35[#All],MATCH(Table1[[#This Row],[Key_Year_Week_Brand]],Table35[[#All],[Key_Year_Month_Brand]],0),MATCH(Table1[[#This Row],[DC_name_Xref]],Table35[#Headers],0)),0)</f>
        <v>0</v>
      </c>
    </row>
    <row r="889" spans="1:15" x14ac:dyDescent="0.3">
      <c r="A889" s="19" t="str">
        <f>Table1[[#This Row],[Year_Week]]&amp;"-"&amp;Table1[[#This Row],[DC_name_Xref]]</f>
        <v>202244-WEO</v>
      </c>
      <c r="B889" s="19" t="str">
        <f>Table1[[#This Row],[Fiscal_Year]]*100+Table1[[#This Row],[Fiscal_Week]] &amp; "-" &amp;Table1[[#This Row],[BRAND]]</f>
        <v>202244-Gap Factory Store</v>
      </c>
      <c r="C889" t="str">
        <f>Table1[[#This Row],[Fiscal_Year]]&amp;"-"&amp;Table1[[#This Row],[BRAND]]</f>
        <v>2022-Gap Factory Store</v>
      </c>
      <c r="D889">
        <v>2022</v>
      </c>
      <c r="E889">
        <v>44</v>
      </c>
      <c r="F889" t="s">
        <v>22</v>
      </c>
      <c r="G889" t="s">
        <v>10</v>
      </c>
      <c r="H889">
        <v>6</v>
      </c>
      <c r="I889">
        <v>0</v>
      </c>
      <c r="J889" t="str">
        <f>VLOOKUP(H889,DC_Xref!A:B,2,FALSE)</f>
        <v>WEO</v>
      </c>
      <c r="K889">
        <f t="shared" si="13"/>
        <v>202244</v>
      </c>
      <c r="L889">
        <f>IFERROR(Table1[[#This Row],[Demand]]/SUMIFS(Table1[Demand],Table1[Fiscal_Year],Table1[[#This Row],[Fiscal_Year]],Table1[BRAND],Table1[[#This Row],[BRAND]],Table1[DC_name_Xref],Table1[[#This Row],[DC_name_Xref]]),0)</f>
        <v>0</v>
      </c>
      <c r="M8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89" s="3">
        <f>IFERROR(INDEX(Table3[#All],MATCH(Table1[[#This Row],[Key_Year_Week_Brand]],Table3[[#All],[Key_Year_Week_Brand]],0),MATCH(Table1[[#This Row],[DC_name_Xref]],Table3[#Headers],0)),0)</f>
        <v>0</v>
      </c>
      <c r="O889">
        <f>IFERROR(INDEX(Table35[#All],MATCH(Table1[[#This Row],[Key_Year_Week_Brand]],Table35[[#All],[Key_Year_Month_Brand]],0),MATCH(Table1[[#This Row],[DC_name_Xref]],Table35[#Headers],0)),0)</f>
        <v>0</v>
      </c>
    </row>
    <row r="890" spans="1:15" x14ac:dyDescent="0.3">
      <c r="A890" s="19" t="str">
        <f>Table1[[#This Row],[Year_Week]]&amp;"-"&amp;Table1[[#This Row],[DC_name_Xref]]</f>
        <v>202244-OCC</v>
      </c>
      <c r="B890" s="19" t="str">
        <f>Table1[[#This Row],[Fiscal_Year]]*100+Table1[[#This Row],[Fiscal_Week]] &amp; "-" &amp;Table1[[#This Row],[BRAND]]</f>
        <v>202244-Gap Factory Store</v>
      </c>
      <c r="C890" t="str">
        <f>Table1[[#This Row],[Fiscal_Year]]&amp;"-"&amp;Table1[[#This Row],[BRAND]]</f>
        <v>2022-Gap Factory Store</v>
      </c>
      <c r="D890">
        <v>2022</v>
      </c>
      <c r="E890">
        <v>44</v>
      </c>
      <c r="F890" t="s">
        <v>22</v>
      </c>
      <c r="G890" t="s">
        <v>11</v>
      </c>
      <c r="H890">
        <v>7</v>
      </c>
      <c r="I890">
        <v>0</v>
      </c>
      <c r="J890" t="str">
        <f>VLOOKUP(H890,DC_Xref!A:B,2,FALSE)</f>
        <v>OCC</v>
      </c>
      <c r="K890">
        <f t="shared" si="13"/>
        <v>202244</v>
      </c>
      <c r="L890">
        <f>IFERROR(Table1[[#This Row],[Demand]]/SUMIFS(Table1[Demand],Table1[Fiscal_Year],Table1[[#This Row],[Fiscal_Year]],Table1[BRAND],Table1[[#This Row],[BRAND]],Table1[DC_name_Xref],Table1[[#This Row],[DC_name_Xref]]),0)</f>
        <v>0</v>
      </c>
      <c r="M8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90" s="3">
        <f>IFERROR(INDEX(Table3[#All],MATCH(Table1[[#This Row],[Key_Year_Week_Brand]],Table3[[#All],[Key_Year_Week_Brand]],0),MATCH(Table1[[#This Row],[DC_name_Xref]],Table3[#Headers],0)),0)</f>
        <v>0</v>
      </c>
      <c r="O890">
        <f>IFERROR(INDEX(Table35[#All],MATCH(Table1[[#This Row],[Key_Year_Week_Brand]],Table35[[#All],[Key_Year_Month_Brand]],0),MATCH(Table1[[#This Row],[DC_name_Xref]],Table35[#Headers],0)),0)</f>
        <v>0</v>
      </c>
    </row>
    <row r="891" spans="1:15" x14ac:dyDescent="0.3">
      <c r="A891" s="19" t="str">
        <f>Table1[[#This Row],[Year_Week]]&amp;"-"&amp;Table1[[#This Row],[DC_name_Xref]]</f>
        <v>202244-OFC</v>
      </c>
      <c r="B891" s="19" t="str">
        <f>Table1[[#This Row],[Fiscal_Year]]*100+Table1[[#This Row],[Fiscal_Week]] &amp; "-" &amp;Table1[[#This Row],[BRAND]]</f>
        <v>202244-Old Navy</v>
      </c>
      <c r="C891" t="str">
        <f>Table1[[#This Row],[Fiscal_Year]]&amp;"-"&amp;Table1[[#This Row],[BRAND]]</f>
        <v>2022-Old Navy</v>
      </c>
      <c r="D891">
        <v>2022</v>
      </c>
      <c r="E891">
        <v>44</v>
      </c>
      <c r="F891" t="s">
        <v>20</v>
      </c>
      <c r="G891" t="s">
        <v>5</v>
      </c>
      <c r="H891">
        <v>1</v>
      </c>
      <c r="I891">
        <v>3167192</v>
      </c>
      <c r="J891" t="str">
        <f>VLOOKUP(H891,DC_Xref!A:B,2,FALSE)</f>
        <v>OFC</v>
      </c>
      <c r="K891">
        <f t="shared" si="13"/>
        <v>202244</v>
      </c>
      <c r="L891">
        <f>IFERROR(Table1[[#This Row],[Demand]]/SUMIFS(Table1[Demand],Table1[Fiscal_Year],Table1[[#This Row],[Fiscal_Year]],Table1[BRAND],Table1[[#This Row],[BRAND]],Table1[DC_name_Xref],Table1[[#This Row],[DC_name_Xref]]),0)</f>
        <v>0.29333698616231696</v>
      </c>
      <c r="M8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0.29585489279144922</v>
      </c>
      <c r="N891" s="3">
        <f>IFERROR(INDEX(Table3[#All],MATCH(Table1[[#This Row],[Key_Year_Week_Brand]],Table3[[#All],[Key_Year_Week_Brand]],0),MATCH(Table1[[#This Row],[DC_name_Xref]],Table3[#Headers],0)),0)</f>
        <v>0.09</v>
      </c>
      <c r="O891">
        <f>IFERROR(INDEX(Table35[#All],MATCH(Table1[[#This Row],[Key_Year_Week_Brand]],Table35[[#All],[Key_Year_Month_Brand]],0),MATCH(Table1[[#This Row],[DC_name_Xref]],Table35[#Headers],0)),0)</f>
        <v>951850.52999999991</v>
      </c>
    </row>
    <row r="892" spans="1:15" x14ac:dyDescent="0.3">
      <c r="A892" s="19" t="str">
        <f>Table1[[#This Row],[Year_Week]]&amp;"-"&amp;Table1[[#This Row],[DC_name_Xref]]</f>
        <v>202244-TFC</v>
      </c>
      <c r="B892" s="19" t="str">
        <f>Table1[[#This Row],[Fiscal_Year]]*100+Table1[[#This Row],[Fiscal_Week]] &amp; "-" &amp;Table1[[#This Row],[BRAND]]</f>
        <v>202244-Old Navy</v>
      </c>
      <c r="C892" t="str">
        <f>Table1[[#This Row],[Fiscal_Year]]&amp;"-"&amp;Table1[[#This Row],[BRAND]]</f>
        <v>2022-Old Navy</v>
      </c>
      <c r="D892">
        <v>2022</v>
      </c>
      <c r="E892">
        <v>44</v>
      </c>
      <c r="F892" t="s">
        <v>20</v>
      </c>
      <c r="G892" t="s">
        <v>21</v>
      </c>
      <c r="H892">
        <v>2</v>
      </c>
      <c r="I892">
        <v>1250944</v>
      </c>
      <c r="J892" t="str">
        <f>VLOOKUP(H892,DC_Xref!A:B,2,FALSE)</f>
        <v>TFC</v>
      </c>
      <c r="K892">
        <f t="shared" si="13"/>
        <v>202244</v>
      </c>
      <c r="L892">
        <f>IFERROR(Table1[[#This Row],[Demand]]/SUMIFS(Table1[Demand],Table1[Fiscal_Year],Table1[[#This Row],[Fiscal_Year]],Table1[BRAND],Table1[[#This Row],[BRAND]],Table1[DC_name_Xref],Table1[[#This Row],[DC_name_Xref]]),0)</f>
        <v>0.20154982805467192</v>
      </c>
      <c r="M8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0.1700695749184051</v>
      </c>
      <c r="N892" s="3">
        <f>IFERROR(INDEX(Table3[#All],MATCH(Table1[[#This Row],[Key_Year_Week_Brand]],Table3[[#All],[Key_Year_Week_Brand]],0),MATCH(Table1[[#This Row],[DC_name_Xref]],Table3[#Headers],0)),0)</f>
        <v>0.11</v>
      </c>
      <c r="O892">
        <f>IFERROR(INDEX(Table35[#All],MATCH(Table1[[#This Row],[Key_Year_Week_Brand]],Table35[[#All],[Key_Year_Month_Brand]],0),MATCH(Table1[[#This Row],[DC_name_Xref]],Table35[#Headers],0)),0)</f>
        <v>1163372.8700000001</v>
      </c>
    </row>
    <row r="893" spans="1:15" x14ac:dyDescent="0.3">
      <c r="A893" s="19" t="str">
        <f>Table1[[#This Row],[Year_Week]]&amp;"-"&amp;Table1[[#This Row],[DC_name_Xref]]</f>
        <v>202244-WFC</v>
      </c>
      <c r="B893" s="19" t="str">
        <f>Table1[[#This Row],[Fiscal_Year]]*100+Table1[[#This Row],[Fiscal_Week]] &amp; "-" &amp;Table1[[#This Row],[BRAND]]</f>
        <v>202244-Old Navy</v>
      </c>
      <c r="C893" t="str">
        <f>Table1[[#This Row],[Fiscal_Year]]&amp;"-"&amp;Table1[[#This Row],[BRAND]]</f>
        <v>2022-Old Navy</v>
      </c>
      <c r="D893">
        <v>2022</v>
      </c>
      <c r="E893">
        <v>44</v>
      </c>
      <c r="F893" t="s">
        <v>20</v>
      </c>
      <c r="G893" t="s">
        <v>7</v>
      </c>
      <c r="H893">
        <v>3</v>
      </c>
      <c r="I893">
        <v>2144148</v>
      </c>
      <c r="J893" t="str">
        <f>VLOOKUP(H893,DC_Xref!A:B,2,FALSE)</f>
        <v>WFC</v>
      </c>
      <c r="K893">
        <f t="shared" si="13"/>
        <v>202244</v>
      </c>
      <c r="L893">
        <f>IFERROR(Table1[[#This Row],[Demand]]/SUMIFS(Table1[Demand],Table1[Fiscal_Year],Table1[[#This Row],[Fiscal_Year]],Table1[BRAND],Table1[[#This Row],[BRAND]],Table1[DC_name_Xref],Table1[[#This Row],[DC_name_Xref]]),0)</f>
        <v>0.29131460090548567</v>
      </c>
      <c r="M8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0.20168040124931302</v>
      </c>
      <c r="N893" s="3">
        <f>IFERROR(INDEX(Table3[#All],MATCH(Table1[[#This Row],[Key_Year_Week_Brand]],Table3[[#All],[Key_Year_Week_Brand]],0),MATCH(Table1[[#This Row],[DC_name_Xref]],Table3[#Headers],0)),0)</f>
        <v>0</v>
      </c>
      <c r="O893">
        <f>IFERROR(INDEX(Table35[#All],MATCH(Table1[[#This Row],[Key_Year_Week_Brand]],Table35[[#All],[Key_Year_Month_Brand]],0),MATCH(Table1[[#This Row],[DC_name_Xref]],Table35[#Headers],0)),0)</f>
        <v>0</v>
      </c>
    </row>
    <row r="894" spans="1:15" x14ac:dyDescent="0.3">
      <c r="A894" s="19" t="str">
        <f>Table1[[#This Row],[Year_Week]]&amp;"-"&amp;Table1[[#This Row],[DC_name_Xref]]</f>
        <v>202244-EAO</v>
      </c>
      <c r="B894" s="19" t="str">
        <f>Table1[[#This Row],[Fiscal_Year]]*100+Table1[[#This Row],[Fiscal_Week]] &amp; "-" &amp;Table1[[#This Row],[BRAND]]</f>
        <v>202244-Old Navy</v>
      </c>
      <c r="C894" t="str">
        <f>Table1[[#This Row],[Fiscal_Year]]&amp;"-"&amp;Table1[[#This Row],[BRAND]]</f>
        <v>2022-Old Navy</v>
      </c>
      <c r="D894">
        <v>2022</v>
      </c>
      <c r="E894">
        <v>44</v>
      </c>
      <c r="F894" t="s">
        <v>20</v>
      </c>
      <c r="G894" t="s">
        <v>8</v>
      </c>
      <c r="H894">
        <v>4</v>
      </c>
      <c r="I894">
        <v>4013833</v>
      </c>
      <c r="J894" t="str">
        <f>VLOOKUP(H894,DC_Xref!A:B,2,FALSE)</f>
        <v>EAO</v>
      </c>
      <c r="K894">
        <f t="shared" si="13"/>
        <v>202244</v>
      </c>
      <c r="L894">
        <f>IFERROR(Table1[[#This Row],[Demand]]/SUMIFS(Table1[Demand],Table1[Fiscal_Year],Table1[[#This Row],[Fiscal_Year]],Table1[BRAND],Table1[[#This Row],[BRAND]],Table1[DC_name_Xref],Table1[[#This Row],[DC_name_Xref]]),0)</f>
        <v>0.33088405196991783</v>
      </c>
      <c r="M8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0.33239513104083268</v>
      </c>
      <c r="N894" s="3">
        <f>IFERROR(INDEX(Table3[#All],MATCH(Table1[[#This Row],[Key_Year_Week_Brand]],Table3[[#All],[Key_Year_Week_Brand]],0),MATCH(Table1[[#This Row],[DC_name_Xref]],Table3[#Headers],0)),0)</f>
        <v>0.21</v>
      </c>
      <c r="O894">
        <f>IFERROR(INDEX(Table35[#All],MATCH(Table1[[#This Row],[Key_Year_Week_Brand]],Table35[[#All],[Key_Year_Month_Brand]],0),MATCH(Table1[[#This Row],[DC_name_Xref]],Table35[#Headers],0)),0)</f>
        <v>2220984.5699999998</v>
      </c>
    </row>
    <row r="895" spans="1:15" x14ac:dyDescent="0.3">
      <c r="A895" s="19" t="str">
        <f>Table1[[#This Row],[Year_Week]]&amp;"-"&amp;Table1[[#This Row],[DC_name_Xref]]</f>
        <v>202244-FFC-ODC</v>
      </c>
      <c r="B895" s="19" t="str">
        <f>Table1[[#This Row],[Fiscal_Year]]*100+Table1[[#This Row],[Fiscal_Week]] &amp; "-" &amp;Table1[[#This Row],[BRAND]]</f>
        <v>202244-Old Navy</v>
      </c>
      <c r="C895" t="str">
        <f>Table1[[#This Row],[Fiscal_Year]]&amp;"-"&amp;Table1[[#This Row],[BRAND]]</f>
        <v>2022-Old Navy</v>
      </c>
      <c r="D895">
        <v>2022</v>
      </c>
      <c r="E895">
        <v>44</v>
      </c>
      <c r="F895" t="s">
        <v>20</v>
      </c>
      <c r="G895" t="s">
        <v>23</v>
      </c>
      <c r="H895">
        <v>5</v>
      </c>
      <c r="I895">
        <v>0</v>
      </c>
      <c r="J895" t="str">
        <f>VLOOKUP(H895,DC_Xref!A:B,2,FALSE)</f>
        <v>FFC-ODC</v>
      </c>
      <c r="K895">
        <f t="shared" si="13"/>
        <v>202244</v>
      </c>
      <c r="L895">
        <f>IFERROR(Table1[[#This Row],[Demand]]/SUMIFS(Table1[Demand],Table1[Fiscal_Year],Table1[[#This Row],[Fiscal_Year]],Table1[BRAND],Table1[[#This Row],[BRAND]],Table1[DC_name_Xref],Table1[[#This Row],[DC_name_Xref]]),0)</f>
        <v>0</v>
      </c>
      <c r="M8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95" s="3">
        <f>IFERROR(INDEX(Table3[#All],MATCH(Table1[[#This Row],[Key_Year_Week_Brand]],Table3[[#All],[Key_Year_Week_Brand]],0),MATCH(Table1[[#This Row],[DC_name_Xref]],Table3[#Headers],0)),0)</f>
        <v>0</v>
      </c>
      <c r="O895">
        <f>IFERROR(INDEX(Table35[#All],MATCH(Table1[[#This Row],[Key_Year_Week_Brand]],Table35[[#All],[Key_Year_Month_Brand]],0),MATCH(Table1[[#This Row],[DC_name_Xref]],Table35[#Headers],0)),0)</f>
        <v>0</v>
      </c>
    </row>
    <row r="896" spans="1:15" x14ac:dyDescent="0.3">
      <c r="A896" s="19" t="str">
        <f>Table1[[#This Row],[Year_Week]]&amp;"-"&amp;Table1[[#This Row],[DC_name_Xref]]</f>
        <v>202244-WEO</v>
      </c>
      <c r="B896" s="19" t="str">
        <f>Table1[[#This Row],[Fiscal_Year]]*100+Table1[[#This Row],[Fiscal_Week]] &amp; "-" &amp;Table1[[#This Row],[BRAND]]</f>
        <v>202244-Old Navy</v>
      </c>
      <c r="C896" t="str">
        <f>Table1[[#This Row],[Fiscal_Year]]&amp;"-"&amp;Table1[[#This Row],[BRAND]]</f>
        <v>2022-Old Navy</v>
      </c>
      <c r="D896">
        <v>2022</v>
      </c>
      <c r="E896">
        <v>44</v>
      </c>
      <c r="F896" t="s">
        <v>20</v>
      </c>
      <c r="G896" t="s">
        <v>10</v>
      </c>
      <c r="H896">
        <v>6</v>
      </c>
      <c r="I896">
        <v>0</v>
      </c>
      <c r="J896" t="str">
        <f>VLOOKUP(H896,DC_Xref!A:B,2,FALSE)</f>
        <v>WEO</v>
      </c>
      <c r="K896">
        <f t="shared" si="13"/>
        <v>202244</v>
      </c>
      <c r="L896">
        <f>IFERROR(Table1[[#This Row],[Demand]]/SUMIFS(Table1[Demand],Table1[Fiscal_Year],Table1[[#This Row],[Fiscal_Year]],Table1[BRAND],Table1[[#This Row],[BRAND]],Table1[DC_name_Xref],Table1[[#This Row],[DC_name_Xref]]),0)</f>
        <v>0</v>
      </c>
      <c r="M8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96" s="3">
        <f>IFERROR(INDEX(Table3[#All],MATCH(Table1[[#This Row],[Key_Year_Week_Brand]],Table3[[#All],[Key_Year_Week_Brand]],0),MATCH(Table1[[#This Row],[DC_name_Xref]],Table3[#Headers],0)),0)</f>
        <v>0.14000000000000001</v>
      </c>
      <c r="O896">
        <f>IFERROR(INDEX(Table35[#All],MATCH(Table1[[#This Row],[Key_Year_Week_Brand]],Table35[[#All],[Key_Year_Month_Brand]],0),MATCH(Table1[[#This Row],[DC_name_Xref]],Table35[#Headers],0)),0)</f>
        <v>1480656.3800000001</v>
      </c>
    </row>
    <row r="897" spans="1:15" x14ac:dyDescent="0.3">
      <c r="A897" s="19" t="str">
        <f>Table1[[#This Row],[Year_Week]]&amp;"-"&amp;Table1[[#This Row],[DC_name_Xref]]</f>
        <v>202244-OCC</v>
      </c>
      <c r="B897" s="19" t="str">
        <f>Table1[[#This Row],[Fiscal_Year]]*100+Table1[[#This Row],[Fiscal_Week]] &amp; "-" &amp;Table1[[#This Row],[BRAND]]</f>
        <v>202244-Old Navy</v>
      </c>
      <c r="C897" t="str">
        <f>Table1[[#This Row],[Fiscal_Year]]&amp;"-"&amp;Table1[[#This Row],[BRAND]]</f>
        <v>2022-Old Navy</v>
      </c>
      <c r="D897">
        <v>2022</v>
      </c>
      <c r="E897">
        <v>44</v>
      </c>
      <c r="F897" t="s">
        <v>20</v>
      </c>
      <c r="G897" t="s">
        <v>11</v>
      </c>
      <c r="H897">
        <v>7</v>
      </c>
      <c r="I897">
        <v>0</v>
      </c>
      <c r="J897" t="str">
        <f>VLOOKUP(H897,DC_Xref!A:B,2,FALSE)</f>
        <v>OCC</v>
      </c>
      <c r="K897">
        <f t="shared" si="13"/>
        <v>202244</v>
      </c>
      <c r="L897">
        <f>IFERROR(Table1[[#This Row],[Demand]]/SUMIFS(Table1[Demand],Table1[Fiscal_Year],Table1[[#This Row],[Fiscal_Year]],Table1[BRAND],Table1[[#This Row],[BRAND]],Table1[DC_name_Xref],Table1[[#This Row],[DC_name_Xref]]),0)</f>
        <v>0</v>
      </c>
      <c r="M8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897" s="3">
        <f>IFERROR(INDEX(Table3[#All],MATCH(Table1[[#This Row],[Key_Year_Week_Brand]],Table3[[#All],[Key_Year_Week_Brand]],0),MATCH(Table1[[#This Row],[DC_name_Xref]],Table3[#Headers],0)),0)</f>
        <v>0.45</v>
      </c>
      <c r="O897">
        <f>IFERROR(INDEX(Table35[#All],MATCH(Table1[[#This Row],[Key_Year_Week_Brand]],Table35[[#All],[Key_Year_Month_Brand]],0),MATCH(Table1[[#This Row],[DC_name_Xref]],Table35[#Headers],0)),0)</f>
        <v>4759252.6500000004</v>
      </c>
    </row>
    <row r="898" spans="1:15" x14ac:dyDescent="0.3">
      <c r="A898" s="19" t="str">
        <f>Table1[[#This Row],[Year_Week]]&amp;"-"&amp;Table1[[#This Row],[DC_name_Xref]]</f>
        <v>202244-OFC</v>
      </c>
      <c r="B898" s="19" t="str">
        <f>Table1[[#This Row],[Fiscal_Year]]*100+Table1[[#This Row],[Fiscal_Week]] &amp; "-" &amp;Table1[[#This Row],[BRAND]]</f>
        <v>202244-Gap</v>
      </c>
      <c r="C898" t="str">
        <f>Table1[[#This Row],[Fiscal_Year]]&amp;"-"&amp;Table1[[#This Row],[BRAND]]</f>
        <v>2022-Gap</v>
      </c>
      <c r="D898">
        <v>2022</v>
      </c>
      <c r="E898">
        <v>44</v>
      </c>
      <c r="F898" t="s">
        <v>16</v>
      </c>
      <c r="G898" t="s">
        <v>5</v>
      </c>
      <c r="H898">
        <v>1</v>
      </c>
      <c r="I898">
        <v>3124732</v>
      </c>
      <c r="J898" t="str">
        <f>VLOOKUP(H898,DC_Xref!A:B,2,FALSE)</f>
        <v>OFC</v>
      </c>
      <c r="K898">
        <f t="shared" ref="K898:K961" si="14">D898*100+E898</f>
        <v>202244</v>
      </c>
      <c r="L898">
        <f>IFERROR(Table1[[#This Row],[Demand]]/SUMIFS(Table1[Demand],Table1[Fiscal_Year],Table1[[#This Row],[Fiscal_Year]],Table1[BRAND],Table1[[#This Row],[BRAND]],Table1[DC_name_Xref],Table1[[#This Row],[DC_name_Xref]]),0)</f>
        <v>0.26956070001040378</v>
      </c>
      <c r="M8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0.66900253139543242</v>
      </c>
      <c r="N898" s="3">
        <f>IFERROR(INDEX(Table3[#All],MATCH(Table1[[#This Row],[Key_Year_Week_Brand]],Table3[[#All],[Key_Year_Week_Brand]],0),MATCH(Table1[[#This Row],[DC_name_Xref]],Table3[#Headers],0)),0)</f>
        <v>0</v>
      </c>
      <c r="O898">
        <f>IFERROR(INDEX(Table35[#All],MATCH(Table1[[#This Row],[Key_Year_Week_Brand]],Table35[[#All],[Key_Year_Month_Brand]],0),MATCH(Table1[[#This Row],[DC_name_Xref]],Table35[#Headers],0)),0)</f>
        <v>0</v>
      </c>
    </row>
    <row r="899" spans="1:15" x14ac:dyDescent="0.3">
      <c r="A899" s="19" t="str">
        <f>Table1[[#This Row],[Year_Week]]&amp;"-"&amp;Table1[[#This Row],[DC_name_Xref]]</f>
        <v>202244-TFC</v>
      </c>
      <c r="B899" s="19" t="str">
        <f>Table1[[#This Row],[Fiscal_Year]]*100+Table1[[#This Row],[Fiscal_Week]] &amp; "-" &amp;Table1[[#This Row],[BRAND]]</f>
        <v>202244-Gap</v>
      </c>
      <c r="C899" t="str">
        <f>Table1[[#This Row],[Fiscal_Year]]&amp;"-"&amp;Table1[[#This Row],[BRAND]]</f>
        <v>2022-Gap</v>
      </c>
      <c r="D899">
        <v>2022</v>
      </c>
      <c r="E899">
        <v>44</v>
      </c>
      <c r="F899" t="s">
        <v>16</v>
      </c>
      <c r="G899" t="s">
        <v>21</v>
      </c>
      <c r="H899">
        <v>2</v>
      </c>
      <c r="I899">
        <v>171</v>
      </c>
      <c r="J899" t="str">
        <f>VLOOKUP(H899,DC_Xref!A:B,2,FALSE)</f>
        <v>TFC</v>
      </c>
      <c r="K899">
        <f t="shared" si="14"/>
        <v>202244</v>
      </c>
      <c r="L899">
        <f>IFERROR(Table1[[#This Row],[Demand]]/SUMIFS(Table1[Demand],Table1[Fiscal_Year],Table1[[#This Row],[Fiscal_Year]],Table1[BRAND],Table1[[#This Row],[BRAND]],Table1[DC_name_Xref],Table1[[#This Row],[DC_name_Xref]]),0)</f>
        <v>8.1975071907957817E-2</v>
      </c>
      <c r="M8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1.2038873904742382E-4</v>
      </c>
      <c r="N899" s="3">
        <f>IFERROR(INDEX(Table3[#All],MATCH(Table1[[#This Row],[Key_Year_Week_Brand]],Table3[[#All],[Key_Year_Week_Brand]],0),MATCH(Table1[[#This Row],[DC_name_Xref]],Table3[#Headers],0)),0)</f>
        <v>0.25</v>
      </c>
      <c r="O899">
        <f>IFERROR(INDEX(Table35[#All],MATCH(Table1[[#This Row],[Key_Year_Week_Brand]],Table35[[#All],[Key_Year_Month_Brand]],0),MATCH(Table1[[#This Row],[DC_name_Xref]],Table35[#Headers],0)),0)</f>
        <v>1209845.75</v>
      </c>
    </row>
    <row r="900" spans="1:15" x14ac:dyDescent="0.3">
      <c r="A900" s="19" t="str">
        <f>Table1[[#This Row],[Year_Week]]&amp;"-"&amp;Table1[[#This Row],[DC_name_Xref]]</f>
        <v>202244-WFC</v>
      </c>
      <c r="B900" s="19" t="str">
        <f>Table1[[#This Row],[Fiscal_Year]]*100+Table1[[#This Row],[Fiscal_Week]] &amp; "-" &amp;Table1[[#This Row],[BRAND]]</f>
        <v>202244-Gap</v>
      </c>
      <c r="C900" t="str">
        <f>Table1[[#This Row],[Fiscal_Year]]&amp;"-"&amp;Table1[[#This Row],[BRAND]]</f>
        <v>2022-Gap</v>
      </c>
      <c r="D900">
        <v>2022</v>
      </c>
      <c r="E900">
        <v>44</v>
      </c>
      <c r="F900" t="s">
        <v>16</v>
      </c>
      <c r="G900" t="s">
        <v>7</v>
      </c>
      <c r="H900">
        <v>3</v>
      </c>
      <c r="I900">
        <v>118315</v>
      </c>
      <c r="J900" t="str">
        <f>VLOOKUP(H900,DC_Xref!A:B,2,FALSE)</f>
        <v>WFC</v>
      </c>
      <c r="K900">
        <f t="shared" si="14"/>
        <v>202244</v>
      </c>
      <c r="L900">
        <f>IFERROR(Table1[[#This Row],[Demand]]/SUMIFS(Table1[Demand],Table1[Fiscal_Year],Table1[[#This Row],[Fiscal_Year]],Table1[BRAND],Table1[[#This Row],[BRAND]],Table1[DC_name_Xref],Table1[[#This Row],[DC_name_Xref]]),0)</f>
        <v>0.28666093255963271</v>
      </c>
      <c r="M9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2.3820060503709717E-2</v>
      </c>
      <c r="N900" s="3">
        <f>IFERROR(INDEX(Table3[#All],MATCH(Table1[[#This Row],[Key_Year_Week_Brand]],Table3[[#All],[Key_Year_Week_Brand]],0),MATCH(Table1[[#This Row],[DC_name_Xref]],Table3[#Headers],0)),0)</f>
        <v>0</v>
      </c>
      <c r="O900">
        <f>IFERROR(INDEX(Table35[#All],MATCH(Table1[[#This Row],[Key_Year_Week_Brand]],Table35[[#All],[Key_Year_Month_Brand]],0),MATCH(Table1[[#This Row],[DC_name_Xref]],Table35[#Headers],0)),0)</f>
        <v>0</v>
      </c>
    </row>
    <row r="901" spans="1:15" x14ac:dyDescent="0.3">
      <c r="A901" s="19" t="str">
        <f>Table1[[#This Row],[Year_Week]]&amp;"-"&amp;Table1[[#This Row],[DC_name_Xref]]</f>
        <v>202244-EAO</v>
      </c>
      <c r="B901" s="19" t="str">
        <f>Table1[[#This Row],[Fiscal_Year]]*100+Table1[[#This Row],[Fiscal_Week]] &amp; "-" &amp;Table1[[#This Row],[BRAND]]</f>
        <v>202244-Gap</v>
      </c>
      <c r="C901" t="str">
        <f>Table1[[#This Row],[Fiscal_Year]]&amp;"-"&amp;Table1[[#This Row],[BRAND]]</f>
        <v>2022-Gap</v>
      </c>
      <c r="D901">
        <v>2022</v>
      </c>
      <c r="E901">
        <v>44</v>
      </c>
      <c r="F901" t="s">
        <v>16</v>
      </c>
      <c r="G901" t="s">
        <v>8</v>
      </c>
      <c r="H901">
        <v>4</v>
      </c>
      <c r="I901">
        <v>558</v>
      </c>
      <c r="J901" t="str">
        <f>VLOOKUP(H901,DC_Xref!A:B,2,FALSE)</f>
        <v>EAO</v>
      </c>
      <c r="K901">
        <f t="shared" si="14"/>
        <v>202244</v>
      </c>
      <c r="L901">
        <f>IFERROR(Table1[[#This Row],[Demand]]/SUMIFS(Table1[Demand],Table1[Fiscal_Year],Table1[[#This Row],[Fiscal_Year]],Table1[BRAND],Table1[[#This Row],[BRAND]],Table1[DC_name_Xref],Table1[[#This Row],[DC_name_Xref]]),0)</f>
        <v>0.26814031715521386</v>
      </c>
      <c r="M9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1.2010017543513372E-4</v>
      </c>
      <c r="N901" s="3">
        <f>IFERROR(INDEX(Table3[#All],MATCH(Table1[[#This Row],[Key_Year_Week_Brand]],Table3[[#All],[Key_Year_Week_Brand]],0),MATCH(Table1[[#This Row],[DC_name_Xref]],Table3[#Headers],0)),0)</f>
        <v>0</v>
      </c>
      <c r="O901">
        <f>IFERROR(INDEX(Table35[#All],MATCH(Table1[[#This Row],[Key_Year_Week_Brand]],Table35[[#All],[Key_Year_Month_Brand]],0),MATCH(Table1[[#This Row],[DC_name_Xref]],Table35[#Headers],0)),0)</f>
        <v>0</v>
      </c>
    </row>
    <row r="902" spans="1:15" x14ac:dyDescent="0.3">
      <c r="A902" s="19" t="str">
        <f>Table1[[#This Row],[Year_Week]]&amp;"-"&amp;Table1[[#This Row],[DC_name_Xref]]</f>
        <v>202244-FFC-ODC</v>
      </c>
      <c r="B902" s="19" t="str">
        <f>Table1[[#This Row],[Fiscal_Year]]*100+Table1[[#This Row],[Fiscal_Week]] &amp; "-" &amp;Table1[[#This Row],[BRAND]]</f>
        <v>202244-Gap</v>
      </c>
      <c r="C902" t="str">
        <f>Table1[[#This Row],[Fiscal_Year]]&amp;"-"&amp;Table1[[#This Row],[BRAND]]</f>
        <v>2022-Gap</v>
      </c>
      <c r="D902">
        <v>2022</v>
      </c>
      <c r="E902">
        <v>44</v>
      </c>
      <c r="F902" t="s">
        <v>16</v>
      </c>
      <c r="G902" t="s">
        <v>23</v>
      </c>
      <c r="H902">
        <v>5</v>
      </c>
      <c r="I902">
        <v>0</v>
      </c>
      <c r="J902" t="str">
        <f>VLOOKUP(H902,DC_Xref!A:B,2,FALSE)</f>
        <v>FFC-ODC</v>
      </c>
      <c r="K902">
        <f t="shared" si="14"/>
        <v>202244</v>
      </c>
      <c r="L902">
        <f>IFERROR(Table1[[#This Row],[Demand]]/SUMIFS(Table1[Demand],Table1[Fiscal_Year],Table1[[#This Row],[Fiscal_Year]],Table1[BRAND],Table1[[#This Row],[BRAND]],Table1[DC_name_Xref],Table1[[#This Row],[DC_name_Xref]]),0)</f>
        <v>0</v>
      </c>
      <c r="M9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02" s="3">
        <f>IFERROR(INDEX(Table3[#All],MATCH(Table1[[#This Row],[Key_Year_Week_Brand]],Table3[[#All],[Key_Year_Week_Brand]],0),MATCH(Table1[[#This Row],[DC_name_Xref]],Table3[#Headers],0)),0)</f>
        <v>0</v>
      </c>
      <c r="O902">
        <f>IFERROR(INDEX(Table35[#All],MATCH(Table1[[#This Row],[Key_Year_Week_Brand]],Table35[[#All],[Key_Year_Month_Brand]],0),MATCH(Table1[[#This Row],[DC_name_Xref]],Table35[#Headers],0)),0)</f>
        <v>0</v>
      </c>
    </row>
    <row r="903" spans="1:15" x14ac:dyDescent="0.3">
      <c r="A903" s="19" t="str">
        <f>Table1[[#This Row],[Year_Week]]&amp;"-"&amp;Table1[[#This Row],[DC_name_Xref]]</f>
        <v>202244-WEO</v>
      </c>
      <c r="B903" s="19" t="str">
        <f>Table1[[#This Row],[Fiscal_Year]]*100+Table1[[#This Row],[Fiscal_Week]] &amp; "-" &amp;Table1[[#This Row],[BRAND]]</f>
        <v>202244-Gap</v>
      </c>
      <c r="C903" t="str">
        <f>Table1[[#This Row],[Fiscal_Year]]&amp;"-"&amp;Table1[[#This Row],[BRAND]]</f>
        <v>2022-Gap</v>
      </c>
      <c r="D903">
        <v>2022</v>
      </c>
      <c r="E903">
        <v>44</v>
      </c>
      <c r="F903" t="s">
        <v>16</v>
      </c>
      <c r="G903" t="s">
        <v>10</v>
      </c>
      <c r="H903">
        <v>6</v>
      </c>
      <c r="I903">
        <v>1595607</v>
      </c>
      <c r="J903" t="str">
        <f>VLOOKUP(H903,DC_Xref!A:B,2,FALSE)</f>
        <v>WEO</v>
      </c>
      <c r="K903">
        <f t="shared" si="14"/>
        <v>202244</v>
      </c>
      <c r="L903">
        <f>IFERROR(Table1[[#This Row],[Demand]]/SUMIFS(Table1[Demand],Table1[Fiscal_Year],Table1[[#This Row],[Fiscal_Year]],Table1[BRAND],Table1[[#This Row],[BRAND]],Table1[DC_name_Xref],Table1[[#This Row],[DC_name_Xref]]),0)</f>
        <v>0.30001872758471693</v>
      </c>
      <c r="M9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0.30693691918637528</v>
      </c>
      <c r="N903" s="3">
        <f>IFERROR(INDEX(Table3[#All],MATCH(Table1[[#This Row],[Key_Year_Week_Brand]],Table3[[#All],[Key_Year_Week_Brand]],0),MATCH(Table1[[#This Row],[DC_name_Xref]],Table3[#Headers],0)),0)</f>
        <v>0.45</v>
      </c>
      <c r="O903">
        <f>IFERROR(INDEX(Table35[#All],MATCH(Table1[[#This Row],[Key_Year_Week_Brand]],Table35[[#All],[Key_Year_Month_Brand]],0),MATCH(Table1[[#This Row],[DC_name_Xref]],Table35[#Headers],0)),0)</f>
        <v>2177722.35</v>
      </c>
    </row>
    <row r="904" spans="1:15" x14ac:dyDescent="0.3">
      <c r="A904" s="19" t="str">
        <f>Table1[[#This Row],[Year_Week]]&amp;"-"&amp;Table1[[#This Row],[DC_name_Xref]]</f>
        <v>202244-OCC</v>
      </c>
      <c r="B904" s="19" t="str">
        <f>Table1[[#This Row],[Fiscal_Year]]*100+Table1[[#This Row],[Fiscal_Week]] &amp; "-" &amp;Table1[[#This Row],[BRAND]]</f>
        <v>202244-Gap</v>
      </c>
      <c r="C904" t="str">
        <f>Table1[[#This Row],[Fiscal_Year]]&amp;"-"&amp;Table1[[#This Row],[BRAND]]</f>
        <v>2022-Gap</v>
      </c>
      <c r="D904">
        <v>2022</v>
      </c>
      <c r="E904">
        <v>44</v>
      </c>
      <c r="F904" t="s">
        <v>16</v>
      </c>
      <c r="G904" t="s">
        <v>11</v>
      </c>
      <c r="H904">
        <v>7</v>
      </c>
      <c r="I904">
        <v>0</v>
      </c>
      <c r="J904" t="str">
        <f>VLOOKUP(H904,DC_Xref!A:B,2,FALSE)</f>
        <v>OCC</v>
      </c>
      <c r="K904">
        <f t="shared" si="14"/>
        <v>202244</v>
      </c>
      <c r="L904">
        <f>IFERROR(Table1[[#This Row],[Demand]]/SUMIFS(Table1[Demand],Table1[Fiscal_Year],Table1[[#This Row],[Fiscal_Year]],Table1[BRAND],Table1[[#This Row],[BRAND]],Table1[DC_name_Xref],Table1[[#This Row],[DC_name_Xref]]),0)</f>
        <v>0</v>
      </c>
      <c r="M9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04" s="3">
        <f>IFERROR(INDEX(Table3[#All],MATCH(Table1[[#This Row],[Key_Year_Week_Brand]],Table3[[#All],[Key_Year_Week_Brand]],0),MATCH(Table1[[#This Row],[DC_name_Xref]],Table3[#Headers],0)),0)</f>
        <v>0.3</v>
      </c>
      <c r="O904">
        <f>IFERROR(INDEX(Table35[#All],MATCH(Table1[[#This Row],[Key_Year_Week_Brand]],Table35[[#All],[Key_Year_Month_Brand]],0),MATCH(Table1[[#This Row],[DC_name_Xref]],Table35[#Headers],0)),0)</f>
        <v>1451814.9</v>
      </c>
    </row>
    <row r="905" spans="1:15" x14ac:dyDescent="0.3">
      <c r="A905" s="19" t="str">
        <f>Table1[[#This Row],[Year_Week]]&amp;"-"&amp;Table1[[#This Row],[DC_name_Xref]]</f>
        <v>202244-OFC</v>
      </c>
      <c r="B905" s="19" t="str">
        <f>Table1[[#This Row],[Fiscal_Year]]*100+Table1[[#This Row],[Fiscal_Week]] &amp; "-" &amp;Table1[[#This Row],[BRAND]]</f>
        <v>202244-Banana Republic</v>
      </c>
      <c r="C905" t="str">
        <f>Table1[[#This Row],[Fiscal_Year]]&amp;"-"&amp;Table1[[#This Row],[BRAND]]</f>
        <v>2022-Banana Republic</v>
      </c>
      <c r="D905">
        <v>2022</v>
      </c>
      <c r="E905">
        <v>44</v>
      </c>
      <c r="F905" t="s">
        <v>18</v>
      </c>
      <c r="G905" t="s">
        <v>5</v>
      </c>
      <c r="H905">
        <v>1</v>
      </c>
      <c r="I905">
        <v>12882</v>
      </c>
      <c r="J905" t="str">
        <f>VLOOKUP(H905,DC_Xref!A:B,2,FALSE)</f>
        <v>OFC</v>
      </c>
      <c r="K905">
        <f t="shared" si="14"/>
        <v>202244</v>
      </c>
      <c r="L905">
        <f>IFERROR(Table1[[#This Row],[Demand]]/SUMIFS(Table1[Demand],Table1[Fiscal_Year],Table1[[#This Row],[Fiscal_Year]],Table1[BRAND],Table1[[#This Row],[BRAND]],Table1[DC_name_Xref],Table1[[#This Row],[DC_name_Xref]]),0)</f>
        <v>0.19073141841871483</v>
      </c>
      <c r="M9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2.1329483036365917E-2</v>
      </c>
      <c r="N905" s="3">
        <f>IFERROR(INDEX(Table3[#All],MATCH(Table1[[#This Row],[Key_Year_Week_Brand]],Table3[[#All],[Key_Year_Week_Brand]],0),MATCH(Table1[[#This Row],[DC_name_Xref]],Table3[#Headers],0)),0)</f>
        <v>0</v>
      </c>
      <c r="O905">
        <f>IFERROR(INDEX(Table35[#All],MATCH(Table1[[#This Row],[Key_Year_Week_Brand]],Table35[[#All],[Key_Year_Month_Brand]],0),MATCH(Table1[[#This Row],[DC_name_Xref]],Table35[#Headers],0)),0)</f>
        <v>0</v>
      </c>
    </row>
    <row r="906" spans="1:15" x14ac:dyDescent="0.3">
      <c r="A906" s="19" t="str">
        <f>Table1[[#This Row],[Year_Week]]&amp;"-"&amp;Table1[[#This Row],[DC_name_Xref]]</f>
        <v>202244-TFC</v>
      </c>
      <c r="B906" s="19" t="str">
        <f>Table1[[#This Row],[Fiscal_Year]]*100+Table1[[#This Row],[Fiscal_Week]] &amp; "-" &amp;Table1[[#This Row],[BRAND]]</f>
        <v>202244-Banana Republic</v>
      </c>
      <c r="C906" t="str">
        <f>Table1[[#This Row],[Fiscal_Year]]&amp;"-"&amp;Table1[[#This Row],[BRAND]]</f>
        <v>2022-Banana Republic</v>
      </c>
      <c r="D906">
        <v>2022</v>
      </c>
      <c r="E906">
        <v>44</v>
      </c>
      <c r="F906" t="s">
        <v>18</v>
      </c>
      <c r="G906" t="s">
        <v>21</v>
      </c>
      <c r="H906">
        <v>2</v>
      </c>
      <c r="I906">
        <v>847055</v>
      </c>
      <c r="J906" t="str">
        <f>VLOOKUP(H906,DC_Xref!A:B,2,FALSE)</f>
        <v>TFC</v>
      </c>
      <c r="K906">
        <f t="shared" si="14"/>
        <v>202244</v>
      </c>
      <c r="L906">
        <f>IFERROR(Table1[[#This Row],[Demand]]/SUMIFS(Table1[Demand],Table1[Fiscal_Year],Table1[[#This Row],[Fiscal_Year]],Table1[BRAND],Table1[[#This Row],[BRAND]],Table1[DC_name_Xref],Table1[[#This Row],[DC_name_Xref]]),0)</f>
        <v>0.27334706756687854</v>
      </c>
      <c r="M9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0.97862535682039753</v>
      </c>
      <c r="N906" s="3">
        <f>IFERROR(INDEX(Table3[#All],MATCH(Table1[[#This Row],[Key_Year_Week_Brand]],Table3[[#All],[Key_Year_Week_Brand]],0),MATCH(Table1[[#This Row],[DC_name_Xref]],Table3[#Headers],0)),0)</f>
        <v>1</v>
      </c>
      <c r="O906">
        <f>IFERROR(INDEX(Table35[#All],MATCH(Table1[[#This Row],[Key_Year_Week_Brand]],Table35[[#All],[Key_Year_Month_Brand]],0),MATCH(Table1[[#This Row],[DC_name_Xref]],Table35[#Headers],0)),0)</f>
        <v>860030</v>
      </c>
    </row>
    <row r="907" spans="1:15" x14ac:dyDescent="0.3">
      <c r="A907" s="19" t="str">
        <f>Table1[[#This Row],[Year_Week]]&amp;"-"&amp;Table1[[#This Row],[DC_name_Xref]]</f>
        <v>202244-WFC</v>
      </c>
      <c r="B907" s="19" t="str">
        <f>Table1[[#This Row],[Fiscal_Year]]*100+Table1[[#This Row],[Fiscal_Week]] &amp; "-" &amp;Table1[[#This Row],[BRAND]]</f>
        <v>202244-Banana Republic</v>
      </c>
      <c r="C907" t="str">
        <f>Table1[[#This Row],[Fiscal_Year]]&amp;"-"&amp;Table1[[#This Row],[BRAND]]</f>
        <v>2022-Banana Republic</v>
      </c>
      <c r="D907">
        <v>2022</v>
      </c>
      <c r="E907">
        <v>44</v>
      </c>
      <c r="F907" t="s">
        <v>18</v>
      </c>
      <c r="G907" t="s">
        <v>7</v>
      </c>
      <c r="H907">
        <v>3</v>
      </c>
      <c r="I907">
        <v>0</v>
      </c>
      <c r="J907" t="str">
        <f>VLOOKUP(H907,DC_Xref!A:B,2,FALSE)</f>
        <v>WFC</v>
      </c>
      <c r="K907">
        <f t="shared" si="14"/>
        <v>202244</v>
      </c>
      <c r="L907">
        <f>IFERROR(Table1[[#This Row],[Demand]]/SUMIFS(Table1[Demand],Table1[Fiscal_Year],Table1[[#This Row],[Fiscal_Year]],Table1[BRAND],Table1[[#This Row],[BRAND]],Table1[DC_name_Xref],Table1[[#This Row],[DC_name_Xref]]),0)</f>
        <v>0</v>
      </c>
      <c r="M9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3.1580519745877874E-6</v>
      </c>
      <c r="N907" s="3">
        <f>IFERROR(INDEX(Table3[#All],MATCH(Table1[[#This Row],[Key_Year_Week_Brand]],Table3[[#All],[Key_Year_Week_Brand]],0),MATCH(Table1[[#This Row],[DC_name_Xref]],Table3[#Headers],0)),0)</f>
        <v>3.4959629396853166E-6</v>
      </c>
      <c r="O907">
        <f>IFERROR(INDEX(Table35[#All],MATCH(Table1[[#This Row],[Key_Year_Week_Brand]],Table35[[#All],[Key_Year_Month_Brand]],0),MATCH(Table1[[#This Row],[DC_name_Xref]],Table35[#Headers],0)),0)</f>
        <v>3.0066330070175629</v>
      </c>
    </row>
    <row r="908" spans="1:15" x14ac:dyDescent="0.3">
      <c r="A908" s="19" t="str">
        <f>Table1[[#This Row],[Year_Week]]&amp;"-"&amp;Table1[[#This Row],[DC_name_Xref]]</f>
        <v>202244-EAO</v>
      </c>
      <c r="B908" s="19" t="str">
        <f>Table1[[#This Row],[Fiscal_Year]]*100+Table1[[#This Row],[Fiscal_Week]] &amp; "-" &amp;Table1[[#This Row],[BRAND]]</f>
        <v>202244-Banana Republic</v>
      </c>
      <c r="C908" t="str">
        <f>Table1[[#This Row],[Fiscal_Year]]&amp;"-"&amp;Table1[[#This Row],[BRAND]]</f>
        <v>2022-Banana Republic</v>
      </c>
      <c r="D908">
        <v>2022</v>
      </c>
      <c r="E908">
        <v>44</v>
      </c>
      <c r="F908" t="s">
        <v>18</v>
      </c>
      <c r="G908" t="s">
        <v>8</v>
      </c>
      <c r="H908">
        <v>4</v>
      </c>
      <c r="I908">
        <v>93</v>
      </c>
      <c r="J908" t="str">
        <f>VLOOKUP(H908,DC_Xref!A:B,2,FALSE)</f>
        <v>EAO</v>
      </c>
      <c r="K908">
        <f t="shared" si="14"/>
        <v>202244</v>
      </c>
      <c r="L908">
        <f>IFERROR(Table1[[#This Row],[Demand]]/SUMIFS(Table1[Demand],Table1[Fiscal_Year],Table1[[#This Row],[Fiscal_Year]],Table1[BRAND],Table1[[#This Row],[BRAND]],Table1[DC_name_Xref],Table1[[#This Row],[DC_name_Xref]]),0)</f>
        <v>0.6992481203007519</v>
      </c>
      <c r="M9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4.2002091262017571E-5</v>
      </c>
      <c r="N908" s="3">
        <f>IFERROR(INDEX(Table3[#All],MATCH(Table1[[#This Row],[Key_Year_Week_Brand]],Table3[[#All],[Key_Year_Week_Brand]],0),MATCH(Table1[[#This Row],[DC_name_Xref]],Table3[#Headers],0)),0)</f>
        <v>4.2339995602855504E-5</v>
      </c>
      <c r="O908">
        <f>IFERROR(INDEX(Table35[#All],MATCH(Table1[[#This Row],[Key_Year_Week_Brand]],Table35[[#All],[Key_Year_Month_Brand]],0),MATCH(Table1[[#This Row],[DC_name_Xref]],Table35[#Headers],0)),0)</f>
        <v>36.413666418323821</v>
      </c>
    </row>
    <row r="909" spans="1:15" x14ac:dyDescent="0.3">
      <c r="A909" s="19" t="str">
        <f>Table1[[#This Row],[Year_Week]]&amp;"-"&amp;Table1[[#This Row],[DC_name_Xref]]</f>
        <v>202244-FFC-ODC</v>
      </c>
      <c r="B909" s="19" t="str">
        <f>Table1[[#This Row],[Fiscal_Year]]*100+Table1[[#This Row],[Fiscal_Week]] &amp; "-" &amp;Table1[[#This Row],[BRAND]]</f>
        <v>202244-Banana Republic</v>
      </c>
      <c r="C909" t="str">
        <f>Table1[[#This Row],[Fiscal_Year]]&amp;"-"&amp;Table1[[#This Row],[BRAND]]</f>
        <v>2022-Banana Republic</v>
      </c>
      <c r="D909">
        <v>2022</v>
      </c>
      <c r="E909">
        <v>44</v>
      </c>
      <c r="F909" t="s">
        <v>18</v>
      </c>
      <c r="G909" t="s">
        <v>23</v>
      </c>
      <c r="H909">
        <v>5</v>
      </c>
      <c r="I909">
        <v>0</v>
      </c>
      <c r="J909" t="str">
        <f>VLOOKUP(H909,DC_Xref!A:B,2,FALSE)</f>
        <v>FFC-ODC</v>
      </c>
      <c r="K909">
        <f t="shared" si="14"/>
        <v>202244</v>
      </c>
      <c r="L909">
        <f>IFERROR(Table1[[#This Row],[Demand]]/SUMIFS(Table1[Demand],Table1[Fiscal_Year],Table1[[#This Row],[Fiscal_Year]],Table1[BRAND],Table1[[#This Row],[BRAND]],Table1[DC_name_Xref],Table1[[#This Row],[DC_name_Xref]]),0)</f>
        <v>0</v>
      </c>
      <c r="M9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09" s="3">
        <f>IFERROR(INDEX(Table3[#All],MATCH(Table1[[#This Row],[Key_Year_Week_Brand]],Table3[[#All],[Key_Year_Week_Brand]],0),MATCH(Table1[[#This Row],[DC_name_Xref]],Table3[#Headers],0)),0)</f>
        <v>0</v>
      </c>
      <c r="O909">
        <f>IFERROR(INDEX(Table35[#All],MATCH(Table1[[#This Row],[Key_Year_Week_Brand]],Table35[[#All],[Key_Year_Month_Brand]],0),MATCH(Table1[[#This Row],[DC_name_Xref]],Table35[#Headers],0)),0)</f>
        <v>0</v>
      </c>
    </row>
    <row r="910" spans="1:15" x14ac:dyDescent="0.3">
      <c r="A910" s="19" t="str">
        <f>Table1[[#This Row],[Year_Week]]&amp;"-"&amp;Table1[[#This Row],[DC_name_Xref]]</f>
        <v>202244-WEO</v>
      </c>
      <c r="B910" s="19" t="str">
        <f>Table1[[#This Row],[Fiscal_Year]]*100+Table1[[#This Row],[Fiscal_Week]] &amp; "-" &amp;Table1[[#This Row],[BRAND]]</f>
        <v>202244-Banana Republic</v>
      </c>
      <c r="C910" t="str">
        <f>Table1[[#This Row],[Fiscal_Year]]&amp;"-"&amp;Table1[[#This Row],[BRAND]]</f>
        <v>2022-Banana Republic</v>
      </c>
      <c r="D910">
        <v>2022</v>
      </c>
      <c r="E910">
        <v>44</v>
      </c>
      <c r="F910" t="s">
        <v>18</v>
      </c>
      <c r="G910" t="s">
        <v>10</v>
      </c>
      <c r="H910">
        <v>6</v>
      </c>
      <c r="I910">
        <v>0</v>
      </c>
      <c r="J910" t="str">
        <f>VLOOKUP(H910,DC_Xref!A:B,2,FALSE)</f>
        <v>WEO</v>
      </c>
      <c r="K910">
        <f t="shared" si="14"/>
        <v>202244</v>
      </c>
      <c r="L910">
        <f>IFERROR(Table1[[#This Row],[Demand]]/SUMIFS(Table1[Demand],Table1[Fiscal_Year],Table1[[#This Row],[Fiscal_Year]],Table1[BRAND],Table1[[#This Row],[BRAND]],Table1[DC_name_Xref],Table1[[#This Row],[DC_name_Xref]]),0)</f>
        <v>0</v>
      </c>
      <c r="M9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0" s="3">
        <f>IFERROR(INDEX(Table3[#All],MATCH(Table1[[#This Row],[Key_Year_Week_Brand]],Table3[[#All],[Key_Year_Week_Brand]],0),MATCH(Table1[[#This Row],[DC_name_Xref]],Table3[#Headers],0)),0)</f>
        <v>0</v>
      </c>
      <c r="O910">
        <f>IFERROR(INDEX(Table35[#All],MATCH(Table1[[#This Row],[Key_Year_Week_Brand]],Table35[[#All],[Key_Year_Month_Brand]],0),MATCH(Table1[[#This Row],[DC_name_Xref]],Table35[#Headers],0)),0)</f>
        <v>0</v>
      </c>
    </row>
    <row r="911" spans="1:15" x14ac:dyDescent="0.3">
      <c r="A911" s="19" t="str">
        <f>Table1[[#This Row],[Year_Week]]&amp;"-"&amp;Table1[[#This Row],[DC_name_Xref]]</f>
        <v>202244-OCC</v>
      </c>
      <c r="B911" s="19" t="str">
        <f>Table1[[#This Row],[Fiscal_Year]]*100+Table1[[#This Row],[Fiscal_Week]] &amp; "-" &amp;Table1[[#This Row],[BRAND]]</f>
        <v>202244-Banana Republic</v>
      </c>
      <c r="C911" t="str">
        <f>Table1[[#This Row],[Fiscal_Year]]&amp;"-"&amp;Table1[[#This Row],[BRAND]]</f>
        <v>2022-Banana Republic</v>
      </c>
      <c r="D911">
        <v>2022</v>
      </c>
      <c r="E911">
        <v>44</v>
      </c>
      <c r="F911" t="s">
        <v>18</v>
      </c>
      <c r="G911" t="s">
        <v>11</v>
      </c>
      <c r="H911">
        <v>7</v>
      </c>
      <c r="I911">
        <v>0</v>
      </c>
      <c r="J911" t="str">
        <f>VLOOKUP(H911,DC_Xref!A:B,2,FALSE)</f>
        <v>OCC</v>
      </c>
      <c r="K911">
        <f t="shared" si="14"/>
        <v>202244</v>
      </c>
      <c r="L911">
        <f>IFERROR(Table1[[#This Row],[Demand]]/SUMIFS(Table1[Demand],Table1[Fiscal_Year],Table1[[#This Row],[Fiscal_Year]],Table1[BRAND],Table1[[#This Row],[BRAND]],Table1[DC_name_Xref],Table1[[#This Row],[DC_name_Xref]]),0)</f>
        <v>0</v>
      </c>
      <c r="M9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1" s="3">
        <f>IFERROR(INDEX(Table3[#All],MATCH(Table1[[#This Row],[Key_Year_Week_Brand]],Table3[[#All],[Key_Year_Week_Brand]],0),MATCH(Table1[[#This Row],[DC_name_Xref]],Table3[#Headers],0)),0)</f>
        <v>0</v>
      </c>
      <c r="O911">
        <f>IFERROR(INDEX(Table35[#All],MATCH(Table1[[#This Row],[Key_Year_Week_Brand]],Table35[[#All],[Key_Year_Month_Brand]],0),MATCH(Table1[[#This Row],[DC_name_Xref]],Table35[#Headers],0)),0)</f>
        <v>0</v>
      </c>
    </row>
    <row r="912" spans="1:15" x14ac:dyDescent="0.3">
      <c r="A912" s="19" t="str">
        <f>Table1[[#This Row],[Year_Week]]&amp;"-"&amp;Table1[[#This Row],[DC_name_Xref]]</f>
        <v>202244-OFC</v>
      </c>
      <c r="B912" s="19" t="str">
        <f>Table1[[#This Row],[Fiscal_Year]]*100+Table1[[#This Row],[Fiscal_Week]] &amp; "-" &amp;Table1[[#This Row],[BRAND]]</f>
        <v>202244-Athleta</v>
      </c>
      <c r="C912" t="str">
        <f>Table1[[#This Row],[Fiscal_Year]]&amp;"-"&amp;Table1[[#This Row],[BRAND]]</f>
        <v>2022-Athleta</v>
      </c>
      <c r="D912">
        <v>2022</v>
      </c>
      <c r="E912">
        <v>44</v>
      </c>
      <c r="F912" t="s">
        <v>19</v>
      </c>
      <c r="G912" t="s">
        <v>5</v>
      </c>
      <c r="H912">
        <v>1</v>
      </c>
      <c r="I912">
        <v>49314</v>
      </c>
      <c r="J912" t="str">
        <f>VLOOKUP(H912,DC_Xref!A:B,2,FALSE)</f>
        <v>OFC</v>
      </c>
      <c r="K912">
        <f t="shared" si="14"/>
        <v>202244</v>
      </c>
      <c r="L912">
        <f>IFERROR(Table1[[#This Row],[Demand]]/SUMIFS(Table1[Demand],Table1[Fiscal_Year],Table1[[#This Row],[Fiscal_Year]],Table1[BRAND],Table1[[#This Row],[BRAND]],Table1[DC_name_Xref],Table1[[#This Row],[DC_name_Xref]]),0)</f>
        <v>0.19519937933928133</v>
      </c>
      <c r="M9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0.10136873512375272</v>
      </c>
      <c r="N912" s="3">
        <f>IFERROR(INDEX(Table3[#All],MATCH(Table1[[#This Row],[Key_Year_Week_Brand]],Table3[[#All],[Key_Year_Week_Brand]],0),MATCH(Table1[[#This Row],[DC_name_Xref]],Table3[#Headers],0)),0)</f>
        <v>0</v>
      </c>
      <c r="O912">
        <f>IFERROR(INDEX(Table35[#All],MATCH(Table1[[#This Row],[Key_Year_Week_Brand]],Table35[[#All],[Key_Year_Month_Brand]],0),MATCH(Table1[[#This Row],[DC_name_Xref]],Table35[#Headers],0)),0)</f>
        <v>0</v>
      </c>
    </row>
    <row r="913" spans="1:15" x14ac:dyDescent="0.3">
      <c r="A913" s="19" t="str">
        <f>Table1[[#This Row],[Year_Week]]&amp;"-"&amp;Table1[[#This Row],[DC_name_Xref]]</f>
        <v>202244-TFC</v>
      </c>
      <c r="B913" s="19" t="str">
        <f>Table1[[#This Row],[Fiscal_Year]]*100+Table1[[#This Row],[Fiscal_Week]] &amp; "-" &amp;Table1[[#This Row],[BRAND]]</f>
        <v>202244-Athleta</v>
      </c>
      <c r="C913" t="str">
        <f>Table1[[#This Row],[Fiscal_Year]]&amp;"-"&amp;Table1[[#This Row],[BRAND]]</f>
        <v>2022-Athleta</v>
      </c>
      <c r="D913">
        <v>2022</v>
      </c>
      <c r="E913">
        <v>44</v>
      </c>
      <c r="F913" t="s">
        <v>19</v>
      </c>
      <c r="G913" t="s">
        <v>21</v>
      </c>
      <c r="H913">
        <v>2</v>
      </c>
      <c r="I913">
        <v>518532</v>
      </c>
      <c r="J913" t="str">
        <f>VLOOKUP(H913,DC_Xref!A:B,2,FALSE)</f>
        <v>TFC</v>
      </c>
      <c r="K913">
        <f t="shared" si="14"/>
        <v>202244</v>
      </c>
      <c r="L913">
        <f>IFERROR(Table1[[#This Row],[Demand]]/SUMIFS(Table1[Demand],Table1[Fiscal_Year],Table1[[#This Row],[Fiscal_Year]],Table1[BRAND],Table1[[#This Row],[BRAND]],Table1[DC_name_Xref],Table1[[#This Row],[DC_name_Xref]]),0)</f>
        <v>0.23153835574599421</v>
      </c>
      <c r="M9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0.898596757600027</v>
      </c>
      <c r="N913" s="3">
        <f>IFERROR(INDEX(Table3[#All],MATCH(Table1[[#This Row],[Key_Year_Week_Brand]],Table3[[#All],[Key_Year_Week_Brand]],0),MATCH(Table1[[#This Row],[DC_name_Xref]],Table3[#Headers],0)),0)</f>
        <v>1</v>
      </c>
      <c r="O913">
        <f>IFERROR(INDEX(Table35[#All],MATCH(Table1[[#This Row],[Key_Year_Week_Brand]],Table35[[#All],[Key_Year_Month_Brand]],0),MATCH(Table1[[#This Row],[DC_name_Xref]],Table35[#Headers],0)),0)</f>
        <v>567892</v>
      </c>
    </row>
    <row r="914" spans="1:15" x14ac:dyDescent="0.3">
      <c r="A914" s="19" t="str">
        <f>Table1[[#This Row],[Year_Week]]&amp;"-"&amp;Table1[[#This Row],[DC_name_Xref]]</f>
        <v>202244-WFC</v>
      </c>
      <c r="B914" s="19" t="str">
        <f>Table1[[#This Row],[Fiscal_Year]]*100+Table1[[#This Row],[Fiscal_Week]] &amp; "-" &amp;Table1[[#This Row],[BRAND]]</f>
        <v>202244-Athleta</v>
      </c>
      <c r="C914" t="str">
        <f>Table1[[#This Row],[Fiscal_Year]]&amp;"-"&amp;Table1[[#This Row],[BRAND]]</f>
        <v>2022-Athleta</v>
      </c>
      <c r="D914">
        <v>2022</v>
      </c>
      <c r="E914">
        <v>44</v>
      </c>
      <c r="F914" t="s">
        <v>19</v>
      </c>
      <c r="G914" t="s">
        <v>7</v>
      </c>
      <c r="H914">
        <v>3</v>
      </c>
      <c r="I914">
        <v>0</v>
      </c>
      <c r="J914" t="str">
        <f>VLOOKUP(H914,DC_Xref!A:B,2,FALSE)</f>
        <v>WFC</v>
      </c>
      <c r="K914">
        <f t="shared" si="14"/>
        <v>202244</v>
      </c>
      <c r="L914">
        <f>IFERROR(Table1[[#This Row],[Demand]]/SUMIFS(Table1[Demand],Table1[Fiscal_Year],Table1[[#This Row],[Fiscal_Year]],Table1[BRAND],Table1[[#This Row],[BRAND]],Table1[DC_name_Xref],Table1[[#This Row],[DC_name_Xref]]),0)</f>
        <v>0</v>
      </c>
      <c r="M9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4" s="3">
        <f>IFERROR(INDEX(Table3[#All],MATCH(Table1[[#This Row],[Key_Year_Week_Brand]],Table3[[#All],[Key_Year_Week_Brand]],0),MATCH(Table1[[#This Row],[DC_name_Xref]],Table3[#Headers],0)),0)</f>
        <v>0</v>
      </c>
      <c r="O914">
        <f>IFERROR(INDEX(Table35[#All],MATCH(Table1[[#This Row],[Key_Year_Week_Brand]],Table35[[#All],[Key_Year_Month_Brand]],0),MATCH(Table1[[#This Row],[DC_name_Xref]],Table35[#Headers],0)),0)</f>
        <v>0</v>
      </c>
    </row>
    <row r="915" spans="1:15" x14ac:dyDescent="0.3">
      <c r="A915" s="19" t="str">
        <f>Table1[[#This Row],[Year_Week]]&amp;"-"&amp;Table1[[#This Row],[DC_name_Xref]]</f>
        <v>202244-EAO</v>
      </c>
      <c r="B915" s="19" t="str">
        <f>Table1[[#This Row],[Fiscal_Year]]*100+Table1[[#This Row],[Fiscal_Week]] &amp; "-" &amp;Table1[[#This Row],[BRAND]]</f>
        <v>202244-Athleta</v>
      </c>
      <c r="C915" t="str">
        <f>Table1[[#This Row],[Fiscal_Year]]&amp;"-"&amp;Table1[[#This Row],[BRAND]]</f>
        <v>2022-Athleta</v>
      </c>
      <c r="D915">
        <v>2022</v>
      </c>
      <c r="E915">
        <v>44</v>
      </c>
      <c r="F915" t="s">
        <v>19</v>
      </c>
      <c r="G915" t="s">
        <v>8</v>
      </c>
      <c r="H915">
        <v>4</v>
      </c>
      <c r="I915">
        <v>46</v>
      </c>
      <c r="J915" t="str">
        <f>VLOOKUP(H915,DC_Xref!A:B,2,FALSE)</f>
        <v>EAO</v>
      </c>
      <c r="K915">
        <f t="shared" si="14"/>
        <v>202244</v>
      </c>
      <c r="L915">
        <f>IFERROR(Table1[[#This Row],[Demand]]/SUMIFS(Table1[Demand],Table1[Fiscal_Year],Table1[[#This Row],[Fiscal_Year]],Table1[BRAND],Table1[[#This Row],[BRAND]],Table1[DC_name_Xref],Table1[[#This Row],[DC_name_Xref]]),0)</f>
        <v>0.53488372093023251</v>
      </c>
      <c r="M9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3.4507276220313712E-5</v>
      </c>
      <c r="N915" s="3">
        <f>IFERROR(INDEX(Table3[#All],MATCH(Table1[[#This Row],[Key_Year_Week_Brand]],Table3[[#All],[Key_Year_Week_Brand]],0),MATCH(Table1[[#This Row],[DC_name_Xref]],Table3[#Headers],0)),0)</f>
        <v>3.447122356821831E-5</v>
      </c>
      <c r="O915">
        <f>IFERROR(INDEX(Table35[#All],MATCH(Table1[[#This Row],[Key_Year_Week_Brand]],Table35[[#All],[Key_Year_Month_Brand]],0),MATCH(Table1[[#This Row],[DC_name_Xref]],Table35[#Headers],0)),0)</f>
        <v>19.575932094602631</v>
      </c>
    </row>
    <row r="916" spans="1:15" x14ac:dyDescent="0.3">
      <c r="A916" s="19" t="str">
        <f>Table1[[#This Row],[Year_Week]]&amp;"-"&amp;Table1[[#This Row],[DC_name_Xref]]</f>
        <v>202244-FFC-ODC</v>
      </c>
      <c r="B916" s="19" t="str">
        <f>Table1[[#This Row],[Fiscal_Year]]*100+Table1[[#This Row],[Fiscal_Week]] &amp; "-" &amp;Table1[[#This Row],[BRAND]]</f>
        <v>202244-Athleta</v>
      </c>
      <c r="C916" t="str">
        <f>Table1[[#This Row],[Fiscal_Year]]&amp;"-"&amp;Table1[[#This Row],[BRAND]]</f>
        <v>2022-Athleta</v>
      </c>
      <c r="D916">
        <v>2022</v>
      </c>
      <c r="E916">
        <v>44</v>
      </c>
      <c r="F916" t="s">
        <v>19</v>
      </c>
      <c r="G916" t="s">
        <v>23</v>
      </c>
      <c r="H916">
        <v>5</v>
      </c>
      <c r="I916">
        <v>0</v>
      </c>
      <c r="J916" t="str">
        <f>VLOOKUP(H916,DC_Xref!A:B,2,FALSE)</f>
        <v>FFC-ODC</v>
      </c>
      <c r="K916">
        <f t="shared" si="14"/>
        <v>202244</v>
      </c>
      <c r="L916">
        <f>IFERROR(Table1[[#This Row],[Demand]]/SUMIFS(Table1[Demand],Table1[Fiscal_Year],Table1[[#This Row],[Fiscal_Year]],Table1[BRAND],Table1[[#This Row],[BRAND]],Table1[DC_name_Xref],Table1[[#This Row],[DC_name_Xref]]),0)</f>
        <v>0</v>
      </c>
      <c r="M9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6" s="3">
        <f>IFERROR(INDEX(Table3[#All],MATCH(Table1[[#This Row],[Key_Year_Week_Brand]],Table3[[#All],[Key_Year_Week_Brand]],0),MATCH(Table1[[#This Row],[DC_name_Xref]],Table3[#Headers],0)),0)</f>
        <v>0</v>
      </c>
      <c r="O916">
        <f>IFERROR(INDEX(Table35[#All],MATCH(Table1[[#This Row],[Key_Year_Week_Brand]],Table35[[#All],[Key_Year_Month_Brand]],0),MATCH(Table1[[#This Row],[DC_name_Xref]],Table35[#Headers],0)),0)</f>
        <v>0</v>
      </c>
    </row>
    <row r="917" spans="1:15" x14ac:dyDescent="0.3">
      <c r="A917" s="19" t="str">
        <f>Table1[[#This Row],[Year_Week]]&amp;"-"&amp;Table1[[#This Row],[DC_name_Xref]]</f>
        <v>202244-WEO</v>
      </c>
      <c r="B917" s="19" t="str">
        <f>Table1[[#This Row],[Fiscal_Year]]*100+Table1[[#This Row],[Fiscal_Week]] &amp; "-" &amp;Table1[[#This Row],[BRAND]]</f>
        <v>202244-Athleta</v>
      </c>
      <c r="C917" t="str">
        <f>Table1[[#This Row],[Fiscal_Year]]&amp;"-"&amp;Table1[[#This Row],[BRAND]]</f>
        <v>2022-Athleta</v>
      </c>
      <c r="D917">
        <v>2022</v>
      </c>
      <c r="E917">
        <v>44</v>
      </c>
      <c r="F917" t="s">
        <v>19</v>
      </c>
      <c r="G917" t="s">
        <v>10</v>
      </c>
      <c r="H917">
        <v>6</v>
      </c>
      <c r="I917">
        <v>0</v>
      </c>
      <c r="J917" t="str">
        <f>VLOOKUP(H917,DC_Xref!A:B,2,FALSE)</f>
        <v>WEO</v>
      </c>
      <c r="K917">
        <f t="shared" si="14"/>
        <v>202244</v>
      </c>
      <c r="L917">
        <f>IFERROR(Table1[[#This Row],[Demand]]/SUMIFS(Table1[Demand],Table1[Fiscal_Year],Table1[[#This Row],[Fiscal_Year]],Table1[BRAND],Table1[[#This Row],[BRAND]],Table1[DC_name_Xref],Table1[[#This Row],[DC_name_Xref]]),0)</f>
        <v>0</v>
      </c>
      <c r="M9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7" s="3">
        <f>IFERROR(INDEX(Table3[#All],MATCH(Table1[[#This Row],[Key_Year_Week_Brand]],Table3[[#All],[Key_Year_Week_Brand]],0),MATCH(Table1[[#This Row],[DC_name_Xref]],Table3[#Headers],0)),0)</f>
        <v>0</v>
      </c>
      <c r="O917">
        <f>IFERROR(INDEX(Table35[#All],MATCH(Table1[[#This Row],[Key_Year_Week_Brand]],Table35[[#All],[Key_Year_Month_Brand]],0),MATCH(Table1[[#This Row],[DC_name_Xref]],Table35[#Headers],0)),0)</f>
        <v>0</v>
      </c>
    </row>
    <row r="918" spans="1:15" x14ac:dyDescent="0.3">
      <c r="A918" s="19" t="str">
        <f>Table1[[#This Row],[Year_Week]]&amp;"-"&amp;Table1[[#This Row],[DC_name_Xref]]</f>
        <v>202244-OCC</v>
      </c>
      <c r="B918" s="19" t="str">
        <f>Table1[[#This Row],[Fiscal_Year]]*100+Table1[[#This Row],[Fiscal_Week]] &amp; "-" &amp;Table1[[#This Row],[BRAND]]</f>
        <v>202244-Athleta</v>
      </c>
      <c r="C918" t="str">
        <f>Table1[[#This Row],[Fiscal_Year]]&amp;"-"&amp;Table1[[#This Row],[BRAND]]</f>
        <v>2022-Athleta</v>
      </c>
      <c r="D918">
        <v>2022</v>
      </c>
      <c r="E918">
        <v>44</v>
      </c>
      <c r="F918" t="s">
        <v>19</v>
      </c>
      <c r="G918" t="s">
        <v>11</v>
      </c>
      <c r="H918">
        <v>7</v>
      </c>
      <c r="I918">
        <v>0</v>
      </c>
      <c r="J918" t="str">
        <f>VLOOKUP(H918,DC_Xref!A:B,2,FALSE)</f>
        <v>OCC</v>
      </c>
      <c r="K918">
        <f t="shared" si="14"/>
        <v>202244</v>
      </c>
      <c r="L918">
        <f>IFERROR(Table1[[#This Row],[Demand]]/SUMIFS(Table1[Demand],Table1[Fiscal_Year],Table1[[#This Row],[Fiscal_Year]],Table1[BRAND],Table1[[#This Row],[BRAND]],Table1[DC_name_Xref],Table1[[#This Row],[DC_name_Xref]]),0)</f>
        <v>0</v>
      </c>
      <c r="M9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18" s="3">
        <f>IFERROR(INDEX(Table3[#All],MATCH(Table1[[#This Row],[Key_Year_Week_Brand]],Table3[[#All],[Key_Year_Week_Brand]],0),MATCH(Table1[[#This Row],[DC_name_Xref]],Table3[#Headers],0)),0)</f>
        <v>0</v>
      </c>
      <c r="O918">
        <f>IFERROR(INDEX(Table35[#All],MATCH(Table1[[#This Row],[Key_Year_Week_Brand]],Table35[[#All],[Key_Year_Month_Brand]],0),MATCH(Table1[[#This Row],[DC_name_Xref]],Table35[#Headers],0)),0)</f>
        <v>0</v>
      </c>
    </row>
    <row r="919" spans="1:15" x14ac:dyDescent="0.3">
      <c r="A919" s="19" t="str">
        <f>Table1[[#This Row],[Year_Week]]&amp;"-"&amp;Table1[[#This Row],[DC_name_Xref]]</f>
        <v>202244-OFC</v>
      </c>
      <c r="B919" s="19" t="str">
        <f>Table1[[#This Row],[Fiscal_Year]]*100+Table1[[#This Row],[Fiscal_Week]] &amp; "-" &amp;Table1[[#This Row],[BRAND]]</f>
        <v>202244-BR Factory Store</v>
      </c>
      <c r="C919" t="str">
        <f>Table1[[#This Row],[Fiscal_Year]]&amp;"-"&amp;Table1[[#This Row],[BRAND]]</f>
        <v>2022-BR Factory Store</v>
      </c>
      <c r="D919">
        <v>2022</v>
      </c>
      <c r="E919">
        <v>44</v>
      </c>
      <c r="F919" t="s">
        <v>17</v>
      </c>
      <c r="G919" t="s">
        <v>5</v>
      </c>
      <c r="H919">
        <v>1</v>
      </c>
      <c r="I919">
        <v>644370</v>
      </c>
      <c r="J919" t="str">
        <f>VLOOKUP(H919,DC_Xref!A:B,2,FALSE)</f>
        <v>OFC</v>
      </c>
      <c r="K919">
        <f t="shared" si="14"/>
        <v>202244</v>
      </c>
      <c r="L919">
        <f>IFERROR(Table1[[#This Row],[Demand]]/SUMIFS(Table1[Demand],Table1[Fiscal_Year],Table1[[#This Row],[Fiscal_Year]],Table1[BRAND],Table1[[#This Row],[BRAND]],Table1[DC_name_Xref],Table1[[#This Row],[DC_name_Xref]]),0)</f>
        <v>0.27836589366567149</v>
      </c>
      <c r="M9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919" s="3">
        <f>IFERROR(INDEX(Table3[#All],MATCH(Table1[[#This Row],[Key_Year_Week_Brand]],Table3[[#All],[Key_Year_Week_Brand]],0),MATCH(Table1[[#This Row],[DC_name_Xref]],Table3[#Headers],0)),0)</f>
        <v>1</v>
      </c>
      <c r="O919">
        <f>IFERROR(INDEX(Table35[#All],MATCH(Table1[[#This Row],[Key_Year_Week_Brand]],Table35[[#All],[Key_Year_Month_Brand]],0),MATCH(Table1[[#This Row],[DC_name_Xref]],Table35[#Headers],0)),0)</f>
        <v>644370</v>
      </c>
    </row>
    <row r="920" spans="1:15" x14ac:dyDescent="0.3">
      <c r="A920" s="19" t="str">
        <f>Table1[[#This Row],[Year_Week]]&amp;"-"&amp;Table1[[#This Row],[DC_name_Xref]]</f>
        <v>202244-TFC</v>
      </c>
      <c r="B920" s="19" t="str">
        <f>Table1[[#This Row],[Fiscal_Year]]*100+Table1[[#This Row],[Fiscal_Week]] &amp; "-" &amp;Table1[[#This Row],[BRAND]]</f>
        <v>202244-BR Factory Store</v>
      </c>
      <c r="C920" t="str">
        <f>Table1[[#This Row],[Fiscal_Year]]&amp;"-"&amp;Table1[[#This Row],[BRAND]]</f>
        <v>2022-BR Factory Store</v>
      </c>
      <c r="D920">
        <v>2022</v>
      </c>
      <c r="E920">
        <v>44</v>
      </c>
      <c r="F920" t="s">
        <v>17</v>
      </c>
      <c r="G920" t="s">
        <v>21</v>
      </c>
      <c r="H920">
        <v>2</v>
      </c>
      <c r="I920">
        <v>0</v>
      </c>
      <c r="J920" t="str">
        <f>VLOOKUP(H920,DC_Xref!A:B,2,FALSE)</f>
        <v>TFC</v>
      </c>
      <c r="K920">
        <f t="shared" si="14"/>
        <v>202244</v>
      </c>
      <c r="L920">
        <f>IFERROR(Table1[[#This Row],[Demand]]/SUMIFS(Table1[Demand],Table1[Fiscal_Year],Table1[[#This Row],[Fiscal_Year]],Table1[BRAND],Table1[[#This Row],[BRAND]],Table1[DC_name_Xref],Table1[[#This Row],[DC_name_Xref]]),0)</f>
        <v>0</v>
      </c>
      <c r="M9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0" s="3">
        <f>IFERROR(INDEX(Table3[#All],MATCH(Table1[[#This Row],[Key_Year_Week_Brand]],Table3[[#All],[Key_Year_Week_Brand]],0),MATCH(Table1[[#This Row],[DC_name_Xref]],Table3[#Headers],0)),0)</f>
        <v>0</v>
      </c>
      <c r="O920">
        <f>IFERROR(INDEX(Table35[#All],MATCH(Table1[[#This Row],[Key_Year_Week_Brand]],Table35[[#All],[Key_Year_Month_Brand]],0),MATCH(Table1[[#This Row],[DC_name_Xref]],Table35[#Headers],0)),0)</f>
        <v>0</v>
      </c>
    </row>
    <row r="921" spans="1:15" x14ac:dyDescent="0.3">
      <c r="A921" s="19" t="str">
        <f>Table1[[#This Row],[Year_Week]]&amp;"-"&amp;Table1[[#This Row],[DC_name_Xref]]</f>
        <v>202244-WFC</v>
      </c>
      <c r="B921" s="19" t="str">
        <f>Table1[[#This Row],[Fiscal_Year]]*100+Table1[[#This Row],[Fiscal_Week]] &amp; "-" &amp;Table1[[#This Row],[BRAND]]</f>
        <v>202244-BR Factory Store</v>
      </c>
      <c r="C921" t="str">
        <f>Table1[[#This Row],[Fiscal_Year]]&amp;"-"&amp;Table1[[#This Row],[BRAND]]</f>
        <v>2022-BR Factory Store</v>
      </c>
      <c r="D921">
        <v>2022</v>
      </c>
      <c r="E921">
        <v>44</v>
      </c>
      <c r="F921" t="s">
        <v>17</v>
      </c>
      <c r="G921" t="s">
        <v>7</v>
      </c>
      <c r="H921">
        <v>3</v>
      </c>
      <c r="I921">
        <v>0</v>
      </c>
      <c r="J921" t="str">
        <f>VLOOKUP(H921,DC_Xref!A:B,2,FALSE)</f>
        <v>WFC</v>
      </c>
      <c r="K921">
        <f t="shared" si="14"/>
        <v>202244</v>
      </c>
      <c r="L921">
        <f>IFERROR(Table1[[#This Row],[Demand]]/SUMIFS(Table1[Demand],Table1[Fiscal_Year],Table1[[#This Row],[Fiscal_Year]],Table1[BRAND],Table1[[#This Row],[BRAND]],Table1[DC_name_Xref],Table1[[#This Row],[DC_name_Xref]]),0)</f>
        <v>0</v>
      </c>
      <c r="M9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1" s="3">
        <f>IFERROR(INDEX(Table3[#All],MATCH(Table1[[#This Row],[Key_Year_Week_Brand]],Table3[[#All],[Key_Year_Week_Brand]],0),MATCH(Table1[[#This Row],[DC_name_Xref]],Table3[#Headers],0)),0)</f>
        <v>0</v>
      </c>
      <c r="O921">
        <f>IFERROR(INDEX(Table35[#All],MATCH(Table1[[#This Row],[Key_Year_Week_Brand]],Table35[[#All],[Key_Year_Month_Brand]],0),MATCH(Table1[[#This Row],[DC_name_Xref]],Table35[#Headers],0)),0)</f>
        <v>0</v>
      </c>
    </row>
    <row r="922" spans="1:15" x14ac:dyDescent="0.3">
      <c r="A922" s="19" t="str">
        <f>Table1[[#This Row],[Year_Week]]&amp;"-"&amp;Table1[[#This Row],[DC_name_Xref]]</f>
        <v>202244-EAO</v>
      </c>
      <c r="B922" s="19" t="str">
        <f>Table1[[#This Row],[Fiscal_Year]]*100+Table1[[#This Row],[Fiscal_Week]] &amp; "-" &amp;Table1[[#This Row],[BRAND]]</f>
        <v>202244-BR Factory Store</v>
      </c>
      <c r="C922" t="str">
        <f>Table1[[#This Row],[Fiscal_Year]]&amp;"-"&amp;Table1[[#This Row],[BRAND]]</f>
        <v>2022-BR Factory Store</v>
      </c>
      <c r="D922">
        <v>2022</v>
      </c>
      <c r="E922">
        <v>44</v>
      </c>
      <c r="F922" t="s">
        <v>17</v>
      </c>
      <c r="G922" t="s">
        <v>8</v>
      </c>
      <c r="H922">
        <v>4</v>
      </c>
      <c r="I922">
        <v>0</v>
      </c>
      <c r="J922" t="str">
        <f>VLOOKUP(H922,DC_Xref!A:B,2,FALSE)</f>
        <v>EAO</v>
      </c>
      <c r="K922">
        <f t="shared" si="14"/>
        <v>202244</v>
      </c>
      <c r="L922">
        <f>IFERROR(Table1[[#This Row],[Demand]]/SUMIFS(Table1[Demand],Table1[Fiscal_Year],Table1[[#This Row],[Fiscal_Year]],Table1[BRAND],Table1[[#This Row],[BRAND]],Table1[DC_name_Xref],Table1[[#This Row],[DC_name_Xref]]),0)</f>
        <v>0</v>
      </c>
      <c r="M9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2" s="3">
        <f>IFERROR(INDEX(Table3[#All],MATCH(Table1[[#This Row],[Key_Year_Week_Brand]],Table3[[#All],[Key_Year_Week_Brand]],0),MATCH(Table1[[#This Row],[DC_name_Xref]],Table3[#Headers],0)),0)</f>
        <v>0</v>
      </c>
      <c r="O922">
        <f>IFERROR(INDEX(Table35[#All],MATCH(Table1[[#This Row],[Key_Year_Week_Brand]],Table35[[#All],[Key_Year_Month_Brand]],0),MATCH(Table1[[#This Row],[DC_name_Xref]],Table35[#Headers],0)),0)</f>
        <v>0</v>
      </c>
    </row>
    <row r="923" spans="1:15" x14ac:dyDescent="0.3">
      <c r="A923" s="19" t="str">
        <f>Table1[[#This Row],[Year_Week]]&amp;"-"&amp;Table1[[#This Row],[DC_name_Xref]]</f>
        <v>202244-FFC-ODC</v>
      </c>
      <c r="B923" s="19" t="str">
        <f>Table1[[#This Row],[Fiscal_Year]]*100+Table1[[#This Row],[Fiscal_Week]] &amp; "-" &amp;Table1[[#This Row],[BRAND]]</f>
        <v>202244-BR Factory Store</v>
      </c>
      <c r="C923" t="str">
        <f>Table1[[#This Row],[Fiscal_Year]]&amp;"-"&amp;Table1[[#This Row],[BRAND]]</f>
        <v>2022-BR Factory Store</v>
      </c>
      <c r="D923">
        <v>2022</v>
      </c>
      <c r="E923">
        <v>44</v>
      </c>
      <c r="F923" t="s">
        <v>17</v>
      </c>
      <c r="G923" t="s">
        <v>23</v>
      </c>
      <c r="H923">
        <v>5</v>
      </c>
      <c r="I923">
        <v>0</v>
      </c>
      <c r="J923" t="str">
        <f>VLOOKUP(H923,DC_Xref!A:B,2,FALSE)</f>
        <v>FFC-ODC</v>
      </c>
      <c r="K923">
        <f t="shared" si="14"/>
        <v>202244</v>
      </c>
      <c r="L923">
        <f>IFERROR(Table1[[#This Row],[Demand]]/SUMIFS(Table1[Demand],Table1[Fiscal_Year],Table1[[#This Row],[Fiscal_Year]],Table1[BRAND],Table1[[#This Row],[BRAND]],Table1[DC_name_Xref],Table1[[#This Row],[DC_name_Xref]]),0)</f>
        <v>0</v>
      </c>
      <c r="M9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3" s="3">
        <f>IFERROR(INDEX(Table3[#All],MATCH(Table1[[#This Row],[Key_Year_Week_Brand]],Table3[[#All],[Key_Year_Week_Brand]],0),MATCH(Table1[[#This Row],[DC_name_Xref]],Table3[#Headers],0)),0)</f>
        <v>0</v>
      </c>
      <c r="O923">
        <f>IFERROR(INDEX(Table35[#All],MATCH(Table1[[#This Row],[Key_Year_Week_Brand]],Table35[[#All],[Key_Year_Month_Brand]],0),MATCH(Table1[[#This Row],[DC_name_Xref]],Table35[#Headers],0)),0)</f>
        <v>0</v>
      </c>
    </row>
    <row r="924" spans="1:15" x14ac:dyDescent="0.3">
      <c r="A924" s="19" t="str">
        <f>Table1[[#This Row],[Year_Week]]&amp;"-"&amp;Table1[[#This Row],[DC_name_Xref]]</f>
        <v>202244-WEO</v>
      </c>
      <c r="B924" s="19" t="str">
        <f>Table1[[#This Row],[Fiscal_Year]]*100+Table1[[#This Row],[Fiscal_Week]] &amp; "-" &amp;Table1[[#This Row],[BRAND]]</f>
        <v>202244-BR Factory Store</v>
      </c>
      <c r="C924" t="str">
        <f>Table1[[#This Row],[Fiscal_Year]]&amp;"-"&amp;Table1[[#This Row],[BRAND]]</f>
        <v>2022-BR Factory Store</v>
      </c>
      <c r="D924">
        <v>2022</v>
      </c>
      <c r="E924">
        <v>44</v>
      </c>
      <c r="F924" t="s">
        <v>17</v>
      </c>
      <c r="G924" t="s">
        <v>10</v>
      </c>
      <c r="H924">
        <v>6</v>
      </c>
      <c r="I924">
        <v>0</v>
      </c>
      <c r="J924" t="str">
        <f>VLOOKUP(H924,DC_Xref!A:B,2,FALSE)</f>
        <v>WEO</v>
      </c>
      <c r="K924">
        <f t="shared" si="14"/>
        <v>202244</v>
      </c>
      <c r="L924">
        <f>IFERROR(Table1[[#This Row],[Demand]]/SUMIFS(Table1[Demand],Table1[Fiscal_Year],Table1[[#This Row],[Fiscal_Year]],Table1[BRAND],Table1[[#This Row],[BRAND]],Table1[DC_name_Xref],Table1[[#This Row],[DC_name_Xref]]),0)</f>
        <v>0</v>
      </c>
      <c r="M9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4" s="3">
        <f>IFERROR(INDEX(Table3[#All],MATCH(Table1[[#This Row],[Key_Year_Week_Brand]],Table3[[#All],[Key_Year_Week_Brand]],0),MATCH(Table1[[#This Row],[DC_name_Xref]],Table3[#Headers],0)),0)</f>
        <v>0</v>
      </c>
      <c r="O924">
        <f>IFERROR(INDEX(Table35[#All],MATCH(Table1[[#This Row],[Key_Year_Week_Brand]],Table35[[#All],[Key_Year_Month_Brand]],0),MATCH(Table1[[#This Row],[DC_name_Xref]],Table35[#Headers],0)),0)</f>
        <v>0</v>
      </c>
    </row>
    <row r="925" spans="1:15" x14ac:dyDescent="0.3">
      <c r="A925" s="19" t="str">
        <f>Table1[[#This Row],[Year_Week]]&amp;"-"&amp;Table1[[#This Row],[DC_name_Xref]]</f>
        <v>202244-OCC</v>
      </c>
      <c r="B925" s="19" t="str">
        <f>Table1[[#This Row],[Fiscal_Year]]*100+Table1[[#This Row],[Fiscal_Week]] &amp; "-" &amp;Table1[[#This Row],[BRAND]]</f>
        <v>202244-BR Factory Store</v>
      </c>
      <c r="C925" t="str">
        <f>Table1[[#This Row],[Fiscal_Year]]&amp;"-"&amp;Table1[[#This Row],[BRAND]]</f>
        <v>2022-BR Factory Store</v>
      </c>
      <c r="D925">
        <v>2022</v>
      </c>
      <c r="E925">
        <v>44</v>
      </c>
      <c r="F925" t="s">
        <v>17</v>
      </c>
      <c r="G925" t="s">
        <v>11</v>
      </c>
      <c r="H925">
        <v>7</v>
      </c>
      <c r="I925">
        <v>0</v>
      </c>
      <c r="J925" t="str">
        <f>VLOOKUP(H925,DC_Xref!A:B,2,FALSE)</f>
        <v>OCC</v>
      </c>
      <c r="K925">
        <f t="shared" si="14"/>
        <v>202244</v>
      </c>
      <c r="L925">
        <f>IFERROR(Table1[[#This Row],[Demand]]/SUMIFS(Table1[Demand],Table1[Fiscal_Year],Table1[[#This Row],[Fiscal_Year]],Table1[BRAND],Table1[[#This Row],[BRAND]],Table1[DC_name_Xref],Table1[[#This Row],[DC_name_Xref]]),0)</f>
        <v>0</v>
      </c>
      <c r="M9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25" s="3">
        <f>IFERROR(INDEX(Table3[#All],MATCH(Table1[[#This Row],[Key_Year_Week_Brand]],Table3[[#All],[Key_Year_Week_Brand]],0),MATCH(Table1[[#This Row],[DC_name_Xref]],Table3[#Headers],0)),0)</f>
        <v>0</v>
      </c>
      <c r="O925">
        <f>IFERROR(INDEX(Table35[#All],MATCH(Table1[[#This Row],[Key_Year_Week_Brand]],Table35[[#All],[Key_Year_Month_Brand]],0),MATCH(Table1[[#This Row],[DC_name_Xref]],Table35[#Headers],0)),0)</f>
        <v>0</v>
      </c>
    </row>
    <row r="926" spans="1:15" x14ac:dyDescent="0.3">
      <c r="A926" s="19" t="str">
        <f>Table1[[#This Row],[Year_Week]]&amp;"-"&amp;Table1[[#This Row],[DC_name_Xref]]</f>
        <v>202245-OFC</v>
      </c>
      <c r="B926" s="19" t="str">
        <f>Table1[[#This Row],[Fiscal_Year]]*100+Table1[[#This Row],[Fiscal_Week]] &amp; "-" &amp;Table1[[#This Row],[BRAND]]</f>
        <v>202245-Gap</v>
      </c>
      <c r="C926" t="str">
        <f>Table1[[#This Row],[Fiscal_Year]]&amp;"-"&amp;Table1[[#This Row],[BRAND]]</f>
        <v>2022-Gap</v>
      </c>
      <c r="D926">
        <v>2022</v>
      </c>
      <c r="E926">
        <v>45</v>
      </c>
      <c r="F926" t="s">
        <v>16</v>
      </c>
      <c r="G926" t="s">
        <v>5</v>
      </c>
      <c r="H926">
        <v>1</v>
      </c>
      <c r="I926">
        <v>1363447</v>
      </c>
      <c r="J926" t="str">
        <f>VLOOKUP(H926,DC_Xref!A:B,2,FALSE)</f>
        <v>OFC</v>
      </c>
      <c r="K926">
        <f t="shared" si="14"/>
        <v>202245</v>
      </c>
      <c r="L926">
        <f>IFERROR(Table1[[#This Row],[Demand]]/SUMIFS(Table1[Demand],Table1[Fiscal_Year],Table1[[#This Row],[Fiscal_Year]],Table1[BRAND],Table1[[#This Row],[BRAND]],Table1[DC_name_Xref],Table1[[#This Row],[DC_name_Xref]]),0)</f>
        <v>0.11762023999084882</v>
      </c>
      <c r="M9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0.66900253139543242</v>
      </c>
      <c r="N926" s="3">
        <f>IFERROR(INDEX(Table3[#All],MATCH(Table1[[#This Row],[Key_Year_Week_Brand]],Table3[[#All],[Key_Year_Week_Brand]],0),MATCH(Table1[[#This Row],[DC_name_Xref]],Table3[#Headers],0)),0)</f>
        <v>0</v>
      </c>
      <c r="O926">
        <f>IFERROR(INDEX(Table35[#All],MATCH(Table1[[#This Row],[Key_Year_Week_Brand]],Table35[[#All],[Key_Year_Month_Brand]],0),MATCH(Table1[[#This Row],[DC_name_Xref]],Table35[#Headers],0)),0)</f>
        <v>0</v>
      </c>
    </row>
    <row r="927" spans="1:15" x14ac:dyDescent="0.3">
      <c r="A927" s="19" t="str">
        <f>Table1[[#This Row],[Year_Week]]&amp;"-"&amp;Table1[[#This Row],[DC_name_Xref]]</f>
        <v>202245-TFC</v>
      </c>
      <c r="B927" s="19" t="str">
        <f>Table1[[#This Row],[Fiscal_Year]]*100+Table1[[#This Row],[Fiscal_Week]] &amp; "-" &amp;Table1[[#This Row],[BRAND]]</f>
        <v>202245-Gap</v>
      </c>
      <c r="C927" t="str">
        <f>Table1[[#This Row],[Fiscal_Year]]&amp;"-"&amp;Table1[[#This Row],[BRAND]]</f>
        <v>2022-Gap</v>
      </c>
      <c r="D927">
        <v>2022</v>
      </c>
      <c r="E927">
        <v>45</v>
      </c>
      <c r="F927" t="s">
        <v>16</v>
      </c>
      <c r="G927" t="s">
        <v>21</v>
      </c>
      <c r="H927">
        <v>2</v>
      </c>
      <c r="I927">
        <v>429</v>
      </c>
      <c r="J927" t="str">
        <f>VLOOKUP(H927,DC_Xref!A:B,2,FALSE)</f>
        <v>TFC</v>
      </c>
      <c r="K927">
        <f t="shared" si="14"/>
        <v>202245</v>
      </c>
      <c r="L927">
        <f>IFERROR(Table1[[#This Row],[Demand]]/SUMIFS(Table1[Demand],Table1[Fiscal_Year],Table1[[#This Row],[Fiscal_Year]],Table1[BRAND],Table1[[#This Row],[BRAND]],Table1[DC_name_Xref],Table1[[#This Row],[DC_name_Xref]]),0)</f>
        <v>0.20565675934803451</v>
      </c>
      <c r="M9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1.2038873904742382E-4</v>
      </c>
      <c r="N927" s="3">
        <f>IFERROR(INDEX(Table3[#All],MATCH(Table1[[#This Row],[Key_Year_Week_Brand]],Table3[[#All],[Key_Year_Week_Brand]],0),MATCH(Table1[[#This Row],[DC_name_Xref]],Table3[#Headers],0)),0)</f>
        <v>0.25</v>
      </c>
      <c r="O927">
        <f>IFERROR(INDEX(Table35[#All],MATCH(Table1[[#This Row],[Key_Year_Week_Brand]],Table35[[#All],[Key_Year_Month_Brand]],0),MATCH(Table1[[#This Row],[DC_name_Xref]],Table35[#Headers],0)),0)</f>
        <v>483776.25</v>
      </c>
    </row>
    <row r="928" spans="1:15" x14ac:dyDescent="0.3">
      <c r="A928" s="19" t="str">
        <f>Table1[[#This Row],[Year_Week]]&amp;"-"&amp;Table1[[#This Row],[DC_name_Xref]]</f>
        <v>202245-WFC</v>
      </c>
      <c r="B928" s="19" t="str">
        <f>Table1[[#This Row],[Fiscal_Year]]*100+Table1[[#This Row],[Fiscal_Week]] &amp; "-" &amp;Table1[[#This Row],[BRAND]]</f>
        <v>202245-Gap</v>
      </c>
      <c r="C928" t="str">
        <f>Table1[[#This Row],[Fiscal_Year]]&amp;"-"&amp;Table1[[#This Row],[BRAND]]</f>
        <v>2022-Gap</v>
      </c>
      <c r="D928">
        <v>2022</v>
      </c>
      <c r="E928">
        <v>45</v>
      </c>
      <c r="F928" t="s">
        <v>16</v>
      </c>
      <c r="G928" t="s">
        <v>7</v>
      </c>
      <c r="H928">
        <v>3</v>
      </c>
      <c r="I928">
        <v>34915</v>
      </c>
      <c r="J928" t="str">
        <f>VLOOKUP(H928,DC_Xref!A:B,2,FALSE)</f>
        <v>WFC</v>
      </c>
      <c r="K928">
        <f t="shared" si="14"/>
        <v>202245</v>
      </c>
      <c r="L928">
        <f>IFERROR(Table1[[#This Row],[Demand]]/SUMIFS(Table1[Demand],Table1[Fiscal_Year],Table1[[#This Row],[Fiscal_Year]],Table1[BRAND],Table1[[#This Row],[BRAND]],Table1[DC_name_Xref],Table1[[#This Row],[DC_name_Xref]]),0)</f>
        <v>8.4594231165275535E-2</v>
      </c>
      <c r="M9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2.3820060503709717E-2</v>
      </c>
      <c r="N928" s="3">
        <f>IFERROR(INDEX(Table3[#All],MATCH(Table1[[#This Row],[Key_Year_Week_Brand]],Table3[[#All],[Key_Year_Week_Brand]],0),MATCH(Table1[[#This Row],[DC_name_Xref]],Table3[#Headers],0)),0)</f>
        <v>0</v>
      </c>
      <c r="O928">
        <f>IFERROR(INDEX(Table35[#All],MATCH(Table1[[#This Row],[Key_Year_Week_Brand]],Table35[[#All],[Key_Year_Month_Brand]],0),MATCH(Table1[[#This Row],[DC_name_Xref]],Table35[#Headers],0)),0)</f>
        <v>0</v>
      </c>
    </row>
    <row r="929" spans="1:15" x14ac:dyDescent="0.3">
      <c r="A929" s="19" t="str">
        <f>Table1[[#This Row],[Year_Week]]&amp;"-"&amp;Table1[[#This Row],[DC_name_Xref]]</f>
        <v>202245-EAO</v>
      </c>
      <c r="B929" s="19" t="str">
        <f>Table1[[#This Row],[Fiscal_Year]]*100+Table1[[#This Row],[Fiscal_Week]] &amp; "-" &amp;Table1[[#This Row],[BRAND]]</f>
        <v>202245-Gap</v>
      </c>
      <c r="C929" t="str">
        <f>Table1[[#This Row],[Fiscal_Year]]&amp;"-"&amp;Table1[[#This Row],[BRAND]]</f>
        <v>2022-Gap</v>
      </c>
      <c r="D929">
        <v>2022</v>
      </c>
      <c r="E929">
        <v>45</v>
      </c>
      <c r="F929" t="s">
        <v>16</v>
      </c>
      <c r="G929" t="s">
        <v>8</v>
      </c>
      <c r="H929">
        <v>4</v>
      </c>
      <c r="I929">
        <v>196</v>
      </c>
      <c r="J929" t="str">
        <f>VLOOKUP(H929,DC_Xref!A:B,2,FALSE)</f>
        <v>EAO</v>
      </c>
      <c r="K929">
        <f t="shared" si="14"/>
        <v>202245</v>
      </c>
      <c r="L929">
        <f>IFERROR(Table1[[#This Row],[Demand]]/SUMIFS(Table1[Demand],Table1[Fiscal_Year],Table1[[#This Row],[Fiscal_Year]],Table1[BRAND],Table1[[#This Row],[BRAND]],Table1[DC_name_Xref],Table1[[#This Row],[DC_name_Xref]]),0)</f>
        <v>9.4185487746275831E-2</v>
      </c>
      <c r="M9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1.2010017543513372E-4</v>
      </c>
      <c r="N929" s="3">
        <f>IFERROR(INDEX(Table3[#All],MATCH(Table1[[#This Row],[Key_Year_Week_Brand]],Table3[[#All],[Key_Year_Week_Brand]],0),MATCH(Table1[[#This Row],[DC_name_Xref]],Table3[#Headers],0)),0)</f>
        <v>0</v>
      </c>
      <c r="O929">
        <f>IFERROR(INDEX(Table35[#All],MATCH(Table1[[#This Row],[Key_Year_Week_Brand]],Table35[[#All],[Key_Year_Month_Brand]],0),MATCH(Table1[[#This Row],[DC_name_Xref]],Table35[#Headers],0)),0)</f>
        <v>0</v>
      </c>
    </row>
    <row r="930" spans="1:15" x14ac:dyDescent="0.3">
      <c r="A930" s="19" t="str">
        <f>Table1[[#This Row],[Year_Week]]&amp;"-"&amp;Table1[[#This Row],[DC_name_Xref]]</f>
        <v>202245-FFC-ODC</v>
      </c>
      <c r="B930" s="19" t="str">
        <f>Table1[[#This Row],[Fiscal_Year]]*100+Table1[[#This Row],[Fiscal_Week]] &amp; "-" &amp;Table1[[#This Row],[BRAND]]</f>
        <v>202245-Gap</v>
      </c>
      <c r="C930" t="str">
        <f>Table1[[#This Row],[Fiscal_Year]]&amp;"-"&amp;Table1[[#This Row],[BRAND]]</f>
        <v>2022-Gap</v>
      </c>
      <c r="D930">
        <v>2022</v>
      </c>
      <c r="E930">
        <v>45</v>
      </c>
      <c r="F930" t="s">
        <v>16</v>
      </c>
      <c r="G930" t="s">
        <v>23</v>
      </c>
      <c r="H930">
        <v>5</v>
      </c>
      <c r="I930">
        <v>0</v>
      </c>
      <c r="J930" t="str">
        <f>VLOOKUP(H930,DC_Xref!A:B,2,FALSE)</f>
        <v>FFC-ODC</v>
      </c>
      <c r="K930">
        <f t="shared" si="14"/>
        <v>202245</v>
      </c>
      <c r="L930">
        <f>IFERROR(Table1[[#This Row],[Demand]]/SUMIFS(Table1[Demand],Table1[Fiscal_Year],Table1[[#This Row],[Fiscal_Year]],Table1[BRAND],Table1[[#This Row],[BRAND]],Table1[DC_name_Xref],Table1[[#This Row],[DC_name_Xref]]),0)</f>
        <v>0</v>
      </c>
      <c r="M9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0" s="3">
        <f>IFERROR(INDEX(Table3[#All],MATCH(Table1[[#This Row],[Key_Year_Week_Brand]],Table3[[#All],[Key_Year_Week_Brand]],0),MATCH(Table1[[#This Row],[DC_name_Xref]],Table3[#Headers],0)),0)</f>
        <v>0</v>
      </c>
      <c r="O930">
        <f>IFERROR(INDEX(Table35[#All],MATCH(Table1[[#This Row],[Key_Year_Week_Brand]],Table35[[#All],[Key_Year_Month_Brand]],0),MATCH(Table1[[#This Row],[DC_name_Xref]],Table35[#Headers],0)),0)</f>
        <v>0</v>
      </c>
    </row>
    <row r="931" spans="1:15" x14ac:dyDescent="0.3">
      <c r="A931" s="19" t="str">
        <f>Table1[[#This Row],[Year_Week]]&amp;"-"&amp;Table1[[#This Row],[DC_name_Xref]]</f>
        <v>202245-WEO</v>
      </c>
      <c r="B931" s="19" t="str">
        <f>Table1[[#This Row],[Fiscal_Year]]*100+Table1[[#This Row],[Fiscal_Week]] &amp; "-" &amp;Table1[[#This Row],[BRAND]]</f>
        <v>202245-Gap</v>
      </c>
      <c r="C931" t="str">
        <f>Table1[[#This Row],[Fiscal_Year]]&amp;"-"&amp;Table1[[#This Row],[BRAND]]</f>
        <v>2022-Gap</v>
      </c>
      <c r="D931">
        <v>2022</v>
      </c>
      <c r="E931">
        <v>45</v>
      </c>
      <c r="F931" t="s">
        <v>16</v>
      </c>
      <c r="G931" t="s">
        <v>10</v>
      </c>
      <c r="H931">
        <v>6</v>
      </c>
      <c r="I931">
        <v>536118</v>
      </c>
      <c r="J931" t="str">
        <f>VLOOKUP(H931,DC_Xref!A:B,2,FALSE)</f>
        <v>WEO</v>
      </c>
      <c r="K931">
        <f t="shared" si="14"/>
        <v>202245</v>
      </c>
      <c r="L931">
        <f>IFERROR(Table1[[#This Row],[Demand]]/SUMIFS(Table1[Demand],Table1[Fiscal_Year],Table1[[#This Row],[Fiscal_Year]],Table1[BRAND],Table1[[#This Row],[BRAND]],Table1[DC_name_Xref],Table1[[#This Row],[DC_name_Xref]]),0)</f>
        <v>0.10080517332605289</v>
      </c>
      <c r="M9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0.30693691918637528</v>
      </c>
      <c r="N931" s="3">
        <f>IFERROR(INDEX(Table3[#All],MATCH(Table1[[#This Row],[Key_Year_Week_Brand]],Table3[[#All],[Key_Year_Week_Brand]],0),MATCH(Table1[[#This Row],[DC_name_Xref]],Table3[#Headers],0)),0)</f>
        <v>0.45</v>
      </c>
      <c r="O931">
        <f>IFERROR(INDEX(Table35[#All],MATCH(Table1[[#This Row],[Key_Year_Week_Brand]],Table35[[#All],[Key_Year_Month_Brand]],0),MATCH(Table1[[#This Row],[DC_name_Xref]],Table35[#Headers],0)),0)</f>
        <v>870797.25</v>
      </c>
    </row>
    <row r="932" spans="1:15" x14ac:dyDescent="0.3">
      <c r="A932" s="19" t="str">
        <f>Table1[[#This Row],[Year_Week]]&amp;"-"&amp;Table1[[#This Row],[DC_name_Xref]]</f>
        <v>202245-OCC</v>
      </c>
      <c r="B932" s="19" t="str">
        <f>Table1[[#This Row],[Fiscal_Year]]*100+Table1[[#This Row],[Fiscal_Week]] &amp; "-" &amp;Table1[[#This Row],[BRAND]]</f>
        <v>202245-Gap</v>
      </c>
      <c r="C932" t="str">
        <f>Table1[[#This Row],[Fiscal_Year]]&amp;"-"&amp;Table1[[#This Row],[BRAND]]</f>
        <v>2022-Gap</v>
      </c>
      <c r="D932">
        <v>2022</v>
      </c>
      <c r="E932">
        <v>45</v>
      </c>
      <c r="F932" t="s">
        <v>16</v>
      </c>
      <c r="G932" t="s">
        <v>11</v>
      </c>
      <c r="H932">
        <v>7</v>
      </c>
      <c r="I932">
        <v>0</v>
      </c>
      <c r="J932" t="str">
        <f>VLOOKUP(H932,DC_Xref!A:B,2,FALSE)</f>
        <v>OCC</v>
      </c>
      <c r="K932">
        <f t="shared" si="14"/>
        <v>202245</v>
      </c>
      <c r="L932">
        <f>IFERROR(Table1[[#This Row],[Demand]]/SUMIFS(Table1[Demand],Table1[Fiscal_Year],Table1[[#This Row],[Fiscal_Year]],Table1[BRAND],Table1[[#This Row],[BRAND]],Table1[DC_name_Xref],Table1[[#This Row],[DC_name_Xref]]),0)</f>
        <v>0</v>
      </c>
      <c r="M9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2" s="3">
        <f>IFERROR(INDEX(Table3[#All],MATCH(Table1[[#This Row],[Key_Year_Week_Brand]],Table3[[#All],[Key_Year_Week_Brand]],0),MATCH(Table1[[#This Row],[DC_name_Xref]],Table3[#Headers],0)),0)</f>
        <v>0.3</v>
      </c>
      <c r="O932">
        <f>IFERROR(INDEX(Table35[#All],MATCH(Table1[[#This Row],[Key_Year_Week_Brand]],Table35[[#All],[Key_Year_Month_Brand]],0),MATCH(Table1[[#This Row],[DC_name_Xref]],Table35[#Headers],0)),0)</f>
        <v>580531.5</v>
      </c>
    </row>
    <row r="933" spans="1:15" x14ac:dyDescent="0.3">
      <c r="A933" s="19" t="str">
        <f>Table1[[#This Row],[Year_Week]]&amp;"-"&amp;Table1[[#This Row],[DC_name_Xref]]</f>
        <v>202245-OFC</v>
      </c>
      <c r="B933" s="19" t="str">
        <f>Table1[[#This Row],[Fiscal_Year]]*100+Table1[[#This Row],[Fiscal_Week]] &amp; "-" &amp;Table1[[#This Row],[BRAND]]</f>
        <v>202245-Gap Factory Store</v>
      </c>
      <c r="C933" t="str">
        <f>Table1[[#This Row],[Fiscal_Year]]&amp;"-"&amp;Table1[[#This Row],[BRAND]]</f>
        <v>2022-Gap Factory Store</v>
      </c>
      <c r="D933">
        <v>2022</v>
      </c>
      <c r="E933">
        <v>45</v>
      </c>
      <c r="F933" t="s">
        <v>22</v>
      </c>
      <c r="G933" t="s">
        <v>5</v>
      </c>
      <c r="H933">
        <v>1</v>
      </c>
      <c r="I933">
        <v>744755</v>
      </c>
      <c r="J933" t="str">
        <f>VLOOKUP(H933,DC_Xref!A:B,2,FALSE)</f>
        <v>OFC</v>
      </c>
      <c r="K933">
        <f t="shared" si="14"/>
        <v>202245</v>
      </c>
      <c r="L933">
        <f>IFERROR(Table1[[#This Row],[Demand]]/SUMIFS(Table1[Demand],Table1[Fiscal_Year],Table1[[#This Row],[Fiscal_Year]],Table1[BRAND],Table1[[#This Row],[BRAND]],Table1[DC_name_Xref],Table1[[#This Row],[DC_name_Xref]]),0)</f>
        <v>0.11098804854142788</v>
      </c>
      <c r="M9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933" s="3">
        <f>IFERROR(INDEX(Table3[#All],MATCH(Table1[[#This Row],[Key_Year_Week_Brand]],Table3[[#All],[Key_Year_Week_Brand]],0),MATCH(Table1[[#This Row],[DC_name_Xref]],Table3[#Headers],0)),0)</f>
        <v>1</v>
      </c>
      <c r="O933">
        <f>IFERROR(INDEX(Table35[#All],MATCH(Table1[[#This Row],[Key_Year_Week_Brand]],Table35[[#All],[Key_Year_Month_Brand]],0),MATCH(Table1[[#This Row],[DC_name_Xref]],Table35[#Headers],0)),0)</f>
        <v>744755</v>
      </c>
    </row>
    <row r="934" spans="1:15" x14ac:dyDescent="0.3">
      <c r="A934" s="19" t="str">
        <f>Table1[[#This Row],[Year_Week]]&amp;"-"&amp;Table1[[#This Row],[DC_name_Xref]]</f>
        <v>202245-TFC</v>
      </c>
      <c r="B934" s="19" t="str">
        <f>Table1[[#This Row],[Fiscal_Year]]*100+Table1[[#This Row],[Fiscal_Week]] &amp; "-" &amp;Table1[[#This Row],[BRAND]]</f>
        <v>202245-Gap Factory Store</v>
      </c>
      <c r="C934" t="str">
        <f>Table1[[#This Row],[Fiscal_Year]]&amp;"-"&amp;Table1[[#This Row],[BRAND]]</f>
        <v>2022-Gap Factory Store</v>
      </c>
      <c r="D934">
        <v>2022</v>
      </c>
      <c r="E934">
        <v>45</v>
      </c>
      <c r="F934" t="s">
        <v>22</v>
      </c>
      <c r="G934" t="s">
        <v>21</v>
      </c>
      <c r="H934">
        <v>2</v>
      </c>
      <c r="I934">
        <v>0</v>
      </c>
      <c r="J934" t="str">
        <f>VLOOKUP(H934,DC_Xref!A:B,2,FALSE)</f>
        <v>TFC</v>
      </c>
      <c r="K934">
        <f t="shared" si="14"/>
        <v>202245</v>
      </c>
      <c r="L934">
        <f>IFERROR(Table1[[#This Row],[Demand]]/SUMIFS(Table1[Demand],Table1[Fiscal_Year],Table1[[#This Row],[Fiscal_Year]],Table1[BRAND],Table1[[#This Row],[BRAND]],Table1[DC_name_Xref],Table1[[#This Row],[DC_name_Xref]]),0)</f>
        <v>0</v>
      </c>
      <c r="M9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4" s="3">
        <f>IFERROR(INDEX(Table3[#All],MATCH(Table1[[#This Row],[Key_Year_Week_Brand]],Table3[[#All],[Key_Year_Week_Brand]],0),MATCH(Table1[[#This Row],[DC_name_Xref]],Table3[#Headers],0)),0)</f>
        <v>0</v>
      </c>
      <c r="O934">
        <f>IFERROR(INDEX(Table35[#All],MATCH(Table1[[#This Row],[Key_Year_Week_Brand]],Table35[[#All],[Key_Year_Month_Brand]],0),MATCH(Table1[[#This Row],[DC_name_Xref]],Table35[#Headers],0)),0)</f>
        <v>0</v>
      </c>
    </row>
    <row r="935" spans="1:15" x14ac:dyDescent="0.3">
      <c r="A935" s="19" t="str">
        <f>Table1[[#This Row],[Year_Week]]&amp;"-"&amp;Table1[[#This Row],[DC_name_Xref]]</f>
        <v>202245-WFC</v>
      </c>
      <c r="B935" s="19" t="str">
        <f>Table1[[#This Row],[Fiscal_Year]]*100+Table1[[#This Row],[Fiscal_Week]] &amp; "-" &amp;Table1[[#This Row],[BRAND]]</f>
        <v>202245-Gap Factory Store</v>
      </c>
      <c r="C935" t="str">
        <f>Table1[[#This Row],[Fiscal_Year]]&amp;"-"&amp;Table1[[#This Row],[BRAND]]</f>
        <v>2022-Gap Factory Store</v>
      </c>
      <c r="D935">
        <v>2022</v>
      </c>
      <c r="E935">
        <v>45</v>
      </c>
      <c r="F935" t="s">
        <v>22</v>
      </c>
      <c r="G935" t="s">
        <v>7</v>
      </c>
      <c r="H935">
        <v>3</v>
      </c>
      <c r="I935">
        <v>0</v>
      </c>
      <c r="J935" t="str">
        <f>VLOOKUP(H935,DC_Xref!A:B,2,FALSE)</f>
        <v>WFC</v>
      </c>
      <c r="K935">
        <f t="shared" si="14"/>
        <v>202245</v>
      </c>
      <c r="L935">
        <f>IFERROR(Table1[[#This Row],[Demand]]/SUMIFS(Table1[Demand],Table1[Fiscal_Year],Table1[[#This Row],[Fiscal_Year]],Table1[BRAND],Table1[[#This Row],[BRAND]],Table1[DC_name_Xref],Table1[[#This Row],[DC_name_Xref]]),0)</f>
        <v>0</v>
      </c>
      <c r="M9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5" s="3">
        <f>IFERROR(INDEX(Table3[#All],MATCH(Table1[[#This Row],[Key_Year_Week_Brand]],Table3[[#All],[Key_Year_Week_Brand]],0),MATCH(Table1[[#This Row],[DC_name_Xref]],Table3[#Headers],0)),0)</f>
        <v>0</v>
      </c>
      <c r="O935">
        <f>IFERROR(INDEX(Table35[#All],MATCH(Table1[[#This Row],[Key_Year_Week_Brand]],Table35[[#All],[Key_Year_Month_Brand]],0),MATCH(Table1[[#This Row],[DC_name_Xref]],Table35[#Headers],0)),0)</f>
        <v>0</v>
      </c>
    </row>
    <row r="936" spans="1:15" x14ac:dyDescent="0.3">
      <c r="A936" s="19" t="str">
        <f>Table1[[#This Row],[Year_Week]]&amp;"-"&amp;Table1[[#This Row],[DC_name_Xref]]</f>
        <v>202245-EAO</v>
      </c>
      <c r="B936" s="19" t="str">
        <f>Table1[[#This Row],[Fiscal_Year]]*100+Table1[[#This Row],[Fiscal_Week]] &amp; "-" &amp;Table1[[#This Row],[BRAND]]</f>
        <v>202245-Gap Factory Store</v>
      </c>
      <c r="C936" t="str">
        <f>Table1[[#This Row],[Fiscal_Year]]&amp;"-"&amp;Table1[[#This Row],[BRAND]]</f>
        <v>2022-Gap Factory Store</v>
      </c>
      <c r="D936">
        <v>2022</v>
      </c>
      <c r="E936">
        <v>45</v>
      </c>
      <c r="F936" t="s">
        <v>22</v>
      </c>
      <c r="G936" t="s">
        <v>8</v>
      </c>
      <c r="H936">
        <v>4</v>
      </c>
      <c r="I936">
        <v>0</v>
      </c>
      <c r="J936" t="str">
        <f>VLOOKUP(H936,DC_Xref!A:B,2,FALSE)</f>
        <v>EAO</v>
      </c>
      <c r="K936">
        <f t="shared" si="14"/>
        <v>202245</v>
      </c>
      <c r="L936">
        <f>IFERROR(Table1[[#This Row],[Demand]]/SUMIFS(Table1[Demand],Table1[Fiscal_Year],Table1[[#This Row],[Fiscal_Year]],Table1[BRAND],Table1[[#This Row],[BRAND]],Table1[DC_name_Xref],Table1[[#This Row],[DC_name_Xref]]),0)</f>
        <v>0</v>
      </c>
      <c r="M9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6" s="3">
        <f>IFERROR(INDEX(Table3[#All],MATCH(Table1[[#This Row],[Key_Year_Week_Brand]],Table3[[#All],[Key_Year_Week_Brand]],0),MATCH(Table1[[#This Row],[DC_name_Xref]],Table3[#Headers],0)),0)</f>
        <v>0</v>
      </c>
      <c r="O936">
        <f>IFERROR(INDEX(Table35[#All],MATCH(Table1[[#This Row],[Key_Year_Week_Brand]],Table35[[#All],[Key_Year_Month_Brand]],0),MATCH(Table1[[#This Row],[DC_name_Xref]],Table35[#Headers],0)),0)</f>
        <v>0</v>
      </c>
    </row>
    <row r="937" spans="1:15" x14ac:dyDescent="0.3">
      <c r="A937" s="19" t="str">
        <f>Table1[[#This Row],[Year_Week]]&amp;"-"&amp;Table1[[#This Row],[DC_name_Xref]]</f>
        <v>202245-FFC-ODC</v>
      </c>
      <c r="B937" s="19" t="str">
        <f>Table1[[#This Row],[Fiscal_Year]]*100+Table1[[#This Row],[Fiscal_Week]] &amp; "-" &amp;Table1[[#This Row],[BRAND]]</f>
        <v>202245-Gap Factory Store</v>
      </c>
      <c r="C937" t="str">
        <f>Table1[[#This Row],[Fiscal_Year]]&amp;"-"&amp;Table1[[#This Row],[BRAND]]</f>
        <v>2022-Gap Factory Store</v>
      </c>
      <c r="D937">
        <v>2022</v>
      </c>
      <c r="E937">
        <v>45</v>
      </c>
      <c r="F937" t="s">
        <v>22</v>
      </c>
      <c r="G937" t="s">
        <v>23</v>
      </c>
      <c r="H937">
        <v>5</v>
      </c>
      <c r="I937">
        <v>0</v>
      </c>
      <c r="J937" t="str">
        <f>VLOOKUP(H937,DC_Xref!A:B,2,FALSE)</f>
        <v>FFC-ODC</v>
      </c>
      <c r="K937">
        <f t="shared" si="14"/>
        <v>202245</v>
      </c>
      <c r="L937">
        <f>IFERROR(Table1[[#This Row],[Demand]]/SUMIFS(Table1[Demand],Table1[Fiscal_Year],Table1[[#This Row],[Fiscal_Year]],Table1[BRAND],Table1[[#This Row],[BRAND]],Table1[DC_name_Xref],Table1[[#This Row],[DC_name_Xref]]),0)</f>
        <v>0</v>
      </c>
      <c r="M9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7" s="3">
        <f>IFERROR(INDEX(Table3[#All],MATCH(Table1[[#This Row],[Key_Year_Week_Brand]],Table3[[#All],[Key_Year_Week_Brand]],0),MATCH(Table1[[#This Row],[DC_name_Xref]],Table3[#Headers],0)),0)</f>
        <v>0</v>
      </c>
      <c r="O937">
        <f>IFERROR(INDEX(Table35[#All],MATCH(Table1[[#This Row],[Key_Year_Week_Brand]],Table35[[#All],[Key_Year_Month_Brand]],0),MATCH(Table1[[#This Row],[DC_name_Xref]],Table35[#Headers],0)),0)</f>
        <v>0</v>
      </c>
    </row>
    <row r="938" spans="1:15" x14ac:dyDescent="0.3">
      <c r="A938" s="19" t="str">
        <f>Table1[[#This Row],[Year_Week]]&amp;"-"&amp;Table1[[#This Row],[DC_name_Xref]]</f>
        <v>202245-WEO</v>
      </c>
      <c r="B938" s="19" t="str">
        <f>Table1[[#This Row],[Fiscal_Year]]*100+Table1[[#This Row],[Fiscal_Week]] &amp; "-" &amp;Table1[[#This Row],[BRAND]]</f>
        <v>202245-Gap Factory Store</v>
      </c>
      <c r="C938" t="str">
        <f>Table1[[#This Row],[Fiscal_Year]]&amp;"-"&amp;Table1[[#This Row],[BRAND]]</f>
        <v>2022-Gap Factory Store</v>
      </c>
      <c r="D938">
        <v>2022</v>
      </c>
      <c r="E938">
        <v>45</v>
      </c>
      <c r="F938" t="s">
        <v>22</v>
      </c>
      <c r="G938" t="s">
        <v>10</v>
      </c>
      <c r="H938">
        <v>6</v>
      </c>
      <c r="I938">
        <v>0</v>
      </c>
      <c r="J938" t="str">
        <f>VLOOKUP(H938,DC_Xref!A:B,2,FALSE)</f>
        <v>WEO</v>
      </c>
      <c r="K938">
        <f t="shared" si="14"/>
        <v>202245</v>
      </c>
      <c r="L938">
        <f>IFERROR(Table1[[#This Row],[Demand]]/SUMIFS(Table1[Demand],Table1[Fiscal_Year],Table1[[#This Row],[Fiscal_Year]],Table1[BRAND],Table1[[#This Row],[BRAND]],Table1[DC_name_Xref],Table1[[#This Row],[DC_name_Xref]]),0)</f>
        <v>0</v>
      </c>
      <c r="M9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8" s="3">
        <f>IFERROR(INDEX(Table3[#All],MATCH(Table1[[#This Row],[Key_Year_Week_Brand]],Table3[[#All],[Key_Year_Week_Brand]],0),MATCH(Table1[[#This Row],[DC_name_Xref]],Table3[#Headers],0)),0)</f>
        <v>0</v>
      </c>
      <c r="O938">
        <f>IFERROR(INDEX(Table35[#All],MATCH(Table1[[#This Row],[Key_Year_Week_Brand]],Table35[[#All],[Key_Year_Month_Brand]],0),MATCH(Table1[[#This Row],[DC_name_Xref]],Table35[#Headers],0)),0)</f>
        <v>0</v>
      </c>
    </row>
    <row r="939" spans="1:15" x14ac:dyDescent="0.3">
      <c r="A939" s="19" t="str">
        <f>Table1[[#This Row],[Year_Week]]&amp;"-"&amp;Table1[[#This Row],[DC_name_Xref]]</f>
        <v>202245-OCC</v>
      </c>
      <c r="B939" s="19" t="str">
        <f>Table1[[#This Row],[Fiscal_Year]]*100+Table1[[#This Row],[Fiscal_Week]] &amp; "-" &amp;Table1[[#This Row],[BRAND]]</f>
        <v>202245-Gap Factory Store</v>
      </c>
      <c r="C939" t="str">
        <f>Table1[[#This Row],[Fiscal_Year]]&amp;"-"&amp;Table1[[#This Row],[BRAND]]</f>
        <v>2022-Gap Factory Store</v>
      </c>
      <c r="D939">
        <v>2022</v>
      </c>
      <c r="E939">
        <v>45</v>
      </c>
      <c r="F939" t="s">
        <v>22</v>
      </c>
      <c r="G939" t="s">
        <v>11</v>
      </c>
      <c r="H939">
        <v>7</v>
      </c>
      <c r="I939">
        <v>0</v>
      </c>
      <c r="J939" t="str">
        <f>VLOOKUP(H939,DC_Xref!A:B,2,FALSE)</f>
        <v>OCC</v>
      </c>
      <c r="K939">
        <f t="shared" si="14"/>
        <v>202245</v>
      </c>
      <c r="L939">
        <f>IFERROR(Table1[[#This Row],[Demand]]/SUMIFS(Table1[Demand],Table1[Fiscal_Year],Table1[[#This Row],[Fiscal_Year]],Table1[BRAND],Table1[[#This Row],[BRAND]],Table1[DC_name_Xref],Table1[[#This Row],[DC_name_Xref]]),0)</f>
        <v>0</v>
      </c>
      <c r="M9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39" s="3">
        <f>IFERROR(INDEX(Table3[#All],MATCH(Table1[[#This Row],[Key_Year_Week_Brand]],Table3[[#All],[Key_Year_Week_Brand]],0),MATCH(Table1[[#This Row],[DC_name_Xref]],Table3[#Headers],0)),0)</f>
        <v>0</v>
      </c>
      <c r="O939">
        <f>IFERROR(INDEX(Table35[#All],MATCH(Table1[[#This Row],[Key_Year_Week_Brand]],Table35[[#All],[Key_Year_Month_Brand]],0),MATCH(Table1[[#This Row],[DC_name_Xref]],Table35[#Headers],0)),0)</f>
        <v>0</v>
      </c>
    </row>
    <row r="940" spans="1:15" x14ac:dyDescent="0.3">
      <c r="A940" s="19" t="str">
        <f>Table1[[#This Row],[Year_Week]]&amp;"-"&amp;Table1[[#This Row],[DC_name_Xref]]</f>
        <v>202245-OFC</v>
      </c>
      <c r="B940" s="19" t="str">
        <f>Table1[[#This Row],[Fiscal_Year]]*100+Table1[[#This Row],[Fiscal_Week]] &amp; "-" &amp;Table1[[#This Row],[BRAND]]</f>
        <v>202245-BR Factory Store</v>
      </c>
      <c r="C940" t="str">
        <f>Table1[[#This Row],[Fiscal_Year]]&amp;"-"&amp;Table1[[#This Row],[BRAND]]</f>
        <v>2022-BR Factory Store</v>
      </c>
      <c r="D940">
        <v>2022</v>
      </c>
      <c r="E940">
        <v>45</v>
      </c>
      <c r="F940" t="s">
        <v>17</v>
      </c>
      <c r="G940" t="s">
        <v>5</v>
      </c>
      <c r="H940">
        <v>1</v>
      </c>
      <c r="I940">
        <v>177663</v>
      </c>
      <c r="J940" t="str">
        <f>VLOOKUP(H940,DC_Xref!A:B,2,FALSE)</f>
        <v>OFC</v>
      </c>
      <c r="K940">
        <f t="shared" si="14"/>
        <v>202245</v>
      </c>
      <c r="L940">
        <f>IFERROR(Table1[[#This Row],[Demand]]/SUMIFS(Table1[Demand],Table1[Fiscal_Year],Table1[[#This Row],[Fiscal_Year]],Table1[BRAND],Table1[[#This Row],[BRAND]],Table1[DC_name_Xref],Table1[[#This Row],[DC_name_Xref]]),0)</f>
        <v>7.6749879364843482E-2</v>
      </c>
      <c r="M9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940" s="3">
        <f>IFERROR(INDEX(Table3[#All],MATCH(Table1[[#This Row],[Key_Year_Week_Brand]],Table3[[#All],[Key_Year_Week_Brand]],0),MATCH(Table1[[#This Row],[DC_name_Xref]],Table3[#Headers],0)),0)</f>
        <v>1</v>
      </c>
      <c r="O940">
        <f>IFERROR(INDEX(Table35[#All],MATCH(Table1[[#This Row],[Key_Year_Week_Brand]],Table35[[#All],[Key_Year_Month_Brand]],0),MATCH(Table1[[#This Row],[DC_name_Xref]],Table35[#Headers],0)),0)</f>
        <v>177663</v>
      </c>
    </row>
    <row r="941" spans="1:15" x14ac:dyDescent="0.3">
      <c r="A941" s="19" t="str">
        <f>Table1[[#This Row],[Year_Week]]&amp;"-"&amp;Table1[[#This Row],[DC_name_Xref]]</f>
        <v>202245-TFC</v>
      </c>
      <c r="B941" s="19" t="str">
        <f>Table1[[#This Row],[Fiscal_Year]]*100+Table1[[#This Row],[Fiscal_Week]] &amp; "-" &amp;Table1[[#This Row],[BRAND]]</f>
        <v>202245-BR Factory Store</v>
      </c>
      <c r="C941" t="str">
        <f>Table1[[#This Row],[Fiscal_Year]]&amp;"-"&amp;Table1[[#This Row],[BRAND]]</f>
        <v>2022-BR Factory Store</v>
      </c>
      <c r="D941">
        <v>2022</v>
      </c>
      <c r="E941">
        <v>45</v>
      </c>
      <c r="F941" t="s">
        <v>17</v>
      </c>
      <c r="G941" t="s">
        <v>21</v>
      </c>
      <c r="H941">
        <v>2</v>
      </c>
      <c r="I941">
        <v>0</v>
      </c>
      <c r="J941" t="str">
        <f>VLOOKUP(H941,DC_Xref!A:B,2,FALSE)</f>
        <v>TFC</v>
      </c>
      <c r="K941">
        <f t="shared" si="14"/>
        <v>202245</v>
      </c>
      <c r="L941">
        <f>IFERROR(Table1[[#This Row],[Demand]]/SUMIFS(Table1[Demand],Table1[Fiscal_Year],Table1[[#This Row],[Fiscal_Year]],Table1[BRAND],Table1[[#This Row],[BRAND]],Table1[DC_name_Xref],Table1[[#This Row],[DC_name_Xref]]),0)</f>
        <v>0</v>
      </c>
      <c r="M9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1" s="3">
        <f>IFERROR(INDEX(Table3[#All],MATCH(Table1[[#This Row],[Key_Year_Week_Brand]],Table3[[#All],[Key_Year_Week_Brand]],0),MATCH(Table1[[#This Row],[DC_name_Xref]],Table3[#Headers],0)),0)</f>
        <v>0</v>
      </c>
      <c r="O941">
        <f>IFERROR(INDEX(Table35[#All],MATCH(Table1[[#This Row],[Key_Year_Week_Brand]],Table35[[#All],[Key_Year_Month_Brand]],0),MATCH(Table1[[#This Row],[DC_name_Xref]],Table35[#Headers],0)),0)</f>
        <v>0</v>
      </c>
    </row>
    <row r="942" spans="1:15" x14ac:dyDescent="0.3">
      <c r="A942" s="19" t="str">
        <f>Table1[[#This Row],[Year_Week]]&amp;"-"&amp;Table1[[#This Row],[DC_name_Xref]]</f>
        <v>202245-WFC</v>
      </c>
      <c r="B942" s="19" t="str">
        <f>Table1[[#This Row],[Fiscal_Year]]*100+Table1[[#This Row],[Fiscal_Week]] &amp; "-" &amp;Table1[[#This Row],[BRAND]]</f>
        <v>202245-BR Factory Store</v>
      </c>
      <c r="C942" t="str">
        <f>Table1[[#This Row],[Fiscal_Year]]&amp;"-"&amp;Table1[[#This Row],[BRAND]]</f>
        <v>2022-BR Factory Store</v>
      </c>
      <c r="D942">
        <v>2022</v>
      </c>
      <c r="E942">
        <v>45</v>
      </c>
      <c r="F942" t="s">
        <v>17</v>
      </c>
      <c r="G942" t="s">
        <v>7</v>
      </c>
      <c r="H942">
        <v>3</v>
      </c>
      <c r="I942">
        <v>0</v>
      </c>
      <c r="J942" t="str">
        <f>VLOOKUP(H942,DC_Xref!A:B,2,FALSE)</f>
        <v>WFC</v>
      </c>
      <c r="K942">
        <f t="shared" si="14"/>
        <v>202245</v>
      </c>
      <c r="L942">
        <f>IFERROR(Table1[[#This Row],[Demand]]/SUMIFS(Table1[Demand],Table1[Fiscal_Year],Table1[[#This Row],[Fiscal_Year]],Table1[BRAND],Table1[[#This Row],[BRAND]],Table1[DC_name_Xref],Table1[[#This Row],[DC_name_Xref]]),0)</f>
        <v>0</v>
      </c>
      <c r="M9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2" s="3">
        <f>IFERROR(INDEX(Table3[#All],MATCH(Table1[[#This Row],[Key_Year_Week_Brand]],Table3[[#All],[Key_Year_Week_Brand]],0),MATCH(Table1[[#This Row],[DC_name_Xref]],Table3[#Headers],0)),0)</f>
        <v>0</v>
      </c>
      <c r="O942">
        <f>IFERROR(INDEX(Table35[#All],MATCH(Table1[[#This Row],[Key_Year_Week_Brand]],Table35[[#All],[Key_Year_Month_Brand]],0),MATCH(Table1[[#This Row],[DC_name_Xref]],Table35[#Headers],0)),0)</f>
        <v>0</v>
      </c>
    </row>
    <row r="943" spans="1:15" x14ac:dyDescent="0.3">
      <c r="A943" s="19" t="str">
        <f>Table1[[#This Row],[Year_Week]]&amp;"-"&amp;Table1[[#This Row],[DC_name_Xref]]</f>
        <v>202245-EAO</v>
      </c>
      <c r="B943" s="19" t="str">
        <f>Table1[[#This Row],[Fiscal_Year]]*100+Table1[[#This Row],[Fiscal_Week]] &amp; "-" &amp;Table1[[#This Row],[BRAND]]</f>
        <v>202245-BR Factory Store</v>
      </c>
      <c r="C943" t="str">
        <f>Table1[[#This Row],[Fiscal_Year]]&amp;"-"&amp;Table1[[#This Row],[BRAND]]</f>
        <v>2022-BR Factory Store</v>
      </c>
      <c r="D943">
        <v>2022</v>
      </c>
      <c r="E943">
        <v>45</v>
      </c>
      <c r="F943" t="s">
        <v>17</v>
      </c>
      <c r="G943" t="s">
        <v>8</v>
      </c>
      <c r="H943">
        <v>4</v>
      </c>
      <c r="I943">
        <v>0</v>
      </c>
      <c r="J943" t="str">
        <f>VLOOKUP(H943,DC_Xref!A:B,2,FALSE)</f>
        <v>EAO</v>
      </c>
      <c r="K943">
        <f t="shared" si="14"/>
        <v>202245</v>
      </c>
      <c r="L943">
        <f>IFERROR(Table1[[#This Row],[Demand]]/SUMIFS(Table1[Demand],Table1[Fiscal_Year],Table1[[#This Row],[Fiscal_Year]],Table1[BRAND],Table1[[#This Row],[BRAND]],Table1[DC_name_Xref],Table1[[#This Row],[DC_name_Xref]]),0)</f>
        <v>0</v>
      </c>
      <c r="M9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3" s="3">
        <f>IFERROR(INDEX(Table3[#All],MATCH(Table1[[#This Row],[Key_Year_Week_Brand]],Table3[[#All],[Key_Year_Week_Brand]],0),MATCH(Table1[[#This Row],[DC_name_Xref]],Table3[#Headers],0)),0)</f>
        <v>0</v>
      </c>
      <c r="O943">
        <f>IFERROR(INDEX(Table35[#All],MATCH(Table1[[#This Row],[Key_Year_Week_Brand]],Table35[[#All],[Key_Year_Month_Brand]],0),MATCH(Table1[[#This Row],[DC_name_Xref]],Table35[#Headers],0)),0)</f>
        <v>0</v>
      </c>
    </row>
    <row r="944" spans="1:15" x14ac:dyDescent="0.3">
      <c r="A944" s="19" t="str">
        <f>Table1[[#This Row],[Year_Week]]&amp;"-"&amp;Table1[[#This Row],[DC_name_Xref]]</f>
        <v>202245-FFC-ODC</v>
      </c>
      <c r="B944" s="19" t="str">
        <f>Table1[[#This Row],[Fiscal_Year]]*100+Table1[[#This Row],[Fiscal_Week]] &amp; "-" &amp;Table1[[#This Row],[BRAND]]</f>
        <v>202245-BR Factory Store</v>
      </c>
      <c r="C944" t="str">
        <f>Table1[[#This Row],[Fiscal_Year]]&amp;"-"&amp;Table1[[#This Row],[BRAND]]</f>
        <v>2022-BR Factory Store</v>
      </c>
      <c r="D944">
        <v>2022</v>
      </c>
      <c r="E944">
        <v>45</v>
      </c>
      <c r="F944" t="s">
        <v>17</v>
      </c>
      <c r="G944" t="s">
        <v>23</v>
      </c>
      <c r="H944">
        <v>5</v>
      </c>
      <c r="I944">
        <v>0</v>
      </c>
      <c r="J944" t="str">
        <f>VLOOKUP(H944,DC_Xref!A:B,2,FALSE)</f>
        <v>FFC-ODC</v>
      </c>
      <c r="K944">
        <f t="shared" si="14"/>
        <v>202245</v>
      </c>
      <c r="L944">
        <f>IFERROR(Table1[[#This Row],[Demand]]/SUMIFS(Table1[Demand],Table1[Fiscal_Year],Table1[[#This Row],[Fiscal_Year]],Table1[BRAND],Table1[[#This Row],[BRAND]],Table1[DC_name_Xref],Table1[[#This Row],[DC_name_Xref]]),0)</f>
        <v>0</v>
      </c>
      <c r="M9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4" s="3">
        <f>IFERROR(INDEX(Table3[#All],MATCH(Table1[[#This Row],[Key_Year_Week_Brand]],Table3[[#All],[Key_Year_Week_Brand]],0),MATCH(Table1[[#This Row],[DC_name_Xref]],Table3[#Headers],0)),0)</f>
        <v>0</v>
      </c>
      <c r="O944">
        <f>IFERROR(INDEX(Table35[#All],MATCH(Table1[[#This Row],[Key_Year_Week_Brand]],Table35[[#All],[Key_Year_Month_Brand]],0),MATCH(Table1[[#This Row],[DC_name_Xref]],Table35[#Headers],0)),0)</f>
        <v>0</v>
      </c>
    </row>
    <row r="945" spans="1:15" x14ac:dyDescent="0.3">
      <c r="A945" s="19" t="str">
        <f>Table1[[#This Row],[Year_Week]]&amp;"-"&amp;Table1[[#This Row],[DC_name_Xref]]</f>
        <v>202245-WEO</v>
      </c>
      <c r="B945" s="19" t="str">
        <f>Table1[[#This Row],[Fiscal_Year]]*100+Table1[[#This Row],[Fiscal_Week]] &amp; "-" &amp;Table1[[#This Row],[BRAND]]</f>
        <v>202245-BR Factory Store</v>
      </c>
      <c r="C945" t="str">
        <f>Table1[[#This Row],[Fiscal_Year]]&amp;"-"&amp;Table1[[#This Row],[BRAND]]</f>
        <v>2022-BR Factory Store</v>
      </c>
      <c r="D945">
        <v>2022</v>
      </c>
      <c r="E945">
        <v>45</v>
      </c>
      <c r="F945" t="s">
        <v>17</v>
      </c>
      <c r="G945" t="s">
        <v>10</v>
      </c>
      <c r="H945">
        <v>6</v>
      </c>
      <c r="I945">
        <v>0</v>
      </c>
      <c r="J945" t="str">
        <f>VLOOKUP(H945,DC_Xref!A:B,2,FALSE)</f>
        <v>WEO</v>
      </c>
      <c r="K945">
        <f t="shared" si="14"/>
        <v>202245</v>
      </c>
      <c r="L945">
        <f>IFERROR(Table1[[#This Row],[Demand]]/SUMIFS(Table1[Demand],Table1[Fiscal_Year],Table1[[#This Row],[Fiscal_Year]],Table1[BRAND],Table1[[#This Row],[BRAND]],Table1[DC_name_Xref],Table1[[#This Row],[DC_name_Xref]]),0)</f>
        <v>0</v>
      </c>
      <c r="M9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5" s="3">
        <f>IFERROR(INDEX(Table3[#All],MATCH(Table1[[#This Row],[Key_Year_Week_Brand]],Table3[[#All],[Key_Year_Week_Brand]],0),MATCH(Table1[[#This Row],[DC_name_Xref]],Table3[#Headers],0)),0)</f>
        <v>0</v>
      </c>
      <c r="O945">
        <f>IFERROR(INDEX(Table35[#All],MATCH(Table1[[#This Row],[Key_Year_Week_Brand]],Table35[[#All],[Key_Year_Month_Brand]],0),MATCH(Table1[[#This Row],[DC_name_Xref]],Table35[#Headers],0)),0)</f>
        <v>0</v>
      </c>
    </row>
    <row r="946" spans="1:15" x14ac:dyDescent="0.3">
      <c r="A946" s="19" t="str">
        <f>Table1[[#This Row],[Year_Week]]&amp;"-"&amp;Table1[[#This Row],[DC_name_Xref]]</f>
        <v>202245-OCC</v>
      </c>
      <c r="B946" s="19" t="str">
        <f>Table1[[#This Row],[Fiscal_Year]]*100+Table1[[#This Row],[Fiscal_Week]] &amp; "-" &amp;Table1[[#This Row],[BRAND]]</f>
        <v>202245-BR Factory Store</v>
      </c>
      <c r="C946" t="str">
        <f>Table1[[#This Row],[Fiscal_Year]]&amp;"-"&amp;Table1[[#This Row],[BRAND]]</f>
        <v>2022-BR Factory Store</v>
      </c>
      <c r="D946">
        <v>2022</v>
      </c>
      <c r="E946">
        <v>45</v>
      </c>
      <c r="F946" t="s">
        <v>17</v>
      </c>
      <c r="G946" t="s">
        <v>11</v>
      </c>
      <c r="H946">
        <v>7</v>
      </c>
      <c r="I946">
        <v>0</v>
      </c>
      <c r="J946" t="str">
        <f>VLOOKUP(H946,DC_Xref!A:B,2,FALSE)</f>
        <v>OCC</v>
      </c>
      <c r="K946">
        <f t="shared" si="14"/>
        <v>202245</v>
      </c>
      <c r="L946">
        <f>IFERROR(Table1[[#This Row],[Demand]]/SUMIFS(Table1[Demand],Table1[Fiscal_Year],Table1[[#This Row],[Fiscal_Year]],Table1[BRAND],Table1[[#This Row],[BRAND]],Table1[DC_name_Xref],Table1[[#This Row],[DC_name_Xref]]),0)</f>
        <v>0</v>
      </c>
      <c r="M9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6" s="3">
        <f>IFERROR(INDEX(Table3[#All],MATCH(Table1[[#This Row],[Key_Year_Week_Brand]],Table3[[#All],[Key_Year_Week_Brand]],0),MATCH(Table1[[#This Row],[DC_name_Xref]],Table3[#Headers],0)),0)</f>
        <v>0</v>
      </c>
      <c r="O946">
        <f>IFERROR(INDEX(Table35[#All],MATCH(Table1[[#This Row],[Key_Year_Week_Brand]],Table35[[#All],[Key_Year_Month_Brand]],0),MATCH(Table1[[#This Row],[DC_name_Xref]],Table35[#Headers],0)),0)</f>
        <v>0</v>
      </c>
    </row>
    <row r="947" spans="1:15" x14ac:dyDescent="0.3">
      <c r="A947" s="19" t="str">
        <f>Table1[[#This Row],[Year_Week]]&amp;"-"&amp;Table1[[#This Row],[DC_name_Xref]]</f>
        <v>202245-OFC</v>
      </c>
      <c r="B947" s="19" t="str">
        <f>Table1[[#This Row],[Fiscal_Year]]*100+Table1[[#This Row],[Fiscal_Week]] &amp; "-" &amp;Table1[[#This Row],[BRAND]]</f>
        <v>202245-Athleta</v>
      </c>
      <c r="C947" t="str">
        <f>Table1[[#This Row],[Fiscal_Year]]&amp;"-"&amp;Table1[[#This Row],[BRAND]]</f>
        <v>2022-Athleta</v>
      </c>
      <c r="D947">
        <v>2022</v>
      </c>
      <c r="E947">
        <v>45</v>
      </c>
      <c r="F947" t="s">
        <v>19</v>
      </c>
      <c r="G947" t="s">
        <v>5</v>
      </c>
      <c r="H947">
        <v>1</v>
      </c>
      <c r="I947">
        <v>41269</v>
      </c>
      <c r="J947" t="str">
        <f>VLOOKUP(H947,DC_Xref!A:B,2,FALSE)</f>
        <v>OFC</v>
      </c>
      <c r="K947">
        <f t="shared" si="14"/>
        <v>202245</v>
      </c>
      <c r="L947">
        <f>IFERROR(Table1[[#This Row],[Demand]]/SUMIFS(Table1[Demand],Table1[Fiscal_Year],Table1[[#This Row],[Fiscal_Year]],Table1[BRAND],Table1[[#This Row],[BRAND]],Table1[DC_name_Xref],Table1[[#This Row],[DC_name_Xref]]),0)</f>
        <v>0.16335489284894353</v>
      </c>
      <c r="M9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0.10136873512375272</v>
      </c>
      <c r="N947" s="3">
        <f>IFERROR(INDEX(Table3[#All],MATCH(Table1[[#This Row],[Key_Year_Week_Brand]],Table3[[#All],[Key_Year_Week_Brand]],0),MATCH(Table1[[#This Row],[DC_name_Xref]],Table3[#Headers],0)),0)</f>
        <v>0</v>
      </c>
      <c r="O947">
        <f>IFERROR(INDEX(Table35[#All],MATCH(Table1[[#This Row],[Key_Year_Week_Brand]],Table35[[#All],[Key_Year_Month_Brand]],0),MATCH(Table1[[#This Row],[DC_name_Xref]],Table35[#Headers],0)),0)</f>
        <v>0</v>
      </c>
    </row>
    <row r="948" spans="1:15" x14ac:dyDescent="0.3">
      <c r="A948" s="19" t="str">
        <f>Table1[[#This Row],[Year_Week]]&amp;"-"&amp;Table1[[#This Row],[DC_name_Xref]]</f>
        <v>202245-TFC</v>
      </c>
      <c r="B948" s="19" t="str">
        <f>Table1[[#This Row],[Fiscal_Year]]*100+Table1[[#This Row],[Fiscal_Week]] &amp; "-" &amp;Table1[[#This Row],[BRAND]]</f>
        <v>202245-Athleta</v>
      </c>
      <c r="C948" t="str">
        <f>Table1[[#This Row],[Fiscal_Year]]&amp;"-"&amp;Table1[[#This Row],[BRAND]]</f>
        <v>2022-Athleta</v>
      </c>
      <c r="D948">
        <v>2022</v>
      </c>
      <c r="E948">
        <v>45</v>
      </c>
      <c r="F948" t="s">
        <v>19</v>
      </c>
      <c r="G948" t="s">
        <v>21</v>
      </c>
      <c r="H948">
        <v>2</v>
      </c>
      <c r="I948">
        <v>323544</v>
      </c>
      <c r="J948" t="str">
        <f>VLOOKUP(H948,DC_Xref!A:B,2,FALSE)</f>
        <v>TFC</v>
      </c>
      <c r="K948">
        <f t="shared" si="14"/>
        <v>202245</v>
      </c>
      <c r="L948">
        <f>IFERROR(Table1[[#This Row],[Demand]]/SUMIFS(Table1[Demand],Table1[Fiscal_Year],Table1[[#This Row],[Fiscal_Year]],Table1[BRAND],Table1[[#This Row],[BRAND]],Table1[DC_name_Xref],Table1[[#This Row],[DC_name_Xref]]),0)</f>
        <v>0.14447101774139678</v>
      </c>
      <c r="M9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0.898596757600027</v>
      </c>
      <c r="N948" s="3">
        <f>IFERROR(INDEX(Table3[#All],MATCH(Table1[[#This Row],[Key_Year_Week_Brand]],Table3[[#All],[Key_Year_Week_Brand]],0),MATCH(Table1[[#This Row],[DC_name_Xref]],Table3[#Headers],0)),0)</f>
        <v>1</v>
      </c>
      <c r="O948">
        <f>IFERROR(INDEX(Table35[#All],MATCH(Table1[[#This Row],[Key_Year_Week_Brand]],Table35[[#All],[Key_Year_Month_Brand]],0),MATCH(Table1[[#This Row],[DC_name_Xref]],Table35[#Headers],0)),0)</f>
        <v>364830</v>
      </c>
    </row>
    <row r="949" spans="1:15" x14ac:dyDescent="0.3">
      <c r="A949" s="19" t="str">
        <f>Table1[[#This Row],[Year_Week]]&amp;"-"&amp;Table1[[#This Row],[DC_name_Xref]]</f>
        <v>202245-WFC</v>
      </c>
      <c r="B949" s="19" t="str">
        <f>Table1[[#This Row],[Fiscal_Year]]*100+Table1[[#This Row],[Fiscal_Week]] &amp; "-" &amp;Table1[[#This Row],[BRAND]]</f>
        <v>202245-Athleta</v>
      </c>
      <c r="C949" t="str">
        <f>Table1[[#This Row],[Fiscal_Year]]&amp;"-"&amp;Table1[[#This Row],[BRAND]]</f>
        <v>2022-Athleta</v>
      </c>
      <c r="D949">
        <v>2022</v>
      </c>
      <c r="E949">
        <v>45</v>
      </c>
      <c r="F949" t="s">
        <v>19</v>
      </c>
      <c r="G949" t="s">
        <v>7</v>
      </c>
      <c r="H949">
        <v>3</v>
      </c>
      <c r="I949">
        <v>0</v>
      </c>
      <c r="J949" t="str">
        <f>VLOOKUP(H949,DC_Xref!A:B,2,FALSE)</f>
        <v>WFC</v>
      </c>
      <c r="K949">
        <f t="shared" si="14"/>
        <v>202245</v>
      </c>
      <c r="L949">
        <f>IFERROR(Table1[[#This Row],[Demand]]/SUMIFS(Table1[Demand],Table1[Fiscal_Year],Table1[[#This Row],[Fiscal_Year]],Table1[BRAND],Table1[[#This Row],[BRAND]],Table1[DC_name_Xref],Table1[[#This Row],[DC_name_Xref]]),0)</f>
        <v>0</v>
      </c>
      <c r="M9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49" s="3">
        <f>IFERROR(INDEX(Table3[#All],MATCH(Table1[[#This Row],[Key_Year_Week_Brand]],Table3[[#All],[Key_Year_Week_Brand]],0),MATCH(Table1[[#This Row],[DC_name_Xref]],Table3[#Headers],0)),0)</f>
        <v>0</v>
      </c>
      <c r="O949">
        <f>IFERROR(INDEX(Table35[#All],MATCH(Table1[[#This Row],[Key_Year_Week_Brand]],Table35[[#All],[Key_Year_Month_Brand]],0),MATCH(Table1[[#This Row],[DC_name_Xref]],Table35[#Headers],0)),0)</f>
        <v>0</v>
      </c>
    </row>
    <row r="950" spans="1:15" x14ac:dyDescent="0.3">
      <c r="A950" s="19" t="str">
        <f>Table1[[#This Row],[Year_Week]]&amp;"-"&amp;Table1[[#This Row],[DC_name_Xref]]</f>
        <v>202245-EAO</v>
      </c>
      <c r="B950" s="19" t="str">
        <f>Table1[[#This Row],[Fiscal_Year]]*100+Table1[[#This Row],[Fiscal_Week]] &amp; "-" &amp;Table1[[#This Row],[BRAND]]</f>
        <v>202245-Athleta</v>
      </c>
      <c r="C950" t="str">
        <f>Table1[[#This Row],[Fiscal_Year]]&amp;"-"&amp;Table1[[#This Row],[BRAND]]</f>
        <v>2022-Athleta</v>
      </c>
      <c r="D950">
        <v>2022</v>
      </c>
      <c r="E950">
        <v>45</v>
      </c>
      <c r="F950" t="s">
        <v>19</v>
      </c>
      <c r="G950" t="s">
        <v>8</v>
      </c>
      <c r="H950">
        <v>4</v>
      </c>
      <c r="I950">
        <v>17</v>
      </c>
      <c r="J950" t="str">
        <f>VLOOKUP(H950,DC_Xref!A:B,2,FALSE)</f>
        <v>EAO</v>
      </c>
      <c r="K950">
        <f t="shared" si="14"/>
        <v>202245</v>
      </c>
      <c r="L950">
        <f>IFERROR(Table1[[#This Row],[Demand]]/SUMIFS(Table1[Demand],Table1[Fiscal_Year],Table1[[#This Row],[Fiscal_Year]],Table1[BRAND],Table1[[#This Row],[BRAND]],Table1[DC_name_Xref],Table1[[#This Row],[DC_name_Xref]]),0)</f>
        <v>0.19767441860465115</v>
      </c>
      <c r="M9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3.4507276220313712E-5</v>
      </c>
      <c r="N950" s="3">
        <f>IFERROR(INDEX(Table3[#All],MATCH(Table1[[#This Row],[Key_Year_Week_Brand]],Table3[[#All],[Key_Year_Week_Brand]],0),MATCH(Table1[[#This Row],[DC_name_Xref]],Table3[#Headers],0)),0)</f>
        <v>3.447122356821831E-5</v>
      </c>
      <c r="O950">
        <f>IFERROR(INDEX(Table35[#All],MATCH(Table1[[#This Row],[Key_Year_Week_Brand]],Table35[[#All],[Key_Year_Month_Brand]],0),MATCH(Table1[[#This Row],[DC_name_Xref]],Table35[#Headers],0)),0)</f>
        <v>12.576136494393086</v>
      </c>
    </row>
    <row r="951" spans="1:15" x14ac:dyDescent="0.3">
      <c r="A951" s="19" t="str">
        <f>Table1[[#This Row],[Year_Week]]&amp;"-"&amp;Table1[[#This Row],[DC_name_Xref]]</f>
        <v>202245-FFC-ODC</v>
      </c>
      <c r="B951" s="19" t="str">
        <f>Table1[[#This Row],[Fiscal_Year]]*100+Table1[[#This Row],[Fiscal_Week]] &amp; "-" &amp;Table1[[#This Row],[BRAND]]</f>
        <v>202245-Athleta</v>
      </c>
      <c r="C951" t="str">
        <f>Table1[[#This Row],[Fiscal_Year]]&amp;"-"&amp;Table1[[#This Row],[BRAND]]</f>
        <v>2022-Athleta</v>
      </c>
      <c r="D951">
        <v>2022</v>
      </c>
      <c r="E951">
        <v>45</v>
      </c>
      <c r="F951" t="s">
        <v>19</v>
      </c>
      <c r="G951" t="s">
        <v>23</v>
      </c>
      <c r="H951">
        <v>5</v>
      </c>
      <c r="I951">
        <v>0</v>
      </c>
      <c r="J951" t="str">
        <f>VLOOKUP(H951,DC_Xref!A:B,2,FALSE)</f>
        <v>FFC-ODC</v>
      </c>
      <c r="K951">
        <f t="shared" si="14"/>
        <v>202245</v>
      </c>
      <c r="L951">
        <f>IFERROR(Table1[[#This Row],[Demand]]/SUMIFS(Table1[Demand],Table1[Fiscal_Year],Table1[[#This Row],[Fiscal_Year]],Table1[BRAND],Table1[[#This Row],[BRAND]],Table1[DC_name_Xref],Table1[[#This Row],[DC_name_Xref]]),0)</f>
        <v>0</v>
      </c>
      <c r="M9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51" s="3">
        <f>IFERROR(INDEX(Table3[#All],MATCH(Table1[[#This Row],[Key_Year_Week_Brand]],Table3[[#All],[Key_Year_Week_Brand]],0),MATCH(Table1[[#This Row],[DC_name_Xref]],Table3[#Headers],0)),0)</f>
        <v>0</v>
      </c>
      <c r="O951">
        <f>IFERROR(INDEX(Table35[#All],MATCH(Table1[[#This Row],[Key_Year_Week_Brand]],Table35[[#All],[Key_Year_Month_Brand]],0),MATCH(Table1[[#This Row],[DC_name_Xref]],Table35[#Headers],0)),0)</f>
        <v>0</v>
      </c>
    </row>
    <row r="952" spans="1:15" x14ac:dyDescent="0.3">
      <c r="A952" s="19" t="str">
        <f>Table1[[#This Row],[Year_Week]]&amp;"-"&amp;Table1[[#This Row],[DC_name_Xref]]</f>
        <v>202245-WEO</v>
      </c>
      <c r="B952" s="19" t="str">
        <f>Table1[[#This Row],[Fiscal_Year]]*100+Table1[[#This Row],[Fiscal_Week]] &amp; "-" &amp;Table1[[#This Row],[BRAND]]</f>
        <v>202245-Athleta</v>
      </c>
      <c r="C952" t="str">
        <f>Table1[[#This Row],[Fiscal_Year]]&amp;"-"&amp;Table1[[#This Row],[BRAND]]</f>
        <v>2022-Athleta</v>
      </c>
      <c r="D952">
        <v>2022</v>
      </c>
      <c r="E952">
        <v>45</v>
      </c>
      <c r="F952" t="s">
        <v>19</v>
      </c>
      <c r="G952" t="s">
        <v>10</v>
      </c>
      <c r="H952">
        <v>6</v>
      </c>
      <c r="I952">
        <v>0</v>
      </c>
      <c r="J952" t="str">
        <f>VLOOKUP(H952,DC_Xref!A:B,2,FALSE)</f>
        <v>WEO</v>
      </c>
      <c r="K952">
        <f t="shared" si="14"/>
        <v>202245</v>
      </c>
      <c r="L952">
        <f>IFERROR(Table1[[#This Row],[Demand]]/SUMIFS(Table1[Demand],Table1[Fiscal_Year],Table1[[#This Row],[Fiscal_Year]],Table1[BRAND],Table1[[#This Row],[BRAND]],Table1[DC_name_Xref],Table1[[#This Row],[DC_name_Xref]]),0)</f>
        <v>0</v>
      </c>
      <c r="M9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52" s="3">
        <f>IFERROR(INDEX(Table3[#All],MATCH(Table1[[#This Row],[Key_Year_Week_Brand]],Table3[[#All],[Key_Year_Week_Brand]],0),MATCH(Table1[[#This Row],[DC_name_Xref]],Table3[#Headers],0)),0)</f>
        <v>0</v>
      </c>
      <c r="O952">
        <f>IFERROR(INDEX(Table35[#All],MATCH(Table1[[#This Row],[Key_Year_Week_Brand]],Table35[[#All],[Key_Year_Month_Brand]],0),MATCH(Table1[[#This Row],[DC_name_Xref]],Table35[#Headers],0)),0)</f>
        <v>0</v>
      </c>
    </row>
    <row r="953" spans="1:15" x14ac:dyDescent="0.3">
      <c r="A953" s="19" t="str">
        <f>Table1[[#This Row],[Year_Week]]&amp;"-"&amp;Table1[[#This Row],[DC_name_Xref]]</f>
        <v>202245-OCC</v>
      </c>
      <c r="B953" s="19" t="str">
        <f>Table1[[#This Row],[Fiscal_Year]]*100+Table1[[#This Row],[Fiscal_Week]] &amp; "-" &amp;Table1[[#This Row],[BRAND]]</f>
        <v>202245-Athleta</v>
      </c>
      <c r="C953" t="str">
        <f>Table1[[#This Row],[Fiscal_Year]]&amp;"-"&amp;Table1[[#This Row],[BRAND]]</f>
        <v>2022-Athleta</v>
      </c>
      <c r="D953">
        <v>2022</v>
      </c>
      <c r="E953">
        <v>45</v>
      </c>
      <c r="F953" t="s">
        <v>19</v>
      </c>
      <c r="G953" t="s">
        <v>11</v>
      </c>
      <c r="H953">
        <v>7</v>
      </c>
      <c r="I953">
        <v>0</v>
      </c>
      <c r="J953" t="str">
        <f>VLOOKUP(H953,DC_Xref!A:B,2,FALSE)</f>
        <v>OCC</v>
      </c>
      <c r="K953">
        <f t="shared" si="14"/>
        <v>202245</v>
      </c>
      <c r="L953">
        <f>IFERROR(Table1[[#This Row],[Demand]]/SUMIFS(Table1[Demand],Table1[Fiscal_Year],Table1[[#This Row],[Fiscal_Year]],Table1[BRAND],Table1[[#This Row],[BRAND]],Table1[DC_name_Xref],Table1[[#This Row],[DC_name_Xref]]),0)</f>
        <v>0</v>
      </c>
      <c r="M9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53" s="3">
        <f>IFERROR(INDEX(Table3[#All],MATCH(Table1[[#This Row],[Key_Year_Week_Brand]],Table3[[#All],[Key_Year_Week_Brand]],0),MATCH(Table1[[#This Row],[DC_name_Xref]],Table3[#Headers],0)),0)</f>
        <v>0</v>
      </c>
      <c r="O953">
        <f>IFERROR(INDEX(Table35[#All],MATCH(Table1[[#This Row],[Key_Year_Week_Brand]],Table35[[#All],[Key_Year_Month_Brand]],0),MATCH(Table1[[#This Row],[DC_name_Xref]],Table35[#Headers],0)),0)</f>
        <v>0</v>
      </c>
    </row>
    <row r="954" spans="1:15" x14ac:dyDescent="0.3">
      <c r="A954" s="19" t="str">
        <f>Table1[[#This Row],[Year_Week]]&amp;"-"&amp;Table1[[#This Row],[DC_name_Xref]]</f>
        <v>202245-OFC</v>
      </c>
      <c r="B954" s="19" t="str">
        <f>Table1[[#This Row],[Fiscal_Year]]*100+Table1[[#This Row],[Fiscal_Week]] &amp; "-" &amp;Table1[[#This Row],[BRAND]]</f>
        <v>202245-Old Navy</v>
      </c>
      <c r="C954" t="str">
        <f>Table1[[#This Row],[Fiscal_Year]]&amp;"-"&amp;Table1[[#This Row],[BRAND]]</f>
        <v>2022-Old Navy</v>
      </c>
      <c r="D954">
        <v>2022</v>
      </c>
      <c r="E954">
        <v>45</v>
      </c>
      <c r="F954" t="s">
        <v>20</v>
      </c>
      <c r="G954" t="s">
        <v>5</v>
      </c>
      <c r="H954">
        <v>1</v>
      </c>
      <c r="I954">
        <v>1625620</v>
      </c>
      <c r="J954" t="str">
        <f>VLOOKUP(H954,DC_Xref!A:B,2,FALSE)</f>
        <v>OFC</v>
      </c>
      <c r="K954">
        <f t="shared" si="14"/>
        <v>202245</v>
      </c>
      <c r="L954">
        <f>IFERROR(Table1[[#This Row],[Demand]]/SUMIFS(Table1[Demand],Table1[Fiscal_Year],Table1[[#This Row],[Fiscal_Year]],Table1[BRAND],Table1[[#This Row],[BRAND]],Table1[DC_name_Xref],Table1[[#This Row],[DC_name_Xref]]),0)</f>
        <v>0.15056064534299962</v>
      </c>
      <c r="M9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0.29585489279144922</v>
      </c>
      <c r="N954" s="3">
        <f>IFERROR(INDEX(Table3[#All],MATCH(Table1[[#This Row],[Key_Year_Week_Brand]],Table3[[#All],[Key_Year_Week_Brand]],0),MATCH(Table1[[#This Row],[DC_name_Xref]],Table3[#Headers],0)),0)</f>
        <v>0.09</v>
      </c>
      <c r="O954">
        <f>IFERROR(INDEX(Table35[#All],MATCH(Table1[[#This Row],[Key_Year_Week_Brand]],Table35[[#All],[Key_Year_Month_Brand]],0),MATCH(Table1[[#This Row],[DC_name_Xref]],Table35[#Headers],0)),0)</f>
        <v>501359.04</v>
      </c>
    </row>
    <row r="955" spans="1:15" x14ac:dyDescent="0.3">
      <c r="A955" s="19" t="str">
        <f>Table1[[#This Row],[Year_Week]]&amp;"-"&amp;Table1[[#This Row],[DC_name_Xref]]</f>
        <v>202245-TFC</v>
      </c>
      <c r="B955" s="19" t="str">
        <f>Table1[[#This Row],[Fiscal_Year]]*100+Table1[[#This Row],[Fiscal_Week]] &amp; "-" &amp;Table1[[#This Row],[BRAND]]</f>
        <v>202245-Old Navy</v>
      </c>
      <c r="C955" t="str">
        <f>Table1[[#This Row],[Fiscal_Year]]&amp;"-"&amp;Table1[[#This Row],[BRAND]]</f>
        <v>2022-Old Navy</v>
      </c>
      <c r="D955">
        <v>2022</v>
      </c>
      <c r="E955">
        <v>45</v>
      </c>
      <c r="F955" t="s">
        <v>20</v>
      </c>
      <c r="G955" t="s">
        <v>21</v>
      </c>
      <c r="H955">
        <v>2</v>
      </c>
      <c r="I955">
        <v>1298276</v>
      </c>
      <c r="J955" t="str">
        <f>VLOOKUP(H955,DC_Xref!A:B,2,FALSE)</f>
        <v>TFC</v>
      </c>
      <c r="K955">
        <f t="shared" si="14"/>
        <v>202245</v>
      </c>
      <c r="L955">
        <f>IFERROR(Table1[[#This Row],[Demand]]/SUMIFS(Table1[Demand],Table1[Fiscal_Year],Table1[[#This Row],[Fiscal_Year]],Table1[BRAND],Table1[[#This Row],[BRAND]],Table1[DC_name_Xref],Table1[[#This Row],[DC_name_Xref]]),0)</f>
        <v>0.20917587403393537</v>
      </c>
      <c r="M9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0.1700695749184051</v>
      </c>
      <c r="N955" s="3">
        <f>IFERROR(INDEX(Table3[#All],MATCH(Table1[[#This Row],[Key_Year_Week_Brand]],Table3[[#All],[Key_Year_Week_Brand]],0),MATCH(Table1[[#This Row],[DC_name_Xref]],Table3[#Headers],0)),0)</f>
        <v>0.11</v>
      </c>
      <c r="O955">
        <f>IFERROR(INDEX(Table35[#All],MATCH(Table1[[#This Row],[Key_Year_Week_Brand]],Table35[[#All],[Key_Year_Month_Brand]],0),MATCH(Table1[[#This Row],[DC_name_Xref]],Table35[#Headers],0)),0)</f>
        <v>612772.16</v>
      </c>
    </row>
    <row r="956" spans="1:15" x14ac:dyDescent="0.3">
      <c r="A956" s="19" t="str">
        <f>Table1[[#This Row],[Year_Week]]&amp;"-"&amp;Table1[[#This Row],[DC_name_Xref]]</f>
        <v>202245-WFC</v>
      </c>
      <c r="B956" s="19" t="str">
        <f>Table1[[#This Row],[Fiscal_Year]]*100+Table1[[#This Row],[Fiscal_Week]] &amp; "-" &amp;Table1[[#This Row],[BRAND]]</f>
        <v>202245-Old Navy</v>
      </c>
      <c r="C956" t="str">
        <f>Table1[[#This Row],[Fiscal_Year]]&amp;"-"&amp;Table1[[#This Row],[BRAND]]</f>
        <v>2022-Old Navy</v>
      </c>
      <c r="D956">
        <v>2022</v>
      </c>
      <c r="E956">
        <v>45</v>
      </c>
      <c r="F956" t="s">
        <v>20</v>
      </c>
      <c r="G956" t="s">
        <v>7</v>
      </c>
      <c r="H956">
        <v>3</v>
      </c>
      <c r="I956">
        <v>1232708</v>
      </c>
      <c r="J956" t="str">
        <f>VLOOKUP(H956,DC_Xref!A:B,2,FALSE)</f>
        <v>WFC</v>
      </c>
      <c r="K956">
        <f t="shared" si="14"/>
        <v>202245</v>
      </c>
      <c r="L956">
        <f>IFERROR(Table1[[#This Row],[Demand]]/SUMIFS(Table1[Demand],Table1[Fiscal_Year],Table1[[#This Row],[Fiscal_Year]],Table1[BRAND],Table1[[#This Row],[BRAND]],Table1[DC_name_Xref],Table1[[#This Row],[DC_name_Xref]]),0)</f>
        <v>0.16748183383469772</v>
      </c>
      <c r="M9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0.20168040124931302</v>
      </c>
      <c r="N956" s="3">
        <f>IFERROR(INDEX(Table3[#All],MATCH(Table1[[#This Row],[Key_Year_Week_Brand]],Table3[[#All],[Key_Year_Week_Brand]],0),MATCH(Table1[[#This Row],[DC_name_Xref]],Table3[#Headers],0)),0)</f>
        <v>0</v>
      </c>
      <c r="O956">
        <f>IFERROR(INDEX(Table35[#All],MATCH(Table1[[#This Row],[Key_Year_Week_Brand]],Table35[[#All],[Key_Year_Month_Brand]],0),MATCH(Table1[[#This Row],[DC_name_Xref]],Table35[#Headers],0)),0)</f>
        <v>0</v>
      </c>
    </row>
    <row r="957" spans="1:15" x14ac:dyDescent="0.3">
      <c r="A957" s="19" t="str">
        <f>Table1[[#This Row],[Year_Week]]&amp;"-"&amp;Table1[[#This Row],[DC_name_Xref]]</f>
        <v>202245-EAO</v>
      </c>
      <c r="B957" s="19" t="str">
        <f>Table1[[#This Row],[Fiscal_Year]]*100+Table1[[#This Row],[Fiscal_Week]] &amp; "-" &amp;Table1[[#This Row],[BRAND]]</f>
        <v>202245-Old Navy</v>
      </c>
      <c r="C957" t="str">
        <f>Table1[[#This Row],[Fiscal_Year]]&amp;"-"&amp;Table1[[#This Row],[BRAND]]</f>
        <v>2022-Old Navy</v>
      </c>
      <c r="D957">
        <v>2022</v>
      </c>
      <c r="E957">
        <v>45</v>
      </c>
      <c r="F957" t="s">
        <v>20</v>
      </c>
      <c r="G957" t="s">
        <v>8</v>
      </c>
      <c r="H957">
        <v>4</v>
      </c>
      <c r="I957">
        <v>1414052</v>
      </c>
      <c r="J957" t="str">
        <f>VLOOKUP(H957,DC_Xref!A:B,2,FALSE)</f>
        <v>EAO</v>
      </c>
      <c r="K957">
        <f t="shared" si="14"/>
        <v>202245</v>
      </c>
      <c r="L957">
        <f>IFERROR(Table1[[#This Row],[Demand]]/SUMIFS(Table1[Demand],Table1[Fiscal_Year],Table1[[#This Row],[Fiscal_Year]],Table1[BRAND],Table1[[#This Row],[BRAND]],Table1[DC_name_Xref],Table1[[#This Row],[DC_name_Xref]]),0)</f>
        <v>0.11656869019118787</v>
      </c>
      <c r="M9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0.33239513104083268</v>
      </c>
      <c r="N957" s="3">
        <f>IFERROR(INDEX(Table3[#All],MATCH(Table1[[#This Row],[Key_Year_Week_Brand]],Table3[[#All],[Key_Year_Week_Brand]],0),MATCH(Table1[[#This Row],[DC_name_Xref]],Table3[#Headers],0)),0)</f>
        <v>0.21</v>
      </c>
      <c r="O957">
        <f>IFERROR(INDEX(Table35[#All],MATCH(Table1[[#This Row],[Key_Year_Week_Brand]],Table35[[#All],[Key_Year_Month_Brand]],0),MATCH(Table1[[#This Row],[DC_name_Xref]],Table35[#Headers],0)),0)</f>
        <v>1169837.76</v>
      </c>
    </row>
    <row r="958" spans="1:15" x14ac:dyDescent="0.3">
      <c r="A958" s="19" t="str">
        <f>Table1[[#This Row],[Year_Week]]&amp;"-"&amp;Table1[[#This Row],[DC_name_Xref]]</f>
        <v>202245-FFC-ODC</v>
      </c>
      <c r="B958" s="19" t="str">
        <f>Table1[[#This Row],[Fiscal_Year]]*100+Table1[[#This Row],[Fiscal_Week]] &amp; "-" &amp;Table1[[#This Row],[BRAND]]</f>
        <v>202245-Old Navy</v>
      </c>
      <c r="C958" t="str">
        <f>Table1[[#This Row],[Fiscal_Year]]&amp;"-"&amp;Table1[[#This Row],[BRAND]]</f>
        <v>2022-Old Navy</v>
      </c>
      <c r="D958">
        <v>2022</v>
      </c>
      <c r="E958">
        <v>45</v>
      </c>
      <c r="F958" t="s">
        <v>20</v>
      </c>
      <c r="G958" t="s">
        <v>23</v>
      </c>
      <c r="H958">
        <v>5</v>
      </c>
      <c r="I958">
        <v>0</v>
      </c>
      <c r="J958" t="str">
        <f>VLOOKUP(H958,DC_Xref!A:B,2,FALSE)</f>
        <v>FFC-ODC</v>
      </c>
      <c r="K958">
        <f t="shared" si="14"/>
        <v>202245</v>
      </c>
      <c r="L958">
        <f>IFERROR(Table1[[#This Row],[Demand]]/SUMIFS(Table1[Demand],Table1[Fiscal_Year],Table1[[#This Row],[Fiscal_Year]],Table1[BRAND],Table1[[#This Row],[BRAND]],Table1[DC_name_Xref],Table1[[#This Row],[DC_name_Xref]]),0)</f>
        <v>0</v>
      </c>
      <c r="M9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58" s="3">
        <f>IFERROR(INDEX(Table3[#All],MATCH(Table1[[#This Row],[Key_Year_Week_Brand]],Table3[[#All],[Key_Year_Week_Brand]],0),MATCH(Table1[[#This Row],[DC_name_Xref]],Table3[#Headers],0)),0)</f>
        <v>0</v>
      </c>
      <c r="O958">
        <f>IFERROR(INDEX(Table35[#All],MATCH(Table1[[#This Row],[Key_Year_Week_Brand]],Table35[[#All],[Key_Year_Month_Brand]],0),MATCH(Table1[[#This Row],[DC_name_Xref]],Table35[#Headers],0)),0)</f>
        <v>0</v>
      </c>
    </row>
    <row r="959" spans="1:15" x14ac:dyDescent="0.3">
      <c r="A959" s="19" t="str">
        <f>Table1[[#This Row],[Year_Week]]&amp;"-"&amp;Table1[[#This Row],[DC_name_Xref]]</f>
        <v>202245-WEO</v>
      </c>
      <c r="B959" s="19" t="str">
        <f>Table1[[#This Row],[Fiscal_Year]]*100+Table1[[#This Row],[Fiscal_Week]] &amp; "-" &amp;Table1[[#This Row],[BRAND]]</f>
        <v>202245-Old Navy</v>
      </c>
      <c r="C959" t="str">
        <f>Table1[[#This Row],[Fiscal_Year]]&amp;"-"&amp;Table1[[#This Row],[BRAND]]</f>
        <v>2022-Old Navy</v>
      </c>
      <c r="D959">
        <v>2022</v>
      </c>
      <c r="E959">
        <v>45</v>
      </c>
      <c r="F959" t="s">
        <v>20</v>
      </c>
      <c r="G959" t="s">
        <v>10</v>
      </c>
      <c r="H959">
        <v>6</v>
      </c>
      <c r="I959">
        <v>0</v>
      </c>
      <c r="J959" t="str">
        <f>VLOOKUP(H959,DC_Xref!A:B,2,FALSE)</f>
        <v>WEO</v>
      </c>
      <c r="K959">
        <f t="shared" si="14"/>
        <v>202245</v>
      </c>
      <c r="L959">
        <f>IFERROR(Table1[[#This Row],[Demand]]/SUMIFS(Table1[Demand],Table1[Fiscal_Year],Table1[[#This Row],[Fiscal_Year]],Table1[BRAND],Table1[[#This Row],[BRAND]],Table1[DC_name_Xref],Table1[[#This Row],[DC_name_Xref]]),0)</f>
        <v>0</v>
      </c>
      <c r="M9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59" s="3">
        <f>IFERROR(INDEX(Table3[#All],MATCH(Table1[[#This Row],[Key_Year_Week_Brand]],Table3[[#All],[Key_Year_Week_Brand]],0),MATCH(Table1[[#This Row],[DC_name_Xref]],Table3[#Headers],0)),0)</f>
        <v>0.14000000000000001</v>
      </c>
      <c r="O959">
        <f>IFERROR(INDEX(Table35[#All],MATCH(Table1[[#This Row],[Key_Year_Week_Brand]],Table35[[#All],[Key_Year_Month_Brand]],0),MATCH(Table1[[#This Row],[DC_name_Xref]],Table35[#Headers],0)),0)</f>
        <v>779891.84000000008</v>
      </c>
    </row>
    <row r="960" spans="1:15" x14ac:dyDescent="0.3">
      <c r="A960" s="19" t="str">
        <f>Table1[[#This Row],[Year_Week]]&amp;"-"&amp;Table1[[#This Row],[DC_name_Xref]]</f>
        <v>202245-OCC</v>
      </c>
      <c r="B960" s="19" t="str">
        <f>Table1[[#This Row],[Fiscal_Year]]*100+Table1[[#This Row],[Fiscal_Week]] &amp; "-" &amp;Table1[[#This Row],[BRAND]]</f>
        <v>202245-Old Navy</v>
      </c>
      <c r="C960" t="str">
        <f>Table1[[#This Row],[Fiscal_Year]]&amp;"-"&amp;Table1[[#This Row],[BRAND]]</f>
        <v>2022-Old Navy</v>
      </c>
      <c r="D960">
        <v>2022</v>
      </c>
      <c r="E960">
        <v>45</v>
      </c>
      <c r="F960" t="s">
        <v>20</v>
      </c>
      <c r="G960" t="s">
        <v>11</v>
      </c>
      <c r="H960">
        <v>7</v>
      </c>
      <c r="I960">
        <v>0</v>
      </c>
      <c r="J960" t="str">
        <f>VLOOKUP(H960,DC_Xref!A:B,2,FALSE)</f>
        <v>OCC</v>
      </c>
      <c r="K960">
        <f t="shared" si="14"/>
        <v>202245</v>
      </c>
      <c r="L960">
        <f>IFERROR(Table1[[#This Row],[Demand]]/SUMIFS(Table1[Demand],Table1[Fiscal_Year],Table1[[#This Row],[Fiscal_Year]],Table1[BRAND],Table1[[#This Row],[BRAND]],Table1[DC_name_Xref],Table1[[#This Row],[DC_name_Xref]]),0)</f>
        <v>0</v>
      </c>
      <c r="M9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60" s="3">
        <f>IFERROR(INDEX(Table3[#All],MATCH(Table1[[#This Row],[Key_Year_Week_Brand]],Table3[[#All],[Key_Year_Week_Brand]],0),MATCH(Table1[[#This Row],[DC_name_Xref]],Table3[#Headers],0)),0)</f>
        <v>0.45</v>
      </c>
      <c r="O960">
        <f>IFERROR(INDEX(Table35[#All],MATCH(Table1[[#This Row],[Key_Year_Week_Brand]],Table35[[#All],[Key_Year_Month_Brand]],0),MATCH(Table1[[#This Row],[DC_name_Xref]],Table35[#Headers],0)),0)</f>
        <v>2506795.2000000002</v>
      </c>
    </row>
    <row r="961" spans="1:15" x14ac:dyDescent="0.3">
      <c r="A961" s="19" t="str">
        <f>Table1[[#This Row],[Year_Week]]&amp;"-"&amp;Table1[[#This Row],[DC_name_Xref]]</f>
        <v>202245-OFC</v>
      </c>
      <c r="B961" s="19" t="str">
        <f>Table1[[#This Row],[Fiscal_Year]]*100+Table1[[#This Row],[Fiscal_Week]] &amp; "-" &amp;Table1[[#This Row],[BRAND]]</f>
        <v>202245-Banana Republic</v>
      </c>
      <c r="C961" t="str">
        <f>Table1[[#This Row],[Fiscal_Year]]&amp;"-"&amp;Table1[[#This Row],[BRAND]]</f>
        <v>2022-Banana Republic</v>
      </c>
      <c r="D961">
        <v>2022</v>
      </c>
      <c r="E961">
        <v>45</v>
      </c>
      <c r="F961" t="s">
        <v>18</v>
      </c>
      <c r="G961" t="s">
        <v>5</v>
      </c>
      <c r="H961">
        <v>1</v>
      </c>
      <c r="I961">
        <v>11998</v>
      </c>
      <c r="J961" t="str">
        <f>VLOOKUP(H961,DC_Xref!A:B,2,FALSE)</f>
        <v>OFC</v>
      </c>
      <c r="K961">
        <f t="shared" si="14"/>
        <v>202245</v>
      </c>
      <c r="L961">
        <f>IFERROR(Table1[[#This Row],[Demand]]/SUMIFS(Table1[Demand],Table1[Fiscal_Year],Table1[[#This Row],[Fiscal_Year]],Table1[BRAND],Table1[[#This Row],[BRAND]],Table1[DC_name_Xref],Table1[[#This Row],[DC_name_Xref]]),0)</f>
        <v>0.17764287829434408</v>
      </c>
      <c r="M9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2.1329483036365917E-2</v>
      </c>
      <c r="N961" s="3">
        <f>IFERROR(INDEX(Table3[#All],MATCH(Table1[[#This Row],[Key_Year_Week_Brand]],Table3[[#All],[Key_Year_Week_Brand]],0),MATCH(Table1[[#This Row],[DC_name_Xref]],Table3[#Headers],0)),0)</f>
        <v>0</v>
      </c>
      <c r="O961">
        <f>IFERROR(INDEX(Table35[#All],MATCH(Table1[[#This Row],[Key_Year_Week_Brand]],Table35[[#All],[Key_Year_Month_Brand]],0),MATCH(Table1[[#This Row],[DC_name_Xref]],Table35[#Headers],0)),0)</f>
        <v>0</v>
      </c>
    </row>
    <row r="962" spans="1:15" x14ac:dyDescent="0.3">
      <c r="A962" s="19" t="str">
        <f>Table1[[#This Row],[Year_Week]]&amp;"-"&amp;Table1[[#This Row],[DC_name_Xref]]</f>
        <v>202245-TFC</v>
      </c>
      <c r="B962" s="19" t="str">
        <f>Table1[[#This Row],[Fiscal_Year]]*100+Table1[[#This Row],[Fiscal_Week]] &amp; "-" &amp;Table1[[#This Row],[BRAND]]</f>
        <v>202245-Banana Republic</v>
      </c>
      <c r="C962" t="str">
        <f>Table1[[#This Row],[Fiscal_Year]]&amp;"-"&amp;Table1[[#This Row],[BRAND]]</f>
        <v>2022-Banana Republic</v>
      </c>
      <c r="D962">
        <v>2022</v>
      </c>
      <c r="E962">
        <v>45</v>
      </c>
      <c r="F962" t="s">
        <v>18</v>
      </c>
      <c r="G962" t="s">
        <v>21</v>
      </c>
      <c r="H962">
        <v>2</v>
      </c>
      <c r="I962">
        <v>402405</v>
      </c>
      <c r="J962" t="str">
        <f>VLOOKUP(H962,DC_Xref!A:B,2,FALSE)</f>
        <v>TFC</v>
      </c>
      <c r="K962">
        <f t="shared" ref="K962:K1025" si="15">D962*100+E962</f>
        <v>202245</v>
      </c>
      <c r="L962">
        <f>IFERROR(Table1[[#This Row],[Demand]]/SUMIFS(Table1[Demand],Table1[Fiscal_Year],Table1[[#This Row],[Fiscal_Year]],Table1[BRAND],Table1[[#This Row],[BRAND]],Table1[DC_name_Xref],Table1[[#This Row],[DC_name_Xref]]),0)</f>
        <v>0.12985724271062654</v>
      </c>
      <c r="M9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0.97862535682039753</v>
      </c>
      <c r="N962" s="3">
        <f>IFERROR(INDEX(Table3[#All],MATCH(Table1[[#This Row],[Key_Year_Week_Brand]],Table3[[#All],[Key_Year_Week_Brand]],0),MATCH(Table1[[#This Row],[DC_name_Xref]],Table3[#Headers],0)),0)</f>
        <v>1</v>
      </c>
      <c r="O962">
        <f>IFERROR(INDEX(Table35[#All],MATCH(Table1[[#This Row],[Key_Year_Week_Brand]],Table35[[#All],[Key_Year_Month_Brand]],0),MATCH(Table1[[#This Row],[DC_name_Xref]],Table35[#Headers],0)),0)</f>
        <v>414419</v>
      </c>
    </row>
    <row r="963" spans="1:15" x14ac:dyDescent="0.3">
      <c r="A963" s="19" t="str">
        <f>Table1[[#This Row],[Year_Week]]&amp;"-"&amp;Table1[[#This Row],[DC_name_Xref]]</f>
        <v>202245-WFC</v>
      </c>
      <c r="B963" s="19" t="str">
        <f>Table1[[#This Row],[Fiscal_Year]]*100+Table1[[#This Row],[Fiscal_Week]] &amp; "-" &amp;Table1[[#This Row],[BRAND]]</f>
        <v>202245-Banana Republic</v>
      </c>
      <c r="C963" t="str">
        <f>Table1[[#This Row],[Fiscal_Year]]&amp;"-"&amp;Table1[[#This Row],[BRAND]]</f>
        <v>2022-Banana Republic</v>
      </c>
      <c r="D963">
        <v>2022</v>
      </c>
      <c r="E963">
        <v>45</v>
      </c>
      <c r="F963" t="s">
        <v>18</v>
      </c>
      <c r="G963" t="s">
        <v>7</v>
      </c>
      <c r="H963">
        <v>3</v>
      </c>
      <c r="I963">
        <v>4</v>
      </c>
      <c r="J963" t="str">
        <f>VLOOKUP(H963,DC_Xref!A:B,2,FALSE)</f>
        <v>WFC</v>
      </c>
      <c r="K963">
        <f t="shared" si="15"/>
        <v>202245</v>
      </c>
      <c r="L963">
        <f>IFERROR(Table1[[#This Row],[Demand]]/SUMIFS(Table1[Demand],Table1[Fiscal_Year],Table1[[#This Row],[Fiscal_Year]],Table1[BRAND],Table1[[#This Row],[BRAND]],Table1[DC_name_Xref],Table1[[#This Row],[DC_name_Xref]]),0)</f>
        <v>0.4</v>
      </c>
      <c r="M9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3.1580519745877874E-6</v>
      </c>
      <c r="N963" s="3">
        <f>IFERROR(INDEX(Table3[#All],MATCH(Table1[[#This Row],[Key_Year_Week_Brand]],Table3[[#All],[Key_Year_Week_Brand]],0),MATCH(Table1[[#This Row],[DC_name_Xref]],Table3[#Headers],0)),0)</f>
        <v>3.4959629396853166E-6</v>
      </c>
      <c r="O963">
        <f>IFERROR(INDEX(Table35[#All],MATCH(Table1[[#This Row],[Key_Year_Week_Brand]],Table35[[#All],[Key_Year_Month_Brand]],0),MATCH(Table1[[#This Row],[DC_name_Xref]],Table35[#Headers],0)),0)</f>
        <v>1.4487934655014492</v>
      </c>
    </row>
    <row r="964" spans="1:15" x14ac:dyDescent="0.3">
      <c r="A964" s="19" t="str">
        <f>Table1[[#This Row],[Year_Week]]&amp;"-"&amp;Table1[[#This Row],[DC_name_Xref]]</f>
        <v>202245-EAO</v>
      </c>
      <c r="B964" s="19" t="str">
        <f>Table1[[#This Row],[Fiscal_Year]]*100+Table1[[#This Row],[Fiscal_Week]] &amp; "-" &amp;Table1[[#This Row],[BRAND]]</f>
        <v>202245-Banana Republic</v>
      </c>
      <c r="C964" t="str">
        <f>Table1[[#This Row],[Fiscal_Year]]&amp;"-"&amp;Table1[[#This Row],[BRAND]]</f>
        <v>2022-Banana Republic</v>
      </c>
      <c r="D964">
        <v>2022</v>
      </c>
      <c r="E964">
        <v>45</v>
      </c>
      <c r="F964" t="s">
        <v>18</v>
      </c>
      <c r="G964" t="s">
        <v>8</v>
      </c>
      <c r="H964">
        <v>4</v>
      </c>
      <c r="I964">
        <v>12</v>
      </c>
      <c r="J964" t="str">
        <f>VLOOKUP(H964,DC_Xref!A:B,2,FALSE)</f>
        <v>EAO</v>
      </c>
      <c r="K964">
        <f t="shared" si="15"/>
        <v>202245</v>
      </c>
      <c r="L964">
        <f>IFERROR(Table1[[#This Row],[Demand]]/SUMIFS(Table1[Demand],Table1[Fiscal_Year],Table1[[#This Row],[Fiscal_Year]],Table1[BRAND],Table1[[#This Row],[BRAND]],Table1[DC_name_Xref],Table1[[#This Row],[DC_name_Xref]]),0)</f>
        <v>9.0225563909774431E-2</v>
      </c>
      <c r="M9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4.2002091262017571E-5</v>
      </c>
      <c r="N964" s="3">
        <f>IFERROR(INDEX(Table3[#All],MATCH(Table1[[#This Row],[Key_Year_Week_Brand]],Table3[[#All],[Key_Year_Week_Brand]],0),MATCH(Table1[[#This Row],[DC_name_Xref]],Table3[#Headers],0)),0)</f>
        <v>4.2339995602855504E-5</v>
      </c>
      <c r="O964">
        <f>IFERROR(INDEX(Table35[#All],MATCH(Table1[[#This Row],[Key_Year_Week_Brand]],Table35[[#All],[Key_Year_Month_Brand]],0),MATCH(Table1[[#This Row],[DC_name_Xref]],Table35[#Headers],0)),0)</f>
        <v>17.546498637739774</v>
      </c>
    </row>
    <row r="965" spans="1:15" x14ac:dyDescent="0.3">
      <c r="A965" s="19" t="str">
        <f>Table1[[#This Row],[Year_Week]]&amp;"-"&amp;Table1[[#This Row],[DC_name_Xref]]</f>
        <v>202245-FFC-ODC</v>
      </c>
      <c r="B965" s="19" t="str">
        <f>Table1[[#This Row],[Fiscal_Year]]*100+Table1[[#This Row],[Fiscal_Week]] &amp; "-" &amp;Table1[[#This Row],[BRAND]]</f>
        <v>202245-Banana Republic</v>
      </c>
      <c r="C965" t="str">
        <f>Table1[[#This Row],[Fiscal_Year]]&amp;"-"&amp;Table1[[#This Row],[BRAND]]</f>
        <v>2022-Banana Republic</v>
      </c>
      <c r="D965">
        <v>2022</v>
      </c>
      <c r="E965">
        <v>45</v>
      </c>
      <c r="F965" t="s">
        <v>18</v>
      </c>
      <c r="G965" t="s">
        <v>23</v>
      </c>
      <c r="H965">
        <v>5</v>
      </c>
      <c r="I965">
        <v>0</v>
      </c>
      <c r="J965" t="str">
        <f>VLOOKUP(H965,DC_Xref!A:B,2,FALSE)</f>
        <v>FFC-ODC</v>
      </c>
      <c r="K965">
        <f t="shared" si="15"/>
        <v>202245</v>
      </c>
      <c r="L965">
        <f>IFERROR(Table1[[#This Row],[Demand]]/SUMIFS(Table1[Demand],Table1[Fiscal_Year],Table1[[#This Row],[Fiscal_Year]],Table1[BRAND],Table1[[#This Row],[BRAND]],Table1[DC_name_Xref],Table1[[#This Row],[DC_name_Xref]]),0)</f>
        <v>0</v>
      </c>
      <c r="M9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65" s="3">
        <f>IFERROR(INDEX(Table3[#All],MATCH(Table1[[#This Row],[Key_Year_Week_Brand]],Table3[[#All],[Key_Year_Week_Brand]],0),MATCH(Table1[[#This Row],[DC_name_Xref]],Table3[#Headers],0)),0)</f>
        <v>0</v>
      </c>
      <c r="O965">
        <f>IFERROR(INDEX(Table35[#All],MATCH(Table1[[#This Row],[Key_Year_Week_Brand]],Table35[[#All],[Key_Year_Month_Brand]],0),MATCH(Table1[[#This Row],[DC_name_Xref]],Table35[#Headers],0)),0)</f>
        <v>0</v>
      </c>
    </row>
    <row r="966" spans="1:15" x14ac:dyDescent="0.3">
      <c r="A966" s="19" t="str">
        <f>Table1[[#This Row],[Year_Week]]&amp;"-"&amp;Table1[[#This Row],[DC_name_Xref]]</f>
        <v>202245-WEO</v>
      </c>
      <c r="B966" s="19" t="str">
        <f>Table1[[#This Row],[Fiscal_Year]]*100+Table1[[#This Row],[Fiscal_Week]] &amp; "-" &amp;Table1[[#This Row],[BRAND]]</f>
        <v>202245-Banana Republic</v>
      </c>
      <c r="C966" t="str">
        <f>Table1[[#This Row],[Fiscal_Year]]&amp;"-"&amp;Table1[[#This Row],[BRAND]]</f>
        <v>2022-Banana Republic</v>
      </c>
      <c r="D966">
        <v>2022</v>
      </c>
      <c r="E966">
        <v>45</v>
      </c>
      <c r="F966" t="s">
        <v>18</v>
      </c>
      <c r="G966" t="s">
        <v>10</v>
      </c>
      <c r="H966">
        <v>6</v>
      </c>
      <c r="I966">
        <v>0</v>
      </c>
      <c r="J966" t="str">
        <f>VLOOKUP(H966,DC_Xref!A:B,2,FALSE)</f>
        <v>WEO</v>
      </c>
      <c r="K966">
        <f t="shared" si="15"/>
        <v>202245</v>
      </c>
      <c r="L966">
        <f>IFERROR(Table1[[#This Row],[Demand]]/SUMIFS(Table1[Demand],Table1[Fiscal_Year],Table1[[#This Row],[Fiscal_Year]],Table1[BRAND],Table1[[#This Row],[BRAND]],Table1[DC_name_Xref],Table1[[#This Row],[DC_name_Xref]]),0)</f>
        <v>0</v>
      </c>
      <c r="M9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66" s="3">
        <f>IFERROR(INDEX(Table3[#All],MATCH(Table1[[#This Row],[Key_Year_Week_Brand]],Table3[[#All],[Key_Year_Week_Brand]],0),MATCH(Table1[[#This Row],[DC_name_Xref]],Table3[#Headers],0)),0)</f>
        <v>0</v>
      </c>
      <c r="O966">
        <f>IFERROR(INDEX(Table35[#All],MATCH(Table1[[#This Row],[Key_Year_Week_Brand]],Table35[[#All],[Key_Year_Month_Brand]],0),MATCH(Table1[[#This Row],[DC_name_Xref]],Table35[#Headers],0)),0)</f>
        <v>0</v>
      </c>
    </row>
    <row r="967" spans="1:15" x14ac:dyDescent="0.3">
      <c r="A967" s="19" t="str">
        <f>Table1[[#This Row],[Year_Week]]&amp;"-"&amp;Table1[[#This Row],[DC_name_Xref]]</f>
        <v>202245-OCC</v>
      </c>
      <c r="B967" s="19" t="str">
        <f>Table1[[#This Row],[Fiscal_Year]]*100+Table1[[#This Row],[Fiscal_Week]] &amp; "-" &amp;Table1[[#This Row],[BRAND]]</f>
        <v>202245-Banana Republic</v>
      </c>
      <c r="C967" t="str">
        <f>Table1[[#This Row],[Fiscal_Year]]&amp;"-"&amp;Table1[[#This Row],[BRAND]]</f>
        <v>2022-Banana Republic</v>
      </c>
      <c r="D967">
        <v>2022</v>
      </c>
      <c r="E967">
        <v>45</v>
      </c>
      <c r="F967" t="s">
        <v>18</v>
      </c>
      <c r="G967" t="s">
        <v>11</v>
      </c>
      <c r="H967">
        <v>7</v>
      </c>
      <c r="I967">
        <v>0</v>
      </c>
      <c r="J967" t="str">
        <f>VLOOKUP(H967,DC_Xref!A:B,2,FALSE)</f>
        <v>OCC</v>
      </c>
      <c r="K967">
        <f t="shared" si="15"/>
        <v>202245</v>
      </c>
      <c r="L967">
        <f>IFERROR(Table1[[#This Row],[Demand]]/SUMIFS(Table1[Demand],Table1[Fiscal_Year],Table1[[#This Row],[Fiscal_Year]],Table1[BRAND],Table1[[#This Row],[BRAND]],Table1[DC_name_Xref],Table1[[#This Row],[DC_name_Xref]]),0)</f>
        <v>0</v>
      </c>
      <c r="M9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67" s="3">
        <f>IFERROR(INDEX(Table3[#All],MATCH(Table1[[#This Row],[Key_Year_Week_Brand]],Table3[[#All],[Key_Year_Week_Brand]],0),MATCH(Table1[[#This Row],[DC_name_Xref]],Table3[#Headers],0)),0)</f>
        <v>0</v>
      </c>
      <c r="O967">
        <f>IFERROR(INDEX(Table35[#All],MATCH(Table1[[#This Row],[Key_Year_Week_Brand]],Table35[[#All],[Key_Year_Month_Brand]],0),MATCH(Table1[[#This Row],[DC_name_Xref]],Table35[#Headers],0)),0)</f>
        <v>0</v>
      </c>
    </row>
    <row r="968" spans="1:15" x14ac:dyDescent="0.3">
      <c r="A968" s="19" t="str">
        <f>Table1[[#This Row],[Year_Week]]&amp;"-"&amp;Table1[[#This Row],[DC_name_Xref]]</f>
        <v>202246-OFC</v>
      </c>
      <c r="B968" s="19" t="str">
        <f>Table1[[#This Row],[Fiscal_Year]]*100+Table1[[#This Row],[Fiscal_Week]] &amp; "-" &amp;Table1[[#This Row],[BRAND]]</f>
        <v>202246-Gap</v>
      </c>
      <c r="C968" t="str">
        <f>Table1[[#This Row],[Fiscal_Year]]&amp;"-"&amp;Table1[[#This Row],[BRAND]]</f>
        <v>2022-Gap</v>
      </c>
      <c r="D968">
        <v>2022</v>
      </c>
      <c r="E968">
        <v>46</v>
      </c>
      <c r="F968" t="s">
        <v>16</v>
      </c>
      <c r="G968" t="s">
        <v>5</v>
      </c>
      <c r="H968">
        <v>1</v>
      </c>
      <c r="I968">
        <v>1317009</v>
      </c>
      <c r="J968" t="str">
        <f>VLOOKUP(H968,DC_Xref!A:B,2,FALSE)</f>
        <v>OFC</v>
      </c>
      <c r="K968">
        <f t="shared" si="15"/>
        <v>202246</v>
      </c>
      <c r="L968">
        <f>IFERROR(Table1[[#This Row],[Demand]]/SUMIFS(Table1[Demand],Table1[Fiscal_Year],Table1[[#This Row],[Fiscal_Year]],Table1[BRAND],Table1[[#This Row],[BRAND]],Table1[DC_name_Xref],Table1[[#This Row],[DC_name_Xref]]),0)</f>
        <v>0.11361418129938883</v>
      </c>
      <c r="M9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0.66900253139543242</v>
      </c>
      <c r="N968" s="3">
        <f>IFERROR(INDEX(Table3[#All],MATCH(Table1[[#This Row],[Key_Year_Week_Brand]],Table3[[#All],[Key_Year_Week_Brand]],0),MATCH(Table1[[#This Row],[DC_name_Xref]],Table3[#Headers],0)),0)</f>
        <v>0</v>
      </c>
      <c r="O968">
        <f>IFERROR(INDEX(Table35[#All],MATCH(Table1[[#This Row],[Key_Year_Week_Brand]],Table35[[#All],[Key_Year_Month_Brand]],0),MATCH(Table1[[#This Row],[DC_name_Xref]],Table35[#Headers],0)),0)</f>
        <v>0</v>
      </c>
    </row>
    <row r="969" spans="1:15" x14ac:dyDescent="0.3">
      <c r="A969" s="19" t="str">
        <f>Table1[[#This Row],[Year_Week]]&amp;"-"&amp;Table1[[#This Row],[DC_name_Xref]]</f>
        <v>202246-TFC</v>
      </c>
      <c r="B969" s="19" t="str">
        <f>Table1[[#This Row],[Fiscal_Year]]*100+Table1[[#This Row],[Fiscal_Week]] &amp; "-" &amp;Table1[[#This Row],[BRAND]]</f>
        <v>202246-Gap</v>
      </c>
      <c r="C969" t="str">
        <f>Table1[[#This Row],[Fiscal_Year]]&amp;"-"&amp;Table1[[#This Row],[BRAND]]</f>
        <v>2022-Gap</v>
      </c>
      <c r="D969">
        <v>2022</v>
      </c>
      <c r="E969">
        <v>46</v>
      </c>
      <c r="F969" t="s">
        <v>16</v>
      </c>
      <c r="G969" t="s">
        <v>21</v>
      </c>
      <c r="H969">
        <v>2</v>
      </c>
      <c r="I969">
        <v>376</v>
      </c>
      <c r="J969" t="str">
        <f>VLOOKUP(H969,DC_Xref!A:B,2,FALSE)</f>
        <v>TFC</v>
      </c>
      <c r="K969">
        <f t="shared" si="15"/>
        <v>202246</v>
      </c>
      <c r="L969">
        <f>IFERROR(Table1[[#This Row],[Demand]]/SUMIFS(Table1[Demand],Table1[Fiscal_Year],Table1[[#This Row],[Fiscal_Year]],Table1[BRAND],Table1[[#This Row],[BRAND]],Table1[DC_name_Xref],Table1[[#This Row],[DC_name_Xref]]),0)</f>
        <v>0.18024928092042186</v>
      </c>
      <c r="M9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1.2038873904742382E-4</v>
      </c>
      <c r="N969" s="3">
        <f>IFERROR(INDEX(Table3[#All],MATCH(Table1[[#This Row],[Key_Year_Week_Brand]],Table3[[#All],[Key_Year_Week_Brand]],0),MATCH(Table1[[#This Row],[DC_name_Xref]],Table3[#Headers],0)),0)</f>
        <v>0.25</v>
      </c>
      <c r="O969">
        <f>IFERROR(INDEX(Table35[#All],MATCH(Table1[[#This Row],[Key_Year_Week_Brand]],Table35[[#All],[Key_Year_Month_Brand]],0),MATCH(Table1[[#This Row],[DC_name_Xref]],Table35[#Headers],0)),0)</f>
        <v>444622.75</v>
      </c>
    </row>
    <row r="970" spans="1:15" x14ac:dyDescent="0.3">
      <c r="A970" s="19" t="str">
        <f>Table1[[#This Row],[Year_Week]]&amp;"-"&amp;Table1[[#This Row],[DC_name_Xref]]</f>
        <v>202246-WFC</v>
      </c>
      <c r="B970" s="19" t="str">
        <f>Table1[[#This Row],[Fiscal_Year]]*100+Table1[[#This Row],[Fiscal_Week]] &amp; "-" &amp;Table1[[#This Row],[BRAND]]</f>
        <v>202246-Gap</v>
      </c>
      <c r="C970" t="str">
        <f>Table1[[#This Row],[Fiscal_Year]]&amp;"-"&amp;Table1[[#This Row],[BRAND]]</f>
        <v>2022-Gap</v>
      </c>
      <c r="D970">
        <v>2022</v>
      </c>
      <c r="E970">
        <v>46</v>
      </c>
      <c r="F970" t="s">
        <v>16</v>
      </c>
      <c r="G970" t="s">
        <v>7</v>
      </c>
      <c r="H970">
        <v>3</v>
      </c>
      <c r="I970">
        <v>26505</v>
      </c>
      <c r="J970" t="str">
        <f>VLOOKUP(H970,DC_Xref!A:B,2,FALSE)</f>
        <v>WFC</v>
      </c>
      <c r="K970">
        <f t="shared" si="15"/>
        <v>202246</v>
      </c>
      <c r="L970">
        <f>IFERROR(Table1[[#This Row],[Demand]]/SUMIFS(Table1[Demand],Table1[Fiscal_Year],Table1[[#This Row],[Fiscal_Year]],Table1[BRAND],Table1[[#This Row],[BRAND]],Table1[DC_name_Xref],Table1[[#This Row],[DC_name_Xref]]),0)</f>
        <v>6.4217960676947683E-2</v>
      </c>
      <c r="M9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2.3820060503709717E-2</v>
      </c>
      <c r="N970" s="3">
        <f>IFERROR(INDEX(Table3[#All],MATCH(Table1[[#This Row],[Key_Year_Week_Brand]],Table3[[#All],[Key_Year_Week_Brand]],0),MATCH(Table1[[#This Row],[DC_name_Xref]],Table3[#Headers],0)),0)</f>
        <v>0</v>
      </c>
      <c r="O970">
        <f>IFERROR(INDEX(Table35[#All],MATCH(Table1[[#This Row],[Key_Year_Week_Brand]],Table35[[#All],[Key_Year_Month_Brand]],0),MATCH(Table1[[#This Row],[DC_name_Xref]],Table35[#Headers],0)),0)</f>
        <v>0</v>
      </c>
    </row>
    <row r="971" spans="1:15" x14ac:dyDescent="0.3">
      <c r="A971" s="19" t="str">
        <f>Table1[[#This Row],[Year_Week]]&amp;"-"&amp;Table1[[#This Row],[DC_name_Xref]]</f>
        <v>202246-EAO</v>
      </c>
      <c r="B971" s="19" t="str">
        <f>Table1[[#This Row],[Fiscal_Year]]*100+Table1[[#This Row],[Fiscal_Week]] &amp; "-" &amp;Table1[[#This Row],[BRAND]]</f>
        <v>202246-Gap</v>
      </c>
      <c r="C971" t="str">
        <f>Table1[[#This Row],[Fiscal_Year]]&amp;"-"&amp;Table1[[#This Row],[BRAND]]</f>
        <v>2022-Gap</v>
      </c>
      <c r="D971">
        <v>2022</v>
      </c>
      <c r="E971">
        <v>46</v>
      </c>
      <c r="F971" t="s">
        <v>16</v>
      </c>
      <c r="G971" t="s">
        <v>8</v>
      </c>
      <c r="H971">
        <v>4</v>
      </c>
      <c r="I971">
        <v>224</v>
      </c>
      <c r="J971" t="str">
        <f>VLOOKUP(H971,DC_Xref!A:B,2,FALSE)</f>
        <v>EAO</v>
      </c>
      <c r="K971">
        <f t="shared" si="15"/>
        <v>202246</v>
      </c>
      <c r="L971">
        <f>IFERROR(Table1[[#This Row],[Demand]]/SUMIFS(Table1[Demand],Table1[Fiscal_Year],Table1[[#This Row],[Fiscal_Year]],Table1[BRAND],Table1[[#This Row],[BRAND]],Table1[DC_name_Xref],Table1[[#This Row],[DC_name_Xref]]),0)</f>
        <v>0.10764055742431523</v>
      </c>
      <c r="M9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1.2010017543513372E-4</v>
      </c>
      <c r="N971" s="3">
        <f>IFERROR(INDEX(Table3[#All],MATCH(Table1[[#This Row],[Key_Year_Week_Brand]],Table3[[#All],[Key_Year_Week_Brand]],0),MATCH(Table1[[#This Row],[DC_name_Xref]],Table3[#Headers],0)),0)</f>
        <v>0</v>
      </c>
      <c r="O971">
        <f>IFERROR(INDEX(Table35[#All],MATCH(Table1[[#This Row],[Key_Year_Week_Brand]],Table35[[#All],[Key_Year_Month_Brand]],0),MATCH(Table1[[#This Row],[DC_name_Xref]],Table35[#Headers],0)),0)</f>
        <v>0</v>
      </c>
    </row>
    <row r="972" spans="1:15" x14ac:dyDescent="0.3">
      <c r="A972" s="19" t="str">
        <f>Table1[[#This Row],[Year_Week]]&amp;"-"&amp;Table1[[#This Row],[DC_name_Xref]]</f>
        <v>202246-FFC-ODC</v>
      </c>
      <c r="B972" s="19" t="str">
        <f>Table1[[#This Row],[Fiscal_Year]]*100+Table1[[#This Row],[Fiscal_Week]] &amp; "-" &amp;Table1[[#This Row],[BRAND]]</f>
        <v>202246-Gap</v>
      </c>
      <c r="C972" t="str">
        <f>Table1[[#This Row],[Fiscal_Year]]&amp;"-"&amp;Table1[[#This Row],[BRAND]]</f>
        <v>2022-Gap</v>
      </c>
      <c r="D972">
        <v>2022</v>
      </c>
      <c r="E972">
        <v>46</v>
      </c>
      <c r="F972" t="s">
        <v>16</v>
      </c>
      <c r="G972" t="s">
        <v>23</v>
      </c>
      <c r="H972">
        <v>5</v>
      </c>
      <c r="I972">
        <v>0</v>
      </c>
      <c r="J972" t="str">
        <f>VLOOKUP(H972,DC_Xref!A:B,2,FALSE)</f>
        <v>FFC-ODC</v>
      </c>
      <c r="K972">
        <f t="shared" si="15"/>
        <v>202246</v>
      </c>
      <c r="L972">
        <f>IFERROR(Table1[[#This Row],[Demand]]/SUMIFS(Table1[Demand],Table1[Fiscal_Year],Table1[[#This Row],[Fiscal_Year]],Table1[BRAND],Table1[[#This Row],[BRAND]],Table1[DC_name_Xref],Table1[[#This Row],[DC_name_Xref]]),0)</f>
        <v>0</v>
      </c>
      <c r="M9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72" s="3">
        <f>IFERROR(INDEX(Table3[#All],MATCH(Table1[[#This Row],[Key_Year_Week_Brand]],Table3[[#All],[Key_Year_Week_Brand]],0),MATCH(Table1[[#This Row],[DC_name_Xref]],Table3[#Headers],0)),0)</f>
        <v>0</v>
      </c>
      <c r="O972">
        <f>IFERROR(INDEX(Table35[#All],MATCH(Table1[[#This Row],[Key_Year_Week_Brand]],Table35[[#All],[Key_Year_Month_Brand]],0),MATCH(Table1[[#This Row],[DC_name_Xref]],Table35[#Headers],0)),0)</f>
        <v>0</v>
      </c>
    </row>
    <row r="973" spans="1:15" x14ac:dyDescent="0.3">
      <c r="A973" s="19" t="str">
        <f>Table1[[#This Row],[Year_Week]]&amp;"-"&amp;Table1[[#This Row],[DC_name_Xref]]</f>
        <v>202246-WEO</v>
      </c>
      <c r="B973" s="19" t="str">
        <f>Table1[[#This Row],[Fiscal_Year]]*100+Table1[[#This Row],[Fiscal_Week]] &amp; "-" &amp;Table1[[#This Row],[BRAND]]</f>
        <v>202246-Gap</v>
      </c>
      <c r="C973" t="str">
        <f>Table1[[#This Row],[Fiscal_Year]]&amp;"-"&amp;Table1[[#This Row],[BRAND]]</f>
        <v>2022-Gap</v>
      </c>
      <c r="D973">
        <v>2022</v>
      </c>
      <c r="E973">
        <v>46</v>
      </c>
      <c r="F973" t="s">
        <v>16</v>
      </c>
      <c r="G973" t="s">
        <v>10</v>
      </c>
      <c r="H973">
        <v>6</v>
      </c>
      <c r="I973">
        <v>434377</v>
      </c>
      <c r="J973" t="str">
        <f>VLOOKUP(H973,DC_Xref!A:B,2,FALSE)</f>
        <v>WEO</v>
      </c>
      <c r="K973">
        <f t="shared" si="15"/>
        <v>202246</v>
      </c>
      <c r="L973">
        <f>IFERROR(Table1[[#This Row],[Demand]]/SUMIFS(Table1[Demand],Table1[Fiscal_Year],Table1[[#This Row],[Fiscal_Year]],Table1[BRAND],Table1[[#This Row],[BRAND]],Table1[DC_name_Xref],Table1[[#This Row],[DC_name_Xref]]),0)</f>
        <v>8.1675020748885274E-2</v>
      </c>
      <c r="M9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0.30693691918637528</v>
      </c>
      <c r="N973" s="3">
        <f>IFERROR(INDEX(Table3[#All],MATCH(Table1[[#This Row],[Key_Year_Week_Brand]],Table3[[#All],[Key_Year_Week_Brand]],0),MATCH(Table1[[#This Row],[DC_name_Xref]],Table3[#Headers],0)),0)</f>
        <v>0.45</v>
      </c>
      <c r="O973">
        <f>IFERROR(INDEX(Table35[#All],MATCH(Table1[[#This Row],[Key_Year_Week_Brand]],Table35[[#All],[Key_Year_Month_Brand]],0),MATCH(Table1[[#This Row],[DC_name_Xref]],Table35[#Headers],0)),0)</f>
        <v>800320.95000000007</v>
      </c>
    </row>
    <row r="974" spans="1:15" x14ac:dyDescent="0.3">
      <c r="A974" s="19" t="str">
        <f>Table1[[#This Row],[Year_Week]]&amp;"-"&amp;Table1[[#This Row],[DC_name_Xref]]</f>
        <v>202246-OCC</v>
      </c>
      <c r="B974" s="19" t="str">
        <f>Table1[[#This Row],[Fiscal_Year]]*100+Table1[[#This Row],[Fiscal_Week]] &amp; "-" &amp;Table1[[#This Row],[BRAND]]</f>
        <v>202246-Gap</v>
      </c>
      <c r="C974" t="str">
        <f>Table1[[#This Row],[Fiscal_Year]]&amp;"-"&amp;Table1[[#This Row],[BRAND]]</f>
        <v>2022-Gap</v>
      </c>
      <c r="D974">
        <v>2022</v>
      </c>
      <c r="E974">
        <v>46</v>
      </c>
      <c r="F974" t="s">
        <v>16</v>
      </c>
      <c r="G974" t="s">
        <v>11</v>
      </c>
      <c r="H974">
        <v>7</v>
      </c>
      <c r="I974">
        <v>0</v>
      </c>
      <c r="J974" t="str">
        <f>VLOOKUP(H974,DC_Xref!A:B,2,FALSE)</f>
        <v>OCC</v>
      </c>
      <c r="K974">
        <f t="shared" si="15"/>
        <v>202246</v>
      </c>
      <c r="L974">
        <f>IFERROR(Table1[[#This Row],[Demand]]/SUMIFS(Table1[Demand],Table1[Fiscal_Year],Table1[[#This Row],[Fiscal_Year]],Table1[BRAND],Table1[[#This Row],[BRAND]],Table1[DC_name_Xref],Table1[[#This Row],[DC_name_Xref]]),0)</f>
        <v>0</v>
      </c>
      <c r="M9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74" s="3">
        <f>IFERROR(INDEX(Table3[#All],MATCH(Table1[[#This Row],[Key_Year_Week_Brand]],Table3[[#All],[Key_Year_Week_Brand]],0),MATCH(Table1[[#This Row],[DC_name_Xref]],Table3[#Headers],0)),0)</f>
        <v>0.3</v>
      </c>
      <c r="O974">
        <f>IFERROR(INDEX(Table35[#All],MATCH(Table1[[#This Row],[Key_Year_Week_Brand]],Table35[[#All],[Key_Year_Month_Brand]],0),MATCH(Table1[[#This Row],[DC_name_Xref]],Table35[#Headers],0)),0)</f>
        <v>533547.29999999993</v>
      </c>
    </row>
    <row r="975" spans="1:15" x14ac:dyDescent="0.3">
      <c r="A975" s="19" t="str">
        <f>Table1[[#This Row],[Year_Week]]&amp;"-"&amp;Table1[[#This Row],[DC_name_Xref]]</f>
        <v>202246-OFC</v>
      </c>
      <c r="B975" s="19" t="str">
        <f>Table1[[#This Row],[Fiscal_Year]]*100+Table1[[#This Row],[Fiscal_Week]] &amp; "-" &amp;Table1[[#This Row],[BRAND]]</f>
        <v>202246-Athleta</v>
      </c>
      <c r="C975" t="str">
        <f>Table1[[#This Row],[Fiscal_Year]]&amp;"-"&amp;Table1[[#This Row],[BRAND]]</f>
        <v>2022-Athleta</v>
      </c>
      <c r="D975">
        <v>2022</v>
      </c>
      <c r="E975">
        <v>46</v>
      </c>
      <c r="F975" t="s">
        <v>19</v>
      </c>
      <c r="G975" t="s">
        <v>5</v>
      </c>
      <c r="H975">
        <v>1</v>
      </c>
      <c r="I975">
        <v>44314</v>
      </c>
      <c r="J975" t="str">
        <f>VLOOKUP(H975,DC_Xref!A:B,2,FALSE)</f>
        <v>OFC</v>
      </c>
      <c r="K975">
        <f t="shared" si="15"/>
        <v>202246</v>
      </c>
      <c r="L975">
        <f>IFERROR(Table1[[#This Row],[Demand]]/SUMIFS(Table1[Demand],Table1[Fiscal_Year],Table1[[#This Row],[Fiscal_Year]],Table1[BRAND],Table1[[#This Row],[BRAND]],Table1[DC_name_Xref],Table1[[#This Row],[DC_name_Xref]]),0)</f>
        <v>0.1754079023409359</v>
      </c>
      <c r="M9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0.10136873512375272</v>
      </c>
      <c r="N975" s="3">
        <f>IFERROR(INDEX(Table3[#All],MATCH(Table1[[#This Row],[Key_Year_Week_Brand]],Table3[[#All],[Key_Year_Week_Brand]],0),MATCH(Table1[[#This Row],[DC_name_Xref]],Table3[#Headers],0)),0)</f>
        <v>0</v>
      </c>
      <c r="O975">
        <f>IFERROR(INDEX(Table35[#All],MATCH(Table1[[#This Row],[Key_Year_Week_Brand]],Table35[[#All],[Key_Year_Month_Brand]],0),MATCH(Table1[[#This Row],[DC_name_Xref]],Table35[#Headers],0)),0)</f>
        <v>0</v>
      </c>
    </row>
    <row r="976" spans="1:15" x14ac:dyDescent="0.3">
      <c r="A976" s="19" t="str">
        <f>Table1[[#This Row],[Year_Week]]&amp;"-"&amp;Table1[[#This Row],[DC_name_Xref]]</f>
        <v>202246-TFC</v>
      </c>
      <c r="B976" s="19" t="str">
        <f>Table1[[#This Row],[Fiscal_Year]]*100+Table1[[#This Row],[Fiscal_Week]] &amp; "-" &amp;Table1[[#This Row],[BRAND]]</f>
        <v>202246-Athleta</v>
      </c>
      <c r="C976" t="str">
        <f>Table1[[#This Row],[Fiscal_Year]]&amp;"-"&amp;Table1[[#This Row],[BRAND]]</f>
        <v>2022-Athleta</v>
      </c>
      <c r="D976">
        <v>2022</v>
      </c>
      <c r="E976">
        <v>46</v>
      </c>
      <c r="F976" t="s">
        <v>19</v>
      </c>
      <c r="G976" t="s">
        <v>21</v>
      </c>
      <c r="H976">
        <v>2</v>
      </c>
      <c r="I976">
        <v>341644</v>
      </c>
      <c r="J976" t="str">
        <f>VLOOKUP(H976,DC_Xref!A:B,2,FALSE)</f>
        <v>TFC</v>
      </c>
      <c r="K976">
        <f t="shared" si="15"/>
        <v>202246</v>
      </c>
      <c r="L976">
        <f>IFERROR(Table1[[#This Row],[Demand]]/SUMIFS(Table1[Demand],Table1[Fiscal_Year],Table1[[#This Row],[Fiscal_Year]],Table1[BRAND],Table1[[#This Row],[BRAND]],Table1[DC_name_Xref],Table1[[#This Row],[DC_name_Xref]]),0)</f>
        <v>0.15255315006688969</v>
      </c>
      <c r="M9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0.898596757600027</v>
      </c>
      <c r="N976" s="3">
        <f>IFERROR(INDEX(Table3[#All],MATCH(Table1[[#This Row],[Key_Year_Week_Brand]],Table3[[#All],[Key_Year_Week_Brand]],0),MATCH(Table1[[#This Row],[DC_name_Xref]],Table3[#Headers],0)),0)</f>
        <v>1</v>
      </c>
      <c r="O976">
        <f>IFERROR(INDEX(Table35[#All],MATCH(Table1[[#This Row],[Key_Year_Week_Brand]],Table35[[#All],[Key_Year_Month_Brand]],0),MATCH(Table1[[#This Row],[DC_name_Xref]],Table35[#Headers],0)),0)</f>
        <v>385961</v>
      </c>
    </row>
    <row r="977" spans="1:15" x14ac:dyDescent="0.3">
      <c r="A977" s="19" t="str">
        <f>Table1[[#This Row],[Year_Week]]&amp;"-"&amp;Table1[[#This Row],[DC_name_Xref]]</f>
        <v>202246-WFC</v>
      </c>
      <c r="B977" s="19" t="str">
        <f>Table1[[#This Row],[Fiscal_Year]]*100+Table1[[#This Row],[Fiscal_Week]] &amp; "-" &amp;Table1[[#This Row],[BRAND]]</f>
        <v>202246-Athleta</v>
      </c>
      <c r="C977" t="str">
        <f>Table1[[#This Row],[Fiscal_Year]]&amp;"-"&amp;Table1[[#This Row],[BRAND]]</f>
        <v>2022-Athleta</v>
      </c>
      <c r="D977">
        <v>2022</v>
      </c>
      <c r="E977">
        <v>46</v>
      </c>
      <c r="F977" t="s">
        <v>19</v>
      </c>
      <c r="G977" t="s">
        <v>7</v>
      </c>
      <c r="H977">
        <v>3</v>
      </c>
      <c r="I977">
        <v>0</v>
      </c>
      <c r="J977" t="str">
        <f>VLOOKUP(H977,DC_Xref!A:B,2,FALSE)</f>
        <v>WFC</v>
      </c>
      <c r="K977">
        <f t="shared" si="15"/>
        <v>202246</v>
      </c>
      <c r="L977">
        <f>IFERROR(Table1[[#This Row],[Demand]]/SUMIFS(Table1[Demand],Table1[Fiscal_Year],Table1[[#This Row],[Fiscal_Year]],Table1[BRAND],Table1[[#This Row],[BRAND]],Table1[DC_name_Xref],Table1[[#This Row],[DC_name_Xref]]),0)</f>
        <v>0</v>
      </c>
      <c r="M9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77" s="3">
        <f>IFERROR(INDEX(Table3[#All],MATCH(Table1[[#This Row],[Key_Year_Week_Brand]],Table3[[#All],[Key_Year_Week_Brand]],0),MATCH(Table1[[#This Row],[DC_name_Xref]],Table3[#Headers],0)),0)</f>
        <v>0</v>
      </c>
      <c r="O977">
        <f>IFERROR(INDEX(Table35[#All],MATCH(Table1[[#This Row],[Key_Year_Week_Brand]],Table35[[#All],[Key_Year_Month_Brand]],0),MATCH(Table1[[#This Row],[DC_name_Xref]],Table35[#Headers],0)),0)</f>
        <v>0</v>
      </c>
    </row>
    <row r="978" spans="1:15" x14ac:dyDescent="0.3">
      <c r="A978" s="19" t="str">
        <f>Table1[[#This Row],[Year_Week]]&amp;"-"&amp;Table1[[#This Row],[DC_name_Xref]]</f>
        <v>202246-EAO</v>
      </c>
      <c r="B978" s="19" t="str">
        <f>Table1[[#This Row],[Fiscal_Year]]*100+Table1[[#This Row],[Fiscal_Week]] &amp; "-" &amp;Table1[[#This Row],[BRAND]]</f>
        <v>202246-Athleta</v>
      </c>
      <c r="C978" t="str">
        <f>Table1[[#This Row],[Fiscal_Year]]&amp;"-"&amp;Table1[[#This Row],[BRAND]]</f>
        <v>2022-Athleta</v>
      </c>
      <c r="D978">
        <v>2022</v>
      </c>
      <c r="E978">
        <v>46</v>
      </c>
      <c r="F978" t="s">
        <v>19</v>
      </c>
      <c r="G978" t="s">
        <v>8</v>
      </c>
      <c r="H978">
        <v>4</v>
      </c>
      <c r="I978">
        <v>3</v>
      </c>
      <c r="J978" t="str">
        <f>VLOOKUP(H978,DC_Xref!A:B,2,FALSE)</f>
        <v>EAO</v>
      </c>
      <c r="K978">
        <f t="shared" si="15"/>
        <v>202246</v>
      </c>
      <c r="L978">
        <f>IFERROR(Table1[[#This Row],[Demand]]/SUMIFS(Table1[Demand],Table1[Fiscal_Year],Table1[[#This Row],[Fiscal_Year]],Table1[BRAND],Table1[[#This Row],[BRAND]],Table1[DC_name_Xref],Table1[[#This Row],[DC_name_Xref]]),0)</f>
        <v>3.4883720930232558E-2</v>
      </c>
      <c r="M9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3.4507276220313712E-5</v>
      </c>
      <c r="N978" s="3">
        <f>IFERROR(INDEX(Table3[#All],MATCH(Table1[[#This Row],[Key_Year_Week_Brand]],Table3[[#All],[Key_Year_Week_Brand]],0),MATCH(Table1[[#This Row],[DC_name_Xref]],Table3[#Headers],0)),0)</f>
        <v>3.447122356821831E-5</v>
      </c>
      <c r="O978">
        <f>IFERROR(INDEX(Table35[#All],MATCH(Table1[[#This Row],[Key_Year_Week_Brand]],Table35[[#All],[Key_Year_Month_Brand]],0),MATCH(Table1[[#This Row],[DC_name_Xref]],Table35[#Headers],0)),0)</f>
        <v>13.304547919613107</v>
      </c>
    </row>
    <row r="979" spans="1:15" x14ac:dyDescent="0.3">
      <c r="A979" s="19" t="str">
        <f>Table1[[#This Row],[Year_Week]]&amp;"-"&amp;Table1[[#This Row],[DC_name_Xref]]</f>
        <v>202246-FFC-ODC</v>
      </c>
      <c r="B979" s="19" t="str">
        <f>Table1[[#This Row],[Fiscal_Year]]*100+Table1[[#This Row],[Fiscal_Week]] &amp; "-" &amp;Table1[[#This Row],[BRAND]]</f>
        <v>202246-Athleta</v>
      </c>
      <c r="C979" t="str">
        <f>Table1[[#This Row],[Fiscal_Year]]&amp;"-"&amp;Table1[[#This Row],[BRAND]]</f>
        <v>2022-Athleta</v>
      </c>
      <c r="D979">
        <v>2022</v>
      </c>
      <c r="E979">
        <v>46</v>
      </c>
      <c r="F979" t="s">
        <v>19</v>
      </c>
      <c r="G979" t="s">
        <v>23</v>
      </c>
      <c r="H979">
        <v>5</v>
      </c>
      <c r="I979">
        <v>0</v>
      </c>
      <c r="J979" t="str">
        <f>VLOOKUP(H979,DC_Xref!A:B,2,FALSE)</f>
        <v>FFC-ODC</v>
      </c>
      <c r="K979">
        <f t="shared" si="15"/>
        <v>202246</v>
      </c>
      <c r="L979">
        <f>IFERROR(Table1[[#This Row],[Demand]]/SUMIFS(Table1[Demand],Table1[Fiscal_Year],Table1[[#This Row],[Fiscal_Year]],Table1[BRAND],Table1[[#This Row],[BRAND]],Table1[DC_name_Xref],Table1[[#This Row],[DC_name_Xref]]),0)</f>
        <v>0</v>
      </c>
      <c r="M9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79" s="3">
        <f>IFERROR(INDEX(Table3[#All],MATCH(Table1[[#This Row],[Key_Year_Week_Brand]],Table3[[#All],[Key_Year_Week_Brand]],0),MATCH(Table1[[#This Row],[DC_name_Xref]],Table3[#Headers],0)),0)</f>
        <v>0</v>
      </c>
      <c r="O979">
        <f>IFERROR(INDEX(Table35[#All],MATCH(Table1[[#This Row],[Key_Year_Week_Brand]],Table35[[#All],[Key_Year_Month_Brand]],0),MATCH(Table1[[#This Row],[DC_name_Xref]],Table35[#Headers],0)),0)</f>
        <v>0</v>
      </c>
    </row>
    <row r="980" spans="1:15" x14ac:dyDescent="0.3">
      <c r="A980" s="19" t="str">
        <f>Table1[[#This Row],[Year_Week]]&amp;"-"&amp;Table1[[#This Row],[DC_name_Xref]]</f>
        <v>202246-WEO</v>
      </c>
      <c r="B980" s="19" t="str">
        <f>Table1[[#This Row],[Fiscal_Year]]*100+Table1[[#This Row],[Fiscal_Week]] &amp; "-" &amp;Table1[[#This Row],[BRAND]]</f>
        <v>202246-Athleta</v>
      </c>
      <c r="C980" t="str">
        <f>Table1[[#This Row],[Fiscal_Year]]&amp;"-"&amp;Table1[[#This Row],[BRAND]]</f>
        <v>2022-Athleta</v>
      </c>
      <c r="D980">
        <v>2022</v>
      </c>
      <c r="E980">
        <v>46</v>
      </c>
      <c r="F980" t="s">
        <v>19</v>
      </c>
      <c r="G980" t="s">
        <v>10</v>
      </c>
      <c r="H980">
        <v>6</v>
      </c>
      <c r="I980">
        <v>0</v>
      </c>
      <c r="J980" t="str">
        <f>VLOOKUP(H980,DC_Xref!A:B,2,FALSE)</f>
        <v>WEO</v>
      </c>
      <c r="K980">
        <f t="shared" si="15"/>
        <v>202246</v>
      </c>
      <c r="L980">
        <f>IFERROR(Table1[[#This Row],[Demand]]/SUMIFS(Table1[Demand],Table1[Fiscal_Year],Table1[[#This Row],[Fiscal_Year]],Table1[BRAND],Table1[[#This Row],[BRAND]],Table1[DC_name_Xref],Table1[[#This Row],[DC_name_Xref]]),0)</f>
        <v>0</v>
      </c>
      <c r="M9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0" s="3">
        <f>IFERROR(INDEX(Table3[#All],MATCH(Table1[[#This Row],[Key_Year_Week_Brand]],Table3[[#All],[Key_Year_Week_Brand]],0),MATCH(Table1[[#This Row],[DC_name_Xref]],Table3[#Headers],0)),0)</f>
        <v>0</v>
      </c>
      <c r="O980">
        <f>IFERROR(INDEX(Table35[#All],MATCH(Table1[[#This Row],[Key_Year_Week_Brand]],Table35[[#All],[Key_Year_Month_Brand]],0),MATCH(Table1[[#This Row],[DC_name_Xref]],Table35[#Headers],0)),0)</f>
        <v>0</v>
      </c>
    </row>
    <row r="981" spans="1:15" x14ac:dyDescent="0.3">
      <c r="A981" s="19" t="str">
        <f>Table1[[#This Row],[Year_Week]]&amp;"-"&amp;Table1[[#This Row],[DC_name_Xref]]</f>
        <v>202246-OCC</v>
      </c>
      <c r="B981" s="19" t="str">
        <f>Table1[[#This Row],[Fiscal_Year]]*100+Table1[[#This Row],[Fiscal_Week]] &amp; "-" &amp;Table1[[#This Row],[BRAND]]</f>
        <v>202246-Athleta</v>
      </c>
      <c r="C981" t="str">
        <f>Table1[[#This Row],[Fiscal_Year]]&amp;"-"&amp;Table1[[#This Row],[BRAND]]</f>
        <v>2022-Athleta</v>
      </c>
      <c r="D981">
        <v>2022</v>
      </c>
      <c r="E981">
        <v>46</v>
      </c>
      <c r="F981" t="s">
        <v>19</v>
      </c>
      <c r="G981" t="s">
        <v>11</v>
      </c>
      <c r="H981">
        <v>7</v>
      </c>
      <c r="I981">
        <v>0</v>
      </c>
      <c r="J981" t="str">
        <f>VLOOKUP(H981,DC_Xref!A:B,2,FALSE)</f>
        <v>OCC</v>
      </c>
      <c r="K981">
        <f t="shared" si="15"/>
        <v>202246</v>
      </c>
      <c r="L981">
        <f>IFERROR(Table1[[#This Row],[Demand]]/SUMIFS(Table1[Demand],Table1[Fiscal_Year],Table1[[#This Row],[Fiscal_Year]],Table1[BRAND],Table1[[#This Row],[BRAND]],Table1[DC_name_Xref],Table1[[#This Row],[DC_name_Xref]]),0)</f>
        <v>0</v>
      </c>
      <c r="M9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1" s="3">
        <f>IFERROR(INDEX(Table3[#All],MATCH(Table1[[#This Row],[Key_Year_Week_Brand]],Table3[[#All],[Key_Year_Week_Brand]],0),MATCH(Table1[[#This Row],[DC_name_Xref]],Table3[#Headers],0)),0)</f>
        <v>0</v>
      </c>
      <c r="O981">
        <f>IFERROR(INDEX(Table35[#All],MATCH(Table1[[#This Row],[Key_Year_Week_Brand]],Table35[[#All],[Key_Year_Month_Brand]],0),MATCH(Table1[[#This Row],[DC_name_Xref]],Table35[#Headers],0)),0)</f>
        <v>0</v>
      </c>
    </row>
    <row r="982" spans="1:15" x14ac:dyDescent="0.3">
      <c r="A982" s="19" t="str">
        <f>Table1[[#This Row],[Year_Week]]&amp;"-"&amp;Table1[[#This Row],[DC_name_Xref]]</f>
        <v>202246-OFC</v>
      </c>
      <c r="B982" s="19" t="str">
        <f>Table1[[#This Row],[Fiscal_Year]]*100+Table1[[#This Row],[Fiscal_Week]] &amp; "-" &amp;Table1[[#This Row],[BRAND]]</f>
        <v>202246-Gap Factory Store</v>
      </c>
      <c r="C982" t="str">
        <f>Table1[[#This Row],[Fiscal_Year]]&amp;"-"&amp;Table1[[#This Row],[BRAND]]</f>
        <v>2022-Gap Factory Store</v>
      </c>
      <c r="D982">
        <v>2022</v>
      </c>
      <c r="E982">
        <v>46</v>
      </c>
      <c r="F982" t="s">
        <v>22</v>
      </c>
      <c r="G982" t="s">
        <v>5</v>
      </c>
      <c r="H982">
        <v>1</v>
      </c>
      <c r="I982">
        <v>443092</v>
      </c>
      <c r="J982" t="str">
        <f>VLOOKUP(H982,DC_Xref!A:B,2,FALSE)</f>
        <v>OFC</v>
      </c>
      <c r="K982">
        <f t="shared" si="15"/>
        <v>202246</v>
      </c>
      <c r="L982">
        <f>IFERROR(Table1[[#This Row],[Demand]]/SUMIFS(Table1[Demand],Table1[Fiscal_Year],Table1[[#This Row],[Fiscal_Year]],Table1[BRAND],Table1[[#This Row],[BRAND]],Table1[DC_name_Xref],Table1[[#This Row],[DC_name_Xref]]),0)</f>
        <v>6.6032341379807263E-2</v>
      </c>
      <c r="M9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982" s="3">
        <f>IFERROR(INDEX(Table3[#All],MATCH(Table1[[#This Row],[Key_Year_Week_Brand]],Table3[[#All],[Key_Year_Week_Brand]],0),MATCH(Table1[[#This Row],[DC_name_Xref]],Table3[#Headers],0)),0)</f>
        <v>1</v>
      </c>
      <c r="O982">
        <f>IFERROR(INDEX(Table35[#All],MATCH(Table1[[#This Row],[Key_Year_Week_Brand]],Table35[[#All],[Key_Year_Month_Brand]],0),MATCH(Table1[[#This Row],[DC_name_Xref]],Table35[#Headers],0)),0)</f>
        <v>443092</v>
      </c>
    </row>
    <row r="983" spans="1:15" x14ac:dyDescent="0.3">
      <c r="A983" s="19" t="str">
        <f>Table1[[#This Row],[Year_Week]]&amp;"-"&amp;Table1[[#This Row],[DC_name_Xref]]</f>
        <v>202246-TFC</v>
      </c>
      <c r="B983" s="19" t="str">
        <f>Table1[[#This Row],[Fiscal_Year]]*100+Table1[[#This Row],[Fiscal_Week]] &amp; "-" &amp;Table1[[#This Row],[BRAND]]</f>
        <v>202246-Gap Factory Store</v>
      </c>
      <c r="C983" t="str">
        <f>Table1[[#This Row],[Fiscal_Year]]&amp;"-"&amp;Table1[[#This Row],[BRAND]]</f>
        <v>2022-Gap Factory Store</v>
      </c>
      <c r="D983">
        <v>2022</v>
      </c>
      <c r="E983">
        <v>46</v>
      </c>
      <c r="F983" t="s">
        <v>22</v>
      </c>
      <c r="G983" t="s">
        <v>21</v>
      </c>
      <c r="H983">
        <v>2</v>
      </c>
      <c r="I983">
        <v>0</v>
      </c>
      <c r="J983" t="str">
        <f>VLOOKUP(H983,DC_Xref!A:B,2,FALSE)</f>
        <v>TFC</v>
      </c>
      <c r="K983">
        <f t="shared" si="15"/>
        <v>202246</v>
      </c>
      <c r="L983">
        <f>IFERROR(Table1[[#This Row],[Demand]]/SUMIFS(Table1[Demand],Table1[Fiscal_Year],Table1[[#This Row],[Fiscal_Year]],Table1[BRAND],Table1[[#This Row],[BRAND]],Table1[DC_name_Xref],Table1[[#This Row],[DC_name_Xref]]),0)</f>
        <v>0</v>
      </c>
      <c r="M9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3" s="3">
        <f>IFERROR(INDEX(Table3[#All],MATCH(Table1[[#This Row],[Key_Year_Week_Brand]],Table3[[#All],[Key_Year_Week_Brand]],0),MATCH(Table1[[#This Row],[DC_name_Xref]],Table3[#Headers],0)),0)</f>
        <v>0</v>
      </c>
      <c r="O983">
        <f>IFERROR(INDEX(Table35[#All],MATCH(Table1[[#This Row],[Key_Year_Week_Brand]],Table35[[#All],[Key_Year_Month_Brand]],0),MATCH(Table1[[#This Row],[DC_name_Xref]],Table35[#Headers],0)),0)</f>
        <v>0</v>
      </c>
    </row>
    <row r="984" spans="1:15" x14ac:dyDescent="0.3">
      <c r="A984" s="19" t="str">
        <f>Table1[[#This Row],[Year_Week]]&amp;"-"&amp;Table1[[#This Row],[DC_name_Xref]]</f>
        <v>202246-WFC</v>
      </c>
      <c r="B984" s="19" t="str">
        <f>Table1[[#This Row],[Fiscal_Year]]*100+Table1[[#This Row],[Fiscal_Week]] &amp; "-" &amp;Table1[[#This Row],[BRAND]]</f>
        <v>202246-Gap Factory Store</v>
      </c>
      <c r="C984" t="str">
        <f>Table1[[#This Row],[Fiscal_Year]]&amp;"-"&amp;Table1[[#This Row],[BRAND]]</f>
        <v>2022-Gap Factory Store</v>
      </c>
      <c r="D984">
        <v>2022</v>
      </c>
      <c r="E984">
        <v>46</v>
      </c>
      <c r="F984" t="s">
        <v>22</v>
      </c>
      <c r="G984" t="s">
        <v>7</v>
      </c>
      <c r="H984">
        <v>3</v>
      </c>
      <c r="I984">
        <v>0</v>
      </c>
      <c r="J984" t="str">
        <f>VLOOKUP(H984,DC_Xref!A:B,2,FALSE)</f>
        <v>WFC</v>
      </c>
      <c r="K984">
        <f t="shared" si="15"/>
        <v>202246</v>
      </c>
      <c r="L984">
        <f>IFERROR(Table1[[#This Row],[Demand]]/SUMIFS(Table1[Demand],Table1[Fiscal_Year],Table1[[#This Row],[Fiscal_Year]],Table1[BRAND],Table1[[#This Row],[BRAND]],Table1[DC_name_Xref],Table1[[#This Row],[DC_name_Xref]]),0)</f>
        <v>0</v>
      </c>
      <c r="M9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4" s="3">
        <f>IFERROR(INDEX(Table3[#All],MATCH(Table1[[#This Row],[Key_Year_Week_Brand]],Table3[[#All],[Key_Year_Week_Brand]],0),MATCH(Table1[[#This Row],[DC_name_Xref]],Table3[#Headers],0)),0)</f>
        <v>0</v>
      </c>
      <c r="O984">
        <f>IFERROR(INDEX(Table35[#All],MATCH(Table1[[#This Row],[Key_Year_Week_Brand]],Table35[[#All],[Key_Year_Month_Brand]],0),MATCH(Table1[[#This Row],[DC_name_Xref]],Table35[#Headers],0)),0)</f>
        <v>0</v>
      </c>
    </row>
    <row r="985" spans="1:15" x14ac:dyDescent="0.3">
      <c r="A985" s="19" t="str">
        <f>Table1[[#This Row],[Year_Week]]&amp;"-"&amp;Table1[[#This Row],[DC_name_Xref]]</f>
        <v>202246-EAO</v>
      </c>
      <c r="B985" s="19" t="str">
        <f>Table1[[#This Row],[Fiscal_Year]]*100+Table1[[#This Row],[Fiscal_Week]] &amp; "-" &amp;Table1[[#This Row],[BRAND]]</f>
        <v>202246-Gap Factory Store</v>
      </c>
      <c r="C985" t="str">
        <f>Table1[[#This Row],[Fiscal_Year]]&amp;"-"&amp;Table1[[#This Row],[BRAND]]</f>
        <v>2022-Gap Factory Store</v>
      </c>
      <c r="D985">
        <v>2022</v>
      </c>
      <c r="E985">
        <v>46</v>
      </c>
      <c r="F985" t="s">
        <v>22</v>
      </c>
      <c r="G985" t="s">
        <v>8</v>
      </c>
      <c r="H985">
        <v>4</v>
      </c>
      <c r="I985">
        <v>0</v>
      </c>
      <c r="J985" t="str">
        <f>VLOOKUP(H985,DC_Xref!A:B,2,FALSE)</f>
        <v>EAO</v>
      </c>
      <c r="K985">
        <f t="shared" si="15"/>
        <v>202246</v>
      </c>
      <c r="L985">
        <f>IFERROR(Table1[[#This Row],[Demand]]/SUMIFS(Table1[Demand],Table1[Fiscal_Year],Table1[[#This Row],[Fiscal_Year]],Table1[BRAND],Table1[[#This Row],[BRAND]],Table1[DC_name_Xref],Table1[[#This Row],[DC_name_Xref]]),0)</f>
        <v>0</v>
      </c>
      <c r="M9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5" s="3">
        <f>IFERROR(INDEX(Table3[#All],MATCH(Table1[[#This Row],[Key_Year_Week_Brand]],Table3[[#All],[Key_Year_Week_Brand]],0),MATCH(Table1[[#This Row],[DC_name_Xref]],Table3[#Headers],0)),0)</f>
        <v>0</v>
      </c>
      <c r="O985">
        <f>IFERROR(INDEX(Table35[#All],MATCH(Table1[[#This Row],[Key_Year_Week_Brand]],Table35[[#All],[Key_Year_Month_Brand]],0),MATCH(Table1[[#This Row],[DC_name_Xref]],Table35[#Headers],0)),0)</f>
        <v>0</v>
      </c>
    </row>
    <row r="986" spans="1:15" x14ac:dyDescent="0.3">
      <c r="A986" s="19" t="str">
        <f>Table1[[#This Row],[Year_Week]]&amp;"-"&amp;Table1[[#This Row],[DC_name_Xref]]</f>
        <v>202246-FFC-ODC</v>
      </c>
      <c r="B986" s="19" t="str">
        <f>Table1[[#This Row],[Fiscal_Year]]*100+Table1[[#This Row],[Fiscal_Week]] &amp; "-" &amp;Table1[[#This Row],[BRAND]]</f>
        <v>202246-Gap Factory Store</v>
      </c>
      <c r="C986" t="str">
        <f>Table1[[#This Row],[Fiscal_Year]]&amp;"-"&amp;Table1[[#This Row],[BRAND]]</f>
        <v>2022-Gap Factory Store</v>
      </c>
      <c r="D986">
        <v>2022</v>
      </c>
      <c r="E986">
        <v>46</v>
      </c>
      <c r="F986" t="s">
        <v>22</v>
      </c>
      <c r="G986" t="s">
        <v>23</v>
      </c>
      <c r="H986">
        <v>5</v>
      </c>
      <c r="I986">
        <v>0</v>
      </c>
      <c r="J986" t="str">
        <f>VLOOKUP(H986,DC_Xref!A:B,2,FALSE)</f>
        <v>FFC-ODC</v>
      </c>
      <c r="K986">
        <f t="shared" si="15"/>
        <v>202246</v>
      </c>
      <c r="L986">
        <f>IFERROR(Table1[[#This Row],[Demand]]/SUMIFS(Table1[Demand],Table1[Fiscal_Year],Table1[[#This Row],[Fiscal_Year]],Table1[BRAND],Table1[[#This Row],[BRAND]],Table1[DC_name_Xref],Table1[[#This Row],[DC_name_Xref]]),0)</f>
        <v>0</v>
      </c>
      <c r="M9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6" s="3">
        <f>IFERROR(INDEX(Table3[#All],MATCH(Table1[[#This Row],[Key_Year_Week_Brand]],Table3[[#All],[Key_Year_Week_Brand]],0),MATCH(Table1[[#This Row],[DC_name_Xref]],Table3[#Headers],0)),0)</f>
        <v>0</v>
      </c>
      <c r="O986">
        <f>IFERROR(INDEX(Table35[#All],MATCH(Table1[[#This Row],[Key_Year_Week_Brand]],Table35[[#All],[Key_Year_Month_Brand]],0),MATCH(Table1[[#This Row],[DC_name_Xref]],Table35[#Headers],0)),0)</f>
        <v>0</v>
      </c>
    </row>
    <row r="987" spans="1:15" x14ac:dyDescent="0.3">
      <c r="A987" s="19" t="str">
        <f>Table1[[#This Row],[Year_Week]]&amp;"-"&amp;Table1[[#This Row],[DC_name_Xref]]</f>
        <v>202246-WEO</v>
      </c>
      <c r="B987" s="19" t="str">
        <f>Table1[[#This Row],[Fiscal_Year]]*100+Table1[[#This Row],[Fiscal_Week]] &amp; "-" &amp;Table1[[#This Row],[BRAND]]</f>
        <v>202246-Gap Factory Store</v>
      </c>
      <c r="C987" t="str">
        <f>Table1[[#This Row],[Fiscal_Year]]&amp;"-"&amp;Table1[[#This Row],[BRAND]]</f>
        <v>2022-Gap Factory Store</v>
      </c>
      <c r="D987">
        <v>2022</v>
      </c>
      <c r="E987">
        <v>46</v>
      </c>
      <c r="F987" t="s">
        <v>22</v>
      </c>
      <c r="G987" t="s">
        <v>10</v>
      </c>
      <c r="H987">
        <v>6</v>
      </c>
      <c r="I987">
        <v>0</v>
      </c>
      <c r="J987" t="str">
        <f>VLOOKUP(H987,DC_Xref!A:B,2,FALSE)</f>
        <v>WEO</v>
      </c>
      <c r="K987">
        <f t="shared" si="15"/>
        <v>202246</v>
      </c>
      <c r="L987">
        <f>IFERROR(Table1[[#This Row],[Demand]]/SUMIFS(Table1[Demand],Table1[Fiscal_Year],Table1[[#This Row],[Fiscal_Year]],Table1[BRAND],Table1[[#This Row],[BRAND]],Table1[DC_name_Xref],Table1[[#This Row],[DC_name_Xref]]),0)</f>
        <v>0</v>
      </c>
      <c r="M9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7" s="3">
        <f>IFERROR(INDEX(Table3[#All],MATCH(Table1[[#This Row],[Key_Year_Week_Brand]],Table3[[#All],[Key_Year_Week_Brand]],0),MATCH(Table1[[#This Row],[DC_name_Xref]],Table3[#Headers],0)),0)</f>
        <v>0</v>
      </c>
      <c r="O987">
        <f>IFERROR(INDEX(Table35[#All],MATCH(Table1[[#This Row],[Key_Year_Week_Brand]],Table35[[#All],[Key_Year_Month_Brand]],0),MATCH(Table1[[#This Row],[DC_name_Xref]],Table35[#Headers],0)),0)</f>
        <v>0</v>
      </c>
    </row>
    <row r="988" spans="1:15" x14ac:dyDescent="0.3">
      <c r="A988" s="19" t="str">
        <f>Table1[[#This Row],[Year_Week]]&amp;"-"&amp;Table1[[#This Row],[DC_name_Xref]]</f>
        <v>202246-OCC</v>
      </c>
      <c r="B988" s="19" t="str">
        <f>Table1[[#This Row],[Fiscal_Year]]*100+Table1[[#This Row],[Fiscal_Week]] &amp; "-" &amp;Table1[[#This Row],[BRAND]]</f>
        <v>202246-Gap Factory Store</v>
      </c>
      <c r="C988" t="str">
        <f>Table1[[#This Row],[Fiscal_Year]]&amp;"-"&amp;Table1[[#This Row],[BRAND]]</f>
        <v>2022-Gap Factory Store</v>
      </c>
      <c r="D988">
        <v>2022</v>
      </c>
      <c r="E988">
        <v>46</v>
      </c>
      <c r="F988" t="s">
        <v>22</v>
      </c>
      <c r="G988" t="s">
        <v>11</v>
      </c>
      <c r="H988">
        <v>7</v>
      </c>
      <c r="I988">
        <v>0</v>
      </c>
      <c r="J988" t="str">
        <f>VLOOKUP(H988,DC_Xref!A:B,2,FALSE)</f>
        <v>OCC</v>
      </c>
      <c r="K988">
        <f t="shared" si="15"/>
        <v>202246</v>
      </c>
      <c r="L988">
        <f>IFERROR(Table1[[#This Row],[Demand]]/SUMIFS(Table1[Demand],Table1[Fiscal_Year],Table1[[#This Row],[Fiscal_Year]],Table1[BRAND],Table1[[#This Row],[BRAND]],Table1[DC_name_Xref],Table1[[#This Row],[DC_name_Xref]]),0)</f>
        <v>0</v>
      </c>
      <c r="M9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88" s="3">
        <f>IFERROR(INDEX(Table3[#All],MATCH(Table1[[#This Row],[Key_Year_Week_Brand]],Table3[[#All],[Key_Year_Week_Brand]],0),MATCH(Table1[[#This Row],[DC_name_Xref]],Table3[#Headers],0)),0)</f>
        <v>0</v>
      </c>
      <c r="O988">
        <f>IFERROR(INDEX(Table35[#All],MATCH(Table1[[#This Row],[Key_Year_Week_Brand]],Table35[[#All],[Key_Year_Month_Brand]],0),MATCH(Table1[[#This Row],[DC_name_Xref]],Table35[#Headers],0)),0)</f>
        <v>0</v>
      </c>
    </row>
    <row r="989" spans="1:15" x14ac:dyDescent="0.3">
      <c r="A989" s="19" t="str">
        <f>Table1[[#This Row],[Year_Week]]&amp;"-"&amp;Table1[[#This Row],[DC_name_Xref]]</f>
        <v>202246-OFC</v>
      </c>
      <c r="B989" s="19" t="str">
        <f>Table1[[#This Row],[Fiscal_Year]]*100+Table1[[#This Row],[Fiscal_Week]] &amp; "-" &amp;Table1[[#This Row],[BRAND]]</f>
        <v>202246-Old Navy</v>
      </c>
      <c r="C989" t="str">
        <f>Table1[[#This Row],[Fiscal_Year]]&amp;"-"&amp;Table1[[#This Row],[BRAND]]</f>
        <v>2022-Old Navy</v>
      </c>
      <c r="D989">
        <v>2022</v>
      </c>
      <c r="E989">
        <v>46</v>
      </c>
      <c r="F989" t="s">
        <v>20</v>
      </c>
      <c r="G989" t="s">
        <v>5</v>
      </c>
      <c r="H989">
        <v>1</v>
      </c>
      <c r="I989">
        <v>1406569</v>
      </c>
      <c r="J989" t="str">
        <f>VLOOKUP(H989,DC_Xref!A:B,2,FALSE)</f>
        <v>OFC</v>
      </c>
      <c r="K989">
        <f t="shared" si="15"/>
        <v>202246</v>
      </c>
      <c r="L989">
        <f>IFERROR(Table1[[#This Row],[Demand]]/SUMIFS(Table1[Demand],Table1[Fiscal_Year],Table1[[#This Row],[Fiscal_Year]],Table1[BRAND],Table1[[#This Row],[BRAND]],Table1[DC_name_Xref],Table1[[#This Row],[DC_name_Xref]]),0)</f>
        <v>0.13027271832252166</v>
      </c>
      <c r="M9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0.29585489279144922</v>
      </c>
      <c r="N989" s="3">
        <f>IFERROR(INDEX(Table3[#All],MATCH(Table1[[#This Row],[Key_Year_Week_Brand]],Table3[[#All],[Key_Year_Week_Brand]],0),MATCH(Table1[[#This Row],[DC_name_Xref]],Table3[#Headers],0)),0)</f>
        <v>0.09</v>
      </c>
      <c r="O989">
        <f>IFERROR(INDEX(Table35[#All],MATCH(Table1[[#This Row],[Key_Year_Week_Brand]],Table35[[#All],[Key_Year_Month_Brand]],0),MATCH(Table1[[#This Row],[DC_name_Xref]],Table35[#Headers],0)),0)</f>
        <v>418331.07</v>
      </c>
    </row>
    <row r="990" spans="1:15" x14ac:dyDescent="0.3">
      <c r="A990" s="19" t="str">
        <f>Table1[[#This Row],[Year_Week]]&amp;"-"&amp;Table1[[#This Row],[DC_name_Xref]]</f>
        <v>202246-TFC</v>
      </c>
      <c r="B990" s="19" t="str">
        <f>Table1[[#This Row],[Fiscal_Year]]*100+Table1[[#This Row],[Fiscal_Week]] &amp; "-" &amp;Table1[[#This Row],[BRAND]]</f>
        <v>202246-Old Navy</v>
      </c>
      <c r="C990" t="str">
        <f>Table1[[#This Row],[Fiscal_Year]]&amp;"-"&amp;Table1[[#This Row],[BRAND]]</f>
        <v>2022-Old Navy</v>
      </c>
      <c r="D990">
        <v>2022</v>
      </c>
      <c r="E990">
        <v>46</v>
      </c>
      <c r="F990" t="s">
        <v>20</v>
      </c>
      <c r="G990" t="s">
        <v>21</v>
      </c>
      <c r="H990">
        <v>2</v>
      </c>
      <c r="I990">
        <v>858719</v>
      </c>
      <c r="J990" t="str">
        <f>VLOOKUP(H990,DC_Xref!A:B,2,FALSE)</f>
        <v>TFC</v>
      </c>
      <c r="K990">
        <f t="shared" si="15"/>
        <v>202246</v>
      </c>
      <c r="L990">
        <f>IFERROR(Table1[[#This Row],[Demand]]/SUMIFS(Table1[Demand],Table1[Fiscal_Year],Table1[[#This Row],[Fiscal_Year]],Table1[BRAND],Table1[[#This Row],[BRAND]],Table1[DC_name_Xref],Table1[[#This Row],[DC_name_Xref]]),0)</f>
        <v>0.13835524755487041</v>
      </c>
      <c r="M9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0.1700695749184051</v>
      </c>
      <c r="N990" s="3">
        <f>IFERROR(INDEX(Table3[#All],MATCH(Table1[[#This Row],[Key_Year_Week_Brand]],Table3[[#All],[Key_Year_Week_Brand]],0),MATCH(Table1[[#This Row],[DC_name_Xref]],Table3[#Headers],0)),0)</f>
        <v>0.11</v>
      </c>
      <c r="O990">
        <f>IFERROR(INDEX(Table35[#All],MATCH(Table1[[#This Row],[Key_Year_Week_Brand]],Table35[[#All],[Key_Year_Month_Brand]],0),MATCH(Table1[[#This Row],[DC_name_Xref]],Table35[#Headers],0)),0)</f>
        <v>511293.53</v>
      </c>
    </row>
    <row r="991" spans="1:15" x14ac:dyDescent="0.3">
      <c r="A991" s="19" t="str">
        <f>Table1[[#This Row],[Year_Week]]&amp;"-"&amp;Table1[[#This Row],[DC_name_Xref]]</f>
        <v>202246-WFC</v>
      </c>
      <c r="B991" s="19" t="str">
        <f>Table1[[#This Row],[Fiscal_Year]]*100+Table1[[#This Row],[Fiscal_Week]] &amp; "-" &amp;Table1[[#This Row],[BRAND]]</f>
        <v>202246-Old Navy</v>
      </c>
      <c r="C991" t="str">
        <f>Table1[[#This Row],[Fiscal_Year]]&amp;"-"&amp;Table1[[#This Row],[BRAND]]</f>
        <v>2022-Old Navy</v>
      </c>
      <c r="D991">
        <v>2022</v>
      </c>
      <c r="E991">
        <v>46</v>
      </c>
      <c r="F991" t="s">
        <v>20</v>
      </c>
      <c r="G991" t="s">
        <v>7</v>
      </c>
      <c r="H991">
        <v>3</v>
      </c>
      <c r="I991">
        <v>878488</v>
      </c>
      <c r="J991" t="str">
        <f>VLOOKUP(H991,DC_Xref!A:B,2,FALSE)</f>
        <v>WFC</v>
      </c>
      <c r="K991">
        <f t="shared" si="15"/>
        <v>202246</v>
      </c>
      <c r="L991">
        <f>IFERROR(Table1[[#This Row],[Demand]]/SUMIFS(Table1[Demand],Table1[Fiscal_Year],Table1[[#This Row],[Fiscal_Year]],Table1[BRAND],Table1[[#This Row],[BRAND]],Table1[DC_name_Xref],Table1[[#This Row],[DC_name_Xref]]),0)</f>
        <v>0.11935574462222677</v>
      </c>
      <c r="M9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0.20168040124931302</v>
      </c>
      <c r="N991" s="3">
        <f>IFERROR(INDEX(Table3[#All],MATCH(Table1[[#This Row],[Key_Year_Week_Brand]],Table3[[#All],[Key_Year_Week_Brand]],0),MATCH(Table1[[#This Row],[DC_name_Xref]],Table3[#Headers],0)),0)</f>
        <v>0</v>
      </c>
      <c r="O991">
        <f>IFERROR(INDEX(Table35[#All],MATCH(Table1[[#This Row],[Key_Year_Week_Brand]],Table35[[#All],[Key_Year_Month_Brand]],0),MATCH(Table1[[#This Row],[DC_name_Xref]],Table35[#Headers],0)),0)</f>
        <v>0</v>
      </c>
    </row>
    <row r="992" spans="1:15" x14ac:dyDescent="0.3">
      <c r="A992" s="19" t="str">
        <f>Table1[[#This Row],[Year_Week]]&amp;"-"&amp;Table1[[#This Row],[DC_name_Xref]]</f>
        <v>202246-EAO</v>
      </c>
      <c r="B992" s="19" t="str">
        <f>Table1[[#This Row],[Fiscal_Year]]*100+Table1[[#This Row],[Fiscal_Week]] &amp; "-" &amp;Table1[[#This Row],[BRAND]]</f>
        <v>202246-Old Navy</v>
      </c>
      <c r="C992" t="str">
        <f>Table1[[#This Row],[Fiscal_Year]]&amp;"-"&amp;Table1[[#This Row],[BRAND]]</f>
        <v>2022-Old Navy</v>
      </c>
      <c r="D992">
        <v>2022</v>
      </c>
      <c r="E992">
        <v>46</v>
      </c>
      <c r="F992" t="s">
        <v>20</v>
      </c>
      <c r="G992" t="s">
        <v>8</v>
      </c>
      <c r="H992">
        <v>4</v>
      </c>
      <c r="I992">
        <v>1504347</v>
      </c>
      <c r="J992" t="str">
        <f>VLOOKUP(H992,DC_Xref!A:B,2,FALSE)</f>
        <v>EAO</v>
      </c>
      <c r="K992">
        <f t="shared" si="15"/>
        <v>202246</v>
      </c>
      <c r="L992">
        <f>IFERROR(Table1[[#This Row],[Demand]]/SUMIFS(Table1[Demand],Table1[Fiscal_Year],Table1[[#This Row],[Fiscal_Year]],Table1[BRAND],Table1[[#This Row],[BRAND]],Table1[DC_name_Xref],Table1[[#This Row],[DC_name_Xref]]),0)</f>
        <v>0.1240122423949352</v>
      </c>
      <c r="M9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0.33239513104083268</v>
      </c>
      <c r="N992" s="3">
        <f>IFERROR(INDEX(Table3[#All],MATCH(Table1[[#This Row],[Key_Year_Week_Brand]],Table3[[#All],[Key_Year_Week_Brand]],0),MATCH(Table1[[#This Row],[DC_name_Xref]],Table3[#Headers],0)),0)</f>
        <v>0.21</v>
      </c>
      <c r="O992">
        <f>IFERROR(INDEX(Table35[#All],MATCH(Table1[[#This Row],[Key_Year_Week_Brand]],Table35[[#All],[Key_Year_Month_Brand]],0),MATCH(Table1[[#This Row],[DC_name_Xref]],Table35[#Headers],0)),0)</f>
        <v>976105.83</v>
      </c>
    </row>
    <row r="993" spans="1:15" x14ac:dyDescent="0.3">
      <c r="A993" s="19" t="str">
        <f>Table1[[#This Row],[Year_Week]]&amp;"-"&amp;Table1[[#This Row],[DC_name_Xref]]</f>
        <v>202246-FFC-ODC</v>
      </c>
      <c r="B993" s="19" t="str">
        <f>Table1[[#This Row],[Fiscal_Year]]*100+Table1[[#This Row],[Fiscal_Week]] &amp; "-" &amp;Table1[[#This Row],[BRAND]]</f>
        <v>202246-Old Navy</v>
      </c>
      <c r="C993" t="str">
        <f>Table1[[#This Row],[Fiscal_Year]]&amp;"-"&amp;Table1[[#This Row],[BRAND]]</f>
        <v>2022-Old Navy</v>
      </c>
      <c r="D993">
        <v>2022</v>
      </c>
      <c r="E993">
        <v>46</v>
      </c>
      <c r="F993" t="s">
        <v>20</v>
      </c>
      <c r="G993" t="s">
        <v>23</v>
      </c>
      <c r="H993">
        <v>5</v>
      </c>
      <c r="I993">
        <v>0</v>
      </c>
      <c r="J993" t="str">
        <f>VLOOKUP(H993,DC_Xref!A:B,2,FALSE)</f>
        <v>FFC-ODC</v>
      </c>
      <c r="K993">
        <f t="shared" si="15"/>
        <v>202246</v>
      </c>
      <c r="L993">
        <f>IFERROR(Table1[[#This Row],[Demand]]/SUMIFS(Table1[Demand],Table1[Fiscal_Year],Table1[[#This Row],[Fiscal_Year]],Table1[BRAND],Table1[[#This Row],[BRAND]],Table1[DC_name_Xref],Table1[[#This Row],[DC_name_Xref]]),0)</f>
        <v>0</v>
      </c>
      <c r="M9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93" s="3">
        <f>IFERROR(INDEX(Table3[#All],MATCH(Table1[[#This Row],[Key_Year_Week_Brand]],Table3[[#All],[Key_Year_Week_Brand]],0),MATCH(Table1[[#This Row],[DC_name_Xref]],Table3[#Headers],0)),0)</f>
        <v>0</v>
      </c>
      <c r="O993">
        <f>IFERROR(INDEX(Table35[#All],MATCH(Table1[[#This Row],[Key_Year_Week_Brand]],Table35[[#All],[Key_Year_Month_Brand]],0),MATCH(Table1[[#This Row],[DC_name_Xref]],Table35[#Headers],0)),0)</f>
        <v>0</v>
      </c>
    </row>
    <row r="994" spans="1:15" x14ac:dyDescent="0.3">
      <c r="A994" s="19" t="str">
        <f>Table1[[#This Row],[Year_Week]]&amp;"-"&amp;Table1[[#This Row],[DC_name_Xref]]</f>
        <v>202246-WEO</v>
      </c>
      <c r="B994" s="19" t="str">
        <f>Table1[[#This Row],[Fiscal_Year]]*100+Table1[[#This Row],[Fiscal_Week]] &amp; "-" &amp;Table1[[#This Row],[BRAND]]</f>
        <v>202246-Old Navy</v>
      </c>
      <c r="C994" t="str">
        <f>Table1[[#This Row],[Fiscal_Year]]&amp;"-"&amp;Table1[[#This Row],[BRAND]]</f>
        <v>2022-Old Navy</v>
      </c>
      <c r="D994">
        <v>2022</v>
      </c>
      <c r="E994">
        <v>46</v>
      </c>
      <c r="F994" t="s">
        <v>20</v>
      </c>
      <c r="G994" t="s">
        <v>10</v>
      </c>
      <c r="H994">
        <v>6</v>
      </c>
      <c r="I994">
        <v>0</v>
      </c>
      <c r="J994" t="str">
        <f>VLOOKUP(H994,DC_Xref!A:B,2,FALSE)</f>
        <v>WEO</v>
      </c>
      <c r="K994">
        <f t="shared" si="15"/>
        <v>202246</v>
      </c>
      <c r="L994">
        <f>IFERROR(Table1[[#This Row],[Demand]]/SUMIFS(Table1[Demand],Table1[Fiscal_Year],Table1[[#This Row],[Fiscal_Year]],Table1[BRAND],Table1[[#This Row],[BRAND]],Table1[DC_name_Xref],Table1[[#This Row],[DC_name_Xref]]),0)</f>
        <v>0</v>
      </c>
      <c r="M9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94" s="3">
        <f>IFERROR(INDEX(Table3[#All],MATCH(Table1[[#This Row],[Key_Year_Week_Brand]],Table3[[#All],[Key_Year_Week_Brand]],0),MATCH(Table1[[#This Row],[DC_name_Xref]],Table3[#Headers],0)),0)</f>
        <v>0.14000000000000001</v>
      </c>
      <c r="O994">
        <f>IFERROR(INDEX(Table35[#All],MATCH(Table1[[#This Row],[Key_Year_Week_Brand]],Table35[[#All],[Key_Year_Month_Brand]],0),MATCH(Table1[[#This Row],[DC_name_Xref]],Table35[#Headers],0)),0)</f>
        <v>650737.22000000009</v>
      </c>
    </row>
    <row r="995" spans="1:15" x14ac:dyDescent="0.3">
      <c r="A995" s="19" t="str">
        <f>Table1[[#This Row],[Year_Week]]&amp;"-"&amp;Table1[[#This Row],[DC_name_Xref]]</f>
        <v>202246-OCC</v>
      </c>
      <c r="B995" s="19" t="str">
        <f>Table1[[#This Row],[Fiscal_Year]]*100+Table1[[#This Row],[Fiscal_Week]] &amp; "-" &amp;Table1[[#This Row],[BRAND]]</f>
        <v>202246-Old Navy</v>
      </c>
      <c r="C995" t="str">
        <f>Table1[[#This Row],[Fiscal_Year]]&amp;"-"&amp;Table1[[#This Row],[BRAND]]</f>
        <v>2022-Old Navy</v>
      </c>
      <c r="D995">
        <v>2022</v>
      </c>
      <c r="E995">
        <v>46</v>
      </c>
      <c r="F995" t="s">
        <v>20</v>
      </c>
      <c r="G995" t="s">
        <v>11</v>
      </c>
      <c r="H995">
        <v>7</v>
      </c>
      <c r="I995">
        <v>0</v>
      </c>
      <c r="J995" t="str">
        <f>VLOOKUP(H995,DC_Xref!A:B,2,FALSE)</f>
        <v>OCC</v>
      </c>
      <c r="K995">
        <f t="shared" si="15"/>
        <v>202246</v>
      </c>
      <c r="L995">
        <f>IFERROR(Table1[[#This Row],[Demand]]/SUMIFS(Table1[Demand],Table1[Fiscal_Year],Table1[[#This Row],[Fiscal_Year]],Table1[BRAND],Table1[[#This Row],[BRAND]],Table1[DC_name_Xref],Table1[[#This Row],[DC_name_Xref]]),0)</f>
        <v>0</v>
      </c>
      <c r="M9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995" s="3">
        <f>IFERROR(INDEX(Table3[#All],MATCH(Table1[[#This Row],[Key_Year_Week_Brand]],Table3[[#All],[Key_Year_Week_Brand]],0),MATCH(Table1[[#This Row],[DC_name_Xref]],Table3[#Headers],0)),0)</f>
        <v>0.45</v>
      </c>
      <c r="O995">
        <f>IFERROR(INDEX(Table35[#All],MATCH(Table1[[#This Row],[Key_Year_Week_Brand]],Table35[[#All],[Key_Year_Month_Brand]],0),MATCH(Table1[[#This Row],[DC_name_Xref]],Table35[#Headers],0)),0)</f>
        <v>2091655.35</v>
      </c>
    </row>
    <row r="996" spans="1:15" x14ac:dyDescent="0.3">
      <c r="A996" s="19" t="str">
        <f>Table1[[#This Row],[Year_Week]]&amp;"-"&amp;Table1[[#This Row],[DC_name_Xref]]</f>
        <v>202246-OFC</v>
      </c>
      <c r="B996" s="19" t="str">
        <f>Table1[[#This Row],[Fiscal_Year]]*100+Table1[[#This Row],[Fiscal_Week]] &amp; "-" &amp;Table1[[#This Row],[BRAND]]</f>
        <v>202246-Banana Republic</v>
      </c>
      <c r="C996" t="str">
        <f>Table1[[#This Row],[Fiscal_Year]]&amp;"-"&amp;Table1[[#This Row],[BRAND]]</f>
        <v>2022-Banana Republic</v>
      </c>
      <c r="D996">
        <v>2022</v>
      </c>
      <c r="E996">
        <v>46</v>
      </c>
      <c r="F996" t="s">
        <v>18</v>
      </c>
      <c r="G996" t="s">
        <v>5</v>
      </c>
      <c r="H996">
        <v>1</v>
      </c>
      <c r="I996">
        <v>14992</v>
      </c>
      <c r="J996" t="str">
        <f>VLOOKUP(H996,DC_Xref!A:B,2,FALSE)</f>
        <v>OFC</v>
      </c>
      <c r="K996">
        <f t="shared" si="15"/>
        <v>202246</v>
      </c>
      <c r="L996">
        <f>IFERROR(Table1[[#This Row],[Demand]]/SUMIFS(Table1[Demand],Table1[Fiscal_Year],Table1[[#This Row],[Fiscal_Year]],Table1[BRAND],Table1[[#This Row],[BRAND]],Table1[DC_name_Xref],Table1[[#This Row],[DC_name_Xref]]),0)</f>
        <v>0.2219721646431744</v>
      </c>
      <c r="M9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2.1329483036365917E-2</v>
      </c>
      <c r="N996" s="3">
        <f>IFERROR(INDEX(Table3[#All],MATCH(Table1[[#This Row],[Key_Year_Week_Brand]],Table3[[#All],[Key_Year_Week_Brand]],0),MATCH(Table1[[#This Row],[DC_name_Xref]],Table3[#Headers],0)),0)</f>
        <v>0</v>
      </c>
      <c r="O996">
        <f>IFERROR(INDEX(Table35[#All],MATCH(Table1[[#This Row],[Key_Year_Week_Brand]],Table35[[#All],[Key_Year_Month_Brand]],0),MATCH(Table1[[#This Row],[DC_name_Xref]],Table35[#Headers],0)),0)</f>
        <v>0</v>
      </c>
    </row>
    <row r="997" spans="1:15" x14ac:dyDescent="0.3">
      <c r="A997" s="19" t="str">
        <f>Table1[[#This Row],[Year_Week]]&amp;"-"&amp;Table1[[#This Row],[DC_name_Xref]]</f>
        <v>202246-TFC</v>
      </c>
      <c r="B997" s="19" t="str">
        <f>Table1[[#This Row],[Fiscal_Year]]*100+Table1[[#This Row],[Fiscal_Week]] &amp; "-" &amp;Table1[[#This Row],[BRAND]]</f>
        <v>202246-Banana Republic</v>
      </c>
      <c r="C997" t="str">
        <f>Table1[[#This Row],[Fiscal_Year]]&amp;"-"&amp;Table1[[#This Row],[BRAND]]</f>
        <v>2022-Banana Republic</v>
      </c>
      <c r="D997">
        <v>2022</v>
      </c>
      <c r="E997">
        <v>46</v>
      </c>
      <c r="F997" t="s">
        <v>18</v>
      </c>
      <c r="G997" t="s">
        <v>21</v>
      </c>
      <c r="H997">
        <v>2</v>
      </c>
      <c r="I997">
        <v>361673</v>
      </c>
      <c r="J997" t="str">
        <f>VLOOKUP(H997,DC_Xref!A:B,2,FALSE)</f>
        <v>TFC</v>
      </c>
      <c r="K997">
        <f t="shared" si="15"/>
        <v>202246</v>
      </c>
      <c r="L997">
        <f>IFERROR(Table1[[#This Row],[Demand]]/SUMIFS(Table1[Demand],Table1[Fiscal_Year],Table1[[#This Row],[Fiscal_Year]],Table1[BRAND],Table1[[#This Row],[BRAND]],Table1[DC_name_Xref],Table1[[#This Row],[DC_name_Xref]]),0)</f>
        <v>0.11671290998591079</v>
      </c>
      <c r="M9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0.97862535682039753</v>
      </c>
      <c r="N997" s="3">
        <f>IFERROR(INDEX(Table3[#All],MATCH(Table1[[#This Row],[Key_Year_Week_Brand]],Table3[[#All],[Key_Year_Week_Brand]],0),MATCH(Table1[[#This Row],[DC_name_Xref]],Table3[#Headers],0)),0)</f>
        <v>1</v>
      </c>
      <c r="O997">
        <f>IFERROR(INDEX(Table35[#All],MATCH(Table1[[#This Row],[Key_Year_Week_Brand]],Table35[[#All],[Key_Year_Month_Brand]],0),MATCH(Table1[[#This Row],[DC_name_Xref]],Table35[#Headers],0)),0)</f>
        <v>376671</v>
      </c>
    </row>
    <row r="998" spans="1:15" x14ac:dyDescent="0.3">
      <c r="A998" s="19" t="str">
        <f>Table1[[#This Row],[Year_Week]]&amp;"-"&amp;Table1[[#This Row],[DC_name_Xref]]</f>
        <v>202246-WFC</v>
      </c>
      <c r="B998" s="19" t="str">
        <f>Table1[[#This Row],[Fiscal_Year]]*100+Table1[[#This Row],[Fiscal_Week]] &amp; "-" &amp;Table1[[#This Row],[BRAND]]</f>
        <v>202246-Banana Republic</v>
      </c>
      <c r="C998" t="str">
        <f>Table1[[#This Row],[Fiscal_Year]]&amp;"-"&amp;Table1[[#This Row],[BRAND]]</f>
        <v>2022-Banana Republic</v>
      </c>
      <c r="D998">
        <v>2022</v>
      </c>
      <c r="E998">
        <v>46</v>
      </c>
      <c r="F998" t="s">
        <v>18</v>
      </c>
      <c r="G998" t="s">
        <v>7</v>
      </c>
      <c r="H998">
        <v>3</v>
      </c>
      <c r="I998">
        <v>2</v>
      </c>
      <c r="J998" t="str">
        <f>VLOOKUP(H998,DC_Xref!A:B,2,FALSE)</f>
        <v>WFC</v>
      </c>
      <c r="K998">
        <f t="shared" si="15"/>
        <v>202246</v>
      </c>
      <c r="L998">
        <f>IFERROR(Table1[[#This Row],[Demand]]/SUMIFS(Table1[Demand],Table1[Fiscal_Year],Table1[[#This Row],[Fiscal_Year]],Table1[BRAND],Table1[[#This Row],[BRAND]],Table1[DC_name_Xref],Table1[[#This Row],[DC_name_Xref]]),0)</f>
        <v>0.2</v>
      </c>
      <c r="M9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3.1580519745877874E-6</v>
      </c>
      <c r="N998" s="3">
        <f>IFERROR(INDEX(Table3[#All],MATCH(Table1[[#This Row],[Key_Year_Week_Brand]],Table3[[#All],[Key_Year_Week_Brand]],0),MATCH(Table1[[#This Row],[DC_name_Xref]],Table3[#Headers],0)),0)</f>
        <v>3.4959629396853166E-6</v>
      </c>
      <c r="O998">
        <f>IFERROR(INDEX(Table35[#All],MATCH(Table1[[#This Row],[Key_Year_Week_Brand]],Table35[[#All],[Key_Year_Month_Brand]],0),MATCH(Table1[[#This Row],[DC_name_Xref]],Table35[#Headers],0)),0)</f>
        <v>1.316827856454208</v>
      </c>
    </row>
    <row r="999" spans="1:15" x14ac:dyDescent="0.3">
      <c r="A999" s="19" t="str">
        <f>Table1[[#This Row],[Year_Week]]&amp;"-"&amp;Table1[[#This Row],[DC_name_Xref]]</f>
        <v>202246-EAO</v>
      </c>
      <c r="B999" s="19" t="str">
        <f>Table1[[#This Row],[Fiscal_Year]]*100+Table1[[#This Row],[Fiscal_Week]] &amp; "-" &amp;Table1[[#This Row],[BRAND]]</f>
        <v>202246-Banana Republic</v>
      </c>
      <c r="C999" t="str">
        <f>Table1[[#This Row],[Fiscal_Year]]&amp;"-"&amp;Table1[[#This Row],[BRAND]]</f>
        <v>2022-Banana Republic</v>
      </c>
      <c r="D999">
        <v>2022</v>
      </c>
      <c r="E999">
        <v>46</v>
      </c>
      <c r="F999" t="s">
        <v>18</v>
      </c>
      <c r="G999" t="s">
        <v>8</v>
      </c>
      <c r="H999">
        <v>4</v>
      </c>
      <c r="I999">
        <v>4</v>
      </c>
      <c r="J999" t="str">
        <f>VLOOKUP(H999,DC_Xref!A:B,2,FALSE)</f>
        <v>EAO</v>
      </c>
      <c r="K999">
        <f t="shared" si="15"/>
        <v>202246</v>
      </c>
      <c r="L999">
        <f>IFERROR(Table1[[#This Row],[Demand]]/SUMIFS(Table1[Demand],Table1[Fiscal_Year],Table1[[#This Row],[Fiscal_Year]],Table1[BRAND],Table1[[#This Row],[BRAND]],Table1[DC_name_Xref],Table1[[#This Row],[DC_name_Xref]]),0)</f>
        <v>3.007518796992481E-2</v>
      </c>
      <c r="M9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4.2002091262017571E-5</v>
      </c>
      <c r="N999" s="3">
        <f>IFERROR(INDEX(Table3[#All],MATCH(Table1[[#This Row],[Key_Year_Week_Brand]],Table3[[#All],[Key_Year_Week_Brand]],0),MATCH(Table1[[#This Row],[DC_name_Xref]],Table3[#Headers],0)),0)</f>
        <v>4.2339995602855504E-5</v>
      </c>
      <c r="O999">
        <f>IFERROR(INDEX(Table35[#All],MATCH(Table1[[#This Row],[Key_Year_Week_Brand]],Table35[[#All],[Key_Year_Month_Brand]],0),MATCH(Table1[[#This Row],[DC_name_Xref]],Table35[#Headers],0)),0)</f>
        <v>15.948248483723185</v>
      </c>
    </row>
    <row r="1000" spans="1:15" x14ac:dyDescent="0.3">
      <c r="A1000" s="19" t="str">
        <f>Table1[[#This Row],[Year_Week]]&amp;"-"&amp;Table1[[#This Row],[DC_name_Xref]]</f>
        <v>202246-FFC-ODC</v>
      </c>
      <c r="B1000" s="19" t="str">
        <f>Table1[[#This Row],[Fiscal_Year]]*100+Table1[[#This Row],[Fiscal_Week]] &amp; "-" &amp;Table1[[#This Row],[BRAND]]</f>
        <v>202246-Banana Republic</v>
      </c>
      <c r="C1000" t="str">
        <f>Table1[[#This Row],[Fiscal_Year]]&amp;"-"&amp;Table1[[#This Row],[BRAND]]</f>
        <v>2022-Banana Republic</v>
      </c>
      <c r="D1000">
        <v>2022</v>
      </c>
      <c r="E1000">
        <v>46</v>
      </c>
      <c r="F1000" t="s">
        <v>18</v>
      </c>
      <c r="G1000" t="s">
        <v>23</v>
      </c>
      <c r="H1000">
        <v>5</v>
      </c>
      <c r="I1000">
        <v>0</v>
      </c>
      <c r="J1000" t="str">
        <f>VLOOKUP(H1000,DC_Xref!A:B,2,FALSE)</f>
        <v>FFC-ODC</v>
      </c>
      <c r="K1000">
        <f t="shared" si="15"/>
        <v>202246</v>
      </c>
      <c r="L1000">
        <f>IFERROR(Table1[[#This Row],[Demand]]/SUMIFS(Table1[Demand],Table1[Fiscal_Year],Table1[[#This Row],[Fiscal_Year]],Table1[BRAND],Table1[[#This Row],[BRAND]],Table1[DC_name_Xref],Table1[[#This Row],[DC_name_Xref]]),0)</f>
        <v>0</v>
      </c>
      <c r="M10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0" s="3">
        <f>IFERROR(INDEX(Table3[#All],MATCH(Table1[[#This Row],[Key_Year_Week_Brand]],Table3[[#All],[Key_Year_Week_Brand]],0),MATCH(Table1[[#This Row],[DC_name_Xref]],Table3[#Headers],0)),0)</f>
        <v>0</v>
      </c>
      <c r="O1000">
        <f>IFERROR(INDEX(Table35[#All],MATCH(Table1[[#This Row],[Key_Year_Week_Brand]],Table35[[#All],[Key_Year_Month_Brand]],0),MATCH(Table1[[#This Row],[DC_name_Xref]],Table35[#Headers],0)),0)</f>
        <v>0</v>
      </c>
    </row>
    <row r="1001" spans="1:15" x14ac:dyDescent="0.3">
      <c r="A1001" s="19" t="str">
        <f>Table1[[#This Row],[Year_Week]]&amp;"-"&amp;Table1[[#This Row],[DC_name_Xref]]</f>
        <v>202246-WEO</v>
      </c>
      <c r="B1001" s="19" t="str">
        <f>Table1[[#This Row],[Fiscal_Year]]*100+Table1[[#This Row],[Fiscal_Week]] &amp; "-" &amp;Table1[[#This Row],[BRAND]]</f>
        <v>202246-Banana Republic</v>
      </c>
      <c r="C1001" t="str">
        <f>Table1[[#This Row],[Fiscal_Year]]&amp;"-"&amp;Table1[[#This Row],[BRAND]]</f>
        <v>2022-Banana Republic</v>
      </c>
      <c r="D1001">
        <v>2022</v>
      </c>
      <c r="E1001">
        <v>46</v>
      </c>
      <c r="F1001" t="s">
        <v>18</v>
      </c>
      <c r="G1001" t="s">
        <v>10</v>
      </c>
      <c r="H1001">
        <v>6</v>
      </c>
      <c r="I1001">
        <v>0</v>
      </c>
      <c r="J1001" t="str">
        <f>VLOOKUP(H1001,DC_Xref!A:B,2,FALSE)</f>
        <v>WEO</v>
      </c>
      <c r="K1001">
        <f t="shared" si="15"/>
        <v>202246</v>
      </c>
      <c r="L1001">
        <f>IFERROR(Table1[[#This Row],[Demand]]/SUMIFS(Table1[Demand],Table1[Fiscal_Year],Table1[[#This Row],[Fiscal_Year]],Table1[BRAND],Table1[[#This Row],[BRAND]],Table1[DC_name_Xref],Table1[[#This Row],[DC_name_Xref]]),0)</f>
        <v>0</v>
      </c>
      <c r="M10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1" s="3">
        <f>IFERROR(INDEX(Table3[#All],MATCH(Table1[[#This Row],[Key_Year_Week_Brand]],Table3[[#All],[Key_Year_Week_Brand]],0),MATCH(Table1[[#This Row],[DC_name_Xref]],Table3[#Headers],0)),0)</f>
        <v>0</v>
      </c>
      <c r="O1001">
        <f>IFERROR(INDEX(Table35[#All],MATCH(Table1[[#This Row],[Key_Year_Week_Brand]],Table35[[#All],[Key_Year_Month_Brand]],0),MATCH(Table1[[#This Row],[DC_name_Xref]],Table35[#Headers],0)),0)</f>
        <v>0</v>
      </c>
    </row>
    <row r="1002" spans="1:15" x14ac:dyDescent="0.3">
      <c r="A1002" s="19" t="str">
        <f>Table1[[#This Row],[Year_Week]]&amp;"-"&amp;Table1[[#This Row],[DC_name_Xref]]</f>
        <v>202246-OCC</v>
      </c>
      <c r="B1002" s="19" t="str">
        <f>Table1[[#This Row],[Fiscal_Year]]*100+Table1[[#This Row],[Fiscal_Week]] &amp; "-" &amp;Table1[[#This Row],[BRAND]]</f>
        <v>202246-Banana Republic</v>
      </c>
      <c r="C1002" t="str">
        <f>Table1[[#This Row],[Fiscal_Year]]&amp;"-"&amp;Table1[[#This Row],[BRAND]]</f>
        <v>2022-Banana Republic</v>
      </c>
      <c r="D1002">
        <v>2022</v>
      </c>
      <c r="E1002">
        <v>46</v>
      </c>
      <c r="F1002" t="s">
        <v>18</v>
      </c>
      <c r="G1002" t="s">
        <v>11</v>
      </c>
      <c r="H1002">
        <v>7</v>
      </c>
      <c r="I1002">
        <v>0</v>
      </c>
      <c r="J1002" t="str">
        <f>VLOOKUP(H1002,DC_Xref!A:B,2,FALSE)</f>
        <v>OCC</v>
      </c>
      <c r="K1002">
        <f t="shared" si="15"/>
        <v>202246</v>
      </c>
      <c r="L1002">
        <f>IFERROR(Table1[[#This Row],[Demand]]/SUMIFS(Table1[Demand],Table1[Fiscal_Year],Table1[[#This Row],[Fiscal_Year]],Table1[BRAND],Table1[[#This Row],[BRAND]],Table1[DC_name_Xref],Table1[[#This Row],[DC_name_Xref]]),0)</f>
        <v>0</v>
      </c>
      <c r="M10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2" s="3">
        <f>IFERROR(INDEX(Table3[#All],MATCH(Table1[[#This Row],[Key_Year_Week_Brand]],Table3[[#All],[Key_Year_Week_Brand]],0),MATCH(Table1[[#This Row],[DC_name_Xref]],Table3[#Headers],0)),0)</f>
        <v>0</v>
      </c>
      <c r="O1002">
        <f>IFERROR(INDEX(Table35[#All],MATCH(Table1[[#This Row],[Key_Year_Week_Brand]],Table35[[#All],[Key_Year_Month_Brand]],0),MATCH(Table1[[#This Row],[DC_name_Xref]],Table35[#Headers],0)),0)</f>
        <v>0</v>
      </c>
    </row>
    <row r="1003" spans="1:15" x14ac:dyDescent="0.3">
      <c r="A1003" s="19" t="str">
        <f>Table1[[#This Row],[Year_Week]]&amp;"-"&amp;Table1[[#This Row],[DC_name_Xref]]</f>
        <v>202246-OFC</v>
      </c>
      <c r="B1003" s="19" t="str">
        <f>Table1[[#This Row],[Fiscal_Year]]*100+Table1[[#This Row],[Fiscal_Week]] &amp; "-" &amp;Table1[[#This Row],[BRAND]]</f>
        <v>202246-BR Factory Store</v>
      </c>
      <c r="C1003" t="str">
        <f>Table1[[#This Row],[Fiscal_Year]]&amp;"-"&amp;Table1[[#This Row],[BRAND]]</f>
        <v>2022-BR Factory Store</v>
      </c>
      <c r="D1003">
        <v>2022</v>
      </c>
      <c r="E1003">
        <v>46</v>
      </c>
      <c r="F1003" t="s">
        <v>17</v>
      </c>
      <c r="G1003" t="s">
        <v>5</v>
      </c>
      <c r="H1003">
        <v>1</v>
      </c>
      <c r="I1003">
        <v>249836</v>
      </c>
      <c r="J1003" t="str">
        <f>VLOOKUP(H1003,DC_Xref!A:B,2,FALSE)</f>
        <v>OFC</v>
      </c>
      <c r="K1003">
        <f t="shared" si="15"/>
        <v>202246</v>
      </c>
      <c r="L1003">
        <f>IFERROR(Table1[[#This Row],[Demand]]/SUMIFS(Table1[Demand],Table1[Fiscal_Year],Table1[[#This Row],[Fiscal_Year]],Table1[BRAND],Table1[[#This Row],[BRAND]],Table1[DC_name_Xref],Table1[[#This Row],[DC_name_Xref]]),0)</f>
        <v>0.10792839736464563</v>
      </c>
      <c r="M10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003" s="3">
        <f>IFERROR(INDEX(Table3[#All],MATCH(Table1[[#This Row],[Key_Year_Week_Brand]],Table3[[#All],[Key_Year_Week_Brand]],0),MATCH(Table1[[#This Row],[DC_name_Xref]],Table3[#Headers],0)),0)</f>
        <v>1</v>
      </c>
      <c r="O1003">
        <f>IFERROR(INDEX(Table35[#All],MATCH(Table1[[#This Row],[Key_Year_Week_Brand]],Table35[[#All],[Key_Year_Month_Brand]],0),MATCH(Table1[[#This Row],[DC_name_Xref]],Table35[#Headers],0)),0)</f>
        <v>249836</v>
      </c>
    </row>
    <row r="1004" spans="1:15" x14ac:dyDescent="0.3">
      <c r="A1004" s="19" t="str">
        <f>Table1[[#This Row],[Year_Week]]&amp;"-"&amp;Table1[[#This Row],[DC_name_Xref]]</f>
        <v>202246-TFC</v>
      </c>
      <c r="B1004" s="19" t="str">
        <f>Table1[[#This Row],[Fiscal_Year]]*100+Table1[[#This Row],[Fiscal_Week]] &amp; "-" &amp;Table1[[#This Row],[BRAND]]</f>
        <v>202246-BR Factory Store</v>
      </c>
      <c r="C1004" t="str">
        <f>Table1[[#This Row],[Fiscal_Year]]&amp;"-"&amp;Table1[[#This Row],[BRAND]]</f>
        <v>2022-BR Factory Store</v>
      </c>
      <c r="D1004">
        <v>2022</v>
      </c>
      <c r="E1004">
        <v>46</v>
      </c>
      <c r="F1004" t="s">
        <v>17</v>
      </c>
      <c r="G1004" t="s">
        <v>21</v>
      </c>
      <c r="H1004">
        <v>2</v>
      </c>
      <c r="I1004">
        <v>0</v>
      </c>
      <c r="J1004" t="str">
        <f>VLOOKUP(H1004,DC_Xref!A:B,2,FALSE)</f>
        <v>TFC</v>
      </c>
      <c r="K1004">
        <f t="shared" si="15"/>
        <v>202246</v>
      </c>
      <c r="L1004">
        <f>IFERROR(Table1[[#This Row],[Demand]]/SUMIFS(Table1[Demand],Table1[Fiscal_Year],Table1[[#This Row],[Fiscal_Year]],Table1[BRAND],Table1[[#This Row],[BRAND]],Table1[DC_name_Xref],Table1[[#This Row],[DC_name_Xref]]),0)</f>
        <v>0</v>
      </c>
      <c r="M10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4" s="3">
        <f>IFERROR(INDEX(Table3[#All],MATCH(Table1[[#This Row],[Key_Year_Week_Brand]],Table3[[#All],[Key_Year_Week_Brand]],0),MATCH(Table1[[#This Row],[DC_name_Xref]],Table3[#Headers],0)),0)</f>
        <v>0</v>
      </c>
      <c r="O1004">
        <f>IFERROR(INDEX(Table35[#All],MATCH(Table1[[#This Row],[Key_Year_Week_Brand]],Table35[[#All],[Key_Year_Month_Brand]],0),MATCH(Table1[[#This Row],[DC_name_Xref]],Table35[#Headers],0)),0)</f>
        <v>0</v>
      </c>
    </row>
    <row r="1005" spans="1:15" x14ac:dyDescent="0.3">
      <c r="A1005" s="19" t="str">
        <f>Table1[[#This Row],[Year_Week]]&amp;"-"&amp;Table1[[#This Row],[DC_name_Xref]]</f>
        <v>202246-WFC</v>
      </c>
      <c r="B1005" s="19" t="str">
        <f>Table1[[#This Row],[Fiscal_Year]]*100+Table1[[#This Row],[Fiscal_Week]] &amp; "-" &amp;Table1[[#This Row],[BRAND]]</f>
        <v>202246-BR Factory Store</v>
      </c>
      <c r="C1005" t="str">
        <f>Table1[[#This Row],[Fiscal_Year]]&amp;"-"&amp;Table1[[#This Row],[BRAND]]</f>
        <v>2022-BR Factory Store</v>
      </c>
      <c r="D1005">
        <v>2022</v>
      </c>
      <c r="E1005">
        <v>46</v>
      </c>
      <c r="F1005" t="s">
        <v>17</v>
      </c>
      <c r="G1005" t="s">
        <v>7</v>
      </c>
      <c r="H1005">
        <v>3</v>
      </c>
      <c r="I1005">
        <v>0</v>
      </c>
      <c r="J1005" t="str">
        <f>VLOOKUP(H1005,DC_Xref!A:B,2,FALSE)</f>
        <v>WFC</v>
      </c>
      <c r="K1005">
        <f t="shared" si="15"/>
        <v>202246</v>
      </c>
      <c r="L1005">
        <f>IFERROR(Table1[[#This Row],[Demand]]/SUMIFS(Table1[Demand],Table1[Fiscal_Year],Table1[[#This Row],[Fiscal_Year]],Table1[BRAND],Table1[[#This Row],[BRAND]],Table1[DC_name_Xref],Table1[[#This Row],[DC_name_Xref]]),0)</f>
        <v>0</v>
      </c>
      <c r="M10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5" s="3">
        <f>IFERROR(INDEX(Table3[#All],MATCH(Table1[[#This Row],[Key_Year_Week_Brand]],Table3[[#All],[Key_Year_Week_Brand]],0),MATCH(Table1[[#This Row],[DC_name_Xref]],Table3[#Headers],0)),0)</f>
        <v>0</v>
      </c>
      <c r="O1005">
        <f>IFERROR(INDEX(Table35[#All],MATCH(Table1[[#This Row],[Key_Year_Week_Brand]],Table35[[#All],[Key_Year_Month_Brand]],0),MATCH(Table1[[#This Row],[DC_name_Xref]],Table35[#Headers],0)),0)</f>
        <v>0</v>
      </c>
    </row>
    <row r="1006" spans="1:15" x14ac:dyDescent="0.3">
      <c r="A1006" s="19" t="str">
        <f>Table1[[#This Row],[Year_Week]]&amp;"-"&amp;Table1[[#This Row],[DC_name_Xref]]</f>
        <v>202246-EAO</v>
      </c>
      <c r="B1006" s="19" t="str">
        <f>Table1[[#This Row],[Fiscal_Year]]*100+Table1[[#This Row],[Fiscal_Week]] &amp; "-" &amp;Table1[[#This Row],[BRAND]]</f>
        <v>202246-BR Factory Store</v>
      </c>
      <c r="C1006" t="str">
        <f>Table1[[#This Row],[Fiscal_Year]]&amp;"-"&amp;Table1[[#This Row],[BRAND]]</f>
        <v>2022-BR Factory Store</v>
      </c>
      <c r="D1006">
        <v>2022</v>
      </c>
      <c r="E1006">
        <v>46</v>
      </c>
      <c r="F1006" t="s">
        <v>17</v>
      </c>
      <c r="G1006" t="s">
        <v>8</v>
      </c>
      <c r="H1006">
        <v>4</v>
      </c>
      <c r="I1006">
        <v>0</v>
      </c>
      <c r="J1006" t="str">
        <f>VLOOKUP(H1006,DC_Xref!A:B,2,FALSE)</f>
        <v>EAO</v>
      </c>
      <c r="K1006">
        <f t="shared" si="15"/>
        <v>202246</v>
      </c>
      <c r="L1006">
        <f>IFERROR(Table1[[#This Row],[Demand]]/SUMIFS(Table1[Demand],Table1[Fiscal_Year],Table1[[#This Row],[Fiscal_Year]],Table1[BRAND],Table1[[#This Row],[BRAND]],Table1[DC_name_Xref],Table1[[#This Row],[DC_name_Xref]]),0)</f>
        <v>0</v>
      </c>
      <c r="M10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6" s="3">
        <f>IFERROR(INDEX(Table3[#All],MATCH(Table1[[#This Row],[Key_Year_Week_Brand]],Table3[[#All],[Key_Year_Week_Brand]],0),MATCH(Table1[[#This Row],[DC_name_Xref]],Table3[#Headers],0)),0)</f>
        <v>0</v>
      </c>
      <c r="O1006">
        <f>IFERROR(INDEX(Table35[#All],MATCH(Table1[[#This Row],[Key_Year_Week_Brand]],Table35[[#All],[Key_Year_Month_Brand]],0),MATCH(Table1[[#This Row],[DC_name_Xref]],Table35[#Headers],0)),0)</f>
        <v>0</v>
      </c>
    </row>
    <row r="1007" spans="1:15" x14ac:dyDescent="0.3">
      <c r="A1007" s="19" t="str">
        <f>Table1[[#This Row],[Year_Week]]&amp;"-"&amp;Table1[[#This Row],[DC_name_Xref]]</f>
        <v>202246-FFC-ODC</v>
      </c>
      <c r="B1007" s="19" t="str">
        <f>Table1[[#This Row],[Fiscal_Year]]*100+Table1[[#This Row],[Fiscal_Week]] &amp; "-" &amp;Table1[[#This Row],[BRAND]]</f>
        <v>202246-BR Factory Store</v>
      </c>
      <c r="C1007" t="str">
        <f>Table1[[#This Row],[Fiscal_Year]]&amp;"-"&amp;Table1[[#This Row],[BRAND]]</f>
        <v>2022-BR Factory Store</v>
      </c>
      <c r="D1007">
        <v>2022</v>
      </c>
      <c r="E1007">
        <v>46</v>
      </c>
      <c r="F1007" t="s">
        <v>17</v>
      </c>
      <c r="G1007" t="s">
        <v>23</v>
      </c>
      <c r="H1007">
        <v>5</v>
      </c>
      <c r="I1007">
        <v>0</v>
      </c>
      <c r="J1007" t="str">
        <f>VLOOKUP(H1007,DC_Xref!A:B,2,FALSE)</f>
        <v>FFC-ODC</v>
      </c>
      <c r="K1007">
        <f t="shared" si="15"/>
        <v>202246</v>
      </c>
      <c r="L1007">
        <f>IFERROR(Table1[[#This Row],[Demand]]/SUMIFS(Table1[Demand],Table1[Fiscal_Year],Table1[[#This Row],[Fiscal_Year]],Table1[BRAND],Table1[[#This Row],[BRAND]],Table1[DC_name_Xref],Table1[[#This Row],[DC_name_Xref]]),0)</f>
        <v>0</v>
      </c>
      <c r="M10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7" s="3">
        <f>IFERROR(INDEX(Table3[#All],MATCH(Table1[[#This Row],[Key_Year_Week_Brand]],Table3[[#All],[Key_Year_Week_Brand]],0),MATCH(Table1[[#This Row],[DC_name_Xref]],Table3[#Headers],0)),0)</f>
        <v>0</v>
      </c>
      <c r="O1007">
        <f>IFERROR(INDEX(Table35[#All],MATCH(Table1[[#This Row],[Key_Year_Week_Brand]],Table35[[#All],[Key_Year_Month_Brand]],0),MATCH(Table1[[#This Row],[DC_name_Xref]],Table35[#Headers],0)),0)</f>
        <v>0</v>
      </c>
    </row>
    <row r="1008" spans="1:15" x14ac:dyDescent="0.3">
      <c r="A1008" s="19" t="str">
        <f>Table1[[#This Row],[Year_Week]]&amp;"-"&amp;Table1[[#This Row],[DC_name_Xref]]</f>
        <v>202246-WEO</v>
      </c>
      <c r="B1008" s="19" t="str">
        <f>Table1[[#This Row],[Fiscal_Year]]*100+Table1[[#This Row],[Fiscal_Week]] &amp; "-" &amp;Table1[[#This Row],[BRAND]]</f>
        <v>202246-BR Factory Store</v>
      </c>
      <c r="C1008" t="str">
        <f>Table1[[#This Row],[Fiscal_Year]]&amp;"-"&amp;Table1[[#This Row],[BRAND]]</f>
        <v>2022-BR Factory Store</v>
      </c>
      <c r="D1008">
        <v>2022</v>
      </c>
      <c r="E1008">
        <v>46</v>
      </c>
      <c r="F1008" t="s">
        <v>17</v>
      </c>
      <c r="G1008" t="s">
        <v>10</v>
      </c>
      <c r="H1008">
        <v>6</v>
      </c>
      <c r="I1008">
        <v>0</v>
      </c>
      <c r="J1008" t="str">
        <f>VLOOKUP(H1008,DC_Xref!A:B,2,FALSE)</f>
        <v>WEO</v>
      </c>
      <c r="K1008">
        <f t="shared" si="15"/>
        <v>202246</v>
      </c>
      <c r="L1008">
        <f>IFERROR(Table1[[#This Row],[Demand]]/SUMIFS(Table1[Demand],Table1[Fiscal_Year],Table1[[#This Row],[Fiscal_Year]],Table1[BRAND],Table1[[#This Row],[BRAND]],Table1[DC_name_Xref],Table1[[#This Row],[DC_name_Xref]]),0)</f>
        <v>0</v>
      </c>
      <c r="M10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8" s="3">
        <f>IFERROR(INDEX(Table3[#All],MATCH(Table1[[#This Row],[Key_Year_Week_Brand]],Table3[[#All],[Key_Year_Week_Brand]],0),MATCH(Table1[[#This Row],[DC_name_Xref]],Table3[#Headers],0)),0)</f>
        <v>0</v>
      </c>
      <c r="O1008">
        <f>IFERROR(INDEX(Table35[#All],MATCH(Table1[[#This Row],[Key_Year_Week_Brand]],Table35[[#All],[Key_Year_Month_Brand]],0),MATCH(Table1[[#This Row],[DC_name_Xref]],Table35[#Headers],0)),0)</f>
        <v>0</v>
      </c>
    </row>
    <row r="1009" spans="1:15" x14ac:dyDescent="0.3">
      <c r="A1009" s="19" t="str">
        <f>Table1[[#This Row],[Year_Week]]&amp;"-"&amp;Table1[[#This Row],[DC_name_Xref]]</f>
        <v>202246-OCC</v>
      </c>
      <c r="B1009" s="19" t="str">
        <f>Table1[[#This Row],[Fiscal_Year]]*100+Table1[[#This Row],[Fiscal_Week]] &amp; "-" &amp;Table1[[#This Row],[BRAND]]</f>
        <v>202246-BR Factory Store</v>
      </c>
      <c r="C1009" t="str">
        <f>Table1[[#This Row],[Fiscal_Year]]&amp;"-"&amp;Table1[[#This Row],[BRAND]]</f>
        <v>2022-BR Factory Store</v>
      </c>
      <c r="D1009">
        <v>2022</v>
      </c>
      <c r="E1009">
        <v>46</v>
      </c>
      <c r="F1009" t="s">
        <v>17</v>
      </c>
      <c r="G1009" t="s">
        <v>11</v>
      </c>
      <c r="H1009">
        <v>7</v>
      </c>
      <c r="I1009">
        <v>0</v>
      </c>
      <c r="J1009" t="str">
        <f>VLOOKUP(H1009,DC_Xref!A:B,2,FALSE)</f>
        <v>OCC</v>
      </c>
      <c r="K1009">
        <f t="shared" si="15"/>
        <v>202246</v>
      </c>
      <c r="L1009">
        <f>IFERROR(Table1[[#This Row],[Demand]]/SUMIFS(Table1[Demand],Table1[Fiscal_Year],Table1[[#This Row],[Fiscal_Year]],Table1[BRAND],Table1[[#This Row],[BRAND]],Table1[DC_name_Xref],Table1[[#This Row],[DC_name_Xref]]),0)</f>
        <v>0</v>
      </c>
      <c r="M10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09" s="3">
        <f>IFERROR(INDEX(Table3[#All],MATCH(Table1[[#This Row],[Key_Year_Week_Brand]],Table3[[#All],[Key_Year_Week_Brand]],0),MATCH(Table1[[#This Row],[DC_name_Xref]],Table3[#Headers],0)),0)</f>
        <v>0</v>
      </c>
      <c r="O1009">
        <f>IFERROR(INDEX(Table35[#All],MATCH(Table1[[#This Row],[Key_Year_Week_Brand]],Table35[[#All],[Key_Year_Month_Brand]],0),MATCH(Table1[[#This Row],[DC_name_Xref]],Table35[#Headers],0)),0)</f>
        <v>0</v>
      </c>
    </row>
    <row r="1010" spans="1:15" x14ac:dyDescent="0.3">
      <c r="A1010" s="19" t="str">
        <f>Table1[[#This Row],[Year_Week]]&amp;"-"&amp;Table1[[#This Row],[DC_name_Xref]]</f>
        <v>202247-OFC</v>
      </c>
      <c r="B1010" s="19" t="str">
        <f>Table1[[#This Row],[Fiscal_Year]]*100+Table1[[#This Row],[Fiscal_Week]] &amp; "-" &amp;Table1[[#This Row],[BRAND]]</f>
        <v>202247-Gap Factory Store</v>
      </c>
      <c r="C1010" t="str">
        <f>Table1[[#This Row],[Fiscal_Year]]&amp;"-"&amp;Table1[[#This Row],[BRAND]]</f>
        <v>2022-Gap Factory Store</v>
      </c>
      <c r="D1010">
        <v>2022</v>
      </c>
      <c r="E1010">
        <v>47</v>
      </c>
      <c r="F1010" t="s">
        <v>22</v>
      </c>
      <c r="G1010" t="s">
        <v>5</v>
      </c>
      <c r="H1010">
        <v>1</v>
      </c>
      <c r="I1010">
        <v>517502</v>
      </c>
      <c r="J1010" t="str">
        <f>VLOOKUP(H1010,DC_Xref!A:B,2,FALSE)</f>
        <v>OFC</v>
      </c>
      <c r="K1010">
        <f t="shared" si="15"/>
        <v>202247</v>
      </c>
      <c r="L1010">
        <f>IFERROR(Table1[[#This Row],[Demand]]/SUMIFS(Table1[Demand],Table1[Fiscal_Year],Table1[[#This Row],[Fiscal_Year]],Table1[BRAND],Table1[[#This Row],[BRAND]],Table1[DC_name_Xref],Table1[[#This Row],[DC_name_Xref]]),0)</f>
        <v>7.7121385014247659E-2</v>
      </c>
      <c r="M10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010" s="3">
        <f>IFERROR(INDEX(Table3[#All],MATCH(Table1[[#This Row],[Key_Year_Week_Brand]],Table3[[#All],[Key_Year_Week_Brand]],0),MATCH(Table1[[#This Row],[DC_name_Xref]],Table3[#Headers],0)),0)</f>
        <v>1</v>
      </c>
      <c r="O1010">
        <f>IFERROR(INDEX(Table35[#All],MATCH(Table1[[#This Row],[Key_Year_Week_Brand]],Table35[[#All],[Key_Year_Month_Brand]],0),MATCH(Table1[[#This Row],[DC_name_Xref]],Table35[#Headers],0)),0)</f>
        <v>517502</v>
      </c>
    </row>
    <row r="1011" spans="1:15" x14ac:dyDescent="0.3">
      <c r="A1011" s="19" t="str">
        <f>Table1[[#This Row],[Year_Week]]&amp;"-"&amp;Table1[[#This Row],[DC_name_Xref]]</f>
        <v>202247-TFC</v>
      </c>
      <c r="B1011" s="19" t="str">
        <f>Table1[[#This Row],[Fiscal_Year]]*100+Table1[[#This Row],[Fiscal_Week]] &amp; "-" &amp;Table1[[#This Row],[BRAND]]</f>
        <v>202247-Gap Factory Store</v>
      </c>
      <c r="C1011" t="str">
        <f>Table1[[#This Row],[Fiscal_Year]]&amp;"-"&amp;Table1[[#This Row],[BRAND]]</f>
        <v>2022-Gap Factory Store</v>
      </c>
      <c r="D1011">
        <v>2022</v>
      </c>
      <c r="E1011">
        <v>47</v>
      </c>
      <c r="F1011" t="s">
        <v>22</v>
      </c>
      <c r="G1011" t="s">
        <v>21</v>
      </c>
      <c r="H1011">
        <v>2</v>
      </c>
      <c r="I1011">
        <v>0</v>
      </c>
      <c r="J1011" t="str">
        <f>VLOOKUP(H1011,DC_Xref!A:B,2,FALSE)</f>
        <v>TFC</v>
      </c>
      <c r="K1011">
        <f t="shared" si="15"/>
        <v>202247</v>
      </c>
      <c r="L1011">
        <f>IFERROR(Table1[[#This Row],[Demand]]/SUMIFS(Table1[Demand],Table1[Fiscal_Year],Table1[[#This Row],[Fiscal_Year]],Table1[BRAND],Table1[[#This Row],[BRAND]],Table1[DC_name_Xref],Table1[[#This Row],[DC_name_Xref]]),0)</f>
        <v>0</v>
      </c>
      <c r="M10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11" s="3">
        <f>IFERROR(INDEX(Table3[#All],MATCH(Table1[[#This Row],[Key_Year_Week_Brand]],Table3[[#All],[Key_Year_Week_Brand]],0),MATCH(Table1[[#This Row],[DC_name_Xref]],Table3[#Headers],0)),0)</f>
        <v>0</v>
      </c>
      <c r="O1011">
        <f>IFERROR(INDEX(Table35[#All],MATCH(Table1[[#This Row],[Key_Year_Week_Brand]],Table35[[#All],[Key_Year_Month_Brand]],0),MATCH(Table1[[#This Row],[DC_name_Xref]],Table35[#Headers],0)),0)</f>
        <v>0</v>
      </c>
    </row>
    <row r="1012" spans="1:15" x14ac:dyDescent="0.3">
      <c r="A1012" s="19" t="str">
        <f>Table1[[#This Row],[Year_Week]]&amp;"-"&amp;Table1[[#This Row],[DC_name_Xref]]</f>
        <v>202247-WFC</v>
      </c>
      <c r="B1012" s="19" t="str">
        <f>Table1[[#This Row],[Fiscal_Year]]*100+Table1[[#This Row],[Fiscal_Week]] &amp; "-" &amp;Table1[[#This Row],[BRAND]]</f>
        <v>202247-Gap Factory Store</v>
      </c>
      <c r="C1012" t="str">
        <f>Table1[[#This Row],[Fiscal_Year]]&amp;"-"&amp;Table1[[#This Row],[BRAND]]</f>
        <v>2022-Gap Factory Store</v>
      </c>
      <c r="D1012">
        <v>2022</v>
      </c>
      <c r="E1012">
        <v>47</v>
      </c>
      <c r="F1012" t="s">
        <v>22</v>
      </c>
      <c r="G1012" t="s">
        <v>7</v>
      </c>
      <c r="H1012">
        <v>3</v>
      </c>
      <c r="I1012">
        <v>0</v>
      </c>
      <c r="J1012" t="str">
        <f>VLOOKUP(H1012,DC_Xref!A:B,2,FALSE)</f>
        <v>WFC</v>
      </c>
      <c r="K1012">
        <f t="shared" si="15"/>
        <v>202247</v>
      </c>
      <c r="L1012">
        <f>IFERROR(Table1[[#This Row],[Demand]]/SUMIFS(Table1[Demand],Table1[Fiscal_Year],Table1[[#This Row],[Fiscal_Year]],Table1[BRAND],Table1[[#This Row],[BRAND]],Table1[DC_name_Xref],Table1[[#This Row],[DC_name_Xref]]),0)</f>
        <v>0</v>
      </c>
      <c r="M10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12" s="3">
        <f>IFERROR(INDEX(Table3[#All],MATCH(Table1[[#This Row],[Key_Year_Week_Brand]],Table3[[#All],[Key_Year_Week_Brand]],0),MATCH(Table1[[#This Row],[DC_name_Xref]],Table3[#Headers],0)),0)</f>
        <v>0</v>
      </c>
      <c r="O1012">
        <f>IFERROR(INDEX(Table35[#All],MATCH(Table1[[#This Row],[Key_Year_Week_Brand]],Table35[[#All],[Key_Year_Month_Brand]],0),MATCH(Table1[[#This Row],[DC_name_Xref]],Table35[#Headers],0)),0)</f>
        <v>0</v>
      </c>
    </row>
    <row r="1013" spans="1:15" x14ac:dyDescent="0.3">
      <c r="A1013" s="19" t="str">
        <f>Table1[[#This Row],[Year_Week]]&amp;"-"&amp;Table1[[#This Row],[DC_name_Xref]]</f>
        <v>202247-EAO</v>
      </c>
      <c r="B1013" s="19" t="str">
        <f>Table1[[#This Row],[Fiscal_Year]]*100+Table1[[#This Row],[Fiscal_Week]] &amp; "-" &amp;Table1[[#This Row],[BRAND]]</f>
        <v>202247-Gap Factory Store</v>
      </c>
      <c r="C1013" t="str">
        <f>Table1[[#This Row],[Fiscal_Year]]&amp;"-"&amp;Table1[[#This Row],[BRAND]]</f>
        <v>2022-Gap Factory Store</v>
      </c>
      <c r="D1013">
        <v>2022</v>
      </c>
      <c r="E1013">
        <v>47</v>
      </c>
      <c r="F1013" t="s">
        <v>22</v>
      </c>
      <c r="G1013" t="s">
        <v>8</v>
      </c>
      <c r="H1013">
        <v>4</v>
      </c>
      <c r="I1013">
        <v>0</v>
      </c>
      <c r="J1013" t="str">
        <f>VLOOKUP(H1013,DC_Xref!A:B,2,FALSE)</f>
        <v>EAO</v>
      </c>
      <c r="K1013">
        <f t="shared" si="15"/>
        <v>202247</v>
      </c>
      <c r="L1013">
        <f>IFERROR(Table1[[#This Row],[Demand]]/SUMIFS(Table1[Demand],Table1[Fiscal_Year],Table1[[#This Row],[Fiscal_Year]],Table1[BRAND],Table1[[#This Row],[BRAND]],Table1[DC_name_Xref],Table1[[#This Row],[DC_name_Xref]]),0)</f>
        <v>0</v>
      </c>
      <c r="M10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13" s="3">
        <f>IFERROR(INDEX(Table3[#All],MATCH(Table1[[#This Row],[Key_Year_Week_Brand]],Table3[[#All],[Key_Year_Week_Brand]],0),MATCH(Table1[[#This Row],[DC_name_Xref]],Table3[#Headers],0)),0)</f>
        <v>0</v>
      </c>
      <c r="O1013">
        <f>IFERROR(INDEX(Table35[#All],MATCH(Table1[[#This Row],[Key_Year_Week_Brand]],Table35[[#All],[Key_Year_Month_Brand]],0),MATCH(Table1[[#This Row],[DC_name_Xref]],Table35[#Headers],0)),0)</f>
        <v>0</v>
      </c>
    </row>
    <row r="1014" spans="1:15" x14ac:dyDescent="0.3">
      <c r="A1014" s="19" t="str">
        <f>Table1[[#This Row],[Year_Week]]&amp;"-"&amp;Table1[[#This Row],[DC_name_Xref]]</f>
        <v>202247-FFC-ODC</v>
      </c>
      <c r="B1014" s="19" t="str">
        <f>Table1[[#This Row],[Fiscal_Year]]*100+Table1[[#This Row],[Fiscal_Week]] &amp; "-" &amp;Table1[[#This Row],[BRAND]]</f>
        <v>202247-Gap Factory Store</v>
      </c>
      <c r="C1014" t="str">
        <f>Table1[[#This Row],[Fiscal_Year]]&amp;"-"&amp;Table1[[#This Row],[BRAND]]</f>
        <v>2022-Gap Factory Store</v>
      </c>
      <c r="D1014">
        <v>2022</v>
      </c>
      <c r="E1014">
        <v>47</v>
      </c>
      <c r="F1014" t="s">
        <v>22</v>
      </c>
      <c r="G1014" t="s">
        <v>23</v>
      </c>
      <c r="H1014">
        <v>5</v>
      </c>
      <c r="I1014">
        <v>0</v>
      </c>
      <c r="J1014" t="str">
        <f>VLOOKUP(H1014,DC_Xref!A:B,2,FALSE)</f>
        <v>FFC-ODC</v>
      </c>
      <c r="K1014">
        <f t="shared" si="15"/>
        <v>202247</v>
      </c>
      <c r="L1014">
        <f>IFERROR(Table1[[#This Row],[Demand]]/SUMIFS(Table1[Demand],Table1[Fiscal_Year],Table1[[#This Row],[Fiscal_Year]],Table1[BRAND],Table1[[#This Row],[BRAND]],Table1[DC_name_Xref],Table1[[#This Row],[DC_name_Xref]]),0)</f>
        <v>0</v>
      </c>
      <c r="M10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14" s="3">
        <f>IFERROR(INDEX(Table3[#All],MATCH(Table1[[#This Row],[Key_Year_Week_Brand]],Table3[[#All],[Key_Year_Week_Brand]],0),MATCH(Table1[[#This Row],[DC_name_Xref]],Table3[#Headers],0)),0)</f>
        <v>0</v>
      </c>
      <c r="O1014">
        <f>IFERROR(INDEX(Table35[#All],MATCH(Table1[[#This Row],[Key_Year_Week_Brand]],Table35[[#All],[Key_Year_Month_Brand]],0),MATCH(Table1[[#This Row],[DC_name_Xref]],Table35[#Headers],0)),0)</f>
        <v>0</v>
      </c>
    </row>
    <row r="1015" spans="1:15" x14ac:dyDescent="0.3">
      <c r="A1015" s="19" t="str">
        <f>Table1[[#This Row],[Year_Week]]&amp;"-"&amp;Table1[[#This Row],[DC_name_Xref]]</f>
        <v>202247-WEO</v>
      </c>
      <c r="B1015" s="19" t="str">
        <f>Table1[[#This Row],[Fiscal_Year]]*100+Table1[[#This Row],[Fiscal_Week]] &amp; "-" &amp;Table1[[#This Row],[BRAND]]</f>
        <v>202247-Gap Factory Store</v>
      </c>
      <c r="C1015" t="str">
        <f>Table1[[#This Row],[Fiscal_Year]]&amp;"-"&amp;Table1[[#This Row],[BRAND]]</f>
        <v>2022-Gap Factory Store</v>
      </c>
      <c r="D1015">
        <v>2022</v>
      </c>
      <c r="E1015">
        <v>47</v>
      </c>
      <c r="F1015" t="s">
        <v>22</v>
      </c>
      <c r="G1015" t="s">
        <v>10</v>
      </c>
      <c r="H1015">
        <v>6</v>
      </c>
      <c r="I1015">
        <v>0</v>
      </c>
      <c r="J1015" t="str">
        <f>VLOOKUP(H1015,DC_Xref!A:B,2,FALSE)</f>
        <v>WEO</v>
      </c>
      <c r="K1015">
        <f t="shared" si="15"/>
        <v>202247</v>
      </c>
      <c r="L1015">
        <f>IFERROR(Table1[[#This Row],[Demand]]/SUMIFS(Table1[Demand],Table1[Fiscal_Year],Table1[[#This Row],[Fiscal_Year]],Table1[BRAND],Table1[[#This Row],[BRAND]],Table1[DC_name_Xref],Table1[[#This Row],[DC_name_Xref]]),0)</f>
        <v>0</v>
      </c>
      <c r="M10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15" s="3">
        <f>IFERROR(INDEX(Table3[#All],MATCH(Table1[[#This Row],[Key_Year_Week_Brand]],Table3[[#All],[Key_Year_Week_Brand]],0),MATCH(Table1[[#This Row],[DC_name_Xref]],Table3[#Headers],0)),0)</f>
        <v>0</v>
      </c>
      <c r="O1015">
        <f>IFERROR(INDEX(Table35[#All],MATCH(Table1[[#This Row],[Key_Year_Week_Brand]],Table35[[#All],[Key_Year_Month_Brand]],0),MATCH(Table1[[#This Row],[DC_name_Xref]],Table35[#Headers],0)),0)</f>
        <v>0</v>
      </c>
    </row>
    <row r="1016" spans="1:15" x14ac:dyDescent="0.3">
      <c r="A1016" s="19" t="str">
        <f>Table1[[#This Row],[Year_Week]]&amp;"-"&amp;Table1[[#This Row],[DC_name_Xref]]</f>
        <v>202247-OCC</v>
      </c>
      <c r="B1016" s="19" t="str">
        <f>Table1[[#This Row],[Fiscal_Year]]*100+Table1[[#This Row],[Fiscal_Week]] &amp; "-" &amp;Table1[[#This Row],[BRAND]]</f>
        <v>202247-Gap Factory Store</v>
      </c>
      <c r="C1016" t="str">
        <f>Table1[[#This Row],[Fiscal_Year]]&amp;"-"&amp;Table1[[#This Row],[BRAND]]</f>
        <v>2022-Gap Factory Store</v>
      </c>
      <c r="D1016">
        <v>2022</v>
      </c>
      <c r="E1016">
        <v>47</v>
      </c>
      <c r="F1016" t="s">
        <v>22</v>
      </c>
      <c r="G1016" t="s">
        <v>11</v>
      </c>
      <c r="H1016">
        <v>7</v>
      </c>
      <c r="I1016">
        <v>0</v>
      </c>
      <c r="J1016" t="str">
        <f>VLOOKUP(H1016,DC_Xref!A:B,2,FALSE)</f>
        <v>OCC</v>
      </c>
      <c r="K1016">
        <f t="shared" si="15"/>
        <v>202247</v>
      </c>
      <c r="L1016">
        <f>IFERROR(Table1[[#This Row],[Demand]]/SUMIFS(Table1[Demand],Table1[Fiscal_Year],Table1[[#This Row],[Fiscal_Year]],Table1[BRAND],Table1[[#This Row],[BRAND]],Table1[DC_name_Xref],Table1[[#This Row],[DC_name_Xref]]),0)</f>
        <v>0</v>
      </c>
      <c r="M10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16" s="3">
        <f>IFERROR(INDEX(Table3[#All],MATCH(Table1[[#This Row],[Key_Year_Week_Brand]],Table3[[#All],[Key_Year_Week_Brand]],0),MATCH(Table1[[#This Row],[DC_name_Xref]],Table3[#Headers],0)),0)</f>
        <v>0</v>
      </c>
      <c r="O1016">
        <f>IFERROR(INDEX(Table35[#All],MATCH(Table1[[#This Row],[Key_Year_Week_Brand]],Table35[[#All],[Key_Year_Month_Brand]],0),MATCH(Table1[[#This Row],[DC_name_Xref]],Table35[#Headers],0)),0)</f>
        <v>0</v>
      </c>
    </row>
    <row r="1017" spans="1:15" x14ac:dyDescent="0.3">
      <c r="A1017" s="19" t="str">
        <f>Table1[[#This Row],[Year_Week]]&amp;"-"&amp;Table1[[#This Row],[DC_name_Xref]]</f>
        <v>202247-OFC</v>
      </c>
      <c r="B1017" s="19" t="str">
        <f>Table1[[#This Row],[Fiscal_Year]]*100+Table1[[#This Row],[Fiscal_Week]] &amp; "-" &amp;Table1[[#This Row],[BRAND]]</f>
        <v>202247-Old Navy</v>
      </c>
      <c r="C1017" t="str">
        <f>Table1[[#This Row],[Fiscal_Year]]&amp;"-"&amp;Table1[[#This Row],[BRAND]]</f>
        <v>2022-Old Navy</v>
      </c>
      <c r="D1017">
        <v>2022</v>
      </c>
      <c r="E1017">
        <v>47</v>
      </c>
      <c r="F1017" t="s">
        <v>20</v>
      </c>
      <c r="G1017" t="s">
        <v>5</v>
      </c>
      <c r="H1017">
        <v>1</v>
      </c>
      <c r="I1017">
        <v>896880</v>
      </c>
      <c r="J1017" t="str">
        <f>VLOOKUP(H1017,DC_Xref!A:B,2,FALSE)</f>
        <v>OFC</v>
      </c>
      <c r="K1017">
        <f t="shared" si="15"/>
        <v>202247</v>
      </c>
      <c r="L1017">
        <f>IFERROR(Table1[[#This Row],[Demand]]/SUMIFS(Table1[Demand],Table1[Fiscal_Year],Table1[[#This Row],[Fiscal_Year]],Table1[BRAND],Table1[[#This Row],[BRAND]],Table1[DC_name_Xref],Table1[[#This Row],[DC_name_Xref]]),0)</f>
        <v>8.306666477727237E-2</v>
      </c>
      <c r="M10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0.29585489279144922</v>
      </c>
      <c r="N1017" s="3">
        <f>IFERROR(INDEX(Table3[#All],MATCH(Table1[[#This Row],[Key_Year_Week_Brand]],Table3[[#All],[Key_Year_Week_Brand]],0),MATCH(Table1[[#This Row],[DC_name_Xref]],Table3[#Headers],0)),0)</f>
        <v>0.09</v>
      </c>
      <c r="O1017">
        <f>IFERROR(INDEX(Table35[#All],MATCH(Table1[[#This Row],[Key_Year_Week_Brand]],Table35[[#All],[Key_Year_Month_Brand]],0),MATCH(Table1[[#This Row],[DC_name_Xref]],Table35[#Headers],0)),0)</f>
        <v>221992.56</v>
      </c>
    </row>
    <row r="1018" spans="1:15" x14ac:dyDescent="0.3">
      <c r="A1018" s="19" t="str">
        <f>Table1[[#This Row],[Year_Week]]&amp;"-"&amp;Table1[[#This Row],[DC_name_Xref]]</f>
        <v>202247-TFC</v>
      </c>
      <c r="B1018" s="19" t="str">
        <f>Table1[[#This Row],[Fiscal_Year]]*100+Table1[[#This Row],[Fiscal_Week]] &amp; "-" &amp;Table1[[#This Row],[BRAND]]</f>
        <v>202247-Old Navy</v>
      </c>
      <c r="C1018" t="str">
        <f>Table1[[#This Row],[Fiscal_Year]]&amp;"-"&amp;Table1[[#This Row],[BRAND]]</f>
        <v>2022-Old Navy</v>
      </c>
      <c r="D1018">
        <v>2022</v>
      </c>
      <c r="E1018">
        <v>47</v>
      </c>
      <c r="F1018" t="s">
        <v>20</v>
      </c>
      <c r="G1018" t="s">
        <v>21</v>
      </c>
      <c r="H1018">
        <v>2</v>
      </c>
      <c r="I1018">
        <v>365389</v>
      </c>
      <c r="J1018" t="str">
        <f>VLOOKUP(H1018,DC_Xref!A:B,2,FALSE)</f>
        <v>TFC</v>
      </c>
      <c r="K1018">
        <f t="shared" si="15"/>
        <v>202247</v>
      </c>
      <c r="L1018">
        <f>IFERROR(Table1[[#This Row],[Demand]]/SUMIFS(Table1[Demand],Table1[Fiscal_Year],Table1[[#This Row],[Fiscal_Year]],Table1[BRAND],Table1[[#This Row],[BRAND]],Table1[DC_name_Xref],Table1[[#This Row],[DC_name_Xref]]),0)</f>
        <v>5.8870812860582503E-2</v>
      </c>
      <c r="M10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0.1700695749184051</v>
      </c>
      <c r="N1018" s="3">
        <f>IFERROR(INDEX(Table3[#All],MATCH(Table1[[#This Row],[Key_Year_Week_Brand]],Table3[[#All],[Key_Year_Week_Brand]],0),MATCH(Table1[[#This Row],[DC_name_Xref]],Table3[#Headers],0)),0)</f>
        <v>0.11</v>
      </c>
      <c r="O1018">
        <f>IFERROR(INDEX(Table35[#All],MATCH(Table1[[#This Row],[Key_Year_Week_Brand]],Table35[[#All],[Key_Year_Month_Brand]],0),MATCH(Table1[[#This Row],[DC_name_Xref]],Table35[#Headers],0)),0)</f>
        <v>271324.24</v>
      </c>
    </row>
    <row r="1019" spans="1:15" x14ac:dyDescent="0.3">
      <c r="A1019" s="19" t="str">
        <f>Table1[[#This Row],[Year_Week]]&amp;"-"&amp;Table1[[#This Row],[DC_name_Xref]]</f>
        <v>202247-WFC</v>
      </c>
      <c r="B1019" s="19" t="str">
        <f>Table1[[#This Row],[Fiscal_Year]]*100+Table1[[#This Row],[Fiscal_Week]] &amp; "-" &amp;Table1[[#This Row],[BRAND]]</f>
        <v>202247-Old Navy</v>
      </c>
      <c r="C1019" t="str">
        <f>Table1[[#This Row],[Fiscal_Year]]&amp;"-"&amp;Table1[[#This Row],[BRAND]]</f>
        <v>2022-Old Navy</v>
      </c>
      <c r="D1019">
        <v>2022</v>
      </c>
      <c r="E1019">
        <v>47</v>
      </c>
      <c r="F1019" t="s">
        <v>20</v>
      </c>
      <c r="G1019" t="s">
        <v>7</v>
      </c>
      <c r="H1019">
        <v>3</v>
      </c>
      <c r="I1019">
        <v>412468</v>
      </c>
      <c r="J1019" t="str">
        <f>VLOOKUP(H1019,DC_Xref!A:B,2,FALSE)</f>
        <v>WFC</v>
      </c>
      <c r="K1019">
        <f t="shared" si="15"/>
        <v>202247</v>
      </c>
      <c r="L1019">
        <f>IFERROR(Table1[[#This Row],[Demand]]/SUMIFS(Table1[Demand],Table1[Fiscal_Year],Table1[[#This Row],[Fiscal_Year]],Table1[BRAND],Table1[[#This Row],[BRAND]],Table1[DC_name_Xref],Table1[[#This Row],[DC_name_Xref]]),0)</f>
        <v>5.6039951909235677E-2</v>
      </c>
      <c r="M10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0.20168040124931302</v>
      </c>
      <c r="N1019" s="3">
        <f>IFERROR(INDEX(Table3[#All],MATCH(Table1[[#This Row],[Key_Year_Week_Brand]],Table3[[#All],[Key_Year_Week_Brand]],0),MATCH(Table1[[#This Row],[DC_name_Xref]],Table3[#Headers],0)),0)</f>
        <v>0</v>
      </c>
      <c r="O1019">
        <f>IFERROR(INDEX(Table35[#All],MATCH(Table1[[#This Row],[Key_Year_Week_Brand]],Table35[[#All],[Key_Year_Month_Brand]],0),MATCH(Table1[[#This Row],[DC_name_Xref]],Table35[#Headers],0)),0)</f>
        <v>0</v>
      </c>
    </row>
    <row r="1020" spans="1:15" x14ac:dyDescent="0.3">
      <c r="A1020" s="19" t="str">
        <f>Table1[[#This Row],[Year_Week]]&amp;"-"&amp;Table1[[#This Row],[DC_name_Xref]]</f>
        <v>202247-EAO</v>
      </c>
      <c r="B1020" s="19" t="str">
        <f>Table1[[#This Row],[Fiscal_Year]]*100+Table1[[#This Row],[Fiscal_Week]] &amp; "-" &amp;Table1[[#This Row],[BRAND]]</f>
        <v>202247-Old Navy</v>
      </c>
      <c r="C1020" t="str">
        <f>Table1[[#This Row],[Fiscal_Year]]&amp;"-"&amp;Table1[[#This Row],[BRAND]]</f>
        <v>2022-Old Navy</v>
      </c>
      <c r="D1020">
        <v>2022</v>
      </c>
      <c r="E1020">
        <v>47</v>
      </c>
      <c r="F1020" t="s">
        <v>20</v>
      </c>
      <c r="G1020" t="s">
        <v>8</v>
      </c>
      <c r="H1020">
        <v>4</v>
      </c>
      <c r="I1020">
        <v>791847</v>
      </c>
      <c r="J1020" t="str">
        <f>VLOOKUP(H1020,DC_Xref!A:B,2,FALSE)</f>
        <v>EAO</v>
      </c>
      <c r="K1020">
        <f t="shared" si="15"/>
        <v>202247</v>
      </c>
      <c r="L1020">
        <f>IFERROR(Table1[[#This Row],[Demand]]/SUMIFS(Table1[Demand],Table1[Fiscal_Year],Table1[[#This Row],[Fiscal_Year]],Table1[BRAND],Table1[[#This Row],[BRAND]],Table1[DC_name_Xref],Table1[[#This Row],[DC_name_Xref]]),0)</f>
        <v>6.527664302431703E-2</v>
      </c>
      <c r="M10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0.33239513104083268</v>
      </c>
      <c r="N1020" s="3">
        <f>IFERROR(INDEX(Table3[#All],MATCH(Table1[[#This Row],[Key_Year_Week_Brand]],Table3[[#All],[Key_Year_Week_Brand]],0),MATCH(Table1[[#This Row],[DC_name_Xref]],Table3[#Headers],0)),0)</f>
        <v>0.21</v>
      </c>
      <c r="O1020">
        <f>IFERROR(INDEX(Table35[#All],MATCH(Table1[[#This Row],[Key_Year_Week_Brand]],Table35[[#All],[Key_Year_Month_Brand]],0),MATCH(Table1[[#This Row],[DC_name_Xref]],Table35[#Headers],0)),0)</f>
        <v>517982.63999999996</v>
      </c>
    </row>
    <row r="1021" spans="1:15" x14ac:dyDescent="0.3">
      <c r="A1021" s="19" t="str">
        <f>Table1[[#This Row],[Year_Week]]&amp;"-"&amp;Table1[[#This Row],[DC_name_Xref]]</f>
        <v>202247-FFC-ODC</v>
      </c>
      <c r="B1021" s="19" t="str">
        <f>Table1[[#This Row],[Fiscal_Year]]*100+Table1[[#This Row],[Fiscal_Week]] &amp; "-" &amp;Table1[[#This Row],[BRAND]]</f>
        <v>202247-Old Navy</v>
      </c>
      <c r="C1021" t="str">
        <f>Table1[[#This Row],[Fiscal_Year]]&amp;"-"&amp;Table1[[#This Row],[BRAND]]</f>
        <v>2022-Old Navy</v>
      </c>
      <c r="D1021">
        <v>2022</v>
      </c>
      <c r="E1021">
        <v>47</v>
      </c>
      <c r="F1021" t="s">
        <v>20</v>
      </c>
      <c r="G1021" t="s">
        <v>23</v>
      </c>
      <c r="H1021">
        <v>5</v>
      </c>
      <c r="I1021">
        <v>0</v>
      </c>
      <c r="J1021" t="str">
        <f>VLOOKUP(H1021,DC_Xref!A:B,2,FALSE)</f>
        <v>FFC-ODC</v>
      </c>
      <c r="K1021">
        <f t="shared" si="15"/>
        <v>202247</v>
      </c>
      <c r="L1021">
        <f>IFERROR(Table1[[#This Row],[Demand]]/SUMIFS(Table1[Demand],Table1[Fiscal_Year],Table1[[#This Row],[Fiscal_Year]],Table1[BRAND],Table1[[#This Row],[BRAND]],Table1[DC_name_Xref],Table1[[#This Row],[DC_name_Xref]]),0)</f>
        <v>0</v>
      </c>
      <c r="M10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21" s="3">
        <f>IFERROR(INDEX(Table3[#All],MATCH(Table1[[#This Row],[Key_Year_Week_Brand]],Table3[[#All],[Key_Year_Week_Brand]],0),MATCH(Table1[[#This Row],[DC_name_Xref]],Table3[#Headers],0)),0)</f>
        <v>0</v>
      </c>
      <c r="O1021">
        <f>IFERROR(INDEX(Table35[#All],MATCH(Table1[[#This Row],[Key_Year_Week_Brand]],Table35[[#All],[Key_Year_Month_Brand]],0),MATCH(Table1[[#This Row],[DC_name_Xref]],Table35[#Headers],0)),0)</f>
        <v>0</v>
      </c>
    </row>
    <row r="1022" spans="1:15" x14ac:dyDescent="0.3">
      <c r="A1022" s="19" t="str">
        <f>Table1[[#This Row],[Year_Week]]&amp;"-"&amp;Table1[[#This Row],[DC_name_Xref]]</f>
        <v>202247-WEO</v>
      </c>
      <c r="B1022" s="19" t="str">
        <f>Table1[[#This Row],[Fiscal_Year]]*100+Table1[[#This Row],[Fiscal_Week]] &amp; "-" &amp;Table1[[#This Row],[BRAND]]</f>
        <v>202247-Old Navy</v>
      </c>
      <c r="C1022" t="str">
        <f>Table1[[#This Row],[Fiscal_Year]]&amp;"-"&amp;Table1[[#This Row],[BRAND]]</f>
        <v>2022-Old Navy</v>
      </c>
      <c r="D1022">
        <v>2022</v>
      </c>
      <c r="E1022">
        <v>47</v>
      </c>
      <c r="F1022" t="s">
        <v>20</v>
      </c>
      <c r="G1022" t="s">
        <v>10</v>
      </c>
      <c r="H1022">
        <v>6</v>
      </c>
      <c r="I1022">
        <v>0</v>
      </c>
      <c r="J1022" t="str">
        <f>VLOOKUP(H1022,DC_Xref!A:B,2,FALSE)</f>
        <v>WEO</v>
      </c>
      <c r="K1022">
        <f t="shared" si="15"/>
        <v>202247</v>
      </c>
      <c r="L1022">
        <f>IFERROR(Table1[[#This Row],[Demand]]/SUMIFS(Table1[Demand],Table1[Fiscal_Year],Table1[[#This Row],[Fiscal_Year]],Table1[BRAND],Table1[[#This Row],[BRAND]],Table1[DC_name_Xref],Table1[[#This Row],[DC_name_Xref]]),0)</f>
        <v>0</v>
      </c>
      <c r="M10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22" s="3">
        <f>IFERROR(INDEX(Table3[#All],MATCH(Table1[[#This Row],[Key_Year_Week_Brand]],Table3[[#All],[Key_Year_Week_Brand]],0),MATCH(Table1[[#This Row],[DC_name_Xref]],Table3[#Headers],0)),0)</f>
        <v>0.14000000000000001</v>
      </c>
      <c r="O1022">
        <f>IFERROR(INDEX(Table35[#All],MATCH(Table1[[#This Row],[Key_Year_Week_Brand]],Table35[[#All],[Key_Year_Month_Brand]],0),MATCH(Table1[[#This Row],[DC_name_Xref]],Table35[#Headers],0)),0)</f>
        <v>345321.76</v>
      </c>
    </row>
    <row r="1023" spans="1:15" x14ac:dyDescent="0.3">
      <c r="A1023" s="19" t="str">
        <f>Table1[[#This Row],[Year_Week]]&amp;"-"&amp;Table1[[#This Row],[DC_name_Xref]]</f>
        <v>202247-OCC</v>
      </c>
      <c r="B1023" s="19" t="str">
        <f>Table1[[#This Row],[Fiscal_Year]]*100+Table1[[#This Row],[Fiscal_Week]] &amp; "-" &amp;Table1[[#This Row],[BRAND]]</f>
        <v>202247-Old Navy</v>
      </c>
      <c r="C1023" t="str">
        <f>Table1[[#This Row],[Fiscal_Year]]&amp;"-"&amp;Table1[[#This Row],[BRAND]]</f>
        <v>2022-Old Navy</v>
      </c>
      <c r="D1023">
        <v>2022</v>
      </c>
      <c r="E1023">
        <v>47</v>
      </c>
      <c r="F1023" t="s">
        <v>20</v>
      </c>
      <c r="G1023" t="s">
        <v>11</v>
      </c>
      <c r="H1023">
        <v>7</v>
      </c>
      <c r="I1023">
        <v>0</v>
      </c>
      <c r="J1023" t="str">
        <f>VLOOKUP(H1023,DC_Xref!A:B,2,FALSE)</f>
        <v>OCC</v>
      </c>
      <c r="K1023">
        <f t="shared" si="15"/>
        <v>202247</v>
      </c>
      <c r="L1023">
        <f>IFERROR(Table1[[#This Row],[Demand]]/SUMIFS(Table1[Demand],Table1[Fiscal_Year],Table1[[#This Row],[Fiscal_Year]],Table1[BRAND],Table1[[#This Row],[BRAND]],Table1[DC_name_Xref],Table1[[#This Row],[DC_name_Xref]]),0)</f>
        <v>0</v>
      </c>
      <c r="M10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23" s="3">
        <f>IFERROR(INDEX(Table3[#All],MATCH(Table1[[#This Row],[Key_Year_Week_Brand]],Table3[[#All],[Key_Year_Week_Brand]],0),MATCH(Table1[[#This Row],[DC_name_Xref]],Table3[#Headers],0)),0)</f>
        <v>0.45</v>
      </c>
      <c r="O1023">
        <f>IFERROR(INDEX(Table35[#All],MATCH(Table1[[#This Row],[Key_Year_Week_Brand]],Table35[[#All],[Key_Year_Month_Brand]],0),MATCH(Table1[[#This Row],[DC_name_Xref]],Table35[#Headers],0)),0)</f>
        <v>1109962.8</v>
      </c>
    </row>
    <row r="1024" spans="1:15" x14ac:dyDescent="0.3">
      <c r="A1024" s="19" t="str">
        <f>Table1[[#This Row],[Year_Week]]&amp;"-"&amp;Table1[[#This Row],[DC_name_Xref]]</f>
        <v>202247-OFC</v>
      </c>
      <c r="B1024" s="19" t="str">
        <f>Table1[[#This Row],[Fiscal_Year]]*100+Table1[[#This Row],[Fiscal_Week]] &amp; "-" &amp;Table1[[#This Row],[BRAND]]</f>
        <v>202247-Banana Republic</v>
      </c>
      <c r="C1024" t="str">
        <f>Table1[[#This Row],[Fiscal_Year]]&amp;"-"&amp;Table1[[#This Row],[BRAND]]</f>
        <v>2022-Banana Republic</v>
      </c>
      <c r="D1024">
        <v>2022</v>
      </c>
      <c r="E1024">
        <v>47</v>
      </c>
      <c r="F1024" t="s">
        <v>18</v>
      </c>
      <c r="G1024" t="s">
        <v>5</v>
      </c>
      <c r="H1024">
        <v>1</v>
      </c>
      <c r="I1024">
        <v>13471</v>
      </c>
      <c r="J1024" t="str">
        <f>VLOOKUP(H1024,DC_Xref!A:B,2,FALSE)</f>
        <v>OFC</v>
      </c>
      <c r="K1024">
        <f t="shared" si="15"/>
        <v>202247</v>
      </c>
      <c r="L1024">
        <f>IFERROR(Table1[[#This Row],[Demand]]/SUMIFS(Table1[Demand],Table1[Fiscal_Year],Table1[[#This Row],[Fiscal_Year]],Table1[BRAND],Table1[[#This Row],[BRAND]],Table1[DC_name_Xref],Table1[[#This Row],[DC_name_Xref]]),0)</f>
        <v>0.19945217648800712</v>
      </c>
      <c r="M10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2.1329483036365917E-2</v>
      </c>
      <c r="N1024" s="3">
        <f>IFERROR(INDEX(Table3[#All],MATCH(Table1[[#This Row],[Key_Year_Week_Brand]],Table3[[#All],[Key_Year_Week_Brand]],0),MATCH(Table1[[#This Row],[DC_name_Xref]],Table3[#Headers],0)),0)</f>
        <v>0</v>
      </c>
      <c r="O1024">
        <f>IFERROR(INDEX(Table35[#All],MATCH(Table1[[#This Row],[Key_Year_Week_Brand]],Table35[[#All],[Key_Year_Month_Brand]],0),MATCH(Table1[[#This Row],[DC_name_Xref]],Table35[#Headers],0)),0)</f>
        <v>0</v>
      </c>
    </row>
    <row r="1025" spans="1:15" x14ac:dyDescent="0.3">
      <c r="A1025" s="19" t="str">
        <f>Table1[[#This Row],[Year_Week]]&amp;"-"&amp;Table1[[#This Row],[DC_name_Xref]]</f>
        <v>202247-TFC</v>
      </c>
      <c r="B1025" s="19" t="str">
        <f>Table1[[#This Row],[Fiscal_Year]]*100+Table1[[#This Row],[Fiscal_Week]] &amp; "-" &amp;Table1[[#This Row],[BRAND]]</f>
        <v>202247-Banana Republic</v>
      </c>
      <c r="C1025" t="str">
        <f>Table1[[#This Row],[Fiscal_Year]]&amp;"-"&amp;Table1[[#This Row],[BRAND]]</f>
        <v>2022-Banana Republic</v>
      </c>
      <c r="D1025">
        <v>2022</v>
      </c>
      <c r="E1025">
        <v>47</v>
      </c>
      <c r="F1025" t="s">
        <v>18</v>
      </c>
      <c r="G1025" t="s">
        <v>21</v>
      </c>
      <c r="H1025">
        <v>2</v>
      </c>
      <c r="I1025">
        <v>403991</v>
      </c>
      <c r="J1025" t="str">
        <f>VLOOKUP(H1025,DC_Xref!A:B,2,FALSE)</f>
        <v>TFC</v>
      </c>
      <c r="K1025">
        <f t="shared" si="15"/>
        <v>202247</v>
      </c>
      <c r="L1025">
        <f>IFERROR(Table1[[#This Row],[Demand]]/SUMIFS(Table1[Demand],Table1[Fiscal_Year],Table1[[#This Row],[Fiscal_Year]],Table1[BRAND],Table1[[#This Row],[BRAND]],Table1[DC_name_Xref],Table1[[#This Row],[DC_name_Xref]]),0)</f>
        <v>0.13036904944001373</v>
      </c>
      <c r="M10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0.97862535682039753</v>
      </c>
      <c r="N1025" s="3">
        <f>IFERROR(INDEX(Table3[#All],MATCH(Table1[[#This Row],[Key_Year_Week_Brand]],Table3[[#All],[Key_Year_Week_Brand]],0),MATCH(Table1[[#This Row],[DC_name_Xref]],Table3[#Headers],0)),0)</f>
        <v>1</v>
      </c>
      <c r="O1025">
        <f>IFERROR(INDEX(Table35[#All],MATCH(Table1[[#This Row],[Key_Year_Week_Brand]],Table35[[#All],[Key_Year_Month_Brand]],0),MATCH(Table1[[#This Row],[DC_name_Xref]],Table35[#Headers],0)),0)</f>
        <v>417470</v>
      </c>
    </row>
    <row r="1026" spans="1:15" x14ac:dyDescent="0.3">
      <c r="A1026" s="19" t="str">
        <f>Table1[[#This Row],[Year_Week]]&amp;"-"&amp;Table1[[#This Row],[DC_name_Xref]]</f>
        <v>202247-WFC</v>
      </c>
      <c r="B1026" s="19" t="str">
        <f>Table1[[#This Row],[Fiscal_Year]]*100+Table1[[#This Row],[Fiscal_Week]] &amp; "-" &amp;Table1[[#This Row],[BRAND]]</f>
        <v>202247-Banana Republic</v>
      </c>
      <c r="C1026" t="str">
        <f>Table1[[#This Row],[Fiscal_Year]]&amp;"-"&amp;Table1[[#This Row],[BRAND]]</f>
        <v>2022-Banana Republic</v>
      </c>
      <c r="D1026">
        <v>2022</v>
      </c>
      <c r="E1026">
        <v>47</v>
      </c>
      <c r="F1026" t="s">
        <v>18</v>
      </c>
      <c r="G1026" t="s">
        <v>7</v>
      </c>
      <c r="H1026">
        <v>3</v>
      </c>
      <c r="I1026">
        <v>2</v>
      </c>
      <c r="J1026" t="str">
        <f>VLOOKUP(H1026,DC_Xref!A:B,2,FALSE)</f>
        <v>WFC</v>
      </c>
      <c r="K1026">
        <f t="shared" ref="K1026:K1089" si="16">D1026*100+E1026</f>
        <v>202247</v>
      </c>
      <c r="L1026">
        <f>IFERROR(Table1[[#This Row],[Demand]]/SUMIFS(Table1[Demand],Table1[Fiscal_Year],Table1[[#This Row],[Fiscal_Year]],Table1[BRAND],Table1[[#This Row],[BRAND]],Table1[DC_name_Xref],Table1[[#This Row],[DC_name_Xref]]),0)</f>
        <v>0.2</v>
      </c>
      <c r="M10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3.1580519745877874E-6</v>
      </c>
      <c r="N1026" s="3">
        <f>IFERROR(INDEX(Table3[#All],MATCH(Table1[[#This Row],[Key_Year_Week_Brand]],Table3[[#All],[Key_Year_Week_Brand]],0),MATCH(Table1[[#This Row],[DC_name_Xref]],Table3[#Headers],0)),0)</f>
        <v>3.4959629396853166E-6</v>
      </c>
      <c r="O1026">
        <f>IFERROR(INDEX(Table35[#All],MATCH(Table1[[#This Row],[Key_Year_Week_Brand]],Table35[[#All],[Key_Year_Month_Brand]],0),MATCH(Table1[[#This Row],[DC_name_Xref]],Table35[#Headers],0)),0)</f>
        <v>1.4594596484304292</v>
      </c>
    </row>
    <row r="1027" spans="1:15" x14ac:dyDescent="0.3">
      <c r="A1027" s="19" t="str">
        <f>Table1[[#This Row],[Year_Week]]&amp;"-"&amp;Table1[[#This Row],[DC_name_Xref]]</f>
        <v>202247-EAO</v>
      </c>
      <c r="B1027" s="19" t="str">
        <f>Table1[[#This Row],[Fiscal_Year]]*100+Table1[[#This Row],[Fiscal_Week]] &amp; "-" &amp;Table1[[#This Row],[BRAND]]</f>
        <v>202247-Banana Republic</v>
      </c>
      <c r="C1027" t="str">
        <f>Table1[[#This Row],[Fiscal_Year]]&amp;"-"&amp;Table1[[#This Row],[BRAND]]</f>
        <v>2022-Banana Republic</v>
      </c>
      <c r="D1027">
        <v>2022</v>
      </c>
      <c r="E1027">
        <v>47</v>
      </c>
      <c r="F1027" t="s">
        <v>18</v>
      </c>
      <c r="G1027" t="s">
        <v>8</v>
      </c>
      <c r="H1027">
        <v>4</v>
      </c>
      <c r="I1027">
        <v>6</v>
      </c>
      <c r="J1027" t="str">
        <f>VLOOKUP(H1027,DC_Xref!A:B,2,FALSE)</f>
        <v>EAO</v>
      </c>
      <c r="K1027">
        <f t="shared" si="16"/>
        <v>202247</v>
      </c>
      <c r="L1027">
        <f>IFERROR(Table1[[#This Row],[Demand]]/SUMIFS(Table1[Demand],Table1[Fiscal_Year],Table1[[#This Row],[Fiscal_Year]],Table1[BRAND],Table1[[#This Row],[BRAND]],Table1[DC_name_Xref],Table1[[#This Row],[DC_name_Xref]]),0)</f>
        <v>4.5112781954887216E-2</v>
      </c>
      <c r="M10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4.2002091262017571E-5</v>
      </c>
      <c r="N1027" s="3">
        <f>IFERROR(INDEX(Table3[#All],MATCH(Table1[[#This Row],[Key_Year_Week_Brand]],Table3[[#All],[Key_Year_Week_Brand]],0),MATCH(Table1[[#This Row],[DC_name_Xref]],Table3[#Headers],0)),0)</f>
        <v>4.2339995602855504E-5</v>
      </c>
      <c r="O1027">
        <f>IFERROR(INDEX(Table35[#All],MATCH(Table1[[#This Row],[Key_Year_Week_Brand]],Table35[[#All],[Key_Year_Month_Brand]],0),MATCH(Table1[[#This Row],[DC_name_Xref]],Table35[#Headers],0)),0)</f>
        <v>17.675677964324088</v>
      </c>
    </row>
    <row r="1028" spans="1:15" x14ac:dyDescent="0.3">
      <c r="A1028" s="19" t="str">
        <f>Table1[[#This Row],[Year_Week]]&amp;"-"&amp;Table1[[#This Row],[DC_name_Xref]]</f>
        <v>202247-FFC-ODC</v>
      </c>
      <c r="B1028" s="19" t="str">
        <f>Table1[[#This Row],[Fiscal_Year]]*100+Table1[[#This Row],[Fiscal_Week]] &amp; "-" &amp;Table1[[#This Row],[BRAND]]</f>
        <v>202247-Banana Republic</v>
      </c>
      <c r="C1028" t="str">
        <f>Table1[[#This Row],[Fiscal_Year]]&amp;"-"&amp;Table1[[#This Row],[BRAND]]</f>
        <v>2022-Banana Republic</v>
      </c>
      <c r="D1028">
        <v>2022</v>
      </c>
      <c r="E1028">
        <v>47</v>
      </c>
      <c r="F1028" t="s">
        <v>18</v>
      </c>
      <c r="G1028" t="s">
        <v>23</v>
      </c>
      <c r="H1028">
        <v>5</v>
      </c>
      <c r="I1028">
        <v>0</v>
      </c>
      <c r="J1028" t="str">
        <f>VLOOKUP(H1028,DC_Xref!A:B,2,FALSE)</f>
        <v>FFC-ODC</v>
      </c>
      <c r="K1028">
        <f t="shared" si="16"/>
        <v>202247</v>
      </c>
      <c r="L1028">
        <f>IFERROR(Table1[[#This Row],[Demand]]/SUMIFS(Table1[Demand],Table1[Fiscal_Year],Table1[[#This Row],[Fiscal_Year]],Table1[BRAND],Table1[[#This Row],[BRAND]],Table1[DC_name_Xref],Table1[[#This Row],[DC_name_Xref]]),0)</f>
        <v>0</v>
      </c>
      <c r="M10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28" s="3">
        <f>IFERROR(INDEX(Table3[#All],MATCH(Table1[[#This Row],[Key_Year_Week_Brand]],Table3[[#All],[Key_Year_Week_Brand]],0),MATCH(Table1[[#This Row],[DC_name_Xref]],Table3[#Headers],0)),0)</f>
        <v>0</v>
      </c>
      <c r="O1028">
        <f>IFERROR(INDEX(Table35[#All],MATCH(Table1[[#This Row],[Key_Year_Week_Brand]],Table35[[#All],[Key_Year_Month_Brand]],0),MATCH(Table1[[#This Row],[DC_name_Xref]],Table35[#Headers],0)),0)</f>
        <v>0</v>
      </c>
    </row>
    <row r="1029" spans="1:15" x14ac:dyDescent="0.3">
      <c r="A1029" s="19" t="str">
        <f>Table1[[#This Row],[Year_Week]]&amp;"-"&amp;Table1[[#This Row],[DC_name_Xref]]</f>
        <v>202247-WEO</v>
      </c>
      <c r="B1029" s="19" t="str">
        <f>Table1[[#This Row],[Fiscal_Year]]*100+Table1[[#This Row],[Fiscal_Week]] &amp; "-" &amp;Table1[[#This Row],[BRAND]]</f>
        <v>202247-Banana Republic</v>
      </c>
      <c r="C1029" t="str">
        <f>Table1[[#This Row],[Fiscal_Year]]&amp;"-"&amp;Table1[[#This Row],[BRAND]]</f>
        <v>2022-Banana Republic</v>
      </c>
      <c r="D1029">
        <v>2022</v>
      </c>
      <c r="E1029">
        <v>47</v>
      </c>
      <c r="F1029" t="s">
        <v>18</v>
      </c>
      <c r="G1029" t="s">
        <v>10</v>
      </c>
      <c r="H1029">
        <v>6</v>
      </c>
      <c r="I1029">
        <v>0</v>
      </c>
      <c r="J1029" t="str">
        <f>VLOOKUP(H1029,DC_Xref!A:B,2,FALSE)</f>
        <v>WEO</v>
      </c>
      <c r="K1029">
        <f t="shared" si="16"/>
        <v>202247</v>
      </c>
      <c r="L1029">
        <f>IFERROR(Table1[[#This Row],[Demand]]/SUMIFS(Table1[Demand],Table1[Fiscal_Year],Table1[[#This Row],[Fiscal_Year]],Table1[BRAND],Table1[[#This Row],[BRAND]],Table1[DC_name_Xref],Table1[[#This Row],[DC_name_Xref]]),0)</f>
        <v>0</v>
      </c>
      <c r="M10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29" s="3">
        <f>IFERROR(INDEX(Table3[#All],MATCH(Table1[[#This Row],[Key_Year_Week_Brand]],Table3[[#All],[Key_Year_Week_Brand]],0),MATCH(Table1[[#This Row],[DC_name_Xref]],Table3[#Headers],0)),0)</f>
        <v>0</v>
      </c>
      <c r="O1029">
        <f>IFERROR(INDEX(Table35[#All],MATCH(Table1[[#This Row],[Key_Year_Week_Brand]],Table35[[#All],[Key_Year_Month_Brand]],0),MATCH(Table1[[#This Row],[DC_name_Xref]],Table35[#Headers],0)),0)</f>
        <v>0</v>
      </c>
    </row>
    <row r="1030" spans="1:15" x14ac:dyDescent="0.3">
      <c r="A1030" s="19" t="str">
        <f>Table1[[#This Row],[Year_Week]]&amp;"-"&amp;Table1[[#This Row],[DC_name_Xref]]</f>
        <v>202247-OCC</v>
      </c>
      <c r="B1030" s="19" t="str">
        <f>Table1[[#This Row],[Fiscal_Year]]*100+Table1[[#This Row],[Fiscal_Week]] &amp; "-" &amp;Table1[[#This Row],[BRAND]]</f>
        <v>202247-Banana Republic</v>
      </c>
      <c r="C1030" t="str">
        <f>Table1[[#This Row],[Fiscal_Year]]&amp;"-"&amp;Table1[[#This Row],[BRAND]]</f>
        <v>2022-Banana Republic</v>
      </c>
      <c r="D1030">
        <v>2022</v>
      </c>
      <c r="E1030">
        <v>47</v>
      </c>
      <c r="F1030" t="s">
        <v>18</v>
      </c>
      <c r="G1030" t="s">
        <v>11</v>
      </c>
      <c r="H1030">
        <v>7</v>
      </c>
      <c r="I1030">
        <v>0</v>
      </c>
      <c r="J1030" t="str">
        <f>VLOOKUP(H1030,DC_Xref!A:B,2,FALSE)</f>
        <v>OCC</v>
      </c>
      <c r="K1030">
        <f t="shared" si="16"/>
        <v>202247</v>
      </c>
      <c r="L1030">
        <f>IFERROR(Table1[[#This Row],[Demand]]/SUMIFS(Table1[Demand],Table1[Fiscal_Year],Table1[[#This Row],[Fiscal_Year]],Table1[BRAND],Table1[[#This Row],[BRAND]],Table1[DC_name_Xref],Table1[[#This Row],[DC_name_Xref]]),0)</f>
        <v>0</v>
      </c>
      <c r="M10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30" s="3">
        <f>IFERROR(INDEX(Table3[#All],MATCH(Table1[[#This Row],[Key_Year_Week_Brand]],Table3[[#All],[Key_Year_Week_Brand]],0),MATCH(Table1[[#This Row],[DC_name_Xref]],Table3[#Headers],0)),0)</f>
        <v>0</v>
      </c>
      <c r="O1030">
        <f>IFERROR(INDEX(Table35[#All],MATCH(Table1[[#This Row],[Key_Year_Week_Brand]],Table35[[#All],[Key_Year_Month_Brand]],0),MATCH(Table1[[#This Row],[DC_name_Xref]],Table35[#Headers],0)),0)</f>
        <v>0</v>
      </c>
    </row>
    <row r="1031" spans="1:15" x14ac:dyDescent="0.3">
      <c r="A1031" s="19" t="str">
        <f>Table1[[#This Row],[Year_Week]]&amp;"-"&amp;Table1[[#This Row],[DC_name_Xref]]</f>
        <v>202247-OFC</v>
      </c>
      <c r="B1031" s="19" t="str">
        <f>Table1[[#This Row],[Fiscal_Year]]*100+Table1[[#This Row],[Fiscal_Week]] &amp; "-" &amp;Table1[[#This Row],[BRAND]]</f>
        <v>202247-Gap</v>
      </c>
      <c r="C1031" t="str">
        <f>Table1[[#This Row],[Fiscal_Year]]&amp;"-"&amp;Table1[[#This Row],[BRAND]]</f>
        <v>2022-Gap</v>
      </c>
      <c r="D1031">
        <v>2022</v>
      </c>
      <c r="E1031">
        <v>47</v>
      </c>
      <c r="F1031" t="s">
        <v>16</v>
      </c>
      <c r="G1031" t="s">
        <v>5</v>
      </c>
      <c r="H1031">
        <v>1</v>
      </c>
      <c r="I1031">
        <v>1096660</v>
      </c>
      <c r="J1031" t="str">
        <f>VLOOKUP(H1031,DC_Xref!A:B,2,FALSE)</f>
        <v>OFC</v>
      </c>
      <c r="K1031">
        <f t="shared" si="16"/>
        <v>202247</v>
      </c>
      <c r="L1031">
        <f>IFERROR(Table1[[#This Row],[Demand]]/SUMIFS(Table1[Demand],Table1[Fiscal_Year],Table1[[#This Row],[Fiscal_Year]],Table1[BRAND],Table1[[#This Row],[BRAND]],Table1[DC_name_Xref],Table1[[#This Row],[DC_name_Xref]]),0)</f>
        <v>9.4605373284303879E-2</v>
      </c>
      <c r="M10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0.66900253139543242</v>
      </c>
      <c r="N1031" s="3">
        <f>IFERROR(INDEX(Table3[#All],MATCH(Table1[[#This Row],[Key_Year_Week_Brand]],Table3[[#All],[Key_Year_Week_Brand]],0),MATCH(Table1[[#This Row],[DC_name_Xref]],Table3[#Headers],0)),0)</f>
        <v>0</v>
      </c>
      <c r="O1031">
        <f>IFERROR(INDEX(Table35[#All],MATCH(Table1[[#This Row],[Key_Year_Week_Brand]],Table35[[#All],[Key_Year_Month_Brand]],0),MATCH(Table1[[#This Row],[DC_name_Xref]],Table35[#Headers],0)),0)</f>
        <v>0</v>
      </c>
    </row>
    <row r="1032" spans="1:15" x14ac:dyDescent="0.3">
      <c r="A1032" s="19" t="str">
        <f>Table1[[#This Row],[Year_Week]]&amp;"-"&amp;Table1[[#This Row],[DC_name_Xref]]</f>
        <v>202247-TFC</v>
      </c>
      <c r="B1032" s="19" t="str">
        <f>Table1[[#This Row],[Fiscal_Year]]*100+Table1[[#This Row],[Fiscal_Week]] &amp; "-" &amp;Table1[[#This Row],[BRAND]]</f>
        <v>202247-Gap</v>
      </c>
      <c r="C1032" t="str">
        <f>Table1[[#This Row],[Fiscal_Year]]&amp;"-"&amp;Table1[[#This Row],[BRAND]]</f>
        <v>2022-Gap</v>
      </c>
      <c r="D1032">
        <v>2022</v>
      </c>
      <c r="E1032">
        <v>47</v>
      </c>
      <c r="F1032" t="s">
        <v>16</v>
      </c>
      <c r="G1032" t="s">
        <v>21</v>
      </c>
      <c r="H1032">
        <v>2</v>
      </c>
      <c r="I1032">
        <v>764</v>
      </c>
      <c r="J1032" t="str">
        <f>VLOOKUP(H1032,DC_Xref!A:B,2,FALSE)</f>
        <v>TFC</v>
      </c>
      <c r="K1032">
        <f t="shared" si="16"/>
        <v>202247</v>
      </c>
      <c r="L1032">
        <f>IFERROR(Table1[[#This Row],[Demand]]/SUMIFS(Table1[Demand],Table1[Fiscal_Year],Table1[[#This Row],[Fiscal_Year]],Table1[BRAND],Table1[[#This Row],[BRAND]],Table1[DC_name_Xref],Table1[[#This Row],[DC_name_Xref]]),0)</f>
        <v>0.36625119846596355</v>
      </c>
      <c r="M10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1.2038873904742382E-4</v>
      </c>
      <c r="N1032" s="3">
        <f>IFERROR(INDEX(Table3[#All],MATCH(Table1[[#This Row],[Key_Year_Week_Brand]],Table3[[#All],[Key_Year_Week_Brand]],0),MATCH(Table1[[#This Row],[DC_name_Xref]],Table3[#Headers],0)),0)</f>
        <v>0.25</v>
      </c>
      <c r="O1032">
        <f>IFERROR(INDEX(Table35[#All],MATCH(Table1[[#This Row],[Key_Year_Week_Brand]],Table35[[#All],[Key_Year_Month_Brand]],0),MATCH(Table1[[#This Row],[DC_name_Xref]],Table35[#Headers],0)),0)</f>
        <v>371330.5</v>
      </c>
    </row>
    <row r="1033" spans="1:15" x14ac:dyDescent="0.3">
      <c r="A1033" s="19" t="str">
        <f>Table1[[#This Row],[Year_Week]]&amp;"-"&amp;Table1[[#This Row],[DC_name_Xref]]</f>
        <v>202247-WFC</v>
      </c>
      <c r="B1033" s="19" t="str">
        <f>Table1[[#This Row],[Fiscal_Year]]*100+Table1[[#This Row],[Fiscal_Week]] &amp; "-" &amp;Table1[[#This Row],[BRAND]]</f>
        <v>202247-Gap</v>
      </c>
      <c r="C1033" t="str">
        <f>Table1[[#This Row],[Fiscal_Year]]&amp;"-"&amp;Table1[[#This Row],[BRAND]]</f>
        <v>2022-Gap</v>
      </c>
      <c r="D1033">
        <v>2022</v>
      </c>
      <c r="E1033">
        <v>47</v>
      </c>
      <c r="F1033" t="s">
        <v>16</v>
      </c>
      <c r="G1033" t="s">
        <v>7</v>
      </c>
      <c r="H1033">
        <v>3</v>
      </c>
      <c r="I1033">
        <v>56593</v>
      </c>
      <c r="J1033" t="str">
        <f>VLOOKUP(H1033,DC_Xref!A:B,2,FALSE)</f>
        <v>WFC</v>
      </c>
      <c r="K1033">
        <f t="shared" si="16"/>
        <v>202247</v>
      </c>
      <c r="L1033">
        <f>IFERROR(Table1[[#This Row],[Demand]]/SUMIFS(Table1[Demand],Table1[Fiscal_Year],Table1[[#This Row],[Fiscal_Year]],Table1[BRAND],Table1[[#This Row],[BRAND]],Table1[DC_name_Xref],Table1[[#This Row],[DC_name_Xref]]),0)</f>
        <v>0.13711703635504621</v>
      </c>
      <c r="M10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2.3820060503709717E-2</v>
      </c>
      <c r="N1033" s="3">
        <f>IFERROR(INDEX(Table3[#All],MATCH(Table1[[#This Row],[Key_Year_Week_Brand]],Table3[[#All],[Key_Year_Week_Brand]],0),MATCH(Table1[[#This Row],[DC_name_Xref]],Table3[#Headers],0)),0)</f>
        <v>0</v>
      </c>
      <c r="O1033">
        <f>IFERROR(INDEX(Table35[#All],MATCH(Table1[[#This Row],[Key_Year_Week_Brand]],Table35[[#All],[Key_Year_Month_Brand]],0),MATCH(Table1[[#This Row],[DC_name_Xref]],Table35[#Headers],0)),0)</f>
        <v>0</v>
      </c>
    </row>
    <row r="1034" spans="1:15" x14ac:dyDescent="0.3">
      <c r="A1034" s="19" t="str">
        <f>Table1[[#This Row],[Year_Week]]&amp;"-"&amp;Table1[[#This Row],[DC_name_Xref]]</f>
        <v>202247-EAO</v>
      </c>
      <c r="B1034" s="19" t="str">
        <f>Table1[[#This Row],[Fiscal_Year]]*100+Table1[[#This Row],[Fiscal_Week]] &amp; "-" &amp;Table1[[#This Row],[BRAND]]</f>
        <v>202247-Gap</v>
      </c>
      <c r="C1034" t="str">
        <f>Table1[[#This Row],[Fiscal_Year]]&amp;"-"&amp;Table1[[#This Row],[BRAND]]</f>
        <v>2022-Gap</v>
      </c>
      <c r="D1034">
        <v>2022</v>
      </c>
      <c r="E1034">
        <v>47</v>
      </c>
      <c r="F1034" t="s">
        <v>16</v>
      </c>
      <c r="G1034" t="s">
        <v>8</v>
      </c>
      <c r="H1034">
        <v>4</v>
      </c>
      <c r="I1034">
        <v>270</v>
      </c>
      <c r="J1034" t="str">
        <f>VLOOKUP(H1034,DC_Xref!A:B,2,FALSE)</f>
        <v>EAO</v>
      </c>
      <c r="K1034">
        <f t="shared" si="16"/>
        <v>202247</v>
      </c>
      <c r="L1034">
        <f>IFERROR(Table1[[#This Row],[Demand]]/SUMIFS(Table1[Demand],Table1[Fiscal_Year],Table1[[#This Row],[Fiscal_Year]],Table1[BRAND],Table1[[#This Row],[BRAND]],Table1[DC_name_Xref],Table1[[#This Row],[DC_name_Xref]]),0)</f>
        <v>0.12974531475252282</v>
      </c>
      <c r="M10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1.2010017543513372E-4</v>
      </c>
      <c r="N1034" s="3">
        <f>IFERROR(INDEX(Table3[#All],MATCH(Table1[[#This Row],[Key_Year_Week_Brand]],Table3[[#All],[Key_Year_Week_Brand]],0),MATCH(Table1[[#This Row],[DC_name_Xref]],Table3[#Headers],0)),0)</f>
        <v>0</v>
      </c>
      <c r="O1034">
        <f>IFERROR(INDEX(Table35[#All],MATCH(Table1[[#This Row],[Key_Year_Week_Brand]],Table35[[#All],[Key_Year_Month_Brand]],0),MATCH(Table1[[#This Row],[DC_name_Xref]],Table35[#Headers],0)),0)</f>
        <v>0</v>
      </c>
    </row>
    <row r="1035" spans="1:15" x14ac:dyDescent="0.3">
      <c r="A1035" s="19" t="str">
        <f>Table1[[#This Row],[Year_Week]]&amp;"-"&amp;Table1[[#This Row],[DC_name_Xref]]</f>
        <v>202247-FFC-ODC</v>
      </c>
      <c r="B1035" s="19" t="str">
        <f>Table1[[#This Row],[Fiscal_Year]]*100+Table1[[#This Row],[Fiscal_Week]] &amp; "-" &amp;Table1[[#This Row],[BRAND]]</f>
        <v>202247-Gap</v>
      </c>
      <c r="C1035" t="str">
        <f>Table1[[#This Row],[Fiscal_Year]]&amp;"-"&amp;Table1[[#This Row],[BRAND]]</f>
        <v>2022-Gap</v>
      </c>
      <c r="D1035">
        <v>2022</v>
      </c>
      <c r="E1035">
        <v>47</v>
      </c>
      <c r="F1035" t="s">
        <v>16</v>
      </c>
      <c r="G1035" t="s">
        <v>23</v>
      </c>
      <c r="H1035">
        <v>5</v>
      </c>
      <c r="I1035">
        <v>0</v>
      </c>
      <c r="J1035" t="str">
        <f>VLOOKUP(H1035,DC_Xref!A:B,2,FALSE)</f>
        <v>FFC-ODC</v>
      </c>
      <c r="K1035">
        <f t="shared" si="16"/>
        <v>202247</v>
      </c>
      <c r="L1035">
        <f>IFERROR(Table1[[#This Row],[Demand]]/SUMIFS(Table1[Demand],Table1[Fiscal_Year],Table1[[#This Row],[Fiscal_Year]],Table1[BRAND],Table1[[#This Row],[BRAND]],Table1[DC_name_Xref],Table1[[#This Row],[DC_name_Xref]]),0)</f>
        <v>0</v>
      </c>
      <c r="M10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35" s="3">
        <f>IFERROR(INDEX(Table3[#All],MATCH(Table1[[#This Row],[Key_Year_Week_Brand]],Table3[[#All],[Key_Year_Week_Brand]],0),MATCH(Table1[[#This Row],[DC_name_Xref]],Table3[#Headers],0)),0)</f>
        <v>0</v>
      </c>
      <c r="O1035">
        <f>IFERROR(INDEX(Table35[#All],MATCH(Table1[[#This Row],[Key_Year_Week_Brand]],Table35[[#All],[Key_Year_Month_Brand]],0),MATCH(Table1[[#This Row],[DC_name_Xref]],Table35[#Headers],0)),0)</f>
        <v>0</v>
      </c>
    </row>
    <row r="1036" spans="1:15" x14ac:dyDescent="0.3">
      <c r="A1036" s="19" t="str">
        <f>Table1[[#This Row],[Year_Week]]&amp;"-"&amp;Table1[[#This Row],[DC_name_Xref]]</f>
        <v>202247-WEO</v>
      </c>
      <c r="B1036" s="19" t="str">
        <f>Table1[[#This Row],[Fiscal_Year]]*100+Table1[[#This Row],[Fiscal_Week]] &amp; "-" &amp;Table1[[#This Row],[BRAND]]</f>
        <v>202247-Gap</v>
      </c>
      <c r="C1036" t="str">
        <f>Table1[[#This Row],[Fiscal_Year]]&amp;"-"&amp;Table1[[#This Row],[BRAND]]</f>
        <v>2022-Gap</v>
      </c>
      <c r="D1036">
        <v>2022</v>
      </c>
      <c r="E1036">
        <v>47</v>
      </c>
      <c r="F1036" t="s">
        <v>16</v>
      </c>
      <c r="G1036" t="s">
        <v>10</v>
      </c>
      <c r="H1036">
        <v>6</v>
      </c>
      <c r="I1036">
        <v>331035</v>
      </c>
      <c r="J1036" t="str">
        <f>VLOOKUP(H1036,DC_Xref!A:B,2,FALSE)</f>
        <v>WEO</v>
      </c>
      <c r="K1036">
        <f t="shared" si="16"/>
        <v>202247</v>
      </c>
      <c r="L1036">
        <f>IFERROR(Table1[[#This Row],[Demand]]/SUMIFS(Table1[Demand],Table1[Fiscal_Year],Table1[[#This Row],[Fiscal_Year]],Table1[BRAND],Table1[[#This Row],[BRAND]],Table1[DC_name_Xref],Table1[[#This Row],[DC_name_Xref]]),0)</f>
        <v>6.224383540935003E-2</v>
      </c>
      <c r="M10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0.30693691918637528</v>
      </c>
      <c r="N1036" s="3">
        <f>IFERROR(INDEX(Table3[#All],MATCH(Table1[[#This Row],[Key_Year_Week_Brand]],Table3[[#All],[Key_Year_Week_Brand]],0),MATCH(Table1[[#This Row],[DC_name_Xref]],Table3[#Headers],0)),0)</f>
        <v>0.45</v>
      </c>
      <c r="O1036">
        <f>IFERROR(INDEX(Table35[#All],MATCH(Table1[[#This Row],[Key_Year_Week_Brand]],Table35[[#All],[Key_Year_Month_Brand]],0),MATCH(Table1[[#This Row],[DC_name_Xref]],Table35[#Headers],0)),0)</f>
        <v>668394.9</v>
      </c>
    </row>
    <row r="1037" spans="1:15" x14ac:dyDescent="0.3">
      <c r="A1037" s="19" t="str">
        <f>Table1[[#This Row],[Year_Week]]&amp;"-"&amp;Table1[[#This Row],[DC_name_Xref]]</f>
        <v>202247-OCC</v>
      </c>
      <c r="B1037" s="19" t="str">
        <f>Table1[[#This Row],[Fiscal_Year]]*100+Table1[[#This Row],[Fiscal_Week]] &amp; "-" &amp;Table1[[#This Row],[BRAND]]</f>
        <v>202247-Gap</v>
      </c>
      <c r="C1037" t="str">
        <f>Table1[[#This Row],[Fiscal_Year]]&amp;"-"&amp;Table1[[#This Row],[BRAND]]</f>
        <v>2022-Gap</v>
      </c>
      <c r="D1037">
        <v>2022</v>
      </c>
      <c r="E1037">
        <v>47</v>
      </c>
      <c r="F1037" t="s">
        <v>16</v>
      </c>
      <c r="G1037" t="s">
        <v>11</v>
      </c>
      <c r="H1037">
        <v>7</v>
      </c>
      <c r="I1037">
        <v>0</v>
      </c>
      <c r="J1037" t="str">
        <f>VLOOKUP(H1037,DC_Xref!A:B,2,FALSE)</f>
        <v>OCC</v>
      </c>
      <c r="K1037">
        <f t="shared" si="16"/>
        <v>202247</v>
      </c>
      <c r="L1037">
        <f>IFERROR(Table1[[#This Row],[Demand]]/SUMIFS(Table1[Demand],Table1[Fiscal_Year],Table1[[#This Row],[Fiscal_Year]],Table1[BRAND],Table1[[#This Row],[BRAND]],Table1[DC_name_Xref],Table1[[#This Row],[DC_name_Xref]]),0)</f>
        <v>0</v>
      </c>
      <c r="M10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37" s="3">
        <f>IFERROR(INDEX(Table3[#All],MATCH(Table1[[#This Row],[Key_Year_Week_Brand]],Table3[[#All],[Key_Year_Week_Brand]],0),MATCH(Table1[[#This Row],[DC_name_Xref]],Table3[#Headers],0)),0)</f>
        <v>0.3</v>
      </c>
      <c r="O1037">
        <f>IFERROR(INDEX(Table35[#All],MATCH(Table1[[#This Row],[Key_Year_Week_Brand]],Table35[[#All],[Key_Year_Month_Brand]],0),MATCH(Table1[[#This Row],[DC_name_Xref]],Table35[#Headers],0)),0)</f>
        <v>445596.6</v>
      </c>
    </row>
    <row r="1038" spans="1:15" x14ac:dyDescent="0.3">
      <c r="A1038" s="19" t="str">
        <f>Table1[[#This Row],[Year_Week]]&amp;"-"&amp;Table1[[#This Row],[DC_name_Xref]]</f>
        <v>202247-OFC</v>
      </c>
      <c r="B1038" s="19" t="str">
        <f>Table1[[#This Row],[Fiscal_Year]]*100+Table1[[#This Row],[Fiscal_Week]] &amp; "-" &amp;Table1[[#This Row],[BRAND]]</f>
        <v>202247-Athleta</v>
      </c>
      <c r="C1038" t="str">
        <f>Table1[[#This Row],[Fiscal_Year]]&amp;"-"&amp;Table1[[#This Row],[BRAND]]</f>
        <v>2022-Athleta</v>
      </c>
      <c r="D1038">
        <v>2022</v>
      </c>
      <c r="E1038">
        <v>47</v>
      </c>
      <c r="F1038" t="s">
        <v>19</v>
      </c>
      <c r="G1038" t="s">
        <v>5</v>
      </c>
      <c r="H1038">
        <v>1</v>
      </c>
      <c r="I1038">
        <v>48270</v>
      </c>
      <c r="J1038" t="str">
        <f>VLOOKUP(H1038,DC_Xref!A:B,2,FALSE)</f>
        <v>OFC</v>
      </c>
      <c r="K1038">
        <f t="shared" si="16"/>
        <v>202247</v>
      </c>
      <c r="L1038">
        <f>IFERROR(Table1[[#This Row],[Demand]]/SUMIFS(Table1[Demand],Table1[Fiscal_Year],Table1[[#This Row],[Fiscal_Year]],Table1[BRAND],Table1[[#This Row],[BRAND]],Table1[DC_name_Xref],Table1[[#This Row],[DC_name_Xref]]),0)</f>
        <v>0.19106691894202679</v>
      </c>
      <c r="M10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0.10136873512375272</v>
      </c>
      <c r="N1038" s="3">
        <f>IFERROR(INDEX(Table3[#All],MATCH(Table1[[#This Row],[Key_Year_Week_Brand]],Table3[[#All],[Key_Year_Week_Brand]],0),MATCH(Table1[[#This Row],[DC_name_Xref]],Table3[#Headers],0)),0)</f>
        <v>0</v>
      </c>
      <c r="O1038">
        <f>IFERROR(INDEX(Table35[#All],MATCH(Table1[[#This Row],[Key_Year_Week_Brand]],Table35[[#All],[Key_Year_Month_Brand]],0),MATCH(Table1[[#This Row],[DC_name_Xref]],Table35[#Headers],0)),0)</f>
        <v>0</v>
      </c>
    </row>
    <row r="1039" spans="1:15" x14ac:dyDescent="0.3">
      <c r="A1039" s="19" t="str">
        <f>Table1[[#This Row],[Year_Week]]&amp;"-"&amp;Table1[[#This Row],[DC_name_Xref]]</f>
        <v>202247-TFC</v>
      </c>
      <c r="B1039" s="19" t="str">
        <f>Table1[[#This Row],[Fiscal_Year]]*100+Table1[[#This Row],[Fiscal_Week]] &amp; "-" &amp;Table1[[#This Row],[BRAND]]</f>
        <v>202247-Athleta</v>
      </c>
      <c r="C1039" t="str">
        <f>Table1[[#This Row],[Fiscal_Year]]&amp;"-"&amp;Table1[[#This Row],[BRAND]]</f>
        <v>2022-Athleta</v>
      </c>
      <c r="D1039">
        <v>2022</v>
      </c>
      <c r="E1039">
        <v>47</v>
      </c>
      <c r="F1039" t="s">
        <v>19</v>
      </c>
      <c r="G1039" t="s">
        <v>21</v>
      </c>
      <c r="H1039">
        <v>2</v>
      </c>
      <c r="I1039">
        <v>406125</v>
      </c>
      <c r="J1039" t="str">
        <f>VLOOKUP(H1039,DC_Xref!A:B,2,FALSE)</f>
        <v>TFC</v>
      </c>
      <c r="K1039">
        <f t="shared" si="16"/>
        <v>202247</v>
      </c>
      <c r="L1039">
        <f>IFERROR(Table1[[#This Row],[Demand]]/SUMIFS(Table1[Demand],Table1[Fiscal_Year],Table1[[#This Row],[Fiscal_Year]],Table1[BRAND],Table1[[#This Row],[BRAND]],Table1[DC_name_Xref],Table1[[#This Row],[DC_name_Xref]]),0)</f>
        <v>0.18134563484479627</v>
      </c>
      <c r="M10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0.898596757600027</v>
      </c>
      <c r="N1039" s="3">
        <f>IFERROR(INDEX(Table3[#All],MATCH(Table1[[#This Row],[Key_Year_Week_Brand]],Table3[[#All],[Key_Year_Week_Brand]],0),MATCH(Table1[[#This Row],[DC_name_Xref]],Table3[#Headers],0)),0)</f>
        <v>1</v>
      </c>
      <c r="O1039">
        <f>IFERROR(INDEX(Table35[#All],MATCH(Table1[[#This Row],[Key_Year_Week_Brand]],Table35[[#All],[Key_Year_Month_Brand]],0),MATCH(Table1[[#This Row],[DC_name_Xref]],Table35[#Headers],0)),0)</f>
        <v>454395</v>
      </c>
    </row>
    <row r="1040" spans="1:15" x14ac:dyDescent="0.3">
      <c r="A1040" s="19" t="str">
        <f>Table1[[#This Row],[Year_Week]]&amp;"-"&amp;Table1[[#This Row],[DC_name_Xref]]</f>
        <v>202247-WFC</v>
      </c>
      <c r="B1040" s="19" t="str">
        <f>Table1[[#This Row],[Fiscal_Year]]*100+Table1[[#This Row],[Fiscal_Week]] &amp; "-" &amp;Table1[[#This Row],[BRAND]]</f>
        <v>202247-Athleta</v>
      </c>
      <c r="C1040" t="str">
        <f>Table1[[#This Row],[Fiscal_Year]]&amp;"-"&amp;Table1[[#This Row],[BRAND]]</f>
        <v>2022-Athleta</v>
      </c>
      <c r="D1040">
        <v>2022</v>
      </c>
      <c r="E1040">
        <v>47</v>
      </c>
      <c r="F1040" t="s">
        <v>19</v>
      </c>
      <c r="G1040" t="s">
        <v>7</v>
      </c>
      <c r="H1040">
        <v>3</v>
      </c>
      <c r="I1040">
        <v>0</v>
      </c>
      <c r="J1040" t="str">
        <f>VLOOKUP(H1040,DC_Xref!A:B,2,FALSE)</f>
        <v>WFC</v>
      </c>
      <c r="K1040">
        <f t="shared" si="16"/>
        <v>202247</v>
      </c>
      <c r="L1040">
        <f>IFERROR(Table1[[#This Row],[Demand]]/SUMIFS(Table1[Demand],Table1[Fiscal_Year],Table1[[#This Row],[Fiscal_Year]],Table1[BRAND],Table1[[#This Row],[BRAND]],Table1[DC_name_Xref],Table1[[#This Row],[DC_name_Xref]]),0)</f>
        <v>0</v>
      </c>
      <c r="M10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0" s="3">
        <f>IFERROR(INDEX(Table3[#All],MATCH(Table1[[#This Row],[Key_Year_Week_Brand]],Table3[[#All],[Key_Year_Week_Brand]],0),MATCH(Table1[[#This Row],[DC_name_Xref]],Table3[#Headers],0)),0)</f>
        <v>0</v>
      </c>
      <c r="O1040">
        <f>IFERROR(INDEX(Table35[#All],MATCH(Table1[[#This Row],[Key_Year_Week_Brand]],Table35[[#All],[Key_Year_Month_Brand]],0),MATCH(Table1[[#This Row],[DC_name_Xref]],Table35[#Headers],0)),0)</f>
        <v>0</v>
      </c>
    </row>
    <row r="1041" spans="1:15" x14ac:dyDescent="0.3">
      <c r="A1041" s="19" t="str">
        <f>Table1[[#This Row],[Year_Week]]&amp;"-"&amp;Table1[[#This Row],[DC_name_Xref]]</f>
        <v>202247-EAO</v>
      </c>
      <c r="B1041" s="19" t="str">
        <f>Table1[[#This Row],[Fiscal_Year]]*100+Table1[[#This Row],[Fiscal_Week]] &amp; "-" &amp;Table1[[#This Row],[BRAND]]</f>
        <v>202247-Athleta</v>
      </c>
      <c r="C1041" t="str">
        <f>Table1[[#This Row],[Fiscal_Year]]&amp;"-"&amp;Table1[[#This Row],[BRAND]]</f>
        <v>2022-Athleta</v>
      </c>
      <c r="D1041">
        <v>2022</v>
      </c>
      <c r="E1041">
        <v>47</v>
      </c>
      <c r="F1041" t="s">
        <v>19</v>
      </c>
      <c r="G1041" t="s">
        <v>8</v>
      </c>
      <c r="H1041">
        <v>4</v>
      </c>
      <c r="I1041">
        <v>0</v>
      </c>
      <c r="J1041" t="str">
        <f>VLOOKUP(H1041,DC_Xref!A:B,2,FALSE)</f>
        <v>EAO</v>
      </c>
      <c r="K1041">
        <f t="shared" si="16"/>
        <v>202247</v>
      </c>
      <c r="L1041">
        <f>IFERROR(Table1[[#This Row],[Demand]]/SUMIFS(Table1[Demand],Table1[Fiscal_Year],Table1[[#This Row],[Fiscal_Year]],Table1[BRAND],Table1[[#This Row],[BRAND]],Table1[DC_name_Xref],Table1[[#This Row],[DC_name_Xref]]),0)</f>
        <v>0</v>
      </c>
      <c r="M10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3.4507276220313712E-5</v>
      </c>
      <c r="N1041" s="3">
        <f>IFERROR(INDEX(Table3[#All],MATCH(Table1[[#This Row],[Key_Year_Week_Brand]],Table3[[#All],[Key_Year_Week_Brand]],0),MATCH(Table1[[#This Row],[DC_name_Xref]],Table3[#Headers],0)),0)</f>
        <v>3.447122356821831E-5</v>
      </c>
      <c r="O1041">
        <f>IFERROR(INDEX(Table35[#All],MATCH(Table1[[#This Row],[Key_Year_Week_Brand]],Table35[[#All],[Key_Year_Month_Brand]],0),MATCH(Table1[[#This Row],[DC_name_Xref]],Table35[#Headers],0)),0)</f>
        <v>15.663551633280559</v>
      </c>
    </row>
    <row r="1042" spans="1:15" x14ac:dyDescent="0.3">
      <c r="A1042" s="19" t="str">
        <f>Table1[[#This Row],[Year_Week]]&amp;"-"&amp;Table1[[#This Row],[DC_name_Xref]]</f>
        <v>202247-FFC-ODC</v>
      </c>
      <c r="B1042" s="19" t="str">
        <f>Table1[[#This Row],[Fiscal_Year]]*100+Table1[[#This Row],[Fiscal_Week]] &amp; "-" &amp;Table1[[#This Row],[BRAND]]</f>
        <v>202247-Athleta</v>
      </c>
      <c r="C1042" t="str">
        <f>Table1[[#This Row],[Fiscal_Year]]&amp;"-"&amp;Table1[[#This Row],[BRAND]]</f>
        <v>2022-Athleta</v>
      </c>
      <c r="D1042">
        <v>2022</v>
      </c>
      <c r="E1042">
        <v>47</v>
      </c>
      <c r="F1042" t="s">
        <v>19</v>
      </c>
      <c r="G1042" t="s">
        <v>23</v>
      </c>
      <c r="H1042">
        <v>5</v>
      </c>
      <c r="I1042">
        <v>0</v>
      </c>
      <c r="J1042" t="str">
        <f>VLOOKUP(H1042,DC_Xref!A:B,2,FALSE)</f>
        <v>FFC-ODC</v>
      </c>
      <c r="K1042">
        <f t="shared" si="16"/>
        <v>202247</v>
      </c>
      <c r="L1042">
        <f>IFERROR(Table1[[#This Row],[Demand]]/SUMIFS(Table1[Demand],Table1[Fiscal_Year],Table1[[#This Row],[Fiscal_Year]],Table1[BRAND],Table1[[#This Row],[BRAND]],Table1[DC_name_Xref],Table1[[#This Row],[DC_name_Xref]]),0)</f>
        <v>0</v>
      </c>
      <c r="M10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2" s="3">
        <f>IFERROR(INDEX(Table3[#All],MATCH(Table1[[#This Row],[Key_Year_Week_Brand]],Table3[[#All],[Key_Year_Week_Brand]],0),MATCH(Table1[[#This Row],[DC_name_Xref]],Table3[#Headers],0)),0)</f>
        <v>0</v>
      </c>
      <c r="O1042">
        <f>IFERROR(INDEX(Table35[#All],MATCH(Table1[[#This Row],[Key_Year_Week_Brand]],Table35[[#All],[Key_Year_Month_Brand]],0),MATCH(Table1[[#This Row],[DC_name_Xref]],Table35[#Headers],0)),0)</f>
        <v>0</v>
      </c>
    </row>
    <row r="1043" spans="1:15" x14ac:dyDescent="0.3">
      <c r="A1043" s="19" t="str">
        <f>Table1[[#This Row],[Year_Week]]&amp;"-"&amp;Table1[[#This Row],[DC_name_Xref]]</f>
        <v>202247-WEO</v>
      </c>
      <c r="B1043" s="19" t="str">
        <f>Table1[[#This Row],[Fiscal_Year]]*100+Table1[[#This Row],[Fiscal_Week]] &amp; "-" &amp;Table1[[#This Row],[BRAND]]</f>
        <v>202247-Athleta</v>
      </c>
      <c r="C1043" t="str">
        <f>Table1[[#This Row],[Fiscal_Year]]&amp;"-"&amp;Table1[[#This Row],[BRAND]]</f>
        <v>2022-Athleta</v>
      </c>
      <c r="D1043">
        <v>2022</v>
      </c>
      <c r="E1043">
        <v>47</v>
      </c>
      <c r="F1043" t="s">
        <v>19</v>
      </c>
      <c r="G1043" t="s">
        <v>10</v>
      </c>
      <c r="H1043">
        <v>6</v>
      </c>
      <c r="I1043">
        <v>0</v>
      </c>
      <c r="J1043" t="str">
        <f>VLOOKUP(H1043,DC_Xref!A:B,2,FALSE)</f>
        <v>WEO</v>
      </c>
      <c r="K1043">
        <f t="shared" si="16"/>
        <v>202247</v>
      </c>
      <c r="L1043">
        <f>IFERROR(Table1[[#This Row],[Demand]]/SUMIFS(Table1[Demand],Table1[Fiscal_Year],Table1[[#This Row],[Fiscal_Year]],Table1[BRAND],Table1[[#This Row],[BRAND]],Table1[DC_name_Xref],Table1[[#This Row],[DC_name_Xref]]),0)</f>
        <v>0</v>
      </c>
      <c r="M10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3" s="3">
        <f>IFERROR(INDEX(Table3[#All],MATCH(Table1[[#This Row],[Key_Year_Week_Brand]],Table3[[#All],[Key_Year_Week_Brand]],0),MATCH(Table1[[#This Row],[DC_name_Xref]],Table3[#Headers],0)),0)</f>
        <v>0</v>
      </c>
      <c r="O1043">
        <f>IFERROR(INDEX(Table35[#All],MATCH(Table1[[#This Row],[Key_Year_Week_Brand]],Table35[[#All],[Key_Year_Month_Brand]],0),MATCH(Table1[[#This Row],[DC_name_Xref]],Table35[#Headers],0)),0)</f>
        <v>0</v>
      </c>
    </row>
    <row r="1044" spans="1:15" x14ac:dyDescent="0.3">
      <c r="A1044" s="19" t="str">
        <f>Table1[[#This Row],[Year_Week]]&amp;"-"&amp;Table1[[#This Row],[DC_name_Xref]]</f>
        <v>202247-OCC</v>
      </c>
      <c r="B1044" s="19" t="str">
        <f>Table1[[#This Row],[Fiscal_Year]]*100+Table1[[#This Row],[Fiscal_Week]] &amp; "-" &amp;Table1[[#This Row],[BRAND]]</f>
        <v>202247-Athleta</v>
      </c>
      <c r="C1044" t="str">
        <f>Table1[[#This Row],[Fiscal_Year]]&amp;"-"&amp;Table1[[#This Row],[BRAND]]</f>
        <v>2022-Athleta</v>
      </c>
      <c r="D1044">
        <v>2022</v>
      </c>
      <c r="E1044">
        <v>47</v>
      </c>
      <c r="F1044" t="s">
        <v>19</v>
      </c>
      <c r="G1044" t="s">
        <v>11</v>
      </c>
      <c r="H1044">
        <v>7</v>
      </c>
      <c r="I1044">
        <v>0</v>
      </c>
      <c r="J1044" t="str">
        <f>VLOOKUP(H1044,DC_Xref!A:B,2,FALSE)</f>
        <v>OCC</v>
      </c>
      <c r="K1044">
        <f t="shared" si="16"/>
        <v>202247</v>
      </c>
      <c r="L1044">
        <f>IFERROR(Table1[[#This Row],[Demand]]/SUMIFS(Table1[Demand],Table1[Fiscal_Year],Table1[[#This Row],[Fiscal_Year]],Table1[BRAND],Table1[[#This Row],[BRAND]],Table1[DC_name_Xref],Table1[[#This Row],[DC_name_Xref]]),0)</f>
        <v>0</v>
      </c>
      <c r="M10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4" s="3">
        <f>IFERROR(INDEX(Table3[#All],MATCH(Table1[[#This Row],[Key_Year_Week_Brand]],Table3[[#All],[Key_Year_Week_Brand]],0),MATCH(Table1[[#This Row],[DC_name_Xref]],Table3[#Headers],0)),0)</f>
        <v>0</v>
      </c>
      <c r="O1044">
        <f>IFERROR(INDEX(Table35[#All],MATCH(Table1[[#This Row],[Key_Year_Week_Brand]],Table35[[#All],[Key_Year_Month_Brand]],0),MATCH(Table1[[#This Row],[DC_name_Xref]],Table35[#Headers],0)),0)</f>
        <v>0</v>
      </c>
    </row>
    <row r="1045" spans="1:15" x14ac:dyDescent="0.3">
      <c r="A1045" s="19" t="str">
        <f>Table1[[#This Row],[Year_Week]]&amp;"-"&amp;Table1[[#This Row],[DC_name_Xref]]</f>
        <v>202247-OFC</v>
      </c>
      <c r="B1045" s="19" t="str">
        <f>Table1[[#This Row],[Fiscal_Year]]*100+Table1[[#This Row],[Fiscal_Week]] &amp; "-" &amp;Table1[[#This Row],[BRAND]]</f>
        <v>202247-BR Factory Store</v>
      </c>
      <c r="C1045" t="str">
        <f>Table1[[#This Row],[Fiscal_Year]]&amp;"-"&amp;Table1[[#This Row],[BRAND]]</f>
        <v>2022-BR Factory Store</v>
      </c>
      <c r="D1045">
        <v>2022</v>
      </c>
      <c r="E1045">
        <v>47</v>
      </c>
      <c r="F1045" t="s">
        <v>17</v>
      </c>
      <c r="G1045" t="s">
        <v>5</v>
      </c>
      <c r="H1045">
        <v>1</v>
      </c>
      <c r="I1045">
        <v>218330</v>
      </c>
      <c r="J1045" t="str">
        <f>VLOOKUP(H1045,DC_Xref!A:B,2,FALSE)</f>
        <v>OFC</v>
      </c>
      <c r="K1045">
        <f t="shared" si="16"/>
        <v>202247</v>
      </c>
      <c r="L1045">
        <f>IFERROR(Table1[[#This Row],[Demand]]/SUMIFS(Table1[Demand],Table1[Fiscal_Year],Table1[[#This Row],[Fiscal_Year]],Table1[BRAND],Table1[[#This Row],[BRAND]],Table1[DC_name_Xref],Table1[[#This Row],[DC_name_Xref]]),0)</f>
        <v>9.4317900529239496E-2</v>
      </c>
      <c r="M10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045" s="3">
        <f>IFERROR(INDEX(Table3[#All],MATCH(Table1[[#This Row],[Key_Year_Week_Brand]],Table3[[#All],[Key_Year_Week_Brand]],0),MATCH(Table1[[#This Row],[DC_name_Xref]],Table3[#Headers],0)),0)</f>
        <v>1</v>
      </c>
      <c r="O1045">
        <f>IFERROR(INDEX(Table35[#All],MATCH(Table1[[#This Row],[Key_Year_Week_Brand]],Table35[[#All],[Key_Year_Month_Brand]],0),MATCH(Table1[[#This Row],[DC_name_Xref]],Table35[#Headers],0)),0)</f>
        <v>218330</v>
      </c>
    </row>
    <row r="1046" spans="1:15" x14ac:dyDescent="0.3">
      <c r="A1046" s="19" t="str">
        <f>Table1[[#This Row],[Year_Week]]&amp;"-"&amp;Table1[[#This Row],[DC_name_Xref]]</f>
        <v>202247-TFC</v>
      </c>
      <c r="B1046" s="19" t="str">
        <f>Table1[[#This Row],[Fiscal_Year]]*100+Table1[[#This Row],[Fiscal_Week]] &amp; "-" &amp;Table1[[#This Row],[BRAND]]</f>
        <v>202247-BR Factory Store</v>
      </c>
      <c r="C1046" t="str">
        <f>Table1[[#This Row],[Fiscal_Year]]&amp;"-"&amp;Table1[[#This Row],[BRAND]]</f>
        <v>2022-BR Factory Store</v>
      </c>
      <c r="D1046">
        <v>2022</v>
      </c>
      <c r="E1046">
        <v>47</v>
      </c>
      <c r="F1046" t="s">
        <v>17</v>
      </c>
      <c r="G1046" t="s">
        <v>21</v>
      </c>
      <c r="H1046">
        <v>2</v>
      </c>
      <c r="I1046">
        <v>0</v>
      </c>
      <c r="J1046" t="str">
        <f>VLOOKUP(H1046,DC_Xref!A:B,2,FALSE)</f>
        <v>TFC</v>
      </c>
      <c r="K1046">
        <f t="shared" si="16"/>
        <v>202247</v>
      </c>
      <c r="L1046">
        <f>IFERROR(Table1[[#This Row],[Demand]]/SUMIFS(Table1[Demand],Table1[Fiscal_Year],Table1[[#This Row],[Fiscal_Year]],Table1[BRAND],Table1[[#This Row],[BRAND]],Table1[DC_name_Xref],Table1[[#This Row],[DC_name_Xref]]),0)</f>
        <v>0</v>
      </c>
      <c r="M10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6" s="3">
        <f>IFERROR(INDEX(Table3[#All],MATCH(Table1[[#This Row],[Key_Year_Week_Brand]],Table3[[#All],[Key_Year_Week_Brand]],0),MATCH(Table1[[#This Row],[DC_name_Xref]],Table3[#Headers],0)),0)</f>
        <v>0</v>
      </c>
      <c r="O1046">
        <f>IFERROR(INDEX(Table35[#All],MATCH(Table1[[#This Row],[Key_Year_Week_Brand]],Table35[[#All],[Key_Year_Month_Brand]],0),MATCH(Table1[[#This Row],[DC_name_Xref]],Table35[#Headers],0)),0)</f>
        <v>0</v>
      </c>
    </row>
    <row r="1047" spans="1:15" x14ac:dyDescent="0.3">
      <c r="A1047" s="19" t="str">
        <f>Table1[[#This Row],[Year_Week]]&amp;"-"&amp;Table1[[#This Row],[DC_name_Xref]]</f>
        <v>202247-WFC</v>
      </c>
      <c r="B1047" s="19" t="str">
        <f>Table1[[#This Row],[Fiscal_Year]]*100+Table1[[#This Row],[Fiscal_Week]] &amp; "-" &amp;Table1[[#This Row],[BRAND]]</f>
        <v>202247-BR Factory Store</v>
      </c>
      <c r="C1047" t="str">
        <f>Table1[[#This Row],[Fiscal_Year]]&amp;"-"&amp;Table1[[#This Row],[BRAND]]</f>
        <v>2022-BR Factory Store</v>
      </c>
      <c r="D1047">
        <v>2022</v>
      </c>
      <c r="E1047">
        <v>47</v>
      </c>
      <c r="F1047" t="s">
        <v>17</v>
      </c>
      <c r="G1047" t="s">
        <v>7</v>
      </c>
      <c r="H1047">
        <v>3</v>
      </c>
      <c r="I1047">
        <v>0</v>
      </c>
      <c r="J1047" t="str">
        <f>VLOOKUP(H1047,DC_Xref!A:B,2,FALSE)</f>
        <v>WFC</v>
      </c>
      <c r="K1047">
        <f t="shared" si="16"/>
        <v>202247</v>
      </c>
      <c r="L1047">
        <f>IFERROR(Table1[[#This Row],[Demand]]/SUMIFS(Table1[Demand],Table1[Fiscal_Year],Table1[[#This Row],[Fiscal_Year]],Table1[BRAND],Table1[[#This Row],[BRAND]],Table1[DC_name_Xref],Table1[[#This Row],[DC_name_Xref]]),0)</f>
        <v>0</v>
      </c>
      <c r="M10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7" s="3">
        <f>IFERROR(INDEX(Table3[#All],MATCH(Table1[[#This Row],[Key_Year_Week_Brand]],Table3[[#All],[Key_Year_Week_Brand]],0),MATCH(Table1[[#This Row],[DC_name_Xref]],Table3[#Headers],0)),0)</f>
        <v>0</v>
      </c>
      <c r="O1047">
        <f>IFERROR(INDEX(Table35[#All],MATCH(Table1[[#This Row],[Key_Year_Week_Brand]],Table35[[#All],[Key_Year_Month_Brand]],0),MATCH(Table1[[#This Row],[DC_name_Xref]],Table35[#Headers],0)),0)</f>
        <v>0</v>
      </c>
    </row>
    <row r="1048" spans="1:15" x14ac:dyDescent="0.3">
      <c r="A1048" s="19" t="str">
        <f>Table1[[#This Row],[Year_Week]]&amp;"-"&amp;Table1[[#This Row],[DC_name_Xref]]</f>
        <v>202247-EAO</v>
      </c>
      <c r="B1048" s="19" t="str">
        <f>Table1[[#This Row],[Fiscal_Year]]*100+Table1[[#This Row],[Fiscal_Week]] &amp; "-" &amp;Table1[[#This Row],[BRAND]]</f>
        <v>202247-BR Factory Store</v>
      </c>
      <c r="C1048" t="str">
        <f>Table1[[#This Row],[Fiscal_Year]]&amp;"-"&amp;Table1[[#This Row],[BRAND]]</f>
        <v>2022-BR Factory Store</v>
      </c>
      <c r="D1048">
        <v>2022</v>
      </c>
      <c r="E1048">
        <v>47</v>
      </c>
      <c r="F1048" t="s">
        <v>17</v>
      </c>
      <c r="G1048" t="s">
        <v>8</v>
      </c>
      <c r="H1048">
        <v>4</v>
      </c>
      <c r="I1048">
        <v>0</v>
      </c>
      <c r="J1048" t="str">
        <f>VLOOKUP(H1048,DC_Xref!A:B,2,FALSE)</f>
        <v>EAO</v>
      </c>
      <c r="K1048">
        <f t="shared" si="16"/>
        <v>202247</v>
      </c>
      <c r="L1048">
        <f>IFERROR(Table1[[#This Row],[Demand]]/SUMIFS(Table1[Demand],Table1[Fiscal_Year],Table1[[#This Row],[Fiscal_Year]],Table1[BRAND],Table1[[#This Row],[BRAND]],Table1[DC_name_Xref],Table1[[#This Row],[DC_name_Xref]]),0)</f>
        <v>0</v>
      </c>
      <c r="M10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8" s="3">
        <f>IFERROR(INDEX(Table3[#All],MATCH(Table1[[#This Row],[Key_Year_Week_Brand]],Table3[[#All],[Key_Year_Week_Brand]],0),MATCH(Table1[[#This Row],[DC_name_Xref]],Table3[#Headers],0)),0)</f>
        <v>0</v>
      </c>
      <c r="O1048">
        <f>IFERROR(INDEX(Table35[#All],MATCH(Table1[[#This Row],[Key_Year_Week_Brand]],Table35[[#All],[Key_Year_Month_Brand]],0),MATCH(Table1[[#This Row],[DC_name_Xref]],Table35[#Headers],0)),0)</f>
        <v>0</v>
      </c>
    </row>
    <row r="1049" spans="1:15" x14ac:dyDescent="0.3">
      <c r="A1049" s="19" t="str">
        <f>Table1[[#This Row],[Year_Week]]&amp;"-"&amp;Table1[[#This Row],[DC_name_Xref]]</f>
        <v>202247-FFC-ODC</v>
      </c>
      <c r="B1049" s="19" t="str">
        <f>Table1[[#This Row],[Fiscal_Year]]*100+Table1[[#This Row],[Fiscal_Week]] &amp; "-" &amp;Table1[[#This Row],[BRAND]]</f>
        <v>202247-BR Factory Store</v>
      </c>
      <c r="C1049" t="str">
        <f>Table1[[#This Row],[Fiscal_Year]]&amp;"-"&amp;Table1[[#This Row],[BRAND]]</f>
        <v>2022-BR Factory Store</v>
      </c>
      <c r="D1049">
        <v>2022</v>
      </c>
      <c r="E1049">
        <v>47</v>
      </c>
      <c r="F1049" t="s">
        <v>17</v>
      </c>
      <c r="G1049" t="s">
        <v>23</v>
      </c>
      <c r="H1049">
        <v>5</v>
      </c>
      <c r="I1049">
        <v>0</v>
      </c>
      <c r="J1049" t="str">
        <f>VLOOKUP(H1049,DC_Xref!A:B,2,FALSE)</f>
        <v>FFC-ODC</v>
      </c>
      <c r="K1049">
        <f t="shared" si="16"/>
        <v>202247</v>
      </c>
      <c r="L1049">
        <f>IFERROR(Table1[[#This Row],[Demand]]/SUMIFS(Table1[Demand],Table1[Fiscal_Year],Table1[[#This Row],[Fiscal_Year]],Table1[BRAND],Table1[[#This Row],[BRAND]],Table1[DC_name_Xref],Table1[[#This Row],[DC_name_Xref]]),0)</f>
        <v>0</v>
      </c>
      <c r="M10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49" s="3">
        <f>IFERROR(INDEX(Table3[#All],MATCH(Table1[[#This Row],[Key_Year_Week_Brand]],Table3[[#All],[Key_Year_Week_Brand]],0),MATCH(Table1[[#This Row],[DC_name_Xref]],Table3[#Headers],0)),0)</f>
        <v>0</v>
      </c>
      <c r="O1049">
        <f>IFERROR(INDEX(Table35[#All],MATCH(Table1[[#This Row],[Key_Year_Week_Brand]],Table35[[#All],[Key_Year_Month_Brand]],0),MATCH(Table1[[#This Row],[DC_name_Xref]],Table35[#Headers],0)),0)</f>
        <v>0</v>
      </c>
    </row>
    <row r="1050" spans="1:15" x14ac:dyDescent="0.3">
      <c r="A1050" s="19" t="str">
        <f>Table1[[#This Row],[Year_Week]]&amp;"-"&amp;Table1[[#This Row],[DC_name_Xref]]</f>
        <v>202247-WEO</v>
      </c>
      <c r="B1050" s="19" t="str">
        <f>Table1[[#This Row],[Fiscal_Year]]*100+Table1[[#This Row],[Fiscal_Week]] &amp; "-" &amp;Table1[[#This Row],[BRAND]]</f>
        <v>202247-BR Factory Store</v>
      </c>
      <c r="C1050" t="str">
        <f>Table1[[#This Row],[Fiscal_Year]]&amp;"-"&amp;Table1[[#This Row],[BRAND]]</f>
        <v>2022-BR Factory Store</v>
      </c>
      <c r="D1050">
        <v>2022</v>
      </c>
      <c r="E1050">
        <v>47</v>
      </c>
      <c r="F1050" t="s">
        <v>17</v>
      </c>
      <c r="G1050" t="s">
        <v>10</v>
      </c>
      <c r="H1050">
        <v>6</v>
      </c>
      <c r="I1050">
        <v>0</v>
      </c>
      <c r="J1050" t="str">
        <f>VLOOKUP(H1050,DC_Xref!A:B,2,FALSE)</f>
        <v>WEO</v>
      </c>
      <c r="K1050">
        <f t="shared" si="16"/>
        <v>202247</v>
      </c>
      <c r="L1050">
        <f>IFERROR(Table1[[#This Row],[Demand]]/SUMIFS(Table1[Demand],Table1[Fiscal_Year],Table1[[#This Row],[Fiscal_Year]],Table1[BRAND],Table1[[#This Row],[BRAND]],Table1[DC_name_Xref],Table1[[#This Row],[DC_name_Xref]]),0)</f>
        <v>0</v>
      </c>
      <c r="M10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50" s="3">
        <f>IFERROR(INDEX(Table3[#All],MATCH(Table1[[#This Row],[Key_Year_Week_Brand]],Table3[[#All],[Key_Year_Week_Brand]],0),MATCH(Table1[[#This Row],[DC_name_Xref]],Table3[#Headers],0)),0)</f>
        <v>0</v>
      </c>
      <c r="O1050">
        <f>IFERROR(INDEX(Table35[#All],MATCH(Table1[[#This Row],[Key_Year_Week_Brand]],Table35[[#All],[Key_Year_Month_Brand]],0),MATCH(Table1[[#This Row],[DC_name_Xref]],Table35[#Headers],0)),0)</f>
        <v>0</v>
      </c>
    </row>
    <row r="1051" spans="1:15" x14ac:dyDescent="0.3">
      <c r="A1051" s="19" t="str">
        <f>Table1[[#This Row],[Year_Week]]&amp;"-"&amp;Table1[[#This Row],[DC_name_Xref]]</f>
        <v>202247-OCC</v>
      </c>
      <c r="B1051" s="19" t="str">
        <f>Table1[[#This Row],[Fiscal_Year]]*100+Table1[[#This Row],[Fiscal_Week]] &amp; "-" &amp;Table1[[#This Row],[BRAND]]</f>
        <v>202247-BR Factory Store</v>
      </c>
      <c r="C1051" t="str">
        <f>Table1[[#This Row],[Fiscal_Year]]&amp;"-"&amp;Table1[[#This Row],[BRAND]]</f>
        <v>2022-BR Factory Store</v>
      </c>
      <c r="D1051">
        <v>2022</v>
      </c>
      <c r="E1051">
        <v>47</v>
      </c>
      <c r="F1051" t="s">
        <v>17</v>
      </c>
      <c r="G1051" t="s">
        <v>11</v>
      </c>
      <c r="H1051">
        <v>7</v>
      </c>
      <c r="I1051">
        <v>0</v>
      </c>
      <c r="J1051" t="str">
        <f>VLOOKUP(H1051,DC_Xref!A:B,2,FALSE)</f>
        <v>OCC</v>
      </c>
      <c r="K1051">
        <f t="shared" si="16"/>
        <v>202247</v>
      </c>
      <c r="L1051">
        <f>IFERROR(Table1[[#This Row],[Demand]]/SUMIFS(Table1[Demand],Table1[Fiscal_Year],Table1[[#This Row],[Fiscal_Year]],Table1[BRAND],Table1[[#This Row],[BRAND]],Table1[DC_name_Xref],Table1[[#This Row],[DC_name_Xref]]),0)</f>
        <v>0</v>
      </c>
      <c r="M10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51" s="3">
        <f>IFERROR(INDEX(Table3[#All],MATCH(Table1[[#This Row],[Key_Year_Week_Brand]],Table3[[#All],[Key_Year_Week_Brand]],0),MATCH(Table1[[#This Row],[DC_name_Xref]],Table3[#Headers],0)),0)</f>
        <v>0</v>
      </c>
      <c r="O1051">
        <f>IFERROR(INDEX(Table35[#All],MATCH(Table1[[#This Row],[Key_Year_Week_Brand]],Table35[[#All],[Key_Year_Month_Brand]],0),MATCH(Table1[[#This Row],[DC_name_Xref]],Table35[#Headers],0)),0)</f>
        <v>0</v>
      </c>
    </row>
    <row r="1052" spans="1:15" x14ac:dyDescent="0.3">
      <c r="A1052" s="19" t="str">
        <f>Table1[[#This Row],[Year_Week]]&amp;"-"&amp;Table1[[#This Row],[DC_name_Xref]]</f>
        <v>202343-OFC</v>
      </c>
      <c r="B1052" s="19" t="str">
        <f>Table1[[#This Row],[Fiscal_Year]]*100+Table1[[#This Row],[Fiscal_Week]] &amp; "-" &amp;Table1[[#This Row],[BRAND]]</f>
        <v>202343-Banana Republic</v>
      </c>
      <c r="C1052" t="str">
        <f>Table1[[#This Row],[Fiscal_Year]]&amp;"-"&amp;Table1[[#This Row],[BRAND]]</f>
        <v>2023-Banana Republic</v>
      </c>
      <c r="D1052">
        <v>2023</v>
      </c>
      <c r="E1052">
        <v>43</v>
      </c>
      <c r="F1052" t="s">
        <v>18</v>
      </c>
      <c r="G1052" t="s">
        <v>5</v>
      </c>
      <c r="H1052">
        <v>1</v>
      </c>
      <c r="I1052">
        <v>17462</v>
      </c>
      <c r="J1052" t="str">
        <f>VLOOKUP(H1052,DC_Xref!A:B,2,FALSE)</f>
        <v>OFC</v>
      </c>
      <c r="K1052">
        <f t="shared" si="16"/>
        <v>202343</v>
      </c>
      <c r="L1052">
        <f>IFERROR(Table1[[#This Row],[Demand]]/SUMIFS(Table1[Demand],Table1[Fiscal_Year],Table1[[#This Row],[Fiscal_Year]],Table1[BRAND],Table1[[#This Row],[BRAND]],Table1[DC_name_Xref],Table1[[#This Row],[DC_name_Xref]]),0)</f>
        <v>0.18665155952711804</v>
      </c>
      <c r="M10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2.1065553966605938E-2</v>
      </c>
      <c r="N1052" s="3">
        <f>IFERROR(INDEX(Table3[#All],MATCH(Table1[[#This Row],[Key_Year_Week_Brand]],Table3[[#All],[Key_Year_Week_Brand]],0),MATCH(Table1[[#This Row],[DC_name_Xref]],Table3[#Headers],0)),0)</f>
        <v>0</v>
      </c>
      <c r="O1052">
        <f>IFERROR(INDEX(Table35[#All],MATCH(Table1[[#This Row],[Key_Year_Week_Brand]],Table35[[#All],[Key_Year_Month_Brand]],0),MATCH(Table1[[#This Row],[DC_name_Xref]],Table35[#Headers],0)),0)</f>
        <v>0</v>
      </c>
    </row>
    <row r="1053" spans="1:15" x14ac:dyDescent="0.3">
      <c r="A1053" s="19" t="str">
        <f>Table1[[#This Row],[Year_Week]]&amp;"-"&amp;Table1[[#This Row],[DC_name_Xref]]</f>
        <v>202343-TFC</v>
      </c>
      <c r="B1053" s="19" t="str">
        <f>Table1[[#This Row],[Fiscal_Year]]*100+Table1[[#This Row],[Fiscal_Week]] &amp; "-" &amp;Table1[[#This Row],[BRAND]]</f>
        <v>202343-Banana Republic</v>
      </c>
      <c r="C1053" t="str">
        <f>Table1[[#This Row],[Fiscal_Year]]&amp;"-"&amp;Table1[[#This Row],[BRAND]]</f>
        <v>2023-Banana Republic</v>
      </c>
      <c r="D1053">
        <v>2023</v>
      </c>
      <c r="E1053">
        <v>43</v>
      </c>
      <c r="F1053" t="s">
        <v>18</v>
      </c>
      <c r="G1053" t="s">
        <v>21</v>
      </c>
      <c r="H1053">
        <v>2</v>
      </c>
      <c r="I1053">
        <v>1332953</v>
      </c>
      <c r="J1053" t="str">
        <f>VLOOKUP(H1053,DC_Xref!A:B,2,FALSE)</f>
        <v>TFC</v>
      </c>
      <c r="K1053">
        <f t="shared" si="16"/>
        <v>202343</v>
      </c>
      <c r="L1053">
        <f>IFERROR(Table1[[#This Row],[Demand]]/SUMIFS(Table1[Demand],Table1[Fiscal_Year],Table1[[#This Row],[Fiscal_Year]],Table1[BRAND],Table1[[#This Row],[BRAND]],Table1[DC_name_Xref],Table1[[#This Row],[DC_name_Xref]]),0)</f>
        <v>0.30662419016614878</v>
      </c>
      <c r="M10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0.97885631204418555</v>
      </c>
      <c r="N1053" s="3">
        <f>IFERROR(INDEX(Table3[#All],MATCH(Table1[[#This Row],[Key_Year_Week_Brand]],Table3[[#All],[Key_Year_Week_Brand]],0),MATCH(Table1[[#This Row],[DC_name_Xref]],Table3[#Headers],0)),0)</f>
        <v>1</v>
      </c>
      <c r="O1053">
        <f>IFERROR(INDEX(Table35[#All],MATCH(Table1[[#This Row],[Key_Year_Week_Brand]],Table35[[#All],[Key_Year_Month_Brand]],0),MATCH(Table1[[#This Row],[DC_name_Xref]],Table35[#Headers],0)),0)</f>
        <v>1350439</v>
      </c>
    </row>
    <row r="1054" spans="1:15" x14ac:dyDescent="0.3">
      <c r="A1054" s="19" t="str">
        <f>Table1[[#This Row],[Year_Week]]&amp;"-"&amp;Table1[[#This Row],[DC_name_Xref]]</f>
        <v>202343-WFC</v>
      </c>
      <c r="B1054" s="19" t="str">
        <f>Table1[[#This Row],[Fiscal_Year]]*100+Table1[[#This Row],[Fiscal_Week]] &amp; "-" &amp;Table1[[#This Row],[BRAND]]</f>
        <v>202343-Banana Republic</v>
      </c>
      <c r="C1054" t="str">
        <f>Table1[[#This Row],[Fiscal_Year]]&amp;"-"&amp;Table1[[#This Row],[BRAND]]</f>
        <v>2023-Banana Republic</v>
      </c>
      <c r="D1054">
        <v>2023</v>
      </c>
      <c r="E1054">
        <v>43</v>
      </c>
      <c r="F1054" t="s">
        <v>18</v>
      </c>
      <c r="G1054" t="s">
        <v>7</v>
      </c>
      <c r="H1054">
        <v>3</v>
      </c>
      <c r="I1054">
        <v>2</v>
      </c>
      <c r="J1054" t="str">
        <f>VLOOKUP(H1054,DC_Xref!A:B,2,FALSE)</f>
        <v>WFC</v>
      </c>
      <c r="K1054">
        <f t="shared" si="16"/>
        <v>202343</v>
      </c>
      <c r="L1054">
        <f>IFERROR(Table1[[#This Row],[Demand]]/SUMIFS(Table1[Demand],Table1[Fiscal_Year],Table1[[#This Row],[Fiscal_Year]],Table1[BRAND],Table1[[#This Row],[BRAND]],Table1[DC_name_Xref],Table1[[#This Row],[DC_name_Xref]]),0)</f>
        <v>0.15384615384615385</v>
      </c>
      <c r="M10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2.9272099703473632E-6</v>
      </c>
      <c r="N1054" s="3">
        <f>IFERROR(INDEX(Table3[#All],MATCH(Table1[[#This Row],[Key_Year_Week_Brand]],Table3[[#All],[Key_Year_Week_Brand]],0),MATCH(Table1[[#This Row],[DC_name_Xref]],Table3[#Headers],0)),0)</f>
        <v>3.4959629396853166E-6</v>
      </c>
      <c r="O1054">
        <f>IFERROR(INDEX(Table35[#All],MATCH(Table1[[#This Row],[Key_Year_Week_Brand]],Table35[[#All],[Key_Year_Month_Brand]],0),MATCH(Table1[[#This Row],[DC_name_Xref]],Table35[#Headers],0)),0)</f>
        <v>4.7210846963056996</v>
      </c>
    </row>
    <row r="1055" spans="1:15" x14ac:dyDescent="0.3">
      <c r="A1055" s="19" t="str">
        <f>Table1[[#This Row],[Year_Week]]&amp;"-"&amp;Table1[[#This Row],[DC_name_Xref]]</f>
        <v>202343-EAO</v>
      </c>
      <c r="B1055" s="19" t="str">
        <f>Table1[[#This Row],[Fiscal_Year]]*100+Table1[[#This Row],[Fiscal_Week]] &amp; "-" &amp;Table1[[#This Row],[BRAND]]</f>
        <v>202343-Banana Republic</v>
      </c>
      <c r="C1055" t="str">
        <f>Table1[[#This Row],[Fiscal_Year]]&amp;"-"&amp;Table1[[#This Row],[BRAND]]</f>
        <v>2023-Banana Republic</v>
      </c>
      <c r="D1055">
        <v>2023</v>
      </c>
      <c r="E1055">
        <v>43</v>
      </c>
      <c r="F1055" t="s">
        <v>18</v>
      </c>
      <c r="G1055" t="s">
        <v>8</v>
      </c>
      <c r="H1055">
        <v>4</v>
      </c>
      <c r="I1055">
        <v>22</v>
      </c>
      <c r="J1055" t="str">
        <f>VLOOKUP(H1055,DC_Xref!A:B,2,FALSE)</f>
        <v>EAO</v>
      </c>
      <c r="K1055">
        <f t="shared" si="16"/>
        <v>202343</v>
      </c>
      <c r="L1055">
        <f>IFERROR(Table1[[#This Row],[Demand]]/SUMIFS(Table1[Demand],Table1[Fiscal_Year],Table1[[#This Row],[Fiscal_Year]],Table1[BRAND],Table1[[#This Row],[BRAND]],Table1[DC_name_Xref],Table1[[#This Row],[DC_name_Xref]]),0)</f>
        <v>6.5868263473053898E-2</v>
      </c>
      <c r="M10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7.5206779238155323E-5</v>
      </c>
      <c r="N1055" s="3">
        <f>IFERROR(INDEX(Table3[#All],MATCH(Table1[[#This Row],[Key_Year_Week_Brand]],Table3[[#All],[Key_Year_Week_Brand]],0),MATCH(Table1[[#This Row],[DC_name_Xref]],Table3[#Headers],0)),0)</f>
        <v>4.2339995602855504E-5</v>
      </c>
      <c r="O1055">
        <f>IFERROR(INDEX(Table35[#All],MATCH(Table1[[#This Row],[Key_Year_Week_Brand]],Table35[[#All],[Key_Year_Month_Brand]],0),MATCH(Table1[[#This Row],[DC_name_Xref]],Table35[#Headers],0)),0)</f>
        <v>57.177581321924585</v>
      </c>
    </row>
    <row r="1056" spans="1:15" x14ac:dyDescent="0.3">
      <c r="A1056" s="19" t="str">
        <f>Table1[[#This Row],[Year_Week]]&amp;"-"&amp;Table1[[#This Row],[DC_name_Xref]]</f>
        <v>202343-FFC-ODC</v>
      </c>
      <c r="B1056" s="19" t="str">
        <f>Table1[[#This Row],[Fiscal_Year]]*100+Table1[[#This Row],[Fiscal_Week]] &amp; "-" &amp;Table1[[#This Row],[BRAND]]</f>
        <v>202343-Banana Republic</v>
      </c>
      <c r="C1056" t="str">
        <f>Table1[[#This Row],[Fiscal_Year]]&amp;"-"&amp;Table1[[#This Row],[BRAND]]</f>
        <v>2023-Banana Republic</v>
      </c>
      <c r="D1056">
        <v>2023</v>
      </c>
      <c r="E1056">
        <v>43</v>
      </c>
      <c r="F1056" t="s">
        <v>18</v>
      </c>
      <c r="G1056" t="s">
        <v>23</v>
      </c>
      <c r="H1056">
        <v>5</v>
      </c>
      <c r="I1056">
        <v>0</v>
      </c>
      <c r="J1056" t="str">
        <f>VLOOKUP(H1056,DC_Xref!A:B,2,FALSE)</f>
        <v>FFC-ODC</v>
      </c>
      <c r="K1056">
        <f t="shared" si="16"/>
        <v>202343</v>
      </c>
      <c r="L1056">
        <f>IFERROR(Table1[[#This Row],[Demand]]/SUMIFS(Table1[Demand],Table1[Fiscal_Year],Table1[[#This Row],[Fiscal_Year]],Table1[BRAND],Table1[[#This Row],[BRAND]],Table1[DC_name_Xref],Table1[[#This Row],[DC_name_Xref]]),0)</f>
        <v>0</v>
      </c>
      <c r="M10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56" s="3">
        <f>IFERROR(INDEX(Table3[#All],MATCH(Table1[[#This Row],[Key_Year_Week_Brand]],Table3[[#All],[Key_Year_Week_Brand]],0),MATCH(Table1[[#This Row],[DC_name_Xref]],Table3[#Headers],0)),0)</f>
        <v>0</v>
      </c>
      <c r="O1056">
        <f>IFERROR(INDEX(Table35[#All],MATCH(Table1[[#This Row],[Key_Year_Week_Brand]],Table35[[#All],[Key_Year_Month_Brand]],0),MATCH(Table1[[#This Row],[DC_name_Xref]],Table35[#Headers],0)),0)</f>
        <v>0</v>
      </c>
    </row>
    <row r="1057" spans="1:15" x14ac:dyDescent="0.3">
      <c r="A1057" s="19" t="str">
        <f>Table1[[#This Row],[Year_Week]]&amp;"-"&amp;Table1[[#This Row],[DC_name_Xref]]</f>
        <v>202343-WEO</v>
      </c>
      <c r="B1057" s="19" t="str">
        <f>Table1[[#This Row],[Fiscal_Year]]*100+Table1[[#This Row],[Fiscal_Week]] &amp; "-" &amp;Table1[[#This Row],[BRAND]]</f>
        <v>202343-Banana Republic</v>
      </c>
      <c r="C1057" t="str">
        <f>Table1[[#This Row],[Fiscal_Year]]&amp;"-"&amp;Table1[[#This Row],[BRAND]]</f>
        <v>2023-Banana Republic</v>
      </c>
      <c r="D1057">
        <v>2023</v>
      </c>
      <c r="E1057">
        <v>43</v>
      </c>
      <c r="F1057" t="s">
        <v>18</v>
      </c>
      <c r="G1057" t="s">
        <v>10</v>
      </c>
      <c r="H1057">
        <v>6</v>
      </c>
      <c r="I1057">
        <v>0</v>
      </c>
      <c r="J1057" t="str">
        <f>VLOOKUP(H1057,DC_Xref!A:B,2,FALSE)</f>
        <v>WEO</v>
      </c>
      <c r="K1057">
        <f t="shared" si="16"/>
        <v>202343</v>
      </c>
      <c r="L1057">
        <f>IFERROR(Table1[[#This Row],[Demand]]/SUMIFS(Table1[Demand],Table1[Fiscal_Year],Table1[[#This Row],[Fiscal_Year]],Table1[BRAND],Table1[[#This Row],[BRAND]],Table1[DC_name_Xref],Table1[[#This Row],[DC_name_Xref]]),0)</f>
        <v>0</v>
      </c>
      <c r="M10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57" s="3">
        <f>IFERROR(INDEX(Table3[#All],MATCH(Table1[[#This Row],[Key_Year_Week_Brand]],Table3[[#All],[Key_Year_Week_Brand]],0),MATCH(Table1[[#This Row],[DC_name_Xref]],Table3[#Headers],0)),0)</f>
        <v>0</v>
      </c>
      <c r="O1057">
        <f>IFERROR(INDEX(Table35[#All],MATCH(Table1[[#This Row],[Key_Year_Week_Brand]],Table35[[#All],[Key_Year_Month_Brand]],0),MATCH(Table1[[#This Row],[DC_name_Xref]],Table35[#Headers],0)),0)</f>
        <v>0</v>
      </c>
    </row>
    <row r="1058" spans="1:15" x14ac:dyDescent="0.3">
      <c r="A1058" s="19" t="str">
        <f>Table1[[#This Row],[Year_Week]]&amp;"-"&amp;Table1[[#This Row],[DC_name_Xref]]</f>
        <v>202343-OCC</v>
      </c>
      <c r="B1058" s="19" t="str">
        <f>Table1[[#This Row],[Fiscal_Year]]*100+Table1[[#This Row],[Fiscal_Week]] &amp; "-" &amp;Table1[[#This Row],[BRAND]]</f>
        <v>202343-Banana Republic</v>
      </c>
      <c r="C1058" t="str">
        <f>Table1[[#This Row],[Fiscal_Year]]&amp;"-"&amp;Table1[[#This Row],[BRAND]]</f>
        <v>2023-Banana Republic</v>
      </c>
      <c r="D1058">
        <v>2023</v>
      </c>
      <c r="E1058">
        <v>43</v>
      </c>
      <c r="F1058" t="s">
        <v>18</v>
      </c>
      <c r="G1058" t="s">
        <v>11</v>
      </c>
      <c r="H1058">
        <v>7</v>
      </c>
      <c r="I1058">
        <v>0</v>
      </c>
      <c r="J1058" t="str">
        <f>VLOOKUP(H1058,DC_Xref!A:B,2,FALSE)</f>
        <v>OCC</v>
      </c>
      <c r="K1058">
        <f t="shared" si="16"/>
        <v>202343</v>
      </c>
      <c r="L1058">
        <f>IFERROR(Table1[[#This Row],[Demand]]/SUMIFS(Table1[Demand],Table1[Fiscal_Year],Table1[[#This Row],[Fiscal_Year]],Table1[BRAND],Table1[[#This Row],[BRAND]],Table1[DC_name_Xref],Table1[[#This Row],[DC_name_Xref]]),0)</f>
        <v>0</v>
      </c>
      <c r="M10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58" s="3">
        <f>IFERROR(INDEX(Table3[#All],MATCH(Table1[[#This Row],[Key_Year_Week_Brand]],Table3[[#All],[Key_Year_Week_Brand]],0),MATCH(Table1[[#This Row],[DC_name_Xref]],Table3[#Headers],0)),0)</f>
        <v>0</v>
      </c>
      <c r="O1058">
        <f>IFERROR(INDEX(Table35[#All],MATCH(Table1[[#This Row],[Key_Year_Week_Brand]],Table35[[#All],[Key_Year_Month_Brand]],0),MATCH(Table1[[#This Row],[DC_name_Xref]],Table35[#Headers],0)),0)</f>
        <v>0</v>
      </c>
    </row>
    <row r="1059" spans="1:15" x14ac:dyDescent="0.3">
      <c r="A1059" s="19" t="str">
        <f>Table1[[#This Row],[Year_Week]]&amp;"-"&amp;Table1[[#This Row],[DC_name_Xref]]</f>
        <v>202343-OFC</v>
      </c>
      <c r="B1059" s="19" t="str">
        <f>Table1[[#This Row],[Fiscal_Year]]*100+Table1[[#This Row],[Fiscal_Week]] &amp; "-" &amp;Table1[[#This Row],[BRAND]]</f>
        <v>202343-Old Navy</v>
      </c>
      <c r="C1059" t="str">
        <f>Table1[[#This Row],[Fiscal_Year]]&amp;"-"&amp;Table1[[#This Row],[BRAND]]</f>
        <v>2023-Old Navy</v>
      </c>
      <c r="D1059">
        <v>2023</v>
      </c>
      <c r="E1059">
        <v>43</v>
      </c>
      <c r="F1059" t="s">
        <v>20</v>
      </c>
      <c r="G1059" t="s">
        <v>5</v>
      </c>
      <c r="H1059">
        <v>1</v>
      </c>
      <c r="I1059">
        <v>4478029</v>
      </c>
      <c r="J1059" t="str">
        <f>VLOOKUP(H1059,DC_Xref!A:B,2,FALSE)</f>
        <v>OFC</v>
      </c>
      <c r="K1059">
        <f t="shared" si="16"/>
        <v>202343</v>
      </c>
      <c r="L1059">
        <f>IFERROR(Table1[[#This Row],[Demand]]/SUMIFS(Table1[Demand],Table1[Fiscal_Year],Table1[[#This Row],[Fiscal_Year]],Table1[BRAND],Table1[[#This Row],[BRAND]],Table1[DC_name_Xref],Table1[[#This Row],[DC_name_Xref]]),0)</f>
        <v>0.3132053456909924</v>
      </c>
      <c r="M10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0.30096115909547266</v>
      </c>
      <c r="N1059" s="3">
        <f>IFERROR(INDEX(Table3[#All],MATCH(Table1[[#This Row],[Key_Year_Week_Brand]],Table3[[#All],[Key_Year_Week_Brand]],0),MATCH(Table1[[#This Row],[DC_name_Xref]],Table3[#Headers],0)),0)</f>
        <v>0</v>
      </c>
      <c r="O1059">
        <f>IFERROR(INDEX(Table35[#All],MATCH(Table1[[#This Row],[Key_Year_Week_Brand]],Table35[[#All],[Key_Year_Month_Brand]],0),MATCH(Table1[[#This Row],[DC_name_Xref]],Table35[#Headers],0)),0)</f>
        <v>0</v>
      </c>
    </row>
    <row r="1060" spans="1:15" x14ac:dyDescent="0.3">
      <c r="A1060" s="19" t="str">
        <f>Table1[[#This Row],[Year_Week]]&amp;"-"&amp;Table1[[#This Row],[DC_name_Xref]]</f>
        <v>202343-TFC</v>
      </c>
      <c r="B1060" s="19" t="str">
        <f>Table1[[#This Row],[Fiscal_Year]]*100+Table1[[#This Row],[Fiscal_Week]] &amp; "-" &amp;Table1[[#This Row],[BRAND]]</f>
        <v>202343-Old Navy</v>
      </c>
      <c r="C1060" t="str">
        <f>Table1[[#This Row],[Fiscal_Year]]&amp;"-"&amp;Table1[[#This Row],[BRAND]]</f>
        <v>2023-Old Navy</v>
      </c>
      <c r="D1060">
        <v>2023</v>
      </c>
      <c r="E1060">
        <v>43</v>
      </c>
      <c r="F1060" t="s">
        <v>20</v>
      </c>
      <c r="G1060" t="s">
        <v>21</v>
      </c>
      <c r="H1060">
        <v>2</v>
      </c>
      <c r="I1060">
        <v>2944288</v>
      </c>
      <c r="J1060" t="str">
        <f>VLOOKUP(H1060,DC_Xref!A:B,2,FALSE)</f>
        <v>TFC</v>
      </c>
      <c r="K1060">
        <f t="shared" si="16"/>
        <v>202343</v>
      </c>
      <c r="L1060">
        <f>IFERROR(Table1[[#This Row],[Demand]]/SUMIFS(Table1[Demand],Table1[Fiscal_Year],Table1[[#This Row],[Fiscal_Year]],Table1[BRAND],Table1[[#This Row],[BRAND]],Table1[DC_name_Xref],Table1[[#This Row],[DC_name_Xref]]),0)</f>
        <v>0.36792341543487694</v>
      </c>
      <c r="M10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0.16845176883505619</v>
      </c>
      <c r="N1060" s="3">
        <f>IFERROR(INDEX(Table3[#All],MATCH(Table1[[#This Row],[Key_Year_Week_Brand]],Table3[[#All],[Key_Year_Week_Brand]],0),MATCH(Table1[[#This Row],[DC_name_Xref]],Table3[#Headers],0)),0)</f>
        <v>0</v>
      </c>
      <c r="O1060">
        <f>IFERROR(INDEX(Table35[#All],MATCH(Table1[[#This Row],[Key_Year_Week_Brand]],Table35[[#All],[Key_Year_Month_Brand]],0),MATCH(Table1[[#This Row],[DC_name_Xref]],Table35[#Headers],0)),0)</f>
        <v>0</v>
      </c>
    </row>
    <row r="1061" spans="1:15" x14ac:dyDescent="0.3">
      <c r="A1061" s="19" t="str">
        <f>Table1[[#This Row],[Year_Week]]&amp;"-"&amp;Table1[[#This Row],[DC_name_Xref]]</f>
        <v>202343-WFC</v>
      </c>
      <c r="B1061" s="19" t="str">
        <f>Table1[[#This Row],[Fiscal_Year]]*100+Table1[[#This Row],[Fiscal_Week]] &amp; "-" &amp;Table1[[#This Row],[BRAND]]</f>
        <v>202343-Old Navy</v>
      </c>
      <c r="C1061" t="str">
        <f>Table1[[#This Row],[Fiscal_Year]]&amp;"-"&amp;Table1[[#This Row],[BRAND]]</f>
        <v>2023-Old Navy</v>
      </c>
      <c r="D1061">
        <v>2023</v>
      </c>
      <c r="E1061">
        <v>43</v>
      </c>
      <c r="F1061" t="s">
        <v>20</v>
      </c>
      <c r="G1061" t="s">
        <v>7</v>
      </c>
      <c r="H1061">
        <v>3</v>
      </c>
      <c r="I1061">
        <v>3257849</v>
      </c>
      <c r="J1061" t="str">
        <f>VLOOKUP(H1061,DC_Xref!A:B,2,FALSE)</f>
        <v>WFC</v>
      </c>
      <c r="K1061">
        <f t="shared" si="16"/>
        <v>202343</v>
      </c>
      <c r="L1061">
        <f>IFERROR(Table1[[#This Row],[Demand]]/SUMIFS(Table1[Demand],Table1[Fiscal_Year],Table1[[#This Row],[Fiscal_Year]],Table1[BRAND],Table1[[#This Row],[BRAND]],Table1[DC_name_Xref],Table1[[#This Row],[DC_name_Xref]]),0)</f>
        <v>0.34253067673656801</v>
      </c>
      <c r="M10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0.20020927518621856</v>
      </c>
      <c r="N1061" s="3">
        <f>IFERROR(INDEX(Table3[#All],MATCH(Table1[[#This Row],[Key_Year_Week_Brand]],Table3[[#All],[Key_Year_Week_Brand]],0),MATCH(Table1[[#This Row],[DC_name_Xref]],Table3[#Headers],0)),0)</f>
        <v>0</v>
      </c>
      <c r="O1061">
        <f>IFERROR(INDEX(Table35[#All],MATCH(Table1[[#This Row],[Key_Year_Week_Brand]],Table35[[#All],[Key_Year_Month_Brand]],0),MATCH(Table1[[#This Row],[DC_name_Xref]],Table35[#Headers],0)),0)</f>
        <v>0</v>
      </c>
    </row>
    <row r="1062" spans="1:15" x14ac:dyDescent="0.3">
      <c r="A1062" s="19" t="str">
        <f>Table1[[#This Row],[Year_Week]]&amp;"-"&amp;Table1[[#This Row],[DC_name_Xref]]</f>
        <v>202343-EAO</v>
      </c>
      <c r="B1062" s="19" t="str">
        <f>Table1[[#This Row],[Fiscal_Year]]*100+Table1[[#This Row],[Fiscal_Week]] &amp; "-" &amp;Table1[[#This Row],[BRAND]]</f>
        <v>202343-Old Navy</v>
      </c>
      <c r="C1062" t="str">
        <f>Table1[[#This Row],[Fiscal_Year]]&amp;"-"&amp;Table1[[#This Row],[BRAND]]</f>
        <v>2023-Old Navy</v>
      </c>
      <c r="D1062">
        <v>2023</v>
      </c>
      <c r="E1062">
        <v>43</v>
      </c>
      <c r="F1062" t="s">
        <v>20</v>
      </c>
      <c r="G1062" t="s">
        <v>8</v>
      </c>
      <c r="H1062">
        <v>4</v>
      </c>
      <c r="I1062">
        <v>5331930</v>
      </c>
      <c r="J1062" t="str">
        <f>VLOOKUP(H1062,DC_Xref!A:B,2,FALSE)</f>
        <v>EAO</v>
      </c>
      <c r="K1062">
        <f t="shared" si="16"/>
        <v>202343</v>
      </c>
      <c r="L1062">
        <f>IFERROR(Table1[[#This Row],[Demand]]/SUMIFS(Table1[Demand],Table1[Fiscal_Year],Table1[[#This Row],[Fiscal_Year]],Table1[BRAND],Table1[[#This Row],[BRAND]],Table1[DC_name_Xref],Table1[[#This Row],[DC_name_Xref]]),0)</f>
        <v>0.33972405659550864</v>
      </c>
      <c r="M10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0.33037779688325258</v>
      </c>
      <c r="N1062" s="3">
        <f>IFERROR(INDEX(Table3[#All],MATCH(Table1[[#This Row],[Key_Year_Week_Brand]],Table3[[#All],[Key_Year_Week_Brand]],0),MATCH(Table1[[#This Row],[DC_name_Xref]],Table3[#Headers],0)),0)</f>
        <v>0.21</v>
      </c>
      <c r="O1062">
        <f>IFERROR(INDEX(Table35[#All],MATCH(Table1[[#This Row],[Key_Year_Week_Brand]],Table35[[#All],[Key_Year_Month_Brand]],0),MATCH(Table1[[#This Row],[DC_name_Xref]],Table35[#Headers],0)),0)</f>
        <v>3362540.1599999997</v>
      </c>
    </row>
    <row r="1063" spans="1:15" x14ac:dyDescent="0.3">
      <c r="A1063" s="19" t="str">
        <f>Table1[[#This Row],[Year_Week]]&amp;"-"&amp;Table1[[#This Row],[DC_name_Xref]]</f>
        <v>202343-FFC-ODC</v>
      </c>
      <c r="B1063" s="19" t="str">
        <f>Table1[[#This Row],[Fiscal_Year]]*100+Table1[[#This Row],[Fiscal_Week]] &amp; "-" &amp;Table1[[#This Row],[BRAND]]</f>
        <v>202343-Old Navy</v>
      </c>
      <c r="C1063" t="str">
        <f>Table1[[#This Row],[Fiscal_Year]]&amp;"-"&amp;Table1[[#This Row],[BRAND]]</f>
        <v>2023-Old Navy</v>
      </c>
      <c r="D1063">
        <v>2023</v>
      </c>
      <c r="E1063">
        <v>43</v>
      </c>
      <c r="F1063" t="s">
        <v>20</v>
      </c>
      <c r="G1063" t="s">
        <v>23</v>
      </c>
      <c r="H1063">
        <v>5</v>
      </c>
      <c r="I1063">
        <v>0</v>
      </c>
      <c r="J1063" t="str">
        <f>VLOOKUP(H1063,DC_Xref!A:B,2,FALSE)</f>
        <v>FFC-ODC</v>
      </c>
      <c r="K1063">
        <f t="shared" si="16"/>
        <v>202343</v>
      </c>
      <c r="L1063">
        <f>IFERROR(Table1[[#This Row],[Demand]]/SUMIFS(Table1[Demand],Table1[Fiscal_Year],Table1[[#This Row],[Fiscal_Year]],Table1[BRAND],Table1[[#This Row],[BRAND]],Table1[DC_name_Xref],Table1[[#This Row],[DC_name_Xref]]),0)</f>
        <v>0</v>
      </c>
      <c r="M10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3" s="3">
        <f>IFERROR(INDEX(Table3[#All],MATCH(Table1[[#This Row],[Key_Year_Week_Brand]],Table3[[#All],[Key_Year_Week_Brand]],0),MATCH(Table1[[#This Row],[DC_name_Xref]],Table3[#Headers],0)),0)</f>
        <v>0</v>
      </c>
      <c r="O1063">
        <f>IFERROR(INDEX(Table35[#All],MATCH(Table1[[#This Row],[Key_Year_Week_Brand]],Table35[[#All],[Key_Year_Month_Brand]],0),MATCH(Table1[[#This Row],[DC_name_Xref]],Table35[#Headers],0)),0)</f>
        <v>0</v>
      </c>
    </row>
    <row r="1064" spans="1:15" x14ac:dyDescent="0.3">
      <c r="A1064" s="19" t="str">
        <f>Table1[[#This Row],[Year_Week]]&amp;"-"&amp;Table1[[#This Row],[DC_name_Xref]]</f>
        <v>202343-WEO</v>
      </c>
      <c r="B1064" s="19" t="str">
        <f>Table1[[#This Row],[Fiscal_Year]]*100+Table1[[#This Row],[Fiscal_Week]] &amp; "-" &amp;Table1[[#This Row],[BRAND]]</f>
        <v>202343-Old Navy</v>
      </c>
      <c r="C1064" t="str">
        <f>Table1[[#This Row],[Fiscal_Year]]&amp;"-"&amp;Table1[[#This Row],[BRAND]]</f>
        <v>2023-Old Navy</v>
      </c>
      <c r="D1064">
        <v>2023</v>
      </c>
      <c r="E1064">
        <v>43</v>
      </c>
      <c r="F1064" t="s">
        <v>20</v>
      </c>
      <c r="G1064" t="s">
        <v>10</v>
      </c>
      <c r="H1064">
        <v>6</v>
      </c>
      <c r="I1064">
        <v>0</v>
      </c>
      <c r="J1064" t="str">
        <f>VLOOKUP(H1064,DC_Xref!A:B,2,FALSE)</f>
        <v>WEO</v>
      </c>
      <c r="K1064">
        <f t="shared" si="16"/>
        <v>202343</v>
      </c>
      <c r="L1064">
        <f>IFERROR(Table1[[#This Row],[Demand]]/SUMIFS(Table1[Demand],Table1[Fiscal_Year],Table1[[#This Row],[Fiscal_Year]],Table1[BRAND],Table1[[#This Row],[BRAND]],Table1[DC_name_Xref],Table1[[#This Row],[DC_name_Xref]]),0)</f>
        <v>0</v>
      </c>
      <c r="M10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4" s="3">
        <f>IFERROR(INDEX(Table3[#All],MATCH(Table1[[#This Row],[Key_Year_Week_Brand]],Table3[[#All],[Key_Year_Week_Brand]],0),MATCH(Table1[[#This Row],[DC_name_Xref]],Table3[#Headers],0)),0)</f>
        <v>0.08</v>
      </c>
      <c r="O1064">
        <f>IFERROR(INDEX(Table35[#All],MATCH(Table1[[#This Row],[Key_Year_Week_Brand]],Table35[[#All],[Key_Year_Month_Brand]],0),MATCH(Table1[[#This Row],[DC_name_Xref]],Table35[#Headers],0)),0)</f>
        <v>1280967.6799999999</v>
      </c>
    </row>
    <row r="1065" spans="1:15" x14ac:dyDescent="0.3">
      <c r="A1065" s="19" t="str">
        <f>Table1[[#This Row],[Year_Week]]&amp;"-"&amp;Table1[[#This Row],[DC_name_Xref]]</f>
        <v>202343-OCC</v>
      </c>
      <c r="B1065" s="19" t="str">
        <f>Table1[[#This Row],[Fiscal_Year]]*100+Table1[[#This Row],[Fiscal_Week]] &amp; "-" &amp;Table1[[#This Row],[BRAND]]</f>
        <v>202343-Old Navy</v>
      </c>
      <c r="C1065" t="str">
        <f>Table1[[#This Row],[Fiscal_Year]]&amp;"-"&amp;Table1[[#This Row],[BRAND]]</f>
        <v>2023-Old Navy</v>
      </c>
      <c r="D1065">
        <v>2023</v>
      </c>
      <c r="E1065">
        <v>43</v>
      </c>
      <c r="F1065" t="s">
        <v>20</v>
      </c>
      <c r="G1065" t="s">
        <v>11</v>
      </c>
      <c r="H1065">
        <v>7</v>
      </c>
      <c r="I1065">
        <v>0</v>
      </c>
      <c r="J1065" t="str">
        <f>VLOOKUP(H1065,DC_Xref!A:B,2,FALSE)</f>
        <v>OCC</v>
      </c>
      <c r="K1065">
        <f t="shared" si="16"/>
        <v>202343</v>
      </c>
      <c r="L1065">
        <f>IFERROR(Table1[[#This Row],[Demand]]/SUMIFS(Table1[Demand],Table1[Fiscal_Year],Table1[[#This Row],[Fiscal_Year]],Table1[BRAND],Table1[[#This Row],[BRAND]],Table1[DC_name_Xref],Table1[[#This Row],[DC_name_Xref]]),0)</f>
        <v>0</v>
      </c>
      <c r="M10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5" s="3">
        <f>IFERROR(INDEX(Table3[#All],MATCH(Table1[[#This Row],[Key_Year_Week_Brand]],Table3[[#All],[Key_Year_Week_Brand]],0),MATCH(Table1[[#This Row],[DC_name_Xref]],Table3[#Headers],0)),0)</f>
        <v>0.71</v>
      </c>
      <c r="O1065">
        <f>IFERROR(INDEX(Table35[#All],MATCH(Table1[[#This Row],[Key_Year_Week_Brand]],Table35[[#All],[Key_Year_Month_Brand]],0),MATCH(Table1[[#This Row],[DC_name_Xref]],Table35[#Headers],0)),0)</f>
        <v>11368588.16</v>
      </c>
    </row>
    <row r="1066" spans="1:15" x14ac:dyDescent="0.3">
      <c r="A1066" s="19" t="str">
        <f>Table1[[#This Row],[Year_Week]]&amp;"-"&amp;Table1[[#This Row],[DC_name_Xref]]</f>
        <v>202343-OFC</v>
      </c>
      <c r="B1066" s="19" t="str">
        <f>Table1[[#This Row],[Fiscal_Year]]*100+Table1[[#This Row],[Fiscal_Week]] &amp; "-" &amp;Table1[[#This Row],[BRAND]]</f>
        <v>202343-Gap Factory Store</v>
      </c>
      <c r="C1066" t="str">
        <f>Table1[[#This Row],[Fiscal_Year]]&amp;"-"&amp;Table1[[#This Row],[BRAND]]</f>
        <v>2023-Gap Factory Store</v>
      </c>
      <c r="D1066">
        <v>2023</v>
      </c>
      <c r="E1066">
        <v>43</v>
      </c>
      <c r="F1066" t="s">
        <v>22</v>
      </c>
      <c r="G1066" t="s">
        <v>5</v>
      </c>
      <c r="H1066">
        <v>1</v>
      </c>
      <c r="I1066">
        <v>4055883</v>
      </c>
      <c r="J1066" t="str">
        <f>VLOOKUP(H1066,DC_Xref!A:B,2,FALSE)</f>
        <v>OFC</v>
      </c>
      <c r="K1066">
        <f t="shared" si="16"/>
        <v>202343</v>
      </c>
      <c r="L1066">
        <f>IFERROR(Table1[[#This Row],[Demand]]/SUMIFS(Table1[Demand],Table1[Fiscal_Year],Table1[[#This Row],[Fiscal_Year]],Table1[BRAND],Table1[[#This Row],[BRAND]],Table1[DC_name_Xref],Table1[[#This Row],[DC_name_Xref]]),0)</f>
        <v>0.4174568486821425</v>
      </c>
      <c r="M10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066" s="3">
        <f>IFERROR(INDEX(Table3[#All],MATCH(Table1[[#This Row],[Key_Year_Week_Brand]],Table3[[#All],[Key_Year_Week_Brand]],0),MATCH(Table1[[#This Row],[DC_name_Xref]],Table3[#Headers],0)),0)</f>
        <v>1</v>
      </c>
      <c r="O1066">
        <f>IFERROR(INDEX(Table35[#All],MATCH(Table1[[#This Row],[Key_Year_Week_Brand]],Table35[[#All],[Key_Year_Month_Brand]],0),MATCH(Table1[[#This Row],[DC_name_Xref]],Table35[#Headers],0)),0)</f>
        <v>4055883</v>
      </c>
    </row>
    <row r="1067" spans="1:15" x14ac:dyDescent="0.3">
      <c r="A1067" s="19" t="str">
        <f>Table1[[#This Row],[Year_Week]]&amp;"-"&amp;Table1[[#This Row],[DC_name_Xref]]</f>
        <v>202343-TFC</v>
      </c>
      <c r="B1067" s="19" t="str">
        <f>Table1[[#This Row],[Fiscal_Year]]*100+Table1[[#This Row],[Fiscal_Week]] &amp; "-" &amp;Table1[[#This Row],[BRAND]]</f>
        <v>202343-Gap Factory Store</v>
      </c>
      <c r="C1067" t="str">
        <f>Table1[[#This Row],[Fiscal_Year]]&amp;"-"&amp;Table1[[#This Row],[BRAND]]</f>
        <v>2023-Gap Factory Store</v>
      </c>
      <c r="D1067">
        <v>2023</v>
      </c>
      <c r="E1067">
        <v>43</v>
      </c>
      <c r="F1067" t="s">
        <v>22</v>
      </c>
      <c r="G1067" t="s">
        <v>21</v>
      </c>
      <c r="H1067">
        <v>2</v>
      </c>
      <c r="I1067">
        <v>0</v>
      </c>
      <c r="J1067" t="str">
        <f>VLOOKUP(H1067,DC_Xref!A:B,2,FALSE)</f>
        <v>TFC</v>
      </c>
      <c r="K1067">
        <f t="shared" si="16"/>
        <v>202343</v>
      </c>
      <c r="L1067">
        <f>IFERROR(Table1[[#This Row],[Demand]]/SUMIFS(Table1[Demand],Table1[Fiscal_Year],Table1[[#This Row],[Fiscal_Year]],Table1[BRAND],Table1[[#This Row],[BRAND]],Table1[DC_name_Xref],Table1[[#This Row],[DC_name_Xref]]),0)</f>
        <v>0</v>
      </c>
      <c r="M10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7" s="3">
        <f>IFERROR(INDEX(Table3[#All],MATCH(Table1[[#This Row],[Key_Year_Week_Brand]],Table3[[#All],[Key_Year_Week_Brand]],0),MATCH(Table1[[#This Row],[DC_name_Xref]],Table3[#Headers],0)),0)</f>
        <v>0</v>
      </c>
      <c r="O1067">
        <f>IFERROR(INDEX(Table35[#All],MATCH(Table1[[#This Row],[Key_Year_Week_Brand]],Table35[[#All],[Key_Year_Month_Brand]],0),MATCH(Table1[[#This Row],[DC_name_Xref]],Table35[#Headers],0)),0)</f>
        <v>0</v>
      </c>
    </row>
    <row r="1068" spans="1:15" x14ac:dyDescent="0.3">
      <c r="A1068" s="19" t="str">
        <f>Table1[[#This Row],[Year_Week]]&amp;"-"&amp;Table1[[#This Row],[DC_name_Xref]]</f>
        <v>202343-WFC</v>
      </c>
      <c r="B1068" s="19" t="str">
        <f>Table1[[#This Row],[Fiscal_Year]]*100+Table1[[#This Row],[Fiscal_Week]] &amp; "-" &amp;Table1[[#This Row],[BRAND]]</f>
        <v>202343-Gap Factory Store</v>
      </c>
      <c r="C1068" t="str">
        <f>Table1[[#This Row],[Fiscal_Year]]&amp;"-"&amp;Table1[[#This Row],[BRAND]]</f>
        <v>2023-Gap Factory Store</v>
      </c>
      <c r="D1068">
        <v>2023</v>
      </c>
      <c r="E1068">
        <v>43</v>
      </c>
      <c r="F1068" t="s">
        <v>22</v>
      </c>
      <c r="G1068" t="s">
        <v>7</v>
      </c>
      <c r="H1068">
        <v>3</v>
      </c>
      <c r="I1068">
        <v>0</v>
      </c>
      <c r="J1068" t="str">
        <f>VLOOKUP(H1068,DC_Xref!A:B,2,FALSE)</f>
        <v>WFC</v>
      </c>
      <c r="K1068">
        <f t="shared" si="16"/>
        <v>202343</v>
      </c>
      <c r="L1068">
        <f>IFERROR(Table1[[#This Row],[Demand]]/SUMIFS(Table1[Demand],Table1[Fiscal_Year],Table1[[#This Row],[Fiscal_Year]],Table1[BRAND],Table1[[#This Row],[BRAND]],Table1[DC_name_Xref],Table1[[#This Row],[DC_name_Xref]]),0)</f>
        <v>0</v>
      </c>
      <c r="M10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8" s="3">
        <f>IFERROR(INDEX(Table3[#All],MATCH(Table1[[#This Row],[Key_Year_Week_Brand]],Table3[[#All],[Key_Year_Week_Brand]],0),MATCH(Table1[[#This Row],[DC_name_Xref]],Table3[#Headers],0)),0)</f>
        <v>0</v>
      </c>
      <c r="O1068">
        <f>IFERROR(INDEX(Table35[#All],MATCH(Table1[[#This Row],[Key_Year_Week_Brand]],Table35[[#All],[Key_Year_Month_Brand]],0),MATCH(Table1[[#This Row],[DC_name_Xref]],Table35[#Headers],0)),0)</f>
        <v>0</v>
      </c>
    </row>
    <row r="1069" spans="1:15" x14ac:dyDescent="0.3">
      <c r="A1069" s="19" t="str">
        <f>Table1[[#This Row],[Year_Week]]&amp;"-"&amp;Table1[[#This Row],[DC_name_Xref]]</f>
        <v>202343-EAO</v>
      </c>
      <c r="B1069" s="19" t="str">
        <f>Table1[[#This Row],[Fiscal_Year]]*100+Table1[[#This Row],[Fiscal_Week]] &amp; "-" &amp;Table1[[#This Row],[BRAND]]</f>
        <v>202343-Gap Factory Store</v>
      </c>
      <c r="C1069" t="str">
        <f>Table1[[#This Row],[Fiscal_Year]]&amp;"-"&amp;Table1[[#This Row],[BRAND]]</f>
        <v>2023-Gap Factory Store</v>
      </c>
      <c r="D1069">
        <v>2023</v>
      </c>
      <c r="E1069">
        <v>43</v>
      </c>
      <c r="F1069" t="s">
        <v>22</v>
      </c>
      <c r="G1069" t="s">
        <v>8</v>
      </c>
      <c r="H1069">
        <v>4</v>
      </c>
      <c r="I1069">
        <v>0</v>
      </c>
      <c r="J1069" t="str">
        <f>VLOOKUP(H1069,DC_Xref!A:B,2,FALSE)</f>
        <v>EAO</v>
      </c>
      <c r="K1069">
        <f t="shared" si="16"/>
        <v>202343</v>
      </c>
      <c r="L1069">
        <f>IFERROR(Table1[[#This Row],[Demand]]/SUMIFS(Table1[Demand],Table1[Fiscal_Year],Table1[[#This Row],[Fiscal_Year]],Table1[BRAND],Table1[[#This Row],[BRAND]],Table1[DC_name_Xref],Table1[[#This Row],[DC_name_Xref]]),0)</f>
        <v>0</v>
      </c>
      <c r="M10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69" s="3">
        <f>IFERROR(INDEX(Table3[#All],MATCH(Table1[[#This Row],[Key_Year_Week_Brand]],Table3[[#All],[Key_Year_Week_Brand]],0),MATCH(Table1[[#This Row],[DC_name_Xref]],Table3[#Headers],0)),0)</f>
        <v>0</v>
      </c>
      <c r="O1069">
        <f>IFERROR(INDEX(Table35[#All],MATCH(Table1[[#This Row],[Key_Year_Week_Brand]],Table35[[#All],[Key_Year_Month_Brand]],0),MATCH(Table1[[#This Row],[DC_name_Xref]],Table35[#Headers],0)),0)</f>
        <v>0</v>
      </c>
    </row>
    <row r="1070" spans="1:15" x14ac:dyDescent="0.3">
      <c r="A1070" s="19" t="str">
        <f>Table1[[#This Row],[Year_Week]]&amp;"-"&amp;Table1[[#This Row],[DC_name_Xref]]</f>
        <v>202343-FFC-ODC</v>
      </c>
      <c r="B1070" s="19" t="str">
        <f>Table1[[#This Row],[Fiscal_Year]]*100+Table1[[#This Row],[Fiscal_Week]] &amp; "-" &amp;Table1[[#This Row],[BRAND]]</f>
        <v>202343-Gap Factory Store</v>
      </c>
      <c r="C1070" t="str">
        <f>Table1[[#This Row],[Fiscal_Year]]&amp;"-"&amp;Table1[[#This Row],[BRAND]]</f>
        <v>2023-Gap Factory Store</v>
      </c>
      <c r="D1070">
        <v>2023</v>
      </c>
      <c r="E1070">
        <v>43</v>
      </c>
      <c r="F1070" t="s">
        <v>22</v>
      </c>
      <c r="G1070" t="s">
        <v>23</v>
      </c>
      <c r="H1070">
        <v>5</v>
      </c>
      <c r="I1070">
        <v>0</v>
      </c>
      <c r="J1070" t="str">
        <f>VLOOKUP(H1070,DC_Xref!A:B,2,FALSE)</f>
        <v>FFC-ODC</v>
      </c>
      <c r="K1070">
        <f t="shared" si="16"/>
        <v>202343</v>
      </c>
      <c r="L1070">
        <f>IFERROR(Table1[[#This Row],[Demand]]/SUMIFS(Table1[Demand],Table1[Fiscal_Year],Table1[[#This Row],[Fiscal_Year]],Table1[BRAND],Table1[[#This Row],[BRAND]],Table1[DC_name_Xref],Table1[[#This Row],[DC_name_Xref]]),0)</f>
        <v>0</v>
      </c>
      <c r="M10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70" s="3">
        <f>IFERROR(INDEX(Table3[#All],MATCH(Table1[[#This Row],[Key_Year_Week_Brand]],Table3[[#All],[Key_Year_Week_Brand]],0),MATCH(Table1[[#This Row],[DC_name_Xref]],Table3[#Headers],0)),0)</f>
        <v>0</v>
      </c>
      <c r="O1070">
        <f>IFERROR(INDEX(Table35[#All],MATCH(Table1[[#This Row],[Key_Year_Week_Brand]],Table35[[#All],[Key_Year_Month_Brand]],0),MATCH(Table1[[#This Row],[DC_name_Xref]],Table35[#Headers],0)),0)</f>
        <v>0</v>
      </c>
    </row>
    <row r="1071" spans="1:15" x14ac:dyDescent="0.3">
      <c r="A1071" s="19" t="str">
        <f>Table1[[#This Row],[Year_Week]]&amp;"-"&amp;Table1[[#This Row],[DC_name_Xref]]</f>
        <v>202343-WEO</v>
      </c>
      <c r="B1071" s="19" t="str">
        <f>Table1[[#This Row],[Fiscal_Year]]*100+Table1[[#This Row],[Fiscal_Week]] &amp; "-" &amp;Table1[[#This Row],[BRAND]]</f>
        <v>202343-Gap Factory Store</v>
      </c>
      <c r="C1071" t="str">
        <f>Table1[[#This Row],[Fiscal_Year]]&amp;"-"&amp;Table1[[#This Row],[BRAND]]</f>
        <v>2023-Gap Factory Store</v>
      </c>
      <c r="D1071">
        <v>2023</v>
      </c>
      <c r="E1071">
        <v>43</v>
      </c>
      <c r="F1071" t="s">
        <v>22</v>
      </c>
      <c r="G1071" t="s">
        <v>10</v>
      </c>
      <c r="H1071">
        <v>6</v>
      </c>
      <c r="I1071">
        <v>0</v>
      </c>
      <c r="J1071" t="str">
        <f>VLOOKUP(H1071,DC_Xref!A:B,2,FALSE)</f>
        <v>WEO</v>
      </c>
      <c r="K1071">
        <f t="shared" si="16"/>
        <v>202343</v>
      </c>
      <c r="L1071">
        <f>IFERROR(Table1[[#This Row],[Demand]]/SUMIFS(Table1[Demand],Table1[Fiscal_Year],Table1[[#This Row],[Fiscal_Year]],Table1[BRAND],Table1[[#This Row],[BRAND]],Table1[DC_name_Xref],Table1[[#This Row],[DC_name_Xref]]),0)</f>
        <v>0</v>
      </c>
      <c r="M10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71" s="3">
        <f>IFERROR(INDEX(Table3[#All],MATCH(Table1[[#This Row],[Key_Year_Week_Brand]],Table3[[#All],[Key_Year_Week_Brand]],0),MATCH(Table1[[#This Row],[DC_name_Xref]],Table3[#Headers],0)),0)</f>
        <v>0</v>
      </c>
      <c r="O1071">
        <f>IFERROR(INDEX(Table35[#All],MATCH(Table1[[#This Row],[Key_Year_Week_Brand]],Table35[[#All],[Key_Year_Month_Brand]],0),MATCH(Table1[[#This Row],[DC_name_Xref]],Table35[#Headers],0)),0)</f>
        <v>0</v>
      </c>
    </row>
    <row r="1072" spans="1:15" x14ac:dyDescent="0.3">
      <c r="A1072" s="19" t="str">
        <f>Table1[[#This Row],[Year_Week]]&amp;"-"&amp;Table1[[#This Row],[DC_name_Xref]]</f>
        <v>202343-OCC</v>
      </c>
      <c r="B1072" s="19" t="str">
        <f>Table1[[#This Row],[Fiscal_Year]]*100+Table1[[#This Row],[Fiscal_Week]] &amp; "-" &amp;Table1[[#This Row],[BRAND]]</f>
        <v>202343-Gap Factory Store</v>
      </c>
      <c r="C1072" t="str">
        <f>Table1[[#This Row],[Fiscal_Year]]&amp;"-"&amp;Table1[[#This Row],[BRAND]]</f>
        <v>2023-Gap Factory Store</v>
      </c>
      <c r="D1072">
        <v>2023</v>
      </c>
      <c r="E1072">
        <v>43</v>
      </c>
      <c r="F1072" t="s">
        <v>22</v>
      </c>
      <c r="G1072" t="s">
        <v>11</v>
      </c>
      <c r="H1072">
        <v>7</v>
      </c>
      <c r="I1072">
        <v>0</v>
      </c>
      <c r="J1072" t="str">
        <f>VLOOKUP(H1072,DC_Xref!A:B,2,FALSE)</f>
        <v>OCC</v>
      </c>
      <c r="K1072">
        <f t="shared" si="16"/>
        <v>202343</v>
      </c>
      <c r="L1072">
        <f>IFERROR(Table1[[#This Row],[Demand]]/SUMIFS(Table1[Demand],Table1[Fiscal_Year],Table1[[#This Row],[Fiscal_Year]],Table1[BRAND],Table1[[#This Row],[BRAND]],Table1[DC_name_Xref],Table1[[#This Row],[DC_name_Xref]]),0)</f>
        <v>0</v>
      </c>
      <c r="M10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72" s="3">
        <f>IFERROR(INDEX(Table3[#All],MATCH(Table1[[#This Row],[Key_Year_Week_Brand]],Table3[[#All],[Key_Year_Week_Brand]],0),MATCH(Table1[[#This Row],[DC_name_Xref]],Table3[#Headers],0)),0)</f>
        <v>0</v>
      </c>
      <c r="O1072">
        <f>IFERROR(INDEX(Table35[#All],MATCH(Table1[[#This Row],[Key_Year_Week_Brand]],Table35[[#All],[Key_Year_Month_Brand]],0),MATCH(Table1[[#This Row],[DC_name_Xref]],Table35[#Headers],0)),0)</f>
        <v>0</v>
      </c>
    </row>
    <row r="1073" spans="1:15" x14ac:dyDescent="0.3">
      <c r="A1073" s="19" t="str">
        <f>Table1[[#This Row],[Year_Week]]&amp;"-"&amp;Table1[[#This Row],[DC_name_Xref]]</f>
        <v>202343-OFC</v>
      </c>
      <c r="B1073" s="19" t="str">
        <f>Table1[[#This Row],[Fiscal_Year]]*100+Table1[[#This Row],[Fiscal_Week]] &amp; "-" &amp;Table1[[#This Row],[BRAND]]</f>
        <v>202343-Gap</v>
      </c>
      <c r="C1073" t="str">
        <f>Table1[[#This Row],[Fiscal_Year]]&amp;"-"&amp;Table1[[#This Row],[BRAND]]</f>
        <v>2023-Gap</v>
      </c>
      <c r="D1073">
        <v>2023</v>
      </c>
      <c r="E1073">
        <v>43</v>
      </c>
      <c r="F1073" t="s">
        <v>16</v>
      </c>
      <c r="G1073" t="s">
        <v>5</v>
      </c>
      <c r="H1073">
        <v>1</v>
      </c>
      <c r="I1073">
        <v>5675014</v>
      </c>
      <c r="J1073" t="str">
        <f>VLOOKUP(H1073,DC_Xref!A:B,2,FALSE)</f>
        <v>OFC</v>
      </c>
      <c r="K1073">
        <f t="shared" si="16"/>
        <v>202343</v>
      </c>
      <c r="L1073">
        <f>IFERROR(Table1[[#This Row],[Demand]]/SUMIFS(Table1[Demand],Table1[Fiscal_Year],Table1[[#This Row],[Fiscal_Year]],Table1[BRAND],Table1[[#This Row],[BRAND]],Table1[DC_name_Xref],Table1[[#This Row],[DC_name_Xref]]),0)</f>
        <v>0.37281209928956971</v>
      </c>
      <c r="M10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0.67286142306667829</v>
      </c>
      <c r="N1073" s="3">
        <f>IFERROR(INDEX(Table3[#All],MATCH(Table1[[#This Row],[Key_Year_Week_Brand]],Table3[[#All],[Key_Year_Week_Brand]],0),MATCH(Table1[[#This Row],[DC_name_Xref]],Table3[#Headers],0)),0)</f>
        <v>0</v>
      </c>
      <c r="O1073">
        <f>IFERROR(INDEX(Table35[#All],MATCH(Table1[[#This Row],[Key_Year_Week_Brand]],Table35[[#All],[Key_Year_Month_Brand]],0),MATCH(Table1[[#This Row],[DC_name_Xref]],Table35[#Headers],0)),0)</f>
        <v>0</v>
      </c>
    </row>
    <row r="1074" spans="1:15" x14ac:dyDescent="0.3">
      <c r="A1074" s="19" t="str">
        <f>Table1[[#This Row],[Year_Week]]&amp;"-"&amp;Table1[[#This Row],[DC_name_Xref]]</f>
        <v>202343-TFC</v>
      </c>
      <c r="B1074" s="19" t="str">
        <f>Table1[[#This Row],[Fiscal_Year]]*100+Table1[[#This Row],[Fiscal_Week]] &amp; "-" &amp;Table1[[#This Row],[BRAND]]</f>
        <v>202343-Gap</v>
      </c>
      <c r="C1074" t="str">
        <f>Table1[[#This Row],[Fiscal_Year]]&amp;"-"&amp;Table1[[#This Row],[BRAND]]</f>
        <v>2023-Gap</v>
      </c>
      <c r="D1074">
        <v>2023</v>
      </c>
      <c r="E1074">
        <v>43</v>
      </c>
      <c r="F1074" t="s">
        <v>16</v>
      </c>
      <c r="G1074" t="s">
        <v>21</v>
      </c>
      <c r="H1074">
        <v>2</v>
      </c>
      <c r="I1074">
        <v>419</v>
      </c>
      <c r="J1074" t="str">
        <f>VLOOKUP(H1074,DC_Xref!A:B,2,FALSE)</f>
        <v>TFC</v>
      </c>
      <c r="K1074">
        <f t="shared" si="16"/>
        <v>202343</v>
      </c>
      <c r="L1074">
        <f>IFERROR(Table1[[#This Row],[Demand]]/SUMIFS(Table1[Demand],Table1[Fiscal_Year],Table1[[#This Row],[Fiscal_Year]],Table1[BRAND],Table1[[#This Row],[BRAND]],Table1[DC_name_Xref],Table1[[#This Row],[DC_name_Xref]]),0)</f>
        <v>0.12612883804936786</v>
      </c>
      <c r="M10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1.4684133329808906E-4</v>
      </c>
      <c r="N1074" s="3">
        <f>IFERROR(INDEX(Table3[#All],MATCH(Table1[[#This Row],[Key_Year_Week_Brand]],Table3[[#All],[Key_Year_Week_Brand]],0),MATCH(Table1[[#This Row],[DC_name_Xref]],Table3[#Headers],0)),0)</f>
        <v>0.25</v>
      </c>
      <c r="O1074">
        <f>IFERROR(INDEX(Table35[#All],MATCH(Table1[[#This Row],[Key_Year_Week_Brand]],Table35[[#All],[Key_Year_Month_Brand]],0),MATCH(Table1[[#This Row],[DC_name_Xref]],Table35[#Headers],0)),0)</f>
        <v>2204893</v>
      </c>
    </row>
    <row r="1075" spans="1:15" x14ac:dyDescent="0.3">
      <c r="A1075" s="19" t="str">
        <f>Table1[[#This Row],[Year_Week]]&amp;"-"&amp;Table1[[#This Row],[DC_name_Xref]]</f>
        <v>202343-WFC</v>
      </c>
      <c r="B1075" s="19" t="str">
        <f>Table1[[#This Row],[Fiscal_Year]]*100+Table1[[#This Row],[Fiscal_Week]] &amp; "-" &amp;Table1[[#This Row],[BRAND]]</f>
        <v>202343-Gap</v>
      </c>
      <c r="C1075" t="str">
        <f>Table1[[#This Row],[Fiscal_Year]]&amp;"-"&amp;Table1[[#This Row],[BRAND]]</f>
        <v>2023-Gap</v>
      </c>
      <c r="D1075">
        <v>2023</v>
      </c>
      <c r="E1075">
        <v>43</v>
      </c>
      <c r="F1075" t="s">
        <v>16</v>
      </c>
      <c r="G1075" t="s">
        <v>7</v>
      </c>
      <c r="H1075">
        <v>3</v>
      </c>
      <c r="I1075">
        <v>213453</v>
      </c>
      <c r="J1075" t="str">
        <f>VLOOKUP(H1075,DC_Xref!A:B,2,FALSE)</f>
        <v>WFC</v>
      </c>
      <c r="K1075">
        <f t="shared" si="16"/>
        <v>202343</v>
      </c>
      <c r="L1075">
        <f>IFERROR(Table1[[#This Row],[Demand]]/SUMIFS(Table1[Demand],Table1[Fiscal_Year],Table1[[#This Row],[Fiscal_Year]],Table1[BRAND],Table1[[#This Row],[BRAND]],Table1[DC_name_Xref],Table1[[#This Row],[DC_name_Xref]]),0)</f>
        <v>0.2732247361872725</v>
      </c>
      <c r="M10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3.4532732047099911E-2</v>
      </c>
      <c r="N1075" s="3">
        <f>IFERROR(INDEX(Table3[#All],MATCH(Table1[[#This Row],[Key_Year_Week_Brand]],Table3[[#All],[Key_Year_Week_Brand]],0),MATCH(Table1[[#This Row],[DC_name_Xref]],Table3[#Headers],0)),0)</f>
        <v>0</v>
      </c>
      <c r="O1075">
        <f>IFERROR(INDEX(Table35[#All],MATCH(Table1[[#This Row],[Key_Year_Week_Brand]],Table35[[#All],[Key_Year_Month_Brand]],0),MATCH(Table1[[#This Row],[DC_name_Xref]],Table35[#Headers],0)),0)</f>
        <v>0</v>
      </c>
    </row>
    <row r="1076" spans="1:15" x14ac:dyDescent="0.3">
      <c r="A1076" s="19" t="str">
        <f>Table1[[#This Row],[Year_Week]]&amp;"-"&amp;Table1[[#This Row],[DC_name_Xref]]</f>
        <v>202343-EAO</v>
      </c>
      <c r="B1076" s="19" t="str">
        <f>Table1[[#This Row],[Fiscal_Year]]*100+Table1[[#This Row],[Fiscal_Week]] &amp; "-" &amp;Table1[[#This Row],[BRAND]]</f>
        <v>202343-Gap</v>
      </c>
      <c r="C1076" t="str">
        <f>Table1[[#This Row],[Fiscal_Year]]&amp;"-"&amp;Table1[[#This Row],[BRAND]]</f>
        <v>2023-Gap</v>
      </c>
      <c r="D1076">
        <v>2023</v>
      </c>
      <c r="E1076">
        <v>43</v>
      </c>
      <c r="F1076" t="s">
        <v>16</v>
      </c>
      <c r="G1076" t="s">
        <v>8</v>
      </c>
      <c r="H1076">
        <v>4</v>
      </c>
      <c r="I1076">
        <v>1008</v>
      </c>
      <c r="J1076" t="str">
        <f>VLOOKUP(H1076,DC_Xref!A:B,2,FALSE)</f>
        <v>EAO</v>
      </c>
      <c r="K1076">
        <f t="shared" si="16"/>
        <v>202343</v>
      </c>
      <c r="L1076">
        <f>IFERROR(Table1[[#This Row],[Demand]]/SUMIFS(Table1[Demand],Table1[Fiscal_Year],Table1[[#This Row],[Fiscal_Year]],Table1[BRAND],Table1[[#This Row],[BRAND]],Table1[DC_name_Xref],Table1[[#This Row],[DC_name_Xref]]),0)</f>
        <v>0.35455504748505101</v>
      </c>
      <c r="M10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1.2566824520363249E-4</v>
      </c>
      <c r="N1076" s="3">
        <f>IFERROR(INDEX(Table3[#All],MATCH(Table1[[#This Row],[Key_Year_Week_Brand]],Table3[[#All],[Key_Year_Week_Brand]],0),MATCH(Table1[[#This Row],[DC_name_Xref]],Table3[#Headers],0)),0)</f>
        <v>0</v>
      </c>
      <c r="O1076">
        <f>IFERROR(INDEX(Table35[#All],MATCH(Table1[[#This Row],[Key_Year_Week_Brand]],Table35[[#All],[Key_Year_Month_Brand]],0),MATCH(Table1[[#This Row],[DC_name_Xref]],Table35[#Headers],0)),0)</f>
        <v>0</v>
      </c>
    </row>
    <row r="1077" spans="1:15" x14ac:dyDescent="0.3">
      <c r="A1077" s="19" t="str">
        <f>Table1[[#This Row],[Year_Week]]&amp;"-"&amp;Table1[[#This Row],[DC_name_Xref]]</f>
        <v>202343-FFC-ODC</v>
      </c>
      <c r="B1077" s="19" t="str">
        <f>Table1[[#This Row],[Fiscal_Year]]*100+Table1[[#This Row],[Fiscal_Week]] &amp; "-" &amp;Table1[[#This Row],[BRAND]]</f>
        <v>202343-Gap</v>
      </c>
      <c r="C1077" t="str">
        <f>Table1[[#This Row],[Fiscal_Year]]&amp;"-"&amp;Table1[[#This Row],[BRAND]]</f>
        <v>2023-Gap</v>
      </c>
      <c r="D1077">
        <v>2023</v>
      </c>
      <c r="E1077">
        <v>43</v>
      </c>
      <c r="F1077" t="s">
        <v>16</v>
      </c>
      <c r="G1077" t="s">
        <v>23</v>
      </c>
      <c r="H1077">
        <v>5</v>
      </c>
      <c r="I1077">
        <v>0</v>
      </c>
      <c r="J1077" t="str">
        <f>VLOOKUP(H1077,DC_Xref!A:B,2,FALSE)</f>
        <v>FFC-ODC</v>
      </c>
      <c r="K1077">
        <f t="shared" si="16"/>
        <v>202343</v>
      </c>
      <c r="L1077">
        <f>IFERROR(Table1[[#This Row],[Demand]]/SUMIFS(Table1[Demand],Table1[Fiscal_Year],Table1[[#This Row],[Fiscal_Year]],Table1[BRAND],Table1[[#This Row],[BRAND]],Table1[DC_name_Xref],Table1[[#This Row],[DC_name_Xref]]),0)</f>
        <v>0</v>
      </c>
      <c r="M10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77" s="3">
        <f>IFERROR(INDEX(Table3[#All],MATCH(Table1[[#This Row],[Key_Year_Week_Brand]],Table3[[#All],[Key_Year_Week_Brand]],0),MATCH(Table1[[#This Row],[DC_name_Xref]],Table3[#Headers],0)),0)</f>
        <v>0</v>
      </c>
      <c r="O1077">
        <f>IFERROR(INDEX(Table35[#All],MATCH(Table1[[#This Row],[Key_Year_Week_Brand]],Table35[[#All],[Key_Year_Month_Brand]],0),MATCH(Table1[[#This Row],[DC_name_Xref]],Table35[#Headers],0)),0)</f>
        <v>0</v>
      </c>
    </row>
    <row r="1078" spans="1:15" x14ac:dyDescent="0.3">
      <c r="A1078" s="19" t="str">
        <f>Table1[[#This Row],[Year_Week]]&amp;"-"&amp;Table1[[#This Row],[DC_name_Xref]]</f>
        <v>202343-WEO</v>
      </c>
      <c r="B1078" s="19" t="str">
        <f>Table1[[#This Row],[Fiscal_Year]]*100+Table1[[#This Row],[Fiscal_Week]] &amp; "-" &amp;Table1[[#This Row],[BRAND]]</f>
        <v>202343-Gap</v>
      </c>
      <c r="C1078" t="str">
        <f>Table1[[#This Row],[Fiscal_Year]]&amp;"-"&amp;Table1[[#This Row],[BRAND]]</f>
        <v>2023-Gap</v>
      </c>
      <c r="D1078">
        <v>2023</v>
      </c>
      <c r="E1078">
        <v>43</v>
      </c>
      <c r="F1078" t="s">
        <v>16</v>
      </c>
      <c r="G1078" t="s">
        <v>10</v>
      </c>
      <c r="H1078">
        <v>6</v>
      </c>
      <c r="I1078">
        <v>2929678</v>
      </c>
      <c r="J1078" t="str">
        <f>VLOOKUP(H1078,DC_Xref!A:B,2,FALSE)</f>
        <v>WEO</v>
      </c>
      <c r="K1078">
        <f t="shared" si="16"/>
        <v>202343</v>
      </c>
      <c r="L1078">
        <f>IFERROR(Table1[[#This Row],[Demand]]/SUMIFS(Table1[Demand],Table1[Fiscal_Year],Table1[[#This Row],[Fiscal_Year]],Table1[BRAND],Table1[[#This Row],[BRAND]],Table1[DC_name_Xref],Table1[[#This Row],[DC_name_Xref]]),0)</f>
        <v>0.44298624293374406</v>
      </c>
      <c r="M10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0.2923333353077201</v>
      </c>
      <c r="N1078" s="3">
        <f>IFERROR(INDEX(Table3[#All],MATCH(Table1[[#This Row],[Key_Year_Week_Brand]],Table3[[#All],[Key_Year_Week_Brand]],0),MATCH(Table1[[#This Row],[DC_name_Xref]],Table3[#Headers],0)),0)</f>
        <v>0.45</v>
      </c>
      <c r="O1078">
        <f>IFERROR(INDEX(Table35[#All],MATCH(Table1[[#This Row],[Key_Year_Week_Brand]],Table35[[#All],[Key_Year_Month_Brand]],0),MATCH(Table1[[#This Row],[DC_name_Xref]],Table35[#Headers],0)),0)</f>
        <v>3968807.4</v>
      </c>
    </row>
    <row r="1079" spans="1:15" x14ac:dyDescent="0.3">
      <c r="A1079" s="19" t="str">
        <f>Table1[[#This Row],[Year_Week]]&amp;"-"&amp;Table1[[#This Row],[DC_name_Xref]]</f>
        <v>202343-OCC</v>
      </c>
      <c r="B1079" s="19" t="str">
        <f>Table1[[#This Row],[Fiscal_Year]]*100+Table1[[#This Row],[Fiscal_Week]] &amp; "-" &amp;Table1[[#This Row],[BRAND]]</f>
        <v>202343-Gap</v>
      </c>
      <c r="C1079" t="str">
        <f>Table1[[#This Row],[Fiscal_Year]]&amp;"-"&amp;Table1[[#This Row],[BRAND]]</f>
        <v>2023-Gap</v>
      </c>
      <c r="D1079">
        <v>2023</v>
      </c>
      <c r="E1079">
        <v>43</v>
      </c>
      <c r="F1079" t="s">
        <v>16</v>
      </c>
      <c r="G1079" t="s">
        <v>11</v>
      </c>
      <c r="H1079">
        <v>7</v>
      </c>
      <c r="I1079">
        <v>0</v>
      </c>
      <c r="J1079" t="str">
        <f>VLOOKUP(H1079,DC_Xref!A:B,2,FALSE)</f>
        <v>OCC</v>
      </c>
      <c r="K1079">
        <f t="shared" si="16"/>
        <v>202343</v>
      </c>
      <c r="L1079">
        <f>IFERROR(Table1[[#This Row],[Demand]]/SUMIFS(Table1[Demand],Table1[Fiscal_Year],Table1[[#This Row],[Fiscal_Year]],Table1[BRAND],Table1[[#This Row],[BRAND]],Table1[DC_name_Xref],Table1[[#This Row],[DC_name_Xref]]),0)</f>
        <v>0</v>
      </c>
      <c r="M10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79" s="3">
        <f>IFERROR(INDEX(Table3[#All],MATCH(Table1[[#This Row],[Key_Year_Week_Brand]],Table3[[#All],[Key_Year_Week_Brand]],0),MATCH(Table1[[#This Row],[DC_name_Xref]],Table3[#Headers],0)),0)</f>
        <v>0.3</v>
      </c>
      <c r="O1079">
        <f>IFERROR(INDEX(Table35[#All],MATCH(Table1[[#This Row],[Key_Year_Week_Brand]],Table35[[#All],[Key_Year_Month_Brand]],0),MATCH(Table1[[#This Row],[DC_name_Xref]],Table35[#Headers],0)),0)</f>
        <v>2645871.6</v>
      </c>
    </row>
    <row r="1080" spans="1:15" x14ac:dyDescent="0.3">
      <c r="A1080" s="19" t="str">
        <f>Table1[[#This Row],[Year_Week]]&amp;"-"&amp;Table1[[#This Row],[DC_name_Xref]]</f>
        <v>202343-OFC</v>
      </c>
      <c r="B1080" s="19" t="str">
        <f>Table1[[#This Row],[Fiscal_Year]]*100+Table1[[#This Row],[Fiscal_Week]] &amp; "-" &amp;Table1[[#This Row],[BRAND]]</f>
        <v>202343-BR Factory Store</v>
      </c>
      <c r="C1080" t="str">
        <f>Table1[[#This Row],[Fiscal_Year]]&amp;"-"&amp;Table1[[#This Row],[BRAND]]</f>
        <v>2023-BR Factory Store</v>
      </c>
      <c r="D1080">
        <v>2023</v>
      </c>
      <c r="E1080">
        <v>43</v>
      </c>
      <c r="F1080" t="s">
        <v>17</v>
      </c>
      <c r="G1080" t="s">
        <v>5</v>
      </c>
      <c r="H1080">
        <v>1</v>
      </c>
      <c r="I1080">
        <v>1342268</v>
      </c>
      <c r="J1080" t="str">
        <f>VLOOKUP(H1080,DC_Xref!A:B,2,FALSE)</f>
        <v>OFC</v>
      </c>
      <c r="K1080">
        <f t="shared" si="16"/>
        <v>202343</v>
      </c>
      <c r="L1080">
        <f>IFERROR(Table1[[#This Row],[Demand]]/SUMIFS(Table1[Demand],Table1[Fiscal_Year],Table1[[#This Row],[Fiscal_Year]],Table1[BRAND],Table1[[#This Row],[BRAND]],Table1[DC_name_Xref],Table1[[#This Row],[DC_name_Xref]]),0)</f>
        <v>0.39987618825462679</v>
      </c>
      <c r="M10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080" s="3">
        <f>IFERROR(INDEX(Table3[#All],MATCH(Table1[[#This Row],[Key_Year_Week_Brand]],Table3[[#All],[Key_Year_Week_Brand]],0),MATCH(Table1[[#This Row],[DC_name_Xref]],Table3[#Headers],0)),0)</f>
        <v>1</v>
      </c>
      <c r="O1080">
        <f>IFERROR(INDEX(Table35[#All],MATCH(Table1[[#This Row],[Key_Year_Week_Brand]],Table35[[#All],[Key_Year_Month_Brand]],0),MATCH(Table1[[#This Row],[DC_name_Xref]],Table35[#Headers],0)),0)</f>
        <v>1342268</v>
      </c>
    </row>
    <row r="1081" spans="1:15" x14ac:dyDescent="0.3">
      <c r="A1081" s="19" t="str">
        <f>Table1[[#This Row],[Year_Week]]&amp;"-"&amp;Table1[[#This Row],[DC_name_Xref]]</f>
        <v>202343-TFC</v>
      </c>
      <c r="B1081" s="19" t="str">
        <f>Table1[[#This Row],[Fiscal_Year]]*100+Table1[[#This Row],[Fiscal_Week]] &amp; "-" &amp;Table1[[#This Row],[BRAND]]</f>
        <v>202343-BR Factory Store</v>
      </c>
      <c r="C1081" t="str">
        <f>Table1[[#This Row],[Fiscal_Year]]&amp;"-"&amp;Table1[[#This Row],[BRAND]]</f>
        <v>2023-BR Factory Store</v>
      </c>
      <c r="D1081">
        <v>2023</v>
      </c>
      <c r="E1081">
        <v>43</v>
      </c>
      <c r="F1081" t="s">
        <v>17</v>
      </c>
      <c r="G1081" t="s">
        <v>21</v>
      </c>
      <c r="H1081">
        <v>2</v>
      </c>
      <c r="I1081">
        <v>0</v>
      </c>
      <c r="J1081" t="str">
        <f>VLOOKUP(H1081,DC_Xref!A:B,2,FALSE)</f>
        <v>TFC</v>
      </c>
      <c r="K1081">
        <f t="shared" si="16"/>
        <v>202343</v>
      </c>
      <c r="L1081">
        <f>IFERROR(Table1[[#This Row],[Demand]]/SUMIFS(Table1[Demand],Table1[Fiscal_Year],Table1[[#This Row],[Fiscal_Year]],Table1[BRAND],Table1[[#This Row],[BRAND]],Table1[DC_name_Xref],Table1[[#This Row],[DC_name_Xref]]),0)</f>
        <v>0</v>
      </c>
      <c r="M10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1" s="3">
        <f>IFERROR(INDEX(Table3[#All],MATCH(Table1[[#This Row],[Key_Year_Week_Brand]],Table3[[#All],[Key_Year_Week_Brand]],0),MATCH(Table1[[#This Row],[DC_name_Xref]],Table3[#Headers],0)),0)</f>
        <v>0</v>
      </c>
      <c r="O1081">
        <f>IFERROR(INDEX(Table35[#All],MATCH(Table1[[#This Row],[Key_Year_Week_Brand]],Table35[[#All],[Key_Year_Month_Brand]],0),MATCH(Table1[[#This Row],[DC_name_Xref]],Table35[#Headers],0)),0)</f>
        <v>0</v>
      </c>
    </row>
    <row r="1082" spans="1:15" x14ac:dyDescent="0.3">
      <c r="A1082" s="19" t="str">
        <f>Table1[[#This Row],[Year_Week]]&amp;"-"&amp;Table1[[#This Row],[DC_name_Xref]]</f>
        <v>202343-WFC</v>
      </c>
      <c r="B1082" s="19" t="str">
        <f>Table1[[#This Row],[Fiscal_Year]]*100+Table1[[#This Row],[Fiscal_Week]] &amp; "-" &amp;Table1[[#This Row],[BRAND]]</f>
        <v>202343-BR Factory Store</v>
      </c>
      <c r="C1082" t="str">
        <f>Table1[[#This Row],[Fiscal_Year]]&amp;"-"&amp;Table1[[#This Row],[BRAND]]</f>
        <v>2023-BR Factory Store</v>
      </c>
      <c r="D1082">
        <v>2023</v>
      </c>
      <c r="E1082">
        <v>43</v>
      </c>
      <c r="F1082" t="s">
        <v>17</v>
      </c>
      <c r="G1082" t="s">
        <v>7</v>
      </c>
      <c r="H1082">
        <v>3</v>
      </c>
      <c r="I1082">
        <v>0</v>
      </c>
      <c r="J1082" t="str">
        <f>VLOOKUP(H1082,DC_Xref!A:B,2,FALSE)</f>
        <v>WFC</v>
      </c>
      <c r="K1082">
        <f t="shared" si="16"/>
        <v>202343</v>
      </c>
      <c r="L1082">
        <f>IFERROR(Table1[[#This Row],[Demand]]/SUMIFS(Table1[Demand],Table1[Fiscal_Year],Table1[[#This Row],[Fiscal_Year]],Table1[BRAND],Table1[[#This Row],[BRAND]],Table1[DC_name_Xref],Table1[[#This Row],[DC_name_Xref]]),0)</f>
        <v>0</v>
      </c>
      <c r="M10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2" s="3">
        <f>IFERROR(INDEX(Table3[#All],MATCH(Table1[[#This Row],[Key_Year_Week_Brand]],Table3[[#All],[Key_Year_Week_Brand]],0),MATCH(Table1[[#This Row],[DC_name_Xref]],Table3[#Headers],0)),0)</f>
        <v>0</v>
      </c>
      <c r="O1082">
        <f>IFERROR(INDEX(Table35[#All],MATCH(Table1[[#This Row],[Key_Year_Week_Brand]],Table35[[#All],[Key_Year_Month_Brand]],0),MATCH(Table1[[#This Row],[DC_name_Xref]],Table35[#Headers],0)),0)</f>
        <v>0</v>
      </c>
    </row>
    <row r="1083" spans="1:15" x14ac:dyDescent="0.3">
      <c r="A1083" s="19" t="str">
        <f>Table1[[#This Row],[Year_Week]]&amp;"-"&amp;Table1[[#This Row],[DC_name_Xref]]</f>
        <v>202343-EAO</v>
      </c>
      <c r="B1083" s="19" t="str">
        <f>Table1[[#This Row],[Fiscal_Year]]*100+Table1[[#This Row],[Fiscal_Week]] &amp; "-" &amp;Table1[[#This Row],[BRAND]]</f>
        <v>202343-BR Factory Store</v>
      </c>
      <c r="C1083" t="str">
        <f>Table1[[#This Row],[Fiscal_Year]]&amp;"-"&amp;Table1[[#This Row],[BRAND]]</f>
        <v>2023-BR Factory Store</v>
      </c>
      <c r="D1083">
        <v>2023</v>
      </c>
      <c r="E1083">
        <v>43</v>
      </c>
      <c r="F1083" t="s">
        <v>17</v>
      </c>
      <c r="G1083" t="s">
        <v>8</v>
      </c>
      <c r="H1083">
        <v>4</v>
      </c>
      <c r="I1083">
        <v>0</v>
      </c>
      <c r="J1083" t="str">
        <f>VLOOKUP(H1083,DC_Xref!A:B,2,FALSE)</f>
        <v>EAO</v>
      </c>
      <c r="K1083">
        <f t="shared" si="16"/>
        <v>202343</v>
      </c>
      <c r="L1083">
        <f>IFERROR(Table1[[#This Row],[Demand]]/SUMIFS(Table1[Demand],Table1[Fiscal_Year],Table1[[#This Row],[Fiscal_Year]],Table1[BRAND],Table1[[#This Row],[BRAND]],Table1[DC_name_Xref],Table1[[#This Row],[DC_name_Xref]]),0)</f>
        <v>0</v>
      </c>
      <c r="M10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3" s="3">
        <f>IFERROR(INDEX(Table3[#All],MATCH(Table1[[#This Row],[Key_Year_Week_Brand]],Table3[[#All],[Key_Year_Week_Brand]],0),MATCH(Table1[[#This Row],[DC_name_Xref]],Table3[#Headers],0)),0)</f>
        <v>0</v>
      </c>
      <c r="O1083">
        <f>IFERROR(INDEX(Table35[#All],MATCH(Table1[[#This Row],[Key_Year_Week_Brand]],Table35[[#All],[Key_Year_Month_Brand]],0),MATCH(Table1[[#This Row],[DC_name_Xref]],Table35[#Headers],0)),0)</f>
        <v>0</v>
      </c>
    </row>
    <row r="1084" spans="1:15" x14ac:dyDescent="0.3">
      <c r="A1084" s="19" t="str">
        <f>Table1[[#This Row],[Year_Week]]&amp;"-"&amp;Table1[[#This Row],[DC_name_Xref]]</f>
        <v>202343-FFC-ODC</v>
      </c>
      <c r="B1084" s="19" t="str">
        <f>Table1[[#This Row],[Fiscal_Year]]*100+Table1[[#This Row],[Fiscal_Week]] &amp; "-" &amp;Table1[[#This Row],[BRAND]]</f>
        <v>202343-BR Factory Store</v>
      </c>
      <c r="C1084" t="str">
        <f>Table1[[#This Row],[Fiscal_Year]]&amp;"-"&amp;Table1[[#This Row],[BRAND]]</f>
        <v>2023-BR Factory Store</v>
      </c>
      <c r="D1084">
        <v>2023</v>
      </c>
      <c r="E1084">
        <v>43</v>
      </c>
      <c r="F1084" t="s">
        <v>17</v>
      </c>
      <c r="G1084" t="s">
        <v>23</v>
      </c>
      <c r="H1084">
        <v>5</v>
      </c>
      <c r="I1084">
        <v>0</v>
      </c>
      <c r="J1084" t="str">
        <f>VLOOKUP(H1084,DC_Xref!A:B,2,FALSE)</f>
        <v>FFC-ODC</v>
      </c>
      <c r="K1084">
        <f t="shared" si="16"/>
        <v>202343</v>
      </c>
      <c r="L1084">
        <f>IFERROR(Table1[[#This Row],[Demand]]/SUMIFS(Table1[Demand],Table1[Fiscal_Year],Table1[[#This Row],[Fiscal_Year]],Table1[BRAND],Table1[[#This Row],[BRAND]],Table1[DC_name_Xref],Table1[[#This Row],[DC_name_Xref]]),0)</f>
        <v>0</v>
      </c>
      <c r="M10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4" s="3">
        <f>IFERROR(INDEX(Table3[#All],MATCH(Table1[[#This Row],[Key_Year_Week_Brand]],Table3[[#All],[Key_Year_Week_Brand]],0),MATCH(Table1[[#This Row],[DC_name_Xref]],Table3[#Headers],0)),0)</f>
        <v>0</v>
      </c>
      <c r="O1084">
        <f>IFERROR(INDEX(Table35[#All],MATCH(Table1[[#This Row],[Key_Year_Week_Brand]],Table35[[#All],[Key_Year_Month_Brand]],0),MATCH(Table1[[#This Row],[DC_name_Xref]],Table35[#Headers],0)),0)</f>
        <v>0</v>
      </c>
    </row>
    <row r="1085" spans="1:15" x14ac:dyDescent="0.3">
      <c r="A1085" s="19" t="str">
        <f>Table1[[#This Row],[Year_Week]]&amp;"-"&amp;Table1[[#This Row],[DC_name_Xref]]</f>
        <v>202343-WEO</v>
      </c>
      <c r="B1085" s="19" t="str">
        <f>Table1[[#This Row],[Fiscal_Year]]*100+Table1[[#This Row],[Fiscal_Week]] &amp; "-" &amp;Table1[[#This Row],[BRAND]]</f>
        <v>202343-BR Factory Store</v>
      </c>
      <c r="C1085" t="str">
        <f>Table1[[#This Row],[Fiscal_Year]]&amp;"-"&amp;Table1[[#This Row],[BRAND]]</f>
        <v>2023-BR Factory Store</v>
      </c>
      <c r="D1085">
        <v>2023</v>
      </c>
      <c r="E1085">
        <v>43</v>
      </c>
      <c r="F1085" t="s">
        <v>17</v>
      </c>
      <c r="G1085" t="s">
        <v>10</v>
      </c>
      <c r="H1085">
        <v>6</v>
      </c>
      <c r="I1085">
        <v>0</v>
      </c>
      <c r="J1085" t="str">
        <f>VLOOKUP(H1085,DC_Xref!A:B,2,FALSE)</f>
        <v>WEO</v>
      </c>
      <c r="K1085">
        <f t="shared" si="16"/>
        <v>202343</v>
      </c>
      <c r="L1085">
        <f>IFERROR(Table1[[#This Row],[Demand]]/SUMIFS(Table1[Demand],Table1[Fiscal_Year],Table1[[#This Row],[Fiscal_Year]],Table1[BRAND],Table1[[#This Row],[BRAND]],Table1[DC_name_Xref],Table1[[#This Row],[DC_name_Xref]]),0)</f>
        <v>0</v>
      </c>
      <c r="M10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5" s="3">
        <f>IFERROR(INDEX(Table3[#All],MATCH(Table1[[#This Row],[Key_Year_Week_Brand]],Table3[[#All],[Key_Year_Week_Brand]],0),MATCH(Table1[[#This Row],[DC_name_Xref]],Table3[#Headers],0)),0)</f>
        <v>0</v>
      </c>
      <c r="O1085">
        <f>IFERROR(INDEX(Table35[#All],MATCH(Table1[[#This Row],[Key_Year_Week_Brand]],Table35[[#All],[Key_Year_Month_Brand]],0),MATCH(Table1[[#This Row],[DC_name_Xref]],Table35[#Headers],0)),0)</f>
        <v>0</v>
      </c>
    </row>
    <row r="1086" spans="1:15" x14ac:dyDescent="0.3">
      <c r="A1086" s="19" t="str">
        <f>Table1[[#This Row],[Year_Week]]&amp;"-"&amp;Table1[[#This Row],[DC_name_Xref]]</f>
        <v>202343-OCC</v>
      </c>
      <c r="B1086" s="19" t="str">
        <f>Table1[[#This Row],[Fiscal_Year]]*100+Table1[[#This Row],[Fiscal_Week]] &amp; "-" &amp;Table1[[#This Row],[BRAND]]</f>
        <v>202343-BR Factory Store</v>
      </c>
      <c r="C1086" t="str">
        <f>Table1[[#This Row],[Fiscal_Year]]&amp;"-"&amp;Table1[[#This Row],[BRAND]]</f>
        <v>2023-BR Factory Store</v>
      </c>
      <c r="D1086">
        <v>2023</v>
      </c>
      <c r="E1086">
        <v>43</v>
      </c>
      <c r="F1086" t="s">
        <v>17</v>
      </c>
      <c r="G1086" t="s">
        <v>11</v>
      </c>
      <c r="H1086">
        <v>7</v>
      </c>
      <c r="I1086">
        <v>0</v>
      </c>
      <c r="J1086" t="str">
        <f>VLOOKUP(H1086,DC_Xref!A:B,2,FALSE)</f>
        <v>OCC</v>
      </c>
      <c r="K1086">
        <f t="shared" si="16"/>
        <v>202343</v>
      </c>
      <c r="L1086">
        <f>IFERROR(Table1[[#This Row],[Demand]]/SUMIFS(Table1[Demand],Table1[Fiscal_Year],Table1[[#This Row],[Fiscal_Year]],Table1[BRAND],Table1[[#This Row],[BRAND]],Table1[DC_name_Xref],Table1[[#This Row],[DC_name_Xref]]),0)</f>
        <v>0</v>
      </c>
      <c r="M10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6" s="3">
        <f>IFERROR(INDEX(Table3[#All],MATCH(Table1[[#This Row],[Key_Year_Week_Brand]],Table3[[#All],[Key_Year_Week_Brand]],0),MATCH(Table1[[#This Row],[DC_name_Xref]],Table3[#Headers],0)),0)</f>
        <v>0</v>
      </c>
      <c r="O1086">
        <f>IFERROR(INDEX(Table35[#All],MATCH(Table1[[#This Row],[Key_Year_Week_Brand]],Table35[[#All],[Key_Year_Month_Brand]],0),MATCH(Table1[[#This Row],[DC_name_Xref]],Table35[#Headers],0)),0)</f>
        <v>0</v>
      </c>
    </row>
    <row r="1087" spans="1:15" x14ac:dyDescent="0.3">
      <c r="A1087" s="19" t="str">
        <f>Table1[[#This Row],[Year_Week]]&amp;"-"&amp;Table1[[#This Row],[DC_name_Xref]]</f>
        <v>202343-OFC</v>
      </c>
      <c r="B1087" s="19" t="str">
        <f>Table1[[#This Row],[Fiscal_Year]]*100+Table1[[#This Row],[Fiscal_Week]] &amp; "-" &amp;Table1[[#This Row],[BRAND]]</f>
        <v>202343-Athleta</v>
      </c>
      <c r="C1087" t="str">
        <f>Table1[[#This Row],[Fiscal_Year]]&amp;"-"&amp;Table1[[#This Row],[BRAND]]</f>
        <v>2023-Athleta</v>
      </c>
      <c r="D1087">
        <v>2023</v>
      </c>
      <c r="E1087">
        <v>43</v>
      </c>
      <c r="F1087" t="s">
        <v>19</v>
      </c>
      <c r="G1087" t="s">
        <v>5</v>
      </c>
      <c r="H1087">
        <v>1</v>
      </c>
      <c r="I1087">
        <v>84055</v>
      </c>
      <c r="J1087" t="str">
        <f>VLOOKUP(H1087,DC_Xref!A:B,2,FALSE)</f>
        <v>OFC</v>
      </c>
      <c r="K1087">
        <f t="shared" si="16"/>
        <v>202343</v>
      </c>
      <c r="L1087">
        <f>IFERROR(Table1[[#This Row],[Demand]]/SUMIFS(Table1[Demand],Table1[Fiscal_Year],Table1[[#This Row],[Fiscal_Year]],Table1[BRAND],Table1[[#This Row],[BRAND]],Table1[DC_name_Xref],Table1[[#This Row],[DC_name_Xref]]),0)</f>
        <v>0.22746461721646416</v>
      </c>
      <c r="M10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9.6407211874108403E-2</v>
      </c>
      <c r="N1087" s="3">
        <f>IFERROR(INDEX(Table3[#All],MATCH(Table1[[#This Row],[Key_Year_Week_Brand]],Table3[[#All],[Key_Year_Week_Brand]],0),MATCH(Table1[[#This Row],[DC_name_Xref]],Table3[#Headers],0)),0)</f>
        <v>0</v>
      </c>
      <c r="O1087">
        <f>IFERROR(INDEX(Table35[#All],MATCH(Table1[[#This Row],[Key_Year_Week_Brand]],Table35[[#All],[Key_Year_Month_Brand]],0),MATCH(Table1[[#This Row],[DC_name_Xref]],Table35[#Headers],0)),0)</f>
        <v>0</v>
      </c>
    </row>
    <row r="1088" spans="1:15" x14ac:dyDescent="0.3">
      <c r="A1088" s="19" t="str">
        <f>Table1[[#This Row],[Year_Week]]&amp;"-"&amp;Table1[[#This Row],[DC_name_Xref]]</f>
        <v>202343-TFC</v>
      </c>
      <c r="B1088" s="19" t="str">
        <f>Table1[[#This Row],[Fiscal_Year]]*100+Table1[[#This Row],[Fiscal_Week]] &amp; "-" &amp;Table1[[#This Row],[BRAND]]</f>
        <v>202343-Athleta</v>
      </c>
      <c r="C1088" t="str">
        <f>Table1[[#This Row],[Fiscal_Year]]&amp;"-"&amp;Table1[[#This Row],[BRAND]]</f>
        <v>2023-Athleta</v>
      </c>
      <c r="D1088">
        <v>2023</v>
      </c>
      <c r="E1088">
        <v>43</v>
      </c>
      <c r="F1088" t="s">
        <v>19</v>
      </c>
      <c r="G1088" t="s">
        <v>21</v>
      </c>
      <c r="H1088">
        <v>2</v>
      </c>
      <c r="I1088">
        <v>786092</v>
      </c>
      <c r="J1088" t="str">
        <f>VLOOKUP(H1088,DC_Xref!A:B,2,FALSE)</f>
        <v>TFC</v>
      </c>
      <c r="K1088">
        <f t="shared" si="16"/>
        <v>202343</v>
      </c>
      <c r="L1088">
        <f>IFERROR(Table1[[#This Row],[Demand]]/SUMIFS(Table1[Demand],Table1[Fiscal_Year],Table1[[#This Row],[Fiscal_Year]],Table1[BRAND],Table1[[#This Row],[BRAND]],Table1[DC_name_Xref],Table1[[#This Row],[DC_name_Xref]]),0)</f>
        <v>0.22697400239132148</v>
      </c>
      <c r="M10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0.90356017669655087</v>
      </c>
      <c r="N1088" s="3">
        <f>IFERROR(INDEX(Table3[#All],MATCH(Table1[[#This Row],[Key_Year_Week_Brand]],Table3[[#All],[Key_Year_Week_Brand]],0),MATCH(Table1[[#This Row],[DC_name_Xref]],Table3[#Headers],0)),0)</f>
        <v>1</v>
      </c>
      <c r="O1088">
        <f>IFERROR(INDEX(Table35[#All],MATCH(Table1[[#This Row],[Key_Year_Week_Brand]],Table35[[#All],[Key_Year_Month_Brand]],0),MATCH(Table1[[#This Row],[DC_name_Xref]],Table35[#Headers],0)),0)</f>
        <v>870171</v>
      </c>
    </row>
    <row r="1089" spans="1:15" x14ac:dyDescent="0.3">
      <c r="A1089" s="19" t="str">
        <f>Table1[[#This Row],[Year_Week]]&amp;"-"&amp;Table1[[#This Row],[DC_name_Xref]]</f>
        <v>202343-WFC</v>
      </c>
      <c r="B1089" s="19" t="str">
        <f>Table1[[#This Row],[Fiscal_Year]]*100+Table1[[#This Row],[Fiscal_Week]] &amp; "-" &amp;Table1[[#This Row],[BRAND]]</f>
        <v>202343-Athleta</v>
      </c>
      <c r="C1089" t="str">
        <f>Table1[[#This Row],[Fiscal_Year]]&amp;"-"&amp;Table1[[#This Row],[BRAND]]</f>
        <v>2023-Athleta</v>
      </c>
      <c r="D1089">
        <v>2023</v>
      </c>
      <c r="E1089">
        <v>43</v>
      </c>
      <c r="F1089" t="s">
        <v>19</v>
      </c>
      <c r="G1089" t="s">
        <v>7</v>
      </c>
      <c r="H1089">
        <v>3</v>
      </c>
      <c r="I1089">
        <v>0</v>
      </c>
      <c r="J1089" t="str">
        <f>VLOOKUP(H1089,DC_Xref!A:B,2,FALSE)</f>
        <v>WFC</v>
      </c>
      <c r="K1089">
        <f t="shared" si="16"/>
        <v>202343</v>
      </c>
      <c r="L1089">
        <f>IFERROR(Table1[[#This Row],[Demand]]/SUMIFS(Table1[Demand],Table1[Fiscal_Year],Table1[[#This Row],[Fiscal_Year]],Table1[BRAND],Table1[[#This Row],[BRAND]],Table1[DC_name_Xref],Table1[[#This Row],[DC_name_Xref]]),0)</f>
        <v>0</v>
      </c>
      <c r="M10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89" s="3">
        <f>IFERROR(INDEX(Table3[#All],MATCH(Table1[[#This Row],[Key_Year_Week_Brand]],Table3[[#All],[Key_Year_Week_Brand]],0),MATCH(Table1[[#This Row],[DC_name_Xref]],Table3[#Headers],0)),0)</f>
        <v>0</v>
      </c>
      <c r="O1089">
        <f>IFERROR(INDEX(Table35[#All],MATCH(Table1[[#This Row],[Key_Year_Week_Brand]],Table35[[#All],[Key_Year_Month_Brand]],0),MATCH(Table1[[#This Row],[DC_name_Xref]],Table35[#Headers],0)),0)</f>
        <v>0</v>
      </c>
    </row>
    <row r="1090" spans="1:15" x14ac:dyDescent="0.3">
      <c r="A1090" s="19" t="str">
        <f>Table1[[#This Row],[Year_Week]]&amp;"-"&amp;Table1[[#This Row],[DC_name_Xref]]</f>
        <v>202343-EAO</v>
      </c>
      <c r="B1090" s="19" t="str">
        <f>Table1[[#This Row],[Fiscal_Year]]*100+Table1[[#This Row],[Fiscal_Week]] &amp; "-" &amp;Table1[[#This Row],[BRAND]]</f>
        <v>202343-Athleta</v>
      </c>
      <c r="C1090" t="str">
        <f>Table1[[#This Row],[Fiscal_Year]]&amp;"-"&amp;Table1[[#This Row],[BRAND]]</f>
        <v>2023-Athleta</v>
      </c>
      <c r="D1090">
        <v>2023</v>
      </c>
      <c r="E1090">
        <v>43</v>
      </c>
      <c r="F1090" t="s">
        <v>19</v>
      </c>
      <c r="G1090" t="s">
        <v>8</v>
      </c>
      <c r="H1090">
        <v>4</v>
      </c>
      <c r="I1090">
        <v>24</v>
      </c>
      <c r="J1090" t="str">
        <f>VLOOKUP(H1090,DC_Xref!A:B,2,FALSE)</f>
        <v>EAO</v>
      </c>
      <c r="K1090">
        <f t="shared" ref="K1090:K1153" si="17">D1090*100+E1090</f>
        <v>202343</v>
      </c>
      <c r="L1090">
        <f>IFERROR(Table1[[#This Row],[Demand]]/SUMIFS(Table1[Demand],Table1[Fiscal_Year],Table1[[#This Row],[Fiscal_Year]],Table1[BRAND],Table1[[#This Row],[BRAND]],Table1[DC_name_Xref],Table1[[#This Row],[DC_name_Xref]]),0)</f>
        <v>0.192</v>
      </c>
      <c r="M10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3.26114293406856E-5</v>
      </c>
      <c r="N1090" s="3">
        <f>IFERROR(INDEX(Table3[#All],MATCH(Table1[[#This Row],[Key_Year_Week_Brand]],Table3[[#All],[Key_Year_Week_Brand]],0),MATCH(Table1[[#This Row],[DC_name_Xref]],Table3[#Headers],0)),0)</f>
        <v>3.447122356821831E-5</v>
      </c>
      <c r="O1090">
        <f>IFERROR(INDEX(Table35[#All],MATCH(Table1[[#This Row],[Key_Year_Week_Brand]],Table35[[#All],[Key_Year_Month_Brand]],0),MATCH(Table1[[#This Row],[DC_name_Xref]],Table35[#Headers],0)),0)</f>
        <v>29.995859083580093</v>
      </c>
    </row>
    <row r="1091" spans="1:15" x14ac:dyDescent="0.3">
      <c r="A1091" s="19" t="str">
        <f>Table1[[#This Row],[Year_Week]]&amp;"-"&amp;Table1[[#This Row],[DC_name_Xref]]</f>
        <v>202343-FFC-ODC</v>
      </c>
      <c r="B1091" s="19" t="str">
        <f>Table1[[#This Row],[Fiscal_Year]]*100+Table1[[#This Row],[Fiscal_Week]] &amp; "-" &amp;Table1[[#This Row],[BRAND]]</f>
        <v>202343-Athleta</v>
      </c>
      <c r="C1091" t="str">
        <f>Table1[[#This Row],[Fiscal_Year]]&amp;"-"&amp;Table1[[#This Row],[BRAND]]</f>
        <v>2023-Athleta</v>
      </c>
      <c r="D1091">
        <v>2023</v>
      </c>
      <c r="E1091">
        <v>43</v>
      </c>
      <c r="F1091" t="s">
        <v>19</v>
      </c>
      <c r="G1091" t="s">
        <v>23</v>
      </c>
      <c r="H1091">
        <v>5</v>
      </c>
      <c r="I1091">
        <v>0</v>
      </c>
      <c r="J1091" t="str">
        <f>VLOOKUP(H1091,DC_Xref!A:B,2,FALSE)</f>
        <v>FFC-ODC</v>
      </c>
      <c r="K1091">
        <f t="shared" si="17"/>
        <v>202343</v>
      </c>
      <c r="L1091">
        <f>IFERROR(Table1[[#This Row],[Demand]]/SUMIFS(Table1[Demand],Table1[Fiscal_Year],Table1[[#This Row],[Fiscal_Year]],Table1[BRAND],Table1[[#This Row],[BRAND]],Table1[DC_name_Xref],Table1[[#This Row],[DC_name_Xref]]),0)</f>
        <v>0</v>
      </c>
      <c r="M10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1" s="3">
        <f>IFERROR(INDEX(Table3[#All],MATCH(Table1[[#This Row],[Key_Year_Week_Brand]],Table3[[#All],[Key_Year_Week_Brand]],0),MATCH(Table1[[#This Row],[DC_name_Xref]],Table3[#Headers],0)),0)</f>
        <v>0</v>
      </c>
      <c r="O1091">
        <f>IFERROR(INDEX(Table35[#All],MATCH(Table1[[#This Row],[Key_Year_Week_Brand]],Table35[[#All],[Key_Year_Month_Brand]],0),MATCH(Table1[[#This Row],[DC_name_Xref]],Table35[#Headers],0)),0)</f>
        <v>0</v>
      </c>
    </row>
    <row r="1092" spans="1:15" x14ac:dyDescent="0.3">
      <c r="A1092" s="19" t="str">
        <f>Table1[[#This Row],[Year_Week]]&amp;"-"&amp;Table1[[#This Row],[DC_name_Xref]]</f>
        <v>202343-WEO</v>
      </c>
      <c r="B1092" s="19" t="str">
        <f>Table1[[#This Row],[Fiscal_Year]]*100+Table1[[#This Row],[Fiscal_Week]] &amp; "-" &amp;Table1[[#This Row],[BRAND]]</f>
        <v>202343-Athleta</v>
      </c>
      <c r="C1092" t="str">
        <f>Table1[[#This Row],[Fiscal_Year]]&amp;"-"&amp;Table1[[#This Row],[BRAND]]</f>
        <v>2023-Athleta</v>
      </c>
      <c r="D1092">
        <v>2023</v>
      </c>
      <c r="E1092">
        <v>43</v>
      </c>
      <c r="F1092" t="s">
        <v>19</v>
      </c>
      <c r="G1092" t="s">
        <v>10</v>
      </c>
      <c r="H1092">
        <v>6</v>
      </c>
      <c r="I1092">
        <v>0</v>
      </c>
      <c r="J1092" t="str">
        <f>VLOOKUP(H1092,DC_Xref!A:B,2,FALSE)</f>
        <v>WEO</v>
      </c>
      <c r="K1092">
        <f t="shared" si="17"/>
        <v>202343</v>
      </c>
      <c r="L1092">
        <f>IFERROR(Table1[[#This Row],[Demand]]/SUMIFS(Table1[Demand],Table1[Fiscal_Year],Table1[[#This Row],[Fiscal_Year]],Table1[BRAND],Table1[[#This Row],[BRAND]],Table1[DC_name_Xref],Table1[[#This Row],[DC_name_Xref]]),0)</f>
        <v>0</v>
      </c>
      <c r="M10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2" s="3">
        <f>IFERROR(INDEX(Table3[#All],MATCH(Table1[[#This Row],[Key_Year_Week_Brand]],Table3[[#All],[Key_Year_Week_Brand]],0),MATCH(Table1[[#This Row],[DC_name_Xref]],Table3[#Headers],0)),0)</f>
        <v>0</v>
      </c>
      <c r="O1092">
        <f>IFERROR(INDEX(Table35[#All],MATCH(Table1[[#This Row],[Key_Year_Week_Brand]],Table35[[#All],[Key_Year_Month_Brand]],0),MATCH(Table1[[#This Row],[DC_name_Xref]],Table35[#Headers],0)),0)</f>
        <v>0</v>
      </c>
    </row>
    <row r="1093" spans="1:15" x14ac:dyDescent="0.3">
      <c r="A1093" s="19" t="str">
        <f>Table1[[#This Row],[Year_Week]]&amp;"-"&amp;Table1[[#This Row],[DC_name_Xref]]</f>
        <v>202343-OCC</v>
      </c>
      <c r="B1093" s="19" t="str">
        <f>Table1[[#This Row],[Fiscal_Year]]*100+Table1[[#This Row],[Fiscal_Week]] &amp; "-" &amp;Table1[[#This Row],[BRAND]]</f>
        <v>202343-Athleta</v>
      </c>
      <c r="C1093" t="str">
        <f>Table1[[#This Row],[Fiscal_Year]]&amp;"-"&amp;Table1[[#This Row],[BRAND]]</f>
        <v>2023-Athleta</v>
      </c>
      <c r="D1093">
        <v>2023</v>
      </c>
      <c r="E1093">
        <v>43</v>
      </c>
      <c r="F1093" t="s">
        <v>19</v>
      </c>
      <c r="G1093" t="s">
        <v>11</v>
      </c>
      <c r="H1093">
        <v>7</v>
      </c>
      <c r="I1093">
        <v>0</v>
      </c>
      <c r="J1093" t="str">
        <f>VLOOKUP(H1093,DC_Xref!A:B,2,FALSE)</f>
        <v>OCC</v>
      </c>
      <c r="K1093">
        <f t="shared" si="17"/>
        <v>202343</v>
      </c>
      <c r="L1093">
        <f>IFERROR(Table1[[#This Row],[Demand]]/SUMIFS(Table1[Demand],Table1[Fiscal_Year],Table1[[#This Row],[Fiscal_Year]],Table1[BRAND],Table1[[#This Row],[BRAND]],Table1[DC_name_Xref],Table1[[#This Row],[DC_name_Xref]]),0)</f>
        <v>0</v>
      </c>
      <c r="M10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3" s="3">
        <f>IFERROR(INDEX(Table3[#All],MATCH(Table1[[#This Row],[Key_Year_Week_Brand]],Table3[[#All],[Key_Year_Week_Brand]],0),MATCH(Table1[[#This Row],[DC_name_Xref]],Table3[#Headers],0)),0)</f>
        <v>0</v>
      </c>
      <c r="O1093">
        <f>IFERROR(INDEX(Table35[#All],MATCH(Table1[[#This Row],[Key_Year_Week_Brand]],Table35[[#All],[Key_Year_Month_Brand]],0),MATCH(Table1[[#This Row],[DC_name_Xref]],Table35[#Headers],0)),0)</f>
        <v>0</v>
      </c>
    </row>
    <row r="1094" spans="1:15" x14ac:dyDescent="0.3">
      <c r="A1094" s="19" t="str">
        <f>Table1[[#This Row],[Year_Week]]&amp;"-"&amp;Table1[[#This Row],[DC_name_Xref]]</f>
        <v>202344-OFC</v>
      </c>
      <c r="B1094" s="19" t="str">
        <f>Table1[[#This Row],[Fiscal_Year]]*100+Table1[[#This Row],[Fiscal_Week]] &amp; "-" &amp;Table1[[#This Row],[BRAND]]</f>
        <v>202344-Gap Factory Store</v>
      </c>
      <c r="C1094" t="str">
        <f>Table1[[#This Row],[Fiscal_Year]]&amp;"-"&amp;Table1[[#This Row],[BRAND]]</f>
        <v>2023-Gap Factory Store</v>
      </c>
      <c r="D1094">
        <v>2023</v>
      </c>
      <c r="E1094">
        <v>44</v>
      </c>
      <c r="F1094" t="s">
        <v>22</v>
      </c>
      <c r="G1094" t="s">
        <v>5</v>
      </c>
      <c r="H1094">
        <v>1</v>
      </c>
      <c r="I1094">
        <v>2900898</v>
      </c>
      <c r="J1094" t="str">
        <f>VLOOKUP(H1094,DC_Xref!A:B,2,FALSE)</f>
        <v>OFC</v>
      </c>
      <c r="K1094">
        <f t="shared" si="17"/>
        <v>202344</v>
      </c>
      <c r="L1094">
        <f>IFERROR(Table1[[#This Row],[Demand]]/SUMIFS(Table1[Demand],Table1[Fiscal_Year],Table1[[#This Row],[Fiscal_Year]],Table1[BRAND],Table1[[#This Row],[BRAND]],Table1[DC_name_Xref],Table1[[#This Row],[DC_name_Xref]]),0)</f>
        <v>0.29857856783056363</v>
      </c>
      <c r="M10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094" s="3">
        <f>IFERROR(INDEX(Table3[#All],MATCH(Table1[[#This Row],[Key_Year_Week_Brand]],Table3[[#All],[Key_Year_Week_Brand]],0),MATCH(Table1[[#This Row],[DC_name_Xref]],Table3[#Headers],0)),0)</f>
        <v>1</v>
      </c>
      <c r="O1094">
        <f>IFERROR(INDEX(Table35[#All],MATCH(Table1[[#This Row],[Key_Year_Week_Brand]],Table35[[#All],[Key_Year_Month_Brand]],0),MATCH(Table1[[#This Row],[DC_name_Xref]],Table35[#Headers],0)),0)</f>
        <v>2900898</v>
      </c>
    </row>
    <row r="1095" spans="1:15" x14ac:dyDescent="0.3">
      <c r="A1095" s="19" t="str">
        <f>Table1[[#This Row],[Year_Week]]&amp;"-"&amp;Table1[[#This Row],[DC_name_Xref]]</f>
        <v>202344-TFC</v>
      </c>
      <c r="B1095" s="19" t="str">
        <f>Table1[[#This Row],[Fiscal_Year]]*100+Table1[[#This Row],[Fiscal_Week]] &amp; "-" &amp;Table1[[#This Row],[BRAND]]</f>
        <v>202344-Gap Factory Store</v>
      </c>
      <c r="C1095" t="str">
        <f>Table1[[#This Row],[Fiscal_Year]]&amp;"-"&amp;Table1[[#This Row],[BRAND]]</f>
        <v>2023-Gap Factory Store</v>
      </c>
      <c r="D1095">
        <v>2023</v>
      </c>
      <c r="E1095">
        <v>44</v>
      </c>
      <c r="F1095" t="s">
        <v>22</v>
      </c>
      <c r="G1095" t="s">
        <v>21</v>
      </c>
      <c r="H1095">
        <v>2</v>
      </c>
      <c r="I1095">
        <v>0</v>
      </c>
      <c r="J1095" t="str">
        <f>VLOOKUP(H1095,DC_Xref!A:B,2,FALSE)</f>
        <v>TFC</v>
      </c>
      <c r="K1095">
        <f t="shared" si="17"/>
        <v>202344</v>
      </c>
      <c r="L1095">
        <f>IFERROR(Table1[[#This Row],[Demand]]/SUMIFS(Table1[Demand],Table1[Fiscal_Year],Table1[[#This Row],[Fiscal_Year]],Table1[BRAND],Table1[[#This Row],[BRAND]],Table1[DC_name_Xref],Table1[[#This Row],[DC_name_Xref]]),0)</f>
        <v>0</v>
      </c>
      <c r="M10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5" s="3">
        <f>IFERROR(INDEX(Table3[#All],MATCH(Table1[[#This Row],[Key_Year_Week_Brand]],Table3[[#All],[Key_Year_Week_Brand]],0),MATCH(Table1[[#This Row],[DC_name_Xref]],Table3[#Headers],0)),0)</f>
        <v>0</v>
      </c>
      <c r="O1095">
        <f>IFERROR(INDEX(Table35[#All],MATCH(Table1[[#This Row],[Key_Year_Week_Brand]],Table35[[#All],[Key_Year_Month_Brand]],0),MATCH(Table1[[#This Row],[DC_name_Xref]],Table35[#Headers],0)),0)</f>
        <v>0</v>
      </c>
    </row>
    <row r="1096" spans="1:15" x14ac:dyDescent="0.3">
      <c r="A1096" s="19" t="str">
        <f>Table1[[#This Row],[Year_Week]]&amp;"-"&amp;Table1[[#This Row],[DC_name_Xref]]</f>
        <v>202344-WFC</v>
      </c>
      <c r="B1096" s="19" t="str">
        <f>Table1[[#This Row],[Fiscal_Year]]*100+Table1[[#This Row],[Fiscal_Week]] &amp; "-" &amp;Table1[[#This Row],[BRAND]]</f>
        <v>202344-Gap Factory Store</v>
      </c>
      <c r="C1096" t="str">
        <f>Table1[[#This Row],[Fiscal_Year]]&amp;"-"&amp;Table1[[#This Row],[BRAND]]</f>
        <v>2023-Gap Factory Store</v>
      </c>
      <c r="D1096">
        <v>2023</v>
      </c>
      <c r="E1096">
        <v>44</v>
      </c>
      <c r="F1096" t="s">
        <v>22</v>
      </c>
      <c r="G1096" t="s">
        <v>7</v>
      </c>
      <c r="H1096">
        <v>3</v>
      </c>
      <c r="I1096">
        <v>0</v>
      </c>
      <c r="J1096" t="str">
        <f>VLOOKUP(H1096,DC_Xref!A:B,2,FALSE)</f>
        <v>WFC</v>
      </c>
      <c r="K1096">
        <f t="shared" si="17"/>
        <v>202344</v>
      </c>
      <c r="L1096">
        <f>IFERROR(Table1[[#This Row],[Demand]]/SUMIFS(Table1[Demand],Table1[Fiscal_Year],Table1[[#This Row],[Fiscal_Year]],Table1[BRAND],Table1[[#This Row],[BRAND]],Table1[DC_name_Xref],Table1[[#This Row],[DC_name_Xref]]),0)</f>
        <v>0</v>
      </c>
      <c r="M10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6" s="3">
        <f>IFERROR(INDEX(Table3[#All],MATCH(Table1[[#This Row],[Key_Year_Week_Brand]],Table3[[#All],[Key_Year_Week_Brand]],0),MATCH(Table1[[#This Row],[DC_name_Xref]],Table3[#Headers],0)),0)</f>
        <v>0</v>
      </c>
      <c r="O1096">
        <f>IFERROR(INDEX(Table35[#All],MATCH(Table1[[#This Row],[Key_Year_Week_Brand]],Table35[[#All],[Key_Year_Month_Brand]],0),MATCH(Table1[[#This Row],[DC_name_Xref]],Table35[#Headers],0)),0)</f>
        <v>0</v>
      </c>
    </row>
    <row r="1097" spans="1:15" x14ac:dyDescent="0.3">
      <c r="A1097" s="19" t="str">
        <f>Table1[[#This Row],[Year_Week]]&amp;"-"&amp;Table1[[#This Row],[DC_name_Xref]]</f>
        <v>202344-EAO</v>
      </c>
      <c r="B1097" s="19" t="str">
        <f>Table1[[#This Row],[Fiscal_Year]]*100+Table1[[#This Row],[Fiscal_Week]] &amp; "-" &amp;Table1[[#This Row],[BRAND]]</f>
        <v>202344-Gap Factory Store</v>
      </c>
      <c r="C1097" t="str">
        <f>Table1[[#This Row],[Fiscal_Year]]&amp;"-"&amp;Table1[[#This Row],[BRAND]]</f>
        <v>2023-Gap Factory Store</v>
      </c>
      <c r="D1097">
        <v>2023</v>
      </c>
      <c r="E1097">
        <v>44</v>
      </c>
      <c r="F1097" t="s">
        <v>22</v>
      </c>
      <c r="G1097" t="s">
        <v>8</v>
      </c>
      <c r="H1097">
        <v>4</v>
      </c>
      <c r="I1097">
        <v>0</v>
      </c>
      <c r="J1097" t="str">
        <f>VLOOKUP(H1097,DC_Xref!A:B,2,FALSE)</f>
        <v>EAO</v>
      </c>
      <c r="K1097">
        <f t="shared" si="17"/>
        <v>202344</v>
      </c>
      <c r="L1097">
        <f>IFERROR(Table1[[#This Row],[Demand]]/SUMIFS(Table1[Demand],Table1[Fiscal_Year],Table1[[#This Row],[Fiscal_Year]],Table1[BRAND],Table1[[#This Row],[BRAND]],Table1[DC_name_Xref],Table1[[#This Row],[DC_name_Xref]]),0)</f>
        <v>0</v>
      </c>
      <c r="M10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7" s="3">
        <f>IFERROR(INDEX(Table3[#All],MATCH(Table1[[#This Row],[Key_Year_Week_Brand]],Table3[[#All],[Key_Year_Week_Brand]],0),MATCH(Table1[[#This Row],[DC_name_Xref]],Table3[#Headers],0)),0)</f>
        <v>0</v>
      </c>
      <c r="O1097">
        <f>IFERROR(INDEX(Table35[#All],MATCH(Table1[[#This Row],[Key_Year_Week_Brand]],Table35[[#All],[Key_Year_Month_Brand]],0),MATCH(Table1[[#This Row],[DC_name_Xref]],Table35[#Headers],0)),0)</f>
        <v>0</v>
      </c>
    </row>
    <row r="1098" spans="1:15" x14ac:dyDescent="0.3">
      <c r="A1098" s="19" t="str">
        <f>Table1[[#This Row],[Year_Week]]&amp;"-"&amp;Table1[[#This Row],[DC_name_Xref]]</f>
        <v>202344-FFC-ODC</v>
      </c>
      <c r="B1098" s="19" t="str">
        <f>Table1[[#This Row],[Fiscal_Year]]*100+Table1[[#This Row],[Fiscal_Week]] &amp; "-" &amp;Table1[[#This Row],[BRAND]]</f>
        <v>202344-Gap Factory Store</v>
      </c>
      <c r="C1098" t="str">
        <f>Table1[[#This Row],[Fiscal_Year]]&amp;"-"&amp;Table1[[#This Row],[BRAND]]</f>
        <v>2023-Gap Factory Store</v>
      </c>
      <c r="D1098">
        <v>2023</v>
      </c>
      <c r="E1098">
        <v>44</v>
      </c>
      <c r="F1098" t="s">
        <v>22</v>
      </c>
      <c r="G1098" t="s">
        <v>23</v>
      </c>
      <c r="H1098">
        <v>5</v>
      </c>
      <c r="I1098">
        <v>0</v>
      </c>
      <c r="J1098" t="str">
        <f>VLOOKUP(H1098,DC_Xref!A:B,2,FALSE)</f>
        <v>FFC-ODC</v>
      </c>
      <c r="K1098">
        <f t="shared" si="17"/>
        <v>202344</v>
      </c>
      <c r="L1098">
        <f>IFERROR(Table1[[#This Row],[Demand]]/SUMIFS(Table1[Demand],Table1[Fiscal_Year],Table1[[#This Row],[Fiscal_Year]],Table1[BRAND],Table1[[#This Row],[BRAND]],Table1[DC_name_Xref],Table1[[#This Row],[DC_name_Xref]]),0)</f>
        <v>0</v>
      </c>
      <c r="M10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8" s="3">
        <f>IFERROR(INDEX(Table3[#All],MATCH(Table1[[#This Row],[Key_Year_Week_Brand]],Table3[[#All],[Key_Year_Week_Brand]],0),MATCH(Table1[[#This Row],[DC_name_Xref]],Table3[#Headers],0)),0)</f>
        <v>0</v>
      </c>
      <c r="O1098">
        <f>IFERROR(INDEX(Table35[#All],MATCH(Table1[[#This Row],[Key_Year_Week_Brand]],Table35[[#All],[Key_Year_Month_Brand]],0),MATCH(Table1[[#This Row],[DC_name_Xref]],Table35[#Headers],0)),0)</f>
        <v>0</v>
      </c>
    </row>
    <row r="1099" spans="1:15" x14ac:dyDescent="0.3">
      <c r="A1099" s="19" t="str">
        <f>Table1[[#This Row],[Year_Week]]&amp;"-"&amp;Table1[[#This Row],[DC_name_Xref]]</f>
        <v>202344-WEO</v>
      </c>
      <c r="B1099" s="19" t="str">
        <f>Table1[[#This Row],[Fiscal_Year]]*100+Table1[[#This Row],[Fiscal_Week]] &amp; "-" &amp;Table1[[#This Row],[BRAND]]</f>
        <v>202344-Gap Factory Store</v>
      </c>
      <c r="C1099" t="str">
        <f>Table1[[#This Row],[Fiscal_Year]]&amp;"-"&amp;Table1[[#This Row],[BRAND]]</f>
        <v>2023-Gap Factory Store</v>
      </c>
      <c r="D1099">
        <v>2023</v>
      </c>
      <c r="E1099">
        <v>44</v>
      </c>
      <c r="F1099" t="s">
        <v>22</v>
      </c>
      <c r="G1099" t="s">
        <v>10</v>
      </c>
      <c r="H1099">
        <v>6</v>
      </c>
      <c r="I1099">
        <v>0</v>
      </c>
      <c r="J1099" t="str">
        <f>VLOOKUP(H1099,DC_Xref!A:B,2,FALSE)</f>
        <v>WEO</v>
      </c>
      <c r="K1099">
        <f t="shared" si="17"/>
        <v>202344</v>
      </c>
      <c r="L1099">
        <f>IFERROR(Table1[[#This Row],[Demand]]/SUMIFS(Table1[Demand],Table1[Fiscal_Year],Table1[[#This Row],[Fiscal_Year]],Table1[BRAND],Table1[[#This Row],[BRAND]],Table1[DC_name_Xref],Table1[[#This Row],[DC_name_Xref]]),0)</f>
        <v>0</v>
      </c>
      <c r="M10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099" s="3">
        <f>IFERROR(INDEX(Table3[#All],MATCH(Table1[[#This Row],[Key_Year_Week_Brand]],Table3[[#All],[Key_Year_Week_Brand]],0),MATCH(Table1[[#This Row],[DC_name_Xref]],Table3[#Headers],0)),0)</f>
        <v>0</v>
      </c>
      <c r="O1099">
        <f>IFERROR(INDEX(Table35[#All],MATCH(Table1[[#This Row],[Key_Year_Week_Brand]],Table35[[#All],[Key_Year_Month_Brand]],0),MATCH(Table1[[#This Row],[DC_name_Xref]],Table35[#Headers],0)),0)</f>
        <v>0</v>
      </c>
    </row>
    <row r="1100" spans="1:15" x14ac:dyDescent="0.3">
      <c r="A1100" s="19" t="str">
        <f>Table1[[#This Row],[Year_Week]]&amp;"-"&amp;Table1[[#This Row],[DC_name_Xref]]</f>
        <v>202344-OCC</v>
      </c>
      <c r="B1100" s="19" t="str">
        <f>Table1[[#This Row],[Fiscal_Year]]*100+Table1[[#This Row],[Fiscal_Week]] &amp; "-" &amp;Table1[[#This Row],[BRAND]]</f>
        <v>202344-Gap Factory Store</v>
      </c>
      <c r="C1100" t="str">
        <f>Table1[[#This Row],[Fiscal_Year]]&amp;"-"&amp;Table1[[#This Row],[BRAND]]</f>
        <v>2023-Gap Factory Store</v>
      </c>
      <c r="D1100">
        <v>2023</v>
      </c>
      <c r="E1100">
        <v>44</v>
      </c>
      <c r="F1100" t="s">
        <v>22</v>
      </c>
      <c r="G1100" t="s">
        <v>11</v>
      </c>
      <c r="H1100">
        <v>7</v>
      </c>
      <c r="I1100">
        <v>0</v>
      </c>
      <c r="J1100" t="str">
        <f>VLOOKUP(H1100,DC_Xref!A:B,2,FALSE)</f>
        <v>OCC</v>
      </c>
      <c r="K1100">
        <f t="shared" si="17"/>
        <v>202344</v>
      </c>
      <c r="L1100">
        <f>IFERROR(Table1[[#This Row],[Demand]]/SUMIFS(Table1[Demand],Table1[Fiscal_Year],Table1[[#This Row],[Fiscal_Year]],Table1[BRAND],Table1[[#This Row],[BRAND]],Table1[DC_name_Xref],Table1[[#This Row],[DC_name_Xref]]),0)</f>
        <v>0</v>
      </c>
      <c r="M11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0" s="3">
        <f>IFERROR(INDEX(Table3[#All],MATCH(Table1[[#This Row],[Key_Year_Week_Brand]],Table3[[#All],[Key_Year_Week_Brand]],0),MATCH(Table1[[#This Row],[DC_name_Xref]],Table3[#Headers],0)),0)</f>
        <v>0</v>
      </c>
      <c r="O1100">
        <f>IFERROR(INDEX(Table35[#All],MATCH(Table1[[#This Row],[Key_Year_Week_Brand]],Table35[[#All],[Key_Year_Month_Brand]],0),MATCH(Table1[[#This Row],[DC_name_Xref]],Table35[#Headers],0)),0)</f>
        <v>0</v>
      </c>
    </row>
    <row r="1101" spans="1:15" x14ac:dyDescent="0.3">
      <c r="A1101" s="19" t="str">
        <f>Table1[[#This Row],[Year_Week]]&amp;"-"&amp;Table1[[#This Row],[DC_name_Xref]]</f>
        <v>202344-OFC</v>
      </c>
      <c r="B1101" s="19" t="str">
        <f>Table1[[#This Row],[Fiscal_Year]]*100+Table1[[#This Row],[Fiscal_Week]] &amp; "-" &amp;Table1[[#This Row],[BRAND]]</f>
        <v>202344-BR Factory Store</v>
      </c>
      <c r="C1101" t="str">
        <f>Table1[[#This Row],[Fiscal_Year]]&amp;"-"&amp;Table1[[#This Row],[BRAND]]</f>
        <v>2023-BR Factory Store</v>
      </c>
      <c r="D1101">
        <v>2023</v>
      </c>
      <c r="E1101">
        <v>44</v>
      </c>
      <c r="F1101" t="s">
        <v>17</v>
      </c>
      <c r="G1101" t="s">
        <v>5</v>
      </c>
      <c r="H1101">
        <v>1</v>
      </c>
      <c r="I1101">
        <v>844124</v>
      </c>
      <c r="J1101" t="str">
        <f>VLOOKUP(H1101,DC_Xref!A:B,2,FALSE)</f>
        <v>OFC</v>
      </c>
      <c r="K1101">
        <f t="shared" si="17"/>
        <v>202344</v>
      </c>
      <c r="L1101">
        <f>IFERROR(Table1[[#This Row],[Demand]]/SUMIFS(Table1[Demand],Table1[Fiscal_Year],Table1[[#This Row],[Fiscal_Year]],Table1[BRAND],Table1[[#This Row],[BRAND]],Table1[DC_name_Xref],Table1[[#This Row],[DC_name_Xref]]),0)</f>
        <v>0.25147369045097445</v>
      </c>
      <c r="M11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101" s="3">
        <f>IFERROR(INDEX(Table3[#All],MATCH(Table1[[#This Row],[Key_Year_Week_Brand]],Table3[[#All],[Key_Year_Week_Brand]],0),MATCH(Table1[[#This Row],[DC_name_Xref]],Table3[#Headers],0)),0)</f>
        <v>1</v>
      </c>
      <c r="O1101">
        <f>IFERROR(INDEX(Table35[#All],MATCH(Table1[[#This Row],[Key_Year_Week_Brand]],Table35[[#All],[Key_Year_Month_Brand]],0),MATCH(Table1[[#This Row],[DC_name_Xref]],Table35[#Headers],0)),0)</f>
        <v>844124</v>
      </c>
    </row>
    <row r="1102" spans="1:15" x14ac:dyDescent="0.3">
      <c r="A1102" s="19" t="str">
        <f>Table1[[#This Row],[Year_Week]]&amp;"-"&amp;Table1[[#This Row],[DC_name_Xref]]</f>
        <v>202344-TFC</v>
      </c>
      <c r="B1102" s="19" t="str">
        <f>Table1[[#This Row],[Fiscal_Year]]*100+Table1[[#This Row],[Fiscal_Week]] &amp; "-" &amp;Table1[[#This Row],[BRAND]]</f>
        <v>202344-BR Factory Store</v>
      </c>
      <c r="C1102" t="str">
        <f>Table1[[#This Row],[Fiscal_Year]]&amp;"-"&amp;Table1[[#This Row],[BRAND]]</f>
        <v>2023-BR Factory Store</v>
      </c>
      <c r="D1102">
        <v>2023</v>
      </c>
      <c r="E1102">
        <v>44</v>
      </c>
      <c r="F1102" t="s">
        <v>17</v>
      </c>
      <c r="G1102" t="s">
        <v>21</v>
      </c>
      <c r="H1102">
        <v>2</v>
      </c>
      <c r="I1102">
        <v>0</v>
      </c>
      <c r="J1102" t="str">
        <f>VLOOKUP(H1102,DC_Xref!A:B,2,FALSE)</f>
        <v>TFC</v>
      </c>
      <c r="K1102">
        <f t="shared" si="17"/>
        <v>202344</v>
      </c>
      <c r="L1102">
        <f>IFERROR(Table1[[#This Row],[Demand]]/SUMIFS(Table1[Demand],Table1[Fiscal_Year],Table1[[#This Row],[Fiscal_Year]],Table1[BRAND],Table1[[#This Row],[BRAND]],Table1[DC_name_Xref],Table1[[#This Row],[DC_name_Xref]]),0)</f>
        <v>0</v>
      </c>
      <c r="M11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2" s="3">
        <f>IFERROR(INDEX(Table3[#All],MATCH(Table1[[#This Row],[Key_Year_Week_Brand]],Table3[[#All],[Key_Year_Week_Brand]],0),MATCH(Table1[[#This Row],[DC_name_Xref]],Table3[#Headers],0)),0)</f>
        <v>0</v>
      </c>
      <c r="O1102">
        <f>IFERROR(INDEX(Table35[#All],MATCH(Table1[[#This Row],[Key_Year_Week_Brand]],Table35[[#All],[Key_Year_Month_Brand]],0),MATCH(Table1[[#This Row],[DC_name_Xref]],Table35[#Headers],0)),0)</f>
        <v>0</v>
      </c>
    </row>
    <row r="1103" spans="1:15" x14ac:dyDescent="0.3">
      <c r="A1103" s="19" t="str">
        <f>Table1[[#This Row],[Year_Week]]&amp;"-"&amp;Table1[[#This Row],[DC_name_Xref]]</f>
        <v>202344-WFC</v>
      </c>
      <c r="B1103" s="19" t="str">
        <f>Table1[[#This Row],[Fiscal_Year]]*100+Table1[[#This Row],[Fiscal_Week]] &amp; "-" &amp;Table1[[#This Row],[BRAND]]</f>
        <v>202344-BR Factory Store</v>
      </c>
      <c r="C1103" t="str">
        <f>Table1[[#This Row],[Fiscal_Year]]&amp;"-"&amp;Table1[[#This Row],[BRAND]]</f>
        <v>2023-BR Factory Store</v>
      </c>
      <c r="D1103">
        <v>2023</v>
      </c>
      <c r="E1103">
        <v>44</v>
      </c>
      <c r="F1103" t="s">
        <v>17</v>
      </c>
      <c r="G1103" t="s">
        <v>7</v>
      </c>
      <c r="H1103">
        <v>3</v>
      </c>
      <c r="I1103">
        <v>0</v>
      </c>
      <c r="J1103" t="str">
        <f>VLOOKUP(H1103,DC_Xref!A:B,2,FALSE)</f>
        <v>WFC</v>
      </c>
      <c r="K1103">
        <f t="shared" si="17"/>
        <v>202344</v>
      </c>
      <c r="L1103">
        <f>IFERROR(Table1[[#This Row],[Demand]]/SUMIFS(Table1[Demand],Table1[Fiscal_Year],Table1[[#This Row],[Fiscal_Year]],Table1[BRAND],Table1[[#This Row],[BRAND]],Table1[DC_name_Xref],Table1[[#This Row],[DC_name_Xref]]),0)</f>
        <v>0</v>
      </c>
      <c r="M11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3" s="3">
        <f>IFERROR(INDEX(Table3[#All],MATCH(Table1[[#This Row],[Key_Year_Week_Brand]],Table3[[#All],[Key_Year_Week_Brand]],0),MATCH(Table1[[#This Row],[DC_name_Xref]],Table3[#Headers],0)),0)</f>
        <v>0</v>
      </c>
      <c r="O1103">
        <f>IFERROR(INDEX(Table35[#All],MATCH(Table1[[#This Row],[Key_Year_Week_Brand]],Table35[[#All],[Key_Year_Month_Brand]],0),MATCH(Table1[[#This Row],[DC_name_Xref]],Table35[#Headers],0)),0)</f>
        <v>0</v>
      </c>
    </row>
    <row r="1104" spans="1:15" x14ac:dyDescent="0.3">
      <c r="A1104" s="19" t="str">
        <f>Table1[[#This Row],[Year_Week]]&amp;"-"&amp;Table1[[#This Row],[DC_name_Xref]]</f>
        <v>202344-EAO</v>
      </c>
      <c r="B1104" s="19" t="str">
        <f>Table1[[#This Row],[Fiscal_Year]]*100+Table1[[#This Row],[Fiscal_Week]] &amp; "-" &amp;Table1[[#This Row],[BRAND]]</f>
        <v>202344-BR Factory Store</v>
      </c>
      <c r="C1104" t="str">
        <f>Table1[[#This Row],[Fiscal_Year]]&amp;"-"&amp;Table1[[#This Row],[BRAND]]</f>
        <v>2023-BR Factory Store</v>
      </c>
      <c r="D1104">
        <v>2023</v>
      </c>
      <c r="E1104">
        <v>44</v>
      </c>
      <c r="F1104" t="s">
        <v>17</v>
      </c>
      <c r="G1104" t="s">
        <v>8</v>
      </c>
      <c r="H1104">
        <v>4</v>
      </c>
      <c r="I1104">
        <v>0</v>
      </c>
      <c r="J1104" t="str">
        <f>VLOOKUP(H1104,DC_Xref!A:B,2,FALSE)</f>
        <v>EAO</v>
      </c>
      <c r="K1104">
        <f t="shared" si="17"/>
        <v>202344</v>
      </c>
      <c r="L1104">
        <f>IFERROR(Table1[[#This Row],[Demand]]/SUMIFS(Table1[Demand],Table1[Fiscal_Year],Table1[[#This Row],[Fiscal_Year]],Table1[BRAND],Table1[[#This Row],[BRAND]],Table1[DC_name_Xref],Table1[[#This Row],[DC_name_Xref]]),0)</f>
        <v>0</v>
      </c>
      <c r="M11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4" s="3">
        <f>IFERROR(INDEX(Table3[#All],MATCH(Table1[[#This Row],[Key_Year_Week_Brand]],Table3[[#All],[Key_Year_Week_Brand]],0),MATCH(Table1[[#This Row],[DC_name_Xref]],Table3[#Headers],0)),0)</f>
        <v>0</v>
      </c>
      <c r="O1104">
        <f>IFERROR(INDEX(Table35[#All],MATCH(Table1[[#This Row],[Key_Year_Week_Brand]],Table35[[#All],[Key_Year_Month_Brand]],0),MATCH(Table1[[#This Row],[DC_name_Xref]],Table35[#Headers],0)),0)</f>
        <v>0</v>
      </c>
    </row>
    <row r="1105" spans="1:15" x14ac:dyDescent="0.3">
      <c r="A1105" s="19" t="str">
        <f>Table1[[#This Row],[Year_Week]]&amp;"-"&amp;Table1[[#This Row],[DC_name_Xref]]</f>
        <v>202344-FFC-ODC</v>
      </c>
      <c r="B1105" s="19" t="str">
        <f>Table1[[#This Row],[Fiscal_Year]]*100+Table1[[#This Row],[Fiscal_Week]] &amp; "-" &amp;Table1[[#This Row],[BRAND]]</f>
        <v>202344-BR Factory Store</v>
      </c>
      <c r="C1105" t="str">
        <f>Table1[[#This Row],[Fiscal_Year]]&amp;"-"&amp;Table1[[#This Row],[BRAND]]</f>
        <v>2023-BR Factory Store</v>
      </c>
      <c r="D1105">
        <v>2023</v>
      </c>
      <c r="E1105">
        <v>44</v>
      </c>
      <c r="F1105" t="s">
        <v>17</v>
      </c>
      <c r="G1105" t="s">
        <v>23</v>
      </c>
      <c r="H1105">
        <v>5</v>
      </c>
      <c r="I1105">
        <v>0</v>
      </c>
      <c r="J1105" t="str">
        <f>VLOOKUP(H1105,DC_Xref!A:B,2,FALSE)</f>
        <v>FFC-ODC</v>
      </c>
      <c r="K1105">
        <f t="shared" si="17"/>
        <v>202344</v>
      </c>
      <c r="L1105">
        <f>IFERROR(Table1[[#This Row],[Demand]]/SUMIFS(Table1[Demand],Table1[Fiscal_Year],Table1[[#This Row],[Fiscal_Year]],Table1[BRAND],Table1[[#This Row],[BRAND]],Table1[DC_name_Xref],Table1[[#This Row],[DC_name_Xref]]),0)</f>
        <v>0</v>
      </c>
      <c r="M11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5" s="3">
        <f>IFERROR(INDEX(Table3[#All],MATCH(Table1[[#This Row],[Key_Year_Week_Brand]],Table3[[#All],[Key_Year_Week_Brand]],0),MATCH(Table1[[#This Row],[DC_name_Xref]],Table3[#Headers],0)),0)</f>
        <v>0</v>
      </c>
      <c r="O1105">
        <f>IFERROR(INDEX(Table35[#All],MATCH(Table1[[#This Row],[Key_Year_Week_Brand]],Table35[[#All],[Key_Year_Month_Brand]],0),MATCH(Table1[[#This Row],[DC_name_Xref]],Table35[#Headers],0)),0)</f>
        <v>0</v>
      </c>
    </row>
    <row r="1106" spans="1:15" x14ac:dyDescent="0.3">
      <c r="A1106" s="19" t="str">
        <f>Table1[[#This Row],[Year_Week]]&amp;"-"&amp;Table1[[#This Row],[DC_name_Xref]]</f>
        <v>202344-WEO</v>
      </c>
      <c r="B1106" s="19" t="str">
        <f>Table1[[#This Row],[Fiscal_Year]]*100+Table1[[#This Row],[Fiscal_Week]] &amp; "-" &amp;Table1[[#This Row],[BRAND]]</f>
        <v>202344-BR Factory Store</v>
      </c>
      <c r="C1106" t="str">
        <f>Table1[[#This Row],[Fiscal_Year]]&amp;"-"&amp;Table1[[#This Row],[BRAND]]</f>
        <v>2023-BR Factory Store</v>
      </c>
      <c r="D1106">
        <v>2023</v>
      </c>
      <c r="E1106">
        <v>44</v>
      </c>
      <c r="F1106" t="s">
        <v>17</v>
      </c>
      <c r="G1106" t="s">
        <v>10</v>
      </c>
      <c r="H1106">
        <v>6</v>
      </c>
      <c r="I1106">
        <v>0</v>
      </c>
      <c r="J1106" t="str">
        <f>VLOOKUP(H1106,DC_Xref!A:B,2,FALSE)</f>
        <v>WEO</v>
      </c>
      <c r="K1106">
        <f t="shared" si="17"/>
        <v>202344</v>
      </c>
      <c r="L1106">
        <f>IFERROR(Table1[[#This Row],[Demand]]/SUMIFS(Table1[Demand],Table1[Fiscal_Year],Table1[[#This Row],[Fiscal_Year]],Table1[BRAND],Table1[[#This Row],[BRAND]],Table1[DC_name_Xref],Table1[[#This Row],[DC_name_Xref]]),0)</f>
        <v>0</v>
      </c>
      <c r="M11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6" s="3">
        <f>IFERROR(INDEX(Table3[#All],MATCH(Table1[[#This Row],[Key_Year_Week_Brand]],Table3[[#All],[Key_Year_Week_Brand]],0),MATCH(Table1[[#This Row],[DC_name_Xref]],Table3[#Headers],0)),0)</f>
        <v>0</v>
      </c>
      <c r="O1106">
        <f>IFERROR(INDEX(Table35[#All],MATCH(Table1[[#This Row],[Key_Year_Week_Brand]],Table35[[#All],[Key_Year_Month_Brand]],0),MATCH(Table1[[#This Row],[DC_name_Xref]],Table35[#Headers],0)),0)</f>
        <v>0</v>
      </c>
    </row>
    <row r="1107" spans="1:15" x14ac:dyDescent="0.3">
      <c r="A1107" s="19" t="str">
        <f>Table1[[#This Row],[Year_Week]]&amp;"-"&amp;Table1[[#This Row],[DC_name_Xref]]</f>
        <v>202344-OCC</v>
      </c>
      <c r="B1107" s="19" t="str">
        <f>Table1[[#This Row],[Fiscal_Year]]*100+Table1[[#This Row],[Fiscal_Week]] &amp; "-" &amp;Table1[[#This Row],[BRAND]]</f>
        <v>202344-BR Factory Store</v>
      </c>
      <c r="C1107" t="str">
        <f>Table1[[#This Row],[Fiscal_Year]]&amp;"-"&amp;Table1[[#This Row],[BRAND]]</f>
        <v>2023-BR Factory Store</v>
      </c>
      <c r="D1107">
        <v>2023</v>
      </c>
      <c r="E1107">
        <v>44</v>
      </c>
      <c r="F1107" t="s">
        <v>17</v>
      </c>
      <c r="G1107" t="s">
        <v>11</v>
      </c>
      <c r="H1107">
        <v>7</v>
      </c>
      <c r="I1107">
        <v>0</v>
      </c>
      <c r="J1107" t="str">
        <f>VLOOKUP(H1107,DC_Xref!A:B,2,FALSE)</f>
        <v>OCC</v>
      </c>
      <c r="K1107">
        <f t="shared" si="17"/>
        <v>202344</v>
      </c>
      <c r="L1107">
        <f>IFERROR(Table1[[#This Row],[Demand]]/SUMIFS(Table1[Demand],Table1[Fiscal_Year],Table1[[#This Row],[Fiscal_Year]],Table1[BRAND],Table1[[#This Row],[BRAND]],Table1[DC_name_Xref],Table1[[#This Row],[DC_name_Xref]]),0)</f>
        <v>0</v>
      </c>
      <c r="M11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07" s="3">
        <f>IFERROR(INDEX(Table3[#All],MATCH(Table1[[#This Row],[Key_Year_Week_Brand]],Table3[[#All],[Key_Year_Week_Brand]],0),MATCH(Table1[[#This Row],[DC_name_Xref]],Table3[#Headers],0)),0)</f>
        <v>0</v>
      </c>
      <c r="O1107">
        <f>IFERROR(INDEX(Table35[#All],MATCH(Table1[[#This Row],[Key_Year_Week_Brand]],Table35[[#All],[Key_Year_Month_Brand]],0),MATCH(Table1[[#This Row],[DC_name_Xref]],Table35[#Headers],0)),0)</f>
        <v>0</v>
      </c>
    </row>
    <row r="1108" spans="1:15" x14ac:dyDescent="0.3">
      <c r="A1108" s="19" t="str">
        <f>Table1[[#This Row],[Year_Week]]&amp;"-"&amp;Table1[[#This Row],[DC_name_Xref]]</f>
        <v>202344-OFC</v>
      </c>
      <c r="B1108" s="19" t="str">
        <f>Table1[[#This Row],[Fiscal_Year]]*100+Table1[[#This Row],[Fiscal_Week]] &amp; "-" &amp;Table1[[#This Row],[BRAND]]</f>
        <v>202344-Gap</v>
      </c>
      <c r="C1108" t="str">
        <f>Table1[[#This Row],[Fiscal_Year]]&amp;"-"&amp;Table1[[#This Row],[BRAND]]</f>
        <v>2023-Gap</v>
      </c>
      <c r="D1108">
        <v>2023</v>
      </c>
      <c r="E1108">
        <v>44</v>
      </c>
      <c r="F1108" t="s">
        <v>16</v>
      </c>
      <c r="G1108" t="s">
        <v>5</v>
      </c>
      <c r="H1108">
        <v>1</v>
      </c>
      <c r="I1108">
        <v>3780926</v>
      </c>
      <c r="J1108" t="str">
        <f>VLOOKUP(H1108,DC_Xref!A:B,2,FALSE)</f>
        <v>OFC</v>
      </c>
      <c r="K1108">
        <f t="shared" si="17"/>
        <v>202344</v>
      </c>
      <c r="L1108">
        <f>IFERROR(Table1[[#This Row],[Demand]]/SUMIFS(Table1[Demand],Table1[Fiscal_Year],Table1[[#This Row],[Fiscal_Year]],Table1[BRAND],Table1[[#This Row],[BRAND]],Table1[DC_name_Xref],Table1[[#This Row],[DC_name_Xref]]),0)</f>
        <v>0.24838263999322568</v>
      </c>
      <c r="M11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0.67286142306667829</v>
      </c>
      <c r="N1108" s="3">
        <f>IFERROR(INDEX(Table3[#All],MATCH(Table1[[#This Row],[Key_Year_Week_Brand]],Table3[[#All],[Key_Year_Week_Brand]],0),MATCH(Table1[[#This Row],[DC_name_Xref]],Table3[#Headers],0)),0)</f>
        <v>0</v>
      </c>
      <c r="O1108">
        <f>IFERROR(INDEX(Table35[#All],MATCH(Table1[[#This Row],[Key_Year_Week_Brand]],Table35[[#All],[Key_Year_Month_Brand]],0),MATCH(Table1[[#This Row],[DC_name_Xref]],Table35[#Headers],0)),0)</f>
        <v>0</v>
      </c>
    </row>
    <row r="1109" spans="1:15" x14ac:dyDescent="0.3">
      <c r="A1109" s="19" t="str">
        <f>Table1[[#This Row],[Year_Week]]&amp;"-"&amp;Table1[[#This Row],[DC_name_Xref]]</f>
        <v>202344-TFC</v>
      </c>
      <c r="B1109" s="19" t="str">
        <f>Table1[[#This Row],[Fiscal_Year]]*100+Table1[[#This Row],[Fiscal_Week]] &amp; "-" &amp;Table1[[#This Row],[BRAND]]</f>
        <v>202344-Gap</v>
      </c>
      <c r="C1109" t="str">
        <f>Table1[[#This Row],[Fiscal_Year]]&amp;"-"&amp;Table1[[#This Row],[BRAND]]</f>
        <v>2023-Gap</v>
      </c>
      <c r="D1109">
        <v>2023</v>
      </c>
      <c r="E1109">
        <v>44</v>
      </c>
      <c r="F1109" t="s">
        <v>16</v>
      </c>
      <c r="G1109" t="s">
        <v>21</v>
      </c>
      <c r="H1109">
        <v>2</v>
      </c>
      <c r="I1109">
        <v>207</v>
      </c>
      <c r="J1109" t="str">
        <f>VLOOKUP(H1109,DC_Xref!A:B,2,FALSE)</f>
        <v>TFC</v>
      </c>
      <c r="K1109">
        <f t="shared" si="17"/>
        <v>202344</v>
      </c>
      <c r="L1109">
        <f>IFERROR(Table1[[#This Row],[Demand]]/SUMIFS(Table1[Demand],Table1[Fiscal_Year],Table1[[#This Row],[Fiscal_Year]],Table1[BRAND],Table1[[#This Row],[BRAND]],Table1[DC_name_Xref],Table1[[#This Row],[DC_name_Xref]]),0)</f>
        <v>6.2311860325105356E-2</v>
      </c>
      <c r="M11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1.4684133329808906E-4</v>
      </c>
      <c r="N1109" s="3">
        <f>IFERROR(INDEX(Table3[#All],MATCH(Table1[[#This Row],[Key_Year_Week_Brand]],Table3[[#All],[Key_Year_Week_Brand]],0),MATCH(Table1[[#This Row],[DC_name_Xref]],Table3[#Headers],0)),0)</f>
        <v>0.25</v>
      </c>
      <c r="O1109">
        <f>IFERROR(INDEX(Table35[#All],MATCH(Table1[[#This Row],[Key_Year_Week_Brand]],Table35[[#All],[Key_Year_Month_Brand]],0),MATCH(Table1[[#This Row],[DC_name_Xref]],Table35[#Headers],0)),0)</f>
        <v>1463913.75</v>
      </c>
    </row>
    <row r="1110" spans="1:15" x14ac:dyDescent="0.3">
      <c r="A1110" s="19" t="str">
        <f>Table1[[#This Row],[Year_Week]]&amp;"-"&amp;Table1[[#This Row],[DC_name_Xref]]</f>
        <v>202344-WFC</v>
      </c>
      <c r="B1110" s="19" t="str">
        <f>Table1[[#This Row],[Fiscal_Year]]*100+Table1[[#This Row],[Fiscal_Week]] &amp; "-" &amp;Table1[[#This Row],[BRAND]]</f>
        <v>202344-Gap</v>
      </c>
      <c r="C1110" t="str">
        <f>Table1[[#This Row],[Fiscal_Year]]&amp;"-"&amp;Table1[[#This Row],[BRAND]]</f>
        <v>2023-Gap</v>
      </c>
      <c r="D1110">
        <v>2023</v>
      </c>
      <c r="E1110">
        <v>44</v>
      </c>
      <c r="F1110" t="s">
        <v>16</v>
      </c>
      <c r="G1110" t="s">
        <v>7</v>
      </c>
      <c r="H1110">
        <v>3</v>
      </c>
      <c r="I1110">
        <v>143161</v>
      </c>
      <c r="J1110" t="str">
        <f>VLOOKUP(H1110,DC_Xref!A:B,2,FALSE)</f>
        <v>WFC</v>
      </c>
      <c r="K1110">
        <f t="shared" si="17"/>
        <v>202344</v>
      </c>
      <c r="L1110">
        <f>IFERROR(Table1[[#This Row],[Demand]]/SUMIFS(Table1[Demand],Table1[Fiscal_Year],Table1[[#This Row],[Fiscal_Year]],Table1[BRAND],Table1[[#This Row],[BRAND]],Table1[DC_name_Xref],Table1[[#This Row],[DC_name_Xref]]),0)</f>
        <v>0.1832493638285998</v>
      </c>
      <c r="M11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3.4532732047099911E-2</v>
      </c>
      <c r="N1110" s="3">
        <f>IFERROR(INDEX(Table3[#All],MATCH(Table1[[#This Row],[Key_Year_Week_Brand]],Table3[[#All],[Key_Year_Week_Brand]],0),MATCH(Table1[[#This Row],[DC_name_Xref]],Table3[#Headers],0)),0)</f>
        <v>0</v>
      </c>
      <c r="O1110">
        <f>IFERROR(INDEX(Table35[#All],MATCH(Table1[[#This Row],[Key_Year_Week_Brand]],Table35[[#All],[Key_Year_Month_Brand]],0),MATCH(Table1[[#This Row],[DC_name_Xref]],Table35[#Headers],0)),0)</f>
        <v>0</v>
      </c>
    </row>
    <row r="1111" spans="1:15" x14ac:dyDescent="0.3">
      <c r="A1111" s="19" t="str">
        <f>Table1[[#This Row],[Year_Week]]&amp;"-"&amp;Table1[[#This Row],[DC_name_Xref]]</f>
        <v>202344-EAO</v>
      </c>
      <c r="B1111" s="19" t="str">
        <f>Table1[[#This Row],[Fiscal_Year]]*100+Table1[[#This Row],[Fiscal_Week]] &amp; "-" &amp;Table1[[#This Row],[BRAND]]</f>
        <v>202344-Gap</v>
      </c>
      <c r="C1111" t="str">
        <f>Table1[[#This Row],[Fiscal_Year]]&amp;"-"&amp;Table1[[#This Row],[BRAND]]</f>
        <v>2023-Gap</v>
      </c>
      <c r="D1111">
        <v>2023</v>
      </c>
      <c r="E1111">
        <v>44</v>
      </c>
      <c r="F1111" t="s">
        <v>16</v>
      </c>
      <c r="G1111" t="s">
        <v>8</v>
      </c>
      <c r="H1111">
        <v>4</v>
      </c>
      <c r="I1111">
        <v>676</v>
      </c>
      <c r="J1111" t="str">
        <f>VLOOKUP(H1111,DC_Xref!A:B,2,FALSE)</f>
        <v>EAO</v>
      </c>
      <c r="K1111">
        <f t="shared" si="17"/>
        <v>202344</v>
      </c>
      <c r="L1111">
        <f>IFERROR(Table1[[#This Row],[Demand]]/SUMIFS(Table1[Demand],Table1[Fiscal_Year],Table1[[#This Row],[Fiscal_Year]],Table1[BRAND],Table1[[#This Row],[BRAND]],Table1[DC_name_Xref],Table1[[#This Row],[DC_name_Xref]]),0)</f>
        <v>0.23777699613084768</v>
      </c>
      <c r="M11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1.2566824520363249E-4</v>
      </c>
      <c r="N1111" s="3">
        <f>IFERROR(INDEX(Table3[#All],MATCH(Table1[[#This Row],[Key_Year_Week_Brand]],Table3[[#All],[Key_Year_Week_Brand]],0),MATCH(Table1[[#This Row],[DC_name_Xref]],Table3[#Headers],0)),0)</f>
        <v>0</v>
      </c>
      <c r="O1111">
        <f>IFERROR(INDEX(Table35[#All],MATCH(Table1[[#This Row],[Key_Year_Week_Brand]],Table35[[#All],[Key_Year_Month_Brand]],0),MATCH(Table1[[#This Row],[DC_name_Xref]],Table35[#Headers],0)),0)</f>
        <v>0</v>
      </c>
    </row>
    <row r="1112" spans="1:15" x14ac:dyDescent="0.3">
      <c r="A1112" s="19" t="str">
        <f>Table1[[#This Row],[Year_Week]]&amp;"-"&amp;Table1[[#This Row],[DC_name_Xref]]</f>
        <v>202344-FFC-ODC</v>
      </c>
      <c r="B1112" s="19" t="str">
        <f>Table1[[#This Row],[Fiscal_Year]]*100+Table1[[#This Row],[Fiscal_Week]] &amp; "-" &amp;Table1[[#This Row],[BRAND]]</f>
        <v>202344-Gap</v>
      </c>
      <c r="C1112" t="str">
        <f>Table1[[#This Row],[Fiscal_Year]]&amp;"-"&amp;Table1[[#This Row],[BRAND]]</f>
        <v>2023-Gap</v>
      </c>
      <c r="D1112">
        <v>2023</v>
      </c>
      <c r="E1112">
        <v>44</v>
      </c>
      <c r="F1112" t="s">
        <v>16</v>
      </c>
      <c r="G1112" t="s">
        <v>23</v>
      </c>
      <c r="H1112">
        <v>5</v>
      </c>
      <c r="I1112">
        <v>0</v>
      </c>
      <c r="J1112" t="str">
        <f>VLOOKUP(H1112,DC_Xref!A:B,2,FALSE)</f>
        <v>FFC-ODC</v>
      </c>
      <c r="K1112">
        <f t="shared" si="17"/>
        <v>202344</v>
      </c>
      <c r="L1112">
        <f>IFERROR(Table1[[#This Row],[Demand]]/SUMIFS(Table1[Demand],Table1[Fiscal_Year],Table1[[#This Row],[Fiscal_Year]],Table1[BRAND],Table1[[#This Row],[BRAND]],Table1[DC_name_Xref],Table1[[#This Row],[DC_name_Xref]]),0)</f>
        <v>0</v>
      </c>
      <c r="M11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12" s="3">
        <f>IFERROR(INDEX(Table3[#All],MATCH(Table1[[#This Row],[Key_Year_Week_Brand]],Table3[[#All],[Key_Year_Week_Brand]],0),MATCH(Table1[[#This Row],[DC_name_Xref]],Table3[#Headers],0)),0)</f>
        <v>0</v>
      </c>
      <c r="O1112">
        <f>IFERROR(INDEX(Table35[#All],MATCH(Table1[[#This Row],[Key_Year_Week_Brand]],Table35[[#All],[Key_Year_Month_Brand]],0),MATCH(Table1[[#This Row],[DC_name_Xref]],Table35[#Headers],0)),0)</f>
        <v>0</v>
      </c>
    </row>
    <row r="1113" spans="1:15" x14ac:dyDescent="0.3">
      <c r="A1113" s="19" t="str">
        <f>Table1[[#This Row],[Year_Week]]&amp;"-"&amp;Table1[[#This Row],[DC_name_Xref]]</f>
        <v>202344-WEO</v>
      </c>
      <c r="B1113" s="19" t="str">
        <f>Table1[[#This Row],[Fiscal_Year]]*100+Table1[[#This Row],[Fiscal_Week]] &amp; "-" &amp;Table1[[#This Row],[BRAND]]</f>
        <v>202344-Gap</v>
      </c>
      <c r="C1113" t="str">
        <f>Table1[[#This Row],[Fiscal_Year]]&amp;"-"&amp;Table1[[#This Row],[BRAND]]</f>
        <v>2023-Gap</v>
      </c>
      <c r="D1113">
        <v>2023</v>
      </c>
      <c r="E1113">
        <v>44</v>
      </c>
      <c r="F1113" t="s">
        <v>16</v>
      </c>
      <c r="G1113" t="s">
        <v>10</v>
      </c>
      <c r="H1113">
        <v>6</v>
      </c>
      <c r="I1113">
        <v>1930685</v>
      </c>
      <c r="J1113" t="str">
        <f>VLOOKUP(H1113,DC_Xref!A:B,2,FALSE)</f>
        <v>WEO</v>
      </c>
      <c r="K1113">
        <f t="shared" si="17"/>
        <v>202344</v>
      </c>
      <c r="L1113">
        <f>IFERROR(Table1[[#This Row],[Demand]]/SUMIFS(Table1[Demand],Table1[Fiscal_Year],Table1[[#This Row],[Fiscal_Year]],Table1[BRAND],Table1[[#This Row],[BRAND]],Table1[DC_name_Xref],Table1[[#This Row],[DC_name_Xref]]),0)</f>
        <v>0.29193204660666994</v>
      </c>
      <c r="M11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0.2923333353077201</v>
      </c>
      <c r="N1113" s="3">
        <f>IFERROR(INDEX(Table3[#All],MATCH(Table1[[#This Row],[Key_Year_Week_Brand]],Table3[[#All],[Key_Year_Week_Brand]],0),MATCH(Table1[[#This Row],[DC_name_Xref]],Table3[#Headers],0)),0)</f>
        <v>0.45</v>
      </c>
      <c r="O1113">
        <f>IFERROR(INDEX(Table35[#All],MATCH(Table1[[#This Row],[Key_Year_Week_Brand]],Table35[[#All],[Key_Year_Month_Brand]],0),MATCH(Table1[[#This Row],[DC_name_Xref]],Table35[#Headers],0)),0)</f>
        <v>2635044.75</v>
      </c>
    </row>
    <row r="1114" spans="1:15" x14ac:dyDescent="0.3">
      <c r="A1114" s="19" t="str">
        <f>Table1[[#This Row],[Year_Week]]&amp;"-"&amp;Table1[[#This Row],[DC_name_Xref]]</f>
        <v>202344-OCC</v>
      </c>
      <c r="B1114" s="19" t="str">
        <f>Table1[[#This Row],[Fiscal_Year]]*100+Table1[[#This Row],[Fiscal_Week]] &amp; "-" &amp;Table1[[#This Row],[BRAND]]</f>
        <v>202344-Gap</v>
      </c>
      <c r="C1114" t="str">
        <f>Table1[[#This Row],[Fiscal_Year]]&amp;"-"&amp;Table1[[#This Row],[BRAND]]</f>
        <v>2023-Gap</v>
      </c>
      <c r="D1114">
        <v>2023</v>
      </c>
      <c r="E1114">
        <v>44</v>
      </c>
      <c r="F1114" t="s">
        <v>16</v>
      </c>
      <c r="G1114" t="s">
        <v>11</v>
      </c>
      <c r="H1114">
        <v>7</v>
      </c>
      <c r="I1114">
        <v>0</v>
      </c>
      <c r="J1114" t="str">
        <f>VLOOKUP(H1114,DC_Xref!A:B,2,FALSE)</f>
        <v>OCC</v>
      </c>
      <c r="K1114">
        <f t="shared" si="17"/>
        <v>202344</v>
      </c>
      <c r="L1114">
        <f>IFERROR(Table1[[#This Row],[Demand]]/SUMIFS(Table1[Demand],Table1[Fiscal_Year],Table1[[#This Row],[Fiscal_Year]],Table1[BRAND],Table1[[#This Row],[BRAND]],Table1[DC_name_Xref],Table1[[#This Row],[DC_name_Xref]]),0)</f>
        <v>0</v>
      </c>
      <c r="M11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14" s="3">
        <f>IFERROR(INDEX(Table3[#All],MATCH(Table1[[#This Row],[Key_Year_Week_Brand]],Table3[[#All],[Key_Year_Week_Brand]],0),MATCH(Table1[[#This Row],[DC_name_Xref]],Table3[#Headers],0)),0)</f>
        <v>0.3</v>
      </c>
      <c r="O1114">
        <f>IFERROR(INDEX(Table35[#All],MATCH(Table1[[#This Row],[Key_Year_Week_Brand]],Table35[[#All],[Key_Year_Month_Brand]],0),MATCH(Table1[[#This Row],[DC_name_Xref]],Table35[#Headers],0)),0)</f>
        <v>1756696.5</v>
      </c>
    </row>
    <row r="1115" spans="1:15" x14ac:dyDescent="0.3">
      <c r="A1115" s="19" t="str">
        <f>Table1[[#This Row],[Year_Week]]&amp;"-"&amp;Table1[[#This Row],[DC_name_Xref]]</f>
        <v>202344-OFC</v>
      </c>
      <c r="B1115" s="19" t="str">
        <f>Table1[[#This Row],[Fiscal_Year]]*100+Table1[[#This Row],[Fiscal_Week]] &amp; "-" &amp;Table1[[#This Row],[BRAND]]</f>
        <v>202344-Banana Republic</v>
      </c>
      <c r="C1115" t="str">
        <f>Table1[[#This Row],[Fiscal_Year]]&amp;"-"&amp;Table1[[#This Row],[BRAND]]</f>
        <v>2023-Banana Republic</v>
      </c>
      <c r="D1115">
        <v>2023</v>
      </c>
      <c r="E1115">
        <v>44</v>
      </c>
      <c r="F1115" t="s">
        <v>18</v>
      </c>
      <c r="G1115" t="s">
        <v>5</v>
      </c>
      <c r="H1115">
        <v>1</v>
      </c>
      <c r="I1115">
        <v>15845</v>
      </c>
      <c r="J1115" t="str">
        <f>VLOOKUP(H1115,DC_Xref!A:B,2,FALSE)</f>
        <v>OFC</v>
      </c>
      <c r="K1115">
        <f t="shared" si="17"/>
        <v>202344</v>
      </c>
      <c r="L1115">
        <f>IFERROR(Table1[[#This Row],[Demand]]/SUMIFS(Table1[Demand],Table1[Fiscal_Year],Table1[[#This Row],[Fiscal_Year]],Table1[BRAND],Table1[[#This Row],[BRAND]],Table1[DC_name_Xref],Table1[[#This Row],[DC_name_Xref]]),0)</f>
        <v>0.16936742416144687</v>
      </c>
      <c r="M11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2.1065553966605938E-2</v>
      </c>
      <c r="N1115" s="3">
        <f>IFERROR(INDEX(Table3[#All],MATCH(Table1[[#This Row],[Key_Year_Week_Brand]],Table3[[#All],[Key_Year_Week_Brand]],0),MATCH(Table1[[#This Row],[DC_name_Xref]],Table3[#Headers],0)),0)</f>
        <v>0</v>
      </c>
      <c r="O1115">
        <f>IFERROR(INDEX(Table35[#All],MATCH(Table1[[#This Row],[Key_Year_Week_Brand]],Table35[[#All],[Key_Year_Month_Brand]],0),MATCH(Table1[[#This Row],[DC_name_Xref]],Table35[#Headers],0)),0)</f>
        <v>0</v>
      </c>
    </row>
    <row r="1116" spans="1:15" x14ac:dyDescent="0.3">
      <c r="A1116" s="19" t="str">
        <f>Table1[[#This Row],[Year_Week]]&amp;"-"&amp;Table1[[#This Row],[DC_name_Xref]]</f>
        <v>202344-TFC</v>
      </c>
      <c r="B1116" s="19" t="str">
        <f>Table1[[#This Row],[Fiscal_Year]]*100+Table1[[#This Row],[Fiscal_Week]] &amp; "-" &amp;Table1[[#This Row],[BRAND]]</f>
        <v>202344-Banana Republic</v>
      </c>
      <c r="C1116" t="str">
        <f>Table1[[#This Row],[Fiscal_Year]]&amp;"-"&amp;Table1[[#This Row],[BRAND]]</f>
        <v>2023-Banana Republic</v>
      </c>
      <c r="D1116">
        <v>2023</v>
      </c>
      <c r="E1116">
        <v>44</v>
      </c>
      <c r="F1116" t="s">
        <v>18</v>
      </c>
      <c r="G1116" t="s">
        <v>21</v>
      </c>
      <c r="H1116">
        <v>2</v>
      </c>
      <c r="I1116">
        <v>1041878</v>
      </c>
      <c r="J1116" t="str">
        <f>VLOOKUP(H1116,DC_Xref!A:B,2,FALSE)</f>
        <v>TFC</v>
      </c>
      <c r="K1116">
        <f t="shared" si="17"/>
        <v>202344</v>
      </c>
      <c r="L1116">
        <f>IFERROR(Table1[[#This Row],[Demand]]/SUMIFS(Table1[Demand],Table1[Fiscal_Year],Table1[[#This Row],[Fiscal_Year]],Table1[BRAND],Table1[[#This Row],[BRAND]],Table1[DC_name_Xref],Table1[[#This Row],[DC_name_Xref]]),0)</f>
        <v>0.23966711354558395</v>
      </c>
      <c r="M11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0.97885631204418555</v>
      </c>
      <c r="N1116" s="3">
        <f>IFERROR(INDEX(Table3[#All],MATCH(Table1[[#This Row],[Key_Year_Week_Brand]],Table3[[#All],[Key_Year_Week_Brand]],0),MATCH(Table1[[#This Row],[DC_name_Xref]],Table3[#Headers],0)),0)</f>
        <v>1</v>
      </c>
      <c r="O1116">
        <f>IFERROR(INDEX(Table35[#All],MATCH(Table1[[#This Row],[Key_Year_Week_Brand]],Table35[[#All],[Key_Year_Month_Brand]],0),MATCH(Table1[[#This Row],[DC_name_Xref]],Table35[#Headers],0)),0)</f>
        <v>1057838</v>
      </c>
    </row>
    <row r="1117" spans="1:15" x14ac:dyDescent="0.3">
      <c r="A1117" s="19" t="str">
        <f>Table1[[#This Row],[Year_Week]]&amp;"-"&amp;Table1[[#This Row],[DC_name_Xref]]</f>
        <v>202344-WFC</v>
      </c>
      <c r="B1117" s="19" t="str">
        <f>Table1[[#This Row],[Fiscal_Year]]*100+Table1[[#This Row],[Fiscal_Week]] &amp; "-" &amp;Table1[[#This Row],[BRAND]]</f>
        <v>202344-Banana Republic</v>
      </c>
      <c r="C1117" t="str">
        <f>Table1[[#This Row],[Fiscal_Year]]&amp;"-"&amp;Table1[[#This Row],[BRAND]]</f>
        <v>2023-Banana Republic</v>
      </c>
      <c r="D1117">
        <v>2023</v>
      </c>
      <c r="E1117">
        <v>44</v>
      </c>
      <c r="F1117" t="s">
        <v>18</v>
      </c>
      <c r="G1117" t="s">
        <v>7</v>
      </c>
      <c r="H1117">
        <v>3</v>
      </c>
      <c r="I1117">
        <v>0</v>
      </c>
      <c r="J1117" t="str">
        <f>VLOOKUP(H1117,DC_Xref!A:B,2,FALSE)</f>
        <v>WFC</v>
      </c>
      <c r="K1117">
        <f t="shared" si="17"/>
        <v>202344</v>
      </c>
      <c r="L1117">
        <f>IFERROR(Table1[[#This Row],[Demand]]/SUMIFS(Table1[Demand],Table1[Fiscal_Year],Table1[[#This Row],[Fiscal_Year]],Table1[BRAND],Table1[[#This Row],[BRAND]],Table1[DC_name_Xref],Table1[[#This Row],[DC_name_Xref]]),0)</f>
        <v>0</v>
      </c>
      <c r="M11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2.9272099703473632E-6</v>
      </c>
      <c r="N1117" s="3">
        <f>IFERROR(INDEX(Table3[#All],MATCH(Table1[[#This Row],[Key_Year_Week_Brand]],Table3[[#All],[Key_Year_Week_Brand]],0),MATCH(Table1[[#This Row],[DC_name_Xref]],Table3[#Headers],0)),0)</f>
        <v>3.4959629396853166E-6</v>
      </c>
      <c r="O1117">
        <f>IFERROR(INDEX(Table35[#All],MATCH(Table1[[#This Row],[Key_Year_Week_Brand]],Table35[[#All],[Key_Year_Month_Brand]],0),MATCH(Table1[[#This Row],[DC_name_Xref]],Table35[#Headers],0)),0)</f>
        <v>3.6981624441908361</v>
      </c>
    </row>
    <row r="1118" spans="1:15" x14ac:dyDescent="0.3">
      <c r="A1118" s="19" t="str">
        <f>Table1[[#This Row],[Year_Week]]&amp;"-"&amp;Table1[[#This Row],[DC_name_Xref]]</f>
        <v>202344-EAO</v>
      </c>
      <c r="B1118" s="19" t="str">
        <f>Table1[[#This Row],[Fiscal_Year]]*100+Table1[[#This Row],[Fiscal_Week]] &amp; "-" &amp;Table1[[#This Row],[BRAND]]</f>
        <v>202344-Banana Republic</v>
      </c>
      <c r="C1118" t="str">
        <f>Table1[[#This Row],[Fiscal_Year]]&amp;"-"&amp;Table1[[#This Row],[BRAND]]</f>
        <v>2023-Banana Republic</v>
      </c>
      <c r="D1118">
        <v>2023</v>
      </c>
      <c r="E1118">
        <v>44</v>
      </c>
      <c r="F1118" t="s">
        <v>18</v>
      </c>
      <c r="G1118" t="s">
        <v>8</v>
      </c>
      <c r="H1118">
        <v>4</v>
      </c>
      <c r="I1118">
        <v>115</v>
      </c>
      <c r="J1118" t="str">
        <f>VLOOKUP(H1118,DC_Xref!A:B,2,FALSE)</f>
        <v>EAO</v>
      </c>
      <c r="K1118">
        <f t="shared" si="17"/>
        <v>202344</v>
      </c>
      <c r="L1118">
        <f>IFERROR(Table1[[#This Row],[Demand]]/SUMIFS(Table1[Demand],Table1[Fiscal_Year],Table1[[#This Row],[Fiscal_Year]],Table1[BRAND],Table1[[#This Row],[BRAND]],Table1[DC_name_Xref],Table1[[#This Row],[DC_name_Xref]]),0)</f>
        <v>0.34431137724550898</v>
      </c>
      <c r="M11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7.5206779238155323E-5</v>
      </c>
      <c r="N1118" s="3">
        <f>IFERROR(INDEX(Table3[#All],MATCH(Table1[[#This Row],[Key_Year_Week_Brand]],Table3[[#All],[Key_Year_Week_Brand]],0),MATCH(Table1[[#This Row],[DC_name_Xref]],Table3[#Headers],0)),0)</f>
        <v>4.2339995602855504E-5</v>
      </c>
      <c r="O1118">
        <f>IFERROR(INDEX(Table35[#All],MATCH(Table1[[#This Row],[Key_Year_Week_Brand]],Table35[[#All],[Key_Year_Month_Brand]],0),MATCH(Table1[[#This Row],[DC_name_Xref]],Table35[#Headers],0)),0)</f>
        <v>44.788856268533458</v>
      </c>
    </row>
    <row r="1119" spans="1:15" x14ac:dyDescent="0.3">
      <c r="A1119" s="19" t="str">
        <f>Table1[[#This Row],[Year_Week]]&amp;"-"&amp;Table1[[#This Row],[DC_name_Xref]]</f>
        <v>202344-FFC-ODC</v>
      </c>
      <c r="B1119" s="19" t="str">
        <f>Table1[[#This Row],[Fiscal_Year]]*100+Table1[[#This Row],[Fiscal_Week]] &amp; "-" &amp;Table1[[#This Row],[BRAND]]</f>
        <v>202344-Banana Republic</v>
      </c>
      <c r="C1119" t="str">
        <f>Table1[[#This Row],[Fiscal_Year]]&amp;"-"&amp;Table1[[#This Row],[BRAND]]</f>
        <v>2023-Banana Republic</v>
      </c>
      <c r="D1119">
        <v>2023</v>
      </c>
      <c r="E1119">
        <v>44</v>
      </c>
      <c r="F1119" t="s">
        <v>18</v>
      </c>
      <c r="G1119" t="s">
        <v>23</v>
      </c>
      <c r="H1119">
        <v>5</v>
      </c>
      <c r="I1119">
        <v>0</v>
      </c>
      <c r="J1119" t="str">
        <f>VLOOKUP(H1119,DC_Xref!A:B,2,FALSE)</f>
        <v>FFC-ODC</v>
      </c>
      <c r="K1119">
        <f t="shared" si="17"/>
        <v>202344</v>
      </c>
      <c r="L1119">
        <f>IFERROR(Table1[[#This Row],[Demand]]/SUMIFS(Table1[Demand],Table1[Fiscal_Year],Table1[[#This Row],[Fiscal_Year]],Table1[BRAND],Table1[[#This Row],[BRAND]],Table1[DC_name_Xref],Table1[[#This Row],[DC_name_Xref]]),0)</f>
        <v>0</v>
      </c>
      <c r="M11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19" s="3">
        <f>IFERROR(INDEX(Table3[#All],MATCH(Table1[[#This Row],[Key_Year_Week_Brand]],Table3[[#All],[Key_Year_Week_Brand]],0),MATCH(Table1[[#This Row],[DC_name_Xref]],Table3[#Headers],0)),0)</f>
        <v>0</v>
      </c>
      <c r="O1119">
        <f>IFERROR(INDEX(Table35[#All],MATCH(Table1[[#This Row],[Key_Year_Week_Brand]],Table35[[#All],[Key_Year_Month_Brand]],0),MATCH(Table1[[#This Row],[DC_name_Xref]],Table35[#Headers],0)),0)</f>
        <v>0</v>
      </c>
    </row>
    <row r="1120" spans="1:15" x14ac:dyDescent="0.3">
      <c r="A1120" s="19" t="str">
        <f>Table1[[#This Row],[Year_Week]]&amp;"-"&amp;Table1[[#This Row],[DC_name_Xref]]</f>
        <v>202344-WEO</v>
      </c>
      <c r="B1120" s="19" t="str">
        <f>Table1[[#This Row],[Fiscal_Year]]*100+Table1[[#This Row],[Fiscal_Week]] &amp; "-" &amp;Table1[[#This Row],[BRAND]]</f>
        <v>202344-Banana Republic</v>
      </c>
      <c r="C1120" t="str">
        <f>Table1[[#This Row],[Fiscal_Year]]&amp;"-"&amp;Table1[[#This Row],[BRAND]]</f>
        <v>2023-Banana Republic</v>
      </c>
      <c r="D1120">
        <v>2023</v>
      </c>
      <c r="E1120">
        <v>44</v>
      </c>
      <c r="F1120" t="s">
        <v>18</v>
      </c>
      <c r="G1120" t="s">
        <v>10</v>
      </c>
      <c r="H1120">
        <v>6</v>
      </c>
      <c r="I1120">
        <v>0</v>
      </c>
      <c r="J1120" t="str">
        <f>VLOOKUP(H1120,DC_Xref!A:B,2,FALSE)</f>
        <v>WEO</v>
      </c>
      <c r="K1120">
        <f t="shared" si="17"/>
        <v>202344</v>
      </c>
      <c r="L1120">
        <f>IFERROR(Table1[[#This Row],[Demand]]/SUMIFS(Table1[Demand],Table1[Fiscal_Year],Table1[[#This Row],[Fiscal_Year]],Table1[BRAND],Table1[[#This Row],[BRAND]],Table1[DC_name_Xref],Table1[[#This Row],[DC_name_Xref]]),0)</f>
        <v>0</v>
      </c>
      <c r="M11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20" s="3">
        <f>IFERROR(INDEX(Table3[#All],MATCH(Table1[[#This Row],[Key_Year_Week_Brand]],Table3[[#All],[Key_Year_Week_Brand]],0),MATCH(Table1[[#This Row],[DC_name_Xref]],Table3[#Headers],0)),0)</f>
        <v>0</v>
      </c>
      <c r="O1120">
        <f>IFERROR(INDEX(Table35[#All],MATCH(Table1[[#This Row],[Key_Year_Week_Brand]],Table35[[#All],[Key_Year_Month_Brand]],0),MATCH(Table1[[#This Row],[DC_name_Xref]],Table35[#Headers],0)),0)</f>
        <v>0</v>
      </c>
    </row>
    <row r="1121" spans="1:15" x14ac:dyDescent="0.3">
      <c r="A1121" s="19" t="str">
        <f>Table1[[#This Row],[Year_Week]]&amp;"-"&amp;Table1[[#This Row],[DC_name_Xref]]</f>
        <v>202344-OCC</v>
      </c>
      <c r="B1121" s="19" t="str">
        <f>Table1[[#This Row],[Fiscal_Year]]*100+Table1[[#This Row],[Fiscal_Week]] &amp; "-" &amp;Table1[[#This Row],[BRAND]]</f>
        <v>202344-Banana Republic</v>
      </c>
      <c r="C1121" t="str">
        <f>Table1[[#This Row],[Fiscal_Year]]&amp;"-"&amp;Table1[[#This Row],[BRAND]]</f>
        <v>2023-Banana Republic</v>
      </c>
      <c r="D1121">
        <v>2023</v>
      </c>
      <c r="E1121">
        <v>44</v>
      </c>
      <c r="F1121" t="s">
        <v>18</v>
      </c>
      <c r="G1121" t="s">
        <v>11</v>
      </c>
      <c r="H1121">
        <v>7</v>
      </c>
      <c r="I1121">
        <v>0</v>
      </c>
      <c r="J1121" t="str">
        <f>VLOOKUP(H1121,DC_Xref!A:B,2,FALSE)</f>
        <v>OCC</v>
      </c>
      <c r="K1121">
        <f t="shared" si="17"/>
        <v>202344</v>
      </c>
      <c r="L1121">
        <f>IFERROR(Table1[[#This Row],[Demand]]/SUMIFS(Table1[Demand],Table1[Fiscal_Year],Table1[[#This Row],[Fiscal_Year]],Table1[BRAND],Table1[[#This Row],[BRAND]],Table1[DC_name_Xref],Table1[[#This Row],[DC_name_Xref]]),0)</f>
        <v>0</v>
      </c>
      <c r="M11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21" s="3">
        <f>IFERROR(INDEX(Table3[#All],MATCH(Table1[[#This Row],[Key_Year_Week_Brand]],Table3[[#All],[Key_Year_Week_Brand]],0),MATCH(Table1[[#This Row],[DC_name_Xref]],Table3[#Headers],0)),0)</f>
        <v>0</v>
      </c>
      <c r="O1121">
        <f>IFERROR(INDEX(Table35[#All],MATCH(Table1[[#This Row],[Key_Year_Week_Brand]],Table35[[#All],[Key_Year_Month_Brand]],0),MATCH(Table1[[#This Row],[DC_name_Xref]],Table35[#Headers],0)),0)</f>
        <v>0</v>
      </c>
    </row>
    <row r="1122" spans="1:15" x14ac:dyDescent="0.3">
      <c r="A1122" s="19" t="str">
        <f>Table1[[#This Row],[Year_Week]]&amp;"-"&amp;Table1[[#This Row],[DC_name_Xref]]</f>
        <v>202344-OFC</v>
      </c>
      <c r="B1122" s="19" t="str">
        <f>Table1[[#This Row],[Fiscal_Year]]*100+Table1[[#This Row],[Fiscal_Week]] &amp; "-" &amp;Table1[[#This Row],[BRAND]]</f>
        <v>202344-Athleta</v>
      </c>
      <c r="C1122" t="str">
        <f>Table1[[#This Row],[Fiscal_Year]]&amp;"-"&amp;Table1[[#This Row],[BRAND]]</f>
        <v>2023-Athleta</v>
      </c>
      <c r="D1122">
        <v>2023</v>
      </c>
      <c r="E1122">
        <v>44</v>
      </c>
      <c r="F1122" t="s">
        <v>19</v>
      </c>
      <c r="G1122" t="s">
        <v>5</v>
      </c>
      <c r="H1122">
        <v>1</v>
      </c>
      <c r="I1122">
        <v>59670</v>
      </c>
      <c r="J1122" t="str">
        <f>VLOOKUP(H1122,DC_Xref!A:B,2,FALSE)</f>
        <v>OFC</v>
      </c>
      <c r="K1122">
        <f t="shared" si="17"/>
        <v>202344</v>
      </c>
      <c r="L1122">
        <f>IFERROR(Table1[[#This Row],[Demand]]/SUMIFS(Table1[Demand],Table1[Fiscal_Year],Table1[[#This Row],[Fiscal_Year]],Table1[BRAND],Table1[[#This Row],[BRAND]],Table1[DC_name_Xref],Table1[[#This Row],[DC_name_Xref]]),0)</f>
        <v>0.16147538765458827</v>
      </c>
      <c r="M11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9.6407211874108403E-2</v>
      </c>
      <c r="N1122" s="3">
        <f>IFERROR(INDEX(Table3[#All],MATCH(Table1[[#This Row],[Key_Year_Week_Brand]],Table3[[#All],[Key_Year_Week_Brand]],0),MATCH(Table1[[#This Row],[DC_name_Xref]],Table3[#Headers],0)),0)</f>
        <v>0</v>
      </c>
      <c r="O1122">
        <f>IFERROR(INDEX(Table35[#All],MATCH(Table1[[#This Row],[Key_Year_Week_Brand]],Table35[[#All],[Key_Year_Month_Brand]],0),MATCH(Table1[[#This Row],[DC_name_Xref]],Table35[#Headers],0)),0)</f>
        <v>0</v>
      </c>
    </row>
    <row r="1123" spans="1:15" x14ac:dyDescent="0.3">
      <c r="A1123" s="19" t="str">
        <f>Table1[[#This Row],[Year_Week]]&amp;"-"&amp;Table1[[#This Row],[DC_name_Xref]]</f>
        <v>202344-TFC</v>
      </c>
      <c r="B1123" s="19" t="str">
        <f>Table1[[#This Row],[Fiscal_Year]]*100+Table1[[#This Row],[Fiscal_Week]] &amp; "-" &amp;Table1[[#This Row],[BRAND]]</f>
        <v>202344-Athleta</v>
      </c>
      <c r="C1123" t="str">
        <f>Table1[[#This Row],[Fiscal_Year]]&amp;"-"&amp;Table1[[#This Row],[BRAND]]</f>
        <v>2023-Athleta</v>
      </c>
      <c r="D1123">
        <v>2023</v>
      </c>
      <c r="E1123">
        <v>44</v>
      </c>
      <c r="F1123" t="s">
        <v>19</v>
      </c>
      <c r="G1123" t="s">
        <v>21</v>
      </c>
      <c r="H1123">
        <v>2</v>
      </c>
      <c r="I1123">
        <v>627424</v>
      </c>
      <c r="J1123" t="str">
        <f>VLOOKUP(H1123,DC_Xref!A:B,2,FALSE)</f>
        <v>TFC</v>
      </c>
      <c r="K1123">
        <f t="shared" si="17"/>
        <v>202344</v>
      </c>
      <c r="L1123">
        <f>IFERROR(Table1[[#This Row],[Demand]]/SUMIFS(Table1[Demand],Table1[Fiscal_Year],Table1[[#This Row],[Fiscal_Year]],Table1[BRAND],Table1[[#This Row],[BRAND]],Table1[DC_name_Xref],Table1[[#This Row],[DC_name_Xref]]),0)</f>
        <v>0.18116064846910093</v>
      </c>
      <c r="M11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0.90356017669655087</v>
      </c>
      <c r="N1123" s="3">
        <f>IFERROR(INDEX(Table3[#All],MATCH(Table1[[#This Row],[Key_Year_Week_Brand]],Table3[[#All],[Key_Year_Week_Brand]],0),MATCH(Table1[[#This Row],[DC_name_Xref]],Table3[#Headers],0)),0)</f>
        <v>1</v>
      </c>
      <c r="O1123">
        <f>IFERROR(INDEX(Table35[#All],MATCH(Table1[[#This Row],[Key_Year_Week_Brand]],Table35[[#All],[Key_Year_Month_Brand]],0),MATCH(Table1[[#This Row],[DC_name_Xref]],Table35[#Headers],0)),0)</f>
        <v>687150</v>
      </c>
    </row>
    <row r="1124" spans="1:15" x14ac:dyDescent="0.3">
      <c r="A1124" s="19" t="str">
        <f>Table1[[#This Row],[Year_Week]]&amp;"-"&amp;Table1[[#This Row],[DC_name_Xref]]</f>
        <v>202344-WFC</v>
      </c>
      <c r="B1124" s="19" t="str">
        <f>Table1[[#This Row],[Fiscal_Year]]*100+Table1[[#This Row],[Fiscal_Week]] &amp; "-" &amp;Table1[[#This Row],[BRAND]]</f>
        <v>202344-Athleta</v>
      </c>
      <c r="C1124" t="str">
        <f>Table1[[#This Row],[Fiscal_Year]]&amp;"-"&amp;Table1[[#This Row],[BRAND]]</f>
        <v>2023-Athleta</v>
      </c>
      <c r="D1124">
        <v>2023</v>
      </c>
      <c r="E1124">
        <v>44</v>
      </c>
      <c r="F1124" t="s">
        <v>19</v>
      </c>
      <c r="G1124" t="s">
        <v>7</v>
      </c>
      <c r="H1124">
        <v>3</v>
      </c>
      <c r="I1124">
        <v>0</v>
      </c>
      <c r="J1124" t="str">
        <f>VLOOKUP(H1124,DC_Xref!A:B,2,FALSE)</f>
        <v>WFC</v>
      </c>
      <c r="K1124">
        <f t="shared" si="17"/>
        <v>202344</v>
      </c>
      <c r="L1124">
        <f>IFERROR(Table1[[#This Row],[Demand]]/SUMIFS(Table1[Demand],Table1[Fiscal_Year],Table1[[#This Row],[Fiscal_Year]],Table1[BRAND],Table1[[#This Row],[BRAND]],Table1[DC_name_Xref],Table1[[#This Row],[DC_name_Xref]]),0)</f>
        <v>0</v>
      </c>
      <c r="M11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24" s="3">
        <f>IFERROR(INDEX(Table3[#All],MATCH(Table1[[#This Row],[Key_Year_Week_Brand]],Table3[[#All],[Key_Year_Week_Brand]],0),MATCH(Table1[[#This Row],[DC_name_Xref]],Table3[#Headers],0)),0)</f>
        <v>0</v>
      </c>
      <c r="O1124">
        <f>IFERROR(INDEX(Table35[#All],MATCH(Table1[[#This Row],[Key_Year_Week_Brand]],Table35[[#All],[Key_Year_Month_Brand]],0),MATCH(Table1[[#This Row],[DC_name_Xref]],Table35[#Headers],0)),0)</f>
        <v>0</v>
      </c>
    </row>
    <row r="1125" spans="1:15" x14ac:dyDescent="0.3">
      <c r="A1125" s="19" t="str">
        <f>Table1[[#This Row],[Year_Week]]&amp;"-"&amp;Table1[[#This Row],[DC_name_Xref]]</f>
        <v>202344-EAO</v>
      </c>
      <c r="B1125" s="19" t="str">
        <f>Table1[[#This Row],[Fiscal_Year]]*100+Table1[[#This Row],[Fiscal_Week]] &amp; "-" &amp;Table1[[#This Row],[BRAND]]</f>
        <v>202344-Athleta</v>
      </c>
      <c r="C1125" t="str">
        <f>Table1[[#This Row],[Fiscal_Year]]&amp;"-"&amp;Table1[[#This Row],[BRAND]]</f>
        <v>2023-Athleta</v>
      </c>
      <c r="D1125">
        <v>2023</v>
      </c>
      <c r="E1125">
        <v>44</v>
      </c>
      <c r="F1125" t="s">
        <v>19</v>
      </c>
      <c r="G1125" t="s">
        <v>8</v>
      </c>
      <c r="H1125">
        <v>4</v>
      </c>
      <c r="I1125">
        <v>56</v>
      </c>
      <c r="J1125" t="str">
        <f>VLOOKUP(H1125,DC_Xref!A:B,2,FALSE)</f>
        <v>EAO</v>
      </c>
      <c r="K1125">
        <f t="shared" si="17"/>
        <v>202344</v>
      </c>
      <c r="L1125">
        <f>IFERROR(Table1[[#This Row],[Demand]]/SUMIFS(Table1[Demand],Table1[Fiscal_Year],Table1[[#This Row],[Fiscal_Year]],Table1[BRAND],Table1[[#This Row],[BRAND]],Table1[DC_name_Xref],Table1[[#This Row],[DC_name_Xref]]),0)</f>
        <v>0.44800000000000001</v>
      </c>
      <c r="M11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3.26114293406856E-5</v>
      </c>
      <c r="N1125" s="3">
        <f>IFERROR(INDEX(Table3[#All],MATCH(Table1[[#This Row],[Key_Year_Week_Brand]],Table3[[#All],[Key_Year_Week_Brand]],0),MATCH(Table1[[#This Row],[DC_name_Xref]],Table3[#Headers],0)),0)</f>
        <v>3.447122356821831E-5</v>
      </c>
      <c r="O1125">
        <f>IFERROR(INDEX(Table35[#All],MATCH(Table1[[#This Row],[Key_Year_Week_Brand]],Table35[[#All],[Key_Year_Month_Brand]],0),MATCH(Table1[[#This Row],[DC_name_Xref]],Table35[#Headers],0)),0)</f>
        <v>23.68690127490121</v>
      </c>
    </row>
    <row r="1126" spans="1:15" x14ac:dyDescent="0.3">
      <c r="A1126" s="19" t="str">
        <f>Table1[[#This Row],[Year_Week]]&amp;"-"&amp;Table1[[#This Row],[DC_name_Xref]]</f>
        <v>202344-FFC-ODC</v>
      </c>
      <c r="B1126" s="19" t="str">
        <f>Table1[[#This Row],[Fiscal_Year]]*100+Table1[[#This Row],[Fiscal_Week]] &amp; "-" &amp;Table1[[#This Row],[BRAND]]</f>
        <v>202344-Athleta</v>
      </c>
      <c r="C1126" t="str">
        <f>Table1[[#This Row],[Fiscal_Year]]&amp;"-"&amp;Table1[[#This Row],[BRAND]]</f>
        <v>2023-Athleta</v>
      </c>
      <c r="D1126">
        <v>2023</v>
      </c>
      <c r="E1126">
        <v>44</v>
      </c>
      <c r="F1126" t="s">
        <v>19</v>
      </c>
      <c r="G1126" t="s">
        <v>23</v>
      </c>
      <c r="H1126">
        <v>5</v>
      </c>
      <c r="I1126">
        <v>0</v>
      </c>
      <c r="J1126" t="str">
        <f>VLOOKUP(H1126,DC_Xref!A:B,2,FALSE)</f>
        <v>FFC-ODC</v>
      </c>
      <c r="K1126">
        <f t="shared" si="17"/>
        <v>202344</v>
      </c>
      <c r="L1126">
        <f>IFERROR(Table1[[#This Row],[Demand]]/SUMIFS(Table1[Demand],Table1[Fiscal_Year],Table1[[#This Row],[Fiscal_Year]],Table1[BRAND],Table1[[#This Row],[BRAND]],Table1[DC_name_Xref],Table1[[#This Row],[DC_name_Xref]]),0)</f>
        <v>0</v>
      </c>
      <c r="M11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26" s="3">
        <f>IFERROR(INDEX(Table3[#All],MATCH(Table1[[#This Row],[Key_Year_Week_Brand]],Table3[[#All],[Key_Year_Week_Brand]],0),MATCH(Table1[[#This Row],[DC_name_Xref]],Table3[#Headers],0)),0)</f>
        <v>0</v>
      </c>
      <c r="O1126">
        <f>IFERROR(INDEX(Table35[#All],MATCH(Table1[[#This Row],[Key_Year_Week_Brand]],Table35[[#All],[Key_Year_Month_Brand]],0),MATCH(Table1[[#This Row],[DC_name_Xref]],Table35[#Headers],0)),0)</f>
        <v>0</v>
      </c>
    </row>
    <row r="1127" spans="1:15" x14ac:dyDescent="0.3">
      <c r="A1127" s="19" t="str">
        <f>Table1[[#This Row],[Year_Week]]&amp;"-"&amp;Table1[[#This Row],[DC_name_Xref]]</f>
        <v>202344-WEO</v>
      </c>
      <c r="B1127" s="19" t="str">
        <f>Table1[[#This Row],[Fiscal_Year]]*100+Table1[[#This Row],[Fiscal_Week]] &amp; "-" &amp;Table1[[#This Row],[BRAND]]</f>
        <v>202344-Athleta</v>
      </c>
      <c r="C1127" t="str">
        <f>Table1[[#This Row],[Fiscal_Year]]&amp;"-"&amp;Table1[[#This Row],[BRAND]]</f>
        <v>2023-Athleta</v>
      </c>
      <c r="D1127">
        <v>2023</v>
      </c>
      <c r="E1127">
        <v>44</v>
      </c>
      <c r="F1127" t="s">
        <v>19</v>
      </c>
      <c r="G1127" t="s">
        <v>10</v>
      </c>
      <c r="H1127">
        <v>6</v>
      </c>
      <c r="I1127">
        <v>0</v>
      </c>
      <c r="J1127" t="str">
        <f>VLOOKUP(H1127,DC_Xref!A:B,2,FALSE)</f>
        <v>WEO</v>
      </c>
      <c r="K1127">
        <f t="shared" si="17"/>
        <v>202344</v>
      </c>
      <c r="L1127">
        <f>IFERROR(Table1[[#This Row],[Demand]]/SUMIFS(Table1[Demand],Table1[Fiscal_Year],Table1[[#This Row],[Fiscal_Year]],Table1[BRAND],Table1[[#This Row],[BRAND]],Table1[DC_name_Xref],Table1[[#This Row],[DC_name_Xref]]),0)</f>
        <v>0</v>
      </c>
      <c r="M11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27" s="3">
        <f>IFERROR(INDEX(Table3[#All],MATCH(Table1[[#This Row],[Key_Year_Week_Brand]],Table3[[#All],[Key_Year_Week_Brand]],0),MATCH(Table1[[#This Row],[DC_name_Xref]],Table3[#Headers],0)),0)</f>
        <v>0</v>
      </c>
      <c r="O1127">
        <f>IFERROR(INDEX(Table35[#All],MATCH(Table1[[#This Row],[Key_Year_Week_Brand]],Table35[[#All],[Key_Year_Month_Brand]],0),MATCH(Table1[[#This Row],[DC_name_Xref]],Table35[#Headers],0)),0)</f>
        <v>0</v>
      </c>
    </row>
    <row r="1128" spans="1:15" x14ac:dyDescent="0.3">
      <c r="A1128" s="19" t="str">
        <f>Table1[[#This Row],[Year_Week]]&amp;"-"&amp;Table1[[#This Row],[DC_name_Xref]]</f>
        <v>202344-OCC</v>
      </c>
      <c r="B1128" s="19" t="str">
        <f>Table1[[#This Row],[Fiscal_Year]]*100+Table1[[#This Row],[Fiscal_Week]] &amp; "-" &amp;Table1[[#This Row],[BRAND]]</f>
        <v>202344-Athleta</v>
      </c>
      <c r="C1128" t="str">
        <f>Table1[[#This Row],[Fiscal_Year]]&amp;"-"&amp;Table1[[#This Row],[BRAND]]</f>
        <v>2023-Athleta</v>
      </c>
      <c r="D1128">
        <v>2023</v>
      </c>
      <c r="E1128">
        <v>44</v>
      </c>
      <c r="F1128" t="s">
        <v>19</v>
      </c>
      <c r="G1128" t="s">
        <v>11</v>
      </c>
      <c r="H1128">
        <v>7</v>
      </c>
      <c r="I1128">
        <v>0</v>
      </c>
      <c r="J1128" t="str">
        <f>VLOOKUP(H1128,DC_Xref!A:B,2,FALSE)</f>
        <v>OCC</v>
      </c>
      <c r="K1128">
        <f t="shared" si="17"/>
        <v>202344</v>
      </c>
      <c r="L1128">
        <f>IFERROR(Table1[[#This Row],[Demand]]/SUMIFS(Table1[Demand],Table1[Fiscal_Year],Table1[[#This Row],[Fiscal_Year]],Table1[BRAND],Table1[[#This Row],[BRAND]],Table1[DC_name_Xref],Table1[[#This Row],[DC_name_Xref]]),0)</f>
        <v>0</v>
      </c>
      <c r="M11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28" s="3">
        <f>IFERROR(INDEX(Table3[#All],MATCH(Table1[[#This Row],[Key_Year_Week_Brand]],Table3[[#All],[Key_Year_Week_Brand]],0),MATCH(Table1[[#This Row],[DC_name_Xref]],Table3[#Headers],0)),0)</f>
        <v>0</v>
      </c>
      <c r="O1128">
        <f>IFERROR(INDEX(Table35[#All],MATCH(Table1[[#This Row],[Key_Year_Week_Brand]],Table35[[#All],[Key_Year_Month_Brand]],0),MATCH(Table1[[#This Row],[DC_name_Xref]],Table35[#Headers],0)),0)</f>
        <v>0</v>
      </c>
    </row>
    <row r="1129" spans="1:15" x14ac:dyDescent="0.3">
      <c r="A1129" s="19" t="str">
        <f>Table1[[#This Row],[Year_Week]]&amp;"-"&amp;Table1[[#This Row],[DC_name_Xref]]</f>
        <v>202344-OFC</v>
      </c>
      <c r="B1129" s="19" t="str">
        <f>Table1[[#This Row],[Fiscal_Year]]*100+Table1[[#This Row],[Fiscal_Week]] &amp; "-" &amp;Table1[[#This Row],[BRAND]]</f>
        <v>202344-Old Navy</v>
      </c>
      <c r="C1129" t="str">
        <f>Table1[[#This Row],[Fiscal_Year]]&amp;"-"&amp;Table1[[#This Row],[BRAND]]</f>
        <v>2023-Old Navy</v>
      </c>
      <c r="D1129">
        <v>2023</v>
      </c>
      <c r="E1129">
        <v>44</v>
      </c>
      <c r="F1129" t="s">
        <v>20</v>
      </c>
      <c r="G1129" t="s">
        <v>5</v>
      </c>
      <c r="H1129">
        <v>1</v>
      </c>
      <c r="I1129">
        <v>3832303</v>
      </c>
      <c r="J1129" t="str">
        <f>VLOOKUP(H1129,DC_Xref!A:B,2,FALSE)</f>
        <v>OFC</v>
      </c>
      <c r="K1129">
        <f t="shared" si="17"/>
        <v>202344</v>
      </c>
      <c r="L1129">
        <f>IFERROR(Table1[[#This Row],[Demand]]/SUMIFS(Table1[Demand],Table1[Fiscal_Year],Table1[[#This Row],[Fiscal_Year]],Table1[BRAND],Table1[[#This Row],[BRAND]],Table1[DC_name_Xref],Table1[[#This Row],[DC_name_Xref]]),0)</f>
        <v>0.26804153923693375</v>
      </c>
      <c r="M11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0.30096115909547266</v>
      </c>
      <c r="N1129" s="3">
        <f>IFERROR(INDEX(Table3[#All],MATCH(Table1[[#This Row],[Key_Year_Week_Brand]],Table3[[#All],[Key_Year_Week_Brand]],0),MATCH(Table1[[#This Row],[DC_name_Xref]],Table3[#Headers],0)),0)</f>
        <v>0</v>
      </c>
      <c r="O1129">
        <f>IFERROR(INDEX(Table35[#All],MATCH(Table1[[#This Row],[Key_Year_Week_Brand]],Table35[[#All],[Key_Year_Month_Brand]],0),MATCH(Table1[[#This Row],[DC_name_Xref]],Table35[#Headers],0)),0)</f>
        <v>0</v>
      </c>
    </row>
    <row r="1130" spans="1:15" x14ac:dyDescent="0.3">
      <c r="A1130" s="19" t="str">
        <f>Table1[[#This Row],[Year_Week]]&amp;"-"&amp;Table1[[#This Row],[DC_name_Xref]]</f>
        <v>202344-TFC</v>
      </c>
      <c r="B1130" s="19" t="str">
        <f>Table1[[#This Row],[Fiscal_Year]]*100+Table1[[#This Row],[Fiscal_Week]] &amp; "-" &amp;Table1[[#This Row],[BRAND]]</f>
        <v>202344-Old Navy</v>
      </c>
      <c r="C1130" t="str">
        <f>Table1[[#This Row],[Fiscal_Year]]&amp;"-"&amp;Table1[[#This Row],[BRAND]]</f>
        <v>2023-Old Navy</v>
      </c>
      <c r="D1130">
        <v>2023</v>
      </c>
      <c r="E1130">
        <v>44</v>
      </c>
      <c r="F1130" t="s">
        <v>20</v>
      </c>
      <c r="G1130" t="s">
        <v>21</v>
      </c>
      <c r="H1130">
        <v>2</v>
      </c>
      <c r="I1130">
        <v>1513642</v>
      </c>
      <c r="J1130" t="str">
        <f>VLOOKUP(H1130,DC_Xref!A:B,2,FALSE)</f>
        <v>TFC</v>
      </c>
      <c r="K1130">
        <f t="shared" si="17"/>
        <v>202344</v>
      </c>
      <c r="L1130">
        <f>IFERROR(Table1[[#This Row],[Demand]]/SUMIFS(Table1[Demand],Table1[Fiscal_Year],Table1[[#This Row],[Fiscal_Year]],Table1[BRAND],Table1[[#This Row],[BRAND]],Table1[DC_name_Xref],Table1[[#This Row],[DC_name_Xref]]),0)</f>
        <v>0.18914737090450323</v>
      </c>
      <c r="M11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0.16845176883505619</v>
      </c>
      <c r="N1130" s="3">
        <f>IFERROR(INDEX(Table3[#All],MATCH(Table1[[#This Row],[Key_Year_Week_Brand]],Table3[[#All],[Key_Year_Week_Brand]],0),MATCH(Table1[[#This Row],[DC_name_Xref]],Table3[#Headers],0)),0)</f>
        <v>0</v>
      </c>
      <c r="O1130">
        <f>IFERROR(INDEX(Table35[#All],MATCH(Table1[[#This Row],[Key_Year_Week_Brand]],Table35[[#All],[Key_Year_Month_Brand]],0),MATCH(Table1[[#This Row],[DC_name_Xref]],Table35[#Headers],0)),0)</f>
        <v>0</v>
      </c>
    </row>
    <row r="1131" spans="1:15" x14ac:dyDescent="0.3">
      <c r="A1131" s="19" t="str">
        <f>Table1[[#This Row],[Year_Week]]&amp;"-"&amp;Table1[[#This Row],[DC_name_Xref]]</f>
        <v>202344-WFC</v>
      </c>
      <c r="B1131" s="19" t="str">
        <f>Table1[[#This Row],[Fiscal_Year]]*100+Table1[[#This Row],[Fiscal_Week]] &amp; "-" &amp;Table1[[#This Row],[BRAND]]</f>
        <v>202344-Old Navy</v>
      </c>
      <c r="C1131" t="str">
        <f>Table1[[#This Row],[Fiscal_Year]]&amp;"-"&amp;Table1[[#This Row],[BRAND]]</f>
        <v>2023-Old Navy</v>
      </c>
      <c r="D1131">
        <v>2023</v>
      </c>
      <c r="E1131">
        <v>44</v>
      </c>
      <c r="F1131" t="s">
        <v>20</v>
      </c>
      <c r="G1131" t="s">
        <v>7</v>
      </c>
      <c r="H1131">
        <v>3</v>
      </c>
      <c r="I1131">
        <v>2594419</v>
      </c>
      <c r="J1131" t="str">
        <f>VLOOKUP(H1131,DC_Xref!A:B,2,FALSE)</f>
        <v>WFC</v>
      </c>
      <c r="K1131">
        <f t="shared" si="17"/>
        <v>202344</v>
      </c>
      <c r="L1131">
        <f>IFERROR(Table1[[#This Row],[Demand]]/SUMIFS(Table1[Demand],Table1[Fiscal_Year],Table1[[#This Row],[Fiscal_Year]],Table1[BRAND],Table1[[#This Row],[BRAND]],Table1[DC_name_Xref],Table1[[#This Row],[DC_name_Xref]]),0)</f>
        <v>0.27277755838536716</v>
      </c>
      <c r="M11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0.20020927518621856</v>
      </c>
      <c r="N1131" s="3">
        <f>IFERROR(INDEX(Table3[#All],MATCH(Table1[[#This Row],[Key_Year_Week_Brand]],Table3[[#All],[Key_Year_Week_Brand]],0),MATCH(Table1[[#This Row],[DC_name_Xref]],Table3[#Headers],0)),0)</f>
        <v>0</v>
      </c>
      <c r="O1131">
        <f>IFERROR(INDEX(Table35[#All],MATCH(Table1[[#This Row],[Key_Year_Week_Brand]],Table35[[#All],[Key_Year_Month_Brand]],0),MATCH(Table1[[#This Row],[DC_name_Xref]],Table35[#Headers],0)),0)</f>
        <v>0</v>
      </c>
    </row>
    <row r="1132" spans="1:15" x14ac:dyDescent="0.3">
      <c r="A1132" s="19" t="str">
        <f>Table1[[#This Row],[Year_Week]]&amp;"-"&amp;Table1[[#This Row],[DC_name_Xref]]</f>
        <v>202344-EAO</v>
      </c>
      <c r="B1132" s="19" t="str">
        <f>Table1[[#This Row],[Fiscal_Year]]*100+Table1[[#This Row],[Fiscal_Week]] &amp; "-" &amp;Table1[[#This Row],[BRAND]]</f>
        <v>202344-Old Navy</v>
      </c>
      <c r="C1132" t="str">
        <f>Table1[[#This Row],[Fiscal_Year]]&amp;"-"&amp;Table1[[#This Row],[BRAND]]</f>
        <v>2023-Old Navy</v>
      </c>
      <c r="D1132">
        <v>2023</v>
      </c>
      <c r="E1132">
        <v>44</v>
      </c>
      <c r="F1132" t="s">
        <v>20</v>
      </c>
      <c r="G1132" t="s">
        <v>8</v>
      </c>
      <c r="H1132">
        <v>4</v>
      </c>
      <c r="I1132">
        <v>4856738</v>
      </c>
      <c r="J1132" t="str">
        <f>VLOOKUP(H1132,DC_Xref!A:B,2,FALSE)</f>
        <v>EAO</v>
      </c>
      <c r="K1132">
        <f t="shared" si="17"/>
        <v>202344</v>
      </c>
      <c r="L1132">
        <f>IFERROR(Table1[[#This Row],[Demand]]/SUMIFS(Table1[Demand],Table1[Fiscal_Year],Table1[[#This Row],[Fiscal_Year]],Table1[BRAND],Table1[[#This Row],[BRAND]],Table1[DC_name_Xref],Table1[[#This Row],[DC_name_Xref]]),0)</f>
        <v>0.30944718613739447</v>
      </c>
      <c r="M11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0.33037779688325258</v>
      </c>
      <c r="N1132" s="3">
        <f>IFERROR(INDEX(Table3[#All],MATCH(Table1[[#This Row],[Key_Year_Week_Brand]],Table3[[#All],[Key_Year_Week_Brand]],0),MATCH(Table1[[#This Row],[DC_name_Xref]],Table3[#Headers],0)),0)</f>
        <v>0.21</v>
      </c>
      <c r="O1132">
        <f>IFERROR(INDEX(Table35[#All],MATCH(Table1[[#This Row],[Key_Year_Week_Brand]],Table35[[#All],[Key_Year_Month_Brand]],0),MATCH(Table1[[#This Row],[DC_name_Xref]],Table35[#Headers],0)),0)</f>
        <v>2687391.42</v>
      </c>
    </row>
    <row r="1133" spans="1:15" x14ac:dyDescent="0.3">
      <c r="A1133" s="19" t="str">
        <f>Table1[[#This Row],[Year_Week]]&amp;"-"&amp;Table1[[#This Row],[DC_name_Xref]]</f>
        <v>202344-FFC-ODC</v>
      </c>
      <c r="B1133" s="19" t="str">
        <f>Table1[[#This Row],[Fiscal_Year]]*100+Table1[[#This Row],[Fiscal_Week]] &amp; "-" &amp;Table1[[#This Row],[BRAND]]</f>
        <v>202344-Old Navy</v>
      </c>
      <c r="C1133" t="str">
        <f>Table1[[#This Row],[Fiscal_Year]]&amp;"-"&amp;Table1[[#This Row],[BRAND]]</f>
        <v>2023-Old Navy</v>
      </c>
      <c r="D1133">
        <v>2023</v>
      </c>
      <c r="E1133">
        <v>44</v>
      </c>
      <c r="F1133" t="s">
        <v>20</v>
      </c>
      <c r="G1133" t="s">
        <v>23</v>
      </c>
      <c r="H1133">
        <v>5</v>
      </c>
      <c r="I1133">
        <v>0</v>
      </c>
      <c r="J1133" t="str">
        <f>VLOOKUP(H1133,DC_Xref!A:B,2,FALSE)</f>
        <v>FFC-ODC</v>
      </c>
      <c r="K1133">
        <f t="shared" si="17"/>
        <v>202344</v>
      </c>
      <c r="L1133">
        <f>IFERROR(Table1[[#This Row],[Demand]]/SUMIFS(Table1[Demand],Table1[Fiscal_Year],Table1[[#This Row],[Fiscal_Year]],Table1[BRAND],Table1[[#This Row],[BRAND]],Table1[DC_name_Xref],Table1[[#This Row],[DC_name_Xref]]),0)</f>
        <v>0</v>
      </c>
      <c r="M11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33" s="3">
        <f>IFERROR(INDEX(Table3[#All],MATCH(Table1[[#This Row],[Key_Year_Week_Brand]],Table3[[#All],[Key_Year_Week_Brand]],0),MATCH(Table1[[#This Row],[DC_name_Xref]],Table3[#Headers],0)),0)</f>
        <v>0</v>
      </c>
      <c r="O1133">
        <f>IFERROR(INDEX(Table35[#All],MATCH(Table1[[#This Row],[Key_Year_Week_Brand]],Table35[[#All],[Key_Year_Month_Brand]],0),MATCH(Table1[[#This Row],[DC_name_Xref]],Table35[#Headers],0)),0)</f>
        <v>0</v>
      </c>
    </row>
    <row r="1134" spans="1:15" x14ac:dyDescent="0.3">
      <c r="A1134" s="19" t="str">
        <f>Table1[[#This Row],[Year_Week]]&amp;"-"&amp;Table1[[#This Row],[DC_name_Xref]]</f>
        <v>202344-WEO</v>
      </c>
      <c r="B1134" s="19" t="str">
        <f>Table1[[#This Row],[Fiscal_Year]]*100+Table1[[#This Row],[Fiscal_Week]] &amp; "-" &amp;Table1[[#This Row],[BRAND]]</f>
        <v>202344-Old Navy</v>
      </c>
      <c r="C1134" t="str">
        <f>Table1[[#This Row],[Fiscal_Year]]&amp;"-"&amp;Table1[[#This Row],[BRAND]]</f>
        <v>2023-Old Navy</v>
      </c>
      <c r="D1134">
        <v>2023</v>
      </c>
      <c r="E1134">
        <v>44</v>
      </c>
      <c r="F1134" t="s">
        <v>20</v>
      </c>
      <c r="G1134" t="s">
        <v>10</v>
      </c>
      <c r="H1134">
        <v>6</v>
      </c>
      <c r="I1134">
        <v>0</v>
      </c>
      <c r="J1134" t="str">
        <f>VLOOKUP(H1134,DC_Xref!A:B,2,FALSE)</f>
        <v>WEO</v>
      </c>
      <c r="K1134">
        <f t="shared" si="17"/>
        <v>202344</v>
      </c>
      <c r="L1134">
        <f>IFERROR(Table1[[#This Row],[Demand]]/SUMIFS(Table1[Demand],Table1[Fiscal_Year],Table1[[#This Row],[Fiscal_Year]],Table1[BRAND],Table1[[#This Row],[BRAND]],Table1[DC_name_Xref],Table1[[#This Row],[DC_name_Xref]]),0)</f>
        <v>0</v>
      </c>
      <c r="M11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34" s="3">
        <f>IFERROR(INDEX(Table3[#All],MATCH(Table1[[#This Row],[Key_Year_Week_Brand]],Table3[[#All],[Key_Year_Week_Brand]],0),MATCH(Table1[[#This Row],[DC_name_Xref]],Table3[#Headers],0)),0)</f>
        <v>0.08</v>
      </c>
      <c r="O1134">
        <f>IFERROR(INDEX(Table35[#All],MATCH(Table1[[#This Row],[Key_Year_Week_Brand]],Table35[[#All],[Key_Year_Month_Brand]],0),MATCH(Table1[[#This Row],[DC_name_Xref]],Table35[#Headers],0)),0)</f>
        <v>1023768.16</v>
      </c>
    </row>
    <row r="1135" spans="1:15" x14ac:dyDescent="0.3">
      <c r="A1135" s="19" t="str">
        <f>Table1[[#This Row],[Year_Week]]&amp;"-"&amp;Table1[[#This Row],[DC_name_Xref]]</f>
        <v>202344-OCC</v>
      </c>
      <c r="B1135" s="19" t="str">
        <f>Table1[[#This Row],[Fiscal_Year]]*100+Table1[[#This Row],[Fiscal_Week]] &amp; "-" &amp;Table1[[#This Row],[BRAND]]</f>
        <v>202344-Old Navy</v>
      </c>
      <c r="C1135" t="str">
        <f>Table1[[#This Row],[Fiscal_Year]]&amp;"-"&amp;Table1[[#This Row],[BRAND]]</f>
        <v>2023-Old Navy</v>
      </c>
      <c r="D1135">
        <v>2023</v>
      </c>
      <c r="E1135">
        <v>44</v>
      </c>
      <c r="F1135" t="s">
        <v>20</v>
      </c>
      <c r="G1135" t="s">
        <v>11</v>
      </c>
      <c r="H1135">
        <v>7</v>
      </c>
      <c r="I1135">
        <v>0</v>
      </c>
      <c r="J1135" t="str">
        <f>VLOOKUP(H1135,DC_Xref!A:B,2,FALSE)</f>
        <v>OCC</v>
      </c>
      <c r="K1135">
        <f t="shared" si="17"/>
        <v>202344</v>
      </c>
      <c r="L1135">
        <f>IFERROR(Table1[[#This Row],[Demand]]/SUMIFS(Table1[Demand],Table1[Fiscal_Year],Table1[[#This Row],[Fiscal_Year]],Table1[BRAND],Table1[[#This Row],[BRAND]],Table1[DC_name_Xref],Table1[[#This Row],[DC_name_Xref]]),0)</f>
        <v>0</v>
      </c>
      <c r="M11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35" s="3">
        <f>IFERROR(INDEX(Table3[#All],MATCH(Table1[[#This Row],[Key_Year_Week_Brand]],Table3[[#All],[Key_Year_Week_Brand]],0),MATCH(Table1[[#This Row],[DC_name_Xref]],Table3[#Headers],0)),0)</f>
        <v>0.71</v>
      </c>
      <c r="O1135">
        <f>IFERROR(INDEX(Table35[#All],MATCH(Table1[[#This Row],[Key_Year_Week_Brand]],Table35[[#All],[Key_Year_Month_Brand]],0),MATCH(Table1[[#This Row],[DC_name_Xref]],Table35[#Headers],0)),0)</f>
        <v>9085942.4199999999</v>
      </c>
    </row>
    <row r="1136" spans="1:15" x14ac:dyDescent="0.3">
      <c r="A1136" s="19" t="str">
        <f>Table1[[#This Row],[Year_Week]]&amp;"-"&amp;Table1[[#This Row],[DC_name_Xref]]</f>
        <v>202345-OFC</v>
      </c>
      <c r="B1136" s="19" t="str">
        <f>Table1[[#This Row],[Fiscal_Year]]*100+Table1[[#This Row],[Fiscal_Week]] &amp; "-" &amp;Table1[[#This Row],[BRAND]]</f>
        <v>202345-Gap</v>
      </c>
      <c r="C1136" t="str">
        <f>Table1[[#This Row],[Fiscal_Year]]&amp;"-"&amp;Table1[[#This Row],[BRAND]]</f>
        <v>2023-Gap</v>
      </c>
      <c r="D1136">
        <v>2023</v>
      </c>
      <c r="E1136">
        <v>45</v>
      </c>
      <c r="F1136" t="s">
        <v>16</v>
      </c>
      <c r="G1136" t="s">
        <v>5</v>
      </c>
      <c r="H1136">
        <v>1</v>
      </c>
      <c r="I1136">
        <v>1649771</v>
      </c>
      <c r="J1136" t="str">
        <f>VLOOKUP(H1136,DC_Xref!A:B,2,FALSE)</f>
        <v>OFC</v>
      </c>
      <c r="K1136">
        <f t="shared" si="17"/>
        <v>202345</v>
      </c>
      <c r="L1136">
        <f>IFERROR(Table1[[#This Row],[Demand]]/SUMIFS(Table1[Demand],Table1[Fiscal_Year],Table1[[#This Row],[Fiscal_Year]],Table1[BRAND],Table1[[#This Row],[BRAND]],Table1[DC_name_Xref],Table1[[#This Row],[DC_name_Xref]]),0)</f>
        <v>0.10837939604326134</v>
      </c>
      <c r="M11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0.67286142306667829</v>
      </c>
      <c r="N1136" s="3">
        <f>IFERROR(INDEX(Table3[#All],MATCH(Table1[[#This Row],[Key_Year_Week_Brand]],Table3[[#All],[Key_Year_Week_Brand]],0),MATCH(Table1[[#This Row],[DC_name_Xref]],Table3[#Headers],0)),0)</f>
        <v>0</v>
      </c>
      <c r="O1136">
        <f>IFERROR(INDEX(Table35[#All],MATCH(Table1[[#This Row],[Key_Year_Week_Brand]],Table35[[#All],[Key_Year_Month_Brand]],0),MATCH(Table1[[#This Row],[DC_name_Xref]],Table35[#Headers],0)),0)</f>
        <v>0</v>
      </c>
    </row>
    <row r="1137" spans="1:15" x14ac:dyDescent="0.3">
      <c r="A1137" s="19" t="str">
        <f>Table1[[#This Row],[Year_Week]]&amp;"-"&amp;Table1[[#This Row],[DC_name_Xref]]</f>
        <v>202345-TFC</v>
      </c>
      <c r="B1137" s="19" t="str">
        <f>Table1[[#This Row],[Fiscal_Year]]*100+Table1[[#This Row],[Fiscal_Week]] &amp; "-" &amp;Table1[[#This Row],[BRAND]]</f>
        <v>202345-Gap</v>
      </c>
      <c r="C1137" t="str">
        <f>Table1[[#This Row],[Fiscal_Year]]&amp;"-"&amp;Table1[[#This Row],[BRAND]]</f>
        <v>2023-Gap</v>
      </c>
      <c r="D1137">
        <v>2023</v>
      </c>
      <c r="E1137">
        <v>45</v>
      </c>
      <c r="F1137" t="s">
        <v>16</v>
      </c>
      <c r="G1137" t="s">
        <v>21</v>
      </c>
      <c r="H1137">
        <v>2</v>
      </c>
      <c r="I1137">
        <v>519</v>
      </c>
      <c r="J1137" t="str">
        <f>VLOOKUP(H1137,DC_Xref!A:B,2,FALSE)</f>
        <v>TFC</v>
      </c>
      <c r="K1137">
        <f t="shared" si="17"/>
        <v>202345</v>
      </c>
      <c r="L1137">
        <f>IFERROR(Table1[[#This Row],[Demand]]/SUMIFS(Table1[Demand],Table1[Fiscal_Year],Table1[[#This Row],[Fiscal_Year]],Table1[BRAND],Table1[[#This Row],[BRAND]],Table1[DC_name_Xref],Table1[[#This Row],[DC_name_Xref]]),0)</f>
        <v>0.15623118603251054</v>
      </c>
      <c r="M11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1.4684133329808906E-4</v>
      </c>
      <c r="N1137" s="3">
        <f>IFERROR(INDEX(Table3[#All],MATCH(Table1[[#This Row],[Key_Year_Week_Brand]],Table3[[#All],[Key_Year_Week_Brand]],0),MATCH(Table1[[#This Row],[DC_name_Xref]],Table3[#Headers],0)),0)</f>
        <v>0.25</v>
      </c>
      <c r="O1137">
        <f>IFERROR(INDEX(Table35[#All],MATCH(Table1[[#This Row],[Key_Year_Week_Brand]],Table35[[#All],[Key_Year_Month_Brand]],0),MATCH(Table1[[#This Row],[DC_name_Xref]],Table35[#Headers],0)),0)</f>
        <v>585369.25</v>
      </c>
    </row>
    <row r="1138" spans="1:15" x14ac:dyDescent="0.3">
      <c r="A1138" s="19" t="str">
        <f>Table1[[#This Row],[Year_Week]]&amp;"-"&amp;Table1[[#This Row],[DC_name_Xref]]</f>
        <v>202345-WFC</v>
      </c>
      <c r="B1138" s="19" t="str">
        <f>Table1[[#This Row],[Fiscal_Year]]*100+Table1[[#This Row],[Fiscal_Week]] &amp; "-" &amp;Table1[[#This Row],[BRAND]]</f>
        <v>202345-Gap</v>
      </c>
      <c r="C1138" t="str">
        <f>Table1[[#This Row],[Fiscal_Year]]&amp;"-"&amp;Table1[[#This Row],[BRAND]]</f>
        <v>2023-Gap</v>
      </c>
      <c r="D1138">
        <v>2023</v>
      </c>
      <c r="E1138">
        <v>45</v>
      </c>
      <c r="F1138" t="s">
        <v>16</v>
      </c>
      <c r="G1138" t="s">
        <v>7</v>
      </c>
      <c r="H1138">
        <v>3</v>
      </c>
      <c r="I1138">
        <v>42247</v>
      </c>
      <c r="J1138" t="str">
        <f>VLOOKUP(H1138,DC_Xref!A:B,2,FALSE)</f>
        <v>WFC</v>
      </c>
      <c r="K1138">
        <f t="shared" si="17"/>
        <v>202345</v>
      </c>
      <c r="L1138">
        <f>IFERROR(Table1[[#This Row],[Demand]]/SUMIFS(Table1[Demand],Table1[Fiscal_Year],Table1[[#This Row],[Fiscal_Year]],Table1[BRAND],Table1[[#This Row],[BRAND]],Table1[DC_name_Xref],Table1[[#This Row],[DC_name_Xref]]),0)</f>
        <v>5.4077129062152791E-2</v>
      </c>
      <c r="M11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3.4532732047099911E-2</v>
      </c>
      <c r="N1138" s="3">
        <f>IFERROR(INDEX(Table3[#All],MATCH(Table1[[#This Row],[Key_Year_Week_Brand]],Table3[[#All],[Key_Year_Week_Brand]],0),MATCH(Table1[[#This Row],[DC_name_Xref]],Table3[#Headers],0)),0)</f>
        <v>0</v>
      </c>
      <c r="O1138">
        <f>IFERROR(INDEX(Table35[#All],MATCH(Table1[[#This Row],[Key_Year_Week_Brand]],Table35[[#All],[Key_Year_Month_Brand]],0),MATCH(Table1[[#This Row],[DC_name_Xref]],Table35[#Headers],0)),0)</f>
        <v>0</v>
      </c>
    </row>
    <row r="1139" spans="1:15" x14ac:dyDescent="0.3">
      <c r="A1139" s="19" t="str">
        <f>Table1[[#This Row],[Year_Week]]&amp;"-"&amp;Table1[[#This Row],[DC_name_Xref]]</f>
        <v>202345-EAO</v>
      </c>
      <c r="B1139" s="19" t="str">
        <f>Table1[[#This Row],[Fiscal_Year]]*100+Table1[[#This Row],[Fiscal_Week]] &amp; "-" &amp;Table1[[#This Row],[BRAND]]</f>
        <v>202345-Gap</v>
      </c>
      <c r="C1139" t="str">
        <f>Table1[[#This Row],[Fiscal_Year]]&amp;"-"&amp;Table1[[#This Row],[BRAND]]</f>
        <v>2023-Gap</v>
      </c>
      <c r="D1139">
        <v>2023</v>
      </c>
      <c r="E1139">
        <v>45</v>
      </c>
      <c r="F1139" t="s">
        <v>16</v>
      </c>
      <c r="G1139" t="s">
        <v>8</v>
      </c>
      <c r="H1139">
        <v>4</v>
      </c>
      <c r="I1139">
        <v>237</v>
      </c>
      <c r="J1139" t="str">
        <f>VLOOKUP(H1139,DC_Xref!A:B,2,FALSE)</f>
        <v>EAO</v>
      </c>
      <c r="K1139">
        <f t="shared" si="17"/>
        <v>202345</v>
      </c>
      <c r="L1139">
        <f>IFERROR(Table1[[#This Row],[Demand]]/SUMIFS(Table1[Demand],Table1[Fiscal_Year],Table1[[#This Row],[Fiscal_Year]],Table1[BRAND],Table1[[#This Row],[BRAND]],Table1[DC_name_Xref],Table1[[#This Row],[DC_name_Xref]]),0)</f>
        <v>8.3362645093211396E-2</v>
      </c>
      <c r="M11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1.2566824520363249E-4</v>
      </c>
      <c r="N1139" s="3">
        <f>IFERROR(INDEX(Table3[#All],MATCH(Table1[[#This Row],[Key_Year_Week_Brand]],Table3[[#All],[Key_Year_Week_Brand]],0),MATCH(Table1[[#This Row],[DC_name_Xref]],Table3[#Headers],0)),0)</f>
        <v>0</v>
      </c>
      <c r="O1139">
        <f>IFERROR(INDEX(Table35[#All],MATCH(Table1[[#This Row],[Key_Year_Week_Brand]],Table35[[#All],[Key_Year_Month_Brand]],0),MATCH(Table1[[#This Row],[DC_name_Xref]],Table35[#Headers],0)),0)</f>
        <v>0</v>
      </c>
    </row>
    <row r="1140" spans="1:15" x14ac:dyDescent="0.3">
      <c r="A1140" s="19" t="str">
        <f>Table1[[#This Row],[Year_Week]]&amp;"-"&amp;Table1[[#This Row],[DC_name_Xref]]</f>
        <v>202345-FFC-ODC</v>
      </c>
      <c r="B1140" s="19" t="str">
        <f>Table1[[#This Row],[Fiscal_Year]]*100+Table1[[#This Row],[Fiscal_Week]] &amp; "-" &amp;Table1[[#This Row],[BRAND]]</f>
        <v>202345-Gap</v>
      </c>
      <c r="C1140" t="str">
        <f>Table1[[#This Row],[Fiscal_Year]]&amp;"-"&amp;Table1[[#This Row],[BRAND]]</f>
        <v>2023-Gap</v>
      </c>
      <c r="D1140">
        <v>2023</v>
      </c>
      <c r="E1140">
        <v>45</v>
      </c>
      <c r="F1140" t="s">
        <v>16</v>
      </c>
      <c r="G1140" t="s">
        <v>23</v>
      </c>
      <c r="H1140">
        <v>5</v>
      </c>
      <c r="I1140">
        <v>0</v>
      </c>
      <c r="J1140" t="str">
        <f>VLOOKUP(H1140,DC_Xref!A:B,2,FALSE)</f>
        <v>FFC-ODC</v>
      </c>
      <c r="K1140">
        <f t="shared" si="17"/>
        <v>202345</v>
      </c>
      <c r="L1140">
        <f>IFERROR(Table1[[#This Row],[Demand]]/SUMIFS(Table1[Demand],Table1[Fiscal_Year],Table1[[#This Row],[Fiscal_Year]],Table1[BRAND],Table1[[#This Row],[BRAND]],Table1[DC_name_Xref],Table1[[#This Row],[DC_name_Xref]]),0)</f>
        <v>0</v>
      </c>
      <c r="M11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40" s="3">
        <f>IFERROR(INDEX(Table3[#All],MATCH(Table1[[#This Row],[Key_Year_Week_Brand]],Table3[[#All],[Key_Year_Week_Brand]],0),MATCH(Table1[[#This Row],[DC_name_Xref]],Table3[#Headers],0)),0)</f>
        <v>0</v>
      </c>
      <c r="O1140">
        <f>IFERROR(INDEX(Table35[#All],MATCH(Table1[[#This Row],[Key_Year_Week_Brand]],Table35[[#All],[Key_Year_Month_Brand]],0),MATCH(Table1[[#This Row],[DC_name_Xref]],Table35[#Headers],0)),0)</f>
        <v>0</v>
      </c>
    </row>
    <row r="1141" spans="1:15" x14ac:dyDescent="0.3">
      <c r="A1141" s="19" t="str">
        <f>Table1[[#This Row],[Year_Week]]&amp;"-"&amp;Table1[[#This Row],[DC_name_Xref]]</f>
        <v>202345-WEO</v>
      </c>
      <c r="B1141" s="19" t="str">
        <f>Table1[[#This Row],[Fiscal_Year]]*100+Table1[[#This Row],[Fiscal_Week]] &amp; "-" &amp;Table1[[#This Row],[BRAND]]</f>
        <v>202345-Gap</v>
      </c>
      <c r="C1141" t="str">
        <f>Table1[[#This Row],[Fiscal_Year]]&amp;"-"&amp;Table1[[#This Row],[BRAND]]</f>
        <v>2023-Gap</v>
      </c>
      <c r="D1141">
        <v>2023</v>
      </c>
      <c r="E1141">
        <v>45</v>
      </c>
      <c r="F1141" t="s">
        <v>16</v>
      </c>
      <c r="G1141" t="s">
        <v>10</v>
      </c>
      <c r="H1141">
        <v>6</v>
      </c>
      <c r="I1141">
        <v>648703</v>
      </c>
      <c r="J1141" t="str">
        <f>VLOOKUP(H1141,DC_Xref!A:B,2,FALSE)</f>
        <v>WEO</v>
      </c>
      <c r="K1141">
        <f t="shared" si="17"/>
        <v>202345</v>
      </c>
      <c r="L1141">
        <f>IFERROR(Table1[[#This Row],[Demand]]/SUMIFS(Table1[Demand],Table1[Fiscal_Year],Table1[[#This Row],[Fiscal_Year]],Table1[BRAND],Table1[[#This Row],[BRAND]],Table1[DC_name_Xref],Table1[[#This Row],[DC_name_Xref]]),0)</f>
        <v>9.8088085021578675E-2</v>
      </c>
      <c r="M11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0.2923333353077201</v>
      </c>
      <c r="N1141" s="3">
        <f>IFERROR(INDEX(Table3[#All],MATCH(Table1[[#This Row],[Key_Year_Week_Brand]],Table3[[#All],[Key_Year_Week_Brand]],0),MATCH(Table1[[#This Row],[DC_name_Xref]],Table3[#Headers],0)),0)</f>
        <v>0.45</v>
      </c>
      <c r="O1141">
        <f>IFERROR(INDEX(Table35[#All],MATCH(Table1[[#This Row],[Key_Year_Week_Brand]],Table35[[#All],[Key_Year_Month_Brand]],0),MATCH(Table1[[#This Row],[DC_name_Xref]],Table35[#Headers],0)),0)</f>
        <v>1053664.6500000001</v>
      </c>
    </row>
    <row r="1142" spans="1:15" x14ac:dyDescent="0.3">
      <c r="A1142" s="19" t="str">
        <f>Table1[[#This Row],[Year_Week]]&amp;"-"&amp;Table1[[#This Row],[DC_name_Xref]]</f>
        <v>202345-OCC</v>
      </c>
      <c r="B1142" s="19" t="str">
        <f>Table1[[#This Row],[Fiscal_Year]]*100+Table1[[#This Row],[Fiscal_Week]] &amp; "-" &amp;Table1[[#This Row],[BRAND]]</f>
        <v>202345-Gap</v>
      </c>
      <c r="C1142" t="str">
        <f>Table1[[#This Row],[Fiscal_Year]]&amp;"-"&amp;Table1[[#This Row],[BRAND]]</f>
        <v>2023-Gap</v>
      </c>
      <c r="D1142">
        <v>2023</v>
      </c>
      <c r="E1142">
        <v>45</v>
      </c>
      <c r="F1142" t="s">
        <v>16</v>
      </c>
      <c r="G1142" t="s">
        <v>11</v>
      </c>
      <c r="H1142">
        <v>7</v>
      </c>
      <c r="I1142">
        <v>0</v>
      </c>
      <c r="J1142" t="str">
        <f>VLOOKUP(H1142,DC_Xref!A:B,2,FALSE)</f>
        <v>OCC</v>
      </c>
      <c r="K1142">
        <f t="shared" si="17"/>
        <v>202345</v>
      </c>
      <c r="L1142">
        <f>IFERROR(Table1[[#This Row],[Demand]]/SUMIFS(Table1[Demand],Table1[Fiscal_Year],Table1[[#This Row],[Fiscal_Year]],Table1[BRAND],Table1[[#This Row],[BRAND]],Table1[DC_name_Xref],Table1[[#This Row],[DC_name_Xref]]),0)</f>
        <v>0</v>
      </c>
      <c r="M11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42" s="3">
        <f>IFERROR(INDEX(Table3[#All],MATCH(Table1[[#This Row],[Key_Year_Week_Brand]],Table3[[#All],[Key_Year_Week_Brand]],0),MATCH(Table1[[#This Row],[DC_name_Xref]],Table3[#Headers],0)),0)</f>
        <v>0.3</v>
      </c>
      <c r="O1142">
        <f>IFERROR(INDEX(Table35[#All],MATCH(Table1[[#This Row],[Key_Year_Week_Brand]],Table35[[#All],[Key_Year_Month_Brand]],0),MATCH(Table1[[#This Row],[DC_name_Xref]],Table35[#Headers],0)),0)</f>
        <v>702443.1</v>
      </c>
    </row>
    <row r="1143" spans="1:15" x14ac:dyDescent="0.3">
      <c r="A1143" s="19" t="str">
        <f>Table1[[#This Row],[Year_Week]]&amp;"-"&amp;Table1[[#This Row],[DC_name_Xref]]</f>
        <v>202345-OFC</v>
      </c>
      <c r="B1143" s="19" t="str">
        <f>Table1[[#This Row],[Fiscal_Year]]*100+Table1[[#This Row],[Fiscal_Week]] &amp; "-" &amp;Table1[[#This Row],[BRAND]]</f>
        <v>202345-Athleta</v>
      </c>
      <c r="C1143" t="str">
        <f>Table1[[#This Row],[Fiscal_Year]]&amp;"-"&amp;Table1[[#This Row],[BRAND]]</f>
        <v>2023-Athleta</v>
      </c>
      <c r="D1143">
        <v>2023</v>
      </c>
      <c r="E1143">
        <v>45</v>
      </c>
      <c r="F1143" t="s">
        <v>19</v>
      </c>
      <c r="G1143" t="s">
        <v>5</v>
      </c>
      <c r="H1143">
        <v>1</v>
      </c>
      <c r="I1143">
        <v>49935</v>
      </c>
      <c r="J1143" t="str">
        <f>VLOOKUP(H1143,DC_Xref!A:B,2,FALSE)</f>
        <v>OFC</v>
      </c>
      <c r="K1143">
        <f t="shared" si="17"/>
        <v>202345</v>
      </c>
      <c r="L1143">
        <f>IFERROR(Table1[[#This Row],[Demand]]/SUMIFS(Table1[Demand],Table1[Fiscal_Year],Table1[[#This Row],[Fiscal_Year]],Table1[BRAND],Table1[[#This Row],[BRAND]],Table1[DC_name_Xref],Table1[[#This Row],[DC_name_Xref]]),0)</f>
        <v>0.13513111249424944</v>
      </c>
      <c r="M11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9.6407211874108403E-2</v>
      </c>
      <c r="N1143" s="3">
        <f>IFERROR(INDEX(Table3[#All],MATCH(Table1[[#This Row],[Key_Year_Week_Brand]],Table3[[#All],[Key_Year_Week_Brand]],0),MATCH(Table1[[#This Row],[DC_name_Xref]],Table3[#Headers],0)),0)</f>
        <v>0</v>
      </c>
      <c r="O1143">
        <f>IFERROR(INDEX(Table35[#All],MATCH(Table1[[#This Row],[Key_Year_Week_Brand]],Table35[[#All],[Key_Year_Month_Brand]],0),MATCH(Table1[[#This Row],[DC_name_Xref]],Table35[#Headers],0)),0)</f>
        <v>0</v>
      </c>
    </row>
    <row r="1144" spans="1:15" x14ac:dyDescent="0.3">
      <c r="A1144" s="19" t="str">
        <f>Table1[[#This Row],[Year_Week]]&amp;"-"&amp;Table1[[#This Row],[DC_name_Xref]]</f>
        <v>202345-TFC</v>
      </c>
      <c r="B1144" s="19" t="str">
        <f>Table1[[#This Row],[Fiscal_Year]]*100+Table1[[#This Row],[Fiscal_Week]] &amp; "-" &amp;Table1[[#This Row],[BRAND]]</f>
        <v>202345-Athleta</v>
      </c>
      <c r="C1144" t="str">
        <f>Table1[[#This Row],[Fiscal_Year]]&amp;"-"&amp;Table1[[#This Row],[BRAND]]</f>
        <v>2023-Athleta</v>
      </c>
      <c r="D1144">
        <v>2023</v>
      </c>
      <c r="E1144">
        <v>45</v>
      </c>
      <c r="F1144" t="s">
        <v>19</v>
      </c>
      <c r="G1144" t="s">
        <v>21</v>
      </c>
      <c r="H1144">
        <v>2</v>
      </c>
      <c r="I1144">
        <v>391488</v>
      </c>
      <c r="J1144" t="str">
        <f>VLOOKUP(H1144,DC_Xref!A:B,2,FALSE)</f>
        <v>TFC</v>
      </c>
      <c r="K1144">
        <f t="shared" si="17"/>
        <v>202345</v>
      </c>
      <c r="L1144">
        <f>IFERROR(Table1[[#This Row],[Demand]]/SUMIFS(Table1[Demand],Table1[Fiscal_Year],Table1[[#This Row],[Fiscal_Year]],Table1[BRAND],Table1[[#This Row],[BRAND]],Table1[DC_name_Xref],Table1[[#This Row],[DC_name_Xref]]),0)</f>
        <v>0.11303714863931151</v>
      </c>
      <c r="M11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0.90356017669655087</v>
      </c>
      <c r="N1144" s="3">
        <f>IFERROR(INDEX(Table3[#All],MATCH(Table1[[#This Row],[Key_Year_Week_Brand]],Table3[[#All],[Key_Year_Week_Brand]],0),MATCH(Table1[[#This Row],[DC_name_Xref]],Table3[#Headers],0)),0)</f>
        <v>1</v>
      </c>
      <c r="O1144">
        <f>IFERROR(INDEX(Table35[#All],MATCH(Table1[[#This Row],[Key_Year_Week_Brand]],Table35[[#All],[Key_Year_Month_Brand]],0),MATCH(Table1[[#This Row],[DC_name_Xref]],Table35[#Headers],0)),0)</f>
        <v>441444</v>
      </c>
    </row>
    <row r="1145" spans="1:15" x14ac:dyDescent="0.3">
      <c r="A1145" s="19" t="str">
        <f>Table1[[#This Row],[Year_Week]]&amp;"-"&amp;Table1[[#This Row],[DC_name_Xref]]</f>
        <v>202345-WFC</v>
      </c>
      <c r="B1145" s="19" t="str">
        <f>Table1[[#This Row],[Fiscal_Year]]*100+Table1[[#This Row],[Fiscal_Week]] &amp; "-" &amp;Table1[[#This Row],[BRAND]]</f>
        <v>202345-Athleta</v>
      </c>
      <c r="C1145" t="str">
        <f>Table1[[#This Row],[Fiscal_Year]]&amp;"-"&amp;Table1[[#This Row],[BRAND]]</f>
        <v>2023-Athleta</v>
      </c>
      <c r="D1145">
        <v>2023</v>
      </c>
      <c r="E1145">
        <v>45</v>
      </c>
      <c r="F1145" t="s">
        <v>19</v>
      </c>
      <c r="G1145" t="s">
        <v>7</v>
      </c>
      <c r="H1145">
        <v>3</v>
      </c>
      <c r="I1145">
        <v>0</v>
      </c>
      <c r="J1145" t="str">
        <f>VLOOKUP(H1145,DC_Xref!A:B,2,FALSE)</f>
        <v>WFC</v>
      </c>
      <c r="K1145">
        <f t="shared" si="17"/>
        <v>202345</v>
      </c>
      <c r="L1145">
        <f>IFERROR(Table1[[#This Row],[Demand]]/SUMIFS(Table1[Demand],Table1[Fiscal_Year],Table1[[#This Row],[Fiscal_Year]],Table1[BRAND],Table1[[#This Row],[BRAND]],Table1[DC_name_Xref],Table1[[#This Row],[DC_name_Xref]]),0)</f>
        <v>0</v>
      </c>
      <c r="M11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45" s="3">
        <f>IFERROR(INDEX(Table3[#All],MATCH(Table1[[#This Row],[Key_Year_Week_Brand]],Table3[[#All],[Key_Year_Week_Brand]],0),MATCH(Table1[[#This Row],[DC_name_Xref]],Table3[#Headers],0)),0)</f>
        <v>0</v>
      </c>
      <c r="O1145">
        <f>IFERROR(INDEX(Table35[#All],MATCH(Table1[[#This Row],[Key_Year_Week_Brand]],Table35[[#All],[Key_Year_Month_Brand]],0),MATCH(Table1[[#This Row],[DC_name_Xref]],Table35[#Headers],0)),0)</f>
        <v>0</v>
      </c>
    </row>
    <row r="1146" spans="1:15" x14ac:dyDescent="0.3">
      <c r="A1146" s="19" t="str">
        <f>Table1[[#This Row],[Year_Week]]&amp;"-"&amp;Table1[[#This Row],[DC_name_Xref]]</f>
        <v>202345-EAO</v>
      </c>
      <c r="B1146" s="19" t="str">
        <f>Table1[[#This Row],[Fiscal_Year]]*100+Table1[[#This Row],[Fiscal_Week]] &amp; "-" &amp;Table1[[#This Row],[BRAND]]</f>
        <v>202345-Athleta</v>
      </c>
      <c r="C1146" t="str">
        <f>Table1[[#This Row],[Fiscal_Year]]&amp;"-"&amp;Table1[[#This Row],[BRAND]]</f>
        <v>2023-Athleta</v>
      </c>
      <c r="D1146">
        <v>2023</v>
      </c>
      <c r="E1146">
        <v>45</v>
      </c>
      <c r="F1146" t="s">
        <v>19</v>
      </c>
      <c r="G1146" t="s">
        <v>8</v>
      </c>
      <c r="H1146">
        <v>4</v>
      </c>
      <c r="I1146">
        <v>21</v>
      </c>
      <c r="J1146" t="str">
        <f>VLOOKUP(H1146,DC_Xref!A:B,2,FALSE)</f>
        <v>EAO</v>
      </c>
      <c r="K1146">
        <f t="shared" si="17"/>
        <v>202345</v>
      </c>
      <c r="L1146">
        <f>IFERROR(Table1[[#This Row],[Demand]]/SUMIFS(Table1[Demand],Table1[Fiscal_Year],Table1[[#This Row],[Fiscal_Year]],Table1[BRAND],Table1[[#This Row],[BRAND]],Table1[DC_name_Xref],Table1[[#This Row],[DC_name_Xref]]),0)</f>
        <v>0.16800000000000001</v>
      </c>
      <c r="M11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3.26114293406856E-5</v>
      </c>
      <c r="N1146" s="3">
        <f>IFERROR(INDEX(Table3[#All],MATCH(Table1[[#This Row],[Key_Year_Week_Brand]],Table3[[#All],[Key_Year_Week_Brand]],0),MATCH(Table1[[#This Row],[DC_name_Xref]],Table3[#Headers],0)),0)</f>
        <v>3.447122356821831E-5</v>
      </c>
      <c r="O1146">
        <f>IFERROR(INDEX(Table35[#All],MATCH(Table1[[#This Row],[Key_Year_Week_Brand]],Table35[[#All],[Key_Year_Month_Brand]],0),MATCH(Table1[[#This Row],[DC_name_Xref]],Table35[#Headers],0)),0)</f>
        <v>15.217114816848563</v>
      </c>
    </row>
    <row r="1147" spans="1:15" x14ac:dyDescent="0.3">
      <c r="A1147" s="19" t="str">
        <f>Table1[[#This Row],[Year_Week]]&amp;"-"&amp;Table1[[#This Row],[DC_name_Xref]]</f>
        <v>202345-FFC-ODC</v>
      </c>
      <c r="B1147" s="19" t="str">
        <f>Table1[[#This Row],[Fiscal_Year]]*100+Table1[[#This Row],[Fiscal_Week]] &amp; "-" &amp;Table1[[#This Row],[BRAND]]</f>
        <v>202345-Athleta</v>
      </c>
      <c r="C1147" t="str">
        <f>Table1[[#This Row],[Fiscal_Year]]&amp;"-"&amp;Table1[[#This Row],[BRAND]]</f>
        <v>2023-Athleta</v>
      </c>
      <c r="D1147">
        <v>2023</v>
      </c>
      <c r="E1147">
        <v>45</v>
      </c>
      <c r="F1147" t="s">
        <v>19</v>
      </c>
      <c r="G1147" t="s">
        <v>23</v>
      </c>
      <c r="H1147">
        <v>5</v>
      </c>
      <c r="I1147">
        <v>0</v>
      </c>
      <c r="J1147" t="str">
        <f>VLOOKUP(H1147,DC_Xref!A:B,2,FALSE)</f>
        <v>FFC-ODC</v>
      </c>
      <c r="K1147">
        <f t="shared" si="17"/>
        <v>202345</v>
      </c>
      <c r="L1147">
        <f>IFERROR(Table1[[#This Row],[Demand]]/SUMIFS(Table1[Demand],Table1[Fiscal_Year],Table1[[#This Row],[Fiscal_Year]],Table1[BRAND],Table1[[#This Row],[BRAND]],Table1[DC_name_Xref],Table1[[#This Row],[DC_name_Xref]]),0)</f>
        <v>0</v>
      </c>
      <c r="M11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47" s="3">
        <f>IFERROR(INDEX(Table3[#All],MATCH(Table1[[#This Row],[Key_Year_Week_Brand]],Table3[[#All],[Key_Year_Week_Brand]],0),MATCH(Table1[[#This Row],[DC_name_Xref]],Table3[#Headers],0)),0)</f>
        <v>0</v>
      </c>
      <c r="O1147">
        <f>IFERROR(INDEX(Table35[#All],MATCH(Table1[[#This Row],[Key_Year_Week_Brand]],Table35[[#All],[Key_Year_Month_Brand]],0),MATCH(Table1[[#This Row],[DC_name_Xref]],Table35[#Headers],0)),0)</f>
        <v>0</v>
      </c>
    </row>
    <row r="1148" spans="1:15" x14ac:dyDescent="0.3">
      <c r="A1148" s="19" t="str">
        <f>Table1[[#This Row],[Year_Week]]&amp;"-"&amp;Table1[[#This Row],[DC_name_Xref]]</f>
        <v>202345-WEO</v>
      </c>
      <c r="B1148" s="19" t="str">
        <f>Table1[[#This Row],[Fiscal_Year]]*100+Table1[[#This Row],[Fiscal_Week]] &amp; "-" &amp;Table1[[#This Row],[BRAND]]</f>
        <v>202345-Athleta</v>
      </c>
      <c r="C1148" t="str">
        <f>Table1[[#This Row],[Fiscal_Year]]&amp;"-"&amp;Table1[[#This Row],[BRAND]]</f>
        <v>2023-Athleta</v>
      </c>
      <c r="D1148">
        <v>2023</v>
      </c>
      <c r="E1148">
        <v>45</v>
      </c>
      <c r="F1148" t="s">
        <v>19</v>
      </c>
      <c r="G1148" t="s">
        <v>10</v>
      </c>
      <c r="H1148">
        <v>6</v>
      </c>
      <c r="I1148">
        <v>0</v>
      </c>
      <c r="J1148" t="str">
        <f>VLOOKUP(H1148,DC_Xref!A:B,2,FALSE)</f>
        <v>WEO</v>
      </c>
      <c r="K1148">
        <f t="shared" si="17"/>
        <v>202345</v>
      </c>
      <c r="L1148">
        <f>IFERROR(Table1[[#This Row],[Demand]]/SUMIFS(Table1[Demand],Table1[Fiscal_Year],Table1[[#This Row],[Fiscal_Year]],Table1[BRAND],Table1[[#This Row],[BRAND]],Table1[DC_name_Xref],Table1[[#This Row],[DC_name_Xref]]),0)</f>
        <v>0</v>
      </c>
      <c r="M11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48" s="3">
        <f>IFERROR(INDEX(Table3[#All],MATCH(Table1[[#This Row],[Key_Year_Week_Brand]],Table3[[#All],[Key_Year_Week_Brand]],0),MATCH(Table1[[#This Row],[DC_name_Xref]],Table3[#Headers],0)),0)</f>
        <v>0</v>
      </c>
      <c r="O1148">
        <f>IFERROR(INDEX(Table35[#All],MATCH(Table1[[#This Row],[Key_Year_Week_Brand]],Table35[[#All],[Key_Year_Month_Brand]],0),MATCH(Table1[[#This Row],[DC_name_Xref]],Table35[#Headers],0)),0)</f>
        <v>0</v>
      </c>
    </row>
    <row r="1149" spans="1:15" x14ac:dyDescent="0.3">
      <c r="A1149" s="19" t="str">
        <f>Table1[[#This Row],[Year_Week]]&amp;"-"&amp;Table1[[#This Row],[DC_name_Xref]]</f>
        <v>202345-OCC</v>
      </c>
      <c r="B1149" s="19" t="str">
        <f>Table1[[#This Row],[Fiscal_Year]]*100+Table1[[#This Row],[Fiscal_Week]] &amp; "-" &amp;Table1[[#This Row],[BRAND]]</f>
        <v>202345-Athleta</v>
      </c>
      <c r="C1149" t="str">
        <f>Table1[[#This Row],[Fiscal_Year]]&amp;"-"&amp;Table1[[#This Row],[BRAND]]</f>
        <v>2023-Athleta</v>
      </c>
      <c r="D1149">
        <v>2023</v>
      </c>
      <c r="E1149">
        <v>45</v>
      </c>
      <c r="F1149" t="s">
        <v>19</v>
      </c>
      <c r="G1149" t="s">
        <v>11</v>
      </c>
      <c r="H1149">
        <v>7</v>
      </c>
      <c r="I1149">
        <v>0</v>
      </c>
      <c r="J1149" t="str">
        <f>VLOOKUP(H1149,DC_Xref!A:B,2,FALSE)</f>
        <v>OCC</v>
      </c>
      <c r="K1149">
        <f t="shared" si="17"/>
        <v>202345</v>
      </c>
      <c r="L1149">
        <f>IFERROR(Table1[[#This Row],[Demand]]/SUMIFS(Table1[Demand],Table1[Fiscal_Year],Table1[[#This Row],[Fiscal_Year]],Table1[BRAND],Table1[[#This Row],[BRAND]],Table1[DC_name_Xref],Table1[[#This Row],[DC_name_Xref]]),0)</f>
        <v>0</v>
      </c>
      <c r="M11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49" s="3">
        <f>IFERROR(INDEX(Table3[#All],MATCH(Table1[[#This Row],[Key_Year_Week_Brand]],Table3[[#All],[Key_Year_Week_Brand]],0),MATCH(Table1[[#This Row],[DC_name_Xref]],Table3[#Headers],0)),0)</f>
        <v>0</v>
      </c>
      <c r="O1149">
        <f>IFERROR(INDEX(Table35[#All],MATCH(Table1[[#This Row],[Key_Year_Week_Brand]],Table35[[#All],[Key_Year_Month_Brand]],0),MATCH(Table1[[#This Row],[DC_name_Xref]],Table35[#Headers],0)),0)</f>
        <v>0</v>
      </c>
    </row>
    <row r="1150" spans="1:15" x14ac:dyDescent="0.3">
      <c r="A1150" s="19" t="str">
        <f>Table1[[#This Row],[Year_Week]]&amp;"-"&amp;Table1[[#This Row],[DC_name_Xref]]</f>
        <v>202345-OFC</v>
      </c>
      <c r="B1150" s="19" t="str">
        <f>Table1[[#This Row],[Fiscal_Year]]*100+Table1[[#This Row],[Fiscal_Week]] &amp; "-" &amp;Table1[[#This Row],[BRAND]]</f>
        <v>202345-Banana Republic</v>
      </c>
      <c r="C1150" t="str">
        <f>Table1[[#This Row],[Fiscal_Year]]&amp;"-"&amp;Table1[[#This Row],[BRAND]]</f>
        <v>2023-Banana Republic</v>
      </c>
      <c r="D1150">
        <v>2023</v>
      </c>
      <c r="E1150">
        <v>45</v>
      </c>
      <c r="F1150" t="s">
        <v>18</v>
      </c>
      <c r="G1150" t="s">
        <v>5</v>
      </c>
      <c r="H1150">
        <v>1</v>
      </c>
      <c r="I1150">
        <v>14757</v>
      </c>
      <c r="J1150" t="str">
        <f>VLOOKUP(H1150,DC_Xref!A:B,2,FALSE)</f>
        <v>OFC</v>
      </c>
      <c r="K1150">
        <f t="shared" si="17"/>
        <v>202345</v>
      </c>
      <c r="L1150">
        <f>IFERROR(Table1[[#This Row],[Demand]]/SUMIFS(Table1[Demand],Table1[Fiscal_Year],Table1[[#This Row],[Fiscal_Year]],Table1[BRAND],Table1[[#This Row],[BRAND]],Table1[DC_name_Xref],Table1[[#This Row],[DC_name_Xref]]),0)</f>
        <v>0.15773777711268358</v>
      </c>
      <c r="M11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2.1065553966605938E-2</v>
      </c>
      <c r="N1150" s="3">
        <f>IFERROR(INDEX(Table3[#All],MATCH(Table1[[#This Row],[Key_Year_Week_Brand]],Table3[[#All],[Key_Year_Week_Brand]],0),MATCH(Table1[[#This Row],[DC_name_Xref]],Table3[#Headers],0)),0)</f>
        <v>0</v>
      </c>
      <c r="O1150">
        <f>IFERROR(INDEX(Table35[#All],MATCH(Table1[[#This Row],[Key_Year_Week_Brand]],Table35[[#All],[Key_Year_Month_Brand]],0),MATCH(Table1[[#This Row],[DC_name_Xref]],Table35[#Headers],0)),0)</f>
        <v>0</v>
      </c>
    </row>
    <row r="1151" spans="1:15" x14ac:dyDescent="0.3">
      <c r="A1151" s="19" t="str">
        <f>Table1[[#This Row],[Year_Week]]&amp;"-"&amp;Table1[[#This Row],[DC_name_Xref]]</f>
        <v>202345-TFC</v>
      </c>
      <c r="B1151" s="19" t="str">
        <f>Table1[[#This Row],[Fiscal_Year]]*100+Table1[[#This Row],[Fiscal_Week]] &amp; "-" &amp;Table1[[#This Row],[BRAND]]</f>
        <v>202345-Banana Republic</v>
      </c>
      <c r="C1151" t="str">
        <f>Table1[[#This Row],[Fiscal_Year]]&amp;"-"&amp;Table1[[#This Row],[BRAND]]</f>
        <v>2023-Banana Republic</v>
      </c>
      <c r="D1151">
        <v>2023</v>
      </c>
      <c r="E1151">
        <v>45</v>
      </c>
      <c r="F1151" t="s">
        <v>18</v>
      </c>
      <c r="G1151" t="s">
        <v>21</v>
      </c>
      <c r="H1151">
        <v>2</v>
      </c>
      <c r="I1151">
        <v>494958</v>
      </c>
      <c r="J1151" t="str">
        <f>VLOOKUP(H1151,DC_Xref!A:B,2,FALSE)</f>
        <v>TFC</v>
      </c>
      <c r="K1151">
        <f t="shared" si="17"/>
        <v>202345</v>
      </c>
      <c r="L1151">
        <f>IFERROR(Table1[[#This Row],[Demand]]/SUMIFS(Table1[Demand],Table1[Fiscal_Year],Table1[[#This Row],[Fiscal_Year]],Table1[BRAND],Table1[[#This Row],[BRAND]],Table1[DC_name_Xref],Table1[[#This Row],[DC_name_Xref]]),0)</f>
        <v>0.11385704966060819</v>
      </c>
      <c r="M11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0.97885631204418555</v>
      </c>
      <c r="N1151" s="3">
        <f>IFERROR(INDEX(Table3[#All],MATCH(Table1[[#This Row],[Key_Year_Week_Brand]],Table3[[#All],[Key_Year_Week_Brand]],0),MATCH(Table1[[#This Row],[DC_name_Xref]],Table3[#Headers],0)),0)</f>
        <v>1</v>
      </c>
      <c r="O1151">
        <f>IFERROR(INDEX(Table35[#All],MATCH(Table1[[#This Row],[Key_Year_Week_Brand]],Table35[[#All],[Key_Year_Month_Brand]],0),MATCH(Table1[[#This Row],[DC_name_Xref]],Table35[#Headers],0)),0)</f>
        <v>509735</v>
      </c>
    </row>
    <row r="1152" spans="1:15" x14ac:dyDescent="0.3">
      <c r="A1152" s="19" t="str">
        <f>Table1[[#This Row],[Year_Week]]&amp;"-"&amp;Table1[[#This Row],[DC_name_Xref]]</f>
        <v>202345-WFC</v>
      </c>
      <c r="B1152" s="19" t="str">
        <f>Table1[[#This Row],[Fiscal_Year]]*100+Table1[[#This Row],[Fiscal_Week]] &amp; "-" &amp;Table1[[#This Row],[BRAND]]</f>
        <v>202345-Banana Republic</v>
      </c>
      <c r="C1152" t="str">
        <f>Table1[[#This Row],[Fiscal_Year]]&amp;"-"&amp;Table1[[#This Row],[BRAND]]</f>
        <v>2023-Banana Republic</v>
      </c>
      <c r="D1152">
        <v>2023</v>
      </c>
      <c r="E1152">
        <v>45</v>
      </c>
      <c r="F1152" t="s">
        <v>18</v>
      </c>
      <c r="G1152" t="s">
        <v>7</v>
      </c>
      <c r="H1152">
        <v>3</v>
      </c>
      <c r="I1152">
        <v>5</v>
      </c>
      <c r="J1152" t="str">
        <f>VLOOKUP(H1152,DC_Xref!A:B,2,FALSE)</f>
        <v>WFC</v>
      </c>
      <c r="K1152">
        <f t="shared" si="17"/>
        <v>202345</v>
      </c>
      <c r="L1152">
        <f>IFERROR(Table1[[#This Row],[Demand]]/SUMIFS(Table1[Demand],Table1[Fiscal_Year],Table1[[#This Row],[Fiscal_Year]],Table1[BRAND],Table1[[#This Row],[BRAND]],Table1[DC_name_Xref],Table1[[#This Row],[DC_name_Xref]]),0)</f>
        <v>0.38461538461538464</v>
      </c>
      <c r="M11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2.9272099703473632E-6</v>
      </c>
      <c r="N1152" s="3">
        <f>IFERROR(INDEX(Table3[#All],MATCH(Table1[[#This Row],[Key_Year_Week_Brand]],Table3[[#All],[Key_Year_Week_Brand]],0),MATCH(Table1[[#This Row],[DC_name_Xref]],Table3[#Headers],0)),0)</f>
        <v>3.4959629396853166E-6</v>
      </c>
      <c r="O1152">
        <f>IFERROR(INDEX(Table35[#All],MATCH(Table1[[#This Row],[Key_Year_Week_Brand]],Table35[[#All],[Key_Year_Month_Brand]],0),MATCH(Table1[[#This Row],[DC_name_Xref]],Table35[#Headers],0)),0)</f>
        <v>1.7820146690604948</v>
      </c>
    </row>
    <row r="1153" spans="1:15" x14ac:dyDescent="0.3">
      <c r="A1153" s="19" t="str">
        <f>Table1[[#This Row],[Year_Week]]&amp;"-"&amp;Table1[[#This Row],[DC_name_Xref]]</f>
        <v>202345-EAO</v>
      </c>
      <c r="B1153" s="19" t="str">
        <f>Table1[[#This Row],[Fiscal_Year]]*100+Table1[[#This Row],[Fiscal_Week]] &amp; "-" &amp;Table1[[#This Row],[BRAND]]</f>
        <v>202345-Banana Republic</v>
      </c>
      <c r="C1153" t="str">
        <f>Table1[[#This Row],[Fiscal_Year]]&amp;"-"&amp;Table1[[#This Row],[BRAND]]</f>
        <v>2023-Banana Republic</v>
      </c>
      <c r="D1153">
        <v>2023</v>
      </c>
      <c r="E1153">
        <v>45</v>
      </c>
      <c r="F1153" t="s">
        <v>18</v>
      </c>
      <c r="G1153" t="s">
        <v>8</v>
      </c>
      <c r="H1153">
        <v>4</v>
      </c>
      <c r="I1153">
        <v>15</v>
      </c>
      <c r="J1153" t="str">
        <f>VLOOKUP(H1153,DC_Xref!A:B,2,FALSE)</f>
        <v>EAO</v>
      </c>
      <c r="K1153">
        <f t="shared" si="17"/>
        <v>202345</v>
      </c>
      <c r="L1153">
        <f>IFERROR(Table1[[#This Row],[Demand]]/SUMIFS(Table1[Demand],Table1[Fiscal_Year],Table1[[#This Row],[Fiscal_Year]],Table1[BRAND],Table1[[#This Row],[BRAND]],Table1[DC_name_Xref],Table1[[#This Row],[DC_name_Xref]]),0)</f>
        <v>4.4910179640718563E-2</v>
      </c>
      <c r="M11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7.5206779238155323E-5</v>
      </c>
      <c r="N1153" s="3">
        <f>IFERROR(INDEX(Table3[#All],MATCH(Table1[[#This Row],[Key_Year_Week_Brand]],Table3[[#All],[Key_Year_Week_Brand]],0),MATCH(Table1[[#This Row],[DC_name_Xref]],Table3[#Headers],0)),0)</f>
        <v>4.2339995602855504E-5</v>
      </c>
      <c r="O1153">
        <f>IFERROR(INDEX(Table35[#All],MATCH(Table1[[#This Row],[Key_Year_Week_Brand]],Table35[[#All],[Key_Year_Month_Brand]],0),MATCH(Table1[[#This Row],[DC_name_Xref]],Table35[#Headers],0)),0)</f>
        <v>21.58217765862155</v>
      </c>
    </row>
    <row r="1154" spans="1:15" x14ac:dyDescent="0.3">
      <c r="A1154" s="19" t="str">
        <f>Table1[[#This Row],[Year_Week]]&amp;"-"&amp;Table1[[#This Row],[DC_name_Xref]]</f>
        <v>202345-FFC-ODC</v>
      </c>
      <c r="B1154" s="19" t="str">
        <f>Table1[[#This Row],[Fiscal_Year]]*100+Table1[[#This Row],[Fiscal_Week]] &amp; "-" &amp;Table1[[#This Row],[BRAND]]</f>
        <v>202345-Banana Republic</v>
      </c>
      <c r="C1154" t="str">
        <f>Table1[[#This Row],[Fiscal_Year]]&amp;"-"&amp;Table1[[#This Row],[BRAND]]</f>
        <v>2023-Banana Republic</v>
      </c>
      <c r="D1154">
        <v>2023</v>
      </c>
      <c r="E1154">
        <v>45</v>
      </c>
      <c r="F1154" t="s">
        <v>18</v>
      </c>
      <c r="G1154" t="s">
        <v>23</v>
      </c>
      <c r="H1154">
        <v>5</v>
      </c>
      <c r="I1154">
        <v>0</v>
      </c>
      <c r="J1154" t="str">
        <f>VLOOKUP(H1154,DC_Xref!A:B,2,FALSE)</f>
        <v>FFC-ODC</v>
      </c>
      <c r="K1154">
        <f t="shared" ref="K1154:K1217" si="18">D1154*100+E1154</f>
        <v>202345</v>
      </c>
      <c r="L1154">
        <f>IFERROR(Table1[[#This Row],[Demand]]/SUMIFS(Table1[Demand],Table1[Fiscal_Year],Table1[[#This Row],[Fiscal_Year]],Table1[BRAND],Table1[[#This Row],[BRAND]],Table1[DC_name_Xref],Table1[[#This Row],[DC_name_Xref]]),0)</f>
        <v>0</v>
      </c>
      <c r="M11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54" s="3">
        <f>IFERROR(INDEX(Table3[#All],MATCH(Table1[[#This Row],[Key_Year_Week_Brand]],Table3[[#All],[Key_Year_Week_Brand]],0),MATCH(Table1[[#This Row],[DC_name_Xref]],Table3[#Headers],0)),0)</f>
        <v>0</v>
      </c>
      <c r="O1154">
        <f>IFERROR(INDEX(Table35[#All],MATCH(Table1[[#This Row],[Key_Year_Week_Brand]],Table35[[#All],[Key_Year_Month_Brand]],0),MATCH(Table1[[#This Row],[DC_name_Xref]],Table35[#Headers],0)),0)</f>
        <v>0</v>
      </c>
    </row>
    <row r="1155" spans="1:15" x14ac:dyDescent="0.3">
      <c r="A1155" s="19" t="str">
        <f>Table1[[#This Row],[Year_Week]]&amp;"-"&amp;Table1[[#This Row],[DC_name_Xref]]</f>
        <v>202345-WEO</v>
      </c>
      <c r="B1155" s="19" t="str">
        <f>Table1[[#This Row],[Fiscal_Year]]*100+Table1[[#This Row],[Fiscal_Week]] &amp; "-" &amp;Table1[[#This Row],[BRAND]]</f>
        <v>202345-Banana Republic</v>
      </c>
      <c r="C1155" t="str">
        <f>Table1[[#This Row],[Fiscal_Year]]&amp;"-"&amp;Table1[[#This Row],[BRAND]]</f>
        <v>2023-Banana Republic</v>
      </c>
      <c r="D1155">
        <v>2023</v>
      </c>
      <c r="E1155">
        <v>45</v>
      </c>
      <c r="F1155" t="s">
        <v>18</v>
      </c>
      <c r="G1155" t="s">
        <v>10</v>
      </c>
      <c r="H1155">
        <v>6</v>
      </c>
      <c r="I1155">
        <v>0</v>
      </c>
      <c r="J1155" t="str">
        <f>VLOOKUP(H1155,DC_Xref!A:B,2,FALSE)</f>
        <v>WEO</v>
      </c>
      <c r="K1155">
        <f t="shared" si="18"/>
        <v>202345</v>
      </c>
      <c r="L1155">
        <f>IFERROR(Table1[[#This Row],[Demand]]/SUMIFS(Table1[Demand],Table1[Fiscal_Year],Table1[[#This Row],[Fiscal_Year]],Table1[BRAND],Table1[[#This Row],[BRAND]],Table1[DC_name_Xref],Table1[[#This Row],[DC_name_Xref]]),0)</f>
        <v>0</v>
      </c>
      <c r="M11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55" s="3">
        <f>IFERROR(INDEX(Table3[#All],MATCH(Table1[[#This Row],[Key_Year_Week_Brand]],Table3[[#All],[Key_Year_Week_Brand]],0),MATCH(Table1[[#This Row],[DC_name_Xref]],Table3[#Headers],0)),0)</f>
        <v>0</v>
      </c>
      <c r="O1155">
        <f>IFERROR(INDEX(Table35[#All],MATCH(Table1[[#This Row],[Key_Year_Week_Brand]],Table35[[#All],[Key_Year_Month_Brand]],0),MATCH(Table1[[#This Row],[DC_name_Xref]],Table35[#Headers],0)),0)</f>
        <v>0</v>
      </c>
    </row>
    <row r="1156" spans="1:15" x14ac:dyDescent="0.3">
      <c r="A1156" s="19" t="str">
        <f>Table1[[#This Row],[Year_Week]]&amp;"-"&amp;Table1[[#This Row],[DC_name_Xref]]</f>
        <v>202345-OCC</v>
      </c>
      <c r="B1156" s="19" t="str">
        <f>Table1[[#This Row],[Fiscal_Year]]*100+Table1[[#This Row],[Fiscal_Week]] &amp; "-" &amp;Table1[[#This Row],[BRAND]]</f>
        <v>202345-Banana Republic</v>
      </c>
      <c r="C1156" t="str">
        <f>Table1[[#This Row],[Fiscal_Year]]&amp;"-"&amp;Table1[[#This Row],[BRAND]]</f>
        <v>2023-Banana Republic</v>
      </c>
      <c r="D1156">
        <v>2023</v>
      </c>
      <c r="E1156">
        <v>45</v>
      </c>
      <c r="F1156" t="s">
        <v>18</v>
      </c>
      <c r="G1156" t="s">
        <v>11</v>
      </c>
      <c r="H1156">
        <v>7</v>
      </c>
      <c r="I1156">
        <v>0</v>
      </c>
      <c r="J1156" t="str">
        <f>VLOOKUP(H1156,DC_Xref!A:B,2,FALSE)</f>
        <v>OCC</v>
      </c>
      <c r="K1156">
        <f t="shared" si="18"/>
        <v>202345</v>
      </c>
      <c r="L1156">
        <f>IFERROR(Table1[[#This Row],[Demand]]/SUMIFS(Table1[Demand],Table1[Fiscal_Year],Table1[[#This Row],[Fiscal_Year]],Table1[BRAND],Table1[[#This Row],[BRAND]],Table1[DC_name_Xref],Table1[[#This Row],[DC_name_Xref]]),0)</f>
        <v>0</v>
      </c>
      <c r="M11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56" s="3">
        <f>IFERROR(INDEX(Table3[#All],MATCH(Table1[[#This Row],[Key_Year_Week_Brand]],Table3[[#All],[Key_Year_Week_Brand]],0),MATCH(Table1[[#This Row],[DC_name_Xref]],Table3[#Headers],0)),0)</f>
        <v>0</v>
      </c>
      <c r="O1156">
        <f>IFERROR(INDEX(Table35[#All],MATCH(Table1[[#This Row],[Key_Year_Week_Brand]],Table35[[#All],[Key_Year_Month_Brand]],0),MATCH(Table1[[#This Row],[DC_name_Xref]],Table35[#Headers],0)),0)</f>
        <v>0</v>
      </c>
    </row>
    <row r="1157" spans="1:15" x14ac:dyDescent="0.3">
      <c r="A1157" s="19" t="str">
        <f>Table1[[#This Row],[Year_Week]]&amp;"-"&amp;Table1[[#This Row],[DC_name_Xref]]</f>
        <v>202345-OFC</v>
      </c>
      <c r="B1157" s="19" t="str">
        <f>Table1[[#This Row],[Fiscal_Year]]*100+Table1[[#This Row],[Fiscal_Week]] &amp; "-" &amp;Table1[[#This Row],[BRAND]]</f>
        <v>202345-Gap Factory Store</v>
      </c>
      <c r="C1157" t="str">
        <f>Table1[[#This Row],[Fiscal_Year]]&amp;"-"&amp;Table1[[#This Row],[BRAND]]</f>
        <v>2023-Gap Factory Store</v>
      </c>
      <c r="D1157">
        <v>2023</v>
      </c>
      <c r="E1157">
        <v>45</v>
      </c>
      <c r="F1157" t="s">
        <v>22</v>
      </c>
      <c r="G1157" t="s">
        <v>5</v>
      </c>
      <c r="H1157">
        <v>1</v>
      </c>
      <c r="I1157">
        <v>1035209</v>
      </c>
      <c r="J1157" t="str">
        <f>VLOOKUP(H1157,DC_Xref!A:B,2,FALSE)</f>
        <v>OFC</v>
      </c>
      <c r="K1157">
        <f t="shared" si="18"/>
        <v>202345</v>
      </c>
      <c r="L1157">
        <f>IFERROR(Table1[[#This Row],[Demand]]/SUMIFS(Table1[Demand],Table1[Fiscal_Year],Table1[[#This Row],[Fiscal_Year]],Table1[BRAND],Table1[[#This Row],[BRAND]],Table1[DC_name_Xref],Table1[[#This Row],[DC_name_Xref]]),0)</f>
        <v>0.10655018570984225</v>
      </c>
      <c r="M11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157" s="3">
        <f>IFERROR(INDEX(Table3[#All],MATCH(Table1[[#This Row],[Key_Year_Week_Brand]],Table3[[#All],[Key_Year_Week_Brand]],0),MATCH(Table1[[#This Row],[DC_name_Xref]],Table3[#Headers],0)),0)</f>
        <v>1</v>
      </c>
      <c r="O1157">
        <f>IFERROR(INDEX(Table35[#All],MATCH(Table1[[#This Row],[Key_Year_Week_Brand]],Table35[[#All],[Key_Year_Month_Brand]],0),MATCH(Table1[[#This Row],[DC_name_Xref]],Table35[#Headers],0)),0)</f>
        <v>1035209</v>
      </c>
    </row>
    <row r="1158" spans="1:15" x14ac:dyDescent="0.3">
      <c r="A1158" s="19" t="str">
        <f>Table1[[#This Row],[Year_Week]]&amp;"-"&amp;Table1[[#This Row],[DC_name_Xref]]</f>
        <v>202345-TFC</v>
      </c>
      <c r="B1158" s="19" t="str">
        <f>Table1[[#This Row],[Fiscal_Year]]*100+Table1[[#This Row],[Fiscal_Week]] &amp; "-" &amp;Table1[[#This Row],[BRAND]]</f>
        <v>202345-Gap Factory Store</v>
      </c>
      <c r="C1158" t="str">
        <f>Table1[[#This Row],[Fiscal_Year]]&amp;"-"&amp;Table1[[#This Row],[BRAND]]</f>
        <v>2023-Gap Factory Store</v>
      </c>
      <c r="D1158">
        <v>2023</v>
      </c>
      <c r="E1158">
        <v>45</v>
      </c>
      <c r="F1158" t="s">
        <v>22</v>
      </c>
      <c r="G1158" t="s">
        <v>21</v>
      </c>
      <c r="H1158">
        <v>2</v>
      </c>
      <c r="I1158">
        <v>0</v>
      </c>
      <c r="J1158" t="str">
        <f>VLOOKUP(H1158,DC_Xref!A:B,2,FALSE)</f>
        <v>TFC</v>
      </c>
      <c r="K1158">
        <f t="shared" si="18"/>
        <v>202345</v>
      </c>
      <c r="L1158">
        <f>IFERROR(Table1[[#This Row],[Demand]]/SUMIFS(Table1[Demand],Table1[Fiscal_Year],Table1[[#This Row],[Fiscal_Year]],Table1[BRAND],Table1[[#This Row],[BRAND]],Table1[DC_name_Xref],Table1[[#This Row],[DC_name_Xref]]),0)</f>
        <v>0</v>
      </c>
      <c r="M11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58" s="3">
        <f>IFERROR(INDEX(Table3[#All],MATCH(Table1[[#This Row],[Key_Year_Week_Brand]],Table3[[#All],[Key_Year_Week_Brand]],0),MATCH(Table1[[#This Row],[DC_name_Xref]],Table3[#Headers],0)),0)</f>
        <v>0</v>
      </c>
      <c r="O1158">
        <f>IFERROR(INDEX(Table35[#All],MATCH(Table1[[#This Row],[Key_Year_Week_Brand]],Table35[[#All],[Key_Year_Month_Brand]],0),MATCH(Table1[[#This Row],[DC_name_Xref]],Table35[#Headers],0)),0)</f>
        <v>0</v>
      </c>
    </row>
    <row r="1159" spans="1:15" x14ac:dyDescent="0.3">
      <c r="A1159" s="19" t="str">
        <f>Table1[[#This Row],[Year_Week]]&amp;"-"&amp;Table1[[#This Row],[DC_name_Xref]]</f>
        <v>202345-WFC</v>
      </c>
      <c r="B1159" s="19" t="str">
        <f>Table1[[#This Row],[Fiscal_Year]]*100+Table1[[#This Row],[Fiscal_Week]] &amp; "-" &amp;Table1[[#This Row],[BRAND]]</f>
        <v>202345-Gap Factory Store</v>
      </c>
      <c r="C1159" t="str">
        <f>Table1[[#This Row],[Fiscal_Year]]&amp;"-"&amp;Table1[[#This Row],[BRAND]]</f>
        <v>2023-Gap Factory Store</v>
      </c>
      <c r="D1159">
        <v>2023</v>
      </c>
      <c r="E1159">
        <v>45</v>
      </c>
      <c r="F1159" t="s">
        <v>22</v>
      </c>
      <c r="G1159" t="s">
        <v>7</v>
      </c>
      <c r="H1159">
        <v>3</v>
      </c>
      <c r="I1159">
        <v>0</v>
      </c>
      <c r="J1159" t="str">
        <f>VLOOKUP(H1159,DC_Xref!A:B,2,FALSE)</f>
        <v>WFC</v>
      </c>
      <c r="K1159">
        <f t="shared" si="18"/>
        <v>202345</v>
      </c>
      <c r="L1159">
        <f>IFERROR(Table1[[#This Row],[Demand]]/SUMIFS(Table1[Demand],Table1[Fiscal_Year],Table1[[#This Row],[Fiscal_Year]],Table1[BRAND],Table1[[#This Row],[BRAND]],Table1[DC_name_Xref],Table1[[#This Row],[DC_name_Xref]]),0)</f>
        <v>0</v>
      </c>
      <c r="M11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59" s="3">
        <f>IFERROR(INDEX(Table3[#All],MATCH(Table1[[#This Row],[Key_Year_Week_Brand]],Table3[[#All],[Key_Year_Week_Brand]],0),MATCH(Table1[[#This Row],[DC_name_Xref]],Table3[#Headers],0)),0)</f>
        <v>0</v>
      </c>
      <c r="O1159">
        <f>IFERROR(INDEX(Table35[#All],MATCH(Table1[[#This Row],[Key_Year_Week_Brand]],Table35[[#All],[Key_Year_Month_Brand]],0),MATCH(Table1[[#This Row],[DC_name_Xref]],Table35[#Headers],0)),0)</f>
        <v>0</v>
      </c>
    </row>
    <row r="1160" spans="1:15" x14ac:dyDescent="0.3">
      <c r="A1160" s="19" t="str">
        <f>Table1[[#This Row],[Year_Week]]&amp;"-"&amp;Table1[[#This Row],[DC_name_Xref]]</f>
        <v>202345-EAO</v>
      </c>
      <c r="B1160" s="19" t="str">
        <f>Table1[[#This Row],[Fiscal_Year]]*100+Table1[[#This Row],[Fiscal_Week]] &amp; "-" &amp;Table1[[#This Row],[BRAND]]</f>
        <v>202345-Gap Factory Store</v>
      </c>
      <c r="C1160" t="str">
        <f>Table1[[#This Row],[Fiscal_Year]]&amp;"-"&amp;Table1[[#This Row],[BRAND]]</f>
        <v>2023-Gap Factory Store</v>
      </c>
      <c r="D1160">
        <v>2023</v>
      </c>
      <c r="E1160">
        <v>45</v>
      </c>
      <c r="F1160" t="s">
        <v>22</v>
      </c>
      <c r="G1160" t="s">
        <v>8</v>
      </c>
      <c r="H1160">
        <v>4</v>
      </c>
      <c r="I1160">
        <v>0</v>
      </c>
      <c r="J1160" t="str">
        <f>VLOOKUP(H1160,DC_Xref!A:B,2,FALSE)</f>
        <v>EAO</v>
      </c>
      <c r="K1160">
        <f t="shared" si="18"/>
        <v>202345</v>
      </c>
      <c r="L1160">
        <f>IFERROR(Table1[[#This Row],[Demand]]/SUMIFS(Table1[Demand],Table1[Fiscal_Year],Table1[[#This Row],[Fiscal_Year]],Table1[BRAND],Table1[[#This Row],[BRAND]],Table1[DC_name_Xref],Table1[[#This Row],[DC_name_Xref]]),0)</f>
        <v>0</v>
      </c>
      <c r="M11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0" s="3">
        <f>IFERROR(INDEX(Table3[#All],MATCH(Table1[[#This Row],[Key_Year_Week_Brand]],Table3[[#All],[Key_Year_Week_Brand]],0),MATCH(Table1[[#This Row],[DC_name_Xref]],Table3[#Headers],0)),0)</f>
        <v>0</v>
      </c>
      <c r="O1160">
        <f>IFERROR(INDEX(Table35[#All],MATCH(Table1[[#This Row],[Key_Year_Week_Brand]],Table35[[#All],[Key_Year_Month_Brand]],0),MATCH(Table1[[#This Row],[DC_name_Xref]],Table35[#Headers],0)),0)</f>
        <v>0</v>
      </c>
    </row>
    <row r="1161" spans="1:15" x14ac:dyDescent="0.3">
      <c r="A1161" s="19" t="str">
        <f>Table1[[#This Row],[Year_Week]]&amp;"-"&amp;Table1[[#This Row],[DC_name_Xref]]</f>
        <v>202345-FFC-ODC</v>
      </c>
      <c r="B1161" s="19" t="str">
        <f>Table1[[#This Row],[Fiscal_Year]]*100+Table1[[#This Row],[Fiscal_Week]] &amp; "-" &amp;Table1[[#This Row],[BRAND]]</f>
        <v>202345-Gap Factory Store</v>
      </c>
      <c r="C1161" t="str">
        <f>Table1[[#This Row],[Fiscal_Year]]&amp;"-"&amp;Table1[[#This Row],[BRAND]]</f>
        <v>2023-Gap Factory Store</v>
      </c>
      <c r="D1161">
        <v>2023</v>
      </c>
      <c r="E1161">
        <v>45</v>
      </c>
      <c r="F1161" t="s">
        <v>22</v>
      </c>
      <c r="G1161" t="s">
        <v>23</v>
      </c>
      <c r="H1161">
        <v>5</v>
      </c>
      <c r="I1161">
        <v>0</v>
      </c>
      <c r="J1161" t="str">
        <f>VLOOKUP(H1161,DC_Xref!A:B,2,FALSE)</f>
        <v>FFC-ODC</v>
      </c>
      <c r="K1161">
        <f t="shared" si="18"/>
        <v>202345</v>
      </c>
      <c r="L1161">
        <f>IFERROR(Table1[[#This Row],[Demand]]/SUMIFS(Table1[Demand],Table1[Fiscal_Year],Table1[[#This Row],[Fiscal_Year]],Table1[BRAND],Table1[[#This Row],[BRAND]],Table1[DC_name_Xref],Table1[[#This Row],[DC_name_Xref]]),0)</f>
        <v>0</v>
      </c>
      <c r="M11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1" s="3">
        <f>IFERROR(INDEX(Table3[#All],MATCH(Table1[[#This Row],[Key_Year_Week_Brand]],Table3[[#All],[Key_Year_Week_Brand]],0),MATCH(Table1[[#This Row],[DC_name_Xref]],Table3[#Headers],0)),0)</f>
        <v>0</v>
      </c>
      <c r="O1161">
        <f>IFERROR(INDEX(Table35[#All],MATCH(Table1[[#This Row],[Key_Year_Week_Brand]],Table35[[#All],[Key_Year_Month_Brand]],0),MATCH(Table1[[#This Row],[DC_name_Xref]],Table35[#Headers],0)),0)</f>
        <v>0</v>
      </c>
    </row>
    <row r="1162" spans="1:15" x14ac:dyDescent="0.3">
      <c r="A1162" s="19" t="str">
        <f>Table1[[#This Row],[Year_Week]]&amp;"-"&amp;Table1[[#This Row],[DC_name_Xref]]</f>
        <v>202345-WEO</v>
      </c>
      <c r="B1162" s="19" t="str">
        <f>Table1[[#This Row],[Fiscal_Year]]*100+Table1[[#This Row],[Fiscal_Week]] &amp; "-" &amp;Table1[[#This Row],[BRAND]]</f>
        <v>202345-Gap Factory Store</v>
      </c>
      <c r="C1162" t="str">
        <f>Table1[[#This Row],[Fiscal_Year]]&amp;"-"&amp;Table1[[#This Row],[BRAND]]</f>
        <v>2023-Gap Factory Store</v>
      </c>
      <c r="D1162">
        <v>2023</v>
      </c>
      <c r="E1162">
        <v>45</v>
      </c>
      <c r="F1162" t="s">
        <v>22</v>
      </c>
      <c r="G1162" t="s">
        <v>10</v>
      </c>
      <c r="H1162">
        <v>6</v>
      </c>
      <c r="I1162">
        <v>0</v>
      </c>
      <c r="J1162" t="str">
        <f>VLOOKUP(H1162,DC_Xref!A:B,2,FALSE)</f>
        <v>WEO</v>
      </c>
      <c r="K1162">
        <f t="shared" si="18"/>
        <v>202345</v>
      </c>
      <c r="L1162">
        <f>IFERROR(Table1[[#This Row],[Demand]]/SUMIFS(Table1[Demand],Table1[Fiscal_Year],Table1[[#This Row],[Fiscal_Year]],Table1[BRAND],Table1[[#This Row],[BRAND]],Table1[DC_name_Xref],Table1[[#This Row],[DC_name_Xref]]),0)</f>
        <v>0</v>
      </c>
      <c r="M11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2" s="3">
        <f>IFERROR(INDEX(Table3[#All],MATCH(Table1[[#This Row],[Key_Year_Week_Brand]],Table3[[#All],[Key_Year_Week_Brand]],0),MATCH(Table1[[#This Row],[DC_name_Xref]],Table3[#Headers],0)),0)</f>
        <v>0</v>
      </c>
      <c r="O1162">
        <f>IFERROR(INDEX(Table35[#All],MATCH(Table1[[#This Row],[Key_Year_Week_Brand]],Table35[[#All],[Key_Year_Month_Brand]],0),MATCH(Table1[[#This Row],[DC_name_Xref]],Table35[#Headers],0)),0)</f>
        <v>0</v>
      </c>
    </row>
    <row r="1163" spans="1:15" x14ac:dyDescent="0.3">
      <c r="A1163" s="19" t="str">
        <f>Table1[[#This Row],[Year_Week]]&amp;"-"&amp;Table1[[#This Row],[DC_name_Xref]]</f>
        <v>202345-OCC</v>
      </c>
      <c r="B1163" s="19" t="str">
        <f>Table1[[#This Row],[Fiscal_Year]]*100+Table1[[#This Row],[Fiscal_Week]] &amp; "-" &amp;Table1[[#This Row],[BRAND]]</f>
        <v>202345-Gap Factory Store</v>
      </c>
      <c r="C1163" t="str">
        <f>Table1[[#This Row],[Fiscal_Year]]&amp;"-"&amp;Table1[[#This Row],[BRAND]]</f>
        <v>2023-Gap Factory Store</v>
      </c>
      <c r="D1163">
        <v>2023</v>
      </c>
      <c r="E1163">
        <v>45</v>
      </c>
      <c r="F1163" t="s">
        <v>22</v>
      </c>
      <c r="G1163" t="s">
        <v>11</v>
      </c>
      <c r="H1163">
        <v>7</v>
      </c>
      <c r="I1163">
        <v>0</v>
      </c>
      <c r="J1163" t="str">
        <f>VLOOKUP(H1163,DC_Xref!A:B,2,FALSE)</f>
        <v>OCC</v>
      </c>
      <c r="K1163">
        <f t="shared" si="18"/>
        <v>202345</v>
      </c>
      <c r="L1163">
        <f>IFERROR(Table1[[#This Row],[Demand]]/SUMIFS(Table1[Demand],Table1[Fiscal_Year],Table1[[#This Row],[Fiscal_Year]],Table1[BRAND],Table1[[#This Row],[BRAND]],Table1[DC_name_Xref],Table1[[#This Row],[DC_name_Xref]]),0)</f>
        <v>0</v>
      </c>
      <c r="M11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3" s="3">
        <f>IFERROR(INDEX(Table3[#All],MATCH(Table1[[#This Row],[Key_Year_Week_Brand]],Table3[[#All],[Key_Year_Week_Brand]],0),MATCH(Table1[[#This Row],[DC_name_Xref]],Table3[#Headers],0)),0)</f>
        <v>0</v>
      </c>
      <c r="O1163">
        <f>IFERROR(INDEX(Table35[#All],MATCH(Table1[[#This Row],[Key_Year_Week_Brand]],Table35[[#All],[Key_Year_Month_Brand]],0),MATCH(Table1[[#This Row],[DC_name_Xref]],Table35[#Headers],0)),0)</f>
        <v>0</v>
      </c>
    </row>
    <row r="1164" spans="1:15" x14ac:dyDescent="0.3">
      <c r="A1164" s="19" t="str">
        <f>Table1[[#This Row],[Year_Week]]&amp;"-"&amp;Table1[[#This Row],[DC_name_Xref]]</f>
        <v>202345-OFC</v>
      </c>
      <c r="B1164" s="19" t="str">
        <f>Table1[[#This Row],[Fiscal_Year]]*100+Table1[[#This Row],[Fiscal_Week]] &amp; "-" &amp;Table1[[#This Row],[BRAND]]</f>
        <v>202345-BR Factory Store</v>
      </c>
      <c r="C1164" t="str">
        <f>Table1[[#This Row],[Fiscal_Year]]&amp;"-"&amp;Table1[[#This Row],[BRAND]]</f>
        <v>2023-BR Factory Store</v>
      </c>
      <c r="D1164">
        <v>2023</v>
      </c>
      <c r="E1164">
        <v>45</v>
      </c>
      <c r="F1164" t="s">
        <v>17</v>
      </c>
      <c r="G1164" t="s">
        <v>5</v>
      </c>
      <c r="H1164">
        <v>1</v>
      </c>
      <c r="I1164">
        <v>232738</v>
      </c>
      <c r="J1164" t="str">
        <f>VLOOKUP(H1164,DC_Xref!A:B,2,FALSE)</f>
        <v>OFC</v>
      </c>
      <c r="K1164">
        <f t="shared" si="18"/>
        <v>202345</v>
      </c>
      <c r="L1164">
        <f>IFERROR(Table1[[#This Row],[Demand]]/SUMIFS(Table1[Demand],Table1[Fiscal_Year],Table1[[#This Row],[Fiscal_Year]],Table1[BRAND],Table1[[#This Row],[BRAND]],Table1[DC_name_Xref],Table1[[#This Row],[DC_name_Xref]]),0)</f>
        <v>6.9335173230685179E-2</v>
      </c>
      <c r="M11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164" s="3">
        <f>IFERROR(INDEX(Table3[#All],MATCH(Table1[[#This Row],[Key_Year_Week_Brand]],Table3[[#All],[Key_Year_Week_Brand]],0),MATCH(Table1[[#This Row],[DC_name_Xref]],Table3[#Headers],0)),0)</f>
        <v>1</v>
      </c>
      <c r="O1164">
        <f>IFERROR(INDEX(Table35[#All],MATCH(Table1[[#This Row],[Key_Year_Week_Brand]],Table35[[#All],[Key_Year_Month_Brand]],0),MATCH(Table1[[#This Row],[DC_name_Xref]],Table35[#Headers],0)),0)</f>
        <v>232738</v>
      </c>
    </row>
    <row r="1165" spans="1:15" x14ac:dyDescent="0.3">
      <c r="A1165" s="19" t="str">
        <f>Table1[[#This Row],[Year_Week]]&amp;"-"&amp;Table1[[#This Row],[DC_name_Xref]]</f>
        <v>202345-TFC</v>
      </c>
      <c r="B1165" s="19" t="str">
        <f>Table1[[#This Row],[Fiscal_Year]]*100+Table1[[#This Row],[Fiscal_Week]] &amp; "-" &amp;Table1[[#This Row],[BRAND]]</f>
        <v>202345-BR Factory Store</v>
      </c>
      <c r="C1165" t="str">
        <f>Table1[[#This Row],[Fiscal_Year]]&amp;"-"&amp;Table1[[#This Row],[BRAND]]</f>
        <v>2023-BR Factory Store</v>
      </c>
      <c r="D1165">
        <v>2023</v>
      </c>
      <c r="E1165">
        <v>45</v>
      </c>
      <c r="F1165" t="s">
        <v>17</v>
      </c>
      <c r="G1165" t="s">
        <v>21</v>
      </c>
      <c r="H1165">
        <v>2</v>
      </c>
      <c r="I1165">
        <v>0</v>
      </c>
      <c r="J1165" t="str">
        <f>VLOOKUP(H1165,DC_Xref!A:B,2,FALSE)</f>
        <v>TFC</v>
      </c>
      <c r="K1165">
        <f t="shared" si="18"/>
        <v>202345</v>
      </c>
      <c r="L1165">
        <f>IFERROR(Table1[[#This Row],[Demand]]/SUMIFS(Table1[Demand],Table1[Fiscal_Year],Table1[[#This Row],[Fiscal_Year]],Table1[BRAND],Table1[[#This Row],[BRAND]],Table1[DC_name_Xref],Table1[[#This Row],[DC_name_Xref]]),0)</f>
        <v>0</v>
      </c>
      <c r="M11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5" s="3">
        <f>IFERROR(INDEX(Table3[#All],MATCH(Table1[[#This Row],[Key_Year_Week_Brand]],Table3[[#All],[Key_Year_Week_Brand]],0),MATCH(Table1[[#This Row],[DC_name_Xref]],Table3[#Headers],0)),0)</f>
        <v>0</v>
      </c>
      <c r="O1165">
        <f>IFERROR(INDEX(Table35[#All],MATCH(Table1[[#This Row],[Key_Year_Week_Brand]],Table35[[#All],[Key_Year_Month_Brand]],0),MATCH(Table1[[#This Row],[DC_name_Xref]],Table35[#Headers],0)),0)</f>
        <v>0</v>
      </c>
    </row>
    <row r="1166" spans="1:15" x14ac:dyDescent="0.3">
      <c r="A1166" s="19" t="str">
        <f>Table1[[#This Row],[Year_Week]]&amp;"-"&amp;Table1[[#This Row],[DC_name_Xref]]</f>
        <v>202345-WFC</v>
      </c>
      <c r="B1166" s="19" t="str">
        <f>Table1[[#This Row],[Fiscal_Year]]*100+Table1[[#This Row],[Fiscal_Week]] &amp; "-" &amp;Table1[[#This Row],[BRAND]]</f>
        <v>202345-BR Factory Store</v>
      </c>
      <c r="C1166" t="str">
        <f>Table1[[#This Row],[Fiscal_Year]]&amp;"-"&amp;Table1[[#This Row],[BRAND]]</f>
        <v>2023-BR Factory Store</v>
      </c>
      <c r="D1166">
        <v>2023</v>
      </c>
      <c r="E1166">
        <v>45</v>
      </c>
      <c r="F1166" t="s">
        <v>17</v>
      </c>
      <c r="G1166" t="s">
        <v>7</v>
      </c>
      <c r="H1166">
        <v>3</v>
      </c>
      <c r="I1166">
        <v>0</v>
      </c>
      <c r="J1166" t="str">
        <f>VLOOKUP(H1166,DC_Xref!A:B,2,FALSE)</f>
        <v>WFC</v>
      </c>
      <c r="K1166">
        <f t="shared" si="18"/>
        <v>202345</v>
      </c>
      <c r="L1166">
        <f>IFERROR(Table1[[#This Row],[Demand]]/SUMIFS(Table1[Demand],Table1[Fiscal_Year],Table1[[#This Row],[Fiscal_Year]],Table1[BRAND],Table1[[#This Row],[BRAND]],Table1[DC_name_Xref],Table1[[#This Row],[DC_name_Xref]]),0)</f>
        <v>0</v>
      </c>
      <c r="M11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6" s="3">
        <f>IFERROR(INDEX(Table3[#All],MATCH(Table1[[#This Row],[Key_Year_Week_Brand]],Table3[[#All],[Key_Year_Week_Brand]],0),MATCH(Table1[[#This Row],[DC_name_Xref]],Table3[#Headers],0)),0)</f>
        <v>0</v>
      </c>
      <c r="O1166">
        <f>IFERROR(INDEX(Table35[#All],MATCH(Table1[[#This Row],[Key_Year_Week_Brand]],Table35[[#All],[Key_Year_Month_Brand]],0),MATCH(Table1[[#This Row],[DC_name_Xref]],Table35[#Headers],0)),0)</f>
        <v>0</v>
      </c>
    </row>
    <row r="1167" spans="1:15" x14ac:dyDescent="0.3">
      <c r="A1167" s="19" t="str">
        <f>Table1[[#This Row],[Year_Week]]&amp;"-"&amp;Table1[[#This Row],[DC_name_Xref]]</f>
        <v>202345-EAO</v>
      </c>
      <c r="B1167" s="19" t="str">
        <f>Table1[[#This Row],[Fiscal_Year]]*100+Table1[[#This Row],[Fiscal_Week]] &amp; "-" &amp;Table1[[#This Row],[BRAND]]</f>
        <v>202345-BR Factory Store</v>
      </c>
      <c r="C1167" t="str">
        <f>Table1[[#This Row],[Fiscal_Year]]&amp;"-"&amp;Table1[[#This Row],[BRAND]]</f>
        <v>2023-BR Factory Store</v>
      </c>
      <c r="D1167">
        <v>2023</v>
      </c>
      <c r="E1167">
        <v>45</v>
      </c>
      <c r="F1167" t="s">
        <v>17</v>
      </c>
      <c r="G1167" t="s">
        <v>8</v>
      </c>
      <c r="H1167">
        <v>4</v>
      </c>
      <c r="I1167">
        <v>0</v>
      </c>
      <c r="J1167" t="str">
        <f>VLOOKUP(H1167,DC_Xref!A:B,2,FALSE)</f>
        <v>EAO</v>
      </c>
      <c r="K1167">
        <f t="shared" si="18"/>
        <v>202345</v>
      </c>
      <c r="L1167">
        <f>IFERROR(Table1[[#This Row],[Demand]]/SUMIFS(Table1[Demand],Table1[Fiscal_Year],Table1[[#This Row],[Fiscal_Year]],Table1[BRAND],Table1[[#This Row],[BRAND]],Table1[DC_name_Xref],Table1[[#This Row],[DC_name_Xref]]),0)</f>
        <v>0</v>
      </c>
      <c r="M11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7" s="3">
        <f>IFERROR(INDEX(Table3[#All],MATCH(Table1[[#This Row],[Key_Year_Week_Brand]],Table3[[#All],[Key_Year_Week_Brand]],0),MATCH(Table1[[#This Row],[DC_name_Xref]],Table3[#Headers],0)),0)</f>
        <v>0</v>
      </c>
      <c r="O1167">
        <f>IFERROR(INDEX(Table35[#All],MATCH(Table1[[#This Row],[Key_Year_Week_Brand]],Table35[[#All],[Key_Year_Month_Brand]],0),MATCH(Table1[[#This Row],[DC_name_Xref]],Table35[#Headers],0)),0)</f>
        <v>0</v>
      </c>
    </row>
    <row r="1168" spans="1:15" x14ac:dyDescent="0.3">
      <c r="A1168" s="19" t="str">
        <f>Table1[[#This Row],[Year_Week]]&amp;"-"&amp;Table1[[#This Row],[DC_name_Xref]]</f>
        <v>202345-FFC-ODC</v>
      </c>
      <c r="B1168" s="19" t="str">
        <f>Table1[[#This Row],[Fiscal_Year]]*100+Table1[[#This Row],[Fiscal_Week]] &amp; "-" &amp;Table1[[#This Row],[BRAND]]</f>
        <v>202345-BR Factory Store</v>
      </c>
      <c r="C1168" t="str">
        <f>Table1[[#This Row],[Fiscal_Year]]&amp;"-"&amp;Table1[[#This Row],[BRAND]]</f>
        <v>2023-BR Factory Store</v>
      </c>
      <c r="D1168">
        <v>2023</v>
      </c>
      <c r="E1168">
        <v>45</v>
      </c>
      <c r="F1168" t="s">
        <v>17</v>
      </c>
      <c r="G1168" t="s">
        <v>23</v>
      </c>
      <c r="H1168">
        <v>5</v>
      </c>
      <c r="I1168">
        <v>0</v>
      </c>
      <c r="J1168" t="str">
        <f>VLOOKUP(H1168,DC_Xref!A:B,2,FALSE)</f>
        <v>FFC-ODC</v>
      </c>
      <c r="K1168">
        <f t="shared" si="18"/>
        <v>202345</v>
      </c>
      <c r="L1168">
        <f>IFERROR(Table1[[#This Row],[Demand]]/SUMIFS(Table1[Demand],Table1[Fiscal_Year],Table1[[#This Row],[Fiscal_Year]],Table1[BRAND],Table1[[#This Row],[BRAND]],Table1[DC_name_Xref],Table1[[#This Row],[DC_name_Xref]]),0)</f>
        <v>0</v>
      </c>
      <c r="M11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8" s="3">
        <f>IFERROR(INDEX(Table3[#All],MATCH(Table1[[#This Row],[Key_Year_Week_Brand]],Table3[[#All],[Key_Year_Week_Brand]],0),MATCH(Table1[[#This Row],[DC_name_Xref]],Table3[#Headers],0)),0)</f>
        <v>0</v>
      </c>
      <c r="O1168">
        <f>IFERROR(INDEX(Table35[#All],MATCH(Table1[[#This Row],[Key_Year_Week_Brand]],Table35[[#All],[Key_Year_Month_Brand]],0),MATCH(Table1[[#This Row],[DC_name_Xref]],Table35[#Headers],0)),0)</f>
        <v>0</v>
      </c>
    </row>
    <row r="1169" spans="1:15" x14ac:dyDescent="0.3">
      <c r="A1169" s="19" t="str">
        <f>Table1[[#This Row],[Year_Week]]&amp;"-"&amp;Table1[[#This Row],[DC_name_Xref]]</f>
        <v>202345-WEO</v>
      </c>
      <c r="B1169" s="19" t="str">
        <f>Table1[[#This Row],[Fiscal_Year]]*100+Table1[[#This Row],[Fiscal_Week]] &amp; "-" &amp;Table1[[#This Row],[BRAND]]</f>
        <v>202345-BR Factory Store</v>
      </c>
      <c r="C1169" t="str">
        <f>Table1[[#This Row],[Fiscal_Year]]&amp;"-"&amp;Table1[[#This Row],[BRAND]]</f>
        <v>2023-BR Factory Store</v>
      </c>
      <c r="D1169">
        <v>2023</v>
      </c>
      <c r="E1169">
        <v>45</v>
      </c>
      <c r="F1169" t="s">
        <v>17</v>
      </c>
      <c r="G1169" t="s">
        <v>10</v>
      </c>
      <c r="H1169">
        <v>6</v>
      </c>
      <c r="I1169">
        <v>0</v>
      </c>
      <c r="J1169" t="str">
        <f>VLOOKUP(H1169,DC_Xref!A:B,2,FALSE)</f>
        <v>WEO</v>
      </c>
      <c r="K1169">
        <f t="shared" si="18"/>
        <v>202345</v>
      </c>
      <c r="L1169">
        <f>IFERROR(Table1[[#This Row],[Demand]]/SUMIFS(Table1[Demand],Table1[Fiscal_Year],Table1[[#This Row],[Fiscal_Year]],Table1[BRAND],Table1[[#This Row],[BRAND]],Table1[DC_name_Xref],Table1[[#This Row],[DC_name_Xref]]),0)</f>
        <v>0</v>
      </c>
      <c r="M11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69" s="3">
        <f>IFERROR(INDEX(Table3[#All],MATCH(Table1[[#This Row],[Key_Year_Week_Brand]],Table3[[#All],[Key_Year_Week_Brand]],0),MATCH(Table1[[#This Row],[DC_name_Xref]],Table3[#Headers],0)),0)</f>
        <v>0</v>
      </c>
      <c r="O1169">
        <f>IFERROR(INDEX(Table35[#All],MATCH(Table1[[#This Row],[Key_Year_Week_Brand]],Table35[[#All],[Key_Year_Month_Brand]],0),MATCH(Table1[[#This Row],[DC_name_Xref]],Table35[#Headers],0)),0)</f>
        <v>0</v>
      </c>
    </row>
    <row r="1170" spans="1:15" x14ac:dyDescent="0.3">
      <c r="A1170" s="19" t="str">
        <f>Table1[[#This Row],[Year_Week]]&amp;"-"&amp;Table1[[#This Row],[DC_name_Xref]]</f>
        <v>202345-OCC</v>
      </c>
      <c r="B1170" s="19" t="str">
        <f>Table1[[#This Row],[Fiscal_Year]]*100+Table1[[#This Row],[Fiscal_Week]] &amp; "-" &amp;Table1[[#This Row],[BRAND]]</f>
        <v>202345-BR Factory Store</v>
      </c>
      <c r="C1170" t="str">
        <f>Table1[[#This Row],[Fiscal_Year]]&amp;"-"&amp;Table1[[#This Row],[BRAND]]</f>
        <v>2023-BR Factory Store</v>
      </c>
      <c r="D1170">
        <v>2023</v>
      </c>
      <c r="E1170">
        <v>45</v>
      </c>
      <c r="F1170" t="s">
        <v>17</v>
      </c>
      <c r="G1170" t="s">
        <v>11</v>
      </c>
      <c r="H1170">
        <v>7</v>
      </c>
      <c r="I1170">
        <v>0</v>
      </c>
      <c r="J1170" t="str">
        <f>VLOOKUP(H1170,DC_Xref!A:B,2,FALSE)</f>
        <v>OCC</v>
      </c>
      <c r="K1170">
        <f t="shared" si="18"/>
        <v>202345</v>
      </c>
      <c r="L1170">
        <f>IFERROR(Table1[[#This Row],[Demand]]/SUMIFS(Table1[Demand],Table1[Fiscal_Year],Table1[[#This Row],[Fiscal_Year]],Table1[BRAND],Table1[[#This Row],[BRAND]],Table1[DC_name_Xref],Table1[[#This Row],[DC_name_Xref]]),0)</f>
        <v>0</v>
      </c>
      <c r="M11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70" s="3">
        <f>IFERROR(INDEX(Table3[#All],MATCH(Table1[[#This Row],[Key_Year_Week_Brand]],Table3[[#All],[Key_Year_Week_Brand]],0),MATCH(Table1[[#This Row],[DC_name_Xref]],Table3[#Headers],0)),0)</f>
        <v>0</v>
      </c>
      <c r="O1170">
        <f>IFERROR(INDEX(Table35[#All],MATCH(Table1[[#This Row],[Key_Year_Week_Brand]],Table35[[#All],[Key_Year_Month_Brand]],0),MATCH(Table1[[#This Row],[DC_name_Xref]],Table35[#Headers],0)),0)</f>
        <v>0</v>
      </c>
    </row>
    <row r="1171" spans="1:15" x14ac:dyDescent="0.3">
      <c r="A1171" s="19" t="str">
        <f>Table1[[#This Row],[Year_Week]]&amp;"-"&amp;Table1[[#This Row],[DC_name_Xref]]</f>
        <v>202345-OFC</v>
      </c>
      <c r="B1171" s="19" t="str">
        <f>Table1[[#This Row],[Fiscal_Year]]*100+Table1[[#This Row],[Fiscal_Week]] &amp; "-" &amp;Table1[[#This Row],[BRAND]]</f>
        <v>202345-Old Navy</v>
      </c>
      <c r="C1171" t="str">
        <f>Table1[[#This Row],[Fiscal_Year]]&amp;"-"&amp;Table1[[#This Row],[BRAND]]</f>
        <v>2023-Old Navy</v>
      </c>
      <c r="D1171">
        <v>2023</v>
      </c>
      <c r="E1171">
        <v>45</v>
      </c>
      <c r="F1171" t="s">
        <v>20</v>
      </c>
      <c r="G1171" t="s">
        <v>5</v>
      </c>
      <c r="H1171">
        <v>1</v>
      </c>
      <c r="I1171">
        <v>1967001</v>
      </c>
      <c r="J1171" t="str">
        <f>VLOOKUP(H1171,DC_Xref!A:B,2,FALSE)</f>
        <v>OFC</v>
      </c>
      <c r="K1171">
        <f t="shared" si="18"/>
        <v>202345</v>
      </c>
      <c r="L1171">
        <f>IFERROR(Table1[[#This Row],[Demand]]/SUMIFS(Table1[Demand],Table1[Fiscal_Year],Table1[[#This Row],[Fiscal_Year]],Table1[BRAND],Table1[[#This Row],[BRAND]],Table1[DC_name_Xref],Table1[[#This Row],[DC_name_Xref]]),0)</f>
        <v>0.13757731988326288</v>
      </c>
      <c r="M11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0.30096115909547266</v>
      </c>
      <c r="N1171" s="3">
        <f>IFERROR(INDEX(Table3[#All],MATCH(Table1[[#This Row],[Key_Year_Week_Brand]],Table3[[#All],[Key_Year_Week_Brand]],0),MATCH(Table1[[#This Row],[DC_name_Xref]],Table3[#Headers],0)),0)</f>
        <v>0</v>
      </c>
      <c r="O1171">
        <f>IFERROR(INDEX(Table35[#All],MATCH(Table1[[#This Row],[Key_Year_Week_Brand]],Table35[[#All],[Key_Year_Month_Brand]],0),MATCH(Table1[[#This Row],[DC_name_Xref]],Table35[#Headers],0)),0)</f>
        <v>0</v>
      </c>
    </row>
    <row r="1172" spans="1:15" x14ac:dyDescent="0.3">
      <c r="A1172" s="19" t="str">
        <f>Table1[[#This Row],[Year_Week]]&amp;"-"&amp;Table1[[#This Row],[DC_name_Xref]]</f>
        <v>202345-TFC</v>
      </c>
      <c r="B1172" s="19" t="str">
        <f>Table1[[#This Row],[Fiscal_Year]]*100+Table1[[#This Row],[Fiscal_Week]] &amp; "-" &amp;Table1[[#This Row],[BRAND]]</f>
        <v>202345-Old Navy</v>
      </c>
      <c r="C1172" t="str">
        <f>Table1[[#This Row],[Fiscal_Year]]&amp;"-"&amp;Table1[[#This Row],[BRAND]]</f>
        <v>2023-Old Navy</v>
      </c>
      <c r="D1172">
        <v>2023</v>
      </c>
      <c r="E1172">
        <v>45</v>
      </c>
      <c r="F1172" t="s">
        <v>20</v>
      </c>
      <c r="G1172" t="s">
        <v>21</v>
      </c>
      <c r="H1172">
        <v>2</v>
      </c>
      <c r="I1172">
        <v>1570915</v>
      </c>
      <c r="J1172" t="str">
        <f>VLOOKUP(H1172,DC_Xref!A:B,2,FALSE)</f>
        <v>TFC</v>
      </c>
      <c r="K1172">
        <f t="shared" si="18"/>
        <v>202345</v>
      </c>
      <c r="L1172">
        <f>IFERROR(Table1[[#This Row],[Demand]]/SUMIFS(Table1[Demand],Table1[Fiscal_Year],Table1[[#This Row],[Fiscal_Year]],Table1[BRAND],Table1[[#This Row],[BRAND]],Table1[DC_name_Xref],Table1[[#This Row],[DC_name_Xref]]),0)</f>
        <v>0.1963043058824</v>
      </c>
      <c r="M11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0.16845176883505619</v>
      </c>
      <c r="N1172" s="3">
        <f>IFERROR(INDEX(Table3[#All],MATCH(Table1[[#This Row],[Key_Year_Week_Brand]],Table3[[#All],[Key_Year_Week_Brand]],0),MATCH(Table1[[#This Row],[DC_name_Xref]],Table3[#Headers],0)),0)</f>
        <v>0</v>
      </c>
      <c r="O1172">
        <f>IFERROR(INDEX(Table35[#All],MATCH(Table1[[#This Row],[Key_Year_Week_Brand]],Table35[[#All],[Key_Year_Month_Brand]],0),MATCH(Table1[[#This Row],[DC_name_Xref]],Table35[#Headers],0)),0)</f>
        <v>0</v>
      </c>
    </row>
    <row r="1173" spans="1:15" x14ac:dyDescent="0.3">
      <c r="A1173" s="19" t="str">
        <f>Table1[[#This Row],[Year_Week]]&amp;"-"&amp;Table1[[#This Row],[DC_name_Xref]]</f>
        <v>202345-WFC</v>
      </c>
      <c r="B1173" s="19" t="str">
        <f>Table1[[#This Row],[Fiscal_Year]]*100+Table1[[#This Row],[Fiscal_Week]] &amp; "-" &amp;Table1[[#This Row],[BRAND]]</f>
        <v>202345-Old Navy</v>
      </c>
      <c r="C1173" t="str">
        <f>Table1[[#This Row],[Fiscal_Year]]&amp;"-"&amp;Table1[[#This Row],[BRAND]]</f>
        <v>2023-Old Navy</v>
      </c>
      <c r="D1173">
        <v>2023</v>
      </c>
      <c r="E1173">
        <v>45</v>
      </c>
      <c r="F1173" t="s">
        <v>20</v>
      </c>
      <c r="G1173" t="s">
        <v>7</v>
      </c>
      <c r="H1173">
        <v>3</v>
      </c>
      <c r="I1173">
        <v>1491576</v>
      </c>
      <c r="J1173" t="str">
        <f>VLOOKUP(H1173,DC_Xref!A:B,2,FALSE)</f>
        <v>WFC</v>
      </c>
      <c r="K1173">
        <f t="shared" si="18"/>
        <v>202345</v>
      </c>
      <c r="L1173">
        <f>IFERROR(Table1[[#This Row],[Demand]]/SUMIFS(Table1[Demand],Table1[Fiscal_Year],Table1[[#This Row],[Fiscal_Year]],Table1[BRAND],Table1[[#This Row],[BRAND]],Table1[DC_name_Xref],Table1[[#This Row],[DC_name_Xref]]),0)</f>
        <v>0.15682449882852864</v>
      </c>
      <c r="M11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0.20020927518621856</v>
      </c>
      <c r="N1173" s="3">
        <f>IFERROR(INDEX(Table3[#All],MATCH(Table1[[#This Row],[Key_Year_Week_Brand]],Table3[[#All],[Key_Year_Week_Brand]],0),MATCH(Table1[[#This Row],[DC_name_Xref]],Table3[#Headers],0)),0)</f>
        <v>0</v>
      </c>
      <c r="O1173">
        <f>IFERROR(INDEX(Table35[#All],MATCH(Table1[[#This Row],[Key_Year_Week_Brand]],Table35[[#All],[Key_Year_Month_Brand]],0),MATCH(Table1[[#This Row],[DC_name_Xref]],Table35[#Headers],0)),0)</f>
        <v>0</v>
      </c>
    </row>
    <row r="1174" spans="1:15" x14ac:dyDescent="0.3">
      <c r="A1174" s="19" t="str">
        <f>Table1[[#This Row],[Year_Week]]&amp;"-"&amp;Table1[[#This Row],[DC_name_Xref]]</f>
        <v>202345-EAO</v>
      </c>
      <c r="B1174" s="19" t="str">
        <f>Table1[[#This Row],[Fiscal_Year]]*100+Table1[[#This Row],[Fiscal_Week]] &amp; "-" &amp;Table1[[#This Row],[BRAND]]</f>
        <v>202345-Old Navy</v>
      </c>
      <c r="C1174" t="str">
        <f>Table1[[#This Row],[Fiscal_Year]]&amp;"-"&amp;Table1[[#This Row],[BRAND]]</f>
        <v>2023-Old Navy</v>
      </c>
      <c r="D1174">
        <v>2023</v>
      </c>
      <c r="E1174">
        <v>45</v>
      </c>
      <c r="F1174" t="s">
        <v>20</v>
      </c>
      <c r="G1174" t="s">
        <v>8</v>
      </c>
      <c r="H1174">
        <v>4</v>
      </c>
      <c r="I1174">
        <v>1711003</v>
      </c>
      <c r="J1174" t="str">
        <f>VLOOKUP(H1174,DC_Xref!A:B,2,FALSE)</f>
        <v>EAO</v>
      </c>
      <c r="K1174">
        <f t="shared" si="18"/>
        <v>202345</v>
      </c>
      <c r="L1174">
        <f>IFERROR(Table1[[#This Row],[Demand]]/SUMIFS(Table1[Demand],Table1[Fiscal_Year],Table1[[#This Row],[Fiscal_Year]],Table1[BRAND],Table1[[#This Row],[BRAND]],Table1[DC_name_Xref],Table1[[#This Row],[DC_name_Xref]]),0)</f>
        <v>0.10901659999420193</v>
      </c>
      <c r="M11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0.33037779688325258</v>
      </c>
      <c r="N1174" s="3">
        <f>IFERROR(INDEX(Table3[#All],MATCH(Table1[[#This Row],[Key_Year_Week_Brand]],Table3[[#All],[Key_Year_Week_Brand]],0),MATCH(Table1[[#This Row],[DC_name_Xref]],Table3[#Headers],0)),0)</f>
        <v>0.21</v>
      </c>
      <c r="O1174">
        <f>IFERROR(INDEX(Table35[#All],MATCH(Table1[[#This Row],[Key_Year_Week_Brand]],Table35[[#All],[Key_Year_Month_Brand]],0),MATCH(Table1[[#This Row],[DC_name_Xref]],Table35[#Headers],0)),0)</f>
        <v>1415503.95</v>
      </c>
    </row>
    <row r="1175" spans="1:15" x14ac:dyDescent="0.3">
      <c r="A1175" s="19" t="str">
        <f>Table1[[#This Row],[Year_Week]]&amp;"-"&amp;Table1[[#This Row],[DC_name_Xref]]</f>
        <v>202345-FFC-ODC</v>
      </c>
      <c r="B1175" s="19" t="str">
        <f>Table1[[#This Row],[Fiscal_Year]]*100+Table1[[#This Row],[Fiscal_Week]] &amp; "-" &amp;Table1[[#This Row],[BRAND]]</f>
        <v>202345-Old Navy</v>
      </c>
      <c r="C1175" t="str">
        <f>Table1[[#This Row],[Fiscal_Year]]&amp;"-"&amp;Table1[[#This Row],[BRAND]]</f>
        <v>2023-Old Navy</v>
      </c>
      <c r="D1175">
        <v>2023</v>
      </c>
      <c r="E1175">
        <v>45</v>
      </c>
      <c r="F1175" t="s">
        <v>20</v>
      </c>
      <c r="G1175" t="s">
        <v>23</v>
      </c>
      <c r="H1175">
        <v>5</v>
      </c>
      <c r="I1175">
        <v>0</v>
      </c>
      <c r="J1175" t="str">
        <f>VLOOKUP(H1175,DC_Xref!A:B,2,FALSE)</f>
        <v>FFC-ODC</v>
      </c>
      <c r="K1175">
        <f t="shared" si="18"/>
        <v>202345</v>
      </c>
      <c r="L1175">
        <f>IFERROR(Table1[[#This Row],[Demand]]/SUMIFS(Table1[Demand],Table1[Fiscal_Year],Table1[[#This Row],[Fiscal_Year]],Table1[BRAND],Table1[[#This Row],[BRAND]],Table1[DC_name_Xref],Table1[[#This Row],[DC_name_Xref]]),0)</f>
        <v>0</v>
      </c>
      <c r="M11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75" s="3">
        <f>IFERROR(INDEX(Table3[#All],MATCH(Table1[[#This Row],[Key_Year_Week_Brand]],Table3[[#All],[Key_Year_Week_Brand]],0),MATCH(Table1[[#This Row],[DC_name_Xref]],Table3[#Headers],0)),0)</f>
        <v>0</v>
      </c>
      <c r="O1175">
        <f>IFERROR(INDEX(Table35[#All],MATCH(Table1[[#This Row],[Key_Year_Week_Brand]],Table35[[#All],[Key_Year_Month_Brand]],0),MATCH(Table1[[#This Row],[DC_name_Xref]],Table35[#Headers],0)),0)</f>
        <v>0</v>
      </c>
    </row>
    <row r="1176" spans="1:15" x14ac:dyDescent="0.3">
      <c r="A1176" s="19" t="str">
        <f>Table1[[#This Row],[Year_Week]]&amp;"-"&amp;Table1[[#This Row],[DC_name_Xref]]</f>
        <v>202345-WEO</v>
      </c>
      <c r="B1176" s="19" t="str">
        <f>Table1[[#This Row],[Fiscal_Year]]*100+Table1[[#This Row],[Fiscal_Week]] &amp; "-" &amp;Table1[[#This Row],[BRAND]]</f>
        <v>202345-Old Navy</v>
      </c>
      <c r="C1176" t="str">
        <f>Table1[[#This Row],[Fiscal_Year]]&amp;"-"&amp;Table1[[#This Row],[BRAND]]</f>
        <v>2023-Old Navy</v>
      </c>
      <c r="D1176">
        <v>2023</v>
      </c>
      <c r="E1176">
        <v>45</v>
      </c>
      <c r="F1176" t="s">
        <v>20</v>
      </c>
      <c r="G1176" t="s">
        <v>10</v>
      </c>
      <c r="H1176">
        <v>6</v>
      </c>
      <c r="I1176">
        <v>0</v>
      </c>
      <c r="J1176" t="str">
        <f>VLOOKUP(H1176,DC_Xref!A:B,2,FALSE)</f>
        <v>WEO</v>
      </c>
      <c r="K1176">
        <f t="shared" si="18"/>
        <v>202345</v>
      </c>
      <c r="L1176">
        <f>IFERROR(Table1[[#This Row],[Demand]]/SUMIFS(Table1[Demand],Table1[Fiscal_Year],Table1[[#This Row],[Fiscal_Year]],Table1[BRAND],Table1[[#This Row],[BRAND]],Table1[DC_name_Xref],Table1[[#This Row],[DC_name_Xref]]),0)</f>
        <v>0</v>
      </c>
      <c r="M11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76" s="3">
        <f>IFERROR(INDEX(Table3[#All],MATCH(Table1[[#This Row],[Key_Year_Week_Brand]],Table3[[#All],[Key_Year_Week_Brand]],0),MATCH(Table1[[#This Row],[DC_name_Xref]],Table3[#Headers],0)),0)</f>
        <v>0.08</v>
      </c>
      <c r="O1176">
        <f>IFERROR(INDEX(Table35[#All],MATCH(Table1[[#This Row],[Key_Year_Week_Brand]],Table35[[#All],[Key_Year_Month_Brand]],0),MATCH(Table1[[#This Row],[DC_name_Xref]],Table35[#Headers],0)),0)</f>
        <v>539239.6</v>
      </c>
    </row>
    <row r="1177" spans="1:15" x14ac:dyDescent="0.3">
      <c r="A1177" s="19" t="str">
        <f>Table1[[#This Row],[Year_Week]]&amp;"-"&amp;Table1[[#This Row],[DC_name_Xref]]</f>
        <v>202345-OCC</v>
      </c>
      <c r="B1177" s="19" t="str">
        <f>Table1[[#This Row],[Fiscal_Year]]*100+Table1[[#This Row],[Fiscal_Week]] &amp; "-" &amp;Table1[[#This Row],[BRAND]]</f>
        <v>202345-Old Navy</v>
      </c>
      <c r="C1177" t="str">
        <f>Table1[[#This Row],[Fiscal_Year]]&amp;"-"&amp;Table1[[#This Row],[BRAND]]</f>
        <v>2023-Old Navy</v>
      </c>
      <c r="D1177">
        <v>2023</v>
      </c>
      <c r="E1177">
        <v>45</v>
      </c>
      <c r="F1177" t="s">
        <v>20</v>
      </c>
      <c r="G1177" t="s">
        <v>11</v>
      </c>
      <c r="H1177">
        <v>7</v>
      </c>
      <c r="I1177">
        <v>0</v>
      </c>
      <c r="J1177" t="str">
        <f>VLOOKUP(H1177,DC_Xref!A:B,2,FALSE)</f>
        <v>OCC</v>
      </c>
      <c r="K1177">
        <f t="shared" si="18"/>
        <v>202345</v>
      </c>
      <c r="L1177">
        <f>IFERROR(Table1[[#This Row],[Demand]]/SUMIFS(Table1[Demand],Table1[Fiscal_Year],Table1[[#This Row],[Fiscal_Year]],Table1[BRAND],Table1[[#This Row],[BRAND]],Table1[DC_name_Xref],Table1[[#This Row],[DC_name_Xref]]),0)</f>
        <v>0</v>
      </c>
      <c r="M11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77" s="3">
        <f>IFERROR(INDEX(Table3[#All],MATCH(Table1[[#This Row],[Key_Year_Week_Brand]],Table3[[#All],[Key_Year_Week_Brand]],0),MATCH(Table1[[#This Row],[DC_name_Xref]],Table3[#Headers],0)),0)</f>
        <v>0.71</v>
      </c>
      <c r="O1177">
        <f>IFERROR(INDEX(Table35[#All],MATCH(Table1[[#This Row],[Key_Year_Week_Brand]],Table35[[#All],[Key_Year_Month_Brand]],0),MATCH(Table1[[#This Row],[DC_name_Xref]],Table35[#Headers],0)),0)</f>
        <v>4785751.45</v>
      </c>
    </row>
    <row r="1178" spans="1:15" x14ac:dyDescent="0.3">
      <c r="A1178" s="19" t="str">
        <f>Table1[[#This Row],[Year_Week]]&amp;"-"&amp;Table1[[#This Row],[DC_name_Xref]]</f>
        <v>202346-OFC</v>
      </c>
      <c r="B1178" s="19" t="str">
        <f>Table1[[#This Row],[Fiscal_Year]]*100+Table1[[#This Row],[Fiscal_Week]] &amp; "-" &amp;Table1[[#This Row],[BRAND]]</f>
        <v>202346-Old Navy</v>
      </c>
      <c r="C1178" t="str">
        <f>Table1[[#This Row],[Fiscal_Year]]&amp;"-"&amp;Table1[[#This Row],[BRAND]]</f>
        <v>2023-Old Navy</v>
      </c>
      <c r="D1178">
        <v>2023</v>
      </c>
      <c r="E1178">
        <v>46</v>
      </c>
      <c r="F1178" t="s">
        <v>20</v>
      </c>
      <c r="G1178" t="s">
        <v>5</v>
      </c>
      <c r="H1178">
        <v>1</v>
      </c>
      <c r="I1178">
        <v>1701949</v>
      </c>
      <c r="J1178" t="str">
        <f>VLOOKUP(H1178,DC_Xref!A:B,2,FALSE)</f>
        <v>OFC</v>
      </c>
      <c r="K1178">
        <f t="shared" si="18"/>
        <v>202346</v>
      </c>
      <c r="L1178">
        <f>IFERROR(Table1[[#This Row],[Demand]]/SUMIFS(Table1[Demand],Table1[Fiscal_Year],Table1[[#This Row],[Fiscal_Year]],Table1[BRAND],Table1[[#This Row],[BRAND]],Table1[DC_name_Xref],Table1[[#This Row],[DC_name_Xref]]),0)</f>
        <v>0.11903887288211819</v>
      </c>
      <c r="M11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0.30096115909547266</v>
      </c>
      <c r="N1178" s="3">
        <f>IFERROR(INDEX(Table3[#All],MATCH(Table1[[#This Row],[Key_Year_Week_Brand]],Table3[[#All],[Key_Year_Week_Brand]],0),MATCH(Table1[[#This Row],[DC_name_Xref]],Table3[#Headers],0)),0)</f>
        <v>0</v>
      </c>
      <c r="O1178">
        <f>IFERROR(INDEX(Table35[#All],MATCH(Table1[[#This Row],[Key_Year_Week_Brand]],Table35[[#All],[Key_Year_Month_Brand]],0),MATCH(Table1[[#This Row],[DC_name_Xref]],Table35[#Headers],0)),0)</f>
        <v>0</v>
      </c>
    </row>
    <row r="1179" spans="1:15" x14ac:dyDescent="0.3">
      <c r="A1179" s="19" t="str">
        <f>Table1[[#This Row],[Year_Week]]&amp;"-"&amp;Table1[[#This Row],[DC_name_Xref]]</f>
        <v>202346-TFC</v>
      </c>
      <c r="B1179" s="19" t="str">
        <f>Table1[[#This Row],[Fiscal_Year]]*100+Table1[[#This Row],[Fiscal_Week]] &amp; "-" &amp;Table1[[#This Row],[BRAND]]</f>
        <v>202346-Old Navy</v>
      </c>
      <c r="C1179" t="str">
        <f>Table1[[#This Row],[Fiscal_Year]]&amp;"-"&amp;Table1[[#This Row],[BRAND]]</f>
        <v>2023-Old Navy</v>
      </c>
      <c r="D1179">
        <v>2023</v>
      </c>
      <c r="E1179">
        <v>46</v>
      </c>
      <c r="F1179" t="s">
        <v>20</v>
      </c>
      <c r="G1179" t="s">
        <v>21</v>
      </c>
      <c r="H1179">
        <v>2</v>
      </c>
      <c r="I1179">
        <v>1039051</v>
      </c>
      <c r="J1179" t="str">
        <f>VLOOKUP(H1179,DC_Xref!A:B,2,FALSE)</f>
        <v>TFC</v>
      </c>
      <c r="K1179">
        <f t="shared" si="18"/>
        <v>202346</v>
      </c>
      <c r="L1179">
        <f>IFERROR(Table1[[#This Row],[Demand]]/SUMIFS(Table1[Demand],Table1[Fiscal_Year],Table1[[#This Row],[Fiscal_Year]],Table1[BRAND],Table1[[#This Row],[BRAND]],Table1[DC_name_Xref],Table1[[#This Row],[DC_name_Xref]]),0)</f>
        <v>0.12984164345710214</v>
      </c>
      <c r="M11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0.16845176883505619</v>
      </c>
      <c r="N1179" s="3">
        <f>IFERROR(INDEX(Table3[#All],MATCH(Table1[[#This Row],[Key_Year_Week_Brand]],Table3[[#All],[Key_Year_Week_Brand]],0),MATCH(Table1[[#This Row],[DC_name_Xref]],Table3[#Headers],0)),0)</f>
        <v>0</v>
      </c>
      <c r="O1179">
        <f>IFERROR(INDEX(Table35[#All],MATCH(Table1[[#This Row],[Key_Year_Week_Brand]],Table35[[#All],[Key_Year_Month_Brand]],0),MATCH(Table1[[#This Row],[DC_name_Xref]],Table35[#Headers],0)),0)</f>
        <v>0</v>
      </c>
    </row>
    <row r="1180" spans="1:15" x14ac:dyDescent="0.3">
      <c r="A1180" s="19" t="str">
        <f>Table1[[#This Row],[Year_Week]]&amp;"-"&amp;Table1[[#This Row],[DC_name_Xref]]</f>
        <v>202346-WFC</v>
      </c>
      <c r="B1180" s="19" t="str">
        <f>Table1[[#This Row],[Fiscal_Year]]*100+Table1[[#This Row],[Fiscal_Week]] &amp; "-" &amp;Table1[[#This Row],[BRAND]]</f>
        <v>202346-Old Navy</v>
      </c>
      <c r="C1180" t="str">
        <f>Table1[[#This Row],[Fiscal_Year]]&amp;"-"&amp;Table1[[#This Row],[BRAND]]</f>
        <v>2023-Old Navy</v>
      </c>
      <c r="D1180">
        <v>2023</v>
      </c>
      <c r="E1180">
        <v>46</v>
      </c>
      <c r="F1180" t="s">
        <v>20</v>
      </c>
      <c r="G1180" t="s">
        <v>7</v>
      </c>
      <c r="H1180">
        <v>3</v>
      </c>
      <c r="I1180">
        <v>1062970</v>
      </c>
      <c r="J1180" t="str">
        <f>VLOOKUP(H1180,DC_Xref!A:B,2,FALSE)</f>
        <v>WFC</v>
      </c>
      <c r="K1180">
        <f t="shared" si="18"/>
        <v>202346</v>
      </c>
      <c r="L1180">
        <f>IFERROR(Table1[[#This Row],[Demand]]/SUMIFS(Table1[Demand],Table1[Fiscal_Year],Table1[[#This Row],[Fiscal_Year]],Table1[BRAND],Table1[[#This Row],[BRAND]],Table1[DC_name_Xref],Table1[[#This Row],[DC_name_Xref]]),0)</f>
        <v>0.11176080703883751</v>
      </c>
      <c r="M11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0.20020927518621856</v>
      </c>
      <c r="N1180" s="3">
        <f>IFERROR(INDEX(Table3[#All],MATCH(Table1[[#This Row],[Key_Year_Week_Brand]],Table3[[#All],[Key_Year_Week_Brand]],0),MATCH(Table1[[#This Row],[DC_name_Xref]],Table3[#Headers],0)),0)</f>
        <v>0</v>
      </c>
      <c r="O1180">
        <f>IFERROR(INDEX(Table35[#All],MATCH(Table1[[#This Row],[Key_Year_Week_Brand]],Table35[[#All],[Key_Year_Month_Brand]],0),MATCH(Table1[[#This Row],[DC_name_Xref]],Table35[#Headers],0)),0)</f>
        <v>0</v>
      </c>
    </row>
    <row r="1181" spans="1:15" x14ac:dyDescent="0.3">
      <c r="A1181" s="19" t="str">
        <f>Table1[[#This Row],[Year_Week]]&amp;"-"&amp;Table1[[#This Row],[DC_name_Xref]]</f>
        <v>202346-EAO</v>
      </c>
      <c r="B1181" s="19" t="str">
        <f>Table1[[#This Row],[Fiscal_Year]]*100+Table1[[#This Row],[Fiscal_Week]] &amp; "-" &amp;Table1[[#This Row],[BRAND]]</f>
        <v>202346-Old Navy</v>
      </c>
      <c r="C1181" t="str">
        <f>Table1[[#This Row],[Fiscal_Year]]&amp;"-"&amp;Table1[[#This Row],[BRAND]]</f>
        <v>2023-Old Navy</v>
      </c>
      <c r="D1181">
        <v>2023</v>
      </c>
      <c r="E1181">
        <v>46</v>
      </c>
      <c r="F1181" t="s">
        <v>20</v>
      </c>
      <c r="G1181" t="s">
        <v>8</v>
      </c>
      <c r="H1181">
        <v>4</v>
      </c>
      <c r="I1181">
        <v>1820260</v>
      </c>
      <c r="J1181" t="str">
        <f>VLOOKUP(H1181,DC_Xref!A:B,2,FALSE)</f>
        <v>EAO</v>
      </c>
      <c r="K1181">
        <f t="shared" si="18"/>
        <v>202346</v>
      </c>
      <c r="L1181">
        <f>IFERROR(Table1[[#This Row],[Demand]]/SUMIFS(Table1[Demand],Table1[Fiscal_Year],Table1[[#This Row],[Fiscal_Year]],Table1[BRAND],Table1[[#This Row],[BRAND]],Table1[DC_name_Xref],Table1[[#This Row],[DC_name_Xref]]),0)</f>
        <v>0.11597791254921587</v>
      </c>
      <c r="M11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0.33037779688325258</v>
      </c>
      <c r="N1181" s="3">
        <f>IFERROR(INDEX(Table3[#All],MATCH(Table1[[#This Row],[Key_Year_Week_Brand]],Table3[[#All],[Key_Year_Week_Brand]],0),MATCH(Table1[[#This Row],[DC_name_Xref]],Table3[#Headers],0)),0)</f>
        <v>0.21</v>
      </c>
      <c r="O1181">
        <f>IFERROR(INDEX(Table35[#All],MATCH(Table1[[#This Row],[Key_Year_Week_Brand]],Table35[[#All],[Key_Year_Month_Brand]],0),MATCH(Table1[[#This Row],[DC_name_Xref]],Table35[#Headers],0)),0)</f>
        <v>1181088.3</v>
      </c>
    </row>
    <row r="1182" spans="1:15" x14ac:dyDescent="0.3">
      <c r="A1182" s="19" t="str">
        <f>Table1[[#This Row],[Year_Week]]&amp;"-"&amp;Table1[[#This Row],[DC_name_Xref]]</f>
        <v>202346-FFC-ODC</v>
      </c>
      <c r="B1182" s="19" t="str">
        <f>Table1[[#This Row],[Fiscal_Year]]*100+Table1[[#This Row],[Fiscal_Week]] &amp; "-" &amp;Table1[[#This Row],[BRAND]]</f>
        <v>202346-Old Navy</v>
      </c>
      <c r="C1182" t="str">
        <f>Table1[[#This Row],[Fiscal_Year]]&amp;"-"&amp;Table1[[#This Row],[BRAND]]</f>
        <v>2023-Old Navy</v>
      </c>
      <c r="D1182">
        <v>2023</v>
      </c>
      <c r="E1182">
        <v>46</v>
      </c>
      <c r="F1182" t="s">
        <v>20</v>
      </c>
      <c r="G1182" t="s">
        <v>23</v>
      </c>
      <c r="H1182">
        <v>5</v>
      </c>
      <c r="I1182">
        <v>0</v>
      </c>
      <c r="J1182" t="str">
        <f>VLOOKUP(H1182,DC_Xref!A:B,2,FALSE)</f>
        <v>FFC-ODC</v>
      </c>
      <c r="K1182">
        <f t="shared" si="18"/>
        <v>202346</v>
      </c>
      <c r="L1182">
        <f>IFERROR(Table1[[#This Row],[Demand]]/SUMIFS(Table1[Demand],Table1[Fiscal_Year],Table1[[#This Row],[Fiscal_Year]],Table1[BRAND],Table1[[#This Row],[BRAND]],Table1[DC_name_Xref],Table1[[#This Row],[DC_name_Xref]]),0)</f>
        <v>0</v>
      </c>
      <c r="M11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82" s="3">
        <f>IFERROR(INDEX(Table3[#All],MATCH(Table1[[#This Row],[Key_Year_Week_Brand]],Table3[[#All],[Key_Year_Week_Brand]],0),MATCH(Table1[[#This Row],[DC_name_Xref]],Table3[#Headers],0)),0)</f>
        <v>0</v>
      </c>
      <c r="O1182">
        <f>IFERROR(INDEX(Table35[#All],MATCH(Table1[[#This Row],[Key_Year_Week_Brand]],Table35[[#All],[Key_Year_Month_Brand]],0),MATCH(Table1[[#This Row],[DC_name_Xref]],Table35[#Headers],0)),0)</f>
        <v>0</v>
      </c>
    </row>
    <row r="1183" spans="1:15" x14ac:dyDescent="0.3">
      <c r="A1183" s="19" t="str">
        <f>Table1[[#This Row],[Year_Week]]&amp;"-"&amp;Table1[[#This Row],[DC_name_Xref]]</f>
        <v>202346-WEO</v>
      </c>
      <c r="B1183" s="19" t="str">
        <f>Table1[[#This Row],[Fiscal_Year]]*100+Table1[[#This Row],[Fiscal_Week]] &amp; "-" &amp;Table1[[#This Row],[BRAND]]</f>
        <v>202346-Old Navy</v>
      </c>
      <c r="C1183" t="str">
        <f>Table1[[#This Row],[Fiscal_Year]]&amp;"-"&amp;Table1[[#This Row],[BRAND]]</f>
        <v>2023-Old Navy</v>
      </c>
      <c r="D1183">
        <v>2023</v>
      </c>
      <c r="E1183">
        <v>46</v>
      </c>
      <c r="F1183" t="s">
        <v>20</v>
      </c>
      <c r="G1183" t="s">
        <v>10</v>
      </c>
      <c r="H1183">
        <v>6</v>
      </c>
      <c r="I1183">
        <v>0</v>
      </c>
      <c r="J1183" t="str">
        <f>VLOOKUP(H1183,DC_Xref!A:B,2,FALSE)</f>
        <v>WEO</v>
      </c>
      <c r="K1183">
        <f t="shared" si="18"/>
        <v>202346</v>
      </c>
      <c r="L1183">
        <f>IFERROR(Table1[[#This Row],[Demand]]/SUMIFS(Table1[Demand],Table1[Fiscal_Year],Table1[[#This Row],[Fiscal_Year]],Table1[BRAND],Table1[[#This Row],[BRAND]],Table1[DC_name_Xref],Table1[[#This Row],[DC_name_Xref]]),0)</f>
        <v>0</v>
      </c>
      <c r="M11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83" s="3">
        <f>IFERROR(INDEX(Table3[#All],MATCH(Table1[[#This Row],[Key_Year_Week_Brand]],Table3[[#All],[Key_Year_Week_Brand]],0),MATCH(Table1[[#This Row],[DC_name_Xref]],Table3[#Headers],0)),0)</f>
        <v>0.08</v>
      </c>
      <c r="O1183">
        <f>IFERROR(INDEX(Table35[#All],MATCH(Table1[[#This Row],[Key_Year_Week_Brand]],Table35[[#All],[Key_Year_Month_Brand]],0),MATCH(Table1[[#This Row],[DC_name_Xref]],Table35[#Headers],0)),0)</f>
        <v>449938.4</v>
      </c>
    </row>
    <row r="1184" spans="1:15" x14ac:dyDescent="0.3">
      <c r="A1184" s="19" t="str">
        <f>Table1[[#This Row],[Year_Week]]&amp;"-"&amp;Table1[[#This Row],[DC_name_Xref]]</f>
        <v>202346-OCC</v>
      </c>
      <c r="B1184" s="19" t="str">
        <f>Table1[[#This Row],[Fiscal_Year]]*100+Table1[[#This Row],[Fiscal_Week]] &amp; "-" &amp;Table1[[#This Row],[BRAND]]</f>
        <v>202346-Old Navy</v>
      </c>
      <c r="C1184" t="str">
        <f>Table1[[#This Row],[Fiscal_Year]]&amp;"-"&amp;Table1[[#This Row],[BRAND]]</f>
        <v>2023-Old Navy</v>
      </c>
      <c r="D1184">
        <v>2023</v>
      </c>
      <c r="E1184">
        <v>46</v>
      </c>
      <c r="F1184" t="s">
        <v>20</v>
      </c>
      <c r="G1184" t="s">
        <v>11</v>
      </c>
      <c r="H1184">
        <v>7</v>
      </c>
      <c r="I1184">
        <v>0</v>
      </c>
      <c r="J1184" t="str">
        <f>VLOOKUP(H1184,DC_Xref!A:B,2,FALSE)</f>
        <v>OCC</v>
      </c>
      <c r="K1184">
        <f t="shared" si="18"/>
        <v>202346</v>
      </c>
      <c r="L1184">
        <f>IFERROR(Table1[[#This Row],[Demand]]/SUMIFS(Table1[Demand],Table1[Fiscal_Year],Table1[[#This Row],[Fiscal_Year]],Table1[BRAND],Table1[[#This Row],[BRAND]],Table1[DC_name_Xref],Table1[[#This Row],[DC_name_Xref]]),0)</f>
        <v>0</v>
      </c>
      <c r="M11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84" s="3">
        <f>IFERROR(INDEX(Table3[#All],MATCH(Table1[[#This Row],[Key_Year_Week_Brand]],Table3[[#All],[Key_Year_Week_Brand]],0),MATCH(Table1[[#This Row],[DC_name_Xref]],Table3[#Headers],0)),0)</f>
        <v>0.71</v>
      </c>
      <c r="O1184">
        <f>IFERROR(INDEX(Table35[#All],MATCH(Table1[[#This Row],[Key_Year_Week_Brand]],Table35[[#All],[Key_Year_Month_Brand]],0),MATCH(Table1[[#This Row],[DC_name_Xref]],Table35[#Headers],0)),0)</f>
        <v>3993203.3</v>
      </c>
    </row>
    <row r="1185" spans="1:15" x14ac:dyDescent="0.3">
      <c r="A1185" s="19" t="str">
        <f>Table1[[#This Row],[Year_Week]]&amp;"-"&amp;Table1[[#This Row],[DC_name_Xref]]</f>
        <v>202346-OFC</v>
      </c>
      <c r="B1185" s="19" t="str">
        <f>Table1[[#This Row],[Fiscal_Year]]*100+Table1[[#This Row],[Fiscal_Week]] &amp; "-" &amp;Table1[[#This Row],[BRAND]]</f>
        <v>202346-Gap</v>
      </c>
      <c r="C1185" t="str">
        <f>Table1[[#This Row],[Fiscal_Year]]&amp;"-"&amp;Table1[[#This Row],[BRAND]]</f>
        <v>2023-Gap</v>
      </c>
      <c r="D1185">
        <v>2023</v>
      </c>
      <c r="E1185">
        <v>46</v>
      </c>
      <c r="F1185" t="s">
        <v>16</v>
      </c>
      <c r="G1185" t="s">
        <v>5</v>
      </c>
      <c r="H1185">
        <v>1</v>
      </c>
      <c r="I1185">
        <v>1593581</v>
      </c>
      <c r="J1185" t="str">
        <f>VLOOKUP(H1185,DC_Xref!A:B,2,FALSE)</f>
        <v>OFC</v>
      </c>
      <c r="K1185">
        <f t="shared" si="18"/>
        <v>202346</v>
      </c>
      <c r="L1185">
        <f>IFERROR(Table1[[#This Row],[Demand]]/SUMIFS(Table1[Demand],Table1[Fiscal_Year],Table1[[#This Row],[Fiscal_Year]],Table1[BRAND],Table1[[#This Row],[BRAND]],Table1[DC_name_Xref],Table1[[#This Row],[DC_name_Xref]]),0)</f>
        <v>0.1046880726634281</v>
      </c>
      <c r="M11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0.67286142306667829</v>
      </c>
      <c r="N1185" s="3">
        <f>IFERROR(INDEX(Table3[#All],MATCH(Table1[[#This Row],[Key_Year_Week_Brand]],Table3[[#All],[Key_Year_Week_Brand]],0),MATCH(Table1[[#This Row],[DC_name_Xref]],Table3[#Headers],0)),0)</f>
        <v>0</v>
      </c>
      <c r="O1185">
        <f>IFERROR(INDEX(Table35[#All],MATCH(Table1[[#This Row],[Key_Year_Week_Brand]],Table35[[#All],[Key_Year_Month_Brand]],0),MATCH(Table1[[#This Row],[DC_name_Xref]],Table35[#Headers],0)),0)</f>
        <v>0</v>
      </c>
    </row>
    <row r="1186" spans="1:15" x14ac:dyDescent="0.3">
      <c r="A1186" s="19" t="str">
        <f>Table1[[#This Row],[Year_Week]]&amp;"-"&amp;Table1[[#This Row],[DC_name_Xref]]</f>
        <v>202346-TFC</v>
      </c>
      <c r="B1186" s="19" t="str">
        <f>Table1[[#This Row],[Fiscal_Year]]*100+Table1[[#This Row],[Fiscal_Week]] &amp; "-" &amp;Table1[[#This Row],[BRAND]]</f>
        <v>202346-Gap</v>
      </c>
      <c r="C1186" t="str">
        <f>Table1[[#This Row],[Fiscal_Year]]&amp;"-"&amp;Table1[[#This Row],[BRAND]]</f>
        <v>2023-Gap</v>
      </c>
      <c r="D1186">
        <v>2023</v>
      </c>
      <c r="E1186">
        <v>46</v>
      </c>
      <c r="F1186" t="s">
        <v>16</v>
      </c>
      <c r="G1186" t="s">
        <v>21</v>
      </c>
      <c r="H1186">
        <v>2</v>
      </c>
      <c r="I1186">
        <v>455</v>
      </c>
      <c r="J1186" t="str">
        <f>VLOOKUP(H1186,DC_Xref!A:B,2,FALSE)</f>
        <v>TFC</v>
      </c>
      <c r="K1186">
        <f t="shared" si="18"/>
        <v>202346</v>
      </c>
      <c r="L1186">
        <f>IFERROR(Table1[[#This Row],[Demand]]/SUMIFS(Table1[Demand],Table1[Fiscal_Year],Table1[[#This Row],[Fiscal_Year]],Table1[BRAND],Table1[[#This Row],[BRAND]],Table1[DC_name_Xref],Table1[[#This Row],[DC_name_Xref]]),0)</f>
        <v>0.13696568332329923</v>
      </c>
      <c r="M11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1.4684133329808906E-4</v>
      </c>
      <c r="N1186" s="3">
        <f>IFERROR(INDEX(Table3[#All],MATCH(Table1[[#This Row],[Key_Year_Week_Brand]],Table3[[#All],[Key_Year_Week_Brand]],0),MATCH(Table1[[#This Row],[DC_name_Xref]],Table3[#Headers],0)),0)</f>
        <v>0.25</v>
      </c>
      <c r="O1186">
        <f>IFERROR(INDEX(Table35[#All],MATCH(Table1[[#This Row],[Key_Year_Week_Brand]],Table35[[#All],[Key_Year_Month_Brand]],0),MATCH(Table1[[#This Row],[DC_name_Xref]],Table35[#Headers],0)),0)</f>
        <v>537993.75</v>
      </c>
    </row>
    <row r="1187" spans="1:15" x14ac:dyDescent="0.3">
      <c r="A1187" s="19" t="str">
        <f>Table1[[#This Row],[Year_Week]]&amp;"-"&amp;Table1[[#This Row],[DC_name_Xref]]</f>
        <v>202346-WFC</v>
      </c>
      <c r="B1187" s="19" t="str">
        <f>Table1[[#This Row],[Fiscal_Year]]*100+Table1[[#This Row],[Fiscal_Week]] &amp; "-" &amp;Table1[[#This Row],[BRAND]]</f>
        <v>202346-Gap</v>
      </c>
      <c r="C1187" t="str">
        <f>Table1[[#This Row],[Fiscal_Year]]&amp;"-"&amp;Table1[[#This Row],[BRAND]]</f>
        <v>2023-Gap</v>
      </c>
      <c r="D1187">
        <v>2023</v>
      </c>
      <c r="E1187">
        <v>46</v>
      </c>
      <c r="F1187" t="s">
        <v>16</v>
      </c>
      <c r="G1187" t="s">
        <v>7</v>
      </c>
      <c r="H1187">
        <v>3</v>
      </c>
      <c r="I1187">
        <v>32071</v>
      </c>
      <c r="J1187" t="str">
        <f>VLOOKUP(H1187,DC_Xref!A:B,2,FALSE)</f>
        <v>WFC</v>
      </c>
      <c r="K1187">
        <f t="shared" si="18"/>
        <v>202346</v>
      </c>
      <c r="L1187">
        <f>IFERROR(Table1[[#This Row],[Demand]]/SUMIFS(Table1[Demand],Table1[Fiscal_Year],Table1[[#This Row],[Fiscal_Year]],Table1[BRAND],Table1[[#This Row],[BRAND]],Table1[DC_name_Xref],Table1[[#This Row],[DC_name_Xref]]),0)</f>
        <v>4.1051615644952355E-2</v>
      </c>
      <c r="M11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3.4532732047099911E-2</v>
      </c>
      <c r="N1187" s="3">
        <f>IFERROR(INDEX(Table3[#All],MATCH(Table1[[#This Row],[Key_Year_Week_Brand]],Table3[[#All],[Key_Year_Week_Brand]],0),MATCH(Table1[[#This Row],[DC_name_Xref]],Table3[#Headers],0)),0)</f>
        <v>0</v>
      </c>
      <c r="O1187">
        <f>IFERROR(INDEX(Table35[#All],MATCH(Table1[[#This Row],[Key_Year_Week_Brand]],Table35[[#All],[Key_Year_Month_Brand]],0),MATCH(Table1[[#This Row],[DC_name_Xref]],Table35[#Headers],0)),0)</f>
        <v>0</v>
      </c>
    </row>
    <row r="1188" spans="1:15" x14ac:dyDescent="0.3">
      <c r="A1188" s="19" t="str">
        <f>Table1[[#This Row],[Year_Week]]&amp;"-"&amp;Table1[[#This Row],[DC_name_Xref]]</f>
        <v>202346-EAO</v>
      </c>
      <c r="B1188" s="19" t="str">
        <f>Table1[[#This Row],[Fiscal_Year]]*100+Table1[[#This Row],[Fiscal_Week]] &amp; "-" &amp;Table1[[#This Row],[BRAND]]</f>
        <v>202346-Gap</v>
      </c>
      <c r="C1188" t="str">
        <f>Table1[[#This Row],[Fiscal_Year]]&amp;"-"&amp;Table1[[#This Row],[BRAND]]</f>
        <v>2023-Gap</v>
      </c>
      <c r="D1188">
        <v>2023</v>
      </c>
      <c r="E1188">
        <v>46</v>
      </c>
      <c r="F1188" t="s">
        <v>16</v>
      </c>
      <c r="G1188" t="s">
        <v>8</v>
      </c>
      <c r="H1188">
        <v>4</v>
      </c>
      <c r="I1188">
        <v>271</v>
      </c>
      <c r="J1188" t="str">
        <f>VLOOKUP(H1188,DC_Xref!A:B,2,FALSE)</f>
        <v>EAO</v>
      </c>
      <c r="K1188">
        <f t="shared" si="18"/>
        <v>202346</v>
      </c>
      <c r="L1188">
        <f>IFERROR(Table1[[#This Row],[Demand]]/SUMIFS(Table1[Demand],Table1[Fiscal_Year],Table1[[#This Row],[Fiscal_Year]],Table1[BRAND],Table1[[#This Row],[BRAND]],Table1[DC_name_Xref],Table1[[#This Row],[DC_name_Xref]]),0)</f>
        <v>9.5321843123461134E-2</v>
      </c>
      <c r="M11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1.2566824520363249E-4</v>
      </c>
      <c r="N1188" s="3">
        <f>IFERROR(INDEX(Table3[#All],MATCH(Table1[[#This Row],[Key_Year_Week_Brand]],Table3[[#All],[Key_Year_Week_Brand]],0),MATCH(Table1[[#This Row],[DC_name_Xref]],Table3[#Headers],0)),0)</f>
        <v>0</v>
      </c>
      <c r="O1188">
        <f>IFERROR(INDEX(Table35[#All],MATCH(Table1[[#This Row],[Key_Year_Week_Brand]],Table35[[#All],[Key_Year_Month_Brand]],0),MATCH(Table1[[#This Row],[DC_name_Xref]],Table35[#Headers],0)),0)</f>
        <v>0</v>
      </c>
    </row>
    <row r="1189" spans="1:15" x14ac:dyDescent="0.3">
      <c r="A1189" s="19" t="str">
        <f>Table1[[#This Row],[Year_Week]]&amp;"-"&amp;Table1[[#This Row],[DC_name_Xref]]</f>
        <v>202346-FFC-ODC</v>
      </c>
      <c r="B1189" s="19" t="str">
        <f>Table1[[#This Row],[Fiscal_Year]]*100+Table1[[#This Row],[Fiscal_Week]] &amp; "-" &amp;Table1[[#This Row],[BRAND]]</f>
        <v>202346-Gap</v>
      </c>
      <c r="C1189" t="str">
        <f>Table1[[#This Row],[Fiscal_Year]]&amp;"-"&amp;Table1[[#This Row],[BRAND]]</f>
        <v>2023-Gap</v>
      </c>
      <c r="D1189">
        <v>2023</v>
      </c>
      <c r="E1189">
        <v>46</v>
      </c>
      <c r="F1189" t="s">
        <v>16</v>
      </c>
      <c r="G1189" t="s">
        <v>23</v>
      </c>
      <c r="H1189">
        <v>5</v>
      </c>
      <c r="I1189">
        <v>0</v>
      </c>
      <c r="J1189" t="str">
        <f>VLOOKUP(H1189,DC_Xref!A:B,2,FALSE)</f>
        <v>FFC-ODC</v>
      </c>
      <c r="K1189">
        <f t="shared" si="18"/>
        <v>202346</v>
      </c>
      <c r="L1189">
        <f>IFERROR(Table1[[#This Row],[Demand]]/SUMIFS(Table1[Demand],Table1[Fiscal_Year],Table1[[#This Row],[Fiscal_Year]],Table1[BRAND],Table1[[#This Row],[BRAND]],Table1[DC_name_Xref],Table1[[#This Row],[DC_name_Xref]]),0)</f>
        <v>0</v>
      </c>
      <c r="M11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89" s="3">
        <f>IFERROR(INDEX(Table3[#All],MATCH(Table1[[#This Row],[Key_Year_Week_Brand]],Table3[[#All],[Key_Year_Week_Brand]],0),MATCH(Table1[[#This Row],[DC_name_Xref]],Table3[#Headers],0)),0)</f>
        <v>0</v>
      </c>
      <c r="O1189">
        <f>IFERROR(INDEX(Table35[#All],MATCH(Table1[[#This Row],[Key_Year_Week_Brand]],Table35[[#All],[Key_Year_Month_Brand]],0),MATCH(Table1[[#This Row],[DC_name_Xref]],Table35[#Headers],0)),0)</f>
        <v>0</v>
      </c>
    </row>
    <row r="1190" spans="1:15" x14ac:dyDescent="0.3">
      <c r="A1190" s="19" t="str">
        <f>Table1[[#This Row],[Year_Week]]&amp;"-"&amp;Table1[[#This Row],[DC_name_Xref]]</f>
        <v>202346-WEO</v>
      </c>
      <c r="B1190" s="19" t="str">
        <f>Table1[[#This Row],[Fiscal_Year]]*100+Table1[[#This Row],[Fiscal_Week]] &amp; "-" &amp;Table1[[#This Row],[BRAND]]</f>
        <v>202346-Gap</v>
      </c>
      <c r="C1190" t="str">
        <f>Table1[[#This Row],[Fiscal_Year]]&amp;"-"&amp;Table1[[#This Row],[BRAND]]</f>
        <v>2023-Gap</v>
      </c>
      <c r="D1190">
        <v>2023</v>
      </c>
      <c r="E1190">
        <v>46</v>
      </c>
      <c r="F1190" t="s">
        <v>16</v>
      </c>
      <c r="G1190" t="s">
        <v>10</v>
      </c>
      <c r="H1190">
        <v>6</v>
      </c>
      <c r="I1190">
        <v>525597</v>
      </c>
      <c r="J1190" t="str">
        <f>VLOOKUP(H1190,DC_Xref!A:B,2,FALSE)</f>
        <v>WEO</v>
      </c>
      <c r="K1190">
        <f t="shared" si="18"/>
        <v>202346</v>
      </c>
      <c r="L1190">
        <f>IFERROR(Table1[[#This Row],[Demand]]/SUMIFS(Table1[Demand],Table1[Fiscal_Year],Table1[[#This Row],[Fiscal_Year]],Table1[BRAND],Table1[[#This Row],[BRAND]],Table1[DC_name_Xref],Table1[[#This Row],[DC_name_Xref]]),0)</f>
        <v>7.9473662404962953E-2</v>
      </c>
      <c r="M11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0.2923333353077201</v>
      </c>
      <c r="N1190" s="3">
        <f>IFERROR(INDEX(Table3[#All],MATCH(Table1[[#This Row],[Key_Year_Week_Brand]],Table3[[#All],[Key_Year_Week_Brand]],0),MATCH(Table1[[#This Row],[DC_name_Xref]],Table3[#Headers],0)),0)</f>
        <v>0.45</v>
      </c>
      <c r="O1190">
        <f>IFERROR(INDEX(Table35[#All],MATCH(Table1[[#This Row],[Key_Year_Week_Brand]],Table35[[#All],[Key_Year_Month_Brand]],0),MATCH(Table1[[#This Row],[DC_name_Xref]],Table35[#Headers],0)),0)</f>
        <v>968388.75</v>
      </c>
    </row>
    <row r="1191" spans="1:15" x14ac:dyDescent="0.3">
      <c r="A1191" s="19" t="str">
        <f>Table1[[#This Row],[Year_Week]]&amp;"-"&amp;Table1[[#This Row],[DC_name_Xref]]</f>
        <v>202346-OCC</v>
      </c>
      <c r="B1191" s="19" t="str">
        <f>Table1[[#This Row],[Fiscal_Year]]*100+Table1[[#This Row],[Fiscal_Week]] &amp; "-" &amp;Table1[[#This Row],[BRAND]]</f>
        <v>202346-Gap</v>
      </c>
      <c r="C1191" t="str">
        <f>Table1[[#This Row],[Fiscal_Year]]&amp;"-"&amp;Table1[[#This Row],[BRAND]]</f>
        <v>2023-Gap</v>
      </c>
      <c r="D1191">
        <v>2023</v>
      </c>
      <c r="E1191">
        <v>46</v>
      </c>
      <c r="F1191" t="s">
        <v>16</v>
      </c>
      <c r="G1191" t="s">
        <v>11</v>
      </c>
      <c r="H1191">
        <v>7</v>
      </c>
      <c r="I1191">
        <v>0</v>
      </c>
      <c r="J1191" t="str">
        <f>VLOOKUP(H1191,DC_Xref!A:B,2,FALSE)</f>
        <v>OCC</v>
      </c>
      <c r="K1191">
        <f t="shared" si="18"/>
        <v>202346</v>
      </c>
      <c r="L1191">
        <f>IFERROR(Table1[[#This Row],[Demand]]/SUMIFS(Table1[Demand],Table1[Fiscal_Year],Table1[[#This Row],[Fiscal_Year]],Table1[BRAND],Table1[[#This Row],[BRAND]],Table1[DC_name_Xref],Table1[[#This Row],[DC_name_Xref]]),0)</f>
        <v>0</v>
      </c>
      <c r="M11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91" s="3">
        <f>IFERROR(INDEX(Table3[#All],MATCH(Table1[[#This Row],[Key_Year_Week_Brand]],Table3[[#All],[Key_Year_Week_Brand]],0),MATCH(Table1[[#This Row],[DC_name_Xref]],Table3[#Headers],0)),0)</f>
        <v>0.3</v>
      </c>
      <c r="O1191">
        <f>IFERROR(INDEX(Table35[#All],MATCH(Table1[[#This Row],[Key_Year_Week_Brand]],Table35[[#All],[Key_Year_Month_Brand]],0),MATCH(Table1[[#This Row],[DC_name_Xref]],Table35[#Headers],0)),0)</f>
        <v>645592.5</v>
      </c>
    </row>
    <row r="1192" spans="1:15" x14ac:dyDescent="0.3">
      <c r="A1192" s="19" t="str">
        <f>Table1[[#This Row],[Year_Week]]&amp;"-"&amp;Table1[[#This Row],[DC_name_Xref]]</f>
        <v>202346-TFC</v>
      </c>
      <c r="B1192" s="19" t="str">
        <f>Table1[[#This Row],[Fiscal_Year]]*100+Table1[[#This Row],[Fiscal_Week]] &amp; "-" &amp;Table1[[#This Row],[BRAND]]</f>
        <v>202346-Banana Republic</v>
      </c>
      <c r="C1192" t="str">
        <f>Table1[[#This Row],[Fiscal_Year]]&amp;"-"&amp;Table1[[#This Row],[BRAND]]</f>
        <v>2023-Banana Republic</v>
      </c>
      <c r="D1192">
        <v>2023</v>
      </c>
      <c r="E1192">
        <v>46</v>
      </c>
      <c r="F1192" t="s">
        <v>18</v>
      </c>
      <c r="G1192" t="s">
        <v>21</v>
      </c>
      <c r="H1192">
        <v>2</v>
      </c>
      <c r="I1192">
        <v>444857</v>
      </c>
      <c r="J1192" t="str">
        <f>VLOOKUP(H1192,DC_Xref!A:B,2,FALSE)</f>
        <v>TFC</v>
      </c>
      <c r="K1192">
        <f t="shared" si="18"/>
        <v>202346</v>
      </c>
      <c r="L1192">
        <f>IFERROR(Table1[[#This Row],[Demand]]/SUMIFS(Table1[Demand],Table1[Fiscal_Year],Table1[[#This Row],[Fiscal_Year]],Table1[BRAND],Table1[[#This Row],[BRAND]],Table1[DC_name_Xref],Table1[[#This Row],[DC_name_Xref]]),0)</f>
        <v>0.1023321282631439</v>
      </c>
      <c r="M11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0.97885631204418555</v>
      </c>
      <c r="N1192" s="3">
        <f>IFERROR(INDEX(Table3[#All],MATCH(Table1[[#This Row],[Key_Year_Week_Brand]],Table3[[#All],[Key_Year_Week_Brand]],0),MATCH(Table1[[#This Row],[DC_name_Xref]],Table3[#Headers],0)),0)</f>
        <v>1</v>
      </c>
      <c r="O1192">
        <f>IFERROR(INDEX(Table35[#All],MATCH(Table1[[#This Row],[Key_Year_Week_Brand]],Table35[[#All],[Key_Year_Month_Brand]],0),MATCH(Table1[[#This Row],[DC_name_Xref]],Table35[#Headers],0)),0)</f>
        <v>463304</v>
      </c>
    </row>
    <row r="1193" spans="1:15" x14ac:dyDescent="0.3">
      <c r="A1193" s="19" t="str">
        <f>Table1[[#This Row],[Year_Week]]&amp;"-"&amp;Table1[[#This Row],[DC_name_Xref]]</f>
        <v>202346-WFC</v>
      </c>
      <c r="B1193" s="19" t="str">
        <f>Table1[[#This Row],[Fiscal_Year]]*100+Table1[[#This Row],[Fiscal_Week]] &amp; "-" &amp;Table1[[#This Row],[BRAND]]</f>
        <v>202346-Banana Republic</v>
      </c>
      <c r="C1193" t="str">
        <f>Table1[[#This Row],[Fiscal_Year]]&amp;"-"&amp;Table1[[#This Row],[BRAND]]</f>
        <v>2023-Banana Republic</v>
      </c>
      <c r="D1193">
        <v>2023</v>
      </c>
      <c r="E1193">
        <v>46</v>
      </c>
      <c r="F1193" t="s">
        <v>18</v>
      </c>
      <c r="G1193" t="s">
        <v>7</v>
      </c>
      <c r="H1193">
        <v>3</v>
      </c>
      <c r="I1193">
        <v>2</v>
      </c>
      <c r="J1193" t="str">
        <f>VLOOKUP(H1193,DC_Xref!A:B,2,FALSE)</f>
        <v>WFC</v>
      </c>
      <c r="K1193">
        <f t="shared" si="18"/>
        <v>202346</v>
      </c>
      <c r="L1193">
        <f>IFERROR(Table1[[#This Row],[Demand]]/SUMIFS(Table1[Demand],Table1[Fiscal_Year],Table1[[#This Row],[Fiscal_Year]],Table1[BRAND],Table1[[#This Row],[BRAND]],Table1[DC_name_Xref],Table1[[#This Row],[DC_name_Xref]]),0)</f>
        <v>0.15384615384615385</v>
      </c>
      <c r="M11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2.9272099703473632E-6</v>
      </c>
      <c r="N1193" s="3">
        <f>IFERROR(INDEX(Table3[#All],MATCH(Table1[[#This Row],[Key_Year_Week_Brand]],Table3[[#All],[Key_Year_Week_Brand]],0),MATCH(Table1[[#This Row],[DC_name_Xref]],Table3[#Headers],0)),0)</f>
        <v>3.4959629396853166E-6</v>
      </c>
      <c r="O1193">
        <f>IFERROR(INDEX(Table35[#All],MATCH(Table1[[#This Row],[Key_Year_Week_Brand]],Table35[[#All],[Key_Year_Month_Brand]],0),MATCH(Table1[[#This Row],[DC_name_Xref]],Table35[#Headers],0)),0)</f>
        <v>1.6196936138079658</v>
      </c>
    </row>
    <row r="1194" spans="1:15" x14ac:dyDescent="0.3">
      <c r="A1194" s="19" t="str">
        <f>Table1[[#This Row],[Year_Week]]&amp;"-"&amp;Table1[[#This Row],[DC_name_Xref]]</f>
        <v>202346-EAO</v>
      </c>
      <c r="B1194" s="19" t="str">
        <f>Table1[[#This Row],[Fiscal_Year]]*100+Table1[[#This Row],[Fiscal_Week]] &amp; "-" &amp;Table1[[#This Row],[BRAND]]</f>
        <v>202346-Banana Republic</v>
      </c>
      <c r="C1194" t="str">
        <f>Table1[[#This Row],[Fiscal_Year]]&amp;"-"&amp;Table1[[#This Row],[BRAND]]</f>
        <v>2023-Banana Republic</v>
      </c>
      <c r="D1194">
        <v>2023</v>
      </c>
      <c r="E1194">
        <v>46</v>
      </c>
      <c r="F1194" t="s">
        <v>18</v>
      </c>
      <c r="G1194" t="s">
        <v>8</v>
      </c>
      <c r="H1194">
        <v>4</v>
      </c>
      <c r="I1194">
        <v>5</v>
      </c>
      <c r="J1194" t="str">
        <f>VLOOKUP(H1194,DC_Xref!A:B,2,FALSE)</f>
        <v>EAO</v>
      </c>
      <c r="K1194">
        <f t="shared" si="18"/>
        <v>202346</v>
      </c>
      <c r="L1194">
        <f>IFERROR(Table1[[#This Row],[Demand]]/SUMIFS(Table1[Demand],Table1[Fiscal_Year],Table1[[#This Row],[Fiscal_Year]],Table1[BRAND],Table1[[#This Row],[BRAND]],Table1[DC_name_Xref],Table1[[#This Row],[DC_name_Xref]]),0)</f>
        <v>1.4970059880239521E-2</v>
      </c>
      <c r="M11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7.5206779238155323E-5</v>
      </c>
      <c r="N1194" s="3">
        <f>IFERROR(INDEX(Table3[#All],MATCH(Table1[[#This Row],[Key_Year_Week_Brand]],Table3[[#All],[Key_Year_Week_Brand]],0),MATCH(Table1[[#This Row],[DC_name_Xref]],Table3[#Headers],0)),0)</f>
        <v>4.2339995602855504E-5</v>
      </c>
      <c r="O1194">
        <f>IFERROR(INDEX(Table35[#All],MATCH(Table1[[#This Row],[Key_Year_Week_Brand]],Table35[[#All],[Key_Year_Month_Brand]],0),MATCH(Table1[[#This Row],[DC_name_Xref]],Table35[#Headers],0)),0)</f>
        <v>19.616289322785367</v>
      </c>
    </row>
    <row r="1195" spans="1:15" x14ac:dyDescent="0.3">
      <c r="A1195" s="19" t="str">
        <f>Table1[[#This Row],[Year_Week]]&amp;"-"&amp;Table1[[#This Row],[DC_name_Xref]]</f>
        <v>202346-FFC-ODC</v>
      </c>
      <c r="B1195" s="19" t="str">
        <f>Table1[[#This Row],[Fiscal_Year]]*100+Table1[[#This Row],[Fiscal_Week]] &amp; "-" &amp;Table1[[#This Row],[BRAND]]</f>
        <v>202346-Banana Republic</v>
      </c>
      <c r="C1195" t="str">
        <f>Table1[[#This Row],[Fiscal_Year]]&amp;"-"&amp;Table1[[#This Row],[BRAND]]</f>
        <v>2023-Banana Republic</v>
      </c>
      <c r="D1195">
        <v>2023</v>
      </c>
      <c r="E1195">
        <v>46</v>
      </c>
      <c r="F1195" t="s">
        <v>18</v>
      </c>
      <c r="G1195" t="s">
        <v>23</v>
      </c>
      <c r="H1195">
        <v>5</v>
      </c>
      <c r="I1195">
        <v>0</v>
      </c>
      <c r="J1195" t="str">
        <f>VLOOKUP(H1195,DC_Xref!A:B,2,FALSE)</f>
        <v>FFC-ODC</v>
      </c>
      <c r="K1195">
        <f t="shared" si="18"/>
        <v>202346</v>
      </c>
      <c r="L1195">
        <f>IFERROR(Table1[[#This Row],[Demand]]/SUMIFS(Table1[Demand],Table1[Fiscal_Year],Table1[[#This Row],[Fiscal_Year]],Table1[BRAND],Table1[[#This Row],[BRAND]],Table1[DC_name_Xref],Table1[[#This Row],[DC_name_Xref]]),0)</f>
        <v>0</v>
      </c>
      <c r="M11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95" s="3">
        <f>IFERROR(INDEX(Table3[#All],MATCH(Table1[[#This Row],[Key_Year_Week_Brand]],Table3[[#All],[Key_Year_Week_Brand]],0),MATCH(Table1[[#This Row],[DC_name_Xref]],Table3[#Headers],0)),0)</f>
        <v>0</v>
      </c>
      <c r="O1195">
        <f>IFERROR(INDEX(Table35[#All],MATCH(Table1[[#This Row],[Key_Year_Week_Brand]],Table35[[#All],[Key_Year_Month_Brand]],0),MATCH(Table1[[#This Row],[DC_name_Xref]],Table35[#Headers],0)),0)</f>
        <v>0</v>
      </c>
    </row>
    <row r="1196" spans="1:15" x14ac:dyDescent="0.3">
      <c r="A1196" s="19" t="str">
        <f>Table1[[#This Row],[Year_Week]]&amp;"-"&amp;Table1[[#This Row],[DC_name_Xref]]</f>
        <v>202346-WEO</v>
      </c>
      <c r="B1196" s="19" t="str">
        <f>Table1[[#This Row],[Fiscal_Year]]*100+Table1[[#This Row],[Fiscal_Week]] &amp; "-" &amp;Table1[[#This Row],[BRAND]]</f>
        <v>202346-Banana Republic</v>
      </c>
      <c r="C1196" t="str">
        <f>Table1[[#This Row],[Fiscal_Year]]&amp;"-"&amp;Table1[[#This Row],[BRAND]]</f>
        <v>2023-Banana Republic</v>
      </c>
      <c r="D1196">
        <v>2023</v>
      </c>
      <c r="E1196">
        <v>46</v>
      </c>
      <c r="F1196" t="s">
        <v>18</v>
      </c>
      <c r="G1196" t="s">
        <v>10</v>
      </c>
      <c r="H1196">
        <v>6</v>
      </c>
      <c r="I1196">
        <v>0</v>
      </c>
      <c r="J1196" t="str">
        <f>VLOOKUP(H1196,DC_Xref!A:B,2,FALSE)</f>
        <v>WEO</v>
      </c>
      <c r="K1196">
        <f t="shared" si="18"/>
        <v>202346</v>
      </c>
      <c r="L1196">
        <f>IFERROR(Table1[[#This Row],[Demand]]/SUMIFS(Table1[Demand],Table1[Fiscal_Year],Table1[[#This Row],[Fiscal_Year]],Table1[BRAND],Table1[[#This Row],[BRAND]],Table1[DC_name_Xref],Table1[[#This Row],[DC_name_Xref]]),0)</f>
        <v>0</v>
      </c>
      <c r="M11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96" s="3">
        <f>IFERROR(INDEX(Table3[#All],MATCH(Table1[[#This Row],[Key_Year_Week_Brand]],Table3[[#All],[Key_Year_Week_Brand]],0),MATCH(Table1[[#This Row],[DC_name_Xref]],Table3[#Headers],0)),0)</f>
        <v>0</v>
      </c>
      <c r="O1196">
        <f>IFERROR(INDEX(Table35[#All],MATCH(Table1[[#This Row],[Key_Year_Week_Brand]],Table35[[#All],[Key_Year_Month_Brand]],0),MATCH(Table1[[#This Row],[DC_name_Xref]],Table35[#Headers],0)),0)</f>
        <v>0</v>
      </c>
    </row>
    <row r="1197" spans="1:15" x14ac:dyDescent="0.3">
      <c r="A1197" s="19" t="str">
        <f>Table1[[#This Row],[Year_Week]]&amp;"-"&amp;Table1[[#This Row],[DC_name_Xref]]</f>
        <v>202346-OCC</v>
      </c>
      <c r="B1197" s="19" t="str">
        <f>Table1[[#This Row],[Fiscal_Year]]*100+Table1[[#This Row],[Fiscal_Week]] &amp; "-" &amp;Table1[[#This Row],[BRAND]]</f>
        <v>202346-Banana Republic</v>
      </c>
      <c r="C1197" t="str">
        <f>Table1[[#This Row],[Fiscal_Year]]&amp;"-"&amp;Table1[[#This Row],[BRAND]]</f>
        <v>2023-Banana Republic</v>
      </c>
      <c r="D1197">
        <v>2023</v>
      </c>
      <c r="E1197">
        <v>46</v>
      </c>
      <c r="F1197" t="s">
        <v>18</v>
      </c>
      <c r="G1197" t="s">
        <v>11</v>
      </c>
      <c r="H1197">
        <v>7</v>
      </c>
      <c r="I1197">
        <v>0</v>
      </c>
      <c r="J1197" t="str">
        <f>VLOOKUP(H1197,DC_Xref!A:B,2,FALSE)</f>
        <v>OCC</v>
      </c>
      <c r="K1197">
        <f t="shared" si="18"/>
        <v>202346</v>
      </c>
      <c r="L1197">
        <f>IFERROR(Table1[[#This Row],[Demand]]/SUMIFS(Table1[Demand],Table1[Fiscal_Year],Table1[[#This Row],[Fiscal_Year]],Table1[BRAND],Table1[[#This Row],[BRAND]],Table1[DC_name_Xref],Table1[[#This Row],[DC_name_Xref]]),0)</f>
        <v>0</v>
      </c>
      <c r="M11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197" s="3">
        <f>IFERROR(INDEX(Table3[#All],MATCH(Table1[[#This Row],[Key_Year_Week_Brand]],Table3[[#All],[Key_Year_Week_Brand]],0),MATCH(Table1[[#This Row],[DC_name_Xref]],Table3[#Headers],0)),0)</f>
        <v>0</v>
      </c>
      <c r="O1197">
        <f>IFERROR(INDEX(Table35[#All],MATCH(Table1[[#This Row],[Key_Year_Week_Brand]],Table35[[#All],[Key_Year_Month_Brand]],0),MATCH(Table1[[#This Row],[DC_name_Xref]],Table35[#Headers],0)),0)</f>
        <v>0</v>
      </c>
    </row>
    <row r="1198" spans="1:15" x14ac:dyDescent="0.3">
      <c r="A1198" s="19" t="str">
        <f>Table1[[#This Row],[Year_Week]]&amp;"-"&amp;Table1[[#This Row],[DC_name_Xref]]</f>
        <v>202346-OFC</v>
      </c>
      <c r="B1198" s="19" t="str">
        <f>Table1[[#This Row],[Fiscal_Year]]*100+Table1[[#This Row],[Fiscal_Week]] &amp; "-" &amp;Table1[[#This Row],[BRAND]]</f>
        <v>202346-Banana Republic</v>
      </c>
      <c r="C1198" t="str">
        <f>Table1[[#This Row],[Fiscal_Year]]&amp;"-"&amp;Table1[[#This Row],[BRAND]]</f>
        <v>2023-Banana Republic</v>
      </c>
      <c r="D1198">
        <v>2023</v>
      </c>
      <c r="E1198">
        <v>46</v>
      </c>
      <c r="F1198" t="s">
        <v>18</v>
      </c>
      <c r="G1198" t="s">
        <v>5</v>
      </c>
      <c r="H1198">
        <v>1</v>
      </c>
      <c r="I1198">
        <v>18440</v>
      </c>
      <c r="J1198" t="str">
        <f>VLOOKUP(H1198,DC_Xref!A:B,2,FALSE)</f>
        <v>OFC</v>
      </c>
      <c r="K1198">
        <f t="shared" si="18"/>
        <v>202346</v>
      </c>
      <c r="L1198">
        <f>IFERROR(Table1[[#This Row],[Demand]]/SUMIFS(Table1[Demand],Table1[Fiscal_Year],Table1[[#This Row],[Fiscal_Year]],Table1[BRAND],Table1[[#This Row],[BRAND]],Table1[DC_name_Xref],Table1[[#This Row],[DC_name_Xref]]),0)</f>
        <v>0.19710541505440707</v>
      </c>
      <c r="M11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2.1065553966605938E-2</v>
      </c>
      <c r="N1198" s="3">
        <f>IFERROR(INDEX(Table3[#All],MATCH(Table1[[#This Row],[Key_Year_Week_Brand]],Table3[[#All],[Key_Year_Week_Brand]],0),MATCH(Table1[[#This Row],[DC_name_Xref]],Table3[#Headers],0)),0)</f>
        <v>0</v>
      </c>
      <c r="O1198">
        <f>IFERROR(INDEX(Table35[#All],MATCH(Table1[[#This Row],[Key_Year_Week_Brand]],Table35[[#All],[Key_Year_Month_Brand]],0),MATCH(Table1[[#This Row],[DC_name_Xref]],Table35[#Headers],0)),0)</f>
        <v>0</v>
      </c>
    </row>
    <row r="1199" spans="1:15" x14ac:dyDescent="0.3">
      <c r="A1199" s="19" t="str">
        <f>Table1[[#This Row],[Year_Week]]&amp;"-"&amp;Table1[[#This Row],[DC_name_Xref]]</f>
        <v>202346-OFC</v>
      </c>
      <c r="B1199" s="19" t="str">
        <f>Table1[[#This Row],[Fiscal_Year]]*100+Table1[[#This Row],[Fiscal_Week]] &amp; "-" &amp;Table1[[#This Row],[BRAND]]</f>
        <v>202346-BR Factory Store</v>
      </c>
      <c r="C1199" t="str">
        <f>Table1[[#This Row],[Fiscal_Year]]&amp;"-"&amp;Table1[[#This Row],[BRAND]]</f>
        <v>2023-BR Factory Store</v>
      </c>
      <c r="D1199">
        <v>2023</v>
      </c>
      <c r="E1199">
        <v>46</v>
      </c>
      <c r="F1199" t="s">
        <v>17</v>
      </c>
      <c r="G1199" t="s">
        <v>5</v>
      </c>
      <c r="H1199">
        <v>1</v>
      </c>
      <c r="I1199">
        <v>327286</v>
      </c>
      <c r="J1199" t="str">
        <f>VLOOKUP(H1199,DC_Xref!A:B,2,FALSE)</f>
        <v>OFC</v>
      </c>
      <c r="K1199">
        <f t="shared" si="18"/>
        <v>202346</v>
      </c>
      <c r="L1199">
        <f>IFERROR(Table1[[#This Row],[Demand]]/SUMIFS(Table1[Demand],Table1[Fiscal_Year],Table1[[#This Row],[Fiscal_Year]],Table1[BRAND],Table1[[#This Row],[BRAND]],Table1[DC_name_Xref],Table1[[#This Row],[DC_name_Xref]]),0)</f>
        <v>9.750204739225235E-2</v>
      </c>
      <c r="M11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199" s="3">
        <f>IFERROR(INDEX(Table3[#All],MATCH(Table1[[#This Row],[Key_Year_Week_Brand]],Table3[[#All],[Key_Year_Week_Brand]],0),MATCH(Table1[[#This Row],[DC_name_Xref]],Table3[#Headers],0)),0)</f>
        <v>1</v>
      </c>
      <c r="O1199">
        <f>IFERROR(INDEX(Table35[#All],MATCH(Table1[[#This Row],[Key_Year_Week_Brand]],Table35[[#All],[Key_Year_Month_Brand]],0),MATCH(Table1[[#This Row],[DC_name_Xref]],Table35[#Headers],0)),0)</f>
        <v>327286</v>
      </c>
    </row>
    <row r="1200" spans="1:15" x14ac:dyDescent="0.3">
      <c r="A1200" s="19" t="str">
        <f>Table1[[#This Row],[Year_Week]]&amp;"-"&amp;Table1[[#This Row],[DC_name_Xref]]</f>
        <v>202346-TFC</v>
      </c>
      <c r="B1200" s="19" t="str">
        <f>Table1[[#This Row],[Fiscal_Year]]*100+Table1[[#This Row],[Fiscal_Week]] &amp; "-" &amp;Table1[[#This Row],[BRAND]]</f>
        <v>202346-BR Factory Store</v>
      </c>
      <c r="C1200" t="str">
        <f>Table1[[#This Row],[Fiscal_Year]]&amp;"-"&amp;Table1[[#This Row],[BRAND]]</f>
        <v>2023-BR Factory Store</v>
      </c>
      <c r="D1200">
        <v>2023</v>
      </c>
      <c r="E1200">
        <v>46</v>
      </c>
      <c r="F1200" t="s">
        <v>17</v>
      </c>
      <c r="G1200" t="s">
        <v>21</v>
      </c>
      <c r="H1200">
        <v>2</v>
      </c>
      <c r="I1200">
        <v>0</v>
      </c>
      <c r="J1200" t="str">
        <f>VLOOKUP(H1200,DC_Xref!A:B,2,FALSE)</f>
        <v>TFC</v>
      </c>
      <c r="K1200">
        <f t="shared" si="18"/>
        <v>202346</v>
      </c>
      <c r="L1200">
        <f>IFERROR(Table1[[#This Row],[Demand]]/SUMIFS(Table1[Demand],Table1[Fiscal_Year],Table1[[#This Row],[Fiscal_Year]],Table1[BRAND],Table1[[#This Row],[BRAND]],Table1[DC_name_Xref],Table1[[#This Row],[DC_name_Xref]]),0)</f>
        <v>0</v>
      </c>
      <c r="M12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0" s="3">
        <f>IFERROR(INDEX(Table3[#All],MATCH(Table1[[#This Row],[Key_Year_Week_Brand]],Table3[[#All],[Key_Year_Week_Brand]],0),MATCH(Table1[[#This Row],[DC_name_Xref]],Table3[#Headers],0)),0)</f>
        <v>0</v>
      </c>
      <c r="O1200">
        <f>IFERROR(INDEX(Table35[#All],MATCH(Table1[[#This Row],[Key_Year_Week_Brand]],Table35[[#All],[Key_Year_Month_Brand]],0),MATCH(Table1[[#This Row],[DC_name_Xref]],Table35[#Headers],0)),0)</f>
        <v>0</v>
      </c>
    </row>
    <row r="1201" spans="1:15" x14ac:dyDescent="0.3">
      <c r="A1201" s="19" t="str">
        <f>Table1[[#This Row],[Year_Week]]&amp;"-"&amp;Table1[[#This Row],[DC_name_Xref]]</f>
        <v>202346-WFC</v>
      </c>
      <c r="B1201" s="19" t="str">
        <f>Table1[[#This Row],[Fiscal_Year]]*100+Table1[[#This Row],[Fiscal_Week]] &amp; "-" &amp;Table1[[#This Row],[BRAND]]</f>
        <v>202346-BR Factory Store</v>
      </c>
      <c r="C1201" t="str">
        <f>Table1[[#This Row],[Fiscal_Year]]&amp;"-"&amp;Table1[[#This Row],[BRAND]]</f>
        <v>2023-BR Factory Store</v>
      </c>
      <c r="D1201">
        <v>2023</v>
      </c>
      <c r="E1201">
        <v>46</v>
      </c>
      <c r="F1201" t="s">
        <v>17</v>
      </c>
      <c r="G1201" t="s">
        <v>7</v>
      </c>
      <c r="H1201">
        <v>3</v>
      </c>
      <c r="I1201">
        <v>0</v>
      </c>
      <c r="J1201" t="str">
        <f>VLOOKUP(H1201,DC_Xref!A:B,2,FALSE)</f>
        <v>WFC</v>
      </c>
      <c r="K1201">
        <f t="shared" si="18"/>
        <v>202346</v>
      </c>
      <c r="L1201">
        <f>IFERROR(Table1[[#This Row],[Demand]]/SUMIFS(Table1[Demand],Table1[Fiscal_Year],Table1[[#This Row],[Fiscal_Year]],Table1[BRAND],Table1[[#This Row],[BRAND]],Table1[DC_name_Xref],Table1[[#This Row],[DC_name_Xref]]),0)</f>
        <v>0</v>
      </c>
      <c r="M12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1" s="3">
        <f>IFERROR(INDEX(Table3[#All],MATCH(Table1[[#This Row],[Key_Year_Week_Brand]],Table3[[#All],[Key_Year_Week_Brand]],0),MATCH(Table1[[#This Row],[DC_name_Xref]],Table3[#Headers],0)),0)</f>
        <v>0</v>
      </c>
      <c r="O1201">
        <f>IFERROR(INDEX(Table35[#All],MATCH(Table1[[#This Row],[Key_Year_Week_Brand]],Table35[[#All],[Key_Year_Month_Brand]],0),MATCH(Table1[[#This Row],[DC_name_Xref]],Table35[#Headers],0)),0)</f>
        <v>0</v>
      </c>
    </row>
    <row r="1202" spans="1:15" x14ac:dyDescent="0.3">
      <c r="A1202" s="19" t="str">
        <f>Table1[[#This Row],[Year_Week]]&amp;"-"&amp;Table1[[#This Row],[DC_name_Xref]]</f>
        <v>202346-EAO</v>
      </c>
      <c r="B1202" s="19" t="str">
        <f>Table1[[#This Row],[Fiscal_Year]]*100+Table1[[#This Row],[Fiscal_Week]] &amp; "-" &amp;Table1[[#This Row],[BRAND]]</f>
        <v>202346-BR Factory Store</v>
      </c>
      <c r="C1202" t="str">
        <f>Table1[[#This Row],[Fiscal_Year]]&amp;"-"&amp;Table1[[#This Row],[BRAND]]</f>
        <v>2023-BR Factory Store</v>
      </c>
      <c r="D1202">
        <v>2023</v>
      </c>
      <c r="E1202">
        <v>46</v>
      </c>
      <c r="F1202" t="s">
        <v>17</v>
      </c>
      <c r="G1202" t="s">
        <v>8</v>
      </c>
      <c r="H1202">
        <v>4</v>
      </c>
      <c r="I1202">
        <v>0</v>
      </c>
      <c r="J1202" t="str">
        <f>VLOOKUP(H1202,DC_Xref!A:B,2,FALSE)</f>
        <v>EAO</v>
      </c>
      <c r="K1202">
        <f t="shared" si="18"/>
        <v>202346</v>
      </c>
      <c r="L1202">
        <f>IFERROR(Table1[[#This Row],[Demand]]/SUMIFS(Table1[Demand],Table1[Fiscal_Year],Table1[[#This Row],[Fiscal_Year]],Table1[BRAND],Table1[[#This Row],[BRAND]],Table1[DC_name_Xref],Table1[[#This Row],[DC_name_Xref]]),0)</f>
        <v>0</v>
      </c>
      <c r="M12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2" s="3">
        <f>IFERROR(INDEX(Table3[#All],MATCH(Table1[[#This Row],[Key_Year_Week_Brand]],Table3[[#All],[Key_Year_Week_Brand]],0),MATCH(Table1[[#This Row],[DC_name_Xref]],Table3[#Headers],0)),0)</f>
        <v>0</v>
      </c>
      <c r="O1202">
        <f>IFERROR(INDEX(Table35[#All],MATCH(Table1[[#This Row],[Key_Year_Week_Brand]],Table35[[#All],[Key_Year_Month_Brand]],0),MATCH(Table1[[#This Row],[DC_name_Xref]],Table35[#Headers],0)),0)</f>
        <v>0</v>
      </c>
    </row>
    <row r="1203" spans="1:15" x14ac:dyDescent="0.3">
      <c r="A1203" s="19" t="str">
        <f>Table1[[#This Row],[Year_Week]]&amp;"-"&amp;Table1[[#This Row],[DC_name_Xref]]</f>
        <v>202346-FFC-ODC</v>
      </c>
      <c r="B1203" s="19" t="str">
        <f>Table1[[#This Row],[Fiscal_Year]]*100+Table1[[#This Row],[Fiscal_Week]] &amp; "-" &amp;Table1[[#This Row],[BRAND]]</f>
        <v>202346-BR Factory Store</v>
      </c>
      <c r="C1203" t="str">
        <f>Table1[[#This Row],[Fiscal_Year]]&amp;"-"&amp;Table1[[#This Row],[BRAND]]</f>
        <v>2023-BR Factory Store</v>
      </c>
      <c r="D1203">
        <v>2023</v>
      </c>
      <c r="E1203">
        <v>46</v>
      </c>
      <c r="F1203" t="s">
        <v>17</v>
      </c>
      <c r="G1203" t="s">
        <v>23</v>
      </c>
      <c r="H1203">
        <v>5</v>
      </c>
      <c r="I1203">
        <v>0</v>
      </c>
      <c r="J1203" t="str">
        <f>VLOOKUP(H1203,DC_Xref!A:B,2,FALSE)</f>
        <v>FFC-ODC</v>
      </c>
      <c r="K1203">
        <f t="shared" si="18"/>
        <v>202346</v>
      </c>
      <c r="L1203">
        <f>IFERROR(Table1[[#This Row],[Demand]]/SUMIFS(Table1[Demand],Table1[Fiscal_Year],Table1[[#This Row],[Fiscal_Year]],Table1[BRAND],Table1[[#This Row],[BRAND]],Table1[DC_name_Xref],Table1[[#This Row],[DC_name_Xref]]),0)</f>
        <v>0</v>
      </c>
      <c r="M12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3" s="3">
        <f>IFERROR(INDEX(Table3[#All],MATCH(Table1[[#This Row],[Key_Year_Week_Brand]],Table3[[#All],[Key_Year_Week_Brand]],0),MATCH(Table1[[#This Row],[DC_name_Xref]],Table3[#Headers],0)),0)</f>
        <v>0</v>
      </c>
      <c r="O1203">
        <f>IFERROR(INDEX(Table35[#All],MATCH(Table1[[#This Row],[Key_Year_Week_Brand]],Table35[[#All],[Key_Year_Month_Brand]],0),MATCH(Table1[[#This Row],[DC_name_Xref]],Table35[#Headers],0)),0)</f>
        <v>0</v>
      </c>
    </row>
    <row r="1204" spans="1:15" x14ac:dyDescent="0.3">
      <c r="A1204" s="19" t="str">
        <f>Table1[[#This Row],[Year_Week]]&amp;"-"&amp;Table1[[#This Row],[DC_name_Xref]]</f>
        <v>202346-WEO</v>
      </c>
      <c r="B1204" s="19" t="str">
        <f>Table1[[#This Row],[Fiscal_Year]]*100+Table1[[#This Row],[Fiscal_Week]] &amp; "-" &amp;Table1[[#This Row],[BRAND]]</f>
        <v>202346-BR Factory Store</v>
      </c>
      <c r="C1204" t="str">
        <f>Table1[[#This Row],[Fiscal_Year]]&amp;"-"&amp;Table1[[#This Row],[BRAND]]</f>
        <v>2023-BR Factory Store</v>
      </c>
      <c r="D1204">
        <v>2023</v>
      </c>
      <c r="E1204">
        <v>46</v>
      </c>
      <c r="F1204" t="s">
        <v>17</v>
      </c>
      <c r="G1204" t="s">
        <v>10</v>
      </c>
      <c r="H1204">
        <v>6</v>
      </c>
      <c r="I1204">
        <v>0</v>
      </c>
      <c r="J1204" t="str">
        <f>VLOOKUP(H1204,DC_Xref!A:B,2,FALSE)</f>
        <v>WEO</v>
      </c>
      <c r="K1204">
        <f t="shared" si="18"/>
        <v>202346</v>
      </c>
      <c r="L1204">
        <f>IFERROR(Table1[[#This Row],[Demand]]/SUMIFS(Table1[Demand],Table1[Fiscal_Year],Table1[[#This Row],[Fiscal_Year]],Table1[BRAND],Table1[[#This Row],[BRAND]],Table1[DC_name_Xref],Table1[[#This Row],[DC_name_Xref]]),0)</f>
        <v>0</v>
      </c>
      <c r="M12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4" s="3">
        <f>IFERROR(INDEX(Table3[#All],MATCH(Table1[[#This Row],[Key_Year_Week_Brand]],Table3[[#All],[Key_Year_Week_Brand]],0),MATCH(Table1[[#This Row],[DC_name_Xref]],Table3[#Headers],0)),0)</f>
        <v>0</v>
      </c>
      <c r="O1204">
        <f>IFERROR(INDEX(Table35[#All],MATCH(Table1[[#This Row],[Key_Year_Week_Brand]],Table35[[#All],[Key_Year_Month_Brand]],0),MATCH(Table1[[#This Row],[DC_name_Xref]],Table35[#Headers],0)),0)</f>
        <v>0</v>
      </c>
    </row>
    <row r="1205" spans="1:15" x14ac:dyDescent="0.3">
      <c r="A1205" s="19" t="str">
        <f>Table1[[#This Row],[Year_Week]]&amp;"-"&amp;Table1[[#This Row],[DC_name_Xref]]</f>
        <v>202346-OCC</v>
      </c>
      <c r="B1205" s="19" t="str">
        <f>Table1[[#This Row],[Fiscal_Year]]*100+Table1[[#This Row],[Fiscal_Week]] &amp; "-" &amp;Table1[[#This Row],[BRAND]]</f>
        <v>202346-BR Factory Store</v>
      </c>
      <c r="C1205" t="str">
        <f>Table1[[#This Row],[Fiscal_Year]]&amp;"-"&amp;Table1[[#This Row],[BRAND]]</f>
        <v>2023-BR Factory Store</v>
      </c>
      <c r="D1205">
        <v>2023</v>
      </c>
      <c r="E1205">
        <v>46</v>
      </c>
      <c r="F1205" t="s">
        <v>17</v>
      </c>
      <c r="G1205" t="s">
        <v>11</v>
      </c>
      <c r="H1205">
        <v>7</v>
      </c>
      <c r="I1205">
        <v>0</v>
      </c>
      <c r="J1205" t="str">
        <f>VLOOKUP(H1205,DC_Xref!A:B,2,FALSE)</f>
        <v>OCC</v>
      </c>
      <c r="K1205">
        <f t="shared" si="18"/>
        <v>202346</v>
      </c>
      <c r="L1205">
        <f>IFERROR(Table1[[#This Row],[Demand]]/SUMIFS(Table1[Demand],Table1[Fiscal_Year],Table1[[#This Row],[Fiscal_Year]],Table1[BRAND],Table1[[#This Row],[BRAND]],Table1[DC_name_Xref],Table1[[#This Row],[DC_name_Xref]]),0)</f>
        <v>0</v>
      </c>
      <c r="M12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5" s="3">
        <f>IFERROR(INDEX(Table3[#All],MATCH(Table1[[#This Row],[Key_Year_Week_Brand]],Table3[[#All],[Key_Year_Week_Brand]],0),MATCH(Table1[[#This Row],[DC_name_Xref]],Table3[#Headers],0)),0)</f>
        <v>0</v>
      </c>
      <c r="O1205">
        <f>IFERROR(INDEX(Table35[#All],MATCH(Table1[[#This Row],[Key_Year_Week_Brand]],Table35[[#All],[Key_Year_Month_Brand]],0),MATCH(Table1[[#This Row],[DC_name_Xref]],Table35[#Headers],0)),0)</f>
        <v>0</v>
      </c>
    </row>
    <row r="1206" spans="1:15" x14ac:dyDescent="0.3">
      <c r="A1206" s="19" t="str">
        <f>Table1[[#This Row],[Year_Week]]&amp;"-"&amp;Table1[[#This Row],[DC_name_Xref]]</f>
        <v>202346-OFC</v>
      </c>
      <c r="B1206" s="19" t="str">
        <f>Table1[[#This Row],[Fiscal_Year]]*100+Table1[[#This Row],[Fiscal_Week]] &amp; "-" &amp;Table1[[#This Row],[BRAND]]</f>
        <v>202346-Athleta</v>
      </c>
      <c r="C1206" t="str">
        <f>Table1[[#This Row],[Fiscal_Year]]&amp;"-"&amp;Table1[[#This Row],[BRAND]]</f>
        <v>2023-Athleta</v>
      </c>
      <c r="D1206">
        <v>2023</v>
      </c>
      <c r="E1206">
        <v>46</v>
      </c>
      <c r="F1206" t="s">
        <v>19</v>
      </c>
      <c r="G1206" t="s">
        <v>5</v>
      </c>
      <c r="H1206">
        <v>1</v>
      </c>
      <c r="I1206">
        <v>53620</v>
      </c>
      <c r="J1206" t="str">
        <f>VLOOKUP(H1206,DC_Xref!A:B,2,FALSE)</f>
        <v>OFC</v>
      </c>
      <c r="K1206">
        <f t="shared" si="18"/>
        <v>202346</v>
      </c>
      <c r="L1206">
        <f>IFERROR(Table1[[#This Row],[Demand]]/SUMIFS(Table1[Demand],Table1[Fiscal_Year],Table1[[#This Row],[Fiscal_Year]],Table1[BRAND],Table1[[#This Row],[BRAND]],Table1[DC_name_Xref],Table1[[#This Row],[DC_name_Xref]]),0)</f>
        <v>0.14510323924985793</v>
      </c>
      <c r="M12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9.6407211874108403E-2</v>
      </c>
      <c r="N1206" s="3">
        <f>IFERROR(INDEX(Table3[#All],MATCH(Table1[[#This Row],[Key_Year_Week_Brand]],Table3[[#All],[Key_Year_Week_Brand]],0),MATCH(Table1[[#This Row],[DC_name_Xref]],Table3[#Headers],0)),0)</f>
        <v>0</v>
      </c>
      <c r="O1206">
        <f>IFERROR(INDEX(Table35[#All],MATCH(Table1[[#This Row],[Key_Year_Week_Brand]],Table35[[#All],[Key_Year_Month_Brand]],0),MATCH(Table1[[#This Row],[DC_name_Xref]],Table35[#Headers],0)),0)</f>
        <v>0</v>
      </c>
    </row>
    <row r="1207" spans="1:15" x14ac:dyDescent="0.3">
      <c r="A1207" s="19" t="str">
        <f>Table1[[#This Row],[Year_Week]]&amp;"-"&amp;Table1[[#This Row],[DC_name_Xref]]</f>
        <v>202346-TFC</v>
      </c>
      <c r="B1207" s="19" t="str">
        <f>Table1[[#This Row],[Fiscal_Year]]*100+Table1[[#This Row],[Fiscal_Week]] &amp; "-" &amp;Table1[[#This Row],[BRAND]]</f>
        <v>202346-Athleta</v>
      </c>
      <c r="C1207" t="str">
        <f>Table1[[#This Row],[Fiscal_Year]]&amp;"-"&amp;Table1[[#This Row],[BRAND]]</f>
        <v>2023-Athleta</v>
      </c>
      <c r="D1207">
        <v>2023</v>
      </c>
      <c r="E1207">
        <v>46</v>
      </c>
      <c r="F1207" t="s">
        <v>19</v>
      </c>
      <c r="G1207" t="s">
        <v>21</v>
      </c>
      <c r="H1207">
        <v>2</v>
      </c>
      <c r="I1207">
        <v>413389</v>
      </c>
      <c r="J1207" t="str">
        <f>VLOOKUP(H1207,DC_Xref!A:B,2,FALSE)</f>
        <v>TFC</v>
      </c>
      <c r="K1207">
        <f t="shared" si="18"/>
        <v>202346</v>
      </c>
      <c r="L1207">
        <f>IFERROR(Table1[[#This Row],[Demand]]/SUMIFS(Table1[Demand],Table1[Fiscal_Year],Table1[[#This Row],[Fiscal_Year]],Table1[BRAND],Table1[[#This Row],[BRAND]],Table1[DC_name_Xref],Table1[[#This Row],[DC_name_Xref]]),0)</f>
        <v>0.11936078203892928</v>
      </c>
      <c r="M12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0.90356017669655087</v>
      </c>
      <c r="N1207" s="3">
        <f>IFERROR(INDEX(Table3[#All],MATCH(Table1[[#This Row],[Key_Year_Week_Brand]],Table3[[#All],[Key_Year_Week_Brand]],0),MATCH(Table1[[#This Row],[DC_name_Xref]],Table3[#Headers],0)),0)</f>
        <v>1</v>
      </c>
      <c r="O1207">
        <f>IFERROR(INDEX(Table35[#All],MATCH(Table1[[#This Row],[Key_Year_Week_Brand]],Table35[[#All],[Key_Year_Month_Brand]],0),MATCH(Table1[[#This Row],[DC_name_Xref]],Table35[#Headers],0)),0)</f>
        <v>467012</v>
      </c>
    </row>
    <row r="1208" spans="1:15" x14ac:dyDescent="0.3">
      <c r="A1208" s="19" t="str">
        <f>Table1[[#This Row],[Year_Week]]&amp;"-"&amp;Table1[[#This Row],[DC_name_Xref]]</f>
        <v>202346-WFC</v>
      </c>
      <c r="B1208" s="19" t="str">
        <f>Table1[[#This Row],[Fiscal_Year]]*100+Table1[[#This Row],[Fiscal_Week]] &amp; "-" &amp;Table1[[#This Row],[BRAND]]</f>
        <v>202346-Athleta</v>
      </c>
      <c r="C1208" t="str">
        <f>Table1[[#This Row],[Fiscal_Year]]&amp;"-"&amp;Table1[[#This Row],[BRAND]]</f>
        <v>2023-Athleta</v>
      </c>
      <c r="D1208">
        <v>2023</v>
      </c>
      <c r="E1208">
        <v>46</v>
      </c>
      <c r="F1208" t="s">
        <v>19</v>
      </c>
      <c r="G1208" t="s">
        <v>7</v>
      </c>
      <c r="H1208">
        <v>3</v>
      </c>
      <c r="I1208">
        <v>0</v>
      </c>
      <c r="J1208" t="str">
        <f>VLOOKUP(H1208,DC_Xref!A:B,2,FALSE)</f>
        <v>WFC</v>
      </c>
      <c r="K1208">
        <f t="shared" si="18"/>
        <v>202346</v>
      </c>
      <c r="L1208">
        <f>IFERROR(Table1[[#This Row],[Demand]]/SUMIFS(Table1[Demand],Table1[Fiscal_Year],Table1[[#This Row],[Fiscal_Year]],Table1[BRAND],Table1[[#This Row],[BRAND]],Table1[DC_name_Xref],Table1[[#This Row],[DC_name_Xref]]),0)</f>
        <v>0</v>
      </c>
      <c r="M12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08" s="3">
        <f>IFERROR(INDEX(Table3[#All],MATCH(Table1[[#This Row],[Key_Year_Week_Brand]],Table3[[#All],[Key_Year_Week_Brand]],0),MATCH(Table1[[#This Row],[DC_name_Xref]],Table3[#Headers],0)),0)</f>
        <v>0</v>
      </c>
      <c r="O1208">
        <f>IFERROR(INDEX(Table35[#All],MATCH(Table1[[#This Row],[Key_Year_Week_Brand]],Table35[[#All],[Key_Year_Month_Brand]],0),MATCH(Table1[[#This Row],[DC_name_Xref]],Table35[#Headers],0)),0)</f>
        <v>0</v>
      </c>
    </row>
    <row r="1209" spans="1:15" x14ac:dyDescent="0.3">
      <c r="A1209" s="19" t="str">
        <f>Table1[[#This Row],[Year_Week]]&amp;"-"&amp;Table1[[#This Row],[DC_name_Xref]]</f>
        <v>202346-EAO</v>
      </c>
      <c r="B1209" s="19" t="str">
        <f>Table1[[#This Row],[Fiscal_Year]]*100+Table1[[#This Row],[Fiscal_Week]] &amp; "-" &amp;Table1[[#This Row],[BRAND]]</f>
        <v>202346-Athleta</v>
      </c>
      <c r="C1209" t="str">
        <f>Table1[[#This Row],[Fiscal_Year]]&amp;"-"&amp;Table1[[#This Row],[BRAND]]</f>
        <v>2023-Athleta</v>
      </c>
      <c r="D1209">
        <v>2023</v>
      </c>
      <c r="E1209">
        <v>46</v>
      </c>
      <c r="F1209" t="s">
        <v>19</v>
      </c>
      <c r="G1209" t="s">
        <v>8</v>
      </c>
      <c r="H1209">
        <v>4</v>
      </c>
      <c r="I1209">
        <v>3</v>
      </c>
      <c r="J1209" t="str">
        <f>VLOOKUP(H1209,DC_Xref!A:B,2,FALSE)</f>
        <v>EAO</v>
      </c>
      <c r="K1209">
        <f t="shared" si="18"/>
        <v>202346</v>
      </c>
      <c r="L1209">
        <f>IFERROR(Table1[[#This Row],[Demand]]/SUMIFS(Table1[Demand],Table1[Fiscal_Year],Table1[[#This Row],[Fiscal_Year]],Table1[BRAND],Table1[[#This Row],[BRAND]],Table1[DC_name_Xref],Table1[[#This Row],[DC_name_Xref]]),0)</f>
        <v>2.4E-2</v>
      </c>
      <c r="M12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3.26114293406856E-5</v>
      </c>
      <c r="N1209" s="3">
        <f>IFERROR(INDEX(Table3[#All],MATCH(Table1[[#This Row],[Key_Year_Week_Brand]],Table3[[#All],[Key_Year_Week_Brand]],0),MATCH(Table1[[#This Row],[DC_name_Xref]],Table3[#Headers],0)),0)</f>
        <v>3.447122356821831E-5</v>
      </c>
      <c r="O1209">
        <f>IFERROR(INDEX(Table35[#All],MATCH(Table1[[#This Row],[Key_Year_Week_Brand]],Table35[[#All],[Key_Year_Month_Brand]],0),MATCH(Table1[[#This Row],[DC_name_Xref]],Table35[#Headers],0)),0)</f>
        <v>16.098475061040769</v>
      </c>
    </row>
    <row r="1210" spans="1:15" x14ac:dyDescent="0.3">
      <c r="A1210" s="19" t="str">
        <f>Table1[[#This Row],[Year_Week]]&amp;"-"&amp;Table1[[#This Row],[DC_name_Xref]]</f>
        <v>202346-FFC-ODC</v>
      </c>
      <c r="B1210" s="19" t="str">
        <f>Table1[[#This Row],[Fiscal_Year]]*100+Table1[[#This Row],[Fiscal_Week]] &amp; "-" &amp;Table1[[#This Row],[BRAND]]</f>
        <v>202346-Athleta</v>
      </c>
      <c r="C1210" t="str">
        <f>Table1[[#This Row],[Fiscal_Year]]&amp;"-"&amp;Table1[[#This Row],[BRAND]]</f>
        <v>2023-Athleta</v>
      </c>
      <c r="D1210">
        <v>2023</v>
      </c>
      <c r="E1210">
        <v>46</v>
      </c>
      <c r="F1210" t="s">
        <v>19</v>
      </c>
      <c r="G1210" t="s">
        <v>23</v>
      </c>
      <c r="H1210">
        <v>5</v>
      </c>
      <c r="I1210">
        <v>0</v>
      </c>
      <c r="J1210" t="str">
        <f>VLOOKUP(H1210,DC_Xref!A:B,2,FALSE)</f>
        <v>FFC-ODC</v>
      </c>
      <c r="K1210">
        <f t="shared" si="18"/>
        <v>202346</v>
      </c>
      <c r="L1210">
        <f>IFERROR(Table1[[#This Row],[Demand]]/SUMIFS(Table1[Demand],Table1[Fiscal_Year],Table1[[#This Row],[Fiscal_Year]],Table1[BRAND],Table1[[#This Row],[BRAND]],Table1[DC_name_Xref],Table1[[#This Row],[DC_name_Xref]]),0)</f>
        <v>0</v>
      </c>
      <c r="M12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0" s="3">
        <f>IFERROR(INDEX(Table3[#All],MATCH(Table1[[#This Row],[Key_Year_Week_Brand]],Table3[[#All],[Key_Year_Week_Brand]],0),MATCH(Table1[[#This Row],[DC_name_Xref]],Table3[#Headers],0)),0)</f>
        <v>0</v>
      </c>
      <c r="O1210">
        <f>IFERROR(INDEX(Table35[#All],MATCH(Table1[[#This Row],[Key_Year_Week_Brand]],Table35[[#All],[Key_Year_Month_Brand]],0),MATCH(Table1[[#This Row],[DC_name_Xref]],Table35[#Headers],0)),0)</f>
        <v>0</v>
      </c>
    </row>
    <row r="1211" spans="1:15" x14ac:dyDescent="0.3">
      <c r="A1211" s="19" t="str">
        <f>Table1[[#This Row],[Year_Week]]&amp;"-"&amp;Table1[[#This Row],[DC_name_Xref]]</f>
        <v>202346-WEO</v>
      </c>
      <c r="B1211" s="19" t="str">
        <f>Table1[[#This Row],[Fiscal_Year]]*100+Table1[[#This Row],[Fiscal_Week]] &amp; "-" &amp;Table1[[#This Row],[BRAND]]</f>
        <v>202346-Athleta</v>
      </c>
      <c r="C1211" t="str">
        <f>Table1[[#This Row],[Fiscal_Year]]&amp;"-"&amp;Table1[[#This Row],[BRAND]]</f>
        <v>2023-Athleta</v>
      </c>
      <c r="D1211">
        <v>2023</v>
      </c>
      <c r="E1211">
        <v>46</v>
      </c>
      <c r="F1211" t="s">
        <v>19</v>
      </c>
      <c r="G1211" t="s">
        <v>10</v>
      </c>
      <c r="H1211">
        <v>6</v>
      </c>
      <c r="I1211">
        <v>0</v>
      </c>
      <c r="J1211" t="str">
        <f>VLOOKUP(H1211,DC_Xref!A:B,2,FALSE)</f>
        <v>WEO</v>
      </c>
      <c r="K1211">
        <f t="shared" si="18"/>
        <v>202346</v>
      </c>
      <c r="L1211">
        <f>IFERROR(Table1[[#This Row],[Demand]]/SUMIFS(Table1[Demand],Table1[Fiscal_Year],Table1[[#This Row],[Fiscal_Year]],Table1[BRAND],Table1[[#This Row],[BRAND]],Table1[DC_name_Xref],Table1[[#This Row],[DC_name_Xref]]),0)</f>
        <v>0</v>
      </c>
      <c r="M12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1" s="3">
        <f>IFERROR(INDEX(Table3[#All],MATCH(Table1[[#This Row],[Key_Year_Week_Brand]],Table3[[#All],[Key_Year_Week_Brand]],0),MATCH(Table1[[#This Row],[DC_name_Xref]],Table3[#Headers],0)),0)</f>
        <v>0</v>
      </c>
      <c r="O1211">
        <f>IFERROR(INDEX(Table35[#All],MATCH(Table1[[#This Row],[Key_Year_Week_Brand]],Table35[[#All],[Key_Year_Month_Brand]],0),MATCH(Table1[[#This Row],[DC_name_Xref]],Table35[#Headers],0)),0)</f>
        <v>0</v>
      </c>
    </row>
    <row r="1212" spans="1:15" x14ac:dyDescent="0.3">
      <c r="A1212" s="19" t="str">
        <f>Table1[[#This Row],[Year_Week]]&amp;"-"&amp;Table1[[#This Row],[DC_name_Xref]]</f>
        <v>202346-OCC</v>
      </c>
      <c r="B1212" s="19" t="str">
        <f>Table1[[#This Row],[Fiscal_Year]]*100+Table1[[#This Row],[Fiscal_Week]] &amp; "-" &amp;Table1[[#This Row],[BRAND]]</f>
        <v>202346-Athleta</v>
      </c>
      <c r="C1212" t="str">
        <f>Table1[[#This Row],[Fiscal_Year]]&amp;"-"&amp;Table1[[#This Row],[BRAND]]</f>
        <v>2023-Athleta</v>
      </c>
      <c r="D1212">
        <v>2023</v>
      </c>
      <c r="E1212">
        <v>46</v>
      </c>
      <c r="F1212" t="s">
        <v>19</v>
      </c>
      <c r="G1212" t="s">
        <v>11</v>
      </c>
      <c r="H1212">
        <v>7</v>
      </c>
      <c r="I1212">
        <v>0</v>
      </c>
      <c r="J1212" t="str">
        <f>VLOOKUP(H1212,DC_Xref!A:B,2,FALSE)</f>
        <v>OCC</v>
      </c>
      <c r="K1212">
        <f t="shared" si="18"/>
        <v>202346</v>
      </c>
      <c r="L1212">
        <f>IFERROR(Table1[[#This Row],[Demand]]/SUMIFS(Table1[Demand],Table1[Fiscal_Year],Table1[[#This Row],[Fiscal_Year]],Table1[BRAND],Table1[[#This Row],[BRAND]],Table1[DC_name_Xref],Table1[[#This Row],[DC_name_Xref]]),0)</f>
        <v>0</v>
      </c>
      <c r="M12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2" s="3">
        <f>IFERROR(INDEX(Table3[#All],MATCH(Table1[[#This Row],[Key_Year_Week_Brand]],Table3[[#All],[Key_Year_Week_Brand]],0),MATCH(Table1[[#This Row],[DC_name_Xref]],Table3[#Headers],0)),0)</f>
        <v>0</v>
      </c>
      <c r="O1212">
        <f>IFERROR(INDEX(Table35[#All],MATCH(Table1[[#This Row],[Key_Year_Week_Brand]],Table35[[#All],[Key_Year_Month_Brand]],0),MATCH(Table1[[#This Row],[DC_name_Xref]],Table35[#Headers],0)),0)</f>
        <v>0</v>
      </c>
    </row>
    <row r="1213" spans="1:15" x14ac:dyDescent="0.3">
      <c r="A1213" s="19" t="str">
        <f>Table1[[#This Row],[Year_Week]]&amp;"-"&amp;Table1[[#This Row],[DC_name_Xref]]</f>
        <v>202346-OFC</v>
      </c>
      <c r="B1213" s="19" t="str">
        <f>Table1[[#This Row],[Fiscal_Year]]*100+Table1[[#This Row],[Fiscal_Week]] &amp; "-" &amp;Table1[[#This Row],[BRAND]]</f>
        <v>202346-Gap Factory Store</v>
      </c>
      <c r="C1213" t="str">
        <f>Table1[[#This Row],[Fiscal_Year]]&amp;"-"&amp;Table1[[#This Row],[BRAND]]</f>
        <v>2023-Gap Factory Store</v>
      </c>
      <c r="D1213">
        <v>2023</v>
      </c>
      <c r="E1213">
        <v>46</v>
      </c>
      <c r="F1213" t="s">
        <v>22</v>
      </c>
      <c r="G1213" t="s">
        <v>5</v>
      </c>
      <c r="H1213">
        <v>1</v>
      </c>
      <c r="I1213">
        <v>615898</v>
      </c>
      <c r="J1213" t="str">
        <f>VLOOKUP(H1213,DC_Xref!A:B,2,FALSE)</f>
        <v>OFC</v>
      </c>
      <c r="K1213">
        <f t="shared" si="18"/>
        <v>202346</v>
      </c>
      <c r="L1213">
        <f>IFERROR(Table1[[#This Row],[Demand]]/SUMIFS(Table1[Demand],Table1[Fiscal_Year],Table1[[#This Row],[Fiscal_Year]],Table1[BRAND],Table1[[#This Row],[BRAND]],Table1[DC_name_Xref],Table1[[#This Row],[DC_name_Xref]]),0)</f>
        <v>6.3392074719520811E-2</v>
      </c>
      <c r="M12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213" s="3">
        <f>IFERROR(INDEX(Table3[#All],MATCH(Table1[[#This Row],[Key_Year_Week_Brand]],Table3[[#All],[Key_Year_Week_Brand]],0),MATCH(Table1[[#This Row],[DC_name_Xref]],Table3[#Headers],0)),0)</f>
        <v>1</v>
      </c>
      <c r="O1213">
        <f>IFERROR(INDEX(Table35[#All],MATCH(Table1[[#This Row],[Key_Year_Week_Brand]],Table35[[#All],[Key_Year_Month_Brand]],0),MATCH(Table1[[#This Row],[DC_name_Xref]],Table35[#Headers],0)),0)</f>
        <v>615898</v>
      </c>
    </row>
    <row r="1214" spans="1:15" x14ac:dyDescent="0.3">
      <c r="A1214" s="19" t="str">
        <f>Table1[[#This Row],[Year_Week]]&amp;"-"&amp;Table1[[#This Row],[DC_name_Xref]]</f>
        <v>202346-TFC</v>
      </c>
      <c r="B1214" s="19" t="str">
        <f>Table1[[#This Row],[Fiscal_Year]]*100+Table1[[#This Row],[Fiscal_Week]] &amp; "-" &amp;Table1[[#This Row],[BRAND]]</f>
        <v>202346-Gap Factory Store</v>
      </c>
      <c r="C1214" t="str">
        <f>Table1[[#This Row],[Fiscal_Year]]&amp;"-"&amp;Table1[[#This Row],[BRAND]]</f>
        <v>2023-Gap Factory Store</v>
      </c>
      <c r="D1214">
        <v>2023</v>
      </c>
      <c r="E1214">
        <v>46</v>
      </c>
      <c r="F1214" t="s">
        <v>22</v>
      </c>
      <c r="G1214" t="s">
        <v>21</v>
      </c>
      <c r="H1214">
        <v>2</v>
      </c>
      <c r="I1214">
        <v>0</v>
      </c>
      <c r="J1214" t="str">
        <f>VLOOKUP(H1214,DC_Xref!A:B,2,FALSE)</f>
        <v>TFC</v>
      </c>
      <c r="K1214">
        <f t="shared" si="18"/>
        <v>202346</v>
      </c>
      <c r="L1214">
        <f>IFERROR(Table1[[#This Row],[Demand]]/SUMIFS(Table1[Demand],Table1[Fiscal_Year],Table1[[#This Row],[Fiscal_Year]],Table1[BRAND],Table1[[#This Row],[BRAND]],Table1[DC_name_Xref],Table1[[#This Row],[DC_name_Xref]]),0)</f>
        <v>0</v>
      </c>
      <c r="M12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4" s="3">
        <f>IFERROR(INDEX(Table3[#All],MATCH(Table1[[#This Row],[Key_Year_Week_Brand]],Table3[[#All],[Key_Year_Week_Brand]],0),MATCH(Table1[[#This Row],[DC_name_Xref]],Table3[#Headers],0)),0)</f>
        <v>0</v>
      </c>
      <c r="O1214">
        <f>IFERROR(INDEX(Table35[#All],MATCH(Table1[[#This Row],[Key_Year_Week_Brand]],Table35[[#All],[Key_Year_Month_Brand]],0),MATCH(Table1[[#This Row],[DC_name_Xref]],Table35[#Headers],0)),0)</f>
        <v>0</v>
      </c>
    </row>
    <row r="1215" spans="1:15" x14ac:dyDescent="0.3">
      <c r="A1215" s="19" t="str">
        <f>Table1[[#This Row],[Year_Week]]&amp;"-"&amp;Table1[[#This Row],[DC_name_Xref]]</f>
        <v>202346-WFC</v>
      </c>
      <c r="B1215" s="19" t="str">
        <f>Table1[[#This Row],[Fiscal_Year]]*100+Table1[[#This Row],[Fiscal_Week]] &amp; "-" &amp;Table1[[#This Row],[BRAND]]</f>
        <v>202346-Gap Factory Store</v>
      </c>
      <c r="C1215" t="str">
        <f>Table1[[#This Row],[Fiscal_Year]]&amp;"-"&amp;Table1[[#This Row],[BRAND]]</f>
        <v>2023-Gap Factory Store</v>
      </c>
      <c r="D1215">
        <v>2023</v>
      </c>
      <c r="E1215">
        <v>46</v>
      </c>
      <c r="F1215" t="s">
        <v>22</v>
      </c>
      <c r="G1215" t="s">
        <v>7</v>
      </c>
      <c r="H1215">
        <v>3</v>
      </c>
      <c r="I1215">
        <v>0</v>
      </c>
      <c r="J1215" t="str">
        <f>VLOOKUP(H1215,DC_Xref!A:B,2,FALSE)</f>
        <v>WFC</v>
      </c>
      <c r="K1215">
        <f t="shared" si="18"/>
        <v>202346</v>
      </c>
      <c r="L1215">
        <f>IFERROR(Table1[[#This Row],[Demand]]/SUMIFS(Table1[Demand],Table1[Fiscal_Year],Table1[[#This Row],[Fiscal_Year]],Table1[BRAND],Table1[[#This Row],[BRAND]],Table1[DC_name_Xref],Table1[[#This Row],[DC_name_Xref]]),0)</f>
        <v>0</v>
      </c>
      <c r="M12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5" s="3">
        <f>IFERROR(INDEX(Table3[#All],MATCH(Table1[[#This Row],[Key_Year_Week_Brand]],Table3[[#All],[Key_Year_Week_Brand]],0),MATCH(Table1[[#This Row],[DC_name_Xref]],Table3[#Headers],0)),0)</f>
        <v>0</v>
      </c>
      <c r="O1215">
        <f>IFERROR(INDEX(Table35[#All],MATCH(Table1[[#This Row],[Key_Year_Week_Brand]],Table35[[#All],[Key_Year_Month_Brand]],0),MATCH(Table1[[#This Row],[DC_name_Xref]],Table35[#Headers],0)),0)</f>
        <v>0</v>
      </c>
    </row>
    <row r="1216" spans="1:15" x14ac:dyDescent="0.3">
      <c r="A1216" s="19" t="str">
        <f>Table1[[#This Row],[Year_Week]]&amp;"-"&amp;Table1[[#This Row],[DC_name_Xref]]</f>
        <v>202346-EAO</v>
      </c>
      <c r="B1216" s="19" t="str">
        <f>Table1[[#This Row],[Fiscal_Year]]*100+Table1[[#This Row],[Fiscal_Week]] &amp; "-" &amp;Table1[[#This Row],[BRAND]]</f>
        <v>202346-Gap Factory Store</v>
      </c>
      <c r="C1216" t="str">
        <f>Table1[[#This Row],[Fiscal_Year]]&amp;"-"&amp;Table1[[#This Row],[BRAND]]</f>
        <v>2023-Gap Factory Store</v>
      </c>
      <c r="D1216">
        <v>2023</v>
      </c>
      <c r="E1216">
        <v>46</v>
      </c>
      <c r="F1216" t="s">
        <v>22</v>
      </c>
      <c r="G1216" t="s">
        <v>8</v>
      </c>
      <c r="H1216">
        <v>4</v>
      </c>
      <c r="I1216">
        <v>0</v>
      </c>
      <c r="J1216" t="str">
        <f>VLOOKUP(H1216,DC_Xref!A:B,2,FALSE)</f>
        <v>EAO</v>
      </c>
      <c r="K1216">
        <f t="shared" si="18"/>
        <v>202346</v>
      </c>
      <c r="L1216">
        <f>IFERROR(Table1[[#This Row],[Demand]]/SUMIFS(Table1[Demand],Table1[Fiscal_Year],Table1[[#This Row],[Fiscal_Year]],Table1[BRAND],Table1[[#This Row],[BRAND]],Table1[DC_name_Xref],Table1[[#This Row],[DC_name_Xref]]),0)</f>
        <v>0</v>
      </c>
      <c r="M12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6" s="3">
        <f>IFERROR(INDEX(Table3[#All],MATCH(Table1[[#This Row],[Key_Year_Week_Brand]],Table3[[#All],[Key_Year_Week_Brand]],0),MATCH(Table1[[#This Row],[DC_name_Xref]],Table3[#Headers],0)),0)</f>
        <v>0</v>
      </c>
      <c r="O1216">
        <f>IFERROR(INDEX(Table35[#All],MATCH(Table1[[#This Row],[Key_Year_Week_Brand]],Table35[[#All],[Key_Year_Month_Brand]],0),MATCH(Table1[[#This Row],[DC_name_Xref]],Table35[#Headers],0)),0)</f>
        <v>0</v>
      </c>
    </row>
    <row r="1217" spans="1:15" x14ac:dyDescent="0.3">
      <c r="A1217" s="19" t="str">
        <f>Table1[[#This Row],[Year_Week]]&amp;"-"&amp;Table1[[#This Row],[DC_name_Xref]]</f>
        <v>202346-FFC-ODC</v>
      </c>
      <c r="B1217" s="19" t="str">
        <f>Table1[[#This Row],[Fiscal_Year]]*100+Table1[[#This Row],[Fiscal_Week]] &amp; "-" &amp;Table1[[#This Row],[BRAND]]</f>
        <v>202346-Gap Factory Store</v>
      </c>
      <c r="C1217" t="str">
        <f>Table1[[#This Row],[Fiscal_Year]]&amp;"-"&amp;Table1[[#This Row],[BRAND]]</f>
        <v>2023-Gap Factory Store</v>
      </c>
      <c r="D1217">
        <v>2023</v>
      </c>
      <c r="E1217">
        <v>46</v>
      </c>
      <c r="F1217" t="s">
        <v>22</v>
      </c>
      <c r="G1217" t="s">
        <v>23</v>
      </c>
      <c r="H1217">
        <v>5</v>
      </c>
      <c r="I1217">
        <v>0</v>
      </c>
      <c r="J1217" t="str">
        <f>VLOOKUP(H1217,DC_Xref!A:B,2,FALSE)</f>
        <v>FFC-ODC</v>
      </c>
      <c r="K1217">
        <f t="shared" si="18"/>
        <v>202346</v>
      </c>
      <c r="L1217">
        <f>IFERROR(Table1[[#This Row],[Demand]]/SUMIFS(Table1[Demand],Table1[Fiscal_Year],Table1[[#This Row],[Fiscal_Year]],Table1[BRAND],Table1[[#This Row],[BRAND]],Table1[DC_name_Xref],Table1[[#This Row],[DC_name_Xref]]),0)</f>
        <v>0</v>
      </c>
      <c r="M12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7" s="3">
        <f>IFERROR(INDEX(Table3[#All],MATCH(Table1[[#This Row],[Key_Year_Week_Brand]],Table3[[#All],[Key_Year_Week_Brand]],0),MATCH(Table1[[#This Row],[DC_name_Xref]],Table3[#Headers],0)),0)</f>
        <v>0</v>
      </c>
      <c r="O1217">
        <f>IFERROR(INDEX(Table35[#All],MATCH(Table1[[#This Row],[Key_Year_Week_Brand]],Table35[[#All],[Key_Year_Month_Brand]],0),MATCH(Table1[[#This Row],[DC_name_Xref]],Table35[#Headers],0)),0)</f>
        <v>0</v>
      </c>
    </row>
    <row r="1218" spans="1:15" x14ac:dyDescent="0.3">
      <c r="A1218" s="19" t="str">
        <f>Table1[[#This Row],[Year_Week]]&amp;"-"&amp;Table1[[#This Row],[DC_name_Xref]]</f>
        <v>202346-WEO</v>
      </c>
      <c r="B1218" s="19" t="str">
        <f>Table1[[#This Row],[Fiscal_Year]]*100+Table1[[#This Row],[Fiscal_Week]] &amp; "-" &amp;Table1[[#This Row],[BRAND]]</f>
        <v>202346-Gap Factory Store</v>
      </c>
      <c r="C1218" t="str">
        <f>Table1[[#This Row],[Fiscal_Year]]&amp;"-"&amp;Table1[[#This Row],[BRAND]]</f>
        <v>2023-Gap Factory Store</v>
      </c>
      <c r="D1218">
        <v>2023</v>
      </c>
      <c r="E1218">
        <v>46</v>
      </c>
      <c r="F1218" t="s">
        <v>22</v>
      </c>
      <c r="G1218" t="s">
        <v>10</v>
      </c>
      <c r="H1218">
        <v>6</v>
      </c>
      <c r="I1218">
        <v>0</v>
      </c>
      <c r="J1218" t="str">
        <f>VLOOKUP(H1218,DC_Xref!A:B,2,FALSE)</f>
        <v>WEO</v>
      </c>
      <c r="K1218">
        <f t="shared" ref="K1218:K1285" si="19">D1218*100+E1218</f>
        <v>202346</v>
      </c>
      <c r="L1218">
        <f>IFERROR(Table1[[#This Row],[Demand]]/SUMIFS(Table1[Demand],Table1[Fiscal_Year],Table1[[#This Row],[Fiscal_Year]],Table1[BRAND],Table1[[#This Row],[BRAND]],Table1[DC_name_Xref],Table1[[#This Row],[DC_name_Xref]]),0)</f>
        <v>0</v>
      </c>
      <c r="M12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8" s="3">
        <f>IFERROR(INDEX(Table3[#All],MATCH(Table1[[#This Row],[Key_Year_Week_Brand]],Table3[[#All],[Key_Year_Week_Brand]],0),MATCH(Table1[[#This Row],[DC_name_Xref]],Table3[#Headers],0)),0)</f>
        <v>0</v>
      </c>
      <c r="O1218">
        <f>IFERROR(INDEX(Table35[#All],MATCH(Table1[[#This Row],[Key_Year_Week_Brand]],Table35[[#All],[Key_Year_Month_Brand]],0),MATCH(Table1[[#This Row],[DC_name_Xref]],Table35[#Headers],0)),0)</f>
        <v>0</v>
      </c>
    </row>
    <row r="1219" spans="1:15" x14ac:dyDescent="0.3">
      <c r="A1219" s="19" t="str">
        <f>Table1[[#This Row],[Year_Week]]&amp;"-"&amp;Table1[[#This Row],[DC_name_Xref]]</f>
        <v>202346-OCC</v>
      </c>
      <c r="B1219" s="19" t="str">
        <f>Table1[[#This Row],[Fiscal_Year]]*100+Table1[[#This Row],[Fiscal_Week]] &amp; "-" &amp;Table1[[#This Row],[BRAND]]</f>
        <v>202346-Gap Factory Store</v>
      </c>
      <c r="C1219" t="str">
        <f>Table1[[#This Row],[Fiscal_Year]]&amp;"-"&amp;Table1[[#This Row],[BRAND]]</f>
        <v>2023-Gap Factory Store</v>
      </c>
      <c r="D1219">
        <v>2023</v>
      </c>
      <c r="E1219">
        <v>46</v>
      </c>
      <c r="F1219" t="s">
        <v>22</v>
      </c>
      <c r="G1219" t="s">
        <v>11</v>
      </c>
      <c r="H1219">
        <v>7</v>
      </c>
      <c r="I1219">
        <v>0</v>
      </c>
      <c r="J1219" t="str">
        <f>VLOOKUP(H1219,DC_Xref!A:B,2,FALSE)</f>
        <v>OCC</v>
      </c>
      <c r="K1219">
        <f t="shared" si="19"/>
        <v>202346</v>
      </c>
      <c r="L1219">
        <f>IFERROR(Table1[[#This Row],[Demand]]/SUMIFS(Table1[Demand],Table1[Fiscal_Year],Table1[[#This Row],[Fiscal_Year]],Table1[BRAND],Table1[[#This Row],[BRAND]],Table1[DC_name_Xref],Table1[[#This Row],[DC_name_Xref]]),0)</f>
        <v>0</v>
      </c>
      <c r="M12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19" s="3">
        <f>IFERROR(INDEX(Table3[#All],MATCH(Table1[[#This Row],[Key_Year_Week_Brand]],Table3[[#All],[Key_Year_Week_Brand]],0),MATCH(Table1[[#This Row],[DC_name_Xref]],Table3[#Headers],0)),0)</f>
        <v>0</v>
      </c>
      <c r="O1219">
        <f>IFERROR(INDEX(Table35[#All],MATCH(Table1[[#This Row],[Key_Year_Week_Brand]],Table35[[#All],[Key_Year_Month_Brand]],0),MATCH(Table1[[#This Row],[DC_name_Xref]],Table35[#Headers],0)),0)</f>
        <v>0</v>
      </c>
    </row>
    <row r="1220" spans="1:15" x14ac:dyDescent="0.3">
      <c r="A1220" s="19" t="str">
        <f>Table1[[#This Row],[Year_Week]]&amp;"-"&amp;Table1[[#This Row],[DC_name_Xref]]</f>
        <v>202347-OFC</v>
      </c>
      <c r="B1220" s="19" t="str">
        <f>Table1[[#This Row],[Fiscal_Year]]*100+Table1[[#This Row],[Fiscal_Week]] &amp; "-" &amp;Table1[[#This Row],[BRAND]]</f>
        <v>202347-BR Factory Store</v>
      </c>
      <c r="C1220" t="str">
        <f>Table1[[#This Row],[Fiscal_Year]]&amp;"-"&amp;Table1[[#This Row],[BRAND]]</f>
        <v>2023-BR Factory Store</v>
      </c>
      <c r="D1220">
        <v>2023</v>
      </c>
      <c r="E1220">
        <v>47</v>
      </c>
      <c r="F1220" t="s">
        <v>17</v>
      </c>
      <c r="G1220" t="s">
        <v>5</v>
      </c>
      <c r="H1220">
        <v>1</v>
      </c>
      <c r="I1220">
        <v>286013</v>
      </c>
      <c r="J1220" t="str">
        <f>VLOOKUP(H1220,DC_Xref!A:B,2,FALSE)</f>
        <v>OFC</v>
      </c>
      <c r="K1220">
        <f t="shared" si="19"/>
        <v>202347</v>
      </c>
      <c r="L1220">
        <f>IFERROR(Table1[[#This Row],[Demand]]/SUMIFS(Table1[Demand],Table1[Fiscal_Year],Table1[[#This Row],[Fiscal_Year]],Table1[BRAND],Table1[[#This Row],[BRAND]],Table1[DC_name_Xref],Table1[[#This Row],[DC_name_Xref]]),0)</f>
        <v>8.520637326619615E-2</v>
      </c>
      <c r="M12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220" s="3">
        <f>IFERROR(INDEX(Table3[#All],MATCH(Table1[[#This Row],[Key_Year_Week_Brand]],Table3[[#All],[Key_Year_Week_Brand]],0),MATCH(Table1[[#This Row],[DC_name_Xref]],Table3[#Headers],0)),0)</f>
        <v>1</v>
      </c>
      <c r="O1220">
        <f>IFERROR(INDEX(Table35[#All],MATCH(Table1[[#This Row],[Key_Year_Week_Brand]],Table35[[#All],[Key_Year_Month_Brand]],0),MATCH(Table1[[#This Row],[DC_name_Xref]],Table35[#Headers],0)),0)</f>
        <v>286013</v>
      </c>
    </row>
    <row r="1221" spans="1:15" x14ac:dyDescent="0.3">
      <c r="A1221" s="19" t="str">
        <f>Table1[[#This Row],[Year_Week]]&amp;"-"&amp;Table1[[#This Row],[DC_name_Xref]]</f>
        <v>202347-TFC</v>
      </c>
      <c r="B1221" s="19" t="str">
        <f>Table1[[#This Row],[Fiscal_Year]]*100+Table1[[#This Row],[Fiscal_Week]] &amp; "-" &amp;Table1[[#This Row],[BRAND]]</f>
        <v>202347-BR Factory Store</v>
      </c>
      <c r="C1221" t="str">
        <f>Table1[[#This Row],[Fiscal_Year]]&amp;"-"&amp;Table1[[#This Row],[BRAND]]</f>
        <v>2023-BR Factory Store</v>
      </c>
      <c r="D1221">
        <v>2023</v>
      </c>
      <c r="E1221">
        <v>47</v>
      </c>
      <c r="F1221" t="s">
        <v>17</v>
      </c>
      <c r="G1221" t="s">
        <v>21</v>
      </c>
      <c r="H1221">
        <v>2</v>
      </c>
      <c r="I1221">
        <v>0</v>
      </c>
      <c r="J1221" t="str">
        <f>VLOOKUP(H1221,DC_Xref!A:B,2,FALSE)</f>
        <v>TFC</v>
      </c>
      <c r="K1221">
        <f t="shared" si="19"/>
        <v>202347</v>
      </c>
      <c r="L1221">
        <f>IFERROR(Table1[[#This Row],[Demand]]/SUMIFS(Table1[Demand],Table1[Fiscal_Year],Table1[[#This Row],[Fiscal_Year]],Table1[BRAND],Table1[[#This Row],[BRAND]],Table1[DC_name_Xref],Table1[[#This Row],[DC_name_Xref]]),0)</f>
        <v>0</v>
      </c>
      <c r="M12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1" s="3">
        <f>IFERROR(INDEX(Table3[#All],MATCH(Table1[[#This Row],[Key_Year_Week_Brand]],Table3[[#All],[Key_Year_Week_Brand]],0),MATCH(Table1[[#This Row],[DC_name_Xref]],Table3[#Headers],0)),0)</f>
        <v>0</v>
      </c>
      <c r="O1221">
        <f>IFERROR(INDEX(Table35[#All],MATCH(Table1[[#This Row],[Key_Year_Week_Brand]],Table35[[#All],[Key_Year_Month_Brand]],0),MATCH(Table1[[#This Row],[DC_name_Xref]],Table35[#Headers],0)),0)</f>
        <v>0</v>
      </c>
    </row>
    <row r="1222" spans="1:15" x14ac:dyDescent="0.3">
      <c r="A1222" s="19" t="str">
        <f>Table1[[#This Row],[Year_Week]]&amp;"-"&amp;Table1[[#This Row],[DC_name_Xref]]</f>
        <v>202347-WFC</v>
      </c>
      <c r="B1222" s="19" t="str">
        <f>Table1[[#This Row],[Fiscal_Year]]*100+Table1[[#This Row],[Fiscal_Week]] &amp; "-" &amp;Table1[[#This Row],[BRAND]]</f>
        <v>202347-BR Factory Store</v>
      </c>
      <c r="C1222" t="str">
        <f>Table1[[#This Row],[Fiscal_Year]]&amp;"-"&amp;Table1[[#This Row],[BRAND]]</f>
        <v>2023-BR Factory Store</v>
      </c>
      <c r="D1222">
        <v>2023</v>
      </c>
      <c r="E1222">
        <v>47</v>
      </c>
      <c r="F1222" t="s">
        <v>17</v>
      </c>
      <c r="G1222" t="s">
        <v>7</v>
      </c>
      <c r="H1222">
        <v>3</v>
      </c>
      <c r="I1222">
        <v>0</v>
      </c>
      <c r="J1222" t="str">
        <f>VLOOKUP(H1222,DC_Xref!A:B,2,FALSE)</f>
        <v>WFC</v>
      </c>
      <c r="K1222">
        <f t="shared" si="19"/>
        <v>202347</v>
      </c>
      <c r="L1222">
        <f>IFERROR(Table1[[#This Row],[Demand]]/SUMIFS(Table1[Demand],Table1[Fiscal_Year],Table1[[#This Row],[Fiscal_Year]],Table1[BRAND],Table1[[#This Row],[BRAND]],Table1[DC_name_Xref],Table1[[#This Row],[DC_name_Xref]]),0)</f>
        <v>0</v>
      </c>
      <c r="M12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2" s="3">
        <f>IFERROR(INDEX(Table3[#All],MATCH(Table1[[#This Row],[Key_Year_Week_Brand]],Table3[[#All],[Key_Year_Week_Brand]],0),MATCH(Table1[[#This Row],[DC_name_Xref]],Table3[#Headers],0)),0)</f>
        <v>0</v>
      </c>
      <c r="O1222">
        <f>IFERROR(INDEX(Table35[#All],MATCH(Table1[[#This Row],[Key_Year_Week_Brand]],Table35[[#All],[Key_Year_Month_Brand]],0),MATCH(Table1[[#This Row],[DC_name_Xref]],Table35[#Headers],0)),0)</f>
        <v>0</v>
      </c>
    </row>
    <row r="1223" spans="1:15" x14ac:dyDescent="0.3">
      <c r="A1223" s="19" t="str">
        <f>Table1[[#This Row],[Year_Week]]&amp;"-"&amp;Table1[[#This Row],[DC_name_Xref]]</f>
        <v>202347-EAO</v>
      </c>
      <c r="B1223" s="19" t="str">
        <f>Table1[[#This Row],[Fiscal_Year]]*100+Table1[[#This Row],[Fiscal_Week]] &amp; "-" &amp;Table1[[#This Row],[BRAND]]</f>
        <v>202347-BR Factory Store</v>
      </c>
      <c r="C1223" t="str">
        <f>Table1[[#This Row],[Fiscal_Year]]&amp;"-"&amp;Table1[[#This Row],[BRAND]]</f>
        <v>2023-BR Factory Store</v>
      </c>
      <c r="D1223">
        <v>2023</v>
      </c>
      <c r="E1223">
        <v>47</v>
      </c>
      <c r="F1223" t="s">
        <v>17</v>
      </c>
      <c r="G1223" t="s">
        <v>8</v>
      </c>
      <c r="H1223">
        <v>4</v>
      </c>
      <c r="I1223">
        <v>0</v>
      </c>
      <c r="J1223" t="str">
        <f>VLOOKUP(H1223,DC_Xref!A:B,2,FALSE)</f>
        <v>EAO</v>
      </c>
      <c r="K1223">
        <f t="shared" si="19"/>
        <v>202347</v>
      </c>
      <c r="L1223">
        <f>IFERROR(Table1[[#This Row],[Demand]]/SUMIFS(Table1[Demand],Table1[Fiscal_Year],Table1[[#This Row],[Fiscal_Year]],Table1[BRAND],Table1[[#This Row],[BRAND]],Table1[DC_name_Xref],Table1[[#This Row],[DC_name_Xref]]),0)</f>
        <v>0</v>
      </c>
      <c r="M12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3" s="3">
        <f>IFERROR(INDEX(Table3[#All],MATCH(Table1[[#This Row],[Key_Year_Week_Brand]],Table3[[#All],[Key_Year_Week_Brand]],0),MATCH(Table1[[#This Row],[DC_name_Xref]],Table3[#Headers],0)),0)</f>
        <v>0</v>
      </c>
      <c r="O1223">
        <f>IFERROR(INDEX(Table35[#All],MATCH(Table1[[#This Row],[Key_Year_Week_Brand]],Table35[[#All],[Key_Year_Month_Brand]],0),MATCH(Table1[[#This Row],[DC_name_Xref]],Table35[#Headers],0)),0)</f>
        <v>0</v>
      </c>
    </row>
    <row r="1224" spans="1:15" x14ac:dyDescent="0.3">
      <c r="A1224" s="19" t="str">
        <f>Table1[[#This Row],[Year_Week]]&amp;"-"&amp;Table1[[#This Row],[DC_name_Xref]]</f>
        <v>202347-FFC-ODC</v>
      </c>
      <c r="B1224" s="19" t="str">
        <f>Table1[[#This Row],[Fiscal_Year]]*100+Table1[[#This Row],[Fiscal_Week]] &amp; "-" &amp;Table1[[#This Row],[BRAND]]</f>
        <v>202347-BR Factory Store</v>
      </c>
      <c r="C1224" t="str">
        <f>Table1[[#This Row],[Fiscal_Year]]&amp;"-"&amp;Table1[[#This Row],[BRAND]]</f>
        <v>2023-BR Factory Store</v>
      </c>
      <c r="D1224">
        <v>2023</v>
      </c>
      <c r="E1224">
        <v>47</v>
      </c>
      <c r="F1224" t="s">
        <v>17</v>
      </c>
      <c r="G1224" t="s">
        <v>23</v>
      </c>
      <c r="H1224">
        <v>5</v>
      </c>
      <c r="I1224">
        <v>0</v>
      </c>
      <c r="J1224" t="str">
        <f>VLOOKUP(H1224,DC_Xref!A:B,2,FALSE)</f>
        <v>FFC-ODC</v>
      </c>
      <c r="K1224">
        <f t="shared" si="19"/>
        <v>202347</v>
      </c>
      <c r="L1224">
        <f>IFERROR(Table1[[#This Row],[Demand]]/SUMIFS(Table1[Demand],Table1[Fiscal_Year],Table1[[#This Row],[Fiscal_Year]],Table1[BRAND],Table1[[#This Row],[BRAND]],Table1[DC_name_Xref],Table1[[#This Row],[DC_name_Xref]]),0)</f>
        <v>0</v>
      </c>
      <c r="M12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4" s="3">
        <f>IFERROR(INDEX(Table3[#All],MATCH(Table1[[#This Row],[Key_Year_Week_Brand]],Table3[[#All],[Key_Year_Week_Brand]],0),MATCH(Table1[[#This Row],[DC_name_Xref]],Table3[#Headers],0)),0)</f>
        <v>0</v>
      </c>
      <c r="O1224">
        <f>IFERROR(INDEX(Table35[#All],MATCH(Table1[[#This Row],[Key_Year_Week_Brand]],Table35[[#All],[Key_Year_Month_Brand]],0),MATCH(Table1[[#This Row],[DC_name_Xref]],Table35[#Headers],0)),0)</f>
        <v>0</v>
      </c>
    </row>
    <row r="1225" spans="1:15" x14ac:dyDescent="0.3">
      <c r="A1225" s="19" t="str">
        <f>Table1[[#This Row],[Year_Week]]&amp;"-"&amp;Table1[[#This Row],[DC_name_Xref]]</f>
        <v>202347-WEO</v>
      </c>
      <c r="B1225" s="19" t="str">
        <f>Table1[[#This Row],[Fiscal_Year]]*100+Table1[[#This Row],[Fiscal_Week]] &amp; "-" &amp;Table1[[#This Row],[BRAND]]</f>
        <v>202347-BR Factory Store</v>
      </c>
      <c r="C1225" t="str">
        <f>Table1[[#This Row],[Fiscal_Year]]&amp;"-"&amp;Table1[[#This Row],[BRAND]]</f>
        <v>2023-BR Factory Store</v>
      </c>
      <c r="D1225">
        <v>2023</v>
      </c>
      <c r="E1225">
        <v>47</v>
      </c>
      <c r="F1225" t="s">
        <v>17</v>
      </c>
      <c r="G1225" t="s">
        <v>10</v>
      </c>
      <c r="H1225">
        <v>6</v>
      </c>
      <c r="I1225">
        <v>0</v>
      </c>
      <c r="J1225" t="str">
        <f>VLOOKUP(H1225,DC_Xref!A:B,2,FALSE)</f>
        <v>WEO</v>
      </c>
      <c r="K1225">
        <f t="shared" si="19"/>
        <v>202347</v>
      </c>
      <c r="L1225">
        <f>IFERROR(Table1[[#This Row],[Demand]]/SUMIFS(Table1[Demand],Table1[Fiscal_Year],Table1[[#This Row],[Fiscal_Year]],Table1[BRAND],Table1[[#This Row],[BRAND]],Table1[DC_name_Xref],Table1[[#This Row],[DC_name_Xref]]),0)</f>
        <v>0</v>
      </c>
      <c r="M12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5" s="3">
        <f>IFERROR(INDEX(Table3[#All],MATCH(Table1[[#This Row],[Key_Year_Week_Brand]],Table3[[#All],[Key_Year_Week_Brand]],0),MATCH(Table1[[#This Row],[DC_name_Xref]],Table3[#Headers],0)),0)</f>
        <v>0</v>
      </c>
      <c r="O1225">
        <f>IFERROR(INDEX(Table35[#All],MATCH(Table1[[#This Row],[Key_Year_Week_Brand]],Table35[[#All],[Key_Year_Month_Brand]],0),MATCH(Table1[[#This Row],[DC_name_Xref]],Table35[#Headers],0)),0)</f>
        <v>0</v>
      </c>
    </row>
    <row r="1226" spans="1:15" x14ac:dyDescent="0.3">
      <c r="A1226" s="19" t="str">
        <f>Table1[[#This Row],[Year_Week]]&amp;"-"&amp;Table1[[#This Row],[DC_name_Xref]]</f>
        <v>202347-OCC</v>
      </c>
      <c r="B1226" s="19" t="str">
        <f>Table1[[#This Row],[Fiscal_Year]]*100+Table1[[#This Row],[Fiscal_Week]] &amp; "-" &amp;Table1[[#This Row],[BRAND]]</f>
        <v>202347-BR Factory Store</v>
      </c>
      <c r="C1226" t="str">
        <f>Table1[[#This Row],[Fiscal_Year]]&amp;"-"&amp;Table1[[#This Row],[BRAND]]</f>
        <v>2023-BR Factory Store</v>
      </c>
      <c r="D1226">
        <v>2023</v>
      </c>
      <c r="E1226">
        <v>47</v>
      </c>
      <c r="F1226" t="s">
        <v>17</v>
      </c>
      <c r="G1226" t="s">
        <v>11</v>
      </c>
      <c r="H1226">
        <v>7</v>
      </c>
      <c r="I1226">
        <v>0</v>
      </c>
      <c r="J1226" t="str">
        <f>VLOOKUP(H1226,DC_Xref!A:B,2,FALSE)</f>
        <v>OCC</v>
      </c>
      <c r="K1226">
        <f t="shared" si="19"/>
        <v>202347</v>
      </c>
      <c r="L1226">
        <f>IFERROR(Table1[[#This Row],[Demand]]/SUMIFS(Table1[Demand],Table1[Fiscal_Year],Table1[[#This Row],[Fiscal_Year]],Table1[BRAND],Table1[[#This Row],[BRAND]],Table1[DC_name_Xref],Table1[[#This Row],[DC_name_Xref]]),0)</f>
        <v>0</v>
      </c>
      <c r="M12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26" s="3">
        <f>IFERROR(INDEX(Table3[#All],MATCH(Table1[[#This Row],[Key_Year_Week_Brand]],Table3[[#All],[Key_Year_Week_Brand]],0),MATCH(Table1[[#This Row],[DC_name_Xref]],Table3[#Headers],0)),0)</f>
        <v>0</v>
      </c>
      <c r="O1226">
        <f>IFERROR(INDEX(Table35[#All],MATCH(Table1[[#This Row],[Key_Year_Week_Brand]],Table35[[#All],[Key_Year_Month_Brand]],0),MATCH(Table1[[#This Row],[DC_name_Xref]],Table35[#Headers],0)),0)</f>
        <v>0</v>
      </c>
    </row>
    <row r="1227" spans="1:15" x14ac:dyDescent="0.3">
      <c r="A1227" s="19" t="str">
        <f>Table1[[#This Row],[Year_Week]]&amp;"-"&amp;Table1[[#This Row],[DC_name_Xref]]</f>
        <v>202347-OFC</v>
      </c>
      <c r="B1227" s="19" t="str">
        <f>Table1[[#This Row],[Fiscal_Year]]*100+Table1[[#This Row],[Fiscal_Week]] &amp; "-" &amp;Table1[[#This Row],[BRAND]]</f>
        <v>202347-Old Navy</v>
      </c>
      <c r="C1227" t="str">
        <f>Table1[[#This Row],[Fiscal_Year]]&amp;"-"&amp;Table1[[#This Row],[BRAND]]</f>
        <v>2023-Old Navy</v>
      </c>
      <c r="D1227">
        <v>2023</v>
      </c>
      <c r="E1227">
        <v>47</v>
      </c>
      <c r="F1227" t="s">
        <v>20</v>
      </c>
      <c r="G1227" t="s">
        <v>5</v>
      </c>
      <c r="H1227">
        <v>1</v>
      </c>
      <c r="I1227">
        <v>1085224</v>
      </c>
      <c r="J1227" t="str">
        <f>VLOOKUP(H1227,DC_Xref!A:B,2,FALSE)</f>
        <v>OFC</v>
      </c>
      <c r="K1227">
        <f t="shared" si="19"/>
        <v>202347</v>
      </c>
      <c r="L1227">
        <f>IFERROR(Table1[[#This Row],[Demand]]/SUMIFS(Table1[Demand],Table1[Fiscal_Year],Table1[[#This Row],[Fiscal_Year]],Table1[BRAND],Table1[[#This Row],[BRAND]],Table1[DC_name_Xref],Table1[[#This Row],[DC_name_Xref]]),0)</f>
        <v>7.590347406686325E-2</v>
      </c>
      <c r="M12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0.30096115909547266</v>
      </c>
      <c r="N1227" s="3">
        <f>IFERROR(INDEX(Table3[#All],MATCH(Table1[[#This Row],[Key_Year_Week_Brand]],Table3[[#All],[Key_Year_Week_Brand]],0),MATCH(Table1[[#This Row],[DC_name_Xref]],Table3[#Headers],0)),0)</f>
        <v>0</v>
      </c>
      <c r="O1227">
        <f>IFERROR(INDEX(Table35[#All],MATCH(Table1[[#This Row],[Key_Year_Week_Brand]],Table35[[#All],[Key_Year_Month_Brand]],0),MATCH(Table1[[#This Row],[DC_name_Xref]],Table35[#Headers],0)),0)</f>
        <v>0</v>
      </c>
    </row>
    <row r="1228" spans="1:15" x14ac:dyDescent="0.3">
      <c r="A1228" s="19" t="str">
        <f>Table1[[#This Row],[Year_Week]]&amp;"-"&amp;Table1[[#This Row],[DC_name_Xref]]</f>
        <v>202347-TFC</v>
      </c>
      <c r="B1228" s="19" t="str">
        <f>Table1[[#This Row],[Fiscal_Year]]*100+Table1[[#This Row],[Fiscal_Week]] &amp; "-" &amp;Table1[[#This Row],[BRAND]]</f>
        <v>202347-Old Navy</v>
      </c>
      <c r="C1228" t="str">
        <f>Table1[[#This Row],[Fiscal_Year]]&amp;"-"&amp;Table1[[#This Row],[BRAND]]</f>
        <v>2023-Old Navy</v>
      </c>
      <c r="D1228">
        <v>2023</v>
      </c>
      <c r="E1228">
        <v>47</v>
      </c>
      <c r="F1228" t="s">
        <v>20</v>
      </c>
      <c r="G1228" t="s">
        <v>21</v>
      </c>
      <c r="H1228">
        <v>2</v>
      </c>
      <c r="I1228">
        <v>442120</v>
      </c>
      <c r="J1228" t="str">
        <f>VLOOKUP(H1228,DC_Xref!A:B,2,FALSE)</f>
        <v>TFC</v>
      </c>
      <c r="K1228">
        <f t="shared" si="19"/>
        <v>202347</v>
      </c>
      <c r="L1228">
        <f>IFERROR(Table1[[#This Row],[Demand]]/SUMIFS(Table1[Demand],Table1[Fiscal_Year],Table1[[#This Row],[Fiscal_Year]],Table1[BRAND],Table1[[#This Row],[BRAND]],Table1[DC_name_Xref],Table1[[#This Row],[DC_name_Xref]]),0)</f>
        <v>5.524809408321054E-2</v>
      </c>
      <c r="M12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0.16845176883505619</v>
      </c>
      <c r="N1228" s="3">
        <f>IFERROR(INDEX(Table3[#All],MATCH(Table1[[#This Row],[Key_Year_Week_Brand]],Table3[[#All],[Key_Year_Week_Brand]],0),MATCH(Table1[[#This Row],[DC_name_Xref]],Table3[#Headers],0)),0)</f>
        <v>0</v>
      </c>
      <c r="O1228">
        <f>IFERROR(INDEX(Table35[#All],MATCH(Table1[[#This Row],[Key_Year_Week_Brand]],Table35[[#All],[Key_Year_Month_Brand]],0),MATCH(Table1[[#This Row],[DC_name_Xref]],Table35[#Headers],0)),0)</f>
        <v>0</v>
      </c>
    </row>
    <row r="1229" spans="1:15" x14ac:dyDescent="0.3">
      <c r="A1229" s="19" t="str">
        <f>Table1[[#This Row],[Year_Week]]&amp;"-"&amp;Table1[[#This Row],[DC_name_Xref]]</f>
        <v>202347-WFC</v>
      </c>
      <c r="B1229" s="19" t="str">
        <f>Table1[[#This Row],[Fiscal_Year]]*100+Table1[[#This Row],[Fiscal_Week]] &amp; "-" &amp;Table1[[#This Row],[BRAND]]</f>
        <v>202347-Old Navy</v>
      </c>
      <c r="C1229" t="str">
        <f>Table1[[#This Row],[Fiscal_Year]]&amp;"-"&amp;Table1[[#This Row],[BRAND]]</f>
        <v>2023-Old Navy</v>
      </c>
      <c r="D1229">
        <v>2023</v>
      </c>
      <c r="E1229">
        <v>47</v>
      </c>
      <c r="F1229" t="s">
        <v>20</v>
      </c>
      <c r="G1229" t="s">
        <v>7</v>
      </c>
      <c r="H1229">
        <v>3</v>
      </c>
      <c r="I1229">
        <v>499086</v>
      </c>
      <c r="J1229" t="str">
        <f>VLOOKUP(H1229,DC_Xref!A:B,2,FALSE)</f>
        <v>WFC</v>
      </c>
      <c r="K1229">
        <f t="shared" si="19"/>
        <v>202347</v>
      </c>
      <c r="L1229">
        <f>IFERROR(Table1[[#This Row],[Demand]]/SUMIFS(Table1[Demand],Table1[Fiscal_Year],Table1[[#This Row],[Fiscal_Year]],Table1[BRAND],Table1[[#This Row],[BRAND]],Table1[DC_name_Xref],Table1[[#This Row],[DC_name_Xref]]),0)</f>
        <v>5.247396835450225E-2</v>
      </c>
      <c r="M12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0.20020927518621856</v>
      </c>
      <c r="N1229" s="3">
        <f>IFERROR(INDEX(Table3[#All],MATCH(Table1[[#This Row],[Key_Year_Week_Brand]],Table3[[#All],[Key_Year_Week_Brand]],0),MATCH(Table1[[#This Row],[DC_name_Xref]],Table3[#Headers],0)),0)</f>
        <v>0</v>
      </c>
      <c r="O1229">
        <f>IFERROR(INDEX(Table35[#All],MATCH(Table1[[#This Row],[Key_Year_Week_Brand]],Table35[[#All],[Key_Year_Month_Brand]],0),MATCH(Table1[[#This Row],[DC_name_Xref]],Table35[#Headers],0)),0)</f>
        <v>0</v>
      </c>
    </row>
    <row r="1230" spans="1:15" x14ac:dyDescent="0.3">
      <c r="A1230" s="19" t="str">
        <f>Table1[[#This Row],[Year_Week]]&amp;"-"&amp;Table1[[#This Row],[DC_name_Xref]]</f>
        <v>202347-EAO</v>
      </c>
      <c r="B1230" s="19" t="str">
        <f>Table1[[#This Row],[Fiscal_Year]]*100+Table1[[#This Row],[Fiscal_Week]] &amp; "-" &amp;Table1[[#This Row],[BRAND]]</f>
        <v>202347-Old Navy</v>
      </c>
      <c r="C1230" t="str">
        <f>Table1[[#This Row],[Fiscal_Year]]&amp;"-"&amp;Table1[[#This Row],[BRAND]]</f>
        <v>2023-Old Navy</v>
      </c>
      <c r="D1230">
        <v>2023</v>
      </c>
      <c r="E1230">
        <v>47</v>
      </c>
      <c r="F1230" t="s">
        <v>20</v>
      </c>
      <c r="G1230" t="s">
        <v>8</v>
      </c>
      <c r="H1230">
        <v>4</v>
      </c>
      <c r="I1230">
        <v>958134</v>
      </c>
      <c r="J1230" t="str">
        <f>VLOOKUP(H1230,DC_Xref!A:B,2,FALSE)</f>
        <v>EAO</v>
      </c>
      <c r="K1230">
        <f t="shared" si="19"/>
        <v>202347</v>
      </c>
      <c r="L1230">
        <f>IFERROR(Table1[[#This Row],[Demand]]/SUMIFS(Table1[Demand],Table1[Fiscal_Year],Table1[[#This Row],[Fiscal_Year]],Table1[BRAND],Table1[[#This Row],[BRAND]],Table1[DC_name_Xref],Table1[[#This Row],[DC_name_Xref]]),0)</f>
        <v>6.1047532364843705E-2</v>
      </c>
      <c r="M12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0.33037779688325258</v>
      </c>
      <c r="N1230" s="3">
        <f>IFERROR(INDEX(Table3[#All],MATCH(Table1[[#This Row],[Key_Year_Week_Brand]],Table3[[#All],[Key_Year_Week_Brand]],0),MATCH(Table1[[#This Row],[DC_name_Xref]],Table3[#Headers],0)),0)</f>
        <v>0.21</v>
      </c>
      <c r="O1230">
        <f>IFERROR(INDEX(Table35[#All],MATCH(Table1[[#This Row],[Key_Year_Week_Brand]],Table35[[#All],[Key_Year_Month_Brand]],0),MATCH(Table1[[#This Row],[DC_name_Xref]],Table35[#Headers],0)),0)</f>
        <v>626758.43999999994</v>
      </c>
    </row>
    <row r="1231" spans="1:15" x14ac:dyDescent="0.3">
      <c r="A1231" s="19" t="str">
        <f>Table1[[#This Row],[Year_Week]]&amp;"-"&amp;Table1[[#This Row],[DC_name_Xref]]</f>
        <v>202347-FFC-ODC</v>
      </c>
      <c r="B1231" s="19" t="str">
        <f>Table1[[#This Row],[Fiscal_Year]]*100+Table1[[#This Row],[Fiscal_Week]] &amp; "-" &amp;Table1[[#This Row],[BRAND]]</f>
        <v>202347-Old Navy</v>
      </c>
      <c r="C1231" t="str">
        <f>Table1[[#This Row],[Fiscal_Year]]&amp;"-"&amp;Table1[[#This Row],[BRAND]]</f>
        <v>2023-Old Navy</v>
      </c>
      <c r="D1231">
        <v>2023</v>
      </c>
      <c r="E1231">
        <v>47</v>
      </c>
      <c r="F1231" t="s">
        <v>20</v>
      </c>
      <c r="G1231" t="s">
        <v>23</v>
      </c>
      <c r="H1231">
        <v>5</v>
      </c>
      <c r="I1231">
        <v>0</v>
      </c>
      <c r="J1231" t="str">
        <f>VLOOKUP(H1231,DC_Xref!A:B,2,FALSE)</f>
        <v>FFC-ODC</v>
      </c>
      <c r="K1231">
        <f t="shared" si="19"/>
        <v>202347</v>
      </c>
      <c r="L1231">
        <f>IFERROR(Table1[[#This Row],[Demand]]/SUMIFS(Table1[Demand],Table1[Fiscal_Year],Table1[[#This Row],[Fiscal_Year]],Table1[BRAND],Table1[[#This Row],[BRAND]],Table1[DC_name_Xref],Table1[[#This Row],[DC_name_Xref]]),0)</f>
        <v>0</v>
      </c>
      <c r="M12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1" s="3">
        <f>IFERROR(INDEX(Table3[#All],MATCH(Table1[[#This Row],[Key_Year_Week_Brand]],Table3[[#All],[Key_Year_Week_Brand]],0),MATCH(Table1[[#This Row],[DC_name_Xref]],Table3[#Headers],0)),0)</f>
        <v>0</v>
      </c>
      <c r="O1231">
        <f>IFERROR(INDEX(Table35[#All],MATCH(Table1[[#This Row],[Key_Year_Week_Brand]],Table35[[#All],[Key_Year_Month_Brand]],0),MATCH(Table1[[#This Row],[DC_name_Xref]],Table35[#Headers],0)),0)</f>
        <v>0</v>
      </c>
    </row>
    <row r="1232" spans="1:15" x14ac:dyDescent="0.3">
      <c r="A1232" s="19" t="str">
        <f>Table1[[#This Row],[Year_Week]]&amp;"-"&amp;Table1[[#This Row],[DC_name_Xref]]</f>
        <v>202347-WEO</v>
      </c>
      <c r="B1232" s="19" t="str">
        <f>Table1[[#This Row],[Fiscal_Year]]*100+Table1[[#This Row],[Fiscal_Week]] &amp; "-" &amp;Table1[[#This Row],[BRAND]]</f>
        <v>202347-Old Navy</v>
      </c>
      <c r="C1232" t="str">
        <f>Table1[[#This Row],[Fiscal_Year]]&amp;"-"&amp;Table1[[#This Row],[BRAND]]</f>
        <v>2023-Old Navy</v>
      </c>
      <c r="D1232">
        <v>2023</v>
      </c>
      <c r="E1232">
        <v>47</v>
      </c>
      <c r="F1232" t="s">
        <v>20</v>
      </c>
      <c r="G1232" t="s">
        <v>10</v>
      </c>
      <c r="H1232">
        <v>6</v>
      </c>
      <c r="I1232">
        <v>0</v>
      </c>
      <c r="J1232" t="str">
        <f>VLOOKUP(H1232,DC_Xref!A:B,2,FALSE)</f>
        <v>WEO</v>
      </c>
      <c r="K1232">
        <f t="shared" si="19"/>
        <v>202347</v>
      </c>
      <c r="L1232">
        <f>IFERROR(Table1[[#This Row],[Demand]]/SUMIFS(Table1[Demand],Table1[Fiscal_Year],Table1[[#This Row],[Fiscal_Year]],Table1[BRAND],Table1[[#This Row],[BRAND]],Table1[DC_name_Xref],Table1[[#This Row],[DC_name_Xref]]),0)</f>
        <v>0</v>
      </c>
      <c r="M12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2" s="3">
        <f>IFERROR(INDEX(Table3[#All],MATCH(Table1[[#This Row],[Key_Year_Week_Brand]],Table3[[#All],[Key_Year_Week_Brand]],0),MATCH(Table1[[#This Row],[DC_name_Xref]],Table3[#Headers],0)),0)</f>
        <v>0.08</v>
      </c>
      <c r="O1232">
        <f>IFERROR(INDEX(Table35[#All],MATCH(Table1[[#This Row],[Key_Year_Week_Brand]],Table35[[#All],[Key_Year_Month_Brand]],0),MATCH(Table1[[#This Row],[DC_name_Xref]],Table35[#Headers],0)),0)</f>
        <v>238765.12</v>
      </c>
    </row>
    <row r="1233" spans="1:15" x14ac:dyDescent="0.3">
      <c r="A1233" s="19" t="str">
        <f>Table1[[#This Row],[Year_Week]]&amp;"-"&amp;Table1[[#This Row],[DC_name_Xref]]</f>
        <v>202347-OCC</v>
      </c>
      <c r="B1233" s="19" t="str">
        <f>Table1[[#This Row],[Fiscal_Year]]*100+Table1[[#This Row],[Fiscal_Week]] &amp; "-" &amp;Table1[[#This Row],[BRAND]]</f>
        <v>202347-Old Navy</v>
      </c>
      <c r="C1233" t="str">
        <f>Table1[[#This Row],[Fiscal_Year]]&amp;"-"&amp;Table1[[#This Row],[BRAND]]</f>
        <v>2023-Old Navy</v>
      </c>
      <c r="D1233">
        <v>2023</v>
      </c>
      <c r="E1233">
        <v>47</v>
      </c>
      <c r="F1233" t="s">
        <v>20</v>
      </c>
      <c r="G1233" t="s">
        <v>11</v>
      </c>
      <c r="H1233">
        <v>7</v>
      </c>
      <c r="I1233">
        <v>0</v>
      </c>
      <c r="J1233" t="str">
        <f>VLOOKUP(H1233,DC_Xref!A:B,2,FALSE)</f>
        <v>OCC</v>
      </c>
      <c r="K1233">
        <f t="shared" si="19"/>
        <v>202347</v>
      </c>
      <c r="L1233">
        <f>IFERROR(Table1[[#This Row],[Demand]]/SUMIFS(Table1[Demand],Table1[Fiscal_Year],Table1[[#This Row],[Fiscal_Year]],Table1[BRAND],Table1[[#This Row],[BRAND]],Table1[DC_name_Xref],Table1[[#This Row],[DC_name_Xref]]),0)</f>
        <v>0</v>
      </c>
      <c r="M12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3" s="3">
        <f>IFERROR(INDEX(Table3[#All],MATCH(Table1[[#This Row],[Key_Year_Week_Brand]],Table3[[#All],[Key_Year_Week_Brand]],0),MATCH(Table1[[#This Row],[DC_name_Xref]],Table3[#Headers],0)),0)</f>
        <v>0.71</v>
      </c>
      <c r="O1233">
        <f>IFERROR(INDEX(Table35[#All],MATCH(Table1[[#This Row],[Key_Year_Week_Brand]],Table35[[#All],[Key_Year_Month_Brand]],0),MATCH(Table1[[#This Row],[DC_name_Xref]],Table35[#Headers],0)),0)</f>
        <v>2119040.44</v>
      </c>
    </row>
    <row r="1234" spans="1:15" x14ac:dyDescent="0.3">
      <c r="A1234" s="19" t="str">
        <f>Table1[[#This Row],[Year_Week]]&amp;"-"&amp;Table1[[#This Row],[DC_name_Xref]]</f>
        <v>202347-OFC</v>
      </c>
      <c r="B1234" s="19" t="str">
        <f>Table1[[#This Row],[Fiscal_Year]]*100+Table1[[#This Row],[Fiscal_Week]] &amp; "-" &amp;Table1[[#This Row],[BRAND]]</f>
        <v>202347-Athleta</v>
      </c>
      <c r="C1234" t="str">
        <f>Table1[[#This Row],[Fiscal_Year]]&amp;"-"&amp;Table1[[#This Row],[BRAND]]</f>
        <v>2023-Athleta</v>
      </c>
      <c r="D1234">
        <v>2023</v>
      </c>
      <c r="E1234">
        <v>47</v>
      </c>
      <c r="F1234" t="s">
        <v>19</v>
      </c>
      <c r="G1234" t="s">
        <v>5</v>
      </c>
      <c r="H1234">
        <v>1</v>
      </c>
      <c r="I1234">
        <v>58407</v>
      </c>
      <c r="J1234" t="str">
        <f>VLOOKUP(H1234,DC_Xref!A:B,2,FALSE)</f>
        <v>OFC</v>
      </c>
      <c r="K1234">
        <f t="shared" si="19"/>
        <v>202347</v>
      </c>
      <c r="L1234">
        <f>IFERROR(Table1[[#This Row],[Demand]]/SUMIFS(Table1[Demand],Table1[Fiscal_Year],Table1[[#This Row],[Fiscal_Year]],Table1[BRAND],Table1[[#This Row],[BRAND]],Table1[DC_name_Xref],Table1[[#This Row],[DC_name_Xref]]),0)</f>
        <v>0.15805753254133628</v>
      </c>
      <c r="M12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9.6407211874108403E-2</v>
      </c>
      <c r="N1234" s="3">
        <f>IFERROR(INDEX(Table3[#All],MATCH(Table1[[#This Row],[Key_Year_Week_Brand]],Table3[[#All],[Key_Year_Week_Brand]],0),MATCH(Table1[[#This Row],[DC_name_Xref]],Table3[#Headers],0)),0)</f>
        <v>0</v>
      </c>
      <c r="O1234">
        <f>IFERROR(INDEX(Table35[#All],MATCH(Table1[[#This Row],[Key_Year_Week_Brand]],Table35[[#All],[Key_Year_Month_Brand]],0),MATCH(Table1[[#This Row],[DC_name_Xref]],Table35[#Headers],0)),0)</f>
        <v>0</v>
      </c>
    </row>
    <row r="1235" spans="1:15" x14ac:dyDescent="0.3">
      <c r="A1235" s="19" t="str">
        <f>Table1[[#This Row],[Year_Week]]&amp;"-"&amp;Table1[[#This Row],[DC_name_Xref]]</f>
        <v>202347-TFC</v>
      </c>
      <c r="B1235" s="19" t="str">
        <f>Table1[[#This Row],[Fiscal_Year]]*100+Table1[[#This Row],[Fiscal_Week]] &amp; "-" &amp;Table1[[#This Row],[BRAND]]</f>
        <v>202347-Athleta</v>
      </c>
      <c r="C1235" t="str">
        <f>Table1[[#This Row],[Fiscal_Year]]&amp;"-"&amp;Table1[[#This Row],[BRAND]]</f>
        <v>2023-Athleta</v>
      </c>
      <c r="D1235">
        <v>2023</v>
      </c>
      <c r="E1235">
        <v>47</v>
      </c>
      <c r="F1235" t="s">
        <v>19</v>
      </c>
      <c r="G1235" t="s">
        <v>21</v>
      </c>
      <c r="H1235">
        <v>2</v>
      </c>
      <c r="I1235">
        <v>491411</v>
      </c>
      <c r="J1235" t="str">
        <f>VLOOKUP(H1235,DC_Xref!A:B,2,FALSE)</f>
        <v>TFC</v>
      </c>
      <c r="K1235">
        <f t="shared" si="19"/>
        <v>202347</v>
      </c>
      <c r="L1235">
        <f>IFERROR(Table1[[#This Row],[Demand]]/SUMIFS(Table1[Demand],Table1[Fiscal_Year],Table1[[#This Row],[Fiscal_Year]],Table1[BRAND],Table1[[#This Row],[BRAND]],Table1[DC_name_Xref],Table1[[#This Row],[DC_name_Xref]]),0)</f>
        <v>0.14188863579469282</v>
      </c>
      <c r="M12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0.90356017669655087</v>
      </c>
      <c r="N1235" s="3">
        <f>IFERROR(INDEX(Table3[#All],MATCH(Table1[[#This Row],[Key_Year_Week_Brand]],Table3[[#All],[Key_Year_Week_Brand]],0),MATCH(Table1[[#This Row],[DC_name_Xref]],Table3[#Headers],0)),0)</f>
        <v>1</v>
      </c>
      <c r="O1235">
        <f>IFERROR(INDEX(Table35[#All],MATCH(Table1[[#This Row],[Key_Year_Week_Brand]],Table35[[#All],[Key_Year_Month_Brand]],0),MATCH(Table1[[#This Row],[DC_name_Xref]],Table35[#Headers],0)),0)</f>
        <v>549818</v>
      </c>
    </row>
    <row r="1236" spans="1:15" x14ac:dyDescent="0.3">
      <c r="A1236" s="19" t="str">
        <f>Table1[[#This Row],[Year_Week]]&amp;"-"&amp;Table1[[#This Row],[DC_name_Xref]]</f>
        <v>202347-WFC</v>
      </c>
      <c r="B1236" s="19" t="str">
        <f>Table1[[#This Row],[Fiscal_Year]]*100+Table1[[#This Row],[Fiscal_Week]] &amp; "-" &amp;Table1[[#This Row],[BRAND]]</f>
        <v>202347-Athleta</v>
      </c>
      <c r="C1236" t="str">
        <f>Table1[[#This Row],[Fiscal_Year]]&amp;"-"&amp;Table1[[#This Row],[BRAND]]</f>
        <v>2023-Athleta</v>
      </c>
      <c r="D1236">
        <v>2023</v>
      </c>
      <c r="E1236">
        <v>47</v>
      </c>
      <c r="F1236" t="s">
        <v>19</v>
      </c>
      <c r="G1236" t="s">
        <v>7</v>
      </c>
      <c r="H1236">
        <v>3</v>
      </c>
      <c r="I1236">
        <v>0</v>
      </c>
      <c r="J1236" t="str">
        <f>VLOOKUP(H1236,DC_Xref!A:B,2,FALSE)</f>
        <v>WFC</v>
      </c>
      <c r="K1236">
        <f t="shared" si="19"/>
        <v>202347</v>
      </c>
      <c r="L1236">
        <f>IFERROR(Table1[[#This Row],[Demand]]/SUMIFS(Table1[Demand],Table1[Fiscal_Year],Table1[[#This Row],[Fiscal_Year]],Table1[BRAND],Table1[[#This Row],[BRAND]],Table1[DC_name_Xref],Table1[[#This Row],[DC_name_Xref]]),0)</f>
        <v>0</v>
      </c>
      <c r="M12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6" s="3">
        <f>IFERROR(INDEX(Table3[#All],MATCH(Table1[[#This Row],[Key_Year_Week_Brand]],Table3[[#All],[Key_Year_Week_Brand]],0),MATCH(Table1[[#This Row],[DC_name_Xref]],Table3[#Headers],0)),0)</f>
        <v>0</v>
      </c>
      <c r="O1236">
        <f>IFERROR(INDEX(Table35[#All],MATCH(Table1[[#This Row],[Key_Year_Week_Brand]],Table35[[#All],[Key_Year_Month_Brand]],0),MATCH(Table1[[#This Row],[DC_name_Xref]],Table35[#Headers],0)),0)</f>
        <v>0</v>
      </c>
    </row>
    <row r="1237" spans="1:15" x14ac:dyDescent="0.3">
      <c r="A1237" s="19" t="str">
        <f>Table1[[#This Row],[Year_Week]]&amp;"-"&amp;Table1[[#This Row],[DC_name_Xref]]</f>
        <v>202347-EAO</v>
      </c>
      <c r="B1237" s="19" t="str">
        <f>Table1[[#This Row],[Fiscal_Year]]*100+Table1[[#This Row],[Fiscal_Week]] &amp; "-" &amp;Table1[[#This Row],[BRAND]]</f>
        <v>202347-Athleta</v>
      </c>
      <c r="C1237" t="str">
        <f>Table1[[#This Row],[Fiscal_Year]]&amp;"-"&amp;Table1[[#This Row],[BRAND]]</f>
        <v>2023-Athleta</v>
      </c>
      <c r="D1237">
        <v>2023</v>
      </c>
      <c r="E1237">
        <v>47</v>
      </c>
      <c r="F1237" t="s">
        <v>19</v>
      </c>
      <c r="G1237" t="s">
        <v>8</v>
      </c>
      <c r="H1237">
        <v>4</v>
      </c>
      <c r="I1237">
        <v>0</v>
      </c>
      <c r="J1237" t="str">
        <f>VLOOKUP(H1237,DC_Xref!A:B,2,FALSE)</f>
        <v>EAO</v>
      </c>
      <c r="K1237">
        <f t="shared" si="19"/>
        <v>202347</v>
      </c>
      <c r="L1237">
        <f>IFERROR(Table1[[#This Row],[Demand]]/SUMIFS(Table1[Demand],Table1[Fiscal_Year],Table1[[#This Row],[Fiscal_Year]],Table1[BRAND],Table1[[#This Row],[BRAND]],Table1[DC_name_Xref],Table1[[#This Row],[DC_name_Xref]]),0)</f>
        <v>0</v>
      </c>
      <c r="M12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3.26114293406856E-5</v>
      </c>
      <c r="N1237" s="3">
        <f>IFERROR(INDEX(Table3[#All],MATCH(Table1[[#This Row],[Key_Year_Week_Brand]],Table3[[#All],[Key_Year_Week_Brand]],0),MATCH(Table1[[#This Row],[DC_name_Xref]],Table3[#Headers],0)),0)</f>
        <v>3.447122356821831E-5</v>
      </c>
      <c r="O1237">
        <f>IFERROR(INDEX(Table35[#All],MATCH(Table1[[#This Row],[Key_Year_Week_Brand]],Table35[[#All],[Key_Year_Month_Brand]],0),MATCH(Table1[[#This Row],[DC_name_Xref]],Table35[#Headers],0)),0)</f>
        <v>18.952899199830654</v>
      </c>
    </row>
    <row r="1238" spans="1:15" x14ac:dyDescent="0.3">
      <c r="A1238" s="19" t="str">
        <f>Table1[[#This Row],[Year_Week]]&amp;"-"&amp;Table1[[#This Row],[DC_name_Xref]]</f>
        <v>202347-FFC-ODC</v>
      </c>
      <c r="B1238" s="19" t="str">
        <f>Table1[[#This Row],[Fiscal_Year]]*100+Table1[[#This Row],[Fiscal_Week]] &amp; "-" &amp;Table1[[#This Row],[BRAND]]</f>
        <v>202347-Athleta</v>
      </c>
      <c r="C1238" t="str">
        <f>Table1[[#This Row],[Fiscal_Year]]&amp;"-"&amp;Table1[[#This Row],[BRAND]]</f>
        <v>2023-Athleta</v>
      </c>
      <c r="D1238">
        <v>2023</v>
      </c>
      <c r="E1238">
        <v>47</v>
      </c>
      <c r="F1238" t="s">
        <v>19</v>
      </c>
      <c r="G1238" t="s">
        <v>23</v>
      </c>
      <c r="H1238">
        <v>5</v>
      </c>
      <c r="I1238">
        <v>0</v>
      </c>
      <c r="J1238" t="str">
        <f>VLOOKUP(H1238,DC_Xref!A:B,2,FALSE)</f>
        <v>FFC-ODC</v>
      </c>
      <c r="K1238">
        <f t="shared" si="19"/>
        <v>202347</v>
      </c>
      <c r="L1238">
        <f>IFERROR(Table1[[#This Row],[Demand]]/SUMIFS(Table1[Demand],Table1[Fiscal_Year],Table1[[#This Row],[Fiscal_Year]],Table1[BRAND],Table1[[#This Row],[BRAND]],Table1[DC_name_Xref],Table1[[#This Row],[DC_name_Xref]]),0)</f>
        <v>0</v>
      </c>
      <c r="M12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8" s="3">
        <f>IFERROR(INDEX(Table3[#All],MATCH(Table1[[#This Row],[Key_Year_Week_Brand]],Table3[[#All],[Key_Year_Week_Brand]],0),MATCH(Table1[[#This Row],[DC_name_Xref]],Table3[#Headers],0)),0)</f>
        <v>0</v>
      </c>
      <c r="O1238">
        <f>IFERROR(INDEX(Table35[#All],MATCH(Table1[[#This Row],[Key_Year_Week_Brand]],Table35[[#All],[Key_Year_Month_Brand]],0),MATCH(Table1[[#This Row],[DC_name_Xref]],Table35[#Headers],0)),0)</f>
        <v>0</v>
      </c>
    </row>
    <row r="1239" spans="1:15" x14ac:dyDescent="0.3">
      <c r="A1239" s="19" t="str">
        <f>Table1[[#This Row],[Year_Week]]&amp;"-"&amp;Table1[[#This Row],[DC_name_Xref]]</f>
        <v>202347-WEO</v>
      </c>
      <c r="B1239" s="19" t="str">
        <f>Table1[[#This Row],[Fiscal_Year]]*100+Table1[[#This Row],[Fiscal_Week]] &amp; "-" &amp;Table1[[#This Row],[BRAND]]</f>
        <v>202347-Athleta</v>
      </c>
      <c r="C1239" t="str">
        <f>Table1[[#This Row],[Fiscal_Year]]&amp;"-"&amp;Table1[[#This Row],[BRAND]]</f>
        <v>2023-Athleta</v>
      </c>
      <c r="D1239">
        <v>2023</v>
      </c>
      <c r="E1239">
        <v>47</v>
      </c>
      <c r="F1239" t="s">
        <v>19</v>
      </c>
      <c r="G1239" t="s">
        <v>10</v>
      </c>
      <c r="H1239">
        <v>6</v>
      </c>
      <c r="I1239">
        <v>0</v>
      </c>
      <c r="J1239" t="str">
        <f>VLOOKUP(H1239,DC_Xref!A:B,2,FALSE)</f>
        <v>WEO</v>
      </c>
      <c r="K1239">
        <f t="shared" si="19"/>
        <v>202347</v>
      </c>
      <c r="L1239">
        <f>IFERROR(Table1[[#This Row],[Demand]]/SUMIFS(Table1[Demand],Table1[Fiscal_Year],Table1[[#This Row],[Fiscal_Year]],Table1[BRAND],Table1[[#This Row],[BRAND]],Table1[DC_name_Xref],Table1[[#This Row],[DC_name_Xref]]),0)</f>
        <v>0</v>
      </c>
      <c r="M12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39" s="3">
        <f>IFERROR(INDEX(Table3[#All],MATCH(Table1[[#This Row],[Key_Year_Week_Brand]],Table3[[#All],[Key_Year_Week_Brand]],0),MATCH(Table1[[#This Row],[DC_name_Xref]],Table3[#Headers],0)),0)</f>
        <v>0</v>
      </c>
      <c r="O1239">
        <f>IFERROR(INDEX(Table35[#All],MATCH(Table1[[#This Row],[Key_Year_Week_Brand]],Table35[[#All],[Key_Year_Month_Brand]],0),MATCH(Table1[[#This Row],[DC_name_Xref]],Table35[#Headers],0)),0)</f>
        <v>0</v>
      </c>
    </row>
    <row r="1240" spans="1:15" x14ac:dyDescent="0.3">
      <c r="A1240" s="19" t="str">
        <f>Table1[[#This Row],[Year_Week]]&amp;"-"&amp;Table1[[#This Row],[DC_name_Xref]]</f>
        <v>202347-OCC</v>
      </c>
      <c r="B1240" s="19" t="str">
        <f>Table1[[#This Row],[Fiscal_Year]]*100+Table1[[#This Row],[Fiscal_Week]] &amp; "-" &amp;Table1[[#This Row],[BRAND]]</f>
        <v>202347-Athleta</v>
      </c>
      <c r="C1240" t="str">
        <f>Table1[[#This Row],[Fiscal_Year]]&amp;"-"&amp;Table1[[#This Row],[BRAND]]</f>
        <v>2023-Athleta</v>
      </c>
      <c r="D1240">
        <v>2023</v>
      </c>
      <c r="E1240">
        <v>47</v>
      </c>
      <c r="F1240" t="s">
        <v>19</v>
      </c>
      <c r="G1240" t="s">
        <v>11</v>
      </c>
      <c r="H1240">
        <v>7</v>
      </c>
      <c r="I1240">
        <v>0</v>
      </c>
      <c r="J1240" t="str">
        <f>VLOOKUP(H1240,DC_Xref!A:B,2,FALSE)</f>
        <v>OCC</v>
      </c>
      <c r="K1240">
        <f t="shared" si="19"/>
        <v>202347</v>
      </c>
      <c r="L1240">
        <f>IFERROR(Table1[[#This Row],[Demand]]/SUMIFS(Table1[Demand],Table1[Fiscal_Year],Table1[[#This Row],[Fiscal_Year]],Table1[BRAND],Table1[[#This Row],[BRAND]],Table1[DC_name_Xref],Table1[[#This Row],[DC_name_Xref]]),0)</f>
        <v>0</v>
      </c>
      <c r="M12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0" s="3">
        <f>IFERROR(INDEX(Table3[#All],MATCH(Table1[[#This Row],[Key_Year_Week_Brand]],Table3[[#All],[Key_Year_Week_Brand]],0),MATCH(Table1[[#This Row],[DC_name_Xref]],Table3[#Headers],0)),0)</f>
        <v>0</v>
      </c>
      <c r="O1240">
        <f>IFERROR(INDEX(Table35[#All],MATCH(Table1[[#This Row],[Key_Year_Week_Brand]],Table35[[#All],[Key_Year_Month_Brand]],0),MATCH(Table1[[#This Row],[DC_name_Xref]],Table35[#Headers],0)),0)</f>
        <v>0</v>
      </c>
    </row>
    <row r="1241" spans="1:15" x14ac:dyDescent="0.3">
      <c r="A1241" s="19" t="str">
        <f>Table1[[#This Row],[Year_Week]]&amp;"-"&amp;Table1[[#This Row],[DC_name_Xref]]</f>
        <v>202347-OFC</v>
      </c>
      <c r="B1241" s="19" t="str">
        <f>Table1[[#This Row],[Fiscal_Year]]*100+Table1[[#This Row],[Fiscal_Week]] &amp; "-" &amp;Table1[[#This Row],[BRAND]]</f>
        <v>202347-Gap Factory Store</v>
      </c>
      <c r="C1241" t="str">
        <f>Table1[[#This Row],[Fiscal_Year]]&amp;"-"&amp;Table1[[#This Row],[BRAND]]</f>
        <v>2023-Gap Factory Store</v>
      </c>
      <c r="D1241">
        <v>2023</v>
      </c>
      <c r="E1241">
        <v>47</v>
      </c>
      <c r="F1241" t="s">
        <v>22</v>
      </c>
      <c r="G1241" t="s">
        <v>5</v>
      </c>
      <c r="H1241">
        <v>1</v>
      </c>
      <c r="I1241">
        <v>719328</v>
      </c>
      <c r="J1241" t="str">
        <f>VLOOKUP(H1241,DC_Xref!A:B,2,FALSE)</f>
        <v>OFC</v>
      </c>
      <c r="K1241">
        <f t="shared" si="19"/>
        <v>202347</v>
      </c>
      <c r="L1241">
        <f>IFERROR(Table1[[#This Row],[Demand]]/SUMIFS(Table1[Demand],Table1[Fiscal_Year],Table1[[#This Row],[Fiscal_Year]],Table1[BRAND],Table1[[#This Row],[BRAND]],Table1[DC_name_Xref],Table1[[#This Row],[DC_name_Xref]]),0)</f>
        <v>7.4037737293908182E-2</v>
      </c>
      <c r="M12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241" s="3">
        <f>IFERROR(INDEX(Table3[#All],MATCH(Table1[[#This Row],[Key_Year_Week_Brand]],Table3[[#All],[Key_Year_Week_Brand]],0),MATCH(Table1[[#This Row],[DC_name_Xref]],Table3[#Headers],0)),0)</f>
        <v>1</v>
      </c>
      <c r="O1241">
        <f>IFERROR(INDEX(Table35[#All],MATCH(Table1[[#This Row],[Key_Year_Week_Brand]],Table35[[#All],[Key_Year_Month_Brand]],0),MATCH(Table1[[#This Row],[DC_name_Xref]],Table35[#Headers],0)),0)</f>
        <v>719328</v>
      </c>
    </row>
    <row r="1242" spans="1:15" x14ac:dyDescent="0.3">
      <c r="A1242" s="19" t="str">
        <f>Table1[[#This Row],[Year_Week]]&amp;"-"&amp;Table1[[#This Row],[DC_name_Xref]]</f>
        <v>202347-TFC</v>
      </c>
      <c r="B1242" s="19" t="str">
        <f>Table1[[#This Row],[Fiscal_Year]]*100+Table1[[#This Row],[Fiscal_Week]] &amp; "-" &amp;Table1[[#This Row],[BRAND]]</f>
        <v>202347-Gap Factory Store</v>
      </c>
      <c r="C1242" t="str">
        <f>Table1[[#This Row],[Fiscal_Year]]&amp;"-"&amp;Table1[[#This Row],[BRAND]]</f>
        <v>2023-Gap Factory Store</v>
      </c>
      <c r="D1242">
        <v>2023</v>
      </c>
      <c r="E1242">
        <v>47</v>
      </c>
      <c r="F1242" t="s">
        <v>22</v>
      </c>
      <c r="G1242" t="s">
        <v>21</v>
      </c>
      <c r="H1242">
        <v>2</v>
      </c>
      <c r="I1242">
        <v>0</v>
      </c>
      <c r="J1242" t="str">
        <f>VLOOKUP(H1242,DC_Xref!A:B,2,FALSE)</f>
        <v>TFC</v>
      </c>
      <c r="K1242">
        <f t="shared" si="19"/>
        <v>202347</v>
      </c>
      <c r="L1242">
        <f>IFERROR(Table1[[#This Row],[Demand]]/SUMIFS(Table1[Demand],Table1[Fiscal_Year],Table1[[#This Row],[Fiscal_Year]],Table1[BRAND],Table1[[#This Row],[BRAND]],Table1[DC_name_Xref],Table1[[#This Row],[DC_name_Xref]]),0)</f>
        <v>0</v>
      </c>
      <c r="M12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2" s="3">
        <f>IFERROR(INDEX(Table3[#All],MATCH(Table1[[#This Row],[Key_Year_Week_Brand]],Table3[[#All],[Key_Year_Week_Brand]],0),MATCH(Table1[[#This Row],[DC_name_Xref]],Table3[#Headers],0)),0)</f>
        <v>0</v>
      </c>
      <c r="O1242">
        <f>IFERROR(INDEX(Table35[#All],MATCH(Table1[[#This Row],[Key_Year_Week_Brand]],Table35[[#All],[Key_Year_Month_Brand]],0),MATCH(Table1[[#This Row],[DC_name_Xref]],Table35[#Headers],0)),0)</f>
        <v>0</v>
      </c>
    </row>
    <row r="1243" spans="1:15" x14ac:dyDescent="0.3">
      <c r="A1243" s="19" t="str">
        <f>Table1[[#This Row],[Year_Week]]&amp;"-"&amp;Table1[[#This Row],[DC_name_Xref]]</f>
        <v>202347-WFC</v>
      </c>
      <c r="B1243" s="19" t="str">
        <f>Table1[[#This Row],[Fiscal_Year]]*100+Table1[[#This Row],[Fiscal_Week]] &amp; "-" &amp;Table1[[#This Row],[BRAND]]</f>
        <v>202347-Gap Factory Store</v>
      </c>
      <c r="C1243" t="str">
        <f>Table1[[#This Row],[Fiscal_Year]]&amp;"-"&amp;Table1[[#This Row],[BRAND]]</f>
        <v>2023-Gap Factory Store</v>
      </c>
      <c r="D1243">
        <v>2023</v>
      </c>
      <c r="E1243">
        <v>47</v>
      </c>
      <c r="F1243" t="s">
        <v>22</v>
      </c>
      <c r="G1243" t="s">
        <v>7</v>
      </c>
      <c r="H1243">
        <v>3</v>
      </c>
      <c r="I1243">
        <v>0</v>
      </c>
      <c r="J1243" t="str">
        <f>VLOOKUP(H1243,DC_Xref!A:B,2,FALSE)</f>
        <v>WFC</v>
      </c>
      <c r="K1243">
        <f t="shared" si="19"/>
        <v>202347</v>
      </c>
      <c r="L1243">
        <f>IFERROR(Table1[[#This Row],[Demand]]/SUMIFS(Table1[Demand],Table1[Fiscal_Year],Table1[[#This Row],[Fiscal_Year]],Table1[BRAND],Table1[[#This Row],[BRAND]],Table1[DC_name_Xref],Table1[[#This Row],[DC_name_Xref]]),0)</f>
        <v>0</v>
      </c>
      <c r="M12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3" s="3">
        <f>IFERROR(INDEX(Table3[#All],MATCH(Table1[[#This Row],[Key_Year_Week_Brand]],Table3[[#All],[Key_Year_Week_Brand]],0),MATCH(Table1[[#This Row],[DC_name_Xref]],Table3[#Headers],0)),0)</f>
        <v>0</v>
      </c>
      <c r="O1243">
        <f>IFERROR(INDEX(Table35[#All],MATCH(Table1[[#This Row],[Key_Year_Week_Brand]],Table35[[#All],[Key_Year_Month_Brand]],0),MATCH(Table1[[#This Row],[DC_name_Xref]],Table35[#Headers],0)),0)</f>
        <v>0</v>
      </c>
    </row>
    <row r="1244" spans="1:15" x14ac:dyDescent="0.3">
      <c r="A1244" s="19" t="str">
        <f>Table1[[#This Row],[Year_Week]]&amp;"-"&amp;Table1[[#This Row],[DC_name_Xref]]</f>
        <v>202347-EAO</v>
      </c>
      <c r="B1244" s="19" t="str">
        <f>Table1[[#This Row],[Fiscal_Year]]*100+Table1[[#This Row],[Fiscal_Week]] &amp; "-" &amp;Table1[[#This Row],[BRAND]]</f>
        <v>202347-Gap Factory Store</v>
      </c>
      <c r="C1244" t="str">
        <f>Table1[[#This Row],[Fiscal_Year]]&amp;"-"&amp;Table1[[#This Row],[BRAND]]</f>
        <v>2023-Gap Factory Store</v>
      </c>
      <c r="D1244">
        <v>2023</v>
      </c>
      <c r="E1244">
        <v>47</v>
      </c>
      <c r="F1244" t="s">
        <v>22</v>
      </c>
      <c r="G1244" t="s">
        <v>8</v>
      </c>
      <c r="H1244">
        <v>4</v>
      </c>
      <c r="I1244">
        <v>0</v>
      </c>
      <c r="J1244" t="str">
        <f>VLOOKUP(H1244,DC_Xref!A:B,2,FALSE)</f>
        <v>EAO</v>
      </c>
      <c r="K1244">
        <f t="shared" si="19"/>
        <v>202347</v>
      </c>
      <c r="L1244">
        <f>IFERROR(Table1[[#This Row],[Demand]]/SUMIFS(Table1[Demand],Table1[Fiscal_Year],Table1[[#This Row],[Fiscal_Year]],Table1[BRAND],Table1[[#This Row],[BRAND]],Table1[DC_name_Xref],Table1[[#This Row],[DC_name_Xref]]),0)</f>
        <v>0</v>
      </c>
      <c r="M12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4" s="3">
        <f>IFERROR(INDEX(Table3[#All],MATCH(Table1[[#This Row],[Key_Year_Week_Brand]],Table3[[#All],[Key_Year_Week_Brand]],0),MATCH(Table1[[#This Row],[DC_name_Xref]],Table3[#Headers],0)),0)</f>
        <v>0</v>
      </c>
      <c r="O1244">
        <f>IFERROR(INDEX(Table35[#All],MATCH(Table1[[#This Row],[Key_Year_Week_Brand]],Table35[[#All],[Key_Year_Month_Brand]],0),MATCH(Table1[[#This Row],[DC_name_Xref]],Table35[#Headers],0)),0)</f>
        <v>0</v>
      </c>
    </row>
    <row r="1245" spans="1:15" x14ac:dyDescent="0.3">
      <c r="A1245" s="19" t="str">
        <f>Table1[[#This Row],[Year_Week]]&amp;"-"&amp;Table1[[#This Row],[DC_name_Xref]]</f>
        <v>202347-FFC-ODC</v>
      </c>
      <c r="B1245" s="19" t="str">
        <f>Table1[[#This Row],[Fiscal_Year]]*100+Table1[[#This Row],[Fiscal_Week]] &amp; "-" &amp;Table1[[#This Row],[BRAND]]</f>
        <v>202347-Gap Factory Store</v>
      </c>
      <c r="C1245" t="str">
        <f>Table1[[#This Row],[Fiscal_Year]]&amp;"-"&amp;Table1[[#This Row],[BRAND]]</f>
        <v>2023-Gap Factory Store</v>
      </c>
      <c r="D1245">
        <v>2023</v>
      </c>
      <c r="E1245">
        <v>47</v>
      </c>
      <c r="F1245" t="s">
        <v>22</v>
      </c>
      <c r="G1245" t="s">
        <v>23</v>
      </c>
      <c r="H1245">
        <v>5</v>
      </c>
      <c r="I1245">
        <v>0</v>
      </c>
      <c r="J1245" t="str">
        <f>VLOOKUP(H1245,DC_Xref!A:B,2,FALSE)</f>
        <v>FFC-ODC</v>
      </c>
      <c r="K1245">
        <f t="shared" si="19"/>
        <v>202347</v>
      </c>
      <c r="L1245">
        <f>IFERROR(Table1[[#This Row],[Demand]]/SUMIFS(Table1[Demand],Table1[Fiscal_Year],Table1[[#This Row],[Fiscal_Year]],Table1[BRAND],Table1[[#This Row],[BRAND]],Table1[DC_name_Xref],Table1[[#This Row],[DC_name_Xref]]),0)</f>
        <v>0</v>
      </c>
      <c r="M12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5" s="3">
        <f>IFERROR(INDEX(Table3[#All],MATCH(Table1[[#This Row],[Key_Year_Week_Brand]],Table3[[#All],[Key_Year_Week_Brand]],0),MATCH(Table1[[#This Row],[DC_name_Xref]],Table3[#Headers],0)),0)</f>
        <v>0</v>
      </c>
      <c r="O1245">
        <f>IFERROR(INDEX(Table35[#All],MATCH(Table1[[#This Row],[Key_Year_Week_Brand]],Table35[[#All],[Key_Year_Month_Brand]],0),MATCH(Table1[[#This Row],[DC_name_Xref]],Table35[#Headers],0)),0)</f>
        <v>0</v>
      </c>
    </row>
    <row r="1246" spans="1:15" x14ac:dyDescent="0.3">
      <c r="A1246" s="19" t="str">
        <f>Table1[[#This Row],[Year_Week]]&amp;"-"&amp;Table1[[#This Row],[DC_name_Xref]]</f>
        <v>202347-WEO</v>
      </c>
      <c r="B1246" s="19" t="str">
        <f>Table1[[#This Row],[Fiscal_Year]]*100+Table1[[#This Row],[Fiscal_Week]] &amp; "-" &amp;Table1[[#This Row],[BRAND]]</f>
        <v>202347-Gap Factory Store</v>
      </c>
      <c r="C1246" t="str">
        <f>Table1[[#This Row],[Fiscal_Year]]&amp;"-"&amp;Table1[[#This Row],[BRAND]]</f>
        <v>2023-Gap Factory Store</v>
      </c>
      <c r="D1246">
        <v>2023</v>
      </c>
      <c r="E1246">
        <v>47</v>
      </c>
      <c r="F1246" t="s">
        <v>22</v>
      </c>
      <c r="G1246" t="s">
        <v>10</v>
      </c>
      <c r="H1246">
        <v>6</v>
      </c>
      <c r="I1246">
        <v>0</v>
      </c>
      <c r="J1246" t="str">
        <f>VLOOKUP(H1246,DC_Xref!A:B,2,FALSE)</f>
        <v>WEO</v>
      </c>
      <c r="K1246">
        <f t="shared" si="19"/>
        <v>202347</v>
      </c>
      <c r="L1246">
        <f>IFERROR(Table1[[#This Row],[Demand]]/SUMIFS(Table1[Demand],Table1[Fiscal_Year],Table1[[#This Row],[Fiscal_Year]],Table1[BRAND],Table1[[#This Row],[BRAND]],Table1[DC_name_Xref],Table1[[#This Row],[DC_name_Xref]]),0)</f>
        <v>0</v>
      </c>
      <c r="M12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6" s="3">
        <f>IFERROR(INDEX(Table3[#All],MATCH(Table1[[#This Row],[Key_Year_Week_Brand]],Table3[[#All],[Key_Year_Week_Brand]],0),MATCH(Table1[[#This Row],[DC_name_Xref]],Table3[#Headers],0)),0)</f>
        <v>0</v>
      </c>
      <c r="O1246">
        <f>IFERROR(INDEX(Table35[#All],MATCH(Table1[[#This Row],[Key_Year_Week_Brand]],Table35[[#All],[Key_Year_Month_Brand]],0),MATCH(Table1[[#This Row],[DC_name_Xref]],Table35[#Headers],0)),0)</f>
        <v>0</v>
      </c>
    </row>
    <row r="1247" spans="1:15" x14ac:dyDescent="0.3">
      <c r="A1247" s="19" t="str">
        <f>Table1[[#This Row],[Year_Week]]&amp;"-"&amp;Table1[[#This Row],[DC_name_Xref]]</f>
        <v>202347-OCC</v>
      </c>
      <c r="B1247" s="19" t="str">
        <f>Table1[[#This Row],[Fiscal_Year]]*100+Table1[[#This Row],[Fiscal_Week]] &amp; "-" &amp;Table1[[#This Row],[BRAND]]</f>
        <v>202347-Gap Factory Store</v>
      </c>
      <c r="C1247" t="str">
        <f>Table1[[#This Row],[Fiscal_Year]]&amp;"-"&amp;Table1[[#This Row],[BRAND]]</f>
        <v>2023-Gap Factory Store</v>
      </c>
      <c r="D1247">
        <v>2023</v>
      </c>
      <c r="E1247">
        <v>47</v>
      </c>
      <c r="F1247" t="s">
        <v>22</v>
      </c>
      <c r="G1247" t="s">
        <v>11</v>
      </c>
      <c r="H1247">
        <v>7</v>
      </c>
      <c r="I1247">
        <v>0</v>
      </c>
      <c r="J1247" t="str">
        <f>VLOOKUP(H1247,DC_Xref!A:B,2,FALSE)</f>
        <v>OCC</v>
      </c>
      <c r="K1247">
        <f t="shared" si="19"/>
        <v>202347</v>
      </c>
      <c r="L1247">
        <f>IFERROR(Table1[[#This Row],[Demand]]/SUMIFS(Table1[Demand],Table1[Fiscal_Year],Table1[[#This Row],[Fiscal_Year]],Table1[BRAND],Table1[[#This Row],[BRAND]],Table1[DC_name_Xref],Table1[[#This Row],[DC_name_Xref]]),0)</f>
        <v>0</v>
      </c>
      <c r="M12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47" s="3">
        <f>IFERROR(INDEX(Table3[#All],MATCH(Table1[[#This Row],[Key_Year_Week_Brand]],Table3[[#All],[Key_Year_Week_Brand]],0),MATCH(Table1[[#This Row],[DC_name_Xref]],Table3[#Headers],0)),0)</f>
        <v>0</v>
      </c>
      <c r="O1247">
        <f>IFERROR(INDEX(Table35[#All],MATCH(Table1[[#This Row],[Key_Year_Week_Brand]],Table35[[#All],[Key_Year_Month_Brand]],0),MATCH(Table1[[#This Row],[DC_name_Xref]],Table35[#Headers],0)),0)</f>
        <v>0</v>
      </c>
    </row>
    <row r="1248" spans="1:15" x14ac:dyDescent="0.3">
      <c r="A1248" s="19" t="str">
        <f>Table1[[#This Row],[Year_Week]]&amp;"-"&amp;Table1[[#This Row],[DC_name_Xref]]</f>
        <v>202347-OFC</v>
      </c>
      <c r="B1248" s="19" t="str">
        <f>Table1[[#This Row],[Fiscal_Year]]*100+Table1[[#This Row],[Fiscal_Week]] &amp; "-" &amp;Table1[[#This Row],[BRAND]]</f>
        <v>202347-Banana Republic</v>
      </c>
      <c r="C1248" t="str">
        <f>Table1[[#This Row],[Fiscal_Year]]&amp;"-"&amp;Table1[[#This Row],[BRAND]]</f>
        <v>2023-Banana Republic</v>
      </c>
      <c r="D1248">
        <v>2023</v>
      </c>
      <c r="E1248">
        <v>47</v>
      </c>
      <c r="F1248" t="s">
        <v>18</v>
      </c>
      <c r="G1248" t="s">
        <v>5</v>
      </c>
      <c r="H1248">
        <v>1</v>
      </c>
      <c r="I1248">
        <v>16569</v>
      </c>
      <c r="J1248" t="str">
        <f>VLOOKUP(H1248,DC_Xref!A:B,2,FALSE)</f>
        <v>OFC</v>
      </c>
      <c r="K1248">
        <f t="shared" si="19"/>
        <v>202347</v>
      </c>
      <c r="L1248">
        <f>IFERROR(Table1[[#This Row],[Demand]]/SUMIFS(Table1[Demand],Table1[Fiscal_Year],Table1[[#This Row],[Fiscal_Year]],Table1[BRAND],Table1[[#This Row],[BRAND]],Table1[DC_name_Xref],Table1[[#This Row],[DC_name_Xref]]),0)</f>
        <v>0.17710627017551361</v>
      </c>
      <c r="M12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2.1065553966605938E-2</v>
      </c>
      <c r="N1248" s="3">
        <f>IFERROR(INDEX(Table3[#All],MATCH(Table1[[#This Row],[Key_Year_Week_Brand]],Table3[[#All],[Key_Year_Week_Brand]],0),MATCH(Table1[[#This Row],[DC_name_Xref]],Table3[#Headers],0)),0)</f>
        <v>0</v>
      </c>
      <c r="O1248">
        <f>IFERROR(INDEX(Table35[#All],MATCH(Table1[[#This Row],[Key_Year_Week_Brand]],Table35[[#All],[Key_Year_Month_Brand]],0),MATCH(Table1[[#This Row],[DC_name_Xref]],Table35[#Headers],0)),0)</f>
        <v>0</v>
      </c>
    </row>
    <row r="1249" spans="1:15" x14ac:dyDescent="0.3">
      <c r="A1249" s="19" t="str">
        <f>Table1[[#This Row],[Year_Week]]&amp;"-"&amp;Table1[[#This Row],[DC_name_Xref]]</f>
        <v>202347-TFC</v>
      </c>
      <c r="B1249" s="19" t="str">
        <f>Table1[[#This Row],[Fiscal_Year]]*100+Table1[[#This Row],[Fiscal_Week]] &amp; "-" &amp;Table1[[#This Row],[BRAND]]</f>
        <v>202347-Banana Republic</v>
      </c>
      <c r="C1249" t="str">
        <f>Table1[[#This Row],[Fiscal_Year]]&amp;"-"&amp;Table1[[#This Row],[BRAND]]</f>
        <v>2023-Banana Republic</v>
      </c>
      <c r="D1249">
        <v>2023</v>
      </c>
      <c r="E1249">
        <v>47</v>
      </c>
      <c r="F1249" t="s">
        <v>18</v>
      </c>
      <c r="G1249" t="s">
        <v>21</v>
      </c>
      <c r="H1249">
        <v>2</v>
      </c>
      <c r="I1249">
        <v>496909</v>
      </c>
      <c r="J1249" t="str">
        <f>VLOOKUP(H1249,DC_Xref!A:B,2,FALSE)</f>
        <v>TFC</v>
      </c>
      <c r="K1249">
        <f t="shared" si="19"/>
        <v>202347</v>
      </c>
      <c r="L1249">
        <f>IFERROR(Table1[[#This Row],[Demand]]/SUMIFS(Table1[Demand],Table1[Fiscal_Year],Table1[[#This Row],[Fiscal_Year]],Table1[BRAND],Table1[[#This Row],[BRAND]],Table1[DC_name_Xref],Table1[[#This Row],[DC_name_Xref]]),0)</f>
        <v>0.11430584552588938</v>
      </c>
      <c r="M12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0.97885631204418555</v>
      </c>
      <c r="N1249" s="3">
        <f>IFERROR(INDEX(Table3[#All],MATCH(Table1[[#This Row],[Key_Year_Week_Brand]],Table3[[#All],[Key_Year_Week_Brand]],0),MATCH(Table1[[#This Row],[DC_name_Xref]],Table3[#Headers],0)),0)</f>
        <v>1</v>
      </c>
      <c r="O1249">
        <f>IFERROR(INDEX(Table35[#All],MATCH(Table1[[#This Row],[Key_Year_Week_Brand]],Table35[[#All],[Key_Year_Month_Brand]],0),MATCH(Table1[[#This Row],[DC_name_Xref]],Table35[#Headers],0)),0)</f>
        <v>513487</v>
      </c>
    </row>
    <row r="1250" spans="1:15" x14ac:dyDescent="0.3">
      <c r="A1250" s="19" t="str">
        <f>Table1[[#This Row],[Year_Week]]&amp;"-"&amp;Table1[[#This Row],[DC_name_Xref]]</f>
        <v>202347-WFC</v>
      </c>
      <c r="B1250" s="19" t="str">
        <f>Table1[[#This Row],[Fiscal_Year]]*100+Table1[[#This Row],[Fiscal_Week]] &amp; "-" &amp;Table1[[#This Row],[BRAND]]</f>
        <v>202347-Banana Republic</v>
      </c>
      <c r="C1250" t="str">
        <f>Table1[[#This Row],[Fiscal_Year]]&amp;"-"&amp;Table1[[#This Row],[BRAND]]</f>
        <v>2023-Banana Republic</v>
      </c>
      <c r="D1250">
        <v>2023</v>
      </c>
      <c r="E1250">
        <v>47</v>
      </c>
      <c r="F1250" t="s">
        <v>18</v>
      </c>
      <c r="G1250" t="s">
        <v>7</v>
      </c>
      <c r="H1250">
        <v>3</v>
      </c>
      <c r="I1250">
        <v>2</v>
      </c>
      <c r="J1250" t="str">
        <f>VLOOKUP(H1250,DC_Xref!A:B,2,FALSE)</f>
        <v>WFC</v>
      </c>
      <c r="K1250">
        <f t="shared" si="19"/>
        <v>202347</v>
      </c>
      <c r="L1250">
        <f>IFERROR(Table1[[#This Row],[Demand]]/SUMIFS(Table1[Demand],Table1[Fiscal_Year],Table1[[#This Row],[Fiscal_Year]],Table1[BRAND],Table1[[#This Row],[BRAND]],Table1[DC_name_Xref],Table1[[#This Row],[DC_name_Xref]]),0)</f>
        <v>0.15384615384615385</v>
      </c>
      <c r="M12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2.9272099703473632E-6</v>
      </c>
      <c r="N1250" s="3">
        <f>IFERROR(INDEX(Table3[#All],MATCH(Table1[[#This Row],[Key_Year_Week_Brand]],Table3[[#All],[Key_Year_Week_Brand]],0),MATCH(Table1[[#This Row],[DC_name_Xref]],Table3[#Headers],0)),0)</f>
        <v>3.4959629396853166E-6</v>
      </c>
      <c r="O1250">
        <f>IFERROR(INDEX(Table35[#All],MATCH(Table1[[#This Row],[Key_Year_Week_Brand]],Table35[[#All],[Key_Year_Month_Brand]],0),MATCH(Table1[[#This Row],[DC_name_Xref]],Table35[#Headers],0)),0)</f>
        <v>1.7951315220101942</v>
      </c>
    </row>
    <row r="1251" spans="1:15" x14ac:dyDescent="0.3">
      <c r="A1251" s="19" t="str">
        <f>Table1[[#This Row],[Year_Week]]&amp;"-"&amp;Table1[[#This Row],[DC_name_Xref]]</f>
        <v>202347-EAO</v>
      </c>
      <c r="B1251" s="19" t="str">
        <f>Table1[[#This Row],[Fiscal_Year]]*100+Table1[[#This Row],[Fiscal_Week]] &amp; "-" &amp;Table1[[#This Row],[BRAND]]</f>
        <v>202347-Banana Republic</v>
      </c>
      <c r="C1251" t="str">
        <f>Table1[[#This Row],[Fiscal_Year]]&amp;"-"&amp;Table1[[#This Row],[BRAND]]</f>
        <v>2023-Banana Republic</v>
      </c>
      <c r="D1251">
        <v>2023</v>
      </c>
      <c r="E1251">
        <v>47</v>
      </c>
      <c r="F1251" t="s">
        <v>18</v>
      </c>
      <c r="G1251" t="s">
        <v>8</v>
      </c>
      <c r="H1251">
        <v>4</v>
      </c>
      <c r="I1251">
        <v>7</v>
      </c>
      <c r="J1251" t="str">
        <f>VLOOKUP(H1251,DC_Xref!A:B,2,FALSE)</f>
        <v>EAO</v>
      </c>
      <c r="K1251">
        <f t="shared" si="19"/>
        <v>202347</v>
      </c>
      <c r="L1251">
        <f>IFERROR(Table1[[#This Row],[Demand]]/SUMIFS(Table1[Demand],Table1[Fiscal_Year],Table1[[#This Row],[Fiscal_Year]],Table1[BRAND],Table1[[#This Row],[BRAND]],Table1[DC_name_Xref],Table1[[#This Row],[DC_name_Xref]]),0)</f>
        <v>2.0958083832335328E-2</v>
      </c>
      <c r="M12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7.5206779238155323E-5</v>
      </c>
      <c r="N1251" s="3">
        <f>IFERROR(INDEX(Table3[#All],MATCH(Table1[[#This Row],[Key_Year_Week_Brand]],Table3[[#All],[Key_Year_Week_Brand]],0),MATCH(Table1[[#This Row],[DC_name_Xref]],Table3[#Headers],0)),0)</f>
        <v>4.2339995602855504E-5</v>
      </c>
      <c r="O1251">
        <f>IFERROR(INDEX(Table35[#All],MATCH(Table1[[#This Row],[Key_Year_Week_Brand]],Table35[[#All],[Key_Year_Month_Brand]],0),MATCH(Table1[[#This Row],[DC_name_Xref]],Table35[#Headers],0)),0)</f>
        <v>21.741037322123464</v>
      </c>
    </row>
    <row r="1252" spans="1:15" x14ac:dyDescent="0.3">
      <c r="A1252" s="19" t="str">
        <f>Table1[[#This Row],[Year_Week]]&amp;"-"&amp;Table1[[#This Row],[DC_name_Xref]]</f>
        <v>202347-FFC-ODC</v>
      </c>
      <c r="B1252" s="19" t="str">
        <f>Table1[[#This Row],[Fiscal_Year]]*100+Table1[[#This Row],[Fiscal_Week]] &amp; "-" &amp;Table1[[#This Row],[BRAND]]</f>
        <v>202347-Banana Republic</v>
      </c>
      <c r="C1252" t="str">
        <f>Table1[[#This Row],[Fiscal_Year]]&amp;"-"&amp;Table1[[#This Row],[BRAND]]</f>
        <v>2023-Banana Republic</v>
      </c>
      <c r="D1252">
        <v>2023</v>
      </c>
      <c r="E1252">
        <v>47</v>
      </c>
      <c r="F1252" t="s">
        <v>18</v>
      </c>
      <c r="G1252" t="s">
        <v>23</v>
      </c>
      <c r="H1252">
        <v>5</v>
      </c>
      <c r="I1252">
        <v>0</v>
      </c>
      <c r="J1252" t="str">
        <f>VLOOKUP(H1252,DC_Xref!A:B,2,FALSE)</f>
        <v>FFC-ODC</v>
      </c>
      <c r="K1252">
        <f t="shared" si="19"/>
        <v>202347</v>
      </c>
      <c r="L1252">
        <f>IFERROR(Table1[[#This Row],[Demand]]/SUMIFS(Table1[Demand],Table1[Fiscal_Year],Table1[[#This Row],[Fiscal_Year]],Table1[BRAND],Table1[[#This Row],[BRAND]],Table1[DC_name_Xref],Table1[[#This Row],[DC_name_Xref]]),0)</f>
        <v>0</v>
      </c>
      <c r="M12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52" s="3">
        <f>IFERROR(INDEX(Table3[#All],MATCH(Table1[[#This Row],[Key_Year_Week_Brand]],Table3[[#All],[Key_Year_Week_Brand]],0),MATCH(Table1[[#This Row],[DC_name_Xref]],Table3[#Headers],0)),0)</f>
        <v>0</v>
      </c>
      <c r="O1252">
        <f>IFERROR(INDEX(Table35[#All],MATCH(Table1[[#This Row],[Key_Year_Week_Brand]],Table35[[#All],[Key_Year_Month_Brand]],0),MATCH(Table1[[#This Row],[DC_name_Xref]],Table35[#Headers],0)),0)</f>
        <v>0</v>
      </c>
    </row>
    <row r="1253" spans="1:15" x14ac:dyDescent="0.3">
      <c r="A1253" s="19" t="str">
        <f>Table1[[#This Row],[Year_Week]]&amp;"-"&amp;Table1[[#This Row],[DC_name_Xref]]</f>
        <v>202347-WEO</v>
      </c>
      <c r="B1253" s="19" t="str">
        <f>Table1[[#This Row],[Fiscal_Year]]*100+Table1[[#This Row],[Fiscal_Week]] &amp; "-" &amp;Table1[[#This Row],[BRAND]]</f>
        <v>202347-Banana Republic</v>
      </c>
      <c r="C1253" t="str">
        <f>Table1[[#This Row],[Fiscal_Year]]&amp;"-"&amp;Table1[[#This Row],[BRAND]]</f>
        <v>2023-Banana Republic</v>
      </c>
      <c r="D1253">
        <v>2023</v>
      </c>
      <c r="E1253">
        <v>47</v>
      </c>
      <c r="F1253" t="s">
        <v>18</v>
      </c>
      <c r="G1253" t="s">
        <v>10</v>
      </c>
      <c r="H1253">
        <v>6</v>
      </c>
      <c r="I1253">
        <v>0</v>
      </c>
      <c r="J1253" t="str">
        <f>VLOOKUP(H1253,DC_Xref!A:B,2,FALSE)</f>
        <v>WEO</v>
      </c>
      <c r="K1253">
        <f t="shared" si="19"/>
        <v>202347</v>
      </c>
      <c r="L1253">
        <f>IFERROR(Table1[[#This Row],[Demand]]/SUMIFS(Table1[Demand],Table1[Fiscal_Year],Table1[[#This Row],[Fiscal_Year]],Table1[BRAND],Table1[[#This Row],[BRAND]],Table1[DC_name_Xref],Table1[[#This Row],[DC_name_Xref]]),0)</f>
        <v>0</v>
      </c>
      <c r="M12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53" s="3">
        <f>IFERROR(INDEX(Table3[#All],MATCH(Table1[[#This Row],[Key_Year_Week_Brand]],Table3[[#All],[Key_Year_Week_Brand]],0),MATCH(Table1[[#This Row],[DC_name_Xref]],Table3[#Headers],0)),0)</f>
        <v>0</v>
      </c>
      <c r="O1253">
        <f>IFERROR(INDEX(Table35[#All],MATCH(Table1[[#This Row],[Key_Year_Week_Brand]],Table35[[#All],[Key_Year_Month_Brand]],0),MATCH(Table1[[#This Row],[DC_name_Xref]],Table35[#Headers],0)),0)</f>
        <v>0</v>
      </c>
    </row>
    <row r="1254" spans="1:15" x14ac:dyDescent="0.3">
      <c r="A1254" s="19" t="str">
        <f>Table1[[#This Row],[Year_Week]]&amp;"-"&amp;Table1[[#This Row],[DC_name_Xref]]</f>
        <v>202347-OCC</v>
      </c>
      <c r="B1254" s="19" t="str">
        <f>Table1[[#This Row],[Fiscal_Year]]*100+Table1[[#This Row],[Fiscal_Week]] &amp; "-" &amp;Table1[[#This Row],[BRAND]]</f>
        <v>202347-Banana Republic</v>
      </c>
      <c r="C1254" t="str">
        <f>Table1[[#This Row],[Fiscal_Year]]&amp;"-"&amp;Table1[[#This Row],[BRAND]]</f>
        <v>2023-Banana Republic</v>
      </c>
      <c r="D1254">
        <v>2023</v>
      </c>
      <c r="E1254">
        <v>47</v>
      </c>
      <c r="F1254" t="s">
        <v>18</v>
      </c>
      <c r="G1254" t="s">
        <v>11</v>
      </c>
      <c r="H1254">
        <v>7</v>
      </c>
      <c r="I1254">
        <v>0</v>
      </c>
      <c r="J1254" t="str">
        <f>VLOOKUP(H1254,DC_Xref!A:B,2,FALSE)</f>
        <v>OCC</v>
      </c>
      <c r="K1254">
        <f t="shared" si="19"/>
        <v>202347</v>
      </c>
      <c r="L1254">
        <f>IFERROR(Table1[[#This Row],[Demand]]/SUMIFS(Table1[Demand],Table1[Fiscal_Year],Table1[[#This Row],[Fiscal_Year]],Table1[BRAND],Table1[[#This Row],[BRAND]],Table1[DC_name_Xref],Table1[[#This Row],[DC_name_Xref]]),0)</f>
        <v>0</v>
      </c>
      <c r="M12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54" s="3">
        <f>IFERROR(INDEX(Table3[#All],MATCH(Table1[[#This Row],[Key_Year_Week_Brand]],Table3[[#All],[Key_Year_Week_Brand]],0),MATCH(Table1[[#This Row],[DC_name_Xref]],Table3[#Headers],0)),0)</f>
        <v>0</v>
      </c>
      <c r="O1254">
        <f>IFERROR(INDEX(Table35[#All],MATCH(Table1[[#This Row],[Key_Year_Week_Brand]],Table35[[#All],[Key_Year_Month_Brand]],0),MATCH(Table1[[#This Row],[DC_name_Xref]],Table35[#Headers],0)),0)</f>
        <v>0</v>
      </c>
    </row>
    <row r="1255" spans="1:15" x14ac:dyDescent="0.3">
      <c r="A1255" s="19" t="str">
        <f>Table1[[#This Row],[Year_Week]]&amp;"-"&amp;Table1[[#This Row],[DC_name_Xref]]</f>
        <v>202347-OFC</v>
      </c>
      <c r="B1255" s="19" t="str">
        <f>Table1[[#This Row],[Fiscal_Year]]*100+Table1[[#This Row],[Fiscal_Week]] &amp; "-" &amp;Table1[[#This Row],[BRAND]]</f>
        <v>202347-Gap</v>
      </c>
      <c r="C1255" t="str">
        <f>Table1[[#This Row],[Fiscal_Year]]&amp;"-"&amp;Table1[[#This Row],[BRAND]]</f>
        <v>2023-Gap</v>
      </c>
      <c r="D1255">
        <v>2023</v>
      </c>
      <c r="E1255">
        <v>47</v>
      </c>
      <c r="F1255" t="s">
        <v>16</v>
      </c>
      <c r="G1255" t="s">
        <v>5</v>
      </c>
      <c r="H1255">
        <v>1</v>
      </c>
      <c r="I1255">
        <v>1326959</v>
      </c>
      <c r="J1255" t="str">
        <f>VLOOKUP(H1255,DC_Xref!A:B,2,FALSE)</f>
        <v>OFC</v>
      </c>
      <c r="K1255">
        <f t="shared" si="19"/>
        <v>202347</v>
      </c>
      <c r="L1255">
        <f>IFERROR(Table1[[#This Row],[Demand]]/SUMIFS(Table1[Demand],Table1[Fiscal_Year],Table1[[#This Row],[Fiscal_Year]],Table1[BRAND],Table1[[#This Row],[BRAND]],Table1[DC_name_Xref],Table1[[#This Row],[DC_name_Xref]]),0)</f>
        <v>8.7172713663999438E-2</v>
      </c>
      <c r="M12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0.67286142306667829</v>
      </c>
      <c r="N1255" s="3">
        <f>IFERROR(INDEX(Table3[#All],MATCH(Table1[[#This Row],[Key_Year_Week_Brand]],Table3[[#All],[Key_Year_Week_Brand]],0),MATCH(Table1[[#This Row],[DC_name_Xref]],Table3[#Headers],0)),0)</f>
        <v>0</v>
      </c>
      <c r="O1255">
        <f>IFERROR(INDEX(Table35[#All],MATCH(Table1[[#This Row],[Key_Year_Week_Brand]],Table35[[#All],[Key_Year_Month_Brand]],0),MATCH(Table1[[#This Row],[DC_name_Xref]],Table35[#Headers],0)),0)</f>
        <v>0</v>
      </c>
    </row>
    <row r="1256" spans="1:15" x14ac:dyDescent="0.3">
      <c r="A1256" s="19" t="str">
        <f>Table1[[#This Row],[Year_Week]]&amp;"-"&amp;Table1[[#This Row],[DC_name_Xref]]</f>
        <v>202347-TFC</v>
      </c>
      <c r="B1256" s="19" t="str">
        <f>Table1[[#This Row],[Fiscal_Year]]*100+Table1[[#This Row],[Fiscal_Week]] &amp; "-" &amp;Table1[[#This Row],[BRAND]]</f>
        <v>202347-Gap</v>
      </c>
      <c r="C1256" t="str">
        <f>Table1[[#This Row],[Fiscal_Year]]&amp;"-"&amp;Table1[[#This Row],[BRAND]]</f>
        <v>2023-Gap</v>
      </c>
      <c r="D1256">
        <v>2023</v>
      </c>
      <c r="E1256">
        <v>47</v>
      </c>
      <c r="F1256" t="s">
        <v>16</v>
      </c>
      <c r="G1256" t="s">
        <v>21</v>
      </c>
      <c r="H1256">
        <v>2</v>
      </c>
      <c r="I1256">
        <v>924</v>
      </c>
      <c r="J1256" t="str">
        <f>VLOOKUP(H1256,DC_Xref!A:B,2,FALSE)</f>
        <v>TFC</v>
      </c>
      <c r="K1256">
        <f t="shared" si="19"/>
        <v>202347</v>
      </c>
      <c r="L1256">
        <f>IFERROR(Table1[[#This Row],[Demand]]/SUMIFS(Table1[Demand],Table1[Fiscal_Year],Table1[[#This Row],[Fiscal_Year]],Table1[BRAND],Table1[[#This Row],[BRAND]],Table1[DC_name_Xref],Table1[[#This Row],[DC_name_Xref]]),0)</f>
        <v>0.27814569536423839</v>
      </c>
      <c r="M12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1.4684133329808906E-4</v>
      </c>
      <c r="N1256" s="3">
        <f>IFERROR(INDEX(Table3[#All],MATCH(Table1[[#This Row],[Key_Year_Week_Brand]],Table3[[#All],[Key_Year_Week_Brand]],0),MATCH(Table1[[#This Row],[DC_name_Xref]],Table3[#Headers],0)),0)</f>
        <v>0.25</v>
      </c>
      <c r="O1256">
        <f>IFERROR(INDEX(Table35[#All],MATCH(Table1[[#This Row],[Key_Year_Week_Brand]],Table35[[#All],[Key_Year_Month_Brand]],0),MATCH(Table1[[#This Row],[DC_name_Xref]],Table35[#Headers],0)),0)</f>
        <v>449310</v>
      </c>
    </row>
    <row r="1257" spans="1:15" x14ac:dyDescent="0.3">
      <c r="A1257" s="19" t="str">
        <f>Table1[[#This Row],[Year_Week]]&amp;"-"&amp;Table1[[#This Row],[DC_name_Xref]]</f>
        <v>202347-WFC</v>
      </c>
      <c r="B1257" s="19" t="str">
        <f>Table1[[#This Row],[Fiscal_Year]]*100+Table1[[#This Row],[Fiscal_Week]] &amp; "-" &amp;Table1[[#This Row],[BRAND]]</f>
        <v>202347-Gap</v>
      </c>
      <c r="C1257" t="str">
        <f>Table1[[#This Row],[Fiscal_Year]]&amp;"-"&amp;Table1[[#This Row],[BRAND]]</f>
        <v>2023-Gap</v>
      </c>
      <c r="D1257">
        <v>2023</v>
      </c>
      <c r="E1257">
        <v>47</v>
      </c>
      <c r="F1257" t="s">
        <v>16</v>
      </c>
      <c r="G1257" t="s">
        <v>7</v>
      </c>
      <c r="H1257">
        <v>3</v>
      </c>
      <c r="I1257">
        <v>68477</v>
      </c>
      <c r="J1257" t="str">
        <f>VLOOKUP(H1257,DC_Xref!A:B,2,FALSE)</f>
        <v>WFC</v>
      </c>
      <c r="K1257">
        <f t="shared" si="19"/>
        <v>202347</v>
      </c>
      <c r="L1257">
        <f>IFERROR(Table1[[#This Row],[Demand]]/SUMIFS(Table1[Demand],Table1[Fiscal_Year],Table1[[#This Row],[Fiscal_Year]],Table1[BRAND],Table1[[#This Row],[BRAND]],Table1[DC_name_Xref],Table1[[#This Row],[DC_name_Xref]]),0)</f>
        <v>8.7652130726182609E-2</v>
      </c>
      <c r="M12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3.4532732047099911E-2</v>
      </c>
      <c r="N1257" s="3">
        <f>IFERROR(INDEX(Table3[#All],MATCH(Table1[[#This Row],[Key_Year_Week_Brand]],Table3[[#All],[Key_Year_Week_Brand]],0),MATCH(Table1[[#This Row],[DC_name_Xref]],Table3[#Headers],0)),0)</f>
        <v>0</v>
      </c>
      <c r="O1257">
        <f>IFERROR(INDEX(Table35[#All],MATCH(Table1[[#This Row],[Key_Year_Week_Brand]],Table35[[#All],[Key_Year_Month_Brand]],0),MATCH(Table1[[#This Row],[DC_name_Xref]],Table35[#Headers],0)),0)</f>
        <v>0</v>
      </c>
    </row>
    <row r="1258" spans="1:15" x14ac:dyDescent="0.3">
      <c r="A1258" s="19" t="str">
        <f>Table1[[#This Row],[Year_Week]]&amp;"-"&amp;Table1[[#This Row],[DC_name_Xref]]</f>
        <v>202347-EAO</v>
      </c>
      <c r="B1258" s="19" t="str">
        <f>Table1[[#This Row],[Fiscal_Year]]*100+Table1[[#This Row],[Fiscal_Week]] &amp; "-" &amp;Table1[[#This Row],[BRAND]]</f>
        <v>202347-Gap</v>
      </c>
      <c r="C1258" t="str">
        <f>Table1[[#This Row],[Fiscal_Year]]&amp;"-"&amp;Table1[[#This Row],[BRAND]]</f>
        <v>2023-Gap</v>
      </c>
      <c r="D1258">
        <v>2023</v>
      </c>
      <c r="E1258">
        <v>47</v>
      </c>
      <c r="F1258" t="s">
        <v>16</v>
      </c>
      <c r="G1258" t="s">
        <v>8</v>
      </c>
      <c r="H1258">
        <v>4</v>
      </c>
      <c r="I1258">
        <v>327</v>
      </c>
      <c r="J1258" t="str">
        <f>VLOOKUP(H1258,DC_Xref!A:B,2,FALSE)</f>
        <v>EAO</v>
      </c>
      <c r="K1258">
        <f t="shared" si="19"/>
        <v>202347</v>
      </c>
      <c r="L1258">
        <f>IFERROR(Table1[[#This Row],[Demand]]/SUMIFS(Table1[Demand],Table1[Fiscal_Year],Table1[[#This Row],[Fiscal_Year]],Table1[BRAND],Table1[[#This Row],[BRAND]],Table1[DC_name_Xref],Table1[[#This Row],[DC_name_Xref]]),0)</f>
        <v>0.11501934576151952</v>
      </c>
      <c r="M12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1.2566824520363249E-4</v>
      </c>
      <c r="N1258" s="3">
        <f>IFERROR(INDEX(Table3[#All],MATCH(Table1[[#This Row],[Key_Year_Week_Brand]],Table3[[#All],[Key_Year_Week_Brand]],0),MATCH(Table1[[#This Row],[DC_name_Xref]],Table3[#Headers],0)),0)</f>
        <v>0</v>
      </c>
      <c r="O1258">
        <f>IFERROR(INDEX(Table35[#All],MATCH(Table1[[#This Row],[Key_Year_Week_Brand]],Table35[[#All],[Key_Year_Month_Brand]],0),MATCH(Table1[[#This Row],[DC_name_Xref]],Table35[#Headers],0)),0)</f>
        <v>0</v>
      </c>
    </row>
    <row r="1259" spans="1:15" x14ac:dyDescent="0.3">
      <c r="A1259" s="19" t="str">
        <f>Table1[[#This Row],[Year_Week]]&amp;"-"&amp;Table1[[#This Row],[DC_name_Xref]]</f>
        <v>202347-FFC-ODC</v>
      </c>
      <c r="B1259" s="19" t="str">
        <f>Table1[[#This Row],[Fiscal_Year]]*100+Table1[[#This Row],[Fiscal_Week]] &amp; "-" &amp;Table1[[#This Row],[BRAND]]</f>
        <v>202347-Gap</v>
      </c>
      <c r="C1259" t="str">
        <f>Table1[[#This Row],[Fiscal_Year]]&amp;"-"&amp;Table1[[#This Row],[BRAND]]</f>
        <v>2023-Gap</v>
      </c>
      <c r="D1259">
        <v>2023</v>
      </c>
      <c r="E1259">
        <v>47</v>
      </c>
      <c r="F1259" t="s">
        <v>16</v>
      </c>
      <c r="G1259" t="s">
        <v>23</v>
      </c>
      <c r="H1259">
        <v>5</v>
      </c>
      <c r="I1259">
        <v>0</v>
      </c>
      <c r="J1259" t="str">
        <f>VLOOKUP(H1259,DC_Xref!A:B,2,FALSE)</f>
        <v>FFC-ODC</v>
      </c>
      <c r="K1259">
        <f t="shared" si="19"/>
        <v>202347</v>
      </c>
      <c r="L1259">
        <f>IFERROR(Table1[[#This Row],[Demand]]/SUMIFS(Table1[Demand],Table1[Fiscal_Year],Table1[[#This Row],[Fiscal_Year]],Table1[BRAND],Table1[[#This Row],[BRAND]],Table1[DC_name_Xref],Table1[[#This Row],[DC_name_Xref]]),0)</f>
        <v>0</v>
      </c>
      <c r="M12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59" s="3">
        <f>IFERROR(INDEX(Table3[#All],MATCH(Table1[[#This Row],[Key_Year_Week_Brand]],Table3[[#All],[Key_Year_Week_Brand]],0),MATCH(Table1[[#This Row],[DC_name_Xref]],Table3[#Headers],0)),0)</f>
        <v>0</v>
      </c>
      <c r="O1259">
        <f>IFERROR(INDEX(Table35[#All],MATCH(Table1[[#This Row],[Key_Year_Week_Brand]],Table35[[#All],[Key_Year_Month_Brand]],0),MATCH(Table1[[#This Row],[DC_name_Xref]],Table35[#Headers],0)),0)</f>
        <v>0</v>
      </c>
    </row>
    <row r="1260" spans="1:15" x14ac:dyDescent="0.3">
      <c r="A1260" s="19" t="str">
        <f>Table1[[#This Row],[Year_Week]]&amp;"-"&amp;Table1[[#This Row],[DC_name_Xref]]</f>
        <v>202347-WEO</v>
      </c>
      <c r="B1260" s="19" t="str">
        <f>Table1[[#This Row],[Fiscal_Year]]*100+Table1[[#This Row],[Fiscal_Week]] &amp; "-" &amp;Table1[[#This Row],[BRAND]]</f>
        <v>202347-Gap</v>
      </c>
      <c r="C1260" t="str">
        <f>Table1[[#This Row],[Fiscal_Year]]&amp;"-"&amp;Table1[[#This Row],[BRAND]]</f>
        <v>2023-Gap</v>
      </c>
      <c r="D1260">
        <v>2023</v>
      </c>
      <c r="E1260">
        <v>47</v>
      </c>
      <c r="F1260" t="s">
        <v>16</v>
      </c>
      <c r="G1260" t="s">
        <v>10</v>
      </c>
      <c r="H1260">
        <v>6</v>
      </c>
      <c r="I1260">
        <v>400553</v>
      </c>
      <c r="J1260" t="str">
        <f>VLOOKUP(H1260,DC_Xref!A:B,2,FALSE)</f>
        <v>WEO</v>
      </c>
      <c r="K1260">
        <f t="shared" si="19"/>
        <v>202347</v>
      </c>
      <c r="L1260">
        <f>IFERROR(Table1[[#This Row],[Demand]]/SUMIFS(Table1[Demand],Table1[Fiscal_Year],Table1[[#This Row],[Fiscal_Year]],Table1[BRAND],Table1[[#This Row],[BRAND]],Table1[DC_name_Xref],Table1[[#This Row],[DC_name_Xref]]),0)</f>
        <v>6.0566201666476652E-2</v>
      </c>
      <c r="M12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0.2923333353077201</v>
      </c>
      <c r="N1260" s="3">
        <f>IFERROR(INDEX(Table3[#All],MATCH(Table1[[#This Row],[Key_Year_Week_Brand]],Table3[[#All],[Key_Year_Week_Brand]],0),MATCH(Table1[[#This Row],[DC_name_Xref]],Table3[#Headers],0)),0)</f>
        <v>0.45</v>
      </c>
      <c r="O1260">
        <f>IFERROR(INDEX(Table35[#All],MATCH(Table1[[#This Row],[Key_Year_Week_Brand]],Table35[[#All],[Key_Year_Month_Brand]],0),MATCH(Table1[[#This Row],[DC_name_Xref]],Table35[#Headers],0)),0)</f>
        <v>808758</v>
      </c>
    </row>
    <row r="1261" spans="1:15" x14ac:dyDescent="0.3">
      <c r="A1261" s="19" t="str">
        <f>Table1[[#This Row],[Year_Week]]&amp;"-"&amp;Table1[[#This Row],[DC_name_Xref]]</f>
        <v>202347-OCC</v>
      </c>
      <c r="B1261" s="19" t="str">
        <f>Table1[[#This Row],[Fiscal_Year]]*100+Table1[[#This Row],[Fiscal_Week]] &amp; "-" &amp;Table1[[#This Row],[BRAND]]</f>
        <v>202347-Gap</v>
      </c>
      <c r="C1261" t="str">
        <f>Table1[[#This Row],[Fiscal_Year]]&amp;"-"&amp;Table1[[#This Row],[BRAND]]</f>
        <v>2023-Gap</v>
      </c>
      <c r="D1261">
        <v>2023</v>
      </c>
      <c r="E1261">
        <v>47</v>
      </c>
      <c r="F1261" t="s">
        <v>16</v>
      </c>
      <c r="G1261" t="s">
        <v>11</v>
      </c>
      <c r="H1261">
        <v>7</v>
      </c>
      <c r="I1261">
        <v>0</v>
      </c>
      <c r="J1261" t="str">
        <f>VLOOKUP(H1261,DC_Xref!A:B,2,FALSE)</f>
        <v>OCC</v>
      </c>
      <c r="K1261">
        <f t="shared" si="19"/>
        <v>202347</v>
      </c>
      <c r="L1261">
        <f>IFERROR(Table1[[#This Row],[Demand]]/SUMIFS(Table1[Demand],Table1[Fiscal_Year],Table1[[#This Row],[Fiscal_Year]],Table1[BRAND],Table1[[#This Row],[BRAND]],Table1[DC_name_Xref],Table1[[#This Row],[DC_name_Xref]]),0)</f>
        <v>0</v>
      </c>
      <c r="M12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1" s="3">
        <f>IFERROR(INDEX(Table3[#All],MATCH(Table1[[#This Row],[Key_Year_Week_Brand]],Table3[[#All],[Key_Year_Week_Brand]],0),MATCH(Table1[[#This Row],[DC_name_Xref]],Table3[#Headers],0)),0)</f>
        <v>0.3</v>
      </c>
      <c r="O1261">
        <f>IFERROR(INDEX(Table35[#All],MATCH(Table1[[#This Row],[Key_Year_Week_Brand]],Table35[[#All],[Key_Year_Month_Brand]],0),MATCH(Table1[[#This Row],[DC_name_Xref]],Table35[#Headers],0)),0)</f>
        <v>539172</v>
      </c>
    </row>
    <row r="1262" spans="1:15" x14ac:dyDescent="0.3">
      <c r="A1262" s="19" t="str">
        <f>Table1[[#This Row],[Year_Week]]&amp;"-"&amp;Table1[[#This Row],[DC_name_Xref]]</f>
        <v>202348-OFC</v>
      </c>
      <c r="B1262" s="19" t="str">
        <f>Table1[[#This Row],[Fiscal_Year]]*100+Table1[[#This Row],[Fiscal_Week]] &amp; "-" &amp;Table1[[#This Row],[BRAND]]</f>
        <v>202348-Gap Factory Store</v>
      </c>
      <c r="C1262" t="str">
        <f>Table1[[#This Row],[Fiscal_Year]]&amp;"-"&amp;Table1[[#This Row],[BRAND]]</f>
        <v>2023-Gap Factory Store</v>
      </c>
      <c r="D1262">
        <v>2023</v>
      </c>
      <c r="E1262">
        <v>48</v>
      </c>
      <c r="F1262" t="s">
        <v>22</v>
      </c>
      <c r="G1262" t="s">
        <v>5</v>
      </c>
      <c r="H1262">
        <v>1</v>
      </c>
      <c r="I1262">
        <v>388478</v>
      </c>
      <c r="J1262" t="str">
        <f>VLOOKUP(H1262,DC_Xref!A:B,2,FALSE)</f>
        <v>OFC</v>
      </c>
      <c r="K1262">
        <f t="shared" si="19"/>
        <v>202348</v>
      </c>
      <c r="L1262">
        <f>IFERROR(Table1[[#This Row],[Demand]]/SUMIFS(Table1[Demand],Table1[Fiscal_Year],Table1[[#This Row],[Fiscal_Year]],Table1[BRAND],Table1[[#This Row],[BRAND]],Table1[DC_name_Xref],Table1[[#This Row],[DC_name_Xref]]),0)</f>
        <v>3.9984585764022619E-2</v>
      </c>
      <c r="M12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262" s="3">
        <f>IFERROR(INDEX(Table3[#All],MATCH(Table1[[#This Row],[Key_Year_Week_Brand]],Table3[[#All],[Key_Year_Week_Brand]],0),MATCH(Table1[[#This Row],[DC_name_Xref]],Table3[#Headers],0)),0)</f>
        <v>1</v>
      </c>
      <c r="O1262">
        <f>IFERROR(INDEX(Table35[#All],MATCH(Table1[[#This Row],[Key_Year_Week_Brand]],Table35[[#All],[Key_Year_Month_Brand]],0),MATCH(Table1[[#This Row],[DC_name_Xref]],Table35[#Headers],0)),0)</f>
        <v>388478</v>
      </c>
    </row>
    <row r="1263" spans="1:15" x14ac:dyDescent="0.3">
      <c r="A1263" s="19" t="str">
        <f>Table1[[#This Row],[Year_Week]]&amp;"-"&amp;Table1[[#This Row],[DC_name_Xref]]</f>
        <v>202348-TFC</v>
      </c>
      <c r="B1263" s="19" t="str">
        <f>Table1[[#This Row],[Fiscal_Year]]*100+Table1[[#This Row],[Fiscal_Week]] &amp; "-" &amp;Table1[[#This Row],[BRAND]]</f>
        <v>202348-Gap Factory Store</v>
      </c>
      <c r="C1263" t="str">
        <f>Table1[[#This Row],[Fiscal_Year]]&amp;"-"&amp;Table1[[#This Row],[BRAND]]</f>
        <v>2023-Gap Factory Store</v>
      </c>
      <c r="D1263">
        <v>2023</v>
      </c>
      <c r="E1263">
        <v>48</v>
      </c>
      <c r="F1263" t="s">
        <v>22</v>
      </c>
      <c r="G1263" t="s">
        <v>21</v>
      </c>
      <c r="H1263">
        <v>2</v>
      </c>
      <c r="I1263">
        <v>0</v>
      </c>
      <c r="J1263" t="str">
        <f>VLOOKUP(H1263,DC_Xref!A:B,2,FALSE)</f>
        <v>TFC</v>
      </c>
      <c r="K1263">
        <f t="shared" si="19"/>
        <v>202348</v>
      </c>
      <c r="L1263">
        <f>IFERROR(Table1[[#This Row],[Demand]]/SUMIFS(Table1[Demand],Table1[Fiscal_Year],Table1[[#This Row],[Fiscal_Year]],Table1[BRAND],Table1[[#This Row],[BRAND]],Table1[DC_name_Xref],Table1[[#This Row],[DC_name_Xref]]),0)</f>
        <v>0</v>
      </c>
      <c r="M12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3" s="3">
        <f>IFERROR(INDEX(Table3[#All],MATCH(Table1[[#This Row],[Key_Year_Week_Brand]],Table3[[#All],[Key_Year_Week_Brand]],0),MATCH(Table1[[#This Row],[DC_name_Xref]],Table3[#Headers],0)),0)</f>
        <v>0</v>
      </c>
      <c r="O1263">
        <f>IFERROR(INDEX(Table35[#All],MATCH(Table1[[#This Row],[Key_Year_Week_Brand]],Table35[[#All],[Key_Year_Month_Brand]],0),MATCH(Table1[[#This Row],[DC_name_Xref]],Table35[#Headers],0)),0)</f>
        <v>0</v>
      </c>
    </row>
    <row r="1264" spans="1:15" x14ac:dyDescent="0.3">
      <c r="A1264" s="19" t="str">
        <f>Table1[[#This Row],[Year_Week]]&amp;"-"&amp;Table1[[#This Row],[DC_name_Xref]]</f>
        <v>202348-WFC</v>
      </c>
      <c r="B1264" s="19" t="str">
        <f>Table1[[#This Row],[Fiscal_Year]]*100+Table1[[#This Row],[Fiscal_Week]] &amp; "-" &amp;Table1[[#This Row],[BRAND]]</f>
        <v>202348-Gap Factory Store</v>
      </c>
      <c r="C1264" t="str">
        <f>Table1[[#This Row],[Fiscal_Year]]&amp;"-"&amp;Table1[[#This Row],[BRAND]]</f>
        <v>2023-Gap Factory Store</v>
      </c>
      <c r="D1264">
        <v>2023</v>
      </c>
      <c r="E1264">
        <v>48</v>
      </c>
      <c r="F1264" t="s">
        <v>22</v>
      </c>
      <c r="G1264" t="s">
        <v>7</v>
      </c>
      <c r="H1264">
        <v>3</v>
      </c>
      <c r="I1264">
        <v>0</v>
      </c>
      <c r="J1264" t="str">
        <f>VLOOKUP(H1264,DC_Xref!A:B,2,FALSE)</f>
        <v>WFC</v>
      </c>
      <c r="K1264">
        <f t="shared" si="19"/>
        <v>202348</v>
      </c>
      <c r="L1264">
        <f>IFERROR(Table1[[#This Row],[Demand]]/SUMIFS(Table1[Demand],Table1[Fiscal_Year],Table1[[#This Row],[Fiscal_Year]],Table1[BRAND],Table1[[#This Row],[BRAND]],Table1[DC_name_Xref],Table1[[#This Row],[DC_name_Xref]]),0)</f>
        <v>0</v>
      </c>
      <c r="M12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4" s="3">
        <f>IFERROR(INDEX(Table3[#All],MATCH(Table1[[#This Row],[Key_Year_Week_Brand]],Table3[[#All],[Key_Year_Week_Brand]],0),MATCH(Table1[[#This Row],[DC_name_Xref]],Table3[#Headers],0)),0)</f>
        <v>0</v>
      </c>
      <c r="O1264">
        <f>IFERROR(INDEX(Table35[#All],MATCH(Table1[[#This Row],[Key_Year_Week_Brand]],Table35[[#All],[Key_Year_Month_Brand]],0),MATCH(Table1[[#This Row],[DC_name_Xref]],Table35[#Headers],0)),0)</f>
        <v>0</v>
      </c>
    </row>
    <row r="1265" spans="1:15" x14ac:dyDescent="0.3">
      <c r="A1265" s="19" t="str">
        <f>Table1[[#This Row],[Year_Week]]&amp;"-"&amp;Table1[[#This Row],[DC_name_Xref]]</f>
        <v>202348-EAO</v>
      </c>
      <c r="B1265" s="19" t="str">
        <f>Table1[[#This Row],[Fiscal_Year]]*100+Table1[[#This Row],[Fiscal_Week]] &amp; "-" &amp;Table1[[#This Row],[BRAND]]</f>
        <v>202348-Gap Factory Store</v>
      </c>
      <c r="C1265" t="str">
        <f>Table1[[#This Row],[Fiscal_Year]]&amp;"-"&amp;Table1[[#This Row],[BRAND]]</f>
        <v>2023-Gap Factory Store</v>
      </c>
      <c r="D1265">
        <v>2023</v>
      </c>
      <c r="E1265">
        <v>48</v>
      </c>
      <c r="F1265" t="s">
        <v>22</v>
      </c>
      <c r="G1265" t="s">
        <v>8</v>
      </c>
      <c r="H1265">
        <v>4</v>
      </c>
      <c r="I1265">
        <v>0</v>
      </c>
      <c r="J1265" t="str">
        <f>VLOOKUP(H1265,DC_Xref!A:B,2,FALSE)</f>
        <v>EAO</v>
      </c>
      <c r="K1265">
        <f t="shared" si="19"/>
        <v>202348</v>
      </c>
      <c r="L1265">
        <f>IFERROR(Table1[[#This Row],[Demand]]/SUMIFS(Table1[Demand],Table1[Fiscal_Year],Table1[[#This Row],[Fiscal_Year]],Table1[BRAND],Table1[[#This Row],[BRAND]],Table1[DC_name_Xref],Table1[[#This Row],[DC_name_Xref]]),0)</f>
        <v>0</v>
      </c>
      <c r="M12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5" s="3">
        <f>IFERROR(INDEX(Table3[#All],MATCH(Table1[[#This Row],[Key_Year_Week_Brand]],Table3[[#All],[Key_Year_Week_Brand]],0),MATCH(Table1[[#This Row],[DC_name_Xref]],Table3[#Headers],0)),0)</f>
        <v>0</v>
      </c>
      <c r="O1265">
        <f>IFERROR(INDEX(Table35[#All],MATCH(Table1[[#This Row],[Key_Year_Week_Brand]],Table35[[#All],[Key_Year_Month_Brand]],0),MATCH(Table1[[#This Row],[DC_name_Xref]],Table35[#Headers],0)),0)</f>
        <v>0</v>
      </c>
    </row>
    <row r="1266" spans="1:15" x14ac:dyDescent="0.3">
      <c r="A1266" s="19" t="str">
        <f>Table1[[#This Row],[Year_Week]]&amp;"-"&amp;Table1[[#This Row],[DC_name_Xref]]</f>
        <v>202348-FFC-ODC</v>
      </c>
      <c r="B1266" s="19" t="str">
        <f>Table1[[#This Row],[Fiscal_Year]]*100+Table1[[#This Row],[Fiscal_Week]] &amp; "-" &amp;Table1[[#This Row],[BRAND]]</f>
        <v>202348-Gap Factory Store</v>
      </c>
      <c r="C1266" t="str">
        <f>Table1[[#This Row],[Fiscal_Year]]&amp;"-"&amp;Table1[[#This Row],[BRAND]]</f>
        <v>2023-Gap Factory Store</v>
      </c>
      <c r="D1266">
        <v>2023</v>
      </c>
      <c r="E1266">
        <v>48</v>
      </c>
      <c r="F1266" t="s">
        <v>22</v>
      </c>
      <c r="G1266" t="s">
        <v>23</v>
      </c>
      <c r="H1266">
        <v>5</v>
      </c>
      <c r="I1266">
        <v>0</v>
      </c>
      <c r="J1266" t="str">
        <f>VLOOKUP(H1266,DC_Xref!A:B,2,FALSE)</f>
        <v>FFC-ODC</v>
      </c>
      <c r="K1266">
        <f t="shared" si="19"/>
        <v>202348</v>
      </c>
      <c r="L1266">
        <f>IFERROR(Table1[[#This Row],[Demand]]/SUMIFS(Table1[Demand],Table1[Fiscal_Year],Table1[[#This Row],[Fiscal_Year]],Table1[BRAND],Table1[[#This Row],[BRAND]],Table1[DC_name_Xref],Table1[[#This Row],[DC_name_Xref]]),0)</f>
        <v>0</v>
      </c>
      <c r="M12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6" s="3">
        <f>IFERROR(INDEX(Table3[#All],MATCH(Table1[[#This Row],[Key_Year_Week_Brand]],Table3[[#All],[Key_Year_Week_Brand]],0),MATCH(Table1[[#This Row],[DC_name_Xref]],Table3[#Headers],0)),0)</f>
        <v>0</v>
      </c>
      <c r="O1266">
        <f>IFERROR(INDEX(Table35[#All],MATCH(Table1[[#This Row],[Key_Year_Week_Brand]],Table35[[#All],[Key_Year_Month_Brand]],0),MATCH(Table1[[#This Row],[DC_name_Xref]],Table35[#Headers],0)),0)</f>
        <v>0</v>
      </c>
    </row>
    <row r="1267" spans="1:15" x14ac:dyDescent="0.3">
      <c r="A1267" s="19" t="str">
        <f>Table1[[#This Row],[Year_Week]]&amp;"-"&amp;Table1[[#This Row],[DC_name_Xref]]</f>
        <v>202348-WEO</v>
      </c>
      <c r="B1267" s="19" t="str">
        <f>Table1[[#This Row],[Fiscal_Year]]*100+Table1[[#This Row],[Fiscal_Week]] &amp; "-" &amp;Table1[[#This Row],[BRAND]]</f>
        <v>202348-Gap Factory Store</v>
      </c>
      <c r="C1267" t="str">
        <f>Table1[[#This Row],[Fiscal_Year]]&amp;"-"&amp;Table1[[#This Row],[BRAND]]</f>
        <v>2023-Gap Factory Store</v>
      </c>
      <c r="D1267">
        <v>2023</v>
      </c>
      <c r="E1267">
        <v>48</v>
      </c>
      <c r="F1267" t="s">
        <v>22</v>
      </c>
      <c r="G1267" t="s">
        <v>10</v>
      </c>
      <c r="H1267">
        <v>6</v>
      </c>
      <c r="I1267">
        <v>0</v>
      </c>
      <c r="J1267" t="str">
        <f>VLOOKUP(H1267,DC_Xref!A:B,2,FALSE)</f>
        <v>WEO</v>
      </c>
      <c r="K1267">
        <f t="shared" si="19"/>
        <v>202348</v>
      </c>
      <c r="L1267">
        <f>IFERROR(Table1[[#This Row],[Demand]]/SUMIFS(Table1[Demand],Table1[Fiscal_Year],Table1[[#This Row],[Fiscal_Year]],Table1[BRAND],Table1[[#This Row],[BRAND]],Table1[DC_name_Xref],Table1[[#This Row],[DC_name_Xref]]),0)</f>
        <v>0</v>
      </c>
      <c r="M12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7" s="3">
        <f>IFERROR(INDEX(Table3[#All],MATCH(Table1[[#This Row],[Key_Year_Week_Brand]],Table3[[#All],[Key_Year_Week_Brand]],0),MATCH(Table1[[#This Row],[DC_name_Xref]],Table3[#Headers],0)),0)</f>
        <v>0</v>
      </c>
      <c r="O1267">
        <f>IFERROR(INDEX(Table35[#All],MATCH(Table1[[#This Row],[Key_Year_Week_Brand]],Table35[[#All],[Key_Year_Month_Brand]],0),MATCH(Table1[[#This Row],[DC_name_Xref]],Table35[#Headers],0)),0)</f>
        <v>0</v>
      </c>
    </row>
    <row r="1268" spans="1:15" x14ac:dyDescent="0.3">
      <c r="A1268" s="19" t="str">
        <f>Table1[[#This Row],[Year_Week]]&amp;"-"&amp;Table1[[#This Row],[DC_name_Xref]]</f>
        <v>202348-OCC</v>
      </c>
      <c r="B1268" s="19" t="str">
        <f>Table1[[#This Row],[Fiscal_Year]]*100+Table1[[#This Row],[Fiscal_Week]] &amp; "-" &amp;Table1[[#This Row],[BRAND]]</f>
        <v>202348-Gap Factory Store</v>
      </c>
      <c r="C1268" t="str">
        <f>Table1[[#This Row],[Fiscal_Year]]&amp;"-"&amp;Table1[[#This Row],[BRAND]]</f>
        <v>2023-Gap Factory Store</v>
      </c>
      <c r="D1268">
        <v>2023</v>
      </c>
      <c r="E1268">
        <v>48</v>
      </c>
      <c r="F1268" t="s">
        <v>22</v>
      </c>
      <c r="G1268" t="s">
        <v>11</v>
      </c>
      <c r="H1268">
        <v>7</v>
      </c>
      <c r="I1268">
        <v>0</v>
      </c>
      <c r="J1268" t="str">
        <f>VLOOKUP(H1268,DC_Xref!A:B,2,FALSE)</f>
        <v>OCC</v>
      </c>
      <c r="K1268">
        <f t="shared" si="19"/>
        <v>202348</v>
      </c>
      <c r="L1268">
        <f>IFERROR(Table1[[#This Row],[Demand]]/SUMIFS(Table1[Demand],Table1[Fiscal_Year],Table1[[#This Row],[Fiscal_Year]],Table1[BRAND],Table1[[#This Row],[BRAND]],Table1[DC_name_Xref],Table1[[#This Row],[DC_name_Xref]]),0)</f>
        <v>0</v>
      </c>
      <c r="M12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68" s="3">
        <f>IFERROR(INDEX(Table3[#All],MATCH(Table1[[#This Row],[Key_Year_Week_Brand]],Table3[[#All],[Key_Year_Week_Brand]],0),MATCH(Table1[[#This Row],[DC_name_Xref]],Table3[#Headers],0)),0)</f>
        <v>0</v>
      </c>
      <c r="O1268">
        <f>IFERROR(INDEX(Table35[#All],MATCH(Table1[[#This Row],[Key_Year_Week_Brand]],Table35[[#All],[Key_Year_Month_Brand]],0),MATCH(Table1[[#This Row],[DC_name_Xref]],Table35[#Headers],0)),0)</f>
        <v>0</v>
      </c>
    </row>
    <row r="1269" spans="1:15" x14ac:dyDescent="0.3">
      <c r="A1269" s="19" t="str">
        <f>Table1[[#This Row],[Year_Week]]&amp;"-"&amp;Table1[[#This Row],[DC_name_Xref]]</f>
        <v>202348-OFC</v>
      </c>
      <c r="B1269" s="19" t="str">
        <f>Table1[[#This Row],[Fiscal_Year]]*100+Table1[[#This Row],[Fiscal_Week]] &amp; "-" &amp;Table1[[#This Row],[BRAND]]</f>
        <v>202348-Banana Republic</v>
      </c>
      <c r="C1269" t="str">
        <f>Table1[[#This Row],[Fiscal_Year]]&amp;"-"&amp;Table1[[#This Row],[BRAND]]</f>
        <v>2023-Banana Republic</v>
      </c>
      <c r="D1269">
        <v>2023</v>
      </c>
      <c r="E1269">
        <v>48</v>
      </c>
      <c r="F1269" t="s">
        <v>18</v>
      </c>
      <c r="G1269" t="s">
        <v>5</v>
      </c>
      <c r="H1269">
        <v>1</v>
      </c>
      <c r="I1269">
        <v>10481</v>
      </c>
      <c r="J1269" t="str">
        <f>VLOOKUP(H1269,DC_Xref!A:B,2,FALSE)</f>
        <v>OFC</v>
      </c>
      <c r="K1269">
        <f t="shared" si="19"/>
        <v>202348</v>
      </c>
      <c r="L1269">
        <f>IFERROR(Table1[[#This Row],[Demand]]/SUMIFS(Table1[Demand],Table1[Fiscal_Year],Table1[[#This Row],[Fiscal_Year]],Table1[BRAND],Table1[[#This Row],[BRAND]],Table1[DC_name_Xref],Table1[[#This Row],[DC_name_Xref]]),0)</f>
        <v>0.11203155396883084</v>
      </c>
      <c r="M12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2.1065553966605938E-2</v>
      </c>
      <c r="N1269" s="3">
        <f>IFERROR(INDEX(Table3[#All],MATCH(Table1[[#This Row],[Key_Year_Week_Brand]],Table3[[#All],[Key_Year_Week_Brand]],0),MATCH(Table1[[#This Row],[DC_name_Xref]],Table3[#Headers],0)),0)</f>
        <v>0</v>
      </c>
      <c r="O1269">
        <f>IFERROR(INDEX(Table35[#All],MATCH(Table1[[#This Row],[Key_Year_Week_Brand]],Table35[[#All],[Key_Year_Month_Brand]],0),MATCH(Table1[[#This Row],[DC_name_Xref]],Table35[#Headers],0)),0)</f>
        <v>0</v>
      </c>
    </row>
    <row r="1270" spans="1:15" x14ac:dyDescent="0.3">
      <c r="A1270" s="19" t="str">
        <f>Table1[[#This Row],[Year_Week]]&amp;"-"&amp;Table1[[#This Row],[DC_name_Xref]]</f>
        <v>202348-TFC</v>
      </c>
      <c r="B1270" s="19" t="str">
        <f>Table1[[#This Row],[Fiscal_Year]]*100+Table1[[#This Row],[Fiscal_Week]] &amp; "-" &amp;Table1[[#This Row],[BRAND]]</f>
        <v>202348-Banana Republic</v>
      </c>
      <c r="C1270" t="str">
        <f>Table1[[#This Row],[Fiscal_Year]]&amp;"-"&amp;Table1[[#This Row],[BRAND]]</f>
        <v>2023-Banana Republic</v>
      </c>
      <c r="D1270">
        <v>2023</v>
      </c>
      <c r="E1270">
        <v>48</v>
      </c>
      <c r="F1270" t="s">
        <v>18</v>
      </c>
      <c r="G1270" t="s">
        <v>21</v>
      </c>
      <c r="H1270">
        <v>2</v>
      </c>
      <c r="I1270">
        <v>535633</v>
      </c>
      <c r="J1270" t="str">
        <f>VLOOKUP(H1270,DC_Xref!A:B,2,FALSE)</f>
        <v>TFC</v>
      </c>
      <c r="K1270">
        <f t="shared" si="19"/>
        <v>202348</v>
      </c>
      <c r="L1270">
        <f>IFERROR(Table1[[#This Row],[Demand]]/SUMIFS(Table1[Demand],Table1[Fiscal_Year],Table1[[#This Row],[Fiscal_Year]],Table1[BRAND],Table1[[#This Row],[BRAND]],Table1[DC_name_Xref],Table1[[#This Row],[DC_name_Xref]]),0)</f>
        <v>0.12321367283862579</v>
      </c>
      <c r="M12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0.97885631204418555</v>
      </c>
      <c r="N1270" s="3">
        <f>IFERROR(INDEX(Table3[#All],MATCH(Table1[[#This Row],[Key_Year_Week_Brand]],Table3[[#All],[Key_Year_Week_Brand]],0),MATCH(Table1[[#This Row],[DC_name_Xref]],Table3[#Headers],0)),0)</f>
        <v>1</v>
      </c>
      <c r="O1270">
        <f>IFERROR(INDEX(Table35[#All],MATCH(Table1[[#This Row],[Key_Year_Week_Brand]],Table35[[#All],[Key_Year_Month_Brand]],0),MATCH(Table1[[#This Row],[DC_name_Xref]],Table35[#Headers],0)),0)</f>
        <v>546286</v>
      </c>
    </row>
    <row r="1271" spans="1:15" x14ac:dyDescent="0.3">
      <c r="A1271" s="19" t="str">
        <f>Table1[[#This Row],[Year_Week]]&amp;"-"&amp;Table1[[#This Row],[DC_name_Xref]]</f>
        <v>202348-WFC</v>
      </c>
      <c r="B1271" s="19" t="str">
        <f>Table1[[#This Row],[Fiscal_Year]]*100+Table1[[#This Row],[Fiscal_Week]] &amp; "-" &amp;Table1[[#This Row],[BRAND]]</f>
        <v>202348-Banana Republic</v>
      </c>
      <c r="C1271" t="str">
        <f>Table1[[#This Row],[Fiscal_Year]]&amp;"-"&amp;Table1[[#This Row],[BRAND]]</f>
        <v>2023-Banana Republic</v>
      </c>
      <c r="D1271">
        <v>2023</v>
      </c>
      <c r="E1271">
        <v>48</v>
      </c>
      <c r="F1271" t="s">
        <v>18</v>
      </c>
      <c r="G1271" t="s">
        <v>7</v>
      </c>
      <c r="H1271">
        <v>3</v>
      </c>
      <c r="I1271">
        <v>2</v>
      </c>
      <c r="J1271" t="str">
        <f>VLOOKUP(H1271,DC_Xref!A:B,2,FALSE)</f>
        <v>WFC</v>
      </c>
      <c r="K1271">
        <f t="shared" si="19"/>
        <v>202348</v>
      </c>
      <c r="L1271">
        <f>IFERROR(Table1[[#This Row],[Demand]]/SUMIFS(Table1[Demand],Table1[Fiscal_Year],Table1[[#This Row],[Fiscal_Year]],Table1[BRAND],Table1[[#This Row],[BRAND]],Table1[DC_name_Xref],Table1[[#This Row],[DC_name_Xref]]),0)</f>
        <v>0.15384615384615385</v>
      </c>
      <c r="M12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2.9272099703473632E-6</v>
      </c>
      <c r="N1271" s="3">
        <f>IFERROR(INDEX(Table3[#All],MATCH(Table1[[#This Row],[Key_Year_Week_Brand]],Table3[[#All],[Key_Year_Week_Brand]],0),MATCH(Table1[[#This Row],[DC_name_Xref]],Table3[#Headers],0)),0)</f>
        <v>3.4959629396853166E-6</v>
      </c>
      <c r="O1271">
        <f>IFERROR(INDEX(Table35[#All],MATCH(Table1[[#This Row],[Key_Year_Week_Brand]],Table35[[#All],[Key_Year_Month_Brand]],0),MATCH(Table1[[#This Row],[DC_name_Xref]],Table35[#Headers],0)),0)</f>
        <v>1.9097956104689329</v>
      </c>
    </row>
    <row r="1272" spans="1:15" x14ac:dyDescent="0.3">
      <c r="A1272" s="19" t="str">
        <f>Table1[[#This Row],[Year_Week]]&amp;"-"&amp;Table1[[#This Row],[DC_name_Xref]]</f>
        <v>202348-EAO</v>
      </c>
      <c r="B1272" s="19" t="str">
        <f>Table1[[#This Row],[Fiscal_Year]]*100+Table1[[#This Row],[Fiscal_Week]] &amp; "-" &amp;Table1[[#This Row],[BRAND]]</f>
        <v>202348-Banana Republic</v>
      </c>
      <c r="C1272" t="str">
        <f>Table1[[#This Row],[Fiscal_Year]]&amp;"-"&amp;Table1[[#This Row],[BRAND]]</f>
        <v>2023-Banana Republic</v>
      </c>
      <c r="D1272">
        <v>2023</v>
      </c>
      <c r="E1272">
        <v>48</v>
      </c>
      <c r="F1272" t="s">
        <v>18</v>
      </c>
      <c r="G1272" t="s">
        <v>8</v>
      </c>
      <c r="H1272">
        <v>4</v>
      </c>
      <c r="I1272">
        <v>170</v>
      </c>
      <c r="J1272" t="str">
        <f>VLOOKUP(H1272,DC_Xref!A:B,2,FALSE)</f>
        <v>EAO</v>
      </c>
      <c r="K1272">
        <f t="shared" si="19"/>
        <v>202348</v>
      </c>
      <c r="L1272">
        <f>IFERROR(Table1[[#This Row],[Demand]]/SUMIFS(Table1[Demand],Table1[Fiscal_Year],Table1[[#This Row],[Fiscal_Year]],Table1[BRAND],Table1[[#This Row],[BRAND]],Table1[DC_name_Xref],Table1[[#This Row],[DC_name_Xref]]),0)</f>
        <v>0.50898203592814373</v>
      </c>
      <c r="M12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7.5206779238155323E-5</v>
      </c>
      <c r="N1272" s="3">
        <f>IFERROR(INDEX(Table3[#All],MATCH(Table1[[#This Row],[Key_Year_Week_Brand]],Table3[[#All],[Key_Year_Week_Brand]],0),MATCH(Table1[[#This Row],[DC_name_Xref]],Table3[#Headers],0)),0)</f>
        <v>4.2339995602855504E-5</v>
      </c>
      <c r="O1272">
        <f>IFERROR(INDEX(Table35[#All],MATCH(Table1[[#This Row],[Key_Year_Week_Brand]],Table35[[#All],[Key_Year_Month_Brand]],0),MATCH(Table1[[#This Row],[DC_name_Xref]],Table35[#Headers],0)),0)</f>
        <v>23.129746837901521</v>
      </c>
    </row>
    <row r="1273" spans="1:15" x14ac:dyDescent="0.3">
      <c r="A1273" s="19" t="str">
        <f>Table1[[#This Row],[Year_Week]]&amp;"-"&amp;Table1[[#This Row],[DC_name_Xref]]</f>
        <v>202348-FFC-ODC</v>
      </c>
      <c r="B1273" s="19" t="str">
        <f>Table1[[#This Row],[Fiscal_Year]]*100+Table1[[#This Row],[Fiscal_Week]] &amp; "-" &amp;Table1[[#This Row],[BRAND]]</f>
        <v>202348-Banana Republic</v>
      </c>
      <c r="C1273" t="str">
        <f>Table1[[#This Row],[Fiscal_Year]]&amp;"-"&amp;Table1[[#This Row],[BRAND]]</f>
        <v>2023-Banana Republic</v>
      </c>
      <c r="D1273">
        <v>2023</v>
      </c>
      <c r="E1273">
        <v>48</v>
      </c>
      <c r="F1273" t="s">
        <v>18</v>
      </c>
      <c r="G1273" t="s">
        <v>23</v>
      </c>
      <c r="H1273">
        <v>5</v>
      </c>
      <c r="I1273">
        <v>0</v>
      </c>
      <c r="J1273" t="str">
        <f>VLOOKUP(H1273,DC_Xref!A:B,2,FALSE)</f>
        <v>FFC-ODC</v>
      </c>
      <c r="K1273">
        <f t="shared" si="19"/>
        <v>202348</v>
      </c>
      <c r="L1273">
        <f>IFERROR(Table1[[#This Row],[Demand]]/SUMIFS(Table1[Demand],Table1[Fiscal_Year],Table1[[#This Row],[Fiscal_Year]],Table1[BRAND],Table1[[#This Row],[BRAND]],Table1[DC_name_Xref],Table1[[#This Row],[DC_name_Xref]]),0)</f>
        <v>0</v>
      </c>
      <c r="M12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73" s="3">
        <f>IFERROR(INDEX(Table3[#All],MATCH(Table1[[#This Row],[Key_Year_Week_Brand]],Table3[[#All],[Key_Year_Week_Brand]],0),MATCH(Table1[[#This Row],[DC_name_Xref]],Table3[#Headers],0)),0)</f>
        <v>0</v>
      </c>
      <c r="O1273">
        <f>IFERROR(INDEX(Table35[#All],MATCH(Table1[[#This Row],[Key_Year_Week_Brand]],Table35[[#All],[Key_Year_Month_Brand]],0),MATCH(Table1[[#This Row],[DC_name_Xref]],Table35[#Headers],0)),0)</f>
        <v>0</v>
      </c>
    </row>
    <row r="1274" spans="1:15" x14ac:dyDescent="0.3">
      <c r="A1274" s="19" t="str">
        <f>Table1[[#This Row],[Year_Week]]&amp;"-"&amp;Table1[[#This Row],[DC_name_Xref]]</f>
        <v>202348-WEO</v>
      </c>
      <c r="B1274" s="19" t="str">
        <f>Table1[[#This Row],[Fiscal_Year]]*100+Table1[[#This Row],[Fiscal_Week]] &amp; "-" &amp;Table1[[#This Row],[BRAND]]</f>
        <v>202348-Banana Republic</v>
      </c>
      <c r="C1274" t="str">
        <f>Table1[[#This Row],[Fiscal_Year]]&amp;"-"&amp;Table1[[#This Row],[BRAND]]</f>
        <v>2023-Banana Republic</v>
      </c>
      <c r="D1274">
        <v>2023</v>
      </c>
      <c r="E1274">
        <v>48</v>
      </c>
      <c r="F1274" t="s">
        <v>18</v>
      </c>
      <c r="G1274" t="s">
        <v>10</v>
      </c>
      <c r="H1274">
        <v>6</v>
      </c>
      <c r="I1274">
        <v>0</v>
      </c>
      <c r="J1274" t="str">
        <f>VLOOKUP(H1274,DC_Xref!A:B,2,FALSE)</f>
        <v>WEO</v>
      </c>
      <c r="K1274">
        <f t="shared" si="19"/>
        <v>202348</v>
      </c>
      <c r="L1274">
        <f>IFERROR(Table1[[#This Row],[Demand]]/SUMIFS(Table1[Demand],Table1[Fiscal_Year],Table1[[#This Row],[Fiscal_Year]],Table1[BRAND],Table1[[#This Row],[BRAND]],Table1[DC_name_Xref],Table1[[#This Row],[DC_name_Xref]]),0)</f>
        <v>0</v>
      </c>
      <c r="M12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74" s="3">
        <f>IFERROR(INDEX(Table3[#All],MATCH(Table1[[#This Row],[Key_Year_Week_Brand]],Table3[[#All],[Key_Year_Week_Brand]],0),MATCH(Table1[[#This Row],[DC_name_Xref]],Table3[#Headers],0)),0)</f>
        <v>0</v>
      </c>
      <c r="O1274">
        <f>IFERROR(INDEX(Table35[#All],MATCH(Table1[[#This Row],[Key_Year_Week_Brand]],Table35[[#All],[Key_Year_Month_Brand]],0),MATCH(Table1[[#This Row],[DC_name_Xref]],Table35[#Headers],0)),0)</f>
        <v>0</v>
      </c>
    </row>
    <row r="1275" spans="1:15" x14ac:dyDescent="0.3">
      <c r="A1275" s="19" t="str">
        <f>Table1[[#This Row],[Year_Week]]&amp;"-"&amp;Table1[[#This Row],[DC_name_Xref]]</f>
        <v>202348-OCC</v>
      </c>
      <c r="B1275" s="19" t="str">
        <f>Table1[[#This Row],[Fiscal_Year]]*100+Table1[[#This Row],[Fiscal_Week]] &amp; "-" &amp;Table1[[#This Row],[BRAND]]</f>
        <v>202348-Banana Republic</v>
      </c>
      <c r="C1275" t="str">
        <f>Table1[[#This Row],[Fiscal_Year]]&amp;"-"&amp;Table1[[#This Row],[BRAND]]</f>
        <v>2023-Banana Republic</v>
      </c>
      <c r="D1275">
        <v>2023</v>
      </c>
      <c r="E1275">
        <v>48</v>
      </c>
      <c r="F1275" t="s">
        <v>18</v>
      </c>
      <c r="G1275" t="s">
        <v>11</v>
      </c>
      <c r="H1275">
        <v>7</v>
      </c>
      <c r="I1275">
        <v>0</v>
      </c>
      <c r="J1275" t="str">
        <f>VLOOKUP(H1275,DC_Xref!A:B,2,FALSE)</f>
        <v>OCC</v>
      </c>
      <c r="K1275">
        <f t="shared" si="19"/>
        <v>202348</v>
      </c>
      <c r="L1275">
        <f>IFERROR(Table1[[#This Row],[Demand]]/SUMIFS(Table1[Demand],Table1[Fiscal_Year],Table1[[#This Row],[Fiscal_Year]],Table1[BRAND],Table1[[#This Row],[BRAND]],Table1[DC_name_Xref],Table1[[#This Row],[DC_name_Xref]]),0)</f>
        <v>0</v>
      </c>
      <c r="M12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75" s="3">
        <f>IFERROR(INDEX(Table3[#All],MATCH(Table1[[#This Row],[Key_Year_Week_Brand]],Table3[[#All],[Key_Year_Week_Brand]],0),MATCH(Table1[[#This Row],[DC_name_Xref]],Table3[#Headers],0)),0)</f>
        <v>0</v>
      </c>
      <c r="O1275">
        <f>IFERROR(INDEX(Table35[#All],MATCH(Table1[[#This Row],[Key_Year_Week_Brand]],Table35[[#All],[Key_Year_Month_Brand]],0),MATCH(Table1[[#This Row],[DC_name_Xref]],Table35[#Headers],0)),0)</f>
        <v>0</v>
      </c>
    </row>
    <row r="1276" spans="1:15" x14ac:dyDescent="0.3">
      <c r="A1276" s="19" t="str">
        <f>Table1[[#This Row],[Year_Week]]&amp;"-"&amp;Table1[[#This Row],[DC_name_Xref]]</f>
        <v>202348-OFC</v>
      </c>
      <c r="B1276" s="19" t="str">
        <f>Table1[[#This Row],[Fiscal_Year]]*100+Table1[[#This Row],[Fiscal_Week]] &amp; "-" &amp;Table1[[#This Row],[BRAND]]</f>
        <v>202348-Old Navy</v>
      </c>
      <c r="C1276" t="str">
        <f>Table1[[#This Row],[Fiscal_Year]]&amp;"-"&amp;Table1[[#This Row],[BRAND]]</f>
        <v>2023-Old Navy</v>
      </c>
      <c r="D1276">
        <v>2023</v>
      </c>
      <c r="E1276">
        <v>48</v>
      </c>
      <c r="F1276" t="s">
        <v>20</v>
      </c>
      <c r="G1276" t="s">
        <v>5</v>
      </c>
      <c r="H1276">
        <v>1</v>
      </c>
      <c r="I1276">
        <v>1232916</v>
      </c>
      <c r="J1276" t="str">
        <f>VLOOKUP(H1276,DC_Xref!A:B,2,FALSE)</f>
        <v>OFC</v>
      </c>
      <c r="K1276">
        <f t="shared" si="19"/>
        <v>202348</v>
      </c>
      <c r="L1276">
        <f>IFERROR(Table1[[#This Row],[Demand]]/SUMIFS(Table1[Demand],Table1[Fiscal_Year],Table1[[#This Row],[Fiscal_Year]],Table1[BRAND],Table1[[#This Row],[BRAND]],Table1[DC_name_Xref],Table1[[#This Row],[DC_name_Xref]]),0)</f>
        <v>8.6233448239829535E-2</v>
      </c>
      <c r="M12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0.30096115909547266</v>
      </c>
      <c r="N1276" s="3">
        <f>IFERROR(INDEX(Table3[#All],MATCH(Table1[[#This Row],[Key_Year_Week_Brand]],Table3[[#All],[Key_Year_Week_Brand]],0),MATCH(Table1[[#This Row],[DC_name_Xref]],Table3[#Headers],0)),0)</f>
        <v>0</v>
      </c>
      <c r="O1276">
        <f>IFERROR(INDEX(Table35[#All],MATCH(Table1[[#This Row],[Key_Year_Week_Brand]],Table35[[#All],[Key_Year_Month_Brand]],0),MATCH(Table1[[#This Row],[DC_name_Xref]],Table35[#Headers],0)),0)</f>
        <v>0</v>
      </c>
    </row>
    <row r="1277" spans="1:15" x14ac:dyDescent="0.3">
      <c r="A1277" s="19" t="str">
        <f>Table1[[#This Row],[Year_Week]]&amp;"-"&amp;Table1[[#This Row],[DC_name_Xref]]</f>
        <v>202348-TFC</v>
      </c>
      <c r="B1277" s="19" t="str">
        <f>Table1[[#This Row],[Fiscal_Year]]*100+Table1[[#This Row],[Fiscal_Week]] &amp; "-" &amp;Table1[[#This Row],[BRAND]]</f>
        <v>202348-Old Navy</v>
      </c>
      <c r="C1277" t="str">
        <f>Table1[[#This Row],[Fiscal_Year]]&amp;"-"&amp;Table1[[#This Row],[BRAND]]</f>
        <v>2023-Old Navy</v>
      </c>
      <c r="D1277">
        <v>2023</v>
      </c>
      <c r="E1277">
        <v>48</v>
      </c>
      <c r="F1277" t="s">
        <v>20</v>
      </c>
      <c r="G1277" t="s">
        <v>21</v>
      </c>
      <c r="H1277">
        <v>2</v>
      </c>
      <c r="I1277">
        <v>492432</v>
      </c>
      <c r="J1277" t="str">
        <f>VLOOKUP(H1277,DC_Xref!A:B,2,FALSE)</f>
        <v>TFC</v>
      </c>
      <c r="K1277">
        <f t="shared" si="19"/>
        <v>202348</v>
      </c>
      <c r="L1277">
        <f>IFERROR(Table1[[#This Row],[Demand]]/SUMIFS(Table1[Demand],Table1[Fiscal_Year],Table1[[#This Row],[Fiscal_Year]],Table1[BRAND],Table1[[#This Row],[BRAND]],Table1[DC_name_Xref],Table1[[#This Row],[DC_name_Xref]]),0)</f>
        <v>6.1535170237907201E-2</v>
      </c>
      <c r="M12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0.16845176883505619</v>
      </c>
      <c r="N1277" s="3">
        <f>IFERROR(INDEX(Table3[#All],MATCH(Table1[[#This Row],[Key_Year_Week_Brand]],Table3[[#All],[Key_Year_Week_Brand]],0),MATCH(Table1[[#This Row],[DC_name_Xref]],Table3[#Headers],0)),0)</f>
        <v>0</v>
      </c>
      <c r="O1277">
        <f>IFERROR(INDEX(Table35[#All],MATCH(Table1[[#This Row],[Key_Year_Week_Brand]],Table35[[#All],[Key_Year_Month_Brand]],0),MATCH(Table1[[#This Row],[DC_name_Xref]],Table35[#Headers],0)),0)</f>
        <v>0</v>
      </c>
    </row>
    <row r="1278" spans="1:15" x14ac:dyDescent="0.3">
      <c r="A1278" s="19" t="str">
        <f>Table1[[#This Row],[Year_Week]]&amp;"-"&amp;Table1[[#This Row],[DC_name_Xref]]</f>
        <v>202348-WFC</v>
      </c>
      <c r="B1278" s="19" t="str">
        <f>Table1[[#This Row],[Fiscal_Year]]*100+Table1[[#This Row],[Fiscal_Week]] &amp; "-" &amp;Table1[[#This Row],[BRAND]]</f>
        <v>202348-Old Navy</v>
      </c>
      <c r="C1278" t="str">
        <f>Table1[[#This Row],[Fiscal_Year]]&amp;"-"&amp;Table1[[#This Row],[BRAND]]</f>
        <v>2023-Old Navy</v>
      </c>
      <c r="D1278">
        <v>2023</v>
      </c>
      <c r="E1278">
        <v>48</v>
      </c>
      <c r="F1278" t="s">
        <v>20</v>
      </c>
      <c r="G1278" t="s">
        <v>7</v>
      </c>
      <c r="H1278">
        <v>3</v>
      </c>
      <c r="I1278">
        <v>605216</v>
      </c>
      <c r="J1278" t="str">
        <f>VLOOKUP(H1278,DC_Xref!A:B,2,FALSE)</f>
        <v>WFC</v>
      </c>
      <c r="K1278">
        <f t="shared" si="19"/>
        <v>202348</v>
      </c>
      <c r="L1278">
        <f>IFERROR(Table1[[#This Row],[Demand]]/SUMIFS(Table1[Demand],Table1[Fiscal_Year],Table1[[#This Row],[Fiscal_Year]],Table1[BRAND],Table1[[#This Row],[BRAND]],Table1[DC_name_Xref],Table1[[#This Row],[DC_name_Xref]]),0)</f>
        <v>6.3632490656196389E-2</v>
      </c>
      <c r="M12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0.20020927518621856</v>
      </c>
      <c r="N1278" s="3">
        <f>IFERROR(INDEX(Table3[#All],MATCH(Table1[[#This Row],[Key_Year_Week_Brand]],Table3[[#All],[Key_Year_Week_Brand]],0),MATCH(Table1[[#This Row],[DC_name_Xref]],Table3[#Headers],0)),0)</f>
        <v>0</v>
      </c>
      <c r="O1278">
        <f>IFERROR(INDEX(Table35[#All],MATCH(Table1[[#This Row],[Key_Year_Week_Brand]],Table35[[#All],[Key_Year_Month_Brand]],0),MATCH(Table1[[#This Row],[DC_name_Xref]],Table35[#Headers],0)),0)</f>
        <v>0</v>
      </c>
    </row>
    <row r="1279" spans="1:15" x14ac:dyDescent="0.3">
      <c r="A1279" s="19" t="str">
        <f>Table1[[#This Row],[Year_Week]]&amp;"-"&amp;Table1[[#This Row],[DC_name_Xref]]</f>
        <v>202348-EAO</v>
      </c>
      <c r="B1279" s="19" t="str">
        <f>Table1[[#This Row],[Fiscal_Year]]*100+Table1[[#This Row],[Fiscal_Week]] &amp; "-" &amp;Table1[[#This Row],[BRAND]]</f>
        <v>202348-Old Navy</v>
      </c>
      <c r="C1279" t="str">
        <f>Table1[[#This Row],[Fiscal_Year]]&amp;"-"&amp;Table1[[#This Row],[BRAND]]</f>
        <v>2023-Old Navy</v>
      </c>
      <c r="D1279">
        <v>2023</v>
      </c>
      <c r="E1279">
        <v>48</v>
      </c>
      <c r="F1279" t="s">
        <v>20</v>
      </c>
      <c r="G1279" t="s">
        <v>8</v>
      </c>
      <c r="H1279">
        <v>4</v>
      </c>
      <c r="I1279">
        <v>1016820</v>
      </c>
      <c r="J1279" t="str">
        <f>VLOOKUP(H1279,DC_Xref!A:B,2,FALSE)</f>
        <v>EAO</v>
      </c>
      <c r="K1279">
        <f t="shared" si="19"/>
        <v>202348</v>
      </c>
      <c r="L1279">
        <f>IFERROR(Table1[[#This Row],[Demand]]/SUMIFS(Table1[Demand],Table1[Fiscal_Year],Table1[[#This Row],[Fiscal_Year]],Table1[BRAND],Table1[[#This Row],[BRAND]],Table1[DC_name_Xref],Table1[[#This Row],[DC_name_Xref]]),0)</f>
        <v>6.4786712358835374E-2</v>
      </c>
      <c r="M12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0.33037779688325258</v>
      </c>
      <c r="N1279" s="3">
        <f>IFERROR(INDEX(Table3[#All],MATCH(Table1[[#This Row],[Key_Year_Week_Brand]],Table3[[#All],[Key_Year_Week_Brand]],0),MATCH(Table1[[#This Row],[DC_name_Xref]],Table3[#Headers],0)),0)</f>
        <v>0.21</v>
      </c>
      <c r="O1279">
        <f>IFERROR(INDEX(Table35[#All],MATCH(Table1[[#This Row],[Key_Year_Week_Brand]],Table35[[#All],[Key_Year_Month_Brand]],0),MATCH(Table1[[#This Row],[DC_name_Xref]],Table35[#Headers],0)),0)</f>
        <v>702950.64</v>
      </c>
    </row>
    <row r="1280" spans="1:15" x14ac:dyDescent="0.3">
      <c r="A1280" s="19" t="str">
        <f>Table1[[#This Row],[Year_Week]]&amp;"-"&amp;Table1[[#This Row],[DC_name_Xref]]</f>
        <v>202348-FFC-ODC</v>
      </c>
      <c r="B1280" s="19" t="str">
        <f>Table1[[#This Row],[Fiscal_Year]]*100+Table1[[#This Row],[Fiscal_Week]] &amp; "-" &amp;Table1[[#This Row],[BRAND]]</f>
        <v>202348-Old Navy</v>
      </c>
      <c r="C1280" t="str">
        <f>Table1[[#This Row],[Fiscal_Year]]&amp;"-"&amp;Table1[[#This Row],[BRAND]]</f>
        <v>2023-Old Navy</v>
      </c>
      <c r="D1280">
        <v>2023</v>
      </c>
      <c r="E1280">
        <v>48</v>
      </c>
      <c r="F1280" t="s">
        <v>20</v>
      </c>
      <c r="G1280" t="s">
        <v>23</v>
      </c>
      <c r="H1280">
        <v>5</v>
      </c>
      <c r="I1280">
        <v>0</v>
      </c>
      <c r="J1280" t="str">
        <f>VLOOKUP(H1280,DC_Xref!A:B,2,FALSE)</f>
        <v>FFC-ODC</v>
      </c>
      <c r="K1280">
        <f t="shared" si="19"/>
        <v>202348</v>
      </c>
      <c r="L1280">
        <f>IFERROR(Table1[[#This Row],[Demand]]/SUMIFS(Table1[Demand],Table1[Fiscal_Year],Table1[[#This Row],[Fiscal_Year]],Table1[BRAND],Table1[[#This Row],[BRAND]],Table1[DC_name_Xref],Table1[[#This Row],[DC_name_Xref]]),0)</f>
        <v>0</v>
      </c>
      <c r="M12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0" s="3">
        <f>IFERROR(INDEX(Table3[#All],MATCH(Table1[[#This Row],[Key_Year_Week_Brand]],Table3[[#All],[Key_Year_Week_Brand]],0),MATCH(Table1[[#This Row],[DC_name_Xref]],Table3[#Headers],0)),0)</f>
        <v>0</v>
      </c>
      <c r="O1280">
        <f>IFERROR(INDEX(Table35[#All],MATCH(Table1[[#This Row],[Key_Year_Week_Brand]],Table35[[#All],[Key_Year_Month_Brand]],0),MATCH(Table1[[#This Row],[DC_name_Xref]],Table35[#Headers],0)),0)</f>
        <v>0</v>
      </c>
    </row>
    <row r="1281" spans="1:15" x14ac:dyDescent="0.3">
      <c r="A1281" s="19" t="str">
        <f>Table1[[#This Row],[Year_Week]]&amp;"-"&amp;Table1[[#This Row],[DC_name_Xref]]</f>
        <v>202348-WEO</v>
      </c>
      <c r="B1281" s="19" t="str">
        <f>Table1[[#This Row],[Fiscal_Year]]*100+Table1[[#This Row],[Fiscal_Week]] &amp; "-" &amp;Table1[[#This Row],[BRAND]]</f>
        <v>202348-Old Navy</v>
      </c>
      <c r="C1281" t="str">
        <f>Table1[[#This Row],[Fiscal_Year]]&amp;"-"&amp;Table1[[#This Row],[BRAND]]</f>
        <v>2023-Old Navy</v>
      </c>
      <c r="D1281">
        <v>2023</v>
      </c>
      <c r="E1281">
        <v>48</v>
      </c>
      <c r="F1281" t="s">
        <v>20</v>
      </c>
      <c r="G1281" t="s">
        <v>10</v>
      </c>
      <c r="H1281">
        <v>6</v>
      </c>
      <c r="I1281">
        <v>0</v>
      </c>
      <c r="J1281" t="str">
        <f>VLOOKUP(H1281,DC_Xref!A:B,2,FALSE)</f>
        <v>WEO</v>
      </c>
      <c r="K1281">
        <f t="shared" si="19"/>
        <v>202348</v>
      </c>
      <c r="L1281">
        <f>IFERROR(Table1[[#This Row],[Demand]]/SUMIFS(Table1[Demand],Table1[Fiscal_Year],Table1[[#This Row],[Fiscal_Year]],Table1[BRAND],Table1[[#This Row],[BRAND]],Table1[DC_name_Xref],Table1[[#This Row],[DC_name_Xref]]),0)</f>
        <v>0</v>
      </c>
      <c r="M12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1" s="3">
        <f>IFERROR(INDEX(Table3[#All],MATCH(Table1[[#This Row],[Key_Year_Week_Brand]],Table3[[#All],[Key_Year_Week_Brand]],0),MATCH(Table1[[#This Row],[DC_name_Xref]],Table3[#Headers],0)),0)</f>
        <v>0.08</v>
      </c>
      <c r="O1281">
        <f>IFERROR(INDEX(Table35[#All],MATCH(Table1[[#This Row],[Key_Year_Week_Brand]],Table35[[#All],[Key_Year_Month_Brand]],0),MATCH(Table1[[#This Row],[DC_name_Xref]],Table35[#Headers],0)),0)</f>
        <v>267790.72000000003</v>
      </c>
    </row>
    <row r="1282" spans="1:15" x14ac:dyDescent="0.3">
      <c r="A1282" s="19" t="str">
        <f>Table1[[#This Row],[Year_Week]]&amp;"-"&amp;Table1[[#This Row],[DC_name_Xref]]</f>
        <v>202348-OCC</v>
      </c>
      <c r="B1282" s="19" t="str">
        <f>Table1[[#This Row],[Fiscal_Year]]*100+Table1[[#This Row],[Fiscal_Week]] &amp; "-" &amp;Table1[[#This Row],[BRAND]]</f>
        <v>202348-Old Navy</v>
      </c>
      <c r="C1282" t="str">
        <f>Table1[[#This Row],[Fiscal_Year]]&amp;"-"&amp;Table1[[#This Row],[BRAND]]</f>
        <v>2023-Old Navy</v>
      </c>
      <c r="D1282">
        <v>2023</v>
      </c>
      <c r="E1282">
        <v>48</v>
      </c>
      <c r="F1282" t="s">
        <v>20</v>
      </c>
      <c r="G1282" t="s">
        <v>11</v>
      </c>
      <c r="H1282">
        <v>7</v>
      </c>
      <c r="I1282">
        <v>0</v>
      </c>
      <c r="J1282" t="str">
        <f>VLOOKUP(H1282,DC_Xref!A:B,2,FALSE)</f>
        <v>OCC</v>
      </c>
      <c r="K1282">
        <f t="shared" si="19"/>
        <v>202348</v>
      </c>
      <c r="L1282">
        <f>IFERROR(Table1[[#This Row],[Demand]]/SUMIFS(Table1[Demand],Table1[Fiscal_Year],Table1[[#This Row],[Fiscal_Year]],Table1[BRAND],Table1[[#This Row],[BRAND]],Table1[DC_name_Xref],Table1[[#This Row],[DC_name_Xref]]),0)</f>
        <v>0</v>
      </c>
      <c r="M12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2" s="3">
        <f>IFERROR(INDEX(Table3[#All],MATCH(Table1[[#This Row],[Key_Year_Week_Brand]],Table3[[#All],[Key_Year_Week_Brand]],0),MATCH(Table1[[#This Row],[DC_name_Xref]],Table3[#Headers],0)),0)</f>
        <v>0.71</v>
      </c>
      <c r="O1282">
        <f>IFERROR(INDEX(Table35[#All],MATCH(Table1[[#This Row],[Key_Year_Week_Brand]],Table35[[#All],[Key_Year_Month_Brand]],0),MATCH(Table1[[#This Row],[DC_name_Xref]],Table35[#Headers],0)),0)</f>
        <v>2376642.6399999997</v>
      </c>
    </row>
    <row r="1283" spans="1:15" x14ac:dyDescent="0.3">
      <c r="A1283" s="19" t="str">
        <f>Table1[[#This Row],[Year_Week]]&amp;"-"&amp;Table1[[#This Row],[DC_name_Xref]]</f>
        <v>202348-OFC</v>
      </c>
      <c r="B1283" s="19" t="str">
        <f>Table1[[#This Row],[Fiscal_Year]]*100+Table1[[#This Row],[Fiscal_Week]] &amp; "-" &amp;Table1[[#This Row],[BRAND]]</f>
        <v>202348-Athleta</v>
      </c>
      <c r="C1283" t="str">
        <f>Table1[[#This Row],[Fiscal_Year]]&amp;"-"&amp;Table1[[#This Row],[BRAND]]</f>
        <v>2023-Athleta</v>
      </c>
      <c r="D1283">
        <v>2023</v>
      </c>
      <c r="E1283">
        <v>48</v>
      </c>
      <c r="F1283" t="s">
        <v>19</v>
      </c>
      <c r="G1283" t="s">
        <v>5</v>
      </c>
      <c r="H1283">
        <v>1</v>
      </c>
      <c r="I1283">
        <v>63843</v>
      </c>
      <c r="J1283" t="str">
        <f>VLOOKUP(H1283,DC_Xref!A:B,2,FALSE)</f>
        <v>OFC</v>
      </c>
      <c r="K1283">
        <f t="shared" si="19"/>
        <v>202348</v>
      </c>
      <c r="L1283">
        <f>IFERROR(Table1[[#This Row],[Demand]]/SUMIFS(Table1[Demand],Table1[Fiscal_Year],Table1[[#This Row],[Fiscal_Year]],Table1[BRAND],Table1[[#This Row],[BRAND]],Table1[DC_name_Xref],Table1[[#This Row],[DC_name_Xref]]),0)</f>
        <v>0.17276811084350391</v>
      </c>
      <c r="M12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9.6407211874108403E-2</v>
      </c>
      <c r="N1283" s="3">
        <f>IFERROR(INDEX(Table3[#All],MATCH(Table1[[#This Row],[Key_Year_Week_Brand]],Table3[[#All],[Key_Year_Week_Brand]],0),MATCH(Table1[[#This Row],[DC_name_Xref]],Table3[#Headers],0)),0)</f>
        <v>0</v>
      </c>
      <c r="O1283">
        <f>IFERROR(INDEX(Table35[#All],MATCH(Table1[[#This Row],[Key_Year_Week_Brand]],Table35[[#All],[Key_Year_Month_Brand]],0),MATCH(Table1[[#This Row],[DC_name_Xref]],Table35[#Headers],0)),0)</f>
        <v>0</v>
      </c>
    </row>
    <row r="1284" spans="1:15" x14ac:dyDescent="0.3">
      <c r="A1284" s="19" t="str">
        <f>Table1[[#This Row],[Year_Week]]&amp;"-"&amp;Table1[[#This Row],[DC_name_Xref]]</f>
        <v>202348-TFC</v>
      </c>
      <c r="B1284" s="19" t="str">
        <f>Table1[[#This Row],[Fiscal_Year]]*100+Table1[[#This Row],[Fiscal_Week]] &amp; "-" &amp;Table1[[#This Row],[BRAND]]</f>
        <v>202348-Athleta</v>
      </c>
      <c r="C1284" t="str">
        <f>Table1[[#This Row],[Fiscal_Year]]&amp;"-"&amp;Table1[[#This Row],[BRAND]]</f>
        <v>2023-Athleta</v>
      </c>
      <c r="D1284">
        <v>2023</v>
      </c>
      <c r="E1284">
        <v>48</v>
      </c>
      <c r="F1284" t="s">
        <v>19</v>
      </c>
      <c r="G1284" t="s">
        <v>21</v>
      </c>
      <c r="H1284">
        <v>2</v>
      </c>
      <c r="I1284">
        <v>753553</v>
      </c>
      <c r="J1284" t="str">
        <f>VLOOKUP(H1284,DC_Xref!A:B,2,FALSE)</f>
        <v>TFC</v>
      </c>
      <c r="K1284">
        <f t="shared" si="19"/>
        <v>202348</v>
      </c>
      <c r="L1284">
        <f>IFERROR(Table1[[#This Row],[Demand]]/SUMIFS(Table1[Demand],Table1[Fiscal_Year],Table1[[#This Row],[Fiscal_Year]],Table1[BRAND],Table1[[#This Row],[BRAND]],Table1[DC_name_Xref],Table1[[#This Row],[DC_name_Xref]]),0)</f>
        <v>0.21757878266664396</v>
      </c>
      <c r="M12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0.90356017669655087</v>
      </c>
      <c r="N1284" s="3">
        <f>IFERROR(INDEX(Table3[#All],MATCH(Table1[[#This Row],[Key_Year_Week_Brand]],Table3[[#All],[Key_Year_Week_Brand]],0),MATCH(Table1[[#This Row],[DC_name_Xref]],Table3[#Headers],0)),0)</f>
        <v>1</v>
      </c>
      <c r="O1284">
        <f>IFERROR(INDEX(Table35[#All],MATCH(Table1[[#This Row],[Key_Year_Week_Brand]],Table35[[#All],[Key_Year_Month_Brand]],0),MATCH(Table1[[#This Row],[DC_name_Xref]],Table35[#Headers],0)),0)</f>
        <v>817417</v>
      </c>
    </row>
    <row r="1285" spans="1:15" x14ac:dyDescent="0.3">
      <c r="A1285" s="19" t="str">
        <f>Table1[[#This Row],[Year_Week]]&amp;"-"&amp;Table1[[#This Row],[DC_name_Xref]]</f>
        <v>202348-WFC</v>
      </c>
      <c r="B1285" s="19" t="str">
        <f>Table1[[#This Row],[Fiscal_Year]]*100+Table1[[#This Row],[Fiscal_Week]] &amp; "-" &amp;Table1[[#This Row],[BRAND]]</f>
        <v>202348-Athleta</v>
      </c>
      <c r="C1285" t="str">
        <f>Table1[[#This Row],[Fiscal_Year]]&amp;"-"&amp;Table1[[#This Row],[BRAND]]</f>
        <v>2023-Athleta</v>
      </c>
      <c r="D1285">
        <v>2023</v>
      </c>
      <c r="E1285">
        <v>48</v>
      </c>
      <c r="F1285" t="s">
        <v>19</v>
      </c>
      <c r="G1285" t="s">
        <v>7</v>
      </c>
      <c r="H1285">
        <v>3</v>
      </c>
      <c r="I1285">
        <v>0</v>
      </c>
      <c r="J1285" t="str">
        <f>VLOOKUP(H1285,DC_Xref!A:B,2,FALSE)</f>
        <v>WFC</v>
      </c>
      <c r="K1285">
        <f t="shared" si="19"/>
        <v>202348</v>
      </c>
      <c r="L1285">
        <f>IFERROR(Table1[[#This Row],[Demand]]/SUMIFS(Table1[Demand],Table1[Fiscal_Year],Table1[[#This Row],[Fiscal_Year]],Table1[BRAND],Table1[[#This Row],[BRAND]],Table1[DC_name_Xref],Table1[[#This Row],[DC_name_Xref]]),0)</f>
        <v>0</v>
      </c>
      <c r="M12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5" s="3">
        <f>IFERROR(INDEX(Table3[#All],MATCH(Table1[[#This Row],[Key_Year_Week_Brand]],Table3[[#All],[Key_Year_Week_Brand]],0),MATCH(Table1[[#This Row],[DC_name_Xref]],Table3[#Headers],0)),0)</f>
        <v>0</v>
      </c>
      <c r="O1285">
        <f>IFERROR(INDEX(Table35[#All],MATCH(Table1[[#This Row],[Key_Year_Week_Brand]],Table35[[#All],[Key_Year_Month_Brand]],0),MATCH(Table1[[#This Row],[DC_name_Xref]],Table35[#Headers],0)),0)</f>
        <v>0</v>
      </c>
    </row>
    <row r="1286" spans="1:15" x14ac:dyDescent="0.3">
      <c r="A1286" s="19" t="str">
        <f>Table1[[#This Row],[Year_Week]]&amp;"-"&amp;Table1[[#This Row],[DC_name_Xref]]</f>
        <v>202348-EAO</v>
      </c>
      <c r="B1286" s="19" t="str">
        <f>Table1[[#This Row],[Fiscal_Year]]*100+Table1[[#This Row],[Fiscal_Week]] &amp; "-" &amp;Table1[[#This Row],[BRAND]]</f>
        <v>202348-Athleta</v>
      </c>
      <c r="C1286" s="19" t="str">
        <f>Table1[[#This Row],[Fiscal_Year]]&amp;"-"&amp;Table1[[#This Row],[BRAND]]</f>
        <v>2023-Athleta</v>
      </c>
      <c r="D1286">
        <v>2023</v>
      </c>
      <c r="E1286">
        <v>48</v>
      </c>
      <c r="F1286" t="s">
        <v>19</v>
      </c>
      <c r="G1286" t="s">
        <v>8</v>
      </c>
      <c r="H1286">
        <v>4</v>
      </c>
      <c r="I1286">
        <v>21</v>
      </c>
      <c r="J1286" t="str">
        <f>VLOOKUP(H1286,DC_Xref!A:B,2,FALSE)</f>
        <v>EAO</v>
      </c>
      <c r="K1286">
        <f t="shared" ref="K1286:K1349" si="20">D1286*100+E1286</f>
        <v>202348</v>
      </c>
      <c r="L1286" s="19">
        <f>IFERROR(Table1[[#This Row],[Demand]]/SUMIFS(Table1[Demand],Table1[Fiscal_Year],Table1[[#This Row],[Fiscal_Year]],Table1[BRAND],Table1[[#This Row],[BRAND]],Table1[DC_name_Xref],Table1[[#This Row],[DC_name_Xref]]),0)</f>
        <v>0.16800000000000001</v>
      </c>
      <c r="M12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3.26114293406856E-5</v>
      </c>
      <c r="N1286" s="3">
        <f>IFERROR(INDEX(Table3[#All],MATCH(Table1[[#This Row],[Key_Year_Week_Brand]],Table3[[#All],[Key_Year_Week_Brand]],0),MATCH(Table1[[#This Row],[DC_name_Xref]],Table3[#Headers],0)),0)</f>
        <v>3.447122356821831E-5</v>
      </c>
      <c r="O1286" s="19">
        <f>IFERROR(INDEX(Table35[#All],MATCH(Table1[[#This Row],[Key_Year_Week_Brand]],Table35[[#All],[Key_Year_Month_Brand]],0),MATCH(Table1[[#This Row],[DC_name_Xref]],Table35[#Headers],0)),0)</f>
        <v>28.177364155462307</v>
      </c>
    </row>
    <row r="1287" spans="1:15" x14ac:dyDescent="0.3">
      <c r="A1287" s="19" t="str">
        <f>Table1[[#This Row],[Year_Week]]&amp;"-"&amp;Table1[[#This Row],[DC_name_Xref]]</f>
        <v>202348-FFC-ODC</v>
      </c>
      <c r="B1287" s="19" t="str">
        <f>Table1[[#This Row],[Fiscal_Year]]*100+Table1[[#This Row],[Fiscal_Week]] &amp; "-" &amp;Table1[[#This Row],[BRAND]]</f>
        <v>202348-Athleta</v>
      </c>
      <c r="C1287" s="19" t="str">
        <f>Table1[[#This Row],[Fiscal_Year]]&amp;"-"&amp;Table1[[#This Row],[BRAND]]</f>
        <v>2023-Athleta</v>
      </c>
      <c r="D1287">
        <v>2023</v>
      </c>
      <c r="E1287">
        <v>48</v>
      </c>
      <c r="F1287" t="s">
        <v>19</v>
      </c>
      <c r="G1287" t="s">
        <v>23</v>
      </c>
      <c r="H1287">
        <v>5</v>
      </c>
      <c r="I1287">
        <v>0</v>
      </c>
      <c r="J1287" t="str">
        <f>VLOOKUP(H1287,DC_Xref!A:B,2,FALSE)</f>
        <v>FFC-ODC</v>
      </c>
      <c r="K1287">
        <f t="shared" si="20"/>
        <v>202348</v>
      </c>
      <c r="L12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7" s="3">
        <f>IFERROR(INDEX(Table3[#All],MATCH(Table1[[#This Row],[Key_Year_Week_Brand]],Table3[[#All],[Key_Year_Week_Brand]],0),MATCH(Table1[[#This Row],[DC_name_Xref]],Table3[#Headers],0)),0)</f>
        <v>0</v>
      </c>
      <c r="O1287" s="19">
        <f>IFERROR(INDEX(Table35[#All],MATCH(Table1[[#This Row],[Key_Year_Week_Brand]],Table35[[#All],[Key_Year_Month_Brand]],0),MATCH(Table1[[#This Row],[DC_name_Xref]],Table35[#Headers],0)),0)</f>
        <v>0</v>
      </c>
    </row>
    <row r="1288" spans="1:15" x14ac:dyDescent="0.3">
      <c r="A1288" s="19" t="str">
        <f>Table1[[#This Row],[Year_Week]]&amp;"-"&amp;Table1[[#This Row],[DC_name_Xref]]</f>
        <v>202348-WEO</v>
      </c>
      <c r="B1288" s="19" t="str">
        <f>Table1[[#This Row],[Fiscal_Year]]*100+Table1[[#This Row],[Fiscal_Week]] &amp; "-" &amp;Table1[[#This Row],[BRAND]]</f>
        <v>202348-Athleta</v>
      </c>
      <c r="C1288" s="19" t="str">
        <f>Table1[[#This Row],[Fiscal_Year]]&amp;"-"&amp;Table1[[#This Row],[BRAND]]</f>
        <v>2023-Athleta</v>
      </c>
      <c r="D1288">
        <v>2023</v>
      </c>
      <c r="E1288">
        <v>48</v>
      </c>
      <c r="F1288" t="s">
        <v>19</v>
      </c>
      <c r="G1288" t="s">
        <v>10</v>
      </c>
      <c r="H1288">
        <v>6</v>
      </c>
      <c r="I1288">
        <v>0</v>
      </c>
      <c r="J1288" t="str">
        <f>VLOOKUP(H1288,DC_Xref!A:B,2,FALSE)</f>
        <v>WEO</v>
      </c>
      <c r="K1288">
        <f t="shared" si="20"/>
        <v>202348</v>
      </c>
      <c r="L12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8" s="3">
        <f>IFERROR(INDEX(Table3[#All],MATCH(Table1[[#This Row],[Key_Year_Week_Brand]],Table3[[#All],[Key_Year_Week_Brand]],0),MATCH(Table1[[#This Row],[DC_name_Xref]],Table3[#Headers],0)),0)</f>
        <v>0</v>
      </c>
      <c r="O1288" s="19">
        <f>IFERROR(INDEX(Table35[#All],MATCH(Table1[[#This Row],[Key_Year_Week_Brand]],Table35[[#All],[Key_Year_Month_Brand]],0),MATCH(Table1[[#This Row],[DC_name_Xref]],Table35[#Headers],0)),0)</f>
        <v>0</v>
      </c>
    </row>
    <row r="1289" spans="1:15" x14ac:dyDescent="0.3">
      <c r="A1289" s="19" t="str">
        <f>Table1[[#This Row],[Year_Week]]&amp;"-"&amp;Table1[[#This Row],[DC_name_Xref]]</f>
        <v>202348-OCC</v>
      </c>
      <c r="B1289" s="19" t="str">
        <f>Table1[[#This Row],[Fiscal_Year]]*100+Table1[[#This Row],[Fiscal_Week]] &amp; "-" &amp;Table1[[#This Row],[BRAND]]</f>
        <v>202348-Athleta</v>
      </c>
      <c r="C1289" s="19" t="str">
        <f>Table1[[#This Row],[Fiscal_Year]]&amp;"-"&amp;Table1[[#This Row],[BRAND]]</f>
        <v>2023-Athleta</v>
      </c>
      <c r="D1289">
        <v>2023</v>
      </c>
      <c r="E1289">
        <v>48</v>
      </c>
      <c r="F1289" t="s">
        <v>19</v>
      </c>
      <c r="G1289" t="s">
        <v>11</v>
      </c>
      <c r="H1289">
        <v>7</v>
      </c>
      <c r="I1289">
        <v>0</v>
      </c>
      <c r="J1289" t="str">
        <f>VLOOKUP(H1289,DC_Xref!A:B,2,FALSE)</f>
        <v>OCC</v>
      </c>
      <c r="K1289">
        <f t="shared" si="20"/>
        <v>202348</v>
      </c>
      <c r="L12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89" s="3">
        <f>IFERROR(INDEX(Table3[#All],MATCH(Table1[[#This Row],[Key_Year_Week_Brand]],Table3[[#All],[Key_Year_Week_Brand]],0),MATCH(Table1[[#This Row],[DC_name_Xref]],Table3[#Headers],0)),0)</f>
        <v>0</v>
      </c>
      <c r="O1289" s="19">
        <f>IFERROR(INDEX(Table35[#All],MATCH(Table1[[#This Row],[Key_Year_Week_Brand]],Table35[[#All],[Key_Year_Month_Brand]],0),MATCH(Table1[[#This Row],[DC_name_Xref]],Table35[#Headers],0)),0)</f>
        <v>0</v>
      </c>
    </row>
    <row r="1290" spans="1:15" x14ac:dyDescent="0.3">
      <c r="A1290" s="19" t="str">
        <f>Table1[[#This Row],[Year_Week]]&amp;"-"&amp;Table1[[#This Row],[DC_name_Xref]]</f>
        <v>202348-OFC</v>
      </c>
      <c r="B1290" s="19" t="str">
        <f>Table1[[#This Row],[Fiscal_Year]]*100+Table1[[#This Row],[Fiscal_Week]] &amp; "-" &amp;Table1[[#This Row],[BRAND]]</f>
        <v>202348-Gap</v>
      </c>
      <c r="C1290" s="19" t="str">
        <f>Table1[[#This Row],[Fiscal_Year]]&amp;"-"&amp;Table1[[#This Row],[BRAND]]</f>
        <v>2023-Gap</v>
      </c>
      <c r="D1290">
        <v>2023</v>
      </c>
      <c r="E1290">
        <v>48</v>
      </c>
      <c r="F1290" t="s">
        <v>16</v>
      </c>
      <c r="G1290" t="s">
        <v>5</v>
      </c>
      <c r="H1290">
        <v>1</v>
      </c>
      <c r="I1290">
        <v>1195932</v>
      </c>
      <c r="J1290" t="str">
        <f>VLOOKUP(H1290,DC_Xref!A:B,2,FALSE)</f>
        <v>OFC</v>
      </c>
      <c r="K1290">
        <f t="shared" si="20"/>
        <v>202348</v>
      </c>
      <c r="L1290" s="19">
        <f>IFERROR(Table1[[#This Row],[Demand]]/SUMIFS(Table1[Demand],Table1[Fiscal_Year],Table1[[#This Row],[Fiscal_Year]],Table1[BRAND],Table1[[#This Row],[BRAND]],Table1[DC_name_Xref],Table1[[#This Row],[DC_name_Xref]]),0)</f>
        <v>7.8565078346515743E-2</v>
      </c>
      <c r="M12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0.67286142306667829</v>
      </c>
      <c r="N1290" s="3">
        <f>IFERROR(INDEX(Table3[#All],MATCH(Table1[[#This Row],[Key_Year_Week_Brand]],Table3[[#All],[Key_Year_Week_Brand]],0),MATCH(Table1[[#This Row],[DC_name_Xref]],Table3[#Headers],0)),0)</f>
        <v>0</v>
      </c>
      <c r="O1290" s="19">
        <f>IFERROR(INDEX(Table35[#All],MATCH(Table1[[#This Row],[Key_Year_Week_Brand]],Table35[[#All],[Key_Year_Month_Brand]],0),MATCH(Table1[[#This Row],[DC_name_Xref]],Table35[#Headers],0)),0)</f>
        <v>0</v>
      </c>
    </row>
    <row r="1291" spans="1:15" x14ac:dyDescent="0.3">
      <c r="A1291" s="19" t="str">
        <f>Table1[[#This Row],[Year_Week]]&amp;"-"&amp;Table1[[#This Row],[DC_name_Xref]]</f>
        <v>202348-TFC</v>
      </c>
      <c r="B1291" s="19" t="str">
        <f>Table1[[#This Row],[Fiscal_Year]]*100+Table1[[#This Row],[Fiscal_Week]] &amp; "-" &amp;Table1[[#This Row],[BRAND]]</f>
        <v>202348-Gap</v>
      </c>
      <c r="C1291" s="19" t="str">
        <f>Table1[[#This Row],[Fiscal_Year]]&amp;"-"&amp;Table1[[#This Row],[BRAND]]</f>
        <v>2023-Gap</v>
      </c>
      <c r="D1291">
        <v>2023</v>
      </c>
      <c r="E1291">
        <v>48</v>
      </c>
      <c r="F1291" t="s">
        <v>16</v>
      </c>
      <c r="G1291" t="s">
        <v>21</v>
      </c>
      <c r="H1291">
        <v>2</v>
      </c>
      <c r="I1291">
        <v>798</v>
      </c>
      <c r="J1291" t="str">
        <f>VLOOKUP(H1291,DC_Xref!A:B,2,FALSE)</f>
        <v>TFC</v>
      </c>
      <c r="K1291">
        <f t="shared" si="20"/>
        <v>202348</v>
      </c>
      <c r="L1291" s="19">
        <f>IFERROR(Table1[[#This Row],[Demand]]/SUMIFS(Table1[Demand],Table1[Fiscal_Year],Table1[[#This Row],[Fiscal_Year]],Table1[BRAND],Table1[[#This Row],[BRAND]],Table1[DC_name_Xref],Table1[[#This Row],[DC_name_Xref]]),0)</f>
        <v>0.24021673690547862</v>
      </c>
      <c r="M12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1.4684133329808906E-4</v>
      </c>
      <c r="N1291" s="3">
        <f>IFERROR(INDEX(Table3[#All],MATCH(Table1[[#This Row],[Key_Year_Week_Brand]],Table3[[#All],[Key_Year_Week_Brand]],0),MATCH(Table1[[#This Row],[DC_name_Xref]],Table3[#Headers],0)),0)</f>
        <v>0.25</v>
      </c>
      <c r="O1291" s="19">
        <f>IFERROR(INDEX(Table35[#All],MATCH(Table1[[#This Row],[Key_Year_Week_Brand]],Table35[[#All],[Key_Year_Month_Brand]],0),MATCH(Table1[[#This Row],[DC_name_Xref]],Table35[#Headers],0)),0)</f>
        <v>414284.75</v>
      </c>
    </row>
    <row r="1292" spans="1:15" x14ac:dyDescent="0.3">
      <c r="A1292" s="19" t="str">
        <f>Table1[[#This Row],[Year_Week]]&amp;"-"&amp;Table1[[#This Row],[DC_name_Xref]]</f>
        <v>202348-WFC</v>
      </c>
      <c r="B1292" s="19" t="str">
        <f>Table1[[#This Row],[Fiscal_Year]]*100+Table1[[#This Row],[Fiscal_Week]] &amp; "-" &amp;Table1[[#This Row],[BRAND]]</f>
        <v>202348-Gap</v>
      </c>
      <c r="C1292" s="19" t="str">
        <f>Table1[[#This Row],[Fiscal_Year]]&amp;"-"&amp;Table1[[#This Row],[BRAND]]</f>
        <v>2023-Gap</v>
      </c>
      <c r="D1292">
        <v>2023</v>
      </c>
      <c r="E1292">
        <v>48</v>
      </c>
      <c r="F1292" t="s">
        <v>16</v>
      </c>
      <c r="G1292" t="s">
        <v>7</v>
      </c>
      <c r="H1292">
        <v>3</v>
      </c>
      <c r="I1292">
        <v>281827</v>
      </c>
      <c r="J1292" t="str">
        <f>VLOOKUP(H1292,DC_Xref!A:B,2,FALSE)</f>
        <v>WFC</v>
      </c>
      <c r="K1292">
        <f t="shared" si="20"/>
        <v>202348</v>
      </c>
      <c r="L1292" s="19">
        <f>IFERROR(Table1[[#This Row],[Demand]]/SUMIFS(Table1[Demand],Table1[Fiscal_Year],Table1[[#This Row],[Fiscal_Year]],Table1[BRAND],Table1[[#This Row],[BRAND]],Table1[DC_name_Xref],Table1[[#This Row],[DC_name_Xref]]),0)</f>
        <v>0.36074502455083995</v>
      </c>
      <c r="M12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3.4532732047099911E-2</v>
      </c>
      <c r="N1292" s="3">
        <f>IFERROR(INDEX(Table3[#All],MATCH(Table1[[#This Row],[Key_Year_Week_Brand]],Table3[[#All],[Key_Year_Week_Brand]],0),MATCH(Table1[[#This Row],[DC_name_Xref]],Table3[#Headers],0)),0)</f>
        <v>0</v>
      </c>
      <c r="O1292" s="19">
        <f>IFERROR(INDEX(Table35[#All],MATCH(Table1[[#This Row],[Key_Year_Week_Brand]],Table35[[#All],[Key_Year_Month_Brand]],0),MATCH(Table1[[#This Row],[DC_name_Xref]],Table35[#Headers],0)),0)</f>
        <v>0</v>
      </c>
    </row>
    <row r="1293" spans="1:15" x14ac:dyDescent="0.3">
      <c r="A1293" s="19" t="str">
        <f>Table1[[#This Row],[Year_Week]]&amp;"-"&amp;Table1[[#This Row],[DC_name_Xref]]</f>
        <v>202348-EAO</v>
      </c>
      <c r="B1293" s="19" t="str">
        <f>Table1[[#This Row],[Fiscal_Year]]*100+Table1[[#This Row],[Fiscal_Week]] &amp; "-" &amp;Table1[[#This Row],[BRAND]]</f>
        <v>202348-Gap</v>
      </c>
      <c r="C1293" s="19" t="str">
        <f>Table1[[#This Row],[Fiscal_Year]]&amp;"-"&amp;Table1[[#This Row],[BRAND]]</f>
        <v>2023-Gap</v>
      </c>
      <c r="D1293">
        <v>2023</v>
      </c>
      <c r="E1293">
        <v>48</v>
      </c>
      <c r="F1293" t="s">
        <v>16</v>
      </c>
      <c r="G1293" t="s">
        <v>8</v>
      </c>
      <c r="H1293">
        <v>4</v>
      </c>
      <c r="I1293">
        <v>324</v>
      </c>
      <c r="J1293" t="str">
        <f>VLOOKUP(H1293,DC_Xref!A:B,2,FALSE)</f>
        <v>EAO</v>
      </c>
      <c r="K1293">
        <f t="shared" si="20"/>
        <v>202348</v>
      </c>
      <c r="L1293" s="19">
        <f>IFERROR(Table1[[#This Row],[Demand]]/SUMIFS(Table1[Demand],Table1[Fiscal_Year],Table1[[#This Row],[Fiscal_Year]],Table1[BRAND],Table1[[#This Row],[BRAND]],Table1[DC_name_Xref],Table1[[#This Row],[DC_name_Xref]]),0)</f>
        <v>0.11396412240590925</v>
      </c>
      <c r="M12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1.2566824520363249E-4</v>
      </c>
      <c r="N1293" s="3">
        <f>IFERROR(INDEX(Table3[#All],MATCH(Table1[[#This Row],[Key_Year_Week_Brand]],Table3[[#All],[Key_Year_Week_Brand]],0),MATCH(Table1[[#This Row],[DC_name_Xref]],Table3[#Headers],0)),0)</f>
        <v>0</v>
      </c>
      <c r="O1293" s="19">
        <f>IFERROR(INDEX(Table35[#All],MATCH(Table1[[#This Row],[Key_Year_Week_Brand]],Table35[[#All],[Key_Year_Month_Brand]],0),MATCH(Table1[[#This Row],[DC_name_Xref]],Table35[#Headers],0)),0)</f>
        <v>0</v>
      </c>
    </row>
    <row r="1294" spans="1:15" x14ac:dyDescent="0.3">
      <c r="A1294" s="19" t="str">
        <f>Table1[[#This Row],[Year_Week]]&amp;"-"&amp;Table1[[#This Row],[DC_name_Xref]]</f>
        <v>202348-FFC-ODC</v>
      </c>
      <c r="B1294" s="19" t="str">
        <f>Table1[[#This Row],[Fiscal_Year]]*100+Table1[[#This Row],[Fiscal_Week]] &amp; "-" &amp;Table1[[#This Row],[BRAND]]</f>
        <v>202348-Gap</v>
      </c>
      <c r="C1294" s="19" t="str">
        <f>Table1[[#This Row],[Fiscal_Year]]&amp;"-"&amp;Table1[[#This Row],[BRAND]]</f>
        <v>2023-Gap</v>
      </c>
      <c r="D1294">
        <v>2023</v>
      </c>
      <c r="E1294">
        <v>48</v>
      </c>
      <c r="F1294" t="s">
        <v>16</v>
      </c>
      <c r="G1294" t="s">
        <v>23</v>
      </c>
      <c r="H1294">
        <v>5</v>
      </c>
      <c r="I1294">
        <v>0</v>
      </c>
      <c r="J1294" t="str">
        <f>VLOOKUP(H1294,DC_Xref!A:B,2,FALSE)</f>
        <v>FFC-ODC</v>
      </c>
      <c r="K1294">
        <f t="shared" si="20"/>
        <v>202348</v>
      </c>
      <c r="L12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94" s="3">
        <f>IFERROR(INDEX(Table3[#All],MATCH(Table1[[#This Row],[Key_Year_Week_Brand]],Table3[[#All],[Key_Year_Week_Brand]],0),MATCH(Table1[[#This Row],[DC_name_Xref]],Table3[#Headers],0)),0)</f>
        <v>0</v>
      </c>
      <c r="O1294" s="19">
        <f>IFERROR(INDEX(Table35[#All],MATCH(Table1[[#This Row],[Key_Year_Week_Brand]],Table35[[#All],[Key_Year_Month_Brand]],0),MATCH(Table1[[#This Row],[DC_name_Xref]],Table35[#Headers],0)),0)</f>
        <v>0</v>
      </c>
    </row>
    <row r="1295" spans="1:15" x14ac:dyDescent="0.3">
      <c r="A1295" s="19" t="str">
        <f>Table1[[#This Row],[Year_Week]]&amp;"-"&amp;Table1[[#This Row],[DC_name_Xref]]</f>
        <v>202348-WEO</v>
      </c>
      <c r="B1295" s="19" t="str">
        <f>Table1[[#This Row],[Fiscal_Year]]*100+Table1[[#This Row],[Fiscal_Week]] &amp; "-" &amp;Table1[[#This Row],[BRAND]]</f>
        <v>202348-Gap</v>
      </c>
      <c r="C1295" s="19" t="str">
        <f>Table1[[#This Row],[Fiscal_Year]]&amp;"-"&amp;Table1[[#This Row],[BRAND]]</f>
        <v>2023-Gap</v>
      </c>
      <c r="D1295">
        <v>2023</v>
      </c>
      <c r="E1295">
        <v>48</v>
      </c>
      <c r="F1295" t="s">
        <v>16</v>
      </c>
      <c r="G1295" t="s">
        <v>10</v>
      </c>
      <c r="H1295">
        <v>6</v>
      </c>
      <c r="I1295">
        <v>178258</v>
      </c>
      <c r="J1295" t="str">
        <f>VLOOKUP(H1295,DC_Xref!A:B,2,FALSE)</f>
        <v>WEO</v>
      </c>
      <c r="K1295">
        <f t="shared" si="20"/>
        <v>202348</v>
      </c>
      <c r="L1295" s="19">
        <f>IFERROR(Table1[[#This Row],[Demand]]/SUMIFS(Table1[Demand],Table1[Fiscal_Year],Table1[[#This Row],[Fiscal_Year]],Table1[BRAND],Table1[[#This Row],[BRAND]],Table1[DC_name_Xref],Table1[[#This Row],[DC_name_Xref]]),0)</f>
        <v>2.6953761366567706E-2</v>
      </c>
      <c r="M12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0.2923333353077201</v>
      </c>
      <c r="N1295" s="3">
        <f>IFERROR(INDEX(Table3[#All],MATCH(Table1[[#This Row],[Key_Year_Week_Brand]],Table3[[#All],[Key_Year_Week_Brand]],0),MATCH(Table1[[#This Row],[DC_name_Xref]],Table3[#Headers],0)),0)</f>
        <v>0.45</v>
      </c>
      <c r="O1295" s="19">
        <f>IFERROR(INDEX(Table35[#All],MATCH(Table1[[#This Row],[Key_Year_Week_Brand]],Table35[[#All],[Key_Year_Month_Brand]],0),MATCH(Table1[[#This Row],[DC_name_Xref]],Table35[#Headers],0)),0)</f>
        <v>745712.55</v>
      </c>
    </row>
    <row r="1296" spans="1:15" x14ac:dyDescent="0.3">
      <c r="A1296" s="19" t="str">
        <f>Table1[[#This Row],[Year_Week]]&amp;"-"&amp;Table1[[#This Row],[DC_name_Xref]]</f>
        <v>202348-OCC</v>
      </c>
      <c r="B1296" s="19" t="str">
        <f>Table1[[#This Row],[Fiscal_Year]]*100+Table1[[#This Row],[Fiscal_Week]] &amp; "-" &amp;Table1[[#This Row],[BRAND]]</f>
        <v>202348-Gap</v>
      </c>
      <c r="C1296" s="19" t="str">
        <f>Table1[[#This Row],[Fiscal_Year]]&amp;"-"&amp;Table1[[#This Row],[BRAND]]</f>
        <v>2023-Gap</v>
      </c>
      <c r="D1296">
        <v>2023</v>
      </c>
      <c r="E1296">
        <v>48</v>
      </c>
      <c r="F1296" t="s">
        <v>16</v>
      </c>
      <c r="G1296" t="s">
        <v>11</v>
      </c>
      <c r="H1296">
        <v>7</v>
      </c>
      <c r="I1296">
        <v>0</v>
      </c>
      <c r="J1296" t="str">
        <f>VLOOKUP(H1296,DC_Xref!A:B,2,FALSE)</f>
        <v>OCC</v>
      </c>
      <c r="K1296">
        <f t="shared" si="20"/>
        <v>202348</v>
      </c>
      <c r="L12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96" s="3">
        <f>IFERROR(INDEX(Table3[#All],MATCH(Table1[[#This Row],[Key_Year_Week_Brand]],Table3[[#All],[Key_Year_Week_Brand]],0),MATCH(Table1[[#This Row],[DC_name_Xref]],Table3[#Headers],0)),0)</f>
        <v>0.3</v>
      </c>
      <c r="O1296" s="19">
        <f>IFERROR(INDEX(Table35[#All],MATCH(Table1[[#This Row],[Key_Year_Week_Brand]],Table35[[#All],[Key_Year_Month_Brand]],0),MATCH(Table1[[#This Row],[DC_name_Xref]],Table35[#Headers],0)),0)</f>
        <v>497141.69999999995</v>
      </c>
    </row>
    <row r="1297" spans="1:15" x14ac:dyDescent="0.3">
      <c r="A1297" s="19" t="str">
        <f>Table1[[#This Row],[Year_Week]]&amp;"-"&amp;Table1[[#This Row],[DC_name_Xref]]</f>
        <v>202348-OFC</v>
      </c>
      <c r="B1297" s="19" t="str">
        <f>Table1[[#This Row],[Fiscal_Year]]*100+Table1[[#This Row],[Fiscal_Week]] &amp; "-" &amp;Table1[[#This Row],[BRAND]]</f>
        <v>202348-BR Factory Store</v>
      </c>
      <c r="C1297" s="19" t="str">
        <f>Table1[[#This Row],[Fiscal_Year]]&amp;"-"&amp;Table1[[#This Row],[BRAND]]</f>
        <v>2023-BR Factory Store</v>
      </c>
      <c r="D1297">
        <v>2023</v>
      </c>
      <c r="E1297">
        <v>48</v>
      </c>
      <c r="F1297" t="s">
        <v>17</v>
      </c>
      <c r="G1297" t="s">
        <v>5</v>
      </c>
      <c r="H1297">
        <v>1</v>
      </c>
      <c r="I1297">
        <v>324280</v>
      </c>
      <c r="J1297" t="str">
        <f>VLOOKUP(H1297,DC_Xref!A:B,2,FALSE)</f>
        <v>OFC</v>
      </c>
      <c r="K1297">
        <f t="shared" si="20"/>
        <v>202348</v>
      </c>
      <c r="L1297" s="19">
        <f>IFERROR(Table1[[#This Row],[Demand]]/SUMIFS(Table1[Demand],Table1[Fiscal_Year],Table1[[#This Row],[Fiscal_Year]],Table1[BRAND],Table1[[#This Row],[BRAND]],Table1[DC_name_Xref],Table1[[#This Row],[DC_name_Xref]]),0)</f>
        <v>9.6606527405265097E-2</v>
      </c>
      <c r="M12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1</v>
      </c>
      <c r="N1297" s="3">
        <f>IFERROR(INDEX(Table3[#All],MATCH(Table1[[#This Row],[Key_Year_Week_Brand]],Table3[[#All],[Key_Year_Week_Brand]],0),MATCH(Table1[[#This Row],[DC_name_Xref]],Table3[#Headers],0)),0)</f>
        <v>1</v>
      </c>
      <c r="O1297" s="19">
        <f>IFERROR(INDEX(Table35[#All],MATCH(Table1[[#This Row],[Key_Year_Week_Brand]],Table35[[#All],[Key_Year_Month_Brand]],0),MATCH(Table1[[#This Row],[DC_name_Xref]],Table35[#Headers],0)),0)</f>
        <v>324280</v>
      </c>
    </row>
    <row r="1298" spans="1:15" x14ac:dyDescent="0.3">
      <c r="A1298" s="19" t="str">
        <f>Table1[[#This Row],[Year_Week]]&amp;"-"&amp;Table1[[#This Row],[DC_name_Xref]]</f>
        <v>202348-TFC</v>
      </c>
      <c r="B1298" s="19" t="str">
        <f>Table1[[#This Row],[Fiscal_Year]]*100+Table1[[#This Row],[Fiscal_Week]] &amp; "-" &amp;Table1[[#This Row],[BRAND]]</f>
        <v>202348-BR Factory Store</v>
      </c>
      <c r="C1298" s="19" t="str">
        <f>Table1[[#This Row],[Fiscal_Year]]&amp;"-"&amp;Table1[[#This Row],[BRAND]]</f>
        <v>2023-BR Factory Store</v>
      </c>
      <c r="D1298">
        <v>2023</v>
      </c>
      <c r="E1298">
        <v>48</v>
      </c>
      <c r="F1298" t="s">
        <v>17</v>
      </c>
      <c r="G1298" t="s">
        <v>21</v>
      </c>
      <c r="H1298">
        <v>2</v>
      </c>
      <c r="I1298">
        <v>0</v>
      </c>
      <c r="J1298" t="str">
        <f>VLOOKUP(H1298,DC_Xref!A:B,2,FALSE)</f>
        <v>TFC</v>
      </c>
      <c r="K1298">
        <f t="shared" si="20"/>
        <v>202348</v>
      </c>
      <c r="L12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98" s="3">
        <f>IFERROR(INDEX(Table3[#All],MATCH(Table1[[#This Row],[Key_Year_Week_Brand]],Table3[[#All],[Key_Year_Week_Brand]],0),MATCH(Table1[[#This Row],[DC_name_Xref]],Table3[#Headers],0)),0)</f>
        <v>0</v>
      </c>
      <c r="O1298" s="19">
        <f>IFERROR(INDEX(Table35[#All],MATCH(Table1[[#This Row],[Key_Year_Week_Brand]],Table35[[#All],[Key_Year_Month_Brand]],0),MATCH(Table1[[#This Row],[DC_name_Xref]],Table35[#Headers],0)),0)</f>
        <v>0</v>
      </c>
    </row>
    <row r="1299" spans="1:15" x14ac:dyDescent="0.3">
      <c r="A1299" s="19" t="str">
        <f>Table1[[#This Row],[Year_Week]]&amp;"-"&amp;Table1[[#This Row],[DC_name_Xref]]</f>
        <v>202348-WFC</v>
      </c>
      <c r="B1299" s="19" t="str">
        <f>Table1[[#This Row],[Fiscal_Year]]*100+Table1[[#This Row],[Fiscal_Week]] &amp; "-" &amp;Table1[[#This Row],[BRAND]]</f>
        <v>202348-BR Factory Store</v>
      </c>
      <c r="C1299" s="19" t="str">
        <f>Table1[[#This Row],[Fiscal_Year]]&amp;"-"&amp;Table1[[#This Row],[BRAND]]</f>
        <v>2023-BR Factory Store</v>
      </c>
      <c r="D1299">
        <v>2023</v>
      </c>
      <c r="E1299">
        <v>48</v>
      </c>
      <c r="F1299" t="s">
        <v>17</v>
      </c>
      <c r="G1299" t="s">
        <v>7</v>
      </c>
      <c r="H1299">
        <v>3</v>
      </c>
      <c r="I1299">
        <v>0</v>
      </c>
      <c r="J1299" t="str">
        <f>VLOOKUP(H1299,DC_Xref!A:B,2,FALSE)</f>
        <v>WFC</v>
      </c>
      <c r="K1299">
        <f t="shared" si="20"/>
        <v>202348</v>
      </c>
      <c r="L12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2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299" s="3">
        <f>IFERROR(INDEX(Table3[#All],MATCH(Table1[[#This Row],[Key_Year_Week_Brand]],Table3[[#All],[Key_Year_Week_Brand]],0),MATCH(Table1[[#This Row],[DC_name_Xref]],Table3[#Headers],0)),0)</f>
        <v>0</v>
      </c>
      <c r="O1299" s="19">
        <f>IFERROR(INDEX(Table35[#All],MATCH(Table1[[#This Row],[Key_Year_Week_Brand]],Table35[[#All],[Key_Year_Month_Brand]],0),MATCH(Table1[[#This Row],[DC_name_Xref]],Table35[#Headers],0)),0)</f>
        <v>0</v>
      </c>
    </row>
    <row r="1300" spans="1:15" x14ac:dyDescent="0.3">
      <c r="A1300" s="19" t="str">
        <f>Table1[[#This Row],[Year_Week]]&amp;"-"&amp;Table1[[#This Row],[DC_name_Xref]]</f>
        <v>202348-EAO</v>
      </c>
      <c r="B1300" s="19" t="str">
        <f>Table1[[#This Row],[Fiscal_Year]]*100+Table1[[#This Row],[Fiscal_Week]] &amp; "-" &amp;Table1[[#This Row],[BRAND]]</f>
        <v>202348-BR Factory Store</v>
      </c>
      <c r="C1300" s="19" t="str">
        <f>Table1[[#This Row],[Fiscal_Year]]&amp;"-"&amp;Table1[[#This Row],[BRAND]]</f>
        <v>2023-BR Factory Store</v>
      </c>
      <c r="D1300">
        <v>2023</v>
      </c>
      <c r="E1300">
        <v>48</v>
      </c>
      <c r="F1300" t="s">
        <v>17</v>
      </c>
      <c r="G1300" t="s">
        <v>8</v>
      </c>
      <c r="H1300">
        <v>4</v>
      </c>
      <c r="I1300">
        <v>0</v>
      </c>
      <c r="J1300" t="str">
        <f>VLOOKUP(H1300,DC_Xref!A:B,2,FALSE)</f>
        <v>EAO</v>
      </c>
      <c r="K1300">
        <f t="shared" si="20"/>
        <v>202348</v>
      </c>
      <c r="L13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0" s="3">
        <f>IFERROR(INDEX(Table3[#All],MATCH(Table1[[#This Row],[Key_Year_Week_Brand]],Table3[[#All],[Key_Year_Week_Brand]],0),MATCH(Table1[[#This Row],[DC_name_Xref]],Table3[#Headers],0)),0)</f>
        <v>0</v>
      </c>
      <c r="O1300" s="19">
        <f>IFERROR(INDEX(Table35[#All],MATCH(Table1[[#This Row],[Key_Year_Week_Brand]],Table35[[#All],[Key_Year_Month_Brand]],0),MATCH(Table1[[#This Row],[DC_name_Xref]],Table35[#Headers],0)),0)</f>
        <v>0</v>
      </c>
    </row>
    <row r="1301" spans="1:15" x14ac:dyDescent="0.3">
      <c r="A1301" s="19" t="str">
        <f>Table1[[#This Row],[Year_Week]]&amp;"-"&amp;Table1[[#This Row],[DC_name_Xref]]</f>
        <v>202348-FFC-ODC</v>
      </c>
      <c r="B1301" s="19" t="str">
        <f>Table1[[#This Row],[Fiscal_Year]]*100+Table1[[#This Row],[Fiscal_Week]] &amp; "-" &amp;Table1[[#This Row],[BRAND]]</f>
        <v>202348-BR Factory Store</v>
      </c>
      <c r="C1301" s="19" t="str">
        <f>Table1[[#This Row],[Fiscal_Year]]&amp;"-"&amp;Table1[[#This Row],[BRAND]]</f>
        <v>2023-BR Factory Store</v>
      </c>
      <c r="D1301">
        <v>2023</v>
      </c>
      <c r="E1301">
        <v>48</v>
      </c>
      <c r="F1301" t="s">
        <v>17</v>
      </c>
      <c r="G1301" t="s">
        <v>23</v>
      </c>
      <c r="H1301">
        <v>5</v>
      </c>
      <c r="I1301">
        <v>0</v>
      </c>
      <c r="J1301" t="str">
        <f>VLOOKUP(H1301,DC_Xref!A:B,2,FALSE)</f>
        <v>FFC-ODC</v>
      </c>
      <c r="K1301">
        <f t="shared" si="20"/>
        <v>202348</v>
      </c>
      <c r="L13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1" s="3">
        <f>IFERROR(INDEX(Table3[#All],MATCH(Table1[[#This Row],[Key_Year_Week_Brand]],Table3[[#All],[Key_Year_Week_Brand]],0),MATCH(Table1[[#This Row],[DC_name_Xref]],Table3[#Headers],0)),0)</f>
        <v>0</v>
      </c>
      <c r="O1301" s="19">
        <f>IFERROR(INDEX(Table35[#All],MATCH(Table1[[#This Row],[Key_Year_Week_Brand]],Table35[[#All],[Key_Year_Month_Brand]],0),MATCH(Table1[[#This Row],[DC_name_Xref]],Table35[#Headers],0)),0)</f>
        <v>0</v>
      </c>
    </row>
    <row r="1302" spans="1:15" x14ac:dyDescent="0.3">
      <c r="A1302" s="19" t="str">
        <f>Table1[[#This Row],[Year_Week]]&amp;"-"&amp;Table1[[#This Row],[DC_name_Xref]]</f>
        <v>202348-WEO</v>
      </c>
      <c r="B1302" s="19" t="str">
        <f>Table1[[#This Row],[Fiscal_Year]]*100+Table1[[#This Row],[Fiscal_Week]] &amp; "-" &amp;Table1[[#This Row],[BRAND]]</f>
        <v>202348-BR Factory Store</v>
      </c>
      <c r="C1302" s="19" t="str">
        <f>Table1[[#This Row],[Fiscal_Year]]&amp;"-"&amp;Table1[[#This Row],[BRAND]]</f>
        <v>2023-BR Factory Store</v>
      </c>
      <c r="D1302">
        <v>2023</v>
      </c>
      <c r="E1302">
        <v>48</v>
      </c>
      <c r="F1302" t="s">
        <v>17</v>
      </c>
      <c r="G1302" t="s">
        <v>10</v>
      </c>
      <c r="H1302">
        <v>6</v>
      </c>
      <c r="I1302">
        <v>0</v>
      </c>
      <c r="J1302" t="str">
        <f>VLOOKUP(H1302,DC_Xref!A:B,2,FALSE)</f>
        <v>WEO</v>
      </c>
      <c r="K1302">
        <f t="shared" si="20"/>
        <v>202348</v>
      </c>
      <c r="L13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2" s="3">
        <f>IFERROR(INDEX(Table3[#All],MATCH(Table1[[#This Row],[Key_Year_Week_Brand]],Table3[[#All],[Key_Year_Week_Brand]],0),MATCH(Table1[[#This Row],[DC_name_Xref]],Table3[#Headers],0)),0)</f>
        <v>0</v>
      </c>
      <c r="O1302" s="19">
        <f>IFERROR(INDEX(Table35[#All],MATCH(Table1[[#This Row],[Key_Year_Week_Brand]],Table35[[#All],[Key_Year_Month_Brand]],0),MATCH(Table1[[#This Row],[DC_name_Xref]],Table35[#Headers],0)),0)</f>
        <v>0</v>
      </c>
    </row>
    <row r="1303" spans="1:15" x14ac:dyDescent="0.3">
      <c r="A1303" s="19" t="str">
        <f>Table1[[#This Row],[Year_Week]]&amp;"-"&amp;Table1[[#This Row],[DC_name_Xref]]</f>
        <v>202348-OCC</v>
      </c>
      <c r="B1303" s="19" t="str">
        <f>Table1[[#This Row],[Fiscal_Year]]*100+Table1[[#This Row],[Fiscal_Week]] &amp; "-" &amp;Table1[[#This Row],[BRAND]]</f>
        <v>202348-BR Factory Store</v>
      </c>
      <c r="C1303" s="19" t="str">
        <f>Table1[[#This Row],[Fiscal_Year]]&amp;"-"&amp;Table1[[#This Row],[BRAND]]</f>
        <v>2023-BR Factory Store</v>
      </c>
      <c r="D1303">
        <v>2023</v>
      </c>
      <c r="E1303">
        <v>48</v>
      </c>
      <c r="F1303" t="s">
        <v>17</v>
      </c>
      <c r="G1303" t="s">
        <v>11</v>
      </c>
      <c r="H1303">
        <v>7</v>
      </c>
      <c r="I1303">
        <v>0</v>
      </c>
      <c r="J1303" t="str">
        <f>VLOOKUP(H1303,DC_Xref!A:B,2,FALSE)</f>
        <v>OCC</v>
      </c>
      <c r="K1303">
        <f t="shared" si="20"/>
        <v>202348</v>
      </c>
      <c r="L13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3" s="3">
        <f>IFERROR(INDEX(Table3[#All],MATCH(Table1[[#This Row],[Key_Year_Week_Brand]],Table3[[#All],[Key_Year_Week_Brand]],0),MATCH(Table1[[#This Row],[DC_name_Xref]],Table3[#Headers],0)),0)</f>
        <v>0</v>
      </c>
      <c r="O1303" s="19">
        <f>IFERROR(INDEX(Table35[#All],MATCH(Table1[[#This Row],[Key_Year_Week_Brand]],Table35[[#All],[Key_Year_Month_Brand]],0),MATCH(Table1[[#This Row],[DC_name_Xref]],Table35[#Headers],0)),0)</f>
        <v>0</v>
      </c>
    </row>
    <row r="1304" spans="1:15" x14ac:dyDescent="0.3">
      <c r="A1304" s="19" t="e">
        <f>Table1[[#This Row],[Year_Week]]&amp;"-"&amp;Table1[[#This Row],[DC_name_Xref]]</f>
        <v>#N/A</v>
      </c>
      <c r="B1304" s="19" t="str">
        <f>Table1[[#This Row],[Fiscal_Year]]*100+Table1[[#This Row],[Fiscal_Week]] &amp; "-" &amp;Table1[[#This Row],[BRAND]]</f>
        <v>0-</v>
      </c>
      <c r="C1304" s="19" t="str">
        <f>Table1[[#This Row],[Fiscal_Year]]&amp;"-"&amp;Table1[[#This Row],[BRAND]]</f>
        <v>-</v>
      </c>
      <c r="J1304" t="e">
        <f>VLOOKUP(H1304,DC_Xref!A:B,2,FALSE)</f>
        <v>#N/A</v>
      </c>
      <c r="K1304">
        <f t="shared" si="20"/>
        <v>0</v>
      </c>
      <c r="L13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4" s="3">
        <f>IFERROR(INDEX(Table3[#All],MATCH(Table1[[#This Row],[Key_Year_Week_Brand]],Table3[[#All],[Key_Year_Week_Brand]],0),MATCH(Table1[[#This Row],[DC_name_Xref]],Table3[#Headers],0)),0)</f>
        <v>0</v>
      </c>
      <c r="O1304" s="19">
        <f>IFERROR(INDEX(Table35[#All],MATCH(Table1[[#This Row],[Key_Year_Week_Brand]],Table35[[#All],[Key_Year_Month_Brand]],0),MATCH(Table1[[#This Row],[DC_name_Xref]],Table35[#Headers],0)),0)</f>
        <v>0</v>
      </c>
    </row>
    <row r="1305" spans="1:15" x14ac:dyDescent="0.3">
      <c r="A1305" s="19" t="e">
        <f>Table1[[#This Row],[Year_Week]]&amp;"-"&amp;Table1[[#This Row],[DC_name_Xref]]</f>
        <v>#N/A</v>
      </c>
      <c r="B1305" s="19" t="str">
        <f>Table1[[#This Row],[Fiscal_Year]]*100+Table1[[#This Row],[Fiscal_Week]] &amp; "-" &amp;Table1[[#This Row],[BRAND]]</f>
        <v>0-</v>
      </c>
      <c r="C1305" s="19" t="str">
        <f>Table1[[#This Row],[Fiscal_Year]]&amp;"-"&amp;Table1[[#This Row],[BRAND]]</f>
        <v>-</v>
      </c>
      <c r="J1305" t="e">
        <f>VLOOKUP(H1305,DC_Xref!A:B,2,FALSE)</f>
        <v>#N/A</v>
      </c>
      <c r="K1305">
        <f t="shared" si="20"/>
        <v>0</v>
      </c>
      <c r="L13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5" s="3">
        <f>IFERROR(INDEX(Table3[#All],MATCH(Table1[[#This Row],[Key_Year_Week_Brand]],Table3[[#All],[Key_Year_Week_Brand]],0),MATCH(Table1[[#This Row],[DC_name_Xref]],Table3[#Headers],0)),0)</f>
        <v>0</v>
      </c>
      <c r="O1305" s="19">
        <f>IFERROR(INDEX(Table35[#All],MATCH(Table1[[#This Row],[Key_Year_Week_Brand]],Table35[[#All],[Key_Year_Month_Brand]],0),MATCH(Table1[[#This Row],[DC_name_Xref]],Table35[#Headers],0)),0)</f>
        <v>0</v>
      </c>
    </row>
    <row r="1306" spans="1:15" x14ac:dyDescent="0.3">
      <c r="A1306" s="19" t="e">
        <f>Table1[[#This Row],[Year_Week]]&amp;"-"&amp;Table1[[#This Row],[DC_name_Xref]]</f>
        <v>#N/A</v>
      </c>
      <c r="B1306" s="19" t="str">
        <f>Table1[[#This Row],[Fiscal_Year]]*100+Table1[[#This Row],[Fiscal_Week]] &amp; "-" &amp;Table1[[#This Row],[BRAND]]</f>
        <v>0-</v>
      </c>
      <c r="C1306" s="19" t="str">
        <f>Table1[[#This Row],[Fiscal_Year]]&amp;"-"&amp;Table1[[#This Row],[BRAND]]</f>
        <v>-</v>
      </c>
      <c r="J1306" t="e">
        <f>VLOOKUP(H1306,DC_Xref!A:B,2,FALSE)</f>
        <v>#N/A</v>
      </c>
      <c r="K1306">
        <f t="shared" si="20"/>
        <v>0</v>
      </c>
      <c r="L13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6" s="3">
        <f>IFERROR(INDEX(Table3[#All],MATCH(Table1[[#This Row],[Key_Year_Week_Brand]],Table3[[#All],[Key_Year_Week_Brand]],0),MATCH(Table1[[#This Row],[DC_name_Xref]],Table3[#Headers],0)),0)</f>
        <v>0</v>
      </c>
      <c r="O1306" s="19">
        <f>IFERROR(INDEX(Table35[#All],MATCH(Table1[[#This Row],[Key_Year_Week_Brand]],Table35[[#All],[Key_Year_Month_Brand]],0),MATCH(Table1[[#This Row],[DC_name_Xref]],Table35[#Headers],0)),0)</f>
        <v>0</v>
      </c>
    </row>
    <row r="1307" spans="1:15" x14ac:dyDescent="0.3">
      <c r="A1307" s="19" t="e">
        <f>Table1[[#This Row],[Year_Week]]&amp;"-"&amp;Table1[[#This Row],[DC_name_Xref]]</f>
        <v>#N/A</v>
      </c>
      <c r="B1307" s="19" t="str">
        <f>Table1[[#This Row],[Fiscal_Year]]*100+Table1[[#This Row],[Fiscal_Week]] &amp; "-" &amp;Table1[[#This Row],[BRAND]]</f>
        <v>0-</v>
      </c>
      <c r="C1307" s="19" t="str">
        <f>Table1[[#This Row],[Fiscal_Year]]&amp;"-"&amp;Table1[[#This Row],[BRAND]]</f>
        <v>-</v>
      </c>
      <c r="J1307" t="e">
        <f>VLOOKUP(H1307,DC_Xref!A:B,2,FALSE)</f>
        <v>#N/A</v>
      </c>
      <c r="K1307">
        <f t="shared" si="20"/>
        <v>0</v>
      </c>
      <c r="L13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7" s="3">
        <f>IFERROR(INDEX(Table3[#All],MATCH(Table1[[#This Row],[Key_Year_Week_Brand]],Table3[[#All],[Key_Year_Week_Brand]],0),MATCH(Table1[[#This Row],[DC_name_Xref]],Table3[#Headers],0)),0)</f>
        <v>0</v>
      </c>
      <c r="O1307" s="19">
        <f>IFERROR(INDEX(Table35[#All],MATCH(Table1[[#This Row],[Key_Year_Week_Brand]],Table35[[#All],[Key_Year_Month_Brand]],0),MATCH(Table1[[#This Row],[DC_name_Xref]],Table35[#Headers],0)),0)</f>
        <v>0</v>
      </c>
    </row>
    <row r="1308" spans="1:15" x14ac:dyDescent="0.3">
      <c r="A1308" s="19" t="e">
        <f>Table1[[#This Row],[Year_Week]]&amp;"-"&amp;Table1[[#This Row],[DC_name_Xref]]</f>
        <v>#N/A</v>
      </c>
      <c r="B1308" s="19" t="str">
        <f>Table1[[#This Row],[Fiscal_Year]]*100+Table1[[#This Row],[Fiscal_Week]] &amp; "-" &amp;Table1[[#This Row],[BRAND]]</f>
        <v>0-</v>
      </c>
      <c r="C1308" s="19" t="str">
        <f>Table1[[#This Row],[Fiscal_Year]]&amp;"-"&amp;Table1[[#This Row],[BRAND]]</f>
        <v>-</v>
      </c>
      <c r="J1308" t="e">
        <f>VLOOKUP(H1308,DC_Xref!A:B,2,FALSE)</f>
        <v>#N/A</v>
      </c>
      <c r="K1308">
        <f t="shared" si="20"/>
        <v>0</v>
      </c>
      <c r="L13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8" s="3">
        <f>IFERROR(INDEX(Table3[#All],MATCH(Table1[[#This Row],[Key_Year_Week_Brand]],Table3[[#All],[Key_Year_Week_Brand]],0),MATCH(Table1[[#This Row],[DC_name_Xref]],Table3[#Headers],0)),0)</f>
        <v>0</v>
      </c>
      <c r="O1308" s="19">
        <f>IFERROR(INDEX(Table35[#All],MATCH(Table1[[#This Row],[Key_Year_Week_Brand]],Table35[[#All],[Key_Year_Month_Brand]],0),MATCH(Table1[[#This Row],[DC_name_Xref]],Table35[#Headers],0)),0)</f>
        <v>0</v>
      </c>
    </row>
    <row r="1309" spans="1:15" x14ac:dyDescent="0.3">
      <c r="A1309" s="19" t="e">
        <f>Table1[[#This Row],[Year_Week]]&amp;"-"&amp;Table1[[#This Row],[DC_name_Xref]]</f>
        <v>#N/A</v>
      </c>
      <c r="B1309" s="19" t="str">
        <f>Table1[[#This Row],[Fiscal_Year]]*100+Table1[[#This Row],[Fiscal_Week]] &amp; "-" &amp;Table1[[#This Row],[BRAND]]</f>
        <v>0-</v>
      </c>
      <c r="C1309" s="19" t="str">
        <f>Table1[[#This Row],[Fiscal_Year]]&amp;"-"&amp;Table1[[#This Row],[BRAND]]</f>
        <v>-</v>
      </c>
      <c r="J1309" t="e">
        <f>VLOOKUP(H1309,DC_Xref!A:B,2,FALSE)</f>
        <v>#N/A</v>
      </c>
      <c r="K1309">
        <f t="shared" si="20"/>
        <v>0</v>
      </c>
      <c r="L13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09" s="3">
        <f>IFERROR(INDEX(Table3[#All],MATCH(Table1[[#This Row],[Key_Year_Week_Brand]],Table3[[#All],[Key_Year_Week_Brand]],0),MATCH(Table1[[#This Row],[DC_name_Xref]],Table3[#Headers],0)),0)</f>
        <v>0</v>
      </c>
      <c r="O1309" s="19">
        <f>IFERROR(INDEX(Table35[#All],MATCH(Table1[[#This Row],[Key_Year_Week_Brand]],Table35[[#All],[Key_Year_Month_Brand]],0),MATCH(Table1[[#This Row],[DC_name_Xref]],Table35[#Headers],0)),0)</f>
        <v>0</v>
      </c>
    </row>
    <row r="1310" spans="1:15" x14ac:dyDescent="0.3">
      <c r="A1310" s="19" t="e">
        <f>Table1[[#This Row],[Year_Week]]&amp;"-"&amp;Table1[[#This Row],[DC_name_Xref]]</f>
        <v>#N/A</v>
      </c>
      <c r="B1310" s="19" t="str">
        <f>Table1[[#This Row],[Fiscal_Year]]*100+Table1[[#This Row],[Fiscal_Week]] &amp; "-" &amp;Table1[[#This Row],[BRAND]]</f>
        <v>0-</v>
      </c>
      <c r="C1310" s="19" t="str">
        <f>Table1[[#This Row],[Fiscal_Year]]&amp;"-"&amp;Table1[[#This Row],[BRAND]]</f>
        <v>-</v>
      </c>
      <c r="J1310" t="e">
        <f>VLOOKUP(H1310,DC_Xref!A:B,2,FALSE)</f>
        <v>#N/A</v>
      </c>
      <c r="K1310">
        <f t="shared" si="20"/>
        <v>0</v>
      </c>
      <c r="L13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0" s="3">
        <f>IFERROR(INDEX(Table3[#All],MATCH(Table1[[#This Row],[Key_Year_Week_Brand]],Table3[[#All],[Key_Year_Week_Brand]],0),MATCH(Table1[[#This Row],[DC_name_Xref]],Table3[#Headers],0)),0)</f>
        <v>0</v>
      </c>
      <c r="O1310" s="19">
        <f>IFERROR(INDEX(Table35[#All],MATCH(Table1[[#This Row],[Key_Year_Week_Brand]],Table35[[#All],[Key_Year_Month_Brand]],0),MATCH(Table1[[#This Row],[DC_name_Xref]],Table35[#Headers],0)),0)</f>
        <v>0</v>
      </c>
    </row>
    <row r="1311" spans="1:15" x14ac:dyDescent="0.3">
      <c r="A1311" s="19" t="e">
        <f>Table1[[#This Row],[Year_Week]]&amp;"-"&amp;Table1[[#This Row],[DC_name_Xref]]</f>
        <v>#N/A</v>
      </c>
      <c r="B1311" s="19" t="str">
        <f>Table1[[#This Row],[Fiscal_Year]]*100+Table1[[#This Row],[Fiscal_Week]] &amp; "-" &amp;Table1[[#This Row],[BRAND]]</f>
        <v>0-</v>
      </c>
      <c r="C1311" s="19" t="str">
        <f>Table1[[#This Row],[Fiscal_Year]]&amp;"-"&amp;Table1[[#This Row],[BRAND]]</f>
        <v>-</v>
      </c>
      <c r="J1311" t="e">
        <f>VLOOKUP(H1311,DC_Xref!A:B,2,FALSE)</f>
        <v>#N/A</v>
      </c>
      <c r="K1311">
        <f t="shared" si="20"/>
        <v>0</v>
      </c>
      <c r="L13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1" s="3">
        <f>IFERROR(INDEX(Table3[#All],MATCH(Table1[[#This Row],[Key_Year_Week_Brand]],Table3[[#All],[Key_Year_Week_Brand]],0),MATCH(Table1[[#This Row],[DC_name_Xref]],Table3[#Headers],0)),0)</f>
        <v>0</v>
      </c>
      <c r="O1311" s="19">
        <f>IFERROR(INDEX(Table35[#All],MATCH(Table1[[#This Row],[Key_Year_Week_Brand]],Table35[[#All],[Key_Year_Month_Brand]],0),MATCH(Table1[[#This Row],[DC_name_Xref]],Table35[#Headers],0)),0)</f>
        <v>0</v>
      </c>
    </row>
    <row r="1312" spans="1:15" x14ac:dyDescent="0.3">
      <c r="A1312" s="19" t="e">
        <f>Table1[[#This Row],[Year_Week]]&amp;"-"&amp;Table1[[#This Row],[DC_name_Xref]]</f>
        <v>#N/A</v>
      </c>
      <c r="B1312" s="19" t="str">
        <f>Table1[[#This Row],[Fiscal_Year]]*100+Table1[[#This Row],[Fiscal_Week]] &amp; "-" &amp;Table1[[#This Row],[BRAND]]</f>
        <v>0-</v>
      </c>
      <c r="C1312" s="19" t="str">
        <f>Table1[[#This Row],[Fiscal_Year]]&amp;"-"&amp;Table1[[#This Row],[BRAND]]</f>
        <v>-</v>
      </c>
      <c r="J1312" t="e">
        <f>VLOOKUP(H1312,DC_Xref!A:B,2,FALSE)</f>
        <v>#N/A</v>
      </c>
      <c r="K1312">
        <f t="shared" si="20"/>
        <v>0</v>
      </c>
      <c r="L13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2" s="3">
        <f>IFERROR(INDEX(Table3[#All],MATCH(Table1[[#This Row],[Key_Year_Week_Brand]],Table3[[#All],[Key_Year_Week_Brand]],0),MATCH(Table1[[#This Row],[DC_name_Xref]],Table3[#Headers],0)),0)</f>
        <v>0</v>
      </c>
      <c r="O1312" s="19">
        <f>IFERROR(INDEX(Table35[#All],MATCH(Table1[[#This Row],[Key_Year_Week_Brand]],Table35[[#All],[Key_Year_Month_Brand]],0),MATCH(Table1[[#This Row],[DC_name_Xref]],Table35[#Headers],0)),0)</f>
        <v>0</v>
      </c>
    </row>
    <row r="1313" spans="1:15" x14ac:dyDescent="0.3">
      <c r="A1313" s="19" t="e">
        <f>Table1[[#This Row],[Year_Week]]&amp;"-"&amp;Table1[[#This Row],[DC_name_Xref]]</f>
        <v>#N/A</v>
      </c>
      <c r="B1313" s="19" t="str">
        <f>Table1[[#This Row],[Fiscal_Year]]*100+Table1[[#This Row],[Fiscal_Week]] &amp; "-" &amp;Table1[[#This Row],[BRAND]]</f>
        <v>0-</v>
      </c>
      <c r="C1313" s="19" t="str">
        <f>Table1[[#This Row],[Fiscal_Year]]&amp;"-"&amp;Table1[[#This Row],[BRAND]]</f>
        <v>-</v>
      </c>
      <c r="J1313" t="e">
        <f>VLOOKUP(H1313,DC_Xref!A:B,2,FALSE)</f>
        <v>#N/A</v>
      </c>
      <c r="K1313">
        <f t="shared" si="20"/>
        <v>0</v>
      </c>
      <c r="L13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3" s="3">
        <f>IFERROR(INDEX(Table3[#All],MATCH(Table1[[#This Row],[Key_Year_Week_Brand]],Table3[[#All],[Key_Year_Week_Brand]],0),MATCH(Table1[[#This Row],[DC_name_Xref]],Table3[#Headers],0)),0)</f>
        <v>0</v>
      </c>
      <c r="O1313" s="19">
        <f>IFERROR(INDEX(Table35[#All],MATCH(Table1[[#This Row],[Key_Year_Week_Brand]],Table35[[#All],[Key_Year_Month_Brand]],0),MATCH(Table1[[#This Row],[DC_name_Xref]],Table35[#Headers],0)),0)</f>
        <v>0</v>
      </c>
    </row>
    <row r="1314" spans="1:15" x14ac:dyDescent="0.3">
      <c r="A1314" s="19" t="e">
        <f>Table1[[#This Row],[Year_Week]]&amp;"-"&amp;Table1[[#This Row],[DC_name_Xref]]</f>
        <v>#N/A</v>
      </c>
      <c r="B1314" s="19" t="str">
        <f>Table1[[#This Row],[Fiscal_Year]]*100+Table1[[#This Row],[Fiscal_Week]] &amp; "-" &amp;Table1[[#This Row],[BRAND]]</f>
        <v>0-</v>
      </c>
      <c r="C1314" s="19" t="str">
        <f>Table1[[#This Row],[Fiscal_Year]]&amp;"-"&amp;Table1[[#This Row],[BRAND]]</f>
        <v>-</v>
      </c>
      <c r="J1314" t="e">
        <f>VLOOKUP(H1314,DC_Xref!A:B,2,FALSE)</f>
        <v>#N/A</v>
      </c>
      <c r="K1314">
        <f t="shared" si="20"/>
        <v>0</v>
      </c>
      <c r="L13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4" s="3">
        <f>IFERROR(INDEX(Table3[#All],MATCH(Table1[[#This Row],[Key_Year_Week_Brand]],Table3[[#All],[Key_Year_Week_Brand]],0),MATCH(Table1[[#This Row],[DC_name_Xref]],Table3[#Headers],0)),0)</f>
        <v>0</v>
      </c>
      <c r="O1314" s="19">
        <f>IFERROR(INDEX(Table35[#All],MATCH(Table1[[#This Row],[Key_Year_Week_Brand]],Table35[[#All],[Key_Year_Month_Brand]],0),MATCH(Table1[[#This Row],[DC_name_Xref]],Table35[#Headers],0)),0)</f>
        <v>0</v>
      </c>
    </row>
    <row r="1315" spans="1:15" x14ac:dyDescent="0.3">
      <c r="A1315" s="19" t="e">
        <f>Table1[[#This Row],[Year_Week]]&amp;"-"&amp;Table1[[#This Row],[DC_name_Xref]]</f>
        <v>#N/A</v>
      </c>
      <c r="B1315" s="19" t="str">
        <f>Table1[[#This Row],[Fiscal_Year]]*100+Table1[[#This Row],[Fiscal_Week]] &amp; "-" &amp;Table1[[#This Row],[BRAND]]</f>
        <v>0-</v>
      </c>
      <c r="C1315" s="19" t="str">
        <f>Table1[[#This Row],[Fiscal_Year]]&amp;"-"&amp;Table1[[#This Row],[BRAND]]</f>
        <v>-</v>
      </c>
      <c r="J1315" t="e">
        <f>VLOOKUP(H1315,DC_Xref!A:B,2,FALSE)</f>
        <v>#N/A</v>
      </c>
      <c r="K1315">
        <f t="shared" si="20"/>
        <v>0</v>
      </c>
      <c r="L13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5" s="3">
        <f>IFERROR(INDEX(Table3[#All],MATCH(Table1[[#This Row],[Key_Year_Week_Brand]],Table3[[#All],[Key_Year_Week_Brand]],0),MATCH(Table1[[#This Row],[DC_name_Xref]],Table3[#Headers],0)),0)</f>
        <v>0</v>
      </c>
      <c r="O1315" s="19">
        <f>IFERROR(INDEX(Table35[#All],MATCH(Table1[[#This Row],[Key_Year_Week_Brand]],Table35[[#All],[Key_Year_Month_Brand]],0),MATCH(Table1[[#This Row],[DC_name_Xref]],Table35[#Headers],0)),0)</f>
        <v>0</v>
      </c>
    </row>
    <row r="1316" spans="1:15" x14ac:dyDescent="0.3">
      <c r="A1316" s="19" t="e">
        <f>Table1[[#This Row],[Year_Week]]&amp;"-"&amp;Table1[[#This Row],[DC_name_Xref]]</f>
        <v>#N/A</v>
      </c>
      <c r="B1316" s="19" t="str">
        <f>Table1[[#This Row],[Fiscal_Year]]*100+Table1[[#This Row],[Fiscal_Week]] &amp; "-" &amp;Table1[[#This Row],[BRAND]]</f>
        <v>0-</v>
      </c>
      <c r="C1316" s="19" t="str">
        <f>Table1[[#This Row],[Fiscal_Year]]&amp;"-"&amp;Table1[[#This Row],[BRAND]]</f>
        <v>-</v>
      </c>
      <c r="J1316" t="e">
        <f>VLOOKUP(H1316,DC_Xref!A:B,2,FALSE)</f>
        <v>#N/A</v>
      </c>
      <c r="K1316">
        <f t="shared" si="20"/>
        <v>0</v>
      </c>
      <c r="L13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6" s="3">
        <f>IFERROR(INDEX(Table3[#All],MATCH(Table1[[#This Row],[Key_Year_Week_Brand]],Table3[[#All],[Key_Year_Week_Brand]],0),MATCH(Table1[[#This Row],[DC_name_Xref]],Table3[#Headers],0)),0)</f>
        <v>0</v>
      </c>
      <c r="O1316" s="19">
        <f>IFERROR(INDEX(Table35[#All],MATCH(Table1[[#This Row],[Key_Year_Week_Brand]],Table35[[#All],[Key_Year_Month_Brand]],0),MATCH(Table1[[#This Row],[DC_name_Xref]],Table35[#Headers],0)),0)</f>
        <v>0</v>
      </c>
    </row>
    <row r="1317" spans="1:15" x14ac:dyDescent="0.3">
      <c r="A1317" s="19" t="e">
        <f>Table1[[#This Row],[Year_Week]]&amp;"-"&amp;Table1[[#This Row],[DC_name_Xref]]</f>
        <v>#N/A</v>
      </c>
      <c r="B1317" s="19" t="str">
        <f>Table1[[#This Row],[Fiscal_Year]]*100+Table1[[#This Row],[Fiscal_Week]] &amp; "-" &amp;Table1[[#This Row],[BRAND]]</f>
        <v>0-</v>
      </c>
      <c r="C1317" s="19" t="str">
        <f>Table1[[#This Row],[Fiscal_Year]]&amp;"-"&amp;Table1[[#This Row],[BRAND]]</f>
        <v>-</v>
      </c>
      <c r="J1317" t="e">
        <f>VLOOKUP(H1317,DC_Xref!A:B,2,FALSE)</f>
        <v>#N/A</v>
      </c>
      <c r="K1317">
        <f t="shared" si="20"/>
        <v>0</v>
      </c>
      <c r="L13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7" s="3">
        <f>IFERROR(INDEX(Table3[#All],MATCH(Table1[[#This Row],[Key_Year_Week_Brand]],Table3[[#All],[Key_Year_Week_Brand]],0),MATCH(Table1[[#This Row],[DC_name_Xref]],Table3[#Headers],0)),0)</f>
        <v>0</v>
      </c>
      <c r="O1317" s="19">
        <f>IFERROR(INDEX(Table35[#All],MATCH(Table1[[#This Row],[Key_Year_Week_Brand]],Table35[[#All],[Key_Year_Month_Brand]],0),MATCH(Table1[[#This Row],[DC_name_Xref]],Table35[#Headers],0)),0)</f>
        <v>0</v>
      </c>
    </row>
    <row r="1318" spans="1:15" x14ac:dyDescent="0.3">
      <c r="A1318" s="19" t="e">
        <f>Table1[[#This Row],[Year_Week]]&amp;"-"&amp;Table1[[#This Row],[DC_name_Xref]]</f>
        <v>#N/A</v>
      </c>
      <c r="B1318" s="19" t="str">
        <f>Table1[[#This Row],[Fiscal_Year]]*100+Table1[[#This Row],[Fiscal_Week]] &amp; "-" &amp;Table1[[#This Row],[BRAND]]</f>
        <v>0-</v>
      </c>
      <c r="C1318" s="19" t="str">
        <f>Table1[[#This Row],[Fiscal_Year]]&amp;"-"&amp;Table1[[#This Row],[BRAND]]</f>
        <v>-</v>
      </c>
      <c r="J1318" t="e">
        <f>VLOOKUP(H1318,DC_Xref!A:B,2,FALSE)</f>
        <v>#N/A</v>
      </c>
      <c r="K1318">
        <f t="shared" si="20"/>
        <v>0</v>
      </c>
      <c r="L13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8" s="3">
        <f>IFERROR(INDEX(Table3[#All],MATCH(Table1[[#This Row],[Key_Year_Week_Brand]],Table3[[#All],[Key_Year_Week_Brand]],0),MATCH(Table1[[#This Row],[DC_name_Xref]],Table3[#Headers],0)),0)</f>
        <v>0</v>
      </c>
      <c r="O1318" s="19">
        <f>IFERROR(INDEX(Table35[#All],MATCH(Table1[[#This Row],[Key_Year_Week_Brand]],Table35[[#All],[Key_Year_Month_Brand]],0),MATCH(Table1[[#This Row],[DC_name_Xref]],Table35[#Headers],0)),0)</f>
        <v>0</v>
      </c>
    </row>
    <row r="1319" spans="1:15" x14ac:dyDescent="0.3">
      <c r="A1319" s="19" t="e">
        <f>Table1[[#This Row],[Year_Week]]&amp;"-"&amp;Table1[[#This Row],[DC_name_Xref]]</f>
        <v>#N/A</v>
      </c>
      <c r="B1319" s="19" t="str">
        <f>Table1[[#This Row],[Fiscal_Year]]*100+Table1[[#This Row],[Fiscal_Week]] &amp; "-" &amp;Table1[[#This Row],[BRAND]]</f>
        <v>0-</v>
      </c>
      <c r="C1319" s="19" t="str">
        <f>Table1[[#This Row],[Fiscal_Year]]&amp;"-"&amp;Table1[[#This Row],[BRAND]]</f>
        <v>-</v>
      </c>
      <c r="J1319" t="e">
        <f>VLOOKUP(H1319,DC_Xref!A:B,2,FALSE)</f>
        <v>#N/A</v>
      </c>
      <c r="K1319">
        <f t="shared" si="20"/>
        <v>0</v>
      </c>
      <c r="L13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19" s="3">
        <f>IFERROR(INDEX(Table3[#All],MATCH(Table1[[#This Row],[Key_Year_Week_Brand]],Table3[[#All],[Key_Year_Week_Brand]],0),MATCH(Table1[[#This Row],[DC_name_Xref]],Table3[#Headers],0)),0)</f>
        <v>0</v>
      </c>
      <c r="O1319" s="19">
        <f>IFERROR(INDEX(Table35[#All],MATCH(Table1[[#This Row],[Key_Year_Week_Brand]],Table35[[#All],[Key_Year_Month_Brand]],0),MATCH(Table1[[#This Row],[DC_name_Xref]],Table35[#Headers],0)),0)</f>
        <v>0</v>
      </c>
    </row>
    <row r="1320" spans="1:15" x14ac:dyDescent="0.3">
      <c r="A1320" s="19" t="e">
        <f>Table1[[#This Row],[Year_Week]]&amp;"-"&amp;Table1[[#This Row],[DC_name_Xref]]</f>
        <v>#N/A</v>
      </c>
      <c r="B1320" s="19" t="str">
        <f>Table1[[#This Row],[Fiscal_Year]]*100+Table1[[#This Row],[Fiscal_Week]] &amp; "-" &amp;Table1[[#This Row],[BRAND]]</f>
        <v>0-</v>
      </c>
      <c r="C1320" s="19" t="str">
        <f>Table1[[#This Row],[Fiscal_Year]]&amp;"-"&amp;Table1[[#This Row],[BRAND]]</f>
        <v>-</v>
      </c>
      <c r="J1320" t="e">
        <f>VLOOKUP(H1320,DC_Xref!A:B,2,FALSE)</f>
        <v>#N/A</v>
      </c>
      <c r="K1320">
        <f t="shared" si="20"/>
        <v>0</v>
      </c>
      <c r="L13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0" s="3">
        <f>IFERROR(INDEX(Table3[#All],MATCH(Table1[[#This Row],[Key_Year_Week_Brand]],Table3[[#All],[Key_Year_Week_Brand]],0),MATCH(Table1[[#This Row],[DC_name_Xref]],Table3[#Headers],0)),0)</f>
        <v>0</v>
      </c>
      <c r="O1320" s="19">
        <f>IFERROR(INDEX(Table35[#All],MATCH(Table1[[#This Row],[Key_Year_Week_Brand]],Table35[[#All],[Key_Year_Month_Brand]],0),MATCH(Table1[[#This Row],[DC_name_Xref]],Table35[#Headers],0)),0)</f>
        <v>0</v>
      </c>
    </row>
    <row r="1321" spans="1:15" x14ac:dyDescent="0.3">
      <c r="A1321" s="19" t="e">
        <f>Table1[[#This Row],[Year_Week]]&amp;"-"&amp;Table1[[#This Row],[DC_name_Xref]]</f>
        <v>#N/A</v>
      </c>
      <c r="B1321" s="19" t="str">
        <f>Table1[[#This Row],[Fiscal_Year]]*100+Table1[[#This Row],[Fiscal_Week]] &amp; "-" &amp;Table1[[#This Row],[BRAND]]</f>
        <v>0-</v>
      </c>
      <c r="C1321" s="19" t="str">
        <f>Table1[[#This Row],[Fiscal_Year]]&amp;"-"&amp;Table1[[#This Row],[BRAND]]</f>
        <v>-</v>
      </c>
      <c r="J1321" t="e">
        <f>VLOOKUP(H1321,DC_Xref!A:B,2,FALSE)</f>
        <v>#N/A</v>
      </c>
      <c r="K1321">
        <f t="shared" si="20"/>
        <v>0</v>
      </c>
      <c r="L13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1" s="3">
        <f>IFERROR(INDEX(Table3[#All],MATCH(Table1[[#This Row],[Key_Year_Week_Brand]],Table3[[#All],[Key_Year_Week_Brand]],0),MATCH(Table1[[#This Row],[DC_name_Xref]],Table3[#Headers],0)),0)</f>
        <v>0</v>
      </c>
      <c r="O1321" s="19">
        <f>IFERROR(INDEX(Table35[#All],MATCH(Table1[[#This Row],[Key_Year_Week_Brand]],Table35[[#All],[Key_Year_Month_Brand]],0),MATCH(Table1[[#This Row],[DC_name_Xref]],Table35[#Headers],0)),0)</f>
        <v>0</v>
      </c>
    </row>
    <row r="1322" spans="1:15" x14ac:dyDescent="0.3">
      <c r="A1322" s="19" t="e">
        <f>Table1[[#This Row],[Year_Week]]&amp;"-"&amp;Table1[[#This Row],[DC_name_Xref]]</f>
        <v>#N/A</v>
      </c>
      <c r="B1322" s="19" t="str">
        <f>Table1[[#This Row],[Fiscal_Year]]*100+Table1[[#This Row],[Fiscal_Week]] &amp; "-" &amp;Table1[[#This Row],[BRAND]]</f>
        <v>0-</v>
      </c>
      <c r="C1322" s="19" t="str">
        <f>Table1[[#This Row],[Fiscal_Year]]&amp;"-"&amp;Table1[[#This Row],[BRAND]]</f>
        <v>-</v>
      </c>
      <c r="J1322" t="e">
        <f>VLOOKUP(H1322,DC_Xref!A:B,2,FALSE)</f>
        <v>#N/A</v>
      </c>
      <c r="K1322">
        <f t="shared" si="20"/>
        <v>0</v>
      </c>
      <c r="L13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2" s="3">
        <f>IFERROR(INDEX(Table3[#All],MATCH(Table1[[#This Row],[Key_Year_Week_Brand]],Table3[[#All],[Key_Year_Week_Brand]],0),MATCH(Table1[[#This Row],[DC_name_Xref]],Table3[#Headers],0)),0)</f>
        <v>0</v>
      </c>
      <c r="O1322" s="19">
        <f>IFERROR(INDEX(Table35[#All],MATCH(Table1[[#This Row],[Key_Year_Week_Brand]],Table35[[#All],[Key_Year_Month_Brand]],0),MATCH(Table1[[#This Row],[DC_name_Xref]],Table35[#Headers],0)),0)</f>
        <v>0</v>
      </c>
    </row>
    <row r="1323" spans="1:15" x14ac:dyDescent="0.3">
      <c r="A1323" s="19" t="e">
        <f>Table1[[#This Row],[Year_Week]]&amp;"-"&amp;Table1[[#This Row],[DC_name_Xref]]</f>
        <v>#N/A</v>
      </c>
      <c r="B1323" s="19" t="str">
        <f>Table1[[#This Row],[Fiscal_Year]]*100+Table1[[#This Row],[Fiscal_Week]] &amp; "-" &amp;Table1[[#This Row],[BRAND]]</f>
        <v>0-</v>
      </c>
      <c r="C1323" s="19" t="str">
        <f>Table1[[#This Row],[Fiscal_Year]]&amp;"-"&amp;Table1[[#This Row],[BRAND]]</f>
        <v>-</v>
      </c>
      <c r="J1323" t="e">
        <f>VLOOKUP(H1323,DC_Xref!A:B,2,FALSE)</f>
        <v>#N/A</v>
      </c>
      <c r="K1323">
        <f t="shared" si="20"/>
        <v>0</v>
      </c>
      <c r="L13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3" s="3">
        <f>IFERROR(INDEX(Table3[#All],MATCH(Table1[[#This Row],[Key_Year_Week_Brand]],Table3[[#All],[Key_Year_Week_Brand]],0),MATCH(Table1[[#This Row],[DC_name_Xref]],Table3[#Headers],0)),0)</f>
        <v>0</v>
      </c>
      <c r="O1323" s="19">
        <f>IFERROR(INDEX(Table35[#All],MATCH(Table1[[#This Row],[Key_Year_Week_Brand]],Table35[[#All],[Key_Year_Month_Brand]],0),MATCH(Table1[[#This Row],[DC_name_Xref]],Table35[#Headers],0)),0)</f>
        <v>0</v>
      </c>
    </row>
    <row r="1324" spans="1:15" x14ac:dyDescent="0.3">
      <c r="A1324" s="19" t="e">
        <f>Table1[[#This Row],[Year_Week]]&amp;"-"&amp;Table1[[#This Row],[DC_name_Xref]]</f>
        <v>#N/A</v>
      </c>
      <c r="B1324" s="19" t="str">
        <f>Table1[[#This Row],[Fiscal_Year]]*100+Table1[[#This Row],[Fiscal_Week]] &amp; "-" &amp;Table1[[#This Row],[BRAND]]</f>
        <v>0-</v>
      </c>
      <c r="C1324" s="19" t="str">
        <f>Table1[[#This Row],[Fiscal_Year]]&amp;"-"&amp;Table1[[#This Row],[BRAND]]</f>
        <v>-</v>
      </c>
      <c r="J1324" t="e">
        <f>VLOOKUP(H1324,DC_Xref!A:B,2,FALSE)</f>
        <v>#N/A</v>
      </c>
      <c r="K1324">
        <f t="shared" si="20"/>
        <v>0</v>
      </c>
      <c r="L13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4" s="3">
        <f>IFERROR(INDEX(Table3[#All],MATCH(Table1[[#This Row],[Key_Year_Week_Brand]],Table3[[#All],[Key_Year_Week_Brand]],0),MATCH(Table1[[#This Row],[DC_name_Xref]],Table3[#Headers],0)),0)</f>
        <v>0</v>
      </c>
      <c r="O1324" s="19">
        <f>IFERROR(INDEX(Table35[#All],MATCH(Table1[[#This Row],[Key_Year_Week_Brand]],Table35[[#All],[Key_Year_Month_Brand]],0),MATCH(Table1[[#This Row],[DC_name_Xref]],Table35[#Headers],0)),0)</f>
        <v>0</v>
      </c>
    </row>
    <row r="1325" spans="1:15" x14ac:dyDescent="0.3">
      <c r="A1325" s="19" t="e">
        <f>Table1[[#This Row],[Year_Week]]&amp;"-"&amp;Table1[[#This Row],[DC_name_Xref]]</f>
        <v>#N/A</v>
      </c>
      <c r="B1325" s="19" t="str">
        <f>Table1[[#This Row],[Fiscal_Year]]*100+Table1[[#This Row],[Fiscal_Week]] &amp; "-" &amp;Table1[[#This Row],[BRAND]]</f>
        <v>0-</v>
      </c>
      <c r="C1325" s="19" t="str">
        <f>Table1[[#This Row],[Fiscal_Year]]&amp;"-"&amp;Table1[[#This Row],[BRAND]]</f>
        <v>-</v>
      </c>
      <c r="J1325" t="e">
        <f>VLOOKUP(H1325,DC_Xref!A:B,2,FALSE)</f>
        <v>#N/A</v>
      </c>
      <c r="K1325">
        <f t="shared" si="20"/>
        <v>0</v>
      </c>
      <c r="L13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5" s="3">
        <f>IFERROR(INDEX(Table3[#All],MATCH(Table1[[#This Row],[Key_Year_Week_Brand]],Table3[[#All],[Key_Year_Week_Brand]],0),MATCH(Table1[[#This Row],[DC_name_Xref]],Table3[#Headers],0)),0)</f>
        <v>0</v>
      </c>
      <c r="O1325" s="19">
        <f>IFERROR(INDEX(Table35[#All],MATCH(Table1[[#This Row],[Key_Year_Week_Brand]],Table35[[#All],[Key_Year_Month_Brand]],0),MATCH(Table1[[#This Row],[DC_name_Xref]],Table35[#Headers],0)),0)</f>
        <v>0</v>
      </c>
    </row>
    <row r="1326" spans="1:15" x14ac:dyDescent="0.3">
      <c r="A1326" s="19" t="e">
        <f>Table1[[#This Row],[Year_Week]]&amp;"-"&amp;Table1[[#This Row],[DC_name_Xref]]</f>
        <v>#N/A</v>
      </c>
      <c r="B1326" s="19" t="str">
        <f>Table1[[#This Row],[Fiscal_Year]]*100+Table1[[#This Row],[Fiscal_Week]] &amp; "-" &amp;Table1[[#This Row],[BRAND]]</f>
        <v>0-</v>
      </c>
      <c r="C1326" s="19" t="str">
        <f>Table1[[#This Row],[Fiscal_Year]]&amp;"-"&amp;Table1[[#This Row],[BRAND]]</f>
        <v>-</v>
      </c>
      <c r="J1326" t="e">
        <f>VLOOKUP(H1326,DC_Xref!A:B,2,FALSE)</f>
        <v>#N/A</v>
      </c>
      <c r="K1326">
        <f t="shared" si="20"/>
        <v>0</v>
      </c>
      <c r="L13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6" s="3">
        <f>IFERROR(INDEX(Table3[#All],MATCH(Table1[[#This Row],[Key_Year_Week_Brand]],Table3[[#All],[Key_Year_Week_Brand]],0),MATCH(Table1[[#This Row],[DC_name_Xref]],Table3[#Headers],0)),0)</f>
        <v>0</v>
      </c>
      <c r="O1326" s="19">
        <f>IFERROR(INDEX(Table35[#All],MATCH(Table1[[#This Row],[Key_Year_Week_Brand]],Table35[[#All],[Key_Year_Month_Brand]],0),MATCH(Table1[[#This Row],[DC_name_Xref]],Table35[#Headers],0)),0)</f>
        <v>0</v>
      </c>
    </row>
    <row r="1327" spans="1:15" x14ac:dyDescent="0.3">
      <c r="A1327" s="19" t="e">
        <f>Table1[[#This Row],[Year_Week]]&amp;"-"&amp;Table1[[#This Row],[DC_name_Xref]]</f>
        <v>#N/A</v>
      </c>
      <c r="B1327" s="19" t="str">
        <f>Table1[[#This Row],[Fiscal_Year]]*100+Table1[[#This Row],[Fiscal_Week]] &amp; "-" &amp;Table1[[#This Row],[BRAND]]</f>
        <v>0-</v>
      </c>
      <c r="C1327" s="19" t="str">
        <f>Table1[[#This Row],[Fiscal_Year]]&amp;"-"&amp;Table1[[#This Row],[BRAND]]</f>
        <v>-</v>
      </c>
      <c r="J1327" t="e">
        <f>VLOOKUP(H1327,DC_Xref!A:B,2,FALSE)</f>
        <v>#N/A</v>
      </c>
      <c r="K1327">
        <f t="shared" si="20"/>
        <v>0</v>
      </c>
      <c r="L13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7" s="3">
        <f>IFERROR(INDEX(Table3[#All],MATCH(Table1[[#This Row],[Key_Year_Week_Brand]],Table3[[#All],[Key_Year_Week_Brand]],0),MATCH(Table1[[#This Row],[DC_name_Xref]],Table3[#Headers],0)),0)</f>
        <v>0</v>
      </c>
      <c r="O1327" s="19">
        <f>IFERROR(INDEX(Table35[#All],MATCH(Table1[[#This Row],[Key_Year_Week_Brand]],Table35[[#All],[Key_Year_Month_Brand]],0),MATCH(Table1[[#This Row],[DC_name_Xref]],Table35[#Headers],0)),0)</f>
        <v>0</v>
      </c>
    </row>
    <row r="1328" spans="1:15" x14ac:dyDescent="0.3">
      <c r="A1328" s="19" t="e">
        <f>Table1[[#This Row],[Year_Week]]&amp;"-"&amp;Table1[[#This Row],[DC_name_Xref]]</f>
        <v>#N/A</v>
      </c>
      <c r="B1328" s="19" t="str">
        <f>Table1[[#This Row],[Fiscal_Year]]*100+Table1[[#This Row],[Fiscal_Week]] &amp; "-" &amp;Table1[[#This Row],[BRAND]]</f>
        <v>0-</v>
      </c>
      <c r="C1328" s="19" t="str">
        <f>Table1[[#This Row],[Fiscal_Year]]&amp;"-"&amp;Table1[[#This Row],[BRAND]]</f>
        <v>-</v>
      </c>
      <c r="J1328" t="e">
        <f>VLOOKUP(H1328,DC_Xref!A:B,2,FALSE)</f>
        <v>#N/A</v>
      </c>
      <c r="K1328">
        <f t="shared" si="20"/>
        <v>0</v>
      </c>
      <c r="L13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8" s="3">
        <f>IFERROR(INDEX(Table3[#All],MATCH(Table1[[#This Row],[Key_Year_Week_Brand]],Table3[[#All],[Key_Year_Week_Brand]],0),MATCH(Table1[[#This Row],[DC_name_Xref]],Table3[#Headers],0)),0)</f>
        <v>0</v>
      </c>
      <c r="O1328" s="19">
        <f>IFERROR(INDEX(Table35[#All],MATCH(Table1[[#This Row],[Key_Year_Week_Brand]],Table35[[#All],[Key_Year_Month_Brand]],0),MATCH(Table1[[#This Row],[DC_name_Xref]],Table35[#Headers],0)),0)</f>
        <v>0</v>
      </c>
    </row>
    <row r="1329" spans="1:15" x14ac:dyDescent="0.3">
      <c r="A1329" s="19" t="e">
        <f>Table1[[#This Row],[Year_Week]]&amp;"-"&amp;Table1[[#This Row],[DC_name_Xref]]</f>
        <v>#N/A</v>
      </c>
      <c r="B1329" s="19" t="str">
        <f>Table1[[#This Row],[Fiscal_Year]]*100+Table1[[#This Row],[Fiscal_Week]] &amp; "-" &amp;Table1[[#This Row],[BRAND]]</f>
        <v>0-</v>
      </c>
      <c r="C1329" s="19" t="str">
        <f>Table1[[#This Row],[Fiscal_Year]]&amp;"-"&amp;Table1[[#This Row],[BRAND]]</f>
        <v>-</v>
      </c>
      <c r="J1329" t="e">
        <f>VLOOKUP(H1329,DC_Xref!A:B,2,FALSE)</f>
        <v>#N/A</v>
      </c>
      <c r="K1329">
        <f t="shared" si="20"/>
        <v>0</v>
      </c>
      <c r="L13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29" s="3">
        <f>IFERROR(INDEX(Table3[#All],MATCH(Table1[[#This Row],[Key_Year_Week_Brand]],Table3[[#All],[Key_Year_Week_Brand]],0),MATCH(Table1[[#This Row],[DC_name_Xref]],Table3[#Headers],0)),0)</f>
        <v>0</v>
      </c>
      <c r="O1329" s="19">
        <f>IFERROR(INDEX(Table35[#All],MATCH(Table1[[#This Row],[Key_Year_Week_Brand]],Table35[[#All],[Key_Year_Month_Brand]],0),MATCH(Table1[[#This Row],[DC_name_Xref]],Table35[#Headers],0)),0)</f>
        <v>0</v>
      </c>
    </row>
    <row r="1330" spans="1:15" x14ac:dyDescent="0.3">
      <c r="A1330" s="19" t="e">
        <f>Table1[[#This Row],[Year_Week]]&amp;"-"&amp;Table1[[#This Row],[DC_name_Xref]]</f>
        <v>#N/A</v>
      </c>
      <c r="B1330" s="19" t="str">
        <f>Table1[[#This Row],[Fiscal_Year]]*100+Table1[[#This Row],[Fiscal_Week]] &amp; "-" &amp;Table1[[#This Row],[BRAND]]</f>
        <v>0-</v>
      </c>
      <c r="C1330" s="19" t="str">
        <f>Table1[[#This Row],[Fiscal_Year]]&amp;"-"&amp;Table1[[#This Row],[BRAND]]</f>
        <v>-</v>
      </c>
      <c r="J1330" t="e">
        <f>VLOOKUP(H1330,DC_Xref!A:B,2,FALSE)</f>
        <v>#N/A</v>
      </c>
      <c r="K1330">
        <f t="shared" si="20"/>
        <v>0</v>
      </c>
      <c r="L13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0" s="3">
        <f>IFERROR(INDEX(Table3[#All],MATCH(Table1[[#This Row],[Key_Year_Week_Brand]],Table3[[#All],[Key_Year_Week_Brand]],0),MATCH(Table1[[#This Row],[DC_name_Xref]],Table3[#Headers],0)),0)</f>
        <v>0</v>
      </c>
      <c r="O1330" s="19">
        <f>IFERROR(INDEX(Table35[#All],MATCH(Table1[[#This Row],[Key_Year_Week_Brand]],Table35[[#All],[Key_Year_Month_Brand]],0),MATCH(Table1[[#This Row],[DC_name_Xref]],Table35[#Headers],0)),0)</f>
        <v>0</v>
      </c>
    </row>
    <row r="1331" spans="1:15" x14ac:dyDescent="0.3">
      <c r="A1331" s="19" t="e">
        <f>Table1[[#This Row],[Year_Week]]&amp;"-"&amp;Table1[[#This Row],[DC_name_Xref]]</f>
        <v>#N/A</v>
      </c>
      <c r="B1331" s="19" t="str">
        <f>Table1[[#This Row],[Fiscal_Year]]*100+Table1[[#This Row],[Fiscal_Week]] &amp; "-" &amp;Table1[[#This Row],[BRAND]]</f>
        <v>0-</v>
      </c>
      <c r="C1331" s="19" t="str">
        <f>Table1[[#This Row],[Fiscal_Year]]&amp;"-"&amp;Table1[[#This Row],[BRAND]]</f>
        <v>-</v>
      </c>
      <c r="J1331" t="e">
        <f>VLOOKUP(H1331,DC_Xref!A:B,2,FALSE)</f>
        <v>#N/A</v>
      </c>
      <c r="K1331">
        <f t="shared" si="20"/>
        <v>0</v>
      </c>
      <c r="L13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1" s="3">
        <f>IFERROR(INDEX(Table3[#All],MATCH(Table1[[#This Row],[Key_Year_Week_Brand]],Table3[[#All],[Key_Year_Week_Brand]],0),MATCH(Table1[[#This Row],[DC_name_Xref]],Table3[#Headers],0)),0)</f>
        <v>0</v>
      </c>
      <c r="O1331" s="19">
        <f>IFERROR(INDEX(Table35[#All],MATCH(Table1[[#This Row],[Key_Year_Week_Brand]],Table35[[#All],[Key_Year_Month_Brand]],0),MATCH(Table1[[#This Row],[DC_name_Xref]],Table35[#Headers],0)),0)</f>
        <v>0</v>
      </c>
    </row>
    <row r="1332" spans="1:15" x14ac:dyDescent="0.3">
      <c r="A1332" s="19" t="e">
        <f>Table1[[#This Row],[Year_Week]]&amp;"-"&amp;Table1[[#This Row],[DC_name_Xref]]</f>
        <v>#N/A</v>
      </c>
      <c r="B1332" s="19" t="str">
        <f>Table1[[#This Row],[Fiscal_Year]]*100+Table1[[#This Row],[Fiscal_Week]] &amp; "-" &amp;Table1[[#This Row],[BRAND]]</f>
        <v>0-</v>
      </c>
      <c r="C1332" s="19" t="str">
        <f>Table1[[#This Row],[Fiscal_Year]]&amp;"-"&amp;Table1[[#This Row],[BRAND]]</f>
        <v>-</v>
      </c>
      <c r="J1332" t="e">
        <f>VLOOKUP(H1332,DC_Xref!A:B,2,FALSE)</f>
        <v>#N/A</v>
      </c>
      <c r="K1332">
        <f t="shared" si="20"/>
        <v>0</v>
      </c>
      <c r="L13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2" s="3">
        <f>IFERROR(INDEX(Table3[#All],MATCH(Table1[[#This Row],[Key_Year_Week_Brand]],Table3[[#All],[Key_Year_Week_Brand]],0),MATCH(Table1[[#This Row],[DC_name_Xref]],Table3[#Headers],0)),0)</f>
        <v>0</v>
      </c>
      <c r="O1332" s="19">
        <f>IFERROR(INDEX(Table35[#All],MATCH(Table1[[#This Row],[Key_Year_Week_Brand]],Table35[[#All],[Key_Year_Month_Brand]],0),MATCH(Table1[[#This Row],[DC_name_Xref]],Table35[#Headers],0)),0)</f>
        <v>0</v>
      </c>
    </row>
    <row r="1333" spans="1:15" x14ac:dyDescent="0.3">
      <c r="A1333" s="19" t="e">
        <f>Table1[[#This Row],[Year_Week]]&amp;"-"&amp;Table1[[#This Row],[DC_name_Xref]]</f>
        <v>#N/A</v>
      </c>
      <c r="B1333" s="19" t="str">
        <f>Table1[[#This Row],[Fiscal_Year]]*100+Table1[[#This Row],[Fiscal_Week]] &amp; "-" &amp;Table1[[#This Row],[BRAND]]</f>
        <v>0-</v>
      </c>
      <c r="C1333" s="19" t="str">
        <f>Table1[[#This Row],[Fiscal_Year]]&amp;"-"&amp;Table1[[#This Row],[BRAND]]</f>
        <v>-</v>
      </c>
      <c r="J1333" t="e">
        <f>VLOOKUP(H1333,DC_Xref!A:B,2,FALSE)</f>
        <v>#N/A</v>
      </c>
      <c r="K1333">
        <f t="shared" si="20"/>
        <v>0</v>
      </c>
      <c r="L13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3" s="3">
        <f>IFERROR(INDEX(Table3[#All],MATCH(Table1[[#This Row],[Key_Year_Week_Brand]],Table3[[#All],[Key_Year_Week_Brand]],0),MATCH(Table1[[#This Row],[DC_name_Xref]],Table3[#Headers],0)),0)</f>
        <v>0</v>
      </c>
      <c r="O1333" s="19">
        <f>IFERROR(INDEX(Table35[#All],MATCH(Table1[[#This Row],[Key_Year_Week_Brand]],Table35[[#All],[Key_Year_Month_Brand]],0),MATCH(Table1[[#This Row],[DC_name_Xref]],Table35[#Headers],0)),0)</f>
        <v>0</v>
      </c>
    </row>
    <row r="1334" spans="1:15" x14ac:dyDescent="0.3">
      <c r="A1334" s="19" t="e">
        <f>Table1[[#This Row],[Year_Week]]&amp;"-"&amp;Table1[[#This Row],[DC_name_Xref]]</f>
        <v>#N/A</v>
      </c>
      <c r="B1334" s="19" t="str">
        <f>Table1[[#This Row],[Fiscal_Year]]*100+Table1[[#This Row],[Fiscal_Week]] &amp; "-" &amp;Table1[[#This Row],[BRAND]]</f>
        <v>0-</v>
      </c>
      <c r="C1334" s="19" t="str">
        <f>Table1[[#This Row],[Fiscal_Year]]&amp;"-"&amp;Table1[[#This Row],[BRAND]]</f>
        <v>-</v>
      </c>
      <c r="J1334" t="e">
        <f>VLOOKUP(H1334,DC_Xref!A:B,2,FALSE)</f>
        <v>#N/A</v>
      </c>
      <c r="K1334">
        <f t="shared" si="20"/>
        <v>0</v>
      </c>
      <c r="L13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4" s="3">
        <f>IFERROR(INDEX(Table3[#All],MATCH(Table1[[#This Row],[Key_Year_Week_Brand]],Table3[[#All],[Key_Year_Week_Brand]],0),MATCH(Table1[[#This Row],[DC_name_Xref]],Table3[#Headers],0)),0)</f>
        <v>0</v>
      </c>
      <c r="O1334" s="19">
        <f>IFERROR(INDEX(Table35[#All],MATCH(Table1[[#This Row],[Key_Year_Week_Brand]],Table35[[#All],[Key_Year_Month_Brand]],0),MATCH(Table1[[#This Row],[DC_name_Xref]],Table35[#Headers],0)),0)</f>
        <v>0</v>
      </c>
    </row>
    <row r="1335" spans="1:15" x14ac:dyDescent="0.3">
      <c r="A1335" s="19" t="e">
        <f>Table1[[#This Row],[Year_Week]]&amp;"-"&amp;Table1[[#This Row],[DC_name_Xref]]</f>
        <v>#N/A</v>
      </c>
      <c r="B1335" s="19" t="str">
        <f>Table1[[#This Row],[Fiscal_Year]]*100+Table1[[#This Row],[Fiscal_Week]] &amp; "-" &amp;Table1[[#This Row],[BRAND]]</f>
        <v>0-</v>
      </c>
      <c r="C1335" s="19" t="str">
        <f>Table1[[#This Row],[Fiscal_Year]]&amp;"-"&amp;Table1[[#This Row],[BRAND]]</f>
        <v>-</v>
      </c>
      <c r="J1335" t="e">
        <f>VLOOKUP(H1335,DC_Xref!A:B,2,FALSE)</f>
        <v>#N/A</v>
      </c>
      <c r="K1335">
        <f t="shared" si="20"/>
        <v>0</v>
      </c>
      <c r="L13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5" s="3">
        <f>IFERROR(INDEX(Table3[#All],MATCH(Table1[[#This Row],[Key_Year_Week_Brand]],Table3[[#All],[Key_Year_Week_Brand]],0),MATCH(Table1[[#This Row],[DC_name_Xref]],Table3[#Headers],0)),0)</f>
        <v>0</v>
      </c>
      <c r="O1335" s="19">
        <f>IFERROR(INDEX(Table35[#All],MATCH(Table1[[#This Row],[Key_Year_Week_Brand]],Table35[[#All],[Key_Year_Month_Brand]],0),MATCH(Table1[[#This Row],[DC_name_Xref]],Table35[#Headers],0)),0)</f>
        <v>0</v>
      </c>
    </row>
    <row r="1336" spans="1:15" x14ac:dyDescent="0.3">
      <c r="A1336" s="19" t="e">
        <f>Table1[[#This Row],[Year_Week]]&amp;"-"&amp;Table1[[#This Row],[DC_name_Xref]]</f>
        <v>#N/A</v>
      </c>
      <c r="B1336" s="19" t="str">
        <f>Table1[[#This Row],[Fiscal_Year]]*100+Table1[[#This Row],[Fiscal_Week]] &amp; "-" &amp;Table1[[#This Row],[BRAND]]</f>
        <v>0-</v>
      </c>
      <c r="C1336" s="19" t="str">
        <f>Table1[[#This Row],[Fiscal_Year]]&amp;"-"&amp;Table1[[#This Row],[BRAND]]</f>
        <v>-</v>
      </c>
      <c r="J1336" t="e">
        <f>VLOOKUP(H1336,DC_Xref!A:B,2,FALSE)</f>
        <v>#N/A</v>
      </c>
      <c r="K1336">
        <f t="shared" si="20"/>
        <v>0</v>
      </c>
      <c r="L13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6" s="3">
        <f>IFERROR(INDEX(Table3[#All],MATCH(Table1[[#This Row],[Key_Year_Week_Brand]],Table3[[#All],[Key_Year_Week_Brand]],0),MATCH(Table1[[#This Row],[DC_name_Xref]],Table3[#Headers],0)),0)</f>
        <v>0</v>
      </c>
      <c r="O1336" s="19">
        <f>IFERROR(INDEX(Table35[#All],MATCH(Table1[[#This Row],[Key_Year_Week_Brand]],Table35[[#All],[Key_Year_Month_Brand]],0),MATCH(Table1[[#This Row],[DC_name_Xref]],Table35[#Headers],0)),0)</f>
        <v>0</v>
      </c>
    </row>
    <row r="1337" spans="1:15" x14ac:dyDescent="0.3">
      <c r="A1337" s="19" t="e">
        <f>Table1[[#This Row],[Year_Week]]&amp;"-"&amp;Table1[[#This Row],[DC_name_Xref]]</f>
        <v>#N/A</v>
      </c>
      <c r="B1337" s="19" t="str">
        <f>Table1[[#This Row],[Fiscal_Year]]*100+Table1[[#This Row],[Fiscal_Week]] &amp; "-" &amp;Table1[[#This Row],[BRAND]]</f>
        <v>0-</v>
      </c>
      <c r="C1337" s="19" t="str">
        <f>Table1[[#This Row],[Fiscal_Year]]&amp;"-"&amp;Table1[[#This Row],[BRAND]]</f>
        <v>-</v>
      </c>
      <c r="J1337" t="e">
        <f>VLOOKUP(H1337,DC_Xref!A:B,2,FALSE)</f>
        <v>#N/A</v>
      </c>
      <c r="K1337">
        <f t="shared" si="20"/>
        <v>0</v>
      </c>
      <c r="L13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7" s="3">
        <f>IFERROR(INDEX(Table3[#All],MATCH(Table1[[#This Row],[Key_Year_Week_Brand]],Table3[[#All],[Key_Year_Week_Brand]],0),MATCH(Table1[[#This Row],[DC_name_Xref]],Table3[#Headers],0)),0)</f>
        <v>0</v>
      </c>
      <c r="O1337" s="19">
        <f>IFERROR(INDEX(Table35[#All],MATCH(Table1[[#This Row],[Key_Year_Week_Brand]],Table35[[#All],[Key_Year_Month_Brand]],0),MATCH(Table1[[#This Row],[DC_name_Xref]],Table35[#Headers],0)),0)</f>
        <v>0</v>
      </c>
    </row>
    <row r="1338" spans="1:15" x14ac:dyDescent="0.3">
      <c r="A1338" s="19" t="e">
        <f>Table1[[#This Row],[Year_Week]]&amp;"-"&amp;Table1[[#This Row],[DC_name_Xref]]</f>
        <v>#N/A</v>
      </c>
      <c r="B1338" s="19" t="str">
        <f>Table1[[#This Row],[Fiscal_Year]]*100+Table1[[#This Row],[Fiscal_Week]] &amp; "-" &amp;Table1[[#This Row],[BRAND]]</f>
        <v>0-</v>
      </c>
      <c r="C1338" s="19" t="str">
        <f>Table1[[#This Row],[Fiscal_Year]]&amp;"-"&amp;Table1[[#This Row],[BRAND]]</f>
        <v>-</v>
      </c>
      <c r="J1338" t="e">
        <f>VLOOKUP(H1338,DC_Xref!A:B,2,FALSE)</f>
        <v>#N/A</v>
      </c>
      <c r="K1338">
        <f t="shared" si="20"/>
        <v>0</v>
      </c>
      <c r="L13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8" s="3">
        <f>IFERROR(INDEX(Table3[#All],MATCH(Table1[[#This Row],[Key_Year_Week_Brand]],Table3[[#All],[Key_Year_Week_Brand]],0),MATCH(Table1[[#This Row],[DC_name_Xref]],Table3[#Headers],0)),0)</f>
        <v>0</v>
      </c>
      <c r="O1338" s="19">
        <f>IFERROR(INDEX(Table35[#All],MATCH(Table1[[#This Row],[Key_Year_Week_Brand]],Table35[[#All],[Key_Year_Month_Brand]],0),MATCH(Table1[[#This Row],[DC_name_Xref]],Table35[#Headers],0)),0)</f>
        <v>0</v>
      </c>
    </row>
    <row r="1339" spans="1:15" x14ac:dyDescent="0.3">
      <c r="A1339" s="19" t="e">
        <f>Table1[[#This Row],[Year_Week]]&amp;"-"&amp;Table1[[#This Row],[DC_name_Xref]]</f>
        <v>#N/A</v>
      </c>
      <c r="B1339" s="19" t="str">
        <f>Table1[[#This Row],[Fiscal_Year]]*100+Table1[[#This Row],[Fiscal_Week]] &amp; "-" &amp;Table1[[#This Row],[BRAND]]</f>
        <v>0-</v>
      </c>
      <c r="C1339" s="19" t="str">
        <f>Table1[[#This Row],[Fiscal_Year]]&amp;"-"&amp;Table1[[#This Row],[BRAND]]</f>
        <v>-</v>
      </c>
      <c r="J1339" t="e">
        <f>VLOOKUP(H1339,DC_Xref!A:B,2,FALSE)</f>
        <v>#N/A</v>
      </c>
      <c r="K1339">
        <f t="shared" si="20"/>
        <v>0</v>
      </c>
      <c r="L13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39" s="3">
        <f>IFERROR(INDEX(Table3[#All],MATCH(Table1[[#This Row],[Key_Year_Week_Brand]],Table3[[#All],[Key_Year_Week_Brand]],0),MATCH(Table1[[#This Row],[DC_name_Xref]],Table3[#Headers],0)),0)</f>
        <v>0</v>
      </c>
      <c r="O1339" s="19">
        <f>IFERROR(INDEX(Table35[#All],MATCH(Table1[[#This Row],[Key_Year_Week_Brand]],Table35[[#All],[Key_Year_Month_Brand]],0),MATCH(Table1[[#This Row],[DC_name_Xref]],Table35[#Headers],0)),0)</f>
        <v>0</v>
      </c>
    </row>
    <row r="1340" spans="1:15" x14ac:dyDescent="0.3">
      <c r="A1340" s="19" t="e">
        <f>Table1[[#This Row],[Year_Week]]&amp;"-"&amp;Table1[[#This Row],[DC_name_Xref]]</f>
        <v>#N/A</v>
      </c>
      <c r="B1340" s="19" t="str">
        <f>Table1[[#This Row],[Fiscal_Year]]*100+Table1[[#This Row],[Fiscal_Week]] &amp; "-" &amp;Table1[[#This Row],[BRAND]]</f>
        <v>0-</v>
      </c>
      <c r="C1340" s="19" t="str">
        <f>Table1[[#This Row],[Fiscal_Year]]&amp;"-"&amp;Table1[[#This Row],[BRAND]]</f>
        <v>-</v>
      </c>
      <c r="J1340" t="e">
        <f>VLOOKUP(H1340,DC_Xref!A:B,2,FALSE)</f>
        <v>#N/A</v>
      </c>
      <c r="K1340">
        <f t="shared" si="20"/>
        <v>0</v>
      </c>
      <c r="L13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0" s="3">
        <f>IFERROR(INDEX(Table3[#All],MATCH(Table1[[#This Row],[Key_Year_Week_Brand]],Table3[[#All],[Key_Year_Week_Brand]],0),MATCH(Table1[[#This Row],[DC_name_Xref]],Table3[#Headers],0)),0)</f>
        <v>0</v>
      </c>
      <c r="O1340" s="19">
        <f>IFERROR(INDEX(Table35[#All],MATCH(Table1[[#This Row],[Key_Year_Week_Brand]],Table35[[#All],[Key_Year_Month_Brand]],0),MATCH(Table1[[#This Row],[DC_name_Xref]],Table35[#Headers],0)),0)</f>
        <v>0</v>
      </c>
    </row>
    <row r="1341" spans="1:15" x14ac:dyDescent="0.3">
      <c r="A1341" s="19" t="e">
        <f>Table1[[#This Row],[Year_Week]]&amp;"-"&amp;Table1[[#This Row],[DC_name_Xref]]</f>
        <v>#N/A</v>
      </c>
      <c r="B1341" s="19" t="str">
        <f>Table1[[#This Row],[Fiscal_Year]]*100+Table1[[#This Row],[Fiscal_Week]] &amp; "-" &amp;Table1[[#This Row],[BRAND]]</f>
        <v>0-</v>
      </c>
      <c r="C1341" s="19" t="str">
        <f>Table1[[#This Row],[Fiscal_Year]]&amp;"-"&amp;Table1[[#This Row],[BRAND]]</f>
        <v>-</v>
      </c>
      <c r="J1341" t="e">
        <f>VLOOKUP(H1341,DC_Xref!A:B,2,FALSE)</f>
        <v>#N/A</v>
      </c>
      <c r="K1341">
        <f t="shared" si="20"/>
        <v>0</v>
      </c>
      <c r="L13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1" s="3">
        <f>IFERROR(INDEX(Table3[#All],MATCH(Table1[[#This Row],[Key_Year_Week_Brand]],Table3[[#All],[Key_Year_Week_Brand]],0),MATCH(Table1[[#This Row],[DC_name_Xref]],Table3[#Headers],0)),0)</f>
        <v>0</v>
      </c>
      <c r="O1341" s="19">
        <f>IFERROR(INDEX(Table35[#All],MATCH(Table1[[#This Row],[Key_Year_Week_Brand]],Table35[[#All],[Key_Year_Month_Brand]],0),MATCH(Table1[[#This Row],[DC_name_Xref]],Table35[#Headers],0)),0)</f>
        <v>0</v>
      </c>
    </row>
    <row r="1342" spans="1:15" x14ac:dyDescent="0.3">
      <c r="A1342" s="19" t="e">
        <f>Table1[[#This Row],[Year_Week]]&amp;"-"&amp;Table1[[#This Row],[DC_name_Xref]]</f>
        <v>#N/A</v>
      </c>
      <c r="B1342" s="19" t="str">
        <f>Table1[[#This Row],[Fiscal_Year]]*100+Table1[[#This Row],[Fiscal_Week]] &amp; "-" &amp;Table1[[#This Row],[BRAND]]</f>
        <v>0-</v>
      </c>
      <c r="C1342" s="19" t="str">
        <f>Table1[[#This Row],[Fiscal_Year]]&amp;"-"&amp;Table1[[#This Row],[BRAND]]</f>
        <v>-</v>
      </c>
      <c r="J1342" t="e">
        <f>VLOOKUP(H1342,DC_Xref!A:B,2,FALSE)</f>
        <v>#N/A</v>
      </c>
      <c r="K1342">
        <f t="shared" si="20"/>
        <v>0</v>
      </c>
      <c r="L13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2" s="3">
        <f>IFERROR(INDEX(Table3[#All],MATCH(Table1[[#This Row],[Key_Year_Week_Brand]],Table3[[#All],[Key_Year_Week_Brand]],0),MATCH(Table1[[#This Row],[DC_name_Xref]],Table3[#Headers],0)),0)</f>
        <v>0</v>
      </c>
      <c r="O1342" s="19">
        <f>IFERROR(INDEX(Table35[#All],MATCH(Table1[[#This Row],[Key_Year_Week_Brand]],Table35[[#All],[Key_Year_Month_Brand]],0),MATCH(Table1[[#This Row],[DC_name_Xref]],Table35[#Headers],0)),0)</f>
        <v>0</v>
      </c>
    </row>
    <row r="1343" spans="1:15" x14ac:dyDescent="0.3">
      <c r="A1343" s="19" t="e">
        <f>Table1[[#This Row],[Year_Week]]&amp;"-"&amp;Table1[[#This Row],[DC_name_Xref]]</f>
        <v>#N/A</v>
      </c>
      <c r="B1343" s="19" t="str">
        <f>Table1[[#This Row],[Fiscal_Year]]*100+Table1[[#This Row],[Fiscal_Week]] &amp; "-" &amp;Table1[[#This Row],[BRAND]]</f>
        <v>0-</v>
      </c>
      <c r="C1343" s="19" t="str">
        <f>Table1[[#This Row],[Fiscal_Year]]&amp;"-"&amp;Table1[[#This Row],[BRAND]]</f>
        <v>-</v>
      </c>
      <c r="J1343" t="e">
        <f>VLOOKUP(H1343,DC_Xref!A:B,2,FALSE)</f>
        <v>#N/A</v>
      </c>
      <c r="K1343">
        <f t="shared" si="20"/>
        <v>0</v>
      </c>
      <c r="L13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3" s="3">
        <f>IFERROR(INDEX(Table3[#All],MATCH(Table1[[#This Row],[Key_Year_Week_Brand]],Table3[[#All],[Key_Year_Week_Brand]],0),MATCH(Table1[[#This Row],[DC_name_Xref]],Table3[#Headers],0)),0)</f>
        <v>0</v>
      </c>
      <c r="O1343" s="19">
        <f>IFERROR(INDEX(Table35[#All],MATCH(Table1[[#This Row],[Key_Year_Week_Brand]],Table35[[#All],[Key_Year_Month_Brand]],0),MATCH(Table1[[#This Row],[DC_name_Xref]],Table35[#Headers],0)),0)</f>
        <v>0</v>
      </c>
    </row>
    <row r="1344" spans="1:15" x14ac:dyDescent="0.3">
      <c r="A1344" s="19" t="e">
        <f>Table1[[#This Row],[Year_Week]]&amp;"-"&amp;Table1[[#This Row],[DC_name_Xref]]</f>
        <v>#N/A</v>
      </c>
      <c r="B1344" s="19" t="str">
        <f>Table1[[#This Row],[Fiscal_Year]]*100+Table1[[#This Row],[Fiscal_Week]] &amp; "-" &amp;Table1[[#This Row],[BRAND]]</f>
        <v>0-</v>
      </c>
      <c r="C1344" s="19" t="str">
        <f>Table1[[#This Row],[Fiscal_Year]]&amp;"-"&amp;Table1[[#This Row],[BRAND]]</f>
        <v>-</v>
      </c>
      <c r="J1344" t="e">
        <f>VLOOKUP(H1344,DC_Xref!A:B,2,FALSE)</f>
        <v>#N/A</v>
      </c>
      <c r="K1344">
        <f t="shared" si="20"/>
        <v>0</v>
      </c>
      <c r="L13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4" s="3">
        <f>IFERROR(INDEX(Table3[#All],MATCH(Table1[[#This Row],[Key_Year_Week_Brand]],Table3[[#All],[Key_Year_Week_Brand]],0),MATCH(Table1[[#This Row],[DC_name_Xref]],Table3[#Headers],0)),0)</f>
        <v>0</v>
      </c>
      <c r="O1344" s="19">
        <f>IFERROR(INDEX(Table35[#All],MATCH(Table1[[#This Row],[Key_Year_Week_Brand]],Table35[[#All],[Key_Year_Month_Brand]],0),MATCH(Table1[[#This Row],[DC_name_Xref]],Table35[#Headers],0)),0)</f>
        <v>0</v>
      </c>
    </row>
    <row r="1345" spans="1:15" x14ac:dyDescent="0.3">
      <c r="A1345" s="19" t="e">
        <f>Table1[[#This Row],[Year_Week]]&amp;"-"&amp;Table1[[#This Row],[DC_name_Xref]]</f>
        <v>#N/A</v>
      </c>
      <c r="B1345" s="19" t="str">
        <f>Table1[[#This Row],[Fiscal_Year]]*100+Table1[[#This Row],[Fiscal_Week]] &amp; "-" &amp;Table1[[#This Row],[BRAND]]</f>
        <v>0-</v>
      </c>
      <c r="C1345" s="19" t="str">
        <f>Table1[[#This Row],[Fiscal_Year]]&amp;"-"&amp;Table1[[#This Row],[BRAND]]</f>
        <v>-</v>
      </c>
      <c r="J1345" t="e">
        <f>VLOOKUP(H1345,DC_Xref!A:B,2,FALSE)</f>
        <v>#N/A</v>
      </c>
      <c r="K1345">
        <f t="shared" si="20"/>
        <v>0</v>
      </c>
      <c r="L13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5" s="3">
        <f>IFERROR(INDEX(Table3[#All],MATCH(Table1[[#This Row],[Key_Year_Week_Brand]],Table3[[#All],[Key_Year_Week_Brand]],0),MATCH(Table1[[#This Row],[DC_name_Xref]],Table3[#Headers],0)),0)</f>
        <v>0</v>
      </c>
      <c r="O1345" s="19">
        <f>IFERROR(INDEX(Table35[#All],MATCH(Table1[[#This Row],[Key_Year_Week_Brand]],Table35[[#All],[Key_Year_Month_Brand]],0),MATCH(Table1[[#This Row],[DC_name_Xref]],Table35[#Headers],0)),0)</f>
        <v>0</v>
      </c>
    </row>
    <row r="1346" spans="1:15" x14ac:dyDescent="0.3">
      <c r="A1346" s="19" t="e">
        <f>Table1[[#This Row],[Year_Week]]&amp;"-"&amp;Table1[[#This Row],[DC_name_Xref]]</f>
        <v>#N/A</v>
      </c>
      <c r="B1346" s="19" t="str">
        <f>Table1[[#This Row],[Fiscal_Year]]*100+Table1[[#This Row],[Fiscal_Week]] &amp; "-" &amp;Table1[[#This Row],[BRAND]]</f>
        <v>0-</v>
      </c>
      <c r="C1346" s="19" t="str">
        <f>Table1[[#This Row],[Fiscal_Year]]&amp;"-"&amp;Table1[[#This Row],[BRAND]]</f>
        <v>-</v>
      </c>
      <c r="J1346" t="e">
        <f>VLOOKUP(H1346,DC_Xref!A:B,2,FALSE)</f>
        <v>#N/A</v>
      </c>
      <c r="K1346">
        <f t="shared" si="20"/>
        <v>0</v>
      </c>
      <c r="L13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6" s="3">
        <f>IFERROR(INDEX(Table3[#All],MATCH(Table1[[#This Row],[Key_Year_Week_Brand]],Table3[[#All],[Key_Year_Week_Brand]],0),MATCH(Table1[[#This Row],[DC_name_Xref]],Table3[#Headers],0)),0)</f>
        <v>0</v>
      </c>
      <c r="O1346" s="19">
        <f>IFERROR(INDEX(Table35[#All],MATCH(Table1[[#This Row],[Key_Year_Week_Brand]],Table35[[#All],[Key_Year_Month_Brand]],0),MATCH(Table1[[#This Row],[DC_name_Xref]],Table35[#Headers],0)),0)</f>
        <v>0</v>
      </c>
    </row>
    <row r="1347" spans="1:15" x14ac:dyDescent="0.3">
      <c r="A1347" s="19" t="e">
        <f>Table1[[#This Row],[Year_Week]]&amp;"-"&amp;Table1[[#This Row],[DC_name_Xref]]</f>
        <v>#N/A</v>
      </c>
      <c r="B1347" s="19" t="str">
        <f>Table1[[#This Row],[Fiscal_Year]]*100+Table1[[#This Row],[Fiscal_Week]] &amp; "-" &amp;Table1[[#This Row],[BRAND]]</f>
        <v>0-</v>
      </c>
      <c r="C1347" s="19" t="str">
        <f>Table1[[#This Row],[Fiscal_Year]]&amp;"-"&amp;Table1[[#This Row],[BRAND]]</f>
        <v>-</v>
      </c>
      <c r="J1347" t="e">
        <f>VLOOKUP(H1347,DC_Xref!A:B,2,FALSE)</f>
        <v>#N/A</v>
      </c>
      <c r="K1347">
        <f t="shared" si="20"/>
        <v>0</v>
      </c>
      <c r="L13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7" s="3">
        <f>IFERROR(INDEX(Table3[#All],MATCH(Table1[[#This Row],[Key_Year_Week_Brand]],Table3[[#All],[Key_Year_Week_Brand]],0),MATCH(Table1[[#This Row],[DC_name_Xref]],Table3[#Headers],0)),0)</f>
        <v>0</v>
      </c>
      <c r="O1347" s="19">
        <f>IFERROR(INDEX(Table35[#All],MATCH(Table1[[#This Row],[Key_Year_Week_Brand]],Table35[[#All],[Key_Year_Month_Brand]],0),MATCH(Table1[[#This Row],[DC_name_Xref]],Table35[#Headers],0)),0)</f>
        <v>0</v>
      </c>
    </row>
    <row r="1348" spans="1:15" x14ac:dyDescent="0.3">
      <c r="A1348" s="19" t="e">
        <f>Table1[[#This Row],[Year_Week]]&amp;"-"&amp;Table1[[#This Row],[DC_name_Xref]]</f>
        <v>#N/A</v>
      </c>
      <c r="B1348" s="19" t="str">
        <f>Table1[[#This Row],[Fiscal_Year]]*100+Table1[[#This Row],[Fiscal_Week]] &amp; "-" &amp;Table1[[#This Row],[BRAND]]</f>
        <v>0-</v>
      </c>
      <c r="C1348" s="19" t="str">
        <f>Table1[[#This Row],[Fiscal_Year]]&amp;"-"&amp;Table1[[#This Row],[BRAND]]</f>
        <v>-</v>
      </c>
      <c r="J1348" t="e">
        <f>VLOOKUP(H1348,DC_Xref!A:B,2,FALSE)</f>
        <v>#N/A</v>
      </c>
      <c r="K1348">
        <f t="shared" si="20"/>
        <v>0</v>
      </c>
      <c r="L13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8" s="3">
        <f>IFERROR(INDEX(Table3[#All],MATCH(Table1[[#This Row],[Key_Year_Week_Brand]],Table3[[#All],[Key_Year_Week_Brand]],0),MATCH(Table1[[#This Row],[DC_name_Xref]],Table3[#Headers],0)),0)</f>
        <v>0</v>
      </c>
      <c r="O1348" s="19">
        <f>IFERROR(INDEX(Table35[#All],MATCH(Table1[[#This Row],[Key_Year_Week_Brand]],Table35[[#All],[Key_Year_Month_Brand]],0),MATCH(Table1[[#This Row],[DC_name_Xref]],Table35[#Headers],0)),0)</f>
        <v>0</v>
      </c>
    </row>
    <row r="1349" spans="1:15" x14ac:dyDescent="0.3">
      <c r="A1349" s="19" t="e">
        <f>Table1[[#This Row],[Year_Week]]&amp;"-"&amp;Table1[[#This Row],[DC_name_Xref]]</f>
        <v>#N/A</v>
      </c>
      <c r="B1349" s="19" t="str">
        <f>Table1[[#This Row],[Fiscal_Year]]*100+Table1[[#This Row],[Fiscal_Week]] &amp; "-" &amp;Table1[[#This Row],[BRAND]]</f>
        <v>0-</v>
      </c>
      <c r="C1349" s="19" t="str">
        <f>Table1[[#This Row],[Fiscal_Year]]&amp;"-"&amp;Table1[[#This Row],[BRAND]]</f>
        <v>-</v>
      </c>
      <c r="J1349" t="e">
        <f>VLOOKUP(H1349,DC_Xref!A:B,2,FALSE)</f>
        <v>#N/A</v>
      </c>
      <c r="K1349">
        <f t="shared" si="20"/>
        <v>0</v>
      </c>
      <c r="L13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49" s="3">
        <f>IFERROR(INDEX(Table3[#All],MATCH(Table1[[#This Row],[Key_Year_Week_Brand]],Table3[[#All],[Key_Year_Week_Brand]],0),MATCH(Table1[[#This Row],[DC_name_Xref]],Table3[#Headers],0)),0)</f>
        <v>0</v>
      </c>
      <c r="O1349" s="19">
        <f>IFERROR(INDEX(Table35[#All],MATCH(Table1[[#This Row],[Key_Year_Week_Brand]],Table35[[#All],[Key_Year_Month_Brand]],0),MATCH(Table1[[#This Row],[DC_name_Xref]],Table35[#Headers],0)),0)</f>
        <v>0</v>
      </c>
    </row>
    <row r="1350" spans="1:15" x14ac:dyDescent="0.3">
      <c r="A1350" s="19" t="e">
        <f>Table1[[#This Row],[Year_Week]]&amp;"-"&amp;Table1[[#This Row],[DC_name_Xref]]</f>
        <v>#N/A</v>
      </c>
      <c r="B1350" s="19" t="str">
        <f>Table1[[#This Row],[Fiscal_Year]]*100+Table1[[#This Row],[Fiscal_Week]] &amp; "-" &amp;Table1[[#This Row],[BRAND]]</f>
        <v>0-</v>
      </c>
      <c r="C1350" s="19" t="str">
        <f>Table1[[#This Row],[Fiscal_Year]]&amp;"-"&amp;Table1[[#This Row],[BRAND]]</f>
        <v>-</v>
      </c>
      <c r="J1350" t="e">
        <f>VLOOKUP(H1350,DC_Xref!A:B,2,FALSE)</f>
        <v>#N/A</v>
      </c>
      <c r="K1350">
        <f t="shared" ref="K1350:K1413" si="21">D1350*100+E1350</f>
        <v>0</v>
      </c>
      <c r="L13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0" s="3">
        <f>IFERROR(INDEX(Table3[#All],MATCH(Table1[[#This Row],[Key_Year_Week_Brand]],Table3[[#All],[Key_Year_Week_Brand]],0),MATCH(Table1[[#This Row],[DC_name_Xref]],Table3[#Headers],0)),0)</f>
        <v>0</v>
      </c>
      <c r="O1350" s="19">
        <f>IFERROR(INDEX(Table35[#All],MATCH(Table1[[#This Row],[Key_Year_Week_Brand]],Table35[[#All],[Key_Year_Month_Brand]],0),MATCH(Table1[[#This Row],[DC_name_Xref]],Table35[#Headers],0)),0)</f>
        <v>0</v>
      </c>
    </row>
    <row r="1351" spans="1:15" x14ac:dyDescent="0.3">
      <c r="A1351" s="19" t="e">
        <f>Table1[[#This Row],[Year_Week]]&amp;"-"&amp;Table1[[#This Row],[DC_name_Xref]]</f>
        <v>#N/A</v>
      </c>
      <c r="B1351" s="19" t="str">
        <f>Table1[[#This Row],[Fiscal_Year]]*100+Table1[[#This Row],[Fiscal_Week]] &amp; "-" &amp;Table1[[#This Row],[BRAND]]</f>
        <v>0-</v>
      </c>
      <c r="C1351" s="19" t="str">
        <f>Table1[[#This Row],[Fiscal_Year]]&amp;"-"&amp;Table1[[#This Row],[BRAND]]</f>
        <v>-</v>
      </c>
      <c r="J1351" t="e">
        <f>VLOOKUP(H1351,DC_Xref!A:B,2,FALSE)</f>
        <v>#N/A</v>
      </c>
      <c r="K1351">
        <f t="shared" si="21"/>
        <v>0</v>
      </c>
      <c r="L13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1" s="3">
        <f>IFERROR(INDEX(Table3[#All],MATCH(Table1[[#This Row],[Key_Year_Week_Brand]],Table3[[#All],[Key_Year_Week_Brand]],0),MATCH(Table1[[#This Row],[DC_name_Xref]],Table3[#Headers],0)),0)</f>
        <v>0</v>
      </c>
      <c r="O1351" s="19">
        <f>IFERROR(INDEX(Table35[#All],MATCH(Table1[[#This Row],[Key_Year_Week_Brand]],Table35[[#All],[Key_Year_Month_Brand]],0),MATCH(Table1[[#This Row],[DC_name_Xref]],Table35[#Headers],0)),0)</f>
        <v>0</v>
      </c>
    </row>
    <row r="1352" spans="1:15" x14ac:dyDescent="0.3">
      <c r="A1352" s="19" t="e">
        <f>Table1[[#This Row],[Year_Week]]&amp;"-"&amp;Table1[[#This Row],[DC_name_Xref]]</f>
        <v>#N/A</v>
      </c>
      <c r="B1352" s="19" t="str">
        <f>Table1[[#This Row],[Fiscal_Year]]*100+Table1[[#This Row],[Fiscal_Week]] &amp; "-" &amp;Table1[[#This Row],[BRAND]]</f>
        <v>0-</v>
      </c>
      <c r="C1352" s="19" t="str">
        <f>Table1[[#This Row],[Fiscal_Year]]&amp;"-"&amp;Table1[[#This Row],[BRAND]]</f>
        <v>-</v>
      </c>
      <c r="J1352" t="e">
        <f>VLOOKUP(H1352,DC_Xref!A:B,2,FALSE)</f>
        <v>#N/A</v>
      </c>
      <c r="K1352">
        <f t="shared" si="21"/>
        <v>0</v>
      </c>
      <c r="L13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2" s="3">
        <f>IFERROR(INDEX(Table3[#All],MATCH(Table1[[#This Row],[Key_Year_Week_Brand]],Table3[[#All],[Key_Year_Week_Brand]],0),MATCH(Table1[[#This Row],[DC_name_Xref]],Table3[#Headers],0)),0)</f>
        <v>0</v>
      </c>
      <c r="O1352" s="19">
        <f>IFERROR(INDEX(Table35[#All],MATCH(Table1[[#This Row],[Key_Year_Week_Brand]],Table35[[#All],[Key_Year_Month_Brand]],0),MATCH(Table1[[#This Row],[DC_name_Xref]],Table35[#Headers],0)),0)</f>
        <v>0</v>
      </c>
    </row>
    <row r="1353" spans="1:15" x14ac:dyDescent="0.3">
      <c r="A1353" s="19" t="e">
        <f>Table1[[#This Row],[Year_Week]]&amp;"-"&amp;Table1[[#This Row],[DC_name_Xref]]</f>
        <v>#N/A</v>
      </c>
      <c r="B1353" s="19" t="str">
        <f>Table1[[#This Row],[Fiscal_Year]]*100+Table1[[#This Row],[Fiscal_Week]] &amp; "-" &amp;Table1[[#This Row],[BRAND]]</f>
        <v>0-</v>
      </c>
      <c r="C1353" s="19" t="str">
        <f>Table1[[#This Row],[Fiscal_Year]]&amp;"-"&amp;Table1[[#This Row],[BRAND]]</f>
        <v>-</v>
      </c>
      <c r="J1353" t="e">
        <f>VLOOKUP(H1353,DC_Xref!A:B,2,FALSE)</f>
        <v>#N/A</v>
      </c>
      <c r="K1353">
        <f t="shared" si="21"/>
        <v>0</v>
      </c>
      <c r="L13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3" s="3">
        <f>IFERROR(INDEX(Table3[#All],MATCH(Table1[[#This Row],[Key_Year_Week_Brand]],Table3[[#All],[Key_Year_Week_Brand]],0),MATCH(Table1[[#This Row],[DC_name_Xref]],Table3[#Headers],0)),0)</f>
        <v>0</v>
      </c>
      <c r="O1353" s="19">
        <f>IFERROR(INDEX(Table35[#All],MATCH(Table1[[#This Row],[Key_Year_Week_Brand]],Table35[[#All],[Key_Year_Month_Brand]],0),MATCH(Table1[[#This Row],[DC_name_Xref]],Table35[#Headers],0)),0)</f>
        <v>0</v>
      </c>
    </row>
    <row r="1354" spans="1:15" x14ac:dyDescent="0.3">
      <c r="A1354" s="19" t="e">
        <f>Table1[[#This Row],[Year_Week]]&amp;"-"&amp;Table1[[#This Row],[DC_name_Xref]]</f>
        <v>#N/A</v>
      </c>
      <c r="B1354" s="19" t="str">
        <f>Table1[[#This Row],[Fiscal_Year]]*100+Table1[[#This Row],[Fiscal_Week]] &amp; "-" &amp;Table1[[#This Row],[BRAND]]</f>
        <v>0-</v>
      </c>
      <c r="C1354" s="19" t="str">
        <f>Table1[[#This Row],[Fiscal_Year]]&amp;"-"&amp;Table1[[#This Row],[BRAND]]</f>
        <v>-</v>
      </c>
      <c r="J1354" t="e">
        <f>VLOOKUP(H1354,DC_Xref!A:B,2,FALSE)</f>
        <v>#N/A</v>
      </c>
      <c r="K1354">
        <f t="shared" si="21"/>
        <v>0</v>
      </c>
      <c r="L13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4" s="3">
        <f>IFERROR(INDEX(Table3[#All],MATCH(Table1[[#This Row],[Key_Year_Week_Brand]],Table3[[#All],[Key_Year_Week_Brand]],0),MATCH(Table1[[#This Row],[DC_name_Xref]],Table3[#Headers],0)),0)</f>
        <v>0</v>
      </c>
      <c r="O1354" s="19">
        <f>IFERROR(INDEX(Table35[#All],MATCH(Table1[[#This Row],[Key_Year_Week_Brand]],Table35[[#All],[Key_Year_Month_Brand]],0),MATCH(Table1[[#This Row],[DC_name_Xref]],Table35[#Headers],0)),0)</f>
        <v>0</v>
      </c>
    </row>
    <row r="1355" spans="1:15" x14ac:dyDescent="0.3">
      <c r="A1355" s="19" t="e">
        <f>Table1[[#This Row],[Year_Week]]&amp;"-"&amp;Table1[[#This Row],[DC_name_Xref]]</f>
        <v>#N/A</v>
      </c>
      <c r="B1355" s="19" t="str">
        <f>Table1[[#This Row],[Fiscal_Year]]*100+Table1[[#This Row],[Fiscal_Week]] &amp; "-" &amp;Table1[[#This Row],[BRAND]]</f>
        <v>0-</v>
      </c>
      <c r="C1355" s="19" t="str">
        <f>Table1[[#This Row],[Fiscal_Year]]&amp;"-"&amp;Table1[[#This Row],[BRAND]]</f>
        <v>-</v>
      </c>
      <c r="J1355" t="e">
        <f>VLOOKUP(H1355,DC_Xref!A:B,2,FALSE)</f>
        <v>#N/A</v>
      </c>
      <c r="K1355">
        <f t="shared" si="21"/>
        <v>0</v>
      </c>
      <c r="L13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5" s="3">
        <f>IFERROR(INDEX(Table3[#All],MATCH(Table1[[#This Row],[Key_Year_Week_Brand]],Table3[[#All],[Key_Year_Week_Brand]],0),MATCH(Table1[[#This Row],[DC_name_Xref]],Table3[#Headers],0)),0)</f>
        <v>0</v>
      </c>
      <c r="O1355" s="19">
        <f>IFERROR(INDEX(Table35[#All],MATCH(Table1[[#This Row],[Key_Year_Week_Brand]],Table35[[#All],[Key_Year_Month_Brand]],0),MATCH(Table1[[#This Row],[DC_name_Xref]],Table35[#Headers],0)),0)</f>
        <v>0</v>
      </c>
    </row>
    <row r="1356" spans="1:15" x14ac:dyDescent="0.3">
      <c r="A1356" s="19" t="e">
        <f>Table1[[#This Row],[Year_Week]]&amp;"-"&amp;Table1[[#This Row],[DC_name_Xref]]</f>
        <v>#N/A</v>
      </c>
      <c r="B1356" s="19" t="str">
        <f>Table1[[#This Row],[Fiscal_Year]]*100+Table1[[#This Row],[Fiscal_Week]] &amp; "-" &amp;Table1[[#This Row],[BRAND]]</f>
        <v>0-</v>
      </c>
      <c r="C1356" s="19" t="str">
        <f>Table1[[#This Row],[Fiscal_Year]]&amp;"-"&amp;Table1[[#This Row],[BRAND]]</f>
        <v>-</v>
      </c>
      <c r="J1356" t="e">
        <f>VLOOKUP(H1356,DC_Xref!A:B,2,FALSE)</f>
        <v>#N/A</v>
      </c>
      <c r="K1356">
        <f t="shared" si="21"/>
        <v>0</v>
      </c>
      <c r="L13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6" s="3">
        <f>IFERROR(INDEX(Table3[#All],MATCH(Table1[[#This Row],[Key_Year_Week_Brand]],Table3[[#All],[Key_Year_Week_Brand]],0),MATCH(Table1[[#This Row],[DC_name_Xref]],Table3[#Headers],0)),0)</f>
        <v>0</v>
      </c>
      <c r="O1356" s="19">
        <f>IFERROR(INDEX(Table35[#All],MATCH(Table1[[#This Row],[Key_Year_Week_Brand]],Table35[[#All],[Key_Year_Month_Brand]],0),MATCH(Table1[[#This Row],[DC_name_Xref]],Table35[#Headers],0)),0)</f>
        <v>0</v>
      </c>
    </row>
    <row r="1357" spans="1:15" x14ac:dyDescent="0.3">
      <c r="A1357" s="19" t="e">
        <f>Table1[[#This Row],[Year_Week]]&amp;"-"&amp;Table1[[#This Row],[DC_name_Xref]]</f>
        <v>#N/A</v>
      </c>
      <c r="B1357" s="19" t="str">
        <f>Table1[[#This Row],[Fiscal_Year]]*100+Table1[[#This Row],[Fiscal_Week]] &amp; "-" &amp;Table1[[#This Row],[BRAND]]</f>
        <v>0-</v>
      </c>
      <c r="C1357" s="19" t="str">
        <f>Table1[[#This Row],[Fiscal_Year]]&amp;"-"&amp;Table1[[#This Row],[BRAND]]</f>
        <v>-</v>
      </c>
      <c r="J1357" t="e">
        <f>VLOOKUP(H1357,DC_Xref!A:B,2,FALSE)</f>
        <v>#N/A</v>
      </c>
      <c r="K1357">
        <f t="shared" si="21"/>
        <v>0</v>
      </c>
      <c r="L13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7" s="3">
        <f>IFERROR(INDEX(Table3[#All],MATCH(Table1[[#This Row],[Key_Year_Week_Brand]],Table3[[#All],[Key_Year_Week_Brand]],0),MATCH(Table1[[#This Row],[DC_name_Xref]],Table3[#Headers],0)),0)</f>
        <v>0</v>
      </c>
      <c r="O1357" s="19">
        <f>IFERROR(INDEX(Table35[#All],MATCH(Table1[[#This Row],[Key_Year_Week_Brand]],Table35[[#All],[Key_Year_Month_Brand]],0),MATCH(Table1[[#This Row],[DC_name_Xref]],Table35[#Headers],0)),0)</f>
        <v>0</v>
      </c>
    </row>
    <row r="1358" spans="1:15" x14ac:dyDescent="0.3">
      <c r="A1358" s="19" t="e">
        <f>Table1[[#This Row],[Year_Week]]&amp;"-"&amp;Table1[[#This Row],[DC_name_Xref]]</f>
        <v>#N/A</v>
      </c>
      <c r="B1358" s="19" t="str">
        <f>Table1[[#This Row],[Fiscal_Year]]*100+Table1[[#This Row],[Fiscal_Week]] &amp; "-" &amp;Table1[[#This Row],[BRAND]]</f>
        <v>0-</v>
      </c>
      <c r="C1358" s="19" t="str">
        <f>Table1[[#This Row],[Fiscal_Year]]&amp;"-"&amp;Table1[[#This Row],[BRAND]]</f>
        <v>-</v>
      </c>
      <c r="J1358" t="e">
        <f>VLOOKUP(H1358,DC_Xref!A:B,2,FALSE)</f>
        <v>#N/A</v>
      </c>
      <c r="K1358">
        <f t="shared" si="21"/>
        <v>0</v>
      </c>
      <c r="L13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8" s="3">
        <f>IFERROR(INDEX(Table3[#All],MATCH(Table1[[#This Row],[Key_Year_Week_Brand]],Table3[[#All],[Key_Year_Week_Brand]],0),MATCH(Table1[[#This Row],[DC_name_Xref]],Table3[#Headers],0)),0)</f>
        <v>0</v>
      </c>
      <c r="O1358" s="19">
        <f>IFERROR(INDEX(Table35[#All],MATCH(Table1[[#This Row],[Key_Year_Week_Brand]],Table35[[#All],[Key_Year_Month_Brand]],0),MATCH(Table1[[#This Row],[DC_name_Xref]],Table35[#Headers],0)),0)</f>
        <v>0</v>
      </c>
    </row>
    <row r="1359" spans="1:15" x14ac:dyDescent="0.3">
      <c r="A1359" s="19" t="e">
        <f>Table1[[#This Row],[Year_Week]]&amp;"-"&amp;Table1[[#This Row],[DC_name_Xref]]</f>
        <v>#N/A</v>
      </c>
      <c r="B1359" s="19" t="str">
        <f>Table1[[#This Row],[Fiscal_Year]]*100+Table1[[#This Row],[Fiscal_Week]] &amp; "-" &amp;Table1[[#This Row],[BRAND]]</f>
        <v>0-</v>
      </c>
      <c r="C1359" s="19" t="str">
        <f>Table1[[#This Row],[Fiscal_Year]]&amp;"-"&amp;Table1[[#This Row],[BRAND]]</f>
        <v>-</v>
      </c>
      <c r="J1359" t="e">
        <f>VLOOKUP(H1359,DC_Xref!A:B,2,FALSE)</f>
        <v>#N/A</v>
      </c>
      <c r="K1359">
        <f t="shared" si="21"/>
        <v>0</v>
      </c>
      <c r="L13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59" s="3">
        <f>IFERROR(INDEX(Table3[#All],MATCH(Table1[[#This Row],[Key_Year_Week_Brand]],Table3[[#All],[Key_Year_Week_Brand]],0),MATCH(Table1[[#This Row],[DC_name_Xref]],Table3[#Headers],0)),0)</f>
        <v>0</v>
      </c>
      <c r="O1359" s="19">
        <f>IFERROR(INDEX(Table35[#All],MATCH(Table1[[#This Row],[Key_Year_Week_Brand]],Table35[[#All],[Key_Year_Month_Brand]],0),MATCH(Table1[[#This Row],[DC_name_Xref]],Table35[#Headers],0)),0)</f>
        <v>0</v>
      </c>
    </row>
    <row r="1360" spans="1:15" x14ac:dyDescent="0.3">
      <c r="A1360" s="19" t="e">
        <f>Table1[[#This Row],[Year_Week]]&amp;"-"&amp;Table1[[#This Row],[DC_name_Xref]]</f>
        <v>#N/A</v>
      </c>
      <c r="B1360" s="19" t="str">
        <f>Table1[[#This Row],[Fiscal_Year]]*100+Table1[[#This Row],[Fiscal_Week]] &amp; "-" &amp;Table1[[#This Row],[BRAND]]</f>
        <v>0-</v>
      </c>
      <c r="C1360" s="19" t="str">
        <f>Table1[[#This Row],[Fiscal_Year]]&amp;"-"&amp;Table1[[#This Row],[BRAND]]</f>
        <v>-</v>
      </c>
      <c r="J1360" t="e">
        <f>VLOOKUP(H1360,DC_Xref!A:B,2,FALSE)</f>
        <v>#N/A</v>
      </c>
      <c r="K1360">
        <f t="shared" si="21"/>
        <v>0</v>
      </c>
      <c r="L13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0" s="3">
        <f>IFERROR(INDEX(Table3[#All],MATCH(Table1[[#This Row],[Key_Year_Week_Brand]],Table3[[#All],[Key_Year_Week_Brand]],0),MATCH(Table1[[#This Row],[DC_name_Xref]],Table3[#Headers],0)),0)</f>
        <v>0</v>
      </c>
      <c r="O1360" s="19">
        <f>IFERROR(INDEX(Table35[#All],MATCH(Table1[[#This Row],[Key_Year_Week_Brand]],Table35[[#All],[Key_Year_Month_Brand]],0),MATCH(Table1[[#This Row],[DC_name_Xref]],Table35[#Headers],0)),0)</f>
        <v>0</v>
      </c>
    </row>
    <row r="1361" spans="1:15" x14ac:dyDescent="0.3">
      <c r="A1361" s="19" t="e">
        <f>Table1[[#This Row],[Year_Week]]&amp;"-"&amp;Table1[[#This Row],[DC_name_Xref]]</f>
        <v>#N/A</v>
      </c>
      <c r="B1361" s="19" t="str">
        <f>Table1[[#This Row],[Fiscal_Year]]*100+Table1[[#This Row],[Fiscal_Week]] &amp; "-" &amp;Table1[[#This Row],[BRAND]]</f>
        <v>0-</v>
      </c>
      <c r="C1361" s="19" t="str">
        <f>Table1[[#This Row],[Fiscal_Year]]&amp;"-"&amp;Table1[[#This Row],[BRAND]]</f>
        <v>-</v>
      </c>
      <c r="J1361" t="e">
        <f>VLOOKUP(H1361,DC_Xref!A:B,2,FALSE)</f>
        <v>#N/A</v>
      </c>
      <c r="K1361">
        <f t="shared" si="21"/>
        <v>0</v>
      </c>
      <c r="L13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1" s="3">
        <f>IFERROR(INDEX(Table3[#All],MATCH(Table1[[#This Row],[Key_Year_Week_Brand]],Table3[[#All],[Key_Year_Week_Brand]],0),MATCH(Table1[[#This Row],[DC_name_Xref]],Table3[#Headers],0)),0)</f>
        <v>0</v>
      </c>
      <c r="O1361" s="19">
        <f>IFERROR(INDEX(Table35[#All],MATCH(Table1[[#This Row],[Key_Year_Week_Brand]],Table35[[#All],[Key_Year_Month_Brand]],0),MATCH(Table1[[#This Row],[DC_name_Xref]],Table35[#Headers],0)),0)</f>
        <v>0</v>
      </c>
    </row>
    <row r="1362" spans="1:15" x14ac:dyDescent="0.3">
      <c r="A1362" s="19" t="e">
        <f>Table1[[#This Row],[Year_Week]]&amp;"-"&amp;Table1[[#This Row],[DC_name_Xref]]</f>
        <v>#N/A</v>
      </c>
      <c r="B1362" s="19" t="str">
        <f>Table1[[#This Row],[Fiscal_Year]]*100+Table1[[#This Row],[Fiscal_Week]] &amp; "-" &amp;Table1[[#This Row],[BRAND]]</f>
        <v>0-</v>
      </c>
      <c r="C1362" s="19" t="str">
        <f>Table1[[#This Row],[Fiscal_Year]]&amp;"-"&amp;Table1[[#This Row],[BRAND]]</f>
        <v>-</v>
      </c>
      <c r="J1362" t="e">
        <f>VLOOKUP(H1362,DC_Xref!A:B,2,FALSE)</f>
        <v>#N/A</v>
      </c>
      <c r="K1362">
        <f t="shared" si="21"/>
        <v>0</v>
      </c>
      <c r="L13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2" s="3">
        <f>IFERROR(INDEX(Table3[#All],MATCH(Table1[[#This Row],[Key_Year_Week_Brand]],Table3[[#All],[Key_Year_Week_Brand]],0),MATCH(Table1[[#This Row],[DC_name_Xref]],Table3[#Headers],0)),0)</f>
        <v>0</v>
      </c>
      <c r="O1362" s="19">
        <f>IFERROR(INDEX(Table35[#All],MATCH(Table1[[#This Row],[Key_Year_Week_Brand]],Table35[[#All],[Key_Year_Month_Brand]],0),MATCH(Table1[[#This Row],[DC_name_Xref]],Table35[#Headers],0)),0)</f>
        <v>0</v>
      </c>
    </row>
    <row r="1363" spans="1:15" x14ac:dyDescent="0.3">
      <c r="A1363" s="19" t="e">
        <f>Table1[[#This Row],[Year_Week]]&amp;"-"&amp;Table1[[#This Row],[DC_name_Xref]]</f>
        <v>#N/A</v>
      </c>
      <c r="B1363" s="19" t="str">
        <f>Table1[[#This Row],[Fiscal_Year]]*100+Table1[[#This Row],[Fiscal_Week]] &amp; "-" &amp;Table1[[#This Row],[BRAND]]</f>
        <v>0-</v>
      </c>
      <c r="C1363" s="19" t="str">
        <f>Table1[[#This Row],[Fiscal_Year]]&amp;"-"&amp;Table1[[#This Row],[BRAND]]</f>
        <v>-</v>
      </c>
      <c r="J1363" t="e">
        <f>VLOOKUP(H1363,DC_Xref!A:B,2,FALSE)</f>
        <v>#N/A</v>
      </c>
      <c r="K1363">
        <f t="shared" si="21"/>
        <v>0</v>
      </c>
      <c r="L13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3" s="3">
        <f>IFERROR(INDEX(Table3[#All],MATCH(Table1[[#This Row],[Key_Year_Week_Brand]],Table3[[#All],[Key_Year_Week_Brand]],0),MATCH(Table1[[#This Row],[DC_name_Xref]],Table3[#Headers],0)),0)</f>
        <v>0</v>
      </c>
      <c r="O1363" s="19">
        <f>IFERROR(INDEX(Table35[#All],MATCH(Table1[[#This Row],[Key_Year_Week_Brand]],Table35[[#All],[Key_Year_Month_Brand]],0),MATCH(Table1[[#This Row],[DC_name_Xref]],Table35[#Headers],0)),0)</f>
        <v>0</v>
      </c>
    </row>
    <row r="1364" spans="1:15" x14ac:dyDescent="0.3">
      <c r="A1364" s="19" t="e">
        <f>Table1[[#This Row],[Year_Week]]&amp;"-"&amp;Table1[[#This Row],[DC_name_Xref]]</f>
        <v>#N/A</v>
      </c>
      <c r="B1364" s="19" t="str">
        <f>Table1[[#This Row],[Fiscal_Year]]*100+Table1[[#This Row],[Fiscal_Week]] &amp; "-" &amp;Table1[[#This Row],[BRAND]]</f>
        <v>0-</v>
      </c>
      <c r="C1364" s="19" t="str">
        <f>Table1[[#This Row],[Fiscal_Year]]&amp;"-"&amp;Table1[[#This Row],[BRAND]]</f>
        <v>-</v>
      </c>
      <c r="J1364" t="e">
        <f>VLOOKUP(H1364,DC_Xref!A:B,2,FALSE)</f>
        <v>#N/A</v>
      </c>
      <c r="K1364">
        <f t="shared" si="21"/>
        <v>0</v>
      </c>
      <c r="L13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4" s="3">
        <f>IFERROR(INDEX(Table3[#All],MATCH(Table1[[#This Row],[Key_Year_Week_Brand]],Table3[[#All],[Key_Year_Week_Brand]],0),MATCH(Table1[[#This Row],[DC_name_Xref]],Table3[#Headers],0)),0)</f>
        <v>0</v>
      </c>
      <c r="O1364" s="19">
        <f>IFERROR(INDEX(Table35[#All],MATCH(Table1[[#This Row],[Key_Year_Week_Brand]],Table35[[#All],[Key_Year_Month_Brand]],0),MATCH(Table1[[#This Row],[DC_name_Xref]],Table35[#Headers],0)),0)</f>
        <v>0</v>
      </c>
    </row>
    <row r="1365" spans="1:15" x14ac:dyDescent="0.3">
      <c r="A1365" s="19" t="e">
        <f>Table1[[#This Row],[Year_Week]]&amp;"-"&amp;Table1[[#This Row],[DC_name_Xref]]</f>
        <v>#N/A</v>
      </c>
      <c r="B1365" s="19" t="str">
        <f>Table1[[#This Row],[Fiscal_Year]]*100+Table1[[#This Row],[Fiscal_Week]] &amp; "-" &amp;Table1[[#This Row],[BRAND]]</f>
        <v>0-</v>
      </c>
      <c r="C1365" s="19" t="str">
        <f>Table1[[#This Row],[Fiscal_Year]]&amp;"-"&amp;Table1[[#This Row],[BRAND]]</f>
        <v>-</v>
      </c>
      <c r="J1365" t="e">
        <f>VLOOKUP(H1365,DC_Xref!A:B,2,FALSE)</f>
        <v>#N/A</v>
      </c>
      <c r="K1365">
        <f t="shared" si="21"/>
        <v>0</v>
      </c>
      <c r="L13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5" s="3">
        <f>IFERROR(INDEX(Table3[#All],MATCH(Table1[[#This Row],[Key_Year_Week_Brand]],Table3[[#All],[Key_Year_Week_Brand]],0),MATCH(Table1[[#This Row],[DC_name_Xref]],Table3[#Headers],0)),0)</f>
        <v>0</v>
      </c>
      <c r="O1365" s="19">
        <f>IFERROR(INDEX(Table35[#All],MATCH(Table1[[#This Row],[Key_Year_Week_Brand]],Table35[[#All],[Key_Year_Month_Brand]],0),MATCH(Table1[[#This Row],[DC_name_Xref]],Table35[#Headers],0)),0)</f>
        <v>0</v>
      </c>
    </row>
    <row r="1366" spans="1:15" x14ac:dyDescent="0.3">
      <c r="A1366" s="19" t="e">
        <f>Table1[[#This Row],[Year_Week]]&amp;"-"&amp;Table1[[#This Row],[DC_name_Xref]]</f>
        <v>#N/A</v>
      </c>
      <c r="B1366" s="19" t="str">
        <f>Table1[[#This Row],[Fiscal_Year]]*100+Table1[[#This Row],[Fiscal_Week]] &amp; "-" &amp;Table1[[#This Row],[BRAND]]</f>
        <v>0-</v>
      </c>
      <c r="C1366" s="19" t="str">
        <f>Table1[[#This Row],[Fiscal_Year]]&amp;"-"&amp;Table1[[#This Row],[BRAND]]</f>
        <v>-</v>
      </c>
      <c r="J1366" t="e">
        <f>VLOOKUP(H1366,DC_Xref!A:B,2,FALSE)</f>
        <v>#N/A</v>
      </c>
      <c r="K1366">
        <f t="shared" si="21"/>
        <v>0</v>
      </c>
      <c r="L13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6" s="3">
        <f>IFERROR(INDEX(Table3[#All],MATCH(Table1[[#This Row],[Key_Year_Week_Brand]],Table3[[#All],[Key_Year_Week_Brand]],0),MATCH(Table1[[#This Row],[DC_name_Xref]],Table3[#Headers],0)),0)</f>
        <v>0</v>
      </c>
      <c r="O1366" s="19">
        <f>IFERROR(INDEX(Table35[#All],MATCH(Table1[[#This Row],[Key_Year_Week_Brand]],Table35[[#All],[Key_Year_Month_Brand]],0),MATCH(Table1[[#This Row],[DC_name_Xref]],Table35[#Headers],0)),0)</f>
        <v>0</v>
      </c>
    </row>
    <row r="1367" spans="1:15" x14ac:dyDescent="0.3">
      <c r="A1367" s="19" t="e">
        <f>Table1[[#This Row],[Year_Week]]&amp;"-"&amp;Table1[[#This Row],[DC_name_Xref]]</f>
        <v>#N/A</v>
      </c>
      <c r="B1367" s="19" t="str">
        <f>Table1[[#This Row],[Fiscal_Year]]*100+Table1[[#This Row],[Fiscal_Week]] &amp; "-" &amp;Table1[[#This Row],[BRAND]]</f>
        <v>0-</v>
      </c>
      <c r="C1367" s="19" t="str">
        <f>Table1[[#This Row],[Fiscal_Year]]&amp;"-"&amp;Table1[[#This Row],[BRAND]]</f>
        <v>-</v>
      </c>
      <c r="J1367" t="e">
        <f>VLOOKUP(H1367,DC_Xref!A:B,2,FALSE)</f>
        <v>#N/A</v>
      </c>
      <c r="K1367">
        <f t="shared" si="21"/>
        <v>0</v>
      </c>
      <c r="L13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7" s="3">
        <f>IFERROR(INDEX(Table3[#All],MATCH(Table1[[#This Row],[Key_Year_Week_Brand]],Table3[[#All],[Key_Year_Week_Brand]],0),MATCH(Table1[[#This Row],[DC_name_Xref]],Table3[#Headers],0)),0)</f>
        <v>0</v>
      </c>
      <c r="O1367" s="19">
        <f>IFERROR(INDEX(Table35[#All],MATCH(Table1[[#This Row],[Key_Year_Week_Brand]],Table35[[#All],[Key_Year_Month_Brand]],0),MATCH(Table1[[#This Row],[DC_name_Xref]],Table35[#Headers],0)),0)</f>
        <v>0</v>
      </c>
    </row>
    <row r="1368" spans="1:15" x14ac:dyDescent="0.3">
      <c r="A1368" s="19" t="e">
        <f>Table1[[#This Row],[Year_Week]]&amp;"-"&amp;Table1[[#This Row],[DC_name_Xref]]</f>
        <v>#N/A</v>
      </c>
      <c r="B1368" s="19" t="str">
        <f>Table1[[#This Row],[Fiscal_Year]]*100+Table1[[#This Row],[Fiscal_Week]] &amp; "-" &amp;Table1[[#This Row],[BRAND]]</f>
        <v>0-</v>
      </c>
      <c r="C1368" s="19" t="str">
        <f>Table1[[#This Row],[Fiscal_Year]]&amp;"-"&amp;Table1[[#This Row],[BRAND]]</f>
        <v>-</v>
      </c>
      <c r="J1368" t="e">
        <f>VLOOKUP(H1368,DC_Xref!A:B,2,FALSE)</f>
        <v>#N/A</v>
      </c>
      <c r="K1368">
        <f t="shared" si="21"/>
        <v>0</v>
      </c>
      <c r="L13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8" s="3">
        <f>IFERROR(INDEX(Table3[#All],MATCH(Table1[[#This Row],[Key_Year_Week_Brand]],Table3[[#All],[Key_Year_Week_Brand]],0),MATCH(Table1[[#This Row],[DC_name_Xref]],Table3[#Headers],0)),0)</f>
        <v>0</v>
      </c>
      <c r="O1368" s="19">
        <f>IFERROR(INDEX(Table35[#All],MATCH(Table1[[#This Row],[Key_Year_Week_Brand]],Table35[[#All],[Key_Year_Month_Brand]],0),MATCH(Table1[[#This Row],[DC_name_Xref]],Table35[#Headers],0)),0)</f>
        <v>0</v>
      </c>
    </row>
    <row r="1369" spans="1:15" x14ac:dyDescent="0.3">
      <c r="A1369" s="19" t="e">
        <f>Table1[[#This Row],[Year_Week]]&amp;"-"&amp;Table1[[#This Row],[DC_name_Xref]]</f>
        <v>#N/A</v>
      </c>
      <c r="B1369" s="19" t="str">
        <f>Table1[[#This Row],[Fiscal_Year]]*100+Table1[[#This Row],[Fiscal_Week]] &amp; "-" &amp;Table1[[#This Row],[BRAND]]</f>
        <v>0-</v>
      </c>
      <c r="C1369" s="19" t="str">
        <f>Table1[[#This Row],[Fiscal_Year]]&amp;"-"&amp;Table1[[#This Row],[BRAND]]</f>
        <v>-</v>
      </c>
      <c r="J1369" t="e">
        <f>VLOOKUP(H1369,DC_Xref!A:B,2,FALSE)</f>
        <v>#N/A</v>
      </c>
      <c r="K1369">
        <f t="shared" si="21"/>
        <v>0</v>
      </c>
      <c r="L13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69" s="3">
        <f>IFERROR(INDEX(Table3[#All],MATCH(Table1[[#This Row],[Key_Year_Week_Brand]],Table3[[#All],[Key_Year_Week_Brand]],0),MATCH(Table1[[#This Row],[DC_name_Xref]],Table3[#Headers],0)),0)</f>
        <v>0</v>
      </c>
      <c r="O1369" s="19">
        <f>IFERROR(INDEX(Table35[#All],MATCH(Table1[[#This Row],[Key_Year_Week_Brand]],Table35[[#All],[Key_Year_Month_Brand]],0),MATCH(Table1[[#This Row],[DC_name_Xref]],Table35[#Headers],0)),0)</f>
        <v>0</v>
      </c>
    </row>
    <row r="1370" spans="1:15" x14ac:dyDescent="0.3">
      <c r="A1370" s="19" t="e">
        <f>Table1[[#This Row],[Year_Week]]&amp;"-"&amp;Table1[[#This Row],[DC_name_Xref]]</f>
        <v>#N/A</v>
      </c>
      <c r="B1370" s="19" t="str">
        <f>Table1[[#This Row],[Fiscal_Year]]*100+Table1[[#This Row],[Fiscal_Week]] &amp; "-" &amp;Table1[[#This Row],[BRAND]]</f>
        <v>0-</v>
      </c>
      <c r="C1370" s="19" t="str">
        <f>Table1[[#This Row],[Fiscal_Year]]&amp;"-"&amp;Table1[[#This Row],[BRAND]]</f>
        <v>-</v>
      </c>
      <c r="J1370" t="e">
        <f>VLOOKUP(H1370,DC_Xref!A:B,2,FALSE)</f>
        <v>#N/A</v>
      </c>
      <c r="K1370">
        <f t="shared" si="21"/>
        <v>0</v>
      </c>
      <c r="L13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0" s="3">
        <f>IFERROR(INDEX(Table3[#All],MATCH(Table1[[#This Row],[Key_Year_Week_Brand]],Table3[[#All],[Key_Year_Week_Brand]],0),MATCH(Table1[[#This Row],[DC_name_Xref]],Table3[#Headers],0)),0)</f>
        <v>0</v>
      </c>
      <c r="O1370" s="19">
        <f>IFERROR(INDEX(Table35[#All],MATCH(Table1[[#This Row],[Key_Year_Week_Brand]],Table35[[#All],[Key_Year_Month_Brand]],0),MATCH(Table1[[#This Row],[DC_name_Xref]],Table35[#Headers],0)),0)</f>
        <v>0</v>
      </c>
    </row>
    <row r="1371" spans="1:15" x14ac:dyDescent="0.3">
      <c r="A1371" s="19" t="e">
        <f>Table1[[#This Row],[Year_Week]]&amp;"-"&amp;Table1[[#This Row],[DC_name_Xref]]</f>
        <v>#N/A</v>
      </c>
      <c r="B1371" s="19" t="str">
        <f>Table1[[#This Row],[Fiscal_Year]]*100+Table1[[#This Row],[Fiscal_Week]] &amp; "-" &amp;Table1[[#This Row],[BRAND]]</f>
        <v>0-</v>
      </c>
      <c r="C1371" s="19" t="str">
        <f>Table1[[#This Row],[Fiscal_Year]]&amp;"-"&amp;Table1[[#This Row],[BRAND]]</f>
        <v>-</v>
      </c>
      <c r="J1371" t="e">
        <f>VLOOKUP(H1371,DC_Xref!A:B,2,FALSE)</f>
        <v>#N/A</v>
      </c>
      <c r="K1371">
        <f t="shared" si="21"/>
        <v>0</v>
      </c>
      <c r="L13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1" s="3">
        <f>IFERROR(INDEX(Table3[#All],MATCH(Table1[[#This Row],[Key_Year_Week_Brand]],Table3[[#All],[Key_Year_Week_Brand]],0),MATCH(Table1[[#This Row],[DC_name_Xref]],Table3[#Headers],0)),0)</f>
        <v>0</v>
      </c>
      <c r="O1371" s="19">
        <f>IFERROR(INDEX(Table35[#All],MATCH(Table1[[#This Row],[Key_Year_Week_Brand]],Table35[[#All],[Key_Year_Month_Brand]],0),MATCH(Table1[[#This Row],[DC_name_Xref]],Table35[#Headers],0)),0)</f>
        <v>0</v>
      </c>
    </row>
    <row r="1372" spans="1:15" x14ac:dyDescent="0.3">
      <c r="A1372" s="19" t="e">
        <f>Table1[[#This Row],[Year_Week]]&amp;"-"&amp;Table1[[#This Row],[DC_name_Xref]]</f>
        <v>#N/A</v>
      </c>
      <c r="B1372" s="19" t="str">
        <f>Table1[[#This Row],[Fiscal_Year]]*100+Table1[[#This Row],[Fiscal_Week]] &amp; "-" &amp;Table1[[#This Row],[BRAND]]</f>
        <v>0-</v>
      </c>
      <c r="C1372" s="19" t="str">
        <f>Table1[[#This Row],[Fiscal_Year]]&amp;"-"&amp;Table1[[#This Row],[BRAND]]</f>
        <v>-</v>
      </c>
      <c r="J1372" t="e">
        <f>VLOOKUP(H1372,DC_Xref!A:B,2,FALSE)</f>
        <v>#N/A</v>
      </c>
      <c r="K1372">
        <f t="shared" si="21"/>
        <v>0</v>
      </c>
      <c r="L13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2" s="3">
        <f>IFERROR(INDEX(Table3[#All],MATCH(Table1[[#This Row],[Key_Year_Week_Brand]],Table3[[#All],[Key_Year_Week_Brand]],0),MATCH(Table1[[#This Row],[DC_name_Xref]],Table3[#Headers],0)),0)</f>
        <v>0</v>
      </c>
      <c r="O1372" s="19">
        <f>IFERROR(INDEX(Table35[#All],MATCH(Table1[[#This Row],[Key_Year_Week_Brand]],Table35[[#All],[Key_Year_Month_Brand]],0),MATCH(Table1[[#This Row],[DC_name_Xref]],Table35[#Headers],0)),0)</f>
        <v>0</v>
      </c>
    </row>
    <row r="1373" spans="1:15" x14ac:dyDescent="0.3">
      <c r="A1373" s="19" t="e">
        <f>Table1[[#This Row],[Year_Week]]&amp;"-"&amp;Table1[[#This Row],[DC_name_Xref]]</f>
        <v>#N/A</v>
      </c>
      <c r="B1373" s="19" t="str">
        <f>Table1[[#This Row],[Fiscal_Year]]*100+Table1[[#This Row],[Fiscal_Week]] &amp; "-" &amp;Table1[[#This Row],[BRAND]]</f>
        <v>0-</v>
      </c>
      <c r="C1373" s="19" t="str">
        <f>Table1[[#This Row],[Fiscal_Year]]&amp;"-"&amp;Table1[[#This Row],[BRAND]]</f>
        <v>-</v>
      </c>
      <c r="J1373" t="e">
        <f>VLOOKUP(H1373,DC_Xref!A:B,2,FALSE)</f>
        <v>#N/A</v>
      </c>
      <c r="K1373">
        <f t="shared" si="21"/>
        <v>0</v>
      </c>
      <c r="L13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3" s="3">
        <f>IFERROR(INDEX(Table3[#All],MATCH(Table1[[#This Row],[Key_Year_Week_Brand]],Table3[[#All],[Key_Year_Week_Brand]],0),MATCH(Table1[[#This Row],[DC_name_Xref]],Table3[#Headers],0)),0)</f>
        <v>0</v>
      </c>
      <c r="O1373" s="19">
        <f>IFERROR(INDEX(Table35[#All],MATCH(Table1[[#This Row],[Key_Year_Week_Brand]],Table35[[#All],[Key_Year_Month_Brand]],0),MATCH(Table1[[#This Row],[DC_name_Xref]],Table35[#Headers],0)),0)</f>
        <v>0</v>
      </c>
    </row>
    <row r="1374" spans="1:15" x14ac:dyDescent="0.3">
      <c r="A1374" s="19" t="e">
        <f>Table1[[#This Row],[Year_Week]]&amp;"-"&amp;Table1[[#This Row],[DC_name_Xref]]</f>
        <v>#N/A</v>
      </c>
      <c r="B1374" s="19" t="str">
        <f>Table1[[#This Row],[Fiscal_Year]]*100+Table1[[#This Row],[Fiscal_Week]] &amp; "-" &amp;Table1[[#This Row],[BRAND]]</f>
        <v>0-</v>
      </c>
      <c r="C1374" s="19" t="str">
        <f>Table1[[#This Row],[Fiscal_Year]]&amp;"-"&amp;Table1[[#This Row],[BRAND]]</f>
        <v>-</v>
      </c>
      <c r="J1374" t="e">
        <f>VLOOKUP(H1374,DC_Xref!A:B,2,FALSE)</f>
        <v>#N/A</v>
      </c>
      <c r="K1374">
        <f t="shared" si="21"/>
        <v>0</v>
      </c>
      <c r="L13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4" s="3">
        <f>IFERROR(INDEX(Table3[#All],MATCH(Table1[[#This Row],[Key_Year_Week_Brand]],Table3[[#All],[Key_Year_Week_Brand]],0),MATCH(Table1[[#This Row],[DC_name_Xref]],Table3[#Headers],0)),0)</f>
        <v>0</v>
      </c>
      <c r="O1374" s="19">
        <f>IFERROR(INDEX(Table35[#All],MATCH(Table1[[#This Row],[Key_Year_Week_Brand]],Table35[[#All],[Key_Year_Month_Brand]],0),MATCH(Table1[[#This Row],[DC_name_Xref]],Table35[#Headers],0)),0)</f>
        <v>0</v>
      </c>
    </row>
    <row r="1375" spans="1:15" x14ac:dyDescent="0.3">
      <c r="A1375" s="19" t="e">
        <f>Table1[[#This Row],[Year_Week]]&amp;"-"&amp;Table1[[#This Row],[DC_name_Xref]]</f>
        <v>#N/A</v>
      </c>
      <c r="B1375" s="19" t="str">
        <f>Table1[[#This Row],[Fiscal_Year]]*100+Table1[[#This Row],[Fiscal_Week]] &amp; "-" &amp;Table1[[#This Row],[BRAND]]</f>
        <v>0-</v>
      </c>
      <c r="C1375" s="19" t="str">
        <f>Table1[[#This Row],[Fiscal_Year]]&amp;"-"&amp;Table1[[#This Row],[BRAND]]</f>
        <v>-</v>
      </c>
      <c r="J1375" t="e">
        <f>VLOOKUP(H1375,DC_Xref!A:B,2,FALSE)</f>
        <v>#N/A</v>
      </c>
      <c r="K1375">
        <f t="shared" si="21"/>
        <v>0</v>
      </c>
      <c r="L13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5" s="3">
        <f>IFERROR(INDEX(Table3[#All],MATCH(Table1[[#This Row],[Key_Year_Week_Brand]],Table3[[#All],[Key_Year_Week_Brand]],0),MATCH(Table1[[#This Row],[DC_name_Xref]],Table3[#Headers],0)),0)</f>
        <v>0</v>
      </c>
      <c r="O1375" s="19">
        <f>IFERROR(INDEX(Table35[#All],MATCH(Table1[[#This Row],[Key_Year_Week_Brand]],Table35[[#All],[Key_Year_Month_Brand]],0),MATCH(Table1[[#This Row],[DC_name_Xref]],Table35[#Headers],0)),0)</f>
        <v>0</v>
      </c>
    </row>
    <row r="1376" spans="1:15" x14ac:dyDescent="0.3">
      <c r="A1376" s="19" t="e">
        <f>Table1[[#This Row],[Year_Week]]&amp;"-"&amp;Table1[[#This Row],[DC_name_Xref]]</f>
        <v>#N/A</v>
      </c>
      <c r="B1376" s="19" t="str">
        <f>Table1[[#This Row],[Fiscal_Year]]*100+Table1[[#This Row],[Fiscal_Week]] &amp; "-" &amp;Table1[[#This Row],[BRAND]]</f>
        <v>0-</v>
      </c>
      <c r="C1376" s="19" t="str">
        <f>Table1[[#This Row],[Fiscal_Year]]&amp;"-"&amp;Table1[[#This Row],[BRAND]]</f>
        <v>-</v>
      </c>
      <c r="J1376" t="e">
        <f>VLOOKUP(H1376,DC_Xref!A:B,2,FALSE)</f>
        <v>#N/A</v>
      </c>
      <c r="K1376">
        <f t="shared" si="21"/>
        <v>0</v>
      </c>
      <c r="L13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6" s="3">
        <f>IFERROR(INDEX(Table3[#All],MATCH(Table1[[#This Row],[Key_Year_Week_Brand]],Table3[[#All],[Key_Year_Week_Brand]],0),MATCH(Table1[[#This Row],[DC_name_Xref]],Table3[#Headers],0)),0)</f>
        <v>0</v>
      </c>
      <c r="O1376" s="19">
        <f>IFERROR(INDEX(Table35[#All],MATCH(Table1[[#This Row],[Key_Year_Week_Brand]],Table35[[#All],[Key_Year_Month_Brand]],0),MATCH(Table1[[#This Row],[DC_name_Xref]],Table35[#Headers],0)),0)</f>
        <v>0</v>
      </c>
    </row>
    <row r="1377" spans="1:15" x14ac:dyDescent="0.3">
      <c r="A1377" s="19" t="e">
        <f>Table1[[#This Row],[Year_Week]]&amp;"-"&amp;Table1[[#This Row],[DC_name_Xref]]</f>
        <v>#N/A</v>
      </c>
      <c r="B1377" s="19" t="str">
        <f>Table1[[#This Row],[Fiscal_Year]]*100+Table1[[#This Row],[Fiscal_Week]] &amp; "-" &amp;Table1[[#This Row],[BRAND]]</f>
        <v>0-</v>
      </c>
      <c r="C1377" s="19" t="str">
        <f>Table1[[#This Row],[Fiscal_Year]]&amp;"-"&amp;Table1[[#This Row],[BRAND]]</f>
        <v>-</v>
      </c>
      <c r="J1377" t="e">
        <f>VLOOKUP(H1377,DC_Xref!A:B,2,FALSE)</f>
        <v>#N/A</v>
      </c>
      <c r="K1377">
        <f t="shared" si="21"/>
        <v>0</v>
      </c>
      <c r="L13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7" s="3">
        <f>IFERROR(INDEX(Table3[#All],MATCH(Table1[[#This Row],[Key_Year_Week_Brand]],Table3[[#All],[Key_Year_Week_Brand]],0),MATCH(Table1[[#This Row],[DC_name_Xref]],Table3[#Headers],0)),0)</f>
        <v>0</v>
      </c>
      <c r="O1377" s="19">
        <f>IFERROR(INDEX(Table35[#All],MATCH(Table1[[#This Row],[Key_Year_Week_Brand]],Table35[[#All],[Key_Year_Month_Brand]],0),MATCH(Table1[[#This Row],[DC_name_Xref]],Table35[#Headers],0)),0)</f>
        <v>0</v>
      </c>
    </row>
    <row r="1378" spans="1:15" x14ac:dyDescent="0.3">
      <c r="A1378" s="19" t="e">
        <f>Table1[[#This Row],[Year_Week]]&amp;"-"&amp;Table1[[#This Row],[DC_name_Xref]]</f>
        <v>#N/A</v>
      </c>
      <c r="B1378" s="19" t="str">
        <f>Table1[[#This Row],[Fiscal_Year]]*100+Table1[[#This Row],[Fiscal_Week]] &amp; "-" &amp;Table1[[#This Row],[BRAND]]</f>
        <v>0-</v>
      </c>
      <c r="C1378" s="19" t="str">
        <f>Table1[[#This Row],[Fiscal_Year]]&amp;"-"&amp;Table1[[#This Row],[BRAND]]</f>
        <v>-</v>
      </c>
      <c r="J1378" t="e">
        <f>VLOOKUP(H1378,DC_Xref!A:B,2,FALSE)</f>
        <v>#N/A</v>
      </c>
      <c r="K1378">
        <f t="shared" si="21"/>
        <v>0</v>
      </c>
      <c r="L13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8" s="3">
        <f>IFERROR(INDEX(Table3[#All],MATCH(Table1[[#This Row],[Key_Year_Week_Brand]],Table3[[#All],[Key_Year_Week_Brand]],0),MATCH(Table1[[#This Row],[DC_name_Xref]],Table3[#Headers],0)),0)</f>
        <v>0</v>
      </c>
      <c r="O1378" s="19">
        <f>IFERROR(INDEX(Table35[#All],MATCH(Table1[[#This Row],[Key_Year_Week_Brand]],Table35[[#All],[Key_Year_Month_Brand]],0),MATCH(Table1[[#This Row],[DC_name_Xref]],Table35[#Headers],0)),0)</f>
        <v>0</v>
      </c>
    </row>
    <row r="1379" spans="1:15" x14ac:dyDescent="0.3">
      <c r="A1379" s="19" t="e">
        <f>Table1[[#This Row],[Year_Week]]&amp;"-"&amp;Table1[[#This Row],[DC_name_Xref]]</f>
        <v>#N/A</v>
      </c>
      <c r="B1379" s="19" t="str">
        <f>Table1[[#This Row],[Fiscal_Year]]*100+Table1[[#This Row],[Fiscal_Week]] &amp; "-" &amp;Table1[[#This Row],[BRAND]]</f>
        <v>0-</v>
      </c>
      <c r="C1379" s="19" t="str">
        <f>Table1[[#This Row],[Fiscal_Year]]&amp;"-"&amp;Table1[[#This Row],[BRAND]]</f>
        <v>-</v>
      </c>
      <c r="J1379" t="e">
        <f>VLOOKUP(H1379,DC_Xref!A:B,2,FALSE)</f>
        <v>#N/A</v>
      </c>
      <c r="K1379">
        <f t="shared" si="21"/>
        <v>0</v>
      </c>
      <c r="L13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79" s="3">
        <f>IFERROR(INDEX(Table3[#All],MATCH(Table1[[#This Row],[Key_Year_Week_Brand]],Table3[[#All],[Key_Year_Week_Brand]],0),MATCH(Table1[[#This Row],[DC_name_Xref]],Table3[#Headers],0)),0)</f>
        <v>0</v>
      </c>
      <c r="O1379" s="19">
        <f>IFERROR(INDEX(Table35[#All],MATCH(Table1[[#This Row],[Key_Year_Week_Brand]],Table35[[#All],[Key_Year_Month_Brand]],0),MATCH(Table1[[#This Row],[DC_name_Xref]],Table35[#Headers],0)),0)</f>
        <v>0</v>
      </c>
    </row>
    <row r="1380" spans="1:15" x14ac:dyDescent="0.3">
      <c r="A1380" s="19" t="e">
        <f>Table1[[#This Row],[Year_Week]]&amp;"-"&amp;Table1[[#This Row],[DC_name_Xref]]</f>
        <v>#N/A</v>
      </c>
      <c r="B1380" s="19" t="str">
        <f>Table1[[#This Row],[Fiscal_Year]]*100+Table1[[#This Row],[Fiscal_Week]] &amp; "-" &amp;Table1[[#This Row],[BRAND]]</f>
        <v>0-</v>
      </c>
      <c r="C1380" s="19" t="str">
        <f>Table1[[#This Row],[Fiscal_Year]]&amp;"-"&amp;Table1[[#This Row],[BRAND]]</f>
        <v>-</v>
      </c>
      <c r="J1380" t="e">
        <f>VLOOKUP(H1380,DC_Xref!A:B,2,FALSE)</f>
        <v>#N/A</v>
      </c>
      <c r="K1380">
        <f t="shared" si="21"/>
        <v>0</v>
      </c>
      <c r="L13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0" s="3">
        <f>IFERROR(INDEX(Table3[#All],MATCH(Table1[[#This Row],[Key_Year_Week_Brand]],Table3[[#All],[Key_Year_Week_Brand]],0),MATCH(Table1[[#This Row],[DC_name_Xref]],Table3[#Headers],0)),0)</f>
        <v>0</v>
      </c>
      <c r="O1380" s="19">
        <f>IFERROR(INDEX(Table35[#All],MATCH(Table1[[#This Row],[Key_Year_Week_Brand]],Table35[[#All],[Key_Year_Month_Brand]],0),MATCH(Table1[[#This Row],[DC_name_Xref]],Table35[#Headers],0)),0)</f>
        <v>0</v>
      </c>
    </row>
    <row r="1381" spans="1:15" x14ac:dyDescent="0.3">
      <c r="A1381" s="19" t="e">
        <f>Table1[[#This Row],[Year_Week]]&amp;"-"&amp;Table1[[#This Row],[DC_name_Xref]]</f>
        <v>#N/A</v>
      </c>
      <c r="B1381" s="19" t="str">
        <f>Table1[[#This Row],[Fiscal_Year]]*100+Table1[[#This Row],[Fiscal_Week]] &amp; "-" &amp;Table1[[#This Row],[BRAND]]</f>
        <v>0-</v>
      </c>
      <c r="C1381" s="19" t="str">
        <f>Table1[[#This Row],[Fiscal_Year]]&amp;"-"&amp;Table1[[#This Row],[BRAND]]</f>
        <v>-</v>
      </c>
      <c r="J1381" t="e">
        <f>VLOOKUP(H1381,DC_Xref!A:B,2,FALSE)</f>
        <v>#N/A</v>
      </c>
      <c r="K1381">
        <f t="shared" si="21"/>
        <v>0</v>
      </c>
      <c r="L13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1" s="3">
        <f>IFERROR(INDEX(Table3[#All],MATCH(Table1[[#This Row],[Key_Year_Week_Brand]],Table3[[#All],[Key_Year_Week_Brand]],0),MATCH(Table1[[#This Row],[DC_name_Xref]],Table3[#Headers],0)),0)</f>
        <v>0</v>
      </c>
      <c r="O1381" s="19">
        <f>IFERROR(INDEX(Table35[#All],MATCH(Table1[[#This Row],[Key_Year_Week_Brand]],Table35[[#All],[Key_Year_Month_Brand]],0),MATCH(Table1[[#This Row],[DC_name_Xref]],Table35[#Headers],0)),0)</f>
        <v>0</v>
      </c>
    </row>
    <row r="1382" spans="1:15" x14ac:dyDescent="0.3">
      <c r="A1382" s="19" t="e">
        <f>Table1[[#This Row],[Year_Week]]&amp;"-"&amp;Table1[[#This Row],[DC_name_Xref]]</f>
        <v>#N/A</v>
      </c>
      <c r="B1382" s="19" t="str">
        <f>Table1[[#This Row],[Fiscal_Year]]*100+Table1[[#This Row],[Fiscal_Week]] &amp; "-" &amp;Table1[[#This Row],[BRAND]]</f>
        <v>0-</v>
      </c>
      <c r="C1382" s="19" t="str">
        <f>Table1[[#This Row],[Fiscal_Year]]&amp;"-"&amp;Table1[[#This Row],[BRAND]]</f>
        <v>-</v>
      </c>
      <c r="J1382" t="e">
        <f>VLOOKUP(H1382,DC_Xref!A:B,2,FALSE)</f>
        <v>#N/A</v>
      </c>
      <c r="K1382">
        <f t="shared" si="21"/>
        <v>0</v>
      </c>
      <c r="L13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2" s="3">
        <f>IFERROR(INDEX(Table3[#All],MATCH(Table1[[#This Row],[Key_Year_Week_Brand]],Table3[[#All],[Key_Year_Week_Brand]],0),MATCH(Table1[[#This Row],[DC_name_Xref]],Table3[#Headers],0)),0)</f>
        <v>0</v>
      </c>
      <c r="O1382" s="19">
        <f>IFERROR(INDEX(Table35[#All],MATCH(Table1[[#This Row],[Key_Year_Week_Brand]],Table35[[#All],[Key_Year_Month_Brand]],0),MATCH(Table1[[#This Row],[DC_name_Xref]],Table35[#Headers],0)),0)</f>
        <v>0</v>
      </c>
    </row>
    <row r="1383" spans="1:15" x14ac:dyDescent="0.3">
      <c r="A1383" s="19" t="e">
        <f>Table1[[#This Row],[Year_Week]]&amp;"-"&amp;Table1[[#This Row],[DC_name_Xref]]</f>
        <v>#N/A</v>
      </c>
      <c r="B1383" s="19" t="str">
        <f>Table1[[#This Row],[Fiscal_Year]]*100+Table1[[#This Row],[Fiscal_Week]] &amp; "-" &amp;Table1[[#This Row],[BRAND]]</f>
        <v>0-</v>
      </c>
      <c r="C1383" s="19" t="str">
        <f>Table1[[#This Row],[Fiscal_Year]]&amp;"-"&amp;Table1[[#This Row],[BRAND]]</f>
        <v>-</v>
      </c>
      <c r="J1383" t="e">
        <f>VLOOKUP(H1383,DC_Xref!A:B,2,FALSE)</f>
        <v>#N/A</v>
      </c>
      <c r="K1383">
        <f t="shared" si="21"/>
        <v>0</v>
      </c>
      <c r="L13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3" s="3">
        <f>IFERROR(INDEX(Table3[#All],MATCH(Table1[[#This Row],[Key_Year_Week_Brand]],Table3[[#All],[Key_Year_Week_Brand]],0),MATCH(Table1[[#This Row],[DC_name_Xref]],Table3[#Headers],0)),0)</f>
        <v>0</v>
      </c>
      <c r="O1383" s="19">
        <f>IFERROR(INDEX(Table35[#All],MATCH(Table1[[#This Row],[Key_Year_Week_Brand]],Table35[[#All],[Key_Year_Month_Brand]],0),MATCH(Table1[[#This Row],[DC_name_Xref]],Table35[#Headers],0)),0)</f>
        <v>0</v>
      </c>
    </row>
    <row r="1384" spans="1:15" x14ac:dyDescent="0.3">
      <c r="A1384" s="19" t="e">
        <f>Table1[[#This Row],[Year_Week]]&amp;"-"&amp;Table1[[#This Row],[DC_name_Xref]]</f>
        <v>#N/A</v>
      </c>
      <c r="B1384" s="19" t="str">
        <f>Table1[[#This Row],[Fiscal_Year]]*100+Table1[[#This Row],[Fiscal_Week]] &amp; "-" &amp;Table1[[#This Row],[BRAND]]</f>
        <v>0-</v>
      </c>
      <c r="C1384" s="19" t="str">
        <f>Table1[[#This Row],[Fiscal_Year]]&amp;"-"&amp;Table1[[#This Row],[BRAND]]</f>
        <v>-</v>
      </c>
      <c r="J1384" t="e">
        <f>VLOOKUP(H1384,DC_Xref!A:B,2,FALSE)</f>
        <v>#N/A</v>
      </c>
      <c r="K1384">
        <f t="shared" si="21"/>
        <v>0</v>
      </c>
      <c r="L13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4" s="3">
        <f>IFERROR(INDEX(Table3[#All],MATCH(Table1[[#This Row],[Key_Year_Week_Brand]],Table3[[#All],[Key_Year_Week_Brand]],0),MATCH(Table1[[#This Row],[DC_name_Xref]],Table3[#Headers],0)),0)</f>
        <v>0</v>
      </c>
      <c r="O1384" s="19">
        <f>IFERROR(INDEX(Table35[#All],MATCH(Table1[[#This Row],[Key_Year_Week_Brand]],Table35[[#All],[Key_Year_Month_Brand]],0),MATCH(Table1[[#This Row],[DC_name_Xref]],Table35[#Headers],0)),0)</f>
        <v>0</v>
      </c>
    </row>
    <row r="1385" spans="1:15" x14ac:dyDescent="0.3">
      <c r="A1385" s="19" t="e">
        <f>Table1[[#This Row],[Year_Week]]&amp;"-"&amp;Table1[[#This Row],[DC_name_Xref]]</f>
        <v>#N/A</v>
      </c>
      <c r="B1385" s="19" t="str">
        <f>Table1[[#This Row],[Fiscal_Year]]*100+Table1[[#This Row],[Fiscal_Week]] &amp; "-" &amp;Table1[[#This Row],[BRAND]]</f>
        <v>0-</v>
      </c>
      <c r="C1385" s="19" t="str">
        <f>Table1[[#This Row],[Fiscal_Year]]&amp;"-"&amp;Table1[[#This Row],[BRAND]]</f>
        <v>-</v>
      </c>
      <c r="J1385" t="e">
        <f>VLOOKUP(H1385,DC_Xref!A:B,2,FALSE)</f>
        <v>#N/A</v>
      </c>
      <c r="K1385">
        <f t="shared" si="21"/>
        <v>0</v>
      </c>
      <c r="L13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5" s="3">
        <f>IFERROR(INDEX(Table3[#All],MATCH(Table1[[#This Row],[Key_Year_Week_Brand]],Table3[[#All],[Key_Year_Week_Brand]],0),MATCH(Table1[[#This Row],[DC_name_Xref]],Table3[#Headers],0)),0)</f>
        <v>0</v>
      </c>
      <c r="O1385" s="19">
        <f>IFERROR(INDEX(Table35[#All],MATCH(Table1[[#This Row],[Key_Year_Week_Brand]],Table35[[#All],[Key_Year_Month_Brand]],0),MATCH(Table1[[#This Row],[DC_name_Xref]],Table35[#Headers],0)),0)</f>
        <v>0</v>
      </c>
    </row>
    <row r="1386" spans="1:15" x14ac:dyDescent="0.3">
      <c r="A1386" s="19" t="e">
        <f>Table1[[#This Row],[Year_Week]]&amp;"-"&amp;Table1[[#This Row],[DC_name_Xref]]</f>
        <v>#N/A</v>
      </c>
      <c r="B1386" s="19" t="str">
        <f>Table1[[#This Row],[Fiscal_Year]]*100+Table1[[#This Row],[Fiscal_Week]] &amp; "-" &amp;Table1[[#This Row],[BRAND]]</f>
        <v>0-</v>
      </c>
      <c r="C1386" s="19" t="str">
        <f>Table1[[#This Row],[Fiscal_Year]]&amp;"-"&amp;Table1[[#This Row],[BRAND]]</f>
        <v>-</v>
      </c>
      <c r="J1386" t="e">
        <f>VLOOKUP(H1386,DC_Xref!A:B,2,FALSE)</f>
        <v>#N/A</v>
      </c>
      <c r="K1386">
        <f t="shared" si="21"/>
        <v>0</v>
      </c>
      <c r="L13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6" s="3">
        <f>IFERROR(INDEX(Table3[#All],MATCH(Table1[[#This Row],[Key_Year_Week_Brand]],Table3[[#All],[Key_Year_Week_Brand]],0),MATCH(Table1[[#This Row],[DC_name_Xref]],Table3[#Headers],0)),0)</f>
        <v>0</v>
      </c>
      <c r="O1386" s="19">
        <f>IFERROR(INDEX(Table35[#All],MATCH(Table1[[#This Row],[Key_Year_Week_Brand]],Table35[[#All],[Key_Year_Month_Brand]],0),MATCH(Table1[[#This Row],[DC_name_Xref]],Table35[#Headers],0)),0)</f>
        <v>0</v>
      </c>
    </row>
    <row r="1387" spans="1:15" x14ac:dyDescent="0.3">
      <c r="A1387" s="19" t="e">
        <f>Table1[[#This Row],[Year_Week]]&amp;"-"&amp;Table1[[#This Row],[DC_name_Xref]]</f>
        <v>#N/A</v>
      </c>
      <c r="B1387" s="19" t="str">
        <f>Table1[[#This Row],[Fiscal_Year]]*100+Table1[[#This Row],[Fiscal_Week]] &amp; "-" &amp;Table1[[#This Row],[BRAND]]</f>
        <v>0-</v>
      </c>
      <c r="C1387" s="19" t="str">
        <f>Table1[[#This Row],[Fiscal_Year]]&amp;"-"&amp;Table1[[#This Row],[BRAND]]</f>
        <v>-</v>
      </c>
      <c r="J1387" t="e">
        <f>VLOOKUP(H1387,DC_Xref!A:B,2,FALSE)</f>
        <v>#N/A</v>
      </c>
      <c r="K1387">
        <f t="shared" si="21"/>
        <v>0</v>
      </c>
      <c r="L13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7" s="3">
        <f>IFERROR(INDEX(Table3[#All],MATCH(Table1[[#This Row],[Key_Year_Week_Brand]],Table3[[#All],[Key_Year_Week_Brand]],0),MATCH(Table1[[#This Row],[DC_name_Xref]],Table3[#Headers],0)),0)</f>
        <v>0</v>
      </c>
      <c r="O1387" s="19">
        <f>IFERROR(INDEX(Table35[#All],MATCH(Table1[[#This Row],[Key_Year_Week_Brand]],Table35[[#All],[Key_Year_Month_Brand]],0),MATCH(Table1[[#This Row],[DC_name_Xref]],Table35[#Headers],0)),0)</f>
        <v>0</v>
      </c>
    </row>
    <row r="1388" spans="1:15" x14ac:dyDescent="0.3">
      <c r="A1388" s="19" t="e">
        <f>Table1[[#This Row],[Year_Week]]&amp;"-"&amp;Table1[[#This Row],[DC_name_Xref]]</f>
        <v>#N/A</v>
      </c>
      <c r="B1388" s="19" t="str">
        <f>Table1[[#This Row],[Fiscal_Year]]*100+Table1[[#This Row],[Fiscal_Week]] &amp; "-" &amp;Table1[[#This Row],[BRAND]]</f>
        <v>0-</v>
      </c>
      <c r="C1388" s="19" t="str">
        <f>Table1[[#This Row],[Fiscal_Year]]&amp;"-"&amp;Table1[[#This Row],[BRAND]]</f>
        <v>-</v>
      </c>
      <c r="J1388" t="e">
        <f>VLOOKUP(H1388,DC_Xref!A:B,2,FALSE)</f>
        <v>#N/A</v>
      </c>
      <c r="K1388">
        <f t="shared" si="21"/>
        <v>0</v>
      </c>
      <c r="L13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8" s="3">
        <f>IFERROR(INDEX(Table3[#All],MATCH(Table1[[#This Row],[Key_Year_Week_Brand]],Table3[[#All],[Key_Year_Week_Brand]],0),MATCH(Table1[[#This Row],[DC_name_Xref]],Table3[#Headers],0)),0)</f>
        <v>0</v>
      </c>
      <c r="O1388" s="19">
        <f>IFERROR(INDEX(Table35[#All],MATCH(Table1[[#This Row],[Key_Year_Week_Brand]],Table35[[#All],[Key_Year_Month_Brand]],0),MATCH(Table1[[#This Row],[DC_name_Xref]],Table35[#Headers],0)),0)</f>
        <v>0</v>
      </c>
    </row>
    <row r="1389" spans="1:15" x14ac:dyDescent="0.3">
      <c r="A1389" s="19" t="e">
        <f>Table1[[#This Row],[Year_Week]]&amp;"-"&amp;Table1[[#This Row],[DC_name_Xref]]</f>
        <v>#N/A</v>
      </c>
      <c r="B1389" s="19" t="str">
        <f>Table1[[#This Row],[Fiscal_Year]]*100+Table1[[#This Row],[Fiscal_Week]] &amp; "-" &amp;Table1[[#This Row],[BRAND]]</f>
        <v>0-</v>
      </c>
      <c r="C1389" s="19" t="str">
        <f>Table1[[#This Row],[Fiscal_Year]]&amp;"-"&amp;Table1[[#This Row],[BRAND]]</f>
        <v>-</v>
      </c>
      <c r="J1389" t="e">
        <f>VLOOKUP(H1389,DC_Xref!A:B,2,FALSE)</f>
        <v>#N/A</v>
      </c>
      <c r="K1389">
        <f t="shared" si="21"/>
        <v>0</v>
      </c>
      <c r="L13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89" s="3">
        <f>IFERROR(INDEX(Table3[#All],MATCH(Table1[[#This Row],[Key_Year_Week_Brand]],Table3[[#All],[Key_Year_Week_Brand]],0),MATCH(Table1[[#This Row],[DC_name_Xref]],Table3[#Headers],0)),0)</f>
        <v>0</v>
      </c>
      <c r="O1389" s="19">
        <f>IFERROR(INDEX(Table35[#All],MATCH(Table1[[#This Row],[Key_Year_Week_Brand]],Table35[[#All],[Key_Year_Month_Brand]],0),MATCH(Table1[[#This Row],[DC_name_Xref]],Table35[#Headers],0)),0)</f>
        <v>0</v>
      </c>
    </row>
    <row r="1390" spans="1:15" x14ac:dyDescent="0.3">
      <c r="A1390" s="19" t="e">
        <f>Table1[[#This Row],[Year_Week]]&amp;"-"&amp;Table1[[#This Row],[DC_name_Xref]]</f>
        <v>#N/A</v>
      </c>
      <c r="B1390" s="19" t="str">
        <f>Table1[[#This Row],[Fiscal_Year]]*100+Table1[[#This Row],[Fiscal_Week]] &amp; "-" &amp;Table1[[#This Row],[BRAND]]</f>
        <v>0-</v>
      </c>
      <c r="C1390" s="19" t="str">
        <f>Table1[[#This Row],[Fiscal_Year]]&amp;"-"&amp;Table1[[#This Row],[BRAND]]</f>
        <v>-</v>
      </c>
      <c r="J1390" t="e">
        <f>VLOOKUP(H1390,DC_Xref!A:B,2,FALSE)</f>
        <v>#N/A</v>
      </c>
      <c r="K1390">
        <f t="shared" si="21"/>
        <v>0</v>
      </c>
      <c r="L13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0" s="3">
        <f>IFERROR(INDEX(Table3[#All],MATCH(Table1[[#This Row],[Key_Year_Week_Brand]],Table3[[#All],[Key_Year_Week_Brand]],0),MATCH(Table1[[#This Row],[DC_name_Xref]],Table3[#Headers],0)),0)</f>
        <v>0</v>
      </c>
      <c r="O1390" s="19">
        <f>IFERROR(INDEX(Table35[#All],MATCH(Table1[[#This Row],[Key_Year_Week_Brand]],Table35[[#All],[Key_Year_Month_Brand]],0),MATCH(Table1[[#This Row],[DC_name_Xref]],Table35[#Headers],0)),0)</f>
        <v>0</v>
      </c>
    </row>
    <row r="1391" spans="1:15" x14ac:dyDescent="0.3">
      <c r="A1391" s="19" t="e">
        <f>Table1[[#This Row],[Year_Week]]&amp;"-"&amp;Table1[[#This Row],[DC_name_Xref]]</f>
        <v>#N/A</v>
      </c>
      <c r="B1391" s="19" t="str">
        <f>Table1[[#This Row],[Fiscal_Year]]*100+Table1[[#This Row],[Fiscal_Week]] &amp; "-" &amp;Table1[[#This Row],[BRAND]]</f>
        <v>0-</v>
      </c>
      <c r="C1391" s="19" t="str">
        <f>Table1[[#This Row],[Fiscal_Year]]&amp;"-"&amp;Table1[[#This Row],[BRAND]]</f>
        <v>-</v>
      </c>
      <c r="J1391" t="e">
        <f>VLOOKUP(H1391,DC_Xref!A:B,2,FALSE)</f>
        <v>#N/A</v>
      </c>
      <c r="K1391">
        <f t="shared" si="21"/>
        <v>0</v>
      </c>
      <c r="L13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1" s="3">
        <f>IFERROR(INDEX(Table3[#All],MATCH(Table1[[#This Row],[Key_Year_Week_Brand]],Table3[[#All],[Key_Year_Week_Brand]],0),MATCH(Table1[[#This Row],[DC_name_Xref]],Table3[#Headers],0)),0)</f>
        <v>0</v>
      </c>
      <c r="O1391" s="19">
        <f>IFERROR(INDEX(Table35[#All],MATCH(Table1[[#This Row],[Key_Year_Week_Brand]],Table35[[#All],[Key_Year_Month_Brand]],0),MATCH(Table1[[#This Row],[DC_name_Xref]],Table35[#Headers],0)),0)</f>
        <v>0</v>
      </c>
    </row>
    <row r="1392" spans="1:15" x14ac:dyDescent="0.3">
      <c r="A1392" s="19" t="e">
        <f>Table1[[#This Row],[Year_Week]]&amp;"-"&amp;Table1[[#This Row],[DC_name_Xref]]</f>
        <v>#N/A</v>
      </c>
      <c r="B1392" s="19" t="str">
        <f>Table1[[#This Row],[Fiscal_Year]]*100+Table1[[#This Row],[Fiscal_Week]] &amp; "-" &amp;Table1[[#This Row],[BRAND]]</f>
        <v>0-</v>
      </c>
      <c r="C1392" s="19" t="str">
        <f>Table1[[#This Row],[Fiscal_Year]]&amp;"-"&amp;Table1[[#This Row],[BRAND]]</f>
        <v>-</v>
      </c>
      <c r="J1392" t="e">
        <f>VLOOKUP(H1392,DC_Xref!A:B,2,FALSE)</f>
        <v>#N/A</v>
      </c>
      <c r="K1392">
        <f t="shared" si="21"/>
        <v>0</v>
      </c>
      <c r="L13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2" s="3">
        <f>IFERROR(INDEX(Table3[#All],MATCH(Table1[[#This Row],[Key_Year_Week_Brand]],Table3[[#All],[Key_Year_Week_Brand]],0),MATCH(Table1[[#This Row],[DC_name_Xref]],Table3[#Headers],0)),0)</f>
        <v>0</v>
      </c>
      <c r="O1392" s="19">
        <f>IFERROR(INDEX(Table35[#All],MATCH(Table1[[#This Row],[Key_Year_Week_Brand]],Table35[[#All],[Key_Year_Month_Brand]],0),MATCH(Table1[[#This Row],[DC_name_Xref]],Table35[#Headers],0)),0)</f>
        <v>0</v>
      </c>
    </row>
    <row r="1393" spans="1:15" x14ac:dyDescent="0.3">
      <c r="A1393" s="19" t="e">
        <f>Table1[[#This Row],[Year_Week]]&amp;"-"&amp;Table1[[#This Row],[DC_name_Xref]]</f>
        <v>#N/A</v>
      </c>
      <c r="B1393" s="19" t="str">
        <f>Table1[[#This Row],[Fiscal_Year]]*100+Table1[[#This Row],[Fiscal_Week]] &amp; "-" &amp;Table1[[#This Row],[BRAND]]</f>
        <v>0-</v>
      </c>
      <c r="C1393" s="19" t="str">
        <f>Table1[[#This Row],[Fiscal_Year]]&amp;"-"&amp;Table1[[#This Row],[BRAND]]</f>
        <v>-</v>
      </c>
      <c r="J1393" t="e">
        <f>VLOOKUP(H1393,DC_Xref!A:B,2,FALSE)</f>
        <v>#N/A</v>
      </c>
      <c r="K1393">
        <f t="shared" si="21"/>
        <v>0</v>
      </c>
      <c r="L13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3" s="3">
        <f>IFERROR(INDEX(Table3[#All],MATCH(Table1[[#This Row],[Key_Year_Week_Brand]],Table3[[#All],[Key_Year_Week_Brand]],0),MATCH(Table1[[#This Row],[DC_name_Xref]],Table3[#Headers],0)),0)</f>
        <v>0</v>
      </c>
      <c r="O1393" s="19">
        <f>IFERROR(INDEX(Table35[#All],MATCH(Table1[[#This Row],[Key_Year_Week_Brand]],Table35[[#All],[Key_Year_Month_Brand]],0),MATCH(Table1[[#This Row],[DC_name_Xref]],Table35[#Headers],0)),0)</f>
        <v>0</v>
      </c>
    </row>
    <row r="1394" spans="1:15" x14ac:dyDescent="0.3">
      <c r="A1394" s="19" t="e">
        <f>Table1[[#This Row],[Year_Week]]&amp;"-"&amp;Table1[[#This Row],[DC_name_Xref]]</f>
        <v>#N/A</v>
      </c>
      <c r="B1394" s="19" t="str">
        <f>Table1[[#This Row],[Fiscal_Year]]*100+Table1[[#This Row],[Fiscal_Week]] &amp; "-" &amp;Table1[[#This Row],[BRAND]]</f>
        <v>0-</v>
      </c>
      <c r="C1394" s="19" t="str">
        <f>Table1[[#This Row],[Fiscal_Year]]&amp;"-"&amp;Table1[[#This Row],[BRAND]]</f>
        <v>-</v>
      </c>
      <c r="J1394" t="e">
        <f>VLOOKUP(H1394,DC_Xref!A:B,2,FALSE)</f>
        <v>#N/A</v>
      </c>
      <c r="K1394">
        <f t="shared" si="21"/>
        <v>0</v>
      </c>
      <c r="L13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4" s="3">
        <f>IFERROR(INDEX(Table3[#All],MATCH(Table1[[#This Row],[Key_Year_Week_Brand]],Table3[[#All],[Key_Year_Week_Brand]],0),MATCH(Table1[[#This Row],[DC_name_Xref]],Table3[#Headers],0)),0)</f>
        <v>0</v>
      </c>
      <c r="O1394" s="19">
        <f>IFERROR(INDEX(Table35[#All],MATCH(Table1[[#This Row],[Key_Year_Week_Brand]],Table35[[#All],[Key_Year_Month_Brand]],0),MATCH(Table1[[#This Row],[DC_name_Xref]],Table35[#Headers],0)),0)</f>
        <v>0</v>
      </c>
    </row>
    <row r="1395" spans="1:15" x14ac:dyDescent="0.3">
      <c r="A1395" s="19" t="e">
        <f>Table1[[#This Row],[Year_Week]]&amp;"-"&amp;Table1[[#This Row],[DC_name_Xref]]</f>
        <v>#N/A</v>
      </c>
      <c r="B1395" s="19" t="str">
        <f>Table1[[#This Row],[Fiscal_Year]]*100+Table1[[#This Row],[Fiscal_Week]] &amp; "-" &amp;Table1[[#This Row],[BRAND]]</f>
        <v>0-</v>
      </c>
      <c r="C1395" s="19" t="str">
        <f>Table1[[#This Row],[Fiscal_Year]]&amp;"-"&amp;Table1[[#This Row],[BRAND]]</f>
        <v>-</v>
      </c>
      <c r="J1395" t="e">
        <f>VLOOKUP(H1395,DC_Xref!A:B,2,FALSE)</f>
        <v>#N/A</v>
      </c>
      <c r="K1395">
        <f t="shared" si="21"/>
        <v>0</v>
      </c>
      <c r="L13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5" s="3">
        <f>IFERROR(INDEX(Table3[#All],MATCH(Table1[[#This Row],[Key_Year_Week_Brand]],Table3[[#All],[Key_Year_Week_Brand]],0),MATCH(Table1[[#This Row],[DC_name_Xref]],Table3[#Headers],0)),0)</f>
        <v>0</v>
      </c>
      <c r="O1395" s="19">
        <f>IFERROR(INDEX(Table35[#All],MATCH(Table1[[#This Row],[Key_Year_Week_Brand]],Table35[[#All],[Key_Year_Month_Brand]],0),MATCH(Table1[[#This Row],[DC_name_Xref]],Table35[#Headers],0)),0)</f>
        <v>0</v>
      </c>
    </row>
    <row r="1396" spans="1:15" x14ac:dyDescent="0.3">
      <c r="A1396" s="19" t="e">
        <f>Table1[[#This Row],[Year_Week]]&amp;"-"&amp;Table1[[#This Row],[DC_name_Xref]]</f>
        <v>#N/A</v>
      </c>
      <c r="B1396" s="19" t="str">
        <f>Table1[[#This Row],[Fiscal_Year]]*100+Table1[[#This Row],[Fiscal_Week]] &amp; "-" &amp;Table1[[#This Row],[BRAND]]</f>
        <v>0-</v>
      </c>
      <c r="C1396" s="19" t="str">
        <f>Table1[[#This Row],[Fiscal_Year]]&amp;"-"&amp;Table1[[#This Row],[BRAND]]</f>
        <v>-</v>
      </c>
      <c r="J1396" t="e">
        <f>VLOOKUP(H1396,DC_Xref!A:B,2,FALSE)</f>
        <v>#N/A</v>
      </c>
      <c r="K1396">
        <f t="shared" si="21"/>
        <v>0</v>
      </c>
      <c r="L13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6" s="3">
        <f>IFERROR(INDEX(Table3[#All],MATCH(Table1[[#This Row],[Key_Year_Week_Brand]],Table3[[#All],[Key_Year_Week_Brand]],0),MATCH(Table1[[#This Row],[DC_name_Xref]],Table3[#Headers],0)),0)</f>
        <v>0</v>
      </c>
      <c r="O1396" s="19">
        <f>IFERROR(INDEX(Table35[#All],MATCH(Table1[[#This Row],[Key_Year_Week_Brand]],Table35[[#All],[Key_Year_Month_Brand]],0),MATCH(Table1[[#This Row],[DC_name_Xref]],Table35[#Headers],0)),0)</f>
        <v>0</v>
      </c>
    </row>
    <row r="1397" spans="1:15" x14ac:dyDescent="0.3">
      <c r="A1397" s="19" t="e">
        <f>Table1[[#This Row],[Year_Week]]&amp;"-"&amp;Table1[[#This Row],[DC_name_Xref]]</f>
        <v>#N/A</v>
      </c>
      <c r="B1397" s="19" t="str">
        <f>Table1[[#This Row],[Fiscal_Year]]*100+Table1[[#This Row],[Fiscal_Week]] &amp; "-" &amp;Table1[[#This Row],[BRAND]]</f>
        <v>0-</v>
      </c>
      <c r="C1397" s="19" t="str">
        <f>Table1[[#This Row],[Fiscal_Year]]&amp;"-"&amp;Table1[[#This Row],[BRAND]]</f>
        <v>-</v>
      </c>
      <c r="J1397" t="e">
        <f>VLOOKUP(H1397,DC_Xref!A:B,2,FALSE)</f>
        <v>#N/A</v>
      </c>
      <c r="K1397">
        <f t="shared" si="21"/>
        <v>0</v>
      </c>
      <c r="L13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7" s="3">
        <f>IFERROR(INDEX(Table3[#All],MATCH(Table1[[#This Row],[Key_Year_Week_Brand]],Table3[[#All],[Key_Year_Week_Brand]],0),MATCH(Table1[[#This Row],[DC_name_Xref]],Table3[#Headers],0)),0)</f>
        <v>0</v>
      </c>
      <c r="O1397" s="19">
        <f>IFERROR(INDEX(Table35[#All],MATCH(Table1[[#This Row],[Key_Year_Week_Brand]],Table35[[#All],[Key_Year_Month_Brand]],0),MATCH(Table1[[#This Row],[DC_name_Xref]],Table35[#Headers],0)),0)</f>
        <v>0</v>
      </c>
    </row>
    <row r="1398" spans="1:15" x14ac:dyDescent="0.3">
      <c r="A1398" s="19" t="e">
        <f>Table1[[#This Row],[Year_Week]]&amp;"-"&amp;Table1[[#This Row],[DC_name_Xref]]</f>
        <v>#N/A</v>
      </c>
      <c r="B1398" s="19" t="str">
        <f>Table1[[#This Row],[Fiscal_Year]]*100+Table1[[#This Row],[Fiscal_Week]] &amp; "-" &amp;Table1[[#This Row],[BRAND]]</f>
        <v>0-</v>
      </c>
      <c r="C1398" s="19" t="str">
        <f>Table1[[#This Row],[Fiscal_Year]]&amp;"-"&amp;Table1[[#This Row],[BRAND]]</f>
        <v>-</v>
      </c>
      <c r="J1398" t="e">
        <f>VLOOKUP(H1398,DC_Xref!A:B,2,FALSE)</f>
        <v>#N/A</v>
      </c>
      <c r="K1398">
        <f t="shared" si="21"/>
        <v>0</v>
      </c>
      <c r="L13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8" s="3">
        <f>IFERROR(INDEX(Table3[#All],MATCH(Table1[[#This Row],[Key_Year_Week_Brand]],Table3[[#All],[Key_Year_Week_Brand]],0),MATCH(Table1[[#This Row],[DC_name_Xref]],Table3[#Headers],0)),0)</f>
        <v>0</v>
      </c>
      <c r="O1398" s="19">
        <f>IFERROR(INDEX(Table35[#All],MATCH(Table1[[#This Row],[Key_Year_Week_Brand]],Table35[[#All],[Key_Year_Month_Brand]],0),MATCH(Table1[[#This Row],[DC_name_Xref]],Table35[#Headers],0)),0)</f>
        <v>0</v>
      </c>
    </row>
    <row r="1399" spans="1:15" x14ac:dyDescent="0.3">
      <c r="A1399" s="19" t="e">
        <f>Table1[[#This Row],[Year_Week]]&amp;"-"&amp;Table1[[#This Row],[DC_name_Xref]]</f>
        <v>#N/A</v>
      </c>
      <c r="B1399" s="19" t="str">
        <f>Table1[[#This Row],[Fiscal_Year]]*100+Table1[[#This Row],[Fiscal_Week]] &amp; "-" &amp;Table1[[#This Row],[BRAND]]</f>
        <v>0-</v>
      </c>
      <c r="C1399" s="19" t="str">
        <f>Table1[[#This Row],[Fiscal_Year]]&amp;"-"&amp;Table1[[#This Row],[BRAND]]</f>
        <v>-</v>
      </c>
      <c r="J1399" t="e">
        <f>VLOOKUP(H1399,DC_Xref!A:B,2,FALSE)</f>
        <v>#N/A</v>
      </c>
      <c r="K1399">
        <f t="shared" si="21"/>
        <v>0</v>
      </c>
      <c r="L13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3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399" s="3">
        <f>IFERROR(INDEX(Table3[#All],MATCH(Table1[[#This Row],[Key_Year_Week_Brand]],Table3[[#All],[Key_Year_Week_Brand]],0),MATCH(Table1[[#This Row],[DC_name_Xref]],Table3[#Headers],0)),0)</f>
        <v>0</v>
      </c>
      <c r="O1399" s="19">
        <f>IFERROR(INDEX(Table35[#All],MATCH(Table1[[#This Row],[Key_Year_Week_Brand]],Table35[[#All],[Key_Year_Month_Brand]],0),MATCH(Table1[[#This Row],[DC_name_Xref]],Table35[#Headers],0)),0)</f>
        <v>0</v>
      </c>
    </row>
    <row r="1400" spans="1:15" x14ac:dyDescent="0.3">
      <c r="A1400" s="19" t="e">
        <f>Table1[[#This Row],[Year_Week]]&amp;"-"&amp;Table1[[#This Row],[DC_name_Xref]]</f>
        <v>#N/A</v>
      </c>
      <c r="B1400" s="19" t="str">
        <f>Table1[[#This Row],[Fiscal_Year]]*100+Table1[[#This Row],[Fiscal_Week]] &amp; "-" &amp;Table1[[#This Row],[BRAND]]</f>
        <v>0-</v>
      </c>
      <c r="C1400" s="19" t="str">
        <f>Table1[[#This Row],[Fiscal_Year]]&amp;"-"&amp;Table1[[#This Row],[BRAND]]</f>
        <v>-</v>
      </c>
      <c r="J1400" t="e">
        <f>VLOOKUP(H1400,DC_Xref!A:B,2,FALSE)</f>
        <v>#N/A</v>
      </c>
      <c r="K1400">
        <f t="shared" si="21"/>
        <v>0</v>
      </c>
      <c r="L14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0" s="3">
        <f>IFERROR(INDEX(Table3[#All],MATCH(Table1[[#This Row],[Key_Year_Week_Brand]],Table3[[#All],[Key_Year_Week_Brand]],0),MATCH(Table1[[#This Row],[DC_name_Xref]],Table3[#Headers],0)),0)</f>
        <v>0</v>
      </c>
      <c r="O1400" s="19">
        <f>IFERROR(INDEX(Table35[#All],MATCH(Table1[[#This Row],[Key_Year_Week_Brand]],Table35[[#All],[Key_Year_Month_Brand]],0),MATCH(Table1[[#This Row],[DC_name_Xref]],Table35[#Headers],0)),0)</f>
        <v>0</v>
      </c>
    </row>
    <row r="1401" spans="1:15" x14ac:dyDescent="0.3">
      <c r="A1401" s="19" t="e">
        <f>Table1[[#This Row],[Year_Week]]&amp;"-"&amp;Table1[[#This Row],[DC_name_Xref]]</f>
        <v>#N/A</v>
      </c>
      <c r="B1401" s="19" t="str">
        <f>Table1[[#This Row],[Fiscal_Year]]*100+Table1[[#This Row],[Fiscal_Week]] &amp; "-" &amp;Table1[[#This Row],[BRAND]]</f>
        <v>0-</v>
      </c>
      <c r="C1401" s="19" t="str">
        <f>Table1[[#This Row],[Fiscal_Year]]&amp;"-"&amp;Table1[[#This Row],[BRAND]]</f>
        <v>-</v>
      </c>
      <c r="J1401" t="e">
        <f>VLOOKUP(H1401,DC_Xref!A:B,2,FALSE)</f>
        <v>#N/A</v>
      </c>
      <c r="K1401">
        <f t="shared" si="21"/>
        <v>0</v>
      </c>
      <c r="L14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1" s="3">
        <f>IFERROR(INDEX(Table3[#All],MATCH(Table1[[#This Row],[Key_Year_Week_Brand]],Table3[[#All],[Key_Year_Week_Brand]],0),MATCH(Table1[[#This Row],[DC_name_Xref]],Table3[#Headers],0)),0)</f>
        <v>0</v>
      </c>
      <c r="O1401" s="19">
        <f>IFERROR(INDEX(Table35[#All],MATCH(Table1[[#This Row],[Key_Year_Week_Brand]],Table35[[#All],[Key_Year_Month_Brand]],0),MATCH(Table1[[#This Row],[DC_name_Xref]],Table35[#Headers],0)),0)</f>
        <v>0</v>
      </c>
    </row>
    <row r="1402" spans="1:15" x14ac:dyDescent="0.3">
      <c r="A1402" s="19" t="e">
        <f>Table1[[#This Row],[Year_Week]]&amp;"-"&amp;Table1[[#This Row],[DC_name_Xref]]</f>
        <v>#N/A</v>
      </c>
      <c r="B1402" s="19" t="str">
        <f>Table1[[#This Row],[Fiscal_Year]]*100+Table1[[#This Row],[Fiscal_Week]] &amp; "-" &amp;Table1[[#This Row],[BRAND]]</f>
        <v>0-</v>
      </c>
      <c r="C1402" s="19" t="str">
        <f>Table1[[#This Row],[Fiscal_Year]]&amp;"-"&amp;Table1[[#This Row],[BRAND]]</f>
        <v>-</v>
      </c>
      <c r="J1402" t="e">
        <f>VLOOKUP(H1402,DC_Xref!A:B,2,FALSE)</f>
        <v>#N/A</v>
      </c>
      <c r="K1402">
        <f t="shared" si="21"/>
        <v>0</v>
      </c>
      <c r="L14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2" s="3">
        <f>IFERROR(INDEX(Table3[#All],MATCH(Table1[[#This Row],[Key_Year_Week_Brand]],Table3[[#All],[Key_Year_Week_Brand]],0),MATCH(Table1[[#This Row],[DC_name_Xref]],Table3[#Headers],0)),0)</f>
        <v>0</v>
      </c>
      <c r="O1402" s="19">
        <f>IFERROR(INDEX(Table35[#All],MATCH(Table1[[#This Row],[Key_Year_Week_Brand]],Table35[[#All],[Key_Year_Month_Brand]],0),MATCH(Table1[[#This Row],[DC_name_Xref]],Table35[#Headers],0)),0)</f>
        <v>0</v>
      </c>
    </row>
    <row r="1403" spans="1:15" x14ac:dyDescent="0.3">
      <c r="A1403" s="19" t="e">
        <f>Table1[[#This Row],[Year_Week]]&amp;"-"&amp;Table1[[#This Row],[DC_name_Xref]]</f>
        <v>#N/A</v>
      </c>
      <c r="B1403" s="19" t="str">
        <f>Table1[[#This Row],[Fiscal_Year]]*100+Table1[[#This Row],[Fiscal_Week]] &amp; "-" &amp;Table1[[#This Row],[BRAND]]</f>
        <v>0-</v>
      </c>
      <c r="C1403" s="19" t="str">
        <f>Table1[[#This Row],[Fiscal_Year]]&amp;"-"&amp;Table1[[#This Row],[BRAND]]</f>
        <v>-</v>
      </c>
      <c r="J1403" t="e">
        <f>VLOOKUP(H1403,DC_Xref!A:B,2,FALSE)</f>
        <v>#N/A</v>
      </c>
      <c r="K1403">
        <f t="shared" si="21"/>
        <v>0</v>
      </c>
      <c r="L14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3" s="3">
        <f>IFERROR(INDEX(Table3[#All],MATCH(Table1[[#This Row],[Key_Year_Week_Brand]],Table3[[#All],[Key_Year_Week_Brand]],0),MATCH(Table1[[#This Row],[DC_name_Xref]],Table3[#Headers],0)),0)</f>
        <v>0</v>
      </c>
      <c r="O1403" s="19">
        <f>IFERROR(INDEX(Table35[#All],MATCH(Table1[[#This Row],[Key_Year_Week_Brand]],Table35[[#All],[Key_Year_Month_Brand]],0),MATCH(Table1[[#This Row],[DC_name_Xref]],Table35[#Headers],0)),0)</f>
        <v>0</v>
      </c>
    </row>
    <row r="1404" spans="1:15" x14ac:dyDescent="0.3">
      <c r="A1404" s="19" t="e">
        <f>Table1[[#This Row],[Year_Week]]&amp;"-"&amp;Table1[[#This Row],[DC_name_Xref]]</f>
        <v>#N/A</v>
      </c>
      <c r="B1404" s="19" t="str">
        <f>Table1[[#This Row],[Fiscal_Year]]*100+Table1[[#This Row],[Fiscal_Week]] &amp; "-" &amp;Table1[[#This Row],[BRAND]]</f>
        <v>0-</v>
      </c>
      <c r="C1404" s="19" t="str">
        <f>Table1[[#This Row],[Fiscal_Year]]&amp;"-"&amp;Table1[[#This Row],[BRAND]]</f>
        <v>-</v>
      </c>
      <c r="J1404" t="e">
        <f>VLOOKUP(H1404,DC_Xref!A:B,2,FALSE)</f>
        <v>#N/A</v>
      </c>
      <c r="K1404">
        <f t="shared" si="21"/>
        <v>0</v>
      </c>
      <c r="L14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4" s="3">
        <f>IFERROR(INDEX(Table3[#All],MATCH(Table1[[#This Row],[Key_Year_Week_Brand]],Table3[[#All],[Key_Year_Week_Brand]],0),MATCH(Table1[[#This Row],[DC_name_Xref]],Table3[#Headers],0)),0)</f>
        <v>0</v>
      </c>
      <c r="O1404" s="19">
        <f>IFERROR(INDEX(Table35[#All],MATCH(Table1[[#This Row],[Key_Year_Week_Brand]],Table35[[#All],[Key_Year_Month_Brand]],0),MATCH(Table1[[#This Row],[DC_name_Xref]],Table35[#Headers],0)),0)</f>
        <v>0</v>
      </c>
    </row>
    <row r="1405" spans="1:15" x14ac:dyDescent="0.3">
      <c r="A1405" s="19" t="e">
        <f>Table1[[#This Row],[Year_Week]]&amp;"-"&amp;Table1[[#This Row],[DC_name_Xref]]</f>
        <v>#N/A</v>
      </c>
      <c r="B1405" s="19" t="str">
        <f>Table1[[#This Row],[Fiscal_Year]]*100+Table1[[#This Row],[Fiscal_Week]] &amp; "-" &amp;Table1[[#This Row],[BRAND]]</f>
        <v>0-</v>
      </c>
      <c r="C1405" s="19" t="str">
        <f>Table1[[#This Row],[Fiscal_Year]]&amp;"-"&amp;Table1[[#This Row],[BRAND]]</f>
        <v>-</v>
      </c>
      <c r="J1405" t="e">
        <f>VLOOKUP(H1405,DC_Xref!A:B,2,FALSE)</f>
        <v>#N/A</v>
      </c>
      <c r="K1405">
        <f t="shared" si="21"/>
        <v>0</v>
      </c>
      <c r="L14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5" s="3">
        <f>IFERROR(INDEX(Table3[#All],MATCH(Table1[[#This Row],[Key_Year_Week_Brand]],Table3[[#All],[Key_Year_Week_Brand]],0),MATCH(Table1[[#This Row],[DC_name_Xref]],Table3[#Headers],0)),0)</f>
        <v>0</v>
      </c>
      <c r="O1405" s="19">
        <f>IFERROR(INDEX(Table35[#All],MATCH(Table1[[#This Row],[Key_Year_Week_Brand]],Table35[[#All],[Key_Year_Month_Brand]],0),MATCH(Table1[[#This Row],[DC_name_Xref]],Table35[#Headers],0)),0)</f>
        <v>0</v>
      </c>
    </row>
    <row r="1406" spans="1:15" x14ac:dyDescent="0.3">
      <c r="A1406" s="19" t="e">
        <f>Table1[[#This Row],[Year_Week]]&amp;"-"&amp;Table1[[#This Row],[DC_name_Xref]]</f>
        <v>#N/A</v>
      </c>
      <c r="B1406" s="19" t="str">
        <f>Table1[[#This Row],[Fiscal_Year]]*100+Table1[[#This Row],[Fiscal_Week]] &amp; "-" &amp;Table1[[#This Row],[BRAND]]</f>
        <v>0-</v>
      </c>
      <c r="C1406" s="19" t="str">
        <f>Table1[[#This Row],[Fiscal_Year]]&amp;"-"&amp;Table1[[#This Row],[BRAND]]</f>
        <v>-</v>
      </c>
      <c r="J1406" t="e">
        <f>VLOOKUP(H1406,DC_Xref!A:B,2,FALSE)</f>
        <v>#N/A</v>
      </c>
      <c r="K1406">
        <f t="shared" si="21"/>
        <v>0</v>
      </c>
      <c r="L14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6" s="3">
        <f>IFERROR(INDEX(Table3[#All],MATCH(Table1[[#This Row],[Key_Year_Week_Brand]],Table3[[#All],[Key_Year_Week_Brand]],0),MATCH(Table1[[#This Row],[DC_name_Xref]],Table3[#Headers],0)),0)</f>
        <v>0</v>
      </c>
      <c r="O1406" s="19">
        <f>IFERROR(INDEX(Table35[#All],MATCH(Table1[[#This Row],[Key_Year_Week_Brand]],Table35[[#All],[Key_Year_Month_Brand]],0),MATCH(Table1[[#This Row],[DC_name_Xref]],Table35[#Headers],0)),0)</f>
        <v>0</v>
      </c>
    </row>
    <row r="1407" spans="1:15" x14ac:dyDescent="0.3">
      <c r="A1407" s="19" t="e">
        <f>Table1[[#This Row],[Year_Week]]&amp;"-"&amp;Table1[[#This Row],[DC_name_Xref]]</f>
        <v>#N/A</v>
      </c>
      <c r="B1407" s="19" t="str">
        <f>Table1[[#This Row],[Fiscal_Year]]*100+Table1[[#This Row],[Fiscal_Week]] &amp; "-" &amp;Table1[[#This Row],[BRAND]]</f>
        <v>0-</v>
      </c>
      <c r="C1407" s="19" t="str">
        <f>Table1[[#This Row],[Fiscal_Year]]&amp;"-"&amp;Table1[[#This Row],[BRAND]]</f>
        <v>-</v>
      </c>
      <c r="J1407" t="e">
        <f>VLOOKUP(H1407,DC_Xref!A:B,2,FALSE)</f>
        <v>#N/A</v>
      </c>
      <c r="K1407">
        <f t="shared" si="21"/>
        <v>0</v>
      </c>
      <c r="L14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7" s="3">
        <f>IFERROR(INDEX(Table3[#All],MATCH(Table1[[#This Row],[Key_Year_Week_Brand]],Table3[[#All],[Key_Year_Week_Brand]],0),MATCH(Table1[[#This Row],[DC_name_Xref]],Table3[#Headers],0)),0)</f>
        <v>0</v>
      </c>
      <c r="O1407" s="19">
        <f>IFERROR(INDEX(Table35[#All],MATCH(Table1[[#This Row],[Key_Year_Week_Brand]],Table35[[#All],[Key_Year_Month_Brand]],0),MATCH(Table1[[#This Row],[DC_name_Xref]],Table35[#Headers],0)),0)</f>
        <v>0</v>
      </c>
    </row>
    <row r="1408" spans="1:15" x14ac:dyDescent="0.3">
      <c r="A1408" s="19" t="e">
        <f>Table1[[#This Row],[Year_Week]]&amp;"-"&amp;Table1[[#This Row],[DC_name_Xref]]</f>
        <v>#N/A</v>
      </c>
      <c r="B1408" s="19" t="str">
        <f>Table1[[#This Row],[Fiscal_Year]]*100+Table1[[#This Row],[Fiscal_Week]] &amp; "-" &amp;Table1[[#This Row],[BRAND]]</f>
        <v>0-</v>
      </c>
      <c r="C1408" s="19" t="str">
        <f>Table1[[#This Row],[Fiscal_Year]]&amp;"-"&amp;Table1[[#This Row],[BRAND]]</f>
        <v>-</v>
      </c>
      <c r="J1408" t="e">
        <f>VLOOKUP(H1408,DC_Xref!A:B,2,FALSE)</f>
        <v>#N/A</v>
      </c>
      <c r="K1408">
        <f t="shared" si="21"/>
        <v>0</v>
      </c>
      <c r="L14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8" s="3">
        <f>IFERROR(INDEX(Table3[#All],MATCH(Table1[[#This Row],[Key_Year_Week_Brand]],Table3[[#All],[Key_Year_Week_Brand]],0),MATCH(Table1[[#This Row],[DC_name_Xref]],Table3[#Headers],0)),0)</f>
        <v>0</v>
      </c>
      <c r="O1408" s="19">
        <f>IFERROR(INDEX(Table35[#All],MATCH(Table1[[#This Row],[Key_Year_Week_Brand]],Table35[[#All],[Key_Year_Month_Brand]],0),MATCH(Table1[[#This Row],[DC_name_Xref]],Table35[#Headers],0)),0)</f>
        <v>0</v>
      </c>
    </row>
    <row r="1409" spans="1:15" x14ac:dyDescent="0.3">
      <c r="A1409" s="19" t="e">
        <f>Table1[[#This Row],[Year_Week]]&amp;"-"&amp;Table1[[#This Row],[DC_name_Xref]]</f>
        <v>#N/A</v>
      </c>
      <c r="B1409" s="19" t="str">
        <f>Table1[[#This Row],[Fiscal_Year]]*100+Table1[[#This Row],[Fiscal_Week]] &amp; "-" &amp;Table1[[#This Row],[BRAND]]</f>
        <v>0-</v>
      </c>
      <c r="C1409" s="19" t="str">
        <f>Table1[[#This Row],[Fiscal_Year]]&amp;"-"&amp;Table1[[#This Row],[BRAND]]</f>
        <v>-</v>
      </c>
      <c r="J1409" t="e">
        <f>VLOOKUP(H1409,DC_Xref!A:B,2,FALSE)</f>
        <v>#N/A</v>
      </c>
      <c r="K1409">
        <f t="shared" si="21"/>
        <v>0</v>
      </c>
      <c r="L14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09" s="3">
        <f>IFERROR(INDEX(Table3[#All],MATCH(Table1[[#This Row],[Key_Year_Week_Brand]],Table3[[#All],[Key_Year_Week_Brand]],0),MATCH(Table1[[#This Row],[DC_name_Xref]],Table3[#Headers],0)),0)</f>
        <v>0</v>
      </c>
      <c r="O1409" s="19">
        <f>IFERROR(INDEX(Table35[#All],MATCH(Table1[[#This Row],[Key_Year_Week_Brand]],Table35[[#All],[Key_Year_Month_Brand]],0),MATCH(Table1[[#This Row],[DC_name_Xref]],Table35[#Headers],0)),0)</f>
        <v>0</v>
      </c>
    </row>
    <row r="1410" spans="1:15" x14ac:dyDescent="0.3">
      <c r="A1410" s="19" t="e">
        <f>Table1[[#This Row],[Year_Week]]&amp;"-"&amp;Table1[[#This Row],[DC_name_Xref]]</f>
        <v>#N/A</v>
      </c>
      <c r="B1410" s="19" t="str">
        <f>Table1[[#This Row],[Fiscal_Year]]*100+Table1[[#This Row],[Fiscal_Week]] &amp; "-" &amp;Table1[[#This Row],[BRAND]]</f>
        <v>0-</v>
      </c>
      <c r="C1410" s="19" t="str">
        <f>Table1[[#This Row],[Fiscal_Year]]&amp;"-"&amp;Table1[[#This Row],[BRAND]]</f>
        <v>-</v>
      </c>
      <c r="J1410" t="e">
        <f>VLOOKUP(H1410,DC_Xref!A:B,2,FALSE)</f>
        <v>#N/A</v>
      </c>
      <c r="K1410">
        <f t="shared" si="21"/>
        <v>0</v>
      </c>
      <c r="L14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0" s="3">
        <f>IFERROR(INDEX(Table3[#All],MATCH(Table1[[#This Row],[Key_Year_Week_Brand]],Table3[[#All],[Key_Year_Week_Brand]],0),MATCH(Table1[[#This Row],[DC_name_Xref]],Table3[#Headers],0)),0)</f>
        <v>0</v>
      </c>
      <c r="O1410" s="19">
        <f>IFERROR(INDEX(Table35[#All],MATCH(Table1[[#This Row],[Key_Year_Week_Brand]],Table35[[#All],[Key_Year_Month_Brand]],0),MATCH(Table1[[#This Row],[DC_name_Xref]],Table35[#Headers],0)),0)</f>
        <v>0</v>
      </c>
    </row>
    <row r="1411" spans="1:15" x14ac:dyDescent="0.3">
      <c r="A1411" s="19" t="e">
        <f>Table1[[#This Row],[Year_Week]]&amp;"-"&amp;Table1[[#This Row],[DC_name_Xref]]</f>
        <v>#N/A</v>
      </c>
      <c r="B1411" s="19" t="str">
        <f>Table1[[#This Row],[Fiscal_Year]]*100+Table1[[#This Row],[Fiscal_Week]] &amp; "-" &amp;Table1[[#This Row],[BRAND]]</f>
        <v>0-</v>
      </c>
      <c r="C1411" s="19" t="str">
        <f>Table1[[#This Row],[Fiscal_Year]]&amp;"-"&amp;Table1[[#This Row],[BRAND]]</f>
        <v>-</v>
      </c>
      <c r="J1411" t="e">
        <f>VLOOKUP(H1411,DC_Xref!A:B,2,FALSE)</f>
        <v>#N/A</v>
      </c>
      <c r="K1411">
        <f t="shared" si="21"/>
        <v>0</v>
      </c>
      <c r="L14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1" s="3">
        <f>IFERROR(INDEX(Table3[#All],MATCH(Table1[[#This Row],[Key_Year_Week_Brand]],Table3[[#All],[Key_Year_Week_Brand]],0),MATCH(Table1[[#This Row],[DC_name_Xref]],Table3[#Headers],0)),0)</f>
        <v>0</v>
      </c>
      <c r="O1411" s="19">
        <f>IFERROR(INDEX(Table35[#All],MATCH(Table1[[#This Row],[Key_Year_Week_Brand]],Table35[[#All],[Key_Year_Month_Brand]],0),MATCH(Table1[[#This Row],[DC_name_Xref]],Table35[#Headers],0)),0)</f>
        <v>0</v>
      </c>
    </row>
    <row r="1412" spans="1:15" x14ac:dyDescent="0.3">
      <c r="A1412" s="19" t="e">
        <f>Table1[[#This Row],[Year_Week]]&amp;"-"&amp;Table1[[#This Row],[DC_name_Xref]]</f>
        <v>#N/A</v>
      </c>
      <c r="B1412" s="19" t="str">
        <f>Table1[[#This Row],[Fiscal_Year]]*100+Table1[[#This Row],[Fiscal_Week]] &amp; "-" &amp;Table1[[#This Row],[BRAND]]</f>
        <v>0-</v>
      </c>
      <c r="C1412" s="19" t="str">
        <f>Table1[[#This Row],[Fiscal_Year]]&amp;"-"&amp;Table1[[#This Row],[BRAND]]</f>
        <v>-</v>
      </c>
      <c r="J1412" t="e">
        <f>VLOOKUP(H1412,DC_Xref!A:B,2,FALSE)</f>
        <v>#N/A</v>
      </c>
      <c r="K1412">
        <f t="shared" si="21"/>
        <v>0</v>
      </c>
      <c r="L14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2" s="3">
        <f>IFERROR(INDEX(Table3[#All],MATCH(Table1[[#This Row],[Key_Year_Week_Brand]],Table3[[#All],[Key_Year_Week_Brand]],0),MATCH(Table1[[#This Row],[DC_name_Xref]],Table3[#Headers],0)),0)</f>
        <v>0</v>
      </c>
      <c r="O1412" s="19">
        <f>IFERROR(INDEX(Table35[#All],MATCH(Table1[[#This Row],[Key_Year_Week_Brand]],Table35[[#All],[Key_Year_Month_Brand]],0),MATCH(Table1[[#This Row],[DC_name_Xref]],Table35[#Headers],0)),0)</f>
        <v>0</v>
      </c>
    </row>
    <row r="1413" spans="1:15" x14ac:dyDescent="0.3">
      <c r="A1413" s="19" t="e">
        <f>Table1[[#This Row],[Year_Week]]&amp;"-"&amp;Table1[[#This Row],[DC_name_Xref]]</f>
        <v>#N/A</v>
      </c>
      <c r="B1413" s="19" t="str">
        <f>Table1[[#This Row],[Fiscal_Year]]*100+Table1[[#This Row],[Fiscal_Week]] &amp; "-" &amp;Table1[[#This Row],[BRAND]]</f>
        <v>0-</v>
      </c>
      <c r="C1413" s="19" t="str">
        <f>Table1[[#This Row],[Fiscal_Year]]&amp;"-"&amp;Table1[[#This Row],[BRAND]]</f>
        <v>-</v>
      </c>
      <c r="J1413" t="e">
        <f>VLOOKUP(H1413,DC_Xref!A:B,2,FALSE)</f>
        <v>#N/A</v>
      </c>
      <c r="K1413">
        <f t="shared" si="21"/>
        <v>0</v>
      </c>
      <c r="L14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3" s="3">
        <f>IFERROR(INDEX(Table3[#All],MATCH(Table1[[#This Row],[Key_Year_Week_Brand]],Table3[[#All],[Key_Year_Week_Brand]],0),MATCH(Table1[[#This Row],[DC_name_Xref]],Table3[#Headers],0)),0)</f>
        <v>0</v>
      </c>
      <c r="O1413" s="19">
        <f>IFERROR(INDEX(Table35[#All],MATCH(Table1[[#This Row],[Key_Year_Week_Brand]],Table35[[#All],[Key_Year_Month_Brand]],0),MATCH(Table1[[#This Row],[DC_name_Xref]],Table35[#Headers],0)),0)</f>
        <v>0</v>
      </c>
    </row>
    <row r="1414" spans="1:15" x14ac:dyDescent="0.3">
      <c r="A1414" s="19" t="e">
        <f>Table1[[#This Row],[Year_Week]]&amp;"-"&amp;Table1[[#This Row],[DC_name_Xref]]</f>
        <v>#N/A</v>
      </c>
      <c r="B1414" s="19" t="str">
        <f>Table1[[#This Row],[Fiscal_Year]]*100+Table1[[#This Row],[Fiscal_Week]] &amp; "-" &amp;Table1[[#This Row],[BRAND]]</f>
        <v>0-</v>
      </c>
      <c r="C1414" s="19" t="str">
        <f>Table1[[#This Row],[Fiscal_Year]]&amp;"-"&amp;Table1[[#This Row],[BRAND]]</f>
        <v>-</v>
      </c>
      <c r="J1414" t="e">
        <f>VLOOKUP(H1414,DC_Xref!A:B,2,FALSE)</f>
        <v>#N/A</v>
      </c>
      <c r="K1414">
        <f t="shared" ref="K1414:K1477" si="22">D1414*100+E1414</f>
        <v>0</v>
      </c>
      <c r="L14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4" s="3">
        <f>IFERROR(INDEX(Table3[#All],MATCH(Table1[[#This Row],[Key_Year_Week_Brand]],Table3[[#All],[Key_Year_Week_Brand]],0),MATCH(Table1[[#This Row],[DC_name_Xref]],Table3[#Headers],0)),0)</f>
        <v>0</v>
      </c>
      <c r="O1414" s="19">
        <f>IFERROR(INDEX(Table35[#All],MATCH(Table1[[#This Row],[Key_Year_Week_Brand]],Table35[[#All],[Key_Year_Month_Brand]],0),MATCH(Table1[[#This Row],[DC_name_Xref]],Table35[#Headers],0)),0)</f>
        <v>0</v>
      </c>
    </row>
    <row r="1415" spans="1:15" x14ac:dyDescent="0.3">
      <c r="A1415" s="19" t="e">
        <f>Table1[[#This Row],[Year_Week]]&amp;"-"&amp;Table1[[#This Row],[DC_name_Xref]]</f>
        <v>#N/A</v>
      </c>
      <c r="B1415" s="19" t="str">
        <f>Table1[[#This Row],[Fiscal_Year]]*100+Table1[[#This Row],[Fiscal_Week]] &amp; "-" &amp;Table1[[#This Row],[BRAND]]</f>
        <v>0-</v>
      </c>
      <c r="C1415" s="19" t="str">
        <f>Table1[[#This Row],[Fiscal_Year]]&amp;"-"&amp;Table1[[#This Row],[BRAND]]</f>
        <v>-</v>
      </c>
      <c r="J1415" t="e">
        <f>VLOOKUP(H1415,DC_Xref!A:B,2,FALSE)</f>
        <v>#N/A</v>
      </c>
      <c r="K1415">
        <f t="shared" si="22"/>
        <v>0</v>
      </c>
      <c r="L14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5" s="3">
        <f>IFERROR(INDEX(Table3[#All],MATCH(Table1[[#This Row],[Key_Year_Week_Brand]],Table3[[#All],[Key_Year_Week_Brand]],0),MATCH(Table1[[#This Row],[DC_name_Xref]],Table3[#Headers],0)),0)</f>
        <v>0</v>
      </c>
      <c r="O1415" s="19">
        <f>IFERROR(INDEX(Table35[#All],MATCH(Table1[[#This Row],[Key_Year_Week_Brand]],Table35[[#All],[Key_Year_Month_Brand]],0),MATCH(Table1[[#This Row],[DC_name_Xref]],Table35[#Headers],0)),0)</f>
        <v>0</v>
      </c>
    </row>
    <row r="1416" spans="1:15" x14ac:dyDescent="0.3">
      <c r="A1416" s="19" t="e">
        <f>Table1[[#This Row],[Year_Week]]&amp;"-"&amp;Table1[[#This Row],[DC_name_Xref]]</f>
        <v>#N/A</v>
      </c>
      <c r="B1416" s="19" t="str">
        <f>Table1[[#This Row],[Fiscal_Year]]*100+Table1[[#This Row],[Fiscal_Week]] &amp; "-" &amp;Table1[[#This Row],[BRAND]]</f>
        <v>0-</v>
      </c>
      <c r="C1416" s="19" t="str">
        <f>Table1[[#This Row],[Fiscal_Year]]&amp;"-"&amp;Table1[[#This Row],[BRAND]]</f>
        <v>-</v>
      </c>
      <c r="J1416" t="e">
        <f>VLOOKUP(H1416,DC_Xref!A:B,2,FALSE)</f>
        <v>#N/A</v>
      </c>
      <c r="K1416">
        <f t="shared" si="22"/>
        <v>0</v>
      </c>
      <c r="L14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6" s="3">
        <f>IFERROR(INDEX(Table3[#All],MATCH(Table1[[#This Row],[Key_Year_Week_Brand]],Table3[[#All],[Key_Year_Week_Brand]],0),MATCH(Table1[[#This Row],[DC_name_Xref]],Table3[#Headers],0)),0)</f>
        <v>0</v>
      </c>
      <c r="O1416" s="19">
        <f>IFERROR(INDEX(Table35[#All],MATCH(Table1[[#This Row],[Key_Year_Week_Brand]],Table35[[#All],[Key_Year_Month_Brand]],0),MATCH(Table1[[#This Row],[DC_name_Xref]],Table35[#Headers],0)),0)</f>
        <v>0</v>
      </c>
    </row>
    <row r="1417" spans="1:15" x14ac:dyDescent="0.3">
      <c r="A1417" s="19" t="e">
        <f>Table1[[#This Row],[Year_Week]]&amp;"-"&amp;Table1[[#This Row],[DC_name_Xref]]</f>
        <v>#N/A</v>
      </c>
      <c r="B1417" s="19" t="str">
        <f>Table1[[#This Row],[Fiscal_Year]]*100+Table1[[#This Row],[Fiscal_Week]] &amp; "-" &amp;Table1[[#This Row],[BRAND]]</f>
        <v>0-</v>
      </c>
      <c r="C1417" s="19" t="str">
        <f>Table1[[#This Row],[Fiscal_Year]]&amp;"-"&amp;Table1[[#This Row],[BRAND]]</f>
        <v>-</v>
      </c>
      <c r="J1417" t="e">
        <f>VLOOKUP(H1417,DC_Xref!A:B,2,FALSE)</f>
        <v>#N/A</v>
      </c>
      <c r="K1417">
        <f t="shared" si="22"/>
        <v>0</v>
      </c>
      <c r="L14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7" s="3">
        <f>IFERROR(INDEX(Table3[#All],MATCH(Table1[[#This Row],[Key_Year_Week_Brand]],Table3[[#All],[Key_Year_Week_Brand]],0),MATCH(Table1[[#This Row],[DC_name_Xref]],Table3[#Headers],0)),0)</f>
        <v>0</v>
      </c>
      <c r="O1417" s="19">
        <f>IFERROR(INDEX(Table35[#All],MATCH(Table1[[#This Row],[Key_Year_Week_Brand]],Table35[[#All],[Key_Year_Month_Brand]],0),MATCH(Table1[[#This Row],[DC_name_Xref]],Table35[#Headers],0)),0)</f>
        <v>0</v>
      </c>
    </row>
    <row r="1418" spans="1:15" x14ac:dyDescent="0.3">
      <c r="A1418" s="19" t="e">
        <f>Table1[[#This Row],[Year_Week]]&amp;"-"&amp;Table1[[#This Row],[DC_name_Xref]]</f>
        <v>#N/A</v>
      </c>
      <c r="B1418" s="19" t="str">
        <f>Table1[[#This Row],[Fiscal_Year]]*100+Table1[[#This Row],[Fiscal_Week]] &amp; "-" &amp;Table1[[#This Row],[BRAND]]</f>
        <v>0-</v>
      </c>
      <c r="C1418" s="19" t="str">
        <f>Table1[[#This Row],[Fiscal_Year]]&amp;"-"&amp;Table1[[#This Row],[BRAND]]</f>
        <v>-</v>
      </c>
      <c r="J1418" t="e">
        <f>VLOOKUP(H1418,DC_Xref!A:B,2,FALSE)</f>
        <v>#N/A</v>
      </c>
      <c r="K1418">
        <f t="shared" si="22"/>
        <v>0</v>
      </c>
      <c r="L14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8" s="3">
        <f>IFERROR(INDEX(Table3[#All],MATCH(Table1[[#This Row],[Key_Year_Week_Brand]],Table3[[#All],[Key_Year_Week_Brand]],0),MATCH(Table1[[#This Row],[DC_name_Xref]],Table3[#Headers],0)),0)</f>
        <v>0</v>
      </c>
      <c r="O1418" s="19">
        <f>IFERROR(INDEX(Table35[#All],MATCH(Table1[[#This Row],[Key_Year_Week_Brand]],Table35[[#All],[Key_Year_Month_Brand]],0),MATCH(Table1[[#This Row],[DC_name_Xref]],Table35[#Headers],0)),0)</f>
        <v>0</v>
      </c>
    </row>
    <row r="1419" spans="1:15" x14ac:dyDescent="0.3">
      <c r="A1419" s="19" t="e">
        <f>Table1[[#This Row],[Year_Week]]&amp;"-"&amp;Table1[[#This Row],[DC_name_Xref]]</f>
        <v>#N/A</v>
      </c>
      <c r="B1419" s="19" t="str">
        <f>Table1[[#This Row],[Fiscal_Year]]*100+Table1[[#This Row],[Fiscal_Week]] &amp; "-" &amp;Table1[[#This Row],[BRAND]]</f>
        <v>0-</v>
      </c>
      <c r="C1419" s="19" t="str">
        <f>Table1[[#This Row],[Fiscal_Year]]&amp;"-"&amp;Table1[[#This Row],[BRAND]]</f>
        <v>-</v>
      </c>
      <c r="J1419" t="e">
        <f>VLOOKUP(H1419,DC_Xref!A:B,2,FALSE)</f>
        <v>#N/A</v>
      </c>
      <c r="K1419">
        <f t="shared" si="22"/>
        <v>0</v>
      </c>
      <c r="L14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19" s="3">
        <f>IFERROR(INDEX(Table3[#All],MATCH(Table1[[#This Row],[Key_Year_Week_Brand]],Table3[[#All],[Key_Year_Week_Brand]],0),MATCH(Table1[[#This Row],[DC_name_Xref]],Table3[#Headers],0)),0)</f>
        <v>0</v>
      </c>
      <c r="O1419" s="19">
        <f>IFERROR(INDEX(Table35[#All],MATCH(Table1[[#This Row],[Key_Year_Week_Brand]],Table35[[#All],[Key_Year_Month_Brand]],0),MATCH(Table1[[#This Row],[DC_name_Xref]],Table35[#Headers],0)),0)</f>
        <v>0</v>
      </c>
    </row>
    <row r="1420" spans="1:15" x14ac:dyDescent="0.3">
      <c r="A1420" s="19" t="e">
        <f>Table1[[#This Row],[Year_Week]]&amp;"-"&amp;Table1[[#This Row],[DC_name_Xref]]</f>
        <v>#N/A</v>
      </c>
      <c r="B1420" s="19" t="str">
        <f>Table1[[#This Row],[Fiscal_Year]]*100+Table1[[#This Row],[Fiscal_Week]] &amp; "-" &amp;Table1[[#This Row],[BRAND]]</f>
        <v>0-</v>
      </c>
      <c r="C1420" s="19" t="str">
        <f>Table1[[#This Row],[Fiscal_Year]]&amp;"-"&amp;Table1[[#This Row],[BRAND]]</f>
        <v>-</v>
      </c>
      <c r="J1420" t="e">
        <f>VLOOKUP(H1420,DC_Xref!A:B,2,FALSE)</f>
        <v>#N/A</v>
      </c>
      <c r="K1420">
        <f t="shared" si="22"/>
        <v>0</v>
      </c>
      <c r="L14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0" s="3">
        <f>IFERROR(INDEX(Table3[#All],MATCH(Table1[[#This Row],[Key_Year_Week_Brand]],Table3[[#All],[Key_Year_Week_Brand]],0),MATCH(Table1[[#This Row],[DC_name_Xref]],Table3[#Headers],0)),0)</f>
        <v>0</v>
      </c>
      <c r="O1420" s="19">
        <f>IFERROR(INDEX(Table35[#All],MATCH(Table1[[#This Row],[Key_Year_Week_Brand]],Table35[[#All],[Key_Year_Month_Brand]],0),MATCH(Table1[[#This Row],[DC_name_Xref]],Table35[#Headers],0)),0)</f>
        <v>0</v>
      </c>
    </row>
    <row r="1421" spans="1:15" x14ac:dyDescent="0.3">
      <c r="A1421" s="19" t="e">
        <f>Table1[[#This Row],[Year_Week]]&amp;"-"&amp;Table1[[#This Row],[DC_name_Xref]]</f>
        <v>#N/A</v>
      </c>
      <c r="B1421" s="19" t="str">
        <f>Table1[[#This Row],[Fiscal_Year]]*100+Table1[[#This Row],[Fiscal_Week]] &amp; "-" &amp;Table1[[#This Row],[BRAND]]</f>
        <v>0-</v>
      </c>
      <c r="C1421" s="19" t="str">
        <f>Table1[[#This Row],[Fiscal_Year]]&amp;"-"&amp;Table1[[#This Row],[BRAND]]</f>
        <v>-</v>
      </c>
      <c r="J1421" t="e">
        <f>VLOOKUP(H1421,DC_Xref!A:B,2,FALSE)</f>
        <v>#N/A</v>
      </c>
      <c r="K1421">
        <f t="shared" si="22"/>
        <v>0</v>
      </c>
      <c r="L14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1" s="3">
        <f>IFERROR(INDEX(Table3[#All],MATCH(Table1[[#This Row],[Key_Year_Week_Brand]],Table3[[#All],[Key_Year_Week_Brand]],0),MATCH(Table1[[#This Row],[DC_name_Xref]],Table3[#Headers],0)),0)</f>
        <v>0</v>
      </c>
      <c r="O1421" s="19">
        <f>IFERROR(INDEX(Table35[#All],MATCH(Table1[[#This Row],[Key_Year_Week_Brand]],Table35[[#All],[Key_Year_Month_Brand]],0),MATCH(Table1[[#This Row],[DC_name_Xref]],Table35[#Headers],0)),0)</f>
        <v>0</v>
      </c>
    </row>
    <row r="1422" spans="1:15" x14ac:dyDescent="0.3">
      <c r="A1422" s="19" t="e">
        <f>Table1[[#This Row],[Year_Week]]&amp;"-"&amp;Table1[[#This Row],[DC_name_Xref]]</f>
        <v>#N/A</v>
      </c>
      <c r="B1422" s="19" t="str">
        <f>Table1[[#This Row],[Fiscal_Year]]*100+Table1[[#This Row],[Fiscal_Week]] &amp; "-" &amp;Table1[[#This Row],[BRAND]]</f>
        <v>0-</v>
      </c>
      <c r="C1422" s="19" t="str">
        <f>Table1[[#This Row],[Fiscal_Year]]&amp;"-"&amp;Table1[[#This Row],[BRAND]]</f>
        <v>-</v>
      </c>
      <c r="J1422" t="e">
        <f>VLOOKUP(H1422,DC_Xref!A:B,2,FALSE)</f>
        <v>#N/A</v>
      </c>
      <c r="K1422">
        <f t="shared" si="22"/>
        <v>0</v>
      </c>
      <c r="L14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2" s="3">
        <f>IFERROR(INDEX(Table3[#All],MATCH(Table1[[#This Row],[Key_Year_Week_Brand]],Table3[[#All],[Key_Year_Week_Brand]],0),MATCH(Table1[[#This Row],[DC_name_Xref]],Table3[#Headers],0)),0)</f>
        <v>0</v>
      </c>
      <c r="O1422" s="19">
        <f>IFERROR(INDEX(Table35[#All],MATCH(Table1[[#This Row],[Key_Year_Week_Brand]],Table35[[#All],[Key_Year_Month_Brand]],0),MATCH(Table1[[#This Row],[DC_name_Xref]],Table35[#Headers],0)),0)</f>
        <v>0</v>
      </c>
    </row>
    <row r="1423" spans="1:15" x14ac:dyDescent="0.3">
      <c r="A1423" s="19" t="e">
        <f>Table1[[#This Row],[Year_Week]]&amp;"-"&amp;Table1[[#This Row],[DC_name_Xref]]</f>
        <v>#N/A</v>
      </c>
      <c r="B1423" s="19" t="str">
        <f>Table1[[#This Row],[Fiscal_Year]]*100+Table1[[#This Row],[Fiscal_Week]] &amp; "-" &amp;Table1[[#This Row],[BRAND]]</f>
        <v>0-</v>
      </c>
      <c r="C1423" s="19" t="str">
        <f>Table1[[#This Row],[Fiscal_Year]]&amp;"-"&amp;Table1[[#This Row],[BRAND]]</f>
        <v>-</v>
      </c>
      <c r="J1423" t="e">
        <f>VLOOKUP(H1423,DC_Xref!A:B,2,FALSE)</f>
        <v>#N/A</v>
      </c>
      <c r="K1423">
        <f t="shared" si="22"/>
        <v>0</v>
      </c>
      <c r="L14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3" s="3">
        <f>IFERROR(INDEX(Table3[#All],MATCH(Table1[[#This Row],[Key_Year_Week_Brand]],Table3[[#All],[Key_Year_Week_Brand]],0),MATCH(Table1[[#This Row],[DC_name_Xref]],Table3[#Headers],0)),0)</f>
        <v>0</v>
      </c>
      <c r="O1423" s="19">
        <f>IFERROR(INDEX(Table35[#All],MATCH(Table1[[#This Row],[Key_Year_Week_Brand]],Table35[[#All],[Key_Year_Month_Brand]],0),MATCH(Table1[[#This Row],[DC_name_Xref]],Table35[#Headers],0)),0)</f>
        <v>0</v>
      </c>
    </row>
    <row r="1424" spans="1:15" x14ac:dyDescent="0.3">
      <c r="A1424" s="19" t="e">
        <f>Table1[[#This Row],[Year_Week]]&amp;"-"&amp;Table1[[#This Row],[DC_name_Xref]]</f>
        <v>#N/A</v>
      </c>
      <c r="B1424" s="19" t="str">
        <f>Table1[[#This Row],[Fiscal_Year]]*100+Table1[[#This Row],[Fiscal_Week]] &amp; "-" &amp;Table1[[#This Row],[BRAND]]</f>
        <v>0-</v>
      </c>
      <c r="C1424" s="19" t="str">
        <f>Table1[[#This Row],[Fiscal_Year]]&amp;"-"&amp;Table1[[#This Row],[BRAND]]</f>
        <v>-</v>
      </c>
      <c r="J1424" t="e">
        <f>VLOOKUP(H1424,DC_Xref!A:B,2,FALSE)</f>
        <v>#N/A</v>
      </c>
      <c r="K1424">
        <f t="shared" si="22"/>
        <v>0</v>
      </c>
      <c r="L14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4" s="3">
        <f>IFERROR(INDEX(Table3[#All],MATCH(Table1[[#This Row],[Key_Year_Week_Brand]],Table3[[#All],[Key_Year_Week_Brand]],0),MATCH(Table1[[#This Row],[DC_name_Xref]],Table3[#Headers],0)),0)</f>
        <v>0</v>
      </c>
      <c r="O1424" s="19">
        <f>IFERROR(INDEX(Table35[#All],MATCH(Table1[[#This Row],[Key_Year_Week_Brand]],Table35[[#All],[Key_Year_Month_Brand]],0),MATCH(Table1[[#This Row],[DC_name_Xref]],Table35[#Headers],0)),0)</f>
        <v>0</v>
      </c>
    </row>
    <row r="1425" spans="1:15" x14ac:dyDescent="0.3">
      <c r="A1425" s="19" t="e">
        <f>Table1[[#This Row],[Year_Week]]&amp;"-"&amp;Table1[[#This Row],[DC_name_Xref]]</f>
        <v>#N/A</v>
      </c>
      <c r="B1425" s="19" t="str">
        <f>Table1[[#This Row],[Fiscal_Year]]*100+Table1[[#This Row],[Fiscal_Week]] &amp; "-" &amp;Table1[[#This Row],[BRAND]]</f>
        <v>0-</v>
      </c>
      <c r="C1425" s="19" t="str">
        <f>Table1[[#This Row],[Fiscal_Year]]&amp;"-"&amp;Table1[[#This Row],[BRAND]]</f>
        <v>-</v>
      </c>
      <c r="J1425" t="e">
        <f>VLOOKUP(H1425,DC_Xref!A:B,2,FALSE)</f>
        <v>#N/A</v>
      </c>
      <c r="K1425">
        <f t="shared" si="22"/>
        <v>0</v>
      </c>
      <c r="L14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5" s="3">
        <f>IFERROR(INDEX(Table3[#All],MATCH(Table1[[#This Row],[Key_Year_Week_Brand]],Table3[[#All],[Key_Year_Week_Brand]],0),MATCH(Table1[[#This Row],[DC_name_Xref]],Table3[#Headers],0)),0)</f>
        <v>0</v>
      </c>
      <c r="O1425" s="19">
        <f>IFERROR(INDEX(Table35[#All],MATCH(Table1[[#This Row],[Key_Year_Week_Brand]],Table35[[#All],[Key_Year_Month_Brand]],0),MATCH(Table1[[#This Row],[DC_name_Xref]],Table35[#Headers],0)),0)</f>
        <v>0</v>
      </c>
    </row>
    <row r="1426" spans="1:15" x14ac:dyDescent="0.3">
      <c r="A1426" s="19" t="e">
        <f>Table1[[#This Row],[Year_Week]]&amp;"-"&amp;Table1[[#This Row],[DC_name_Xref]]</f>
        <v>#N/A</v>
      </c>
      <c r="B1426" s="19" t="str">
        <f>Table1[[#This Row],[Fiscal_Year]]*100+Table1[[#This Row],[Fiscal_Week]] &amp; "-" &amp;Table1[[#This Row],[BRAND]]</f>
        <v>0-</v>
      </c>
      <c r="C1426" s="19" t="str">
        <f>Table1[[#This Row],[Fiscal_Year]]&amp;"-"&amp;Table1[[#This Row],[BRAND]]</f>
        <v>-</v>
      </c>
      <c r="J1426" t="e">
        <f>VLOOKUP(H1426,DC_Xref!A:B,2,FALSE)</f>
        <v>#N/A</v>
      </c>
      <c r="K1426">
        <f t="shared" si="22"/>
        <v>0</v>
      </c>
      <c r="L14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6" s="3">
        <f>IFERROR(INDEX(Table3[#All],MATCH(Table1[[#This Row],[Key_Year_Week_Brand]],Table3[[#All],[Key_Year_Week_Brand]],0),MATCH(Table1[[#This Row],[DC_name_Xref]],Table3[#Headers],0)),0)</f>
        <v>0</v>
      </c>
      <c r="O1426" s="19">
        <f>IFERROR(INDEX(Table35[#All],MATCH(Table1[[#This Row],[Key_Year_Week_Brand]],Table35[[#All],[Key_Year_Month_Brand]],0),MATCH(Table1[[#This Row],[DC_name_Xref]],Table35[#Headers],0)),0)</f>
        <v>0</v>
      </c>
    </row>
    <row r="1427" spans="1:15" x14ac:dyDescent="0.3">
      <c r="A1427" s="19" t="e">
        <f>Table1[[#This Row],[Year_Week]]&amp;"-"&amp;Table1[[#This Row],[DC_name_Xref]]</f>
        <v>#N/A</v>
      </c>
      <c r="B1427" s="19" t="str">
        <f>Table1[[#This Row],[Fiscal_Year]]*100+Table1[[#This Row],[Fiscal_Week]] &amp; "-" &amp;Table1[[#This Row],[BRAND]]</f>
        <v>0-</v>
      </c>
      <c r="C1427" s="19" t="str">
        <f>Table1[[#This Row],[Fiscal_Year]]&amp;"-"&amp;Table1[[#This Row],[BRAND]]</f>
        <v>-</v>
      </c>
      <c r="J1427" t="e">
        <f>VLOOKUP(H1427,DC_Xref!A:B,2,FALSE)</f>
        <v>#N/A</v>
      </c>
      <c r="K1427">
        <f t="shared" si="22"/>
        <v>0</v>
      </c>
      <c r="L14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7" s="3">
        <f>IFERROR(INDEX(Table3[#All],MATCH(Table1[[#This Row],[Key_Year_Week_Brand]],Table3[[#All],[Key_Year_Week_Brand]],0),MATCH(Table1[[#This Row],[DC_name_Xref]],Table3[#Headers],0)),0)</f>
        <v>0</v>
      </c>
      <c r="O1427" s="19">
        <f>IFERROR(INDEX(Table35[#All],MATCH(Table1[[#This Row],[Key_Year_Week_Brand]],Table35[[#All],[Key_Year_Month_Brand]],0),MATCH(Table1[[#This Row],[DC_name_Xref]],Table35[#Headers],0)),0)</f>
        <v>0</v>
      </c>
    </row>
    <row r="1428" spans="1:15" x14ac:dyDescent="0.3">
      <c r="A1428" s="19" t="e">
        <f>Table1[[#This Row],[Year_Week]]&amp;"-"&amp;Table1[[#This Row],[DC_name_Xref]]</f>
        <v>#N/A</v>
      </c>
      <c r="B1428" s="19" t="str">
        <f>Table1[[#This Row],[Fiscal_Year]]*100+Table1[[#This Row],[Fiscal_Week]] &amp; "-" &amp;Table1[[#This Row],[BRAND]]</f>
        <v>0-</v>
      </c>
      <c r="C1428" s="19" t="str">
        <f>Table1[[#This Row],[Fiscal_Year]]&amp;"-"&amp;Table1[[#This Row],[BRAND]]</f>
        <v>-</v>
      </c>
      <c r="J1428" t="e">
        <f>VLOOKUP(H1428,DC_Xref!A:B,2,FALSE)</f>
        <v>#N/A</v>
      </c>
      <c r="K1428">
        <f t="shared" si="22"/>
        <v>0</v>
      </c>
      <c r="L14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8" s="3">
        <f>IFERROR(INDEX(Table3[#All],MATCH(Table1[[#This Row],[Key_Year_Week_Brand]],Table3[[#All],[Key_Year_Week_Brand]],0),MATCH(Table1[[#This Row],[DC_name_Xref]],Table3[#Headers],0)),0)</f>
        <v>0</v>
      </c>
      <c r="O1428" s="19">
        <f>IFERROR(INDEX(Table35[#All],MATCH(Table1[[#This Row],[Key_Year_Week_Brand]],Table35[[#All],[Key_Year_Month_Brand]],0),MATCH(Table1[[#This Row],[DC_name_Xref]],Table35[#Headers],0)),0)</f>
        <v>0</v>
      </c>
    </row>
    <row r="1429" spans="1:15" x14ac:dyDescent="0.3">
      <c r="A1429" s="19" t="e">
        <f>Table1[[#This Row],[Year_Week]]&amp;"-"&amp;Table1[[#This Row],[DC_name_Xref]]</f>
        <v>#N/A</v>
      </c>
      <c r="B1429" s="19" t="str">
        <f>Table1[[#This Row],[Fiscal_Year]]*100+Table1[[#This Row],[Fiscal_Week]] &amp; "-" &amp;Table1[[#This Row],[BRAND]]</f>
        <v>0-</v>
      </c>
      <c r="C1429" s="19" t="str">
        <f>Table1[[#This Row],[Fiscal_Year]]&amp;"-"&amp;Table1[[#This Row],[BRAND]]</f>
        <v>-</v>
      </c>
      <c r="J1429" t="e">
        <f>VLOOKUP(H1429,DC_Xref!A:B,2,FALSE)</f>
        <v>#N/A</v>
      </c>
      <c r="K1429">
        <f t="shared" si="22"/>
        <v>0</v>
      </c>
      <c r="L14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29" s="3">
        <f>IFERROR(INDEX(Table3[#All],MATCH(Table1[[#This Row],[Key_Year_Week_Brand]],Table3[[#All],[Key_Year_Week_Brand]],0),MATCH(Table1[[#This Row],[DC_name_Xref]],Table3[#Headers],0)),0)</f>
        <v>0</v>
      </c>
      <c r="O1429" s="19">
        <f>IFERROR(INDEX(Table35[#All],MATCH(Table1[[#This Row],[Key_Year_Week_Brand]],Table35[[#All],[Key_Year_Month_Brand]],0),MATCH(Table1[[#This Row],[DC_name_Xref]],Table35[#Headers],0)),0)</f>
        <v>0</v>
      </c>
    </row>
    <row r="1430" spans="1:15" x14ac:dyDescent="0.3">
      <c r="A1430" s="19" t="e">
        <f>Table1[[#This Row],[Year_Week]]&amp;"-"&amp;Table1[[#This Row],[DC_name_Xref]]</f>
        <v>#N/A</v>
      </c>
      <c r="B1430" s="19" t="str">
        <f>Table1[[#This Row],[Fiscal_Year]]*100+Table1[[#This Row],[Fiscal_Week]] &amp; "-" &amp;Table1[[#This Row],[BRAND]]</f>
        <v>0-</v>
      </c>
      <c r="C1430" s="19" t="str">
        <f>Table1[[#This Row],[Fiscal_Year]]&amp;"-"&amp;Table1[[#This Row],[BRAND]]</f>
        <v>-</v>
      </c>
      <c r="J1430" t="e">
        <f>VLOOKUP(H1430,DC_Xref!A:B,2,FALSE)</f>
        <v>#N/A</v>
      </c>
      <c r="K1430">
        <f t="shared" si="22"/>
        <v>0</v>
      </c>
      <c r="L14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0" s="3">
        <f>IFERROR(INDEX(Table3[#All],MATCH(Table1[[#This Row],[Key_Year_Week_Brand]],Table3[[#All],[Key_Year_Week_Brand]],0),MATCH(Table1[[#This Row],[DC_name_Xref]],Table3[#Headers],0)),0)</f>
        <v>0</v>
      </c>
      <c r="O1430" s="19">
        <f>IFERROR(INDEX(Table35[#All],MATCH(Table1[[#This Row],[Key_Year_Week_Brand]],Table35[[#All],[Key_Year_Month_Brand]],0),MATCH(Table1[[#This Row],[DC_name_Xref]],Table35[#Headers],0)),0)</f>
        <v>0</v>
      </c>
    </row>
    <row r="1431" spans="1:15" x14ac:dyDescent="0.3">
      <c r="A1431" s="19" t="e">
        <f>Table1[[#This Row],[Year_Week]]&amp;"-"&amp;Table1[[#This Row],[DC_name_Xref]]</f>
        <v>#N/A</v>
      </c>
      <c r="B1431" s="19" t="str">
        <f>Table1[[#This Row],[Fiscal_Year]]*100+Table1[[#This Row],[Fiscal_Week]] &amp; "-" &amp;Table1[[#This Row],[BRAND]]</f>
        <v>0-</v>
      </c>
      <c r="C1431" s="19" t="str">
        <f>Table1[[#This Row],[Fiscal_Year]]&amp;"-"&amp;Table1[[#This Row],[BRAND]]</f>
        <v>-</v>
      </c>
      <c r="J1431" t="e">
        <f>VLOOKUP(H1431,DC_Xref!A:B,2,FALSE)</f>
        <v>#N/A</v>
      </c>
      <c r="K1431">
        <f t="shared" si="22"/>
        <v>0</v>
      </c>
      <c r="L14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1" s="3">
        <f>IFERROR(INDEX(Table3[#All],MATCH(Table1[[#This Row],[Key_Year_Week_Brand]],Table3[[#All],[Key_Year_Week_Brand]],0),MATCH(Table1[[#This Row],[DC_name_Xref]],Table3[#Headers],0)),0)</f>
        <v>0</v>
      </c>
      <c r="O1431" s="19">
        <f>IFERROR(INDEX(Table35[#All],MATCH(Table1[[#This Row],[Key_Year_Week_Brand]],Table35[[#All],[Key_Year_Month_Brand]],0),MATCH(Table1[[#This Row],[DC_name_Xref]],Table35[#Headers],0)),0)</f>
        <v>0</v>
      </c>
    </row>
    <row r="1432" spans="1:15" x14ac:dyDescent="0.3">
      <c r="A1432" s="19" t="e">
        <f>Table1[[#This Row],[Year_Week]]&amp;"-"&amp;Table1[[#This Row],[DC_name_Xref]]</f>
        <v>#N/A</v>
      </c>
      <c r="B1432" s="19" t="str">
        <f>Table1[[#This Row],[Fiscal_Year]]*100+Table1[[#This Row],[Fiscal_Week]] &amp; "-" &amp;Table1[[#This Row],[BRAND]]</f>
        <v>0-</v>
      </c>
      <c r="C1432" s="19" t="str">
        <f>Table1[[#This Row],[Fiscal_Year]]&amp;"-"&amp;Table1[[#This Row],[BRAND]]</f>
        <v>-</v>
      </c>
      <c r="J1432" t="e">
        <f>VLOOKUP(H1432,DC_Xref!A:B,2,FALSE)</f>
        <v>#N/A</v>
      </c>
      <c r="K1432">
        <f t="shared" si="22"/>
        <v>0</v>
      </c>
      <c r="L14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2" s="3">
        <f>IFERROR(INDEX(Table3[#All],MATCH(Table1[[#This Row],[Key_Year_Week_Brand]],Table3[[#All],[Key_Year_Week_Brand]],0),MATCH(Table1[[#This Row],[DC_name_Xref]],Table3[#Headers],0)),0)</f>
        <v>0</v>
      </c>
      <c r="O1432" s="19">
        <f>IFERROR(INDEX(Table35[#All],MATCH(Table1[[#This Row],[Key_Year_Week_Brand]],Table35[[#All],[Key_Year_Month_Brand]],0),MATCH(Table1[[#This Row],[DC_name_Xref]],Table35[#Headers],0)),0)</f>
        <v>0</v>
      </c>
    </row>
    <row r="1433" spans="1:15" x14ac:dyDescent="0.3">
      <c r="A1433" s="19" t="e">
        <f>Table1[[#This Row],[Year_Week]]&amp;"-"&amp;Table1[[#This Row],[DC_name_Xref]]</f>
        <v>#N/A</v>
      </c>
      <c r="B1433" s="19" t="str">
        <f>Table1[[#This Row],[Fiscal_Year]]*100+Table1[[#This Row],[Fiscal_Week]] &amp; "-" &amp;Table1[[#This Row],[BRAND]]</f>
        <v>0-</v>
      </c>
      <c r="C1433" s="19" t="str">
        <f>Table1[[#This Row],[Fiscal_Year]]&amp;"-"&amp;Table1[[#This Row],[BRAND]]</f>
        <v>-</v>
      </c>
      <c r="J1433" t="e">
        <f>VLOOKUP(H1433,DC_Xref!A:B,2,FALSE)</f>
        <v>#N/A</v>
      </c>
      <c r="K1433">
        <f t="shared" si="22"/>
        <v>0</v>
      </c>
      <c r="L14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3" s="3">
        <f>IFERROR(INDEX(Table3[#All],MATCH(Table1[[#This Row],[Key_Year_Week_Brand]],Table3[[#All],[Key_Year_Week_Brand]],0),MATCH(Table1[[#This Row],[DC_name_Xref]],Table3[#Headers],0)),0)</f>
        <v>0</v>
      </c>
      <c r="O1433" s="19">
        <f>IFERROR(INDEX(Table35[#All],MATCH(Table1[[#This Row],[Key_Year_Week_Brand]],Table35[[#All],[Key_Year_Month_Brand]],0),MATCH(Table1[[#This Row],[DC_name_Xref]],Table35[#Headers],0)),0)</f>
        <v>0</v>
      </c>
    </row>
    <row r="1434" spans="1:15" x14ac:dyDescent="0.3">
      <c r="A1434" s="19" t="e">
        <f>Table1[[#This Row],[Year_Week]]&amp;"-"&amp;Table1[[#This Row],[DC_name_Xref]]</f>
        <v>#N/A</v>
      </c>
      <c r="B1434" s="19" t="str">
        <f>Table1[[#This Row],[Fiscal_Year]]*100+Table1[[#This Row],[Fiscal_Week]] &amp; "-" &amp;Table1[[#This Row],[BRAND]]</f>
        <v>0-</v>
      </c>
      <c r="C1434" s="19" t="str">
        <f>Table1[[#This Row],[Fiscal_Year]]&amp;"-"&amp;Table1[[#This Row],[BRAND]]</f>
        <v>-</v>
      </c>
      <c r="J1434" t="e">
        <f>VLOOKUP(H1434,DC_Xref!A:B,2,FALSE)</f>
        <v>#N/A</v>
      </c>
      <c r="K1434">
        <f t="shared" si="22"/>
        <v>0</v>
      </c>
      <c r="L14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4" s="3">
        <f>IFERROR(INDEX(Table3[#All],MATCH(Table1[[#This Row],[Key_Year_Week_Brand]],Table3[[#All],[Key_Year_Week_Brand]],0),MATCH(Table1[[#This Row],[DC_name_Xref]],Table3[#Headers],0)),0)</f>
        <v>0</v>
      </c>
      <c r="O1434" s="19">
        <f>IFERROR(INDEX(Table35[#All],MATCH(Table1[[#This Row],[Key_Year_Week_Brand]],Table35[[#All],[Key_Year_Month_Brand]],0),MATCH(Table1[[#This Row],[DC_name_Xref]],Table35[#Headers],0)),0)</f>
        <v>0</v>
      </c>
    </row>
    <row r="1435" spans="1:15" x14ac:dyDescent="0.3">
      <c r="A1435" s="19" t="e">
        <f>Table1[[#This Row],[Year_Week]]&amp;"-"&amp;Table1[[#This Row],[DC_name_Xref]]</f>
        <v>#N/A</v>
      </c>
      <c r="B1435" s="19" t="str">
        <f>Table1[[#This Row],[Fiscal_Year]]*100+Table1[[#This Row],[Fiscal_Week]] &amp; "-" &amp;Table1[[#This Row],[BRAND]]</f>
        <v>0-</v>
      </c>
      <c r="C1435" s="19" t="str">
        <f>Table1[[#This Row],[Fiscal_Year]]&amp;"-"&amp;Table1[[#This Row],[BRAND]]</f>
        <v>-</v>
      </c>
      <c r="J1435" t="e">
        <f>VLOOKUP(H1435,DC_Xref!A:B,2,FALSE)</f>
        <v>#N/A</v>
      </c>
      <c r="K1435">
        <f t="shared" si="22"/>
        <v>0</v>
      </c>
      <c r="L14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5" s="3">
        <f>IFERROR(INDEX(Table3[#All],MATCH(Table1[[#This Row],[Key_Year_Week_Brand]],Table3[[#All],[Key_Year_Week_Brand]],0),MATCH(Table1[[#This Row],[DC_name_Xref]],Table3[#Headers],0)),0)</f>
        <v>0</v>
      </c>
      <c r="O1435" s="19">
        <f>IFERROR(INDEX(Table35[#All],MATCH(Table1[[#This Row],[Key_Year_Week_Brand]],Table35[[#All],[Key_Year_Month_Brand]],0),MATCH(Table1[[#This Row],[DC_name_Xref]],Table35[#Headers],0)),0)</f>
        <v>0</v>
      </c>
    </row>
    <row r="1436" spans="1:15" x14ac:dyDescent="0.3">
      <c r="A1436" s="19" t="e">
        <f>Table1[[#This Row],[Year_Week]]&amp;"-"&amp;Table1[[#This Row],[DC_name_Xref]]</f>
        <v>#N/A</v>
      </c>
      <c r="B1436" s="19" t="str">
        <f>Table1[[#This Row],[Fiscal_Year]]*100+Table1[[#This Row],[Fiscal_Week]] &amp; "-" &amp;Table1[[#This Row],[BRAND]]</f>
        <v>0-</v>
      </c>
      <c r="C1436" s="19" t="str">
        <f>Table1[[#This Row],[Fiscal_Year]]&amp;"-"&amp;Table1[[#This Row],[BRAND]]</f>
        <v>-</v>
      </c>
      <c r="J1436" t="e">
        <f>VLOOKUP(H1436,DC_Xref!A:B,2,FALSE)</f>
        <v>#N/A</v>
      </c>
      <c r="K1436">
        <f t="shared" si="22"/>
        <v>0</v>
      </c>
      <c r="L14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6" s="3">
        <f>IFERROR(INDEX(Table3[#All],MATCH(Table1[[#This Row],[Key_Year_Week_Brand]],Table3[[#All],[Key_Year_Week_Brand]],0),MATCH(Table1[[#This Row],[DC_name_Xref]],Table3[#Headers],0)),0)</f>
        <v>0</v>
      </c>
      <c r="O1436" s="19">
        <f>IFERROR(INDEX(Table35[#All],MATCH(Table1[[#This Row],[Key_Year_Week_Brand]],Table35[[#All],[Key_Year_Month_Brand]],0),MATCH(Table1[[#This Row],[DC_name_Xref]],Table35[#Headers],0)),0)</f>
        <v>0</v>
      </c>
    </row>
    <row r="1437" spans="1:15" x14ac:dyDescent="0.3">
      <c r="A1437" s="19" t="e">
        <f>Table1[[#This Row],[Year_Week]]&amp;"-"&amp;Table1[[#This Row],[DC_name_Xref]]</f>
        <v>#N/A</v>
      </c>
      <c r="B1437" s="19" t="str">
        <f>Table1[[#This Row],[Fiscal_Year]]*100+Table1[[#This Row],[Fiscal_Week]] &amp; "-" &amp;Table1[[#This Row],[BRAND]]</f>
        <v>0-</v>
      </c>
      <c r="C1437" s="19" t="str">
        <f>Table1[[#This Row],[Fiscal_Year]]&amp;"-"&amp;Table1[[#This Row],[BRAND]]</f>
        <v>-</v>
      </c>
      <c r="J1437" t="e">
        <f>VLOOKUP(H1437,DC_Xref!A:B,2,FALSE)</f>
        <v>#N/A</v>
      </c>
      <c r="K1437">
        <f t="shared" si="22"/>
        <v>0</v>
      </c>
      <c r="L14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7" s="3">
        <f>IFERROR(INDEX(Table3[#All],MATCH(Table1[[#This Row],[Key_Year_Week_Brand]],Table3[[#All],[Key_Year_Week_Brand]],0),MATCH(Table1[[#This Row],[DC_name_Xref]],Table3[#Headers],0)),0)</f>
        <v>0</v>
      </c>
      <c r="O1437" s="19">
        <f>IFERROR(INDEX(Table35[#All],MATCH(Table1[[#This Row],[Key_Year_Week_Brand]],Table35[[#All],[Key_Year_Month_Brand]],0),MATCH(Table1[[#This Row],[DC_name_Xref]],Table35[#Headers],0)),0)</f>
        <v>0</v>
      </c>
    </row>
    <row r="1438" spans="1:15" x14ac:dyDescent="0.3">
      <c r="A1438" s="19" t="e">
        <f>Table1[[#This Row],[Year_Week]]&amp;"-"&amp;Table1[[#This Row],[DC_name_Xref]]</f>
        <v>#N/A</v>
      </c>
      <c r="B1438" s="19" t="str">
        <f>Table1[[#This Row],[Fiscal_Year]]*100+Table1[[#This Row],[Fiscal_Week]] &amp; "-" &amp;Table1[[#This Row],[BRAND]]</f>
        <v>0-</v>
      </c>
      <c r="C1438" s="19" t="str">
        <f>Table1[[#This Row],[Fiscal_Year]]&amp;"-"&amp;Table1[[#This Row],[BRAND]]</f>
        <v>-</v>
      </c>
      <c r="J1438" t="e">
        <f>VLOOKUP(H1438,DC_Xref!A:B,2,FALSE)</f>
        <v>#N/A</v>
      </c>
      <c r="K1438">
        <f t="shared" si="22"/>
        <v>0</v>
      </c>
      <c r="L14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8" s="3">
        <f>IFERROR(INDEX(Table3[#All],MATCH(Table1[[#This Row],[Key_Year_Week_Brand]],Table3[[#All],[Key_Year_Week_Brand]],0),MATCH(Table1[[#This Row],[DC_name_Xref]],Table3[#Headers],0)),0)</f>
        <v>0</v>
      </c>
      <c r="O1438" s="19">
        <f>IFERROR(INDEX(Table35[#All],MATCH(Table1[[#This Row],[Key_Year_Week_Brand]],Table35[[#All],[Key_Year_Month_Brand]],0),MATCH(Table1[[#This Row],[DC_name_Xref]],Table35[#Headers],0)),0)</f>
        <v>0</v>
      </c>
    </row>
    <row r="1439" spans="1:15" x14ac:dyDescent="0.3">
      <c r="A1439" s="19" t="e">
        <f>Table1[[#This Row],[Year_Week]]&amp;"-"&amp;Table1[[#This Row],[DC_name_Xref]]</f>
        <v>#N/A</v>
      </c>
      <c r="B1439" s="19" t="str">
        <f>Table1[[#This Row],[Fiscal_Year]]*100+Table1[[#This Row],[Fiscal_Week]] &amp; "-" &amp;Table1[[#This Row],[BRAND]]</f>
        <v>0-</v>
      </c>
      <c r="C1439" s="19" t="str">
        <f>Table1[[#This Row],[Fiscal_Year]]&amp;"-"&amp;Table1[[#This Row],[BRAND]]</f>
        <v>-</v>
      </c>
      <c r="J1439" t="e">
        <f>VLOOKUP(H1439,DC_Xref!A:B,2,FALSE)</f>
        <v>#N/A</v>
      </c>
      <c r="K1439">
        <f t="shared" si="22"/>
        <v>0</v>
      </c>
      <c r="L14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39" s="3">
        <f>IFERROR(INDEX(Table3[#All],MATCH(Table1[[#This Row],[Key_Year_Week_Brand]],Table3[[#All],[Key_Year_Week_Brand]],0),MATCH(Table1[[#This Row],[DC_name_Xref]],Table3[#Headers],0)),0)</f>
        <v>0</v>
      </c>
      <c r="O1439" s="19">
        <f>IFERROR(INDEX(Table35[#All],MATCH(Table1[[#This Row],[Key_Year_Week_Brand]],Table35[[#All],[Key_Year_Month_Brand]],0),MATCH(Table1[[#This Row],[DC_name_Xref]],Table35[#Headers],0)),0)</f>
        <v>0</v>
      </c>
    </row>
    <row r="1440" spans="1:15" x14ac:dyDescent="0.3">
      <c r="A1440" s="19" t="e">
        <f>Table1[[#This Row],[Year_Week]]&amp;"-"&amp;Table1[[#This Row],[DC_name_Xref]]</f>
        <v>#N/A</v>
      </c>
      <c r="B1440" s="19" t="str">
        <f>Table1[[#This Row],[Fiscal_Year]]*100+Table1[[#This Row],[Fiscal_Week]] &amp; "-" &amp;Table1[[#This Row],[BRAND]]</f>
        <v>0-</v>
      </c>
      <c r="C1440" s="19" t="str">
        <f>Table1[[#This Row],[Fiscal_Year]]&amp;"-"&amp;Table1[[#This Row],[BRAND]]</f>
        <v>-</v>
      </c>
      <c r="J1440" t="e">
        <f>VLOOKUP(H1440,DC_Xref!A:B,2,FALSE)</f>
        <v>#N/A</v>
      </c>
      <c r="K1440">
        <f t="shared" si="22"/>
        <v>0</v>
      </c>
      <c r="L14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0" s="3">
        <f>IFERROR(INDEX(Table3[#All],MATCH(Table1[[#This Row],[Key_Year_Week_Brand]],Table3[[#All],[Key_Year_Week_Brand]],0),MATCH(Table1[[#This Row],[DC_name_Xref]],Table3[#Headers],0)),0)</f>
        <v>0</v>
      </c>
      <c r="O1440" s="19">
        <f>IFERROR(INDEX(Table35[#All],MATCH(Table1[[#This Row],[Key_Year_Week_Brand]],Table35[[#All],[Key_Year_Month_Brand]],0),MATCH(Table1[[#This Row],[DC_name_Xref]],Table35[#Headers],0)),0)</f>
        <v>0</v>
      </c>
    </row>
    <row r="1441" spans="1:15" x14ac:dyDescent="0.3">
      <c r="A1441" s="19" t="e">
        <f>Table1[[#This Row],[Year_Week]]&amp;"-"&amp;Table1[[#This Row],[DC_name_Xref]]</f>
        <v>#N/A</v>
      </c>
      <c r="B1441" s="19" t="str">
        <f>Table1[[#This Row],[Fiscal_Year]]*100+Table1[[#This Row],[Fiscal_Week]] &amp; "-" &amp;Table1[[#This Row],[BRAND]]</f>
        <v>0-</v>
      </c>
      <c r="C1441" s="19" t="str">
        <f>Table1[[#This Row],[Fiscal_Year]]&amp;"-"&amp;Table1[[#This Row],[BRAND]]</f>
        <v>-</v>
      </c>
      <c r="J1441" t="e">
        <f>VLOOKUP(H1441,DC_Xref!A:B,2,FALSE)</f>
        <v>#N/A</v>
      </c>
      <c r="K1441">
        <f t="shared" si="22"/>
        <v>0</v>
      </c>
      <c r="L14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1" s="3">
        <f>IFERROR(INDEX(Table3[#All],MATCH(Table1[[#This Row],[Key_Year_Week_Brand]],Table3[[#All],[Key_Year_Week_Brand]],0),MATCH(Table1[[#This Row],[DC_name_Xref]],Table3[#Headers],0)),0)</f>
        <v>0</v>
      </c>
      <c r="O1441" s="19">
        <f>IFERROR(INDEX(Table35[#All],MATCH(Table1[[#This Row],[Key_Year_Week_Brand]],Table35[[#All],[Key_Year_Month_Brand]],0),MATCH(Table1[[#This Row],[DC_name_Xref]],Table35[#Headers],0)),0)</f>
        <v>0</v>
      </c>
    </row>
    <row r="1442" spans="1:15" x14ac:dyDescent="0.3">
      <c r="A1442" s="19" t="e">
        <f>Table1[[#This Row],[Year_Week]]&amp;"-"&amp;Table1[[#This Row],[DC_name_Xref]]</f>
        <v>#N/A</v>
      </c>
      <c r="B1442" s="19" t="str">
        <f>Table1[[#This Row],[Fiscal_Year]]*100+Table1[[#This Row],[Fiscal_Week]] &amp; "-" &amp;Table1[[#This Row],[BRAND]]</f>
        <v>0-</v>
      </c>
      <c r="C1442" s="19" t="str">
        <f>Table1[[#This Row],[Fiscal_Year]]&amp;"-"&amp;Table1[[#This Row],[BRAND]]</f>
        <v>-</v>
      </c>
      <c r="J1442" t="e">
        <f>VLOOKUP(H1442,DC_Xref!A:B,2,FALSE)</f>
        <v>#N/A</v>
      </c>
      <c r="K1442">
        <f t="shared" si="22"/>
        <v>0</v>
      </c>
      <c r="L14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2" s="3">
        <f>IFERROR(INDEX(Table3[#All],MATCH(Table1[[#This Row],[Key_Year_Week_Brand]],Table3[[#All],[Key_Year_Week_Brand]],0),MATCH(Table1[[#This Row],[DC_name_Xref]],Table3[#Headers],0)),0)</f>
        <v>0</v>
      </c>
      <c r="O1442" s="19">
        <f>IFERROR(INDEX(Table35[#All],MATCH(Table1[[#This Row],[Key_Year_Week_Brand]],Table35[[#All],[Key_Year_Month_Brand]],0),MATCH(Table1[[#This Row],[DC_name_Xref]],Table35[#Headers],0)),0)</f>
        <v>0</v>
      </c>
    </row>
    <row r="1443" spans="1:15" x14ac:dyDescent="0.3">
      <c r="A1443" s="19" t="e">
        <f>Table1[[#This Row],[Year_Week]]&amp;"-"&amp;Table1[[#This Row],[DC_name_Xref]]</f>
        <v>#N/A</v>
      </c>
      <c r="B1443" s="19" t="str">
        <f>Table1[[#This Row],[Fiscal_Year]]*100+Table1[[#This Row],[Fiscal_Week]] &amp; "-" &amp;Table1[[#This Row],[BRAND]]</f>
        <v>0-</v>
      </c>
      <c r="C1443" s="19" t="str">
        <f>Table1[[#This Row],[Fiscal_Year]]&amp;"-"&amp;Table1[[#This Row],[BRAND]]</f>
        <v>-</v>
      </c>
      <c r="J1443" t="e">
        <f>VLOOKUP(H1443,DC_Xref!A:B,2,FALSE)</f>
        <v>#N/A</v>
      </c>
      <c r="K1443">
        <f t="shared" si="22"/>
        <v>0</v>
      </c>
      <c r="L14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3" s="3">
        <f>IFERROR(INDEX(Table3[#All],MATCH(Table1[[#This Row],[Key_Year_Week_Brand]],Table3[[#All],[Key_Year_Week_Brand]],0),MATCH(Table1[[#This Row],[DC_name_Xref]],Table3[#Headers],0)),0)</f>
        <v>0</v>
      </c>
      <c r="O1443" s="19">
        <f>IFERROR(INDEX(Table35[#All],MATCH(Table1[[#This Row],[Key_Year_Week_Brand]],Table35[[#All],[Key_Year_Month_Brand]],0),MATCH(Table1[[#This Row],[DC_name_Xref]],Table35[#Headers],0)),0)</f>
        <v>0</v>
      </c>
    </row>
    <row r="1444" spans="1:15" x14ac:dyDescent="0.3">
      <c r="A1444" s="19" t="e">
        <f>Table1[[#This Row],[Year_Week]]&amp;"-"&amp;Table1[[#This Row],[DC_name_Xref]]</f>
        <v>#N/A</v>
      </c>
      <c r="B1444" s="19" t="str">
        <f>Table1[[#This Row],[Fiscal_Year]]*100+Table1[[#This Row],[Fiscal_Week]] &amp; "-" &amp;Table1[[#This Row],[BRAND]]</f>
        <v>0-</v>
      </c>
      <c r="C1444" s="19" t="str">
        <f>Table1[[#This Row],[Fiscal_Year]]&amp;"-"&amp;Table1[[#This Row],[BRAND]]</f>
        <v>-</v>
      </c>
      <c r="J1444" t="e">
        <f>VLOOKUP(H1444,DC_Xref!A:B,2,FALSE)</f>
        <v>#N/A</v>
      </c>
      <c r="K1444">
        <f t="shared" si="22"/>
        <v>0</v>
      </c>
      <c r="L14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4" s="3">
        <f>IFERROR(INDEX(Table3[#All],MATCH(Table1[[#This Row],[Key_Year_Week_Brand]],Table3[[#All],[Key_Year_Week_Brand]],0),MATCH(Table1[[#This Row],[DC_name_Xref]],Table3[#Headers],0)),0)</f>
        <v>0</v>
      </c>
      <c r="O1444" s="19">
        <f>IFERROR(INDEX(Table35[#All],MATCH(Table1[[#This Row],[Key_Year_Week_Brand]],Table35[[#All],[Key_Year_Month_Brand]],0),MATCH(Table1[[#This Row],[DC_name_Xref]],Table35[#Headers],0)),0)</f>
        <v>0</v>
      </c>
    </row>
    <row r="1445" spans="1:15" x14ac:dyDescent="0.3">
      <c r="A1445" s="19" t="e">
        <f>Table1[[#This Row],[Year_Week]]&amp;"-"&amp;Table1[[#This Row],[DC_name_Xref]]</f>
        <v>#N/A</v>
      </c>
      <c r="B1445" s="19" t="str">
        <f>Table1[[#This Row],[Fiscal_Year]]*100+Table1[[#This Row],[Fiscal_Week]] &amp; "-" &amp;Table1[[#This Row],[BRAND]]</f>
        <v>0-</v>
      </c>
      <c r="C1445" s="19" t="str">
        <f>Table1[[#This Row],[Fiscal_Year]]&amp;"-"&amp;Table1[[#This Row],[BRAND]]</f>
        <v>-</v>
      </c>
      <c r="J1445" t="e">
        <f>VLOOKUP(H1445,DC_Xref!A:B,2,FALSE)</f>
        <v>#N/A</v>
      </c>
      <c r="K1445">
        <f t="shared" si="22"/>
        <v>0</v>
      </c>
      <c r="L14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5" s="3">
        <f>IFERROR(INDEX(Table3[#All],MATCH(Table1[[#This Row],[Key_Year_Week_Brand]],Table3[[#All],[Key_Year_Week_Brand]],0),MATCH(Table1[[#This Row],[DC_name_Xref]],Table3[#Headers],0)),0)</f>
        <v>0</v>
      </c>
      <c r="O1445" s="19">
        <f>IFERROR(INDEX(Table35[#All],MATCH(Table1[[#This Row],[Key_Year_Week_Brand]],Table35[[#All],[Key_Year_Month_Brand]],0),MATCH(Table1[[#This Row],[DC_name_Xref]],Table35[#Headers],0)),0)</f>
        <v>0</v>
      </c>
    </row>
    <row r="1446" spans="1:15" x14ac:dyDescent="0.3">
      <c r="A1446" s="19" t="e">
        <f>Table1[[#This Row],[Year_Week]]&amp;"-"&amp;Table1[[#This Row],[DC_name_Xref]]</f>
        <v>#N/A</v>
      </c>
      <c r="B1446" s="19" t="str">
        <f>Table1[[#This Row],[Fiscal_Year]]*100+Table1[[#This Row],[Fiscal_Week]] &amp; "-" &amp;Table1[[#This Row],[BRAND]]</f>
        <v>0-</v>
      </c>
      <c r="C1446" s="19" t="str">
        <f>Table1[[#This Row],[Fiscal_Year]]&amp;"-"&amp;Table1[[#This Row],[BRAND]]</f>
        <v>-</v>
      </c>
      <c r="J1446" t="e">
        <f>VLOOKUP(H1446,DC_Xref!A:B,2,FALSE)</f>
        <v>#N/A</v>
      </c>
      <c r="K1446">
        <f t="shared" si="22"/>
        <v>0</v>
      </c>
      <c r="L14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6" s="3">
        <f>IFERROR(INDEX(Table3[#All],MATCH(Table1[[#This Row],[Key_Year_Week_Brand]],Table3[[#All],[Key_Year_Week_Brand]],0),MATCH(Table1[[#This Row],[DC_name_Xref]],Table3[#Headers],0)),0)</f>
        <v>0</v>
      </c>
      <c r="O1446" s="19">
        <f>IFERROR(INDEX(Table35[#All],MATCH(Table1[[#This Row],[Key_Year_Week_Brand]],Table35[[#All],[Key_Year_Month_Brand]],0),MATCH(Table1[[#This Row],[DC_name_Xref]],Table35[#Headers],0)),0)</f>
        <v>0</v>
      </c>
    </row>
    <row r="1447" spans="1:15" x14ac:dyDescent="0.3">
      <c r="A1447" s="19" t="e">
        <f>Table1[[#This Row],[Year_Week]]&amp;"-"&amp;Table1[[#This Row],[DC_name_Xref]]</f>
        <v>#N/A</v>
      </c>
      <c r="B1447" s="19" t="str">
        <f>Table1[[#This Row],[Fiscal_Year]]*100+Table1[[#This Row],[Fiscal_Week]] &amp; "-" &amp;Table1[[#This Row],[BRAND]]</f>
        <v>0-</v>
      </c>
      <c r="C1447" s="19" t="str">
        <f>Table1[[#This Row],[Fiscal_Year]]&amp;"-"&amp;Table1[[#This Row],[BRAND]]</f>
        <v>-</v>
      </c>
      <c r="J1447" t="e">
        <f>VLOOKUP(H1447,DC_Xref!A:B,2,FALSE)</f>
        <v>#N/A</v>
      </c>
      <c r="K1447">
        <f t="shared" si="22"/>
        <v>0</v>
      </c>
      <c r="L14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7" s="3">
        <f>IFERROR(INDEX(Table3[#All],MATCH(Table1[[#This Row],[Key_Year_Week_Brand]],Table3[[#All],[Key_Year_Week_Brand]],0),MATCH(Table1[[#This Row],[DC_name_Xref]],Table3[#Headers],0)),0)</f>
        <v>0</v>
      </c>
      <c r="O1447" s="19">
        <f>IFERROR(INDEX(Table35[#All],MATCH(Table1[[#This Row],[Key_Year_Week_Brand]],Table35[[#All],[Key_Year_Month_Brand]],0),MATCH(Table1[[#This Row],[DC_name_Xref]],Table35[#Headers],0)),0)</f>
        <v>0</v>
      </c>
    </row>
    <row r="1448" spans="1:15" x14ac:dyDescent="0.3">
      <c r="A1448" s="19" t="e">
        <f>Table1[[#This Row],[Year_Week]]&amp;"-"&amp;Table1[[#This Row],[DC_name_Xref]]</f>
        <v>#N/A</v>
      </c>
      <c r="B1448" s="19" t="str">
        <f>Table1[[#This Row],[Fiscal_Year]]*100+Table1[[#This Row],[Fiscal_Week]] &amp; "-" &amp;Table1[[#This Row],[BRAND]]</f>
        <v>0-</v>
      </c>
      <c r="C1448" s="19" t="str">
        <f>Table1[[#This Row],[Fiscal_Year]]&amp;"-"&amp;Table1[[#This Row],[BRAND]]</f>
        <v>-</v>
      </c>
      <c r="J1448" t="e">
        <f>VLOOKUP(H1448,DC_Xref!A:B,2,FALSE)</f>
        <v>#N/A</v>
      </c>
      <c r="K1448">
        <f t="shared" si="22"/>
        <v>0</v>
      </c>
      <c r="L14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8" s="3">
        <f>IFERROR(INDEX(Table3[#All],MATCH(Table1[[#This Row],[Key_Year_Week_Brand]],Table3[[#All],[Key_Year_Week_Brand]],0),MATCH(Table1[[#This Row],[DC_name_Xref]],Table3[#Headers],0)),0)</f>
        <v>0</v>
      </c>
      <c r="O1448" s="19">
        <f>IFERROR(INDEX(Table35[#All],MATCH(Table1[[#This Row],[Key_Year_Week_Brand]],Table35[[#All],[Key_Year_Month_Brand]],0),MATCH(Table1[[#This Row],[DC_name_Xref]],Table35[#Headers],0)),0)</f>
        <v>0</v>
      </c>
    </row>
    <row r="1449" spans="1:15" x14ac:dyDescent="0.3">
      <c r="A1449" s="19" t="e">
        <f>Table1[[#This Row],[Year_Week]]&amp;"-"&amp;Table1[[#This Row],[DC_name_Xref]]</f>
        <v>#N/A</v>
      </c>
      <c r="B1449" s="19" t="str">
        <f>Table1[[#This Row],[Fiscal_Year]]*100+Table1[[#This Row],[Fiscal_Week]] &amp; "-" &amp;Table1[[#This Row],[BRAND]]</f>
        <v>0-</v>
      </c>
      <c r="C1449" s="19" t="str">
        <f>Table1[[#This Row],[Fiscal_Year]]&amp;"-"&amp;Table1[[#This Row],[BRAND]]</f>
        <v>-</v>
      </c>
      <c r="J1449" t="e">
        <f>VLOOKUP(H1449,DC_Xref!A:B,2,FALSE)</f>
        <v>#N/A</v>
      </c>
      <c r="K1449">
        <f t="shared" si="22"/>
        <v>0</v>
      </c>
      <c r="L14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49" s="3">
        <f>IFERROR(INDEX(Table3[#All],MATCH(Table1[[#This Row],[Key_Year_Week_Brand]],Table3[[#All],[Key_Year_Week_Brand]],0),MATCH(Table1[[#This Row],[DC_name_Xref]],Table3[#Headers],0)),0)</f>
        <v>0</v>
      </c>
      <c r="O1449" s="19">
        <f>IFERROR(INDEX(Table35[#All],MATCH(Table1[[#This Row],[Key_Year_Week_Brand]],Table35[[#All],[Key_Year_Month_Brand]],0),MATCH(Table1[[#This Row],[DC_name_Xref]],Table35[#Headers],0)),0)</f>
        <v>0</v>
      </c>
    </row>
    <row r="1450" spans="1:15" x14ac:dyDescent="0.3">
      <c r="A1450" s="19" t="e">
        <f>Table1[[#This Row],[Year_Week]]&amp;"-"&amp;Table1[[#This Row],[DC_name_Xref]]</f>
        <v>#N/A</v>
      </c>
      <c r="B1450" s="19" t="str">
        <f>Table1[[#This Row],[Fiscal_Year]]*100+Table1[[#This Row],[Fiscal_Week]] &amp; "-" &amp;Table1[[#This Row],[BRAND]]</f>
        <v>0-</v>
      </c>
      <c r="C1450" s="19" t="str">
        <f>Table1[[#This Row],[Fiscal_Year]]&amp;"-"&amp;Table1[[#This Row],[BRAND]]</f>
        <v>-</v>
      </c>
      <c r="J1450" t="e">
        <f>VLOOKUP(H1450,DC_Xref!A:B,2,FALSE)</f>
        <v>#N/A</v>
      </c>
      <c r="K1450">
        <f t="shared" si="22"/>
        <v>0</v>
      </c>
      <c r="L14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0" s="3">
        <f>IFERROR(INDEX(Table3[#All],MATCH(Table1[[#This Row],[Key_Year_Week_Brand]],Table3[[#All],[Key_Year_Week_Brand]],0),MATCH(Table1[[#This Row],[DC_name_Xref]],Table3[#Headers],0)),0)</f>
        <v>0</v>
      </c>
      <c r="O1450" s="19">
        <f>IFERROR(INDEX(Table35[#All],MATCH(Table1[[#This Row],[Key_Year_Week_Brand]],Table35[[#All],[Key_Year_Month_Brand]],0),MATCH(Table1[[#This Row],[DC_name_Xref]],Table35[#Headers],0)),0)</f>
        <v>0</v>
      </c>
    </row>
    <row r="1451" spans="1:15" x14ac:dyDescent="0.3">
      <c r="A1451" s="19" t="e">
        <f>Table1[[#This Row],[Year_Week]]&amp;"-"&amp;Table1[[#This Row],[DC_name_Xref]]</f>
        <v>#N/A</v>
      </c>
      <c r="B1451" s="19" t="str">
        <f>Table1[[#This Row],[Fiscal_Year]]*100+Table1[[#This Row],[Fiscal_Week]] &amp; "-" &amp;Table1[[#This Row],[BRAND]]</f>
        <v>0-</v>
      </c>
      <c r="C1451" s="19" t="str">
        <f>Table1[[#This Row],[Fiscal_Year]]&amp;"-"&amp;Table1[[#This Row],[BRAND]]</f>
        <v>-</v>
      </c>
      <c r="J1451" t="e">
        <f>VLOOKUP(H1451,DC_Xref!A:B,2,FALSE)</f>
        <v>#N/A</v>
      </c>
      <c r="K1451">
        <f t="shared" si="22"/>
        <v>0</v>
      </c>
      <c r="L14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1" s="3">
        <f>IFERROR(INDEX(Table3[#All],MATCH(Table1[[#This Row],[Key_Year_Week_Brand]],Table3[[#All],[Key_Year_Week_Brand]],0),MATCH(Table1[[#This Row],[DC_name_Xref]],Table3[#Headers],0)),0)</f>
        <v>0</v>
      </c>
      <c r="O1451" s="19">
        <f>IFERROR(INDEX(Table35[#All],MATCH(Table1[[#This Row],[Key_Year_Week_Brand]],Table35[[#All],[Key_Year_Month_Brand]],0),MATCH(Table1[[#This Row],[DC_name_Xref]],Table35[#Headers],0)),0)</f>
        <v>0</v>
      </c>
    </row>
    <row r="1452" spans="1:15" x14ac:dyDescent="0.3">
      <c r="A1452" s="19" t="e">
        <f>Table1[[#This Row],[Year_Week]]&amp;"-"&amp;Table1[[#This Row],[DC_name_Xref]]</f>
        <v>#N/A</v>
      </c>
      <c r="B1452" s="19" t="str">
        <f>Table1[[#This Row],[Fiscal_Year]]*100+Table1[[#This Row],[Fiscal_Week]] &amp; "-" &amp;Table1[[#This Row],[BRAND]]</f>
        <v>0-</v>
      </c>
      <c r="C1452" s="19" t="str">
        <f>Table1[[#This Row],[Fiscal_Year]]&amp;"-"&amp;Table1[[#This Row],[BRAND]]</f>
        <v>-</v>
      </c>
      <c r="J1452" t="e">
        <f>VLOOKUP(H1452,DC_Xref!A:B,2,FALSE)</f>
        <v>#N/A</v>
      </c>
      <c r="K1452">
        <f t="shared" si="22"/>
        <v>0</v>
      </c>
      <c r="L14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2" s="3">
        <f>IFERROR(INDEX(Table3[#All],MATCH(Table1[[#This Row],[Key_Year_Week_Brand]],Table3[[#All],[Key_Year_Week_Brand]],0),MATCH(Table1[[#This Row],[DC_name_Xref]],Table3[#Headers],0)),0)</f>
        <v>0</v>
      </c>
      <c r="O1452" s="19">
        <f>IFERROR(INDEX(Table35[#All],MATCH(Table1[[#This Row],[Key_Year_Week_Brand]],Table35[[#All],[Key_Year_Month_Brand]],0),MATCH(Table1[[#This Row],[DC_name_Xref]],Table35[#Headers],0)),0)</f>
        <v>0</v>
      </c>
    </row>
    <row r="1453" spans="1:15" x14ac:dyDescent="0.3">
      <c r="A1453" s="19" t="e">
        <f>Table1[[#This Row],[Year_Week]]&amp;"-"&amp;Table1[[#This Row],[DC_name_Xref]]</f>
        <v>#N/A</v>
      </c>
      <c r="B1453" s="19" t="str">
        <f>Table1[[#This Row],[Fiscal_Year]]*100+Table1[[#This Row],[Fiscal_Week]] &amp; "-" &amp;Table1[[#This Row],[BRAND]]</f>
        <v>0-</v>
      </c>
      <c r="C1453" s="19" t="str">
        <f>Table1[[#This Row],[Fiscal_Year]]&amp;"-"&amp;Table1[[#This Row],[BRAND]]</f>
        <v>-</v>
      </c>
      <c r="J1453" t="e">
        <f>VLOOKUP(H1453,DC_Xref!A:B,2,FALSE)</f>
        <v>#N/A</v>
      </c>
      <c r="K1453">
        <f t="shared" si="22"/>
        <v>0</v>
      </c>
      <c r="L14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3" s="3">
        <f>IFERROR(INDEX(Table3[#All],MATCH(Table1[[#This Row],[Key_Year_Week_Brand]],Table3[[#All],[Key_Year_Week_Brand]],0),MATCH(Table1[[#This Row],[DC_name_Xref]],Table3[#Headers],0)),0)</f>
        <v>0</v>
      </c>
      <c r="O1453" s="19">
        <f>IFERROR(INDEX(Table35[#All],MATCH(Table1[[#This Row],[Key_Year_Week_Brand]],Table35[[#All],[Key_Year_Month_Brand]],0),MATCH(Table1[[#This Row],[DC_name_Xref]],Table35[#Headers],0)),0)</f>
        <v>0</v>
      </c>
    </row>
    <row r="1454" spans="1:15" x14ac:dyDescent="0.3">
      <c r="A1454" s="19" t="e">
        <f>Table1[[#This Row],[Year_Week]]&amp;"-"&amp;Table1[[#This Row],[DC_name_Xref]]</f>
        <v>#N/A</v>
      </c>
      <c r="B1454" s="19" t="str">
        <f>Table1[[#This Row],[Fiscal_Year]]*100+Table1[[#This Row],[Fiscal_Week]] &amp; "-" &amp;Table1[[#This Row],[BRAND]]</f>
        <v>0-</v>
      </c>
      <c r="C1454" s="19" t="str">
        <f>Table1[[#This Row],[Fiscal_Year]]&amp;"-"&amp;Table1[[#This Row],[BRAND]]</f>
        <v>-</v>
      </c>
      <c r="J1454" t="e">
        <f>VLOOKUP(H1454,DC_Xref!A:B,2,FALSE)</f>
        <v>#N/A</v>
      </c>
      <c r="K1454">
        <f t="shared" si="22"/>
        <v>0</v>
      </c>
      <c r="L14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4" s="3">
        <f>IFERROR(INDEX(Table3[#All],MATCH(Table1[[#This Row],[Key_Year_Week_Brand]],Table3[[#All],[Key_Year_Week_Brand]],0),MATCH(Table1[[#This Row],[DC_name_Xref]],Table3[#Headers],0)),0)</f>
        <v>0</v>
      </c>
      <c r="O1454" s="19">
        <f>IFERROR(INDEX(Table35[#All],MATCH(Table1[[#This Row],[Key_Year_Week_Brand]],Table35[[#All],[Key_Year_Month_Brand]],0),MATCH(Table1[[#This Row],[DC_name_Xref]],Table35[#Headers],0)),0)</f>
        <v>0</v>
      </c>
    </row>
    <row r="1455" spans="1:15" x14ac:dyDescent="0.3">
      <c r="A1455" s="19" t="e">
        <f>Table1[[#This Row],[Year_Week]]&amp;"-"&amp;Table1[[#This Row],[DC_name_Xref]]</f>
        <v>#N/A</v>
      </c>
      <c r="B1455" s="19" t="str">
        <f>Table1[[#This Row],[Fiscal_Year]]*100+Table1[[#This Row],[Fiscal_Week]] &amp; "-" &amp;Table1[[#This Row],[BRAND]]</f>
        <v>0-</v>
      </c>
      <c r="C1455" s="19" t="str">
        <f>Table1[[#This Row],[Fiscal_Year]]&amp;"-"&amp;Table1[[#This Row],[BRAND]]</f>
        <v>-</v>
      </c>
      <c r="J1455" t="e">
        <f>VLOOKUP(H1455,DC_Xref!A:B,2,FALSE)</f>
        <v>#N/A</v>
      </c>
      <c r="K1455">
        <f t="shared" si="22"/>
        <v>0</v>
      </c>
      <c r="L14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5" s="3">
        <f>IFERROR(INDEX(Table3[#All],MATCH(Table1[[#This Row],[Key_Year_Week_Brand]],Table3[[#All],[Key_Year_Week_Brand]],0),MATCH(Table1[[#This Row],[DC_name_Xref]],Table3[#Headers],0)),0)</f>
        <v>0</v>
      </c>
      <c r="O1455" s="19">
        <f>IFERROR(INDEX(Table35[#All],MATCH(Table1[[#This Row],[Key_Year_Week_Brand]],Table35[[#All],[Key_Year_Month_Brand]],0),MATCH(Table1[[#This Row],[DC_name_Xref]],Table35[#Headers],0)),0)</f>
        <v>0</v>
      </c>
    </row>
    <row r="1456" spans="1:15" x14ac:dyDescent="0.3">
      <c r="A1456" s="19" t="e">
        <f>Table1[[#This Row],[Year_Week]]&amp;"-"&amp;Table1[[#This Row],[DC_name_Xref]]</f>
        <v>#N/A</v>
      </c>
      <c r="B1456" s="19" t="str">
        <f>Table1[[#This Row],[Fiscal_Year]]*100+Table1[[#This Row],[Fiscal_Week]] &amp; "-" &amp;Table1[[#This Row],[BRAND]]</f>
        <v>0-</v>
      </c>
      <c r="C1456" s="19" t="str">
        <f>Table1[[#This Row],[Fiscal_Year]]&amp;"-"&amp;Table1[[#This Row],[BRAND]]</f>
        <v>-</v>
      </c>
      <c r="J1456" t="e">
        <f>VLOOKUP(H1456,DC_Xref!A:B,2,FALSE)</f>
        <v>#N/A</v>
      </c>
      <c r="K1456">
        <f t="shared" si="22"/>
        <v>0</v>
      </c>
      <c r="L14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6" s="3">
        <f>IFERROR(INDEX(Table3[#All],MATCH(Table1[[#This Row],[Key_Year_Week_Brand]],Table3[[#All],[Key_Year_Week_Brand]],0),MATCH(Table1[[#This Row],[DC_name_Xref]],Table3[#Headers],0)),0)</f>
        <v>0</v>
      </c>
      <c r="O1456" s="19">
        <f>IFERROR(INDEX(Table35[#All],MATCH(Table1[[#This Row],[Key_Year_Week_Brand]],Table35[[#All],[Key_Year_Month_Brand]],0),MATCH(Table1[[#This Row],[DC_name_Xref]],Table35[#Headers],0)),0)</f>
        <v>0</v>
      </c>
    </row>
    <row r="1457" spans="1:15" x14ac:dyDescent="0.3">
      <c r="A1457" s="19" t="e">
        <f>Table1[[#This Row],[Year_Week]]&amp;"-"&amp;Table1[[#This Row],[DC_name_Xref]]</f>
        <v>#N/A</v>
      </c>
      <c r="B1457" s="19" t="str">
        <f>Table1[[#This Row],[Fiscal_Year]]*100+Table1[[#This Row],[Fiscal_Week]] &amp; "-" &amp;Table1[[#This Row],[BRAND]]</f>
        <v>0-</v>
      </c>
      <c r="C1457" s="19" t="str">
        <f>Table1[[#This Row],[Fiscal_Year]]&amp;"-"&amp;Table1[[#This Row],[BRAND]]</f>
        <v>-</v>
      </c>
      <c r="J1457" t="e">
        <f>VLOOKUP(H1457,DC_Xref!A:B,2,FALSE)</f>
        <v>#N/A</v>
      </c>
      <c r="K1457">
        <f t="shared" si="22"/>
        <v>0</v>
      </c>
      <c r="L14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7" s="3">
        <f>IFERROR(INDEX(Table3[#All],MATCH(Table1[[#This Row],[Key_Year_Week_Brand]],Table3[[#All],[Key_Year_Week_Brand]],0),MATCH(Table1[[#This Row],[DC_name_Xref]],Table3[#Headers],0)),0)</f>
        <v>0</v>
      </c>
      <c r="O1457" s="19">
        <f>IFERROR(INDEX(Table35[#All],MATCH(Table1[[#This Row],[Key_Year_Week_Brand]],Table35[[#All],[Key_Year_Month_Brand]],0),MATCH(Table1[[#This Row],[DC_name_Xref]],Table35[#Headers],0)),0)</f>
        <v>0</v>
      </c>
    </row>
    <row r="1458" spans="1:15" x14ac:dyDescent="0.3">
      <c r="A1458" s="19" t="e">
        <f>Table1[[#This Row],[Year_Week]]&amp;"-"&amp;Table1[[#This Row],[DC_name_Xref]]</f>
        <v>#N/A</v>
      </c>
      <c r="B1458" s="19" t="str">
        <f>Table1[[#This Row],[Fiscal_Year]]*100+Table1[[#This Row],[Fiscal_Week]] &amp; "-" &amp;Table1[[#This Row],[BRAND]]</f>
        <v>0-</v>
      </c>
      <c r="C1458" s="19" t="str">
        <f>Table1[[#This Row],[Fiscal_Year]]&amp;"-"&amp;Table1[[#This Row],[BRAND]]</f>
        <v>-</v>
      </c>
      <c r="J1458" t="e">
        <f>VLOOKUP(H1458,DC_Xref!A:B,2,FALSE)</f>
        <v>#N/A</v>
      </c>
      <c r="K1458">
        <f t="shared" si="22"/>
        <v>0</v>
      </c>
      <c r="L14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8" s="3">
        <f>IFERROR(INDEX(Table3[#All],MATCH(Table1[[#This Row],[Key_Year_Week_Brand]],Table3[[#All],[Key_Year_Week_Brand]],0),MATCH(Table1[[#This Row],[DC_name_Xref]],Table3[#Headers],0)),0)</f>
        <v>0</v>
      </c>
      <c r="O1458" s="19">
        <f>IFERROR(INDEX(Table35[#All],MATCH(Table1[[#This Row],[Key_Year_Week_Brand]],Table35[[#All],[Key_Year_Month_Brand]],0),MATCH(Table1[[#This Row],[DC_name_Xref]],Table35[#Headers],0)),0)</f>
        <v>0</v>
      </c>
    </row>
    <row r="1459" spans="1:15" x14ac:dyDescent="0.3">
      <c r="A1459" s="19" t="e">
        <f>Table1[[#This Row],[Year_Week]]&amp;"-"&amp;Table1[[#This Row],[DC_name_Xref]]</f>
        <v>#N/A</v>
      </c>
      <c r="B1459" s="19" t="str">
        <f>Table1[[#This Row],[Fiscal_Year]]*100+Table1[[#This Row],[Fiscal_Week]] &amp; "-" &amp;Table1[[#This Row],[BRAND]]</f>
        <v>0-</v>
      </c>
      <c r="C1459" s="19" t="str">
        <f>Table1[[#This Row],[Fiscal_Year]]&amp;"-"&amp;Table1[[#This Row],[BRAND]]</f>
        <v>-</v>
      </c>
      <c r="J1459" t="e">
        <f>VLOOKUP(H1459,DC_Xref!A:B,2,FALSE)</f>
        <v>#N/A</v>
      </c>
      <c r="K1459">
        <f t="shared" si="22"/>
        <v>0</v>
      </c>
      <c r="L14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59" s="3">
        <f>IFERROR(INDEX(Table3[#All],MATCH(Table1[[#This Row],[Key_Year_Week_Brand]],Table3[[#All],[Key_Year_Week_Brand]],0),MATCH(Table1[[#This Row],[DC_name_Xref]],Table3[#Headers],0)),0)</f>
        <v>0</v>
      </c>
      <c r="O1459" s="19">
        <f>IFERROR(INDEX(Table35[#All],MATCH(Table1[[#This Row],[Key_Year_Week_Brand]],Table35[[#All],[Key_Year_Month_Brand]],0),MATCH(Table1[[#This Row],[DC_name_Xref]],Table35[#Headers],0)),0)</f>
        <v>0</v>
      </c>
    </row>
    <row r="1460" spans="1:15" x14ac:dyDescent="0.3">
      <c r="A1460" s="19" t="e">
        <f>Table1[[#This Row],[Year_Week]]&amp;"-"&amp;Table1[[#This Row],[DC_name_Xref]]</f>
        <v>#N/A</v>
      </c>
      <c r="B1460" s="19" t="str">
        <f>Table1[[#This Row],[Fiscal_Year]]*100+Table1[[#This Row],[Fiscal_Week]] &amp; "-" &amp;Table1[[#This Row],[BRAND]]</f>
        <v>0-</v>
      </c>
      <c r="C1460" s="19" t="str">
        <f>Table1[[#This Row],[Fiscal_Year]]&amp;"-"&amp;Table1[[#This Row],[BRAND]]</f>
        <v>-</v>
      </c>
      <c r="J1460" t="e">
        <f>VLOOKUP(H1460,DC_Xref!A:B,2,FALSE)</f>
        <v>#N/A</v>
      </c>
      <c r="K1460">
        <f t="shared" si="22"/>
        <v>0</v>
      </c>
      <c r="L14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0" s="3">
        <f>IFERROR(INDEX(Table3[#All],MATCH(Table1[[#This Row],[Key_Year_Week_Brand]],Table3[[#All],[Key_Year_Week_Brand]],0),MATCH(Table1[[#This Row],[DC_name_Xref]],Table3[#Headers],0)),0)</f>
        <v>0</v>
      </c>
      <c r="O1460" s="19">
        <f>IFERROR(INDEX(Table35[#All],MATCH(Table1[[#This Row],[Key_Year_Week_Brand]],Table35[[#All],[Key_Year_Month_Brand]],0),MATCH(Table1[[#This Row],[DC_name_Xref]],Table35[#Headers],0)),0)</f>
        <v>0</v>
      </c>
    </row>
    <row r="1461" spans="1:15" x14ac:dyDescent="0.3">
      <c r="A1461" s="19" t="e">
        <f>Table1[[#This Row],[Year_Week]]&amp;"-"&amp;Table1[[#This Row],[DC_name_Xref]]</f>
        <v>#N/A</v>
      </c>
      <c r="B1461" s="19" t="str">
        <f>Table1[[#This Row],[Fiscal_Year]]*100+Table1[[#This Row],[Fiscal_Week]] &amp; "-" &amp;Table1[[#This Row],[BRAND]]</f>
        <v>0-</v>
      </c>
      <c r="C1461" s="19" t="str">
        <f>Table1[[#This Row],[Fiscal_Year]]&amp;"-"&amp;Table1[[#This Row],[BRAND]]</f>
        <v>-</v>
      </c>
      <c r="J1461" t="e">
        <f>VLOOKUP(H1461,DC_Xref!A:B,2,FALSE)</f>
        <v>#N/A</v>
      </c>
      <c r="K1461">
        <f t="shared" si="22"/>
        <v>0</v>
      </c>
      <c r="L14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1" s="3">
        <f>IFERROR(INDEX(Table3[#All],MATCH(Table1[[#This Row],[Key_Year_Week_Brand]],Table3[[#All],[Key_Year_Week_Brand]],0),MATCH(Table1[[#This Row],[DC_name_Xref]],Table3[#Headers],0)),0)</f>
        <v>0</v>
      </c>
      <c r="O1461" s="19">
        <f>IFERROR(INDEX(Table35[#All],MATCH(Table1[[#This Row],[Key_Year_Week_Brand]],Table35[[#All],[Key_Year_Month_Brand]],0),MATCH(Table1[[#This Row],[DC_name_Xref]],Table35[#Headers],0)),0)</f>
        <v>0</v>
      </c>
    </row>
    <row r="1462" spans="1:15" x14ac:dyDescent="0.3">
      <c r="A1462" s="19" t="e">
        <f>Table1[[#This Row],[Year_Week]]&amp;"-"&amp;Table1[[#This Row],[DC_name_Xref]]</f>
        <v>#N/A</v>
      </c>
      <c r="B1462" s="19" t="str">
        <f>Table1[[#This Row],[Fiscal_Year]]*100+Table1[[#This Row],[Fiscal_Week]] &amp; "-" &amp;Table1[[#This Row],[BRAND]]</f>
        <v>0-</v>
      </c>
      <c r="C1462" s="19" t="str">
        <f>Table1[[#This Row],[Fiscal_Year]]&amp;"-"&amp;Table1[[#This Row],[BRAND]]</f>
        <v>-</v>
      </c>
      <c r="J1462" t="e">
        <f>VLOOKUP(H1462,DC_Xref!A:B,2,FALSE)</f>
        <v>#N/A</v>
      </c>
      <c r="K1462">
        <f t="shared" si="22"/>
        <v>0</v>
      </c>
      <c r="L14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2" s="3">
        <f>IFERROR(INDEX(Table3[#All],MATCH(Table1[[#This Row],[Key_Year_Week_Brand]],Table3[[#All],[Key_Year_Week_Brand]],0),MATCH(Table1[[#This Row],[DC_name_Xref]],Table3[#Headers],0)),0)</f>
        <v>0</v>
      </c>
      <c r="O1462" s="19">
        <f>IFERROR(INDEX(Table35[#All],MATCH(Table1[[#This Row],[Key_Year_Week_Brand]],Table35[[#All],[Key_Year_Month_Brand]],0),MATCH(Table1[[#This Row],[DC_name_Xref]],Table35[#Headers],0)),0)</f>
        <v>0</v>
      </c>
    </row>
    <row r="1463" spans="1:15" x14ac:dyDescent="0.3">
      <c r="A1463" s="19" t="e">
        <f>Table1[[#This Row],[Year_Week]]&amp;"-"&amp;Table1[[#This Row],[DC_name_Xref]]</f>
        <v>#N/A</v>
      </c>
      <c r="B1463" s="19" t="str">
        <f>Table1[[#This Row],[Fiscal_Year]]*100+Table1[[#This Row],[Fiscal_Week]] &amp; "-" &amp;Table1[[#This Row],[BRAND]]</f>
        <v>0-</v>
      </c>
      <c r="C1463" s="19" t="str">
        <f>Table1[[#This Row],[Fiscal_Year]]&amp;"-"&amp;Table1[[#This Row],[BRAND]]</f>
        <v>-</v>
      </c>
      <c r="J1463" t="e">
        <f>VLOOKUP(H1463,DC_Xref!A:B,2,FALSE)</f>
        <v>#N/A</v>
      </c>
      <c r="K1463">
        <f t="shared" si="22"/>
        <v>0</v>
      </c>
      <c r="L14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3" s="3">
        <f>IFERROR(INDEX(Table3[#All],MATCH(Table1[[#This Row],[Key_Year_Week_Brand]],Table3[[#All],[Key_Year_Week_Brand]],0),MATCH(Table1[[#This Row],[DC_name_Xref]],Table3[#Headers],0)),0)</f>
        <v>0</v>
      </c>
      <c r="O1463" s="19">
        <f>IFERROR(INDEX(Table35[#All],MATCH(Table1[[#This Row],[Key_Year_Week_Brand]],Table35[[#All],[Key_Year_Month_Brand]],0),MATCH(Table1[[#This Row],[DC_name_Xref]],Table35[#Headers],0)),0)</f>
        <v>0</v>
      </c>
    </row>
    <row r="1464" spans="1:15" x14ac:dyDescent="0.3">
      <c r="A1464" s="19" t="e">
        <f>Table1[[#This Row],[Year_Week]]&amp;"-"&amp;Table1[[#This Row],[DC_name_Xref]]</f>
        <v>#N/A</v>
      </c>
      <c r="B1464" s="19" t="str">
        <f>Table1[[#This Row],[Fiscal_Year]]*100+Table1[[#This Row],[Fiscal_Week]] &amp; "-" &amp;Table1[[#This Row],[BRAND]]</f>
        <v>0-</v>
      </c>
      <c r="C1464" s="19" t="str">
        <f>Table1[[#This Row],[Fiscal_Year]]&amp;"-"&amp;Table1[[#This Row],[BRAND]]</f>
        <v>-</v>
      </c>
      <c r="J1464" t="e">
        <f>VLOOKUP(H1464,DC_Xref!A:B,2,FALSE)</f>
        <v>#N/A</v>
      </c>
      <c r="K1464">
        <f t="shared" si="22"/>
        <v>0</v>
      </c>
      <c r="L14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4" s="3">
        <f>IFERROR(INDEX(Table3[#All],MATCH(Table1[[#This Row],[Key_Year_Week_Brand]],Table3[[#All],[Key_Year_Week_Brand]],0),MATCH(Table1[[#This Row],[DC_name_Xref]],Table3[#Headers],0)),0)</f>
        <v>0</v>
      </c>
      <c r="O1464" s="19">
        <f>IFERROR(INDEX(Table35[#All],MATCH(Table1[[#This Row],[Key_Year_Week_Brand]],Table35[[#All],[Key_Year_Month_Brand]],0),MATCH(Table1[[#This Row],[DC_name_Xref]],Table35[#Headers],0)),0)</f>
        <v>0</v>
      </c>
    </row>
    <row r="1465" spans="1:15" x14ac:dyDescent="0.3">
      <c r="A1465" s="19" t="e">
        <f>Table1[[#This Row],[Year_Week]]&amp;"-"&amp;Table1[[#This Row],[DC_name_Xref]]</f>
        <v>#N/A</v>
      </c>
      <c r="B1465" s="19" t="str">
        <f>Table1[[#This Row],[Fiscal_Year]]*100+Table1[[#This Row],[Fiscal_Week]] &amp; "-" &amp;Table1[[#This Row],[BRAND]]</f>
        <v>0-</v>
      </c>
      <c r="C1465" s="19" t="str">
        <f>Table1[[#This Row],[Fiscal_Year]]&amp;"-"&amp;Table1[[#This Row],[BRAND]]</f>
        <v>-</v>
      </c>
      <c r="J1465" t="e">
        <f>VLOOKUP(H1465,DC_Xref!A:B,2,FALSE)</f>
        <v>#N/A</v>
      </c>
      <c r="K1465">
        <f t="shared" si="22"/>
        <v>0</v>
      </c>
      <c r="L14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5" s="3">
        <f>IFERROR(INDEX(Table3[#All],MATCH(Table1[[#This Row],[Key_Year_Week_Brand]],Table3[[#All],[Key_Year_Week_Brand]],0),MATCH(Table1[[#This Row],[DC_name_Xref]],Table3[#Headers],0)),0)</f>
        <v>0</v>
      </c>
      <c r="O1465" s="19">
        <f>IFERROR(INDEX(Table35[#All],MATCH(Table1[[#This Row],[Key_Year_Week_Brand]],Table35[[#All],[Key_Year_Month_Brand]],0),MATCH(Table1[[#This Row],[DC_name_Xref]],Table35[#Headers],0)),0)</f>
        <v>0</v>
      </c>
    </row>
    <row r="1466" spans="1:15" x14ac:dyDescent="0.3">
      <c r="A1466" s="19" t="e">
        <f>Table1[[#This Row],[Year_Week]]&amp;"-"&amp;Table1[[#This Row],[DC_name_Xref]]</f>
        <v>#N/A</v>
      </c>
      <c r="B1466" s="19" t="str">
        <f>Table1[[#This Row],[Fiscal_Year]]*100+Table1[[#This Row],[Fiscal_Week]] &amp; "-" &amp;Table1[[#This Row],[BRAND]]</f>
        <v>0-</v>
      </c>
      <c r="C1466" s="19" t="str">
        <f>Table1[[#This Row],[Fiscal_Year]]&amp;"-"&amp;Table1[[#This Row],[BRAND]]</f>
        <v>-</v>
      </c>
      <c r="J1466" t="e">
        <f>VLOOKUP(H1466,DC_Xref!A:B,2,FALSE)</f>
        <v>#N/A</v>
      </c>
      <c r="K1466">
        <f t="shared" si="22"/>
        <v>0</v>
      </c>
      <c r="L14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6" s="3">
        <f>IFERROR(INDEX(Table3[#All],MATCH(Table1[[#This Row],[Key_Year_Week_Brand]],Table3[[#All],[Key_Year_Week_Brand]],0),MATCH(Table1[[#This Row],[DC_name_Xref]],Table3[#Headers],0)),0)</f>
        <v>0</v>
      </c>
      <c r="O1466" s="19">
        <f>IFERROR(INDEX(Table35[#All],MATCH(Table1[[#This Row],[Key_Year_Week_Brand]],Table35[[#All],[Key_Year_Month_Brand]],0),MATCH(Table1[[#This Row],[DC_name_Xref]],Table35[#Headers],0)),0)</f>
        <v>0</v>
      </c>
    </row>
    <row r="1467" spans="1:15" x14ac:dyDescent="0.3">
      <c r="A1467" s="19" t="e">
        <f>Table1[[#This Row],[Year_Week]]&amp;"-"&amp;Table1[[#This Row],[DC_name_Xref]]</f>
        <v>#N/A</v>
      </c>
      <c r="B1467" s="19" t="str">
        <f>Table1[[#This Row],[Fiscal_Year]]*100+Table1[[#This Row],[Fiscal_Week]] &amp; "-" &amp;Table1[[#This Row],[BRAND]]</f>
        <v>0-</v>
      </c>
      <c r="C1467" s="19" t="str">
        <f>Table1[[#This Row],[Fiscal_Year]]&amp;"-"&amp;Table1[[#This Row],[BRAND]]</f>
        <v>-</v>
      </c>
      <c r="J1467" t="e">
        <f>VLOOKUP(H1467,DC_Xref!A:B,2,FALSE)</f>
        <v>#N/A</v>
      </c>
      <c r="K1467">
        <f t="shared" si="22"/>
        <v>0</v>
      </c>
      <c r="L14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7" s="3">
        <f>IFERROR(INDEX(Table3[#All],MATCH(Table1[[#This Row],[Key_Year_Week_Brand]],Table3[[#All],[Key_Year_Week_Brand]],0),MATCH(Table1[[#This Row],[DC_name_Xref]],Table3[#Headers],0)),0)</f>
        <v>0</v>
      </c>
      <c r="O1467" s="19">
        <f>IFERROR(INDEX(Table35[#All],MATCH(Table1[[#This Row],[Key_Year_Week_Brand]],Table35[[#All],[Key_Year_Month_Brand]],0),MATCH(Table1[[#This Row],[DC_name_Xref]],Table35[#Headers],0)),0)</f>
        <v>0</v>
      </c>
    </row>
    <row r="1468" spans="1:15" x14ac:dyDescent="0.3">
      <c r="A1468" s="19" t="e">
        <f>Table1[[#This Row],[Year_Week]]&amp;"-"&amp;Table1[[#This Row],[DC_name_Xref]]</f>
        <v>#N/A</v>
      </c>
      <c r="B1468" s="19" t="str">
        <f>Table1[[#This Row],[Fiscal_Year]]*100+Table1[[#This Row],[Fiscal_Week]] &amp; "-" &amp;Table1[[#This Row],[BRAND]]</f>
        <v>0-</v>
      </c>
      <c r="C1468" s="19" t="str">
        <f>Table1[[#This Row],[Fiscal_Year]]&amp;"-"&amp;Table1[[#This Row],[BRAND]]</f>
        <v>-</v>
      </c>
      <c r="J1468" t="e">
        <f>VLOOKUP(H1468,DC_Xref!A:B,2,FALSE)</f>
        <v>#N/A</v>
      </c>
      <c r="K1468">
        <f t="shared" si="22"/>
        <v>0</v>
      </c>
      <c r="L14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8" s="3">
        <f>IFERROR(INDEX(Table3[#All],MATCH(Table1[[#This Row],[Key_Year_Week_Brand]],Table3[[#All],[Key_Year_Week_Brand]],0),MATCH(Table1[[#This Row],[DC_name_Xref]],Table3[#Headers],0)),0)</f>
        <v>0</v>
      </c>
      <c r="O1468" s="19">
        <f>IFERROR(INDEX(Table35[#All],MATCH(Table1[[#This Row],[Key_Year_Week_Brand]],Table35[[#All],[Key_Year_Month_Brand]],0),MATCH(Table1[[#This Row],[DC_name_Xref]],Table35[#Headers],0)),0)</f>
        <v>0</v>
      </c>
    </row>
    <row r="1469" spans="1:15" x14ac:dyDescent="0.3">
      <c r="A1469" s="19" t="e">
        <f>Table1[[#This Row],[Year_Week]]&amp;"-"&amp;Table1[[#This Row],[DC_name_Xref]]</f>
        <v>#N/A</v>
      </c>
      <c r="B1469" s="19" t="str">
        <f>Table1[[#This Row],[Fiscal_Year]]*100+Table1[[#This Row],[Fiscal_Week]] &amp; "-" &amp;Table1[[#This Row],[BRAND]]</f>
        <v>0-</v>
      </c>
      <c r="C1469" s="19" t="str">
        <f>Table1[[#This Row],[Fiscal_Year]]&amp;"-"&amp;Table1[[#This Row],[BRAND]]</f>
        <v>-</v>
      </c>
      <c r="J1469" t="e">
        <f>VLOOKUP(H1469,DC_Xref!A:B,2,FALSE)</f>
        <v>#N/A</v>
      </c>
      <c r="K1469">
        <f t="shared" si="22"/>
        <v>0</v>
      </c>
      <c r="L14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69" s="3">
        <f>IFERROR(INDEX(Table3[#All],MATCH(Table1[[#This Row],[Key_Year_Week_Brand]],Table3[[#All],[Key_Year_Week_Brand]],0),MATCH(Table1[[#This Row],[DC_name_Xref]],Table3[#Headers],0)),0)</f>
        <v>0</v>
      </c>
      <c r="O1469" s="19">
        <f>IFERROR(INDEX(Table35[#All],MATCH(Table1[[#This Row],[Key_Year_Week_Brand]],Table35[[#All],[Key_Year_Month_Brand]],0),MATCH(Table1[[#This Row],[DC_name_Xref]],Table35[#Headers],0)),0)</f>
        <v>0</v>
      </c>
    </row>
    <row r="1470" spans="1:15" x14ac:dyDescent="0.3">
      <c r="A1470" s="19" t="e">
        <f>Table1[[#This Row],[Year_Week]]&amp;"-"&amp;Table1[[#This Row],[DC_name_Xref]]</f>
        <v>#N/A</v>
      </c>
      <c r="B1470" s="19" t="str">
        <f>Table1[[#This Row],[Fiscal_Year]]*100+Table1[[#This Row],[Fiscal_Week]] &amp; "-" &amp;Table1[[#This Row],[BRAND]]</f>
        <v>0-</v>
      </c>
      <c r="C1470" s="19" t="str">
        <f>Table1[[#This Row],[Fiscal_Year]]&amp;"-"&amp;Table1[[#This Row],[BRAND]]</f>
        <v>-</v>
      </c>
      <c r="J1470" t="e">
        <f>VLOOKUP(H1470,DC_Xref!A:B,2,FALSE)</f>
        <v>#N/A</v>
      </c>
      <c r="K1470">
        <f t="shared" si="22"/>
        <v>0</v>
      </c>
      <c r="L14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0" s="3">
        <f>IFERROR(INDEX(Table3[#All],MATCH(Table1[[#This Row],[Key_Year_Week_Brand]],Table3[[#All],[Key_Year_Week_Brand]],0),MATCH(Table1[[#This Row],[DC_name_Xref]],Table3[#Headers],0)),0)</f>
        <v>0</v>
      </c>
      <c r="O1470" s="19">
        <f>IFERROR(INDEX(Table35[#All],MATCH(Table1[[#This Row],[Key_Year_Week_Brand]],Table35[[#All],[Key_Year_Month_Brand]],0),MATCH(Table1[[#This Row],[DC_name_Xref]],Table35[#Headers],0)),0)</f>
        <v>0</v>
      </c>
    </row>
    <row r="1471" spans="1:15" x14ac:dyDescent="0.3">
      <c r="A1471" s="19" t="e">
        <f>Table1[[#This Row],[Year_Week]]&amp;"-"&amp;Table1[[#This Row],[DC_name_Xref]]</f>
        <v>#N/A</v>
      </c>
      <c r="B1471" s="19" t="str">
        <f>Table1[[#This Row],[Fiscal_Year]]*100+Table1[[#This Row],[Fiscal_Week]] &amp; "-" &amp;Table1[[#This Row],[BRAND]]</f>
        <v>0-</v>
      </c>
      <c r="C1471" s="19" t="str">
        <f>Table1[[#This Row],[Fiscal_Year]]&amp;"-"&amp;Table1[[#This Row],[BRAND]]</f>
        <v>-</v>
      </c>
      <c r="J1471" t="e">
        <f>VLOOKUP(H1471,DC_Xref!A:B,2,FALSE)</f>
        <v>#N/A</v>
      </c>
      <c r="K1471">
        <f t="shared" si="22"/>
        <v>0</v>
      </c>
      <c r="L14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1" s="3">
        <f>IFERROR(INDEX(Table3[#All],MATCH(Table1[[#This Row],[Key_Year_Week_Brand]],Table3[[#All],[Key_Year_Week_Brand]],0),MATCH(Table1[[#This Row],[DC_name_Xref]],Table3[#Headers],0)),0)</f>
        <v>0</v>
      </c>
      <c r="O1471" s="19">
        <f>IFERROR(INDEX(Table35[#All],MATCH(Table1[[#This Row],[Key_Year_Week_Brand]],Table35[[#All],[Key_Year_Month_Brand]],0),MATCH(Table1[[#This Row],[DC_name_Xref]],Table35[#Headers],0)),0)</f>
        <v>0</v>
      </c>
    </row>
    <row r="1472" spans="1:15" x14ac:dyDescent="0.3">
      <c r="A1472" s="19" t="e">
        <f>Table1[[#This Row],[Year_Week]]&amp;"-"&amp;Table1[[#This Row],[DC_name_Xref]]</f>
        <v>#N/A</v>
      </c>
      <c r="B1472" s="19" t="str">
        <f>Table1[[#This Row],[Fiscal_Year]]*100+Table1[[#This Row],[Fiscal_Week]] &amp; "-" &amp;Table1[[#This Row],[BRAND]]</f>
        <v>0-</v>
      </c>
      <c r="C1472" s="19" t="str">
        <f>Table1[[#This Row],[Fiscal_Year]]&amp;"-"&amp;Table1[[#This Row],[BRAND]]</f>
        <v>-</v>
      </c>
      <c r="J1472" t="e">
        <f>VLOOKUP(H1472,DC_Xref!A:B,2,FALSE)</f>
        <v>#N/A</v>
      </c>
      <c r="K1472">
        <f t="shared" si="22"/>
        <v>0</v>
      </c>
      <c r="L14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2" s="3">
        <f>IFERROR(INDEX(Table3[#All],MATCH(Table1[[#This Row],[Key_Year_Week_Brand]],Table3[[#All],[Key_Year_Week_Brand]],0),MATCH(Table1[[#This Row],[DC_name_Xref]],Table3[#Headers],0)),0)</f>
        <v>0</v>
      </c>
      <c r="O1472" s="19">
        <f>IFERROR(INDEX(Table35[#All],MATCH(Table1[[#This Row],[Key_Year_Week_Brand]],Table35[[#All],[Key_Year_Month_Brand]],0),MATCH(Table1[[#This Row],[DC_name_Xref]],Table35[#Headers],0)),0)</f>
        <v>0</v>
      </c>
    </row>
    <row r="1473" spans="1:15" x14ac:dyDescent="0.3">
      <c r="A1473" s="19" t="e">
        <f>Table1[[#This Row],[Year_Week]]&amp;"-"&amp;Table1[[#This Row],[DC_name_Xref]]</f>
        <v>#N/A</v>
      </c>
      <c r="B1473" s="19" t="str">
        <f>Table1[[#This Row],[Fiscal_Year]]*100+Table1[[#This Row],[Fiscal_Week]] &amp; "-" &amp;Table1[[#This Row],[BRAND]]</f>
        <v>0-</v>
      </c>
      <c r="C1473" s="19" t="str">
        <f>Table1[[#This Row],[Fiscal_Year]]&amp;"-"&amp;Table1[[#This Row],[BRAND]]</f>
        <v>-</v>
      </c>
      <c r="J1473" t="e">
        <f>VLOOKUP(H1473,DC_Xref!A:B,2,FALSE)</f>
        <v>#N/A</v>
      </c>
      <c r="K1473">
        <f t="shared" si="22"/>
        <v>0</v>
      </c>
      <c r="L14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3" s="3">
        <f>IFERROR(INDEX(Table3[#All],MATCH(Table1[[#This Row],[Key_Year_Week_Brand]],Table3[[#All],[Key_Year_Week_Brand]],0),MATCH(Table1[[#This Row],[DC_name_Xref]],Table3[#Headers],0)),0)</f>
        <v>0</v>
      </c>
      <c r="O1473" s="19">
        <f>IFERROR(INDEX(Table35[#All],MATCH(Table1[[#This Row],[Key_Year_Week_Brand]],Table35[[#All],[Key_Year_Month_Brand]],0),MATCH(Table1[[#This Row],[DC_name_Xref]],Table35[#Headers],0)),0)</f>
        <v>0</v>
      </c>
    </row>
    <row r="1474" spans="1:15" x14ac:dyDescent="0.3">
      <c r="A1474" s="19" t="e">
        <f>Table1[[#This Row],[Year_Week]]&amp;"-"&amp;Table1[[#This Row],[DC_name_Xref]]</f>
        <v>#N/A</v>
      </c>
      <c r="B1474" s="19" t="str">
        <f>Table1[[#This Row],[Fiscal_Year]]*100+Table1[[#This Row],[Fiscal_Week]] &amp; "-" &amp;Table1[[#This Row],[BRAND]]</f>
        <v>0-</v>
      </c>
      <c r="C1474" s="19" t="str">
        <f>Table1[[#This Row],[Fiscal_Year]]&amp;"-"&amp;Table1[[#This Row],[BRAND]]</f>
        <v>-</v>
      </c>
      <c r="J1474" t="e">
        <f>VLOOKUP(H1474,DC_Xref!A:B,2,FALSE)</f>
        <v>#N/A</v>
      </c>
      <c r="K1474">
        <f t="shared" si="22"/>
        <v>0</v>
      </c>
      <c r="L14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4" s="3">
        <f>IFERROR(INDEX(Table3[#All],MATCH(Table1[[#This Row],[Key_Year_Week_Brand]],Table3[[#All],[Key_Year_Week_Brand]],0),MATCH(Table1[[#This Row],[DC_name_Xref]],Table3[#Headers],0)),0)</f>
        <v>0</v>
      </c>
      <c r="O1474" s="19">
        <f>IFERROR(INDEX(Table35[#All],MATCH(Table1[[#This Row],[Key_Year_Week_Brand]],Table35[[#All],[Key_Year_Month_Brand]],0),MATCH(Table1[[#This Row],[DC_name_Xref]],Table35[#Headers],0)),0)</f>
        <v>0</v>
      </c>
    </row>
    <row r="1475" spans="1:15" x14ac:dyDescent="0.3">
      <c r="A1475" s="19" t="e">
        <f>Table1[[#This Row],[Year_Week]]&amp;"-"&amp;Table1[[#This Row],[DC_name_Xref]]</f>
        <v>#N/A</v>
      </c>
      <c r="B1475" s="19" t="str">
        <f>Table1[[#This Row],[Fiscal_Year]]*100+Table1[[#This Row],[Fiscal_Week]] &amp; "-" &amp;Table1[[#This Row],[BRAND]]</f>
        <v>0-</v>
      </c>
      <c r="C1475" s="19" t="str">
        <f>Table1[[#This Row],[Fiscal_Year]]&amp;"-"&amp;Table1[[#This Row],[BRAND]]</f>
        <v>-</v>
      </c>
      <c r="J1475" t="e">
        <f>VLOOKUP(H1475,DC_Xref!A:B,2,FALSE)</f>
        <v>#N/A</v>
      </c>
      <c r="K1475">
        <f t="shared" si="22"/>
        <v>0</v>
      </c>
      <c r="L14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5" s="3">
        <f>IFERROR(INDEX(Table3[#All],MATCH(Table1[[#This Row],[Key_Year_Week_Brand]],Table3[[#All],[Key_Year_Week_Brand]],0),MATCH(Table1[[#This Row],[DC_name_Xref]],Table3[#Headers],0)),0)</f>
        <v>0</v>
      </c>
      <c r="O1475" s="19">
        <f>IFERROR(INDEX(Table35[#All],MATCH(Table1[[#This Row],[Key_Year_Week_Brand]],Table35[[#All],[Key_Year_Month_Brand]],0),MATCH(Table1[[#This Row],[DC_name_Xref]],Table35[#Headers],0)),0)</f>
        <v>0</v>
      </c>
    </row>
    <row r="1476" spans="1:15" x14ac:dyDescent="0.3">
      <c r="A1476" s="19" t="e">
        <f>Table1[[#This Row],[Year_Week]]&amp;"-"&amp;Table1[[#This Row],[DC_name_Xref]]</f>
        <v>#N/A</v>
      </c>
      <c r="B1476" s="19" t="str">
        <f>Table1[[#This Row],[Fiscal_Year]]*100+Table1[[#This Row],[Fiscal_Week]] &amp; "-" &amp;Table1[[#This Row],[BRAND]]</f>
        <v>0-</v>
      </c>
      <c r="C1476" s="19" t="str">
        <f>Table1[[#This Row],[Fiscal_Year]]&amp;"-"&amp;Table1[[#This Row],[BRAND]]</f>
        <v>-</v>
      </c>
      <c r="J1476" t="e">
        <f>VLOOKUP(H1476,DC_Xref!A:B,2,FALSE)</f>
        <v>#N/A</v>
      </c>
      <c r="K1476">
        <f t="shared" si="22"/>
        <v>0</v>
      </c>
      <c r="L14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6" s="3">
        <f>IFERROR(INDEX(Table3[#All],MATCH(Table1[[#This Row],[Key_Year_Week_Brand]],Table3[[#All],[Key_Year_Week_Brand]],0),MATCH(Table1[[#This Row],[DC_name_Xref]],Table3[#Headers],0)),0)</f>
        <v>0</v>
      </c>
      <c r="O1476" s="19">
        <f>IFERROR(INDEX(Table35[#All],MATCH(Table1[[#This Row],[Key_Year_Week_Brand]],Table35[[#All],[Key_Year_Month_Brand]],0),MATCH(Table1[[#This Row],[DC_name_Xref]],Table35[#Headers],0)),0)</f>
        <v>0</v>
      </c>
    </row>
    <row r="1477" spans="1:15" x14ac:dyDescent="0.3">
      <c r="A1477" s="19" t="e">
        <f>Table1[[#This Row],[Year_Week]]&amp;"-"&amp;Table1[[#This Row],[DC_name_Xref]]</f>
        <v>#N/A</v>
      </c>
      <c r="B1477" s="19" t="str">
        <f>Table1[[#This Row],[Fiscal_Year]]*100+Table1[[#This Row],[Fiscal_Week]] &amp; "-" &amp;Table1[[#This Row],[BRAND]]</f>
        <v>0-</v>
      </c>
      <c r="C1477" s="19" t="str">
        <f>Table1[[#This Row],[Fiscal_Year]]&amp;"-"&amp;Table1[[#This Row],[BRAND]]</f>
        <v>-</v>
      </c>
      <c r="J1477" t="e">
        <f>VLOOKUP(H1477,DC_Xref!A:B,2,FALSE)</f>
        <v>#N/A</v>
      </c>
      <c r="K1477">
        <f t="shared" si="22"/>
        <v>0</v>
      </c>
      <c r="L14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7" s="3">
        <f>IFERROR(INDEX(Table3[#All],MATCH(Table1[[#This Row],[Key_Year_Week_Brand]],Table3[[#All],[Key_Year_Week_Brand]],0),MATCH(Table1[[#This Row],[DC_name_Xref]],Table3[#Headers],0)),0)</f>
        <v>0</v>
      </c>
      <c r="O1477" s="19">
        <f>IFERROR(INDEX(Table35[#All],MATCH(Table1[[#This Row],[Key_Year_Week_Brand]],Table35[[#All],[Key_Year_Month_Brand]],0),MATCH(Table1[[#This Row],[DC_name_Xref]],Table35[#Headers],0)),0)</f>
        <v>0</v>
      </c>
    </row>
    <row r="1478" spans="1:15" x14ac:dyDescent="0.3">
      <c r="A1478" s="19" t="e">
        <f>Table1[[#This Row],[Year_Week]]&amp;"-"&amp;Table1[[#This Row],[DC_name_Xref]]</f>
        <v>#N/A</v>
      </c>
      <c r="B1478" s="19" t="str">
        <f>Table1[[#This Row],[Fiscal_Year]]*100+Table1[[#This Row],[Fiscal_Week]] &amp; "-" &amp;Table1[[#This Row],[BRAND]]</f>
        <v>0-</v>
      </c>
      <c r="C1478" s="19" t="str">
        <f>Table1[[#This Row],[Fiscal_Year]]&amp;"-"&amp;Table1[[#This Row],[BRAND]]</f>
        <v>-</v>
      </c>
      <c r="J1478" t="e">
        <f>VLOOKUP(H1478,DC_Xref!A:B,2,FALSE)</f>
        <v>#N/A</v>
      </c>
      <c r="K1478">
        <f t="shared" ref="K1478:K1541" si="23">D1478*100+E1478</f>
        <v>0</v>
      </c>
      <c r="L14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8" s="3">
        <f>IFERROR(INDEX(Table3[#All],MATCH(Table1[[#This Row],[Key_Year_Week_Brand]],Table3[[#All],[Key_Year_Week_Brand]],0),MATCH(Table1[[#This Row],[DC_name_Xref]],Table3[#Headers],0)),0)</f>
        <v>0</v>
      </c>
      <c r="O1478" s="19">
        <f>IFERROR(INDEX(Table35[#All],MATCH(Table1[[#This Row],[Key_Year_Week_Brand]],Table35[[#All],[Key_Year_Month_Brand]],0),MATCH(Table1[[#This Row],[DC_name_Xref]],Table35[#Headers],0)),0)</f>
        <v>0</v>
      </c>
    </row>
    <row r="1479" spans="1:15" x14ac:dyDescent="0.3">
      <c r="A1479" s="19" t="e">
        <f>Table1[[#This Row],[Year_Week]]&amp;"-"&amp;Table1[[#This Row],[DC_name_Xref]]</f>
        <v>#N/A</v>
      </c>
      <c r="B1479" s="19" t="str">
        <f>Table1[[#This Row],[Fiscal_Year]]*100+Table1[[#This Row],[Fiscal_Week]] &amp; "-" &amp;Table1[[#This Row],[BRAND]]</f>
        <v>0-</v>
      </c>
      <c r="C1479" s="19" t="str">
        <f>Table1[[#This Row],[Fiscal_Year]]&amp;"-"&amp;Table1[[#This Row],[BRAND]]</f>
        <v>-</v>
      </c>
      <c r="J1479" t="e">
        <f>VLOOKUP(H1479,DC_Xref!A:B,2,FALSE)</f>
        <v>#N/A</v>
      </c>
      <c r="K1479">
        <f t="shared" si="23"/>
        <v>0</v>
      </c>
      <c r="L14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79" s="3">
        <f>IFERROR(INDEX(Table3[#All],MATCH(Table1[[#This Row],[Key_Year_Week_Brand]],Table3[[#All],[Key_Year_Week_Brand]],0),MATCH(Table1[[#This Row],[DC_name_Xref]],Table3[#Headers],0)),0)</f>
        <v>0</v>
      </c>
      <c r="O1479" s="19">
        <f>IFERROR(INDEX(Table35[#All],MATCH(Table1[[#This Row],[Key_Year_Week_Brand]],Table35[[#All],[Key_Year_Month_Brand]],0),MATCH(Table1[[#This Row],[DC_name_Xref]],Table35[#Headers],0)),0)</f>
        <v>0</v>
      </c>
    </row>
    <row r="1480" spans="1:15" x14ac:dyDescent="0.3">
      <c r="A1480" s="19" t="e">
        <f>Table1[[#This Row],[Year_Week]]&amp;"-"&amp;Table1[[#This Row],[DC_name_Xref]]</f>
        <v>#N/A</v>
      </c>
      <c r="B1480" s="19" t="str">
        <f>Table1[[#This Row],[Fiscal_Year]]*100+Table1[[#This Row],[Fiscal_Week]] &amp; "-" &amp;Table1[[#This Row],[BRAND]]</f>
        <v>0-</v>
      </c>
      <c r="C1480" s="19" t="str">
        <f>Table1[[#This Row],[Fiscal_Year]]&amp;"-"&amp;Table1[[#This Row],[BRAND]]</f>
        <v>-</v>
      </c>
      <c r="J1480" t="e">
        <f>VLOOKUP(H1480,DC_Xref!A:B,2,FALSE)</f>
        <v>#N/A</v>
      </c>
      <c r="K1480">
        <f t="shared" si="23"/>
        <v>0</v>
      </c>
      <c r="L14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0" s="3">
        <f>IFERROR(INDEX(Table3[#All],MATCH(Table1[[#This Row],[Key_Year_Week_Brand]],Table3[[#All],[Key_Year_Week_Brand]],0),MATCH(Table1[[#This Row],[DC_name_Xref]],Table3[#Headers],0)),0)</f>
        <v>0</v>
      </c>
      <c r="O1480" s="19">
        <f>IFERROR(INDEX(Table35[#All],MATCH(Table1[[#This Row],[Key_Year_Week_Brand]],Table35[[#All],[Key_Year_Month_Brand]],0),MATCH(Table1[[#This Row],[DC_name_Xref]],Table35[#Headers],0)),0)</f>
        <v>0</v>
      </c>
    </row>
    <row r="1481" spans="1:15" x14ac:dyDescent="0.3">
      <c r="A1481" s="19" t="e">
        <f>Table1[[#This Row],[Year_Week]]&amp;"-"&amp;Table1[[#This Row],[DC_name_Xref]]</f>
        <v>#N/A</v>
      </c>
      <c r="B1481" s="19" t="str">
        <f>Table1[[#This Row],[Fiscal_Year]]*100+Table1[[#This Row],[Fiscal_Week]] &amp; "-" &amp;Table1[[#This Row],[BRAND]]</f>
        <v>0-</v>
      </c>
      <c r="C1481" s="19" t="str">
        <f>Table1[[#This Row],[Fiscal_Year]]&amp;"-"&amp;Table1[[#This Row],[BRAND]]</f>
        <v>-</v>
      </c>
      <c r="J1481" t="e">
        <f>VLOOKUP(H1481,DC_Xref!A:B,2,FALSE)</f>
        <v>#N/A</v>
      </c>
      <c r="K1481">
        <f t="shared" si="23"/>
        <v>0</v>
      </c>
      <c r="L14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1" s="3">
        <f>IFERROR(INDEX(Table3[#All],MATCH(Table1[[#This Row],[Key_Year_Week_Brand]],Table3[[#All],[Key_Year_Week_Brand]],0),MATCH(Table1[[#This Row],[DC_name_Xref]],Table3[#Headers],0)),0)</f>
        <v>0</v>
      </c>
      <c r="O1481" s="19">
        <f>IFERROR(INDEX(Table35[#All],MATCH(Table1[[#This Row],[Key_Year_Week_Brand]],Table35[[#All],[Key_Year_Month_Brand]],0),MATCH(Table1[[#This Row],[DC_name_Xref]],Table35[#Headers],0)),0)</f>
        <v>0</v>
      </c>
    </row>
    <row r="1482" spans="1:15" x14ac:dyDescent="0.3">
      <c r="A1482" s="19" t="e">
        <f>Table1[[#This Row],[Year_Week]]&amp;"-"&amp;Table1[[#This Row],[DC_name_Xref]]</f>
        <v>#N/A</v>
      </c>
      <c r="B1482" s="19" t="str">
        <f>Table1[[#This Row],[Fiscal_Year]]*100+Table1[[#This Row],[Fiscal_Week]] &amp; "-" &amp;Table1[[#This Row],[BRAND]]</f>
        <v>0-</v>
      </c>
      <c r="C1482" s="19" t="str">
        <f>Table1[[#This Row],[Fiscal_Year]]&amp;"-"&amp;Table1[[#This Row],[BRAND]]</f>
        <v>-</v>
      </c>
      <c r="J1482" t="e">
        <f>VLOOKUP(H1482,DC_Xref!A:B,2,FALSE)</f>
        <v>#N/A</v>
      </c>
      <c r="K1482">
        <f t="shared" si="23"/>
        <v>0</v>
      </c>
      <c r="L14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2" s="3">
        <f>IFERROR(INDEX(Table3[#All],MATCH(Table1[[#This Row],[Key_Year_Week_Brand]],Table3[[#All],[Key_Year_Week_Brand]],0),MATCH(Table1[[#This Row],[DC_name_Xref]],Table3[#Headers],0)),0)</f>
        <v>0</v>
      </c>
      <c r="O1482" s="19">
        <f>IFERROR(INDEX(Table35[#All],MATCH(Table1[[#This Row],[Key_Year_Week_Brand]],Table35[[#All],[Key_Year_Month_Brand]],0),MATCH(Table1[[#This Row],[DC_name_Xref]],Table35[#Headers],0)),0)</f>
        <v>0</v>
      </c>
    </row>
    <row r="1483" spans="1:15" x14ac:dyDescent="0.3">
      <c r="A1483" s="19" t="e">
        <f>Table1[[#This Row],[Year_Week]]&amp;"-"&amp;Table1[[#This Row],[DC_name_Xref]]</f>
        <v>#N/A</v>
      </c>
      <c r="B1483" s="19" t="str">
        <f>Table1[[#This Row],[Fiscal_Year]]*100+Table1[[#This Row],[Fiscal_Week]] &amp; "-" &amp;Table1[[#This Row],[BRAND]]</f>
        <v>0-</v>
      </c>
      <c r="C1483" s="19" t="str">
        <f>Table1[[#This Row],[Fiscal_Year]]&amp;"-"&amp;Table1[[#This Row],[BRAND]]</f>
        <v>-</v>
      </c>
      <c r="J1483" t="e">
        <f>VLOOKUP(H1483,DC_Xref!A:B,2,FALSE)</f>
        <v>#N/A</v>
      </c>
      <c r="K1483">
        <f t="shared" si="23"/>
        <v>0</v>
      </c>
      <c r="L14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3" s="3">
        <f>IFERROR(INDEX(Table3[#All],MATCH(Table1[[#This Row],[Key_Year_Week_Brand]],Table3[[#All],[Key_Year_Week_Brand]],0),MATCH(Table1[[#This Row],[DC_name_Xref]],Table3[#Headers],0)),0)</f>
        <v>0</v>
      </c>
      <c r="O1483" s="19">
        <f>IFERROR(INDEX(Table35[#All],MATCH(Table1[[#This Row],[Key_Year_Week_Brand]],Table35[[#All],[Key_Year_Month_Brand]],0),MATCH(Table1[[#This Row],[DC_name_Xref]],Table35[#Headers],0)),0)</f>
        <v>0</v>
      </c>
    </row>
    <row r="1484" spans="1:15" x14ac:dyDescent="0.3">
      <c r="A1484" s="19" t="e">
        <f>Table1[[#This Row],[Year_Week]]&amp;"-"&amp;Table1[[#This Row],[DC_name_Xref]]</f>
        <v>#N/A</v>
      </c>
      <c r="B1484" s="19" t="str">
        <f>Table1[[#This Row],[Fiscal_Year]]*100+Table1[[#This Row],[Fiscal_Week]] &amp; "-" &amp;Table1[[#This Row],[BRAND]]</f>
        <v>0-</v>
      </c>
      <c r="C1484" s="19" t="str">
        <f>Table1[[#This Row],[Fiscal_Year]]&amp;"-"&amp;Table1[[#This Row],[BRAND]]</f>
        <v>-</v>
      </c>
      <c r="J1484" t="e">
        <f>VLOOKUP(H1484,DC_Xref!A:B,2,FALSE)</f>
        <v>#N/A</v>
      </c>
      <c r="K1484">
        <f t="shared" si="23"/>
        <v>0</v>
      </c>
      <c r="L14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4" s="3">
        <f>IFERROR(INDEX(Table3[#All],MATCH(Table1[[#This Row],[Key_Year_Week_Brand]],Table3[[#All],[Key_Year_Week_Brand]],0),MATCH(Table1[[#This Row],[DC_name_Xref]],Table3[#Headers],0)),0)</f>
        <v>0</v>
      </c>
      <c r="O1484" s="19">
        <f>IFERROR(INDEX(Table35[#All],MATCH(Table1[[#This Row],[Key_Year_Week_Brand]],Table35[[#All],[Key_Year_Month_Brand]],0),MATCH(Table1[[#This Row],[DC_name_Xref]],Table35[#Headers],0)),0)</f>
        <v>0</v>
      </c>
    </row>
    <row r="1485" spans="1:15" x14ac:dyDescent="0.3">
      <c r="A1485" s="19" t="e">
        <f>Table1[[#This Row],[Year_Week]]&amp;"-"&amp;Table1[[#This Row],[DC_name_Xref]]</f>
        <v>#N/A</v>
      </c>
      <c r="B1485" s="19" t="str">
        <f>Table1[[#This Row],[Fiscal_Year]]*100+Table1[[#This Row],[Fiscal_Week]] &amp; "-" &amp;Table1[[#This Row],[BRAND]]</f>
        <v>0-</v>
      </c>
      <c r="C1485" s="19" t="str">
        <f>Table1[[#This Row],[Fiscal_Year]]&amp;"-"&amp;Table1[[#This Row],[BRAND]]</f>
        <v>-</v>
      </c>
      <c r="J1485" t="e">
        <f>VLOOKUP(H1485,DC_Xref!A:B,2,FALSE)</f>
        <v>#N/A</v>
      </c>
      <c r="K1485">
        <f t="shared" si="23"/>
        <v>0</v>
      </c>
      <c r="L14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5" s="3">
        <f>IFERROR(INDEX(Table3[#All],MATCH(Table1[[#This Row],[Key_Year_Week_Brand]],Table3[[#All],[Key_Year_Week_Brand]],0),MATCH(Table1[[#This Row],[DC_name_Xref]],Table3[#Headers],0)),0)</f>
        <v>0</v>
      </c>
      <c r="O1485" s="19">
        <f>IFERROR(INDEX(Table35[#All],MATCH(Table1[[#This Row],[Key_Year_Week_Brand]],Table35[[#All],[Key_Year_Month_Brand]],0),MATCH(Table1[[#This Row],[DC_name_Xref]],Table35[#Headers],0)),0)</f>
        <v>0</v>
      </c>
    </row>
    <row r="1486" spans="1:15" x14ac:dyDescent="0.3">
      <c r="A1486" s="19" t="e">
        <f>Table1[[#This Row],[Year_Week]]&amp;"-"&amp;Table1[[#This Row],[DC_name_Xref]]</f>
        <v>#N/A</v>
      </c>
      <c r="B1486" s="19" t="str">
        <f>Table1[[#This Row],[Fiscal_Year]]*100+Table1[[#This Row],[Fiscal_Week]] &amp; "-" &amp;Table1[[#This Row],[BRAND]]</f>
        <v>0-</v>
      </c>
      <c r="C1486" s="19" t="str">
        <f>Table1[[#This Row],[Fiscal_Year]]&amp;"-"&amp;Table1[[#This Row],[BRAND]]</f>
        <v>-</v>
      </c>
      <c r="J1486" t="e">
        <f>VLOOKUP(H1486,DC_Xref!A:B,2,FALSE)</f>
        <v>#N/A</v>
      </c>
      <c r="K1486">
        <f t="shared" si="23"/>
        <v>0</v>
      </c>
      <c r="L14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6" s="3">
        <f>IFERROR(INDEX(Table3[#All],MATCH(Table1[[#This Row],[Key_Year_Week_Brand]],Table3[[#All],[Key_Year_Week_Brand]],0),MATCH(Table1[[#This Row],[DC_name_Xref]],Table3[#Headers],0)),0)</f>
        <v>0</v>
      </c>
      <c r="O1486" s="19">
        <f>IFERROR(INDEX(Table35[#All],MATCH(Table1[[#This Row],[Key_Year_Week_Brand]],Table35[[#All],[Key_Year_Month_Brand]],0),MATCH(Table1[[#This Row],[DC_name_Xref]],Table35[#Headers],0)),0)</f>
        <v>0</v>
      </c>
    </row>
    <row r="1487" spans="1:15" x14ac:dyDescent="0.3">
      <c r="A1487" s="19" t="e">
        <f>Table1[[#This Row],[Year_Week]]&amp;"-"&amp;Table1[[#This Row],[DC_name_Xref]]</f>
        <v>#N/A</v>
      </c>
      <c r="B1487" s="19" t="str">
        <f>Table1[[#This Row],[Fiscal_Year]]*100+Table1[[#This Row],[Fiscal_Week]] &amp; "-" &amp;Table1[[#This Row],[BRAND]]</f>
        <v>0-</v>
      </c>
      <c r="C1487" s="19" t="str">
        <f>Table1[[#This Row],[Fiscal_Year]]&amp;"-"&amp;Table1[[#This Row],[BRAND]]</f>
        <v>-</v>
      </c>
      <c r="J1487" t="e">
        <f>VLOOKUP(H1487,DC_Xref!A:B,2,FALSE)</f>
        <v>#N/A</v>
      </c>
      <c r="K1487">
        <f t="shared" si="23"/>
        <v>0</v>
      </c>
      <c r="L14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7" s="3">
        <f>IFERROR(INDEX(Table3[#All],MATCH(Table1[[#This Row],[Key_Year_Week_Brand]],Table3[[#All],[Key_Year_Week_Brand]],0),MATCH(Table1[[#This Row],[DC_name_Xref]],Table3[#Headers],0)),0)</f>
        <v>0</v>
      </c>
      <c r="O1487" s="19">
        <f>IFERROR(INDEX(Table35[#All],MATCH(Table1[[#This Row],[Key_Year_Week_Brand]],Table35[[#All],[Key_Year_Month_Brand]],0),MATCH(Table1[[#This Row],[DC_name_Xref]],Table35[#Headers],0)),0)</f>
        <v>0</v>
      </c>
    </row>
    <row r="1488" spans="1:15" x14ac:dyDescent="0.3">
      <c r="A1488" s="19" t="e">
        <f>Table1[[#This Row],[Year_Week]]&amp;"-"&amp;Table1[[#This Row],[DC_name_Xref]]</f>
        <v>#N/A</v>
      </c>
      <c r="B1488" s="19" t="str">
        <f>Table1[[#This Row],[Fiscal_Year]]*100+Table1[[#This Row],[Fiscal_Week]] &amp; "-" &amp;Table1[[#This Row],[BRAND]]</f>
        <v>0-</v>
      </c>
      <c r="C1488" s="19" t="str">
        <f>Table1[[#This Row],[Fiscal_Year]]&amp;"-"&amp;Table1[[#This Row],[BRAND]]</f>
        <v>-</v>
      </c>
      <c r="J1488" t="e">
        <f>VLOOKUP(H1488,DC_Xref!A:B,2,FALSE)</f>
        <v>#N/A</v>
      </c>
      <c r="K1488">
        <f t="shared" si="23"/>
        <v>0</v>
      </c>
      <c r="L14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8" s="3">
        <f>IFERROR(INDEX(Table3[#All],MATCH(Table1[[#This Row],[Key_Year_Week_Brand]],Table3[[#All],[Key_Year_Week_Brand]],0),MATCH(Table1[[#This Row],[DC_name_Xref]],Table3[#Headers],0)),0)</f>
        <v>0</v>
      </c>
      <c r="O1488" s="19">
        <f>IFERROR(INDEX(Table35[#All],MATCH(Table1[[#This Row],[Key_Year_Week_Brand]],Table35[[#All],[Key_Year_Month_Brand]],0),MATCH(Table1[[#This Row],[DC_name_Xref]],Table35[#Headers],0)),0)</f>
        <v>0</v>
      </c>
    </row>
    <row r="1489" spans="1:15" x14ac:dyDescent="0.3">
      <c r="A1489" s="19" t="e">
        <f>Table1[[#This Row],[Year_Week]]&amp;"-"&amp;Table1[[#This Row],[DC_name_Xref]]</f>
        <v>#N/A</v>
      </c>
      <c r="B1489" s="19" t="str">
        <f>Table1[[#This Row],[Fiscal_Year]]*100+Table1[[#This Row],[Fiscal_Week]] &amp; "-" &amp;Table1[[#This Row],[BRAND]]</f>
        <v>0-</v>
      </c>
      <c r="C1489" s="19" t="str">
        <f>Table1[[#This Row],[Fiscal_Year]]&amp;"-"&amp;Table1[[#This Row],[BRAND]]</f>
        <v>-</v>
      </c>
      <c r="J1489" t="e">
        <f>VLOOKUP(H1489,DC_Xref!A:B,2,FALSE)</f>
        <v>#N/A</v>
      </c>
      <c r="K1489">
        <f t="shared" si="23"/>
        <v>0</v>
      </c>
      <c r="L14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89" s="3">
        <f>IFERROR(INDEX(Table3[#All],MATCH(Table1[[#This Row],[Key_Year_Week_Brand]],Table3[[#All],[Key_Year_Week_Brand]],0),MATCH(Table1[[#This Row],[DC_name_Xref]],Table3[#Headers],0)),0)</f>
        <v>0</v>
      </c>
      <c r="O1489" s="19">
        <f>IFERROR(INDEX(Table35[#All],MATCH(Table1[[#This Row],[Key_Year_Week_Brand]],Table35[[#All],[Key_Year_Month_Brand]],0),MATCH(Table1[[#This Row],[DC_name_Xref]],Table35[#Headers],0)),0)</f>
        <v>0</v>
      </c>
    </row>
    <row r="1490" spans="1:15" x14ac:dyDescent="0.3">
      <c r="A1490" s="19" t="e">
        <f>Table1[[#This Row],[Year_Week]]&amp;"-"&amp;Table1[[#This Row],[DC_name_Xref]]</f>
        <v>#N/A</v>
      </c>
      <c r="B1490" s="19" t="str">
        <f>Table1[[#This Row],[Fiscal_Year]]*100+Table1[[#This Row],[Fiscal_Week]] &amp; "-" &amp;Table1[[#This Row],[BRAND]]</f>
        <v>0-</v>
      </c>
      <c r="C1490" s="19" t="str">
        <f>Table1[[#This Row],[Fiscal_Year]]&amp;"-"&amp;Table1[[#This Row],[BRAND]]</f>
        <v>-</v>
      </c>
      <c r="J1490" t="e">
        <f>VLOOKUP(H1490,DC_Xref!A:B,2,FALSE)</f>
        <v>#N/A</v>
      </c>
      <c r="K1490">
        <f t="shared" si="23"/>
        <v>0</v>
      </c>
      <c r="L14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0" s="3">
        <f>IFERROR(INDEX(Table3[#All],MATCH(Table1[[#This Row],[Key_Year_Week_Brand]],Table3[[#All],[Key_Year_Week_Brand]],0),MATCH(Table1[[#This Row],[DC_name_Xref]],Table3[#Headers],0)),0)</f>
        <v>0</v>
      </c>
      <c r="O1490" s="19">
        <f>IFERROR(INDEX(Table35[#All],MATCH(Table1[[#This Row],[Key_Year_Week_Brand]],Table35[[#All],[Key_Year_Month_Brand]],0),MATCH(Table1[[#This Row],[DC_name_Xref]],Table35[#Headers],0)),0)</f>
        <v>0</v>
      </c>
    </row>
    <row r="1491" spans="1:15" x14ac:dyDescent="0.3">
      <c r="A1491" s="19" t="e">
        <f>Table1[[#This Row],[Year_Week]]&amp;"-"&amp;Table1[[#This Row],[DC_name_Xref]]</f>
        <v>#N/A</v>
      </c>
      <c r="B1491" s="19" t="str">
        <f>Table1[[#This Row],[Fiscal_Year]]*100+Table1[[#This Row],[Fiscal_Week]] &amp; "-" &amp;Table1[[#This Row],[BRAND]]</f>
        <v>0-</v>
      </c>
      <c r="C1491" s="19" t="str">
        <f>Table1[[#This Row],[Fiscal_Year]]&amp;"-"&amp;Table1[[#This Row],[BRAND]]</f>
        <v>-</v>
      </c>
      <c r="J1491" t="e">
        <f>VLOOKUP(H1491,DC_Xref!A:B,2,FALSE)</f>
        <v>#N/A</v>
      </c>
      <c r="K1491">
        <f t="shared" si="23"/>
        <v>0</v>
      </c>
      <c r="L14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1" s="3">
        <f>IFERROR(INDEX(Table3[#All],MATCH(Table1[[#This Row],[Key_Year_Week_Brand]],Table3[[#All],[Key_Year_Week_Brand]],0),MATCH(Table1[[#This Row],[DC_name_Xref]],Table3[#Headers],0)),0)</f>
        <v>0</v>
      </c>
      <c r="O1491" s="19">
        <f>IFERROR(INDEX(Table35[#All],MATCH(Table1[[#This Row],[Key_Year_Week_Brand]],Table35[[#All],[Key_Year_Month_Brand]],0),MATCH(Table1[[#This Row],[DC_name_Xref]],Table35[#Headers],0)),0)</f>
        <v>0</v>
      </c>
    </row>
    <row r="1492" spans="1:15" x14ac:dyDescent="0.3">
      <c r="A1492" s="19" t="e">
        <f>Table1[[#This Row],[Year_Week]]&amp;"-"&amp;Table1[[#This Row],[DC_name_Xref]]</f>
        <v>#N/A</v>
      </c>
      <c r="B1492" s="19" t="str">
        <f>Table1[[#This Row],[Fiscal_Year]]*100+Table1[[#This Row],[Fiscal_Week]] &amp; "-" &amp;Table1[[#This Row],[BRAND]]</f>
        <v>0-</v>
      </c>
      <c r="C1492" s="19" t="str">
        <f>Table1[[#This Row],[Fiscal_Year]]&amp;"-"&amp;Table1[[#This Row],[BRAND]]</f>
        <v>-</v>
      </c>
      <c r="J1492" t="e">
        <f>VLOOKUP(H1492,DC_Xref!A:B,2,FALSE)</f>
        <v>#N/A</v>
      </c>
      <c r="K1492">
        <f t="shared" si="23"/>
        <v>0</v>
      </c>
      <c r="L14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2" s="3">
        <f>IFERROR(INDEX(Table3[#All],MATCH(Table1[[#This Row],[Key_Year_Week_Brand]],Table3[[#All],[Key_Year_Week_Brand]],0),MATCH(Table1[[#This Row],[DC_name_Xref]],Table3[#Headers],0)),0)</f>
        <v>0</v>
      </c>
      <c r="O1492" s="19">
        <f>IFERROR(INDEX(Table35[#All],MATCH(Table1[[#This Row],[Key_Year_Week_Brand]],Table35[[#All],[Key_Year_Month_Brand]],0),MATCH(Table1[[#This Row],[DC_name_Xref]],Table35[#Headers],0)),0)</f>
        <v>0</v>
      </c>
    </row>
    <row r="1493" spans="1:15" x14ac:dyDescent="0.3">
      <c r="A1493" s="19" t="e">
        <f>Table1[[#This Row],[Year_Week]]&amp;"-"&amp;Table1[[#This Row],[DC_name_Xref]]</f>
        <v>#N/A</v>
      </c>
      <c r="B1493" s="19" t="str">
        <f>Table1[[#This Row],[Fiscal_Year]]*100+Table1[[#This Row],[Fiscal_Week]] &amp; "-" &amp;Table1[[#This Row],[BRAND]]</f>
        <v>0-</v>
      </c>
      <c r="C1493" s="19" t="str">
        <f>Table1[[#This Row],[Fiscal_Year]]&amp;"-"&amp;Table1[[#This Row],[BRAND]]</f>
        <v>-</v>
      </c>
      <c r="J1493" t="e">
        <f>VLOOKUP(H1493,DC_Xref!A:B,2,FALSE)</f>
        <v>#N/A</v>
      </c>
      <c r="K1493">
        <f t="shared" si="23"/>
        <v>0</v>
      </c>
      <c r="L14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3" s="3">
        <f>IFERROR(INDEX(Table3[#All],MATCH(Table1[[#This Row],[Key_Year_Week_Brand]],Table3[[#All],[Key_Year_Week_Brand]],0),MATCH(Table1[[#This Row],[DC_name_Xref]],Table3[#Headers],0)),0)</f>
        <v>0</v>
      </c>
      <c r="O1493" s="19">
        <f>IFERROR(INDEX(Table35[#All],MATCH(Table1[[#This Row],[Key_Year_Week_Brand]],Table35[[#All],[Key_Year_Month_Brand]],0),MATCH(Table1[[#This Row],[DC_name_Xref]],Table35[#Headers],0)),0)</f>
        <v>0</v>
      </c>
    </row>
    <row r="1494" spans="1:15" x14ac:dyDescent="0.3">
      <c r="A1494" s="19" t="e">
        <f>Table1[[#This Row],[Year_Week]]&amp;"-"&amp;Table1[[#This Row],[DC_name_Xref]]</f>
        <v>#N/A</v>
      </c>
      <c r="B1494" s="19" t="str">
        <f>Table1[[#This Row],[Fiscal_Year]]*100+Table1[[#This Row],[Fiscal_Week]] &amp; "-" &amp;Table1[[#This Row],[BRAND]]</f>
        <v>0-</v>
      </c>
      <c r="C1494" s="19" t="str">
        <f>Table1[[#This Row],[Fiscal_Year]]&amp;"-"&amp;Table1[[#This Row],[BRAND]]</f>
        <v>-</v>
      </c>
      <c r="J1494" t="e">
        <f>VLOOKUP(H1494,DC_Xref!A:B,2,FALSE)</f>
        <v>#N/A</v>
      </c>
      <c r="K1494">
        <f t="shared" si="23"/>
        <v>0</v>
      </c>
      <c r="L14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4" s="3">
        <f>IFERROR(INDEX(Table3[#All],MATCH(Table1[[#This Row],[Key_Year_Week_Brand]],Table3[[#All],[Key_Year_Week_Brand]],0),MATCH(Table1[[#This Row],[DC_name_Xref]],Table3[#Headers],0)),0)</f>
        <v>0</v>
      </c>
      <c r="O1494" s="19">
        <f>IFERROR(INDEX(Table35[#All],MATCH(Table1[[#This Row],[Key_Year_Week_Brand]],Table35[[#All],[Key_Year_Month_Brand]],0),MATCH(Table1[[#This Row],[DC_name_Xref]],Table35[#Headers],0)),0)</f>
        <v>0</v>
      </c>
    </row>
    <row r="1495" spans="1:15" x14ac:dyDescent="0.3">
      <c r="A1495" s="19" t="e">
        <f>Table1[[#This Row],[Year_Week]]&amp;"-"&amp;Table1[[#This Row],[DC_name_Xref]]</f>
        <v>#N/A</v>
      </c>
      <c r="B1495" s="19" t="str">
        <f>Table1[[#This Row],[Fiscal_Year]]*100+Table1[[#This Row],[Fiscal_Week]] &amp; "-" &amp;Table1[[#This Row],[BRAND]]</f>
        <v>0-</v>
      </c>
      <c r="C1495" s="19" t="str">
        <f>Table1[[#This Row],[Fiscal_Year]]&amp;"-"&amp;Table1[[#This Row],[BRAND]]</f>
        <v>-</v>
      </c>
      <c r="J1495" t="e">
        <f>VLOOKUP(H1495,DC_Xref!A:B,2,FALSE)</f>
        <v>#N/A</v>
      </c>
      <c r="K1495">
        <f t="shared" si="23"/>
        <v>0</v>
      </c>
      <c r="L14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5" s="3">
        <f>IFERROR(INDEX(Table3[#All],MATCH(Table1[[#This Row],[Key_Year_Week_Brand]],Table3[[#All],[Key_Year_Week_Brand]],0),MATCH(Table1[[#This Row],[DC_name_Xref]],Table3[#Headers],0)),0)</f>
        <v>0</v>
      </c>
      <c r="O1495" s="19">
        <f>IFERROR(INDEX(Table35[#All],MATCH(Table1[[#This Row],[Key_Year_Week_Brand]],Table35[[#All],[Key_Year_Month_Brand]],0),MATCH(Table1[[#This Row],[DC_name_Xref]],Table35[#Headers],0)),0)</f>
        <v>0</v>
      </c>
    </row>
    <row r="1496" spans="1:15" x14ac:dyDescent="0.3">
      <c r="A1496" s="19" t="e">
        <f>Table1[[#This Row],[Year_Week]]&amp;"-"&amp;Table1[[#This Row],[DC_name_Xref]]</f>
        <v>#N/A</v>
      </c>
      <c r="B1496" s="19" t="str">
        <f>Table1[[#This Row],[Fiscal_Year]]*100+Table1[[#This Row],[Fiscal_Week]] &amp; "-" &amp;Table1[[#This Row],[BRAND]]</f>
        <v>0-</v>
      </c>
      <c r="C1496" s="19" t="str">
        <f>Table1[[#This Row],[Fiscal_Year]]&amp;"-"&amp;Table1[[#This Row],[BRAND]]</f>
        <v>-</v>
      </c>
      <c r="J1496" t="e">
        <f>VLOOKUP(H1496,DC_Xref!A:B,2,FALSE)</f>
        <v>#N/A</v>
      </c>
      <c r="K1496">
        <f t="shared" si="23"/>
        <v>0</v>
      </c>
      <c r="L14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6" s="3">
        <f>IFERROR(INDEX(Table3[#All],MATCH(Table1[[#This Row],[Key_Year_Week_Brand]],Table3[[#All],[Key_Year_Week_Brand]],0),MATCH(Table1[[#This Row],[DC_name_Xref]],Table3[#Headers],0)),0)</f>
        <v>0</v>
      </c>
      <c r="O1496" s="19">
        <f>IFERROR(INDEX(Table35[#All],MATCH(Table1[[#This Row],[Key_Year_Week_Brand]],Table35[[#All],[Key_Year_Month_Brand]],0),MATCH(Table1[[#This Row],[DC_name_Xref]],Table35[#Headers],0)),0)</f>
        <v>0</v>
      </c>
    </row>
    <row r="1497" spans="1:15" x14ac:dyDescent="0.3">
      <c r="A1497" s="19" t="e">
        <f>Table1[[#This Row],[Year_Week]]&amp;"-"&amp;Table1[[#This Row],[DC_name_Xref]]</f>
        <v>#N/A</v>
      </c>
      <c r="B1497" s="19" t="str">
        <f>Table1[[#This Row],[Fiscal_Year]]*100+Table1[[#This Row],[Fiscal_Week]] &amp; "-" &amp;Table1[[#This Row],[BRAND]]</f>
        <v>0-</v>
      </c>
      <c r="C1497" s="19" t="str">
        <f>Table1[[#This Row],[Fiscal_Year]]&amp;"-"&amp;Table1[[#This Row],[BRAND]]</f>
        <v>-</v>
      </c>
      <c r="J1497" t="e">
        <f>VLOOKUP(H1497,DC_Xref!A:B,2,FALSE)</f>
        <v>#N/A</v>
      </c>
      <c r="K1497">
        <f t="shared" si="23"/>
        <v>0</v>
      </c>
      <c r="L14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7" s="3">
        <f>IFERROR(INDEX(Table3[#All],MATCH(Table1[[#This Row],[Key_Year_Week_Brand]],Table3[[#All],[Key_Year_Week_Brand]],0),MATCH(Table1[[#This Row],[DC_name_Xref]],Table3[#Headers],0)),0)</f>
        <v>0</v>
      </c>
      <c r="O1497" s="19">
        <f>IFERROR(INDEX(Table35[#All],MATCH(Table1[[#This Row],[Key_Year_Week_Brand]],Table35[[#All],[Key_Year_Month_Brand]],0),MATCH(Table1[[#This Row],[DC_name_Xref]],Table35[#Headers],0)),0)</f>
        <v>0</v>
      </c>
    </row>
    <row r="1498" spans="1:15" x14ac:dyDescent="0.3">
      <c r="A1498" s="19" t="e">
        <f>Table1[[#This Row],[Year_Week]]&amp;"-"&amp;Table1[[#This Row],[DC_name_Xref]]</f>
        <v>#N/A</v>
      </c>
      <c r="B1498" s="19" t="str">
        <f>Table1[[#This Row],[Fiscal_Year]]*100+Table1[[#This Row],[Fiscal_Week]] &amp; "-" &amp;Table1[[#This Row],[BRAND]]</f>
        <v>0-</v>
      </c>
      <c r="C1498" s="19" t="str">
        <f>Table1[[#This Row],[Fiscal_Year]]&amp;"-"&amp;Table1[[#This Row],[BRAND]]</f>
        <v>-</v>
      </c>
      <c r="J1498" t="e">
        <f>VLOOKUP(H1498,DC_Xref!A:B,2,FALSE)</f>
        <v>#N/A</v>
      </c>
      <c r="K1498">
        <f t="shared" si="23"/>
        <v>0</v>
      </c>
      <c r="L14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8" s="3">
        <f>IFERROR(INDEX(Table3[#All],MATCH(Table1[[#This Row],[Key_Year_Week_Brand]],Table3[[#All],[Key_Year_Week_Brand]],0),MATCH(Table1[[#This Row],[DC_name_Xref]],Table3[#Headers],0)),0)</f>
        <v>0</v>
      </c>
      <c r="O1498" s="19">
        <f>IFERROR(INDEX(Table35[#All],MATCH(Table1[[#This Row],[Key_Year_Week_Brand]],Table35[[#All],[Key_Year_Month_Brand]],0),MATCH(Table1[[#This Row],[DC_name_Xref]],Table35[#Headers],0)),0)</f>
        <v>0</v>
      </c>
    </row>
    <row r="1499" spans="1:15" x14ac:dyDescent="0.3">
      <c r="A1499" s="19" t="e">
        <f>Table1[[#This Row],[Year_Week]]&amp;"-"&amp;Table1[[#This Row],[DC_name_Xref]]</f>
        <v>#N/A</v>
      </c>
      <c r="B1499" s="19" t="str">
        <f>Table1[[#This Row],[Fiscal_Year]]*100+Table1[[#This Row],[Fiscal_Week]] &amp; "-" &amp;Table1[[#This Row],[BRAND]]</f>
        <v>0-</v>
      </c>
      <c r="C1499" s="19" t="str">
        <f>Table1[[#This Row],[Fiscal_Year]]&amp;"-"&amp;Table1[[#This Row],[BRAND]]</f>
        <v>-</v>
      </c>
      <c r="J1499" t="e">
        <f>VLOOKUP(H1499,DC_Xref!A:B,2,FALSE)</f>
        <v>#N/A</v>
      </c>
      <c r="K1499">
        <f t="shared" si="23"/>
        <v>0</v>
      </c>
      <c r="L14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4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499" s="3">
        <f>IFERROR(INDEX(Table3[#All],MATCH(Table1[[#This Row],[Key_Year_Week_Brand]],Table3[[#All],[Key_Year_Week_Brand]],0),MATCH(Table1[[#This Row],[DC_name_Xref]],Table3[#Headers],0)),0)</f>
        <v>0</v>
      </c>
      <c r="O1499" s="19">
        <f>IFERROR(INDEX(Table35[#All],MATCH(Table1[[#This Row],[Key_Year_Week_Brand]],Table35[[#All],[Key_Year_Month_Brand]],0),MATCH(Table1[[#This Row],[DC_name_Xref]],Table35[#Headers],0)),0)</f>
        <v>0</v>
      </c>
    </row>
    <row r="1500" spans="1:15" x14ac:dyDescent="0.3">
      <c r="A1500" s="19" t="e">
        <f>Table1[[#This Row],[Year_Week]]&amp;"-"&amp;Table1[[#This Row],[DC_name_Xref]]</f>
        <v>#N/A</v>
      </c>
      <c r="B1500" s="19" t="str">
        <f>Table1[[#This Row],[Fiscal_Year]]*100+Table1[[#This Row],[Fiscal_Week]] &amp; "-" &amp;Table1[[#This Row],[BRAND]]</f>
        <v>0-</v>
      </c>
      <c r="C1500" s="19" t="str">
        <f>Table1[[#This Row],[Fiscal_Year]]&amp;"-"&amp;Table1[[#This Row],[BRAND]]</f>
        <v>-</v>
      </c>
      <c r="J1500" t="e">
        <f>VLOOKUP(H1500,DC_Xref!A:B,2,FALSE)</f>
        <v>#N/A</v>
      </c>
      <c r="K1500">
        <f t="shared" si="23"/>
        <v>0</v>
      </c>
      <c r="L15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0" s="3">
        <f>IFERROR(INDEX(Table3[#All],MATCH(Table1[[#This Row],[Key_Year_Week_Brand]],Table3[[#All],[Key_Year_Week_Brand]],0),MATCH(Table1[[#This Row],[DC_name_Xref]],Table3[#Headers],0)),0)</f>
        <v>0</v>
      </c>
      <c r="O1500" s="19">
        <f>IFERROR(INDEX(Table35[#All],MATCH(Table1[[#This Row],[Key_Year_Week_Brand]],Table35[[#All],[Key_Year_Month_Brand]],0),MATCH(Table1[[#This Row],[DC_name_Xref]],Table35[#Headers],0)),0)</f>
        <v>0</v>
      </c>
    </row>
    <row r="1501" spans="1:15" x14ac:dyDescent="0.3">
      <c r="A1501" s="19" t="e">
        <f>Table1[[#This Row],[Year_Week]]&amp;"-"&amp;Table1[[#This Row],[DC_name_Xref]]</f>
        <v>#N/A</v>
      </c>
      <c r="B1501" s="19" t="str">
        <f>Table1[[#This Row],[Fiscal_Year]]*100+Table1[[#This Row],[Fiscal_Week]] &amp; "-" &amp;Table1[[#This Row],[BRAND]]</f>
        <v>0-</v>
      </c>
      <c r="C1501" s="19" t="str">
        <f>Table1[[#This Row],[Fiscal_Year]]&amp;"-"&amp;Table1[[#This Row],[BRAND]]</f>
        <v>-</v>
      </c>
      <c r="J1501" t="e">
        <f>VLOOKUP(H1501,DC_Xref!A:B,2,FALSE)</f>
        <v>#N/A</v>
      </c>
      <c r="K1501">
        <f t="shared" si="23"/>
        <v>0</v>
      </c>
      <c r="L15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1" s="3">
        <f>IFERROR(INDEX(Table3[#All],MATCH(Table1[[#This Row],[Key_Year_Week_Brand]],Table3[[#All],[Key_Year_Week_Brand]],0),MATCH(Table1[[#This Row],[DC_name_Xref]],Table3[#Headers],0)),0)</f>
        <v>0</v>
      </c>
      <c r="O1501" s="19">
        <f>IFERROR(INDEX(Table35[#All],MATCH(Table1[[#This Row],[Key_Year_Week_Brand]],Table35[[#All],[Key_Year_Month_Brand]],0),MATCH(Table1[[#This Row],[DC_name_Xref]],Table35[#Headers],0)),0)</f>
        <v>0</v>
      </c>
    </row>
    <row r="1502" spans="1:15" x14ac:dyDescent="0.3">
      <c r="A1502" s="19" t="e">
        <f>Table1[[#This Row],[Year_Week]]&amp;"-"&amp;Table1[[#This Row],[DC_name_Xref]]</f>
        <v>#N/A</v>
      </c>
      <c r="B1502" s="19" t="str">
        <f>Table1[[#This Row],[Fiscal_Year]]*100+Table1[[#This Row],[Fiscal_Week]] &amp; "-" &amp;Table1[[#This Row],[BRAND]]</f>
        <v>0-</v>
      </c>
      <c r="C1502" s="19" t="str">
        <f>Table1[[#This Row],[Fiscal_Year]]&amp;"-"&amp;Table1[[#This Row],[BRAND]]</f>
        <v>-</v>
      </c>
      <c r="J1502" t="e">
        <f>VLOOKUP(H1502,DC_Xref!A:B,2,FALSE)</f>
        <v>#N/A</v>
      </c>
      <c r="K1502">
        <f t="shared" si="23"/>
        <v>0</v>
      </c>
      <c r="L15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2" s="3">
        <f>IFERROR(INDEX(Table3[#All],MATCH(Table1[[#This Row],[Key_Year_Week_Brand]],Table3[[#All],[Key_Year_Week_Brand]],0),MATCH(Table1[[#This Row],[DC_name_Xref]],Table3[#Headers],0)),0)</f>
        <v>0</v>
      </c>
      <c r="O1502" s="19">
        <f>IFERROR(INDEX(Table35[#All],MATCH(Table1[[#This Row],[Key_Year_Week_Brand]],Table35[[#All],[Key_Year_Month_Brand]],0),MATCH(Table1[[#This Row],[DC_name_Xref]],Table35[#Headers],0)),0)</f>
        <v>0</v>
      </c>
    </row>
    <row r="1503" spans="1:15" x14ac:dyDescent="0.3">
      <c r="A1503" s="19" t="e">
        <f>Table1[[#This Row],[Year_Week]]&amp;"-"&amp;Table1[[#This Row],[DC_name_Xref]]</f>
        <v>#N/A</v>
      </c>
      <c r="B1503" s="19" t="str">
        <f>Table1[[#This Row],[Fiscal_Year]]*100+Table1[[#This Row],[Fiscal_Week]] &amp; "-" &amp;Table1[[#This Row],[BRAND]]</f>
        <v>0-</v>
      </c>
      <c r="C1503" s="19" t="str">
        <f>Table1[[#This Row],[Fiscal_Year]]&amp;"-"&amp;Table1[[#This Row],[BRAND]]</f>
        <v>-</v>
      </c>
      <c r="J1503" t="e">
        <f>VLOOKUP(H1503,DC_Xref!A:B,2,FALSE)</f>
        <v>#N/A</v>
      </c>
      <c r="K1503">
        <f t="shared" si="23"/>
        <v>0</v>
      </c>
      <c r="L15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3" s="3">
        <f>IFERROR(INDEX(Table3[#All],MATCH(Table1[[#This Row],[Key_Year_Week_Brand]],Table3[[#All],[Key_Year_Week_Brand]],0),MATCH(Table1[[#This Row],[DC_name_Xref]],Table3[#Headers],0)),0)</f>
        <v>0</v>
      </c>
      <c r="O1503" s="19">
        <f>IFERROR(INDEX(Table35[#All],MATCH(Table1[[#This Row],[Key_Year_Week_Brand]],Table35[[#All],[Key_Year_Month_Brand]],0),MATCH(Table1[[#This Row],[DC_name_Xref]],Table35[#Headers],0)),0)</f>
        <v>0</v>
      </c>
    </row>
    <row r="1504" spans="1:15" x14ac:dyDescent="0.3">
      <c r="A1504" s="19" t="e">
        <f>Table1[[#This Row],[Year_Week]]&amp;"-"&amp;Table1[[#This Row],[DC_name_Xref]]</f>
        <v>#N/A</v>
      </c>
      <c r="B1504" s="19" t="str">
        <f>Table1[[#This Row],[Fiscal_Year]]*100+Table1[[#This Row],[Fiscal_Week]] &amp; "-" &amp;Table1[[#This Row],[BRAND]]</f>
        <v>0-</v>
      </c>
      <c r="C1504" s="19" t="str">
        <f>Table1[[#This Row],[Fiscal_Year]]&amp;"-"&amp;Table1[[#This Row],[BRAND]]</f>
        <v>-</v>
      </c>
      <c r="J1504" t="e">
        <f>VLOOKUP(H1504,DC_Xref!A:B,2,FALSE)</f>
        <v>#N/A</v>
      </c>
      <c r="K1504">
        <f t="shared" si="23"/>
        <v>0</v>
      </c>
      <c r="L15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4" s="3">
        <f>IFERROR(INDEX(Table3[#All],MATCH(Table1[[#This Row],[Key_Year_Week_Brand]],Table3[[#All],[Key_Year_Week_Brand]],0),MATCH(Table1[[#This Row],[DC_name_Xref]],Table3[#Headers],0)),0)</f>
        <v>0</v>
      </c>
      <c r="O1504" s="19">
        <f>IFERROR(INDEX(Table35[#All],MATCH(Table1[[#This Row],[Key_Year_Week_Brand]],Table35[[#All],[Key_Year_Month_Brand]],0),MATCH(Table1[[#This Row],[DC_name_Xref]],Table35[#Headers],0)),0)</f>
        <v>0</v>
      </c>
    </row>
    <row r="1505" spans="1:15" x14ac:dyDescent="0.3">
      <c r="A1505" s="19" t="e">
        <f>Table1[[#This Row],[Year_Week]]&amp;"-"&amp;Table1[[#This Row],[DC_name_Xref]]</f>
        <v>#N/A</v>
      </c>
      <c r="B1505" s="19" t="str">
        <f>Table1[[#This Row],[Fiscal_Year]]*100+Table1[[#This Row],[Fiscal_Week]] &amp; "-" &amp;Table1[[#This Row],[BRAND]]</f>
        <v>0-</v>
      </c>
      <c r="C1505" s="19" t="str">
        <f>Table1[[#This Row],[Fiscal_Year]]&amp;"-"&amp;Table1[[#This Row],[BRAND]]</f>
        <v>-</v>
      </c>
      <c r="J1505" t="e">
        <f>VLOOKUP(H1505,DC_Xref!A:B,2,FALSE)</f>
        <v>#N/A</v>
      </c>
      <c r="K1505">
        <f t="shared" si="23"/>
        <v>0</v>
      </c>
      <c r="L15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5" s="3">
        <f>IFERROR(INDEX(Table3[#All],MATCH(Table1[[#This Row],[Key_Year_Week_Brand]],Table3[[#All],[Key_Year_Week_Brand]],0),MATCH(Table1[[#This Row],[DC_name_Xref]],Table3[#Headers],0)),0)</f>
        <v>0</v>
      </c>
      <c r="O1505" s="19">
        <f>IFERROR(INDEX(Table35[#All],MATCH(Table1[[#This Row],[Key_Year_Week_Brand]],Table35[[#All],[Key_Year_Month_Brand]],0),MATCH(Table1[[#This Row],[DC_name_Xref]],Table35[#Headers],0)),0)</f>
        <v>0</v>
      </c>
    </row>
    <row r="1506" spans="1:15" x14ac:dyDescent="0.3">
      <c r="A1506" s="19" t="e">
        <f>Table1[[#This Row],[Year_Week]]&amp;"-"&amp;Table1[[#This Row],[DC_name_Xref]]</f>
        <v>#N/A</v>
      </c>
      <c r="B1506" s="19" t="str">
        <f>Table1[[#This Row],[Fiscal_Year]]*100+Table1[[#This Row],[Fiscal_Week]] &amp; "-" &amp;Table1[[#This Row],[BRAND]]</f>
        <v>0-</v>
      </c>
      <c r="C1506" s="19" t="str">
        <f>Table1[[#This Row],[Fiscal_Year]]&amp;"-"&amp;Table1[[#This Row],[BRAND]]</f>
        <v>-</v>
      </c>
      <c r="J1506" t="e">
        <f>VLOOKUP(H1506,DC_Xref!A:B,2,FALSE)</f>
        <v>#N/A</v>
      </c>
      <c r="K1506">
        <f t="shared" si="23"/>
        <v>0</v>
      </c>
      <c r="L15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6" s="3">
        <f>IFERROR(INDEX(Table3[#All],MATCH(Table1[[#This Row],[Key_Year_Week_Brand]],Table3[[#All],[Key_Year_Week_Brand]],0),MATCH(Table1[[#This Row],[DC_name_Xref]],Table3[#Headers],0)),0)</f>
        <v>0</v>
      </c>
      <c r="O1506" s="19">
        <f>IFERROR(INDEX(Table35[#All],MATCH(Table1[[#This Row],[Key_Year_Week_Brand]],Table35[[#All],[Key_Year_Month_Brand]],0),MATCH(Table1[[#This Row],[DC_name_Xref]],Table35[#Headers],0)),0)</f>
        <v>0</v>
      </c>
    </row>
    <row r="1507" spans="1:15" x14ac:dyDescent="0.3">
      <c r="A1507" s="19" t="e">
        <f>Table1[[#This Row],[Year_Week]]&amp;"-"&amp;Table1[[#This Row],[DC_name_Xref]]</f>
        <v>#N/A</v>
      </c>
      <c r="B1507" s="19" t="str">
        <f>Table1[[#This Row],[Fiscal_Year]]*100+Table1[[#This Row],[Fiscal_Week]] &amp; "-" &amp;Table1[[#This Row],[BRAND]]</f>
        <v>0-</v>
      </c>
      <c r="C1507" s="19" t="str">
        <f>Table1[[#This Row],[Fiscal_Year]]&amp;"-"&amp;Table1[[#This Row],[BRAND]]</f>
        <v>-</v>
      </c>
      <c r="J1507" t="e">
        <f>VLOOKUP(H1507,DC_Xref!A:B,2,FALSE)</f>
        <v>#N/A</v>
      </c>
      <c r="K1507">
        <f t="shared" si="23"/>
        <v>0</v>
      </c>
      <c r="L15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7" s="3">
        <f>IFERROR(INDEX(Table3[#All],MATCH(Table1[[#This Row],[Key_Year_Week_Brand]],Table3[[#All],[Key_Year_Week_Brand]],0),MATCH(Table1[[#This Row],[DC_name_Xref]],Table3[#Headers],0)),0)</f>
        <v>0</v>
      </c>
      <c r="O1507" s="19">
        <f>IFERROR(INDEX(Table35[#All],MATCH(Table1[[#This Row],[Key_Year_Week_Brand]],Table35[[#All],[Key_Year_Month_Brand]],0),MATCH(Table1[[#This Row],[DC_name_Xref]],Table35[#Headers],0)),0)</f>
        <v>0</v>
      </c>
    </row>
    <row r="1508" spans="1:15" x14ac:dyDescent="0.3">
      <c r="A1508" s="19" t="e">
        <f>Table1[[#This Row],[Year_Week]]&amp;"-"&amp;Table1[[#This Row],[DC_name_Xref]]</f>
        <v>#N/A</v>
      </c>
      <c r="B1508" s="19" t="str">
        <f>Table1[[#This Row],[Fiscal_Year]]*100+Table1[[#This Row],[Fiscal_Week]] &amp; "-" &amp;Table1[[#This Row],[BRAND]]</f>
        <v>0-</v>
      </c>
      <c r="C1508" s="19" t="str">
        <f>Table1[[#This Row],[Fiscal_Year]]&amp;"-"&amp;Table1[[#This Row],[BRAND]]</f>
        <v>-</v>
      </c>
      <c r="J1508" t="e">
        <f>VLOOKUP(H1508,DC_Xref!A:B,2,FALSE)</f>
        <v>#N/A</v>
      </c>
      <c r="K1508">
        <f t="shared" si="23"/>
        <v>0</v>
      </c>
      <c r="L15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8" s="3">
        <f>IFERROR(INDEX(Table3[#All],MATCH(Table1[[#This Row],[Key_Year_Week_Brand]],Table3[[#All],[Key_Year_Week_Brand]],0),MATCH(Table1[[#This Row],[DC_name_Xref]],Table3[#Headers],0)),0)</f>
        <v>0</v>
      </c>
      <c r="O1508" s="19">
        <f>IFERROR(INDEX(Table35[#All],MATCH(Table1[[#This Row],[Key_Year_Week_Brand]],Table35[[#All],[Key_Year_Month_Brand]],0),MATCH(Table1[[#This Row],[DC_name_Xref]],Table35[#Headers],0)),0)</f>
        <v>0</v>
      </c>
    </row>
    <row r="1509" spans="1:15" x14ac:dyDescent="0.3">
      <c r="A1509" s="19" t="e">
        <f>Table1[[#This Row],[Year_Week]]&amp;"-"&amp;Table1[[#This Row],[DC_name_Xref]]</f>
        <v>#N/A</v>
      </c>
      <c r="B1509" s="19" t="str">
        <f>Table1[[#This Row],[Fiscal_Year]]*100+Table1[[#This Row],[Fiscal_Week]] &amp; "-" &amp;Table1[[#This Row],[BRAND]]</f>
        <v>0-</v>
      </c>
      <c r="C1509" s="19" t="str">
        <f>Table1[[#This Row],[Fiscal_Year]]&amp;"-"&amp;Table1[[#This Row],[BRAND]]</f>
        <v>-</v>
      </c>
      <c r="J1509" t="e">
        <f>VLOOKUP(H1509,DC_Xref!A:B,2,FALSE)</f>
        <v>#N/A</v>
      </c>
      <c r="K1509">
        <f t="shared" si="23"/>
        <v>0</v>
      </c>
      <c r="L15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09" s="3">
        <f>IFERROR(INDEX(Table3[#All],MATCH(Table1[[#This Row],[Key_Year_Week_Brand]],Table3[[#All],[Key_Year_Week_Brand]],0),MATCH(Table1[[#This Row],[DC_name_Xref]],Table3[#Headers],0)),0)</f>
        <v>0</v>
      </c>
      <c r="O1509" s="19">
        <f>IFERROR(INDEX(Table35[#All],MATCH(Table1[[#This Row],[Key_Year_Week_Brand]],Table35[[#All],[Key_Year_Month_Brand]],0),MATCH(Table1[[#This Row],[DC_name_Xref]],Table35[#Headers],0)),0)</f>
        <v>0</v>
      </c>
    </row>
    <row r="1510" spans="1:15" x14ac:dyDescent="0.3">
      <c r="A1510" s="19" t="e">
        <f>Table1[[#This Row],[Year_Week]]&amp;"-"&amp;Table1[[#This Row],[DC_name_Xref]]</f>
        <v>#N/A</v>
      </c>
      <c r="B1510" s="19" t="str">
        <f>Table1[[#This Row],[Fiscal_Year]]*100+Table1[[#This Row],[Fiscal_Week]] &amp; "-" &amp;Table1[[#This Row],[BRAND]]</f>
        <v>0-</v>
      </c>
      <c r="C1510" s="19" t="str">
        <f>Table1[[#This Row],[Fiscal_Year]]&amp;"-"&amp;Table1[[#This Row],[BRAND]]</f>
        <v>-</v>
      </c>
      <c r="J1510" t="e">
        <f>VLOOKUP(H1510,DC_Xref!A:B,2,FALSE)</f>
        <v>#N/A</v>
      </c>
      <c r="K1510">
        <f t="shared" si="23"/>
        <v>0</v>
      </c>
      <c r="L15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0" s="3">
        <f>IFERROR(INDEX(Table3[#All],MATCH(Table1[[#This Row],[Key_Year_Week_Brand]],Table3[[#All],[Key_Year_Week_Brand]],0),MATCH(Table1[[#This Row],[DC_name_Xref]],Table3[#Headers],0)),0)</f>
        <v>0</v>
      </c>
      <c r="O1510" s="19">
        <f>IFERROR(INDEX(Table35[#All],MATCH(Table1[[#This Row],[Key_Year_Week_Brand]],Table35[[#All],[Key_Year_Month_Brand]],0),MATCH(Table1[[#This Row],[DC_name_Xref]],Table35[#Headers],0)),0)</f>
        <v>0</v>
      </c>
    </row>
    <row r="1511" spans="1:15" x14ac:dyDescent="0.3">
      <c r="A1511" s="19" t="e">
        <f>Table1[[#This Row],[Year_Week]]&amp;"-"&amp;Table1[[#This Row],[DC_name_Xref]]</f>
        <v>#N/A</v>
      </c>
      <c r="B1511" s="19" t="str">
        <f>Table1[[#This Row],[Fiscal_Year]]*100+Table1[[#This Row],[Fiscal_Week]] &amp; "-" &amp;Table1[[#This Row],[BRAND]]</f>
        <v>0-</v>
      </c>
      <c r="C1511" s="19" t="str">
        <f>Table1[[#This Row],[Fiscal_Year]]&amp;"-"&amp;Table1[[#This Row],[BRAND]]</f>
        <v>-</v>
      </c>
      <c r="J1511" t="e">
        <f>VLOOKUP(H1511,DC_Xref!A:B,2,FALSE)</f>
        <v>#N/A</v>
      </c>
      <c r="K1511">
        <f t="shared" si="23"/>
        <v>0</v>
      </c>
      <c r="L15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1" s="3">
        <f>IFERROR(INDEX(Table3[#All],MATCH(Table1[[#This Row],[Key_Year_Week_Brand]],Table3[[#All],[Key_Year_Week_Brand]],0),MATCH(Table1[[#This Row],[DC_name_Xref]],Table3[#Headers],0)),0)</f>
        <v>0</v>
      </c>
      <c r="O1511" s="19">
        <f>IFERROR(INDEX(Table35[#All],MATCH(Table1[[#This Row],[Key_Year_Week_Brand]],Table35[[#All],[Key_Year_Month_Brand]],0),MATCH(Table1[[#This Row],[DC_name_Xref]],Table35[#Headers],0)),0)</f>
        <v>0</v>
      </c>
    </row>
    <row r="1512" spans="1:15" x14ac:dyDescent="0.3">
      <c r="A1512" s="19" t="e">
        <f>Table1[[#This Row],[Year_Week]]&amp;"-"&amp;Table1[[#This Row],[DC_name_Xref]]</f>
        <v>#N/A</v>
      </c>
      <c r="B1512" s="19" t="str">
        <f>Table1[[#This Row],[Fiscal_Year]]*100+Table1[[#This Row],[Fiscal_Week]] &amp; "-" &amp;Table1[[#This Row],[BRAND]]</f>
        <v>0-</v>
      </c>
      <c r="C1512" s="19" t="str">
        <f>Table1[[#This Row],[Fiscal_Year]]&amp;"-"&amp;Table1[[#This Row],[BRAND]]</f>
        <v>-</v>
      </c>
      <c r="J1512" t="e">
        <f>VLOOKUP(H1512,DC_Xref!A:B,2,FALSE)</f>
        <v>#N/A</v>
      </c>
      <c r="K1512">
        <f t="shared" si="23"/>
        <v>0</v>
      </c>
      <c r="L15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2" s="3">
        <f>IFERROR(INDEX(Table3[#All],MATCH(Table1[[#This Row],[Key_Year_Week_Brand]],Table3[[#All],[Key_Year_Week_Brand]],0),MATCH(Table1[[#This Row],[DC_name_Xref]],Table3[#Headers],0)),0)</f>
        <v>0</v>
      </c>
      <c r="O1512" s="19">
        <f>IFERROR(INDEX(Table35[#All],MATCH(Table1[[#This Row],[Key_Year_Week_Brand]],Table35[[#All],[Key_Year_Month_Brand]],0),MATCH(Table1[[#This Row],[DC_name_Xref]],Table35[#Headers],0)),0)</f>
        <v>0</v>
      </c>
    </row>
    <row r="1513" spans="1:15" x14ac:dyDescent="0.3">
      <c r="A1513" s="19" t="e">
        <f>Table1[[#This Row],[Year_Week]]&amp;"-"&amp;Table1[[#This Row],[DC_name_Xref]]</f>
        <v>#N/A</v>
      </c>
      <c r="B1513" s="19" t="str">
        <f>Table1[[#This Row],[Fiscal_Year]]*100+Table1[[#This Row],[Fiscal_Week]] &amp; "-" &amp;Table1[[#This Row],[BRAND]]</f>
        <v>0-</v>
      </c>
      <c r="C1513" s="19" t="str">
        <f>Table1[[#This Row],[Fiscal_Year]]&amp;"-"&amp;Table1[[#This Row],[BRAND]]</f>
        <v>-</v>
      </c>
      <c r="J1513" t="e">
        <f>VLOOKUP(H1513,DC_Xref!A:B,2,FALSE)</f>
        <v>#N/A</v>
      </c>
      <c r="K1513">
        <f t="shared" si="23"/>
        <v>0</v>
      </c>
      <c r="L15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3" s="3">
        <f>IFERROR(INDEX(Table3[#All],MATCH(Table1[[#This Row],[Key_Year_Week_Brand]],Table3[[#All],[Key_Year_Week_Brand]],0),MATCH(Table1[[#This Row],[DC_name_Xref]],Table3[#Headers],0)),0)</f>
        <v>0</v>
      </c>
      <c r="O1513" s="19">
        <f>IFERROR(INDEX(Table35[#All],MATCH(Table1[[#This Row],[Key_Year_Week_Brand]],Table35[[#All],[Key_Year_Month_Brand]],0),MATCH(Table1[[#This Row],[DC_name_Xref]],Table35[#Headers],0)),0)</f>
        <v>0</v>
      </c>
    </row>
    <row r="1514" spans="1:15" x14ac:dyDescent="0.3">
      <c r="A1514" s="19" t="e">
        <f>Table1[[#This Row],[Year_Week]]&amp;"-"&amp;Table1[[#This Row],[DC_name_Xref]]</f>
        <v>#N/A</v>
      </c>
      <c r="B1514" s="19" t="str">
        <f>Table1[[#This Row],[Fiscal_Year]]*100+Table1[[#This Row],[Fiscal_Week]] &amp; "-" &amp;Table1[[#This Row],[BRAND]]</f>
        <v>0-</v>
      </c>
      <c r="C1514" s="19" t="str">
        <f>Table1[[#This Row],[Fiscal_Year]]&amp;"-"&amp;Table1[[#This Row],[BRAND]]</f>
        <v>-</v>
      </c>
      <c r="J1514" t="e">
        <f>VLOOKUP(H1514,DC_Xref!A:B,2,FALSE)</f>
        <v>#N/A</v>
      </c>
      <c r="K1514">
        <f t="shared" si="23"/>
        <v>0</v>
      </c>
      <c r="L15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4" s="3">
        <f>IFERROR(INDEX(Table3[#All],MATCH(Table1[[#This Row],[Key_Year_Week_Brand]],Table3[[#All],[Key_Year_Week_Brand]],0),MATCH(Table1[[#This Row],[DC_name_Xref]],Table3[#Headers],0)),0)</f>
        <v>0</v>
      </c>
      <c r="O1514" s="19">
        <f>IFERROR(INDEX(Table35[#All],MATCH(Table1[[#This Row],[Key_Year_Week_Brand]],Table35[[#All],[Key_Year_Month_Brand]],0),MATCH(Table1[[#This Row],[DC_name_Xref]],Table35[#Headers],0)),0)</f>
        <v>0</v>
      </c>
    </row>
    <row r="1515" spans="1:15" x14ac:dyDescent="0.3">
      <c r="A1515" s="19" t="e">
        <f>Table1[[#This Row],[Year_Week]]&amp;"-"&amp;Table1[[#This Row],[DC_name_Xref]]</f>
        <v>#N/A</v>
      </c>
      <c r="B1515" s="19" t="str">
        <f>Table1[[#This Row],[Fiscal_Year]]*100+Table1[[#This Row],[Fiscal_Week]] &amp; "-" &amp;Table1[[#This Row],[BRAND]]</f>
        <v>0-</v>
      </c>
      <c r="C1515" s="19" t="str">
        <f>Table1[[#This Row],[Fiscal_Year]]&amp;"-"&amp;Table1[[#This Row],[BRAND]]</f>
        <v>-</v>
      </c>
      <c r="J1515" t="e">
        <f>VLOOKUP(H1515,DC_Xref!A:B,2,FALSE)</f>
        <v>#N/A</v>
      </c>
      <c r="K1515">
        <f t="shared" si="23"/>
        <v>0</v>
      </c>
      <c r="L15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5" s="3">
        <f>IFERROR(INDEX(Table3[#All],MATCH(Table1[[#This Row],[Key_Year_Week_Brand]],Table3[[#All],[Key_Year_Week_Brand]],0),MATCH(Table1[[#This Row],[DC_name_Xref]],Table3[#Headers],0)),0)</f>
        <v>0</v>
      </c>
      <c r="O1515" s="19">
        <f>IFERROR(INDEX(Table35[#All],MATCH(Table1[[#This Row],[Key_Year_Week_Brand]],Table35[[#All],[Key_Year_Month_Brand]],0),MATCH(Table1[[#This Row],[DC_name_Xref]],Table35[#Headers],0)),0)</f>
        <v>0</v>
      </c>
    </row>
    <row r="1516" spans="1:15" x14ac:dyDescent="0.3">
      <c r="A1516" s="19" t="e">
        <f>Table1[[#This Row],[Year_Week]]&amp;"-"&amp;Table1[[#This Row],[DC_name_Xref]]</f>
        <v>#N/A</v>
      </c>
      <c r="B1516" s="19" t="str">
        <f>Table1[[#This Row],[Fiscal_Year]]*100+Table1[[#This Row],[Fiscal_Week]] &amp; "-" &amp;Table1[[#This Row],[BRAND]]</f>
        <v>0-</v>
      </c>
      <c r="C1516" s="19" t="str">
        <f>Table1[[#This Row],[Fiscal_Year]]&amp;"-"&amp;Table1[[#This Row],[BRAND]]</f>
        <v>-</v>
      </c>
      <c r="J1516" t="e">
        <f>VLOOKUP(H1516,DC_Xref!A:B,2,FALSE)</f>
        <v>#N/A</v>
      </c>
      <c r="K1516">
        <f t="shared" si="23"/>
        <v>0</v>
      </c>
      <c r="L15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6" s="3">
        <f>IFERROR(INDEX(Table3[#All],MATCH(Table1[[#This Row],[Key_Year_Week_Brand]],Table3[[#All],[Key_Year_Week_Brand]],0),MATCH(Table1[[#This Row],[DC_name_Xref]],Table3[#Headers],0)),0)</f>
        <v>0</v>
      </c>
      <c r="O1516" s="19">
        <f>IFERROR(INDEX(Table35[#All],MATCH(Table1[[#This Row],[Key_Year_Week_Brand]],Table35[[#All],[Key_Year_Month_Brand]],0),MATCH(Table1[[#This Row],[DC_name_Xref]],Table35[#Headers],0)),0)</f>
        <v>0</v>
      </c>
    </row>
    <row r="1517" spans="1:15" x14ac:dyDescent="0.3">
      <c r="A1517" s="19" t="e">
        <f>Table1[[#This Row],[Year_Week]]&amp;"-"&amp;Table1[[#This Row],[DC_name_Xref]]</f>
        <v>#N/A</v>
      </c>
      <c r="B1517" s="19" t="str">
        <f>Table1[[#This Row],[Fiscal_Year]]*100+Table1[[#This Row],[Fiscal_Week]] &amp; "-" &amp;Table1[[#This Row],[BRAND]]</f>
        <v>0-</v>
      </c>
      <c r="C1517" s="19" t="str">
        <f>Table1[[#This Row],[Fiscal_Year]]&amp;"-"&amp;Table1[[#This Row],[BRAND]]</f>
        <v>-</v>
      </c>
      <c r="J1517" t="e">
        <f>VLOOKUP(H1517,DC_Xref!A:B,2,FALSE)</f>
        <v>#N/A</v>
      </c>
      <c r="K1517">
        <f t="shared" si="23"/>
        <v>0</v>
      </c>
      <c r="L15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7" s="3">
        <f>IFERROR(INDEX(Table3[#All],MATCH(Table1[[#This Row],[Key_Year_Week_Brand]],Table3[[#All],[Key_Year_Week_Brand]],0),MATCH(Table1[[#This Row],[DC_name_Xref]],Table3[#Headers],0)),0)</f>
        <v>0</v>
      </c>
      <c r="O1517" s="19">
        <f>IFERROR(INDEX(Table35[#All],MATCH(Table1[[#This Row],[Key_Year_Week_Brand]],Table35[[#All],[Key_Year_Month_Brand]],0),MATCH(Table1[[#This Row],[DC_name_Xref]],Table35[#Headers],0)),0)</f>
        <v>0</v>
      </c>
    </row>
    <row r="1518" spans="1:15" x14ac:dyDescent="0.3">
      <c r="A1518" s="19" t="e">
        <f>Table1[[#This Row],[Year_Week]]&amp;"-"&amp;Table1[[#This Row],[DC_name_Xref]]</f>
        <v>#N/A</v>
      </c>
      <c r="B1518" s="19" t="str">
        <f>Table1[[#This Row],[Fiscal_Year]]*100+Table1[[#This Row],[Fiscal_Week]] &amp; "-" &amp;Table1[[#This Row],[BRAND]]</f>
        <v>0-</v>
      </c>
      <c r="C1518" s="19" t="str">
        <f>Table1[[#This Row],[Fiscal_Year]]&amp;"-"&amp;Table1[[#This Row],[BRAND]]</f>
        <v>-</v>
      </c>
      <c r="J1518" t="e">
        <f>VLOOKUP(H1518,DC_Xref!A:B,2,FALSE)</f>
        <v>#N/A</v>
      </c>
      <c r="K1518">
        <f t="shared" si="23"/>
        <v>0</v>
      </c>
      <c r="L15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8" s="3">
        <f>IFERROR(INDEX(Table3[#All],MATCH(Table1[[#This Row],[Key_Year_Week_Brand]],Table3[[#All],[Key_Year_Week_Brand]],0),MATCH(Table1[[#This Row],[DC_name_Xref]],Table3[#Headers],0)),0)</f>
        <v>0</v>
      </c>
      <c r="O1518" s="19">
        <f>IFERROR(INDEX(Table35[#All],MATCH(Table1[[#This Row],[Key_Year_Week_Brand]],Table35[[#All],[Key_Year_Month_Brand]],0),MATCH(Table1[[#This Row],[DC_name_Xref]],Table35[#Headers],0)),0)</f>
        <v>0</v>
      </c>
    </row>
    <row r="1519" spans="1:15" x14ac:dyDescent="0.3">
      <c r="A1519" s="19" t="e">
        <f>Table1[[#This Row],[Year_Week]]&amp;"-"&amp;Table1[[#This Row],[DC_name_Xref]]</f>
        <v>#N/A</v>
      </c>
      <c r="B1519" s="19" t="str">
        <f>Table1[[#This Row],[Fiscal_Year]]*100+Table1[[#This Row],[Fiscal_Week]] &amp; "-" &amp;Table1[[#This Row],[BRAND]]</f>
        <v>0-</v>
      </c>
      <c r="C1519" s="19" t="str">
        <f>Table1[[#This Row],[Fiscal_Year]]&amp;"-"&amp;Table1[[#This Row],[BRAND]]</f>
        <v>-</v>
      </c>
      <c r="J1519" t="e">
        <f>VLOOKUP(H1519,DC_Xref!A:B,2,FALSE)</f>
        <v>#N/A</v>
      </c>
      <c r="K1519">
        <f t="shared" si="23"/>
        <v>0</v>
      </c>
      <c r="L15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19" s="3">
        <f>IFERROR(INDEX(Table3[#All],MATCH(Table1[[#This Row],[Key_Year_Week_Brand]],Table3[[#All],[Key_Year_Week_Brand]],0),MATCH(Table1[[#This Row],[DC_name_Xref]],Table3[#Headers],0)),0)</f>
        <v>0</v>
      </c>
      <c r="O1519" s="19">
        <f>IFERROR(INDEX(Table35[#All],MATCH(Table1[[#This Row],[Key_Year_Week_Brand]],Table35[[#All],[Key_Year_Month_Brand]],0),MATCH(Table1[[#This Row],[DC_name_Xref]],Table35[#Headers],0)),0)</f>
        <v>0</v>
      </c>
    </row>
    <row r="1520" spans="1:15" x14ac:dyDescent="0.3">
      <c r="A1520" s="19" t="e">
        <f>Table1[[#This Row],[Year_Week]]&amp;"-"&amp;Table1[[#This Row],[DC_name_Xref]]</f>
        <v>#N/A</v>
      </c>
      <c r="B1520" s="19" t="str">
        <f>Table1[[#This Row],[Fiscal_Year]]*100+Table1[[#This Row],[Fiscal_Week]] &amp; "-" &amp;Table1[[#This Row],[BRAND]]</f>
        <v>0-</v>
      </c>
      <c r="C1520" s="19" t="str">
        <f>Table1[[#This Row],[Fiscal_Year]]&amp;"-"&amp;Table1[[#This Row],[BRAND]]</f>
        <v>-</v>
      </c>
      <c r="J1520" t="e">
        <f>VLOOKUP(H1520,DC_Xref!A:B,2,FALSE)</f>
        <v>#N/A</v>
      </c>
      <c r="K1520">
        <f t="shared" si="23"/>
        <v>0</v>
      </c>
      <c r="L15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0" s="3">
        <f>IFERROR(INDEX(Table3[#All],MATCH(Table1[[#This Row],[Key_Year_Week_Brand]],Table3[[#All],[Key_Year_Week_Brand]],0),MATCH(Table1[[#This Row],[DC_name_Xref]],Table3[#Headers],0)),0)</f>
        <v>0</v>
      </c>
      <c r="O1520" s="19">
        <f>IFERROR(INDEX(Table35[#All],MATCH(Table1[[#This Row],[Key_Year_Week_Brand]],Table35[[#All],[Key_Year_Month_Brand]],0),MATCH(Table1[[#This Row],[DC_name_Xref]],Table35[#Headers],0)),0)</f>
        <v>0</v>
      </c>
    </row>
    <row r="1521" spans="1:15" x14ac:dyDescent="0.3">
      <c r="A1521" s="19" t="e">
        <f>Table1[[#This Row],[Year_Week]]&amp;"-"&amp;Table1[[#This Row],[DC_name_Xref]]</f>
        <v>#N/A</v>
      </c>
      <c r="B1521" s="19" t="str">
        <f>Table1[[#This Row],[Fiscal_Year]]*100+Table1[[#This Row],[Fiscal_Week]] &amp; "-" &amp;Table1[[#This Row],[BRAND]]</f>
        <v>0-</v>
      </c>
      <c r="C1521" s="19" t="str">
        <f>Table1[[#This Row],[Fiscal_Year]]&amp;"-"&amp;Table1[[#This Row],[BRAND]]</f>
        <v>-</v>
      </c>
      <c r="J1521" t="e">
        <f>VLOOKUP(H1521,DC_Xref!A:B,2,FALSE)</f>
        <v>#N/A</v>
      </c>
      <c r="K1521">
        <f t="shared" si="23"/>
        <v>0</v>
      </c>
      <c r="L15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1" s="3">
        <f>IFERROR(INDEX(Table3[#All],MATCH(Table1[[#This Row],[Key_Year_Week_Brand]],Table3[[#All],[Key_Year_Week_Brand]],0),MATCH(Table1[[#This Row],[DC_name_Xref]],Table3[#Headers],0)),0)</f>
        <v>0</v>
      </c>
      <c r="O1521" s="19">
        <f>IFERROR(INDEX(Table35[#All],MATCH(Table1[[#This Row],[Key_Year_Week_Brand]],Table35[[#All],[Key_Year_Month_Brand]],0),MATCH(Table1[[#This Row],[DC_name_Xref]],Table35[#Headers],0)),0)</f>
        <v>0</v>
      </c>
    </row>
    <row r="1522" spans="1:15" x14ac:dyDescent="0.3">
      <c r="A1522" s="19" t="e">
        <f>Table1[[#This Row],[Year_Week]]&amp;"-"&amp;Table1[[#This Row],[DC_name_Xref]]</f>
        <v>#N/A</v>
      </c>
      <c r="B1522" s="19" t="str">
        <f>Table1[[#This Row],[Fiscal_Year]]*100+Table1[[#This Row],[Fiscal_Week]] &amp; "-" &amp;Table1[[#This Row],[BRAND]]</f>
        <v>0-</v>
      </c>
      <c r="C1522" s="19" t="str">
        <f>Table1[[#This Row],[Fiscal_Year]]&amp;"-"&amp;Table1[[#This Row],[BRAND]]</f>
        <v>-</v>
      </c>
      <c r="J1522" t="e">
        <f>VLOOKUP(H1522,DC_Xref!A:B,2,FALSE)</f>
        <v>#N/A</v>
      </c>
      <c r="K1522">
        <f t="shared" si="23"/>
        <v>0</v>
      </c>
      <c r="L15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2" s="3">
        <f>IFERROR(INDEX(Table3[#All],MATCH(Table1[[#This Row],[Key_Year_Week_Brand]],Table3[[#All],[Key_Year_Week_Brand]],0),MATCH(Table1[[#This Row],[DC_name_Xref]],Table3[#Headers],0)),0)</f>
        <v>0</v>
      </c>
      <c r="O1522" s="19">
        <f>IFERROR(INDEX(Table35[#All],MATCH(Table1[[#This Row],[Key_Year_Week_Brand]],Table35[[#All],[Key_Year_Month_Brand]],0),MATCH(Table1[[#This Row],[DC_name_Xref]],Table35[#Headers],0)),0)</f>
        <v>0</v>
      </c>
    </row>
    <row r="1523" spans="1:15" x14ac:dyDescent="0.3">
      <c r="A1523" s="19" t="e">
        <f>Table1[[#This Row],[Year_Week]]&amp;"-"&amp;Table1[[#This Row],[DC_name_Xref]]</f>
        <v>#N/A</v>
      </c>
      <c r="B1523" s="19" t="str">
        <f>Table1[[#This Row],[Fiscal_Year]]*100+Table1[[#This Row],[Fiscal_Week]] &amp; "-" &amp;Table1[[#This Row],[BRAND]]</f>
        <v>0-</v>
      </c>
      <c r="C1523" s="19" t="str">
        <f>Table1[[#This Row],[Fiscal_Year]]&amp;"-"&amp;Table1[[#This Row],[BRAND]]</f>
        <v>-</v>
      </c>
      <c r="J1523" t="e">
        <f>VLOOKUP(H1523,DC_Xref!A:B,2,FALSE)</f>
        <v>#N/A</v>
      </c>
      <c r="K1523">
        <f t="shared" si="23"/>
        <v>0</v>
      </c>
      <c r="L15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3" s="3">
        <f>IFERROR(INDEX(Table3[#All],MATCH(Table1[[#This Row],[Key_Year_Week_Brand]],Table3[[#All],[Key_Year_Week_Brand]],0),MATCH(Table1[[#This Row],[DC_name_Xref]],Table3[#Headers],0)),0)</f>
        <v>0</v>
      </c>
      <c r="O1523" s="19">
        <f>IFERROR(INDEX(Table35[#All],MATCH(Table1[[#This Row],[Key_Year_Week_Brand]],Table35[[#All],[Key_Year_Month_Brand]],0),MATCH(Table1[[#This Row],[DC_name_Xref]],Table35[#Headers],0)),0)</f>
        <v>0</v>
      </c>
    </row>
    <row r="1524" spans="1:15" x14ac:dyDescent="0.3">
      <c r="A1524" s="19" t="e">
        <f>Table1[[#This Row],[Year_Week]]&amp;"-"&amp;Table1[[#This Row],[DC_name_Xref]]</f>
        <v>#N/A</v>
      </c>
      <c r="B1524" s="19" t="str">
        <f>Table1[[#This Row],[Fiscal_Year]]*100+Table1[[#This Row],[Fiscal_Week]] &amp; "-" &amp;Table1[[#This Row],[BRAND]]</f>
        <v>0-</v>
      </c>
      <c r="C1524" s="19" t="str">
        <f>Table1[[#This Row],[Fiscal_Year]]&amp;"-"&amp;Table1[[#This Row],[BRAND]]</f>
        <v>-</v>
      </c>
      <c r="J1524" t="e">
        <f>VLOOKUP(H1524,DC_Xref!A:B,2,FALSE)</f>
        <v>#N/A</v>
      </c>
      <c r="K1524">
        <f t="shared" si="23"/>
        <v>0</v>
      </c>
      <c r="L15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4" s="3">
        <f>IFERROR(INDEX(Table3[#All],MATCH(Table1[[#This Row],[Key_Year_Week_Brand]],Table3[[#All],[Key_Year_Week_Brand]],0),MATCH(Table1[[#This Row],[DC_name_Xref]],Table3[#Headers],0)),0)</f>
        <v>0</v>
      </c>
      <c r="O1524" s="19">
        <f>IFERROR(INDEX(Table35[#All],MATCH(Table1[[#This Row],[Key_Year_Week_Brand]],Table35[[#All],[Key_Year_Month_Brand]],0),MATCH(Table1[[#This Row],[DC_name_Xref]],Table35[#Headers],0)),0)</f>
        <v>0</v>
      </c>
    </row>
    <row r="1525" spans="1:15" x14ac:dyDescent="0.3">
      <c r="A1525" s="19" t="e">
        <f>Table1[[#This Row],[Year_Week]]&amp;"-"&amp;Table1[[#This Row],[DC_name_Xref]]</f>
        <v>#N/A</v>
      </c>
      <c r="B1525" s="19" t="str">
        <f>Table1[[#This Row],[Fiscal_Year]]*100+Table1[[#This Row],[Fiscal_Week]] &amp; "-" &amp;Table1[[#This Row],[BRAND]]</f>
        <v>0-</v>
      </c>
      <c r="C1525" s="19" t="str">
        <f>Table1[[#This Row],[Fiscal_Year]]&amp;"-"&amp;Table1[[#This Row],[BRAND]]</f>
        <v>-</v>
      </c>
      <c r="J1525" t="e">
        <f>VLOOKUP(H1525,DC_Xref!A:B,2,FALSE)</f>
        <v>#N/A</v>
      </c>
      <c r="K1525">
        <f t="shared" si="23"/>
        <v>0</v>
      </c>
      <c r="L15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5" s="3">
        <f>IFERROR(INDEX(Table3[#All],MATCH(Table1[[#This Row],[Key_Year_Week_Brand]],Table3[[#All],[Key_Year_Week_Brand]],0),MATCH(Table1[[#This Row],[DC_name_Xref]],Table3[#Headers],0)),0)</f>
        <v>0</v>
      </c>
      <c r="O1525" s="19">
        <f>IFERROR(INDEX(Table35[#All],MATCH(Table1[[#This Row],[Key_Year_Week_Brand]],Table35[[#All],[Key_Year_Month_Brand]],0),MATCH(Table1[[#This Row],[DC_name_Xref]],Table35[#Headers],0)),0)</f>
        <v>0</v>
      </c>
    </row>
    <row r="1526" spans="1:15" x14ac:dyDescent="0.3">
      <c r="A1526" s="19" t="e">
        <f>Table1[[#This Row],[Year_Week]]&amp;"-"&amp;Table1[[#This Row],[DC_name_Xref]]</f>
        <v>#N/A</v>
      </c>
      <c r="B1526" s="19" t="str">
        <f>Table1[[#This Row],[Fiscal_Year]]*100+Table1[[#This Row],[Fiscal_Week]] &amp; "-" &amp;Table1[[#This Row],[BRAND]]</f>
        <v>0-</v>
      </c>
      <c r="C1526" s="19" t="str">
        <f>Table1[[#This Row],[Fiscal_Year]]&amp;"-"&amp;Table1[[#This Row],[BRAND]]</f>
        <v>-</v>
      </c>
      <c r="J1526" t="e">
        <f>VLOOKUP(H1526,DC_Xref!A:B,2,FALSE)</f>
        <v>#N/A</v>
      </c>
      <c r="K1526">
        <f t="shared" si="23"/>
        <v>0</v>
      </c>
      <c r="L15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6" s="3">
        <f>IFERROR(INDEX(Table3[#All],MATCH(Table1[[#This Row],[Key_Year_Week_Brand]],Table3[[#All],[Key_Year_Week_Brand]],0),MATCH(Table1[[#This Row],[DC_name_Xref]],Table3[#Headers],0)),0)</f>
        <v>0</v>
      </c>
      <c r="O1526" s="19">
        <f>IFERROR(INDEX(Table35[#All],MATCH(Table1[[#This Row],[Key_Year_Week_Brand]],Table35[[#All],[Key_Year_Month_Brand]],0),MATCH(Table1[[#This Row],[DC_name_Xref]],Table35[#Headers],0)),0)</f>
        <v>0</v>
      </c>
    </row>
    <row r="1527" spans="1:15" x14ac:dyDescent="0.3">
      <c r="A1527" s="19" t="e">
        <f>Table1[[#This Row],[Year_Week]]&amp;"-"&amp;Table1[[#This Row],[DC_name_Xref]]</f>
        <v>#N/A</v>
      </c>
      <c r="B1527" s="19" t="str">
        <f>Table1[[#This Row],[Fiscal_Year]]*100+Table1[[#This Row],[Fiscal_Week]] &amp; "-" &amp;Table1[[#This Row],[BRAND]]</f>
        <v>0-</v>
      </c>
      <c r="C1527" s="19" t="str">
        <f>Table1[[#This Row],[Fiscal_Year]]&amp;"-"&amp;Table1[[#This Row],[BRAND]]</f>
        <v>-</v>
      </c>
      <c r="J1527" t="e">
        <f>VLOOKUP(H1527,DC_Xref!A:B,2,FALSE)</f>
        <v>#N/A</v>
      </c>
      <c r="K1527">
        <f t="shared" si="23"/>
        <v>0</v>
      </c>
      <c r="L15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7" s="3">
        <f>IFERROR(INDEX(Table3[#All],MATCH(Table1[[#This Row],[Key_Year_Week_Brand]],Table3[[#All],[Key_Year_Week_Brand]],0),MATCH(Table1[[#This Row],[DC_name_Xref]],Table3[#Headers],0)),0)</f>
        <v>0</v>
      </c>
      <c r="O1527" s="19">
        <f>IFERROR(INDEX(Table35[#All],MATCH(Table1[[#This Row],[Key_Year_Week_Brand]],Table35[[#All],[Key_Year_Month_Brand]],0),MATCH(Table1[[#This Row],[DC_name_Xref]],Table35[#Headers],0)),0)</f>
        <v>0</v>
      </c>
    </row>
    <row r="1528" spans="1:15" x14ac:dyDescent="0.3">
      <c r="A1528" s="19" t="e">
        <f>Table1[[#This Row],[Year_Week]]&amp;"-"&amp;Table1[[#This Row],[DC_name_Xref]]</f>
        <v>#N/A</v>
      </c>
      <c r="B1528" s="19" t="str">
        <f>Table1[[#This Row],[Fiscal_Year]]*100+Table1[[#This Row],[Fiscal_Week]] &amp; "-" &amp;Table1[[#This Row],[BRAND]]</f>
        <v>0-</v>
      </c>
      <c r="C1528" s="19" t="str">
        <f>Table1[[#This Row],[Fiscal_Year]]&amp;"-"&amp;Table1[[#This Row],[BRAND]]</f>
        <v>-</v>
      </c>
      <c r="J1528" t="e">
        <f>VLOOKUP(H1528,DC_Xref!A:B,2,FALSE)</f>
        <v>#N/A</v>
      </c>
      <c r="K1528">
        <f t="shared" si="23"/>
        <v>0</v>
      </c>
      <c r="L15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8" s="3">
        <f>IFERROR(INDEX(Table3[#All],MATCH(Table1[[#This Row],[Key_Year_Week_Brand]],Table3[[#All],[Key_Year_Week_Brand]],0),MATCH(Table1[[#This Row],[DC_name_Xref]],Table3[#Headers],0)),0)</f>
        <v>0</v>
      </c>
      <c r="O1528" s="19">
        <f>IFERROR(INDEX(Table35[#All],MATCH(Table1[[#This Row],[Key_Year_Week_Brand]],Table35[[#All],[Key_Year_Month_Brand]],0),MATCH(Table1[[#This Row],[DC_name_Xref]],Table35[#Headers],0)),0)</f>
        <v>0</v>
      </c>
    </row>
    <row r="1529" spans="1:15" x14ac:dyDescent="0.3">
      <c r="A1529" s="19" t="e">
        <f>Table1[[#This Row],[Year_Week]]&amp;"-"&amp;Table1[[#This Row],[DC_name_Xref]]</f>
        <v>#N/A</v>
      </c>
      <c r="B1529" s="19" t="str">
        <f>Table1[[#This Row],[Fiscal_Year]]*100+Table1[[#This Row],[Fiscal_Week]] &amp; "-" &amp;Table1[[#This Row],[BRAND]]</f>
        <v>0-</v>
      </c>
      <c r="C1529" s="19" t="str">
        <f>Table1[[#This Row],[Fiscal_Year]]&amp;"-"&amp;Table1[[#This Row],[BRAND]]</f>
        <v>-</v>
      </c>
      <c r="J1529" t="e">
        <f>VLOOKUP(H1529,DC_Xref!A:B,2,FALSE)</f>
        <v>#N/A</v>
      </c>
      <c r="K1529">
        <f t="shared" si="23"/>
        <v>0</v>
      </c>
      <c r="L15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29" s="3">
        <f>IFERROR(INDEX(Table3[#All],MATCH(Table1[[#This Row],[Key_Year_Week_Brand]],Table3[[#All],[Key_Year_Week_Brand]],0),MATCH(Table1[[#This Row],[DC_name_Xref]],Table3[#Headers],0)),0)</f>
        <v>0</v>
      </c>
      <c r="O1529" s="19">
        <f>IFERROR(INDEX(Table35[#All],MATCH(Table1[[#This Row],[Key_Year_Week_Brand]],Table35[[#All],[Key_Year_Month_Brand]],0),MATCH(Table1[[#This Row],[DC_name_Xref]],Table35[#Headers],0)),0)</f>
        <v>0</v>
      </c>
    </row>
    <row r="1530" spans="1:15" x14ac:dyDescent="0.3">
      <c r="A1530" s="19" t="e">
        <f>Table1[[#This Row],[Year_Week]]&amp;"-"&amp;Table1[[#This Row],[DC_name_Xref]]</f>
        <v>#N/A</v>
      </c>
      <c r="B1530" s="19" t="str">
        <f>Table1[[#This Row],[Fiscal_Year]]*100+Table1[[#This Row],[Fiscal_Week]] &amp; "-" &amp;Table1[[#This Row],[BRAND]]</f>
        <v>0-</v>
      </c>
      <c r="C1530" s="19" t="str">
        <f>Table1[[#This Row],[Fiscal_Year]]&amp;"-"&amp;Table1[[#This Row],[BRAND]]</f>
        <v>-</v>
      </c>
      <c r="J1530" t="e">
        <f>VLOOKUP(H1530,DC_Xref!A:B,2,FALSE)</f>
        <v>#N/A</v>
      </c>
      <c r="K1530">
        <f t="shared" si="23"/>
        <v>0</v>
      </c>
      <c r="L15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0" s="3">
        <f>IFERROR(INDEX(Table3[#All],MATCH(Table1[[#This Row],[Key_Year_Week_Brand]],Table3[[#All],[Key_Year_Week_Brand]],0),MATCH(Table1[[#This Row],[DC_name_Xref]],Table3[#Headers],0)),0)</f>
        <v>0</v>
      </c>
      <c r="O1530" s="19">
        <f>IFERROR(INDEX(Table35[#All],MATCH(Table1[[#This Row],[Key_Year_Week_Brand]],Table35[[#All],[Key_Year_Month_Brand]],0),MATCH(Table1[[#This Row],[DC_name_Xref]],Table35[#Headers],0)),0)</f>
        <v>0</v>
      </c>
    </row>
    <row r="1531" spans="1:15" x14ac:dyDescent="0.3">
      <c r="A1531" s="19" t="e">
        <f>Table1[[#This Row],[Year_Week]]&amp;"-"&amp;Table1[[#This Row],[DC_name_Xref]]</f>
        <v>#N/A</v>
      </c>
      <c r="B1531" s="19" t="str">
        <f>Table1[[#This Row],[Fiscal_Year]]*100+Table1[[#This Row],[Fiscal_Week]] &amp; "-" &amp;Table1[[#This Row],[BRAND]]</f>
        <v>0-</v>
      </c>
      <c r="C1531" s="19" t="str">
        <f>Table1[[#This Row],[Fiscal_Year]]&amp;"-"&amp;Table1[[#This Row],[BRAND]]</f>
        <v>-</v>
      </c>
      <c r="J1531" t="e">
        <f>VLOOKUP(H1531,DC_Xref!A:B,2,FALSE)</f>
        <v>#N/A</v>
      </c>
      <c r="K1531">
        <f t="shared" si="23"/>
        <v>0</v>
      </c>
      <c r="L15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1" s="3">
        <f>IFERROR(INDEX(Table3[#All],MATCH(Table1[[#This Row],[Key_Year_Week_Brand]],Table3[[#All],[Key_Year_Week_Brand]],0),MATCH(Table1[[#This Row],[DC_name_Xref]],Table3[#Headers],0)),0)</f>
        <v>0</v>
      </c>
      <c r="O1531" s="19">
        <f>IFERROR(INDEX(Table35[#All],MATCH(Table1[[#This Row],[Key_Year_Week_Brand]],Table35[[#All],[Key_Year_Month_Brand]],0),MATCH(Table1[[#This Row],[DC_name_Xref]],Table35[#Headers],0)),0)</f>
        <v>0</v>
      </c>
    </row>
    <row r="1532" spans="1:15" x14ac:dyDescent="0.3">
      <c r="A1532" s="19" t="e">
        <f>Table1[[#This Row],[Year_Week]]&amp;"-"&amp;Table1[[#This Row],[DC_name_Xref]]</f>
        <v>#N/A</v>
      </c>
      <c r="B1532" s="19" t="str">
        <f>Table1[[#This Row],[Fiscal_Year]]*100+Table1[[#This Row],[Fiscal_Week]] &amp; "-" &amp;Table1[[#This Row],[BRAND]]</f>
        <v>0-</v>
      </c>
      <c r="C1532" s="19" t="str">
        <f>Table1[[#This Row],[Fiscal_Year]]&amp;"-"&amp;Table1[[#This Row],[BRAND]]</f>
        <v>-</v>
      </c>
      <c r="J1532" t="e">
        <f>VLOOKUP(H1532,DC_Xref!A:B,2,FALSE)</f>
        <v>#N/A</v>
      </c>
      <c r="K1532">
        <f t="shared" si="23"/>
        <v>0</v>
      </c>
      <c r="L15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2" s="3">
        <f>IFERROR(INDEX(Table3[#All],MATCH(Table1[[#This Row],[Key_Year_Week_Brand]],Table3[[#All],[Key_Year_Week_Brand]],0),MATCH(Table1[[#This Row],[DC_name_Xref]],Table3[#Headers],0)),0)</f>
        <v>0</v>
      </c>
      <c r="O1532" s="19">
        <f>IFERROR(INDEX(Table35[#All],MATCH(Table1[[#This Row],[Key_Year_Week_Brand]],Table35[[#All],[Key_Year_Month_Brand]],0),MATCH(Table1[[#This Row],[DC_name_Xref]],Table35[#Headers],0)),0)</f>
        <v>0</v>
      </c>
    </row>
    <row r="1533" spans="1:15" x14ac:dyDescent="0.3">
      <c r="A1533" s="19" t="e">
        <f>Table1[[#This Row],[Year_Week]]&amp;"-"&amp;Table1[[#This Row],[DC_name_Xref]]</f>
        <v>#N/A</v>
      </c>
      <c r="B1533" s="19" t="str">
        <f>Table1[[#This Row],[Fiscal_Year]]*100+Table1[[#This Row],[Fiscal_Week]] &amp; "-" &amp;Table1[[#This Row],[BRAND]]</f>
        <v>0-</v>
      </c>
      <c r="C1533" s="19" t="str">
        <f>Table1[[#This Row],[Fiscal_Year]]&amp;"-"&amp;Table1[[#This Row],[BRAND]]</f>
        <v>-</v>
      </c>
      <c r="J1533" t="e">
        <f>VLOOKUP(H1533,DC_Xref!A:B,2,FALSE)</f>
        <v>#N/A</v>
      </c>
      <c r="K1533">
        <f t="shared" si="23"/>
        <v>0</v>
      </c>
      <c r="L15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3" s="3">
        <f>IFERROR(INDEX(Table3[#All],MATCH(Table1[[#This Row],[Key_Year_Week_Brand]],Table3[[#All],[Key_Year_Week_Brand]],0),MATCH(Table1[[#This Row],[DC_name_Xref]],Table3[#Headers],0)),0)</f>
        <v>0</v>
      </c>
      <c r="O1533" s="19">
        <f>IFERROR(INDEX(Table35[#All],MATCH(Table1[[#This Row],[Key_Year_Week_Brand]],Table35[[#All],[Key_Year_Month_Brand]],0),MATCH(Table1[[#This Row],[DC_name_Xref]],Table35[#Headers],0)),0)</f>
        <v>0</v>
      </c>
    </row>
    <row r="1534" spans="1:15" x14ac:dyDescent="0.3">
      <c r="A1534" s="19" t="e">
        <f>Table1[[#This Row],[Year_Week]]&amp;"-"&amp;Table1[[#This Row],[DC_name_Xref]]</f>
        <v>#N/A</v>
      </c>
      <c r="B1534" s="19" t="str">
        <f>Table1[[#This Row],[Fiscal_Year]]*100+Table1[[#This Row],[Fiscal_Week]] &amp; "-" &amp;Table1[[#This Row],[BRAND]]</f>
        <v>0-</v>
      </c>
      <c r="C1534" s="19" t="str">
        <f>Table1[[#This Row],[Fiscal_Year]]&amp;"-"&amp;Table1[[#This Row],[BRAND]]</f>
        <v>-</v>
      </c>
      <c r="J1534" t="e">
        <f>VLOOKUP(H1534,DC_Xref!A:B,2,FALSE)</f>
        <v>#N/A</v>
      </c>
      <c r="K1534">
        <f t="shared" si="23"/>
        <v>0</v>
      </c>
      <c r="L15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4" s="3">
        <f>IFERROR(INDEX(Table3[#All],MATCH(Table1[[#This Row],[Key_Year_Week_Brand]],Table3[[#All],[Key_Year_Week_Brand]],0),MATCH(Table1[[#This Row],[DC_name_Xref]],Table3[#Headers],0)),0)</f>
        <v>0</v>
      </c>
      <c r="O1534" s="19">
        <f>IFERROR(INDEX(Table35[#All],MATCH(Table1[[#This Row],[Key_Year_Week_Brand]],Table35[[#All],[Key_Year_Month_Brand]],0),MATCH(Table1[[#This Row],[DC_name_Xref]],Table35[#Headers],0)),0)</f>
        <v>0</v>
      </c>
    </row>
    <row r="1535" spans="1:15" x14ac:dyDescent="0.3">
      <c r="A1535" s="19" t="e">
        <f>Table1[[#This Row],[Year_Week]]&amp;"-"&amp;Table1[[#This Row],[DC_name_Xref]]</f>
        <v>#N/A</v>
      </c>
      <c r="B1535" s="19" t="str">
        <f>Table1[[#This Row],[Fiscal_Year]]*100+Table1[[#This Row],[Fiscal_Week]] &amp; "-" &amp;Table1[[#This Row],[BRAND]]</f>
        <v>0-</v>
      </c>
      <c r="C1535" s="19" t="str">
        <f>Table1[[#This Row],[Fiscal_Year]]&amp;"-"&amp;Table1[[#This Row],[BRAND]]</f>
        <v>-</v>
      </c>
      <c r="J1535" t="e">
        <f>VLOOKUP(H1535,DC_Xref!A:B,2,FALSE)</f>
        <v>#N/A</v>
      </c>
      <c r="K1535">
        <f t="shared" si="23"/>
        <v>0</v>
      </c>
      <c r="L15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5" s="3">
        <f>IFERROR(INDEX(Table3[#All],MATCH(Table1[[#This Row],[Key_Year_Week_Brand]],Table3[[#All],[Key_Year_Week_Brand]],0),MATCH(Table1[[#This Row],[DC_name_Xref]],Table3[#Headers],0)),0)</f>
        <v>0</v>
      </c>
      <c r="O1535" s="19">
        <f>IFERROR(INDEX(Table35[#All],MATCH(Table1[[#This Row],[Key_Year_Week_Brand]],Table35[[#All],[Key_Year_Month_Brand]],0),MATCH(Table1[[#This Row],[DC_name_Xref]],Table35[#Headers],0)),0)</f>
        <v>0</v>
      </c>
    </row>
    <row r="1536" spans="1:15" x14ac:dyDescent="0.3">
      <c r="A1536" s="19" t="e">
        <f>Table1[[#This Row],[Year_Week]]&amp;"-"&amp;Table1[[#This Row],[DC_name_Xref]]</f>
        <v>#N/A</v>
      </c>
      <c r="B1536" s="19" t="str">
        <f>Table1[[#This Row],[Fiscal_Year]]*100+Table1[[#This Row],[Fiscal_Week]] &amp; "-" &amp;Table1[[#This Row],[BRAND]]</f>
        <v>0-</v>
      </c>
      <c r="C1536" s="19" t="str">
        <f>Table1[[#This Row],[Fiscal_Year]]&amp;"-"&amp;Table1[[#This Row],[BRAND]]</f>
        <v>-</v>
      </c>
      <c r="J1536" t="e">
        <f>VLOOKUP(H1536,DC_Xref!A:B,2,FALSE)</f>
        <v>#N/A</v>
      </c>
      <c r="K1536">
        <f t="shared" si="23"/>
        <v>0</v>
      </c>
      <c r="L15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6" s="3">
        <f>IFERROR(INDEX(Table3[#All],MATCH(Table1[[#This Row],[Key_Year_Week_Brand]],Table3[[#All],[Key_Year_Week_Brand]],0),MATCH(Table1[[#This Row],[DC_name_Xref]],Table3[#Headers],0)),0)</f>
        <v>0</v>
      </c>
      <c r="O1536" s="19">
        <f>IFERROR(INDEX(Table35[#All],MATCH(Table1[[#This Row],[Key_Year_Week_Brand]],Table35[[#All],[Key_Year_Month_Brand]],0),MATCH(Table1[[#This Row],[DC_name_Xref]],Table35[#Headers],0)),0)</f>
        <v>0</v>
      </c>
    </row>
    <row r="1537" spans="1:15" x14ac:dyDescent="0.3">
      <c r="A1537" s="19" t="e">
        <f>Table1[[#This Row],[Year_Week]]&amp;"-"&amp;Table1[[#This Row],[DC_name_Xref]]</f>
        <v>#N/A</v>
      </c>
      <c r="B1537" s="19" t="str">
        <f>Table1[[#This Row],[Fiscal_Year]]*100+Table1[[#This Row],[Fiscal_Week]] &amp; "-" &amp;Table1[[#This Row],[BRAND]]</f>
        <v>0-</v>
      </c>
      <c r="C1537" s="19" t="str">
        <f>Table1[[#This Row],[Fiscal_Year]]&amp;"-"&amp;Table1[[#This Row],[BRAND]]</f>
        <v>-</v>
      </c>
      <c r="J1537" t="e">
        <f>VLOOKUP(H1537,DC_Xref!A:B,2,FALSE)</f>
        <v>#N/A</v>
      </c>
      <c r="K1537">
        <f t="shared" si="23"/>
        <v>0</v>
      </c>
      <c r="L15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7" s="3">
        <f>IFERROR(INDEX(Table3[#All],MATCH(Table1[[#This Row],[Key_Year_Week_Brand]],Table3[[#All],[Key_Year_Week_Brand]],0),MATCH(Table1[[#This Row],[DC_name_Xref]],Table3[#Headers],0)),0)</f>
        <v>0</v>
      </c>
      <c r="O1537" s="19">
        <f>IFERROR(INDEX(Table35[#All],MATCH(Table1[[#This Row],[Key_Year_Week_Brand]],Table35[[#All],[Key_Year_Month_Brand]],0),MATCH(Table1[[#This Row],[DC_name_Xref]],Table35[#Headers],0)),0)</f>
        <v>0</v>
      </c>
    </row>
    <row r="1538" spans="1:15" x14ac:dyDescent="0.3">
      <c r="A1538" s="19" t="e">
        <f>Table1[[#This Row],[Year_Week]]&amp;"-"&amp;Table1[[#This Row],[DC_name_Xref]]</f>
        <v>#N/A</v>
      </c>
      <c r="B1538" s="19" t="str">
        <f>Table1[[#This Row],[Fiscal_Year]]*100+Table1[[#This Row],[Fiscal_Week]] &amp; "-" &amp;Table1[[#This Row],[BRAND]]</f>
        <v>0-</v>
      </c>
      <c r="C1538" s="19" t="str">
        <f>Table1[[#This Row],[Fiscal_Year]]&amp;"-"&amp;Table1[[#This Row],[BRAND]]</f>
        <v>-</v>
      </c>
      <c r="J1538" t="e">
        <f>VLOOKUP(H1538,DC_Xref!A:B,2,FALSE)</f>
        <v>#N/A</v>
      </c>
      <c r="K1538">
        <f t="shared" si="23"/>
        <v>0</v>
      </c>
      <c r="L15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8" s="3">
        <f>IFERROR(INDEX(Table3[#All],MATCH(Table1[[#This Row],[Key_Year_Week_Brand]],Table3[[#All],[Key_Year_Week_Brand]],0),MATCH(Table1[[#This Row],[DC_name_Xref]],Table3[#Headers],0)),0)</f>
        <v>0</v>
      </c>
      <c r="O1538" s="19">
        <f>IFERROR(INDEX(Table35[#All],MATCH(Table1[[#This Row],[Key_Year_Week_Brand]],Table35[[#All],[Key_Year_Month_Brand]],0),MATCH(Table1[[#This Row],[DC_name_Xref]],Table35[#Headers],0)),0)</f>
        <v>0</v>
      </c>
    </row>
    <row r="1539" spans="1:15" x14ac:dyDescent="0.3">
      <c r="A1539" s="19" t="e">
        <f>Table1[[#This Row],[Year_Week]]&amp;"-"&amp;Table1[[#This Row],[DC_name_Xref]]</f>
        <v>#N/A</v>
      </c>
      <c r="B1539" s="19" t="str">
        <f>Table1[[#This Row],[Fiscal_Year]]*100+Table1[[#This Row],[Fiscal_Week]] &amp; "-" &amp;Table1[[#This Row],[BRAND]]</f>
        <v>0-</v>
      </c>
      <c r="C1539" s="19" t="str">
        <f>Table1[[#This Row],[Fiscal_Year]]&amp;"-"&amp;Table1[[#This Row],[BRAND]]</f>
        <v>-</v>
      </c>
      <c r="J1539" t="e">
        <f>VLOOKUP(H1539,DC_Xref!A:B,2,FALSE)</f>
        <v>#N/A</v>
      </c>
      <c r="K1539">
        <f t="shared" si="23"/>
        <v>0</v>
      </c>
      <c r="L15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39" s="3">
        <f>IFERROR(INDEX(Table3[#All],MATCH(Table1[[#This Row],[Key_Year_Week_Brand]],Table3[[#All],[Key_Year_Week_Brand]],0),MATCH(Table1[[#This Row],[DC_name_Xref]],Table3[#Headers],0)),0)</f>
        <v>0</v>
      </c>
      <c r="O1539" s="19">
        <f>IFERROR(INDEX(Table35[#All],MATCH(Table1[[#This Row],[Key_Year_Week_Brand]],Table35[[#All],[Key_Year_Month_Brand]],0),MATCH(Table1[[#This Row],[DC_name_Xref]],Table35[#Headers],0)),0)</f>
        <v>0</v>
      </c>
    </row>
    <row r="1540" spans="1:15" x14ac:dyDescent="0.3">
      <c r="A1540" s="19" t="e">
        <f>Table1[[#This Row],[Year_Week]]&amp;"-"&amp;Table1[[#This Row],[DC_name_Xref]]</f>
        <v>#N/A</v>
      </c>
      <c r="B1540" s="19" t="str">
        <f>Table1[[#This Row],[Fiscal_Year]]*100+Table1[[#This Row],[Fiscal_Week]] &amp; "-" &amp;Table1[[#This Row],[BRAND]]</f>
        <v>0-</v>
      </c>
      <c r="C1540" s="19" t="str">
        <f>Table1[[#This Row],[Fiscal_Year]]&amp;"-"&amp;Table1[[#This Row],[BRAND]]</f>
        <v>-</v>
      </c>
      <c r="J1540" t="e">
        <f>VLOOKUP(H1540,DC_Xref!A:B,2,FALSE)</f>
        <v>#N/A</v>
      </c>
      <c r="K1540">
        <f t="shared" si="23"/>
        <v>0</v>
      </c>
      <c r="L15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0" s="3">
        <f>IFERROR(INDEX(Table3[#All],MATCH(Table1[[#This Row],[Key_Year_Week_Brand]],Table3[[#All],[Key_Year_Week_Brand]],0),MATCH(Table1[[#This Row],[DC_name_Xref]],Table3[#Headers],0)),0)</f>
        <v>0</v>
      </c>
      <c r="O1540" s="19">
        <f>IFERROR(INDEX(Table35[#All],MATCH(Table1[[#This Row],[Key_Year_Week_Brand]],Table35[[#All],[Key_Year_Month_Brand]],0),MATCH(Table1[[#This Row],[DC_name_Xref]],Table35[#Headers],0)),0)</f>
        <v>0</v>
      </c>
    </row>
    <row r="1541" spans="1:15" x14ac:dyDescent="0.3">
      <c r="A1541" s="19" t="e">
        <f>Table1[[#This Row],[Year_Week]]&amp;"-"&amp;Table1[[#This Row],[DC_name_Xref]]</f>
        <v>#N/A</v>
      </c>
      <c r="B1541" s="19" t="str">
        <f>Table1[[#This Row],[Fiscal_Year]]*100+Table1[[#This Row],[Fiscal_Week]] &amp; "-" &amp;Table1[[#This Row],[BRAND]]</f>
        <v>0-</v>
      </c>
      <c r="C1541" s="19" t="str">
        <f>Table1[[#This Row],[Fiscal_Year]]&amp;"-"&amp;Table1[[#This Row],[BRAND]]</f>
        <v>-</v>
      </c>
      <c r="J1541" t="e">
        <f>VLOOKUP(H1541,DC_Xref!A:B,2,FALSE)</f>
        <v>#N/A</v>
      </c>
      <c r="K1541">
        <f t="shared" si="23"/>
        <v>0</v>
      </c>
      <c r="L15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1" s="3">
        <f>IFERROR(INDEX(Table3[#All],MATCH(Table1[[#This Row],[Key_Year_Week_Brand]],Table3[[#All],[Key_Year_Week_Brand]],0),MATCH(Table1[[#This Row],[DC_name_Xref]],Table3[#Headers],0)),0)</f>
        <v>0</v>
      </c>
      <c r="O1541" s="19">
        <f>IFERROR(INDEX(Table35[#All],MATCH(Table1[[#This Row],[Key_Year_Week_Brand]],Table35[[#All],[Key_Year_Month_Brand]],0),MATCH(Table1[[#This Row],[DC_name_Xref]],Table35[#Headers],0)),0)</f>
        <v>0</v>
      </c>
    </row>
    <row r="1542" spans="1:15" x14ac:dyDescent="0.3">
      <c r="A1542" s="19" t="e">
        <f>Table1[[#This Row],[Year_Week]]&amp;"-"&amp;Table1[[#This Row],[DC_name_Xref]]</f>
        <v>#N/A</v>
      </c>
      <c r="B1542" s="19" t="str">
        <f>Table1[[#This Row],[Fiscal_Year]]*100+Table1[[#This Row],[Fiscal_Week]] &amp; "-" &amp;Table1[[#This Row],[BRAND]]</f>
        <v>0-</v>
      </c>
      <c r="C1542" s="19" t="str">
        <f>Table1[[#This Row],[Fiscal_Year]]&amp;"-"&amp;Table1[[#This Row],[BRAND]]</f>
        <v>-</v>
      </c>
      <c r="J1542" t="e">
        <f>VLOOKUP(H1542,DC_Xref!A:B,2,FALSE)</f>
        <v>#N/A</v>
      </c>
      <c r="K1542">
        <f t="shared" ref="K1542:K1605" si="24">D1542*100+E1542</f>
        <v>0</v>
      </c>
      <c r="L15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2" s="3">
        <f>IFERROR(INDEX(Table3[#All],MATCH(Table1[[#This Row],[Key_Year_Week_Brand]],Table3[[#All],[Key_Year_Week_Brand]],0),MATCH(Table1[[#This Row],[DC_name_Xref]],Table3[#Headers],0)),0)</f>
        <v>0</v>
      </c>
      <c r="O1542" s="19">
        <f>IFERROR(INDEX(Table35[#All],MATCH(Table1[[#This Row],[Key_Year_Week_Brand]],Table35[[#All],[Key_Year_Month_Brand]],0),MATCH(Table1[[#This Row],[DC_name_Xref]],Table35[#Headers],0)),0)</f>
        <v>0</v>
      </c>
    </row>
    <row r="1543" spans="1:15" x14ac:dyDescent="0.3">
      <c r="A1543" s="19" t="e">
        <f>Table1[[#This Row],[Year_Week]]&amp;"-"&amp;Table1[[#This Row],[DC_name_Xref]]</f>
        <v>#N/A</v>
      </c>
      <c r="B1543" s="19" t="str">
        <f>Table1[[#This Row],[Fiscal_Year]]*100+Table1[[#This Row],[Fiscal_Week]] &amp; "-" &amp;Table1[[#This Row],[BRAND]]</f>
        <v>0-</v>
      </c>
      <c r="C1543" s="19" t="str">
        <f>Table1[[#This Row],[Fiscal_Year]]&amp;"-"&amp;Table1[[#This Row],[BRAND]]</f>
        <v>-</v>
      </c>
      <c r="J1543" t="e">
        <f>VLOOKUP(H1543,DC_Xref!A:B,2,FALSE)</f>
        <v>#N/A</v>
      </c>
      <c r="K1543">
        <f t="shared" si="24"/>
        <v>0</v>
      </c>
      <c r="L15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3" s="3">
        <f>IFERROR(INDEX(Table3[#All],MATCH(Table1[[#This Row],[Key_Year_Week_Brand]],Table3[[#All],[Key_Year_Week_Brand]],0),MATCH(Table1[[#This Row],[DC_name_Xref]],Table3[#Headers],0)),0)</f>
        <v>0</v>
      </c>
      <c r="O1543" s="19">
        <f>IFERROR(INDEX(Table35[#All],MATCH(Table1[[#This Row],[Key_Year_Week_Brand]],Table35[[#All],[Key_Year_Month_Brand]],0),MATCH(Table1[[#This Row],[DC_name_Xref]],Table35[#Headers],0)),0)</f>
        <v>0</v>
      </c>
    </row>
    <row r="1544" spans="1:15" x14ac:dyDescent="0.3">
      <c r="A1544" s="19" t="e">
        <f>Table1[[#This Row],[Year_Week]]&amp;"-"&amp;Table1[[#This Row],[DC_name_Xref]]</f>
        <v>#N/A</v>
      </c>
      <c r="B1544" s="19" t="str">
        <f>Table1[[#This Row],[Fiscal_Year]]*100+Table1[[#This Row],[Fiscal_Week]] &amp; "-" &amp;Table1[[#This Row],[BRAND]]</f>
        <v>0-</v>
      </c>
      <c r="C1544" s="19" t="str">
        <f>Table1[[#This Row],[Fiscal_Year]]&amp;"-"&amp;Table1[[#This Row],[BRAND]]</f>
        <v>-</v>
      </c>
      <c r="J1544" t="e">
        <f>VLOOKUP(H1544,DC_Xref!A:B,2,FALSE)</f>
        <v>#N/A</v>
      </c>
      <c r="K1544">
        <f t="shared" si="24"/>
        <v>0</v>
      </c>
      <c r="L15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4" s="3">
        <f>IFERROR(INDEX(Table3[#All],MATCH(Table1[[#This Row],[Key_Year_Week_Brand]],Table3[[#All],[Key_Year_Week_Brand]],0),MATCH(Table1[[#This Row],[DC_name_Xref]],Table3[#Headers],0)),0)</f>
        <v>0</v>
      </c>
      <c r="O1544" s="19">
        <f>IFERROR(INDEX(Table35[#All],MATCH(Table1[[#This Row],[Key_Year_Week_Brand]],Table35[[#All],[Key_Year_Month_Brand]],0),MATCH(Table1[[#This Row],[DC_name_Xref]],Table35[#Headers],0)),0)</f>
        <v>0</v>
      </c>
    </row>
    <row r="1545" spans="1:15" x14ac:dyDescent="0.3">
      <c r="A1545" s="19" t="e">
        <f>Table1[[#This Row],[Year_Week]]&amp;"-"&amp;Table1[[#This Row],[DC_name_Xref]]</f>
        <v>#N/A</v>
      </c>
      <c r="B1545" s="19" t="str">
        <f>Table1[[#This Row],[Fiscal_Year]]*100+Table1[[#This Row],[Fiscal_Week]] &amp; "-" &amp;Table1[[#This Row],[BRAND]]</f>
        <v>0-</v>
      </c>
      <c r="C1545" s="19" t="str">
        <f>Table1[[#This Row],[Fiscal_Year]]&amp;"-"&amp;Table1[[#This Row],[BRAND]]</f>
        <v>-</v>
      </c>
      <c r="J1545" t="e">
        <f>VLOOKUP(H1545,DC_Xref!A:B,2,FALSE)</f>
        <v>#N/A</v>
      </c>
      <c r="K1545">
        <f t="shared" si="24"/>
        <v>0</v>
      </c>
      <c r="L15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5" s="3">
        <f>IFERROR(INDEX(Table3[#All],MATCH(Table1[[#This Row],[Key_Year_Week_Brand]],Table3[[#All],[Key_Year_Week_Brand]],0),MATCH(Table1[[#This Row],[DC_name_Xref]],Table3[#Headers],0)),0)</f>
        <v>0</v>
      </c>
      <c r="O1545" s="19">
        <f>IFERROR(INDEX(Table35[#All],MATCH(Table1[[#This Row],[Key_Year_Week_Brand]],Table35[[#All],[Key_Year_Month_Brand]],0),MATCH(Table1[[#This Row],[DC_name_Xref]],Table35[#Headers],0)),0)</f>
        <v>0</v>
      </c>
    </row>
    <row r="1546" spans="1:15" x14ac:dyDescent="0.3">
      <c r="A1546" s="19" t="e">
        <f>Table1[[#This Row],[Year_Week]]&amp;"-"&amp;Table1[[#This Row],[DC_name_Xref]]</f>
        <v>#N/A</v>
      </c>
      <c r="B1546" s="19" t="str">
        <f>Table1[[#This Row],[Fiscal_Year]]*100+Table1[[#This Row],[Fiscal_Week]] &amp; "-" &amp;Table1[[#This Row],[BRAND]]</f>
        <v>0-</v>
      </c>
      <c r="C1546" s="19" t="str">
        <f>Table1[[#This Row],[Fiscal_Year]]&amp;"-"&amp;Table1[[#This Row],[BRAND]]</f>
        <v>-</v>
      </c>
      <c r="J1546" t="e">
        <f>VLOOKUP(H1546,DC_Xref!A:B,2,FALSE)</f>
        <v>#N/A</v>
      </c>
      <c r="K1546">
        <f t="shared" si="24"/>
        <v>0</v>
      </c>
      <c r="L15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6" s="3">
        <f>IFERROR(INDEX(Table3[#All],MATCH(Table1[[#This Row],[Key_Year_Week_Brand]],Table3[[#All],[Key_Year_Week_Brand]],0),MATCH(Table1[[#This Row],[DC_name_Xref]],Table3[#Headers],0)),0)</f>
        <v>0</v>
      </c>
      <c r="O1546" s="19">
        <f>IFERROR(INDEX(Table35[#All],MATCH(Table1[[#This Row],[Key_Year_Week_Brand]],Table35[[#All],[Key_Year_Month_Brand]],0),MATCH(Table1[[#This Row],[DC_name_Xref]],Table35[#Headers],0)),0)</f>
        <v>0</v>
      </c>
    </row>
    <row r="1547" spans="1:15" x14ac:dyDescent="0.3">
      <c r="A1547" s="19" t="e">
        <f>Table1[[#This Row],[Year_Week]]&amp;"-"&amp;Table1[[#This Row],[DC_name_Xref]]</f>
        <v>#N/A</v>
      </c>
      <c r="B1547" s="19" t="str">
        <f>Table1[[#This Row],[Fiscal_Year]]*100+Table1[[#This Row],[Fiscal_Week]] &amp; "-" &amp;Table1[[#This Row],[BRAND]]</f>
        <v>0-</v>
      </c>
      <c r="C1547" s="19" t="str">
        <f>Table1[[#This Row],[Fiscal_Year]]&amp;"-"&amp;Table1[[#This Row],[BRAND]]</f>
        <v>-</v>
      </c>
      <c r="J1547" t="e">
        <f>VLOOKUP(H1547,DC_Xref!A:B,2,FALSE)</f>
        <v>#N/A</v>
      </c>
      <c r="K1547">
        <f t="shared" si="24"/>
        <v>0</v>
      </c>
      <c r="L15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7" s="3">
        <f>IFERROR(INDEX(Table3[#All],MATCH(Table1[[#This Row],[Key_Year_Week_Brand]],Table3[[#All],[Key_Year_Week_Brand]],0),MATCH(Table1[[#This Row],[DC_name_Xref]],Table3[#Headers],0)),0)</f>
        <v>0</v>
      </c>
      <c r="O1547" s="19">
        <f>IFERROR(INDEX(Table35[#All],MATCH(Table1[[#This Row],[Key_Year_Week_Brand]],Table35[[#All],[Key_Year_Month_Brand]],0),MATCH(Table1[[#This Row],[DC_name_Xref]],Table35[#Headers],0)),0)</f>
        <v>0</v>
      </c>
    </row>
    <row r="1548" spans="1:15" x14ac:dyDescent="0.3">
      <c r="A1548" s="19" t="e">
        <f>Table1[[#This Row],[Year_Week]]&amp;"-"&amp;Table1[[#This Row],[DC_name_Xref]]</f>
        <v>#N/A</v>
      </c>
      <c r="B1548" s="19" t="str">
        <f>Table1[[#This Row],[Fiscal_Year]]*100+Table1[[#This Row],[Fiscal_Week]] &amp; "-" &amp;Table1[[#This Row],[BRAND]]</f>
        <v>0-</v>
      </c>
      <c r="C1548" s="19" t="str">
        <f>Table1[[#This Row],[Fiscal_Year]]&amp;"-"&amp;Table1[[#This Row],[BRAND]]</f>
        <v>-</v>
      </c>
      <c r="J1548" t="e">
        <f>VLOOKUP(H1548,DC_Xref!A:B,2,FALSE)</f>
        <v>#N/A</v>
      </c>
      <c r="K1548">
        <f t="shared" si="24"/>
        <v>0</v>
      </c>
      <c r="L15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8" s="3">
        <f>IFERROR(INDEX(Table3[#All],MATCH(Table1[[#This Row],[Key_Year_Week_Brand]],Table3[[#All],[Key_Year_Week_Brand]],0),MATCH(Table1[[#This Row],[DC_name_Xref]],Table3[#Headers],0)),0)</f>
        <v>0</v>
      </c>
      <c r="O1548" s="19">
        <f>IFERROR(INDEX(Table35[#All],MATCH(Table1[[#This Row],[Key_Year_Week_Brand]],Table35[[#All],[Key_Year_Month_Brand]],0),MATCH(Table1[[#This Row],[DC_name_Xref]],Table35[#Headers],0)),0)</f>
        <v>0</v>
      </c>
    </row>
    <row r="1549" spans="1:15" x14ac:dyDescent="0.3">
      <c r="A1549" s="19" t="e">
        <f>Table1[[#This Row],[Year_Week]]&amp;"-"&amp;Table1[[#This Row],[DC_name_Xref]]</f>
        <v>#N/A</v>
      </c>
      <c r="B1549" s="19" t="str">
        <f>Table1[[#This Row],[Fiscal_Year]]*100+Table1[[#This Row],[Fiscal_Week]] &amp; "-" &amp;Table1[[#This Row],[BRAND]]</f>
        <v>0-</v>
      </c>
      <c r="C1549" s="19" t="str">
        <f>Table1[[#This Row],[Fiscal_Year]]&amp;"-"&amp;Table1[[#This Row],[BRAND]]</f>
        <v>-</v>
      </c>
      <c r="J1549" t="e">
        <f>VLOOKUP(H1549,DC_Xref!A:B,2,FALSE)</f>
        <v>#N/A</v>
      </c>
      <c r="K1549">
        <f t="shared" si="24"/>
        <v>0</v>
      </c>
      <c r="L15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49" s="3">
        <f>IFERROR(INDEX(Table3[#All],MATCH(Table1[[#This Row],[Key_Year_Week_Brand]],Table3[[#All],[Key_Year_Week_Brand]],0),MATCH(Table1[[#This Row],[DC_name_Xref]],Table3[#Headers],0)),0)</f>
        <v>0</v>
      </c>
      <c r="O1549" s="19">
        <f>IFERROR(INDEX(Table35[#All],MATCH(Table1[[#This Row],[Key_Year_Week_Brand]],Table35[[#All],[Key_Year_Month_Brand]],0),MATCH(Table1[[#This Row],[DC_name_Xref]],Table35[#Headers],0)),0)</f>
        <v>0</v>
      </c>
    </row>
    <row r="1550" spans="1:15" x14ac:dyDescent="0.3">
      <c r="A1550" s="19" t="e">
        <f>Table1[[#This Row],[Year_Week]]&amp;"-"&amp;Table1[[#This Row],[DC_name_Xref]]</f>
        <v>#N/A</v>
      </c>
      <c r="B1550" s="19" t="str">
        <f>Table1[[#This Row],[Fiscal_Year]]*100+Table1[[#This Row],[Fiscal_Week]] &amp; "-" &amp;Table1[[#This Row],[BRAND]]</f>
        <v>0-</v>
      </c>
      <c r="C1550" s="19" t="str">
        <f>Table1[[#This Row],[Fiscal_Year]]&amp;"-"&amp;Table1[[#This Row],[BRAND]]</f>
        <v>-</v>
      </c>
      <c r="J1550" t="e">
        <f>VLOOKUP(H1550,DC_Xref!A:B,2,FALSE)</f>
        <v>#N/A</v>
      </c>
      <c r="K1550">
        <f t="shared" si="24"/>
        <v>0</v>
      </c>
      <c r="L15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0" s="3">
        <f>IFERROR(INDEX(Table3[#All],MATCH(Table1[[#This Row],[Key_Year_Week_Brand]],Table3[[#All],[Key_Year_Week_Brand]],0),MATCH(Table1[[#This Row],[DC_name_Xref]],Table3[#Headers],0)),0)</f>
        <v>0</v>
      </c>
      <c r="O1550" s="19">
        <f>IFERROR(INDEX(Table35[#All],MATCH(Table1[[#This Row],[Key_Year_Week_Brand]],Table35[[#All],[Key_Year_Month_Brand]],0),MATCH(Table1[[#This Row],[DC_name_Xref]],Table35[#Headers],0)),0)</f>
        <v>0</v>
      </c>
    </row>
    <row r="1551" spans="1:15" x14ac:dyDescent="0.3">
      <c r="A1551" s="19" t="e">
        <f>Table1[[#This Row],[Year_Week]]&amp;"-"&amp;Table1[[#This Row],[DC_name_Xref]]</f>
        <v>#N/A</v>
      </c>
      <c r="B1551" s="19" t="str">
        <f>Table1[[#This Row],[Fiscal_Year]]*100+Table1[[#This Row],[Fiscal_Week]] &amp; "-" &amp;Table1[[#This Row],[BRAND]]</f>
        <v>0-</v>
      </c>
      <c r="C1551" s="19" t="str">
        <f>Table1[[#This Row],[Fiscal_Year]]&amp;"-"&amp;Table1[[#This Row],[BRAND]]</f>
        <v>-</v>
      </c>
      <c r="J1551" t="e">
        <f>VLOOKUP(H1551,DC_Xref!A:B,2,FALSE)</f>
        <v>#N/A</v>
      </c>
      <c r="K1551">
        <f t="shared" si="24"/>
        <v>0</v>
      </c>
      <c r="L15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1" s="3">
        <f>IFERROR(INDEX(Table3[#All],MATCH(Table1[[#This Row],[Key_Year_Week_Brand]],Table3[[#All],[Key_Year_Week_Brand]],0),MATCH(Table1[[#This Row],[DC_name_Xref]],Table3[#Headers],0)),0)</f>
        <v>0</v>
      </c>
      <c r="O1551" s="19">
        <f>IFERROR(INDEX(Table35[#All],MATCH(Table1[[#This Row],[Key_Year_Week_Brand]],Table35[[#All],[Key_Year_Month_Brand]],0),MATCH(Table1[[#This Row],[DC_name_Xref]],Table35[#Headers],0)),0)</f>
        <v>0</v>
      </c>
    </row>
    <row r="1552" spans="1:15" x14ac:dyDescent="0.3">
      <c r="A1552" s="19" t="e">
        <f>Table1[[#This Row],[Year_Week]]&amp;"-"&amp;Table1[[#This Row],[DC_name_Xref]]</f>
        <v>#N/A</v>
      </c>
      <c r="B1552" s="19" t="str">
        <f>Table1[[#This Row],[Fiscal_Year]]*100+Table1[[#This Row],[Fiscal_Week]] &amp; "-" &amp;Table1[[#This Row],[BRAND]]</f>
        <v>0-</v>
      </c>
      <c r="C1552" s="19" t="str">
        <f>Table1[[#This Row],[Fiscal_Year]]&amp;"-"&amp;Table1[[#This Row],[BRAND]]</f>
        <v>-</v>
      </c>
      <c r="J1552" t="e">
        <f>VLOOKUP(H1552,DC_Xref!A:B,2,FALSE)</f>
        <v>#N/A</v>
      </c>
      <c r="K1552">
        <f t="shared" si="24"/>
        <v>0</v>
      </c>
      <c r="L15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2" s="3">
        <f>IFERROR(INDEX(Table3[#All],MATCH(Table1[[#This Row],[Key_Year_Week_Brand]],Table3[[#All],[Key_Year_Week_Brand]],0),MATCH(Table1[[#This Row],[DC_name_Xref]],Table3[#Headers],0)),0)</f>
        <v>0</v>
      </c>
      <c r="O1552" s="19">
        <f>IFERROR(INDEX(Table35[#All],MATCH(Table1[[#This Row],[Key_Year_Week_Brand]],Table35[[#All],[Key_Year_Month_Brand]],0),MATCH(Table1[[#This Row],[DC_name_Xref]],Table35[#Headers],0)),0)</f>
        <v>0</v>
      </c>
    </row>
    <row r="1553" spans="1:15" x14ac:dyDescent="0.3">
      <c r="A1553" s="19" t="e">
        <f>Table1[[#This Row],[Year_Week]]&amp;"-"&amp;Table1[[#This Row],[DC_name_Xref]]</f>
        <v>#N/A</v>
      </c>
      <c r="B1553" s="19" t="str">
        <f>Table1[[#This Row],[Fiscal_Year]]*100+Table1[[#This Row],[Fiscal_Week]] &amp; "-" &amp;Table1[[#This Row],[BRAND]]</f>
        <v>0-</v>
      </c>
      <c r="C1553" s="19" t="str">
        <f>Table1[[#This Row],[Fiscal_Year]]&amp;"-"&amp;Table1[[#This Row],[BRAND]]</f>
        <v>-</v>
      </c>
      <c r="J1553" t="e">
        <f>VLOOKUP(H1553,DC_Xref!A:B,2,FALSE)</f>
        <v>#N/A</v>
      </c>
      <c r="K1553">
        <f t="shared" si="24"/>
        <v>0</v>
      </c>
      <c r="L15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3" s="3">
        <f>IFERROR(INDEX(Table3[#All],MATCH(Table1[[#This Row],[Key_Year_Week_Brand]],Table3[[#All],[Key_Year_Week_Brand]],0),MATCH(Table1[[#This Row],[DC_name_Xref]],Table3[#Headers],0)),0)</f>
        <v>0</v>
      </c>
      <c r="O1553" s="19">
        <f>IFERROR(INDEX(Table35[#All],MATCH(Table1[[#This Row],[Key_Year_Week_Brand]],Table35[[#All],[Key_Year_Month_Brand]],0),MATCH(Table1[[#This Row],[DC_name_Xref]],Table35[#Headers],0)),0)</f>
        <v>0</v>
      </c>
    </row>
    <row r="1554" spans="1:15" x14ac:dyDescent="0.3">
      <c r="A1554" s="19" t="e">
        <f>Table1[[#This Row],[Year_Week]]&amp;"-"&amp;Table1[[#This Row],[DC_name_Xref]]</f>
        <v>#N/A</v>
      </c>
      <c r="B1554" s="19" t="str">
        <f>Table1[[#This Row],[Fiscal_Year]]*100+Table1[[#This Row],[Fiscal_Week]] &amp; "-" &amp;Table1[[#This Row],[BRAND]]</f>
        <v>0-</v>
      </c>
      <c r="C1554" s="19" t="str">
        <f>Table1[[#This Row],[Fiscal_Year]]&amp;"-"&amp;Table1[[#This Row],[BRAND]]</f>
        <v>-</v>
      </c>
      <c r="J1554" t="e">
        <f>VLOOKUP(H1554,DC_Xref!A:B,2,FALSE)</f>
        <v>#N/A</v>
      </c>
      <c r="K1554">
        <f t="shared" si="24"/>
        <v>0</v>
      </c>
      <c r="L15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4" s="3">
        <f>IFERROR(INDEX(Table3[#All],MATCH(Table1[[#This Row],[Key_Year_Week_Brand]],Table3[[#All],[Key_Year_Week_Brand]],0),MATCH(Table1[[#This Row],[DC_name_Xref]],Table3[#Headers],0)),0)</f>
        <v>0</v>
      </c>
      <c r="O1554" s="19">
        <f>IFERROR(INDEX(Table35[#All],MATCH(Table1[[#This Row],[Key_Year_Week_Brand]],Table35[[#All],[Key_Year_Month_Brand]],0),MATCH(Table1[[#This Row],[DC_name_Xref]],Table35[#Headers],0)),0)</f>
        <v>0</v>
      </c>
    </row>
    <row r="1555" spans="1:15" x14ac:dyDescent="0.3">
      <c r="A1555" s="19" t="e">
        <f>Table1[[#This Row],[Year_Week]]&amp;"-"&amp;Table1[[#This Row],[DC_name_Xref]]</f>
        <v>#N/A</v>
      </c>
      <c r="B1555" s="19" t="str">
        <f>Table1[[#This Row],[Fiscal_Year]]*100+Table1[[#This Row],[Fiscal_Week]] &amp; "-" &amp;Table1[[#This Row],[BRAND]]</f>
        <v>0-</v>
      </c>
      <c r="C1555" s="19" t="str">
        <f>Table1[[#This Row],[Fiscal_Year]]&amp;"-"&amp;Table1[[#This Row],[BRAND]]</f>
        <v>-</v>
      </c>
      <c r="J1555" t="e">
        <f>VLOOKUP(H1555,DC_Xref!A:B,2,FALSE)</f>
        <v>#N/A</v>
      </c>
      <c r="K1555">
        <f t="shared" si="24"/>
        <v>0</v>
      </c>
      <c r="L15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5" s="3">
        <f>IFERROR(INDEX(Table3[#All],MATCH(Table1[[#This Row],[Key_Year_Week_Brand]],Table3[[#All],[Key_Year_Week_Brand]],0),MATCH(Table1[[#This Row],[DC_name_Xref]],Table3[#Headers],0)),0)</f>
        <v>0</v>
      </c>
      <c r="O1555" s="19">
        <f>IFERROR(INDEX(Table35[#All],MATCH(Table1[[#This Row],[Key_Year_Week_Brand]],Table35[[#All],[Key_Year_Month_Brand]],0),MATCH(Table1[[#This Row],[DC_name_Xref]],Table35[#Headers],0)),0)</f>
        <v>0</v>
      </c>
    </row>
    <row r="1556" spans="1:15" x14ac:dyDescent="0.3">
      <c r="A1556" s="19" t="e">
        <f>Table1[[#This Row],[Year_Week]]&amp;"-"&amp;Table1[[#This Row],[DC_name_Xref]]</f>
        <v>#N/A</v>
      </c>
      <c r="B1556" s="19" t="str">
        <f>Table1[[#This Row],[Fiscal_Year]]*100+Table1[[#This Row],[Fiscal_Week]] &amp; "-" &amp;Table1[[#This Row],[BRAND]]</f>
        <v>0-</v>
      </c>
      <c r="C1556" s="19" t="str">
        <f>Table1[[#This Row],[Fiscal_Year]]&amp;"-"&amp;Table1[[#This Row],[BRAND]]</f>
        <v>-</v>
      </c>
      <c r="J1556" t="e">
        <f>VLOOKUP(H1556,DC_Xref!A:B,2,FALSE)</f>
        <v>#N/A</v>
      </c>
      <c r="K1556">
        <f t="shared" si="24"/>
        <v>0</v>
      </c>
      <c r="L15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6" s="3">
        <f>IFERROR(INDEX(Table3[#All],MATCH(Table1[[#This Row],[Key_Year_Week_Brand]],Table3[[#All],[Key_Year_Week_Brand]],0),MATCH(Table1[[#This Row],[DC_name_Xref]],Table3[#Headers],0)),0)</f>
        <v>0</v>
      </c>
      <c r="O1556" s="19">
        <f>IFERROR(INDEX(Table35[#All],MATCH(Table1[[#This Row],[Key_Year_Week_Brand]],Table35[[#All],[Key_Year_Month_Brand]],0),MATCH(Table1[[#This Row],[DC_name_Xref]],Table35[#Headers],0)),0)</f>
        <v>0</v>
      </c>
    </row>
    <row r="1557" spans="1:15" x14ac:dyDescent="0.3">
      <c r="A1557" s="19" t="e">
        <f>Table1[[#This Row],[Year_Week]]&amp;"-"&amp;Table1[[#This Row],[DC_name_Xref]]</f>
        <v>#N/A</v>
      </c>
      <c r="B1557" s="19" t="str">
        <f>Table1[[#This Row],[Fiscal_Year]]*100+Table1[[#This Row],[Fiscal_Week]] &amp; "-" &amp;Table1[[#This Row],[BRAND]]</f>
        <v>0-</v>
      </c>
      <c r="C1557" s="19" t="str">
        <f>Table1[[#This Row],[Fiscal_Year]]&amp;"-"&amp;Table1[[#This Row],[BRAND]]</f>
        <v>-</v>
      </c>
      <c r="J1557" t="e">
        <f>VLOOKUP(H1557,DC_Xref!A:B,2,FALSE)</f>
        <v>#N/A</v>
      </c>
      <c r="K1557">
        <f t="shared" si="24"/>
        <v>0</v>
      </c>
      <c r="L15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7" s="3">
        <f>IFERROR(INDEX(Table3[#All],MATCH(Table1[[#This Row],[Key_Year_Week_Brand]],Table3[[#All],[Key_Year_Week_Brand]],0),MATCH(Table1[[#This Row],[DC_name_Xref]],Table3[#Headers],0)),0)</f>
        <v>0</v>
      </c>
      <c r="O1557" s="19">
        <f>IFERROR(INDEX(Table35[#All],MATCH(Table1[[#This Row],[Key_Year_Week_Brand]],Table35[[#All],[Key_Year_Month_Brand]],0),MATCH(Table1[[#This Row],[DC_name_Xref]],Table35[#Headers],0)),0)</f>
        <v>0</v>
      </c>
    </row>
    <row r="1558" spans="1:15" x14ac:dyDescent="0.3">
      <c r="A1558" s="19" t="e">
        <f>Table1[[#This Row],[Year_Week]]&amp;"-"&amp;Table1[[#This Row],[DC_name_Xref]]</f>
        <v>#N/A</v>
      </c>
      <c r="B1558" s="19" t="str">
        <f>Table1[[#This Row],[Fiscal_Year]]*100+Table1[[#This Row],[Fiscal_Week]] &amp; "-" &amp;Table1[[#This Row],[BRAND]]</f>
        <v>0-</v>
      </c>
      <c r="C1558" s="19" t="str">
        <f>Table1[[#This Row],[Fiscal_Year]]&amp;"-"&amp;Table1[[#This Row],[BRAND]]</f>
        <v>-</v>
      </c>
      <c r="J1558" t="e">
        <f>VLOOKUP(H1558,DC_Xref!A:B,2,FALSE)</f>
        <v>#N/A</v>
      </c>
      <c r="K1558">
        <f t="shared" si="24"/>
        <v>0</v>
      </c>
      <c r="L15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8" s="3">
        <f>IFERROR(INDEX(Table3[#All],MATCH(Table1[[#This Row],[Key_Year_Week_Brand]],Table3[[#All],[Key_Year_Week_Brand]],0),MATCH(Table1[[#This Row],[DC_name_Xref]],Table3[#Headers],0)),0)</f>
        <v>0</v>
      </c>
      <c r="O1558" s="19">
        <f>IFERROR(INDEX(Table35[#All],MATCH(Table1[[#This Row],[Key_Year_Week_Brand]],Table35[[#All],[Key_Year_Month_Brand]],0),MATCH(Table1[[#This Row],[DC_name_Xref]],Table35[#Headers],0)),0)</f>
        <v>0</v>
      </c>
    </row>
    <row r="1559" spans="1:15" x14ac:dyDescent="0.3">
      <c r="A1559" s="19" t="e">
        <f>Table1[[#This Row],[Year_Week]]&amp;"-"&amp;Table1[[#This Row],[DC_name_Xref]]</f>
        <v>#N/A</v>
      </c>
      <c r="B1559" s="19" t="str">
        <f>Table1[[#This Row],[Fiscal_Year]]*100+Table1[[#This Row],[Fiscal_Week]] &amp; "-" &amp;Table1[[#This Row],[BRAND]]</f>
        <v>0-</v>
      </c>
      <c r="C1559" s="19" t="str">
        <f>Table1[[#This Row],[Fiscal_Year]]&amp;"-"&amp;Table1[[#This Row],[BRAND]]</f>
        <v>-</v>
      </c>
      <c r="J1559" t="e">
        <f>VLOOKUP(H1559,DC_Xref!A:B,2,FALSE)</f>
        <v>#N/A</v>
      </c>
      <c r="K1559">
        <f t="shared" si="24"/>
        <v>0</v>
      </c>
      <c r="L15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59" s="3">
        <f>IFERROR(INDEX(Table3[#All],MATCH(Table1[[#This Row],[Key_Year_Week_Brand]],Table3[[#All],[Key_Year_Week_Brand]],0),MATCH(Table1[[#This Row],[DC_name_Xref]],Table3[#Headers],0)),0)</f>
        <v>0</v>
      </c>
      <c r="O1559" s="19">
        <f>IFERROR(INDEX(Table35[#All],MATCH(Table1[[#This Row],[Key_Year_Week_Brand]],Table35[[#All],[Key_Year_Month_Brand]],0),MATCH(Table1[[#This Row],[DC_name_Xref]],Table35[#Headers],0)),0)</f>
        <v>0</v>
      </c>
    </row>
    <row r="1560" spans="1:15" x14ac:dyDescent="0.3">
      <c r="A1560" s="19" t="e">
        <f>Table1[[#This Row],[Year_Week]]&amp;"-"&amp;Table1[[#This Row],[DC_name_Xref]]</f>
        <v>#N/A</v>
      </c>
      <c r="B1560" s="19" t="str">
        <f>Table1[[#This Row],[Fiscal_Year]]*100+Table1[[#This Row],[Fiscal_Week]] &amp; "-" &amp;Table1[[#This Row],[BRAND]]</f>
        <v>0-</v>
      </c>
      <c r="C1560" s="19" t="str">
        <f>Table1[[#This Row],[Fiscal_Year]]&amp;"-"&amp;Table1[[#This Row],[BRAND]]</f>
        <v>-</v>
      </c>
      <c r="J1560" t="e">
        <f>VLOOKUP(H1560,DC_Xref!A:B,2,FALSE)</f>
        <v>#N/A</v>
      </c>
      <c r="K1560">
        <f t="shared" si="24"/>
        <v>0</v>
      </c>
      <c r="L15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0" s="3">
        <f>IFERROR(INDEX(Table3[#All],MATCH(Table1[[#This Row],[Key_Year_Week_Brand]],Table3[[#All],[Key_Year_Week_Brand]],0),MATCH(Table1[[#This Row],[DC_name_Xref]],Table3[#Headers],0)),0)</f>
        <v>0</v>
      </c>
      <c r="O1560" s="19">
        <f>IFERROR(INDEX(Table35[#All],MATCH(Table1[[#This Row],[Key_Year_Week_Brand]],Table35[[#All],[Key_Year_Month_Brand]],0),MATCH(Table1[[#This Row],[DC_name_Xref]],Table35[#Headers],0)),0)</f>
        <v>0</v>
      </c>
    </row>
    <row r="1561" spans="1:15" x14ac:dyDescent="0.3">
      <c r="A1561" s="19" t="e">
        <f>Table1[[#This Row],[Year_Week]]&amp;"-"&amp;Table1[[#This Row],[DC_name_Xref]]</f>
        <v>#N/A</v>
      </c>
      <c r="B1561" s="19" t="str">
        <f>Table1[[#This Row],[Fiscal_Year]]*100+Table1[[#This Row],[Fiscal_Week]] &amp; "-" &amp;Table1[[#This Row],[BRAND]]</f>
        <v>0-</v>
      </c>
      <c r="C1561" s="19" t="str">
        <f>Table1[[#This Row],[Fiscal_Year]]&amp;"-"&amp;Table1[[#This Row],[BRAND]]</f>
        <v>-</v>
      </c>
      <c r="J1561" t="e">
        <f>VLOOKUP(H1561,DC_Xref!A:B,2,FALSE)</f>
        <v>#N/A</v>
      </c>
      <c r="K1561">
        <f t="shared" si="24"/>
        <v>0</v>
      </c>
      <c r="L15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1" s="3">
        <f>IFERROR(INDEX(Table3[#All],MATCH(Table1[[#This Row],[Key_Year_Week_Brand]],Table3[[#All],[Key_Year_Week_Brand]],0),MATCH(Table1[[#This Row],[DC_name_Xref]],Table3[#Headers],0)),0)</f>
        <v>0</v>
      </c>
      <c r="O1561" s="19">
        <f>IFERROR(INDEX(Table35[#All],MATCH(Table1[[#This Row],[Key_Year_Week_Brand]],Table35[[#All],[Key_Year_Month_Brand]],0),MATCH(Table1[[#This Row],[DC_name_Xref]],Table35[#Headers],0)),0)</f>
        <v>0</v>
      </c>
    </row>
    <row r="1562" spans="1:15" x14ac:dyDescent="0.3">
      <c r="A1562" s="19" t="e">
        <f>Table1[[#This Row],[Year_Week]]&amp;"-"&amp;Table1[[#This Row],[DC_name_Xref]]</f>
        <v>#N/A</v>
      </c>
      <c r="B1562" s="19" t="str">
        <f>Table1[[#This Row],[Fiscal_Year]]*100+Table1[[#This Row],[Fiscal_Week]] &amp; "-" &amp;Table1[[#This Row],[BRAND]]</f>
        <v>0-</v>
      </c>
      <c r="C1562" s="19" t="str">
        <f>Table1[[#This Row],[Fiscal_Year]]&amp;"-"&amp;Table1[[#This Row],[BRAND]]</f>
        <v>-</v>
      </c>
      <c r="J1562" t="e">
        <f>VLOOKUP(H1562,DC_Xref!A:B,2,FALSE)</f>
        <v>#N/A</v>
      </c>
      <c r="K1562">
        <f t="shared" si="24"/>
        <v>0</v>
      </c>
      <c r="L15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2" s="3">
        <f>IFERROR(INDEX(Table3[#All],MATCH(Table1[[#This Row],[Key_Year_Week_Brand]],Table3[[#All],[Key_Year_Week_Brand]],0),MATCH(Table1[[#This Row],[DC_name_Xref]],Table3[#Headers],0)),0)</f>
        <v>0</v>
      </c>
      <c r="O1562" s="19">
        <f>IFERROR(INDEX(Table35[#All],MATCH(Table1[[#This Row],[Key_Year_Week_Brand]],Table35[[#All],[Key_Year_Month_Brand]],0),MATCH(Table1[[#This Row],[DC_name_Xref]],Table35[#Headers],0)),0)</f>
        <v>0</v>
      </c>
    </row>
    <row r="1563" spans="1:15" x14ac:dyDescent="0.3">
      <c r="A1563" s="19" t="e">
        <f>Table1[[#This Row],[Year_Week]]&amp;"-"&amp;Table1[[#This Row],[DC_name_Xref]]</f>
        <v>#N/A</v>
      </c>
      <c r="B1563" s="19" t="str">
        <f>Table1[[#This Row],[Fiscal_Year]]*100+Table1[[#This Row],[Fiscal_Week]] &amp; "-" &amp;Table1[[#This Row],[BRAND]]</f>
        <v>0-</v>
      </c>
      <c r="C1563" s="19" t="str">
        <f>Table1[[#This Row],[Fiscal_Year]]&amp;"-"&amp;Table1[[#This Row],[BRAND]]</f>
        <v>-</v>
      </c>
      <c r="J1563" t="e">
        <f>VLOOKUP(H1563,DC_Xref!A:B,2,FALSE)</f>
        <v>#N/A</v>
      </c>
      <c r="K1563">
        <f t="shared" si="24"/>
        <v>0</v>
      </c>
      <c r="L15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3" s="3">
        <f>IFERROR(INDEX(Table3[#All],MATCH(Table1[[#This Row],[Key_Year_Week_Brand]],Table3[[#All],[Key_Year_Week_Brand]],0),MATCH(Table1[[#This Row],[DC_name_Xref]],Table3[#Headers],0)),0)</f>
        <v>0</v>
      </c>
      <c r="O1563" s="19">
        <f>IFERROR(INDEX(Table35[#All],MATCH(Table1[[#This Row],[Key_Year_Week_Brand]],Table35[[#All],[Key_Year_Month_Brand]],0),MATCH(Table1[[#This Row],[DC_name_Xref]],Table35[#Headers],0)),0)</f>
        <v>0</v>
      </c>
    </row>
    <row r="1564" spans="1:15" x14ac:dyDescent="0.3">
      <c r="A1564" s="19" t="e">
        <f>Table1[[#This Row],[Year_Week]]&amp;"-"&amp;Table1[[#This Row],[DC_name_Xref]]</f>
        <v>#N/A</v>
      </c>
      <c r="B1564" s="19" t="str">
        <f>Table1[[#This Row],[Fiscal_Year]]*100+Table1[[#This Row],[Fiscal_Week]] &amp; "-" &amp;Table1[[#This Row],[BRAND]]</f>
        <v>0-</v>
      </c>
      <c r="C1564" s="19" t="str">
        <f>Table1[[#This Row],[Fiscal_Year]]&amp;"-"&amp;Table1[[#This Row],[BRAND]]</f>
        <v>-</v>
      </c>
      <c r="J1564" t="e">
        <f>VLOOKUP(H1564,DC_Xref!A:B,2,FALSE)</f>
        <v>#N/A</v>
      </c>
      <c r="K1564">
        <f t="shared" si="24"/>
        <v>0</v>
      </c>
      <c r="L15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4" s="3">
        <f>IFERROR(INDEX(Table3[#All],MATCH(Table1[[#This Row],[Key_Year_Week_Brand]],Table3[[#All],[Key_Year_Week_Brand]],0),MATCH(Table1[[#This Row],[DC_name_Xref]],Table3[#Headers],0)),0)</f>
        <v>0</v>
      </c>
      <c r="O1564" s="19">
        <f>IFERROR(INDEX(Table35[#All],MATCH(Table1[[#This Row],[Key_Year_Week_Brand]],Table35[[#All],[Key_Year_Month_Brand]],0),MATCH(Table1[[#This Row],[DC_name_Xref]],Table35[#Headers],0)),0)</f>
        <v>0</v>
      </c>
    </row>
    <row r="1565" spans="1:15" x14ac:dyDescent="0.3">
      <c r="A1565" s="19" t="e">
        <f>Table1[[#This Row],[Year_Week]]&amp;"-"&amp;Table1[[#This Row],[DC_name_Xref]]</f>
        <v>#N/A</v>
      </c>
      <c r="B1565" s="19" t="str">
        <f>Table1[[#This Row],[Fiscal_Year]]*100+Table1[[#This Row],[Fiscal_Week]] &amp; "-" &amp;Table1[[#This Row],[BRAND]]</f>
        <v>0-</v>
      </c>
      <c r="C1565" s="19" t="str">
        <f>Table1[[#This Row],[Fiscal_Year]]&amp;"-"&amp;Table1[[#This Row],[BRAND]]</f>
        <v>-</v>
      </c>
      <c r="J1565" t="e">
        <f>VLOOKUP(H1565,DC_Xref!A:B,2,FALSE)</f>
        <v>#N/A</v>
      </c>
      <c r="K1565">
        <f t="shared" si="24"/>
        <v>0</v>
      </c>
      <c r="L15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5" s="3">
        <f>IFERROR(INDEX(Table3[#All],MATCH(Table1[[#This Row],[Key_Year_Week_Brand]],Table3[[#All],[Key_Year_Week_Brand]],0),MATCH(Table1[[#This Row],[DC_name_Xref]],Table3[#Headers],0)),0)</f>
        <v>0</v>
      </c>
      <c r="O1565" s="19">
        <f>IFERROR(INDEX(Table35[#All],MATCH(Table1[[#This Row],[Key_Year_Week_Brand]],Table35[[#All],[Key_Year_Month_Brand]],0),MATCH(Table1[[#This Row],[DC_name_Xref]],Table35[#Headers],0)),0)</f>
        <v>0</v>
      </c>
    </row>
    <row r="1566" spans="1:15" x14ac:dyDescent="0.3">
      <c r="A1566" s="19" t="e">
        <f>Table1[[#This Row],[Year_Week]]&amp;"-"&amp;Table1[[#This Row],[DC_name_Xref]]</f>
        <v>#N/A</v>
      </c>
      <c r="B1566" s="19" t="str">
        <f>Table1[[#This Row],[Fiscal_Year]]*100+Table1[[#This Row],[Fiscal_Week]] &amp; "-" &amp;Table1[[#This Row],[BRAND]]</f>
        <v>0-</v>
      </c>
      <c r="C1566" s="19" t="str">
        <f>Table1[[#This Row],[Fiscal_Year]]&amp;"-"&amp;Table1[[#This Row],[BRAND]]</f>
        <v>-</v>
      </c>
      <c r="J1566" t="e">
        <f>VLOOKUP(H1566,DC_Xref!A:B,2,FALSE)</f>
        <v>#N/A</v>
      </c>
      <c r="K1566">
        <f t="shared" si="24"/>
        <v>0</v>
      </c>
      <c r="L15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6" s="3">
        <f>IFERROR(INDEX(Table3[#All],MATCH(Table1[[#This Row],[Key_Year_Week_Brand]],Table3[[#All],[Key_Year_Week_Brand]],0),MATCH(Table1[[#This Row],[DC_name_Xref]],Table3[#Headers],0)),0)</f>
        <v>0</v>
      </c>
      <c r="O1566" s="19">
        <f>IFERROR(INDEX(Table35[#All],MATCH(Table1[[#This Row],[Key_Year_Week_Brand]],Table35[[#All],[Key_Year_Month_Brand]],0),MATCH(Table1[[#This Row],[DC_name_Xref]],Table35[#Headers],0)),0)</f>
        <v>0</v>
      </c>
    </row>
    <row r="1567" spans="1:15" x14ac:dyDescent="0.3">
      <c r="A1567" s="19" t="e">
        <f>Table1[[#This Row],[Year_Week]]&amp;"-"&amp;Table1[[#This Row],[DC_name_Xref]]</f>
        <v>#N/A</v>
      </c>
      <c r="B1567" s="19" t="str">
        <f>Table1[[#This Row],[Fiscal_Year]]*100+Table1[[#This Row],[Fiscal_Week]] &amp; "-" &amp;Table1[[#This Row],[BRAND]]</f>
        <v>0-</v>
      </c>
      <c r="C1567" s="19" t="str">
        <f>Table1[[#This Row],[Fiscal_Year]]&amp;"-"&amp;Table1[[#This Row],[BRAND]]</f>
        <v>-</v>
      </c>
      <c r="J1567" t="e">
        <f>VLOOKUP(H1567,DC_Xref!A:B,2,FALSE)</f>
        <v>#N/A</v>
      </c>
      <c r="K1567">
        <f t="shared" si="24"/>
        <v>0</v>
      </c>
      <c r="L15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7" s="3">
        <f>IFERROR(INDEX(Table3[#All],MATCH(Table1[[#This Row],[Key_Year_Week_Brand]],Table3[[#All],[Key_Year_Week_Brand]],0),MATCH(Table1[[#This Row],[DC_name_Xref]],Table3[#Headers],0)),0)</f>
        <v>0</v>
      </c>
      <c r="O1567" s="19">
        <f>IFERROR(INDEX(Table35[#All],MATCH(Table1[[#This Row],[Key_Year_Week_Brand]],Table35[[#All],[Key_Year_Month_Brand]],0),MATCH(Table1[[#This Row],[DC_name_Xref]],Table35[#Headers],0)),0)</f>
        <v>0</v>
      </c>
    </row>
    <row r="1568" spans="1:15" x14ac:dyDescent="0.3">
      <c r="A1568" s="19" t="e">
        <f>Table1[[#This Row],[Year_Week]]&amp;"-"&amp;Table1[[#This Row],[DC_name_Xref]]</f>
        <v>#N/A</v>
      </c>
      <c r="B1568" s="19" t="str">
        <f>Table1[[#This Row],[Fiscal_Year]]*100+Table1[[#This Row],[Fiscal_Week]] &amp; "-" &amp;Table1[[#This Row],[BRAND]]</f>
        <v>0-</v>
      </c>
      <c r="C1568" s="19" t="str">
        <f>Table1[[#This Row],[Fiscal_Year]]&amp;"-"&amp;Table1[[#This Row],[BRAND]]</f>
        <v>-</v>
      </c>
      <c r="J1568" t="e">
        <f>VLOOKUP(H1568,DC_Xref!A:B,2,FALSE)</f>
        <v>#N/A</v>
      </c>
      <c r="K1568">
        <f t="shared" si="24"/>
        <v>0</v>
      </c>
      <c r="L15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8" s="3">
        <f>IFERROR(INDEX(Table3[#All],MATCH(Table1[[#This Row],[Key_Year_Week_Brand]],Table3[[#All],[Key_Year_Week_Brand]],0),MATCH(Table1[[#This Row],[DC_name_Xref]],Table3[#Headers],0)),0)</f>
        <v>0</v>
      </c>
      <c r="O1568" s="19">
        <f>IFERROR(INDEX(Table35[#All],MATCH(Table1[[#This Row],[Key_Year_Week_Brand]],Table35[[#All],[Key_Year_Month_Brand]],0),MATCH(Table1[[#This Row],[DC_name_Xref]],Table35[#Headers],0)),0)</f>
        <v>0</v>
      </c>
    </row>
    <row r="1569" spans="1:15" x14ac:dyDescent="0.3">
      <c r="A1569" s="19" t="e">
        <f>Table1[[#This Row],[Year_Week]]&amp;"-"&amp;Table1[[#This Row],[DC_name_Xref]]</f>
        <v>#N/A</v>
      </c>
      <c r="B1569" s="19" t="str">
        <f>Table1[[#This Row],[Fiscal_Year]]*100+Table1[[#This Row],[Fiscal_Week]] &amp; "-" &amp;Table1[[#This Row],[BRAND]]</f>
        <v>0-</v>
      </c>
      <c r="C1569" s="19" t="str">
        <f>Table1[[#This Row],[Fiscal_Year]]&amp;"-"&amp;Table1[[#This Row],[BRAND]]</f>
        <v>-</v>
      </c>
      <c r="J1569" t="e">
        <f>VLOOKUP(H1569,DC_Xref!A:B,2,FALSE)</f>
        <v>#N/A</v>
      </c>
      <c r="K1569">
        <f t="shared" si="24"/>
        <v>0</v>
      </c>
      <c r="L15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69" s="3">
        <f>IFERROR(INDEX(Table3[#All],MATCH(Table1[[#This Row],[Key_Year_Week_Brand]],Table3[[#All],[Key_Year_Week_Brand]],0),MATCH(Table1[[#This Row],[DC_name_Xref]],Table3[#Headers],0)),0)</f>
        <v>0</v>
      </c>
      <c r="O1569" s="19">
        <f>IFERROR(INDEX(Table35[#All],MATCH(Table1[[#This Row],[Key_Year_Week_Brand]],Table35[[#All],[Key_Year_Month_Brand]],0),MATCH(Table1[[#This Row],[DC_name_Xref]],Table35[#Headers],0)),0)</f>
        <v>0</v>
      </c>
    </row>
    <row r="1570" spans="1:15" x14ac:dyDescent="0.3">
      <c r="A1570" s="19" t="e">
        <f>Table1[[#This Row],[Year_Week]]&amp;"-"&amp;Table1[[#This Row],[DC_name_Xref]]</f>
        <v>#N/A</v>
      </c>
      <c r="B1570" s="19" t="str">
        <f>Table1[[#This Row],[Fiscal_Year]]*100+Table1[[#This Row],[Fiscal_Week]] &amp; "-" &amp;Table1[[#This Row],[BRAND]]</f>
        <v>0-</v>
      </c>
      <c r="C1570" s="19" t="str">
        <f>Table1[[#This Row],[Fiscal_Year]]&amp;"-"&amp;Table1[[#This Row],[BRAND]]</f>
        <v>-</v>
      </c>
      <c r="J1570" t="e">
        <f>VLOOKUP(H1570,DC_Xref!A:B,2,FALSE)</f>
        <v>#N/A</v>
      </c>
      <c r="K1570">
        <f t="shared" si="24"/>
        <v>0</v>
      </c>
      <c r="L15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0" s="3">
        <f>IFERROR(INDEX(Table3[#All],MATCH(Table1[[#This Row],[Key_Year_Week_Brand]],Table3[[#All],[Key_Year_Week_Brand]],0),MATCH(Table1[[#This Row],[DC_name_Xref]],Table3[#Headers],0)),0)</f>
        <v>0</v>
      </c>
      <c r="O1570" s="19">
        <f>IFERROR(INDEX(Table35[#All],MATCH(Table1[[#This Row],[Key_Year_Week_Brand]],Table35[[#All],[Key_Year_Month_Brand]],0),MATCH(Table1[[#This Row],[DC_name_Xref]],Table35[#Headers],0)),0)</f>
        <v>0</v>
      </c>
    </row>
    <row r="1571" spans="1:15" x14ac:dyDescent="0.3">
      <c r="A1571" s="19" t="e">
        <f>Table1[[#This Row],[Year_Week]]&amp;"-"&amp;Table1[[#This Row],[DC_name_Xref]]</f>
        <v>#N/A</v>
      </c>
      <c r="B1571" s="19" t="str">
        <f>Table1[[#This Row],[Fiscal_Year]]*100+Table1[[#This Row],[Fiscal_Week]] &amp; "-" &amp;Table1[[#This Row],[BRAND]]</f>
        <v>0-</v>
      </c>
      <c r="C1571" s="19" t="str">
        <f>Table1[[#This Row],[Fiscal_Year]]&amp;"-"&amp;Table1[[#This Row],[BRAND]]</f>
        <v>-</v>
      </c>
      <c r="J1571" t="e">
        <f>VLOOKUP(H1571,DC_Xref!A:B,2,FALSE)</f>
        <v>#N/A</v>
      </c>
      <c r="K1571">
        <f t="shared" si="24"/>
        <v>0</v>
      </c>
      <c r="L15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1" s="3">
        <f>IFERROR(INDEX(Table3[#All],MATCH(Table1[[#This Row],[Key_Year_Week_Brand]],Table3[[#All],[Key_Year_Week_Brand]],0),MATCH(Table1[[#This Row],[DC_name_Xref]],Table3[#Headers],0)),0)</f>
        <v>0</v>
      </c>
      <c r="O1571" s="19">
        <f>IFERROR(INDEX(Table35[#All],MATCH(Table1[[#This Row],[Key_Year_Week_Brand]],Table35[[#All],[Key_Year_Month_Brand]],0),MATCH(Table1[[#This Row],[DC_name_Xref]],Table35[#Headers],0)),0)</f>
        <v>0</v>
      </c>
    </row>
    <row r="1572" spans="1:15" x14ac:dyDescent="0.3">
      <c r="A1572" s="19" t="e">
        <f>Table1[[#This Row],[Year_Week]]&amp;"-"&amp;Table1[[#This Row],[DC_name_Xref]]</f>
        <v>#N/A</v>
      </c>
      <c r="B1572" s="19" t="str">
        <f>Table1[[#This Row],[Fiscal_Year]]*100+Table1[[#This Row],[Fiscal_Week]] &amp; "-" &amp;Table1[[#This Row],[BRAND]]</f>
        <v>0-</v>
      </c>
      <c r="C1572" s="19" t="str">
        <f>Table1[[#This Row],[Fiscal_Year]]&amp;"-"&amp;Table1[[#This Row],[BRAND]]</f>
        <v>-</v>
      </c>
      <c r="J1572" t="e">
        <f>VLOOKUP(H1572,DC_Xref!A:B,2,FALSE)</f>
        <v>#N/A</v>
      </c>
      <c r="K1572">
        <f t="shared" si="24"/>
        <v>0</v>
      </c>
      <c r="L15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2" s="3">
        <f>IFERROR(INDEX(Table3[#All],MATCH(Table1[[#This Row],[Key_Year_Week_Brand]],Table3[[#All],[Key_Year_Week_Brand]],0),MATCH(Table1[[#This Row],[DC_name_Xref]],Table3[#Headers],0)),0)</f>
        <v>0</v>
      </c>
      <c r="O1572" s="19">
        <f>IFERROR(INDEX(Table35[#All],MATCH(Table1[[#This Row],[Key_Year_Week_Brand]],Table35[[#All],[Key_Year_Month_Brand]],0),MATCH(Table1[[#This Row],[DC_name_Xref]],Table35[#Headers],0)),0)</f>
        <v>0</v>
      </c>
    </row>
    <row r="1573" spans="1:15" x14ac:dyDescent="0.3">
      <c r="A1573" s="19" t="e">
        <f>Table1[[#This Row],[Year_Week]]&amp;"-"&amp;Table1[[#This Row],[DC_name_Xref]]</f>
        <v>#N/A</v>
      </c>
      <c r="B1573" s="19" t="str">
        <f>Table1[[#This Row],[Fiscal_Year]]*100+Table1[[#This Row],[Fiscal_Week]] &amp; "-" &amp;Table1[[#This Row],[BRAND]]</f>
        <v>0-</v>
      </c>
      <c r="C1573" s="19" t="str">
        <f>Table1[[#This Row],[Fiscal_Year]]&amp;"-"&amp;Table1[[#This Row],[BRAND]]</f>
        <v>-</v>
      </c>
      <c r="J1573" t="e">
        <f>VLOOKUP(H1573,DC_Xref!A:B,2,FALSE)</f>
        <v>#N/A</v>
      </c>
      <c r="K1573">
        <f t="shared" si="24"/>
        <v>0</v>
      </c>
      <c r="L15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3" s="3">
        <f>IFERROR(INDEX(Table3[#All],MATCH(Table1[[#This Row],[Key_Year_Week_Brand]],Table3[[#All],[Key_Year_Week_Brand]],0),MATCH(Table1[[#This Row],[DC_name_Xref]],Table3[#Headers],0)),0)</f>
        <v>0</v>
      </c>
      <c r="O1573" s="19">
        <f>IFERROR(INDEX(Table35[#All],MATCH(Table1[[#This Row],[Key_Year_Week_Brand]],Table35[[#All],[Key_Year_Month_Brand]],0),MATCH(Table1[[#This Row],[DC_name_Xref]],Table35[#Headers],0)),0)</f>
        <v>0</v>
      </c>
    </row>
    <row r="1574" spans="1:15" x14ac:dyDescent="0.3">
      <c r="A1574" s="19" t="e">
        <f>Table1[[#This Row],[Year_Week]]&amp;"-"&amp;Table1[[#This Row],[DC_name_Xref]]</f>
        <v>#N/A</v>
      </c>
      <c r="B1574" s="19" t="str">
        <f>Table1[[#This Row],[Fiscal_Year]]*100+Table1[[#This Row],[Fiscal_Week]] &amp; "-" &amp;Table1[[#This Row],[BRAND]]</f>
        <v>0-</v>
      </c>
      <c r="C1574" s="19" t="str">
        <f>Table1[[#This Row],[Fiscal_Year]]&amp;"-"&amp;Table1[[#This Row],[BRAND]]</f>
        <v>-</v>
      </c>
      <c r="J1574" t="e">
        <f>VLOOKUP(H1574,DC_Xref!A:B,2,FALSE)</f>
        <v>#N/A</v>
      </c>
      <c r="K1574">
        <f t="shared" si="24"/>
        <v>0</v>
      </c>
      <c r="L15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4" s="3">
        <f>IFERROR(INDEX(Table3[#All],MATCH(Table1[[#This Row],[Key_Year_Week_Brand]],Table3[[#All],[Key_Year_Week_Brand]],0),MATCH(Table1[[#This Row],[DC_name_Xref]],Table3[#Headers],0)),0)</f>
        <v>0</v>
      </c>
      <c r="O1574" s="19">
        <f>IFERROR(INDEX(Table35[#All],MATCH(Table1[[#This Row],[Key_Year_Week_Brand]],Table35[[#All],[Key_Year_Month_Brand]],0),MATCH(Table1[[#This Row],[DC_name_Xref]],Table35[#Headers],0)),0)</f>
        <v>0</v>
      </c>
    </row>
    <row r="1575" spans="1:15" x14ac:dyDescent="0.3">
      <c r="A1575" s="19" t="e">
        <f>Table1[[#This Row],[Year_Week]]&amp;"-"&amp;Table1[[#This Row],[DC_name_Xref]]</f>
        <v>#N/A</v>
      </c>
      <c r="B1575" s="19" t="str">
        <f>Table1[[#This Row],[Fiscal_Year]]*100+Table1[[#This Row],[Fiscal_Week]] &amp; "-" &amp;Table1[[#This Row],[BRAND]]</f>
        <v>0-</v>
      </c>
      <c r="C1575" s="19" t="str">
        <f>Table1[[#This Row],[Fiscal_Year]]&amp;"-"&amp;Table1[[#This Row],[BRAND]]</f>
        <v>-</v>
      </c>
      <c r="J1575" t="e">
        <f>VLOOKUP(H1575,DC_Xref!A:B,2,FALSE)</f>
        <v>#N/A</v>
      </c>
      <c r="K1575">
        <f t="shared" si="24"/>
        <v>0</v>
      </c>
      <c r="L15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5" s="3">
        <f>IFERROR(INDEX(Table3[#All],MATCH(Table1[[#This Row],[Key_Year_Week_Brand]],Table3[[#All],[Key_Year_Week_Brand]],0),MATCH(Table1[[#This Row],[DC_name_Xref]],Table3[#Headers],0)),0)</f>
        <v>0</v>
      </c>
      <c r="O1575" s="19">
        <f>IFERROR(INDEX(Table35[#All],MATCH(Table1[[#This Row],[Key_Year_Week_Brand]],Table35[[#All],[Key_Year_Month_Brand]],0),MATCH(Table1[[#This Row],[DC_name_Xref]],Table35[#Headers],0)),0)</f>
        <v>0</v>
      </c>
    </row>
    <row r="1576" spans="1:15" x14ac:dyDescent="0.3">
      <c r="A1576" s="19" t="e">
        <f>Table1[[#This Row],[Year_Week]]&amp;"-"&amp;Table1[[#This Row],[DC_name_Xref]]</f>
        <v>#N/A</v>
      </c>
      <c r="B1576" s="19" t="str">
        <f>Table1[[#This Row],[Fiscal_Year]]*100+Table1[[#This Row],[Fiscal_Week]] &amp; "-" &amp;Table1[[#This Row],[BRAND]]</f>
        <v>0-</v>
      </c>
      <c r="C1576" s="19" t="str">
        <f>Table1[[#This Row],[Fiscal_Year]]&amp;"-"&amp;Table1[[#This Row],[BRAND]]</f>
        <v>-</v>
      </c>
      <c r="J1576" t="e">
        <f>VLOOKUP(H1576,DC_Xref!A:B,2,FALSE)</f>
        <v>#N/A</v>
      </c>
      <c r="K1576">
        <f t="shared" si="24"/>
        <v>0</v>
      </c>
      <c r="L15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6" s="3">
        <f>IFERROR(INDEX(Table3[#All],MATCH(Table1[[#This Row],[Key_Year_Week_Brand]],Table3[[#All],[Key_Year_Week_Brand]],0),MATCH(Table1[[#This Row],[DC_name_Xref]],Table3[#Headers],0)),0)</f>
        <v>0</v>
      </c>
      <c r="O1576" s="19">
        <f>IFERROR(INDEX(Table35[#All],MATCH(Table1[[#This Row],[Key_Year_Week_Brand]],Table35[[#All],[Key_Year_Month_Brand]],0),MATCH(Table1[[#This Row],[DC_name_Xref]],Table35[#Headers],0)),0)</f>
        <v>0</v>
      </c>
    </row>
    <row r="1577" spans="1:15" x14ac:dyDescent="0.3">
      <c r="A1577" s="19" t="e">
        <f>Table1[[#This Row],[Year_Week]]&amp;"-"&amp;Table1[[#This Row],[DC_name_Xref]]</f>
        <v>#N/A</v>
      </c>
      <c r="B1577" s="19" t="str">
        <f>Table1[[#This Row],[Fiscal_Year]]*100+Table1[[#This Row],[Fiscal_Week]] &amp; "-" &amp;Table1[[#This Row],[BRAND]]</f>
        <v>0-</v>
      </c>
      <c r="C1577" s="19" t="str">
        <f>Table1[[#This Row],[Fiscal_Year]]&amp;"-"&amp;Table1[[#This Row],[BRAND]]</f>
        <v>-</v>
      </c>
      <c r="J1577" t="e">
        <f>VLOOKUP(H1577,DC_Xref!A:B,2,FALSE)</f>
        <v>#N/A</v>
      </c>
      <c r="K1577">
        <f t="shared" si="24"/>
        <v>0</v>
      </c>
      <c r="L15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7" s="3">
        <f>IFERROR(INDEX(Table3[#All],MATCH(Table1[[#This Row],[Key_Year_Week_Brand]],Table3[[#All],[Key_Year_Week_Brand]],0),MATCH(Table1[[#This Row],[DC_name_Xref]],Table3[#Headers],0)),0)</f>
        <v>0</v>
      </c>
      <c r="O1577" s="19">
        <f>IFERROR(INDEX(Table35[#All],MATCH(Table1[[#This Row],[Key_Year_Week_Brand]],Table35[[#All],[Key_Year_Month_Brand]],0),MATCH(Table1[[#This Row],[DC_name_Xref]],Table35[#Headers],0)),0)</f>
        <v>0</v>
      </c>
    </row>
    <row r="1578" spans="1:15" x14ac:dyDescent="0.3">
      <c r="A1578" s="19" t="e">
        <f>Table1[[#This Row],[Year_Week]]&amp;"-"&amp;Table1[[#This Row],[DC_name_Xref]]</f>
        <v>#N/A</v>
      </c>
      <c r="B1578" s="19" t="str">
        <f>Table1[[#This Row],[Fiscal_Year]]*100+Table1[[#This Row],[Fiscal_Week]] &amp; "-" &amp;Table1[[#This Row],[BRAND]]</f>
        <v>0-</v>
      </c>
      <c r="C1578" s="19" t="str">
        <f>Table1[[#This Row],[Fiscal_Year]]&amp;"-"&amp;Table1[[#This Row],[BRAND]]</f>
        <v>-</v>
      </c>
      <c r="J1578" t="e">
        <f>VLOOKUP(H1578,DC_Xref!A:B,2,FALSE)</f>
        <v>#N/A</v>
      </c>
      <c r="K1578">
        <f t="shared" si="24"/>
        <v>0</v>
      </c>
      <c r="L15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8" s="3">
        <f>IFERROR(INDEX(Table3[#All],MATCH(Table1[[#This Row],[Key_Year_Week_Brand]],Table3[[#All],[Key_Year_Week_Brand]],0),MATCH(Table1[[#This Row],[DC_name_Xref]],Table3[#Headers],0)),0)</f>
        <v>0</v>
      </c>
      <c r="O1578" s="19">
        <f>IFERROR(INDEX(Table35[#All],MATCH(Table1[[#This Row],[Key_Year_Week_Brand]],Table35[[#All],[Key_Year_Month_Brand]],0),MATCH(Table1[[#This Row],[DC_name_Xref]],Table35[#Headers],0)),0)</f>
        <v>0</v>
      </c>
    </row>
    <row r="1579" spans="1:15" x14ac:dyDescent="0.3">
      <c r="A1579" s="19" t="e">
        <f>Table1[[#This Row],[Year_Week]]&amp;"-"&amp;Table1[[#This Row],[DC_name_Xref]]</f>
        <v>#N/A</v>
      </c>
      <c r="B1579" s="19" t="str">
        <f>Table1[[#This Row],[Fiscal_Year]]*100+Table1[[#This Row],[Fiscal_Week]] &amp; "-" &amp;Table1[[#This Row],[BRAND]]</f>
        <v>0-</v>
      </c>
      <c r="C1579" s="19" t="str">
        <f>Table1[[#This Row],[Fiscal_Year]]&amp;"-"&amp;Table1[[#This Row],[BRAND]]</f>
        <v>-</v>
      </c>
      <c r="J1579" t="e">
        <f>VLOOKUP(H1579,DC_Xref!A:B,2,FALSE)</f>
        <v>#N/A</v>
      </c>
      <c r="K1579">
        <f t="shared" si="24"/>
        <v>0</v>
      </c>
      <c r="L15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79" s="3">
        <f>IFERROR(INDEX(Table3[#All],MATCH(Table1[[#This Row],[Key_Year_Week_Brand]],Table3[[#All],[Key_Year_Week_Brand]],0),MATCH(Table1[[#This Row],[DC_name_Xref]],Table3[#Headers],0)),0)</f>
        <v>0</v>
      </c>
      <c r="O1579" s="19">
        <f>IFERROR(INDEX(Table35[#All],MATCH(Table1[[#This Row],[Key_Year_Week_Brand]],Table35[[#All],[Key_Year_Month_Brand]],0),MATCH(Table1[[#This Row],[DC_name_Xref]],Table35[#Headers],0)),0)</f>
        <v>0</v>
      </c>
    </row>
    <row r="1580" spans="1:15" x14ac:dyDescent="0.3">
      <c r="A1580" s="19" t="e">
        <f>Table1[[#This Row],[Year_Week]]&amp;"-"&amp;Table1[[#This Row],[DC_name_Xref]]</f>
        <v>#N/A</v>
      </c>
      <c r="B1580" s="19" t="str">
        <f>Table1[[#This Row],[Fiscal_Year]]*100+Table1[[#This Row],[Fiscal_Week]] &amp; "-" &amp;Table1[[#This Row],[BRAND]]</f>
        <v>0-</v>
      </c>
      <c r="C1580" s="19" t="str">
        <f>Table1[[#This Row],[Fiscal_Year]]&amp;"-"&amp;Table1[[#This Row],[BRAND]]</f>
        <v>-</v>
      </c>
      <c r="J1580" t="e">
        <f>VLOOKUP(H1580,DC_Xref!A:B,2,FALSE)</f>
        <v>#N/A</v>
      </c>
      <c r="K1580">
        <f t="shared" si="24"/>
        <v>0</v>
      </c>
      <c r="L15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0" s="3">
        <f>IFERROR(INDEX(Table3[#All],MATCH(Table1[[#This Row],[Key_Year_Week_Brand]],Table3[[#All],[Key_Year_Week_Brand]],0),MATCH(Table1[[#This Row],[DC_name_Xref]],Table3[#Headers],0)),0)</f>
        <v>0</v>
      </c>
      <c r="O1580" s="19">
        <f>IFERROR(INDEX(Table35[#All],MATCH(Table1[[#This Row],[Key_Year_Week_Brand]],Table35[[#All],[Key_Year_Month_Brand]],0),MATCH(Table1[[#This Row],[DC_name_Xref]],Table35[#Headers],0)),0)</f>
        <v>0</v>
      </c>
    </row>
    <row r="1581" spans="1:15" x14ac:dyDescent="0.3">
      <c r="A1581" s="19" t="e">
        <f>Table1[[#This Row],[Year_Week]]&amp;"-"&amp;Table1[[#This Row],[DC_name_Xref]]</f>
        <v>#N/A</v>
      </c>
      <c r="B1581" s="19" t="str">
        <f>Table1[[#This Row],[Fiscal_Year]]*100+Table1[[#This Row],[Fiscal_Week]] &amp; "-" &amp;Table1[[#This Row],[BRAND]]</f>
        <v>0-</v>
      </c>
      <c r="C1581" s="19" t="str">
        <f>Table1[[#This Row],[Fiscal_Year]]&amp;"-"&amp;Table1[[#This Row],[BRAND]]</f>
        <v>-</v>
      </c>
      <c r="J1581" t="e">
        <f>VLOOKUP(H1581,DC_Xref!A:B,2,FALSE)</f>
        <v>#N/A</v>
      </c>
      <c r="K1581">
        <f t="shared" si="24"/>
        <v>0</v>
      </c>
      <c r="L15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1" s="3">
        <f>IFERROR(INDEX(Table3[#All],MATCH(Table1[[#This Row],[Key_Year_Week_Brand]],Table3[[#All],[Key_Year_Week_Brand]],0),MATCH(Table1[[#This Row],[DC_name_Xref]],Table3[#Headers],0)),0)</f>
        <v>0</v>
      </c>
      <c r="O1581" s="19">
        <f>IFERROR(INDEX(Table35[#All],MATCH(Table1[[#This Row],[Key_Year_Week_Brand]],Table35[[#All],[Key_Year_Month_Brand]],0),MATCH(Table1[[#This Row],[DC_name_Xref]],Table35[#Headers],0)),0)</f>
        <v>0</v>
      </c>
    </row>
    <row r="1582" spans="1:15" x14ac:dyDescent="0.3">
      <c r="A1582" s="19" t="e">
        <f>Table1[[#This Row],[Year_Week]]&amp;"-"&amp;Table1[[#This Row],[DC_name_Xref]]</f>
        <v>#N/A</v>
      </c>
      <c r="B1582" s="19" t="str">
        <f>Table1[[#This Row],[Fiscal_Year]]*100+Table1[[#This Row],[Fiscal_Week]] &amp; "-" &amp;Table1[[#This Row],[BRAND]]</f>
        <v>0-</v>
      </c>
      <c r="C1582" s="19" t="str">
        <f>Table1[[#This Row],[Fiscal_Year]]&amp;"-"&amp;Table1[[#This Row],[BRAND]]</f>
        <v>-</v>
      </c>
      <c r="J1582" t="e">
        <f>VLOOKUP(H1582,DC_Xref!A:B,2,FALSE)</f>
        <v>#N/A</v>
      </c>
      <c r="K1582">
        <f t="shared" si="24"/>
        <v>0</v>
      </c>
      <c r="L15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2" s="3">
        <f>IFERROR(INDEX(Table3[#All],MATCH(Table1[[#This Row],[Key_Year_Week_Brand]],Table3[[#All],[Key_Year_Week_Brand]],0),MATCH(Table1[[#This Row],[DC_name_Xref]],Table3[#Headers],0)),0)</f>
        <v>0</v>
      </c>
      <c r="O1582" s="19">
        <f>IFERROR(INDEX(Table35[#All],MATCH(Table1[[#This Row],[Key_Year_Week_Brand]],Table35[[#All],[Key_Year_Month_Brand]],0),MATCH(Table1[[#This Row],[DC_name_Xref]],Table35[#Headers],0)),0)</f>
        <v>0</v>
      </c>
    </row>
    <row r="1583" spans="1:15" x14ac:dyDescent="0.3">
      <c r="A1583" s="19" t="e">
        <f>Table1[[#This Row],[Year_Week]]&amp;"-"&amp;Table1[[#This Row],[DC_name_Xref]]</f>
        <v>#N/A</v>
      </c>
      <c r="B1583" s="19" t="str">
        <f>Table1[[#This Row],[Fiscal_Year]]*100+Table1[[#This Row],[Fiscal_Week]] &amp; "-" &amp;Table1[[#This Row],[BRAND]]</f>
        <v>0-</v>
      </c>
      <c r="C1583" s="19" t="str">
        <f>Table1[[#This Row],[Fiscal_Year]]&amp;"-"&amp;Table1[[#This Row],[BRAND]]</f>
        <v>-</v>
      </c>
      <c r="J1583" t="e">
        <f>VLOOKUP(H1583,DC_Xref!A:B,2,FALSE)</f>
        <v>#N/A</v>
      </c>
      <c r="K1583">
        <f t="shared" si="24"/>
        <v>0</v>
      </c>
      <c r="L15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3" s="3">
        <f>IFERROR(INDEX(Table3[#All],MATCH(Table1[[#This Row],[Key_Year_Week_Brand]],Table3[[#All],[Key_Year_Week_Brand]],0),MATCH(Table1[[#This Row],[DC_name_Xref]],Table3[#Headers],0)),0)</f>
        <v>0</v>
      </c>
      <c r="O1583" s="19">
        <f>IFERROR(INDEX(Table35[#All],MATCH(Table1[[#This Row],[Key_Year_Week_Brand]],Table35[[#All],[Key_Year_Month_Brand]],0),MATCH(Table1[[#This Row],[DC_name_Xref]],Table35[#Headers],0)),0)</f>
        <v>0</v>
      </c>
    </row>
    <row r="1584" spans="1:15" x14ac:dyDescent="0.3">
      <c r="A1584" s="19" t="e">
        <f>Table1[[#This Row],[Year_Week]]&amp;"-"&amp;Table1[[#This Row],[DC_name_Xref]]</f>
        <v>#N/A</v>
      </c>
      <c r="B1584" s="19" t="str">
        <f>Table1[[#This Row],[Fiscal_Year]]*100+Table1[[#This Row],[Fiscal_Week]] &amp; "-" &amp;Table1[[#This Row],[BRAND]]</f>
        <v>0-</v>
      </c>
      <c r="C1584" s="19" t="str">
        <f>Table1[[#This Row],[Fiscal_Year]]&amp;"-"&amp;Table1[[#This Row],[BRAND]]</f>
        <v>-</v>
      </c>
      <c r="J1584" t="e">
        <f>VLOOKUP(H1584,DC_Xref!A:B,2,FALSE)</f>
        <v>#N/A</v>
      </c>
      <c r="K1584">
        <f t="shared" si="24"/>
        <v>0</v>
      </c>
      <c r="L15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4" s="3">
        <f>IFERROR(INDEX(Table3[#All],MATCH(Table1[[#This Row],[Key_Year_Week_Brand]],Table3[[#All],[Key_Year_Week_Brand]],0),MATCH(Table1[[#This Row],[DC_name_Xref]],Table3[#Headers],0)),0)</f>
        <v>0</v>
      </c>
      <c r="O1584" s="19">
        <f>IFERROR(INDEX(Table35[#All],MATCH(Table1[[#This Row],[Key_Year_Week_Brand]],Table35[[#All],[Key_Year_Month_Brand]],0),MATCH(Table1[[#This Row],[DC_name_Xref]],Table35[#Headers],0)),0)</f>
        <v>0</v>
      </c>
    </row>
    <row r="1585" spans="1:15" x14ac:dyDescent="0.3">
      <c r="A1585" s="19" t="e">
        <f>Table1[[#This Row],[Year_Week]]&amp;"-"&amp;Table1[[#This Row],[DC_name_Xref]]</f>
        <v>#N/A</v>
      </c>
      <c r="B1585" s="19" t="str">
        <f>Table1[[#This Row],[Fiscal_Year]]*100+Table1[[#This Row],[Fiscal_Week]] &amp; "-" &amp;Table1[[#This Row],[BRAND]]</f>
        <v>0-</v>
      </c>
      <c r="C1585" s="19" t="str">
        <f>Table1[[#This Row],[Fiscal_Year]]&amp;"-"&amp;Table1[[#This Row],[BRAND]]</f>
        <v>-</v>
      </c>
      <c r="J1585" t="e">
        <f>VLOOKUP(H1585,DC_Xref!A:B,2,FALSE)</f>
        <v>#N/A</v>
      </c>
      <c r="K1585">
        <f t="shared" si="24"/>
        <v>0</v>
      </c>
      <c r="L15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5" s="3">
        <f>IFERROR(INDEX(Table3[#All],MATCH(Table1[[#This Row],[Key_Year_Week_Brand]],Table3[[#All],[Key_Year_Week_Brand]],0),MATCH(Table1[[#This Row],[DC_name_Xref]],Table3[#Headers],0)),0)</f>
        <v>0</v>
      </c>
      <c r="O1585" s="19">
        <f>IFERROR(INDEX(Table35[#All],MATCH(Table1[[#This Row],[Key_Year_Week_Brand]],Table35[[#All],[Key_Year_Month_Brand]],0),MATCH(Table1[[#This Row],[DC_name_Xref]],Table35[#Headers],0)),0)</f>
        <v>0</v>
      </c>
    </row>
    <row r="1586" spans="1:15" x14ac:dyDescent="0.3">
      <c r="A1586" s="19" t="e">
        <f>Table1[[#This Row],[Year_Week]]&amp;"-"&amp;Table1[[#This Row],[DC_name_Xref]]</f>
        <v>#N/A</v>
      </c>
      <c r="B1586" s="19" t="str">
        <f>Table1[[#This Row],[Fiscal_Year]]*100+Table1[[#This Row],[Fiscal_Week]] &amp; "-" &amp;Table1[[#This Row],[BRAND]]</f>
        <v>0-</v>
      </c>
      <c r="C1586" s="19" t="str">
        <f>Table1[[#This Row],[Fiscal_Year]]&amp;"-"&amp;Table1[[#This Row],[BRAND]]</f>
        <v>-</v>
      </c>
      <c r="J1586" t="e">
        <f>VLOOKUP(H1586,DC_Xref!A:B,2,FALSE)</f>
        <v>#N/A</v>
      </c>
      <c r="K1586">
        <f t="shared" si="24"/>
        <v>0</v>
      </c>
      <c r="L15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6" s="3">
        <f>IFERROR(INDEX(Table3[#All],MATCH(Table1[[#This Row],[Key_Year_Week_Brand]],Table3[[#All],[Key_Year_Week_Brand]],0),MATCH(Table1[[#This Row],[DC_name_Xref]],Table3[#Headers],0)),0)</f>
        <v>0</v>
      </c>
      <c r="O1586" s="19">
        <f>IFERROR(INDEX(Table35[#All],MATCH(Table1[[#This Row],[Key_Year_Week_Brand]],Table35[[#All],[Key_Year_Month_Brand]],0),MATCH(Table1[[#This Row],[DC_name_Xref]],Table35[#Headers],0)),0)</f>
        <v>0</v>
      </c>
    </row>
    <row r="1587" spans="1:15" x14ac:dyDescent="0.3">
      <c r="A1587" s="19" t="e">
        <f>Table1[[#This Row],[Year_Week]]&amp;"-"&amp;Table1[[#This Row],[DC_name_Xref]]</f>
        <v>#N/A</v>
      </c>
      <c r="B1587" s="19" t="str">
        <f>Table1[[#This Row],[Fiscal_Year]]*100+Table1[[#This Row],[Fiscal_Week]] &amp; "-" &amp;Table1[[#This Row],[BRAND]]</f>
        <v>0-</v>
      </c>
      <c r="C1587" s="19" t="str">
        <f>Table1[[#This Row],[Fiscal_Year]]&amp;"-"&amp;Table1[[#This Row],[BRAND]]</f>
        <v>-</v>
      </c>
      <c r="J1587" t="e">
        <f>VLOOKUP(H1587,DC_Xref!A:B,2,FALSE)</f>
        <v>#N/A</v>
      </c>
      <c r="K1587">
        <f t="shared" si="24"/>
        <v>0</v>
      </c>
      <c r="L15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7" s="3">
        <f>IFERROR(INDEX(Table3[#All],MATCH(Table1[[#This Row],[Key_Year_Week_Brand]],Table3[[#All],[Key_Year_Week_Brand]],0),MATCH(Table1[[#This Row],[DC_name_Xref]],Table3[#Headers],0)),0)</f>
        <v>0</v>
      </c>
      <c r="O1587" s="19">
        <f>IFERROR(INDEX(Table35[#All],MATCH(Table1[[#This Row],[Key_Year_Week_Brand]],Table35[[#All],[Key_Year_Month_Brand]],0),MATCH(Table1[[#This Row],[DC_name_Xref]],Table35[#Headers],0)),0)</f>
        <v>0</v>
      </c>
    </row>
    <row r="1588" spans="1:15" x14ac:dyDescent="0.3">
      <c r="A1588" s="19" t="e">
        <f>Table1[[#This Row],[Year_Week]]&amp;"-"&amp;Table1[[#This Row],[DC_name_Xref]]</f>
        <v>#N/A</v>
      </c>
      <c r="B1588" s="19" t="str">
        <f>Table1[[#This Row],[Fiscal_Year]]*100+Table1[[#This Row],[Fiscal_Week]] &amp; "-" &amp;Table1[[#This Row],[BRAND]]</f>
        <v>0-</v>
      </c>
      <c r="C1588" s="19" t="str">
        <f>Table1[[#This Row],[Fiscal_Year]]&amp;"-"&amp;Table1[[#This Row],[BRAND]]</f>
        <v>-</v>
      </c>
      <c r="J1588" t="e">
        <f>VLOOKUP(H1588,DC_Xref!A:B,2,FALSE)</f>
        <v>#N/A</v>
      </c>
      <c r="K1588">
        <f t="shared" si="24"/>
        <v>0</v>
      </c>
      <c r="L15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8" s="3">
        <f>IFERROR(INDEX(Table3[#All],MATCH(Table1[[#This Row],[Key_Year_Week_Brand]],Table3[[#All],[Key_Year_Week_Brand]],0),MATCH(Table1[[#This Row],[DC_name_Xref]],Table3[#Headers],0)),0)</f>
        <v>0</v>
      </c>
      <c r="O1588" s="19">
        <f>IFERROR(INDEX(Table35[#All],MATCH(Table1[[#This Row],[Key_Year_Week_Brand]],Table35[[#All],[Key_Year_Month_Brand]],0),MATCH(Table1[[#This Row],[DC_name_Xref]],Table35[#Headers],0)),0)</f>
        <v>0</v>
      </c>
    </row>
    <row r="1589" spans="1:15" x14ac:dyDescent="0.3">
      <c r="A1589" s="19" t="e">
        <f>Table1[[#This Row],[Year_Week]]&amp;"-"&amp;Table1[[#This Row],[DC_name_Xref]]</f>
        <v>#N/A</v>
      </c>
      <c r="B1589" s="19" t="str">
        <f>Table1[[#This Row],[Fiscal_Year]]*100+Table1[[#This Row],[Fiscal_Week]] &amp; "-" &amp;Table1[[#This Row],[BRAND]]</f>
        <v>0-</v>
      </c>
      <c r="C1589" s="19" t="str">
        <f>Table1[[#This Row],[Fiscal_Year]]&amp;"-"&amp;Table1[[#This Row],[BRAND]]</f>
        <v>-</v>
      </c>
      <c r="J1589" t="e">
        <f>VLOOKUP(H1589,DC_Xref!A:B,2,FALSE)</f>
        <v>#N/A</v>
      </c>
      <c r="K1589">
        <f t="shared" si="24"/>
        <v>0</v>
      </c>
      <c r="L15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89" s="3">
        <f>IFERROR(INDEX(Table3[#All],MATCH(Table1[[#This Row],[Key_Year_Week_Brand]],Table3[[#All],[Key_Year_Week_Brand]],0),MATCH(Table1[[#This Row],[DC_name_Xref]],Table3[#Headers],0)),0)</f>
        <v>0</v>
      </c>
      <c r="O1589" s="19">
        <f>IFERROR(INDEX(Table35[#All],MATCH(Table1[[#This Row],[Key_Year_Week_Brand]],Table35[[#All],[Key_Year_Month_Brand]],0),MATCH(Table1[[#This Row],[DC_name_Xref]],Table35[#Headers],0)),0)</f>
        <v>0</v>
      </c>
    </row>
    <row r="1590" spans="1:15" x14ac:dyDescent="0.3">
      <c r="A1590" s="19" t="e">
        <f>Table1[[#This Row],[Year_Week]]&amp;"-"&amp;Table1[[#This Row],[DC_name_Xref]]</f>
        <v>#N/A</v>
      </c>
      <c r="B1590" s="19" t="str">
        <f>Table1[[#This Row],[Fiscal_Year]]*100+Table1[[#This Row],[Fiscal_Week]] &amp; "-" &amp;Table1[[#This Row],[BRAND]]</f>
        <v>0-</v>
      </c>
      <c r="C1590" s="19" t="str">
        <f>Table1[[#This Row],[Fiscal_Year]]&amp;"-"&amp;Table1[[#This Row],[BRAND]]</f>
        <v>-</v>
      </c>
      <c r="J1590" t="e">
        <f>VLOOKUP(H1590,DC_Xref!A:B,2,FALSE)</f>
        <v>#N/A</v>
      </c>
      <c r="K1590">
        <f t="shared" si="24"/>
        <v>0</v>
      </c>
      <c r="L15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0" s="3">
        <f>IFERROR(INDEX(Table3[#All],MATCH(Table1[[#This Row],[Key_Year_Week_Brand]],Table3[[#All],[Key_Year_Week_Brand]],0),MATCH(Table1[[#This Row],[DC_name_Xref]],Table3[#Headers],0)),0)</f>
        <v>0</v>
      </c>
      <c r="O1590" s="19">
        <f>IFERROR(INDEX(Table35[#All],MATCH(Table1[[#This Row],[Key_Year_Week_Brand]],Table35[[#All],[Key_Year_Month_Brand]],0),MATCH(Table1[[#This Row],[DC_name_Xref]],Table35[#Headers],0)),0)</f>
        <v>0</v>
      </c>
    </row>
    <row r="1591" spans="1:15" x14ac:dyDescent="0.3">
      <c r="A1591" s="19" t="e">
        <f>Table1[[#This Row],[Year_Week]]&amp;"-"&amp;Table1[[#This Row],[DC_name_Xref]]</f>
        <v>#N/A</v>
      </c>
      <c r="B1591" s="19" t="str">
        <f>Table1[[#This Row],[Fiscal_Year]]*100+Table1[[#This Row],[Fiscal_Week]] &amp; "-" &amp;Table1[[#This Row],[BRAND]]</f>
        <v>0-</v>
      </c>
      <c r="C1591" s="19" t="str">
        <f>Table1[[#This Row],[Fiscal_Year]]&amp;"-"&amp;Table1[[#This Row],[BRAND]]</f>
        <v>-</v>
      </c>
      <c r="J1591" t="e">
        <f>VLOOKUP(H1591,DC_Xref!A:B,2,FALSE)</f>
        <v>#N/A</v>
      </c>
      <c r="K1591">
        <f t="shared" si="24"/>
        <v>0</v>
      </c>
      <c r="L15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1" s="3">
        <f>IFERROR(INDEX(Table3[#All],MATCH(Table1[[#This Row],[Key_Year_Week_Brand]],Table3[[#All],[Key_Year_Week_Brand]],0),MATCH(Table1[[#This Row],[DC_name_Xref]],Table3[#Headers],0)),0)</f>
        <v>0</v>
      </c>
      <c r="O1591" s="19">
        <f>IFERROR(INDEX(Table35[#All],MATCH(Table1[[#This Row],[Key_Year_Week_Brand]],Table35[[#All],[Key_Year_Month_Brand]],0),MATCH(Table1[[#This Row],[DC_name_Xref]],Table35[#Headers],0)),0)</f>
        <v>0</v>
      </c>
    </row>
    <row r="1592" spans="1:15" x14ac:dyDescent="0.3">
      <c r="A1592" s="19" t="e">
        <f>Table1[[#This Row],[Year_Week]]&amp;"-"&amp;Table1[[#This Row],[DC_name_Xref]]</f>
        <v>#N/A</v>
      </c>
      <c r="B1592" s="19" t="str">
        <f>Table1[[#This Row],[Fiscal_Year]]*100+Table1[[#This Row],[Fiscal_Week]] &amp; "-" &amp;Table1[[#This Row],[BRAND]]</f>
        <v>0-</v>
      </c>
      <c r="C1592" s="19" t="str">
        <f>Table1[[#This Row],[Fiscal_Year]]&amp;"-"&amp;Table1[[#This Row],[BRAND]]</f>
        <v>-</v>
      </c>
      <c r="J1592" t="e">
        <f>VLOOKUP(H1592,DC_Xref!A:B,2,FALSE)</f>
        <v>#N/A</v>
      </c>
      <c r="K1592">
        <f t="shared" si="24"/>
        <v>0</v>
      </c>
      <c r="L15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2" s="3">
        <f>IFERROR(INDEX(Table3[#All],MATCH(Table1[[#This Row],[Key_Year_Week_Brand]],Table3[[#All],[Key_Year_Week_Brand]],0),MATCH(Table1[[#This Row],[DC_name_Xref]],Table3[#Headers],0)),0)</f>
        <v>0</v>
      </c>
      <c r="O1592" s="19">
        <f>IFERROR(INDEX(Table35[#All],MATCH(Table1[[#This Row],[Key_Year_Week_Brand]],Table35[[#All],[Key_Year_Month_Brand]],0),MATCH(Table1[[#This Row],[DC_name_Xref]],Table35[#Headers],0)),0)</f>
        <v>0</v>
      </c>
    </row>
    <row r="1593" spans="1:15" x14ac:dyDescent="0.3">
      <c r="A1593" s="19" t="e">
        <f>Table1[[#This Row],[Year_Week]]&amp;"-"&amp;Table1[[#This Row],[DC_name_Xref]]</f>
        <v>#N/A</v>
      </c>
      <c r="B1593" s="19" t="str">
        <f>Table1[[#This Row],[Fiscal_Year]]*100+Table1[[#This Row],[Fiscal_Week]] &amp; "-" &amp;Table1[[#This Row],[BRAND]]</f>
        <v>0-</v>
      </c>
      <c r="C1593" s="19" t="str">
        <f>Table1[[#This Row],[Fiscal_Year]]&amp;"-"&amp;Table1[[#This Row],[BRAND]]</f>
        <v>-</v>
      </c>
      <c r="J1593" t="e">
        <f>VLOOKUP(H1593,DC_Xref!A:B,2,FALSE)</f>
        <v>#N/A</v>
      </c>
      <c r="K1593">
        <f t="shared" si="24"/>
        <v>0</v>
      </c>
      <c r="L15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3" s="3">
        <f>IFERROR(INDEX(Table3[#All],MATCH(Table1[[#This Row],[Key_Year_Week_Brand]],Table3[[#All],[Key_Year_Week_Brand]],0),MATCH(Table1[[#This Row],[DC_name_Xref]],Table3[#Headers],0)),0)</f>
        <v>0</v>
      </c>
      <c r="O1593" s="19">
        <f>IFERROR(INDEX(Table35[#All],MATCH(Table1[[#This Row],[Key_Year_Week_Brand]],Table35[[#All],[Key_Year_Month_Brand]],0),MATCH(Table1[[#This Row],[DC_name_Xref]],Table35[#Headers],0)),0)</f>
        <v>0</v>
      </c>
    </row>
    <row r="1594" spans="1:15" x14ac:dyDescent="0.3">
      <c r="A1594" s="19" t="e">
        <f>Table1[[#This Row],[Year_Week]]&amp;"-"&amp;Table1[[#This Row],[DC_name_Xref]]</f>
        <v>#N/A</v>
      </c>
      <c r="B1594" s="19" t="str">
        <f>Table1[[#This Row],[Fiscal_Year]]*100+Table1[[#This Row],[Fiscal_Week]] &amp; "-" &amp;Table1[[#This Row],[BRAND]]</f>
        <v>0-</v>
      </c>
      <c r="C1594" s="19" t="str">
        <f>Table1[[#This Row],[Fiscal_Year]]&amp;"-"&amp;Table1[[#This Row],[BRAND]]</f>
        <v>-</v>
      </c>
      <c r="J1594" t="e">
        <f>VLOOKUP(H1594,DC_Xref!A:B,2,FALSE)</f>
        <v>#N/A</v>
      </c>
      <c r="K1594">
        <f t="shared" si="24"/>
        <v>0</v>
      </c>
      <c r="L15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4" s="3">
        <f>IFERROR(INDEX(Table3[#All],MATCH(Table1[[#This Row],[Key_Year_Week_Brand]],Table3[[#All],[Key_Year_Week_Brand]],0),MATCH(Table1[[#This Row],[DC_name_Xref]],Table3[#Headers],0)),0)</f>
        <v>0</v>
      </c>
      <c r="O1594" s="19">
        <f>IFERROR(INDEX(Table35[#All],MATCH(Table1[[#This Row],[Key_Year_Week_Brand]],Table35[[#All],[Key_Year_Month_Brand]],0),MATCH(Table1[[#This Row],[DC_name_Xref]],Table35[#Headers],0)),0)</f>
        <v>0</v>
      </c>
    </row>
    <row r="1595" spans="1:15" x14ac:dyDescent="0.3">
      <c r="A1595" s="19" t="e">
        <f>Table1[[#This Row],[Year_Week]]&amp;"-"&amp;Table1[[#This Row],[DC_name_Xref]]</f>
        <v>#N/A</v>
      </c>
      <c r="B1595" s="19" t="str">
        <f>Table1[[#This Row],[Fiscal_Year]]*100+Table1[[#This Row],[Fiscal_Week]] &amp; "-" &amp;Table1[[#This Row],[BRAND]]</f>
        <v>0-</v>
      </c>
      <c r="C1595" s="19" t="str">
        <f>Table1[[#This Row],[Fiscal_Year]]&amp;"-"&amp;Table1[[#This Row],[BRAND]]</f>
        <v>-</v>
      </c>
      <c r="J1595" t="e">
        <f>VLOOKUP(H1595,DC_Xref!A:B,2,FALSE)</f>
        <v>#N/A</v>
      </c>
      <c r="K1595">
        <f t="shared" si="24"/>
        <v>0</v>
      </c>
      <c r="L15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5" s="3">
        <f>IFERROR(INDEX(Table3[#All],MATCH(Table1[[#This Row],[Key_Year_Week_Brand]],Table3[[#All],[Key_Year_Week_Brand]],0),MATCH(Table1[[#This Row],[DC_name_Xref]],Table3[#Headers],0)),0)</f>
        <v>0</v>
      </c>
      <c r="O1595" s="19">
        <f>IFERROR(INDEX(Table35[#All],MATCH(Table1[[#This Row],[Key_Year_Week_Brand]],Table35[[#All],[Key_Year_Month_Brand]],0),MATCH(Table1[[#This Row],[DC_name_Xref]],Table35[#Headers],0)),0)</f>
        <v>0</v>
      </c>
    </row>
    <row r="1596" spans="1:15" x14ac:dyDescent="0.3">
      <c r="A1596" s="19" t="e">
        <f>Table1[[#This Row],[Year_Week]]&amp;"-"&amp;Table1[[#This Row],[DC_name_Xref]]</f>
        <v>#N/A</v>
      </c>
      <c r="B1596" s="19" t="str">
        <f>Table1[[#This Row],[Fiscal_Year]]*100+Table1[[#This Row],[Fiscal_Week]] &amp; "-" &amp;Table1[[#This Row],[BRAND]]</f>
        <v>0-</v>
      </c>
      <c r="C1596" s="19" t="str">
        <f>Table1[[#This Row],[Fiscal_Year]]&amp;"-"&amp;Table1[[#This Row],[BRAND]]</f>
        <v>-</v>
      </c>
      <c r="J1596" t="e">
        <f>VLOOKUP(H1596,DC_Xref!A:B,2,FALSE)</f>
        <v>#N/A</v>
      </c>
      <c r="K1596">
        <f t="shared" si="24"/>
        <v>0</v>
      </c>
      <c r="L15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6" s="3">
        <f>IFERROR(INDEX(Table3[#All],MATCH(Table1[[#This Row],[Key_Year_Week_Brand]],Table3[[#All],[Key_Year_Week_Brand]],0),MATCH(Table1[[#This Row],[DC_name_Xref]],Table3[#Headers],0)),0)</f>
        <v>0</v>
      </c>
      <c r="O1596" s="19">
        <f>IFERROR(INDEX(Table35[#All],MATCH(Table1[[#This Row],[Key_Year_Week_Brand]],Table35[[#All],[Key_Year_Month_Brand]],0),MATCH(Table1[[#This Row],[DC_name_Xref]],Table35[#Headers],0)),0)</f>
        <v>0</v>
      </c>
    </row>
    <row r="1597" spans="1:15" x14ac:dyDescent="0.3">
      <c r="A1597" s="19" t="e">
        <f>Table1[[#This Row],[Year_Week]]&amp;"-"&amp;Table1[[#This Row],[DC_name_Xref]]</f>
        <v>#N/A</v>
      </c>
      <c r="B1597" s="19" t="str">
        <f>Table1[[#This Row],[Fiscal_Year]]*100+Table1[[#This Row],[Fiscal_Week]] &amp; "-" &amp;Table1[[#This Row],[BRAND]]</f>
        <v>0-</v>
      </c>
      <c r="C1597" s="19" t="str">
        <f>Table1[[#This Row],[Fiscal_Year]]&amp;"-"&amp;Table1[[#This Row],[BRAND]]</f>
        <v>-</v>
      </c>
      <c r="J1597" t="e">
        <f>VLOOKUP(H1597,DC_Xref!A:B,2,FALSE)</f>
        <v>#N/A</v>
      </c>
      <c r="K1597">
        <f t="shared" si="24"/>
        <v>0</v>
      </c>
      <c r="L15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7" s="3">
        <f>IFERROR(INDEX(Table3[#All],MATCH(Table1[[#This Row],[Key_Year_Week_Brand]],Table3[[#All],[Key_Year_Week_Brand]],0),MATCH(Table1[[#This Row],[DC_name_Xref]],Table3[#Headers],0)),0)</f>
        <v>0</v>
      </c>
      <c r="O1597" s="19">
        <f>IFERROR(INDEX(Table35[#All],MATCH(Table1[[#This Row],[Key_Year_Week_Brand]],Table35[[#All],[Key_Year_Month_Brand]],0),MATCH(Table1[[#This Row],[DC_name_Xref]],Table35[#Headers],0)),0)</f>
        <v>0</v>
      </c>
    </row>
    <row r="1598" spans="1:15" x14ac:dyDescent="0.3">
      <c r="A1598" s="19" t="e">
        <f>Table1[[#This Row],[Year_Week]]&amp;"-"&amp;Table1[[#This Row],[DC_name_Xref]]</f>
        <v>#N/A</v>
      </c>
      <c r="B1598" s="19" t="str">
        <f>Table1[[#This Row],[Fiscal_Year]]*100+Table1[[#This Row],[Fiscal_Week]] &amp; "-" &amp;Table1[[#This Row],[BRAND]]</f>
        <v>0-</v>
      </c>
      <c r="C1598" s="19" t="str">
        <f>Table1[[#This Row],[Fiscal_Year]]&amp;"-"&amp;Table1[[#This Row],[BRAND]]</f>
        <v>-</v>
      </c>
      <c r="J1598" t="e">
        <f>VLOOKUP(H1598,DC_Xref!A:B,2,FALSE)</f>
        <v>#N/A</v>
      </c>
      <c r="K1598">
        <f t="shared" si="24"/>
        <v>0</v>
      </c>
      <c r="L15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8" s="3">
        <f>IFERROR(INDEX(Table3[#All],MATCH(Table1[[#This Row],[Key_Year_Week_Brand]],Table3[[#All],[Key_Year_Week_Brand]],0),MATCH(Table1[[#This Row],[DC_name_Xref]],Table3[#Headers],0)),0)</f>
        <v>0</v>
      </c>
      <c r="O1598" s="19">
        <f>IFERROR(INDEX(Table35[#All],MATCH(Table1[[#This Row],[Key_Year_Week_Brand]],Table35[[#All],[Key_Year_Month_Brand]],0),MATCH(Table1[[#This Row],[DC_name_Xref]],Table35[#Headers],0)),0)</f>
        <v>0</v>
      </c>
    </row>
    <row r="1599" spans="1:15" x14ac:dyDescent="0.3">
      <c r="A1599" s="19" t="e">
        <f>Table1[[#This Row],[Year_Week]]&amp;"-"&amp;Table1[[#This Row],[DC_name_Xref]]</f>
        <v>#N/A</v>
      </c>
      <c r="B1599" s="19" t="str">
        <f>Table1[[#This Row],[Fiscal_Year]]*100+Table1[[#This Row],[Fiscal_Week]] &amp; "-" &amp;Table1[[#This Row],[BRAND]]</f>
        <v>0-</v>
      </c>
      <c r="C1599" s="19" t="str">
        <f>Table1[[#This Row],[Fiscal_Year]]&amp;"-"&amp;Table1[[#This Row],[BRAND]]</f>
        <v>-</v>
      </c>
      <c r="J1599" t="e">
        <f>VLOOKUP(H1599,DC_Xref!A:B,2,FALSE)</f>
        <v>#N/A</v>
      </c>
      <c r="K1599">
        <f t="shared" si="24"/>
        <v>0</v>
      </c>
      <c r="L15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5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599" s="3">
        <f>IFERROR(INDEX(Table3[#All],MATCH(Table1[[#This Row],[Key_Year_Week_Brand]],Table3[[#All],[Key_Year_Week_Brand]],0),MATCH(Table1[[#This Row],[DC_name_Xref]],Table3[#Headers],0)),0)</f>
        <v>0</v>
      </c>
      <c r="O1599" s="19">
        <f>IFERROR(INDEX(Table35[#All],MATCH(Table1[[#This Row],[Key_Year_Week_Brand]],Table35[[#All],[Key_Year_Month_Brand]],0),MATCH(Table1[[#This Row],[DC_name_Xref]],Table35[#Headers],0)),0)</f>
        <v>0</v>
      </c>
    </row>
    <row r="1600" spans="1:15" x14ac:dyDescent="0.3">
      <c r="A1600" s="19" t="e">
        <f>Table1[[#This Row],[Year_Week]]&amp;"-"&amp;Table1[[#This Row],[DC_name_Xref]]</f>
        <v>#N/A</v>
      </c>
      <c r="B1600" s="19" t="str">
        <f>Table1[[#This Row],[Fiscal_Year]]*100+Table1[[#This Row],[Fiscal_Week]] &amp; "-" &amp;Table1[[#This Row],[BRAND]]</f>
        <v>0-</v>
      </c>
      <c r="C1600" s="19" t="str">
        <f>Table1[[#This Row],[Fiscal_Year]]&amp;"-"&amp;Table1[[#This Row],[BRAND]]</f>
        <v>-</v>
      </c>
      <c r="J1600" t="e">
        <f>VLOOKUP(H1600,DC_Xref!A:B,2,FALSE)</f>
        <v>#N/A</v>
      </c>
      <c r="K1600">
        <f t="shared" si="24"/>
        <v>0</v>
      </c>
      <c r="L16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0" s="3">
        <f>IFERROR(INDEX(Table3[#All],MATCH(Table1[[#This Row],[Key_Year_Week_Brand]],Table3[[#All],[Key_Year_Week_Brand]],0),MATCH(Table1[[#This Row],[DC_name_Xref]],Table3[#Headers],0)),0)</f>
        <v>0</v>
      </c>
      <c r="O1600" s="19">
        <f>IFERROR(INDEX(Table35[#All],MATCH(Table1[[#This Row],[Key_Year_Week_Brand]],Table35[[#All],[Key_Year_Month_Brand]],0),MATCH(Table1[[#This Row],[DC_name_Xref]],Table35[#Headers],0)),0)</f>
        <v>0</v>
      </c>
    </row>
    <row r="1601" spans="1:15" x14ac:dyDescent="0.3">
      <c r="A1601" s="19" t="e">
        <f>Table1[[#This Row],[Year_Week]]&amp;"-"&amp;Table1[[#This Row],[DC_name_Xref]]</f>
        <v>#N/A</v>
      </c>
      <c r="B1601" s="19" t="str">
        <f>Table1[[#This Row],[Fiscal_Year]]*100+Table1[[#This Row],[Fiscal_Week]] &amp; "-" &amp;Table1[[#This Row],[BRAND]]</f>
        <v>0-</v>
      </c>
      <c r="C1601" s="19" t="str">
        <f>Table1[[#This Row],[Fiscal_Year]]&amp;"-"&amp;Table1[[#This Row],[BRAND]]</f>
        <v>-</v>
      </c>
      <c r="J1601" t="e">
        <f>VLOOKUP(H1601,DC_Xref!A:B,2,FALSE)</f>
        <v>#N/A</v>
      </c>
      <c r="K1601">
        <f t="shared" si="24"/>
        <v>0</v>
      </c>
      <c r="L16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1" s="3">
        <f>IFERROR(INDEX(Table3[#All],MATCH(Table1[[#This Row],[Key_Year_Week_Brand]],Table3[[#All],[Key_Year_Week_Brand]],0),MATCH(Table1[[#This Row],[DC_name_Xref]],Table3[#Headers],0)),0)</f>
        <v>0</v>
      </c>
      <c r="O1601" s="19">
        <f>IFERROR(INDEX(Table35[#All],MATCH(Table1[[#This Row],[Key_Year_Week_Brand]],Table35[[#All],[Key_Year_Month_Brand]],0),MATCH(Table1[[#This Row],[DC_name_Xref]],Table35[#Headers],0)),0)</f>
        <v>0</v>
      </c>
    </row>
    <row r="1602" spans="1:15" x14ac:dyDescent="0.3">
      <c r="A1602" s="19" t="e">
        <f>Table1[[#This Row],[Year_Week]]&amp;"-"&amp;Table1[[#This Row],[DC_name_Xref]]</f>
        <v>#N/A</v>
      </c>
      <c r="B1602" s="19" t="str">
        <f>Table1[[#This Row],[Fiscal_Year]]*100+Table1[[#This Row],[Fiscal_Week]] &amp; "-" &amp;Table1[[#This Row],[BRAND]]</f>
        <v>0-</v>
      </c>
      <c r="C1602" s="19" t="str">
        <f>Table1[[#This Row],[Fiscal_Year]]&amp;"-"&amp;Table1[[#This Row],[BRAND]]</f>
        <v>-</v>
      </c>
      <c r="J1602" t="e">
        <f>VLOOKUP(H1602,DC_Xref!A:B,2,FALSE)</f>
        <v>#N/A</v>
      </c>
      <c r="K1602">
        <f t="shared" si="24"/>
        <v>0</v>
      </c>
      <c r="L16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2" s="3">
        <f>IFERROR(INDEX(Table3[#All],MATCH(Table1[[#This Row],[Key_Year_Week_Brand]],Table3[[#All],[Key_Year_Week_Brand]],0),MATCH(Table1[[#This Row],[DC_name_Xref]],Table3[#Headers],0)),0)</f>
        <v>0</v>
      </c>
      <c r="O1602" s="19">
        <f>IFERROR(INDEX(Table35[#All],MATCH(Table1[[#This Row],[Key_Year_Week_Brand]],Table35[[#All],[Key_Year_Month_Brand]],0),MATCH(Table1[[#This Row],[DC_name_Xref]],Table35[#Headers],0)),0)</f>
        <v>0</v>
      </c>
    </row>
    <row r="1603" spans="1:15" x14ac:dyDescent="0.3">
      <c r="A1603" s="19" t="e">
        <f>Table1[[#This Row],[Year_Week]]&amp;"-"&amp;Table1[[#This Row],[DC_name_Xref]]</f>
        <v>#N/A</v>
      </c>
      <c r="B1603" s="19" t="str">
        <f>Table1[[#This Row],[Fiscal_Year]]*100+Table1[[#This Row],[Fiscal_Week]] &amp; "-" &amp;Table1[[#This Row],[BRAND]]</f>
        <v>0-</v>
      </c>
      <c r="C1603" s="19" t="str">
        <f>Table1[[#This Row],[Fiscal_Year]]&amp;"-"&amp;Table1[[#This Row],[BRAND]]</f>
        <v>-</v>
      </c>
      <c r="J1603" t="e">
        <f>VLOOKUP(H1603,DC_Xref!A:B,2,FALSE)</f>
        <v>#N/A</v>
      </c>
      <c r="K1603">
        <f t="shared" si="24"/>
        <v>0</v>
      </c>
      <c r="L16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3" s="3">
        <f>IFERROR(INDEX(Table3[#All],MATCH(Table1[[#This Row],[Key_Year_Week_Brand]],Table3[[#All],[Key_Year_Week_Brand]],0),MATCH(Table1[[#This Row],[DC_name_Xref]],Table3[#Headers],0)),0)</f>
        <v>0</v>
      </c>
      <c r="O1603" s="19">
        <f>IFERROR(INDEX(Table35[#All],MATCH(Table1[[#This Row],[Key_Year_Week_Brand]],Table35[[#All],[Key_Year_Month_Brand]],0),MATCH(Table1[[#This Row],[DC_name_Xref]],Table35[#Headers],0)),0)</f>
        <v>0</v>
      </c>
    </row>
    <row r="1604" spans="1:15" x14ac:dyDescent="0.3">
      <c r="A1604" s="19" t="e">
        <f>Table1[[#This Row],[Year_Week]]&amp;"-"&amp;Table1[[#This Row],[DC_name_Xref]]</f>
        <v>#N/A</v>
      </c>
      <c r="B1604" s="19" t="str">
        <f>Table1[[#This Row],[Fiscal_Year]]*100+Table1[[#This Row],[Fiscal_Week]] &amp; "-" &amp;Table1[[#This Row],[BRAND]]</f>
        <v>0-</v>
      </c>
      <c r="C1604" s="19" t="str">
        <f>Table1[[#This Row],[Fiscal_Year]]&amp;"-"&amp;Table1[[#This Row],[BRAND]]</f>
        <v>-</v>
      </c>
      <c r="J1604" t="e">
        <f>VLOOKUP(H1604,DC_Xref!A:B,2,FALSE)</f>
        <v>#N/A</v>
      </c>
      <c r="K1604">
        <f t="shared" si="24"/>
        <v>0</v>
      </c>
      <c r="L16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4" s="3">
        <f>IFERROR(INDEX(Table3[#All],MATCH(Table1[[#This Row],[Key_Year_Week_Brand]],Table3[[#All],[Key_Year_Week_Brand]],0),MATCH(Table1[[#This Row],[DC_name_Xref]],Table3[#Headers],0)),0)</f>
        <v>0</v>
      </c>
      <c r="O1604" s="19">
        <f>IFERROR(INDEX(Table35[#All],MATCH(Table1[[#This Row],[Key_Year_Week_Brand]],Table35[[#All],[Key_Year_Month_Brand]],0),MATCH(Table1[[#This Row],[DC_name_Xref]],Table35[#Headers],0)),0)</f>
        <v>0</v>
      </c>
    </row>
    <row r="1605" spans="1:15" x14ac:dyDescent="0.3">
      <c r="A1605" s="19" t="e">
        <f>Table1[[#This Row],[Year_Week]]&amp;"-"&amp;Table1[[#This Row],[DC_name_Xref]]</f>
        <v>#N/A</v>
      </c>
      <c r="B1605" s="19" t="str">
        <f>Table1[[#This Row],[Fiscal_Year]]*100+Table1[[#This Row],[Fiscal_Week]] &amp; "-" &amp;Table1[[#This Row],[BRAND]]</f>
        <v>0-</v>
      </c>
      <c r="C1605" s="19" t="str">
        <f>Table1[[#This Row],[Fiscal_Year]]&amp;"-"&amp;Table1[[#This Row],[BRAND]]</f>
        <v>-</v>
      </c>
      <c r="J1605" t="e">
        <f>VLOOKUP(H1605,DC_Xref!A:B,2,FALSE)</f>
        <v>#N/A</v>
      </c>
      <c r="K1605">
        <f t="shared" si="24"/>
        <v>0</v>
      </c>
      <c r="L16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5" s="3">
        <f>IFERROR(INDEX(Table3[#All],MATCH(Table1[[#This Row],[Key_Year_Week_Brand]],Table3[[#All],[Key_Year_Week_Brand]],0),MATCH(Table1[[#This Row],[DC_name_Xref]],Table3[#Headers],0)),0)</f>
        <v>0</v>
      </c>
      <c r="O1605" s="19">
        <f>IFERROR(INDEX(Table35[#All],MATCH(Table1[[#This Row],[Key_Year_Week_Brand]],Table35[[#All],[Key_Year_Month_Brand]],0),MATCH(Table1[[#This Row],[DC_name_Xref]],Table35[#Headers],0)),0)</f>
        <v>0</v>
      </c>
    </row>
    <row r="1606" spans="1:15" x14ac:dyDescent="0.3">
      <c r="A1606" s="19" t="e">
        <f>Table1[[#This Row],[Year_Week]]&amp;"-"&amp;Table1[[#This Row],[DC_name_Xref]]</f>
        <v>#N/A</v>
      </c>
      <c r="B1606" s="19" t="str">
        <f>Table1[[#This Row],[Fiscal_Year]]*100+Table1[[#This Row],[Fiscal_Week]] &amp; "-" &amp;Table1[[#This Row],[BRAND]]</f>
        <v>0-</v>
      </c>
      <c r="C1606" s="19" t="str">
        <f>Table1[[#This Row],[Fiscal_Year]]&amp;"-"&amp;Table1[[#This Row],[BRAND]]</f>
        <v>-</v>
      </c>
      <c r="J1606" t="e">
        <f>VLOOKUP(H1606,DC_Xref!A:B,2,FALSE)</f>
        <v>#N/A</v>
      </c>
      <c r="K1606">
        <f t="shared" ref="K1606:K1669" si="25">D1606*100+E1606</f>
        <v>0</v>
      </c>
      <c r="L16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6" s="3">
        <f>IFERROR(INDEX(Table3[#All],MATCH(Table1[[#This Row],[Key_Year_Week_Brand]],Table3[[#All],[Key_Year_Week_Brand]],0),MATCH(Table1[[#This Row],[DC_name_Xref]],Table3[#Headers],0)),0)</f>
        <v>0</v>
      </c>
      <c r="O1606" s="19">
        <f>IFERROR(INDEX(Table35[#All],MATCH(Table1[[#This Row],[Key_Year_Week_Brand]],Table35[[#All],[Key_Year_Month_Brand]],0),MATCH(Table1[[#This Row],[DC_name_Xref]],Table35[#Headers],0)),0)</f>
        <v>0</v>
      </c>
    </row>
    <row r="1607" spans="1:15" x14ac:dyDescent="0.3">
      <c r="A1607" s="19" t="e">
        <f>Table1[[#This Row],[Year_Week]]&amp;"-"&amp;Table1[[#This Row],[DC_name_Xref]]</f>
        <v>#N/A</v>
      </c>
      <c r="B1607" s="19" t="str">
        <f>Table1[[#This Row],[Fiscal_Year]]*100+Table1[[#This Row],[Fiscal_Week]] &amp; "-" &amp;Table1[[#This Row],[BRAND]]</f>
        <v>0-</v>
      </c>
      <c r="C1607" s="19" t="str">
        <f>Table1[[#This Row],[Fiscal_Year]]&amp;"-"&amp;Table1[[#This Row],[BRAND]]</f>
        <v>-</v>
      </c>
      <c r="J1607" t="e">
        <f>VLOOKUP(H1607,DC_Xref!A:B,2,FALSE)</f>
        <v>#N/A</v>
      </c>
      <c r="K1607">
        <f t="shared" si="25"/>
        <v>0</v>
      </c>
      <c r="L16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7" s="3">
        <f>IFERROR(INDEX(Table3[#All],MATCH(Table1[[#This Row],[Key_Year_Week_Brand]],Table3[[#All],[Key_Year_Week_Brand]],0),MATCH(Table1[[#This Row],[DC_name_Xref]],Table3[#Headers],0)),0)</f>
        <v>0</v>
      </c>
      <c r="O1607" s="19">
        <f>IFERROR(INDEX(Table35[#All],MATCH(Table1[[#This Row],[Key_Year_Week_Brand]],Table35[[#All],[Key_Year_Month_Brand]],0),MATCH(Table1[[#This Row],[DC_name_Xref]],Table35[#Headers],0)),0)</f>
        <v>0</v>
      </c>
    </row>
    <row r="1608" spans="1:15" x14ac:dyDescent="0.3">
      <c r="A1608" s="19" t="e">
        <f>Table1[[#This Row],[Year_Week]]&amp;"-"&amp;Table1[[#This Row],[DC_name_Xref]]</f>
        <v>#N/A</v>
      </c>
      <c r="B1608" s="19" t="str">
        <f>Table1[[#This Row],[Fiscal_Year]]*100+Table1[[#This Row],[Fiscal_Week]] &amp; "-" &amp;Table1[[#This Row],[BRAND]]</f>
        <v>0-</v>
      </c>
      <c r="C1608" s="19" t="str">
        <f>Table1[[#This Row],[Fiscal_Year]]&amp;"-"&amp;Table1[[#This Row],[BRAND]]</f>
        <v>-</v>
      </c>
      <c r="J1608" t="e">
        <f>VLOOKUP(H1608,DC_Xref!A:B,2,FALSE)</f>
        <v>#N/A</v>
      </c>
      <c r="K1608">
        <f t="shared" si="25"/>
        <v>0</v>
      </c>
      <c r="L16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8" s="3">
        <f>IFERROR(INDEX(Table3[#All],MATCH(Table1[[#This Row],[Key_Year_Week_Brand]],Table3[[#All],[Key_Year_Week_Brand]],0),MATCH(Table1[[#This Row],[DC_name_Xref]],Table3[#Headers],0)),0)</f>
        <v>0</v>
      </c>
      <c r="O1608" s="19">
        <f>IFERROR(INDEX(Table35[#All],MATCH(Table1[[#This Row],[Key_Year_Week_Brand]],Table35[[#All],[Key_Year_Month_Brand]],0),MATCH(Table1[[#This Row],[DC_name_Xref]],Table35[#Headers],0)),0)</f>
        <v>0</v>
      </c>
    </row>
    <row r="1609" spans="1:15" x14ac:dyDescent="0.3">
      <c r="A1609" s="19" t="e">
        <f>Table1[[#This Row],[Year_Week]]&amp;"-"&amp;Table1[[#This Row],[DC_name_Xref]]</f>
        <v>#N/A</v>
      </c>
      <c r="B1609" s="19" t="str">
        <f>Table1[[#This Row],[Fiscal_Year]]*100+Table1[[#This Row],[Fiscal_Week]] &amp; "-" &amp;Table1[[#This Row],[BRAND]]</f>
        <v>0-</v>
      </c>
      <c r="C1609" s="19" t="str">
        <f>Table1[[#This Row],[Fiscal_Year]]&amp;"-"&amp;Table1[[#This Row],[BRAND]]</f>
        <v>-</v>
      </c>
      <c r="J1609" t="e">
        <f>VLOOKUP(H1609,DC_Xref!A:B,2,FALSE)</f>
        <v>#N/A</v>
      </c>
      <c r="K1609">
        <f t="shared" si="25"/>
        <v>0</v>
      </c>
      <c r="L16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09" s="3">
        <f>IFERROR(INDEX(Table3[#All],MATCH(Table1[[#This Row],[Key_Year_Week_Brand]],Table3[[#All],[Key_Year_Week_Brand]],0),MATCH(Table1[[#This Row],[DC_name_Xref]],Table3[#Headers],0)),0)</f>
        <v>0</v>
      </c>
      <c r="O1609" s="19">
        <f>IFERROR(INDEX(Table35[#All],MATCH(Table1[[#This Row],[Key_Year_Week_Brand]],Table35[[#All],[Key_Year_Month_Brand]],0),MATCH(Table1[[#This Row],[DC_name_Xref]],Table35[#Headers],0)),0)</f>
        <v>0</v>
      </c>
    </row>
    <row r="1610" spans="1:15" x14ac:dyDescent="0.3">
      <c r="A1610" s="19" t="e">
        <f>Table1[[#This Row],[Year_Week]]&amp;"-"&amp;Table1[[#This Row],[DC_name_Xref]]</f>
        <v>#N/A</v>
      </c>
      <c r="B1610" s="19" t="str">
        <f>Table1[[#This Row],[Fiscal_Year]]*100+Table1[[#This Row],[Fiscal_Week]] &amp; "-" &amp;Table1[[#This Row],[BRAND]]</f>
        <v>0-</v>
      </c>
      <c r="C1610" s="19" t="str">
        <f>Table1[[#This Row],[Fiscal_Year]]&amp;"-"&amp;Table1[[#This Row],[BRAND]]</f>
        <v>-</v>
      </c>
      <c r="J1610" t="e">
        <f>VLOOKUP(H1610,DC_Xref!A:B,2,FALSE)</f>
        <v>#N/A</v>
      </c>
      <c r="K1610">
        <f t="shared" si="25"/>
        <v>0</v>
      </c>
      <c r="L16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0" s="3">
        <f>IFERROR(INDEX(Table3[#All],MATCH(Table1[[#This Row],[Key_Year_Week_Brand]],Table3[[#All],[Key_Year_Week_Brand]],0),MATCH(Table1[[#This Row],[DC_name_Xref]],Table3[#Headers],0)),0)</f>
        <v>0</v>
      </c>
      <c r="O1610" s="19">
        <f>IFERROR(INDEX(Table35[#All],MATCH(Table1[[#This Row],[Key_Year_Week_Brand]],Table35[[#All],[Key_Year_Month_Brand]],0),MATCH(Table1[[#This Row],[DC_name_Xref]],Table35[#Headers],0)),0)</f>
        <v>0</v>
      </c>
    </row>
    <row r="1611" spans="1:15" x14ac:dyDescent="0.3">
      <c r="A1611" s="19" t="e">
        <f>Table1[[#This Row],[Year_Week]]&amp;"-"&amp;Table1[[#This Row],[DC_name_Xref]]</f>
        <v>#N/A</v>
      </c>
      <c r="B1611" s="19" t="str">
        <f>Table1[[#This Row],[Fiscal_Year]]*100+Table1[[#This Row],[Fiscal_Week]] &amp; "-" &amp;Table1[[#This Row],[BRAND]]</f>
        <v>0-</v>
      </c>
      <c r="C1611" s="19" t="str">
        <f>Table1[[#This Row],[Fiscal_Year]]&amp;"-"&amp;Table1[[#This Row],[BRAND]]</f>
        <v>-</v>
      </c>
      <c r="J1611" t="e">
        <f>VLOOKUP(H1611,DC_Xref!A:B,2,FALSE)</f>
        <v>#N/A</v>
      </c>
      <c r="K1611">
        <f t="shared" si="25"/>
        <v>0</v>
      </c>
      <c r="L16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1" s="3">
        <f>IFERROR(INDEX(Table3[#All],MATCH(Table1[[#This Row],[Key_Year_Week_Brand]],Table3[[#All],[Key_Year_Week_Brand]],0),MATCH(Table1[[#This Row],[DC_name_Xref]],Table3[#Headers],0)),0)</f>
        <v>0</v>
      </c>
      <c r="O1611" s="19">
        <f>IFERROR(INDEX(Table35[#All],MATCH(Table1[[#This Row],[Key_Year_Week_Brand]],Table35[[#All],[Key_Year_Month_Brand]],0),MATCH(Table1[[#This Row],[DC_name_Xref]],Table35[#Headers],0)),0)</f>
        <v>0</v>
      </c>
    </row>
    <row r="1612" spans="1:15" x14ac:dyDescent="0.3">
      <c r="A1612" s="19" t="e">
        <f>Table1[[#This Row],[Year_Week]]&amp;"-"&amp;Table1[[#This Row],[DC_name_Xref]]</f>
        <v>#N/A</v>
      </c>
      <c r="B1612" s="19" t="str">
        <f>Table1[[#This Row],[Fiscal_Year]]*100+Table1[[#This Row],[Fiscal_Week]] &amp; "-" &amp;Table1[[#This Row],[BRAND]]</f>
        <v>0-</v>
      </c>
      <c r="C1612" s="19" t="str">
        <f>Table1[[#This Row],[Fiscal_Year]]&amp;"-"&amp;Table1[[#This Row],[BRAND]]</f>
        <v>-</v>
      </c>
      <c r="J1612" t="e">
        <f>VLOOKUP(H1612,DC_Xref!A:B,2,FALSE)</f>
        <v>#N/A</v>
      </c>
      <c r="K1612">
        <f t="shared" si="25"/>
        <v>0</v>
      </c>
      <c r="L16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2" s="3">
        <f>IFERROR(INDEX(Table3[#All],MATCH(Table1[[#This Row],[Key_Year_Week_Brand]],Table3[[#All],[Key_Year_Week_Brand]],0),MATCH(Table1[[#This Row],[DC_name_Xref]],Table3[#Headers],0)),0)</f>
        <v>0</v>
      </c>
      <c r="O1612" s="19">
        <f>IFERROR(INDEX(Table35[#All],MATCH(Table1[[#This Row],[Key_Year_Week_Brand]],Table35[[#All],[Key_Year_Month_Brand]],0),MATCH(Table1[[#This Row],[DC_name_Xref]],Table35[#Headers],0)),0)</f>
        <v>0</v>
      </c>
    </row>
    <row r="1613" spans="1:15" x14ac:dyDescent="0.3">
      <c r="A1613" s="19" t="e">
        <f>Table1[[#This Row],[Year_Week]]&amp;"-"&amp;Table1[[#This Row],[DC_name_Xref]]</f>
        <v>#N/A</v>
      </c>
      <c r="B1613" s="19" t="str">
        <f>Table1[[#This Row],[Fiscal_Year]]*100+Table1[[#This Row],[Fiscal_Week]] &amp; "-" &amp;Table1[[#This Row],[BRAND]]</f>
        <v>0-</v>
      </c>
      <c r="C1613" s="19" t="str">
        <f>Table1[[#This Row],[Fiscal_Year]]&amp;"-"&amp;Table1[[#This Row],[BRAND]]</f>
        <v>-</v>
      </c>
      <c r="J1613" t="e">
        <f>VLOOKUP(H1613,DC_Xref!A:B,2,FALSE)</f>
        <v>#N/A</v>
      </c>
      <c r="K1613">
        <f t="shared" si="25"/>
        <v>0</v>
      </c>
      <c r="L16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3" s="3">
        <f>IFERROR(INDEX(Table3[#All],MATCH(Table1[[#This Row],[Key_Year_Week_Brand]],Table3[[#All],[Key_Year_Week_Brand]],0),MATCH(Table1[[#This Row],[DC_name_Xref]],Table3[#Headers],0)),0)</f>
        <v>0</v>
      </c>
      <c r="O1613" s="19">
        <f>IFERROR(INDEX(Table35[#All],MATCH(Table1[[#This Row],[Key_Year_Week_Brand]],Table35[[#All],[Key_Year_Month_Brand]],0),MATCH(Table1[[#This Row],[DC_name_Xref]],Table35[#Headers],0)),0)</f>
        <v>0</v>
      </c>
    </row>
    <row r="1614" spans="1:15" x14ac:dyDescent="0.3">
      <c r="A1614" s="19" t="e">
        <f>Table1[[#This Row],[Year_Week]]&amp;"-"&amp;Table1[[#This Row],[DC_name_Xref]]</f>
        <v>#N/A</v>
      </c>
      <c r="B1614" s="19" t="str">
        <f>Table1[[#This Row],[Fiscal_Year]]*100+Table1[[#This Row],[Fiscal_Week]] &amp; "-" &amp;Table1[[#This Row],[BRAND]]</f>
        <v>0-</v>
      </c>
      <c r="C1614" s="19" t="str">
        <f>Table1[[#This Row],[Fiscal_Year]]&amp;"-"&amp;Table1[[#This Row],[BRAND]]</f>
        <v>-</v>
      </c>
      <c r="J1614" t="e">
        <f>VLOOKUP(H1614,DC_Xref!A:B,2,FALSE)</f>
        <v>#N/A</v>
      </c>
      <c r="K1614">
        <f t="shared" si="25"/>
        <v>0</v>
      </c>
      <c r="L16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4" s="3">
        <f>IFERROR(INDEX(Table3[#All],MATCH(Table1[[#This Row],[Key_Year_Week_Brand]],Table3[[#All],[Key_Year_Week_Brand]],0),MATCH(Table1[[#This Row],[DC_name_Xref]],Table3[#Headers],0)),0)</f>
        <v>0</v>
      </c>
      <c r="O1614" s="19">
        <f>IFERROR(INDEX(Table35[#All],MATCH(Table1[[#This Row],[Key_Year_Week_Brand]],Table35[[#All],[Key_Year_Month_Brand]],0),MATCH(Table1[[#This Row],[DC_name_Xref]],Table35[#Headers],0)),0)</f>
        <v>0</v>
      </c>
    </row>
    <row r="1615" spans="1:15" x14ac:dyDescent="0.3">
      <c r="A1615" s="19" t="e">
        <f>Table1[[#This Row],[Year_Week]]&amp;"-"&amp;Table1[[#This Row],[DC_name_Xref]]</f>
        <v>#N/A</v>
      </c>
      <c r="B1615" s="19" t="str">
        <f>Table1[[#This Row],[Fiscal_Year]]*100+Table1[[#This Row],[Fiscal_Week]] &amp; "-" &amp;Table1[[#This Row],[BRAND]]</f>
        <v>0-</v>
      </c>
      <c r="C1615" s="19" t="str">
        <f>Table1[[#This Row],[Fiscal_Year]]&amp;"-"&amp;Table1[[#This Row],[BRAND]]</f>
        <v>-</v>
      </c>
      <c r="J1615" t="e">
        <f>VLOOKUP(H1615,DC_Xref!A:B,2,FALSE)</f>
        <v>#N/A</v>
      </c>
      <c r="K1615">
        <f t="shared" si="25"/>
        <v>0</v>
      </c>
      <c r="L16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5" s="3">
        <f>IFERROR(INDEX(Table3[#All],MATCH(Table1[[#This Row],[Key_Year_Week_Brand]],Table3[[#All],[Key_Year_Week_Brand]],0),MATCH(Table1[[#This Row],[DC_name_Xref]],Table3[#Headers],0)),0)</f>
        <v>0</v>
      </c>
      <c r="O1615" s="19">
        <f>IFERROR(INDEX(Table35[#All],MATCH(Table1[[#This Row],[Key_Year_Week_Brand]],Table35[[#All],[Key_Year_Month_Brand]],0),MATCH(Table1[[#This Row],[DC_name_Xref]],Table35[#Headers],0)),0)</f>
        <v>0</v>
      </c>
    </row>
    <row r="1616" spans="1:15" x14ac:dyDescent="0.3">
      <c r="A1616" s="19" t="e">
        <f>Table1[[#This Row],[Year_Week]]&amp;"-"&amp;Table1[[#This Row],[DC_name_Xref]]</f>
        <v>#N/A</v>
      </c>
      <c r="B1616" s="19" t="str">
        <f>Table1[[#This Row],[Fiscal_Year]]*100+Table1[[#This Row],[Fiscal_Week]] &amp; "-" &amp;Table1[[#This Row],[BRAND]]</f>
        <v>0-</v>
      </c>
      <c r="C1616" s="19" t="str">
        <f>Table1[[#This Row],[Fiscal_Year]]&amp;"-"&amp;Table1[[#This Row],[BRAND]]</f>
        <v>-</v>
      </c>
      <c r="J1616" t="e">
        <f>VLOOKUP(H1616,DC_Xref!A:B,2,FALSE)</f>
        <v>#N/A</v>
      </c>
      <c r="K1616">
        <f t="shared" si="25"/>
        <v>0</v>
      </c>
      <c r="L16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6" s="3">
        <f>IFERROR(INDEX(Table3[#All],MATCH(Table1[[#This Row],[Key_Year_Week_Brand]],Table3[[#All],[Key_Year_Week_Brand]],0),MATCH(Table1[[#This Row],[DC_name_Xref]],Table3[#Headers],0)),0)</f>
        <v>0</v>
      </c>
      <c r="O1616" s="19">
        <f>IFERROR(INDEX(Table35[#All],MATCH(Table1[[#This Row],[Key_Year_Week_Brand]],Table35[[#All],[Key_Year_Month_Brand]],0),MATCH(Table1[[#This Row],[DC_name_Xref]],Table35[#Headers],0)),0)</f>
        <v>0</v>
      </c>
    </row>
    <row r="1617" spans="1:15" x14ac:dyDescent="0.3">
      <c r="A1617" s="19" t="e">
        <f>Table1[[#This Row],[Year_Week]]&amp;"-"&amp;Table1[[#This Row],[DC_name_Xref]]</f>
        <v>#N/A</v>
      </c>
      <c r="B1617" s="19" t="str">
        <f>Table1[[#This Row],[Fiscal_Year]]*100+Table1[[#This Row],[Fiscal_Week]] &amp; "-" &amp;Table1[[#This Row],[BRAND]]</f>
        <v>0-</v>
      </c>
      <c r="C1617" s="19" t="str">
        <f>Table1[[#This Row],[Fiscal_Year]]&amp;"-"&amp;Table1[[#This Row],[BRAND]]</f>
        <v>-</v>
      </c>
      <c r="J1617" t="e">
        <f>VLOOKUP(H1617,DC_Xref!A:B,2,FALSE)</f>
        <v>#N/A</v>
      </c>
      <c r="K1617">
        <f t="shared" si="25"/>
        <v>0</v>
      </c>
      <c r="L16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7" s="3">
        <f>IFERROR(INDEX(Table3[#All],MATCH(Table1[[#This Row],[Key_Year_Week_Brand]],Table3[[#All],[Key_Year_Week_Brand]],0),MATCH(Table1[[#This Row],[DC_name_Xref]],Table3[#Headers],0)),0)</f>
        <v>0</v>
      </c>
      <c r="O1617" s="19">
        <f>IFERROR(INDEX(Table35[#All],MATCH(Table1[[#This Row],[Key_Year_Week_Brand]],Table35[[#All],[Key_Year_Month_Brand]],0),MATCH(Table1[[#This Row],[DC_name_Xref]],Table35[#Headers],0)),0)</f>
        <v>0</v>
      </c>
    </row>
    <row r="1618" spans="1:15" x14ac:dyDescent="0.3">
      <c r="A1618" s="19" t="e">
        <f>Table1[[#This Row],[Year_Week]]&amp;"-"&amp;Table1[[#This Row],[DC_name_Xref]]</f>
        <v>#N/A</v>
      </c>
      <c r="B1618" s="19" t="str">
        <f>Table1[[#This Row],[Fiscal_Year]]*100+Table1[[#This Row],[Fiscal_Week]] &amp; "-" &amp;Table1[[#This Row],[BRAND]]</f>
        <v>0-</v>
      </c>
      <c r="C1618" s="19" t="str">
        <f>Table1[[#This Row],[Fiscal_Year]]&amp;"-"&amp;Table1[[#This Row],[BRAND]]</f>
        <v>-</v>
      </c>
      <c r="J1618" t="e">
        <f>VLOOKUP(H1618,DC_Xref!A:B,2,FALSE)</f>
        <v>#N/A</v>
      </c>
      <c r="K1618">
        <f t="shared" si="25"/>
        <v>0</v>
      </c>
      <c r="L16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8" s="3">
        <f>IFERROR(INDEX(Table3[#All],MATCH(Table1[[#This Row],[Key_Year_Week_Brand]],Table3[[#All],[Key_Year_Week_Brand]],0),MATCH(Table1[[#This Row],[DC_name_Xref]],Table3[#Headers],0)),0)</f>
        <v>0</v>
      </c>
      <c r="O1618" s="19">
        <f>IFERROR(INDEX(Table35[#All],MATCH(Table1[[#This Row],[Key_Year_Week_Brand]],Table35[[#All],[Key_Year_Month_Brand]],0),MATCH(Table1[[#This Row],[DC_name_Xref]],Table35[#Headers],0)),0)</f>
        <v>0</v>
      </c>
    </row>
    <row r="1619" spans="1:15" x14ac:dyDescent="0.3">
      <c r="A1619" s="19" t="e">
        <f>Table1[[#This Row],[Year_Week]]&amp;"-"&amp;Table1[[#This Row],[DC_name_Xref]]</f>
        <v>#N/A</v>
      </c>
      <c r="B1619" s="19" t="str">
        <f>Table1[[#This Row],[Fiscal_Year]]*100+Table1[[#This Row],[Fiscal_Week]] &amp; "-" &amp;Table1[[#This Row],[BRAND]]</f>
        <v>0-</v>
      </c>
      <c r="C1619" s="19" t="str">
        <f>Table1[[#This Row],[Fiscal_Year]]&amp;"-"&amp;Table1[[#This Row],[BRAND]]</f>
        <v>-</v>
      </c>
      <c r="J1619" t="e">
        <f>VLOOKUP(H1619,DC_Xref!A:B,2,FALSE)</f>
        <v>#N/A</v>
      </c>
      <c r="K1619">
        <f t="shared" si="25"/>
        <v>0</v>
      </c>
      <c r="L16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19" s="3">
        <f>IFERROR(INDEX(Table3[#All],MATCH(Table1[[#This Row],[Key_Year_Week_Brand]],Table3[[#All],[Key_Year_Week_Brand]],0),MATCH(Table1[[#This Row],[DC_name_Xref]],Table3[#Headers],0)),0)</f>
        <v>0</v>
      </c>
      <c r="O1619" s="19">
        <f>IFERROR(INDEX(Table35[#All],MATCH(Table1[[#This Row],[Key_Year_Week_Brand]],Table35[[#All],[Key_Year_Month_Brand]],0),MATCH(Table1[[#This Row],[DC_name_Xref]],Table35[#Headers],0)),0)</f>
        <v>0</v>
      </c>
    </row>
    <row r="1620" spans="1:15" x14ac:dyDescent="0.3">
      <c r="A1620" s="19" t="e">
        <f>Table1[[#This Row],[Year_Week]]&amp;"-"&amp;Table1[[#This Row],[DC_name_Xref]]</f>
        <v>#N/A</v>
      </c>
      <c r="B1620" s="19" t="str">
        <f>Table1[[#This Row],[Fiscal_Year]]*100+Table1[[#This Row],[Fiscal_Week]] &amp; "-" &amp;Table1[[#This Row],[BRAND]]</f>
        <v>0-</v>
      </c>
      <c r="C1620" s="19" t="str">
        <f>Table1[[#This Row],[Fiscal_Year]]&amp;"-"&amp;Table1[[#This Row],[BRAND]]</f>
        <v>-</v>
      </c>
      <c r="J1620" t="e">
        <f>VLOOKUP(H1620,DC_Xref!A:B,2,FALSE)</f>
        <v>#N/A</v>
      </c>
      <c r="K1620">
        <f t="shared" si="25"/>
        <v>0</v>
      </c>
      <c r="L16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0" s="3">
        <f>IFERROR(INDEX(Table3[#All],MATCH(Table1[[#This Row],[Key_Year_Week_Brand]],Table3[[#All],[Key_Year_Week_Brand]],0),MATCH(Table1[[#This Row],[DC_name_Xref]],Table3[#Headers],0)),0)</f>
        <v>0</v>
      </c>
      <c r="O1620" s="19">
        <f>IFERROR(INDEX(Table35[#All],MATCH(Table1[[#This Row],[Key_Year_Week_Brand]],Table35[[#All],[Key_Year_Month_Brand]],0),MATCH(Table1[[#This Row],[DC_name_Xref]],Table35[#Headers],0)),0)</f>
        <v>0</v>
      </c>
    </row>
    <row r="1621" spans="1:15" x14ac:dyDescent="0.3">
      <c r="A1621" s="19" t="e">
        <f>Table1[[#This Row],[Year_Week]]&amp;"-"&amp;Table1[[#This Row],[DC_name_Xref]]</f>
        <v>#N/A</v>
      </c>
      <c r="B1621" s="19" t="str">
        <f>Table1[[#This Row],[Fiscal_Year]]*100+Table1[[#This Row],[Fiscal_Week]] &amp; "-" &amp;Table1[[#This Row],[BRAND]]</f>
        <v>0-</v>
      </c>
      <c r="C1621" s="19" t="str">
        <f>Table1[[#This Row],[Fiscal_Year]]&amp;"-"&amp;Table1[[#This Row],[BRAND]]</f>
        <v>-</v>
      </c>
      <c r="J1621" t="e">
        <f>VLOOKUP(H1621,DC_Xref!A:B,2,FALSE)</f>
        <v>#N/A</v>
      </c>
      <c r="K1621">
        <f t="shared" si="25"/>
        <v>0</v>
      </c>
      <c r="L16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1" s="3">
        <f>IFERROR(INDEX(Table3[#All],MATCH(Table1[[#This Row],[Key_Year_Week_Brand]],Table3[[#All],[Key_Year_Week_Brand]],0),MATCH(Table1[[#This Row],[DC_name_Xref]],Table3[#Headers],0)),0)</f>
        <v>0</v>
      </c>
      <c r="O1621" s="19">
        <f>IFERROR(INDEX(Table35[#All],MATCH(Table1[[#This Row],[Key_Year_Week_Brand]],Table35[[#All],[Key_Year_Month_Brand]],0),MATCH(Table1[[#This Row],[DC_name_Xref]],Table35[#Headers],0)),0)</f>
        <v>0</v>
      </c>
    </row>
    <row r="1622" spans="1:15" x14ac:dyDescent="0.3">
      <c r="A1622" s="19" t="e">
        <f>Table1[[#This Row],[Year_Week]]&amp;"-"&amp;Table1[[#This Row],[DC_name_Xref]]</f>
        <v>#N/A</v>
      </c>
      <c r="B1622" s="19" t="str">
        <f>Table1[[#This Row],[Fiscal_Year]]*100+Table1[[#This Row],[Fiscal_Week]] &amp; "-" &amp;Table1[[#This Row],[BRAND]]</f>
        <v>0-</v>
      </c>
      <c r="C1622" s="19" t="str">
        <f>Table1[[#This Row],[Fiscal_Year]]&amp;"-"&amp;Table1[[#This Row],[BRAND]]</f>
        <v>-</v>
      </c>
      <c r="J1622" t="e">
        <f>VLOOKUP(H1622,DC_Xref!A:B,2,FALSE)</f>
        <v>#N/A</v>
      </c>
      <c r="K1622">
        <f t="shared" si="25"/>
        <v>0</v>
      </c>
      <c r="L16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2" s="3">
        <f>IFERROR(INDEX(Table3[#All],MATCH(Table1[[#This Row],[Key_Year_Week_Brand]],Table3[[#All],[Key_Year_Week_Brand]],0),MATCH(Table1[[#This Row],[DC_name_Xref]],Table3[#Headers],0)),0)</f>
        <v>0</v>
      </c>
      <c r="O1622" s="19">
        <f>IFERROR(INDEX(Table35[#All],MATCH(Table1[[#This Row],[Key_Year_Week_Brand]],Table35[[#All],[Key_Year_Month_Brand]],0),MATCH(Table1[[#This Row],[DC_name_Xref]],Table35[#Headers],0)),0)</f>
        <v>0</v>
      </c>
    </row>
    <row r="1623" spans="1:15" x14ac:dyDescent="0.3">
      <c r="A1623" s="19" t="e">
        <f>Table1[[#This Row],[Year_Week]]&amp;"-"&amp;Table1[[#This Row],[DC_name_Xref]]</f>
        <v>#N/A</v>
      </c>
      <c r="B1623" s="19" t="str">
        <f>Table1[[#This Row],[Fiscal_Year]]*100+Table1[[#This Row],[Fiscal_Week]] &amp; "-" &amp;Table1[[#This Row],[BRAND]]</f>
        <v>0-</v>
      </c>
      <c r="C1623" s="19" t="str">
        <f>Table1[[#This Row],[Fiscal_Year]]&amp;"-"&amp;Table1[[#This Row],[BRAND]]</f>
        <v>-</v>
      </c>
      <c r="J1623" t="e">
        <f>VLOOKUP(H1623,DC_Xref!A:B,2,FALSE)</f>
        <v>#N/A</v>
      </c>
      <c r="K1623">
        <f t="shared" si="25"/>
        <v>0</v>
      </c>
      <c r="L16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3" s="3">
        <f>IFERROR(INDEX(Table3[#All],MATCH(Table1[[#This Row],[Key_Year_Week_Brand]],Table3[[#All],[Key_Year_Week_Brand]],0),MATCH(Table1[[#This Row],[DC_name_Xref]],Table3[#Headers],0)),0)</f>
        <v>0</v>
      </c>
      <c r="O1623" s="19">
        <f>IFERROR(INDEX(Table35[#All],MATCH(Table1[[#This Row],[Key_Year_Week_Brand]],Table35[[#All],[Key_Year_Month_Brand]],0),MATCH(Table1[[#This Row],[DC_name_Xref]],Table35[#Headers],0)),0)</f>
        <v>0</v>
      </c>
    </row>
    <row r="1624" spans="1:15" x14ac:dyDescent="0.3">
      <c r="A1624" s="19" t="e">
        <f>Table1[[#This Row],[Year_Week]]&amp;"-"&amp;Table1[[#This Row],[DC_name_Xref]]</f>
        <v>#N/A</v>
      </c>
      <c r="B1624" s="19" t="str">
        <f>Table1[[#This Row],[Fiscal_Year]]*100+Table1[[#This Row],[Fiscal_Week]] &amp; "-" &amp;Table1[[#This Row],[BRAND]]</f>
        <v>0-</v>
      </c>
      <c r="C1624" s="19" t="str">
        <f>Table1[[#This Row],[Fiscal_Year]]&amp;"-"&amp;Table1[[#This Row],[BRAND]]</f>
        <v>-</v>
      </c>
      <c r="J1624" t="e">
        <f>VLOOKUP(H1624,DC_Xref!A:B,2,FALSE)</f>
        <v>#N/A</v>
      </c>
      <c r="K1624">
        <f t="shared" si="25"/>
        <v>0</v>
      </c>
      <c r="L16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4" s="3">
        <f>IFERROR(INDEX(Table3[#All],MATCH(Table1[[#This Row],[Key_Year_Week_Brand]],Table3[[#All],[Key_Year_Week_Brand]],0),MATCH(Table1[[#This Row],[DC_name_Xref]],Table3[#Headers],0)),0)</f>
        <v>0</v>
      </c>
      <c r="O1624" s="19">
        <f>IFERROR(INDEX(Table35[#All],MATCH(Table1[[#This Row],[Key_Year_Week_Brand]],Table35[[#All],[Key_Year_Month_Brand]],0),MATCH(Table1[[#This Row],[DC_name_Xref]],Table35[#Headers],0)),0)</f>
        <v>0</v>
      </c>
    </row>
    <row r="1625" spans="1:15" x14ac:dyDescent="0.3">
      <c r="A1625" s="19" t="e">
        <f>Table1[[#This Row],[Year_Week]]&amp;"-"&amp;Table1[[#This Row],[DC_name_Xref]]</f>
        <v>#N/A</v>
      </c>
      <c r="B1625" s="19" t="str">
        <f>Table1[[#This Row],[Fiscal_Year]]*100+Table1[[#This Row],[Fiscal_Week]] &amp; "-" &amp;Table1[[#This Row],[BRAND]]</f>
        <v>0-</v>
      </c>
      <c r="C1625" s="19" t="str">
        <f>Table1[[#This Row],[Fiscal_Year]]&amp;"-"&amp;Table1[[#This Row],[BRAND]]</f>
        <v>-</v>
      </c>
      <c r="J1625" t="e">
        <f>VLOOKUP(H1625,DC_Xref!A:B,2,FALSE)</f>
        <v>#N/A</v>
      </c>
      <c r="K1625">
        <f t="shared" si="25"/>
        <v>0</v>
      </c>
      <c r="L16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5" s="3">
        <f>IFERROR(INDEX(Table3[#All],MATCH(Table1[[#This Row],[Key_Year_Week_Brand]],Table3[[#All],[Key_Year_Week_Brand]],0),MATCH(Table1[[#This Row],[DC_name_Xref]],Table3[#Headers],0)),0)</f>
        <v>0</v>
      </c>
      <c r="O1625" s="19">
        <f>IFERROR(INDEX(Table35[#All],MATCH(Table1[[#This Row],[Key_Year_Week_Brand]],Table35[[#All],[Key_Year_Month_Brand]],0),MATCH(Table1[[#This Row],[DC_name_Xref]],Table35[#Headers],0)),0)</f>
        <v>0</v>
      </c>
    </row>
    <row r="1626" spans="1:15" x14ac:dyDescent="0.3">
      <c r="A1626" s="19" t="e">
        <f>Table1[[#This Row],[Year_Week]]&amp;"-"&amp;Table1[[#This Row],[DC_name_Xref]]</f>
        <v>#N/A</v>
      </c>
      <c r="B1626" s="19" t="str">
        <f>Table1[[#This Row],[Fiscal_Year]]*100+Table1[[#This Row],[Fiscal_Week]] &amp; "-" &amp;Table1[[#This Row],[BRAND]]</f>
        <v>0-</v>
      </c>
      <c r="C1626" s="19" t="str">
        <f>Table1[[#This Row],[Fiscal_Year]]&amp;"-"&amp;Table1[[#This Row],[BRAND]]</f>
        <v>-</v>
      </c>
      <c r="J1626" t="e">
        <f>VLOOKUP(H1626,DC_Xref!A:B,2,FALSE)</f>
        <v>#N/A</v>
      </c>
      <c r="K1626">
        <f t="shared" si="25"/>
        <v>0</v>
      </c>
      <c r="L16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6" s="3">
        <f>IFERROR(INDEX(Table3[#All],MATCH(Table1[[#This Row],[Key_Year_Week_Brand]],Table3[[#All],[Key_Year_Week_Brand]],0),MATCH(Table1[[#This Row],[DC_name_Xref]],Table3[#Headers],0)),0)</f>
        <v>0</v>
      </c>
      <c r="O1626" s="19">
        <f>IFERROR(INDEX(Table35[#All],MATCH(Table1[[#This Row],[Key_Year_Week_Brand]],Table35[[#All],[Key_Year_Month_Brand]],0),MATCH(Table1[[#This Row],[DC_name_Xref]],Table35[#Headers],0)),0)</f>
        <v>0</v>
      </c>
    </row>
    <row r="1627" spans="1:15" x14ac:dyDescent="0.3">
      <c r="A1627" s="19" t="e">
        <f>Table1[[#This Row],[Year_Week]]&amp;"-"&amp;Table1[[#This Row],[DC_name_Xref]]</f>
        <v>#N/A</v>
      </c>
      <c r="B1627" s="19" t="str">
        <f>Table1[[#This Row],[Fiscal_Year]]*100+Table1[[#This Row],[Fiscal_Week]] &amp; "-" &amp;Table1[[#This Row],[BRAND]]</f>
        <v>0-</v>
      </c>
      <c r="C1627" s="19" t="str">
        <f>Table1[[#This Row],[Fiscal_Year]]&amp;"-"&amp;Table1[[#This Row],[BRAND]]</f>
        <v>-</v>
      </c>
      <c r="J1627" t="e">
        <f>VLOOKUP(H1627,DC_Xref!A:B,2,FALSE)</f>
        <v>#N/A</v>
      </c>
      <c r="K1627">
        <f t="shared" si="25"/>
        <v>0</v>
      </c>
      <c r="L16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7" s="3">
        <f>IFERROR(INDEX(Table3[#All],MATCH(Table1[[#This Row],[Key_Year_Week_Brand]],Table3[[#All],[Key_Year_Week_Brand]],0),MATCH(Table1[[#This Row],[DC_name_Xref]],Table3[#Headers],0)),0)</f>
        <v>0</v>
      </c>
      <c r="O1627" s="19">
        <f>IFERROR(INDEX(Table35[#All],MATCH(Table1[[#This Row],[Key_Year_Week_Brand]],Table35[[#All],[Key_Year_Month_Brand]],0),MATCH(Table1[[#This Row],[DC_name_Xref]],Table35[#Headers],0)),0)</f>
        <v>0</v>
      </c>
    </row>
    <row r="1628" spans="1:15" x14ac:dyDescent="0.3">
      <c r="A1628" s="19" t="e">
        <f>Table1[[#This Row],[Year_Week]]&amp;"-"&amp;Table1[[#This Row],[DC_name_Xref]]</f>
        <v>#N/A</v>
      </c>
      <c r="B1628" s="19" t="str">
        <f>Table1[[#This Row],[Fiscal_Year]]*100+Table1[[#This Row],[Fiscal_Week]] &amp; "-" &amp;Table1[[#This Row],[BRAND]]</f>
        <v>0-</v>
      </c>
      <c r="C1628" s="19" t="str">
        <f>Table1[[#This Row],[Fiscal_Year]]&amp;"-"&amp;Table1[[#This Row],[BRAND]]</f>
        <v>-</v>
      </c>
      <c r="J1628" t="e">
        <f>VLOOKUP(H1628,DC_Xref!A:B,2,FALSE)</f>
        <v>#N/A</v>
      </c>
      <c r="K1628">
        <f t="shared" si="25"/>
        <v>0</v>
      </c>
      <c r="L16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8" s="3">
        <f>IFERROR(INDEX(Table3[#All],MATCH(Table1[[#This Row],[Key_Year_Week_Brand]],Table3[[#All],[Key_Year_Week_Brand]],0),MATCH(Table1[[#This Row],[DC_name_Xref]],Table3[#Headers],0)),0)</f>
        <v>0</v>
      </c>
      <c r="O1628" s="19">
        <f>IFERROR(INDEX(Table35[#All],MATCH(Table1[[#This Row],[Key_Year_Week_Brand]],Table35[[#All],[Key_Year_Month_Brand]],0),MATCH(Table1[[#This Row],[DC_name_Xref]],Table35[#Headers],0)),0)</f>
        <v>0</v>
      </c>
    </row>
    <row r="1629" spans="1:15" x14ac:dyDescent="0.3">
      <c r="A1629" s="19" t="e">
        <f>Table1[[#This Row],[Year_Week]]&amp;"-"&amp;Table1[[#This Row],[DC_name_Xref]]</f>
        <v>#N/A</v>
      </c>
      <c r="B1629" s="19" t="str">
        <f>Table1[[#This Row],[Fiscal_Year]]*100+Table1[[#This Row],[Fiscal_Week]] &amp; "-" &amp;Table1[[#This Row],[BRAND]]</f>
        <v>0-</v>
      </c>
      <c r="C1629" s="19" t="str">
        <f>Table1[[#This Row],[Fiscal_Year]]&amp;"-"&amp;Table1[[#This Row],[BRAND]]</f>
        <v>-</v>
      </c>
      <c r="J1629" t="e">
        <f>VLOOKUP(H1629,DC_Xref!A:B,2,FALSE)</f>
        <v>#N/A</v>
      </c>
      <c r="K1629">
        <f t="shared" si="25"/>
        <v>0</v>
      </c>
      <c r="L16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29" s="3">
        <f>IFERROR(INDEX(Table3[#All],MATCH(Table1[[#This Row],[Key_Year_Week_Brand]],Table3[[#All],[Key_Year_Week_Brand]],0),MATCH(Table1[[#This Row],[DC_name_Xref]],Table3[#Headers],0)),0)</f>
        <v>0</v>
      </c>
      <c r="O1629" s="19">
        <f>IFERROR(INDEX(Table35[#All],MATCH(Table1[[#This Row],[Key_Year_Week_Brand]],Table35[[#All],[Key_Year_Month_Brand]],0),MATCH(Table1[[#This Row],[DC_name_Xref]],Table35[#Headers],0)),0)</f>
        <v>0</v>
      </c>
    </row>
    <row r="1630" spans="1:15" x14ac:dyDescent="0.3">
      <c r="A1630" s="19" t="e">
        <f>Table1[[#This Row],[Year_Week]]&amp;"-"&amp;Table1[[#This Row],[DC_name_Xref]]</f>
        <v>#N/A</v>
      </c>
      <c r="B1630" s="19" t="str">
        <f>Table1[[#This Row],[Fiscal_Year]]*100+Table1[[#This Row],[Fiscal_Week]] &amp; "-" &amp;Table1[[#This Row],[BRAND]]</f>
        <v>0-</v>
      </c>
      <c r="C1630" s="19" t="str">
        <f>Table1[[#This Row],[Fiscal_Year]]&amp;"-"&amp;Table1[[#This Row],[BRAND]]</f>
        <v>-</v>
      </c>
      <c r="J1630" t="e">
        <f>VLOOKUP(H1630,DC_Xref!A:B,2,FALSE)</f>
        <v>#N/A</v>
      </c>
      <c r="K1630">
        <f t="shared" si="25"/>
        <v>0</v>
      </c>
      <c r="L16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0" s="3">
        <f>IFERROR(INDEX(Table3[#All],MATCH(Table1[[#This Row],[Key_Year_Week_Brand]],Table3[[#All],[Key_Year_Week_Brand]],0),MATCH(Table1[[#This Row],[DC_name_Xref]],Table3[#Headers],0)),0)</f>
        <v>0</v>
      </c>
      <c r="O1630" s="19">
        <f>IFERROR(INDEX(Table35[#All],MATCH(Table1[[#This Row],[Key_Year_Week_Brand]],Table35[[#All],[Key_Year_Month_Brand]],0),MATCH(Table1[[#This Row],[DC_name_Xref]],Table35[#Headers],0)),0)</f>
        <v>0</v>
      </c>
    </row>
    <row r="1631" spans="1:15" x14ac:dyDescent="0.3">
      <c r="A1631" s="19" t="e">
        <f>Table1[[#This Row],[Year_Week]]&amp;"-"&amp;Table1[[#This Row],[DC_name_Xref]]</f>
        <v>#N/A</v>
      </c>
      <c r="B1631" s="19" t="str">
        <f>Table1[[#This Row],[Fiscal_Year]]*100+Table1[[#This Row],[Fiscal_Week]] &amp; "-" &amp;Table1[[#This Row],[BRAND]]</f>
        <v>0-</v>
      </c>
      <c r="C1631" s="19" t="str">
        <f>Table1[[#This Row],[Fiscal_Year]]&amp;"-"&amp;Table1[[#This Row],[BRAND]]</f>
        <v>-</v>
      </c>
      <c r="J1631" t="e">
        <f>VLOOKUP(H1631,DC_Xref!A:B,2,FALSE)</f>
        <v>#N/A</v>
      </c>
      <c r="K1631">
        <f t="shared" si="25"/>
        <v>0</v>
      </c>
      <c r="L16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1" s="3">
        <f>IFERROR(INDEX(Table3[#All],MATCH(Table1[[#This Row],[Key_Year_Week_Brand]],Table3[[#All],[Key_Year_Week_Brand]],0),MATCH(Table1[[#This Row],[DC_name_Xref]],Table3[#Headers],0)),0)</f>
        <v>0</v>
      </c>
      <c r="O1631" s="19">
        <f>IFERROR(INDEX(Table35[#All],MATCH(Table1[[#This Row],[Key_Year_Week_Brand]],Table35[[#All],[Key_Year_Month_Brand]],0),MATCH(Table1[[#This Row],[DC_name_Xref]],Table35[#Headers],0)),0)</f>
        <v>0</v>
      </c>
    </row>
    <row r="1632" spans="1:15" x14ac:dyDescent="0.3">
      <c r="A1632" s="19" t="e">
        <f>Table1[[#This Row],[Year_Week]]&amp;"-"&amp;Table1[[#This Row],[DC_name_Xref]]</f>
        <v>#N/A</v>
      </c>
      <c r="B1632" s="19" t="str">
        <f>Table1[[#This Row],[Fiscal_Year]]*100+Table1[[#This Row],[Fiscal_Week]] &amp; "-" &amp;Table1[[#This Row],[BRAND]]</f>
        <v>0-</v>
      </c>
      <c r="C1632" s="19" t="str">
        <f>Table1[[#This Row],[Fiscal_Year]]&amp;"-"&amp;Table1[[#This Row],[BRAND]]</f>
        <v>-</v>
      </c>
      <c r="J1632" t="e">
        <f>VLOOKUP(H1632,DC_Xref!A:B,2,FALSE)</f>
        <v>#N/A</v>
      </c>
      <c r="K1632">
        <f t="shared" si="25"/>
        <v>0</v>
      </c>
      <c r="L16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2" s="3">
        <f>IFERROR(INDEX(Table3[#All],MATCH(Table1[[#This Row],[Key_Year_Week_Brand]],Table3[[#All],[Key_Year_Week_Brand]],0),MATCH(Table1[[#This Row],[DC_name_Xref]],Table3[#Headers],0)),0)</f>
        <v>0</v>
      </c>
      <c r="O1632" s="19">
        <f>IFERROR(INDEX(Table35[#All],MATCH(Table1[[#This Row],[Key_Year_Week_Brand]],Table35[[#All],[Key_Year_Month_Brand]],0),MATCH(Table1[[#This Row],[DC_name_Xref]],Table35[#Headers],0)),0)</f>
        <v>0</v>
      </c>
    </row>
    <row r="1633" spans="1:15" x14ac:dyDescent="0.3">
      <c r="A1633" s="19" t="e">
        <f>Table1[[#This Row],[Year_Week]]&amp;"-"&amp;Table1[[#This Row],[DC_name_Xref]]</f>
        <v>#N/A</v>
      </c>
      <c r="B1633" s="19" t="str">
        <f>Table1[[#This Row],[Fiscal_Year]]*100+Table1[[#This Row],[Fiscal_Week]] &amp; "-" &amp;Table1[[#This Row],[BRAND]]</f>
        <v>0-</v>
      </c>
      <c r="C1633" s="19" t="str">
        <f>Table1[[#This Row],[Fiscal_Year]]&amp;"-"&amp;Table1[[#This Row],[BRAND]]</f>
        <v>-</v>
      </c>
      <c r="J1633" t="e">
        <f>VLOOKUP(H1633,DC_Xref!A:B,2,FALSE)</f>
        <v>#N/A</v>
      </c>
      <c r="K1633">
        <f t="shared" si="25"/>
        <v>0</v>
      </c>
      <c r="L16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3" s="3">
        <f>IFERROR(INDEX(Table3[#All],MATCH(Table1[[#This Row],[Key_Year_Week_Brand]],Table3[[#All],[Key_Year_Week_Brand]],0),MATCH(Table1[[#This Row],[DC_name_Xref]],Table3[#Headers],0)),0)</f>
        <v>0</v>
      </c>
      <c r="O1633" s="19">
        <f>IFERROR(INDEX(Table35[#All],MATCH(Table1[[#This Row],[Key_Year_Week_Brand]],Table35[[#All],[Key_Year_Month_Brand]],0),MATCH(Table1[[#This Row],[DC_name_Xref]],Table35[#Headers],0)),0)</f>
        <v>0</v>
      </c>
    </row>
    <row r="1634" spans="1:15" x14ac:dyDescent="0.3">
      <c r="A1634" s="19" t="e">
        <f>Table1[[#This Row],[Year_Week]]&amp;"-"&amp;Table1[[#This Row],[DC_name_Xref]]</f>
        <v>#N/A</v>
      </c>
      <c r="B1634" s="19" t="str">
        <f>Table1[[#This Row],[Fiscal_Year]]*100+Table1[[#This Row],[Fiscal_Week]] &amp; "-" &amp;Table1[[#This Row],[BRAND]]</f>
        <v>0-</v>
      </c>
      <c r="C1634" s="19" t="str">
        <f>Table1[[#This Row],[Fiscal_Year]]&amp;"-"&amp;Table1[[#This Row],[BRAND]]</f>
        <v>-</v>
      </c>
      <c r="J1634" t="e">
        <f>VLOOKUP(H1634,DC_Xref!A:B,2,FALSE)</f>
        <v>#N/A</v>
      </c>
      <c r="K1634">
        <f t="shared" si="25"/>
        <v>0</v>
      </c>
      <c r="L16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4" s="3">
        <f>IFERROR(INDEX(Table3[#All],MATCH(Table1[[#This Row],[Key_Year_Week_Brand]],Table3[[#All],[Key_Year_Week_Brand]],0),MATCH(Table1[[#This Row],[DC_name_Xref]],Table3[#Headers],0)),0)</f>
        <v>0</v>
      </c>
      <c r="O1634" s="19">
        <f>IFERROR(INDEX(Table35[#All],MATCH(Table1[[#This Row],[Key_Year_Week_Brand]],Table35[[#All],[Key_Year_Month_Brand]],0),MATCH(Table1[[#This Row],[DC_name_Xref]],Table35[#Headers],0)),0)</f>
        <v>0</v>
      </c>
    </row>
    <row r="1635" spans="1:15" x14ac:dyDescent="0.3">
      <c r="A1635" s="19" t="e">
        <f>Table1[[#This Row],[Year_Week]]&amp;"-"&amp;Table1[[#This Row],[DC_name_Xref]]</f>
        <v>#N/A</v>
      </c>
      <c r="B1635" s="19" t="str">
        <f>Table1[[#This Row],[Fiscal_Year]]*100+Table1[[#This Row],[Fiscal_Week]] &amp; "-" &amp;Table1[[#This Row],[BRAND]]</f>
        <v>0-</v>
      </c>
      <c r="C1635" s="19" t="str">
        <f>Table1[[#This Row],[Fiscal_Year]]&amp;"-"&amp;Table1[[#This Row],[BRAND]]</f>
        <v>-</v>
      </c>
      <c r="J1635" t="e">
        <f>VLOOKUP(H1635,DC_Xref!A:B,2,FALSE)</f>
        <v>#N/A</v>
      </c>
      <c r="K1635">
        <f t="shared" si="25"/>
        <v>0</v>
      </c>
      <c r="L16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5" s="3">
        <f>IFERROR(INDEX(Table3[#All],MATCH(Table1[[#This Row],[Key_Year_Week_Brand]],Table3[[#All],[Key_Year_Week_Brand]],0),MATCH(Table1[[#This Row],[DC_name_Xref]],Table3[#Headers],0)),0)</f>
        <v>0</v>
      </c>
      <c r="O1635" s="19">
        <f>IFERROR(INDEX(Table35[#All],MATCH(Table1[[#This Row],[Key_Year_Week_Brand]],Table35[[#All],[Key_Year_Month_Brand]],0),MATCH(Table1[[#This Row],[DC_name_Xref]],Table35[#Headers],0)),0)</f>
        <v>0</v>
      </c>
    </row>
    <row r="1636" spans="1:15" x14ac:dyDescent="0.3">
      <c r="A1636" s="19" t="e">
        <f>Table1[[#This Row],[Year_Week]]&amp;"-"&amp;Table1[[#This Row],[DC_name_Xref]]</f>
        <v>#N/A</v>
      </c>
      <c r="B1636" s="19" t="str">
        <f>Table1[[#This Row],[Fiscal_Year]]*100+Table1[[#This Row],[Fiscal_Week]] &amp; "-" &amp;Table1[[#This Row],[BRAND]]</f>
        <v>0-</v>
      </c>
      <c r="C1636" s="19" t="str">
        <f>Table1[[#This Row],[Fiscal_Year]]&amp;"-"&amp;Table1[[#This Row],[BRAND]]</f>
        <v>-</v>
      </c>
      <c r="J1636" t="e">
        <f>VLOOKUP(H1636,DC_Xref!A:B,2,FALSE)</f>
        <v>#N/A</v>
      </c>
      <c r="K1636">
        <f t="shared" si="25"/>
        <v>0</v>
      </c>
      <c r="L16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6" s="3">
        <f>IFERROR(INDEX(Table3[#All],MATCH(Table1[[#This Row],[Key_Year_Week_Brand]],Table3[[#All],[Key_Year_Week_Brand]],0),MATCH(Table1[[#This Row],[DC_name_Xref]],Table3[#Headers],0)),0)</f>
        <v>0</v>
      </c>
      <c r="O1636" s="19">
        <f>IFERROR(INDEX(Table35[#All],MATCH(Table1[[#This Row],[Key_Year_Week_Brand]],Table35[[#All],[Key_Year_Month_Brand]],0),MATCH(Table1[[#This Row],[DC_name_Xref]],Table35[#Headers],0)),0)</f>
        <v>0</v>
      </c>
    </row>
    <row r="1637" spans="1:15" x14ac:dyDescent="0.3">
      <c r="A1637" s="19" t="e">
        <f>Table1[[#This Row],[Year_Week]]&amp;"-"&amp;Table1[[#This Row],[DC_name_Xref]]</f>
        <v>#N/A</v>
      </c>
      <c r="B1637" s="19" t="str">
        <f>Table1[[#This Row],[Fiscal_Year]]*100+Table1[[#This Row],[Fiscal_Week]] &amp; "-" &amp;Table1[[#This Row],[BRAND]]</f>
        <v>0-</v>
      </c>
      <c r="C1637" s="19" t="str">
        <f>Table1[[#This Row],[Fiscal_Year]]&amp;"-"&amp;Table1[[#This Row],[BRAND]]</f>
        <v>-</v>
      </c>
      <c r="J1637" t="e">
        <f>VLOOKUP(H1637,DC_Xref!A:B,2,FALSE)</f>
        <v>#N/A</v>
      </c>
      <c r="K1637">
        <f t="shared" si="25"/>
        <v>0</v>
      </c>
      <c r="L16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7" s="3">
        <f>IFERROR(INDEX(Table3[#All],MATCH(Table1[[#This Row],[Key_Year_Week_Brand]],Table3[[#All],[Key_Year_Week_Brand]],0),MATCH(Table1[[#This Row],[DC_name_Xref]],Table3[#Headers],0)),0)</f>
        <v>0</v>
      </c>
      <c r="O1637" s="19">
        <f>IFERROR(INDEX(Table35[#All],MATCH(Table1[[#This Row],[Key_Year_Week_Brand]],Table35[[#All],[Key_Year_Month_Brand]],0),MATCH(Table1[[#This Row],[DC_name_Xref]],Table35[#Headers],0)),0)</f>
        <v>0</v>
      </c>
    </row>
    <row r="1638" spans="1:15" x14ac:dyDescent="0.3">
      <c r="A1638" s="19" t="e">
        <f>Table1[[#This Row],[Year_Week]]&amp;"-"&amp;Table1[[#This Row],[DC_name_Xref]]</f>
        <v>#N/A</v>
      </c>
      <c r="B1638" s="19" t="str">
        <f>Table1[[#This Row],[Fiscal_Year]]*100+Table1[[#This Row],[Fiscal_Week]] &amp; "-" &amp;Table1[[#This Row],[BRAND]]</f>
        <v>0-</v>
      </c>
      <c r="C1638" s="19" t="str">
        <f>Table1[[#This Row],[Fiscal_Year]]&amp;"-"&amp;Table1[[#This Row],[BRAND]]</f>
        <v>-</v>
      </c>
      <c r="J1638" t="e">
        <f>VLOOKUP(H1638,DC_Xref!A:B,2,FALSE)</f>
        <v>#N/A</v>
      </c>
      <c r="K1638">
        <f t="shared" si="25"/>
        <v>0</v>
      </c>
      <c r="L16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8" s="3">
        <f>IFERROR(INDEX(Table3[#All],MATCH(Table1[[#This Row],[Key_Year_Week_Brand]],Table3[[#All],[Key_Year_Week_Brand]],0),MATCH(Table1[[#This Row],[DC_name_Xref]],Table3[#Headers],0)),0)</f>
        <v>0</v>
      </c>
      <c r="O1638" s="19">
        <f>IFERROR(INDEX(Table35[#All],MATCH(Table1[[#This Row],[Key_Year_Week_Brand]],Table35[[#All],[Key_Year_Month_Brand]],0),MATCH(Table1[[#This Row],[DC_name_Xref]],Table35[#Headers],0)),0)</f>
        <v>0</v>
      </c>
    </row>
    <row r="1639" spans="1:15" x14ac:dyDescent="0.3">
      <c r="A1639" s="19" t="e">
        <f>Table1[[#This Row],[Year_Week]]&amp;"-"&amp;Table1[[#This Row],[DC_name_Xref]]</f>
        <v>#N/A</v>
      </c>
      <c r="B1639" s="19" t="str">
        <f>Table1[[#This Row],[Fiscal_Year]]*100+Table1[[#This Row],[Fiscal_Week]] &amp; "-" &amp;Table1[[#This Row],[BRAND]]</f>
        <v>0-</v>
      </c>
      <c r="C1639" s="19" t="str">
        <f>Table1[[#This Row],[Fiscal_Year]]&amp;"-"&amp;Table1[[#This Row],[BRAND]]</f>
        <v>-</v>
      </c>
      <c r="J1639" t="e">
        <f>VLOOKUP(H1639,DC_Xref!A:B,2,FALSE)</f>
        <v>#N/A</v>
      </c>
      <c r="K1639">
        <f t="shared" si="25"/>
        <v>0</v>
      </c>
      <c r="L16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39" s="3">
        <f>IFERROR(INDEX(Table3[#All],MATCH(Table1[[#This Row],[Key_Year_Week_Brand]],Table3[[#All],[Key_Year_Week_Brand]],0),MATCH(Table1[[#This Row],[DC_name_Xref]],Table3[#Headers],0)),0)</f>
        <v>0</v>
      </c>
      <c r="O1639" s="19">
        <f>IFERROR(INDEX(Table35[#All],MATCH(Table1[[#This Row],[Key_Year_Week_Brand]],Table35[[#All],[Key_Year_Month_Brand]],0),MATCH(Table1[[#This Row],[DC_name_Xref]],Table35[#Headers],0)),0)</f>
        <v>0</v>
      </c>
    </row>
    <row r="1640" spans="1:15" x14ac:dyDescent="0.3">
      <c r="A1640" s="19" t="e">
        <f>Table1[[#This Row],[Year_Week]]&amp;"-"&amp;Table1[[#This Row],[DC_name_Xref]]</f>
        <v>#N/A</v>
      </c>
      <c r="B1640" s="19" t="str">
        <f>Table1[[#This Row],[Fiscal_Year]]*100+Table1[[#This Row],[Fiscal_Week]] &amp; "-" &amp;Table1[[#This Row],[BRAND]]</f>
        <v>0-</v>
      </c>
      <c r="C1640" s="19" t="str">
        <f>Table1[[#This Row],[Fiscal_Year]]&amp;"-"&amp;Table1[[#This Row],[BRAND]]</f>
        <v>-</v>
      </c>
      <c r="J1640" t="e">
        <f>VLOOKUP(H1640,DC_Xref!A:B,2,FALSE)</f>
        <v>#N/A</v>
      </c>
      <c r="K1640">
        <f t="shared" si="25"/>
        <v>0</v>
      </c>
      <c r="L16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0" s="3">
        <f>IFERROR(INDEX(Table3[#All],MATCH(Table1[[#This Row],[Key_Year_Week_Brand]],Table3[[#All],[Key_Year_Week_Brand]],0),MATCH(Table1[[#This Row],[DC_name_Xref]],Table3[#Headers],0)),0)</f>
        <v>0</v>
      </c>
      <c r="O1640" s="19">
        <f>IFERROR(INDEX(Table35[#All],MATCH(Table1[[#This Row],[Key_Year_Week_Brand]],Table35[[#All],[Key_Year_Month_Brand]],0),MATCH(Table1[[#This Row],[DC_name_Xref]],Table35[#Headers],0)),0)</f>
        <v>0</v>
      </c>
    </row>
    <row r="1641" spans="1:15" x14ac:dyDescent="0.3">
      <c r="A1641" s="19" t="e">
        <f>Table1[[#This Row],[Year_Week]]&amp;"-"&amp;Table1[[#This Row],[DC_name_Xref]]</f>
        <v>#N/A</v>
      </c>
      <c r="B1641" s="19" t="str">
        <f>Table1[[#This Row],[Fiscal_Year]]*100+Table1[[#This Row],[Fiscal_Week]] &amp; "-" &amp;Table1[[#This Row],[BRAND]]</f>
        <v>0-</v>
      </c>
      <c r="C1641" s="19" t="str">
        <f>Table1[[#This Row],[Fiscal_Year]]&amp;"-"&amp;Table1[[#This Row],[BRAND]]</f>
        <v>-</v>
      </c>
      <c r="J1641" t="e">
        <f>VLOOKUP(H1641,DC_Xref!A:B,2,FALSE)</f>
        <v>#N/A</v>
      </c>
      <c r="K1641">
        <f t="shared" si="25"/>
        <v>0</v>
      </c>
      <c r="L16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1" s="3">
        <f>IFERROR(INDEX(Table3[#All],MATCH(Table1[[#This Row],[Key_Year_Week_Brand]],Table3[[#All],[Key_Year_Week_Brand]],0),MATCH(Table1[[#This Row],[DC_name_Xref]],Table3[#Headers],0)),0)</f>
        <v>0</v>
      </c>
      <c r="O1641" s="19">
        <f>IFERROR(INDEX(Table35[#All],MATCH(Table1[[#This Row],[Key_Year_Week_Brand]],Table35[[#All],[Key_Year_Month_Brand]],0),MATCH(Table1[[#This Row],[DC_name_Xref]],Table35[#Headers],0)),0)</f>
        <v>0</v>
      </c>
    </row>
    <row r="1642" spans="1:15" x14ac:dyDescent="0.3">
      <c r="A1642" s="19" t="e">
        <f>Table1[[#This Row],[Year_Week]]&amp;"-"&amp;Table1[[#This Row],[DC_name_Xref]]</f>
        <v>#N/A</v>
      </c>
      <c r="B1642" s="19" t="str">
        <f>Table1[[#This Row],[Fiscal_Year]]*100+Table1[[#This Row],[Fiscal_Week]] &amp; "-" &amp;Table1[[#This Row],[BRAND]]</f>
        <v>0-</v>
      </c>
      <c r="C1642" s="19" t="str">
        <f>Table1[[#This Row],[Fiscal_Year]]&amp;"-"&amp;Table1[[#This Row],[BRAND]]</f>
        <v>-</v>
      </c>
      <c r="J1642" t="e">
        <f>VLOOKUP(H1642,DC_Xref!A:B,2,FALSE)</f>
        <v>#N/A</v>
      </c>
      <c r="K1642">
        <f t="shared" si="25"/>
        <v>0</v>
      </c>
      <c r="L16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2" s="3">
        <f>IFERROR(INDEX(Table3[#All],MATCH(Table1[[#This Row],[Key_Year_Week_Brand]],Table3[[#All],[Key_Year_Week_Brand]],0),MATCH(Table1[[#This Row],[DC_name_Xref]],Table3[#Headers],0)),0)</f>
        <v>0</v>
      </c>
      <c r="O1642" s="19">
        <f>IFERROR(INDEX(Table35[#All],MATCH(Table1[[#This Row],[Key_Year_Week_Brand]],Table35[[#All],[Key_Year_Month_Brand]],0),MATCH(Table1[[#This Row],[DC_name_Xref]],Table35[#Headers],0)),0)</f>
        <v>0</v>
      </c>
    </row>
    <row r="1643" spans="1:15" x14ac:dyDescent="0.3">
      <c r="A1643" s="19" t="e">
        <f>Table1[[#This Row],[Year_Week]]&amp;"-"&amp;Table1[[#This Row],[DC_name_Xref]]</f>
        <v>#N/A</v>
      </c>
      <c r="B1643" s="19" t="str">
        <f>Table1[[#This Row],[Fiscal_Year]]*100+Table1[[#This Row],[Fiscal_Week]] &amp; "-" &amp;Table1[[#This Row],[BRAND]]</f>
        <v>0-</v>
      </c>
      <c r="C1643" s="19" t="str">
        <f>Table1[[#This Row],[Fiscal_Year]]&amp;"-"&amp;Table1[[#This Row],[BRAND]]</f>
        <v>-</v>
      </c>
      <c r="J1643" t="e">
        <f>VLOOKUP(H1643,DC_Xref!A:B,2,FALSE)</f>
        <v>#N/A</v>
      </c>
      <c r="K1643">
        <f t="shared" si="25"/>
        <v>0</v>
      </c>
      <c r="L16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3" s="3">
        <f>IFERROR(INDEX(Table3[#All],MATCH(Table1[[#This Row],[Key_Year_Week_Brand]],Table3[[#All],[Key_Year_Week_Brand]],0),MATCH(Table1[[#This Row],[DC_name_Xref]],Table3[#Headers],0)),0)</f>
        <v>0</v>
      </c>
      <c r="O1643" s="19">
        <f>IFERROR(INDEX(Table35[#All],MATCH(Table1[[#This Row],[Key_Year_Week_Brand]],Table35[[#All],[Key_Year_Month_Brand]],0),MATCH(Table1[[#This Row],[DC_name_Xref]],Table35[#Headers],0)),0)</f>
        <v>0</v>
      </c>
    </row>
    <row r="1644" spans="1:15" x14ac:dyDescent="0.3">
      <c r="A1644" s="19" t="e">
        <f>Table1[[#This Row],[Year_Week]]&amp;"-"&amp;Table1[[#This Row],[DC_name_Xref]]</f>
        <v>#N/A</v>
      </c>
      <c r="B1644" s="19" t="str">
        <f>Table1[[#This Row],[Fiscal_Year]]*100+Table1[[#This Row],[Fiscal_Week]] &amp; "-" &amp;Table1[[#This Row],[BRAND]]</f>
        <v>0-</v>
      </c>
      <c r="C1644" s="19" t="str">
        <f>Table1[[#This Row],[Fiscal_Year]]&amp;"-"&amp;Table1[[#This Row],[BRAND]]</f>
        <v>-</v>
      </c>
      <c r="J1644" t="e">
        <f>VLOOKUP(H1644,DC_Xref!A:B,2,FALSE)</f>
        <v>#N/A</v>
      </c>
      <c r="K1644">
        <f t="shared" si="25"/>
        <v>0</v>
      </c>
      <c r="L16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4" s="3">
        <f>IFERROR(INDEX(Table3[#All],MATCH(Table1[[#This Row],[Key_Year_Week_Brand]],Table3[[#All],[Key_Year_Week_Brand]],0),MATCH(Table1[[#This Row],[DC_name_Xref]],Table3[#Headers],0)),0)</f>
        <v>0</v>
      </c>
      <c r="O1644" s="19">
        <f>IFERROR(INDEX(Table35[#All],MATCH(Table1[[#This Row],[Key_Year_Week_Brand]],Table35[[#All],[Key_Year_Month_Brand]],0),MATCH(Table1[[#This Row],[DC_name_Xref]],Table35[#Headers],0)),0)</f>
        <v>0</v>
      </c>
    </row>
    <row r="1645" spans="1:15" x14ac:dyDescent="0.3">
      <c r="A1645" s="19" t="e">
        <f>Table1[[#This Row],[Year_Week]]&amp;"-"&amp;Table1[[#This Row],[DC_name_Xref]]</f>
        <v>#N/A</v>
      </c>
      <c r="B1645" s="19" t="str">
        <f>Table1[[#This Row],[Fiscal_Year]]*100+Table1[[#This Row],[Fiscal_Week]] &amp; "-" &amp;Table1[[#This Row],[BRAND]]</f>
        <v>0-</v>
      </c>
      <c r="C1645" s="19" t="str">
        <f>Table1[[#This Row],[Fiscal_Year]]&amp;"-"&amp;Table1[[#This Row],[BRAND]]</f>
        <v>-</v>
      </c>
      <c r="J1645" t="e">
        <f>VLOOKUP(H1645,DC_Xref!A:B,2,FALSE)</f>
        <v>#N/A</v>
      </c>
      <c r="K1645">
        <f t="shared" si="25"/>
        <v>0</v>
      </c>
      <c r="L16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5" s="3">
        <f>IFERROR(INDEX(Table3[#All],MATCH(Table1[[#This Row],[Key_Year_Week_Brand]],Table3[[#All],[Key_Year_Week_Brand]],0),MATCH(Table1[[#This Row],[DC_name_Xref]],Table3[#Headers],0)),0)</f>
        <v>0</v>
      </c>
      <c r="O1645" s="19">
        <f>IFERROR(INDEX(Table35[#All],MATCH(Table1[[#This Row],[Key_Year_Week_Brand]],Table35[[#All],[Key_Year_Month_Brand]],0),MATCH(Table1[[#This Row],[DC_name_Xref]],Table35[#Headers],0)),0)</f>
        <v>0</v>
      </c>
    </row>
    <row r="1646" spans="1:15" x14ac:dyDescent="0.3">
      <c r="A1646" s="19" t="e">
        <f>Table1[[#This Row],[Year_Week]]&amp;"-"&amp;Table1[[#This Row],[DC_name_Xref]]</f>
        <v>#N/A</v>
      </c>
      <c r="B1646" s="19" t="str">
        <f>Table1[[#This Row],[Fiscal_Year]]*100+Table1[[#This Row],[Fiscal_Week]] &amp; "-" &amp;Table1[[#This Row],[BRAND]]</f>
        <v>0-</v>
      </c>
      <c r="C1646" s="19" t="str">
        <f>Table1[[#This Row],[Fiscal_Year]]&amp;"-"&amp;Table1[[#This Row],[BRAND]]</f>
        <v>-</v>
      </c>
      <c r="J1646" t="e">
        <f>VLOOKUP(H1646,DC_Xref!A:B,2,FALSE)</f>
        <v>#N/A</v>
      </c>
      <c r="K1646">
        <f t="shared" si="25"/>
        <v>0</v>
      </c>
      <c r="L16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6" s="3">
        <f>IFERROR(INDEX(Table3[#All],MATCH(Table1[[#This Row],[Key_Year_Week_Brand]],Table3[[#All],[Key_Year_Week_Brand]],0),MATCH(Table1[[#This Row],[DC_name_Xref]],Table3[#Headers],0)),0)</f>
        <v>0</v>
      </c>
      <c r="O1646" s="19">
        <f>IFERROR(INDEX(Table35[#All],MATCH(Table1[[#This Row],[Key_Year_Week_Brand]],Table35[[#All],[Key_Year_Month_Brand]],0),MATCH(Table1[[#This Row],[DC_name_Xref]],Table35[#Headers],0)),0)</f>
        <v>0</v>
      </c>
    </row>
    <row r="1647" spans="1:15" x14ac:dyDescent="0.3">
      <c r="A1647" s="19" t="e">
        <f>Table1[[#This Row],[Year_Week]]&amp;"-"&amp;Table1[[#This Row],[DC_name_Xref]]</f>
        <v>#N/A</v>
      </c>
      <c r="B1647" s="19" t="str">
        <f>Table1[[#This Row],[Fiscal_Year]]*100+Table1[[#This Row],[Fiscal_Week]] &amp; "-" &amp;Table1[[#This Row],[BRAND]]</f>
        <v>0-</v>
      </c>
      <c r="C1647" s="19" t="str">
        <f>Table1[[#This Row],[Fiscal_Year]]&amp;"-"&amp;Table1[[#This Row],[BRAND]]</f>
        <v>-</v>
      </c>
      <c r="J1647" t="e">
        <f>VLOOKUP(H1647,DC_Xref!A:B,2,FALSE)</f>
        <v>#N/A</v>
      </c>
      <c r="K1647">
        <f t="shared" si="25"/>
        <v>0</v>
      </c>
      <c r="L16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7" s="3">
        <f>IFERROR(INDEX(Table3[#All],MATCH(Table1[[#This Row],[Key_Year_Week_Brand]],Table3[[#All],[Key_Year_Week_Brand]],0),MATCH(Table1[[#This Row],[DC_name_Xref]],Table3[#Headers],0)),0)</f>
        <v>0</v>
      </c>
      <c r="O1647" s="19">
        <f>IFERROR(INDEX(Table35[#All],MATCH(Table1[[#This Row],[Key_Year_Week_Brand]],Table35[[#All],[Key_Year_Month_Brand]],0),MATCH(Table1[[#This Row],[DC_name_Xref]],Table35[#Headers],0)),0)</f>
        <v>0</v>
      </c>
    </row>
    <row r="1648" spans="1:15" x14ac:dyDescent="0.3">
      <c r="A1648" s="19" t="e">
        <f>Table1[[#This Row],[Year_Week]]&amp;"-"&amp;Table1[[#This Row],[DC_name_Xref]]</f>
        <v>#N/A</v>
      </c>
      <c r="B1648" s="19" t="str">
        <f>Table1[[#This Row],[Fiscal_Year]]*100+Table1[[#This Row],[Fiscal_Week]] &amp; "-" &amp;Table1[[#This Row],[BRAND]]</f>
        <v>0-</v>
      </c>
      <c r="C1648" s="19" t="str">
        <f>Table1[[#This Row],[Fiscal_Year]]&amp;"-"&amp;Table1[[#This Row],[BRAND]]</f>
        <v>-</v>
      </c>
      <c r="J1648" t="e">
        <f>VLOOKUP(H1648,DC_Xref!A:B,2,FALSE)</f>
        <v>#N/A</v>
      </c>
      <c r="K1648">
        <f t="shared" si="25"/>
        <v>0</v>
      </c>
      <c r="L16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8" s="3">
        <f>IFERROR(INDEX(Table3[#All],MATCH(Table1[[#This Row],[Key_Year_Week_Brand]],Table3[[#All],[Key_Year_Week_Brand]],0),MATCH(Table1[[#This Row],[DC_name_Xref]],Table3[#Headers],0)),0)</f>
        <v>0</v>
      </c>
      <c r="O1648" s="19">
        <f>IFERROR(INDEX(Table35[#All],MATCH(Table1[[#This Row],[Key_Year_Week_Brand]],Table35[[#All],[Key_Year_Month_Brand]],0),MATCH(Table1[[#This Row],[DC_name_Xref]],Table35[#Headers],0)),0)</f>
        <v>0</v>
      </c>
    </row>
    <row r="1649" spans="1:15" x14ac:dyDescent="0.3">
      <c r="A1649" s="19" t="e">
        <f>Table1[[#This Row],[Year_Week]]&amp;"-"&amp;Table1[[#This Row],[DC_name_Xref]]</f>
        <v>#N/A</v>
      </c>
      <c r="B1649" s="19" t="str">
        <f>Table1[[#This Row],[Fiscal_Year]]*100+Table1[[#This Row],[Fiscal_Week]] &amp; "-" &amp;Table1[[#This Row],[BRAND]]</f>
        <v>0-</v>
      </c>
      <c r="C1649" s="19" t="str">
        <f>Table1[[#This Row],[Fiscal_Year]]&amp;"-"&amp;Table1[[#This Row],[BRAND]]</f>
        <v>-</v>
      </c>
      <c r="J1649" t="e">
        <f>VLOOKUP(H1649,DC_Xref!A:B,2,FALSE)</f>
        <v>#N/A</v>
      </c>
      <c r="K1649">
        <f t="shared" si="25"/>
        <v>0</v>
      </c>
      <c r="L16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49" s="3">
        <f>IFERROR(INDEX(Table3[#All],MATCH(Table1[[#This Row],[Key_Year_Week_Brand]],Table3[[#All],[Key_Year_Week_Brand]],0),MATCH(Table1[[#This Row],[DC_name_Xref]],Table3[#Headers],0)),0)</f>
        <v>0</v>
      </c>
      <c r="O1649" s="19">
        <f>IFERROR(INDEX(Table35[#All],MATCH(Table1[[#This Row],[Key_Year_Week_Brand]],Table35[[#All],[Key_Year_Month_Brand]],0),MATCH(Table1[[#This Row],[DC_name_Xref]],Table35[#Headers],0)),0)</f>
        <v>0</v>
      </c>
    </row>
    <row r="1650" spans="1:15" x14ac:dyDescent="0.3">
      <c r="A1650" s="19" t="e">
        <f>Table1[[#This Row],[Year_Week]]&amp;"-"&amp;Table1[[#This Row],[DC_name_Xref]]</f>
        <v>#N/A</v>
      </c>
      <c r="B1650" s="19" t="str">
        <f>Table1[[#This Row],[Fiscal_Year]]*100+Table1[[#This Row],[Fiscal_Week]] &amp; "-" &amp;Table1[[#This Row],[BRAND]]</f>
        <v>0-</v>
      </c>
      <c r="C1650" s="19" t="str">
        <f>Table1[[#This Row],[Fiscal_Year]]&amp;"-"&amp;Table1[[#This Row],[BRAND]]</f>
        <v>-</v>
      </c>
      <c r="J1650" t="e">
        <f>VLOOKUP(H1650,DC_Xref!A:B,2,FALSE)</f>
        <v>#N/A</v>
      </c>
      <c r="K1650">
        <f t="shared" si="25"/>
        <v>0</v>
      </c>
      <c r="L16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0" s="3">
        <f>IFERROR(INDEX(Table3[#All],MATCH(Table1[[#This Row],[Key_Year_Week_Brand]],Table3[[#All],[Key_Year_Week_Brand]],0),MATCH(Table1[[#This Row],[DC_name_Xref]],Table3[#Headers],0)),0)</f>
        <v>0</v>
      </c>
      <c r="O1650" s="19">
        <f>IFERROR(INDEX(Table35[#All],MATCH(Table1[[#This Row],[Key_Year_Week_Brand]],Table35[[#All],[Key_Year_Month_Brand]],0),MATCH(Table1[[#This Row],[DC_name_Xref]],Table35[#Headers],0)),0)</f>
        <v>0</v>
      </c>
    </row>
    <row r="1651" spans="1:15" x14ac:dyDescent="0.3">
      <c r="A1651" s="19" t="e">
        <f>Table1[[#This Row],[Year_Week]]&amp;"-"&amp;Table1[[#This Row],[DC_name_Xref]]</f>
        <v>#N/A</v>
      </c>
      <c r="B1651" s="19" t="str">
        <f>Table1[[#This Row],[Fiscal_Year]]*100+Table1[[#This Row],[Fiscal_Week]] &amp; "-" &amp;Table1[[#This Row],[BRAND]]</f>
        <v>0-</v>
      </c>
      <c r="C1651" s="19" t="str">
        <f>Table1[[#This Row],[Fiscal_Year]]&amp;"-"&amp;Table1[[#This Row],[BRAND]]</f>
        <v>-</v>
      </c>
      <c r="J1651" t="e">
        <f>VLOOKUP(H1651,DC_Xref!A:B,2,FALSE)</f>
        <v>#N/A</v>
      </c>
      <c r="K1651">
        <f t="shared" si="25"/>
        <v>0</v>
      </c>
      <c r="L16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1" s="3">
        <f>IFERROR(INDEX(Table3[#All],MATCH(Table1[[#This Row],[Key_Year_Week_Brand]],Table3[[#All],[Key_Year_Week_Brand]],0),MATCH(Table1[[#This Row],[DC_name_Xref]],Table3[#Headers],0)),0)</f>
        <v>0</v>
      </c>
      <c r="O1651" s="19">
        <f>IFERROR(INDEX(Table35[#All],MATCH(Table1[[#This Row],[Key_Year_Week_Brand]],Table35[[#All],[Key_Year_Month_Brand]],0),MATCH(Table1[[#This Row],[DC_name_Xref]],Table35[#Headers],0)),0)</f>
        <v>0</v>
      </c>
    </row>
    <row r="1652" spans="1:15" x14ac:dyDescent="0.3">
      <c r="A1652" s="19" t="e">
        <f>Table1[[#This Row],[Year_Week]]&amp;"-"&amp;Table1[[#This Row],[DC_name_Xref]]</f>
        <v>#N/A</v>
      </c>
      <c r="B1652" s="19" t="str">
        <f>Table1[[#This Row],[Fiscal_Year]]*100+Table1[[#This Row],[Fiscal_Week]] &amp; "-" &amp;Table1[[#This Row],[BRAND]]</f>
        <v>0-</v>
      </c>
      <c r="C1652" s="19" t="str">
        <f>Table1[[#This Row],[Fiscal_Year]]&amp;"-"&amp;Table1[[#This Row],[BRAND]]</f>
        <v>-</v>
      </c>
      <c r="J1652" t="e">
        <f>VLOOKUP(H1652,DC_Xref!A:B,2,FALSE)</f>
        <v>#N/A</v>
      </c>
      <c r="K1652">
        <f t="shared" si="25"/>
        <v>0</v>
      </c>
      <c r="L16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2" s="3">
        <f>IFERROR(INDEX(Table3[#All],MATCH(Table1[[#This Row],[Key_Year_Week_Brand]],Table3[[#All],[Key_Year_Week_Brand]],0),MATCH(Table1[[#This Row],[DC_name_Xref]],Table3[#Headers],0)),0)</f>
        <v>0</v>
      </c>
      <c r="O1652" s="19">
        <f>IFERROR(INDEX(Table35[#All],MATCH(Table1[[#This Row],[Key_Year_Week_Brand]],Table35[[#All],[Key_Year_Month_Brand]],0),MATCH(Table1[[#This Row],[DC_name_Xref]],Table35[#Headers],0)),0)</f>
        <v>0</v>
      </c>
    </row>
    <row r="1653" spans="1:15" x14ac:dyDescent="0.3">
      <c r="A1653" s="19" t="e">
        <f>Table1[[#This Row],[Year_Week]]&amp;"-"&amp;Table1[[#This Row],[DC_name_Xref]]</f>
        <v>#N/A</v>
      </c>
      <c r="B1653" s="19" t="str">
        <f>Table1[[#This Row],[Fiscal_Year]]*100+Table1[[#This Row],[Fiscal_Week]] &amp; "-" &amp;Table1[[#This Row],[BRAND]]</f>
        <v>0-</v>
      </c>
      <c r="C1653" s="19" t="str">
        <f>Table1[[#This Row],[Fiscal_Year]]&amp;"-"&amp;Table1[[#This Row],[BRAND]]</f>
        <v>-</v>
      </c>
      <c r="J1653" t="e">
        <f>VLOOKUP(H1653,DC_Xref!A:B,2,FALSE)</f>
        <v>#N/A</v>
      </c>
      <c r="K1653">
        <f t="shared" si="25"/>
        <v>0</v>
      </c>
      <c r="L16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3" s="3">
        <f>IFERROR(INDEX(Table3[#All],MATCH(Table1[[#This Row],[Key_Year_Week_Brand]],Table3[[#All],[Key_Year_Week_Brand]],0),MATCH(Table1[[#This Row],[DC_name_Xref]],Table3[#Headers],0)),0)</f>
        <v>0</v>
      </c>
      <c r="O1653" s="19">
        <f>IFERROR(INDEX(Table35[#All],MATCH(Table1[[#This Row],[Key_Year_Week_Brand]],Table35[[#All],[Key_Year_Month_Brand]],0),MATCH(Table1[[#This Row],[DC_name_Xref]],Table35[#Headers],0)),0)</f>
        <v>0</v>
      </c>
    </row>
    <row r="1654" spans="1:15" x14ac:dyDescent="0.3">
      <c r="A1654" s="19" t="e">
        <f>Table1[[#This Row],[Year_Week]]&amp;"-"&amp;Table1[[#This Row],[DC_name_Xref]]</f>
        <v>#N/A</v>
      </c>
      <c r="B1654" s="19" t="str">
        <f>Table1[[#This Row],[Fiscal_Year]]*100+Table1[[#This Row],[Fiscal_Week]] &amp; "-" &amp;Table1[[#This Row],[BRAND]]</f>
        <v>0-</v>
      </c>
      <c r="C1654" s="19" t="str">
        <f>Table1[[#This Row],[Fiscal_Year]]&amp;"-"&amp;Table1[[#This Row],[BRAND]]</f>
        <v>-</v>
      </c>
      <c r="J1654" t="e">
        <f>VLOOKUP(H1654,DC_Xref!A:B,2,FALSE)</f>
        <v>#N/A</v>
      </c>
      <c r="K1654">
        <f t="shared" si="25"/>
        <v>0</v>
      </c>
      <c r="L16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4" s="3">
        <f>IFERROR(INDEX(Table3[#All],MATCH(Table1[[#This Row],[Key_Year_Week_Brand]],Table3[[#All],[Key_Year_Week_Brand]],0),MATCH(Table1[[#This Row],[DC_name_Xref]],Table3[#Headers],0)),0)</f>
        <v>0</v>
      </c>
      <c r="O1654" s="19">
        <f>IFERROR(INDEX(Table35[#All],MATCH(Table1[[#This Row],[Key_Year_Week_Brand]],Table35[[#All],[Key_Year_Month_Brand]],0),MATCH(Table1[[#This Row],[DC_name_Xref]],Table35[#Headers],0)),0)</f>
        <v>0</v>
      </c>
    </row>
    <row r="1655" spans="1:15" x14ac:dyDescent="0.3">
      <c r="A1655" s="19" t="e">
        <f>Table1[[#This Row],[Year_Week]]&amp;"-"&amp;Table1[[#This Row],[DC_name_Xref]]</f>
        <v>#N/A</v>
      </c>
      <c r="B1655" s="19" t="str">
        <f>Table1[[#This Row],[Fiscal_Year]]*100+Table1[[#This Row],[Fiscal_Week]] &amp; "-" &amp;Table1[[#This Row],[BRAND]]</f>
        <v>0-</v>
      </c>
      <c r="C1655" s="19" t="str">
        <f>Table1[[#This Row],[Fiscal_Year]]&amp;"-"&amp;Table1[[#This Row],[BRAND]]</f>
        <v>-</v>
      </c>
      <c r="J1655" t="e">
        <f>VLOOKUP(H1655,DC_Xref!A:B,2,FALSE)</f>
        <v>#N/A</v>
      </c>
      <c r="K1655">
        <f t="shared" si="25"/>
        <v>0</v>
      </c>
      <c r="L16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5" s="3">
        <f>IFERROR(INDEX(Table3[#All],MATCH(Table1[[#This Row],[Key_Year_Week_Brand]],Table3[[#All],[Key_Year_Week_Brand]],0),MATCH(Table1[[#This Row],[DC_name_Xref]],Table3[#Headers],0)),0)</f>
        <v>0</v>
      </c>
      <c r="O1655" s="19">
        <f>IFERROR(INDEX(Table35[#All],MATCH(Table1[[#This Row],[Key_Year_Week_Brand]],Table35[[#All],[Key_Year_Month_Brand]],0),MATCH(Table1[[#This Row],[DC_name_Xref]],Table35[#Headers],0)),0)</f>
        <v>0</v>
      </c>
    </row>
    <row r="1656" spans="1:15" x14ac:dyDescent="0.3">
      <c r="A1656" s="19" t="e">
        <f>Table1[[#This Row],[Year_Week]]&amp;"-"&amp;Table1[[#This Row],[DC_name_Xref]]</f>
        <v>#N/A</v>
      </c>
      <c r="B1656" s="19" t="str">
        <f>Table1[[#This Row],[Fiscal_Year]]*100+Table1[[#This Row],[Fiscal_Week]] &amp; "-" &amp;Table1[[#This Row],[BRAND]]</f>
        <v>0-</v>
      </c>
      <c r="C1656" s="19" t="str">
        <f>Table1[[#This Row],[Fiscal_Year]]&amp;"-"&amp;Table1[[#This Row],[BRAND]]</f>
        <v>-</v>
      </c>
      <c r="J1656" t="e">
        <f>VLOOKUP(H1656,DC_Xref!A:B,2,FALSE)</f>
        <v>#N/A</v>
      </c>
      <c r="K1656">
        <f t="shared" si="25"/>
        <v>0</v>
      </c>
      <c r="L16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6" s="3">
        <f>IFERROR(INDEX(Table3[#All],MATCH(Table1[[#This Row],[Key_Year_Week_Brand]],Table3[[#All],[Key_Year_Week_Brand]],0),MATCH(Table1[[#This Row],[DC_name_Xref]],Table3[#Headers],0)),0)</f>
        <v>0</v>
      </c>
      <c r="O1656" s="19">
        <f>IFERROR(INDEX(Table35[#All],MATCH(Table1[[#This Row],[Key_Year_Week_Brand]],Table35[[#All],[Key_Year_Month_Brand]],0),MATCH(Table1[[#This Row],[DC_name_Xref]],Table35[#Headers],0)),0)</f>
        <v>0</v>
      </c>
    </row>
    <row r="1657" spans="1:15" x14ac:dyDescent="0.3">
      <c r="A1657" s="19" t="e">
        <f>Table1[[#This Row],[Year_Week]]&amp;"-"&amp;Table1[[#This Row],[DC_name_Xref]]</f>
        <v>#N/A</v>
      </c>
      <c r="B1657" s="19" t="str">
        <f>Table1[[#This Row],[Fiscal_Year]]*100+Table1[[#This Row],[Fiscal_Week]] &amp; "-" &amp;Table1[[#This Row],[BRAND]]</f>
        <v>0-</v>
      </c>
      <c r="C1657" s="19" t="str">
        <f>Table1[[#This Row],[Fiscal_Year]]&amp;"-"&amp;Table1[[#This Row],[BRAND]]</f>
        <v>-</v>
      </c>
      <c r="J1657" t="e">
        <f>VLOOKUP(H1657,DC_Xref!A:B,2,FALSE)</f>
        <v>#N/A</v>
      </c>
      <c r="K1657">
        <f t="shared" si="25"/>
        <v>0</v>
      </c>
      <c r="L16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7" s="3">
        <f>IFERROR(INDEX(Table3[#All],MATCH(Table1[[#This Row],[Key_Year_Week_Brand]],Table3[[#All],[Key_Year_Week_Brand]],0),MATCH(Table1[[#This Row],[DC_name_Xref]],Table3[#Headers],0)),0)</f>
        <v>0</v>
      </c>
      <c r="O1657" s="19">
        <f>IFERROR(INDEX(Table35[#All],MATCH(Table1[[#This Row],[Key_Year_Week_Brand]],Table35[[#All],[Key_Year_Month_Brand]],0),MATCH(Table1[[#This Row],[DC_name_Xref]],Table35[#Headers],0)),0)</f>
        <v>0</v>
      </c>
    </row>
    <row r="1658" spans="1:15" x14ac:dyDescent="0.3">
      <c r="A1658" s="19" t="e">
        <f>Table1[[#This Row],[Year_Week]]&amp;"-"&amp;Table1[[#This Row],[DC_name_Xref]]</f>
        <v>#N/A</v>
      </c>
      <c r="B1658" s="19" t="str">
        <f>Table1[[#This Row],[Fiscal_Year]]*100+Table1[[#This Row],[Fiscal_Week]] &amp; "-" &amp;Table1[[#This Row],[BRAND]]</f>
        <v>0-</v>
      </c>
      <c r="C1658" s="19" t="str">
        <f>Table1[[#This Row],[Fiscal_Year]]&amp;"-"&amp;Table1[[#This Row],[BRAND]]</f>
        <v>-</v>
      </c>
      <c r="J1658" t="e">
        <f>VLOOKUP(H1658,DC_Xref!A:B,2,FALSE)</f>
        <v>#N/A</v>
      </c>
      <c r="K1658">
        <f t="shared" si="25"/>
        <v>0</v>
      </c>
      <c r="L16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8" s="3">
        <f>IFERROR(INDEX(Table3[#All],MATCH(Table1[[#This Row],[Key_Year_Week_Brand]],Table3[[#All],[Key_Year_Week_Brand]],0),MATCH(Table1[[#This Row],[DC_name_Xref]],Table3[#Headers],0)),0)</f>
        <v>0</v>
      </c>
      <c r="O1658" s="19">
        <f>IFERROR(INDEX(Table35[#All],MATCH(Table1[[#This Row],[Key_Year_Week_Brand]],Table35[[#All],[Key_Year_Month_Brand]],0),MATCH(Table1[[#This Row],[DC_name_Xref]],Table35[#Headers],0)),0)</f>
        <v>0</v>
      </c>
    </row>
    <row r="1659" spans="1:15" x14ac:dyDescent="0.3">
      <c r="A1659" s="19" t="e">
        <f>Table1[[#This Row],[Year_Week]]&amp;"-"&amp;Table1[[#This Row],[DC_name_Xref]]</f>
        <v>#N/A</v>
      </c>
      <c r="B1659" s="19" t="str">
        <f>Table1[[#This Row],[Fiscal_Year]]*100+Table1[[#This Row],[Fiscal_Week]] &amp; "-" &amp;Table1[[#This Row],[BRAND]]</f>
        <v>0-</v>
      </c>
      <c r="C1659" s="19" t="str">
        <f>Table1[[#This Row],[Fiscal_Year]]&amp;"-"&amp;Table1[[#This Row],[BRAND]]</f>
        <v>-</v>
      </c>
      <c r="J1659" t="e">
        <f>VLOOKUP(H1659,DC_Xref!A:B,2,FALSE)</f>
        <v>#N/A</v>
      </c>
      <c r="K1659">
        <f t="shared" si="25"/>
        <v>0</v>
      </c>
      <c r="L16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59" s="3">
        <f>IFERROR(INDEX(Table3[#All],MATCH(Table1[[#This Row],[Key_Year_Week_Brand]],Table3[[#All],[Key_Year_Week_Brand]],0),MATCH(Table1[[#This Row],[DC_name_Xref]],Table3[#Headers],0)),0)</f>
        <v>0</v>
      </c>
      <c r="O1659" s="19">
        <f>IFERROR(INDEX(Table35[#All],MATCH(Table1[[#This Row],[Key_Year_Week_Brand]],Table35[[#All],[Key_Year_Month_Brand]],0),MATCH(Table1[[#This Row],[DC_name_Xref]],Table35[#Headers],0)),0)</f>
        <v>0</v>
      </c>
    </row>
    <row r="1660" spans="1:15" x14ac:dyDescent="0.3">
      <c r="A1660" s="19" t="e">
        <f>Table1[[#This Row],[Year_Week]]&amp;"-"&amp;Table1[[#This Row],[DC_name_Xref]]</f>
        <v>#N/A</v>
      </c>
      <c r="B1660" s="19" t="str">
        <f>Table1[[#This Row],[Fiscal_Year]]*100+Table1[[#This Row],[Fiscal_Week]] &amp; "-" &amp;Table1[[#This Row],[BRAND]]</f>
        <v>0-</v>
      </c>
      <c r="C1660" s="19" t="str">
        <f>Table1[[#This Row],[Fiscal_Year]]&amp;"-"&amp;Table1[[#This Row],[BRAND]]</f>
        <v>-</v>
      </c>
      <c r="J1660" t="e">
        <f>VLOOKUP(H1660,DC_Xref!A:B,2,FALSE)</f>
        <v>#N/A</v>
      </c>
      <c r="K1660">
        <f t="shared" si="25"/>
        <v>0</v>
      </c>
      <c r="L16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0" s="3">
        <f>IFERROR(INDEX(Table3[#All],MATCH(Table1[[#This Row],[Key_Year_Week_Brand]],Table3[[#All],[Key_Year_Week_Brand]],0),MATCH(Table1[[#This Row],[DC_name_Xref]],Table3[#Headers],0)),0)</f>
        <v>0</v>
      </c>
      <c r="O1660" s="19">
        <f>IFERROR(INDEX(Table35[#All],MATCH(Table1[[#This Row],[Key_Year_Week_Brand]],Table35[[#All],[Key_Year_Month_Brand]],0),MATCH(Table1[[#This Row],[DC_name_Xref]],Table35[#Headers],0)),0)</f>
        <v>0</v>
      </c>
    </row>
    <row r="1661" spans="1:15" x14ac:dyDescent="0.3">
      <c r="A1661" s="19" t="e">
        <f>Table1[[#This Row],[Year_Week]]&amp;"-"&amp;Table1[[#This Row],[DC_name_Xref]]</f>
        <v>#N/A</v>
      </c>
      <c r="B1661" s="19" t="str">
        <f>Table1[[#This Row],[Fiscal_Year]]*100+Table1[[#This Row],[Fiscal_Week]] &amp; "-" &amp;Table1[[#This Row],[BRAND]]</f>
        <v>0-</v>
      </c>
      <c r="C1661" s="19" t="str">
        <f>Table1[[#This Row],[Fiscal_Year]]&amp;"-"&amp;Table1[[#This Row],[BRAND]]</f>
        <v>-</v>
      </c>
      <c r="J1661" t="e">
        <f>VLOOKUP(H1661,DC_Xref!A:B,2,FALSE)</f>
        <v>#N/A</v>
      </c>
      <c r="K1661">
        <f t="shared" si="25"/>
        <v>0</v>
      </c>
      <c r="L16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1" s="3">
        <f>IFERROR(INDEX(Table3[#All],MATCH(Table1[[#This Row],[Key_Year_Week_Brand]],Table3[[#All],[Key_Year_Week_Brand]],0),MATCH(Table1[[#This Row],[DC_name_Xref]],Table3[#Headers],0)),0)</f>
        <v>0</v>
      </c>
      <c r="O1661" s="19">
        <f>IFERROR(INDEX(Table35[#All],MATCH(Table1[[#This Row],[Key_Year_Week_Brand]],Table35[[#All],[Key_Year_Month_Brand]],0),MATCH(Table1[[#This Row],[DC_name_Xref]],Table35[#Headers],0)),0)</f>
        <v>0</v>
      </c>
    </row>
    <row r="1662" spans="1:15" x14ac:dyDescent="0.3">
      <c r="A1662" s="19" t="e">
        <f>Table1[[#This Row],[Year_Week]]&amp;"-"&amp;Table1[[#This Row],[DC_name_Xref]]</f>
        <v>#N/A</v>
      </c>
      <c r="B1662" s="19" t="str">
        <f>Table1[[#This Row],[Fiscal_Year]]*100+Table1[[#This Row],[Fiscal_Week]] &amp; "-" &amp;Table1[[#This Row],[BRAND]]</f>
        <v>0-</v>
      </c>
      <c r="C1662" s="19" t="str">
        <f>Table1[[#This Row],[Fiscal_Year]]&amp;"-"&amp;Table1[[#This Row],[BRAND]]</f>
        <v>-</v>
      </c>
      <c r="J1662" t="e">
        <f>VLOOKUP(H1662,DC_Xref!A:B,2,FALSE)</f>
        <v>#N/A</v>
      </c>
      <c r="K1662">
        <f t="shared" si="25"/>
        <v>0</v>
      </c>
      <c r="L16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2" s="3">
        <f>IFERROR(INDEX(Table3[#All],MATCH(Table1[[#This Row],[Key_Year_Week_Brand]],Table3[[#All],[Key_Year_Week_Brand]],0),MATCH(Table1[[#This Row],[DC_name_Xref]],Table3[#Headers],0)),0)</f>
        <v>0</v>
      </c>
      <c r="O1662" s="19">
        <f>IFERROR(INDEX(Table35[#All],MATCH(Table1[[#This Row],[Key_Year_Week_Brand]],Table35[[#All],[Key_Year_Month_Brand]],0),MATCH(Table1[[#This Row],[DC_name_Xref]],Table35[#Headers],0)),0)</f>
        <v>0</v>
      </c>
    </row>
    <row r="1663" spans="1:15" x14ac:dyDescent="0.3">
      <c r="A1663" s="19" t="e">
        <f>Table1[[#This Row],[Year_Week]]&amp;"-"&amp;Table1[[#This Row],[DC_name_Xref]]</f>
        <v>#N/A</v>
      </c>
      <c r="B1663" s="19" t="str">
        <f>Table1[[#This Row],[Fiscal_Year]]*100+Table1[[#This Row],[Fiscal_Week]] &amp; "-" &amp;Table1[[#This Row],[BRAND]]</f>
        <v>0-</v>
      </c>
      <c r="C1663" s="19" t="str">
        <f>Table1[[#This Row],[Fiscal_Year]]&amp;"-"&amp;Table1[[#This Row],[BRAND]]</f>
        <v>-</v>
      </c>
      <c r="J1663" t="e">
        <f>VLOOKUP(H1663,DC_Xref!A:B,2,FALSE)</f>
        <v>#N/A</v>
      </c>
      <c r="K1663">
        <f t="shared" si="25"/>
        <v>0</v>
      </c>
      <c r="L16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3" s="3">
        <f>IFERROR(INDEX(Table3[#All],MATCH(Table1[[#This Row],[Key_Year_Week_Brand]],Table3[[#All],[Key_Year_Week_Brand]],0),MATCH(Table1[[#This Row],[DC_name_Xref]],Table3[#Headers],0)),0)</f>
        <v>0</v>
      </c>
      <c r="O1663" s="19">
        <f>IFERROR(INDEX(Table35[#All],MATCH(Table1[[#This Row],[Key_Year_Week_Brand]],Table35[[#All],[Key_Year_Month_Brand]],0),MATCH(Table1[[#This Row],[DC_name_Xref]],Table35[#Headers],0)),0)</f>
        <v>0</v>
      </c>
    </row>
    <row r="1664" spans="1:15" x14ac:dyDescent="0.3">
      <c r="A1664" s="19" t="e">
        <f>Table1[[#This Row],[Year_Week]]&amp;"-"&amp;Table1[[#This Row],[DC_name_Xref]]</f>
        <v>#N/A</v>
      </c>
      <c r="B1664" s="19" t="str">
        <f>Table1[[#This Row],[Fiscal_Year]]*100+Table1[[#This Row],[Fiscal_Week]] &amp; "-" &amp;Table1[[#This Row],[BRAND]]</f>
        <v>0-</v>
      </c>
      <c r="C1664" s="19" t="str">
        <f>Table1[[#This Row],[Fiscal_Year]]&amp;"-"&amp;Table1[[#This Row],[BRAND]]</f>
        <v>-</v>
      </c>
      <c r="J1664" t="e">
        <f>VLOOKUP(H1664,DC_Xref!A:B,2,FALSE)</f>
        <v>#N/A</v>
      </c>
      <c r="K1664">
        <f t="shared" si="25"/>
        <v>0</v>
      </c>
      <c r="L16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4" s="3">
        <f>IFERROR(INDEX(Table3[#All],MATCH(Table1[[#This Row],[Key_Year_Week_Brand]],Table3[[#All],[Key_Year_Week_Brand]],0),MATCH(Table1[[#This Row],[DC_name_Xref]],Table3[#Headers],0)),0)</f>
        <v>0</v>
      </c>
      <c r="O1664" s="19">
        <f>IFERROR(INDEX(Table35[#All],MATCH(Table1[[#This Row],[Key_Year_Week_Brand]],Table35[[#All],[Key_Year_Month_Brand]],0),MATCH(Table1[[#This Row],[DC_name_Xref]],Table35[#Headers],0)),0)</f>
        <v>0</v>
      </c>
    </row>
    <row r="1665" spans="1:15" x14ac:dyDescent="0.3">
      <c r="A1665" s="19" t="e">
        <f>Table1[[#This Row],[Year_Week]]&amp;"-"&amp;Table1[[#This Row],[DC_name_Xref]]</f>
        <v>#N/A</v>
      </c>
      <c r="B1665" s="19" t="str">
        <f>Table1[[#This Row],[Fiscal_Year]]*100+Table1[[#This Row],[Fiscal_Week]] &amp; "-" &amp;Table1[[#This Row],[BRAND]]</f>
        <v>0-</v>
      </c>
      <c r="C1665" s="19" t="str">
        <f>Table1[[#This Row],[Fiscal_Year]]&amp;"-"&amp;Table1[[#This Row],[BRAND]]</f>
        <v>-</v>
      </c>
      <c r="J1665" t="e">
        <f>VLOOKUP(H1665,DC_Xref!A:B,2,FALSE)</f>
        <v>#N/A</v>
      </c>
      <c r="K1665">
        <f t="shared" si="25"/>
        <v>0</v>
      </c>
      <c r="L16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5" s="3">
        <f>IFERROR(INDEX(Table3[#All],MATCH(Table1[[#This Row],[Key_Year_Week_Brand]],Table3[[#All],[Key_Year_Week_Brand]],0),MATCH(Table1[[#This Row],[DC_name_Xref]],Table3[#Headers],0)),0)</f>
        <v>0</v>
      </c>
      <c r="O1665" s="19">
        <f>IFERROR(INDEX(Table35[#All],MATCH(Table1[[#This Row],[Key_Year_Week_Brand]],Table35[[#All],[Key_Year_Month_Brand]],0),MATCH(Table1[[#This Row],[DC_name_Xref]],Table35[#Headers],0)),0)</f>
        <v>0</v>
      </c>
    </row>
    <row r="1666" spans="1:15" x14ac:dyDescent="0.3">
      <c r="A1666" s="19" t="e">
        <f>Table1[[#This Row],[Year_Week]]&amp;"-"&amp;Table1[[#This Row],[DC_name_Xref]]</f>
        <v>#N/A</v>
      </c>
      <c r="B1666" s="19" t="str">
        <f>Table1[[#This Row],[Fiscal_Year]]*100+Table1[[#This Row],[Fiscal_Week]] &amp; "-" &amp;Table1[[#This Row],[BRAND]]</f>
        <v>0-</v>
      </c>
      <c r="C1666" s="19" t="str">
        <f>Table1[[#This Row],[Fiscal_Year]]&amp;"-"&amp;Table1[[#This Row],[BRAND]]</f>
        <v>-</v>
      </c>
      <c r="J1666" t="e">
        <f>VLOOKUP(H1666,DC_Xref!A:B,2,FALSE)</f>
        <v>#N/A</v>
      </c>
      <c r="K1666">
        <f t="shared" si="25"/>
        <v>0</v>
      </c>
      <c r="L16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6" s="3">
        <f>IFERROR(INDEX(Table3[#All],MATCH(Table1[[#This Row],[Key_Year_Week_Brand]],Table3[[#All],[Key_Year_Week_Brand]],0),MATCH(Table1[[#This Row],[DC_name_Xref]],Table3[#Headers],0)),0)</f>
        <v>0</v>
      </c>
      <c r="O1666" s="19">
        <f>IFERROR(INDEX(Table35[#All],MATCH(Table1[[#This Row],[Key_Year_Week_Brand]],Table35[[#All],[Key_Year_Month_Brand]],0),MATCH(Table1[[#This Row],[DC_name_Xref]],Table35[#Headers],0)),0)</f>
        <v>0</v>
      </c>
    </row>
    <row r="1667" spans="1:15" x14ac:dyDescent="0.3">
      <c r="A1667" s="19" t="e">
        <f>Table1[[#This Row],[Year_Week]]&amp;"-"&amp;Table1[[#This Row],[DC_name_Xref]]</f>
        <v>#N/A</v>
      </c>
      <c r="B1667" s="19" t="str">
        <f>Table1[[#This Row],[Fiscal_Year]]*100+Table1[[#This Row],[Fiscal_Week]] &amp; "-" &amp;Table1[[#This Row],[BRAND]]</f>
        <v>0-</v>
      </c>
      <c r="C1667" s="19" t="str">
        <f>Table1[[#This Row],[Fiscal_Year]]&amp;"-"&amp;Table1[[#This Row],[BRAND]]</f>
        <v>-</v>
      </c>
      <c r="J1667" t="e">
        <f>VLOOKUP(H1667,DC_Xref!A:B,2,FALSE)</f>
        <v>#N/A</v>
      </c>
      <c r="K1667">
        <f t="shared" si="25"/>
        <v>0</v>
      </c>
      <c r="L16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7" s="3">
        <f>IFERROR(INDEX(Table3[#All],MATCH(Table1[[#This Row],[Key_Year_Week_Brand]],Table3[[#All],[Key_Year_Week_Brand]],0),MATCH(Table1[[#This Row],[DC_name_Xref]],Table3[#Headers],0)),0)</f>
        <v>0</v>
      </c>
      <c r="O1667" s="19">
        <f>IFERROR(INDEX(Table35[#All],MATCH(Table1[[#This Row],[Key_Year_Week_Brand]],Table35[[#All],[Key_Year_Month_Brand]],0),MATCH(Table1[[#This Row],[DC_name_Xref]],Table35[#Headers],0)),0)</f>
        <v>0</v>
      </c>
    </row>
    <row r="1668" spans="1:15" x14ac:dyDescent="0.3">
      <c r="A1668" s="19" t="e">
        <f>Table1[[#This Row],[Year_Week]]&amp;"-"&amp;Table1[[#This Row],[DC_name_Xref]]</f>
        <v>#N/A</v>
      </c>
      <c r="B1668" s="19" t="str">
        <f>Table1[[#This Row],[Fiscal_Year]]*100+Table1[[#This Row],[Fiscal_Week]] &amp; "-" &amp;Table1[[#This Row],[BRAND]]</f>
        <v>0-</v>
      </c>
      <c r="C1668" s="19" t="str">
        <f>Table1[[#This Row],[Fiscal_Year]]&amp;"-"&amp;Table1[[#This Row],[BRAND]]</f>
        <v>-</v>
      </c>
      <c r="J1668" t="e">
        <f>VLOOKUP(H1668,DC_Xref!A:B,2,FALSE)</f>
        <v>#N/A</v>
      </c>
      <c r="K1668">
        <f t="shared" si="25"/>
        <v>0</v>
      </c>
      <c r="L16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8" s="3">
        <f>IFERROR(INDEX(Table3[#All],MATCH(Table1[[#This Row],[Key_Year_Week_Brand]],Table3[[#All],[Key_Year_Week_Brand]],0),MATCH(Table1[[#This Row],[DC_name_Xref]],Table3[#Headers],0)),0)</f>
        <v>0</v>
      </c>
      <c r="O1668" s="19">
        <f>IFERROR(INDEX(Table35[#All],MATCH(Table1[[#This Row],[Key_Year_Week_Brand]],Table35[[#All],[Key_Year_Month_Brand]],0),MATCH(Table1[[#This Row],[DC_name_Xref]],Table35[#Headers],0)),0)</f>
        <v>0</v>
      </c>
    </row>
    <row r="1669" spans="1:15" x14ac:dyDescent="0.3">
      <c r="A1669" s="19" t="e">
        <f>Table1[[#This Row],[Year_Week]]&amp;"-"&amp;Table1[[#This Row],[DC_name_Xref]]</f>
        <v>#N/A</v>
      </c>
      <c r="B1669" s="19" t="str">
        <f>Table1[[#This Row],[Fiscal_Year]]*100+Table1[[#This Row],[Fiscal_Week]] &amp; "-" &amp;Table1[[#This Row],[BRAND]]</f>
        <v>0-</v>
      </c>
      <c r="C1669" s="19" t="str">
        <f>Table1[[#This Row],[Fiscal_Year]]&amp;"-"&amp;Table1[[#This Row],[BRAND]]</f>
        <v>-</v>
      </c>
      <c r="J1669" t="e">
        <f>VLOOKUP(H1669,DC_Xref!A:B,2,FALSE)</f>
        <v>#N/A</v>
      </c>
      <c r="K1669">
        <f t="shared" si="25"/>
        <v>0</v>
      </c>
      <c r="L16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69" s="3">
        <f>IFERROR(INDEX(Table3[#All],MATCH(Table1[[#This Row],[Key_Year_Week_Brand]],Table3[[#All],[Key_Year_Week_Brand]],0),MATCH(Table1[[#This Row],[DC_name_Xref]],Table3[#Headers],0)),0)</f>
        <v>0</v>
      </c>
      <c r="O1669" s="19">
        <f>IFERROR(INDEX(Table35[#All],MATCH(Table1[[#This Row],[Key_Year_Week_Brand]],Table35[[#All],[Key_Year_Month_Brand]],0),MATCH(Table1[[#This Row],[DC_name_Xref]],Table35[#Headers],0)),0)</f>
        <v>0</v>
      </c>
    </row>
    <row r="1670" spans="1:15" x14ac:dyDescent="0.3">
      <c r="A1670" s="19" t="e">
        <f>Table1[[#This Row],[Year_Week]]&amp;"-"&amp;Table1[[#This Row],[DC_name_Xref]]</f>
        <v>#N/A</v>
      </c>
      <c r="B1670" s="19" t="str">
        <f>Table1[[#This Row],[Fiscal_Year]]*100+Table1[[#This Row],[Fiscal_Week]] &amp; "-" &amp;Table1[[#This Row],[BRAND]]</f>
        <v>0-</v>
      </c>
      <c r="C1670" s="19" t="str">
        <f>Table1[[#This Row],[Fiscal_Year]]&amp;"-"&amp;Table1[[#This Row],[BRAND]]</f>
        <v>-</v>
      </c>
      <c r="J1670" t="e">
        <f>VLOOKUP(H1670,DC_Xref!A:B,2,FALSE)</f>
        <v>#N/A</v>
      </c>
      <c r="K1670">
        <f t="shared" ref="K1670:K1733" si="26">D1670*100+E1670</f>
        <v>0</v>
      </c>
      <c r="L16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0" s="3">
        <f>IFERROR(INDEX(Table3[#All],MATCH(Table1[[#This Row],[Key_Year_Week_Brand]],Table3[[#All],[Key_Year_Week_Brand]],0),MATCH(Table1[[#This Row],[DC_name_Xref]],Table3[#Headers],0)),0)</f>
        <v>0</v>
      </c>
      <c r="O1670" s="19">
        <f>IFERROR(INDEX(Table35[#All],MATCH(Table1[[#This Row],[Key_Year_Week_Brand]],Table35[[#All],[Key_Year_Month_Brand]],0),MATCH(Table1[[#This Row],[DC_name_Xref]],Table35[#Headers],0)),0)</f>
        <v>0</v>
      </c>
    </row>
    <row r="1671" spans="1:15" x14ac:dyDescent="0.3">
      <c r="A1671" s="19" t="e">
        <f>Table1[[#This Row],[Year_Week]]&amp;"-"&amp;Table1[[#This Row],[DC_name_Xref]]</f>
        <v>#N/A</v>
      </c>
      <c r="B1671" s="19" t="str">
        <f>Table1[[#This Row],[Fiscal_Year]]*100+Table1[[#This Row],[Fiscal_Week]] &amp; "-" &amp;Table1[[#This Row],[BRAND]]</f>
        <v>0-</v>
      </c>
      <c r="C1671" s="19" t="str">
        <f>Table1[[#This Row],[Fiscal_Year]]&amp;"-"&amp;Table1[[#This Row],[BRAND]]</f>
        <v>-</v>
      </c>
      <c r="J1671" t="e">
        <f>VLOOKUP(H1671,DC_Xref!A:B,2,FALSE)</f>
        <v>#N/A</v>
      </c>
      <c r="K1671">
        <f t="shared" si="26"/>
        <v>0</v>
      </c>
      <c r="L16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1" s="3">
        <f>IFERROR(INDEX(Table3[#All],MATCH(Table1[[#This Row],[Key_Year_Week_Brand]],Table3[[#All],[Key_Year_Week_Brand]],0),MATCH(Table1[[#This Row],[DC_name_Xref]],Table3[#Headers],0)),0)</f>
        <v>0</v>
      </c>
      <c r="O1671" s="19">
        <f>IFERROR(INDEX(Table35[#All],MATCH(Table1[[#This Row],[Key_Year_Week_Brand]],Table35[[#All],[Key_Year_Month_Brand]],0),MATCH(Table1[[#This Row],[DC_name_Xref]],Table35[#Headers],0)),0)</f>
        <v>0</v>
      </c>
    </row>
    <row r="1672" spans="1:15" x14ac:dyDescent="0.3">
      <c r="A1672" s="19" t="e">
        <f>Table1[[#This Row],[Year_Week]]&amp;"-"&amp;Table1[[#This Row],[DC_name_Xref]]</f>
        <v>#N/A</v>
      </c>
      <c r="B1672" s="19" t="str">
        <f>Table1[[#This Row],[Fiscal_Year]]*100+Table1[[#This Row],[Fiscal_Week]] &amp; "-" &amp;Table1[[#This Row],[BRAND]]</f>
        <v>0-</v>
      </c>
      <c r="C1672" s="19" t="str">
        <f>Table1[[#This Row],[Fiscal_Year]]&amp;"-"&amp;Table1[[#This Row],[BRAND]]</f>
        <v>-</v>
      </c>
      <c r="J1672" t="e">
        <f>VLOOKUP(H1672,DC_Xref!A:B,2,FALSE)</f>
        <v>#N/A</v>
      </c>
      <c r="K1672">
        <f t="shared" si="26"/>
        <v>0</v>
      </c>
      <c r="L16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2" s="3">
        <f>IFERROR(INDEX(Table3[#All],MATCH(Table1[[#This Row],[Key_Year_Week_Brand]],Table3[[#All],[Key_Year_Week_Brand]],0),MATCH(Table1[[#This Row],[DC_name_Xref]],Table3[#Headers],0)),0)</f>
        <v>0</v>
      </c>
      <c r="O1672" s="19">
        <f>IFERROR(INDEX(Table35[#All],MATCH(Table1[[#This Row],[Key_Year_Week_Brand]],Table35[[#All],[Key_Year_Month_Brand]],0),MATCH(Table1[[#This Row],[DC_name_Xref]],Table35[#Headers],0)),0)</f>
        <v>0</v>
      </c>
    </row>
    <row r="1673" spans="1:15" x14ac:dyDescent="0.3">
      <c r="A1673" s="19" t="e">
        <f>Table1[[#This Row],[Year_Week]]&amp;"-"&amp;Table1[[#This Row],[DC_name_Xref]]</f>
        <v>#N/A</v>
      </c>
      <c r="B1673" s="19" t="str">
        <f>Table1[[#This Row],[Fiscal_Year]]*100+Table1[[#This Row],[Fiscal_Week]] &amp; "-" &amp;Table1[[#This Row],[BRAND]]</f>
        <v>0-</v>
      </c>
      <c r="C1673" s="19" t="str">
        <f>Table1[[#This Row],[Fiscal_Year]]&amp;"-"&amp;Table1[[#This Row],[BRAND]]</f>
        <v>-</v>
      </c>
      <c r="J1673" t="e">
        <f>VLOOKUP(H1673,DC_Xref!A:B,2,FALSE)</f>
        <v>#N/A</v>
      </c>
      <c r="K1673">
        <f t="shared" si="26"/>
        <v>0</v>
      </c>
      <c r="L16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3" s="3">
        <f>IFERROR(INDEX(Table3[#All],MATCH(Table1[[#This Row],[Key_Year_Week_Brand]],Table3[[#All],[Key_Year_Week_Brand]],0),MATCH(Table1[[#This Row],[DC_name_Xref]],Table3[#Headers],0)),0)</f>
        <v>0</v>
      </c>
      <c r="O1673" s="19">
        <f>IFERROR(INDEX(Table35[#All],MATCH(Table1[[#This Row],[Key_Year_Week_Brand]],Table35[[#All],[Key_Year_Month_Brand]],0),MATCH(Table1[[#This Row],[DC_name_Xref]],Table35[#Headers],0)),0)</f>
        <v>0</v>
      </c>
    </row>
    <row r="1674" spans="1:15" x14ac:dyDescent="0.3">
      <c r="A1674" s="19" t="e">
        <f>Table1[[#This Row],[Year_Week]]&amp;"-"&amp;Table1[[#This Row],[DC_name_Xref]]</f>
        <v>#N/A</v>
      </c>
      <c r="B1674" s="19" t="str">
        <f>Table1[[#This Row],[Fiscal_Year]]*100+Table1[[#This Row],[Fiscal_Week]] &amp; "-" &amp;Table1[[#This Row],[BRAND]]</f>
        <v>0-</v>
      </c>
      <c r="C1674" s="19" t="str">
        <f>Table1[[#This Row],[Fiscal_Year]]&amp;"-"&amp;Table1[[#This Row],[BRAND]]</f>
        <v>-</v>
      </c>
      <c r="J1674" t="e">
        <f>VLOOKUP(H1674,DC_Xref!A:B,2,FALSE)</f>
        <v>#N/A</v>
      </c>
      <c r="K1674">
        <f t="shared" si="26"/>
        <v>0</v>
      </c>
      <c r="L16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4" s="3">
        <f>IFERROR(INDEX(Table3[#All],MATCH(Table1[[#This Row],[Key_Year_Week_Brand]],Table3[[#All],[Key_Year_Week_Brand]],0),MATCH(Table1[[#This Row],[DC_name_Xref]],Table3[#Headers],0)),0)</f>
        <v>0</v>
      </c>
      <c r="O1674" s="19">
        <f>IFERROR(INDEX(Table35[#All],MATCH(Table1[[#This Row],[Key_Year_Week_Brand]],Table35[[#All],[Key_Year_Month_Brand]],0),MATCH(Table1[[#This Row],[DC_name_Xref]],Table35[#Headers],0)),0)</f>
        <v>0</v>
      </c>
    </row>
    <row r="1675" spans="1:15" x14ac:dyDescent="0.3">
      <c r="A1675" s="19" t="e">
        <f>Table1[[#This Row],[Year_Week]]&amp;"-"&amp;Table1[[#This Row],[DC_name_Xref]]</f>
        <v>#N/A</v>
      </c>
      <c r="B1675" s="19" t="str">
        <f>Table1[[#This Row],[Fiscal_Year]]*100+Table1[[#This Row],[Fiscal_Week]] &amp; "-" &amp;Table1[[#This Row],[BRAND]]</f>
        <v>0-</v>
      </c>
      <c r="C1675" s="19" t="str">
        <f>Table1[[#This Row],[Fiscal_Year]]&amp;"-"&amp;Table1[[#This Row],[BRAND]]</f>
        <v>-</v>
      </c>
      <c r="J1675" t="e">
        <f>VLOOKUP(H1675,DC_Xref!A:B,2,FALSE)</f>
        <v>#N/A</v>
      </c>
      <c r="K1675">
        <f t="shared" si="26"/>
        <v>0</v>
      </c>
      <c r="L16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5" s="3">
        <f>IFERROR(INDEX(Table3[#All],MATCH(Table1[[#This Row],[Key_Year_Week_Brand]],Table3[[#All],[Key_Year_Week_Brand]],0),MATCH(Table1[[#This Row],[DC_name_Xref]],Table3[#Headers],0)),0)</f>
        <v>0</v>
      </c>
      <c r="O1675" s="19">
        <f>IFERROR(INDEX(Table35[#All],MATCH(Table1[[#This Row],[Key_Year_Week_Brand]],Table35[[#All],[Key_Year_Month_Brand]],0),MATCH(Table1[[#This Row],[DC_name_Xref]],Table35[#Headers],0)),0)</f>
        <v>0</v>
      </c>
    </row>
    <row r="1676" spans="1:15" x14ac:dyDescent="0.3">
      <c r="A1676" s="19" t="e">
        <f>Table1[[#This Row],[Year_Week]]&amp;"-"&amp;Table1[[#This Row],[DC_name_Xref]]</f>
        <v>#N/A</v>
      </c>
      <c r="B1676" s="19" t="str">
        <f>Table1[[#This Row],[Fiscal_Year]]*100+Table1[[#This Row],[Fiscal_Week]] &amp; "-" &amp;Table1[[#This Row],[BRAND]]</f>
        <v>0-</v>
      </c>
      <c r="C1676" s="19" t="str">
        <f>Table1[[#This Row],[Fiscal_Year]]&amp;"-"&amp;Table1[[#This Row],[BRAND]]</f>
        <v>-</v>
      </c>
      <c r="J1676" t="e">
        <f>VLOOKUP(H1676,DC_Xref!A:B,2,FALSE)</f>
        <v>#N/A</v>
      </c>
      <c r="K1676">
        <f t="shared" si="26"/>
        <v>0</v>
      </c>
      <c r="L16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6" s="3">
        <f>IFERROR(INDEX(Table3[#All],MATCH(Table1[[#This Row],[Key_Year_Week_Brand]],Table3[[#All],[Key_Year_Week_Brand]],0),MATCH(Table1[[#This Row],[DC_name_Xref]],Table3[#Headers],0)),0)</f>
        <v>0</v>
      </c>
      <c r="O1676" s="19">
        <f>IFERROR(INDEX(Table35[#All],MATCH(Table1[[#This Row],[Key_Year_Week_Brand]],Table35[[#All],[Key_Year_Month_Brand]],0),MATCH(Table1[[#This Row],[DC_name_Xref]],Table35[#Headers],0)),0)</f>
        <v>0</v>
      </c>
    </row>
    <row r="1677" spans="1:15" x14ac:dyDescent="0.3">
      <c r="A1677" s="19" t="e">
        <f>Table1[[#This Row],[Year_Week]]&amp;"-"&amp;Table1[[#This Row],[DC_name_Xref]]</f>
        <v>#N/A</v>
      </c>
      <c r="B1677" s="19" t="str">
        <f>Table1[[#This Row],[Fiscal_Year]]*100+Table1[[#This Row],[Fiscal_Week]] &amp; "-" &amp;Table1[[#This Row],[BRAND]]</f>
        <v>0-</v>
      </c>
      <c r="C1677" s="19" t="str">
        <f>Table1[[#This Row],[Fiscal_Year]]&amp;"-"&amp;Table1[[#This Row],[BRAND]]</f>
        <v>-</v>
      </c>
      <c r="J1677" t="e">
        <f>VLOOKUP(H1677,DC_Xref!A:B,2,FALSE)</f>
        <v>#N/A</v>
      </c>
      <c r="K1677">
        <f t="shared" si="26"/>
        <v>0</v>
      </c>
      <c r="L16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7" s="3">
        <f>IFERROR(INDEX(Table3[#All],MATCH(Table1[[#This Row],[Key_Year_Week_Brand]],Table3[[#All],[Key_Year_Week_Brand]],0),MATCH(Table1[[#This Row],[DC_name_Xref]],Table3[#Headers],0)),0)</f>
        <v>0</v>
      </c>
      <c r="O1677" s="19">
        <f>IFERROR(INDEX(Table35[#All],MATCH(Table1[[#This Row],[Key_Year_Week_Brand]],Table35[[#All],[Key_Year_Month_Brand]],0),MATCH(Table1[[#This Row],[DC_name_Xref]],Table35[#Headers],0)),0)</f>
        <v>0</v>
      </c>
    </row>
    <row r="1678" spans="1:15" x14ac:dyDescent="0.3">
      <c r="A1678" s="19" t="e">
        <f>Table1[[#This Row],[Year_Week]]&amp;"-"&amp;Table1[[#This Row],[DC_name_Xref]]</f>
        <v>#N/A</v>
      </c>
      <c r="B1678" s="19" t="str">
        <f>Table1[[#This Row],[Fiscal_Year]]*100+Table1[[#This Row],[Fiscal_Week]] &amp; "-" &amp;Table1[[#This Row],[BRAND]]</f>
        <v>0-</v>
      </c>
      <c r="C1678" s="19" t="str">
        <f>Table1[[#This Row],[Fiscal_Year]]&amp;"-"&amp;Table1[[#This Row],[BRAND]]</f>
        <v>-</v>
      </c>
      <c r="J1678" t="e">
        <f>VLOOKUP(H1678,DC_Xref!A:B,2,FALSE)</f>
        <v>#N/A</v>
      </c>
      <c r="K1678">
        <f t="shared" si="26"/>
        <v>0</v>
      </c>
      <c r="L16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8" s="3">
        <f>IFERROR(INDEX(Table3[#All],MATCH(Table1[[#This Row],[Key_Year_Week_Brand]],Table3[[#All],[Key_Year_Week_Brand]],0),MATCH(Table1[[#This Row],[DC_name_Xref]],Table3[#Headers],0)),0)</f>
        <v>0</v>
      </c>
      <c r="O1678" s="19">
        <f>IFERROR(INDEX(Table35[#All],MATCH(Table1[[#This Row],[Key_Year_Week_Brand]],Table35[[#All],[Key_Year_Month_Brand]],0),MATCH(Table1[[#This Row],[DC_name_Xref]],Table35[#Headers],0)),0)</f>
        <v>0</v>
      </c>
    </row>
    <row r="1679" spans="1:15" x14ac:dyDescent="0.3">
      <c r="A1679" s="19" t="e">
        <f>Table1[[#This Row],[Year_Week]]&amp;"-"&amp;Table1[[#This Row],[DC_name_Xref]]</f>
        <v>#N/A</v>
      </c>
      <c r="B1679" s="19" t="str">
        <f>Table1[[#This Row],[Fiscal_Year]]*100+Table1[[#This Row],[Fiscal_Week]] &amp; "-" &amp;Table1[[#This Row],[BRAND]]</f>
        <v>0-</v>
      </c>
      <c r="C1679" s="19" t="str">
        <f>Table1[[#This Row],[Fiscal_Year]]&amp;"-"&amp;Table1[[#This Row],[BRAND]]</f>
        <v>-</v>
      </c>
      <c r="J1679" t="e">
        <f>VLOOKUP(H1679,DC_Xref!A:B,2,FALSE)</f>
        <v>#N/A</v>
      </c>
      <c r="K1679">
        <f t="shared" si="26"/>
        <v>0</v>
      </c>
      <c r="L16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79" s="3">
        <f>IFERROR(INDEX(Table3[#All],MATCH(Table1[[#This Row],[Key_Year_Week_Brand]],Table3[[#All],[Key_Year_Week_Brand]],0),MATCH(Table1[[#This Row],[DC_name_Xref]],Table3[#Headers],0)),0)</f>
        <v>0</v>
      </c>
      <c r="O1679" s="19">
        <f>IFERROR(INDEX(Table35[#All],MATCH(Table1[[#This Row],[Key_Year_Week_Brand]],Table35[[#All],[Key_Year_Month_Brand]],0),MATCH(Table1[[#This Row],[DC_name_Xref]],Table35[#Headers],0)),0)</f>
        <v>0</v>
      </c>
    </row>
    <row r="1680" spans="1:15" x14ac:dyDescent="0.3">
      <c r="A1680" s="19" t="e">
        <f>Table1[[#This Row],[Year_Week]]&amp;"-"&amp;Table1[[#This Row],[DC_name_Xref]]</f>
        <v>#N/A</v>
      </c>
      <c r="B1680" s="19" t="str">
        <f>Table1[[#This Row],[Fiscal_Year]]*100+Table1[[#This Row],[Fiscal_Week]] &amp; "-" &amp;Table1[[#This Row],[BRAND]]</f>
        <v>0-</v>
      </c>
      <c r="C1680" s="19" t="str">
        <f>Table1[[#This Row],[Fiscal_Year]]&amp;"-"&amp;Table1[[#This Row],[BRAND]]</f>
        <v>-</v>
      </c>
      <c r="J1680" t="e">
        <f>VLOOKUP(H1680,DC_Xref!A:B,2,FALSE)</f>
        <v>#N/A</v>
      </c>
      <c r="K1680">
        <f t="shared" si="26"/>
        <v>0</v>
      </c>
      <c r="L16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0" s="3">
        <f>IFERROR(INDEX(Table3[#All],MATCH(Table1[[#This Row],[Key_Year_Week_Brand]],Table3[[#All],[Key_Year_Week_Brand]],0),MATCH(Table1[[#This Row],[DC_name_Xref]],Table3[#Headers],0)),0)</f>
        <v>0</v>
      </c>
      <c r="O1680" s="19">
        <f>IFERROR(INDEX(Table35[#All],MATCH(Table1[[#This Row],[Key_Year_Week_Brand]],Table35[[#All],[Key_Year_Month_Brand]],0),MATCH(Table1[[#This Row],[DC_name_Xref]],Table35[#Headers],0)),0)</f>
        <v>0</v>
      </c>
    </row>
    <row r="1681" spans="1:15" x14ac:dyDescent="0.3">
      <c r="A1681" s="19" t="e">
        <f>Table1[[#This Row],[Year_Week]]&amp;"-"&amp;Table1[[#This Row],[DC_name_Xref]]</f>
        <v>#N/A</v>
      </c>
      <c r="B1681" s="19" t="str">
        <f>Table1[[#This Row],[Fiscal_Year]]*100+Table1[[#This Row],[Fiscal_Week]] &amp; "-" &amp;Table1[[#This Row],[BRAND]]</f>
        <v>0-</v>
      </c>
      <c r="C1681" s="19" t="str">
        <f>Table1[[#This Row],[Fiscal_Year]]&amp;"-"&amp;Table1[[#This Row],[BRAND]]</f>
        <v>-</v>
      </c>
      <c r="J1681" t="e">
        <f>VLOOKUP(H1681,DC_Xref!A:B,2,FALSE)</f>
        <v>#N/A</v>
      </c>
      <c r="K1681">
        <f t="shared" si="26"/>
        <v>0</v>
      </c>
      <c r="L16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1" s="3">
        <f>IFERROR(INDEX(Table3[#All],MATCH(Table1[[#This Row],[Key_Year_Week_Brand]],Table3[[#All],[Key_Year_Week_Brand]],0),MATCH(Table1[[#This Row],[DC_name_Xref]],Table3[#Headers],0)),0)</f>
        <v>0</v>
      </c>
      <c r="O1681" s="19">
        <f>IFERROR(INDEX(Table35[#All],MATCH(Table1[[#This Row],[Key_Year_Week_Brand]],Table35[[#All],[Key_Year_Month_Brand]],0),MATCH(Table1[[#This Row],[DC_name_Xref]],Table35[#Headers],0)),0)</f>
        <v>0</v>
      </c>
    </row>
    <row r="1682" spans="1:15" x14ac:dyDescent="0.3">
      <c r="A1682" s="19" t="e">
        <f>Table1[[#This Row],[Year_Week]]&amp;"-"&amp;Table1[[#This Row],[DC_name_Xref]]</f>
        <v>#N/A</v>
      </c>
      <c r="B1682" s="19" t="str">
        <f>Table1[[#This Row],[Fiscal_Year]]*100+Table1[[#This Row],[Fiscal_Week]] &amp; "-" &amp;Table1[[#This Row],[BRAND]]</f>
        <v>0-</v>
      </c>
      <c r="C1682" s="19" t="str">
        <f>Table1[[#This Row],[Fiscal_Year]]&amp;"-"&amp;Table1[[#This Row],[BRAND]]</f>
        <v>-</v>
      </c>
      <c r="J1682" t="e">
        <f>VLOOKUP(H1682,DC_Xref!A:B,2,FALSE)</f>
        <v>#N/A</v>
      </c>
      <c r="K1682">
        <f t="shared" si="26"/>
        <v>0</v>
      </c>
      <c r="L16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2" s="3">
        <f>IFERROR(INDEX(Table3[#All],MATCH(Table1[[#This Row],[Key_Year_Week_Brand]],Table3[[#All],[Key_Year_Week_Brand]],0),MATCH(Table1[[#This Row],[DC_name_Xref]],Table3[#Headers],0)),0)</f>
        <v>0</v>
      </c>
      <c r="O1682" s="19">
        <f>IFERROR(INDEX(Table35[#All],MATCH(Table1[[#This Row],[Key_Year_Week_Brand]],Table35[[#All],[Key_Year_Month_Brand]],0),MATCH(Table1[[#This Row],[DC_name_Xref]],Table35[#Headers],0)),0)</f>
        <v>0</v>
      </c>
    </row>
    <row r="1683" spans="1:15" x14ac:dyDescent="0.3">
      <c r="A1683" s="19" t="e">
        <f>Table1[[#This Row],[Year_Week]]&amp;"-"&amp;Table1[[#This Row],[DC_name_Xref]]</f>
        <v>#N/A</v>
      </c>
      <c r="B1683" s="19" t="str">
        <f>Table1[[#This Row],[Fiscal_Year]]*100+Table1[[#This Row],[Fiscal_Week]] &amp; "-" &amp;Table1[[#This Row],[BRAND]]</f>
        <v>0-</v>
      </c>
      <c r="C1683" s="19" t="str">
        <f>Table1[[#This Row],[Fiscal_Year]]&amp;"-"&amp;Table1[[#This Row],[BRAND]]</f>
        <v>-</v>
      </c>
      <c r="J1683" t="e">
        <f>VLOOKUP(H1683,DC_Xref!A:B,2,FALSE)</f>
        <v>#N/A</v>
      </c>
      <c r="K1683">
        <f t="shared" si="26"/>
        <v>0</v>
      </c>
      <c r="L16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3" s="3">
        <f>IFERROR(INDEX(Table3[#All],MATCH(Table1[[#This Row],[Key_Year_Week_Brand]],Table3[[#All],[Key_Year_Week_Brand]],0),MATCH(Table1[[#This Row],[DC_name_Xref]],Table3[#Headers],0)),0)</f>
        <v>0</v>
      </c>
      <c r="O1683" s="19">
        <f>IFERROR(INDEX(Table35[#All],MATCH(Table1[[#This Row],[Key_Year_Week_Brand]],Table35[[#All],[Key_Year_Month_Brand]],0),MATCH(Table1[[#This Row],[DC_name_Xref]],Table35[#Headers],0)),0)</f>
        <v>0</v>
      </c>
    </row>
    <row r="1684" spans="1:15" x14ac:dyDescent="0.3">
      <c r="A1684" s="19" t="e">
        <f>Table1[[#This Row],[Year_Week]]&amp;"-"&amp;Table1[[#This Row],[DC_name_Xref]]</f>
        <v>#N/A</v>
      </c>
      <c r="B1684" s="19" t="str">
        <f>Table1[[#This Row],[Fiscal_Year]]*100+Table1[[#This Row],[Fiscal_Week]] &amp; "-" &amp;Table1[[#This Row],[BRAND]]</f>
        <v>0-</v>
      </c>
      <c r="C1684" s="19" t="str">
        <f>Table1[[#This Row],[Fiscal_Year]]&amp;"-"&amp;Table1[[#This Row],[BRAND]]</f>
        <v>-</v>
      </c>
      <c r="J1684" t="e">
        <f>VLOOKUP(H1684,DC_Xref!A:B,2,FALSE)</f>
        <v>#N/A</v>
      </c>
      <c r="K1684">
        <f t="shared" si="26"/>
        <v>0</v>
      </c>
      <c r="L16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4" s="3">
        <f>IFERROR(INDEX(Table3[#All],MATCH(Table1[[#This Row],[Key_Year_Week_Brand]],Table3[[#All],[Key_Year_Week_Brand]],0),MATCH(Table1[[#This Row],[DC_name_Xref]],Table3[#Headers],0)),0)</f>
        <v>0</v>
      </c>
      <c r="O1684" s="19">
        <f>IFERROR(INDEX(Table35[#All],MATCH(Table1[[#This Row],[Key_Year_Week_Brand]],Table35[[#All],[Key_Year_Month_Brand]],0),MATCH(Table1[[#This Row],[DC_name_Xref]],Table35[#Headers],0)),0)</f>
        <v>0</v>
      </c>
    </row>
    <row r="1685" spans="1:15" x14ac:dyDescent="0.3">
      <c r="A1685" s="19" t="e">
        <f>Table1[[#This Row],[Year_Week]]&amp;"-"&amp;Table1[[#This Row],[DC_name_Xref]]</f>
        <v>#N/A</v>
      </c>
      <c r="B1685" s="19" t="str">
        <f>Table1[[#This Row],[Fiscal_Year]]*100+Table1[[#This Row],[Fiscal_Week]] &amp; "-" &amp;Table1[[#This Row],[BRAND]]</f>
        <v>0-</v>
      </c>
      <c r="C1685" s="19" t="str">
        <f>Table1[[#This Row],[Fiscal_Year]]&amp;"-"&amp;Table1[[#This Row],[BRAND]]</f>
        <v>-</v>
      </c>
      <c r="J1685" t="e">
        <f>VLOOKUP(H1685,DC_Xref!A:B,2,FALSE)</f>
        <v>#N/A</v>
      </c>
      <c r="K1685">
        <f t="shared" si="26"/>
        <v>0</v>
      </c>
      <c r="L16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5" s="3">
        <f>IFERROR(INDEX(Table3[#All],MATCH(Table1[[#This Row],[Key_Year_Week_Brand]],Table3[[#All],[Key_Year_Week_Brand]],0),MATCH(Table1[[#This Row],[DC_name_Xref]],Table3[#Headers],0)),0)</f>
        <v>0</v>
      </c>
      <c r="O1685" s="19">
        <f>IFERROR(INDEX(Table35[#All],MATCH(Table1[[#This Row],[Key_Year_Week_Brand]],Table35[[#All],[Key_Year_Month_Brand]],0),MATCH(Table1[[#This Row],[DC_name_Xref]],Table35[#Headers],0)),0)</f>
        <v>0</v>
      </c>
    </row>
    <row r="1686" spans="1:15" x14ac:dyDescent="0.3">
      <c r="A1686" s="19" t="e">
        <f>Table1[[#This Row],[Year_Week]]&amp;"-"&amp;Table1[[#This Row],[DC_name_Xref]]</f>
        <v>#N/A</v>
      </c>
      <c r="B1686" s="19" t="str">
        <f>Table1[[#This Row],[Fiscal_Year]]*100+Table1[[#This Row],[Fiscal_Week]] &amp; "-" &amp;Table1[[#This Row],[BRAND]]</f>
        <v>0-</v>
      </c>
      <c r="C1686" s="19" t="str">
        <f>Table1[[#This Row],[Fiscal_Year]]&amp;"-"&amp;Table1[[#This Row],[BRAND]]</f>
        <v>-</v>
      </c>
      <c r="J1686" t="e">
        <f>VLOOKUP(H1686,DC_Xref!A:B,2,FALSE)</f>
        <v>#N/A</v>
      </c>
      <c r="K1686">
        <f t="shared" si="26"/>
        <v>0</v>
      </c>
      <c r="L16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6" s="3">
        <f>IFERROR(INDEX(Table3[#All],MATCH(Table1[[#This Row],[Key_Year_Week_Brand]],Table3[[#All],[Key_Year_Week_Brand]],0),MATCH(Table1[[#This Row],[DC_name_Xref]],Table3[#Headers],0)),0)</f>
        <v>0</v>
      </c>
      <c r="O1686" s="19">
        <f>IFERROR(INDEX(Table35[#All],MATCH(Table1[[#This Row],[Key_Year_Week_Brand]],Table35[[#All],[Key_Year_Month_Brand]],0),MATCH(Table1[[#This Row],[DC_name_Xref]],Table35[#Headers],0)),0)</f>
        <v>0</v>
      </c>
    </row>
    <row r="1687" spans="1:15" x14ac:dyDescent="0.3">
      <c r="A1687" s="19" t="e">
        <f>Table1[[#This Row],[Year_Week]]&amp;"-"&amp;Table1[[#This Row],[DC_name_Xref]]</f>
        <v>#N/A</v>
      </c>
      <c r="B1687" s="19" t="str">
        <f>Table1[[#This Row],[Fiscal_Year]]*100+Table1[[#This Row],[Fiscal_Week]] &amp; "-" &amp;Table1[[#This Row],[BRAND]]</f>
        <v>0-</v>
      </c>
      <c r="C1687" s="19" t="str">
        <f>Table1[[#This Row],[Fiscal_Year]]&amp;"-"&amp;Table1[[#This Row],[BRAND]]</f>
        <v>-</v>
      </c>
      <c r="J1687" t="e">
        <f>VLOOKUP(H1687,DC_Xref!A:B,2,FALSE)</f>
        <v>#N/A</v>
      </c>
      <c r="K1687">
        <f t="shared" si="26"/>
        <v>0</v>
      </c>
      <c r="L16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7" s="3">
        <f>IFERROR(INDEX(Table3[#All],MATCH(Table1[[#This Row],[Key_Year_Week_Brand]],Table3[[#All],[Key_Year_Week_Brand]],0),MATCH(Table1[[#This Row],[DC_name_Xref]],Table3[#Headers],0)),0)</f>
        <v>0</v>
      </c>
      <c r="O1687" s="19">
        <f>IFERROR(INDEX(Table35[#All],MATCH(Table1[[#This Row],[Key_Year_Week_Brand]],Table35[[#All],[Key_Year_Month_Brand]],0),MATCH(Table1[[#This Row],[DC_name_Xref]],Table35[#Headers],0)),0)</f>
        <v>0</v>
      </c>
    </row>
    <row r="1688" spans="1:15" x14ac:dyDescent="0.3">
      <c r="A1688" s="19" t="e">
        <f>Table1[[#This Row],[Year_Week]]&amp;"-"&amp;Table1[[#This Row],[DC_name_Xref]]</f>
        <v>#N/A</v>
      </c>
      <c r="B1688" s="19" t="str">
        <f>Table1[[#This Row],[Fiscal_Year]]*100+Table1[[#This Row],[Fiscal_Week]] &amp; "-" &amp;Table1[[#This Row],[BRAND]]</f>
        <v>0-</v>
      </c>
      <c r="C1688" s="19" t="str">
        <f>Table1[[#This Row],[Fiscal_Year]]&amp;"-"&amp;Table1[[#This Row],[BRAND]]</f>
        <v>-</v>
      </c>
      <c r="J1688" t="e">
        <f>VLOOKUP(H1688,DC_Xref!A:B,2,FALSE)</f>
        <v>#N/A</v>
      </c>
      <c r="K1688">
        <f t="shared" si="26"/>
        <v>0</v>
      </c>
      <c r="L16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8" s="3">
        <f>IFERROR(INDEX(Table3[#All],MATCH(Table1[[#This Row],[Key_Year_Week_Brand]],Table3[[#All],[Key_Year_Week_Brand]],0),MATCH(Table1[[#This Row],[DC_name_Xref]],Table3[#Headers],0)),0)</f>
        <v>0</v>
      </c>
      <c r="O1688" s="19">
        <f>IFERROR(INDEX(Table35[#All],MATCH(Table1[[#This Row],[Key_Year_Week_Brand]],Table35[[#All],[Key_Year_Month_Brand]],0),MATCH(Table1[[#This Row],[DC_name_Xref]],Table35[#Headers],0)),0)</f>
        <v>0</v>
      </c>
    </row>
    <row r="1689" spans="1:15" x14ac:dyDescent="0.3">
      <c r="A1689" s="19" t="e">
        <f>Table1[[#This Row],[Year_Week]]&amp;"-"&amp;Table1[[#This Row],[DC_name_Xref]]</f>
        <v>#N/A</v>
      </c>
      <c r="B1689" s="19" t="str">
        <f>Table1[[#This Row],[Fiscal_Year]]*100+Table1[[#This Row],[Fiscal_Week]] &amp; "-" &amp;Table1[[#This Row],[BRAND]]</f>
        <v>0-</v>
      </c>
      <c r="C1689" s="19" t="str">
        <f>Table1[[#This Row],[Fiscal_Year]]&amp;"-"&amp;Table1[[#This Row],[BRAND]]</f>
        <v>-</v>
      </c>
      <c r="J1689" t="e">
        <f>VLOOKUP(H1689,DC_Xref!A:B,2,FALSE)</f>
        <v>#N/A</v>
      </c>
      <c r="K1689">
        <f t="shared" si="26"/>
        <v>0</v>
      </c>
      <c r="L16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89" s="3">
        <f>IFERROR(INDEX(Table3[#All],MATCH(Table1[[#This Row],[Key_Year_Week_Brand]],Table3[[#All],[Key_Year_Week_Brand]],0),MATCH(Table1[[#This Row],[DC_name_Xref]],Table3[#Headers],0)),0)</f>
        <v>0</v>
      </c>
      <c r="O1689" s="19">
        <f>IFERROR(INDEX(Table35[#All],MATCH(Table1[[#This Row],[Key_Year_Week_Brand]],Table35[[#All],[Key_Year_Month_Brand]],0),MATCH(Table1[[#This Row],[DC_name_Xref]],Table35[#Headers],0)),0)</f>
        <v>0</v>
      </c>
    </row>
    <row r="1690" spans="1:15" x14ac:dyDescent="0.3">
      <c r="A1690" s="19" t="e">
        <f>Table1[[#This Row],[Year_Week]]&amp;"-"&amp;Table1[[#This Row],[DC_name_Xref]]</f>
        <v>#N/A</v>
      </c>
      <c r="B1690" s="19" t="str">
        <f>Table1[[#This Row],[Fiscal_Year]]*100+Table1[[#This Row],[Fiscal_Week]] &amp; "-" &amp;Table1[[#This Row],[BRAND]]</f>
        <v>0-</v>
      </c>
      <c r="C1690" s="19" t="str">
        <f>Table1[[#This Row],[Fiscal_Year]]&amp;"-"&amp;Table1[[#This Row],[BRAND]]</f>
        <v>-</v>
      </c>
      <c r="J1690" t="e">
        <f>VLOOKUP(H1690,DC_Xref!A:B,2,FALSE)</f>
        <v>#N/A</v>
      </c>
      <c r="K1690">
        <f t="shared" si="26"/>
        <v>0</v>
      </c>
      <c r="L16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0" s="3">
        <f>IFERROR(INDEX(Table3[#All],MATCH(Table1[[#This Row],[Key_Year_Week_Brand]],Table3[[#All],[Key_Year_Week_Brand]],0),MATCH(Table1[[#This Row],[DC_name_Xref]],Table3[#Headers],0)),0)</f>
        <v>0</v>
      </c>
      <c r="O1690" s="19">
        <f>IFERROR(INDEX(Table35[#All],MATCH(Table1[[#This Row],[Key_Year_Week_Brand]],Table35[[#All],[Key_Year_Month_Brand]],0),MATCH(Table1[[#This Row],[DC_name_Xref]],Table35[#Headers],0)),0)</f>
        <v>0</v>
      </c>
    </row>
    <row r="1691" spans="1:15" x14ac:dyDescent="0.3">
      <c r="A1691" s="19" t="e">
        <f>Table1[[#This Row],[Year_Week]]&amp;"-"&amp;Table1[[#This Row],[DC_name_Xref]]</f>
        <v>#N/A</v>
      </c>
      <c r="B1691" s="19" t="str">
        <f>Table1[[#This Row],[Fiscal_Year]]*100+Table1[[#This Row],[Fiscal_Week]] &amp; "-" &amp;Table1[[#This Row],[BRAND]]</f>
        <v>0-</v>
      </c>
      <c r="C1691" s="19" t="str">
        <f>Table1[[#This Row],[Fiscal_Year]]&amp;"-"&amp;Table1[[#This Row],[BRAND]]</f>
        <v>-</v>
      </c>
      <c r="J1691" t="e">
        <f>VLOOKUP(H1691,DC_Xref!A:B,2,FALSE)</f>
        <v>#N/A</v>
      </c>
      <c r="K1691">
        <f t="shared" si="26"/>
        <v>0</v>
      </c>
      <c r="L16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1" s="3">
        <f>IFERROR(INDEX(Table3[#All],MATCH(Table1[[#This Row],[Key_Year_Week_Brand]],Table3[[#All],[Key_Year_Week_Brand]],0),MATCH(Table1[[#This Row],[DC_name_Xref]],Table3[#Headers],0)),0)</f>
        <v>0</v>
      </c>
      <c r="O1691" s="19">
        <f>IFERROR(INDEX(Table35[#All],MATCH(Table1[[#This Row],[Key_Year_Week_Brand]],Table35[[#All],[Key_Year_Month_Brand]],0),MATCH(Table1[[#This Row],[DC_name_Xref]],Table35[#Headers],0)),0)</f>
        <v>0</v>
      </c>
    </row>
    <row r="1692" spans="1:15" x14ac:dyDescent="0.3">
      <c r="A1692" s="19" t="e">
        <f>Table1[[#This Row],[Year_Week]]&amp;"-"&amp;Table1[[#This Row],[DC_name_Xref]]</f>
        <v>#N/A</v>
      </c>
      <c r="B1692" s="19" t="str">
        <f>Table1[[#This Row],[Fiscal_Year]]*100+Table1[[#This Row],[Fiscal_Week]] &amp; "-" &amp;Table1[[#This Row],[BRAND]]</f>
        <v>0-</v>
      </c>
      <c r="C1692" s="19" t="str">
        <f>Table1[[#This Row],[Fiscal_Year]]&amp;"-"&amp;Table1[[#This Row],[BRAND]]</f>
        <v>-</v>
      </c>
      <c r="J1692" t="e">
        <f>VLOOKUP(H1692,DC_Xref!A:B,2,FALSE)</f>
        <v>#N/A</v>
      </c>
      <c r="K1692">
        <f t="shared" si="26"/>
        <v>0</v>
      </c>
      <c r="L16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2" s="3">
        <f>IFERROR(INDEX(Table3[#All],MATCH(Table1[[#This Row],[Key_Year_Week_Brand]],Table3[[#All],[Key_Year_Week_Brand]],0),MATCH(Table1[[#This Row],[DC_name_Xref]],Table3[#Headers],0)),0)</f>
        <v>0</v>
      </c>
      <c r="O1692" s="19">
        <f>IFERROR(INDEX(Table35[#All],MATCH(Table1[[#This Row],[Key_Year_Week_Brand]],Table35[[#All],[Key_Year_Month_Brand]],0),MATCH(Table1[[#This Row],[DC_name_Xref]],Table35[#Headers],0)),0)</f>
        <v>0</v>
      </c>
    </row>
    <row r="1693" spans="1:15" x14ac:dyDescent="0.3">
      <c r="A1693" s="19" t="e">
        <f>Table1[[#This Row],[Year_Week]]&amp;"-"&amp;Table1[[#This Row],[DC_name_Xref]]</f>
        <v>#N/A</v>
      </c>
      <c r="B1693" s="19" t="str">
        <f>Table1[[#This Row],[Fiscal_Year]]*100+Table1[[#This Row],[Fiscal_Week]] &amp; "-" &amp;Table1[[#This Row],[BRAND]]</f>
        <v>0-</v>
      </c>
      <c r="C1693" s="19" t="str">
        <f>Table1[[#This Row],[Fiscal_Year]]&amp;"-"&amp;Table1[[#This Row],[BRAND]]</f>
        <v>-</v>
      </c>
      <c r="J1693" t="e">
        <f>VLOOKUP(H1693,DC_Xref!A:B,2,FALSE)</f>
        <v>#N/A</v>
      </c>
      <c r="K1693">
        <f t="shared" si="26"/>
        <v>0</v>
      </c>
      <c r="L16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3" s="3">
        <f>IFERROR(INDEX(Table3[#All],MATCH(Table1[[#This Row],[Key_Year_Week_Brand]],Table3[[#All],[Key_Year_Week_Brand]],0),MATCH(Table1[[#This Row],[DC_name_Xref]],Table3[#Headers],0)),0)</f>
        <v>0</v>
      </c>
      <c r="O1693" s="19">
        <f>IFERROR(INDEX(Table35[#All],MATCH(Table1[[#This Row],[Key_Year_Week_Brand]],Table35[[#All],[Key_Year_Month_Brand]],0),MATCH(Table1[[#This Row],[DC_name_Xref]],Table35[#Headers],0)),0)</f>
        <v>0</v>
      </c>
    </row>
    <row r="1694" spans="1:15" x14ac:dyDescent="0.3">
      <c r="A1694" s="19" t="e">
        <f>Table1[[#This Row],[Year_Week]]&amp;"-"&amp;Table1[[#This Row],[DC_name_Xref]]</f>
        <v>#N/A</v>
      </c>
      <c r="B1694" s="19" t="str">
        <f>Table1[[#This Row],[Fiscal_Year]]*100+Table1[[#This Row],[Fiscal_Week]] &amp; "-" &amp;Table1[[#This Row],[BRAND]]</f>
        <v>0-</v>
      </c>
      <c r="C1694" s="19" t="str">
        <f>Table1[[#This Row],[Fiscal_Year]]&amp;"-"&amp;Table1[[#This Row],[BRAND]]</f>
        <v>-</v>
      </c>
      <c r="J1694" t="e">
        <f>VLOOKUP(H1694,DC_Xref!A:B,2,FALSE)</f>
        <v>#N/A</v>
      </c>
      <c r="K1694">
        <f t="shared" si="26"/>
        <v>0</v>
      </c>
      <c r="L16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4" s="3">
        <f>IFERROR(INDEX(Table3[#All],MATCH(Table1[[#This Row],[Key_Year_Week_Brand]],Table3[[#All],[Key_Year_Week_Brand]],0),MATCH(Table1[[#This Row],[DC_name_Xref]],Table3[#Headers],0)),0)</f>
        <v>0</v>
      </c>
      <c r="O1694" s="19">
        <f>IFERROR(INDEX(Table35[#All],MATCH(Table1[[#This Row],[Key_Year_Week_Brand]],Table35[[#All],[Key_Year_Month_Brand]],0),MATCH(Table1[[#This Row],[DC_name_Xref]],Table35[#Headers],0)),0)</f>
        <v>0</v>
      </c>
    </row>
    <row r="1695" spans="1:15" x14ac:dyDescent="0.3">
      <c r="A1695" s="19" t="e">
        <f>Table1[[#This Row],[Year_Week]]&amp;"-"&amp;Table1[[#This Row],[DC_name_Xref]]</f>
        <v>#N/A</v>
      </c>
      <c r="B1695" s="19" t="str">
        <f>Table1[[#This Row],[Fiscal_Year]]*100+Table1[[#This Row],[Fiscal_Week]] &amp; "-" &amp;Table1[[#This Row],[BRAND]]</f>
        <v>0-</v>
      </c>
      <c r="C1695" s="19" t="str">
        <f>Table1[[#This Row],[Fiscal_Year]]&amp;"-"&amp;Table1[[#This Row],[BRAND]]</f>
        <v>-</v>
      </c>
      <c r="J1695" t="e">
        <f>VLOOKUP(H1695,DC_Xref!A:B,2,FALSE)</f>
        <v>#N/A</v>
      </c>
      <c r="K1695">
        <f t="shared" si="26"/>
        <v>0</v>
      </c>
      <c r="L16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5" s="3">
        <f>IFERROR(INDEX(Table3[#All],MATCH(Table1[[#This Row],[Key_Year_Week_Brand]],Table3[[#All],[Key_Year_Week_Brand]],0),MATCH(Table1[[#This Row],[DC_name_Xref]],Table3[#Headers],0)),0)</f>
        <v>0</v>
      </c>
      <c r="O1695" s="19">
        <f>IFERROR(INDEX(Table35[#All],MATCH(Table1[[#This Row],[Key_Year_Week_Brand]],Table35[[#All],[Key_Year_Month_Brand]],0),MATCH(Table1[[#This Row],[DC_name_Xref]],Table35[#Headers],0)),0)</f>
        <v>0</v>
      </c>
    </row>
    <row r="1696" spans="1:15" x14ac:dyDescent="0.3">
      <c r="A1696" s="19" t="e">
        <f>Table1[[#This Row],[Year_Week]]&amp;"-"&amp;Table1[[#This Row],[DC_name_Xref]]</f>
        <v>#N/A</v>
      </c>
      <c r="B1696" s="19" t="str">
        <f>Table1[[#This Row],[Fiscal_Year]]*100+Table1[[#This Row],[Fiscal_Week]] &amp; "-" &amp;Table1[[#This Row],[BRAND]]</f>
        <v>0-</v>
      </c>
      <c r="C1696" s="19" t="str">
        <f>Table1[[#This Row],[Fiscal_Year]]&amp;"-"&amp;Table1[[#This Row],[BRAND]]</f>
        <v>-</v>
      </c>
      <c r="J1696" t="e">
        <f>VLOOKUP(H1696,DC_Xref!A:B,2,FALSE)</f>
        <v>#N/A</v>
      </c>
      <c r="K1696">
        <f t="shared" si="26"/>
        <v>0</v>
      </c>
      <c r="L16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6" s="3">
        <f>IFERROR(INDEX(Table3[#All],MATCH(Table1[[#This Row],[Key_Year_Week_Brand]],Table3[[#All],[Key_Year_Week_Brand]],0),MATCH(Table1[[#This Row],[DC_name_Xref]],Table3[#Headers],0)),0)</f>
        <v>0</v>
      </c>
      <c r="O1696" s="19">
        <f>IFERROR(INDEX(Table35[#All],MATCH(Table1[[#This Row],[Key_Year_Week_Brand]],Table35[[#All],[Key_Year_Month_Brand]],0),MATCH(Table1[[#This Row],[DC_name_Xref]],Table35[#Headers],0)),0)</f>
        <v>0</v>
      </c>
    </row>
    <row r="1697" spans="1:15" x14ac:dyDescent="0.3">
      <c r="A1697" s="19" t="e">
        <f>Table1[[#This Row],[Year_Week]]&amp;"-"&amp;Table1[[#This Row],[DC_name_Xref]]</f>
        <v>#N/A</v>
      </c>
      <c r="B1697" s="19" t="str">
        <f>Table1[[#This Row],[Fiscal_Year]]*100+Table1[[#This Row],[Fiscal_Week]] &amp; "-" &amp;Table1[[#This Row],[BRAND]]</f>
        <v>0-</v>
      </c>
      <c r="C1697" s="19" t="str">
        <f>Table1[[#This Row],[Fiscal_Year]]&amp;"-"&amp;Table1[[#This Row],[BRAND]]</f>
        <v>-</v>
      </c>
      <c r="J1697" t="e">
        <f>VLOOKUP(H1697,DC_Xref!A:B,2,FALSE)</f>
        <v>#N/A</v>
      </c>
      <c r="K1697">
        <f t="shared" si="26"/>
        <v>0</v>
      </c>
      <c r="L16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7" s="3">
        <f>IFERROR(INDEX(Table3[#All],MATCH(Table1[[#This Row],[Key_Year_Week_Brand]],Table3[[#All],[Key_Year_Week_Brand]],0),MATCH(Table1[[#This Row],[DC_name_Xref]],Table3[#Headers],0)),0)</f>
        <v>0</v>
      </c>
      <c r="O1697" s="19">
        <f>IFERROR(INDEX(Table35[#All],MATCH(Table1[[#This Row],[Key_Year_Week_Brand]],Table35[[#All],[Key_Year_Month_Brand]],0),MATCH(Table1[[#This Row],[DC_name_Xref]],Table35[#Headers],0)),0)</f>
        <v>0</v>
      </c>
    </row>
    <row r="1698" spans="1:15" x14ac:dyDescent="0.3">
      <c r="A1698" s="19" t="e">
        <f>Table1[[#This Row],[Year_Week]]&amp;"-"&amp;Table1[[#This Row],[DC_name_Xref]]</f>
        <v>#N/A</v>
      </c>
      <c r="B1698" s="19" t="str">
        <f>Table1[[#This Row],[Fiscal_Year]]*100+Table1[[#This Row],[Fiscal_Week]] &amp; "-" &amp;Table1[[#This Row],[BRAND]]</f>
        <v>0-</v>
      </c>
      <c r="C1698" s="19" t="str">
        <f>Table1[[#This Row],[Fiscal_Year]]&amp;"-"&amp;Table1[[#This Row],[BRAND]]</f>
        <v>-</v>
      </c>
      <c r="J1698" t="e">
        <f>VLOOKUP(H1698,DC_Xref!A:B,2,FALSE)</f>
        <v>#N/A</v>
      </c>
      <c r="K1698">
        <f t="shared" si="26"/>
        <v>0</v>
      </c>
      <c r="L16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8" s="3">
        <f>IFERROR(INDEX(Table3[#All],MATCH(Table1[[#This Row],[Key_Year_Week_Brand]],Table3[[#All],[Key_Year_Week_Brand]],0),MATCH(Table1[[#This Row],[DC_name_Xref]],Table3[#Headers],0)),0)</f>
        <v>0</v>
      </c>
      <c r="O1698" s="19">
        <f>IFERROR(INDEX(Table35[#All],MATCH(Table1[[#This Row],[Key_Year_Week_Brand]],Table35[[#All],[Key_Year_Month_Brand]],0),MATCH(Table1[[#This Row],[DC_name_Xref]],Table35[#Headers],0)),0)</f>
        <v>0</v>
      </c>
    </row>
    <row r="1699" spans="1:15" x14ac:dyDescent="0.3">
      <c r="A1699" s="19" t="e">
        <f>Table1[[#This Row],[Year_Week]]&amp;"-"&amp;Table1[[#This Row],[DC_name_Xref]]</f>
        <v>#N/A</v>
      </c>
      <c r="B1699" s="19" t="str">
        <f>Table1[[#This Row],[Fiscal_Year]]*100+Table1[[#This Row],[Fiscal_Week]] &amp; "-" &amp;Table1[[#This Row],[BRAND]]</f>
        <v>0-</v>
      </c>
      <c r="C1699" s="19" t="str">
        <f>Table1[[#This Row],[Fiscal_Year]]&amp;"-"&amp;Table1[[#This Row],[BRAND]]</f>
        <v>-</v>
      </c>
      <c r="J1699" t="e">
        <f>VLOOKUP(H1699,DC_Xref!A:B,2,FALSE)</f>
        <v>#N/A</v>
      </c>
      <c r="K1699">
        <f t="shared" si="26"/>
        <v>0</v>
      </c>
      <c r="L16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6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699" s="3">
        <f>IFERROR(INDEX(Table3[#All],MATCH(Table1[[#This Row],[Key_Year_Week_Brand]],Table3[[#All],[Key_Year_Week_Brand]],0),MATCH(Table1[[#This Row],[DC_name_Xref]],Table3[#Headers],0)),0)</f>
        <v>0</v>
      </c>
      <c r="O1699" s="19">
        <f>IFERROR(INDEX(Table35[#All],MATCH(Table1[[#This Row],[Key_Year_Week_Brand]],Table35[[#All],[Key_Year_Month_Brand]],0),MATCH(Table1[[#This Row],[DC_name_Xref]],Table35[#Headers],0)),0)</f>
        <v>0</v>
      </c>
    </row>
    <row r="1700" spans="1:15" x14ac:dyDescent="0.3">
      <c r="A1700" s="19" t="e">
        <f>Table1[[#This Row],[Year_Week]]&amp;"-"&amp;Table1[[#This Row],[DC_name_Xref]]</f>
        <v>#N/A</v>
      </c>
      <c r="B1700" s="19" t="str">
        <f>Table1[[#This Row],[Fiscal_Year]]*100+Table1[[#This Row],[Fiscal_Week]] &amp; "-" &amp;Table1[[#This Row],[BRAND]]</f>
        <v>0-</v>
      </c>
      <c r="C1700" s="19" t="str">
        <f>Table1[[#This Row],[Fiscal_Year]]&amp;"-"&amp;Table1[[#This Row],[BRAND]]</f>
        <v>-</v>
      </c>
      <c r="J1700" t="e">
        <f>VLOOKUP(H1700,DC_Xref!A:B,2,FALSE)</f>
        <v>#N/A</v>
      </c>
      <c r="K1700">
        <f t="shared" si="26"/>
        <v>0</v>
      </c>
      <c r="L17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0" s="3">
        <f>IFERROR(INDEX(Table3[#All],MATCH(Table1[[#This Row],[Key_Year_Week_Brand]],Table3[[#All],[Key_Year_Week_Brand]],0),MATCH(Table1[[#This Row],[DC_name_Xref]],Table3[#Headers],0)),0)</f>
        <v>0</v>
      </c>
      <c r="O1700" s="19">
        <f>IFERROR(INDEX(Table35[#All],MATCH(Table1[[#This Row],[Key_Year_Week_Brand]],Table35[[#All],[Key_Year_Month_Brand]],0),MATCH(Table1[[#This Row],[DC_name_Xref]],Table35[#Headers],0)),0)</f>
        <v>0</v>
      </c>
    </row>
    <row r="1701" spans="1:15" x14ac:dyDescent="0.3">
      <c r="A1701" s="19" t="e">
        <f>Table1[[#This Row],[Year_Week]]&amp;"-"&amp;Table1[[#This Row],[DC_name_Xref]]</f>
        <v>#N/A</v>
      </c>
      <c r="B1701" s="19" t="str">
        <f>Table1[[#This Row],[Fiscal_Year]]*100+Table1[[#This Row],[Fiscal_Week]] &amp; "-" &amp;Table1[[#This Row],[BRAND]]</f>
        <v>0-</v>
      </c>
      <c r="C1701" s="19" t="str">
        <f>Table1[[#This Row],[Fiscal_Year]]&amp;"-"&amp;Table1[[#This Row],[BRAND]]</f>
        <v>-</v>
      </c>
      <c r="J1701" t="e">
        <f>VLOOKUP(H1701,DC_Xref!A:B,2,FALSE)</f>
        <v>#N/A</v>
      </c>
      <c r="K1701">
        <f t="shared" si="26"/>
        <v>0</v>
      </c>
      <c r="L17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1" s="3">
        <f>IFERROR(INDEX(Table3[#All],MATCH(Table1[[#This Row],[Key_Year_Week_Brand]],Table3[[#All],[Key_Year_Week_Brand]],0),MATCH(Table1[[#This Row],[DC_name_Xref]],Table3[#Headers],0)),0)</f>
        <v>0</v>
      </c>
      <c r="O1701" s="19">
        <f>IFERROR(INDEX(Table35[#All],MATCH(Table1[[#This Row],[Key_Year_Week_Brand]],Table35[[#All],[Key_Year_Month_Brand]],0),MATCH(Table1[[#This Row],[DC_name_Xref]],Table35[#Headers],0)),0)</f>
        <v>0</v>
      </c>
    </row>
    <row r="1702" spans="1:15" x14ac:dyDescent="0.3">
      <c r="A1702" s="19" t="e">
        <f>Table1[[#This Row],[Year_Week]]&amp;"-"&amp;Table1[[#This Row],[DC_name_Xref]]</f>
        <v>#N/A</v>
      </c>
      <c r="B1702" s="19" t="str">
        <f>Table1[[#This Row],[Fiscal_Year]]*100+Table1[[#This Row],[Fiscal_Week]] &amp; "-" &amp;Table1[[#This Row],[BRAND]]</f>
        <v>0-</v>
      </c>
      <c r="C1702" s="19" t="str">
        <f>Table1[[#This Row],[Fiscal_Year]]&amp;"-"&amp;Table1[[#This Row],[BRAND]]</f>
        <v>-</v>
      </c>
      <c r="J1702" t="e">
        <f>VLOOKUP(H1702,DC_Xref!A:B,2,FALSE)</f>
        <v>#N/A</v>
      </c>
      <c r="K1702">
        <f t="shared" si="26"/>
        <v>0</v>
      </c>
      <c r="L17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2" s="3">
        <f>IFERROR(INDEX(Table3[#All],MATCH(Table1[[#This Row],[Key_Year_Week_Brand]],Table3[[#All],[Key_Year_Week_Brand]],0),MATCH(Table1[[#This Row],[DC_name_Xref]],Table3[#Headers],0)),0)</f>
        <v>0</v>
      </c>
      <c r="O1702" s="19">
        <f>IFERROR(INDEX(Table35[#All],MATCH(Table1[[#This Row],[Key_Year_Week_Brand]],Table35[[#All],[Key_Year_Month_Brand]],0),MATCH(Table1[[#This Row],[DC_name_Xref]],Table35[#Headers],0)),0)</f>
        <v>0</v>
      </c>
    </row>
    <row r="1703" spans="1:15" x14ac:dyDescent="0.3">
      <c r="A1703" s="19" t="e">
        <f>Table1[[#This Row],[Year_Week]]&amp;"-"&amp;Table1[[#This Row],[DC_name_Xref]]</f>
        <v>#N/A</v>
      </c>
      <c r="B1703" s="19" t="str">
        <f>Table1[[#This Row],[Fiscal_Year]]*100+Table1[[#This Row],[Fiscal_Week]] &amp; "-" &amp;Table1[[#This Row],[BRAND]]</f>
        <v>0-</v>
      </c>
      <c r="C1703" s="19" t="str">
        <f>Table1[[#This Row],[Fiscal_Year]]&amp;"-"&amp;Table1[[#This Row],[BRAND]]</f>
        <v>-</v>
      </c>
      <c r="J1703" t="e">
        <f>VLOOKUP(H1703,DC_Xref!A:B,2,FALSE)</f>
        <v>#N/A</v>
      </c>
      <c r="K1703">
        <f t="shared" si="26"/>
        <v>0</v>
      </c>
      <c r="L17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3" s="3">
        <f>IFERROR(INDEX(Table3[#All],MATCH(Table1[[#This Row],[Key_Year_Week_Brand]],Table3[[#All],[Key_Year_Week_Brand]],0),MATCH(Table1[[#This Row],[DC_name_Xref]],Table3[#Headers],0)),0)</f>
        <v>0</v>
      </c>
      <c r="O1703" s="19">
        <f>IFERROR(INDEX(Table35[#All],MATCH(Table1[[#This Row],[Key_Year_Week_Brand]],Table35[[#All],[Key_Year_Month_Brand]],0),MATCH(Table1[[#This Row],[DC_name_Xref]],Table35[#Headers],0)),0)</f>
        <v>0</v>
      </c>
    </row>
    <row r="1704" spans="1:15" x14ac:dyDescent="0.3">
      <c r="A1704" s="19" t="e">
        <f>Table1[[#This Row],[Year_Week]]&amp;"-"&amp;Table1[[#This Row],[DC_name_Xref]]</f>
        <v>#N/A</v>
      </c>
      <c r="B1704" s="19" t="str">
        <f>Table1[[#This Row],[Fiscal_Year]]*100+Table1[[#This Row],[Fiscal_Week]] &amp; "-" &amp;Table1[[#This Row],[BRAND]]</f>
        <v>0-</v>
      </c>
      <c r="C1704" s="19" t="str">
        <f>Table1[[#This Row],[Fiscal_Year]]&amp;"-"&amp;Table1[[#This Row],[BRAND]]</f>
        <v>-</v>
      </c>
      <c r="J1704" t="e">
        <f>VLOOKUP(H1704,DC_Xref!A:B,2,FALSE)</f>
        <v>#N/A</v>
      </c>
      <c r="K1704">
        <f t="shared" si="26"/>
        <v>0</v>
      </c>
      <c r="L17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4" s="3">
        <f>IFERROR(INDEX(Table3[#All],MATCH(Table1[[#This Row],[Key_Year_Week_Brand]],Table3[[#All],[Key_Year_Week_Brand]],0),MATCH(Table1[[#This Row],[DC_name_Xref]],Table3[#Headers],0)),0)</f>
        <v>0</v>
      </c>
      <c r="O1704" s="19">
        <f>IFERROR(INDEX(Table35[#All],MATCH(Table1[[#This Row],[Key_Year_Week_Brand]],Table35[[#All],[Key_Year_Month_Brand]],0),MATCH(Table1[[#This Row],[DC_name_Xref]],Table35[#Headers],0)),0)</f>
        <v>0</v>
      </c>
    </row>
    <row r="1705" spans="1:15" x14ac:dyDescent="0.3">
      <c r="A1705" s="19" t="e">
        <f>Table1[[#This Row],[Year_Week]]&amp;"-"&amp;Table1[[#This Row],[DC_name_Xref]]</f>
        <v>#N/A</v>
      </c>
      <c r="B1705" s="19" t="str">
        <f>Table1[[#This Row],[Fiscal_Year]]*100+Table1[[#This Row],[Fiscal_Week]] &amp; "-" &amp;Table1[[#This Row],[BRAND]]</f>
        <v>0-</v>
      </c>
      <c r="C1705" s="19" t="str">
        <f>Table1[[#This Row],[Fiscal_Year]]&amp;"-"&amp;Table1[[#This Row],[BRAND]]</f>
        <v>-</v>
      </c>
      <c r="J1705" t="e">
        <f>VLOOKUP(H1705,DC_Xref!A:B,2,FALSE)</f>
        <v>#N/A</v>
      </c>
      <c r="K1705">
        <f t="shared" si="26"/>
        <v>0</v>
      </c>
      <c r="L17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5" s="3">
        <f>IFERROR(INDEX(Table3[#All],MATCH(Table1[[#This Row],[Key_Year_Week_Brand]],Table3[[#All],[Key_Year_Week_Brand]],0),MATCH(Table1[[#This Row],[DC_name_Xref]],Table3[#Headers],0)),0)</f>
        <v>0</v>
      </c>
      <c r="O1705" s="19">
        <f>IFERROR(INDEX(Table35[#All],MATCH(Table1[[#This Row],[Key_Year_Week_Brand]],Table35[[#All],[Key_Year_Month_Brand]],0),MATCH(Table1[[#This Row],[DC_name_Xref]],Table35[#Headers],0)),0)</f>
        <v>0</v>
      </c>
    </row>
    <row r="1706" spans="1:15" x14ac:dyDescent="0.3">
      <c r="A1706" s="19" t="e">
        <f>Table1[[#This Row],[Year_Week]]&amp;"-"&amp;Table1[[#This Row],[DC_name_Xref]]</f>
        <v>#N/A</v>
      </c>
      <c r="B1706" s="19" t="str">
        <f>Table1[[#This Row],[Fiscal_Year]]*100+Table1[[#This Row],[Fiscal_Week]] &amp; "-" &amp;Table1[[#This Row],[BRAND]]</f>
        <v>0-</v>
      </c>
      <c r="C1706" s="19" t="str">
        <f>Table1[[#This Row],[Fiscal_Year]]&amp;"-"&amp;Table1[[#This Row],[BRAND]]</f>
        <v>-</v>
      </c>
      <c r="J1706" t="e">
        <f>VLOOKUP(H1706,DC_Xref!A:B,2,FALSE)</f>
        <v>#N/A</v>
      </c>
      <c r="K1706">
        <f t="shared" si="26"/>
        <v>0</v>
      </c>
      <c r="L17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6" s="3">
        <f>IFERROR(INDEX(Table3[#All],MATCH(Table1[[#This Row],[Key_Year_Week_Brand]],Table3[[#All],[Key_Year_Week_Brand]],0),MATCH(Table1[[#This Row],[DC_name_Xref]],Table3[#Headers],0)),0)</f>
        <v>0</v>
      </c>
      <c r="O1706" s="19">
        <f>IFERROR(INDEX(Table35[#All],MATCH(Table1[[#This Row],[Key_Year_Week_Brand]],Table35[[#All],[Key_Year_Month_Brand]],0),MATCH(Table1[[#This Row],[DC_name_Xref]],Table35[#Headers],0)),0)</f>
        <v>0</v>
      </c>
    </row>
    <row r="1707" spans="1:15" x14ac:dyDescent="0.3">
      <c r="A1707" s="19" t="e">
        <f>Table1[[#This Row],[Year_Week]]&amp;"-"&amp;Table1[[#This Row],[DC_name_Xref]]</f>
        <v>#N/A</v>
      </c>
      <c r="B1707" s="19" t="str">
        <f>Table1[[#This Row],[Fiscal_Year]]*100+Table1[[#This Row],[Fiscal_Week]] &amp; "-" &amp;Table1[[#This Row],[BRAND]]</f>
        <v>0-</v>
      </c>
      <c r="C1707" s="19" t="str">
        <f>Table1[[#This Row],[Fiscal_Year]]&amp;"-"&amp;Table1[[#This Row],[BRAND]]</f>
        <v>-</v>
      </c>
      <c r="J1707" t="e">
        <f>VLOOKUP(H1707,DC_Xref!A:B,2,FALSE)</f>
        <v>#N/A</v>
      </c>
      <c r="K1707">
        <f t="shared" si="26"/>
        <v>0</v>
      </c>
      <c r="L17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7" s="3">
        <f>IFERROR(INDEX(Table3[#All],MATCH(Table1[[#This Row],[Key_Year_Week_Brand]],Table3[[#All],[Key_Year_Week_Brand]],0),MATCH(Table1[[#This Row],[DC_name_Xref]],Table3[#Headers],0)),0)</f>
        <v>0</v>
      </c>
      <c r="O1707" s="19">
        <f>IFERROR(INDEX(Table35[#All],MATCH(Table1[[#This Row],[Key_Year_Week_Brand]],Table35[[#All],[Key_Year_Month_Brand]],0),MATCH(Table1[[#This Row],[DC_name_Xref]],Table35[#Headers],0)),0)</f>
        <v>0</v>
      </c>
    </row>
    <row r="1708" spans="1:15" x14ac:dyDescent="0.3">
      <c r="A1708" s="19" t="e">
        <f>Table1[[#This Row],[Year_Week]]&amp;"-"&amp;Table1[[#This Row],[DC_name_Xref]]</f>
        <v>#N/A</v>
      </c>
      <c r="B1708" s="19" t="str">
        <f>Table1[[#This Row],[Fiscal_Year]]*100+Table1[[#This Row],[Fiscal_Week]] &amp; "-" &amp;Table1[[#This Row],[BRAND]]</f>
        <v>0-</v>
      </c>
      <c r="C1708" s="19" t="str">
        <f>Table1[[#This Row],[Fiscal_Year]]&amp;"-"&amp;Table1[[#This Row],[BRAND]]</f>
        <v>-</v>
      </c>
      <c r="J1708" t="e">
        <f>VLOOKUP(H1708,DC_Xref!A:B,2,FALSE)</f>
        <v>#N/A</v>
      </c>
      <c r="K1708">
        <f t="shared" si="26"/>
        <v>0</v>
      </c>
      <c r="L17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8" s="3">
        <f>IFERROR(INDEX(Table3[#All],MATCH(Table1[[#This Row],[Key_Year_Week_Brand]],Table3[[#All],[Key_Year_Week_Brand]],0),MATCH(Table1[[#This Row],[DC_name_Xref]],Table3[#Headers],0)),0)</f>
        <v>0</v>
      </c>
      <c r="O1708" s="19">
        <f>IFERROR(INDEX(Table35[#All],MATCH(Table1[[#This Row],[Key_Year_Week_Brand]],Table35[[#All],[Key_Year_Month_Brand]],0),MATCH(Table1[[#This Row],[DC_name_Xref]],Table35[#Headers],0)),0)</f>
        <v>0</v>
      </c>
    </row>
    <row r="1709" spans="1:15" x14ac:dyDescent="0.3">
      <c r="A1709" s="19" t="e">
        <f>Table1[[#This Row],[Year_Week]]&amp;"-"&amp;Table1[[#This Row],[DC_name_Xref]]</f>
        <v>#N/A</v>
      </c>
      <c r="B1709" s="19" t="str">
        <f>Table1[[#This Row],[Fiscal_Year]]*100+Table1[[#This Row],[Fiscal_Week]] &amp; "-" &amp;Table1[[#This Row],[BRAND]]</f>
        <v>0-</v>
      </c>
      <c r="C1709" s="19" t="str">
        <f>Table1[[#This Row],[Fiscal_Year]]&amp;"-"&amp;Table1[[#This Row],[BRAND]]</f>
        <v>-</v>
      </c>
      <c r="J1709" t="e">
        <f>VLOOKUP(H1709,DC_Xref!A:B,2,FALSE)</f>
        <v>#N/A</v>
      </c>
      <c r="K1709">
        <f t="shared" si="26"/>
        <v>0</v>
      </c>
      <c r="L17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09" s="3">
        <f>IFERROR(INDEX(Table3[#All],MATCH(Table1[[#This Row],[Key_Year_Week_Brand]],Table3[[#All],[Key_Year_Week_Brand]],0),MATCH(Table1[[#This Row],[DC_name_Xref]],Table3[#Headers],0)),0)</f>
        <v>0</v>
      </c>
      <c r="O1709" s="19">
        <f>IFERROR(INDEX(Table35[#All],MATCH(Table1[[#This Row],[Key_Year_Week_Brand]],Table35[[#All],[Key_Year_Month_Brand]],0),MATCH(Table1[[#This Row],[DC_name_Xref]],Table35[#Headers],0)),0)</f>
        <v>0</v>
      </c>
    </row>
    <row r="1710" spans="1:15" x14ac:dyDescent="0.3">
      <c r="A1710" s="19" t="e">
        <f>Table1[[#This Row],[Year_Week]]&amp;"-"&amp;Table1[[#This Row],[DC_name_Xref]]</f>
        <v>#N/A</v>
      </c>
      <c r="B1710" s="19" t="str">
        <f>Table1[[#This Row],[Fiscal_Year]]*100+Table1[[#This Row],[Fiscal_Week]] &amp; "-" &amp;Table1[[#This Row],[BRAND]]</f>
        <v>0-</v>
      </c>
      <c r="C1710" s="19" t="str">
        <f>Table1[[#This Row],[Fiscal_Year]]&amp;"-"&amp;Table1[[#This Row],[BRAND]]</f>
        <v>-</v>
      </c>
      <c r="J1710" t="e">
        <f>VLOOKUP(H1710,DC_Xref!A:B,2,FALSE)</f>
        <v>#N/A</v>
      </c>
      <c r="K1710">
        <f t="shared" si="26"/>
        <v>0</v>
      </c>
      <c r="L17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0" s="3">
        <f>IFERROR(INDEX(Table3[#All],MATCH(Table1[[#This Row],[Key_Year_Week_Brand]],Table3[[#All],[Key_Year_Week_Brand]],0),MATCH(Table1[[#This Row],[DC_name_Xref]],Table3[#Headers],0)),0)</f>
        <v>0</v>
      </c>
      <c r="O1710" s="19">
        <f>IFERROR(INDEX(Table35[#All],MATCH(Table1[[#This Row],[Key_Year_Week_Brand]],Table35[[#All],[Key_Year_Month_Brand]],0),MATCH(Table1[[#This Row],[DC_name_Xref]],Table35[#Headers],0)),0)</f>
        <v>0</v>
      </c>
    </row>
    <row r="1711" spans="1:15" x14ac:dyDescent="0.3">
      <c r="A1711" s="19" t="e">
        <f>Table1[[#This Row],[Year_Week]]&amp;"-"&amp;Table1[[#This Row],[DC_name_Xref]]</f>
        <v>#N/A</v>
      </c>
      <c r="B1711" s="19" t="str">
        <f>Table1[[#This Row],[Fiscal_Year]]*100+Table1[[#This Row],[Fiscal_Week]] &amp; "-" &amp;Table1[[#This Row],[BRAND]]</f>
        <v>0-</v>
      </c>
      <c r="C1711" s="19" t="str">
        <f>Table1[[#This Row],[Fiscal_Year]]&amp;"-"&amp;Table1[[#This Row],[BRAND]]</f>
        <v>-</v>
      </c>
      <c r="J1711" t="e">
        <f>VLOOKUP(H1711,DC_Xref!A:B,2,FALSE)</f>
        <v>#N/A</v>
      </c>
      <c r="K1711">
        <f t="shared" si="26"/>
        <v>0</v>
      </c>
      <c r="L17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1" s="3">
        <f>IFERROR(INDEX(Table3[#All],MATCH(Table1[[#This Row],[Key_Year_Week_Brand]],Table3[[#All],[Key_Year_Week_Brand]],0),MATCH(Table1[[#This Row],[DC_name_Xref]],Table3[#Headers],0)),0)</f>
        <v>0</v>
      </c>
      <c r="O1711" s="19">
        <f>IFERROR(INDEX(Table35[#All],MATCH(Table1[[#This Row],[Key_Year_Week_Brand]],Table35[[#All],[Key_Year_Month_Brand]],0),MATCH(Table1[[#This Row],[DC_name_Xref]],Table35[#Headers],0)),0)</f>
        <v>0</v>
      </c>
    </row>
    <row r="1712" spans="1:15" x14ac:dyDescent="0.3">
      <c r="A1712" s="19" t="e">
        <f>Table1[[#This Row],[Year_Week]]&amp;"-"&amp;Table1[[#This Row],[DC_name_Xref]]</f>
        <v>#N/A</v>
      </c>
      <c r="B1712" s="19" t="str">
        <f>Table1[[#This Row],[Fiscal_Year]]*100+Table1[[#This Row],[Fiscal_Week]] &amp; "-" &amp;Table1[[#This Row],[BRAND]]</f>
        <v>0-</v>
      </c>
      <c r="C1712" s="19" t="str">
        <f>Table1[[#This Row],[Fiscal_Year]]&amp;"-"&amp;Table1[[#This Row],[BRAND]]</f>
        <v>-</v>
      </c>
      <c r="J1712" t="e">
        <f>VLOOKUP(H1712,DC_Xref!A:B,2,FALSE)</f>
        <v>#N/A</v>
      </c>
      <c r="K1712">
        <f t="shared" si="26"/>
        <v>0</v>
      </c>
      <c r="L17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2" s="3">
        <f>IFERROR(INDEX(Table3[#All],MATCH(Table1[[#This Row],[Key_Year_Week_Brand]],Table3[[#All],[Key_Year_Week_Brand]],0),MATCH(Table1[[#This Row],[DC_name_Xref]],Table3[#Headers],0)),0)</f>
        <v>0</v>
      </c>
      <c r="O1712" s="19">
        <f>IFERROR(INDEX(Table35[#All],MATCH(Table1[[#This Row],[Key_Year_Week_Brand]],Table35[[#All],[Key_Year_Month_Brand]],0),MATCH(Table1[[#This Row],[DC_name_Xref]],Table35[#Headers],0)),0)</f>
        <v>0</v>
      </c>
    </row>
    <row r="1713" spans="1:15" x14ac:dyDescent="0.3">
      <c r="A1713" s="19" t="e">
        <f>Table1[[#This Row],[Year_Week]]&amp;"-"&amp;Table1[[#This Row],[DC_name_Xref]]</f>
        <v>#N/A</v>
      </c>
      <c r="B1713" s="19" t="str">
        <f>Table1[[#This Row],[Fiscal_Year]]*100+Table1[[#This Row],[Fiscal_Week]] &amp; "-" &amp;Table1[[#This Row],[BRAND]]</f>
        <v>0-</v>
      </c>
      <c r="C1713" s="19" t="str">
        <f>Table1[[#This Row],[Fiscal_Year]]&amp;"-"&amp;Table1[[#This Row],[BRAND]]</f>
        <v>-</v>
      </c>
      <c r="J1713" t="e">
        <f>VLOOKUP(H1713,DC_Xref!A:B,2,FALSE)</f>
        <v>#N/A</v>
      </c>
      <c r="K1713">
        <f t="shared" si="26"/>
        <v>0</v>
      </c>
      <c r="L17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3" s="3">
        <f>IFERROR(INDEX(Table3[#All],MATCH(Table1[[#This Row],[Key_Year_Week_Brand]],Table3[[#All],[Key_Year_Week_Brand]],0),MATCH(Table1[[#This Row],[DC_name_Xref]],Table3[#Headers],0)),0)</f>
        <v>0</v>
      </c>
      <c r="O1713" s="19">
        <f>IFERROR(INDEX(Table35[#All],MATCH(Table1[[#This Row],[Key_Year_Week_Brand]],Table35[[#All],[Key_Year_Month_Brand]],0),MATCH(Table1[[#This Row],[DC_name_Xref]],Table35[#Headers],0)),0)</f>
        <v>0</v>
      </c>
    </row>
    <row r="1714" spans="1:15" x14ac:dyDescent="0.3">
      <c r="A1714" s="19" t="e">
        <f>Table1[[#This Row],[Year_Week]]&amp;"-"&amp;Table1[[#This Row],[DC_name_Xref]]</f>
        <v>#N/A</v>
      </c>
      <c r="B1714" s="19" t="str">
        <f>Table1[[#This Row],[Fiscal_Year]]*100+Table1[[#This Row],[Fiscal_Week]] &amp; "-" &amp;Table1[[#This Row],[BRAND]]</f>
        <v>0-</v>
      </c>
      <c r="C1714" s="19" t="str">
        <f>Table1[[#This Row],[Fiscal_Year]]&amp;"-"&amp;Table1[[#This Row],[BRAND]]</f>
        <v>-</v>
      </c>
      <c r="J1714" t="e">
        <f>VLOOKUP(H1714,DC_Xref!A:B,2,FALSE)</f>
        <v>#N/A</v>
      </c>
      <c r="K1714">
        <f t="shared" si="26"/>
        <v>0</v>
      </c>
      <c r="L17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4" s="3">
        <f>IFERROR(INDEX(Table3[#All],MATCH(Table1[[#This Row],[Key_Year_Week_Brand]],Table3[[#All],[Key_Year_Week_Brand]],0),MATCH(Table1[[#This Row],[DC_name_Xref]],Table3[#Headers],0)),0)</f>
        <v>0</v>
      </c>
      <c r="O1714" s="19">
        <f>IFERROR(INDEX(Table35[#All],MATCH(Table1[[#This Row],[Key_Year_Week_Brand]],Table35[[#All],[Key_Year_Month_Brand]],0),MATCH(Table1[[#This Row],[DC_name_Xref]],Table35[#Headers],0)),0)</f>
        <v>0</v>
      </c>
    </row>
    <row r="1715" spans="1:15" x14ac:dyDescent="0.3">
      <c r="A1715" s="19" t="e">
        <f>Table1[[#This Row],[Year_Week]]&amp;"-"&amp;Table1[[#This Row],[DC_name_Xref]]</f>
        <v>#N/A</v>
      </c>
      <c r="B1715" s="19" t="str">
        <f>Table1[[#This Row],[Fiscal_Year]]*100+Table1[[#This Row],[Fiscal_Week]] &amp; "-" &amp;Table1[[#This Row],[BRAND]]</f>
        <v>0-</v>
      </c>
      <c r="C1715" s="19" t="str">
        <f>Table1[[#This Row],[Fiscal_Year]]&amp;"-"&amp;Table1[[#This Row],[BRAND]]</f>
        <v>-</v>
      </c>
      <c r="J1715" t="e">
        <f>VLOOKUP(H1715,DC_Xref!A:B,2,FALSE)</f>
        <v>#N/A</v>
      </c>
      <c r="K1715">
        <f t="shared" si="26"/>
        <v>0</v>
      </c>
      <c r="L17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5" s="3">
        <f>IFERROR(INDEX(Table3[#All],MATCH(Table1[[#This Row],[Key_Year_Week_Brand]],Table3[[#All],[Key_Year_Week_Brand]],0),MATCH(Table1[[#This Row],[DC_name_Xref]],Table3[#Headers],0)),0)</f>
        <v>0</v>
      </c>
      <c r="O1715" s="19">
        <f>IFERROR(INDEX(Table35[#All],MATCH(Table1[[#This Row],[Key_Year_Week_Brand]],Table35[[#All],[Key_Year_Month_Brand]],0),MATCH(Table1[[#This Row],[DC_name_Xref]],Table35[#Headers],0)),0)</f>
        <v>0</v>
      </c>
    </row>
    <row r="1716" spans="1:15" x14ac:dyDescent="0.3">
      <c r="A1716" s="19" t="e">
        <f>Table1[[#This Row],[Year_Week]]&amp;"-"&amp;Table1[[#This Row],[DC_name_Xref]]</f>
        <v>#N/A</v>
      </c>
      <c r="B1716" s="19" t="str">
        <f>Table1[[#This Row],[Fiscal_Year]]*100+Table1[[#This Row],[Fiscal_Week]] &amp; "-" &amp;Table1[[#This Row],[BRAND]]</f>
        <v>0-</v>
      </c>
      <c r="C1716" s="19" t="str">
        <f>Table1[[#This Row],[Fiscal_Year]]&amp;"-"&amp;Table1[[#This Row],[BRAND]]</f>
        <v>-</v>
      </c>
      <c r="J1716" t="e">
        <f>VLOOKUP(H1716,DC_Xref!A:B,2,FALSE)</f>
        <v>#N/A</v>
      </c>
      <c r="K1716">
        <f t="shared" si="26"/>
        <v>0</v>
      </c>
      <c r="L17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6" s="3">
        <f>IFERROR(INDEX(Table3[#All],MATCH(Table1[[#This Row],[Key_Year_Week_Brand]],Table3[[#All],[Key_Year_Week_Brand]],0),MATCH(Table1[[#This Row],[DC_name_Xref]],Table3[#Headers],0)),0)</f>
        <v>0</v>
      </c>
      <c r="O1716" s="19">
        <f>IFERROR(INDEX(Table35[#All],MATCH(Table1[[#This Row],[Key_Year_Week_Brand]],Table35[[#All],[Key_Year_Month_Brand]],0),MATCH(Table1[[#This Row],[DC_name_Xref]],Table35[#Headers],0)),0)</f>
        <v>0</v>
      </c>
    </row>
    <row r="1717" spans="1:15" x14ac:dyDescent="0.3">
      <c r="A1717" s="19" t="e">
        <f>Table1[[#This Row],[Year_Week]]&amp;"-"&amp;Table1[[#This Row],[DC_name_Xref]]</f>
        <v>#N/A</v>
      </c>
      <c r="B1717" s="19" t="str">
        <f>Table1[[#This Row],[Fiscal_Year]]*100+Table1[[#This Row],[Fiscal_Week]] &amp; "-" &amp;Table1[[#This Row],[BRAND]]</f>
        <v>0-</v>
      </c>
      <c r="C1717" s="19" t="str">
        <f>Table1[[#This Row],[Fiscal_Year]]&amp;"-"&amp;Table1[[#This Row],[BRAND]]</f>
        <v>-</v>
      </c>
      <c r="J1717" t="e">
        <f>VLOOKUP(H1717,DC_Xref!A:B,2,FALSE)</f>
        <v>#N/A</v>
      </c>
      <c r="K1717">
        <f t="shared" si="26"/>
        <v>0</v>
      </c>
      <c r="L17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7" s="3">
        <f>IFERROR(INDEX(Table3[#All],MATCH(Table1[[#This Row],[Key_Year_Week_Brand]],Table3[[#All],[Key_Year_Week_Brand]],0),MATCH(Table1[[#This Row],[DC_name_Xref]],Table3[#Headers],0)),0)</f>
        <v>0</v>
      </c>
      <c r="O1717" s="19">
        <f>IFERROR(INDEX(Table35[#All],MATCH(Table1[[#This Row],[Key_Year_Week_Brand]],Table35[[#All],[Key_Year_Month_Brand]],0),MATCH(Table1[[#This Row],[DC_name_Xref]],Table35[#Headers],0)),0)</f>
        <v>0</v>
      </c>
    </row>
    <row r="1718" spans="1:15" x14ac:dyDescent="0.3">
      <c r="A1718" s="19" t="e">
        <f>Table1[[#This Row],[Year_Week]]&amp;"-"&amp;Table1[[#This Row],[DC_name_Xref]]</f>
        <v>#N/A</v>
      </c>
      <c r="B1718" s="19" t="str">
        <f>Table1[[#This Row],[Fiscal_Year]]*100+Table1[[#This Row],[Fiscal_Week]] &amp; "-" &amp;Table1[[#This Row],[BRAND]]</f>
        <v>0-</v>
      </c>
      <c r="C1718" s="19" t="str">
        <f>Table1[[#This Row],[Fiscal_Year]]&amp;"-"&amp;Table1[[#This Row],[BRAND]]</f>
        <v>-</v>
      </c>
      <c r="J1718" t="e">
        <f>VLOOKUP(H1718,DC_Xref!A:B,2,FALSE)</f>
        <v>#N/A</v>
      </c>
      <c r="K1718">
        <f t="shared" si="26"/>
        <v>0</v>
      </c>
      <c r="L17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8" s="3">
        <f>IFERROR(INDEX(Table3[#All],MATCH(Table1[[#This Row],[Key_Year_Week_Brand]],Table3[[#All],[Key_Year_Week_Brand]],0),MATCH(Table1[[#This Row],[DC_name_Xref]],Table3[#Headers],0)),0)</f>
        <v>0</v>
      </c>
      <c r="O1718" s="19">
        <f>IFERROR(INDEX(Table35[#All],MATCH(Table1[[#This Row],[Key_Year_Week_Brand]],Table35[[#All],[Key_Year_Month_Brand]],0),MATCH(Table1[[#This Row],[DC_name_Xref]],Table35[#Headers],0)),0)</f>
        <v>0</v>
      </c>
    </row>
    <row r="1719" spans="1:15" x14ac:dyDescent="0.3">
      <c r="A1719" s="19" t="e">
        <f>Table1[[#This Row],[Year_Week]]&amp;"-"&amp;Table1[[#This Row],[DC_name_Xref]]</f>
        <v>#N/A</v>
      </c>
      <c r="B1719" s="19" t="str">
        <f>Table1[[#This Row],[Fiscal_Year]]*100+Table1[[#This Row],[Fiscal_Week]] &amp; "-" &amp;Table1[[#This Row],[BRAND]]</f>
        <v>0-</v>
      </c>
      <c r="C1719" s="19" t="str">
        <f>Table1[[#This Row],[Fiscal_Year]]&amp;"-"&amp;Table1[[#This Row],[BRAND]]</f>
        <v>-</v>
      </c>
      <c r="J1719" t="e">
        <f>VLOOKUP(H1719,DC_Xref!A:B,2,FALSE)</f>
        <v>#N/A</v>
      </c>
      <c r="K1719">
        <f t="shared" si="26"/>
        <v>0</v>
      </c>
      <c r="L17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19" s="3">
        <f>IFERROR(INDEX(Table3[#All],MATCH(Table1[[#This Row],[Key_Year_Week_Brand]],Table3[[#All],[Key_Year_Week_Brand]],0),MATCH(Table1[[#This Row],[DC_name_Xref]],Table3[#Headers],0)),0)</f>
        <v>0</v>
      </c>
      <c r="O1719" s="19">
        <f>IFERROR(INDEX(Table35[#All],MATCH(Table1[[#This Row],[Key_Year_Week_Brand]],Table35[[#All],[Key_Year_Month_Brand]],0),MATCH(Table1[[#This Row],[DC_name_Xref]],Table35[#Headers],0)),0)</f>
        <v>0</v>
      </c>
    </row>
    <row r="1720" spans="1:15" x14ac:dyDescent="0.3">
      <c r="A1720" s="19" t="e">
        <f>Table1[[#This Row],[Year_Week]]&amp;"-"&amp;Table1[[#This Row],[DC_name_Xref]]</f>
        <v>#N/A</v>
      </c>
      <c r="B1720" s="19" t="str">
        <f>Table1[[#This Row],[Fiscal_Year]]*100+Table1[[#This Row],[Fiscal_Week]] &amp; "-" &amp;Table1[[#This Row],[BRAND]]</f>
        <v>0-</v>
      </c>
      <c r="C1720" s="19" t="str">
        <f>Table1[[#This Row],[Fiscal_Year]]&amp;"-"&amp;Table1[[#This Row],[BRAND]]</f>
        <v>-</v>
      </c>
      <c r="J1720" t="e">
        <f>VLOOKUP(H1720,DC_Xref!A:B,2,FALSE)</f>
        <v>#N/A</v>
      </c>
      <c r="K1720">
        <f t="shared" si="26"/>
        <v>0</v>
      </c>
      <c r="L17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0" s="3">
        <f>IFERROR(INDEX(Table3[#All],MATCH(Table1[[#This Row],[Key_Year_Week_Brand]],Table3[[#All],[Key_Year_Week_Brand]],0),MATCH(Table1[[#This Row],[DC_name_Xref]],Table3[#Headers],0)),0)</f>
        <v>0</v>
      </c>
      <c r="O1720" s="19">
        <f>IFERROR(INDEX(Table35[#All],MATCH(Table1[[#This Row],[Key_Year_Week_Brand]],Table35[[#All],[Key_Year_Month_Brand]],0),MATCH(Table1[[#This Row],[DC_name_Xref]],Table35[#Headers],0)),0)</f>
        <v>0</v>
      </c>
    </row>
    <row r="1721" spans="1:15" x14ac:dyDescent="0.3">
      <c r="A1721" s="19" t="e">
        <f>Table1[[#This Row],[Year_Week]]&amp;"-"&amp;Table1[[#This Row],[DC_name_Xref]]</f>
        <v>#N/A</v>
      </c>
      <c r="B1721" s="19" t="str">
        <f>Table1[[#This Row],[Fiscal_Year]]*100+Table1[[#This Row],[Fiscal_Week]] &amp; "-" &amp;Table1[[#This Row],[BRAND]]</f>
        <v>0-</v>
      </c>
      <c r="C1721" s="19" t="str">
        <f>Table1[[#This Row],[Fiscal_Year]]&amp;"-"&amp;Table1[[#This Row],[BRAND]]</f>
        <v>-</v>
      </c>
      <c r="J1721" t="e">
        <f>VLOOKUP(H1721,DC_Xref!A:B,2,FALSE)</f>
        <v>#N/A</v>
      </c>
      <c r="K1721">
        <f t="shared" si="26"/>
        <v>0</v>
      </c>
      <c r="L17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1" s="3">
        <f>IFERROR(INDEX(Table3[#All],MATCH(Table1[[#This Row],[Key_Year_Week_Brand]],Table3[[#All],[Key_Year_Week_Brand]],0),MATCH(Table1[[#This Row],[DC_name_Xref]],Table3[#Headers],0)),0)</f>
        <v>0</v>
      </c>
      <c r="O1721" s="19">
        <f>IFERROR(INDEX(Table35[#All],MATCH(Table1[[#This Row],[Key_Year_Week_Brand]],Table35[[#All],[Key_Year_Month_Brand]],0),MATCH(Table1[[#This Row],[DC_name_Xref]],Table35[#Headers],0)),0)</f>
        <v>0</v>
      </c>
    </row>
    <row r="1722" spans="1:15" x14ac:dyDescent="0.3">
      <c r="A1722" s="19" t="e">
        <f>Table1[[#This Row],[Year_Week]]&amp;"-"&amp;Table1[[#This Row],[DC_name_Xref]]</f>
        <v>#N/A</v>
      </c>
      <c r="B1722" s="19" t="str">
        <f>Table1[[#This Row],[Fiscal_Year]]*100+Table1[[#This Row],[Fiscal_Week]] &amp; "-" &amp;Table1[[#This Row],[BRAND]]</f>
        <v>0-</v>
      </c>
      <c r="C1722" s="19" t="str">
        <f>Table1[[#This Row],[Fiscal_Year]]&amp;"-"&amp;Table1[[#This Row],[BRAND]]</f>
        <v>-</v>
      </c>
      <c r="J1722" t="e">
        <f>VLOOKUP(H1722,DC_Xref!A:B,2,FALSE)</f>
        <v>#N/A</v>
      </c>
      <c r="K1722">
        <f t="shared" si="26"/>
        <v>0</v>
      </c>
      <c r="L17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2" s="3">
        <f>IFERROR(INDEX(Table3[#All],MATCH(Table1[[#This Row],[Key_Year_Week_Brand]],Table3[[#All],[Key_Year_Week_Brand]],0),MATCH(Table1[[#This Row],[DC_name_Xref]],Table3[#Headers],0)),0)</f>
        <v>0</v>
      </c>
      <c r="O1722" s="19">
        <f>IFERROR(INDEX(Table35[#All],MATCH(Table1[[#This Row],[Key_Year_Week_Brand]],Table35[[#All],[Key_Year_Month_Brand]],0),MATCH(Table1[[#This Row],[DC_name_Xref]],Table35[#Headers],0)),0)</f>
        <v>0</v>
      </c>
    </row>
    <row r="1723" spans="1:15" x14ac:dyDescent="0.3">
      <c r="A1723" s="19" t="e">
        <f>Table1[[#This Row],[Year_Week]]&amp;"-"&amp;Table1[[#This Row],[DC_name_Xref]]</f>
        <v>#N/A</v>
      </c>
      <c r="B1723" s="19" t="str">
        <f>Table1[[#This Row],[Fiscal_Year]]*100+Table1[[#This Row],[Fiscal_Week]] &amp; "-" &amp;Table1[[#This Row],[BRAND]]</f>
        <v>0-</v>
      </c>
      <c r="C1723" s="19" t="str">
        <f>Table1[[#This Row],[Fiscal_Year]]&amp;"-"&amp;Table1[[#This Row],[BRAND]]</f>
        <v>-</v>
      </c>
      <c r="J1723" t="e">
        <f>VLOOKUP(H1723,DC_Xref!A:B,2,FALSE)</f>
        <v>#N/A</v>
      </c>
      <c r="K1723">
        <f t="shared" si="26"/>
        <v>0</v>
      </c>
      <c r="L17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3" s="3">
        <f>IFERROR(INDEX(Table3[#All],MATCH(Table1[[#This Row],[Key_Year_Week_Brand]],Table3[[#All],[Key_Year_Week_Brand]],0),MATCH(Table1[[#This Row],[DC_name_Xref]],Table3[#Headers],0)),0)</f>
        <v>0</v>
      </c>
      <c r="O1723" s="19">
        <f>IFERROR(INDEX(Table35[#All],MATCH(Table1[[#This Row],[Key_Year_Week_Brand]],Table35[[#All],[Key_Year_Month_Brand]],0),MATCH(Table1[[#This Row],[DC_name_Xref]],Table35[#Headers],0)),0)</f>
        <v>0</v>
      </c>
    </row>
    <row r="1724" spans="1:15" x14ac:dyDescent="0.3">
      <c r="A1724" s="19" t="e">
        <f>Table1[[#This Row],[Year_Week]]&amp;"-"&amp;Table1[[#This Row],[DC_name_Xref]]</f>
        <v>#N/A</v>
      </c>
      <c r="B1724" s="19" t="str">
        <f>Table1[[#This Row],[Fiscal_Year]]*100+Table1[[#This Row],[Fiscal_Week]] &amp; "-" &amp;Table1[[#This Row],[BRAND]]</f>
        <v>0-</v>
      </c>
      <c r="C1724" s="19" t="str">
        <f>Table1[[#This Row],[Fiscal_Year]]&amp;"-"&amp;Table1[[#This Row],[BRAND]]</f>
        <v>-</v>
      </c>
      <c r="J1724" t="e">
        <f>VLOOKUP(H1724,DC_Xref!A:B,2,FALSE)</f>
        <v>#N/A</v>
      </c>
      <c r="K1724">
        <f t="shared" si="26"/>
        <v>0</v>
      </c>
      <c r="L17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4" s="3">
        <f>IFERROR(INDEX(Table3[#All],MATCH(Table1[[#This Row],[Key_Year_Week_Brand]],Table3[[#All],[Key_Year_Week_Brand]],0),MATCH(Table1[[#This Row],[DC_name_Xref]],Table3[#Headers],0)),0)</f>
        <v>0</v>
      </c>
      <c r="O1724" s="19">
        <f>IFERROR(INDEX(Table35[#All],MATCH(Table1[[#This Row],[Key_Year_Week_Brand]],Table35[[#All],[Key_Year_Month_Brand]],0),MATCH(Table1[[#This Row],[DC_name_Xref]],Table35[#Headers],0)),0)</f>
        <v>0</v>
      </c>
    </row>
    <row r="1725" spans="1:15" x14ac:dyDescent="0.3">
      <c r="A1725" s="19" t="e">
        <f>Table1[[#This Row],[Year_Week]]&amp;"-"&amp;Table1[[#This Row],[DC_name_Xref]]</f>
        <v>#N/A</v>
      </c>
      <c r="B1725" s="19" t="str">
        <f>Table1[[#This Row],[Fiscal_Year]]*100+Table1[[#This Row],[Fiscal_Week]] &amp; "-" &amp;Table1[[#This Row],[BRAND]]</f>
        <v>0-</v>
      </c>
      <c r="C1725" s="19" t="str">
        <f>Table1[[#This Row],[Fiscal_Year]]&amp;"-"&amp;Table1[[#This Row],[BRAND]]</f>
        <v>-</v>
      </c>
      <c r="J1725" t="e">
        <f>VLOOKUP(H1725,DC_Xref!A:B,2,FALSE)</f>
        <v>#N/A</v>
      </c>
      <c r="K1725">
        <f t="shared" si="26"/>
        <v>0</v>
      </c>
      <c r="L17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5" s="3">
        <f>IFERROR(INDEX(Table3[#All],MATCH(Table1[[#This Row],[Key_Year_Week_Brand]],Table3[[#All],[Key_Year_Week_Brand]],0),MATCH(Table1[[#This Row],[DC_name_Xref]],Table3[#Headers],0)),0)</f>
        <v>0</v>
      </c>
      <c r="O1725" s="19">
        <f>IFERROR(INDEX(Table35[#All],MATCH(Table1[[#This Row],[Key_Year_Week_Brand]],Table35[[#All],[Key_Year_Month_Brand]],0),MATCH(Table1[[#This Row],[DC_name_Xref]],Table35[#Headers],0)),0)</f>
        <v>0</v>
      </c>
    </row>
    <row r="1726" spans="1:15" x14ac:dyDescent="0.3">
      <c r="A1726" s="19" t="e">
        <f>Table1[[#This Row],[Year_Week]]&amp;"-"&amp;Table1[[#This Row],[DC_name_Xref]]</f>
        <v>#N/A</v>
      </c>
      <c r="B1726" s="19" t="str">
        <f>Table1[[#This Row],[Fiscal_Year]]*100+Table1[[#This Row],[Fiscal_Week]] &amp; "-" &amp;Table1[[#This Row],[BRAND]]</f>
        <v>0-</v>
      </c>
      <c r="C1726" s="19" t="str">
        <f>Table1[[#This Row],[Fiscal_Year]]&amp;"-"&amp;Table1[[#This Row],[BRAND]]</f>
        <v>-</v>
      </c>
      <c r="J1726" t="e">
        <f>VLOOKUP(H1726,DC_Xref!A:B,2,FALSE)</f>
        <v>#N/A</v>
      </c>
      <c r="K1726">
        <f t="shared" si="26"/>
        <v>0</v>
      </c>
      <c r="L17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6" s="3">
        <f>IFERROR(INDEX(Table3[#All],MATCH(Table1[[#This Row],[Key_Year_Week_Brand]],Table3[[#All],[Key_Year_Week_Brand]],0),MATCH(Table1[[#This Row],[DC_name_Xref]],Table3[#Headers],0)),0)</f>
        <v>0</v>
      </c>
      <c r="O1726" s="19">
        <f>IFERROR(INDEX(Table35[#All],MATCH(Table1[[#This Row],[Key_Year_Week_Brand]],Table35[[#All],[Key_Year_Month_Brand]],0),MATCH(Table1[[#This Row],[DC_name_Xref]],Table35[#Headers],0)),0)</f>
        <v>0</v>
      </c>
    </row>
    <row r="1727" spans="1:15" x14ac:dyDescent="0.3">
      <c r="A1727" s="19" t="e">
        <f>Table1[[#This Row],[Year_Week]]&amp;"-"&amp;Table1[[#This Row],[DC_name_Xref]]</f>
        <v>#N/A</v>
      </c>
      <c r="B1727" s="19" t="str">
        <f>Table1[[#This Row],[Fiscal_Year]]*100+Table1[[#This Row],[Fiscal_Week]] &amp; "-" &amp;Table1[[#This Row],[BRAND]]</f>
        <v>0-</v>
      </c>
      <c r="C1727" s="19" t="str">
        <f>Table1[[#This Row],[Fiscal_Year]]&amp;"-"&amp;Table1[[#This Row],[BRAND]]</f>
        <v>-</v>
      </c>
      <c r="J1727" t="e">
        <f>VLOOKUP(H1727,DC_Xref!A:B,2,FALSE)</f>
        <v>#N/A</v>
      </c>
      <c r="K1727">
        <f t="shared" si="26"/>
        <v>0</v>
      </c>
      <c r="L17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7" s="3">
        <f>IFERROR(INDEX(Table3[#All],MATCH(Table1[[#This Row],[Key_Year_Week_Brand]],Table3[[#All],[Key_Year_Week_Brand]],0),MATCH(Table1[[#This Row],[DC_name_Xref]],Table3[#Headers],0)),0)</f>
        <v>0</v>
      </c>
      <c r="O1727" s="19">
        <f>IFERROR(INDEX(Table35[#All],MATCH(Table1[[#This Row],[Key_Year_Week_Brand]],Table35[[#All],[Key_Year_Month_Brand]],0),MATCH(Table1[[#This Row],[DC_name_Xref]],Table35[#Headers],0)),0)</f>
        <v>0</v>
      </c>
    </row>
    <row r="1728" spans="1:15" x14ac:dyDescent="0.3">
      <c r="A1728" s="19" t="e">
        <f>Table1[[#This Row],[Year_Week]]&amp;"-"&amp;Table1[[#This Row],[DC_name_Xref]]</f>
        <v>#N/A</v>
      </c>
      <c r="B1728" s="19" t="str">
        <f>Table1[[#This Row],[Fiscal_Year]]*100+Table1[[#This Row],[Fiscal_Week]] &amp; "-" &amp;Table1[[#This Row],[BRAND]]</f>
        <v>0-</v>
      </c>
      <c r="C1728" s="19" t="str">
        <f>Table1[[#This Row],[Fiscal_Year]]&amp;"-"&amp;Table1[[#This Row],[BRAND]]</f>
        <v>-</v>
      </c>
      <c r="J1728" t="e">
        <f>VLOOKUP(H1728,DC_Xref!A:B,2,FALSE)</f>
        <v>#N/A</v>
      </c>
      <c r="K1728">
        <f t="shared" si="26"/>
        <v>0</v>
      </c>
      <c r="L17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8" s="3">
        <f>IFERROR(INDEX(Table3[#All],MATCH(Table1[[#This Row],[Key_Year_Week_Brand]],Table3[[#All],[Key_Year_Week_Brand]],0),MATCH(Table1[[#This Row],[DC_name_Xref]],Table3[#Headers],0)),0)</f>
        <v>0</v>
      </c>
      <c r="O1728" s="19">
        <f>IFERROR(INDEX(Table35[#All],MATCH(Table1[[#This Row],[Key_Year_Week_Brand]],Table35[[#All],[Key_Year_Month_Brand]],0),MATCH(Table1[[#This Row],[DC_name_Xref]],Table35[#Headers],0)),0)</f>
        <v>0</v>
      </c>
    </row>
    <row r="1729" spans="1:15" x14ac:dyDescent="0.3">
      <c r="A1729" s="19" t="e">
        <f>Table1[[#This Row],[Year_Week]]&amp;"-"&amp;Table1[[#This Row],[DC_name_Xref]]</f>
        <v>#N/A</v>
      </c>
      <c r="B1729" s="19" t="str">
        <f>Table1[[#This Row],[Fiscal_Year]]*100+Table1[[#This Row],[Fiscal_Week]] &amp; "-" &amp;Table1[[#This Row],[BRAND]]</f>
        <v>0-</v>
      </c>
      <c r="C1729" s="19" t="str">
        <f>Table1[[#This Row],[Fiscal_Year]]&amp;"-"&amp;Table1[[#This Row],[BRAND]]</f>
        <v>-</v>
      </c>
      <c r="J1729" t="e">
        <f>VLOOKUP(H1729,DC_Xref!A:B,2,FALSE)</f>
        <v>#N/A</v>
      </c>
      <c r="K1729">
        <f t="shared" si="26"/>
        <v>0</v>
      </c>
      <c r="L17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29" s="3">
        <f>IFERROR(INDEX(Table3[#All],MATCH(Table1[[#This Row],[Key_Year_Week_Brand]],Table3[[#All],[Key_Year_Week_Brand]],0),MATCH(Table1[[#This Row],[DC_name_Xref]],Table3[#Headers],0)),0)</f>
        <v>0</v>
      </c>
      <c r="O1729" s="19">
        <f>IFERROR(INDEX(Table35[#All],MATCH(Table1[[#This Row],[Key_Year_Week_Brand]],Table35[[#All],[Key_Year_Month_Brand]],0),MATCH(Table1[[#This Row],[DC_name_Xref]],Table35[#Headers],0)),0)</f>
        <v>0</v>
      </c>
    </row>
    <row r="1730" spans="1:15" x14ac:dyDescent="0.3">
      <c r="A1730" s="19" t="e">
        <f>Table1[[#This Row],[Year_Week]]&amp;"-"&amp;Table1[[#This Row],[DC_name_Xref]]</f>
        <v>#N/A</v>
      </c>
      <c r="B1730" s="19" t="str">
        <f>Table1[[#This Row],[Fiscal_Year]]*100+Table1[[#This Row],[Fiscal_Week]] &amp; "-" &amp;Table1[[#This Row],[BRAND]]</f>
        <v>0-</v>
      </c>
      <c r="C1730" s="19" t="str">
        <f>Table1[[#This Row],[Fiscal_Year]]&amp;"-"&amp;Table1[[#This Row],[BRAND]]</f>
        <v>-</v>
      </c>
      <c r="J1730" t="e">
        <f>VLOOKUP(H1730,DC_Xref!A:B,2,FALSE)</f>
        <v>#N/A</v>
      </c>
      <c r="K1730">
        <f t="shared" si="26"/>
        <v>0</v>
      </c>
      <c r="L17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0" s="3">
        <f>IFERROR(INDEX(Table3[#All],MATCH(Table1[[#This Row],[Key_Year_Week_Brand]],Table3[[#All],[Key_Year_Week_Brand]],0),MATCH(Table1[[#This Row],[DC_name_Xref]],Table3[#Headers],0)),0)</f>
        <v>0</v>
      </c>
      <c r="O1730" s="19">
        <f>IFERROR(INDEX(Table35[#All],MATCH(Table1[[#This Row],[Key_Year_Week_Brand]],Table35[[#All],[Key_Year_Month_Brand]],0),MATCH(Table1[[#This Row],[DC_name_Xref]],Table35[#Headers],0)),0)</f>
        <v>0</v>
      </c>
    </row>
    <row r="1731" spans="1:15" x14ac:dyDescent="0.3">
      <c r="A1731" s="19" t="e">
        <f>Table1[[#This Row],[Year_Week]]&amp;"-"&amp;Table1[[#This Row],[DC_name_Xref]]</f>
        <v>#N/A</v>
      </c>
      <c r="B1731" s="19" t="str">
        <f>Table1[[#This Row],[Fiscal_Year]]*100+Table1[[#This Row],[Fiscal_Week]] &amp; "-" &amp;Table1[[#This Row],[BRAND]]</f>
        <v>0-</v>
      </c>
      <c r="C1731" s="19" t="str">
        <f>Table1[[#This Row],[Fiscal_Year]]&amp;"-"&amp;Table1[[#This Row],[BRAND]]</f>
        <v>-</v>
      </c>
      <c r="J1731" t="e">
        <f>VLOOKUP(H1731,DC_Xref!A:B,2,FALSE)</f>
        <v>#N/A</v>
      </c>
      <c r="K1731">
        <f t="shared" si="26"/>
        <v>0</v>
      </c>
      <c r="L17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1" s="3">
        <f>IFERROR(INDEX(Table3[#All],MATCH(Table1[[#This Row],[Key_Year_Week_Brand]],Table3[[#All],[Key_Year_Week_Brand]],0),MATCH(Table1[[#This Row],[DC_name_Xref]],Table3[#Headers],0)),0)</f>
        <v>0</v>
      </c>
      <c r="O1731" s="19">
        <f>IFERROR(INDEX(Table35[#All],MATCH(Table1[[#This Row],[Key_Year_Week_Brand]],Table35[[#All],[Key_Year_Month_Brand]],0),MATCH(Table1[[#This Row],[DC_name_Xref]],Table35[#Headers],0)),0)</f>
        <v>0</v>
      </c>
    </row>
    <row r="1732" spans="1:15" x14ac:dyDescent="0.3">
      <c r="A1732" s="19" t="e">
        <f>Table1[[#This Row],[Year_Week]]&amp;"-"&amp;Table1[[#This Row],[DC_name_Xref]]</f>
        <v>#N/A</v>
      </c>
      <c r="B1732" s="19" t="str">
        <f>Table1[[#This Row],[Fiscal_Year]]*100+Table1[[#This Row],[Fiscal_Week]] &amp; "-" &amp;Table1[[#This Row],[BRAND]]</f>
        <v>0-</v>
      </c>
      <c r="C1732" s="19" t="str">
        <f>Table1[[#This Row],[Fiscal_Year]]&amp;"-"&amp;Table1[[#This Row],[BRAND]]</f>
        <v>-</v>
      </c>
      <c r="J1732" t="e">
        <f>VLOOKUP(H1732,DC_Xref!A:B,2,FALSE)</f>
        <v>#N/A</v>
      </c>
      <c r="K1732">
        <f t="shared" si="26"/>
        <v>0</v>
      </c>
      <c r="L17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2" s="3">
        <f>IFERROR(INDEX(Table3[#All],MATCH(Table1[[#This Row],[Key_Year_Week_Brand]],Table3[[#All],[Key_Year_Week_Brand]],0),MATCH(Table1[[#This Row],[DC_name_Xref]],Table3[#Headers],0)),0)</f>
        <v>0</v>
      </c>
      <c r="O1732" s="19">
        <f>IFERROR(INDEX(Table35[#All],MATCH(Table1[[#This Row],[Key_Year_Week_Brand]],Table35[[#All],[Key_Year_Month_Brand]],0),MATCH(Table1[[#This Row],[DC_name_Xref]],Table35[#Headers],0)),0)</f>
        <v>0</v>
      </c>
    </row>
    <row r="1733" spans="1:15" x14ac:dyDescent="0.3">
      <c r="A1733" s="19" t="e">
        <f>Table1[[#This Row],[Year_Week]]&amp;"-"&amp;Table1[[#This Row],[DC_name_Xref]]</f>
        <v>#N/A</v>
      </c>
      <c r="B1733" s="19" t="str">
        <f>Table1[[#This Row],[Fiscal_Year]]*100+Table1[[#This Row],[Fiscal_Week]] &amp; "-" &amp;Table1[[#This Row],[BRAND]]</f>
        <v>0-</v>
      </c>
      <c r="C1733" s="19" t="str">
        <f>Table1[[#This Row],[Fiscal_Year]]&amp;"-"&amp;Table1[[#This Row],[BRAND]]</f>
        <v>-</v>
      </c>
      <c r="J1733" t="e">
        <f>VLOOKUP(H1733,DC_Xref!A:B,2,FALSE)</f>
        <v>#N/A</v>
      </c>
      <c r="K1733">
        <f t="shared" si="26"/>
        <v>0</v>
      </c>
      <c r="L17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3" s="3">
        <f>IFERROR(INDEX(Table3[#All],MATCH(Table1[[#This Row],[Key_Year_Week_Brand]],Table3[[#All],[Key_Year_Week_Brand]],0),MATCH(Table1[[#This Row],[DC_name_Xref]],Table3[#Headers],0)),0)</f>
        <v>0</v>
      </c>
      <c r="O1733" s="19">
        <f>IFERROR(INDEX(Table35[#All],MATCH(Table1[[#This Row],[Key_Year_Week_Brand]],Table35[[#All],[Key_Year_Month_Brand]],0),MATCH(Table1[[#This Row],[DC_name_Xref]],Table35[#Headers],0)),0)</f>
        <v>0</v>
      </c>
    </row>
    <row r="1734" spans="1:15" x14ac:dyDescent="0.3">
      <c r="A1734" s="19" t="e">
        <f>Table1[[#This Row],[Year_Week]]&amp;"-"&amp;Table1[[#This Row],[DC_name_Xref]]</f>
        <v>#N/A</v>
      </c>
      <c r="B1734" s="19" t="str">
        <f>Table1[[#This Row],[Fiscal_Year]]*100+Table1[[#This Row],[Fiscal_Week]] &amp; "-" &amp;Table1[[#This Row],[BRAND]]</f>
        <v>0-</v>
      </c>
      <c r="C1734" s="19" t="str">
        <f>Table1[[#This Row],[Fiscal_Year]]&amp;"-"&amp;Table1[[#This Row],[BRAND]]</f>
        <v>-</v>
      </c>
      <c r="J1734" t="e">
        <f>VLOOKUP(H1734,DC_Xref!A:B,2,FALSE)</f>
        <v>#N/A</v>
      </c>
      <c r="K1734">
        <f t="shared" ref="K1734:K1797" si="27">D1734*100+E1734</f>
        <v>0</v>
      </c>
      <c r="L17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4" s="3">
        <f>IFERROR(INDEX(Table3[#All],MATCH(Table1[[#This Row],[Key_Year_Week_Brand]],Table3[[#All],[Key_Year_Week_Brand]],0),MATCH(Table1[[#This Row],[DC_name_Xref]],Table3[#Headers],0)),0)</f>
        <v>0</v>
      </c>
      <c r="O1734" s="19">
        <f>IFERROR(INDEX(Table35[#All],MATCH(Table1[[#This Row],[Key_Year_Week_Brand]],Table35[[#All],[Key_Year_Month_Brand]],0),MATCH(Table1[[#This Row],[DC_name_Xref]],Table35[#Headers],0)),0)</f>
        <v>0</v>
      </c>
    </row>
    <row r="1735" spans="1:15" x14ac:dyDescent="0.3">
      <c r="A1735" s="19" t="e">
        <f>Table1[[#This Row],[Year_Week]]&amp;"-"&amp;Table1[[#This Row],[DC_name_Xref]]</f>
        <v>#N/A</v>
      </c>
      <c r="B1735" s="19" t="str">
        <f>Table1[[#This Row],[Fiscal_Year]]*100+Table1[[#This Row],[Fiscal_Week]] &amp; "-" &amp;Table1[[#This Row],[BRAND]]</f>
        <v>0-</v>
      </c>
      <c r="C1735" s="19" t="str">
        <f>Table1[[#This Row],[Fiscal_Year]]&amp;"-"&amp;Table1[[#This Row],[BRAND]]</f>
        <v>-</v>
      </c>
      <c r="J1735" t="e">
        <f>VLOOKUP(H1735,DC_Xref!A:B,2,FALSE)</f>
        <v>#N/A</v>
      </c>
      <c r="K1735">
        <f t="shared" si="27"/>
        <v>0</v>
      </c>
      <c r="L17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5" s="3">
        <f>IFERROR(INDEX(Table3[#All],MATCH(Table1[[#This Row],[Key_Year_Week_Brand]],Table3[[#All],[Key_Year_Week_Brand]],0),MATCH(Table1[[#This Row],[DC_name_Xref]],Table3[#Headers],0)),0)</f>
        <v>0</v>
      </c>
      <c r="O1735" s="19">
        <f>IFERROR(INDEX(Table35[#All],MATCH(Table1[[#This Row],[Key_Year_Week_Brand]],Table35[[#All],[Key_Year_Month_Brand]],0),MATCH(Table1[[#This Row],[DC_name_Xref]],Table35[#Headers],0)),0)</f>
        <v>0</v>
      </c>
    </row>
    <row r="1736" spans="1:15" x14ac:dyDescent="0.3">
      <c r="A1736" s="19" t="e">
        <f>Table1[[#This Row],[Year_Week]]&amp;"-"&amp;Table1[[#This Row],[DC_name_Xref]]</f>
        <v>#N/A</v>
      </c>
      <c r="B1736" s="19" t="str">
        <f>Table1[[#This Row],[Fiscal_Year]]*100+Table1[[#This Row],[Fiscal_Week]] &amp; "-" &amp;Table1[[#This Row],[BRAND]]</f>
        <v>0-</v>
      </c>
      <c r="C1736" s="19" t="str">
        <f>Table1[[#This Row],[Fiscal_Year]]&amp;"-"&amp;Table1[[#This Row],[BRAND]]</f>
        <v>-</v>
      </c>
      <c r="J1736" t="e">
        <f>VLOOKUP(H1736,DC_Xref!A:B,2,FALSE)</f>
        <v>#N/A</v>
      </c>
      <c r="K1736">
        <f t="shared" si="27"/>
        <v>0</v>
      </c>
      <c r="L17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6" s="3">
        <f>IFERROR(INDEX(Table3[#All],MATCH(Table1[[#This Row],[Key_Year_Week_Brand]],Table3[[#All],[Key_Year_Week_Brand]],0),MATCH(Table1[[#This Row],[DC_name_Xref]],Table3[#Headers],0)),0)</f>
        <v>0</v>
      </c>
      <c r="O1736" s="19">
        <f>IFERROR(INDEX(Table35[#All],MATCH(Table1[[#This Row],[Key_Year_Week_Brand]],Table35[[#All],[Key_Year_Month_Brand]],0),MATCH(Table1[[#This Row],[DC_name_Xref]],Table35[#Headers],0)),0)</f>
        <v>0</v>
      </c>
    </row>
    <row r="1737" spans="1:15" x14ac:dyDescent="0.3">
      <c r="A1737" s="19" t="e">
        <f>Table1[[#This Row],[Year_Week]]&amp;"-"&amp;Table1[[#This Row],[DC_name_Xref]]</f>
        <v>#N/A</v>
      </c>
      <c r="B1737" s="19" t="str">
        <f>Table1[[#This Row],[Fiscal_Year]]*100+Table1[[#This Row],[Fiscal_Week]] &amp; "-" &amp;Table1[[#This Row],[BRAND]]</f>
        <v>0-</v>
      </c>
      <c r="C1737" s="19" t="str">
        <f>Table1[[#This Row],[Fiscal_Year]]&amp;"-"&amp;Table1[[#This Row],[BRAND]]</f>
        <v>-</v>
      </c>
      <c r="J1737" t="e">
        <f>VLOOKUP(H1737,DC_Xref!A:B,2,FALSE)</f>
        <v>#N/A</v>
      </c>
      <c r="K1737">
        <f t="shared" si="27"/>
        <v>0</v>
      </c>
      <c r="L17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7" s="3">
        <f>IFERROR(INDEX(Table3[#All],MATCH(Table1[[#This Row],[Key_Year_Week_Brand]],Table3[[#All],[Key_Year_Week_Brand]],0),MATCH(Table1[[#This Row],[DC_name_Xref]],Table3[#Headers],0)),0)</f>
        <v>0</v>
      </c>
      <c r="O1737" s="19">
        <f>IFERROR(INDEX(Table35[#All],MATCH(Table1[[#This Row],[Key_Year_Week_Brand]],Table35[[#All],[Key_Year_Month_Brand]],0),MATCH(Table1[[#This Row],[DC_name_Xref]],Table35[#Headers],0)),0)</f>
        <v>0</v>
      </c>
    </row>
    <row r="1738" spans="1:15" x14ac:dyDescent="0.3">
      <c r="A1738" s="19" t="e">
        <f>Table1[[#This Row],[Year_Week]]&amp;"-"&amp;Table1[[#This Row],[DC_name_Xref]]</f>
        <v>#N/A</v>
      </c>
      <c r="B1738" s="19" t="str">
        <f>Table1[[#This Row],[Fiscal_Year]]*100+Table1[[#This Row],[Fiscal_Week]] &amp; "-" &amp;Table1[[#This Row],[BRAND]]</f>
        <v>0-</v>
      </c>
      <c r="C1738" s="19" t="str">
        <f>Table1[[#This Row],[Fiscal_Year]]&amp;"-"&amp;Table1[[#This Row],[BRAND]]</f>
        <v>-</v>
      </c>
      <c r="J1738" t="e">
        <f>VLOOKUP(H1738,DC_Xref!A:B,2,FALSE)</f>
        <v>#N/A</v>
      </c>
      <c r="K1738">
        <f t="shared" si="27"/>
        <v>0</v>
      </c>
      <c r="L17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8" s="3">
        <f>IFERROR(INDEX(Table3[#All],MATCH(Table1[[#This Row],[Key_Year_Week_Brand]],Table3[[#All],[Key_Year_Week_Brand]],0),MATCH(Table1[[#This Row],[DC_name_Xref]],Table3[#Headers],0)),0)</f>
        <v>0</v>
      </c>
      <c r="O1738" s="19">
        <f>IFERROR(INDEX(Table35[#All],MATCH(Table1[[#This Row],[Key_Year_Week_Brand]],Table35[[#All],[Key_Year_Month_Brand]],0),MATCH(Table1[[#This Row],[DC_name_Xref]],Table35[#Headers],0)),0)</f>
        <v>0</v>
      </c>
    </row>
    <row r="1739" spans="1:15" x14ac:dyDescent="0.3">
      <c r="A1739" s="19" t="e">
        <f>Table1[[#This Row],[Year_Week]]&amp;"-"&amp;Table1[[#This Row],[DC_name_Xref]]</f>
        <v>#N/A</v>
      </c>
      <c r="B1739" s="19" t="str">
        <f>Table1[[#This Row],[Fiscal_Year]]*100+Table1[[#This Row],[Fiscal_Week]] &amp; "-" &amp;Table1[[#This Row],[BRAND]]</f>
        <v>0-</v>
      </c>
      <c r="C1739" s="19" t="str">
        <f>Table1[[#This Row],[Fiscal_Year]]&amp;"-"&amp;Table1[[#This Row],[BRAND]]</f>
        <v>-</v>
      </c>
      <c r="J1739" t="e">
        <f>VLOOKUP(H1739,DC_Xref!A:B,2,FALSE)</f>
        <v>#N/A</v>
      </c>
      <c r="K1739">
        <f t="shared" si="27"/>
        <v>0</v>
      </c>
      <c r="L17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39" s="3">
        <f>IFERROR(INDEX(Table3[#All],MATCH(Table1[[#This Row],[Key_Year_Week_Brand]],Table3[[#All],[Key_Year_Week_Brand]],0),MATCH(Table1[[#This Row],[DC_name_Xref]],Table3[#Headers],0)),0)</f>
        <v>0</v>
      </c>
      <c r="O1739" s="19">
        <f>IFERROR(INDEX(Table35[#All],MATCH(Table1[[#This Row],[Key_Year_Week_Brand]],Table35[[#All],[Key_Year_Month_Brand]],0),MATCH(Table1[[#This Row],[DC_name_Xref]],Table35[#Headers],0)),0)</f>
        <v>0</v>
      </c>
    </row>
    <row r="1740" spans="1:15" x14ac:dyDescent="0.3">
      <c r="A1740" s="19" t="e">
        <f>Table1[[#This Row],[Year_Week]]&amp;"-"&amp;Table1[[#This Row],[DC_name_Xref]]</f>
        <v>#N/A</v>
      </c>
      <c r="B1740" s="19" t="str">
        <f>Table1[[#This Row],[Fiscal_Year]]*100+Table1[[#This Row],[Fiscal_Week]] &amp; "-" &amp;Table1[[#This Row],[BRAND]]</f>
        <v>0-</v>
      </c>
      <c r="C1740" s="19" t="str">
        <f>Table1[[#This Row],[Fiscal_Year]]&amp;"-"&amp;Table1[[#This Row],[BRAND]]</f>
        <v>-</v>
      </c>
      <c r="J1740" t="e">
        <f>VLOOKUP(H1740,DC_Xref!A:B,2,FALSE)</f>
        <v>#N/A</v>
      </c>
      <c r="K1740">
        <f t="shared" si="27"/>
        <v>0</v>
      </c>
      <c r="L17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0" s="3">
        <f>IFERROR(INDEX(Table3[#All],MATCH(Table1[[#This Row],[Key_Year_Week_Brand]],Table3[[#All],[Key_Year_Week_Brand]],0),MATCH(Table1[[#This Row],[DC_name_Xref]],Table3[#Headers],0)),0)</f>
        <v>0</v>
      </c>
      <c r="O1740" s="19">
        <f>IFERROR(INDEX(Table35[#All],MATCH(Table1[[#This Row],[Key_Year_Week_Brand]],Table35[[#All],[Key_Year_Month_Brand]],0),MATCH(Table1[[#This Row],[DC_name_Xref]],Table35[#Headers],0)),0)</f>
        <v>0</v>
      </c>
    </row>
    <row r="1741" spans="1:15" x14ac:dyDescent="0.3">
      <c r="A1741" s="19" t="e">
        <f>Table1[[#This Row],[Year_Week]]&amp;"-"&amp;Table1[[#This Row],[DC_name_Xref]]</f>
        <v>#N/A</v>
      </c>
      <c r="B1741" s="19" t="str">
        <f>Table1[[#This Row],[Fiscal_Year]]*100+Table1[[#This Row],[Fiscal_Week]] &amp; "-" &amp;Table1[[#This Row],[BRAND]]</f>
        <v>0-</v>
      </c>
      <c r="C1741" s="19" t="str">
        <f>Table1[[#This Row],[Fiscal_Year]]&amp;"-"&amp;Table1[[#This Row],[BRAND]]</f>
        <v>-</v>
      </c>
      <c r="J1741" t="e">
        <f>VLOOKUP(H1741,DC_Xref!A:B,2,FALSE)</f>
        <v>#N/A</v>
      </c>
      <c r="K1741">
        <f t="shared" si="27"/>
        <v>0</v>
      </c>
      <c r="L17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1" s="3">
        <f>IFERROR(INDEX(Table3[#All],MATCH(Table1[[#This Row],[Key_Year_Week_Brand]],Table3[[#All],[Key_Year_Week_Brand]],0),MATCH(Table1[[#This Row],[DC_name_Xref]],Table3[#Headers],0)),0)</f>
        <v>0</v>
      </c>
      <c r="O1741" s="19">
        <f>IFERROR(INDEX(Table35[#All],MATCH(Table1[[#This Row],[Key_Year_Week_Brand]],Table35[[#All],[Key_Year_Month_Brand]],0),MATCH(Table1[[#This Row],[DC_name_Xref]],Table35[#Headers],0)),0)</f>
        <v>0</v>
      </c>
    </row>
    <row r="1742" spans="1:15" x14ac:dyDescent="0.3">
      <c r="A1742" s="19" t="e">
        <f>Table1[[#This Row],[Year_Week]]&amp;"-"&amp;Table1[[#This Row],[DC_name_Xref]]</f>
        <v>#N/A</v>
      </c>
      <c r="B1742" s="19" t="str">
        <f>Table1[[#This Row],[Fiscal_Year]]*100+Table1[[#This Row],[Fiscal_Week]] &amp; "-" &amp;Table1[[#This Row],[BRAND]]</f>
        <v>0-</v>
      </c>
      <c r="C1742" s="19" t="str">
        <f>Table1[[#This Row],[Fiscal_Year]]&amp;"-"&amp;Table1[[#This Row],[BRAND]]</f>
        <v>-</v>
      </c>
      <c r="J1742" t="e">
        <f>VLOOKUP(H1742,DC_Xref!A:B,2,FALSE)</f>
        <v>#N/A</v>
      </c>
      <c r="K1742">
        <f t="shared" si="27"/>
        <v>0</v>
      </c>
      <c r="L17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2" s="3">
        <f>IFERROR(INDEX(Table3[#All],MATCH(Table1[[#This Row],[Key_Year_Week_Brand]],Table3[[#All],[Key_Year_Week_Brand]],0),MATCH(Table1[[#This Row],[DC_name_Xref]],Table3[#Headers],0)),0)</f>
        <v>0</v>
      </c>
      <c r="O1742" s="19">
        <f>IFERROR(INDEX(Table35[#All],MATCH(Table1[[#This Row],[Key_Year_Week_Brand]],Table35[[#All],[Key_Year_Month_Brand]],0),MATCH(Table1[[#This Row],[DC_name_Xref]],Table35[#Headers],0)),0)</f>
        <v>0</v>
      </c>
    </row>
    <row r="1743" spans="1:15" x14ac:dyDescent="0.3">
      <c r="A1743" s="19" t="e">
        <f>Table1[[#This Row],[Year_Week]]&amp;"-"&amp;Table1[[#This Row],[DC_name_Xref]]</f>
        <v>#N/A</v>
      </c>
      <c r="B1743" s="19" t="str">
        <f>Table1[[#This Row],[Fiscal_Year]]*100+Table1[[#This Row],[Fiscal_Week]] &amp; "-" &amp;Table1[[#This Row],[BRAND]]</f>
        <v>0-</v>
      </c>
      <c r="C1743" s="19" t="str">
        <f>Table1[[#This Row],[Fiscal_Year]]&amp;"-"&amp;Table1[[#This Row],[BRAND]]</f>
        <v>-</v>
      </c>
      <c r="J1743" t="e">
        <f>VLOOKUP(H1743,DC_Xref!A:B,2,FALSE)</f>
        <v>#N/A</v>
      </c>
      <c r="K1743">
        <f t="shared" si="27"/>
        <v>0</v>
      </c>
      <c r="L17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3" s="3">
        <f>IFERROR(INDEX(Table3[#All],MATCH(Table1[[#This Row],[Key_Year_Week_Brand]],Table3[[#All],[Key_Year_Week_Brand]],0),MATCH(Table1[[#This Row],[DC_name_Xref]],Table3[#Headers],0)),0)</f>
        <v>0</v>
      </c>
      <c r="O1743" s="19">
        <f>IFERROR(INDEX(Table35[#All],MATCH(Table1[[#This Row],[Key_Year_Week_Brand]],Table35[[#All],[Key_Year_Month_Brand]],0),MATCH(Table1[[#This Row],[DC_name_Xref]],Table35[#Headers],0)),0)</f>
        <v>0</v>
      </c>
    </row>
    <row r="1744" spans="1:15" x14ac:dyDescent="0.3">
      <c r="A1744" s="19" t="e">
        <f>Table1[[#This Row],[Year_Week]]&amp;"-"&amp;Table1[[#This Row],[DC_name_Xref]]</f>
        <v>#N/A</v>
      </c>
      <c r="B1744" s="19" t="str">
        <f>Table1[[#This Row],[Fiscal_Year]]*100+Table1[[#This Row],[Fiscal_Week]] &amp; "-" &amp;Table1[[#This Row],[BRAND]]</f>
        <v>0-</v>
      </c>
      <c r="C1744" s="19" t="str">
        <f>Table1[[#This Row],[Fiscal_Year]]&amp;"-"&amp;Table1[[#This Row],[BRAND]]</f>
        <v>-</v>
      </c>
      <c r="J1744" t="e">
        <f>VLOOKUP(H1744,DC_Xref!A:B,2,FALSE)</f>
        <v>#N/A</v>
      </c>
      <c r="K1744">
        <f t="shared" si="27"/>
        <v>0</v>
      </c>
      <c r="L17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4" s="3">
        <f>IFERROR(INDEX(Table3[#All],MATCH(Table1[[#This Row],[Key_Year_Week_Brand]],Table3[[#All],[Key_Year_Week_Brand]],0),MATCH(Table1[[#This Row],[DC_name_Xref]],Table3[#Headers],0)),0)</f>
        <v>0</v>
      </c>
      <c r="O1744" s="19">
        <f>IFERROR(INDEX(Table35[#All],MATCH(Table1[[#This Row],[Key_Year_Week_Brand]],Table35[[#All],[Key_Year_Month_Brand]],0),MATCH(Table1[[#This Row],[DC_name_Xref]],Table35[#Headers],0)),0)</f>
        <v>0</v>
      </c>
    </row>
    <row r="1745" spans="1:15" x14ac:dyDescent="0.3">
      <c r="A1745" s="19" t="e">
        <f>Table1[[#This Row],[Year_Week]]&amp;"-"&amp;Table1[[#This Row],[DC_name_Xref]]</f>
        <v>#N/A</v>
      </c>
      <c r="B1745" s="19" t="str">
        <f>Table1[[#This Row],[Fiscal_Year]]*100+Table1[[#This Row],[Fiscal_Week]] &amp; "-" &amp;Table1[[#This Row],[BRAND]]</f>
        <v>0-</v>
      </c>
      <c r="C1745" s="19" t="str">
        <f>Table1[[#This Row],[Fiscal_Year]]&amp;"-"&amp;Table1[[#This Row],[BRAND]]</f>
        <v>-</v>
      </c>
      <c r="J1745" t="e">
        <f>VLOOKUP(H1745,DC_Xref!A:B,2,FALSE)</f>
        <v>#N/A</v>
      </c>
      <c r="K1745">
        <f t="shared" si="27"/>
        <v>0</v>
      </c>
      <c r="L17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5" s="3">
        <f>IFERROR(INDEX(Table3[#All],MATCH(Table1[[#This Row],[Key_Year_Week_Brand]],Table3[[#All],[Key_Year_Week_Brand]],0),MATCH(Table1[[#This Row],[DC_name_Xref]],Table3[#Headers],0)),0)</f>
        <v>0</v>
      </c>
      <c r="O1745" s="19">
        <f>IFERROR(INDEX(Table35[#All],MATCH(Table1[[#This Row],[Key_Year_Week_Brand]],Table35[[#All],[Key_Year_Month_Brand]],0),MATCH(Table1[[#This Row],[DC_name_Xref]],Table35[#Headers],0)),0)</f>
        <v>0</v>
      </c>
    </row>
    <row r="1746" spans="1:15" x14ac:dyDescent="0.3">
      <c r="A1746" s="19" t="e">
        <f>Table1[[#This Row],[Year_Week]]&amp;"-"&amp;Table1[[#This Row],[DC_name_Xref]]</f>
        <v>#N/A</v>
      </c>
      <c r="B1746" s="19" t="str">
        <f>Table1[[#This Row],[Fiscal_Year]]*100+Table1[[#This Row],[Fiscal_Week]] &amp; "-" &amp;Table1[[#This Row],[BRAND]]</f>
        <v>0-</v>
      </c>
      <c r="C1746" s="19" t="str">
        <f>Table1[[#This Row],[Fiscal_Year]]&amp;"-"&amp;Table1[[#This Row],[BRAND]]</f>
        <v>-</v>
      </c>
      <c r="J1746" t="e">
        <f>VLOOKUP(H1746,DC_Xref!A:B,2,FALSE)</f>
        <v>#N/A</v>
      </c>
      <c r="K1746">
        <f t="shared" si="27"/>
        <v>0</v>
      </c>
      <c r="L17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6" s="3">
        <f>IFERROR(INDEX(Table3[#All],MATCH(Table1[[#This Row],[Key_Year_Week_Brand]],Table3[[#All],[Key_Year_Week_Brand]],0),MATCH(Table1[[#This Row],[DC_name_Xref]],Table3[#Headers],0)),0)</f>
        <v>0</v>
      </c>
      <c r="O1746" s="19">
        <f>IFERROR(INDEX(Table35[#All],MATCH(Table1[[#This Row],[Key_Year_Week_Brand]],Table35[[#All],[Key_Year_Month_Brand]],0),MATCH(Table1[[#This Row],[DC_name_Xref]],Table35[#Headers],0)),0)</f>
        <v>0</v>
      </c>
    </row>
    <row r="1747" spans="1:15" x14ac:dyDescent="0.3">
      <c r="A1747" s="19" t="e">
        <f>Table1[[#This Row],[Year_Week]]&amp;"-"&amp;Table1[[#This Row],[DC_name_Xref]]</f>
        <v>#N/A</v>
      </c>
      <c r="B1747" s="19" t="str">
        <f>Table1[[#This Row],[Fiscal_Year]]*100+Table1[[#This Row],[Fiscal_Week]] &amp; "-" &amp;Table1[[#This Row],[BRAND]]</f>
        <v>0-</v>
      </c>
      <c r="C1747" s="19" t="str">
        <f>Table1[[#This Row],[Fiscal_Year]]&amp;"-"&amp;Table1[[#This Row],[BRAND]]</f>
        <v>-</v>
      </c>
      <c r="J1747" t="e">
        <f>VLOOKUP(H1747,DC_Xref!A:B,2,FALSE)</f>
        <v>#N/A</v>
      </c>
      <c r="K1747">
        <f t="shared" si="27"/>
        <v>0</v>
      </c>
      <c r="L17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7" s="3">
        <f>IFERROR(INDEX(Table3[#All],MATCH(Table1[[#This Row],[Key_Year_Week_Brand]],Table3[[#All],[Key_Year_Week_Brand]],0),MATCH(Table1[[#This Row],[DC_name_Xref]],Table3[#Headers],0)),0)</f>
        <v>0</v>
      </c>
      <c r="O1747" s="19">
        <f>IFERROR(INDEX(Table35[#All],MATCH(Table1[[#This Row],[Key_Year_Week_Brand]],Table35[[#All],[Key_Year_Month_Brand]],0),MATCH(Table1[[#This Row],[DC_name_Xref]],Table35[#Headers],0)),0)</f>
        <v>0</v>
      </c>
    </row>
    <row r="1748" spans="1:15" x14ac:dyDescent="0.3">
      <c r="A1748" s="19" t="e">
        <f>Table1[[#This Row],[Year_Week]]&amp;"-"&amp;Table1[[#This Row],[DC_name_Xref]]</f>
        <v>#N/A</v>
      </c>
      <c r="B1748" s="19" t="str">
        <f>Table1[[#This Row],[Fiscal_Year]]*100+Table1[[#This Row],[Fiscal_Week]] &amp; "-" &amp;Table1[[#This Row],[BRAND]]</f>
        <v>0-</v>
      </c>
      <c r="C1748" s="19" t="str">
        <f>Table1[[#This Row],[Fiscal_Year]]&amp;"-"&amp;Table1[[#This Row],[BRAND]]</f>
        <v>-</v>
      </c>
      <c r="J1748" t="e">
        <f>VLOOKUP(H1748,DC_Xref!A:B,2,FALSE)</f>
        <v>#N/A</v>
      </c>
      <c r="K1748">
        <f t="shared" si="27"/>
        <v>0</v>
      </c>
      <c r="L17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8" s="3">
        <f>IFERROR(INDEX(Table3[#All],MATCH(Table1[[#This Row],[Key_Year_Week_Brand]],Table3[[#All],[Key_Year_Week_Brand]],0),MATCH(Table1[[#This Row],[DC_name_Xref]],Table3[#Headers],0)),0)</f>
        <v>0</v>
      </c>
      <c r="O1748" s="19">
        <f>IFERROR(INDEX(Table35[#All],MATCH(Table1[[#This Row],[Key_Year_Week_Brand]],Table35[[#All],[Key_Year_Month_Brand]],0),MATCH(Table1[[#This Row],[DC_name_Xref]],Table35[#Headers],0)),0)</f>
        <v>0</v>
      </c>
    </row>
    <row r="1749" spans="1:15" x14ac:dyDescent="0.3">
      <c r="A1749" s="19" t="e">
        <f>Table1[[#This Row],[Year_Week]]&amp;"-"&amp;Table1[[#This Row],[DC_name_Xref]]</f>
        <v>#N/A</v>
      </c>
      <c r="B1749" s="19" t="str">
        <f>Table1[[#This Row],[Fiscal_Year]]*100+Table1[[#This Row],[Fiscal_Week]] &amp; "-" &amp;Table1[[#This Row],[BRAND]]</f>
        <v>0-</v>
      </c>
      <c r="C1749" s="19" t="str">
        <f>Table1[[#This Row],[Fiscal_Year]]&amp;"-"&amp;Table1[[#This Row],[BRAND]]</f>
        <v>-</v>
      </c>
      <c r="J1749" t="e">
        <f>VLOOKUP(H1749,DC_Xref!A:B,2,FALSE)</f>
        <v>#N/A</v>
      </c>
      <c r="K1749">
        <f t="shared" si="27"/>
        <v>0</v>
      </c>
      <c r="L17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49" s="3">
        <f>IFERROR(INDEX(Table3[#All],MATCH(Table1[[#This Row],[Key_Year_Week_Brand]],Table3[[#All],[Key_Year_Week_Brand]],0),MATCH(Table1[[#This Row],[DC_name_Xref]],Table3[#Headers],0)),0)</f>
        <v>0</v>
      </c>
      <c r="O1749" s="19">
        <f>IFERROR(INDEX(Table35[#All],MATCH(Table1[[#This Row],[Key_Year_Week_Brand]],Table35[[#All],[Key_Year_Month_Brand]],0),MATCH(Table1[[#This Row],[DC_name_Xref]],Table35[#Headers],0)),0)</f>
        <v>0</v>
      </c>
    </row>
    <row r="1750" spans="1:15" x14ac:dyDescent="0.3">
      <c r="A1750" s="19" t="e">
        <f>Table1[[#This Row],[Year_Week]]&amp;"-"&amp;Table1[[#This Row],[DC_name_Xref]]</f>
        <v>#N/A</v>
      </c>
      <c r="B1750" s="19" t="str">
        <f>Table1[[#This Row],[Fiscal_Year]]*100+Table1[[#This Row],[Fiscal_Week]] &amp; "-" &amp;Table1[[#This Row],[BRAND]]</f>
        <v>0-</v>
      </c>
      <c r="C1750" s="19" t="str">
        <f>Table1[[#This Row],[Fiscal_Year]]&amp;"-"&amp;Table1[[#This Row],[BRAND]]</f>
        <v>-</v>
      </c>
      <c r="J1750" t="e">
        <f>VLOOKUP(H1750,DC_Xref!A:B,2,FALSE)</f>
        <v>#N/A</v>
      </c>
      <c r="K1750">
        <f t="shared" si="27"/>
        <v>0</v>
      </c>
      <c r="L17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0" s="3">
        <f>IFERROR(INDEX(Table3[#All],MATCH(Table1[[#This Row],[Key_Year_Week_Brand]],Table3[[#All],[Key_Year_Week_Brand]],0),MATCH(Table1[[#This Row],[DC_name_Xref]],Table3[#Headers],0)),0)</f>
        <v>0</v>
      </c>
      <c r="O1750" s="19">
        <f>IFERROR(INDEX(Table35[#All],MATCH(Table1[[#This Row],[Key_Year_Week_Brand]],Table35[[#All],[Key_Year_Month_Brand]],0),MATCH(Table1[[#This Row],[DC_name_Xref]],Table35[#Headers],0)),0)</f>
        <v>0</v>
      </c>
    </row>
    <row r="1751" spans="1:15" x14ac:dyDescent="0.3">
      <c r="A1751" s="19" t="e">
        <f>Table1[[#This Row],[Year_Week]]&amp;"-"&amp;Table1[[#This Row],[DC_name_Xref]]</f>
        <v>#N/A</v>
      </c>
      <c r="B1751" s="19" t="str">
        <f>Table1[[#This Row],[Fiscal_Year]]*100+Table1[[#This Row],[Fiscal_Week]] &amp; "-" &amp;Table1[[#This Row],[BRAND]]</f>
        <v>0-</v>
      </c>
      <c r="C1751" s="19" t="str">
        <f>Table1[[#This Row],[Fiscal_Year]]&amp;"-"&amp;Table1[[#This Row],[BRAND]]</f>
        <v>-</v>
      </c>
      <c r="J1751" t="e">
        <f>VLOOKUP(H1751,DC_Xref!A:B,2,FALSE)</f>
        <v>#N/A</v>
      </c>
      <c r="K1751">
        <f t="shared" si="27"/>
        <v>0</v>
      </c>
      <c r="L17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1" s="3">
        <f>IFERROR(INDEX(Table3[#All],MATCH(Table1[[#This Row],[Key_Year_Week_Brand]],Table3[[#All],[Key_Year_Week_Brand]],0),MATCH(Table1[[#This Row],[DC_name_Xref]],Table3[#Headers],0)),0)</f>
        <v>0</v>
      </c>
      <c r="O1751" s="19">
        <f>IFERROR(INDEX(Table35[#All],MATCH(Table1[[#This Row],[Key_Year_Week_Brand]],Table35[[#All],[Key_Year_Month_Brand]],0),MATCH(Table1[[#This Row],[DC_name_Xref]],Table35[#Headers],0)),0)</f>
        <v>0</v>
      </c>
    </row>
    <row r="1752" spans="1:15" x14ac:dyDescent="0.3">
      <c r="A1752" s="19" t="e">
        <f>Table1[[#This Row],[Year_Week]]&amp;"-"&amp;Table1[[#This Row],[DC_name_Xref]]</f>
        <v>#N/A</v>
      </c>
      <c r="B1752" s="19" t="str">
        <f>Table1[[#This Row],[Fiscal_Year]]*100+Table1[[#This Row],[Fiscal_Week]] &amp; "-" &amp;Table1[[#This Row],[BRAND]]</f>
        <v>0-</v>
      </c>
      <c r="C1752" s="19" t="str">
        <f>Table1[[#This Row],[Fiscal_Year]]&amp;"-"&amp;Table1[[#This Row],[BRAND]]</f>
        <v>-</v>
      </c>
      <c r="J1752" t="e">
        <f>VLOOKUP(H1752,DC_Xref!A:B,2,FALSE)</f>
        <v>#N/A</v>
      </c>
      <c r="K1752">
        <f t="shared" si="27"/>
        <v>0</v>
      </c>
      <c r="L17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2" s="3">
        <f>IFERROR(INDEX(Table3[#All],MATCH(Table1[[#This Row],[Key_Year_Week_Brand]],Table3[[#All],[Key_Year_Week_Brand]],0),MATCH(Table1[[#This Row],[DC_name_Xref]],Table3[#Headers],0)),0)</f>
        <v>0</v>
      </c>
      <c r="O1752" s="19">
        <f>IFERROR(INDEX(Table35[#All],MATCH(Table1[[#This Row],[Key_Year_Week_Brand]],Table35[[#All],[Key_Year_Month_Brand]],0),MATCH(Table1[[#This Row],[DC_name_Xref]],Table35[#Headers],0)),0)</f>
        <v>0</v>
      </c>
    </row>
    <row r="1753" spans="1:15" x14ac:dyDescent="0.3">
      <c r="A1753" s="19" t="e">
        <f>Table1[[#This Row],[Year_Week]]&amp;"-"&amp;Table1[[#This Row],[DC_name_Xref]]</f>
        <v>#N/A</v>
      </c>
      <c r="B1753" s="19" t="str">
        <f>Table1[[#This Row],[Fiscal_Year]]*100+Table1[[#This Row],[Fiscal_Week]] &amp; "-" &amp;Table1[[#This Row],[BRAND]]</f>
        <v>0-</v>
      </c>
      <c r="C1753" s="19" t="str">
        <f>Table1[[#This Row],[Fiscal_Year]]&amp;"-"&amp;Table1[[#This Row],[BRAND]]</f>
        <v>-</v>
      </c>
      <c r="J1753" t="e">
        <f>VLOOKUP(H1753,DC_Xref!A:B,2,FALSE)</f>
        <v>#N/A</v>
      </c>
      <c r="K1753">
        <f t="shared" si="27"/>
        <v>0</v>
      </c>
      <c r="L17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3" s="3">
        <f>IFERROR(INDEX(Table3[#All],MATCH(Table1[[#This Row],[Key_Year_Week_Brand]],Table3[[#All],[Key_Year_Week_Brand]],0),MATCH(Table1[[#This Row],[DC_name_Xref]],Table3[#Headers],0)),0)</f>
        <v>0</v>
      </c>
      <c r="O1753" s="19">
        <f>IFERROR(INDEX(Table35[#All],MATCH(Table1[[#This Row],[Key_Year_Week_Brand]],Table35[[#All],[Key_Year_Month_Brand]],0),MATCH(Table1[[#This Row],[DC_name_Xref]],Table35[#Headers],0)),0)</f>
        <v>0</v>
      </c>
    </row>
    <row r="1754" spans="1:15" x14ac:dyDescent="0.3">
      <c r="A1754" s="19" t="e">
        <f>Table1[[#This Row],[Year_Week]]&amp;"-"&amp;Table1[[#This Row],[DC_name_Xref]]</f>
        <v>#N/A</v>
      </c>
      <c r="B1754" s="19" t="str">
        <f>Table1[[#This Row],[Fiscal_Year]]*100+Table1[[#This Row],[Fiscal_Week]] &amp; "-" &amp;Table1[[#This Row],[BRAND]]</f>
        <v>0-</v>
      </c>
      <c r="C1754" s="19" t="str">
        <f>Table1[[#This Row],[Fiscal_Year]]&amp;"-"&amp;Table1[[#This Row],[BRAND]]</f>
        <v>-</v>
      </c>
      <c r="J1754" t="e">
        <f>VLOOKUP(H1754,DC_Xref!A:B,2,FALSE)</f>
        <v>#N/A</v>
      </c>
      <c r="K1754">
        <f t="shared" si="27"/>
        <v>0</v>
      </c>
      <c r="L17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4" s="3">
        <f>IFERROR(INDEX(Table3[#All],MATCH(Table1[[#This Row],[Key_Year_Week_Brand]],Table3[[#All],[Key_Year_Week_Brand]],0),MATCH(Table1[[#This Row],[DC_name_Xref]],Table3[#Headers],0)),0)</f>
        <v>0</v>
      </c>
      <c r="O1754" s="19">
        <f>IFERROR(INDEX(Table35[#All],MATCH(Table1[[#This Row],[Key_Year_Week_Brand]],Table35[[#All],[Key_Year_Month_Brand]],0),MATCH(Table1[[#This Row],[DC_name_Xref]],Table35[#Headers],0)),0)</f>
        <v>0</v>
      </c>
    </row>
    <row r="1755" spans="1:15" x14ac:dyDescent="0.3">
      <c r="A1755" s="19" t="e">
        <f>Table1[[#This Row],[Year_Week]]&amp;"-"&amp;Table1[[#This Row],[DC_name_Xref]]</f>
        <v>#N/A</v>
      </c>
      <c r="B1755" s="19" t="str">
        <f>Table1[[#This Row],[Fiscal_Year]]*100+Table1[[#This Row],[Fiscal_Week]] &amp; "-" &amp;Table1[[#This Row],[BRAND]]</f>
        <v>0-</v>
      </c>
      <c r="C1755" s="19" t="str">
        <f>Table1[[#This Row],[Fiscal_Year]]&amp;"-"&amp;Table1[[#This Row],[BRAND]]</f>
        <v>-</v>
      </c>
      <c r="J1755" t="e">
        <f>VLOOKUP(H1755,DC_Xref!A:B,2,FALSE)</f>
        <v>#N/A</v>
      </c>
      <c r="K1755">
        <f t="shared" si="27"/>
        <v>0</v>
      </c>
      <c r="L17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5" s="3">
        <f>IFERROR(INDEX(Table3[#All],MATCH(Table1[[#This Row],[Key_Year_Week_Brand]],Table3[[#All],[Key_Year_Week_Brand]],0),MATCH(Table1[[#This Row],[DC_name_Xref]],Table3[#Headers],0)),0)</f>
        <v>0</v>
      </c>
      <c r="O1755" s="19">
        <f>IFERROR(INDEX(Table35[#All],MATCH(Table1[[#This Row],[Key_Year_Week_Brand]],Table35[[#All],[Key_Year_Month_Brand]],0),MATCH(Table1[[#This Row],[DC_name_Xref]],Table35[#Headers],0)),0)</f>
        <v>0</v>
      </c>
    </row>
    <row r="1756" spans="1:15" x14ac:dyDescent="0.3">
      <c r="A1756" s="19" t="e">
        <f>Table1[[#This Row],[Year_Week]]&amp;"-"&amp;Table1[[#This Row],[DC_name_Xref]]</f>
        <v>#N/A</v>
      </c>
      <c r="B1756" s="19" t="str">
        <f>Table1[[#This Row],[Fiscal_Year]]*100+Table1[[#This Row],[Fiscal_Week]] &amp; "-" &amp;Table1[[#This Row],[BRAND]]</f>
        <v>0-</v>
      </c>
      <c r="C1756" s="19" t="str">
        <f>Table1[[#This Row],[Fiscal_Year]]&amp;"-"&amp;Table1[[#This Row],[BRAND]]</f>
        <v>-</v>
      </c>
      <c r="J1756" t="e">
        <f>VLOOKUP(H1756,DC_Xref!A:B,2,FALSE)</f>
        <v>#N/A</v>
      </c>
      <c r="K1756">
        <f t="shared" si="27"/>
        <v>0</v>
      </c>
      <c r="L17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6" s="3">
        <f>IFERROR(INDEX(Table3[#All],MATCH(Table1[[#This Row],[Key_Year_Week_Brand]],Table3[[#All],[Key_Year_Week_Brand]],0),MATCH(Table1[[#This Row],[DC_name_Xref]],Table3[#Headers],0)),0)</f>
        <v>0</v>
      </c>
      <c r="O1756" s="19">
        <f>IFERROR(INDEX(Table35[#All],MATCH(Table1[[#This Row],[Key_Year_Week_Brand]],Table35[[#All],[Key_Year_Month_Brand]],0),MATCH(Table1[[#This Row],[DC_name_Xref]],Table35[#Headers],0)),0)</f>
        <v>0</v>
      </c>
    </row>
    <row r="1757" spans="1:15" x14ac:dyDescent="0.3">
      <c r="A1757" s="19" t="e">
        <f>Table1[[#This Row],[Year_Week]]&amp;"-"&amp;Table1[[#This Row],[DC_name_Xref]]</f>
        <v>#N/A</v>
      </c>
      <c r="B1757" s="19" t="str">
        <f>Table1[[#This Row],[Fiscal_Year]]*100+Table1[[#This Row],[Fiscal_Week]] &amp; "-" &amp;Table1[[#This Row],[BRAND]]</f>
        <v>0-</v>
      </c>
      <c r="C1757" s="19" t="str">
        <f>Table1[[#This Row],[Fiscal_Year]]&amp;"-"&amp;Table1[[#This Row],[BRAND]]</f>
        <v>-</v>
      </c>
      <c r="J1757" t="e">
        <f>VLOOKUP(H1757,DC_Xref!A:B,2,FALSE)</f>
        <v>#N/A</v>
      </c>
      <c r="K1757">
        <f t="shared" si="27"/>
        <v>0</v>
      </c>
      <c r="L17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7" s="3">
        <f>IFERROR(INDEX(Table3[#All],MATCH(Table1[[#This Row],[Key_Year_Week_Brand]],Table3[[#All],[Key_Year_Week_Brand]],0),MATCH(Table1[[#This Row],[DC_name_Xref]],Table3[#Headers],0)),0)</f>
        <v>0</v>
      </c>
      <c r="O1757" s="19">
        <f>IFERROR(INDEX(Table35[#All],MATCH(Table1[[#This Row],[Key_Year_Week_Brand]],Table35[[#All],[Key_Year_Month_Brand]],0),MATCH(Table1[[#This Row],[DC_name_Xref]],Table35[#Headers],0)),0)</f>
        <v>0</v>
      </c>
    </row>
    <row r="1758" spans="1:15" x14ac:dyDescent="0.3">
      <c r="A1758" s="19" t="e">
        <f>Table1[[#This Row],[Year_Week]]&amp;"-"&amp;Table1[[#This Row],[DC_name_Xref]]</f>
        <v>#N/A</v>
      </c>
      <c r="B1758" s="19" t="str">
        <f>Table1[[#This Row],[Fiscal_Year]]*100+Table1[[#This Row],[Fiscal_Week]] &amp; "-" &amp;Table1[[#This Row],[BRAND]]</f>
        <v>0-</v>
      </c>
      <c r="C1758" s="19" t="str">
        <f>Table1[[#This Row],[Fiscal_Year]]&amp;"-"&amp;Table1[[#This Row],[BRAND]]</f>
        <v>-</v>
      </c>
      <c r="J1758" t="e">
        <f>VLOOKUP(H1758,DC_Xref!A:B,2,FALSE)</f>
        <v>#N/A</v>
      </c>
      <c r="K1758">
        <f t="shared" si="27"/>
        <v>0</v>
      </c>
      <c r="L17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8" s="3">
        <f>IFERROR(INDEX(Table3[#All],MATCH(Table1[[#This Row],[Key_Year_Week_Brand]],Table3[[#All],[Key_Year_Week_Brand]],0),MATCH(Table1[[#This Row],[DC_name_Xref]],Table3[#Headers],0)),0)</f>
        <v>0</v>
      </c>
      <c r="O1758" s="19">
        <f>IFERROR(INDEX(Table35[#All],MATCH(Table1[[#This Row],[Key_Year_Week_Brand]],Table35[[#All],[Key_Year_Month_Brand]],0),MATCH(Table1[[#This Row],[DC_name_Xref]],Table35[#Headers],0)),0)</f>
        <v>0</v>
      </c>
    </row>
    <row r="1759" spans="1:15" x14ac:dyDescent="0.3">
      <c r="A1759" s="19" t="e">
        <f>Table1[[#This Row],[Year_Week]]&amp;"-"&amp;Table1[[#This Row],[DC_name_Xref]]</f>
        <v>#N/A</v>
      </c>
      <c r="B1759" s="19" t="str">
        <f>Table1[[#This Row],[Fiscal_Year]]*100+Table1[[#This Row],[Fiscal_Week]] &amp; "-" &amp;Table1[[#This Row],[BRAND]]</f>
        <v>0-</v>
      </c>
      <c r="C1759" s="19" t="str">
        <f>Table1[[#This Row],[Fiscal_Year]]&amp;"-"&amp;Table1[[#This Row],[BRAND]]</f>
        <v>-</v>
      </c>
      <c r="J1759" t="e">
        <f>VLOOKUP(H1759,DC_Xref!A:B,2,FALSE)</f>
        <v>#N/A</v>
      </c>
      <c r="K1759">
        <f t="shared" si="27"/>
        <v>0</v>
      </c>
      <c r="L17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59" s="3">
        <f>IFERROR(INDEX(Table3[#All],MATCH(Table1[[#This Row],[Key_Year_Week_Brand]],Table3[[#All],[Key_Year_Week_Brand]],0),MATCH(Table1[[#This Row],[DC_name_Xref]],Table3[#Headers],0)),0)</f>
        <v>0</v>
      </c>
      <c r="O1759" s="19">
        <f>IFERROR(INDEX(Table35[#All],MATCH(Table1[[#This Row],[Key_Year_Week_Brand]],Table35[[#All],[Key_Year_Month_Brand]],0),MATCH(Table1[[#This Row],[DC_name_Xref]],Table35[#Headers],0)),0)</f>
        <v>0</v>
      </c>
    </row>
    <row r="1760" spans="1:15" x14ac:dyDescent="0.3">
      <c r="A1760" s="19" t="e">
        <f>Table1[[#This Row],[Year_Week]]&amp;"-"&amp;Table1[[#This Row],[DC_name_Xref]]</f>
        <v>#N/A</v>
      </c>
      <c r="B1760" s="19" t="str">
        <f>Table1[[#This Row],[Fiscal_Year]]*100+Table1[[#This Row],[Fiscal_Week]] &amp; "-" &amp;Table1[[#This Row],[BRAND]]</f>
        <v>0-</v>
      </c>
      <c r="C1760" s="19" t="str">
        <f>Table1[[#This Row],[Fiscal_Year]]&amp;"-"&amp;Table1[[#This Row],[BRAND]]</f>
        <v>-</v>
      </c>
      <c r="J1760" t="e">
        <f>VLOOKUP(H1760,DC_Xref!A:B,2,FALSE)</f>
        <v>#N/A</v>
      </c>
      <c r="K1760">
        <f t="shared" si="27"/>
        <v>0</v>
      </c>
      <c r="L17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0" s="3">
        <f>IFERROR(INDEX(Table3[#All],MATCH(Table1[[#This Row],[Key_Year_Week_Brand]],Table3[[#All],[Key_Year_Week_Brand]],0),MATCH(Table1[[#This Row],[DC_name_Xref]],Table3[#Headers],0)),0)</f>
        <v>0</v>
      </c>
      <c r="O1760" s="19">
        <f>IFERROR(INDEX(Table35[#All],MATCH(Table1[[#This Row],[Key_Year_Week_Brand]],Table35[[#All],[Key_Year_Month_Brand]],0),MATCH(Table1[[#This Row],[DC_name_Xref]],Table35[#Headers],0)),0)</f>
        <v>0</v>
      </c>
    </row>
    <row r="1761" spans="1:15" x14ac:dyDescent="0.3">
      <c r="A1761" s="19" t="e">
        <f>Table1[[#This Row],[Year_Week]]&amp;"-"&amp;Table1[[#This Row],[DC_name_Xref]]</f>
        <v>#N/A</v>
      </c>
      <c r="B1761" s="19" t="str">
        <f>Table1[[#This Row],[Fiscal_Year]]*100+Table1[[#This Row],[Fiscal_Week]] &amp; "-" &amp;Table1[[#This Row],[BRAND]]</f>
        <v>0-</v>
      </c>
      <c r="C1761" s="19" t="str">
        <f>Table1[[#This Row],[Fiscal_Year]]&amp;"-"&amp;Table1[[#This Row],[BRAND]]</f>
        <v>-</v>
      </c>
      <c r="J1761" t="e">
        <f>VLOOKUP(H1761,DC_Xref!A:B,2,FALSE)</f>
        <v>#N/A</v>
      </c>
      <c r="K1761">
        <f t="shared" si="27"/>
        <v>0</v>
      </c>
      <c r="L17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1" s="3">
        <f>IFERROR(INDEX(Table3[#All],MATCH(Table1[[#This Row],[Key_Year_Week_Brand]],Table3[[#All],[Key_Year_Week_Brand]],0),MATCH(Table1[[#This Row],[DC_name_Xref]],Table3[#Headers],0)),0)</f>
        <v>0</v>
      </c>
      <c r="O1761" s="19">
        <f>IFERROR(INDEX(Table35[#All],MATCH(Table1[[#This Row],[Key_Year_Week_Brand]],Table35[[#All],[Key_Year_Month_Brand]],0),MATCH(Table1[[#This Row],[DC_name_Xref]],Table35[#Headers],0)),0)</f>
        <v>0</v>
      </c>
    </row>
    <row r="1762" spans="1:15" x14ac:dyDescent="0.3">
      <c r="A1762" s="19" t="e">
        <f>Table1[[#This Row],[Year_Week]]&amp;"-"&amp;Table1[[#This Row],[DC_name_Xref]]</f>
        <v>#N/A</v>
      </c>
      <c r="B1762" s="19" t="str">
        <f>Table1[[#This Row],[Fiscal_Year]]*100+Table1[[#This Row],[Fiscal_Week]] &amp; "-" &amp;Table1[[#This Row],[BRAND]]</f>
        <v>0-</v>
      </c>
      <c r="C1762" s="19" t="str">
        <f>Table1[[#This Row],[Fiscal_Year]]&amp;"-"&amp;Table1[[#This Row],[BRAND]]</f>
        <v>-</v>
      </c>
      <c r="J1762" t="e">
        <f>VLOOKUP(H1762,DC_Xref!A:B,2,FALSE)</f>
        <v>#N/A</v>
      </c>
      <c r="K1762">
        <f t="shared" si="27"/>
        <v>0</v>
      </c>
      <c r="L17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2" s="3">
        <f>IFERROR(INDEX(Table3[#All],MATCH(Table1[[#This Row],[Key_Year_Week_Brand]],Table3[[#All],[Key_Year_Week_Brand]],0),MATCH(Table1[[#This Row],[DC_name_Xref]],Table3[#Headers],0)),0)</f>
        <v>0</v>
      </c>
      <c r="O1762" s="19">
        <f>IFERROR(INDEX(Table35[#All],MATCH(Table1[[#This Row],[Key_Year_Week_Brand]],Table35[[#All],[Key_Year_Month_Brand]],0),MATCH(Table1[[#This Row],[DC_name_Xref]],Table35[#Headers],0)),0)</f>
        <v>0</v>
      </c>
    </row>
    <row r="1763" spans="1:15" x14ac:dyDescent="0.3">
      <c r="A1763" s="19" t="e">
        <f>Table1[[#This Row],[Year_Week]]&amp;"-"&amp;Table1[[#This Row],[DC_name_Xref]]</f>
        <v>#N/A</v>
      </c>
      <c r="B1763" s="19" t="str">
        <f>Table1[[#This Row],[Fiscal_Year]]*100+Table1[[#This Row],[Fiscal_Week]] &amp; "-" &amp;Table1[[#This Row],[BRAND]]</f>
        <v>0-</v>
      </c>
      <c r="C1763" s="19" t="str">
        <f>Table1[[#This Row],[Fiscal_Year]]&amp;"-"&amp;Table1[[#This Row],[BRAND]]</f>
        <v>-</v>
      </c>
      <c r="J1763" t="e">
        <f>VLOOKUP(H1763,DC_Xref!A:B,2,FALSE)</f>
        <v>#N/A</v>
      </c>
      <c r="K1763">
        <f t="shared" si="27"/>
        <v>0</v>
      </c>
      <c r="L17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3" s="3">
        <f>IFERROR(INDEX(Table3[#All],MATCH(Table1[[#This Row],[Key_Year_Week_Brand]],Table3[[#All],[Key_Year_Week_Brand]],0),MATCH(Table1[[#This Row],[DC_name_Xref]],Table3[#Headers],0)),0)</f>
        <v>0</v>
      </c>
      <c r="O1763" s="19">
        <f>IFERROR(INDEX(Table35[#All],MATCH(Table1[[#This Row],[Key_Year_Week_Brand]],Table35[[#All],[Key_Year_Month_Brand]],0),MATCH(Table1[[#This Row],[DC_name_Xref]],Table35[#Headers],0)),0)</f>
        <v>0</v>
      </c>
    </row>
    <row r="1764" spans="1:15" x14ac:dyDescent="0.3">
      <c r="A1764" s="19" t="e">
        <f>Table1[[#This Row],[Year_Week]]&amp;"-"&amp;Table1[[#This Row],[DC_name_Xref]]</f>
        <v>#N/A</v>
      </c>
      <c r="B1764" s="19" t="str">
        <f>Table1[[#This Row],[Fiscal_Year]]*100+Table1[[#This Row],[Fiscal_Week]] &amp; "-" &amp;Table1[[#This Row],[BRAND]]</f>
        <v>0-</v>
      </c>
      <c r="C1764" s="19" t="str">
        <f>Table1[[#This Row],[Fiscal_Year]]&amp;"-"&amp;Table1[[#This Row],[BRAND]]</f>
        <v>-</v>
      </c>
      <c r="J1764" t="e">
        <f>VLOOKUP(H1764,DC_Xref!A:B,2,FALSE)</f>
        <v>#N/A</v>
      </c>
      <c r="K1764">
        <f t="shared" si="27"/>
        <v>0</v>
      </c>
      <c r="L17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4" s="3">
        <f>IFERROR(INDEX(Table3[#All],MATCH(Table1[[#This Row],[Key_Year_Week_Brand]],Table3[[#All],[Key_Year_Week_Brand]],0),MATCH(Table1[[#This Row],[DC_name_Xref]],Table3[#Headers],0)),0)</f>
        <v>0</v>
      </c>
      <c r="O1764" s="19">
        <f>IFERROR(INDEX(Table35[#All],MATCH(Table1[[#This Row],[Key_Year_Week_Brand]],Table35[[#All],[Key_Year_Month_Brand]],0),MATCH(Table1[[#This Row],[DC_name_Xref]],Table35[#Headers],0)),0)</f>
        <v>0</v>
      </c>
    </row>
    <row r="1765" spans="1:15" x14ac:dyDescent="0.3">
      <c r="A1765" s="19" t="e">
        <f>Table1[[#This Row],[Year_Week]]&amp;"-"&amp;Table1[[#This Row],[DC_name_Xref]]</f>
        <v>#N/A</v>
      </c>
      <c r="B1765" s="19" t="str">
        <f>Table1[[#This Row],[Fiscal_Year]]*100+Table1[[#This Row],[Fiscal_Week]] &amp; "-" &amp;Table1[[#This Row],[BRAND]]</f>
        <v>0-</v>
      </c>
      <c r="C1765" s="19" t="str">
        <f>Table1[[#This Row],[Fiscal_Year]]&amp;"-"&amp;Table1[[#This Row],[BRAND]]</f>
        <v>-</v>
      </c>
      <c r="J1765" t="e">
        <f>VLOOKUP(H1765,DC_Xref!A:B,2,FALSE)</f>
        <v>#N/A</v>
      </c>
      <c r="K1765">
        <f t="shared" si="27"/>
        <v>0</v>
      </c>
      <c r="L17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5" s="3">
        <f>IFERROR(INDEX(Table3[#All],MATCH(Table1[[#This Row],[Key_Year_Week_Brand]],Table3[[#All],[Key_Year_Week_Brand]],0),MATCH(Table1[[#This Row],[DC_name_Xref]],Table3[#Headers],0)),0)</f>
        <v>0</v>
      </c>
      <c r="O1765" s="19">
        <f>IFERROR(INDEX(Table35[#All],MATCH(Table1[[#This Row],[Key_Year_Week_Brand]],Table35[[#All],[Key_Year_Month_Brand]],0),MATCH(Table1[[#This Row],[DC_name_Xref]],Table35[#Headers],0)),0)</f>
        <v>0</v>
      </c>
    </row>
    <row r="1766" spans="1:15" x14ac:dyDescent="0.3">
      <c r="A1766" s="19" t="e">
        <f>Table1[[#This Row],[Year_Week]]&amp;"-"&amp;Table1[[#This Row],[DC_name_Xref]]</f>
        <v>#N/A</v>
      </c>
      <c r="B1766" s="19" t="str">
        <f>Table1[[#This Row],[Fiscal_Year]]*100+Table1[[#This Row],[Fiscal_Week]] &amp; "-" &amp;Table1[[#This Row],[BRAND]]</f>
        <v>0-</v>
      </c>
      <c r="C1766" s="19" t="str">
        <f>Table1[[#This Row],[Fiscal_Year]]&amp;"-"&amp;Table1[[#This Row],[BRAND]]</f>
        <v>-</v>
      </c>
      <c r="J1766" t="e">
        <f>VLOOKUP(H1766,DC_Xref!A:B,2,FALSE)</f>
        <v>#N/A</v>
      </c>
      <c r="K1766">
        <f t="shared" si="27"/>
        <v>0</v>
      </c>
      <c r="L17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6" s="3">
        <f>IFERROR(INDEX(Table3[#All],MATCH(Table1[[#This Row],[Key_Year_Week_Brand]],Table3[[#All],[Key_Year_Week_Brand]],0),MATCH(Table1[[#This Row],[DC_name_Xref]],Table3[#Headers],0)),0)</f>
        <v>0</v>
      </c>
      <c r="O1766" s="19">
        <f>IFERROR(INDEX(Table35[#All],MATCH(Table1[[#This Row],[Key_Year_Week_Brand]],Table35[[#All],[Key_Year_Month_Brand]],0),MATCH(Table1[[#This Row],[DC_name_Xref]],Table35[#Headers],0)),0)</f>
        <v>0</v>
      </c>
    </row>
    <row r="1767" spans="1:15" x14ac:dyDescent="0.3">
      <c r="A1767" s="19" t="e">
        <f>Table1[[#This Row],[Year_Week]]&amp;"-"&amp;Table1[[#This Row],[DC_name_Xref]]</f>
        <v>#N/A</v>
      </c>
      <c r="B1767" s="19" t="str">
        <f>Table1[[#This Row],[Fiscal_Year]]*100+Table1[[#This Row],[Fiscal_Week]] &amp; "-" &amp;Table1[[#This Row],[BRAND]]</f>
        <v>0-</v>
      </c>
      <c r="C1767" s="19" t="str">
        <f>Table1[[#This Row],[Fiscal_Year]]&amp;"-"&amp;Table1[[#This Row],[BRAND]]</f>
        <v>-</v>
      </c>
      <c r="J1767" t="e">
        <f>VLOOKUP(H1767,DC_Xref!A:B,2,FALSE)</f>
        <v>#N/A</v>
      </c>
      <c r="K1767">
        <f t="shared" si="27"/>
        <v>0</v>
      </c>
      <c r="L17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7" s="3">
        <f>IFERROR(INDEX(Table3[#All],MATCH(Table1[[#This Row],[Key_Year_Week_Brand]],Table3[[#All],[Key_Year_Week_Brand]],0),MATCH(Table1[[#This Row],[DC_name_Xref]],Table3[#Headers],0)),0)</f>
        <v>0</v>
      </c>
      <c r="O1767" s="19">
        <f>IFERROR(INDEX(Table35[#All],MATCH(Table1[[#This Row],[Key_Year_Week_Brand]],Table35[[#All],[Key_Year_Month_Brand]],0),MATCH(Table1[[#This Row],[DC_name_Xref]],Table35[#Headers],0)),0)</f>
        <v>0</v>
      </c>
    </row>
    <row r="1768" spans="1:15" x14ac:dyDescent="0.3">
      <c r="A1768" s="19" t="e">
        <f>Table1[[#This Row],[Year_Week]]&amp;"-"&amp;Table1[[#This Row],[DC_name_Xref]]</f>
        <v>#N/A</v>
      </c>
      <c r="B1768" s="19" t="str">
        <f>Table1[[#This Row],[Fiscal_Year]]*100+Table1[[#This Row],[Fiscal_Week]] &amp; "-" &amp;Table1[[#This Row],[BRAND]]</f>
        <v>0-</v>
      </c>
      <c r="C1768" s="19" t="str">
        <f>Table1[[#This Row],[Fiscal_Year]]&amp;"-"&amp;Table1[[#This Row],[BRAND]]</f>
        <v>-</v>
      </c>
      <c r="J1768" t="e">
        <f>VLOOKUP(H1768,DC_Xref!A:B,2,FALSE)</f>
        <v>#N/A</v>
      </c>
      <c r="K1768">
        <f t="shared" si="27"/>
        <v>0</v>
      </c>
      <c r="L17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8" s="3">
        <f>IFERROR(INDEX(Table3[#All],MATCH(Table1[[#This Row],[Key_Year_Week_Brand]],Table3[[#All],[Key_Year_Week_Brand]],0),MATCH(Table1[[#This Row],[DC_name_Xref]],Table3[#Headers],0)),0)</f>
        <v>0</v>
      </c>
      <c r="O1768" s="19">
        <f>IFERROR(INDEX(Table35[#All],MATCH(Table1[[#This Row],[Key_Year_Week_Brand]],Table35[[#All],[Key_Year_Month_Brand]],0),MATCH(Table1[[#This Row],[DC_name_Xref]],Table35[#Headers],0)),0)</f>
        <v>0</v>
      </c>
    </row>
    <row r="1769" spans="1:15" x14ac:dyDescent="0.3">
      <c r="A1769" s="19" t="e">
        <f>Table1[[#This Row],[Year_Week]]&amp;"-"&amp;Table1[[#This Row],[DC_name_Xref]]</f>
        <v>#N/A</v>
      </c>
      <c r="B1769" s="19" t="str">
        <f>Table1[[#This Row],[Fiscal_Year]]*100+Table1[[#This Row],[Fiscal_Week]] &amp; "-" &amp;Table1[[#This Row],[BRAND]]</f>
        <v>0-</v>
      </c>
      <c r="C1769" s="19" t="str">
        <f>Table1[[#This Row],[Fiscal_Year]]&amp;"-"&amp;Table1[[#This Row],[BRAND]]</f>
        <v>-</v>
      </c>
      <c r="J1769" t="e">
        <f>VLOOKUP(H1769,DC_Xref!A:B,2,FALSE)</f>
        <v>#N/A</v>
      </c>
      <c r="K1769">
        <f t="shared" si="27"/>
        <v>0</v>
      </c>
      <c r="L17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69" s="3">
        <f>IFERROR(INDEX(Table3[#All],MATCH(Table1[[#This Row],[Key_Year_Week_Brand]],Table3[[#All],[Key_Year_Week_Brand]],0),MATCH(Table1[[#This Row],[DC_name_Xref]],Table3[#Headers],0)),0)</f>
        <v>0</v>
      </c>
      <c r="O1769" s="19">
        <f>IFERROR(INDEX(Table35[#All],MATCH(Table1[[#This Row],[Key_Year_Week_Brand]],Table35[[#All],[Key_Year_Month_Brand]],0),MATCH(Table1[[#This Row],[DC_name_Xref]],Table35[#Headers],0)),0)</f>
        <v>0</v>
      </c>
    </row>
    <row r="1770" spans="1:15" x14ac:dyDescent="0.3">
      <c r="A1770" s="19" t="e">
        <f>Table1[[#This Row],[Year_Week]]&amp;"-"&amp;Table1[[#This Row],[DC_name_Xref]]</f>
        <v>#N/A</v>
      </c>
      <c r="B1770" s="19" t="str">
        <f>Table1[[#This Row],[Fiscal_Year]]*100+Table1[[#This Row],[Fiscal_Week]] &amp; "-" &amp;Table1[[#This Row],[BRAND]]</f>
        <v>0-</v>
      </c>
      <c r="C1770" s="19" t="str">
        <f>Table1[[#This Row],[Fiscal_Year]]&amp;"-"&amp;Table1[[#This Row],[BRAND]]</f>
        <v>-</v>
      </c>
      <c r="J1770" t="e">
        <f>VLOOKUP(H1770,DC_Xref!A:B,2,FALSE)</f>
        <v>#N/A</v>
      </c>
      <c r="K1770">
        <f t="shared" si="27"/>
        <v>0</v>
      </c>
      <c r="L17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0" s="3">
        <f>IFERROR(INDEX(Table3[#All],MATCH(Table1[[#This Row],[Key_Year_Week_Brand]],Table3[[#All],[Key_Year_Week_Brand]],0),MATCH(Table1[[#This Row],[DC_name_Xref]],Table3[#Headers],0)),0)</f>
        <v>0</v>
      </c>
      <c r="O1770" s="19">
        <f>IFERROR(INDEX(Table35[#All],MATCH(Table1[[#This Row],[Key_Year_Week_Brand]],Table35[[#All],[Key_Year_Month_Brand]],0),MATCH(Table1[[#This Row],[DC_name_Xref]],Table35[#Headers],0)),0)</f>
        <v>0</v>
      </c>
    </row>
    <row r="1771" spans="1:15" x14ac:dyDescent="0.3">
      <c r="A1771" s="19" t="e">
        <f>Table1[[#This Row],[Year_Week]]&amp;"-"&amp;Table1[[#This Row],[DC_name_Xref]]</f>
        <v>#N/A</v>
      </c>
      <c r="B1771" s="19" t="str">
        <f>Table1[[#This Row],[Fiscal_Year]]*100+Table1[[#This Row],[Fiscal_Week]] &amp; "-" &amp;Table1[[#This Row],[BRAND]]</f>
        <v>0-</v>
      </c>
      <c r="C1771" s="19" t="str">
        <f>Table1[[#This Row],[Fiscal_Year]]&amp;"-"&amp;Table1[[#This Row],[BRAND]]</f>
        <v>-</v>
      </c>
      <c r="J1771" t="e">
        <f>VLOOKUP(H1771,DC_Xref!A:B,2,FALSE)</f>
        <v>#N/A</v>
      </c>
      <c r="K1771">
        <f t="shared" si="27"/>
        <v>0</v>
      </c>
      <c r="L17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1" s="3">
        <f>IFERROR(INDEX(Table3[#All],MATCH(Table1[[#This Row],[Key_Year_Week_Brand]],Table3[[#All],[Key_Year_Week_Brand]],0),MATCH(Table1[[#This Row],[DC_name_Xref]],Table3[#Headers],0)),0)</f>
        <v>0</v>
      </c>
      <c r="O1771" s="19">
        <f>IFERROR(INDEX(Table35[#All],MATCH(Table1[[#This Row],[Key_Year_Week_Brand]],Table35[[#All],[Key_Year_Month_Brand]],0),MATCH(Table1[[#This Row],[DC_name_Xref]],Table35[#Headers],0)),0)</f>
        <v>0</v>
      </c>
    </row>
    <row r="1772" spans="1:15" x14ac:dyDescent="0.3">
      <c r="A1772" s="19" t="e">
        <f>Table1[[#This Row],[Year_Week]]&amp;"-"&amp;Table1[[#This Row],[DC_name_Xref]]</f>
        <v>#N/A</v>
      </c>
      <c r="B1772" s="19" t="str">
        <f>Table1[[#This Row],[Fiscal_Year]]*100+Table1[[#This Row],[Fiscal_Week]] &amp; "-" &amp;Table1[[#This Row],[BRAND]]</f>
        <v>0-</v>
      </c>
      <c r="C1772" s="19" t="str">
        <f>Table1[[#This Row],[Fiscal_Year]]&amp;"-"&amp;Table1[[#This Row],[BRAND]]</f>
        <v>-</v>
      </c>
      <c r="J1772" t="e">
        <f>VLOOKUP(H1772,DC_Xref!A:B,2,FALSE)</f>
        <v>#N/A</v>
      </c>
      <c r="K1772">
        <f t="shared" si="27"/>
        <v>0</v>
      </c>
      <c r="L17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2" s="3">
        <f>IFERROR(INDEX(Table3[#All],MATCH(Table1[[#This Row],[Key_Year_Week_Brand]],Table3[[#All],[Key_Year_Week_Brand]],0),MATCH(Table1[[#This Row],[DC_name_Xref]],Table3[#Headers],0)),0)</f>
        <v>0</v>
      </c>
      <c r="O1772" s="19">
        <f>IFERROR(INDEX(Table35[#All],MATCH(Table1[[#This Row],[Key_Year_Week_Brand]],Table35[[#All],[Key_Year_Month_Brand]],0),MATCH(Table1[[#This Row],[DC_name_Xref]],Table35[#Headers],0)),0)</f>
        <v>0</v>
      </c>
    </row>
    <row r="1773" spans="1:15" x14ac:dyDescent="0.3">
      <c r="A1773" s="19" t="e">
        <f>Table1[[#This Row],[Year_Week]]&amp;"-"&amp;Table1[[#This Row],[DC_name_Xref]]</f>
        <v>#N/A</v>
      </c>
      <c r="B1773" s="19" t="str">
        <f>Table1[[#This Row],[Fiscal_Year]]*100+Table1[[#This Row],[Fiscal_Week]] &amp; "-" &amp;Table1[[#This Row],[BRAND]]</f>
        <v>0-</v>
      </c>
      <c r="C1773" s="19" t="str">
        <f>Table1[[#This Row],[Fiscal_Year]]&amp;"-"&amp;Table1[[#This Row],[BRAND]]</f>
        <v>-</v>
      </c>
      <c r="J1773" t="e">
        <f>VLOOKUP(H1773,DC_Xref!A:B,2,FALSE)</f>
        <v>#N/A</v>
      </c>
      <c r="K1773">
        <f t="shared" si="27"/>
        <v>0</v>
      </c>
      <c r="L17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3" s="3">
        <f>IFERROR(INDEX(Table3[#All],MATCH(Table1[[#This Row],[Key_Year_Week_Brand]],Table3[[#All],[Key_Year_Week_Brand]],0),MATCH(Table1[[#This Row],[DC_name_Xref]],Table3[#Headers],0)),0)</f>
        <v>0</v>
      </c>
      <c r="O1773" s="19">
        <f>IFERROR(INDEX(Table35[#All],MATCH(Table1[[#This Row],[Key_Year_Week_Brand]],Table35[[#All],[Key_Year_Month_Brand]],0),MATCH(Table1[[#This Row],[DC_name_Xref]],Table35[#Headers],0)),0)</f>
        <v>0</v>
      </c>
    </row>
    <row r="1774" spans="1:15" x14ac:dyDescent="0.3">
      <c r="A1774" s="19" t="e">
        <f>Table1[[#This Row],[Year_Week]]&amp;"-"&amp;Table1[[#This Row],[DC_name_Xref]]</f>
        <v>#N/A</v>
      </c>
      <c r="B1774" s="19" t="str">
        <f>Table1[[#This Row],[Fiscal_Year]]*100+Table1[[#This Row],[Fiscal_Week]] &amp; "-" &amp;Table1[[#This Row],[BRAND]]</f>
        <v>0-</v>
      </c>
      <c r="C1774" s="19" t="str">
        <f>Table1[[#This Row],[Fiscal_Year]]&amp;"-"&amp;Table1[[#This Row],[BRAND]]</f>
        <v>-</v>
      </c>
      <c r="J1774" t="e">
        <f>VLOOKUP(H1774,DC_Xref!A:B,2,FALSE)</f>
        <v>#N/A</v>
      </c>
      <c r="K1774">
        <f t="shared" si="27"/>
        <v>0</v>
      </c>
      <c r="L17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4" s="3">
        <f>IFERROR(INDEX(Table3[#All],MATCH(Table1[[#This Row],[Key_Year_Week_Brand]],Table3[[#All],[Key_Year_Week_Brand]],0),MATCH(Table1[[#This Row],[DC_name_Xref]],Table3[#Headers],0)),0)</f>
        <v>0</v>
      </c>
      <c r="O1774" s="19">
        <f>IFERROR(INDEX(Table35[#All],MATCH(Table1[[#This Row],[Key_Year_Week_Brand]],Table35[[#All],[Key_Year_Month_Brand]],0),MATCH(Table1[[#This Row],[DC_name_Xref]],Table35[#Headers],0)),0)</f>
        <v>0</v>
      </c>
    </row>
    <row r="1775" spans="1:15" x14ac:dyDescent="0.3">
      <c r="A1775" s="19" t="e">
        <f>Table1[[#This Row],[Year_Week]]&amp;"-"&amp;Table1[[#This Row],[DC_name_Xref]]</f>
        <v>#N/A</v>
      </c>
      <c r="B1775" s="19" t="str">
        <f>Table1[[#This Row],[Fiscal_Year]]*100+Table1[[#This Row],[Fiscal_Week]] &amp; "-" &amp;Table1[[#This Row],[BRAND]]</f>
        <v>0-</v>
      </c>
      <c r="C1775" s="19" t="str">
        <f>Table1[[#This Row],[Fiscal_Year]]&amp;"-"&amp;Table1[[#This Row],[BRAND]]</f>
        <v>-</v>
      </c>
      <c r="J1775" t="e">
        <f>VLOOKUP(H1775,DC_Xref!A:B,2,FALSE)</f>
        <v>#N/A</v>
      </c>
      <c r="K1775">
        <f t="shared" si="27"/>
        <v>0</v>
      </c>
      <c r="L17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5" s="3">
        <f>IFERROR(INDEX(Table3[#All],MATCH(Table1[[#This Row],[Key_Year_Week_Brand]],Table3[[#All],[Key_Year_Week_Brand]],0),MATCH(Table1[[#This Row],[DC_name_Xref]],Table3[#Headers],0)),0)</f>
        <v>0</v>
      </c>
      <c r="O1775" s="19">
        <f>IFERROR(INDEX(Table35[#All],MATCH(Table1[[#This Row],[Key_Year_Week_Brand]],Table35[[#All],[Key_Year_Month_Brand]],0),MATCH(Table1[[#This Row],[DC_name_Xref]],Table35[#Headers],0)),0)</f>
        <v>0</v>
      </c>
    </row>
    <row r="1776" spans="1:15" x14ac:dyDescent="0.3">
      <c r="A1776" s="19" t="e">
        <f>Table1[[#This Row],[Year_Week]]&amp;"-"&amp;Table1[[#This Row],[DC_name_Xref]]</f>
        <v>#N/A</v>
      </c>
      <c r="B1776" s="19" t="str">
        <f>Table1[[#This Row],[Fiscal_Year]]*100+Table1[[#This Row],[Fiscal_Week]] &amp; "-" &amp;Table1[[#This Row],[BRAND]]</f>
        <v>0-</v>
      </c>
      <c r="C1776" s="19" t="str">
        <f>Table1[[#This Row],[Fiscal_Year]]&amp;"-"&amp;Table1[[#This Row],[BRAND]]</f>
        <v>-</v>
      </c>
      <c r="J1776" t="e">
        <f>VLOOKUP(H1776,DC_Xref!A:B,2,FALSE)</f>
        <v>#N/A</v>
      </c>
      <c r="K1776">
        <f t="shared" si="27"/>
        <v>0</v>
      </c>
      <c r="L17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6" s="3">
        <f>IFERROR(INDEX(Table3[#All],MATCH(Table1[[#This Row],[Key_Year_Week_Brand]],Table3[[#All],[Key_Year_Week_Brand]],0),MATCH(Table1[[#This Row],[DC_name_Xref]],Table3[#Headers],0)),0)</f>
        <v>0</v>
      </c>
      <c r="O1776" s="19">
        <f>IFERROR(INDEX(Table35[#All],MATCH(Table1[[#This Row],[Key_Year_Week_Brand]],Table35[[#All],[Key_Year_Month_Brand]],0),MATCH(Table1[[#This Row],[DC_name_Xref]],Table35[#Headers],0)),0)</f>
        <v>0</v>
      </c>
    </row>
    <row r="1777" spans="1:15" x14ac:dyDescent="0.3">
      <c r="A1777" s="19" t="e">
        <f>Table1[[#This Row],[Year_Week]]&amp;"-"&amp;Table1[[#This Row],[DC_name_Xref]]</f>
        <v>#N/A</v>
      </c>
      <c r="B1777" s="19" t="str">
        <f>Table1[[#This Row],[Fiscal_Year]]*100+Table1[[#This Row],[Fiscal_Week]] &amp; "-" &amp;Table1[[#This Row],[BRAND]]</f>
        <v>0-</v>
      </c>
      <c r="C1777" s="19" t="str">
        <f>Table1[[#This Row],[Fiscal_Year]]&amp;"-"&amp;Table1[[#This Row],[BRAND]]</f>
        <v>-</v>
      </c>
      <c r="J1777" t="e">
        <f>VLOOKUP(H1777,DC_Xref!A:B,2,FALSE)</f>
        <v>#N/A</v>
      </c>
      <c r="K1777">
        <f t="shared" si="27"/>
        <v>0</v>
      </c>
      <c r="L17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7" s="3">
        <f>IFERROR(INDEX(Table3[#All],MATCH(Table1[[#This Row],[Key_Year_Week_Brand]],Table3[[#All],[Key_Year_Week_Brand]],0),MATCH(Table1[[#This Row],[DC_name_Xref]],Table3[#Headers],0)),0)</f>
        <v>0</v>
      </c>
      <c r="O1777" s="19">
        <f>IFERROR(INDEX(Table35[#All],MATCH(Table1[[#This Row],[Key_Year_Week_Brand]],Table35[[#All],[Key_Year_Month_Brand]],0),MATCH(Table1[[#This Row],[DC_name_Xref]],Table35[#Headers],0)),0)</f>
        <v>0</v>
      </c>
    </row>
    <row r="1778" spans="1:15" x14ac:dyDescent="0.3">
      <c r="A1778" s="19" t="e">
        <f>Table1[[#This Row],[Year_Week]]&amp;"-"&amp;Table1[[#This Row],[DC_name_Xref]]</f>
        <v>#N/A</v>
      </c>
      <c r="B1778" s="19" t="str">
        <f>Table1[[#This Row],[Fiscal_Year]]*100+Table1[[#This Row],[Fiscal_Week]] &amp; "-" &amp;Table1[[#This Row],[BRAND]]</f>
        <v>0-</v>
      </c>
      <c r="C1778" s="19" t="str">
        <f>Table1[[#This Row],[Fiscal_Year]]&amp;"-"&amp;Table1[[#This Row],[BRAND]]</f>
        <v>-</v>
      </c>
      <c r="J1778" t="e">
        <f>VLOOKUP(H1778,DC_Xref!A:B,2,FALSE)</f>
        <v>#N/A</v>
      </c>
      <c r="K1778">
        <f t="shared" si="27"/>
        <v>0</v>
      </c>
      <c r="L17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8" s="3">
        <f>IFERROR(INDEX(Table3[#All],MATCH(Table1[[#This Row],[Key_Year_Week_Brand]],Table3[[#All],[Key_Year_Week_Brand]],0),MATCH(Table1[[#This Row],[DC_name_Xref]],Table3[#Headers],0)),0)</f>
        <v>0</v>
      </c>
      <c r="O1778" s="19">
        <f>IFERROR(INDEX(Table35[#All],MATCH(Table1[[#This Row],[Key_Year_Week_Brand]],Table35[[#All],[Key_Year_Month_Brand]],0),MATCH(Table1[[#This Row],[DC_name_Xref]],Table35[#Headers],0)),0)</f>
        <v>0</v>
      </c>
    </row>
    <row r="1779" spans="1:15" x14ac:dyDescent="0.3">
      <c r="A1779" s="19" t="e">
        <f>Table1[[#This Row],[Year_Week]]&amp;"-"&amp;Table1[[#This Row],[DC_name_Xref]]</f>
        <v>#N/A</v>
      </c>
      <c r="B1779" s="19" t="str">
        <f>Table1[[#This Row],[Fiscal_Year]]*100+Table1[[#This Row],[Fiscal_Week]] &amp; "-" &amp;Table1[[#This Row],[BRAND]]</f>
        <v>0-</v>
      </c>
      <c r="C1779" s="19" t="str">
        <f>Table1[[#This Row],[Fiscal_Year]]&amp;"-"&amp;Table1[[#This Row],[BRAND]]</f>
        <v>-</v>
      </c>
      <c r="J1779" t="e">
        <f>VLOOKUP(H1779,DC_Xref!A:B,2,FALSE)</f>
        <v>#N/A</v>
      </c>
      <c r="K1779">
        <f t="shared" si="27"/>
        <v>0</v>
      </c>
      <c r="L17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79" s="3">
        <f>IFERROR(INDEX(Table3[#All],MATCH(Table1[[#This Row],[Key_Year_Week_Brand]],Table3[[#All],[Key_Year_Week_Brand]],0),MATCH(Table1[[#This Row],[DC_name_Xref]],Table3[#Headers],0)),0)</f>
        <v>0</v>
      </c>
      <c r="O1779" s="19">
        <f>IFERROR(INDEX(Table35[#All],MATCH(Table1[[#This Row],[Key_Year_Week_Brand]],Table35[[#All],[Key_Year_Month_Brand]],0),MATCH(Table1[[#This Row],[DC_name_Xref]],Table35[#Headers],0)),0)</f>
        <v>0</v>
      </c>
    </row>
    <row r="1780" spans="1:15" x14ac:dyDescent="0.3">
      <c r="A1780" s="19" t="e">
        <f>Table1[[#This Row],[Year_Week]]&amp;"-"&amp;Table1[[#This Row],[DC_name_Xref]]</f>
        <v>#N/A</v>
      </c>
      <c r="B1780" s="19" t="str">
        <f>Table1[[#This Row],[Fiscal_Year]]*100+Table1[[#This Row],[Fiscal_Week]] &amp; "-" &amp;Table1[[#This Row],[BRAND]]</f>
        <v>0-</v>
      </c>
      <c r="C1780" s="19" t="str">
        <f>Table1[[#This Row],[Fiscal_Year]]&amp;"-"&amp;Table1[[#This Row],[BRAND]]</f>
        <v>-</v>
      </c>
      <c r="J1780" t="e">
        <f>VLOOKUP(H1780,DC_Xref!A:B,2,FALSE)</f>
        <v>#N/A</v>
      </c>
      <c r="K1780">
        <f t="shared" si="27"/>
        <v>0</v>
      </c>
      <c r="L17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0" s="3">
        <f>IFERROR(INDEX(Table3[#All],MATCH(Table1[[#This Row],[Key_Year_Week_Brand]],Table3[[#All],[Key_Year_Week_Brand]],0),MATCH(Table1[[#This Row],[DC_name_Xref]],Table3[#Headers],0)),0)</f>
        <v>0</v>
      </c>
      <c r="O1780" s="19">
        <f>IFERROR(INDEX(Table35[#All],MATCH(Table1[[#This Row],[Key_Year_Week_Brand]],Table35[[#All],[Key_Year_Month_Brand]],0),MATCH(Table1[[#This Row],[DC_name_Xref]],Table35[#Headers],0)),0)</f>
        <v>0</v>
      </c>
    </row>
    <row r="1781" spans="1:15" x14ac:dyDescent="0.3">
      <c r="A1781" s="19" t="e">
        <f>Table1[[#This Row],[Year_Week]]&amp;"-"&amp;Table1[[#This Row],[DC_name_Xref]]</f>
        <v>#N/A</v>
      </c>
      <c r="B1781" s="19" t="str">
        <f>Table1[[#This Row],[Fiscal_Year]]*100+Table1[[#This Row],[Fiscal_Week]] &amp; "-" &amp;Table1[[#This Row],[BRAND]]</f>
        <v>0-</v>
      </c>
      <c r="C1781" s="19" t="str">
        <f>Table1[[#This Row],[Fiscal_Year]]&amp;"-"&amp;Table1[[#This Row],[BRAND]]</f>
        <v>-</v>
      </c>
      <c r="J1781" t="e">
        <f>VLOOKUP(H1781,DC_Xref!A:B,2,FALSE)</f>
        <v>#N/A</v>
      </c>
      <c r="K1781">
        <f t="shared" si="27"/>
        <v>0</v>
      </c>
      <c r="L17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1" s="3">
        <f>IFERROR(INDEX(Table3[#All],MATCH(Table1[[#This Row],[Key_Year_Week_Brand]],Table3[[#All],[Key_Year_Week_Brand]],0),MATCH(Table1[[#This Row],[DC_name_Xref]],Table3[#Headers],0)),0)</f>
        <v>0</v>
      </c>
      <c r="O1781" s="19">
        <f>IFERROR(INDEX(Table35[#All],MATCH(Table1[[#This Row],[Key_Year_Week_Brand]],Table35[[#All],[Key_Year_Month_Brand]],0),MATCH(Table1[[#This Row],[DC_name_Xref]],Table35[#Headers],0)),0)</f>
        <v>0</v>
      </c>
    </row>
    <row r="1782" spans="1:15" x14ac:dyDescent="0.3">
      <c r="A1782" s="19" t="e">
        <f>Table1[[#This Row],[Year_Week]]&amp;"-"&amp;Table1[[#This Row],[DC_name_Xref]]</f>
        <v>#N/A</v>
      </c>
      <c r="B1782" s="19" t="str">
        <f>Table1[[#This Row],[Fiscal_Year]]*100+Table1[[#This Row],[Fiscal_Week]] &amp; "-" &amp;Table1[[#This Row],[BRAND]]</f>
        <v>0-</v>
      </c>
      <c r="C1782" s="19" t="str">
        <f>Table1[[#This Row],[Fiscal_Year]]&amp;"-"&amp;Table1[[#This Row],[BRAND]]</f>
        <v>-</v>
      </c>
      <c r="J1782" t="e">
        <f>VLOOKUP(H1782,DC_Xref!A:B,2,FALSE)</f>
        <v>#N/A</v>
      </c>
      <c r="K1782">
        <f t="shared" si="27"/>
        <v>0</v>
      </c>
      <c r="L17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2" s="3">
        <f>IFERROR(INDEX(Table3[#All],MATCH(Table1[[#This Row],[Key_Year_Week_Brand]],Table3[[#All],[Key_Year_Week_Brand]],0),MATCH(Table1[[#This Row],[DC_name_Xref]],Table3[#Headers],0)),0)</f>
        <v>0</v>
      </c>
      <c r="O1782" s="19">
        <f>IFERROR(INDEX(Table35[#All],MATCH(Table1[[#This Row],[Key_Year_Week_Brand]],Table35[[#All],[Key_Year_Month_Brand]],0),MATCH(Table1[[#This Row],[DC_name_Xref]],Table35[#Headers],0)),0)</f>
        <v>0</v>
      </c>
    </row>
    <row r="1783" spans="1:15" x14ac:dyDescent="0.3">
      <c r="A1783" s="19" t="e">
        <f>Table1[[#This Row],[Year_Week]]&amp;"-"&amp;Table1[[#This Row],[DC_name_Xref]]</f>
        <v>#N/A</v>
      </c>
      <c r="B1783" s="19" t="str">
        <f>Table1[[#This Row],[Fiscal_Year]]*100+Table1[[#This Row],[Fiscal_Week]] &amp; "-" &amp;Table1[[#This Row],[BRAND]]</f>
        <v>0-</v>
      </c>
      <c r="C1783" s="19" t="str">
        <f>Table1[[#This Row],[Fiscal_Year]]&amp;"-"&amp;Table1[[#This Row],[BRAND]]</f>
        <v>-</v>
      </c>
      <c r="J1783" t="e">
        <f>VLOOKUP(H1783,DC_Xref!A:B,2,FALSE)</f>
        <v>#N/A</v>
      </c>
      <c r="K1783">
        <f t="shared" si="27"/>
        <v>0</v>
      </c>
      <c r="L17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3" s="3">
        <f>IFERROR(INDEX(Table3[#All],MATCH(Table1[[#This Row],[Key_Year_Week_Brand]],Table3[[#All],[Key_Year_Week_Brand]],0),MATCH(Table1[[#This Row],[DC_name_Xref]],Table3[#Headers],0)),0)</f>
        <v>0</v>
      </c>
      <c r="O1783" s="19">
        <f>IFERROR(INDEX(Table35[#All],MATCH(Table1[[#This Row],[Key_Year_Week_Brand]],Table35[[#All],[Key_Year_Month_Brand]],0),MATCH(Table1[[#This Row],[DC_name_Xref]],Table35[#Headers],0)),0)</f>
        <v>0</v>
      </c>
    </row>
    <row r="1784" spans="1:15" x14ac:dyDescent="0.3">
      <c r="A1784" s="19" t="e">
        <f>Table1[[#This Row],[Year_Week]]&amp;"-"&amp;Table1[[#This Row],[DC_name_Xref]]</f>
        <v>#N/A</v>
      </c>
      <c r="B1784" s="19" t="str">
        <f>Table1[[#This Row],[Fiscal_Year]]*100+Table1[[#This Row],[Fiscal_Week]] &amp; "-" &amp;Table1[[#This Row],[BRAND]]</f>
        <v>0-</v>
      </c>
      <c r="C1784" s="19" t="str">
        <f>Table1[[#This Row],[Fiscal_Year]]&amp;"-"&amp;Table1[[#This Row],[BRAND]]</f>
        <v>-</v>
      </c>
      <c r="J1784" t="e">
        <f>VLOOKUP(H1784,DC_Xref!A:B,2,FALSE)</f>
        <v>#N/A</v>
      </c>
      <c r="K1784">
        <f t="shared" si="27"/>
        <v>0</v>
      </c>
      <c r="L17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4" s="3">
        <f>IFERROR(INDEX(Table3[#All],MATCH(Table1[[#This Row],[Key_Year_Week_Brand]],Table3[[#All],[Key_Year_Week_Brand]],0),MATCH(Table1[[#This Row],[DC_name_Xref]],Table3[#Headers],0)),0)</f>
        <v>0</v>
      </c>
      <c r="O1784" s="19">
        <f>IFERROR(INDEX(Table35[#All],MATCH(Table1[[#This Row],[Key_Year_Week_Brand]],Table35[[#All],[Key_Year_Month_Brand]],0),MATCH(Table1[[#This Row],[DC_name_Xref]],Table35[#Headers],0)),0)</f>
        <v>0</v>
      </c>
    </row>
    <row r="1785" spans="1:15" x14ac:dyDescent="0.3">
      <c r="A1785" s="19" t="e">
        <f>Table1[[#This Row],[Year_Week]]&amp;"-"&amp;Table1[[#This Row],[DC_name_Xref]]</f>
        <v>#N/A</v>
      </c>
      <c r="B1785" s="19" t="str">
        <f>Table1[[#This Row],[Fiscal_Year]]*100+Table1[[#This Row],[Fiscal_Week]] &amp; "-" &amp;Table1[[#This Row],[BRAND]]</f>
        <v>0-</v>
      </c>
      <c r="C1785" s="19" t="str">
        <f>Table1[[#This Row],[Fiscal_Year]]&amp;"-"&amp;Table1[[#This Row],[BRAND]]</f>
        <v>-</v>
      </c>
      <c r="J1785" t="e">
        <f>VLOOKUP(H1785,DC_Xref!A:B,2,FALSE)</f>
        <v>#N/A</v>
      </c>
      <c r="K1785">
        <f t="shared" si="27"/>
        <v>0</v>
      </c>
      <c r="L17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5" s="3">
        <f>IFERROR(INDEX(Table3[#All],MATCH(Table1[[#This Row],[Key_Year_Week_Brand]],Table3[[#All],[Key_Year_Week_Brand]],0),MATCH(Table1[[#This Row],[DC_name_Xref]],Table3[#Headers],0)),0)</f>
        <v>0</v>
      </c>
      <c r="O1785" s="19">
        <f>IFERROR(INDEX(Table35[#All],MATCH(Table1[[#This Row],[Key_Year_Week_Brand]],Table35[[#All],[Key_Year_Month_Brand]],0),MATCH(Table1[[#This Row],[DC_name_Xref]],Table35[#Headers],0)),0)</f>
        <v>0</v>
      </c>
    </row>
    <row r="1786" spans="1:15" x14ac:dyDescent="0.3">
      <c r="A1786" s="19" t="e">
        <f>Table1[[#This Row],[Year_Week]]&amp;"-"&amp;Table1[[#This Row],[DC_name_Xref]]</f>
        <v>#N/A</v>
      </c>
      <c r="B1786" s="19" t="str">
        <f>Table1[[#This Row],[Fiscal_Year]]*100+Table1[[#This Row],[Fiscal_Week]] &amp; "-" &amp;Table1[[#This Row],[BRAND]]</f>
        <v>0-</v>
      </c>
      <c r="C1786" s="19" t="str">
        <f>Table1[[#This Row],[Fiscal_Year]]&amp;"-"&amp;Table1[[#This Row],[BRAND]]</f>
        <v>-</v>
      </c>
      <c r="J1786" t="e">
        <f>VLOOKUP(H1786,DC_Xref!A:B,2,FALSE)</f>
        <v>#N/A</v>
      </c>
      <c r="K1786">
        <f t="shared" si="27"/>
        <v>0</v>
      </c>
      <c r="L17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6" s="3">
        <f>IFERROR(INDEX(Table3[#All],MATCH(Table1[[#This Row],[Key_Year_Week_Brand]],Table3[[#All],[Key_Year_Week_Brand]],0),MATCH(Table1[[#This Row],[DC_name_Xref]],Table3[#Headers],0)),0)</f>
        <v>0</v>
      </c>
      <c r="O1786" s="19">
        <f>IFERROR(INDEX(Table35[#All],MATCH(Table1[[#This Row],[Key_Year_Week_Brand]],Table35[[#All],[Key_Year_Month_Brand]],0),MATCH(Table1[[#This Row],[DC_name_Xref]],Table35[#Headers],0)),0)</f>
        <v>0</v>
      </c>
    </row>
    <row r="1787" spans="1:15" x14ac:dyDescent="0.3">
      <c r="A1787" s="19" t="e">
        <f>Table1[[#This Row],[Year_Week]]&amp;"-"&amp;Table1[[#This Row],[DC_name_Xref]]</f>
        <v>#N/A</v>
      </c>
      <c r="B1787" s="19" t="str">
        <f>Table1[[#This Row],[Fiscal_Year]]*100+Table1[[#This Row],[Fiscal_Week]] &amp; "-" &amp;Table1[[#This Row],[BRAND]]</f>
        <v>0-</v>
      </c>
      <c r="C1787" s="19" t="str">
        <f>Table1[[#This Row],[Fiscal_Year]]&amp;"-"&amp;Table1[[#This Row],[BRAND]]</f>
        <v>-</v>
      </c>
      <c r="J1787" t="e">
        <f>VLOOKUP(H1787,DC_Xref!A:B,2,FALSE)</f>
        <v>#N/A</v>
      </c>
      <c r="K1787">
        <f t="shared" si="27"/>
        <v>0</v>
      </c>
      <c r="L17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7" s="3">
        <f>IFERROR(INDEX(Table3[#All],MATCH(Table1[[#This Row],[Key_Year_Week_Brand]],Table3[[#All],[Key_Year_Week_Brand]],0),MATCH(Table1[[#This Row],[DC_name_Xref]],Table3[#Headers],0)),0)</f>
        <v>0</v>
      </c>
      <c r="O1787" s="19">
        <f>IFERROR(INDEX(Table35[#All],MATCH(Table1[[#This Row],[Key_Year_Week_Brand]],Table35[[#All],[Key_Year_Month_Brand]],0),MATCH(Table1[[#This Row],[DC_name_Xref]],Table35[#Headers],0)),0)</f>
        <v>0</v>
      </c>
    </row>
    <row r="1788" spans="1:15" x14ac:dyDescent="0.3">
      <c r="A1788" s="19" t="e">
        <f>Table1[[#This Row],[Year_Week]]&amp;"-"&amp;Table1[[#This Row],[DC_name_Xref]]</f>
        <v>#N/A</v>
      </c>
      <c r="B1788" s="19" t="str">
        <f>Table1[[#This Row],[Fiscal_Year]]*100+Table1[[#This Row],[Fiscal_Week]] &amp; "-" &amp;Table1[[#This Row],[BRAND]]</f>
        <v>0-</v>
      </c>
      <c r="C1788" s="19" t="str">
        <f>Table1[[#This Row],[Fiscal_Year]]&amp;"-"&amp;Table1[[#This Row],[BRAND]]</f>
        <v>-</v>
      </c>
      <c r="J1788" t="e">
        <f>VLOOKUP(H1788,DC_Xref!A:B,2,FALSE)</f>
        <v>#N/A</v>
      </c>
      <c r="K1788">
        <f t="shared" si="27"/>
        <v>0</v>
      </c>
      <c r="L17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8" s="3">
        <f>IFERROR(INDEX(Table3[#All],MATCH(Table1[[#This Row],[Key_Year_Week_Brand]],Table3[[#All],[Key_Year_Week_Brand]],0),MATCH(Table1[[#This Row],[DC_name_Xref]],Table3[#Headers],0)),0)</f>
        <v>0</v>
      </c>
      <c r="O1788" s="19">
        <f>IFERROR(INDEX(Table35[#All],MATCH(Table1[[#This Row],[Key_Year_Week_Brand]],Table35[[#All],[Key_Year_Month_Brand]],0),MATCH(Table1[[#This Row],[DC_name_Xref]],Table35[#Headers],0)),0)</f>
        <v>0</v>
      </c>
    </row>
    <row r="1789" spans="1:15" x14ac:dyDescent="0.3">
      <c r="A1789" s="19" t="e">
        <f>Table1[[#This Row],[Year_Week]]&amp;"-"&amp;Table1[[#This Row],[DC_name_Xref]]</f>
        <v>#N/A</v>
      </c>
      <c r="B1789" s="19" t="str">
        <f>Table1[[#This Row],[Fiscal_Year]]*100+Table1[[#This Row],[Fiscal_Week]] &amp; "-" &amp;Table1[[#This Row],[BRAND]]</f>
        <v>0-</v>
      </c>
      <c r="C1789" s="19" t="str">
        <f>Table1[[#This Row],[Fiscal_Year]]&amp;"-"&amp;Table1[[#This Row],[BRAND]]</f>
        <v>-</v>
      </c>
      <c r="J1789" t="e">
        <f>VLOOKUP(H1789,DC_Xref!A:B,2,FALSE)</f>
        <v>#N/A</v>
      </c>
      <c r="K1789">
        <f t="shared" si="27"/>
        <v>0</v>
      </c>
      <c r="L17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89" s="3">
        <f>IFERROR(INDEX(Table3[#All],MATCH(Table1[[#This Row],[Key_Year_Week_Brand]],Table3[[#All],[Key_Year_Week_Brand]],0),MATCH(Table1[[#This Row],[DC_name_Xref]],Table3[#Headers],0)),0)</f>
        <v>0</v>
      </c>
      <c r="O1789" s="19">
        <f>IFERROR(INDEX(Table35[#All],MATCH(Table1[[#This Row],[Key_Year_Week_Brand]],Table35[[#All],[Key_Year_Month_Brand]],0),MATCH(Table1[[#This Row],[DC_name_Xref]],Table35[#Headers],0)),0)</f>
        <v>0</v>
      </c>
    </row>
    <row r="1790" spans="1:15" x14ac:dyDescent="0.3">
      <c r="A1790" s="19" t="e">
        <f>Table1[[#This Row],[Year_Week]]&amp;"-"&amp;Table1[[#This Row],[DC_name_Xref]]</f>
        <v>#N/A</v>
      </c>
      <c r="B1790" s="19" t="str">
        <f>Table1[[#This Row],[Fiscal_Year]]*100+Table1[[#This Row],[Fiscal_Week]] &amp; "-" &amp;Table1[[#This Row],[BRAND]]</f>
        <v>0-</v>
      </c>
      <c r="C1790" s="19" t="str">
        <f>Table1[[#This Row],[Fiscal_Year]]&amp;"-"&amp;Table1[[#This Row],[BRAND]]</f>
        <v>-</v>
      </c>
      <c r="J1790" t="e">
        <f>VLOOKUP(H1790,DC_Xref!A:B,2,FALSE)</f>
        <v>#N/A</v>
      </c>
      <c r="K1790">
        <f t="shared" si="27"/>
        <v>0</v>
      </c>
      <c r="L17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0" s="3">
        <f>IFERROR(INDEX(Table3[#All],MATCH(Table1[[#This Row],[Key_Year_Week_Brand]],Table3[[#All],[Key_Year_Week_Brand]],0),MATCH(Table1[[#This Row],[DC_name_Xref]],Table3[#Headers],0)),0)</f>
        <v>0</v>
      </c>
      <c r="O1790" s="19">
        <f>IFERROR(INDEX(Table35[#All],MATCH(Table1[[#This Row],[Key_Year_Week_Brand]],Table35[[#All],[Key_Year_Month_Brand]],0),MATCH(Table1[[#This Row],[DC_name_Xref]],Table35[#Headers],0)),0)</f>
        <v>0</v>
      </c>
    </row>
    <row r="1791" spans="1:15" x14ac:dyDescent="0.3">
      <c r="A1791" s="19" t="e">
        <f>Table1[[#This Row],[Year_Week]]&amp;"-"&amp;Table1[[#This Row],[DC_name_Xref]]</f>
        <v>#N/A</v>
      </c>
      <c r="B1791" s="19" t="str">
        <f>Table1[[#This Row],[Fiscal_Year]]*100+Table1[[#This Row],[Fiscal_Week]] &amp; "-" &amp;Table1[[#This Row],[BRAND]]</f>
        <v>0-</v>
      </c>
      <c r="C1791" s="19" t="str">
        <f>Table1[[#This Row],[Fiscal_Year]]&amp;"-"&amp;Table1[[#This Row],[BRAND]]</f>
        <v>-</v>
      </c>
      <c r="J1791" t="e">
        <f>VLOOKUP(H1791,DC_Xref!A:B,2,FALSE)</f>
        <v>#N/A</v>
      </c>
      <c r="K1791">
        <f t="shared" si="27"/>
        <v>0</v>
      </c>
      <c r="L17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1" s="3">
        <f>IFERROR(INDEX(Table3[#All],MATCH(Table1[[#This Row],[Key_Year_Week_Brand]],Table3[[#All],[Key_Year_Week_Brand]],0),MATCH(Table1[[#This Row],[DC_name_Xref]],Table3[#Headers],0)),0)</f>
        <v>0</v>
      </c>
      <c r="O1791" s="19">
        <f>IFERROR(INDEX(Table35[#All],MATCH(Table1[[#This Row],[Key_Year_Week_Brand]],Table35[[#All],[Key_Year_Month_Brand]],0),MATCH(Table1[[#This Row],[DC_name_Xref]],Table35[#Headers],0)),0)</f>
        <v>0</v>
      </c>
    </row>
    <row r="1792" spans="1:15" x14ac:dyDescent="0.3">
      <c r="A1792" s="19" t="e">
        <f>Table1[[#This Row],[Year_Week]]&amp;"-"&amp;Table1[[#This Row],[DC_name_Xref]]</f>
        <v>#N/A</v>
      </c>
      <c r="B1792" s="19" t="str">
        <f>Table1[[#This Row],[Fiscal_Year]]*100+Table1[[#This Row],[Fiscal_Week]] &amp; "-" &amp;Table1[[#This Row],[BRAND]]</f>
        <v>0-</v>
      </c>
      <c r="C1792" s="19" t="str">
        <f>Table1[[#This Row],[Fiscal_Year]]&amp;"-"&amp;Table1[[#This Row],[BRAND]]</f>
        <v>-</v>
      </c>
      <c r="J1792" t="e">
        <f>VLOOKUP(H1792,DC_Xref!A:B,2,FALSE)</f>
        <v>#N/A</v>
      </c>
      <c r="K1792">
        <f t="shared" si="27"/>
        <v>0</v>
      </c>
      <c r="L17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2" s="3">
        <f>IFERROR(INDEX(Table3[#All],MATCH(Table1[[#This Row],[Key_Year_Week_Brand]],Table3[[#All],[Key_Year_Week_Brand]],0),MATCH(Table1[[#This Row],[DC_name_Xref]],Table3[#Headers],0)),0)</f>
        <v>0</v>
      </c>
      <c r="O1792" s="19">
        <f>IFERROR(INDEX(Table35[#All],MATCH(Table1[[#This Row],[Key_Year_Week_Brand]],Table35[[#All],[Key_Year_Month_Brand]],0),MATCH(Table1[[#This Row],[DC_name_Xref]],Table35[#Headers],0)),0)</f>
        <v>0</v>
      </c>
    </row>
    <row r="1793" spans="1:15" x14ac:dyDescent="0.3">
      <c r="A1793" s="19" t="e">
        <f>Table1[[#This Row],[Year_Week]]&amp;"-"&amp;Table1[[#This Row],[DC_name_Xref]]</f>
        <v>#N/A</v>
      </c>
      <c r="B1793" s="19" t="str">
        <f>Table1[[#This Row],[Fiscal_Year]]*100+Table1[[#This Row],[Fiscal_Week]] &amp; "-" &amp;Table1[[#This Row],[BRAND]]</f>
        <v>0-</v>
      </c>
      <c r="C1793" s="19" t="str">
        <f>Table1[[#This Row],[Fiscal_Year]]&amp;"-"&amp;Table1[[#This Row],[BRAND]]</f>
        <v>-</v>
      </c>
      <c r="J1793" t="e">
        <f>VLOOKUP(H1793,DC_Xref!A:B,2,FALSE)</f>
        <v>#N/A</v>
      </c>
      <c r="K1793">
        <f t="shared" si="27"/>
        <v>0</v>
      </c>
      <c r="L17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3" s="3">
        <f>IFERROR(INDEX(Table3[#All],MATCH(Table1[[#This Row],[Key_Year_Week_Brand]],Table3[[#All],[Key_Year_Week_Brand]],0),MATCH(Table1[[#This Row],[DC_name_Xref]],Table3[#Headers],0)),0)</f>
        <v>0</v>
      </c>
      <c r="O1793" s="19">
        <f>IFERROR(INDEX(Table35[#All],MATCH(Table1[[#This Row],[Key_Year_Week_Brand]],Table35[[#All],[Key_Year_Month_Brand]],0),MATCH(Table1[[#This Row],[DC_name_Xref]],Table35[#Headers],0)),0)</f>
        <v>0</v>
      </c>
    </row>
    <row r="1794" spans="1:15" x14ac:dyDescent="0.3">
      <c r="A1794" s="19" t="e">
        <f>Table1[[#This Row],[Year_Week]]&amp;"-"&amp;Table1[[#This Row],[DC_name_Xref]]</f>
        <v>#N/A</v>
      </c>
      <c r="B1794" s="19" t="str">
        <f>Table1[[#This Row],[Fiscal_Year]]*100+Table1[[#This Row],[Fiscal_Week]] &amp; "-" &amp;Table1[[#This Row],[BRAND]]</f>
        <v>0-</v>
      </c>
      <c r="C1794" s="19" t="str">
        <f>Table1[[#This Row],[Fiscal_Year]]&amp;"-"&amp;Table1[[#This Row],[BRAND]]</f>
        <v>-</v>
      </c>
      <c r="J1794" t="e">
        <f>VLOOKUP(H1794,DC_Xref!A:B,2,FALSE)</f>
        <v>#N/A</v>
      </c>
      <c r="K1794">
        <f t="shared" si="27"/>
        <v>0</v>
      </c>
      <c r="L17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4" s="3">
        <f>IFERROR(INDEX(Table3[#All],MATCH(Table1[[#This Row],[Key_Year_Week_Brand]],Table3[[#All],[Key_Year_Week_Brand]],0),MATCH(Table1[[#This Row],[DC_name_Xref]],Table3[#Headers],0)),0)</f>
        <v>0</v>
      </c>
      <c r="O1794" s="19">
        <f>IFERROR(INDEX(Table35[#All],MATCH(Table1[[#This Row],[Key_Year_Week_Brand]],Table35[[#All],[Key_Year_Month_Brand]],0),MATCH(Table1[[#This Row],[DC_name_Xref]],Table35[#Headers],0)),0)</f>
        <v>0</v>
      </c>
    </row>
    <row r="1795" spans="1:15" x14ac:dyDescent="0.3">
      <c r="A1795" s="19" t="e">
        <f>Table1[[#This Row],[Year_Week]]&amp;"-"&amp;Table1[[#This Row],[DC_name_Xref]]</f>
        <v>#N/A</v>
      </c>
      <c r="B1795" s="19" t="str">
        <f>Table1[[#This Row],[Fiscal_Year]]*100+Table1[[#This Row],[Fiscal_Week]] &amp; "-" &amp;Table1[[#This Row],[BRAND]]</f>
        <v>0-</v>
      </c>
      <c r="C1795" s="19" t="str">
        <f>Table1[[#This Row],[Fiscal_Year]]&amp;"-"&amp;Table1[[#This Row],[BRAND]]</f>
        <v>-</v>
      </c>
      <c r="J1795" t="e">
        <f>VLOOKUP(H1795,DC_Xref!A:B,2,FALSE)</f>
        <v>#N/A</v>
      </c>
      <c r="K1795">
        <f t="shared" si="27"/>
        <v>0</v>
      </c>
      <c r="L17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5" s="3">
        <f>IFERROR(INDEX(Table3[#All],MATCH(Table1[[#This Row],[Key_Year_Week_Brand]],Table3[[#All],[Key_Year_Week_Brand]],0),MATCH(Table1[[#This Row],[DC_name_Xref]],Table3[#Headers],0)),0)</f>
        <v>0</v>
      </c>
      <c r="O1795" s="19">
        <f>IFERROR(INDEX(Table35[#All],MATCH(Table1[[#This Row],[Key_Year_Week_Brand]],Table35[[#All],[Key_Year_Month_Brand]],0),MATCH(Table1[[#This Row],[DC_name_Xref]],Table35[#Headers],0)),0)</f>
        <v>0</v>
      </c>
    </row>
    <row r="1796" spans="1:15" x14ac:dyDescent="0.3">
      <c r="A1796" s="19" t="e">
        <f>Table1[[#This Row],[Year_Week]]&amp;"-"&amp;Table1[[#This Row],[DC_name_Xref]]</f>
        <v>#N/A</v>
      </c>
      <c r="B1796" s="19" t="str">
        <f>Table1[[#This Row],[Fiscal_Year]]*100+Table1[[#This Row],[Fiscal_Week]] &amp; "-" &amp;Table1[[#This Row],[BRAND]]</f>
        <v>0-</v>
      </c>
      <c r="C1796" s="19" t="str">
        <f>Table1[[#This Row],[Fiscal_Year]]&amp;"-"&amp;Table1[[#This Row],[BRAND]]</f>
        <v>-</v>
      </c>
      <c r="J1796" t="e">
        <f>VLOOKUP(H1796,DC_Xref!A:B,2,FALSE)</f>
        <v>#N/A</v>
      </c>
      <c r="K1796">
        <f t="shared" si="27"/>
        <v>0</v>
      </c>
      <c r="L17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6" s="3">
        <f>IFERROR(INDEX(Table3[#All],MATCH(Table1[[#This Row],[Key_Year_Week_Brand]],Table3[[#All],[Key_Year_Week_Brand]],0),MATCH(Table1[[#This Row],[DC_name_Xref]],Table3[#Headers],0)),0)</f>
        <v>0</v>
      </c>
      <c r="O1796" s="19">
        <f>IFERROR(INDEX(Table35[#All],MATCH(Table1[[#This Row],[Key_Year_Week_Brand]],Table35[[#All],[Key_Year_Month_Brand]],0),MATCH(Table1[[#This Row],[DC_name_Xref]],Table35[#Headers],0)),0)</f>
        <v>0</v>
      </c>
    </row>
    <row r="1797" spans="1:15" x14ac:dyDescent="0.3">
      <c r="A1797" s="19" t="e">
        <f>Table1[[#This Row],[Year_Week]]&amp;"-"&amp;Table1[[#This Row],[DC_name_Xref]]</f>
        <v>#N/A</v>
      </c>
      <c r="B1797" s="19" t="str">
        <f>Table1[[#This Row],[Fiscal_Year]]*100+Table1[[#This Row],[Fiscal_Week]] &amp; "-" &amp;Table1[[#This Row],[BRAND]]</f>
        <v>0-</v>
      </c>
      <c r="C1797" s="19" t="str">
        <f>Table1[[#This Row],[Fiscal_Year]]&amp;"-"&amp;Table1[[#This Row],[BRAND]]</f>
        <v>-</v>
      </c>
      <c r="J1797" t="e">
        <f>VLOOKUP(H1797,DC_Xref!A:B,2,FALSE)</f>
        <v>#N/A</v>
      </c>
      <c r="K1797">
        <f t="shared" si="27"/>
        <v>0</v>
      </c>
      <c r="L17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7" s="3">
        <f>IFERROR(INDEX(Table3[#All],MATCH(Table1[[#This Row],[Key_Year_Week_Brand]],Table3[[#All],[Key_Year_Week_Brand]],0),MATCH(Table1[[#This Row],[DC_name_Xref]],Table3[#Headers],0)),0)</f>
        <v>0</v>
      </c>
      <c r="O1797" s="19">
        <f>IFERROR(INDEX(Table35[#All],MATCH(Table1[[#This Row],[Key_Year_Week_Brand]],Table35[[#All],[Key_Year_Month_Brand]],0),MATCH(Table1[[#This Row],[DC_name_Xref]],Table35[#Headers],0)),0)</f>
        <v>0</v>
      </c>
    </row>
    <row r="1798" spans="1:15" x14ac:dyDescent="0.3">
      <c r="A1798" s="19" t="e">
        <f>Table1[[#This Row],[Year_Week]]&amp;"-"&amp;Table1[[#This Row],[DC_name_Xref]]</f>
        <v>#N/A</v>
      </c>
      <c r="B1798" s="19" t="str">
        <f>Table1[[#This Row],[Fiscal_Year]]*100+Table1[[#This Row],[Fiscal_Week]] &amp; "-" &amp;Table1[[#This Row],[BRAND]]</f>
        <v>0-</v>
      </c>
      <c r="C1798" s="19" t="str">
        <f>Table1[[#This Row],[Fiscal_Year]]&amp;"-"&amp;Table1[[#This Row],[BRAND]]</f>
        <v>-</v>
      </c>
      <c r="J1798" t="e">
        <f>VLOOKUP(H1798,DC_Xref!A:B,2,FALSE)</f>
        <v>#N/A</v>
      </c>
      <c r="K1798">
        <f t="shared" ref="K1798:K1861" si="28">D1798*100+E1798</f>
        <v>0</v>
      </c>
      <c r="L17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8" s="3">
        <f>IFERROR(INDEX(Table3[#All],MATCH(Table1[[#This Row],[Key_Year_Week_Brand]],Table3[[#All],[Key_Year_Week_Brand]],0),MATCH(Table1[[#This Row],[DC_name_Xref]],Table3[#Headers],0)),0)</f>
        <v>0</v>
      </c>
      <c r="O1798" s="19">
        <f>IFERROR(INDEX(Table35[#All],MATCH(Table1[[#This Row],[Key_Year_Week_Brand]],Table35[[#All],[Key_Year_Month_Brand]],0),MATCH(Table1[[#This Row],[DC_name_Xref]],Table35[#Headers],0)),0)</f>
        <v>0</v>
      </c>
    </row>
    <row r="1799" spans="1:15" x14ac:dyDescent="0.3">
      <c r="A1799" s="19" t="e">
        <f>Table1[[#This Row],[Year_Week]]&amp;"-"&amp;Table1[[#This Row],[DC_name_Xref]]</f>
        <v>#N/A</v>
      </c>
      <c r="B1799" s="19" t="str">
        <f>Table1[[#This Row],[Fiscal_Year]]*100+Table1[[#This Row],[Fiscal_Week]] &amp; "-" &amp;Table1[[#This Row],[BRAND]]</f>
        <v>0-</v>
      </c>
      <c r="C1799" s="19" t="str">
        <f>Table1[[#This Row],[Fiscal_Year]]&amp;"-"&amp;Table1[[#This Row],[BRAND]]</f>
        <v>-</v>
      </c>
      <c r="J1799" t="e">
        <f>VLOOKUP(H1799,DC_Xref!A:B,2,FALSE)</f>
        <v>#N/A</v>
      </c>
      <c r="K1799">
        <f t="shared" si="28"/>
        <v>0</v>
      </c>
      <c r="L17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7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799" s="3">
        <f>IFERROR(INDEX(Table3[#All],MATCH(Table1[[#This Row],[Key_Year_Week_Brand]],Table3[[#All],[Key_Year_Week_Brand]],0),MATCH(Table1[[#This Row],[DC_name_Xref]],Table3[#Headers],0)),0)</f>
        <v>0</v>
      </c>
      <c r="O1799" s="19">
        <f>IFERROR(INDEX(Table35[#All],MATCH(Table1[[#This Row],[Key_Year_Week_Brand]],Table35[[#All],[Key_Year_Month_Brand]],0),MATCH(Table1[[#This Row],[DC_name_Xref]],Table35[#Headers],0)),0)</f>
        <v>0</v>
      </c>
    </row>
    <row r="1800" spans="1:15" x14ac:dyDescent="0.3">
      <c r="A1800" s="19" t="e">
        <f>Table1[[#This Row],[Year_Week]]&amp;"-"&amp;Table1[[#This Row],[DC_name_Xref]]</f>
        <v>#N/A</v>
      </c>
      <c r="B1800" s="19" t="str">
        <f>Table1[[#This Row],[Fiscal_Year]]*100+Table1[[#This Row],[Fiscal_Week]] &amp; "-" &amp;Table1[[#This Row],[BRAND]]</f>
        <v>0-</v>
      </c>
      <c r="C1800" s="19" t="str">
        <f>Table1[[#This Row],[Fiscal_Year]]&amp;"-"&amp;Table1[[#This Row],[BRAND]]</f>
        <v>-</v>
      </c>
      <c r="J1800" t="e">
        <f>VLOOKUP(H1800,DC_Xref!A:B,2,FALSE)</f>
        <v>#N/A</v>
      </c>
      <c r="K1800">
        <f t="shared" si="28"/>
        <v>0</v>
      </c>
      <c r="L18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0" s="3">
        <f>IFERROR(INDEX(Table3[#All],MATCH(Table1[[#This Row],[Key_Year_Week_Brand]],Table3[[#All],[Key_Year_Week_Brand]],0),MATCH(Table1[[#This Row],[DC_name_Xref]],Table3[#Headers],0)),0)</f>
        <v>0</v>
      </c>
      <c r="O1800" s="19">
        <f>IFERROR(INDEX(Table35[#All],MATCH(Table1[[#This Row],[Key_Year_Week_Brand]],Table35[[#All],[Key_Year_Month_Brand]],0),MATCH(Table1[[#This Row],[DC_name_Xref]],Table35[#Headers],0)),0)</f>
        <v>0</v>
      </c>
    </row>
    <row r="1801" spans="1:15" x14ac:dyDescent="0.3">
      <c r="A1801" s="19" t="e">
        <f>Table1[[#This Row],[Year_Week]]&amp;"-"&amp;Table1[[#This Row],[DC_name_Xref]]</f>
        <v>#N/A</v>
      </c>
      <c r="B1801" s="19" t="str">
        <f>Table1[[#This Row],[Fiscal_Year]]*100+Table1[[#This Row],[Fiscal_Week]] &amp; "-" &amp;Table1[[#This Row],[BRAND]]</f>
        <v>0-</v>
      </c>
      <c r="C1801" s="19" t="str">
        <f>Table1[[#This Row],[Fiscal_Year]]&amp;"-"&amp;Table1[[#This Row],[BRAND]]</f>
        <v>-</v>
      </c>
      <c r="J1801" t="e">
        <f>VLOOKUP(H1801,DC_Xref!A:B,2,FALSE)</f>
        <v>#N/A</v>
      </c>
      <c r="K1801">
        <f t="shared" si="28"/>
        <v>0</v>
      </c>
      <c r="L18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1" s="3">
        <f>IFERROR(INDEX(Table3[#All],MATCH(Table1[[#This Row],[Key_Year_Week_Brand]],Table3[[#All],[Key_Year_Week_Brand]],0),MATCH(Table1[[#This Row],[DC_name_Xref]],Table3[#Headers],0)),0)</f>
        <v>0</v>
      </c>
      <c r="O1801" s="19">
        <f>IFERROR(INDEX(Table35[#All],MATCH(Table1[[#This Row],[Key_Year_Week_Brand]],Table35[[#All],[Key_Year_Month_Brand]],0),MATCH(Table1[[#This Row],[DC_name_Xref]],Table35[#Headers],0)),0)</f>
        <v>0</v>
      </c>
    </row>
    <row r="1802" spans="1:15" x14ac:dyDescent="0.3">
      <c r="A1802" s="19" t="e">
        <f>Table1[[#This Row],[Year_Week]]&amp;"-"&amp;Table1[[#This Row],[DC_name_Xref]]</f>
        <v>#N/A</v>
      </c>
      <c r="B1802" s="19" t="str">
        <f>Table1[[#This Row],[Fiscal_Year]]*100+Table1[[#This Row],[Fiscal_Week]] &amp; "-" &amp;Table1[[#This Row],[BRAND]]</f>
        <v>0-</v>
      </c>
      <c r="C1802" s="19" t="str">
        <f>Table1[[#This Row],[Fiscal_Year]]&amp;"-"&amp;Table1[[#This Row],[BRAND]]</f>
        <v>-</v>
      </c>
      <c r="J1802" t="e">
        <f>VLOOKUP(H1802,DC_Xref!A:B,2,FALSE)</f>
        <v>#N/A</v>
      </c>
      <c r="K1802">
        <f t="shared" si="28"/>
        <v>0</v>
      </c>
      <c r="L18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2" s="3">
        <f>IFERROR(INDEX(Table3[#All],MATCH(Table1[[#This Row],[Key_Year_Week_Brand]],Table3[[#All],[Key_Year_Week_Brand]],0),MATCH(Table1[[#This Row],[DC_name_Xref]],Table3[#Headers],0)),0)</f>
        <v>0</v>
      </c>
      <c r="O1802" s="19">
        <f>IFERROR(INDEX(Table35[#All],MATCH(Table1[[#This Row],[Key_Year_Week_Brand]],Table35[[#All],[Key_Year_Month_Brand]],0),MATCH(Table1[[#This Row],[DC_name_Xref]],Table35[#Headers],0)),0)</f>
        <v>0</v>
      </c>
    </row>
    <row r="1803" spans="1:15" x14ac:dyDescent="0.3">
      <c r="A1803" s="19" t="e">
        <f>Table1[[#This Row],[Year_Week]]&amp;"-"&amp;Table1[[#This Row],[DC_name_Xref]]</f>
        <v>#N/A</v>
      </c>
      <c r="B1803" s="19" t="str">
        <f>Table1[[#This Row],[Fiscal_Year]]*100+Table1[[#This Row],[Fiscal_Week]] &amp; "-" &amp;Table1[[#This Row],[BRAND]]</f>
        <v>0-</v>
      </c>
      <c r="C1803" s="19" t="str">
        <f>Table1[[#This Row],[Fiscal_Year]]&amp;"-"&amp;Table1[[#This Row],[BRAND]]</f>
        <v>-</v>
      </c>
      <c r="J1803" t="e">
        <f>VLOOKUP(H1803,DC_Xref!A:B,2,FALSE)</f>
        <v>#N/A</v>
      </c>
      <c r="K1803">
        <f t="shared" si="28"/>
        <v>0</v>
      </c>
      <c r="L18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3" s="3">
        <f>IFERROR(INDEX(Table3[#All],MATCH(Table1[[#This Row],[Key_Year_Week_Brand]],Table3[[#All],[Key_Year_Week_Brand]],0),MATCH(Table1[[#This Row],[DC_name_Xref]],Table3[#Headers],0)),0)</f>
        <v>0</v>
      </c>
      <c r="O1803" s="19">
        <f>IFERROR(INDEX(Table35[#All],MATCH(Table1[[#This Row],[Key_Year_Week_Brand]],Table35[[#All],[Key_Year_Month_Brand]],0),MATCH(Table1[[#This Row],[DC_name_Xref]],Table35[#Headers],0)),0)</f>
        <v>0</v>
      </c>
    </row>
    <row r="1804" spans="1:15" x14ac:dyDescent="0.3">
      <c r="A1804" s="19" t="e">
        <f>Table1[[#This Row],[Year_Week]]&amp;"-"&amp;Table1[[#This Row],[DC_name_Xref]]</f>
        <v>#N/A</v>
      </c>
      <c r="B1804" s="19" t="str">
        <f>Table1[[#This Row],[Fiscal_Year]]*100+Table1[[#This Row],[Fiscal_Week]] &amp; "-" &amp;Table1[[#This Row],[BRAND]]</f>
        <v>0-</v>
      </c>
      <c r="C1804" s="19" t="str">
        <f>Table1[[#This Row],[Fiscal_Year]]&amp;"-"&amp;Table1[[#This Row],[BRAND]]</f>
        <v>-</v>
      </c>
      <c r="J1804" t="e">
        <f>VLOOKUP(H1804,DC_Xref!A:B,2,FALSE)</f>
        <v>#N/A</v>
      </c>
      <c r="K1804">
        <f t="shared" si="28"/>
        <v>0</v>
      </c>
      <c r="L18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4" s="3">
        <f>IFERROR(INDEX(Table3[#All],MATCH(Table1[[#This Row],[Key_Year_Week_Brand]],Table3[[#All],[Key_Year_Week_Brand]],0),MATCH(Table1[[#This Row],[DC_name_Xref]],Table3[#Headers],0)),0)</f>
        <v>0</v>
      </c>
      <c r="O1804" s="19">
        <f>IFERROR(INDEX(Table35[#All],MATCH(Table1[[#This Row],[Key_Year_Week_Brand]],Table35[[#All],[Key_Year_Month_Brand]],0),MATCH(Table1[[#This Row],[DC_name_Xref]],Table35[#Headers],0)),0)</f>
        <v>0</v>
      </c>
    </row>
    <row r="1805" spans="1:15" x14ac:dyDescent="0.3">
      <c r="A1805" s="19" t="e">
        <f>Table1[[#This Row],[Year_Week]]&amp;"-"&amp;Table1[[#This Row],[DC_name_Xref]]</f>
        <v>#N/A</v>
      </c>
      <c r="B1805" s="19" t="str">
        <f>Table1[[#This Row],[Fiscal_Year]]*100+Table1[[#This Row],[Fiscal_Week]] &amp; "-" &amp;Table1[[#This Row],[BRAND]]</f>
        <v>0-</v>
      </c>
      <c r="C1805" s="19" t="str">
        <f>Table1[[#This Row],[Fiscal_Year]]&amp;"-"&amp;Table1[[#This Row],[BRAND]]</f>
        <v>-</v>
      </c>
      <c r="J1805" t="e">
        <f>VLOOKUP(H1805,DC_Xref!A:B,2,FALSE)</f>
        <v>#N/A</v>
      </c>
      <c r="K1805">
        <f t="shared" si="28"/>
        <v>0</v>
      </c>
      <c r="L18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5" s="3">
        <f>IFERROR(INDEX(Table3[#All],MATCH(Table1[[#This Row],[Key_Year_Week_Brand]],Table3[[#All],[Key_Year_Week_Brand]],0),MATCH(Table1[[#This Row],[DC_name_Xref]],Table3[#Headers],0)),0)</f>
        <v>0</v>
      </c>
      <c r="O1805" s="19">
        <f>IFERROR(INDEX(Table35[#All],MATCH(Table1[[#This Row],[Key_Year_Week_Brand]],Table35[[#All],[Key_Year_Month_Brand]],0),MATCH(Table1[[#This Row],[DC_name_Xref]],Table35[#Headers],0)),0)</f>
        <v>0</v>
      </c>
    </row>
    <row r="1806" spans="1:15" x14ac:dyDescent="0.3">
      <c r="A1806" s="19" t="e">
        <f>Table1[[#This Row],[Year_Week]]&amp;"-"&amp;Table1[[#This Row],[DC_name_Xref]]</f>
        <v>#N/A</v>
      </c>
      <c r="B1806" s="19" t="str">
        <f>Table1[[#This Row],[Fiscal_Year]]*100+Table1[[#This Row],[Fiscal_Week]] &amp; "-" &amp;Table1[[#This Row],[BRAND]]</f>
        <v>0-</v>
      </c>
      <c r="C1806" s="19" t="str">
        <f>Table1[[#This Row],[Fiscal_Year]]&amp;"-"&amp;Table1[[#This Row],[BRAND]]</f>
        <v>-</v>
      </c>
      <c r="J1806" t="e">
        <f>VLOOKUP(H1806,DC_Xref!A:B,2,FALSE)</f>
        <v>#N/A</v>
      </c>
      <c r="K1806">
        <f t="shared" si="28"/>
        <v>0</v>
      </c>
      <c r="L18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6" s="3">
        <f>IFERROR(INDEX(Table3[#All],MATCH(Table1[[#This Row],[Key_Year_Week_Brand]],Table3[[#All],[Key_Year_Week_Brand]],0),MATCH(Table1[[#This Row],[DC_name_Xref]],Table3[#Headers],0)),0)</f>
        <v>0</v>
      </c>
      <c r="O1806" s="19">
        <f>IFERROR(INDEX(Table35[#All],MATCH(Table1[[#This Row],[Key_Year_Week_Brand]],Table35[[#All],[Key_Year_Month_Brand]],0),MATCH(Table1[[#This Row],[DC_name_Xref]],Table35[#Headers],0)),0)</f>
        <v>0</v>
      </c>
    </row>
    <row r="1807" spans="1:15" x14ac:dyDescent="0.3">
      <c r="A1807" s="19" t="e">
        <f>Table1[[#This Row],[Year_Week]]&amp;"-"&amp;Table1[[#This Row],[DC_name_Xref]]</f>
        <v>#N/A</v>
      </c>
      <c r="B1807" s="19" t="str">
        <f>Table1[[#This Row],[Fiscal_Year]]*100+Table1[[#This Row],[Fiscal_Week]] &amp; "-" &amp;Table1[[#This Row],[BRAND]]</f>
        <v>0-</v>
      </c>
      <c r="C1807" s="19" t="str">
        <f>Table1[[#This Row],[Fiscal_Year]]&amp;"-"&amp;Table1[[#This Row],[BRAND]]</f>
        <v>-</v>
      </c>
      <c r="J1807" t="e">
        <f>VLOOKUP(H1807,DC_Xref!A:B,2,FALSE)</f>
        <v>#N/A</v>
      </c>
      <c r="K1807">
        <f t="shared" si="28"/>
        <v>0</v>
      </c>
      <c r="L18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7" s="3">
        <f>IFERROR(INDEX(Table3[#All],MATCH(Table1[[#This Row],[Key_Year_Week_Brand]],Table3[[#All],[Key_Year_Week_Brand]],0),MATCH(Table1[[#This Row],[DC_name_Xref]],Table3[#Headers],0)),0)</f>
        <v>0</v>
      </c>
      <c r="O1807" s="19">
        <f>IFERROR(INDEX(Table35[#All],MATCH(Table1[[#This Row],[Key_Year_Week_Brand]],Table35[[#All],[Key_Year_Month_Brand]],0),MATCH(Table1[[#This Row],[DC_name_Xref]],Table35[#Headers],0)),0)</f>
        <v>0</v>
      </c>
    </row>
    <row r="1808" spans="1:15" x14ac:dyDescent="0.3">
      <c r="A1808" s="19" t="e">
        <f>Table1[[#This Row],[Year_Week]]&amp;"-"&amp;Table1[[#This Row],[DC_name_Xref]]</f>
        <v>#N/A</v>
      </c>
      <c r="B1808" s="19" t="str">
        <f>Table1[[#This Row],[Fiscal_Year]]*100+Table1[[#This Row],[Fiscal_Week]] &amp; "-" &amp;Table1[[#This Row],[BRAND]]</f>
        <v>0-</v>
      </c>
      <c r="C1808" s="19" t="str">
        <f>Table1[[#This Row],[Fiscal_Year]]&amp;"-"&amp;Table1[[#This Row],[BRAND]]</f>
        <v>-</v>
      </c>
      <c r="J1808" t="e">
        <f>VLOOKUP(H1808,DC_Xref!A:B,2,FALSE)</f>
        <v>#N/A</v>
      </c>
      <c r="K1808">
        <f t="shared" si="28"/>
        <v>0</v>
      </c>
      <c r="L18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8" s="3">
        <f>IFERROR(INDEX(Table3[#All],MATCH(Table1[[#This Row],[Key_Year_Week_Brand]],Table3[[#All],[Key_Year_Week_Brand]],0),MATCH(Table1[[#This Row],[DC_name_Xref]],Table3[#Headers],0)),0)</f>
        <v>0</v>
      </c>
      <c r="O1808" s="19">
        <f>IFERROR(INDEX(Table35[#All],MATCH(Table1[[#This Row],[Key_Year_Week_Brand]],Table35[[#All],[Key_Year_Month_Brand]],0),MATCH(Table1[[#This Row],[DC_name_Xref]],Table35[#Headers],0)),0)</f>
        <v>0</v>
      </c>
    </row>
    <row r="1809" spans="1:15" x14ac:dyDescent="0.3">
      <c r="A1809" s="19" t="e">
        <f>Table1[[#This Row],[Year_Week]]&amp;"-"&amp;Table1[[#This Row],[DC_name_Xref]]</f>
        <v>#N/A</v>
      </c>
      <c r="B1809" s="19" t="str">
        <f>Table1[[#This Row],[Fiscal_Year]]*100+Table1[[#This Row],[Fiscal_Week]] &amp; "-" &amp;Table1[[#This Row],[BRAND]]</f>
        <v>0-</v>
      </c>
      <c r="C1809" s="19" t="str">
        <f>Table1[[#This Row],[Fiscal_Year]]&amp;"-"&amp;Table1[[#This Row],[BRAND]]</f>
        <v>-</v>
      </c>
      <c r="J1809" t="e">
        <f>VLOOKUP(H1809,DC_Xref!A:B,2,FALSE)</f>
        <v>#N/A</v>
      </c>
      <c r="K1809">
        <f t="shared" si="28"/>
        <v>0</v>
      </c>
      <c r="L18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09" s="3">
        <f>IFERROR(INDEX(Table3[#All],MATCH(Table1[[#This Row],[Key_Year_Week_Brand]],Table3[[#All],[Key_Year_Week_Brand]],0),MATCH(Table1[[#This Row],[DC_name_Xref]],Table3[#Headers],0)),0)</f>
        <v>0</v>
      </c>
      <c r="O1809" s="19">
        <f>IFERROR(INDEX(Table35[#All],MATCH(Table1[[#This Row],[Key_Year_Week_Brand]],Table35[[#All],[Key_Year_Month_Brand]],0),MATCH(Table1[[#This Row],[DC_name_Xref]],Table35[#Headers],0)),0)</f>
        <v>0</v>
      </c>
    </row>
    <row r="1810" spans="1:15" x14ac:dyDescent="0.3">
      <c r="A1810" s="19" t="e">
        <f>Table1[[#This Row],[Year_Week]]&amp;"-"&amp;Table1[[#This Row],[DC_name_Xref]]</f>
        <v>#N/A</v>
      </c>
      <c r="B1810" s="19" t="str">
        <f>Table1[[#This Row],[Fiscal_Year]]*100+Table1[[#This Row],[Fiscal_Week]] &amp; "-" &amp;Table1[[#This Row],[BRAND]]</f>
        <v>0-</v>
      </c>
      <c r="C1810" s="19" t="str">
        <f>Table1[[#This Row],[Fiscal_Year]]&amp;"-"&amp;Table1[[#This Row],[BRAND]]</f>
        <v>-</v>
      </c>
      <c r="J1810" t="e">
        <f>VLOOKUP(H1810,DC_Xref!A:B,2,FALSE)</f>
        <v>#N/A</v>
      </c>
      <c r="K1810">
        <f t="shared" si="28"/>
        <v>0</v>
      </c>
      <c r="L18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0" s="3">
        <f>IFERROR(INDEX(Table3[#All],MATCH(Table1[[#This Row],[Key_Year_Week_Brand]],Table3[[#All],[Key_Year_Week_Brand]],0),MATCH(Table1[[#This Row],[DC_name_Xref]],Table3[#Headers],0)),0)</f>
        <v>0</v>
      </c>
      <c r="O1810" s="19">
        <f>IFERROR(INDEX(Table35[#All],MATCH(Table1[[#This Row],[Key_Year_Week_Brand]],Table35[[#All],[Key_Year_Month_Brand]],0),MATCH(Table1[[#This Row],[DC_name_Xref]],Table35[#Headers],0)),0)</f>
        <v>0</v>
      </c>
    </row>
    <row r="1811" spans="1:15" x14ac:dyDescent="0.3">
      <c r="A1811" s="19" t="e">
        <f>Table1[[#This Row],[Year_Week]]&amp;"-"&amp;Table1[[#This Row],[DC_name_Xref]]</f>
        <v>#N/A</v>
      </c>
      <c r="B1811" s="19" t="str">
        <f>Table1[[#This Row],[Fiscal_Year]]*100+Table1[[#This Row],[Fiscal_Week]] &amp; "-" &amp;Table1[[#This Row],[BRAND]]</f>
        <v>0-</v>
      </c>
      <c r="C1811" s="19" t="str">
        <f>Table1[[#This Row],[Fiscal_Year]]&amp;"-"&amp;Table1[[#This Row],[BRAND]]</f>
        <v>-</v>
      </c>
      <c r="J1811" t="e">
        <f>VLOOKUP(H1811,DC_Xref!A:B,2,FALSE)</f>
        <v>#N/A</v>
      </c>
      <c r="K1811">
        <f t="shared" si="28"/>
        <v>0</v>
      </c>
      <c r="L18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1" s="3">
        <f>IFERROR(INDEX(Table3[#All],MATCH(Table1[[#This Row],[Key_Year_Week_Brand]],Table3[[#All],[Key_Year_Week_Brand]],0),MATCH(Table1[[#This Row],[DC_name_Xref]],Table3[#Headers],0)),0)</f>
        <v>0</v>
      </c>
      <c r="O1811" s="19">
        <f>IFERROR(INDEX(Table35[#All],MATCH(Table1[[#This Row],[Key_Year_Week_Brand]],Table35[[#All],[Key_Year_Month_Brand]],0),MATCH(Table1[[#This Row],[DC_name_Xref]],Table35[#Headers],0)),0)</f>
        <v>0</v>
      </c>
    </row>
    <row r="1812" spans="1:15" x14ac:dyDescent="0.3">
      <c r="A1812" s="19" t="e">
        <f>Table1[[#This Row],[Year_Week]]&amp;"-"&amp;Table1[[#This Row],[DC_name_Xref]]</f>
        <v>#N/A</v>
      </c>
      <c r="B1812" s="19" t="str">
        <f>Table1[[#This Row],[Fiscal_Year]]*100+Table1[[#This Row],[Fiscal_Week]] &amp; "-" &amp;Table1[[#This Row],[BRAND]]</f>
        <v>0-</v>
      </c>
      <c r="C1812" s="19" t="str">
        <f>Table1[[#This Row],[Fiscal_Year]]&amp;"-"&amp;Table1[[#This Row],[BRAND]]</f>
        <v>-</v>
      </c>
      <c r="J1812" t="e">
        <f>VLOOKUP(H1812,DC_Xref!A:B,2,FALSE)</f>
        <v>#N/A</v>
      </c>
      <c r="K1812">
        <f t="shared" si="28"/>
        <v>0</v>
      </c>
      <c r="L18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2" s="3">
        <f>IFERROR(INDEX(Table3[#All],MATCH(Table1[[#This Row],[Key_Year_Week_Brand]],Table3[[#All],[Key_Year_Week_Brand]],0),MATCH(Table1[[#This Row],[DC_name_Xref]],Table3[#Headers],0)),0)</f>
        <v>0</v>
      </c>
      <c r="O1812" s="19">
        <f>IFERROR(INDEX(Table35[#All],MATCH(Table1[[#This Row],[Key_Year_Week_Brand]],Table35[[#All],[Key_Year_Month_Brand]],0),MATCH(Table1[[#This Row],[DC_name_Xref]],Table35[#Headers],0)),0)</f>
        <v>0</v>
      </c>
    </row>
    <row r="1813" spans="1:15" x14ac:dyDescent="0.3">
      <c r="A1813" s="19" t="e">
        <f>Table1[[#This Row],[Year_Week]]&amp;"-"&amp;Table1[[#This Row],[DC_name_Xref]]</f>
        <v>#N/A</v>
      </c>
      <c r="B1813" s="19" t="str">
        <f>Table1[[#This Row],[Fiscal_Year]]*100+Table1[[#This Row],[Fiscal_Week]] &amp; "-" &amp;Table1[[#This Row],[BRAND]]</f>
        <v>0-</v>
      </c>
      <c r="C1813" s="19" t="str">
        <f>Table1[[#This Row],[Fiscal_Year]]&amp;"-"&amp;Table1[[#This Row],[BRAND]]</f>
        <v>-</v>
      </c>
      <c r="J1813" t="e">
        <f>VLOOKUP(H1813,DC_Xref!A:B,2,FALSE)</f>
        <v>#N/A</v>
      </c>
      <c r="K1813">
        <f t="shared" si="28"/>
        <v>0</v>
      </c>
      <c r="L18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3" s="3">
        <f>IFERROR(INDEX(Table3[#All],MATCH(Table1[[#This Row],[Key_Year_Week_Brand]],Table3[[#All],[Key_Year_Week_Brand]],0),MATCH(Table1[[#This Row],[DC_name_Xref]],Table3[#Headers],0)),0)</f>
        <v>0</v>
      </c>
      <c r="O1813" s="19">
        <f>IFERROR(INDEX(Table35[#All],MATCH(Table1[[#This Row],[Key_Year_Week_Brand]],Table35[[#All],[Key_Year_Month_Brand]],0),MATCH(Table1[[#This Row],[DC_name_Xref]],Table35[#Headers],0)),0)</f>
        <v>0</v>
      </c>
    </row>
    <row r="1814" spans="1:15" x14ac:dyDescent="0.3">
      <c r="A1814" s="19" t="e">
        <f>Table1[[#This Row],[Year_Week]]&amp;"-"&amp;Table1[[#This Row],[DC_name_Xref]]</f>
        <v>#N/A</v>
      </c>
      <c r="B1814" s="19" t="str">
        <f>Table1[[#This Row],[Fiscal_Year]]*100+Table1[[#This Row],[Fiscal_Week]] &amp; "-" &amp;Table1[[#This Row],[BRAND]]</f>
        <v>0-</v>
      </c>
      <c r="C1814" s="19" t="str">
        <f>Table1[[#This Row],[Fiscal_Year]]&amp;"-"&amp;Table1[[#This Row],[BRAND]]</f>
        <v>-</v>
      </c>
      <c r="J1814" t="e">
        <f>VLOOKUP(H1814,DC_Xref!A:B,2,FALSE)</f>
        <v>#N/A</v>
      </c>
      <c r="K1814">
        <f t="shared" si="28"/>
        <v>0</v>
      </c>
      <c r="L18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4" s="3">
        <f>IFERROR(INDEX(Table3[#All],MATCH(Table1[[#This Row],[Key_Year_Week_Brand]],Table3[[#All],[Key_Year_Week_Brand]],0),MATCH(Table1[[#This Row],[DC_name_Xref]],Table3[#Headers],0)),0)</f>
        <v>0</v>
      </c>
      <c r="O1814" s="19">
        <f>IFERROR(INDEX(Table35[#All],MATCH(Table1[[#This Row],[Key_Year_Week_Brand]],Table35[[#All],[Key_Year_Month_Brand]],0),MATCH(Table1[[#This Row],[DC_name_Xref]],Table35[#Headers],0)),0)</f>
        <v>0</v>
      </c>
    </row>
    <row r="1815" spans="1:15" x14ac:dyDescent="0.3">
      <c r="A1815" s="19" t="e">
        <f>Table1[[#This Row],[Year_Week]]&amp;"-"&amp;Table1[[#This Row],[DC_name_Xref]]</f>
        <v>#N/A</v>
      </c>
      <c r="B1815" s="19" t="str">
        <f>Table1[[#This Row],[Fiscal_Year]]*100+Table1[[#This Row],[Fiscal_Week]] &amp; "-" &amp;Table1[[#This Row],[BRAND]]</f>
        <v>0-</v>
      </c>
      <c r="C1815" s="19" t="str">
        <f>Table1[[#This Row],[Fiscal_Year]]&amp;"-"&amp;Table1[[#This Row],[BRAND]]</f>
        <v>-</v>
      </c>
      <c r="J1815" t="e">
        <f>VLOOKUP(H1815,DC_Xref!A:B,2,FALSE)</f>
        <v>#N/A</v>
      </c>
      <c r="K1815">
        <f t="shared" si="28"/>
        <v>0</v>
      </c>
      <c r="L18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5" s="3">
        <f>IFERROR(INDEX(Table3[#All],MATCH(Table1[[#This Row],[Key_Year_Week_Brand]],Table3[[#All],[Key_Year_Week_Brand]],0),MATCH(Table1[[#This Row],[DC_name_Xref]],Table3[#Headers],0)),0)</f>
        <v>0</v>
      </c>
      <c r="O1815" s="19">
        <f>IFERROR(INDEX(Table35[#All],MATCH(Table1[[#This Row],[Key_Year_Week_Brand]],Table35[[#All],[Key_Year_Month_Brand]],0),MATCH(Table1[[#This Row],[DC_name_Xref]],Table35[#Headers],0)),0)</f>
        <v>0</v>
      </c>
    </row>
    <row r="1816" spans="1:15" x14ac:dyDescent="0.3">
      <c r="A1816" s="19" t="e">
        <f>Table1[[#This Row],[Year_Week]]&amp;"-"&amp;Table1[[#This Row],[DC_name_Xref]]</f>
        <v>#N/A</v>
      </c>
      <c r="B1816" s="19" t="str">
        <f>Table1[[#This Row],[Fiscal_Year]]*100+Table1[[#This Row],[Fiscal_Week]] &amp; "-" &amp;Table1[[#This Row],[BRAND]]</f>
        <v>0-</v>
      </c>
      <c r="C1816" s="19" t="str">
        <f>Table1[[#This Row],[Fiscal_Year]]&amp;"-"&amp;Table1[[#This Row],[BRAND]]</f>
        <v>-</v>
      </c>
      <c r="J1816" t="e">
        <f>VLOOKUP(H1816,DC_Xref!A:B,2,FALSE)</f>
        <v>#N/A</v>
      </c>
      <c r="K1816">
        <f t="shared" si="28"/>
        <v>0</v>
      </c>
      <c r="L18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6" s="3">
        <f>IFERROR(INDEX(Table3[#All],MATCH(Table1[[#This Row],[Key_Year_Week_Brand]],Table3[[#All],[Key_Year_Week_Brand]],0),MATCH(Table1[[#This Row],[DC_name_Xref]],Table3[#Headers],0)),0)</f>
        <v>0</v>
      </c>
      <c r="O1816" s="19">
        <f>IFERROR(INDEX(Table35[#All],MATCH(Table1[[#This Row],[Key_Year_Week_Brand]],Table35[[#All],[Key_Year_Month_Brand]],0),MATCH(Table1[[#This Row],[DC_name_Xref]],Table35[#Headers],0)),0)</f>
        <v>0</v>
      </c>
    </row>
    <row r="1817" spans="1:15" x14ac:dyDescent="0.3">
      <c r="A1817" s="19" t="e">
        <f>Table1[[#This Row],[Year_Week]]&amp;"-"&amp;Table1[[#This Row],[DC_name_Xref]]</f>
        <v>#N/A</v>
      </c>
      <c r="B1817" s="19" t="str">
        <f>Table1[[#This Row],[Fiscal_Year]]*100+Table1[[#This Row],[Fiscal_Week]] &amp; "-" &amp;Table1[[#This Row],[BRAND]]</f>
        <v>0-</v>
      </c>
      <c r="C1817" s="19" t="str">
        <f>Table1[[#This Row],[Fiscal_Year]]&amp;"-"&amp;Table1[[#This Row],[BRAND]]</f>
        <v>-</v>
      </c>
      <c r="J1817" t="e">
        <f>VLOOKUP(H1817,DC_Xref!A:B,2,FALSE)</f>
        <v>#N/A</v>
      </c>
      <c r="K1817">
        <f t="shared" si="28"/>
        <v>0</v>
      </c>
      <c r="L18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7" s="3">
        <f>IFERROR(INDEX(Table3[#All],MATCH(Table1[[#This Row],[Key_Year_Week_Brand]],Table3[[#All],[Key_Year_Week_Brand]],0),MATCH(Table1[[#This Row],[DC_name_Xref]],Table3[#Headers],0)),0)</f>
        <v>0</v>
      </c>
      <c r="O1817" s="19">
        <f>IFERROR(INDEX(Table35[#All],MATCH(Table1[[#This Row],[Key_Year_Week_Brand]],Table35[[#All],[Key_Year_Month_Brand]],0),MATCH(Table1[[#This Row],[DC_name_Xref]],Table35[#Headers],0)),0)</f>
        <v>0</v>
      </c>
    </row>
    <row r="1818" spans="1:15" x14ac:dyDescent="0.3">
      <c r="A1818" s="19" t="e">
        <f>Table1[[#This Row],[Year_Week]]&amp;"-"&amp;Table1[[#This Row],[DC_name_Xref]]</f>
        <v>#N/A</v>
      </c>
      <c r="B1818" s="19" t="str">
        <f>Table1[[#This Row],[Fiscal_Year]]*100+Table1[[#This Row],[Fiscal_Week]] &amp; "-" &amp;Table1[[#This Row],[BRAND]]</f>
        <v>0-</v>
      </c>
      <c r="C1818" s="19" t="str">
        <f>Table1[[#This Row],[Fiscal_Year]]&amp;"-"&amp;Table1[[#This Row],[BRAND]]</f>
        <v>-</v>
      </c>
      <c r="J1818" t="e">
        <f>VLOOKUP(H1818,DC_Xref!A:B,2,FALSE)</f>
        <v>#N/A</v>
      </c>
      <c r="K1818">
        <f t="shared" si="28"/>
        <v>0</v>
      </c>
      <c r="L18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8" s="3">
        <f>IFERROR(INDEX(Table3[#All],MATCH(Table1[[#This Row],[Key_Year_Week_Brand]],Table3[[#All],[Key_Year_Week_Brand]],0),MATCH(Table1[[#This Row],[DC_name_Xref]],Table3[#Headers],0)),0)</f>
        <v>0</v>
      </c>
      <c r="O1818" s="19">
        <f>IFERROR(INDEX(Table35[#All],MATCH(Table1[[#This Row],[Key_Year_Week_Brand]],Table35[[#All],[Key_Year_Month_Brand]],0),MATCH(Table1[[#This Row],[DC_name_Xref]],Table35[#Headers],0)),0)</f>
        <v>0</v>
      </c>
    </row>
    <row r="1819" spans="1:15" x14ac:dyDescent="0.3">
      <c r="A1819" s="19" t="e">
        <f>Table1[[#This Row],[Year_Week]]&amp;"-"&amp;Table1[[#This Row],[DC_name_Xref]]</f>
        <v>#N/A</v>
      </c>
      <c r="B1819" s="19" t="str">
        <f>Table1[[#This Row],[Fiscal_Year]]*100+Table1[[#This Row],[Fiscal_Week]] &amp; "-" &amp;Table1[[#This Row],[BRAND]]</f>
        <v>0-</v>
      </c>
      <c r="C1819" s="19" t="str">
        <f>Table1[[#This Row],[Fiscal_Year]]&amp;"-"&amp;Table1[[#This Row],[BRAND]]</f>
        <v>-</v>
      </c>
      <c r="J1819" t="e">
        <f>VLOOKUP(H1819,DC_Xref!A:B,2,FALSE)</f>
        <v>#N/A</v>
      </c>
      <c r="K1819">
        <f t="shared" si="28"/>
        <v>0</v>
      </c>
      <c r="L18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19" s="3">
        <f>IFERROR(INDEX(Table3[#All],MATCH(Table1[[#This Row],[Key_Year_Week_Brand]],Table3[[#All],[Key_Year_Week_Brand]],0),MATCH(Table1[[#This Row],[DC_name_Xref]],Table3[#Headers],0)),0)</f>
        <v>0</v>
      </c>
      <c r="O1819" s="19">
        <f>IFERROR(INDEX(Table35[#All],MATCH(Table1[[#This Row],[Key_Year_Week_Brand]],Table35[[#All],[Key_Year_Month_Brand]],0),MATCH(Table1[[#This Row],[DC_name_Xref]],Table35[#Headers],0)),0)</f>
        <v>0</v>
      </c>
    </row>
    <row r="1820" spans="1:15" x14ac:dyDescent="0.3">
      <c r="A1820" s="19" t="e">
        <f>Table1[[#This Row],[Year_Week]]&amp;"-"&amp;Table1[[#This Row],[DC_name_Xref]]</f>
        <v>#N/A</v>
      </c>
      <c r="B1820" s="19" t="str">
        <f>Table1[[#This Row],[Fiscal_Year]]*100+Table1[[#This Row],[Fiscal_Week]] &amp; "-" &amp;Table1[[#This Row],[BRAND]]</f>
        <v>0-</v>
      </c>
      <c r="C1820" s="19" t="str">
        <f>Table1[[#This Row],[Fiscal_Year]]&amp;"-"&amp;Table1[[#This Row],[BRAND]]</f>
        <v>-</v>
      </c>
      <c r="J1820" t="e">
        <f>VLOOKUP(H1820,DC_Xref!A:B,2,FALSE)</f>
        <v>#N/A</v>
      </c>
      <c r="K1820">
        <f t="shared" si="28"/>
        <v>0</v>
      </c>
      <c r="L18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0" s="3">
        <f>IFERROR(INDEX(Table3[#All],MATCH(Table1[[#This Row],[Key_Year_Week_Brand]],Table3[[#All],[Key_Year_Week_Brand]],0),MATCH(Table1[[#This Row],[DC_name_Xref]],Table3[#Headers],0)),0)</f>
        <v>0</v>
      </c>
      <c r="O1820" s="19">
        <f>IFERROR(INDEX(Table35[#All],MATCH(Table1[[#This Row],[Key_Year_Week_Brand]],Table35[[#All],[Key_Year_Month_Brand]],0),MATCH(Table1[[#This Row],[DC_name_Xref]],Table35[#Headers],0)),0)</f>
        <v>0</v>
      </c>
    </row>
    <row r="1821" spans="1:15" x14ac:dyDescent="0.3">
      <c r="A1821" s="19" t="e">
        <f>Table1[[#This Row],[Year_Week]]&amp;"-"&amp;Table1[[#This Row],[DC_name_Xref]]</f>
        <v>#N/A</v>
      </c>
      <c r="B1821" s="19" t="str">
        <f>Table1[[#This Row],[Fiscal_Year]]*100+Table1[[#This Row],[Fiscal_Week]] &amp; "-" &amp;Table1[[#This Row],[BRAND]]</f>
        <v>0-</v>
      </c>
      <c r="C1821" s="19" t="str">
        <f>Table1[[#This Row],[Fiscal_Year]]&amp;"-"&amp;Table1[[#This Row],[BRAND]]</f>
        <v>-</v>
      </c>
      <c r="J1821" t="e">
        <f>VLOOKUP(H1821,DC_Xref!A:B,2,FALSE)</f>
        <v>#N/A</v>
      </c>
      <c r="K1821">
        <f t="shared" si="28"/>
        <v>0</v>
      </c>
      <c r="L18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1" s="3">
        <f>IFERROR(INDEX(Table3[#All],MATCH(Table1[[#This Row],[Key_Year_Week_Brand]],Table3[[#All],[Key_Year_Week_Brand]],0),MATCH(Table1[[#This Row],[DC_name_Xref]],Table3[#Headers],0)),0)</f>
        <v>0</v>
      </c>
      <c r="O1821" s="19">
        <f>IFERROR(INDEX(Table35[#All],MATCH(Table1[[#This Row],[Key_Year_Week_Brand]],Table35[[#All],[Key_Year_Month_Brand]],0),MATCH(Table1[[#This Row],[DC_name_Xref]],Table35[#Headers],0)),0)</f>
        <v>0</v>
      </c>
    </row>
    <row r="1822" spans="1:15" x14ac:dyDescent="0.3">
      <c r="A1822" s="19" t="e">
        <f>Table1[[#This Row],[Year_Week]]&amp;"-"&amp;Table1[[#This Row],[DC_name_Xref]]</f>
        <v>#N/A</v>
      </c>
      <c r="B1822" s="19" t="str">
        <f>Table1[[#This Row],[Fiscal_Year]]*100+Table1[[#This Row],[Fiscal_Week]] &amp; "-" &amp;Table1[[#This Row],[BRAND]]</f>
        <v>0-</v>
      </c>
      <c r="C1822" s="19" t="str">
        <f>Table1[[#This Row],[Fiscal_Year]]&amp;"-"&amp;Table1[[#This Row],[BRAND]]</f>
        <v>-</v>
      </c>
      <c r="J1822" t="e">
        <f>VLOOKUP(H1822,DC_Xref!A:B,2,FALSE)</f>
        <v>#N/A</v>
      </c>
      <c r="K1822">
        <f t="shared" si="28"/>
        <v>0</v>
      </c>
      <c r="L18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2" s="3">
        <f>IFERROR(INDEX(Table3[#All],MATCH(Table1[[#This Row],[Key_Year_Week_Brand]],Table3[[#All],[Key_Year_Week_Brand]],0),MATCH(Table1[[#This Row],[DC_name_Xref]],Table3[#Headers],0)),0)</f>
        <v>0</v>
      </c>
      <c r="O1822" s="19">
        <f>IFERROR(INDEX(Table35[#All],MATCH(Table1[[#This Row],[Key_Year_Week_Brand]],Table35[[#All],[Key_Year_Month_Brand]],0),MATCH(Table1[[#This Row],[DC_name_Xref]],Table35[#Headers],0)),0)</f>
        <v>0</v>
      </c>
    </row>
    <row r="1823" spans="1:15" x14ac:dyDescent="0.3">
      <c r="A1823" s="19" t="e">
        <f>Table1[[#This Row],[Year_Week]]&amp;"-"&amp;Table1[[#This Row],[DC_name_Xref]]</f>
        <v>#N/A</v>
      </c>
      <c r="B1823" s="19" t="str">
        <f>Table1[[#This Row],[Fiscal_Year]]*100+Table1[[#This Row],[Fiscal_Week]] &amp; "-" &amp;Table1[[#This Row],[BRAND]]</f>
        <v>0-</v>
      </c>
      <c r="C1823" s="19" t="str">
        <f>Table1[[#This Row],[Fiscal_Year]]&amp;"-"&amp;Table1[[#This Row],[BRAND]]</f>
        <v>-</v>
      </c>
      <c r="J1823" t="e">
        <f>VLOOKUP(H1823,DC_Xref!A:B,2,FALSE)</f>
        <v>#N/A</v>
      </c>
      <c r="K1823">
        <f t="shared" si="28"/>
        <v>0</v>
      </c>
      <c r="L18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3" s="3">
        <f>IFERROR(INDEX(Table3[#All],MATCH(Table1[[#This Row],[Key_Year_Week_Brand]],Table3[[#All],[Key_Year_Week_Brand]],0),MATCH(Table1[[#This Row],[DC_name_Xref]],Table3[#Headers],0)),0)</f>
        <v>0</v>
      </c>
      <c r="O1823" s="19">
        <f>IFERROR(INDEX(Table35[#All],MATCH(Table1[[#This Row],[Key_Year_Week_Brand]],Table35[[#All],[Key_Year_Month_Brand]],0),MATCH(Table1[[#This Row],[DC_name_Xref]],Table35[#Headers],0)),0)</f>
        <v>0</v>
      </c>
    </row>
    <row r="1824" spans="1:15" x14ac:dyDescent="0.3">
      <c r="A1824" s="19" t="e">
        <f>Table1[[#This Row],[Year_Week]]&amp;"-"&amp;Table1[[#This Row],[DC_name_Xref]]</f>
        <v>#N/A</v>
      </c>
      <c r="B1824" s="19" t="str">
        <f>Table1[[#This Row],[Fiscal_Year]]*100+Table1[[#This Row],[Fiscal_Week]] &amp; "-" &amp;Table1[[#This Row],[BRAND]]</f>
        <v>0-</v>
      </c>
      <c r="C1824" s="19" t="str">
        <f>Table1[[#This Row],[Fiscal_Year]]&amp;"-"&amp;Table1[[#This Row],[BRAND]]</f>
        <v>-</v>
      </c>
      <c r="J1824" t="e">
        <f>VLOOKUP(H1824,DC_Xref!A:B,2,FALSE)</f>
        <v>#N/A</v>
      </c>
      <c r="K1824">
        <f t="shared" si="28"/>
        <v>0</v>
      </c>
      <c r="L18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4" s="3">
        <f>IFERROR(INDEX(Table3[#All],MATCH(Table1[[#This Row],[Key_Year_Week_Brand]],Table3[[#All],[Key_Year_Week_Brand]],0),MATCH(Table1[[#This Row],[DC_name_Xref]],Table3[#Headers],0)),0)</f>
        <v>0</v>
      </c>
      <c r="O1824" s="19">
        <f>IFERROR(INDEX(Table35[#All],MATCH(Table1[[#This Row],[Key_Year_Week_Brand]],Table35[[#All],[Key_Year_Month_Brand]],0),MATCH(Table1[[#This Row],[DC_name_Xref]],Table35[#Headers],0)),0)</f>
        <v>0</v>
      </c>
    </row>
    <row r="1825" spans="1:15" x14ac:dyDescent="0.3">
      <c r="A1825" s="19" t="e">
        <f>Table1[[#This Row],[Year_Week]]&amp;"-"&amp;Table1[[#This Row],[DC_name_Xref]]</f>
        <v>#N/A</v>
      </c>
      <c r="B1825" s="19" t="str">
        <f>Table1[[#This Row],[Fiscal_Year]]*100+Table1[[#This Row],[Fiscal_Week]] &amp; "-" &amp;Table1[[#This Row],[BRAND]]</f>
        <v>0-</v>
      </c>
      <c r="C1825" s="19" t="str">
        <f>Table1[[#This Row],[Fiscal_Year]]&amp;"-"&amp;Table1[[#This Row],[BRAND]]</f>
        <v>-</v>
      </c>
      <c r="J1825" t="e">
        <f>VLOOKUP(H1825,DC_Xref!A:B,2,FALSE)</f>
        <v>#N/A</v>
      </c>
      <c r="K1825">
        <f t="shared" si="28"/>
        <v>0</v>
      </c>
      <c r="L18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5" s="3">
        <f>IFERROR(INDEX(Table3[#All],MATCH(Table1[[#This Row],[Key_Year_Week_Brand]],Table3[[#All],[Key_Year_Week_Brand]],0),MATCH(Table1[[#This Row],[DC_name_Xref]],Table3[#Headers],0)),0)</f>
        <v>0</v>
      </c>
      <c r="O1825" s="19">
        <f>IFERROR(INDEX(Table35[#All],MATCH(Table1[[#This Row],[Key_Year_Week_Brand]],Table35[[#All],[Key_Year_Month_Brand]],0),MATCH(Table1[[#This Row],[DC_name_Xref]],Table35[#Headers],0)),0)</f>
        <v>0</v>
      </c>
    </row>
    <row r="1826" spans="1:15" x14ac:dyDescent="0.3">
      <c r="A1826" s="19" t="e">
        <f>Table1[[#This Row],[Year_Week]]&amp;"-"&amp;Table1[[#This Row],[DC_name_Xref]]</f>
        <v>#N/A</v>
      </c>
      <c r="B1826" s="19" t="str">
        <f>Table1[[#This Row],[Fiscal_Year]]*100+Table1[[#This Row],[Fiscal_Week]] &amp; "-" &amp;Table1[[#This Row],[BRAND]]</f>
        <v>0-</v>
      </c>
      <c r="C1826" s="19" t="str">
        <f>Table1[[#This Row],[Fiscal_Year]]&amp;"-"&amp;Table1[[#This Row],[BRAND]]</f>
        <v>-</v>
      </c>
      <c r="J1826" t="e">
        <f>VLOOKUP(H1826,DC_Xref!A:B,2,FALSE)</f>
        <v>#N/A</v>
      </c>
      <c r="K1826">
        <f t="shared" si="28"/>
        <v>0</v>
      </c>
      <c r="L18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6" s="3">
        <f>IFERROR(INDEX(Table3[#All],MATCH(Table1[[#This Row],[Key_Year_Week_Brand]],Table3[[#All],[Key_Year_Week_Brand]],0),MATCH(Table1[[#This Row],[DC_name_Xref]],Table3[#Headers],0)),0)</f>
        <v>0</v>
      </c>
      <c r="O1826" s="19">
        <f>IFERROR(INDEX(Table35[#All],MATCH(Table1[[#This Row],[Key_Year_Week_Brand]],Table35[[#All],[Key_Year_Month_Brand]],0),MATCH(Table1[[#This Row],[DC_name_Xref]],Table35[#Headers],0)),0)</f>
        <v>0</v>
      </c>
    </row>
    <row r="1827" spans="1:15" x14ac:dyDescent="0.3">
      <c r="A1827" s="19" t="e">
        <f>Table1[[#This Row],[Year_Week]]&amp;"-"&amp;Table1[[#This Row],[DC_name_Xref]]</f>
        <v>#N/A</v>
      </c>
      <c r="B1827" s="19" t="str">
        <f>Table1[[#This Row],[Fiscal_Year]]*100+Table1[[#This Row],[Fiscal_Week]] &amp; "-" &amp;Table1[[#This Row],[BRAND]]</f>
        <v>0-</v>
      </c>
      <c r="C1827" s="19" t="str">
        <f>Table1[[#This Row],[Fiscal_Year]]&amp;"-"&amp;Table1[[#This Row],[BRAND]]</f>
        <v>-</v>
      </c>
      <c r="J1827" t="e">
        <f>VLOOKUP(H1827,DC_Xref!A:B,2,FALSE)</f>
        <v>#N/A</v>
      </c>
      <c r="K1827">
        <f t="shared" si="28"/>
        <v>0</v>
      </c>
      <c r="L18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7" s="3">
        <f>IFERROR(INDEX(Table3[#All],MATCH(Table1[[#This Row],[Key_Year_Week_Brand]],Table3[[#All],[Key_Year_Week_Brand]],0),MATCH(Table1[[#This Row],[DC_name_Xref]],Table3[#Headers],0)),0)</f>
        <v>0</v>
      </c>
      <c r="O1827" s="19">
        <f>IFERROR(INDEX(Table35[#All],MATCH(Table1[[#This Row],[Key_Year_Week_Brand]],Table35[[#All],[Key_Year_Month_Brand]],0),MATCH(Table1[[#This Row],[DC_name_Xref]],Table35[#Headers],0)),0)</f>
        <v>0</v>
      </c>
    </row>
    <row r="1828" spans="1:15" x14ac:dyDescent="0.3">
      <c r="A1828" s="19" t="e">
        <f>Table1[[#This Row],[Year_Week]]&amp;"-"&amp;Table1[[#This Row],[DC_name_Xref]]</f>
        <v>#N/A</v>
      </c>
      <c r="B1828" s="19" t="str">
        <f>Table1[[#This Row],[Fiscal_Year]]*100+Table1[[#This Row],[Fiscal_Week]] &amp; "-" &amp;Table1[[#This Row],[BRAND]]</f>
        <v>0-</v>
      </c>
      <c r="C1828" s="19" t="str">
        <f>Table1[[#This Row],[Fiscal_Year]]&amp;"-"&amp;Table1[[#This Row],[BRAND]]</f>
        <v>-</v>
      </c>
      <c r="J1828" t="e">
        <f>VLOOKUP(H1828,DC_Xref!A:B,2,FALSE)</f>
        <v>#N/A</v>
      </c>
      <c r="K1828">
        <f t="shared" si="28"/>
        <v>0</v>
      </c>
      <c r="L18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8" s="3">
        <f>IFERROR(INDEX(Table3[#All],MATCH(Table1[[#This Row],[Key_Year_Week_Brand]],Table3[[#All],[Key_Year_Week_Brand]],0),MATCH(Table1[[#This Row],[DC_name_Xref]],Table3[#Headers],0)),0)</f>
        <v>0</v>
      </c>
      <c r="O1828" s="19">
        <f>IFERROR(INDEX(Table35[#All],MATCH(Table1[[#This Row],[Key_Year_Week_Brand]],Table35[[#All],[Key_Year_Month_Brand]],0),MATCH(Table1[[#This Row],[DC_name_Xref]],Table35[#Headers],0)),0)</f>
        <v>0</v>
      </c>
    </row>
    <row r="1829" spans="1:15" x14ac:dyDescent="0.3">
      <c r="A1829" s="19" t="e">
        <f>Table1[[#This Row],[Year_Week]]&amp;"-"&amp;Table1[[#This Row],[DC_name_Xref]]</f>
        <v>#N/A</v>
      </c>
      <c r="B1829" s="19" t="str">
        <f>Table1[[#This Row],[Fiscal_Year]]*100+Table1[[#This Row],[Fiscal_Week]] &amp; "-" &amp;Table1[[#This Row],[BRAND]]</f>
        <v>0-</v>
      </c>
      <c r="C1829" s="19" t="str">
        <f>Table1[[#This Row],[Fiscal_Year]]&amp;"-"&amp;Table1[[#This Row],[BRAND]]</f>
        <v>-</v>
      </c>
      <c r="J1829" t="e">
        <f>VLOOKUP(H1829,DC_Xref!A:B,2,FALSE)</f>
        <v>#N/A</v>
      </c>
      <c r="K1829">
        <f t="shared" si="28"/>
        <v>0</v>
      </c>
      <c r="L18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29" s="3">
        <f>IFERROR(INDEX(Table3[#All],MATCH(Table1[[#This Row],[Key_Year_Week_Brand]],Table3[[#All],[Key_Year_Week_Brand]],0),MATCH(Table1[[#This Row],[DC_name_Xref]],Table3[#Headers],0)),0)</f>
        <v>0</v>
      </c>
      <c r="O1829" s="19">
        <f>IFERROR(INDEX(Table35[#All],MATCH(Table1[[#This Row],[Key_Year_Week_Brand]],Table35[[#All],[Key_Year_Month_Brand]],0),MATCH(Table1[[#This Row],[DC_name_Xref]],Table35[#Headers],0)),0)</f>
        <v>0</v>
      </c>
    </row>
    <row r="1830" spans="1:15" x14ac:dyDescent="0.3">
      <c r="A1830" s="19" t="e">
        <f>Table1[[#This Row],[Year_Week]]&amp;"-"&amp;Table1[[#This Row],[DC_name_Xref]]</f>
        <v>#N/A</v>
      </c>
      <c r="B1830" s="19" t="str">
        <f>Table1[[#This Row],[Fiscal_Year]]*100+Table1[[#This Row],[Fiscal_Week]] &amp; "-" &amp;Table1[[#This Row],[BRAND]]</f>
        <v>0-</v>
      </c>
      <c r="C1830" s="19" t="str">
        <f>Table1[[#This Row],[Fiscal_Year]]&amp;"-"&amp;Table1[[#This Row],[BRAND]]</f>
        <v>-</v>
      </c>
      <c r="J1830" t="e">
        <f>VLOOKUP(H1830,DC_Xref!A:B,2,FALSE)</f>
        <v>#N/A</v>
      </c>
      <c r="K1830">
        <f t="shared" si="28"/>
        <v>0</v>
      </c>
      <c r="L18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0" s="3">
        <f>IFERROR(INDEX(Table3[#All],MATCH(Table1[[#This Row],[Key_Year_Week_Brand]],Table3[[#All],[Key_Year_Week_Brand]],0),MATCH(Table1[[#This Row],[DC_name_Xref]],Table3[#Headers],0)),0)</f>
        <v>0</v>
      </c>
      <c r="O1830" s="19">
        <f>IFERROR(INDEX(Table35[#All],MATCH(Table1[[#This Row],[Key_Year_Week_Brand]],Table35[[#All],[Key_Year_Month_Brand]],0),MATCH(Table1[[#This Row],[DC_name_Xref]],Table35[#Headers],0)),0)</f>
        <v>0</v>
      </c>
    </row>
    <row r="1831" spans="1:15" x14ac:dyDescent="0.3">
      <c r="A1831" s="19" t="e">
        <f>Table1[[#This Row],[Year_Week]]&amp;"-"&amp;Table1[[#This Row],[DC_name_Xref]]</f>
        <v>#N/A</v>
      </c>
      <c r="B1831" s="19" t="str">
        <f>Table1[[#This Row],[Fiscal_Year]]*100+Table1[[#This Row],[Fiscal_Week]] &amp; "-" &amp;Table1[[#This Row],[BRAND]]</f>
        <v>0-</v>
      </c>
      <c r="C1831" s="19" t="str">
        <f>Table1[[#This Row],[Fiscal_Year]]&amp;"-"&amp;Table1[[#This Row],[BRAND]]</f>
        <v>-</v>
      </c>
      <c r="J1831" t="e">
        <f>VLOOKUP(H1831,DC_Xref!A:B,2,FALSE)</f>
        <v>#N/A</v>
      </c>
      <c r="K1831">
        <f t="shared" si="28"/>
        <v>0</v>
      </c>
      <c r="L18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1" s="3">
        <f>IFERROR(INDEX(Table3[#All],MATCH(Table1[[#This Row],[Key_Year_Week_Brand]],Table3[[#All],[Key_Year_Week_Brand]],0),MATCH(Table1[[#This Row],[DC_name_Xref]],Table3[#Headers],0)),0)</f>
        <v>0</v>
      </c>
      <c r="O1831" s="19">
        <f>IFERROR(INDEX(Table35[#All],MATCH(Table1[[#This Row],[Key_Year_Week_Brand]],Table35[[#All],[Key_Year_Month_Brand]],0),MATCH(Table1[[#This Row],[DC_name_Xref]],Table35[#Headers],0)),0)</f>
        <v>0</v>
      </c>
    </row>
    <row r="1832" spans="1:15" x14ac:dyDescent="0.3">
      <c r="A1832" s="19" t="e">
        <f>Table1[[#This Row],[Year_Week]]&amp;"-"&amp;Table1[[#This Row],[DC_name_Xref]]</f>
        <v>#N/A</v>
      </c>
      <c r="B1832" s="19" t="str">
        <f>Table1[[#This Row],[Fiscal_Year]]*100+Table1[[#This Row],[Fiscal_Week]] &amp; "-" &amp;Table1[[#This Row],[BRAND]]</f>
        <v>0-</v>
      </c>
      <c r="C1832" s="19" t="str">
        <f>Table1[[#This Row],[Fiscal_Year]]&amp;"-"&amp;Table1[[#This Row],[BRAND]]</f>
        <v>-</v>
      </c>
      <c r="J1832" t="e">
        <f>VLOOKUP(H1832,DC_Xref!A:B,2,FALSE)</f>
        <v>#N/A</v>
      </c>
      <c r="K1832">
        <f t="shared" si="28"/>
        <v>0</v>
      </c>
      <c r="L18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2" s="3">
        <f>IFERROR(INDEX(Table3[#All],MATCH(Table1[[#This Row],[Key_Year_Week_Brand]],Table3[[#All],[Key_Year_Week_Brand]],0),MATCH(Table1[[#This Row],[DC_name_Xref]],Table3[#Headers],0)),0)</f>
        <v>0</v>
      </c>
      <c r="O1832" s="19">
        <f>IFERROR(INDEX(Table35[#All],MATCH(Table1[[#This Row],[Key_Year_Week_Brand]],Table35[[#All],[Key_Year_Month_Brand]],0),MATCH(Table1[[#This Row],[DC_name_Xref]],Table35[#Headers],0)),0)</f>
        <v>0</v>
      </c>
    </row>
    <row r="1833" spans="1:15" x14ac:dyDescent="0.3">
      <c r="A1833" s="19" t="e">
        <f>Table1[[#This Row],[Year_Week]]&amp;"-"&amp;Table1[[#This Row],[DC_name_Xref]]</f>
        <v>#N/A</v>
      </c>
      <c r="B1833" s="19" t="str">
        <f>Table1[[#This Row],[Fiscal_Year]]*100+Table1[[#This Row],[Fiscal_Week]] &amp; "-" &amp;Table1[[#This Row],[BRAND]]</f>
        <v>0-</v>
      </c>
      <c r="C1833" s="19" t="str">
        <f>Table1[[#This Row],[Fiscal_Year]]&amp;"-"&amp;Table1[[#This Row],[BRAND]]</f>
        <v>-</v>
      </c>
      <c r="J1833" t="e">
        <f>VLOOKUP(H1833,DC_Xref!A:B,2,FALSE)</f>
        <v>#N/A</v>
      </c>
      <c r="K1833">
        <f t="shared" si="28"/>
        <v>0</v>
      </c>
      <c r="L18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3" s="3">
        <f>IFERROR(INDEX(Table3[#All],MATCH(Table1[[#This Row],[Key_Year_Week_Brand]],Table3[[#All],[Key_Year_Week_Brand]],0),MATCH(Table1[[#This Row],[DC_name_Xref]],Table3[#Headers],0)),0)</f>
        <v>0</v>
      </c>
      <c r="O1833" s="19">
        <f>IFERROR(INDEX(Table35[#All],MATCH(Table1[[#This Row],[Key_Year_Week_Brand]],Table35[[#All],[Key_Year_Month_Brand]],0),MATCH(Table1[[#This Row],[DC_name_Xref]],Table35[#Headers],0)),0)</f>
        <v>0</v>
      </c>
    </row>
    <row r="1834" spans="1:15" x14ac:dyDescent="0.3">
      <c r="A1834" s="19" t="e">
        <f>Table1[[#This Row],[Year_Week]]&amp;"-"&amp;Table1[[#This Row],[DC_name_Xref]]</f>
        <v>#N/A</v>
      </c>
      <c r="B1834" s="19" t="str">
        <f>Table1[[#This Row],[Fiscal_Year]]*100+Table1[[#This Row],[Fiscal_Week]] &amp; "-" &amp;Table1[[#This Row],[BRAND]]</f>
        <v>0-</v>
      </c>
      <c r="C1834" s="19" t="str">
        <f>Table1[[#This Row],[Fiscal_Year]]&amp;"-"&amp;Table1[[#This Row],[BRAND]]</f>
        <v>-</v>
      </c>
      <c r="J1834" t="e">
        <f>VLOOKUP(H1834,DC_Xref!A:B,2,FALSE)</f>
        <v>#N/A</v>
      </c>
      <c r="K1834">
        <f t="shared" si="28"/>
        <v>0</v>
      </c>
      <c r="L18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4" s="3">
        <f>IFERROR(INDEX(Table3[#All],MATCH(Table1[[#This Row],[Key_Year_Week_Brand]],Table3[[#All],[Key_Year_Week_Brand]],0),MATCH(Table1[[#This Row],[DC_name_Xref]],Table3[#Headers],0)),0)</f>
        <v>0</v>
      </c>
      <c r="O1834" s="19">
        <f>IFERROR(INDEX(Table35[#All],MATCH(Table1[[#This Row],[Key_Year_Week_Brand]],Table35[[#All],[Key_Year_Month_Brand]],0),MATCH(Table1[[#This Row],[DC_name_Xref]],Table35[#Headers],0)),0)</f>
        <v>0</v>
      </c>
    </row>
    <row r="1835" spans="1:15" x14ac:dyDescent="0.3">
      <c r="A1835" s="19" t="e">
        <f>Table1[[#This Row],[Year_Week]]&amp;"-"&amp;Table1[[#This Row],[DC_name_Xref]]</f>
        <v>#N/A</v>
      </c>
      <c r="B1835" s="19" t="str">
        <f>Table1[[#This Row],[Fiscal_Year]]*100+Table1[[#This Row],[Fiscal_Week]] &amp; "-" &amp;Table1[[#This Row],[BRAND]]</f>
        <v>0-</v>
      </c>
      <c r="C1835" s="19" t="str">
        <f>Table1[[#This Row],[Fiscal_Year]]&amp;"-"&amp;Table1[[#This Row],[BRAND]]</f>
        <v>-</v>
      </c>
      <c r="J1835" t="e">
        <f>VLOOKUP(H1835,DC_Xref!A:B,2,FALSE)</f>
        <v>#N/A</v>
      </c>
      <c r="K1835">
        <f t="shared" si="28"/>
        <v>0</v>
      </c>
      <c r="L18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5" s="3">
        <f>IFERROR(INDEX(Table3[#All],MATCH(Table1[[#This Row],[Key_Year_Week_Brand]],Table3[[#All],[Key_Year_Week_Brand]],0),MATCH(Table1[[#This Row],[DC_name_Xref]],Table3[#Headers],0)),0)</f>
        <v>0</v>
      </c>
      <c r="O1835" s="19">
        <f>IFERROR(INDEX(Table35[#All],MATCH(Table1[[#This Row],[Key_Year_Week_Brand]],Table35[[#All],[Key_Year_Month_Brand]],0),MATCH(Table1[[#This Row],[DC_name_Xref]],Table35[#Headers],0)),0)</f>
        <v>0</v>
      </c>
    </row>
    <row r="1836" spans="1:15" x14ac:dyDescent="0.3">
      <c r="A1836" s="19" t="e">
        <f>Table1[[#This Row],[Year_Week]]&amp;"-"&amp;Table1[[#This Row],[DC_name_Xref]]</f>
        <v>#N/A</v>
      </c>
      <c r="B1836" s="19" t="str">
        <f>Table1[[#This Row],[Fiscal_Year]]*100+Table1[[#This Row],[Fiscal_Week]] &amp; "-" &amp;Table1[[#This Row],[BRAND]]</f>
        <v>0-</v>
      </c>
      <c r="C1836" s="19" t="str">
        <f>Table1[[#This Row],[Fiscal_Year]]&amp;"-"&amp;Table1[[#This Row],[BRAND]]</f>
        <v>-</v>
      </c>
      <c r="J1836" t="e">
        <f>VLOOKUP(H1836,DC_Xref!A:B,2,FALSE)</f>
        <v>#N/A</v>
      </c>
      <c r="K1836">
        <f t="shared" si="28"/>
        <v>0</v>
      </c>
      <c r="L18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6" s="3">
        <f>IFERROR(INDEX(Table3[#All],MATCH(Table1[[#This Row],[Key_Year_Week_Brand]],Table3[[#All],[Key_Year_Week_Brand]],0),MATCH(Table1[[#This Row],[DC_name_Xref]],Table3[#Headers],0)),0)</f>
        <v>0</v>
      </c>
      <c r="O1836" s="19">
        <f>IFERROR(INDEX(Table35[#All],MATCH(Table1[[#This Row],[Key_Year_Week_Brand]],Table35[[#All],[Key_Year_Month_Brand]],0),MATCH(Table1[[#This Row],[DC_name_Xref]],Table35[#Headers],0)),0)</f>
        <v>0</v>
      </c>
    </row>
    <row r="1837" spans="1:15" x14ac:dyDescent="0.3">
      <c r="A1837" s="19" t="e">
        <f>Table1[[#This Row],[Year_Week]]&amp;"-"&amp;Table1[[#This Row],[DC_name_Xref]]</f>
        <v>#N/A</v>
      </c>
      <c r="B1837" s="19" t="str">
        <f>Table1[[#This Row],[Fiscal_Year]]*100+Table1[[#This Row],[Fiscal_Week]] &amp; "-" &amp;Table1[[#This Row],[BRAND]]</f>
        <v>0-</v>
      </c>
      <c r="C1837" s="19" t="str">
        <f>Table1[[#This Row],[Fiscal_Year]]&amp;"-"&amp;Table1[[#This Row],[BRAND]]</f>
        <v>-</v>
      </c>
      <c r="J1837" t="e">
        <f>VLOOKUP(H1837,DC_Xref!A:B,2,FALSE)</f>
        <v>#N/A</v>
      </c>
      <c r="K1837">
        <f t="shared" si="28"/>
        <v>0</v>
      </c>
      <c r="L18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7" s="3">
        <f>IFERROR(INDEX(Table3[#All],MATCH(Table1[[#This Row],[Key_Year_Week_Brand]],Table3[[#All],[Key_Year_Week_Brand]],0),MATCH(Table1[[#This Row],[DC_name_Xref]],Table3[#Headers],0)),0)</f>
        <v>0</v>
      </c>
      <c r="O1837" s="19">
        <f>IFERROR(INDEX(Table35[#All],MATCH(Table1[[#This Row],[Key_Year_Week_Brand]],Table35[[#All],[Key_Year_Month_Brand]],0),MATCH(Table1[[#This Row],[DC_name_Xref]],Table35[#Headers],0)),0)</f>
        <v>0</v>
      </c>
    </row>
    <row r="1838" spans="1:15" x14ac:dyDescent="0.3">
      <c r="A1838" s="19" t="e">
        <f>Table1[[#This Row],[Year_Week]]&amp;"-"&amp;Table1[[#This Row],[DC_name_Xref]]</f>
        <v>#N/A</v>
      </c>
      <c r="B1838" s="19" t="str">
        <f>Table1[[#This Row],[Fiscal_Year]]*100+Table1[[#This Row],[Fiscal_Week]] &amp; "-" &amp;Table1[[#This Row],[BRAND]]</f>
        <v>0-</v>
      </c>
      <c r="C1838" s="19" t="str">
        <f>Table1[[#This Row],[Fiscal_Year]]&amp;"-"&amp;Table1[[#This Row],[BRAND]]</f>
        <v>-</v>
      </c>
      <c r="J1838" t="e">
        <f>VLOOKUP(H1838,DC_Xref!A:B,2,FALSE)</f>
        <v>#N/A</v>
      </c>
      <c r="K1838">
        <f t="shared" si="28"/>
        <v>0</v>
      </c>
      <c r="L18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8" s="3">
        <f>IFERROR(INDEX(Table3[#All],MATCH(Table1[[#This Row],[Key_Year_Week_Brand]],Table3[[#All],[Key_Year_Week_Brand]],0),MATCH(Table1[[#This Row],[DC_name_Xref]],Table3[#Headers],0)),0)</f>
        <v>0</v>
      </c>
      <c r="O1838" s="19">
        <f>IFERROR(INDEX(Table35[#All],MATCH(Table1[[#This Row],[Key_Year_Week_Brand]],Table35[[#All],[Key_Year_Month_Brand]],0),MATCH(Table1[[#This Row],[DC_name_Xref]],Table35[#Headers],0)),0)</f>
        <v>0</v>
      </c>
    </row>
    <row r="1839" spans="1:15" x14ac:dyDescent="0.3">
      <c r="A1839" s="19" t="e">
        <f>Table1[[#This Row],[Year_Week]]&amp;"-"&amp;Table1[[#This Row],[DC_name_Xref]]</f>
        <v>#N/A</v>
      </c>
      <c r="B1839" s="19" t="str">
        <f>Table1[[#This Row],[Fiscal_Year]]*100+Table1[[#This Row],[Fiscal_Week]] &amp; "-" &amp;Table1[[#This Row],[BRAND]]</f>
        <v>0-</v>
      </c>
      <c r="C1839" s="19" t="str">
        <f>Table1[[#This Row],[Fiscal_Year]]&amp;"-"&amp;Table1[[#This Row],[BRAND]]</f>
        <v>-</v>
      </c>
      <c r="J1839" t="e">
        <f>VLOOKUP(H1839,DC_Xref!A:B,2,FALSE)</f>
        <v>#N/A</v>
      </c>
      <c r="K1839">
        <f t="shared" si="28"/>
        <v>0</v>
      </c>
      <c r="L18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39" s="3">
        <f>IFERROR(INDEX(Table3[#All],MATCH(Table1[[#This Row],[Key_Year_Week_Brand]],Table3[[#All],[Key_Year_Week_Brand]],0),MATCH(Table1[[#This Row],[DC_name_Xref]],Table3[#Headers],0)),0)</f>
        <v>0</v>
      </c>
      <c r="O1839" s="19">
        <f>IFERROR(INDEX(Table35[#All],MATCH(Table1[[#This Row],[Key_Year_Week_Brand]],Table35[[#All],[Key_Year_Month_Brand]],0),MATCH(Table1[[#This Row],[DC_name_Xref]],Table35[#Headers],0)),0)</f>
        <v>0</v>
      </c>
    </row>
    <row r="1840" spans="1:15" x14ac:dyDescent="0.3">
      <c r="A1840" s="19" t="e">
        <f>Table1[[#This Row],[Year_Week]]&amp;"-"&amp;Table1[[#This Row],[DC_name_Xref]]</f>
        <v>#N/A</v>
      </c>
      <c r="B1840" s="19" t="str">
        <f>Table1[[#This Row],[Fiscal_Year]]*100+Table1[[#This Row],[Fiscal_Week]] &amp; "-" &amp;Table1[[#This Row],[BRAND]]</f>
        <v>0-</v>
      </c>
      <c r="C1840" s="19" t="str">
        <f>Table1[[#This Row],[Fiscal_Year]]&amp;"-"&amp;Table1[[#This Row],[BRAND]]</f>
        <v>-</v>
      </c>
      <c r="J1840" t="e">
        <f>VLOOKUP(H1840,DC_Xref!A:B,2,FALSE)</f>
        <v>#N/A</v>
      </c>
      <c r="K1840">
        <f t="shared" si="28"/>
        <v>0</v>
      </c>
      <c r="L18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0" s="3">
        <f>IFERROR(INDEX(Table3[#All],MATCH(Table1[[#This Row],[Key_Year_Week_Brand]],Table3[[#All],[Key_Year_Week_Brand]],0),MATCH(Table1[[#This Row],[DC_name_Xref]],Table3[#Headers],0)),0)</f>
        <v>0</v>
      </c>
      <c r="O1840" s="19">
        <f>IFERROR(INDEX(Table35[#All],MATCH(Table1[[#This Row],[Key_Year_Week_Brand]],Table35[[#All],[Key_Year_Month_Brand]],0),MATCH(Table1[[#This Row],[DC_name_Xref]],Table35[#Headers],0)),0)</f>
        <v>0</v>
      </c>
    </row>
    <row r="1841" spans="1:15" x14ac:dyDescent="0.3">
      <c r="A1841" s="19" t="e">
        <f>Table1[[#This Row],[Year_Week]]&amp;"-"&amp;Table1[[#This Row],[DC_name_Xref]]</f>
        <v>#N/A</v>
      </c>
      <c r="B1841" s="19" t="str">
        <f>Table1[[#This Row],[Fiscal_Year]]*100+Table1[[#This Row],[Fiscal_Week]] &amp; "-" &amp;Table1[[#This Row],[BRAND]]</f>
        <v>0-</v>
      </c>
      <c r="C1841" s="19" t="str">
        <f>Table1[[#This Row],[Fiscal_Year]]&amp;"-"&amp;Table1[[#This Row],[BRAND]]</f>
        <v>-</v>
      </c>
      <c r="J1841" t="e">
        <f>VLOOKUP(H1841,DC_Xref!A:B,2,FALSE)</f>
        <v>#N/A</v>
      </c>
      <c r="K1841">
        <f t="shared" si="28"/>
        <v>0</v>
      </c>
      <c r="L18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1" s="3">
        <f>IFERROR(INDEX(Table3[#All],MATCH(Table1[[#This Row],[Key_Year_Week_Brand]],Table3[[#All],[Key_Year_Week_Brand]],0),MATCH(Table1[[#This Row],[DC_name_Xref]],Table3[#Headers],0)),0)</f>
        <v>0</v>
      </c>
      <c r="O1841" s="19">
        <f>IFERROR(INDEX(Table35[#All],MATCH(Table1[[#This Row],[Key_Year_Week_Brand]],Table35[[#All],[Key_Year_Month_Brand]],0),MATCH(Table1[[#This Row],[DC_name_Xref]],Table35[#Headers],0)),0)</f>
        <v>0</v>
      </c>
    </row>
    <row r="1842" spans="1:15" x14ac:dyDescent="0.3">
      <c r="A1842" s="19" t="e">
        <f>Table1[[#This Row],[Year_Week]]&amp;"-"&amp;Table1[[#This Row],[DC_name_Xref]]</f>
        <v>#N/A</v>
      </c>
      <c r="B1842" s="19" t="str">
        <f>Table1[[#This Row],[Fiscal_Year]]*100+Table1[[#This Row],[Fiscal_Week]] &amp; "-" &amp;Table1[[#This Row],[BRAND]]</f>
        <v>0-</v>
      </c>
      <c r="C1842" s="19" t="str">
        <f>Table1[[#This Row],[Fiscal_Year]]&amp;"-"&amp;Table1[[#This Row],[BRAND]]</f>
        <v>-</v>
      </c>
      <c r="J1842" t="e">
        <f>VLOOKUP(H1842,DC_Xref!A:B,2,FALSE)</f>
        <v>#N/A</v>
      </c>
      <c r="K1842">
        <f t="shared" si="28"/>
        <v>0</v>
      </c>
      <c r="L18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2" s="3">
        <f>IFERROR(INDEX(Table3[#All],MATCH(Table1[[#This Row],[Key_Year_Week_Brand]],Table3[[#All],[Key_Year_Week_Brand]],0),MATCH(Table1[[#This Row],[DC_name_Xref]],Table3[#Headers],0)),0)</f>
        <v>0</v>
      </c>
      <c r="O1842" s="19">
        <f>IFERROR(INDEX(Table35[#All],MATCH(Table1[[#This Row],[Key_Year_Week_Brand]],Table35[[#All],[Key_Year_Month_Brand]],0),MATCH(Table1[[#This Row],[DC_name_Xref]],Table35[#Headers],0)),0)</f>
        <v>0</v>
      </c>
    </row>
    <row r="1843" spans="1:15" x14ac:dyDescent="0.3">
      <c r="A1843" s="19" t="e">
        <f>Table1[[#This Row],[Year_Week]]&amp;"-"&amp;Table1[[#This Row],[DC_name_Xref]]</f>
        <v>#N/A</v>
      </c>
      <c r="B1843" s="19" t="str">
        <f>Table1[[#This Row],[Fiscal_Year]]*100+Table1[[#This Row],[Fiscal_Week]] &amp; "-" &amp;Table1[[#This Row],[BRAND]]</f>
        <v>0-</v>
      </c>
      <c r="C1843" s="19" t="str">
        <f>Table1[[#This Row],[Fiscal_Year]]&amp;"-"&amp;Table1[[#This Row],[BRAND]]</f>
        <v>-</v>
      </c>
      <c r="J1843" t="e">
        <f>VLOOKUP(H1843,DC_Xref!A:B,2,FALSE)</f>
        <v>#N/A</v>
      </c>
      <c r="K1843">
        <f t="shared" si="28"/>
        <v>0</v>
      </c>
      <c r="L18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3" s="3">
        <f>IFERROR(INDEX(Table3[#All],MATCH(Table1[[#This Row],[Key_Year_Week_Brand]],Table3[[#All],[Key_Year_Week_Brand]],0),MATCH(Table1[[#This Row],[DC_name_Xref]],Table3[#Headers],0)),0)</f>
        <v>0</v>
      </c>
      <c r="O1843" s="19">
        <f>IFERROR(INDEX(Table35[#All],MATCH(Table1[[#This Row],[Key_Year_Week_Brand]],Table35[[#All],[Key_Year_Month_Brand]],0),MATCH(Table1[[#This Row],[DC_name_Xref]],Table35[#Headers],0)),0)</f>
        <v>0</v>
      </c>
    </row>
    <row r="1844" spans="1:15" x14ac:dyDescent="0.3">
      <c r="A1844" s="19" t="e">
        <f>Table1[[#This Row],[Year_Week]]&amp;"-"&amp;Table1[[#This Row],[DC_name_Xref]]</f>
        <v>#N/A</v>
      </c>
      <c r="B1844" s="19" t="str">
        <f>Table1[[#This Row],[Fiscal_Year]]*100+Table1[[#This Row],[Fiscal_Week]] &amp; "-" &amp;Table1[[#This Row],[BRAND]]</f>
        <v>0-</v>
      </c>
      <c r="C1844" s="19" t="str">
        <f>Table1[[#This Row],[Fiscal_Year]]&amp;"-"&amp;Table1[[#This Row],[BRAND]]</f>
        <v>-</v>
      </c>
      <c r="J1844" t="e">
        <f>VLOOKUP(H1844,DC_Xref!A:B,2,FALSE)</f>
        <v>#N/A</v>
      </c>
      <c r="K1844">
        <f t="shared" si="28"/>
        <v>0</v>
      </c>
      <c r="L18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4" s="3">
        <f>IFERROR(INDEX(Table3[#All],MATCH(Table1[[#This Row],[Key_Year_Week_Brand]],Table3[[#All],[Key_Year_Week_Brand]],0),MATCH(Table1[[#This Row],[DC_name_Xref]],Table3[#Headers],0)),0)</f>
        <v>0</v>
      </c>
      <c r="O1844" s="19">
        <f>IFERROR(INDEX(Table35[#All],MATCH(Table1[[#This Row],[Key_Year_Week_Brand]],Table35[[#All],[Key_Year_Month_Brand]],0),MATCH(Table1[[#This Row],[DC_name_Xref]],Table35[#Headers],0)),0)</f>
        <v>0</v>
      </c>
    </row>
    <row r="1845" spans="1:15" x14ac:dyDescent="0.3">
      <c r="A1845" s="19" t="e">
        <f>Table1[[#This Row],[Year_Week]]&amp;"-"&amp;Table1[[#This Row],[DC_name_Xref]]</f>
        <v>#N/A</v>
      </c>
      <c r="B1845" s="19" t="str">
        <f>Table1[[#This Row],[Fiscal_Year]]*100+Table1[[#This Row],[Fiscal_Week]] &amp; "-" &amp;Table1[[#This Row],[BRAND]]</f>
        <v>0-</v>
      </c>
      <c r="C1845" s="19" t="str">
        <f>Table1[[#This Row],[Fiscal_Year]]&amp;"-"&amp;Table1[[#This Row],[BRAND]]</f>
        <v>-</v>
      </c>
      <c r="J1845" t="e">
        <f>VLOOKUP(H1845,DC_Xref!A:B,2,FALSE)</f>
        <v>#N/A</v>
      </c>
      <c r="K1845">
        <f t="shared" si="28"/>
        <v>0</v>
      </c>
      <c r="L18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5" s="3">
        <f>IFERROR(INDEX(Table3[#All],MATCH(Table1[[#This Row],[Key_Year_Week_Brand]],Table3[[#All],[Key_Year_Week_Brand]],0),MATCH(Table1[[#This Row],[DC_name_Xref]],Table3[#Headers],0)),0)</f>
        <v>0</v>
      </c>
      <c r="O1845" s="19">
        <f>IFERROR(INDEX(Table35[#All],MATCH(Table1[[#This Row],[Key_Year_Week_Brand]],Table35[[#All],[Key_Year_Month_Brand]],0),MATCH(Table1[[#This Row],[DC_name_Xref]],Table35[#Headers],0)),0)</f>
        <v>0</v>
      </c>
    </row>
    <row r="1846" spans="1:15" x14ac:dyDescent="0.3">
      <c r="A1846" s="19" t="e">
        <f>Table1[[#This Row],[Year_Week]]&amp;"-"&amp;Table1[[#This Row],[DC_name_Xref]]</f>
        <v>#N/A</v>
      </c>
      <c r="B1846" s="19" t="str">
        <f>Table1[[#This Row],[Fiscal_Year]]*100+Table1[[#This Row],[Fiscal_Week]] &amp; "-" &amp;Table1[[#This Row],[BRAND]]</f>
        <v>0-</v>
      </c>
      <c r="C1846" s="19" t="str">
        <f>Table1[[#This Row],[Fiscal_Year]]&amp;"-"&amp;Table1[[#This Row],[BRAND]]</f>
        <v>-</v>
      </c>
      <c r="J1846" t="e">
        <f>VLOOKUP(H1846,DC_Xref!A:B,2,FALSE)</f>
        <v>#N/A</v>
      </c>
      <c r="K1846">
        <f t="shared" si="28"/>
        <v>0</v>
      </c>
      <c r="L18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6" s="3">
        <f>IFERROR(INDEX(Table3[#All],MATCH(Table1[[#This Row],[Key_Year_Week_Brand]],Table3[[#All],[Key_Year_Week_Brand]],0),MATCH(Table1[[#This Row],[DC_name_Xref]],Table3[#Headers],0)),0)</f>
        <v>0</v>
      </c>
      <c r="O1846" s="19">
        <f>IFERROR(INDEX(Table35[#All],MATCH(Table1[[#This Row],[Key_Year_Week_Brand]],Table35[[#All],[Key_Year_Month_Brand]],0),MATCH(Table1[[#This Row],[DC_name_Xref]],Table35[#Headers],0)),0)</f>
        <v>0</v>
      </c>
    </row>
    <row r="1847" spans="1:15" x14ac:dyDescent="0.3">
      <c r="A1847" s="19" t="e">
        <f>Table1[[#This Row],[Year_Week]]&amp;"-"&amp;Table1[[#This Row],[DC_name_Xref]]</f>
        <v>#N/A</v>
      </c>
      <c r="B1847" s="19" t="str">
        <f>Table1[[#This Row],[Fiscal_Year]]*100+Table1[[#This Row],[Fiscal_Week]] &amp; "-" &amp;Table1[[#This Row],[BRAND]]</f>
        <v>0-</v>
      </c>
      <c r="C1847" s="19" t="str">
        <f>Table1[[#This Row],[Fiscal_Year]]&amp;"-"&amp;Table1[[#This Row],[BRAND]]</f>
        <v>-</v>
      </c>
      <c r="J1847" t="e">
        <f>VLOOKUP(H1847,DC_Xref!A:B,2,FALSE)</f>
        <v>#N/A</v>
      </c>
      <c r="K1847">
        <f t="shared" si="28"/>
        <v>0</v>
      </c>
      <c r="L18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7" s="3">
        <f>IFERROR(INDEX(Table3[#All],MATCH(Table1[[#This Row],[Key_Year_Week_Brand]],Table3[[#All],[Key_Year_Week_Brand]],0),MATCH(Table1[[#This Row],[DC_name_Xref]],Table3[#Headers],0)),0)</f>
        <v>0</v>
      </c>
      <c r="O1847" s="19">
        <f>IFERROR(INDEX(Table35[#All],MATCH(Table1[[#This Row],[Key_Year_Week_Brand]],Table35[[#All],[Key_Year_Month_Brand]],0),MATCH(Table1[[#This Row],[DC_name_Xref]],Table35[#Headers],0)),0)</f>
        <v>0</v>
      </c>
    </row>
    <row r="1848" spans="1:15" x14ac:dyDescent="0.3">
      <c r="A1848" s="19" t="e">
        <f>Table1[[#This Row],[Year_Week]]&amp;"-"&amp;Table1[[#This Row],[DC_name_Xref]]</f>
        <v>#N/A</v>
      </c>
      <c r="B1848" s="19" t="str">
        <f>Table1[[#This Row],[Fiscal_Year]]*100+Table1[[#This Row],[Fiscal_Week]] &amp; "-" &amp;Table1[[#This Row],[BRAND]]</f>
        <v>0-</v>
      </c>
      <c r="C1848" s="19" t="str">
        <f>Table1[[#This Row],[Fiscal_Year]]&amp;"-"&amp;Table1[[#This Row],[BRAND]]</f>
        <v>-</v>
      </c>
      <c r="J1848" t="e">
        <f>VLOOKUP(H1848,DC_Xref!A:B,2,FALSE)</f>
        <v>#N/A</v>
      </c>
      <c r="K1848">
        <f t="shared" si="28"/>
        <v>0</v>
      </c>
      <c r="L18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8" s="3">
        <f>IFERROR(INDEX(Table3[#All],MATCH(Table1[[#This Row],[Key_Year_Week_Brand]],Table3[[#All],[Key_Year_Week_Brand]],0),MATCH(Table1[[#This Row],[DC_name_Xref]],Table3[#Headers],0)),0)</f>
        <v>0</v>
      </c>
      <c r="O1848" s="19">
        <f>IFERROR(INDEX(Table35[#All],MATCH(Table1[[#This Row],[Key_Year_Week_Brand]],Table35[[#All],[Key_Year_Month_Brand]],0),MATCH(Table1[[#This Row],[DC_name_Xref]],Table35[#Headers],0)),0)</f>
        <v>0</v>
      </c>
    </row>
    <row r="1849" spans="1:15" x14ac:dyDescent="0.3">
      <c r="A1849" s="19" t="e">
        <f>Table1[[#This Row],[Year_Week]]&amp;"-"&amp;Table1[[#This Row],[DC_name_Xref]]</f>
        <v>#N/A</v>
      </c>
      <c r="B1849" s="19" t="str">
        <f>Table1[[#This Row],[Fiscal_Year]]*100+Table1[[#This Row],[Fiscal_Week]] &amp; "-" &amp;Table1[[#This Row],[BRAND]]</f>
        <v>0-</v>
      </c>
      <c r="C1849" s="19" t="str">
        <f>Table1[[#This Row],[Fiscal_Year]]&amp;"-"&amp;Table1[[#This Row],[BRAND]]</f>
        <v>-</v>
      </c>
      <c r="J1849" t="e">
        <f>VLOOKUP(H1849,DC_Xref!A:B,2,FALSE)</f>
        <v>#N/A</v>
      </c>
      <c r="K1849">
        <f t="shared" si="28"/>
        <v>0</v>
      </c>
      <c r="L18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49" s="3">
        <f>IFERROR(INDEX(Table3[#All],MATCH(Table1[[#This Row],[Key_Year_Week_Brand]],Table3[[#All],[Key_Year_Week_Brand]],0),MATCH(Table1[[#This Row],[DC_name_Xref]],Table3[#Headers],0)),0)</f>
        <v>0</v>
      </c>
      <c r="O1849" s="19">
        <f>IFERROR(INDEX(Table35[#All],MATCH(Table1[[#This Row],[Key_Year_Week_Brand]],Table35[[#All],[Key_Year_Month_Brand]],0),MATCH(Table1[[#This Row],[DC_name_Xref]],Table35[#Headers],0)),0)</f>
        <v>0</v>
      </c>
    </row>
    <row r="1850" spans="1:15" x14ac:dyDescent="0.3">
      <c r="A1850" s="19" t="e">
        <f>Table1[[#This Row],[Year_Week]]&amp;"-"&amp;Table1[[#This Row],[DC_name_Xref]]</f>
        <v>#N/A</v>
      </c>
      <c r="B1850" s="19" t="str">
        <f>Table1[[#This Row],[Fiscal_Year]]*100+Table1[[#This Row],[Fiscal_Week]] &amp; "-" &amp;Table1[[#This Row],[BRAND]]</f>
        <v>0-</v>
      </c>
      <c r="C1850" s="19" t="str">
        <f>Table1[[#This Row],[Fiscal_Year]]&amp;"-"&amp;Table1[[#This Row],[BRAND]]</f>
        <v>-</v>
      </c>
      <c r="J1850" t="e">
        <f>VLOOKUP(H1850,DC_Xref!A:B,2,FALSE)</f>
        <v>#N/A</v>
      </c>
      <c r="K1850">
        <f t="shared" si="28"/>
        <v>0</v>
      </c>
      <c r="L18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0" s="3">
        <f>IFERROR(INDEX(Table3[#All],MATCH(Table1[[#This Row],[Key_Year_Week_Brand]],Table3[[#All],[Key_Year_Week_Brand]],0),MATCH(Table1[[#This Row],[DC_name_Xref]],Table3[#Headers],0)),0)</f>
        <v>0</v>
      </c>
      <c r="O1850" s="19">
        <f>IFERROR(INDEX(Table35[#All],MATCH(Table1[[#This Row],[Key_Year_Week_Brand]],Table35[[#All],[Key_Year_Month_Brand]],0),MATCH(Table1[[#This Row],[DC_name_Xref]],Table35[#Headers],0)),0)</f>
        <v>0</v>
      </c>
    </row>
    <row r="1851" spans="1:15" x14ac:dyDescent="0.3">
      <c r="A1851" s="19" t="e">
        <f>Table1[[#This Row],[Year_Week]]&amp;"-"&amp;Table1[[#This Row],[DC_name_Xref]]</f>
        <v>#N/A</v>
      </c>
      <c r="B1851" s="19" t="str">
        <f>Table1[[#This Row],[Fiscal_Year]]*100+Table1[[#This Row],[Fiscal_Week]] &amp; "-" &amp;Table1[[#This Row],[BRAND]]</f>
        <v>0-</v>
      </c>
      <c r="C1851" s="19" t="str">
        <f>Table1[[#This Row],[Fiscal_Year]]&amp;"-"&amp;Table1[[#This Row],[BRAND]]</f>
        <v>-</v>
      </c>
      <c r="J1851" t="e">
        <f>VLOOKUP(H1851,DC_Xref!A:B,2,FALSE)</f>
        <v>#N/A</v>
      </c>
      <c r="K1851">
        <f t="shared" si="28"/>
        <v>0</v>
      </c>
      <c r="L18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1" s="3">
        <f>IFERROR(INDEX(Table3[#All],MATCH(Table1[[#This Row],[Key_Year_Week_Brand]],Table3[[#All],[Key_Year_Week_Brand]],0),MATCH(Table1[[#This Row],[DC_name_Xref]],Table3[#Headers],0)),0)</f>
        <v>0</v>
      </c>
      <c r="O1851" s="19">
        <f>IFERROR(INDEX(Table35[#All],MATCH(Table1[[#This Row],[Key_Year_Week_Brand]],Table35[[#All],[Key_Year_Month_Brand]],0),MATCH(Table1[[#This Row],[DC_name_Xref]],Table35[#Headers],0)),0)</f>
        <v>0</v>
      </c>
    </row>
    <row r="1852" spans="1:15" x14ac:dyDescent="0.3">
      <c r="A1852" s="19" t="e">
        <f>Table1[[#This Row],[Year_Week]]&amp;"-"&amp;Table1[[#This Row],[DC_name_Xref]]</f>
        <v>#N/A</v>
      </c>
      <c r="B1852" s="19" t="str">
        <f>Table1[[#This Row],[Fiscal_Year]]*100+Table1[[#This Row],[Fiscal_Week]] &amp; "-" &amp;Table1[[#This Row],[BRAND]]</f>
        <v>0-</v>
      </c>
      <c r="C1852" s="19" t="str">
        <f>Table1[[#This Row],[Fiscal_Year]]&amp;"-"&amp;Table1[[#This Row],[BRAND]]</f>
        <v>-</v>
      </c>
      <c r="J1852" t="e">
        <f>VLOOKUP(H1852,DC_Xref!A:B,2,FALSE)</f>
        <v>#N/A</v>
      </c>
      <c r="K1852">
        <f t="shared" si="28"/>
        <v>0</v>
      </c>
      <c r="L18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2" s="3">
        <f>IFERROR(INDEX(Table3[#All],MATCH(Table1[[#This Row],[Key_Year_Week_Brand]],Table3[[#All],[Key_Year_Week_Brand]],0),MATCH(Table1[[#This Row],[DC_name_Xref]],Table3[#Headers],0)),0)</f>
        <v>0</v>
      </c>
      <c r="O1852" s="19">
        <f>IFERROR(INDEX(Table35[#All],MATCH(Table1[[#This Row],[Key_Year_Week_Brand]],Table35[[#All],[Key_Year_Month_Brand]],0),MATCH(Table1[[#This Row],[DC_name_Xref]],Table35[#Headers],0)),0)</f>
        <v>0</v>
      </c>
    </row>
    <row r="1853" spans="1:15" x14ac:dyDescent="0.3">
      <c r="A1853" s="19" t="e">
        <f>Table1[[#This Row],[Year_Week]]&amp;"-"&amp;Table1[[#This Row],[DC_name_Xref]]</f>
        <v>#N/A</v>
      </c>
      <c r="B1853" s="19" t="str">
        <f>Table1[[#This Row],[Fiscal_Year]]*100+Table1[[#This Row],[Fiscal_Week]] &amp; "-" &amp;Table1[[#This Row],[BRAND]]</f>
        <v>0-</v>
      </c>
      <c r="C1853" s="19" t="str">
        <f>Table1[[#This Row],[Fiscal_Year]]&amp;"-"&amp;Table1[[#This Row],[BRAND]]</f>
        <v>-</v>
      </c>
      <c r="J1853" t="e">
        <f>VLOOKUP(H1853,DC_Xref!A:B,2,FALSE)</f>
        <v>#N/A</v>
      </c>
      <c r="K1853">
        <f t="shared" si="28"/>
        <v>0</v>
      </c>
      <c r="L18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3" s="3">
        <f>IFERROR(INDEX(Table3[#All],MATCH(Table1[[#This Row],[Key_Year_Week_Brand]],Table3[[#All],[Key_Year_Week_Brand]],0),MATCH(Table1[[#This Row],[DC_name_Xref]],Table3[#Headers],0)),0)</f>
        <v>0</v>
      </c>
      <c r="O1853" s="19">
        <f>IFERROR(INDEX(Table35[#All],MATCH(Table1[[#This Row],[Key_Year_Week_Brand]],Table35[[#All],[Key_Year_Month_Brand]],0),MATCH(Table1[[#This Row],[DC_name_Xref]],Table35[#Headers],0)),0)</f>
        <v>0</v>
      </c>
    </row>
    <row r="1854" spans="1:15" x14ac:dyDescent="0.3">
      <c r="A1854" s="19" t="e">
        <f>Table1[[#This Row],[Year_Week]]&amp;"-"&amp;Table1[[#This Row],[DC_name_Xref]]</f>
        <v>#N/A</v>
      </c>
      <c r="B1854" s="19" t="str">
        <f>Table1[[#This Row],[Fiscal_Year]]*100+Table1[[#This Row],[Fiscal_Week]] &amp; "-" &amp;Table1[[#This Row],[BRAND]]</f>
        <v>0-</v>
      </c>
      <c r="C1854" s="19" t="str">
        <f>Table1[[#This Row],[Fiscal_Year]]&amp;"-"&amp;Table1[[#This Row],[BRAND]]</f>
        <v>-</v>
      </c>
      <c r="J1854" t="e">
        <f>VLOOKUP(H1854,DC_Xref!A:B,2,FALSE)</f>
        <v>#N/A</v>
      </c>
      <c r="K1854">
        <f t="shared" si="28"/>
        <v>0</v>
      </c>
      <c r="L18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4" s="3">
        <f>IFERROR(INDEX(Table3[#All],MATCH(Table1[[#This Row],[Key_Year_Week_Brand]],Table3[[#All],[Key_Year_Week_Brand]],0),MATCH(Table1[[#This Row],[DC_name_Xref]],Table3[#Headers],0)),0)</f>
        <v>0</v>
      </c>
      <c r="O1854" s="19">
        <f>IFERROR(INDEX(Table35[#All],MATCH(Table1[[#This Row],[Key_Year_Week_Brand]],Table35[[#All],[Key_Year_Month_Brand]],0),MATCH(Table1[[#This Row],[DC_name_Xref]],Table35[#Headers],0)),0)</f>
        <v>0</v>
      </c>
    </row>
    <row r="1855" spans="1:15" x14ac:dyDescent="0.3">
      <c r="A1855" s="19" t="e">
        <f>Table1[[#This Row],[Year_Week]]&amp;"-"&amp;Table1[[#This Row],[DC_name_Xref]]</f>
        <v>#N/A</v>
      </c>
      <c r="B1855" s="19" t="str">
        <f>Table1[[#This Row],[Fiscal_Year]]*100+Table1[[#This Row],[Fiscal_Week]] &amp; "-" &amp;Table1[[#This Row],[BRAND]]</f>
        <v>0-</v>
      </c>
      <c r="C1855" s="19" t="str">
        <f>Table1[[#This Row],[Fiscal_Year]]&amp;"-"&amp;Table1[[#This Row],[BRAND]]</f>
        <v>-</v>
      </c>
      <c r="J1855" t="e">
        <f>VLOOKUP(H1855,DC_Xref!A:B,2,FALSE)</f>
        <v>#N/A</v>
      </c>
      <c r="K1855">
        <f t="shared" si="28"/>
        <v>0</v>
      </c>
      <c r="L18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5" s="3">
        <f>IFERROR(INDEX(Table3[#All],MATCH(Table1[[#This Row],[Key_Year_Week_Brand]],Table3[[#All],[Key_Year_Week_Brand]],0),MATCH(Table1[[#This Row],[DC_name_Xref]],Table3[#Headers],0)),0)</f>
        <v>0</v>
      </c>
      <c r="O1855" s="19">
        <f>IFERROR(INDEX(Table35[#All],MATCH(Table1[[#This Row],[Key_Year_Week_Brand]],Table35[[#All],[Key_Year_Month_Brand]],0),MATCH(Table1[[#This Row],[DC_name_Xref]],Table35[#Headers],0)),0)</f>
        <v>0</v>
      </c>
    </row>
    <row r="1856" spans="1:15" x14ac:dyDescent="0.3">
      <c r="A1856" s="19" t="e">
        <f>Table1[[#This Row],[Year_Week]]&amp;"-"&amp;Table1[[#This Row],[DC_name_Xref]]</f>
        <v>#N/A</v>
      </c>
      <c r="B1856" s="19" t="str">
        <f>Table1[[#This Row],[Fiscal_Year]]*100+Table1[[#This Row],[Fiscal_Week]] &amp; "-" &amp;Table1[[#This Row],[BRAND]]</f>
        <v>0-</v>
      </c>
      <c r="C1856" s="19" t="str">
        <f>Table1[[#This Row],[Fiscal_Year]]&amp;"-"&amp;Table1[[#This Row],[BRAND]]</f>
        <v>-</v>
      </c>
      <c r="J1856" t="e">
        <f>VLOOKUP(H1856,DC_Xref!A:B,2,FALSE)</f>
        <v>#N/A</v>
      </c>
      <c r="K1856">
        <f t="shared" si="28"/>
        <v>0</v>
      </c>
      <c r="L18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6" s="3">
        <f>IFERROR(INDEX(Table3[#All],MATCH(Table1[[#This Row],[Key_Year_Week_Brand]],Table3[[#All],[Key_Year_Week_Brand]],0),MATCH(Table1[[#This Row],[DC_name_Xref]],Table3[#Headers],0)),0)</f>
        <v>0</v>
      </c>
      <c r="O1856" s="19">
        <f>IFERROR(INDEX(Table35[#All],MATCH(Table1[[#This Row],[Key_Year_Week_Brand]],Table35[[#All],[Key_Year_Month_Brand]],0),MATCH(Table1[[#This Row],[DC_name_Xref]],Table35[#Headers],0)),0)</f>
        <v>0</v>
      </c>
    </row>
    <row r="1857" spans="1:15" x14ac:dyDescent="0.3">
      <c r="A1857" s="19" t="e">
        <f>Table1[[#This Row],[Year_Week]]&amp;"-"&amp;Table1[[#This Row],[DC_name_Xref]]</f>
        <v>#N/A</v>
      </c>
      <c r="B1857" s="19" t="str">
        <f>Table1[[#This Row],[Fiscal_Year]]*100+Table1[[#This Row],[Fiscal_Week]] &amp; "-" &amp;Table1[[#This Row],[BRAND]]</f>
        <v>0-</v>
      </c>
      <c r="C1857" s="19" t="str">
        <f>Table1[[#This Row],[Fiscal_Year]]&amp;"-"&amp;Table1[[#This Row],[BRAND]]</f>
        <v>-</v>
      </c>
      <c r="J1857" t="e">
        <f>VLOOKUP(H1857,DC_Xref!A:B,2,FALSE)</f>
        <v>#N/A</v>
      </c>
      <c r="K1857">
        <f t="shared" si="28"/>
        <v>0</v>
      </c>
      <c r="L18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7" s="3">
        <f>IFERROR(INDEX(Table3[#All],MATCH(Table1[[#This Row],[Key_Year_Week_Brand]],Table3[[#All],[Key_Year_Week_Brand]],0),MATCH(Table1[[#This Row],[DC_name_Xref]],Table3[#Headers],0)),0)</f>
        <v>0</v>
      </c>
      <c r="O1857" s="19">
        <f>IFERROR(INDEX(Table35[#All],MATCH(Table1[[#This Row],[Key_Year_Week_Brand]],Table35[[#All],[Key_Year_Month_Brand]],0),MATCH(Table1[[#This Row],[DC_name_Xref]],Table35[#Headers],0)),0)</f>
        <v>0</v>
      </c>
    </row>
    <row r="1858" spans="1:15" x14ac:dyDescent="0.3">
      <c r="A1858" s="19" t="e">
        <f>Table1[[#This Row],[Year_Week]]&amp;"-"&amp;Table1[[#This Row],[DC_name_Xref]]</f>
        <v>#N/A</v>
      </c>
      <c r="B1858" s="19" t="str">
        <f>Table1[[#This Row],[Fiscal_Year]]*100+Table1[[#This Row],[Fiscal_Week]] &amp; "-" &amp;Table1[[#This Row],[BRAND]]</f>
        <v>0-</v>
      </c>
      <c r="C1858" s="19" t="str">
        <f>Table1[[#This Row],[Fiscal_Year]]&amp;"-"&amp;Table1[[#This Row],[BRAND]]</f>
        <v>-</v>
      </c>
      <c r="J1858" t="e">
        <f>VLOOKUP(H1858,DC_Xref!A:B,2,FALSE)</f>
        <v>#N/A</v>
      </c>
      <c r="K1858">
        <f t="shared" si="28"/>
        <v>0</v>
      </c>
      <c r="L18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8" s="3">
        <f>IFERROR(INDEX(Table3[#All],MATCH(Table1[[#This Row],[Key_Year_Week_Brand]],Table3[[#All],[Key_Year_Week_Brand]],0),MATCH(Table1[[#This Row],[DC_name_Xref]],Table3[#Headers],0)),0)</f>
        <v>0</v>
      </c>
      <c r="O1858" s="19">
        <f>IFERROR(INDEX(Table35[#All],MATCH(Table1[[#This Row],[Key_Year_Week_Brand]],Table35[[#All],[Key_Year_Month_Brand]],0),MATCH(Table1[[#This Row],[DC_name_Xref]],Table35[#Headers],0)),0)</f>
        <v>0</v>
      </c>
    </row>
    <row r="1859" spans="1:15" x14ac:dyDescent="0.3">
      <c r="A1859" s="19" t="e">
        <f>Table1[[#This Row],[Year_Week]]&amp;"-"&amp;Table1[[#This Row],[DC_name_Xref]]</f>
        <v>#N/A</v>
      </c>
      <c r="B1859" s="19" t="str">
        <f>Table1[[#This Row],[Fiscal_Year]]*100+Table1[[#This Row],[Fiscal_Week]] &amp; "-" &amp;Table1[[#This Row],[BRAND]]</f>
        <v>0-</v>
      </c>
      <c r="C1859" s="19" t="str">
        <f>Table1[[#This Row],[Fiscal_Year]]&amp;"-"&amp;Table1[[#This Row],[BRAND]]</f>
        <v>-</v>
      </c>
      <c r="J1859" t="e">
        <f>VLOOKUP(H1859,DC_Xref!A:B,2,FALSE)</f>
        <v>#N/A</v>
      </c>
      <c r="K1859">
        <f t="shared" si="28"/>
        <v>0</v>
      </c>
      <c r="L18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59" s="3">
        <f>IFERROR(INDEX(Table3[#All],MATCH(Table1[[#This Row],[Key_Year_Week_Brand]],Table3[[#All],[Key_Year_Week_Brand]],0),MATCH(Table1[[#This Row],[DC_name_Xref]],Table3[#Headers],0)),0)</f>
        <v>0</v>
      </c>
      <c r="O1859" s="19">
        <f>IFERROR(INDEX(Table35[#All],MATCH(Table1[[#This Row],[Key_Year_Week_Brand]],Table35[[#All],[Key_Year_Month_Brand]],0),MATCH(Table1[[#This Row],[DC_name_Xref]],Table35[#Headers],0)),0)</f>
        <v>0</v>
      </c>
    </row>
    <row r="1860" spans="1:15" x14ac:dyDescent="0.3">
      <c r="A1860" s="19" t="e">
        <f>Table1[[#This Row],[Year_Week]]&amp;"-"&amp;Table1[[#This Row],[DC_name_Xref]]</f>
        <v>#N/A</v>
      </c>
      <c r="B1860" s="19" t="str">
        <f>Table1[[#This Row],[Fiscal_Year]]*100+Table1[[#This Row],[Fiscal_Week]] &amp; "-" &amp;Table1[[#This Row],[BRAND]]</f>
        <v>0-</v>
      </c>
      <c r="C1860" s="19" t="str">
        <f>Table1[[#This Row],[Fiscal_Year]]&amp;"-"&amp;Table1[[#This Row],[BRAND]]</f>
        <v>-</v>
      </c>
      <c r="J1860" t="e">
        <f>VLOOKUP(H1860,DC_Xref!A:B,2,FALSE)</f>
        <v>#N/A</v>
      </c>
      <c r="K1860">
        <f t="shared" si="28"/>
        <v>0</v>
      </c>
      <c r="L18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0" s="3">
        <f>IFERROR(INDEX(Table3[#All],MATCH(Table1[[#This Row],[Key_Year_Week_Brand]],Table3[[#All],[Key_Year_Week_Brand]],0),MATCH(Table1[[#This Row],[DC_name_Xref]],Table3[#Headers],0)),0)</f>
        <v>0</v>
      </c>
      <c r="O1860" s="19">
        <f>IFERROR(INDEX(Table35[#All],MATCH(Table1[[#This Row],[Key_Year_Week_Brand]],Table35[[#All],[Key_Year_Month_Brand]],0),MATCH(Table1[[#This Row],[DC_name_Xref]],Table35[#Headers],0)),0)</f>
        <v>0</v>
      </c>
    </row>
    <row r="1861" spans="1:15" x14ac:dyDescent="0.3">
      <c r="A1861" s="19" t="e">
        <f>Table1[[#This Row],[Year_Week]]&amp;"-"&amp;Table1[[#This Row],[DC_name_Xref]]</f>
        <v>#N/A</v>
      </c>
      <c r="B1861" s="19" t="str">
        <f>Table1[[#This Row],[Fiscal_Year]]*100+Table1[[#This Row],[Fiscal_Week]] &amp; "-" &amp;Table1[[#This Row],[BRAND]]</f>
        <v>0-</v>
      </c>
      <c r="C1861" s="19" t="str">
        <f>Table1[[#This Row],[Fiscal_Year]]&amp;"-"&amp;Table1[[#This Row],[BRAND]]</f>
        <v>-</v>
      </c>
      <c r="J1861" t="e">
        <f>VLOOKUP(H1861,DC_Xref!A:B,2,FALSE)</f>
        <v>#N/A</v>
      </c>
      <c r="K1861">
        <f t="shared" si="28"/>
        <v>0</v>
      </c>
      <c r="L18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1" s="3">
        <f>IFERROR(INDEX(Table3[#All],MATCH(Table1[[#This Row],[Key_Year_Week_Brand]],Table3[[#All],[Key_Year_Week_Brand]],0),MATCH(Table1[[#This Row],[DC_name_Xref]],Table3[#Headers],0)),0)</f>
        <v>0</v>
      </c>
      <c r="O1861" s="19">
        <f>IFERROR(INDEX(Table35[#All],MATCH(Table1[[#This Row],[Key_Year_Week_Brand]],Table35[[#All],[Key_Year_Month_Brand]],0),MATCH(Table1[[#This Row],[DC_name_Xref]],Table35[#Headers],0)),0)</f>
        <v>0</v>
      </c>
    </row>
    <row r="1862" spans="1:15" x14ac:dyDescent="0.3">
      <c r="A1862" s="19" t="e">
        <f>Table1[[#This Row],[Year_Week]]&amp;"-"&amp;Table1[[#This Row],[DC_name_Xref]]</f>
        <v>#N/A</v>
      </c>
      <c r="B1862" s="19" t="str">
        <f>Table1[[#This Row],[Fiscal_Year]]*100+Table1[[#This Row],[Fiscal_Week]] &amp; "-" &amp;Table1[[#This Row],[BRAND]]</f>
        <v>0-</v>
      </c>
      <c r="C1862" s="19" t="str">
        <f>Table1[[#This Row],[Fiscal_Year]]&amp;"-"&amp;Table1[[#This Row],[BRAND]]</f>
        <v>-</v>
      </c>
      <c r="J1862" t="e">
        <f>VLOOKUP(H1862,DC_Xref!A:B,2,FALSE)</f>
        <v>#N/A</v>
      </c>
      <c r="K1862">
        <f t="shared" ref="K1862:K1925" si="29">D1862*100+E1862</f>
        <v>0</v>
      </c>
      <c r="L18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2" s="3">
        <f>IFERROR(INDEX(Table3[#All],MATCH(Table1[[#This Row],[Key_Year_Week_Brand]],Table3[[#All],[Key_Year_Week_Brand]],0),MATCH(Table1[[#This Row],[DC_name_Xref]],Table3[#Headers],0)),0)</f>
        <v>0</v>
      </c>
      <c r="O1862" s="19">
        <f>IFERROR(INDEX(Table35[#All],MATCH(Table1[[#This Row],[Key_Year_Week_Brand]],Table35[[#All],[Key_Year_Month_Brand]],0),MATCH(Table1[[#This Row],[DC_name_Xref]],Table35[#Headers],0)),0)</f>
        <v>0</v>
      </c>
    </row>
    <row r="1863" spans="1:15" x14ac:dyDescent="0.3">
      <c r="A1863" s="19" t="e">
        <f>Table1[[#This Row],[Year_Week]]&amp;"-"&amp;Table1[[#This Row],[DC_name_Xref]]</f>
        <v>#N/A</v>
      </c>
      <c r="B1863" s="19" t="str">
        <f>Table1[[#This Row],[Fiscal_Year]]*100+Table1[[#This Row],[Fiscal_Week]] &amp; "-" &amp;Table1[[#This Row],[BRAND]]</f>
        <v>0-</v>
      </c>
      <c r="C1863" s="19" t="str">
        <f>Table1[[#This Row],[Fiscal_Year]]&amp;"-"&amp;Table1[[#This Row],[BRAND]]</f>
        <v>-</v>
      </c>
      <c r="J1863" t="e">
        <f>VLOOKUP(H1863,DC_Xref!A:B,2,FALSE)</f>
        <v>#N/A</v>
      </c>
      <c r="K1863">
        <f t="shared" si="29"/>
        <v>0</v>
      </c>
      <c r="L18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3" s="3">
        <f>IFERROR(INDEX(Table3[#All],MATCH(Table1[[#This Row],[Key_Year_Week_Brand]],Table3[[#All],[Key_Year_Week_Brand]],0),MATCH(Table1[[#This Row],[DC_name_Xref]],Table3[#Headers],0)),0)</f>
        <v>0</v>
      </c>
      <c r="O1863" s="19">
        <f>IFERROR(INDEX(Table35[#All],MATCH(Table1[[#This Row],[Key_Year_Week_Brand]],Table35[[#All],[Key_Year_Month_Brand]],0),MATCH(Table1[[#This Row],[DC_name_Xref]],Table35[#Headers],0)),0)</f>
        <v>0</v>
      </c>
    </row>
    <row r="1864" spans="1:15" x14ac:dyDescent="0.3">
      <c r="A1864" s="19" t="e">
        <f>Table1[[#This Row],[Year_Week]]&amp;"-"&amp;Table1[[#This Row],[DC_name_Xref]]</f>
        <v>#N/A</v>
      </c>
      <c r="B1864" s="19" t="str">
        <f>Table1[[#This Row],[Fiscal_Year]]*100+Table1[[#This Row],[Fiscal_Week]] &amp; "-" &amp;Table1[[#This Row],[BRAND]]</f>
        <v>0-</v>
      </c>
      <c r="C1864" s="19" t="str">
        <f>Table1[[#This Row],[Fiscal_Year]]&amp;"-"&amp;Table1[[#This Row],[BRAND]]</f>
        <v>-</v>
      </c>
      <c r="J1864" t="e">
        <f>VLOOKUP(H1864,DC_Xref!A:B,2,FALSE)</f>
        <v>#N/A</v>
      </c>
      <c r="K1864">
        <f t="shared" si="29"/>
        <v>0</v>
      </c>
      <c r="L18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4" s="3">
        <f>IFERROR(INDEX(Table3[#All],MATCH(Table1[[#This Row],[Key_Year_Week_Brand]],Table3[[#All],[Key_Year_Week_Brand]],0),MATCH(Table1[[#This Row],[DC_name_Xref]],Table3[#Headers],0)),0)</f>
        <v>0</v>
      </c>
      <c r="O1864" s="19">
        <f>IFERROR(INDEX(Table35[#All],MATCH(Table1[[#This Row],[Key_Year_Week_Brand]],Table35[[#All],[Key_Year_Month_Brand]],0),MATCH(Table1[[#This Row],[DC_name_Xref]],Table35[#Headers],0)),0)</f>
        <v>0</v>
      </c>
    </row>
    <row r="1865" spans="1:15" x14ac:dyDescent="0.3">
      <c r="A1865" s="19" t="e">
        <f>Table1[[#This Row],[Year_Week]]&amp;"-"&amp;Table1[[#This Row],[DC_name_Xref]]</f>
        <v>#N/A</v>
      </c>
      <c r="B1865" s="19" t="str">
        <f>Table1[[#This Row],[Fiscal_Year]]*100+Table1[[#This Row],[Fiscal_Week]] &amp; "-" &amp;Table1[[#This Row],[BRAND]]</f>
        <v>0-</v>
      </c>
      <c r="C1865" s="19" t="str">
        <f>Table1[[#This Row],[Fiscal_Year]]&amp;"-"&amp;Table1[[#This Row],[BRAND]]</f>
        <v>-</v>
      </c>
      <c r="J1865" t="e">
        <f>VLOOKUP(H1865,DC_Xref!A:B,2,FALSE)</f>
        <v>#N/A</v>
      </c>
      <c r="K1865">
        <f t="shared" si="29"/>
        <v>0</v>
      </c>
      <c r="L18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5" s="3">
        <f>IFERROR(INDEX(Table3[#All],MATCH(Table1[[#This Row],[Key_Year_Week_Brand]],Table3[[#All],[Key_Year_Week_Brand]],0),MATCH(Table1[[#This Row],[DC_name_Xref]],Table3[#Headers],0)),0)</f>
        <v>0</v>
      </c>
      <c r="O1865" s="19">
        <f>IFERROR(INDEX(Table35[#All],MATCH(Table1[[#This Row],[Key_Year_Week_Brand]],Table35[[#All],[Key_Year_Month_Brand]],0),MATCH(Table1[[#This Row],[DC_name_Xref]],Table35[#Headers],0)),0)</f>
        <v>0</v>
      </c>
    </row>
    <row r="1866" spans="1:15" x14ac:dyDescent="0.3">
      <c r="A1866" s="19" t="e">
        <f>Table1[[#This Row],[Year_Week]]&amp;"-"&amp;Table1[[#This Row],[DC_name_Xref]]</f>
        <v>#N/A</v>
      </c>
      <c r="B1866" s="19" t="str">
        <f>Table1[[#This Row],[Fiscal_Year]]*100+Table1[[#This Row],[Fiscal_Week]] &amp; "-" &amp;Table1[[#This Row],[BRAND]]</f>
        <v>0-</v>
      </c>
      <c r="C1866" s="19" t="str">
        <f>Table1[[#This Row],[Fiscal_Year]]&amp;"-"&amp;Table1[[#This Row],[BRAND]]</f>
        <v>-</v>
      </c>
      <c r="J1866" t="e">
        <f>VLOOKUP(H1866,DC_Xref!A:B,2,FALSE)</f>
        <v>#N/A</v>
      </c>
      <c r="K1866">
        <f t="shared" si="29"/>
        <v>0</v>
      </c>
      <c r="L18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6" s="3">
        <f>IFERROR(INDEX(Table3[#All],MATCH(Table1[[#This Row],[Key_Year_Week_Brand]],Table3[[#All],[Key_Year_Week_Brand]],0),MATCH(Table1[[#This Row],[DC_name_Xref]],Table3[#Headers],0)),0)</f>
        <v>0</v>
      </c>
      <c r="O1866" s="19">
        <f>IFERROR(INDEX(Table35[#All],MATCH(Table1[[#This Row],[Key_Year_Week_Brand]],Table35[[#All],[Key_Year_Month_Brand]],0),MATCH(Table1[[#This Row],[DC_name_Xref]],Table35[#Headers],0)),0)</f>
        <v>0</v>
      </c>
    </row>
    <row r="1867" spans="1:15" x14ac:dyDescent="0.3">
      <c r="A1867" s="19" t="e">
        <f>Table1[[#This Row],[Year_Week]]&amp;"-"&amp;Table1[[#This Row],[DC_name_Xref]]</f>
        <v>#N/A</v>
      </c>
      <c r="B1867" s="19" t="str">
        <f>Table1[[#This Row],[Fiscal_Year]]*100+Table1[[#This Row],[Fiscal_Week]] &amp; "-" &amp;Table1[[#This Row],[BRAND]]</f>
        <v>0-</v>
      </c>
      <c r="C1867" s="19" t="str">
        <f>Table1[[#This Row],[Fiscal_Year]]&amp;"-"&amp;Table1[[#This Row],[BRAND]]</f>
        <v>-</v>
      </c>
      <c r="J1867" t="e">
        <f>VLOOKUP(H1867,DC_Xref!A:B,2,FALSE)</f>
        <v>#N/A</v>
      </c>
      <c r="K1867">
        <f t="shared" si="29"/>
        <v>0</v>
      </c>
      <c r="L18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7" s="3">
        <f>IFERROR(INDEX(Table3[#All],MATCH(Table1[[#This Row],[Key_Year_Week_Brand]],Table3[[#All],[Key_Year_Week_Brand]],0),MATCH(Table1[[#This Row],[DC_name_Xref]],Table3[#Headers],0)),0)</f>
        <v>0</v>
      </c>
      <c r="O1867" s="19">
        <f>IFERROR(INDEX(Table35[#All],MATCH(Table1[[#This Row],[Key_Year_Week_Brand]],Table35[[#All],[Key_Year_Month_Brand]],0),MATCH(Table1[[#This Row],[DC_name_Xref]],Table35[#Headers],0)),0)</f>
        <v>0</v>
      </c>
    </row>
    <row r="1868" spans="1:15" x14ac:dyDescent="0.3">
      <c r="A1868" s="19" t="e">
        <f>Table1[[#This Row],[Year_Week]]&amp;"-"&amp;Table1[[#This Row],[DC_name_Xref]]</f>
        <v>#N/A</v>
      </c>
      <c r="B1868" s="19" t="str">
        <f>Table1[[#This Row],[Fiscal_Year]]*100+Table1[[#This Row],[Fiscal_Week]] &amp; "-" &amp;Table1[[#This Row],[BRAND]]</f>
        <v>0-</v>
      </c>
      <c r="C1868" s="19" t="str">
        <f>Table1[[#This Row],[Fiscal_Year]]&amp;"-"&amp;Table1[[#This Row],[BRAND]]</f>
        <v>-</v>
      </c>
      <c r="J1868" t="e">
        <f>VLOOKUP(H1868,DC_Xref!A:B,2,FALSE)</f>
        <v>#N/A</v>
      </c>
      <c r="K1868">
        <f t="shared" si="29"/>
        <v>0</v>
      </c>
      <c r="L18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8" s="3">
        <f>IFERROR(INDEX(Table3[#All],MATCH(Table1[[#This Row],[Key_Year_Week_Brand]],Table3[[#All],[Key_Year_Week_Brand]],0),MATCH(Table1[[#This Row],[DC_name_Xref]],Table3[#Headers],0)),0)</f>
        <v>0</v>
      </c>
      <c r="O1868" s="19">
        <f>IFERROR(INDEX(Table35[#All],MATCH(Table1[[#This Row],[Key_Year_Week_Brand]],Table35[[#All],[Key_Year_Month_Brand]],0),MATCH(Table1[[#This Row],[DC_name_Xref]],Table35[#Headers],0)),0)</f>
        <v>0</v>
      </c>
    </row>
    <row r="1869" spans="1:15" x14ac:dyDescent="0.3">
      <c r="A1869" s="19" t="e">
        <f>Table1[[#This Row],[Year_Week]]&amp;"-"&amp;Table1[[#This Row],[DC_name_Xref]]</f>
        <v>#N/A</v>
      </c>
      <c r="B1869" s="19" t="str">
        <f>Table1[[#This Row],[Fiscal_Year]]*100+Table1[[#This Row],[Fiscal_Week]] &amp; "-" &amp;Table1[[#This Row],[BRAND]]</f>
        <v>0-</v>
      </c>
      <c r="C1869" s="19" t="str">
        <f>Table1[[#This Row],[Fiscal_Year]]&amp;"-"&amp;Table1[[#This Row],[BRAND]]</f>
        <v>-</v>
      </c>
      <c r="J1869" t="e">
        <f>VLOOKUP(H1869,DC_Xref!A:B,2,FALSE)</f>
        <v>#N/A</v>
      </c>
      <c r="K1869">
        <f t="shared" si="29"/>
        <v>0</v>
      </c>
      <c r="L18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69" s="3">
        <f>IFERROR(INDEX(Table3[#All],MATCH(Table1[[#This Row],[Key_Year_Week_Brand]],Table3[[#All],[Key_Year_Week_Brand]],0),MATCH(Table1[[#This Row],[DC_name_Xref]],Table3[#Headers],0)),0)</f>
        <v>0</v>
      </c>
      <c r="O1869" s="19">
        <f>IFERROR(INDEX(Table35[#All],MATCH(Table1[[#This Row],[Key_Year_Week_Brand]],Table35[[#All],[Key_Year_Month_Brand]],0),MATCH(Table1[[#This Row],[DC_name_Xref]],Table35[#Headers],0)),0)</f>
        <v>0</v>
      </c>
    </row>
    <row r="1870" spans="1:15" x14ac:dyDescent="0.3">
      <c r="A1870" s="19" t="e">
        <f>Table1[[#This Row],[Year_Week]]&amp;"-"&amp;Table1[[#This Row],[DC_name_Xref]]</f>
        <v>#N/A</v>
      </c>
      <c r="B1870" s="19" t="str">
        <f>Table1[[#This Row],[Fiscal_Year]]*100+Table1[[#This Row],[Fiscal_Week]] &amp; "-" &amp;Table1[[#This Row],[BRAND]]</f>
        <v>0-</v>
      </c>
      <c r="C1870" s="19" t="str">
        <f>Table1[[#This Row],[Fiscal_Year]]&amp;"-"&amp;Table1[[#This Row],[BRAND]]</f>
        <v>-</v>
      </c>
      <c r="J1870" t="e">
        <f>VLOOKUP(H1870,DC_Xref!A:B,2,FALSE)</f>
        <v>#N/A</v>
      </c>
      <c r="K1870">
        <f t="shared" si="29"/>
        <v>0</v>
      </c>
      <c r="L18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0" s="3">
        <f>IFERROR(INDEX(Table3[#All],MATCH(Table1[[#This Row],[Key_Year_Week_Brand]],Table3[[#All],[Key_Year_Week_Brand]],0),MATCH(Table1[[#This Row],[DC_name_Xref]],Table3[#Headers],0)),0)</f>
        <v>0</v>
      </c>
      <c r="O1870" s="19">
        <f>IFERROR(INDEX(Table35[#All],MATCH(Table1[[#This Row],[Key_Year_Week_Brand]],Table35[[#All],[Key_Year_Month_Brand]],0),MATCH(Table1[[#This Row],[DC_name_Xref]],Table35[#Headers],0)),0)</f>
        <v>0</v>
      </c>
    </row>
    <row r="1871" spans="1:15" x14ac:dyDescent="0.3">
      <c r="A1871" s="19" t="e">
        <f>Table1[[#This Row],[Year_Week]]&amp;"-"&amp;Table1[[#This Row],[DC_name_Xref]]</f>
        <v>#N/A</v>
      </c>
      <c r="B1871" s="19" t="str">
        <f>Table1[[#This Row],[Fiscal_Year]]*100+Table1[[#This Row],[Fiscal_Week]] &amp; "-" &amp;Table1[[#This Row],[BRAND]]</f>
        <v>0-</v>
      </c>
      <c r="C1871" s="19" t="str">
        <f>Table1[[#This Row],[Fiscal_Year]]&amp;"-"&amp;Table1[[#This Row],[BRAND]]</f>
        <v>-</v>
      </c>
      <c r="J1871" t="e">
        <f>VLOOKUP(H1871,DC_Xref!A:B,2,FALSE)</f>
        <v>#N/A</v>
      </c>
      <c r="K1871">
        <f t="shared" si="29"/>
        <v>0</v>
      </c>
      <c r="L18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1" s="3">
        <f>IFERROR(INDEX(Table3[#All],MATCH(Table1[[#This Row],[Key_Year_Week_Brand]],Table3[[#All],[Key_Year_Week_Brand]],0),MATCH(Table1[[#This Row],[DC_name_Xref]],Table3[#Headers],0)),0)</f>
        <v>0</v>
      </c>
      <c r="O1871" s="19">
        <f>IFERROR(INDEX(Table35[#All],MATCH(Table1[[#This Row],[Key_Year_Week_Brand]],Table35[[#All],[Key_Year_Month_Brand]],0),MATCH(Table1[[#This Row],[DC_name_Xref]],Table35[#Headers],0)),0)</f>
        <v>0</v>
      </c>
    </row>
    <row r="1872" spans="1:15" x14ac:dyDescent="0.3">
      <c r="A1872" s="19" t="e">
        <f>Table1[[#This Row],[Year_Week]]&amp;"-"&amp;Table1[[#This Row],[DC_name_Xref]]</f>
        <v>#N/A</v>
      </c>
      <c r="B1872" s="19" t="str">
        <f>Table1[[#This Row],[Fiscal_Year]]*100+Table1[[#This Row],[Fiscal_Week]] &amp; "-" &amp;Table1[[#This Row],[BRAND]]</f>
        <v>0-</v>
      </c>
      <c r="C1872" s="19" t="str">
        <f>Table1[[#This Row],[Fiscal_Year]]&amp;"-"&amp;Table1[[#This Row],[BRAND]]</f>
        <v>-</v>
      </c>
      <c r="J1872" t="e">
        <f>VLOOKUP(H1872,DC_Xref!A:B,2,FALSE)</f>
        <v>#N/A</v>
      </c>
      <c r="K1872">
        <f t="shared" si="29"/>
        <v>0</v>
      </c>
      <c r="L18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2" s="3">
        <f>IFERROR(INDEX(Table3[#All],MATCH(Table1[[#This Row],[Key_Year_Week_Brand]],Table3[[#All],[Key_Year_Week_Brand]],0),MATCH(Table1[[#This Row],[DC_name_Xref]],Table3[#Headers],0)),0)</f>
        <v>0</v>
      </c>
      <c r="O1872" s="19">
        <f>IFERROR(INDEX(Table35[#All],MATCH(Table1[[#This Row],[Key_Year_Week_Brand]],Table35[[#All],[Key_Year_Month_Brand]],0),MATCH(Table1[[#This Row],[DC_name_Xref]],Table35[#Headers],0)),0)</f>
        <v>0</v>
      </c>
    </row>
    <row r="1873" spans="1:15" x14ac:dyDescent="0.3">
      <c r="A1873" s="19" t="e">
        <f>Table1[[#This Row],[Year_Week]]&amp;"-"&amp;Table1[[#This Row],[DC_name_Xref]]</f>
        <v>#N/A</v>
      </c>
      <c r="B1873" s="19" t="str">
        <f>Table1[[#This Row],[Fiscal_Year]]*100+Table1[[#This Row],[Fiscal_Week]] &amp; "-" &amp;Table1[[#This Row],[BRAND]]</f>
        <v>0-</v>
      </c>
      <c r="C1873" s="19" t="str">
        <f>Table1[[#This Row],[Fiscal_Year]]&amp;"-"&amp;Table1[[#This Row],[BRAND]]</f>
        <v>-</v>
      </c>
      <c r="J1873" t="e">
        <f>VLOOKUP(H1873,DC_Xref!A:B,2,FALSE)</f>
        <v>#N/A</v>
      </c>
      <c r="K1873">
        <f t="shared" si="29"/>
        <v>0</v>
      </c>
      <c r="L18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3" s="3">
        <f>IFERROR(INDEX(Table3[#All],MATCH(Table1[[#This Row],[Key_Year_Week_Brand]],Table3[[#All],[Key_Year_Week_Brand]],0),MATCH(Table1[[#This Row],[DC_name_Xref]],Table3[#Headers],0)),0)</f>
        <v>0</v>
      </c>
      <c r="O1873" s="19">
        <f>IFERROR(INDEX(Table35[#All],MATCH(Table1[[#This Row],[Key_Year_Week_Brand]],Table35[[#All],[Key_Year_Month_Brand]],0),MATCH(Table1[[#This Row],[DC_name_Xref]],Table35[#Headers],0)),0)</f>
        <v>0</v>
      </c>
    </row>
    <row r="1874" spans="1:15" x14ac:dyDescent="0.3">
      <c r="A1874" s="19" t="e">
        <f>Table1[[#This Row],[Year_Week]]&amp;"-"&amp;Table1[[#This Row],[DC_name_Xref]]</f>
        <v>#N/A</v>
      </c>
      <c r="B1874" s="19" t="str">
        <f>Table1[[#This Row],[Fiscal_Year]]*100+Table1[[#This Row],[Fiscal_Week]] &amp; "-" &amp;Table1[[#This Row],[BRAND]]</f>
        <v>0-</v>
      </c>
      <c r="C1874" s="19" t="str">
        <f>Table1[[#This Row],[Fiscal_Year]]&amp;"-"&amp;Table1[[#This Row],[BRAND]]</f>
        <v>-</v>
      </c>
      <c r="J1874" t="e">
        <f>VLOOKUP(H1874,DC_Xref!A:B,2,FALSE)</f>
        <v>#N/A</v>
      </c>
      <c r="K1874">
        <f t="shared" si="29"/>
        <v>0</v>
      </c>
      <c r="L18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4" s="3">
        <f>IFERROR(INDEX(Table3[#All],MATCH(Table1[[#This Row],[Key_Year_Week_Brand]],Table3[[#All],[Key_Year_Week_Brand]],0),MATCH(Table1[[#This Row],[DC_name_Xref]],Table3[#Headers],0)),0)</f>
        <v>0</v>
      </c>
      <c r="O1874" s="19">
        <f>IFERROR(INDEX(Table35[#All],MATCH(Table1[[#This Row],[Key_Year_Week_Brand]],Table35[[#All],[Key_Year_Month_Brand]],0),MATCH(Table1[[#This Row],[DC_name_Xref]],Table35[#Headers],0)),0)</f>
        <v>0</v>
      </c>
    </row>
    <row r="1875" spans="1:15" x14ac:dyDescent="0.3">
      <c r="A1875" s="19" t="e">
        <f>Table1[[#This Row],[Year_Week]]&amp;"-"&amp;Table1[[#This Row],[DC_name_Xref]]</f>
        <v>#N/A</v>
      </c>
      <c r="B1875" s="19" t="str">
        <f>Table1[[#This Row],[Fiscal_Year]]*100+Table1[[#This Row],[Fiscal_Week]] &amp; "-" &amp;Table1[[#This Row],[BRAND]]</f>
        <v>0-</v>
      </c>
      <c r="C1875" s="19" t="str">
        <f>Table1[[#This Row],[Fiscal_Year]]&amp;"-"&amp;Table1[[#This Row],[BRAND]]</f>
        <v>-</v>
      </c>
      <c r="J1875" t="e">
        <f>VLOOKUP(H1875,DC_Xref!A:B,2,FALSE)</f>
        <v>#N/A</v>
      </c>
      <c r="K1875">
        <f t="shared" si="29"/>
        <v>0</v>
      </c>
      <c r="L18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5" s="3">
        <f>IFERROR(INDEX(Table3[#All],MATCH(Table1[[#This Row],[Key_Year_Week_Brand]],Table3[[#All],[Key_Year_Week_Brand]],0),MATCH(Table1[[#This Row],[DC_name_Xref]],Table3[#Headers],0)),0)</f>
        <v>0</v>
      </c>
      <c r="O1875" s="19">
        <f>IFERROR(INDEX(Table35[#All],MATCH(Table1[[#This Row],[Key_Year_Week_Brand]],Table35[[#All],[Key_Year_Month_Brand]],0),MATCH(Table1[[#This Row],[DC_name_Xref]],Table35[#Headers],0)),0)</f>
        <v>0</v>
      </c>
    </row>
    <row r="1876" spans="1:15" x14ac:dyDescent="0.3">
      <c r="A1876" s="19" t="e">
        <f>Table1[[#This Row],[Year_Week]]&amp;"-"&amp;Table1[[#This Row],[DC_name_Xref]]</f>
        <v>#N/A</v>
      </c>
      <c r="B1876" s="19" t="str">
        <f>Table1[[#This Row],[Fiscal_Year]]*100+Table1[[#This Row],[Fiscal_Week]] &amp; "-" &amp;Table1[[#This Row],[BRAND]]</f>
        <v>0-</v>
      </c>
      <c r="C1876" s="19" t="str">
        <f>Table1[[#This Row],[Fiscal_Year]]&amp;"-"&amp;Table1[[#This Row],[BRAND]]</f>
        <v>-</v>
      </c>
      <c r="J1876" t="e">
        <f>VLOOKUP(H1876,DC_Xref!A:B,2,FALSE)</f>
        <v>#N/A</v>
      </c>
      <c r="K1876">
        <f t="shared" si="29"/>
        <v>0</v>
      </c>
      <c r="L18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6" s="3">
        <f>IFERROR(INDEX(Table3[#All],MATCH(Table1[[#This Row],[Key_Year_Week_Brand]],Table3[[#All],[Key_Year_Week_Brand]],0),MATCH(Table1[[#This Row],[DC_name_Xref]],Table3[#Headers],0)),0)</f>
        <v>0</v>
      </c>
      <c r="O1876" s="19">
        <f>IFERROR(INDEX(Table35[#All],MATCH(Table1[[#This Row],[Key_Year_Week_Brand]],Table35[[#All],[Key_Year_Month_Brand]],0),MATCH(Table1[[#This Row],[DC_name_Xref]],Table35[#Headers],0)),0)</f>
        <v>0</v>
      </c>
    </row>
    <row r="1877" spans="1:15" x14ac:dyDescent="0.3">
      <c r="A1877" s="19" t="e">
        <f>Table1[[#This Row],[Year_Week]]&amp;"-"&amp;Table1[[#This Row],[DC_name_Xref]]</f>
        <v>#N/A</v>
      </c>
      <c r="B1877" s="19" t="str">
        <f>Table1[[#This Row],[Fiscal_Year]]*100+Table1[[#This Row],[Fiscal_Week]] &amp; "-" &amp;Table1[[#This Row],[BRAND]]</f>
        <v>0-</v>
      </c>
      <c r="C1877" s="19" t="str">
        <f>Table1[[#This Row],[Fiscal_Year]]&amp;"-"&amp;Table1[[#This Row],[BRAND]]</f>
        <v>-</v>
      </c>
      <c r="J1877" t="e">
        <f>VLOOKUP(H1877,DC_Xref!A:B,2,FALSE)</f>
        <v>#N/A</v>
      </c>
      <c r="K1877">
        <f t="shared" si="29"/>
        <v>0</v>
      </c>
      <c r="L18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7" s="3">
        <f>IFERROR(INDEX(Table3[#All],MATCH(Table1[[#This Row],[Key_Year_Week_Brand]],Table3[[#All],[Key_Year_Week_Brand]],0),MATCH(Table1[[#This Row],[DC_name_Xref]],Table3[#Headers],0)),0)</f>
        <v>0</v>
      </c>
      <c r="O1877" s="19">
        <f>IFERROR(INDEX(Table35[#All],MATCH(Table1[[#This Row],[Key_Year_Week_Brand]],Table35[[#All],[Key_Year_Month_Brand]],0),MATCH(Table1[[#This Row],[DC_name_Xref]],Table35[#Headers],0)),0)</f>
        <v>0</v>
      </c>
    </row>
    <row r="1878" spans="1:15" x14ac:dyDescent="0.3">
      <c r="A1878" s="19" t="e">
        <f>Table1[[#This Row],[Year_Week]]&amp;"-"&amp;Table1[[#This Row],[DC_name_Xref]]</f>
        <v>#N/A</v>
      </c>
      <c r="B1878" s="19" t="str">
        <f>Table1[[#This Row],[Fiscal_Year]]*100+Table1[[#This Row],[Fiscal_Week]] &amp; "-" &amp;Table1[[#This Row],[BRAND]]</f>
        <v>0-</v>
      </c>
      <c r="C1878" s="19" t="str">
        <f>Table1[[#This Row],[Fiscal_Year]]&amp;"-"&amp;Table1[[#This Row],[BRAND]]</f>
        <v>-</v>
      </c>
      <c r="J1878" t="e">
        <f>VLOOKUP(H1878,DC_Xref!A:B,2,FALSE)</f>
        <v>#N/A</v>
      </c>
      <c r="K1878">
        <f t="shared" si="29"/>
        <v>0</v>
      </c>
      <c r="L18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8" s="3">
        <f>IFERROR(INDEX(Table3[#All],MATCH(Table1[[#This Row],[Key_Year_Week_Brand]],Table3[[#All],[Key_Year_Week_Brand]],0),MATCH(Table1[[#This Row],[DC_name_Xref]],Table3[#Headers],0)),0)</f>
        <v>0</v>
      </c>
      <c r="O1878" s="19">
        <f>IFERROR(INDEX(Table35[#All],MATCH(Table1[[#This Row],[Key_Year_Week_Brand]],Table35[[#All],[Key_Year_Month_Brand]],0),MATCH(Table1[[#This Row],[DC_name_Xref]],Table35[#Headers],0)),0)</f>
        <v>0</v>
      </c>
    </row>
    <row r="1879" spans="1:15" x14ac:dyDescent="0.3">
      <c r="A1879" s="19" t="e">
        <f>Table1[[#This Row],[Year_Week]]&amp;"-"&amp;Table1[[#This Row],[DC_name_Xref]]</f>
        <v>#N/A</v>
      </c>
      <c r="B1879" s="19" t="str">
        <f>Table1[[#This Row],[Fiscal_Year]]*100+Table1[[#This Row],[Fiscal_Week]] &amp; "-" &amp;Table1[[#This Row],[BRAND]]</f>
        <v>0-</v>
      </c>
      <c r="C1879" s="19" t="str">
        <f>Table1[[#This Row],[Fiscal_Year]]&amp;"-"&amp;Table1[[#This Row],[BRAND]]</f>
        <v>-</v>
      </c>
      <c r="J1879" t="e">
        <f>VLOOKUP(H1879,DC_Xref!A:B,2,FALSE)</f>
        <v>#N/A</v>
      </c>
      <c r="K1879">
        <f t="shared" si="29"/>
        <v>0</v>
      </c>
      <c r="L18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79" s="3">
        <f>IFERROR(INDEX(Table3[#All],MATCH(Table1[[#This Row],[Key_Year_Week_Brand]],Table3[[#All],[Key_Year_Week_Brand]],0),MATCH(Table1[[#This Row],[DC_name_Xref]],Table3[#Headers],0)),0)</f>
        <v>0</v>
      </c>
      <c r="O1879" s="19">
        <f>IFERROR(INDEX(Table35[#All],MATCH(Table1[[#This Row],[Key_Year_Week_Brand]],Table35[[#All],[Key_Year_Month_Brand]],0),MATCH(Table1[[#This Row],[DC_name_Xref]],Table35[#Headers],0)),0)</f>
        <v>0</v>
      </c>
    </row>
    <row r="1880" spans="1:15" x14ac:dyDescent="0.3">
      <c r="A1880" s="19" t="e">
        <f>Table1[[#This Row],[Year_Week]]&amp;"-"&amp;Table1[[#This Row],[DC_name_Xref]]</f>
        <v>#N/A</v>
      </c>
      <c r="B1880" s="19" t="str">
        <f>Table1[[#This Row],[Fiscal_Year]]*100+Table1[[#This Row],[Fiscal_Week]] &amp; "-" &amp;Table1[[#This Row],[BRAND]]</f>
        <v>0-</v>
      </c>
      <c r="C1880" s="19" t="str">
        <f>Table1[[#This Row],[Fiscal_Year]]&amp;"-"&amp;Table1[[#This Row],[BRAND]]</f>
        <v>-</v>
      </c>
      <c r="J1880" t="e">
        <f>VLOOKUP(H1880,DC_Xref!A:B,2,FALSE)</f>
        <v>#N/A</v>
      </c>
      <c r="K1880">
        <f t="shared" si="29"/>
        <v>0</v>
      </c>
      <c r="L18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0" s="3">
        <f>IFERROR(INDEX(Table3[#All],MATCH(Table1[[#This Row],[Key_Year_Week_Brand]],Table3[[#All],[Key_Year_Week_Brand]],0),MATCH(Table1[[#This Row],[DC_name_Xref]],Table3[#Headers],0)),0)</f>
        <v>0</v>
      </c>
      <c r="O1880" s="19">
        <f>IFERROR(INDEX(Table35[#All],MATCH(Table1[[#This Row],[Key_Year_Week_Brand]],Table35[[#All],[Key_Year_Month_Brand]],0),MATCH(Table1[[#This Row],[DC_name_Xref]],Table35[#Headers],0)),0)</f>
        <v>0</v>
      </c>
    </row>
    <row r="1881" spans="1:15" x14ac:dyDescent="0.3">
      <c r="A1881" s="19" t="e">
        <f>Table1[[#This Row],[Year_Week]]&amp;"-"&amp;Table1[[#This Row],[DC_name_Xref]]</f>
        <v>#N/A</v>
      </c>
      <c r="B1881" s="19" t="str">
        <f>Table1[[#This Row],[Fiscal_Year]]*100+Table1[[#This Row],[Fiscal_Week]] &amp; "-" &amp;Table1[[#This Row],[BRAND]]</f>
        <v>0-</v>
      </c>
      <c r="C1881" s="19" t="str">
        <f>Table1[[#This Row],[Fiscal_Year]]&amp;"-"&amp;Table1[[#This Row],[BRAND]]</f>
        <v>-</v>
      </c>
      <c r="J1881" t="e">
        <f>VLOOKUP(H1881,DC_Xref!A:B,2,FALSE)</f>
        <v>#N/A</v>
      </c>
      <c r="K1881">
        <f t="shared" si="29"/>
        <v>0</v>
      </c>
      <c r="L18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1" s="3">
        <f>IFERROR(INDEX(Table3[#All],MATCH(Table1[[#This Row],[Key_Year_Week_Brand]],Table3[[#All],[Key_Year_Week_Brand]],0),MATCH(Table1[[#This Row],[DC_name_Xref]],Table3[#Headers],0)),0)</f>
        <v>0</v>
      </c>
      <c r="O1881" s="19">
        <f>IFERROR(INDEX(Table35[#All],MATCH(Table1[[#This Row],[Key_Year_Week_Brand]],Table35[[#All],[Key_Year_Month_Brand]],0),MATCH(Table1[[#This Row],[DC_name_Xref]],Table35[#Headers],0)),0)</f>
        <v>0</v>
      </c>
    </row>
    <row r="1882" spans="1:15" x14ac:dyDescent="0.3">
      <c r="A1882" s="19" t="e">
        <f>Table1[[#This Row],[Year_Week]]&amp;"-"&amp;Table1[[#This Row],[DC_name_Xref]]</f>
        <v>#N/A</v>
      </c>
      <c r="B1882" s="19" t="str">
        <f>Table1[[#This Row],[Fiscal_Year]]*100+Table1[[#This Row],[Fiscal_Week]] &amp; "-" &amp;Table1[[#This Row],[BRAND]]</f>
        <v>0-</v>
      </c>
      <c r="C1882" s="19" t="str">
        <f>Table1[[#This Row],[Fiscal_Year]]&amp;"-"&amp;Table1[[#This Row],[BRAND]]</f>
        <v>-</v>
      </c>
      <c r="J1882" t="e">
        <f>VLOOKUP(H1882,DC_Xref!A:B,2,FALSE)</f>
        <v>#N/A</v>
      </c>
      <c r="K1882">
        <f t="shared" si="29"/>
        <v>0</v>
      </c>
      <c r="L18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2" s="3">
        <f>IFERROR(INDEX(Table3[#All],MATCH(Table1[[#This Row],[Key_Year_Week_Brand]],Table3[[#All],[Key_Year_Week_Brand]],0),MATCH(Table1[[#This Row],[DC_name_Xref]],Table3[#Headers],0)),0)</f>
        <v>0</v>
      </c>
      <c r="O1882" s="19">
        <f>IFERROR(INDEX(Table35[#All],MATCH(Table1[[#This Row],[Key_Year_Week_Brand]],Table35[[#All],[Key_Year_Month_Brand]],0),MATCH(Table1[[#This Row],[DC_name_Xref]],Table35[#Headers],0)),0)</f>
        <v>0</v>
      </c>
    </row>
    <row r="1883" spans="1:15" x14ac:dyDescent="0.3">
      <c r="A1883" s="19" t="e">
        <f>Table1[[#This Row],[Year_Week]]&amp;"-"&amp;Table1[[#This Row],[DC_name_Xref]]</f>
        <v>#N/A</v>
      </c>
      <c r="B1883" s="19" t="str">
        <f>Table1[[#This Row],[Fiscal_Year]]*100+Table1[[#This Row],[Fiscal_Week]] &amp; "-" &amp;Table1[[#This Row],[BRAND]]</f>
        <v>0-</v>
      </c>
      <c r="C1883" s="19" t="str">
        <f>Table1[[#This Row],[Fiscal_Year]]&amp;"-"&amp;Table1[[#This Row],[BRAND]]</f>
        <v>-</v>
      </c>
      <c r="J1883" t="e">
        <f>VLOOKUP(H1883,DC_Xref!A:B,2,FALSE)</f>
        <v>#N/A</v>
      </c>
      <c r="K1883">
        <f t="shared" si="29"/>
        <v>0</v>
      </c>
      <c r="L18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3" s="3">
        <f>IFERROR(INDEX(Table3[#All],MATCH(Table1[[#This Row],[Key_Year_Week_Brand]],Table3[[#All],[Key_Year_Week_Brand]],0),MATCH(Table1[[#This Row],[DC_name_Xref]],Table3[#Headers],0)),0)</f>
        <v>0</v>
      </c>
      <c r="O1883" s="19">
        <f>IFERROR(INDEX(Table35[#All],MATCH(Table1[[#This Row],[Key_Year_Week_Brand]],Table35[[#All],[Key_Year_Month_Brand]],0),MATCH(Table1[[#This Row],[DC_name_Xref]],Table35[#Headers],0)),0)</f>
        <v>0</v>
      </c>
    </row>
    <row r="1884" spans="1:15" x14ac:dyDescent="0.3">
      <c r="A1884" s="19" t="e">
        <f>Table1[[#This Row],[Year_Week]]&amp;"-"&amp;Table1[[#This Row],[DC_name_Xref]]</f>
        <v>#N/A</v>
      </c>
      <c r="B1884" s="19" t="str">
        <f>Table1[[#This Row],[Fiscal_Year]]*100+Table1[[#This Row],[Fiscal_Week]] &amp; "-" &amp;Table1[[#This Row],[BRAND]]</f>
        <v>0-</v>
      </c>
      <c r="C1884" s="19" t="str">
        <f>Table1[[#This Row],[Fiscal_Year]]&amp;"-"&amp;Table1[[#This Row],[BRAND]]</f>
        <v>-</v>
      </c>
      <c r="J1884" t="e">
        <f>VLOOKUP(H1884,DC_Xref!A:B,2,FALSE)</f>
        <v>#N/A</v>
      </c>
      <c r="K1884">
        <f t="shared" si="29"/>
        <v>0</v>
      </c>
      <c r="L18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4" s="3">
        <f>IFERROR(INDEX(Table3[#All],MATCH(Table1[[#This Row],[Key_Year_Week_Brand]],Table3[[#All],[Key_Year_Week_Brand]],0),MATCH(Table1[[#This Row],[DC_name_Xref]],Table3[#Headers],0)),0)</f>
        <v>0</v>
      </c>
      <c r="O1884" s="19">
        <f>IFERROR(INDEX(Table35[#All],MATCH(Table1[[#This Row],[Key_Year_Week_Brand]],Table35[[#All],[Key_Year_Month_Brand]],0),MATCH(Table1[[#This Row],[DC_name_Xref]],Table35[#Headers],0)),0)</f>
        <v>0</v>
      </c>
    </row>
    <row r="1885" spans="1:15" x14ac:dyDescent="0.3">
      <c r="A1885" s="19" t="e">
        <f>Table1[[#This Row],[Year_Week]]&amp;"-"&amp;Table1[[#This Row],[DC_name_Xref]]</f>
        <v>#N/A</v>
      </c>
      <c r="B1885" s="19" t="str">
        <f>Table1[[#This Row],[Fiscal_Year]]*100+Table1[[#This Row],[Fiscal_Week]] &amp; "-" &amp;Table1[[#This Row],[BRAND]]</f>
        <v>0-</v>
      </c>
      <c r="C1885" s="19" t="str">
        <f>Table1[[#This Row],[Fiscal_Year]]&amp;"-"&amp;Table1[[#This Row],[BRAND]]</f>
        <v>-</v>
      </c>
      <c r="J1885" t="e">
        <f>VLOOKUP(H1885,DC_Xref!A:B,2,FALSE)</f>
        <v>#N/A</v>
      </c>
      <c r="K1885">
        <f t="shared" si="29"/>
        <v>0</v>
      </c>
      <c r="L18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5" s="3">
        <f>IFERROR(INDEX(Table3[#All],MATCH(Table1[[#This Row],[Key_Year_Week_Brand]],Table3[[#All],[Key_Year_Week_Brand]],0),MATCH(Table1[[#This Row],[DC_name_Xref]],Table3[#Headers],0)),0)</f>
        <v>0</v>
      </c>
      <c r="O1885" s="19">
        <f>IFERROR(INDEX(Table35[#All],MATCH(Table1[[#This Row],[Key_Year_Week_Brand]],Table35[[#All],[Key_Year_Month_Brand]],0),MATCH(Table1[[#This Row],[DC_name_Xref]],Table35[#Headers],0)),0)</f>
        <v>0</v>
      </c>
    </row>
    <row r="1886" spans="1:15" x14ac:dyDescent="0.3">
      <c r="A1886" s="19" t="e">
        <f>Table1[[#This Row],[Year_Week]]&amp;"-"&amp;Table1[[#This Row],[DC_name_Xref]]</f>
        <v>#N/A</v>
      </c>
      <c r="B1886" s="19" t="str">
        <f>Table1[[#This Row],[Fiscal_Year]]*100+Table1[[#This Row],[Fiscal_Week]] &amp; "-" &amp;Table1[[#This Row],[BRAND]]</f>
        <v>0-</v>
      </c>
      <c r="C1886" s="19" t="str">
        <f>Table1[[#This Row],[Fiscal_Year]]&amp;"-"&amp;Table1[[#This Row],[BRAND]]</f>
        <v>-</v>
      </c>
      <c r="J1886" t="e">
        <f>VLOOKUP(H1886,DC_Xref!A:B,2,FALSE)</f>
        <v>#N/A</v>
      </c>
      <c r="K1886">
        <f t="shared" si="29"/>
        <v>0</v>
      </c>
      <c r="L18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6" s="3">
        <f>IFERROR(INDEX(Table3[#All],MATCH(Table1[[#This Row],[Key_Year_Week_Brand]],Table3[[#All],[Key_Year_Week_Brand]],0),MATCH(Table1[[#This Row],[DC_name_Xref]],Table3[#Headers],0)),0)</f>
        <v>0</v>
      </c>
      <c r="O1886" s="19">
        <f>IFERROR(INDEX(Table35[#All],MATCH(Table1[[#This Row],[Key_Year_Week_Brand]],Table35[[#All],[Key_Year_Month_Brand]],0),MATCH(Table1[[#This Row],[DC_name_Xref]],Table35[#Headers],0)),0)</f>
        <v>0</v>
      </c>
    </row>
    <row r="1887" spans="1:15" x14ac:dyDescent="0.3">
      <c r="A1887" s="19" t="e">
        <f>Table1[[#This Row],[Year_Week]]&amp;"-"&amp;Table1[[#This Row],[DC_name_Xref]]</f>
        <v>#N/A</v>
      </c>
      <c r="B1887" s="19" t="str">
        <f>Table1[[#This Row],[Fiscal_Year]]*100+Table1[[#This Row],[Fiscal_Week]] &amp; "-" &amp;Table1[[#This Row],[BRAND]]</f>
        <v>0-</v>
      </c>
      <c r="C1887" s="19" t="str">
        <f>Table1[[#This Row],[Fiscal_Year]]&amp;"-"&amp;Table1[[#This Row],[BRAND]]</f>
        <v>-</v>
      </c>
      <c r="J1887" t="e">
        <f>VLOOKUP(H1887,DC_Xref!A:B,2,FALSE)</f>
        <v>#N/A</v>
      </c>
      <c r="K1887">
        <f t="shared" si="29"/>
        <v>0</v>
      </c>
      <c r="L18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7" s="3">
        <f>IFERROR(INDEX(Table3[#All],MATCH(Table1[[#This Row],[Key_Year_Week_Brand]],Table3[[#All],[Key_Year_Week_Brand]],0),MATCH(Table1[[#This Row],[DC_name_Xref]],Table3[#Headers],0)),0)</f>
        <v>0</v>
      </c>
      <c r="O1887" s="19">
        <f>IFERROR(INDEX(Table35[#All],MATCH(Table1[[#This Row],[Key_Year_Week_Brand]],Table35[[#All],[Key_Year_Month_Brand]],0),MATCH(Table1[[#This Row],[DC_name_Xref]],Table35[#Headers],0)),0)</f>
        <v>0</v>
      </c>
    </row>
    <row r="1888" spans="1:15" x14ac:dyDescent="0.3">
      <c r="A1888" s="19" t="e">
        <f>Table1[[#This Row],[Year_Week]]&amp;"-"&amp;Table1[[#This Row],[DC_name_Xref]]</f>
        <v>#N/A</v>
      </c>
      <c r="B1888" s="19" t="str">
        <f>Table1[[#This Row],[Fiscal_Year]]*100+Table1[[#This Row],[Fiscal_Week]] &amp; "-" &amp;Table1[[#This Row],[BRAND]]</f>
        <v>0-</v>
      </c>
      <c r="C1888" s="19" t="str">
        <f>Table1[[#This Row],[Fiscal_Year]]&amp;"-"&amp;Table1[[#This Row],[BRAND]]</f>
        <v>-</v>
      </c>
      <c r="J1888" t="e">
        <f>VLOOKUP(H1888,DC_Xref!A:B,2,FALSE)</f>
        <v>#N/A</v>
      </c>
      <c r="K1888">
        <f t="shared" si="29"/>
        <v>0</v>
      </c>
      <c r="L18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8" s="3">
        <f>IFERROR(INDEX(Table3[#All],MATCH(Table1[[#This Row],[Key_Year_Week_Brand]],Table3[[#All],[Key_Year_Week_Brand]],0),MATCH(Table1[[#This Row],[DC_name_Xref]],Table3[#Headers],0)),0)</f>
        <v>0</v>
      </c>
      <c r="O1888" s="19">
        <f>IFERROR(INDEX(Table35[#All],MATCH(Table1[[#This Row],[Key_Year_Week_Brand]],Table35[[#All],[Key_Year_Month_Brand]],0),MATCH(Table1[[#This Row],[DC_name_Xref]],Table35[#Headers],0)),0)</f>
        <v>0</v>
      </c>
    </row>
    <row r="1889" spans="1:15" x14ac:dyDescent="0.3">
      <c r="A1889" s="19" t="e">
        <f>Table1[[#This Row],[Year_Week]]&amp;"-"&amp;Table1[[#This Row],[DC_name_Xref]]</f>
        <v>#N/A</v>
      </c>
      <c r="B1889" s="19" t="str">
        <f>Table1[[#This Row],[Fiscal_Year]]*100+Table1[[#This Row],[Fiscal_Week]] &amp; "-" &amp;Table1[[#This Row],[BRAND]]</f>
        <v>0-</v>
      </c>
      <c r="C1889" s="19" t="str">
        <f>Table1[[#This Row],[Fiscal_Year]]&amp;"-"&amp;Table1[[#This Row],[BRAND]]</f>
        <v>-</v>
      </c>
      <c r="J1889" t="e">
        <f>VLOOKUP(H1889,DC_Xref!A:B,2,FALSE)</f>
        <v>#N/A</v>
      </c>
      <c r="K1889">
        <f t="shared" si="29"/>
        <v>0</v>
      </c>
      <c r="L18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89" s="3">
        <f>IFERROR(INDEX(Table3[#All],MATCH(Table1[[#This Row],[Key_Year_Week_Brand]],Table3[[#All],[Key_Year_Week_Brand]],0),MATCH(Table1[[#This Row],[DC_name_Xref]],Table3[#Headers],0)),0)</f>
        <v>0</v>
      </c>
      <c r="O1889" s="19">
        <f>IFERROR(INDEX(Table35[#All],MATCH(Table1[[#This Row],[Key_Year_Week_Brand]],Table35[[#All],[Key_Year_Month_Brand]],0),MATCH(Table1[[#This Row],[DC_name_Xref]],Table35[#Headers],0)),0)</f>
        <v>0</v>
      </c>
    </row>
    <row r="1890" spans="1:15" x14ac:dyDescent="0.3">
      <c r="A1890" s="19" t="e">
        <f>Table1[[#This Row],[Year_Week]]&amp;"-"&amp;Table1[[#This Row],[DC_name_Xref]]</f>
        <v>#N/A</v>
      </c>
      <c r="B1890" s="19" t="str">
        <f>Table1[[#This Row],[Fiscal_Year]]*100+Table1[[#This Row],[Fiscal_Week]] &amp; "-" &amp;Table1[[#This Row],[BRAND]]</f>
        <v>0-</v>
      </c>
      <c r="C1890" s="19" t="str">
        <f>Table1[[#This Row],[Fiscal_Year]]&amp;"-"&amp;Table1[[#This Row],[BRAND]]</f>
        <v>-</v>
      </c>
      <c r="J1890" t="e">
        <f>VLOOKUP(H1890,DC_Xref!A:B,2,FALSE)</f>
        <v>#N/A</v>
      </c>
      <c r="K1890">
        <f t="shared" si="29"/>
        <v>0</v>
      </c>
      <c r="L18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0" s="3">
        <f>IFERROR(INDEX(Table3[#All],MATCH(Table1[[#This Row],[Key_Year_Week_Brand]],Table3[[#All],[Key_Year_Week_Brand]],0),MATCH(Table1[[#This Row],[DC_name_Xref]],Table3[#Headers],0)),0)</f>
        <v>0</v>
      </c>
      <c r="O1890" s="19">
        <f>IFERROR(INDEX(Table35[#All],MATCH(Table1[[#This Row],[Key_Year_Week_Brand]],Table35[[#All],[Key_Year_Month_Brand]],0),MATCH(Table1[[#This Row],[DC_name_Xref]],Table35[#Headers],0)),0)</f>
        <v>0</v>
      </c>
    </row>
    <row r="1891" spans="1:15" x14ac:dyDescent="0.3">
      <c r="A1891" s="19" t="e">
        <f>Table1[[#This Row],[Year_Week]]&amp;"-"&amp;Table1[[#This Row],[DC_name_Xref]]</f>
        <v>#N/A</v>
      </c>
      <c r="B1891" s="19" t="str">
        <f>Table1[[#This Row],[Fiscal_Year]]*100+Table1[[#This Row],[Fiscal_Week]] &amp; "-" &amp;Table1[[#This Row],[BRAND]]</f>
        <v>0-</v>
      </c>
      <c r="C1891" s="19" t="str">
        <f>Table1[[#This Row],[Fiscal_Year]]&amp;"-"&amp;Table1[[#This Row],[BRAND]]</f>
        <v>-</v>
      </c>
      <c r="J1891" t="e">
        <f>VLOOKUP(H1891,DC_Xref!A:B,2,FALSE)</f>
        <v>#N/A</v>
      </c>
      <c r="K1891">
        <f t="shared" si="29"/>
        <v>0</v>
      </c>
      <c r="L18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1" s="3">
        <f>IFERROR(INDEX(Table3[#All],MATCH(Table1[[#This Row],[Key_Year_Week_Brand]],Table3[[#All],[Key_Year_Week_Brand]],0),MATCH(Table1[[#This Row],[DC_name_Xref]],Table3[#Headers],0)),0)</f>
        <v>0</v>
      </c>
      <c r="O1891" s="19">
        <f>IFERROR(INDEX(Table35[#All],MATCH(Table1[[#This Row],[Key_Year_Week_Brand]],Table35[[#All],[Key_Year_Month_Brand]],0),MATCH(Table1[[#This Row],[DC_name_Xref]],Table35[#Headers],0)),0)</f>
        <v>0</v>
      </c>
    </row>
    <row r="1892" spans="1:15" x14ac:dyDescent="0.3">
      <c r="A1892" s="19" t="e">
        <f>Table1[[#This Row],[Year_Week]]&amp;"-"&amp;Table1[[#This Row],[DC_name_Xref]]</f>
        <v>#N/A</v>
      </c>
      <c r="B1892" s="19" t="str">
        <f>Table1[[#This Row],[Fiscal_Year]]*100+Table1[[#This Row],[Fiscal_Week]] &amp; "-" &amp;Table1[[#This Row],[BRAND]]</f>
        <v>0-</v>
      </c>
      <c r="C1892" s="19" t="str">
        <f>Table1[[#This Row],[Fiscal_Year]]&amp;"-"&amp;Table1[[#This Row],[BRAND]]</f>
        <v>-</v>
      </c>
      <c r="J1892" t="e">
        <f>VLOOKUP(H1892,DC_Xref!A:B,2,FALSE)</f>
        <v>#N/A</v>
      </c>
      <c r="K1892">
        <f t="shared" si="29"/>
        <v>0</v>
      </c>
      <c r="L18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2" s="3">
        <f>IFERROR(INDEX(Table3[#All],MATCH(Table1[[#This Row],[Key_Year_Week_Brand]],Table3[[#All],[Key_Year_Week_Brand]],0),MATCH(Table1[[#This Row],[DC_name_Xref]],Table3[#Headers],0)),0)</f>
        <v>0</v>
      </c>
      <c r="O1892" s="19">
        <f>IFERROR(INDEX(Table35[#All],MATCH(Table1[[#This Row],[Key_Year_Week_Brand]],Table35[[#All],[Key_Year_Month_Brand]],0),MATCH(Table1[[#This Row],[DC_name_Xref]],Table35[#Headers],0)),0)</f>
        <v>0</v>
      </c>
    </row>
    <row r="1893" spans="1:15" x14ac:dyDescent="0.3">
      <c r="A1893" s="19" t="e">
        <f>Table1[[#This Row],[Year_Week]]&amp;"-"&amp;Table1[[#This Row],[DC_name_Xref]]</f>
        <v>#N/A</v>
      </c>
      <c r="B1893" s="19" t="str">
        <f>Table1[[#This Row],[Fiscal_Year]]*100+Table1[[#This Row],[Fiscal_Week]] &amp; "-" &amp;Table1[[#This Row],[BRAND]]</f>
        <v>0-</v>
      </c>
      <c r="C1893" s="19" t="str">
        <f>Table1[[#This Row],[Fiscal_Year]]&amp;"-"&amp;Table1[[#This Row],[BRAND]]</f>
        <v>-</v>
      </c>
      <c r="J1893" t="e">
        <f>VLOOKUP(H1893,DC_Xref!A:B,2,FALSE)</f>
        <v>#N/A</v>
      </c>
      <c r="K1893">
        <f t="shared" si="29"/>
        <v>0</v>
      </c>
      <c r="L18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3" s="3">
        <f>IFERROR(INDEX(Table3[#All],MATCH(Table1[[#This Row],[Key_Year_Week_Brand]],Table3[[#All],[Key_Year_Week_Brand]],0),MATCH(Table1[[#This Row],[DC_name_Xref]],Table3[#Headers],0)),0)</f>
        <v>0</v>
      </c>
      <c r="O1893" s="19">
        <f>IFERROR(INDEX(Table35[#All],MATCH(Table1[[#This Row],[Key_Year_Week_Brand]],Table35[[#All],[Key_Year_Month_Brand]],0),MATCH(Table1[[#This Row],[DC_name_Xref]],Table35[#Headers],0)),0)</f>
        <v>0</v>
      </c>
    </row>
    <row r="1894" spans="1:15" x14ac:dyDescent="0.3">
      <c r="A1894" s="19" t="e">
        <f>Table1[[#This Row],[Year_Week]]&amp;"-"&amp;Table1[[#This Row],[DC_name_Xref]]</f>
        <v>#N/A</v>
      </c>
      <c r="B1894" s="19" t="str">
        <f>Table1[[#This Row],[Fiscal_Year]]*100+Table1[[#This Row],[Fiscal_Week]] &amp; "-" &amp;Table1[[#This Row],[BRAND]]</f>
        <v>0-</v>
      </c>
      <c r="C1894" s="19" t="str">
        <f>Table1[[#This Row],[Fiscal_Year]]&amp;"-"&amp;Table1[[#This Row],[BRAND]]</f>
        <v>-</v>
      </c>
      <c r="J1894" t="e">
        <f>VLOOKUP(H1894,DC_Xref!A:B,2,FALSE)</f>
        <v>#N/A</v>
      </c>
      <c r="K1894">
        <f t="shared" si="29"/>
        <v>0</v>
      </c>
      <c r="L18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4" s="3">
        <f>IFERROR(INDEX(Table3[#All],MATCH(Table1[[#This Row],[Key_Year_Week_Brand]],Table3[[#All],[Key_Year_Week_Brand]],0),MATCH(Table1[[#This Row],[DC_name_Xref]],Table3[#Headers],0)),0)</f>
        <v>0</v>
      </c>
      <c r="O1894" s="19">
        <f>IFERROR(INDEX(Table35[#All],MATCH(Table1[[#This Row],[Key_Year_Week_Brand]],Table35[[#All],[Key_Year_Month_Brand]],0),MATCH(Table1[[#This Row],[DC_name_Xref]],Table35[#Headers],0)),0)</f>
        <v>0</v>
      </c>
    </row>
    <row r="1895" spans="1:15" x14ac:dyDescent="0.3">
      <c r="A1895" s="19" t="e">
        <f>Table1[[#This Row],[Year_Week]]&amp;"-"&amp;Table1[[#This Row],[DC_name_Xref]]</f>
        <v>#N/A</v>
      </c>
      <c r="B1895" s="19" t="str">
        <f>Table1[[#This Row],[Fiscal_Year]]*100+Table1[[#This Row],[Fiscal_Week]] &amp; "-" &amp;Table1[[#This Row],[BRAND]]</f>
        <v>0-</v>
      </c>
      <c r="C1895" s="19" t="str">
        <f>Table1[[#This Row],[Fiscal_Year]]&amp;"-"&amp;Table1[[#This Row],[BRAND]]</f>
        <v>-</v>
      </c>
      <c r="J1895" t="e">
        <f>VLOOKUP(H1895,DC_Xref!A:B,2,FALSE)</f>
        <v>#N/A</v>
      </c>
      <c r="K1895">
        <f t="shared" si="29"/>
        <v>0</v>
      </c>
      <c r="L18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5" s="3">
        <f>IFERROR(INDEX(Table3[#All],MATCH(Table1[[#This Row],[Key_Year_Week_Brand]],Table3[[#All],[Key_Year_Week_Brand]],0),MATCH(Table1[[#This Row],[DC_name_Xref]],Table3[#Headers],0)),0)</f>
        <v>0</v>
      </c>
      <c r="O1895" s="19">
        <f>IFERROR(INDEX(Table35[#All],MATCH(Table1[[#This Row],[Key_Year_Week_Brand]],Table35[[#All],[Key_Year_Month_Brand]],0),MATCH(Table1[[#This Row],[DC_name_Xref]],Table35[#Headers],0)),0)</f>
        <v>0</v>
      </c>
    </row>
    <row r="1896" spans="1:15" x14ac:dyDescent="0.3">
      <c r="A1896" s="19" t="e">
        <f>Table1[[#This Row],[Year_Week]]&amp;"-"&amp;Table1[[#This Row],[DC_name_Xref]]</f>
        <v>#N/A</v>
      </c>
      <c r="B1896" s="19" t="str">
        <f>Table1[[#This Row],[Fiscal_Year]]*100+Table1[[#This Row],[Fiscal_Week]] &amp; "-" &amp;Table1[[#This Row],[BRAND]]</f>
        <v>0-</v>
      </c>
      <c r="C1896" s="19" t="str">
        <f>Table1[[#This Row],[Fiscal_Year]]&amp;"-"&amp;Table1[[#This Row],[BRAND]]</f>
        <v>-</v>
      </c>
      <c r="J1896" t="e">
        <f>VLOOKUP(H1896,DC_Xref!A:B,2,FALSE)</f>
        <v>#N/A</v>
      </c>
      <c r="K1896">
        <f t="shared" si="29"/>
        <v>0</v>
      </c>
      <c r="L18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6" s="3">
        <f>IFERROR(INDEX(Table3[#All],MATCH(Table1[[#This Row],[Key_Year_Week_Brand]],Table3[[#All],[Key_Year_Week_Brand]],0),MATCH(Table1[[#This Row],[DC_name_Xref]],Table3[#Headers],0)),0)</f>
        <v>0</v>
      </c>
      <c r="O1896" s="19">
        <f>IFERROR(INDEX(Table35[#All],MATCH(Table1[[#This Row],[Key_Year_Week_Brand]],Table35[[#All],[Key_Year_Month_Brand]],0),MATCH(Table1[[#This Row],[DC_name_Xref]],Table35[#Headers],0)),0)</f>
        <v>0</v>
      </c>
    </row>
    <row r="1897" spans="1:15" x14ac:dyDescent="0.3">
      <c r="A1897" s="19" t="e">
        <f>Table1[[#This Row],[Year_Week]]&amp;"-"&amp;Table1[[#This Row],[DC_name_Xref]]</f>
        <v>#N/A</v>
      </c>
      <c r="B1897" s="19" t="str">
        <f>Table1[[#This Row],[Fiscal_Year]]*100+Table1[[#This Row],[Fiscal_Week]] &amp; "-" &amp;Table1[[#This Row],[BRAND]]</f>
        <v>0-</v>
      </c>
      <c r="C1897" s="19" t="str">
        <f>Table1[[#This Row],[Fiscal_Year]]&amp;"-"&amp;Table1[[#This Row],[BRAND]]</f>
        <v>-</v>
      </c>
      <c r="J1897" t="e">
        <f>VLOOKUP(H1897,DC_Xref!A:B,2,FALSE)</f>
        <v>#N/A</v>
      </c>
      <c r="K1897">
        <f t="shared" si="29"/>
        <v>0</v>
      </c>
      <c r="L18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7" s="3">
        <f>IFERROR(INDEX(Table3[#All],MATCH(Table1[[#This Row],[Key_Year_Week_Brand]],Table3[[#All],[Key_Year_Week_Brand]],0),MATCH(Table1[[#This Row],[DC_name_Xref]],Table3[#Headers],0)),0)</f>
        <v>0</v>
      </c>
      <c r="O1897" s="19">
        <f>IFERROR(INDEX(Table35[#All],MATCH(Table1[[#This Row],[Key_Year_Week_Brand]],Table35[[#All],[Key_Year_Month_Brand]],0),MATCH(Table1[[#This Row],[DC_name_Xref]],Table35[#Headers],0)),0)</f>
        <v>0</v>
      </c>
    </row>
    <row r="1898" spans="1:15" x14ac:dyDescent="0.3">
      <c r="A1898" s="19" t="e">
        <f>Table1[[#This Row],[Year_Week]]&amp;"-"&amp;Table1[[#This Row],[DC_name_Xref]]</f>
        <v>#N/A</v>
      </c>
      <c r="B1898" s="19" t="str">
        <f>Table1[[#This Row],[Fiscal_Year]]*100+Table1[[#This Row],[Fiscal_Week]] &amp; "-" &amp;Table1[[#This Row],[BRAND]]</f>
        <v>0-</v>
      </c>
      <c r="C1898" s="19" t="str">
        <f>Table1[[#This Row],[Fiscal_Year]]&amp;"-"&amp;Table1[[#This Row],[BRAND]]</f>
        <v>-</v>
      </c>
      <c r="J1898" t="e">
        <f>VLOOKUP(H1898,DC_Xref!A:B,2,FALSE)</f>
        <v>#N/A</v>
      </c>
      <c r="K1898">
        <f t="shared" si="29"/>
        <v>0</v>
      </c>
      <c r="L18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8" s="3">
        <f>IFERROR(INDEX(Table3[#All],MATCH(Table1[[#This Row],[Key_Year_Week_Brand]],Table3[[#All],[Key_Year_Week_Brand]],0),MATCH(Table1[[#This Row],[DC_name_Xref]],Table3[#Headers],0)),0)</f>
        <v>0</v>
      </c>
      <c r="O1898" s="19">
        <f>IFERROR(INDEX(Table35[#All],MATCH(Table1[[#This Row],[Key_Year_Week_Brand]],Table35[[#All],[Key_Year_Month_Brand]],0),MATCH(Table1[[#This Row],[DC_name_Xref]],Table35[#Headers],0)),0)</f>
        <v>0</v>
      </c>
    </row>
    <row r="1899" spans="1:15" x14ac:dyDescent="0.3">
      <c r="A1899" s="19" t="e">
        <f>Table1[[#This Row],[Year_Week]]&amp;"-"&amp;Table1[[#This Row],[DC_name_Xref]]</f>
        <v>#N/A</v>
      </c>
      <c r="B1899" s="19" t="str">
        <f>Table1[[#This Row],[Fiscal_Year]]*100+Table1[[#This Row],[Fiscal_Week]] &amp; "-" &amp;Table1[[#This Row],[BRAND]]</f>
        <v>0-</v>
      </c>
      <c r="C1899" s="19" t="str">
        <f>Table1[[#This Row],[Fiscal_Year]]&amp;"-"&amp;Table1[[#This Row],[BRAND]]</f>
        <v>-</v>
      </c>
      <c r="J1899" t="e">
        <f>VLOOKUP(H1899,DC_Xref!A:B,2,FALSE)</f>
        <v>#N/A</v>
      </c>
      <c r="K1899">
        <f t="shared" si="29"/>
        <v>0</v>
      </c>
      <c r="L18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8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899" s="3">
        <f>IFERROR(INDEX(Table3[#All],MATCH(Table1[[#This Row],[Key_Year_Week_Brand]],Table3[[#All],[Key_Year_Week_Brand]],0),MATCH(Table1[[#This Row],[DC_name_Xref]],Table3[#Headers],0)),0)</f>
        <v>0</v>
      </c>
      <c r="O1899" s="19">
        <f>IFERROR(INDEX(Table35[#All],MATCH(Table1[[#This Row],[Key_Year_Week_Brand]],Table35[[#All],[Key_Year_Month_Brand]],0),MATCH(Table1[[#This Row],[DC_name_Xref]],Table35[#Headers],0)),0)</f>
        <v>0</v>
      </c>
    </row>
    <row r="1900" spans="1:15" x14ac:dyDescent="0.3">
      <c r="A1900" s="19" t="e">
        <f>Table1[[#This Row],[Year_Week]]&amp;"-"&amp;Table1[[#This Row],[DC_name_Xref]]</f>
        <v>#N/A</v>
      </c>
      <c r="B1900" s="19" t="str">
        <f>Table1[[#This Row],[Fiscal_Year]]*100+Table1[[#This Row],[Fiscal_Week]] &amp; "-" &amp;Table1[[#This Row],[BRAND]]</f>
        <v>0-</v>
      </c>
      <c r="C1900" s="19" t="str">
        <f>Table1[[#This Row],[Fiscal_Year]]&amp;"-"&amp;Table1[[#This Row],[BRAND]]</f>
        <v>-</v>
      </c>
      <c r="J1900" t="e">
        <f>VLOOKUP(H1900,DC_Xref!A:B,2,FALSE)</f>
        <v>#N/A</v>
      </c>
      <c r="K1900">
        <f t="shared" si="29"/>
        <v>0</v>
      </c>
      <c r="L19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0" s="3">
        <f>IFERROR(INDEX(Table3[#All],MATCH(Table1[[#This Row],[Key_Year_Week_Brand]],Table3[[#All],[Key_Year_Week_Brand]],0),MATCH(Table1[[#This Row],[DC_name_Xref]],Table3[#Headers],0)),0)</f>
        <v>0</v>
      </c>
      <c r="O1900" s="19">
        <f>IFERROR(INDEX(Table35[#All],MATCH(Table1[[#This Row],[Key_Year_Week_Brand]],Table35[[#All],[Key_Year_Month_Brand]],0),MATCH(Table1[[#This Row],[DC_name_Xref]],Table35[#Headers],0)),0)</f>
        <v>0</v>
      </c>
    </row>
    <row r="1901" spans="1:15" x14ac:dyDescent="0.3">
      <c r="A1901" s="19" t="e">
        <f>Table1[[#This Row],[Year_Week]]&amp;"-"&amp;Table1[[#This Row],[DC_name_Xref]]</f>
        <v>#N/A</v>
      </c>
      <c r="B1901" s="19" t="str">
        <f>Table1[[#This Row],[Fiscal_Year]]*100+Table1[[#This Row],[Fiscal_Week]] &amp; "-" &amp;Table1[[#This Row],[BRAND]]</f>
        <v>0-</v>
      </c>
      <c r="C1901" s="19" t="str">
        <f>Table1[[#This Row],[Fiscal_Year]]&amp;"-"&amp;Table1[[#This Row],[BRAND]]</f>
        <v>-</v>
      </c>
      <c r="J1901" t="e">
        <f>VLOOKUP(H1901,DC_Xref!A:B,2,FALSE)</f>
        <v>#N/A</v>
      </c>
      <c r="K1901">
        <f t="shared" si="29"/>
        <v>0</v>
      </c>
      <c r="L19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1" s="3">
        <f>IFERROR(INDEX(Table3[#All],MATCH(Table1[[#This Row],[Key_Year_Week_Brand]],Table3[[#All],[Key_Year_Week_Brand]],0),MATCH(Table1[[#This Row],[DC_name_Xref]],Table3[#Headers],0)),0)</f>
        <v>0</v>
      </c>
      <c r="O1901" s="19">
        <f>IFERROR(INDEX(Table35[#All],MATCH(Table1[[#This Row],[Key_Year_Week_Brand]],Table35[[#All],[Key_Year_Month_Brand]],0),MATCH(Table1[[#This Row],[DC_name_Xref]],Table35[#Headers],0)),0)</f>
        <v>0</v>
      </c>
    </row>
    <row r="1902" spans="1:15" x14ac:dyDescent="0.3">
      <c r="A1902" s="19" t="e">
        <f>Table1[[#This Row],[Year_Week]]&amp;"-"&amp;Table1[[#This Row],[DC_name_Xref]]</f>
        <v>#N/A</v>
      </c>
      <c r="B1902" s="19" t="str">
        <f>Table1[[#This Row],[Fiscal_Year]]*100+Table1[[#This Row],[Fiscal_Week]] &amp; "-" &amp;Table1[[#This Row],[BRAND]]</f>
        <v>0-</v>
      </c>
      <c r="C1902" s="19" t="str">
        <f>Table1[[#This Row],[Fiscal_Year]]&amp;"-"&amp;Table1[[#This Row],[BRAND]]</f>
        <v>-</v>
      </c>
      <c r="J1902" t="e">
        <f>VLOOKUP(H1902,DC_Xref!A:B,2,FALSE)</f>
        <v>#N/A</v>
      </c>
      <c r="K1902">
        <f t="shared" si="29"/>
        <v>0</v>
      </c>
      <c r="L19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2" s="3">
        <f>IFERROR(INDEX(Table3[#All],MATCH(Table1[[#This Row],[Key_Year_Week_Brand]],Table3[[#All],[Key_Year_Week_Brand]],0),MATCH(Table1[[#This Row],[DC_name_Xref]],Table3[#Headers],0)),0)</f>
        <v>0</v>
      </c>
      <c r="O1902" s="19">
        <f>IFERROR(INDEX(Table35[#All],MATCH(Table1[[#This Row],[Key_Year_Week_Brand]],Table35[[#All],[Key_Year_Month_Brand]],0),MATCH(Table1[[#This Row],[DC_name_Xref]],Table35[#Headers],0)),0)</f>
        <v>0</v>
      </c>
    </row>
    <row r="1903" spans="1:15" x14ac:dyDescent="0.3">
      <c r="A1903" s="19" t="e">
        <f>Table1[[#This Row],[Year_Week]]&amp;"-"&amp;Table1[[#This Row],[DC_name_Xref]]</f>
        <v>#N/A</v>
      </c>
      <c r="B1903" s="19" t="str">
        <f>Table1[[#This Row],[Fiscal_Year]]*100+Table1[[#This Row],[Fiscal_Week]] &amp; "-" &amp;Table1[[#This Row],[BRAND]]</f>
        <v>0-</v>
      </c>
      <c r="C1903" s="19" t="str">
        <f>Table1[[#This Row],[Fiscal_Year]]&amp;"-"&amp;Table1[[#This Row],[BRAND]]</f>
        <v>-</v>
      </c>
      <c r="J1903" t="e">
        <f>VLOOKUP(H1903,DC_Xref!A:B,2,FALSE)</f>
        <v>#N/A</v>
      </c>
      <c r="K1903">
        <f t="shared" si="29"/>
        <v>0</v>
      </c>
      <c r="L19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3" s="3">
        <f>IFERROR(INDEX(Table3[#All],MATCH(Table1[[#This Row],[Key_Year_Week_Brand]],Table3[[#All],[Key_Year_Week_Brand]],0),MATCH(Table1[[#This Row],[DC_name_Xref]],Table3[#Headers],0)),0)</f>
        <v>0</v>
      </c>
      <c r="O1903" s="19">
        <f>IFERROR(INDEX(Table35[#All],MATCH(Table1[[#This Row],[Key_Year_Week_Brand]],Table35[[#All],[Key_Year_Month_Brand]],0),MATCH(Table1[[#This Row],[DC_name_Xref]],Table35[#Headers],0)),0)</f>
        <v>0</v>
      </c>
    </row>
    <row r="1904" spans="1:15" x14ac:dyDescent="0.3">
      <c r="A1904" s="19" t="e">
        <f>Table1[[#This Row],[Year_Week]]&amp;"-"&amp;Table1[[#This Row],[DC_name_Xref]]</f>
        <v>#N/A</v>
      </c>
      <c r="B1904" s="19" t="str">
        <f>Table1[[#This Row],[Fiscal_Year]]*100+Table1[[#This Row],[Fiscal_Week]] &amp; "-" &amp;Table1[[#This Row],[BRAND]]</f>
        <v>0-</v>
      </c>
      <c r="C1904" s="19" t="str">
        <f>Table1[[#This Row],[Fiscal_Year]]&amp;"-"&amp;Table1[[#This Row],[BRAND]]</f>
        <v>-</v>
      </c>
      <c r="J1904" t="e">
        <f>VLOOKUP(H1904,DC_Xref!A:B,2,FALSE)</f>
        <v>#N/A</v>
      </c>
      <c r="K1904">
        <f t="shared" si="29"/>
        <v>0</v>
      </c>
      <c r="L19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4" s="3">
        <f>IFERROR(INDEX(Table3[#All],MATCH(Table1[[#This Row],[Key_Year_Week_Brand]],Table3[[#All],[Key_Year_Week_Brand]],0),MATCH(Table1[[#This Row],[DC_name_Xref]],Table3[#Headers],0)),0)</f>
        <v>0</v>
      </c>
      <c r="O1904" s="19">
        <f>IFERROR(INDEX(Table35[#All],MATCH(Table1[[#This Row],[Key_Year_Week_Brand]],Table35[[#All],[Key_Year_Month_Brand]],0),MATCH(Table1[[#This Row],[DC_name_Xref]],Table35[#Headers],0)),0)</f>
        <v>0</v>
      </c>
    </row>
    <row r="1905" spans="1:15" x14ac:dyDescent="0.3">
      <c r="A1905" s="19" t="e">
        <f>Table1[[#This Row],[Year_Week]]&amp;"-"&amp;Table1[[#This Row],[DC_name_Xref]]</f>
        <v>#N/A</v>
      </c>
      <c r="B1905" s="19" t="str">
        <f>Table1[[#This Row],[Fiscal_Year]]*100+Table1[[#This Row],[Fiscal_Week]] &amp; "-" &amp;Table1[[#This Row],[BRAND]]</f>
        <v>0-</v>
      </c>
      <c r="C1905" s="19" t="str">
        <f>Table1[[#This Row],[Fiscal_Year]]&amp;"-"&amp;Table1[[#This Row],[BRAND]]</f>
        <v>-</v>
      </c>
      <c r="J1905" t="e">
        <f>VLOOKUP(H1905,DC_Xref!A:B,2,FALSE)</f>
        <v>#N/A</v>
      </c>
      <c r="K1905">
        <f t="shared" si="29"/>
        <v>0</v>
      </c>
      <c r="L19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5" s="3">
        <f>IFERROR(INDEX(Table3[#All],MATCH(Table1[[#This Row],[Key_Year_Week_Brand]],Table3[[#All],[Key_Year_Week_Brand]],0),MATCH(Table1[[#This Row],[DC_name_Xref]],Table3[#Headers],0)),0)</f>
        <v>0</v>
      </c>
      <c r="O1905" s="19">
        <f>IFERROR(INDEX(Table35[#All],MATCH(Table1[[#This Row],[Key_Year_Week_Brand]],Table35[[#All],[Key_Year_Month_Brand]],0),MATCH(Table1[[#This Row],[DC_name_Xref]],Table35[#Headers],0)),0)</f>
        <v>0</v>
      </c>
    </row>
    <row r="1906" spans="1:15" x14ac:dyDescent="0.3">
      <c r="A1906" s="19" t="e">
        <f>Table1[[#This Row],[Year_Week]]&amp;"-"&amp;Table1[[#This Row],[DC_name_Xref]]</f>
        <v>#N/A</v>
      </c>
      <c r="B1906" s="19" t="str">
        <f>Table1[[#This Row],[Fiscal_Year]]*100+Table1[[#This Row],[Fiscal_Week]] &amp; "-" &amp;Table1[[#This Row],[BRAND]]</f>
        <v>0-</v>
      </c>
      <c r="C1906" s="19" t="str">
        <f>Table1[[#This Row],[Fiscal_Year]]&amp;"-"&amp;Table1[[#This Row],[BRAND]]</f>
        <v>-</v>
      </c>
      <c r="J1906" t="e">
        <f>VLOOKUP(H1906,DC_Xref!A:B,2,FALSE)</f>
        <v>#N/A</v>
      </c>
      <c r="K1906">
        <f t="shared" si="29"/>
        <v>0</v>
      </c>
      <c r="L19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6" s="3">
        <f>IFERROR(INDEX(Table3[#All],MATCH(Table1[[#This Row],[Key_Year_Week_Brand]],Table3[[#All],[Key_Year_Week_Brand]],0),MATCH(Table1[[#This Row],[DC_name_Xref]],Table3[#Headers],0)),0)</f>
        <v>0</v>
      </c>
      <c r="O1906" s="19">
        <f>IFERROR(INDEX(Table35[#All],MATCH(Table1[[#This Row],[Key_Year_Week_Brand]],Table35[[#All],[Key_Year_Month_Brand]],0),MATCH(Table1[[#This Row],[DC_name_Xref]],Table35[#Headers],0)),0)</f>
        <v>0</v>
      </c>
    </row>
    <row r="1907" spans="1:15" x14ac:dyDescent="0.3">
      <c r="A1907" s="19" t="e">
        <f>Table1[[#This Row],[Year_Week]]&amp;"-"&amp;Table1[[#This Row],[DC_name_Xref]]</f>
        <v>#N/A</v>
      </c>
      <c r="B1907" s="19" t="str">
        <f>Table1[[#This Row],[Fiscal_Year]]*100+Table1[[#This Row],[Fiscal_Week]] &amp; "-" &amp;Table1[[#This Row],[BRAND]]</f>
        <v>0-</v>
      </c>
      <c r="C1907" s="19" t="str">
        <f>Table1[[#This Row],[Fiscal_Year]]&amp;"-"&amp;Table1[[#This Row],[BRAND]]</f>
        <v>-</v>
      </c>
      <c r="J1907" t="e">
        <f>VLOOKUP(H1907,DC_Xref!A:B,2,FALSE)</f>
        <v>#N/A</v>
      </c>
      <c r="K1907">
        <f t="shared" si="29"/>
        <v>0</v>
      </c>
      <c r="L19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7" s="3">
        <f>IFERROR(INDEX(Table3[#All],MATCH(Table1[[#This Row],[Key_Year_Week_Brand]],Table3[[#All],[Key_Year_Week_Brand]],0),MATCH(Table1[[#This Row],[DC_name_Xref]],Table3[#Headers],0)),0)</f>
        <v>0</v>
      </c>
      <c r="O1907" s="19">
        <f>IFERROR(INDEX(Table35[#All],MATCH(Table1[[#This Row],[Key_Year_Week_Brand]],Table35[[#All],[Key_Year_Month_Brand]],0),MATCH(Table1[[#This Row],[DC_name_Xref]],Table35[#Headers],0)),0)</f>
        <v>0</v>
      </c>
    </row>
    <row r="1908" spans="1:15" x14ac:dyDescent="0.3">
      <c r="A1908" s="19" t="e">
        <f>Table1[[#This Row],[Year_Week]]&amp;"-"&amp;Table1[[#This Row],[DC_name_Xref]]</f>
        <v>#N/A</v>
      </c>
      <c r="B1908" s="19" t="str">
        <f>Table1[[#This Row],[Fiscal_Year]]*100+Table1[[#This Row],[Fiscal_Week]] &amp; "-" &amp;Table1[[#This Row],[BRAND]]</f>
        <v>0-</v>
      </c>
      <c r="C1908" s="19" t="str">
        <f>Table1[[#This Row],[Fiscal_Year]]&amp;"-"&amp;Table1[[#This Row],[BRAND]]</f>
        <v>-</v>
      </c>
      <c r="J1908" t="e">
        <f>VLOOKUP(H1908,DC_Xref!A:B,2,FALSE)</f>
        <v>#N/A</v>
      </c>
      <c r="K1908">
        <f t="shared" si="29"/>
        <v>0</v>
      </c>
      <c r="L19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8" s="3">
        <f>IFERROR(INDEX(Table3[#All],MATCH(Table1[[#This Row],[Key_Year_Week_Brand]],Table3[[#All],[Key_Year_Week_Brand]],0),MATCH(Table1[[#This Row],[DC_name_Xref]],Table3[#Headers],0)),0)</f>
        <v>0</v>
      </c>
      <c r="O1908" s="19">
        <f>IFERROR(INDEX(Table35[#All],MATCH(Table1[[#This Row],[Key_Year_Week_Brand]],Table35[[#All],[Key_Year_Month_Brand]],0),MATCH(Table1[[#This Row],[DC_name_Xref]],Table35[#Headers],0)),0)</f>
        <v>0</v>
      </c>
    </row>
    <row r="1909" spans="1:15" x14ac:dyDescent="0.3">
      <c r="A1909" s="19" t="e">
        <f>Table1[[#This Row],[Year_Week]]&amp;"-"&amp;Table1[[#This Row],[DC_name_Xref]]</f>
        <v>#N/A</v>
      </c>
      <c r="B1909" s="19" t="str">
        <f>Table1[[#This Row],[Fiscal_Year]]*100+Table1[[#This Row],[Fiscal_Week]] &amp; "-" &amp;Table1[[#This Row],[BRAND]]</f>
        <v>0-</v>
      </c>
      <c r="C1909" s="19" t="str">
        <f>Table1[[#This Row],[Fiscal_Year]]&amp;"-"&amp;Table1[[#This Row],[BRAND]]</f>
        <v>-</v>
      </c>
      <c r="J1909" t="e">
        <f>VLOOKUP(H1909,DC_Xref!A:B,2,FALSE)</f>
        <v>#N/A</v>
      </c>
      <c r="K1909">
        <f t="shared" si="29"/>
        <v>0</v>
      </c>
      <c r="L19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09" s="3">
        <f>IFERROR(INDEX(Table3[#All],MATCH(Table1[[#This Row],[Key_Year_Week_Brand]],Table3[[#All],[Key_Year_Week_Brand]],0),MATCH(Table1[[#This Row],[DC_name_Xref]],Table3[#Headers],0)),0)</f>
        <v>0</v>
      </c>
      <c r="O1909" s="19">
        <f>IFERROR(INDEX(Table35[#All],MATCH(Table1[[#This Row],[Key_Year_Week_Brand]],Table35[[#All],[Key_Year_Month_Brand]],0),MATCH(Table1[[#This Row],[DC_name_Xref]],Table35[#Headers],0)),0)</f>
        <v>0</v>
      </c>
    </row>
    <row r="1910" spans="1:15" x14ac:dyDescent="0.3">
      <c r="A1910" s="19" t="e">
        <f>Table1[[#This Row],[Year_Week]]&amp;"-"&amp;Table1[[#This Row],[DC_name_Xref]]</f>
        <v>#N/A</v>
      </c>
      <c r="B1910" s="19" t="str">
        <f>Table1[[#This Row],[Fiscal_Year]]*100+Table1[[#This Row],[Fiscal_Week]] &amp; "-" &amp;Table1[[#This Row],[BRAND]]</f>
        <v>0-</v>
      </c>
      <c r="C1910" s="19" t="str">
        <f>Table1[[#This Row],[Fiscal_Year]]&amp;"-"&amp;Table1[[#This Row],[BRAND]]</f>
        <v>-</v>
      </c>
      <c r="J1910" t="e">
        <f>VLOOKUP(H1910,DC_Xref!A:B,2,FALSE)</f>
        <v>#N/A</v>
      </c>
      <c r="K1910">
        <f t="shared" si="29"/>
        <v>0</v>
      </c>
      <c r="L19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0" s="3">
        <f>IFERROR(INDEX(Table3[#All],MATCH(Table1[[#This Row],[Key_Year_Week_Brand]],Table3[[#All],[Key_Year_Week_Brand]],0),MATCH(Table1[[#This Row],[DC_name_Xref]],Table3[#Headers],0)),0)</f>
        <v>0</v>
      </c>
      <c r="O1910" s="19">
        <f>IFERROR(INDEX(Table35[#All],MATCH(Table1[[#This Row],[Key_Year_Week_Brand]],Table35[[#All],[Key_Year_Month_Brand]],0),MATCH(Table1[[#This Row],[DC_name_Xref]],Table35[#Headers],0)),0)</f>
        <v>0</v>
      </c>
    </row>
    <row r="1911" spans="1:15" x14ac:dyDescent="0.3">
      <c r="A1911" s="19" t="e">
        <f>Table1[[#This Row],[Year_Week]]&amp;"-"&amp;Table1[[#This Row],[DC_name_Xref]]</f>
        <v>#N/A</v>
      </c>
      <c r="B1911" s="19" t="str">
        <f>Table1[[#This Row],[Fiscal_Year]]*100+Table1[[#This Row],[Fiscal_Week]] &amp; "-" &amp;Table1[[#This Row],[BRAND]]</f>
        <v>0-</v>
      </c>
      <c r="C1911" s="19" t="str">
        <f>Table1[[#This Row],[Fiscal_Year]]&amp;"-"&amp;Table1[[#This Row],[BRAND]]</f>
        <v>-</v>
      </c>
      <c r="J1911" t="e">
        <f>VLOOKUP(H1911,DC_Xref!A:B,2,FALSE)</f>
        <v>#N/A</v>
      </c>
      <c r="K1911">
        <f t="shared" si="29"/>
        <v>0</v>
      </c>
      <c r="L19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1" s="3">
        <f>IFERROR(INDEX(Table3[#All],MATCH(Table1[[#This Row],[Key_Year_Week_Brand]],Table3[[#All],[Key_Year_Week_Brand]],0),MATCH(Table1[[#This Row],[DC_name_Xref]],Table3[#Headers],0)),0)</f>
        <v>0</v>
      </c>
      <c r="O1911" s="19">
        <f>IFERROR(INDEX(Table35[#All],MATCH(Table1[[#This Row],[Key_Year_Week_Brand]],Table35[[#All],[Key_Year_Month_Brand]],0),MATCH(Table1[[#This Row],[DC_name_Xref]],Table35[#Headers],0)),0)</f>
        <v>0</v>
      </c>
    </row>
    <row r="1912" spans="1:15" x14ac:dyDescent="0.3">
      <c r="A1912" s="19" t="e">
        <f>Table1[[#This Row],[Year_Week]]&amp;"-"&amp;Table1[[#This Row],[DC_name_Xref]]</f>
        <v>#N/A</v>
      </c>
      <c r="B1912" s="19" t="str">
        <f>Table1[[#This Row],[Fiscal_Year]]*100+Table1[[#This Row],[Fiscal_Week]] &amp; "-" &amp;Table1[[#This Row],[BRAND]]</f>
        <v>0-</v>
      </c>
      <c r="C1912" s="19" t="str">
        <f>Table1[[#This Row],[Fiscal_Year]]&amp;"-"&amp;Table1[[#This Row],[BRAND]]</f>
        <v>-</v>
      </c>
      <c r="J1912" t="e">
        <f>VLOOKUP(H1912,DC_Xref!A:B,2,FALSE)</f>
        <v>#N/A</v>
      </c>
      <c r="K1912">
        <f t="shared" si="29"/>
        <v>0</v>
      </c>
      <c r="L19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2" s="3">
        <f>IFERROR(INDEX(Table3[#All],MATCH(Table1[[#This Row],[Key_Year_Week_Brand]],Table3[[#All],[Key_Year_Week_Brand]],0),MATCH(Table1[[#This Row],[DC_name_Xref]],Table3[#Headers],0)),0)</f>
        <v>0</v>
      </c>
      <c r="O1912" s="19">
        <f>IFERROR(INDEX(Table35[#All],MATCH(Table1[[#This Row],[Key_Year_Week_Brand]],Table35[[#All],[Key_Year_Month_Brand]],0),MATCH(Table1[[#This Row],[DC_name_Xref]],Table35[#Headers],0)),0)</f>
        <v>0</v>
      </c>
    </row>
    <row r="1913" spans="1:15" x14ac:dyDescent="0.3">
      <c r="A1913" s="19" t="e">
        <f>Table1[[#This Row],[Year_Week]]&amp;"-"&amp;Table1[[#This Row],[DC_name_Xref]]</f>
        <v>#N/A</v>
      </c>
      <c r="B1913" s="19" t="str">
        <f>Table1[[#This Row],[Fiscal_Year]]*100+Table1[[#This Row],[Fiscal_Week]] &amp; "-" &amp;Table1[[#This Row],[BRAND]]</f>
        <v>0-</v>
      </c>
      <c r="C1913" s="19" t="str">
        <f>Table1[[#This Row],[Fiscal_Year]]&amp;"-"&amp;Table1[[#This Row],[BRAND]]</f>
        <v>-</v>
      </c>
      <c r="J1913" t="e">
        <f>VLOOKUP(H1913,DC_Xref!A:B,2,FALSE)</f>
        <v>#N/A</v>
      </c>
      <c r="K1913">
        <f t="shared" si="29"/>
        <v>0</v>
      </c>
      <c r="L19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3" s="3">
        <f>IFERROR(INDEX(Table3[#All],MATCH(Table1[[#This Row],[Key_Year_Week_Brand]],Table3[[#All],[Key_Year_Week_Brand]],0),MATCH(Table1[[#This Row],[DC_name_Xref]],Table3[#Headers],0)),0)</f>
        <v>0</v>
      </c>
      <c r="O1913" s="19">
        <f>IFERROR(INDEX(Table35[#All],MATCH(Table1[[#This Row],[Key_Year_Week_Brand]],Table35[[#All],[Key_Year_Month_Brand]],0),MATCH(Table1[[#This Row],[DC_name_Xref]],Table35[#Headers],0)),0)</f>
        <v>0</v>
      </c>
    </row>
    <row r="1914" spans="1:15" x14ac:dyDescent="0.3">
      <c r="A1914" s="19" t="e">
        <f>Table1[[#This Row],[Year_Week]]&amp;"-"&amp;Table1[[#This Row],[DC_name_Xref]]</f>
        <v>#N/A</v>
      </c>
      <c r="B1914" s="19" t="str">
        <f>Table1[[#This Row],[Fiscal_Year]]*100+Table1[[#This Row],[Fiscal_Week]] &amp; "-" &amp;Table1[[#This Row],[BRAND]]</f>
        <v>0-</v>
      </c>
      <c r="C1914" s="19" t="str">
        <f>Table1[[#This Row],[Fiscal_Year]]&amp;"-"&amp;Table1[[#This Row],[BRAND]]</f>
        <v>-</v>
      </c>
      <c r="J1914" t="e">
        <f>VLOOKUP(H1914,DC_Xref!A:B,2,FALSE)</f>
        <v>#N/A</v>
      </c>
      <c r="K1914">
        <f t="shared" si="29"/>
        <v>0</v>
      </c>
      <c r="L19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4" s="3">
        <f>IFERROR(INDEX(Table3[#All],MATCH(Table1[[#This Row],[Key_Year_Week_Brand]],Table3[[#All],[Key_Year_Week_Brand]],0),MATCH(Table1[[#This Row],[DC_name_Xref]],Table3[#Headers],0)),0)</f>
        <v>0</v>
      </c>
      <c r="O1914" s="19">
        <f>IFERROR(INDEX(Table35[#All],MATCH(Table1[[#This Row],[Key_Year_Week_Brand]],Table35[[#All],[Key_Year_Month_Brand]],0),MATCH(Table1[[#This Row],[DC_name_Xref]],Table35[#Headers],0)),0)</f>
        <v>0</v>
      </c>
    </row>
    <row r="1915" spans="1:15" x14ac:dyDescent="0.3">
      <c r="A1915" s="19" t="e">
        <f>Table1[[#This Row],[Year_Week]]&amp;"-"&amp;Table1[[#This Row],[DC_name_Xref]]</f>
        <v>#N/A</v>
      </c>
      <c r="B1915" s="19" t="str">
        <f>Table1[[#This Row],[Fiscal_Year]]*100+Table1[[#This Row],[Fiscal_Week]] &amp; "-" &amp;Table1[[#This Row],[BRAND]]</f>
        <v>0-</v>
      </c>
      <c r="C1915" s="19" t="str">
        <f>Table1[[#This Row],[Fiscal_Year]]&amp;"-"&amp;Table1[[#This Row],[BRAND]]</f>
        <v>-</v>
      </c>
      <c r="J1915" t="e">
        <f>VLOOKUP(H1915,DC_Xref!A:B,2,FALSE)</f>
        <v>#N/A</v>
      </c>
      <c r="K1915">
        <f t="shared" si="29"/>
        <v>0</v>
      </c>
      <c r="L19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5" s="3">
        <f>IFERROR(INDEX(Table3[#All],MATCH(Table1[[#This Row],[Key_Year_Week_Brand]],Table3[[#All],[Key_Year_Week_Brand]],0),MATCH(Table1[[#This Row],[DC_name_Xref]],Table3[#Headers],0)),0)</f>
        <v>0</v>
      </c>
      <c r="O1915" s="19">
        <f>IFERROR(INDEX(Table35[#All],MATCH(Table1[[#This Row],[Key_Year_Week_Brand]],Table35[[#All],[Key_Year_Month_Brand]],0),MATCH(Table1[[#This Row],[DC_name_Xref]],Table35[#Headers],0)),0)</f>
        <v>0</v>
      </c>
    </row>
    <row r="1916" spans="1:15" x14ac:dyDescent="0.3">
      <c r="A1916" s="19" t="e">
        <f>Table1[[#This Row],[Year_Week]]&amp;"-"&amp;Table1[[#This Row],[DC_name_Xref]]</f>
        <v>#N/A</v>
      </c>
      <c r="B1916" s="19" t="str">
        <f>Table1[[#This Row],[Fiscal_Year]]*100+Table1[[#This Row],[Fiscal_Week]] &amp; "-" &amp;Table1[[#This Row],[BRAND]]</f>
        <v>0-</v>
      </c>
      <c r="C1916" s="19" t="str">
        <f>Table1[[#This Row],[Fiscal_Year]]&amp;"-"&amp;Table1[[#This Row],[BRAND]]</f>
        <v>-</v>
      </c>
      <c r="J1916" t="e">
        <f>VLOOKUP(H1916,DC_Xref!A:B,2,FALSE)</f>
        <v>#N/A</v>
      </c>
      <c r="K1916">
        <f t="shared" si="29"/>
        <v>0</v>
      </c>
      <c r="L19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6" s="3">
        <f>IFERROR(INDEX(Table3[#All],MATCH(Table1[[#This Row],[Key_Year_Week_Brand]],Table3[[#All],[Key_Year_Week_Brand]],0),MATCH(Table1[[#This Row],[DC_name_Xref]],Table3[#Headers],0)),0)</f>
        <v>0</v>
      </c>
      <c r="O1916" s="19">
        <f>IFERROR(INDEX(Table35[#All],MATCH(Table1[[#This Row],[Key_Year_Week_Brand]],Table35[[#All],[Key_Year_Month_Brand]],0),MATCH(Table1[[#This Row],[DC_name_Xref]],Table35[#Headers],0)),0)</f>
        <v>0</v>
      </c>
    </row>
    <row r="1917" spans="1:15" x14ac:dyDescent="0.3">
      <c r="A1917" s="19" t="e">
        <f>Table1[[#This Row],[Year_Week]]&amp;"-"&amp;Table1[[#This Row],[DC_name_Xref]]</f>
        <v>#N/A</v>
      </c>
      <c r="B1917" s="19" t="str">
        <f>Table1[[#This Row],[Fiscal_Year]]*100+Table1[[#This Row],[Fiscal_Week]] &amp; "-" &amp;Table1[[#This Row],[BRAND]]</f>
        <v>0-</v>
      </c>
      <c r="C1917" s="19" t="str">
        <f>Table1[[#This Row],[Fiscal_Year]]&amp;"-"&amp;Table1[[#This Row],[BRAND]]</f>
        <v>-</v>
      </c>
      <c r="J1917" t="e">
        <f>VLOOKUP(H1917,DC_Xref!A:B,2,FALSE)</f>
        <v>#N/A</v>
      </c>
      <c r="K1917">
        <f t="shared" si="29"/>
        <v>0</v>
      </c>
      <c r="L19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7" s="3">
        <f>IFERROR(INDEX(Table3[#All],MATCH(Table1[[#This Row],[Key_Year_Week_Brand]],Table3[[#All],[Key_Year_Week_Brand]],0),MATCH(Table1[[#This Row],[DC_name_Xref]],Table3[#Headers],0)),0)</f>
        <v>0</v>
      </c>
      <c r="O1917" s="19">
        <f>IFERROR(INDEX(Table35[#All],MATCH(Table1[[#This Row],[Key_Year_Week_Brand]],Table35[[#All],[Key_Year_Month_Brand]],0),MATCH(Table1[[#This Row],[DC_name_Xref]],Table35[#Headers],0)),0)</f>
        <v>0</v>
      </c>
    </row>
    <row r="1918" spans="1:15" x14ac:dyDescent="0.3">
      <c r="A1918" s="19" t="e">
        <f>Table1[[#This Row],[Year_Week]]&amp;"-"&amp;Table1[[#This Row],[DC_name_Xref]]</f>
        <v>#N/A</v>
      </c>
      <c r="B1918" s="19" t="str">
        <f>Table1[[#This Row],[Fiscal_Year]]*100+Table1[[#This Row],[Fiscal_Week]] &amp; "-" &amp;Table1[[#This Row],[BRAND]]</f>
        <v>0-</v>
      </c>
      <c r="C1918" s="19" t="str">
        <f>Table1[[#This Row],[Fiscal_Year]]&amp;"-"&amp;Table1[[#This Row],[BRAND]]</f>
        <v>-</v>
      </c>
      <c r="J1918" t="e">
        <f>VLOOKUP(H1918,DC_Xref!A:B,2,FALSE)</f>
        <v>#N/A</v>
      </c>
      <c r="K1918">
        <f t="shared" si="29"/>
        <v>0</v>
      </c>
      <c r="L19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8" s="3">
        <f>IFERROR(INDEX(Table3[#All],MATCH(Table1[[#This Row],[Key_Year_Week_Brand]],Table3[[#All],[Key_Year_Week_Brand]],0),MATCH(Table1[[#This Row],[DC_name_Xref]],Table3[#Headers],0)),0)</f>
        <v>0</v>
      </c>
      <c r="O1918" s="19">
        <f>IFERROR(INDEX(Table35[#All],MATCH(Table1[[#This Row],[Key_Year_Week_Brand]],Table35[[#All],[Key_Year_Month_Brand]],0),MATCH(Table1[[#This Row],[DC_name_Xref]],Table35[#Headers],0)),0)</f>
        <v>0</v>
      </c>
    </row>
    <row r="1919" spans="1:15" x14ac:dyDescent="0.3">
      <c r="A1919" s="19" t="e">
        <f>Table1[[#This Row],[Year_Week]]&amp;"-"&amp;Table1[[#This Row],[DC_name_Xref]]</f>
        <v>#N/A</v>
      </c>
      <c r="B1919" s="19" t="str">
        <f>Table1[[#This Row],[Fiscal_Year]]*100+Table1[[#This Row],[Fiscal_Week]] &amp; "-" &amp;Table1[[#This Row],[BRAND]]</f>
        <v>0-</v>
      </c>
      <c r="C1919" s="19" t="str">
        <f>Table1[[#This Row],[Fiscal_Year]]&amp;"-"&amp;Table1[[#This Row],[BRAND]]</f>
        <v>-</v>
      </c>
      <c r="J1919" t="e">
        <f>VLOOKUP(H1919,DC_Xref!A:B,2,FALSE)</f>
        <v>#N/A</v>
      </c>
      <c r="K1919">
        <f t="shared" si="29"/>
        <v>0</v>
      </c>
      <c r="L19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19" s="3">
        <f>IFERROR(INDEX(Table3[#All],MATCH(Table1[[#This Row],[Key_Year_Week_Brand]],Table3[[#All],[Key_Year_Week_Brand]],0),MATCH(Table1[[#This Row],[DC_name_Xref]],Table3[#Headers],0)),0)</f>
        <v>0</v>
      </c>
      <c r="O1919" s="19">
        <f>IFERROR(INDEX(Table35[#All],MATCH(Table1[[#This Row],[Key_Year_Week_Brand]],Table35[[#All],[Key_Year_Month_Brand]],0),MATCH(Table1[[#This Row],[DC_name_Xref]],Table35[#Headers],0)),0)</f>
        <v>0</v>
      </c>
    </row>
    <row r="1920" spans="1:15" x14ac:dyDescent="0.3">
      <c r="A1920" s="19" t="e">
        <f>Table1[[#This Row],[Year_Week]]&amp;"-"&amp;Table1[[#This Row],[DC_name_Xref]]</f>
        <v>#N/A</v>
      </c>
      <c r="B1920" s="19" t="str">
        <f>Table1[[#This Row],[Fiscal_Year]]*100+Table1[[#This Row],[Fiscal_Week]] &amp; "-" &amp;Table1[[#This Row],[BRAND]]</f>
        <v>0-</v>
      </c>
      <c r="C1920" s="19" t="str">
        <f>Table1[[#This Row],[Fiscal_Year]]&amp;"-"&amp;Table1[[#This Row],[BRAND]]</f>
        <v>-</v>
      </c>
      <c r="J1920" t="e">
        <f>VLOOKUP(H1920,DC_Xref!A:B,2,FALSE)</f>
        <v>#N/A</v>
      </c>
      <c r="K1920">
        <f t="shared" si="29"/>
        <v>0</v>
      </c>
      <c r="L19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0" s="3">
        <f>IFERROR(INDEX(Table3[#All],MATCH(Table1[[#This Row],[Key_Year_Week_Brand]],Table3[[#All],[Key_Year_Week_Brand]],0),MATCH(Table1[[#This Row],[DC_name_Xref]],Table3[#Headers],0)),0)</f>
        <v>0</v>
      </c>
      <c r="O1920" s="19">
        <f>IFERROR(INDEX(Table35[#All],MATCH(Table1[[#This Row],[Key_Year_Week_Brand]],Table35[[#All],[Key_Year_Month_Brand]],0),MATCH(Table1[[#This Row],[DC_name_Xref]],Table35[#Headers],0)),0)</f>
        <v>0</v>
      </c>
    </row>
    <row r="1921" spans="1:15" x14ac:dyDescent="0.3">
      <c r="A1921" s="19" t="e">
        <f>Table1[[#This Row],[Year_Week]]&amp;"-"&amp;Table1[[#This Row],[DC_name_Xref]]</f>
        <v>#N/A</v>
      </c>
      <c r="B1921" s="19" t="str">
        <f>Table1[[#This Row],[Fiscal_Year]]*100+Table1[[#This Row],[Fiscal_Week]] &amp; "-" &amp;Table1[[#This Row],[BRAND]]</f>
        <v>0-</v>
      </c>
      <c r="C1921" s="19" t="str">
        <f>Table1[[#This Row],[Fiscal_Year]]&amp;"-"&amp;Table1[[#This Row],[BRAND]]</f>
        <v>-</v>
      </c>
      <c r="J1921" t="e">
        <f>VLOOKUP(H1921,DC_Xref!A:B,2,FALSE)</f>
        <v>#N/A</v>
      </c>
      <c r="K1921">
        <f t="shared" si="29"/>
        <v>0</v>
      </c>
      <c r="L19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1" s="3">
        <f>IFERROR(INDEX(Table3[#All],MATCH(Table1[[#This Row],[Key_Year_Week_Brand]],Table3[[#All],[Key_Year_Week_Brand]],0),MATCH(Table1[[#This Row],[DC_name_Xref]],Table3[#Headers],0)),0)</f>
        <v>0</v>
      </c>
      <c r="O1921" s="19">
        <f>IFERROR(INDEX(Table35[#All],MATCH(Table1[[#This Row],[Key_Year_Week_Brand]],Table35[[#All],[Key_Year_Month_Brand]],0),MATCH(Table1[[#This Row],[DC_name_Xref]],Table35[#Headers],0)),0)</f>
        <v>0</v>
      </c>
    </row>
    <row r="1922" spans="1:15" x14ac:dyDescent="0.3">
      <c r="A1922" s="19" t="e">
        <f>Table1[[#This Row],[Year_Week]]&amp;"-"&amp;Table1[[#This Row],[DC_name_Xref]]</f>
        <v>#N/A</v>
      </c>
      <c r="B1922" s="19" t="str">
        <f>Table1[[#This Row],[Fiscal_Year]]*100+Table1[[#This Row],[Fiscal_Week]] &amp; "-" &amp;Table1[[#This Row],[BRAND]]</f>
        <v>0-</v>
      </c>
      <c r="C1922" s="19" t="str">
        <f>Table1[[#This Row],[Fiscal_Year]]&amp;"-"&amp;Table1[[#This Row],[BRAND]]</f>
        <v>-</v>
      </c>
      <c r="J1922" t="e">
        <f>VLOOKUP(H1922,DC_Xref!A:B,2,FALSE)</f>
        <v>#N/A</v>
      </c>
      <c r="K1922">
        <f t="shared" si="29"/>
        <v>0</v>
      </c>
      <c r="L19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2" s="3">
        <f>IFERROR(INDEX(Table3[#All],MATCH(Table1[[#This Row],[Key_Year_Week_Brand]],Table3[[#All],[Key_Year_Week_Brand]],0),MATCH(Table1[[#This Row],[DC_name_Xref]],Table3[#Headers],0)),0)</f>
        <v>0</v>
      </c>
      <c r="O1922" s="19">
        <f>IFERROR(INDEX(Table35[#All],MATCH(Table1[[#This Row],[Key_Year_Week_Brand]],Table35[[#All],[Key_Year_Month_Brand]],0),MATCH(Table1[[#This Row],[DC_name_Xref]],Table35[#Headers],0)),0)</f>
        <v>0</v>
      </c>
    </row>
    <row r="1923" spans="1:15" x14ac:dyDescent="0.3">
      <c r="A1923" s="19" t="e">
        <f>Table1[[#This Row],[Year_Week]]&amp;"-"&amp;Table1[[#This Row],[DC_name_Xref]]</f>
        <v>#N/A</v>
      </c>
      <c r="B1923" s="19" t="str">
        <f>Table1[[#This Row],[Fiscal_Year]]*100+Table1[[#This Row],[Fiscal_Week]] &amp; "-" &amp;Table1[[#This Row],[BRAND]]</f>
        <v>0-</v>
      </c>
      <c r="C1923" s="19" t="str">
        <f>Table1[[#This Row],[Fiscal_Year]]&amp;"-"&amp;Table1[[#This Row],[BRAND]]</f>
        <v>-</v>
      </c>
      <c r="J1923" t="e">
        <f>VLOOKUP(H1923,DC_Xref!A:B,2,FALSE)</f>
        <v>#N/A</v>
      </c>
      <c r="K1923">
        <f t="shared" si="29"/>
        <v>0</v>
      </c>
      <c r="L19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3" s="3">
        <f>IFERROR(INDEX(Table3[#All],MATCH(Table1[[#This Row],[Key_Year_Week_Brand]],Table3[[#All],[Key_Year_Week_Brand]],0),MATCH(Table1[[#This Row],[DC_name_Xref]],Table3[#Headers],0)),0)</f>
        <v>0</v>
      </c>
      <c r="O1923" s="19">
        <f>IFERROR(INDEX(Table35[#All],MATCH(Table1[[#This Row],[Key_Year_Week_Brand]],Table35[[#All],[Key_Year_Month_Brand]],0),MATCH(Table1[[#This Row],[DC_name_Xref]],Table35[#Headers],0)),0)</f>
        <v>0</v>
      </c>
    </row>
    <row r="1924" spans="1:15" x14ac:dyDescent="0.3">
      <c r="A1924" s="19" t="e">
        <f>Table1[[#This Row],[Year_Week]]&amp;"-"&amp;Table1[[#This Row],[DC_name_Xref]]</f>
        <v>#N/A</v>
      </c>
      <c r="B1924" s="19" t="str">
        <f>Table1[[#This Row],[Fiscal_Year]]*100+Table1[[#This Row],[Fiscal_Week]] &amp; "-" &amp;Table1[[#This Row],[BRAND]]</f>
        <v>0-</v>
      </c>
      <c r="C1924" s="19" t="str">
        <f>Table1[[#This Row],[Fiscal_Year]]&amp;"-"&amp;Table1[[#This Row],[BRAND]]</f>
        <v>-</v>
      </c>
      <c r="J1924" t="e">
        <f>VLOOKUP(H1924,DC_Xref!A:B,2,FALSE)</f>
        <v>#N/A</v>
      </c>
      <c r="K1924">
        <f t="shared" si="29"/>
        <v>0</v>
      </c>
      <c r="L19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4" s="3">
        <f>IFERROR(INDEX(Table3[#All],MATCH(Table1[[#This Row],[Key_Year_Week_Brand]],Table3[[#All],[Key_Year_Week_Brand]],0),MATCH(Table1[[#This Row],[DC_name_Xref]],Table3[#Headers],0)),0)</f>
        <v>0</v>
      </c>
      <c r="O1924" s="19">
        <f>IFERROR(INDEX(Table35[#All],MATCH(Table1[[#This Row],[Key_Year_Week_Brand]],Table35[[#All],[Key_Year_Month_Brand]],0),MATCH(Table1[[#This Row],[DC_name_Xref]],Table35[#Headers],0)),0)</f>
        <v>0</v>
      </c>
    </row>
    <row r="1925" spans="1:15" x14ac:dyDescent="0.3">
      <c r="A1925" s="19" t="e">
        <f>Table1[[#This Row],[Year_Week]]&amp;"-"&amp;Table1[[#This Row],[DC_name_Xref]]</f>
        <v>#N/A</v>
      </c>
      <c r="B1925" s="19" t="str">
        <f>Table1[[#This Row],[Fiscal_Year]]*100+Table1[[#This Row],[Fiscal_Week]] &amp; "-" &amp;Table1[[#This Row],[BRAND]]</f>
        <v>0-</v>
      </c>
      <c r="C1925" s="19" t="str">
        <f>Table1[[#This Row],[Fiscal_Year]]&amp;"-"&amp;Table1[[#This Row],[BRAND]]</f>
        <v>-</v>
      </c>
      <c r="J1925" t="e">
        <f>VLOOKUP(H1925,DC_Xref!A:B,2,FALSE)</f>
        <v>#N/A</v>
      </c>
      <c r="K1925">
        <f t="shared" si="29"/>
        <v>0</v>
      </c>
      <c r="L19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5" s="3">
        <f>IFERROR(INDEX(Table3[#All],MATCH(Table1[[#This Row],[Key_Year_Week_Brand]],Table3[[#All],[Key_Year_Week_Brand]],0),MATCH(Table1[[#This Row],[DC_name_Xref]],Table3[#Headers],0)),0)</f>
        <v>0</v>
      </c>
      <c r="O1925" s="19">
        <f>IFERROR(INDEX(Table35[#All],MATCH(Table1[[#This Row],[Key_Year_Week_Brand]],Table35[[#All],[Key_Year_Month_Brand]],0),MATCH(Table1[[#This Row],[DC_name_Xref]],Table35[#Headers],0)),0)</f>
        <v>0</v>
      </c>
    </row>
    <row r="1926" spans="1:15" x14ac:dyDescent="0.3">
      <c r="A1926" s="19" t="e">
        <f>Table1[[#This Row],[Year_Week]]&amp;"-"&amp;Table1[[#This Row],[DC_name_Xref]]</f>
        <v>#N/A</v>
      </c>
      <c r="B1926" s="19" t="str">
        <f>Table1[[#This Row],[Fiscal_Year]]*100+Table1[[#This Row],[Fiscal_Week]] &amp; "-" &amp;Table1[[#This Row],[BRAND]]</f>
        <v>0-</v>
      </c>
      <c r="C1926" s="19" t="str">
        <f>Table1[[#This Row],[Fiscal_Year]]&amp;"-"&amp;Table1[[#This Row],[BRAND]]</f>
        <v>-</v>
      </c>
      <c r="J1926" t="e">
        <f>VLOOKUP(H1926,DC_Xref!A:B,2,FALSE)</f>
        <v>#N/A</v>
      </c>
      <c r="K1926">
        <f t="shared" ref="K1926:K1989" si="30">D1926*100+E1926</f>
        <v>0</v>
      </c>
      <c r="L19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6" s="3">
        <f>IFERROR(INDEX(Table3[#All],MATCH(Table1[[#This Row],[Key_Year_Week_Brand]],Table3[[#All],[Key_Year_Week_Brand]],0),MATCH(Table1[[#This Row],[DC_name_Xref]],Table3[#Headers],0)),0)</f>
        <v>0</v>
      </c>
      <c r="O1926" s="19">
        <f>IFERROR(INDEX(Table35[#All],MATCH(Table1[[#This Row],[Key_Year_Week_Brand]],Table35[[#All],[Key_Year_Month_Brand]],0),MATCH(Table1[[#This Row],[DC_name_Xref]],Table35[#Headers],0)),0)</f>
        <v>0</v>
      </c>
    </row>
    <row r="1927" spans="1:15" x14ac:dyDescent="0.3">
      <c r="A1927" s="19" t="e">
        <f>Table1[[#This Row],[Year_Week]]&amp;"-"&amp;Table1[[#This Row],[DC_name_Xref]]</f>
        <v>#N/A</v>
      </c>
      <c r="B1927" s="19" t="str">
        <f>Table1[[#This Row],[Fiscal_Year]]*100+Table1[[#This Row],[Fiscal_Week]] &amp; "-" &amp;Table1[[#This Row],[BRAND]]</f>
        <v>0-</v>
      </c>
      <c r="C1927" s="19" t="str">
        <f>Table1[[#This Row],[Fiscal_Year]]&amp;"-"&amp;Table1[[#This Row],[BRAND]]</f>
        <v>-</v>
      </c>
      <c r="J1927" t="e">
        <f>VLOOKUP(H1927,DC_Xref!A:B,2,FALSE)</f>
        <v>#N/A</v>
      </c>
      <c r="K1927">
        <f t="shared" si="30"/>
        <v>0</v>
      </c>
      <c r="L19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7" s="3">
        <f>IFERROR(INDEX(Table3[#All],MATCH(Table1[[#This Row],[Key_Year_Week_Brand]],Table3[[#All],[Key_Year_Week_Brand]],0),MATCH(Table1[[#This Row],[DC_name_Xref]],Table3[#Headers],0)),0)</f>
        <v>0</v>
      </c>
      <c r="O1927" s="19">
        <f>IFERROR(INDEX(Table35[#All],MATCH(Table1[[#This Row],[Key_Year_Week_Brand]],Table35[[#All],[Key_Year_Month_Brand]],0),MATCH(Table1[[#This Row],[DC_name_Xref]],Table35[#Headers],0)),0)</f>
        <v>0</v>
      </c>
    </row>
    <row r="1928" spans="1:15" x14ac:dyDescent="0.3">
      <c r="A1928" s="19" t="e">
        <f>Table1[[#This Row],[Year_Week]]&amp;"-"&amp;Table1[[#This Row],[DC_name_Xref]]</f>
        <v>#N/A</v>
      </c>
      <c r="B1928" s="19" t="str">
        <f>Table1[[#This Row],[Fiscal_Year]]*100+Table1[[#This Row],[Fiscal_Week]] &amp; "-" &amp;Table1[[#This Row],[BRAND]]</f>
        <v>0-</v>
      </c>
      <c r="C1928" s="19" t="str">
        <f>Table1[[#This Row],[Fiscal_Year]]&amp;"-"&amp;Table1[[#This Row],[BRAND]]</f>
        <v>-</v>
      </c>
      <c r="J1928" t="e">
        <f>VLOOKUP(H1928,DC_Xref!A:B,2,FALSE)</f>
        <v>#N/A</v>
      </c>
      <c r="K1928">
        <f t="shared" si="30"/>
        <v>0</v>
      </c>
      <c r="L19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8" s="3">
        <f>IFERROR(INDEX(Table3[#All],MATCH(Table1[[#This Row],[Key_Year_Week_Brand]],Table3[[#All],[Key_Year_Week_Brand]],0),MATCH(Table1[[#This Row],[DC_name_Xref]],Table3[#Headers],0)),0)</f>
        <v>0</v>
      </c>
      <c r="O1928" s="19">
        <f>IFERROR(INDEX(Table35[#All],MATCH(Table1[[#This Row],[Key_Year_Week_Brand]],Table35[[#All],[Key_Year_Month_Brand]],0),MATCH(Table1[[#This Row],[DC_name_Xref]],Table35[#Headers],0)),0)</f>
        <v>0</v>
      </c>
    </row>
    <row r="1929" spans="1:15" x14ac:dyDescent="0.3">
      <c r="A1929" s="19" t="e">
        <f>Table1[[#This Row],[Year_Week]]&amp;"-"&amp;Table1[[#This Row],[DC_name_Xref]]</f>
        <v>#N/A</v>
      </c>
      <c r="B1929" s="19" t="str">
        <f>Table1[[#This Row],[Fiscal_Year]]*100+Table1[[#This Row],[Fiscal_Week]] &amp; "-" &amp;Table1[[#This Row],[BRAND]]</f>
        <v>0-</v>
      </c>
      <c r="C1929" s="19" t="str">
        <f>Table1[[#This Row],[Fiscal_Year]]&amp;"-"&amp;Table1[[#This Row],[BRAND]]</f>
        <v>-</v>
      </c>
      <c r="J1929" t="e">
        <f>VLOOKUP(H1929,DC_Xref!A:B,2,FALSE)</f>
        <v>#N/A</v>
      </c>
      <c r="K1929">
        <f t="shared" si="30"/>
        <v>0</v>
      </c>
      <c r="L19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29" s="3">
        <f>IFERROR(INDEX(Table3[#All],MATCH(Table1[[#This Row],[Key_Year_Week_Brand]],Table3[[#All],[Key_Year_Week_Brand]],0),MATCH(Table1[[#This Row],[DC_name_Xref]],Table3[#Headers],0)),0)</f>
        <v>0</v>
      </c>
      <c r="O1929" s="19">
        <f>IFERROR(INDEX(Table35[#All],MATCH(Table1[[#This Row],[Key_Year_Week_Brand]],Table35[[#All],[Key_Year_Month_Brand]],0),MATCH(Table1[[#This Row],[DC_name_Xref]],Table35[#Headers],0)),0)</f>
        <v>0</v>
      </c>
    </row>
    <row r="1930" spans="1:15" x14ac:dyDescent="0.3">
      <c r="A1930" s="19" t="e">
        <f>Table1[[#This Row],[Year_Week]]&amp;"-"&amp;Table1[[#This Row],[DC_name_Xref]]</f>
        <v>#N/A</v>
      </c>
      <c r="B1930" s="19" t="str">
        <f>Table1[[#This Row],[Fiscal_Year]]*100+Table1[[#This Row],[Fiscal_Week]] &amp; "-" &amp;Table1[[#This Row],[BRAND]]</f>
        <v>0-</v>
      </c>
      <c r="C1930" s="19" t="str">
        <f>Table1[[#This Row],[Fiscal_Year]]&amp;"-"&amp;Table1[[#This Row],[BRAND]]</f>
        <v>-</v>
      </c>
      <c r="J1930" t="e">
        <f>VLOOKUP(H1930,DC_Xref!A:B,2,FALSE)</f>
        <v>#N/A</v>
      </c>
      <c r="K1930">
        <f t="shared" si="30"/>
        <v>0</v>
      </c>
      <c r="L19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0" s="3">
        <f>IFERROR(INDEX(Table3[#All],MATCH(Table1[[#This Row],[Key_Year_Week_Brand]],Table3[[#All],[Key_Year_Week_Brand]],0),MATCH(Table1[[#This Row],[DC_name_Xref]],Table3[#Headers],0)),0)</f>
        <v>0</v>
      </c>
      <c r="O1930" s="19">
        <f>IFERROR(INDEX(Table35[#All],MATCH(Table1[[#This Row],[Key_Year_Week_Brand]],Table35[[#All],[Key_Year_Month_Brand]],0),MATCH(Table1[[#This Row],[DC_name_Xref]],Table35[#Headers],0)),0)</f>
        <v>0</v>
      </c>
    </row>
    <row r="1931" spans="1:15" x14ac:dyDescent="0.3">
      <c r="A1931" s="19" t="e">
        <f>Table1[[#This Row],[Year_Week]]&amp;"-"&amp;Table1[[#This Row],[DC_name_Xref]]</f>
        <v>#N/A</v>
      </c>
      <c r="B1931" s="19" t="str">
        <f>Table1[[#This Row],[Fiscal_Year]]*100+Table1[[#This Row],[Fiscal_Week]] &amp; "-" &amp;Table1[[#This Row],[BRAND]]</f>
        <v>0-</v>
      </c>
      <c r="C1931" s="19" t="str">
        <f>Table1[[#This Row],[Fiscal_Year]]&amp;"-"&amp;Table1[[#This Row],[BRAND]]</f>
        <v>-</v>
      </c>
      <c r="J1931" t="e">
        <f>VLOOKUP(H1931,DC_Xref!A:B,2,FALSE)</f>
        <v>#N/A</v>
      </c>
      <c r="K1931">
        <f t="shared" si="30"/>
        <v>0</v>
      </c>
      <c r="L19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1" s="3">
        <f>IFERROR(INDEX(Table3[#All],MATCH(Table1[[#This Row],[Key_Year_Week_Brand]],Table3[[#All],[Key_Year_Week_Brand]],0),MATCH(Table1[[#This Row],[DC_name_Xref]],Table3[#Headers],0)),0)</f>
        <v>0</v>
      </c>
      <c r="O1931" s="19">
        <f>IFERROR(INDEX(Table35[#All],MATCH(Table1[[#This Row],[Key_Year_Week_Brand]],Table35[[#All],[Key_Year_Month_Brand]],0),MATCH(Table1[[#This Row],[DC_name_Xref]],Table35[#Headers],0)),0)</f>
        <v>0</v>
      </c>
    </row>
    <row r="1932" spans="1:15" x14ac:dyDescent="0.3">
      <c r="A1932" s="19" t="e">
        <f>Table1[[#This Row],[Year_Week]]&amp;"-"&amp;Table1[[#This Row],[DC_name_Xref]]</f>
        <v>#N/A</v>
      </c>
      <c r="B1932" s="19" t="str">
        <f>Table1[[#This Row],[Fiscal_Year]]*100+Table1[[#This Row],[Fiscal_Week]] &amp; "-" &amp;Table1[[#This Row],[BRAND]]</f>
        <v>0-</v>
      </c>
      <c r="C1932" s="19" t="str">
        <f>Table1[[#This Row],[Fiscal_Year]]&amp;"-"&amp;Table1[[#This Row],[BRAND]]</f>
        <v>-</v>
      </c>
      <c r="J1932" t="e">
        <f>VLOOKUP(H1932,DC_Xref!A:B,2,FALSE)</f>
        <v>#N/A</v>
      </c>
      <c r="K1932">
        <f t="shared" si="30"/>
        <v>0</v>
      </c>
      <c r="L19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2" s="3">
        <f>IFERROR(INDEX(Table3[#All],MATCH(Table1[[#This Row],[Key_Year_Week_Brand]],Table3[[#All],[Key_Year_Week_Brand]],0),MATCH(Table1[[#This Row],[DC_name_Xref]],Table3[#Headers],0)),0)</f>
        <v>0</v>
      </c>
      <c r="O1932" s="19">
        <f>IFERROR(INDEX(Table35[#All],MATCH(Table1[[#This Row],[Key_Year_Week_Brand]],Table35[[#All],[Key_Year_Month_Brand]],0),MATCH(Table1[[#This Row],[DC_name_Xref]],Table35[#Headers],0)),0)</f>
        <v>0</v>
      </c>
    </row>
    <row r="1933" spans="1:15" x14ac:dyDescent="0.3">
      <c r="A1933" s="19" t="e">
        <f>Table1[[#This Row],[Year_Week]]&amp;"-"&amp;Table1[[#This Row],[DC_name_Xref]]</f>
        <v>#N/A</v>
      </c>
      <c r="B1933" s="19" t="str">
        <f>Table1[[#This Row],[Fiscal_Year]]*100+Table1[[#This Row],[Fiscal_Week]] &amp; "-" &amp;Table1[[#This Row],[BRAND]]</f>
        <v>0-</v>
      </c>
      <c r="C1933" s="19" t="str">
        <f>Table1[[#This Row],[Fiscal_Year]]&amp;"-"&amp;Table1[[#This Row],[BRAND]]</f>
        <v>-</v>
      </c>
      <c r="J1933" t="e">
        <f>VLOOKUP(H1933,DC_Xref!A:B,2,FALSE)</f>
        <v>#N/A</v>
      </c>
      <c r="K1933">
        <f t="shared" si="30"/>
        <v>0</v>
      </c>
      <c r="L19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3" s="3">
        <f>IFERROR(INDEX(Table3[#All],MATCH(Table1[[#This Row],[Key_Year_Week_Brand]],Table3[[#All],[Key_Year_Week_Brand]],0),MATCH(Table1[[#This Row],[DC_name_Xref]],Table3[#Headers],0)),0)</f>
        <v>0</v>
      </c>
      <c r="O1933" s="19">
        <f>IFERROR(INDEX(Table35[#All],MATCH(Table1[[#This Row],[Key_Year_Week_Brand]],Table35[[#All],[Key_Year_Month_Brand]],0),MATCH(Table1[[#This Row],[DC_name_Xref]],Table35[#Headers],0)),0)</f>
        <v>0</v>
      </c>
    </row>
    <row r="1934" spans="1:15" x14ac:dyDescent="0.3">
      <c r="A1934" s="19" t="e">
        <f>Table1[[#This Row],[Year_Week]]&amp;"-"&amp;Table1[[#This Row],[DC_name_Xref]]</f>
        <v>#N/A</v>
      </c>
      <c r="B1934" s="19" t="str">
        <f>Table1[[#This Row],[Fiscal_Year]]*100+Table1[[#This Row],[Fiscal_Week]] &amp; "-" &amp;Table1[[#This Row],[BRAND]]</f>
        <v>0-</v>
      </c>
      <c r="C1934" s="19" t="str">
        <f>Table1[[#This Row],[Fiscal_Year]]&amp;"-"&amp;Table1[[#This Row],[BRAND]]</f>
        <v>-</v>
      </c>
      <c r="J1934" t="e">
        <f>VLOOKUP(H1934,DC_Xref!A:B,2,FALSE)</f>
        <v>#N/A</v>
      </c>
      <c r="K1934">
        <f t="shared" si="30"/>
        <v>0</v>
      </c>
      <c r="L19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4" s="3">
        <f>IFERROR(INDEX(Table3[#All],MATCH(Table1[[#This Row],[Key_Year_Week_Brand]],Table3[[#All],[Key_Year_Week_Brand]],0),MATCH(Table1[[#This Row],[DC_name_Xref]],Table3[#Headers],0)),0)</f>
        <v>0</v>
      </c>
      <c r="O1934" s="19">
        <f>IFERROR(INDEX(Table35[#All],MATCH(Table1[[#This Row],[Key_Year_Week_Brand]],Table35[[#All],[Key_Year_Month_Brand]],0),MATCH(Table1[[#This Row],[DC_name_Xref]],Table35[#Headers],0)),0)</f>
        <v>0</v>
      </c>
    </row>
    <row r="1935" spans="1:15" x14ac:dyDescent="0.3">
      <c r="A1935" s="19" t="e">
        <f>Table1[[#This Row],[Year_Week]]&amp;"-"&amp;Table1[[#This Row],[DC_name_Xref]]</f>
        <v>#N/A</v>
      </c>
      <c r="B1935" s="19" t="str">
        <f>Table1[[#This Row],[Fiscal_Year]]*100+Table1[[#This Row],[Fiscal_Week]] &amp; "-" &amp;Table1[[#This Row],[BRAND]]</f>
        <v>0-</v>
      </c>
      <c r="C1935" s="19" t="str">
        <f>Table1[[#This Row],[Fiscal_Year]]&amp;"-"&amp;Table1[[#This Row],[BRAND]]</f>
        <v>-</v>
      </c>
      <c r="J1935" t="e">
        <f>VLOOKUP(H1935,DC_Xref!A:B,2,FALSE)</f>
        <v>#N/A</v>
      </c>
      <c r="K1935">
        <f t="shared" si="30"/>
        <v>0</v>
      </c>
      <c r="L19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5" s="3">
        <f>IFERROR(INDEX(Table3[#All],MATCH(Table1[[#This Row],[Key_Year_Week_Brand]],Table3[[#All],[Key_Year_Week_Brand]],0),MATCH(Table1[[#This Row],[DC_name_Xref]],Table3[#Headers],0)),0)</f>
        <v>0</v>
      </c>
      <c r="O1935" s="19">
        <f>IFERROR(INDEX(Table35[#All],MATCH(Table1[[#This Row],[Key_Year_Week_Brand]],Table35[[#All],[Key_Year_Month_Brand]],0),MATCH(Table1[[#This Row],[DC_name_Xref]],Table35[#Headers],0)),0)</f>
        <v>0</v>
      </c>
    </row>
    <row r="1936" spans="1:15" x14ac:dyDescent="0.3">
      <c r="A1936" s="19" t="e">
        <f>Table1[[#This Row],[Year_Week]]&amp;"-"&amp;Table1[[#This Row],[DC_name_Xref]]</f>
        <v>#N/A</v>
      </c>
      <c r="B1936" s="19" t="str">
        <f>Table1[[#This Row],[Fiscal_Year]]*100+Table1[[#This Row],[Fiscal_Week]] &amp; "-" &amp;Table1[[#This Row],[BRAND]]</f>
        <v>0-</v>
      </c>
      <c r="C1936" s="19" t="str">
        <f>Table1[[#This Row],[Fiscal_Year]]&amp;"-"&amp;Table1[[#This Row],[BRAND]]</f>
        <v>-</v>
      </c>
      <c r="J1936" t="e">
        <f>VLOOKUP(H1936,DC_Xref!A:B,2,FALSE)</f>
        <v>#N/A</v>
      </c>
      <c r="K1936">
        <f t="shared" si="30"/>
        <v>0</v>
      </c>
      <c r="L19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6" s="3">
        <f>IFERROR(INDEX(Table3[#All],MATCH(Table1[[#This Row],[Key_Year_Week_Brand]],Table3[[#All],[Key_Year_Week_Brand]],0),MATCH(Table1[[#This Row],[DC_name_Xref]],Table3[#Headers],0)),0)</f>
        <v>0</v>
      </c>
      <c r="O1936" s="19">
        <f>IFERROR(INDEX(Table35[#All],MATCH(Table1[[#This Row],[Key_Year_Week_Brand]],Table35[[#All],[Key_Year_Month_Brand]],0),MATCH(Table1[[#This Row],[DC_name_Xref]],Table35[#Headers],0)),0)</f>
        <v>0</v>
      </c>
    </row>
    <row r="1937" spans="1:15" x14ac:dyDescent="0.3">
      <c r="A1937" s="19" t="e">
        <f>Table1[[#This Row],[Year_Week]]&amp;"-"&amp;Table1[[#This Row],[DC_name_Xref]]</f>
        <v>#N/A</v>
      </c>
      <c r="B1937" s="19" t="str">
        <f>Table1[[#This Row],[Fiscal_Year]]*100+Table1[[#This Row],[Fiscal_Week]] &amp; "-" &amp;Table1[[#This Row],[BRAND]]</f>
        <v>0-</v>
      </c>
      <c r="C1937" s="19" t="str">
        <f>Table1[[#This Row],[Fiscal_Year]]&amp;"-"&amp;Table1[[#This Row],[BRAND]]</f>
        <v>-</v>
      </c>
      <c r="J1937" t="e">
        <f>VLOOKUP(H1937,DC_Xref!A:B,2,FALSE)</f>
        <v>#N/A</v>
      </c>
      <c r="K1937">
        <f t="shared" si="30"/>
        <v>0</v>
      </c>
      <c r="L19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7" s="3">
        <f>IFERROR(INDEX(Table3[#All],MATCH(Table1[[#This Row],[Key_Year_Week_Brand]],Table3[[#All],[Key_Year_Week_Brand]],0),MATCH(Table1[[#This Row],[DC_name_Xref]],Table3[#Headers],0)),0)</f>
        <v>0</v>
      </c>
      <c r="O1937" s="19">
        <f>IFERROR(INDEX(Table35[#All],MATCH(Table1[[#This Row],[Key_Year_Week_Brand]],Table35[[#All],[Key_Year_Month_Brand]],0),MATCH(Table1[[#This Row],[DC_name_Xref]],Table35[#Headers],0)),0)</f>
        <v>0</v>
      </c>
    </row>
    <row r="1938" spans="1:15" x14ac:dyDescent="0.3">
      <c r="A1938" s="19" t="e">
        <f>Table1[[#This Row],[Year_Week]]&amp;"-"&amp;Table1[[#This Row],[DC_name_Xref]]</f>
        <v>#N/A</v>
      </c>
      <c r="B1938" s="19" t="str">
        <f>Table1[[#This Row],[Fiscal_Year]]*100+Table1[[#This Row],[Fiscal_Week]] &amp; "-" &amp;Table1[[#This Row],[BRAND]]</f>
        <v>0-</v>
      </c>
      <c r="C1938" s="19" t="str">
        <f>Table1[[#This Row],[Fiscal_Year]]&amp;"-"&amp;Table1[[#This Row],[BRAND]]</f>
        <v>-</v>
      </c>
      <c r="J1938" t="e">
        <f>VLOOKUP(H1938,DC_Xref!A:B,2,FALSE)</f>
        <v>#N/A</v>
      </c>
      <c r="K1938">
        <f t="shared" si="30"/>
        <v>0</v>
      </c>
      <c r="L19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8" s="3">
        <f>IFERROR(INDEX(Table3[#All],MATCH(Table1[[#This Row],[Key_Year_Week_Brand]],Table3[[#All],[Key_Year_Week_Brand]],0),MATCH(Table1[[#This Row],[DC_name_Xref]],Table3[#Headers],0)),0)</f>
        <v>0</v>
      </c>
      <c r="O1938" s="19">
        <f>IFERROR(INDEX(Table35[#All],MATCH(Table1[[#This Row],[Key_Year_Week_Brand]],Table35[[#All],[Key_Year_Month_Brand]],0),MATCH(Table1[[#This Row],[DC_name_Xref]],Table35[#Headers],0)),0)</f>
        <v>0</v>
      </c>
    </row>
    <row r="1939" spans="1:15" x14ac:dyDescent="0.3">
      <c r="A1939" s="19" t="e">
        <f>Table1[[#This Row],[Year_Week]]&amp;"-"&amp;Table1[[#This Row],[DC_name_Xref]]</f>
        <v>#N/A</v>
      </c>
      <c r="B1939" s="19" t="str">
        <f>Table1[[#This Row],[Fiscal_Year]]*100+Table1[[#This Row],[Fiscal_Week]] &amp; "-" &amp;Table1[[#This Row],[BRAND]]</f>
        <v>0-</v>
      </c>
      <c r="C1939" s="19" t="str">
        <f>Table1[[#This Row],[Fiscal_Year]]&amp;"-"&amp;Table1[[#This Row],[BRAND]]</f>
        <v>-</v>
      </c>
      <c r="J1939" t="e">
        <f>VLOOKUP(H1939,DC_Xref!A:B,2,FALSE)</f>
        <v>#N/A</v>
      </c>
      <c r="K1939">
        <f t="shared" si="30"/>
        <v>0</v>
      </c>
      <c r="L19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39" s="3">
        <f>IFERROR(INDEX(Table3[#All],MATCH(Table1[[#This Row],[Key_Year_Week_Brand]],Table3[[#All],[Key_Year_Week_Brand]],0),MATCH(Table1[[#This Row],[DC_name_Xref]],Table3[#Headers],0)),0)</f>
        <v>0</v>
      </c>
      <c r="O1939" s="19">
        <f>IFERROR(INDEX(Table35[#All],MATCH(Table1[[#This Row],[Key_Year_Week_Brand]],Table35[[#All],[Key_Year_Month_Brand]],0),MATCH(Table1[[#This Row],[DC_name_Xref]],Table35[#Headers],0)),0)</f>
        <v>0</v>
      </c>
    </row>
    <row r="1940" spans="1:15" x14ac:dyDescent="0.3">
      <c r="A1940" s="19" t="e">
        <f>Table1[[#This Row],[Year_Week]]&amp;"-"&amp;Table1[[#This Row],[DC_name_Xref]]</f>
        <v>#N/A</v>
      </c>
      <c r="B1940" s="19" t="str">
        <f>Table1[[#This Row],[Fiscal_Year]]*100+Table1[[#This Row],[Fiscal_Week]] &amp; "-" &amp;Table1[[#This Row],[BRAND]]</f>
        <v>0-</v>
      </c>
      <c r="C1940" s="19" t="str">
        <f>Table1[[#This Row],[Fiscal_Year]]&amp;"-"&amp;Table1[[#This Row],[BRAND]]</f>
        <v>-</v>
      </c>
      <c r="J1940" t="e">
        <f>VLOOKUP(H1940,DC_Xref!A:B,2,FALSE)</f>
        <v>#N/A</v>
      </c>
      <c r="K1940">
        <f t="shared" si="30"/>
        <v>0</v>
      </c>
      <c r="L19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0" s="3">
        <f>IFERROR(INDEX(Table3[#All],MATCH(Table1[[#This Row],[Key_Year_Week_Brand]],Table3[[#All],[Key_Year_Week_Brand]],0),MATCH(Table1[[#This Row],[DC_name_Xref]],Table3[#Headers],0)),0)</f>
        <v>0</v>
      </c>
      <c r="O1940" s="19">
        <f>IFERROR(INDEX(Table35[#All],MATCH(Table1[[#This Row],[Key_Year_Week_Brand]],Table35[[#All],[Key_Year_Month_Brand]],0),MATCH(Table1[[#This Row],[DC_name_Xref]],Table35[#Headers],0)),0)</f>
        <v>0</v>
      </c>
    </row>
    <row r="1941" spans="1:15" x14ac:dyDescent="0.3">
      <c r="A1941" s="19" t="e">
        <f>Table1[[#This Row],[Year_Week]]&amp;"-"&amp;Table1[[#This Row],[DC_name_Xref]]</f>
        <v>#N/A</v>
      </c>
      <c r="B1941" s="19" t="str">
        <f>Table1[[#This Row],[Fiscal_Year]]*100+Table1[[#This Row],[Fiscal_Week]] &amp; "-" &amp;Table1[[#This Row],[BRAND]]</f>
        <v>0-</v>
      </c>
      <c r="C1941" s="19" t="str">
        <f>Table1[[#This Row],[Fiscal_Year]]&amp;"-"&amp;Table1[[#This Row],[BRAND]]</f>
        <v>-</v>
      </c>
      <c r="J1941" t="e">
        <f>VLOOKUP(H1941,DC_Xref!A:B,2,FALSE)</f>
        <v>#N/A</v>
      </c>
      <c r="K1941">
        <f t="shared" si="30"/>
        <v>0</v>
      </c>
      <c r="L19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1" s="3">
        <f>IFERROR(INDEX(Table3[#All],MATCH(Table1[[#This Row],[Key_Year_Week_Brand]],Table3[[#All],[Key_Year_Week_Brand]],0),MATCH(Table1[[#This Row],[DC_name_Xref]],Table3[#Headers],0)),0)</f>
        <v>0</v>
      </c>
      <c r="O1941" s="19">
        <f>IFERROR(INDEX(Table35[#All],MATCH(Table1[[#This Row],[Key_Year_Week_Brand]],Table35[[#All],[Key_Year_Month_Brand]],0),MATCH(Table1[[#This Row],[DC_name_Xref]],Table35[#Headers],0)),0)</f>
        <v>0</v>
      </c>
    </row>
    <row r="1942" spans="1:15" x14ac:dyDescent="0.3">
      <c r="A1942" s="19" t="e">
        <f>Table1[[#This Row],[Year_Week]]&amp;"-"&amp;Table1[[#This Row],[DC_name_Xref]]</f>
        <v>#N/A</v>
      </c>
      <c r="B1942" s="19" t="str">
        <f>Table1[[#This Row],[Fiscal_Year]]*100+Table1[[#This Row],[Fiscal_Week]] &amp; "-" &amp;Table1[[#This Row],[BRAND]]</f>
        <v>0-</v>
      </c>
      <c r="C1942" s="19" t="str">
        <f>Table1[[#This Row],[Fiscal_Year]]&amp;"-"&amp;Table1[[#This Row],[BRAND]]</f>
        <v>-</v>
      </c>
      <c r="J1942" t="e">
        <f>VLOOKUP(H1942,DC_Xref!A:B,2,FALSE)</f>
        <v>#N/A</v>
      </c>
      <c r="K1942">
        <f t="shared" si="30"/>
        <v>0</v>
      </c>
      <c r="L19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2" s="3">
        <f>IFERROR(INDEX(Table3[#All],MATCH(Table1[[#This Row],[Key_Year_Week_Brand]],Table3[[#All],[Key_Year_Week_Brand]],0),MATCH(Table1[[#This Row],[DC_name_Xref]],Table3[#Headers],0)),0)</f>
        <v>0</v>
      </c>
      <c r="O1942" s="19">
        <f>IFERROR(INDEX(Table35[#All],MATCH(Table1[[#This Row],[Key_Year_Week_Brand]],Table35[[#All],[Key_Year_Month_Brand]],0),MATCH(Table1[[#This Row],[DC_name_Xref]],Table35[#Headers],0)),0)</f>
        <v>0</v>
      </c>
    </row>
    <row r="1943" spans="1:15" x14ac:dyDescent="0.3">
      <c r="A1943" s="19" t="e">
        <f>Table1[[#This Row],[Year_Week]]&amp;"-"&amp;Table1[[#This Row],[DC_name_Xref]]</f>
        <v>#N/A</v>
      </c>
      <c r="B1943" s="19" t="str">
        <f>Table1[[#This Row],[Fiscal_Year]]*100+Table1[[#This Row],[Fiscal_Week]] &amp; "-" &amp;Table1[[#This Row],[BRAND]]</f>
        <v>0-</v>
      </c>
      <c r="C1943" s="19" t="str">
        <f>Table1[[#This Row],[Fiscal_Year]]&amp;"-"&amp;Table1[[#This Row],[BRAND]]</f>
        <v>-</v>
      </c>
      <c r="J1943" t="e">
        <f>VLOOKUP(H1943,DC_Xref!A:B,2,FALSE)</f>
        <v>#N/A</v>
      </c>
      <c r="K1943">
        <f t="shared" si="30"/>
        <v>0</v>
      </c>
      <c r="L19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3" s="3">
        <f>IFERROR(INDEX(Table3[#All],MATCH(Table1[[#This Row],[Key_Year_Week_Brand]],Table3[[#All],[Key_Year_Week_Brand]],0),MATCH(Table1[[#This Row],[DC_name_Xref]],Table3[#Headers],0)),0)</f>
        <v>0</v>
      </c>
      <c r="O1943" s="19">
        <f>IFERROR(INDEX(Table35[#All],MATCH(Table1[[#This Row],[Key_Year_Week_Brand]],Table35[[#All],[Key_Year_Month_Brand]],0),MATCH(Table1[[#This Row],[DC_name_Xref]],Table35[#Headers],0)),0)</f>
        <v>0</v>
      </c>
    </row>
    <row r="1944" spans="1:15" x14ac:dyDescent="0.3">
      <c r="A1944" s="19" t="e">
        <f>Table1[[#This Row],[Year_Week]]&amp;"-"&amp;Table1[[#This Row],[DC_name_Xref]]</f>
        <v>#N/A</v>
      </c>
      <c r="B1944" s="19" t="str">
        <f>Table1[[#This Row],[Fiscal_Year]]*100+Table1[[#This Row],[Fiscal_Week]] &amp; "-" &amp;Table1[[#This Row],[BRAND]]</f>
        <v>0-</v>
      </c>
      <c r="C1944" s="19" t="str">
        <f>Table1[[#This Row],[Fiscal_Year]]&amp;"-"&amp;Table1[[#This Row],[BRAND]]</f>
        <v>-</v>
      </c>
      <c r="J1944" t="e">
        <f>VLOOKUP(H1944,DC_Xref!A:B,2,FALSE)</f>
        <v>#N/A</v>
      </c>
      <c r="K1944">
        <f t="shared" si="30"/>
        <v>0</v>
      </c>
      <c r="L19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4" s="3">
        <f>IFERROR(INDEX(Table3[#All],MATCH(Table1[[#This Row],[Key_Year_Week_Brand]],Table3[[#All],[Key_Year_Week_Brand]],0),MATCH(Table1[[#This Row],[DC_name_Xref]],Table3[#Headers],0)),0)</f>
        <v>0</v>
      </c>
      <c r="O1944" s="19">
        <f>IFERROR(INDEX(Table35[#All],MATCH(Table1[[#This Row],[Key_Year_Week_Brand]],Table35[[#All],[Key_Year_Month_Brand]],0),MATCH(Table1[[#This Row],[DC_name_Xref]],Table35[#Headers],0)),0)</f>
        <v>0</v>
      </c>
    </row>
    <row r="1945" spans="1:15" x14ac:dyDescent="0.3">
      <c r="A1945" s="19" t="e">
        <f>Table1[[#This Row],[Year_Week]]&amp;"-"&amp;Table1[[#This Row],[DC_name_Xref]]</f>
        <v>#N/A</v>
      </c>
      <c r="B1945" s="19" t="str">
        <f>Table1[[#This Row],[Fiscal_Year]]*100+Table1[[#This Row],[Fiscal_Week]] &amp; "-" &amp;Table1[[#This Row],[BRAND]]</f>
        <v>0-</v>
      </c>
      <c r="C1945" s="19" t="str">
        <f>Table1[[#This Row],[Fiscal_Year]]&amp;"-"&amp;Table1[[#This Row],[BRAND]]</f>
        <v>-</v>
      </c>
      <c r="J1945" t="e">
        <f>VLOOKUP(H1945,DC_Xref!A:B,2,FALSE)</f>
        <v>#N/A</v>
      </c>
      <c r="K1945">
        <f t="shared" si="30"/>
        <v>0</v>
      </c>
      <c r="L19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5" s="3">
        <f>IFERROR(INDEX(Table3[#All],MATCH(Table1[[#This Row],[Key_Year_Week_Brand]],Table3[[#All],[Key_Year_Week_Brand]],0),MATCH(Table1[[#This Row],[DC_name_Xref]],Table3[#Headers],0)),0)</f>
        <v>0</v>
      </c>
      <c r="O1945" s="19">
        <f>IFERROR(INDEX(Table35[#All],MATCH(Table1[[#This Row],[Key_Year_Week_Brand]],Table35[[#All],[Key_Year_Month_Brand]],0),MATCH(Table1[[#This Row],[DC_name_Xref]],Table35[#Headers],0)),0)</f>
        <v>0</v>
      </c>
    </row>
    <row r="1946" spans="1:15" x14ac:dyDescent="0.3">
      <c r="A1946" s="19" t="e">
        <f>Table1[[#This Row],[Year_Week]]&amp;"-"&amp;Table1[[#This Row],[DC_name_Xref]]</f>
        <v>#N/A</v>
      </c>
      <c r="B1946" s="19" t="str">
        <f>Table1[[#This Row],[Fiscal_Year]]*100+Table1[[#This Row],[Fiscal_Week]] &amp; "-" &amp;Table1[[#This Row],[BRAND]]</f>
        <v>0-</v>
      </c>
      <c r="C1946" s="19" t="str">
        <f>Table1[[#This Row],[Fiscal_Year]]&amp;"-"&amp;Table1[[#This Row],[BRAND]]</f>
        <v>-</v>
      </c>
      <c r="J1946" t="e">
        <f>VLOOKUP(H1946,DC_Xref!A:B,2,FALSE)</f>
        <v>#N/A</v>
      </c>
      <c r="K1946">
        <f t="shared" si="30"/>
        <v>0</v>
      </c>
      <c r="L19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6" s="3">
        <f>IFERROR(INDEX(Table3[#All],MATCH(Table1[[#This Row],[Key_Year_Week_Brand]],Table3[[#All],[Key_Year_Week_Brand]],0),MATCH(Table1[[#This Row],[DC_name_Xref]],Table3[#Headers],0)),0)</f>
        <v>0</v>
      </c>
      <c r="O1946" s="19">
        <f>IFERROR(INDEX(Table35[#All],MATCH(Table1[[#This Row],[Key_Year_Week_Brand]],Table35[[#All],[Key_Year_Month_Brand]],0),MATCH(Table1[[#This Row],[DC_name_Xref]],Table35[#Headers],0)),0)</f>
        <v>0</v>
      </c>
    </row>
    <row r="1947" spans="1:15" x14ac:dyDescent="0.3">
      <c r="A1947" s="19" t="e">
        <f>Table1[[#This Row],[Year_Week]]&amp;"-"&amp;Table1[[#This Row],[DC_name_Xref]]</f>
        <v>#N/A</v>
      </c>
      <c r="B1947" s="19" t="str">
        <f>Table1[[#This Row],[Fiscal_Year]]*100+Table1[[#This Row],[Fiscal_Week]] &amp; "-" &amp;Table1[[#This Row],[BRAND]]</f>
        <v>0-</v>
      </c>
      <c r="C1947" s="19" t="str">
        <f>Table1[[#This Row],[Fiscal_Year]]&amp;"-"&amp;Table1[[#This Row],[BRAND]]</f>
        <v>-</v>
      </c>
      <c r="J1947" t="e">
        <f>VLOOKUP(H1947,DC_Xref!A:B,2,FALSE)</f>
        <v>#N/A</v>
      </c>
      <c r="K1947">
        <f t="shared" si="30"/>
        <v>0</v>
      </c>
      <c r="L19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7" s="3">
        <f>IFERROR(INDEX(Table3[#All],MATCH(Table1[[#This Row],[Key_Year_Week_Brand]],Table3[[#All],[Key_Year_Week_Brand]],0),MATCH(Table1[[#This Row],[DC_name_Xref]],Table3[#Headers],0)),0)</f>
        <v>0</v>
      </c>
      <c r="O1947" s="19">
        <f>IFERROR(INDEX(Table35[#All],MATCH(Table1[[#This Row],[Key_Year_Week_Brand]],Table35[[#All],[Key_Year_Month_Brand]],0),MATCH(Table1[[#This Row],[DC_name_Xref]],Table35[#Headers],0)),0)</f>
        <v>0</v>
      </c>
    </row>
    <row r="1948" spans="1:15" x14ac:dyDescent="0.3">
      <c r="A1948" s="19" t="e">
        <f>Table1[[#This Row],[Year_Week]]&amp;"-"&amp;Table1[[#This Row],[DC_name_Xref]]</f>
        <v>#N/A</v>
      </c>
      <c r="B1948" s="19" t="str">
        <f>Table1[[#This Row],[Fiscal_Year]]*100+Table1[[#This Row],[Fiscal_Week]] &amp; "-" &amp;Table1[[#This Row],[BRAND]]</f>
        <v>0-</v>
      </c>
      <c r="C1948" s="19" t="str">
        <f>Table1[[#This Row],[Fiscal_Year]]&amp;"-"&amp;Table1[[#This Row],[BRAND]]</f>
        <v>-</v>
      </c>
      <c r="J1948" t="e">
        <f>VLOOKUP(H1948,DC_Xref!A:B,2,FALSE)</f>
        <v>#N/A</v>
      </c>
      <c r="K1948">
        <f t="shared" si="30"/>
        <v>0</v>
      </c>
      <c r="L19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8" s="3">
        <f>IFERROR(INDEX(Table3[#All],MATCH(Table1[[#This Row],[Key_Year_Week_Brand]],Table3[[#All],[Key_Year_Week_Brand]],0),MATCH(Table1[[#This Row],[DC_name_Xref]],Table3[#Headers],0)),0)</f>
        <v>0</v>
      </c>
      <c r="O1948" s="19">
        <f>IFERROR(INDEX(Table35[#All],MATCH(Table1[[#This Row],[Key_Year_Week_Brand]],Table35[[#All],[Key_Year_Month_Brand]],0),MATCH(Table1[[#This Row],[DC_name_Xref]],Table35[#Headers],0)),0)</f>
        <v>0</v>
      </c>
    </row>
    <row r="1949" spans="1:15" x14ac:dyDescent="0.3">
      <c r="A1949" s="19" t="e">
        <f>Table1[[#This Row],[Year_Week]]&amp;"-"&amp;Table1[[#This Row],[DC_name_Xref]]</f>
        <v>#N/A</v>
      </c>
      <c r="B1949" s="19" t="str">
        <f>Table1[[#This Row],[Fiscal_Year]]*100+Table1[[#This Row],[Fiscal_Week]] &amp; "-" &amp;Table1[[#This Row],[BRAND]]</f>
        <v>0-</v>
      </c>
      <c r="C1949" s="19" t="str">
        <f>Table1[[#This Row],[Fiscal_Year]]&amp;"-"&amp;Table1[[#This Row],[BRAND]]</f>
        <v>-</v>
      </c>
      <c r="J1949" t="e">
        <f>VLOOKUP(H1949,DC_Xref!A:B,2,FALSE)</f>
        <v>#N/A</v>
      </c>
      <c r="K1949">
        <f t="shared" si="30"/>
        <v>0</v>
      </c>
      <c r="L19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49" s="3">
        <f>IFERROR(INDEX(Table3[#All],MATCH(Table1[[#This Row],[Key_Year_Week_Brand]],Table3[[#All],[Key_Year_Week_Brand]],0),MATCH(Table1[[#This Row],[DC_name_Xref]],Table3[#Headers],0)),0)</f>
        <v>0</v>
      </c>
      <c r="O1949" s="19">
        <f>IFERROR(INDEX(Table35[#All],MATCH(Table1[[#This Row],[Key_Year_Week_Brand]],Table35[[#All],[Key_Year_Month_Brand]],0),MATCH(Table1[[#This Row],[DC_name_Xref]],Table35[#Headers],0)),0)</f>
        <v>0</v>
      </c>
    </row>
    <row r="1950" spans="1:15" x14ac:dyDescent="0.3">
      <c r="A1950" s="19" t="e">
        <f>Table1[[#This Row],[Year_Week]]&amp;"-"&amp;Table1[[#This Row],[DC_name_Xref]]</f>
        <v>#N/A</v>
      </c>
      <c r="B1950" s="19" t="str">
        <f>Table1[[#This Row],[Fiscal_Year]]*100+Table1[[#This Row],[Fiscal_Week]] &amp; "-" &amp;Table1[[#This Row],[BRAND]]</f>
        <v>0-</v>
      </c>
      <c r="C1950" s="19" t="str">
        <f>Table1[[#This Row],[Fiscal_Year]]&amp;"-"&amp;Table1[[#This Row],[BRAND]]</f>
        <v>-</v>
      </c>
      <c r="J1950" t="e">
        <f>VLOOKUP(H1950,DC_Xref!A:B,2,FALSE)</f>
        <v>#N/A</v>
      </c>
      <c r="K1950">
        <f t="shared" si="30"/>
        <v>0</v>
      </c>
      <c r="L19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0" s="3">
        <f>IFERROR(INDEX(Table3[#All],MATCH(Table1[[#This Row],[Key_Year_Week_Brand]],Table3[[#All],[Key_Year_Week_Brand]],0),MATCH(Table1[[#This Row],[DC_name_Xref]],Table3[#Headers],0)),0)</f>
        <v>0</v>
      </c>
      <c r="O1950" s="19">
        <f>IFERROR(INDEX(Table35[#All],MATCH(Table1[[#This Row],[Key_Year_Week_Brand]],Table35[[#All],[Key_Year_Month_Brand]],0),MATCH(Table1[[#This Row],[DC_name_Xref]],Table35[#Headers],0)),0)</f>
        <v>0</v>
      </c>
    </row>
    <row r="1951" spans="1:15" x14ac:dyDescent="0.3">
      <c r="A1951" s="19" t="e">
        <f>Table1[[#This Row],[Year_Week]]&amp;"-"&amp;Table1[[#This Row],[DC_name_Xref]]</f>
        <v>#N/A</v>
      </c>
      <c r="B1951" s="19" t="str">
        <f>Table1[[#This Row],[Fiscal_Year]]*100+Table1[[#This Row],[Fiscal_Week]] &amp; "-" &amp;Table1[[#This Row],[BRAND]]</f>
        <v>0-</v>
      </c>
      <c r="C1951" s="19" t="str">
        <f>Table1[[#This Row],[Fiscal_Year]]&amp;"-"&amp;Table1[[#This Row],[BRAND]]</f>
        <v>-</v>
      </c>
      <c r="J1951" t="e">
        <f>VLOOKUP(H1951,DC_Xref!A:B,2,FALSE)</f>
        <v>#N/A</v>
      </c>
      <c r="K1951">
        <f t="shared" si="30"/>
        <v>0</v>
      </c>
      <c r="L19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1" s="3">
        <f>IFERROR(INDEX(Table3[#All],MATCH(Table1[[#This Row],[Key_Year_Week_Brand]],Table3[[#All],[Key_Year_Week_Brand]],0),MATCH(Table1[[#This Row],[DC_name_Xref]],Table3[#Headers],0)),0)</f>
        <v>0</v>
      </c>
      <c r="O1951" s="19">
        <f>IFERROR(INDEX(Table35[#All],MATCH(Table1[[#This Row],[Key_Year_Week_Brand]],Table35[[#All],[Key_Year_Month_Brand]],0),MATCH(Table1[[#This Row],[DC_name_Xref]],Table35[#Headers],0)),0)</f>
        <v>0</v>
      </c>
    </row>
    <row r="1952" spans="1:15" x14ac:dyDescent="0.3">
      <c r="A1952" s="19" t="e">
        <f>Table1[[#This Row],[Year_Week]]&amp;"-"&amp;Table1[[#This Row],[DC_name_Xref]]</f>
        <v>#N/A</v>
      </c>
      <c r="B1952" s="19" t="str">
        <f>Table1[[#This Row],[Fiscal_Year]]*100+Table1[[#This Row],[Fiscal_Week]] &amp; "-" &amp;Table1[[#This Row],[BRAND]]</f>
        <v>0-</v>
      </c>
      <c r="C1952" s="19" t="str">
        <f>Table1[[#This Row],[Fiscal_Year]]&amp;"-"&amp;Table1[[#This Row],[BRAND]]</f>
        <v>-</v>
      </c>
      <c r="J1952" t="e">
        <f>VLOOKUP(H1952,DC_Xref!A:B,2,FALSE)</f>
        <v>#N/A</v>
      </c>
      <c r="K1952">
        <f t="shared" si="30"/>
        <v>0</v>
      </c>
      <c r="L19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2" s="3">
        <f>IFERROR(INDEX(Table3[#All],MATCH(Table1[[#This Row],[Key_Year_Week_Brand]],Table3[[#All],[Key_Year_Week_Brand]],0),MATCH(Table1[[#This Row],[DC_name_Xref]],Table3[#Headers],0)),0)</f>
        <v>0</v>
      </c>
      <c r="O1952" s="19">
        <f>IFERROR(INDEX(Table35[#All],MATCH(Table1[[#This Row],[Key_Year_Week_Brand]],Table35[[#All],[Key_Year_Month_Brand]],0),MATCH(Table1[[#This Row],[DC_name_Xref]],Table35[#Headers],0)),0)</f>
        <v>0</v>
      </c>
    </row>
    <row r="1953" spans="1:15" x14ac:dyDescent="0.3">
      <c r="A1953" s="19" t="e">
        <f>Table1[[#This Row],[Year_Week]]&amp;"-"&amp;Table1[[#This Row],[DC_name_Xref]]</f>
        <v>#N/A</v>
      </c>
      <c r="B1953" s="19" t="str">
        <f>Table1[[#This Row],[Fiscal_Year]]*100+Table1[[#This Row],[Fiscal_Week]] &amp; "-" &amp;Table1[[#This Row],[BRAND]]</f>
        <v>0-</v>
      </c>
      <c r="C1953" s="19" t="str">
        <f>Table1[[#This Row],[Fiscal_Year]]&amp;"-"&amp;Table1[[#This Row],[BRAND]]</f>
        <v>-</v>
      </c>
      <c r="J1953" t="e">
        <f>VLOOKUP(H1953,DC_Xref!A:B,2,FALSE)</f>
        <v>#N/A</v>
      </c>
      <c r="K1953">
        <f t="shared" si="30"/>
        <v>0</v>
      </c>
      <c r="L19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3" s="3">
        <f>IFERROR(INDEX(Table3[#All],MATCH(Table1[[#This Row],[Key_Year_Week_Brand]],Table3[[#All],[Key_Year_Week_Brand]],0),MATCH(Table1[[#This Row],[DC_name_Xref]],Table3[#Headers],0)),0)</f>
        <v>0</v>
      </c>
      <c r="O1953" s="19">
        <f>IFERROR(INDEX(Table35[#All],MATCH(Table1[[#This Row],[Key_Year_Week_Brand]],Table35[[#All],[Key_Year_Month_Brand]],0),MATCH(Table1[[#This Row],[DC_name_Xref]],Table35[#Headers],0)),0)</f>
        <v>0</v>
      </c>
    </row>
    <row r="1954" spans="1:15" x14ac:dyDescent="0.3">
      <c r="A1954" s="19" t="e">
        <f>Table1[[#This Row],[Year_Week]]&amp;"-"&amp;Table1[[#This Row],[DC_name_Xref]]</f>
        <v>#N/A</v>
      </c>
      <c r="B1954" s="19" t="str">
        <f>Table1[[#This Row],[Fiscal_Year]]*100+Table1[[#This Row],[Fiscal_Week]] &amp; "-" &amp;Table1[[#This Row],[BRAND]]</f>
        <v>0-</v>
      </c>
      <c r="C1954" s="19" t="str">
        <f>Table1[[#This Row],[Fiscal_Year]]&amp;"-"&amp;Table1[[#This Row],[BRAND]]</f>
        <v>-</v>
      </c>
      <c r="J1954" t="e">
        <f>VLOOKUP(H1954,DC_Xref!A:B,2,FALSE)</f>
        <v>#N/A</v>
      </c>
      <c r="K1954">
        <f t="shared" si="30"/>
        <v>0</v>
      </c>
      <c r="L19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4" s="3">
        <f>IFERROR(INDEX(Table3[#All],MATCH(Table1[[#This Row],[Key_Year_Week_Brand]],Table3[[#All],[Key_Year_Week_Brand]],0),MATCH(Table1[[#This Row],[DC_name_Xref]],Table3[#Headers],0)),0)</f>
        <v>0</v>
      </c>
      <c r="O1954" s="19">
        <f>IFERROR(INDEX(Table35[#All],MATCH(Table1[[#This Row],[Key_Year_Week_Brand]],Table35[[#All],[Key_Year_Month_Brand]],0),MATCH(Table1[[#This Row],[DC_name_Xref]],Table35[#Headers],0)),0)</f>
        <v>0</v>
      </c>
    </row>
    <row r="1955" spans="1:15" x14ac:dyDescent="0.3">
      <c r="A1955" s="19" t="e">
        <f>Table1[[#This Row],[Year_Week]]&amp;"-"&amp;Table1[[#This Row],[DC_name_Xref]]</f>
        <v>#N/A</v>
      </c>
      <c r="B1955" s="19" t="str">
        <f>Table1[[#This Row],[Fiscal_Year]]*100+Table1[[#This Row],[Fiscal_Week]] &amp; "-" &amp;Table1[[#This Row],[BRAND]]</f>
        <v>0-</v>
      </c>
      <c r="C1955" s="19" t="str">
        <f>Table1[[#This Row],[Fiscal_Year]]&amp;"-"&amp;Table1[[#This Row],[BRAND]]</f>
        <v>-</v>
      </c>
      <c r="J1955" t="e">
        <f>VLOOKUP(H1955,DC_Xref!A:B,2,FALSE)</f>
        <v>#N/A</v>
      </c>
      <c r="K1955">
        <f t="shared" si="30"/>
        <v>0</v>
      </c>
      <c r="L19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5" s="3">
        <f>IFERROR(INDEX(Table3[#All],MATCH(Table1[[#This Row],[Key_Year_Week_Brand]],Table3[[#All],[Key_Year_Week_Brand]],0),MATCH(Table1[[#This Row],[DC_name_Xref]],Table3[#Headers],0)),0)</f>
        <v>0</v>
      </c>
      <c r="O1955" s="19">
        <f>IFERROR(INDEX(Table35[#All],MATCH(Table1[[#This Row],[Key_Year_Week_Brand]],Table35[[#All],[Key_Year_Month_Brand]],0),MATCH(Table1[[#This Row],[DC_name_Xref]],Table35[#Headers],0)),0)</f>
        <v>0</v>
      </c>
    </row>
    <row r="1956" spans="1:15" x14ac:dyDescent="0.3">
      <c r="A1956" s="19" t="e">
        <f>Table1[[#This Row],[Year_Week]]&amp;"-"&amp;Table1[[#This Row],[DC_name_Xref]]</f>
        <v>#N/A</v>
      </c>
      <c r="B1956" s="19" t="str">
        <f>Table1[[#This Row],[Fiscal_Year]]*100+Table1[[#This Row],[Fiscal_Week]] &amp; "-" &amp;Table1[[#This Row],[BRAND]]</f>
        <v>0-</v>
      </c>
      <c r="C1956" s="19" t="str">
        <f>Table1[[#This Row],[Fiscal_Year]]&amp;"-"&amp;Table1[[#This Row],[BRAND]]</f>
        <v>-</v>
      </c>
      <c r="J1956" t="e">
        <f>VLOOKUP(H1956,DC_Xref!A:B,2,FALSE)</f>
        <v>#N/A</v>
      </c>
      <c r="K1956">
        <f t="shared" si="30"/>
        <v>0</v>
      </c>
      <c r="L19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6" s="3">
        <f>IFERROR(INDEX(Table3[#All],MATCH(Table1[[#This Row],[Key_Year_Week_Brand]],Table3[[#All],[Key_Year_Week_Brand]],0),MATCH(Table1[[#This Row],[DC_name_Xref]],Table3[#Headers],0)),0)</f>
        <v>0</v>
      </c>
      <c r="O1956" s="19">
        <f>IFERROR(INDEX(Table35[#All],MATCH(Table1[[#This Row],[Key_Year_Week_Brand]],Table35[[#All],[Key_Year_Month_Brand]],0),MATCH(Table1[[#This Row],[DC_name_Xref]],Table35[#Headers],0)),0)</f>
        <v>0</v>
      </c>
    </row>
    <row r="1957" spans="1:15" x14ac:dyDescent="0.3">
      <c r="A1957" s="19" t="e">
        <f>Table1[[#This Row],[Year_Week]]&amp;"-"&amp;Table1[[#This Row],[DC_name_Xref]]</f>
        <v>#N/A</v>
      </c>
      <c r="B1957" s="19" t="str">
        <f>Table1[[#This Row],[Fiscal_Year]]*100+Table1[[#This Row],[Fiscal_Week]] &amp; "-" &amp;Table1[[#This Row],[BRAND]]</f>
        <v>0-</v>
      </c>
      <c r="C1957" s="19" t="str">
        <f>Table1[[#This Row],[Fiscal_Year]]&amp;"-"&amp;Table1[[#This Row],[BRAND]]</f>
        <v>-</v>
      </c>
      <c r="J1957" t="e">
        <f>VLOOKUP(H1957,DC_Xref!A:B,2,FALSE)</f>
        <v>#N/A</v>
      </c>
      <c r="K1957">
        <f t="shared" si="30"/>
        <v>0</v>
      </c>
      <c r="L19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7" s="3">
        <f>IFERROR(INDEX(Table3[#All],MATCH(Table1[[#This Row],[Key_Year_Week_Brand]],Table3[[#All],[Key_Year_Week_Brand]],0),MATCH(Table1[[#This Row],[DC_name_Xref]],Table3[#Headers],0)),0)</f>
        <v>0</v>
      </c>
      <c r="O1957" s="19">
        <f>IFERROR(INDEX(Table35[#All],MATCH(Table1[[#This Row],[Key_Year_Week_Brand]],Table35[[#All],[Key_Year_Month_Brand]],0),MATCH(Table1[[#This Row],[DC_name_Xref]],Table35[#Headers],0)),0)</f>
        <v>0</v>
      </c>
    </row>
    <row r="1958" spans="1:15" x14ac:dyDescent="0.3">
      <c r="A1958" s="19" t="e">
        <f>Table1[[#This Row],[Year_Week]]&amp;"-"&amp;Table1[[#This Row],[DC_name_Xref]]</f>
        <v>#N/A</v>
      </c>
      <c r="B1958" s="19" t="str">
        <f>Table1[[#This Row],[Fiscal_Year]]*100+Table1[[#This Row],[Fiscal_Week]] &amp; "-" &amp;Table1[[#This Row],[BRAND]]</f>
        <v>0-</v>
      </c>
      <c r="C1958" s="19" t="str">
        <f>Table1[[#This Row],[Fiscal_Year]]&amp;"-"&amp;Table1[[#This Row],[BRAND]]</f>
        <v>-</v>
      </c>
      <c r="J1958" t="e">
        <f>VLOOKUP(H1958,DC_Xref!A:B,2,FALSE)</f>
        <v>#N/A</v>
      </c>
      <c r="K1958">
        <f t="shared" si="30"/>
        <v>0</v>
      </c>
      <c r="L19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8" s="3">
        <f>IFERROR(INDEX(Table3[#All],MATCH(Table1[[#This Row],[Key_Year_Week_Brand]],Table3[[#All],[Key_Year_Week_Brand]],0),MATCH(Table1[[#This Row],[DC_name_Xref]],Table3[#Headers],0)),0)</f>
        <v>0</v>
      </c>
      <c r="O1958" s="19">
        <f>IFERROR(INDEX(Table35[#All],MATCH(Table1[[#This Row],[Key_Year_Week_Brand]],Table35[[#All],[Key_Year_Month_Brand]],0),MATCH(Table1[[#This Row],[DC_name_Xref]],Table35[#Headers],0)),0)</f>
        <v>0</v>
      </c>
    </row>
    <row r="1959" spans="1:15" x14ac:dyDescent="0.3">
      <c r="A1959" s="19" t="e">
        <f>Table1[[#This Row],[Year_Week]]&amp;"-"&amp;Table1[[#This Row],[DC_name_Xref]]</f>
        <v>#N/A</v>
      </c>
      <c r="B1959" s="19" t="str">
        <f>Table1[[#This Row],[Fiscal_Year]]*100+Table1[[#This Row],[Fiscal_Week]] &amp; "-" &amp;Table1[[#This Row],[BRAND]]</f>
        <v>0-</v>
      </c>
      <c r="C1959" s="19" t="str">
        <f>Table1[[#This Row],[Fiscal_Year]]&amp;"-"&amp;Table1[[#This Row],[BRAND]]</f>
        <v>-</v>
      </c>
      <c r="J1959" t="e">
        <f>VLOOKUP(H1959,DC_Xref!A:B,2,FALSE)</f>
        <v>#N/A</v>
      </c>
      <c r="K1959">
        <f t="shared" si="30"/>
        <v>0</v>
      </c>
      <c r="L19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59" s="3">
        <f>IFERROR(INDEX(Table3[#All],MATCH(Table1[[#This Row],[Key_Year_Week_Brand]],Table3[[#All],[Key_Year_Week_Brand]],0),MATCH(Table1[[#This Row],[DC_name_Xref]],Table3[#Headers],0)),0)</f>
        <v>0</v>
      </c>
      <c r="O1959" s="19">
        <f>IFERROR(INDEX(Table35[#All],MATCH(Table1[[#This Row],[Key_Year_Week_Brand]],Table35[[#All],[Key_Year_Month_Brand]],0),MATCH(Table1[[#This Row],[DC_name_Xref]],Table35[#Headers],0)),0)</f>
        <v>0</v>
      </c>
    </row>
    <row r="1960" spans="1:15" x14ac:dyDescent="0.3">
      <c r="A1960" s="19" t="e">
        <f>Table1[[#This Row],[Year_Week]]&amp;"-"&amp;Table1[[#This Row],[DC_name_Xref]]</f>
        <v>#N/A</v>
      </c>
      <c r="B1960" s="19" t="str">
        <f>Table1[[#This Row],[Fiscal_Year]]*100+Table1[[#This Row],[Fiscal_Week]] &amp; "-" &amp;Table1[[#This Row],[BRAND]]</f>
        <v>0-</v>
      </c>
      <c r="C1960" s="19" t="str">
        <f>Table1[[#This Row],[Fiscal_Year]]&amp;"-"&amp;Table1[[#This Row],[BRAND]]</f>
        <v>-</v>
      </c>
      <c r="J1960" t="e">
        <f>VLOOKUP(H1960,DC_Xref!A:B,2,FALSE)</f>
        <v>#N/A</v>
      </c>
      <c r="K1960">
        <f t="shared" si="30"/>
        <v>0</v>
      </c>
      <c r="L19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0" s="3">
        <f>IFERROR(INDEX(Table3[#All],MATCH(Table1[[#This Row],[Key_Year_Week_Brand]],Table3[[#All],[Key_Year_Week_Brand]],0),MATCH(Table1[[#This Row],[DC_name_Xref]],Table3[#Headers],0)),0)</f>
        <v>0</v>
      </c>
      <c r="O1960" s="19">
        <f>IFERROR(INDEX(Table35[#All],MATCH(Table1[[#This Row],[Key_Year_Week_Brand]],Table35[[#All],[Key_Year_Month_Brand]],0),MATCH(Table1[[#This Row],[DC_name_Xref]],Table35[#Headers],0)),0)</f>
        <v>0</v>
      </c>
    </row>
    <row r="1961" spans="1:15" x14ac:dyDescent="0.3">
      <c r="A1961" s="19" t="e">
        <f>Table1[[#This Row],[Year_Week]]&amp;"-"&amp;Table1[[#This Row],[DC_name_Xref]]</f>
        <v>#N/A</v>
      </c>
      <c r="B1961" s="19" t="str">
        <f>Table1[[#This Row],[Fiscal_Year]]*100+Table1[[#This Row],[Fiscal_Week]] &amp; "-" &amp;Table1[[#This Row],[BRAND]]</f>
        <v>0-</v>
      </c>
      <c r="C1961" s="19" t="str">
        <f>Table1[[#This Row],[Fiscal_Year]]&amp;"-"&amp;Table1[[#This Row],[BRAND]]</f>
        <v>-</v>
      </c>
      <c r="J1961" t="e">
        <f>VLOOKUP(H1961,DC_Xref!A:B,2,FALSE)</f>
        <v>#N/A</v>
      </c>
      <c r="K1961">
        <f t="shared" si="30"/>
        <v>0</v>
      </c>
      <c r="L19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1" s="3">
        <f>IFERROR(INDEX(Table3[#All],MATCH(Table1[[#This Row],[Key_Year_Week_Brand]],Table3[[#All],[Key_Year_Week_Brand]],0),MATCH(Table1[[#This Row],[DC_name_Xref]],Table3[#Headers],0)),0)</f>
        <v>0</v>
      </c>
      <c r="O1961" s="19">
        <f>IFERROR(INDEX(Table35[#All],MATCH(Table1[[#This Row],[Key_Year_Week_Brand]],Table35[[#All],[Key_Year_Month_Brand]],0),MATCH(Table1[[#This Row],[DC_name_Xref]],Table35[#Headers],0)),0)</f>
        <v>0</v>
      </c>
    </row>
    <row r="1962" spans="1:15" x14ac:dyDescent="0.3">
      <c r="A1962" s="19" t="e">
        <f>Table1[[#This Row],[Year_Week]]&amp;"-"&amp;Table1[[#This Row],[DC_name_Xref]]</f>
        <v>#N/A</v>
      </c>
      <c r="B1962" s="19" t="str">
        <f>Table1[[#This Row],[Fiscal_Year]]*100+Table1[[#This Row],[Fiscal_Week]] &amp; "-" &amp;Table1[[#This Row],[BRAND]]</f>
        <v>0-</v>
      </c>
      <c r="C1962" s="19" t="str">
        <f>Table1[[#This Row],[Fiscal_Year]]&amp;"-"&amp;Table1[[#This Row],[BRAND]]</f>
        <v>-</v>
      </c>
      <c r="J1962" t="e">
        <f>VLOOKUP(H1962,DC_Xref!A:B,2,FALSE)</f>
        <v>#N/A</v>
      </c>
      <c r="K1962">
        <f t="shared" si="30"/>
        <v>0</v>
      </c>
      <c r="L19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2" s="3">
        <f>IFERROR(INDEX(Table3[#All],MATCH(Table1[[#This Row],[Key_Year_Week_Brand]],Table3[[#All],[Key_Year_Week_Brand]],0),MATCH(Table1[[#This Row],[DC_name_Xref]],Table3[#Headers],0)),0)</f>
        <v>0</v>
      </c>
      <c r="O1962" s="19">
        <f>IFERROR(INDEX(Table35[#All],MATCH(Table1[[#This Row],[Key_Year_Week_Brand]],Table35[[#All],[Key_Year_Month_Brand]],0),MATCH(Table1[[#This Row],[DC_name_Xref]],Table35[#Headers],0)),0)</f>
        <v>0</v>
      </c>
    </row>
    <row r="1963" spans="1:15" x14ac:dyDescent="0.3">
      <c r="A1963" s="19" t="e">
        <f>Table1[[#This Row],[Year_Week]]&amp;"-"&amp;Table1[[#This Row],[DC_name_Xref]]</f>
        <v>#N/A</v>
      </c>
      <c r="B1963" s="19" t="str">
        <f>Table1[[#This Row],[Fiscal_Year]]*100+Table1[[#This Row],[Fiscal_Week]] &amp; "-" &amp;Table1[[#This Row],[BRAND]]</f>
        <v>0-</v>
      </c>
      <c r="C1963" s="19" t="str">
        <f>Table1[[#This Row],[Fiscal_Year]]&amp;"-"&amp;Table1[[#This Row],[BRAND]]</f>
        <v>-</v>
      </c>
      <c r="J1963" t="e">
        <f>VLOOKUP(H1963,DC_Xref!A:B,2,FALSE)</f>
        <v>#N/A</v>
      </c>
      <c r="K1963">
        <f t="shared" si="30"/>
        <v>0</v>
      </c>
      <c r="L19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3" s="3">
        <f>IFERROR(INDEX(Table3[#All],MATCH(Table1[[#This Row],[Key_Year_Week_Brand]],Table3[[#All],[Key_Year_Week_Brand]],0),MATCH(Table1[[#This Row],[DC_name_Xref]],Table3[#Headers],0)),0)</f>
        <v>0</v>
      </c>
      <c r="O1963" s="19">
        <f>IFERROR(INDEX(Table35[#All],MATCH(Table1[[#This Row],[Key_Year_Week_Brand]],Table35[[#All],[Key_Year_Month_Brand]],0),MATCH(Table1[[#This Row],[DC_name_Xref]],Table35[#Headers],0)),0)</f>
        <v>0</v>
      </c>
    </row>
    <row r="1964" spans="1:15" x14ac:dyDescent="0.3">
      <c r="A1964" s="19" t="e">
        <f>Table1[[#This Row],[Year_Week]]&amp;"-"&amp;Table1[[#This Row],[DC_name_Xref]]</f>
        <v>#N/A</v>
      </c>
      <c r="B1964" s="19" t="str">
        <f>Table1[[#This Row],[Fiscal_Year]]*100+Table1[[#This Row],[Fiscal_Week]] &amp; "-" &amp;Table1[[#This Row],[BRAND]]</f>
        <v>0-</v>
      </c>
      <c r="C1964" s="19" t="str">
        <f>Table1[[#This Row],[Fiscal_Year]]&amp;"-"&amp;Table1[[#This Row],[BRAND]]</f>
        <v>-</v>
      </c>
      <c r="J1964" t="e">
        <f>VLOOKUP(H1964,DC_Xref!A:B,2,FALSE)</f>
        <v>#N/A</v>
      </c>
      <c r="K1964">
        <f t="shared" si="30"/>
        <v>0</v>
      </c>
      <c r="L19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4" s="3">
        <f>IFERROR(INDEX(Table3[#All],MATCH(Table1[[#This Row],[Key_Year_Week_Brand]],Table3[[#All],[Key_Year_Week_Brand]],0),MATCH(Table1[[#This Row],[DC_name_Xref]],Table3[#Headers],0)),0)</f>
        <v>0</v>
      </c>
      <c r="O1964" s="19">
        <f>IFERROR(INDEX(Table35[#All],MATCH(Table1[[#This Row],[Key_Year_Week_Brand]],Table35[[#All],[Key_Year_Month_Brand]],0),MATCH(Table1[[#This Row],[DC_name_Xref]],Table35[#Headers],0)),0)</f>
        <v>0</v>
      </c>
    </row>
    <row r="1965" spans="1:15" x14ac:dyDescent="0.3">
      <c r="A1965" s="19" t="e">
        <f>Table1[[#This Row],[Year_Week]]&amp;"-"&amp;Table1[[#This Row],[DC_name_Xref]]</f>
        <v>#N/A</v>
      </c>
      <c r="B1965" s="19" t="str">
        <f>Table1[[#This Row],[Fiscal_Year]]*100+Table1[[#This Row],[Fiscal_Week]] &amp; "-" &amp;Table1[[#This Row],[BRAND]]</f>
        <v>0-</v>
      </c>
      <c r="C1965" s="19" t="str">
        <f>Table1[[#This Row],[Fiscal_Year]]&amp;"-"&amp;Table1[[#This Row],[BRAND]]</f>
        <v>-</v>
      </c>
      <c r="J1965" t="e">
        <f>VLOOKUP(H1965,DC_Xref!A:B,2,FALSE)</f>
        <v>#N/A</v>
      </c>
      <c r="K1965">
        <f t="shared" si="30"/>
        <v>0</v>
      </c>
      <c r="L19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5" s="3">
        <f>IFERROR(INDEX(Table3[#All],MATCH(Table1[[#This Row],[Key_Year_Week_Brand]],Table3[[#All],[Key_Year_Week_Brand]],0),MATCH(Table1[[#This Row],[DC_name_Xref]],Table3[#Headers],0)),0)</f>
        <v>0</v>
      </c>
      <c r="O1965" s="19">
        <f>IFERROR(INDEX(Table35[#All],MATCH(Table1[[#This Row],[Key_Year_Week_Brand]],Table35[[#All],[Key_Year_Month_Brand]],0),MATCH(Table1[[#This Row],[DC_name_Xref]],Table35[#Headers],0)),0)</f>
        <v>0</v>
      </c>
    </row>
    <row r="1966" spans="1:15" x14ac:dyDescent="0.3">
      <c r="A1966" s="19" t="e">
        <f>Table1[[#This Row],[Year_Week]]&amp;"-"&amp;Table1[[#This Row],[DC_name_Xref]]</f>
        <v>#N/A</v>
      </c>
      <c r="B1966" s="19" t="str">
        <f>Table1[[#This Row],[Fiscal_Year]]*100+Table1[[#This Row],[Fiscal_Week]] &amp; "-" &amp;Table1[[#This Row],[BRAND]]</f>
        <v>0-</v>
      </c>
      <c r="C1966" s="19" t="str">
        <f>Table1[[#This Row],[Fiscal_Year]]&amp;"-"&amp;Table1[[#This Row],[BRAND]]</f>
        <v>-</v>
      </c>
      <c r="J1966" t="e">
        <f>VLOOKUP(H1966,DC_Xref!A:B,2,FALSE)</f>
        <v>#N/A</v>
      </c>
      <c r="K1966">
        <f t="shared" si="30"/>
        <v>0</v>
      </c>
      <c r="L19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6" s="3">
        <f>IFERROR(INDEX(Table3[#All],MATCH(Table1[[#This Row],[Key_Year_Week_Brand]],Table3[[#All],[Key_Year_Week_Brand]],0),MATCH(Table1[[#This Row],[DC_name_Xref]],Table3[#Headers],0)),0)</f>
        <v>0</v>
      </c>
      <c r="O1966" s="19">
        <f>IFERROR(INDEX(Table35[#All],MATCH(Table1[[#This Row],[Key_Year_Week_Brand]],Table35[[#All],[Key_Year_Month_Brand]],0),MATCH(Table1[[#This Row],[DC_name_Xref]],Table35[#Headers],0)),0)</f>
        <v>0</v>
      </c>
    </row>
    <row r="1967" spans="1:15" x14ac:dyDescent="0.3">
      <c r="A1967" s="19" t="e">
        <f>Table1[[#This Row],[Year_Week]]&amp;"-"&amp;Table1[[#This Row],[DC_name_Xref]]</f>
        <v>#N/A</v>
      </c>
      <c r="B1967" s="19" t="str">
        <f>Table1[[#This Row],[Fiscal_Year]]*100+Table1[[#This Row],[Fiscal_Week]] &amp; "-" &amp;Table1[[#This Row],[BRAND]]</f>
        <v>0-</v>
      </c>
      <c r="C1967" s="19" t="str">
        <f>Table1[[#This Row],[Fiscal_Year]]&amp;"-"&amp;Table1[[#This Row],[BRAND]]</f>
        <v>-</v>
      </c>
      <c r="J1967" t="e">
        <f>VLOOKUP(H1967,DC_Xref!A:B,2,FALSE)</f>
        <v>#N/A</v>
      </c>
      <c r="K1967">
        <f t="shared" si="30"/>
        <v>0</v>
      </c>
      <c r="L19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7" s="3">
        <f>IFERROR(INDEX(Table3[#All],MATCH(Table1[[#This Row],[Key_Year_Week_Brand]],Table3[[#All],[Key_Year_Week_Brand]],0),MATCH(Table1[[#This Row],[DC_name_Xref]],Table3[#Headers],0)),0)</f>
        <v>0</v>
      </c>
      <c r="O1967" s="19">
        <f>IFERROR(INDEX(Table35[#All],MATCH(Table1[[#This Row],[Key_Year_Week_Brand]],Table35[[#All],[Key_Year_Month_Brand]],0),MATCH(Table1[[#This Row],[DC_name_Xref]],Table35[#Headers],0)),0)</f>
        <v>0</v>
      </c>
    </row>
    <row r="1968" spans="1:15" x14ac:dyDescent="0.3">
      <c r="A1968" s="19" t="e">
        <f>Table1[[#This Row],[Year_Week]]&amp;"-"&amp;Table1[[#This Row],[DC_name_Xref]]</f>
        <v>#N/A</v>
      </c>
      <c r="B1968" s="19" t="str">
        <f>Table1[[#This Row],[Fiscal_Year]]*100+Table1[[#This Row],[Fiscal_Week]] &amp; "-" &amp;Table1[[#This Row],[BRAND]]</f>
        <v>0-</v>
      </c>
      <c r="C1968" s="19" t="str">
        <f>Table1[[#This Row],[Fiscal_Year]]&amp;"-"&amp;Table1[[#This Row],[BRAND]]</f>
        <v>-</v>
      </c>
      <c r="J1968" t="e">
        <f>VLOOKUP(H1968,DC_Xref!A:B,2,FALSE)</f>
        <v>#N/A</v>
      </c>
      <c r="K1968">
        <f t="shared" si="30"/>
        <v>0</v>
      </c>
      <c r="L19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8" s="3">
        <f>IFERROR(INDEX(Table3[#All],MATCH(Table1[[#This Row],[Key_Year_Week_Brand]],Table3[[#All],[Key_Year_Week_Brand]],0),MATCH(Table1[[#This Row],[DC_name_Xref]],Table3[#Headers],0)),0)</f>
        <v>0</v>
      </c>
      <c r="O1968" s="19">
        <f>IFERROR(INDEX(Table35[#All],MATCH(Table1[[#This Row],[Key_Year_Week_Brand]],Table35[[#All],[Key_Year_Month_Brand]],0),MATCH(Table1[[#This Row],[DC_name_Xref]],Table35[#Headers],0)),0)</f>
        <v>0</v>
      </c>
    </row>
    <row r="1969" spans="1:15" x14ac:dyDescent="0.3">
      <c r="A1969" s="19" t="e">
        <f>Table1[[#This Row],[Year_Week]]&amp;"-"&amp;Table1[[#This Row],[DC_name_Xref]]</f>
        <v>#N/A</v>
      </c>
      <c r="B1969" s="19" t="str">
        <f>Table1[[#This Row],[Fiscal_Year]]*100+Table1[[#This Row],[Fiscal_Week]] &amp; "-" &amp;Table1[[#This Row],[BRAND]]</f>
        <v>0-</v>
      </c>
      <c r="C1969" s="19" t="str">
        <f>Table1[[#This Row],[Fiscal_Year]]&amp;"-"&amp;Table1[[#This Row],[BRAND]]</f>
        <v>-</v>
      </c>
      <c r="J1969" t="e">
        <f>VLOOKUP(H1969,DC_Xref!A:B,2,FALSE)</f>
        <v>#N/A</v>
      </c>
      <c r="K1969">
        <f t="shared" si="30"/>
        <v>0</v>
      </c>
      <c r="L19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69" s="3">
        <f>IFERROR(INDEX(Table3[#All],MATCH(Table1[[#This Row],[Key_Year_Week_Brand]],Table3[[#All],[Key_Year_Week_Brand]],0),MATCH(Table1[[#This Row],[DC_name_Xref]],Table3[#Headers],0)),0)</f>
        <v>0</v>
      </c>
      <c r="O1969" s="19">
        <f>IFERROR(INDEX(Table35[#All],MATCH(Table1[[#This Row],[Key_Year_Week_Brand]],Table35[[#All],[Key_Year_Month_Brand]],0),MATCH(Table1[[#This Row],[DC_name_Xref]],Table35[#Headers],0)),0)</f>
        <v>0</v>
      </c>
    </row>
    <row r="1970" spans="1:15" x14ac:dyDescent="0.3">
      <c r="A1970" s="19" t="e">
        <f>Table1[[#This Row],[Year_Week]]&amp;"-"&amp;Table1[[#This Row],[DC_name_Xref]]</f>
        <v>#N/A</v>
      </c>
      <c r="B1970" s="19" t="str">
        <f>Table1[[#This Row],[Fiscal_Year]]*100+Table1[[#This Row],[Fiscal_Week]] &amp; "-" &amp;Table1[[#This Row],[BRAND]]</f>
        <v>0-</v>
      </c>
      <c r="C1970" s="19" t="str">
        <f>Table1[[#This Row],[Fiscal_Year]]&amp;"-"&amp;Table1[[#This Row],[BRAND]]</f>
        <v>-</v>
      </c>
      <c r="J1970" t="e">
        <f>VLOOKUP(H1970,DC_Xref!A:B,2,FALSE)</f>
        <v>#N/A</v>
      </c>
      <c r="K1970">
        <f t="shared" si="30"/>
        <v>0</v>
      </c>
      <c r="L19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0" s="3">
        <f>IFERROR(INDEX(Table3[#All],MATCH(Table1[[#This Row],[Key_Year_Week_Brand]],Table3[[#All],[Key_Year_Week_Brand]],0),MATCH(Table1[[#This Row],[DC_name_Xref]],Table3[#Headers],0)),0)</f>
        <v>0</v>
      </c>
      <c r="O1970" s="19">
        <f>IFERROR(INDEX(Table35[#All],MATCH(Table1[[#This Row],[Key_Year_Week_Brand]],Table35[[#All],[Key_Year_Month_Brand]],0),MATCH(Table1[[#This Row],[DC_name_Xref]],Table35[#Headers],0)),0)</f>
        <v>0</v>
      </c>
    </row>
    <row r="1971" spans="1:15" x14ac:dyDescent="0.3">
      <c r="A1971" s="19" t="e">
        <f>Table1[[#This Row],[Year_Week]]&amp;"-"&amp;Table1[[#This Row],[DC_name_Xref]]</f>
        <v>#N/A</v>
      </c>
      <c r="B1971" s="19" t="str">
        <f>Table1[[#This Row],[Fiscal_Year]]*100+Table1[[#This Row],[Fiscal_Week]] &amp; "-" &amp;Table1[[#This Row],[BRAND]]</f>
        <v>0-</v>
      </c>
      <c r="C1971" s="19" t="str">
        <f>Table1[[#This Row],[Fiscal_Year]]&amp;"-"&amp;Table1[[#This Row],[BRAND]]</f>
        <v>-</v>
      </c>
      <c r="J1971" t="e">
        <f>VLOOKUP(H1971,DC_Xref!A:B,2,FALSE)</f>
        <v>#N/A</v>
      </c>
      <c r="K1971">
        <f t="shared" si="30"/>
        <v>0</v>
      </c>
      <c r="L19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1" s="3">
        <f>IFERROR(INDEX(Table3[#All],MATCH(Table1[[#This Row],[Key_Year_Week_Brand]],Table3[[#All],[Key_Year_Week_Brand]],0),MATCH(Table1[[#This Row],[DC_name_Xref]],Table3[#Headers],0)),0)</f>
        <v>0</v>
      </c>
      <c r="O1971" s="19">
        <f>IFERROR(INDEX(Table35[#All],MATCH(Table1[[#This Row],[Key_Year_Week_Brand]],Table35[[#All],[Key_Year_Month_Brand]],0),MATCH(Table1[[#This Row],[DC_name_Xref]],Table35[#Headers],0)),0)</f>
        <v>0</v>
      </c>
    </row>
    <row r="1972" spans="1:15" x14ac:dyDescent="0.3">
      <c r="A1972" s="19" t="e">
        <f>Table1[[#This Row],[Year_Week]]&amp;"-"&amp;Table1[[#This Row],[DC_name_Xref]]</f>
        <v>#N/A</v>
      </c>
      <c r="B1972" s="19" t="str">
        <f>Table1[[#This Row],[Fiscal_Year]]*100+Table1[[#This Row],[Fiscal_Week]] &amp; "-" &amp;Table1[[#This Row],[BRAND]]</f>
        <v>0-</v>
      </c>
      <c r="C1972" s="19" t="str">
        <f>Table1[[#This Row],[Fiscal_Year]]&amp;"-"&amp;Table1[[#This Row],[BRAND]]</f>
        <v>-</v>
      </c>
      <c r="J1972" t="e">
        <f>VLOOKUP(H1972,DC_Xref!A:B,2,FALSE)</f>
        <v>#N/A</v>
      </c>
      <c r="K1972">
        <f t="shared" si="30"/>
        <v>0</v>
      </c>
      <c r="L19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2" s="3">
        <f>IFERROR(INDEX(Table3[#All],MATCH(Table1[[#This Row],[Key_Year_Week_Brand]],Table3[[#All],[Key_Year_Week_Brand]],0),MATCH(Table1[[#This Row],[DC_name_Xref]],Table3[#Headers],0)),0)</f>
        <v>0</v>
      </c>
      <c r="O1972" s="19">
        <f>IFERROR(INDEX(Table35[#All],MATCH(Table1[[#This Row],[Key_Year_Week_Brand]],Table35[[#All],[Key_Year_Month_Brand]],0),MATCH(Table1[[#This Row],[DC_name_Xref]],Table35[#Headers],0)),0)</f>
        <v>0</v>
      </c>
    </row>
    <row r="1973" spans="1:15" x14ac:dyDescent="0.3">
      <c r="A1973" s="19" t="e">
        <f>Table1[[#This Row],[Year_Week]]&amp;"-"&amp;Table1[[#This Row],[DC_name_Xref]]</f>
        <v>#N/A</v>
      </c>
      <c r="B1973" s="19" t="str">
        <f>Table1[[#This Row],[Fiscal_Year]]*100+Table1[[#This Row],[Fiscal_Week]] &amp; "-" &amp;Table1[[#This Row],[BRAND]]</f>
        <v>0-</v>
      </c>
      <c r="C1973" s="19" t="str">
        <f>Table1[[#This Row],[Fiscal_Year]]&amp;"-"&amp;Table1[[#This Row],[BRAND]]</f>
        <v>-</v>
      </c>
      <c r="J1973" t="e">
        <f>VLOOKUP(H1973,DC_Xref!A:B,2,FALSE)</f>
        <v>#N/A</v>
      </c>
      <c r="K1973">
        <f t="shared" si="30"/>
        <v>0</v>
      </c>
      <c r="L19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3" s="3">
        <f>IFERROR(INDEX(Table3[#All],MATCH(Table1[[#This Row],[Key_Year_Week_Brand]],Table3[[#All],[Key_Year_Week_Brand]],0),MATCH(Table1[[#This Row],[DC_name_Xref]],Table3[#Headers],0)),0)</f>
        <v>0</v>
      </c>
      <c r="O1973" s="19">
        <f>IFERROR(INDEX(Table35[#All],MATCH(Table1[[#This Row],[Key_Year_Week_Brand]],Table35[[#All],[Key_Year_Month_Brand]],0),MATCH(Table1[[#This Row],[DC_name_Xref]],Table35[#Headers],0)),0)</f>
        <v>0</v>
      </c>
    </row>
    <row r="1974" spans="1:15" x14ac:dyDescent="0.3">
      <c r="A1974" s="19" t="e">
        <f>Table1[[#This Row],[Year_Week]]&amp;"-"&amp;Table1[[#This Row],[DC_name_Xref]]</f>
        <v>#N/A</v>
      </c>
      <c r="B1974" s="19" t="str">
        <f>Table1[[#This Row],[Fiscal_Year]]*100+Table1[[#This Row],[Fiscal_Week]] &amp; "-" &amp;Table1[[#This Row],[BRAND]]</f>
        <v>0-</v>
      </c>
      <c r="C1974" s="19" t="str">
        <f>Table1[[#This Row],[Fiscal_Year]]&amp;"-"&amp;Table1[[#This Row],[BRAND]]</f>
        <v>-</v>
      </c>
      <c r="J1974" t="e">
        <f>VLOOKUP(H1974,DC_Xref!A:B,2,FALSE)</f>
        <v>#N/A</v>
      </c>
      <c r="K1974">
        <f t="shared" si="30"/>
        <v>0</v>
      </c>
      <c r="L19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4" s="3">
        <f>IFERROR(INDEX(Table3[#All],MATCH(Table1[[#This Row],[Key_Year_Week_Brand]],Table3[[#All],[Key_Year_Week_Brand]],0),MATCH(Table1[[#This Row],[DC_name_Xref]],Table3[#Headers],0)),0)</f>
        <v>0</v>
      </c>
      <c r="O1974" s="19">
        <f>IFERROR(INDEX(Table35[#All],MATCH(Table1[[#This Row],[Key_Year_Week_Brand]],Table35[[#All],[Key_Year_Month_Brand]],0),MATCH(Table1[[#This Row],[DC_name_Xref]],Table35[#Headers],0)),0)</f>
        <v>0</v>
      </c>
    </row>
    <row r="1975" spans="1:15" x14ac:dyDescent="0.3">
      <c r="A1975" s="19" t="e">
        <f>Table1[[#This Row],[Year_Week]]&amp;"-"&amp;Table1[[#This Row],[DC_name_Xref]]</f>
        <v>#N/A</v>
      </c>
      <c r="B1975" s="19" t="str">
        <f>Table1[[#This Row],[Fiscal_Year]]*100+Table1[[#This Row],[Fiscal_Week]] &amp; "-" &amp;Table1[[#This Row],[BRAND]]</f>
        <v>0-</v>
      </c>
      <c r="C1975" s="19" t="str">
        <f>Table1[[#This Row],[Fiscal_Year]]&amp;"-"&amp;Table1[[#This Row],[BRAND]]</f>
        <v>-</v>
      </c>
      <c r="J1975" t="e">
        <f>VLOOKUP(H1975,DC_Xref!A:B,2,FALSE)</f>
        <v>#N/A</v>
      </c>
      <c r="K1975">
        <f t="shared" si="30"/>
        <v>0</v>
      </c>
      <c r="L19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5" s="3">
        <f>IFERROR(INDEX(Table3[#All],MATCH(Table1[[#This Row],[Key_Year_Week_Brand]],Table3[[#All],[Key_Year_Week_Brand]],0),MATCH(Table1[[#This Row],[DC_name_Xref]],Table3[#Headers],0)),0)</f>
        <v>0</v>
      </c>
      <c r="O1975" s="19">
        <f>IFERROR(INDEX(Table35[#All],MATCH(Table1[[#This Row],[Key_Year_Week_Brand]],Table35[[#All],[Key_Year_Month_Brand]],0),MATCH(Table1[[#This Row],[DC_name_Xref]],Table35[#Headers],0)),0)</f>
        <v>0</v>
      </c>
    </row>
    <row r="1976" spans="1:15" x14ac:dyDescent="0.3">
      <c r="A1976" s="19" t="e">
        <f>Table1[[#This Row],[Year_Week]]&amp;"-"&amp;Table1[[#This Row],[DC_name_Xref]]</f>
        <v>#N/A</v>
      </c>
      <c r="B1976" s="19" t="str">
        <f>Table1[[#This Row],[Fiscal_Year]]*100+Table1[[#This Row],[Fiscal_Week]] &amp; "-" &amp;Table1[[#This Row],[BRAND]]</f>
        <v>0-</v>
      </c>
      <c r="C1976" s="19" t="str">
        <f>Table1[[#This Row],[Fiscal_Year]]&amp;"-"&amp;Table1[[#This Row],[BRAND]]</f>
        <v>-</v>
      </c>
      <c r="J1976" t="e">
        <f>VLOOKUP(H1976,DC_Xref!A:B,2,FALSE)</f>
        <v>#N/A</v>
      </c>
      <c r="K1976">
        <f t="shared" si="30"/>
        <v>0</v>
      </c>
      <c r="L19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6" s="3">
        <f>IFERROR(INDEX(Table3[#All],MATCH(Table1[[#This Row],[Key_Year_Week_Brand]],Table3[[#All],[Key_Year_Week_Brand]],0),MATCH(Table1[[#This Row],[DC_name_Xref]],Table3[#Headers],0)),0)</f>
        <v>0</v>
      </c>
      <c r="O1976" s="19">
        <f>IFERROR(INDEX(Table35[#All],MATCH(Table1[[#This Row],[Key_Year_Week_Brand]],Table35[[#All],[Key_Year_Month_Brand]],0),MATCH(Table1[[#This Row],[DC_name_Xref]],Table35[#Headers],0)),0)</f>
        <v>0</v>
      </c>
    </row>
    <row r="1977" spans="1:15" x14ac:dyDescent="0.3">
      <c r="A1977" s="19" t="e">
        <f>Table1[[#This Row],[Year_Week]]&amp;"-"&amp;Table1[[#This Row],[DC_name_Xref]]</f>
        <v>#N/A</v>
      </c>
      <c r="B1977" s="19" t="str">
        <f>Table1[[#This Row],[Fiscal_Year]]*100+Table1[[#This Row],[Fiscal_Week]] &amp; "-" &amp;Table1[[#This Row],[BRAND]]</f>
        <v>0-</v>
      </c>
      <c r="C1977" s="19" t="str">
        <f>Table1[[#This Row],[Fiscal_Year]]&amp;"-"&amp;Table1[[#This Row],[BRAND]]</f>
        <v>-</v>
      </c>
      <c r="J1977" t="e">
        <f>VLOOKUP(H1977,DC_Xref!A:B,2,FALSE)</f>
        <v>#N/A</v>
      </c>
      <c r="K1977">
        <f t="shared" si="30"/>
        <v>0</v>
      </c>
      <c r="L19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7" s="3">
        <f>IFERROR(INDEX(Table3[#All],MATCH(Table1[[#This Row],[Key_Year_Week_Brand]],Table3[[#All],[Key_Year_Week_Brand]],0),MATCH(Table1[[#This Row],[DC_name_Xref]],Table3[#Headers],0)),0)</f>
        <v>0</v>
      </c>
      <c r="O1977" s="19">
        <f>IFERROR(INDEX(Table35[#All],MATCH(Table1[[#This Row],[Key_Year_Week_Brand]],Table35[[#All],[Key_Year_Month_Brand]],0),MATCH(Table1[[#This Row],[DC_name_Xref]],Table35[#Headers],0)),0)</f>
        <v>0</v>
      </c>
    </row>
    <row r="1978" spans="1:15" x14ac:dyDescent="0.3">
      <c r="A1978" s="19" t="e">
        <f>Table1[[#This Row],[Year_Week]]&amp;"-"&amp;Table1[[#This Row],[DC_name_Xref]]</f>
        <v>#N/A</v>
      </c>
      <c r="B1978" s="19" t="str">
        <f>Table1[[#This Row],[Fiscal_Year]]*100+Table1[[#This Row],[Fiscal_Week]] &amp; "-" &amp;Table1[[#This Row],[BRAND]]</f>
        <v>0-</v>
      </c>
      <c r="C1978" s="19" t="str">
        <f>Table1[[#This Row],[Fiscal_Year]]&amp;"-"&amp;Table1[[#This Row],[BRAND]]</f>
        <v>-</v>
      </c>
      <c r="J1978" t="e">
        <f>VLOOKUP(H1978,DC_Xref!A:B,2,FALSE)</f>
        <v>#N/A</v>
      </c>
      <c r="K1978">
        <f t="shared" si="30"/>
        <v>0</v>
      </c>
      <c r="L19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8" s="3">
        <f>IFERROR(INDEX(Table3[#All],MATCH(Table1[[#This Row],[Key_Year_Week_Brand]],Table3[[#All],[Key_Year_Week_Brand]],0),MATCH(Table1[[#This Row],[DC_name_Xref]],Table3[#Headers],0)),0)</f>
        <v>0</v>
      </c>
      <c r="O1978" s="19">
        <f>IFERROR(INDEX(Table35[#All],MATCH(Table1[[#This Row],[Key_Year_Week_Brand]],Table35[[#All],[Key_Year_Month_Brand]],0),MATCH(Table1[[#This Row],[DC_name_Xref]],Table35[#Headers],0)),0)</f>
        <v>0</v>
      </c>
    </row>
    <row r="1979" spans="1:15" x14ac:dyDescent="0.3">
      <c r="A1979" s="19" t="e">
        <f>Table1[[#This Row],[Year_Week]]&amp;"-"&amp;Table1[[#This Row],[DC_name_Xref]]</f>
        <v>#N/A</v>
      </c>
      <c r="B1979" s="19" t="str">
        <f>Table1[[#This Row],[Fiscal_Year]]*100+Table1[[#This Row],[Fiscal_Week]] &amp; "-" &amp;Table1[[#This Row],[BRAND]]</f>
        <v>0-</v>
      </c>
      <c r="C1979" s="19" t="str">
        <f>Table1[[#This Row],[Fiscal_Year]]&amp;"-"&amp;Table1[[#This Row],[BRAND]]</f>
        <v>-</v>
      </c>
      <c r="J1979" t="e">
        <f>VLOOKUP(H1979,DC_Xref!A:B,2,FALSE)</f>
        <v>#N/A</v>
      </c>
      <c r="K1979">
        <f t="shared" si="30"/>
        <v>0</v>
      </c>
      <c r="L19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79" s="3">
        <f>IFERROR(INDEX(Table3[#All],MATCH(Table1[[#This Row],[Key_Year_Week_Brand]],Table3[[#All],[Key_Year_Week_Brand]],0),MATCH(Table1[[#This Row],[DC_name_Xref]],Table3[#Headers],0)),0)</f>
        <v>0</v>
      </c>
      <c r="O1979" s="19">
        <f>IFERROR(INDEX(Table35[#All],MATCH(Table1[[#This Row],[Key_Year_Week_Brand]],Table35[[#All],[Key_Year_Month_Brand]],0),MATCH(Table1[[#This Row],[DC_name_Xref]],Table35[#Headers],0)),0)</f>
        <v>0</v>
      </c>
    </row>
    <row r="1980" spans="1:15" x14ac:dyDescent="0.3">
      <c r="A1980" s="19" t="e">
        <f>Table1[[#This Row],[Year_Week]]&amp;"-"&amp;Table1[[#This Row],[DC_name_Xref]]</f>
        <v>#N/A</v>
      </c>
      <c r="B1980" s="19" t="str">
        <f>Table1[[#This Row],[Fiscal_Year]]*100+Table1[[#This Row],[Fiscal_Week]] &amp; "-" &amp;Table1[[#This Row],[BRAND]]</f>
        <v>0-</v>
      </c>
      <c r="C1980" s="19" t="str">
        <f>Table1[[#This Row],[Fiscal_Year]]&amp;"-"&amp;Table1[[#This Row],[BRAND]]</f>
        <v>-</v>
      </c>
      <c r="J1980" t="e">
        <f>VLOOKUP(H1980,DC_Xref!A:B,2,FALSE)</f>
        <v>#N/A</v>
      </c>
      <c r="K1980">
        <f t="shared" si="30"/>
        <v>0</v>
      </c>
      <c r="L19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0" s="3">
        <f>IFERROR(INDEX(Table3[#All],MATCH(Table1[[#This Row],[Key_Year_Week_Brand]],Table3[[#All],[Key_Year_Week_Brand]],0),MATCH(Table1[[#This Row],[DC_name_Xref]],Table3[#Headers],0)),0)</f>
        <v>0</v>
      </c>
      <c r="O1980" s="19">
        <f>IFERROR(INDEX(Table35[#All],MATCH(Table1[[#This Row],[Key_Year_Week_Brand]],Table35[[#All],[Key_Year_Month_Brand]],0),MATCH(Table1[[#This Row],[DC_name_Xref]],Table35[#Headers],0)),0)</f>
        <v>0</v>
      </c>
    </row>
    <row r="1981" spans="1:15" x14ac:dyDescent="0.3">
      <c r="A1981" s="19" t="e">
        <f>Table1[[#This Row],[Year_Week]]&amp;"-"&amp;Table1[[#This Row],[DC_name_Xref]]</f>
        <v>#N/A</v>
      </c>
      <c r="B1981" s="19" t="str">
        <f>Table1[[#This Row],[Fiscal_Year]]*100+Table1[[#This Row],[Fiscal_Week]] &amp; "-" &amp;Table1[[#This Row],[BRAND]]</f>
        <v>0-</v>
      </c>
      <c r="C1981" s="19" t="str">
        <f>Table1[[#This Row],[Fiscal_Year]]&amp;"-"&amp;Table1[[#This Row],[BRAND]]</f>
        <v>-</v>
      </c>
      <c r="J1981" t="e">
        <f>VLOOKUP(H1981,DC_Xref!A:B,2,FALSE)</f>
        <v>#N/A</v>
      </c>
      <c r="K1981">
        <f t="shared" si="30"/>
        <v>0</v>
      </c>
      <c r="L19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1" s="3">
        <f>IFERROR(INDEX(Table3[#All],MATCH(Table1[[#This Row],[Key_Year_Week_Brand]],Table3[[#All],[Key_Year_Week_Brand]],0),MATCH(Table1[[#This Row],[DC_name_Xref]],Table3[#Headers],0)),0)</f>
        <v>0</v>
      </c>
      <c r="O1981" s="19">
        <f>IFERROR(INDEX(Table35[#All],MATCH(Table1[[#This Row],[Key_Year_Week_Brand]],Table35[[#All],[Key_Year_Month_Brand]],0),MATCH(Table1[[#This Row],[DC_name_Xref]],Table35[#Headers],0)),0)</f>
        <v>0</v>
      </c>
    </row>
    <row r="1982" spans="1:15" x14ac:dyDescent="0.3">
      <c r="A1982" s="19" t="e">
        <f>Table1[[#This Row],[Year_Week]]&amp;"-"&amp;Table1[[#This Row],[DC_name_Xref]]</f>
        <v>#N/A</v>
      </c>
      <c r="B1982" s="19" t="str">
        <f>Table1[[#This Row],[Fiscal_Year]]*100+Table1[[#This Row],[Fiscal_Week]] &amp; "-" &amp;Table1[[#This Row],[BRAND]]</f>
        <v>0-</v>
      </c>
      <c r="C1982" s="19" t="str">
        <f>Table1[[#This Row],[Fiscal_Year]]&amp;"-"&amp;Table1[[#This Row],[BRAND]]</f>
        <v>-</v>
      </c>
      <c r="J1982" t="e">
        <f>VLOOKUP(H1982,DC_Xref!A:B,2,FALSE)</f>
        <v>#N/A</v>
      </c>
      <c r="K1982">
        <f t="shared" si="30"/>
        <v>0</v>
      </c>
      <c r="L19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2" s="3">
        <f>IFERROR(INDEX(Table3[#All],MATCH(Table1[[#This Row],[Key_Year_Week_Brand]],Table3[[#All],[Key_Year_Week_Brand]],0),MATCH(Table1[[#This Row],[DC_name_Xref]],Table3[#Headers],0)),0)</f>
        <v>0</v>
      </c>
      <c r="O1982" s="19">
        <f>IFERROR(INDEX(Table35[#All],MATCH(Table1[[#This Row],[Key_Year_Week_Brand]],Table35[[#All],[Key_Year_Month_Brand]],0),MATCH(Table1[[#This Row],[DC_name_Xref]],Table35[#Headers],0)),0)</f>
        <v>0</v>
      </c>
    </row>
    <row r="1983" spans="1:15" x14ac:dyDescent="0.3">
      <c r="A1983" s="19" t="e">
        <f>Table1[[#This Row],[Year_Week]]&amp;"-"&amp;Table1[[#This Row],[DC_name_Xref]]</f>
        <v>#N/A</v>
      </c>
      <c r="B1983" s="19" t="str">
        <f>Table1[[#This Row],[Fiscal_Year]]*100+Table1[[#This Row],[Fiscal_Week]] &amp; "-" &amp;Table1[[#This Row],[BRAND]]</f>
        <v>0-</v>
      </c>
      <c r="C1983" s="19" t="str">
        <f>Table1[[#This Row],[Fiscal_Year]]&amp;"-"&amp;Table1[[#This Row],[BRAND]]</f>
        <v>-</v>
      </c>
      <c r="J1983" t="e">
        <f>VLOOKUP(H1983,DC_Xref!A:B,2,FALSE)</f>
        <v>#N/A</v>
      </c>
      <c r="K1983">
        <f t="shared" si="30"/>
        <v>0</v>
      </c>
      <c r="L19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3" s="3">
        <f>IFERROR(INDEX(Table3[#All],MATCH(Table1[[#This Row],[Key_Year_Week_Brand]],Table3[[#All],[Key_Year_Week_Brand]],0),MATCH(Table1[[#This Row],[DC_name_Xref]],Table3[#Headers],0)),0)</f>
        <v>0</v>
      </c>
      <c r="O1983" s="19">
        <f>IFERROR(INDEX(Table35[#All],MATCH(Table1[[#This Row],[Key_Year_Week_Brand]],Table35[[#All],[Key_Year_Month_Brand]],0),MATCH(Table1[[#This Row],[DC_name_Xref]],Table35[#Headers],0)),0)</f>
        <v>0</v>
      </c>
    </row>
    <row r="1984" spans="1:15" x14ac:dyDescent="0.3">
      <c r="A1984" s="19" t="e">
        <f>Table1[[#This Row],[Year_Week]]&amp;"-"&amp;Table1[[#This Row],[DC_name_Xref]]</f>
        <v>#N/A</v>
      </c>
      <c r="B1984" s="19" t="str">
        <f>Table1[[#This Row],[Fiscal_Year]]*100+Table1[[#This Row],[Fiscal_Week]] &amp; "-" &amp;Table1[[#This Row],[BRAND]]</f>
        <v>0-</v>
      </c>
      <c r="C1984" s="19" t="str">
        <f>Table1[[#This Row],[Fiscal_Year]]&amp;"-"&amp;Table1[[#This Row],[BRAND]]</f>
        <v>-</v>
      </c>
      <c r="J1984" t="e">
        <f>VLOOKUP(H1984,DC_Xref!A:B,2,FALSE)</f>
        <v>#N/A</v>
      </c>
      <c r="K1984">
        <f t="shared" si="30"/>
        <v>0</v>
      </c>
      <c r="L19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4" s="3">
        <f>IFERROR(INDEX(Table3[#All],MATCH(Table1[[#This Row],[Key_Year_Week_Brand]],Table3[[#All],[Key_Year_Week_Brand]],0),MATCH(Table1[[#This Row],[DC_name_Xref]],Table3[#Headers],0)),0)</f>
        <v>0</v>
      </c>
      <c r="O1984" s="19">
        <f>IFERROR(INDEX(Table35[#All],MATCH(Table1[[#This Row],[Key_Year_Week_Brand]],Table35[[#All],[Key_Year_Month_Brand]],0),MATCH(Table1[[#This Row],[DC_name_Xref]],Table35[#Headers],0)),0)</f>
        <v>0</v>
      </c>
    </row>
    <row r="1985" spans="1:15" x14ac:dyDescent="0.3">
      <c r="A1985" s="19" t="e">
        <f>Table1[[#This Row],[Year_Week]]&amp;"-"&amp;Table1[[#This Row],[DC_name_Xref]]</f>
        <v>#N/A</v>
      </c>
      <c r="B1985" s="19" t="str">
        <f>Table1[[#This Row],[Fiscal_Year]]*100+Table1[[#This Row],[Fiscal_Week]] &amp; "-" &amp;Table1[[#This Row],[BRAND]]</f>
        <v>0-</v>
      </c>
      <c r="C1985" s="19" t="str">
        <f>Table1[[#This Row],[Fiscal_Year]]&amp;"-"&amp;Table1[[#This Row],[BRAND]]</f>
        <v>-</v>
      </c>
      <c r="J1985" t="e">
        <f>VLOOKUP(H1985,DC_Xref!A:B,2,FALSE)</f>
        <v>#N/A</v>
      </c>
      <c r="K1985">
        <f t="shared" si="30"/>
        <v>0</v>
      </c>
      <c r="L19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5" s="3">
        <f>IFERROR(INDEX(Table3[#All],MATCH(Table1[[#This Row],[Key_Year_Week_Brand]],Table3[[#All],[Key_Year_Week_Brand]],0),MATCH(Table1[[#This Row],[DC_name_Xref]],Table3[#Headers],0)),0)</f>
        <v>0</v>
      </c>
      <c r="O1985" s="19">
        <f>IFERROR(INDEX(Table35[#All],MATCH(Table1[[#This Row],[Key_Year_Week_Brand]],Table35[[#All],[Key_Year_Month_Brand]],0),MATCH(Table1[[#This Row],[DC_name_Xref]],Table35[#Headers],0)),0)</f>
        <v>0</v>
      </c>
    </row>
    <row r="1986" spans="1:15" x14ac:dyDescent="0.3">
      <c r="A1986" s="19" t="e">
        <f>Table1[[#This Row],[Year_Week]]&amp;"-"&amp;Table1[[#This Row],[DC_name_Xref]]</f>
        <v>#N/A</v>
      </c>
      <c r="B1986" s="19" t="str">
        <f>Table1[[#This Row],[Fiscal_Year]]*100+Table1[[#This Row],[Fiscal_Week]] &amp; "-" &amp;Table1[[#This Row],[BRAND]]</f>
        <v>0-</v>
      </c>
      <c r="C1986" s="19" t="str">
        <f>Table1[[#This Row],[Fiscal_Year]]&amp;"-"&amp;Table1[[#This Row],[BRAND]]</f>
        <v>-</v>
      </c>
      <c r="J1986" t="e">
        <f>VLOOKUP(H1986,DC_Xref!A:B,2,FALSE)</f>
        <v>#N/A</v>
      </c>
      <c r="K1986">
        <f t="shared" si="30"/>
        <v>0</v>
      </c>
      <c r="L19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6" s="3">
        <f>IFERROR(INDEX(Table3[#All],MATCH(Table1[[#This Row],[Key_Year_Week_Brand]],Table3[[#All],[Key_Year_Week_Brand]],0),MATCH(Table1[[#This Row],[DC_name_Xref]],Table3[#Headers],0)),0)</f>
        <v>0</v>
      </c>
      <c r="O1986" s="19">
        <f>IFERROR(INDEX(Table35[#All],MATCH(Table1[[#This Row],[Key_Year_Week_Brand]],Table35[[#All],[Key_Year_Month_Brand]],0),MATCH(Table1[[#This Row],[DC_name_Xref]],Table35[#Headers],0)),0)</f>
        <v>0</v>
      </c>
    </row>
    <row r="1987" spans="1:15" x14ac:dyDescent="0.3">
      <c r="A1987" s="19" t="e">
        <f>Table1[[#This Row],[Year_Week]]&amp;"-"&amp;Table1[[#This Row],[DC_name_Xref]]</f>
        <v>#N/A</v>
      </c>
      <c r="B1987" s="19" t="str">
        <f>Table1[[#This Row],[Fiscal_Year]]*100+Table1[[#This Row],[Fiscal_Week]] &amp; "-" &amp;Table1[[#This Row],[BRAND]]</f>
        <v>0-</v>
      </c>
      <c r="C1987" s="19" t="str">
        <f>Table1[[#This Row],[Fiscal_Year]]&amp;"-"&amp;Table1[[#This Row],[BRAND]]</f>
        <v>-</v>
      </c>
      <c r="J1987" t="e">
        <f>VLOOKUP(H1987,DC_Xref!A:B,2,FALSE)</f>
        <v>#N/A</v>
      </c>
      <c r="K1987">
        <f t="shared" si="30"/>
        <v>0</v>
      </c>
      <c r="L19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7" s="3">
        <f>IFERROR(INDEX(Table3[#All],MATCH(Table1[[#This Row],[Key_Year_Week_Brand]],Table3[[#All],[Key_Year_Week_Brand]],0),MATCH(Table1[[#This Row],[DC_name_Xref]],Table3[#Headers],0)),0)</f>
        <v>0</v>
      </c>
      <c r="O1987" s="19">
        <f>IFERROR(INDEX(Table35[#All],MATCH(Table1[[#This Row],[Key_Year_Week_Brand]],Table35[[#All],[Key_Year_Month_Brand]],0),MATCH(Table1[[#This Row],[DC_name_Xref]],Table35[#Headers],0)),0)</f>
        <v>0</v>
      </c>
    </row>
    <row r="1988" spans="1:15" x14ac:dyDescent="0.3">
      <c r="A1988" s="19" t="e">
        <f>Table1[[#This Row],[Year_Week]]&amp;"-"&amp;Table1[[#This Row],[DC_name_Xref]]</f>
        <v>#N/A</v>
      </c>
      <c r="B1988" s="19" t="str">
        <f>Table1[[#This Row],[Fiscal_Year]]*100+Table1[[#This Row],[Fiscal_Week]] &amp; "-" &amp;Table1[[#This Row],[BRAND]]</f>
        <v>0-</v>
      </c>
      <c r="C1988" s="19" t="str">
        <f>Table1[[#This Row],[Fiscal_Year]]&amp;"-"&amp;Table1[[#This Row],[BRAND]]</f>
        <v>-</v>
      </c>
      <c r="J1988" t="e">
        <f>VLOOKUP(H1988,DC_Xref!A:B,2,FALSE)</f>
        <v>#N/A</v>
      </c>
      <c r="K1988">
        <f t="shared" si="30"/>
        <v>0</v>
      </c>
      <c r="L19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8" s="3">
        <f>IFERROR(INDEX(Table3[#All],MATCH(Table1[[#This Row],[Key_Year_Week_Brand]],Table3[[#All],[Key_Year_Week_Brand]],0),MATCH(Table1[[#This Row],[DC_name_Xref]],Table3[#Headers],0)),0)</f>
        <v>0</v>
      </c>
      <c r="O1988" s="19">
        <f>IFERROR(INDEX(Table35[#All],MATCH(Table1[[#This Row],[Key_Year_Week_Brand]],Table35[[#All],[Key_Year_Month_Brand]],0),MATCH(Table1[[#This Row],[DC_name_Xref]],Table35[#Headers],0)),0)</f>
        <v>0</v>
      </c>
    </row>
    <row r="1989" spans="1:15" x14ac:dyDescent="0.3">
      <c r="A1989" s="19" t="e">
        <f>Table1[[#This Row],[Year_Week]]&amp;"-"&amp;Table1[[#This Row],[DC_name_Xref]]</f>
        <v>#N/A</v>
      </c>
      <c r="B1989" s="19" t="str">
        <f>Table1[[#This Row],[Fiscal_Year]]*100+Table1[[#This Row],[Fiscal_Week]] &amp; "-" &amp;Table1[[#This Row],[BRAND]]</f>
        <v>0-</v>
      </c>
      <c r="C1989" s="19" t="str">
        <f>Table1[[#This Row],[Fiscal_Year]]&amp;"-"&amp;Table1[[#This Row],[BRAND]]</f>
        <v>-</v>
      </c>
      <c r="J1989" t="e">
        <f>VLOOKUP(H1989,DC_Xref!A:B,2,FALSE)</f>
        <v>#N/A</v>
      </c>
      <c r="K1989">
        <f t="shared" si="30"/>
        <v>0</v>
      </c>
      <c r="L19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89" s="3">
        <f>IFERROR(INDEX(Table3[#All],MATCH(Table1[[#This Row],[Key_Year_Week_Brand]],Table3[[#All],[Key_Year_Week_Brand]],0),MATCH(Table1[[#This Row],[DC_name_Xref]],Table3[#Headers],0)),0)</f>
        <v>0</v>
      </c>
      <c r="O1989" s="19">
        <f>IFERROR(INDEX(Table35[#All],MATCH(Table1[[#This Row],[Key_Year_Week_Brand]],Table35[[#All],[Key_Year_Month_Brand]],0),MATCH(Table1[[#This Row],[DC_name_Xref]],Table35[#Headers],0)),0)</f>
        <v>0</v>
      </c>
    </row>
    <row r="1990" spans="1:15" x14ac:dyDescent="0.3">
      <c r="A1990" s="19" t="e">
        <f>Table1[[#This Row],[Year_Week]]&amp;"-"&amp;Table1[[#This Row],[DC_name_Xref]]</f>
        <v>#N/A</v>
      </c>
      <c r="B1990" s="19" t="str">
        <f>Table1[[#This Row],[Fiscal_Year]]*100+Table1[[#This Row],[Fiscal_Week]] &amp; "-" &amp;Table1[[#This Row],[BRAND]]</f>
        <v>0-</v>
      </c>
      <c r="C1990" s="19" t="str">
        <f>Table1[[#This Row],[Fiscal_Year]]&amp;"-"&amp;Table1[[#This Row],[BRAND]]</f>
        <v>-</v>
      </c>
      <c r="J1990" t="e">
        <f>VLOOKUP(H1990,DC_Xref!A:B,2,FALSE)</f>
        <v>#N/A</v>
      </c>
      <c r="K1990">
        <f t="shared" ref="K1990:K2053" si="31">D1990*100+E1990</f>
        <v>0</v>
      </c>
      <c r="L19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0" s="3">
        <f>IFERROR(INDEX(Table3[#All],MATCH(Table1[[#This Row],[Key_Year_Week_Brand]],Table3[[#All],[Key_Year_Week_Brand]],0),MATCH(Table1[[#This Row],[DC_name_Xref]],Table3[#Headers],0)),0)</f>
        <v>0</v>
      </c>
      <c r="O1990" s="19">
        <f>IFERROR(INDEX(Table35[#All],MATCH(Table1[[#This Row],[Key_Year_Week_Brand]],Table35[[#All],[Key_Year_Month_Brand]],0),MATCH(Table1[[#This Row],[DC_name_Xref]],Table35[#Headers],0)),0)</f>
        <v>0</v>
      </c>
    </row>
    <row r="1991" spans="1:15" x14ac:dyDescent="0.3">
      <c r="A1991" s="19" t="e">
        <f>Table1[[#This Row],[Year_Week]]&amp;"-"&amp;Table1[[#This Row],[DC_name_Xref]]</f>
        <v>#N/A</v>
      </c>
      <c r="B1991" s="19" t="str">
        <f>Table1[[#This Row],[Fiscal_Year]]*100+Table1[[#This Row],[Fiscal_Week]] &amp; "-" &amp;Table1[[#This Row],[BRAND]]</f>
        <v>0-</v>
      </c>
      <c r="C1991" s="19" t="str">
        <f>Table1[[#This Row],[Fiscal_Year]]&amp;"-"&amp;Table1[[#This Row],[BRAND]]</f>
        <v>-</v>
      </c>
      <c r="J1991" t="e">
        <f>VLOOKUP(H1991,DC_Xref!A:B,2,FALSE)</f>
        <v>#N/A</v>
      </c>
      <c r="K1991">
        <f t="shared" si="31"/>
        <v>0</v>
      </c>
      <c r="L19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1" s="3">
        <f>IFERROR(INDEX(Table3[#All],MATCH(Table1[[#This Row],[Key_Year_Week_Brand]],Table3[[#All],[Key_Year_Week_Brand]],0),MATCH(Table1[[#This Row],[DC_name_Xref]],Table3[#Headers],0)),0)</f>
        <v>0</v>
      </c>
      <c r="O1991" s="19">
        <f>IFERROR(INDEX(Table35[#All],MATCH(Table1[[#This Row],[Key_Year_Week_Brand]],Table35[[#All],[Key_Year_Month_Brand]],0),MATCH(Table1[[#This Row],[DC_name_Xref]],Table35[#Headers],0)),0)</f>
        <v>0</v>
      </c>
    </row>
    <row r="1992" spans="1:15" x14ac:dyDescent="0.3">
      <c r="A1992" s="19" t="e">
        <f>Table1[[#This Row],[Year_Week]]&amp;"-"&amp;Table1[[#This Row],[DC_name_Xref]]</f>
        <v>#N/A</v>
      </c>
      <c r="B1992" s="19" t="str">
        <f>Table1[[#This Row],[Fiscal_Year]]*100+Table1[[#This Row],[Fiscal_Week]] &amp; "-" &amp;Table1[[#This Row],[BRAND]]</f>
        <v>0-</v>
      </c>
      <c r="C1992" s="19" t="str">
        <f>Table1[[#This Row],[Fiscal_Year]]&amp;"-"&amp;Table1[[#This Row],[BRAND]]</f>
        <v>-</v>
      </c>
      <c r="J1992" t="e">
        <f>VLOOKUP(H1992,DC_Xref!A:B,2,FALSE)</f>
        <v>#N/A</v>
      </c>
      <c r="K1992">
        <f t="shared" si="31"/>
        <v>0</v>
      </c>
      <c r="L19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2" s="3">
        <f>IFERROR(INDEX(Table3[#All],MATCH(Table1[[#This Row],[Key_Year_Week_Brand]],Table3[[#All],[Key_Year_Week_Brand]],0),MATCH(Table1[[#This Row],[DC_name_Xref]],Table3[#Headers],0)),0)</f>
        <v>0</v>
      </c>
      <c r="O1992" s="19">
        <f>IFERROR(INDEX(Table35[#All],MATCH(Table1[[#This Row],[Key_Year_Week_Brand]],Table35[[#All],[Key_Year_Month_Brand]],0),MATCH(Table1[[#This Row],[DC_name_Xref]],Table35[#Headers],0)),0)</f>
        <v>0</v>
      </c>
    </row>
    <row r="1993" spans="1:15" x14ac:dyDescent="0.3">
      <c r="A1993" s="19" t="e">
        <f>Table1[[#This Row],[Year_Week]]&amp;"-"&amp;Table1[[#This Row],[DC_name_Xref]]</f>
        <v>#N/A</v>
      </c>
      <c r="B1993" s="19" t="str">
        <f>Table1[[#This Row],[Fiscal_Year]]*100+Table1[[#This Row],[Fiscal_Week]] &amp; "-" &amp;Table1[[#This Row],[BRAND]]</f>
        <v>0-</v>
      </c>
      <c r="C1993" s="19" t="str">
        <f>Table1[[#This Row],[Fiscal_Year]]&amp;"-"&amp;Table1[[#This Row],[BRAND]]</f>
        <v>-</v>
      </c>
      <c r="J1993" t="e">
        <f>VLOOKUP(H1993,DC_Xref!A:B,2,FALSE)</f>
        <v>#N/A</v>
      </c>
      <c r="K1993">
        <f t="shared" si="31"/>
        <v>0</v>
      </c>
      <c r="L19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3" s="3">
        <f>IFERROR(INDEX(Table3[#All],MATCH(Table1[[#This Row],[Key_Year_Week_Brand]],Table3[[#All],[Key_Year_Week_Brand]],0),MATCH(Table1[[#This Row],[DC_name_Xref]],Table3[#Headers],0)),0)</f>
        <v>0</v>
      </c>
      <c r="O1993" s="19">
        <f>IFERROR(INDEX(Table35[#All],MATCH(Table1[[#This Row],[Key_Year_Week_Brand]],Table35[[#All],[Key_Year_Month_Brand]],0),MATCH(Table1[[#This Row],[DC_name_Xref]],Table35[#Headers],0)),0)</f>
        <v>0</v>
      </c>
    </row>
    <row r="1994" spans="1:15" x14ac:dyDescent="0.3">
      <c r="A1994" s="19" t="e">
        <f>Table1[[#This Row],[Year_Week]]&amp;"-"&amp;Table1[[#This Row],[DC_name_Xref]]</f>
        <v>#N/A</v>
      </c>
      <c r="B1994" s="19" t="str">
        <f>Table1[[#This Row],[Fiscal_Year]]*100+Table1[[#This Row],[Fiscal_Week]] &amp; "-" &amp;Table1[[#This Row],[BRAND]]</f>
        <v>0-</v>
      </c>
      <c r="C1994" s="19" t="str">
        <f>Table1[[#This Row],[Fiscal_Year]]&amp;"-"&amp;Table1[[#This Row],[BRAND]]</f>
        <v>-</v>
      </c>
      <c r="J1994" t="e">
        <f>VLOOKUP(H1994,DC_Xref!A:B,2,FALSE)</f>
        <v>#N/A</v>
      </c>
      <c r="K1994">
        <f t="shared" si="31"/>
        <v>0</v>
      </c>
      <c r="L19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4" s="3">
        <f>IFERROR(INDEX(Table3[#All],MATCH(Table1[[#This Row],[Key_Year_Week_Brand]],Table3[[#All],[Key_Year_Week_Brand]],0),MATCH(Table1[[#This Row],[DC_name_Xref]],Table3[#Headers],0)),0)</f>
        <v>0</v>
      </c>
      <c r="O1994" s="19">
        <f>IFERROR(INDEX(Table35[#All],MATCH(Table1[[#This Row],[Key_Year_Week_Brand]],Table35[[#All],[Key_Year_Month_Brand]],0),MATCH(Table1[[#This Row],[DC_name_Xref]],Table35[#Headers],0)),0)</f>
        <v>0</v>
      </c>
    </row>
    <row r="1995" spans="1:15" x14ac:dyDescent="0.3">
      <c r="A1995" s="19" t="e">
        <f>Table1[[#This Row],[Year_Week]]&amp;"-"&amp;Table1[[#This Row],[DC_name_Xref]]</f>
        <v>#N/A</v>
      </c>
      <c r="B1995" s="19" t="str">
        <f>Table1[[#This Row],[Fiscal_Year]]*100+Table1[[#This Row],[Fiscal_Week]] &amp; "-" &amp;Table1[[#This Row],[BRAND]]</f>
        <v>0-</v>
      </c>
      <c r="C1995" s="19" t="str">
        <f>Table1[[#This Row],[Fiscal_Year]]&amp;"-"&amp;Table1[[#This Row],[BRAND]]</f>
        <v>-</v>
      </c>
      <c r="J1995" t="e">
        <f>VLOOKUP(H1995,DC_Xref!A:B,2,FALSE)</f>
        <v>#N/A</v>
      </c>
      <c r="K1995">
        <f t="shared" si="31"/>
        <v>0</v>
      </c>
      <c r="L19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5" s="3">
        <f>IFERROR(INDEX(Table3[#All],MATCH(Table1[[#This Row],[Key_Year_Week_Brand]],Table3[[#All],[Key_Year_Week_Brand]],0),MATCH(Table1[[#This Row],[DC_name_Xref]],Table3[#Headers],0)),0)</f>
        <v>0</v>
      </c>
      <c r="O1995" s="19">
        <f>IFERROR(INDEX(Table35[#All],MATCH(Table1[[#This Row],[Key_Year_Week_Brand]],Table35[[#All],[Key_Year_Month_Brand]],0),MATCH(Table1[[#This Row],[DC_name_Xref]],Table35[#Headers],0)),0)</f>
        <v>0</v>
      </c>
    </row>
    <row r="1996" spans="1:15" x14ac:dyDescent="0.3">
      <c r="A1996" s="19" t="e">
        <f>Table1[[#This Row],[Year_Week]]&amp;"-"&amp;Table1[[#This Row],[DC_name_Xref]]</f>
        <v>#N/A</v>
      </c>
      <c r="B1996" s="19" t="str">
        <f>Table1[[#This Row],[Fiscal_Year]]*100+Table1[[#This Row],[Fiscal_Week]] &amp; "-" &amp;Table1[[#This Row],[BRAND]]</f>
        <v>0-</v>
      </c>
      <c r="C1996" s="19" t="str">
        <f>Table1[[#This Row],[Fiscal_Year]]&amp;"-"&amp;Table1[[#This Row],[BRAND]]</f>
        <v>-</v>
      </c>
      <c r="J1996" t="e">
        <f>VLOOKUP(H1996,DC_Xref!A:B,2,FALSE)</f>
        <v>#N/A</v>
      </c>
      <c r="K1996">
        <f t="shared" si="31"/>
        <v>0</v>
      </c>
      <c r="L19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6" s="3">
        <f>IFERROR(INDEX(Table3[#All],MATCH(Table1[[#This Row],[Key_Year_Week_Brand]],Table3[[#All],[Key_Year_Week_Brand]],0),MATCH(Table1[[#This Row],[DC_name_Xref]],Table3[#Headers],0)),0)</f>
        <v>0</v>
      </c>
      <c r="O1996" s="19">
        <f>IFERROR(INDEX(Table35[#All],MATCH(Table1[[#This Row],[Key_Year_Week_Brand]],Table35[[#All],[Key_Year_Month_Brand]],0),MATCH(Table1[[#This Row],[DC_name_Xref]],Table35[#Headers],0)),0)</f>
        <v>0</v>
      </c>
    </row>
    <row r="1997" spans="1:15" x14ac:dyDescent="0.3">
      <c r="A1997" s="19" t="e">
        <f>Table1[[#This Row],[Year_Week]]&amp;"-"&amp;Table1[[#This Row],[DC_name_Xref]]</f>
        <v>#N/A</v>
      </c>
      <c r="B1997" s="19" t="str">
        <f>Table1[[#This Row],[Fiscal_Year]]*100+Table1[[#This Row],[Fiscal_Week]] &amp; "-" &amp;Table1[[#This Row],[BRAND]]</f>
        <v>0-</v>
      </c>
      <c r="C1997" s="19" t="str">
        <f>Table1[[#This Row],[Fiscal_Year]]&amp;"-"&amp;Table1[[#This Row],[BRAND]]</f>
        <v>-</v>
      </c>
      <c r="J1997" t="e">
        <f>VLOOKUP(H1997,DC_Xref!A:B,2,FALSE)</f>
        <v>#N/A</v>
      </c>
      <c r="K1997">
        <f t="shared" si="31"/>
        <v>0</v>
      </c>
      <c r="L19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7" s="3">
        <f>IFERROR(INDEX(Table3[#All],MATCH(Table1[[#This Row],[Key_Year_Week_Brand]],Table3[[#All],[Key_Year_Week_Brand]],0),MATCH(Table1[[#This Row],[DC_name_Xref]],Table3[#Headers],0)),0)</f>
        <v>0</v>
      </c>
      <c r="O1997" s="19">
        <f>IFERROR(INDEX(Table35[#All],MATCH(Table1[[#This Row],[Key_Year_Week_Brand]],Table35[[#All],[Key_Year_Month_Brand]],0),MATCH(Table1[[#This Row],[DC_name_Xref]],Table35[#Headers],0)),0)</f>
        <v>0</v>
      </c>
    </row>
    <row r="1998" spans="1:15" x14ac:dyDescent="0.3">
      <c r="A1998" s="19" t="e">
        <f>Table1[[#This Row],[Year_Week]]&amp;"-"&amp;Table1[[#This Row],[DC_name_Xref]]</f>
        <v>#N/A</v>
      </c>
      <c r="B1998" s="19" t="str">
        <f>Table1[[#This Row],[Fiscal_Year]]*100+Table1[[#This Row],[Fiscal_Week]] &amp; "-" &amp;Table1[[#This Row],[BRAND]]</f>
        <v>0-</v>
      </c>
      <c r="C1998" s="19" t="str">
        <f>Table1[[#This Row],[Fiscal_Year]]&amp;"-"&amp;Table1[[#This Row],[BRAND]]</f>
        <v>-</v>
      </c>
      <c r="J1998" t="e">
        <f>VLOOKUP(H1998,DC_Xref!A:B,2,FALSE)</f>
        <v>#N/A</v>
      </c>
      <c r="K1998">
        <f t="shared" si="31"/>
        <v>0</v>
      </c>
      <c r="L19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8" s="3">
        <f>IFERROR(INDEX(Table3[#All],MATCH(Table1[[#This Row],[Key_Year_Week_Brand]],Table3[[#All],[Key_Year_Week_Brand]],0),MATCH(Table1[[#This Row],[DC_name_Xref]],Table3[#Headers],0)),0)</f>
        <v>0</v>
      </c>
      <c r="O1998" s="19">
        <f>IFERROR(INDEX(Table35[#All],MATCH(Table1[[#This Row],[Key_Year_Week_Brand]],Table35[[#All],[Key_Year_Month_Brand]],0),MATCH(Table1[[#This Row],[DC_name_Xref]],Table35[#Headers],0)),0)</f>
        <v>0</v>
      </c>
    </row>
    <row r="1999" spans="1:15" x14ac:dyDescent="0.3">
      <c r="A1999" s="19" t="e">
        <f>Table1[[#This Row],[Year_Week]]&amp;"-"&amp;Table1[[#This Row],[DC_name_Xref]]</f>
        <v>#N/A</v>
      </c>
      <c r="B1999" s="19" t="str">
        <f>Table1[[#This Row],[Fiscal_Year]]*100+Table1[[#This Row],[Fiscal_Week]] &amp; "-" &amp;Table1[[#This Row],[BRAND]]</f>
        <v>0-</v>
      </c>
      <c r="C1999" s="19" t="str">
        <f>Table1[[#This Row],[Fiscal_Year]]&amp;"-"&amp;Table1[[#This Row],[BRAND]]</f>
        <v>-</v>
      </c>
      <c r="J1999" t="e">
        <f>VLOOKUP(H1999,DC_Xref!A:B,2,FALSE)</f>
        <v>#N/A</v>
      </c>
      <c r="K1999">
        <f t="shared" si="31"/>
        <v>0</v>
      </c>
      <c r="L19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19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1999" s="3">
        <f>IFERROR(INDEX(Table3[#All],MATCH(Table1[[#This Row],[Key_Year_Week_Brand]],Table3[[#All],[Key_Year_Week_Brand]],0),MATCH(Table1[[#This Row],[DC_name_Xref]],Table3[#Headers],0)),0)</f>
        <v>0</v>
      </c>
      <c r="O1999" s="19">
        <f>IFERROR(INDEX(Table35[#All],MATCH(Table1[[#This Row],[Key_Year_Week_Brand]],Table35[[#All],[Key_Year_Month_Brand]],0),MATCH(Table1[[#This Row],[DC_name_Xref]],Table35[#Headers],0)),0)</f>
        <v>0</v>
      </c>
    </row>
    <row r="2000" spans="1:15" x14ac:dyDescent="0.3">
      <c r="A2000" s="19" t="e">
        <f>Table1[[#This Row],[Year_Week]]&amp;"-"&amp;Table1[[#This Row],[DC_name_Xref]]</f>
        <v>#N/A</v>
      </c>
      <c r="B2000" s="19" t="str">
        <f>Table1[[#This Row],[Fiscal_Year]]*100+Table1[[#This Row],[Fiscal_Week]] &amp; "-" &amp;Table1[[#This Row],[BRAND]]</f>
        <v>0-</v>
      </c>
      <c r="C2000" s="19" t="str">
        <f>Table1[[#This Row],[Fiscal_Year]]&amp;"-"&amp;Table1[[#This Row],[BRAND]]</f>
        <v>-</v>
      </c>
      <c r="J2000" t="e">
        <f>VLOOKUP(H2000,DC_Xref!A:B,2,FALSE)</f>
        <v>#N/A</v>
      </c>
      <c r="K2000">
        <f t="shared" si="31"/>
        <v>0</v>
      </c>
      <c r="L20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0" s="3">
        <f>IFERROR(INDEX(Table3[#All],MATCH(Table1[[#This Row],[Key_Year_Week_Brand]],Table3[[#All],[Key_Year_Week_Brand]],0),MATCH(Table1[[#This Row],[DC_name_Xref]],Table3[#Headers],0)),0)</f>
        <v>0</v>
      </c>
      <c r="O2000" s="19">
        <f>IFERROR(INDEX(Table35[#All],MATCH(Table1[[#This Row],[Key_Year_Week_Brand]],Table35[[#All],[Key_Year_Month_Brand]],0),MATCH(Table1[[#This Row],[DC_name_Xref]],Table35[#Headers],0)),0)</f>
        <v>0</v>
      </c>
    </row>
    <row r="2001" spans="1:15" x14ac:dyDescent="0.3">
      <c r="A2001" s="19" t="e">
        <f>Table1[[#This Row],[Year_Week]]&amp;"-"&amp;Table1[[#This Row],[DC_name_Xref]]</f>
        <v>#N/A</v>
      </c>
      <c r="B2001" s="19" t="str">
        <f>Table1[[#This Row],[Fiscal_Year]]*100+Table1[[#This Row],[Fiscal_Week]] &amp; "-" &amp;Table1[[#This Row],[BRAND]]</f>
        <v>0-</v>
      </c>
      <c r="C2001" s="19" t="str">
        <f>Table1[[#This Row],[Fiscal_Year]]&amp;"-"&amp;Table1[[#This Row],[BRAND]]</f>
        <v>-</v>
      </c>
      <c r="J2001" t="e">
        <f>VLOOKUP(H2001,DC_Xref!A:B,2,FALSE)</f>
        <v>#N/A</v>
      </c>
      <c r="K2001">
        <f t="shared" si="31"/>
        <v>0</v>
      </c>
      <c r="L20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1" s="3">
        <f>IFERROR(INDEX(Table3[#All],MATCH(Table1[[#This Row],[Key_Year_Week_Brand]],Table3[[#All],[Key_Year_Week_Brand]],0),MATCH(Table1[[#This Row],[DC_name_Xref]],Table3[#Headers],0)),0)</f>
        <v>0</v>
      </c>
      <c r="O2001" s="19">
        <f>IFERROR(INDEX(Table35[#All],MATCH(Table1[[#This Row],[Key_Year_Week_Brand]],Table35[[#All],[Key_Year_Month_Brand]],0),MATCH(Table1[[#This Row],[DC_name_Xref]],Table35[#Headers],0)),0)</f>
        <v>0</v>
      </c>
    </row>
    <row r="2002" spans="1:15" x14ac:dyDescent="0.3">
      <c r="A2002" s="19" t="e">
        <f>Table1[[#This Row],[Year_Week]]&amp;"-"&amp;Table1[[#This Row],[DC_name_Xref]]</f>
        <v>#N/A</v>
      </c>
      <c r="B2002" s="19" t="str">
        <f>Table1[[#This Row],[Fiscal_Year]]*100+Table1[[#This Row],[Fiscal_Week]] &amp; "-" &amp;Table1[[#This Row],[BRAND]]</f>
        <v>0-</v>
      </c>
      <c r="C2002" s="19" t="str">
        <f>Table1[[#This Row],[Fiscal_Year]]&amp;"-"&amp;Table1[[#This Row],[BRAND]]</f>
        <v>-</v>
      </c>
      <c r="J2002" t="e">
        <f>VLOOKUP(H2002,DC_Xref!A:B,2,FALSE)</f>
        <v>#N/A</v>
      </c>
      <c r="K2002">
        <f t="shared" si="31"/>
        <v>0</v>
      </c>
      <c r="L20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2" s="3">
        <f>IFERROR(INDEX(Table3[#All],MATCH(Table1[[#This Row],[Key_Year_Week_Brand]],Table3[[#All],[Key_Year_Week_Brand]],0),MATCH(Table1[[#This Row],[DC_name_Xref]],Table3[#Headers],0)),0)</f>
        <v>0</v>
      </c>
      <c r="O2002" s="19">
        <f>IFERROR(INDEX(Table35[#All],MATCH(Table1[[#This Row],[Key_Year_Week_Brand]],Table35[[#All],[Key_Year_Month_Brand]],0),MATCH(Table1[[#This Row],[DC_name_Xref]],Table35[#Headers],0)),0)</f>
        <v>0</v>
      </c>
    </row>
    <row r="2003" spans="1:15" x14ac:dyDescent="0.3">
      <c r="A2003" s="19" t="e">
        <f>Table1[[#This Row],[Year_Week]]&amp;"-"&amp;Table1[[#This Row],[DC_name_Xref]]</f>
        <v>#N/A</v>
      </c>
      <c r="B2003" s="19" t="str">
        <f>Table1[[#This Row],[Fiscal_Year]]*100+Table1[[#This Row],[Fiscal_Week]] &amp; "-" &amp;Table1[[#This Row],[BRAND]]</f>
        <v>0-</v>
      </c>
      <c r="C2003" s="19" t="str">
        <f>Table1[[#This Row],[Fiscal_Year]]&amp;"-"&amp;Table1[[#This Row],[BRAND]]</f>
        <v>-</v>
      </c>
      <c r="J2003" t="e">
        <f>VLOOKUP(H2003,DC_Xref!A:B,2,FALSE)</f>
        <v>#N/A</v>
      </c>
      <c r="K2003">
        <f t="shared" si="31"/>
        <v>0</v>
      </c>
      <c r="L20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3" s="3">
        <f>IFERROR(INDEX(Table3[#All],MATCH(Table1[[#This Row],[Key_Year_Week_Brand]],Table3[[#All],[Key_Year_Week_Brand]],0),MATCH(Table1[[#This Row],[DC_name_Xref]],Table3[#Headers],0)),0)</f>
        <v>0</v>
      </c>
      <c r="O2003" s="19">
        <f>IFERROR(INDEX(Table35[#All],MATCH(Table1[[#This Row],[Key_Year_Week_Brand]],Table35[[#All],[Key_Year_Month_Brand]],0),MATCH(Table1[[#This Row],[DC_name_Xref]],Table35[#Headers],0)),0)</f>
        <v>0</v>
      </c>
    </row>
    <row r="2004" spans="1:15" x14ac:dyDescent="0.3">
      <c r="A2004" s="19" t="e">
        <f>Table1[[#This Row],[Year_Week]]&amp;"-"&amp;Table1[[#This Row],[DC_name_Xref]]</f>
        <v>#N/A</v>
      </c>
      <c r="B2004" s="19" t="str">
        <f>Table1[[#This Row],[Fiscal_Year]]*100+Table1[[#This Row],[Fiscal_Week]] &amp; "-" &amp;Table1[[#This Row],[BRAND]]</f>
        <v>0-</v>
      </c>
      <c r="C2004" s="19" t="str">
        <f>Table1[[#This Row],[Fiscal_Year]]&amp;"-"&amp;Table1[[#This Row],[BRAND]]</f>
        <v>-</v>
      </c>
      <c r="J2004" t="e">
        <f>VLOOKUP(H2004,DC_Xref!A:B,2,FALSE)</f>
        <v>#N/A</v>
      </c>
      <c r="K2004">
        <f t="shared" si="31"/>
        <v>0</v>
      </c>
      <c r="L20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4" s="3">
        <f>IFERROR(INDEX(Table3[#All],MATCH(Table1[[#This Row],[Key_Year_Week_Brand]],Table3[[#All],[Key_Year_Week_Brand]],0),MATCH(Table1[[#This Row],[DC_name_Xref]],Table3[#Headers],0)),0)</f>
        <v>0</v>
      </c>
      <c r="O2004" s="19">
        <f>IFERROR(INDEX(Table35[#All],MATCH(Table1[[#This Row],[Key_Year_Week_Brand]],Table35[[#All],[Key_Year_Month_Brand]],0),MATCH(Table1[[#This Row],[DC_name_Xref]],Table35[#Headers],0)),0)</f>
        <v>0</v>
      </c>
    </row>
    <row r="2005" spans="1:15" x14ac:dyDescent="0.3">
      <c r="A2005" s="19" t="e">
        <f>Table1[[#This Row],[Year_Week]]&amp;"-"&amp;Table1[[#This Row],[DC_name_Xref]]</f>
        <v>#N/A</v>
      </c>
      <c r="B2005" s="19" t="str">
        <f>Table1[[#This Row],[Fiscal_Year]]*100+Table1[[#This Row],[Fiscal_Week]] &amp; "-" &amp;Table1[[#This Row],[BRAND]]</f>
        <v>0-</v>
      </c>
      <c r="C2005" s="19" t="str">
        <f>Table1[[#This Row],[Fiscal_Year]]&amp;"-"&amp;Table1[[#This Row],[BRAND]]</f>
        <v>-</v>
      </c>
      <c r="J2005" t="e">
        <f>VLOOKUP(H2005,DC_Xref!A:B,2,FALSE)</f>
        <v>#N/A</v>
      </c>
      <c r="K2005">
        <f t="shared" si="31"/>
        <v>0</v>
      </c>
      <c r="L20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5" s="3">
        <f>IFERROR(INDEX(Table3[#All],MATCH(Table1[[#This Row],[Key_Year_Week_Brand]],Table3[[#All],[Key_Year_Week_Brand]],0),MATCH(Table1[[#This Row],[DC_name_Xref]],Table3[#Headers],0)),0)</f>
        <v>0</v>
      </c>
      <c r="O2005" s="19">
        <f>IFERROR(INDEX(Table35[#All],MATCH(Table1[[#This Row],[Key_Year_Week_Brand]],Table35[[#All],[Key_Year_Month_Brand]],0),MATCH(Table1[[#This Row],[DC_name_Xref]],Table35[#Headers],0)),0)</f>
        <v>0</v>
      </c>
    </row>
    <row r="2006" spans="1:15" x14ac:dyDescent="0.3">
      <c r="A2006" s="19" t="e">
        <f>Table1[[#This Row],[Year_Week]]&amp;"-"&amp;Table1[[#This Row],[DC_name_Xref]]</f>
        <v>#N/A</v>
      </c>
      <c r="B2006" s="19" t="str">
        <f>Table1[[#This Row],[Fiscal_Year]]*100+Table1[[#This Row],[Fiscal_Week]] &amp; "-" &amp;Table1[[#This Row],[BRAND]]</f>
        <v>0-</v>
      </c>
      <c r="C2006" s="19" t="str">
        <f>Table1[[#This Row],[Fiscal_Year]]&amp;"-"&amp;Table1[[#This Row],[BRAND]]</f>
        <v>-</v>
      </c>
      <c r="J2006" t="e">
        <f>VLOOKUP(H2006,DC_Xref!A:B,2,FALSE)</f>
        <v>#N/A</v>
      </c>
      <c r="K2006">
        <f t="shared" si="31"/>
        <v>0</v>
      </c>
      <c r="L20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6" s="3">
        <f>IFERROR(INDEX(Table3[#All],MATCH(Table1[[#This Row],[Key_Year_Week_Brand]],Table3[[#All],[Key_Year_Week_Brand]],0),MATCH(Table1[[#This Row],[DC_name_Xref]],Table3[#Headers],0)),0)</f>
        <v>0</v>
      </c>
      <c r="O2006" s="19">
        <f>IFERROR(INDEX(Table35[#All],MATCH(Table1[[#This Row],[Key_Year_Week_Brand]],Table35[[#All],[Key_Year_Month_Brand]],0),MATCH(Table1[[#This Row],[DC_name_Xref]],Table35[#Headers],0)),0)</f>
        <v>0</v>
      </c>
    </row>
    <row r="2007" spans="1:15" x14ac:dyDescent="0.3">
      <c r="A2007" s="19" t="e">
        <f>Table1[[#This Row],[Year_Week]]&amp;"-"&amp;Table1[[#This Row],[DC_name_Xref]]</f>
        <v>#N/A</v>
      </c>
      <c r="B2007" s="19" t="str">
        <f>Table1[[#This Row],[Fiscal_Year]]*100+Table1[[#This Row],[Fiscal_Week]] &amp; "-" &amp;Table1[[#This Row],[BRAND]]</f>
        <v>0-</v>
      </c>
      <c r="C2007" s="19" t="str">
        <f>Table1[[#This Row],[Fiscal_Year]]&amp;"-"&amp;Table1[[#This Row],[BRAND]]</f>
        <v>-</v>
      </c>
      <c r="J2007" t="e">
        <f>VLOOKUP(H2007,DC_Xref!A:B,2,FALSE)</f>
        <v>#N/A</v>
      </c>
      <c r="K2007">
        <f t="shared" si="31"/>
        <v>0</v>
      </c>
      <c r="L20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7" s="3">
        <f>IFERROR(INDEX(Table3[#All],MATCH(Table1[[#This Row],[Key_Year_Week_Brand]],Table3[[#All],[Key_Year_Week_Brand]],0),MATCH(Table1[[#This Row],[DC_name_Xref]],Table3[#Headers],0)),0)</f>
        <v>0</v>
      </c>
      <c r="O2007" s="19">
        <f>IFERROR(INDEX(Table35[#All],MATCH(Table1[[#This Row],[Key_Year_Week_Brand]],Table35[[#All],[Key_Year_Month_Brand]],0),MATCH(Table1[[#This Row],[DC_name_Xref]],Table35[#Headers],0)),0)</f>
        <v>0</v>
      </c>
    </row>
    <row r="2008" spans="1:15" x14ac:dyDescent="0.3">
      <c r="A2008" s="19" t="e">
        <f>Table1[[#This Row],[Year_Week]]&amp;"-"&amp;Table1[[#This Row],[DC_name_Xref]]</f>
        <v>#N/A</v>
      </c>
      <c r="B2008" s="19" t="str">
        <f>Table1[[#This Row],[Fiscal_Year]]*100+Table1[[#This Row],[Fiscal_Week]] &amp; "-" &amp;Table1[[#This Row],[BRAND]]</f>
        <v>0-</v>
      </c>
      <c r="C2008" s="19" t="str">
        <f>Table1[[#This Row],[Fiscal_Year]]&amp;"-"&amp;Table1[[#This Row],[BRAND]]</f>
        <v>-</v>
      </c>
      <c r="J2008" t="e">
        <f>VLOOKUP(H2008,DC_Xref!A:B,2,FALSE)</f>
        <v>#N/A</v>
      </c>
      <c r="K2008">
        <f t="shared" si="31"/>
        <v>0</v>
      </c>
      <c r="L20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8" s="3">
        <f>IFERROR(INDEX(Table3[#All],MATCH(Table1[[#This Row],[Key_Year_Week_Brand]],Table3[[#All],[Key_Year_Week_Brand]],0),MATCH(Table1[[#This Row],[DC_name_Xref]],Table3[#Headers],0)),0)</f>
        <v>0</v>
      </c>
      <c r="O2008" s="19">
        <f>IFERROR(INDEX(Table35[#All],MATCH(Table1[[#This Row],[Key_Year_Week_Brand]],Table35[[#All],[Key_Year_Month_Brand]],0),MATCH(Table1[[#This Row],[DC_name_Xref]],Table35[#Headers],0)),0)</f>
        <v>0</v>
      </c>
    </row>
    <row r="2009" spans="1:15" x14ac:dyDescent="0.3">
      <c r="A2009" s="19" t="e">
        <f>Table1[[#This Row],[Year_Week]]&amp;"-"&amp;Table1[[#This Row],[DC_name_Xref]]</f>
        <v>#N/A</v>
      </c>
      <c r="B2009" s="19" t="str">
        <f>Table1[[#This Row],[Fiscal_Year]]*100+Table1[[#This Row],[Fiscal_Week]] &amp; "-" &amp;Table1[[#This Row],[BRAND]]</f>
        <v>0-</v>
      </c>
      <c r="C2009" s="19" t="str">
        <f>Table1[[#This Row],[Fiscal_Year]]&amp;"-"&amp;Table1[[#This Row],[BRAND]]</f>
        <v>-</v>
      </c>
      <c r="J2009" t="e">
        <f>VLOOKUP(H2009,DC_Xref!A:B,2,FALSE)</f>
        <v>#N/A</v>
      </c>
      <c r="K2009">
        <f t="shared" si="31"/>
        <v>0</v>
      </c>
      <c r="L20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09" s="3">
        <f>IFERROR(INDEX(Table3[#All],MATCH(Table1[[#This Row],[Key_Year_Week_Brand]],Table3[[#All],[Key_Year_Week_Brand]],0),MATCH(Table1[[#This Row],[DC_name_Xref]],Table3[#Headers],0)),0)</f>
        <v>0</v>
      </c>
      <c r="O2009" s="19">
        <f>IFERROR(INDEX(Table35[#All],MATCH(Table1[[#This Row],[Key_Year_Week_Brand]],Table35[[#All],[Key_Year_Month_Brand]],0),MATCH(Table1[[#This Row],[DC_name_Xref]],Table35[#Headers],0)),0)</f>
        <v>0</v>
      </c>
    </row>
    <row r="2010" spans="1:15" x14ac:dyDescent="0.3">
      <c r="A2010" s="19" t="e">
        <f>Table1[[#This Row],[Year_Week]]&amp;"-"&amp;Table1[[#This Row],[DC_name_Xref]]</f>
        <v>#N/A</v>
      </c>
      <c r="B2010" s="19" t="str">
        <f>Table1[[#This Row],[Fiscal_Year]]*100+Table1[[#This Row],[Fiscal_Week]] &amp; "-" &amp;Table1[[#This Row],[BRAND]]</f>
        <v>0-</v>
      </c>
      <c r="C2010" s="19" t="str">
        <f>Table1[[#This Row],[Fiscal_Year]]&amp;"-"&amp;Table1[[#This Row],[BRAND]]</f>
        <v>-</v>
      </c>
      <c r="J2010" t="e">
        <f>VLOOKUP(H2010,DC_Xref!A:B,2,FALSE)</f>
        <v>#N/A</v>
      </c>
      <c r="K2010">
        <f t="shared" si="31"/>
        <v>0</v>
      </c>
      <c r="L20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0" s="3">
        <f>IFERROR(INDEX(Table3[#All],MATCH(Table1[[#This Row],[Key_Year_Week_Brand]],Table3[[#All],[Key_Year_Week_Brand]],0),MATCH(Table1[[#This Row],[DC_name_Xref]],Table3[#Headers],0)),0)</f>
        <v>0</v>
      </c>
      <c r="O2010" s="19">
        <f>IFERROR(INDEX(Table35[#All],MATCH(Table1[[#This Row],[Key_Year_Week_Brand]],Table35[[#All],[Key_Year_Month_Brand]],0),MATCH(Table1[[#This Row],[DC_name_Xref]],Table35[#Headers],0)),0)</f>
        <v>0</v>
      </c>
    </row>
    <row r="2011" spans="1:15" x14ac:dyDescent="0.3">
      <c r="A2011" s="19" t="e">
        <f>Table1[[#This Row],[Year_Week]]&amp;"-"&amp;Table1[[#This Row],[DC_name_Xref]]</f>
        <v>#N/A</v>
      </c>
      <c r="B2011" s="19" t="str">
        <f>Table1[[#This Row],[Fiscal_Year]]*100+Table1[[#This Row],[Fiscal_Week]] &amp; "-" &amp;Table1[[#This Row],[BRAND]]</f>
        <v>0-</v>
      </c>
      <c r="C2011" s="19" t="str">
        <f>Table1[[#This Row],[Fiscal_Year]]&amp;"-"&amp;Table1[[#This Row],[BRAND]]</f>
        <v>-</v>
      </c>
      <c r="J2011" t="e">
        <f>VLOOKUP(H2011,DC_Xref!A:B,2,FALSE)</f>
        <v>#N/A</v>
      </c>
      <c r="K2011">
        <f t="shared" si="31"/>
        <v>0</v>
      </c>
      <c r="L20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1" s="3">
        <f>IFERROR(INDEX(Table3[#All],MATCH(Table1[[#This Row],[Key_Year_Week_Brand]],Table3[[#All],[Key_Year_Week_Brand]],0),MATCH(Table1[[#This Row],[DC_name_Xref]],Table3[#Headers],0)),0)</f>
        <v>0</v>
      </c>
      <c r="O2011" s="19">
        <f>IFERROR(INDEX(Table35[#All],MATCH(Table1[[#This Row],[Key_Year_Week_Brand]],Table35[[#All],[Key_Year_Month_Brand]],0),MATCH(Table1[[#This Row],[DC_name_Xref]],Table35[#Headers],0)),0)</f>
        <v>0</v>
      </c>
    </row>
    <row r="2012" spans="1:15" x14ac:dyDescent="0.3">
      <c r="A2012" s="19" t="e">
        <f>Table1[[#This Row],[Year_Week]]&amp;"-"&amp;Table1[[#This Row],[DC_name_Xref]]</f>
        <v>#N/A</v>
      </c>
      <c r="B2012" s="19" t="str">
        <f>Table1[[#This Row],[Fiscal_Year]]*100+Table1[[#This Row],[Fiscal_Week]] &amp; "-" &amp;Table1[[#This Row],[BRAND]]</f>
        <v>0-</v>
      </c>
      <c r="C2012" s="19" t="str">
        <f>Table1[[#This Row],[Fiscal_Year]]&amp;"-"&amp;Table1[[#This Row],[BRAND]]</f>
        <v>-</v>
      </c>
      <c r="J2012" t="e">
        <f>VLOOKUP(H2012,DC_Xref!A:B,2,FALSE)</f>
        <v>#N/A</v>
      </c>
      <c r="K2012">
        <f t="shared" si="31"/>
        <v>0</v>
      </c>
      <c r="L20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2" s="3">
        <f>IFERROR(INDEX(Table3[#All],MATCH(Table1[[#This Row],[Key_Year_Week_Brand]],Table3[[#All],[Key_Year_Week_Brand]],0),MATCH(Table1[[#This Row],[DC_name_Xref]],Table3[#Headers],0)),0)</f>
        <v>0</v>
      </c>
      <c r="O2012" s="19">
        <f>IFERROR(INDEX(Table35[#All],MATCH(Table1[[#This Row],[Key_Year_Week_Brand]],Table35[[#All],[Key_Year_Month_Brand]],0),MATCH(Table1[[#This Row],[DC_name_Xref]],Table35[#Headers],0)),0)</f>
        <v>0</v>
      </c>
    </row>
    <row r="2013" spans="1:15" x14ac:dyDescent="0.3">
      <c r="A2013" s="19" t="e">
        <f>Table1[[#This Row],[Year_Week]]&amp;"-"&amp;Table1[[#This Row],[DC_name_Xref]]</f>
        <v>#N/A</v>
      </c>
      <c r="B2013" s="19" t="str">
        <f>Table1[[#This Row],[Fiscal_Year]]*100+Table1[[#This Row],[Fiscal_Week]] &amp; "-" &amp;Table1[[#This Row],[BRAND]]</f>
        <v>0-</v>
      </c>
      <c r="C2013" s="19" t="str">
        <f>Table1[[#This Row],[Fiscal_Year]]&amp;"-"&amp;Table1[[#This Row],[BRAND]]</f>
        <v>-</v>
      </c>
      <c r="J2013" t="e">
        <f>VLOOKUP(H2013,DC_Xref!A:B,2,FALSE)</f>
        <v>#N/A</v>
      </c>
      <c r="K2013">
        <f t="shared" si="31"/>
        <v>0</v>
      </c>
      <c r="L20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3" s="3">
        <f>IFERROR(INDEX(Table3[#All],MATCH(Table1[[#This Row],[Key_Year_Week_Brand]],Table3[[#All],[Key_Year_Week_Brand]],0),MATCH(Table1[[#This Row],[DC_name_Xref]],Table3[#Headers],0)),0)</f>
        <v>0</v>
      </c>
      <c r="O2013" s="19">
        <f>IFERROR(INDEX(Table35[#All],MATCH(Table1[[#This Row],[Key_Year_Week_Brand]],Table35[[#All],[Key_Year_Month_Brand]],0),MATCH(Table1[[#This Row],[DC_name_Xref]],Table35[#Headers],0)),0)</f>
        <v>0</v>
      </c>
    </row>
    <row r="2014" spans="1:15" x14ac:dyDescent="0.3">
      <c r="A2014" s="19" t="e">
        <f>Table1[[#This Row],[Year_Week]]&amp;"-"&amp;Table1[[#This Row],[DC_name_Xref]]</f>
        <v>#N/A</v>
      </c>
      <c r="B2014" s="19" t="str">
        <f>Table1[[#This Row],[Fiscal_Year]]*100+Table1[[#This Row],[Fiscal_Week]] &amp; "-" &amp;Table1[[#This Row],[BRAND]]</f>
        <v>0-</v>
      </c>
      <c r="C2014" s="19" t="str">
        <f>Table1[[#This Row],[Fiscal_Year]]&amp;"-"&amp;Table1[[#This Row],[BRAND]]</f>
        <v>-</v>
      </c>
      <c r="J2014" t="e">
        <f>VLOOKUP(H2014,DC_Xref!A:B,2,FALSE)</f>
        <v>#N/A</v>
      </c>
      <c r="K2014">
        <f t="shared" si="31"/>
        <v>0</v>
      </c>
      <c r="L20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4" s="3">
        <f>IFERROR(INDEX(Table3[#All],MATCH(Table1[[#This Row],[Key_Year_Week_Brand]],Table3[[#All],[Key_Year_Week_Brand]],0),MATCH(Table1[[#This Row],[DC_name_Xref]],Table3[#Headers],0)),0)</f>
        <v>0</v>
      </c>
      <c r="O2014" s="19">
        <f>IFERROR(INDEX(Table35[#All],MATCH(Table1[[#This Row],[Key_Year_Week_Brand]],Table35[[#All],[Key_Year_Month_Brand]],0),MATCH(Table1[[#This Row],[DC_name_Xref]],Table35[#Headers],0)),0)</f>
        <v>0</v>
      </c>
    </row>
    <row r="2015" spans="1:15" x14ac:dyDescent="0.3">
      <c r="A2015" s="19" t="e">
        <f>Table1[[#This Row],[Year_Week]]&amp;"-"&amp;Table1[[#This Row],[DC_name_Xref]]</f>
        <v>#N/A</v>
      </c>
      <c r="B2015" s="19" t="str">
        <f>Table1[[#This Row],[Fiscal_Year]]*100+Table1[[#This Row],[Fiscal_Week]] &amp; "-" &amp;Table1[[#This Row],[BRAND]]</f>
        <v>0-</v>
      </c>
      <c r="C2015" s="19" t="str">
        <f>Table1[[#This Row],[Fiscal_Year]]&amp;"-"&amp;Table1[[#This Row],[BRAND]]</f>
        <v>-</v>
      </c>
      <c r="J2015" t="e">
        <f>VLOOKUP(H2015,DC_Xref!A:B,2,FALSE)</f>
        <v>#N/A</v>
      </c>
      <c r="K2015">
        <f t="shared" si="31"/>
        <v>0</v>
      </c>
      <c r="L20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5" s="3">
        <f>IFERROR(INDEX(Table3[#All],MATCH(Table1[[#This Row],[Key_Year_Week_Brand]],Table3[[#All],[Key_Year_Week_Brand]],0),MATCH(Table1[[#This Row],[DC_name_Xref]],Table3[#Headers],0)),0)</f>
        <v>0</v>
      </c>
      <c r="O2015" s="19">
        <f>IFERROR(INDEX(Table35[#All],MATCH(Table1[[#This Row],[Key_Year_Week_Brand]],Table35[[#All],[Key_Year_Month_Brand]],0),MATCH(Table1[[#This Row],[DC_name_Xref]],Table35[#Headers],0)),0)</f>
        <v>0</v>
      </c>
    </row>
    <row r="2016" spans="1:15" x14ac:dyDescent="0.3">
      <c r="A2016" s="19" t="e">
        <f>Table1[[#This Row],[Year_Week]]&amp;"-"&amp;Table1[[#This Row],[DC_name_Xref]]</f>
        <v>#N/A</v>
      </c>
      <c r="B2016" s="19" t="str">
        <f>Table1[[#This Row],[Fiscal_Year]]*100+Table1[[#This Row],[Fiscal_Week]] &amp; "-" &amp;Table1[[#This Row],[BRAND]]</f>
        <v>0-</v>
      </c>
      <c r="C2016" s="19" t="str">
        <f>Table1[[#This Row],[Fiscal_Year]]&amp;"-"&amp;Table1[[#This Row],[BRAND]]</f>
        <v>-</v>
      </c>
      <c r="J2016" t="e">
        <f>VLOOKUP(H2016,DC_Xref!A:B,2,FALSE)</f>
        <v>#N/A</v>
      </c>
      <c r="K2016">
        <f t="shared" si="31"/>
        <v>0</v>
      </c>
      <c r="L20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6" s="3">
        <f>IFERROR(INDEX(Table3[#All],MATCH(Table1[[#This Row],[Key_Year_Week_Brand]],Table3[[#All],[Key_Year_Week_Brand]],0),MATCH(Table1[[#This Row],[DC_name_Xref]],Table3[#Headers],0)),0)</f>
        <v>0</v>
      </c>
      <c r="O2016" s="19">
        <f>IFERROR(INDEX(Table35[#All],MATCH(Table1[[#This Row],[Key_Year_Week_Brand]],Table35[[#All],[Key_Year_Month_Brand]],0),MATCH(Table1[[#This Row],[DC_name_Xref]],Table35[#Headers],0)),0)</f>
        <v>0</v>
      </c>
    </row>
    <row r="2017" spans="1:15" x14ac:dyDescent="0.3">
      <c r="A2017" s="19" t="e">
        <f>Table1[[#This Row],[Year_Week]]&amp;"-"&amp;Table1[[#This Row],[DC_name_Xref]]</f>
        <v>#N/A</v>
      </c>
      <c r="B2017" s="19" t="str">
        <f>Table1[[#This Row],[Fiscal_Year]]*100+Table1[[#This Row],[Fiscal_Week]] &amp; "-" &amp;Table1[[#This Row],[BRAND]]</f>
        <v>0-</v>
      </c>
      <c r="C2017" s="19" t="str">
        <f>Table1[[#This Row],[Fiscal_Year]]&amp;"-"&amp;Table1[[#This Row],[BRAND]]</f>
        <v>-</v>
      </c>
      <c r="J2017" t="e">
        <f>VLOOKUP(H2017,DC_Xref!A:B,2,FALSE)</f>
        <v>#N/A</v>
      </c>
      <c r="K2017">
        <f t="shared" si="31"/>
        <v>0</v>
      </c>
      <c r="L20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7" s="3">
        <f>IFERROR(INDEX(Table3[#All],MATCH(Table1[[#This Row],[Key_Year_Week_Brand]],Table3[[#All],[Key_Year_Week_Brand]],0),MATCH(Table1[[#This Row],[DC_name_Xref]],Table3[#Headers],0)),0)</f>
        <v>0</v>
      </c>
      <c r="O2017" s="19">
        <f>IFERROR(INDEX(Table35[#All],MATCH(Table1[[#This Row],[Key_Year_Week_Brand]],Table35[[#All],[Key_Year_Month_Brand]],0),MATCH(Table1[[#This Row],[DC_name_Xref]],Table35[#Headers],0)),0)</f>
        <v>0</v>
      </c>
    </row>
    <row r="2018" spans="1:15" x14ac:dyDescent="0.3">
      <c r="A2018" s="19" t="e">
        <f>Table1[[#This Row],[Year_Week]]&amp;"-"&amp;Table1[[#This Row],[DC_name_Xref]]</f>
        <v>#N/A</v>
      </c>
      <c r="B2018" s="19" t="str">
        <f>Table1[[#This Row],[Fiscal_Year]]*100+Table1[[#This Row],[Fiscal_Week]] &amp; "-" &amp;Table1[[#This Row],[BRAND]]</f>
        <v>0-</v>
      </c>
      <c r="C2018" s="19" t="str">
        <f>Table1[[#This Row],[Fiscal_Year]]&amp;"-"&amp;Table1[[#This Row],[BRAND]]</f>
        <v>-</v>
      </c>
      <c r="J2018" t="e">
        <f>VLOOKUP(H2018,DC_Xref!A:B,2,FALSE)</f>
        <v>#N/A</v>
      </c>
      <c r="K2018">
        <f t="shared" si="31"/>
        <v>0</v>
      </c>
      <c r="L20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8" s="3">
        <f>IFERROR(INDEX(Table3[#All],MATCH(Table1[[#This Row],[Key_Year_Week_Brand]],Table3[[#All],[Key_Year_Week_Brand]],0),MATCH(Table1[[#This Row],[DC_name_Xref]],Table3[#Headers],0)),0)</f>
        <v>0</v>
      </c>
      <c r="O2018" s="19">
        <f>IFERROR(INDEX(Table35[#All],MATCH(Table1[[#This Row],[Key_Year_Week_Brand]],Table35[[#All],[Key_Year_Month_Brand]],0),MATCH(Table1[[#This Row],[DC_name_Xref]],Table35[#Headers],0)),0)</f>
        <v>0</v>
      </c>
    </row>
    <row r="2019" spans="1:15" x14ac:dyDescent="0.3">
      <c r="A2019" s="19" t="e">
        <f>Table1[[#This Row],[Year_Week]]&amp;"-"&amp;Table1[[#This Row],[DC_name_Xref]]</f>
        <v>#N/A</v>
      </c>
      <c r="B2019" s="19" t="str">
        <f>Table1[[#This Row],[Fiscal_Year]]*100+Table1[[#This Row],[Fiscal_Week]] &amp; "-" &amp;Table1[[#This Row],[BRAND]]</f>
        <v>0-</v>
      </c>
      <c r="C2019" s="19" t="str">
        <f>Table1[[#This Row],[Fiscal_Year]]&amp;"-"&amp;Table1[[#This Row],[BRAND]]</f>
        <v>-</v>
      </c>
      <c r="J2019" t="e">
        <f>VLOOKUP(H2019,DC_Xref!A:B,2,FALSE)</f>
        <v>#N/A</v>
      </c>
      <c r="K2019">
        <f t="shared" si="31"/>
        <v>0</v>
      </c>
      <c r="L20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19" s="3">
        <f>IFERROR(INDEX(Table3[#All],MATCH(Table1[[#This Row],[Key_Year_Week_Brand]],Table3[[#All],[Key_Year_Week_Brand]],0),MATCH(Table1[[#This Row],[DC_name_Xref]],Table3[#Headers],0)),0)</f>
        <v>0</v>
      </c>
      <c r="O2019" s="19">
        <f>IFERROR(INDEX(Table35[#All],MATCH(Table1[[#This Row],[Key_Year_Week_Brand]],Table35[[#All],[Key_Year_Month_Brand]],0),MATCH(Table1[[#This Row],[DC_name_Xref]],Table35[#Headers],0)),0)</f>
        <v>0</v>
      </c>
    </row>
    <row r="2020" spans="1:15" x14ac:dyDescent="0.3">
      <c r="A2020" s="19" t="e">
        <f>Table1[[#This Row],[Year_Week]]&amp;"-"&amp;Table1[[#This Row],[DC_name_Xref]]</f>
        <v>#N/A</v>
      </c>
      <c r="B2020" s="19" t="str">
        <f>Table1[[#This Row],[Fiscal_Year]]*100+Table1[[#This Row],[Fiscal_Week]] &amp; "-" &amp;Table1[[#This Row],[BRAND]]</f>
        <v>0-</v>
      </c>
      <c r="C2020" s="19" t="str">
        <f>Table1[[#This Row],[Fiscal_Year]]&amp;"-"&amp;Table1[[#This Row],[BRAND]]</f>
        <v>-</v>
      </c>
      <c r="J2020" t="e">
        <f>VLOOKUP(H2020,DC_Xref!A:B,2,FALSE)</f>
        <v>#N/A</v>
      </c>
      <c r="K2020">
        <f t="shared" si="31"/>
        <v>0</v>
      </c>
      <c r="L20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0" s="3">
        <f>IFERROR(INDEX(Table3[#All],MATCH(Table1[[#This Row],[Key_Year_Week_Brand]],Table3[[#All],[Key_Year_Week_Brand]],0),MATCH(Table1[[#This Row],[DC_name_Xref]],Table3[#Headers],0)),0)</f>
        <v>0</v>
      </c>
      <c r="O2020" s="19">
        <f>IFERROR(INDEX(Table35[#All],MATCH(Table1[[#This Row],[Key_Year_Week_Brand]],Table35[[#All],[Key_Year_Month_Brand]],0),MATCH(Table1[[#This Row],[DC_name_Xref]],Table35[#Headers],0)),0)</f>
        <v>0</v>
      </c>
    </row>
    <row r="2021" spans="1:15" x14ac:dyDescent="0.3">
      <c r="A2021" s="19" t="e">
        <f>Table1[[#This Row],[Year_Week]]&amp;"-"&amp;Table1[[#This Row],[DC_name_Xref]]</f>
        <v>#N/A</v>
      </c>
      <c r="B2021" s="19" t="str">
        <f>Table1[[#This Row],[Fiscal_Year]]*100+Table1[[#This Row],[Fiscal_Week]] &amp; "-" &amp;Table1[[#This Row],[BRAND]]</f>
        <v>0-</v>
      </c>
      <c r="C2021" s="19" t="str">
        <f>Table1[[#This Row],[Fiscal_Year]]&amp;"-"&amp;Table1[[#This Row],[BRAND]]</f>
        <v>-</v>
      </c>
      <c r="J2021" t="e">
        <f>VLOOKUP(H2021,DC_Xref!A:B,2,FALSE)</f>
        <v>#N/A</v>
      </c>
      <c r="K2021">
        <f t="shared" si="31"/>
        <v>0</v>
      </c>
      <c r="L20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1" s="3">
        <f>IFERROR(INDEX(Table3[#All],MATCH(Table1[[#This Row],[Key_Year_Week_Brand]],Table3[[#All],[Key_Year_Week_Brand]],0),MATCH(Table1[[#This Row],[DC_name_Xref]],Table3[#Headers],0)),0)</f>
        <v>0</v>
      </c>
      <c r="O2021" s="19">
        <f>IFERROR(INDEX(Table35[#All],MATCH(Table1[[#This Row],[Key_Year_Week_Brand]],Table35[[#All],[Key_Year_Month_Brand]],0),MATCH(Table1[[#This Row],[DC_name_Xref]],Table35[#Headers],0)),0)</f>
        <v>0</v>
      </c>
    </row>
    <row r="2022" spans="1:15" x14ac:dyDescent="0.3">
      <c r="A2022" s="19" t="e">
        <f>Table1[[#This Row],[Year_Week]]&amp;"-"&amp;Table1[[#This Row],[DC_name_Xref]]</f>
        <v>#N/A</v>
      </c>
      <c r="B2022" s="19" t="str">
        <f>Table1[[#This Row],[Fiscal_Year]]*100+Table1[[#This Row],[Fiscal_Week]] &amp; "-" &amp;Table1[[#This Row],[BRAND]]</f>
        <v>0-</v>
      </c>
      <c r="C2022" s="19" t="str">
        <f>Table1[[#This Row],[Fiscal_Year]]&amp;"-"&amp;Table1[[#This Row],[BRAND]]</f>
        <v>-</v>
      </c>
      <c r="J2022" t="e">
        <f>VLOOKUP(H2022,DC_Xref!A:B,2,FALSE)</f>
        <v>#N/A</v>
      </c>
      <c r="K2022">
        <f t="shared" si="31"/>
        <v>0</v>
      </c>
      <c r="L20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2" s="3">
        <f>IFERROR(INDEX(Table3[#All],MATCH(Table1[[#This Row],[Key_Year_Week_Brand]],Table3[[#All],[Key_Year_Week_Brand]],0),MATCH(Table1[[#This Row],[DC_name_Xref]],Table3[#Headers],0)),0)</f>
        <v>0</v>
      </c>
      <c r="O2022" s="19">
        <f>IFERROR(INDEX(Table35[#All],MATCH(Table1[[#This Row],[Key_Year_Week_Brand]],Table35[[#All],[Key_Year_Month_Brand]],0),MATCH(Table1[[#This Row],[DC_name_Xref]],Table35[#Headers],0)),0)</f>
        <v>0</v>
      </c>
    </row>
    <row r="2023" spans="1:15" x14ac:dyDescent="0.3">
      <c r="A2023" s="19" t="e">
        <f>Table1[[#This Row],[Year_Week]]&amp;"-"&amp;Table1[[#This Row],[DC_name_Xref]]</f>
        <v>#N/A</v>
      </c>
      <c r="B2023" s="19" t="str">
        <f>Table1[[#This Row],[Fiscal_Year]]*100+Table1[[#This Row],[Fiscal_Week]] &amp; "-" &amp;Table1[[#This Row],[BRAND]]</f>
        <v>0-</v>
      </c>
      <c r="C2023" s="19" t="str">
        <f>Table1[[#This Row],[Fiscal_Year]]&amp;"-"&amp;Table1[[#This Row],[BRAND]]</f>
        <v>-</v>
      </c>
      <c r="J2023" t="e">
        <f>VLOOKUP(H2023,DC_Xref!A:B,2,FALSE)</f>
        <v>#N/A</v>
      </c>
      <c r="K2023">
        <f t="shared" si="31"/>
        <v>0</v>
      </c>
      <c r="L20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3" s="3">
        <f>IFERROR(INDEX(Table3[#All],MATCH(Table1[[#This Row],[Key_Year_Week_Brand]],Table3[[#All],[Key_Year_Week_Brand]],0),MATCH(Table1[[#This Row],[DC_name_Xref]],Table3[#Headers],0)),0)</f>
        <v>0</v>
      </c>
      <c r="O2023" s="19">
        <f>IFERROR(INDEX(Table35[#All],MATCH(Table1[[#This Row],[Key_Year_Week_Brand]],Table35[[#All],[Key_Year_Month_Brand]],0),MATCH(Table1[[#This Row],[DC_name_Xref]],Table35[#Headers],0)),0)</f>
        <v>0</v>
      </c>
    </row>
    <row r="2024" spans="1:15" x14ac:dyDescent="0.3">
      <c r="A2024" s="19" t="e">
        <f>Table1[[#This Row],[Year_Week]]&amp;"-"&amp;Table1[[#This Row],[DC_name_Xref]]</f>
        <v>#N/A</v>
      </c>
      <c r="B2024" s="19" t="str">
        <f>Table1[[#This Row],[Fiscal_Year]]*100+Table1[[#This Row],[Fiscal_Week]] &amp; "-" &amp;Table1[[#This Row],[BRAND]]</f>
        <v>0-</v>
      </c>
      <c r="C2024" s="19" t="str">
        <f>Table1[[#This Row],[Fiscal_Year]]&amp;"-"&amp;Table1[[#This Row],[BRAND]]</f>
        <v>-</v>
      </c>
      <c r="J2024" t="e">
        <f>VLOOKUP(H2024,DC_Xref!A:B,2,FALSE)</f>
        <v>#N/A</v>
      </c>
      <c r="K2024">
        <f t="shared" si="31"/>
        <v>0</v>
      </c>
      <c r="L20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4" s="3">
        <f>IFERROR(INDEX(Table3[#All],MATCH(Table1[[#This Row],[Key_Year_Week_Brand]],Table3[[#All],[Key_Year_Week_Brand]],0),MATCH(Table1[[#This Row],[DC_name_Xref]],Table3[#Headers],0)),0)</f>
        <v>0</v>
      </c>
      <c r="O2024" s="19">
        <f>IFERROR(INDEX(Table35[#All],MATCH(Table1[[#This Row],[Key_Year_Week_Brand]],Table35[[#All],[Key_Year_Month_Brand]],0),MATCH(Table1[[#This Row],[DC_name_Xref]],Table35[#Headers],0)),0)</f>
        <v>0</v>
      </c>
    </row>
    <row r="2025" spans="1:15" x14ac:dyDescent="0.3">
      <c r="A2025" s="19" t="e">
        <f>Table1[[#This Row],[Year_Week]]&amp;"-"&amp;Table1[[#This Row],[DC_name_Xref]]</f>
        <v>#N/A</v>
      </c>
      <c r="B2025" s="19" t="str">
        <f>Table1[[#This Row],[Fiscal_Year]]*100+Table1[[#This Row],[Fiscal_Week]] &amp; "-" &amp;Table1[[#This Row],[BRAND]]</f>
        <v>0-</v>
      </c>
      <c r="C2025" s="19" t="str">
        <f>Table1[[#This Row],[Fiscal_Year]]&amp;"-"&amp;Table1[[#This Row],[BRAND]]</f>
        <v>-</v>
      </c>
      <c r="J2025" t="e">
        <f>VLOOKUP(H2025,DC_Xref!A:B,2,FALSE)</f>
        <v>#N/A</v>
      </c>
      <c r="K2025">
        <f t="shared" si="31"/>
        <v>0</v>
      </c>
      <c r="L20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5" s="3">
        <f>IFERROR(INDEX(Table3[#All],MATCH(Table1[[#This Row],[Key_Year_Week_Brand]],Table3[[#All],[Key_Year_Week_Brand]],0),MATCH(Table1[[#This Row],[DC_name_Xref]],Table3[#Headers],0)),0)</f>
        <v>0</v>
      </c>
      <c r="O2025" s="19">
        <f>IFERROR(INDEX(Table35[#All],MATCH(Table1[[#This Row],[Key_Year_Week_Brand]],Table35[[#All],[Key_Year_Month_Brand]],0),MATCH(Table1[[#This Row],[DC_name_Xref]],Table35[#Headers],0)),0)</f>
        <v>0</v>
      </c>
    </row>
    <row r="2026" spans="1:15" x14ac:dyDescent="0.3">
      <c r="A2026" s="19" t="e">
        <f>Table1[[#This Row],[Year_Week]]&amp;"-"&amp;Table1[[#This Row],[DC_name_Xref]]</f>
        <v>#N/A</v>
      </c>
      <c r="B2026" s="19" t="str">
        <f>Table1[[#This Row],[Fiscal_Year]]*100+Table1[[#This Row],[Fiscal_Week]] &amp; "-" &amp;Table1[[#This Row],[BRAND]]</f>
        <v>0-</v>
      </c>
      <c r="C2026" s="19" t="str">
        <f>Table1[[#This Row],[Fiscal_Year]]&amp;"-"&amp;Table1[[#This Row],[BRAND]]</f>
        <v>-</v>
      </c>
      <c r="J2026" t="e">
        <f>VLOOKUP(H2026,DC_Xref!A:B,2,FALSE)</f>
        <v>#N/A</v>
      </c>
      <c r="K2026">
        <f t="shared" si="31"/>
        <v>0</v>
      </c>
      <c r="L20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6" s="3">
        <f>IFERROR(INDEX(Table3[#All],MATCH(Table1[[#This Row],[Key_Year_Week_Brand]],Table3[[#All],[Key_Year_Week_Brand]],0),MATCH(Table1[[#This Row],[DC_name_Xref]],Table3[#Headers],0)),0)</f>
        <v>0</v>
      </c>
      <c r="O2026" s="19">
        <f>IFERROR(INDEX(Table35[#All],MATCH(Table1[[#This Row],[Key_Year_Week_Brand]],Table35[[#All],[Key_Year_Month_Brand]],0),MATCH(Table1[[#This Row],[DC_name_Xref]],Table35[#Headers],0)),0)</f>
        <v>0</v>
      </c>
    </row>
    <row r="2027" spans="1:15" x14ac:dyDescent="0.3">
      <c r="A2027" s="19" t="e">
        <f>Table1[[#This Row],[Year_Week]]&amp;"-"&amp;Table1[[#This Row],[DC_name_Xref]]</f>
        <v>#N/A</v>
      </c>
      <c r="B2027" s="19" t="str">
        <f>Table1[[#This Row],[Fiscal_Year]]*100+Table1[[#This Row],[Fiscal_Week]] &amp; "-" &amp;Table1[[#This Row],[BRAND]]</f>
        <v>0-</v>
      </c>
      <c r="C2027" s="19" t="str">
        <f>Table1[[#This Row],[Fiscal_Year]]&amp;"-"&amp;Table1[[#This Row],[BRAND]]</f>
        <v>-</v>
      </c>
      <c r="J2027" t="e">
        <f>VLOOKUP(H2027,DC_Xref!A:B,2,FALSE)</f>
        <v>#N/A</v>
      </c>
      <c r="K2027">
        <f t="shared" si="31"/>
        <v>0</v>
      </c>
      <c r="L20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7" s="3">
        <f>IFERROR(INDEX(Table3[#All],MATCH(Table1[[#This Row],[Key_Year_Week_Brand]],Table3[[#All],[Key_Year_Week_Brand]],0),MATCH(Table1[[#This Row],[DC_name_Xref]],Table3[#Headers],0)),0)</f>
        <v>0</v>
      </c>
      <c r="O2027" s="19">
        <f>IFERROR(INDEX(Table35[#All],MATCH(Table1[[#This Row],[Key_Year_Week_Brand]],Table35[[#All],[Key_Year_Month_Brand]],0),MATCH(Table1[[#This Row],[DC_name_Xref]],Table35[#Headers],0)),0)</f>
        <v>0</v>
      </c>
    </row>
    <row r="2028" spans="1:15" x14ac:dyDescent="0.3">
      <c r="A2028" s="19" t="e">
        <f>Table1[[#This Row],[Year_Week]]&amp;"-"&amp;Table1[[#This Row],[DC_name_Xref]]</f>
        <v>#N/A</v>
      </c>
      <c r="B2028" s="19" t="str">
        <f>Table1[[#This Row],[Fiscal_Year]]*100+Table1[[#This Row],[Fiscal_Week]] &amp; "-" &amp;Table1[[#This Row],[BRAND]]</f>
        <v>0-</v>
      </c>
      <c r="C2028" s="19" t="str">
        <f>Table1[[#This Row],[Fiscal_Year]]&amp;"-"&amp;Table1[[#This Row],[BRAND]]</f>
        <v>-</v>
      </c>
      <c r="J2028" t="e">
        <f>VLOOKUP(H2028,DC_Xref!A:B,2,FALSE)</f>
        <v>#N/A</v>
      </c>
      <c r="K2028">
        <f t="shared" si="31"/>
        <v>0</v>
      </c>
      <c r="L20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8" s="3">
        <f>IFERROR(INDEX(Table3[#All],MATCH(Table1[[#This Row],[Key_Year_Week_Brand]],Table3[[#All],[Key_Year_Week_Brand]],0),MATCH(Table1[[#This Row],[DC_name_Xref]],Table3[#Headers],0)),0)</f>
        <v>0</v>
      </c>
      <c r="O2028" s="19">
        <f>IFERROR(INDEX(Table35[#All],MATCH(Table1[[#This Row],[Key_Year_Week_Brand]],Table35[[#All],[Key_Year_Month_Brand]],0),MATCH(Table1[[#This Row],[DC_name_Xref]],Table35[#Headers],0)),0)</f>
        <v>0</v>
      </c>
    </row>
    <row r="2029" spans="1:15" x14ac:dyDescent="0.3">
      <c r="A2029" s="19" t="e">
        <f>Table1[[#This Row],[Year_Week]]&amp;"-"&amp;Table1[[#This Row],[DC_name_Xref]]</f>
        <v>#N/A</v>
      </c>
      <c r="B2029" s="19" t="str">
        <f>Table1[[#This Row],[Fiscal_Year]]*100+Table1[[#This Row],[Fiscal_Week]] &amp; "-" &amp;Table1[[#This Row],[BRAND]]</f>
        <v>0-</v>
      </c>
      <c r="C2029" s="19" t="str">
        <f>Table1[[#This Row],[Fiscal_Year]]&amp;"-"&amp;Table1[[#This Row],[BRAND]]</f>
        <v>-</v>
      </c>
      <c r="J2029" t="e">
        <f>VLOOKUP(H2029,DC_Xref!A:B,2,FALSE)</f>
        <v>#N/A</v>
      </c>
      <c r="K2029">
        <f t="shared" si="31"/>
        <v>0</v>
      </c>
      <c r="L20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29" s="3">
        <f>IFERROR(INDEX(Table3[#All],MATCH(Table1[[#This Row],[Key_Year_Week_Brand]],Table3[[#All],[Key_Year_Week_Brand]],0),MATCH(Table1[[#This Row],[DC_name_Xref]],Table3[#Headers],0)),0)</f>
        <v>0</v>
      </c>
      <c r="O2029" s="19">
        <f>IFERROR(INDEX(Table35[#All],MATCH(Table1[[#This Row],[Key_Year_Week_Brand]],Table35[[#All],[Key_Year_Month_Brand]],0),MATCH(Table1[[#This Row],[DC_name_Xref]],Table35[#Headers],0)),0)</f>
        <v>0</v>
      </c>
    </row>
    <row r="2030" spans="1:15" x14ac:dyDescent="0.3">
      <c r="A2030" s="19" t="e">
        <f>Table1[[#This Row],[Year_Week]]&amp;"-"&amp;Table1[[#This Row],[DC_name_Xref]]</f>
        <v>#N/A</v>
      </c>
      <c r="B2030" s="19" t="str">
        <f>Table1[[#This Row],[Fiscal_Year]]*100+Table1[[#This Row],[Fiscal_Week]] &amp; "-" &amp;Table1[[#This Row],[BRAND]]</f>
        <v>0-</v>
      </c>
      <c r="C2030" s="19" t="str">
        <f>Table1[[#This Row],[Fiscal_Year]]&amp;"-"&amp;Table1[[#This Row],[BRAND]]</f>
        <v>-</v>
      </c>
      <c r="J2030" t="e">
        <f>VLOOKUP(H2030,DC_Xref!A:B,2,FALSE)</f>
        <v>#N/A</v>
      </c>
      <c r="K2030">
        <f t="shared" si="31"/>
        <v>0</v>
      </c>
      <c r="L20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0" s="3">
        <f>IFERROR(INDEX(Table3[#All],MATCH(Table1[[#This Row],[Key_Year_Week_Brand]],Table3[[#All],[Key_Year_Week_Brand]],0),MATCH(Table1[[#This Row],[DC_name_Xref]],Table3[#Headers],0)),0)</f>
        <v>0</v>
      </c>
      <c r="O2030" s="19">
        <f>IFERROR(INDEX(Table35[#All],MATCH(Table1[[#This Row],[Key_Year_Week_Brand]],Table35[[#All],[Key_Year_Month_Brand]],0),MATCH(Table1[[#This Row],[DC_name_Xref]],Table35[#Headers],0)),0)</f>
        <v>0</v>
      </c>
    </row>
    <row r="2031" spans="1:15" x14ac:dyDescent="0.3">
      <c r="A2031" s="19" t="e">
        <f>Table1[[#This Row],[Year_Week]]&amp;"-"&amp;Table1[[#This Row],[DC_name_Xref]]</f>
        <v>#N/A</v>
      </c>
      <c r="B2031" s="19" t="str">
        <f>Table1[[#This Row],[Fiscal_Year]]*100+Table1[[#This Row],[Fiscal_Week]] &amp; "-" &amp;Table1[[#This Row],[BRAND]]</f>
        <v>0-</v>
      </c>
      <c r="C2031" s="19" t="str">
        <f>Table1[[#This Row],[Fiscal_Year]]&amp;"-"&amp;Table1[[#This Row],[BRAND]]</f>
        <v>-</v>
      </c>
      <c r="J2031" t="e">
        <f>VLOOKUP(H2031,DC_Xref!A:B,2,FALSE)</f>
        <v>#N/A</v>
      </c>
      <c r="K2031">
        <f t="shared" si="31"/>
        <v>0</v>
      </c>
      <c r="L20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1" s="3">
        <f>IFERROR(INDEX(Table3[#All],MATCH(Table1[[#This Row],[Key_Year_Week_Brand]],Table3[[#All],[Key_Year_Week_Brand]],0),MATCH(Table1[[#This Row],[DC_name_Xref]],Table3[#Headers],0)),0)</f>
        <v>0</v>
      </c>
      <c r="O2031" s="19">
        <f>IFERROR(INDEX(Table35[#All],MATCH(Table1[[#This Row],[Key_Year_Week_Brand]],Table35[[#All],[Key_Year_Month_Brand]],0),MATCH(Table1[[#This Row],[DC_name_Xref]],Table35[#Headers],0)),0)</f>
        <v>0</v>
      </c>
    </row>
    <row r="2032" spans="1:15" x14ac:dyDescent="0.3">
      <c r="A2032" s="19" t="e">
        <f>Table1[[#This Row],[Year_Week]]&amp;"-"&amp;Table1[[#This Row],[DC_name_Xref]]</f>
        <v>#N/A</v>
      </c>
      <c r="B2032" s="19" t="str">
        <f>Table1[[#This Row],[Fiscal_Year]]*100+Table1[[#This Row],[Fiscal_Week]] &amp; "-" &amp;Table1[[#This Row],[BRAND]]</f>
        <v>0-</v>
      </c>
      <c r="C2032" s="19" t="str">
        <f>Table1[[#This Row],[Fiscal_Year]]&amp;"-"&amp;Table1[[#This Row],[BRAND]]</f>
        <v>-</v>
      </c>
      <c r="J2032" t="e">
        <f>VLOOKUP(H2032,DC_Xref!A:B,2,FALSE)</f>
        <v>#N/A</v>
      </c>
      <c r="K2032">
        <f t="shared" si="31"/>
        <v>0</v>
      </c>
      <c r="L20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2" s="3">
        <f>IFERROR(INDEX(Table3[#All],MATCH(Table1[[#This Row],[Key_Year_Week_Brand]],Table3[[#All],[Key_Year_Week_Brand]],0),MATCH(Table1[[#This Row],[DC_name_Xref]],Table3[#Headers],0)),0)</f>
        <v>0</v>
      </c>
      <c r="O2032" s="19">
        <f>IFERROR(INDEX(Table35[#All],MATCH(Table1[[#This Row],[Key_Year_Week_Brand]],Table35[[#All],[Key_Year_Month_Brand]],0),MATCH(Table1[[#This Row],[DC_name_Xref]],Table35[#Headers],0)),0)</f>
        <v>0</v>
      </c>
    </row>
    <row r="2033" spans="1:15" x14ac:dyDescent="0.3">
      <c r="A2033" s="19" t="e">
        <f>Table1[[#This Row],[Year_Week]]&amp;"-"&amp;Table1[[#This Row],[DC_name_Xref]]</f>
        <v>#N/A</v>
      </c>
      <c r="B2033" s="19" t="str">
        <f>Table1[[#This Row],[Fiscal_Year]]*100+Table1[[#This Row],[Fiscal_Week]] &amp; "-" &amp;Table1[[#This Row],[BRAND]]</f>
        <v>0-</v>
      </c>
      <c r="C2033" s="19" t="str">
        <f>Table1[[#This Row],[Fiscal_Year]]&amp;"-"&amp;Table1[[#This Row],[BRAND]]</f>
        <v>-</v>
      </c>
      <c r="J2033" t="e">
        <f>VLOOKUP(H2033,DC_Xref!A:B,2,FALSE)</f>
        <v>#N/A</v>
      </c>
      <c r="K2033">
        <f t="shared" si="31"/>
        <v>0</v>
      </c>
      <c r="L20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3" s="3">
        <f>IFERROR(INDEX(Table3[#All],MATCH(Table1[[#This Row],[Key_Year_Week_Brand]],Table3[[#All],[Key_Year_Week_Brand]],0),MATCH(Table1[[#This Row],[DC_name_Xref]],Table3[#Headers],0)),0)</f>
        <v>0</v>
      </c>
      <c r="O2033" s="19">
        <f>IFERROR(INDEX(Table35[#All],MATCH(Table1[[#This Row],[Key_Year_Week_Brand]],Table35[[#All],[Key_Year_Month_Brand]],0),MATCH(Table1[[#This Row],[DC_name_Xref]],Table35[#Headers],0)),0)</f>
        <v>0</v>
      </c>
    </row>
    <row r="2034" spans="1:15" x14ac:dyDescent="0.3">
      <c r="A2034" s="19" t="e">
        <f>Table1[[#This Row],[Year_Week]]&amp;"-"&amp;Table1[[#This Row],[DC_name_Xref]]</f>
        <v>#N/A</v>
      </c>
      <c r="B2034" s="19" t="str">
        <f>Table1[[#This Row],[Fiscal_Year]]*100+Table1[[#This Row],[Fiscal_Week]] &amp; "-" &amp;Table1[[#This Row],[BRAND]]</f>
        <v>0-</v>
      </c>
      <c r="C2034" s="19" t="str">
        <f>Table1[[#This Row],[Fiscal_Year]]&amp;"-"&amp;Table1[[#This Row],[BRAND]]</f>
        <v>-</v>
      </c>
      <c r="J2034" t="e">
        <f>VLOOKUP(H2034,DC_Xref!A:B,2,FALSE)</f>
        <v>#N/A</v>
      </c>
      <c r="K2034">
        <f t="shared" si="31"/>
        <v>0</v>
      </c>
      <c r="L20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4" s="3">
        <f>IFERROR(INDEX(Table3[#All],MATCH(Table1[[#This Row],[Key_Year_Week_Brand]],Table3[[#All],[Key_Year_Week_Brand]],0),MATCH(Table1[[#This Row],[DC_name_Xref]],Table3[#Headers],0)),0)</f>
        <v>0</v>
      </c>
      <c r="O2034" s="19">
        <f>IFERROR(INDEX(Table35[#All],MATCH(Table1[[#This Row],[Key_Year_Week_Brand]],Table35[[#All],[Key_Year_Month_Brand]],0),MATCH(Table1[[#This Row],[DC_name_Xref]],Table35[#Headers],0)),0)</f>
        <v>0</v>
      </c>
    </row>
    <row r="2035" spans="1:15" x14ac:dyDescent="0.3">
      <c r="A2035" s="19" t="e">
        <f>Table1[[#This Row],[Year_Week]]&amp;"-"&amp;Table1[[#This Row],[DC_name_Xref]]</f>
        <v>#N/A</v>
      </c>
      <c r="B2035" s="19" t="str">
        <f>Table1[[#This Row],[Fiscal_Year]]*100+Table1[[#This Row],[Fiscal_Week]] &amp; "-" &amp;Table1[[#This Row],[BRAND]]</f>
        <v>0-</v>
      </c>
      <c r="C2035" s="19" t="str">
        <f>Table1[[#This Row],[Fiscal_Year]]&amp;"-"&amp;Table1[[#This Row],[BRAND]]</f>
        <v>-</v>
      </c>
      <c r="J2035" t="e">
        <f>VLOOKUP(H2035,DC_Xref!A:B,2,FALSE)</f>
        <v>#N/A</v>
      </c>
      <c r="K2035">
        <f t="shared" si="31"/>
        <v>0</v>
      </c>
      <c r="L20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5" s="3">
        <f>IFERROR(INDEX(Table3[#All],MATCH(Table1[[#This Row],[Key_Year_Week_Brand]],Table3[[#All],[Key_Year_Week_Brand]],0),MATCH(Table1[[#This Row],[DC_name_Xref]],Table3[#Headers],0)),0)</f>
        <v>0</v>
      </c>
      <c r="O2035" s="19">
        <f>IFERROR(INDEX(Table35[#All],MATCH(Table1[[#This Row],[Key_Year_Week_Brand]],Table35[[#All],[Key_Year_Month_Brand]],0),MATCH(Table1[[#This Row],[DC_name_Xref]],Table35[#Headers],0)),0)</f>
        <v>0</v>
      </c>
    </row>
    <row r="2036" spans="1:15" x14ac:dyDescent="0.3">
      <c r="A2036" s="19" t="e">
        <f>Table1[[#This Row],[Year_Week]]&amp;"-"&amp;Table1[[#This Row],[DC_name_Xref]]</f>
        <v>#N/A</v>
      </c>
      <c r="B2036" s="19" t="str">
        <f>Table1[[#This Row],[Fiscal_Year]]*100+Table1[[#This Row],[Fiscal_Week]] &amp; "-" &amp;Table1[[#This Row],[BRAND]]</f>
        <v>0-</v>
      </c>
      <c r="C2036" s="19" t="str">
        <f>Table1[[#This Row],[Fiscal_Year]]&amp;"-"&amp;Table1[[#This Row],[BRAND]]</f>
        <v>-</v>
      </c>
      <c r="J2036" t="e">
        <f>VLOOKUP(H2036,DC_Xref!A:B,2,FALSE)</f>
        <v>#N/A</v>
      </c>
      <c r="K2036">
        <f t="shared" si="31"/>
        <v>0</v>
      </c>
      <c r="L20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6" s="3">
        <f>IFERROR(INDEX(Table3[#All],MATCH(Table1[[#This Row],[Key_Year_Week_Brand]],Table3[[#All],[Key_Year_Week_Brand]],0),MATCH(Table1[[#This Row],[DC_name_Xref]],Table3[#Headers],0)),0)</f>
        <v>0</v>
      </c>
      <c r="O2036" s="19">
        <f>IFERROR(INDEX(Table35[#All],MATCH(Table1[[#This Row],[Key_Year_Week_Brand]],Table35[[#All],[Key_Year_Month_Brand]],0),MATCH(Table1[[#This Row],[DC_name_Xref]],Table35[#Headers],0)),0)</f>
        <v>0</v>
      </c>
    </row>
    <row r="2037" spans="1:15" x14ac:dyDescent="0.3">
      <c r="A2037" s="19" t="e">
        <f>Table1[[#This Row],[Year_Week]]&amp;"-"&amp;Table1[[#This Row],[DC_name_Xref]]</f>
        <v>#N/A</v>
      </c>
      <c r="B2037" s="19" t="str">
        <f>Table1[[#This Row],[Fiscal_Year]]*100+Table1[[#This Row],[Fiscal_Week]] &amp; "-" &amp;Table1[[#This Row],[BRAND]]</f>
        <v>0-</v>
      </c>
      <c r="C2037" s="19" t="str">
        <f>Table1[[#This Row],[Fiscal_Year]]&amp;"-"&amp;Table1[[#This Row],[BRAND]]</f>
        <v>-</v>
      </c>
      <c r="J2037" t="e">
        <f>VLOOKUP(H2037,DC_Xref!A:B,2,FALSE)</f>
        <v>#N/A</v>
      </c>
      <c r="K2037">
        <f t="shared" si="31"/>
        <v>0</v>
      </c>
      <c r="L20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7" s="3">
        <f>IFERROR(INDEX(Table3[#All],MATCH(Table1[[#This Row],[Key_Year_Week_Brand]],Table3[[#All],[Key_Year_Week_Brand]],0),MATCH(Table1[[#This Row],[DC_name_Xref]],Table3[#Headers],0)),0)</f>
        <v>0</v>
      </c>
      <c r="O2037" s="19">
        <f>IFERROR(INDEX(Table35[#All],MATCH(Table1[[#This Row],[Key_Year_Week_Brand]],Table35[[#All],[Key_Year_Month_Brand]],0),MATCH(Table1[[#This Row],[DC_name_Xref]],Table35[#Headers],0)),0)</f>
        <v>0</v>
      </c>
    </row>
    <row r="2038" spans="1:15" x14ac:dyDescent="0.3">
      <c r="A2038" s="19" t="e">
        <f>Table1[[#This Row],[Year_Week]]&amp;"-"&amp;Table1[[#This Row],[DC_name_Xref]]</f>
        <v>#N/A</v>
      </c>
      <c r="B2038" s="19" t="str">
        <f>Table1[[#This Row],[Fiscal_Year]]*100+Table1[[#This Row],[Fiscal_Week]] &amp; "-" &amp;Table1[[#This Row],[BRAND]]</f>
        <v>0-</v>
      </c>
      <c r="C2038" s="19" t="str">
        <f>Table1[[#This Row],[Fiscal_Year]]&amp;"-"&amp;Table1[[#This Row],[BRAND]]</f>
        <v>-</v>
      </c>
      <c r="J2038" t="e">
        <f>VLOOKUP(H2038,DC_Xref!A:B,2,FALSE)</f>
        <v>#N/A</v>
      </c>
      <c r="K2038">
        <f t="shared" si="31"/>
        <v>0</v>
      </c>
      <c r="L20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8" s="3">
        <f>IFERROR(INDEX(Table3[#All],MATCH(Table1[[#This Row],[Key_Year_Week_Brand]],Table3[[#All],[Key_Year_Week_Brand]],0),MATCH(Table1[[#This Row],[DC_name_Xref]],Table3[#Headers],0)),0)</f>
        <v>0</v>
      </c>
      <c r="O2038" s="19">
        <f>IFERROR(INDEX(Table35[#All],MATCH(Table1[[#This Row],[Key_Year_Week_Brand]],Table35[[#All],[Key_Year_Month_Brand]],0),MATCH(Table1[[#This Row],[DC_name_Xref]],Table35[#Headers],0)),0)</f>
        <v>0</v>
      </c>
    </row>
    <row r="2039" spans="1:15" x14ac:dyDescent="0.3">
      <c r="A2039" s="19" t="e">
        <f>Table1[[#This Row],[Year_Week]]&amp;"-"&amp;Table1[[#This Row],[DC_name_Xref]]</f>
        <v>#N/A</v>
      </c>
      <c r="B2039" s="19" t="str">
        <f>Table1[[#This Row],[Fiscal_Year]]*100+Table1[[#This Row],[Fiscal_Week]] &amp; "-" &amp;Table1[[#This Row],[BRAND]]</f>
        <v>0-</v>
      </c>
      <c r="C2039" s="19" t="str">
        <f>Table1[[#This Row],[Fiscal_Year]]&amp;"-"&amp;Table1[[#This Row],[BRAND]]</f>
        <v>-</v>
      </c>
      <c r="J2039" t="e">
        <f>VLOOKUP(H2039,DC_Xref!A:B,2,FALSE)</f>
        <v>#N/A</v>
      </c>
      <c r="K2039">
        <f t="shared" si="31"/>
        <v>0</v>
      </c>
      <c r="L20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39" s="3">
        <f>IFERROR(INDEX(Table3[#All],MATCH(Table1[[#This Row],[Key_Year_Week_Brand]],Table3[[#All],[Key_Year_Week_Brand]],0),MATCH(Table1[[#This Row],[DC_name_Xref]],Table3[#Headers],0)),0)</f>
        <v>0</v>
      </c>
      <c r="O2039" s="19">
        <f>IFERROR(INDEX(Table35[#All],MATCH(Table1[[#This Row],[Key_Year_Week_Brand]],Table35[[#All],[Key_Year_Month_Brand]],0),MATCH(Table1[[#This Row],[DC_name_Xref]],Table35[#Headers],0)),0)</f>
        <v>0</v>
      </c>
    </row>
    <row r="2040" spans="1:15" x14ac:dyDescent="0.3">
      <c r="A2040" s="19" t="e">
        <f>Table1[[#This Row],[Year_Week]]&amp;"-"&amp;Table1[[#This Row],[DC_name_Xref]]</f>
        <v>#N/A</v>
      </c>
      <c r="B2040" s="19" t="str">
        <f>Table1[[#This Row],[Fiscal_Year]]*100+Table1[[#This Row],[Fiscal_Week]] &amp; "-" &amp;Table1[[#This Row],[BRAND]]</f>
        <v>0-</v>
      </c>
      <c r="C2040" s="19" t="str">
        <f>Table1[[#This Row],[Fiscal_Year]]&amp;"-"&amp;Table1[[#This Row],[BRAND]]</f>
        <v>-</v>
      </c>
      <c r="J2040" t="e">
        <f>VLOOKUP(H2040,DC_Xref!A:B,2,FALSE)</f>
        <v>#N/A</v>
      </c>
      <c r="K2040">
        <f t="shared" si="31"/>
        <v>0</v>
      </c>
      <c r="L20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0" s="3">
        <f>IFERROR(INDEX(Table3[#All],MATCH(Table1[[#This Row],[Key_Year_Week_Brand]],Table3[[#All],[Key_Year_Week_Brand]],0),MATCH(Table1[[#This Row],[DC_name_Xref]],Table3[#Headers],0)),0)</f>
        <v>0</v>
      </c>
      <c r="O2040" s="19">
        <f>IFERROR(INDEX(Table35[#All],MATCH(Table1[[#This Row],[Key_Year_Week_Brand]],Table35[[#All],[Key_Year_Month_Brand]],0),MATCH(Table1[[#This Row],[DC_name_Xref]],Table35[#Headers],0)),0)</f>
        <v>0</v>
      </c>
    </row>
    <row r="2041" spans="1:15" x14ac:dyDescent="0.3">
      <c r="A2041" s="19" t="e">
        <f>Table1[[#This Row],[Year_Week]]&amp;"-"&amp;Table1[[#This Row],[DC_name_Xref]]</f>
        <v>#N/A</v>
      </c>
      <c r="B2041" s="19" t="str">
        <f>Table1[[#This Row],[Fiscal_Year]]*100+Table1[[#This Row],[Fiscal_Week]] &amp; "-" &amp;Table1[[#This Row],[BRAND]]</f>
        <v>0-</v>
      </c>
      <c r="C2041" s="19" t="str">
        <f>Table1[[#This Row],[Fiscal_Year]]&amp;"-"&amp;Table1[[#This Row],[BRAND]]</f>
        <v>-</v>
      </c>
      <c r="J2041" t="e">
        <f>VLOOKUP(H2041,DC_Xref!A:B,2,FALSE)</f>
        <v>#N/A</v>
      </c>
      <c r="K2041">
        <f t="shared" si="31"/>
        <v>0</v>
      </c>
      <c r="L20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1" s="3">
        <f>IFERROR(INDEX(Table3[#All],MATCH(Table1[[#This Row],[Key_Year_Week_Brand]],Table3[[#All],[Key_Year_Week_Brand]],0),MATCH(Table1[[#This Row],[DC_name_Xref]],Table3[#Headers],0)),0)</f>
        <v>0</v>
      </c>
      <c r="O2041" s="19">
        <f>IFERROR(INDEX(Table35[#All],MATCH(Table1[[#This Row],[Key_Year_Week_Brand]],Table35[[#All],[Key_Year_Month_Brand]],0),MATCH(Table1[[#This Row],[DC_name_Xref]],Table35[#Headers],0)),0)</f>
        <v>0</v>
      </c>
    </row>
    <row r="2042" spans="1:15" x14ac:dyDescent="0.3">
      <c r="A2042" s="19" t="e">
        <f>Table1[[#This Row],[Year_Week]]&amp;"-"&amp;Table1[[#This Row],[DC_name_Xref]]</f>
        <v>#N/A</v>
      </c>
      <c r="B2042" s="19" t="str">
        <f>Table1[[#This Row],[Fiscal_Year]]*100+Table1[[#This Row],[Fiscal_Week]] &amp; "-" &amp;Table1[[#This Row],[BRAND]]</f>
        <v>0-</v>
      </c>
      <c r="C2042" s="19" t="str">
        <f>Table1[[#This Row],[Fiscal_Year]]&amp;"-"&amp;Table1[[#This Row],[BRAND]]</f>
        <v>-</v>
      </c>
      <c r="J2042" t="e">
        <f>VLOOKUP(H2042,DC_Xref!A:B,2,FALSE)</f>
        <v>#N/A</v>
      </c>
      <c r="K2042">
        <f t="shared" si="31"/>
        <v>0</v>
      </c>
      <c r="L20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2" s="3">
        <f>IFERROR(INDEX(Table3[#All],MATCH(Table1[[#This Row],[Key_Year_Week_Brand]],Table3[[#All],[Key_Year_Week_Brand]],0),MATCH(Table1[[#This Row],[DC_name_Xref]],Table3[#Headers],0)),0)</f>
        <v>0</v>
      </c>
      <c r="O2042" s="19">
        <f>IFERROR(INDEX(Table35[#All],MATCH(Table1[[#This Row],[Key_Year_Week_Brand]],Table35[[#All],[Key_Year_Month_Brand]],0),MATCH(Table1[[#This Row],[DC_name_Xref]],Table35[#Headers],0)),0)</f>
        <v>0</v>
      </c>
    </row>
    <row r="2043" spans="1:15" x14ac:dyDescent="0.3">
      <c r="A2043" s="19" t="e">
        <f>Table1[[#This Row],[Year_Week]]&amp;"-"&amp;Table1[[#This Row],[DC_name_Xref]]</f>
        <v>#N/A</v>
      </c>
      <c r="B2043" s="19" t="str">
        <f>Table1[[#This Row],[Fiscal_Year]]*100+Table1[[#This Row],[Fiscal_Week]] &amp; "-" &amp;Table1[[#This Row],[BRAND]]</f>
        <v>0-</v>
      </c>
      <c r="C2043" s="19" t="str">
        <f>Table1[[#This Row],[Fiscal_Year]]&amp;"-"&amp;Table1[[#This Row],[BRAND]]</f>
        <v>-</v>
      </c>
      <c r="J2043" t="e">
        <f>VLOOKUP(H2043,DC_Xref!A:B,2,FALSE)</f>
        <v>#N/A</v>
      </c>
      <c r="K2043">
        <f t="shared" si="31"/>
        <v>0</v>
      </c>
      <c r="L20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3" s="3">
        <f>IFERROR(INDEX(Table3[#All],MATCH(Table1[[#This Row],[Key_Year_Week_Brand]],Table3[[#All],[Key_Year_Week_Brand]],0),MATCH(Table1[[#This Row],[DC_name_Xref]],Table3[#Headers],0)),0)</f>
        <v>0</v>
      </c>
      <c r="O2043" s="19">
        <f>IFERROR(INDEX(Table35[#All],MATCH(Table1[[#This Row],[Key_Year_Week_Brand]],Table35[[#All],[Key_Year_Month_Brand]],0),MATCH(Table1[[#This Row],[DC_name_Xref]],Table35[#Headers],0)),0)</f>
        <v>0</v>
      </c>
    </row>
    <row r="2044" spans="1:15" x14ac:dyDescent="0.3">
      <c r="A2044" s="19" t="e">
        <f>Table1[[#This Row],[Year_Week]]&amp;"-"&amp;Table1[[#This Row],[DC_name_Xref]]</f>
        <v>#N/A</v>
      </c>
      <c r="B2044" s="19" t="str">
        <f>Table1[[#This Row],[Fiscal_Year]]*100+Table1[[#This Row],[Fiscal_Week]] &amp; "-" &amp;Table1[[#This Row],[BRAND]]</f>
        <v>0-</v>
      </c>
      <c r="C2044" s="19" t="str">
        <f>Table1[[#This Row],[Fiscal_Year]]&amp;"-"&amp;Table1[[#This Row],[BRAND]]</f>
        <v>-</v>
      </c>
      <c r="J2044" t="e">
        <f>VLOOKUP(H2044,DC_Xref!A:B,2,FALSE)</f>
        <v>#N/A</v>
      </c>
      <c r="K2044">
        <f t="shared" si="31"/>
        <v>0</v>
      </c>
      <c r="L20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4" s="3">
        <f>IFERROR(INDEX(Table3[#All],MATCH(Table1[[#This Row],[Key_Year_Week_Brand]],Table3[[#All],[Key_Year_Week_Brand]],0),MATCH(Table1[[#This Row],[DC_name_Xref]],Table3[#Headers],0)),0)</f>
        <v>0</v>
      </c>
      <c r="O2044" s="19">
        <f>IFERROR(INDEX(Table35[#All],MATCH(Table1[[#This Row],[Key_Year_Week_Brand]],Table35[[#All],[Key_Year_Month_Brand]],0),MATCH(Table1[[#This Row],[DC_name_Xref]],Table35[#Headers],0)),0)</f>
        <v>0</v>
      </c>
    </row>
    <row r="2045" spans="1:15" x14ac:dyDescent="0.3">
      <c r="A2045" s="19" t="e">
        <f>Table1[[#This Row],[Year_Week]]&amp;"-"&amp;Table1[[#This Row],[DC_name_Xref]]</f>
        <v>#N/A</v>
      </c>
      <c r="B2045" s="19" t="str">
        <f>Table1[[#This Row],[Fiscal_Year]]*100+Table1[[#This Row],[Fiscal_Week]] &amp; "-" &amp;Table1[[#This Row],[BRAND]]</f>
        <v>0-</v>
      </c>
      <c r="C2045" s="19" t="str">
        <f>Table1[[#This Row],[Fiscal_Year]]&amp;"-"&amp;Table1[[#This Row],[BRAND]]</f>
        <v>-</v>
      </c>
      <c r="J2045" t="e">
        <f>VLOOKUP(H2045,DC_Xref!A:B,2,FALSE)</f>
        <v>#N/A</v>
      </c>
      <c r="K2045">
        <f t="shared" si="31"/>
        <v>0</v>
      </c>
      <c r="L20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5" s="3">
        <f>IFERROR(INDEX(Table3[#All],MATCH(Table1[[#This Row],[Key_Year_Week_Brand]],Table3[[#All],[Key_Year_Week_Brand]],0),MATCH(Table1[[#This Row],[DC_name_Xref]],Table3[#Headers],0)),0)</f>
        <v>0</v>
      </c>
      <c r="O2045" s="19">
        <f>IFERROR(INDEX(Table35[#All],MATCH(Table1[[#This Row],[Key_Year_Week_Brand]],Table35[[#All],[Key_Year_Month_Brand]],0),MATCH(Table1[[#This Row],[DC_name_Xref]],Table35[#Headers],0)),0)</f>
        <v>0</v>
      </c>
    </row>
    <row r="2046" spans="1:15" x14ac:dyDescent="0.3">
      <c r="A2046" s="19" t="e">
        <f>Table1[[#This Row],[Year_Week]]&amp;"-"&amp;Table1[[#This Row],[DC_name_Xref]]</f>
        <v>#N/A</v>
      </c>
      <c r="B2046" s="19" t="str">
        <f>Table1[[#This Row],[Fiscal_Year]]*100+Table1[[#This Row],[Fiscal_Week]] &amp; "-" &amp;Table1[[#This Row],[BRAND]]</f>
        <v>0-</v>
      </c>
      <c r="C2046" s="19" t="str">
        <f>Table1[[#This Row],[Fiscal_Year]]&amp;"-"&amp;Table1[[#This Row],[BRAND]]</f>
        <v>-</v>
      </c>
      <c r="J2046" t="e">
        <f>VLOOKUP(H2046,DC_Xref!A:B,2,FALSE)</f>
        <v>#N/A</v>
      </c>
      <c r="K2046">
        <f t="shared" si="31"/>
        <v>0</v>
      </c>
      <c r="L20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6" s="3">
        <f>IFERROR(INDEX(Table3[#All],MATCH(Table1[[#This Row],[Key_Year_Week_Brand]],Table3[[#All],[Key_Year_Week_Brand]],0),MATCH(Table1[[#This Row],[DC_name_Xref]],Table3[#Headers],0)),0)</f>
        <v>0</v>
      </c>
      <c r="O2046" s="19">
        <f>IFERROR(INDEX(Table35[#All],MATCH(Table1[[#This Row],[Key_Year_Week_Brand]],Table35[[#All],[Key_Year_Month_Brand]],0),MATCH(Table1[[#This Row],[DC_name_Xref]],Table35[#Headers],0)),0)</f>
        <v>0</v>
      </c>
    </row>
    <row r="2047" spans="1:15" x14ac:dyDescent="0.3">
      <c r="A2047" s="19" t="e">
        <f>Table1[[#This Row],[Year_Week]]&amp;"-"&amp;Table1[[#This Row],[DC_name_Xref]]</f>
        <v>#N/A</v>
      </c>
      <c r="B2047" s="19" t="str">
        <f>Table1[[#This Row],[Fiscal_Year]]*100+Table1[[#This Row],[Fiscal_Week]] &amp; "-" &amp;Table1[[#This Row],[BRAND]]</f>
        <v>0-</v>
      </c>
      <c r="C2047" s="19" t="str">
        <f>Table1[[#This Row],[Fiscal_Year]]&amp;"-"&amp;Table1[[#This Row],[BRAND]]</f>
        <v>-</v>
      </c>
      <c r="J2047" t="e">
        <f>VLOOKUP(H2047,DC_Xref!A:B,2,FALSE)</f>
        <v>#N/A</v>
      </c>
      <c r="K2047">
        <f t="shared" si="31"/>
        <v>0</v>
      </c>
      <c r="L20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7" s="3">
        <f>IFERROR(INDEX(Table3[#All],MATCH(Table1[[#This Row],[Key_Year_Week_Brand]],Table3[[#All],[Key_Year_Week_Brand]],0),MATCH(Table1[[#This Row],[DC_name_Xref]],Table3[#Headers],0)),0)</f>
        <v>0</v>
      </c>
      <c r="O2047" s="19">
        <f>IFERROR(INDEX(Table35[#All],MATCH(Table1[[#This Row],[Key_Year_Week_Brand]],Table35[[#All],[Key_Year_Month_Brand]],0),MATCH(Table1[[#This Row],[DC_name_Xref]],Table35[#Headers],0)),0)</f>
        <v>0</v>
      </c>
    </row>
    <row r="2048" spans="1:15" x14ac:dyDescent="0.3">
      <c r="A2048" s="19" t="e">
        <f>Table1[[#This Row],[Year_Week]]&amp;"-"&amp;Table1[[#This Row],[DC_name_Xref]]</f>
        <v>#N/A</v>
      </c>
      <c r="B2048" s="19" t="str">
        <f>Table1[[#This Row],[Fiscal_Year]]*100+Table1[[#This Row],[Fiscal_Week]] &amp; "-" &amp;Table1[[#This Row],[BRAND]]</f>
        <v>0-</v>
      </c>
      <c r="C2048" s="19" t="str">
        <f>Table1[[#This Row],[Fiscal_Year]]&amp;"-"&amp;Table1[[#This Row],[BRAND]]</f>
        <v>-</v>
      </c>
      <c r="J2048" t="e">
        <f>VLOOKUP(H2048,DC_Xref!A:B,2,FALSE)</f>
        <v>#N/A</v>
      </c>
      <c r="K2048">
        <f t="shared" si="31"/>
        <v>0</v>
      </c>
      <c r="L20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8" s="3">
        <f>IFERROR(INDEX(Table3[#All],MATCH(Table1[[#This Row],[Key_Year_Week_Brand]],Table3[[#All],[Key_Year_Week_Brand]],0),MATCH(Table1[[#This Row],[DC_name_Xref]],Table3[#Headers],0)),0)</f>
        <v>0</v>
      </c>
      <c r="O2048" s="19">
        <f>IFERROR(INDEX(Table35[#All],MATCH(Table1[[#This Row],[Key_Year_Week_Brand]],Table35[[#All],[Key_Year_Month_Brand]],0),MATCH(Table1[[#This Row],[DC_name_Xref]],Table35[#Headers],0)),0)</f>
        <v>0</v>
      </c>
    </row>
    <row r="2049" spans="1:15" x14ac:dyDescent="0.3">
      <c r="A2049" s="19" t="e">
        <f>Table1[[#This Row],[Year_Week]]&amp;"-"&amp;Table1[[#This Row],[DC_name_Xref]]</f>
        <v>#N/A</v>
      </c>
      <c r="B2049" s="19" t="str">
        <f>Table1[[#This Row],[Fiscal_Year]]*100+Table1[[#This Row],[Fiscal_Week]] &amp; "-" &amp;Table1[[#This Row],[BRAND]]</f>
        <v>0-</v>
      </c>
      <c r="C2049" s="19" t="str">
        <f>Table1[[#This Row],[Fiscal_Year]]&amp;"-"&amp;Table1[[#This Row],[BRAND]]</f>
        <v>-</v>
      </c>
      <c r="J2049" t="e">
        <f>VLOOKUP(H2049,DC_Xref!A:B,2,FALSE)</f>
        <v>#N/A</v>
      </c>
      <c r="K2049">
        <f t="shared" si="31"/>
        <v>0</v>
      </c>
      <c r="L20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49" s="3">
        <f>IFERROR(INDEX(Table3[#All],MATCH(Table1[[#This Row],[Key_Year_Week_Brand]],Table3[[#All],[Key_Year_Week_Brand]],0),MATCH(Table1[[#This Row],[DC_name_Xref]],Table3[#Headers],0)),0)</f>
        <v>0</v>
      </c>
      <c r="O2049" s="19">
        <f>IFERROR(INDEX(Table35[#All],MATCH(Table1[[#This Row],[Key_Year_Week_Brand]],Table35[[#All],[Key_Year_Month_Brand]],0),MATCH(Table1[[#This Row],[DC_name_Xref]],Table35[#Headers],0)),0)</f>
        <v>0</v>
      </c>
    </row>
    <row r="2050" spans="1:15" x14ac:dyDescent="0.3">
      <c r="A2050" s="19" t="e">
        <f>Table1[[#This Row],[Year_Week]]&amp;"-"&amp;Table1[[#This Row],[DC_name_Xref]]</f>
        <v>#N/A</v>
      </c>
      <c r="B2050" s="19" t="str">
        <f>Table1[[#This Row],[Fiscal_Year]]*100+Table1[[#This Row],[Fiscal_Week]] &amp; "-" &amp;Table1[[#This Row],[BRAND]]</f>
        <v>0-</v>
      </c>
      <c r="C2050" s="19" t="str">
        <f>Table1[[#This Row],[Fiscal_Year]]&amp;"-"&amp;Table1[[#This Row],[BRAND]]</f>
        <v>-</v>
      </c>
      <c r="J2050" t="e">
        <f>VLOOKUP(H2050,DC_Xref!A:B,2,FALSE)</f>
        <v>#N/A</v>
      </c>
      <c r="K2050">
        <f t="shared" si="31"/>
        <v>0</v>
      </c>
      <c r="L20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0" s="3">
        <f>IFERROR(INDEX(Table3[#All],MATCH(Table1[[#This Row],[Key_Year_Week_Brand]],Table3[[#All],[Key_Year_Week_Brand]],0),MATCH(Table1[[#This Row],[DC_name_Xref]],Table3[#Headers],0)),0)</f>
        <v>0</v>
      </c>
      <c r="O2050" s="19">
        <f>IFERROR(INDEX(Table35[#All],MATCH(Table1[[#This Row],[Key_Year_Week_Brand]],Table35[[#All],[Key_Year_Month_Brand]],0),MATCH(Table1[[#This Row],[DC_name_Xref]],Table35[#Headers],0)),0)</f>
        <v>0</v>
      </c>
    </row>
    <row r="2051" spans="1:15" x14ac:dyDescent="0.3">
      <c r="A2051" s="19" t="e">
        <f>Table1[[#This Row],[Year_Week]]&amp;"-"&amp;Table1[[#This Row],[DC_name_Xref]]</f>
        <v>#N/A</v>
      </c>
      <c r="B2051" s="19" t="str">
        <f>Table1[[#This Row],[Fiscal_Year]]*100+Table1[[#This Row],[Fiscal_Week]] &amp; "-" &amp;Table1[[#This Row],[BRAND]]</f>
        <v>0-</v>
      </c>
      <c r="C2051" s="19" t="str">
        <f>Table1[[#This Row],[Fiscal_Year]]&amp;"-"&amp;Table1[[#This Row],[BRAND]]</f>
        <v>-</v>
      </c>
      <c r="J2051" t="e">
        <f>VLOOKUP(H2051,DC_Xref!A:B,2,FALSE)</f>
        <v>#N/A</v>
      </c>
      <c r="K2051">
        <f t="shared" si="31"/>
        <v>0</v>
      </c>
      <c r="L20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1" s="3">
        <f>IFERROR(INDEX(Table3[#All],MATCH(Table1[[#This Row],[Key_Year_Week_Brand]],Table3[[#All],[Key_Year_Week_Brand]],0),MATCH(Table1[[#This Row],[DC_name_Xref]],Table3[#Headers],0)),0)</f>
        <v>0</v>
      </c>
      <c r="O2051" s="19">
        <f>IFERROR(INDEX(Table35[#All],MATCH(Table1[[#This Row],[Key_Year_Week_Brand]],Table35[[#All],[Key_Year_Month_Brand]],0),MATCH(Table1[[#This Row],[DC_name_Xref]],Table35[#Headers],0)),0)</f>
        <v>0</v>
      </c>
    </row>
    <row r="2052" spans="1:15" x14ac:dyDescent="0.3">
      <c r="A2052" s="19" t="e">
        <f>Table1[[#This Row],[Year_Week]]&amp;"-"&amp;Table1[[#This Row],[DC_name_Xref]]</f>
        <v>#N/A</v>
      </c>
      <c r="B2052" s="19" t="str">
        <f>Table1[[#This Row],[Fiscal_Year]]*100+Table1[[#This Row],[Fiscal_Week]] &amp; "-" &amp;Table1[[#This Row],[BRAND]]</f>
        <v>0-</v>
      </c>
      <c r="C2052" s="19" t="str">
        <f>Table1[[#This Row],[Fiscal_Year]]&amp;"-"&amp;Table1[[#This Row],[BRAND]]</f>
        <v>-</v>
      </c>
      <c r="J2052" t="e">
        <f>VLOOKUP(H2052,DC_Xref!A:B,2,FALSE)</f>
        <v>#N/A</v>
      </c>
      <c r="K2052">
        <f t="shared" si="31"/>
        <v>0</v>
      </c>
      <c r="L20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2" s="3">
        <f>IFERROR(INDEX(Table3[#All],MATCH(Table1[[#This Row],[Key_Year_Week_Brand]],Table3[[#All],[Key_Year_Week_Brand]],0),MATCH(Table1[[#This Row],[DC_name_Xref]],Table3[#Headers],0)),0)</f>
        <v>0</v>
      </c>
      <c r="O2052" s="19">
        <f>IFERROR(INDEX(Table35[#All],MATCH(Table1[[#This Row],[Key_Year_Week_Brand]],Table35[[#All],[Key_Year_Month_Brand]],0),MATCH(Table1[[#This Row],[DC_name_Xref]],Table35[#Headers],0)),0)</f>
        <v>0</v>
      </c>
    </row>
    <row r="2053" spans="1:15" x14ac:dyDescent="0.3">
      <c r="A2053" s="19" t="e">
        <f>Table1[[#This Row],[Year_Week]]&amp;"-"&amp;Table1[[#This Row],[DC_name_Xref]]</f>
        <v>#N/A</v>
      </c>
      <c r="B2053" s="19" t="str">
        <f>Table1[[#This Row],[Fiscal_Year]]*100+Table1[[#This Row],[Fiscal_Week]] &amp; "-" &amp;Table1[[#This Row],[BRAND]]</f>
        <v>0-</v>
      </c>
      <c r="C2053" s="19" t="str">
        <f>Table1[[#This Row],[Fiscal_Year]]&amp;"-"&amp;Table1[[#This Row],[BRAND]]</f>
        <v>-</v>
      </c>
      <c r="J2053" t="e">
        <f>VLOOKUP(H2053,DC_Xref!A:B,2,FALSE)</f>
        <v>#N/A</v>
      </c>
      <c r="K2053">
        <f t="shared" si="31"/>
        <v>0</v>
      </c>
      <c r="L20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3" s="3">
        <f>IFERROR(INDEX(Table3[#All],MATCH(Table1[[#This Row],[Key_Year_Week_Brand]],Table3[[#All],[Key_Year_Week_Brand]],0),MATCH(Table1[[#This Row],[DC_name_Xref]],Table3[#Headers],0)),0)</f>
        <v>0</v>
      </c>
      <c r="O2053" s="19">
        <f>IFERROR(INDEX(Table35[#All],MATCH(Table1[[#This Row],[Key_Year_Week_Brand]],Table35[[#All],[Key_Year_Month_Brand]],0),MATCH(Table1[[#This Row],[DC_name_Xref]],Table35[#Headers],0)),0)</f>
        <v>0</v>
      </c>
    </row>
    <row r="2054" spans="1:15" x14ac:dyDescent="0.3">
      <c r="A2054" s="19" t="e">
        <f>Table1[[#This Row],[Year_Week]]&amp;"-"&amp;Table1[[#This Row],[DC_name_Xref]]</f>
        <v>#N/A</v>
      </c>
      <c r="B2054" s="19" t="str">
        <f>Table1[[#This Row],[Fiscal_Year]]*100+Table1[[#This Row],[Fiscal_Week]] &amp; "-" &amp;Table1[[#This Row],[BRAND]]</f>
        <v>0-</v>
      </c>
      <c r="C2054" s="19" t="str">
        <f>Table1[[#This Row],[Fiscal_Year]]&amp;"-"&amp;Table1[[#This Row],[BRAND]]</f>
        <v>-</v>
      </c>
      <c r="J2054" t="e">
        <f>VLOOKUP(H2054,DC_Xref!A:B,2,FALSE)</f>
        <v>#N/A</v>
      </c>
      <c r="K2054">
        <f t="shared" ref="K2054:K2117" si="32">D2054*100+E2054</f>
        <v>0</v>
      </c>
      <c r="L20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4" s="3">
        <f>IFERROR(INDEX(Table3[#All],MATCH(Table1[[#This Row],[Key_Year_Week_Brand]],Table3[[#All],[Key_Year_Week_Brand]],0),MATCH(Table1[[#This Row],[DC_name_Xref]],Table3[#Headers],0)),0)</f>
        <v>0</v>
      </c>
      <c r="O2054" s="19">
        <f>IFERROR(INDEX(Table35[#All],MATCH(Table1[[#This Row],[Key_Year_Week_Brand]],Table35[[#All],[Key_Year_Month_Brand]],0),MATCH(Table1[[#This Row],[DC_name_Xref]],Table35[#Headers],0)),0)</f>
        <v>0</v>
      </c>
    </row>
    <row r="2055" spans="1:15" x14ac:dyDescent="0.3">
      <c r="A2055" s="19" t="e">
        <f>Table1[[#This Row],[Year_Week]]&amp;"-"&amp;Table1[[#This Row],[DC_name_Xref]]</f>
        <v>#N/A</v>
      </c>
      <c r="B2055" s="19" t="str">
        <f>Table1[[#This Row],[Fiscal_Year]]*100+Table1[[#This Row],[Fiscal_Week]] &amp; "-" &amp;Table1[[#This Row],[BRAND]]</f>
        <v>0-</v>
      </c>
      <c r="C2055" s="19" t="str">
        <f>Table1[[#This Row],[Fiscal_Year]]&amp;"-"&amp;Table1[[#This Row],[BRAND]]</f>
        <v>-</v>
      </c>
      <c r="J2055" t="e">
        <f>VLOOKUP(H2055,DC_Xref!A:B,2,FALSE)</f>
        <v>#N/A</v>
      </c>
      <c r="K2055">
        <f t="shared" si="32"/>
        <v>0</v>
      </c>
      <c r="L20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5" s="3">
        <f>IFERROR(INDEX(Table3[#All],MATCH(Table1[[#This Row],[Key_Year_Week_Brand]],Table3[[#All],[Key_Year_Week_Brand]],0),MATCH(Table1[[#This Row],[DC_name_Xref]],Table3[#Headers],0)),0)</f>
        <v>0</v>
      </c>
      <c r="O2055" s="19">
        <f>IFERROR(INDEX(Table35[#All],MATCH(Table1[[#This Row],[Key_Year_Week_Brand]],Table35[[#All],[Key_Year_Month_Brand]],0),MATCH(Table1[[#This Row],[DC_name_Xref]],Table35[#Headers],0)),0)</f>
        <v>0</v>
      </c>
    </row>
    <row r="2056" spans="1:15" x14ac:dyDescent="0.3">
      <c r="A2056" s="19" t="e">
        <f>Table1[[#This Row],[Year_Week]]&amp;"-"&amp;Table1[[#This Row],[DC_name_Xref]]</f>
        <v>#N/A</v>
      </c>
      <c r="B2056" s="19" t="str">
        <f>Table1[[#This Row],[Fiscal_Year]]*100+Table1[[#This Row],[Fiscal_Week]] &amp; "-" &amp;Table1[[#This Row],[BRAND]]</f>
        <v>0-</v>
      </c>
      <c r="C2056" s="19" t="str">
        <f>Table1[[#This Row],[Fiscal_Year]]&amp;"-"&amp;Table1[[#This Row],[BRAND]]</f>
        <v>-</v>
      </c>
      <c r="J2056" t="e">
        <f>VLOOKUP(H2056,DC_Xref!A:B,2,FALSE)</f>
        <v>#N/A</v>
      </c>
      <c r="K2056">
        <f t="shared" si="32"/>
        <v>0</v>
      </c>
      <c r="L20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6" s="3">
        <f>IFERROR(INDEX(Table3[#All],MATCH(Table1[[#This Row],[Key_Year_Week_Brand]],Table3[[#All],[Key_Year_Week_Brand]],0),MATCH(Table1[[#This Row],[DC_name_Xref]],Table3[#Headers],0)),0)</f>
        <v>0</v>
      </c>
      <c r="O2056" s="19">
        <f>IFERROR(INDEX(Table35[#All],MATCH(Table1[[#This Row],[Key_Year_Week_Brand]],Table35[[#All],[Key_Year_Month_Brand]],0),MATCH(Table1[[#This Row],[DC_name_Xref]],Table35[#Headers],0)),0)</f>
        <v>0</v>
      </c>
    </row>
    <row r="2057" spans="1:15" x14ac:dyDescent="0.3">
      <c r="A2057" s="19" t="e">
        <f>Table1[[#This Row],[Year_Week]]&amp;"-"&amp;Table1[[#This Row],[DC_name_Xref]]</f>
        <v>#N/A</v>
      </c>
      <c r="B2057" s="19" t="str">
        <f>Table1[[#This Row],[Fiscal_Year]]*100+Table1[[#This Row],[Fiscal_Week]] &amp; "-" &amp;Table1[[#This Row],[BRAND]]</f>
        <v>0-</v>
      </c>
      <c r="C2057" s="19" t="str">
        <f>Table1[[#This Row],[Fiscal_Year]]&amp;"-"&amp;Table1[[#This Row],[BRAND]]</f>
        <v>-</v>
      </c>
      <c r="J2057" t="e">
        <f>VLOOKUP(H2057,DC_Xref!A:B,2,FALSE)</f>
        <v>#N/A</v>
      </c>
      <c r="K2057">
        <f t="shared" si="32"/>
        <v>0</v>
      </c>
      <c r="L20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7" s="3">
        <f>IFERROR(INDEX(Table3[#All],MATCH(Table1[[#This Row],[Key_Year_Week_Brand]],Table3[[#All],[Key_Year_Week_Brand]],0),MATCH(Table1[[#This Row],[DC_name_Xref]],Table3[#Headers],0)),0)</f>
        <v>0</v>
      </c>
      <c r="O2057" s="19">
        <f>IFERROR(INDEX(Table35[#All],MATCH(Table1[[#This Row],[Key_Year_Week_Brand]],Table35[[#All],[Key_Year_Month_Brand]],0),MATCH(Table1[[#This Row],[DC_name_Xref]],Table35[#Headers],0)),0)</f>
        <v>0</v>
      </c>
    </row>
    <row r="2058" spans="1:15" x14ac:dyDescent="0.3">
      <c r="A2058" s="19" t="e">
        <f>Table1[[#This Row],[Year_Week]]&amp;"-"&amp;Table1[[#This Row],[DC_name_Xref]]</f>
        <v>#N/A</v>
      </c>
      <c r="B2058" s="19" t="str">
        <f>Table1[[#This Row],[Fiscal_Year]]*100+Table1[[#This Row],[Fiscal_Week]] &amp; "-" &amp;Table1[[#This Row],[BRAND]]</f>
        <v>0-</v>
      </c>
      <c r="C2058" s="19" t="str">
        <f>Table1[[#This Row],[Fiscal_Year]]&amp;"-"&amp;Table1[[#This Row],[BRAND]]</f>
        <v>-</v>
      </c>
      <c r="J2058" t="e">
        <f>VLOOKUP(H2058,DC_Xref!A:B,2,FALSE)</f>
        <v>#N/A</v>
      </c>
      <c r="K2058">
        <f t="shared" si="32"/>
        <v>0</v>
      </c>
      <c r="L20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8" s="3">
        <f>IFERROR(INDEX(Table3[#All],MATCH(Table1[[#This Row],[Key_Year_Week_Brand]],Table3[[#All],[Key_Year_Week_Brand]],0),MATCH(Table1[[#This Row],[DC_name_Xref]],Table3[#Headers],0)),0)</f>
        <v>0</v>
      </c>
      <c r="O2058" s="19">
        <f>IFERROR(INDEX(Table35[#All],MATCH(Table1[[#This Row],[Key_Year_Week_Brand]],Table35[[#All],[Key_Year_Month_Brand]],0),MATCH(Table1[[#This Row],[DC_name_Xref]],Table35[#Headers],0)),0)</f>
        <v>0</v>
      </c>
    </row>
    <row r="2059" spans="1:15" x14ac:dyDescent="0.3">
      <c r="A2059" s="19" t="e">
        <f>Table1[[#This Row],[Year_Week]]&amp;"-"&amp;Table1[[#This Row],[DC_name_Xref]]</f>
        <v>#N/A</v>
      </c>
      <c r="B2059" s="19" t="str">
        <f>Table1[[#This Row],[Fiscal_Year]]*100+Table1[[#This Row],[Fiscal_Week]] &amp; "-" &amp;Table1[[#This Row],[BRAND]]</f>
        <v>0-</v>
      </c>
      <c r="C2059" s="19" t="str">
        <f>Table1[[#This Row],[Fiscal_Year]]&amp;"-"&amp;Table1[[#This Row],[BRAND]]</f>
        <v>-</v>
      </c>
      <c r="J2059" t="e">
        <f>VLOOKUP(H2059,DC_Xref!A:B,2,FALSE)</f>
        <v>#N/A</v>
      </c>
      <c r="K2059">
        <f t="shared" si="32"/>
        <v>0</v>
      </c>
      <c r="L20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59" s="3">
        <f>IFERROR(INDEX(Table3[#All],MATCH(Table1[[#This Row],[Key_Year_Week_Brand]],Table3[[#All],[Key_Year_Week_Brand]],0),MATCH(Table1[[#This Row],[DC_name_Xref]],Table3[#Headers],0)),0)</f>
        <v>0</v>
      </c>
      <c r="O2059" s="19">
        <f>IFERROR(INDEX(Table35[#All],MATCH(Table1[[#This Row],[Key_Year_Week_Brand]],Table35[[#All],[Key_Year_Month_Brand]],0),MATCH(Table1[[#This Row],[DC_name_Xref]],Table35[#Headers],0)),0)</f>
        <v>0</v>
      </c>
    </row>
    <row r="2060" spans="1:15" x14ac:dyDescent="0.3">
      <c r="A2060" s="19" t="e">
        <f>Table1[[#This Row],[Year_Week]]&amp;"-"&amp;Table1[[#This Row],[DC_name_Xref]]</f>
        <v>#N/A</v>
      </c>
      <c r="B2060" s="19" t="str">
        <f>Table1[[#This Row],[Fiscal_Year]]*100+Table1[[#This Row],[Fiscal_Week]] &amp; "-" &amp;Table1[[#This Row],[BRAND]]</f>
        <v>0-</v>
      </c>
      <c r="C2060" s="19" t="str">
        <f>Table1[[#This Row],[Fiscal_Year]]&amp;"-"&amp;Table1[[#This Row],[BRAND]]</f>
        <v>-</v>
      </c>
      <c r="J2060" t="e">
        <f>VLOOKUP(H2060,DC_Xref!A:B,2,FALSE)</f>
        <v>#N/A</v>
      </c>
      <c r="K2060">
        <f t="shared" si="32"/>
        <v>0</v>
      </c>
      <c r="L20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0" s="3">
        <f>IFERROR(INDEX(Table3[#All],MATCH(Table1[[#This Row],[Key_Year_Week_Brand]],Table3[[#All],[Key_Year_Week_Brand]],0),MATCH(Table1[[#This Row],[DC_name_Xref]],Table3[#Headers],0)),0)</f>
        <v>0</v>
      </c>
      <c r="O2060" s="19">
        <f>IFERROR(INDEX(Table35[#All],MATCH(Table1[[#This Row],[Key_Year_Week_Brand]],Table35[[#All],[Key_Year_Month_Brand]],0),MATCH(Table1[[#This Row],[DC_name_Xref]],Table35[#Headers],0)),0)</f>
        <v>0</v>
      </c>
    </row>
    <row r="2061" spans="1:15" x14ac:dyDescent="0.3">
      <c r="A2061" s="19" t="e">
        <f>Table1[[#This Row],[Year_Week]]&amp;"-"&amp;Table1[[#This Row],[DC_name_Xref]]</f>
        <v>#N/A</v>
      </c>
      <c r="B2061" s="19" t="str">
        <f>Table1[[#This Row],[Fiscal_Year]]*100+Table1[[#This Row],[Fiscal_Week]] &amp; "-" &amp;Table1[[#This Row],[BRAND]]</f>
        <v>0-</v>
      </c>
      <c r="C2061" s="19" t="str">
        <f>Table1[[#This Row],[Fiscal_Year]]&amp;"-"&amp;Table1[[#This Row],[BRAND]]</f>
        <v>-</v>
      </c>
      <c r="J2061" t="e">
        <f>VLOOKUP(H2061,DC_Xref!A:B,2,FALSE)</f>
        <v>#N/A</v>
      </c>
      <c r="K2061">
        <f t="shared" si="32"/>
        <v>0</v>
      </c>
      <c r="L20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1" s="3">
        <f>IFERROR(INDEX(Table3[#All],MATCH(Table1[[#This Row],[Key_Year_Week_Brand]],Table3[[#All],[Key_Year_Week_Brand]],0),MATCH(Table1[[#This Row],[DC_name_Xref]],Table3[#Headers],0)),0)</f>
        <v>0</v>
      </c>
      <c r="O2061" s="19">
        <f>IFERROR(INDEX(Table35[#All],MATCH(Table1[[#This Row],[Key_Year_Week_Brand]],Table35[[#All],[Key_Year_Month_Brand]],0),MATCH(Table1[[#This Row],[DC_name_Xref]],Table35[#Headers],0)),0)</f>
        <v>0</v>
      </c>
    </row>
    <row r="2062" spans="1:15" x14ac:dyDescent="0.3">
      <c r="A2062" s="19" t="e">
        <f>Table1[[#This Row],[Year_Week]]&amp;"-"&amp;Table1[[#This Row],[DC_name_Xref]]</f>
        <v>#N/A</v>
      </c>
      <c r="B2062" s="19" t="str">
        <f>Table1[[#This Row],[Fiscal_Year]]*100+Table1[[#This Row],[Fiscal_Week]] &amp; "-" &amp;Table1[[#This Row],[BRAND]]</f>
        <v>0-</v>
      </c>
      <c r="C2062" s="19" t="str">
        <f>Table1[[#This Row],[Fiscal_Year]]&amp;"-"&amp;Table1[[#This Row],[BRAND]]</f>
        <v>-</v>
      </c>
      <c r="J2062" t="e">
        <f>VLOOKUP(H2062,DC_Xref!A:B,2,FALSE)</f>
        <v>#N/A</v>
      </c>
      <c r="K2062">
        <f t="shared" si="32"/>
        <v>0</v>
      </c>
      <c r="L20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2" s="3">
        <f>IFERROR(INDEX(Table3[#All],MATCH(Table1[[#This Row],[Key_Year_Week_Brand]],Table3[[#All],[Key_Year_Week_Brand]],0),MATCH(Table1[[#This Row],[DC_name_Xref]],Table3[#Headers],0)),0)</f>
        <v>0</v>
      </c>
      <c r="O2062" s="19">
        <f>IFERROR(INDEX(Table35[#All],MATCH(Table1[[#This Row],[Key_Year_Week_Brand]],Table35[[#All],[Key_Year_Month_Brand]],0),MATCH(Table1[[#This Row],[DC_name_Xref]],Table35[#Headers],0)),0)</f>
        <v>0</v>
      </c>
    </row>
    <row r="2063" spans="1:15" x14ac:dyDescent="0.3">
      <c r="A2063" s="19" t="e">
        <f>Table1[[#This Row],[Year_Week]]&amp;"-"&amp;Table1[[#This Row],[DC_name_Xref]]</f>
        <v>#N/A</v>
      </c>
      <c r="B2063" s="19" t="str">
        <f>Table1[[#This Row],[Fiscal_Year]]*100+Table1[[#This Row],[Fiscal_Week]] &amp; "-" &amp;Table1[[#This Row],[BRAND]]</f>
        <v>0-</v>
      </c>
      <c r="C2063" s="19" t="str">
        <f>Table1[[#This Row],[Fiscal_Year]]&amp;"-"&amp;Table1[[#This Row],[BRAND]]</f>
        <v>-</v>
      </c>
      <c r="J2063" t="e">
        <f>VLOOKUP(H2063,DC_Xref!A:B,2,FALSE)</f>
        <v>#N/A</v>
      </c>
      <c r="K2063">
        <f t="shared" si="32"/>
        <v>0</v>
      </c>
      <c r="L20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3" s="3">
        <f>IFERROR(INDEX(Table3[#All],MATCH(Table1[[#This Row],[Key_Year_Week_Brand]],Table3[[#All],[Key_Year_Week_Brand]],0),MATCH(Table1[[#This Row],[DC_name_Xref]],Table3[#Headers],0)),0)</f>
        <v>0</v>
      </c>
      <c r="O2063" s="19">
        <f>IFERROR(INDEX(Table35[#All],MATCH(Table1[[#This Row],[Key_Year_Week_Brand]],Table35[[#All],[Key_Year_Month_Brand]],0),MATCH(Table1[[#This Row],[DC_name_Xref]],Table35[#Headers],0)),0)</f>
        <v>0</v>
      </c>
    </row>
    <row r="2064" spans="1:15" x14ac:dyDescent="0.3">
      <c r="A2064" s="19" t="e">
        <f>Table1[[#This Row],[Year_Week]]&amp;"-"&amp;Table1[[#This Row],[DC_name_Xref]]</f>
        <v>#N/A</v>
      </c>
      <c r="B2064" s="19" t="str">
        <f>Table1[[#This Row],[Fiscal_Year]]*100+Table1[[#This Row],[Fiscal_Week]] &amp; "-" &amp;Table1[[#This Row],[BRAND]]</f>
        <v>0-</v>
      </c>
      <c r="C2064" s="19" t="str">
        <f>Table1[[#This Row],[Fiscal_Year]]&amp;"-"&amp;Table1[[#This Row],[BRAND]]</f>
        <v>-</v>
      </c>
      <c r="J2064" t="e">
        <f>VLOOKUP(H2064,DC_Xref!A:B,2,FALSE)</f>
        <v>#N/A</v>
      </c>
      <c r="K2064">
        <f t="shared" si="32"/>
        <v>0</v>
      </c>
      <c r="L20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4" s="3">
        <f>IFERROR(INDEX(Table3[#All],MATCH(Table1[[#This Row],[Key_Year_Week_Brand]],Table3[[#All],[Key_Year_Week_Brand]],0),MATCH(Table1[[#This Row],[DC_name_Xref]],Table3[#Headers],0)),0)</f>
        <v>0</v>
      </c>
      <c r="O2064" s="19">
        <f>IFERROR(INDEX(Table35[#All],MATCH(Table1[[#This Row],[Key_Year_Week_Brand]],Table35[[#All],[Key_Year_Month_Brand]],0),MATCH(Table1[[#This Row],[DC_name_Xref]],Table35[#Headers],0)),0)</f>
        <v>0</v>
      </c>
    </row>
    <row r="2065" spans="1:15" x14ac:dyDescent="0.3">
      <c r="A2065" s="19" t="e">
        <f>Table1[[#This Row],[Year_Week]]&amp;"-"&amp;Table1[[#This Row],[DC_name_Xref]]</f>
        <v>#N/A</v>
      </c>
      <c r="B2065" s="19" t="str">
        <f>Table1[[#This Row],[Fiscal_Year]]*100+Table1[[#This Row],[Fiscal_Week]] &amp; "-" &amp;Table1[[#This Row],[BRAND]]</f>
        <v>0-</v>
      </c>
      <c r="C2065" s="19" t="str">
        <f>Table1[[#This Row],[Fiscal_Year]]&amp;"-"&amp;Table1[[#This Row],[BRAND]]</f>
        <v>-</v>
      </c>
      <c r="J2065" t="e">
        <f>VLOOKUP(H2065,DC_Xref!A:B,2,FALSE)</f>
        <v>#N/A</v>
      </c>
      <c r="K2065">
        <f t="shared" si="32"/>
        <v>0</v>
      </c>
      <c r="L20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5" s="3">
        <f>IFERROR(INDEX(Table3[#All],MATCH(Table1[[#This Row],[Key_Year_Week_Brand]],Table3[[#All],[Key_Year_Week_Brand]],0),MATCH(Table1[[#This Row],[DC_name_Xref]],Table3[#Headers],0)),0)</f>
        <v>0</v>
      </c>
      <c r="O2065" s="19">
        <f>IFERROR(INDEX(Table35[#All],MATCH(Table1[[#This Row],[Key_Year_Week_Brand]],Table35[[#All],[Key_Year_Month_Brand]],0),MATCH(Table1[[#This Row],[DC_name_Xref]],Table35[#Headers],0)),0)</f>
        <v>0</v>
      </c>
    </row>
    <row r="2066" spans="1:15" x14ac:dyDescent="0.3">
      <c r="A2066" s="19" t="e">
        <f>Table1[[#This Row],[Year_Week]]&amp;"-"&amp;Table1[[#This Row],[DC_name_Xref]]</f>
        <v>#N/A</v>
      </c>
      <c r="B2066" s="19" t="str">
        <f>Table1[[#This Row],[Fiscal_Year]]*100+Table1[[#This Row],[Fiscal_Week]] &amp; "-" &amp;Table1[[#This Row],[BRAND]]</f>
        <v>0-</v>
      </c>
      <c r="C2066" s="19" t="str">
        <f>Table1[[#This Row],[Fiscal_Year]]&amp;"-"&amp;Table1[[#This Row],[BRAND]]</f>
        <v>-</v>
      </c>
      <c r="J2066" t="e">
        <f>VLOOKUP(H2066,DC_Xref!A:B,2,FALSE)</f>
        <v>#N/A</v>
      </c>
      <c r="K2066">
        <f t="shared" si="32"/>
        <v>0</v>
      </c>
      <c r="L20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6" s="3">
        <f>IFERROR(INDEX(Table3[#All],MATCH(Table1[[#This Row],[Key_Year_Week_Brand]],Table3[[#All],[Key_Year_Week_Brand]],0),MATCH(Table1[[#This Row],[DC_name_Xref]],Table3[#Headers],0)),0)</f>
        <v>0</v>
      </c>
      <c r="O2066" s="19">
        <f>IFERROR(INDEX(Table35[#All],MATCH(Table1[[#This Row],[Key_Year_Week_Brand]],Table35[[#All],[Key_Year_Month_Brand]],0),MATCH(Table1[[#This Row],[DC_name_Xref]],Table35[#Headers],0)),0)</f>
        <v>0</v>
      </c>
    </row>
    <row r="2067" spans="1:15" x14ac:dyDescent="0.3">
      <c r="A2067" s="19" t="e">
        <f>Table1[[#This Row],[Year_Week]]&amp;"-"&amp;Table1[[#This Row],[DC_name_Xref]]</f>
        <v>#N/A</v>
      </c>
      <c r="B2067" s="19" t="str">
        <f>Table1[[#This Row],[Fiscal_Year]]*100+Table1[[#This Row],[Fiscal_Week]] &amp; "-" &amp;Table1[[#This Row],[BRAND]]</f>
        <v>0-</v>
      </c>
      <c r="C2067" s="19" t="str">
        <f>Table1[[#This Row],[Fiscal_Year]]&amp;"-"&amp;Table1[[#This Row],[BRAND]]</f>
        <v>-</v>
      </c>
      <c r="J2067" t="e">
        <f>VLOOKUP(H2067,DC_Xref!A:B,2,FALSE)</f>
        <v>#N/A</v>
      </c>
      <c r="K2067">
        <f t="shared" si="32"/>
        <v>0</v>
      </c>
      <c r="L20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7" s="3">
        <f>IFERROR(INDEX(Table3[#All],MATCH(Table1[[#This Row],[Key_Year_Week_Brand]],Table3[[#All],[Key_Year_Week_Brand]],0),MATCH(Table1[[#This Row],[DC_name_Xref]],Table3[#Headers],0)),0)</f>
        <v>0</v>
      </c>
      <c r="O2067" s="19">
        <f>IFERROR(INDEX(Table35[#All],MATCH(Table1[[#This Row],[Key_Year_Week_Brand]],Table35[[#All],[Key_Year_Month_Brand]],0),MATCH(Table1[[#This Row],[DC_name_Xref]],Table35[#Headers],0)),0)</f>
        <v>0</v>
      </c>
    </row>
    <row r="2068" spans="1:15" x14ac:dyDescent="0.3">
      <c r="A2068" s="19" t="e">
        <f>Table1[[#This Row],[Year_Week]]&amp;"-"&amp;Table1[[#This Row],[DC_name_Xref]]</f>
        <v>#N/A</v>
      </c>
      <c r="B2068" s="19" t="str">
        <f>Table1[[#This Row],[Fiscal_Year]]*100+Table1[[#This Row],[Fiscal_Week]] &amp; "-" &amp;Table1[[#This Row],[BRAND]]</f>
        <v>0-</v>
      </c>
      <c r="C2068" s="19" t="str">
        <f>Table1[[#This Row],[Fiscal_Year]]&amp;"-"&amp;Table1[[#This Row],[BRAND]]</f>
        <v>-</v>
      </c>
      <c r="J2068" t="e">
        <f>VLOOKUP(H2068,DC_Xref!A:B,2,FALSE)</f>
        <v>#N/A</v>
      </c>
      <c r="K2068">
        <f t="shared" si="32"/>
        <v>0</v>
      </c>
      <c r="L20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8" s="3">
        <f>IFERROR(INDEX(Table3[#All],MATCH(Table1[[#This Row],[Key_Year_Week_Brand]],Table3[[#All],[Key_Year_Week_Brand]],0),MATCH(Table1[[#This Row],[DC_name_Xref]],Table3[#Headers],0)),0)</f>
        <v>0</v>
      </c>
      <c r="O2068" s="19">
        <f>IFERROR(INDEX(Table35[#All],MATCH(Table1[[#This Row],[Key_Year_Week_Brand]],Table35[[#All],[Key_Year_Month_Brand]],0),MATCH(Table1[[#This Row],[DC_name_Xref]],Table35[#Headers],0)),0)</f>
        <v>0</v>
      </c>
    </row>
    <row r="2069" spans="1:15" x14ac:dyDescent="0.3">
      <c r="A2069" s="19" t="e">
        <f>Table1[[#This Row],[Year_Week]]&amp;"-"&amp;Table1[[#This Row],[DC_name_Xref]]</f>
        <v>#N/A</v>
      </c>
      <c r="B2069" s="19" t="str">
        <f>Table1[[#This Row],[Fiscal_Year]]*100+Table1[[#This Row],[Fiscal_Week]] &amp; "-" &amp;Table1[[#This Row],[BRAND]]</f>
        <v>0-</v>
      </c>
      <c r="C2069" s="19" t="str">
        <f>Table1[[#This Row],[Fiscal_Year]]&amp;"-"&amp;Table1[[#This Row],[BRAND]]</f>
        <v>-</v>
      </c>
      <c r="J2069" t="e">
        <f>VLOOKUP(H2069,DC_Xref!A:B,2,FALSE)</f>
        <v>#N/A</v>
      </c>
      <c r="K2069">
        <f t="shared" si="32"/>
        <v>0</v>
      </c>
      <c r="L20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69" s="3">
        <f>IFERROR(INDEX(Table3[#All],MATCH(Table1[[#This Row],[Key_Year_Week_Brand]],Table3[[#All],[Key_Year_Week_Brand]],0),MATCH(Table1[[#This Row],[DC_name_Xref]],Table3[#Headers],0)),0)</f>
        <v>0</v>
      </c>
      <c r="O2069" s="19">
        <f>IFERROR(INDEX(Table35[#All],MATCH(Table1[[#This Row],[Key_Year_Week_Brand]],Table35[[#All],[Key_Year_Month_Brand]],0),MATCH(Table1[[#This Row],[DC_name_Xref]],Table35[#Headers],0)),0)</f>
        <v>0</v>
      </c>
    </row>
    <row r="2070" spans="1:15" x14ac:dyDescent="0.3">
      <c r="A2070" s="19" t="e">
        <f>Table1[[#This Row],[Year_Week]]&amp;"-"&amp;Table1[[#This Row],[DC_name_Xref]]</f>
        <v>#N/A</v>
      </c>
      <c r="B2070" s="19" t="str">
        <f>Table1[[#This Row],[Fiscal_Year]]*100+Table1[[#This Row],[Fiscal_Week]] &amp; "-" &amp;Table1[[#This Row],[BRAND]]</f>
        <v>0-</v>
      </c>
      <c r="C2070" s="19" t="str">
        <f>Table1[[#This Row],[Fiscal_Year]]&amp;"-"&amp;Table1[[#This Row],[BRAND]]</f>
        <v>-</v>
      </c>
      <c r="J2070" t="e">
        <f>VLOOKUP(H2070,DC_Xref!A:B,2,FALSE)</f>
        <v>#N/A</v>
      </c>
      <c r="K2070">
        <f t="shared" si="32"/>
        <v>0</v>
      </c>
      <c r="L20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0" s="3">
        <f>IFERROR(INDEX(Table3[#All],MATCH(Table1[[#This Row],[Key_Year_Week_Brand]],Table3[[#All],[Key_Year_Week_Brand]],0),MATCH(Table1[[#This Row],[DC_name_Xref]],Table3[#Headers],0)),0)</f>
        <v>0</v>
      </c>
      <c r="O2070" s="19">
        <f>IFERROR(INDEX(Table35[#All],MATCH(Table1[[#This Row],[Key_Year_Week_Brand]],Table35[[#All],[Key_Year_Month_Brand]],0),MATCH(Table1[[#This Row],[DC_name_Xref]],Table35[#Headers],0)),0)</f>
        <v>0</v>
      </c>
    </row>
    <row r="2071" spans="1:15" x14ac:dyDescent="0.3">
      <c r="A2071" s="19" t="e">
        <f>Table1[[#This Row],[Year_Week]]&amp;"-"&amp;Table1[[#This Row],[DC_name_Xref]]</f>
        <v>#N/A</v>
      </c>
      <c r="B2071" s="19" t="str">
        <f>Table1[[#This Row],[Fiscal_Year]]*100+Table1[[#This Row],[Fiscal_Week]] &amp; "-" &amp;Table1[[#This Row],[BRAND]]</f>
        <v>0-</v>
      </c>
      <c r="C2071" s="19" t="str">
        <f>Table1[[#This Row],[Fiscal_Year]]&amp;"-"&amp;Table1[[#This Row],[BRAND]]</f>
        <v>-</v>
      </c>
      <c r="J2071" t="e">
        <f>VLOOKUP(H2071,DC_Xref!A:B,2,FALSE)</f>
        <v>#N/A</v>
      </c>
      <c r="K2071">
        <f t="shared" si="32"/>
        <v>0</v>
      </c>
      <c r="L20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1" s="3">
        <f>IFERROR(INDEX(Table3[#All],MATCH(Table1[[#This Row],[Key_Year_Week_Brand]],Table3[[#All],[Key_Year_Week_Brand]],0),MATCH(Table1[[#This Row],[DC_name_Xref]],Table3[#Headers],0)),0)</f>
        <v>0</v>
      </c>
      <c r="O2071" s="19">
        <f>IFERROR(INDEX(Table35[#All],MATCH(Table1[[#This Row],[Key_Year_Week_Brand]],Table35[[#All],[Key_Year_Month_Brand]],0),MATCH(Table1[[#This Row],[DC_name_Xref]],Table35[#Headers],0)),0)</f>
        <v>0</v>
      </c>
    </row>
    <row r="2072" spans="1:15" x14ac:dyDescent="0.3">
      <c r="A2072" s="19" t="e">
        <f>Table1[[#This Row],[Year_Week]]&amp;"-"&amp;Table1[[#This Row],[DC_name_Xref]]</f>
        <v>#N/A</v>
      </c>
      <c r="B2072" s="19" t="str">
        <f>Table1[[#This Row],[Fiscal_Year]]*100+Table1[[#This Row],[Fiscal_Week]] &amp; "-" &amp;Table1[[#This Row],[BRAND]]</f>
        <v>0-</v>
      </c>
      <c r="C2072" s="19" t="str">
        <f>Table1[[#This Row],[Fiscal_Year]]&amp;"-"&amp;Table1[[#This Row],[BRAND]]</f>
        <v>-</v>
      </c>
      <c r="J2072" t="e">
        <f>VLOOKUP(H2072,DC_Xref!A:B,2,FALSE)</f>
        <v>#N/A</v>
      </c>
      <c r="K2072">
        <f t="shared" si="32"/>
        <v>0</v>
      </c>
      <c r="L20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2" s="3">
        <f>IFERROR(INDEX(Table3[#All],MATCH(Table1[[#This Row],[Key_Year_Week_Brand]],Table3[[#All],[Key_Year_Week_Brand]],0),MATCH(Table1[[#This Row],[DC_name_Xref]],Table3[#Headers],0)),0)</f>
        <v>0</v>
      </c>
      <c r="O2072" s="19">
        <f>IFERROR(INDEX(Table35[#All],MATCH(Table1[[#This Row],[Key_Year_Week_Brand]],Table35[[#All],[Key_Year_Month_Brand]],0),MATCH(Table1[[#This Row],[DC_name_Xref]],Table35[#Headers],0)),0)</f>
        <v>0</v>
      </c>
    </row>
    <row r="2073" spans="1:15" x14ac:dyDescent="0.3">
      <c r="A2073" s="19" t="e">
        <f>Table1[[#This Row],[Year_Week]]&amp;"-"&amp;Table1[[#This Row],[DC_name_Xref]]</f>
        <v>#N/A</v>
      </c>
      <c r="B2073" s="19" t="str">
        <f>Table1[[#This Row],[Fiscal_Year]]*100+Table1[[#This Row],[Fiscal_Week]] &amp; "-" &amp;Table1[[#This Row],[BRAND]]</f>
        <v>0-</v>
      </c>
      <c r="C2073" s="19" t="str">
        <f>Table1[[#This Row],[Fiscal_Year]]&amp;"-"&amp;Table1[[#This Row],[BRAND]]</f>
        <v>-</v>
      </c>
      <c r="J2073" t="e">
        <f>VLOOKUP(H2073,DC_Xref!A:B,2,FALSE)</f>
        <v>#N/A</v>
      </c>
      <c r="K2073">
        <f t="shared" si="32"/>
        <v>0</v>
      </c>
      <c r="L20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3" s="3">
        <f>IFERROR(INDEX(Table3[#All],MATCH(Table1[[#This Row],[Key_Year_Week_Brand]],Table3[[#All],[Key_Year_Week_Brand]],0),MATCH(Table1[[#This Row],[DC_name_Xref]],Table3[#Headers],0)),0)</f>
        <v>0</v>
      </c>
      <c r="O2073" s="19">
        <f>IFERROR(INDEX(Table35[#All],MATCH(Table1[[#This Row],[Key_Year_Week_Brand]],Table35[[#All],[Key_Year_Month_Brand]],0),MATCH(Table1[[#This Row],[DC_name_Xref]],Table35[#Headers],0)),0)</f>
        <v>0</v>
      </c>
    </row>
    <row r="2074" spans="1:15" x14ac:dyDescent="0.3">
      <c r="A2074" s="19" t="e">
        <f>Table1[[#This Row],[Year_Week]]&amp;"-"&amp;Table1[[#This Row],[DC_name_Xref]]</f>
        <v>#N/A</v>
      </c>
      <c r="B2074" s="19" t="str">
        <f>Table1[[#This Row],[Fiscal_Year]]*100+Table1[[#This Row],[Fiscal_Week]] &amp; "-" &amp;Table1[[#This Row],[BRAND]]</f>
        <v>0-</v>
      </c>
      <c r="C2074" s="19" t="str">
        <f>Table1[[#This Row],[Fiscal_Year]]&amp;"-"&amp;Table1[[#This Row],[BRAND]]</f>
        <v>-</v>
      </c>
      <c r="J2074" t="e">
        <f>VLOOKUP(H2074,DC_Xref!A:B,2,FALSE)</f>
        <v>#N/A</v>
      </c>
      <c r="K2074">
        <f t="shared" si="32"/>
        <v>0</v>
      </c>
      <c r="L20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4" s="3">
        <f>IFERROR(INDEX(Table3[#All],MATCH(Table1[[#This Row],[Key_Year_Week_Brand]],Table3[[#All],[Key_Year_Week_Brand]],0),MATCH(Table1[[#This Row],[DC_name_Xref]],Table3[#Headers],0)),0)</f>
        <v>0</v>
      </c>
      <c r="O2074" s="19">
        <f>IFERROR(INDEX(Table35[#All],MATCH(Table1[[#This Row],[Key_Year_Week_Brand]],Table35[[#All],[Key_Year_Month_Brand]],0),MATCH(Table1[[#This Row],[DC_name_Xref]],Table35[#Headers],0)),0)</f>
        <v>0</v>
      </c>
    </row>
    <row r="2075" spans="1:15" x14ac:dyDescent="0.3">
      <c r="A2075" s="19" t="e">
        <f>Table1[[#This Row],[Year_Week]]&amp;"-"&amp;Table1[[#This Row],[DC_name_Xref]]</f>
        <v>#N/A</v>
      </c>
      <c r="B2075" s="19" t="str">
        <f>Table1[[#This Row],[Fiscal_Year]]*100+Table1[[#This Row],[Fiscal_Week]] &amp; "-" &amp;Table1[[#This Row],[BRAND]]</f>
        <v>0-</v>
      </c>
      <c r="C2075" s="19" t="str">
        <f>Table1[[#This Row],[Fiscal_Year]]&amp;"-"&amp;Table1[[#This Row],[BRAND]]</f>
        <v>-</v>
      </c>
      <c r="J2075" t="e">
        <f>VLOOKUP(H2075,DC_Xref!A:B,2,FALSE)</f>
        <v>#N/A</v>
      </c>
      <c r="K2075">
        <f t="shared" si="32"/>
        <v>0</v>
      </c>
      <c r="L20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5" s="3">
        <f>IFERROR(INDEX(Table3[#All],MATCH(Table1[[#This Row],[Key_Year_Week_Brand]],Table3[[#All],[Key_Year_Week_Brand]],0),MATCH(Table1[[#This Row],[DC_name_Xref]],Table3[#Headers],0)),0)</f>
        <v>0</v>
      </c>
      <c r="O2075" s="19">
        <f>IFERROR(INDEX(Table35[#All],MATCH(Table1[[#This Row],[Key_Year_Week_Brand]],Table35[[#All],[Key_Year_Month_Brand]],0),MATCH(Table1[[#This Row],[DC_name_Xref]],Table35[#Headers],0)),0)</f>
        <v>0</v>
      </c>
    </row>
    <row r="2076" spans="1:15" x14ac:dyDescent="0.3">
      <c r="A2076" s="19" t="e">
        <f>Table1[[#This Row],[Year_Week]]&amp;"-"&amp;Table1[[#This Row],[DC_name_Xref]]</f>
        <v>#N/A</v>
      </c>
      <c r="B2076" s="19" t="str">
        <f>Table1[[#This Row],[Fiscal_Year]]*100+Table1[[#This Row],[Fiscal_Week]] &amp; "-" &amp;Table1[[#This Row],[BRAND]]</f>
        <v>0-</v>
      </c>
      <c r="C2076" s="19" t="str">
        <f>Table1[[#This Row],[Fiscal_Year]]&amp;"-"&amp;Table1[[#This Row],[BRAND]]</f>
        <v>-</v>
      </c>
      <c r="J2076" t="e">
        <f>VLOOKUP(H2076,DC_Xref!A:B,2,FALSE)</f>
        <v>#N/A</v>
      </c>
      <c r="K2076">
        <f t="shared" si="32"/>
        <v>0</v>
      </c>
      <c r="L20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6" s="3">
        <f>IFERROR(INDEX(Table3[#All],MATCH(Table1[[#This Row],[Key_Year_Week_Brand]],Table3[[#All],[Key_Year_Week_Brand]],0),MATCH(Table1[[#This Row],[DC_name_Xref]],Table3[#Headers],0)),0)</f>
        <v>0</v>
      </c>
      <c r="O2076" s="19">
        <f>IFERROR(INDEX(Table35[#All],MATCH(Table1[[#This Row],[Key_Year_Week_Brand]],Table35[[#All],[Key_Year_Month_Brand]],0),MATCH(Table1[[#This Row],[DC_name_Xref]],Table35[#Headers],0)),0)</f>
        <v>0</v>
      </c>
    </row>
    <row r="2077" spans="1:15" x14ac:dyDescent="0.3">
      <c r="A2077" s="19" t="e">
        <f>Table1[[#This Row],[Year_Week]]&amp;"-"&amp;Table1[[#This Row],[DC_name_Xref]]</f>
        <v>#N/A</v>
      </c>
      <c r="B2077" s="19" t="str">
        <f>Table1[[#This Row],[Fiscal_Year]]*100+Table1[[#This Row],[Fiscal_Week]] &amp; "-" &amp;Table1[[#This Row],[BRAND]]</f>
        <v>0-</v>
      </c>
      <c r="C2077" s="19" t="str">
        <f>Table1[[#This Row],[Fiscal_Year]]&amp;"-"&amp;Table1[[#This Row],[BRAND]]</f>
        <v>-</v>
      </c>
      <c r="J2077" t="e">
        <f>VLOOKUP(H2077,DC_Xref!A:B,2,FALSE)</f>
        <v>#N/A</v>
      </c>
      <c r="K2077">
        <f t="shared" si="32"/>
        <v>0</v>
      </c>
      <c r="L20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7" s="3">
        <f>IFERROR(INDEX(Table3[#All],MATCH(Table1[[#This Row],[Key_Year_Week_Brand]],Table3[[#All],[Key_Year_Week_Brand]],0),MATCH(Table1[[#This Row],[DC_name_Xref]],Table3[#Headers],0)),0)</f>
        <v>0</v>
      </c>
      <c r="O2077" s="19">
        <f>IFERROR(INDEX(Table35[#All],MATCH(Table1[[#This Row],[Key_Year_Week_Brand]],Table35[[#All],[Key_Year_Month_Brand]],0),MATCH(Table1[[#This Row],[DC_name_Xref]],Table35[#Headers],0)),0)</f>
        <v>0</v>
      </c>
    </row>
    <row r="2078" spans="1:15" x14ac:dyDescent="0.3">
      <c r="A2078" s="19" t="e">
        <f>Table1[[#This Row],[Year_Week]]&amp;"-"&amp;Table1[[#This Row],[DC_name_Xref]]</f>
        <v>#N/A</v>
      </c>
      <c r="B2078" s="19" t="str">
        <f>Table1[[#This Row],[Fiscal_Year]]*100+Table1[[#This Row],[Fiscal_Week]] &amp; "-" &amp;Table1[[#This Row],[BRAND]]</f>
        <v>0-</v>
      </c>
      <c r="C2078" s="19" t="str">
        <f>Table1[[#This Row],[Fiscal_Year]]&amp;"-"&amp;Table1[[#This Row],[BRAND]]</f>
        <v>-</v>
      </c>
      <c r="J2078" t="e">
        <f>VLOOKUP(H2078,DC_Xref!A:B,2,FALSE)</f>
        <v>#N/A</v>
      </c>
      <c r="K2078">
        <f t="shared" si="32"/>
        <v>0</v>
      </c>
      <c r="L20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8" s="3">
        <f>IFERROR(INDEX(Table3[#All],MATCH(Table1[[#This Row],[Key_Year_Week_Brand]],Table3[[#All],[Key_Year_Week_Brand]],0),MATCH(Table1[[#This Row],[DC_name_Xref]],Table3[#Headers],0)),0)</f>
        <v>0</v>
      </c>
      <c r="O2078" s="19">
        <f>IFERROR(INDEX(Table35[#All],MATCH(Table1[[#This Row],[Key_Year_Week_Brand]],Table35[[#All],[Key_Year_Month_Brand]],0),MATCH(Table1[[#This Row],[DC_name_Xref]],Table35[#Headers],0)),0)</f>
        <v>0</v>
      </c>
    </row>
    <row r="2079" spans="1:15" x14ac:dyDescent="0.3">
      <c r="A2079" s="19" t="e">
        <f>Table1[[#This Row],[Year_Week]]&amp;"-"&amp;Table1[[#This Row],[DC_name_Xref]]</f>
        <v>#N/A</v>
      </c>
      <c r="B2079" s="19" t="str">
        <f>Table1[[#This Row],[Fiscal_Year]]*100+Table1[[#This Row],[Fiscal_Week]] &amp; "-" &amp;Table1[[#This Row],[BRAND]]</f>
        <v>0-</v>
      </c>
      <c r="C2079" s="19" t="str">
        <f>Table1[[#This Row],[Fiscal_Year]]&amp;"-"&amp;Table1[[#This Row],[BRAND]]</f>
        <v>-</v>
      </c>
      <c r="J2079" t="e">
        <f>VLOOKUP(H2079,DC_Xref!A:B,2,FALSE)</f>
        <v>#N/A</v>
      </c>
      <c r="K2079">
        <f t="shared" si="32"/>
        <v>0</v>
      </c>
      <c r="L20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79" s="3">
        <f>IFERROR(INDEX(Table3[#All],MATCH(Table1[[#This Row],[Key_Year_Week_Brand]],Table3[[#All],[Key_Year_Week_Brand]],0),MATCH(Table1[[#This Row],[DC_name_Xref]],Table3[#Headers],0)),0)</f>
        <v>0</v>
      </c>
      <c r="O2079" s="19">
        <f>IFERROR(INDEX(Table35[#All],MATCH(Table1[[#This Row],[Key_Year_Week_Brand]],Table35[[#All],[Key_Year_Month_Brand]],0),MATCH(Table1[[#This Row],[DC_name_Xref]],Table35[#Headers],0)),0)</f>
        <v>0</v>
      </c>
    </row>
    <row r="2080" spans="1:15" x14ac:dyDescent="0.3">
      <c r="A2080" s="19" t="e">
        <f>Table1[[#This Row],[Year_Week]]&amp;"-"&amp;Table1[[#This Row],[DC_name_Xref]]</f>
        <v>#N/A</v>
      </c>
      <c r="B2080" s="19" t="str">
        <f>Table1[[#This Row],[Fiscal_Year]]*100+Table1[[#This Row],[Fiscal_Week]] &amp; "-" &amp;Table1[[#This Row],[BRAND]]</f>
        <v>0-</v>
      </c>
      <c r="C2080" s="19" t="str">
        <f>Table1[[#This Row],[Fiscal_Year]]&amp;"-"&amp;Table1[[#This Row],[BRAND]]</f>
        <v>-</v>
      </c>
      <c r="J2080" t="e">
        <f>VLOOKUP(H2080,DC_Xref!A:B,2,FALSE)</f>
        <v>#N/A</v>
      </c>
      <c r="K2080">
        <f t="shared" si="32"/>
        <v>0</v>
      </c>
      <c r="L20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0" s="3">
        <f>IFERROR(INDEX(Table3[#All],MATCH(Table1[[#This Row],[Key_Year_Week_Brand]],Table3[[#All],[Key_Year_Week_Brand]],0),MATCH(Table1[[#This Row],[DC_name_Xref]],Table3[#Headers],0)),0)</f>
        <v>0</v>
      </c>
      <c r="O2080" s="19">
        <f>IFERROR(INDEX(Table35[#All],MATCH(Table1[[#This Row],[Key_Year_Week_Brand]],Table35[[#All],[Key_Year_Month_Brand]],0),MATCH(Table1[[#This Row],[DC_name_Xref]],Table35[#Headers],0)),0)</f>
        <v>0</v>
      </c>
    </row>
    <row r="2081" spans="1:15" x14ac:dyDescent="0.3">
      <c r="A2081" s="19" t="e">
        <f>Table1[[#This Row],[Year_Week]]&amp;"-"&amp;Table1[[#This Row],[DC_name_Xref]]</f>
        <v>#N/A</v>
      </c>
      <c r="B2081" s="19" t="str">
        <f>Table1[[#This Row],[Fiscal_Year]]*100+Table1[[#This Row],[Fiscal_Week]] &amp; "-" &amp;Table1[[#This Row],[BRAND]]</f>
        <v>0-</v>
      </c>
      <c r="C2081" s="19" t="str">
        <f>Table1[[#This Row],[Fiscal_Year]]&amp;"-"&amp;Table1[[#This Row],[BRAND]]</f>
        <v>-</v>
      </c>
      <c r="J2081" t="e">
        <f>VLOOKUP(H2081,DC_Xref!A:B,2,FALSE)</f>
        <v>#N/A</v>
      </c>
      <c r="K2081">
        <f t="shared" si="32"/>
        <v>0</v>
      </c>
      <c r="L20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1" s="3">
        <f>IFERROR(INDEX(Table3[#All],MATCH(Table1[[#This Row],[Key_Year_Week_Brand]],Table3[[#All],[Key_Year_Week_Brand]],0),MATCH(Table1[[#This Row],[DC_name_Xref]],Table3[#Headers],0)),0)</f>
        <v>0</v>
      </c>
      <c r="O2081" s="19">
        <f>IFERROR(INDEX(Table35[#All],MATCH(Table1[[#This Row],[Key_Year_Week_Brand]],Table35[[#All],[Key_Year_Month_Brand]],0),MATCH(Table1[[#This Row],[DC_name_Xref]],Table35[#Headers],0)),0)</f>
        <v>0</v>
      </c>
    </row>
    <row r="2082" spans="1:15" x14ac:dyDescent="0.3">
      <c r="A2082" s="19" t="e">
        <f>Table1[[#This Row],[Year_Week]]&amp;"-"&amp;Table1[[#This Row],[DC_name_Xref]]</f>
        <v>#N/A</v>
      </c>
      <c r="B2082" s="19" t="str">
        <f>Table1[[#This Row],[Fiscal_Year]]*100+Table1[[#This Row],[Fiscal_Week]] &amp; "-" &amp;Table1[[#This Row],[BRAND]]</f>
        <v>0-</v>
      </c>
      <c r="C2082" s="19" t="str">
        <f>Table1[[#This Row],[Fiscal_Year]]&amp;"-"&amp;Table1[[#This Row],[BRAND]]</f>
        <v>-</v>
      </c>
      <c r="J2082" t="e">
        <f>VLOOKUP(H2082,DC_Xref!A:B,2,FALSE)</f>
        <v>#N/A</v>
      </c>
      <c r="K2082">
        <f t="shared" si="32"/>
        <v>0</v>
      </c>
      <c r="L20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2" s="3">
        <f>IFERROR(INDEX(Table3[#All],MATCH(Table1[[#This Row],[Key_Year_Week_Brand]],Table3[[#All],[Key_Year_Week_Brand]],0),MATCH(Table1[[#This Row],[DC_name_Xref]],Table3[#Headers],0)),0)</f>
        <v>0</v>
      </c>
      <c r="O2082" s="19">
        <f>IFERROR(INDEX(Table35[#All],MATCH(Table1[[#This Row],[Key_Year_Week_Brand]],Table35[[#All],[Key_Year_Month_Brand]],0),MATCH(Table1[[#This Row],[DC_name_Xref]],Table35[#Headers],0)),0)</f>
        <v>0</v>
      </c>
    </row>
    <row r="2083" spans="1:15" x14ac:dyDescent="0.3">
      <c r="A2083" s="19" t="e">
        <f>Table1[[#This Row],[Year_Week]]&amp;"-"&amp;Table1[[#This Row],[DC_name_Xref]]</f>
        <v>#N/A</v>
      </c>
      <c r="B2083" s="19" t="str">
        <f>Table1[[#This Row],[Fiscal_Year]]*100+Table1[[#This Row],[Fiscal_Week]] &amp; "-" &amp;Table1[[#This Row],[BRAND]]</f>
        <v>0-</v>
      </c>
      <c r="C2083" s="19" t="str">
        <f>Table1[[#This Row],[Fiscal_Year]]&amp;"-"&amp;Table1[[#This Row],[BRAND]]</f>
        <v>-</v>
      </c>
      <c r="J2083" t="e">
        <f>VLOOKUP(H2083,DC_Xref!A:B,2,FALSE)</f>
        <v>#N/A</v>
      </c>
      <c r="K2083">
        <f t="shared" si="32"/>
        <v>0</v>
      </c>
      <c r="L20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3" s="3">
        <f>IFERROR(INDEX(Table3[#All],MATCH(Table1[[#This Row],[Key_Year_Week_Brand]],Table3[[#All],[Key_Year_Week_Brand]],0),MATCH(Table1[[#This Row],[DC_name_Xref]],Table3[#Headers],0)),0)</f>
        <v>0</v>
      </c>
      <c r="O2083" s="19">
        <f>IFERROR(INDEX(Table35[#All],MATCH(Table1[[#This Row],[Key_Year_Week_Brand]],Table35[[#All],[Key_Year_Month_Brand]],0),MATCH(Table1[[#This Row],[DC_name_Xref]],Table35[#Headers],0)),0)</f>
        <v>0</v>
      </c>
    </row>
    <row r="2084" spans="1:15" x14ac:dyDescent="0.3">
      <c r="A2084" s="19" t="e">
        <f>Table1[[#This Row],[Year_Week]]&amp;"-"&amp;Table1[[#This Row],[DC_name_Xref]]</f>
        <v>#N/A</v>
      </c>
      <c r="B2084" s="19" t="str">
        <f>Table1[[#This Row],[Fiscal_Year]]*100+Table1[[#This Row],[Fiscal_Week]] &amp; "-" &amp;Table1[[#This Row],[BRAND]]</f>
        <v>0-</v>
      </c>
      <c r="C2084" s="19" t="str">
        <f>Table1[[#This Row],[Fiscal_Year]]&amp;"-"&amp;Table1[[#This Row],[BRAND]]</f>
        <v>-</v>
      </c>
      <c r="J2084" t="e">
        <f>VLOOKUP(H2084,DC_Xref!A:B,2,FALSE)</f>
        <v>#N/A</v>
      </c>
      <c r="K2084">
        <f t="shared" si="32"/>
        <v>0</v>
      </c>
      <c r="L20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4" s="3">
        <f>IFERROR(INDEX(Table3[#All],MATCH(Table1[[#This Row],[Key_Year_Week_Brand]],Table3[[#All],[Key_Year_Week_Brand]],0),MATCH(Table1[[#This Row],[DC_name_Xref]],Table3[#Headers],0)),0)</f>
        <v>0</v>
      </c>
      <c r="O2084" s="19">
        <f>IFERROR(INDEX(Table35[#All],MATCH(Table1[[#This Row],[Key_Year_Week_Brand]],Table35[[#All],[Key_Year_Month_Brand]],0),MATCH(Table1[[#This Row],[DC_name_Xref]],Table35[#Headers],0)),0)</f>
        <v>0</v>
      </c>
    </row>
    <row r="2085" spans="1:15" x14ac:dyDescent="0.3">
      <c r="A2085" s="19" t="e">
        <f>Table1[[#This Row],[Year_Week]]&amp;"-"&amp;Table1[[#This Row],[DC_name_Xref]]</f>
        <v>#N/A</v>
      </c>
      <c r="B2085" s="19" t="str">
        <f>Table1[[#This Row],[Fiscal_Year]]*100+Table1[[#This Row],[Fiscal_Week]] &amp; "-" &amp;Table1[[#This Row],[BRAND]]</f>
        <v>0-</v>
      </c>
      <c r="C2085" s="19" t="str">
        <f>Table1[[#This Row],[Fiscal_Year]]&amp;"-"&amp;Table1[[#This Row],[BRAND]]</f>
        <v>-</v>
      </c>
      <c r="J2085" t="e">
        <f>VLOOKUP(H2085,DC_Xref!A:B,2,FALSE)</f>
        <v>#N/A</v>
      </c>
      <c r="K2085">
        <f t="shared" si="32"/>
        <v>0</v>
      </c>
      <c r="L20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5" s="3">
        <f>IFERROR(INDEX(Table3[#All],MATCH(Table1[[#This Row],[Key_Year_Week_Brand]],Table3[[#All],[Key_Year_Week_Brand]],0),MATCH(Table1[[#This Row],[DC_name_Xref]],Table3[#Headers],0)),0)</f>
        <v>0</v>
      </c>
      <c r="O2085" s="19">
        <f>IFERROR(INDEX(Table35[#All],MATCH(Table1[[#This Row],[Key_Year_Week_Brand]],Table35[[#All],[Key_Year_Month_Brand]],0),MATCH(Table1[[#This Row],[DC_name_Xref]],Table35[#Headers],0)),0)</f>
        <v>0</v>
      </c>
    </row>
    <row r="2086" spans="1:15" x14ac:dyDescent="0.3">
      <c r="A2086" s="19" t="e">
        <f>Table1[[#This Row],[Year_Week]]&amp;"-"&amp;Table1[[#This Row],[DC_name_Xref]]</f>
        <v>#N/A</v>
      </c>
      <c r="B2086" s="19" t="str">
        <f>Table1[[#This Row],[Fiscal_Year]]*100+Table1[[#This Row],[Fiscal_Week]] &amp; "-" &amp;Table1[[#This Row],[BRAND]]</f>
        <v>0-</v>
      </c>
      <c r="C2086" s="19" t="str">
        <f>Table1[[#This Row],[Fiscal_Year]]&amp;"-"&amp;Table1[[#This Row],[BRAND]]</f>
        <v>-</v>
      </c>
      <c r="J2086" t="e">
        <f>VLOOKUP(H2086,DC_Xref!A:B,2,FALSE)</f>
        <v>#N/A</v>
      </c>
      <c r="K2086">
        <f t="shared" si="32"/>
        <v>0</v>
      </c>
      <c r="L20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6" s="3">
        <f>IFERROR(INDEX(Table3[#All],MATCH(Table1[[#This Row],[Key_Year_Week_Brand]],Table3[[#All],[Key_Year_Week_Brand]],0),MATCH(Table1[[#This Row],[DC_name_Xref]],Table3[#Headers],0)),0)</f>
        <v>0</v>
      </c>
      <c r="O2086" s="19">
        <f>IFERROR(INDEX(Table35[#All],MATCH(Table1[[#This Row],[Key_Year_Week_Brand]],Table35[[#All],[Key_Year_Month_Brand]],0),MATCH(Table1[[#This Row],[DC_name_Xref]],Table35[#Headers],0)),0)</f>
        <v>0</v>
      </c>
    </row>
    <row r="2087" spans="1:15" x14ac:dyDescent="0.3">
      <c r="A2087" s="19" t="e">
        <f>Table1[[#This Row],[Year_Week]]&amp;"-"&amp;Table1[[#This Row],[DC_name_Xref]]</f>
        <v>#N/A</v>
      </c>
      <c r="B2087" s="19" t="str">
        <f>Table1[[#This Row],[Fiscal_Year]]*100+Table1[[#This Row],[Fiscal_Week]] &amp; "-" &amp;Table1[[#This Row],[BRAND]]</f>
        <v>0-</v>
      </c>
      <c r="C2087" s="19" t="str">
        <f>Table1[[#This Row],[Fiscal_Year]]&amp;"-"&amp;Table1[[#This Row],[BRAND]]</f>
        <v>-</v>
      </c>
      <c r="J2087" t="e">
        <f>VLOOKUP(H2087,DC_Xref!A:B,2,FALSE)</f>
        <v>#N/A</v>
      </c>
      <c r="K2087">
        <f t="shared" si="32"/>
        <v>0</v>
      </c>
      <c r="L20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7" s="3">
        <f>IFERROR(INDEX(Table3[#All],MATCH(Table1[[#This Row],[Key_Year_Week_Brand]],Table3[[#All],[Key_Year_Week_Brand]],0),MATCH(Table1[[#This Row],[DC_name_Xref]],Table3[#Headers],0)),0)</f>
        <v>0</v>
      </c>
      <c r="O2087" s="19">
        <f>IFERROR(INDEX(Table35[#All],MATCH(Table1[[#This Row],[Key_Year_Week_Brand]],Table35[[#All],[Key_Year_Month_Brand]],0),MATCH(Table1[[#This Row],[DC_name_Xref]],Table35[#Headers],0)),0)</f>
        <v>0</v>
      </c>
    </row>
    <row r="2088" spans="1:15" x14ac:dyDescent="0.3">
      <c r="A2088" s="19" t="e">
        <f>Table1[[#This Row],[Year_Week]]&amp;"-"&amp;Table1[[#This Row],[DC_name_Xref]]</f>
        <v>#N/A</v>
      </c>
      <c r="B2088" s="19" t="str">
        <f>Table1[[#This Row],[Fiscal_Year]]*100+Table1[[#This Row],[Fiscal_Week]] &amp; "-" &amp;Table1[[#This Row],[BRAND]]</f>
        <v>0-</v>
      </c>
      <c r="C2088" s="19" t="str">
        <f>Table1[[#This Row],[Fiscal_Year]]&amp;"-"&amp;Table1[[#This Row],[BRAND]]</f>
        <v>-</v>
      </c>
      <c r="J2088" t="e">
        <f>VLOOKUP(H2088,DC_Xref!A:B,2,FALSE)</f>
        <v>#N/A</v>
      </c>
      <c r="K2088">
        <f t="shared" si="32"/>
        <v>0</v>
      </c>
      <c r="L20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8" s="3">
        <f>IFERROR(INDEX(Table3[#All],MATCH(Table1[[#This Row],[Key_Year_Week_Brand]],Table3[[#All],[Key_Year_Week_Brand]],0),MATCH(Table1[[#This Row],[DC_name_Xref]],Table3[#Headers],0)),0)</f>
        <v>0</v>
      </c>
      <c r="O2088" s="19">
        <f>IFERROR(INDEX(Table35[#All],MATCH(Table1[[#This Row],[Key_Year_Week_Brand]],Table35[[#All],[Key_Year_Month_Brand]],0),MATCH(Table1[[#This Row],[DC_name_Xref]],Table35[#Headers],0)),0)</f>
        <v>0</v>
      </c>
    </row>
    <row r="2089" spans="1:15" x14ac:dyDescent="0.3">
      <c r="A2089" s="19" t="e">
        <f>Table1[[#This Row],[Year_Week]]&amp;"-"&amp;Table1[[#This Row],[DC_name_Xref]]</f>
        <v>#N/A</v>
      </c>
      <c r="B2089" s="19" t="str">
        <f>Table1[[#This Row],[Fiscal_Year]]*100+Table1[[#This Row],[Fiscal_Week]] &amp; "-" &amp;Table1[[#This Row],[BRAND]]</f>
        <v>0-</v>
      </c>
      <c r="C2089" s="19" t="str">
        <f>Table1[[#This Row],[Fiscal_Year]]&amp;"-"&amp;Table1[[#This Row],[BRAND]]</f>
        <v>-</v>
      </c>
      <c r="J2089" t="e">
        <f>VLOOKUP(H2089,DC_Xref!A:B,2,FALSE)</f>
        <v>#N/A</v>
      </c>
      <c r="K2089">
        <f t="shared" si="32"/>
        <v>0</v>
      </c>
      <c r="L20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89" s="3">
        <f>IFERROR(INDEX(Table3[#All],MATCH(Table1[[#This Row],[Key_Year_Week_Brand]],Table3[[#All],[Key_Year_Week_Brand]],0),MATCH(Table1[[#This Row],[DC_name_Xref]],Table3[#Headers],0)),0)</f>
        <v>0</v>
      </c>
      <c r="O2089" s="19">
        <f>IFERROR(INDEX(Table35[#All],MATCH(Table1[[#This Row],[Key_Year_Week_Brand]],Table35[[#All],[Key_Year_Month_Brand]],0),MATCH(Table1[[#This Row],[DC_name_Xref]],Table35[#Headers],0)),0)</f>
        <v>0</v>
      </c>
    </row>
    <row r="2090" spans="1:15" x14ac:dyDescent="0.3">
      <c r="A2090" s="19" t="e">
        <f>Table1[[#This Row],[Year_Week]]&amp;"-"&amp;Table1[[#This Row],[DC_name_Xref]]</f>
        <v>#N/A</v>
      </c>
      <c r="B2090" s="19" t="str">
        <f>Table1[[#This Row],[Fiscal_Year]]*100+Table1[[#This Row],[Fiscal_Week]] &amp; "-" &amp;Table1[[#This Row],[BRAND]]</f>
        <v>0-</v>
      </c>
      <c r="C2090" s="19" t="str">
        <f>Table1[[#This Row],[Fiscal_Year]]&amp;"-"&amp;Table1[[#This Row],[BRAND]]</f>
        <v>-</v>
      </c>
      <c r="J2090" t="e">
        <f>VLOOKUP(H2090,DC_Xref!A:B,2,FALSE)</f>
        <v>#N/A</v>
      </c>
      <c r="K2090">
        <f t="shared" si="32"/>
        <v>0</v>
      </c>
      <c r="L20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0" s="3">
        <f>IFERROR(INDEX(Table3[#All],MATCH(Table1[[#This Row],[Key_Year_Week_Brand]],Table3[[#All],[Key_Year_Week_Brand]],0),MATCH(Table1[[#This Row],[DC_name_Xref]],Table3[#Headers],0)),0)</f>
        <v>0</v>
      </c>
      <c r="O2090" s="19">
        <f>IFERROR(INDEX(Table35[#All],MATCH(Table1[[#This Row],[Key_Year_Week_Brand]],Table35[[#All],[Key_Year_Month_Brand]],0),MATCH(Table1[[#This Row],[DC_name_Xref]],Table35[#Headers],0)),0)</f>
        <v>0</v>
      </c>
    </row>
    <row r="2091" spans="1:15" x14ac:dyDescent="0.3">
      <c r="A2091" s="19" t="e">
        <f>Table1[[#This Row],[Year_Week]]&amp;"-"&amp;Table1[[#This Row],[DC_name_Xref]]</f>
        <v>#N/A</v>
      </c>
      <c r="B2091" s="19" t="str">
        <f>Table1[[#This Row],[Fiscal_Year]]*100+Table1[[#This Row],[Fiscal_Week]] &amp; "-" &amp;Table1[[#This Row],[BRAND]]</f>
        <v>0-</v>
      </c>
      <c r="C2091" s="19" t="str">
        <f>Table1[[#This Row],[Fiscal_Year]]&amp;"-"&amp;Table1[[#This Row],[BRAND]]</f>
        <v>-</v>
      </c>
      <c r="J2091" t="e">
        <f>VLOOKUP(H2091,DC_Xref!A:B,2,FALSE)</f>
        <v>#N/A</v>
      </c>
      <c r="K2091">
        <f t="shared" si="32"/>
        <v>0</v>
      </c>
      <c r="L20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1" s="3">
        <f>IFERROR(INDEX(Table3[#All],MATCH(Table1[[#This Row],[Key_Year_Week_Brand]],Table3[[#All],[Key_Year_Week_Brand]],0),MATCH(Table1[[#This Row],[DC_name_Xref]],Table3[#Headers],0)),0)</f>
        <v>0</v>
      </c>
      <c r="O2091" s="19">
        <f>IFERROR(INDEX(Table35[#All],MATCH(Table1[[#This Row],[Key_Year_Week_Brand]],Table35[[#All],[Key_Year_Month_Brand]],0),MATCH(Table1[[#This Row],[DC_name_Xref]],Table35[#Headers],0)),0)</f>
        <v>0</v>
      </c>
    </row>
    <row r="2092" spans="1:15" x14ac:dyDescent="0.3">
      <c r="A2092" s="19" t="e">
        <f>Table1[[#This Row],[Year_Week]]&amp;"-"&amp;Table1[[#This Row],[DC_name_Xref]]</f>
        <v>#N/A</v>
      </c>
      <c r="B2092" s="19" t="str">
        <f>Table1[[#This Row],[Fiscal_Year]]*100+Table1[[#This Row],[Fiscal_Week]] &amp; "-" &amp;Table1[[#This Row],[BRAND]]</f>
        <v>0-</v>
      </c>
      <c r="C2092" s="19" t="str">
        <f>Table1[[#This Row],[Fiscal_Year]]&amp;"-"&amp;Table1[[#This Row],[BRAND]]</f>
        <v>-</v>
      </c>
      <c r="J2092" t="e">
        <f>VLOOKUP(H2092,DC_Xref!A:B,2,FALSE)</f>
        <v>#N/A</v>
      </c>
      <c r="K2092">
        <f t="shared" si="32"/>
        <v>0</v>
      </c>
      <c r="L20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2" s="3">
        <f>IFERROR(INDEX(Table3[#All],MATCH(Table1[[#This Row],[Key_Year_Week_Brand]],Table3[[#All],[Key_Year_Week_Brand]],0),MATCH(Table1[[#This Row],[DC_name_Xref]],Table3[#Headers],0)),0)</f>
        <v>0</v>
      </c>
      <c r="O2092" s="19">
        <f>IFERROR(INDEX(Table35[#All],MATCH(Table1[[#This Row],[Key_Year_Week_Brand]],Table35[[#All],[Key_Year_Month_Brand]],0),MATCH(Table1[[#This Row],[DC_name_Xref]],Table35[#Headers],0)),0)</f>
        <v>0</v>
      </c>
    </row>
    <row r="2093" spans="1:15" x14ac:dyDescent="0.3">
      <c r="A2093" s="19" t="e">
        <f>Table1[[#This Row],[Year_Week]]&amp;"-"&amp;Table1[[#This Row],[DC_name_Xref]]</f>
        <v>#N/A</v>
      </c>
      <c r="B2093" s="19" t="str">
        <f>Table1[[#This Row],[Fiscal_Year]]*100+Table1[[#This Row],[Fiscal_Week]] &amp; "-" &amp;Table1[[#This Row],[BRAND]]</f>
        <v>0-</v>
      </c>
      <c r="C2093" s="19" t="str">
        <f>Table1[[#This Row],[Fiscal_Year]]&amp;"-"&amp;Table1[[#This Row],[BRAND]]</f>
        <v>-</v>
      </c>
      <c r="J2093" t="e">
        <f>VLOOKUP(H2093,DC_Xref!A:B,2,FALSE)</f>
        <v>#N/A</v>
      </c>
      <c r="K2093">
        <f t="shared" si="32"/>
        <v>0</v>
      </c>
      <c r="L20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3" s="3">
        <f>IFERROR(INDEX(Table3[#All],MATCH(Table1[[#This Row],[Key_Year_Week_Brand]],Table3[[#All],[Key_Year_Week_Brand]],0),MATCH(Table1[[#This Row],[DC_name_Xref]],Table3[#Headers],0)),0)</f>
        <v>0</v>
      </c>
      <c r="O2093" s="19">
        <f>IFERROR(INDEX(Table35[#All],MATCH(Table1[[#This Row],[Key_Year_Week_Brand]],Table35[[#All],[Key_Year_Month_Brand]],0),MATCH(Table1[[#This Row],[DC_name_Xref]],Table35[#Headers],0)),0)</f>
        <v>0</v>
      </c>
    </row>
    <row r="2094" spans="1:15" x14ac:dyDescent="0.3">
      <c r="A2094" s="19" t="e">
        <f>Table1[[#This Row],[Year_Week]]&amp;"-"&amp;Table1[[#This Row],[DC_name_Xref]]</f>
        <v>#N/A</v>
      </c>
      <c r="B2094" s="19" t="str">
        <f>Table1[[#This Row],[Fiscal_Year]]*100+Table1[[#This Row],[Fiscal_Week]] &amp; "-" &amp;Table1[[#This Row],[BRAND]]</f>
        <v>0-</v>
      </c>
      <c r="C2094" s="19" t="str">
        <f>Table1[[#This Row],[Fiscal_Year]]&amp;"-"&amp;Table1[[#This Row],[BRAND]]</f>
        <v>-</v>
      </c>
      <c r="J2094" t="e">
        <f>VLOOKUP(H2094,DC_Xref!A:B,2,FALSE)</f>
        <v>#N/A</v>
      </c>
      <c r="K2094">
        <f t="shared" si="32"/>
        <v>0</v>
      </c>
      <c r="L20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4" s="3">
        <f>IFERROR(INDEX(Table3[#All],MATCH(Table1[[#This Row],[Key_Year_Week_Brand]],Table3[[#All],[Key_Year_Week_Brand]],0),MATCH(Table1[[#This Row],[DC_name_Xref]],Table3[#Headers],0)),0)</f>
        <v>0</v>
      </c>
      <c r="O2094" s="19">
        <f>IFERROR(INDEX(Table35[#All],MATCH(Table1[[#This Row],[Key_Year_Week_Brand]],Table35[[#All],[Key_Year_Month_Brand]],0),MATCH(Table1[[#This Row],[DC_name_Xref]],Table35[#Headers],0)),0)</f>
        <v>0</v>
      </c>
    </row>
    <row r="2095" spans="1:15" x14ac:dyDescent="0.3">
      <c r="A2095" s="19" t="e">
        <f>Table1[[#This Row],[Year_Week]]&amp;"-"&amp;Table1[[#This Row],[DC_name_Xref]]</f>
        <v>#N/A</v>
      </c>
      <c r="B2095" s="19" t="str">
        <f>Table1[[#This Row],[Fiscal_Year]]*100+Table1[[#This Row],[Fiscal_Week]] &amp; "-" &amp;Table1[[#This Row],[BRAND]]</f>
        <v>0-</v>
      </c>
      <c r="C2095" s="19" t="str">
        <f>Table1[[#This Row],[Fiscal_Year]]&amp;"-"&amp;Table1[[#This Row],[BRAND]]</f>
        <v>-</v>
      </c>
      <c r="J2095" t="e">
        <f>VLOOKUP(H2095,DC_Xref!A:B,2,FALSE)</f>
        <v>#N/A</v>
      </c>
      <c r="K2095">
        <f t="shared" si="32"/>
        <v>0</v>
      </c>
      <c r="L20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5" s="3">
        <f>IFERROR(INDEX(Table3[#All],MATCH(Table1[[#This Row],[Key_Year_Week_Brand]],Table3[[#All],[Key_Year_Week_Brand]],0),MATCH(Table1[[#This Row],[DC_name_Xref]],Table3[#Headers],0)),0)</f>
        <v>0</v>
      </c>
      <c r="O2095" s="19">
        <f>IFERROR(INDEX(Table35[#All],MATCH(Table1[[#This Row],[Key_Year_Week_Brand]],Table35[[#All],[Key_Year_Month_Brand]],0),MATCH(Table1[[#This Row],[DC_name_Xref]],Table35[#Headers],0)),0)</f>
        <v>0</v>
      </c>
    </row>
    <row r="2096" spans="1:15" x14ac:dyDescent="0.3">
      <c r="A2096" s="19" t="e">
        <f>Table1[[#This Row],[Year_Week]]&amp;"-"&amp;Table1[[#This Row],[DC_name_Xref]]</f>
        <v>#N/A</v>
      </c>
      <c r="B2096" s="19" t="str">
        <f>Table1[[#This Row],[Fiscal_Year]]*100+Table1[[#This Row],[Fiscal_Week]] &amp; "-" &amp;Table1[[#This Row],[BRAND]]</f>
        <v>0-</v>
      </c>
      <c r="C2096" s="19" t="str">
        <f>Table1[[#This Row],[Fiscal_Year]]&amp;"-"&amp;Table1[[#This Row],[BRAND]]</f>
        <v>-</v>
      </c>
      <c r="J2096" t="e">
        <f>VLOOKUP(H2096,DC_Xref!A:B,2,FALSE)</f>
        <v>#N/A</v>
      </c>
      <c r="K2096">
        <f t="shared" si="32"/>
        <v>0</v>
      </c>
      <c r="L20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6" s="3">
        <f>IFERROR(INDEX(Table3[#All],MATCH(Table1[[#This Row],[Key_Year_Week_Brand]],Table3[[#All],[Key_Year_Week_Brand]],0),MATCH(Table1[[#This Row],[DC_name_Xref]],Table3[#Headers],0)),0)</f>
        <v>0</v>
      </c>
      <c r="O2096" s="19">
        <f>IFERROR(INDEX(Table35[#All],MATCH(Table1[[#This Row],[Key_Year_Week_Brand]],Table35[[#All],[Key_Year_Month_Brand]],0),MATCH(Table1[[#This Row],[DC_name_Xref]],Table35[#Headers],0)),0)</f>
        <v>0</v>
      </c>
    </row>
    <row r="2097" spans="1:15" x14ac:dyDescent="0.3">
      <c r="A2097" s="19" t="e">
        <f>Table1[[#This Row],[Year_Week]]&amp;"-"&amp;Table1[[#This Row],[DC_name_Xref]]</f>
        <v>#N/A</v>
      </c>
      <c r="B2097" s="19" t="str">
        <f>Table1[[#This Row],[Fiscal_Year]]*100+Table1[[#This Row],[Fiscal_Week]] &amp; "-" &amp;Table1[[#This Row],[BRAND]]</f>
        <v>0-</v>
      </c>
      <c r="C2097" s="19" t="str">
        <f>Table1[[#This Row],[Fiscal_Year]]&amp;"-"&amp;Table1[[#This Row],[BRAND]]</f>
        <v>-</v>
      </c>
      <c r="J2097" t="e">
        <f>VLOOKUP(H2097,DC_Xref!A:B,2,FALSE)</f>
        <v>#N/A</v>
      </c>
      <c r="K2097">
        <f t="shared" si="32"/>
        <v>0</v>
      </c>
      <c r="L20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7" s="3">
        <f>IFERROR(INDEX(Table3[#All],MATCH(Table1[[#This Row],[Key_Year_Week_Brand]],Table3[[#All],[Key_Year_Week_Brand]],0),MATCH(Table1[[#This Row],[DC_name_Xref]],Table3[#Headers],0)),0)</f>
        <v>0</v>
      </c>
      <c r="O2097" s="19">
        <f>IFERROR(INDEX(Table35[#All],MATCH(Table1[[#This Row],[Key_Year_Week_Brand]],Table35[[#All],[Key_Year_Month_Brand]],0),MATCH(Table1[[#This Row],[DC_name_Xref]],Table35[#Headers],0)),0)</f>
        <v>0</v>
      </c>
    </row>
    <row r="2098" spans="1:15" x14ac:dyDescent="0.3">
      <c r="A2098" s="19" t="e">
        <f>Table1[[#This Row],[Year_Week]]&amp;"-"&amp;Table1[[#This Row],[DC_name_Xref]]</f>
        <v>#N/A</v>
      </c>
      <c r="B2098" s="19" t="str">
        <f>Table1[[#This Row],[Fiscal_Year]]*100+Table1[[#This Row],[Fiscal_Week]] &amp; "-" &amp;Table1[[#This Row],[BRAND]]</f>
        <v>0-</v>
      </c>
      <c r="C2098" s="19" t="str">
        <f>Table1[[#This Row],[Fiscal_Year]]&amp;"-"&amp;Table1[[#This Row],[BRAND]]</f>
        <v>-</v>
      </c>
      <c r="J2098" t="e">
        <f>VLOOKUP(H2098,DC_Xref!A:B,2,FALSE)</f>
        <v>#N/A</v>
      </c>
      <c r="K2098">
        <f t="shared" si="32"/>
        <v>0</v>
      </c>
      <c r="L20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8" s="3">
        <f>IFERROR(INDEX(Table3[#All],MATCH(Table1[[#This Row],[Key_Year_Week_Brand]],Table3[[#All],[Key_Year_Week_Brand]],0),MATCH(Table1[[#This Row],[DC_name_Xref]],Table3[#Headers],0)),0)</f>
        <v>0</v>
      </c>
      <c r="O2098" s="19">
        <f>IFERROR(INDEX(Table35[#All],MATCH(Table1[[#This Row],[Key_Year_Week_Brand]],Table35[[#All],[Key_Year_Month_Brand]],0),MATCH(Table1[[#This Row],[DC_name_Xref]],Table35[#Headers],0)),0)</f>
        <v>0</v>
      </c>
    </row>
    <row r="2099" spans="1:15" x14ac:dyDescent="0.3">
      <c r="A2099" s="19" t="e">
        <f>Table1[[#This Row],[Year_Week]]&amp;"-"&amp;Table1[[#This Row],[DC_name_Xref]]</f>
        <v>#N/A</v>
      </c>
      <c r="B2099" s="19" t="str">
        <f>Table1[[#This Row],[Fiscal_Year]]*100+Table1[[#This Row],[Fiscal_Week]] &amp; "-" &amp;Table1[[#This Row],[BRAND]]</f>
        <v>0-</v>
      </c>
      <c r="C2099" s="19" t="str">
        <f>Table1[[#This Row],[Fiscal_Year]]&amp;"-"&amp;Table1[[#This Row],[BRAND]]</f>
        <v>-</v>
      </c>
      <c r="J2099" t="e">
        <f>VLOOKUP(H2099,DC_Xref!A:B,2,FALSE)</f>
        <v>#N/A</v>
      </c>
      <c r="K2099">
        <f t="shared" si="32"/>
        <v>0</v>
      </c>
      <c r="L20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0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099" s="3">
        <f>IFERROR(INDEX(Table3[#All],MATCH(Table1[[#This Row],[Key_Year_Week_Brand]],Table3[[#All],[Key_Year_Week_Brand]],0),MATCH(Table1[[#This Row],[DC_name_Xref]],Table3[#Headers],0)),0)</f>
        <v>0</v>
      </c>
      <c r="O2099" s="19">
        <f>IFERROR(INDEX(Table35[#All],MATCH(Table1[[#This Row],[Key_Year_Week_Brand]],Table35[[#All],[Key_Year_Month_Brand]],0),MATCH(Table1[[#This Row],[DC_name_Xref]],Table35[#Headers],0)),0)</f>
        <v>0</v>
      </c>
    </row>
    <row r="2100" spans="1:15" x14ac:dyDescent="0.3">
      <c r="A2100" s="19" t="e">
        <f>Table1[[#This Row],[Year_Week]]&amp;"-"&amp;Table1[[#This Row],[DC_name_Xref]]</f>
        <v>#N/A</v>
      </c>
      <c r="B2100" s="19" t="str">
        <f>Table1[[#This Row],[Fiscal_Year]]*100+Table1[[#This Row],[Fiscal_Week]] &amp; "-" &amp;Table1[[#This Row],[BRAND]]</f>
        <v>0-</v>
      </c>
      <c r="C2100" s="19" t="str">
        <f>Table1[[#This Row],[Fiscal_Year]]&amp;"-"&amp;Table1[[#This Row],[BRAND]]</f>
        <v>-</v>
      </c>
      <c r="J2100" t="e">
        <f>VLOOKUP(H2100,DC_Xref!A:B,2,FALSE)</f>
        <v>#N/A</v>
      </c>
      <c r="K2100">
        <f t="shared" si="32"/>
        <v>0</v>
      </c>
      <c r="L21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0" s="3">
        <f>IFERROR(INDEX(Table3[#All],MATCH(Table1[[#This Row],[Key_Year_Week_Brand]],Table3[[#All],[Key_Year_Week_Brand]],0),MATCH(Table1[[#This Row],[DC_name_Xref]],Table3[#Headers],0)),0)</f>
        <v>0</v>
      </c>
      <c r="O2100" s="19">
        <f>IFERROR(INDEX(Table35[#All],MATCH(Table1[[#This Row],[Key_Year_Week_Brand]],Table35[[#All],[Key_Year_Month_Brand]],0),MATCH(Table1[[#This Row],[DC_name_Xref]],Table35[#Headers],0)),0)</f>
        <v>0</v>
      </c>
    </row>
    <row r="2101" spans="1:15" x14ac:dyDescent="0.3">
      <c r="A2101" s="19" t="e">
        <f>Table1[[#This Row],[Year_Week]]&amp;"-"&amp;Table1[[#This Row],[DC_name_Xref]]</f>
        <v>#N/A</v>
      </c>
      <c r="B2101" s="19" t="str">
        <f>Table1[[#This Row],[Fiscal_Year]]*100+Table1[[#This Row],[Fiscal_Week]] &amp; "-" &amp;Table1[[#This Row],[BRAND]]</f>
        <v>0-</v>
      </c>
      <c r="C2101" s="19" t="str">
        <f>Table1[[#This Row],[Fiscal_Year]]&amp;"-"&amp;Table1[[#This Row],[BRAND]]</f>
        <v>-</v>
      </c>
      <c r="J2101" t="e">
        <f>VLOOKUP(H2101,DC_Xref!A:B,2,FALSE)</f>
        <v>#N/A</v>
      </c>
      <c r="K2101">
        <f t="shared" si="32"/>
        <v>0</v>
      </c>
      <c r="L21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1" s="3">
        <f>IFERROR(INDEX(Table3[#All],MATCH(Table1[[#This Row],[Key_Year_Week_Brand]],Table3[[#All],[Key_Year_Week_Brand]],0),MATCH(Table1[[#This Row],[DC_name_Xref]],Table3[#Headers],0)),0)</f>
        <v>0</v>
      </c>
      <c r="O2101" s="19">
        <f>IFERROR(INDEX(Table35[#All],MATCH(Table1[[#This Row],[Key_Year_Week_Brand]],Table35[[#All],[Key_Year_Month_Brand]],0),MATCH(Table1[[#This Row],[DC_name_Xref]],Table35[#Headers],0)),0)</f>
        <v>0</v>
      </c>
    </row>
    <row r="2102" spans="1:15" x14ac:dyDescent="0.3">
      <c r="A2102" s="19" t="e">
        <f>Table1[[#This Row],[Year_Week]]&amp;"-"&amp;Table1[[#This Row],[DC_name_Xref]]</f>
        <v>#N/A</v>
      </c>
      <c r="B2102" s="19" t="str">
        <f>Table1[[#This Row],[Fiscal_Year]]*100+Table1[[#This Row],[Fiscal_Week]] &amp; "-" &amp;Table1[[#This Row],[BRAND]]</f>
        <v>0-</v>
      </c>
      <c r="C2102" s="19" t="str">
        <f>Table1[[#This Row],[Fiscal_Year]]&amp;"-"&amp;Table1[[#This Row],[BRAND]]</f>
        <v>-</v>
      </c>
      <c r="J2102" t="e">
        <f>VLOOKUP(H2102,DC_Xref!A:B,2,FALSE)</f>
        <v>#N/A</v>
      </c>
      <c r="K2102">
        <f t="shared" si="32"/>
        <v>0</v>
      </c>
      <c r="L21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2" s="3">
        <f>IFERROR(INDEX(Table3[#All],MATCH(Table1[[#This Row],[Key_Year_Week_Brand]],Table3[[#All],[Key_Year_Week_Brand]],0),MATCH(Table1[[#This Row],[DC_name_Xref]],Table3[#Headers],0)),0)</f>
        <v>0</v>
      </c>
      <c r="O2102" s="19">
        <f>IFERROR(INDEX(Table35[#All],MATCH(Table1[[#This Row],[Key_Year_Week_Brand]],Table35[[#All],[Key_Year_Month_Brand]],0),MATCH(Table1[[#This Row],[DC_name_Xref]],Table35[#Headers],0)),0)</f>
        <v>0</v>
      </c>
    </row>
    <row r="2103" spans="1:15" x14ac:dyDescent="0.3">
      <c r="A2103" s="19" t="e">
        <f>Table1[[#This Row],[Year_Week]]&amp;"-"&amp;Table1[[#This Row],[DC_name_Xref]]</f>
        <v>#N/A</v>
      </c>
      <c r="B2103" s="19" t="str">
        <f>Table1[[#This Row],[Fiscal_Year]]*100+Table1[[#This Row],[Fiscal_Week]] &amp; "-" &amp;Table1[[#This Row],[BRAND]]</f>
        <v>0-</v>
      </c>
      <c r="C2103" s="19" t="str">
        <f>Table1[[#This Row],[Fiscal_Year]]&amp;"-"&amp;Table1[[#This Row],[BRAND]]</f>
        <v>-</v>
      </c>
      <c r="J2103" t="e">
        <f>VLOOKUP(H2103,DC_Xref!A:B,2,FALSE)</f>
        <v>#N/A</v>
      </c>
      <c r="K2103">
        <f t="shared" si="32"/>
        <v>0</v>
      </c>
      <c r="L21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3" s="3">
        <f>IFERROR(INDEX(Table3[#All],MATCH(Table1[[#This Row],[Key_Year_Week_Brand]],Table3[[#All],[Key_Year_Week_Brand]],0),MATCH(Table1[[#This Row],[DC_name_Xref]],Table3[#Headers],0)),0)</f>
        <v>0</v>
      </c>
      <c r="O2103" s="19">
        <f>IFERROR(INDEX(Table35[#All],MATCH(Table1[[#This Row],[Key_Year_Week_Brand]],Table35[[#All],[Key_Year_Month_Brand]],0),MATCH(Table1[[#This Row],[DC_name_Xref]],Table35[#Headers],0)),0)</f>
        <v>0</v>
      </c>
    </row>
    <row r="2104" spans="1:15" x14ac:dyDescent="0.3">
      <c r="A2104" s="19" t="e">
        <f>Table1[[#This Row],[Year_Week]]&amp;"-"&amp;Table1[[#This Row],[DC_name_Xref]]</f>
        <v>#N/A</v>
      </c>
      <c r="B2104" s="19" t="str">
        <f>Table1[[#This Row],[Fiscal_Year]]*100+Table1[[#This Row],[Fiscal_Week]] &amp; "-" &amp;Table1[[#This Row],[BRAND]]</f>
        <v>0-</v>
      </c>
      <c r="C2104" s="19" t="str">
        <f>Table1[[#This Row],[Fiscal_Year]]&amp;"-"&amp;Table1[[#This Row],[BRAND]]</f>
        <v>-</v>
      </c>
      <c r="J2104" t="e">
        <f>VLOOKUP(H2104,DC_Xref!A:B,2,FALSE)</f>
        <v>#N/A</v>
      </c>
      <c r="K2104">
        <f t="shared" si="32"/>
        <v>0</v>
      </c>
      <c r="L21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4" s="3">
        <f>IFERROR(INDEX(Table3[#All],MATCH(Table1[[#This Row],[Key_Year_Week_Brand]],Table3[[#All],[Key_Year_Week_Brand]],0),MATCH(Table1[[#This Row],[DC_name_Xref]],Table3[#Headers],0)),0)</f>
        <v>0</v>
      </c>
      <c r="O2104" s="19">
        <f>IFERROR(INDEX(Table35[#All],MATCH(Table1[[#This Row],[Key_Year_Week_Brand]],Table35[[#All],[Key_Year_Month_Brand]],0),MATCH(Table1[[#This Row],[DC_name_Xref]],Table35[#Headers],0)),0)</f>
        <v>0</v>
      </c>
    </row>
    <row r="2105" spans="1:15" x14ac:dyDescent="0.3">
      <c r="A2105" s="19" t="e">
        <f>Table1[[#This Row],[Year_Week]]&amp;"-"&amp;Table1[[#This Row],[DC_name_Xref]]</f>
        <v>#N/A</v>
      </c>
      <c r="B2105" s="19" t="str">
        <f>Table1[[#This Row],[Fiscal_Year]]*100+Table1[[#This Row],[Fiscal_Week]] &amp; "-" &amp;Table1[[#This Row],[BRAND]]</f>
        <v>0-</v>
      </c>
      <c r="C2105" s="19" t="str">
        <f>Table1[[#This Row],[Fiscal_Year]]&amp;"-"&amp;Table1[[#This Row],[BRAND]]</f>
        <v>-</v>
      </c>
      <c r="J2105" t="e">
        <f>VLOOKUP(H2105,DC_Xref!A:B,2,FALSE)</f>
        <v>#N/A</v>
      </c>
      <c r="K2105">
        <f t="shared" si="32"/>
        <v>0</v>
      </c>
      <c r="L21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5" s="3">
        <f>IFERROR(INDEX(Table3[#All],MATCH(Table1[[#This Row],[Key_Year_Week_Brand]],Table3[[#All],[Key_Year_Week_Brand]],0),MATCH(Table1[[#This Row],[DC_name_Xref]],Table3[#Headers],0)),0)</f>
        <v>0</v>
      </c>
      <c r="O2105" s="19">
        <f>IFERROR(INDEX(Table35[#All],MATCH(Table1[[#This Row],[Key_Year_Week_Brand]],Table35[[#All],[Key_Year_Month_Brand]],0),MATCH(Table1[[#This Row],[DC_name_Xref]],Table35[#Headers],0)),0)</f>
        <v>0</v>
      </c>
    </row>
    <row r="2106" spans="1:15" x14ac:dyDescent="0.3">
      <c r="A2106" s="19" t="e">
        <f>Table1[[#This Row],[Year_Week]]&amp;"-"&amp;Table1[[#This Row],[DC_name_Xref]]</f>
        <v>#N/A</v>
      </c>
      <c r="B2106" s="19" t="str">
        <f>Table1[[#This Row],[Fiscal_Year]]*100+Table1[[#This Row],[Fiscal_Week]] &amp; "-" &amp;Table1[[#This Row],[BRAND]]</f>
        <v>0-</v>
      </c>
      <c r="C2106" s="19" t="str">
        <f>Table1[[#This Row],[Fiscal_Year]]&amp;"-"&amp;Table1[[#This Row],[BRAND]]</f>
        <v>-</v>
      </c>
      <c r="J2106" t="e">
        <f>VLOOKUP(H2106,DC_Xref!A:B,2,FALSE)</f>
        <v>#N/A</v>
      </c>
      <c r="K2106">
        <f t="shared" si="32"/>
        <v>0</v>
      </c>
      <c r="L21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6" s="3">
        <f>IFERROR(INDEX(Table3[#All],MATCH(Table1[[#This Row],[Key_Year_Week_Brand]],Table3[[#All],[Key_Year_Week_Brand]],0),MATCH(Table1[[#This Row],[DC_name_Xref]],Table3[#Headers],0)),0)</f>
        <v>0</v>
      </c>
      <c r="O2106" s="19">
        <f>IFERROR(INDEX(Table35[#All],MATCH(Table1[[#This Row],[Key_Year_Week_Brand]],Table35[[#All],[Key_Year_Month_Brand]],0),MATCH(Table1[[#This Row],[DC_name_Xref]],Table35[#Headers],0)),0)</f>
        <v>0</v>
      </c>
    </row>
    <row r="2107" spans="1:15" x14ac:dyDescent="0.3">
      <c r="A2107" s="19" t="e">
        <f>Table1[[#This Row],[Year_Week]]&amp;"-"&amp;Table1[[#This Row],[DC_name_Xref]]</f>
        <v>#N/A</v>
      </c>
      <c r="B2107" s="19" t="str">
        <f>Table1[[#This Row],[Fiscal_Year]]*100+Table1[[#This Row],[Fiscal_Week]] &amp; "-" &amp;Table1[[#This Row],[BRAND]]</f>
        <v>0-</v>
      </c>
      <c r="C2107" s="19" t="str">
        <f>Table1[[#This Row],[Fiscal_Year]]&amp;"-"&amp;Table1[[#This Row],[BRAND]]</f>
        <v>-</v>
      </c>
      <c r="J2107" t="e">
        <f>VLOOKUP(H2107,DC_Xref!A:B,2,FALSE)</f>
        <v>#N/A</v>
      </c>
      <c r="K2107">
        <f t="shared" si="32"/>
        <v>0</v>
      </c>
      <c r="L21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7" s="3">
        <f>IFERROR(INDEX(Table3[#All],MATCH(Table1[[#This Row],[Key_Year_Week_Brand]],Table3[[#All],[Key_Year_Week_Brand]],0),MATCH(Table1[[#This Row],[DC_name_Xref]],Table3[#Headers],0)),0)</f>
        <v>0</v>
      </c>
      <c r="O2107" s="19">
        <f>IFERROR(INDEX(Table35[#All],MATCH(Table1[[#This Row],[Key_Year_Week_Brand]],Table35[[#All],[Key_Year_Month_Brand]],0),MATCH(Table1[[#This Row],[DC_name_Xref]],Table35[#Headers],0)),0)</f>
        <v>0</v>
      </c>
    </row>
    <row r="2108" spans="1:15" x14ac:dyDescent="0.3">
      <c r="A2108" s="19" t="e">
        <f>Table1[[#This Row],[Year_Week]]&amp;"-"&amp;Table1[[#This Row],[DC_name_Xref]]</f>
        <v>#N/A</v>
      </c>
      <c r="B2108" s="19" t="str">
        <f>Table1[[#This Row],[Fiscal_Year]]*100+Table1[[#This Row],[Fiscal_Week]] &amp; "-" &amp;Table1[[#This Row],[BRAND]]</f>
        <v>0-</v>
      </c>
      <c r="C2108" s="19" t="str">
        <f>Table1[[#This Row],[Fiscal_Year]]&amp;"-"&amp;Table1[[#This Row],[BRAND]]</f>
        <v>-</v>
      </c>
      <c r="J2108" t="e">
        <f>VLOOKUP(H2108,DC_Xref!A:B,2,FALSE)</f>
        <v>#N/A</v>
      </c>
      <c r="K2108">
        <f t="shared" si="32"/>
        <v>0</v>
      </c>
      <c r="L21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8" s="3">
        <f>IFERROR(INDEX(Table3[#All],MATCH(Table1[[#This Row],[Key_Year_Week_Brand]],Table3[[#All],[Key_Year_Week_Brand]],0),MATCH(Table1[[#This Row],[DC_name_Xref]],Table3[#Headers],0)),0)</f>
        <v>0</v>
      </c>
      <c r="O2108" s="19">
        <f>IFERROR(INDEX(Table35[#All],MATCH(Table1[[#This Row],[Key_Year_Week_Brand]],Table35[[#All],[Key_Year_Month_Brand]],0),MATCH(Table1[[#This Row],[DC_name_Xref]],Table35[#Headers],0)),0)</f>
        <v>0</v>
      </c>
    </row>
    <row r="2109" spans="1:15" x14ac:dyDescent="0.3">
      <c r="A2109" s="19" t="e">
        <f>Table1[[#This Row],[Year_Week]]&amp;"-"&amp;Table1[[#This Row],[DC_name_Xref]]</f>
        <v>#N/A</v>
      </c>
      <c r="B2109" s="19" t="str">
        <f>Table1[[#This Row],[Fiscal_Year]]*100+Table1[[#This Row],[Fiscal_Week]] &amp; "-" &amp;Table1[[#This Row],[BRAND]]</f>
        <v>0-</v>
      </c>
      <c r="C2109" s="19" t="str">
        <f>Table1[[#This Row],[Fiscal_Year]]&amp;"-"&amp;Table1[[#This Row],[BRAND]]</f>
        <v>-</v>
      </c>
      <c r="J2109" t="e">
        <f>VLOOKUP(H2109,DC_Xref!A:B,2,FALSE)</f>
        <v>#N/A</v>
      </c>
      <c r="K2109">
        <f t="shared" si="32"/>
        <v>0</v>
      </c>
      <c r="L21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09" s="3">
        <f>IFERROR(INDEX(Table3[#All],MATCH(Table1[[#This Row],[Key_Year_Week_Brand]],Table3[[#All],[Key_Year_Week_Brand]],0),MATCH(Table1[[#This Row],[DC_name_Xref]],Table3[#Headers],0)),0)</f>
        <v>0</v>
      </c>
      <c r="O2109" s="19">
        <f>IFERROR(INDEX(Table35[#All],MATCH(Table1[[#This Row],[Key_Year_Week_Brand]],Table35[[#All],[Key_Year_Month_Brand]],0),MATCH(Table1[[#This Row],[DC_name_Xref]],Table35[#Headers],0)),0)</f>
        <v>0</v>
      </c>
    </row>
    <row r="2110" spans="1:15" x14ac:dyDescent="0.3">
      <c r="A2110" s="19" t="e">
        <f>Table1[[#This Row],[Year_Week]]&amp;"-"&amp;Table1[[#This Row],[DC_name_Xref]]</f>
        <v>#N/A</v>
      </c>
      <c r="B2110" s="19" t="str">
        <f>Table1[[#This Row],[Fiscal_Year]]*100+Table1[[#This Row],[Fiscal_Week]] &amp; "-" &amp;Table1[[#This Row],[BRAND]]</f>
        <v>0-</v>
      </c>
      <c r="C2110" s="19" t="str">
        <f>Table1[[#This Row],[Fiscal_Year]]&amp;"-"&amp;Table1[[#This Row],[BRAND]]</f>
        <v>-</v>
      </c>
      <c r="J2110" t="e">
        <f>VLOOKUP(H2110,DC_Xref!A:B,2,FALSE)</f>
        <v>#N/A</v>
      </c>
      <c r="K2110">
        <f t="shared" si="32"/>
        <v>0</v>
      </c>
      <c r="L21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0" s="3">
        <f>IFERROR(INDEX(Table3[#All],MATCH(Table1[[#This Row],[Key_Year_Week_Brand]],Table3[[#All],[Key_Year_Week_Brand]],0),MATCH(Table1[[#This Row],[DC_name_Xref]],Table3[#Headers],0)),0)</f>
        <v>0</v>
      </c>
      <c r="O2110" s="19">
        <f>IFERROR(INDEX(Table35[#All],MATCH(Table1[[#This Row],[Key_Year_Week_Brand]],Table35[[#All],[Key_Year_Month_Brand]],0),MATCH(Table1[[#This Row],[DC_name_Xref]],Table35[#Headers],0)),0)</f>
        <v>0</v>
      </c>
    </row>
    <row r="2111" spans="1:15" x14ac:dyDescent="0.3">
      <c r="A2111" s="19" t="e">
        <f>Table1[[#This Row],[Year_Week]]&amp;"-"&amp;Table1[[#This Row],[DC_name_Xref]]</f>
        <v>#N/A</v>
      </c>
      <c r="B2111" s="19" t="str">
        <f>Table1[[#This Row],[Fiscal_Year]]*100+Table1[[#This Row],[Fiscal_Week]] &amp; "-" &amp;Table1[[#This Row],[BRAND]]</f>
        <v>0-</v>
      </c>
      <c r="C2111" s="19" t="str">
        <f>Table1[[#This Row],[Fiscal_Year]]&amp;"-"&amp;Table1[[#This Row],[BRAND]]</f>
        <v>-</v>
      </c>
      <c r="J2111" t="e">
        <f>VLOOKUP(H2111,DC_Xref!A:B,2,FALSE)</f>
        <v>#N/A</v>
      </c>
      <c r="K2111">
        <f t="shared" si="32"/>
        <v>0</v>
      </c>
      <c r="L21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1" s="3">
        <f>IFERROR(INDEX(Table3[#All],MATCH(Table1[[#This Row],[Key_Year_Week_Brand]],Table3[[#All],[Key_Year_Week_Brand]],0),MATCH(Table1[[#This Row],[DC_name_Xref]],Table3[#Headers],0)),0)</f>
        <v>0</v>
      </c>
      <c r="O2111" s="19">
        <f>IFERROR(INDEX(Table35[#All],MATCH(Table1[[#This Row],[Key_Year_Week_Brand]],Table35[[#All],[Key_Year_Month_Brand]],0),MATCH(Table1[[#This Row],[DC_name_Xref]],Table35[#Headers],0)),0)</f>
        <v>0</v>
      </c>
    </row>
    <row r="2112" spans="1:15" x14ac:dyDescent="0.3">
      <c r="A2112" s="19" t="e">
        <f>Table1[[#This Row],[Year_Week]]&amp;"-"&amp;Table1[[#This Row],[DC_name_Xref]]</f>
        <v>#N/A</v>
      </c>
      <c r="B2112" s="19" t="str">
        <f>Table1[[#This Row],[Fiscal_Year]]*100+Table1[[#This Row],[Fiscal_Week]] &amp; "-" &amp;Table1[[#This Row],[BRAND]]</f>
        <v>0-</v>
      </c>
      <c r="C2112" s="19" t="str">
        <f>Table1[[#This Row],[Fiscal_Year]]&amp;"-"&amp;Table1[[#This Row],[BRAND]]</f>
        <v>-</v>
      </c>
      <c r="J2112" t="e">
        <f>VLOOKUP(H2112,DC_Xref!A:B,2,FALSE)</f>
        <v>#N/A</v>
      </c>
      <c r="K2112">
        <f t="shared" si="32"/>
        <v>0</v>
      </c>
      <c r="L21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2" s="3">
        <f>IFERROR(INDEX(Table3[#All],MATCH(Table1[[#This Row],[Key_Year_Week_Brand]],Table3[[#All],[Key_Year_Week_Brand]],0),MATCH(Table1[[#This Row],[DC_name_Xref]],Table3[#Headers],0)),0)</f>
        <v>0</v>
      </c>
      <c r="O2112" s="19">
        <f>IFERROR(INDEX(Table35[#All],MATCH(Table1[[#This Row],[Key_Year_Week_Brand]],Table35[[#All],[Key_Year_Month_Brand]],0),MATCH(Table1[[#This Row],[DC_name_Xref]],Table35[#Headers],0)),0)</f>
        <v>0</v>
      </c>
    </row>
    <row r="2113" spans="1:15" x14ac:dyDescent="0.3">
      <c r="A2113" s="19" t="e">
        <f>Table1[[#This Row],[Year_Week]]&amp;"-"&amp;Table1[[#This Row],[DC_name_Xref]]</f>
        <v>#N/A</v>
      </c>
      <c r="B2113" s="19" t="str">
        <f>Table1[[#This Row],[Fiscal_Year]]*100+Table1[[#This Row],[Fiscal_Week]] &amp; "-" &amp;Table1[[#This Row],[BRAND]]</f>
        <v>0-</v>
      </c>
      <c r="C2113" s="19" t="str">
        <f>Table1[[#This Row],[Fiscal_Year]]&amp;"-"&amp;Table1[[#This Row],[BRAND]]</f>
        <v>-</v>
      </c>
      <c r="J2113" t="e">
        <f>VLOOKUP(H2113,DC_Xref!A:B,2,FALSE)</f>
        <v>#N/A</v>
      </c>
      <c r="K2113">
        <f t="shared" si="32"/>
        <v>0</v>
      </c>
      <c r="L21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3" s="3">
        <f>IFERROR(INDEX(Table3[#All],MATCH(Table1[[#This Row],[Key_Year_Week_Brand]],Table3[[#All],[Key_Year_Week_Brand]],0),MATCH(Table1[[#This Row],[DC_name_Xref]],Table3[#Headers],0)),0)</f>
        <v>0</v>
      </c>
      <c r="O2113" s="19">
        <f>IFERROR(INDEX(Table35[#All],MATCH(Table1[[#This Row],[Key_Year_Week_Brand]],Table35[[#All],[Key_Year_Month_Brand]],0),MATCH(Table1[[#This Row],[DC_name_Xref]],Table35[#Headers],0)),0)</f>
        <v>0</v>
      </c>
    </row>
    <row r="2114" spans="1:15" x14ac:dyDescent="0.3">
      <c r="A2114" s="19" t="e">
        <f>Table1[[#This Row],[Year_Week]]&amp;"-"&amp;Table1[[#This Row],[DC_name_Xref]]</f>
        <v>#N/A</v>
      </c>
      <c r="B2114" s="19" t="str">
        <f>Table1[[#This Row],[Fiscal_Year]]*100+Table1[[#This Row],[Fiscal_Week]] &amp; "-" &amp;Table1[[#This Row],[BRAND]]</f>
        <v>0-</v>
      </c>
      <c r="C2114" s="19" t="str">
        <f>Table1[[#This Row],[Fiscal_Year]]&amp;"-"&amp;Table1[[#This Row],[BRAND]]</f>
        <v>-</v>
      </c>
      <c r="J2114" t="e">
        <f>VLOOKUP(H2114,DC_Xref!A:B,2,FALSE)</f>
        <v>#N/A</v>
      </c>
      <c r="K2114">
        <f t="shared" si="32"/>
        <v>0</v>
      </c>
      <c r="L21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4" s="3">
        <f>IFERROR(INDEX(Table3[#All],MATCH(Table1[[#This Row],[Key_Year_Week_Brand]],Table3[[#All],[Key_Year_Week_Brand]],0),MATCH(Table1[[#This Row],[DC_name_Xref]],Table3[#Headers],0)),0)</f>
        <v>0</v>
      </c>
      <c r="O2114" s="19">
        <f>IFERROR(INDEX(Table35[#All],MATCH(Table1[[#This Row],[Key_Year_Week_Brand]],Table35[[#All],[Key_Year_Month_Brand]],0),MATCH(Table1[[#This Row],[DC_name_Xref]],Table35[#Headers],0)),0)</f>
        <v>0</v>
      </c>
    </row>
    <row r="2115" spans="1:15" x14ac:dyDescent="0.3">
      <c r="A2115" s="19" t="e">
        <f>Table1[[#This Row],[Year_Week]]&amp;"-"&amp;Table1[[#This Row],[DC_name_Xref]]</f>
        <v>#N/A</v>
      </c>
      <c r="B2115" s="19" t="str">
        <f>Table1[[#This Row],[Fiscal_Year]]*100+Table1[[#This Row],[Fiscal_Week]] &amp; "-" &amp;Table1[[#This Row],[BRAND]]</f>
        <v>0-</v>
      </c>
      <c r="C2115" s="19" t="str">
        <f>Table1[[#This Row],[Fiscal_Year]]&amp;"-"&amp;Table1[[#This Row],[BRAND]]</f>
        <v>-</v>
      </c>
      <c r="J2115" t="e">
        <f>VLOOKUP(H2115,DC_Xref!A:B,2,FALSE)</f>
        <v>#N/A</v>
      </c>
      <c r="K2115">
        <f t="shared" si="32"/>
        <v>0</v>
      </c>
      <c r="L21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5" s="3">
        <f>IFERROR(INDEX(Table3[#All],MATCH(Table1[[#This Row],[Key_Year_Week_Brand]],Table3[[#All],[Key_Year_Week_Brand]],0),MATCH(Table1[[#This Row],[DC_name_Xref]],Table3[#Headers],0)),0)</f>
        <v>0</v>
      </c>
      <c r="O2115" s="19">
        <f>IFERROR(INDEX(Table35[#All],MATCH(Table1[[#This Row],[Key_Year_Week_Brand]],Table35[[#All],[Key_Year_Month_Brand]],0),MATCH(Table1[[#This Row],[DC_name_Xref]],Table35[#Headers],0)),0)</f>
        <v>0</v>
      </c>
    </row>
    <row r="2116" spans="1:15" x14ac:dyDescent="0.3">
      <c r="A2116" s="19" t="e">
        <f>Table1[[#This Row],[Year_Week]]&amp;"-"&amp;Table1[[#This Row],[DC_name_Xref]]</f>
        <v>#N/A</v>
      </c>
      <c r="B2116" s="19" t="str">
        <f>Table1[[#This Row],[Fiscal_Year]]*100+Table1[[#This Row],[Fiscal_Week]] &amp; "-" &amp;Table1[[#This Row],[BRAND]]</f>
        <v>0-</v>
      </c>
      <c r="C2116" s="19" t="str">
        <f>Table1[[#This Row],[Fiscal_Year]]&amp;"-"&amp;Table1[[#This Row],[BRAND]]</f>
        <v>-</v>
      </c>
      <c r="J2116" t="e">
        <f>VLOOKUP(H2116,DC_Xref!A:B,2,FALSE)</f>
        <v>#N/A</v>
      </c>
      <c r="K2116">
        <f t="shared" si="32"/>
        <v>0</v>
      </c>
      <c r="L21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6" s="3">
        <f>IFERROR(INDEX(Table3[#All],MATCH(Table1[[#This Row],[Key_Year_Week_Brand]],Table3[[#All],[Key_Year_Week_Brand]],0),MATCH(Table1[[#This Row],[DC_name_Xref]],Table3[#Headers],0)),0)</f>
        <v>0</v>
      </c>
      <c r="O2116" s="19">
        <f>IFERROR(INDEX(Table35[#All],MATCH(Table1[[#This Row],[Key_Year_Week_Brand]],Table35[[#All],[Key_Year_Month_Brand]],0),MATCH(Table1[[#This Row],[DC_name_Xref]],Table35[#Headers],0)),0)</f>
        <v>0</v>
      </c>
    </row>
    <row r="2117" spans="1:15" x14ac:dyDescent="0.3">
      <c r="A2117" s="19" t="e">
        <f>Table1[[#This Row],[Year_Week]]&amp;"-"&amp;Table1[[#This Row],[DC_name_Xref]]</f>
        <v>#N/A</v>
      </c>
      <c r="B2117" s="19" t="str">
        <f>Table1[[#This Row],[Fiscal_Year]]*100+Table1[[#This Row],[Fiscal_Week]] &amp; "-" &amp;Table1[[#This Row],[BRAND]]</f>
        <v>0-</v>
      </c>
      <c r="C2117" s="19" t="str">
        <f>Table1[[#This Row],[Fiscal_Year]]&amp;"-"&amp;Table1[[#This Row],[BRAND]]</f>
        <v>-</v>
      </c>
      <c r="J2117" t="e">
        <f>VLOOKUP(H2117,DC_Xref!A:B,2,FALSE)</f>
        <v>#N/A</v>
      </c>
      <c r="K2117">
        <f t="shared" si="32"/>
        <v>0</v>
      </c>
      <c r="L21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7" s="3">
        <f>IFERROR(INDEX(Table3[#All],MATCH(Table1[[#This Row],[Key_Year_Week_Brand]],Table3[[#All],[Key_Year_Week_Brand]],0),MATCH(Table1[[#This Row],[DC_name_Xref]],Table3[#Headers],0)),0)</f>
        <v>0</v>
      </c>
      <c r="O2117" s="19">
        <f>IFERROR(INDEX(Table35[#All],MATCH(Table1[[#This Row],[Key_Year_Week_Brand]],Table35[[#All],[Key_Year_Month_Brand]],0),MATCH(Table1[[#This Row],[DC_name_Xref]],Table35[#Headers],0)),0)</f>
        <v>0</v>
      </c>
    </row>
    <row r="2118" spans="1:15" x14ac:dyDescent="0.3">
      <c r="A2118" s="19" t="e">
        <f>Table1[[#This Row],[Year_Week]]&amp;"-"&amp;Table1[[#This Row],[DC_name_Xref]]</f>
        <v>#N/A</v>
      </c>
      <c r="B2118" s="19" t="str">
        <f>Table1[[#This Row],[Fiscal_Year]]*100+Table1[[#This Row],[Fiscal_Week]] &amp; "-" &amp;Table1[[#This Row],[BRAND]]</f>
        <v>0-</v>
      </c>
      <c r="C2118" s="19" t="str">
        <f>Table1[[#This Row],[Fiscal_Year]]&amp;"-"&amp;Table1[[#This Row],[BRAND]]</f>
        <v>-</v>
      </c>
      <c r="J2118" t="e">
        <f>VLOOKUP(H2118,DC_Xref!A:B,2,FALSE)</f>
        <v>#N/A</v>
      </c>
      <c r="K2118">
        <f t="shared" ref="K2118:K2181" si="33">D2118*100+E2118</f>
        <v>0</v>
      </c>
      <c r="L21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8" s="3">
        <f>IFERROR(INDEX(Table3[#All],MATCH(Table1[[#This Row],[Key_Year_Week_Brand]],Table3[[#All],[Key_Year_Week_Brand]],0),MATCH(Table1[[#This Row],[DC_name_Xref]],Table3[#Headers],0)),0)</f>
        <v>0</v>
      </c>
      <c r="O2118" s="19">
        <f>IFERROR(INDEX(Table35[#All],MATCH(Table1[[#This Row],[Key_Year_Week_Brand]],Table35[[#All],[Key_Year_Month_Brand]],0),MATCH(Table1[[#This Row],[DC_name_Xref]],Table35[#Headers],0)),0)</f>
        <v>0</v>
      </c>
    </row>
    <row r="2119" spans="1:15" x14ac:dyDescent="0.3">
      <c r="A2119" s="19" t="e">
        <f>Table1[[#This Row],[Year_Week]]&amp;"-"&amp;Table1[[#This Row],[DC_name_Xref]]</f>
        <v>#N/A</v>
      </c>
      <c r="B2119" s="19" t="str">
        <f>Table1[[#This Row],[Fiscal_Year]]*100+Table1[[#This Row],[Fiscal_Week]] &amp; "-" &amp;Table1[[#This Row],[BRAND]]</f>
        <v>0-</v>
      </c>
      <c r="C2119" s="19" t="str">
        <f>Table1[[#This Row],[Fiscal_Year]]&amp;"-"&amp;Table1[[#This Row],[BRAND]]</f>
        <v>-</v>
      </c>
      <c r="J2119" t="e">
        <f>VLOOKUP(H2119,DC_Xref!A:B,2,FALSE)</f>
        <v>#N/A</v>
      </c>
      <c r="K2119">
        <f t="shared" si="33"/>
        <v>0</v>
      </c>
      <c r="L21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19" s="3">
        <f>IFERROR(INDEX(Table3[#All],MATCH(Table1[[#This Row],[Key_Year_Week_Brand]],Table3[[#All],[Key_Year_Week_Brand]],0),MATCH(Table1[[#This Row],[DC_name_Xref]],Table3[#Headers],0)),0)</f>
        <v>0</v>
      </c>
      <c r="O2119" s="19">
        <f>IFERROR(INDEX(Table35[#All],MATCH(Table1[[#This Row],[Key_Year_Week_Brand]],Table35[[#All],[Key_Year_Month_Brand]],0),MATCH(Table1[[#This Row],[DC_name_Xref]],Table35[#Headers],0)),0)</f>
        <v>0</v>
      </c>
    </row>
    <row r="2120" spans="1:15" x14ac:dyDescent="0.3">
      <c r="A2120" s="19" t="e">
        <f>Table1[[#This Row],[Year_Week]]&amp;"-"&amp;Table1[[#This Row],[DC_name_Xref]]</f>
        <v>#N/A</v>
      </c>
      <c r="B2120" s="19" t="str">
        <f>Table1[[#This Row],[Fiscal_Year]]*100+Table1[[#This Row],[Fiscal_Week]] &amp; "-" &amp;Table1[[#This Row],[BRAND]]</f>
        <v>0-</v>
      </c>
      <c r="C2120" s="19" t="str">
        <f>Table1[[#This Row],[Fiscal_Year]]&amp;"-"&amp;Table1[[#This Row],[BRAND]]</f>
        <v>-</v>
      </c>
      <c r="J2120" t="e">
        <f>VLOOKUP(H2120,DC_Xref!A:B,2,FALSE)</f>
        <v>#N/A</v>
      </c>
      <c r="K2120">
        <f t="shared" si="33"/>
        <v>0</v>
      </c>
      <c r="L21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0" s="3">
        <f>IFERROR(INDEX(Table3[#All],MATCH(Table1[[#This Row],[Key_Year_Week_Brand]],Table3[[#All],[Key_Year_Week_Brand]],0),MATCH(Table1[[#This Row],[DC_name_Xref]],Table3[#Headers],0)),0)</f>
        <v>0</v>
      </c>
      <c r="O2120" s="19">
        <f>IFERROR(INDEX(Table35[#All],MATCH(Table1[[#This Row],[Key_Year_Week_Brand]],Table35[[#All],[Key_Year_Month_Brand]],0),MATCH(Table1[[#This Row],[DC_name_Xref]],Table35[#Headers],0)),0)</f>
        <v>0</v>
      </c>
    </row>
    <row r="2121" spans="1:15" x14ac:dyDescent="0.3">
      <c r="A2121" s="19" t="e">
        <f>Table1[[#This Row],[Year_Week]]&amp;"-"&amp;Table1[[#This Row],[DC_name_Xref]]</f>
        <v>#N/A</v>
      </c>
      <c r="B2121" s="19" t="str">
        <f>Table1[[#This Row],[Fiscal_Year]]*100+Table1[[#This Row],[Fiscal_Week]] &amp; "-" &amp;Table1[[#This Row],[BRAND]]</f>
        <v>0-</v>
      </c>
      <c r="C2121" s="19" t="str">
        <f>Table1[[#This Row],[Fiscal_Year]]&amp;"-"&amp;Table1[[#This Row],[BRAND]]</f>
        <v>-</v>
      </c>
      <c r="J2121" t="e">
        <f>VLOOKUP(H2121,DC_Xref!A:B,2,FALSE)</f>
        <v>#N/A</v>
      </c>
      <c r="K2121">
        <f t="shared" si="33"/>
        <v>0</v>
      </c>
      <c r="L21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1" s="3">
        <f>IFERROR(INDEX(Table3[#All],MATCH(Table1[[#This Row],[Key_Year_Week_Brand]],Table3[[#All],[Key_Year_Week_Brand]],0),MATCH(Table1[[#This Row],[DC_name_Xref]],Table3[#Headers],0)),0)</f>
        <v>0</v>
      </c>
      <c r="O2121" s="19">
        <f>IFERROR(INDEX(Table35[#All],MATCH(Table1[[#This Row],[Key_Year_Week_Brand]],Table35[[#All],[Key_Year_Month_Brand]],0),MATCH(Table1[[#This Row],[DC_name_Xref]],Table35[#Headers],0)),0)</f>
        <v>0</v>
      </c>
    </row>
    <row r="2122" spans="1:15" x14ac:dyDescent="0.3">
      <c r="A2122" s="19" t="e">
        <f>Table1[[#This Row],[Year_Week]]&amp;"-"&amp;Table1[[#This Row],[DC_name_Xref]]</f>
        <v>#N/A</v>
      </c>
      <c r="B2122" s="19" t="str">
        <f>Table1[[#This Row],[Fiscal_Year]]*100+Table1[[#This Row],[Fiscal_Week]] &amp; "-" &amp;Table1[[#This Row],[BRAND]]</f>
        <v>0-</v>
      </c>
      <c r="C2122" s="19" t="str">
        <f>Table1[[#This Row],[Fiscal_Year]]&amp;"-"&amp;Table1[[#This Row],[BRAND]]</f>
        <v>-</v>
      </c>
      <c r="J2122" t="e">
        <f>VLOOKUP(H2122,DC_Xref!A:B,2,FALSE)</f>
        <v>#N/A</v>
      </c>
      <c r="K2122">
        <f t="shared" si="33"/>
        <v>0</v>
      </c>
      <c r="L21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2" s="3">
        <f>IFERROR(INDEX(Table3[#All],MATCH(Table1[[#This Row],[Key_Year_Week_Brand]],Table3[[#All],[Key_Year_Week_Brand]],0),MATCH(Table1[[#This Row],[DC_name_Xref]],Table3[#Headers],0)),0)</f>
        <v>0</v>
      </c>
      <c r="O2122" s="19">
        <f>IFERROR(INDEX(Table35[#All],MATCH(Table1[[#This Row],[Key_Year_Week_Brand]],Table35[[#All],[Key_Year_Month_Brand]],0),MATCH(Table1[[#This Row],[DC_name_Xref]],Table35[#Headers],0)),0)</f>
        <v>0</v>
      </c>
    </row>
    <row r="2123" spans="1:15" x14ac:dyDescent="0.3">
      <c r="A2123" s="19" t="e">
        <f>Table1[[#This Row],[Year_Week]]&amp;"-"&amp;Table1[[#This Row],[DC_name_Xref]]</f>
        <v>#N/A</v>
      </c>
      <c r="B2123" s="19" t="str">
        <f>Table1[[#This Row],[Fiscal_Year]]*100+Table1[[#This Row],[Fiscal_Week]] &amp; "-" &amp;Table1[[#This Row],[BRAND]]</f>
        <v>0-</v>
      </c>
      <c r="C2123" s="19" t="str">
        <f>Table1[[#This Row],[Fiscal_Year]]&amp;"-"&amp;Table1[[#This Row],[BRAND]]</f>
        <v>-</v>
      </c>
      <c r="J2123" t="e">
        <f>VLOOKUP(H2123,DC_Xref!A:B,2,FALSE)</f>
        <v>#N/A</v>
      </c>
      <c r="K2123">
        <f t="shared" si="33"/>
        <v>0</v>
      </c>
      <c r="L21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3" s="3">
        <f>IFERROR(INDEX(Table3[#All],MATCH(Table1[[#This Row],[Key_Year_Week_Brand]],Table3[[#All],[Key_Year_Week_Brand]],0),MATCH(Table1[[#This Row],[DC_name_Xref]],Table3[#Headers],0)),0)</f>
        <v>0</v>
      </c>
      <c r="O2123" s="19">
        <f>IFERROR(INDEX(Table35[#All],MATCH(Table1[[#This Row],[Key_Year_Week_Brand]],Table35[[#All],[Key_Year_Month_Brand]],0),MATCH(Table1[[#This Row],[DC_name_Xref]],Table35[#Headers],0)),0)</f>
        <v>0</v>
      </c>
    </row>
    <row r="2124" spans="1:15" x14ac:dyDescent="0.3">
      <c r="A2124" s="19" t="e">
        <f>Table1[[#This Row],[Year_Week]]&amp;"-"&amp;Table1[[#This Row],[DC_name_Xref]]</f>
        <v>#N/A</v>
      </c>
      <c r="B2124" s="19" t="str">
        <f>Table1[[#This Row],[Fiscal_Year]]*100+Table1[[#This Row],[Fiscal_Week]] &amp; "-" &amp;Table1[[#This Row],[BRAND]]</f>
        <v>0-</v>
      </c>
      <c r="C2124" s="19" t="str">
        <f>Table1[[#This Row],[Fiscal_Year]]&amp;"-"&amp;Table1[[#This Row],[BRAND]]</f>
        <v>-</v>
      </c>
      <c r="J2124" t="e">
        <f>VLOOKUP(H2124,DC_Xref!A:B,2,FALSE)</f>
        <v>#N/A</v>
      </c>
      <c r="K2124">
        <f t="shared" si="33"/>
        <v>0</v>
      </c>
      <c r="L21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4" s="3">
        <f>IFERROR(INDEX(Table3[#All],MATCH(Table1[[#This Row],[Key_Year_Week_Brand]],Table3[[#All],[Key_Year_Week_Brand]],0),MATCH(Table1[[#This Row],[DC_name_Xref]],Table3[#Headers],0)),0)</f>
        <v>0</v>
      </c>
      <c r="O2124" s="19">
        <f>IFERROR(INDEX(Table35[#All],MATCH(Table1[[#This Row],[Key_Year_Week_Brand]],Table35[[#All],[Key_Year_Month_Brand]],0),MATCH(Table1[[#This Row],[DC_name_Xref]],Table35[#Headers],0)),0)</f>
        <v>0</v>
      </c>
    </row>
    <row r="2125" spans="1:15" x14ac:dyDescent="0.3">
      <c r="A2125" s="19" t="e">
        <f>Table1[[#This Row],[Year_Week]]&amp;"-"&amp;Table1[[#This Row],[DC_name_Xref]]</f>
        <v>#N/A</v>
      </c>
      <c r="B2125" s="19" t="str">
        <f>Table1[[#This Row],[Fiscal_Year]]*100+Table1[[#This Row],[Fiscal_Week]] &amp; "-" &amp;Table1[[#This Row],[BRAND]]</f>
        <v>0-</v>
      </c>
      <c r="C2125" s="19" t="str">
        <f>Table1[[#This Row],[Fiscal_Year]]&amp;"-"&amp;Table1[[#This Row],[BRAND]]</f>
        <v>-</v>
      </c>
      <c r="J2125" t="e">
        <f>VLOOKUP(H2125,DC_Xref!A:B,2,FALSE)</f>
        <v>#N/A</v>
      </c>
      <c r="K2125">
        <f t="shared" si="33"/>
        <v>0</v>
      </c>
      <c r="L21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5" s="3">
        <f>IFERROR(INDEX(Table3[#All],MATCH(Table1[[#This Row],[Key_Year_Week_Brand]],Table3[[#All],[Key_Year_Week_Brand]],0),MATCH(Table1[[#This Row],[DC_name_Xref]],Table3[#Headers],0)),0)</f>
        <v>0</v>
      </c>
      <c r="O2125" s="19">
        <f>IFERROR(INDEX(Table35[#All],MATCH(Table1[[#This Row],[Key_Year_Week_Brand]],Table35[[#All],[Key_Year_Month_Brand]],0),MATCH(Table1[[#This Row],[DC_name_Xref]],Table35[#Headers],0)),0)</f>
        <v>0</v>
      </c>
    </row>
    <row r="2126" spans="1:15" x14ac:dyDescent="0.3">
      <c r="A2126" s="19" t="e">
        <f>Table1[[#This Row],[Year_Week]]&amp;"-"&amp;Table1[[#This Row],[DC_name_Xref]]</f>
        <v>#N/A</v>
      </c>
      <c r="B2126" s="19" t="str">
        <f>Table1[[#This Row],[Fiscal_Year]]*100+Table1[[#This Row],[Fiscal_Week]] &amp; "-" &amp;Table1[[#This Row],[BRAND]]</f>
        <v>0-</v>
      </c>
      <c r="C2126" s="19" t="str">
        <f>Table1[[#This Row],[Fiscal_Year]]&amp;"-"&amp;Table1[[#This Row],[BRAND]]</f>
        <v>-</v>
      </c>
      <c r="J2126" t="e">
        <f>VLOOKUP(H2126,DC_Xref!A:B,2,FALSE)</f>
        <v>#N/A</v>
      </c>
      <c r="K2126">
        <f t="shared" si="33"/>
        <v>0</v>
      </c>
      <c r="L21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6" s="3">
        <f>IFERROR(INDEX(Table3[#All],MATCH(Table1[[#This Row],[Key_Year_Week_Brand]],Table3[[#All],[Key_Year_Week_Brand]],0),MATCH(Table1[[#This Row],[DC_name_Xref]],Table3[#Headers],0)),0)</f>
        <v>0</v>
      </c>
      <c r="O2126" s="19">
        <f>IFERROR(INDEX(Table35[#All],MATCH(Table1[[#This Row],[Key_Year_Week_Brand]],Table35[[#All],[Key_Year_Month_Brand]],0),MATCH(Table1[[#This Row],[DC_name_Xref]],Table35[#Headers],0)),0)</f>
        <v>0</v>
      </c>
    </row>
    <row r="2127" spans="1:15" x14ac:dyDescent="0.3">
      <c r="A2127" s="19" t="e">
        <f>Table1[[#This Row],[Year_Week]]&amp;"-"&amp;Table1[[#This Row],[DC_name_Xref]]</f>
        <v>#N/A</v>
      </c>
      <c r="B2127" s="19" t="str">
        <f>Table1[[#This Row],[Fiscal_Year]]*100+Table1[[#This Row],[Fiscal_Week]] &amp; "-" &amp;Table1[[#This Row],[BRAND]]</f>
        <v>0-</v>
      </c>
      <c r="C2127" s="19" t="str">
        <f>Table1[[#This Row],[Fiscal_Year]]&amp;"-"&amp;Table1[[#This Row],[BRAND]]</f>
        <v>-</v>
      </c>
      <c r="J2127" t="e">
        <f>VLOOKUP(H2127,DC_Xref!A:B,2,FALSE)</f>
        <v>#N/A</v>
      </c>
      <c r="K2127">
        <f t="shared" si="33"/>
        <v>0</v>
      </c>
      <c r="L21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7" s="3">
        <f>IFERROR(INDEX(Table3[#All],MATCH(Table1[[#This Row],[Key_Year_Week_Brand]],Table3[[#All],[Key_Year_Week_Brand]],0),MATCH(Table1[[#This Row],[DC_name_Xref]],Table3[#Headers],0)),0)</f>
        <v>0</v>
      </c>
      <c r="O2127" s="19">
        <f>IFERROR(INDEX(Table35[#All],MATCH(Table1[[#This Row],[Key_Year_Week_Brand]],Table35[[#All],[Key_Year_Month_Brand]],0),MATCH(Table1[[#This Row],[DC_name_Xref]],Table35[#Headers],0)),0)</f>
        <v>0</v>
      </c>
    </row>
    <row r="2128" spans="1:15" x14ac:dyDescent="0.3">
      <c r="A2128" s="19" t="e">
        <f>Table1[[#This Row],[Year_Week]]&amp;"-"&amp;Table1[[#This Row],[DC_name_Xref]]</f>
        <v>#N/A</v>
      </c>
      <c r="B2128" s="19" t="str">
        <f>Table1[[#This Row],[Fiscal_Year]]*100+Table1[[#This Row],[Fiscal_Week]] &amp; "-" &amp;Table1[[#This Row],[BRAND]]</f>
        <v>0-</v>
      </c>
      <c r="C2128" s="19" t="str">
        <f>Table1[[#This Row],[Fiscal_Year]]&amp;"-"&amp;Table1[[#This Row],[BRAND]]</f>
        <v>-</v>
      </c>
      <c r="J2128" t="e">
        <f>VLOOKUP(H2128,DC_Xref!A:B,2,FALSE)</f>
        <v>#N/A</v>
      </c>
      <c r="K2128">
        <f t="shared" si="33"/>
        <v>0</v>
      </c>
      <c r="L21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8" s="3">
        <f>IFERROR(INDEX(Table3[#All],MATCH(Table1[[#This Row],[Key_Year_Week_Brand]],Table3[[#All],[Key_Year_Week_Brand]],0),MATCH(Table1[[#This Row],[DC_name_Xref]],Table3[#Headers],0)),0)</f>
        <v>0</v>
      </c>
      <c r="O2128" s="19">
        <f>IFERROR(INDEX(Table35[#All],MATCH(Table1[[#This Row],[Key_Year_Week_Brand]],Table35[[#All],[Key_Year_Month_Brand]],0),MATCH(Table1[[#This Row],[DC_name_Xref]],Table35[#Headers],0)),0)</f>
        <v>0</v>
      </c>
    </row>
    <row r="2129" spans="1:15" x14ac:dyDescent="0.3">
      <c r="A2129" s="19" t="e">
        <f>Table1[[#This Row],[Year_Week]]&amp;"-"&amp;Table1[[#This Row],[DC_name_Xref]]</f>
        <v>#N/A</v>
      </c>
      <c r="B2129" s="19" t="str">
        <f>Table1[[#This Row],[Fiscal_Year]]*100+Table1[[#This Row],[Fiscal_Week]] &amp; "-" &amp;Table1[[#This Row],[BRAND]]</f>
        <v>0-</v>
      </c>
      <c r="C2129" s="19" t="str">
        <f>Table1[[#This Row],[Fiscal_Year]]&amp;"-"&amp;Table1[[#This Row],[BRAND]]</f>
        <v>-</v>
      </c>
      <c r="J2129" t="e">
        <f>VLOOKUP(H2129,DC_Xref!A:B,2,FALSE)</f>
        <v>#N/A</v>
      </c>
      <c r="K2129">
        <f t="shared" si="33"/>
        <v>0</v>
      </c>
      <c r="L21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29" s="3">
        <f>IFERROR(INDEX(Table3[#All],MATCH(Table1[[#This Row],[Key_Year_Week_Brand]],Table3[[#All],[Key_Year_Week_Brand]],0),MATCH(Table1[[#This Row],[DC_name_Xref]],Table3[#Headers],0)),0)</f>
        <v>0</v>
      </c>
      <c r="O2129" s="19">
        <f>IFERROR(INDEX(Table35[#All],MATCH(Table1[[#This Row],[Key_Year_Week_Brand]],Table35[[#All],[Key_Year_Month_Brand]],0),MATCH(Table1[[#This Row],[DC_name_Xref]],Table35[#Headers],0)),0)</f>
        <v>0</v>
      </c>
    </row>
    <row r="2130" spans="1:15" x14ac:dyDescent="0.3">
      <c r="A2130" s="19" t="e">
        <f>Table1[[#This Row],[Year_Week]]&amp;"-"&amp;Table1[[#This Row],[DC_name_Xref]]</f>
        <v>#N/A</v>
      </c>
      <c r="B2130" s="19" t="str">
        <f>Table1[[#This Row],[Fiscal_Year]]*100+Table1[[#This Row],[Fiscal_Week]] &amp; "-" &amp;Table1[[#This Row],[BRAND]]</f>
        <v>0-</v>
      </c>
      <c r="C2130" s="19" t="str">
        <f>Table1[[#This Row],[Fiscal_Year]]&amp;"-"&amp;Table1[[#This Row],[BRAND]]</f>
        <v>-</v>
      </c>
      <c r="J2130" t="e">
        <f>VLOOKUP(H2130,DC_Xref!A:B,2,FALSE)</f>
        <v>#N/A</v>
      </c>
      <c r="K2130">
        <f t="shared" si="33"/>
        <v>0</v>
      </c>
      <c r="L21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0" s="3">
        <f>IFERROR(INDEX(Table3[#All],MATCH(Table1[[#This Row],[Key_Year_Week_Brand]],Table3[[#All],[Key_Year_Week_Brand]],0),MATCH(Table1[[#This Row],[DC_name_Xref]],Table3[#Headers],0)),0)</f>
        <v>0</v>
      </c>
      <c r="O2130" s="19">
        <f>IFERROR(INDEX(Table35[#All],MATCH(Table1[[#This Row],[Key_Year_Week_Brand]],Table35[[#All],[Key_Year_Month_Brand]],0),MATCH(Table1[[#This Row],[DC_name_Xref]],Table35[#Headers],0)),0)</f>
        <v>0</v>
      </c>
    </row>
    <row r="2131" spans="1:15" x14ac:dyDescent="0.3">
      <c r="A2131" s="19" t="e">
        <f>Table1[[#This Row],[Year_Week]]&amp;"-"&amp;Table1[[#This Row],[DC_name_Xref]]</f>
        <v>#N/A</v>
      </c>
      <c r="B2131" s="19" t="str">
        <f>Table1[[#This Row],[Fiscal_Year]]*100+Table1[[#This Row],[Fiscal_Week]] &amp; "-" &amp;Table1[[#This Row],[BRAND]]</f>
        <v>0-</v>
      </c>
      <c r="C2131" s="19" t="str">
        <f>Table1[[#This Row],[Fiscal_Year]]&amp;"-"&amp;Table1[[#This Row],[BRAND]]</f>
        <v>-</v>
      </c>
      <c r="J2131" t="e">
        <f>VLOOKUP(H2131,DC_Xref!A:B,2,FALSE)</f>
        <v>#N/A</v>
      </c>
      <c r="K2131">
        <f t="shared" si="33"/>
        <v>0</v>
      </c>
      <c r="L21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1" s="3">
        <f>IFERROR(INDEX(Table3[#All],MATCH(Table1[[#This Row],[Key_Year_Week_Brand]],Table3[[#All],[Key_Year_Week_Brand]],0),MATCH(Table1[[#This Row],[DC_name_Xref]],Table3[#Headers],0)),0)</f>
        <v>0</v>
      </c>
      <c r="O2131" s="19">
        <f>IFERROR(INDEX(Table35[#All],MATCH(Table1[[#This Row],[Key_Year_Week_Brand]],Table35[[#All],[Key_Year_Month_Brand]],0),MATCH(Table1[[#This Row],[DC_name_Xref]],Table35[#Headers],0)),0)</f>
        <v>0</v>
      </c>
    </row>
    <row r="2132" spans="1:15" x14ac:dyDescent="0.3">
      <c r="A2132" s="19" t="e">
        <f>Table1[[#This Row],[Year_Week]]&amp;"-"&amp;Table1[[#This Row],[DC_name_Xref]]</f>
        <v>#N/A</v>
      </c>
      <c r="B2132" s="19" t="str">
        <f>Table1[[#This Row],[Fiscal_Year]]*100+Table1[[#This Row],[Fiscal_Week]] &amp; "-" &amp;Table1[[#This Row],[BRAND]]</f>
        <v>0-</v>
      </c>
      <c r="C2132" s="19" t="str">
        <f>Table1[[#This Row],[Fiscal_Year]]&amp;"-"&amp;Table1[[#This Row],[BRAND]]</f>
        <v>-</v>
      </c>
      <c r="J2132" t="e">
        <f>VLOOKUP(H2132,DC_Xref!A:B,2,FALSE)</f>
        <v>#N/A</v>
      </c>
      <c r="K2132">
        <f t="shared" si="33"/>
        <v>0</v>
      </c>
      <c r="L21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2" s="3">
        <f>IFERROR(INDEX(Table3[#All],MATCH(Table1[[#This Row],[Key_Year_Week_Brand]],Table3[[#All],[Key_Year_Week_Brand]],0),MATCH(Table1[[#This Row],[DC_name_Xref]],Table3[#Headers],0)),0)</f>
        <v>0</v>
      </c>
      <c r="O2132" s="19">
        <f>IFERROR(INDEX(Table35[#All],MATCH(Table1[[#This Row],[Key_Year_Week_Brand]],Table35[[#All],[Key_Year_Month_Brand]],0),MATCH(Table1[[#This Row],[DC_name_Xref]],Table35[#Headers],0)),0)</f>
        <v>0</v>
      </c>
    </row>
    <row r="2133" spans="1:15" x14ac:dyDescent="0.3">
      <c r="A2133" s="19" t="e">
        <f>Table1[[#This Row],[Year_Week]]&amp;"-"&amp;Table1[[#This Row],[DC_name_Xref]]</f>
        <v>#N/A</v>
      </c>
      <c r="B2133" s="19" t="str">
        <f>Table1[[#This Row],[Fiscal_Year]]*100+Table1[[#This Row],[Fiscal_Week]] &amp; "-" &amp;Table1[[#This Row],[BRAND]]</f>
        <v>0-</v>
      </c>
      <c r="C2133" s="19" t="str">
        <f>Table1[[#This Row],[Fiscal_Year]]&amp;"-"&amp;Table1[[#This Row],[BRAND]]</f>
        <v>-</v>
      </c>
      <c r="J2133" t="e">
        <f>VLOOKUP(H2133,DC_Xref!A:B,2,FALSE)</f>
        <v>#N/A</v>
      </c>
      <c r="K2133">
        <f t="shared" si="33"/>
        <v>0</v>
      </c>
      <c r="L21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3" s="3">
        <f>IFERROR(INDEX(Table3[#All],MATCH(Table1[[#This Row],[Key_Year_Week_Brand]],Table3[[#All],[Key_Year_Week_Brand]],0),MATCH(Table1[[#This Row],[DC_name_Xref]],Table3[#Headers],0)),0)</f>
        <v>0</v>
      </c>
      <c r="O2133" s="19">
        <f>IFERROR(INDEX(Table35[#All],MATCH(Table1[[#This Row],[Key_Year_Week_Brand]],Table35[[#All],[Key_Year_Month_Brand]],0),MATCH(Table1[[#This Row],[DC_name_Xref]],Table35[#Headers],0)),0)</f>
        <v>0</v>
      </c>
    </row>
    <row r="2134" spans="1:15" x14ac:dyDescent="0.3">
      <c r="A2134" s="19" t="e">
        <f>Table1[[#This Row],[Year_Week]]&amp;"-"&amp;Table1[[#This Row],[DC_name_Xref]]</f>
        <v>#N/A</v>
      </c>
      <c r="B2134" s="19" t="str">
        <f>Table1[[#This Row],[Fiscal_Year]]*100+Table1[[#This Row],[Fiscal_Week]] &amp; "-" &amp;Table1[[#This Row],[BRAND]]</f>
        <v>0-</v>
      </c>
      <c r="C2134" s="19" t="str">
        <f>Table1[[#This Row],[Fiscal_Year]]&amp;"-"&amp;Table1[[#This Row],[BRAND]]</f>
        <v>-</v>
      </c>
      <c r="J2134" t="e">
        <f>VLOOKUP(H2134,DC_Xref!A:B,2,FALSE)</f>
        <v>#N/A</v>
      </c>
      <c r="K2134">
        <f t="shared" si="33"/>
        <v>0</v>
      </c>
      <c r="L21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4" s="3">
        <f>IFERROR(INDEX(Table3[#All],MATCH(Table1[[#This Row],[Key_Year_Week_Brand]],Table3[[#All],[Key_Year_Week_Brand]],0),MATCH(Table1[[#This Row],[DC_name_Xref]],Table3[#Headers],0)),0)</f>
        <v>0</v>
      </c>
      <c r="O2134" s="19">
        <f>IFERROR(INDEX(Table35[#All],MATCH(Table1[[#This Row],[Key_Year_Week_Brand]],Table35[[#All],[Key_Year_Month_Brand]],0),MATCH(Table1[[#This Row],[DC_name_Xref]],Table35[#Headers],0)),0)</f>
        <v>0</v>
      </c>
    </row>
    <row r="2135" spans="1:15" x14ac:dyDescent="0.3">
      <c r="A2135" s="19" t="e">
        <f>Table1[[#This Row],[Year_Week]]&amp;"-"&amp;Table1[[#This Row],[DC_name_Xref]]</f>
        <v>#N/A</v>
      </c>
      <c r="B2135" s="19" t="str">
        <f>Table1[[#This Row],[Fiscal_Year]]*100+Table1[[#This Row],[Fiscal_Week]] &amp; "-" &amp;Table1[[#This Row],[BRAND]]</f>
        <v>0-</v>
      </c>
      <c r="C2135" s="19" t="str">
        <f>Table1[[#This Row],[Fiscal_Year]]&amp;"-"&amp;Table1[[#This Row],[BRAND]]</f>
        <v>-</v>
      </c>
      <c r="J2135" t="e">
        <f>VLOOKUP(H2135,DC_Xref!A:B,2,FALSE)</f>
        <v>#N/A</v>
      </c>
      <c r="K2135">
        <f t="shared" si="33"/>
        <v>0</v>
      </c>
      <c r="L21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5" s="3">
        <f>IFERROR(INDEX(Table3[#All],MATCH(Table1[[#This Row],[Key_Year_Week_Brand]],Table3[[#All],[Key_Year_Week_Brand]],0),MATCH(Table1[[#This Row],[DC_name_Xref]],Table3[#Headers],0)),0)</f>
        <v>0</v>
      </c>
      <c r="O2135" s="19">
        <f>IFERROR(INDEX(Table35[#All],MATCH(Table1[[#This Row],[Key_Year_Week_Brand]],Table35[[#All],[Key_Year_Month_Brand]],0),MATCH(Table1[[#This Row],[DC_name_Xref]],Table35[#Headers],0)),0)</f>
        <v>0</v>
      </c>
    </row>
    <row r="2136" spans="1:15" x14ac:dyDescent="0.3">
      <c r="A2136" s="19" t="e">
        <f>Table1[[#This Row],[Year_Week]]&amp;"-"&amp;Table1[[#This Row],[DC_name_Xref]]</f>
        <v>#N/A</v>
      </c>
      <c r="B2136" s="19" t="str">
        <f>Table1[[#This Row],[Fiscal_Year]]*100+Table1[[#This Row],[Fiscal_Week]] &amp; "-" &amp;Table1[[#This Row],[BRAND]]</f>
        <v>0-</v>
      </c>
      <c r="C2136" s="19" t="str">
        <f>Table1[[#This Row],[Fiscal_Year]]&amp;"-"&amp;Table1[[#This Row],[BRAND]]</f>
        <v>-</v>
      </c>
      <c r="J2136" t="e">
        <f>VLOOKUP(H2136,DC_Xref!A:B,2,FALSE)</f>
        <v>#N/A</v>
      </c>
      <c r="K2136">
        <f t="shared" si="33"/>
        <v>0</v>
      </c>
      <c r="L21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6" s="3">
        <f>IFERROR(INDEX(Table3[#All],MATCH(Table1[[#This Row],[Key_Year_Week_Brand]],Table3[[#All],[Key_Year_Week_Brand]],0),MATCH(Table1[[#This Row],[DC_name_Xref]],Table3[#Headers],0)),0)</f>
        <v>0</v>
      </c>
      <c r="O2136" s="19">
        <f>IFERROR(INDEX(Table35[#All],MATCH(Table1[[#This Row],[Key_Year_Week_Brand]],Table35[[#All],[Key_Year_Month_Brand]],0),MATCH(Table1[[#This Row],[DC_name_Xref]],Table35[#Headers],0)),0)</f>
        <v>0</v>
      </c>
    </row>
    <row r="2137" spans="1:15" x14ac:dyDescent="0.3">
      <c r="A2137" s="19" t="e">
        <f>Table1[[#This Row],[Year_Week]]&amp;"-"&amp;Table1[[#This Row],[DC_name_Xref]]</f>
        <v>#N/A</v>
      </c>
      <c r="B2137" s="19" t="str">
        <f>Table1[[#This Row],[Fiscal_Year]]*100+Table1[[#This Row],[Fiscal_Week]] &amp; "-" &amp;Table1[[#This Row],[BRAND]]</f>
        <v>0-</v>
      </c>
      <c r="C2137" s="19" t="str">
        <f>Table1[[#This Row],[Fiscal_Year]]&amp;"-"&amp;Table1[[#This Row],[BRAND]]</f>
        <v>-</v>
      </c>
      <c r="J2137" t="e">
        <f>VLOOKUP(H2137,DC_Xref!A:B,2,FALSE)</f>
        <v>#N/A</v>
      </c>
      <c r="K2137">
        <f t="shared" si="33"/>
        <v>0</v>
      </c>
      <c r="L21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7" s="3">
        <f>IFERROR(INDEX(Table3[#All],MATCH(Table1[[#This Row],[Key_Year_Week_Brand]],Table3[[#All],[Key_Year_Week_Brand]],0),MATCH(Table1[[#This Row],[DC_name_Xref]],Table3[#Headers],0)),0)</f>
        <v>0</v>
      </c>
      <c r="O2137" s="19">
        <f>IFERROR(INDEX(Table35[#All],MATCH(Table1[[#This Row],[Key_Year_Week_Brand]],Table35[[#All],[Key_Year_Month_Brand]],0),MATCH(Table1[[#This Row],[DC_name_Xref]],Table35[#Headers],0)),0)</f>
        <v>0</v>
      </c>
    </row>
    <row r="2138" spans="1:15" x14ac:dyDescent="0.3">
      <c r="A2138" s="19" t="e">
        <f>Table1[[#This Row],[Year_Week]]&amp;"-"&amp;Table1[[#This Row],[DC_name_Xref]]</f>
        <v>#N/A</v>
      </c>
      <c r="B2138" s="19" t="str">
        <f>Table1[[#This Row],[Fiscal_Year]]*100+Table1[[#This Row],[Fiscal_Week]] &amp; "-" &amp;Table1[[#This Row],[BRAND]]</f>
        <v>0-</v>
      </c>
      <c r="C2138" s="19" t="str">
        <f>Table1[[#This Row],[Fiscal_Year]]&amp;"-"&amp;Table1[[#This Row],[BRAND]]</f>
        <v>-</v>
      </c>
      <c r="J2138" t="e">
        <f>VLOOKUP(H2138,DC_Xref!A:B,2,FALSE)</f>
        <v>#N/A</v>
      </c>
      <c r="K2138">
        <f t="shared" si="33"/>
        <v>0</v>
      </c>
      <c r="L21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8" s="3">
        <f>IFERROR(INDEX(Table3[#All],MATCH(Table1[[#This Row],[Key_Year_Week_Brand]],Table3[[#All],[Key_Year_Week_Brand]],0),MATCH(Table1[[#This Row],[DC_name_Xref]],Table3[#Headers],0)),0)</f>
        <v>0</v>
      </c>
      <c r="O2138" s="19">
        <f>IFERROR(INDEX(Table35[#All],MATCH(Table1[[#This Row],[Key_Year_Week_Brand]],Table35[[#All],[Key_Year_Month_Brand]],0),MATCH(Table1[[#This Row],[DC_name_Xref]],Table35[#Headers],0)),0)</f>
        <v>0</v>
      </c>
    </row>
    <row r="2139" spans="1:15" x14ac:dyDescent="0.3">
      <c r="A2139" s="19" t="e">
        <f>Table1[[#This Row],[Year_Week]]&amp;"-"&amp;Table1[[#This Row],[DC_name_Xref]]</f>
        <v>#N/A</v>
      </c>
      <c r="B2139" s="19" t="str">
        <f>Table1[[#This Row],[Fiscal_Year]]*100+Table1[[#This Row],[Fiscal_Week]] &amp; "-" &amp;Table1[[#This Row],[BRAND]]</f>
        <v>0-</v>
      </c>
      <c r="C2139" s="19" t="str">
        <f>Table1[[#This Row],[Fiscal_Year]]&amp;"-"&amp;Table1[[#This Row],[BRAND]]</f>
        <v>-</v>
      </c>
      <c r="J2139" t="e">
        <f>VLOOKUP(H2139,DC_Xref!A:B,2,FALSE)</f>
        <v>#N/A</v>
      </c>
      <c r="K2139">
        <f t="shared" si="33"/>
        <v>0</v>
      </c>
      <c r="L21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39" s="3">
        <f>IFERROR(INDEX(Table3[#All],MATCH(Table1[[#This Row],[Key_Year_Week_Brand]],Table3[[#All],[Key_Year_Week_Brand]],0),MATCH(Table1[[#This Row],[DC_name_Xref]],Table3[#Headers],0)),0)</f>
        <v>0</v>
      </c>
      <c r="O2139" s="19">
        <f>IFERROR(INDEX(Table35[#All],MATCH(Table1[[#This Row],[Key_Year_Week_Brand]],Table35[[#All],[Key_Year_Month_Brand]],0),MATCH(Table1[[#This Row],[DC_name_Xref]],Table35[#Headers],0)),0)</f>
        <v>0</v>
      </c>
    </row>
    <row r="2140" spans="1:15" x14ac:dyDescent="0.3">
      <c r="A2140" s="19" t="e">
        <f>Table1[[#This Row],[Year_Week]]&amp;"-"&amp;Table1[[#This Row],[DC_name_Xref]]</f>
        <v>#N/A</v>
      </c>
      <c r="B2140" s="19" t="str">
        <f>Table1[[#This Row],[Fiscal_Year]]*100+Table1[[#This Row],[Fiscal_Week]] &amp; "-" &amp;Table1[[#This Row],[BRAND]]</f>
        <v>0-</v>
      </c>
      <c r="C2140" s="19" t="str">
        <f>Table1[[#This Row],[Fiscal_Year]]&amp;"-"&amp;Table1[[#This Row],[BRAND]]</f>
        <v>-</v>
      </c>
      <c r="J2140" t="e">
        <f>VLOOKUP(H2140,DC_Xref!A:B,2,FALSE)</f>
        <v>#N/A</v>
      </c>
      <c r="K2140">
        <f t="shared" si="33"/>
        <v>0</v>
      </c>
      <c r="L21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0" s="3">
        <f>IFERROR(INDEX(Table3[#All],MATCH(Table1[[#This Row],[Key_Year_Week_Brand]],Table3[[#All],[Key_Year_Week_Brand]],0),MATCH(Table1[[#This Row],[DC_name_Xref]],Table3[#Headers],0)),0)</f>
        <v>0</v>
      </c>
      <c r="O2140" s="19">
        <f>IFERROR(INDEX(Table35[#All],MATCH(Table1[[#This Row],[Key_Year_Week_Brand]],Table35[[#All],[Key_Year_Month_Brand]],0),MATCH(Table1[[#This Row],[DC_name_Xref]],Table35[#Headers],0)),0)</f>
        <v>0</v>
      </c>
    </row>
    <row r="2141" spans="1:15" x14ac:dyDescent="0.3">
      <c r="A2141" s="19" t="e">
        <f>Table1[[#This Row],[Year_Week]]&amp;"-"&amp;Table1[[#This Row],[DC_name_Xref]]</f>
        <v>#N/A</v>
      </c>
      <c r="B2141" s="19" t="str">
        <f>Table1[[#This Row],[Fiscal_Year]]*100+Table1[[#This Row],[Fiscal_Week]] &amp; "-" &amp;Table1[[#This Row],[BRAND]]</f>
        <v>0-</v>
      </c>
      <c r="C2141" s="19" t="str">
        <f>Table1[[#This Row],[Fiscal_Year]]&amp;"-"&amp;Table1[[#This Row],[BRAND]]</f>
        <v>-</v>
      </c>
      <c r="J2141" t="e">
        <f>VLOOKUP(H2141,DC_Xref!A:B,2,FALSE)</f>
        <v>#N/A</v>
      </c>
      <c r="K2141">
        <f t="shared" si="33"/>
        <v>0</v>
      </c>
      <c r="L21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1" s="3">
        <f>IFERROR(INDEX(Table3[#All],MATCH(Table1[[#This Row],[Key_Year_Week_Brand]],Table3[[#All],[Key_Year_Week_Brand]],0),MATCH(Table1[[#This Row],[DC_name_Xref]],Table3[#Headers],0)),0)</f>
        <v>0</v>
      </c>
      <c r="O2141" s="19">
        <f>IFERROR(INDEX(Table35[#All],MATCH(Table1[[#This Row],[Key_Year_Week_Brand]],Table35[[#All],[Key_Year_Month_Brand]],0),MATCH(Table1[[#This Row],[DC_name_Xref]],Table35[#Headers],0)),0)</f>
        <v>0</v>
      </c>
    </row>
    <row r="2142" spans="1:15" x14ac:dyDescent="0.3">
      <c r="A2142" s="19" t="e">
        <f>Table1[[#This Row],[Year_Week]]&amp;"-"&amp;Table1[[#This Row],[DC_name_Xref]]</f>
        <v>#N/A</v>
      </c>
      <c r="B2142" s="19" t="str">
        <f>Table1[[#This Row],[Fiscal_Year]]*100+Table1[[#This Row],[Fiscal_Week]] &amp; "-" &amp;Table1[[#This Row],[BRAND]]</f>
        <v>0-</v>
      </c>
      <c r="C2142" s="19" t="str">
        <f>Table1[[#This Row],[Fiscal_Year]]&amp;"-"&amp;Table1[[#This Row],[BRAND]]</f>
        <v>-</v>
      </c>
      <c r="J2142" t="e">
        <f>VLOOKUP(H2142,DC_Xref!A:B,2,FALSE)</f>
        <v>#N/A</v>
      </c>
      <c r="K2142">
        <f t="shared" si="33"/>
        <v>0</v>
      </c>
      <c r="L21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2" s="3">
        <f>IFERROR(INDEX(Table3[#All],MATCH(Table1[[#This Row],[Key_Year_Week_Brand]],Table3[[#All],[Key_Year_Week_Brand]],0),MATCH(Table1[[#This Row],[DC_name_Xref]],Table3[#Headers],0)),0)</f>
        <v>0</v>
      </c>
      <c r="O2142" s="19">
        <f>IFERROR(INDEX(Table35[#All],MATCH(Table1[[#This Row],[Key_Year_Week_Brand]],Table35[[#All],[Key_Year_Month_Brand]],0),MATCH(Table1[[#This Row],[DC_name_Xref]],Table35[#Headers],0)),0)</f>
        <v>0</v>
      </c>
    </row>
    <row r="2143" spans="1:15" x14ac:dyDescent="0.3">
      <c r="A2143" s="19" t="e">
        <f>Table1[[#This Row],[Year_Week]]&amp;"-"&amp;Table1[[#This Row],[DC_name_Xref]]</f>
        <v>#N/A</v>
      </c>
      <c r="B2143" s="19" t="str">
        <f>Table1[[#This Row],[Fiscal_Year]]*100+Table1[[#This Row],[Fiscal_Week]] &amp; "-" &amp;Table1[[#This Row],[BRAND]]</f>
        <v>0-</v>
      </c>
      <c r="C2143" s="19" t="str">
        <f>Table1[[#This Row],[Fiscal_Year]]&amp;"-"&amp;Table1[[#This Row],[BRAND]]</f>
        <v>-</v>
      </c>
      <c r="J2143" t="e">
        <f>VLOOKUP(H2143,DC_Xref!A:B,2,FALSE)</f>
        <v>#N/A</v>
      </c>
      <c r="K2143">
        <f t="shared" si="33"/>
        <v>0</v>
      </c>
      <c r="L21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3" s="3">
        <f>IFERROR(INDEX(Table3[#All],MATCH(Table1[[#This Row],[Key_Year_Week_Brand]],Table3[[#All],[Key_Year_Week_Brand]],0),MATCH(Table1[[#This Row],[DC_name_Xref]],Table3[#Headers],0)),0)</f>
        <v>0</v>
      </c>
      <c r="O2143" s="19">
        <f>IFERROR(INDEX(Table35[#All],MATCH(Table1[[#This Row],[Key_Year_Week_Brand]],Table35[[#All],[Key_Year_Month_Brand]],0),MATCH(Table1[[#This Row],[DC_name_Xref]],Table35[#Headers],0)),0)</f>
        <v>0</v>
      </c>
    </row>
    <row r="2144" spans="1:15" x14ac:dyDescent="0.3">
      <c r="A2144" s="19" t="e">
        <f>Table1[[#This Row],[Year_Week]]&amp;"-"&amp;Table1[[#This Row],[DC_name_Xref]]</f>
        <v>#N/A</v>
      </c>
      <c r="B2144" s="19" t="str">
        <f>Table1[[#This Row],[Fiscal_Year]]*100+Table1[[#This Row],[Fiscal_Week]] &amp; "-" &amp;Table1[[#This Row],[BRAND]]</f>
        <v>0-</v>
      </c>
      <c r="C2144" s="19" t="str">
        <f>Table1[[#This Row],[Fiscal_Year]]&amp;"-"&amp;Table1[[#This Row],[BRAND]]</f>
        <v>-</v>
      </c>
      <c r="J2144" t="e">
        <f>VLOOKUP(H2144,DC_Xref!A:B,2,FALSE)</f>
        <v>#N/A</v>
      </c>
      <c r="K2144">
        <f t="shared" si="33"/>
        <v>0</v>
      </c>
      <c r="L21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4" s="3">
        <f>IFERROR(INDEX(Table3[#All],MATCH(Table1[[#This Row],[Key_Year_Week_Brand]],Table3[[#All],[Key_Year_Week_Brand]],0),MATCH(Table1[[#This Row],[DC_name_Xref]],Table3[#Headers],0)),0)</f>
        <v>0</v>
      </c>
      <c r="O2144" s="19">
        <f>IFERROR(INDEX(Table35[#All],MATCH(Table1[[#This Row],[Key_Year_Week_Brand]],Table35[[#All],[Key_Year_Month_Brand]],0),MATCH(Table1[[#This Row],[DC_name_Xref]],Table35[#Headers],0)),0)</f>
        <v>0</v>
      </c>
    </row>
    <row r="2145" spans="1:15" x14ac:dyDescent="0.3">
      <c r="A2145" s="19" t="e">
        <f>Table1[[#This Row],[Year_Week]]&amp;"-"&amp;Table1[[#This Row],[DC_name_Xref]]</f>
        <v>#N/A</v>
      </c>
      <c r="B2145" s="19" t="str">
        <f>Table1[[#This Row],[Fiscal_Year]]*100+Table1[[#This Row],[Fiscal_Week]] &amp; "-" &amp;Table1[[#This Row],[BRAND]]</f>
        <v>0-</v>
      </c>
      <c r="C2145" s="19" t="str">
        <f>Table1[[#This Row],[Fiscal_Year]]&amp;"-"&amp;Table1[[#This Row],[BRAND]]</f>
        <v>-</v>
      </c>
      <c r="J2145" t="e">
        <f>VLOOKUP(H2145,DC_Xref!A:B,2,FALSE)</f>
        <v>#N/A</v>
      </c>
      <c r="K2145">
        <f t="shared" si="33"/>
        <v>0</v>
      </c>
      <c r="L21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5" s="3">
        <f>IFERROR(INDEX(Table3[#All],MATCH(Table1[[#This Row],[Key_Year_Week_Brand]],Table3[[#All],[Key_Year_Week_Brand]],0),MATCH(Table1[[#This Row],[DC_name_Xref]],Table3[#Headers],0)),0)</f>
        <v>0</v>
      </c>
      <c r="O2145" s="19">
        <f>IFERROR(INDEX(Table35[#All],MATCH(Table1[[#This Row],[Key_Year_Week_Brand]],Table35[[#All],[Key_Year_Month_Brand]],0),MATCH(Table1[[#This Row],[DC_name_Xref]],Table35[#Headers],0)),0)</f>
        <v>0</v>
      </c>
    </row>
    <row r="2146" spans="1:15" x14ac:dyDescent="0.3">
      <c r="A2146" s="19" t="e">
        <f>Table1[[#This Row],[Year_Week]]&amp;"-"&amp;Table1[[#This Row],[DC_name_Xref]]</f>
        <v>#N/A</v>
      </c>
      <c r="B2146" s="19" t="str">
        <f>Table1[[#This Row],[Fiscal_Year]]*100+Table1[[#This Row],[Fiscal_Week]] &amp; "-" &amp;Table1[[#This Row],[BRAND]]</f>
        <v>0-</v>
      </c>
      <c r="C2146" s="19" t="str">
        <f>Table1[[#This Row],[Fiscal_Year]]&amp;"-"&amp;Table1[[#This Row],[BRAND]]</f>
        <v>-</v>
      </c>
      <c r="J2146" t="e">
        <f>VLOOKUP(H2146,DC_Xref!A:B,2,FALSE)</f>
        <v>#N/A</v>
      </c>
      <c r="K2146">
        <f t="shared" si="33"/>
        <v>0</v>
      </c>
      <c r="L21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6" s="3">
        <f>IFERROR(INDEX(Table3[#All],MATCH(Table1[[#This Row],[Key_Year_Week_Brand]],Table3[[#All],[Key_Year_Week_Brand]],0),MATCH(Table1[[#This Row],[DC_name_Xref]],Table3[#Headers],0)),0)</f>
        <v>0</v>
      </c>
      <c r="O2146" s="19">
        <f>IFERROR(INDEX(Table35[#All],MATCH(Table1[[#This Row],[Key_Year_Week_Brand]],Table35[[#All],[Key_Year_Month_Brand]],0),MATCH(Table1[[#This Row],[DC_name_Xref]],Table35[#Headers],0)),0)</f>
        <v>0</v>
      </c>
    </row>
    <row r="2147" spans="1:15" x14ac:dyDescent="0.3">
      <c r="A2147" s="19" t="e">
        <f>Table1[[#This Row],[Year_Week]]&amp;"-"&amp;Table1[[#This Row],[DC_name_Xref]]</f>
        <v>#N/A</v>
      </c>
      <c r="B2147" s="19" t="str">
        <f>Table1[[#This Row],[Fiscal_Year]]*100+Table1[[#This Row],[Fiscal_Week]] &amp; "-" &amp;Table1[[#This Row],[BRAND]]</f>
        <v>0-</v>
      </c>
      <c r="C2147" s="19" t="str">
        <f>Table1[[#This Row],[Fiscal_Year]]&amp;"-"&amp;Table1[[#This Row],[BRAND]]</f>
        <v>-</v>
      </c>
      <c r="J2147" t="e">
        <f>VLOOKUP(H2147,DC_Xref!A:B,2,FALSE)</f>
        <v>#N/A</v>
      </c>
      <c r="K2147">
        <f t="shared" si="33"/>
        <v>0</v>
      </c>
      <c r="L21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7" s="3">
        <f>IFERROR(INDEX(Table3[#All],MATCH(Table1[[#This Row],[Key_Year_Week_Brand]],Table3[[#All],[Key_Year_Week_Brand]],0),MATCH(Table1[[#This Row],[DC_name_Xref]],Table3[#Headers],0)),0)</f>
        <v>0</v>
      </c>
      <c r="O2147" s="19">
        <f>IFERROR(INDEX(Table35[#All],MATCH(Table1[[#This Row],[Key_Year_Week_Brand]],Table35[[#All],[Key_Year_Month_Brand]],0),MATCH(Table1[[#This Row],[DC_name_Xref]],Table35[#Headers],0)),0)</f>
        <v>0</v>
      </c>
    </row>
    <row r="2148" spans="1:15" x14ac:dyDescent="0.3">
      <c r="A2148" s="19" t="e">
        <f>Table1[[#This Row],[Year_Week]]&amp;"-"&amp;Table1[[#This Row],[DC_name_Xref]]</f>
        <v>#N/A</v>
      </c>
      <c r="B2148" s="19" t="str">
        <f>Table1[[#This Row],[Fiscal_Year]]*100+Table1[[#This Row],[Fiscal_Week]] &amp; "-" &amp;Table1[[#This Row],[BRAND]]</f>
        <v>0-</v>
      </c>
      <c r="C2148" s="19" t="str">
        <f>Table1[[#This Row],[Fiscal_Year]]&amp;"-"&amp;Table1[[#This Row],[BRAND]]</f>
        <v>-</v>
      </c>
      <c r="J2148" t="e">
        <f>VLOOKUP(H2148,DC_Xref!A:B,2,FALSE)</f>
        <v>#N/A</v>
      </c>
      <c r="K2148">
        <f t="shared" si="33"/>
        <v>0</v>
      </c>
      <c r="L21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8" s="3">
        <f>IFERROR(INDEX(Table3[#All],MATCH(Table1[[#This Row],[Key_Year_Week_Brand]],Table3[[#All],[Key_Year_Week_Brand]],0),MATCH(Table1[[#This Row],[DC_name_Xref]],Table3[#Headers],0)),0)</f>
        <v>0</v>
      </c>
      <c r="O2148" s="19">
        <f>IFERROR(INDEX(Table35[#All],MATCH(Table1[[#This Row],[Key_Year_Week_Brand]],Table35[[#All],[Key_Year_Month_Brand]],0),MATCH(Table1[[#This Row],[DC_name_Xref]],Table35[#Headers],0)),0)</f>
        <v>0</v>
      </c>
    </row>
    <row r="2149" spans="1:15" x14ac:dyDescent="0.3">
      <c r="A2149" s="19" t="e">
        <f>Table1[[#This Row],[Year_Week]]&amp;"-"&amp;Table1[[#This Row],[DC_name_Xref]]</f>
        <v>#N/A</v>
      </c>
      <c r="B2149" s="19" t="str">
        <f>Table1[[#This Row],[Fiscal_Year]]*100+Table1[[#This Row],[Fiscal_Week]] &amp; "-" &amp;Table1[[#This Row],[BRAND]]</f>
        <v>0-</v>
      </c>
      <c r="C2149" s="19" t="str">
        <f>Table1[[#This Row],[Fiscal_Year]]&amp;"-"&amp;Table1[[#This Row],[BRAND]]</f>
        <v>-</v>
      </c>
      <c r="J2149" t="e">
        <f>VLOOKUP(H2149,DC_Xref!A:B,2,FALSE)</f>
        <v>#N/A</v>
      </c>
      <c r="K2149">
        <f t="shared" si="33"/>
        <v>0</v>
      </c>
      <c r="L21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49" s="3">
        <f>IFERROR(INDEX(Table3[#All],MATCH(Table1[[#This Row],[Key_Year_Week_Brand]],Table3[[#All],[Key_Year_Week_Brand]],0),MATCH(Table1[[#This Row],[DC_name_Xref]],Table3[#Headers],0)),0)</f>
        <v>0</v>
      </c>
      <c r="O2149" s="19">
        <f>IFERROR(INDEX(Table35[#All],MATCH(Table1[[#This Row],[Key_Year_Week_Brand]],Table35[[#All],[Key_Year_Month_Brand]],0),MATCH(Table1[[#This Row],[DC_name_Xref]],Table35[#Headers],0)),0)</f>
        <v>0</v>
      </c>
    </row>
    <row r="2150" spans="1:15" x14ac:dyDescent="0.3">
      <c r="A2150" s="19" t="e">
        <f>Table1[[#This Row],[Year_Week]]&amp;"-"&amp;Table1[[#This Row],[DC_name_Xref]]</f>
        <v>#N/A</v>
      </c>
      <c r="B2150" s="19" t="str">
        <f>Table1[[#This Row],[Fiscal_Year]]*100+Table1[[#This Row],[Fiscal_Week]] &amp; "-" &amp;Table1[[#This Row],[BRAND]]</f>
        <v>0-</v>
      </c>
      <c r="C2150" s="19" t="str">
        <f>Table1[[#This Row],[Fiscal_Year]]&amp;"-"&amp;Table1[[#This Row],[BRAND]]</f>
        <v>-</v>
      </c>
      <c r="J2150" t="e">
        <f>VLOOKUP(H2150,DC_Xref!A:B,2,FALSE)</f>
        <v>#N/A</v>
      </c>
      <c r="K2150">
        <f t="shared" si="33"/>
        <v>0</v>
      </c>
      <c r="L21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0" s="3">
        <f>IFERROR(INDEX(Table3[#All],MATCH(Table1[[#This Row],[Key_Year_Week_Brand]],Table3[[#All],[Key_Year_Week_Brand]],0),MATCH(Table1[[#This Row],[DC_name_Xref]],Table3[#Headers],0)),0)</f>
        <v>0</v>
      </c>
      <c r="O2150" s="19">
        <f>IFERROR(INDEX(Table35[#All],MATCH(Table1[[#This Row],[Key_Year_Week_Brand]],Table35[[#All],[Key_Year_Month_Brand]],0),MATCH(Table1[[#This Row],[DC_name_Xref]],Table35[#Headers],0)),0)</f>
        <v>0</v>
      </c>
    </row>
    <row r="2151" spans="1:15" x14ac:dyDescent="0.3">
      <c r="A2151" s="19" t="e">
        <f>Table1[[#This Row],[Year_Week]]&amp;"-"&amp;Table1[[#This Row],[DC_name_Xref]]</f>
        <v>#N/A</v>
      </c>
      <c r="B2151" s="19" t="str">
        <f>Table1[[#This Row],[Fiscal_Year]]*100+Table1[[#This Row],[Fiscal_Week]] &amp; "-" &amp;Table1[[#This Row],[BRAND]]</f>
        <v>0-</v>
      </c>
      <c r="C2151" s="19" t="str">
        <f>Table1[[#This Row],[Fiscal_Year]]&amp;"-"&amp;Table1[[#This Row],[BRAND]]</f>
        <v>-</v>
      </c>
      <c r="J2151" t="e">
        <f>VLOOKUP(H2151,DC_Xref!A:B,2,FALSE)</f>
        <v>#N/A</v>
      </c>
      <c r="K2151">
        <f t="shared" si="33"/>
        <v>0</v>
      </c>
      <c r="L21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1" s="3">
        <f>IFERROR(INDEX(Table3[#All],MATCH(Table1[[#This Row],[Key_Year_Week_Brand]],Table3[[#All],[Key_Year_Week_Brand]],0),MATCH(Table1[[#This Row],[DC_name_Xref]],Table3[#Headers],0)),0)</f>
        <v>0</v>
      </c>
      <c r="O2151" s="19">
        <f>IFERROR(INDEX(Table35[#All],MATCH(Table1[[#This Row],[Key_Year_Week_Brand]],Table35[[#All],[Key_Year_Month_Brand]],0),MATCH(Table1[[#This Row],[DC_name_Xref]],Table35[#Headers],0)),0)</f>
        <v>0</v>
      </c>
    </row>
    <row r="2152" spans="1:15" x14ac:dyDescent="0.3">
      <c r="A2152" s="19" t="e">
        <f>Table1[[#This Row],[Year_Week]]&amp;"-"&amp;Table1[[#This Row],[DC_name_Xref]]</f>
        <v>#N/A</v>
      </c>
      <c r="B2152" s="19" t="str">
        <f>Table1[[#This Row],[Fiscal_Year]]*100+Table1[[#This Row],[Fiscal_Week]] &amp; "-" &amp;Table1[[#This Row],[BRAND]]</f>
        <v>0-</v>
      </c>
      <c r="C2152" s="19" t="str">
        <f>Table1[[#This Row],[Fiscal_Year]]&amp;"-"&amp;Table1[[#This Row],[BRAND]]</f>
        <v>-</v>
      </c>
      <c r="J2152" t="e">
        <f>VLOOKUP(H2152,DC_Xref!A:B,2,FALSE)</f>
        <v>#N/A</v>
      </c>
      <c r="K2152">
        <f t="shared" si="33"/>
        <v>0</v>
      </c>
      <c r="L21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2" s="3">
        <f>IFERROR(INDEX(Table3[#All],MATCH(Table1[[#This Row],[Key_Year_Week_Brand]],Table3[[#All],[Key_Year_Week_Brand]],0),MATCH(Table1[[#This Row],[DC_name_Xref]],Table3[#Headers],0)),0)</f>
        <v>0</v>
      </c>
      <c r="O2152" s="19">
        <f>IFERROR(INDEX(Table35[#All],MATCH(Table1[[#This Row],[Key_Year_Week_Brand]],Table35[[#All],[Key_Year_Month_Brand]],0),MATCH(Table1[[#This Row],[DC_name_Xref]],Table35[#Headers],0)),0)</f>
        <v>0</v>
      </c>
    </row>
    <row r="2153" spans="1:15" x14ac:dyDescent="0.3">
      <c r="A2153" s="19" t="e">
        <f>Table1[[#This Row],[Year_Week]]&amp;"-"&amp;Table1[[#This Row],[DC_name_Xref]]</f>
        <v>#N/A</v>
      </c>
      <c r="B2153" s="19" t="str">
        <f>Table1[[#This Row],[Fiscal_Year]]*100+Table1[[#This Row],[Fiscal_Week]] &amp; "-" &amp;Table1[[#This Row],[BRAND]]</f>
        <v>0-</v>
      </c>
      <c r="C2153" s="19" t="str">
        <f>Table1[[#This Row],[Fiscal_Year]]&amp;"-"&amp;Table1[[#This Row],[BRAND]]</f>
        <v>-</v>
      </c>
      <c r="J2153" t="e">
        <f>VLOOKUP(H2153,DC_Xref!A:B,2,FALSE)</f>
        <v>#N/A</v>
      </c>
      <c r="K2153">
        <f t="shared" si="33"/>
        <v>0</v>
      </c>
      <c r="L21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3" s="3">
        <f>IFERROR(INDEX(Table3[#All],MATCH(Table1[[#This Row],[Key_Year_Week_Brand]],Table3[[#All],[Key_Year_Week_Brand]],0),MATCH(Table1[[#This Row],[DC_name_Xref]],Table3[#Headers],0)),0)</f>
        <v>0</v>
      </c>
      <c r="O2153" s="19">
        <f>IFERROR(INDEX(Table35[#All],MATCH(Table1[[#This Row],[Key_Year_Week_Brand]],Table35[[#All],[Key_Year_Month_Brand]],0),MATCH(Table1[[#This Row],[DC_name_Xref]],Table35[#Headers],0)),0)</f>
        <v>0</v>
      </c>
    </row>
    <row r="2154" spans="1:15" x14ac:dyDescent="0.3">
      <c r="A2154" s="19" t="e">
        <f>Table1[[#This Row],[Year_Week]]&amp;"-"&amp;Table1[[#This Row],[DC_name_Xref]]</f>
        <v>#N/A</v>
      </c>
      <c r="B2154" s="19" t="str">
        <f>Table1[[#This Row],[Fiscal_Year]]*100+Table1[[#This Row],[Fiscal_Week]] &amp; "-" &amp;Table1[[#This Row],[BRAND]]</f>
        <v>0-</v>
      </c>
      <c r="C2154" s="19" t="str">
        <f>Table1[[#This Row],[Fiscal_Year]]&amp;"-"&amp;Table1[[#This Row],[BRAND]]</f>
        <v>-</v>
      </c>
      <c r="J2154" t="e">
        <f>VLOOKUP(H2154,DC_Xref!A:B,2,FALSE)</f>
        <v>#N/A</v>
      </c>
      <c r="K2154">
        <f t="shared" si="33"/>
        <v>0</v>
      </c>
      <c r="L21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4" s="3">
        <f>IFERROR(INDEX(Table3[#All],MATCH(Table1[[#This Row],[Key_Year_Week_Brand]],Table3[[#All],[Key_Year_Week_Brand]],0),MATCH(Table1[[#This Row],[DC_name_Xref]],Table3[#Headers],0)),0)</f>
        <v>0</v>
      </c>
      <c r="O2154" s="19">
        <f>IFERROR(INDEX(Table35[#All],MATCH(Table1[[#This Row],[Key_Year_Week_Brand]],Table35[[#All],[Key_Year_Month_Brand]],0),MATCH(Table1[[#This Row],[DC_name_Xref]],Table35[#Headers],0)),0)</f>
        <v>0</v>
      </c>
    </row>
    <row r="2155" spans="1:15" x14ac:dyDescent="0.3">
      <c r="A2155" s="19" t="e">
        <f>Table1[[#This Row],[Year_Week]]&amp;"-"&amp;Table1[[#This Row],[DC_name_Xref]]</f>
        <v>#N/A</v>
      </c>
      <c r="B2155" s="19" t="str">
        <f>Table1[[#This Row],[Fiscal_Year]]*100+Table1[[#This Row],[Fiscal_Week]] &amp; "-" &amp;Table1[[#This Row],[BRAND]]</f>
        <v>0-</v>
      </c>
      <c r="C2155" s="19" t="str">
        <f>Table1[[#This Row],[Fiscal_Year]]&amp;"-"&amp;Table1[[#This Row],[BRAND]]</f>
        <v>-</v>
      </c>
      <c r="J2155" t="e">
        <f>VLOOKUP(H2155,DC_Xref!A:B,2,FALSE)</f>
        <v>#N/A</v>
      </c>
      <c r="K2155">
        <f t="shared" si="33"/>
        <v>0</v>
      </c>
      <c r="L21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5" s="3">
        <f>IFERROR(INDEX(Table3[#All],MATCH(Table1[[#This Row],[Key_Year_Week_Brand]],Table3[[#All],[Key_Year_Week_Brand]],0),MATCH(Table1[[#This Row],[DC_name_Xref]],Table3[#Headers],0)),0)</f>
        <v>0</v>
      </c>
      <c r="O2155" s="19">
        <f>IFERROR(INDEX(Table35[#All],MATCH(Table1[[#This Row],[Key_Year_Week_Brand]],Table35[[#All],[Key_Year_Month_Brand]],0),MATCH(Table1[[#This Row],[DC_name_Xref]],Table35[#Headers],0)),0)</f>
        <v>0</v>
      </c>
    </row>
    <row r="2156" spans="1:15" x14ac:dyDescent="0.3">
      <c r="A2156" s="19" t="e">
        <f>Table1[[#This Row],[Year_Week]]&amp;"-"&amp;Table1[[#This Row],[DC_name_Xref]]</f>
        <v>#N/A</v>
      </c>
      <c r="B2156" s="19" t="str">
        <f>Table1[[#This Row],[Fiscal_Year]]*100+Table1[[#This Row],[Fiscal_Week]] &amp; "-" &amp;Table1[[#This Row],[BRAND]]</f>
        <v>0-</v>
      </c>
      <c r="C2156" s="19" t="str">
        <f>Table1[[#This Row],[Fiscal_Year]]&amp;"-"&amp;Table1[[#This Row],[BRAND]]</f>
        <v>-</v>
      </c>
      <c r="J2156" t="e">
        <f>VLOOKUP(H2156,DC_Xref!A:B,2,FALSE)</f>
        <v>#N/A</v>
      </c>
      <c r="K2156">
        <f t="shared" si="33"/>
        <v>0</v>
      </c>
      <c r="L21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6" s="3">
        <f>IFERROR(INDEX(Table3[#All],MATCH(Table1[[#This Row],[Key_Year_Week_Brand]],Table3[[#All],[Key_Year_Week_Brand]],0),MATCH(Table1[[#This Row],[DC_name_Xref]],Table3[#Headers],0)),0)</f>
        <v>0</v>
      </c>
      <c r="O2156" s="19">
        <f>IFERROR(INDEX(Table35[#All],MATCH(Table1[[#This Row],[Key_Year_Week_Brand]],Table35[[#All],[Key_Year_Month_Brand]],0),MATCH(Table1[[#This Row],[DC_name_Xref]],Table35[#Headers],0)),0)</f>
        <v>0</v>
      </c>
    </row>
    <row r="2157" spans="1:15" x14ac:dyDescent="0.3">
      <c r="A2157" s="19" t="e">
        <f>Table1[[#This Row],[Year_Week]]&amp;"-"&amp;Table1[[#This Row],[DC_name_Xref]]</f>
        <v>#N/A</v>
      </c>
      <c r="B2157" s="19" t="str">
        <f>Table1[[#This Row],[Fiscal_Year]]*100+Table1[[#This Row],[Fiscal_Week]] &amp; "-" &amp;Table1[[#This Row],[BRAND]]</f>
        <v>0-</v>
      </c>
      <c r="C2157" s="19" t="str">
        <f>Table1[[#This Row],[Fiscal_Year]]&amp;"-"&amp;Table1[[#This Row],[BRAND]]</f>
        <v>-</v>
      </c>
      <c r="J2157" t="e">
        <f>VLOOKUP(H2157,DC_Xref!A:B,2,FALSE)</f>
        <v>#N/A</v>
      </c>
      <c r="K2157">
        <f t="shared" si="33"/>
        <v>0</v>
      </c>
      <c r="L21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7" s="3">
        <f>IFERROR(INDEX(Table3[#All],MATCH(Table1[[#This Row],[Key_Year_Week_Brand]],Table3[[#All],[Key_Year_Week_Brand]],0),MATCH(Table1[[#This Row],[DC_name_Xref]],Table3[#Headers],0)),0)</f>
        <v>0</v>
      </c>
      <c r="O2157" s="19">
        <f>IFERROR(INDEX(Table35[#All],MATCH(Table1[[#This Row],[Key_Year_Week_Brand]],Table35[[#All],[Key_Year_Month_Brand]],0),MATCH(Table1[[#This Row],[DC_name_Xref]],Table35[#Headers],0)),0)</f>
        <v>0</v>
      </c>
    </row>
    <row r="2158" spans="1:15" x14ac:dyDescent="0.3">
      <c r="A2158" s="19" t="e">
        <f>Table1[[#This Row],[Year_Week]]&amp;"-"&amp;Table1[[#This Row],[DC_name_Xref]]</f>
        <v>#N/A</v>
      </c>
      <c r="B2158" s="19" t="str">
        <f>Table1[[#This Row],[Fiscal_Year]]*100+Table1[[#This Row],[Fiscal_Week]] &amp; "-" &amp;Table1[[#This Row],[BRAND]]</f>
        <v>0-</v>
      </c>
      <c r="C2158" s="19" t="str">
        <f>Table1[[#This Row],[Fiscal_Year]]&amp;"-"&amp;Table1[[#This Row],[BRAND]]</f>
        <v>-</v>
      </c>
      <c r="J2158" t="e">
        <f>VLOOKUP(H2158,DC_Xref!A:B,2,FALSE)</f>
        <v>#N/A</v>
      </c>
      <c r="K2158">
        <f t="shared" si="33"/>
        <v>0</v>
      </c>
      <c r="L21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8" s="3">
        <f>IFERROR(INDEX(Table3[#All],MATCH(Table1[[#This Row],[Key_Year_Week_Brand]],Table3[[#All],[Key_Year_Week_Brand]],0),MATCH(Table1[[#This Row],[DC_name_Xref]],Table3[#Headers],0)),0)</f>
        <v>0</v>
      </c>
      <c r="O2158" s="19">
        <f>IFERROR(INDEX(Table35[#All],MATCH(Table1[[#This Row],[Key_Year_Week_Brand]],Table35[[#All],[Key_Year_Month_Brand]],0),MATCH(Table1[[#This Row],[DC_name_Xref]],Table35[#Headers],0)),0)</f>
        <v>0</v>
      </c>
    </row>
    <row r="2159" spans="1:15" x14ac:dyDescent="0.3">
      <c r="A2159" s="19" t="e">
        <f>Table1[[#This Row],[Year_Week]]&amp;"-"&amp;Table1[[#This Row],[DC_name_Xref]]</f>
        <v>#N/A</v>
      </c>
      <c r="B2159" s="19" t="str">
        <f>Table1[[#This Row],[Fiscal_Year]]*100+Table1[[#This Row],[Fiscal_Week]] &amp; "-" &amp;Table1[[#This Row],[BRAND]]</f>
        <v>0-</v>
      </c>
      <c r="C2159" s="19" t="str">
        <f>Table1[[#This Row],[Fiscal_Year]]&amp;"-"&amp;Table1[[#This Row],[BRAND]]</f>
        <v>-</v>
      </c>
      <c r="J2159" t="e">
        <f>VLOOKUP(H2159,DC_Xref!A:B,2,FALSE)</f>
        <v>#N/A</v>
      </c>
      <c r="K2159">
        <f t="shared" si="33"/>
        <v>0</v>
      </c>
      <c r="L21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59" s="3">
        <f>IFERROR(INDEX(Table3[#All],MATCH(Table1[[#This Row],[Key_Year_Week_Brand]],Table3[[#All],[Key_Year_Week_Brand]],0),MATCH(Table1[[#This Row],[DC_name_Xref]],Table3[#Headers],0)),0)</f>
        <v>0</v>
      </c>
      <c r="O2159" s="19">
        <f>IFERROR(INDEX(Table35[#All],MATCH(Table1[[#This Row],[Key_Year_Week_Brand]],Table35[[#All],[Key_Year_Month_Brand]],0),MATCH(Table1[[#This Row],[DC_name_Xref]],Table35[#Headers],0)),0)</f>
        <v>0</v>
      </c>
    </row>
    <row r="2160" spans="1:15" x14ac:dyDescent="0.3">
      <c r="A2160" s="19" t="e">
        <f>Table1[[#This Row],[Year_Week]]&amp;"-"&amp;Table1[[#This Row],[DC_name_Xref]]</f>
        <v>#N/A</v>
      </c>
      <c r="B2160" s="19" t="str">
        <f>Table1[[#This Row],[Fiscal_Year]]*100+Table1[[#This Row],[Fiscal_Week]] &amp; "-" &amp;Table1[[#This Row],[BRAND]]</f>
        <v>0-</v>
      </c>
      <c r="C2160" s="19" t="str">
        <f>Table1[[#This Row],[Fiscal_Year]]&amp;"-"&amp;Table1[[#This Row],[BRAND]]</f>
        <v>-</v>
      </c>
      <c r="J2160" t="e">
        <f>VLOOKUP(H2160,DC_Xref!A:B,2,FALSE)</f>
        <v>#N/A</v>
      </c>
      <c r="K2160">
        <f t="shared" si="33"/>
        <v>0</v>
      </c>
      <c r="L21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0" s="3">
        <f>IFERROR(INDEX(Table3[#All],MATCH(Table1[[#This Row],[Key_Year_Week_Brand]],Table3[[#All],[Key_Year_Week_Brand]],0),MATCH(Table1[[#This Row],[DC_name_Xref]],Table3[#Headers],0)),0)</f>
        <v>0</v>
      </c>
      <c r="O2160" s="19">
        <f>IFERROR(INDEX(Table35[#All],MATCH(Table1[[#This Row],[Key_Year_Week_Brand]],Table35[[#All],[Key_Year_Month_Brand]],0),MATCH(Table1[[#This Row],[DC_name_Xref]],Table35[#Headers],0)),0)</f>
        <v>0</v>
      </c>
    </row>
    <row r="2161" spans="1:15" x14ac:dyDescent="0.3">
      <c r="A2161" s="19" t="e">
        <f>Table1[[#This Row],[Year_Week]]&amp;"-"&amp;Table1[[#This Row],[DC_name_Xref]]</f>
        <v>#N/A</v>
      </c>
      <c r="B2161" s="19" t="str">
        <f>Table1[[#This Row],[Fiscal_Year]]*100+Table1[[#This Row],[Fiscal_Week]] &amp; "-" &amp;Table1[[#This Row],[BRAND]]</f>
        <v>0-</v>
      </c>
      <c r="C2161" s="19" t="str">
        <f>Table1[[#This Row],[Fiscal_Year]]&amp;"-"&amp;Table1[[#This Row],[BRAND]]</f>
        <v>-</v>
      </c>
      <c r="J2161" t="e">
        <f>VLOOKUP(H2161,DC_Xref!A:B,2,FALSE)</f>
        <v>#N/A</v>
      </c>
      <c r="K2161">
        <f t="shared" si="33"/>
        <v>0</v>
      </c>
      <c r="L21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1" s="3">
        <f>IFERROR(INDEX(Table3[#All],MATCH(Table1[[#This Row],[Key_Year_Week_Brand]],Table3[[#All],[Key_Year_Week_Brand]],0),MATCH(Table1[[#This Row],[DC_name_Xref]],Table3[#Headers],0)),0)</f>
        <v>0</v>
      </c>
      <c r="O2161" s="19">
        <f>IFERROR(INDEX(Table35[#All],MATCH(Table1[[#This Row],[Key_Year_Week_Brand]],Table35[[#All],[Key_Year_Month_Brand]],0),MATCH(Table1[[#This Row],[DC_name_Xref]],Table35[#Headers],0)),0)</f>
        <v>0</v>
      </c>
    </row>
    <row r="2162" spans="1:15" x14ac:dyDescent="0.3">
      <c r="A2162" s="19" t="e">
        <f>Table1[[#This Row],[Year_Week]]&amp;"-"&amp;Table1[[#This Row],[DC_name_Xref]]</f>
        <v>#N/A</v>
      </c>
      <c r="B2162" s="19" t="str">
        <f>Table1[[#This Row],[Fiscal_Year]]*100+Table1[[#This Row],[Fiscal_Week]] &amp; "-" &amp;Table1[[#This Row],[BRAND]]</f>
        <v>0-</v>
      </c>
      <c r="C2162" s="19" t="str">
        <f>Table1[[#This Row],[Fiscal_Year]]&amp;"-"&amp;Table1[[#This Row],[BRAND]]</f>
        <v>-</v>
      </c>
      <c r="J2162" t="e">
        <f>VLOOKUP(H2162,DC_Xref!A:B,2,FALSE)</f>
        <v>#N/A</v>
      </c>
      <c r="K2162">
        <f t="shared" si="33"/>
        <v>0</v>
      </c>
      <c r="L21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2" s="3">
        <f>IFERROR(INDEX(Table3[#All],MATCH(Table1[[#This Row],[Key_Year_Week_Brand]],Table3[[#All],[Key_Year_Week_Brand]],0),MATCH(Table1[[#This Row],[DC_name_Xref]],Table3[#Headers],0)),0)</f>
        <v>0</v>
      </c>
      <c r="O2162" s="19">
        <f>IFERROR(INDEX(Table35[#All],MATCH(Table1[[#This Row],[Key_Year_Week_Brand]],Table35[[#All],[Key_Year_Month_Brand]],0),MATCH(Table1[[#This Row],[DC_name_Xref]],Table35[#Headers],0)),0)</f>
        <v>0</v>
      </c>
    </row>
    <row r="2163" spans="1:15" x14ac:dyDescent="0.3">
      <c r="A2163" s="19" t="e">
        <f>Table1[[#This Row],[Year_Week]]&amp;"-"&amp;Table1[[#This Row],[DC_name_Xref]]</f>
        <v>#N/A</v>
      </c>
      <c r="B2163" s="19" t="str">
        <f>Table1[[#This Row],[Fiscal_Year]]*100+Table1[[#This Row],[Fiscal_Week]] &amp; "-" &amp;Table1[[#This Row],[BRAND]]</f>
        <v>0-</v>
      </c>
      <c r="C2163" s="19" t="str">
        <f>Table1[[#This Row],[Fiscal_Year]]&amp;"-"&amp;Table1[[#This Row],[BRAND]]</f>
        <v>-</v>
      </c>
      <c r="J2163" t="e">
        <f>VLOOKUP(H2163,DC_Xref!A:B,2,FALSE)</f>
        <v>#N/A</v>
      </c>
      <c r="K2163">
        <f t="shared" si="33"/>
        <v>0</v>
      </c>
      <c r="L21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3" s="3">
        <f>IFERROR(INDEX(Table3[#All],MATCH(Table1[[#This Row],[Key_Year_Week_Brand]],Table3[[#All],[Key_Year_Week_Brand]],0),MATCH(Table1[[#This Row],[DC_name_Xref]],Table3[#Headers],0)),0)</f>
        <v>0</v>
      </c>
      <c r="O2163" s="19">
        <f>IFERROR(INDEX(Table35[#All],MATCH(Table1[[#This Row],[Key_Year_Week_Brand]],Table35[[#All],[Key_Year_Month_Brand]],0),MATCH(Table1[[#This Row],[DC_name_Xref]],Table35[#Headers],0)),0)</f>
        <v>0</v>
      </c>
    </row>
    <row r="2164" spans="1:15" x14ac:dyDescent="0.3">
      <c r="A2164" s="19" t="e">
        <f>Table1[[#This Row],[Year_Week]]&amp;"-"&amp;Table1[[#This Row],[DC_name_Xref]]</f>
        <v>#N/A</v>
      </c>
      <c r="B2164" s="19" t="str">
        <f>Table1[[#This Row],[Fiscal_Year]]*100+Table1[[#This Row],[Fiscal_Week]] &amp; "-" &amp;Table1[[#This Row],[BRAND]]</f>
        <v>0-</v>
      </c>
      <c r="C2164" s="19" t="str">
        <f>Table1[[#This Row],[Fiscal_Year]]&amp;"-"&amp;Table1[[#This Row],[BRAND]]</f>
        <v>-</v>
      </c>
      <c r="J2164" t="e">
        <f>VLOOKUP(H2164,DC_Xref!A:B,2,FALSE)</f>
        <v>#N/A</v>
      </c>
      <c r="K2164">
        <f t="shared" si="33"/>
        <v>0</v>
      </c>
      <c r="L21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4" s="3">
        <f>IFERROR(INDEX(Table3[#All],MATCH(Table1[[#This Row],[Key_Year_Week_Brand]],Table3[[#All],[Key_Year_Week_Brand]],0),MATCH(Table1[[#This Row],[DC_name_Xref]],Table3[#Headers],0)),0)</f>
        <v>0</v>
      </c>
      <c r="O2164" s="19">
        <f>IFERROR(INDEX(Table35[#All],MATCH(Table1[[#This Row],[Key_Year_Week_Brand]],Table35[[#All],[Key_Year_Month_Brand]],0),MATCH(Table1[[#This Row],[DC_name_Xref]],Table35[#Headers],0)),0)</f>
        <v>0</v>
      </c>
    </row>
    <row r="2165" spans="1:15" x14ac:dyDescent="0.3">
      <c r="A2165" s="19" t="e">
        <f>Table1[[#This Row],[Year_Week]]&amp;"-"&amp;Table1[[#This Row],[DC_name_Xref]]</f>
        <v>#N/A</v>
      </c>
      <c r="B2165" s="19" t="str">
        <f>Table1[[#This Row],[Fiscal_Year]]*100+Table1[[#This Row],[Fiscal_Week]] &amp; "-" &amp;Table1[[#This Row],[BRAND]]</f>
        <v>0-</v>
      </c>
      <c r="C2165" s="19" t="str">
        <f>Table1[[#This Row],[Fiscal_Year]]&amp;"-"&amp;Table1[[#This Row],[BRAND]]</f>
        <v>-</v>
      </c>
      <c r="J2165" t="e">
        <f>VLOOKUP(H2165,DC_Xref!A:B,2,FALSE)</f>
        <v>#N/A</v>
      </c>
      <c r="K2165">
        <f t="shared" si="33"/>
        <v>0</v>
      </c>
      <c r="L21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5" s="3">
        <f>IFERROR(INDEX(Table3[#All],MATCH(Table1[[#This Row],[Key_Year_Week_Brand]],Table3[[#All],[Key_Year_Week_Brand]],0),MATCH(Table1[[#This Row],[DC_name_Xref]],Table3[#Headers],0)),0)</f>
        <v>0</v>
      </c>
      <c r="O2165" s="19">
        <f>IFERROR(INDEX(Table35[#All],MATCH(Table1[[#This Row],[Key_Year_Week_Brand]],Table35[[#All],[Key_Year_Month_Brand]],0),MATCH(Table1[[#This Row],[DC_name_Xref]],Table35[#Headers],0)),0)</f>
        <v>0</v>
      </c>
    </row>
    <row r="2166" spans="1:15" x14ac:dyDescent="0.3">
      <c r="A2166" s="19" t="e">
        <f>Table1[[#This Row],[Year_Week]]&amp;"-"&amp;Table1[[#This Row],[DC_name_Xref]]</f>
        <v>#N/A</v>
      </c>
      <c r="B2166" s="19" t="str">
        <f>Table1[[#This Row],[Fiscal_Year]]*100+Table1[[#This Row],[Fiscal_Week]] &amp; "-" &amp;Table1[[#This Row],[BRAND]]</f>
        <v>0-</v>
      </c>
      <c r="C2166" s="19" t="str">
        <f>Table1[[#This Row],[Fiscal_Year]]&amp;"-"&amp;Table1[[#This Row],[BRAND]]</f>
        <v>-</v>
      </c>
      <c r="J2166" t="e">
        <f>VLOOKUP(H2166,DC_Xref!A:B,2,FALSE)</f>
        <v>#N/A</v>
      </c>
      <c r="K2166">
        <f t="shared" si="33"/>
        <v>0</v>
      </c>
      <c r="L21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6" s="3">
        <f>IFERROR(INDEX(Table3[#All],MATCH(Table1[[#This Row],[Key_Year_Week_Brand]],Table3[[#All],[Key_Year_Week_Brand]],0),MATCH(Table1[[#This Row],[DC_name_Xref]],Table3[#Headers],0)),0)</f>
        <v>0</v>
      </c>
      <c r="O2166" s="19">
        <f>IFERROR(INDEX(Table35[#All],MATCH(Table1[[#This Row],[Key_Year_Week_Brand]],Table35[[#All],[Key_Year_Month_Brand]],0),MATCH(Table1[[#This Row],[DC_name_Xref]],Table35[#Headers],0)),0)</f>
        <v>0</v>
      </c>
    </row>
    <row r="2167" spans="1:15" x14ac:dyDescent="0.3">
      <c r="A2167" s="19" t="e">
        <f>Table1[[#This Row],[Year_Week]]&amp;"-"&amp;Table1[[#This Row],[DC_name_Xref]]</f>
        <v>#N/A</v>
      </c>
      <c r="B2167" s="19" t="str">
        <f>Table1[[#This Row],[Fiscal_Year]]*100+Table1[[#This Row],[Fiscal_Week]] &amp; "-" &amp;Table1[[#This Row],[BRAND]]</f>
        <v>0-</v>
      </c>
      <c r="C2167" s="19" t="str">
        <f>Table1[[#This Row],[Fiscal_Year]]&amp;"-"&amp;Table1[[#This Row],[BRAND]]</f>
        <v>-</v>
      </c>
      <c r="J2167" t="e">
        <f>VLOOKUP(H2167,DC_Xref!A:B,2,FALSE)</f>
        <v>#N/A</v>
      </c>
      <c r="K2167">
        <f t="shared" si="33"/>
        <v>0</v>
      </c>
      <c r="L21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7" s="3">
        <f>IFERROR(INDEX(Table3[#All],MATCH(Table1[[#This Row],[Key_Year_Week_Brand]],Table3[[#All],[Key_Year_Week_Brand]],0),MATCH(Table1[[#This Row],[DC_name_Xref]],Table3[#Headers],0)),0)</f>
        <v>0</v>
      </c>
      <c r="O2167" s="19">
        <f>IFERROR(INDEX(Table35[#All],MATCH(Table1[[#This Row],[Key_Year_Week_Brand]],Table35[[#All],[Key_Year_Month_Brand]],0),MATCH(Table1[[#This Row],[DC_name_Xref]],Table35[#Headers],0)),0)</f>
        <v>0</v>
      </c>
    </row>
    <row r="2168" spans="1:15" x14ac:dyDescent="0.3">
      <c r="A2168" s="19" t="e">
        <f>Table1[[#This Row],[Year_Week]]&amp;"-"&amp;Table1[[#This Row],[DC_name_Xref]]</f>
        <v>#N/A</v>
      </c>
      <c r="B2168" s="19" t="str">
        <f>Table1[[#This Row],[Fiscal_Year]]*100+Table1[[#This Row],[Fiscal_Week]] &amp; "-" &amp;Table1[[#This Row],[BRAND]]</f>
        <v>0-</v>
      </c>
      <c r="C2168" s="19" t="str">
        <f>Table1[[#This Row],[Fiscal_Year]]&amp;"-"&amp;Table1[[#This Row],[BRAND]]</f>
        <v>-</v>
      </c>
      <c r="J2168" t="e">
        <f>VLOOKUP(H2168,DC_Xref!A:B,2,FALSE)</f>
        <v>#N/A</v>
      </c>
      <c r="K2168">
        <f t="shared" si="33"/>
        <v>0</v>
      </c>
      <c r="L21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8" s="3">
        <f>IFERROR(INDEX(Table3[#All],MATCH(Table1[[#This Row],[Key_Year_Week_Brand]],Table3[[#All],[Key_Year_Week_Brand]],0),MATCH(Table1[[#This Row],[DC_name_Xref]],Table3[#Headers],0)),0)</f>
        <v>0</v>
      </c>
      <c r="O2168" s="19">
        <f>IFERROR(INDEX(Table35[#All],MATCH(Table1[[#This Row],[Key_Year_Week_Brand]],Table35[[#All],[Key_Year_Month_Brand]],0),MATCH(Table1[[#This Row],[DC_name_Xref]],Table35[#Headers],0)),0)</f>
        <v>0</v>
      </c>
    </row>
    <row r="2169" spans="1:15" x14ac:dyDescent="0.3">
      <c r="A2169" s="19" t="e">
        <f>Table1[[#This Row],[Year_Week]]&amp;"-"&amp;Table1[[#This Row],[DC_name_Xref]]</f>
        <v>#N/A</v>
      </c>
      <c r="B2169" s="19" t="str">
        <f>Table1[[#This Row],[Fiscal_Year]]*100+Table1[[#This Row],[Fiscal_Week]] &amp; "-" &amp;Table1[[#This Row],[BRAND]]</f>
        <v>0-</v>
      </c>
      <c r="C2169" s="19" t="str">
        <f>Table1[[#This Row],[Fiscal_Year]]&amp;"-"&amp;Table1[[#This Row],[BRAND]]</f>
        <v>-</v>
      </c>
      <c r="J2169" t="e">
        <f>VLOOKUP(H2169,DC_Xref!A:B,2,FALSE)</f>
        <v>#N/A</v>
      </c>
      <c r="K2169">
        <f t="shared" si="33"/>
        <v>0</v>
      </c>
      <c r="L21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69" s="3">
        <f>IFERROR(INDEX(Table3[#All],MATCH(Table1[[#This Row],[Key_Year_Week_Brand]],Table3[[#All],[Key_Year_Week_Brand]],0),MATCH(Table1[[#This Row],[DC_name_Xref]],Table3[#Headers],0)),0)</f>
        <v>0</v>
      </c>
      <c r="O2169" s="19">
        <f>IFERROR(INDEX(Table35[#All],MATCH(Table1[[#This Row],[Key_Year_Week_Brand]],Table35[[#All],[Key_Year_Month_Brand]],0),MATCH(Table1[[#This Row],[DC_name_Xref]],Table35[#Headers],0)),0)</f>
        <v>0</v>
      </c>
    </row>
    <row r="2170" spans="1:15" x14ac:dyDescent="0.3">
      <c r="A2170" s="19" t="e">
        <f>Table1[[#This Row],[Year_Week]]&amp;"-"&amp;Table1[[#This Row],[DC_name_Xref]]</f>
        <v>#N/A</v>
      </c>
      <c r="B2170" s="19" t="str">
        <f>Table1[[#This Row],[Fiscal_Year]]*100+Table1[[#This Row],[Fiscal_Week]] &amp; "-" &amp;Table1[[#This Row],[BRAND]]</f>
        <v>0-</v>
      </c>
      <c r="C2170" s="19" t="str">
        <f>Table1[[#This Row],[Fiscal_Year]]&amp;"-"&amp;Table1[[#This Row],[BRAND]]</f>
        <v>-</v>
      </c>
      <c r="J2170" t="e">
        <f>VLOOKUP(H2170,DC_Xref!A:B,2,FALSE)</f>
        <v>#N/A</v>
      </c>
      <c r="K2170">
        <f t="shared" si="33"/>
        <v>0</v>
      </c>
      <c r="L21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0" s="3">
        <f>IFERROR(INDEX(Table3[#All],MATCH(Table1[[#This Row],[Key_Year_Week_Brand]],Table3[[#All],[Key_Year_Week_Brand]],0),MATCH(Table1[[#This Row],[DC_name_Xref]],Table3[#Headers],0)),0)</f>
        <v>0</v>
      </c>
      <c r="O2170" s="19">
        <f>IFERROR(INDEX(Table35[#All],MATCH(Table1[[#This Row],[Key_Year_Week_Brand]],Table35[[#All],[Key_Year_Month_Brand]],0),MATCH(Table1[[#This Row],[DC_name_Xref]],Table35[#Headers],0)),0)</f>
        <v>0</v>
      </c>
    </row>
    <row r="2171" spans="1:15" x14ac:dyDescent="0.3">
      <c r="A2171" s="19" t="e">
        <f>Table1[[#This Row],[Year_Week]]&amp;"-"&amp;Table1[[#This Row],[DC_name_Xref]]</f>
        <v>#N/A</v>
      </c>
      <c r="B2171" s="19" t="str">
        <f>Table1[[#This Row],[Fiscal_Year]]*100+Table1[[#This Row],[Fiscal_Week]] &amp; "-" &amp;Table1[[#This Row],[BRAND]]</f>
        <v>0-</v>
      </c>
      <c r="C2171" s="19" t="str">
        <f>Table1[[#This Row],[Fiscal_Year]]&amp;"-"&amp;Table1[[#This Row],[BRAND]]</f>
        <v>-</v>
      </c>
      <c r="J2171" t="e">
        <f>VLOOKUP(H2171,DC_Xref!A:B,2,FALSE)</f>
        <v>#N/A</v>
      </c>
      <c r="K2171">
        <f t="shared" si="33"/>
        <v>0</v>
      </c>
      <c r="L21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1" s="3">
        <f>IFERROR(INDEX(Table3[#All],MATCH(Table1[[#This Row],[Key_Year_Week_Brand]],Table3[[#All],[Key_Year_Week_Brand]],0),MATCH(Table1[[#This Row],[DC_name_Xref]],Table3[#Headers],0)),0)</f>
        <v>0</v>
      </c>
      <c r="O2171" s="19">
        <f>IFERROR(INDEX(Table35[#All],MATCH(Table1[[#This Row],[Key_Year_Week_Brand]],Table35[[#All],[Key_Year_Month_Brand]],0),MATCH(Table1[[#This Row],[DC_name_Xref]],Table35[#Headers],0)),0)</f>
        <v>0</v>
      </c>
    </row>
    <row r="2172" spans="1:15" x14ac:dyDescent="0.3">
      <c r="A2172" s="19" t="e">
        <f>Table1[[#This Row],[Year_Week]]&amp;"-"&amp;Table1[[#This Row],[DC_name_Xref]]</f>
        <v>#N/A</v>
      </c>
      <c r="B2172" s="19" t="str">
        <f>Table1[[#This Row],[Fiscal_Year]]*100+Table1[[#This Row],[Fiscal_Week]] &amp; "-" &amp;Table1[[#This Row],[BRAND]]</f>
        <v>0-</v>
      </c>
      <c r="C2172" s="19" t="str">
        <f>Table1[[#This Row],[Fiscal_Year]]&amp;"-"&amp;Table1[[#This Row],[BRAND]]</f>
        <v>-</v>
      </c>
      <c r="J2172" t="e">
        <f>VLOOKUP(H2172,DC_Xref!A:B,2,FALSE)</f>
        <v>#N/A</v>
      </c>
      <c r="K2172">
        <f t="shared" si="33"/>
        <v>0</v>
      </c>
      <c r="L21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2" s="3">
        <f>IFERROR(INDEX(Table3[#All],MATCH(Table1[[#This Row],[Key_Year_Week_Brand]],Table3[[#All],[Key_Year_Week_Brand]],0),MATCH(Table1[[#This Row],[DC_name_Xref]],Table3[#Headers],0)),0)</f>
        <v>0</v>
      </c>
      <c r="O2172" s="19">
        <f>IFERROR(INDEX(Table35[#All],MATCH(Table1[[#This Row],[Key_Year_Week_Brand]],Table35[[#All],[Key_Year_Month_Brand]],0),MATCH(Table1[[#This Row],[DC_name_Xref]],Table35[#Headers],0)),0)</f>
        <v>0</v>
      </c>
    </row>
    <row r="2173" spans="1:15" x14ac:dyDescent="0.3">
      <c r="A2173" s="19" t="e">
        <f>Table1[[#This Row],[Year_Week]]&amp;"-"&amp;Table1[[#This Row],[DC_name_Xref]]</f>
        <v>#N/A</v>
      </c>
      <c r="B2173" s="19" t="str">
        <f>Table1[[#This Row],[Fiscal_Year]]*100+Table1[[#This Row],[Fiscal_Week]] &amp; "-" &amp;Table1[[#This Row],[BRAND]]</f>
        <v>0-</v>
      </c>
      <c r="C2173" s="19" t="str">
        <f>Table1[[#This Row],[Fiscal_Year]]&amp;"-"&amp;Table1[[#This Row],[BRAND]]</f>
        <v>-</v>
      </c>
      <c r="J2173" t="e">
        <f>VLOOKUP(H2173,DC_Xref!A:B,2,FALSE)</f>
        <v>#N/A</v>
      </c>
      <c r="K2173">
        <f t="shared" si="33"/>
        <v>0</v>
      </c>
      <c r="L21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3" s="3">
        <f>IFERROR(INDEX(Table3[#All],MATCH(Table1[[#This Row],[Key_Year_Week_Brand]],Table3[[#All],[Key_Year_Week_Brand]],0),MATCH(Table1[[#This Row],[DC_name_Xref]],Table3[#Headers],0)),0)</f>
        <v>0</v>
      </c>
      <c r="O2173" s="19">
        <f>IFERROR(INDEX(Table35[#All],MATCH(Table1[[#This Row],[Key_Year_Week_Brand]],Table35[[#All],[Key_Year_Month_Brand]],0),MATCH(Table1[[#This Row],[DC_name_Xref]],Table35[#Headers],0)),0)</f>
        <v>0</v>
      </c>
    </row>
    <row r="2174" spans="1:15" x14ac:dyDescent="0.3">
      <c r="A2174" s="19" t="e">
        <f>Table1[[#This Row],[Year_Week]]&amp;"-"&amp;Table1[[#This Row],[DC_name_Xref]]</f>
        <v>#N/A</v>
      </c>
      <c r="B2174" s="19" t="str">
        <f>Table1[[#This Row],[Fiscal_Year]]*100+Table1[[#This Row],[Fiscal_Week]] &amp; "-" &amp;Table1[[#This Row],[BRAND]]</f>
        <v>0-</v>
      </c>
      <c r="C2174" s="19" t="str">
        <f>Table1[[#This Row],[Fiscal_Year]]&amp;"-"&amp;Table1[[#This Row],[BRAND]]</f>
        <v>-</v>
      </c>
      <c r="J2174" t="e">
        <f>VLOOKUP(H2174,DC_Xref!A:B,2,FALSE)</f>
        <v>#N/A</v>
      </c>
      <c r="K2174">
        <f t="shared" si="33"/>
        <v>0</v>
      </c>
      <c r="L21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4" s="3">
        <f>IFERROR(INDEX(Table3[#All],MATCH(Table1[[#This Row],[Key_Year_Week_Brand]],Table3[[#All],[Key_Year_Week_Brand]],0),MATCH(Table1[[#This Row],[DC_name_Xref]],Table3[#Headers],0)),0)</f>
        <v>0</v>
      </c>
      <c r="O2174" s="19">
        <f>IFERROR(INDEX(Table35[#All],MATCH(Table1[[#This Row],[Key_Year_Week_Brand]],Table35[[#All],[Key_Year_Month_Brand]],0),MATCH(Table1[[#This Row],[DC_name_Xref]],Table35[#Headers],0)),0)</f>
        <v>0</v>
      </c>
    </row>
    <row r="2175" spans="1:15" x14ac:dyDescent="0.3">
      <c r="A2175" s="19" t="e">
        <f>Table1[[#This Row],[Year_Week]]&amp;"-"&amp;Table1[[#This Row],[DC_name_Xref]]</f>
        <v>#N/A</v>
      </c>
      <c r="B2175" s="19" t="str">
        <f>Table1[[#This Row],[Fiscal_Year]]*100+Table1[[#This Row],[Fiscal_Week]] &amp; "-" &amp;Table1[[#This Row],[BRAND]]</f>
        <v>0-</v>
      </c>
      <c r="C2175" s="19" t="str">
        <f>Table1[[#This Row],[Fiscal_Year]]&amp;"-"&amp;Table1[[#This Row],[BRAND]]</f>
        <v>-</v>
      </c>
      <c r="J2175" t="e">
        <f>VLOOKUP(H2175,DC_Xref!A:B,2,FALSE)</f>
        <v>#N/A</v>
      </c>
      <c r="K2175">
        <f t="shared" si="33"/>
        <v>0</v>
      </c>
      <c r="L21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5" s="3">
        <f>IFERROR(INDEX(Table3[#All],MATCH(Table1[[#This Row],[Key_Year_Week_Brand]],Table3[[#All],[Key_Year_Week_Brand]],0),MATCH(Table1[[#This Row],[DC_name_Xref]],Table3[#Headers],0)),0)</f>
        <v>0</v>
      </c>
      <c r="O2175" s="19">
        <f>IFERROR(INDEX(Table35[#All],MATCH(Table1[[#This Row],[Key_Year_Week_Brand]],Table35[[#All],[Key_Year_Month_Brand]],0),MATCH(Table1[[#This Row],[DC_name_Xref]],Table35[#Headers],0)),0)</f>
        <v>0</v>
      </c>
    </row>
    <row r="2176" spans="1:15" x14ac:dyDescent="0.3">
      <c r="A2176" s="19" t="e">
        <f>Table1[[#This Row],[Year_Week]]&amp;"-"&amp;Table1[[#This Row],[DC_name_Xref]]</f>
        <v>#N/A</v>
      </c>
      <c r="B2176" s="19" t="str">
        <f>Table1[[#This Row],[Fiscal_Year]]*100+Table1[[#This Row],[Fiscal_Week]] &amp; "-" &amp;Table1[[#This Row],[BRAND]]</f>
        <v>0-</v>
      </c>
      <c r="C2176" s="19" t="str">
        <f>Table1[[#This Row],[Fiscal_Year]]&amp;"-"&amp;Table1[[#This Row],[BRAND]]</f>
        <v>-</v>
      </c>
      <c r="J2176" t="e">
        <f>VLOOKUP(H2176,DC_Xref!A:B,2,FALSE)</f>
        <v>#N/A</v>
      </c>
      <c r="K2176">
        <f t="shared" si="33"/>
        <v>0</v>
      </c>
      <c r="L21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6" s="3">
        <f>IFERROR(INDEX(Table3[#All],MATCH(Table1[[#This Row],[Key_Year_Week_Brand]],Table3[[#All],[Key_Year_Week_Brand]],0),MATCH(Table1[[#This Row],[DC_name_Xref]],Table3[#Headers],0)),0)</f>
        <v>0</v>
      </c>
      <c r="O2176" s="19">
        <f>IFERROR(INDEX(Table35[#All],MATCH(Table1[[#This Row],[Key_Year_Week_Brand]],Table35[[#All],[Key_Year_Month_Brand]],0),MATCH(Table1[[#This Row],[DC_name_Xref]],Table35[#Headers],0)),0)</f>
        <v>0</v>
      </c>
    </row>
    <row r="2177" spans="1:15" x14ac:dyDescent="0.3">
      <c r="A2177" s="19" t="e">
        <f>Table1[[#This Row],[Year_Week]]&amp;"-"&amp;Table1[[#This Row],[DC_name_Xref]]</f>
        <v>#N/A</v>
      </c>
      <c r="B2177" s="19" t="str">
        <f>Table1[[#This Row],[Fiscal_Year]]*100+Table1[[#This Row],[Fiscal_Week]] &amp; "-" &amp;Table1[[#This Row],[BRAND]]</f>
        <v>0-</v>
      </c>
      <c r="C2177" s="19" t="str">
        <f>Table1[[#This Row],[Fiscal_Year]]&amp;"-"&amp;Table1[[#This Row],[BRAND]]</f>
        <v>-</v>
      </c>
      <c r="J2177" t="e">
        <f>VLOOKUP(H2177,DC_Xref!A:B,2,FALSE)</f>
        <v>#N/A</v>
      </c>
      <c r="K2177">
        <f t="shared" si="33"/>
        <v>0</v>
      </c>
      <c r="L21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7" s="3">
        <f>IFERROR(INDEX(Table3[#All],MATCH(Table1[[#This Row],[Key_Year_Week_Brand]],Table3[[#All],[Key_Year_Week_Brand]],0),MATCH(Table1[[#This Row],[DC_name_Xref]],Table3[#Headers],0)),0)</f>
        <v>0</v>
      </c>
      <c r="O2177" s="19">
        <f>IFERROR(INDEX(Table35[#All],MATCH(Table1[[#This Row],[Key_Year_Week_Brand]],Table35[[#All],[Key_Year_Month_Brand]],0),MATCH(Table1[[#This Row],[DC_name_Xref]],Table35[#Headers],0)),0)</f>
        <v>0</v>
      </c>
    </row>
    <row r="2178" spans="1:15" x14ac:dyDescent="0.3">
      <c r="A2178" s="19" t="e">
        <f>Table1[[#This Row],[Year_Week]]&amp;"-"&amp;Table1[[#This Row],[DC_name_Xref]]</f>
        <v>#N/A</v>
      </c>
      <c r="B2178" s="19" t="str">
        <f>Table1[[#This Row],[Fiscal_Year]]*100+Table1[[#This Row],[Fiscal_Week]] &amp; "-" &amp;Table1[[#This Row],[BRAND]]</f>
        <v>0-</v>
      </c>
      <c r="C2178" s="19" t="str">
        <f>Table1[[#This Row],[Fiscal_Year]]&amp;"-"&amp;Table1[[#This Row],[BRAND]]</f>
        <v>-</v>
      </c>
      <c r="J2178" t="e">
        <f>VLOOKUP(H2178,DC_Xref!A:B,2,FALSE)</f>
        <v>#N/A</v>
      </c>
      <c r="K2178">
        <f t="shared" si="33"/>
        <v>0</v>
      </c>
      <c r="L21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8" s="3">
        <f>IFERROR(INDEX(Table3[#All],MATCH(Table1[[#This Row],[Key_Year_Week_Brand]],Table3[[#All],[Key_Year_Week_Brand]],0),MATCH(Table1[[#This Row],[DC_name_Xref]],Table3[#Headers],0)),0)</f>
        <v>0</v>
      </c>
      <c r="O2178" s="19">
        <f>IFERROR(INDEX(Table35[#All],MATCH(Table1[[#This Row],[Key_Year_Week_Brand]],Table35[[#All],[Key_Year_Month_Brand]],0),MATCH(Table1[[#This Row],[DC_name_Xref]],Table35[#Headers],0)),0)</f>
        <v>0</v>
      </c>
    </row>
    <row r="2179" spans="1:15" x14ac:dyDescent="0.3">
      <c r="A2179" s="19" t="e">
        <f>Table1[[#This Row],[Year_Week]]&amp;"-"&amp;Table1[[#This Row],[DC_name_Xref]]</f>
        <v>#N/A</v>
      </c>
      <c r="B2179" s="19" t="str">
        <f>Table1[[#This Row],[Fiscal_Year]]*100+Table1[[#This Row],[Fiscal_Week]] &amp; "-" &amp;Table1[[#This Row],[BRAND]]</f>
        <v>0-</v>
      </c>
      <c r="C2179" s="19" t="str">
        <f>Table1[[#This Row],[Fiscal_Year]]&amp;"-"&amp;Table1[[#This Row],[BRAND]]</f>
        <v>-</v>
      </c>
      <c r="J2179" t="e">
        <f>VLOOKUP(H2179,DC_Xref!A:B,2,FALSE)</f>
        <v>#N/A</v>
      </c>
      <c r="K2179">
        <f t="shared" si="33"/>
        <v>0</v>
      </c>
      <c r="L21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79" s="3">
        <f>IFERROR(INDEX(Table3[#All],MATCH(Table1[[#This Row],[Key_Year_Week_Brand]],Table3[[#All],[Key_Year_Week_Brand]],0),MATCH(Table1[[#This Row],[DC_name_Xref]],Table3[#Headers],0)),0)</f>
        <v>0</v>
      </c>
      <c r="O2179" s="19">
        <f>IFERROR(INDEX(Table35[#All],MATCH(Table1[[#This Row],[Key_Year_Week_Brand]],Table35[[#All],[Key_Year_Month_Brand]],0),MATCH(Table1[[#This Row],[DC_name_Xref]],Table35[#Headers],0)),0)</f>
        <v>0</v>
      </c>
    </row>
    <row r="2180" spans="1:15" x14ac:dyDescent="0.3">
      <c r="A2180" s="19" t="e">
        <f>Table1[[#This Row],[Year_Week]]&amp;"-"&amp;Table1[[#This Row],[DC_name_Xref]]</f>
        <v>#N/A</v>
      </c>
      <c r="B2180" s="19" t="str">
        <f>Table1[[#This Row],[Fiscal_Year]]*100+Table1[[#This Row],[Fiscal_Week]] &amp; "-" &amp;Table1[[#This Row],[BRAND]]</f>
        <v>0-</v>
      </c>
      <c r="C2180" s="19" t="str">
        <f>Table1[[#This Row],[Fiscal_Year]]&amp;"-"&amp;Table1[[#This Row],[BRAND]]</f>
        <v>-</v>
      </c>
      <c r="J2180" t="e">
        <f>VLOOKUP(H2180,DC_Xref!A:B,2,FALSE)</f>
        <v>#N/A</v>
      </c>
      <c r="K2180">
        <f t="shared" si="33"/>
        <v>0</v>
      </c>
      <c r="L21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0" s="3">
        <f>IFERROR(INDEX(Table3[#All],MATCH(Table1[[#This Row],[Key_Year_Week_Brand]],Table3[[#All],[Key_Year_Week_Brand]],0),MATCH(Table1[[#This Row],[DC_name_Xref]],Table3[#Headers],0)),0)</f>
        <v>0</v>
      </c>
      <c r="O2180" s="19">
        <f>IFERROR(INDEX(Table35[#All],MATCH(Table1[[#This Row],[Key_Year_Week_Brand]],Table35[[#All],[Key_Year_Month_Brand]],0),MATCH(Table1[[#This Row],[DC_name_Xref]],Table35[#Headers],0)),0)</f>
        <v>0</v>
      </c>
    </row>
    <row r="2181" spans="1:15" x14ac:dyDescent="0.3">
      <c r="A2181" s="19" t="e">
        <f>Table1[[#This Row],[Year_Week]]&amp;"-"&amp;Table1[[#This Row],[DC_name_Xref]]</f>
        <v>#N/A</v>
      </c>
      <c r="B2181" s="19" t="str">
        <f>Table1[[#This Row],[Fiscal_Year]]*100+Table1[[#This Row],[Fiscal_Week]] &amp; "-" &amp;Table1[[#This Row],[BRAND]]</f>
        <v>0-</v>
      </c>
      <c r="C2181" s="19" t="str">
        <f>Table1[[#This Row],[Fiscal_Year]]&amp;"-"&amp;Table1[[#This Row],[BRAND]]</f>
        <v>-</v>
      </c>
      <c r="J2181" t="e">
        <f>VLOOKUP(H2181,DC_Xref!A:B,2,FALSE)</f>
        <v>#N/A</v>
      </c>
      <c r="K2181">
        <f t="shared" si="33"/>
        <v>0</v>
      </c>
      <c r="L21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1" s="3">
        <f>IFERROR(INDEX(Table3[#All],MATCH(Table1[[#This Row],[Key_Year_Week_Brand]],Table3[[#All],[Key_Year_Week_Brand]],0),MATCH(Table1[[#This Row],[DC_name_Xref]],Table3[#Headers],0)),0)</f>
        <v>0</v>
      </c>
      <c r="O2181" s="19">
        <f>IFERROR(INDEX(Table35[#All],MATCH(Table1[[#This Row],[Key_Year_Week_Brand]],Table35[[#All],[Key_Year_Month_Brand]],0),MATCH(Table1[[#This Row],[DC_name_Xref]],Table35[#Headers],0)),0)</f>
        <v>0</v>
      </c>
    </row>
    <row r="2182" spans="1:15" x14ac:dyDescent="0.3">
      <c r="A2182" s="19" t="e">
        <f>Table1[[#This Row],[Year_Week]]&amp;"-"&amp;Table1[[#This Row],[DC_name_Xref]]</f>
        <v>#N/A</v>
      </c>
      <c r="B2182" s="19" t="str">
        <f>Table1[[#This Row],[Fiscal_Year]]*100+Table1[[#This Row],[Fiscal_Week]] &amp; "-" &amp;Table1[[#This Row],[BRAND]]</f>
        <v>0-</v>
      </c>
      <c r="C2182" s="19" t="str">
        <f>Table1[[#This Row],[Fiscal_Year]]&amp;"-"&amp;Table1[[#This Row],[BRAND]]</f>
        <v>-</v>
      </c>
      <c r="J2182" t="e">
        <f>VLOOKUP(H2182,DC_Xref!A:B,2,FALSE)</f>
        <v>#N/A</v>
      </c>
      <c r="K2182">
        <f t="shared" ref="K2182:K2245" si="34">D2182*100+E2182</f>
        <v>0</v>
      </c>
      <c r="L21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2" s="3">
        <f>IFERROR(INDEX(Table3[#All],MATCH(Table1[[#This Row],[Key_Year_Week_Brand]],Table3[[#All],[Key_Year_Week_Brand]],0),MATCH(Table1[[#This Row],[DC_name_Xref]],Table3[#Headers],0)),0)</f>
        <v>0</v>
      </c>
      <c r="O2182" s="19">
        <f>IFERROR(INDEX(Table35[#All],MATCH(Table1[[#This Row],[Key_Year_Week_Brand]],Table35[[#All],[Key_Year_Month_Brand]],0),MATCH(Table1[[#This Row],[DC_name_Xref]],Table35[#Headers],0)),0)</f>
        <v>0</v>
      </c>
    </row>
    <row r="2183" spans="1:15" x14ac:dyDescent="0.3">
      <c r="A2183" s="19" t="e">
        <f>Table1[[#This Row],[Year_Week]]&amp;"-"&amp;Table1[[#This Row],[DC_name_Xref]]</f>
        <v>#N/A</v>
      </c>
      <c r="B2183" s="19" t="str">
        <f>Table1[[#This Row],[Fiscal_Year]]*100+Table1[[#This Row],[Fiscal_Week]] &amp; "-" &amp;Table1[[#This Row],[BRAND]]</f>
        <v>0-</v>
      </c>
      <c r="C2183" s="19" t="str">
        <f>Table1[[#This Row],[Fiscal_Year]]&amp;"-"&amp;Table1[[#This Row],[BRAND]]</f>
        <v>-</v>
      </c>
      <c r="J2183" t="e">
        <f>VLOOKUP(H2183,DC_Xref!A:B,2,FALSE)</f>
        <v>#N/A</v>
      </c>
      <c r="K2183">
        <f t="shared" si="34"/>
        <v>0</v>
      </c>
      <c r="L21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3" s="3">
        <f>IFERROR(INDEX(Table3[#All],MATCH(Table1[[#This Row],[Key_Year_Week_Brand]],Table3[[#All],[Key_Year_Week_Brand]],0),MATCH(Table1[[#This Row],[DC_name_Xref]],Table3[#Headers],0)),0)</f>
        <v>0</v>
      </c>
      <c r="O2183" s="19">
        <f>IFERROR(INDEX(Table35[#All],MATCH(Table1[[#This Row],[Key_Year_Week_Brand]],Table35[[#All],[Key_Year_Month_Brand]],0),MATCH(Table1[[#This Row],[DC_name_Xref]],Table35[#Headers],0)),0)</f>
        <v>0</v>
      </c>
    </row>
    <row r="2184" spans="1:15" x14ac:dyDescent="0.3">
      <c r="A2184" s="19" t="e">
        <f>Table1[[#This Row],[Year_Week]]&amp;"-"&amp;Table1[[#This Row],[DC_name_Xref]]</f>
        <v>#N/A</v>
      </c>
      <c r="B2184" s="19" t="str">
        <f>Table1[[#This Row],[Fiscal_Year]]*100+Table1[[#This Row],[Fiscal_Week]] &amp; "-" &amp;Table1[[#This Row],[BRAND]]</f>
        <v>0-</v>
      </c>
      <c r="C2184" s="19" t="str">
        <f>Table1[[#This Row],[Fiscal_Year]]&amp;"-"&amp;Table1[[#This Row],[BRAND]]</f>
        <v>-</v>
      </c>
      <c r="J2184" t="e">
        <f>VLOOKUP(H2184,DC_Xref!A:B,2,FALSE)</f>
        <v>#N/A</v>
      </c>
      <c r="K2184">
        <f t="shared" si="34"/>
        <v>0</v>
      </c>
      <c r="L21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4" s="3">
        <f>IFERROR(INDEX(Table3[#All],MATCH(Table1[[#This Row],[Key_Year_Week_Brand]],Table3[[#All],[Key_Year_Week_Brand]],0),MATCH(Table1[[#This Row],[DC_name_Xref]],Table3[#Headers],0)),0)</f>
        <v>0</v>
      </c>
      <c r="O2184" s="19">
        <f>IFERROR(INDEX(Table35[#All],MATCH(Table1[[#This Row],[Key_Year_Week_Brand]],Table35[[#All],[Key_Year_Month_Brand]],0),MATCH(Table1[[#This Row],[DC_name_Xref]],Table35[#Headers],0)),0)</f>
        <v>0</v>
      </c>
    </row>
    <row r="2185" spans="1:15" x14ac:dyDescent="0.3">
      <c r="A2185" s="19" t="e">
        <f>Table1[[#This Row],[Year_Week]]&amp;"-"&amp;Table1[[#This Row],[DC_name_Xref]]</f>
        <v>#N/A</v>
      </c>
      <c r="B2185" s="19" t="str">
        <f>Table1[[#This Row],[Fiscal_Year]]*100+Table1[[#This Row],[Fiscal_Week]] &amp; "-" &amp;Table1[[#This Row],[BRAND]]</f>
        <v>0-</v>
      </c>
      <c r="C2185" s="19" t="str">
        <f>Table1[[#This Row],[Fiscal_Year]]&amp;"-"&amp;Table1[[#This Row],[BRAND]]</f>
        <v>-</v>
      </c>
      <c r="J2185" t="e">
        <f>VLOOKUP(H2185,DC_Xref!A:B,2,FALSE)</f>
        <v>#N/A</v>
      </c>
      <c r="K2185">
        <f t="shared" si="34"/>
        <v>0</v>
      </c>
      <c r="L21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5" s="3">
        <f>IFERROR(INDEX(Table3[#All],MATCH(Table1[[#This Row],[Key_Year_Week_Brand]],Table3[[#All],[Key_Year_Week_Brand]],0),MATCH(Table1[[#This Row],[DC_name_Xref]],Table3[#Headers],0)),0)</f>
        <v>0</v>
      </c>
      <c r="O2185" s="19">
        <f>IFERROR(INDEX(Table35[#All],MATCH(Table1[[#This Row],[Key_Year_Week_Brand]],Table35[[#All],[Key_Year_Month_Brand]],0),MATCH(Table1[[#This Row],[DC_name_Xref]],Table35[#Headers],0)),0)</f>
        <v>0</v>
      </c>
    </row>
    <row r="2186" spans="1:15" x14ac:dyDescent="0.3">
      <c r="A2186" s="19" t="e">
        <f>Table1[[#This Row],[Year_Week]]&amp;"-"&amp;Table1[[#This Row],[DC_name_Xref]]</f>
        <v>#N/A</v>
      </c>
      <c r="B2186" s="19" t="str">
        <f>Table1[[#This Row],[Fiscal_Year]]*100+Table1[[#This Row],[Fiscal_Week]] &amp; "-" &amp;Table1[[#This Row],[BRAND]]</f>
        <v>0-</v>
      </c>
      <c r="C2186" s="19" t="str">
        <f>Table1[[#This Row],[Fiscal_Year]]&amp;"-"&amp;Table1[[#This Row],[BRAND]]</f>
        <v>-</v>
      </c>
      <c r="J2186" t="e">
        <f>VLOOKUP(H2186,DC_Xref!A:B,2,FALSE)</f>
        <v>#N/A</v>
      </c>
      <c r="K2186">
        <f t="shared" si="34"/>
        <v>0</v>
      </c>
      <c r="L21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6" s="3">
        <f>IFERROR(INDEX(Table3[#All],MATCH(Table1[[#This Row],[Key_Year_Week_Brand]],Table3[[#All],[Key_Year_Week_Brand]],0),MATCH(Table1[[#This Row],[DC_name_Xref]],Table3[#Headers],0)),0)</f>
        <v>0</v>
      </c>
      <c r="O2186" s="19">
        <f>IFERROR(INDEX(Table35[#All],MATCH(Table1[[#This Row],[Key_Year_Week_Brand]],Table35[[#All],[Key_Year_Month_Brand]],0),MATCH(Table1[[#This Row],[DC_name_Xref]],Table35[#Headers],0)),0)</f>
        <v>0</v>
      </c>
    </row>
    <row r="2187" spans="1:15" x14ac:dyDescent="0.3">
      <c r="A2187" s="19" t="e">
        <f>Table1[[#This Row],[Year_Week]]&amp;"-"&amp;Table1[[#This Row],[DC_name_Xref]]</f>
        <v>#N/A</v>
      </c>
      <c r="B2187" s="19" t="str">
        <f>Table1[[#This Row],[Fiscal_Year]]*100+Table1[[#This Row],[Fiscal_Week]] &amp; "-" &amp;Table1[[#This Row],[BRAND]]</f>
        <v>0-</v>
      </c>
      <c r="C2187" s="19" t="str">
        <f>Table1[[#This Row],[Fiscal_Year]]&amp;"-"&amp;Table1[[#This Row],[BRAND]]</f>
        <v>-</v>
      </c>
      <c r="J2187" t="e">
        <f>VLOOKUP(H2187,DC_Xref!A:B,2,FALSE)</f>
        <v>#N/A</v>
      </c>
      <c r="K2187">
        <f t="shared" si="34"/>
        <v>0</v>
      </c>
      <c r="L21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7" s="3">
        <f>IFERROR(INDEX(Table3[#All],MATCH(Table1[[#This Row],[Key_Year_Week_Brand]],Table3[[#All],[Key_Year_Week_Brand]],0),MATCH(Table1[[#This Row],[DC_name_Xref]],Table3[#Headers],0)),0)</f>
        <v>0</v>
      </c>
      <c r="O2187" s="19">
        <f>IFERROR(INDEX(Table35[#All],MATCH(Table1[[#This Row],[Key_Year_Week_Brand]],Table35[[#All],[Key_Year_Month_Brand]],0),MATCH(Table1[[#This Row],[DC_name_Xref]],Table35[#Headers],0)),0)</f>
        <v>0</v>
      </c>
    </row>
    <row r="2188" spans="1:15" x14ac:dyDescent="0.3">
      <c r="A2188" s="19" t="e">
        <f>Table1[[#This Row],[Year_Week]]&amp;"-"&amp;Table1[[#This Row],[DC_name_Xref]]</f>
        <v>#N/A</v>
      </c>
      <c r="B2188" s="19" t="str">
        <f>Table1[[#This Row],[Fiscal_Year]]*100+Table1[[#This Row],[Fiscal_Week]] &amp; "-" &amp;Table1[[#This Row],[BRAND]]</f>
        <v>0-</v>
      </c>
      <c r="C2188" s="19" t="str">
        <f>Table1[[#This Row],[Fiscal_Year]]&amp;"-"&amp;Table1[[#This Row],[BRAND]]</f>
        <v>-</v>
      </c>
      <c r="J2188" t="e">
        <f>VLOOKUP(H2188,DC_Xref!A:B,2,FALSE)</f>
        <v>#N/A</v>
      </c>
      <c r="K2188">
        <f t="shared" si="34"/>
        <v>0</v>
      </c>
      <c r="L21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8" s="3">
        <f>IFERROR(INDEX(Table3[#All],MATCH(Table1[[#This Row],[Key_Year_Week_Brand]],Table3[[#All],[Key_Year_Week_Brand]],0),MATCH(Table1[[#This Row],[DC_name_Xref]],Table3[#Headers],0)),0)</f>
        <v>0</v>
      </c>
      <c r="O2188" s="19">
        <f>IFERROR(INDEX(Table35[#All],MATCH(Table1[[#This Row],[Key_Year_Week_Brand]],Table35[[#All],[Key_Year_Month_Brand]],0),MATCH(Table1[[#This Row],[DC_name_Xref]],Table35[#Headers],0)),0)</f>
        <v>0</v>
      </c>
    </row>
    <row r="2189" spans="1:15" x14ac:dyDescent="0.3">
      <c r="A2189" s="19" t="e">
        <f>Table1[[#This Row],[Year_Week]]&amp;"-"&amp;Table1[[#This Row],[DC_name_Xref]]</f>
        <v>#N/A</v>
      </c>
      <c r="B2189" s="19" t="str">
        <f>Table1[[#This Row],[Fiscal_Year]]*100+Table1[[#This Row],[Fiscal_Week]] &amp; "-" &amp;Table1[[#This Row],[BRAND]]</f>
        <v>0-</v>
      </c>
      <c r="C2189" s="19" t="str">
        <f>Table1[[#This Row],[Fiscal_Year]]&amp;"-"&amp;Table1[[#This Row],[BRAND]]</f>
        <v>-</v>
      </c>
      <c r="J2189" t="e">
        <f>VLOOKUP(H2189,DC_Xref!A:B,2,FALSE)</f>
        <v>#N/A</v>
      </c>
      <c r="K2189">
        <f t="shared" si="34"/>
        <v>0</v>
      </c>
      <c r="L21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89" s="3">
        <f>IFERROR(INDEX(Table3[#All],MATCH(Table1[[#This Row],[Key_Year_Week_Brand]],Table3[[#All],[Key_Year_Week_Brand]],0),MATCH(Table1[[#This Row],[DC_name_Xref]],Table3[#Headers],0)),0)</f>
        <v>0</v>
      </c>
      <c r="O2189" s="19">
        <f>IFERROR(INDEX(Table35[#All],MATCH(Table1[[#This Row],[Key_Year_Week_Brand]],Table35[[#All],[Key_Year_Month_Brand]],0),MATCH(Table1[[#This Row],[DC_name_Xref]],Table35[#Headers],0)),0)</f>
        <v>0</v>
      </c>
    </row>
    <row r="2190" spans="1:15" x14ac:dyDescent="0.3">
      <c r="A2190" s="19" t="e">
        <f>Table1[[#This Row],[Year_Week]]&amp;"-"&amp;Table1[[#This Row],[DC_name_Xref]]</f>
        <v>#N/A</v>
      </c>
      <c r="B2190" s="19" t="str">
        <f>Table1[[#This Row],[Fiscal_Year]]*100+Table1[[#This Row],[Fiscal_Week]] &amp; "-" &amp;Table1[[#This Row],[BRAND]]</f>
        <v>0-</v>
      </c>
      <c r="C2190" s="19" t="str">
        <f>Table1[[#This Row],[Fiscal_Year]]&amp;"-"&amp;Table1[[#This Row],[BRAND]]</f>
        <v>-</v>
      </c>
      <c r="J2190" t="e">
        <f>VLOOKUP(H2190,DC_Xref!A:B,2,FALSE)</f>
        <v>#N/A</v>
      </c>
      <c r="K2190">
        <f t="shared" si="34"/>
        <v>0</v>
      </c>
      <c r="L21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0" s="3">
        <f>IFERROR(INDEX(Table3[#All],MATCH(Table1[[#This Row],[Key_Year_Week_Brand]],Table3[[#All],[Key_Year_Week_Brand]],0),MATCH(Table1[[#This Row],[DC_name_Xref]],Table3[#Headers],0)),0)</f>
        <v>0</v>
      </c>
      <c r="O2190" s="19">
        <f>IFERROR(INDEX(Table35[#All],MATCH(Table1[[#This Row],[Key_Year_Week_Brand]],Table35[[#All],[Key_Year_Month_Brand]],0),MATCH(Table1[[#This Row],[DC_name_Xref]],Table35[#Headers],0)),0)</f>
        <v>0</v>
      </c>
    </row>
    <row r="2191" spans="1:15" x14ac:dyDescent="0.3">
      <c r="A2191" s="19" t="e">
        <f>Table1[[#This Row],[Year_Week]]&amp;"-"&amp;Table1[[#This Row],[DC_name_Xref]]</f>
        <v>#N/A</v>
      </c>
      <c r="B2191" s="19" t="str">
        <f>Table1[[#This Row],[Fiscal_Year]]*100+Table1[[#This Row],[Fiscal_Week]] &amp; "-" &amp;Table1[[#This Row],[BRAND]]</f>
        <v>0-</v>
      </c>
      <c r="C2191" s="19" t="str">
        <f>Table1[[#This Row],[Fiscal_Year]]&amp;"-"&amp;Table1[[#This Row],[BRAND]]</f>
        <v>-</v>
      </c>
      <c r="J2191" t="e">
        <f>VLOOKUP(H2191,DC_Xref!A:B,2,FALSE)</f>
        <v>#N/A</v>
      </c>
      <c r="K2191">
        <f t="shared" si="34"/>
        <v>0</v>
      </c>
      <c r="L21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1" s="3">
        <f>IFERROR(INDEX(Table3[#All],MATCH(Table1[[#This Row],[Key_Year_Week_Brand]],Table3[[#All],[Key_Year_Week_Brand]],0),MATCH(Table1[[#This Row],[DC_name_Xref]],Table3[#Headers],0)),0)</f>
        <v>0</v>
      </c>
      <c r="O2191" s="19">
        <f>IFERROR(INDEX(Table35[#All],MATCH(Table1[[#This Row],[Key_Year_Week_Brand]],Table35[[#All],[Key_Year_Month_Brand]],0),MATCH(Table1[[#This Row],[DC_name_Xref]],Table35[#Headers],0)),0)</f>
        <v>0</v>
      </c>
    </row>
    <row r="2192" spans="1:15" x14ac:dyDescent="0.3">
      <c r="A2192" s="19" t="e">
        <f>Table1[[#This Row],[Year_Week]]&amp;"-"&amp;Table1[[#This Row],[DC_name_Xref]]</f>
        <v>#N/A</v>
      </c>
      <c r="B2192" s="19" t="str">
        <f>Table1[[#This Row],[Fiscal_Year]]*100+Table1[[#This Row],[Fiscal_Week]] &amp; "-" &amp;Table1[[#This Row],[BRAND]]</f>
        <v>0-</v>
      </c>
      <c r="C2192" s="19" t="str">
        <f>Table1[[#This Row],[Fiscal_Year]]&amp;"-"&amp;Table1[[#This Row],[BRAND]]</f>
        <v>-</v>
      </c>
      <c r="J2192" t="e">
        <f>VLOOKUP(H2192,DC_Xref!A:B,2,FALSE)</f>
        <v>#N/A</v>
      </c>
      <c r="K2192">
        <f t="shared" si="34"/>
        <v>0</v>
      </c>
      <c r="L21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2" s="3">
        <f>IFERROR(INDEX(Table3[#All],MATCH(Table1[[#This Row],[Key_Year_Week_Brand]],Table3[[#All],[Key_Year_Week_Brand]],0),MATCH(Table1[[#This Row],[DC_name_Xref]],Table3[#Headers],0)),0)</f>
        <v>0</v>
      </c>
      <c r="O2192" s="19">
        <f>IFERROR(INDEX(Table35[#All],MATCH(Table1[[#This Row],[Key_Year_Week_Brand]],Table35[[#All],[Key_Year_Month_Brand]],0),MATCH(Table1[[#This Row],[DC_name_Xref]],Table35[#Headers],0)),0)</f>
        <v>0</v>
      </c>
    </row>
    <row r="2193" spans="1:15" x14ac:dyDescent="0.3">
      <c r="A2193" s="19" t="e">
        <f>Table1[[#This Row],[Year_Week]]&amp;"-"&amp;Table1[[#This Row],[DC_name_Xref]]</f>
        <v>#N/A</v>
      </c>
      <c r="B2193" s="19" t="str">
        <f>Table1[[#This Row],[Fiscal_Year]]*100+Table1[[#This Row],[Fiscal_Week]] &amp; "-" &amp;Table1[[#This Row],[BRAND]]</f>
        <v>0-</v>
      </c>
      <c r="C2193" s="19" t="str">
        <f>Table1[[#This Row],[Fiscal_Year]]&amp;"-"&amp;Table1[[#This Row],[BRAND]]</f>
        <v>-</v>
      </c>
      <c r="J2193" t="e">
        <f>VLOOKUP(H2193,DC_Xref!A:B,2,FALSE)</f>
        <v>#N/A</v>
      </c>
      <c r="K2193">
        <f t="shared" si="34"/>
        <v>0</v>
      </c>
      <c r="L21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3" s="3">
        <f>IFERROR(INDEX(Table3[#All],MATCH(Table1[[#This Row],[Key_Year_Week_Brand]],Table3[[#All],[Key_Year_Week_Brand]],0),MATCH(Table1[[#This Row],[DC_name_Xref]],Table3[#Headers],0)),0)</f>
        <v>0</v>
      </c>
      <c r="O2193" s="19">
        <f>IFERROR(INDEX(Table35[#All],MATCH(Table1[[#This Row],[Key_Year_Week_Brand]],Table35[[#All],[Key_Year_Month_Brand]],0),MATCH(Table1[[#This Row],[DC_name_Xref]],Table35[#Headers],0)),0)</f>
        <v>0</v>
      </c>
    </row>
    <row r="2194" spans="1:15" x14ac:dyDescent="0.3">
      <c r="A2194" s="19" t="e">
        <f>Table1[[#This Row],[Year_Week]]&amp;"-"&amp;Table1[[#This Row],[DC_name_Xref]]</f>
        <v>#N/A</v>
      </c>
      <c r="B2194" s="19" t="str">
        <f>Table1[[#This Row],[Fiscal_Year]]*100+Table1[[#This Row],[Fiscal_Week]] &amp; "-" &amp;Table1[[#This Row],[BRAND]]</f>
        <v>0-</v>
      </c>
      <c r="C2194" s="19" t="str">
        <f>Table1[[#This Row],[Fiscal_Year]]&amp;"-"&amp;Table1[[#This Row],[BRAND]]</f>
        <v>-</v>
      </c>
      <c r="J2194" t="e">
        <f>VLOOKUP(H2194,DC_Xref!A:B,2,FALSE)</f>
        <v>#N/A</v>
      </c>
      <c r="K2194">
        <f t="shared" si="34"/>
        <v>0</v>
      </c>
      <c r="L21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4" s="3">
        <f>IFERROR(INDEX(Table3[#All],MATCH(Table1[[#This Row],[Key_Year_Week_Brand]],Table3[[#All],[Key_Year_Week_Brand]],0),MATCH(Table1[[#This Row],[DC_name_Xref]],Table3[#Headers],0)),0)</f>
        <v>0</v>
      </c>
      <c r="O2194" s="19">
        <f>IFERROR(INDEX(Table35[#All],MATCH(Table1[[#This Row],[Key_Year_Week_Brand]],Table35[[#All],[Key_Year_Month_Brand]],0),MATCH(Table1[[#This Row],[DC_name_Xref]],Table35[#Headers],0)),0)</f>
        <v>0</v>
      </c>
    </row>
    <row r="2195" spans="1:15" x14ac:dyDescent="0.3">
      <c r="A2195" s="19" t="e">
        <f>Table1[[#This Row],[Year_Week]]&amp;"-"&amp;Table1[[#This Row],[DC_name_Xref]]</f>
        <v>#N/A</v>
      </c>
      <c r="B2195" s="19" t="str">
        <f>Table1[[#This Row],[Fiscal_Year]]*100+Table1[[#This Row],[Fiscal_Week]] &amp; "-" &amp;Table1[[#This Row],[BRAND]]</f>
        <v>0-</v>
      </c>
      <c r="C2195" s="19" t="str">
        <f>Table1[[#This Row],[Fiscal_Year]]&amp;"-"&amp;Table1[[#This Row],[BRAND]]</f>
        <v>-</v>
      </c>
      <c r="J2195" t="e">
        <f>VLOOKUP(H2195,DC_Xref!A:B,2,FALSE)</f>
        <v>#N/A</v>
      </c>
      <c r="K2195">
        <f t="shared" si="34"/>
        <v>0</v>
      </c>
      <c r="L21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5" s="3">
        <f>IFERROR(INDEX(Table3[#All],MATCH(Table1[[#This Row],[Key_Year_Week_Brand]],Table3[[#All],[Key_Year_Week_Brand]],0),MATCH(Table1[[#This Row],[DC_name_Xref]],Table3[#Headers],0)),0)</f>
        <v>0</v>
      </c>
      <c r="O2195" s="19">
        <f>IFERROR(INDEX(Table35[#All],MATCH(Table1[[#This Row],[Key_Year_Week_Brand]],Table35[[#All],[Key_Year_Month_Brand]],0),MATCH(Table1[[#This Row],[DC_name_Xref]],Table35[#Headers],0)),0)</f>
        <v>0</v>
      </c>
    </row>
    <row r="2196" spans="1:15" x14ac:dyDescent="0.3">
      <c r="A2196" s="19" t="e">
        <f>Table1[[#This Row],[Year_Week]]&amp;"-"&amp;Table1[[#This Row],[DC_name_Xref]]</f>
        <v>#N/A</v>
      </c>
      <c r="B2196" s="19" t="str">
        <f>Table1[[#This Row],[Fiscal_Year]]*100+Table1[[#This Row],[Fiscal_Week]] &amp; "-" &amp;Table1[[#This Row],[BRAND]]</f>
        <v>0-</v>
      </c>
      <c r="C2196" s="19" t="str">
        <f>Table1[[#This Row],[Fiscal_Year]]&amp;"-"&amp;Table1[[#This Row],[BRAND]]</f>
        <v>-</v>
      </c>
      <c r="J2196" t="e">
        <f>VLOOKUP(H2196,DC_Xref!A:B,2,FALSE)</f>
        <v>#N/A</v>
      </c>
      <c r="K2196">
        <f t="shared" si="34"/>
        <v>0</v>
      </c>
      <c r="L21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6" s="3">
        <f>IFERROR(INDEX(Table3[#All],MATCH(Table1[[#This Row],[Key_Year_Week_Brand]],Table3[[#All],[Key_Year_Week_Brand]],0),MATCH(Table1[[#This Row],[DC_name_Xref]],Table3[#Headers],0)),0)</f>
        <v>0</v>
      </c>
      <c r="O2196" s="19">
        <f>IFERROR(INDEX(Table35[#All],MATCH(Table1[[#This Row],[Key_Year_Week_Brand]],Table35[[#All],[Key_Year_Month_Brand]],0),MATCH(Table1[[#This Row],[DC_name_Xref]],Table35[#Headers],0)),0)</f>
        <v>0</v>
      </c>
    </row>
    <row r="2197" spans="1:15" x14ac:dyDescent="0.3">
      <c r="A2197" s="19" t="e">
        <f>Table1[[#This Row],[Year_Week]]&amp;"-"&amp;Table1[[#This Row],[DC_name_Xref]]</f>
        <v>#N/A</v>
      </c>
      <c r="B2197" s="19" t="str">
        <f>Table1[[#This Row],[Fiscal_Year]]*100+Table1[[#This Row],[Fiscal_Week]] &amp; "-" &amp;Table1[[#This Row],[BRAND]]</f>
        <v>0-</v>
      </c>
      <c r="C2197" s="19" t="str">
        <f>Table1[[#This Row],[Fiscal_Year]]&amp;"-"&amp;Table1[[#This Row],[BRAND]]</f>
        <v>-</v>
      </c>
      <c r="J2197" t="e">
        <f>VLOOKUP(H2197,DC_Xref!A:B,2,FALSE)</f>
        <v>#N/A</v>
      </c>
      <c r="K2197">
        <f t="shared" si="34"/>
        <v>0</v>
      </c>
      <c r="L21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7" s="3">
        <f>IFERROR(INDEX(Table3[#All],MATCH(Table1[[#This Row],[Key_Year_Week_Brand]],Table3[[#All],[Key_Year_Week_Brand]],0),MATCH(Table1[[#This Row],[DC_name_Xref]],Table3[#Headers],0)),0)</f>
        <v>0</v>
      </c>
      <c r="O2197" s="19">
        <f>IFERROR(INDEX(Table35[#All],MATCH(Table1[[#This Row],[Key_Year_Week_Brand]],Table35[[#All],[Key_Year_Month_Brand]],0),MATCH(Table1[[#This Row],[DC_name_Xref]],Table35[#Headers],0)),0)</f>
        <v>0</v>
      </c>
    </row>
    <row r="2198" spans="1:15" x14ac:dyDescent="0.3">
      <c r="A2198" s="19" t="e">
        <f>Table1[[#This Row],[Year_Week]]&amp;"-"&amp;Table1[[#This Row],[DC_name_Xref]]</f>
        <v>#N/A</v>
      </c>
      <c r="B2198" s="19" t="str">
        <f>Table1[[#This Row],[Fiscal_Year]]*100+Table1[[#This Row],[Fiscal_Week]] &amp; "-" &amp;Table1[[#This Row],[BRAND]]</f>
        <v>0-</v>
      </c>
      <c r="C2198" s="19" t="str">
        <f>Table1[[#This Row],[Fiscal_Year]]&amp;"-"&amp;Table1[[#This Row],[BRAND]]</f>
        <v>-</v>
      </c>
      <c r="J2198" t="e">
        <f>VLOOKUP(H2198,DC_Xref!A:B,2,FALSE)</f>
        <v>#N/A</v>
      </c>
      <c r="K2198">
        <f t="shared" si="34"/>
        <v>0</v>
      </c>
      <c r="L21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8" s="3">
        <f>IFERROR(INDEX(Table3[#All],MATCH(Table1[[#This Row],[Key_Year_Week_Brand]],Table3[[#All],[Key_Year_Week_Brand]],0),MATCH(Table1[[#This Row],[DC_name_Xref]],Table3[#Headers],0)),0)</f>
        <v>0</v>
      </c>
      <c r="O2198" s="19">
        <f>IFERROR(INDEX(Table35[#All],MATCH(Table1[[#This Row],[Key_Year_Week_Brand]],Table35[[#All],[Key_Year_Month_Brand]],0),MATCH(Table1[[#This Row],[DC_name_Xref]],Table35[#Headers],0)),0)</f>
        <v>0</v>
      </c>
    </row>
    <row r="2199" spans="1:15" x14ac:dyDescent="0.3">
      <c r="A2199" s="19" t="e">
        <f>Table1[[#This Row],[Year_Week]]&amp;"-"&amp;Table1[[#This Row],[DC_name_Xref]]</f>
        <v>#N/A</v>
      </c>
      <c r="B2199" s="19" t="str">
        <f>Table1[[#This Row],[Fiscal_Year]]*100+Table1[[#This Row],[Fiscal_Week]] &amp; "-" &amp;Table1[[#This Row],[BRAND]]</f>
        <v>0-</v>
      </c>
      <c r="C2199" s="19" t="str">
        <f>Table1[[#This Row],[Fiscal_Year]]&amp;"-"&amp;Table1[[#This Row],[BRAND]]</f>
        <v>-</v>
      </c>
      <c r="J2199" t="e">
        <f>VLOOKUP(H2199,DC_Xref!A:B,2,FALSE)</f>
        <v>#N/A</v>
      </c>
      <c r="K2199">
        <f t="shared" si="34"/>
        <v>0</v>
      </c>
      <c r="L21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1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199" s="3">
        <f>IFERROR(INDEX(Table3[#All],MATCH(Table1[[#This Row],[Key_Year_Week_Brand]],Table3[[#All],[Key_Year_Week_Brand]],0),MATCH(Table1[[#This Row],[DC_name_Xref]],Table3[#Headers],0)),0)</f>
        <v>0</v>
      </c>
      <c r="O2199" s="19">
        <f>IFERROR(INDEX(Table35[#All],MATCH(Table1[[#This Row],[Key_Year_Week_Brand]],Table35[[#All],[Key_Year_Month_Brand]],0),MATCH(Table1[[#This Row],[DC_name_Xref]],Table35[#Headers],0)),0)</f>
        <v>0</v>
      </c>
    </row>
    <row r="2200" spans="1:15" x14ac:dyDescent="0.3">
      <c r="A2200" s="19" t="e">
        <f>Table1[[#This Row],[Year_Week]]&amp;"-"&amp;Table1[[#This Row],[DC_name_Xref]]</f>
        <v>#N/A</v>
      </c>
      <c r="B2200" s="19" t="str">
        <f>Table1[[#This Row],[Fiscal_Year]]*100+Table1[[#This Row],[Fiscal_Week]] &amp; "-" &amp;Table1[[#This Row],[BRAND]]</f>
        <v>0-</v>
      </c>
      <c r="C2200" s="19" t="str">
        <f>Table1[[#This Row],[Fiscal_Year]]&amp;"-"&amp;Table1[[#This Row],[BRAND]]</f>
        <v>-</v>
      </c>
      <c r="J2200" t="e">
        <f>VLOOKUP(H2200,DC_Xref!A:B,2,FALSE)</f>
        <v>#N/A</v>
      </c>
      <c r="K2200">
        <f t="shared" si="34"/>
        <v>0</v>
      </c>
      <c r="L22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0" s="3">
        <f>IFERROR(INDEX(Table3[#All],MATCH(Table1[[#This Row],[Key_Year_Week_Brand]],Table3[[#All],[Key_Year_Week_Brand]],0),MATCH(Table1[[#This Row],[DC_name_Xref]],Table3[#Headers],0)),0)</f>
        <v>0</v>
      </c>
      <c r="O2200" s="19">
        <f>IFERROR(INDEX(Table35[#All],MATCH(Table1[[#This Row],[Key_Year_Week_Brand]],Table35[[#All],[Key_Year_Month_Brand]],0),MATCH(Table1[[#This Row],[DC_name_Xref]],Table35[#Headers],0)),0)</f>
        <v>0</v>
      </c>
    </row>
    <row r="2201" spans="1:15" x14ac:dyDescent="0.3">
      <c r="A2201" s="19" t="e">
        <f>Table1[[#This Row],[Year_Week]]&amp;"-"&amp;Table1[[#This Row],[DC_name_Xref]]</f>
        <v>#N/A</v>
      </c>
      <c r="B2201" s="19" t="str">
        <f>Table1[[#This Row],[Fiscal_Year]]*100+Table1[[#This Row],[Fiscal_Week]] &amp; "-" &amp;Table1[[#This Row],[BRAND]]</f>
        <v>0-</v>
      </c>
      <c r="C2201" s="19" t="str">
        <f>Table1[[#This Row],[Fiscal_Year]]&amp;"-"&amp;Table1[[#This Row],[BRAND]]</f>
        <v>-</v>
      </c>
      <c r="J2201" t="e">
        <f>VLOOKUP(H2201,DC_Xref!A:B,2,FALSE)</f>
        <v>#N/A</v>
      </c>
      <c r="K2201">
        <f t="shared" si="34"/>
        <v>0</v>
      </c>
      <c r="L22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1" s="3">
        <f>IFERROR(INDEX(Table3[#All],MATCH(Table1[[#This Row],[Key_Year_Week_Brand]],Table3[[#All],[Key_Year_Week_Brand]],0),MATCH(Table1[[#This Row],[DC_name_Xref]],Table3[#Headers],0)),0)</f>
        <v>0</v>
      </c>
      <c r="O2201" s="19">
        <f>IFERROR(INDEX(Table35[#All],MATCH(Table1[[#This Row],[Key_Year_Week_Brand]],Table35[[#All],[Key_Year_Month_Brand]],0),MATCH(Table1[[#This Row],[DC_name_Xref]],Table35[#Headers],0)),0)</f>
        <v>0</v>
      </c>
    </row>
    <row r="2202" spans="1:15" x14ac:dyDescent="0.3">
      <c r="A2202" s="19" t="e">
        <f>Table1[[#This Row],[Year_Week]]&amp;"-"&amp;Table1[[#This Row],[DC_name_Xref]]</f>
        <v>#N/A</v>
      </c>
      <c r="B2202" s="19" t="str">
        <f>Table1[[#This Row],[Fiscal_Year]]*100+Table1[[#This Row],[Fiscal_Week]] &amp; "-" &amp;Table1[[#This Row],[BRAND]]</f>
        <v>0-</v>
      </c>
      <c r="C2202" s="19" t="str">
        <f>Table1[[#This Row],[Fiscal_Year]]&amp;"-"&amp;Table1[[#This Row],[BRAND]]</f>
        <v>-</v>
      </c>
      <c r="J2202" t="e">
        <f>VLOOKUP(H2202,DC_Xref!A:B,2,FALSE)</f>
        <v>#N/A</v>
      </c>
      <c r="K2202">
        <f t="shared" si="34"/>
        <v>0</v>
      </c>
      <c r="L22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2" s="3">
        <f>IFERROR(INDEX(Table3[#All],MATCH(Table1[[#This Row],[Key_Year_Week_Brand]],Table3[[#All],[Key_Year_Week_Brand]],0),MATCH(Table1[[#This Row],[DC_name_Xref]],Table3[#Headers],0)),0)</f>
        <v>0</v>
      </c>
      <c r="O2202" s="19">
        <f>IFERROR(INDEX(Table35[#All],MATCH(Table1[[#This Row],[Key_Year_Week_Brand]],Table35[[#All],[Key_Year_Month_Brand]],0),MATCH(Table1[[#This Row],[DC_name_Xref]],Table35[#Headers],0)),0)</f>
        <v>0</v>
      </c>
    </row>
    <row r="2203" spans="1:15" x14ac:dyDescent="0.3">
      <c r="A2203" s="19" t="e">
        <f>Table1[[#This Row],[Year_Week]]&amp;"-"&amp;Table1[[#This Row],[DC_name_Xref]]</f>
        <v>#N/A</v>
      </c>
      <c r="B2203" s="19" t="str">
        <f>Table1[[#This Row],[Fiscal_Year]]*100+Table1[[#This Row],[Fiscal_Week]] &amp; "-" &amp;Table1[[#This Row],[BRAND]]</f>
        <v>0-</v>
      </c>
      <c r="C2203" s="19" t="str">
        <f>Table1[[#This Row],[Fiscal_Year]]&amp;"-"&amp;Table1[[#This Row],[BRAND]]</f>
        <v>-</v>
      </c>
      <c r="J2203" t="e">
        <f>VLOOKUP(H2203,DC_Xref!A:B,2,FALSE)</f>
        <v>#N/A</v>
      </c>
      <c r="K2203">
        <f t="shared" si="34"/>
        <v>0</v>
      </c>
      <c r="L22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3" s="3">
        <f>IFERROR(INDEX(Table3[#All],MATCH(Table1[[#This Row],[Key_Year_Week_Brand]],Table3[[#All],[Key_Year_Week_Brand]],0),MATCH(Table1[[#This Row],[DC_name_Xref]],Table3[#Headers],0)),0)</f>
        <v>0</v>
      </c>
      <c r="O2203" s="19">
        <f>IFERROR(INDEX(Table35[#All],MATCH(Table1[[#This Row],[Key_Year_Week_Brand]],Table35[[#All],[Key_Year_Month_Brand]],0),MATCH(Table1[[#This Row],[DC_name_Xref]],Table35[#Headers],0)),0)</f>
        <v>0</v>
      </c>
    </row>
    <row r="2204" spans="1:15" x14ac:dyDescent="0.3">
      <c r="A2204" s="19" t="e">
        <f>Table1[[#This Row],[Year_Week]]&amp;"-"&amp;Table1[[#This Row],[DC_name_Xref]]</f>
        <v>#N/A</v>
      </c>
      <c r="B2204" s="19" t="str">
        <f>Table1[[#This Row],[Fiscal_Year]]*100+Table1[[#This Row],[Fiscal_Week]] &amp; "-" &amp;Table1[[#This Row],[BRAND]]</f>
        <v>0-</v>
      </c>
      <c r="C2204" s="19" t="str">
        <f>Table1[[#This Row],[Fiscal_Year]]&amp;"-"&amp;Table1[[#This Row],[BRAND]]</f>
        <v>-</v>
      </c>
      <c r="J2204" t="e">
        <f>VLOOKUP(H2204,DC_Xref!A:B,2,FALSE)</f>
        <v>#N/A</v>
      </c>
      <c r="K2204">
        <f t="shared" si="34"/>
        <v>0</v>
      </c>
      <c r="L22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4" s="3">
        <f>IFERROR(INDEX(Table3[#All],MATCH(Table1[[#This Row],[Key_Year_Week_Brand]],Table3[[#All],[Key_Year_Week_Brand]],0),MATCH(Table1[[#This Row],[DC_name_Xref]],Table3[#Headers],0)),0)</f>
        <v>0</v>
      </c>
      <c r="O2204" s="19">
        <f>IFERROR(INDEX(Table35[#All],MATCH(Table1[[#This Row],[Key_Year_Week_Brand]],Table35[[#All],[Key_Year_Month_Brand]],0),MATCH(Table1[[#This Row],[DC_name_Xref]],Table35[#Headers],0)),0)</f>
        <v>0</v>
      </c>
    </row>
    <row r="2205" spans="1:15" x14ac:dyDescent="0.3">
      <c r="A2205" s="19" t="e">
        <f>Table1[[#This Row],[Year_Week]]&amp;"-"&amp;Table1[[#This Row],[DC_name_Xref]]</f>
        <v>#N/A</v>
      </c>
      <c r="B2205" s="19" t="str">
        <f>Table1[[#This Row],[Fiscal_Year]]*100+Table1[[#This Row],[Fiscal_Week]] &amp; "-" &amp;Table1[[#This Row],[BRAND]]</f>
        <v>0-</v>
      </c>
      <c r="C2205" s="19" t="str">
        <f>Table1[[#This Row],[Fiscal_Year]]&amp;"-"&amp;Table1[[#This Row],[BRAND]]</f>
        <v>-</v>
      </c>
      <c r="J2205" t="e">
        <f>VLOOKUP(H2205,DC_Xref!A:B,2,FALSE)</f>
        <v>#N/A</v>
      </c>
      <c r="K2205">
        <f t="shared" si="34"/>
        <v>0</v>
      </c>
      <c r="L22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5" s="3">
        <f>IFERROR(INDEX(Table3[#All],MATCH(Table1[[#This Row],[Key_Year_Week_Brand]],Table3[[#All],[Key_Year_Week_Brand]],0),MATCH(Table1[[#This Row],[DC_name_Xref]],Table3[#Headers],0)),0)</f>
        <v>0</v>
      </c>
      <c r="O2205" s="19">
        <f>IFERROR(INDEX(Table35[#All],MATCH(Table1[[#This Row],[Key_Year_Week_Brand]],Table35[[#All],[Key_Year_Month_Brand]],0),MATCH(Table1[[#This Row],[DC_name_Xref]],Table35[#Headers],0)),0)</f>
        <v>0</v>
      </c>
    </row>
    <row r="2206" spans="1:15" x14ac:dyDescent="0.3">
      <c r="A2206" s="19" t="e">
        <f>Table1[[#This Row],[Year_Week]]&amp;"-"&amp;Table1[[#This Row],[DC_name_Xref]]</f>
        <v>#N/A</v>
      </c>
      <c r="B2206" s="19" t="str">
        <f>Table1[[#This Row],[Fiscal_Year]]*100+Table1[[#This Row],[Fiscal_Week]] &amp; "-" &amp;Table1[[#This Row],[BRAND]]</f>
        <v>0-</v>
      </c>
      <c r="C2206" s="19" t="str">
        <f>Table1[[#This Row],[Fiscal_Year]]&amp;"-"&amp;Table1[[#This Row],[BRAND]]</f>
        <v>-</v>
      </c>
      <c r="J2206" t="e">
        <f>VLOOKUP(H2206,DC_Xref!A:B,2,FALSE)</f>
        <v>#N/A</v>
      </c>
      <c r="K2206">
        <f t="shared" si="34"/>
        <v>0</v>
      </c>
      <c r="L22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6" s="3">
        <f>IFERROR(INDEX(Table3[#All],MATCH(Table1[[#This Row],[Key_Year_Week_Brand]],Table3[[#All],[Key_Year_Week_Brand]],0),MATCH(Table1[[#This Row],[DC_name_Xref]],Table3[#Headers],0)),0)</f>
        <v>0</v>
      </c>
      <c r="O2206" s="19">
        <f>IFERROR(INDEX(Table35[#All],MATCH(Table1[[#This Row],[Key_Year_Week_Brand]],Table35[[#All],[Key_Year_Month_Brand]],0),MATCH(Table1[[#This Row],[DC_name_Xref]],Table35[#Headers],0)),0)</f>
        <v>0</v>
      </c>
    </row>
    <row r="2207" spans="1:15" x14ac:dyDescent="0.3">
      <c r="A2207" s="19" t="e">
        <f>Table1[[#This Row],[Year_Week]]&amp;"-"&amp;Table1[[#This Row],[DC_name_Xref]]</f>
        <v>#N/A</v>
      </c>
      <c r="B2207" s="19" t="str">
        <f>Table1[[#This Row],[Fiscal_Year]]*100+Table1[[#This Row],[Fiscal_Week]] &amp; "-" &amp;Table1[[#This Row],[BRAND]]</f>
        <v>0-</v>
      </c>
      <c r="C2207" s="19" t="str">
        <f>Table1[[#This Row],[Fiscal_Year]]&amp;"-"&amp;Table1[[#This Row],[BRAND]]</f>
        <v>-</v>
      </c>
      <c r="J2207" t="e">
        <f>VLOOKUP(H2207,DC_Xref!A:B,2,FALSE)</f>
        <v>#N/A</v>
      </c>
      <c r="K2207">
        <f t="shared" si="34"/>
        <v>0</v>
      </c>
      <c r="L22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7" s="3">
        <f>IFERROR(INDEX(Table3[#All],MATCH(Table1[[#This Row],[Key_Year_Week_Brand]],Table3[[#All],[Key_Year_Week_Brand]],0),MATCH(Table1[[#This Row],[DC_name_Xref]],Table3[#Headers],0)),0)</f>
        <v>0</v>
      </c>
      <c r="O2207" s="19">
        <f>IFERROR(INDEX(Table35[#All],MATCH(Table1[[#This Row],[Key_Year_Week_Brand]],Table35[[#All],[Key_Year_Month_Brand]],0),MATCH(Table1[[#This Row],[DC_name_Xref]],Table35[#Headers],0)),0)</f>
        <v>0</v>
      </c>
    </row>
    <row r="2208" spans="1:15" x14ac:dyDescent="0.3">
      <c r="A2208" s="19" t="e">
        <f>Table1[[#This Row],[Year_Week]]&amp;"-"&amp;Table1[[#This Row],[DC_name_Xref]]</f>
        <v>#N/A</v>
      </c>
      <c r="B2208" s="19" t="str">
        <f>Table1[[#This Row],[Fiscal_Year]]*100+Table1[[#This Row],[Fiscal_Week]] &amp; "-" &amp;Table1[[#This Row],[BRAND]]</f>
        <v>0-</v>
      </c>
      <c r="C2208" s="19" t="str">
        <f>Table1[[#This Row],[Fiscal_Year]]&amp;"-"&amp;Table1[[#This Row],[BRAND]]</f>
        <v>-</v>
      </c>
      <c r="J2208" t="e">
        <f>VLOOKUP(H2208,DC_Xref!A:B,2,FALSE)</f>
        <v>#N/A</v>
      </c>
      <c r="K2208">
        <f t="shared" si="34"/>
        <v>0</v>
      </c>
      <c r="L22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8" s="3">
        <f>IFERROR(INDEX(Table3[#All],MATCH(Table1[[#This Row],[Key_Year_Week_Brand]],Table3[[#All],[Key_Year_Week_Brand]],0),MATCH(Table1[[#This Row],[DC_name_Xref]],Table3[#Headers],0)),0)</f>
        <v>0</v>
      </c>
      <c r="O2208" s="19">
        <f>IFERROR(INDEX(Table35[#All],MATCH(Table1[[#This Row],[Key_Year_Week_Brand]],Table35[[#All],[Key_Year_Month_Brand]],0),MATCH(Table1[[#This Row],[DC_name_Xref]],Table35[#Headers],0)),0)</f>
        <v>0</v>
      </c>
    </row>
    <row r="2209" spans="1:15" x14ac:dyDescent="0.3">
      <c r="A2209" s="19" t="e">
        <f>Table1[[#This Row],[Year_Week]]&amp;"-"&amp;Table1[[#This Row],[DC_name_Xref]]</f>
        <v>#N/A</v>
      </c>
      <c r="B2209" s="19" t="str">
        <f>Table1[[#This Row],[Fiscal_Year]]*100+Table1[[#This Row],[Fiscal_Week]] &amp; "-" &amp;Table1[[#This Row],[BRAND]]</f>
        <v>0-</v>
      </c>
      <c r="C2209" s="19" t="str">
        <f>Table1[[#This Row],[Fiscal_Year]]&amp;"-"&amp;Table1[[#This Row],[BRAND]]</f>
        <v>-</v>
      </c>
      <c r="J2209" t="e">
        <f>VLOOKUP(H2209,DC_Xref!A:B,2,FALSE)</f>
        <v>#N/A</v>
      </c>
      <c r="K2209">
        <f t="shared" si="34"/>
        <v>0</v>
      </c>
      <c r="L22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09" s="3">
        <f>IFERROR(INDEX(Table3[#All],MATCH(Table1[[#This Row],[Key_Year_Week_Brand]],Table3[[#All],[Key_Year_Week_Brand]],0),MATCH(Table1[[#This Row],[DC_name_Xref]],Table3[#Headers],0)),0)</f>
        <v>0</v>
      </c>
      <c r="O2209" s="19">
        <f>IFERROR(INDEX(Table35[#All],MATCH(Table1[[#This Row],[Key_Year_Week_Brand]],Table35[[#All],[Key_Year_Month_Brand]],0),MATCH(Table1[[#This Row],[DC_name_Xref]],Table35[#Headers],0)),0)</f>
        <v>0</v>
      </c>
    </row>
    <row r="2210" spans="1:15" x14ac:dyDescent="0.3">
      <c r="A2210" s="19" t="e">
        <f>Table1[[#This Row],[Year_Week]]&amp;"-"&amp;Table1[[#This Row],[DC_name_Xref]]</f>
        <v>#N/A</v>
      </c>
      <c r="B2210" s="19" t="str">
        <f>Table1[[#This Row],[Fiscal_Year]]*100+Table1[[#This Row],[Fiscal_Week]] &amp; "-" &amp;Table1[[#This Row],[BRAND]]</f>
        <v>0-</v>
      </c>
      <c r="C2210" s="19" t="str">
        <f>Table1[[#This Row],[Fiscal_Year]]&amp;"-"&amp;Table1[[#This Row],[BRAND]]</f>
        <v>-</v>
      </c>
      <c r="J2210" t="e">
        <f>VLOOKUP(H2210,DC_Xref!A:B,2,FALSE)</f>
        <v>#N/A</v>
      </c>
      <c r="K2210">
        <f t="shared" si="34"/>
        <v>0</v>
      </c>
      <c r="L22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0" s="3">
        <f>IFERROR(INDEX(Table3[#All],MATCH(Table1[[#This Row],[Key_Year_Week_Brand]],Table3[[#All],[Key_Year_Week_Brand]],0),MATCH(Table1[[#This Row],[DC_name_Xref]],Table3[#Headers],0)),0)</f>
        <v>0</v>
      </c>
      <c r="O2210" s="19">
        <f>IFERROR(INDEX(Table35[#All],MATCH(Table1[[#This Row],[Key_Year_Week_Brand]],Table35[[#All],[Key_Year_Month_Brand]],0),MATCH(Table1[[#This Row],[DC_name_Xref]],Table35[#Headers],0)),0)</f>
        <v>0</v>
      </c>
    </row>
    <row r="2211" spans="1:15" x14ac:dyDescent="0.3">
      <c r="A2211" s="19" t="e">
        <f>Table1[[#This Row],[Year_Week]]&amp;"-"&amp;Table1[[#This Row],[DC_name_Xref]]</f>
        <v>#N/A</v>
      </c>
      <c r="B2211" s="19" t="str">
        <f>Table1[[#This Row],[Fiscal_Year]]*100+Table1[[#This Row],[Fiscal_Week]] &amp; "-" &amp;Table1[[#This Row],[BRAND]]</f>
        <v>0-</v>
      </c>
      <c r="C2211" s="19" t="str">
        <f>Table1[[#This Row],[Fiscal_Year]]&amp;"-"&amp;Table1[[#This Row],[BRAND]]</f>
        <v>-</v>
      </c>
      <c r="J2211" t="e">
        <f>VLOOKUP(H2211,DC_Xref!A:B,2,FALSE)</f>
        <v>#N/A</v>
      </c>
      <c r="K2211">
        <f t="shared" si="34"/>
        <v>0</v>
      </c>
      <c r="L22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1" s="3">
        <f>IFERROR(INDEX(Table3[#All],MATCH(Table1[[#This Row],[Key_Year_Week_Brand]],Table3[[#All],[Key_Year_Week_Brand]],0),MATCH(Table1[[#This Row],[DC_name_Xref]],Table3[#Headers],0)),0)</f>
        <v>0</v>
      </c>
      <c r="O2211" s="19">
        <f>IFERROR(INDEX(Table35[#All],MATCH(Table1[[#This Row],[Key_Year_Week_Brand]],Table35[[#All],[Key_Year_Month_Brand]],0),MATCH(Table1[[#This Row],[DC_name_Xref]],Table35[#Headers],0)),0)</f>
        <v>0</v>
      </c>
    </row>
    <row r="2212" spans="1:15" x14ac:dyDescent="0.3">
      <c r="A2212" s="19" t="e">
        <f>Table1[[#This Row],[Year_Week]]&amp;"-"&amp;Table1[[#This Row],[DC_name_Xref]]</f>
        <v>#N/A</v>
      </c>
      <c r="B2212" s="19" t="str">
        <f>Table1[[#This Row],[Fiscal_Year]]*100+Table1[[#This Row],[Fiscal_Week]] &amp; "-" &amp;Table1[[#This Row],[BRAND]]</f>
        <v>0-</v>
      </c>
      <c r="C2212" s="19" t="str">
        <f>Table1[[#This Row],[Fiscal_Year]]&amp;"-"&amp;Table1[[#This Row],[BRAND]]</f>
        <v>-</v>
      </c>
      <c r="J2212" t="e">
        <f>VLOOKUP(H2212,DC_Xref!A:B,2,FALSE)</f>
        <v>#N/A</v>
      </c>
      <c r="K2212">
        <f t="shared" si="34"/>
        <v>0</v>
      </c>
      <c r="L22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2" s="3">
        <f>IFERROR(INDEX(Table3[#All],MATCH(Table1[[#This Row],[Key_Year_Week_Brand]],Table3[[#All],[Key_Year_Week_Brand]],0),MATCH(Table1[[#This Row],[DC_name_Xref]],Table3[#Headers],0)),0)</f>
        <v>0</v>
      </c>
      <c r="O2212" s="19">
        <f>IFERROR(INDEX(Table35[#All],MATCH(Table1[[#This Row],[Key_Year_Week_Brand]],Table35[[#All],[Key_Year_Month_Brand]],0),MATCH(Table1[[#This Row],[DC_name_Xref]],Table35[#Headers],0)),0)</f>
        <v>0</v>
      </c>
    </row>
    <row r="2213" spans="1:15" x14ac:dyDescent="0.3">
      <c r="A2213" s="19" t="e">
        <f>Table1[[#This Row],[Year_Week]]&amp;"-"&amp;Table1[[#This Row],[DC_name_Xref]]</f>
        <v>#N/A</v>
      </c>
      <c r="B2213" s="19" t="str">
        <f>Table1[[#This Row],[Fiscal_Year]]*100+Table1[[#This Row],[Fiscal_Week]] &amp; "-" &amp;Table1[[#This Row],[BRAND]]</f>
        <v>0-</v>
      </c>
      <c r="C2213" s="19" t="str">
        <f>Table1[[#This Row],[Fiscal_Year]]&amp;"-"&amp;Table1[[#This Row],[BRAND]]</f>
        <v>-</v>
      </c>
      <c r="J2213" t="e">
        <f>VLOOKUP(H2213,DC_Xref!A:B,2,FALSE)</f>
        <v>#N/A</v>
      </c>
      <c r="K2213">
        <f t="shared" si="34"/>
        <v>0</v>
      </c>
      <c r="L22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3" s="3">
        <f>IFERROR(INDEX(Table3[#All],MATCH(Table1[[#This Row],[Key_Year_Week_Brand]],Table3[[#All],[Key_Year_Week_Brand]],0),MATCH(Table1[[#This Row],[DC_name_Xref]],Table3[#Headers],0)),0)</f>
        <v>0</v>
      </c>
      <c r="O2213" s="19">
        <f>IFERROR(INDEX(Table35[#All],MATCH(Table1[[#This Row],[Key_Year_Week_Brand]],Table35[[#All],[Key_Year_Month_Brand]],0),MATCH(Table1[[#This Row],[DC_name_Xref]],Table35[#Headers],0)),0)</f>
        <v>0</v>
      </c>
    </row>
    <row r="2214" spans="1:15" x14ac:dyDescent="0.3">
      <c r="A2214" s="19" t="e">
        <f>Table1[[#This Row],[Year_Week]]&amp;"-"&amp;Table1[[#This Row],[DC_name_Xref]]</f>
        <v>#N/A</v>
      </c>
      <c r="B2214" s="19" t="str">
        <f>Table1[[#This Row],[Fiscal_Year]]*100+Table1[[#This Row],[Fiscal_Week]] &amp; "-" &amp;Table1[[#This Row],[BRAND]]</f>
        <v>0-</v>
      </c>
      <c r="C2214" s="19" t="str">
        <f>Table1[[#This Row],[Fiscal_Year]]&amp;"-"&amp;Table1[[#This Row],[BRAND]]</f>
        <v>-</v>
      </c>
      <c r="J2214" t="e">
        <f>VLOOKUP(H2214,DC_Xref!A:B,2,FALSE)</f>
        <v>#N/A</v>
      </c>
      <c r="K2214">
        <f t="shared" si="34"/>
        <v>0</v>
      </c>
      <c r="L22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4" s="3">
        <f>IFERROR(INDEX(Table3[#All],MATCH(Table1[[#This Row],[Key_Year_Week_Brand]],Table3[[#All],[Key_Year_Week_Brand]],0),MATCH(Table1[[#This Row],[DC_name_Xref]],Table3[#Headers],0)),0)</f>
        <v>0</v>
      </c>
      <c r="O2214" s="19">
        <f>IFERROR(INDEX(Table35[#All],MATCH(Table1[[#This Row],[Key_Year_Week_Brand]],Table35[[#All],[Key_Year_Month_Brand]],0),MATCH(Table1[[#This Row],[DC_name_Xref]],Table35[#Headers],0)),0)</f>
        <v>0</v>
      </c>
    </row>
    <row r="2215" spans="1:15" x14ac:dyDescent="0.3">
      <c r="A2215" s="19" t="e">
        <f>Table1[[#This Row],[Year_Week]]&amp;"-"&amp;Table1[[#This Row],[DC_name_Xref]]</f>
        <v>#N/A</v>
      </c>
      <c r="B2215" s="19" t="str">
        <f>Table1[[#This Row],[Fiscal_Year]]*100+Table1[[#This Row],[Fiscal_Week]] &amp; "-" &amp;Table1[[#This Row],[BRAND]]</f>
        <v>0-</v>
      </c>
      <c r="C2215" s="19" t="str">
        <f>Table1[[#This Row],[Fiscal_Year]]&amp;"-"&amp;Table1[[#This Row],[BRAND]]</f>
        <v>-</v>
      </c>
      <c r="J2215" t="e">
        <f>VLOOKUP(H2215,DC_Xref!A:B,2,FALSE)</f>
        <v>#N/A</v>
      </c>
      <c r="K2215">
        <f t="shared" si="34"/>
        <v>0</v>
      </c>
      <c r="L22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5" s="3">
        <f>IFERROR(INDEX(Table3[#All],MATCH(Table1[[#This Row],[Key_Year_Week_Brand]],Table3[[#All],[Key_Year_Week_Brand]],0),MATCH(Table1[[#This Row],[DC_name_Xref]],Table3[#Headers],0)),0)</f>
        <v>0</v>
      </c>
      <c r="O2215" s="19">
        <f>IFERROR(INDEX(Table35[#All],MATCH(Table1[[#This Row],[Key_Year_Week_Brand]],Table35[[#All],[Key_Year_Month_Brand]],0),MATCH(Table1[[#This Row],[DC_name_Xref]],Table35[#Headers],0)),0)</f>
        <v>0</v>
      </c>
    </row>
    <row r="2216" spans="1:15" x14ac:dyDescent="0.3">
      <c r="A2216" s="19" t="e">
        <f>Table1[[#This Row],[Year_Week]]&amp;"-"&amp;Table1[[#This Row],[DC_name_Xref]]</f>
        <v>#N/A</v>
      </c>
      <c r="B2216" s="19" t="str">
        <f>Table1[[#This Row],[Fiscal_Year]]*100+Table1[[#This Row],[Fiscal_Week]] &amp; "-" &amp;Table1[[#This Row],[BRAND]]</f>
        <v>0-</v>
      </c>
      <c r="C2216" s="19" t="str">
        <f>Table1[[#This Row],[Fiscal_Year]]&amp;"-"&amp;Table1[[#This Row],[BRAND]]</f>
        <v>-</v>
      </c>
      <c r="J2216" t="e">
        <f>VLOOKUP(H2216,DC_Xref!A:B,2,FALSE)</f>
        <v>#N/A</v>
      </c>
      <c r="K2216">
        <f t="shared" si="34"/>
        <v>0</v>
      </c>
      <c r="L22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6" s="3">
        <f>IFERROR(INDEX(Table3[#All],MATCH(Table1[[#This Row],[Key_Year_Week_Brand]],Table3[[#All],[Key_Year_Week_Brand]],0),MATCH(Table1[[#This Row],[DC_name_Xref]],Table3[#Headers],0)),0)</f>
        <v>0</v>
      </c>
      <c r="O2216" s="19">
        <f>IFERROR(INDEX(Table35[#All],MATCH(Table1[[#This Row],[Key_Year_Week_Brand]],Table35[[#All],[Key_Year_Month_Brand]],0),MATCH(Table1[[#This Row],[DC_name_Xref]],Table35[#Headers],0)),0)</f>
        <v>0</v>
      </c>
    </row>
    <row r="2217" spans="1:15" x14ac:dyDescent="0.3">
      <c r="A2217" s="19" t="e">
        <f>Table1[[#This Row],[Year_Week]]&amp;"-"&amp;Table1[[#This Row],[DC_name_Xref]]</f>
        <v>#N/A</v>
      </c>
      <c r="B2217" s="19" t="str">
        <f>Table1[[#This Row],[Fiscal_Year]]*100+Table1[[#This Row],[Fiscal_Week]] &amp; "-" &amp;Table1[[#This Row],[BRAND]]</f>
        <v>0-</v>
      </c>
      <c r="C2217" s="19" t="str">
        <f>Table1[[#This Row],[Fiscal_Year]]&amp;"-"&amp;Table1[[#This Row],[BRAND]]</f>
        <v>-</v>
      </c>
      <c r="J2217" t="e">
        <f>VLOOKUP(H2217,DC_Xref!A:B,2,FALSE)</f>
        <v>#N/A</v>
      </c>
      <c r="K2217">
        <f t="shared" si="34"/>
        <v>0</v>
      </c>
      <c r="L22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7" s="3">
        <f>IFERROR(INDEX(Table3[#All],MATCH(Table1[[#This Row],[Key_Year_Week_Brand]],Table3[[#All],[Key_Year_Week_Brand]],0),MATCH(Table1[[#This Row],[DC_name_Xref]],Table3[#Headers],0)),0)</f>
        <v>0</v>
      </c>
      <c r="O2217" s="19">
        <f>IFERROR(INDEX(Table35[#All],MATCH(Table1[[#This Row],[Key_Year_Week_Brand]],Table35[[#All],[Key_Year_Month_Brand]],0),MATCH(Table1[[#This Row],[DC_name_Xref]],Table35[#Headers],0)),0)</f>
        <v>0</v>
      </c>
    </row>
    <row r="2218" spans="1:15" x14ac:dyDescent="0.3">
      <c r="A2218" s="19" t="e">
        <f>Table1[[#This Row],[Year_Week]]&amp;"-"&amp;Table1[[#This Row],[DC_name_Xref]]</f>
        <v>#N/A</v>
      </c>
      <c r="B2218" s="19" t="str">
        <f>Table1[[#This Row],[Fiscal_Year]]*100+Table1[[#This Row],[Fiscal_Week]] &amp; "-" &amp;Table1[[#This Row],[BRAND]]</f>
        <v>0-</v>
      </c>
      <c r="C2218" s="19" t="str">
        <f>Table1[[#This Row],[Fiscal_Year]]&amp;"-"&amp;Table1[[#This Row],[BRAND]]</f>
        <v>-</v>
      </c>
      <c r="J2218" t="e">
        <f>VLOOKUP(H2218,DC_Xref!A:B,2,FALSE)</f>
        <v>#N/A</v>
      </c>
      <c r="K2218">
        <f t="shared" si="34"/>
        <v>0</v>
      </c>
      <c r="L22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8" s="3">
        <f>IFERROR(INDEX(Table3[#All],MATCH(Table1[[#This Row],[Key_Year_Week_Brand]],Table3[[#All],[Key_Year_Week_Brand]],0),MATCH(Table1[[#This Row],[DC_name_Xref]],Table3[#Headers],0)),0)</f>
        <v>0</v>
      </c>
      <c r="O2218" s="19">
        <f>IFERROR(INDEX(Table35[#All],MATCH(Table1[[#This Row],[Key_Year_Week_Brand]],Table35[[#All],[Key_Year_Month_Brand]],0),MATCH(Table1[[#This Row],[DC_name_Xref]],Table35[#Headers],0)),0)</f>
        <v>0</v>
      </c>
    </row>
    <row r="2219" spans="1:15" x14ac:dyDescent="0.3">
      <c r="A2219" s="19" t="e">
        <f>Table1[[#This Row],[Year_Week]]&amp;"-"&amp;Table1[[#This Row],[DC_name_Xref]]</f>
        <v>#N/A</v>
      </c>
      <c r="B2219" s="19" t="str">
        <f>Table1[[#This Row],[Fiscal_Year]]*100+Table1[[#This Row],[Fiscal_Week]] &amp; "-" &amp;Table1[[#This Row],[BRAND]]</f>
        <v>0-</v>
      </c>
      <c r="C2219" s="19" t="str">
        <f>Table1[[#This Row],[Fiscal_Year]]&amp;"-"&amp;Table1[[#This Row],[BRAND]]</f>
        <v>-</v>
      </c>
      <c r="J2219" t="e">
        <f>VLOOKUP(H2219,DC_Xref!A:B,2,FALSE)</f>
        <v>#N/A</v>
      </c>
      <c r="K2219">
        <f t="shared" si="34"/>
        <v>0</v>
      </c>
      <c r="L22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19" s="3">
        <f>IFERROR(INDEX(Table3[#All],MATCH(Table1[[#This Row],[Key_Year_Week_Brand]],Table3[[#All],[Key_Year_Week_Brand]],0),MATCH(Table1[[#This Row],[DC_name_Xref]],Table3[#Headers],0)),0)</f>
        <v>0</v>
      </c>
      <c r="O2219" s="19">
        <f>IFERROR(INDEX(Table35[#All],MATCH(Table1[[#This Row],[Key_Year_Week_Brand]],Table35[[#All],[Key_Year_Month_Brand]],0),MATCH(Table1[[#This Row],[DC_name_Xref]],Table35[#Headers],0)),0)</f>
        <v>0</v>
      </c>
    </row>
    <row r="2220" spans="1:15" x14ac:dyDescent="0.3">
      <c r="A2220" s="19" t="e">
        <f>Table1[[#This Row],[Year_Week]]&amp;"-"&amp;Table1[[#This Row],[DC_name_Xref]]</f>
        <v>#N/A</v>
      </c>
      <c r="B2220" s="19" t="str">
        <f>Table1[[#This Row],[Fiscal_Year]]*100+Table1[[#This Row],[Fiscal_Week]] &amp; "-" &amp;Table1[[#This Row],[BRAND]]</f>
        <v>0-</v>
      </c>
      <c r="C2220" s="19" t="str">
        <f>Table1[[#This Row],[Fiscal_Year]]&amp;"-"&amp;Table1[[#This Row],[BRAND]]</f>
        <v>-</v>
      </c>
      <c r="J2220" t="e">
        <f>VLOOKUP(H2220,DC_Xref!A:B,2,FALSE)</f>
        <v>#N/A</v>
      </c>
      <c r="K2220">
        <f t="shared" si="34"/>
        <v>0</v>
      </c>
      <c r="L22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0" s="3">
        <f>IFERROR(INDEX(Table3[#All],MATCH(Table1[[#This Row],[Key_Year_Week_Brand]],Table3[[#All],[Key_Year_Week_Brand]],0),MATCH(Table1[[#This Row],[DC_name_Xref]],Table3[#Headers],0)),0)</f>
        <v>0</v>
      </c>
      <c r="O2220" s="19">
        <f>IFERROR(INDEX(Table35[#All],MATCH(Table1[[#This Row],[Key_Year_Week_Brand]],Table35[[#All],[Key_Year_Month_Brand]],0),MATCH(Table1[[#This Row],[DC_name_Xref]],Table35[#Headers],0)),0)</f>
        <v>0</v>
      </c>
    </row>
    <row r="2221" spans="1:15" x14ac:dyDescent="0.3">
      <c r="A2221" s="19" t="e">
        <f>Table1[[#This Row],[Year_Week]]&amp;"-"&amp;Table1[[#This Row],[DC_name_Xref]]</f>
        <v>#N/A</v>
      </c>
      <c r="B2221" s="19" t="str">
        <f>Table1[[#This Row],[Fiscal_Year]]*100+Table1[[#This Row],[Fiscal_Week]] &amp; "-" &amp;Table1[[#This Row],[BRAND]]</f>
        <v>0-</v>
      </c>
      <c r="C2221" s="19" t="str">
        <f>Table1[[#This Row],[Fiscal_Year]]&amp;"-"&amp;Table1[[#This Row],[BRAND]]</f>
        <v>-</v>
      </c>
      <c r="J2221" t="e">
        <f>VLOOKUP(H2221,DC_Xref!A:B,2,FALSE)</f>
        <v>#N/A</v>
      </c>
      <c r="K2221">
        <f t="shared" si="34"/>
        <v>0</v>
      </c>
      <c r="L22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1" s="3">
        <f>IFERROR(INDEX(Table3[#All],MATCH(Table1[[#This Row],[Key_Year_Week_Brand]],Table3[[#All],[Key_Year_Week_Brand]],0),MATCH(Table1[[#This Row],[DC_name_Xref]],Table3[#Headers],0)),0)</f>
        <v>0</v>
      </c>
      <c r="O2221" s="19">
        <f>IFERROR(INDEX(Table35[#All],MATCH(Table1[[#This Row],[Key_Year_Week_Brand]],Table35[[#All],[Key_Year_Month_Brand]],0),MATCH(Table1[[#This Row],[DC_name_Xref]],Table35[#Headers],0)),0)</f>
        <v>0</v>
      </c>
    </row>
    <row r="2222" spans="1:15" x14ac:dyDescent="0.3">
      <c r="A2222" s="19" t="e">
        <f>Table1[[#This Row],[Year_Week]]&amp;"-"&amp;Table1[[#This Row],[DC_name_Xref]]</f>
        <v>#N/A</v>
      </c>
      <c r="B2222" s="19" t="str">
        <f>Table1[[#This Row],[Fiscal_Year]]*100+Table1[[#This Row],[Fiscal_Week]] &amp; "-" &amp;Table1[[#This Row],[BRAND]]</f>
        <v>0-</v>
      </c>
      <c r="C2222" s="19" t="str">
        <f>Table1[[#This Row],[Fiscal_Year]]&amp;"-"&amp;Table1[[#This Row],[BRAND]]</f>
        <v>-</v>
      </c>
      <c r="J2222" t="e">
        <f>VLOOKUP(H2222,DC_Xref!A:B,2,FALSE)</f>
        <v>#N/A</v>
      </c>
      <c r="K2222">
        <f t="shared" si="34"/>
        <v>0</v>
      </c>
      <c r="L22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2" s="3">
        <f>IFERROR(INDEX(Table3[#All],MATCH(Table1[[#This Row],[Key_Year_Week_Brand]],Table3[[#All],[Key_Year_Week_Brand]],0),MATCH(Table1[[#This Row],[DC_name_Xref]],Table3[#Headers],0)),0)</f>
        <v>0</v>
      </c>
      <c r="O2222" s="19">
        <f>IFERROR(INDEX(Table35[#All],MATCH(Table1[[#This Row],[Key_Year_Week_Brand]],Table35[[#All],[Key_Year_Month_Brand]],0),MATCH(Table1[[#This Row],[DC_name_Xref]],Table35[#Headers],0)),0)</f>
        <v>0</v>
      </c>
    </row>
    <row r="2223" spans="1:15" x14ac:dyDescent="0.3">
      <c r="A2223" s="19" t="e">
        <f>Table1[[#This Row],[Year_Week]]&amp;"-"&amp;Table1[[#This Row],[DC_name_Xref]]</f>
        <v>#N/A</v>
      </c>
      <c r="B2223" s="19" t="str">
        <f>Table1[[#This Row],[Fiscal_Year]]*100+Table1[[#This Row],[Fiscal_Week]] &amp; "-" &amp;Table1[[#This Row],[BRAND]]</f>
        <v>0-</v>
      </c>
      <c r="C2223" s="19" t="str">
        <f>Table1[[#This Row],[Fiscal_Year]]&amp;"-"&amp;Table1[[#This Row],[BRAND]]</f>
        <v>-</v>
      </c>
      <c r="J2223" t="e">
        <f>VLOOKUP(H2223,DC_Xref!A:B,2,FALSE)</f>
        <v>#N/A</v>
      </c>
      <c r="K2223">
        <f t="shared" si="34"/>
        <v>0</v>
      </c>
      <c r="L22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3" s="3">
        <f>IFERROR(INDEX(Table3[#All],MATCH(Table1[[#This Row],[Key_Year_Week_Brand]],Table3[[#All],[Key_Year_Week_Brand]],0),MATCH(Table1[[#This Row],[DC_name_Xref]],Table3[#Headers],0)),0)</f>
        <v>0</v>
      </c>
      <c r="O2223" s="19">
        <f>IFERROR(INDEX(Table35[#All],MATCH(Table1[[#This Row],[Key_Year_Week_Brand]],Table35[[#All],[Key_Year_Month_Brand]],0),MATCH(Table1[[#This Row],[DC_name_Xref]],Table35[#Headers],0)),0)</f>
        <v>0</v>
      </c>
    </row>
    <row r="2224" spans="1:15" x14ac:dyDescent="0.3">
      <c r="A2224" s="19" t="e">
        <f>Table1[[#This Row],[Year_Week]]&amp;"-"&amp;Table1[[#This Row],[DC_name_Xref]]</f>
        <v>#N/A</v>
      </c>
      <c r="B2224" s="19" t="str">
        <f>Table1[[#This Row],[Fiscal_Year]]*100+Table1[[#This Row],[Fiscal_Week]] &amp; "-" &amp;Table1[[#This Row],[BRAND]]</f>
        <v>0-</v>
      </c>
      <c r="C2224" s="19" t="str">
        <f>Table1[[#This Row],[Fiscal_Year]]&amp;"-"&amp;Table1[[#This Row],[BRAND]]</f>
        <v>-</v>
      </c>
      <c r="J2224" t="e">
        <f>VLOOKUP(H2224,DC_Xref!A:B,2,FALSE)</f>
        <v>#N/A</v>
      </c>
      <c r="K2224">
        <f t="shared" si="34"/>
        <v>0</v>
      </c>
      <c r="L22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4" s="3">
        <f>IFERROR(INDEX(Table3[#All],MATCH(Table1[[#This Row],[Key_Year_Week_Brand]],Table3[[#All],[Key_Year_Week_Brand]],0),MATCH(Table1[[#This Row],[DC_name_Xref]],Table3[#Headers],0)),0)</f>
        <v>0</v>
      </c>
      <c r="O2224" s="19">
        <f>IFERROR(INDEX(Table35[#All],MATCH(Table1[[#This Row],[Key_Year_Week_Brand]],Table35[[#All],[Key_Year_Month_Brand]],0),MATCH(Table1[[#This Row],[DC_name_Xref]],Table35[#Headers],0)),0)</f>
        <v>0</v>
      </c>
    </row>
    <row r="2225" spans="1:15" x14ac:dyDescent="0.3">
      <c r="A2225" s="19" t="e">
        <f>Table1[[#This Row],[Year_Week]]&amp;"-"&amp;Table1[[#This Row],[DC_name_Xref]]</f>
        <v>#N/A</v>
      </c>
      <c r="B2225" s="19" t="str">
        <f>Table1[[#This Row],[Fiscal_Year]]*100+Table1[[#This Row],[Fiscal_Week]] &amp; "-" &amp;Table1[[#This Row],[BRAND]]</f>
        <v>0-</v>
      </c>
      <c r="C2225" s="19" t="str">
        <f>Table1[[#This Row],[Fiscal_Year]]&amp;"-"&amp;Table1[[#This Row],[BRAND]]</f>
        <v>-</v>
      </c>
      <c r="J2225" t="e">
        <f>VLOOKUP(H2225,DC_Xref!A:B,2,FALSE)</f>
        <v>#N/A</v>
      </c>
      <c r="K2225">
        <f t="shared" si="34"/>
        <v>0</v>
      </c>
      <c r="L22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5" s="3">
        <f>IFERROR(INDEX(Table3[#All],MATCH(Table1[[#This Row],[Key_Year_Week_Brand]],Table3[[#All],[Key_Year_Week_Brand]],0),MATCH(Table1[[#This Row],[DC_name_Xref]],Table3[#Headers],0)),0)</f>
        <v>0</v>
      </c>
      <c r="O2225" s="19">
        <f>IFERROR(INDEX(Table35[#All],MATCH(Table1[[#This Row],[Key_Year_Week_Brand]],Table35[[#All],[Key_Year_Month_Brand]],0),MATCH(Table1[[#This Row],[DC_name_Xref]],Table35[#Headers],0)),0)</f>
        <v>0</v>
      </c>
    </row>
    <row r="2226" spans="1:15" x14ac:dyDescent="0.3">
      <c r="A2226" s="19" t="e">
        <f>Table1[[#This Row],[Year_Week]]&amp;"-"&amp;Table1[[#This Row],[DC_name_Xref]]</f>
        <v>#N/A</v>
      </c>
      <c r="B2226" s="19" t="str">
        <f>Table1[[#This Row],[Fiscal_Year]]*100+Table1[[#This Row],[Fiscal_Week]] &amp; "-" &amp;Table1[[#This Row],[BRAND]]</f>
        <v>0-</v>
      </c>
      <c r="C2226" s="19" t="str">
        <f>Table1[[#This Row],[Fiscal_Year]]&amp;"-"&amp;Table1[[#This Row],[BRAND]]</f>
        <v>-</v>
      </c>
      <c r="J2226" t="e">
        <f>VLOOKUP(H2226,DC_Xref!A:B,2,FALSE)</f>
        <v>#N/A</v>
      </c>
      <c r="K2226">
        <f t="shared" si="34"/>
        <v>0</v>
      </c>
      <c r="L22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6" s="3">
        <f>IFERROR(INDEX(Table3[#All],MATCH(Table1[[#This Row],[Key_Year_Week_Brand]],Table3[[#All],[Key_Year_Week_Brand]],0),MATCH(Table1[[#This Row],[DC_name_Xref]],Table3[#Headers],0)),0)</f>
        <v>0</v>
      </c>
      <c r="O2226" s="19">
        <f>IFERROR(INDEX(Table35[#All],MATCH(Table1[[#This Row],[Key_Year_Week_Brand]],Table35[[#All],[Key_Year_Month_Brand]],0),MATCH(Table1[[#This Row],[DC_name_Xref]],Table35[#Headers],0)),0)</f>
        <v>0</v>
      </c>
    </row>
    <row r="2227" spans="1:15" x14ac:dyDescent="0.3">
      <c r="A2227" s="19" t="e">
        <f>Table1[[#This Row],[Year_Week]]&amp;"-"&amp;Table1[[#This Row],[DC_name_Xref]]</f>
        <v>#N/A</v>
      </c>
      <c r="B2227" s="19" t="str">
        <f>Table1[[#This Row],[Fiscal_Year]]*100+Table1[[#This Row],[Fiscal_Week]] &amp; "-" &amp;Table1[[#This Row],[BRAND]]</f>
        <v>0-</v>
      </c>
      <c r="C2227" s="19" t="str">
        <f>Table1[[#This Row],[Fiscal_Year]]&amp;"-"&amp;Table1[[#This Row],[BRAND]]</f>
        <v>-</v>
      </c>
      <c r="J2227" t="e">
        <f>VLOOKUP(H2227,DC_Xref!A:B,2,FALSE)</f>
        <v>#N/A</v>
      </c>
      <c r="K2227">
        <f t="shared" si="34"/>
        <v>0</v>
      </c>
      <c r="L22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7" s="3">
        <f>IFERROR(INDEX(Table3[#All],MATCH(Table1[[#This Row],[Key_Year_Week_Brand]],Table3[[#All],[Key_Year_Week_Brand]],0),MATCH(Table1[[#This Row],[DC_name_Xref]],Table3[#Headers],0)),0)</f>
        <v>0</v>
      </c>
      <c r="O2227" s="19">
        <f>IFERROR(INDEX(Table35[#All],MATCH(Table1[[#This Row],[Key_Year_Week_Brand]],Table35[[#All],[Key_Year_Month_Brand]],0),MATCH(Table1[[#This Row],[DC_name_Xref]],Table35[#Headers],0)),0)</f>
        <v>0</v>
      </c>
    </row>
    <row r="2228" spans="1:15" x14ac:dyDescent="0.3">
      <c r="A2228" s="19" t="e">
        <f>Table1[[#This Row],[Year_Week]]&amp;"-"&amp;Table1[[#This Row],[DC_name_Xref]]</f>
        <v>#N/A</v>
      </c>
      <c r="B2228" s="19" t="str">
        <f>Table1[[#This Row],[Fiscal_Year]]*100+Table1[[#This Row],[Fiscal_Week]] &amp; "-" &amp;Table1[[#This Row],[BRAND]]</f>
        <v>0-</v>
      </c>
      <c r="C2228" s="19" t="str">
        <f>Table1[[#This Row],[Fiscal_Year]]&amp;"-"&amp;Table1[[#This Row],[BRAND]]</f>
        <v>-</v>
      </c>
      <c r="J2228" t="e">
        <f>VLOOKUP(H2228,DC_Xref!A:B,2,FALSE)</f>
        <v>#N/A</v>
      </c>
      <c r="K2228">
        <f t="shared" si="34"/>
        <v>0</v>
      </c>
      <c r="L22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8" s="3">
        <f>IFERROR(INDEX(Table3[#All],MATCH(Table1[[#This Row],[Key_Year_Week_Brand]],Table3[[#All],[Key_Year_Week_Brand]],0),MATCH(Table1[[#This Row],[DC_name_Xref]],Table3[#Headers],0)),0)</f>
        <v>0</v>
      </c>
      <c r="O2228" s="19">
        <f>IFERROR(INDEX(Table35[#All],MATCH(Table1[[#This Row],[Key_Year_Week_Brand]],Table35[[#All],[Key_Year_Month_Brand]],0),MATCH(Table1[[#This Row],[DC_name_Xref]],Table35[#Headers],0)),0)</f>
        <v>0</v>
      </c>
    </row>
    <row r="2229" spans="1:15" x14ac:dyDescent="0.3">
      <c r="A2229" s="19" t="e">
        <f>Table1[[#This Row],[Year_Week]]&amp;"-"&amp;Table1[[#This Row],[DC_name_Xref]]</f>
        <v>#N/A</v>
      </c>
      <c r="B2229" s="19" t="str">
        <f>Table1[[#This Row],[Fiscal_Year]]*100+Table1[[#This Row],[Fiscal_Week]] &amp; "-" &amp;Table1[[#This Row],[BRAND]]</f>
        <v>0-</v>
      </c>
      <c r="C2229" s="19" t="str">
        <f>Table1[[#This Row],[Fiscal_Year]]&amp;"-"&amp;Table1[[#This Row],[BRAND]]</f>
        <v>-</v>
      </c>
      <c r="J2229" t="e">
        <f>VLOOKUP(H2229,DC_Xref!A:B,2,FALSE)</f>
        <v>#N/A</v>
      </c>
      <c r="K2229">
        <f t="shared" si="34"/>
        <v>0</v>
      </c>
      <c r="L22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29" s="3">
        <f>IFERROR(INDEX(Table3[#All],MATCH(Table1[[#This Row],[Key_Year_Week_Brand]],Table3[[#All],[Key_Year_Week_Brand]],0),MATCH(Table1[[#This Row],[DC_name_Xref]],Table3[#Headers],0)),0)</f>
        <v>0</v>
      </c>
      <c r="O2229" s="19">
        <f>IFERROR(INDEX(Table35[#All],MATCH(Table1[[#This Row],[Key_Year_Week_Brand]],Table35[[#All],[Key_Year_Month_Brand]],0),MATCH(Table1[[#This Row],[DC_name_Xref]],Table35[#Headers],0)),0)</f>
        <v>0</v>
      </c>
    </row>
    <row r="2230" spans="1:15" x14ac:dyDescent="0.3">
      <c r="A2230" s="19" t="e">
        <f>Table1[[#This Row],[Year_Week]]&amp;"-"&amp;Table1[[#This Row],[DC_name_Xref]]</f>
        <v>#N/A</v>
      </c>
      <c r="B2230" s="19" t="str">
        <f>Table1[[#This Row],[Fiscal_Year]]*100+Table1[[#This Row],[Fiscal_Week]] &amp; "-" &amp;Table1[[#This Row],[BRAND]]</f>
        <v>0-</v>
      </c>
      <c r="C2230" s="19" t="str">
        <f>Table1[[#This Row],[Fiscal_Year]]&amp;"-"&amp;Table1[[#This Row],[BRAND]]</f>
        <v>-</v>
      </c>
      <c r="J2230" t="e">
        <f>VLOOKUP(H2230,DC_Xref!A:B,2,FALSE)</f>
        <v>#N/A</v>
      </c>
      <c r="K2230">
        <f t="shared" si="34"/>
        <v>0</v>
      </c>
      <c r="L22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0" s="3">
        <f>IFERROR(INDEX(Table3[#All],MATCH(Table1[[#This Row],[Key_Year_Week_Brand]],Table3[[#All],[Key_Year_Week_Brand]],0),MATCH(Table1[[#This Row],[DC_name_Xref]],Table3[#Headers],0)),0)</f>
        <v>0</v>
      </c>
      <c r="O2230" s="19">
        <f>IFERROR(INDEX(Table35[#All],MATCH(Table1[[#This Row],[Key_Year_Week_Brand]],Table35[[#All],[Key_Year_Month_Brand]],0),MATCH(Table1[[#This Row],[DC_name_Xref]],Table35[#Headers],0)),0)</f>
        <v>0</v>
      </c>
    </row>
    <row r="2231" spans="1:15" x14ac:dyDescent="0.3">
      <c r="A2231" s="19" t="e">
        <f>Table1[[#This Row],[Year_Week]]&amp;"-"&amp;Table1[[#This Row],[DC_name_Xref]]</f>
        <v>#N/A</v>
      </c>
      <c r="B2231" s="19" t="str">
        <f>Table1[[#This Row],[Fiscal_Year]]*100+Table1[[#This Row],[Fiscal_Week]] &amp; "-" &amp;Table1[[#This Row],[BRAND]]</f>
        <v>0-</v>
      </c>
      <c r="C2231" s="19" t="str">
        <f>Table1[[#This Row],[Fiscal_Year]]&amp;"-"&amp;Table1[[#This Row],[BRAND]]</f>
        <v>-</v>
      </c>
      <c r="J2231" t="e">
        <f>VLOOKUP(H2231,DC_Xref!A:B,2,FALSE)</f>
        <v>#N/A</v>
      </c>
      <c r="K2231">
        <f t="shared" si="34"/>
        <v>0</v>
      </c>
      <c r="L22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1" s="3">
        <f>IFERROR(INDEX(Table3[#All],MATCH(Table1[[#This Row],[Key_Year_Week_Brand]],Table3[[#All],[Key_Year_Week_Brand]],0),MATCH(Table1[[#This Row],[DC_name_Xref]],Table3[#Headers],0)),0)</f>
        <v>0</v>
      </c>
      <c r="O2231" s="19">
        <f>IFERROR(INDEX(Table35[#All],MATCH(Table1[[#This Row],[Key_Year_Week_Brand]],Table35[[#All],[Key_Year_Month_Brand]],0),MATCH(Table1[[#This Row],[DC_name_Xref]],Table35[#Headers],0)),0)</f>
        <v>0</v>
      </c>
    </row>
    <row r="2232" spans="1:15" x14ac:dyDescent="0.3">
      <c r="A2232" s="19" t="e">
        <f>Table1[[#This Row],[Year_Week]]&amp;"-"&amp;Table1[[#This Row],[DC_name_Xref]]</f>
        <v>#N/A</v>
      </c>
      <c r="B2232" s="19" t="str">
        <f>Table1[[#This Row],[Fiscal_Year]]*100+Table1[[#This Row],[Fiscal_Week]] &amp; "-" &amp;Table1[[#This Row],[BRAND]]</f>
        <v>0-</v>
      </c>
      <c r="C2232" s="19" t="str">
        <f>Table1[[#This Row],[Fiscal_Year]]&amp;"-"&amp;Table1[[#This Row],[BRAND]]</f>
        <v>-</v>
      </c>
      <c r="J2232" t="e">
        <f>VLOOKUP(H2232,DC_Xref!A:B,2,FALSE)</f>
        <v>#N/A</v>
      </c>
      <c r="K2232">
        <f t="shared" si="34"/>
        <v>0</v>
      </c>
      <c r="L22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2" s="3">
        <f>IFERROR(INDEX(Table3[#All],MATCH(Table1[[#This Row],[Key_Year_Week_Brand]],Table3[[#All],[Key_Year_Week_Brand]],0),MATCH(Table1[[#This Row],[DC_name_Xref]],Table3[#Headers],0)),0)</f>
        <v>0</v>
      </c>
      <c r="O2232" s="19">
        <f>IFERROR(INDEX(Table35[#All],MATCH(Table1[[#This Row],[Key_Year_Week_Brand]],Table35[[#All],[Key_Year_Month_Brand]],0),MATCH(Table1[[#This Row],[DC_name_Xref]],Table35[#Headers],0)),0)</f>
        <v>0</v>
      </c>
    </row>
    <row r="2233" spans="1:15" x14ac:dyDescent="0.3">
      <c r="A2233" s="19" t="e">
        <f>Table1[[#This Row],[Year_Week]]&amp;"-"&amp;Table1[[#This Row],[DC_name_Xref]]</f>
        <v>#N/A</v>
      </c>
      <c r="B2233" s="19" t="str">
        <f>Table1[[#This Row],[Fiscal_Year]]*100+Table1[[#This Row],[Fiscal_Week]] &amp; "-" &amp;Table1[[#This Row],[BRAND]]</f>
        <v>0-</v>
      </c>
      <c r="C2233" s="19" t="str">
        <f>Table1[[#This Row],[Fiscal_Year]]&amp;"-"&amp;Table1[[#This Row],[BRAND]]</f>
        <v>-</v>
      </c>
      <c r="J2233" t="e">
        <f>VLOOKUP(H2233,DC_Xref!A:B,2,FALSE)</f>
        <v>#N/A</v>
      </c>
      <c r="K2233">
        <f t="shared" si="34"/>
        <v>0</v>
      </c>
      <c r="L22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3" s="3">
        <f>IFERROR(INDEX(Table3[#All],MATCH(Table1[[#This Row],[Key_Year_Week_Brand]],Table3[[#All],[Key_Year_Week_Brand]],0),MATCH(Table1[[#This Row],[DC_name_Xref]],Table3[#Headers],0)),0)</f>
        <v>0</v>
      </c>
      <c r="O2233" s="19">
        <f>IFERROR(INDEX(Table35[#All],MATCH(Table1[[#This Row],[Key_Year_Week_Brand]],Table35[[#All],[Key_Year_Month_Brand]],0),MATCH(Table1[[#This Row],[DC_name_Xref]],Table35[#Headers],0)),0)</f>
        <v>0</v>
      </c>
    </row>
    <row r="2234" spans="1:15" x14ac:dyDescent="0.3">
      <c r="A2234" s="19" t="e">
        <f>Table1[[#This Row],[Year_Week]]&amp;"-"&amp;Table1[[#This Row],[DC_name_Xref]]</f>
        <v>#N/A</v>
      </c>
      <c r="B2234" s="19" t="str">
        <f>Table1[[#This Row],[Fiscal_Year]]*100+Table1[[#This Row],[Fiscal_Week]] &amp; "-" &amp;Table1[[#This Row],[BRAND]]</f>
        <v>0-</v>
      </c>
      <c r="C2234" s="19" t="str">
        <f>Table1[[#This Row],[Fiscal_Year]]&amp;"-"&amp;Table1[[#This Row],[BRAND]]</f>
        <v>-</v>
      </c>
      <c r="J2234" t="e">
        <f>VLOOKUP(H2234,DC_Xref!A:B,2,FALSE)</f>
        <v>#N/A</v>
      </c>
      <c r="K2234">
        <f t="shared" si="34"/>
        <v>0</v>
      </c>
      <c r="L22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4" s="3">
        <f>IFERROR(INDEX(Table3[#All],MATCH(Table1[[#This Row],[Key_Year_Week_Brand]],Table3[[#All],[Key_Year_Week_Brand]],0),MATCH(Table1[[#This Row],[DC_name_Xref]],Table3[#Headers],0)),0)</f>
        <v>0</v>
      </c>
      <c r="O2234" s="19">
        <f>IFERROR(INDEX(Table35[#All],MATCH(Table1[[#This Row],[Key_Year_Week_Brand]],Table35[[#All],[Key_Year_Month_Brand]],0),MATCH(Table1[[#This Row],[DC_name_Xref]],Table35[#Headers],0)),0)</f>
        <v>0</v>
      </c>
    </row>
    <row r="2235" spans="1:15" x14ac:dyDescent="0.3">
      <c r="A2235" s="19" t="e">
        <f>Table1[[#This Row],[Year_Week]]&amp;"-"&amp;Table1[[#This Row],[DC_name_Xref]]</f>
        <v>#N/A</v>
      </c>
      <c r="B2235" s="19" t="str">
        <f>Table1[[#This Row],[Fiscal_Year]]*100+Table1[[#This Row],[Fiscal_Week]] &amp; "-" &amp;Table1[[#This Row],[BRAND]]</f>
        <v>0-</v>
      </c>
      <c r="C2235" s="19" t="str">
        <f>Table1[[#This Row],[Fiscal_Year]]&amp;"-"&amp;Table1[[#This Row],[BRAND]]</f>
        <v>-</v>
      </c>
      <c r="J2235" t="e">
        <f>VLOOKUP(H2235,DC_Xref!A:B,2,FALSE)</f>
        <v>#N/A</v>
      </c>
      <c r="K2235">
        <f t="shared" si="34"/>
        <v>0</v>
      </c>
      <c r="L22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5" s="3">
        <f>IFERROR(INDEX(Table3[#All],MATCH(Table1[[#This Row],[Key_Year_Week_Brand]],Table3[[#All],[Key_Year_Week_Brand]],0),MATCH(Table1[[#This Row],[DC_name_Xref]],Table3[#Headers],0)),0)</f>
        <v>0</v>
      </c>
      <c r="O2235" s="19">
        <f>IFERROR(INDEX(Table35[#All],MATCH(Table1[[#This Row],[Key_Year_Week_Brand]],Table35[[#All],[Key_Year_Month_Brand]],0),MATCH(Table1[[#This Row],[DC_name_Xref]],Table35[#Headers],0)),0)</f>
        <v>0</v>
      </c>
    </row>
    <row r="2236" spans="1:15" x14ac:dyDescent="0.3">
      <c r="A2236" s="19" t="e">
        <f>Table1[[#This Row],[Year_Week]]&amp;"-"&amp;Table1[[#This Row],[DC_name_Xref]]</f>
        <v>#N/A</v>
      </c>
      <c r="B2236" s="19" t="str">
        <f>Table1[[#This Row],[Fiscal_Year]]*100+Table1[[#This Row],[Fiscal_Week]] &amp; "-" &amp;Table1[[#This Row],[BRAND]]</f>
        <v>0-</v>
      </c>
      <c r="C2236" s="19" t="str">
        <f>Table1[[#This Row],[Fiscal_Year]]&amp;"-"&amp;Table1[[#This Row],[BRAND]]</f>
        <v>-</v>
      </c>
      <c r="J2236" t="e">
        <f>VLOOKUP(H2236,DC_Xref!A:B,2,FALSE)</f>
        <v>#N/A</v>
      </c>
      <c r="K2236">
        <f t="shared" si="34"/>
        <v>0</v>
      </c>
      <c r="L22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6" s="3">
        <f>IFERROR(INDEX(Table3[#All],MATCH(Table1[[#This Row],[Key_Year_Week_Brand]],Table3[[#All],[Key_Year_Week_Brand]],0),MATCH(Table1[[#This Row],[DC_name_Xref]],Table3[#Headers],0)),0)</f>
        <v>0</v>
      </c>
      <c r="O2236" s="19">
        <f>IFERROR(INDEX(Table35[#All],MATCH(Table1[[#This Row],[Key_Year_Week_Brand]],Table35[[#All],[Key_Year_Month_Brand]],0),MATCH(Table1[[#This Row],[DC_name_Xref]],Table35[#Headers],0)),0)</f>
        <v>0</v>
      </c>
    </row>
    <row r="2237" spans="1:15" x14ac:dyDescent="0.3">
      <c r="A2237" s="19" t="e">
        <f>Table1[[#This Row],[Year_Week]]&amp;"-"&amp;Table1[[#This Row],[DC_name_Xref]]</f>
        <v>#N/A</v>
      </c>
      <c r="B2237" s="19" t="str">
        <f>Table1[[#This Row],[Fiscal_Year]]*100+Table1[[#This Row],[Fiscal_Week]] &amp; "-" &amp;Table1[[#This Row],[BRAND]]</f>
        <v>0-</v>
      </c>
      <c r="C2237" s="19" t="str">
        <f>Table1[[#This Row],[Fiscal_Year]]&amp;"-"&amp;Table1[[#This Row],[BRAND]]</f>
        <v>-</v>
      </c>
      <c r="J2237" t="e">
        <f>VLOOKUP(H2237,DC_Xref!A:B,2,FALSE)</f>
        <v>#N/A</v>
      </c>
      <c r="K2237">
        <f t="shared" si="34"/>
        <v>0</v>
      </c>
      <c r="L22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7" s="3">
        <f>IFERROR(INDEX(Table3[#All],MATCH(Table1[[#This Row],[Key_Year_Week_Brand]],Table3[[#All],[Key_Year_Week_Brand]],0),MATCH(Table1[[#This Row],[DC_name_Xref]],Table3[#Headers],0)),0)</f>
        <v>0</v>
      </c>
      <c r="O2237" s="19">
        <f>IFERROR(INDEX(Table35[#All],MATCH(Table1[[#This Row],[Key_Year_Week_Brand]],Table35[[#All],[Key_Year_Month_Brand]],0),MATCH(Table1[[#This Row],[DC_name_Xref]],Table35[#Headers],0)),0)</f>
        <v>0</v>
      </c>
    </row>
    <row r="2238" spans="1:15" x14ac:dyDescent="0.3">
      <c r="A2238" s="19" t="e">
        <f>Table1[[#This Row],[Year_Week]]&amp;"-"&amp;Table1[[#This Row],[DC_name_Xref]]</f>
        <v>#N/A</v>
      </c>
      <c r="B2238" s="19" t="str">
        <f>Table1[[#This Row],[Fiscal_Year]]*100+Table1[[#This Row],[Fiscal_Week]] &amp; "-" &amp;Table1[[#This Row],[BRAND]]</f>
        <v>0-</v>
      </c>
      <c r="C2238" s="19" t="str">
        <f>Table1[[#This Row],[Fiscal_Year]]&amp;"-"&amp;Table1[[#This Row],[BRAND]]</f>
        <v>-</v>
      </c>
      <c r="J2238" t="e">
        <f>VLOOKUP(H2238,DC_Xref!A:B,2,FALSE)</f>
        <v>#N/A</v>
      </c>
      <c r="K2238">
        <f t="shared" si="34"/>
        <v>0</v>
      </c>
      <c r="L22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8" s="3">
        <f>IFERROR(INDEX(Table3[#All],MATCH(Table1[[#This Row],[Key_Year_Week_Brand]],Table3[[#All],[Key_Year_Week_Brand]],0),MATCH(Table1[[#This Row],[DC_name_Xref]],Table3[#Headers],0)),0)</f>
        <v>0</v>
      </c>
      <c r="O2238" s="19">
        <f>IFERROR(INDEX(Table35[#All],MATCH(Table1[[#This Row],[Key_Year_Week_Brand]],Table35[[#All],[Key_Year_Month_Brand]],0),MATCH(Table1[[#This Row],[DC_name_Xref]],Table35[#Headers],0)),0)</f>
        <v>0</v>
      </c>
    </row>
    <row r="2239" spans="1:15" x14ac:dyDescent="0.3">
      <c r="A2239" s="19" t="e">
        <f>Table1[[#This Row],[Year_Week]]&amp;"-"&amp;Table1[[#This Row],[DC_name_Xref]]</f>
        <v>#N/A</v>
      </c>
      <c r="B2239" s="19" t="str">
        <f>Table1[[#This Row],[Fiscal_Year]]*100+Table1[[#This Row],[Fiscal_Week]] &amp; "-" &amp;Table1[[#This Row],[BRAND]]</f>
        <v>0-</v>
      </c>
      <c r="C2239" s="19" t="str">
        <f>Table1[[#This Row],[Fiscal_Year]]&amp;"-"&amp;Table1[[#This Row],[BRAND]]</f>
        <v>-</v>
      </c>
      <c r="J2239" t="e">
        <f>VLOOKUP(H2239,DC_Xref!A:B,2,FALSE)</f>
        <v>#N/A</v>
      </c>
      <c r="K2239">
        <f t="shared" si="34"/>
        <v>0</v>
      </c>
      <c r="L22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39" s="3">
        <f>IFERROR(INDEX(Table3[#All],MATCH(Table1[[#This Row],[Key_Year_Week_Brand]],Table3[[#All],[Key_Year_Week_Brand]],0),MATCH(Table1[[#This Row],[DC_name_Xref]],Table3[#Headers],0)),0)</f>
        <v>0</v>
      </c>
      <c r="O2239" s="19">
        <f>IFERROR(INDEX(Table35[#All],MATCH(Table1[[#This Row],[Key_Year_Week_Brand]],Table35[[#All],[Key_Year_Month_Brand]],0),MATCH(Table1[[#This Row],[DC_name_Xref]],Table35[#Headers],0)),0)</f>
        <v>0</v>
      </c>
    </row>
    <row r="2240" spans="1:15" x14ac:dyDescent="0.3">
      <c r="A2240" s="19" t="e">
        <f>Table1[[#This Row],[Year_Week]]&amp;"-"&amp;Table1[[#This Row],[DC_name_Xref]]</f>
        <v>#N/A</v>
      </c>
      <c r="B2240" s="19" t="str">
        <f>Table1[[#This Row],[Fiscal_Year]]*100+Table1[[#This Row],[Fiscal_Week]] &amp; "-" &amp;Table1[[#This Row],[BRAND]]</f>
        <v>0-</v>
      </c>
      <c r="C2240" s="19" t="str">
        <f>Table1[[#This Row],[Fiscal_Year]]&amp;"-"&amp;Table1[[#This Row],[BRAND]]</f>
        <v>-</v>
      </c>
      <c r="J2240" t="e">
        <f>VLOOKUP(H2240,DC_Xref!A:B,2,FALSE)</f>
        <v>#N/A</v>
      </c>
      <c r="K2240">
        <f t="shared" si="34"/>
        <v>0</v>
      </c>
      <c r="L22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0" s="3">
        <f>IFERROR(INDEX(Table3[#All],MATCH(Table1[[#This Row],[Key_Year_Week_Brand]],Table3[[#All],[Key_Year_Week_Brand]],0),MATCH(Table1[[#This Row],[DC_name_Xref]],Table3[#Headers],0)),0)</f>
        <v>0</v>
      </c>
      <c r="O2240" s="19">
        <f>IFERROR(INDEX(Table35[#All],MATCH(Table1[[#This Row],[Key_Year_Week_Brand]],Table35[[#All],[Key_Year_Month_Brand]],0),MATCH(Table1[[#This Row],[DC_name_Xref]],Table35[#Headers],0)),0)</f>
        <v>0</v>
      </c>
    </row>
    <row r="2241" spans="1:15" x14ac:dyDescent="0.3">
      <c r="A2241" s="19" t="e">
        <f>Table1[[#This Row],[Year_Week]]&amp;"-"&amp;Table1[[#This Row],[DC_name_Xref]]</f>
        <v>#N/A</v>
      </c>
      <c r="B2241" s="19" t="str">
        <f>Table1[[#This Row],[Fiscal_Year]]*100+Table1[[#This Row],[Fiscal_Week]] &amp; "-" &amp;Table1[[#This Row],[BRAND]]</f>
        <v>0-</v>
      </c>
      <c r="C2241" s="19" t="str">
        <f>Table1[[#This Row],[Fiscal_Year]]&amp;"-"&amp;Table1[[#This Row],[BRAND]]</f>
        <v>-</v>
      </c>
      <c r="J2241" t="e">
        <f>VLOOKUP(H2241,DC_Xref!A:B,2,FALSE)</f>
        <v>#N/A</v>
      </c>
      <c r="K2241">
        <f t="shared" si="34"/>
        <v>0</v>
      </c>
      <c r="L22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1" s="3">
        <f>IFERROR(INDEX(Table3[#All],MATCH(Table1[[#This Row],[Key_Year_Week_Brand]],Table3[[#All],[Key_Year_Week_Brand]],0),MATCH(Table1[[#This Row],[DC_name_Xref]],Table3[#Headers],0)),0)</f>
        <v>0</v>
      </c>
      <c r="O2241" s="19">
        <f>IFERROR(INDEX(Table35[#All],MATCH(Table1[[#This Row],[Key_Year_Week_Brand]],Table35[[#All],[Key_Year_Month_Brand]],0),MATCH(Table1[[#This Row],[DC_name_Xref]],Table35[#Headers],0)),0)</f>
        <v>0</v>
      </c>
    </row>
    <row r="2242" spans="1:15" x14ac:dyDescent="0.3">
      <c r="A2242" s="19" t="e">
        <f>Table1[[#This Row],[Year_Week]]&amp;"-"&amp;Table1[[#This Row],[DC_name_Xref]]</f>
        <v>#N/A</v>
      </c>
      <c r="B2242" s="19" t="str">
        <f>Table1[[#This Row],[Fiscal_Year]]*100+Table1[[#This Row],[Fiscal_Week]] &amp; "-" &amp;Table1[[#This Row],[BRAND]]</f>
        <v>0-</v>
      </c>
      <c r="C2242" s="19" t="str">
        <f>Table1[[#This Row],[Fiscal_Year]]&amp;"-"&amp;Table1[[#This Row],[BRAND]]</f>
        <v>-</v>
      </c>
      <c r="J2242" t="e">
        <f>VLOOKUP(H2242,DC_Xref!A:B,2,FALSE)</f>
        <v>#N/A</v>
      </c>
      <c r="K2242">
        <f t="shared" si="34"/>
        <v>0</v>
      </c>
      <c r="L22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2" s="3">
        <f>IFERROR(INDEX(Table3[#All],MATCH(Table1[[#This Row],[Key_Year_Week_Brand]],Table3[[#All],[Key_Year_Week_Brand]],0),MATCH(Table1[[#This Row],[DC_name_Xref]],Table3[#Headers],0)),0)</f>
        <v>0</v>
      </c>
      <c r="O2242" s="19">
        <f>IFERROR(INDEX(Table35[#All],MATCH(Table1[[#This Row],[Key_Year_Week_Brand]],Table35[[#All],[Key_Year_Month_Brand]],0),MATCH(Table1[[#This Row],[DC_name_Xref]],Table35[#Headers],0)),0)</f>
        <v>0</v>
      </c>
    </row>
    <row r="2243" spans="1:15" x14ac:dyDescent="0.3">
      <c r="A2243" s="19" t="e">
        <f>Table1[[#This Row],[Year_Week]]&amp;"-"&amp;Table1[[#This Row],[DC_name_Xref]]</f>
        <v>#N/A</v>
      </c>
      <c r="B2243" s="19" t="str">
        <f>Table1[[#This Row],[Fiscal_Year]]*100+Table1[[#This Row],[Fiscal_Week]] &amp; "-" &amp;Table1[[#This Row],[BRAND]]</f>
        <v>0-</v>
      </c>
      <c r="C2243" s="19" t="str">
        <f>Table1[[#This Row],[Fiscal_Year]]&amp;"-"&amp;Table1[[#This Row],[BRAND]]</f>
        <v>-</v>
      </c>
      <c r="J2243" t="e">
        <f>VLOOKUP(H2243,DC_Xref!A:B,2,FALSE)</f>
        <v>#N/A</v>
      </c>
      <c r="K2243">
        <f t="shared" si="34"/>
        <v>0</v>
      </c>
      <c r="L22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3" s="3">
        <f>IFERROR(INDEX(Table3[#All],MATCH(Table1[[#This Row],[Key_Year_Week_Brand]],Table3[[#All],[Key_Year_Week_Brand]],0),MATCH(Table1[[#This Row],[DC_name_Xref]],Table3[#Headers],0)),0)</f>
        <v>0</v>
      </c>
      <c r="O2243" s="19">
        <f>IFERROR(INDEX(Table35[#All],MATCH(Table1[[#This Row],[Key_Year_Week_Brand]],Table35[[#All],[Key_Year_Month_Brand]],0),MATCH(Table1[[#This Row],[DC_name_Xref]],Table35[#Headers],0)),0)</f>
        <v>0</v>
      </c>
    </row>
    <row r="2244" spans="1:15" x14ac:dyDescent="0.3">
      <c r="A2244" s="19" t="e">
        <f>Table1[[#This Row],[Year_Week]]&amp;"-"&amp;Table1[[#This Row],[DC_name_Xref]]</f>
        <v>#N/A</v>
      </c>
      <c r="B2244" s="19" t="str">
        <f>Table1[[#This Row],[Fiscal_Year]]*100+Table1[[#This Row],[Fiscal_Week]] &amp; "-" &amp;Table1[[#This Row],[BRAND]]</f>
        <v>0-</v>
      </c>
      <c r="C2244" s="19" t="str">
        <f>Table1[[#This Row],[Fiscal_Year]]&amp;"-"&amp;Table1[[#This Row],[BRAND]]</f>
        <v>-</v>
      </c>
      <c r="J2244" t="e">
        <f>VLOOKUP(H2244,DC_Xref!A:B,2,FALSE)</f>
        <v>#N/A</v>
      </c>
      <c r="K2244">
        <f t="shared" si="34"/>
        <v>0</v>
      </c>
      <c r="L22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4" s="3">
        <f>IFERROR(INDEX(Table3[#All],MATCH(Table1[[#This Row],[Key_Year_Week_Brand]],Table3[[#All],[Key_Year_Week_Brand]],0),MATCH(Table1[[#This Row],[DC_name_Xref]],Table3[#Headers],0)),0)</f>
        <v>0</v>
      </c>
      <c r="O2244" s="19">
        <f>IFERROR(INDEX(Table35[#All],MATCH(Table1[[#This Row],[Key_Year_Week_Brand]],Table35[[#All],[Key_Year_Month_Brand]],0),MATCH(Table1[[#This Row],[DC_name_Xref]],Table35[#Headers],0)),0)</f>
        <v>0</v>
      </c>
    </row>
    <row r="2245" spans="1:15" x14ac:dyDescent="0.3">
      <c r="A2245" s="19" t="e">
        <f>Table1[[#This Row],[Year_Week]]&amp;"-"&amp;Table1[[#This Row],[DC_name_Xref]]</f>
        <v>#N/A</v>
      </c>
      <c r="B2245" s="19" t="str">
        <f>Table1[[#This Row],[Fiscal_Year]]*100+Table1[[#This Row],[Fiscal_Week]] &amp; "-" &amp;Table1[[#This Row],[BRAND]]</f>
        <v>0-</v>
      </c>
      <c r="C2245" s="19" t="str">
        <f>Table1[[#This Row],[Fiscal_Year]]&amp;"-"&amp;Table1[[#This Row],[BRAND]]</f>
        <v>-</v>
      </c>
      <c r="J2245" t="e">
        <f>VLOOKUP(H2245,DC_Xref!A:B,2,FALSE)</f>
        <v>#N/A</v>
      </c>
      <c r="K2245">
        <f t="shared" si="34"/>
        <v>0</v>
      </c>
      <c r="L22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5" s="3">
        <f>IFERROR(INDEX(Table3[#All],MATCH(Table1[[#This Row],[Key_Year_Week_Brand]],Table3[[#All],[Key_Year_Week_Brand]],0),MATCH(Table1[[#This Row],[DC_name_Xref]],Table3[#Headers],0)),0)</f>
        <v>0</v>
      </c>
      <c r="O2245" s="19">
        <f>IFERROR(INDEX(Table35[#All],MATCH(Table1[[#This Row],[Key_Year_Week_Brand]],Table35[[#All],[Key_Year_Month_Brand]],0),MATCH(Table1[[#This Row],[DC_name_Xref]],Table35[#Headers],0)),0)</f>
        <v>0</v>
      </c>
    </row>
    <row r="2246" spans="1:15" x14ac:dyDescent="0.3">
      <c r="A2246" s="19" t="e">
        <f>Table1[[#This Row],[Year_Week]]&amp;"-"&amp;Table1[[#This Row],[DC_name_Xref]]</f>
        <v>#N/A</v>
      </c>
      <c r="B2246" s="19" t="str">
        <f>Table1[[#This Row],[Fiscal_Year]]*100+Table1[[#This Row],[Fiscal_Week]] &amp; "-" &amp;Table1[[#This Row],[BRAND]]</f>
        <v>0-</v>
      </c>
      <c r="C2246" s="19" t="str">
        <f>Table1[[#This Row],[Fiscal_Year]]&amp;"-"&amp;Table1[[#This Row],[BRAND]]</f>
        <v>-</v>
      </c>
      <c r="J2246" t="e">
        <f>VLOOKUP(H2246,DC_Xref!A:B,2,FALSE)</f>
        <v>#N/A</v>
      </c>
      <c r="K2246">
        <f t="shared" ref="K2246:K2309" si="35">D2246*100+E2246</f>
        <v>0</v>
      </c>
      <c r="L22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6" s="3">
        <f>IFERROR(INDEX(Table3[#All],MATCH(Table1[[#This Row],[Key_Year_Week_Brand]],Table3[[#All],[Key_Year_Week_Brand]],0),MATCH(Table1[[#This Row],[DC_name_Xref]],Table3[#Headers],0)),0)</f>
        <v>0</v>
      </c>
      <c r="O2246" s="19">
        <f>IFERROR(INDEX(Table35[#All],MATCH(Table1[[#This Row],[Key_Year_Week_Brand]],Table35[[#All],[Key_Year_Month_Brand]],0),MATCH(Table1[[#This Row],[DC_name_Xref]],Table35[#Headers],0)),0)</f>
        <v>0</v>
      </c>
    </row>
    <row r="2247" spans="1:15" x14ac:dyDescent="0.3">
      <c r="A2247" s="19" t="e">
        <f>Table1[[#This Row],[Year_Week]]&amp;"-"&amp;Table1[[#This Row],[DC_name_Xref]]</f>
        <v>#N/A</v>
      </c>
      <c r="B2247" s="19" t="str">
        <f>Table1[[#This Row],[Fiscal_Year]]*100+Table1[[#This Row],[Fiscal_Week]] &amp; "-" &amp;Table1[[#This Row],[BRAND]]</f>
        <v>0-</v>
      </c>
      <c r="C2247" s="19" t="str">
        <f>Table1[[#This Row],[Fiscal_Year]]&amp;"-"&amp;Table1[[#This Row],[BRAND]]</f>
        <v>-</v>
      </c>
      <c r="J2247" t="e">
        <f>VLOOKUP(H2247,DC_Xref!A:B,2,FALSE)</f>
        <v>#N/A</v>
      </c>
      <c r="K2247">
        <f t="shared" si="35"/>
        <v>0</v>
      </c>
      <c r="L22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7" s="3">
        <f>IFERROR(INDEX(Table3[#All],MATCH(Table1[[#This Row],[Key_Year_Week_Brand]],Table3[[#All],[Key_Year_Week_Brand]],0),MATCH(Table1[[#This Row],[DC_name_Xref]],Table3[#Headers],0)),0)</f>
        <v>0</v>
      </c>
      <c r="O2247" s="19">
        <f>IFERROR(INDEX(Table35[#All],MATCH(Table1[[#This Row],[Key_Year_Week_Brand]],Table35[[#All],[Key_Year_Month_Brand]],0),MATCH(Table1[[#This Row],[DC_name_Xref]],Table35[#Headers],0)),0)</f>
        <v>0</v>
      </c>
    </row>
    <row r="2248" spans="1:15" x14ac:dyDescent="0.3">
      <c r="A2248" s="19" t="e">
        <f>Table1[[#This Row],[Year_Week]]&amp;"-"&amp;Table1[[#This Row],[DC_name_Xref]]</f>
        <v>#N/A</v>
      </c>
      <c r="B2248" s="19" t="str">
        <f>Table1[[#This Row],[Fiscal_Year]]*100+Table1[[#This Row],[Fiscal_Week]] &amp; "-" &amp;Table1[[#This Row],[BRAND]]</f>
        <v>0-</v>
      </c>
      <c r="C2248" s="19" t="str">
        <f>Table1[[#This Row],[Fiscal_Year]]&amp;"-"&amp;Table1[[#This Row],[BRAND]]</f>
        <v>-</v>
      </c>
      <c r="J2248" t="e">
        <f>VLOOKUP(H2248,DC_Xref!A:B,2,FALSE)</f>
        <v>#N/A</v>
      </c>
      <c r="K2248">
        <f t="shared" si="35"/>
        <v>0</v>
      </c>
      <c r="L22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8" s="3">
        <f>IFERROR(INDEX(Table3[#All],MATCH(Table1[[#This Row],[Key_Year_Week_Brand]],Table3[[#All],[Key_Year_Week_Brand]],0),MATCH(Table1[[#This Row],[DC_name_Xref]],Table3[#Headers],0)),0)</f>
        <v>0</v>
      </c>
      <c r="O2248" s="19">
        <f>IFERROR(INDEX(Table35[#All],MATCH(Table1[[#This Row],[Key_Year_Week_Brand]],Table35[[#All],[Key_Year_Month_Brand]],0),MATCH(Table1[[#This Row],[DC_name_Xref]],Table35[#Headers],0)),0)</f>
        <v>0</v>
      </c>
    </row>
    <row r="2249" spans="1:15" x14ac:dyDescent="0.3">
      <c r="A2249" s="19" t="e">
        <f>Table1[[#This Row],[Year_Week]]&amp;"-"&amp;Table1[[#This Row],[DC_name_Xref]]</f>
        <v>#N/A</v>
      </c>
      <c r="B2249" s="19" t="str">
        <f>Table1[[#This Row],[Fiscal_Year]]*100+Table1[[#This Row],[Fiscal_Week]] &amp; "-" &amp;Table1[[#This Row],[BRAND]]</f>
        <v>0-</v>
      </c>
      <c r="C2249" s="19" t="str">
        <f>Table1[[#This Row],[Fiscal_Year]]&amp;"-"&amp;Table1[[#This Row],[BRAND]]</f>
        <v>-</v>
      </c>
      <c r="J2249" t="e">
        <f>VLOOKUP(H2249,DC_Xref!A:B,2,FALSE)</f>
        <v>#N/A</v>
      </c>
      <c r="K2249">
        <f t="shared" si="35"/>
        <v>0</v>
      </c>
      <c r="L22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49" s="3">
        <f>IFERROR(INDEX(Table3[#All],MATCH(Table1[[#This Row],[Key_Year_Week_Brand]],Table3[[#All],[Key_Year_Week_Brand]],0),MATCH(Table1[[#This Row],[DC_name_Xref]],Table3[#Headers],0)),0)</f>
        <v>0</v>
      </c>
      <c r="O2249" s="19">
        <f>IFERROR(INDEX(Table35[#All],MATCH(Table1[[#This Row],[Key_Year_Week_Brand]],Table35[[#All],[Key_Year_Month_Brand]],0),MATCH(Table1[[#This Row],[DC_name_Xref]],Table35[#Headers],0)),0)</f>
        <v>0</v>
      </c>
    </row>
    <row r="2250" spans="1:15" x14ac:dyDescent="0.3">
      <c r="A2250" s="19" t="e">
        <f>Table1[[#This Row],[Year_Week]]&amp;"-"&amp;Table1[[#This Row],[DC_name_Xref]]</f>
        <v>#N/A</v>
      </c>
      <c r="B2250" s="19" t="str">
        <f>Table1[[#This Row],[Fiscal_Year]]*100+Table1[[#This Row],[Fiscal_Week]] &amp; "-" &amp;Table1[[#This Row],[BRAND]]</f>
        <v>0-</v>
      </c>
      <c r="C2250" s="19" t="str">
        <f>Table1[[#This Row],[Fiscal_Year]]&amp;"-"&amp;Table1[[#This Row],[BRAND]]</f>
        <v>-</v>
      </c>
      <c r="J2250" t="e">
        <f>VLOOKUP(H2250,DC_Xref!A:B,2,FALSE)</f>
        <v>#N/A</v>
      </c>
      <c r="K2250">
        <f t="shared" si="35"/>
        <v>0</v>
      </c>
      <c r="L22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0" s="3">
        <f>IFERROR(INDEX(Table3[#All],MATCH(Table1[[#This Row],[Key_Year_Week_Brand]],Table3[[#All],[Key_Year_Week_Brand]],0),MATCH(Table1[[#This Row],[DC_name_Xref]],Table3[#Headers],0)),0)</f>
        <v>0</v>
      </c>
      <c r="O2250" s="19">
        <f>IFERROR(INDEX(Table35[#All],MATCH(Table1[[#This Row],[Key_Year_Week_Brand]],Table35[[#All],[Key_Year_Month_Brand]],0),MATCH(Table1[[#This Row],[DC_name_Xref]],Table35[#Headers],0)),0)</f>
        <v>0</v>
      </c>
    </row>
    <row r="2251" spans="1:15" x14ac:dyDescent="0.3">
      <c r="A2251" s="19" t="e">
        <f>Table1[[#This Row],[Year_Week]]&amp;"-"&amp;Table1[[#This Row],[DC_name_Xref]]</f>
        <v>#N/A</v>
      </c>
      <c r="B2251" s="19" t="str">
        <f>Table1[[#This Row],[Fiscal_Year]]*100+Table1[[#This Row],[Fiscal_Week]] &amp; "-" &amp;Table1[[#This Row],[BRAND]]</f>
        <v>0-</v>
      </c>
      <c r="C2251" s="19" t="str">
        <f>Table1[[#This Row],[Fiscal_Year]]&amp;"-"&amp;Table1[[#This Row],[BRAND]]</f>
        <v>-</v>
      </c>
      <c r="J2251" t="e">
        <f>VLOOKUP(H2251,DC_Xref!A:B,2,FALSE)</f>
        <v>#N/A</v>
      </c>
      <c r="K2251">
        <f t="shared" si="35"/>
        <v>0</v>
      </c>
      <c r="L22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1" s="3">
        <f>IFERROR(INDEX(Table3[#All],MATCH(Table1[[#This Row],[Key_Year_Week_Brand]],Table3[[#All],[Key_Year_Week_Brand]],0),MATCH(Table1[[#This Row],[DC_name_Xref]],Table3[#Headers],0)),0)</f>
        <v>0</v>
      </c>
      <c r="O2251" s="19">
        <f>IFERROR(INDEX(Table35[#All],MATCH(Table1[[#This Row],[Key_Year_Week_Brand]],Table35[[#All],[Key_Year_Month_Brand]],0),MATCH(Table1[[#This Row],[DC_name_Xref]],Table35[#Headers],0)),0)</f>
        <v>0</v>
      </c>
    </row>
    <row r="2252" spans="1:15" x14ac:dyDescent="0.3">
      <c r="A2252" s="19" t="e">
        <f>Table1[[#This Row],[Year_Week]]&amp;"-"&amp;Table1[[#This Row],[DC_name_Xref]]</f>
        <v>#N/A</v>
      </c>
      <c r="B2252" s="19" t="str">
        <f>Table1[[#This Row],[Fiscal_Year]]*100+Table1[[#This Row],[Fiscal_Week]] &amp; "-" &amp;Table1[[#This Row],[BRAND]]</f>
        <v>0-</v>
      </c>
      <c r="C2252" s="19" t="str">
        <f>Table1[[#This Row],[Fiscal_Year]]&amp;"-"&amp;Table1[[#This Row],[BRAND]]</f>
        <v>-</v>
      </c>
      <c r="J2252" t="e">
        <f>VLOOKUP(H2252,DC_Xref!A:B,2,FALSE)</f>
        <v>#N/A</v>
      </c>
      <c r="K2252">
        <f t="shared" si="35"/>
        <v>0</v>
      </c>
      <c r="L22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2" s="3">
        <f>IFERROR(INDEX(Table3[#All],MATCH(Table1[[#This Row],[Key_Year_Week_Brand]],Table3[[#All],[Key_Year_Week_Brand]],0),MATCH(Table1[[#This Row],[DC_name_Xref]],Table3[#Headers],0)),0)</f>
        <v>0</v>
      </c>
      <c r="O2252" s="19">
        <f>IFERROR(INDEX(Table35[#All],MATCH(Table1[[#This Row],[Key_Year_Week_Brand]],Table35[[#All],[Key_Year_Month_Brand]],0),MATCH(Table1[[#This Row],[DC_name_Xref]],Table35[#Headers],0)),0)</f>
        <v>0</v>
      </c>
    </row>
    <row r="2253" spans="1:15" x14ac:dyDescent="0.3">
      <c r="A2253" s="19" t="e">
        <f>Table1[[#This Row],[Year_Week]]&amp;"-"&amp;Table1[[#This Row],[DC_name_Xref]]</f>
        <v>#N/A</v>
      </c>
      <c r="B2253" s="19" t="str">
        <f>Table1[[#This Row],[Fiscal_Year]]*100+Table1[[#This Row],[Fiscal_Week]] &amp; "-" &amp;Table1[[#This Row],[BRAND]]</f>
        <v>0-</v>
      </c>
      <c r="C2253" s="19" t="str">
        <f>Table1[[#This Row],[Fiscal_Year]]&amp;"-"&amp;Table1[[#This Row],[BRAND]]</f>
        <v>-</v>
      </c>
      <c r="J2253" t="e">
        <f>VLOOKUP(H2253,DC_Xref!A:B,2,FALSE)</f>
        <v>#N/A</v>
      </c>
      <c r="K2253">
        <f t="shared" si="35"/>
        <v>0</v>
      </c>
      <c r="L22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3" s="3">
        <f>IFERROR(INDEX(Table3[#All],MATCH(Table1[[#This Row],[Key_Year_Week_Brand]],Table3[[#All],[Key_Year_Week_Brand]],0),MATCH(Table1[[#This Row],[DC_name_Xref]],Table3[#Headers],0)),0)</f>
        <v>0</v>
      </c>
      <c r="O2253" s="19">
        <f>IFERROR(INDEX(Table35[#All],MATCH(Table1[[#This Row],[Key_Year_Week_Brand]],Table35[[#All],[Key_Year_Month_Brand]],0),MATCH(Table1[[#This Row],[DC_name_Xref]],Table35[#Headers],0)),0)</f>
        <v>0</v>
      </c>
    </row>
    <row r="2254" spans="1:15" x14ac:dyDescent="0.3">
      <c r="A2254" s="19" t="e">
        <f>Table1[[#This Row],[Year_Week]]&amp;"-"&amp;Table1[[#This Row],[DC_name_Xref]]</f>
        <v>#N/A</v>
      </c>
      <c r="B2254" s="19" t="str">
        <f>Table1[[#This Row],[Fiscal_Year]]*100+Table1[[#This Row],[Fiscal_Week]] &amp; "-" &amp;Table1[[#This Row],[BRAND]]</f>
        <v>0-</v>
      </c>
      <c r="C2254" s="19" t="str">
        <f>Table1[[#This Row],[Fiscal_Year]]&amp;"-"&amp;Table1[[#This Row],[BRAND]]</f>
        <v>-</v>
      </c>
      <c r="J2254" t="e">
        <f>VLOOKUP(H2254,DC_Xref!A:B,2,FALSE)</f>
        <v>#N/A</v>
      </c>
      <c r="K2254">
        <f t="shared" si="35"/>
        <v>0</v>
      </c>
      <c r="L22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4" s="3">
        <f>IFERROR(INDEX(Table3[#All],MATCH(Table1[[#This Row],[Key_Year_Week_Brand]],Table3[[#All],[Key_Year_Week_Brand]],0),MATCH(Table1[[#This Row],[DC_name_Xref]],Table3[#Headers],0)),0)</f>
        <v>0</v>
      </c>
      <c r="O2254" s="19">
        <f>IFERROR(INDEX(Table35[#All],MATCH(Table1[[#This Row],[Key_Year_Week_Brand]],Table35[[#All],[Key_Year_Month_Brand]],0),MATCH(Table1[[#This Row],[DC_name_Xref]],Table35[#Headers],0)),0)</f>
        <v>0</v>
      </c>
    </row>
    <row r="2255" spans="1:15" x14ac:dyDescent="0.3">
      <c r="A2255" s="19" t="e">
        <f>Table1[[#This Row],[Year_Week]]&amp;"-"&amp;Table1[[#This Row],[DC_name_Xref]]</f>
        <v>#N/A</v>
      </c>
      <c r="B2255" s="19" t="str">
        <f>Table1[[#This Row],[Fiscal_Year]]*100+Table1[[#This Row],[Fiscal_Week]] &amp; "-" &amp;Table1[[#This Row],[BRAND]]</f>
        <v>0-</v>
      </c>
      <c r="C2255" s="19" t="str">
        <f>Table1[[#This Row],[Fiscal_Year]]&amp;"-"&amp;Table1[[#This Row],[BRAND]]</f>
        <v>-</v>
      </c>
      <c r="J2255" t="e">
        <f>VLOOKUP(H2255,DC_Xref!A:B,2,FALSE)</f>
        <v>#N/A</v>
      </c>
      <c r="K2255">
        <f t="shared" si="35"/>
        <v>0</v>
      </c>
      <c r="L22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5" s="3">
        <f>IFERROR(INDEX(Table3[#All],MATCH(Table1[[#This Row],[Key_Year_Week_Brand]],Table3[[#All],[Key_Year_Week_Brand]],0),MATCH(Table1[[#This Row],[DC_name_Xref]],Table3[#Headers],0)),0)</f>
        <v>0</v>
      </c>
      <c r="O2255" s="19">
        <f>IFERROR(INDEX(Table35[#All],MATCH(Table1[[#This Row],[Key_Year_Week_Brand]],Table35[[#All],[Key_Year_Month_Brand]],0),MATCH(Table1[[#This Row],[DC_name_Xref]],Table35[#Headers],0)),0)</f>
        <v>0</v>
      </c>
    </row>
    <row r="2256" spans="1:15" x14ac:dyDescent="0.3">
      <c r="A2256" s="19" t="e">
        <f>Table1[[#This Row],[Year_Week]]&amp;"-"&amp;Table1[[#This Row],[DC_name_Xref]]</f>
        <v>#N/A</v>
      </c>
      <c r="B2256" s="19" t="str">
        <f>Table1[[#This Row],[Fiscal_Year]]*100+Table1[[#This Row],[Fiscal_Week]] &amp; "-" &amp;Table1[[#This Row],[BRAND]]</f>
        <v>0-</v>
      </c>
      <c r="C2256" s="19" t="str">
        <f>Table1[[#This Row],[Fiscal_Year]]&amp;"-"&amp;Table1[[#This Row],[BRAND]]</f>
        <v>-</v>
      </c>
      <c r="J2256" t="e">
        <f>VLOOKUP(H2256,DC_Xref!A:B,2,FALSE)</f>
        <v>#N/A</v>
      </c>
      <c r="K2256">
        <f t="shared" si="35"/>
        <v>0</v>
      </c>
      <c r="L22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6" s="3">
        <f>IFERROR(INDEX(Table3[#All],MATCH(Table1[[#This Row],[Key_Year_Week_Brand]],Table3[[#All],[Key_Year_Week_Brand]],0),MATCH(Table1[[#This Row],[DC_name_Xref]],Table3[#Headers],0)),0)</f>
        <v>0</v>
      </c>
      <c r="O2256" s="19">
        <f>IFERROR(INDEX(Table35[#All],MATCH(Table1[[#This Row],[Key_Year_Week_Brand]],Table35[[#All],[Key_Year_Month_Brand]],0),MATCH(Table1[[#This Row],[DC_name_Xref]],Table35[#Headers],0)),0)</f>
        <v>0</v>
      </c>
    </row>
    <row r="2257" spans="1:15" x14ac:dyDescent="0.3">
      <c r="A2257" s="19" t="e">
        <f>Table1[[#This Row],[Year_Week]]&amp;"-"&amp;Table1[[#This Row],[DC_name_Xref]]</f>
        <v>#N/A</v>
      </c>
      <c r="B2257" s="19" t="str">
        <f>Table1[[#This Row],[Fiscal_Year]]*100+Table1[[#This Row],[Fiscal_Week]] &amp; "-" &amp;Table1[[#This Row],[BRAND]]</f>
        <v>0-</v>
      </c>
      <c r="C2257" s="19" t="str">
        <f>Table1[[#This Row],[Fiscal_Year]]&amp;"-"&amp;Table1[[#This Row],[BRAND]]</f>
        <v>-</v>
      </c>
      <c r="J2257" t="e">
        <f>VLOOKUP(H2257,DC_Xref!A:B,2,FALSE)</f>
        <v>#N/A</v>
      </c>
      <c r="K2257">
        <f t="shared" si="35"/>
        <v>0</v>
      </c>
      <c r="L22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7" s="3">
        <f>IFERROR(INDEX(Table3[#All],MATCH(Table1[[#This Row],[Key_Year_Week_Brand]],Table3[[#All],[Key_Year_Week_Brand]],0),MATCH(Table1[[#This Row],[DC_name_Xref]],Table3[#Headers],0)),0)</f>
        <v>0</v>
      </c>
      <c r="O2257" s="19">
        <f>IFERROR(INDEX(Table35[#All],MATCH(Table1[[#This Row],[Key_Year_Week_Brand]],Table35[[#All],[Key_Year_Month_Brand]],0),MATCH(Table1[[#This Row],[DC_name_Xref]],Table35[#Headers],0)),0)</f>
        <v>0</v>
      </c>
    </row>
    <row r="2258" spans="1:15" x14ac:dyDescent="0.3">
      <c r="A2258" s="19" t="e">
        <f>Table1[[#This Row],[Year_Week]]&amp;"-"&amp;Table1[[#This Row],[DC_name_Xref]]</f>
        <v>#N/A</v>
      </c>
      <c r="B2258" s="19" t="str">
        <f>Table1[[#This Row],[Fiscal_Year]]*100+Table1[[#This Row],[Fiscal_Week]] &amp; "-" &amp;Table1[[#This Row],[BRAND]]</f>
        <v>0-</v>
      </c>
      <c r="C2258" s="19" t="str">
        <f>Table1[[#This Row],[Fiscal_Year]]&amp;"-"&amp;Table1[[#This Row],[BRAND]]</f>
        <v>-</v>
      </c>
      <c r="J2258" t="e">
        <f>VLOOKUP(H2258,DC_Xref!A:B,2,FALSE)</f>
        <v>#N/A</v>
      </c>
      <c r="K2258">
        <f t="shared" si="35"/>
        <v>0</v>
      </c>
      <c r="L22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8" s="3">
        <f>IFERROR(INDEX(Table3[#All],MATCH(Table1[[#This Row],[Key_Year_Week_Brand]],Table3[[#All],[Key_Year_Week_Brand]],0),MATCH(Table1[[#This Row],[DC_name_Xref]],Table3[#Headers],0)),0)</f>
        <v>0</v>
      </c>
      <c r="O2258" s="19">
        <f>IFERROR(INDEX(Table35[#All],MATCH(Table1[[#This Row],[Key_Year_Week_Brand]],Table35[[#All],[Key_Year_Month_Brand]],0),MATCH(Table1[[#This Row],[DC_name_Xref]],Table35[#Headers],0)),0)</f>
        <v>0</v>
      </c>
    </row>
    <row r="2259" spans="1:15" x14ac:dyDescent="0.3">
      <c r="A2259" s="19" t="e">
        <f>Table1[[#This Row],[Year_Week]]&amp;"-"&amp;Table1[[#This Row],[DC_name_Xref]]</f>
        <v>#N/A</v>
      </c>
      <c r="B2259" s="19" t="str">
        <f>Table1[[#This Row],[Fiscal_Year]]*100+Table1[[#This Row],[Fiscal_Week]] &amp; "-" &amp;Table1[[#This Row],[BRAND]]</f>
        <v>0-</v>
      </c>
      <c r="C2259" s="19" t="str">
        <f>Table1[[#This Row],[Fiscal_Year]]&amp;"-"&amp;Table1[[#This Row],[BRAND]]</f>
        <v>-</v>
      </c>
      <c r="J2259" t="e">
        <f>VLOOKUP(H2259,DC_Xref!A:B,2,FALSE)</f>
        <v>#N/A</v>
      </c>
      <c r="K2259">
        <f t="shared" si="35"/>
        <v>0</v>
      </c>
      <c r="L22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59" s="3">
        <f>IFERROR(INDEX(Table3[#All],MATCH(Table1[[#This Row],[Key_Year_Week_Brand]],Table3[[#All],[Key_Year_Week_Brand]],0),MATCH(Table1[[#This Row],[DC_name_Xref]],Table3[#Headers],0)),0)</f>
        <v>0</v>
      </c>
      <c r="O2259" s="19">
        <f>IFERROR(INDEX(Table35[#All],MATCH(Table1[[#This Row],[Key_Year_Week_Brand]],Table35[[#All],[Key_Year_Month_Brand]],0),MATCH(Table1[[#This Row],[DC_name_Xref]],Table35[#Headers],0)),0)</f>
        <v>0</v>
      </c>
    </row>
    <row r="2260" spans="1:15" x14ac:dyDescent="0.3">
      <c r="A2260" s="19" t="e">
        <f>Table1[[#This Row],[Year_Week]]&amp;"-"&amp;Table1[[#This Row],[DC_name_Xref]]</f>
        <v>#N/A</v>
      </c>
      <c r="B2260" s="19" t="str">
        <f>Table1[[#This Row],[Fiscal_Year]]*100+Table1[[#This Row],[Fiscal_Week]] &amp; "-" &amp;Table1[[#This Row],[BRAND]]</f>
        <v>0-</v>
      </c>
      <c r="C2260" s="19" t="str">
        <f>Table1[[#This Row],[Fiscal_Year]]&amp;"-"&amp;Table1[[#This Row],[BRAND]]</f>
        <v>-</v>
      </c>
      <c r="J2260" t="e">
        <f>VLOOKUP(H2260,DC_Xref!A:B,2,FALSE)</f>
        <v>#N/A</v>
      </c>
      <c r="K2260">
        <f t="shared" si="35"/>
        <v>0</v>
      </c>
      <c r="L22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0" s="3">
        <f>IFERROR(INDEX(Table3[#All],MATCH(Table1[[#This Row],[Key_Year_Week_Brand]],Table3[[#All],[Key_Year_Week_Brand]],0),MATCH(Table1[[#This Row],[DC_name_Xref]],Table3[#Headers],0)),0)</f>
        <v>0</v>
      </c>
      <c r="O2260" s="19">
        <f>IFERROR(INDEX(Table35[#All],MATCH(Table1[[#This Row],[Key_Year_Week_Brand]],Table35[[#All],[Key_Year_Month_Brand]],0),MATCH(Table1[[#This Row],[DC_name_Xref]],Table35[#Headers],0)),0)</f>
        <v>0</v>
      </c>
    </row>
    <row r="2261" spans="1:15" x14ac:dyDescent="0.3">
      <c r="A2261" s="19" t="e">
        <f>Table1[[#This Row],[Year_Week]]&amp;"-"&amp;Table1[[#This Row],[DC_name_Xref]]</f>
        <v>#N/A</v>
      </c>
      <c r="B2261" s="19" t="str">
        <f>Table1[[#This Row],[Fiscal_Year]]*100+Table1[[#This Row],[Fiscal_Week]] &amp; "-" &amp;Table1[[#This Row],[BRAND]]</f>
        <v>0-</v>
      </c>
      <c r="C2261" s="19" t="str">
        <f>Table1[[#This Row],[Fiscal_Year]]&amp;"-"&amp;Table1[[#This Row],[BRAND]]</f>
        <v>-</v>
      </c>
      <c r="J2261" t="e">
        <f>VLOOKUP(H2261,DC_Xref!A:B,2,FALSE)</f>
        <v>#N/A</v>
      </c>
      <c r="K2261">
        <f t="shared" si="35"/>
        <v>0</v>
      </c>
      <c r="L22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1" s="3">
        <f>IFERROR(INDEX(Table3[#All],MATCH(Table1[[#This Row],[Key_Year_Week_Brand]],Table3[[#All],[Key_Year_Week_Brand]],0),MATCH(Table1[[#This Row],[DC_name_Xref]],Table3[#Headers],0)),0)</f>
        <v>0</v>
      </c>
      <c r="O2261" s="19">
        <f>IFERROR(INDEX(Table35[#All],MATCH(Table1[[#This Row],[Key_Year_Week_Brand]],Table35[[#All],[Key_Year_Month_Brand]],0),MATCH(Table1[[#This Row],[DC_name_Xref]],Table35[#Headers],0)),0)</f>
        <v>0</v>
      </c>
    </row>
    <row r="2262" spans="1:15" x14ac:dyDescent="0.3">
      <c r="A2262" s="19" t="e">
        <f>Table1[[#This Row],[Year_Week]]&amp;"-"&amp;Table1[[#This Row],[DC_name_Xref]]</f>
        <v>#N/A</v>
      </c>
      <c r="B2262" s="19" t="str">
        <f>Table1[[#This Row],[Fiscal_Year]]*100+Table1[[#This Row],[Fiscal_Week]] &amp; "-" &amp;Table1[[#This Row],[BRAND]]</f>
        <v>0-</v>
      </c>
      <c r="C2262" s="19" t="str">
        <f>Table1[[#This Row],[Fiscal_Year]]&amp;"-"&amp;Table1[[#This Row],[BRAND]]</f>
        <v>-</v>
      </c>
      <c r="J2262" t="e">
        <f>VLOOKUP(H2262,DC_Xref!A:B,2,FALSE)</f>
        <v>#N/A</v>
      </c>
      <c r="K2262">
        <f t="shared" si="35"/>
        <v>0</v>
      </c>
      <c r="L22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2" s="3">
        <f>IFERROR(INDEX(Table3[#All],MATCH(Table1[[#This Row],[Key_Year_Week_Brand]],Table3[[#All],[Key_Year_Week_Brand]],0),MATCH(Table1[[#This Row],[DC_name_Xref]],Table3[#Headers],0)),0)</f>
        <v>0</v>
      </c>
      <c r="O2262" s="19">
        <f>IFERROR(INDEX(Table35[#All],MATCH(Table1[[#This Row],[Key_Year_Week_Brand]],Table35[[#All],[Key_Year_Month_Brand]],0),MATCH(Table1[[#This Row],[DC_name_Xref]],Table35[#Headers],0)),0)</f>
        <v>0</v>
      </c>
    </row>
    <row r="2263" spans="1:15" x14ac:dyDescent="0.3">
      <c r="A2263" s="19" t="e">
        <f>Table1[[#This Row],[Year_Week]]&amp;"-"&amp;Table1[[#This Row],[DC_name_Xref]]</f>
        <v>#N/A</v>
      </c>
      <c r="B2263" s="19" t="str">
        <f>Table1[[#This Row],[Fiscal_Year]]*100+Table1[[#This Row],[Fiscal_Week]] &amp; "-" &amp;Table1[[#This Row],[BRAND]]</f>
        <v>0-</v>
      </c>
      <c r="C2263" s="19" t="str">
        <f>Table1[[#This Row],[Fiscal_Year]]&amp;"-"&amp;Table1[[#This Row],[BRAND]]</f>
        <v>-</v>
      </c>
      <c r="J2263" t="e">
        <f>VLOOKUP(H2263,DC_Xref!A:B,2,FALSE)</f>
        <v>#N/A</v>
      </c>
      <c r="K2263">
        <f t="shared" si="35"/>
        <v>0</v>
      </c>
      <c r="L22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3" s="3">
        <f>IFERROR(INDEX(Table3[#All],MATCH(Table1[[#This Row],[Key_Year_Week_Brand]],Table3[[#All],[Key_Year_Week_Brand]],0),MATCH(Table1[[#This Row],[DC_name_Xref]],Table3[#Headers],0)),0)</f>
        <v>0</v>
      </c>
      <c r="O2263" s="19">
        <f>IFERROR(INDEX(Table35[#All],MATCH(Table1[[#This Row],[Key_Year_Week_Brand]],Table35[[#All],[Key_Year_Month_Brand]],0),MATCH(Table1[[#This Row],[DC_name_Xref]],Table35[#Headers],0)),0)</f>
        <v>0</v>
      </c>
    </row>
    <row r="2264" spans="1:15" x14ac:dyDescent="0.3">
      <c r="A2264" s="19" t="e">
        <f>Table1[[#This Row],[Year_Week]]&amp;"-"&amp;Table1[[#This Row],[DC_name_Xref]]</f>
        <v>#N/A</v>
      </c>
      <c r="B2264" s="19" t="str">
        <f>Table1[[#This Row],[Fiscal_Year]]*100+Table1[[#This Row],[Fiscal_Week]] &amp; "-" &amp;Table1[[#This Row],[BRAND]]</f>
        <v>0-</v>
      </c>
      <c r="C2264" s="19" t="str">
        <f>Table1[[#This Row],[Fiscal_Year]]&amp;"-"&amp;Table1[[#This Row],[BRAND]]</f>
        <v>-</v>
      </c>
      <c r="J2264" t="e">
        <f>VLOOKUP(H2264,DC_Xref!A:B,2,FALSE)</f>
        <v>#N/A</v>
      </c>
      <c r="K2264">
        <f t="shared" si="35"/>
        <v>0</v>
      </c>
      <c r="L22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4" s="3">
        <f>IFERROR(INDEX(Table3[#All],MATCH(Table1[[#This Row],[Key_Year_Week_Brand]],Table3[[#All],[Key_Year_Week_Brand]],0),MATCH(Table1[[#This Row],[DC_name_Xref]],Table3[#Headers],0)),0)</f>
        <v>0</v>
      </c>
      <c r="O2264" s="19">
        <f>IFERROR(INDEX(Table35[#All],MATCH(Table1[[#This Row],[Key_Year_Week_Brand]],Table35[[#All],[Key_Year_Month_Brand]],0),MATCH(Table1[[#This Row],[DC_name_Xref]],Table35[#Headers],0)),0)</f>
        <v>0</v>
      </c>
    </row>
    <row r="2265" spans="1:15" x14ac:dyDescent="0.3">
      <c r="A2265" s="19" t="e">
        <f>Table1[[#This Row],[Year_Week]]&amp;"-"&amp;Table1[[#This Row],[DC_name_Xref]]</f>
        <v>#N/A</v>
      </c>
      <c r="B2265" s="19" t="str">
        <f>Table1[[#This Row],[Fiscal_Year]]*100+Table1[[#This Row],[Fiscal_Week]] &amp; "-" &amp;Table1[[#This Row],[BRAND]]</f>
        <v>0-</v>
      </c>
      <c r="C2265" s="19" t="str">
        <f>Table1[[#This Row],[Fiscal_Year]]&amp;"-"&amp;Table1[[#This Row],[BRAND]]</f>
        <v>-</v>
      </c>
      <c r="J2265" t="e">
        <f>VLOOKUP(H2265,DC_Xref!A:B,2,FALSE)</f>
        <v>#N/A</v>
      </c>
      <c r="K2265">
        <f t="shared" si="35"/>
        <v>0</v>
      </c>
      <c r="L22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5" s="3">
        <f>IFERROR(INDEX(Table3[#All],MATCH(Table1[[#This Row],[Key_Year_Week_Brand]],Table3[[#All],[Key_Year_Week_Brand]],0),MATCH(Table1[[#This Row],[DC_name_Xref]],Table3[#Headers],0)),0)</f>
        <v>0</v>
      </c>
      <c r="O2265" s="19">
        <f>IFERROR(INDEX(Table35[#All],MATCH(Table1[[#This Row],[Key_Year_Week_Brand]],Table35[[#All],[Key_Year_Month_Brand]],0),MATCH(Table1[[#This Row],[DC_name_Xref]],Table35[#Headers],0)),0)</f>
        <v>0</v>
      </c>
    </row>
    <row r="2266" spans="1:15" x14ac:dyDescent="0.3">
      <c r="A2266" s="19" t="e">
        <f>Table1[[#This Row],[Year_Week]]&amp;"-"&amp;Table1[[#This Row],[DC_name_Xref]]</f>
        <v>#N/A</v>
      </c>
      <c r="B2266" s="19" t="str">
        <f>Table1[[#This Row],[Fiscal_Year]]*100+Table1[[#This Row],[Fiscal_Week]] &amp; "-" &amp;Table1[[#This Row],[BRAND]]</f>
        <v>0-</v>
      </c>
      <c r="C2266" s="19" t="str">
        <f>Table1[[#This Row],[Fiscal_Year]]&amp;"-"&amp;Table1[[#This Row],[BRAND]]</f>
        <v>-</v>
      </c>
      <c r="J2266" t="e">
        <f>VLOOKUP(H2266,DC_Xref!A:B,2,FALSE)</f>
        <v>#N/A</v>
      </c>
      <c r="K2266">
        <f t="shared" si="35"/>
        <v>0</v>
      </c>
      <c r="L22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6" s="3">
        <f>IFERROR(INDEX(Table3[#All],MATCH(Table1[[#This Row],[Key_Year_Week_Brand]],Table3[[#All],[Key_Year_Week_Brand]],0),MATCH(Table1[[#This Row],[DC_name_Xref]],Table3[#Headers],0)),0)</f>
        <v>0</v>
      </c>
      <c r="O2266" s="19">
        <f>IFERROR(INDEX(Table35[#All],MATCH(Table1[[#This Row],[Key_Year_Week_Brand]],Table35[[#All],[Key_Year_Month_Brand]],0),MATCH(Table1[[#This Row],[DC_name_Xref]],Table35[#Headers],0)),0)</f>
        <v>0</v>
      </c>
    </row>
    <row r="2267" spans="1:15" x14ac:dyDescent="0.3">
      <c r="A2267" s="19" t="e">
        <f>Table1[[#This Row],[Year_Week]]&amp;"-"&amp;Table1[[#This Row],[DC_name_Xref]]</f>
        <v>#N/A</v>
      </c>
      <c r="B2267" s="19" t="str">
        <f>Table1[[#This Row],[Fiscal_Year]]*100+Table1[[#This Row],[Fiscal_Week]] &amp; "-" &amp;Table1[[#This Row],[BRAND]]</f>
        <v>0-</v>
      </c>
      <c r="C2267" s="19" t="str">
        <f>Table1[[#This Row],[Fiscal_Year]]&amp;"-"&amp;Table1[[#This Row],[BRAND]]</f>
        <v>-</v>
      </c>
      <c r="J2267" t="e">
        <f>VLOOKUP(H2267,DC_Xref!A:B,2,FALSE)</f>
        <v>#N/A</v>
      </c>
      <c r="K2267">
        <f t="shared" si="35"/>
        <v>0</v>
      </c>
      <c r="L22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7" s="3">
        <f>IFERROR(INDEX(Table3[#All],MATCH(Table1[[#This Row],[Key_Year_Week_Brand]],Table3[[#All],[Key_Year_Week_Brand]],0),MATCH(Table1[[#This Row],[DC_name_Xref]],Table3[#Headers],0)),0)</f>
        <v>0</v>
      </c>
      <c r="O2267" s="19">
        <f>IFERROR(INDEX(Table35[#All],MATCH(Table1[[#This Row],[Key_Year_Week_Brand]],Table35[[#All],[Key_Year_Month_Brand]],0),MATCH(Table1[[#This Row],[DC_name_Xref]],Table35[#Headers],0)),0)</f>
        <v>0</v>
      </c>
    </row>
    <row r="2268" spans="1:15" x14ac:dyDescent="0.3">
      <c r="A2268" s="19" t="e">
        <f>Table1[[#This Row],[Year_Week]]&amp;"-"&amp;Table1[[#This Row],[DC_name_Xref]]</f>
        <v>#N/A</v>
      </c>
      <c r="B2268" s="19" t="str">
        <f>Table1[[#This Row],[Fiscal_Year]]*100+Table1[[#This Row],[Fiscal_Week]] &amp; "-" &amp;Table1[[#This Row],[BRAND]]</f>
        <v>0-</v>
      </c>
      <c r="C2268" s="19" t="str">
        <f>Table1[[#This Row],[Fiscal_Year]]&amp;"-"&amp;Table1[[#This Row],[BRAND]]</f>
        <v>-</v>
      </c>
      <c r="J2268" t="e">
        <f>VLOOKUP(H2268,DC_Xref!A:B,2,FALSE)</f>
        <v>#N/A</v>
      </c>
      <c r="K2268">
        <f t="shared" si="35"/>
        <v>0</v>
      </c>
      <c r="L22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8" s="3">
        <f>IFERROR(INDEX(Table3[#All],MATCH(Table1[[#This Row],[Key_Year_Week_Brand]],Table3[[#All],[Key_Year_Week_Brand]],0),MATCH(Table1[[#This Row],[DC_name_Xref]],Table3[#Headers],0)),0)</f>
        <v>0</v>
      </c>
      <c r="O2268" s="19">
        <f>IFERROR(INDEX(Table35[#All],MATCH(Table1[[#This Row],[Key_Year_Week_Brand]],Table35[[#All],[Key_Year_Month_Brand]],0),MATCH(Table1[[#This Row],[DC_name_Xref]],Table35[#Headers],0)),0)</f>
        <v>0</v>
      </c>
    </row>
    <row r="2269" spans="1:15" x14ac:dyDescent="0.3">
      <c r="A2269" s="19" t="e">
        <f>Table1[[#This Row],[Year_Week]]&amp;"-"&amp;Table1[[#This Row],[DC_name_Xref]]</f>
        <v>#N/A</v>
      </c>
      <c r="B2269" s="19" t="str">
        <f>Table1[[#This Row],[Fiscal_Year]]*100+Table1[[#This Row],[Fiscal_Week]] &amp; "-" &amp;Table1[[#This Row],[BRAND]]</f>
        <v>0-</v>
      </c>
      <c r="C2269" s="19" t="str">
        <f>Table1[[#This Row],[Fiscal_Year]]&amp;"-"&amp;Table1[[#This Row],[BRAND]]</f>
        <v>-</v>
      </c>
      <c r="J2269" t="e">
        <f>VLOOKUP(H2269,DC_Xref!A:B,2,FALSE)</f>
        <v>#N/A</v>
      </c>
      <c r="K2269">
        <f t="shared" si="35"/>
        <v>0</v>
      </c>
      <c r="L22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69" s="3">
        <f>IFERROR(INDEX(Table3[#All],MATCH(Table1[[#This Row],[Key_Year_Week_Brand]],Table3[[#All],[Key_Year_Week_Brand]],0),MATCH(Table1[[#This Row],[DC_name_Xref]],Table3[#Headers],0)),0)</f>
        <v>0</v>
      </c>
      <c r="O2269" s="19">
        <f>IFERROR(INDEX(Table35[#All],MATCH(Table1[[#This Row],[Key_Year_Week_Brand]],Table35[[#All],[Key_Year_Month_Brand]],0),MATCH(Table1[[#This Row],[DC_name_Xref]],Table35[#Headers],0)),0)</f>
        <v>0</v>
      </c>
    </row>
    <row r="2270" spans="1:15" x14ac:dyDescent="0.3">
      <c r="A2270" s="19" t="e">
        <f>Table1[[#This Row],[Year_Week]]&amp;"-"&amp;Table1[[#This Row],[DC_name_Xref]]</f>
        <v>#N/A</v>
      </c>
      <c r="B2270" s="19" t="str">
        <f>Table1[[#This Row],[Fiscal_Year]]*100+Table1[[#This Row],[Fiscal_Week]] &amp; "-" &amp;Table1[[#This Row],[BRAND]]</f>
        <v>0-</v>
      </c>
      <c r="C2270" s="19" t="str">
        <f>Table1[[#This Row],[Fiscal_Year]]&amp;"-"&amp;Table1[[#This Row],[BRAND]]</f>
        <v>-</v>
      </c>
      <c r="J2270" t="e">
        <f>VLOOKUP(H2270,DC_Xref!A:B,2,FALSE)</f>
        <v>#N/A</v>
      </c>
      <c r="K2270">
        <f t="shared" si="35"/>
        <v>0</v>
      </c>
      <c r="L22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0" s="3">
        <f>IFERROR(INDEX(Table3[#All],MATCH(Table1[[#This Row],[Key_Year_Week_Brand]],Table3[[#All],[Key_Year_Week_Brand]],0),MATCH(Table1[[#This Row],[DC_name_Xref]],Table3[#Headers],0)),0)</f>
        <v>0</v>
      </c>
      <c r="O2270" s="19">
        <f>IFERROR(INDEX(Table35[#All],MATCH(Table1[[#This Row],[Key_Year_Week_Brand]],Table35[[#All],[Key_Year_Month_Brand]],0),MATCH(Table1[[#This Row],[DC_name_Xref]],Table35[#Headers],0)),0)</f>
        <v>0</v>
      </c>
    </row>
    <row r="2271" spans="1:15" x14ac:dyDescent="0.3">
      <c r="A2271" s="19" t="e">
        <f>Table1[[#This Row],[Year_Week]]&amp;"-"&amp;Table1[[#This Row],[DC_name_Xref]]</f>
        <v>#N/A</v>
      </c>
      <c r="B2271" s="19" t="str">
        <f>Table1[[#This Row],[Fiscal_Year]]*100+Table1[[#This Row],[Fiscal_Week]] &amp; "-" &amp;Table1[[#This Row],[BRAND]]</f>
        <v>0-</v>
      </c>
      <c r="C2271" s="19" t="str">
        <f>Table1[[#This Row],[Fiscal_Year]]&amp;"-"&amp;Table1[[#This Row],[BRAND]]</f>
        <v>-</v>
      </c>
      <c r="J2271" t="e">
        <f>VLOOKUP(H2271,DC_Xref!A:B,2,FALSE)</f>
        <v>#N/A</v>
      </c>
      <c r="K2271">
        <f t="shared" si="35"/>
        <v>0</v>
      </c>
      <c r="L22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1" s="3">
        <f>IFERROR(INDEX(Table3[#All],MATCH(Table1[[#This Row],[Key_Year_Week_Brand]],Table3[[#All],[Key_Year_Week_Brand]],0),MATCH(Table1[[#This Row],[DC_name_Xref]],Table3[#Headers],0)),0)</f>
        <v>0</v>
      </c>
      <c r="O2271" s="19">
        <f>IFERROR(INDEX(Table35[#All],MATCH(Table1[[#This Row],[Key_Year_Week_Brand]],Table35[[#All],[Key_Year_Month_Brand]],0),MATCH(Table1[[#This Row],[DC_name_Xref]],Table35[#Headers],0)),0)</f>
        <v>0</v>
      </c>
    </row>
    <row r="2272" spans="1:15" x14ac:dyDescent="0.3">
      <c r="A2272" s="19" t="e">
        <f>Table1[[#This Row],[Year_Week]]&amp;"-"&amp;Table1[[#This Row],[DC_name_Xref]]</f>
        <v>#N/A</v>
      </c>
      <c r="B2272" s="19" t="str">
        <f>Table1[[#This Row],[Fiscal_Year]]*100+Table1[[#This Row],[Fiscal_Week]] &amp; "-" &amp;Table1[[#This Row],[BRAND]]</f>
        <v>0-</v>
      </c>
      <c r="C2272" s="19" t="str">
        <f>Table1[[#This Row],[Fiscal_Year]]&amp;"-"&amp;Table1[[#This Row],[BRAND]]</f>
        <v>-</v>
      </c>
      <c r="J2272" t="e">
        <f>VLOOKUP(H2272,DC_Xref!A:B,2,FALSE)</f>
        <v>#N/A</v>
      </c>
      <c r="K2272">
        <f t="shared" si="35"/>
        <v>0</v>
      </c>
      <c r="L22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2" s="3">
        <f>IFERROR(INDEX(Table3[#All],MATCH(Table1[[#This Row],[Key_Year_Week_Brand]],Table3[[#All],[Key_Year_Week_Brand]],0),MATCH(Table1[[#This Row],[DC_name_Xref]],Table3[#Headers],0)),0)</f>
        <v>0</v>
      </c>
      <c r="O2272" s="19">
        <f>IFERROR(INDEX(Table35[#All],MATCH(Table1[[#This Row],[Key_Year_Week_Brand]],Table35[[#All],[Key_Year_Month_Brand]],0),MATCH(Table1[[#This Row],[DC_name_Xref]],Table35[#Headers],0)),0)</f>
        <v>0</v>
      </c>
    </row>
    <row r="2273" spans="1:15" x14ac:dyDescent="0.3">
      <c r="A2273" s="19" t="e">
        <f>Table1[[#This Row],[Year_Week]]&amp;"-"&amp;Table1[[#This Row],[DC_name_Xref]]</f>
        <v>#N/A</v>
      </c>
      <c r="B2273" s="19" t="str">
        <f>Table1[[#This Row],[Fiscal_Year]]*100+Table1[[#This Row],[Fiscal_Week]] &amp; "-" &amp;Table1[[#This Row],[BRAND]]</f>
        <v>0-</v>
      </c>
      <c r="C2273" s="19" t="str">
        <f>Table1[[#This Row],[Fiscal_Year]]&amp;"-"&amp;Table1[[#This Row],[BRAND]]</f>
        <v>-</v>
      </c>
      <c r="J2273" t="e">
        <f>VLOOKUP(H2273,DC_Xref!A:B,2,FALSE)</f>
        <v>#N/A</v>
      </c>
      <c r="K2273">
        <f t="shared" si="35"/>
        <v>0</v>
      </c>
      <c r="L22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3" s="3">
        <f>IFERROR(INDEX(Table3[#All],MATCH(Table1[[#This Row],[Key_Year_Week_Brand]],Table3[[#All],[Key_Year_Week_Brand]],0),MATCH(Table1[[#This Row],[DC_name_Xref]],Table3[#Headers],0)),0)</f>
        <v>0</v>
      </c>
      <c r="O2273" s="19">
        <f>IFERROR(INDEX(Table35[#All],MATCH(Table1[[#This Row],[Key_Year_Week_Brand]],Table35[[#All],[Key_Year_Month_Brand]],0),MATCH(Table1[[#This Row],[DC_name_Xref]],Table35[#Headers],0)),0)</f>
        <v>0</v>
      </c>
    </row>
    <row r="2274" spans="1:15" x14ac:dyDescent="0.3">
      <c r="A2274" s="19" t="e">
        <f>Table1[[#This Row],[Year_Week]]&amp;"-"&amp;Table1[[#This Row],[DC_name_Xref]]</f>
        <v>#N/A</v>
      </c>
      <c r="B2274" s="19" t="str">
        <f>Table1[[#This Row],[Fiscal_Year]]*100+Table1[[#This Row],[Fiscal_Week]] &amp; "-" &amp;Table1[[#This Row],[BRAND]]</f>
        <v>0-</v>
      </c>
      <c r="C2274" s="19" t="str">
        <f>Table1[[#This Row],[Fiscal_Year]]&amp;"-"&amp;Table1[[#This Row],[BRAND]]</f>
        <v>-</v>
      </c>
      <c r="J2274" t="e">
        <f>VLOOKUP(H2274,DC_Xref!A:B,2,FALSE)</f>
        <v>#N/A</v>
      </c>
      <c r="K2274">
        <f t="shared" si="35"/>
        <v>0</v>
      </c>
      <c r="L22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4" s="3">
        <f>IFERROR(INDEX(Table3[#All],MATCH(Table1[[#This Row],[Key_Year_Week_Brand]],Table3[[#All],[Key_Year_Week_Brand]],0),MATCH(Table1[[#This Row],[DC_name_Xref]],Table3[#Headers],0)),0)</f>
        <v>0</v>
      </c>
      <c r="O2274" s="19">
        <f>IFERROR(INDEX(Table35[#All],MATCH(Table1[[#This Row],[Key_Year_Week_Brand]],Table35[[#All],[Key_Year_Month_Brand]],0),MATCH(Table1[[#This Row],[DC_name_Xref]],Table35[#Headers],0)),0)</f>
        <v>0</v>
      </c>
    </row>
    <row r="2275" spans="1:15" x14ac:dyDescent="0.3">
      <c r="A2275" s="19" t="e">
        <f>Table1[[#This Row],[Year_Week]]&amp;"-"&amp;Table1[[#This Row],[DC_name_Xref]]</f>
        <v>#N/A</v>
      </c>
      <c r="B2275" s="19" t="str">
        <f>Table1[[#This Row],[Fiscal_Year]]*100+Table1[[#This Row],[Fiscal_Week]] &amp; "-" &amp;Table1[[#This Row],[BRAND]]</f>
        <v>0-</v>
      </c>
      <c r="C2275" s="19" t="str">
        <f>Table1[[#This Row],[Fiscal_Year]]&amp;"-"&amp;Table1[[#This Row],[BRAND]]</f>
        <v>-</v>
      </c>
      <c r="J2275" t="e">
        <f>VLOOKUP(H2275,DC_Xref!A:B,2,FALSE)</f>
        <v>#N/A</v>
      </c>
      <c r="K2275">
        <f t="shared" si="35"/>
        <v>0</v>
      </c>
      <c r="L22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5" s="3">
        <f>IFERROR(INDEX(Table3[#All],MATCH(Table1[[#This Row],[Key_Year_Week_Brand]],Table3[[#All],[Key_Year_Week_Brand]],0),MATCH(Table1[[#This Row],[DC_name_Xref]],Table3[#Headers],0)),0)</f>
        <v>0</v>
      </c>
      <c r="O2275" s="19">
        <f>IFERROR(INDEX(Table35[#All],MATCH(Table1[[#This Row],[Key_Year_Week_Brand]],Table35[[#All],[Key_Year_Month_Brand]],0),MATCH(Table1[[#This Row],[DC_name_Xref]],Table35[#Headers],0)),0)</f>
        <v>0</v>
      </c>
    </row>
    <row r="2276" spans="1:15" x14ac:dyDescent="0.3">
      <c r="A2276" s="19" t="e">
        <f>Table1[[#This Row],[Year_Week]]&amp;"-"&amp;Table1[[#This Row],[DC_name_Xref]]</f>
        <v>#N/A</v>
      </c>
      <c r="B2276" s="19" t="str">
        <f>Table1[[#This Row],[Fiscal_Year]]*100+Table1[[#This Row],[Fiscal_Week]] &amp; "-" &amp;Table1[[#This Row],[BRAND]]</f>
        <v>0-</v>
      </c>
      <c r="C2276" s="19" t="str">
        <f>Table1[[#This Row],[Fiscal_Year]]&amp;"-"&amp;Table1[[#This Row],[BRAND]]</f>
        <v>-</v>
      </c>
      <c r="J2276" t="e">
        <f>VLOOKUP(H2276,DC_Xref!A:B,2,FALSE)</f>
        <v>#N/A</v>
      </c>
      <c r="K2276">
        <f t="shared" si="35"/>
        <v>0</v>
      </c>
      <c r="L22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6" s="3">
        <f>IFERROR(INDEX(Table3[#All],MATCH(Table1[[#This Row],[Key_Year_Week_Brand]],Table3[[#All],[Key_Year_Week_Brand]],0),MATCH(Table1[[#This Row],[DC_name_Xref]],Table3[#Headers],0)),0)</f>
        <v>0</v>
      </c>
      <c r="O2276" s="19">
        <f>IFERROR(INDEX(Table35[#All],MATCH(Table1[[#This Row],[Key_Year_Week_Brand]],Table35[[#All],[Key_Year_Month_Brand]],0),MATCH(Table1[[#This Row],[DC_name_Xref]],Table35[#Headers],0)),0)</f>
        <v>0</v>
      </c>
    </row>
    <row r="2277" spans="1:15" x14ac:dyDescent="0.3">
      <c r="A2277" s="19" t="e">
        <f>Table1[[#This Row],[Year_Week]]&amp;"-"&amp;Table1[[#This Row],[DC_name_Xref]]</f>
        <v>#N/A</v>
      </c>
      <c r="B2277" s="19" t="str">
        <f>Table1[[#This Row],[Fiscal_Year]]*100+Table1[[#This Row],[Fiscal_Week]] &amp; "-" &amp;Table1[[#This Row],[BRAND]]</f>
        <v>0-</v>
      </c>
      <c r="C2277" s="19" t="str">
        <f>Table1[[#This Row],[Fiscal_Year]]&amp;"-"&amp;Table1[[#This Row],[BRAND]]</f>
        <v>-</v>
      </c>
      <c r="J2277" t="e">
        <f>VLOOKUP(H2277,DC_Xref!A:B,2,FALSE)</f>
        <v>#N/A</v>
      </c>
      <c r="K2277">
        <f t="shared" si="35"/>
        <v>0</v>
      </c>
      <c r="L22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7" s="3">
        <f>IFERROR(INDEX(Table3[#All],MATCH(Table1[[#This Row],[Key_Year_Week_Brand]],Table3[[#All],[Key_Year_Week_Brand]],0),MATCH(Table1[[#This Row],[DC_name_Xref]],Table3[#Headers],0)),0)</f>
        <v>0</v>
      </c>
      <c r="O2277" s="19">
        <f>IFERROR(INDEX(Table35[#All],MATCH(Table1[[#This Row],[Key_Year_Week_Brand]],Table35[[#All],[Key_Year_Month_Brand]],0),MATCH(Table1[[#This Row],[DC_name_Xref]],Table35[#Headers],0)),0)</f>
        <v>0</v>
      </c>
    </row>
    <row r="2278" spans="1:15" x14ac:dyDescent="0.3">
      <c r="A2278" s="19" t="e">
        <f>Table1[[#This Row],[Year_Week]]&amp;"-"&amp;Table1[[#This Row],[DC_name_Xref]]</f>
        <v>#N/A</v>
      </c>
      <c r="B2278" s="19" t="str">
        <f>Table1[[#This Row],[Fiscal_Year]]*100+Table1[[#This Row],[Fiscal_Week]] &amp; "-" &amp;Table1[[#This Row],[BRAND]]</f>
        <v>0-</v>
      </c>
      <c r="C2278" s="19" t="str">
        <f>Table1[[#This Row],[Fiscal_Year]]&amp;"-"&amp;Table1[[#This Row],[BRAND]]</f>
        <v>-</v>
      </c>
      <c r="J2278" t="e">
        <f>VLOOKUP(H2278,DC_Xref!A:B,2,FALSE)</f>
        <v>#N/A</v>
      </c>
      <c r="K2278">
        <f t="shared" si="35"/>
        <v>0</v>
      </c>
      <c r="L22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8" s="3">
        <f>IFERROR(INDEX(Table3[#All],MATCH(Table1[[#This Row],[Key_Year_Week_Brand]],Table3[[#All],[Key_Year_Week_Brand]],0),MATCH(Table1[[#This Row],[DC_name_Xref]],Table3[#Headers],0)),0)</f>
        <v>0</v>
      </c>
      <c r="O2278" s="19">
        <f>IFERROR(INDEX(Table35[#All],MATCH(Table1[[#This Row],[Key_Year_Week_Brand]],Table35[[#All],[Key_Year_Month_Brand]],0),MATCH(Table1[[#This Row],[DC_name_Xref]],Table35[#Headers],0)),0)</f>
        <v>0</v>
      </c>
    </row>
    <row r="2279" spans="1:15" x14ac:dyDescent="0.3">
      <c r="A2279" s="19" t="e">
        <f>Table1[[#This Row],[Year_Week]]&amp;"-"&amp;Table1[[#This Row],[DC_name_Xref]]</f>
        <v>#N/A</v>
      </c>
      <c r="B2279" s="19" t="str">
        <f>Table1[[#This Row],[Fiscal_Year]]*100+Table1[[#This Row],[Fiscal_Week]] &amp; "-" &amp;Table1[[#This Row],[BRAND]]</f>
        <v>0-</v>
      </c>
      <c r="C2279" s="19" t="str">
        <f>Table1[[#This Row],[Fiscal_Year]]&amp;"-"&amp;Table1[[#This Row],[BRAND]]</f>
        <v>-</v>
      </c>
      <c r="J2279" t="e">
        <f>VLOOKUP(H2279,DC_Xref!A:B,2,FALSE)</f>
        <v>#N/A</v>
      </c>
      <c r="K2279">
        <f t="shared" si="35"/>
        <v>0</v>
      </c>
      <c r="L22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79" s="3">
        <f>IFERROR(INDEX(Table3[#All],MATCH(Table1[[#This Row],[Key_Year_Week_Brand]],Table3[[#All],[Key_Year_Week_Brand]],0),MATCH(Table1[[#This Row],[DC_name_Xref]],Table3[#Headers],0)),0)</f>
        <v>0</v>
      </c>
      <c r="O2279" s="19">
        <f>IFERROR(INDEX(Table35[#All],MATCH(Table1[[#This Row],[Key_Year_Week_Brand]],Table35[[#All],[Key_Year_Month_Brand]],0),MATCH(Table1[[#This Row],[DC_name_Xref]],Table35[#Headers],0)),0)</f>
        <v>0</v>
      </c>
    </row>
    <row r="2280" spans="1:15" x14ac:dyDescent="0.3">
      <c r="A2280" s="19" t="e">
        <f>Table1[[#This Row],[Year_Week]]&amp;"-"&amp;Table1[[#This Row],[DC_name_Xref]]</f>
        <v>#N/A</v>
      </c>
      <c r="B2280" s="19" t="str">
        <f>Table1[[#This Row],[Fiscal_Year]]*100+Table1[[#This Row],[Fiscal_Week]] &amp; "-" &amp;Table1[[#This Row],[BRAND]]</f>
        <v>0-</v>
      </c>
      <c r="C2280" s="19" t="str">
        <f>Table1[[#This Row],[Fiscal_Year]]&amp;"-"&amp;Table1[[#This Row],[BRAND]]</f>
        <v>-</v>
      </c>
      <c r="J2280" t="e">
        <f>VLOOKUP(H2280,DC_Xref!A:B,2,FALSE)</f>
        <v>#N/A</v>
      </c>
      <c r="K2280">
        <f t="shared" si="35"/>
        <v>0</v>
      </c>
      <c r="L22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0" s="3">
        <f>IFERROR(INDEX(Table3[#All],MATCH(Table1[[#This Row],[Key_Year_Week_Brand]],Table3[[#All],[Key_Year_Week_Brand]],0),MATCH(Table1[[#This Row],[DC_name_Xref]],Table3[#Headers],0)),0)</f>
        <v>0</v>
      </c>
      <c r="O2280" s="19">
        <f>IFERROR(INDEX(Table35[#All],MATCH(Table1[[#This Row],[Key_Year_Week_Brand]],Table35[[#All],[Key_Year_Month_Brand]],0),MATCH(Table1[[#This Row],[DC_name_Xref]],Table35[#Headers],0)),0)</f>
        <v>0</v>
      </c>
    </row>
    <row r="2281" spans="1:15" x14ac:dyDescent="0.3">
      <c r="A2281" s="19" t="e">
        <f>Table1[[#This Row],[Year_Week]]&amp;"-"&amp;Table1[[#This Row],[DC_name_Xref]]</f>
        <v>#N/A</v>
      </c>
      <c r="B2281" s="19" t="str">
        <f>Table1[[#This Row],[Fiscal_Year]]*100+Table1[[#This Row],[Fiscal_Week]] &amp; "-" &amp;Table1[[#This Row],[BRAND]]</f>
        <v>0-</v>
      </c>
      <c r="C2281" s="19" t="str">
        <f>Table1[[#This Row],[Fiscal_Year]]&amp;"-"&amp;Table1[[#This Row],[BRAND]]</f>
        <v>-</v>
      </c>
      <c r="J2281" t="e">
        <f>VLOOKUP(H2281,DC_Xref!A:B,2,FALSE)</f>
        <v>#N/A</v>
      </c>
      <c r="K2281">
        <f t="shared" si="35"/>
        <v>0</v>
      </c>
      <c r="L22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1" s="3">
        <f>IFERROR(INDEX(Table3[#All],MATCH(Table1[[#This Row],[Key_Year_Week_Brand]],Table3[[#All],[Key_Year_Week_Brand]],0),MATCH(Table1[[#This Row],[DC_name_Xref]],Table3[#Headers],0)),0)</f>
        <v>0</v>
      </c>
      <c r="O2281" s="19">
        <f>IFERROR(INDEX(Table35[#All],MATCH(Table1[[#This Row],[Key_Year_Week_Brand]],Table35[[#All],[Key_Year_Month_Brand]],0),MATCH(Table1[[#This Row],[DC_name_Xref]],Table35[#Headers],0)),0)</f>
        <v>0</v>
      </c>
    </row>
    <row r="2282" spans="1:15" x14ac:dyDescent="0.3">
      <c r="A2282" s="19" t="e">
        <f>Table1[[#This Row],[Year_Week]]&amp;"-"&amp;Table1[[#This Row],[DC_name_Xref]]</f>
        <v>#N/A</v>
      </c>
      <c r="B2282" s="19" t="str">
        <f>Table1[[#This Row],[Fiscal_Year]]*100+Table1[[#This Row],[Fiscal_Week]] &amp; "-" &amp;Table1[[#This Row],[BRAND]]</f>
        <v>0-</v>
      </c>
      <c r="C2282" s="19" t="str">
        <f>Table1[[#This Row],[Fiscal_Year]]&amp;"-"&amp;Table1[[#This Row],[BRAND]]</f>
        <v>-</v>
      </c>
      <c r="J2282" t="e">
        <f>VLOOKUP(H2282,DC_Xref!A:B,2,FALSE)</f>
        <v>#N/A</v>
      </c>
      <c r="K2282">
        <f t="shared" si="35"/>
        <v>0</v>
      </c>
      <c r="L22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2" s="3">
        <f>IFERROR(INDEX(Table3[#All],MATCH(Table1[[#This Row],[Key_Year_Week_Brand]],Table3[[#All],[Key_Year_Week_Brand]],0),MATCH(Table1[[#This Row],[DC_name_Xref]],Table3[#Headers],0)),0)</f>
        <v>0</v>
      </c>
      <c r="O2282" s="19">
        <f>IFERROR(INDEX(Table35[#All],MATCH(Table1[[#This Row],[Key_Year_Week_Brand]],Table35[[#All],[Key_Year_Month_Brand]],0),MATCH(Table1[[#This Row],[DC_name_Xref]],Table35[#Headers],0)),0)</f>
        <v>0</v>
      </c>
    </row>
    <row r="2283" spans="1:15" x14ac:dyDescent="0.3">
      <c r="A2283" s="19" t="e">
        <f>Table1[[#This Row],[Year_Week]]&amp;"-"&amp;Table1[[#This Row],[DC_name_Xref]]</f>
        <v>#N/A</v>
      </c>
      <c r="B2283" s="19" t="str">
        <f>Table1[[#This Row],[Fiscal_Year]]*100+Table1[[#This Row],[Fiscal_Week]] &amp; "-" &amp;Table1[[#This Row],[BRAND]]</f>
        <v>0-</v>
      </c>
      <c r="C2283" s="19" t="str">
        <f>Table1[[#This Row],[Fiscal_Year]]&amp;"-"&amp;Table1[[#This Row],[BRAND]]</f>
        <v>-</v>
      </c>
      <c r="J2283" t="e">
        <f>VLOOKUP(H2283,DC_Xref!A:B,2,FALSE)</f>
        <v>#N/A</v>
      </c>
      <c r="K2283">
        <f t="shared" si="35"/>
        <v>0</v>
      </c>
      <c r="L22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3" s="3">
        <f>IFERROR(INDEX(Table3[#All],MATCH(Table1[[#This Row],[Key_Year_Week_Brand]],Table3[[#All],[Key_Year_Week_Brand]],0),MATCH(Table1[[#This Row],[DC_name_Xref]],Table3[#Headers],0)),0)</f>
        <v>0</v>
      </c>
      <c r="O2283" s="19">
        <f>IFERROR(INDEX(Table35[#All],MATCH(Table1[[#This Row],[Key_Year_Week_Brand]],Table35[[#All],[Key_Year_Month_Brand]],0),MATCH(Table1[[#This Row],[DC_name_Xref]],Table35[#Headers],0)),0)</f>
        <v>0</v>
      </c>
    </row>
    <row r="2284" spans="1:15" x14ac:dyDescent="0.3">
      <c r="A2284" s="19" t="e">
        <f>Table1[[#This Row],[Year_Week]]&amp;"-"&amp;Table1[[#This Row],[DC_name_Xref]]</f>
        <v>#N/A</v>
      </c>
      <c r="B2284" s="19" t="str">
        <f>Table1[[#This Row],[Fiscal_Year]]*100+Table1[[#This Row],[Fiscal_Week]] &amp; "-" &amp;Table1[[#This Row],[BRAND]]</f>
        <v>0-</v>
      </c>
      <c r="C2284" s="19" t="str">
        <f>Table1[[#This Row],[Fiscal_Year]]&amp;"-"&amp;Table1[[#This Row],[BRAND]]</f>
        <v>-</v>
      </c>
      <c r="J2284" t="e">
        <f>VLOOKUP(H2284,DC_Xref!A:B,2,FALSE)</f>
        <v>#N/A</v>
      </c>
      <c r="K2284">
        <f t="shared" si="35"/>
        <v>0</v>
      </c>
      <c r="L22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4" s="3">
        <f>IFERROR(INDEX(Table3[#All],MATCH(Table1[[#This Row],[Key_Year_Week_Brand]],Table3[[#All],[Key_Year_Week_Brand]],0),MATCH(Table1[[#This Row],[DC_name_Xref]],Table3[#Headers],0)),0)</f>
        <v>0</v>
      </c>
      <c r="O2284" s="19">
        <f>IFERROR(INDEX(Table35[#All],MATCH(Table1[[#This Row],[Key_Year_Week_Brand]],Table35[[#All],[Key_Year_Month_Brand]],0),MATCH(Table1[[#This Row],[DC_name_Xref]],Table35[#Headers],0)),0)</f>
        <v>0</v>
      </c>
    </row>
    <row r="2285" spans="1:15" x14ac:dyDescent="0.3">
      <c r="A2285" s="19" t="e">
        <f>Table1[[#This Row],[Year_Week]]&amp;"-"&amp;Table1[[#This Row],[DC_name_Xref]]</f>
        <v>#N/A</v>
      </c>
      <c r="B2285" s="19" t="str">
        <f>Table1[[#This Row],[Fiscal_Year]]*100+Table1[[#This Row],[Fiscal_Week]] &amp; "-" &amp;Table1[[#This Row],[BRAND]]</f>
        <v>0-</v>
      </c>
      <c r="C2285" s="19" t="str">
        <f>Table1[[#This Row],[Fiscal_Year]]&amp;"-"&amp;Table1[[#This Row],[BRAND]]</f>
        <v>-</v>
      </c>
      <c r="J2285" t="e">
        <f>VLOOKUP(H2285,DC_Xref!A:B,2,FALSE)</f>
        <v>#N/A</v>
      </c>
      <c r="K2285">
        <f t="shared" si="35"/>
        <v>0</v>
      </c>
      <c r="L22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5" s="3">
        <f>IFERROR(INDEX(Table3[#All],MATCH(Table1[[#This Row],[Key_Year_Week_Brand]],Table3[[#All],[Key_Year_Week_Brand]],0),MATCH(Table1[[#This Row],[DC_name_Xref]],Table3[#Headers],0)),0)</f>
        <v>0</v>
      </c>
      <c r="O2285" s="19">
        <f>IFERROR(INDEX(Table35[#All],MATCH(Table1[[#This Row],[Key_Year_Week_Brand]],Table35[[#All],[Key_Year_Month_Brand]],0),MATCH(Table1[[#This Row],[DC_name_Xref]],Table35[#Headers],0)),0)</f>
        <v>0</v>
      </c>
    </row>
    <row r="2286" spans="1:15" x14ac:dyDescent="0.3">
      <c r="A2286" s="19" t="e">
        <f>Table1[[#This Row],[Year_Week]]&amp;"-"&amp;Table1[[#This Row],[DC_name_Xref]]</f>
        <v>#N/A</v>
      </c>
      <c r="B2286" s="19" t="str">
        <f>Table1[[#This Row],[Fiscal_Year]]*100+Table1[[#This Row],[Fiscal_Week]] &amp; "-" &amp;Table1[[#This Row],[BRAND]]</f>
        <v>0-</v>
      </c>
      <c r="C2286" s="19" t="str">
        <f>Table1[[#This Row],[Fiscal_Year]]&amp;"-"&amp;Table1[[#This Row],[BRAND]]</f>
        <v>-</v>
      </c>
      <c r="J2286" t="e">
        <f>VLOOKUP(H2286,DC_Xref!A:B,2,FALSE)</f>
        <v>#N/A</v>
      </c>
      <c r="K2286">
        <f t="shared" si="35"/>
        <v>0</v>
      </c>
      <c r="L22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6" s="3">
        <f>IFERROR(INDEX(Table3[#All],MATCH(Table1[[#This Row],[Key_Year_Week_Brand]],Table3[[#All],[Key_Year_Week_Brand]],0),MATCH(Table1[[#This Row],[DC_name_Xref]],Table3[#Headers],0)),0)</f>
        <v>0</v>
      </c>
      <c r="O2286" s="19">
        <f>IFERROR(INDEX(Table35[#All],MATCH(Table1[[#This Row],[Key_Year_Week_Brand]],Table35[[#All],[Key_Year_Month_Brand]],0),MATCH(Table1[[#This Row],[DC_name_Xref]],Table35[#Headers],0)),0)</f>
        <v>0</v>
      </c>
    </row>
    <row r="2287" spans="1:15" x14ac:dyDescent="0.3">
      <c r="A2287" s="19" t="e">
        <f>Table1[[#This Row],[Year_Week]]&amp;"-"&amp;Table1[[#This Row],[DC_name_Xref]]</f>
        <v>#N/A</v>
      </c>
      <c r="B2287" s="19" t="str">
        <f>Table1[[#This Row],[Fiscal_Year]]*100+Table1[[#This Row],[Fiscal_Week]] &amp; "-" &amp;Table1[[#This Row],[BRAND]]</f>
        <v>0-</v>
      </c>
      <c r="C2287" s="19" t="str">
        <f>Table1[[#This Row],[Fiscal_Year]]&amp;"-"&amp;Table1[[#This Row],[BRAND]]</f>
        <v>-</v>
      </c>
      <c r="J2287" t="e">
        <f>VLOOKUP(H2287,DC_Xref!A:B,2,FALSE)</f>
        <v>#N/A</v>
      </c>
      <c r="K2287">
        <f t="shared" si="35"/>
        <v>0</v>
      </c>
      <c r="L22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7" s="3">
        <f>IFERROR(INDEX(Table3[#All],MATCH(Table1[[#This Row],[Key_Year_Week_Brand]],Table3[[#All],[Key_Year_Week_Brand]],0),MATCH(Table1[[#This Row],[DC_name_Xref]],Table3[#Headers],0)),0)</f>
        <v>0</v>
      </c>
      <c r="O2287" s="19">
        <f>IFERROR(INDEX(Table35[#All],MATCH(Table1[[#This Row],[Key_Year_Week_Brand]],Table35[[#All],[Key_Year_Month_Brand]],0),MATCH(Table1[[#This Row],[DC_name_Xref]],Table35[#Headers],0)),0)</f>
        <v>0</v>
      </c>
    </row>
    <row r="2288" spans="1:15" x14ac:dyDescent="0.3">
      <c r="A2288" s="19" t="e">
        <f>Table1[[#This Row],[Year_Week]]&amp;"-"&amp;Table1[[#This Row],[DC_name_Xref]]</f>
        <v>#N/A</v>
      </c>
      <c r="B2288" s="19" t="str">
        <f>Table1[[#This Row],[Fiscal_Year]]*100+Table1[[#This Row],[Fiscal_Week]] &amp; "-" &amp;Table1[[#This Row],[BRAND]]</f>
        <v>0-</v>
      </c>
      <c r="C2288" s="19" t="str">
        <f>Table1[[#This Row],[Fiscal_Year]]&amp;"-"&amp;Table1[[#This Row],[BRAND]]</f>
        <v>-</v>
      </c>
      <c r="J2288" t="e">
        <f>VLOOKUP(H2288,DC_Xref!A:B,2,FALSE)</f>
        <v>#N/A</v>
      </c>
      <c r="K2288">
        <f t="shared" si="35"/>
        <v>0</v>
      </c>
      <c r="L22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8" s="3">
        <f>IFERROR(INDEX(Table3[#All],MATCH(Table1[[#This Row],[Key_Year_Week_Brand]],Table3[[#All],[Key_Year_Week_Brand]],0),MATCH(Table1[[#This Row],[DC_name_Xref]],Table3[#Headers],0)),0)</f>
        <v>0</v>
      </c>
      <c r="O2288" s="19">
        <f>IFERROR(INDEX(Table35[#All],MATCH(Table1[[#This Row],[Key_Year_Week_Brand]],Table35[[#All],[Key_Year_Month_Brand]],0),MATCH(Table1[[#This Row],[DC_name_Xref]],Table35[#Headers],0)),0)</f>
        <v>0</v>
      </c>
    </row>
    <row r="2289" spans="1:15" x14ac:dyDescent="0.3">
      <c r="A2289" s="19" t="e">
        <f>Table1[[#This Row],[Year_Week]]&amp;"-"&amp;Table1[[#This Row],[DC_name_Xref]]</f>
        <v>#N/A</v>
      </c>
      <c r="B2289" s="19" t="str">
        <f>Table1[[#This Row],[Fiscal_Year]]*100+Table1[[#This Row],[Fiscal_Week]] &amp; "-" &amp;Table1[[#This Row],[BRAND]]</f>
        <v>0-</v>
      </c>
      <c r="C2289" s="19" t="str">
        <f>Table1[[#This Row],[Fiscal_Year]]&amp;"-"&amp;Table1[[#This Row],[BRAND]]</f>
        <v>-</v>
      </c>
      <c r="J2289" t="e">
        <f>VLOOKUP(H2289,DC_Xref!A:B,2,FALSE)</f>
        <v>#N/A</v>
      </c>
      <c r="K2289">
        <f t="shared" si="35"/>
        <v>0</v>
      </c>
      <c r="L22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89" s="3">
        <f>IFERROR(INDEX(Table3[#All],MATCH(Table1[[#This Row],[Key_Year_Week_Brand]],Table3[[#All],[Key_Year_Week_Brand]],0),MATCH(Table1[[#This Row],[DC_name_Xref]],Table3[#Headers],0)),0)</f>
        <v>0</v>
      </c>
      <c r="O2289" s="19">
        <f>IFERROR(INDEX(Table35[#All],MATCH(Table1[[#This Row],[Key_Year_Week_Brand]],Table35[[#All],[Key_Year_Month_Brand]],0),MATCH(Table1[[#This Row],[DC_name_Xref]],Table35[#Headers],0)),0)</f>
        <v>0</v>
      </c>
    </row>
    <row r="2290" spans="1:15" x14ac:dyDescent="0.3">
      <c r="A2290" s="19" t="e">
        <f>Table1[[#This Row],[Year_Week]]&amp;"-"&amp;Table1[[#This Row],[DC_name_Xref]]</f>
        <v>#N/A</v>
      </c>
      <c r="B2290" s="19" t="str">
        <f>Table1[[#This Row],[Fiscal_Year]]*100+Table1[[#This Row],[Fiscal_Week]] &amp; "-" &amp;Table1[[#This Row],[BRAND]]</f>
        <v>0-</v>
      </c>
      <c r="C2290" s="19" t="str">
        <f>Table1[[#This Row],[Fiscal_Year]]&amp;"-"&amp;Table1[[#This Row],[BRAND]]</f>
        <v>-</v>
      </c>
      <c r="J2290" t="e">
        <f>VLOOKUP(H2290,DC_Xref!A:B,2,FALSE)</f>
        <v>#N/A</v>
      </c>
      <c r="K2290">
        <f t="shared" si="35"/>
        <v>0</v>
      </c>
      <c r="L22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0" s="3">
        <f>IFERROR(INDEX(Table3[#All],MATCH(Table1[[#This Row],[Key_Year_Week_Brand]],Table3[[#All],[Key_Year_Week_Brand]],0),MATCH(Table1[[#This Row],[DC_name_Xref]],Table3[#Headers],0)),0)</f>
        <v>0</v>
      </c>
      <c r="O2290" s="19">
        <f>IFERROR(INDEX(Table35[#All],MATCH(Table1[[#This Row],[Key_Year_Week_Brand]],Table35[[#All],[Key_Year_Month_Brand]],0),MATCH(Table1[[#This Row],[DC_name_Xref]],Table35[#Headers],0)),0)</f>
        <v>0</v>
      </c>
    </row>
    <row r="2291" spans="1:15" x14ac:dyDescent="0.3">
      <c r="A2291" s="19" t="e">
        <f>Table1[[#This Row],[Year_Week]]&amp;"-"&amp;Table1[[#This Row],[DC_name_Xref]]</f>
        <v>#N/A</v>
      </c>
      <c r="B2291" s="19" t="str">
        <f>Table1[[#This Row],[Fiscal_Year]]*100+Table1[[#This Row],[Fiscal_Week]] &amp; "-" &amp;Table1[[#This Row],[BRAND]]</f>
        <v>0-</v>
      </c>
      <c r="C2291" s="19" t="str">
        <f>Table1[[#This Row],[Fiscal_Year]]&amp;"-"&amp;Table1[[#This Row],[BRAND]]</f>
        <v>-</v>
      </c>
      <c r="J2291" t="e">
        <f>VLOOKUP(H2291,DC_Xref!A:B,2,FALSE)</f>
        <v>#N/A</v>
      </c>
      <c r="K2291">
        <f t="shared" si="35"/>
        <v>0</v>
      </c>
      <c r="L22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1" s="3">
        <f>IFERROR(INDEX(Table3[#All],MATCH(Table1[[#This Row],[Key_Year_Week_Brand]],Table3[[#All],[Key_Year_Week_Brand]],0),MATCH(Table1[[#This Row],[DC_name_Xref]],Table3[#Headers],0)),0)</f>
        <v>0</v>
      </c>
      <c r="O2291" s="19">
        <f>IFERROR(INDEX(Table35[#All],MATCH(Table1[[#This Row],[Key_Year_Week_Brand]],Table35[[#All],[Key_Year_Month_Brand]],0),MATCH(Table1[[#This Row],[DC_name_Xref]],Table35[#Headers],0)),0)</f>
        <v>0</v>
      </c>
    </row>
    <row r="2292" spans="1:15" x14ac:dyDescent="0.3">
      <c r="A2292" s="19" t="e">
        <f>Table1[[#This Row],[Year_Week]]&amp;"-"&amp;Table1[[#This Row],[DC_name_Xref]]</f>
        <v>#N/A</v>
      </c>
      <c r="B2292" s="19" t="str">
        <f>Table1[[#This Row],[Fiscal_Year]]*100+Table1[[#This Row],[Fiscal_Week]] &amp; "-" &amp;Table1[[#This Row],[BRAND]]</f>
        <v>0-</v>
      </c>
      <c r="C2292" s="19" t="str">
        <f>Table1[[#This Row],[Fiscal_Year]]&amp;"-"&amp;Table1[[#This Row],[BRAND]]</f>
        <v>-</v>
      </c>
      <c r="J2292" t="e">
        <f>VLOOKUP(H2292,DC_Xref!A:B,2,FALSE)</f>
        <v>#N/A</v>
      </c>
      <c r="K2292">
        <f t="shared" si="35"/>
        <v>0</v>
      </c>
      <c r="L22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2" s="3">
        <f>IFERROR(INDEX(Table3[#All],MATCH(Table1[[#This Row],[Key_Year_Week_Brand]],Table3[[#All],[Key_Year_Week_Brand]],0),MATCH(Table1[[#This Row],[DC_name_Xref]],Table3[#Headers],0)),0)</f>
        <v>0</v>
      </c>
      <c r="O2292" s="19">
        <f>IFERROR(INDEX(Table35[#All],MATCH(Table1[[#This Row],[Key_Year_Week_Brand]],Table35[[#All],[Key_Year_Month_Brand]],0),MATCH(Table1[[#This Row],[DC_name_Xref]],Table35[#Headers],0)),0)</f>
        <v>0</v>
      </c>
    </row>
    <row r="2293" spans="1:15" x14ac:dyDescent="0.3">
      <c r="A2293" s="19" t="e">
        <f>Table1[[#This Row],[Year_Week]]&amp;"-"&amp;Table1[[#This Row],[DC_name_Xref]]</f>
        <v>#N/A</v>
      </c>
      <c r="B2293" s="19" t="str">
        <f>Table1[[#This Row],[Fiscal_Year]]*100+Table1[[#This Row],[Fiscal_Week]] &amp; "-" &amp;Table1[[#This Row],[BRAND]]</f>
        <v>0-</v>
      </c>
      <c r="C2293" s="19" t="str">
        <f>Table1[[#This Row],[Fiscal_Year]]&amp;"-"&amp;Table1[[#This Row],[BRAND]]</f>
        <v>-</v>
      </c>
      <c r="J2293" t="e">
        <f>VLOOKUP(H2293,DC_Xref!A:B,2,FALSE)</f>
        <v>#N/A</v>
      </c>
      <c r="K2293">
        <f t="shared" si="35"/>
        <v>0</v>
      </c>
      <c r="L22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3" s="3">
        <f>IFERROR(INDEX(Table3[#All],MATCH(Table1[[#This Row],[Key_Year_Week_Brand]],Table3[[#All],[Key_Year_Week_Brand]],0),MATCH(Table1[[#This Row],[DC_name_Xref]],Table3[#Headers],0)),0)</f>
        <v>0</v>
      </c>
      <c r="O2293" s="19">
        <f>IFERROR(INDEX(Table35[#All],MATCH(Table1[[#This Row],[Key_Year_Week_Brand]],Table35[[#All],[Key_Year_Month_Brand]],0),MATCH(Table1[[#This Row],[DC_name_Xref]],Table35[#Headers],0)),0)</f>
        <v>0</v>
      </c>
    </row>
    <row r="2294" spans="1:15" x14ac:dyDescent="0.3">
      <c r="A2294" s="19" t="e">
        <f>Table1[[#This Row],[Year_Week]]&amp;"-"&amp;Table1[[#This Row],[DC_name_Xref]]</f>
        <v>#N/A</v>
      </c>
      <c r="B2294" s="19" t="str">
        <f>Table1[[#This Row],[Fiscal_Year]]*100+Table1[[#This Row],[Fiscal_Week]] &amp; "-" &amp;Table1[[#This Row],[BRAND]]</f>
        <v>0-</v>
      </c>
      <c r="C2294" s="19" t="str">
        <f>Table1[[#This Row],[Fiscal_Year]]&amp;"-"&amp;Table1[[#This Row],[BRAND]]</f>
        <v>-</v>
      </c>
      <c r="J2294" t="e">
        <f>VLOOKUP(H2294,DC_Xref!A:B,2,FALSE)</f>
        <v>#N/A</v>
      </c>
      <c r="K2294">
        <f t="shared" si="35"/>
        <v>0</v>
      </c>
      <c r="L22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4" s="3">
        <f>IFERROR(INDEX(Table3[#All],MATCH(Table1[[#This Row],[Key_Year_Week_Brand]],Table3[[#All],[Key_Year_Week_Brand]],0),MATCH(Table1[[#This Row],[DC_name_Xref]],Table3[#Headers],0)),0)</f>
        <v>0</v>
      </c>
      <c r="O2294" s="19">
        <f>IFERROR(INDEX(Table35[#All],MATCH(Table1[[#This Row],[Key_Year_Week_Brand]],Table35[[#All],[Key_Year_Month_Brand]],0),MATCH(Table1[[#This Row],[DC_name_Xref]],Table35[#Headers],0)),0)</f>
        <v>0</v>
      </c>
    </row>
    <row r="2295" spans="1:15" x14ac:dyDescent="0.3">
      <c r="A2295" s="19" t="e">
        <f>Table1[[#This Row],[Year_Week]]&amp;"-"&amp;Table1[[#This Row],[DC_name_Xref]]</f>
        <v>#N/A</v>
      </c>
      <c r="B2295" s="19" t="str">
        <f>Table1[[#This Row],[Fiscal_Year]]*100+Table1[[#This Row],[Fiscal_Week]] &amp; "-" &amp;Table1[[#This Row],[BRAND]]</f>
        <v>0-</v>
      </c>
      <c r="C2295" s="19" t="str">
        <f>Table1[[#This Row],[Fiscal_Year]]&amp;"-"&amp;Table1[[#This Row],[BRAND]]</f>
        <v>-</v>
      </c>
      <c r="J2295" t="e">
        <f>VLOOKUP(H2295,DC_Xref!A:B,2,FALSE)</f>
        <v>#N/A</v>
      </c>
      <c r="K2295">
        <f t="shared" si="35"/>
        <v>0</v>
      </c>
      <c r="L22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5" s="3">
        <f>IFERROR(INDEX(Table3[#All],MATCH(Table1[[#This Row],[Key_Year_Week_Brand]],Table3[[#All],[Key_Year_Week_Brand]],0),MATCH(Table1[[#This Row],[DC_name_Xref]],Table3[#Headers],0)),0)</f>
        <v>0</v>
      </c>
      <c r="O2295" s="19">
        <f>IFERROR(INDEX(Table35[#All],MATCH(Table1[[#This Row],[Key_Year_Week_Brand]],Table35[[#All],[Key_Year_Month_Brand]],0),MATCH(Table1[[#This Row],[DC_name_Xref]],Table35[#Headers],0)),0)</f>
        <v>0</v>
      </c>
    </row>
    <row r="2296" spans="1:15" x14ac:dyDescent="0.3">
      <c r="A2296" s="19" t="e">
        <f>Table1[[#This Row],[Year_Week]]&amp;"-"&amp;Table1[[#This Row],[DC_name_Xref]]</f>
        <v>#N/A</v>
      </c>
      <c r="B2296" s="19" t="str">
        <f>Table1[[#This Row],[Fiscal_Year]]*100+Table1[[#This Row],[Fiscal_Week]] &amp; "-" &amp;Table1[[#This Row],[BRAND]]</f>
        <v>0-</v>
      </c>
      <c r="C2296" s="19" t="str">
        <f>Table1[[#This Row],[Fiscal_Year]]&amp;"-"&amp;Table1[[#This Row],[BRAND]]</f>
        <v>-</v>
      </c>
      <c r="J2296" t="e">
        <f>VLOOKUP(H2296,DC_Xref!A:B,2,FALSE)</f>
        <v>#N/A</v>
      </c>
      <c r="K2296">
        <f t="shared" si="35"/>
        <v>0</v>
      </c>
      <c r="L22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6" s="3">
        <f>IFERROR(INDEX(Table3[#All],MATCH(Table1[[#This Row],[Key_Year_Week_Brand]],Table3[[#All],[Key_Year_Week_Brand]],0),MATCH(Table1[[#This Row],[DC_name_Xref]],Table3[#Headers],0)),0)</f>
        <v>0</v>
      </c>
      <c r="O2296" s="19">
        <f>IFERROR(INDEX(Table35[#All],MATCH(Table1[[#This Row],[Key_Year_Week_Brand]],Table35[[#All],[Key_Year_Month_Brand]],0),MATCH(Table1[[#This Row],[DC_name_Xref]],Table35[#Headers],0)),0)</f>
        <v>0</v>
      </c>
    </row>
    <row r="2297" spans="1:15" x14ac:dyDescent="0.3">
      <c r="A2297" s="19" t="e">
        <f>Table1[[#This Row],[Year_Week]]&amp;"-"&amp;Table1[[#This Row],[DC_name_Xref]]</f>
        <v>#N/A</v>
      </c>
      <c r="B2297" s="19" t="str">
        <f>Table1[[#This Row],[Fiscal_Year]]*100+Table1[[#This Row],[Fiscal_Week]] &amp; "-" &amp;Table1[[#This Row],[BRAND]]</f>
        <v>0-</v>
      </c>
      <c r="C2297" s="19" t="str">
        <f>Table1[[#This Row],[Fiscal_Year]]&amp;"-"&amp;Table1[[#This Row],[BRAND]]</f>
        <v>-</v>
      </c>
      <c r="J2297" t="e">
        <f>VLOOKUP(H2297,DC_Xref!A:B,2,FALSE)</f>
        <v>#N/A</v>
      </c>
      <c r="K2297">
        <f t="shared" si="35"/>
        <v>0</v>
      </c>
      <c r="L22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7" s="3">
        <f>IFERROR(INDEX(Table3[#All],MATCH(Table1[[#This Row],[Key_Year_Week_Brand]],Table3[[#All],[Key_Year_Week_Brand]],0),MATCH(Table1[[#This Row],[DC_name_Xref]],Table3[#Headers],0)),0)</f>
        <v>0</v>
      </c>
      <c r="O2297" s="19">
        <f>IFERROR(INDEX(Table35[#All],MATCH(Table1[[#This Row],[Key_Year_Week_Brand]],Table35[[#All],[Key_Year_Month_Brand]],0),MATCH(Table1[[#This Row],[DC_name_Xref]],Table35[#Headers],0)),0)</f>
        <v>0</v>
      </c>
    </row>
    <row r="2298" spans="1:15" x14ac:dyDescent="0.3">
      <c r="A2298" s="19" t="e">
        <f>Table1[[#This Row],[Year_Week]]&amp;"-"&amp;Table1[[#This Row],[DC_name_Xref]]</f>
        <v>#N/A</v>
      </c>
      <c r="B2298" s="19" t="str">
        <f>Table1[[#This Row],[Fiscal_Year]]*100+Table1[[#This Row],[Fiscal_Week]] &amp; "-" &amp;Table1[[#This Row],[BRAND]]</f>
        <v>0-</v>
      </c>
      <c r="C2298" s="19" t="str">
        <f>Table1[[#This Row],[Fiscal_Year]]&amp;"-"&amp;Table1[[#This Row],[BRAND]]</f>
        <v>-</v>
      </c>
      <c r="J2298" t="e">
        <f>VLOOKUP(H2298,DC_Xref!A:B,2,FALSE)</f>
        <v>#N/A</v>
      </c>
      <c r="K2298">
        <f t="shared" si="35"/>
        <v>0</v>
      </c>
      <c r="L22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8" s="3">
        <f>IFERROR(INDEX(Table3[#All],MATCH(Table1[[#This Row],[Key_Year_Week_Brand]],Table3[[#All],[Key_Year_Week_Brand]],0),MATCH(Table1[[#This Row],[DC_name_Xref]],Table3[#Headers],0)),0)</f>
        <v>0</v>
      </c>
      <c r="O2298" s="19">
        <f>IFERROR(INDEX(Table35[#All],MATCH(Table1[[#This Row],[Key_Year_Week_Brand]],Table35[[#All],[Key_Year_Month_Brand]],0),MATCH(Table1[[#This Row],[DC_name_Xref]],Table35[#Headers],0)),0)</f>
        <v>0</v>
      </c>
    </row>
    <row r="2299" spans="1:15" x14ac:dyDescent="0.3">
      <c r="A2299" s="19" t="e">
        <f>Table1[[#This Row],[Year_Week]]&amp;"-"&amp;Table1[[#This Row],[DC_name_Xref]]</f>
        <v>#N/A</v>
      </c>
      <c r="B2299" s="19" t="str">
        <f>Table1[[#This Row],[Fiscal_Year]]*100+Table1[[#This Row],[Fiscal_Week]] &amp; "-" &amp;Table1[[#This Row],[BRAND]]</f>
        <v>0-</v>
      </c>
      <c r="C2299" s="19" t="str">
        <f>Table1[[#This Row],[Fiscal_Year]]&amp;"-"&amp;Table1[[#This Row],[BRAND]]</f>
        <v>-</v>
      </c>
      <c r="J2299" t="e">
        <f>VLOOKUP(H2299,DC_Xref!A:B,2,FALSE)</f>
        <v>#N/A</v>
      </c>
      <c r="K2299">
        <f t="shared" si="35"/>
        <v>0</v>
      </c>
      <c r="L22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2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299" s="3">
        <f>IFERROR(INDEX(Table3[#All],MATCH(Table1[[#This Row],[Key_Year_Week_Brand]],Table3[[#All],[Key_Year_Week_Brand]],0),MATCH(Table1[[#This Row],[DC_name_Xref]],Table3[#Headers],0)),0)</f>
        <v>0</v>
      </c>
      <c r="O2299" s="19">
        <f>IFERROR(INDEX(Table35[#All],MATCH(Table1[[#This Row],[Key_Year_Week_Brand]],Table35[[#All],[Key_Year_Month_Brand]],0),MATCH(Table1[[#This Row],[DC_name_Xref]],Table35[#Headers],0)),0)</f>
        <v>0</v>
      </c>
    </row>
    <row r="2300" spans="1:15" x14ac:dyDescent="0.3">
      <c r="A2300" s="19" t="e">
        <f>Table1[[#This Row],[Year_Week]]&amp;"-"&amp;Table1[[#This Row],[DC_name_Xref]]</f>
        <v>#N/A</v>
      </c>
      <c r="B2300" s="19" t="str">
        <f>Table1[[#This Row],[Fiscal_Year]]*100+Table1[[#This Row],[Fiscal_Week]] &amp; "-" &amp;Table1[[#This Row],[BRAND]]</f>
        <v>0-</v>
      </c>
      <c r="C2300" s="19" t="str">
        <f>Table1[[#This Row],[Fiscal_Year]]&amp;"-"&amp;Table1[[#This Row],[BRAND]]</f>
        <v>-</v>
      </c>
      <c r="J2300" t="e">
        <f>VLOOKUP(H2300,DC_Xref!A:B,2,FALSE)</f>
        <v>#N/A</v>
      </c>
      <c r="K2300">
        <f t="shared" si="35"/>
        <v>0</v>
      </c>
      <c r="L23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0" s="3">
        <f>IFERROR(INDEX(Table3[#All],MATCH(Table1[[#This Row],[Key_Year_Week_Brand]],Table3[[#All],[Key_Year_Week_Brand]],0),MATCH(Table1[[#This Row],[DC_name_Xref]],Table3[#Headers],0)),0)</f>
        <v>0</v>
      </c>
      <c r="O2300" s="19">
        <f>IFERROR(INDEX(Table35[#All],MATCH(Table1[[#This Row],[Key_Year_Week_Brand]],Table35[[#All],[Key_Year_Month_Brand]],0),MATCH(Table1[[#This Row],[DC_name_Xref]],Table35[#Headers],0)),0)</f>
        <v>0</v>
      </c>
    </row>
    <row r="2301" spans="1:15" x14ac:dyDescent="0.3">
      <c r="A2301" s="19" t="e">
        <f>Table1[[#This Row],[Year_Week]]&amp;"-"&amp;Table1[[#This Row],[DC_name_Xref]]</f>
        <v>#N/A</v>
      </c>
      <c r="B2301" s="19" t="str">
        <f>Table1[[#This Row],[Fiscal_Year]]*100+Table1[[#This Row],[Fiscal_Week]] &amp; "-" &amp;Table1[[#This Row],[BRAND]]</f>
        <v>0-</v>
      </c>
      <c r="C2301" s="19" t="str">
        <f>Table1[[#This Row],[Fiscal_Year]]&amp;"-"&amp;Table1[[#This Row],[BRAND]]</f>
        <v>-</v>
      </c>
      <c r="J2301" t="e">
        <f>VLOOKUP(H2301,DC_Xref!A:B,2,FALSE)</f>
        <v>#N/A</v>
      </c>
      <c r="K2301">
        <f t="shared" si="35"/>
        <v>0</v>
      </c>
      <c r="L23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1" s="3">
        <f>IFERROR(INDEX(Table3[#All],MATCH(Table1[[#This Row],[Key_Year_Week_Brand]],Table3[[#All],[Key_Year_Week_Brand]],0),MATCH(Table1[[#This Row],[DC_name_Xref]],Table3[#Headers],0)),0)</f>
        <v>0</v>
      </c>
      <c r="O2301" s="19">
        <f>IFERROR(INDEX(Table35[#All],MATCH(Table1[[#This Row],[Key_Year_Week_Brand]],Table35[[#All],[Key_Year_Month_Brand]],0),MATCH(Table1[[#This Row],[DC_name_Xref]],Table35[#Headers],0)),0)</f>
        <v>0</v>
      </c>
    </row>
    <row r="2302" spans="1:15" x14ac:dyDescent="0.3">
      <c r="A2302" s="19" t="e">
        <f>Table1[[#This Row],[Year_Week]]&amp;"-"&amp;Table1[[#This Row],[DC_name_Xref]]</f>
        <v>#N/A</v>
      </c>
      <c r="B2302" s="19" t="str">
        <f>Table1[[#This Row],[Fiscal_Year]]*100+Table1[[#This Row],[Fiscal_Week]] &amp; "-" &amp;Table1[[#This Row],[BRAND]]</f>
        <v>0-</v>
      </c>
      <c r="C2302" s="19" t="str">
        <f>Table1[[#This Row],[Fiscal_Year]]&amp;"-"&amp;Table1[[#This Row],[BRAND]]</f>
        <v>-</v>
      </c>
      <c r="J2302" t="e">
        <f>VLOOKUP(H2302,DC_Xref!A:B,2,FALSE)</f>
        <v>#N/A</v>
      </c>
      <c r="K2302">
        <f t="shared" si="35"/>
        <v>0</v>
      </c>
      <c r="L23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2" s="3">
        <f>IFERROR(INDEX(Table3[#All],MATCH(Table1[[#This Row],[Key_Year_Week_Brand]],Table3[[#All],[Key_Year_Week_Brand]],0),MATCH(Table1[[#This Row],[DC_name_Xref]],Table3[#Headers],0)),0)</f>
        <v>0</v>
      </c>
      <c r="O2302" s="19">
        <f>IFERROR(INDEX(Table35[#All],MATCH(Table1[[#This Row],[Key_Year_Week_Brand]],Table35[[#All],[Key_Year_Month_Brand]],0),MATCH(Table1[[#This Row],[DC_name_Xref]],Table35[#Headers],0)),0)</f>
        <v>0</v>
      </c>
    </row>
    <row r="2303" spans="1:15" x14ac:dyDescent="0.3">
      <c r="A2303" s="19" t="e">
        <f>Table1[[#This Row],[Year_Week]]&amp;"-"&amp;Table1[[#This Row],[DC_name_Xref]]</f>
        <v>#N/A</v>
      </c>
      <c r="B2303" s="19" t="str">
        <f>Table1[[#This Row],[Fiscal_Year]]*100+Table1[[#This Row],[Fiscal_Week]] &amp; "-" &amp;Table1[[#This Row],[BRAND]]</f>
        <v>0-</v>
      </c>
      <c r="C2303" s="19" t="str">
        <f>Table1[[#This Row],[Fiscal_Year]]&amp;"-"&amp;Table1[[#This Row],[BRAND]]</f>
        <v>-</v>
      </c>
      <c r="J2303" t="e">
        <f>VLOOKUP(H2303,DC_Xref!A:B,2,FALSE)</f>
        <v>#N/A</v>
      </c>
      <c r="K2303">
        <f t="shared" si="35"/>
        <v>0</v>
      </c>
      <c r="L23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3" s="3">
        <f>IFERROR(INDEX(Table3[#All],MATCH(Table1[[#This Row],[Key_Year_Week_Brand]],Table3[[#All],[Key_Year_Week_Brand]],0),MATCH(Table1[[#This Row],[DC_name_Xref]],Table3[#Headers],0)),0)</f>
        <v>0</v>
      </c>
      <c r="O2303" s="19">
        <f>IFERROR(INDEX(Table35[#All],MATCH(Table1[[#This Row],[Key_Year_Week_Brand]],Table35[[#All],[Key_Year_Month_Brand]],0),MATCH(Table1[[#This Row],[DC_name_Xref]],Table35[#Headers],0)),0)</f>
        <v>0</v>
      </c>
    </row>
    <row r="2304" spans="1:15" x14ac:dyDescent="0.3">
      <c r="A2304" s="19" t="e">
        <f>Table1[[#This Row],[Year_Week]]&amp;"-"&amp;Table1[[#This Row],[DC_name_Xref]]</f>
        <v>#N/A</v>
      </c>
      <c r="B2304" s="19" t="str">
        <f>Table1[[#This Row],[Fiscal_Year]]*100+Table1[[#This Row],[Fiscal_Week]] &amp; "-" &amp;Table1[[#This Row],[BRAND]]</f>
        <v>0-</v>
      </c>
      <c r="C2304" s="19" t="str">
        <f>Table1[[#This Row],[Fiscal_Year]]&amp;"-"&amp;Table1[[#This Row],[BRAND]]</f>
        <v>-</v>
      </c>
      <c r="J2304" t="e">
        <f>VLOOKUP(H2304,DC_Xref!A:B,2,FALSE)</f>
        <v>#N/A</v>
      </c>
      <c r="K2304">
        <f t="shared" si="35"/>
        <v>0</v>
      </c>
      <c r="L23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4" s="3">
        <f>IFERROR(INDEX(Table3[#All],MATCH(Table1[[#This Row],[Key_Year_Week_Brand]],Table3[[#All],[Key_Year_Week_Brand]],0),MATCH(Table1[[#This Row],[DC_name_Xref]],Table3[#Headers],0)),0)</f>
        <v>0</v>
      </c>
      <c r="O2304" s="19">
        <f>IFERROR(INDEX(Table35[#All],MATCH(Table1[[#This Row],[Key_Year_Week_Brand]],Table35[[#All],[Key_Year_Month_Brand]],0),MATCH(Table1[[#This Row],[DC_name_Xref]],Table35[#Headers],0)),0)</f>
        <v>0</v>
      </c>
    </row>
    <row r="2305" spans="1:15" x14ac:dyDescent="0.3">
      <c r="A2305" s="19" t="e">
        <f>Table1[[#This Row],[Year_Week]]&amp;"-"&amp;Table1[[#This Row],[DC_name_Xref]]</f>
        <v>#N/A</v>
      </c>
      <c r="B2305" s="19" t="str">
        <f>Table1[[#This Row],[Fiscal_Year]]*100+Table1[[#This Row],[Fiscal_Week]] &amp; "-" &amp;Table1[[#This Row],[BRAND]]</f>
        <v>0-</v>
      </c>
      <c r="C2305" s="19" t="str">
        <f>Table1[[#This Row],[Fiscal_Year]]&amp;"-"&amp;Table1[[#This Row],[BRAND]]</f>
        <v>-</v>
      </c>
      <c r="J2305" t="e">
        <f>VLOOKUP(H2305,DC_Xref!A:B,2,FALSE)</f>
        <v>#N/A</v>
      </c>
      <c r="K2305">
        <f t="shared" si="35"/>
        <v>0</v>
      </c>
      <c r="L23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5" s="3">
        <f>IFERROR(INDEX(Table3[#All],MATCH(Table1[[#This Row],[Key_Year_Week_Brand]],Table3[[#All],[Key_Year_Week_Brand]],0),MATCH(Table1[[#This Row],[DC_name_Xref]],Table3[#Headers],0)),0)</f>
        <v>0</v>
      </c>
      <c r="O2305" s="19">
        <f>IFERROR(INDEX(Table35[#All],MATCH(Table1[[#This Row],[Key_Year_Week_Brand]],Table35[[#All],[Key_Year_Month_Brand]],0),MATCH(Table1[[#This Row],[DC_name_Xref]],Table35[#Headers],0)),0)</f>
        <v>0</v>
      </c>
    </row>
    <row r="2306" spans="1:15" x14ac:dyDescent="0.3">
      <c r="A2306" s="19" t="e">
        <f>Table1[[#This Row],[Year_Week]]&amp;"-"&amp;Table1[[#This Row],[DC_name_Xref]]</f>
        <v>#N/A</v>
      </c>
      <c r="B2306" s="19" t="str">
        <f>Table1[[#This Row],[Fiscal_Year]]*100+Table1[[#This Row],[Fiscal_Week]] &amp; "-" &amp;Table1[[#This Row],[BRAND]]</f>
        <v>0-</v>
      </c>
      <c r="C2306" s="19" t="str">
        <f>Table1[[#This Row],[Fiscal_Year]]&amp;"-"&amp;Table1[[#This Row],[BRAND]]</f>
        <v>-</v>
      </c>
      <c r="J2306" t="e">
        <f>VLOOKUP(H2306,DC_Xref!A:B,2,FALSE)</f>
        <v>#N/A</v>
      </c>
      <c r="K2306">
        <f t="shared" si="35"/>
        <v>0</v>
      </c>
      <c r="L23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6" s="3">
        <f>IFERROR(INDEX(Table3[#All],MATCH(Table1[[#This Row],[Key_Year_Week_Brand]],Table3[[#All],[Key_Year_Week_Brand]],0),MATCH(Table1[[#This Row],[DC_name_Xref]],Table3[#Headers],0)),0)</f>
        <v>0</v>
      </c>
      <c r="O2306" s="19">
        <f>IFERROR(INDEX(Table35[#All],MATCH(Table1[[#This Row],[Key_Year_Week_Brand]],Table35[[#All],[Key_Year_Month_Brand]],0),MATCH(Table1[[#This Row],[DC_name_Xref]],Table35[#Headers],0)),0)</f>
        <v>0</v>
      </c>
    </row>
    <row r="2307" spans="1:15" x14ac:dyDescent="0.3">
      <c r="A2307" s="19" t="e">
        <f>Table1[[#This Row],[Year_Week]]&amp;"-"&amp;Table1[[#This Row],[DC_name_Xref]]</f>
        <v>#N/A</v>
      </c>
      <c r="B2307" s="19" t="str">
        <f>Table1[[#This Row],[Fiscal_Year]]*100+Table1[[#This Row],[Fiscal_Week]] &amp; "-" &amp;Table1[[#This Row],[BRAND]]</f>
        <v>0-</v>
      </c>
      <c r="C2307" s="19" t="str">
        <f>Table1[[#This Row],[Fiscal_Year]]&amp;"-"&amp;Table1[[#This Row],[BRAND]]</f>
        <v>-</v>
      </c>
      <c r="J2307" t="e">
        <f>VLOOKUP(H2307,DC_Xref!A:B,2,FALSE)</f>
        <v>#N/A</v>
      </c>
      <c r="K2307">
        <f t="shared" si="35"/>
        <v>0</v>
      </c>
      <c r="L23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7" s="3">
        <f>IFERROR(INDEX(Table3[#All],MATCH(Table1[[#This Row],[Key_Year_Week_Brand]],Table3[[#All],[Key_Year_Week_Brand]],0),MATCH(Table1[[#This Row],[DC_name_Xref]],Table3[#Headers],0)),0)</f>
        <v>0</v>
      </c>
      <c r="O2307" s="19">
        <f>IFERROR(INDEX(Table35[#All],MATCH(Table1[[#This Row],[Key_Year_Week_Brand]],Table35[[#All],[Key_Year_Month_Brand]],0),MATCH(Table1[[#This Row],[DC_name_Xref]],Table35[#Headers],0)),0)</f>
        <v>0</v>
      </c>
    </row>
    <row r="2308" spans="1:15" x14ac:dyDescent="0.3">
      <c r="A2308" s="19" t="e">
        <f>Table1[[#This Row],[Year_Week]]&amp;"-"&amp;Table1[[#This Row],[DC_name_Xref]]</f>
        <v>#N/A</v>
      </c>
      <c r="B2308" s="19" t="str">
        <f>Table1[[#This Row],[Fiscal_Year]]*100+Table1[[#This Row],[Fiscal_Week]] &amp; "-" &amp;Table1[[#This Row],[BRAND]]</f>
        <v>0-</v>
      </c>
      <c r="C2308" s="19" t="str">
        <f>Table1[[#This Row],[Fiscal_Year]]&amp;"-"&amp;Table1[[#This Row],[BRAND]]</f>
        <v>-</v>
      </c>
      <c r="J2308" t="e">
        <f>VLOOKUP(H2308,DC_Xref!A:B,2,FALSE)</f>
        <v>#N/A</v>
      </c>
      <c r="K2308">
        <f t="shared" si="35"/>
        <v>0</v>
      </c>
      <c r="L23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8" s="3">
        <f>IFERROR(INDEX(Table3[#All],MATCH(Table1[[#This Row],[Key_Year_Week_Brand]],Table3[[#All],[Key_Year_Week_Brand]],0),MATCH(Table1[[#This Row],[DC_name_Xref]],Table3[#Headers],0)),0)</f>
        <v>0</v>
      </c>
      <c r="O2308" s="19">
        <f>IFERROR(INDEX(Table35[#All],MATCH(Table1[[#This Row],[Key_Year_Week_Brand]],Table35[[#All],[Key_Year_Month_Brand]],0),MATCH(Table1[[#This Row],[DC_name_Xref]],Table35[#Headers],0)),0)</f>
        <v>0</v>
      </c>
    </row>
    <row r="2309" spans="1:15" x14ac:dyDescent="0.3">
      <c r="A2309" s="19" t="e">
        <f>Table1[[#This Row],[Year_Week]]&amp;"-"&amp;Table1[[#This Row],[DC_name_Xref]]</f>
        <v>#N/A</v>
      </c>
      <c r="B2309" s="19" t="str">
        <f>Table1[[#This Row],[Fiscal_Year]]*100+Table1[[#This Row],[Fiscal_Week]] &amp; "-" &amp;Table1[[#This Row],[BRAND]]</f>
        <v>0-</v>
      </c>
      <c r="C2309" s="19" t="str">
        <f>Table1[[#This Row],[Fiscal_Year]]&amp;"-"&amp;Table1[[#This Row],[BRAND]]</f>
        <v>-</v>
      </c>
      <c r="J2309" t="e">
        <f>VLOOKUP(H2309,DC_Xref!A:B,2,FALSE)</f>
        <v>#N/A</v>
      </c>
      <c r="K2309">
        <f t="shared" si="35"/>
        <v>0</v>
      </c>
      <c r="L23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09" s="3">
        <f>IFERROR(INDEX(Table3[#All],MATCH(Table1[[#This Row],[Key_Year_Week_Brand]],Table3[[#All],[Key_Year_Week_Brand]],0),MATCH(Table1[[#This Row],[DC_name_Xref]],Table3[#Headers],0)),0)</f>
        <v>0</v>
      </c>
      <c r="O2309" s="19">
        <f>IFERROR(INDEX(Table35[#All],MATCH(Table1[[#This Row],[Key_Year_Week_Brand]],Table35[[#All],[Key_Year_Month_Brand]],0),MATCH(Table1[[#This Row],[DC_name_Xref]],Table35[#Headers],0)),0)</f>
        <v>0</v>
      </c>
    </row>
    <row r="2310" spans="1:15" x14ac:dyDescent="0.3">
      <c r="A2310" s="19" t="e">
        <f>Table1[[#This Row],[Year_Week]]&amp;"-"&amp;Table1[[#This Row],[DC_name_Xref]]</f>
        <v>#N/A</v>
      </c>
      <c r="B2310" s="19" t="str">
        <f>Table1[[#This Row],[Fiscal_Year]]*100+Table1[[#This Row],[Fiscal_Week]] &amp; "-" &amp;Table1[[#This Row],[BRAND]]</f>
        <v>0-</v>
      </c>
      <c r="C2310" s="19" t="str">
        <f>Table1[[#This Row],[Fiscal_Year]]&amp;"-"&amp;Table1[[#This Row],[BRAND]]</f>
        <v>-</v>
      </c>
      <c r="J2310" t="e">
        <f>VLOOKUP(H2310,DC_Xref!A:B,2,FALSE)</f>
        <v>#N/A</v>
      </c>
      <c r="K2310">
        <f t="shared" ref="K2310:K2373" si="36">D2310*100+E2310</f>
        <v>0</v>
      </c>
      <c r="L23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0" s="3">
        <f>IFERROR(INDEX(Table3[#All],MATCH(Table1[[#This Row],[Key_Year_Week_Brand]],Table3[[#All],[Key_Year_Week_Brand]],0),MATCH(Table1[[#This Row],[DC_name_Xref]],Table3[#Headers],0)),0)</f>
        <v>0</v>
      </c>
      <c r="O2310" s="19">
        <f>IFERROR(INDEX(Table35[#All],MATCH(Table1[[#This Row],[Key_Year_Week_Brand]],Table35[[#All],[Key_Year_Month_Brand]],0),MATCH(Table1[[#This Row],[DC_name_Xref]],Table35[#Headers],0)),0)</f>
        <v>0</v>
      </c>
    </row>
    <row r="2311" spans="1:15" x14ac:dyDescent="0.3">
      <c r="A2311" s="19" t="e">
        <f>Table1[[#This Row],[Year_Week]]&amp;"-"&amp;Table1[[#This Row],[DC_name_Xref]]</f>
        <v>#N/A</v>
      </c>
      <c r="B2311" s="19" t="str">
        <f>Table1[[#This Row],[Fiscal_Year]]*100+Table1[[#This Row],[Fiscal_Week]] &amp; "-" &amp;Table1[[#This Row],[BRAND]]</f>
        <v>0-</v>
      </c>
      <c r="C2311" s="19" t="str">
        <f>Table1[[#This Row],[Fiscal_Year]]&amp;"-"&amp;Table1[[#This Row],[BRAND]]</f>
        <v>-</v>
      </c>
      <c r="J2311" t="e">
        <f>VLOOKUP(H2311,DC_Xref!A:B,2,FALSE)</f>
        <v>#N/A</v>
      </c>
      <c r="K2311">
        <f t="shared" si="36"/>
        <v>0</v>
      </c>
      <c r="L23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1" s="3">
        <f>IFERROR(INDEX(Table3[#All],MATCH(Table1[[#This Row],[Key_Year_Week_Brand]],Table3[[#All],[Key_Year_Week_Brand]],0),MATCH(Table1[[#This Row],[DC_name_Xref]],Table3[#Headers],0)),0)</f>
        <v>0</v>
      </c>
      <c r="O2311" s="19">
        <f>IFERROR(INDEX(Table35[#All],MATCH(Table1[[#This Row],[Key_Year_Week_Brand]],Table35[[#All],[Key_Year_Month_Brand]],0),MATCH(Table1[[#This Row],[DC_name_Xref]],Table35[#Headers],0)),0)</f>
        <v>0</v>
      </c>
    </row>
    <row r="2312" spans="1:15" x14ac:dyDescent="0.3">
      <c r="A2312" s="19" t="e">
        <f>Table1[[#This Row],[Year_Week]]&amp;"-"&amp;Table1[[#This Row],[DC_name_Xref]]</f>
        <v>#N/A</v>
      </c>
      <c r="B2312" s="19" t="str">
        <f>Table1[[#This Row],[Fiscal_Year]]*100+Table1[[#This Row],[Fiscal_Week]] &amp; "-" &amp;Table1[[#This Row],[BRAND]]</f>
        <v>0-</v>
      </c>
      <c r="C2312" s="19" t="str">
        <f>Table1[[#This Row],[Fiscal_Year]]&amp;"-"&amp;Table1[[#This Row],[BRAND]]</f>
        <v>-</v>
      </c>
      <c r="J2312" t="e">
        <f>VLOOKUP(H2312,DC_Xref!A:B,2,FALSE)</f>
        <v>#N/A</v>
      </c>
      <c r="K2312">
        <f t="shared" si="36"/>
        <v>0</v>
      </c>
      <c r="L23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2" s="3">
        <f>IFERROR(INDEX(Table3[#All],MATCH(Table1[[#This Row],[Key_Year_Week_Brand]],Table3[[#All],[Key_Year_Week_Brand]],0),MATCH(Table1[[#This Row],[DC_name_Xref]],Table3[#Headers],0)),0)</f>
        <v>0</v>
      </c>
      <c r="O2312" s="19">
        <f>IFERROR(INDEX(Table35[#All],MATCH(Table1[[#This Row],[Key_Year_Week_Brand]],Table35[[#All],[Key_Year_Month_Brand]],0),MATCH(Table1[[#This Row],[DC_name_Xref]],Table35[#Headers],0)),0)</f>
        <v>0</v>
      </c>
    </row>
    <row r="2313" spans="1:15" x14ac:dyDescent="0.3">
      <c r="A2313" s="19" t="e">
        <f>Table1[[#This Row],[Year_Week]]&amp;"-"&amp;Table1[[#This Row],[DC_name_Xref]]</f>
        <v>#N/A</v>
      </c>
      <c r="B2313" s="19" t="str">
        <f>Table1[[#This Row],[Fiscal_Year]]*100+Table1[[#This Row],[Fiscal_Week]] &amp; "-" &amp;Table1[[#This Row],[BRAND]]</f>
        <v>0-</v>
      </c>
      <c r="C2313" s="19" t="str">
        <f>Table1[[#This Row],[Fiscal_Year]]&amp;"-"&amp;Table1[[#This Row],[BRAND]]</f>
        <v>-</v>
      </c>
      <c r="J2313" t="e">
        <f>VLOOKUP(H2313,DC_Xref!A:B,2,FALSE)</f>
        <v>#N/A</v>
      </c>
      <c r="K2313">
        <f t="shared" si="36"/>
        <v>0</v>
      </c>
      <c r="L23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3" s="3">
        <f>IFERROR(INDEX(Table3[#All],MATCH(Table1[[#This Row],[Key_Year_Week_Brand]],Table3[[#All],[Key_Year_Week_Brand]],0),MATCH(Table1[[#This Row],[DC_name_Xref]],Table3[#Headers],0)),0)</f>
        <v>0</v>
      </c>
      <c r="O2313" s="19">
        <f>IFERROR(INDEX(Table35[#All],MATCH(Table1[[#This Row],[Key_Year_Week_Brand]],Table35[[#All],[Key_Year_Month_Brand]],0),MATCH(Table1[[#This Row],[DC_name_Xref]],Table35[#Headers],0)),0)</f>
        <v>0</v>
      </c>
    </row>
    <row r="2314" spans="1:15" x14ac:dyDescent="0.3">
      <c r="A2314" s="19" t="e">
        <f>Table1[[#This Row],[Year_Week]]&amp;"-"&amp;Table1[[#This Row],[DC_name_Xref]]</f>
        <v>#N/A</v>
      </c>
      <c r="B2314" s="19" t="str">
        <f>Table1[[#This Row],[Fiscal_Year]]*100+Table1[[#This Row],[Fiscal_Week]] &amp; "-" &amp;Table1[[#This Row],[BRAND]]</f>
        <v>0-</v>
      </c>
      <c r="C2314" s="19" t="str">
        <f>Table1[[#This Row],[Fiscal_Year]]&amp;"-"&amp;Table1[[#This Row],[BRAND]]</f>
        <v>-</v>
      </c>
      <c r="J2314" t="e">
        <f>VLOOKUP(H2314,DC_Xref!A:B,2,FALSE)</f>
        <v>#N/A</v>
      </c>
      <c r="K2314">
        <f t="shared" si="36"/>
        <v>0</v>
      </c>
      <c r="L23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4" s="3">
        <f>IFERROR(INDEX(Table3[#All],MATCH(Table1[[#This Row],[Key_Year_Week_Brand]],Table3[[#All],[Key_Year_Week_Brand]],0),MATCH(Table1[[#This Row],[DC_name_Xref]],Table3[#Headers],0)),0)</f>
        <v>0</v>
      </c>
      <c r="O2314" s="19">
        <f>IFERROR(INDEX(Table35[#All],MATCH(Table1[[#This Row],[Key_Year_Week_Brand]],Table35[[#All],[Key_Year_Month_Brand]],0),MATCH(Table1[[#This Row],[DC_name_Xref]],Table35[#Headers],0)),0)</f>
        <v>0</v>
      </c>
    </row>
    <row r="2315" spans="1:15" x14ac:dyDescent="0.3">
      <c r="A2315" s="19" t="e">
        <f>Table1[[#This Row],[Year_Week]]&amp;"-"&amp;Table1[[#This Row],[DC_name_Xref]]</f>
        <v>#N/A</v>
      </c>
      <c r="B2315" s="19" t="str">
        <f>Table1[[#This Row],[Fiscal_Year]]*100+Table1[[#This Row],[Fiscal_Week]] &amp; "-" &amp;Table1[[#This Row],[BRAND]]</f>
        <v>0-</v>
      </c>
      <c r="C2315" s="19" t="str">
        <f>Table1[[#This Row],[Fiscal_Year]]&amp;"-"&amp;Table1[[#This Row],[BRAND]]</f>
        <v>-</v>
      </c>
      <c r="J2315" t="e">
        <f>VLOOKUP(H2315,DC_Xref!A:B,2,FALSE)</f>
        <v>#N/A</v>
      </c>
      <c r="K2315">
        <f t="shared" si="36"/>
        <v>0</v>
      </c>
      <c r="L23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5" s="3">
        <f>IFERROR(INDEX(Table3[#All],MATCH(Table1[[#This Row],[Key_Year_Week_Brand]],Table3[[#All],[Key_Year_Week_Brand]],0),MATCH(Table1[[#This Row],[DC_name_Xref]],Table3[#Headers],0)),0)</f>
        <v>0</v>
      </c>
      <c r="O2315" s="19">
        <f>IFERROR(INDEX(Table35[#All],MATCH(Table1[[#This Row],[Key_Year_Week_Brand]],Table35[[#All],[Key_Year_Month_Brand]],0),MATCH(Table1[[#This Row],[DC_name_Xref]],Table35[#Headers],0)),0)</f>
        <v>0</v>
      </c>
    </row>
    <row r="2316" spans="1:15" x14ac:dyDescent="0.3">
      <c r="A2316" s="19" t="e">
        <f>Table1[[#This Row],[Year_Week]]&amp;"-"&amp;Table1[[#This Row],[DC_name_Xref]]</f>
        <v>#N/A</v>
      </c>
      <c r="B2316" s="19" t="str">
        <f>Table1[[#This Row],[Fiscal_Year]]*100+Table1[[#This Row],[Fiscal_Week]] &amp; "-" &amp;Table1[[#This Row],[BRAND]]</f>
        <v>0-</v>
      </c>
      <c r="C2316" s="19" t="str">
        <f>Table1[[#This Row],[Fiscal_Year]]&amp;"-"&amp;Table1[[#This Row],[BRAND]]</f>
        <v>-</v>
      </c>
      <c r="J2316" t="e">
        <f>VLOOKUP(H2316,DC_Xref!A:B,2,FALSE)</f>
        <v>#N/A</v>
      </c>
      <c r="K2316">
        <f t="shared" si="36"/>
        <v>0</v>
      </c>
      <c r="L23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6" s="3">
        <f>IFERROR(INDEX(Table3[#All],MATCH(Table1[[#This Row],[Key_Year_Week_Brand]],Table3[[#All],[Key_Year_Week_Brand]],0),MATCH(Table1[[#This Row],[DC_name_Xref]],Table3[#Headers],0)),0)</f>
        <v>0</v>
      </c>
      <c r="O2316" s="19">
        <f>IFERROR(INDEX(Table35[#All],MATCH(Table1[[#This Row],[Key_Year_Week_Brand]],Table35[[#All],[Key_Year_Month_Brand]],0),MATCH(Table1[[#This Row],[DC_name_Xref]],Table35[#Headers],0)),0)</f>
        <v>0</v>
      </c>
    </row>
    <row r="2317" spans="1:15" x14ac:dyDescent="0.3">
      <c r="A2317" s="19" t="e">
        <f>Table1[[#This Row],[Year_Week]]&amp;"-"&amp;Table1[[#This Row],[DC_name_Xref]]</f>
        <v>#N/A</v>
      </c>
      <c r="B2317" s="19" t="str">
        <f>Table1[[#This Row],[Fiscal_Year]]*100+Table1[[#This Row],[Fiscal_Week]] &amp; "-" &amp;Table1[[#This Row],[BRAND]]</f>
        <v>0-</v>
      </c>
      <c r="C2317" s="19" t="str">
        <f>Table1[[#This Row],[Fiscal_Year]]&amp;"-"&amp;Table1[[#This Row],[BRAND]]</f>
        <v>-</v>
      </c>
      <c r="J2317" t="e">
        <f>VLOOKUP(H2317,DC_Xref!A:B,2,FALSE)</f>
        <v>#N/A</v>
      </c>
      <c r="K2317">
        <f t="shared" si="36"/>
        <v>0</v>
      </c>
      <c r="L23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7" s="3">
        <f>IFERROR(INDEX(Table3[#All],MATCH(Table1[[#This Row],[Key_Year_Week_Brand]],Table3[[#All],[Key_Year_Week_Brand]],0),MATCH(Table1[[#This Row],[DC_name_Xref]],Table3[#Headers],0)),0)</f>
        <v>0</v>
      </c>
      <c r="O2317" s="19">
        <f>IFERROR(INDEX(Table35[#All],MATCH(Table1[[#This Row],[Key_Year_Week_Brand]],Table35[[#All],[Key_Year_Month_Brand]],0),MATCH(Table1[[#This Row],[DC_name_Xref]],Table35[#Headers],0)),0)</f>
        <v>0</v>
      </c>
    </row>
    <row r="2318" spans="1:15" x14ac:dyDescent="0.3">
      <c r="A2318" s="19" t="e">
        <f>Table1[[#This Row],[Year_Week]]&amp;"-"&amp;Table1[[#This Row],[DC_name_Xref]]</f>
        <v>#N/A</v>
      </c>
      <c r="B2318" s="19" t="str">
        <f>Table1[[#This Row],[Fiscal_Year]]*100+Table1[[#This Row],[Fiscal_Week]] &amp; "-" &amp;Table1[[#This Row],[BRAND]]</f>
        <v>0-</v>
      </c>
      <c r="C2318" s="19" t="str">
        <f>Table1[[#This Row],[Fiscal_Year]]&amp;"-"&amp;Table1[[#This Row],[BRAND]]</f>
        <v>-</v>
      </c>
      <c r="J2318" t="e">
        <f>VLOOKUP(H2318,DC_Xref!A:B,2,FALSE)</f>
        <v>#N/A</v>
      </c>
      <c r="K2318">
        <f t="shared" si="36"/>
        <v>0</v>
      </c>
      <c r="L23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8" s="3">
        <f>IFERROR(INDEX(Table3[#All],MATCH(Table1[[#This Row],[Key_Year_Week_Brand]],Table3[[#All],[Key_Year_Week_Brand]],0),MATCH(Table1[[#This Row],[DC_name_Xref]],Table3[#Headers],0)),0)</f>
        <v>0</v>
      </c>
      <c r="O2318" s="19">
        <f>IFERROR(INDEX(Table35[#All],MATCH(Table1[[#This Row],[Key_Year_Week_Brand]],Table35[[#All],[Key_Year_Month_Brand]],0),MATCH(Table1[[#This Row],[DC_name_Xref]],Table35[#Headers],0)),0)</f>
        <v>0</v>
      </c>
    </row>
    <row r="2319" spans="1:15" x14ac:dyDescent="0.3">
      <c r="A2319" s="19" t="e">
        <f>Table1[[#This Row],[Year_Week]]&amp;"-"&amp;Table1[[#This Row],[DC_name_Xref]]</f>
        <v>#N/A</v>
      </c>
      <c r="B2319" s="19" t="str">
        <f>Table1[[#This Row],[Fiscal_Year]]*100+Table1[[#This Row],[Fiscal_Week]] &amp; "-" &amp;Table1[[#This Row],[BRAND]]</f>
        <v>0-</v>
      </c>
      <c r="C2319" s="19" t="str">
        <f>Table1[[#This Row],[Fiscal_Year]]&amp;"-"&amp;Table1[[#This Row],[BRAND]]</f>
        <v>-</v>
      </c>
      <c r="J2319" t="e">
        <f>VLOOKUP(H2319,DC_Xref!A:B,2,FALSE)</f>
        <v>#N/A</v>
      </c>
      <c r="K2319">
        <f t="shared" si="36"/>
        <v>0</v>
      </c>
      <c r="L23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19" s="3">
        <f>IFERROR(INDEX(Table3[#All],MATCH(Table1[[#This Row],[Key_Year_Week_Brand]],Table3[[#All],[Key_Year_Week_Brand]],0),MATCH(Table1[[#This Row],[DC_name_Xref]],Table3[#Headers],0)),0)</f>
        <v>0</v>
      </c>
      <c r="O2319" s="19">
        <f>IFERROR(INDEX(Table35[#All],MATCH(Table1[[#This Row],[Key_Year_Week_Brand]],Table35[[#All],[Key_Year_Month_Brand]],0),MATCH(Table1[[#This Row],[DC_name_Xref]],Table35[#Headers],0)),0)</f>
        <v>0</v>
      </c>
    </row>
    <row r="2320" spans="1:15" x14ac:dyDescent="0.3">
      <c r="A2320" s="19" t="e">
        <f>Table1[[#This Row],[Year_Week]]&amp;"-"&amp;Table1[[#This Row],[DC_name_Xref]]</f>
        <v>#N/A</v>
      </c>
      <c r="B2320" s="19" t="str">
        <f>Table1[[#This Row],[Fiscal_Year]]*100+Table1[[#This Row],[Fiscal_Week]] &amp; "-" &amp;Table1[[#This Row],[BRAND]]</f>
        <v>0-</v>
      </c>
      <c r="C2320" s="19" t="str">
        <f>Table1[[#This Row],[Fiscal_Year]]&amp;"-"&amp;Table1[[#This Row],[BRAND]]</f>
        <v>-</v>
      </c>
      <c r="J2320" t="e">
        <f>VLOOKUP(H2320,DC_Xref!A:B,2,FALSE)</f>
        <v>#N/A</v>
      </c>
      <c r="K2320">
        <f t="shared" si="36"/>
        <v>0</v>
      </c>
      <c r="L23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0" s="3">
        <f>IFERROR(INDEX(Table3[#All],MATCH(Table1[[#This Row],[Key_Year_Week_Brand]],Table3[[#All],[Key_Year_Week_Brand]],0),MATCH(Table1[[#This Row],[DC_name_Xref]],Table3[#Headers],0)),0)</f>
        <v>0</v>
      </c>
      <c r="O2320" s="19">
        <f>IFERROR(INDEX(Table35[#All],MATCH(Table1[[#This Row],[Key_Year_Week_Brand]],Table35[[#All],[Key_Year_Month_Brand]],0),MATCH(Table1[[#This Row],[DC_name_Xref]],Table35[#Headers],0)),0)</f>
        <v>0</v>
      </c>
    </row>
    <row r="2321" spans="1:15" x14ac:dyDescent="0.3">
      <c r="A2321" s="19" t="e">
        <f>Table1[[#This Row],[Year_Week]]&amp;"-"&amp;Table1[[#This Row],[DC_name_Xref]]</f>
        <v>#N/A</v>
      </c>
      <c r="B2321" s="19" t="str">
        <f>Table1[[#This Row],[Fiscal_Year]]*100+Table1[[#This Row],[Fiscal_Week]] &amp; "-" &amp;Table1[[#This Row],[BRAND]]</f>
        <v>0-</v>
      </c>
      <c r="C2321" s="19" t="str">
        <f>Table1[[#This Row],[Fiscal_Year]]&amp;"-"&amp;Table1[[#This Row],[BRAND]]</f>
        <v>-</v>
      </c>
      <c r="J2321" t="e">
        <f>VLOOKUP(H2321,DC_Xref!A:B,2,FALSE)</f>
        <v>#N/A</v>
      </c>
      <c r="K2321">
        <f t="shared" si="36"/>
        <v>0</v>
      </c>
      <c r="L23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1" s="3">
        <f>IFERROR(INDEX(Table3[#All],MATCH(Table1[[#This Row],[Key_Year_Week_Brand]],Table3[[#All],[Key_Year_Week_Brand]],0),MATCH(Table1[[#This Row],[DC_name_Xref]],Table3[#Headers],0)),0)</f>
        <v>0</v>
      </c>
      <c r="O2321" s="19">
        <f>IFERROR(INDEX(Table35[#All],MATCH(Table1[[#This Row],[Key_Year_Week_Brand]],Table35[[#All],[Key_Year_Month_Brand]],0),MATCH(Table1[[#This Row],[DC_name_Xref]],Table35[#Headers],0)),0)</f>
        <v>0</v>
      </c>
    </row>
    <row r="2322" spans="1:15" x14ac:dyDescent="0.3">
      <c r="A2322" s="19" t="e">
        <f>Table1[[#This Row],[Year_Week]]&amp;"-"&amp;Table1[[#This Row],[DC_name_Xref]]</f>
        <v>#N/A</v>
      </c>
      <c r="B2322" s="19" t="str">
        <f>Table1[[#This Row],[Fiscal_Year]]*100+Table1[[#This Row],[Fiscal_Week]] &amp; "-" &amp;Table1[[#This Row],[BRAND]]</f>
        <v>0-</v>
      </c>
      <c r="C2322" s="19" t="str">
        <f>Table1[[#This Row],[Fiscal_Year]]&amp;"-"&amp;Table1[[#This Row],[BRAND]]</f>
        <v>-</v>
      </c>
      <c r="J2322" t="e">
        <f>VLOOKUP(H2322,DC_Xref!A:B,2,FALSE)</f>
        <v>#N/A</v>
      </c>
      <c r="K2322">
        <f t="shared" si="36"/>
        <v>0</v>
      </c>
      <c r="L23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2" s="3">
        <f>IFERROR(INDEX(Table3[#All],MATCH(Table1[[#This Row],[Key_Year_Week_Brand]],Table3[[#All],[Key_Year_Week_Brand]],0),MATCH(Table1[[#This Row],[DC_name_Xref]],Table3[#Headers],0)),0)</f>
        <v>0</v>
      </c>
      <c r="O2322" s="19">
        <f>IFERROR(INDEX(Table35[#All],MATCH(Table1[[#This Row],[Key_Year_Week_Brand]],Table35[[#All],[Key_Year_Month_Brand]],0),MATCH(Table1[[#This Row],[DC_name_Xref]],Table35[#Headers],0)),0)</f>
        <v>0</v>
      </c>
    </row>
    <row r="2323" spans="1:15" x14ac:dyDescent="0.3">
      <c r="A2323" s="19" t="e">
        <f>Table1[[#This Row],[Year_Week]]&amp;"-"&amp;Table1[[#This Row],[DC_name_Xref]]</f>
        <v>#N/A</v>
      </c>
      <c r="B2323" s="19" t="str">
        <f>Table1[[#This Row],[Fiscal_Year]]*100+Table1[[#This Row],[Fiscal_Week]] &amp; "-" &amp;Table1[[#This Row],[BRAND]]</f>
        <v>0-</v>
      </c>
      <c r="C2323" s="19" t="str">
        <f>Table1[[#This Row],[Fiscal_Year]]&amp;"-"&amp;Table1[[#This Row],[BRAND]]</f>
        <v>-</v>
      </c>
      <c r="J2323" t="e">
        <f>VLOOKUP(H2323,DC_Xref!A:B,2,FALSE)</f>
        <v>#N/A</v>
      </c>
      <c r="K2323">
        <f t="shared" si="36"/>
        <v>0</v>
      </c>
      <c r="L23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3" s="3">
        <f>IFERROR(INDEX(Table3[#All],MATCH(Table1[[#This Row],[Key_Year_Week_Brand]],Table3[[#All],[Key_Year_Week_Brand]],0),MATCH(Table1[[#This Row],[DC_name_Xref]],Table3[#Headers],0)),0)</f>
        <v>0</v>
      </c>
      <c r="O2323" s="19">
        <f>IFERROR(INDEX(Table35[#All],MATCH(Table1[[#This Row],[Key_Year_Week_Brand]],Table35[[#All],[Key_Year_Month_Brand]],0),MATCH(Table1[[#This Row],[DC_name_Xref]],Table35[#Headers],0)),0)</f>
        <v>0</v>
      </c>
    </row>
    <row r="2324" spans="1:15" x14ac:dyDescent="0.3">
      <c r="A2324" s="19" t="e">
        <f>Table1[[#This Row],[Year_Week]]&amp;"-"&amp;Table1[[#This Row],[DC_name_Xref]]</f>
        <v>#N/A</v>
      </c>
      <c r="B2324" s="19" t="str">
        <f>Table1[[#This Row],[Fiscal_Year]]*100+Table1[[#This Row],[Fiscal_Week]] &amp; "-" &amp;Table1[[#This Row],[BRAND]]</f>
        <v>0-</v>
      </c>
      <c r="C2324" s="19" t="str">
        <f>Table1[[#This Row],[Fiscal_Year]]&amp;"-"&amp;Table1[[#This Row],[BRAND]]</f>
        <v>-</v>
      </c>
      <c r="J2324" t="e">
        <f>VLOOKUP(H2324,DC_Xref!A:B,2,FALSE)</f>
        <v>#N/A</v>
      </c>
      <c r="K2324">
        <f t="shared" si="36"/>
        <v>0</v>
      </c>
      <c r="L23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4" s="3">
        <f>IFERROR(INDEX(Table3[#All],MATCH(Table1[[#This Row],[Key_Year_Week_Brand]],Table3[[#All],[Key_Year_Week_Brand]],0),MATCH(Table1[[#This Row],[DC_name_Xref]],Table3[#Headers],0)),0)</f>
        <v>0</v>
      </c>
      <c r="O2324" s="19">
        <f>IFERROR(INDEX(Table35[#All],MATCH(Table1[[#This Row],[Key_Year_Week_Brand]],Table35[[#All],[Key_Year_Month_Brand]],0),MATCH(Table1[[#This Row],[DC_name_Xref]],Table35[#Headers],0)),0)</f>
        <v>0</v>
      </c>
    </row>
    <row r="2325" spans="1:15" x14ac:dyDescent="0.3">
      <c r="A2325" s="19" t="e">
        <f>Table1[[#This Row],[Year_Week]]&amp;"-"&amp;Table1[[#This Row],[DC_name_Xref]]</f>
        <v>#N/A</v>
      </c>
      <c r="B2325" s="19" t="str">
        <f>Table1[[#This Row],[Fiscal_Year]]*100+Table1[[#This Row],[Fiscal_Week]] &amp; "-" &amp;Table1[[#This Row],[BRAND]]</f>
        <v>0-</v>
      </c>
      <c r="C2325" s="19" t="str">
        <f>Table1[[#This Row],[Fiscal_Year]]&amp;"-"&amp;Table1[[#This Row],[BRAND]]</f>
        <v>-</v>
      </c>
      <c r="J2325" t="e">
        <f>VLOOKUP(H2325,DC_Xref!A:B,2,FALSE)</f>
        <v>#N/A</v>
      </c>
      <c r="K2325">
        <f t="shared" si="36"/>
        <v>0</v>
      </c>
      <c r="L23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5" s="3">
        <f>IFERROR(INDEX(Table3[#All],MATCH(Table1[[#This Row],[Key_Year_Week_Brand]],Table3[[#All],[Key_Year_Week_Brand]],0),MATCH(Table1[[#This Row],[DC_name_Xref]],Table3[#Headers],0)),0)</f>
        <v>0</v>
      </c>
      <c r="O2325" s="19">
        <f>IFERROR(INDEX(Table35[#All],MATCH(Table1[[#This Row],[Key_Year_Week_Brand]],Table35[[#All],[Key_Year_Month_Brand]],0),MATCH(Table1[[#This Row],[DC_name_Xref]],Table35[#Headers],0)),0)</f>
        <v>0</v>
      </c>
    </row>
    <row r="2326" spans="1:15" x14ac:dyDescent="0.3">
      <c r="A2326" s="19" t="e">
        <f>Table1[[#This Row],[Year_Week]]&amp;"-"&amp;Table1[[#This Row],[DC_name_Xref]]</f>
        <v>#N/A</v>
      </c>
      <c r="B2326" s="19" t="str">
        <f>Table1[[#This Row],[Fiscal_Year]]*100+Table1[[#This Row],[Fiscal_Week]] &amp; "-" &amp;Table1[[#This Row],[BRAND]]</f>
        <v>0-</v>
      </c>
      <c r="C2326" s="19" t="str">
        <f>Table1[[#This Row],[Fiscal_Year]]&amp;"-"&amp;Table1[[#This Row],[BRAND]]</f>
        <v>-</v>
      </c>
      <c r="J2326" t="e">
        <f>VLOOKUP(H2326,DC_Xref!A:B,2,FALSE)</f>
        <v>#N/A</v>
      </c>
      <c r="K2326">
        <f t="shared" si="36"/>
        <v>0</v>
      </c>
      <c r="L23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6" s="3">
        <f>IFERROR(INDEX(Table3[#All],MATCH(Table1[[#This Row],[Key_Year_Week_Brand]],Table3[[#All],[Key_Year_Week_Brand]],0),MATCH(Table1[[#This Row],[DC_name_Xref]],Table3[#Headers],0)),0)</f>
        <v>0</v>
      </c>
      <c r="O2326" s="19">
        <f>IFERROR(INDEX(Table35[#All],MATCH(Table1[[#This Row],[Key_Year_Week_Brand]],Table35[[#All],[Key_Year_Month_Brand]],0),MATCH(Table1[[#This Row],[DC_name_Xref]],Table35[#Headers],0)),0)</f>
        <v>0</v>
      </c>
    </row>
    <row r="2327" spans="1:15" x14ac:dyDescent="0.3">
      <c r="A2327" s="19" t="e">
        <f>Table1[[#This Row],[Year_Week]]&amp;"-"&amp;Table1[[#This Row],[DC_name_Xref]]</f>
        <v>#N/A</v>
      </c>
      <c r="B2327" s="19" t="str">
        <f>Table1[[#This Row],[Fiscal_Year]]*100+Table1[[#This Row],[Fiscal_Week]] &amp; "-" &amp;Table1[[#This Row],[BRAND]]</f>
        <v>0-</v>
      </c>
      <c r="C2327" s="19" t="str">
        <f>Table1[[#This Row],[Fiscal_Year]]&amp;"-"&amp;Table1[[#This Row],[BRAND]]</f>
        <v>-</v>
      </c>
      <c r="J2327" t="e">
        <f>VLOOKUP(H2327,DC_Xref!A:B,2,FALSE)</f>
        <v>#N/A</v>
      </c>
      <c r="K2327">
        <f t="shared" si="36"/>
        <v>0</v>
      </c>
      <c r="L23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7" s="3">
        <f>IFERROR(INDEX(Table3[#All],MATCH(Table1[[#This Row],[Key_Year_Week_Brand]],Table3[[#All],[Key_Year_Week_Brand]],0),MATCH(Table1[[#This Row],[DC_name_Xref]],Table3[#Headers],0)),0)</f>
        <v>0</v>
      </c>
      <c r="O2327" s="19">
        <f>IFERROR(INDEX(Table35[#All],MATCH(Table1[[#This Row],[Key_Year_Week_Brand]],Table35[[#All],[Key_Year_Month_Brand]],0),MATCH(Table1[[#This Row],[DC_name_Xref]],Table35[#Headers],0)),0)</f>
        <v>0</v>
      </c>
    </row>
    <row r="2328" spans="1:15" x14ac:dyDescent="0.3">
      <c r="A2328" s="19" t="e">
        <f>Table1[[#This Row],[Year_Week]]&amp;"-"&amp;Table1[[#This Row],[DC_name_Xref]]</f>
        <v>#N/A</v>
      </c>
      <c r="B2328" s="19" t="str">
        <f>Table1[[#This Row],[Fiscal_Year]]*100+Table1[[#This Row],[Fiscal_Week]] &amp; "-" &amp;Table1[[#This Row],[BRAND]]</f>
        <v>0-</v>
      </c>
      <c r="C2328" s="19" t="str">
        <f>Table1[[#This Row],[Fiscal_Year]]&amp;"-"&amp;Table1[[#This Row],[BRAND]]</f>
        <v>-</v>
      </c>
      <c r="J2328" t="e">
        <f>VLOOKUP(H2328,DC_Xref!A:B,2,FALSE)</f>
        <v>#N/A</v>
      </c>
      <c r="K2328">
        <f t="shared" si="36"/>
        <v>0</v>
      </c>
      <c r="L23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8" s="3">
        <f>IFERROR(INDEX(Table3[#All],MATCH(Table1[[#This Row],[Key_Year_Week_Brand]],Table3[[#All],[Key_Year_Week_Brand]],0),MATCH(Table1[[#This Row],[DC_name_Xref]],Table3[#Headers],0)),0)</f>
        <v>0</v>
      </c>
      <c r="O2328" s="19">
        <f>IFERROR(INDEX(Table35[#All],MATCH(Table1[[#This Row],[Key_Year_Week_Brand]],Table35[[#All],[Key_Year_Month_Brand]],0),MATCH(Table1[[#This Row],[DC_name_Xref]],Table35[#Headers],0)),0)</f>
        <v>0</v>
      </c>
    </row>
    <row r="2329" spans="1:15" x14ac:dyDescent="0.3">
      <c r="A2329" s="19" t="e">
        <f>Table1[[#This Row],[Year_Week]]&amp;"-"&amp;Table1[[#This Row],[DC_name_Xref]]</f>
        <v>#N/A</v>
      </c>
      <c r="B2329" s="19" t="str">
        <f>Table1[[#This Row],[Fiscal_Year]]*100+Table1[[#This Row],[Fiscal_Week]] &amp; "-" &amp;Table1[[#This Row],[BRAND]]</f>
        <v>0-</v>
      </c>
      <c r="C2329" s="19" t="str">
        <f>Table1[[#This Row],[Fiscal_Year]]&amp;"-"&amp;Table1[[#This Row],[BRAND]]</f>
        <v>-</v>
      </c>
      <c r="J2329" t="e">
        <f>VLOOKUP(H2329,DC_Xref!A:B,2,FALSE)</f>
        <v>#N/A</v>
      </c>
      <c r="K2329">
        <f t="shared" si="36"/>
        <v>0</v>
      </c>
      <c r="L23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29" s="3">
        <f>IFERROR(INDEX(Table3[#All],MATCH(Table1[[#This Row],[Key_Year_Week_Brand]],Table3[[#All],[Key_Year_Week_Brand]],0),MATCH(Table1[[#This Row],[DC_name_Xref]],Table3[#Headers],0)),0)</f>
        <v>0</v>
      </c>
      <c r="O2329" s="19">
        <f>IFERROR(INDEX(Table35[#All],MATCH(Table1[[#This Row],[Key_Year_Week_Brand]],Table35[[#All],[Key_Year_Month_Brand]],0),MATCH(Table1[[#This Row],[DC_name_Xref]],Table35[#Headers],0)),0)</f>
        <v>0</v>
      </c>
    </row>
    <row r="2330" spans="1:15" x14ac:dyDescent="0.3">
      <c r="A2330" s="19" t="e">
        <f>Table1[[#This Row],[Year_Week]]&amp;"-"&amp;Table1[[#This Row],[DC_name_Xref]]</f>
        <v>#N/A</v>
      </c>
      <c r="B2330" s="19" t="str">
        <f>Table1[[#This Row],[Fiscal_Year]]*100+Table1[[#This Row],[Fiscal_Week]] &amp; "-" &amp;Table1[[#This Row],[BRAND]]</f>
        <v>0-</v>
      </c>
      <c r="C2330" s="19" t="str">
        <f>Table1[[#This Row],[Fiscal_Year]]&amp;"-"&amp;Table1[[#This Row],[BRAND]]</f>
        <v>-</v>
      </c>
      <c r="J2330" t="e">
        <f>VLOOKUP(H2330,DC_Xref!A:B,2,FALSE)</f>
        <v>#N/A</v>
      </c>
      <c r="K2330">
        <f t="shared" si="36"/>
        <v>0</v>
      </c>
      <c r="L23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0" s="3">
        <f>IFERROR(INDEX(Table3[#All],MATCH(Table1[[#This Row],[Key_Year_Week_Brand]],Table3[[#All],[Key_Year_Week_Brand]],0),MATCH(Table1[[#This Row],[DC_name_Xref]],Table3[#Headers],0)),0)</f>
        <v>0</v>
      </c>
      <c r="O2330" s="19">
        <f>IFERROR(INDEX(Table35[#All],MATCH(Table1[[#This Row],[Key_Year_Week_Brand]],Table35[[#All],[Key_Year_Month_Brand]],0),MATCH(Table1[[#This Row],[DC_name_Xref]],Table35[#Headers],0)),0)</f>
        <v>0</v>
      </c>
    </row>
    <row r="2331" spans="1:15" x14ac:dyDescent="0.3">
      <c r="A2331" s="19" t="e">
        <f>Table1[[#This Row],[Year_Week]]&amp;"-"&amp;Table1[[#This Row],[DC_name_Xref]]</f>
        <v>#N/A</v>
      </c>
      <c r="B2331" s="19" t="str">
        <f>Table1[[#This Row],[Fiscal_Year]]*100+Table1[[#This Row],[Fiscal_Week]] &amp; "-" &amp;Table1[[#This Row],[BRAND]]</f>
        <v>0-</v>
      </c>
      <c r="C2331" s="19" t="str">
        <f>Table1[[#This Row],[Fiscal_Year]]&amp;"-"&amp;Table1[[#This Row],[BRAND]]</f>
        <v>-</v>
      </c>
      <c r="J2331" t="e">
        <f>VLOOKUP(H2331,DC_Xref!A:B,2,FALSE)</f>
        <v>#N/A</v>
      </c>
      <c r="K2331">
        <f t="shared" si="36"/>
        <v>0</v>
      </c>
      <c r="L23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1" s="3">
        <f>IFERROR(INDEX(Table3[#All],MATCH(Table1[[#This Row],[Key_Year_Week_Brand]],Table3[[#All],[Key_Year_Week_Brand]],0),MATCH(Table1[[#This Row],[DC_name_Xref]],Table3[#Headers],0)),0)</f>
        <v>0</v>
      </c>
      <c r="O2331" s="19">
        <f>IFERROR(INDEX(Table35[#All],MATCH(Table1[[#This Row],[Key_Year_Week_Brand]],Table35[[#All],[Key_Year_Month_Brand]],0),MATCH(Table1[[#This Row],[DC_name_Xref]],Table35[#Headers],0)),0)</f>
        <v>0</v>
      </c>
    </row>
    <row r="2332" spans="1:15" x14ac:dyDescent="0.3">
      <c r="A2332" s="19" t="e">
        <f>Table1[[#This Row],[Year_Week]]&amp;"-"&amp;Table1[[#This Row],[DC_name_Xref]]</f>
        <v>#N/A</v>
      </c>
      <c r="B2332" s="19" t="str">
        <f>Table1[[#This Row],[Fiscal_Year]]*100+Table1[[#This Row],[Fiscal_Week]] &amp; "-" &amp;Table1[[#This Row],[BRAND]]</f>
        <v>0-</v>
      </c>
      <c r="C2332" s="19" t="str">
        <f>Table1[[#This Row],[Fiscal_Year]]&amp;"-"&amp;Table1[[#This Row],[BRAND]]</f>
        <v>-</v>
      </c>
      <c r="J2332" t="e">
        <f>VLOOKUP(H2332,DC_Xref!A:B,2,FALSE)</f>
        <v>#N/A</v>
      </c>
      <c r="K2332">
        <f t="shared" si="36"/>
        <v>0</v>
      </c>
      <c r="L23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2" s="3">
        <f>IFERROR(INDEX(Table3[#All],MATCH(Table1[[#This Row],[Key_Year_Week_Brand]],Table3[[#All],[Key_Year_Week_Brand]],0),MATCH(Table1[[#This Row],[DC_name_Xref]],Table3[#Headers],0)),0)</f>
        <v>0</v>
      </c>
      <c r="O2332" s="19">
        <f>IFERROR(INDEX(Table35[#All],MATCH(Table1[[#This Row],[Key_Year_Week_Brand]],Table35[[#All],[Key_Year_Month_Brand]],0),MATCH(Table1[[#This Row],[DC_name_Xref]],Table35[#Headers],0)),0)</f>
        <v>0</v>
      </c>
    </row>
    <row r="2333" spans="1:15" x14ac:dyDescent="0.3">
      <c r="A2333" s="19" t="e">
        <f>Table1[[#This Row],[Year_Week]]&amp;"-"&amp;Table1[[#This Row],[DC_name_Xref]]</f>
        <v>#N/A</v>
      </c>
      <c r="B2333" s="19" t="str">
        <f>Table1[[#This Row],[Fiscal_Year]]*100+Table1[[#This Row],[Fiscal_Week]] &amp; "-" &amp;Table1[[#This Row],[BRAND]]</f>
        <v>0-</v>
      </c>
      <c r="C2333" s="19" t="str">
        <f>Table1[[#This Row],[Fiscal_Year]]&amp;"-"&amp;Table1[[#This Row],[BRAND]]</f>
        <v>-</v>
      </c>
      <c r="J2333" t="e">
        <f>VLOOKUP(H2333,DC_Xref!A:B,2,FALSE)</f>
        <v>#N/A</v>
      </c>
      <c r="K2333">
        <f t="shared" si="36"/>
        <v>0</v>
      </c>
      <c r="L23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3" s="3">
        <f>IFERROR(INDEX(Table3[#All],MATCH(Table1[[#This Row],[Key_Year_Week_Brand]],Table3[[#All],[Key_Year_Week_Brand]],0),MATCH(Table1[[#This Row],[DC_name_Xref]],Table3[#Headers],0)),0)</f>
        <v>0</v>
      </c>
      <c r="O2333" s="19">
        <f>IFERROR(INDEX(Table35[#All],MATCH(Table1[[#This Row],[Key_Year_Week_Brand]],Table35[[#All],[Key_Year_Month_Brand]],0),MATCH(Table1[[#This Row],[DC_name_Xref]],Table35[#Headers],0)),0)</f>
        <v>0</v>
      </c>
    </row>
    <row r="2334" spans="1:15" x14ac:dyDescent="0.3">
      <c r="A2334" s="19" t="e">
        <f>Table1[[#This Row],[Year_Week]]&amp;"-"&amp;Table1[[#This Row],[DC_name_Xref]]</f>
        <v>#N/A</v>
      </c>
      <c r="B2334" s="19" t="str">
        <f>Table1[[#This Row],[Fiscal_Year]]*100+Table1[[#This Row],[Fiscal_Week]] &amp; "-" &amp;Table1[[#This Row],[BRAND]]</f>
        <v>0-</v>
      </c>
      <c r="C2334" s="19" t="str">
        <f>Table1[[#This Row],[Fiscal_Year]]&amp;"-"&amp;Table1[[#This Row],[BRAND]]</f>
        <v>-</v>
      </c>
      <c r="J2334" t="e">
        <f>VLOOKUP(H2334,DC_Xref!A:B,2,FALSE)</f>
        <v>#N/A</v>
      </c>
      <c r="K2334">
        <f t="shared" si="36"/>
        <v>0</v>
      </c>
      <c r="L23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4" s="3">
        <f>IFERROR(INDEX(Table3[#All],MATCH(Table1[[#This Row],[Key_Year_Week_Brand]],Table3[[#All],[Key_Year_Week_Brand]],0),MATCH(Table1[[#This Row],[DC_name_Xref]],Table3[#Headers],0)),0)</f>
        <v>0</v>
      </c>
      <c r="O2334" s="19">
        <f>IFERROR(INDEX(Table35[#All],MATCH(Table1[[#This Row],[Key_Year_Week_Brand]],Table35[[#All],[Key_Year_Month_Brand]],0),MATCH(Table1[[#This Row],[DC_name_Xref]],Table35[#Headers],0)),0)</f>
        <v>0</v>
      </c>
    </row>
    <row r="2335" spans="1:15" x14ac:dyDescent="0.3">
      <c r="A2335" s="19" t="e">
        <f>Table1[[#This Row],[Year_Week]]&amp;"-"&amp;Table1[[#This Row],[DC_name_Xref]]</f>
        <v>#N/A</v>
      </c>
      <c r="B2335" s="19" t="str">
        <f>Table1[[#This Row],[Fiscal_Year]]*100+Table1[[#This Row],[Fiscal_Week]] &amp; "-" &amp;Table1[[#This Row],[BRAND]]</f>
        <v>0-</v>
      </c>
      <c r="C2335" s="19" t="str">
        <f>Table1[[#This Row],[Fiscal_Year]]&amp;"-"&amp;Table1[[#This Row],[BRAND]]</f>
        <v>-</v>
      </c>
      <c r="J2335" t="e">
        <f>VLOOKUP(H2335,DC_Xref!A:B,2,FALSE)</f>
        <v>#N/A</v>
      </c>
      <c r="K2335">
        <f t="shared" si="36"/>
        <v>0</v>
      </c>
      <c r="L23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5" s="3">
        <f>IFERROR(INDEX(Table3[#All],MATCH(Table1[[#This Row],[Key_Year_Week_Brand]],Table3[[#All],[Key_Year_Week_Brand]],0),MATCH(Table1[[#This Row],[DC_name_Xref]],Table3[#Headers],0)),0)</f>
        <v>0</v>
      </c>
      <c r="O2335" s="19">
        <f>IFERROR(INDEX(Table35[#All],MATCH(Table1[[#This Row],[Key_Year_Week_Brand]],Table35[[#All],[Key_Year_Month_Brand]],0),MATCH(Table1[[#This Row],[DC_name_Xref]],Table35[#Headers],0)),0)</f>
        <v>0</v>
      </c>
    </row>
    <row r="2336" spans="1:15" x14ac:dyDescent="0.3">
      <c r="A2336" s="19" t="e">
        <f>Table1[[#This Row],[Year_Week]]&amp;"-"&amp;Table1[[#This Row],[DC_name_Xref]]</f>
        <v>#N/A</v>
      </c>
      <c r="B2336" s="19" t="str">
        <f>Table1[[#This Row],[Fiscal_Year]]*100+Table1[[#This Row],[Fiscal_Week]] &amp; "-" &amp;Table1[[#This Row],[BRAND]]</f>
        <v>0-</v>
      </c>
      <c r="C2336" s="19" t="str">
        <f>Table1[[#This Row],[Fiscal_Year]]&amp;"-"&amp;Table1[[#This Row],[BRAND]]</f>
        <v>-</v>
      </c>
      <c r="J2336" t="e">
        <f>VLOOKUP(H2336,DC_Xref!A:B,2,FALSE)</f>
        <v>#N/A</v>
      </c>
      <c r="K2336">
        <f t="shared" si="36"/>
        <v>0</v>
      </c>
      <c r="L23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6" s="3">
        <f>IFERROR(INDEX(Table3[#All],MATCH(Table1[[#This Row],[Key_Year_Week_Brand]],Table3[[#All],[Key_Year_Week_Brand]],0),MATCH(Table1[[#This Row],[DC_name_Xref]],Table3[#Headers],0)),0)</f>
        <v>0</v>
      </c>
      <c r="O2336" s="19">
        <f>IFERROR(INDEX(Table35[#All],MATCH(Table1[[#This Row],[Key_Year_Week_Brand]],Table35[[#All],[Key_Year_Month_Brand]],0),MATCH(Table1[[#This Row],[DC_name_Xref]],Table35[#Headers],0)),0)</f>
        <v>0</v>
      </c>
    </row>
    <row r="2337" spans="1:15" x14ac:dyDescent="0.3">
      <c r="A2337" s="19" t="e">
        <f>Table1[[#This Row],[Year_Week]]&amp;"-"&amp;Table1[[#This Row],[DC_name_Xref]]</f>
        <v>#N/A</v>
      </c>
      <c r="B2337" s="19" t="str">
        <f>Table1[[#This Row],[Fiscal_Year]]*100+Table1[[#This Row],[Fiscal_Week]] &amp; "-" &amp;Table1[[#This Row],[BRAND]]</f>
        <v>0-</v>
      </c>
      <c r="C2337" s="19" t="str">
        <f>Table1[[#This Row],[Fiscal_Year]]&amp;"-"&amp;Table1[[#This Row],[BRAND]]</f>
        <v>-</v>
      </c>
      <c r="J2337" t="e">
        <f>VLOOKUP(H2337,DC_Xref!A:B,2,FALSE)</f>
        <v>#N/A</v>
      </c>
      <c r="K2337">
        <f t="shared" si="36"/>
        <v>0</v>
      </c>
      <c r="L23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7" s="3">
        <f>IFERROR(INDEX(Table3[#All],MATCH(Table1[[#This Row],[Key_Year_Week_Brand]],Table3[[#All],[Key_Year_Week_Brand]],0),MATCH(Table1[[#This Row],[DC_name_Xref]],Table3[#Headers],0)),0)</f>
        <v>0</v>
      </c>
      <c r="O2337" s="19">
        <f>IFERROR(INDEX(Table35[#All],MATCH(Table1[[#This Row],[Key_Year_Week_Brand]],Table35[[#All],[Key_Year_Month_Brand]],0),MATCH(Table1[[#This Row],[DC_name_Xref]],Table35[#Headers],0)),0)</f>
        <v>0</v>
      </c>
    </row>
    <row r="2338" spans="1:15" x14ac:dyDescent="0.3">
      <c r="A2338" s="19" t="e">
        <f>Table1[[#This Row],[Year_Week]]&amp;"-"&amp;Table1[[#This Row],[DC_name_Xref]]</f>
        <v>#N/A</v>
      </c>
      <c r="B2338" s="19" t="str">
        <f>Table1[[#This Row],[Fiscal_Year]]*100+Table1[[#This Row],[Fiscal_Week]] &amp; "-" &amp;Table1[[#This Row],[BRAND]]</f>
        <v>0-</v>
      </c>
      <c r="C2338" s="19" t="str">
        <f>Table1[[#This Row],[Fiscal_Year]]&amp;"-"&amp;Table1[[#This Row],[BRAND]]</f>
        <v>-</v>
      </c>
      <c r="J2338" t="e">
        <f>VLOOKUP(H2338,DC_Xref!A:B,2,FALSE)</f>
        <v>#N/A</v>
      </c>
      <c r="K2338">
        <f t="shared" si="36"/>
        <v>0</v>
      </c>
      <c r="L23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8" s="3">
        <f>IFERROR(INDEX(Table3[#All],MATCH(Table1[[#This Row],[Key_Year_Week_Brand]],Table3[[#All],[Key_Year_Week_Brand]],0),MATCH(Table1[[#This Row],[DC_name_Xref]],Table3[#Headers],0)),0)</f>
        <v>0</v>
      </c>
      <c r="O2338" s="19">
        <f>IFERROR(INDEX(Table35[#All],MATCH(Table1[[#This Row],[Key_Year_Week_Brand]],Table35[[#All],[Key_Year_Month_Brand]],0),MATCH(Table1[[#This Row],[DC_name_Xref]],Table35[#Headers],0)),0)</f>
        <v>0</v>
      </c>
    </row>
    <row r="2339" spans="1:15" x14ac:dyDescent="0.3">
      <c r="A2339" s="19" t="e">
        <f>Table1[[#This Row],[Year_Week]]&amp;"-"&amp;Table1[[#This Row],[DC_name_Xref]]</f>
        <v>#N/A</v>
      </c>
      <c r="B2339" s="19" t="str">
        <f>Table1[[#This Row],[Fiscal_Year]]*100+Table1[[#This Row],[Fiscal_Week]] &amp; "-" &amp;Table1[[#This Row],[BRAND]]</f>
        <v>0-</v>
      </c>
      <c r="C2339" s="19" t="str">
        <f>Table1[[#This Row],[Fiscal_Year]]&amp;"-"&amp;Table1[[#This Row],[BRAND]]</f>
        <v>-</v>
      </c>
      <c r="J2339" t="e">
        <f>VLOOKUP(H2339,DC_Xref!A:B,2,FALSE)</f>
        <v>#N/A</v>
      </c>
      <c r="K2339">
        <f t="shared" si="36"/>
        <v>0</v>
      </c>
      <c r="L23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39" s="3">
        <f>IFERROR(INDEX(Table3[#All],MATCH(Table1[[#This Row],[Key_Year_Week_Brand]],Table3[[#All],[Key_Year_Week_Brand]],0),MATCH(Table1[[#This Row],[DC_name_Xref]],Table3[#Headers],0)),0)</f>
        <v>0</v>
      </c>
      <c r="O2339" s="19">
        <f>IFERROR(INDEX(Table35[#All],MATCH(Table1[[#This Row],[Key_Year_Week_Brand]],Table35[[#All],[Key_Year_Month_Brand]],0),MATCH(Table1[[#This Row],[DC_name_Xref]],Table35[#Headers],0)),0)</f>
        <v>0</v>
      </c>
    </row>
    <row r="2340" spans="1:15" x14ac:dyDescent="0.3">
      <c r="A2340" s="19" t="e">
        <f>Table1[[#This Row],[Year_Week]]&amp;"-"&amp;Table1[[#This Row],[DC_name_Xref]]</f>
        <v>#N/A</v>
      </c>
      <c r="B2340" s="19" t="str">
        <f>Table1[[#This Row],[Fiscal_Year]]*100+Table1[[#This Row],[Fiscal_Week]] &amp; "-" &amp;Table1[[#This Row],[BRAND]]</f>
        <v>0-</v>
      </c>
      <c r="C2340" s="19" t="str">
        <f>Table1[[#This Row],[Fiscal_Year]]&amp;"-"&amp;Table1[[#This Row],[BRAND]]</f>
        <v>-</v>
      </c>
      <c r="J2340" t="e">
        <f>VLOOKUP(H2340,DC_Xref!A:B,2,FALSE)</f>
        <v>#N/A</v>
      </c>
      <c r="K2340">
        <f t="shared" si="36"/>
        <v>0</v>
      </c>
      <c r="L23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0" s="3">
        <f>IFERROR(INDEX(Table3[#All],MATCH(Table1[[#This Row],[Key_Year_Week_Brand]],Table3[[#All],[Key_Year_Week_Brand]],0),MATCH(Table1[[#This Row],[DC_name_Xref]],Table3[#Headers],0)),0)</f>
        <v>0</v>
      </c>
      <c r="O2340" s="19">
        <f>IFERROR(INDEX(Table35[#All],MATCH(Table1[[#This Row],[Key_Year_Week_Brand]],Table35[[#All],[Key_Year_Month_Brand]],0),MATCH(Table1[[#This Row],[DC_name_Xref]],Table35[#Headers],0)),0)</f>
        <v>0</v>
      </c>
    </row>
    <row r="2341" spans="1:15" x14ac:dyDescent="0.3">
      <c r="A2341" s="19" t="e">
        <f>Table1[[#This Row],[Year_Week]]&amp;"-"&amp;Table1[[#This Row],[DC_name_Xref]]</f>
        <v>#N/A</v>
      </c>
      <c r="B2341" s="19" t="str">
        <f>Table1[[#This Row],[Fiscal_Year]]*100+Table1[[#This Row],[Fiscal_Week]] &amp; "-" &amp;Table1[[#This Row],[BRAND]]</f>
        <v>0-</v>
      </c>
      <c r="C2341" s="19" t="str">
        <f>Table1[[#This Row],[Fiscal_Year]]&amp;"-"&amp;Table1[[#This Row],[BRAND]]</f>
        <v>-</v>
      </c>
      <c r="J2341" t="e">
        <f>VLOOKUP(H2341,DC_Xref!A:B,2,FALSE)</f>
        <v>#N/A</v>
      </c>
      <c r="K2341">
        <f t="shared" si="36"/>
        <v>0</v>
      </c>
      <c r="L23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1" s="3">
        <f>IFERROR(INDEX(Table3[#All],MATCH(Table1[[#This Row],[Key_Year_Week_Brand]],Table3[[#All],[Key_Year_Week_Brand]],0),MATCH(Table1[[#This Row],[DC_name_Xref]],Table3[#Headers],0)),0)</f>
        <v>0</v>
      </c>
      <c r="O2341" s="19">
        <f>IFERROR(INDEX(Table35[#All],MATCH(Table1[[#This Row],[Key_Year_Week_Brand]],Table35[[#All],[Key_Year_Month_Brand]],0),MATCH(Table1[[#This Row],[DC_name_Xref]],Table35[#Headers],0)),0)</f>
        <v>0</v>
      </c>
    </row>
    <row r="2342" spans="1:15" x14ac:dyDescent="0.3">
      <c r="A2342" s="19" t="e">
        <f>Table1[[#This Row],[Year_Week]]&amp;"-"&amp;Table1[[#This Row],[DC_name_Xref]]</f>
        <v>#N/A</v>
      </c>
      <c r="B2342" s="19" t="str">
        <f>Table1[[#This Row],[Fiscal_Year]]*100+Table1[[#This Row],[Fiscal_Week]] &amp; "-" &amp;Table1[[#This Row],[BRAND]]</f>
        <v>0-</v>
      </c>
      <c r="C2342" s="19" t="str">
        <f>Table1[[#This Row],[Fiscal_Year]]&amp;"-"&amp;Table1[[#This Row],[BRAND]]</f>
        <v>-</v>
      </c>
      <c r="J2342" t="e">
        <f>VLOOKUP(H2342,DC_Xref!A:B,2,FALSE)</f>
        <v>#N/A</v>
      </c>
      <c r="K2342">
        <f t="shared" si="36"/>
        <v>0</v>
      </c>
      <c r="L23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2" s="3">
        <f>IFERROR(INDEX(Table3[#All],MATCH(Table1[[#This Row],[Key_Year_Week_Brand]],Table3[[#All],[Key_Year_Week_Brand]],0),MATCH(Table1[[#This Row],[DC_name_Xref]],Table3[#Headers],0)),0)</f>
        <v>0</v>
      </c>
      <c r="O2342" s="19">
        <f>IFERROR(INDEX(Table35[#All],MATCH(Table1[[#This Row],[Key_Year_Week_Brand]],Table35[[#All],[Key_Year_Month_Brand]],0),MATCH(Table1[[#This Row],[DC_name_Xref]],Table35[#Headers],0)),0)</f>
        <v>0</v>
      </c>
    </row>
    <row r="2343" spans="1:15" x14ac:dyDescent="0.3">
      <c r="A2343" s="19" t="e">
        <f>Table1[[#This Row],[Year_Week]]&amp;"-"&amp;Table1[[#This Row],[DC_name_Xref]]</f>
        <v>#N/A</v>
      </c>
      <c r="B2343" s="19" t="str">
        <f>Table1[[#This Row],[Fiscal_Year]]*100+Table1[[#This Row],[Fiscal_Week]] &amp; "-" &amp;Table1[[#This Row],[BRAND]]</f>
        <v>0-</v>
      </c>
      <c r="C2343" s="19" t="str">
        <f>Table1[[#This Row],[Fiscal_Year]]&amp;"-"&amp;Table1[[#This Row],[BRAND]]</f>
        <v>-</v>
      </c>
      <c r="J2343" t="e">
        <f>VLOOKUP(H2343,DC_Xref!A:B,2,FALSE)</f>
        <v>#N/A</v>
      </c>
      <c r="K2343">
        <f t="shared" si="36"/>
        <v>0</v>
      </c>
      <c r="L23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3" s="3">
        <f>IFERROR(INDEX(Table3[#All],MATCH(Table1[[#This Row],[Key_Year_Week_Brand]],Table3[[#All],[Key_Year_Week_Brand]],0),MATCH(Table1[[#This Row],[DC_name_Xref]],Table3[#Headers],0)),0)</f>
        <v>0</v>
      </c>
      <c r="O2343" s="19">
        <f>IFERROR(INDEX(Table35[#All],MATCH(Table1[[#This Row],[Key_Year_Week_Brand]],Table35[[#All],[Key_Year_Month_Brand]],0),MATCH(Table1[[#This Row],[DC_name_Xref]],Table35[#Headers],0)),0)</f>
        <v>0</v>
      </c>
    </row>
    <row r="2344" spans="1:15" x14ac:dyDescent="0.3">
      <c r="A2344" s="19" t="e">
        <f>Table1[[#This Row],[Year_Week]]&amp;"-"&amp;Table1[[#This Row],[DC_name_Xref]]</f>
        <v>#N/A</v>
      </c>
      <c r="B2344" s="19" t="str">
        <f>Table1[[#This Row],[Fiscal_Year]]*100+Table1[[#This Row],[Fiscal_Week]] &amp; "-" &amp;Table1[[#This Row],[BRAND]]</f>
        <v>0-</v>
      </c>
      <c r="C2344" s="19" t="str">
        <f>Table1[[#This Row],[Fiscal_Year]]&amp;"-"&amp;Table1[[#This Row],[BRAND]]</f>
        <v>-</v>
      </c>
      <c r="J2344" t="e">
        <f>VLOOKUP(H2344,DC_Xref!A:B,2,FALSE)</f>
        <v>#N/A</v>
      </c>
      <c r="K2344">
        <f t="shared" si="36"/>
        <v>0</v>
      </c>
      <c r="L23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4" s="3">
        <f>IFERROR(INDEX(Table3[#All],MATCH(Table1[[#This Row],[Key_Year_Week_Brand]],Table3[[#All],[Key_Year_Week_Brand]],0),MATCH(Table1[[#This Row],[DC_name_Xref]],Table3[#Headers],0)),0)</f>
        <v>0</v>
      </c>
      <c r="O2344" s="19">
        <f>IFERROR(INDEX(Table35[#All],MATCH(Table1[[#This Row],[Key_Year_Week_Brand]],Table35[[#All],[Key_Year_Month_Brand]],0),MATCH(Table1[[#This Row],[DC_name_Xref]],Table35[#Headers],0)),0)</f>
        <v>0</v>
      </c>
    </row>
    <row r="2345" spans="1:15" x14ac:dyDescent="0.3">
      <c r="A2345" s="19" t="e">
        <f>Table1[[#This Row],[Year_Week]]&amp;"-"&amp;Table1[[#This Row],[DC_name_Xref]]</f>
        <v>#N/A</v>
      </c>
      <c r="B2345" s="19" t="str">
        <f>Table1[[#This Row],[Fiscal_Year]]*100+Table1[[#This Row],[Fiscal_Week]] &amp; "-" &amp;Table1[[#This Row],[BRAND]]</f>
        <v>0-</v>
      </c>
      <c r="C2345" s="19" t="str">
        <f>Table1[[#This Row],[Fiscal_Year]]&amp;"-"&amp;Table1[[#This Row],[BRAND]]</f>
        <v>-</v>
      </c>
      <c r="J2345" t="e">
        <f>VLOOKUP(H2345,DC_Xref!A:B,2,FALSE)</f>
        <v>#N/A</v>
      </c>
      <c r="K2345">
        <f t="shared" si="36"/>
        <v>0</v>
      </c>
      <c r="L23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5" s="3">
        <f>IFERROR(INDEX(Table3[#All],MATCH(Table1[[#This Row],[Key_Year_Week_Brand]],Table3[[#All],[Key_Year_Week_Brand]],0),MATCH(Table1[[#This Row],[DC_name_Xref]],Table3[#Headers],0)),0)</f>
        <v>0</v>
      </c>
      <c r="O2345" s="19">
        <f>IFERROR(INDEX(Table35[#All],MATCH(Table1[[#This Row],[Key_Year_Week_Brand]],Table35[[#All],[Key_Year_Month_Brand]],0),MATCH(Table1[[#This Row],[DC_name_Xref]],Table35[#Headers],0)),0)</f>
        <v>0</v>
      </c>
    </row>
    <row r="2346" spans="1:15" x14ac:dyDescent="0.3">
      <c r="A2346" s="19" t="e">
        <f>Table1[[#This Row],[Year_Week]]&amp;"-"&amp;Table1[[#This Row],[DC_name_Xref]]</f>
        <v>#N/A</v>
      </c>
      <c r="B2346" s="19" t="str">
        <f>Table1[[#This Row],[Fiscal_Year]]*100+Table1[[#This Row],[Fiscal_Week]] &amp; "-" &amp;Table1[[#This Row],[BRAND]]</f>
        <v>0-</v>
      </c>
      <c r="C2346" s="19" t="str">
        <f>Table1[[#This Row],[Fiscal_Year]]&amp;"-"&amp;Table1[[#This Row],[BRAND]]</f>
        <v>-</v>
      </c>
      <c r="J2346" t="e">
        <f>VLOOKUP(H2346,DC_Xref!A:B,2,FALSE)</f>
        <v>#N/A</v>
      </c>
      <c r="K2346">
        <f t="shared" si="36"/>
        <v>0</v>
      </c>
      <c r="L23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6" s="3">
        <f>IFERROR(INDEX(Table3[#All],MATCH(Table1[[#This Row],[Key_Year_Week_Brand]],Table3[[#All],[Key_Year_Week_Brand]],0),MATCH(Table1[[#This Row],[DC_name_Xref]],Table3[#Headers],0)),0)</f>
        <v>0</v>
      </c>
      <c r="O2346" s="19">
        <f>IFERROR(INDEX(Table35[#All],MATCH(Table1[[#This Row],[Key_Year_Week_Brand]],Table35[[#All],[Key_Year_Month_Brand]],0),MATCH(Table1[[#This Row],[DC_name_Xref]],Table35[#Headers],0)),0)</f>
        <v>0</v>
      </c>
    </row>
    <row r="2347" spans="1:15" x14ac:dyDescent="0.3">
      <c r="A2347" s="19" t="e">
        <f>Table1[[#This Row],[Year_Week]]&amp;"-"&amp;Table1[[#This Row],[DC_name_Xref]]</f>
        <v>#N/A</v>
      </c>
      <c r="B2347" s="19" t="str">
        <f>Table1[[#This Row],[Fiscal_Year]]*100+Table1[[#This Row],[Fiscal_Week]] &amp; "-" &amp;Table1[[#This Row],[BRAND]]</f>
        <v>0-</v>
      </c>
      <c r="C2347" s="19" t="str">
        <f>Table1[[#This Row],[Fiscal_Year]]&amp;"-"&amp;Table1[[#This Row],[BRAND]]</f>
        <v>-</v>
      </c>
      <c r="J2347" t="e">
        <f>VLOOKUP(H2347,DC_Xref!A:B,2,FALSE)</f>
        <v>#N/A</v>
      </c>
      <c r="K2347">
        <f t="shared" si="36"/>
        <v>0</v>
      </c>
      <c r="L23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7" s="3">
        <f>IFERROR(INDEX(Table3[#All],MATCH(Table1[[#This Row],[Key_Year_Week_Brand]],Table3[[#All],[Key_Year_Week_Brand]],0),MATCH(Table1[[#This Row],[DC_name_Xref]],Table3[#Headers],0)),0)</f>
        <v>0</v>
      </c>
      <c r="O2347" s="19">
        <f>IFERROR(INDEX(Table35[#All],MATCH(Table1[[#This Row],[Key_Year_Week_Brand]],Table35[[#All],[Key_Year_Month_Brand]],0),MATCH(Table1[[#This Row],[DC_name_Xref]],Table35[#Headers],0)),0)</f>
        <v>0</v>
      </c>
    </row>
    <row r="2348" spans="1:15" x14ac:dyDescent="0.3">
      <c r="A2348" s="19" t="e">
        <f>Table1[[#This Row],[Year_Week]]&amp;"-"&amp;Table1[[#This Row],[DC_name_Xref]]</f>
        <v>#N/A</v>
      </c>
      <c r="B2348" s="19" t="str">
        <f>Table1[[#This Row],[Fiscal_Year]]*100+Table1[[#This Row],[Fiscal_Week]] &amp; "-" &amp;Table1[[#This Row],[BRAND]]</f>
        <v>0-</v>
      </c>
      <c r="C2348" s="19" t="str">
        <f>Table1[[#This Row],[Fiscal_Year]]&amp;"-"&amp;Table1[[#This Row],[BRAND]]</f>
        <v>-</v>
      </c>
      <c r="J2348" t="e">
        <f>VLOOKUP(H2348,DC_Xref!A:B,2,FALSE)</f>
        <v>#N/A</v>
      </c>
      <c r="K2348">
        <f t="shared" si="36"/>
        <v>0</v>
      </c>
      <c r="L23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8" s="3">
        <f>IFERROR(INDEX(Table3[#All],MATCH(Table1[[#This Row],[Key_Year_Week_Brand]],Table3[[#All],[Key_Year_Week_Brand]],0),MATCH(Table1[[#This Row],[DC_name_Xref]],Table3[#Headers],0)),0)</f>
        <v>0</v>
      </c>
      <c r="O2348" s="19">
        <f>IFERROR(INDEX(Table35[#All],MATCH(Table1[[#This Row],[Key_Year_Week_Brand]],Table35[[#All],[Key_Year_Month_Brand]],0),MATCH(Table1[[#This Row],[DC_name_Xref]],Table35[#Headers],0)),0)</f>
        <v>0</v>
      </c>
    </row>
    <row r="2349" spans="1:15" x14ac:dyDescent="0.3">
      <c r="A2349" s="19" t="e">
        <f>Table1[[#This Row],[Year_Week]]&amp;"-"&amp;Table1[[#This Row],[DC_name_Xref]]</f>
        <v>#N/A</v>
      </c>
      <c r="B2349" s="19" t="str">
        <f>Table1[[#This Row],[Fiscal_Year]]*100+Table1[[#This Row],[Fiscal_Week]] &amp; "-" &amp;Table1[[#This Row],[BRAND]]</f>
        <v>0-</v>
      </c>
      <c r="C2349" s="19" t="str">
        <f>Table1[[#This Row],[Fiscal_Year]]&amp;"-"&amp;Table1[[#This Row],[BRAND]]</f>
        <v>-</v>
      </c>
      <c r="J2349" t="e">
        <f>VLOOKUP(H2349,DC_Xref!A:B,2,FALSE)</f>
        <v>#N/A</v>
      </c>
      <c r="K2349">
        <f t="shared" si="36"/>
        <v>0</v>
      </c>
      <c r="L23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49" s="3">
        <f>IFERROR(INDEX(Table3[#All],MATCH(Table1[[#This Row],[Key_Year_Week_Brand]],Table3[[#All],[Key_Year_Week_Brand]],0),MATCH(Table1[[#This Row],[DC_name_Xref]],Table3[#Headers],0)),0)</f>
        <v>0</v>
      </c>
      <c r="O2349" s="19">
        <f>IFERROR(INDEX(Table35[#All],MATCH(Table1[[#This Row],[Key_Year_Week_Brand]],Table35[[#All],[Key_Year_Month_Brand]],0),MATCH(Table1[[#This Row],[DC_name_Xref]],Table35[#Headers],0)),0)</f>
        <v>0</v>
      </c>
    </row>
    <row r="2350" spans="1:15" x14ac:dyDescent="0.3">
      <c r="A2350" s="19" t="e">
        <f>Table1[[#This Row],[Year_Week]]&amp;"-"&amp;Table1[[#This Row],[DC_name_Xref]]</f>
        <v>#N/A</v>
      </c>
      <c r="B2350" s="19" t="str">
        <f>Table1[[#This Row],[Fiscal_Year]]*100+Table1[[#This Row],[Fiscal_Week]] &amp; "-" &amp;Table1[[#This Row],[BRAND]]</f>
        <v>0-</v>
      </c>
      <c r="C2350" s="19" t="str">
        <f>Table1[[#This Row],[Fiscal_Year]]&amp;"-"&amp;Table1[[#This Row],[BRAND]]</f>
        <v>-</v>
      </c>
      <c r="J2350" t="e">
        <f>VLOOKUP(H2350,DC_Xref!A:B,2,FALSE)</f>
        <v>#N/A</v>
      </c>
      <c r="K2350">
        <f t="shared" si="36"/>
        <v>0</v>
      </c>
      <c r="L23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0" s="3">
        <f>IFERROR(INDEX(Table3[#All],MATCH(Table1[[#This Row],[Key_Year_Week_Brand]],Table3[[#All],[Key_Year_Week_Brand]],0),MATCH(Table1[[#This Row],[DC_name_Xref]],Table3[#Headers],0)),0)</f>
        <v>0</v>
      </c>
      <c r="O2350" s="19">
        <f>IFERROR(INDEX(Table35[#All],MATCH(Table1[[#This Row],[Key_Year_Week_Brand]],Table35[[#All],[Key_Year_Month_Brand]],0),MATCH(Table1[[#This Row],[DC_name_Xref]],Table35[#Headers],0)),0)</f>
        <v>0</v>
      </c>
    </row>
    <row r="2351" spans="1:15" x14ac:dyDescent="0.3">
      <c r="A2351" s="19" t="e">
        <f>Table1[[#This Row],[Year_Week]]&amp;"-"&amp;Table1[[#This Row],[DC_name_Xref]]</f>
        <v>#N/A</v>
      </c>
      <c r="B2351" s="19" t="str">
        <f>Table1[[#This Row],[Fiscal_Year]]*100+Table1[[#This Row],[Fiscal_Week]] &amp; "-" &amp;Table1[[#This Row],[BRAND]]</f>
        <v>0-</v>
      </c>
      <c r="C2351" s="19" t="str">
        <f>Table1[[#This Row],[Fiscal_Year]]&amp;"-"&amp;Table1[[#This Row],[BRAND]]</f>
        <v>-</v>
      </c>
      <c r="J2351" t="e">
        <f>VLOOKUP(H2351,DC_Xref!A:B,2,FALSE)</f>
        <v>#N/A</v>
      </c>
      <c r="K2351">
        <f t="shared" si="36"/>
        <v>0</v>
      </c>
      <c r="L23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1" s="3">
        <f>IFERROR(INDEX(Table3[#All],MATCH(Table1[[#This Row],[Key_Year_Week_Brand]],Table3[[#All],[Key_Year_Week_Brand]],0),MATCH(Table1[[#This Row],[DC_name_Xref]],Table3[#Headers],0)),0)</f>
        <v>0</v>
      </c>
      <c r="O2351" s="19">
        <f>IFERROR(INDEX(Table35[#All],MATCH(Table1[[#This Row],[Key_Year_Week_Brand]],Table35[[#All],[Key_Year_Month_Brand]],0),MATCH(Table1[[#This Row],[DC_name_Xref]],Table35[#Headers],0)),0)</f>
        <v>0</v>
      </c>
    </row>
    <row r="2352" spans="1:15" x14ac:dyDescent="0.3">
      <c r="A2352" s="19" t="e">
        <f>Table1[[#This Row],[Year_Week]]&amp;"-"&amp;Table1[[#This Row],[DC_name_Xref]]</f>
        <v>#N/A</v>
      </c>
      <c r="B2352" s="19" t="str">
        <f>Table1[[#This Row],[Fiscal_Year]]*100+Table1[[#This Row],[Fiscal_Week]] &amp; "-" &amp;Table1[[#This Row],[BRAND]]</f>
        <v>0-</v>
      </c>
      <c r="C2352" s="19" t="str">
        <f>Table1[[#This Row],[Fiscal_Year]]&amp;"-"&amp;Table1[[#This Row],[BRAND]]</f>
        <v>-</v>
      </c>
      <c r="J2352" t="e">
        <f>VLOOKUP(H2352,DC_Xref!A:B,2,FALSE)</f>
        <v>#N/A</v>
      </c>
      <c r="K2352">
        <f t="shared" si="36"/>
        <v>0</v>
      </c>
      <c r="L23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2" s="3">
        <f>IFERROR(INDEX(Table3[#All],MATCH(Table1[[#This Row],[Key_Year_Week_Brand]],Table3[[#All],[Key_Year_Week_Brand]],0),MATCH(Table1[[#This Row],[DC_name_Xref]],Table3[#Headers],0)),0)</f>
        <v>0</v>
      </c>
      <c r="O2352" s="19">
        <f>IFERROR(INDEX(Table35[#All],MATCH(Table1[[#This Row],[Key_Year_Week_Brand]],Table35[[#All],[Key_Year_Month_Brand]],0),MATCH(Table1[[#This Row],[DC_name_Xref]],Table35[#Headers],0)),0)</f>
        <v>0</v>
      </c>
    </row>
    <row r="2353" spans="1:15" x14ac:dyDescent="0.3">
      <c r="A2353" s="19" t="e">
        <f>Table1[[#This Row],[Year_Week]]&amp;"-"&amp;Table1[[#This Row],[DC_name_Xref]]</f>
        <v>#N/A</v>
      </c>
      <c r="B2353" s="19" t="str">
        <f>Table1[[#This Row],[Fiscal_Year]]*100+Table1[[#This Row],[Fiscal_Week]] &amp; "-" &amp;Table1[[#This Row],[BRAND]]</f>
        <v>0-</v>
      </c>
      <c r="C2353" s="19" t="str">
        <f>Table1[[#This Row],[Fiscal_Year]]&amp;"-"&amp;Table1[[#This Row],[BRAND]]</f>
        <v>-</v>
      </c>
      <c r="J2353" t="e">
        <f>VLOOKUP(H2353,DC_Xref!A:B,2,FALSE)</f>
        <v>#N/A</v>
      </c>
      <c r="K2353">
        <f t="shared" si="36"/>
        <v>0</v>
      </c>
      <c r="L23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3" s="3">
        <f>IFERROR(INDEX(Table3[#All],MATCH(Table1[[#This Row],[Key_Year_Week_Brand]],Table3[[#All],[Key_Year_Week_Brand]],0),MATCH(Table1[[#This Row],[DC_name_Xref]],Table3[#Headers],0)),0)</f>
        <v>0</v>
      </c>
      <c r="O2353" s="19">
        <f>IFERROR(INDEX(Table35[#All],MATCH(Table1[[#This Row],[Key_Year_Week_Brand]],Table35[[#All],[Key_Year_Month_Brand]],0),MATCH(Table1[[#This Row],[DC_name_Xref]],Table35[#Headers],0)),0)</f>
        <v>0</v>
      </c>
    </row>
    <row r="2354" spans="1:15" x14ac:dyDescent="0.3">
      <c r="A2354" s="19" t="e">
        <f>Table1[[#This Row],[Year_Week]]&amp;"-"&amp;Table1[[#This Row],[DC_name_Xref]]</f>
        <v>#N/A</v>
      </c>
      <c r="B2354" s="19" t="str">
        <f>Table1[[#This Row],[Fiscal_Year]]*100+Table1[[#This Row],[Fiscal_Week]] &amp; "-" &amp;Table1[[#This Row],[BRAND]]</f>
        <v>0-</v>
      </c>
      <c r="C2354" s="19" t="str">
        <f>Table1[[#This Row],[Fiscal_Year]]&amp;"-"&amp;Table1[[#This Row],[BRAND]]</f>
        <v>-</v>
      </c>
      <c r="J2354" t="e">
        <f>VLOOKUP(H2354,DC_Xref!A:B,2,FALSE)</f>
        <v>#N/A</v>
      </c>
      <c r="K2354">
        <f t="shared" si="36"/>
        <v>0</v>
      </c>
      <c r="L23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4" s="3">
        <f>IFERROR(INDEX(Table3[#All],MATCH(Table1[[#This Row],[Key_Year_Week_Brand]],Table3[[#All],[Key_Year_Week_Brand]],0),MATCH(Table1[[#This Row],[DC_name_Xref]],Table3[#Headers],0)),0)</f>
        <v>0</v>
      </c>
      <c r="O2354" s="19">
        <f>IFERROR(INDEX(Table35[#All],MATCH(Table1[[#This Row],[Key_Year_Week_Brand]],Table35[[#All],[Key_Year_Month_Brand]],0),MATCH(Table1[[#This Row],[DC_name_Xref]],Table35[#Headers],0)),0)</f>
        <v>0</v>
      </c>
    </row>
    <row r="2355" spans="1:15" x14ac:dyDescent="0.3">
      <c r="A2355" s="19" t="e">
        <f>Table1[[#This Row],[Year_Week]]&amp;"-"&amp;Table1[[#This Row],[DC_name_Xref]]</f>
        <v>#N/A</v>
      </c>
      <c r="B2355" s="19" t="str">
        <f>Table1[[#This Row],[Fiscal_Year]]*100+Table1[[#This Row],[Fiscal_Week]] &amp; "-" &amp;Table1[[#This Row],[BRAND]]</f>
        <v>0-</v>
      </c>
      <c r="C2355" s="19" t="str">
        <f>Table1[[#This Row],[Fiscal_Year]]&amp;"-"&amp;Table1[[#This Row],[BRAND]]</f>
        <v>-</v>
      </c>
      <c r="J2355" t="e">
        <f>VLOOKUP(H2355,DC_Xref!A:B,2,FALSE)</f>
        <v>#N/A</v>
      </c>
      <c r="K2355">
        <f t="shared" si="36"/>
        <v>0</v>
      </c>
      <c r="L23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5" s="3">
        <f>IFERROR(INDEX(Table3[#All],MATCH(Table1[[#This Row],[Key_Year_Week_Brand]],Table3[[#All],[Key_Year_Week_Brand]],0),MATCH(Table1[[#This Row],[DC_name_Xref]],Table3[#Headers],0)),0)</f>
        <v>0</v>
      </c>
      <c r="O2355" s="19">
        <f>IFERROR(INDEX(Table35[#All],MATCH(Table1[[#This Row],[Key_Year_Week_Brand]],Table35[[#All],[Key_Year_Month_Brand]],0),MATCH(Table1[[#This Row],[DC_name_Xref]],Table35[#Headers],0)),0)</f>
        <v>0</v>
      </c>
    </row>
    <row r="2356" spans="1:15" x14ac:dyDescent="0.3">
      <c r="A2356" s="19" t="e">
        <f>Table1[[#This Row],[Year_Week]]&amp;"-"&amp;Table1[[#This Row],[DC_name_Xref]]</f>
        <v>#N/A</v>
      </c>
      <c r="B2356" s="19" t="str">
        <f>Table1[[#This Row],[Fiscal_Year]]*100+Table1[[#This Row],[Fiscal_Week]] &amp; "-" &amp;Table1[[#This Row],[BRAND]]</f>
        <v>0-</v>
      </c>
      <c r="C2356" s="19" t="str">
        <f>Table1[[#This Row],[Fiscal_Year]]&amp;"-"&amp;Table1[[#This Row],[BRAND]]</f>
        <v>-</v>
      </c>
      <c r="J2356" t="e">
        <f>VLOOKUP(H2356,DC_Xref!A:B,2,FALSE)</f>
        <v>#N/A</v>
      </c>
      <c r="K2356">
        <f t="shared" si="36"/>
        <v>0</v>
      </c>
      <c r="L23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6" s="3">
        <f>IFERROR(INDEX(Table3[#All],MATCH(Table1[[#This Row],[Key_Year_Week_Brand]],Table3[[#All],[Key_Year_Week_Brand]],0),MATCH(Table1[[#This Row],[DC_name_Xref]],Table3[#Headers],0)),0)</f>
        <v>0</v>
      </c>
      <c r="O2356" s="19">
        <f>IFERROR(INDEX(Table35[#All],MATCH(Table1[[#This Row],[Key_Year_Week_Brand]],Table35[[#All],[Key_Year_Month_Brand]],0),MATCH(Table1[[#This Row],[DC_name_Xref]],Table35[#Headers],0)),0)</f>
        <v>0</v>
      </c>
    </row>
    <row r="2357" spans="1:15" x14ac:dyDescent="0.3">
      <c r="A2357" s="19" t="e">
        <f>Table1[[#This Row],[Year_Week]]&amp;"-"&amp;Table1[[#This Row],[DC_name_Xref]]</f>
        <v>#N/A</v>
      </c>
      <c r="B2357" s="19" t="str">
        <f>Table1[[#This Row],[Fiscal_Year]]*100+Table1[[#This Row],[Fiscal_Week]] &amp; "-" &amp;Table1[[#This Row],[BRAND]]</f>
        <v>0-</v>
      </c>
      <c r="C2357" s="19" t="str">
        <f>Table1[[#This Row],[Fiscal_Year]]&amp;"-"&amp;Table1[[#This Row],[BRAND]]</f>
        <v>-</v>
      </c>
      <c r="J2357" t="e">
        <f>VLOOKUP(H2357,DC_Xref!A:B,2,FALSE)</f>
        <v>#N/A</v>
      </c>
      <c r="K2357">
        <f t="shared" si="36"/>
        <v>0</v>
      </c>
      <c r="L23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7" s="3">
        <f>IFERROR(INDEX(Table3[#All],MATCH(Table1[[#This Row],[Key_Year_Week_Brand]],Table3[[#All],[Key_Year_Week_Brand]],0),MATCH(Table1[[#This Row],[DC_name_Xref]],Table3[#Headers],0)),0)</f>
        <v>0</v>
      </c>
      <c r="O2357" s="19">
        <f>IFERROR(INDEX(Table35[#All],MATCH(Table1[[#This Row],[Key_Year_Week_Brand]],Table35[[#All],[Key_Year_Month_Brand]],0),MATCH(Table1[[#This Row],[DC_name_Xref]],Table35[#Headers],0)),0)</f>
        <v>0</v>
      </c>
    </row>
    <row r="2358" spans="1:15" x14ac:dyDescent="0.3">
      <c r="A2358" s="19" t="e">
        <f>Table1[[#This Row],[Year_Week]]&amp;"-"&amp;Table1[[#This Row],[DC_name_Xref]]</f>
        <v>#N/A</v>
      </c>
      <c r="B2358" s="19" t="str">
        <f>Table1[[#This Row],[Fiscal_Year]]*100+Table1[[#This Row],[Fiscal_Week]] &amp; "-" &amp;Table1[[#This Row],[BRAND]]</f>
        <v>0-</v>
      </c>
      <c r="C2358" s="19" t="str">
        <f>Table1[[#This Row],[Fiscal_Year]]&amp;"-"&amp;Table1[[#This Row],[BRAND]]</f>
        <v>-</v>
      </c>
      <c r="J2358" t="e">
        <f>VLOOKUP(H2358,DC_Xref!A:B,2,FALSE)</f>
        <v>#N/A</v>
      </c>
      <c r="K2358">
        <f t="shared" si="36"/>
        <v>0</v>
      </c>
      <c r="L23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8" s="3">
        <f>IFERROR(INDEX(Table3[#All],MATCH(Table1[[#This Row],[Key_Year_Week_Brand]],Table3[[#All],[Key_Year_Week_Brand]],0),MATCH(Table1[[#This Row],[DC_name_Xref]],Table3[#Headers],0)),0)</f>
        <v>0</v>
      </c>
      <c r="O2358" s="19">
        <f>IFERROR(INDEX(Table35[#All],MATCH(Table1[[#This Row],[Key_Year_Week_Brand]],Table35[[#All],[Key_Year_Month_Brand]],0),MATCH(Table1[[#This Row],[DC_name_Xref]],Table35[#Headers],0)),0)</f>
        <v>0</v>
      </c>
    </row>
    <row r="2359" spans="1:15" x14ac:dyDescent="0.3">
      <c r="A2359" s="19" t="e">
        <f>Table1[[#This Row],[Year_Week]]&amp;"-"&amp;Table1[[#This Row],[DC_name_Xref]]</f>
        <v>#N/A</v>
      </c>
      <c r="B2359" s="19" t="str">
        <f>Table1[[#This Row],[Fiscal_Year]]*100+Table1[[#This Row],[Fiscal_Week]] &amp; "-" &amp;Table1[[#This Row],[BRAND]]</f>
        <v>0-</v>
      </c>
      <c r="C2359" s="19" t="str">
        <f>Table1[[#This Row],[Fiscal_Year]]&amp;"-"&amp;Table1[[#This Row],[BRAND]]</f>
        <v>-</v>
      </c>
      <c r="J2359" t="e">
        <f>VLOOKUP(H2359,DC_Xref!A:B,2,FALSE)</f>
        <v>#N/A</v>
      </c>
      <c r="K2359">
        <f t="shared" si="36"/>
        <v>0</v>
      </c>
      <c r="L23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59" s="3">
        <f>IFERROR(INDEX(Table3[#All],MATCH(Table1[[#This Row],[Key_Year_Week_Brand]],Table3[[#All],[Key_Year_Week_Brand]],0),MATCH(Table1[[#This Row],[DC_name_Xref]],Table3[#Headers],0)),0)</f>
        <v>0</v>
      </c>
      <c r="O2359" s="19">
        <f>IFERROR(INDEX(Table35[#All],MATCH(Table1[[#This Row],[Key_Year_Week_Brand]],Table35[[#All],[Key_Year_Month_Brand]],0),MATCH(Table1[[#This Row],[DC_name_Xref]],Table35[#Headers],0)),0)</f>
        <v>0</v>
      </c>
    </row>
    <row r="2360" spans="1:15" x14ac:dyDescent="0.3">
      <c r="A2360" s="19" t="e">
        <f>Table1[[#This Row],[Year_Week]]&amp;"-"&amp;Table1[[#This Row],[DC_name_Xref]]</f>
        <v>#N/A</v>
      </c>
      <c r="B2360" s="19" t="str">
        <f>Table1[[#This Row],[Fiscal_Year]]*100+Table1[[#This Row],[Fiscal_Week]] &amp; "-" &amp;Table1[[#This Row],[BRAND]]</f>
        <v>0-</v>
      </c>
      <c r="C2360" s="19" t="str">
        <f>Table1[[#This Row],[Fiscal_Year]]&amp;"-"&amp;Table1[[#This Row],[BRAND]]</f>
        <v>-</v>
      </c>
      <c r="J2360" t="e">
        <f>VLOOKUP(H2360,DC_Xref!A:B,2,FALSE)</f>
        <v>#N/A</v>
      </c>
      <c r="K2360">
        <f t="shared" si="36"/>
        <v>0</v>
      </c>
      <c r="L23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0" s="3">
        <f>IFERROR(INDEX(Table3[#All],MATCH(Table1[[#This Row],[Key_Year_Week_Brand]],Table3[[#All],[Key_Year_Week_Brand]],0),MATCH(Table1[[#This Row],[DC_name_Xref]],Table3[#Headers],0)),0)</f>
        <v>0</v>
      </c>
      <c r="O2360" s="19">
        <f>IFERROR(INDEX(Table35[#All],MATCH(Table1[[#This Row],[Key_Year_Week_Brand]],Table35[[#All],[Key_Year_Month_Brand]],0),MATCH(Table1[[#This Row],[DC_name_Xref]],Table35[#Headers],0)),0)</f>
        <v>0</v>
      </c>
    </row>
    <row r="2361" spans="1:15" x14ac:dyDescent="0.3">
      <c r="A2361" s="19" t="e">
        <f>Table1[[#This Row],[Year_Week]]&amp;"-"&amp;Table1[[#This Row],[DC_name_Xref]]</f>
        <v>#N/A</v>
      </c>
      <c r="B2361" s="19" t="str">
        <f>Table1[[#This Row],[Fiscal_Year]]*100+Table1[[#This Row],[Fiscal_Week]] &amp; "-" &amp;Table1[[#This Row],[BRAND]]</f>
        <v>0-</v>
      </c>
      <c r="C2361" s="19" t="str">
        <f>Table1[[#This Row],[Fiscal_Year]]&amp;"-"&amp;Table1[[#This Row],[BRAND]]</f>
        <v>-</v>
      </c>
      <c r="J2361" t="e">
        <f>VLOOKUP(H2361,DC_Xref!A:B,2,FALSE)</f>
        <v>#N/A</v>
      </c>
      <c r="K2361">
        <f t="shared" si="36"/>
        <v>0</v>
      </c>
      <c r="L23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1" s="3">
        <f>IFERROR(INDEX(Table3[#All],MATCH(Table1[[#This Row],[Key_Year_Week_Brand]],Table3[[#All],[Key_Year_Week_Brand]],0),MATCH(Table1[[#This Row],[DC_name_Xref]],Table3[#Headers],0)),0)</f>
        <v>0</v>
      </c>
      <c r="O2361" s="19">
        <f>IFERROR(INDEX(Table35[#All],MATCH(Table1[[#This Row],[Key_Year_Week_Brand]],Table35[[#All],[Key_Year_Month_Brand]],0),MATCH(Table1[[#This Row],[DC_name_Xref]],Table35[#Headers],0)),0)</f>
        <v>0</v>
      </c>
    </row>
    <row r="2362" spans="1:15" x14ac:dyDescent="0.3">
      <c r="A2362" s="19" t="e">
        <f>Table1[[#This Row],[Year_Week]]&amp;"-"&amp;Table1[[#This Row],[DC_name_Xref]]</f>
        <v>#N/A</v>
      </c>
      <c r="B2362" s="19" t="str">
        <f>Table1[[#This Row],[Fiscal_Year]]*100+Table1[[#This Row],[Fiscal_Week]] &amp; "-" &amp;Table1[[#This Row],[BRAND]]</f>
        <v>0-</v>
      </c>
      <c r="C2362" s="19" t="str">
        <f>Table1[[#This Row],[Fiscal_Year]]&amp;"-"&amp;Table1[[#This Row],[BRAND]]</f>
        <v>-</v>
      </c>
      <c r="J2362" t="e">
        <f>VLOOKUP(H2362,DC_Xref!A:B,2,FALSE)</f>
        <v>#N/A</v>
      </c>
      <c r="K2362">
        <f t="shared" si="36"/>
        <v>0</v>
      </c>
      <c r="L23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2" s="3">
        <f>IFERROR(INDEX(Table3[#All],MATCH(Table1[[#This Row],[Key_Year_Week_Brand]],Table3[[#All],[Key_Year_Week_Brand]],0),MATCH(Table1[[#This Row],[DC_name_Xref]],Table3[#Headers],0)),0)</f>
        <v>0</v>
      </c>
      <c r="O2362" s="19">
        <f>IFERROR(INDEX(Table35[#All],MATCH(Table1[[#This Row],[Key_Year_Week_Brand]],Table35[[#All],[Key_Year_Month_Brand]],0),MATCH(Table1[[#This Row],[DC_name_Xref]],Table35[#Headers],0)),0)</f>
        <v>0</v>
      </c>
    </row>
    <row r="2363" spans="1:15" x14ac:dyDescent="0.3">
      <c r="A2363" s="19" t="e">
        <f>Table1[[#This Row],[Year_Week]]&amp;"-"&amp;Table1[[#This Row],[DC_name_Xref]]</f>
        <v>#N/A</v>
      </c>
      <c r="B2363" s="19" t="str">
        <f>Table1[[#This Row],[Fiscal_Year]]*100+Table1[[#This Row],[Fiscal_Week]] &amp; "-" &amp;Table1[[#This Row],[BRAND]]</f>
        <v>0-</v>
      </c>
      <c r="C2363" s="19" t="str">
        <f>Table1[[#This Row],[Fiscal_Year]]&amp;"-"&amp;Table1[[#This Row],[BRAND]]</f>
        <v>-</v>
      </c>
      <c r="J2363" t="e">
        <f>VLOOKUP(H2363,DC_Xref!A:B,2,FALSE)</f>
        <v>#N/A</v>
      </c>
      <c r="K2363">
        <f t="shared" si="36"/>
        <v>0</v>
      </c>
      <c r="L23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3" s="3">
        <f>IFERROR(INDEX(Table3[#All],MATCH(Table1[[#This Row],[Key_Year_Week_Brand]],Table3[[#All],[Key_Year_Week_Brand]],0),MATCH(Table1[[#This Row],[DC_name_Xref]],Table3[#Headers],0)),0)</f>
        <v>0</v>
      </c>
      <c r="O2363" s="19">
        <f>IFERROR(INDEX(Table35[#All],MATCH(Table1[[#This Row],[Key_Year_Week_Brand]],Table35[[#All],[Key_Year_Month_Brand]],0),MATCH(Table1[[#This Row],[DC_name_Xref]],Table35[#Headers],0)),0)</f>
        <v>0</v>
      </c>
    </row>
    <row r="2364" spans="1:15" x14ac:dyDescent="0.3">
      <c r="A2364" s="19" t="e">
        <f>Table1[[#This Row],[Year_Week]]&amp;"-"&amp;Table1[[#This Row],[DC_name_Xref]]</f>
        <v>#N/A</v>
      </c>
      <c r="B2364" s="19" t="str">
        <f>Table1[[#This Row],[Fiscal_Year]]*100+Table1[[#This Row],[Fiscal_Week]] &amp; "-" &amp;Table1[[#This Row],[BRAND]]</f>
        <v>0-</v>
      </c>
      <c r="C2364" s="19" t="str">
        <f>Table1[[#This Row],[Fiscal_Year]]&amp;"-"&amp;Table1[[#This Row],[BRAND]]</f>
        <v>-</v>
      </c>
      <c r="J2364" t="e">
        <f>VLOOKUP(H2364,DC_Xref!A:B,2,FALSE)</f>
        <v>#N/A</v>
      </c>
      <c r="K2364">
        <f t="shared" si="36"/>
        <v>0</v>
      </c>
      <c r="L23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4" s="3">
        <f>IFERROR(INDEX(Table3[#All],MATCH(Table1[[#This Row],[Key_Year_Week_Brand]],Table3[[#All],[Key_Year_Week_Brand]],0),MATCH(Table1[[#This Row],[DC_name_Xref]],Table3[#Headers],0)),0)</f>
        <v>0</v>
      </c>
      <c r="O2364" s="19">
        <f>IFERROR(INDEX(Table35[#All],MATCH(Table1[[#This Row],[Key_Year_Week_Brand]],Table35[[#All],[Key_Year_Month_Brand]],0),MATCH(Table1[[#This Row],[DC_name_Xref]],Table35[#Headers],0)),0)</f>
        <v>0</v>
      </c>
    </row>
    <row r="2365" spans="1:15" x14ac:dyDescent="0.3">
      <c r="A2365" s="19" t="e">
        <f>Table1[[#This Row],[Year_Week]]&amp;"-"&amp;Table1[[#This Row],[DC_name_Xref]]</f>
        <v>#N/A</v>
      </c>
      <c r="B2365" s="19" t="str">
        <f>Table1[[#This Row],[Fiscal_Year]]*100+Table1[[#This Row],[Fiscal_Week]] &amp; "-" &amp;Table1[[#This Row],[BRAND]]</f>
        <v>0-</v>
      </c>
      <c r="C2365" s="19" t="str">
        <f>Table1[[#This Row],[Fiscal_Year]]&amp;"-"&amp;Table1[[#This Row],[BRAND]]</f>
        <v>-</v>
      </c>
      <c r="J2365" t="e">
        <f>VLOOKUP(H2365,DC_Xref!A:B,2,FALSE)</f>
        <v>#N/A</v>
      </c>
      <c r="K2365">
        <f t="shared" si="36"/>
        <v>0</v>
      </c>
      <c r="L23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5" s="3">
        <f>IFERROR(INDEX(Table3[#All],MATCH(Table1[[#This Row],[Key_Year_Week_Brand]],Table3[[#All],[Key_Year_Week_Brand]],0),MATCH(Table1[[#This Row],[DC_name_Xref]],Table3[#Headers],0)),0)</f>
        <v>0</v>
      </c>
      <c r="O2365" s="19">
        <f>IFERROR(INDEX(Table35[#All],MATCH(Table1[[#This Row],[Key_Year_Week_Brand]],Table35[[#All],[Key_Year_Month_Brand]],0),MATCH(Table1[[#This Row],[DC_name_Xref]],Table35[#Headers],0)),0)</f>
        <v>0</v>
      </c>
    </row>
    <row r="2366" spans="1:15" x14ac:dyDescent="0.3">
      <c r="A2366" s="19" t="e">
        <f>Table1[[#This Row],[Year_Week]]&amp;"-"&amp;Table1[[#This Row],[DC_name_Xref]]</f>
        <v>#N/A</v>
      </c>
      <c r="B2366" s="19" t="str">
        <f>Table1[[#This Row],[Fiscal_Year]]*100+Table1[[#This Row],[Fiscal_Week]] &amp; "-" &amp;Table1[[#This Row],[BRAND]]</f>
        <v>0-</v>
      </c>
      <c r="C2366" s="19" t="str">
        <f>Table1[[#This Row],[Fiscal_Year]]&amp;"-"&amp;Table1[[#This Row],[BRAND]]</f>
        <v>-</v>
      </c>
      <c r="J2366" t="e">
        <f>VLOOKUP(H2366,DC_Xref!A:B,2,FALSE)</f>
        <v>#N/A</v>
      </c>
      <c r="K2366">
        <f t="shared" si="36"/>
        <v>0</v>
      </c>
      <c r="L23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6" s="3">
        <f>IFERROR(INDEX(Table3[#All],MATCH(Table1[[#This Row],[Key_Year_Week_Brand]],Table3[[#All],[Key_Year_Week_Brand]],0),MATCH(Table1[[#This Row],[DC_name_Xref]],Table3[#Headers],0)),0)</f>
        <v>0</v>
      </c>
      <c r="O2366" s="19">
        <f>IFERROR(INDEX(Table35[#All],MATCH(Table1[[#This Row],[Key_Year_Week_Brand]],Table35[[#All],[Key_Year_Month_Brand]],0),MATCH(Table1[[#This Row],[DC_name_Xref]],Table35[#Headers],0)),0)</f>
        <v>0</v>
      </c>
    </row>
    <row r="2367" spans="1:15" x14ac:dyDescent="0.3">
      <c r="A2367" s="19" t="e">
        <f>Table1[[#This Row],[Year_Week]]&amp;"-"&amp;Table1[[#This Row],[DC_name_Xref]]</f>
        <v>#N/A</v>
      </c>
      <c r="B2367" s="19" t="str">
        <f>Table1[[#This Row],[Fiscal_Year]]*100+Table1[[#This Row],[Fiscal_Week]] &amp; "-" &amp;Table1[[#This Row],[BRAND]]</f>
        <v>0-</v>
      </c>
      <c r="C2367" s="19" t="str">
        <f>Table1[[#This Row],[Fiscal_Year]]&amp;"-"&amp;Table1[[#This Row],[BRAND]]</f>
        <v>-</v>
      </c>
      <c r="J2367" t="e">
        <f>VLOOKUP(H2367,DC_Xref!A:B,2,FALSE)</f>
        <v>#N/A</v>
      </c>
      <c r="K2367">
        <f t="shared" si="36"/>
        <v>0</v>
      </c>
      <c r="L23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7" s="3">
        <f>IFERROR(INDEX(Table3[#All],MATCH(Table1[[#This Row],[Key_Year_Week_Brand]],Table3[[#All],[Key_Year_Week_Brand]],0),MATCH(Table1[[#This Row],[DC_name_Xref]],Table3[#Headers],0)),0)</f>
        <v>0</v>
      </c>
      <c r="O2367" s="19">
        <f>IFERROR(INDEX(Table35[#All],MATCH(Table1[[#This Row],[Key_Year_Week_Brand]],Table35[[#All],[Key_Year_Month_Brand]],0),MATCH(Table1[[#This Row],[DC_name_Xref]],Table35[#Headers],0)),0)</f>
        <v>0</v>
      </c>
    </row>
    <row r="2368" spans="1:15" x14ac:dyDescent="0.3">
      <c r="A2368" s="19" t="e">
        <f>Table1[[#This Row],[Year_Week]]&amp;"-"&amp;Table1[[#This Row],[DC_name_Xref]]</f>
        <v>#N/A</v>
      </c>
      <c r="B2368" s="19" t="str">
        <f>Table1[[#This Row],[Fiscal_Year]]*100+Table1[[#This Row],[Fiscal_Week]] &amp; "-" &amp;Table1[[#This Row],[BRAND]]</f>
        <v>0-</v>
      </c>
      <c r="C2368" s="19" t="str">
        <f>Table1[[#This Row],[Fiscal_Year]]&amp;"-"&amp;Table1[[#This Row],[BRAND]]</f>
        <v>-</v>
      </c>
      <c r="J2368" t="e">
        <f>VLOOKUP(H2368,DC_Xref!A:B,2,FALSE)</f>
        <v>#N/A</v>
      </c>
      <c r="K2368">
        <f t="shared" si="36"/>
        <v>0</v>
      </c>
      <c r="L23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8" s="3">
        <f>IFERROR(INDEX(Table3[#All],MATCH(Table1[[#This Row],[Key_Year_Week_Brand]],Table3[[#All],[Key_Year_Week_Brand]],0),MATCH(Table1[[#This Row],[DC_name_Xref]],Table3[#Headers],0)),0)</f>
        <v>0</v>
      </c>
      <c r="O2368" s="19">
        <f>IFERROR(INDEX(Table35[#All],MATCH(Table1[[#This Row],[Key_Year_Week_Brand]],Table35[[#All],[Key_Year_Month_Brand]],0),MATCH(Table1[[#This Row],[DC_name_Xref]],Table35[#Headers],0)),0)</f>
        <v>0</v>
      </c>
    </row>
    <row r="2369" spans="1:15" x14ac:dyDescent="0.3">
      <c r="A2369" s="19" t="e">
        <f>Table1[[#This Row],[Year_Week]]&amp;"-"&amp;Table1[[#This Row],[DC_name_Xref]]</f>
        <v>#N/A</v>
      </c>
      <c r="B2369" s="19" t="str">
        <f>Table1[[#This Row],[Fiscal_Year]]*100+Table1[[#This Row],[Fiscal_Week]] &amp; "-" &amp;Table1[[#This Row],[BRAND]]</f>
        <v>0-</v>
      </c>
      <c r="C2369" s="19" t="str">
        <f>Table1[[#This Row],[Fiscal_Year]]&amp;"-"&amp;Table1[[#This Row],[BRAND]]</f>
        <v>-</v>
      </c>
      <c r="J2369" t="e">
        <f>VLOOKUP(H2369,DC_Xref!A:B,2,FALSE)</f>
        <v>#N/A</v>
      </c>
      <c r="K2369">
        <f t="shared" si="36"/>
        <v>0</v>
      </c>
      <c r="L23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69" s="3">
        <f>IFERROR(INDEX(Table3[#All],MATCH(Table1[[#This Row],[Key_Year_Week_Brand]],Table3[[#All],[Key_Year_Week_Brand]],0),MATCH(Table1[[#This Row],[DC_name_Xref]],Table3[#Headers],0)),0)</f>
        <v>0</v>
      </c>
      <c r="O2369" s="19">
        <f>IFERROR(INDEX(Table35[#All],MATCH(Table1[[#This Row],[Key_Year_Week_Brand]],Table35[[#All],[Key_Year_Month_Brand]],0),MATCH(Table1[[#This Row],[DC_name_Xref]],Table35[#Headers],0)),0)</f>
        <v>0</v>
      </c>
    </row>
    <row r="2370" spans="1:15" x14ac:dyDescent="0.3">
      <c r="A2370" s="19" t="e">
        <f>Table1[[#This Row],[Year_Week]]&amp;"-"&amp;Table1[[#This Row],[DC_name_Xref]]</f>
        <v>#N/A</v>
      </c>
      <c r="B2370" s="19" t="str">
        <f>Table1[[#This Row],[Fiscal_Year]]*100+Table1[[#This Row],[Fiscal_Week]] &amp; "-" &amp;Table1[[#This Row],[BRAND]]</f>
        <v>0-</v>
      </c>
      <c r="C2370" s="19" t="str">
        <f>Table1[[#This Row],[Fiscal_Year]]&amp;"-"&amp;Table1[[#This Row],[BRAND]]</f>
        <v>-</v>
      </c>
      <c r="J2370" t="e">
        <f>VLOOKUP(H2370,DC_Xref!A:B,2,FALSE)</f>
        <v>#N/A</v>
      </c>
      <c r="K2370">
        <f t="shared" si="36"/>
        <v>0</v>
      </c>
      <c r="L23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0" s="3">
        <f>IFERROR(INDEX(Table3[#All],MATCH(Table1[[#This Row],[Key_Year_Week_Brand]],Table3[[#All],[Key_Year_Week_Brand]],0),MATCH(Table1[[#This Row],[DC_name_Xref]],Table3[#Headers],0)),0)</f>
        <v>0</v>
      </c>
      <c r="O2370" s="19">
        <f>IFERROR(INDEX(Table35[#All],MATCH(Table1[[#This Row],[Key_Year_Week_Brand]],Table35[[#All],[Key_Year_Month_Brand]],0),MATCH(Table1[[#This Row],[DC_name_Xref]],Table35[#Headers],0)),0)</f>
        <v>0</v>
      </c>
    </row>
    <row r="2371" spans="1:15" x14ac:dyDescent="0.3">
      <c r="A2371" s="19" t="e">
        <f>Table1[[#This Row],[Year_Week]]&amp;"-"&amp;Table1[[#This Row],[DC_name_Xref]]</f>
        <v>#N/A</v>
      </c>
      <c r="B2371" s="19" t="str">
        <f>Table1[[#This Row],[Fiscal_Year]]*100+Table1[[#This Row],[Fiscal_Week]] &amp; "-" &amp;Table1[[#This Row],[BRAND]]</f>
        <v>0-</v>
      </c>
      <c r="C2371" s="19" t="str">
        <f>Table1[[#This Row],[Fiscal_Year]]&amp;"-"&amp;Table1[[#This Row],[BRAND]]</f>
        <v>-</v>
      </c>
      <c r="J2371" t="e">
        <f>VLOOKUP(H2371,DC_Xref!A:B,2,FALSE)</f>
        <v>#N/A</v>
      </c>
      <c r="K2371">
        <f t="shared" si="36"/>
        <v>0</v>
      </c>
      <c r="L23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1" s="3">
        <f>IFERROR(INDEX(Table3[#All],MATCH(Table1[[#This Row],[Key_Year_Week_Brand]],Table3[[#All],[Key_Year_Week_Brand]],0),MATCH(Table1[[#This Row],[DC_name_Xref]],Table3[#Headers],0)),0)</f>
        <v>0</v>
      </c>
      <c r="O2371" s="19">
        <f>IFERROR(INDEX(Table35[#All],MATCH(Table1[[#This Row],[Key_Year_Week_Brand]],Table35[[#All],[Key_Year_Month_Brand]],0),MATCH(Table1[[#This Row],[DC_name_Xref]],Table35[#Headers],0)),0)</f>
        <v>0</v>
      </c>
    </row>
    <row r="2372" spans="1:15" x14ac:dyDescent="0.3">
      <c r="A2372" s="19" t="e">
        <f>Table1[[#This Row],[Year_Week]]&amp;"-"&amp;Table1[[#This Row],[DC_name_Xref]]</f>
        <v>#N/A</v>
      </c>
      <c r="B2372" s="19" t="str">
        <f>Table1[[#This Row],[Fiscal_Year]]*100+Table1[[#This Row],[Fiscal_Week]] &amp; "-" &amp;Table1[[#This Row],[BRAND]]</f>
        <v>0-</v>
      </c>
      <c r="C2372" s="19" t="str">
        <f>Table1[[#This Row],[Fiscal_Year]]&amp;"-"&amp;Table1[[#This Row],[BRAND]]</f>
        <v>-</v>
      </c>
      <c r="J2372" t="e">
        <f>VLOOKUP(H2372,DC_Xref!A:B,2,FALSE)</f>
        <v>#N/A</v>
      </c>
      <c r="K2372">
        <f t="shared" si="36"/>
        <v>0</v>
      </c>
      <c r="L23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2" s="3">
        <f>IFERROR(INDEX(Table3[#All],MATCH(Table1[[#This Row],[Key_Year_Week_Brand]],Table3[[#All],[Key_Year_Week_Brand]],0),MATCH(Table1[[#This Row],[DC_name_Xref]],Table3[#Headers],0)),0)</f>
        <v>0</v>
      </c>
      <c r="O2372" s="19">
        <f>IFERROR(INDEX(Table35[#All],MATCH(Table1[[#This Row],[Key_Year_Week_Brand]],Table35[[#All],[Key_Year_Month_Brand]],0),MATCH(Table1[[#This Row],[DC_name_Xref]],Table35[#Headers],0)),0)</f>
        <v>0</v>
      </c>
    </row>
    <row r="2373" spans="1:15" x14ac:dyDescent="0.3">
      <c r="A2373" s="19" t="e">
        <f>Table1[[#This Row],[Year_Week]]&amp;"-"&amp;Table1[[#This Row],[DC_name_Xref]]</f>
        <v>#N/A</v>
      </c>
      <c r="B2373" s="19" t="str">
        <f>Table1[[#This Row],[Fiscal_Year]]*100+Table1[[#This Row],[Fiscal_Week]] &amp; "-" &amp;Table1[[#This Row],[BRAND]]</f>
        <v>0-</v>
      </c>
      <c r="C2373" s="19" t="str">
        <f>Table1[[#This Row],[Fiscal_Year]]&amp;"-"&amp;Table1[[#This Row],[BRAND]]</f>
        <v>-</v>
      </c>
      <c r="J2373" t="e">
        <f>VLOOKUP(H2373,DC_Xref!A:B,2,FALSE)</f>
        <v>#N/A</v>
      </c>
      <c r="K2373">
        <f t="shared" si="36"/>
        <v>0</v>
      </c>
      <c r="L23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3" s="3">
        <f>IFERROR(INDEX(Table3[#All],MATCH(Table1[[#This Row],[Key_Year_Week_Brand]],Table3[[#All],[Key_Year_Week_Brand]],0),MATCH(Table1[[#This Row],[DC_name_Xref]],Table3[#Headers],0)),0)</f>
        <v>0</v>
      </c>
      <c r="O2373" s="19">
        <f>IFERROR(INDEX(Table35[#All],MATCH(Table1[[#This Row],[Key_Year_Week_Brand]],Table35[[#All],[Key_Year_Month_Brand]],0),MATCH(Table1[[#This Row],[DC_name_Xref]],Table35[#Headers],0)),0)</f>
        <v>0</v>
      </c>
    </row>
    <row r="2374" spans="1:15" x14ac:dyDescent="0.3">
      <c r="A2374" s="19" t="e">
        <f>Table1[[#This Row],[Year_Week]]&amp;"-"&amp;Table1[[#This Row],[DC_name_Xref]]</f>
        <v>#N/A</v>
      </c>
      <c r="B2374" s="19" t="str">
        <f>Table1[[#This Row],[Fiscal_Year]]*100+Table1[[#This Row],[Fiscal_Week]] &amp; "-" &amp;Table1[[#This Row],[BRAND]]</f>
        <v>0-</v>
      </c>
      <c r="C2374" s="19" t="str">
        <f>Table1[[#This Row],[Fiscal_Year]]&amp;"-"&amp;Table1[[#This Row],[BRAND]]</f>
        <v>-</v>
      </c>
      <c r="J2374" t="e">
        <f>VLOOKUP(H2374,DC_Xref!A:B,2,FALSE)</f>
        <v>#N/A</v>
      </c>
      <c r="K2374">
        <f t="shared" ref="K2374:K2437" si="37">D2374*100+E2374</f>
        <v>0</v>
      </c>
      <c r="L23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4" s="3">
        <f>IFERROR(INDEX(Table3[#All],MATCH(Table1[[#This Row],[Key_Year_Week_Brand]],Table3[[#All],[Key_Year_Week_Brand]],0),MATCH(Table1[[#This Row],[DC_name_Xref]],Table3[#Headers],0)),0)</f>
        <v>0</v>
      </c>
      <c r="O2374" s="19">
        <f>IFERROR(INDEX(Table35[#All],MATCH(Table1[[#This Row],[Key_Year_Week_Brand]],Table35[[#All],[Key_Year_Month_Brand]],0),MATCH(Table1[[#This Row],[DC_name_Xref]],Table35[#Headers],0)),0)</f>
        <v>0</v>
      </c>
    </row>
    <row r="2375" spans="1:15" x14ac:dyDescent="0.3">
      <c r="A2375" s="19" t="e">
        <f>Table1[[#This Row],[Year_Week]]&amp;"-"&amp;Table1[[#This Row],[DC_name_Xref]]</f>
        <v>#N/A</v>
      </c>
      <c r="B2375" s="19" t="str">
        <f>Table1[[#This Row],[Fiscal_Year]]*100+Table1[[#This Row],[Fiscal_Week]] &amp; "-" &amp;Table1[[#This Row],[BRAND]]</f>
        <v>0-</v>
      </c>
      <c r="C2375" s="19" t="str">
        <f>Table1[[#This Row],[Fiscal_Year]]&amp;"-"&amp;Table1[[#This Row],[BRAND]]</f>
        <v>-</v>
      </c>
      <c r="J2375" t="e">
        <f>VLOOKUP(H2375,DC_Xref!A:B,2,FALSE)</f>
        <v>#N/A</v>
      </c>
      <c r="K2375">
        <f t="shared" si="37"/>
        <v>0</v>
      </c>
      <c r="L23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5" s="3">
        <f>IFERROR(INDEX(Table3[#All],MATCH(Table1[[#This Row],[Key_Year_Week_Brand]],Table3[[#All],[Key_Year_Week_Brand]],0),MATCH(Table1[[#This Row],[DC_name_Xref]],Table3[#Headers],0)),0)</f>
        <v>0</v>
      </c>
      <c r="O2375" s="19">
        <f>IFERROR(INDEX(Table35[#All],MATCH(Table1[[#This Row],[Key_Year_Week_Brand]],Table35[[#All],[Key_Year_Month_Brand]],0),MATCH(Table1[[#This Row],[DC_name_Xref]],Table35[#Headers],0)),0)</f>
        <v>0</v>
      </c>
    </row>
    <row r="2376" spans="1:15" x14ac:dyDescent="0.3">
      <c r="A2376" s="19" t="e">
        <f>Table1[[#This Row],[Year_Week]]&amp;"-"&amp;Table1[[#This Row],[DC_name_Xref]]</f>
        <v>#N/A</v>
      </c>
      <c r="B2376" s="19" t="str">
        <f>Table1[[#This Row],[Fiscal_Year]]*100+Table1[[#This Row],[Fiscal_Week]] &amp; "-" &amp;Table1[[#This Row],[BRAND]]</f>
        <v>0-</v>
      </c>
      <c r="C2376" s="19" t="str">
        <f>Table1[[#This Row],[Fiscal_Year]]&amp;"-"&amp;Table1[[#This Row],[BRAND]]</f>
        <v>-</v>
      </c>
      <c r="J2376" t="e">
        <f>VLOOKUP(H2376,DC_Xref!A:B,2,FALSE)</f>
        <v>#N/A</v>
      </c>
      <c r="K2376">
        <f t="shared" si="37"/>
        <v>0</v>
      </c>
      <c r="L23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6" s="3">
        <f>IFERROR(INDEX(Table3[#All],MATCH(Table1[[#This Row],[Key_Year_Week_Brand]],Table3[[#All],[Key_Year_Week_Brand]],0),MATCH(Table1[[#This Row],[DC_name_Xref]],Table3[#Headers],0)),0)</f>
        <v>0</v>
      </c>
      <c r="O2376" s="19">
        <f>IFERROR(INDEX(Table35[#All],MATCH(Table1[[#This Row],[Key_Year_Week_Brand]],Table35[[#All],[Key_Year_Month_Brand]],0),MATCH(Table1[[#This Row],[DC_name_Xref]],Table35[#Headers],0)),0)</f>
        <v>0</v>
      </c>
    </row>
    <row r="2377" spans="1:15" x14ac:dyDescent="0.3">
      <c r="A2377" s="19" t="e">
        <f>Table1[[#This Row],[Year_Week]]&amp;"-"&amp;Table1[[#This Row],[DC_name_Xref]]</f>
        <v>#N/A</v>
      </c>
      <c r="B2377" s="19" t="str">
        <f>Table1[[#This Row],[Fiscal_Year]]*100+Table1[[#This Row],[Fiscal_Week]] &amp; "-" &amp;Table1[[#This Row],[BRAND]]</f>
        <v>0-</v>
      </c>
      <c r="C2377" s="19" t="str">
        <f>Table1[[#This Row],[Fiscal_Year]]&amp;"-"&amp;Table1[[#This Row],[BRAND]]</f>
        <v>-</v>
      </c>
      <c r="J2377" t="e">
        <f>VLOOKUP(H2377,DC_Xref!A:B,2,FALSE)</f>
        <v>#N/A</v>
      </c>
      <c r="K2377">
        <f t="shared" si="37"/>
        <v>0</v>
      </c>
      <c r="L23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7" s="3">
        <f>IFERROR(INDEX(Table3[#All],MATCH(Table1[[#This Row],[Key_Year_Week_Brand]],Table3[[#All],[Key_Year_Week_Brand]],0),MATCH(Table1[[#This Row],[DC_name_Xref]],Table3[#Headers],0)),0)</f>
        <v>0</v>
      </c>
      <c r="O2377" s="19">
        <f>IFERROR(INDEX(Table35[#All],MATCH(Table1[[#This Row],[Key_Year_Week_Brand]],Table35[[#All],[Key_Year_Month_Brand]],0),MATCH(Table1[[#This Row],[DC_name_Xref]],Table35[#Headers],0)),0)</f>
        <v>0</v>
      </c>
    </row>
    <row r="2378" spans="1:15" x14ac:dyDescent="0.3">
      <c r="A2378" s="19" t="e">
        <f>Table1[[#This Row],[Year_Week]]&amp;"-"&amp;Table1[[#This Row],[DC_name_Xref]]</f>
        <v>#N/A</v>
      </c>
      <c r="B2378" s="19" t="str">
        <f>Table1[[#This Row],[Fiscal_Year]]*100+Table1[[#This Row],[Fiscal_Week]] &amp; "-" &amp;Table1[[#This Row],[BRAND]]</f>
        <v>0-</v>
      </c>
      <c r="C2378" s="19" t="str">
        <f>Table1[[#This Row],[Fiscal_Year]]&amp;"-"&amp;Table1[[#This Row],[BRAND]]</f>
        <v>-</v>
      </c>
      <c r="J2378" t="e">
        <f>VLOOKUP(H2378,DC_Xref!A:B,2,FALSE)</f>
        <v>#N/A</v>
      </c>
      <c r="K2378">
        <f t="shared" si="37"/>
        <v>0</v>
      </c>
      <c r="L23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8" s="3">
        <f>IFERROR(INDEX(Table3[#All],MATCH(Table1[[#This Row],[Key_Year_Week_Brand]],Table3[[#All],[Key_Year_Week_Brand]],0),MATCH(Table1[[#This Row],[DC_name_Xref]],Table3[#Headers],0)),0)</f>
        <v>0</v>
      </c>
      <c r="O2378" s="19">
        <f>IFERROR(INDEX(Table35[#All],MATCH(Table1[[#This Row],[Key_Year_Week_Brand]],Table35[[#All],[Key_Year_Month_Brand]],0),MATCH(Table1[[#This Row],[DC_name_Xref]],Table35[#Headers],0)),0)</f>
        <v>0</v>
      </c>
    </row>
    <row r="2379" spans="1:15" x14ac:dyDescent="0.3">
      <c r="A2379" s="19" t="e">
        <f>Table1[[#This Row],[Year_Week]]&amp;"-"&amp;Table1[[#This Row],[DC_name_Xref]]</f>
        <v>#N/A</v>
      </c>
      <c r="B2379" s="19" t="str">
        <f>Table1[[#This Row],[Fiscal_Year]]*100+Table1[[#This Row],[Fiscal_Week]] &amp; "-" &amp;Table1[[#This Row],[BRAND]]</f>
        <v>0-</v>
      </c>
      <c r="C2379" s="19" t="str">
        <f>Table1[[#This Row],[Fiscal_Year]]&amp;"-"&amp;Table1[[#This Row],[BRAND]]</f>
        <v>-</v>
      </c>
      <c r="J2379" t="e">
        <f>VLOOKUP(H2379,DC_Xref!A:B,2,FALSE)</f>
        <v>#N/A</v>
      </c>
      <c r="K2379">
        <f t="shared" si="37"/>
        <v>0</v>
      </c>
      <c r="L23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79" s="3">
        <f>IFERROR(INDEX(Table3[#All],MATCH(Table1[[#This Row],[Key_Year_Week_Brand]],Table3[[#All],[Key_Year_Week_Brand]],0),MATCH(Table1[[#This Row],[DC_name_Xref]],Table3[#Headers],0)),0)</f>
        <v>0</v>
      </c>
      <c r="O2379" s="19">
        <f>IFERROR(INDEX(Table35[#All],MATCH(Table1[[#This Row],[Key_Year_Week_Brand]],Table35[[#All],[Key_Year_Month_Brand]],0),MATCH(Table1[[#This Row],[DC_name_Xref]],Table35[#Headers],0)),0)</f>
        <v>0</v>
      </c>
    </row>
    <row r="2380" spans="1:15" x14ac:dyDescent="0.3">
      <c r="A2380" s="19" t="e">
        <f>Table1[[#This Row],[Year_Week]]&amp;"-"&amp;Table1[[#This Row],[DC_name_Xref]]</f>
        <v>#N/A</v>
      </c>
      <c r="B2380" s="19" t="str">
        <f>Table1[[#This Row],[Fiscal_Year]]*100+Table1[[#This Row],[Fiscal_Week]] &amp; "-" &amp;Table1[[#This Row],[BRAND]]</f>
        <v>0-</v>
      </c>
      <c r="C2380" s="19" t="str">
        <f>Table1[[#This Row],[Fiscal_Year]]&amp;"-"&amp;Table1[[#This Row],[BRAND]]</f>
        <v>-</v>
      </c>
      <c r="J2380" t="e">
        <f>VLOOKUP(H2380,DC_Xref!A:B,2,FALSE)</f>
        <v>#N/A</v>
      </c>
      <c r="K2380">
        <f t="shared" si="37"/>
        <v>0</v>
      </c>
      <c r="L23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0" s="3">
        <f>IFERROR(INDEX(Table3[#All],MATCH(Table1[[#This Row],[Key_Year_Week_Brand]],Table3[[#All],[Key_Year_Week_Brand]],0),MATCH(Table1[[#This Row],[DC_name_Xref]],Table3[#Headers],0)),0)</f>
        <v>0</v>
      </c>
      <c r="O2380" s="19">
        <f>IFERROR(INDEX(Table35[#All],MATCH(Table1[[#This Row],[Key_Year_Week_Brand]],Table35[[#All],[Key_Year_Month_Brand]],0),MATCH(Table1[[#This Row],[DC_name_Xref]],Table35[#Headers],0)),0)</f>
        <v>0</v>
      </c>
    </row>
    <row r="2381" spans="1:15" x14ac:dyDescent="0.3">
      <c r="A2381" s="19" t="e">
        <f>Table1[[#This Row],[Year_Week]]&amp;"-"&amp;Table1[[#This Row],[DC_name_Xref]]</f>
        <v>#N/A</v>
      </c>
      <c r="B2381" s="19" t="str">
        <f>Table1[[#This Row],[Fiscal_Year]]*100+Table1[[#This Row],[Fiscal_Week]] &amp; "-" &amp;Table1[[#This Row],[BRAND]]</f>
        <v>0-</v>
      </c>
      <c r="C2381" s="19" t="str">
        <f>Table1[[#This Row],[Fiscal_Year]]&amp;"-"&amp;Table1[[#This Row],[BRAND]]</f>
        <v>-</v>
      </c>
      <c r="J2381" t="e">
        <f>VLOOKUP(H2381,DC_Xref!A:B,2,FALSE)</f>
        <v>#N/A</v>
      </c>
      <c r="K2381">
        <f t="shared" si="37"/>
        <v>0</v>
      </c>
      <c r="L23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1" s="3">
        <f>IFERROR(INDEX(Table3[#All],MATCH(Table1[[#This Row],[Key_Year_Week_Brand]],Table3[[#All],[Key_Year_Week_Brand]],0),MATCH(Table1[[#This Row],[DC_name_Xref]],Table3[#Headers],0)),0)</f>
        <v>0</v>
      </c>
      <c r="O2381" s="19">
        <f>IFERROR(INDEX(Table35[#All],MATCH(Table1[[#This Row],[Key_Year_Week_Brand]],Table35[[#All],[Key_Year_Month_Brand]],0),MATCH(Table1[[#This Row],[DC_name_Xref]],Table35[#Headers],0)),0)</f>
        <v>0</v>
      </c>
    </row>
    <row r="2382" spans="1:15" x14ac:dyDescent="0.3">
      <c r="A2382" s="19" t="e">
        <f>Table1[[#This Row],[Year_Week]]&amp;"-"&amp;Table1[[#This Row],[DC_name_Xref]]</f>
        <v>#N/A</v>
      </c>
      <c r="B2382" s="19" t="str">
        <f>Table1[[#This Row],[Fiscal_Year]]*100+Table1[[#This Row],[Fiscal_Week]] &amp; "-" &amp;Table1[[#This Row],[BRAND]]</f>
        <v>0-</v>
      </c>
      <c r="C2382" s="19" t="str">
        <f>Table1[[#This Row],[Fiscal_Year]]&amp;"-"&amp;Table1[[#This Row],[BRAND]]</f>
        <v>-</v>
      </c>
      <c r="J2382" t="e">
        <f>VLOOKUP(H2382,DC_Xref!A:B,2,FALSE)</f>
        <v>#N/A</v>
      </c>
      <c r="K2382">
        <f t="shared" si="37"/>
        <v>0</v>
      </c>
      <c r="L23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2" s="3">
        <f>IFERROR(INDEX(Table3[#All],MATCH(Table1[[#This Row],[Key_Year_Week_Brand]],Table3[[#All],[Key_Year_Week_Brand]],0),MATCH(Table1[[#This Row],[DC_name_Xref]],Table3[#Headers],0)),0)</f>
        <v>0</v>
      </c>
      <c r="O2382" s="19">
        <f>IFERROR(INDEX(Table35[#All],MATCH(Table1[[#This Row],[Key_Year_Week_Brand]],Table35[[#All],[Key_Year_Month_Brand]],0),MATCH(Table1[[#This Row],[DC_name_Xref]],Table35[#Headers],0)),0)</f>
        <v>0</v>
      </c>
    </row>
    <row r="2383" spans="1:15" x14ac:dyDescent="0.3">
      <c r="A2383" s="19" t="e">
        <f>Table1[[#This Row],[Year_Week]]&amp;"-"&amp;Table1[[#This Row],[DC_name_Xref]]</f>
        <v>#N/A</v>
      </c>
      <c r="B2383" s="19" t="str">
        <f>Table1[[#This Row],[Fiscal_Year]]*100+Table1[[#This Row],[Fiscal_Week]] &amp; "-" &amp;Table1[[#This Row],[BRAND]]</f>
        <v>0-</v>
      </c>
      <c r="C2383" s="19" t="str">
        <f>Table1[[#This Row],[Fiscal_Year]]&amp;"-"&amp;Table1[[#This Row],[BRAND]]</f>
        <v>-</v>
      </c>
      <c r="J2383" t="e">
        <f>VLOOKUP(H2383,DC_Xref!A:B,2,FALSE)</f>
        <v>#N/A</v>
      </c>
      <c r="K2383">
        <f t="shared" si="37"/>
        <v>0</v>
      </c>
      <c r="L23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3" s="3">
        <f>IFERROR(INDEX(Table3[#All],MATCH(Table1[[#This Row],[Key_Year_Week_Brand]],Table3[[#All],[Key_Year_Week_Brand]],0),MATCH(Table1[[#This Row],[DC_name_Xref]],Table3[#Headers],0)),0)</f>
        <v>0</v>
      </c>
      <c r="O2383" s="19">
        <f>IFERROR(INDEX(Table35[#All],MATCH(Table1[[#This Row],[Key_Year_Week_Brand]],Table35[[#All],[Key_Year_Month_Brand]],0),MATCH(Table1[[#This Row],[DC_name_Xref]],Table35[#Headers],0)),0)</f>
        <v>0</v>
      </c>
    </row>
    <row r="2384" spans="1:15" x14ac:dyDescent="0.3">
      <c r="A2384" s="19" t="e">
        <f>Table1[[#This Row],[Year_Week]]&amp;"-"&amp;Table1[[#This Row],[DC_name_Xref]]</f>
        <v>#N/A</v>
      </c>
      <c r="B2384" s="19" t="str">
        <f>Table1[[#This Row],[Fiscal_Year]]*100+Table1[[#This Row],[Fiscal_Week]] &amp; "-" &amp;Table1[[#This Row],[BRAND]]</f>
        <v>0-</v>
      </c>
      <c r="C2384" s="19" t="str">
        <f>Table1[[#This Row],[Fiscal_Year]]&amp;"-"&amp;Table1[[#This Row],[BRAND]]</f>
        <v>-</v>
      </c>
      <c r="J2384" t="e">
        <f>VLOOKUP(H2384,DC_Xref!A:B,2,FALSE)</f>
        <v>#N/A</v>
      </c>
      <c r="K2384">
        <f t="shared" si="37"/>
        <v>0</v>
      </c>
      <c r="L23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4" s="3">
        <f>IFERROR(INDEX(Table3[#All],MATCH(Table1[[#This Row],[Key_Year_Week_Brand]],Table3[[#All],[Key_Year_Week_Brand]],0),MATCH(Table1[[#This Row],[DC_name_Xref]],Table3[#Headers],0)),0)</f>
        <v>0</v>
      </c>
      <c r="O2384" s="19">
        <f>IFERROR(INDEX(Table35[#All],MATCH(Table1[[#This Row],[Key_Year_Week_Brand]],Table35[[#All],[Key_Year_Month_Brand]],0),MATCH(Table1[[#This Row],[DC_name_Xref]],Table35[#Headers],0)),0)</f>
        <v>0</v>
      </c>
    </row>
    <row r="2385" spans="1:15" x14ac:dyDescent="0.3">
      <c r="A2385" s="19" t="e">
        <f>Table1[[#This Row],[Year_Week]]&amp;"-"&amp;Table1[[#This Row],[DC_name_Xref]]</f>
        <v>#N/A</v>
      </c>
      <c r="B2385" s="19" t="str">
        <f>Table1[[#This Row],[Fiscal_Year]]*100+Table1[[#This Row],[Fiscal_Week]] &amp; "-" &amp;Table1[[#This Row],[BRAND]]</f>
        <v>0-</v>
      </c>
      <c r="C2385" s="19" t="str">
        <f>Table1[[#This Row],[Fiscal_Year]]&amp;"-"&amp;Table1[[#This Row],[BRAND]]</f>
        <v>-</v>
      </c>
      <c r="J2385" t="e">
        <f>VLOOKUP(H2385,DC_Xref!A:B,2,FALSE)</f>
        <v>#N/A</v>
      </c>
      <c r="K2385">
        <f t="shared" si="37"/>
        <v>0</v>
      </c>
      <c r="L23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5" s="3">
        <f>IFERROR(INDEX(Table3[#All],MATCH(Table1[[#This Row],[Key_Year_Week_Brand]],Table3[[#All],[Key_Year_Week_Brand]],0),MATCH(Table1[[#This Row],[DC_name_Xref]],Table3[#Headers],0)),0)</f>
        <v>0</v>
      </c>
      <c r="O2385" s="19">
        <f>IFERROR(INDEX(Table35[#All],MATCH(Table1[[#This Row],[Key_Year_Week_Brand]],Table35[[#All],[Key_Year_Month_Brand]],0),MATCH(Table1[[#This Row],[DC_name_Xref]],Table35[#Headers],0)),0)</f>
        <v>0</v>
      </c>
    </row>
    <row r="2386" spans="1:15" x14ac:dyDescent="0.3">
      <c r="A2386" s="19" t="e">
        <f>Table1[[#This Row],[Year_Week]]&amp;"-"&amp;Table1[[#This Row],[DC_name_Xref]]</f>
        <v>#N/A</v>
      </c>
      <c r="B2386" s="19" t="str">
        <f>Table1[[#This Row],[Fiscal_Year]]*100+Table1[[#This Row],[Fiscal_Week]] &amp; "-" &amp;Table1[[#This Row],[BRAND]]</f>
        <v>0-</v>
      </c>
      <c r="C2386" s="19" t="str">
        <f>Table1[[#This Row],[Fiscal_Year]]&amp;"-"&amp;Table1[[#This Row],[BRAND]]</f>
        <v>-</v>
      </c>
      <c r="J2386" t="e">
        <f>VLOOKUP(H2386,DC_Xref!A:B,2,FALSE)</f>
        <v>#N/A</v>
      </c>
      <c r="K2386">
        <f t="shared" si="37"/>
        <v>0</v>
      </c>
      <c r="L23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6" s="3">
        <f>IFERROR(INDEX(Table3[#All],MATCH(Table1[[#This Row],[Key_Year_Week_Brand]],Table3[[#All],[Key_Year_Week_Brand]],0),MATCH(Table1[[#This Row],[DC_name_Xref]],Table3[#Headers],0)),0)</f>
        <v>0</v>
      </c>
      <c r="O2386" s="19">
        <f>IFERROR(INDEX(Table35[#All],MATCH(Table1[[#This Row],[Key_Year_Week_Brand]],Table35[[#All],[Key_Year_Month_Brand]],0),MATCH(Table1[[#This Row],[DC_name_Xref]],Table35[#Headers],0)),0)</f>
        <v>0</v>
      </c>
    </row>
    <row r="2387" spans="1:15" x14ac:dyDescent="0.3">
      <c r="A2387" s="19" t="e">
        <f>Table1[[#This Row],[Year_Week]]&amp;"-"&amp;Table1[[#This Row],[DC_name_Xref]]</f>
        <v>#N/A</v>
      </c>
      <c r="B2387" s="19" t="str">
        <f>Table1[[#This Row],[Fiscal_Year]]*100+Table1[[#This Row],[Fiscal_Week]] &amp; "-" &amp;Table1[[#This Row],[BRAND]]</f>
        <v>0-</v>
      </c>
      <c r="C2387" s="19" t="str">
        <f>Table1[[#This Row],[Fiscal_Year]]&amp;"-"&amp;Table1[[#This Row],[BRAND]]</f>
        <v>-</v>
      </c>
      <c r="J2387" t="e">
        <f>VLOOKUP(H2387,DC_Xref!A:B,2,FALSE)</f>
        <v>#N/A</v>
      </c>
      <c r="K2387">
        <f t="shared" si="37"/>
        <v>0</v>
      </c>
      <c r="L23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7" s="3">
        <f>IFERROR(INDEX(Table3[#All],MATCH(Table1[[#This Row],[Key_Year_Week_Brand]],Table3[[#All],[Key_Year_Week_Brand]],0),MATCH(Table1[[#This Row],[DC_name_Xref]],Table3[#Headers],0)),0)</f>
        <v>0</v>
      </c>
      <c r="O2387" s="19">
        <f>IFERROR(INDEX(Table35[#All],MATCH(Table1[[#This Row],[Key_Year_Week_Brand]],Table35[[#All],[Key_Year_Month_Brand]],0),MATCH(Table1[[#This Row],[DC_name_Xref]],Table35[#Headers],0)),0)</f>
        <v>0</v>
      </c>
    </row>
    <row r="2388" spans="1:15" x14ac:dyDescent="0.3">
      <c r="A2388" s="19" t="e">
        <f>Table1[[#This Row],[Year_Week]]&amp;"-"&amp;Table1[[#This Row],[DC_name_Xref]]</f>
        <v>#N/A</v>
      </c>
      <c r="B2388" s="19" t="str">
        <f>Table1[[#This Row],[Fiscal_Year]]*100+Table1[[#This Row],[Fiscal_Week]] &amp; "-" &amp;Table1[[#This Row],[BRAND]]</f>
        <v>0-</v>
      </c>
      <c r="C2388" s="19" t="str">
        <f>Table1[[#This Row],[Fiscal_Year]]&amp;"-"&amp;Table1[[#This Row],[BRAND]]</f>
        <v>-</v>
      </c>
      <c r="J2388" t="e">
        <f>VLOOKUP(H2388,DC_Xref!A:B,2,FALSE)</f>
        <v>#N/A</v>
      </c>
      <c r="K2388">
        <f t="shared" si="37"/>
        <v>0</v>
      </c>
      <c r="L23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8" s="3">
        <f>IFERROR(INDEX(Table3[#All],MATCH(Table1[[#This Row],[Key_Year_Week_Brand]],Table3[[#All],[Key_Year_Week_Brand]],0),MATCH(Table1[[#This Row],[DC_name_Xref]],Table3[#Headers],0)),0)</f>
        <v>0</v>
      </c>
      <c r="O2388" s="19">
        <f>IFERROR(INDEX(Table35[#All],MATCH(Table1[[#This Row],[Key_Year_Week_Brand]],Table35[[#All],[Key_Year_Month_Brand]],0),MATCH(Table1[[#This Row],[DC_name_Xref]],Table35[#Headers],0)),0)</f>
        <v>0</v>
      </c>
    </row>
    <row r="2389" spans="1:15" x14ac:dyDescent="0.3">
      <c r="A2389" s="19" t="e">
        <f>Table1[[#This Row],[Year_Week]]&amp;"-"&amp;Table1[[#This Row],[DC_name_Xref]]</f>
        <v>#N/A</v>
      </c>
      <c r="B2389" s="19" t="str">
        <f>Table1[[#This Row],[Fiscal_Year]]*100+Table1[[#This Row],[Fiscal_Week]] &amp; "-" &amp;Table1[[#This Row],[BRAND]]</f>
        <v>0-</v>
      </c>
      <c r="C2389" s="19" t="str">
        <f>Table1[[#This Row],[Fiscal_Year]]&amp;"-"&amp;Table1[[#This Row],[BRAND]]</f>
        <v>-</v>
      </c>
      <c r="J2389" t="e">
        <f>VLOOKUP(H2389,DC_Xref!A:B,2,FALSE)</f>
        <v>#N/A</v>
      </c>
      <c r="K2389">
        <f t="shared" si="37"/>
        <v>0</v>
      </c>
      <c r="L23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89" s="3">
        <f>IFERROR(INDEX(Table3[#All],MATCH(Table1[[#This Row],[Key_Year_Week_Brand]],Table3[[#All],[Key_Year_Week_Brand]],0),MATCH(Table1[[#This Row],[DC_name_Xref]],Table3[#Headers],0)),0)</f>
        <v>0</v>
      </c>
      <c r="O2389" s="19">
        <f>IFERROR(INDEX(Table35[#All],MATCH(Table1[[#This Row],[Key_Year_Week_Brand]],Table35[[#All],[Key_Year_Month_Brand]],0),MATCH(Table1[[#This Row],[DC_name_Xref]],Table35[#Headers],0)),0)</f>
        <v>0</v>
      </c>
    </row>
    <row r="2390" spans="1:15" x14ac:dyDescent="0.3">
      <c r="A2390" s="19" t="e">
        <f>Table1[[#This Row],[Year_Week]]&amp;"-"&amp;Table1[[#This Row],[DC_name_Xref]]</f>
        <v>#N/A</v>
      </c>
      <c r="B2390" s="19" t="str">
        <f>Table1[[#This Row],[Fiscal_Year]]*100+Table1[[#This Row],[Fiscal_Week]] &amp; "-" &amp;Table1[[#This Row],[BRAND]]</f>
        <v>0-</v>
      </c>
      <c r="C2390" s="19" t="str">
        <f>Table1[[#This Row],[Fiscal_Year]]&amp;"-"&amp;Table1[[#This Row],[BRAND]]</f>
        <v>-</v>
      </c>
      <c r="J2390" t="e">
        <f>VLOOKUP(H2390,DC_Xref!A:B,2,FALSE)</f>
        <v>#N/A</v>
      </c>
      <c r="K2390">
        <f t="shared" si="37"/>
        <v>0</v>
      </c>
      <c r="L23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0" s="3">
        <f>IFERROR(INDEX(Table3[#All],MATCH(Table1[[#This Row],[Key_Year_Week_Brand]],Table3[[#All],[Key_Year_Week_Brand]],0),MATCH(Table1[[#This Row],[DC_name_Xref]],Table3[#Headers],0)),0)</f>
        <v>0</v>
      </c>
      <c r="O2390" s="19">
        <f>IFERROR(INDEX(Table35[#All],MATCH(Table1[[#This Row],[Key_Year_Week_Brand]],Table35[[#All],[Key_Year_Month_Brand]],0),MATCH(Table1[[#This Row],[DC_name_Xref]],Table35[#Headers],0)),0)</f>
        <v>0</v>
      </c>
    </row>
    <row r="2391" spans="1:15" x14ac:dyDescent="0.3">
      <c r="A2391" s="19" t="e">
        <f>Table1[[#This Row],[Year_Week]]&amp;"-"&amp;Table1[[#This Row],[DC_name_Xref]]</f>
        <v>#N/A</v>
      </c>
      <c r="B2391" s="19" t="str">
        <f>Table1[[#This Row],[Fiscal_Year]]*100+Table1[[#This Row],[Fiscal_Week]] &amp; "-" &amp;Table1[[#This Row],[BRAND]]</f>
        <v>0-</v>
      </c>
      <c r="C2391" s="19" t="str">
        <f>Table1[[#This Row],[Fiscal_Year]]&amp;"-"&amp;Table1[[#This Row],[BRAND]]</f>
        <v>-</v>
      </c>
      <c r="J2391" t="e">
        <f>VLOOKUP(H2391,DC_Xref!A:B,2,FALSE)</f>
        <v>#N/A</v>
      </c>
      <c r="K2391">
        <f t="shared" si="37"/>
        <v>0</v>
      </c>
      <c r="L23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1" s="3">
        <f>IFERROR(INDEX(Table3[#All],MATCH(Table1[[#This Row],[Key_Year_Week_Brand]],Table3[[#All],[Key_Year_Week_Brand]],0),MATCH(Table1[[#This Row],[DC_name_Xref]],Table3[#Headers],0)),0)</f>
        <v>0</v>
      </c>
      <c r="O2391" s="19">
        <f>IFERROR(INDEX(Table35[#All],MATCH(Table1[[#This Row],[Key_Year_Week_Brand]],Table35[[#All],[Key_Year_Month_Brand]],0),MATCH(Table1[[#This Row],[DC_name_Xref]],Table35[#Headers],0)),0)</f>
        <v>0</v>
      </c>
    </row>
    <row r="2392" spans="1:15" x14ac:dyDescent="0.3">
      <c r="A2392" s="19" t="e">
        <f>Table1[[#This Row],[Year_Week]]&amp;"-"&amp;Table1[[#This Row],[DC_name_Xref]]</f>
        <v>#N/A</v>
      </c>
      <c r="B2392" s="19" t="str">
        <f>Table1[[#This Row],[Fiscal_Year]]*100+Table1[[#This Row],[Fiscal_Week]] &amp; "-" &amp;Table1[[#This Row],[BRAND]]</f>
        <v>0-</v>
      </c>
      <c r="C2392" s="19" t="str">
        <f>Table1[[#This Row],[Fiscal_Year]]&amp;"-"&amp;Table1[[#This Row],[BRAND]]</f>
        <v>-</v>
      </c>
      <c r="J2392" t="e">
        <f>VLOOKUP(H2392,DC_Xref!A:B,2,FALSE)</f>
        <v>#N/A</v>
      </c>
      <c r="K2392">
        <f t="shared" si="37"/>
        <v>0</v>
      </c>
      <c r="L23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2" s="3">
        <f>IFERROR(INDEX(Table3[#All],MATCH(Table1[[#This Row],[Key_Year_Week_Brand]],Table3[[#All],[Key_Year_Week_Brand]],0),MATCH(Table1[[#This Row],[DC_name_Xref]],Table3[#Headers],0)),0)</f>
        <v>0</v>
      </c>
      <c r="O2392" s="19">
        <f>IFERROR(INDEX(Table35[#All],MATCH(Table1[[#This Row],[Key_Year_Week_Brand]],Table35[[#All],[Key_Year_Month_Brand]],0),MATCH(Table1[[#This Row],[DC_name_Xref]],Table35[#Headers],0)),0)</f>
        <v>0</v>
      </c>
    </row>
    <row r="2393" spans="1:15" x14ac:dyDescent="0.3">
      <c r="A2393" s="19" t="e">
        <f>Table1[[#This Row],[Year_Week]]&amp;"-"&amp;Table1[[#This Row],[DC_name_Xref]]</f>
        <v>#N/A</v>
      </c>
      <c r="B2393" s="19" t="str">
        <f>Table1[[#This Row],[Fiscal_Year]]*100+Table1[[#This Row],[Fiscal_Week]] &amp; "-" &amp;Table1[[#This Row],[BRAND]]</f>
        <v>0-</v>
      </c>
      <c r="C2393" s="19" t="str">
        <f>Table1[[#This Row],[Fiscal_Year]]&amp;"-"&amp;Table1[[#This Row],[BRAND]]</f>
        <v>-</v>
      </c>
      <c r="J2393" t="e">
        <f>VLOOKUP(H2393,DC_Xref!A:B,2,FALSE)</f>
        <v>#N/A</v>
      </c>
      <c r="K2393">
        <f t="shared" si="37"/>
        <v>0</v>
      </c>
      <c r="L23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3" s="3">
        <f>IFERROR(INDEX(Table3[#All],MATCH(Table1[[#This Row],[Key_Year_Week_Brand]],Table3[[#All],[Key_Year_Week_Brand]],0),MATCH(Table1[[#This Row],[DC_name_Xref]],Table3[#Headers],0)),0)</f>
        <v>0</v>
      </c>
      <c r="O2393" s="19">
        <f>IFERROR(INDEX(Table35[#All],MATCH(Table1[[#This Row],[Key_Year_Week_Brand]],Table35[[#All],[Key_Year_Month_Brand]],0),MATCH(Table1[[#This Row],[DC_name_Xref]],Table35[#Headers],0)),0)</f>
        <v>0</v>
      </c>
    </row>
    <row r="2394" spans="1:15" x14ac:dyDescent="0.3">
      <c r="A2394" s="19" t="e">
        <f>Table1[[#This Row],[Year_Week]]&amp;"-"&amp;Table1[[#This Row],[DC_name_Xref]]</f>
        <v>#N/A</v>
      </c>
      <c r="B2394" s="19" t="str">
        <f>Table1[[#This Row],[Fiscal_Year]]*100+Table1[[#This Row],[Fiscal_Week]] &amp; "-" &amp;Table1[[#This Row],[BRAND]]</f>
        <v>0-</v>
      </c>
      <c r="C2394" s="19" t="str">
        <f>Table1[[#This Row],[Fiscal_Year]]&amp;"-"&amp;Table1[[#This Row],[BRAND]]</f>
        <v>-</v>
      </c>
      <c r="J2394" t="e">
        <f>VLOOKUP(H2394,DC_Xref!A:B,2,FALSE)</f>
        <v>#N/A</v>
      </c>
      <c r="K2394">
        <f t="shared" si="37"/>
        <v>0</v>
      </c>
      <c r="L23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4" s="3">
        <f>IFERROR(INDEX(Table3[#All],MATCH(Table1[[#This Row],[Key_Year_Week_Brand]],Table3[[#All],[Key_Year_Week_Brand]],0),MATCH(Table1[[#This Row],[DC_name_Xref]],Table3[#Headers],0)),0)</f>
        <v>0</v>
      </c>
      <c r="O2394" s="19">
        <f>IFERROR(INDEX(Table35[#All],MATCH(Table1[[#This Row],[Key_Year_Week_Brand]],Table35[[#All],[Key_Year_Month_Brand]],0),MATCH(Table1[[#This Row],[DC_name_Xref]],Table35[#Headers],0)),0)</f>
        <v>0</v>
      </c>
    </row>
    <row r="2395" spans="1:15" x14ac:dyDescent="0.3">
      <c r="A2395" s="19" t="e">
        <f>Table1[[#This Row],[Year_Week]]&amp;"-"&amp;Table1[[#This Row],[DC_name_Xref]]</f>
        <v>#N/A</v>
      </c>
      <c r="B2395" s="19" t="str">
        <f>Table1[[#This Row],[Fiscal_Year]]*100+Table1[[#This Row],[Fiscal_Week]] &amp; "-" &amp;Table1[[#This Row],[BRAND]]</f>
        <v>0-</v>
      </c>
      <c r="C2395" s="19" t="str">
        <f>Table1[[#This Row],[Fiscal_Year]]&amp;"-"&amp;Table1[[#This Row],[BRAND]]</f>
        <v>-</v>
      </c>
      <c r="J2395" t="e">
        <f>VLOOKUP(H2395,DC_Xref!A:B,2,FALSE)</f>
        <v>#N/A</v>
      </c>
      <c r="K2395">
        <f t="shared" si="37"/>
        <v>0</v>
      </c>
      <c r="L23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5" s="3">
        <f>IFERROR(INDEX(Table3[#All],MATCH(Table1[[#This Row],[Key_Year_Week_Brand]],Table3[[#All],[Key_Year_Week_Brand]],0),MATCH(Table1[[#This Row],[DC_name_Xref]],Table3[#Headers],0)),0)</f>
        <v>0</v>
      </c>
      <c r="O2395" s="19">
        <f>IFERROR(INDEX(Table35[#All],MATCH(Table1[[#This Row],[Key_Year_Week_Brand]],Table35[[#All],[Key_Year_Month_Brand]],0),MATCH(Table1[[#This Row],[DC_name_Xref]],Table35[#Headers],0)),0)</f>
        <v>0</v>
      </c>
    </row>
    <row r="2396" spans="1:15" x14ac:dyDescent="0.3">
      <c r="A2396" s="19" t="e">
        <f>Table1[[#This Row],[Year_Week]]&amp;"-"&amp;Table1[[#This Row],[DC_name_Xref]]</f>
        <v>#N/A</v>
      </c>
      <c r="B2396" s="19" t="str">
        <f>Table1[[#This Row],[Fiscal_Year]]*100+Table1[[#This Row],[Fiscal_Week]] &amp; "-" &amp;Table1[[#This Row],[BRAND]]</f>
        <v>0-</v>
      </c>
      <c r="C2396" s="19" t="str">
        <f>Table1[[#This Row],[Fiscal_Year]]&amp;"-"&amp;Table1[[#This Row],[BRAND]]</f>
        <v>-</v>
      </c>
      <c r="J2396" t="e">
        <f>VLOOKUP(H2396,DC_Xref!A:B,2,FALSE)</f>
        <v>#N/A</v>
      </c>
      <c r="K2396">
        <f t="shared" si="37"/>
        <v>0</v>
      </c>
      <c r="L23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6" s="3">
        <f>IFERROR(INDEX(Table3[#All],MATCH(Table1[[#This Row],[Key_Year_Week_Brand]],Table3[[#All],[Key_Year_Week_Brand]],0),MATCH(Table1[[#This Row],[DC_name_Xref]],Table3[#Headers],0)),0)</f>
        <v>0</v>
      </c>
      <c r="O2396" s="19">
        <f>IFERROR(INDEX(Table35[#All],MATCH(Table1[[#This Row],[Key_Year_Week_Brand]],Table35[[#All],[Key_Year_Month_Brand]],0),MATCH(Table1[[#This Row],[DC_name_Xref]],Table35[#Headers],0)),0)</f>
        <v>0</v>
      </c>
    </row>
    <row r="2397" spans="1:15" x14ac:dyDescent="0.3">
      <c r="A2397" s="19" t="e">
        <f>Table1[[#This Row],[Year_Week]]&amp;"-"&amp;Table1[[#This Row],[DC_name_Xref]]</f>
        <v>#N/A</v>
      </c>
      <c r="B2397" s="19" t="str">
        <f>Table1[[#This Row],[Fiscal_Year]]*100+Table1[[#This Row],[Fiscal_Week]] &amp; "-" &amp;Table1[[#This Row],[BRAND]]</f>
        <v>0-</v>
      </c>
      <c r="C2397" s="19" t="str">
        <f>Table1[[#This Row],[Fiscal_Year]]&amp;"-"&amp;Table1[[#This Row],[BRAND]]</f>
        <v>-</v>
      </c>
      <c r="J2397" t="e">
        <f>VLOOKUP(H2397,DC_Xref!A:B,2,FALSE)</f>
        <v>#N/A</v>
      </c>
      <c r="K2397">
        <f t="shared" si="37"/>
        <v>0</v>
      </c>
      <c r="L23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7" s="3">
        <f>IFERROR(INDEX(Table3[#All],MATCH(Table1[[#This Row],[Key_Year_Week_Brand]],Table3[[#All],[Key_Year_Week_Brand]],0),MATCH(Table1[[#This Row],[DC_name_Xref]],Table3[#Headers],0)),0)</f>
        <v>0</v>
      </c>
      <c r="O2397" s="19">
        <f>IFERROR(INDEX(Table35[#All],MATCH(Table1[[#This Row],[Key_Year_Week_Brand]],Table35[[#All],[Key_Year_Month_Brand]],0),MATCH(Table1[[#This Row],[DC_name_Xref]],Table35[#Headers],0)),0)</f>
        <v>0</v>
      </c>
    </row>
    <row r="2398" spans="1:15" x14ac:dyDescent="0.3">
      <c r="A2398" s="19" t="e">
        <f>Table1[[#This Row],[Year_Week]]&amp;"-"&amp;Table1[[#This Row],[DC_name_Xref]]</f>
        <v>#N/A</v>
      </c>
      <c r="B2398" s="19" t="str">
        <f>Table1[[#This Row],[Fiscal_Year]]*100+Table1[[#This Row],[Fiscal_Week]] &amp; "-" &amp;Table1[[#This Row],[BRAND]]</f>
        <v>0-</v>
      </c>
      <c r="C2398" s="19" t="str">
        <f>Table1[[#This Row],[Fiscal_Year]]&amp;"-"&amp;Table1[[#This Row],[BRAND]]</f>
        <v>-</v>
      </c>
      <c r="J2398" t="e">
        <f>VLOOKUP(H2398,DC_Xref!A:B,2,FALSE)</f>
        <v>#N/A</v>
      </c>
      <c r="K2398">
        <f t="shared" si="37"/>
        <v>0</v>
      </c>
      <c r="L23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8" s="3">
        <f>IFERROR(INDEX(Table3[#All],MATCH(Table1[[#This Row],[Key_Year_Week_Brand]],Table3[[#All],[Key_Year_Week_Brand]],0),MATCH(Table1[[#This Row],[DC_name_Xref]],Table3[#Headers],0)),0)</f>
        <v>0</v>
      </c>
      <c r="O2398" s="19">
        <f>IFERROR(INDEX(Table35[#All],MATCH(Table1[[#This Row],[Key_Year_Week_Brand]],Table35[[#All],[Key_Year_Month_Brand]],0),MATCH(Table1[[#This Row],[DC_name_Xref]],Table35[#Headers],0)),0)</f>
        <v>0</v>
      </c>
    </row>
    <row r="2399" spans="1:15" x14ac:dyDescent="0.3">
      <c r="A2399" s="19" t="e">
        <f>Table1[[#This Row],[Year_Week]]&amp;"-"&amp;Table1[[#This Row],[DC_name_Xref]]</f>
        <v>#N/A</v>
      </c>
      <c r="B2399" s="19" t="str">
        <f>Table1[[#This Row],[Fiscal_Year]]*100+Table1[[#This Row],[Fiscal_Week]] &amp; "-" &amp;Table1[[#This Row],[BRAND]]</f>
        <v>0-</v>
      </c>
      <c r="C2399" s="19" t="str">
        <f>Table1[[#This Row],[Fiscal_Year]]&amp;"-"&amp;Table1[[#This Row],[BRAND]]</f>
        <v>-</v>
      </c>
      <c r="J2399" t="e">
        <f>VLOOKUP(H2399,DC_Xref!A:B,2,FALSE)</f>
        <v>#N/A</v>
      </c>
      <c r="K2399">
        <f t="shared" si="37"/>
        <v>0</v>
      </c>
      <c r="L23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3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399" s="3">
        <f>IFERROR(INDEX(Table3[#All],MATCH(Table1[[#This Row],[Key_Year_Week_Brand]],Table3[[#All],[Key_Year_Week_Brand]],0),MATCH(Table1[[#This Row],[DC_name_Xref]],Table3[#Headers],0)),0)</f>
        <v>0</v>
      </c>
      <c r="O2399" s="19">
        <f>IFERROR(INDEX(Table35[#All],MATCH(Table1[[#This Row],[Key_Year_Week_Brand]],Table35[[#All],[Key_Year_Month_Brand]],0),MATCH(Table1[[#This Row],[DC_name_Xref]],Table35[#Headers],0)),0)</f>
        <v>0</v>
      </c>
    </row>
    <row r="2400" spans="1:15" x14ac:dyDescent="0.3">
      <c r="A2400" s="19" t="e">
        <f>Table1[[#This Row],[Year_Week]]&amp;"-"&amp;Table1[[#This Row],[DC_name_Xref]]</f>
        <v>#N/A</v>
      </c>
      <c r="B2400" s="19" t="str">
        <f>Table1[[#This Row],[Fiscal_Year]]*100+Table1[[#This Row],[Fiscal_Week]] &amp; "-" &amp;Table1[[#This Row],[BRAND]]</f>
        <v>0-</v>
      </c>
      <c r="C2400" s="19" t="str">
        <f>Table1[[#This Row],[Fiscal_Year]]&amp;"-"&amp;Table1[[#This Row],[BRAND]]</f>
        <v>-</v>
      </c>
      <c r="J2400" t="e">
        <f>VLOOKUP(H2400,DC_Xref!A:B,2,FALSE)</f>
        <v>#N/A</v>
      </c>
      <c r="K2400">
        <f t="shared" si="37"/>
        <v>0</v>
      </c>
      <c r="L24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0" s="3">
        <f>IFERROR(INDEX(Table3[#All],MATCH(Table1[[#This Row],[Key_Year_Week_Brand]],Table3[[#All],[Key_Year_Week_Brand]],0),MATCH(Table1[[#This Row],[DC_name_Xref]],Table3[#Headers],0)),0)</f>
        <v>0</v>
      </c>
      <c r="O2400" s="19">
        <f>IFERROR(INDEX(Table35[#All],MATCH(Table1[[#This Row],[Key_Year_Week_Brand]],Table35[[#All],[Key_Year_Month_Brand]],0),MATCH(Table1[[#This Row],[DC_name_Xref]],Table35[#Headers],0)),0)</f>
        <v>0</v>
      </c>
    </row>
    <row r="2401" spans="1:15" x14ac:dyDescent="0.3">
      <c r="A2401" s="19" t="e">
        <f>Table1[[#This Row],[Year_Week]]&amp;"-"&amp;Table1[[#This Row],[DC_name_Xref]]</f>
        <v>#N/A</v>
      </c>
      <c r="B2401" s="19" t="str">
        <f>Table1[[#This Row],[Fiscal_Year]]*100+Table1[[#This Row],[Fiscal_Week]] &amp; "-" &amp;Table1[[#This Row],[BRAND]]</f>
        <v>0-</v>
      </c>
      <c r="C2401" s="19" t="str">
        <f>Table1[[#This Row],[Fiscal_Year]]&amp;"-"&amp;Table1[[#This Row],[BRAND]]</f>
        <v>-</v>
      </c>
      <c r="J2401" t="e">
        <f>VLOOKUP(H2401,DC_Xref!A:B,2,FALSE)</f>
        <v>#N/A</v>
      </c>
      <c r="K2401">
        <f t="shared" si="37"/>
        <v>0</v>
      </c>
      <c r="L24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1" s="3">
        <f>IFERROR(INDEX(Table3[#All],MATCH(Table1[[#This Row],[Key_Year_Week_Brand]],Table3[[#All],[Key_Year_Week_Brand]],0),MATCH(Table1[[#This Row],[DC_name_Xref]],Table3[#Headers],0)),0)</f>
        <v>0</v>
      </c>
      <c r="O2401" s="19">
        <f>IFERROR(INDEX(Table35[#All],MATCH(Table1[[#This Row],[Key_Year_Week_Brand]],Table35[[#All],[Key_Year_Month_Brand]],0),MATCH(Table1[[#This Row],[DC_name_Xref]],Table35[#Headers],0)),0)</f>
        <v>0</v>
      </c>
    </row>
    <row r="2402" spans="1:15" x14ac:dyDescent="0.3">
      <c r="A2402" s="19" t="e">
        <f>Table1[[#This Row],[Year_Week]]&amp;"-"&amp;Table1[[#This Row],[DC_name_Xref]]</f>
        <v>#N/A</v>
      </c>
      <c r="B2402" s="19" t="str">
        <f>Table1[[#This Row],[Fiscal_Year]]*100+Table1[[#This Row],[Fiscal_Week]] &amp; "-" &amp;Table1[[#This Row],[BRAND]]</f>
        <v>0-</v>
      </c>
      <c r="C2402" s="19" t="str">
        <f>Table1[[#This Row],[Fiscal_Year]]&amp;"-"&amp;Table1[[#This Row],[BRAND]]</f>
        <v>-</v>
      </c>
      <c r="J2402" t="e">
        <f>VLOOKUP(H2402,DC_Xref!A:B,2,FALSE)</f>
        <v>#N/A</v>
      </c>
      <c r="K2402">
        <f t="shared" si="37"/>
        <v>0</v>
      </c>
      <c r="L24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2" s="3">
        <f>IFERROR(INDEX(Table3[#All],MATCH(Table1[[#This Row],[Key_Year_Week_Brand]],Table3[[#All],[Key_Year_Week_Brand]],0),MATCH(Table1[[#This Row],[DC_name_Xref]],Table3[#Headers],0)),0)</f>
        <v>0</v>
      </c>
      <c r="O2402" s="19">
        <f>IFERROR(INDEX(Table35[#All],MATCH(Table1[[#This Row],[Key_Year_Week_Brand]],Table35[[#All],[Key_Year_Month_Brand]],0),MATCH(Table1[[#This Row],[DC_name_Xref]],Table35[#Headers],0)),0)</f>
        <v>0</v>
      </c>
    </row>
    <row r="2403" spans="1:15" x14ac:dyDescent="0.3">
      <c r="A2403" s="19" t="e">
        <f>Table1[[#This Row],[Year_Week]]&amp;"-"&amp;Table1[[#This Row],[DC_name_Xref]]</f>
        <v>#N/A</v>
      </c>
      <c r="B2403" s="19" t="str">
        <f>Table1[[#This Row],[Fiscal_Year]]*100+Table1[[#This Row],[Fiscal_Week]] &amp; "-" &amp;Table1[[#This Row],[BRAND]]</f>
        <v>0-</v>
      </c>
      <c r="C2403" s="19" t="str">
        <f>Table1[[#This Row],[Fiscal_Year]]&amp;"-"&amp;Table1[[#This Row],[BRAND]]</f>
        <v>-</v>
      </c>
      <c r="J2403" t="e">
        <f>VLOOKUP(H2403,DC_Xref!A:B,2,FALSE)</f>
        <v>#N/A</v>
      </c>
      <c r="K2403">
        <f t="shared" si="37"/>
        <v>0</v>
      </c>
      <c r="L24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3" s="3">
        <f>IFERROR(INDEX(Table3[#All],MATCH(Table1[[#This Row],[Key_Year_Week_Brand]],Table3[[#All],[Key_Year_Week_Brand]],0),MATCH(Table1[[#This Row],[DC_name_Xref]],Table3[#Headers],0)),0)</f>
        <v>0</v>
      </c>
      <c r="O2403" s="19">
        <f>IFERROR(INDEX(Table35[#All],MATCH(Table1[[#This Row],[Key_Year_Week_Brand]],Table35[[#All],[Key_Year_Month_Brand]],0),MATCH(Table1[[#This Row],[DC_name_Xref]],Table35[#Headers],0)),0)</f>
        <v>0</v>
      </c>
    </row>
    <row r="2404" spans="1:15" x14ac:dyDescent="0.3">
      <c r="A2404" s="19" t="e">
        <f>Table1[[#This Row],[Year_Week]]&amp;"-"&amp;Table1[[#This Row],[DC_name_Xref]]</f>
        <v>#N/A</v>
      </c>
      <c r="B2404" s="19" t="str">
        <f>Table1[[#This Row],[Fiscal_Year]]*100+Table1[[#This Row],[Fiscal_Week]] &amp; "-" &amp;Table1[[#This Row],[BRAND]]</f>
        <v>0-</v>
      </c>
      <c r="C2404" s="19" t="str">
        <f>Table1[[#This Row],[Fiscal_Year]]&amp;"-"&amp;Table1[[#This Row],[BRAND]]</f>
        <v>-</v>
      </c>
      <c r="J2404" t="e">
        <f>VLOOKUP(H2404,DC_Xref!A:B,2,FALSE)</f>
        <v>#N/A</v>
      </c>
      <c r="K2404">
        <f t="shared" si="37"/>
        <v>0</v>
      </c>
      <c r="L24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4" s="3">
        <f>IFERROR(INDEX(Table3[#All],MATCH(Table1[[#This Row],[Key_Year_Week_Brand]],Table3[[#All],[Key_Year_Week_Brand]],0),MATCH(Table1[[#This Row],[DC_name_Xref]],Table3[#Headers],0)),0)</f>
        <v>0</v>
      </c>
      <c r="O2404" s="19">
        <f>IFERROR(INDEX(Table35[#All],MATCH(Table1[[#This Row],[Key_Year_Week_Brand]],Table35[[#All],[Key_Year_Month_Brand]],0),MATCH(Table1[[#This Row],[DC_name_Xref]],Table35[#Headers],0)),0)</f>
        <v>0</v>
      </c>
    </row>
    <row r="2405" spans="1:15" x14ac:dyDescent="0.3">
      <c r="A2405" s="19" t="e">
        <f>Table1[[#This Row],[Year_Week]]&amp;"-"&amp;Table1[[#This Row],[DC_name_Xref]]</f>
        <v>#N/A</v>
      </c>
      <c r="B2405" s="19" t="str">
        <f>Table1[[#This Row],[Fiscal_Year]]*100+Table1[[#This Row],[Fiscal_Week]] &amp; "-" &amp;Table1[[#This Row],[BRAND]]</f>
        <v>0-</v>
      </c>
      <c r="C2405" s="19" t="str">
        <f>Table1[[#This Row],[Fiscal_Year]]&amp;"-"&amp;Table1[[#This Row],[BRAND]]</f>
        <v>-</v>
      </c>
      <c r="J2405" t="e">
        <f>VLOOKUP(H2405,DC_Xref!A:B,2,FALSE)</f>
        <v>#N/A</v>
      </c>
      <c r="K2405">
        <f t="shared" si="37"/>
        <v>0</v>
      </c>
      <c r="L24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5" s="3">
        <f>IFERROR(INDEX(Table3[#All],MATCH(Table1[[#This Row],[Key_Year_Week_Brand]],Table3[[#All],[Key_Year_Week_Brand]],0),MATCH(Table1[[#This Row],[DC_name_Xref]],Table3[#Headers],0)),0)</f>
        <v>0</v>
      </c>
      <c r="O2405" s="19">
        <f>IFERROR(INDEX(Table35[#All],MATCH(Table1[[#This Row],[Key_Year_Week_Brand]],Table35[[#All],[Key_Year_Month_Brand]],0),MATCH(Table1[[#This Row],[DC_name_Xref]],Table35[#Headers],0)),0)</f>
        <v>0</v>
      </c>
    </row>
    <row r="2406" spans="1:15" x14ac:dyDescent="0.3">
      <c r="A2406" s="19" t="e">
        <f>Table1[[#This Row],[Year_Week]]&amp;"-"&amp;Table1[[#This Row],[DC_name_Xref]]</f>
        <v>#N/A</v>
      </c>
      <c r="B2406" s="19" t="str">
        <f>Table1[[#This Row],[Fiscal_Year]]*100+Table1[[#This Row],[Fiscal_Week]] &amp; "-" &amp;Table1[[#This Row],[BRAND]]</f>
        <v>0-</v>
      </c>
      <c r="C2406" s="19" t="str">
        <f>Table1[[#This Row],[Fiscal_Year]]&amp;"-"&amp;Table1[[#This Row],[BRAND]]</f>
        <v>-</v>
      </c>
      <c r="J2406" t="e">
        <f>VLOOKUP(H2406,DC_Xref!A:B,2,FALSE)</f>
        <v>#N/A</v>
      </c>
      <c r="K2406">
        <f t="shared" si="37"/>
        <v>0</v>
      </c>
      <c r="L24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6" s="3">
        <f>IFERROR(INDEX(Table3[#All],MATCH(Table1[[#This Row],[Key_Year_Week_Brand]],Table3[[#All],[Key_Year_Week_Brand]],0),MATCH(Table1[[#This Row],[DC_name_Xref]],Table3[#Headers],0)),0)</f>
        <v>0</v>
      </c>
      <c r="O2406" s="19">
        <f>IFERROR(INDEX(Table35[#All],MATCH(Table1[[#This Row],[Key_Year_Week_Brand]],Table35[[#All],[Key_Year_Month_Brand]],0),MATCH(Table1[[#This Row],[DC_name_Xref]],Table35[#Headers],0)),0)</f>
        <v>0</v>
      </c>
    </row>
    <row r="2407" spans="1:15" x14ac:dyDescent="0.3">
      <c r="A2407" s="19" t="e">
        <f>Table1[[#This Row],[Year_Week]]&amp;"-"&amp;Table1[[#This Row],[DC_name_Xref]]</f>
        <v>#N/A</v>
      </c>
      <c r="B2407" s="19" t="str">
        <f>Table1[[#This Row],[Fiscal_Year]]*100+Table1[[#This Row],[Fiscal_Week]] &amp; "-" &amp;Table1[[#This Row],[BRAND]]</f>
        <v>0-</v>
      </c>
      <c r="C2407" s="19" t="str">
        <f>Table1[[#This Row],[Fiscal_Year]]&amp;"-"&amp;Table1[[#This Row],[BRAND]]</f>
        <v>-</v>
      </c>
      <c r="J2407" t="e">
        <f>VLOOKUP(H2407,DC_Xref!A:B,2,FALSE)</f>
        <v>#N/A</v>
      </c>
      <c r="K2407">
        <f t="shared" si="37"/>
        <v>0</v>
      </c>
      <c r="L24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7" s="3">
        <f>IFERROR(INDEX(Table3[#All],MATCH(Table1[[#This Row],[Key_Year_Week_Brand]],Table3[[#All],[Key_Year_Week_Brand]],0),MATCH(Table1[[#This Row],[DC_name_Xref]],Table3[#Headers],0)),0)</f>
        <v>0</v>
      </c>
      <c r="O2407" s="19">
        <f>IFERROR(INDEX(Table35[#All],MATCH(Table1[[#This Row],[Key_Year_Week_Brand]],Table35[[#All],[Key_Year_Month_Brand]],0),MATCH(Table1[[#This Row],[DC_name_Xref]],Table35[#Headers],0)),0)</f>
        <v>0</v>
      </c>
    </row>
    <row r="2408" spans="1:15" x14ac:dyDescent="0.3">
      <c r="A2408" s="19" t="e">
        <f>Table1[[#This Row],[Year_Week]]&amp;"-"&amp;Table1[[#This Row],[DC_name_Xref]]</f>
        <v>#N/A</v>
      </c>
      <c r="B2408" s="19" t="str">
        <f>Table1[[#This Row],[Fiscal_Year]]*100+Table1[[#This Row],[Fiscal_Week]] &amp; "-" &amp;Table1[[#This Row],[BRAND]]</f>
        <v>0-</v>
      </c>
      <c r="C2408" s="19" t="str">
        <f>Table1[[#This Row],[Fiscal_Year]]&amp;"-"&amp;Table1[[#This Row],[BRAND]]</f>
        <v>-</v>
      </c>
      <c r="J2408" t="e">
        <f>VLOOKUP(H2408,DC_Xref!A:B,2,FALSE)</f>
        <v>#N/A</v>
      </c>
      <c r="K2408">
        <f t="shared" si="37"/>
        <v>0</v>
      </c>
      <c r="L24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8" s="3">
        <f>IFERROR(INDEX(Table3[#All],MATCH(Table1[[#This Row],[Key_Year_Week_Brand]],Table3[[#All],[Key_Year_Week_Brand]],0),MATCH(Table1[[#This Row],[DC_name_Xref]],Table3[#Headers],0)),0)</f>
        <v>0</v>
      </c>
      <c r="O2408" s="19">
        <f>IFERROR(INDEX(Table35[#All],MATCH(Table1[[#This Row],[Key_Year_Week_Brand]],Table35[[#All],[Key_Year_Month_Brand]],0),MATCH(Table1[[#This Row],[DC_name_Xref]],Table35[#Headers],0)),0)</f>
        <v>0</v>
      </c>
    </row>
    <row r="2409" spans="1:15" x14ac:dyDescent="0.3">
      <c r="A2409" s="19" t="e">
        <f>Table1[[#This Row],[Year_Week]]&amp;"-"&amp;Table1[[#This Row],[DC_name_Xref]]</f>
        <v>#N/A</v>
      </c>
      <c r="B2409" s="19" t="str">
        <f>Table1[[#This Row],[Fiscal_Year]]*100+Table1[[#This Row],[Fiscal_Week]] &amp; "-" &amp;Table1[[#This Row],[BRAND]]</f>
        <v>0-</v>
      </c>
      <c r="C2409" s="19" t="str">
        <f>Table1[[#This Row],[Fiscal_Year]]&amp;"-"&amp;Table1[[#This Row],[BRAND]]</f>
        <v>-</v>
      </c>
      <c r="J2409" t="e">
        <f>VLOOKUP(H2409,DC_Xref!A:B,2,FALSE)</f>
        <v>#N/A</v>
      </c>
      <c r="K2409">
        <f t="shared" si="37"/>
        <v>0</v>
      </c>
      <c r="L24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09" s="3">
        <f>IFERROR(INDEX(Table3[#All],MATCH(Table1[[#This Row],[Key_Year_Week_Brand]],Table3[[#All],[Key_Year_Week_Brand]],0),MATCH(Table1[[#This Row],[DC_name_Xref]],Table3[#Headers],0)),0)</f>
        <v>0</v>
      </c>
      <c r="O2409" s="19">
        <f>IFERROR(INDEX(Table35[#All],MATCH(Table1[[#This Row],[Key_Year_Week_Brand]],Table35[[#All],[Key_Year_Month_Brand]],0),MATCH(Table1[[#This Row],[DC_name_Xref]],Table35[#Headers],0)),0)</f>
        <v>0</v>
      </c>
    </row>
    <row r="2410" spans="1:15" x14ac:dyDescent="0.3">
      <c r="A2410" s="19" t="e">
        <f>Table1[[#This Row],[Year_Week]]&amp;"-"&amp;Table1[[#This Row],[DC_name_Xref]]</f>
        <v>#N/A</v>
      </c>
      <c r="B2410" s="19" t="str">
        <f>Table1[[#This Row],[Fiscal_Year]]*100+Table1[[#This Row],[Fiscal_Week]] &amp; "-" &amp;Table1[[#This Row],[BRAND]]</f>
        <v>0-</v>
      </c>
      <c r="C2410" s="19" t="str">
        <f>Table1[[#This Row],[Fiscal_Year]]&amp;"-"&amp;Table1[[#This Row],[BRAND]]</f>
        <v>-</v>
      </c>
      <c r="J2410" t="e">
        <f>VLOOKUP(H2410,DC_Xref!A:B,2,FALSE)</f>
        <v>#N/A</v>
      </c>
      <c r="K2410">
        <f t="shared" si="37"/>
        <v>0</v>
      </c>
      <c r="L24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0" s="3">
        <f>IFERROR(INDEX(Table3[#All],MATCH(Table1[[#This Row],[Key_Year_Week_Brand]],Table3[[#All],[Key_Year_Week_Brand]],0),MATCH(Table1[[#This Row],[DC_name_Xref]],Table3[#Headers],0)),0)</f>
        <v>0</v>
      </c>
      <c r="O2410" s="19">
        <f>IFERROR(INDEX(Table35[#All],MATCH(Table1[[#This Row],[Key_Year_Week_Brand]],Table35[[#All],[Key_Year_Month_Brand]],0),MATCH(Table1[[#This Row],[DC_name_Xref]],Table35[#Headers],0)),0)</f>
        <v>0</v>
      </c>
    </row>
    <row r="2411" spans="1:15" x14ac:dyDescent="0.3">
      <c r="A2411" s="19" t="e">
        <f>Table1[[#This Row],[Year_Week]]&amp;"-"&amp;Table1[[#This Row],[DC_name_Xref]]</f>
        <v>#N/A</v>
      </c>
      <c r="B2411" s="19" t="str">
        <f>Table1[[#This Row],[Fiscal_Year]]*100+Table1[[#This Row],[Fiscal_Week]] &amp; "-" &amp;Table1[[#This Row],[BRAND]]</f>
        <v>0-</v>
      </c>
      <c r="C2411" s="19" t="str">
        <f>Table1[[#This Row],[Fiscal_Year]]&amp;"-"&amp;Table1[[#This Row],[BRAND]]</f>
        <v>-</v>
      </c>
      <c r="J2411" t="e">
        <f>VLOOKUP(H2411,DC_Xref!A:B,2,FALSE)</f>
        <v>#N/A</v>
      </c>
      <c r="K2411">
        <f t="shared" si="37"/>
        <v>0</v>
      </c>
      <c r="L24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1" s="3">
        <f>IFERROR(INDEX(Table3[#All],MATCH(Table1[[#This Row],[Key_Year_Week_Brand]],Table3[[#All],[Key_Year_Week_Brand]],0),MATCH(Table1[[#This Row],[DC_name_Xref]],Table3[#Headers],0)),0)</f>
        <v>0</v>
      </c>
      <c r="O2411" s="19">
        <f>IFERROR(INDEX(Table35[#All],MATCH(Table1[[#This Row],[Key_Year_Week_Brand]],Table35[[#All],[Key_Year_Month_Brand]],0),MATCH(Table1[[#This Row],[DC_name_Xref]],Table35[#Headers],0)),0)</f>
        <v>0</v>
      </c>
    </row>
    <row r="2412" spans="1:15" x14ac:dyDescent="0.3">
      <c r="A2412" s="19" t="e">
        <f>Table1[[#This Row],[Year_Week]]&amp;"-"&amp;Table1[[#This Row],[DC_name_Xref]]</f>
        <v>#N/A</v>
      </c>
      <c r="B2412" s="19" t="str">
        <f>Table1[[#This Row],[Fiscal_Year]]*100+Table1[[#This Row],[Fiscal_Week]] &amp; "-" &amp;Table1[[#This Row],[BRAND]]</f>
        <v>0-</v>
      </c>
      <c r="C2412" s="19" t="str">
        <f>Table1[[#This Row],[Fiscal_Year]]&amp;"-"&amp;Table1[[#This Row],[BRAND]]</f>
        <v>-</v>
      </c>
      <c r="J2412" t="e">
        <f>VLOOKUP(H2412,DC_Xref!A:B,2,FALSE)</f>
        <v>#N/A</v>
      </c>
      <c r="K2412">
        <f t="shared" si="37"/>
        <v>0</v>
      </c>
      <c r="L24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2" s="3">
        <f>IFERROR(INDEX(Table3[#All],MATCH(Table1[[#This Row],[Key_Year_Week_Brand]],Table3[[#All],[Key_Year_Week_Brand]],0),MATCH(Table1[[#This Row],[DC_name_Xref]],Table3[#Headers],0)),0)</f>
        <v>0</v>
      </c>
      <c r="O2412" s="19">
        <f>IFERROR(INDEX(Table35[#All],MATCH(Table1[[#This Row],[Key_Year_Week_Brand]],Table35[[#All],[Key_Year_Month_Brand]],0),MATCH(Table1[[#This Row],[DC_name_Xref]],Table35[#Headers],0)),0)</f>
        <v>0</v>
      </c>
    </row>
    <row r="2413" spans="1:15" x14ac:dyDescent="0.3">
      <c r="A2413" s="19" t="e">
        <f>Table1[[#This Row],[Year_Week]]&amp;"-"&amp;Table1[[#This Row],[DC_name_Xref]]</f>
        <v>#N/A</v>
      </c>
      <c r="B2413" s="19" t="str">
        <f>Table1[[#This Row],[Fiscal_Year]]*100+Table1[[#This Row],[Fiscal_Week]] &amp; "-" &amp;Table1[[#This Row],[BRAND]]</f>
        <v>0-</v>
      </c>
      <c r="C2413" s="19" t="str">
        <f>Table1[[#This Row],[Fiscal_Year]]&amp;"-"&amp;Table1[[#This Row],[BRAND]]</f>
        <v>-</v>
      </c>
      <c r="J2413" t="e">
        <f>VLOOKUP(H2413,DC_Xref!A:B,2,FALSE)</f>
        <v>#N/A</v>
      </c>
      <c r="K2413">
        <f t="shared" si="37"/>
        <v>0</v>
      </c>
      <c r="L24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3" s="3">
        <f>IFERROR(INDEX(Table3[#All],MATCH(Table1[[#This Row],[Key_Year_Week_Brand]],Table3[[#All],[Key_Year_Week_Brand]],0),MATCH(Table1[[#This Row],[DC_name_Xref]],Table3[#Headers],0)),0)</f>
        <v>0</v>
      </c>
      <c r="O2413" s="19">
        <f>IFERROR(INDEX(Table35[#All],MATCH(Table1[[#This Row],[Key_Year_Week_Brand]],Table35[[#All],[Key_Year_Month_Brand]],0),MATCH(Table1[[#This Row],[DC_name_Xref]],Table35[#Headers],0)),0)</f>
        <v>0</v>
      </c>
    </row>
    <row r="2414" spans="1:15" x14ac:dyDescent="0.3">
      <c r="A2414" s="19" t="e">
        <f>Table1[[#This Row],[Year_Week]]&amp;"-"&amp;Table1[[#This Row],[DC_name_Xref]]</f>
        <v>#N/A</v>
      </c>
      <c r="B2414" s="19" t="str">
        <f>Table1[[#This Row],[Fiscal_Year]]*100+Table1[[#This Row],[Fiscal_Week]] &amp; "-" &amp;Table1[[#This Row],[BRAND]]</f>
        <v>0-</v>
      </c>
      <c r="C2414" s="19" t="str">
        <f>Table1[[#This Row],[Fiscal_Year]]&amp;"-"&amp;Table1[[#This Row],[BRAND]]</f>
        <v>-</v>
      </c>
      <c r="J2414" t="e">
        <f>VLOOKUP(H2414,DC_Xref!A:B,2,FALSE)</f>
        <v>#N/A</v>
      </c>
      <c r="K2414">
        <f t="shared" si="37"/>
        <v>0</v>
      </c>
      <c r="L24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4" s="3">
        <f>IFERROR(INDEX(Table3[#All],MATCH(Table1[[#This Row],[Key_Year_Week_Brand]],Table3[[#All],[Key_Year_Week_Brand]],0),MATCH(Table1[[#This Row],[DC_name_Xref]],Table3[#Headers],0)),0)</f>
        <v>0</v>
      </c>
      <c r="O2414" s="19">
        <f>IFERROR(INDEX(Table35[#All],MATCH(Table1[[#This Row],[Key_Year_Week_Brand]],Table35[[#All],[Key_Year_Month_Brand]],0),MATCH(Table1[[#This Row],[DC_name_Xref]],Table35[#Headers],0)),0)</f>
        <v>0</v>
      </c>
    </row>
    <row r="2415" spans="1:15" x14ac:dyDescent="0.3">
      <c r="A2415" s="19" t="e">
        <f>Table1[[#This Row],[Year_Week]]&amp;"-"&amp;Table1[[#This Row],[DC_name_Xref]]</f>
        <v>#N/A</v>
      </c>
      <c r="B2415" s="19" t="str">
        <f>Table1[[#This Row],[Fiscal_Year]]*100+Table1[[#This Row],[Fiscal_Week]] &amp; "-" &amp;Table1[[#This Row],[BRAND]]</f>
        <v>0-</v>
      </c>
      <c r="C2415" s="19" t="str">
        <f>Table1[[#This Row],[Fiscal_Year]]&amp;"-"&amp;Table1[[#This Row],[BRAND]]</f>
        <v>-</v>
      </c>
      <c r="J2415" t="e">
        <f>VLOOKUP(H2415,DC_Xref!A:B,2,FALSE)</f>
        <v>#N/A</v>
      </c>
      <c r="K2415">
        <f t="shared" si="37"/>
        <v>0</v>
      </c>
      <c r="L24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5" s="3">
        <f>IFERROR(INDEX(Table3[#All],MATCH(Table1[[#This Row],[Key_Year_Week_Brand]],Table3[[#All],[Key_Year_Week_Brand]],0),MATCH(Table1[[#This Row],[DC_name_Xref]],Table3[#Headers],0)),0)</f>
        <v>0</v>
      </c>
      <c r="O2415" s="19">
        <f>IFERROR(INDEX(Table35[#All],MATCH(Table1[[#This Row],[Key_Year_Week_Brand]],Table35[[#All],[Key_Year_Month_Brand]],0),MATCH(Table1[[#This Row],[DC_name_Xref]],Table35[#Headers],0)),0)</f>
        <v>0</v>
      </c>
    </row>
    <row r="2416" spans="1:15" x14ac:dyDescent="0.3">
      <c r="A2416" s="19" t="e">
        <f>Table1[[#This Row],[Year_Week]]&amp;"-"&amp;Table1[[#This Row],[DC_name_Xref]]</f>
        <v>#N/A</v>
      </c>
      <c r="B2416" s="19" t="str">
        <f>Table1[[#This Row],[Fiscal_Year]]*100+Table1[[#This Row],[Fiscal_Week]] &amp; "-" &amp;Table1[[#This Row],[BRAND]]</f>
        <v>0-</v>
      </c>
      <c r="C2416" s="19" t="str">
        <f>Table1[[#This Row],[Fiscal_Year]]&amp;"-"&amp;Table1[[#This Row],[BRAND]]</f>
        <v>-</v>
      </c>
      <c r="J2416" t="e">
        <f>VLOOKUP(H2416,DC_Xref!A:B,2,FALSE)</f>
        <v>#N/A</v>
      </c>
      <c r="K2416">
        <f t="shared" si="37"/>
        <v>0</v>
      </c>
      <c r="L24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6" s="3">
        <f>IFERROR(INDEX(Table3[#All],MATCH(Table1[[#This Row],[Key_Year_Week_Brand]],Table3[[#All],[Key_Year_Week_Brand]],0),MATCH(Table1[[#This Row],[DC_name_Xref]],Table3[#Headers],0)),0)</f>
        <v>0</v>
      </c>
      <c r="O2416" s="19">
        <f>IFERROR(INDEX(Table35[#All],MATCH(Table1[[#This Row],[Key_Year_Week_Brand]],Table35[[#All],[Key_Year_Month_Brand]],0),MATCH(Table1[[#This Row],[DC_name_Xref]],Table35[#Headers],0)),0)</f>
        <v>0</v>
      </c>
    </row>
    <row r="2417" spans="1:15" x14ac:dyDescent="0.3">
      <c r="A2417" s="19" t="e">
        <f>Table1[[#This Row],[Year_Week]]&amp;"-"&amp;Table1[[#This Row],[DC_name_Xref]]</f>
        <v>#N/A</v>
      </c>
      <c r="B2417" s="19" t="str">
        <f>Table1[[#This Row],[Fiscal_Year]]*100+Table1[[#This Row],[Fiscal_Week]] &amp; "-" &amp;Table1[[#This Row],[BRAND]]</f>
        <v>0-</v>
      </c>
      <c r="C2417" s="19" t="str">
        <f>Table1[[#This Row],[Fiscal_Year]]&amp;"-"&amp;Table1[[#This Row],[BRAND]]</f>
        <v>-</v>
      </c>
      <c r="J2417" t="e">
        <f>VLOOKUP(H2417,DC_Xref!A:B,2,FALSE)</f>
        <v>#N/A</v>
      </c>
      <c r="K2417">
        <f t="shared" si="37"/>
        <v>0</v>
      </c>
      <c r="L24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7" s="3">
        <f>IFERROR(INDEX(Table3[#All],MATCH(Table1[[#This Row],[Key_Year_Week_Brand]],Table3[[#All],[Key_Year_Week_Brand]],0),MATCH(Table1[[#This Row],[DC_name_Xref]],Table3[#Headers],0)),0)</f>
        <v>0</v>
      </c>
      <c r="O2417" s="19">
        <f>IFERROR(INDEX(Table35[#All],MATCH(Table1[[#This Row],[Key_Year_Week_Brand]],Table35[[#All],[Key_Year_Month_Brand]],0),MATCH(Table1[[#This Row],[DC_name_Xref]],Table35[#Headers],0)),0)</f>
        <v>0</v>
      </c>
    </row>
    <row r="2418" spans="1:15" x14ac:dyDescent="0.3">
      <c r="A2418" s="19" t="e">
        <f>Table1[[#This Row],[Year_Week]]&amp;"-"&amp;Table1[[#This Row],[DC_name_Xref]]</f>
        <v>#N/A</v>
      </c>
      <c r="B2418" s="19" t="str">
        <f>Table1[[#This Row],[Fiscal_Year]]*100+Table1[[#This Row],[Fiscal_Week]] &amp; "-" &amp;Table1[[#This Row],[BRAND]]</f>
        <v>0-</v>
      </c>
      <c r="C2418" s="19" t="str">
        <f>Table1[[#This Row],[Fiscal_Year]]&amp;"-"&amp;Table1[[#This Row],[BRAND]]</f>
        <v>-</v>
      </c>
      <c r="J2418" t="e">
        <f>VLOOKUP(H2418,DC_Xref!A:B,2,FALSE)</f>
        <v>#N/A</v>
      </c>
      <c r="K2418">
        <f t="shared" si="37"/>
        <v>0</v>
      </c>
      <c r="L24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8" s="3">
        <f>IFERROR(INDEX(Table3[#All],MATCH(Table1[[#This Row],[Key_Year_Week_Brand]],Table3[[#All],[Key_Year_Week_Brand]],0),MATCH(Table1[[#This Row],[DC_name_Xref]],Table3[#Headers],0)),0)</f>
        <v>0</v>
      </c>
      <c r="O2418" s="19">
        <f>IFERROR(INDEX(Table35[#All],MATCH(Table1[[#This Row],[Key_Year_Week_Brand]],Table35[[#All],[Key_Year_Month_Brand]],0),MATCH(Table1[[#This Row],[DC_name_Xref]],Table35[#Headers],0)),0)</f>
        <v>0</v>
      </c>
    </row>
    <row r="2419" spans="1:15" x14ac:dyDescent="0.3">
      <c r="A2419" s="19" t="e">
        <f>Table1[[#This Row],[Year_Week]]&amp;"-"&amp;Table1[[#This Row],[DC_name_Xref]]</f>
        <v>#N/A</v>
      </c>
      <c r="B2419" s="19" t="str">
        <f>Table1[[#This Row],[Fiscal_Year]]*100+Table1[[#This Row],[Fiscal_Week]] &amp; "-" &amp;Table1[[#This Row],[BRAND]]</f>
        <v>0-</v>
      </c>
      <c r="C2419" s="19" t="str">
        <f>Table1[[#This Row],[Fiscal_Year]]&amp;"-"&amp;Table1[[#This Row],[BRAND]]</f>
        <v>-</v>
      </c>
      <c r="J2419" t="e">
        <f>VLOOKUP(H2419,DC_Xref!A:B,2,FALSE)</f>
        <v>#N/A</v>
      </c>
      <c r="K2419">
        <f t="shared" si="37"/>
        <v>0</v>
      </c>
      <c r="L24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19" s="3">
        <f>IFERROR(INDEX(Table3[#All],MATCH(Table1[[#This Row],[Key_Year_Week_Brand]],Table3[[#All],[Key_Year_Week_Brand]],0),MATCH(Table1[[#This Row],[DC_name_Xref]],Table3[#Headers],0)),0)</f>
        <v>0</v>
      </c>
      <c r="O2419" s="19">
        <f>IFERROR(INDEX(Table35[#All],MATCH(Table1[[#This Row],[Key_Year_Week_Brand]],Table35[[#All],[Key_Year_Month_Brand]],0),MATCH(Table1[[#This Row],[DC_name_Xref]],Table35[#Headers],0)),0)</f>
        <v>0</v>
      </c>
    </row>
    <row r="2420" spans="1:15" x14ac:dyDescent="0.3">
      <c r="A2420" s="19" t="e">
        <f>Table1[[#This Row],[Year_Week]]&amp;"-"&amp;Table1[[#This Row],[DC_name_Xref]]</f>
        <v>#N/A</v>
      </c>
      <c r="B2420" s="19" t="str">
        <f>Table1[[#This Row],[Fiscal_Year]]*100+Table1[[#This Row],[Fiscal_Week]] &amp; "-" &amp;Table1[[#This Row],[BRAND]]</f>
        <v>0-</v>
      </c>
      <c r="C2420" s="19" t="str">
        <f>Table1[[#This Row],[Fiscal_Year]]&amp;"-"&amp;Table1[[#This Row],[BRAND]]</f>
        <v>-</v>
      </c>
      <c r="J2420" t="e">
        <f>VLOOKUP(H2420,DC_Xref!A:B,2,FALSE)</f>
        <v>#N/A</v>
      </c>
      <c r="K2420">
        <f t="shared" si="37"/>
        <v>0</v>
      </c>
      <c r="L24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0" s="3">
        <f>IFERROR(INDEX(Table3[#All],MATCH(Table1[[#This Row],[Key_Year_Week_Brand]],Table3[[#All],[Key_Year_Week_Brand]],0),MATCH(Table1[[#This Row],[DC_name_Xref]],Table3[#Headers],0)),0)</f>
        <v>0</v>
      </c>
      <c r="O2420" s="19">
        <f>IFERROR(INDEX(Table35[#All],MATCH(Table1[[#This Row],[Key_Year_Week_Brand]],Table35[[#All],[Key_Year_Month_Brand]],0),MATCH(Table1[[#This Row],[DC_name_Xref]],Table35[#Headers],0)),0)</f>
        <v>0</v>
      </c>
    </row>
    <row r="2421" spans="1:15" x14ac:dyDescent="0.3">
      <c r="A2421" s="19" t="e">
        <f>Table1[[#This Row],[Year_Week]]&amp;"-"&amp;Table1[[#This Row],[DC_name_Xref]]</f>
        <v>#N/A</v>
      </c>
      <c r="B2421" s="19" t="str">
        <f>Table1[[#This Row],[Fiscal_Year]]*100+Table1[[#This Row],[Fiscal_Week]] &amp; "-" &amp;Table1[[#This Row],[BRAND]]</f>
        <v>0-</v>
      </c>
      <c r="C2421" s="19" t="str">
        <f>Table1[[#This Row],[Fiscal_Year]]&amp;"-"&amp;Table1[[#This Row],[BRAND]]</f>
        <v>-</v>
      </c>
      <c r="J2421" t="e">
        <f>VLOOKUP(H2421,DC_Xref!A:B,2,FALSE)</f>
        <v>#N/A</v>
      </c>
      <c r="K2421">
        <f t="shared" si="37"/>
        <v>0</v>
      </c>
      <c r="L24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1" s="3">
        <f>IFERROR(INDEX(Table3[#All],MATCH(Table1[[#This Row],[Key_Year_Week_Brand]],Table3[[#All],[Key_Year_Week_Brand]],0),MATCH(Table1[[#This Row],[DC_name_Xref]],Table3[#Headers],0)),0)</f>
        <v>0</v>
      </c>
      <c r="O2421" s="19">
        <f>IFERROR(INDEX(Table35[#All],MATCH(Table1[[#This Row],[Key_Year_Week_Brand]],Table35[[#All],[Key_Year_Month_Brand]],0),MATCH(Table1[[#This Row],[DC_name_Xref]],Table35[#Headers],0)),0)</f>
        <v>0</v>
      </c>
    </row>
    <row r="2422" spans="1:15" x14ac:dyDescent="0.3">
      <c r="A2422" s="19" t="e">
        <f>Table1[[#This Row],[Year_Week]]&amp;"-"&amp;Table1[[#This Row],[DC_name_Xref]]</f>
        <v>#N/A</v>
      </c>
      <c r="B2422" s="19" t="str">
        <f>Table1[[#This Row],[Fiscal_Year]]*100+Table1[[#This Row],[Fiscal_Week]] &amp; "-" &amp;Table1[[#This Row],[BRAND]]</f>
        <v>0-</v>
      </c>
      <c r="C2422" s="19" t="str">
        <f>Table1[[#This Row],[Fiscal_Year]]&amp;"-"&amp;Table1[[#This Row],[BRAND]]</f>
        <v>-</v>
      </c>
      <c r="J2422" t="e">
        <f>VLOOKUP(H2422,DC_Xref!A:B,2,FALSE)</f>
        <v>#N/A</v>
      </c>
      <c r="K2422">
        <f t="shared" si="37"/>
        <v>0</v>
      </c>
      <c r="L24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2" s="3">
        <f>IFERROR(INDEX(Table3[#All],MATCH(Table1[[#This Row],[Key_Year_Week_Brand]],Table3[[#All],[Key_Year_Week_Brand]],0),MATCH(Table1[[#This Row],[DC_name_Xref]],Table3[#Headers],0)),0)</f>
        <v>0</v>
      </c>
      <c r="O2422" s="19">
        <f>IFERROR(INDEX(Table35[#All],MATCH(Table1[[#This Row],[Key_Year_Week_Brand]],Table35[[#All],[Key_Year_Month_Brand]],0),MATCH(Table1[[#This Row],[DC_name_Xref]],Table35[#Headers],0)),0)</f>
        <v>0</v>
      </c>
    </row>
    <row r="2423" spans="1:15" x14ac:dyDescent="0.3">
      <c r="A2423" s="19" t="e">
        <f>Table1[[#This Row],[Year_Week]]&amp;"-"&amp;Table1[[#This Row],[DC_name_Xref]]</f>
        <v>#N/A</v>
      </c>
      <c r="B2423" s="19" t="str">
        <f>Table1[[#This Row],[Fiscal_Year]]*100+Table1[[#This Row],[Fiscal_Week]] &amp; "-" &amp;Table1[[#This Row],[BRAND]]</f>
        <v>0-</v>
      </c>
      <c r="C2423" s="19" t="str">
        <f>Table1[[#This Row],[Fiscal_Year]]&amp;"-"&amp;Table1[[#This Row],[BRAND]]</f>
        <v>-</v>
      </c>
      <c r="J2423" t="e">
        <f>VLOOKUP(H2423,DC_Xref!A:B,2,FALSE)</f>
        <v>#N/A</v>
      </c>
      <c r="K2423">
        <f t="shared" si="37"/>
        <v>0</v>
      </c>
      <c r="L24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3" s="3">
        <f>IFERROR(INDEX(Table3[#All],MATCH(Table1[[#This Row],[Key_Year_Week_Brand]],Table3[[#All],[Key_Year_Week_Brand]],0),MATCH(Table1[[#This Row],[DC_name_Xref]],Table3[#Headers],0)),0)</f>
        <v>0</v>
      </c>
      <c r="O2423" s="19">
        <f>IFERROR(INDEX(Table35[#All],MATCH(Table1[[#This Row],[Key_Year_Week_Brand]],Table35[[#All],[Key_Year_Month_Brand]],0),MATCH(Table1[[#This Row],[DC_name_Xref]],Table35[#Headers],0)),0)</f>
        <v>0</v>
      </c>
    </row>
    <row r="2424" spans="1:15" x14ac:dyDescent="0.3">
      <c r="A2424" s="19" t="e">
        <f>Table1[[#This Row],[Year_Week]]&amp;"-"&amp;Table1[[#This Row],[DC_name_Xref]]</f>
        <v>#N/A</v>
      </c>
      <c r="B2424" s="19" t="str">
        <f>Table1[[#This Row],[Fiscal_Year]]*100+Table1[[#This Row],[Fiscal_Week]] &amp; "-" &amp;Table1[[#This Row],[BRAND]]</f>
        <v>0-</v>
      </c>
      <c r="C2424" s="19" t="str">
        <f>Table1[[#This Row],[Fiscal_Year]]&amp;"-"&amp;Table1[[#This Row],[BRAND]]</f>
        <v>-</v>
      </c>
      <c r="J2424" t="e">
        <f>VLOOKUP(H2424,DC_Xref!A:B,2,FALSE)</f>
        <v>#N/A</v>
      </c>
      <c r="K2424">
        <f t="shared" si="37"/>
        <v>0</v>
      </c>
      <c r="L24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4" s="3">
        <f>IFERROR(INDEX(Table3[#All],MATCH(Table1[[#This Row],[Key_Year_Week_Brand]],Table3[[#All],[Key_Year_Week_Brand]],0),MATCH(Table1[[#This Row],[DC_name_Xref]],Table3[#Headers],0)),0)</f>
        <v>0</v>
      </c>
      <c r="O2424" s="19">
        <f>IFERROR(INDEX(Table35[#All],MATCH(Table1[[#This Row],[Key_Year_Week_Brand]],Table35[[#All],[Key_Year_Month_Brand]],0),MATCH(Table1[[#This Row],[DC_name_Xref]],Table35[#Headers],0)),0)</f>
        <v>0</v>
      </c>
    </row>
    <row r="2425" spans="1:15" x14ac:dyDescent="0.3">
      <c r="A2425" s="19" t="e">
        <f>Table1[[#This Row],[Year_Week]]&amp;"-"&amp;Table1[[#This Row],[DC_name_Xref]]</f>
        <v>#N/A</v>
      </c>
      <c r="B2425" s="19" t="str">
        <f>Table1[[#This Row],[Fiscal_Year]]*100+Table1[[#This Row],[Fiscal_Week]] &amp; "-" &amp;Table1[[#This Row],[BRAND]]</f>
        <v>0-</v>
      </c>
      <c r="C2425" s="19" t="str">
        <f>Table1[[#This Row],[Fiscal_Year]]&amp;"-"&amp;Table1[[#This Row],[BRAND]]</f>
        <v>-</v>
      </c>
      <c r="J2425" t="e">
        <f>VLOOKUP(H2425,DC_Xref!A:B,2,FALSE)</f>
        <v>#N/A</v>
      </c>
      <c r="K2425">
        <f t="shared" si="37"/>
        <v>0</v>
      </c>
      <c r="L24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5" s="3">
        <f>IFERROR(INDEX(Table3[#All],MATCH(Table1[[#This Row],[Key_Year_Week_Brand]],Table3[[#All],[Key_Year_Week_Brand]],0),MATCH(Table1[[#This Row],[DC_name_Xref]],Table3[#Headers],0)),0)</f>
        <v>0</v>
      </c>
      <c r="O2425" s="19">
        <f>IFERROR(INDEX(Table35[#All],MATCH(Table1[[#This Row],[Key_Year_Week_Brand]],Table35[[#All],[Key_Year_Month_Brand]],0),MATCH(Table1[[#This Row],[DC_name_Xref]],Table35[#Headers],0)),0)</f>
        <v>0</v>
      </c>
    </row>
    <row r="2426" spans="1:15" x14ac:dyDescent="0.3">
      <c r="A2426" s="19" t="e">
        <f>Table1[[#This Row],[Year_Week]]&amp;"-"&amp;Table1[[#This Row],[DC_name_Xref]]</f>
        <v>#N/A</v>
      </c>
      <c r="B2426" s="19" t="str">
        <f>Table1[[#This Row],[Fiscal_Year]]*100+Table1[[#This Row],[Fiscal_Week]] &amp; "-" &amp;Table1[[#This Row],[BRAND]]</f>
        <v>0-</v>
      </c>
      <c r="C2426" s="19" t="str">
        <f>Table1[[#This Row],[Fiscal_Year]]&amp;"-"&amp;Table1[[#This Row],[BRAND]]</f>
        <v>-</v>
      </c>
      <c r="J2426" t="e">
        <f>VLOOKUP(H2426,DC_Xref!A:B,2,FALSE)</f>
        <v>#N/A</v>
      </c>
      <c r="K2426">
        <f t="shared" si="37"/>
        <v>0</v>
      </c>
      <c r="L24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6" s="3">
        <f>IFERROR(INDEX(Table3[#All],MATCH(Table1[[#This Row],[Key_Year_Week_Brand]],Table3[[#All],[Key_Year_Week_Brand]],0),MATCH(Table1[[#This Row],[DC_name_Xref]],Table3[#Headers],0)),0)</f>
        <v>0</v>
      </c>
      <c r="O2426" s="19">
        <f>IFERROR(INDEX(Table35[#All],MATCH(Table1[[#This Row],[Key_Year_Week_Brand]],Table35[[#All],[Key_Year_Month_Brand]],0),MATCH(Table1[[#This Row],[DC_name_Xref]],Table35[#Headers],0)),0)</f>
        <v>0</v>
      </c>
    </row>
    <row r="2427" spans="1:15" x14ac:dyDescent="0.3">
      <c r="A2427" s="19" t="e">
        <f>Table1[[#This Row],[Year_Week]]&amp;"-"&amp;Table1[[#This Row],[DC_name_Xref]]</f>
        <v>#N/A</v>
      </c>
      <c r="B2427" s="19" t="str">
        <f>Table1[[#This Row],[Fiscal_Year]]*100+Table1[[#This Row],[Fiscal_Week]] &amp; "-" &amp;Table1[[#This Row],[BRAND]]</f>
        <v>0-</v>
      </c>
      <c r="C2427" s="19" t="str">
        <f>Table1[[#This Row],[Fiscal_Year]]&amp;"-"&amp;Table1[[#This Row],[BRAND]]</f>
        <v>-</v>
      </c>
      <c r="J2427" t="e">
        <f>VLOOKUP(H2427,DC_Xref!A:B,2,FALSE)</f>
        <v>#N/A</v>
      </c>
      <c r="K2427">
        <f t="shared" si="37"/>
        <v>0</v>
      </c>
      <c r="L24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7" s="3">
        <f>IFERROR(INDEX(Table3[#All],MATCH(Table1[[#This Row],[Key_Year_Week_Brand]],Table3[[#All],[Key_Year_Week_Brand]],0),MATCH(Table1[[#This Row],[DC_name_Xref]],Table3[#Headers],0)),0)</f>
        <v>0</v>
      </c>
      <c r="O2427" s="19">
        <f>IFERROR(INDEX(Table35[#All],MATCH(Table1[[#This Row],[Key_Year_Week_Brand]],Table35[[#All],[Key_Year_Month_Brand]],0),MATCH(Table1[[#This Row],[DC_name_Xref]],Table35[#Headers],0)),0)</f>
        <v>0</v>
      </c>
    </row>
    <row r="2428" spans="1:15" x14ac:dyDescent="0.3">
      <c r="A2428" s="19" t="e">
        <f>Table1[[#This Row],[Year_Week]]&amp;"-"&amp;Table1[[#This Row],[DC_name_Xref]]</f>
        <v>#N/A</v>
      </c>
      <c r="B2428" s="19" t="str">
        <f>Table1[[#This Row],[Fiscal_Year]]*100+Table1[[#This Row],[Fiscal_Week]] &amp; "-" &amp;Table1[[#This Row],[BRAND]]</f>
        <v>0-</v>
      </c>
      <c r="C2428" s="19" t="str">
        <f>Table1[[#This Row],[Fiscal_Year]]&amp;"-"&amp;Table1[[#This Row],[BRAND]]</f>
        <v>-</v>
      </c>
      <c r="J2428" t="e">
        <f>VLOOKUP(H2428,DC_Xref!A:B,2,FALSE)</f>
        <v>#N/A</v>
      </c>
      <c r="K2428">
        <f t="shared" si="37"/>
        <v>0</v>
      </c>
      <c r="L24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8" s="3">
        <f>IFERROR(INDEX(Table3[#All],MATCH(Table1[[#This Row],[Key_Year_Week_Brand]],Table3[[#All],[Key_Year_Week_Brand]],0),MATCH(Table1[[#This Row],[DC_name_Xref]],Table3[#Headers],0)),0)</f>
        <v>0</v>
      </c>
      <c r="O2428" s="19">
        <f>IFERROR(INDEX(Table35[#All],MATCH(Table1[[#This Row],[Key_Year_Week_Brand]],Table35[[#All],[Key_Year_Month_Brand]],0),MATCH(Table1[[#This Row],[DC_name_Xref]],Table35[#Headers],0)),0)</f>
        <v>0</v>
      </c>
    </row>
    <row r="2429" spans="1:15" x14ac:dyDescent="0.3">
      <c r="A2429" s="19" t="e">
        <f>Table1[[#This Row],[Year_Week]]&amp;"-"&amp;Table1[[#This Row],[DC_name_Xref]]</f>
        <v>#N/A</v>
      </c>
      <c r="B2429" s="19" t="str">
        <f>Table1[[#This Row],[Fiscal_Year]]*100+Table1[[#This Row],[Fiscal_Week]] &amp; "-" &amp;Table1[[#This Row],[BRAND]]</f>
        <v>0-</v>
      </c>
      <c r="C2429" s="19" t="str">
        <f>Table1[[#This Row],[Fiscal_Year]]&amp;"-"&amp;Table1[[#This Row],[BRAND]]</f>
        <v>-</v>
      </c>
      <c r="J2429" t="e">
        <f>VLOOKUP(H2429,DC_Xref!A:B,2,FALSE)</f>
        <v>#N/A</v>
      </c>
      <c r="K2429">
        <f t="shared" si="37"/>
        <v>0</v>
      </c>
      <c r="L24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29" s="3">
        <f>IFERROR(INDEX(Table3[#All],MATCH(Table1[[#This Row],[Key_Year_Week_Brand]],Table3[[#All],[Key_Year_Week_Brand]],0),MATCH(Table1[[#This Row],[DC_name_Xref]],Table3[#Headers],0)),0)</f>
        <v>0</v>
      </c>
      <c r="O2429" s="19">
        <f>IFERROR(INDEX(Table35[#All],MATCH(Table1[[#This Row],[Key_Year_Week_Brand]],Table35[[#All],[Key_Year_Month_Brand]],0),MATCH(Table1[[#This Row],[DC_name_Xref]],Table35[#Headers],0)),0)</f>
        <v>0</v>
      </c>
    </row>
    <row r="2430" spans="1:15" x14ac:dyDescent="0.3">
      <c r="A2430" s="19" t="e">
        <f>Table1[[#This Row],[Year_Week]]&amp;"-"&amp;Table1[[#This Row],[DC_name_Xref]]</f>
        <v>#N/A</v>
      </c>
      <c r="B2430" s="19" t="str">
        <f>Table1[[#This Row],[Fiscal_Year]]*100+Table1[[#This Row],[Fiscal_Week]] &amp; "-" &amp;Table1[[#This Row],[BRAND]]</f>
        <v>0-</v>
      </c>
      <c r="C2430" s="19" t="str">
        <f>Table1[[#This Row],[Fiscal_Year]]&amp;"-"&amp;Table1[[#This Row],[BRAND]]</f>
        <v>-</v>
      </c>
      <c r="J2430" t="e">
        <f>VLOOKUP(H2430,DC_Xref!A:B,2,FALSE)</f>
        <v>#N/A</v>
      </c>
      <c r="K2430">
        <f t="shared" si="37"/>
        <v>0</v>
      </c>
      <c r="L24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0" s="3">
        <f>IFERROR(INDEX(Table3[#All],MATCH(Table1[[#This Row],[Key_Year_Week_Brand]],Table3[[#All],[Key_Year_Week_Brand]],0),MATCH(Table1[[#This Row],[DC_name_Xref]],Table3[#Headers],0)),0)</f>
        <v>0</v>
      </c>
      <c r="O2430" s="19">
        <f>IFERROR(INDEX(Table35[#All],MATCH(Table1[[#This Row],[Key_Year_Week_Brand]],Table35[[#All],[Key_Year_Month_Brand]],0),MATCH(Table1[[#This Row],[DC_name_Xref]],Table35[#Headers],0)),0)</f>
        <v>0</v>
      </c>
    </row>
    <row r="2431" spans="1:15" x14ac:dyDescent="0.3">
      <c r="A2431" s="19" t="e">
        <f>Table1[[#This Row],[Year_Week]]&amp;"-"&amp;Table1[[#This Row],[DC_name_Xref]]</f>
        <v>#N/A</v>
      </c>
      <c r="B2431" s="19" t="str">
        <f>Table1[[#This Row],[Fiscal_Year]]*100+Table1[[#This Row],[Fiscal_Week]] &amp; "-" &amp;Table1[[#This Row],[BRAND]]</f>
        <v>0-</v>
      </c>
      <c r="C2431" s="19" t="str">
        <f>Table1[[#This Row],[Fiscal_Year]]&amp;"-"&amp;Table1[[#This Row],[BRAND]]</f>
        <v>-</v>
      </c>
      <c r="J2431" t="e">
        <f>VLOOKUP(H2431,DC_Xref!A:B,2,FALSE)</f>
        <v>#N/A</v>
      </c>
      <c r="K2431">
        <f t="shared" si="37"/>
        <v>0</v>
      </c>
      <c r="L24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1" s="3">
        <f>IFERROR(INDEX(Table3[#All],MATCH(Table1[[#This Row],[Key_Year_Week_Brand]],Table3[[#All],[Key_Year_Week_Brand]],0),MATCH(Table1[[#This Row],[DC_name_Xref]],Table3[#Headers],0)),0)</f>
        <v>0</v>
      </c>
      <c r="O2431" s="19">
        <f>IFERROR(INDEX(Table35[#All],MATCH(Table1[[#This Row],[Key_Year_Week_Brand]],Table35[[#All],[Key_Year_Month_Brand]],0),MATCH(Table1[[#This Row],[DC_name_Xref]],Table35[#Headers],0)),0)</f>
        <v>0</v>
      </c>
    </row>
    <row r="2432" spans="1:15" x14ac:dyDescent="0.3">
      <c r="A2432" s="19" t="e">
        <f>Table1[[#This Row],[Year_Week]]&amp;"-"&amp;Table1[[#This Row],[DC_name_Xref]]</f>
        <v>#N/A</v>
      </c>
      <c r="B2432" s="19" t="str">
        <f>Table1[[#This Row],[Fiscal_Year]]*100+Table1[[#This Row],[Fiscal_Week]] &amp; "-" &amp;Table1[[#This Row],[BRAND]]</f>
        <v>0-</v>
      </c>
      <c r="C2432" s="19" t="str">
        <f>Table1[[#This Row],[Fiscal_Year]]&amp;"-"&amp;Table1[[#This Row],[BRAND]]</f>
        <v>-</v>
      </c>
      <c r="J2432" t="e">
        <f>VLOOKUP(H2432,DC_Xref!A:B,2,FALSE)</f>
        <v>#N/A</v>
      </c>
      <c r="K2432">
        <f t="shared" si="37"/>
        <v>0</v>
      </c>
      <c r="L24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2" s="3">
        <f>IFERROR(INDEX(Table3[#All],MATCH(Table1[[#This Row],[Key_Year_Week_Brand]],Table3[[#All],[Key_Year_Week_Brand]],0),MATCH(Table1[[#This Row],[DC_name_Xref]],Table3[#Headers],0)),0)</f>
        <v>0</v>
      </c>
      <c r="O2432" s="19">
        <f>IFERROR(INDEX(Table35[#All],MATCH(Table1[[#This Row],[Key_Year_Week_Brand]],Table35[[#All],[Key_Year_Month_Brand]],0),MATCH(Table1[[#This Row],[DC_name_Xref]],Table35[#Headers],0)),0)</f>
        <v>0</v>
      </c>
    </row>
    <row r="2433" spans="1:15" x14ac:dyDescent="0.3">
      <c r="A2433" s="19" t="e">
        <f>Table1[[#This Row],[Year_Week]]&amp;"-"&amp;Table1[[#This Row],[DC_name_Xref]]</f>
        <v>#N/A</v>
      </c>
      <c r="B2433" s="19" t="str">
        <f>Table1[[#This Row],[Fiscal_Year]]*100+Table1[[#This Row],[Fiscal_Week]] &amp; "-" &amp;Table1[[#This Row],[BRAND]]</f>
        <v>0-</v>
      </c>
      <c r="C2433" s="19" t="str">
        <f>Table1[[#This Row],[Fiscal_Year]]&amp;"-"&amp;Table1[[#This Row],[BRAND]]</f>
        <v>-</v>
      </c>
      <c r="J2433" t="e">
        <f>VLOOKUP(H2433,DC_Xref!A:B,2,FALSE)</f>
        <v>#N/A</v>
      </c>
      <c r="K2433">
        <f t="shared" si="37"/>
        <v>0</v>
      </c>
      <c r="L24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3" s="3">
        <f>IFERROR(INDEX(Table3[#All],MATCH(Table1[[#This Row],[Key_Year_Week_Brand]],Table3[[#All],[Key_Year_Week_Brand]],0),MATCH(Table1[[#This Row],[DC_name_Xref]],Table3[#Headers],0)),0)</f>
        <v>0</v>
      </c>
      <c r="O2433" s="19">
        <f>IFERROR(INDEX(Table35[#All],MATCH(Table1[[#This Row],[Key_Year_Week_Brand]],Table35[[#All],[Key_Year_Month_Brand]],0),MATCH(Table1[[#This Row],[DC_name_Xref]],Table35[#Headers],0)),0)</f>
        <v>0</v>
      </c>
    </row>
    <row r="2434" spans="1:15" x14ac:dyDescent="0.3">
      <c r="A2434" s="19" t="e">
        <f>Table1[[#This Row],[Year_Week]]&amp;"-"&amp;Table1[[#This Row],[DC_name_Xref]]</f>
        <v>#N/A</v>
      </c>
      <c r="B2434" s="19" t="str">
        <f>Table1[[#This Row],[Fiscal_Year]]*100+Table1[[#This Row],[Fiscal_Week]] &amp; "-" &amp;Table1[[#This Row],[BRAND]]</f>
        <v>0-</v>
      </c>
      <c r="C2434" s="19" t="str">
        <f>Table1[[#This Row],[Fiscal_Year]]&amp;"-"&amp;Table1[[#This Row],[BRAND]]</f>
        <v>-</v>
      </c>
      <c r="J2434" t="e">
        <f>VLOOKUP(H2434,DC_Xref!A:B,2,FALSE)</f>
        <v>#N/A</v>
      </c>
      <c r="K2434">
        <f t="shared" si="37"/>
        <v>0</v>
      </c>
      <c r="L24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4" s="3">
        <f>IFERROR(INDEX(Table3[#All],MATCH(Table1[[#This Row],[Key_Year_Week_Brand]],Table3[[#All],[Key_Year_Week_Brand]],0),MATCH(Table1[[#This Row],[DC_name_Xref]],Table3[#Headers],0)),0)</f>
        <v>0</v>
      </c>
      <c r="O2434" s="19">
        <f>IFERROR(INDEX(Table35[#All],MATCH(Table1[[#This Row],[Key_Year_Week_Brand]],Table35[[#All],[Key_Year_Month_Brand]],0),MATCH(Table1[[#This Row],[DC_name_Xref]],Table35[#Headers],0)),0)</f>
        <v>0</v>
      </c>
    </row>
    <row r="2435" spans="1:15" x14ac:dyDescent="0.3">
      <c r="A2435" s="19" t="e">
        <f>Table1[[#This Row],[Year_Week]]&amp;"-"&amp;Table1[[#This Row],[DC_name_Xref]]</f>
        <v>#N/A</v>
      </c>
      <c r="B2435" s="19" t="str">
        <f>Table1[[#This Row],[Fiscal_Year]]*100+Table1[[#This Row],[Fiscal_Week]] &amp; "-" &amp;Table1[[#This Row],[BRAND]]</f>
        <v>0-</v>
      </c>
      <c r="C2435" s="19" t="str">
        <f>Table1[[#This Row],[Fiscal_Year]]&amp;"-"&amp;Table1[[#This Row],[BRAND]]</f>
        <v>-</v>
      </c>
      <c r="J2435" t="e">
        <f>VLOOKUP(H2435,DC_Xref!A:B,2,FALSE)</f>
        <v>#N/A</v>
      </c>
      <c r="K2435">
        <f t="shared" si="37"/>
        <v>0</v>
      </c>
      <c r="L24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5" s="3">
        <f>IFERROR(INDEX(Table3[#All],MATCH(Table1[[#This Row],[Key_Year_Week_Brand]],Table3[[#All],[Key_Year_Week_Brand]],0),MATCH(Table1[[#This Row],[DC_name_Xref]],Table3[#Headers],0)),0)</f>
        <v>0</v>
      </c>
      <c r="O2435" s="19">
        <f>IFERROR(INDEX(Table35[#All],MATCH(Table1[[#This Row],[Key_Year_Week_Brand]],Table35[[#All],[Key_Year_Month_Brand]],0),MATCH(Table1[[#This Row],[DC_name_Xref]],Table35[#Headers],0)),0)</f>
        <v>0</v>
      </c>
    </row>
    <row r="2436" spans="1:15" x14ac:dyDescent="0.3">
      <c r="A2436" s="19" t="e">
        <f>Table1[[#This Row],[Year_Week]]&amp;"-"&amp;Table1[[#This Row],[DC_name_Xref]]</f>
        <v>#N/A</v>
      </c>
      <c r="B2436" s="19" t="str">
        <f>Table1[[#This Row],[Fiscal_Year]]*100+Table1[[#This Row],[Fiscal_Week]] &amp; "-" &amp;Table1[[#This Row],[BRAND]]</f>
        <v>0-</v>
      </c>
      <c r="C2436" s="19" t="str">
        <f>Table1[[#This Row],[Fiscal_Year]]&amp;"-"&amp;Table1[[#This Row],[BRAND]]</f>
        <v>-</v>
      </c>
      <c r="J2436" t="e">
        <f>VLOOKUP(H2436,DC_Xref!A:B,2,FALSE)</f>
        <v>#N/A</v>
      </c>
      <c r="K2436">
        <f t="shared" si="37"/>
        <v>0</v>
      </c>
      <c r="L24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6" s="3">
        <f>IFERROR(INDEX(Table3[#All],MATCH(Table1[[#This Row],[Key_Year_Week_Brand]],Table3[[#All],[Key_Year_Week_Brand]],0),MATCH(Table1[[#This Row],[DC_name_Xref]],Table3[#Headers],0)),0)</f>
        <v>0</v>
      </c>
      <c r="O2436" s="19">
        <f>IFERROR(INDEX(Table35[#All],MATCH(Table1[[#This Row],[Key_Year_Week_Brand]],Table35[[#All],[Key_Year_Month_Brand]],0),MATCH(Table1[[#This Row],[DC_name_Xref]],Table35[#Headers],0)),0)</f>
        <v>0</v>
      </c>
    </row>
    <row r="2437" spans="1:15" x14ac:dyDescent="0.3">
      <c r="A2437" s="19" t="e">
        <f>Table1[[#This Row],[Year_Week]]&amp;"-"&amp;Table1[[#This Row],[DC_name_Xref]]</f>
        <v>#N/A</v>
      </c>
      <c r="B2437" s="19" t="str">
        <f>Table1[[#This Row],[Fiscal_Year]]*100+Table1[[#This Row],[Fiscal_Week]] &amp; "-" &amp;Table1[[#This Row],[BRAND]]</f>
        <v>0-</v>
      </c>
      <c r="C2437" s="19" t="str">
        <f>Table1[[#This Row],[Fiscal_Year]]&amp;"-"&amp;Table1[[#This Row],[BRAND]]</f>
        <v>-</v>
      </c>
      <c r="J2437" t="e">
        <f>VLOOKUP(H2437,DC_Xref!A:B,2,FALSE)</f>
        <v>#N/A</v>
      </c>
      <c r="K2437">
        <f t="shared" si="37"/>
        <v>0</v>
      </c>
      <c r="L24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7" s="3">
        <f>IFERROR(INDEX(Table3[#All],MATCH(Table1[[#This Row],[Key_Year_Week_Brand]],Table3[[#All],[Key_Year_Week_Brand]],0),MATCH(Table1[[#This Row],[DC_name_Xref]],Table3[#Headers],0)),0)</f>
        <v>0</v>
      </c>
      <c r="O2437" s="19">
        <f>IFERROR(INDEX(Table35[#All],MATCH(Table1[[#This Row],[Key_Year_Week_Brand]],Table35[[#All],[Key_Year_Month_Brand]],0),MATCH(Table1[[#This Row],[DC_name_Xref]],Table35[#Headers],0)),0)</f>
        <v>0</v>
      </c>
    </row>
    <row r="2438" spans="1:15" x14ac:dyDescent="0.3">
      <c r="A2438" s="19" t="e">
        <f>Table1[[#This Row],[Year_Week]]&amp;"-"&amp;Table1[[#This Row],[DC_name_Xref]]</f>
        <v>#N/A</v>
      </c>
      <c r="B2438" s="19" t="str">
        <f>Table1[[#This Row],[Fiscal_Year]]*100+Table1[[#This Row],[Fiscal_Week]] &amp; "-" &amp;Table1[[#This Row],[BRAND]]</f>
        <v>0-</v>
      </c>
      <c r="C2438" s="19" t="str">
        <f>Table1[[#This Row],[Fiscal_Year]]&amp;"-"&amp;Table1[[#This Row],[BRAND]]</f>
        <v>-</v>
      </c>
      <c r="J2438" t="e">
        <f>VLOOKUP(H2438,DC_Xref!A:B,2,FALSE)</f>
        <v>#N/A</v>
      </c>
      <c r="K2438">
        <f t="shared" ref="K2438:K2501" si="38">D2438*100+E2438</f>
        <v>0</v>
      </c>
      <c r="L24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8" s="3">
        <f>IFERROR(INDEX(Table3[#All],MATCH(Table1[[#This Row],[Key_Year_Week_Brand]],Table3[[#All],[Key_Year_Week_Brand]],0),MATCH(Table1[[#This Row],[DC_name_Xref]],Table3[#Headers],0)),0)</f>
        <v>0</v>
      </c>
      <c r="O2438" s="19">
        <f>IFERROR(INDEX(Table35[#All],MATCH(Table1[[#This Row],[Key_Year_Week_Brand]],Table35[[#All],[Key_Year_Month_Brand]],0),MATCH(Table1[[#This Row],[DC_name_Xref]],Table35[#Headers],0)),0)</f>
        <v>0</v>
      </c>
    </row>
    <row r="2439" spans="1:15" x14ac:dyDescent="0.3">
      <c r="A2439" s="19" t="e">
        <f>Table1[[#This Row],[Year_Week]]&amp;"-"&amp;Table1[[#This Row],[DC_name_Xref]]</f>
        <v>#N/A</v>
      </c>
      <c r="B2439" s="19" t="str">
        <f>Table1[[#This Row],[Fiscal_Year]]*100+Table1[[#This Row],[Fiscal_Week]] &amp; "-" &amp;Table1[[#This Row],[BRAND]]</f>
        <v>0-</v>
      </c>
      <c r="C2439" s="19" t="str">
        <f>Table1[[#This Row],[Fiscal_Year]]&amp;"-"&amp;Table1[[#This Row],[BRAND]]</f>
        <v>-</v>
      </c>
      <c r="J2439" t="e">
        <f>VLOOKUP(H2439,DC_Xref!A:B,2,FALSE)</f>
        <v>#N/A</v>
      </c>
      <c r="K2439">
        <f t="shared" si="38"/>
        <v>0</v>
      </c>
      <c r="L24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39" s="3">
        <f>IFERROR(INDEX(Table3[#All],MATCH(Table1[[#This Row],[Key_Year_Week_Brand]],Table3[[#All],[Key_Year_Week_Brand]],0),MATCH(Table1[[#This Row],[DC_name_Xref]],Table3[#Headers],0)),0)</f>
        <v>0</v>
      </c>
      <c r="O2439" s="19">
        <f>IFERROR(INDEX(Table35[#All],MATCH(Table1[[#This Row],[Key_Year_Week_Brand]],Table35[[#All],[Key_Year_Month_Brand]],0),MATCH(Table1[[#This Row],[DC_name_Xref]],Table35[#Headers],0)),0)</f>
        <v>0</v>
      </c>
    </row>
    <row r="2440" spans="1:15" x14ac:dyDescent="0.3">
      <c r="A2440" s="19" t="e">
        <f>Table1[[#This Row],[Year_Week]]&amp;"-"&amp;Table1[[#This Row],[DC_name_Xref]]</f>
        <v>#N/A</v>
      </c>
      <c r="B2440" s="19" t="str">
        <f>Table1[[#This Row],[Fiscal_Year]]*100+Table1[[#This Row],[Fiscal_Week]] &amp; "-" &amp;Table1[[#This Row],[BRAND]]</f>
        <v>0-</v>
      </c>
      <c r="C2440" s="19" t="str">
        <f>Table1[[#This Row],[Fiscal_Year]]&amp;"-"&amp;Table1[[#This Row],[BRAND]]</f>
        <v>-</v>
      </c>
      <c r="J2440" t="e">
        <f>VLOOKUP(H2440,DC_Xref!A:B,2,FALSE)</f>
        <v>#N/A</v>
      </c>
      <c r="K2440">
        <f t="shared" si="38"/>
        <v>0</v>
      </c>
      <c r="L24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0" s="3">
        <f>IFERROR(INDEX(Table3[#All],MATCH(Table1[[#This Row],[Key_Year_Week_Brand]],Table3[[#All],[Key_Year_Week_Brand]],0),MATCH(Table1[[#This Row],[DC_name_Xref]],Table3[#Headers],0)),0)</f>
        <v>0</v>
      </c>
      <c r="O2440" s="19">
        <f>IFERROR(INDEX(Table35[#All],MATCH(Table1[[#This Row],[Key_Year_Week_Brand]],Table35[[#All],[Key_Year_Month_Brand]],0),MATCH(Table1[[#This Row],[DC_name_Xref]],Table35[#Headers],0)),0)</f>
        <v>0</v>
      </c>
    </row>
    <row r="2441" spans="1:15" x14ac:dyDescent="0.3">
      <c r="A2441" s="19" t="e">
        <f>Table1[[#This Row],[Year_Week]]&amp;"-"&amp;Table1[[#This Row],[DC_name_Xref]]</f>
        <v>#N/A</v>
      </c>
      <c r="B2441" s="19" t="str">
        <f>Table1[[#This Row],[Fiscal_Year]]*100+Table1[[#This Row],[Fiscal_Week]] &amp; "-" &amp;Table1[[#This Row],[BRAND]]</f>
        <v>0-</v>
      </c>
      <c r="C2441" s="19" t="str">
        <f>Table1[[#This Row],[Fiscal_Year]]&amp;"-"&amp;Table1[[#This Row],[BRAND]]</f>
        <v>-</v>
      </c>
      <c r="J2441" t="e">
        <f>VLOOKUP(H2441,DC_Xref!A:B,2,FALSE)</f>
        <v>#N/A</v>
      </c>
      <c r="K2441">
        <f t="shared" si="38"/>
        <v>0</v>
      </c>
      <c r="L24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1" s="3">
        <f>IFERROR(INDEX(Table3[#All],MATCH(Table1[[#This Row],[Key_Year_Week_Brand]],Table3[[#All],[Key_Year_Week_Brand]],0),MATCH(Table1[[#This Row],[DC_name_Xref]],Table3[#Headers],0)),0)</f>
        <v>0</v>
      </c>
      <c r="O2441" s="19">
        <f>IFERROR(INDEX(Table35[#All],MATCH(Table1[[#This Row],[Key_Year_Week_Brand]],Table35[[#All],[Key_Year_Month_Brand]],0),MATCH(Table1[[#This Row],[DC_name_Xref]],Table35[#Headers],0)),0)</f>
        <v>0</v>
      </c>
    </row>
    <row r="2442" spans="1:15" x14ac:dyDescent="0.3">
      <c r="A2442" s="19" t="e">
        <f>Table1[[#This Row],[Year_Week]]&amp;"-"&amp;Table1[[#This Row],[DC_name_Xref]]</f>
        <v>#N/A</v>
      </c>
      <c r="B2442" s="19" t="str">
        <f>Table1[[#This Row],[Fiscal_Year]]*100+Table1[[#This Row],[Fiscal_Week]] &amp; "-" &amp;Table1[[#This Row],[BRAND]]</f>
        <v>0-</v>
      </c>
      <c r="C2442" s="19" t="str">
        <f>Table1[[#This Row],[Fiscal_Year]]&amp;"-"&amp;Table1[[#This Row],[BRAND]]</f>
        <v>-</v>
      </c>
      <c r="J2442" t="e">
        <f>VLOOKUP(H2442,DC_Xref!A:B,2,FALSE)</f>
        <v>#N/A</v>
      </c>
      <c r="K2442">
        <f t="shared" si="38"/>
        <v>0</v>
      </c>
      <c r="L24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2" s="3">
        <f>IFERROR(INDEX(Table3[#All],MATCH(Table1[[#This Row],[Key_Year_Week_Brand]],Table3[[#All],[Key_Year_Week_Brand]],0),MATCH(Table1[[#This Row],[DC_name_Xref]],Table3[#Headers],0)),0)</f>
        <v>0</v>
      </c>
      <c r="O2442" s="19">
        <f>IFERROR(INDEX(Table35[#All],MATCH(Table1[[#This Row],[Key_Year_Week_Brand]],Table35[[#All],[Key_Year_Month_Brand]],0),MATCH(Table1[[#This Row],[DC_name_Xref]],Table35[#Headers],0)),0)</f>
        <v>0</v>
      </c>
    </row>
    <row r="2443" spans="1:15" x14ac:dyDescent="0.3">
      <c r="A2443" s="19" t="e">
        <f>Table1[[#This Row],[Year_Week]]&amp;"-"&amp;Table1[[#This Row],[DC_name_Xref]]</f>
        <v>#N/A</v>
      </c>
      <c r="B2443" s="19" t="str">
        <f>Table1[[#This Row],[Fiscal_Year]]*100+Table1[[#This Row],[Fiscal_Week]] &amp; "-" &amp;Table1[[#This Row],[BRAND]]</f>
        <v>0-</v>
      </c>
      <c r="C2443" s="19" t="str">
        <f>Table1[[#This Row],[Fiscal_Year]]&amp;"-"&amp;Table1[[#This Row],[BRAND]]</f>
        <v>-</v>
      </c>
      <c r="J2443" t="e">
        <f>VLOOKUP(H2443,DC_Xref!A:B,2,FALSE)</f>
        <v>#N/A</v>
      </c>
      <c r="K2443">
        <f t="shared" si="38"/>
        <v>0</v>
      </c>
      <c r="L24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3" s="3">
        <f>IFERROR(INDEX(Table3[#All],MATCH(Table1[[#This Row],[Key_Year_Week_Brand]],Table3[[#All],[Key_Year_Week_Brand]],0),MATCH(Table1[[#This Row],[DC_name_Xref]],Table3[#Headers],0)),0)</f>
        <v>0</v>
      </c>
      <c r="O2443" s="19">
        <f>IFERROR(INDEX(Table35[#All],MATCH(Table1[[#This Row],[Key_Year_Week_Brand]],Table35[[#All],[Key_Year_Month_Brand]],0),MATCH(Table1[[#This Row],[DC_name_Xref]],Table35[#Headers],0)),0)</f>
        <v>0</v>
      </c>
    </row>
    <row r="2444" spans="1:15" x14ac:dyDescent="0.3">
      <c r="A2444" s="19" t="e">
        <f>Table1[[#This Row],[Year_Week]]&amp;"-"&amp;Table1[[#This Row],[DC_name_Xref]]</f>
        <v>#N/A</v>
      </c>
      <c r="B2444" s="19" t="str">
        <f>Table1[[#This Row],[Fiscal_Year]]*100+Table1[[#This Row],[Fiscal_Week]] &amp; "-" &amp;Table1[[#This Row],[BRAND]]</f>
        <v>0-</v>
      </c>
      <c r="C2444" s="19" t="str">
        <f>Table1[[#This Row],[Fiscal_Year]]&amp;"-"&amp;Table1[[#This Row],[BRAND]]</f>
        <v>-</v>
      </c>
      <c r="J2444" t="e">
        <f>VLOOKUP(H2444,DC_Xref!A:B,2,FALSE)</f>
        <v>#N/A</v>
      </c>
      <c r="K2444">
        <f t="shared" si="38"/>
        <v>0</v>
      </c>
      <c r="L24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4" s="3">
        <f>IFERROR(INDEX(Table3[#All],MATCH(Table1[[#This Row],[Key_Year_Week_Brand]],Table3[[#All],[Key_Year_Week_Brand]],0),MATCH(Table1[[#This Row],[DC_name_Xref]],Table3[#Headers],0)),0)</f>
        <v>0</v>
      </c>
      <c r="O2444" s="19">
        <f>IFERROR(INDEX(Table35[#All],MATCH(Table1[[#This Row],[Key_Year_Week_Brand]],Table35[[#All],[Key_Year_Month_Brand]],0),MATCH(Table1[[#This Row],[DC_name_Xref]],Table35[#Headers],0)),0)</f>
        <v>0</v>
      </c>
    </row>
    <row r="2445" spans="1:15" x14ac:dyDescent="0.3">
      <c r="A2445" s="19" t="e">
        <f>Table1[[#This Row],[Year_Week]]&amp;"-"&amp;Table1[[#This Row],[DC_name_Xref]]</f>
        <v>#N/A</v>
      </c>
      <c r="B2445" s="19" t="str">
        <f>Table1[[#This Row],[Fiscal_Year]]*100+Table1[[#This Row],[Fiscal_Week]] &amp; "-" &amp;Table1[[#This Row],[BRAND]]</f>
        <v>0-</v>
      </c>
      <c r="C2445" s="19" t="str">
        <f>Table1[[#This Row],[Fiscal_Year]]&amp;"-"&amp;Table1[[#This Row],[BRAND]]</f>
        <v>-</v>
      </c>
      <c r="J2445" t="e">
        <f>VLOOKUP(H2445,DC_Xref!A:B,2,FALSE)</f>
        <v>#N/A</v>
      </c>
      <c r="K2445">
        <f t="shared" si="38"/>
        <v>0</v>
      </c>
      <c r="L24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5" s="3">
        <f>IFERROR(INDEX(Table3[#All],MATCH(Table1[[#This Row],[Key_Year_Week_Brand]],Table3[[#All],[Key_Year_Week_Brand]],0),MATCH(Table1[[#This Row],[DC_name_Xref]],Table3[#Headers],0)),0)</f>
        <v>0</v>
      </c>
      <c r="O2445" s="19">
        <f>IFERROR(INDEX(Table35[#All],MATCH(Table1[[#This Row],[Key_Year_Week_Brand]],Table35[[#All],[Key_Year_Month_Brand]],0),MATCH(Table1[[#This Row],[DC_name_Xref]],Table35[#Headers],0)),0)</f>
        <v>0</v>
      </c>
    </row>
    <row r="2446" spans="1:15" x14ac:dyDescent="0.3">
      <c r="A2446" s="19" t="e">
        <f>Table1[[#This Row],[Year_Week]]&amp;"-"&amp;Table1[[#This Row],[DC_name_Xref]]</f>
        <v>#N/A</v>
      </c>
      <c r="B2446" s="19" t="str">
        <f>Table1[[#This Row],[Fiscal_Year]]*100+Table1[[#This Row],[Fiscal_Week]] &amp; "-" &amp;Table1[[#This Row],[BRAND]]</f>
        <v>0-</v>
      </c>
      <c r="C2446" s="19" t="str">
        <f>Table1[[#This Row],[Fiscal_Year]]&amp;"-"&amp;Table1[[#This Row],[BRAND]]</f>
        <v>-</v>
      </c>
      <c r="J2446" t="e">
        <f>VLOOKUP(H2446,DC_Xref!A:B,2,FALSE)</f>
        <v>#N/A</v>
      </c>
      <c r="K2446">
        <f t="shared" si="38"/>
        <v>0</v>
      </c>
      <c r="L24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6" s="3">
        <f>IFERROR(INDEX(Table3[#All],MATCH(Table1[[#This Row],[Key_Year_Week_Brand]],Table3[[#All],[Key_Year_Week_Brand]],0),MATCH(Table1[[#This Row],[DC_name_Xref]],Table3[#Headers],0)),0)</f>
        <v>0</v>
      </c>
      <c r="O2446" s="19">
        <f>IFERROR(INDEX(Table35[#All],MATCH(Table1[[#This Row],[Key_Year_Week_Brand]],Table35[[#All],[Key_Year_Month_Brand]],0),MATCH(Table1[[#This Row],[DC_name_Xref]],Table35[#Headers],0)),0)</f>
        <v>0</v>
      </c>
    </row>
    <row r="2447" spans="1:15" x14ac:dyDescent="0.3">
      <c r="A2447" s="19" t="e">
        <f>Table1[[#This Row],[Year_Week]]&amp;"-"&amp;Table1[[#This Row],[DC_name_Xref]]</f>
        <v>#N/A</v>
      </c>
      <c r="B2447" s="19" t="str">
        <f>Table1[[#This Row],[Fiscal_Year]]*100+Table1[[#This Row],[Fiscal_Week]] &amp; "-" &amp;Table1[[#This Row],[BRAND]]</f>
        <v>0-</v>
      </c>
      <c r="C2447" s="19" t="str">
        <f>Table1[[#This Row],[Fiscal_Year]]&amp;"-"&amp;Table1[[#This Row],[BRAND]]</f>
        <v>-</v>
      </c>
      <c r="J2447" t="e">
        <f>VLOOKUP(H2447,DC_Xref!A:B,2,FALSE)</f>
        <v>#N/A</v>
      </c>
      <c r="K2447">
        <f t="shared" si="38"/>
        <v>0</v>
      </c>
      <c r="L24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7" s="3">
        <f>IFERROR(INDEX(Table3[#All],MATCH(Table1[[#This Row],[Key_Year_Week_Brand]],Table3[[#All],[Key_Year_Week_Brand]],0),MATCH(Table1[[#This Row],[DC_name_Xref]],Table3[#Headers],0)),0)</f>
        <v>0</v>
      </c>
      <c r="O2447" s="19">
        <f>IFERROR(INDEX(Table35[#All],MATCH(Table1[[#This Row],[Key_Year_Week_Brand]],Table35[[#All],[Key_Year_Month_Brand]],0),MATCH(Table1[[#This Row],[DC_name_Xref]],Table35[#Headers],0)),0)</f>
        <v>0</v>
      </c>
    </row>
    <row r="2448" spans="1:15" x14ac:dyDescent="0.3">
      <c r="A2448" s="19" t="e">
        <f>Table1[[#This Row],[Year_Week]]&amp;"-"&amp;Table1[[#This Row],[DC_name_Xref]]</f>
        <v>#N/A</v>
      </c>
      <c r="B2448" s="19" t="str">
        <f>Table1[[#This Row],[Fiscal_Year]]*100+Table1[[#This Row],[Fiscal_Week]] &amp; "-" &amp;Table1[[#This Row],[BRAND]]</f>
        <v>0-</v>
      </c>
      <c r="C2448" s="19" t="str">
        <f>Table1[[#This Row],[Fiscal_Year]]&amp;"-"&amp;Table1[[#This Row],[BRAND]]</f>
        <v>-</v>
      </c>
      <c r="J2448" t="e">
        <f>VLOOKUP(H2448,DC_Xref!A:B,2,FALSE)</f>
        <v>#N/A</v>
      </c>
      <c r="K2448">
        <f t="shared" si="38"/>
        <v>0</v>
      </c>
      <c r="L24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8" s="3">
        <f>IFERROR(INDEX(Table3[#All],MATCH(Table1[[#This Row],[Key_Year_Week_Brand]],Table3[[#All],[Key_Year_Week_Brand]],0),MATCH(Table1[[#This Row],[DC_name_Xref]],Table3[#Headers],0)),0)</f>
        <v>0</v>
      </c>
      <c r="O2448" s="19">
        <f>IFERROR(INDEX(Table35[#All],MATCH(Table1[[#This Row],[Key_Year_Week_Brand]],Table35[[#All],[Key_Year_Month_Brand]],0),MATCH(Table1[[#This Row],[DC_name_Xref]],Table35[#Headers],0)),0)</f>
        <v>0</v>
      </c>
    </row>
    <row r="2449" spans="1:15" x14ac:dyDescent="0.3">
      <c r="A2449" s="19" t="e">
        <f>Table1[[#This Row],[Year_Week]]&amp;"-"&amp;Table1[[#This Row],[DC_name_Xref]]</f>
        <v>#N/A</v>
      </c>
      <c r="B2449" s="19" t="str">
        <f>Table1[[#This Row],[Fiscal_Year]]*100+Table1[[#This Row],[Fiscal_Week]] &amp; "-" &amp;Table1[[#This Row],[BRAND]]</f>
        <v>0-</v>
      </c>
      <c r="C2449" s="19" t="str">
        <f>Table1[[#This Row],[Fiscal_Year]]&amp;"-"&amp;Table1[[#This Row],[BRAND]]</f>
        <v>-</v>
      </c>
      <c r="J2449" t="e">
        <f>VLOOKUP(H2449,DC_Xref!A:B,2,FALSE)</f>
        <v>#N/A</v>
      </c>
      <c r="K2449">
        <f t="shared" si="38"/>
        <v>0</v>
      </c>
      <c r="L24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49" s="3">
        <f>IFERROR(INDEX(Table3[#All],MATCH(Table1[[#This Row],[Key_Year_Week_Brand]],Table3[[#All],[Key_Year_Week_Brand]],0),MATCH(Table1[[#This Row],[DC_name_Xref]],Table3[#Headers],0)),0)</f>
        <v>0</v>
      </c>
      <c r="O2449" s="19">
        <f>IFERROR(INDEX(Table35[#All],MATCH(Table1[[#This Row],[Key_Year_Week_Brand]],Table35[[#All],[Key_Year_Month_Brand]],0),MATCH(Table1[[#This Row],[DC_name_Xref]],Table35[#Headers],0)),0)</f>
        <v>0</v>
      </c>
    </row>
    <row r="2450" spans="1:15" x14ac:dyDescent="0.3">
      <c r="A2450" s="19" t="e">
        <f>Table1[[#This Row],[Year_Week]]&amp;"-"&amp;Table1[[#This Row],[DC_name_Xref]]</f>
        <v>#N/A</v>
      </c>
      <c r="B2450" s="19" t="str">
        <f>Table1[[#This Row],[Fiscal_Year]]*100+Table1[[#This Row],[Fiscal_Week]] &amp; "-" &amp;Table1[[#This Row],[BRAND]]</f>
        <v>0-</v>
      </c>
      <c r="C2450" s="19" t="str">
        <f>Table1[[#This Row],[Fiscal_Year]]&amp;"-"&amp;Table1[[#This Row],[BRAND]]</f>
        <v>-</v>
      </c>
      <c r="J2450" t="e">
        <f>VLOOKUP(H2450,DC_Xref!A:B,2,FALSE)</f>
        <v>#N/A</v>
      </c>
      <c r="K2450">
        <f t="shared" si="38"/>
        <v>0</v>
      </c>
      <c r="L24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0" s="3">
        <f>IFERROR(INDEX(Table3[#All],MATCH(Table1[[#This Row],[Key_Year_Week_Brand]],Table3[[#All],[Key_Year_Week_Brand]],0),MATCH(Table1[[#This Row],[DC_name_Xref]],Table3[#Headers],0)),0)</f>
        <v>0</v>
      </c>
      <c r="O2450" s="19">
        <f>IFERROR(INDEX(Table35[#All],MATCH(Table1[[#This Row],[Key_Year_Week_Brand]],Table35[[#All],[Key_Year_Month_Brand]],0),MATCH(Table1[[#This Row],[DC_name_Xref]],Table35[#Headers],0)),0)</f>
        <v>0</v>
      </c>
    </row>
    <row r="2451" spans="1:15" x14ac:dyDescent="0.3">
      <c r="A2451" s="19" t="e">
        <f>Table1[[#This Row],[Year_Week]]&amp;"-"&amp;Table1[[#This Row],[DC_name_Xref]]</f>
        <v>#N/A</v>
      </c>
      <c r="B2451" s="19" t="str">
        <f>Table1[[#This Row],[Fiscal_Year]]*100+Table1[[#This Row],[Fiscal_Week]] &amp; "-" &amp;Table1[[#This Row],[BRAND]]</f>
        <v>0-</v>
      </c>
      <c r="C2451" s="19" t="str">
        <f>Table1[[#This Row],[Fiscal_Year]]&amp;"-"&amp;Table1[[#This Row],[BRAND]]</f>
        <v>-</v>
      </c>
      <c r="J2451" t="e">
        <f>VLOOKUP(H2451,DC_Xref!A:B,2,FALSE)</f>
        <v>#N/A</v>
      </c>
      <c r="K2451">
        <f t="shared" si="38"/>
        <v>0</v>
      </c>
      <c r="L24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1" s="3">
        <f>IFERROR(INDEX(Table3[#All],MATCH(Table1[[#This Row],[Key_Year_Week_Brand]],Table3[[#All],[Key_Year_Week_Brand]],0),MATCH(Table1[[#This Row],[DC_name_Xref]],Table3[#Headers],0)),0)</f>
        <v>0</v>
      </c>
      <c r="O2451" s="19">
        <f>IFERROR(INDEX(Table35[#All],MATCH(Table1[[#This Row],[Key_Year_Week_Brand]],Table35[[#All],[Key_Year_Month_Brand]],0),MATCH(Table1[[#This Row],[DC_name_Xref]],Table35[#Headers],0)),0)</f>
        <v>0</v>
      </c>
    </row>
    <row r="2452" spans="1:15" x14ac:dyDescent="0.3">
      <c r="A2452" s="19" t="e">
        <f>Table1[[#This Row],[Year_Week]]&amp;"-"&amp;Table1[[#This Row],[DC_name_Xref]]</f>
        <v>#N/A</v>
      </c>
      <c r="B2452" s="19" t="str">
        <f>Table1[[#This Row],[Fiscal_Year]]*100+Table1[[#This Row],[Fiscal_Week]] &amp; "-" &amp;Table1[[#This Row],[BRAND]]</f>
        <v>0-</v>
      </c>
      <c r="C2452" s="19" t="str">
        <f>Table1[[#This Row],[Fiscal_Year]]&amp;"-"&amp;Table1[[#This Row],[BRAND]]</f>
        <v>-</v>
      </c>
      <c r="J2452" t="e">
        <f>VLOOKUP(H2452,DC_Xref!A:B,2,FALSE)</f>
        <v>#N/A</v>
      </c>
      <c r="K2452">
        <f t="shared" si="38"/>
        <v>0</v>
      </c>
      <c r="L24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2" s="3">
        <f>IFERROR(INDEX(Table3[#All],MATCH(Table1[[#This Row],[Key_Year_Week_Brand]],Table3[[#All],[Key_Year_Week_Brand]],0),MATCH(Table1[[#This Row],[DC_name_Xref]],Table3[#Headers],0)),0)</f>
        <v>0</v>
      </c>
      <c r="O2452" s="19">
        <f>IFERROR(INDEX(Table35[#All],MATCH(Table1[[#This Row],[Key_Year_Week_Brand]],Table35[[#All],[Key_Year_Month_Brand]],0),MATCH(Table1[[#This Row],[DC_name_Xref]],Table35[#Headers],0)),0)</f>
        <v>0</v>
      </c>
    </row>
    <row r="2453" spans="1:15" x14ac:dyDescent="0.3">
      <c r="A2453" s="19" t="e">
        <f>Table1[[#This Row],[Year_Week]]&amp;"-"&amp;Table1[[#This Row],[DC_name_Xref]]</f>
        <v>#N/A</v>
      </c>
      <c r="B2453" s="19" t="str">
        <f>Table1[[#This Row],[Fiscal_Year]]*100+Table1[[#This Row],[Fiscal_Week]] &amp; "-" &amp;Table1[[#This Row],[BRAND]]</f>
        <v>0-</v>
      </c>
      <c r="C2453" s="19" t="str">
        <f>Table1[[#This Row],[Fiscal_Year]]&amp;"-"&amp;Table1[[#This Row],[BRAND]]</f>
        <v>-</v>
      </c>
      <c r="J2453" t="e">
        <f>VLOOKUP(H2453,DC_Xref!A:B,2,FALSE)</f>
        <v>#N/A</v>
      </c>
      <c r="K2453">
        <f t="shared" si="38"/>
        <v>0</v>
      </c>
      <c r="L24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3" s="3">
        <f>IFERROR(INDEX(Table3[#All],MATCH(Table1[[#This Row],[Key_Year_Week_Brand]],Table3[[#All],[Key_Year_Week_Brand]],0),MATCH(Table1[[#This Row],[DC_name_Xref]],Table3[#Headers],0)),0)</f>
        <v>0</v>
      </c>
      <c r="O2453" s="19">
        <f>IFERROR(INDEX(Table35[#All],MATCH(Table1[[#This Row],[Key_Year_Week_Brand]],Table35[[#All],[Key_Year_Month_Brand]],0),MATCH(Table1[[#This Row],[DC_name_Xref]],Table35[#Headers],0)),0)</f>
        <v>0</v>
      </c>
    </row>
    <row r="2454" spans="1:15" x14ac:dyDescent="0.3">
      <c r="A2454" s="19" t="e">
        <f>Table1[[#This Row],[Year_Week]]&amp;"-"&amp;Table1[[#This Row],[DC_name_Xref]]</f>
        <v>#N/A</v>
      </c>
      <c r="B2454" s="19" t="str">
        <f>Table1[[#This Row],[Fiscal_Year]]*100+Table1[[#This Row],[Fiscal_Week]] &amp; "-" &amp;Table1[[#This Row],[BRAND]]</f>
        <v>0-</v>
      </c>
      <c r="C2454" s="19" t="str">
        <f>Table1[[#This Row],[Fiscal_Year]]&amp;"-"&amp;Table1[[#This Row],[BRAND]]</f>
        <v>-</v>
      </c>
      <c r="J2454" t="e">
        <f>VLOOKUP(H2454,DC_Xref!A:B,2,FALSE)</f>
        <v>#N/A</v>
      </c>
      <c r="K2454">
        <f t="shared" si="38"/>
        <v>0</v>
      </c>
      <c r="L24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4" s="3">
        <f>IFERROR(INDEX(Table3[#All],MATCH(Table1[[#This Row],[Key_Year_Week_Brand]],Table3[[#All],[Key_Year_Week_Brand]],0),MATCH(Table1[[#This Row],[DC_name_Xref]],Table3[#Headers],0)),0)</f>
        <v>0</v>
      </c>
      <c r="O2454" s="19">
        <f>IFERROR(INDEX(Table35[#All],MATCH(Table1[[#This Row],[Key_Year_Week_Brand]],Table35[[#All],[Key_Year_Month_Brand]],0),MATCH(Table1[[#This Row],[DC_name_Xref]],Table35[#Headers],0)),0)</f>
        <v>0</v>
      </c>
    </row>
    <row r="2455" spans="1:15" x14ac:dyDescent="0.3">
      <c r="A2455" s="19" t="e">
        <f>Table1[[#This Row],[Year_Week]]&amp;"-"&amp;Table1[[#This Row],[DC_name_Xref]]</f>
        <v>#N/A</v>
      </c>
      <c r="B2455" s="19" t="str">
        <f>Table1[[#This Row],[Fiscal_Year]]*100+Table1[[#This Row],[Fiscal_Week]] &amp; "-" &amp;Table1[[#This Row],[BRAND]]</f>
        <v>0-</v>
      </c>
      <c r="C2455" s="19" t="str">
        <f>Table1[[#This Row],[Fiscal_Year]]&amp;"-"&amp;Table1[[#This Row],[BRAND]]</f>
        <v>-</v>
      </c>
      <c r="J2455" t="e">
        <f>VLOOKUP(H2455,DC_Xref!A:B,2,FALSE)</f>
        <v>#N/A</v>
      </c>
      <c r="K2455">
        <f t="shared" si="38"/>
        <v>0</v>
      </c>
      <c r="L24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5" s="3">
        <f>IFERROR(INDEX(Table3[#All],MATCH(Table1[[#This Row],[Key_Year_Week_Brand]],Table3[[#All],[Key_Year_Week_Brand]],0),MATCH(Table1[[#This Row],[DC_name_Xref]],Table3[#Headers],0)),0)</f>
        <v>0</v>
      </c>
      <c r="O2455" s="19">
        <f>IFERROR(INDEX(Table35[#All],MATCH(Table1[[#This Row],[Key_Year_Week_Brand]],Table35[[#All],[Key_Year_Month_Brand]],0),MATCH(Table1[[#This Row],[DC_name_Xref]],Table35[#Headers],0)),0)</f>
        <v>0</v>
      </c>
    </row>
    <row r="2456" spans="1:15" x14ac:dyDescent="0.3">
      <c r="A2456" s="19" t="e">
        <f>Table1[[#This Row],[Year_Week]]&amp;"-"&amp;Table1[[#This Row],[DC_name_Xref]]</f>
        <v>#N/A</v>
      </c>
      <c r="B2456" s="19" t="str">
        <f>Table1[[#This Row],[Fiscal_Year]]*100+Table1[[#This Row],[Fiscal_Week]] &amp; "-" &amp;Table1[[#This Row],[BRAND]]</f>
        <v>0-</v>
      </c>
      <c r="C2456" s="19" t="str">
        <f>Table1[[#This Row],[Fiscal_Year]]&amp;"-"&amp;Table1[[#This Row],[BRAND]]</f>
        <v>-</v>
      </c>
      <c r="J2456" t="e">
        <f>VLOOKUP(H2456,DC_Xref!A:B,2,FALSE)</f>
        <v>#N/A</v>
      </c>
      <c r="K2456">
        <f t="shared" si="38"/>
        <v>0</v>
      </c>
      <c r="L24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6" s="3">
        <f>IFERROR(INDEX(Table3[#All],MATCH(Table1[[#This Row],[Key_Year_Week_Brand]],Table3[[#All],[Key_Year_Week_Brand]],0),MATCH(Table1[[#This Row],[DC_name_Xref]],Table3[#Headers],0)),0)</f>
        <v>0</v>
      </c>
      <c r="O2456" s="19">
        <f>IFERROR(INDEX(Table35[#All],MATCH(Table1[[#This Row],[Key_Year_Week_Brand]],Table35[[#All],[Key_Year_Month_Brand]],0),MATCH(Table1[[#This Row],[DC_name_Xref]],Table35[#Headers],0)),0)</f>
        <v>0</v>
      </c>
    </row>
    <row r="2457" spans="1:15" x14ac:dyDescent="0.3">
      <c r="A2457" s="19" t="e">
        <f>Table1[[#This Row],[Year_Week]]&amp;"-"&amp;Table1[[#This Row],[DC_name_Xref]]</f>
        <v>#N/A</v>
      </c>
      <c r="B2457" s="19" t="str">
        <f>Table1[[#This Row],[Fiscal_Year]]*100+Table1[[#This Row],[Fiscal_Week]] &amp; "-" &amp;Table1[[#This Row],[BRAND]]</f>
        <v>0-</v>
      </c>
      <c r="C2457" s="19" t="str">
        <f>Table1[[#This Row],[Fiscal_Year]]&amp;"-"&amp;Table1[[#This Row],[BRAND]]</f>
        <v>-</v>
      </c>
      <c r="J2457" t="e">
        <f>VLOOKUP(H2457,DC_Xref!A:B,2,FALSE)</f>
        <v>#N/A</v>
      </c>
      <c r="K2457">
        <f t="shared" si="38"/>
        <v>0</v>
      </c>
      <c r="L24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7" s="3">
        <f>IFERROR(INDEX(Table3[#All],MATCH(Table1[[#This Row],[Key_Year_Week_Brand]],Table3[[#All],[Key_Year_Week_Brand]],0),MATCH(Table1[[#This Row],[DC_name_Xref]],Table3[#Headers],0)),0)</f>
        <v>0</v>
      </c>
      <c r="O2457" s="19">
        <f>IFERROR(INDEX(Table35[#All],MATCH(Table1[[#This Row],[Key_Year_Week_Brand]],Table35[[#All],[Key_Year_Month_Brand]],0),MATCH(Table1[[#This Row],[DC_name_Xref]],Table35[#Headers],0)),0)</f>
        <v>0</v>
      </c>
    </row>
    <row r="2458" spans="1:15" x14ac:dyDescent="0.3">
      <c r="A2458" s="19" t="e">
        <f>Table1[[#This Row],[Year_Week]]&amp;"-"&amp;Table1[[#This Row],[DC_name_Xref]]</f>
        <v>#N/A</v>
      </c>
      <c r="B2458" s="19" t="str">
        <f>Table1[[#This Row],[Fiscal_Year]]*100+Table1[[#This Row],[Fiscal_Week]] &amp; "-" &amp;Table1[[#This Row],[BRAND]]</f>
        <v>0-</v>
      </c>
      <c r="C2458" s="19" t="str">
        <f>Table1[[#This Row],[Fiscal_Year]]&amp;"-"&amp;Table1[[#This Row],[BRAND]]</f>
        <v>-</v>
      </c>
      <c r="J2458" t="e">
        <f>VLOOKUP(H2458,DC_Xref!A:B,2,FALSE)</f>
        <v>#N/A</v>
      </c>
      <c r="K2458">
        <f t="shared" si="38"/>
        <v>0</v>
      </c>
      <c r="L24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8" s="3">
        <f>IFERROR(INDEX(Table3[#All],MATCH(Table1[[#This Row],[Key_Year_Week_Brand]],Table3[[#All],[Key_Year_Week_Brand]],0),MATCH(Table1[[#This Row],[DC_name_Xref]],Table3[#Headers],0)),0)</f>
        <v>0</v>
      </c>
      <c r="O2458" s="19">
        <f>IFERROR(INDEX(Table35[#All],MATCH(Table1[[#This Row],[Key_Year_Week_Brand]],Table35[[#All],[Key_Year_Month_Brand]],0),MATCH(Table1[[#This Row],[DC_name_Xref]],Table35[#Headers],0)),0)</f>
        <v>0</v>
      </c>
    </row>
    <row r="2459" spans="1:15" x14ac:dyDescent="0.3">
      <c r="A2459" s="19" t="e">
        <f>Table1[[#This Row],[Year_Week]]&amp;"-"&amp;Table1[[#This Row],[DC_name_Xref]]</f>
        <v>#N/A</v>
      </c>
      <c r="B2459" s="19" t="str">
        <f>Table1[[#This Row],[Fiscal_Year]]*100+Table1[[#This Row],[Fiscal_Week]] &amp; "-" &amp;Table1[[#This Row],[BRAND]]</f>
        <v>0-</v>
      </c>
      <c r="C2459" s="19" t="str">
        <f>Table1[[#This Row],[Fiscal_Year]]&amp;"-"&amp;Table1[[#This Row],[BRAND]]</f>
        <v>-</v>
      </c>
      <c r="J2459" t="e">
        <f>VLOOKUP(H2459,DC_Xref!A:B,2,FALSE)</f>
        <v>#N/A</v>
      </c>
      <c r="K2459">
        <f t="shared" si="38"/>
        <v>0</v>
      </c>
      <c r="L24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59" s="3">
        <f>IFERROR(INDEX(Table3[#All],MATCH(Table1[[#This Row],[Key_Year_Week_Brand]],Table3[[#All],[Key_Year_Week_Brand]],0),MATCH(Table1[[#This Row],[DC_name_Xref]],Table3[#Headers],0)),0)</f>
        <v>0</v>
      </c>
      <c r="O2459" s="19">
        <f>IFERROR(INDEX(Table35[#All],MATCH(Table1[[#This Row],[Key_Year_Week_Brand]],Table35[[#All],[Key_Year_Month_Brand]],0),MATCH(Table1[[#This Row],[DC_name_Xref]],Table35[#Headers],0)),0)</f>
        <v>0</v>
      </c>
    </row>
    <row r="2460" spans="1:15" x14ac:dyDescent="0.3">
      <c r="A2460" s="19" t="e">
        <f>Table1[[#This Row],[Year_Week]]&amp;"-"&amp;Table1[[#This Row],[DC_name_Xref]]</f>
        <v>#N/A</v>
      </c>
      <c r="B2460" s="19" t="str">
        <f>Table1[[#This Row],[Fiscal_Year]]*100+Table1[[#This Row],[Fiscal_Week]] &amp; "-" &amp;Table1[[#This Row],[BRAND]]</f>
        <v>0-</v>
      </c>
      <c r="C2460" s="19" t="str">
        <f>Table1[[#This Row],[Fiscal_Year]]&amp;"-"&amp;Table1[[#This Row],[BRAND]]</f>
        <v>-</v>
      </c>
      <c r="J2460" t="e">
        <f>VLOOKUP(H2460,DC_Xref!A:B,2,FALSE)</f>
        <v>#N/A</v>
      </c>
      <c r="K2460">
        <f t="shared" si="38"/>
        <v>0</v>
      </c>
      <c r="L24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0" s="3">
        <f>IFERROR(INDEX(Table3[#All],MATCH(Table1[[#This Row],[Key_Year_Week_Brand]],Table3[[#All],[Key_Year_Week_Brand]],0),MATCH(Table1[[#This Row],[DC_name_Xref]],Table3[#Headers],0)),0)</f>
        <v>0</v>
      </c>
      <c r="O2460" s="19">
        <f>IFERROR(INDEX(Table35[#All],MATCH(Table1[[#This Row],[Key_Year_Week_Brand]],Table35[[#All],[Key_Year_Month_Brand]],0),MATCH(Table1[[#This Row],[DC_name_Xref]],Table35[#Headers],0)),0)</f>
        <v>0</v>
      </c>
    </row>
    <row r="2461" spans="1:15" x14ac:dyDescent="0.3">
      <c r="A2461" s="19" t="e">
        <f>Table1[[#This Row],[Year_Week]]&amp;"-"&amp;Table1[[#This Row],[DC_name_Xref]]</f>
        <v>#N/A</v>
      </c>
      <c r="B2461" s="19" t="str">
        <f>Table1[[#This Row],[Fiscal_Year]]*100+Table1[[#This Row],[Fiscal_Week]] &amp; "-" &amp;Table1[[#This Row],[BRAND]]</f>
        <v>0-</v>
      </c>
      <c r="C2461" s="19" t="str">
        <f>Table1[[#This Row],[Fiscal_Year]]&amp;"-"&amp;Table1[[#This Row],[BRAND]]</f>
        <v>-</v>
      </c>
      <c r="J2461" t="e">
        <f>VLOOKUP(H2461,DC_Xref!A:B,2,FALSE)</f>
        <v>#N/A</v>
      </c>
      <c r="K2461">
        <f t="shared" si="38"/>
        <v>0</v>
      </c>
      <c r="L24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1" s="3">
        <f>IFERROR(INDEX(Table3[#All],MATCH(Table1[[#This Row],[Key_Year_Week_Brand]],Table3[[#All],[Key_Year_Week_Brand]],0),MATCH(Table1[[#This Row],[DC_name_Xref]],Table3[#Headers],0)),0)</f>
        <v>0</v>
      </c>
      <c r="O2461" s="19">
        <f>IFERROR(INDEX(Table35[#All],MATCH(Table1[[#This Row],[Key_Year_Week_Brand]],Table35[[#All],[Key_Year_Month_Brand]],0),MATCH(Table1[[#This Row],[DC_name_Xref]],Table35[#Headers],0)),0)</f>
        <v>0</v>
      </c>
    </row>
    <row r="2462" spans="1:15" x14ac:dyDescent="0.3">
      <c r="A2462" s="19" t="e">
        <f>Table1[[#This Row],[Year_Week]]&amp;"-"&amp;Table1[[#This Row],[DC_name_Xref]]</f>
        <v>#N/A</v>
      </c>
      <c r="B2462" s="19" t="str">
        <f>Table1[[#This Row],[Fiscal_Year]]*100+Table1[[#This Row],[Fiscal_Week]] &amp; "-" &amp;Table1[[#This Row],[BRAND]]</f>
        <v>0-</v>
      </c>
      <c r="C2462" s="19" t="str">
        <f>Table1[[#This Row],[Fiscal_Year]]&amp;"-"&amp;Table1[[#This Row],[BRAND]]</f>
        <v>-</v>
      </c>
      <c r="J2462" t="e">
        <f>VLOOKUP(H2462,DC_Xref!A:B,2,FALSE)</f>
        <v>#N/A</v>
      </c>
      <c r="K2462">
        <f t="shared" si="38"/>
        <v>0</v>
      </c>
      <c r="L24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2" s="3">
        <f>IFERROR(INDEX(Table3[#All],MATCH(Table1[[#This Row],[Key_Year_Week_Brand]],Table3[[#All],[Key_Year_Week_Brand]],0),MATCH(Table1[[#This Row],[DC_name_Xref]],Table3[#Headers],0)),0)</f>
        <v>0</v>
      </c>
      <c r="O2462" s="19">
        <f>IFERROR(INDEX(Table35[#All],MATCH(Table1[[#This Row],[Key_Year_Week_Brand]],Table35[[#All],[Key_Year_Month_Brand]],0),MATCH(Table1[[#This Row],[DC_name_Xref]],Table35[#Headers],0)),0)</f>
        <v>0</v>
      </c>
    </row>
    <row r="2463" spans="1:15" x14ac:dyDescent="0.3">
      <c r="A2463" s="19" t="e">
        <f>Table1[[#This Row],[Year_Week]]&amp;"-"&amp;Table1[[#This Row],[DC_name_Xref]]</f>
        <v>#N/A</v>
      </c>
      <c r="B2463" s="19" t="str">
        <f>Table1[[#This Row],[Fiscal_Year]]*100+Table1[[#This Row],[Fiscal_Week]] &amp; "-" &amp;Table1[[#This Row],[BRAND]]</f>
        <v>0-</v>
      </c>
      <c r="C2463" s="19" t="str">
        <f>Table1[[#This Row],[Fiscal_Year]]&amp;"-"&amp;Table1[[#This Row],[BRAND]]</f>
        <v>-</v>
      </c>
      <c r="J2463" t="e">
        <f>VLOOKUP(H2463,DC_Xref!A:B,2,FALSE)</f>
        <v>#N/A</v>
      </c>
      <c r="K2463">
        <f t="shared" si="38"/>
        <v>0</v>
      </c>
      <c r="L24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3" s="3">
        <f>IFERROR(INDEX(Table3[#All],MATCH(Table1[[#This Row],[Key_Year_Week_Brand]],Table3[[#All],[Key_Year_Week_Brand]],0),MATCH(Table1[[#This Row],[DC_name_Xref]],Table3[#Headers],0)),0)</f>
        <v>0</v>
      </c>
      <c r="O2463" s="19">
        <f>IFERROR(INDEX(Table35[#All],MATCH(Table1[[#This Row],[Key_Year_Week_Brand]],Table35[[#All],[Key_Year_Month_Brand]],0),MATCH(Table1[[#This Row],[DC_name_Xref]],Table35[#Headers],0)),0)</f>
        <v>0</v>
      </c>
    </row>
    <row r="2464" spans="1:15" x14ac:dyDescent="0.3">
      <c r="A2464" s="19" t="e">
        <f>Table1[[#This Row],[Year_Week]]&amp;"-"&amp;Table1[[#This Row],[DC_name_Xref]]</f>
        <v>#N/A</v>
      </c>
      <c r="B2464" s="19" t="str">
        <f>Table1[[#This Row],[Fiscal_Year]]*100+Table1[[#This Row],[Fiscal_Week]] &amp; "-" &amp;Table1[[#This Row],[BRAND]]</f>
        <v>0-</v>
      </c>
      <c r="C2464" s="19" t="str">
        <f>Table1[[#This Row],[Fiscal_Year]]&amp;"-"&amp;Table1[[#This Row],[BRAND]]</f>
        <v>-</v>
      </c>
      <c r="J2464" t="e">
        <f>VLOOKUP(H2464,DC_Xref!A:B,2,FALSE)</f>
        <v>#N/A</v>
      </c>
      <c r="K2464">
        <f t="shared" si="38"/>
        <v>0</v>
      </c>
      <c r="L24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4" s="3">
        <f>IFERROR(INDEX(Table3[#All],MATCH(Table1[[#This Row],[Key_Year_Week_Brand]],Table3[[#All],[Key_Year_Week_Brand]],0),MATCH(Table1[[#This Row],[DC_name_Xref]],Table3[#Headers],0)),0)</f>
        <v>0</v>
      </c>
      <c r="O2464" s="19">
        <f>IFERROR(INDEX(Table35[#All],MATCH(Table1[[#This Row],[Key_Year_Week_Brand]],Table35[[#All],[Key_Year_Month_Brand]],0),MATCH(Table1[[#This Row],[DC_name_Xref]],Table35[#Headers],0)),0)</f>
        <v>0</v>
      </c>
    </row>
    <row r="2465" spans="1:15" x14ac:dyDescent="0.3">
      <c r="A2465" s="19" t="e">
        <f>Table1[[#This Row],[Year_Week]]&amp;"-"&amp;Table1[[#This Row],[DC_name_Xref]]</f>
        <v>#N/A</v>
      </c>
      <c r="B2465" s="19" t="str">
        <f>Table1[[#This Row],[Fiscal_Year]]*100+Table1[[#This Row],[Fiscal_Week]] &amp; "-" &amp;Table1[[#This Row],[BRAND]]</f>
        <v>0-</v>
      </c>
      <c r="C2465" s="19" t="str">
        <f>Table1[[#This Row],[Fiscal_Year]]&amp;"-"&amp;Table1[[#This Row],[BRAND]]</f>
        <v>-</v>
      </c>
      <c r="J2465" t="e">
        <f>VLOOKUP(H2465,DC_Xref!A:B,2,FALSE)</f>
        <v>#N/A</v>
      </c>
      <c r="K2465">
        <f t="shared" si="38"/>
        <v>0</v>
      </c>
      <c r="L24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5" s="3">
        <f>IFERROR(INDEX(Table3[#All],MATCH(Table1[[#This Row],[Key_Year_Week_Brand]],Table3[[#All],[Key_Year_Week_Brand]],0),MATCH(Table1[[#This Row],[DC_name_Xref]],Table3[#Headers],0)),0)</f>
        <v>0</v>
      </c>
      <c r="O2465" s="19">
        <f>IFERROR(INDEX(Table35[#All],MATCH(Table1[[#This Row],[Key_Year_Week_Brand]],Table35[[#All],[Key_Year_Month_Brand]],0),MATCH(Table1[[#This Row],[DC_name_Xref]],Table35[#Headers],0)),0)</f>
        <v>0</v>
      </c>
    </row>
    <row r="2466" spans="1:15" x14ac:dyDescent="0.3">
      <c r="A2466" s="19" t="e">
        <f>Table1[[#This Row],[Year_Week]]&amp;"-"&amp;Table1[[#This Row],[DC_name_Xref]]</f>
        <v>#N/A</v>
      </c>
      <c r="B2466" s="19" t="str">
        <f>Table1[[#This Row],[Fiscal_Year]]*100+Table1[[#This Row],[Fiscal_Week]] &amp; "-" &amp;Table1[[#This Row],[BRAND]]</f>
        <v>0-</v>
      </c>
      <c r="C2466" s="19" t="str">
        <f>Table1[[#This Row],[Fiscal_Year]]&amp;"-"&amp;Table1[[#This Row],[BRAND]]</f>
        <v>-</v>
      </c>
      <c r="J2466" t="e">
        <f>VLOOKUP(H2466,DC_Xref!A:B,2,FALSE)</f>
        <v>#N/A</v>
      </c>
      <c r="K2466">
        <f t="shared" si="38"/>
        <v>0</v>
      </c>
      <c r="L24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6" s="3">
        <f>IFERROR(INDEX(Table3[#All],MATCH(Table1[[#This Row],[Key_Year_Week_Brand]],Table3[[#All],[Key_Year_Week_Brand]],0),MATCH(Table1[[#This Row],[DC_name_Xref]],Table3[#Headers],0)),0)</f>
        <v>0</v>
      </c>
      <c r="O2466" s="19">
        <f>IFERROR(INDEX(Table35[#All],MATCH(Table1[[#This Row],[Key_Year_Week_Brand]],Table35[[#All],[Key_Year_Month_Brand]],0),MATCH(Table1[[#This Row],[DC_name_Xref]],Table35[#Headers],0)),0)</f>
        <v>0</v>
      </c>
    </row>
    <row r="2467" spans="1:15" x14ac:dyDescent="0.3">
      <c r="A2467" s="19" t="e">
        <f>Table1[[#This Row],[Year_Week]]&amp;"-"&amp;Table1[[#This Row],[DC_name_Xref]]</f>
        <v>#N/A</v>
      </c>
      <c r="B2467" s="19" t="str">
        <f>Table1[[#This Row],[Fiscal_Year]]*100+Table1[[#This Row],[Fiscal_Week]] &amp; "-" &amp;Table1[[#This Row],[BRAND]]</f>
        <v>0-</v>
      </c>
      <c r="C2467" s="19" t="str">
        <f>Table1[[#This Row],[Fiscal_Year]]&amp;"-"&amp;Table1[[#This Row],[BRAND]]</f>
        <v>-</v>
      </c>
      <c r="J2467" t="e">
        <f>VLOOKUP(H2467,DC_Xref!A:B,2,FALSE)</f>
        <v>#N/A</v>
      </c>
      <c r="K2467">
        <f t="shared" si="38"/>
        <v>0</v>
      </c>
      <c r="L24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7" s="3">
        <f>IFERROR(INDEX(Table3[#All],MATCH(Table1[[#This Row],[Key_Year_Week_Brand]],Table3[[#All],[Key_Year_Week_Brand]],0),MATCH(Table1[[#This Row],[DC_name_Xref]],Table3[#Headers],0)),0)</f>
        <v>0</v>
      </c>
      <c r="O2467" s="19">
        <f>IFERROR(INDEX(Table35[#All],MATCH(Table1[[#This Row],[Key_Year_Week_Brand]],Table35[[#All],[Key_Year_Month_Brand]],0),MATCH(Table1[[#This Row],[DC_name_Xref]],Table35[#Headers],0)),0)</f>
        <v>0</v>
      </c>
    </row>
    <row r="2468" spans="1:15" x14ac:dyDescent="0.3">
      <c r="A2468" s="19" t="e">
        <f>Table1[[#This Row],[Year_Week]]&amp;"-"&amp;Table1[[#This Row],[DC_name_Xref]]</f>
        <v>#N/A</v>
      </c>
      <c r="B2468" s="19" t="str">
        <f>Table1[[#This Row],[Fiscal_Year]]*100+Table1[[#This Row],[Fiscal_Week]] &amp; "-" &amp;Table1[[#This Row],[BRAND]]</f>
        <v>0-</v>
      </c>
      <c r="C2468" s="19" t="str">
        <f>Table1[[#This Row],[Fiscal_Year]]&amp;"-"&amp;Table1[[#This Row],[BRAND]]</f>
        <v>-</v>
      </c>
      <c r="J2468" t="e">
        <f>VLOOKUP(H2468,DC_Xref!A:B,2,FALSE)</f>
        <v>#N/A</v>
      </c>
      <c r="K2468">
        <f t="shared" si="38"/>
        <v>0</v>
      </c>
      <c r="L24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8" s="3">
        <f>IFERROR(INDEX(Table3[#All],MATCH(Table1[[#This Row],[Key_Year_Week_Brand]],Table3[[#All],[Key_Year_Week_Brand]],0),MATCH(Table1[[#This Row],[DC_name_Xref]],Table3[#Headers],0)),0)</f>
        <v>0</v>
      </c>
      <c r="O2468" s="19">
        <f>IFERROR(INDEX(Table35[#All],MATCH(Table1[[#This Row],[Key_Year_Week_Brand]],Table35[[#All],[Key_Year_Month_Brand]],0),MATCH(Table1[[#This Row],[DC_name_Xref]],Table35[#Headers],0)),0)</f>
        <v>0</v>
      </c>
    </row>
    <row r="2469" spans="1:15" x14ac:dyDescent="0.3">
      <c r="A2469" s="19" t="e">
        <f>Table1[[#This Row],[Year_Week]]&amp;"-"&amp;Table1[[#This Row],[DC_name_Xref]]</f>
        <v>#N/A</v>
      </c>
      <c r="B2469" s="19" t="str">
        <f>Table1[[#This Row],[Fiscal_Year]]*100+Table1[[#This Row],[Fiscal_Week]] &amp; "-" &amp;Table1[[#This Row],[BRAND]]</f>
        <v>0-</v>
      </c>
      <c r="C2469" s="19" t="str">
        <f>Table1[[#This Row],[Fiscal_Year]]&amp;"-"&amp;Table1[[#This Row],[BRAND]]</f>
        <v>-</v>
      </c>
      <c r="J2469" t="e">
        <f>VLOOKUP(H2469,DC_Xref!A:B,2,FALSE)</f>
        <v>#N/A</v>
      </c>
      <c r="K2469">
        <f t="shared" si="38"/>
        <v>0</v>
      </c>
      <c r="L24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69" s="3">
        <f>IFERROR(INDEX(Table3[#All],MATCH(Table1[[#This Row],[Key_Year_Week_Brand]],Table3[[#All],[Key_Year_Week_Brand]],0),MATCH(Table1[[#This Row],[DC_name_Xref]],Table3[#Headers],0)),0)</f>
        <v>0</v>
      </c>
      <c r="O2469" s="19">
        <f>IFERROR(INDEX(Table35[#All],MATCH(Table1[[#This Row],[Key_Year_Week_Brand]],Table35[[#All],[Key_Year_Month_Brand]],0),MATCH(Table1[[#This Row],[DC_name_Xref]],Table35[#Headers],0)),0)</f>
        <v>0</v>
      </c>
    </row>
    <row r="2470" spans="1:15" x14ac:dyDescent="0.3">
      <c r="A2470" s="19" t="e">
        <f>Table1[[#This Row],[Year_Week]]&amp;"-"&amp;Table1[[#This Row],[DC_name_Xref]]</f>
        <v>#N/A</v>
      </c>
      <c r="B2470" s="19" t="str">
        <f>Table1[[#This Row],[Fiscal_Year]]*100+Table1[[#This Row],[Fiscal_Week]] &amp; "-" &amp;Table1[[#This Row],[BRAND]]</f>
        <v>0-</v>
      </c>
      <c r="C2470" s="19" t="str">
        <f>Table1[[#This Row],[Fiscal_Year]]&amp;"-"&amp;Table1[[#This Row],[BRAND]]</f>
        <v>-</v>
      </c>
      <c r="J2470" t="e">
        <f>VLOOKUP(H2470,DC_Xref!A:B,2,FALSE)</f>
        <v>#N/A</v>
      </c>
      <c r="K2470">
        <f t="shared" si="38"/>
        <v>0</v>
      </c>
      <c r="L24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0" s="3">
        <f>IFERROR(INDEX(Table3[#All],MATCH(Table1[[#This Row],[Key_Year_Week_Brand]],Table3[[#All],[Key_Year_Week_Brand]],0),MATCH(Table1[[#This Row],[DC_name_Xref]],Table3[#Headers],0)),0)</f>
        <v>0</v>
      </c>
      <c r="O2470" s="19">
        <f>IFERROR(INDEX(Table35[#All],MATCH(Table1[[#This Row],[Key_Year_Week_Brand]],Table35[[#All],[Key_Year_Month_Brand]],0),MATCH(Table1[[#This Row],[DC_name_Xref]],Table35[#Headers],0)),0)</f>
        <v>0</v>
      </c>
    </row>
    <row r="2471" spans="1:15" x14ac:dyDescent="0.3">
      <c r="A2471" s="19" t="e">
        <f>Table1[[#This Row],[Year_Week]]&amp;"-"&amp;Table1[[#This Row],[DC_name_Xref]]</f>
        <v>#N/A</v>
      </c>
      <c r="B2471" s="19" t="str">
        <f>Table1[[#This Row],[Fiscal_Year]]*100+Table1[[#This Row],[Fiscal_Week]] &amp; "-" &amp;Table1[[#This Row],[BRAND]]</f>
        <v>0-</v>
      </c>
      <c r="C2471" s="19" t="str">
        <f>Table1[[#This Row],[Fiscal_Year]]&amp;"-"&amp;Table1[[#This Row],[BRAND]]</f>
        <v>-</v>
      </c>
      <c r="J2471" t="e">
        <f>VLOOKUP(H2471,DC_Xref!A:B,2,FALSE)</f>
        <v>#N/A</v>
      </c>
      <c r="K2471">
        <f t="shared" si="38"/>
        <v>0</v>
      </c>
      <c r="L24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1" s="3">
        <f>IFERROR(INDEX(Table3[#All],MATCH(Table1[[#This Row],[Key_Year_Week_Brand]],Table3[[#All],[Key_Year_Week_Brand]],0),MATCH(Table1[[#This Row],[DC_name_Xref]],Table3[#Headers],0)),0)</f>
        <v>0</v>
      </c>
      <c r="O2471" s="19">
        <f>IFERROR(INDEX(Table35[#All],MATCH(Table1[[#This Row],[Key_Year_Week_Brand]],Table35[[#All],[Key_Year_Month_Brand]],0),MATCH(Table1[[#This Row],[DC_name_Xref]],Table35[#Headers],0)),0)</f>
        <v>0</v>
      </c>
    </row>
    <row r="2472" spans="1:15" x14ac:dyDescent="0.3">
      <c r="A2472" s="19" t="e">
        <f>Table1[[#This Row],[Year_Week]]&amp;"-"&amp;Table1[[#This Row],[DC_name_Xref]]</f>
        <v>#N/A</v>
      </c>
      <c r="B2472" s="19" t="str">
        <f>Table1[[#This Row],[Fiscal_Year]]*100+Table1[[#This Row],[Fiscal_Week]] &amp; "-" &amp;Table1[[#This Row],[BRAND]]</f>
        <v>0-</v>
      </c>
      <c r="C2472" s="19" t="str">
        <f>Table1[[#This Row],[Fiscal_Year]]&amp;"-"&amp;Table1[[#This Row],[BRAND]]</f>
        <v>-</v>
      </c>
      <c r="J2472" t="e">
        <f>VLOOKUP(H2472,DC_Xref!A:B,2,FALSE)</f>
        <v>#N/A</v>
      </c>
      <c r="K2472">
        <f t="shared" si="38"/>
        <v>0</v>
      </c>
      <c r="L24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2" s="3">
        <f>IFERROR(INDEX(Table3[#All],MATCH(Table1[[#This Row],[Key_Year_Week_Brand]],Table3[[#All],[Key_Year_Week_Brand]],0),MATCH(Table1[[#This Row],[DC_name_Xref]],Table3[#Headers],0)),0)</f>
        <v>0</v>
      </c>
      <c r="O2472" s="19">
        <f>IFERROR(INDEX(Table35[#All],MATCH(Table1[[#This Row],[Key_Year_Week_Brand]],Table35[[#All],[Key_Year_Month_Brand]],0),MATCH(Table1[[#This Row],[DC_name_Xref]],Table35[#Headers],0)),0)</f>
        <v>0</v>
      </c>
    </row>
    <row r="2473" spans="1:15" x14ac:dyDescent="0.3">
      <c r="A2473" s="19" t="e">
        <f>Table1[[#This Row],[Year_Week]]&amp;"-"&amp;Table1[[#This Row],[DC_name_Xref]]</f>
        <v>#N/A</v>
      </c>
      <c r="B2473" s="19" t="str">
        <f>Table1[[#This Row],[Fiscal_Year]]*100+Table1[[#This Row],[Fiscal_Week]] &amp; "-" &amp;Table1[[#This Row],[BRAND]]</f>
        <v>0-</v>
      </c>
      <c r="C2473" s="19" t="str">
        <f>Table1[[#This Row],[Fiscal_Year]]&amp;"-"&amp;Table1[[#This Row],[BRAND]]</f>
        <v>-</v>
      </c>
      <c r="J2473" t="e">
        <f>VLOOKUP(H2473,DC_Xref!A:B,2,FALSE)</f>
        <v>#N/A</v>
      </c>
      <c r="K2473">
        <f t="shared" si="38"/>
        <v>0</v>
      </c>
      <c r="L24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3" s="3">
        <f>IFERROR(INDEX(Table3[#All],MATCH(Table1[[#This Row],[Key_Year_Week_Brand]],Table3[[#All],[Key_Year_Week_Brand]],0),MATCH(Table1[[#This Row],[DC_name_Xref]],Table3[#Headers],0)),0)</f>
        <v>0</v>
      </c>
      <c r="O2473" s="19">
        <f>IFERROR(INDEX(Table35[#All],MATCH(Table1[[#This Row],[Key_Year_Week_Brand]],Table35[[#All],[Key_Year_Month_Brand]],0),MATCH(Table1[[#This Row],[DC_name_Xref]],Table35[#Headers],0)),0)</f>
        <v>0</v>
      </c>
    </row>
    <row r="2474" spans="1:15" x14ac:dyDescent="0.3">
      <c r="A2474" s="19" t="e">
        <f>Table1[[#This Row],[Year_Week]]&amp;"-"&amp;Table1[[#This Row],[DC_name_Xref]]</f>
        <v>#N/A</v>
      </c>
      <c r="B2474" s="19" t="str">
        <f>Table1[[#This Row],[Fiscal_Year]]*100+Table1[[#This Row],[Fiscal_Week]] &amp; "-" &amp;Table1[[#This Row],[BRAND]]</f>
        <v>0-</v>
      </c>
      <c r="C2474" s="19" t="str">
        <f>Table1[[#This Row],[Fiscal_Year]]&amp;"-"&amp;Table1[[#This Row],[BRAND]]</f>
        <v>-</v>
      </c>
      <c r="J2474" t="e">
        <f>VLOOKUP(H2474,DC_Xref!A:B,2,FALSE)</f>
        <v>#N/A</v>
      </c>
      <c r="K2474">
        <f t="shared" si="38"/>
        <v>0</v>
      </c>
      <c r="L24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4" s="3">
        <f>IFERROR(INDEX(Table3[#All],MATCH(Table1[[#This Row],[Key_Year_Week_Brand]],Table3[[#All],[Key_Year_Week_Brand]],0),MATCH(Table1[[#This Row],[DC_name_Xref]],Table3[#Headers],0)),0)</f>
        <v>0</v>
      </c>
      <c r="O2474" s="19">
        <f>IFERROR(INDEX(Table35[#All],MATCH(Table1[[#This Row],[Key_Year_Week_Brand]],Table35[[#All],[Key_Year_Month_Brand]],0),MATCH(Table1[[#This Row],[DC_name_Xref]],Table35[#Headers],0)),0)</f>
        <v>0</v>
      </c>
    </row>
    <row r="2475" spans="1:15" x14ac:dyDescent="0.3">
      <c r="A2475" s="19" t="e">
        <f>Table1[[#This Row],[Year_Week]]&amp;"-"&amp;Table1[[#This Row],[DC_name_Xref]]</f>
        <v>#N/A</v>
      </c>
      <c r="B2475" s="19" t="str">
        <f>Table1[[#This Row],[Fiscal_Year]]*100+Table1[[#This Row],[Fiscal_Week]] &amp; "-" &amp;Table1[[#This Row],[BRAND]]</f>
        <v>0-</v>
      </c>
      <c r="C2475" s="19" t="str">
        <f>Table1[[#This Row],[Fiscal_Year]]&amp;"-"&amp;Table1[[#This Row],[BRAND]]</f>
        <v>-</v>
      </c>
      <c r="J2475" t="e">
        <f>VLOOKUP(H2475,DC_Xref!A:B,2,FALSE)</f>
        <v>#N/A</v>
      </c>
      <c r="K2475">
        <f t="shared" si="38"/>
        <v>0</v>
      </c>
      <c r="L24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5" s="3">
        <f>IFERROR(INDEX(Table3[#All],MATCH(Table1[[#This Row],[Key_Year_Week_Brand]],Table3[[#All],[Key_Year_Week_Brand]],0),MATCH(Table1[[#This Row],[DC_name_Xref]],Table3[#Headers],0)),0)</f>
        <v>0</v>
      </c>
      <c r="O2475" s="19">
        <f>IFERROR(INDEX(Table35[#All],MATCH(Table1[[#This Row],[Key_Year_Week_Brand]],Table35[[#All],[Key_Year_Month_Brand]],0),MATCH(Table1[[#This Row],[DC_name_Xref]],Table35[#Headers],0)),0)</f>
        <v>0</v>
      </c>
    </row>
    <row r="2476" spans="1:15" x14ac:dyDescent="0.3">
      <c r="A2476" s="19" t="e">
        <f>Table1[[#This Row],[Year_Week]]&amp;"-"&amp;Table1[[#This Row],[DC_name_Xref]]</f>
        <v>#N/A</v>
      </c>
      <c r="B2476" s="19" t="str">
        <f>Table1[[#This Row],[Fiscal_Year]]*100+Table1[[#This Row],[Fiscal_Week]] &amp; "-" &amp;Table1[[#This Row],[BRAND]]</f>
        <v>0-</v>
      </c>
      <c r="C2476" s="19" t="str">
        <f>Table1[[#This Row],[Fiscal_Year]]&amp;"-"&amp;Table1[[#This Row],[BRAND]]</f>
        <v>-</v>
      </c>
      <c r="J2476" t="e">
        <f>VLOOKUP(H2476,DC_Xref!A:B,2,FALSE)</f>
        <v>#N/A</v>
      </c>
      <c r="K2476">
        <f t="shared" si="38"/>
        <v>0</v>
      </c>
      <c r="L24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6" s="3">
        <f>IFERROR(INDEX(Table3[#All],MATCH(Table1[[#This Row],[Key_Year_Week_Brand]],Table3[[#All],[Key_Year_Week_Brand]],0),MATCH(Table1[[#This Row],[DC_name_Xref]],Table3[#Headers],0)),0)</f>
        <v>0</v>
      </c>
      <c r="O2476" s="19">
        <f>IFERROR(INDEX(Table35[#All],MATCH(Table1[[#This Row],[Key_Year_Week_Brand]],Table35[[#All],[Key_Year_Month_Brand]],0),MATCH(Table1[[#This Row],[DC_name_Xref]],Table35[#Headers],0)),0)</f>
        <v>0</v>
      </c>
    </row>
    <row r="2477" spans="1:15" x14ac:dyDescent="0.3">
      <c r="A2477" s="19" t="e">
        <f>Table1[[#This Row],[Year_Week]]&amp;"-"&amp;Table1[[#This Row],[DC_name_Xref]]</f>
        <v>#N/A</v>
      </c>
      <c r="B2477" s="19" t="str">
        <f>Table1[[#This Row],[Fiscal_Year]]*100+Table1[[#This Row],[Fiscal_Week]] &amp; "-" &amp;Table1[[#This Row],[BRAND]]</f>
        <v>0-</v>
      </c>
      <c r="C2477" s="19" t="str">
        <f>Table1[[#This Row],[Fiscal_Year]]&amp;"-"&amp;Table1[[#This Row],[BRAND]]</f>
        <v>-</v>
      </c>
      <c r="J2477" t="e">
        <f>VLOOKUP(H2477,DC_Xref!A:B,2,FALSE)</f>
        <v>#N/A</v>
      </c>
      <c r="K2477">
        <f t="shared" si="38"/>
        <v>0</v>
      </c>
      <c r="L24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7" s="3">
        <f>IFERROR(INDEX(Table3[#All],MATCH(Table1[[#This Row],[Key_Year_Week_Brand]],Table3[[#All],[Key_Year_Week_Brand]],0),MATCH(Table1[[#This Row],[DC_name_Xref]],Table3[#Headers],0)),0)</f>
        <v>0</v>
      </c>
      <c r="O2477" s="19">
        <f>IFERROR(INDEX(Table35[#All],MATCH(Table1[[#This Row],[Key_Year_Week_Brand]],Table35[[#All],[Key_Year_Month_Brand]],0),MATCH(Table1[[#This Row],[DC_name_Xref]],Table35[#Headers],0)),0)</f>
        <v>0</v>
      </c>
    </row>
    <row r="2478" spans="1:15" x14ac:dyDescent="0.3">
      <c r="A2478" s="19" t="e">
        <f>Table1[[#This Row],[Year_Week]]&amp;"-"&amp;Table1[[#This Row],[DC_name_Xref]]</f>
        <v>#N/A</v>
      </c>
      <c r="B2478" s="19" t="str">
        <f>Table1[[#This Row],[Fiscal_Year]]*100+Table1[[#This Row],[Fiscal_Week]] &amp; "-" &amp;Table1[[#This Row],[BRAND]]</f>
        <v>0-</v>
      </c>
      <c r="C2478" s="19" t="str">
        <f>Table1[[#This Row],[Fiscal_Year]]&amp;"-"&amp;Table1[[#This Row],[BRAND]]</f>
        <v>-</v>
      </c>
      <c r="J2478" t="e">
        <f>VLOOKUP(H2478,DC_Xref!A:B,2,FALSE)</f>
        <v>#N/A</v>
      </c>
      <c r="K2478">
        <f t="shared" si="38"/>
        <v>0</v>
      </c>
      <c r="L24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8" s="3">
        <f>IFERROR(INDEX(Table3[#All],MATCH(Table1[[#This Row],[Key_Year_Week_Brand]],Table3[[#All],[Key_Year_Week_Brand]],0),MATCH(Table1[[#This Row],[DC_name_Xref]],Table3[#Headers],0)),0)</f>
        <v>0</v>
      </c>
      <c r="O2478" s="19">
        <f>IFERROR(INDEX(Table35[#All],MATCH(Table1[[#This Row],[Key_Year_Week_Brand]],Table35[[#All],[Key_Year_Month_Brand]],0),MATCH(Table1[[#This Row],[DC_name_Xref]],Table35[#Headers],0)),0)</f>
        <v>0</v>
      </c>
    </row>
    <row r="2479" spans="1:15" x14ac:dyDescent="0.3">
      <c r="A2479" s="19" t="e">
        <f>Table1[[#This Row],[Year_Week]]&amp;"-"&amp;Table1[[#This Row],[DC_name_Xref]]</f>
        <v>#N/A</v>
      </c>
      <c r="B2479" s="19" t="str">
        <f>Table1[[#This Row],[Fiscal_Year]]*100+Table1[[#This Row],[Fiscal_Week]] &amp; "-" &amp;Table1[[#This Row],[BRAND]]</f>
        <v>0-</v>
      </c>
      <c r="C2479" s="19" t="str">
        <f>Table1[[#This Row],[Fiscal_Year]]&amp;"-"&amp;Table1[[#This Row],[BRAND]]</f>
        <v>-</v>
      </c>
      <c r="J2479" t="e">
        <f>VLOOKUP(H2479,DC_Xref!A:B,2,FALSE)</f>
        <v>#N/A</v>
      </c>
      <c r="K2479">
        <f t="shared" si="38"/>
        <v>0</v>
      </c>
      <c r="L24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79" s="3">
        <f>IFERROR(INDEX(Table3[#All],MATCH(Table1[[#This Row],[Key_Year_Week_Brand]],Table3[[#All],[Key_Year_Week_Brand]],0),MATCH(Table1[[#This Row],[DC_name_Xref]],Table3[#Headers],0)),0)</f>
        <v>0</v>
      </c>
      <c r="O2479" s="19">
        <f>IFERROR(INDEX(Table35[#All],MATCH(Table1[[#This Row],[Key_Year_Week_Brand]],Table35[[#All],[Key_Year_Month_Brand]],0),MATCH(Table1[[#This Row],[DC_name_Xref]],Table35[#Headers],0)),0)</f>
        <v>0</v>
      </c>
    </row>
    <row r="2480" spans="1:15" x14ac:dyDescent="0.3">
      <c r="A2480" s="19" t="e">
        <f>Table1[[#This Row],[Year_Week]]&amp;"-"&amp;Table1[[#This Row],[DC_name_Xref]]</f>
        <v>#N/A</v>
      </c>
      <c r="B2480" s="19" t="str">
        <f>Table1[[#This Row],[Fiscal_Year]]*100+Table1[[#This Row],[Fiscal_Week]] &amp; "-" &amp;Table1[[#This Row],[BRAND]]</f>
        <v>0-</v>
      </c>
      <c r="C2480" s="19" t="str">
        <f>Table1[[#This Row],[Fiscal_Year]]&amp;"-"&amp;Table1[[#This Row],[BRAND]]</f>
        <v>-</v>
      </c>
      <c r="J2480" t="e">
        <f>VLOOKUP(H2480,DC_Xref!A:B,2,FALSE)</f>
        <v>#N/A</v>
      </c>
      <c r="K2480">
        <f t="shared" si="38"/>
        <v>0</v>
      </c>
      <c r="L24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0" s="3">
        <f>IFERROR(INDEX(Table3[#All],MATCH(Table1[[#This Row],[Key_Year_Week_Brand]],Table3[[#All],[Key_Year_Week_Brand]],0),MATCH(Table1[[#This Row],[DC_name_Xref]],Table3[#Headers],0)),0)</f>
        <v>0</v>
      </c>
      <c r="O2480" s="19">
        <f>IFERROR(INDEX(Table35[#All],MATCH(Table1[[#This Row],[Key_Year_Week_Brand]],Table35[[#All],[Key_Year_Month_Brand]],0),MATCH(Table1[[#This Row],[DC_name_Xref]],Table35[#Headers],0)),0)</f>
        <v>0</v>
      </c>
    </row>
    <row r="2481" spans="1:15" x14ac:dyDescent="0.3">
      <c r="A2481" s="19" t="e">
        <f>Table1[[#This Row],[Year_Week]]&amp;"-"&amp;Table1[[#This Row],[DC_name_Xref]]</f>
        <v>#N/A</v>
      </c>
      <c r="B2481" s="19" t="str">
        <f>Table1[[#This Row],[Fiscal_Year]]*100+Table1[[#This Row],[Fiscal_Week]] &amp; "-" &amp;Table1[[#This Row],[BRAND]]</f>
        <v>0-</v>
      </c>
      <c r="C2481" s="19" t="str">
        <f>Table1[[#This Row],[Fiscal_Year]]&amp;"-"&amp;Table1[[#This Row],[BRAND]]</f>
        <v>-</v>
      </c>
      <c r="J2481" t="e">
        <f>VLOOKUP(H2481,DC_Xref!A:B,2,FALSE)</f>
        <v>#N/A</v>
      </c>
      <c r="K2481">
        <f t="shared" si="38"/>
        <v>0</v>
      </c>
      <c r="L24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1" s="3">
        <f>IFERROR(INDEX(Table3[#All],MATCH(Table1[[#This Row],[Key_Year_Week_Brand]],Table3[[#All],[Key_Year_Week_Brand]],0),MATCH(Table1[[#This Row],[DC_name_Xref]],Table3[#Headers],0)),0)</f>
        <v>0</v>
      </c>
      <c r="O2481" s="19">
        <f>IFERROR(INDEX(Table35[#All],MATCH(Table1[[#This Row],[Key_Year_Week_Brand]],Table35[[#All],[Key_Year_Month_Brand]],0),MATCH(Table1[[#This Row],[DC_name_Xref]],Table35[#Headers],0)),0)</f>
        <v>0</v>
      </c>
    </row>
    <row r="2482" spans="1:15" x14ac:dyDescent="0.3">
      <c r="A2482" s="19" t="e">
        <f>Table1[[#This Row],[Year_Week]]&amp;"-"&amp;Table1[[#This Row],[DC_name_Xref]]</f>
        <v>#N/A</v>
      </c>
      <c r="B2482" s="19" t="str">
        <f>Table1[[#This Row],[Fiscal_Year]]*100+Table1[[#This Row],[Fiscal_Week]] &amp; "-" &amp;Table1[[#This Row],[BRAND]]</f>
        <v>0-</v>
      </c>
      <c r="C2482" s="19" t="str">
        <f>Table1[[#This Row],[Fiscal_Year]]&amp;"-"&amp;Table1[[#This Row],[BRAND]]</f>
        <v>-</v>
      </c>
      <c r="J2482" t="e">
        <f>VLOOKUP(H2482,DC_Xref!A:B,2,FALSE)</f>
        <v>#N/A</v>
      </c>
      <c r="K2482">
        <f t="shared" si="38"/>
        <v>0</v>
      </c>
      <c r="L24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2" s="3">
        <f>IFERROR(INDEX(Table3[#All],MATCH(Table1[[#This Row],[Key_Year_Week_Brand]],Table3[[#All],[Key_Year_Week_Brand]],0),MATCH(Table1[[#This Row],[DC_name_Xref]],Table3[#Headers],0)),0)</f>
        <v>0</v>
      </c>
      <c r="O2482" s="19">
        <f>IFERROR(INDEX(Table35[#All],MATCH(Table1[[#This Row],[Key_Year_Week_Brand]],Table35[[#All],[Key_Year_Month_Brand]],0),MATCH(Table1[[#This Row],[DC_name_Xref]],Table35[#Headers],0)),0)</f>
        <v>0</v>
      </c>
    </row>
    <row r="2483" spans="1:15" x14ac:dyDescent="0.3">
      <c r="A2483" s="19" t="e">
        <f>Table1[[#This Row],[Year_Week]]&amp;"-"&amp;Table1[[#This Row],[DC_name_Xref]]</f>
        <v>#N/A</v>
      </c>
      <c r="B2483" s="19" t="str">
        <f>Table1[[#This Row],[Fiscal_Year]]*100+Table1[[#This Row],[Fiscal_Week]] &amp; "-" &amp;Table1[[#This Row],[BRAND]]</f>
        <v>0-</v>
      </c>
      <c r="C2483" s="19" t="str">
        <f>Table1[[#This Row],[Fiscal_Year]]&amp;"-"&amp;Table1[[#This Row],[BRAND]]</f>
        <v>-</v>
      </c>
      <c r="J2483" t="e">
        <f>VLOOKUP(H2483,DC_Xref!A:B,2,FALSE)</f>
        <v>#N/A</v>
      </c>
      <c r="K2483">
        <f t="shared" si="38"/>
        <v>0</v>
      </c>
      <c r="L24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3" s="3">
        <f>IFERROR(INDEX(Table3[#All],MATCH(Table1[[#This Row],[Key_Year_Week_Brand]],Table3[[#All],[Key_Year_Week_Brand]],0),MATCH(Table1[[#This Row],[DC_name_Xref]],Table3[#Headers],0)),0)</f>
        <v>0</v>
      </c>
      <c r="O2483" s="19">
        <f>IFERROR(INDEX(Table35[#All],MATCH(Table1[[#This Row],[Key_Year_Week_Brand]],Table35[[#All],[Key_Year_Month_Brand]],0),MATCH(Table1[[#This Row],[DC_name_Xref]],Table35[#Headers],0)),0)</f>
        <v>0</v>
      </c>
    </row>
    <row r="2484" spans="1:15" x14ac:dyDescent="0.3">
      <c r="A2484" s="19" t="e">
        <f>Table1[[#This Row],[Year_Week]]&amp;"-"&amp;Table1[[#This Row],[DC_name_Xref]]</f>
        <v>#N/A</v>
      </c>
      <c r="B2484" s="19" t="str">
        <f>Table1[[#This Row],[Fiscal_Year]]*100+Table1[[#This Row],[Fiscal_Week]] &amp; "-" &amp;Table1[[#This Row],[BRAND]]</f>
        <v>0-</v>
      </c>
      <c r="C2484" s="19" t="str">
        <f>Table1[[#This Row],[Fiscal_Year]]&amp;"-"&amp;Table1[[#This Row],[BRAND]]</f>
        <v>-</v>
      </c>
      <c r="J2484" t="e">
        <f>VLOOKUP(H2484,DC_Xref!A:B,2,FALSE)</f>
        <v>#N/A</v>
      </c>
      <c r="K2484">
        <f t="shared" si="38"/>
        <v>0</v>
      </c>
      <c r="L24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4" s="3">
        <f>IFERROR(INDEX(Table3[#All],MATCH(Table1[[#This Row],[Key_Year_Week_Brand]],Table3[[#All],[Key_Year_Week_Brand]],0),MATCH(Table1[[#This Row],[DC_name_Xref]],Table3[#Headers],0)),0)</f>
        <v>0</v>
      </c>
      <c r="O2484" s="19">
        <f>IFERROR(INDEX(Table35[#All],MATCH(Table1[[#This Row],[Key_Year_Week_Brand]],Table35[[#All],[Key_Year_Month_Brand]],0),MATCH(Table1[[#This Row],[DC_name_Xref]],Table35[#Headers],0)),0)</f>
        <v>0</v>
      </c>
    </row>
    <row r="2485" spans="1:15" x14ac:dyDescent="0.3">
      <c r="A2485" s="19" t="e">
        <f>Table1[[#This Row],[Year_Week]]&amp;"-"&amp;Table1[[#This Row],[DC_name_Xref]]</f>
        <v>#N/A</v>
      </c>
      <c r="B2485" s="19" t="str">
        <f>Table1[[#This Row],[Fiscal_Year]]*100+Table1[[#This Row],[Fiscal_Week]] &amp; "-" &amp;Table1[[#This Row],[BRAND]]</f>
        <v>0-</v>
      </c>
      <c r="C2485" s="19" t="str">
        <f>Table1[[#This Row],[Fiscal_Year]]&amp;"-"&amp;Table1[[#This Row],[BRAND]]</f>
        <v>-</v>
      </c>
      <c r="J2485" t="e">
        <f>VLOOKUP(H2485,DC_Xref!A:B,2,FALSE)</f>
        <v>#N/A</v>
      </c>
      <c r="K2485">
        <f t="shared" si="38"/>
        <v>0</v>
      </c>
      <c r="L24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5" s="3">
        <f>IFERROR(INDEX(Table3[#All],MATCH(Table1[[#This Row],[Key_Year_Week_Brand]],Table3[[#All],[Key_Year_Week_Brand]],0),MATCH(Table1[[#This Row],[DC_name_Xref]],Table3[#Headers],0)),0)</f>
        <v>0</v>
      </c>
      <c r="O2485" s="19">
        <f>IFERROR(INDEX(Table35[#All],MATCH(Table1[[#This Row],[Key_Year_Week_Brand]],Table35[[#All],[Key_Year_Month_Brand]],0),MATCH(Table1[[#This Row],[DC_name_Xref]],Table35[#Headers],0)),0)</f>
        <v>0</v>
      </c>
    </row>
    <row r="2486" spans="1:15" x14ac:dyDescent="0.3">
      <c r="A2486" s="19" t="e">
        <f>Table1[[#This Row],[Year_Week]]&amp;"-"&amp;Table1[[#This Row],[DC_name_Xref]]</f>
        <v>#N/A</v>
      </c>
      <c r="B2486" s="19" t="str">
        <f>Table1[[#This Row],[Fiscal_Year]]*100+Table1[[#This Row],[Fiscal_Week]] &amp; "-" &amp;Table1[[#This Row],[BRAND]]</f>
        <v>0-</v>
      </c>
      <c r="C2486" s="19" t="str">
        <f>Table1[[#This Row],[Fiscal_Year]]&amp;"-"&amp;Table1[[#This Row],[BRAND]]</f>
        <v>-</v>
      </c>
      <c r="J2486" t="e">
        <f>VLOOKUP(H2486,DC_Xref!A:B,2,FALSE)</f>
        <v>#N/A</v>
      </c>
      <c r="K2486">
        <f t="shared" si="38"/>
        <v>0</v>
      </c>
      <c r="L24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6" s="3">
        <f>IFERROR(INDEX(Table3[#All],MATCH(Table1[[#This Row],[Key_Year_Week_Brand]],Table3[[#All],[Key_Year_Week_Brand]],0),MATCH(Table1[[#This Row],[DC_name_Xref]],Table3[#Headers],0)),0)</f>
        <v>0</v>
      </c>
      <c r="O2486" s="19">
        <f>IFERROR(INDEX(Table35[#All],MATCH(Table1[[#This Row],[Key_Year_Week_Brand]],Table35[[#All],[Key_Year_Month_Brand]],0),MATCH(Table1[[#This Row],[DC_name_Xref]],Table35[#Headers],0)),0)</f>
        <v>0</v>
      </c>
    </row>
    <row r="2487" spans="1:15" x14ac:dyDescent="0.3">
      <c r="A2487" s="19" t="e">
        <f>Table1[[#This Row],[Year_Week]]&amp;"-"&amp;Table1[[#This Row],[DC_name_Xref]]</f>
        <v>#N/A</v>
      </c>
      <c r="B2487" s="19" t="str">
        <f>Table1[[#This Row],[Fiscal_Year]]*100+Table1[[#This Row],[Fiscal_Week]] &amp; "-" &amp;Table1[[#This Row],[BRAND]]</f>
        <v>0-</v>
      </c>
      <c r="C2487" s="19" t="str">
        <f>Table1[[#This Row],[Fiscal_Year]]&amp;"-"&amp;Table1[[#This Row],[BRAND]]</f>
        <v>-</v>
      </c>
      <c r="J2487" t="e">
        <f>VLOOKUP(H2487,DC_Xref!A:B,2,FALSE)</f>
        <v>#N/A</v>
      </c>
      <c r="K2487">
        <f t="shared" si="38"/>
        <v>0</v>
      </c>
      <c r="L24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7" s="3">
        <f>IFERROR(INDEX(Table3[#All],MATCH(Table1[[#This Row],[Key_Year_Week_Brand]],Table3[[#All],[Key_Year_Week_Brand]],0),MATCH(Table1[[#This Row],[DC_name_Xref]],Table3[#Headers],0)),0)</f>
        <v>0</v>
      </c>
      <c r="O2487" s="19">
        <f>IFERROR(INDEX(Table35[#All],MATCH(Table1[[#This Row],[Key_Year_Week_Brand]],Table35[[#All],[Key_Year_Month_Brand]],0),MATCH(Table1[[#This Row],[DC_name_Xref]],Table35[#Headers],0)),0)</f>
        <v>0</v>
      </c>
    </row>
    <row r="2488" spans="1:15" x14ac:dyDescent="0.3">
      <c r="A2488" s="19" t="e">
        <f>Table1[[#This Row],[Year_Week]]&amp;"-"&amp;Table1[[#This Row],[DC_name_Xref]]</f>
        <v>#N/A</v>
      </c>
      <c r="B2488" s="19" t="str">
        <f>Table1[[#This Row],[Fiscal_Year]]*100+Table1[[#This Row],[Fiscal_Week]] &amp; "-" &amp;Table1[[#This Row],[BRAND]]</f>
        <v>0-</v>
      </c>
      <c r="C2488" s="19" t="str">
        <f>Table1[[#This Row],[Fiscal_Year]]&amp;"-"&amp;Table1[[#This Row],[BRAND]]</f>
        <v>-</v>
      </c>
      <c r="J2488" t="e">
        <f>VLOOKUP(H2488,DC_Xref!A:B,2,FALSE)</f>
        <v>#N/A</v>
      </c>
      <c r="K2488">
        <f t="shared" si="38"/>
        <v>0</v>
      </c>
      <c r="L24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8" s="3">
        <f>IFERROR(INDEX(Table3[#All],MATCH(Table1[[#This Row],[Key_Year_Week_Brand]],Table3[[#All],[Key_Year_Week_Brand]],0),MATCH(Table1[[#This Row],[DC_name_Xref]],Table3[#Headers],0)),0)</f>
        <v>0</v>
      </c>
      <c r="O2488" s="19">
        <f>IFERROR(INDEX(Table35[#All],MATCH(Table1[[#This Row],[Key_Year_Week_Brand]],Table35[[#All],[Key_Year_Month_Brand]],0),MATCH(Table1[[#This Row],[DC_name_Xref]],Table35[#Headers],0)),0)</f>
        <v>0</v>
      </c>
    </row>
    <row r="2489" spans="1:15" x14ac:dyDescent="0.3">
      <c r="A2489" s="19" t="e">
        <f>Table1[[#This Row],[Year_Week]]&amp;"-"&amp;Table1[[#This Row],[DC_name_Xref]]</f>
        <v>#N/A</v>
      </c>
      <c r="B2489" s="19" t="str">
        <f>Table1[[#This Row],[Fiscal_Year]]*100+Table1[[#This Row],[Fiscal_Week]] &amp; "-" &amp;Table1[[#This Row],[BRAND]]</f>
        <v>0-</v>
      </c>
      <c r="C2489" s="19" t="str">
        <f>Table1[[#This Row],[Fiscal_Year]]&amp;"-"&amp;Table1[[#This Row],[BRAND]]</f>
        <v>-</v>
      </c>
      <c r="J2489" t="e">
        <f>VLOOKUP(H2489,DC_Xref!A:B,2,FALSE)</f>
        <v>#N/A</v>
      </c>
      <c r="K2489">
        <f t="shared" si="38"/>
        <v>0</v>
      </c>
      <c r="L24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89" s="3">
        <f>IFERROR(INDEX(Table3[#All],MATCH(Table1[[#This Row],[Key_Year_Week_Brand]],Table3[[#All],[Key_Year_Week_Brand]],0),MATCH(Table1[[#This Row],[DC_name_Xref]],Table3[#Headers],0)),0)</f>
        <v>0</v>
      </c>
      <c r="O2489" s="19">
        <f>IFERROR(INDEX(Table35[#All],MATCH(Table1[[#This Row],[Key_Year_Week_Brand]],Table35[[#All],[Key_Year_Month_Brand]],0),MATCH(Table1[[#This Row],[DC_name_Xref]],Table35[#Headers],0)),0)</f>
        <v>0</v>
      </c>
    </row>
    <row r="2490" spans="1:15" x14ac:dyDescent="0.3">
      <c r="A2490" s="19" t="e">
        <f>Table1[[#This Row],[Year_Week]]&amp;"-"&amp;Table1[[#This Row],[DC_name_Xref]]</f>
        <v>#N/A</v>
      </c>
      <c r="B2490" s="19" t="str">
        <f>Table1[[#This Row],[Fiscal_Year]]*100+Table1[[#This Row],[Fiscal_Week]] &amp; "-" &amp;Table1[[#This Row],[BRAND]]</f>
        <v>0-</v>
      </c>
      <c r="C2490" s="19" t="str">
        <f>Table1[[#This Row],[Fiscal_Year]]&amp;"-"&amp;Table1[[#This Row],[BRAND]]</f>
        <v>-</v>
      </c>
      <c r="J2490" t="e">
        <f>VLOOKUP(H2490,DC_Xref!A:B,2,FALSE)</f>
        <v>#N/A</v>
      </c>
      <c r="K2490">
        <f t="shared" si="38"/>
        <v>0</v>
      </c>
      <c r="L24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0" s="3">
        <f>IFERROR(INDEX(Table3[#All],MATCH(Table1[[#This Row],[Key_Year_Week_Brand]],Table3[[#All],[Key_Year_Week_Brand]],0),MATCH(Table1[[#This Row],[DC_name_Xref]],Table3[#Headers],0)),0)</f>
        <v>0</v>
      </c>
      <c r="O2490" s="19">
        <f>IFERROR(INDEX(Table35[#All],MATCH(Table1[[#This Row],[Key_Year_Week_Brand]],Table35[[#All],[Key_Year_Month_Brand]],0),MATCH(Table1[[#This Row],[DC_name_Xref]],Table35[#Headers],0)),0)</f>
        <v>0</v>
      </c>
    </row>
    <row r="2491" spans="1:15" x14ac:dyDescent="0.3">
      <c r="A2491" s="19" t="e">
        <f>Table1[[#This Row],[Year_Week]]&amp;"-"&amp;Table1[[#This Row],[DC_name_Xref]]</f>
        <v>#N/A</v>
      </c>
      <c r="B2491" s="19" t="str">
        <f>Table1[[#This Row],[Fiscal_Year]]*100+Table1[[#This Row],[Fiscal_Week]] &amp; "-" &amp;Table1[[#This Row],[BRAND]]</f>
        <v>0-</v>
      </c>
      <c r="C2491" s="19" t="str">
        <f>Table1[[#This Row],[Fiscal_Year]]&amp;"-"&amp;Table1[[#This Row],[BRAND]]</f>
        <v>-</v>
      </c>
      <c r="J2491" t="e">
        <f>VLOOKUP(H2491,DC_Xref!A:B,2,FALSE)</f>
        <v>#N/A</v>
      </c>
      <c r="K2491">
        <f t="shared" si="38"/>
        <v>0</v>
      </c>
      <c r="L24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1" s="3">
        <f>IFERROR(INDEX(Table3[#All],MATCH(Table1[[#This Row],[Key_Year_Week_Brand]],Table3[[#All],[Key_Year_Week_Brand]],0),MATCH(Table1[[#This Row],[DC_name_Xref]],Table3[#Headers],0)),0)</f>
        <v>0</v>
      </c>
      <c r="O2491" s="19">
        <f>IFERROR(INDEX(Table35[#All],MATCH(Table1[[#This Row],[Key_Year_Week_Brand]],Table35[[#All],[Key_Year_Month_Brand]],0),MATCH(Table1[[#This Row],[DC_name_Xref]],Table35[#Headers],0)),0)</f>
        <v>0</v>
      </c>
    </row>
    <row r="2492" spans="1:15" x14ac:dyDescent="0.3">
      <c r="A2492" s="19" t="e">
        <f>Table1[[#This Row],[Year_Week]]&amp;"-"&amp;Table1[[#This Row],[DC_name_Xref]]</f>
        <v>#N/A</v>
      </c>
      <c r="B2492" s="19" t="str">
        <f>Table1[[#This Row],[Fiscal_Year]]*100+Table1[[#This Row],[Fiscal_Week]] &amp; "-" &amp;Table1[[#This Row],[BRAND]]</f>
        <v>0-</v>
      </c>
      <c r="C2492" s="19" t="str">
        <f>Table1[[#This Row],[Fiscal_Year]]&amp;"-"&amp;Table1[[#This Row],[BRAND]]</f>
        <v>-</v>
      </c>
      <c r="J2492" t="e">
        <f>VLOOKUP(H2492,DC_Xref!A:B,2,FALSE)</f>
        <v>#N/A</v>
      </c>
      <c r="K2492">
        <f t="shared" si="38"/>
        <v>0</v>
      </c>
      <c r="L24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2" s="3">
        <f>IFERROR(INDEX(Table3[#All],MATCH(Table1[[#This Row],[Key_Year_Week_Brand]],Table3[[#All],[Key_Year_Week_Brand]],0),MATCH(Table1[[#This Row],[DC_name_Xref]],Table3[#Headers],0)),0)</f>
        <v>0</v>
      </c>
      <c r="O2492" s="19">
        <f>IFERROR(INDEX(Table35[#All],MATCH(Table1[[#This Row],[Key_Year_Week_Brand]],Table35[[#All],[Key_Year_Month_Brand]],0),MATCH(Table1[[#This Row],[DC_name_Xref]],Table35[#Headers],0)),0)</f>
        <v>0</v>
      </c>
    </row>
    <row r="2493" spans="1:15" x14ac:dyDescent="0.3">
      <c r="A2493" s="19" t="e">
        <f>Table1[[#This Row],[Year_Week]]&amp;"-"&amp;Table1[[#This Row],[DC_name_Xref]]</f>
        <v>#N/A</v>
      </c>
      <c r="B2493" s="19" t="str">
        <f>Table1[[#This Row],[Fiscal_Year]]*100+Table1[[#This Row],[Fiscal_Week]] &amp; "-" &amp;Table1[[#This Row],[BRAND]]</f>
        <v>0-</v>
      </c>
      <c r="C2493" s="19" t="str">
        <f>Table1[[#This Row],[Fiscal_Year]]&amp;"-"&amp;Table1[[#This Row],[BRAND]]</f>
        <v>-</v>
      </c>
      <c r="J2493" t="e">
        <f>VLOOKUP(H2493,DC_Xref!A:B,2,FALSE)</f>
        <v>#N/A</v>
      </c>
      <c r="K2493">
        <f t="shared" si="38"/>
        <v>0</v>
      </c>
      <c r="L24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3" s="3">
        <f>IFERROR(INDEX(Table3[#All],MATCH(Table1[[#This Row],[Key_Year_Week_Brand]],Table3[[#All],[Key_Year_Week_Brand]],0),MATCH(Table1[[#This Row],[DC_name_Xref]],Table3[#Headers],0)),0)</f>
        <v>0</v>
      </c>
      <c r="O2493" s="19">
        <f>IFERROR(INDEX(Table35[#All],MATCH(Table1[[#This Row],[Key_Year_Week_Brand]],Table35[[#All],[Key_Year_Month_Brand]],0),MATCH(Table1[[#This Row],[DC_name_Xref]],Table35[#Headers],0)),0)</f>
        <v>0</v>
      </c>
    </row>
    <row r="2494" spans="1:15" x14ac:dyDescent="0.3">
      <c r="A2494" s="19" t="e">
        <f>Table1[[#This Row],[Year_Week]]&amp;"-"&amp;Table1[[#This Row],[DC_name_Xref]]</f>
        <v>#N/A</v>
      </c>
      <c r="B2494" s="19" t="str">
        <f>Table1[[#This Row],[Fiscal_Year]]*100+Table1[[#This Row],[Fiscal_Week]] &amp; "-" &amp;Table1[[#This Row],[BRAND]]</f>
        <v>0-</v>
      </c>
      <c r="C2494" s="19" t="str">
        <f>Table1[[#This Row],[Fiscal_Year]]&amp;"-"&amp;Table1[[#This Row],[BRAND]]</f>
        <v>-</v>
      </c>
      <c r="J2494" t="e">
        <f>VLOOKUP(H2494,DC_Xref!A:B,2,FALSE)</f>
        <v>#N/A</v>
      </c>
      <c r="K2494">
        <f t="shared" si="38"/>
        <v>0</v>
      </c>
      <c r="L249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4" s="3">
        <f>IFERROR(INDEX(Table3[#All],MATCH(Table1[[#This Row],[Key_Year_Week_Brand]],Table3[[#All],[Key_Year_Week_Brand]],0),MATCH(Table1[[#This Row],[DC_name_Xref]],Table3[#Headers],0)),0)</f>
        <v>0</v>
      </c>
      <c r="O2494" s="19">
        <f>IFERROR(INDEX(Table35[#All],MATCH(Table1[[#This Row],[Key_Year_Week_Brand]],Table35[[#All],[Key_Year_Month_Brand]],0),MATCH(Table1[[#This Row],[DC_name_Xref]],Table35[#Headers],0)),0)</f>
        <v>0</v>
      </c>
    </row>
    <row r="2495" spans="1:15" x14ac:dyDescent="0.3">
      <c r="A2495" s="19" t="e">
        <f>Table1[[#This Row],[Year_Week]]&amp;"-"&amp;Table1[[#This Row],[DC_name_Xref]]</f>
        <v>#N/A</v>
      </c>
      <c r="B2495" s="19" t="str">
        <f>Table1[[#This Row],[Fiscal_Year]]*100+Table1[[#This Row],[Fiscal_Week]] &amp; "-" &amp;Table1[[#This Row],[BRAND]]</f>
        <v>0-</v>
      </c>
      <c r="C2495" s="19" t="str">
        <f>Table1[[#This Row],[Fiscal_Year]]&amp;"-"&amp;Table1[[#This Row],[BRAND]]</f>
        <v>-</v>
      </c>
      <c r="J2495" t="e">
        <f>VLOOKUP(H2495,DC_Xref!A:B,2,FALSE)</f>
        <v>#N/A</v>
      </c>
      <c r="K2495">
        <f t="shared" si="38"/>
        <v>0</v>
      </c>
      <c r="L249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5" s="3">
        <f>IFERROR(INDEX(Table3[#All],MATCH(Table1[[#This Row],[Key_Year_Week_Brand]],Table3[[#All],[Key_Year_Week_Brand]],0),MATCH(Table1[[#This Row],[DC_name_Xref]],Table3[#Headers],0)),0)</f>
        <v>0</v>
      </c>
      <c r="O2495" s="19">
        <f>IFERROR(INDEX(Table35[#All],MATCH(Table1[[#This Row],[Key_Year_Week_Brand]],Table35[[#All],[Key_Year_Month_Brand]],0),MATCH(Table1[[#This Row],[DC_name_Xref]],Table35[#Headers],0)),0)</f>
        <v>0</v>
      </c>
    </row>
    <row r="2496" spans="1:15" x14ac:dyDescent="0.3">
      <c r="A2496" s="19" t="e">
        <f>Table1[[#This Row],[Year_Week]]&amp;"-"&amp;Table1[[#This Row],[DC_name_Xref]]</f>
        <v>#N/A</v>
      </c>
      <c r="B2496" s="19" t="str">
        <f>Table1[[#This Row],[Fiscal_Year]]*100+Table1[[#This Row],[Fiscal_Week]] &amp; "-" &amp;Table1[[#This Row],[BRAND]]</f>
        <v>0-</v>
      </c>
      <c r="C2496" s="19" t="str">
        <f>Table1[[#This Row],[Fiscal_Year]]&amp;"-"&amp;Table1[[#This Row],[BRAND]]</f>
        <v>-</v>
      </c>
      <c r="J2496" t="e">
        <f>VLOOKUP(H2496,DC_Xref!A:B,2,FALSE)</f>
        <v>#N/A</v>
      </c>
      <c r="K2496">
        <f t="shared" si="38"/>
        <v>0</v>
      </c>
      <c r="L249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6" s="3">
        <f>IFERROR(INDEX(Table3[#All],MATCH(Table1[[#This Row],[Key_Year_Week_Brand]],Table3[[#All],[Key_Year_Week_Brand]],0),MATCH(Table1[[#This Row],[DC_name_Xref]],Table3[#Headers],0)),0)</f>
        <v>0</v>
      </c>
      <c r="O2496" s="19">
        <f>IFERROR(INDEX(Table35[#All],MATCH(Table1[[#This Row],[Key_Year_Week_Brand]],Table35[[#All],[Key_Year_Month_Brand]],0),MATCH(Table1[[#This Row],[DC_name_Xref]],Table35[#Headers],0)),0)</f>
        <v>0</v>
      </c>
    </row>
    <row r="2497" spans="1:15" x14ac:dyDescent="0.3">
      <c r="A2497" s="19" t="e">
        <f>Table1[[#This Row],[Year_Week]]&amp;"-"&amp;Table1[[#This Row],[DC_name_Xref]]</f>
        <v>#N/A</v>
      </c>
      <c r="B2497" s="19" t="str">
        <f>Table1[[#This Row],[Fiscal_Year]]*100+Table1[[#This Row],[Fiscal_Week]] &amp; "-" &amp;Table1[[#This Row],[BRAND]]</f>
        <v>0-</v>
      </c>
      <c r="C2497" s="19" t="str">
        <f>Table1[[#This Row],[Fiscal_Year]]&amp;"-"&amp;Table1[[#This Row],[BRAND]]</f>
        <v>-</v>
      </c>
      <c r="J2497" t="e">
        <f>VLOOKUP(H2497,DC_Xref!A:B,2,FALSE)</f>
        <v>#N/A</v>
      </c>
      <c r="K2497">
        <f t="shared" si="38"/>
        <v>0</v>
      </c>
      <c r="L249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7" s="3">
        <f>IFERROR(INDEX(Table3[#All],MATCH(Table1[[#This Row],[Key_Year_Week_Brand]],Table3[[#All],[Key_Year_Week_Brand]],0),MATCH(Table1[[#This Row],[DC_name_Xref]],Table3[#Headers],0)),0)</f>
        <v>0</v>
      </c>
      <c r="O2497" s="19">
        <f>IFERROR(INDEX(Table35[#All],MATCH(Table1[[#This Row],[Key_Year_Week_Brand]],Table35[[#All],[Key_Year_Month_Brand]],0),MATCH(Table1[[#This Row],[DC_name_Xref]],Table35[#Headers],0)),0)</f>
        <v>0</v>
      </c>
    </row>
    <row r="2498" spans="1:15" x14ac:dyDescent="0.3">
      <c r="A2498" s="19" t="e">
        <f>Table1[[#This Row],[Year_Week]]&amp;"-"&amp;Table1[[#This Row],[DC_name_Xref]]</f>
        <v>#N/A</v>
      </c>
      <c r="B2498" s="19" t="str">
        <f>Table1[[#This Row],[Fiscal_Year]]*100+Table1[[#This Row],[Fiscal_Week]] &amp; "-" &amp;Table1[[#This Row],[BRAND]]</f>
        <v>0-</v>
      </c>
      <c r="C2498" s="19" t="str">
        <f>Table1[[#This Row],[Fiscal_Year]]&amp;"-"&amp;Table1[[#This Row],[BRAND]]</f>
        <v>-</v>
      </c>
      <c r="J2498" t="e">
        <f>VLOOKUP(H2498,DC_Xref!A:B,2,FALSE)</f>
        <v>#N/A</v>
      </c>
      <c r="K2498">
        <f t="shared" si="38"/>
        <v>0</v>
      </c>
      <c r="L249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8" s="3">
        <f>IFERROR(INDEX(Table3[#All],MATCH(Table1[[#This Row],[Key_Year_Week_Brand]],Table3[[#All],[Key_Year_Week_Brand]],0),MATCH(Table1[[#This Row],[DC_name_Xref]],Table3[#Headers],0)),0)</f>
        <v>0</v>
      </c>
      <c r="O2498" s="19">
        <f>IFERROR(INDEX(Table35[#All],MATCH(Table1[[#This Row],[Key_Year_Week_Brand]],Table35[[#All],[Key_Year_Month_Brand]],0),MATCH(Table1[[#This Row],[DC_name_Xref]],Table35[#Headers],0)),0)</f>
        <v>0</v>
      </c>
    </row>
    <row r="2499" spans="1:15" x14ac:dyDescent="0.3">
      <c r="A2499" s="19" t="e">
        <f>Table1[[#This Row],[Year_Week]]&amp;"-"&amp;Table1[[#This Row],[DC_name_Xref]]</f>
        <v>#N/A</v>
      </c>
      <c r="B2499" s="19" t="str">
        <f>Table1[[#This Row],[Fiscal_Year]]*100+Table1[[#This Row],[Fiscal_Week]] &amp; "-" &amp;Table1[[#This Row],[BRAND]]</f>
        <v>0-</v>
      </c>
      <c r="C2499" s="19" t="str">
        <f>Table1[[#This Row],[Fiscal_Year]]&amp;"-"&amp;Table1[[#This Row],[BRAND]]</f>
        <v>-</v>
      </c>
      <c r="J2499" t="e">
        <f>VLOOKUP(H2499,DC_Xref!A:B,2,FALSE)</f>
        <v>#N/A</v>
      </c>
      <c r="K2499">
        <f t="shared" si="38"/>
        <v>0</v>
      </c>
      <c r="L249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49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499" s="3">
        <f>IFERROR(INDEX(Table3[#All],MATCH(Table1[[#This Row],[Key_Year_Week_Brand]],Table3[[#All],[Key_Year_Week_Brand]],0),MATCH(Table1[[#This Row],[DC_name_Xref]],Table3[#Headers],0)),0)</f>
        <v>0</v>
      </c>
      <c r="O2499" s="19">
        <f>IFERROR(INDEX(Table35[#All],MATCH(Table1[[#This Row],[Key_Year_Week_Brand]],Table35[[#All],[Key_Year_Month_Brand]],0),MATCH(Table1[[#This Row],[DC_name_Xref]],Table35[#Headers],0)),0)</f>
        <v>0</v>
      </c>
    </row>
    <row r="2500" spans="1:15" x14ac:dyDescent="0.3">
      <c r="A2500" s="19" t="e">
        <f>Table1[[#This Row],[Year_Week]]&amp;"-"&amp;Table1[[#This Row],[DC_name_Xref]]</f>
        <v>#N/A</v>
      </c>
      <c r="B2500" s="19" t="str">
        <f>Table1[[#This Row],[Fiscal_Year]]*100+Table1[[#This Row],[Fiscal_Week]] &amp; "-" &amp;Table1[[#This Row],[BRAND]]</f>
        <v>0-</v>
      </c>
      <c r="C2500" s="19" t="str">
        <f>Table1[[#This Row],[Fiscal_Year]]&amp;"-"&amp;Table1[[#This Row],[BRAND]]</f>
        <v>-</v>
      </c>
      <c r="J2500" t="e">
        <f>VLOOKUP(H2500,DC_Xref!A:B,2,FALSE)</f>
        <v>#N/A</v>
      </c>
      <c r="K2500">
        <f t="shared" si="38"/>
        <v>0</v>
      </c>
      <c r="L250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0" s="3">
        <f>IFERROR(INDEX(Table3[#All],MATCH(Table1[[#This Row],[Key_Year_Week_Brand]],Table3[[#All],[Key_Year_Week_Brand]],0),MATCH(Table1[[#This Row],[DC_name_Xref]],Table3[#Headers],0)),0)</f>
        <v>0</v>
      </c>
      <c r="O2500" s="19">
        <f>IFERROR(INDEX(Table35[#All],MATCH(Table1[[#This Row],[Key_Year_Week_Brand]],Table35[[#All],[Key_Year_Month_Brand]],0),MATCH(Table1[[#This Row],[DC_name_Xref]],Table35[#Headers],0)),0)</f>
        <v>0</v>
      </c>
    </row>
    <row r="2501" spans="1:15" x14ac:dyDescent="0.3">
      <c r="A2501" s="19" t="e">
        <f>Table1[[#This Row],[Year_Week]]&amp;"-"&amp;Table1[[#This Row],[DC_name_Xref]]</f>
        <v>#N/A</v>
      </c>
      <c r="B2501" s="19" t="str">
        <f>Table1[[#This Row],[Fiscal_Year]]*100+Table1[[#This Row],[Fiscal_Week]] &amp; "-" &amp;Table1[[#This Row],[BRAND]]</f>
        <v>0-</v>
      </c>
      <c r="C2501" s="19" t="str">
        <f>Table1[[#This Row],[Fiscal_Year]]&amp;"-"&amp;Table1[[#This Row],[BRAND]]</f>
        <v>-</v>
      </c>
      <c r="J2501" t="e">
        <f>VLOOKUP(H2501,DC_Xref!A:B,2,FALSE)</f>
        <v>#N/A</v>
      </c>
      <c r="K2501">
        <f t="shared" si="38"/>
        <v>0</v>
      </c>
      <c r="L250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1" s="3">
        <f>IFERROR(INDEX(Table3[#All],MATCH(Table1[[#This Row],[Key_Year_Week_Brand]],Table3[[#All],[Key_Year_Week_Brand]],0),MATCH(Table1[[#This Row],[DC_name_Xref]],Table3[#Headers],0)),0)</f>
        <v>0</v>
      </c>
      <c r="O2501" s="19">
        <f>IFERROR(INDEX(Table35[#All],MATCH(Table1[[#This Row],[Key_Year_Week_Brand]],Table35[[#All],[Key_Year_Month_Brand]],0),MATCH(Table1[[#This Row],[DC_name_Xref]],Table35[#Headers],0)),0)</f>
        <v>0</v>
      </c>
    </row>
    <row r="2502" spans="1:15" x14ac:dyDescent="0.3">
      <c r="A2502" s="19" t="e">
        <f>Table1[[#This Row],[Year_Week]]&amp;"-"&amp;Table1[[#This Row],[DC_name_Xref]]</f>
        <v>#N/A</v>
      </c>
      <c r="B2502" s="19" t="str">
        <f>Table1[[#This Row],[Fiscal_Year]]*100+Table1[[#This Row],[Fiscal_Week]] &amp; "-" &amp;Table1[[#This Row],[BRAND]]</f>
        <v>0-</v>
      </c>
      <c r="C2502" s="19" t="str">
        <f>Table1[[#This Row],[Fiscal_Year]]&amp;"-"&amp;Table1[[#This Row],[BRAND]]</f>
        <v>-</v>
      </c>
      <c r="J2502" t="e">
        <f>VLOOKUP(H2502,DC_Xref!A:B,2,FALSE)</f>
        <v>#N/A</v>
      </c>
      <c r="K2502">
        <f t="shared" ref="K2502:K2565" si="39">D2502*100+E2502</f>
        <v>0</v>
      </c>
      <c r="L250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2" s="3">
        <f>IFERROR(INDEX(Table3[#All],MATCH(Table1[[#This Row],[Key_Year_Week_Brand]],Table3[[#All],[Key_Year_Week_Brand]],0),MATCH(Table1[[#This Row],[DC_name_Xref]],Table3[#Headers],0)),0)</f>
        <v>0</v>
      </c>
      <c r="O2502" s="19">
        <f>IFERROR(INDEX(Table35[#All],MATCH(Table1[[#This Row],[Key_Year_Week_Brand]],Table35[[#All],[Key_Year_Month_Brand]],0),MATCH(Table1[[#This Row],[DC_name_Xref]],Table35[#Headers],0)),0)</f>
        <v>0</v>
      </c>
    </row>
    <row r="2503" spans="1:15" x14ac:dyDescent="0.3">
      <c r="A2503" s="19" t="e">
        <f>Table1[[#This Row],[Year_Week]]&amp;"-"&amp;Table1[[#This Row],[DC_name_Xref]]</f>
        <v>#N/A</v>
      </c>
      <c r="B2503" s="19" t="str">
        <f>Table1[[#This Row],[Fiscal_Year]]*100+Table1[[#This Row],[Fiscal_Week]] &amp; "-" &amp;Table1[[#This Row],[BRAND]]</f>
        <v>0-</v>
      </c>
      <c r="C2503" s="19" t="str">
        <f>Table1[[#This Row],[Fiscal_Year]]&amp;"-"&amp;Table1[[#This Row],[BRAND]]</f>
        <v>-</v>
      </c>
      <c r="J2503" t="e">
        <f>VLOOKUP(H2503,DC_Xref!A:B,2,FALSE)</f>
        <v>#N/A</v>
      </c>
      <c r="K2503">
        <f t="shared" si="39"/>
        <v>0</v>
      </c>
      <c r="L250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3" s="3">
        <f>IFERROR(INDEX(Table3[#All],MATCH(Table1[[#This Row],[Key_Year_Week_Brand]],Table3[[#All],[Key_Year_Week_Brand]],0),MATCH(Table1[[#This Row],[DC_name_Xref]],Table3[#Headers],0)),0)</f>
        <v>0</v>
      </c>
      <c r="O2503" s="19">
        <f>IFERROR(INDEX(Table35[#All],MATCH(Table1[[#This Row],[Key_Year_Week_Brand]],Table35[[#All],[Key_Year_Month_Brand]],0),MATCH(Table1[[#This Row],[DC_name_Xref]],Table35[#Headers],0)),0)</f>
        <v>0</v>
      </c>
    </row>
    <row r="2504" spans="1:15" x14ac:dyDescent="0.3">
      <c r="A2504" s="19" t="e">
        <f>Table1[[#This Row],[Year_Week]]&amp;"-"&amp;Table1[[#This Row],[DC_name_Xref]]</f>
        <v>#N/A</v>
      </c>
      <c r="B2504" s="19" t="str">
        <f>Table1[[#This Row],[Fiscal_Year]]*100+Table1[[#This Row],[Fiscal_Week]] &amp; "-" &amp;Table1[[#This Row],[BRAND]]</f>
        <v>0-</v>
      </c>
      <c r="C2504" s="19" t="str">
        <f>Table1[[#This Row],[Fiscal_Year]]&amp;"-"&amp;Table1[[#This Row],[BRAND]]</f>
        <v>-</v>
      </c>
      <c r="J2504" t="e">
        <f>VLOOKUP(H2504,DC_Xref!A:B,2,FALSE)</f>
        <v>#N/A</v>
      </c>
      <c r="K2504">
        <f t="shared" si="39"/>
        <v>0</v>
      </c>
      <c r="L250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4" s="3">
        <f>IFERROR(INDEX(Table3[#All],MATCH(Table1[[#This Row],[Key_Year_Week_Brand]],Table3[[#All],[Key_Year_Week_Brand]],0),MATCH(Table1[[#This Row],[DC_name_Xref]],Table3[#Headers],0)),0)</f>
        <v>0</v>
      </c>
      <c r="O2504" s="19">
        <f>IFERROR(INDEX(Table35[#All],MATCH(Table1[[#This Row],[Key_Year_Week_Brand]],Table35[[#All],[Key_Year_Month_Brand]],0),MATCH(Table1[[#This Row],[DC_name_Xref]],Table35[#Headers],0)),0)</f>
        <v>0</v>
      </c>
    </row>
    <row r="2505" spans="1:15" x14ac:dyDescent="0.3">
      <c r="A2505" s="19" t="e">
        <f>Table1[[#This Row],[Year_Week]]&amp;"-"&amp;Table1[[#This Row],[DC_name_Xref]]</f>
        <v>#N/A</v>
      </c>
      <c r="B2505" s="19" t="str">
        <f>Table1[[#This Row],[Fiscal_Year]]*100+Table1[[#This Row],[Fiscal_Week]] &amp; "-" &amp;Table1[[#This Row],[BRAND]]</f>
        <v>0-</v>
      </c>
      <c r="C2505" s="19" t="str">
        <f>Table1[[#This Row],[Fiscal_Year]]&amp;"-"&amp;Table1[[#This Row],[BRAND]]</f>
        <v>-</v>
      </c>
      <c r="J2505" t="e">
        <f>VLOOKUP(H2505,DC_Xref!A:B,2,FALSE)</f>
        <v>#N/A</v>
      </c>
      <c r="K2505">
        <f t="shared" si="39"/>
        <v>0</v>
      </c>
      <c r="L250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5" s="3">
        <f>IFERROR(INDEX(Table3[#All],MATCH(Table1[[#This Row],[Key_Year_Week_Brand]],Table3[[#All],[Key_Year_Week_Brand]],0),MATCH(Table1[[#This Row],[DC_name_Xref]],Table3[#Headers],0)),0)</f>
        <v>0</v>
      </c>
      <c r="O2505" s="19">
        <f>IFERROR(INDEX(Table35[#All],MATCH(Table1[[#This Row],[Key_Year_Week_Brand]],Table35[[#All],[Key_Year_Month_Brand]],0),MATCH(Table1[[#This Row],[DC_name_Xref]],Table35[#Headers],0)),0)</f>
        <v>0</v>
      </c>
    </row>
    <row r="2506" spans="1:15" x14ac:dyDescent="0.3">
      <c r="A2506" s="19" t="e">
        <f>Table1[[#This Row],[Year_Week]]&amp;"-"&amp;Table1[[#This Row],[DC_name_Xref]]</f>
        <v>#N/A</v>
      </c>
      <c r="B2506" s="19" t="str">
        <f>Table1[[#This Row],[Fiscal_Year]]*100+Table1[[#This Row],[Fiscal_Week]] &amp; "-" &amp;Table1[[#This Row],[BRAND]]</f>
        <v>0-</v>
      </c>
      <c r="C2506" s="19" t="str">
        <f>Table1[[#This Row],[Fiscal_Year]]&amp;"-"&amp;Table1[[#This Row],[BRAND]]</f>
        <v>-</v>
      </c>
      <c r="J2506" t="e">
        <f>VLOOKUP(H2506,DC_Xref!A:B,2,FALSE)</f>
        <v>#N/A</v>
      </c>
      <c r="K2506">
        <f t="shared" si="39"/>
        <v>0</v>
      </c>
      <c r="L250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6" s="3">
        <f>IFERROR(INDEX(Table3[#All],MATCH(Table1[[#This Row],[Key_Year_Week_Brand]],Table3[[#All],[Key_Year_Week_Brand]],0),MATCH(Table1[[#This Row],[DC_name_Xref]],Table3[#Headers],0)),0)</f>
        <v>0</v>
      </c>
      <c r="O2506" s="19">
        <f>IFERROR(INDEX(Table35[#All],MATCH(Table1[[#This Row],[Key_Year_Week_Brand]],Table35[[#All],[Key_Year_Month_Brand]],0),MATCH(Table1[[#This Row],[DC_name_Xref]],Table35[#Headers],0)),0)</f>
        <v>0</v>
      </c>
    </row>
    <row r="2507" spans="1:15" x14ac:dyDescent="0.3">
      <c r="A2507" s="19" t="e">
        <f>Table1[[#This Row],[Year_Week]]&amp;"-"&amp;Table1[[#This Row],[DC_name_Xref]]</f>
        <v>#N/A</v>
      </c>
      <c r="B2507" s="19" t="str">
        <f>Table1[[#This Row],[Fiscal_Year]]*100+Table1[[#This Row],[Fiscal_Week]] &amp; "-" &amp;Table1[[#This Row],[BRAND]]</f>
        <v>0-</v>
      </c>
      <c r="C2507" s="19" t="str">
        <f>Table1[[#This Row],[Fiscal_Year]]&amp;"-"&amp;Table1[[#This Row],[BRAND]]</f>
        <v>-</v>
      </c>
      <c r="J2507" t="e">
        <f>VLOOKUP(H2507,DC_Xref!A:B,2,FALSE)</f>
        <v>#N/A</v>
      </c>
      <c r="K2507">
        <f t="shared" si="39"/>
        <v>0</v>
      </c>
      <c r="L250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7" s="3">
        <f>IFERROR(INDEX(Table3[#All],MATCH(Table1[[#This Row],[Key_Year_Week_Brand]],Table3[[#All],[Key_Year_Week_Brand]],0),MATCH(Table1[[#This Row],[DC_name_Xref]],Table3[#Headers],0)),0)</f>
        <v>0</v>
      </c>
      <c r="O2507" s="19">
        <f>IFERROR(INDEX(Table35[#All],MATCH(Table1[[#This Row],[Key_Year_Week_Brand]],Table35[[#All],[Key_Year_Month_Brand]],0),MATCH(Table1[[#This Row],[DC_name_Xref]],Table35[#Headers],0)),0)</f>
        <v>0</v>
      </c>
    </row>
    <row r="2508" spans="1:15" x14ac:dyDescent="0.3">
      <c r="A2508" s="19" t="e">
        <f>Table1[[#This Row],[Year_Week]]&amp;"-"&amp;Table1[[#This Row],[DC_name_Xref]]</f>
        <v>#N/A</v>
      </c>
      <c r="B2508" s="19" t="str">
        <f>Table1[[#This Row],[Fiscal_Year]]*100+Table1[[#This Row],[Fiscal_Week]] &amp; "-" &amp;Table1[[#This Row],[BRAND]]</f>
        <v>0-</v>
      </c>
      <c r="C2508" s="19" t="str">
        <f>Table1[[#This Row],[Fiscal_Year]]&amp;"-"&amp;Table1[[#This Row],[BRAND]]</f>
        <v>-</v>
      </c>
      <c r="J2508" t="e">
        <f>VLOOKUP(H2508,DC_Xref!A:B,2,FALSE)</f>
        <v>#N/A</v>
      </c>
      <c r="K2508">
        <f t="shared" si="39"/>
        <v>0</v>
      </c>
      <c r="L250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8" s="3">
        <f>IFERROR(INDEX(Table3[#All],MATCH(Table1[[#This Row],[Key_Year_Week_Brand]],Table3[[#All],[Key_Year_Week_Brand]],0),MATCH(Table1[[#This Row],[DC_name_Xref]],Table3[#Headers],0)),0)</f>
        <v>0</v>
      </c>
      <c r="O2508" s="19">
        <f>IFERROR(INDEX(Table35[#All],MATCH(Table1[[#This Row],[Key_Year_Week_Brand]],Table35[[#All],[Key_Year_Month_Brand]],0),MATCH(Table1[[#This Row],[DC_name_Xref]],Table35[#Headers],0)),0)</f>
        <v>0</v>
      </c>
    </row>
    <row r="2509" spans="1:15" x14ac:dyDescent="0.3">
      <c r="A2509" s="19" t="e">
        <f>Table1[[#This Row],[Year_Week]]&amp;"-"&amp;Table1[[#This Row],[DC_name_Xref]]</f>
        <v>#N/A</v>
      </c>
      <c r="B2509" s="19" t="str">
        <f>Table1[[#This Row],[Fiscal_Year]]*100+Table1[[#This Row],[Fiscal_Week]] &amp; "-" &amp;Table1[[#This Row],[BRAND]]</f>
        <v>0-</v>
      </c>
      <c r="C2509" s="19" t="str">
        <f>Table1[[#This Row],[Fiscal_Year]]&amp;"-"&amp;Table1[[#This Row],[BRAND]]</f>
        <v>-</v>
      </c>
      <c r="J2509" t="e">
        <f>VLOOKUP(H2509,DC_Xref!A:B,2,FALSE)</f>
        <v>#N/A</v>
      </c>
      <c r="K2509">
        <f t="shared" si="39"/>
        <v>0</v>
      </c>
      <c r="L250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0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09" s="3">
        <f>IFERROR(INDEX(Table3[#All],MATCH(Table1[[#This Row],[Key_Year_Week_Brand]],Table3[[#All],[Key_Year_Week_Brand]],0),MATCH(Table1[[#This Row],[DC_name_Xref]],Table3[#Headers],0)),0)</f>
        <v>0</v>
      </c>
      <c r="O2509" s="19">
        <f>IFERROR(INDEX(Table35[#All],MATCH(Table1[[#This Row],[Key_Year_Week_Brand]],Table35[[#All],[Key_Year_Month_Brand]],0),MATCH(Table1[[#This Row],[DC_name_Xref]],Table35[#Headers],0)),0)</f>
        <v>0</v>
      </c>
    </row>
    <row r="2510" spans="1:15" x14ac:dyDescent="0.3">
      <c r="A2510" s="19" t="e">
        <f>Table1[[#This Row],[Year_Week]]&amp;"-"&amp;Table1[[#This Row],[DC_name_Xref]]</f>
        <v>#N/A</v>
      </c>
      <c r="B2510" s="19" t="str">
        <f>Table1[[#This Row],[Fiscal_Year]]*100+Table1[[#This Row],[Fiscal_Week]] &amp; "-" &amp;Table1[[#This Row],[BRAND]]</f>
        <v>0-</v>
      </c>
      <c r="C2510" s="19" t="str">
        <f>Table1[[#This Row],[Fiscal_Year]]&amp;"-"&amp;Table1[[#This Row],[BRAND]]</f>
        <v>-</v>
      </c>
      <c r="J2510" t="e">
        <f>VLOOKUP(H2510,DC_Xref!A:B,2,FALSE)</f>
        <v>#N/A</v>
      </c>
      <c r="K2510">
        <f t="shared" si="39"/>
        <v>0</v>
      </c>
      <c r="L251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0" s="3">
        <f>IFERROR(INDEX(Table3[#All],MATCH(Table1[[#This Row],[Key_Year_Week_Brand]],Table3[[#All],[Key_Year_Week_Brand]],0),MATCH(Table1[[#This Row],[DC_name_Xref]],Table3[#Headers],0)),0)</f>
        <v>0</v>
      </c>
      <c r="O2510" s="19">
        <f>IFERROR(INDEX(Table35[#All],MATCH(Table1[[#This Row],[Key_Year_Week_Brand]],Table35[[#All],[Key_Year_Month_Brand]],0),MATCH(Table1[[#This Row],[DC_name_Xref]],Table35[#Headers],0)),0)</f>
        <v>0</v>
      </c>
    </row>
    <row r="2511" spans="1:15" x14ac:dyDescent="0.3">
      <c r="A2511" s="19" t="e">
        <f>Table1[[#This Row],[Year_Week]]&amp;"-"&amp;Table1[[#This Row],[DC_name_Xref]]</f>
        <v>#N/A</v>
      </c>
      <c r="B2511" s="19" t="str">
        <f>Table1[[#This Row],[Fiscal_Year]]*100+Table1[[#This Row],[Fiscal_Week]] &amp; "-" &amp;Table1[[#This Row],[BRAND]]</f>
        <v>0-</v>
      </c>
      <c r="C2511" s="19" t="str">
        <f>Table1[[#This Row],[Fiscal_Year]]&amp;"-"&amp;Table1[[#This Row],[BRAND]]</f>
        <v>-</v>
      </c>
      <c r="J2511" t="e">
        <f>VLOOKUP(H2511,DC_Xref!A:B,2,FALSE)</f>
        <v>#N/A</v>
      </c>
      <c r="K2511">
        <f t="shared" si="39"/>
        <v>0</v>
      </c>
      <c r="L251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1" s="3">
        <f>IFERROR(INDEX(Table3[#All],MATCH(Table1[[#This Row],[Key_Year_Week_Brand]],Table3[[#All],[Key_Year_Week_Brand]],0),MATCH(Table1[[#This Row],[DC_name_Xref]],Table3[#Headers],0)),0)</f>
        <v>0</v>
      </c>
      <c r="O2511" s="19">
        <f>IFERROR(INDEX(Table35[#All],MATCH(Table1[[#This Row],[Key_Year_Week_Brand]],Table35[[#All],[Key_Year_Month_Brand]],0),MATCH(Table1[[#This Row],[DC_name_Xref]],Table35[#Headers],0)),0)</f>
        <v>0</v>
      </c>
    </row>
    <row r="2512" spans="1:15" x14ac:dyDescent="0.3">
      <c r="A2512" s="19" t="e">
        <f>Table1[[#This Row],[Year_Week]]&amp;"-"&amp;Table1[[#This Row],[DC_name_Xref]]</f>
        <v>#N/A</v>
      </c>
      <c r="B2512" s="19" t="str">
        <f>Table1[[#This Row],[Fiscal_Year]]*100+Table1[[#This Row],[Fiscal_Week]] &amp; "-" &amp;Table1[[#This Row],[BRAND]]</f>
        <v>0-</v>
      </c>
      <c r="C2512" s="19" t="str">
        <f>Table1[[#This Row],[Fiscal_Year]]&amp;"-"&amp;Table1[[#This Row],[BRAND]]</f>
        <v>-</v>
      </c>
      <c r="J2512" t="e">
        <f>VLOOKUP(H2512,DC_Xref!A:B,2,FALSE)</f>
        <v>#N/A</v>
      </c>
      <c r="K2512">
        <f t="shared" si="39"/>
        <v>0</v>
      </c>
      <c r="L251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2" s="3">
        <f>IFERROR(INDEX(Table3[#All],MATCH(Table1[[#This Row],[Key_Year_Week_Brand]],Table3[[#All],[Key_Year_Week_Brand]],0),MATCH(Table1[[#This Row],[DC_name_Xref]],Table3[#Headers],0)),0)</f>
        <v>0</v>
      </c>
      <c r="O2512" s="19">
        <f>IFERROR(INDEX(Table35[#All],MATCH(Table1[[#This Row],[Key_Year_Week_Brand]],Table35[[#All],[Key_Year_Month_Brand]],0),MATCH(Table1[[#This Row],[DC_name_Xref]],Table35[#Headers],0)),0)</f>
        <v>0</v>
      </c>
    </row>
    <row r="2513" spans="1:15" x14ac:dyDescent="0.3">
      <c r="A2513" s="19" t="e">
        <f>Table1[[#This Row],[Year_Week]]&amp;"-"&amp;Table1[[#This Row],[DC_name_Xref]]</f>
        <v>#N/A</v>
      </c>
      <c r="B2513" s="19" t="str">
        <f>Table1[[#This Row],[Fiscal_Year]]*100+Table1[[#This Row],[Fiscal_Week]] &amp; "-" &amp;Table1[[#This Row],[BRAND]]</f>
        <v>0-</v>
      </c>
      <c r="C2513" s="19" t="str">
        <f>Table1[[#This Row],[Fiscal_Year]]&amp;"-"&amp;Table1[[#This Row],[BRAND]]</f>
        <v>-</v>
      </c>
      <c r="J2513" t="e">
        <f>VLOOKUP(H2513,DC_Xref!A:B,2,FALSE)</f>
        <v>#N/A</v>
      </c>
      <c r="K2513">
        <f t="shared" si="39"/>
        <v>0</v>
      </c>
      <c r="L251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3" s="3">
        <f>IFERROR(INDEX(Table3[#All],MATCH(Table1[[#This Row],[Key_Year_Week_Brand]],Table3[[#All],[Key_Year_Week_Brand]],0),MATCH(Table1[[#This Row],[DC_name_Xref]],Table3[#Headers],0)),0)</f>
        <v>0</v>
      </c>
      <c r="O2513" s="19">
        <f>IFERROR(INDEX(Table35[#All],MATCH(Table1[[#This Row],[Key_Year_Week_Brand]],Table35[[#All],[Key_Year_Month_Brand]],0),MATCH(Table1[[#This Row],[DC_name_Xref]],Table35[#Headers],0)),0)</f>
        <v>0</v>
      </c>
    </row>
    <row r="2514" spans="1:15" x14ac:dyDescent="0.3">
      <c r="A2514" s="19" t="e">
        <f>Table1[[#This Row],[Year_Week]]&amp;"-"&amp;Table1[[#This Row],[DC_name_Xref]]</f>
        <v>#N/A</v>
      </c>
      <c r="B2514" s="19" t="str">
        <f>Table1[[#This Row],[Fiscal_Year]]*100+Table1[[#This Row],[Fiscal_Week]] &amp; "-" &amp;Table1[[#This Row],[BRAND]]</f>
        <v>0-</v>
      </c>
      <c r="C2514" s="19" t="str">
        <f>Table1[[#This Row],[Fiscal_Year]]&amp;"-"&amp;Table1[[#This Row],[BRAND]]</f>
        <v>-</v>
      </c>
      <c r="J2514" t="e">
        <f>VLOOKUP(H2514,DC_Xref!A:B,2,FALSE)</f>
        <v>#N/A</v>
      </c>
      <c r="K2514">
        <f t="shared" si="39"/>
        <v>0</v>
      </c>
      <c r="L251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4" s="3">
        <f>IFERROR(INDEX(Table3[#All],MATCH(Table1[[#This Row],[Key_Year_Week_Brand]],Table3[[#All],[Key_Year_Week_Brand]],0),MATCH(Table1[[#This Row],[DC_name_Xref]],Table3[#Headers],0)),0)</f>
        <v>0</v>
      </c>
      <c r="O2514" s="19">
        <f>IFERROR(INDEX(Table35[#All],MATCH(Table1[[#This Row],[Key_Year_Week_Brand]],Table35[[#All],[Key_Year_Month_Brand]],0),MATCH(Table1[[#This Row],[DC_name_Xref]],Table35[#Headers],0)),0)</f>
        <v>0</v>
      </c>
    </row>
    <row r="2515" spans="1:15" x14ac:dyDescent="0.3">
      <c r="A2515" s="19" t="e">
        <f>Table1[[#This Row],[Year_Week]]&amp;"-"&amp;Table1[[#This Row],[DC_name_Xref]]</f>
        <v>#N/A</v>
      </c>
      <c r="B2515" s="19" t="str">
        <f>Table1[[#This Row],[Fiscal_Year]]*100+Table1[[#This Row],[Fiscal_Week]] &amp; "-" &amp;Table1[[#This Row],[BRAND]]</f>
        <v>0-</v>
      </c>
      <c r="C2515" s="19" t="str">
        <f>Table1[[#This Row],[Fiscal_Year]]&amp;"-"&amp;Table1[[#This Row],[BRAND]]</f>
        <v>-</v>
      </c>
      <c r="J2515" t="e">
        <f>VLOOKUP(H2515,DC_Xref!A:B,2,FALSE)</f>
        <v>#N/A</v>
      </c>
      <c r="K2515">
        <f t="shared" si="39"/>
        <v>0</v>
      </c>
      <c r="L251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5" s="3">
        <f>IFERROR(INDEX(Table3[#All],MATCH(Table1[[#This Row],[Key_Year_Week_Brand]],Table3[[#All],[Key_Year_Week_Brand]],0),MATCH(Table1[[#This Row],[DC_name_Xref]],Table3[#Headers],0)),0)</f>
        <v>0</v>
      </c>
      <c r="O2515" s="19">
        <f>IFERROR(INDEX(Table35[#All],MATCH(Table1[[#This Row],[Key_Year_Week_Brand]],Table35[[#All],[Key_Year_Month_Brand]],0),MATCH(Table1[[#This Row],[DC_name_Xref]],Table35[#Headers],0)),0)</f>
        <v>0</v>
      </c>
    </row>
    <row r="2516" spans="1:15" x14ac:dyDescent="0.3">
      <c r="A2516" s="19" t="e">
        <f>Table1[[#This Row],[Year_Week]]&amp;"-"&amp;Table1[[#This Row],[DC_name_Xref]]</f>
        <v>#N/A</v>
      </c>
      <c r="B2516" s="19" t="str">
        <f>Table1[[#This Row],[Fiscal_Year]]*100+Table1[[#This Row],[Fiscal_Week]] &amp; "-" &amp;Table1[[#This Row],[BRAND]]</f>
        <v>0-</v>
      </c>
      <c r="C2516" s="19" t="str">
        <f>Table1[[#This Row],[Fiscal_Year]]&amp;"-"&amp;Table1[[#This Row],[BRAND]]</f>
        <v>-</v>
      </c>
      <c r="J2516" t="e">
        <f>VLOOKUP(H2516,DC_Xref!A:B,2,FALSE)</f>
        <v>#N/A</v>
      </c>
      <c r="K2516">
        <f t="shared" si="39"/>
        <v>0</v>
      </c>
      <c r="L251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6" s="3">
        <f>IFERROR(INDEX(Table3[#All],MATCH(Table1[[#This Row],[Key_Year_Week_Brand]],Table3[[#All],[Key_Year_Week_Brand]],0),MATCH(Table1[[#This Row],[DC_name_Xref]],Table3[#Headers],0)),0)</f>
        <v>0</v>
      </c>
      <c r="O2516" s="19">
        <f>IFERROR(INDEX(Table35[#All],MATCH(Table1[[#This Row],[Key_Year_Week_Brand]],Table35[[#All],[Key_Year_Month_Brand]],0),MATCH(Table1[[#This Row],[DC_name_Xref]],Table35[#Headers],0)),0)</f>
        <v>0</v>
      </c>
    </row>
    <row r="2517" spans="1:15" x14ac:dyDescent="0.3">
      <c r="A2517" s="19" t="e">
        <f>Table1[[#This Row],[Year_Week]]&amp;"-"&amp;Table1[[#This Row],[DC_name_Xref]]</f>
        <v>#N/A</v>
      </c>
      <c r="B2517" s="19" t="str">
        <f>Table1[[#This Row],[Fiscal_Year]]*100+Table1[[#This Row],[Fiscal_Week]] &amp; "-" &amp;Table1[[#This Row],[BRAND]]</f>
        <v>0-</v>
      </c>
      <c r="C2517" s="19" t="str">
        <f>Table1[[#This Row],[Fiscal_Year]]&amp;"-"&amp;Table1[[#This Row],[BRAND]]</f>
        <v>-</v>
      </c>
      <c r="J2517" t="e">
        <f>VLOOKUP(H2517,DC_Xref!A:B,2,FALSE)</f>
        <v>#N/A</v>
      </c>
      <c r="K2517">
        <f t="shared" si="39"/>
        <v>0</v>
      </c>
      <c r="L251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7" s="3">
        <f>IFERROR(INDEX(Table3[#All],MATCH(Table1[[#This Row],[Key_Year_Week_Brand]],Table3[[#All],[Key_Year_Week_Brand]],0),MATCH(Table1[[#This Row],[DC_name_Xref]],Table3[#Headers],0)),0)</f>
        <v>0</v>
      </c>
      <c r="O2517" s="19">
        <f>IFERROR(INDEX(Table35[#All],MATCH(Table1[[#This Row],[Key_Year_Week_Brand]],Table35[[#All],[Key_Year_Month_Brand]],0),MATCH(Table1[[#This Row],[DC_name_Xref]],Table35[#Headers],0)),0)</f>
        <v>0</v>
      </c>
    </row>
    <row r="2518" spans="1:15" x14ac:dyDescent="0.3">
      <c r="A2518" s="19" t="e">
        <f>Table1[[#This Row],[Year_Week]]&amp;"-"&amp;Table1[[#This Row],[DC_name_Xref]]</f>
        <v>#N/A</v>
      </c>
      <c r="B2518" s="19" t="str">
        <f>Table1[[#This Row],[Fiscal_Year]]*100+Table1[[#This Row],[Fiscal_Week]] &amp; "-" &amp;Table1[[#This Row],[BRAND]]</f>
        <v>0-</v>
      </c>
      <c r="C2518" s="19" t="str">
        <f>Table1[[#This Row],[Fiscal_Year]]&amp;"-"&amp;Table1[[#This Row],[BRAND]]</f>
        <v>-</v>
      </c>
      <c r="J2518" t="e">
        <f>VLOOKUP(H2518,DC_Xref!A:B,2,FALSE)</f>
        <v>#N/A</v>
      </c>
      <c r="K2518">
        <f t="shared" si="39"/>
        <v>0</v>
      </c>
      <c r="L251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8" s="3">
        <f>IFERROR(INDEX(Table3[#All],MATCH(Table1[[#This Row],[Key_Year_Week_Brand]],Table3[[#All],[Key_Year_Week_Brand]],0),MATCH(Table1[[#This Row],[DC_name_Xref]],Table3[#Headers],0)),0)</f>
        <v>0</v>
      </c>
      <c r="O2518" s="19">
        <f>IFERROR(INDEX(Table35[#All],MATCH(Table1[[#This Row],[Key_Year_Week_Brand]],Table35[[#All],[Key_Year_Month_Brand]],0),MATCH(Table1[[#This Row],[DC_name_Xref]],Table35[#Headers],0)),0)</f>
        <v>0</v>
      </c>
    </row>
    <row r="2519" spans="1:15" x14ac:dyDescent="0.3">
      <c r="A2519" s="19" t="e">
        <f>Table1[[#This Row],[Year_Week]]&amp;"-"&amp;Table1[[#This Row],[DC_name_Xref]]</f>
        <v>#N/A</v>
      </c>
      <c r="B2519" s="19" t="str">
        <f>Table1[[#This Row],[Fiscal_Year]]*100+Table1[[#This Row],[Fiscal_Week]] &amp; "-" &amp;Table1[[#This Row],[BRAND]]</f>
        <v>0-</v>
      </c>
      <c r="C2519" s="19" t="str">
        <f>Table1[[#This Row],[Fiscal_Year]]&amp;"-"&amp;Table1[[#This Row],[BRAND]]</f>
        <v>-</v>
      </c>
      <c r="J2519" t="e">
        <f>VLOOKUP(H2519,DC_Xref!A:B,2,FALSE)</f>
        <v>#N/A</v>
      </c>
      <c r="K2519">
        <f t="shared" si="39"/>
        <v>0</v>
      </c>
      <c r="L251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1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19" s="3">
        <f>IFERROR(INDEX(Table3[#All],MATCH(Table1[[#This Row],[Key_Year_Week_Brand]],Table3[[#All],[Key_Year_Week_Brand]],0),MATCH(Table1[[#This Row],[DC_name_Xref]],Table3[#Headers],0)),0)</f>
        <v>0</v>
      </c>
      <c r="O2519" s="19">
        <f>IFERROR(INDEX(Table35[#All],MATCH(Table1[[#This Row],[Key_Year_Week_Brand]],Table35[[#All],[Key_Year_Month_Brand]],0),MATCH(Table1[[#This Row],[DC_name_Xref]],Table35[#Headers],0)),0)</f>
        <v>0</v>
      </c>
    </row>
    <row r="2520" spans="1:15" x14ac:dyDescent="0.3">
      <c r="A2520" s="19" t="e">
        <f>Table1[[#This Row],[Year_Week]]&amp;"-"&amp;Table1[[#This Row],[DC_name_Xref]]</f>
        <v>#N/A</v>
      </c>
      <c r="B2520" s="19" t="str">
        <f>Table1[[#This Row],[Fiscal_Year]]*100+Table1[[#This Row],[Fiscal_Week]] &amp; "-" &amp;Table1[[#This Row],[BRAND]]</f>
        <v>0-</v>
      </c>
      <c r="C2520" s="19" t="str">
        <f>Table1[[#This Row],[Fiscal_Year]]&amp;"-"&amp;Table1[[#This Row],[BRAND]]</f>
        <v>-</v>
      </c>
      <c r="J2520" t="e">
        <f>VLOOKUP(H2520,DC_Xref!A:B,2,FALSE)</f>
        <v>#N/A</v>
      </c>
      <c r="K2520">
        <f t="shared" si="39"/>
        <v>0</v>
      </c>
      <c r="L252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0" s="3">
        <f>IFERROR(INDEX(Table3[#All],MATCH(Table1[[#This Row],[Key_Year_Week_Brand]],Table3[[#All],[Key_Year_Week_Brand]],0),MATCH(Table1[[#This Row],[DC_name_Xref]],Table3[#Headers],0)),0)</f>
        <v>0</v>
      </c>
      <c r="O2520" s="19">
        <f>IFERROR(INDEX(Table35[#All],MATCH(Table1[[#This Row],[Key_Year_Week_Brand]],Table35[[#All],[Key_Year_Month_Brand]],0),MATCH(Table1[[#This Row],[DC_name_Xref]],Table35[#Headers],0)),0)</f>
        <v>0</v>
      </c>
    </row>
    <row r="2521" spans="1:15" x14ac:dyDescent="0.3">
      <c r="A2521" s="19" t="e">
        <f>Table1[[#This Row],[Year_Week]]&amp;"-"&amp;Table1[[#This Row],[DC_name_Xref]]</f>
        <v>#N/A</v>
      </c>
      <c r="B2521" s="19" t="str">
        <f>Table1[[#This Row],[Fiscal_Year]]*100+Table1[[#This Row],[Fiscal_Week]] &amp; "-" &amp;Table1[[#This Row],[BRAND]]</f>
        <v>0-</v>
      </c>
      <c r="C2521" s="19" t="str">
        <f>Table1[[#This Row],[Fiscal_Year]]&amp;"-"&amp;Table1[[#This Row],[BRAND]]</f>
        <v>-</v>
      </c>
      <c r="J2521" t="e">
        <f>VLOOKUP(H2521,DC_Xref!A:B,2,FALSE)</f>
        <v>#N/A</v>
      </c>
      <c r="K2521">
        <f t="shared" si="39"/>
        <v>0</v>
      </c>
      <c r="L252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1" s="3">
        <f>IFERROR(INDEX(Table3[#All],MATCH(Table1[[#This Row],[Key_Year_Week_Brand]],Table3[[#All],[Key_Year_Week_Brand]],0),MATCH(Table1[[#This Row],[DC_name_Xref]],Table3[#Headers],0)),0)</f>
        <v>0</v>
      </c>
      <c r="O2521" s="19">
        <f>IFERROR(INDEX(Table35[#All],MATCH(Table1[[#This Row],[Key_Year_Week_Brand]],Table35[[#All],[Key_Year_Month_Brand]],0),MATCH(Table1[[#This Row],[DC_name_Xref]],Table35[#Headers],0)),0)</f>
        <v>0</v>
      </c>
    </row>
    <row r="2522" spans="1:15" x14ac:dyDescent="0.3">
      <c r="A2522" s="19" t="e">
        <f>Table1[[#This Row],[Year_Week]]&amp;"-"&amp;Table1[[#This Row],[DC_name_Xref]]</f>
        <v>#N/A</v>
      </c>
      <c r="B2522" s="19" t="str">
        <f>Table1[[#This Row],[Fiscal_Year]]*100+Table1[[#This Row],[Fiscal_Week]] &amp; "-" &amp;Table1[[#This Row],[BRAND]]</f>
        <v>0-</v>
      </c>
      <c r="C2522" s="19" t="str">
        <f>Table1[[#This Row],[Fiscal_Year]]&amp;"-"&amp;Table1[[#This Row],[BRAND]]</f>
        <v>-</v>
      </c>
      <c r="J2522" t="e">
        <f>VLOOKUP(H2522,DC_Xref!A:B,2,FALSE)</f>
        <v>#N/A</v>
      </c>
      <c r="K2522">
        <f t="shared" si="39"/>
        <v>0</v>
      </c>
      <c r="L252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2" s="3">
        <f>IFERROR(INDEX(Table3[#All],MATCH(Table1[[#This Row],[Key_Year_Week_Brand]],Table3[[#All],[Key_Year_Week_Brand]],0),MATCH(Table1[[#This Row],[DC_name_Xref]],Table3[#Headers],0)),0)</f>
        <v>0</v>
      </c>
      <c r="O2522" s="19">
        <f>IFERROR(INDEX(Table35[#All],MATCH(Table1[[#This Row],[Key_Year_Week_Brand]],Table35[[#All],[Key_Year_Month_Brand]],0),MATCH(Table1[[#This Row],[DC_name_Xref]],Table35[#Headers],0)),0)</f>
        <v>0</v>
      </c>
    </row>
    <row r="2523" spans="1:15" x14ac:dyDescent="0.3">
      <c r="A2523" s="19" t="e">
        <f>Table1[[#This Row],[Year_Week]]&amp;"-"&amp;Table1[[#This Row],[DC_name_Xref]]</f>
        <v>#N/A</v>
      </c>
      <c r="B2523" s="19" t="str">
        <f>Table1[[#This Row],[Fiscal_Year]]*100+Table1[[#This Row],[Fiscal_Week]] &amp; "-" &amp;Table1[[#This Row],[BRAND]]</f>
        <v>0-</v>
      </c>
      <c r="C2523" s="19" t="str">
        <f>Table1[[#This Row],[Fiscal_Year]]&amp;"-"&amp;Table1[[#This Row],[BRAND]]</f>
        <v>-</v>
      </c>
      <c r="J2523" t="e">
        <f>VLOOKUP(H2523,DC_Xref!A:B,2,FALSE)</f>
        <v>#N/A</v>
      </c>
      <c r="K2523">
        <f t="shared" si="39"/>
        <v>0</v>
      </c>
      <c r="L252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3" s="3">
        <f>IFERROR(INDEX(Table3[#All],MATCH(Table1[[#This Row],[Key_Year_Week_Brand]],Table3[[#All],[Key_Year_Week_Brand]],0),MATCH(Table1[[#This Row],[DC_name_Xref]],Table3[#Headers],0)),0)</f>
        <v>0</v>
      </c>
      <c r="O2523" s="19">
        <f>IFERROR(INDEX(Table35[#All],MATCH(Table1[[#This Row],[Key_Year_Week_Brand]],Table35[[#All],[Key_Year_Month_Brand]],0),MATCH(Table1[[#This Row],[DC_name_Xref]],Table35[#Headers],0)),0)</f>
        <v>0</v>
      </c>
    </row>
    <row r="2524" spans="1:15" x14ac:dyDescent="0.3">
      <c r="A2524" s="19" t="e">
        <f>Table1[[#This Row],[Year_Week]]&amp;"-"&amp;Table1[[#This Row],[DC_name_Xref]]</f>
        <v>#N/A</v>
      </c>
      <c r="B2524" s="19" t="str">
        <f>Table1[[#This Row],[Fiscal_Year]]*100+Table1[[#This Row],[Fiscal_Week]] &amp; "-" &amp;Table1[[#This Row],[BRAND]]</f>
        <v>0-</v>
      </c>
      <c r="C2524" s="19" t="str">
        <f>Table1[[#This Row],[Fiscal_Year]]&amp;"-"&amp;Table1[[#This Row],[BRAND]]</f>
        <v>-</v>
      </c>
      <c r="J2524" t="e">
        <f>VLOOKUP(H2524,DC_Xref!A:B,2,FALSE)</f>
        <v>#N/A</v>
      </c>
      <c r="K2524">
        <f t="shared" si="39"/>
        <v>0</v>
      </c>
      <c r="L252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4" s="3">
        <f>IFERROR(INDEX(Table3[#All],MATCH(Table1[[#This Row],[Key_Year_Week_Brand]],Table3[[#All],[Key_Year_Week_Brand]],0),MATCH(Table1[[#This Row],[DC_name_Xref]],Table3[#Headers],0)),0)</f>
        <v>0</v>
      </c>
      <c r="O2524" s="19">
        <f>IFERROR(INDEX(Table35[#All],MATCH(Table1[[#This Row],[Key_Year_Week_Brand]],Table35[[#All],[Key_Year_Month_Brand]],0),MATCH(Table1[[#This Row],[DC_name_Xref]],Table35[#Headers],0)),0)</f>
        <v>0</v>
      </c>
    </row>
    <row r="2525" spans="1:15" x14ac:dyDescent="0.3">
      <c r="A2525" s="19" t="e">
        <f>Table1[[#This Row],[Year_Week]]&amp;"-"&amp;Table1[[#This Row],[DC_name_Xref]]</f>
        <v>#N/A</v>
      </c>
      <c r="B2525" s="19" t="str">
        <f>Table1[[#This Row],[Fiscal_Year]]*100+Table1[[#This Row],[Fiscal_Week]] &amp; "-" &amp;Table1[[#This Row],[BRAND]]</f>
        <v>0-</v>
      </c>
      <c r="C2525" s="19" t="str">
        <f>Table1[[#This Row],[Fiscal_Year]]&amp;"-"&amp;Table1[[#This Row],[BRAND]]</f>
        <v>-</v>
      </c>
      <c r="J2525" t="e">
        <f>VLOOKUP(H2525,DC_Xref!A:B,2,FALSE)</f>
        <v>#N/A</v>
      </c>
      <c r="K2525">
        <f t="shared" si="39"/>
        <v>0</v>
      </c>
      <c r="L252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5" s="3">
        <f>IFERROR(INDEX(Table3[#All],MATCH(Table1[[#This Row],[Key_Year_Week_Brand]],Table3[[#All],[Key_Year_Week_Brand]],0),MATCH(Table1[[#This Row],[DC_name_Xref]],Table3[#Headers],0)),0)</f>
        <v>0</v>
      </c>
      <c r="O2525" s="19">
        <f>IFERROR(INDEX(Table35[#All],MATCH(Table1[[#This Row],[Key_Year_Week_Brand]],Table35[[#All],[Key_Year_Month_Brand]],0),MATCH(Table1[[#This Row],[DC_name_Xref]],Table35[#Headers],0)),0)</f>
        <v>0</v>
      </c>
    </row>
    <row r="2526" spans="1:15" x14ac:dyDescent="0.3">
      <c r="A2526" s="19" t="e">
        <f>Table1[[#This Row],[Year_Week]]&amp;"-"&amp;Table1[[#This Row],[DC_name_Xref]]</f>
        <v>#N/A</v>
      </c>
      <c r="B2526" s="19" t="str">
        <f>Table1[[#This Row],[Fiscal_Year]]*100+Table1[[#This Row],[Fiscal_Week]] &amp; "-" &amp;Table1[[#This Row],[BRAND]]</f>
        <v>0-</v>
      </c>
      <c r="C2526" s="19" t="str">
        <f>Table1[[#This Row],[Fiscal_Year]]&amp;"-"&amp;Table1[[#This Row],[BRAND]]</f>
        <v>-</v>
      </c>
      <c r="J2526" t="e">
        <f>VLOOKUP(H2526,DC_Xref!A:B,2,FALSE)</f>
        <v>#N/A</v>
      </c>
      <c r="K2526">
        <f t="shared" si="39"/>
        <v>0</v>
      </c>
      <c r="L252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6" s="3">
        <f>IFERROR(INDEX(Table3[#All],MATCH(Table1[[#This Row],[Key_Year_Week_Brand]],Table3[[#All],[Key_Year_Week_Brand]],0),MATCH(Table1[[#This Row],[DC_name_Xref]],Table3[#Headers],0)),0)</f>
        <v>0</v>
      </c>
      <c r="O2526" s="19">
        <f>IFERROR(INDEX(Table35[#All],MATCH(Table1[[#This Row],[Key_Year_Week_Brand]],Table35[[#All],[Key_Year_Month_Brand]],0),MATCH(Table1[[#This Row],[DC_name_Xref]],Table35[#Headers],0)),0)</f>
        <v>0</v>
      </c>
    </row>
    <row r="2527" spans="1:15" x14ac:dyDescent="0.3">
      <c r="A2527" s="19" t="e">
        <f>Table1[[#This Row],[Year_Week]]&amp;"-"&amp;Table1[[#This Row],[DC_name_Xref]]</f>
        <v>#N/A</v>
      </c>
      <c r="B2527" s="19" t="str">
        <f>Table1[[#This Row],[Fiscal_Year]]*100+Table1[[#This Row],[Fiscal_Week]] &amp; "-" &amp;Table1[[#This Row],[BRAND]]</f>
        <v>0-</v>
      </c>
      <c r="C2527" s="19" t="str">
        <f>Table1[[#This Row],[Fiscal_Year]]&amp;"-"&amp;Table1[[#This Row],[BRAND]]</f>
        <v>-</v>
      </c>
      <c r="J2527" t="e">
        <f>VLOOKUP(H2527,DC_Xref!A:B,2,FALSE)</f>
        <v>#N/A</v>
      </c>
      <c r="K2527">
        <f t="shared" si="39"/>
        <v>0</v>
      </c>
      <c r="L252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7" s="3">
        <f>IFERROR(INDEX(Table3[#All],MATCH(Table1[[#This Row],[Key_Year_Week_Brand]],Table3[[#All],[Key_Year_Week_Brand]],0),MATCH(Table1[[#This Row],[DC_name_Xref]],Table3[#Headers],0)),0)</f>
        <v>0</v>
      </c>
      <c r="O2527" s="19">
        <f>IFERROR(INDEX(Table35[#All],MATCH(Table1[[#This Row],[Key_Year_Week_Brand]],Table35[[#All],[Key_Year_Month_Brand]],0),MATCH(Table1[[#This Row],[DC_name_Xref]],Table35[#Headers],0)),0)</f>
        <v>0</v>
      </c>
    </row>
    <row r="2528" spans="1:15" x14ac:dyDescent="0.3">
      <c r="A2528" s="19" t="e">
        <f>Table1[[#This Row],[Year_Week]]&amp;"-"&amp;Table1[[#This Row],[DC_name_Xref]]</f>
        <v>#N/A</v>
      </c>
      <c r="B2528" s="19" t="str">
        <f>Table1[[#This Row],[Fiscal_Year]]*100+Table1[[#This Row],[Fiscal_Week]] &amp; "-" &amp;Table1[[#This Row],[BRAND]]</f>
        <v>0-</v>
      </c>
      <c r="C2528" s="19" t="str">
        <f>Table1[[#This Row],[Fiscal_Year]]&amp;"-"&amp;Table1[[#This Row],[BRAND]]</f>
        <v>-</v>
      </c>
      <c r="J2528" t="e">
        <f>VLOOKUP(H2528,DC_Xref!A:B,2,FALSE)</f>
        <v>#N/A</v>
      </c>
      <c r="K2528">
        <f t="shared" si="39"/>
        <v>0</v>
      </c>
      <c r="L252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8" s="3">
        <f>IFERROR(INDEX(Table3[#All],MATCH(Table1[[#This Row],[Key_Year_Week_Brand]],Table3[[#All],[Key_Year_Week_Brand]],0),MATCH(Table1[[#This Row],[DC_name_Xref]],Table3[#Headers],0)),0)</f>
        <v>0</v>
      </c>
      <c r="O2528" s="19">
        <f>IFERROR(INDEX(Table35[#All],MATCH(Table1[[#This Row],[Key_Year_Week_Brand]],Table35[[#All],[Key_Year_Month_Brand]],0),MATCH(Table1[[#This Row],[DC_name_Xref]],Table35[#Headers],0)),0)</f>
        <v>0</v>
      </c>
    </row>
    <row r="2529" spans="1:15" x14ac:dyDescent="0.3">
      <c r="A2529" s="19" t="e">
        <f>Table1[[#This Row],[Year_Week]]&amp;"-"&amp;Table1[[#This Row],[DC_name_Xref]]</f>
        <v>#N/A</v>
      </c>
      <c r="B2529" s="19" t="str">
        <f>Table1[[#This Row],[Fiscal_Year]]*100+Table1[[#This Row],[Fiscal_Week]] &amp; "-" &amp;Table1[[#This Row],[BRAND]]</f>
        <v>0-</v>
      </c>
      <c r="C2529" s="19" t="str">
        <f>Table1[[#This Row],[Fiscal_Year]]&amp;"-"&amp;Table1[[#This Row],[BRAND]]</f>
        <v>-</v>
      </c>
      <c r="J2529" t="e">
        <f>VLOOKUP(H2529,DC_Xref!A:B,2,FALSE)</f>
        <v>#N/A</v>
      </c>
      <c r="K2529">
        <f t="shared" si="39"/>
        <v>0</v>
      </c>
      <c r="L252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2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29" s="3">
        <f>IFERROR(INDEX(Table3[#All],MATCH(Table1[[#This Row],[Key_Year_Week_Brand]],Table3[[#All],[Key_Year_Week_Brand]],0),MATCH(Table1[[#This Row],[DC_name_Xref]],Table3[#Headers],0)),0)</f>
        <v>0</v>
      </c>
      <c r="O2529" s="19">
        <f>IFERROR(INDEX(Table35[#All],MATCH(Table1[[#This Row],[Key_Year_Week_Brand]],Table35[[#All],[Key_Year_Month_Brand]],0),MATCH(Table1[[#This Row],[DC_name_Xref]],Table35[#Headers],0)),0)</f>
        <v>0</v>
      </c>
    </row>
    <row r="2530" spans="1:15" x14ac:dyDescent="0.3">
      <c r="A2530" s="19" t="e">
        <f>Table1[[#This Row],[Year_Week]]&amp;"-"&amp;Table1[[#This Row],[DC_name_Xref]]</f>
        <v>#N/A</v>
      </c>
      <c r="B2530" s="19" t="str">
        <f>Table1[[#This Row],[Fiscal_Year]]*100+Table1[[#This Row],[Fiscal_Week]] &amp; "-" &amp;Table1[[#This Row],[BRAND]]</f>
        <v>0-</v>
      </c>
      <c r="C2530" s="19" t="str">
        <f>Table1[[#This Row],[Fiscal_Year]]&amp;"-"&amp;Table1[[#This Row],[BRAND]]</f>
        <v>-</v>
      </c>
      <c r="J2530" t="e">
        <f>VLOOKUP(H2530,DC_Xref!A:B,2,FALSE)</f>
        <v>#N/A</v>
      </c>
      <c r="K2530">
        <f t="shared" si="39"/>
        <v>0</v>
      </c>
      <c r="L253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0" s="3">
        <f>IFERROR(INDEX(Table3[#All],MATCH(Table1[[#This Row],[Key_Year_Week_Brand]],Table3[[#All],[Key_Year_Week_Brand]],0),MATCH(Table1[[#This Row],[DC_name_Xref]],Table3[#Headers],0)),0)</f>
        <v>0</v>
      </c>
      <c r="O2530" s="19">
        <f>IFERROR(INDEX(Table35[#All],MATCH(Table1[[#This Row],[Key_Year_Week_Brand]],Table35[[#All],[Key_Year_Month_Brand]],0),MATCH(Table1[[#This Row],[DC_name_Xref]],Table35[#Headers],0)),0)</f>
        <v>0</v>
      </c>
    </row>
    <row r="2531" spans="1:15" x14ac:dyDescent="0.3">
      <c r="A2531" s="19" t="e">
        <f>Table1[[#This Row],[Year_Week]]&amp;"-"&amp;Table1[[#This Row],[DC_name_Xref]]</f>
        <v>#N/A</v>
      </c>
      <c r="B2531" s="19" t="str">
        <f>Table1[[#This Row],[Fiscal_Year]]*100+Table1[[#This Row],[Fiscal_Week]] &amp; "-" &amp;Table1[[#This Row],[BRAND]]</f>
        <v>0-</v>
      </c>
      <c r="C2531" s="19" t="str">
        <f>Table1[[#This Row],[Fiscal_Year]]&amp;"-"&amp;Table1[[#This Row],[BRAND]]</f>
        <v>-</v>
      </c>
      <c r="J2531" t="e">
        <f>VLOOKUP(H2531,DC_Xref!A:B,2,FALSE)</f>
        <v>#N/A</v>
      </c>
      <c r="K2531">
        <f t="shared" si="39"/>
        <v>0</v>
      </c>
      <c r="L253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1" s="3">
        <f>IFERROR(INDEX(Table3[#All],MATCH(Table1[[#This Row],[Key_Year_Week_Brand]],Table3[[#All],[Key_Year_Week_Brand]],0),MATCH(Table1[[#This Row],[DC_name_Xref]],Table3[#Headers],0)),0)</f>
        <v>0</v>
      </c>
      <c r="O2531" s="19">
        <f>IFERROR(INDEX(Table35[#All],MATCH(Table1[[#This Row],[Key_Year_Week_Brand]],Table35[[#All],[Key_Year_Month_Brand]],0),MATCH(Table1[[#This Row],[DC_name_Xref]],Table35[#Headers],0)),0)</f>
        <v>0</v>
      </c>
    </row>
    <row r="2532" spans="1:15" x14ac:dyDescent="0.3">
      <c r="A2532" s="19" t="e">
        <f>Table1[[#This Row],[Year_Week]]&amp;"-"&amp;Table1[[#This Row],[DC_name_Xref]]</f>
        <v>#N/A</v>
      </c>
      <c r="B2532" s="19" t="str">
        <f>Table1[[#This Row],[Fiscal_Year]]*100+Table1[[#This Row],[Fiscal_Week]] &amp; "-" &amp;Table1[[#This Row],[BRAND]]</f>
        <v>0-</v>
      </c>
      <c r="C2532" s="19" t="str">
        <f>Table1[[#This Row],[Fiscal_Year]]&amp;"-"&amp;Table1[[#This Row],[BRAND]]</f>
        <v>-</v>
      </c>
      <c r="J2532" t="e">
        <f>VLOOKUP(H2532,DC_Xref!A:B,2,FALSE)</f>
        <v>#N/A</v>
      </c>
      <c r="K2532">
        <f t="shared" si="39"/>
        <v>0</v>
      </c>
      <c r="L253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2" s="3">
        <f>IFERROR(INDEX(Table3[#All],MATCH(Table1[[#This Row],[Key_Year_Week_Brand]],Table3[[#All],[Key_Year_Week_Brand]],0),MATCH(Table1[[#This Row],[DC_name_Xref]],Table3[#Headers],0)),0)</f>
        <v>0</v>
      </c>
      <c r="O2532" s="19">
        <f>IFERROR(INDEX(Table35[#All],MATCH(Table1[[#This Row],[Key_Year_Week_Brand]],Table35[[#All],[Key_Year_Month_Brand]],0),MATCH(Table1[[#This Row],[DC_name_Xref]],Table35[#Headers],0)),0)</f>
        <v>0</v>
      </c>
    </row>
    <row r="2533" spans="1:15" x14ac:dyDescent="0.3">
      <c r="A2533" s="19" t="e">
        <f>Table1[[#This Row],[Year_Week]]&amp;"-"&amp;Table1[[#This Row],[DC_name_Xref]]</f>
        <v>#N/A</v>
      </c>
      <c r="B2533" s="19" t="str">
        <f>Table1[[#This Row],[Fiscal_Year]]*100+Table1[[#This Row],[Fiscal_Week]] &amp; "-" &amp;Table1[[#This Row],[BRAND]]</f>
        <v>0-</v>
      </c>
      <c r="C2533" s="19" t="str">
        <f>Table1[[#This Row],[Fiscal_Year]]&amp;"-"&amp;Table1[[#This Row],[BRAND]]</f>
        <v>-</v>
      </c>
      <c r="J2533" t="e">
        <f>VLOOKUP(H2533,DC_Xref!A:B,2,FALSE)</f>
        <v>#N/A</v>
      </c>
      <c r="K2533">
        <f t="shared" si="39"/>
        <v>0</v>
      </c>
      <c r="L253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3" s="3">
        <f>IFERROR(INDEX(Table3[#All],MATCH(Table1[[#This Row],[Key_Year_Week_Brand]],Table3[[#All],[Key_Year_Week_Brand]],0),MATCH(Table1[[#This Row],[DC_name_Xref]],Table3[#Headers],0)),0)</f>
        <v>0</v>
      </c>
      <c r="O2533" s="19">
        <f>IFERROR(INDEX(Table35[#All],MATCH(Table1[[#This Row],[Key_Year_Week_Brand]],Table35[[#All],[Key_Year_Month_Brand]],0),MATCH(Table1[[#This Row],[DC_name_Xref]],Table35[#Headers],0)),0)</f>
        <v>0</v>
      </c>
    </row>
    <row r="2534" spans="1:15" x14ac:dyDescent="0.3">
      <c r="A2534" s="19" t="e">
        <f>Table1[[#This Row],[Year_Week]]&amp;"-"&amp;Table1[[#This Row],[DC_name_Xref]]</f>
        <v>#N/A</v>
      </c>
      <c r="B2534" s="19" t="str">
        <f>Table1[[#This Row],[Fiscal_Year]]*100+Table1[[#This Row],[Fiscal_Week]] &amp; "-" &amp;Table1[[#This Row],[BRAND]]</f>
        <v>0-</v>
      </c>
      <c r="C2534" s="19" t="str">
        <f>Table1[[#This Row],[Fiscal_Year]]&amp;"-"&amp;Table1[[#This Row],[BRAND]]</f>
        <v>-</v>
      </c>
      <c r="J2534" t="e">
        <f>VLOOKUP(H2534,DC_Xref!A:B,2,FALSE)</f>
        <v>#N/A</v>
      </c>
      <c r="K2534">
        <f t="shared" si="39"/>
        <v>0</v>
      </c>
      <c r="L253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4" s="3">
        <f>IFERROR(INDEX(Table3[#All],MATCH(Table1[[#This Row],[Key_Year_Week_Brand]],Table3[[#All],[Key_Year_Week_Brand]],0),MATCH(Table1[[#This Row],[DC_name_Xref]],Table3[#Headers],0)),0)</f>
        <v>0</v>
      </c>
      <c r="O2534" s="19">
        <f>IFERROR(INDEX(Table35[#All],MATCH(Table1[[#This Row],[Key_Year_Week_Brand]],Table35[[#All],[Key_Year_Month_Brand]],0),MATCH(Table1[[#This Row],[DC_name_Xref]],Table35[#Headers],0)),0)</f>
        <v>0</v>
      </c>
    </row>
    <row r="2535" spans="1:15" x14ac:dyDescent="0.3">
      <c r="A2535" s="19" t="e">
        <f>Table1[[#This Row],[Year_Week]]&amp;"-"&amp;Table1[[#This Row],[DC_name_Xref]]</f>
        <v>#N/A</v>
      </c>
      <c r="B2535" s="19" t="str">
        <f>Table1[[#This Row],[Fiscal_Year]]*100+Table1[[#This Row],[Fiscal_Week]] &amp; "-" &amp;Table1[[#This Row],[BRAND]]</f>
        <v>0-</v>
      </c>
      <c r="C2535" s="19" t="str">
        <f>Table1[[#This Row],[Fiscal_Year]]&amp;"-"&amp;Table1[[#This Row],[BRAND]]</f>
        <v>-</v>
      </c>
      <c r="J2535" t="e">
        <f>VLOOKUP(H2535,DC_Xref!A:B,2,FALSE)</f>
        <v>#N/A</v>
      </c>
      <c r="K2535">
        <f t="shared" si="39"/>
        <v>0</v>
      </c>
      <c r="L253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5" s="3">
        <f>IFERROR(INDEX(Table3[#All],MATCH(Table1[[#This Row],[Key_Year_Week_Brand]],Table3[[#All],[Key_Year_Week_Brand]],0),MATCH(Table1[[#This Row],[DC_name_Xref]],Table3[#Headers],0)),0)</f>
        <v>0</v>
      </c>
      <c r="O2535" s="19">
        <f>IFERROR(INDEX(Table35[#All],MATCH(Table1[[#This Row],[Key_Year_Week_Brand]],Table35[[#All],[Key_Year_Month_Brand]],0),MATCH(Table1[[#This Row],[DC_name_Xref]],Table35[#Headers],0)),0)</f>
        <v>0</v>
      </c>
    </row>
    <row r="2536" spans="1:15" x14ac:dyDescent="0.3">
      <c r="A2536" s="19" t="e">
        <f>Table1[[#This Row],[Year_Week]]&amp;"-"&amp;Table1[[#This Row],[DC_name_Xref]]</f>
        <v>#N/A</v>
      </c>
      <c r="B2536" s="19" t="str">
        <f>Table1[[#This Row],[Fiscal_Year]]*100+Table1[[#This Row],[Fiscal_Week]] &amp; "-" &amp;Table1[[#This Row],[BRAND]]</f>
        <v>0-</v>
      </c>
      <c r="C2536" s="19" t="str">
        <f>Table1[[#This Row],[Fiscal_Year]]&amp;"-"&amp;Table1[[#This Row],[BRAND]]</f>
        <v>-</v>
      </c>
      <c r="J2536" t="e">
        <f>VLOOKUP(H2536,DC_Xref!A:B,2,FALSE)</f>
        <v>#N/A</v>
      </c>
      <c r="K2536">
        <f t="shared" si="39"/>
        <v>0</v>
      </c>
      <c r="L253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6" s="3">
        <f>IFERROR(INDEX(Table3[#All],MATCH(Table1[[#This Row],[Key_Year_Week_Brand]],Table3[[#All],[Key_Year_Week_Brand]],0),MATCH(Table1[[#This Row],[DC_name_Xref]],Table3[#Headers],0)),0)</f>
        <v>0</v>
      </c>
      <c r="O2536" s="19">
        <f>IFERROR(INDEX(Table35[#All],MATCH(Table1[[#This Row],[Key_Year_Week_Brand]],Table35[[#All],[Key_Year_Month_Brand]],0),MATCH(Table1[[#This Row],[DC_name_Xref]],Table35[#Headers],0)),0)</f>
        <v>0</v>
      </c>
    </row>
    <row r="2537" spans="1:15" x14ac:dyDescent="0.3">
      <c r="A2537" s="19" t="e">
        <f>Table1[[#This Row],[Year_Week]]&amp;"-"&amp;Table1[[#This Row],[DC_name_Xref]]</f>
        <v>#N/A</v>
      </c>
      <c r="B2537" s="19" t="str">
        <f>Table1[[#This Row],[Fiscal_Year]]*100+Table1[[#This Row],[Fiscal_Week]] &amp; "-" &amp;Table1[[#This Row],[BRAND]]</f>
        <v>0-</v>
      </c>
      <c r="C2537" s="19" t="str">
        <f>Table1[[#This Row],[Fiscal_Year]]&amp;"-"&amp;Table1[[#This Row],[BRAND]]</f>
        <v>-</v>
      </c>
      <c r="J2537" t="e">
        <f>VLOOKUP(H2537,DC_Xref!A:B,2,FALSE)</f>
        <v>#N/A</v>
      </c>
      <c r="K2537">
        <f t="shared" si="39"/>
        <v>0</v>
      </c>
      <c r="L253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7" s="3">
        <f>IFERROR(INDEX(Table3[#All],MATCH(Table1[[#This Row],[Key_Year_Week_Brand]],Table3[[#All],[Key_Year_Week_Brand]],0),MATCH(Table1[[#This Row],[DC_name_Xref]],Table3[#Headers],0)),0)</f>
        <v>0</v>
      </c>
      <c r="O2537" s="19">
        <f>IFERROR(INDEX(Table35[#All],MATCH(Table1[[#This Row],[Key_Year_Week_Brand]],Table35[[#All],[Key_Year_Month_Brand]],0),MATCH(Table1[[#This Row],[DC_name_Xref]],Table35[#Headers],0)),0)</f>
        <v>0</v>
      </c>
    </row>
    <row r="2538" spans="1:15" x14ac:dyDescent="0.3">
      <c r="A2538" s="19" t="e">
        <f>Table1[[#This Row],[Year_Week]]&amp;"-"&amp;Table1[[#This Row],[DC_name_Xref]]</f>
        <v>#N/A</v>
      </c>
      <c r="B2538" s="19" t="str">
        <f>Table1[[#This Row],[Fiscal_Year]]*100+Table1[[#This Row],[Fiscal_Week]] &amp; "-" &amp;Table1[[#This Row],[BRAND]]</f>
        <v>0-</v>
      </c>
      <c r="C2538" s="19" t="str">
        <f>Table1[[#This Row],[Fiscal_Year]]&amp;"-"&amp;Table1[[#This Row],[BRAND]]</f>
        <v>-</v>
      </c>
      <c r="J2538" t="e">
        <f>VLOOKUP(H2538,DC_Xref!A:B,2,FALSE)</f>
        <v>#N/A</v>
      </c>
      <c r="K2538">
        <f t="shared" si="39"/>
        <v>0</v>
      </c>
      <c r="L253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8" s="3">
        <f>IFERROR(INDEX(Table3[#All],MATCH(Table1[[#This Row],[Key_Year_Week_Brand]],Table3[[#All],[Key_Year_Week_Brand]],0),MATCH(Table1[[#This Row],[DC_name_Xref]],Table3[#Headers],0)),0)</f>
        <v>0</v>
      </c>
      <c r="O2538" s="19">
        <f>IFERROR(INDEX(Table35[#All],MATCH(Table1[[#This Row],[Key_Year_Week_Brand]],Table35[[#All],[Key_Year_Month_Brand]],0),MATCH(Table1[[#This Row],[DC_name_Xref]],Table35[#Headers],0)),0)</f>
        <v>0</v>
      </c>
    </row>
    <row r="2539" spans="1:15" x14ac:dyDescent="0.3">
      <c r="A2539" s="19" t="e">
        <f>Table1[[#This Row],[Year_Week]]&amp;"-"&amp;Table1[[#This Row],[DC_name_Xref]]</f>
        <v>#N/A</v>
      </c>
      <c r="B2539" s="19" t="str">
        <f>Table1[[#This Row],[Fiscal_Year]]*100+Table1[[#This Row],[Fiscal_Week]] &amp; "-" &amp;Table1[[#This Row],[BRAND]]</f>
        <v>0-</v>
      </c>
      <c r="C2539" s="19" t="str">
        <f>Table1[[#This Row],[Fiscal_Year]]&amp;"-"&amp;Table1[[#This Row],[BRAND]]</f>
        <v>-</v>
      </c>
      <c r="J2539" t="e">
        <f>VLOOKUP(H2539,DC_Xref!A:B,2,FALSE)</f>
        <v>#N/A</v>
      </c>
      <c r="K2539">
        <f t="shared" si="39"/>
        <v>0</v>
      </c>
      <c r="L253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3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39" s="3">
        <f>IFERROR(INDEX(Table3[#All],MATCH(Table1[[#This Row],[Key_Year_Week_Brand]],Table3[[#All],[Key_Year_Week_Brand]],0),MATCH(Table1[[#This Row],[DC_name_Xref]],Table3[#Headers],0)),0)</f>
        <v>0</v>
      </c>
      <c r="O2539" s="19">
        <f>IFERROR(INDEX(Table35[#All],MATCH(Table1[[#This Row],[Key_Year_Week_Brand]],Table35[[#All],[Key_Year_Month_Brand]],0),MATCH(Table1[[#This Row],[DC_name_Xref]],Table35[#Headers],0)),0)</f>
        <v>0</v>
      </c>
    </row>
    <row r="2540" spans="1:15" x14ac:dyDescent="0.3">
      <c r="A2540" s="19" t="e">
        <f>Table1[[#This Row],[Year_Week]]&amp;"-"&amp;Table1[[#This Row],[DC_name_Xref]]</f>
        <v>#N/A</v>
      </c>
      <c r="B2540" s="19" t="str">
        <f>Table1[[#This Row],[Fiscal_Year]]*100+Table1[[#This Row],[Fiscal_Week]] &amp; "-" &amp;Table1[[#This Row],[BRAND]]</f>
        <v>0-</v>
      </c>
      <c r="C2540" s="19" t="str">
        <f>Table1[[#This Row],[Fiscal_Year]]&amp;"-"&amp;Table1[[#This Row],[BRAND]]</f>
        <v>-</v>
      </c>
      <c r="J2540" t="e">
        <f>VLOOKUP(H2540,DC_Xref!A:B,2,FALSE)</f>
        <v>#N/A</v>
      </c>
      <c r="K2540">
        <f t="shared" si="39"/>
        <v>0</v>
      </c>
      <c r="L254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0" s="3">
        <f>IFERROR(INDEX(Table3[#All],MATCH(Table1[[#This Row],[Key_Year_Week_Brand]],Table3[[#All],[Key_Year_Week_Brand]],0),MATCH(Table1[[#This Row],[DC_name_Xref]],Table3[#Headers],0)),0)</f>
        <v>0</v>
      </c>
      <c r="O2540" s="19">
        <f>IFERROR(INDEX(Table35[#All],MATCH(Table1[[#This Row],[Key_Year_Week_Brand]],Table35[[#All],[Key_Year_Month_Brand]],0),MATCH(Table1[[#This Row],[DC_name_Xref]],Table35[#Headers],0)),0)</f>
        <v>0</v>
      </c>
    </row>
    <row r="2541" spans="1:15" x14ac:dyDescent="0.3">
      <c r="A2541" s="19" t="e">
        <f>Table1[[#This Row],[Year_Week]]&amp;"-"&amp;Table1[[#This Row],[DC_name_Xref]]</f>
        <v>#N/A</v>
      </c>
      <c r="B2541" s="19" t="str">
        <f>Table1[[#This Row],[Fiscal_Year]]*100+Table1[[#This Row],[Fiscal_Week]] &amp; "-" &amp;Table1[[#This Row],[BRAND]]</f>
        <v>0-</v>
      </c>
      <c r="C2541" s="19" t="str">
        <f>Table1[[#This Row],[Fiscal_Year]]&amp;"-"&amp;Table1[[#This Row],[BRAND]]</f>
        <v>-</v>
      </c>
      <c r="J2541" t="e">
        <f>VLOOKUP(H2541,DC_Xref!A:B,2,FALSE)</f>
        <v>#N/A</v>
      </c>
      <c r="K2541">
        <f t="shared" si="39"/>
        <v>0</v>
      </c>
      <c r="L254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1" s="3">
        <f>IFERROR(INDEX(Table3[#All],MATCH(Table1[[#This Row],[Key_Year_Week_Brand]],Table3[[#All],[Key_Year_Week_Brand]],0),MATCH(Table1[[#This Row],[DC_name_Xref]],Table3[#Headers],0)),0)</f>
        <v>0</v>
      </c>
      <c r="O2541" s="19">
        <f>IFERROR(INDEX(Table35[#All],MATCH(Table1[[#This Row],[Key_Year_Week_Brand]],Table35[[#All],[Key_Year_Month_Brand]],0),MATCH(Table1[[#This Row],[DC_name_Xref]],Table35[#Headers],0)),0)</f>
        <v>0</v>
      </c>
    </row>
    <row r="2542" spans="1:15" x14ac:dyDescent="0.3">
      <c r="A2542" s="19" t="e">
        <f>Table1[[#This Row],[Year_Week]]&amp;"-"&amp;Table1[[#This Row],[DC_name_Xref]]</f>
        <v>#N/A</v>
      </c>
      <c r="B2542" s="19" t="str">
        <f>Table1[[#This Row],[Fiscal_Year]]*100+Table1[[#This Row],[Fiscal_Week]] &amp; "-" &amp;Table1[[#This Row],[BRAND]]</f>
        <v>0-</v>
      </c>
      <c r="C2542" s="19" t="str">
        <f>Table1[[#This Row],[Fiscal_Year]]&amp;"-"&amp;Table1[[#This Row],[BRAND]]</f>
        <v>-</v>
      </c>
      <c r="J2542" t="e">
        <f>VLOOKUP(H2542,DC_Xref!A:B,2,FALSE)</f>
        <v>#N/A</v>
      </c>
      <c r="K2542">
        <f t="shared" si="39"/>
        <v>0</v>
      </c>
      <c r="L254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2" s="3">
        <f>IFERROR(INDEX(Table3[#All],MATCH(Table1[[#This Row],[Key_Year_Week_Brand]],Table3[[#All],[Key_Year_Week_Brand]],0),MATCH(Table1[[#This Row],[DC_name_Xref]],Table3[#Headers],0)),0)</f>
        <v>0</v>
      </c>
      <c r="O2542" s="19">
        <f>IFERROR(INDEX(Table35[#All],MATCH(Table1[[#This Row],[Key_Year_Week_Brand]],Table35[[#All],[Key_Year_Month_Brand]],0),MATCH(Table1[[#This Row],[DC_name_Xref]],Table35[#Headers],0)),0)</f>
        <v>0</v>
      </c>
    </row>
    <row r="2543" spans="1:15" x14ac:dyDescent="0.3">
      <c r="A2543" s="19" t="e">
        <f>Table1[[#This Row],[Year_Week]]&amp;"-"&amp;Table1[[#This Row],[DC_name_Xref]]</f>
        <v>#N/A</v>
      </c>
      <c r="B2543" s="19" t="str">
        <f>Table1[[#This Row],[Fiscal_Year]]*100+Table1[[#This Row],[Fiscal_Week]] &amp; "-" &amp;Table1[[#This Row],[BRAND]]</f>
        <v>0-</v>
      </c>
      <c r="C2543" s="19" t="str">
        <f>Table1[[#This Row],[Fiscal_Year]]&amp;"-"&amp;Table1[[#This Row],[BRAND]]</f>
        <v>-</v>
      </c>
      <c r="J2543" t="e">
        <f>VLOOKUP(H2543,DC_Xref!A:B,2,FALSE)</f>
        <v>#N/A</v>
      </c>
      <c r="K2543">
        <f t="shared" si="39"/>
        <v>0</v>
      </c>
      <c r="L254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3" s="3">
        <f>IFERROR(INDEX(Table3[#All],MATCH(Table1[[#This Row],[Key_Year_Week_Brand]],Table3[[#All],[Key_Year_Week_Brand]],0),MATCH(Table1[[#This Row],[DC_name_Xref]],Table3[#Headers],0)),0)</f>
        <v>0</v>
      </c>
      <c r="O2543" s="19">
        <f>IFERROR(INDEX(Table35[#All],MATCH(Table1[[#This Row],[Key_Year_Week_Brand]],Table35[[#All],[Key_Year_Month_Brand]],0),MATCH(Table1[[#This Row],[DC_name_Xref]],Table35[#Headers],0)),0)</f>
        <v>0</v>
      </c>
    </row>
    <row r="2544" spans="1:15" x14ac:dyDescent="0.3">
      <c r="A2544" s="19" t="e">
        <f>Table1[[#This Row],[Year_Week]]&amp;"-"&amp;Table1[[#This Row],[DC_name_Xref]]</f>
        <v>#N/A</v>
      </c>
      <c r="B2544" s="19" t="str">
        <f>Table1[[#This Row],[Fiscal_Year]]*100+Table1[[#This Row],[Fiscal_Week]] &amp; "-" &amp;Table1[[#This Row],[BRAND]]</f>
        <v>0-</v>
      </c>
      <c r="C2544" s="19" t="str">
        <f>Table1[[#This Row],[Fiscal_Year]]&amp;"-"&amp;Table1[[#This Row],[BRAND]]</f>
        <v>-</v>
      </c>
      <c r="J2544" t="e">
        <f>VLOOKUP(H2544,DC_Xref!A:B,2,FALSE)</f>
        <v>#N/A</v>
      </c>
      <c r="K2544">
        <f t="shared" si="39"/>
        <v>0</v>
      </c>
      <c r="L254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4" s="3">
        <f>IFERROR(INDEX(Table3[#All],MATCH(Table1[[#This Row],[Key_Year_Week_Brand]],Table3[[#All],[Key_Year_Week_Brand]],0),MATCH(Table1[[#This Row],[DC_name_Xref]],Table3[#Headers],0)),0)</f>
        <v>0</v>
      </c>
      <c r="O2544" s="19">
        <f>IFERROR(INDEX(Table35[#All],MATCH(Table1[[#This Row],[Key_Year_Week_Brand]],Table35[[#All],[Key_Year_Month_Brand]],0),MATCH(Table1[[#This Row],[DC_name_Xref]],Table35[#Headers],0)),0)</f>
        <v>0</v>
      </c>
    </row>
    <row r="2545" spans="1:15" x14ac:dyDescent="0.3">
      <c r="A2545" s="19" t="e">
        <f>Table1[[#This Row],[Year_Week]]&amp;"-"&amp;Table1[[#This Row],[DC_name_Xref]]</f>
        <v>#N/A</v>
      </c>
      <c r="B2545" s="19" t="str">
        <f>Table1[[#This Row],[Fiscal_Year]]*100+Table1[[#This Row],[Fiscal_Week]] &amp; "-" &amp;Table1[[#This Row],[BRAND]]</f>
        <v>0-</v>
      </c>
      <c r="C2545" s="19" t="str">
        <f>Table1[[#This Row],[Fiscal_Year]]&amp;"-"&amp;Table1[[#This Row],[BRAND]]</f>
        <v>-</v>
      </c>
      <c r="J2545" t="e">
        <f>VLOOKUP(H2545,DC_Xref!A:B,2,FALSE)</f>
        <v>#N/A</v>
      </c>
      <c r="K2545">
        <f t="shared" si="39"/>
        <v>0</v>
      </c>
      <c r="L254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5" s="3">
        <f>IFERROR(INDEX(Table3[#All],MATCH(Table1[[#This Row],[Key_Year_Week_Brand]],Table3[[#All],[Key_Year_Week_Brand]],0),MATCH(Table1[[#This Row],[DC_name_Xref]],Table3[#Headers],0)),0)</f>
        <v>0</v>
      </c>
      <c r="O2545" s="19">
        <f>IFERROR(INDEX(Table35[#All],MATCH(Table1[[#This Row],[Key_Year_Week_Brand]],Table35[[#All],[Key_Year_Month_Brand]],0),MATCH(Table1[[#This Row],[DC_name_Xref]],Table35[#Headers],0)),0)</f>
        <v>0</v>
      </c>
    </row>
    <row r="2546" spans="1:15" x14ac:dyDescent="0.3">
      <c r="A2546" s="19" t="e">
        <f>Table1[[#This Row],[Year_Week]]&amp;"-"&amp;Table1[[#This Row],[DC_name_Xref]]</f>
        <v>#N/A</v>
      </c>
      <c r="B2546" s="19" t="str">
        <f>Table1[[#This Row],[Fiscal_Year]]*100+Table1[[#This Row],[Fiscal_Week]] &amp; "-" &amp;Table1[[#This Row],[BRAND]]</f>
        <v>0-</v>
      </c>
      <c r="C2546" s="19" t="str">
        <f>Table1[[#This Row],[Fiscal_Year]]&amp;"-"&amp;Table1[[#This Row],[BRAND]]</f>
        <v>-</v>
      </c>
      <c r="J2546" t="e">
        <f>VLOOKUP(H2546,DC_Xref!A:B,2,FALSE)</f>
        <v>#N/A</v>
      </c>
      <c r="K2546">
        <f t="shared" si="39"/>
        <v>0</v>
      </c>
      <c r="L254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6" s="3">
        <f>IFERROR(INDEX(Table3[#All],MATCH(Table1[[#This Row],[Key_Year_Week_Brand]],Table3[[#All],[Key_Year_Week_Brand]],0),MATCH(Table1[[#This Row],[DC_name_Xref]],Table3[#Headers],0)),0)</f>
        <v>0</v>
      </c>
      <c r="O2546" s="19">
        <f>IFERROR(INDEX(Table35[#All],MATCH(Table1[[#This Row],[Key_Year_Week_Brand]],Table35[[#All],[Key_Year_Month_Brand]],0),MATCH(Table1[[#This Row],[DC_name_Xref]],Table35[#Headers],0)),0)</f>
        <v>0</v>
      </c>
    </row>
    <row r="2547" spans="1:15" x14ac:dyDescent="0.3">
      <c r="A2547" s="19" t="e">
        <f>Table1[[#This Row],[Year_Week]]&amp;"-"&amp;Table1[[#This Row],[DC_name_Xref]]</f>
        <v>#N/A</v>
      </c>
      <c r="B2547" s="19" t="str">
        <f>Table1[[#This Row],[Fiscal_Year]]*100+Table1[[#This Row],[Fiscal_Week]] &amp; "-" &amp;Table1[[#This Row],[BRAND]]</f>
        <v>0-</v>
      </c>
      <c r="C2547" s="19" t="str">
        <f>Table1[[#This Row],[Fiscal_Year]]&amp;"-"&amp;Table1[[#This Row],[BRAND]]</f>
        <v>-</v>
      </c>
      <c r="J2547" t="e">
        <f>VLOOKUP(H2547,DC_Xref!A:B,2,FALSE)</f>
        <v>#N/A</v>
      </c>
      <c r="K2547">
        <f t="shared" si="39"/>
        <v>0</v>
      </c>
      <c r="L254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7" s="3">
        <f>IFERROR(INDEX(Table3[#All],MATCH(Table1[[#This Row],[Key_Year_Week_Brand]],Table3[[#All],[Key_Year_Week_Brand]],0),MATCH(Table1[[#This Row],[DC_name_Xref]],Table3[#Headers],0)),0)</f>
        <v>0</v>
      </c>
      <c r="O2547" s="19">
        <f>IFERROR(INDEX(Table35[#All],MATCH(Table1[[#This Row],[Key_Year_Week_Brand]],Table35[[#All],[Key_Year_Month_Brand]],0),MATCH(Table1[[#This Row],[DC_name_Xref]],Table35[#Headers],0)),0)</f>
        <v>0</v>
      </c>
    </row>
    <row r="2548" spans="1:15" x14ac:dyDescent="0.3">
      <c r="A2548" s="19" t="e">
        <f>Table1[[#This Row],[Year_Week]]&amp;"-"&amp;Table1[[#This Row],[DC_name_Xref]]</f>
        <v>#N/A</v>
      </c>
      <c r="B2548" s="19" t="str">
        <f>Table1[[#This Row],[Fiscal_Year]]*100+Table1[[#This Row],[Fiscal_Week]] &amp; "-" &amp;Table1[[#This Row],[BRAND]]</f>
        <v>0-</v>
      </c>
      <c r="C2548" s="19" t="str">
        <f>Table1[[#This Row],[Fiscal_Year]]&amp;"-"&amp;Table1[[#This Row],[BRAND]]</f>
        <v>-</v>
      </c>
      <c r="J2548" t="e">
        <f>VLOOKUP(H2548,DC_Xref!A:B,2,FALSE)</f>
        <v>#N/A</v>
      </c>
      <c r="K2548">
        <f t="shared" si="39"/>
        <v>0</v>
      </c>
      <c r="L254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8" s="3">
        <f>IFERROR(INDEX(Table3[#All],MATCH(Table1[[#This Row],[Key_Year_Week_Brand]],Table3[[#All],[Key_Year_Week_Brand]],0),MATCH(Table1[[#This Row],[DC_name_Xref]],Table3[#Headers],0)),0)</f>
        <v>0</v>
      </c>
      <c r="O2548" s="19">
        <f>IFERROR(INDEX(Table35[#All],MATCH(Table1[[#This Row],[Key_Year_Week_Brand]],Table35[[#All],[Key_Year_Month_Brand]],0),MATCH(Table1[[#This Row],[DC_name_Xref]],Table35[#Headers],0)),0)</f>
        <v>0</v>
      </c>
    </row>
    <row r="2549" spans="1:15" x14ac:dyDescent="0.3">
      <c r="A2549" s="19" t="e">
        <f>Table1[[#This Row],[Year_Week]]&amp;"-"&amp;Table1[[#This Row],[DC_name_Xref]]</f>
        <v>#N/A</v>
      </c>
      <c r="B2549" s="19" t="str">
        <f>Table1[[#This Row],[Fiscal_Year]]*100+Table1[[#This Row],[Fiscal_Week]] &amp; "-" &amp;Table1[[#This Row],[BRAND]]</f>
        <v>0-</v>
      </c>
      <c r="C2549" s="19" t="str">
        <f>Table1[[#This Row],[Fiscal_Year]]&amp;"-"&amp;Table1[[#This Row],[BRAND]]</f>
        <v>-</v>
      </c>
      <c r="J2549" t="e">
        <f>VLOOKUP(H2549,DC_Xref!A:B,2,FALSE)</f>
        <v>#N/A</v>
      </c>
      <c r="K2549">
        <f t="shared" si="39"/>
        <v>0</v>
      </c>
      <c r="L254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4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49" s="3">
        <f>IFERROR(INDEX(Table3[#All],MATCH(Table1[[#This Row],[Key_Year_Week_Brand]],Table3[[#All],[Key_Year_Week_Brand]],0),MATCH(Table1[[#This Row],[DC_name_Xref]],Table3[#Headers],0)),0)</f>
        <v>0</v>
      </c>
      <c r="O2549" s="19">
        <f>IFERROR(INDEX(Table35[#All],MATCH(Table1[[#This Row],[Key_Year_Week_Brand]],Table35[[#All],[Key_Year_Month_Brand]],0),MATCH(Table1[[#This Row],[DC_name_Xref]],Table35[#Headers],0)),0)</f>
        <v>0</v>
      </c>
    </row>
    <row r="2550" spans="1:15" x14ac:dyDescent="0.3">
      <c r="A2550" s="19" t="e">
        <f>Table1[[#This Row],[Year_Week]]&amp;"-"&amp;Table1[[#This Row],[DC_name_Xref]]</f>
        <v>#N/A</v>
      </c>
      <c r="B2550" s="19" t="str">
        <f>Table1[[#This Row],[Fiscal_Year]]*100+Table1[[#This Row],[Fiscal_Week]] &amp; "-" &amp;Table1[[#This Row],[BRAND]]</f>
        <v>0-</v>
      </c>
      <c r="C2550" s="19" t="str">
        <f>Table1[[#This Row],[Fiscal_Year]]&amp;"-"&amp;Table1[[#This Row],[BRAND]]</f>
        <v>-</v>
      </c>
      <c r="J2550" t="e">
        <f>VLOOKUP(H2550,DC_Xref!A:B,2,FALSE)</f>
        <v>#N/A</v>
      </c>
      <c r="K2550">
        <f t="shared" si="39"/>
        <v>0</v>
      </c>
      <c r="L255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0" s="3">
        <f>IFERROR(INDEX(Table3[#All],MATCH(Table1[[#This Row],[Key_Year_Week_Brand]],Table3[[#All],[Key_Year_Week_Brand]],0),MATCH(Table1[[#This Row],[DC_name_Xref]],Table3[#Headers],0)),0)</f>
        <v>0</v>
      </c>
      <c r="O2550" s="19">
        <f>IFERROR(INDEX(Table35[#All],MATCH(Table1[[#This Row],[Key_Year_Week_Brand]],Table35[[#All],[Key_Year_Month_Brand]],0),MATCH(Table1[[#This Row],[DC_name_Xref]],Table35[#Headers],0)),0)</f>
        <v>0</v>
      </c>
    </row>
    <row r="2551" spans="1:15" x14ac:dyDescent="0.3">
      <c r="A2551" s="19" t="e">
        <f>Table1[[#This Row],[Year_Week]]&amp;"-"&amp;Table1[[#This Row],[DC_name_Xref]]</f>
        <v>#N/A</v>
      </c>
      <c r="B2551" s="19" t="str">
        <f>Table1[[#This Row],[Fiscal_Year]]*100+Table1[[#This Row],[Fiscal_Week]] &amp; "-" &amp;Table1[[#This Row],[BRAND]]</f>
        <v>0-</v>
      </c>
      <c r="C2551" s="19" t="str">
        <f>Table1[[#This Row],[Fiscal_Year]]&amp;"-"&amp;Table1[[#This Row],[BRAND]]</f>
        <v>-</v>
      </c>
      <c r="J2551" t="e">
        <f>VLOOKUP(H2551,DC_Xref!A:B,2,FALSE)</f>
        <v>#N/A</v>
      </c>
      <c r="K2551">
        <f t="shared" si="39"/>
        <v>0</v>
      </c>
      <c r="L255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1" s="3">
        <f>IFERROR(INDEX(Table3[#All],MATCH(Table1[[#This Row],[Key_Year_Week_Brand]],Table3[[#All],[Key_Year_Week_Brand]],0),MATCH(Table1[[#This Row],[DC_name_Xref]],Table3[#Headers],0)),0)</f>
        <v>0</v>
      </c>
      <c r="O2551" s="19">
        <f>IFERROR(INDEX(Table35[#All],MATCH(Table1[[#This Row],[Key_Year_Week_Brand]],Table35[[#All],[Key_Year_Month_Brand]],0),MATCH(Table1[[#This Row],[DC_name_Xref]],Table35[#Headers],0)),0)</f>
        <v>0</v>
      </c>
    </row>
    <row r="2552" spans="1:15" x14ac:dyDescent="0.3">
      <c r="A2552" s="19" t="e">
        <f>Table1[[#This Row],[Year_Week]]&amp;"-"&amp;Table1[[#This Row],[DC_name_Xref]]</f>
        <v>#N/A</v>
      </c>
      <c r="B2552" s="19" t="str">
        <f>Table1[[#This Row],[Fiscal_Year]]*100+Table1[[#This Row],[Fiscal_Week]] &amp; "-" &amp;Table1[[#This Row],[BRAND]]</f>
        <v>0-</v>
      </c>
      <c r="C2552" s="19" t="str">
        <f>Table1[[#This Row],[Fiscal_Year]]&amp;"-"&amp;Table1[[#This Row],[BRAND]]</f>
        <v>-</v>
      </c>
      <c r="J2552" t="e">
        <f>VLOOKUP(H2552,DC_Xref!A:B,2,FALSE)</f>
        <v>#N/A</v>
      </c>
      <c r="K2552">
        <f t="shared" si="39"/>
        <v>0</v>
      </c>
      <c r="L255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2" s="3">
        <f>IFERROR(INDEX(Table3[#All],MATCH(Table1[[#This Row],[Key_Year_Week_Brand]],Table3[[#All],[Key_Year_Week_Brand]],0),MATCH(Table1[[#This Row],[DC_name_Xref]],Table3[#Headers],0)),0)</f>
        <v>0</v>
      </c>
      <c r="O2552" s="19">
        <f>IFERROR(INDEX(Table35[#All],MATCH(Table1[[#This Row],[Key_Year_Week_Brand]],Table35[[#All],[Key_Year_Month_Brand]],0),MATCH(Table1[[#This Row],[DC_name_Xref]],Table35[#Headers],0)),0)</f>
        <v>0</v>
      </c>
    </row>
    <row r="2553" spans="1:15" x14ac:dyDescent="0.3">
      <c r="A2553" s="19" t="e">
        <f>Table1[[#This Row],[Year_Week]]&amp;"-"&amp;Table1[[#This Row],[DC_name_Xref]]</f>
        <v>#N/A</v>
      </c>
      <c r="B2553" s="19" t="str">
        <f>Table1[[#This Row],[Fiscal_Year]]*100+Table1[[#This Row],[Fiscal_Week]] &amp; "-" &amp;Table1[[#This Row],[BRAND]]</f>
        <v>0-</v>
      </c>
      <c r="C2553" s="19" t="str">
        <f>Table1[[#This Row],[Fiscal_Year]]&amp;"-"&amp;Table1[[#This Row],[BRAND]]</f>
        <v>-</v>
      </c>
      <c r="J2553" t="e">
        <f>VLOOKUP(H2553,DC_Xref!A:B,2,FALSE)</f>
        <v>#N/A</v>
      </c>
      <c r="K2553">
        <f t="shared" si="39"/>
        <v>0</v>
      </c>
      <c r="L255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3" s="3">
        <f>IFERROR(INDEX(Table3[#All],MATCH(Table1[[#This Row],[Key_Year_Week_Brand]],Table3[[#All],[Key_Year_Week_Brand]],0),MATCH(Table1[[#This Row],[DC_name_Xref]],Table3[#Headers],0)),0)</f>
        <v>0</v>
      </c>
      <c r="O2553" s="19">
        <f>IFERROR(INDEX(Table35[#All],MATCH(Table1[[#This Row],[Key_Year_Week_Brand]],Table35[[#All],[Key_Year_Month_Brand]],0),MATCH(Table1[[#This Row],[DC_name_Xref]],Table35[#Headers],0)),0)</f>
        <v>0</v>
      </c>
    </row>
    <row r="2554" spans="1:15" x14ac:dyDescent="0.3">
      <c r="A2554" s="19" t="e">
        <f>Table1[[#This Row],[Year_Week]]&amp;"-"&amp;Table1[[#This Row],[DC_name_Xref]]</f>
        <v>#N/A</v>
      </c>
      <c r="B2554" s="19" t="str">
        <f>Table1[[#This Row],[Fiscal_Year]]*100+Table1[[#This Row],[Fiscal_Week]] &amp; "-" &amp;Table1[[#This Row],[BRAND]]</f>
        <v>0-</v>
      </c>
      <c r="C2554" s="19" t="str">
        <f>Table1[[#This Row],[Fiscal_Year]]&amp;"-"&amp;Table1[[#This Row],[BRAND]]</f>
        <v>-</v>
      </c>
      <c r="J2554" t="e">
        <f>VLOOKUP(H2554,DC_Xref!A:B,2,FALSE)</f>
        <v>#N/A</v>
      </c>
      <c r="K2554">
        <f t="shared" si="39"/>
        <v>0</v>
      </c>
      <c r="L255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4" s="3">
        <f>IFERROR(INDEX(Table3[#All],MATCH(Table1[[#This Row],[Key_Year_Week_Brand]],Table3[[#All],[Key_Year_Week_Brand]],0),MATCH(Table1[[#This Row],[DC_name_Xref]],Table3[#Headers],0)),0)</f>
        <v>0</v>
      </c>
      <c r="O2554" s="19">
        <f>IFERROR(INDEX(Table35[#All],MATCH(Table1[[#This Row],[Key_Year_Week_Brand]],Table35[[#All],[Key_Year_Month_Brand]],0),MATCH(Table1[[#This Row],[DC_name_Xref]],Table35[#Headers],0)),0)</f>
        <v>0</v>
      </c>
    </row>
    <row r="2555" spans="1:15" x14ac:dyDescent="0.3">
      <c r="A2555" s="19" t="e">
        <f>Table1[[#This Row],[Year_Week]]&amp;"-"&amp;Table1[[#This Row],[DC_name_Xref]]</f>
        <v>#N/A</v>
      </c>
      <c r="B2555" s="19" t="str">
        <f>Table1[[#This Row],[Fiscal_Year]]*100+Table1[[#This Row],[Fiscal_Week]] &amp; "-" &amp;Table1[[#This Row],[BRAND]]</f>
        <v>0-</v>
      </c>
      <c r="C2555" s="19" t="str">
        <f>Table1[[#This Row],[Fiscal_Year]]&amp;"-"&amp;Table1[[#This Row],[BRAND]]</f>
        <v>-</v>
      </c>
      <c r="J2555" t="e">
        <f>VLOOKUP(H2555,DC_Xref!A:B,2,FALSE)</f>
        <v>#N/A</v>
      </c>
      <c r="K2555">
        <f t="shared" si="39"/>
        <v>0</v>
      </c>
      <c r="L255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5" s="3">
        <f>IFERROR(INDEX(Table3[#All],MATCH(Table1[[#This Row],[Key_Year_Week_Brand]],Table3[[#All],[Key_Year_Week_Brand]],0),MATCH(Table1[[#This Row],[DC_name_Xref]],Table3[#Headers],0)),0)</f>
        <v>0</v>
      </c>
      <c r="O2555" s="19">
        <f>IFERROR(INDEX(Table35[#All],MATCH(Table1[[#This Row],[Key_Year_Week_Brand]],Table35[[#All],[Key_Year_Month_Brand]],0),MATCH(Table1[[#This Row],[DC_name_Xref]],Table35[#Headers],0)),0)</f>
        <v>0</v>
      </c>
    </row>
    <row r="2556" spans="1:15" x14ac:dyDescent="0.3">
      <c r="A2556" s="19" t="e">
        <f>Table1[[#This Row],[Year_Week]]&amp;"-"&amp;Table1[[#This Row],[DC_name_Xref]]</f>
        <v>#N/A</v>
      </c>
      <c r="B2556" s="19" t="str">
        <f>Table1[[#This Row],[Fiscal_Year]]*100+Table1[[#This Row],[Fiscal_Week]] &amp; "-" &amp;Table1[[#This Row],[BRAND]]</f>
        <v>0-</v>
      </c>
      <c r="C2556" s="19" t="str">
        <f>Table1[[#This Row],[Fiscal_Year]]&amp;"-"&amp;Table1[[#This Row],[BRAND]]</f>
        <v>-</v>
      </c>
      <c r="J2556" t="e">
        <f>VLOOKUP(H2556,DC_Xref!A:B,2,FALSE)</f>
        <v>#N/A</v>
      </c>
      <c r="K2556">
        <f t="shared" si="39"/>
        <v>0</v>
      </c>
      <c r="L255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6" s="3">
        <f>IFERROR(INDEX(Table3[#All],MATCH(Table1[[#This Row],[Key_Year_Week_Brand]],Table3[[#All],[Key_Year_Week_Brand]],0),MATCH(Table1[[#This Row],[DC_name_Xref]],Table3[#Headers],0)),0)</f>
        <v>0</v>
      </c>
      <c r="O2556" s="19">
        <f>IFERROR(INDEX(Table35[#All],MATCH(Table1[[#This Row],[Key_Year_Week_Brand]],Table35[[#All],[Key_Year_Month_Brand]],0),MATCH(Table1[[#This Row],[DC_name_Xref]],Table35[#Headers],0)),0)</f>
        <v>0</v>
      </c>
    </row>
    <row r="2557" spans="1:15" x14ac:dyDescent="0.3">
      <c r="A2557" s="19" t="e">
        <f>Table1[[#This Row],[Year_Week]]&amp;"-"&amp;Table1[[#This Row],[DC_name_Xref]]</f>
        <v>#N/A</v>
      </c>
      <c r="B2557" s="19" t="str">
        <f>Table1[[#This Row],[Fiscal_Year]]*100+Table1[[#This Row],[Fiscal_Week]] &amp; "-" &amp;Table1[[#This Row],[BRAND]]</f>
        <v>0-</v>
      </c>
      <c r="C2557" s="19" t="str">
        <f>Table1[[#This Row],[Fiscal_Year]]&amp;"-"&amp;Table1[[#This Row],[BRAND]]</f>
        <v>-</v>
      </c>
      <c r="J2557" t="e">
        <f>VLOOKUP(H2557,DC_Xref!A:B,2,FALSE)</f>
        <v>#N/A</v>
      </c>
      <c r="K2557">
        <f t="shared" si="39"/>
        <v>0</v>
      </c>
      <c r="L255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7" s="3">
        <f>IFERROR(INDEX(Table3[#All],MATCH(Table1[[#This Row],[Key_Year_Week_Brand]],Table3[[#All],[Key_Year_Week_Brand]],0),MATCH(Table1[[#This Row],[DC_name_Xref]],Table3[#Headers],0)),0)</f>
        <v>0</v>
      </c>
      <c r="O2557" s="19">
        <f>IFERROR(INDEX(Table35[#All],MATCH(Table1[[#This Row],[Key_Year_Week_Brand]],Table35[[#All],[Key_Year_Month_Brand]],0),MATCH(Table1[[#This Row],[DC_name_Xref]],Table35[#Headers],0)),0)</f>
        <v>0</v>
      </c>
    </row>
    <row r="2558" spans="1:15" x14ac:dyDescent="0.3">
      <c r="A2558" s="19" t="e">
        <f>Table1[[#This Row],[Year_Week]]&amp;"-"&amp;Table1[[#This Row],[DC_name_Xref]]</f>
        <v>#N/A</v>
      </c>
      <c r="B2558" s="19" t="str">
        <f>Table1[[#This Row],[Fiscal_Year]]*100+Table1[[#This Row],[Fiscal_Week]] &amp; "-" &amp;Table1[[#This Row],[BRAND]]</f>
        <v>0-</v>
      </c>
      <c r="C2558" s="19" t="str">
        <f>Table1[[#This Row],[Fiscal_Year]]&amp;"-"&amp;Table1[[#This Row],[BRAND]]</f>
        <v>-</v>
      </c>
      <c r="J2558" t="e">
        <f>VLOOKUP(H2558,DC_Xref!A:B,2,FALSE)</f>
        <v>#N/A</v>
      </c>
      <c r="K2558">
        <f t="shared" si="39"/>
        <v>0</v>
      </c>
      <c r="L255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8" s="3">
        <f>IFERROR(INDEX(Table3[#All],MATCH(Table1[[#This Row],[Key_Year_Week_Brand]],Table3[[#All],[Key_Year_Week_Brand]],0),MATCH(Table1[[#This Row],[DC_name_Xref]],Table3[#Headers],0)),0)</f>
        <v>0</v>
      </c>
      <c r="O2558" s="19">
        <f>IFERROR(INDEX(Table35[#All],MATCH(Table1[[#This Row],[Key_Year_Week_Brand]],Table35[[#All],[Key_Year_Month_Brand]],0),MATCH(Table1[[#This Row],[DC_name_Xref]],Table35[#Headers],0)),0)</f>
        <v>0</v>
      </c>
    </row>
    <row r="2559" spans="1:15" x14ac:dyDescent="0.3">
      <c r="A2559" s="19" t="e">
        <f>Table1[[#This Row],[Year_Week]]&amp;"-"&amp;Table1[[#This Row],[DC_name_Xref]]</f>
        <v>#N/A</v>
      </c>
      <c r="B2559" s="19" t="str">
        <f>Table1[[#This Row],[Fiscal_Year]]*100+Table1[[#This Row],[Fiscal_Week]] &amp; "-" &amp;Table1[[#This Row],[BRAND]]</f>
        <v>0-</v>
      </c>
      <c r="C2559" s="19" t="str">
        <f>Table1[[#This Row],[Fiscal_Year]]&amp;"-"&amp;Table1[[#This Row],[BRAND]]</f>
        <v>-</v>
      </c>
      <c r="J2559" t="e">
        <f>VLOOKUP(H2559,DC_Xref!A:B,2,FALSE)</f>
        <v>#N/A</v>
      </c>
      <c r="K2559">
        <f t="shared" si="39"/>
        <v>0</v>
      </c>
      <c r="L255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5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59" s="3">
        <f>IFERROR(INDEX(Table3[#All],MATCH(Table1[[#This Row],[Key_Year_Week_Brand]],Table3[[#All],[Key_Year_Week_Brand]],0),MATCH(Table1[[#This Row],[DC_name_Xref]],Table3[#Headers],0)),0)</f>
        <v>0</v>
      </c>
      <c r="O2559" s="19">
        <f>IFERROR(INDEX(Table35[#All],MATCH(Table1[[#This Row],[Key_Year_Week_Brand]],Table35[[#All],[Key_Year_Month_Brand]],0),MATCH(Table1[[#This Row],[DC_name_Xref]],Table35[#Headers],0)),0)</f>
        <v>0</v>
      </c>
    </row>
    <row r="2560" spans="1:15" x14ac:dyDescent="0.3">
      <c r="A2560" s="19" t="e">
        <f>Table1[[#This Row],[Year_Week]]&amp;"-"&amp;Table1[[#This Row],[DC_name_Xref]]</f>
        <v>#N/A</v>
      </c>
      <c r="B2560" s="19" t="str">
        <f>Table1[[#This Row],[Fiscal_Year]]*100+Table1[[#This Row],[Fiscal_Week]] &amp; "-" &amp;Table1[[#This Row],[BRAND]]</f>
        <v>0-</v>
      </c>
      <c r="C2560" s="19" t="str">
        <f>Table1[[#This Row],[Fiscal_Year]]&amp;"-"&amp;Table1[[#This Row],[BRAND]]</f>
        <v>-</v>
      </c>
      <c r="J2560" t="e">
        <f>VLOOKUP(H2560,DC_Xref!A:B,2,FALSE)</f>
        <v>#N/A</v>
      </c>
      <c r="K2560">
        <f t="shared" si="39"/>
        <v>0</v>
      </c>
      <c r="L256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0" s="3">
        <f>IFERROR(INDEX(Table3[#All],MATCH(Table1[[#This Row],[Key_Year_Week_Brand]],Table3[[#All],[Key_Year_Week_Brand]],0),MATCH(Table1[[#This Row],[DC_name_Xref]],Table3[#Headers],0)),0)</f>
        <v>0</v>
      </c>
      <c r="O2560" s="19">
        <f>IFERROR(INDEX(Table35[#All],MATCH(Table1[[#This Row],[Key_Year_Week_Brand]],Table35[[#All],[Key_Year_Month_Brand]],0),MATCH(Table1[[#This Row],[DC_name_Xref]],Table35[#Headers],0)),0)</f>
        <v>0</v>
      </c>
    </row>
    <row r="2561" spans="1:15" x14ac:dyDescent="0.3">
      <c r="A2561" s="19" t="e">
        <f>Table1[[#This Row],[Year_Week]]&amp;"-"&amp;Table1[[#This Row],[DC_name_Xref]]</f>
        <v>#N/A</v>
      </c>
      <c r="B2561" s="19" t="str">
        <f>Table1[[#This Row],[Fiscal_Year]]*100+Table1[[#This Row],[Fiscal_Week]] &amp; "-" &amp;Table1[[#This Row],[BRAND]]</f>
        <v>0-</v>
      </c>
      <c r="C2561" s="19" t="str">
        <f>Table1[[#This Row],[Fiscal_Year]]&amp;"-"&amp;Table1[[#This Row],[BRAND]]</f>
        <v>-</v>
      </c>
      <c r="J2561" t="e">
        <f>VLOOKUP(H2561,DC_Xref!A:B,2,FALSE)</f>
        <v>#N/A</v>
      </c>
      <c r="K2561">
        <f t="shared" si="39"/>
        <v>0</v>
      </c>
      <c r="L256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1" s="3">
        <f>IFERROR(INDEX(Table3[#All],MATCH(Table1[[#This Row],[Key_Year_Week_Brand]],Table3[[#All],[Key_Year_Week_Brand]],0),MATCH(Table1[[#This Row],[DC_name_Xref]],Table3[#Headers],0)),0)</f>
        <v>0</v>
      </c>
      <c r="O2561" s="19">
        <f>IFERROR(INDEX(Table35[#All],MATCH(Table1[[#This Row],[Key_Year_Week_Brand]],Table35[[#All],[Key_Year_Month_Brand]],0),MATCH(Table1[[#This Row],[DC_name_Xref]],Table35[#Headers],0)),0)</f>
        <v>0</v>
      </c>
    </row>
    <row r="2562" spans="1:15" x14ac:dyDescent="0.3">
      <c r="A2562" s="19" t="e">
        <f>Table1[[#This Row],[Year_Week]]&amp;"-"&amp;Table1[[#This Row],[DC_name_Xref]]</f>
        <v>#N/A</v>
      </c>
      <c r="B2562" s="19" t="str">
        <f>Table1[[#This Row],[Fiscal_Year]]*100+Table1[[#This Row],[Fiscal_Week]] &amp; "-" &amp;Table1[[#This Row],[BRAND]]</f>
        <v>0-</v>
      </c>
      <c r="C2562" s="19" t="str">
        <f>Table1[[#This Row],[Fiscal_Year]]&amp;"-"&amp;Table1[[#This Row],[BRAND]]</f>
        <v>-</v>
      </c>
      <c r="J2562" t="e">
        <f>VLOOKUP(H2562,DC_Xref!A:B,2,FALSE)</f>
        <v>#N/A</v>
      </c>
      <c r="K2562">
        <f t="shared" si="39"/>
        <v>0</v>
      </c>
      <c r="L256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2" s="3">
        <f>IFERROR(INDEX(Table3[#All],MATCH(Table1[[#This Row],[Key_Year_Week_Brand]],Table3[[#All],[Key_Year_Week_Brand]],0),MATCH(Table1[[#This Row],[DC_name_Xref]],Table3[#Headers],0)),0)</f>
        <v>0</v>
      </c>
      <c r="O2562" s="19">
        <f>IFERROR(INDEX(Table35[#All],MATCH(Table1[[#This Row],[Key_Year_Week_Brand]],Table35[[#All],[Key_Year_Month_Brand]],0),MATCH(Table1[[#This Row],[DC_name_Xref]],Table35[#Headers],0)),0)</f>
        <v>0</v>
      </c>
    </row>
    <row r="2563" spans="1:15" x14ac:dyDescent="0.3">
      <c r="A2563" s="19" t="e">
        <f>Table1[[#This Row],[Year_Week]]&amp;"-"&amp;Table1[[#This Row],[DC_name_Xref]]</f>
        <v>#N/A</v>
      </c>
      <c r="B2563" s="19" t="str">
        <f>Table1[[#This Row],[Fiscal_Year]]*100+Table1[[#This Row],[Fiscal_Week]] &amp; "-" &amp;Table1[[#This Row],[BRAND]]</f>
        <v>0-</v>
      </c>
      <c r="C2563" s="19" t="str">
        <f>Table1[[#This Row],[Fiscal_Year]]&amp;"-"&amp;Table1[[#This Row],[BRAND]]</f>
        <v>-</v>
      </c>
      <c r="J2563" t="e">
        <f>VLOOKUP(H2563,DC_Xref!A:B,2,FALSE)</f>
        <v>#N/A</v>
      </c>
      <c r="K2563">
        <f t="shared" si="39"/>
        <v>0</v>
      </c>
      <c r="L256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3" s="3">
        <f>IFERROR(INDEX(Table3[#All],MATCH(Table1[[#This Row],[Key_Year_Week_Brand]],Table3[[#All],[Key_Year_Week_Brand]],0),MATCH(Table1[[#This Row],[DC_name_Xref]],Table3[#Headers],0)),0)</f>
        <v>0</v>
      </c>
      <c r="O2563" s="19">
        <f>IFERROR(INDEX(Table35[#All],MATCH(Table1[[#This Row],[Key_Year_Week_Brand]],Table35[[#All],[Key_Year_Month_Brand]],0),MATCH(Table1[[#This Row],[DC_name_Xref]],Table35[#Headers],0)),0)</f>
        <v>0</v>
      </c>
    </row>
    <row r="2564" spans="1:15" x14ac:dyDescent="0.3">
      <c r="A2564" s="19" t="e">
        <f>Table1[[#This Row],[Year_Week]]&amp;"-"&amp;Table1[[#This Row],[DC_name_Xref]]</f>
        <v>#N/A</v>
      </c>
      <c r="B2564" s="19" t="str">
        <f>Table1[[#This Row],[Fiscal_Year]]*100+Table1[[#This Row],[Fiscal_Week]] &amp; "-" &amp;Table1[[#This Row],[BRAND]]</f>
        <v>0-</v>
      </c>
      <c r="C2564" s="19" t="str">
        <f>Table1[[#This Row],[Fiscal_Year]]&amp;"-"&amp;Table1[[#This Row],[BRAND]]</f>
        <v>-</v>
      </c>
      <c r="J2564" t="e">
        <f>VLOOKUP(H2564,DC_Xref!A:B,2,FALSE)</f>
        <v>#N/A</v>
      </c>
      <c r="K2564">
        <f t="shared" si="39"/>
        <v>0</v>
      </c>
      <c r="L256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4" s="3">
        <f>IFERROR(INDEX(Table3[#All],MATCH(Table1[[#This Row],[Key_Year_Week_Brand]],Table3[[#All],[Key_Year_Week_Brand]],0),MATCH(Table1[[#This Row],[DC_name_Xref]],Table3[#Headers],0)),0)</f>
        <v>0</v>
      </c>
      <c r="O2564" s="19">
        <f>IFERROR(INDEX(Table35[#All],MATCH(Table1[[#This Row],[Key_Year_Week_Brand]],Table35[[#All],[Key_Year_Month_Brand]],0),MATCH(Table1[[#This Row],[DC_name_Xref]],Table35[#Headers],0)),0)</f>
        <v>0</v>
      </c>
    </row>
    <row r="2565" spans="1:15" x14ac:dyDescent="0.3">
      <c r="A2565" s="19" t="e">
        <f>Table1[[#This Row],[Year_Week]]&amp;"-"&amp;Table1[[#This Row],[DC_name_Xref]]</f>
        <v>#N/A</v>
      </c>
      <c r="B2565" s="19" t="str">
        <f>Table1[[#This Row],[Fiscal_Year]]*100+Table1[[#This Row],[Fiscal_Week]] &amp; "-" &amp;Table1[[#This Row],[BRAND]]</f>
        <v>0-</v>
      </c>
      <c r="C2565" s="19" t="str">
        <f>Table1[[#This Row],[Fiscal_Year]]&amp;"-"&amp;Table1[[#This Row],[BRAND]]</f>
        <v>-</v>
      </c>
      <c r="J2565" t="e">
        <f>VLOOKUP(H2565,DC_Xref!A:B,2,FALSE)</f>
        <v>#N/A</v>
      </c>
      <c r="K2565">
        <f t="shared" si="39"/>
        <v>0</v>
      </c>
      <c r="L256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5" s="3">
        <f>IFERROR(INDEX(Table3[#All],MATCH(Table1[[#This Row],[Key_Year_Week_Brand]],Table3[[#All],[Key_Year_Week_Brand]],0),MATCH(Table1[[#This Row],[DC_name_Xref]],Table3[#Headers],0)),0)</f>
        <v>0</v>
      </c>
      <c r="O2565" s="19">
        <f>IFERROR(INDEX(Table35[#All],MATCH(Table1[[#This Row],[Key_Year_Week_Brand]],Table35[[#All],[Key_Year_Month_Brand]],0),MATCH(Table1[[#This Row],[DC_name_Xref]],Table35[#Headers],0)),0)</f>
        <v>0</v>
      </c>
    </row>
    <row r="2566" spans="1:15" x14ac:dyDescent="0.3">
      <c r="A2566" s="19" t="e">
        <f>Table1[[#This Row],[Year_Week]]&amp;"-"&amp;Table1[[#This Row],[DC_name_Xref]]</f>
        <v>#N/A</v>
      </c>
      <c r="B2566" s="19" t="str">
        <f>Table1[[#This Row],[Fiscal_Year]]*100+Table1[[#This Row],[Fiscal_Week]] &amp; "-" &amp;Table1[[#This Row],[BRAND]]</f>
        <v>0-</v>
      </c>
      <c r="C2566" s="19" t="str">
        <f>Table1[[#This Row],[Fiscal_Year]]&amp;"-"&amp;Table1[[#This Row],[BRAND]]</f>
        <v>-</v>
      </c>
      <c r="J2566" t="e">
        <f>VLOOKUP(H2566,DC_Xref!A:B,2,FALSE)</f>
        <v>#N/A</v>
      </c>
      <c r="K2566">
        <f t="shared" ref="K2566:K2593" si="40">D2566*100+E2566</f>
        <v>0</v>
      </c>
      <c r="L256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6" s="3">
        <f>IFERROR(INDEX(Table3[#All],MATCH(Table1[[#This Row],[Key_Year_Week_Brand]],Table3[[#All],[Key_Year_Week_Brand]],0),MATCH(Table1[[#This Row],[DC_name_Xref]],Table3[#Headers],0)),0)</f>
        <v>0</v>
      </c>
      <c r="O2566" s="19">
        <f>IFERROR(INDEX(Table35[#All],MATCH(Table1[[#This Row],[Key_Year_Week_Brand]],Table35[[#All],[Key_Year_Month_Brand]],0),MATCH(Table1[[#This Row],[DC_name_Xref]],Table35[#Headers],0)),0)</f>
        <v>0</v>
      </c>
    </row>
    <row r="2567" spans="1:15" x14ac:dyDescent="0.3">
      <c r="A2567" s="19" t="e">
        <f>Table1[[#This Row],[Year_Week]]&amp;"-"&amp;Table1[[#This Row],[DC_name_Xref]]</f>
        <v>#N/A</v>
      </c>
      <c r="B2567" s="19" t="str">
        <f>Table1[[#This Row],[Fiscal_Year]]*100+Table1[[#This Row],[Fiscal_Week]] &amp; "-" &amp;Table1[[#This Row],[BRAND]]</f>
        <v>0-</v>
      </c>
      <c r="C2567" s="19" t="str">
        <f>Table1[[#This Row],[Fiscal_Year]]&amp;"-"&amp;Table1[[#This Row],[BRAND]]</f>
        <v>-</v>
      </c>
      <c r="J2567" t="e">
        <f>VLOOKUP(H2567,DC_Xref!A:B,2,FALSE)</f>
        <v>#N/A</v>
      </c>
      <c r="K2567">
        <f t="shared" si="40"/>
        <v>0</v>
      </c>
      <c r="L256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7" s="3">
        <f>IFERROR(INDEX(Table3[#All],MATCH(Table1[[#This Row],[Key_Year_Week_Brand]],Table3[[#All],[Key_Year_Week_Brand]],0),MATCH(Table1[[#This Row],[DC_name_Xref]],Table3[#Headers],0)),0)</f>
        <v>0</v>
      </c>
      <c r="O2567" s="19">
        <f>IFERROR(INDEX(Table35[#All],MATCH(Table1[[#This Row],[Key_Year_Week_Brand]],Table35[[#All],[Key_Year_Month_Brand]],0),MATCH(Table1[[#This Row],[DC_name_Xref]],Table35[#Headers],0)),0)</f>
        <v>0</v>
      </c>
    </row>
    <row r="2568" spans="1:15" x14ac:dyDescent="0.3">
      <c r="A2568" s="19" t="e">
        <f>Table1[[#This Row],[Year_Week]]&amp;"-"&amp;Table1[[#This Row],[DC_name_Xref]]</f>
        <v>#N/A</v>
      </c>
      <c r="B2568" s="19" t="str">
        <f>Table1[[#This Row],[Fiscal_Year]]*100+Table1[[#This Row],[Fiscal_Week]] &amp; "-" &amp;Table1[[#This Row],[BRAND]]</f>
        <v>0-</v>
      </c>
      <c r="C2568" s="19" t="str">
        <f>Table1[[#This Row],[Fiscal_Year]]&amp;"-"&amp;Table1[[#This Row],[BRAND]]</f>
        <v>-</v>
      </c>
      <c r="J2568" t="e">
        <f>VLOOKUP(H2568,DC_Xref!A:B,2,FALSE)</f>
        <v>#N/A</v>
      </c>
      <c r="K2568">
        <f t="shared" si="40"/>
        <v>0</v>
      </c>
      <c r="L256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8" s="3">
        <f>IFERROR(INDEX(Table3[#All],MATCH(Table1[[#This Row],[Key_Year_Week_Brand]],Table3[[#All],[Key_Year_Week_Brand]],0),MATCH(Table1[[#This Row],[DC_name_Xref]],Table3[#Headers],0)),0)</f>
        <v>0</v>
      </c>
      <c r="O2568" s="19">
        <f>IFERROR(INDEX(Table35[#All],MATCH(Table1[[#This Row],[Key_Year_Week_Brand]],Table35[[#All],[Key_Year_Month_Brand]],0),MATCH(Table1[[#This Row],[DC_name_Xref]],Table35[#Headers],0)),0)</f>
        <v>0</v>
      </c>
    </row>
    <row r="2569" spans="1:15" x14ac:dyDescent="0.3">
      <c r="A2569" s="19" t="e">
        <f>Table1[[#This Row],[Year_Week]]&amp;"-"&amp;Table1[[#This Row],[DC_name_Xref]]</f>
        <v>#N/A</v>
      </c>
      <c r="B2569" s="19" t="str">
        <f>Table1[[#This Row],[Fiscal_Year]]*100+Table1[[#This Row],[Fiscal_Week]] &amp; "-" &amp;Table1[[#This Row],[BRAND]]</f>
        <v>0-</v>
      </c>
      <c r="C2569" s="19" t="str">
        <f>Table1[[#This Row],[Fiscal_Year]]&amp;"-"&amp;Table1[[#This Row],[BRAND]]</f>
        <v>-</v>
      </c>
      <c r="J2569" t="e">
        <f>VLOOKUP(H2569,DC_Xref!A:B,2,FALSE)</f>
        <v>#N/A</v>
      </c>
      <c r="K2569">
        <f t="shared" si="40"/>
        <v>0</v>
      </c>
      <c r="L256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6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69" s="3">
        <f>IFERROR(INDEX(Table3[#All],MATCH(Table1[[#This Row],[Key_Year_Week_Brand]],Table3[[#All],[Key_Year_Week_Brand]],0),MATCH(Table1[[#This Row],[DC_name_Xref]],Table3[#Headers],0)),0)</f>
        <v>0</v>
      </c>
      <c r="O2569" s="19">
        <f>IFERROR(INDEX(Table35[#All],MATCH(Table1[[#This Row],[Key_Year_Week_Brand]],Table35[[#All],[Key_Year_Month_Brand]],0),MATCH(Table1[[#This Row],[DC_name_Xref]],Table35[#Headers],0)),0)</f>
        <v>0</v>
      </c>
    </row>
    <row r="2570" spans="1:15" x14ac:dyDescent="0.3">
      <c r="A2570" s="19" t="e">
        <f>Table1[[#This Row],[Year_Week]]&amp;"-"&amp;Table1[[#This Row],[DC_name_Xref]]</f>
        <v>#N/A</v>
      </c>
      <c r="B2570" s="19" t="str">
        <f>Table1[[#This Row],[Fiscal_Year]]*100+Table1[[#This Row],[Fiscal_Week]] &amp; "-" &amp;Table1[[#This Row],[BRAND]]</f>
        <v>0-</v>
      </c>
      <c r="C2570" s="19" t="str">
        <f>Table1[[#This Row],[Fiscal_Year]]&amp;"-"&amp;Table1[[#This Row],[BRAND]]</f>
        <v>-</v>
      </c>
      <c r="J2570" t="e">
        <f>VLOOKUP(H2570,DC_Xref!A:B,2,FALSE)</f>
        <v>#N/A</v>
      </c>
      <c r="K2570">
        <f t="shared" si="40"/>
        <v>0</v>
      </c>
      <c r="L257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0" s="3">
        <f>IFERROR(INDEX(Table3[#All],MATCH(Table1[[#This Row],[Key_Year_Week_Brand]],Table3[[#All],[Key_Year_Week_Brand]],0),MATCH(Table1[[#This Row],[DC_name_Xref]],Table3[#Headers],0)),0)</f>
        <v>0</v>
      </c>
      <c r="O2570" s="19">
        <f>IFERROR(INDEX(Table35[#All],MATCH(Table1[[#This Row],[Key_Year_Week_Brand]],Table35[[#All],[Key_Year_Month_Brand]],0),MATCH(Table1[[#This Row],[DC_name_Xref]],Table35[#Headers],0)),0)</f>
        <v>0</v>
      </c>
    </row>
    <row r="2571" spans="1:15" x14ac:dyDescent="0.3">
      <c r="A2571" s="19" t="e">
        <f>Table1[[#This Row],[Year_Week]]&amp;"-"&amp;Table1[[#This Row],[DC_name_Xref]]</f>
        <v>#N/A</v>
      </c>
      <c r="B2571" s="19" t="str">
        <f>Table1[[#This Row],[Fiscal_Year]]*100+Table1[[#This Row],[Fiscal_Week]] &amp; "-" &amp;Table1[[#This Row],[BRAND]]</f>
        <v>0-</v>
      </c>
      <c r="C2571" s="19" t="str">
        <f>Table1[[#This Row],[Fiscal_Year]]&amp;"-"&amp;Table1[[#This Row],[BRAND]]</f>
        <v>-</v>
      </c>
      <c r="J2571" t="e">
        <f>VLOOKUP(H2571,DC_Xref!A:B,2,FALSE)</f>
        <v>#N/A</v>
      </c>
      <c r="K2571">
        <f t="shared" si="40"/>
        <v>0</v>
      </c>
      <c r="L257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1" s="3">
        <f>IFERROR(INDEX(Table3[#All],MATCH(Table1[[#This Row],[Key_Year_Week_Brand]],Table3[[#All],[Key_Year_Week_Brand]],0),MATCH(Table1[[#This Row],[DC_name_Xref]],Table3[#Headers],0)),0)</f>
        <v>0</v>
      </c>
      <c r="O2571" s="19">
        <f>IFERROR(INDEX(Table35[#All],MATCH(Table1[[#This Row],[Key_Year_Week_Brand]],Table35[[#All],[Key_Year_Month_Brand]],0),MATCH(Table1[[#This Row],[DC_name_Xref]],Table35[#Headers],0)),0)</f>
        <v>0</v>
      </c>
    </row>
    <row r="2572" spans="1:15" x14ac:dyDescent="0.3">
      <c r="A2572" s="19" t="e">
        <f>Table1[[#This Row],[Year_Week]]&amp;"-"&amp;Table1[[#This Row],[DC_name_Xref]]</f>
        <v>#N/A</v>
      </c>
      <c r="B2572" s="19" t="str">
        <f>Table1[[#This Row],[Fiscal_Year]]*100+Table1[[#This Row],[Fiscal_Week]] &amp; "-" &amp;Table1[[#This Row],[BRAND]]</f>
        <v>0-</v>
      </c>
      <c r="C2572" s="19" t="str">
        <f>Table1[[#This Row],[Fiscal_Year]]&amp;"-"&amp;Table1[[#This Row],[BRAND]]</f>
        <v>-</v>
      </c>
      <c r="J2572" t="e">
        <f>VLOOKUP(H2572,DC_Xref!A:B,2,FALSE)</f>
        <v>#N/A</v>
      </c>
      <c r="K2572">
        <f t="shared" si="40"/>
        <v>0</v>
      </c>
      <c r="L257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2" s="3">
        <f>IFERROR(INDEX(Table3[#All],MATCH(Table1[[#This Row],[Key_Year_Week_Brand]],Table3[[#All],[Key_Year_Week_Brand]],0),MATCH(Table1[[#This Row],[DC_name_Xref]],Table3[#Headers],0)),0)</f>
        <v>0</v>
      </c>
      <c r="O2572" s="19">
        <f>IFERROR(INDEX(Table35[#All],MATCH(Table1[[#This Row],[Key_Year_Week_Brand]],Table35[[#All],[Key_Year_Month_Brand]],0),MATCH(Table1[[#This Row],[DC_name_Xref]],Table35[#Headers],0)),0)</f>
        <v>0</v>
      </c>
    </row>
    <row r="2573" spans="1:15" x14ac:dyDescent="0.3">
      <c r="A2573" s="19" t="e">
        <f>Table1[[#This Row],[Year_Week]]&amp;"-"&amp;Table1[[#This Row],[DC_name_Xref]]</f>
        <v>#N/A</v>
      </c>
      <c r="B2573" s="19" t="str">
        <f>Table1[[#This Row],[Fiscal_Year]]*100+Table1[[#This Row],[Fiscal_Week]] &amp; "-" &amp;Table1[[#This Row],[BRAND]]</f>
        <v>0-</v>
      </c>
      <c r="C2573" s="19" t="str">
        <f>Table1[[#This Row],[Fiscal_Year]]&amp;"-"&amp;Table1[[#This Row],[BRAND]]</f>
        <v>-</v>
      </c>
      <c r="J2573" t="e">
        <f>VLOOKUP(H2573,DC_Xref!A:B,2,FALSE)</f>
        <v>#N/A</v>
      </c>
      <c r="K2573">
        <f t="shared" si="40"/>
        <v>0</v>
      </c>
      <c r="L257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3" s="3">
        <f>IFERROR(INDEX(Table3[#All],MATCH(Table1[[#This Row],[Key_Year_Week_Brand]],Table3[[#All],[Key_Year_Week_Brand]],0),MATCH(Table1[[#This Row],[DC_name_Xref]],Table3[#Headers],0)),0)</f>
        <v>0</v>
      </c>
      <c r="O2573" s="19">
        <f>IFERROR(INDEX(Table35[#All],MATCH(Table1[[#This Row],[Key_Year_Week_Brand]],Table35[[#All],[Key_Year_Month_Brand]],0),MATCH(Table1[[#This Row],[DC_name_Xref]],Table35[#Headers],0)),0)</f>
        <v>0</v>
      </c>
    </row>
    <row r="2574" spans="1:15" x14ac:dyDescent="0.3">
      <c r="A2574" s="19" t="e">
        <f>Table1[[#This Row],[Year_Week]]&amp;"-"&amp;Table1[[#This Row],[DC_name_Xref]]</f>
        <v>#N/A</v>
      </c>
      <c r="B2574" s="19" t="str">
        <f>Table1[[#This Row],[Fiscal_Year]]*100+Table1[[#This Row],[Fiscal_Week]] &amp; "-" &amp;Table1[[#This Row],[BRAND]]</f>
        <v>0-</v>
      </c>
      <c r="C2574" s="19" t="str">
        <f>Table1[[#This Row],[Fiscal_Year]]&amp;"-"&amp;Table1[[#This Row],[BRAND]]</f>
        <v>-</v>
      </c>
      <c r="J2574" t="e">
        <f>VLOOKUP(H2574,DC_Xref!A:B,2,FALSE)</f>
        <v>#N/A</v>
      </c>
      <c r="K2574">
        <f t="shared" si="40"/>
        <v>0</v>
      </c>
      <c r="L257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4" s="3">
        <f>IFERROR(INDEX(Table3[#All],MATCH(Table1[[#This Row],[Key_Year_Week_Brand]],Table3[[#All],[Key_Year_Week_Brand]],0),MATCH(Table1[[#This Row],[DC_name_Xref]],Table3[#Headers],0)),0)</f>
        <v>0</v>
      </c>
      <c r="O2574" s="19">
        <f>IFERROR(INDEX(Table35[#All],MATCH(Table1[[#This Row],[Key_Year_Week_Brand]],Table35[[#All],[Key_Year_Month_Brand]],0),MATCH(Table1[[#This Row],[DC_name_Xref]],Table35[#Headers],0)),0)</f>
        <v>0</v>
      </c>
    </row>
    <row r="2575" spans="1:15" x14ac:dyDescent="0.3">
      <c r="A2575" s="19" t="e">
        <f>Table1[[#This Row],[Year_Week]]&amp;"-"&amp;Table1[[#This Row],[DC_name_Xref]]</f>
        <v>#N/A</v>
      </c>
      <c r="B2575" s="19" t="str">
        <f>Table1[[#This Row],[Fiscal_Year]]*100+Table1[[#This Row],[Fiscal_Week]] &amp; "-" &amp;Table1[[#This Row],[BRAND]]</f>
        <v>0-</v>
      </c>
      <c r="C2575" s="19" t="str">
        <f>Table1[[#This Row],[Fiscal_Year]]&amp;"-"&amp;Table1[[#This Row],[BRAND]]</f>
        <v>-</v>
      </c>
      <c r="J2575" t="e">
        <f>VLOOKUP(H2575,DC_Xref!A:B,2,FALSE)</f>
        <v>#N/A</v>
      </c>
      <c r="K2575">
        <f t="shared" si="40"/>
        <v>0</v>
      </c>
      <c r="L257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5" s="3">
        <f>IFERROR(INDEX(Table3[#All],MATCH(Table1[[#This Row],[Key_Year_Week_Brand]],Table3[[#All],[Key_Year_Week_Brand]],0),MATCH(Table1[[#This Row],[DC_name_Xref]],Table3[#Headers],0)),0)</f>
        <v>0</v>
      </c>
      <c r="O2575" s="19">
        <f>IFERROR(INDEX(Table35[#All],MATCH(Table1[[#This Row],[Key_Year_Week_Brand]],Table35[[#All],[Key_Year_Month_Brand]],0),MATCH(Table1[[#This Row],[DC_name_Xref]],Table35[#Headers],0)),0)</f>
        <v>0</v>
      </c>
    </row>
    <row r="2576" spans="1:15" x14ac:dyDescent="0.3">
      <c r="A2576" s="19" t="e">
        <f>Table1[[#This Row],[Year_Week]]&amp;"-"&amp;Table1[[#This Row],[DC_name_Xref]]</f>
        <v>#N/A</v>
      </c>
      <c r="B2576" s="19" t="str">
        <f>Table1[[#This Row],[Fiscal_Year]]*100+Table1[[#This Row],[Fiscal_Week]] &amp; "-" &amp;Table1[[#This Row],[BRAND]]</f>
        <v>0-</v>
      </c>
      <c r="C2576" s="19" t="str">
        <f>Table1[[#This Row],[Fiscal_Year]]&amp;"-"&amp;Table1[[#This Row],[BRAND]]</f>
        <v>-</v>
      </c>
      <c r="J2576" t="e">
        <f>VLOOKUP(H2576,DC_Xref!A:B,2,FALSE)</f>
        <v>#N/A</v>
      </c>
      <c r="K2576">
        <f t="shared" si="40"/>
        <v>0</v>
      </c>
      <c r="L257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6" s="3">
        <f>IFERROR(INDEX(Table3[#All],MATCH(Table1[[#This Row],[Key_Year_Week_Brand]],Table3[[#All],[Key_Year_Week_Brand]],0),MATCH(Table1[[#This Row],[DC_name_Xref]],Table3[#Headers],0)),0)</f>
        <v>0</v>
      </c>
      <c r="O2576" s="19">
        <f>IFERROR(INDEX(Table35[#All],MATCH(Table1[[#This Row],[Key_Year_Week_Brand]],Table35[[#All],[Key_Year_Month_Brand]],0),MATCH(Table1[[#This Row],[DC_name_Xref]],Table35[#Headers],0)),0)</f>
        <v>0</v>
      </c>
    </row>
    <row r="2577" spans="1:15" x14ac:dyDescent="0.3">
      <c r="A2577" s="19" t="e">
        <f>Table1[[#This Row],[Year_Week]]&amp;"-"&amp;Table1[[#This Row],[DC_name_Xref]]</f>
        <v>#N/A</v>
      </c>
      <c r="B2577" s="19" t="str">
        <f>Table1[[#This Row],[Fiscal_Year]]*100+Table1[[#This Row],[Fiscal_Week]] &amp; "-" &amp;Table1[[#This Row],[BRAND]]</f>
        <v>0-</v>
      </c>
      <c r="C2577" s="19" t="str">
        <f>Table1[[#This Row],[Fiscal_Year]]&amp;"-"&amp;Table1[[#This Row],[BRAND]]</f>
        <v>-</v>
      </c>
      <c r="J2577" t="e">
        <f>VLOOKUP(H2577,DC_Xref!A:B,2,FALSE)</f>
        <v>#N/A</v>
      </c>
      <c r="K2577">
        <f t="shared" si="40"/>
        <v>0</v>
      </c>
      <c r="L257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7" s="3">
        <f>IFERROR(INDEX(Table3[#All],MATCH(Table1[[#This Row],[Key_Year_Week_Brand]],Table3[[#All],[Key_Year_Week_Brand]],0),MATCH(Table1[[#This Row],[DC_name_Xref]],Table3[#Headers],0)),0)</f>
        <v>0</v>
      </c>
      <c r="O2577" s="19">
        <f>IFERROR(INDEX(Table35[#All],MATCH(Table1[[#This Row],[Key_Year_Week_Brand]],Table35[[#All],[Key_Year_Month_Brand]],0),MATCH(Table1[[#This Row],[DC_name_Xref]],Table35[#Headers],0)),0)</f>
        <v>0</v>
      </c>
    </row>
    <row r="2578" spans="1:15" x14ac:dyDescent="0.3">
      <c r="A2578" s="19" t="e">
        <f>Table1[[#This Row],[Year_Week]]&amp;"-"&amp;Table1[[#This Row],[DC_name_Xref]]</f>
        <v>#N/A</v>
      </c>
      <c r="B2578" s="19" t="str">
        <f>Table1[[#This Row],[Fiscal_Year]]*100+Table1[[#This Row],[Fiscal_Week]] &amp; "-" &amp;Table1[[#This Row],[BRAND]]</f>
        <v>0-</v>
      </c>
      <c r="C2578" s="19" t="str">
        <f>Table1[[#This Row],[Fiscal_Year]]&amp;"-"&amp;Table1[[#This Row],[BRAND]]</f>
        <v>-</v>
      </c>
      <c r="J2578" t="e">
        <f>VLOOKUP(H2578,DC_Xref!A:B,2,FALSE)</f>
        <v>#N/A</v>
      </c>
      <c r="K2578">
        <f t="shared" si="40"/>
        <v>0</v>
      </c>
      <c r="L257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8" s="3">
        <f>IFERROR(INDEX(Table3[#All],MATCH(Table1[[#This Row],[Key_Year_Week_Brand]],Table3[[#All],[Key_Year_Week_Brand]],0),MATCH(Table1[[#This Row],[DC_name_Xref]],Table3[#Headers],0)),0)</f>
        <v>0</v>
      </c>
      <c r="O2578" s="19">
        <f>IFERROR(INDEX(Table35[#All],MATCH(Table1[[#This Row],[Key_Year_Week_Brand]],Table35[[#All],[Key_Year_Month_Brand]],0),MATCH(Table1[[#This Row],[DC_name_Xref]],Table35[#Headers],0)),0)</f>
        <v>0</v>
      </c>
    </row>
    <row r="2579" spans="1:15" x14ac:dyDescent="0.3">
      <c r="A2579" s="19" t="e">
        <f>Table1[[#This Row],[Year_Week]]&amp;"-"&amp;Table1[[#This Row],[DC_name_Xref]]</f>
        <v>#N/A</v>
      </c>
      <c r="B2579" s="19" t="str">
        <f>Table1[[#This Row],[Fiscal_Year]]*100+Table1[[#This Row],[Fiscal_Week]] &amp; "-" &amp;Table1[[#This Row],[BRAND]]</f>
        <v>0-</v>
      </c>
      <c r="C2579" s="19" t="str">
        <f>Table1[[#This Row],[Fiscal_Year]]&amp;"-"&amp;Table1[[#This Row],[BRAND]]</f>
        <v>-</v>
      </c>
      <c r="J2579" t="e">
        <f>VLOOKUP(H2579,DC_Xref!A:B,2,FALSE)</f>
        <v>#N/A</v>
      </c>
      <c r="K2579">
        <f t="shared" si="40"/>
        <v>0</v>
      </c>
      <c r="L257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7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79" s="3">
        <f>IFERROR(INDEX(Table3[#All],MATCH(Table1[[#This Row],[Key_Year_Week_Brand]],Table3[[#All],[Key_Year_Week_Brand]],0),MATCH(Table1[[#This Row],[DC_name_Xref]],Table3[#Headers],0)),0)</f>
        <v>0</v>
      </c>
      <c r="O2579" s="19">
        <f>IFERROR(INDEX(Table35[#All],MATCH(Table1[[#This Row],[Key_Year_Week_Brand]],Table35[[#All],[Key_Year_Month_Brand]],0),MATCH(Table1[[#This Row],[DC_name_Xref]],Table35[#Headers],0)),0)</f>
        <v>0</v>
      </c>
    </row>
    <row r="2580" spans="1:15" x14ac:dyDescent="0.3">
      <c r="A2580" s="19" t="e">
        <f>Table1[[#This Row],[Year_Week]]&amp;"-"&amp;Table1[[#This Row],[DC_name_Xref]]</f>
        <v>#N/A</v>
      </c>
      <c r="B2580" s="19" t="str">
        <f>Table1[[#This Row],[Fiscal_Year]]*100+Table1[[#This Row],[Fiscal_Week]] &amp; "-" &amp;Table1[[#This Row],[BRAND]]</f>
        <v>0-</v>
      </c>
      <c r="C2580" s="19" t="str">
        <f>Table1[[#This Row],[Fiscal_Year]]&amp;"-"&amp;Table1[[#This Row],[BRAND]]</f>
        <v>-</v>
      </c>
      <c r="J2580" t="e">
        <f>VLOOKUP(H2580,DC_Xref!A:B,2,FALSE)</f>
        <v>#N/A</v>
      </c>
      <c r="K2580">
        <f t="shared" si="40"/>
        <v>0</v>
      </c>
      <c r="L258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0" s="3">
        <f>IFERROR(INDEX(Table3[#All],MATCH(Table1[[#This Row],[Key_Year_Week_Brand]],Table3[[#All],[Key_Year_Week_Brand]],0),MATCH(Table1[[#This Row],[DC_name_Xref]],Table3[#Headers],0)),0)</f>
        <v>0</v>
      </c>
      <c r="O2580" s="19">
        <f>IFERROR(INDEX(Table35[#All],MATCH(Table1[[#This Row],[Key_Year_Week_Brand]],Table35[[#All],[Key_Year_Month_Brand]],0),MATCH(Table1[[#This Row],[DC_name_Xref]],Table35[#Headers],0)),0)</f>
        <v>0</v>
      </c>
    </row>
    <row r="2581" spans="1:15" x14ac:dyDescent="0.3">
      <c r="A2581" s="19" t="e">
        <f>Table1[[#This Row],[Year_Week]]&amp;"-"&amp;Table1[[#This Row],[DC_name_Xref]]</f>
        <v>#N/A</v>
      </c>
      <c r="B2581" s="19" t="str">
        <f>Table1[[#This Row],[Fiscal_Year]]*100+Table1[[#This Row],[Fiscal_Week]] &amp; "-" &amp;Table1[[#This Row],[BRAND]]</f>
        <v>0-</v>
      </c>
      <c r="C2581" s="19" t="str">
        <f>Table1[[#This Row],[Fiscal_Year]]&amp;"-"&amp;Table1[[#This Row],[BRAND]]</f>
        <v>-</v>
      </c>
      <c r="J2581" t="e">
        <f>VLOOKUP(H2581,DC_Xref!A:B,2,FALSE)</f>
        <v>#N/A</v>
      </c>
      <c r="K2581">
        <f t="shared" si="40"/>
        <v>0</v>
      </c>
      <c r="L258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1" s="3">
        <f>IFERROR(INDEX(Table3[#All],MATCH(Table1[[#This Row],[Key_Year_Week_Brand]],Table3[[#All],[Key_Year_Week_Brand]],0),MATCH(Table1[[#This Row],[DC_name_Xref]],Table3[#Headers],0)),0)</f>
        <v>0</v>
      </c>
      <c r="O2581" s="19">
        <f>IFERROR(INDEX(Table35[#All],MATCH(Table1[[#This Row],[Key_Year_Week_Brand]],Table35[[#All],[Key_Year_Month_Brand]],0),MATCH(Table1[[#This Row],[DC_name_Xref]],Table35[#Headers],0)),0)</f>
        <v>0</v>
      </c>
    </row>
    <row r="2582" spans="1:15" x14ac:dyDescent="0.3">
      <c r="A2582" s="19" t="e">
        <f>Table1[[#This Row],[Year_Week]]&amp;"-"&amp;Table1[[#This Row],[DC_name_Xref]]</f>
        <v>#N/A</v>
      </c>
      <c r="B2582" s="19" t="str">
        <f>Table1[[#This Row],[Fiscal_Year]]*100+Table1[[#This Row],[Fiscal_Week]] &amp; "-" &amp;Table1[[#This Row],[BRAND]]</f>
        <v>0-</v>
      </c>
      <c r="C2582" s="19" t="str">
        <f>Table1[[#This Row],[Fiscal_Year]]&amp;"-"&amp;Table1[[#This Row],[BRAND]]</f>
        <v>-</v>
      </c>
      <c r="J2582" t="e">
        <f>VLOOKUP(H2582,DC_Xref!A:B,2,FALSE)</f>
        <v>#N/A</v>
      </c>
      <c r="K2582">
        <f t="shared" si="40"/>
        <v>0</v>
      </c>
      <c r="L258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2" s="3">
        <f>IFERROR(INDEX(Table3[#All],MATCH(Table1[[#This Row],[Key_Year_Week_Brand]],Table3[[#All],[Key_Year_Week_Brand]],0),MATCH(Table1[[#This Row],[DC_name_Xref]],Table3[#Headers],0)),0)</f>
        <v>0</v>
      </c>
      <c r="O2582" s="19">
        <f>IFERROR(INDEX(Table35[#All],MATCH(Table1[[#This Row],[Key_Year_Week_Brand]],Table35[[#All],[Key_Year_Month_Brand]],0),MATCH(Table1[[#This Row],[DC_name_Xref]],Table35[#Headers],0)),0)</f>
        <v>0</v>
      </c>
    </row>
    <row r="2583" spans="1:15" x14ac:dyDescent="0.3">
      <c r="A2583" s="19" t="e">
        <f>Table1[[#This Row],[Year_Week]]&amp;"-"&amp;Table1[[#This Row],[DC_name_Xref]]</f>
        <v>#N/A</v>
      </c>
      <c r="B2583" s="19" t="str">
        <f>Table1[[#This Row],[Fiscal_Year]]*100+Table1[[#This Row],[Fiscal_Week]] &amp; "-" &amp;Table1[[#This Row],[BRAND]]</f>
        <v>0-</v>
      </c>
      <c r="C2583" s="19" t="str">
        <f>Table1[[#This Row],[Fiscal_Year]]&amp;"-"&amp;Table1[[#This Row],[BRAND]]</f>
        <v>-</v>
      </c>
      <c r="J2583" t="e">
        <f>VLOOKUP(H2583,DC_Xref!A:B,2,FALSE)</f>
        <v>#N/A</v>
      </c>
      <c r="K2583">
        <f t="shared" si="40"/>
        <v>0</v>
      </c>
      <c r="L258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3" s="3">
        <f>IFERROR(INDEX(Table3[#All],MATCH(Table1[[#This Row],[Key_Year_Week_Brand]],Table3[[#All],[Key_Year_Week_Brand]],0),MATCH(Table1[[#This Row],[DC_name_Xref]],Table3[#Headers],0)),0)</f>
        <v>0</v>
      </c>
      <c r="O2583" s="19">
        <f>IFERROR(INDEX(Table35[#All],MATCH(Table1[[#This Row],[Key_Year_Week_Brand]],Table35[[#All],[Key_Year_Month_Brand]],0),MATCH(Table1[[#This Row],[DC_name_Xref]],Table35[#Headers],0)),0)</f>
        <v>0</v>
      </c>
    </row>
    <row r="2584" spans="1:15" x14ac:dyDescent="0.3">
      <c r="A2584" s="19" t="e">
        <f>Table1[[#This Row],[Year_Week]]&amp;"-"&amp;Table1[[#This Row],[DC_name_Xref]]</f>
        <v>#N/A</v>
      </c>
      <c r="B2584" s="19" t="str">
        <f>Table1[[#This Row],[Fiscal_Year]]*100+Table1[[#This Row],[Fiscal_Week]] &amp; "-" &amp;Table1[[#This Row],[BRAND]]</f>
        <v>0-</v>
      </c>
      <c r="C2584" s="19" t="str">
        <f>Table1[[#This Row],[Fiscal_Year]]&amp;"-"&amp;Table1[[#This Row],[BRAND]]</f>
        <v>-</v>
      </c>
      <c r="J2584" t="e">
        <f>VLOOKUP(H2584,DC_Xref!A:B,2,FALSE)</f>
        <v>#N/A</v>
      </c>
      <c r="K2584">
        <f t="shared" si="40"/>
        <v>0</v>
      </c>
      <c r="L2584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4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4" s="3">
        <f>IFERROR(INDEX(Table3[#All],MATCH(Table1[[#This Row],[Key_Year_Week_Brand]],Table3[[#All],[Key_Year_Week_Brand]],0),MATCH(Table1[[#This Row],[DC_name_Xref]],Table3[#Headers],0)),0)</f>
        <v>0</v>
      </c>
      <c r="O2584" s="19">
        <f>IFERROR(INDEX(Table35[#All],MATCH(Table1[[#This Row],[Key_Year_Week_Brand]],Table35[[#All],[Key_Year_Month_Brand]],0),MATCH(Table1[[#This Row],[DC_name_Xref]],Table35[#Headers],0)),0)</f>
        <v>0</v>
      </c>
    </row>
    <row r="2585" spans="1:15" x14ac:dyDescent="0.3">
      <c r="A2585" s="19" t="e">
        <f>Table1[[#This Row],[Year_Week]]&amp;"-"&amp;Table1[[#This Row],[DC_name_Xref]]</f>
        <v>#N/A</v>
      </c>
      <c r="B2585" s="19" t="str">
        <f>Table1[[#This Row],[Fiscal_Year]]*100+Table1[[#This Row],[Fiscal_Week]] &amp; "-" &amp;Table1[[#This Row],[BRAND]]</f>
        <v>0-</v>
      </c>
      <c r="C2585" s="19" t="str">
        <f>Table1[[#This Row],[Fiscal_Year]]&amp;"-"&amp;Table1[[#This Row],[BRAND]]</f>
        <v>-</v>
      </c>
      <c r="J2585" t="e">
        <f>VLOOKUP(H2585,DC_Xref!A:B,2,FALSE)</f>
        <v>#N/A</v>
      </c>
      <c r="K2585">
        <f t="shared" si="40"/>
        <v>0</v>
      </c>
      <c r="L2585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5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5" s="3">
        <f>IFERROR(INDEX(Table3[#All],MATCH(Table1[[#This Row],[Key_Year_Week_Brand]],Table3[[#All],[Key_Year_Week_Brand]],0),MATCH(Table1[[#This Row],[DC_name_Xref]],Table3[#Headers],0)),0)</f>
        <v>0</v>
      </c>
      <c r="O2585" s="19">
        <f>IFERROR(INDEX(Table35[#All],MATCH(Table1[[#This Row],[Key_Year_Week_Brand]],Table35[[#All],[Key_Year_Month_Brand]],0),MATCH(Table1[[#This Row],[DC_name_Xref]],Table35[#Headers],0)),0)</f>
        <v>0</v>
      </c>
    </row>
    <row r="2586" spans="1:15" x14ac:dyDescent="0.3">
      <c r="A2586" s="19" t="e">
        <f>Table1[[#This Row],[Year_Week]]&amp;"-"&amp;Table1[[#This Row],[DC_name_Xref]]</f>
        <v>#N/A</v>
      </c>
      <c r="B2586" s="19" t="str">
        <f>Table1[[#This Row],[Fiscal_Year]]*100+Table1[[#This Row],[Fiscal_Week]] &amp; "-" &amp;Table1[[#This Row],[BRAND]]</f>
        <v>0-</v>
      </c>
      <c r="C2586" s="19" t="str">
        <f>Table1[[#This Row],[Fiscal_Year]]&amp;"-"&amp;Table1[[#This Row],[BRAND]]</f>
        <v>-</v>
      </c>
      <c r="J2586" t="e">
        <f>VLOOKUP(H2586,DC_Xref!A:B,2,FALSE)</f>
        <v>#N/A</v>
      </c>
      <c r="K2586">
        <f t="shared" si="40"/>
        <v>0</v>
      </c>
      <c r="L2586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6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6" s="3">
        <f>IFERROR(INDEX(Table3[#All],MATCH(Table1[[#This Row],[Key_Year_Week_Brand]],Table3[[#All],[Key_Year_Week_Brand]],0),MATCH(Table1[[#This Row],[DC_name_Xref]],Table3[#Headers],0)),0)</f>
        <v>0</v>
      </c>
      <c r="O2586" s="19">
        <f>IFERROR(INDEX(Table35[#All],MATCH(Table1[[#This Row],[Key_Year_Week_Brand]],Table35[[#All],[Key_Year_Month_Brand]],0),MATCH(Table1[[#This Row],[DC_name_Xref]],Table35[#Headers],0)),0)</f>
        <v>0</v>
      </c>
    </row>
    <row r="2587" spans="1:15" x14ac:dyDescent="0.3">
      <c r="A2587" s="19" t="e">
        <f>Table1[[#This Row],[Year_Week]]&amp;"-"&amp;Table1[[#This Row],[DC_name_Xref]]</f>
        <v>#N/A</v>
      </c>
      <c r="B2587" s="19" t="str">
        <f>Table1[[#This Row],[Fiscal_Year]]*100+Table1[[#This Row],[Fiscal_Week]] &amp; "-" &amp;Table1[[#This Row],[BRAND]]</f>
        <v>0-</v>
      </c>
      <c r="C2587" s="19" t="str">
        <f>Table1[[#This Row],[Fiscal_Year]]&amp;"-"&amp;Table1[[#This Row],[BRAND]]</f>
        <v>-</v>
      </c>
      <c r="J2587" t="e">
        <f>VLOOKUP(H2587,DC_Xref!A:B,2,FALSE)</f>
        <v>#N/A</v>
      </c>
      <c r="K2587">
        <f t="shared" si="40"/>
        <v>0</v>
      </c>
      <c r="L2587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7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7" s="3">
        <f>IFERROR(INDEX(Table3[#All],MATCH(Table1[[#This Row],[Key_Year_Week_Brand]],Table3[[#All],[Key_Year_Week_Brand]],0),MATCH(Table1[[#This Row],[DC_name_Xref]],Table3[#Headers],0)),0)</f>
        <v>0</v>
      </c>
      <c r="O2587" s="19">
        <f>IFERROR(INDEX(Table35[#All],MATCH(Table1[[#This Row],[Key_Year_Week_Brand]],Table35[[#All],[Key_Year_Month_Brand]],0),MATCH(Table1[[#This Row],[DC_name_Xref]],Table35[#Headers],0)),0)</f>
        <v>0</v>
      </c>
    </row>
    <row r="2588" spans="1:15" x14ac:dyDescent="0.3">
      <c r="A2588" s="19" t="e">
        <f>Table1[[#This Row],[Year_Week]]&amp;"-"&amp;Table1[[#This Row],[DC_name_Xref]]</f>
        <v>#N/A</v>
      </c>
      <c r="B2588" s="19" t="str">
        <f>Table1[[#This Row],[Fiscal_Year]]*100+Table1[[#This Row],[Fiscal_Week]] &amp; "-" &amp;Table1[[#This Row],[BRAND]]</f>
        <v>0-</v>
      </c>
      <c r="C2588" s="19" t="str">
        <f>Table1[[#This Row],[Fiscal_Year]]&amp;"-"&amp;Table1[[#This Row],[BRAND]]</f>
        <v>-</v>
      </c>
      <c r="J2588" t="e">
        <f>VLOOKUP(H2588,DC_Xref!A:B,2,FALSE)</f>
        <v>#N/A</v>
      </c>
      <c r="K2588">
        <f t="shared" si="40"/>
        <v>0</v>
      </c>
      <c r="L2588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8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8" s="3">
        <f>IFERROR(INDEX(Table3[#All],MATCH(Table1[[#This Row],[Key_Year_Week_Brand]],Table3[[#All],[Key_Year_Week_Brand]],0),MATCH(Table1[[#This Row],[DC_name_Xref]],Table3[#Headers],0)),0)</f>
        <v>0</v>
      </c>
      <c r="O2588" s="19">
        <f>IFERROR(INDEX(Table35[#All],MATCH(Table1[[#This Row],[Key_Year_Week_Brand]],Table35[[#All],[Key_Year_Month_Brand]],0),MATCH(Table1[[#This Row],[DC_name_Xref]],Table35[#Headers],0)),0)</f>
        <v>0</v>
      </c>
    </row>
    <row r="2589" spans="1:15" x14ac:dyDescent="0.3">
      <c r="A2589" s="19" t="e">
        <f>Table1[[#This Row],[Year_Week]]&amp;"-"&amp;Table1[[#This Row],[DC_name_Xref]]</f>
        <v>#N/A</v>
      </c>
      <c r="B2589" s="19" t="str">
        <f>Table1[[#This Row],[Fiscal_Year]]*100+Table1[[#This Row],[Fiscal_Week]] &amp; "-" &amp;Table1[[#This Row],[BRAND]]</f>
        <v>0-</v>
      </c>
      <c r="C2589" s="19" t="str">
        <f>Table1[[#This Row],[Fiscal_Year]]&amp;"-"&amp;Table1[[#This Row],[BRAND]]</f>
        <v>-</v>
      </c>
      <c r="J2589" t="e">
        <f>VLOOKUP(H2589,DC_Xref!A:B,2,FALSE)</f>
        <v>#N/A</v>
      </c>
      <c r="K2589">
        <f t="shared" si="40"/>
        <v>0</v>
      </c>
      <c r="L2589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89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89" s="3">
        <f>IFERROR(INDEX(Table3[#All],MATCH(Table1[[#This Row],[Key_Year_Week_Brand]],Table3[[#All],[Key_Year_Week_Brand]],0),MATCH(Table1[[#This Row],[DC_name_Xref]],Table3[#Headers],0)),0)</f>
        <v>0</v>
      </c>
      <c r="O2589" s="19">
        <f>IFERROR(INDEX(Table35[#All],MATCH(Table1[[#This Row],[Key_Year_Week_Brand]],Table35[[#All],[Key_Year_Month_Brand]],0),MATCH(Table1[[#This Row],[DC_name_Xref]],Table35[#Headers],0)),0)</f>
        <v>0</v>
      </c>
    </row>
    <row r="2590" spans="1:15" x14ac:dyDescent="0.3">
      <c r="A2590" s="19" t="e">
        <f>Table1[[#This Row],[Year_Week]]&amp;"-"&amp;Table1[[#This Row],[DC_name_Xref]]</f>
        <v>#N/A</v>
      </c>
      <c r="B2590" s="19" t="str">
        <f>Table1[[#This Row],[Fiscal_Year]]*100+Table1[[#This Row],[Fiscal_Week]] &amp; "-" &amp;Table1[[#This Row],[BRAND]]</f>
        <v>0-</v>
      </c>
      <c r="C2590" s="19" t="str">
        <f>Table1[[#This Row],[Fiscal_Year]]&amp;"-"&amp;Table1[[#This Row],[BRAND]]</f>
        <v>-</v>
      </c>
      <c r="J2590" t="e">
        <f>VLOOKUP(H2590,DC_Xref!A:B,2,FALSE)</f>
        <v>#N/A</v>
      </c>
      <c r="K2590">
        <f t="shared" si="40"/>
        <v>0</v>
      </c>
      <c r="L2590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90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90" s="3">
        <f>IFERROR(INDEX(Table3[#All],MATCH(Table1[[#This Row],[Key_Year_Week_Brand]],Table3[[#All],[Key_Year_Week_Brand]],0),MATCH(Table1[[#This Row],[DC_name_Xref]],Table3[#Headers],0)),0)</f>
        <v>0</v>
      </c>
      <c r="O2590" s="19">
        <f>IFERROR(INDEX(Table35[#All],MATCH(Table1[[#This Row],[Key_Year_Week_Brand]],Table35[[#All],[Key_Year_Month_Brand]],0),MATCH(Table1[[#This Row],[DC_name_Xref]],Table35[#Headers],0)),0)</f>
        <v>0</v>
      </c>
    </row>
    <row r="2591" spans="1:15" x14ac:dyDescent="0.3">
      <c r="A2591" s="19" t="e">
        <f>Table1[[#This Row],[Year_Week]]&amp;"-"&amp;Table1[[#This Row],[DC_name_Xref]]</f>
        <v>#N/A</v>
      </c>
      <c r="B2591" s="19" t="str">
        <f>Table1[[#This Row],[Fiscal_Year]]*100+Table1[[#This Row],[Fiscal_Week]] &amp; "-" &amp;Table1[[#This Row],[BRAND]]</f>
        <v>0-</v>
      </c>
      <c r="C2591" s="19" t="str">
        <f>Table1[[#This Row],[Fiscal_Year]]&amp;"-"&amp;Table1[[#This Row],[BRAND]]</f>
        <v>-</v>
      </c>
      <c r="J2591" t="e">
        <f>VLOOKUP(H2591,DC_Xref!A:B,2,FALSE)</f>
        <v>#N/A</v>
      </c>
      <c r="K2591">
        <f t="shared" si="40"/>
        <v>0</v>
      </c>
      <c r="L2591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91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91" s="3">
        <f>IFERROR(INDEX(Table3[#All],MATCH(Table1[[#This Row],[Key_Year_Week_Brand]],Table3[[#All],[Key_Year_Week_Brand]],0),MATCH(Table1[[#This Row],[DC_name_Xref]],Table3[#Headers],0)),0)</f>
        <v>0</v>
      </c>
      <c r="O2591" s="19">
        <f>IFERROR(INDEX(Table35[#All],MATCH(Table1[[#This Row],[Key_Year_Week_Brand]],Table35[[#All],[Key_Year_Month_Brand]],0),MATCH(Table1[[#This Row],[DC_name_Xref]],Table35[#Headers],0)),0)</f>
        <v>0</v>
      </c>
    </row>
    <row r="2592" spans="1:15" x14ac:dyDescent="0.3">
      <c r="A2592" s="19" t="e">
        <f>Table1[[#This Row],[Year_Week]]&amp;"-"&amp;Table1[[#This Row],[DC_name_Xref]]</f>
        <v>#N/A</v>
      </c>
      <c r="B2592" s="19" t="str">
        <f>Table1[[#This Row],[Fiscal_Year]]*100+Table1[[#This Row],[Fiscal_Week]] &amp; "-" &amp;Table1[[#This Row],[BRAND]]</f>
        <v>0-</v>
      </c>
      <c r="C2592" s="19" t="str">
        <f>Table1[[#This Row],[Fiscal_Year]]&amp;"-"&amp;Table1[[#This Row],[BRAND]]</f>
        <v>-</v>
      </c>
      <c r="J2592" t="e">
        <f>VLOOKUP(H2592,DC_Xref!A:B,2,FALSE)</f>
        <v>#N/A</v>
      </c>
      <c r="K2592">
        <f t="shared" si="40"/>
        <v>0</v>
      </c>
      <c r="L2592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92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92" s="3">
        <f>IFERROR(INDEX(Table3[#All],MATCH(Table1[[#This Row],[Key_Year_Week_Brand]],Table3[[#All],[Key_Year_Week_Brand]],0),MATCH(Table1[[#This Row],[DC_name_Xref]],Table3[#Headers],0)),0)</f>
        <v>0</v>
      </c>
      <c r="O2592" s="19">
        <f>IFERROR(INDEX(Table35[#All],MATCH(Table1[[#This Row],[Key_Year_Week_Brand]],Table35[[#All],[Key_Year_Month_Brand]],0),MATCH(Table1[[#This Row],[DC_name_Xref]],Table35[#Headers],0)),0)</f>
        <v>0</v>
      </c>
    </row>
    <row r="2593" spans="1:15" x14ac:dyDescent="0.3">
      <c r="A2593" s="19" t="e">
        <f>Table1[[#This Row],[Year_Week]]&amp;"-"&amp;Table1[[#This Row],[DC_name_Xref]]</f>
        <v>#N/A</v>
      </c>
      <c r="B2593" s="19" t="str">
        <f>Table1[[#This Row],[Fiscal_Year]]*100+Table1[[#This Row],[Fiscal_Week]] &amp; "-" &amp;Table1[[#This Row],[BRAND]]</f>
        <v>0-</v>
      </c>
      <c r="C2593" s="19" t="str">
        <f>Table1[[#This Row],[Fiscal_Year]]&amp;"-"&amp;Table1[[#This Row],[BRAND]]</f>
        <v>-</v>
      </c>
      <c r="J2593" t="e">
        <f>VLOOKUP(H2593,DC_Xref!A:B,2,FALSE)</f>
        <v>#N/A</v>
      </c>
      <c r="K2593">
        <f t="shared" si="40"/>
        <v>0</v>
      </c>
      <c r="L2593" s="19">
        <f>IFERROR(Table1[[#This Row],[Demand]]/SUMIFS(Table1[Demand],Table1[Fiscal_Year],Table1[[#This Row],[Fiscal_Year]],Table1[BRAND],Table1[[#This Row],[BRAND]],Table1[DC_name_Xref],Table1[[#This Row],[DC_name_Xref]]),0)</f>
        <v>0</v>
      </c>
      <c r="M2593" s="3">
        <f>IFERROR(SUMIFS(Table1[Demand],Table1[Fiscal_Year],Table1[[#This Row],[Fiscal_Year]],Table1[BRAND],Table1[[#This Row],[BRAND]],Table1[DC_name_Xref],Table1[[#This Row],[DC_name_Xref]])/SUMIFS(Table1[Demand],Table1[Fiscal_Year],Table1[[#This Row],[Fiscal_Year]],Table1[BRAND],Table1[[#This Row],[BRAND]]),0)</f>
        <v>0</v>
      </c>
      <c r="N2593" s="3">
        <f>IFERROR(INDEX(Table3[#All],MATCH(Table1[[#This Row],[Key_Year_Week_Brand]],Table3[[#All],[Key_Year_Week_Brand]],0),MATCH(Table1[[#This Row],[DC_name_Xref]],Table3[#Headers],0)),0)</f>
        <v>0</v>
      </c>
      <c r="O2593" s="19">
        <f>IFERROR(INDEX(Table35[#All],MATCH(Table1[[#This Row],[Key_Year_Week_Brand]],Table35[[#All],[Key_Year_Month_Brand]],0),MATCH(Table1[[#This Row],[DC_name_Xref]],Table35[#Headers],0)),0)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35"/>
  <sheetViews>
    <sheetView topLeftCell="M1" workbookViewId="0">
      <selection activeCell="Q4" sqref="Q4"/>
    </sheetView>
  </sheetViews>
  <sheetFormatPr defaultRowHeight="14.4" x14ac:dyDescent="0.3"/>
  <cols>
    <col min="2" max="3" width="20.44140625" bestFit="1" customWidth="1"/>
    <col min="4" max="4" width="14.109375" customWidth="1"/>
    <col min="5" max="5" width="15.6640625" bestFit="1" customWidth="1"/>
    <col min="6" max="6" width="10" customWidth="1"/>
    <col min="9" max="10" width="12" bestFit="1" customWidth="1"/>
    <col min="11" max="11" width="10.109375" customWidth="1"/>
    <col min="12" max="12" width="7" customWidth="1"/>
    <col min="16" max="16" width="20.44140625" bestFit="1" customWidth="1"/>
  </cols>
  <sheetData>
    <row r="1" spans="1:30" x14ac:dyDescent="0.3">
      <c r="A1" s="21" t="s">
        <v>56</v>
      </c>
    </row>
    <row r="2" spans="1:30" x14ac:dyDescent="0.3">
      <c r="G2" s="27" t="s">
        <v>50</v>
      </c>
      <c r="H2" s="27"/>
      <c r="I2" s="27"/>
      <c r="J2" s="27"/>
      <c r="K2" s="27"/>
      <c r="L2" s="27"/>
    </row>
    <row r="3" spans="1:30" x14ac:dyDescent="0.3">
      <c r="B3" s="22" t="s">
        <v>98</v>
      </c>
      <c r="C3" s="22" t="s">
        <v>29</v>
      </c>
      <c r="D3" t="s">
        <v>0</v>
      </c>
      <c r="E3" t="s">
        <v>93</v>
      </c>
      <c r="F3" t="s">
        <v>35</v>
      </c>
      <c r="G3" t="s">
        <v>15</v>
      </c>
      <c r="H3" s="22" t="s">
        <v>5</v>
      </c>
      <c r="I3" s="22" t="s">
        <v>6</v>
      </c>
      <c r="J3" s="22" t="s">
        <v>7</v>
      </c>
      <c r="K3" s="22" t="s">
        <v>8</v>
      </c>
      <c r="L3" s="22" t="s">
        <v>11</v>
      </c>
      <c r="M3" s="22" t="s">
        <v>10</v>
      </c>
      <c r="N3" s="22" t="s">
        <v>25</v>
      </c>
      <c r="O3" s="11"/>
      <c r="Q3" s="11" t="s">
        <v>53</v>
      </c>
      <c r="R3" t="s">
        <v>29</v>
      </c>
      <c r="S3" t="s">
        <v>0</v>
      </c>
      <c r="T3" t="s">
        <v>93</v>
      </c>
      <c r="U3" t="s">
        <v>35</v>
      </c>
      <c r="V3" t="s">
        <v>15</v>
      </c>
      <c r="W3" s="11" t="s">
        <v>5</v>
      </c>
      <c r="X3" s="11" t="s">
        <v>6</v>
      </c>
      <c r="Y3" s="11" t="s">
        <v>7</v>
      </c>
      <c r="Z3" s="11" t="s">
        <v>8</v>
      </c>
      <c r="AA3" s="11" t="s">
        <v>11</v>
      </c>
      <c r="AB3" s="11" t="s">
        <v>10</v>
      </c>
      <c r="AC3" s="11" t="s">
        <v>52</v>
      </c>
      <c r="AD3" s="11" t="s">
        <v>51</v>
      </c>
    </row>
    <row r="4" spans="1:30" x14ac:dyDescent="0.3">
      <c r="B4" s="3" t="str">
        <f>Table3[[#This Row],[Fiscal_Year]]*100+Table3[[#This Row],[Fiscal_Week]] &amp; "-" &amp;Table3[[#This Row],[Brand]]</f>
        <v>201843-Athleta</v>
      </c>
      <c r="C4" t="str">
        <f>D4&amp;"-"&amp;F4</f>
        <v>2018-Athleta</v>
      </c>
      <c r="D4">
        <v>2018</v>
      </c>
      <c r="E4">
        <v>43</v>
      </c>
      <c r="F4" t="s">
        <v>19</v>
      </c>
      <c r="G4">
        <v>294229</v>
      </c>
      <c r="H4" s="3">
        <f>INDEX(Demand_Modeling!$A$13:$I$49,MATCH(Table3[[#This Row],[Key]],Demand_Modeling!$A$13:$A$49,0),MATCH(Table3[[#Headers],[OFC]],Demand_Modeling!$A$13:$I$13,0))</f>
        <v>0</v>
      </c>
      <c r="I4" s="3">
        <f>INDEX(Demand_Modeling!$A$13:$I$49,MATCH(Table3[[#This Row],[Key]],Demand_Modeling!$A$13:$A$49,0),MATCH(Table3[[#Headers],[TFC]],Demand_Modeling!$A$13:$I$13,0))</f>
        <v>1</v>
      </c>
      <c r="J4" s="3">
        <f>INDEX(Demand_Modeling!$A$13:$I$49,MATCH(Table3[[#This Row],[Key]],Demand_Modeling!$A$13:$A$49,0),MATCH(Table3[[#Headers],[WFC]],Demand_Modeling!$A$13:$I$13,0))</f>
        <v>0</v>
      </c>
      <c r="K4" s="3">
        <f>INDEX(Demand_Modeling!$A$13:$I$49,MATCH(Table3[[#This Row],[Key]],Demand_Modeling!$A$13:$A$49,0),MATCH(Table3[[#Headers],[EAO]],Demand_Modeling!$A$13:$I$13,0))</f>
        <v>3.447122356821831E-5</v>
      </c>
      <c r="L4" s="3">
        <f>INDEX(Demand_Modeling!$A$13:$I$49,MATCH(Table3[[#This Row],[Key]],Demand_Modeling!$A$13:$A$49,0),MATCH(Table3[[#Headers],[OCC]],Demand_Modeling!$A$13:$I$13,0))</f>
        <v>0</v>
      </c>
      <c r="M4" s="3">
        <f>INDEX(Demand_Modeling!$A$13:$I$49,MATCH(Table3[[#This Row],[Key]],Demand_Modeling!$A$13:$A$49,0),MATCH(Table3[[#Headers],[WEO]],Demand_Modeling!$A$13:$I$13,0))</f>
        <v>0</v>
      </c>
      <c r="N4" s="19">
        <f>SUM(Table3[[#This Row],[OFC]:[WEO]])</f>
        <v>1.0000344712235683</v>
      </c>
      <c r="O4" s="19"/>
      <c r="Q4" s="3" t="str">
        <f>Table35[[#This Row],[Fiscal_Year]]*100+Table35[[#This Row],[Fiscal_Week]] &amp; "-" &amp;Table35[[#This Row],[Brand]]</f>
        <v>201843-Athleta</v>
      </c>
      <c r="R4" t="str">
        <f>Table3[[#This Row],[Key]]</f>
        <v>2018-Athleta</v>
      </c>
      <c r="S4">
        <f>Table3[[#This Row],[Fiscal_Year]]</f>
        <v>2018</v>
      </c>
      <c r="T4">
        <f>Table3[[#This Row],[Fiscal_Week]]</f>
        <v>43</v>
      </c>
      <c r="U4" t="str">
        <f>Table3[[#This Row],[Brand]]</f>
        <v>Athleta</v>
      </c>
      <c r="V4">
        <f>Table3[[#This Row],[Demand]]</f>
        <v>294229</v>
      </c>
      <c r="W4">
        <f>Table3[[#This Row],[OFC]]*Table3[[#This Row],[Demand]]</f>
        <v>0</v>
      </c>
      <c r="X4">
        <f>Table3[[#This Row],[TFC]]*Table3[[#This Row],[Demand]]</f>
        <v>294229</v>
      </c>
      <c r="Y4">
        <f>Table3[[#This Row],[WFC]]*Table3[[#This Row],[Demand]]</f>
        <v>0</v>
      </c>
      <c r="Z4">
        <f>Table3[[#This Row],[EAO]]*Table3[[#This Row],[Demand]]</f>
        <v>10.142433639253305</v>
      </c>
      <c r="AA4">
        <f>Table3[[#This Row],[OCC]]*Table3[[#This Row],[Demand]]</f>
        <v>0</v>
      </c>
      <c r="AB4">
        <f>Table3[[#This Row],[WEO]]*Table3[[#This Row],[Demand]]</f>
        <v>0</v>
      </c>
      <c r="AC4" s="19">
        <f>SUM(Table35[[#This Row],[OFC]:[WEO]])</f>
        <v>294239.14243363927</v>
      </c>
      <c r="AD4" s="19">
        <f>Table35[[#This Row],[Demand]]-Table35[[#This Row],[Total_Modeled_Demand]]</f>
        <v>-10.142433639266528</v>
      </c>
    </row>
    <row r="5" spans="1:30" x14ac:dyDescent="0.3">
      <c r="B5" s="3" t="str">
        <f>Table3[[#This Row],[Fiscal_Year]]*100+Table3[[#This Row],[Fiscal_Week]] &amp; "-" &amp;Table3[[#This Row],[Brand]]</f>
        <v>201843-Banana Republic</v>
      </c>
      <c r="C5" t="str">
        <f t="shared" ref="C5:C68" si="0">D5&amp;"-"&amp;F5</f>
        <v>2018-Banana Republic</v>
      </c>
      <c r="D5">
        <v>2018</v>
      </c>
      <c r="E5">
        <v>43</v>
      </c>
      <c r="F5" t="s">
        <v>18</v>
      </c>
      <c r="G5">
        <v>556506</v>
      </c>
      <c r="H5" s="3">
        <f>INDEX(Demand_Modeling!$A$13:$I$49,MATCH(Table3[[#This Row],[Key]],Demand_Modeling!$A$13:$A$49,0),MATCH(Table3[[#Headers],[OFC]],Demand_Modeling!$A$13:$I$13,0))</f>
        <v>0</v>
      </c>
      <c r="I5" s="3">
        <f>INDEX(Demand_Modeling!$A$13:$I$49,MATCH(Table3[[#This Row],[Key]],Demand_Modeling!$A$13:$A$49,0),MATCH(Table3[[#Headers],[TFC]],Demand_Modeling!$A$13:$I$13,0))</f>
        <v>1</v>
      </c>
      <c r="J5" s="3">
        <f>INDEX(Demand_Modeling!$A$13:$I$49,MATCH(Table3[[#This Row],[Key]],Demand_Modeling!$A$13:$A$49,0),MATCH(Table3[[#Headers],[WFC]],Demand_Modeling!$A$13:$I$13,0))</f>
        <v>3.4959629396853166E-6</v>
      </c>
      <c r="K5" s="3">
        <f>INDEX(Demand_Modeling!$A$13:$I$49,MATCH(Table3[[#This Row],[Key]],Demand_Modeling!$A$13:$A$49,0),MATCH(Table3[[#Headers],[EAO]],Demand_Modeling!$A$13:$I$13,0))</f>
        <v>4.2339995602855504E-5</v>
      </c>
      <c r="L5" s="3">
        <f>INDEX(Demand_Modeling!$A$13:$I$49,MATCH(Table3[[#This Row],[Key]],Demand_Modeling!$A$13:$A$49,0),MATCH(Table3[[#Headers],[OCC]],Demand_Modeling!$A$13:$I$13,0))</f>
        <v>0</v>
      </c>
      <c r="M5" s="3">
        <f>INDEX(Demand_Modeling!$A$13:$I$49,MATCH(Table3[[#This Row],[Key]],Demand_Modeling!$A$13:$A$49,0),MATCH(Table3[[#Headers],[WEO]],Demand_Modeling!$A$13:$I$13,0))</f>
        <v>0</v>
      </c>
      <c r="N5" s="19">
        <f>SUM(Table3[[#This Row],[OFC]:[WEO]])</f>
        <v>1.0000458359585425</v>
      </c>
      <c r="O5" s="19"/>
      <c r="Q5" s="3" t="str">
        <f>Table35[[#This Row],[Fiscal_Year]]*100+Table35[[#This Row],[Fiscal_Week]] &amp; "-" &amp;Table35[[#This Row],[Brand]]</f>
        <v>201843-Banana Republic</v>
      </c>
      <c r="R5" t="str">
        <f>Table3[[#This Row],[Key]]</f>
        <v>2018-Banana Republic</v>
      </c>
      <c r="S5">
        <f>Table3[[#This Row],[Fiscal_Year]]</f>
        <v>2018</v>
      </c>
      <c r="T5">
        <f>Table3[[#This Row],[Fiscal_Week]]</f>
        <v>43</v>
      </c>
      <c r="U5" t="str">
        <f>Table3[[#This Row],[Brand]]</f>
        <v>Banana Republic</v>
      </c>
      <c r="V5">
        <f>Table3[[#This Row],[Demand]]</f>
        <v>556506</v>
      </c>
      <c r="W5">
        <f>Table3[[#This Row],[OFC]]*Table3[[#This Row],[Demand]]</f>
        <v>0</v>
      </c>
      <c r="X5">
        <f>Table3[[#This Row],[TFC]]*Table3[[#This Row],[Demand]]</f>
        <v>556506</v>
      </c>
      <c r="Y5">
        <f>Table3[[#This Row],[WFC]]*Table3[[#This Row],[Demand]]</f>
        <v>1.9455243517125167</v>
      </c>
      <c r="Z5">
        <f>Table3[[#This Row],[EAO]]*Table3[[#This Row],[Demand]]</f>
        <v>23.562461592962705</v>
      </c>
      <c r="AA5">
        <f>Table3[[#This Row],[OCC]]*Table3[[#This Row],[Demand]]</f>
        <v>0</v>
      </c>
      <c r="AB5">
        <f>Table3[[#This Row],[WEO]]*Table3[[#This Row],[Demand]]</f>
        <v>0</v>
      </c>
      <c r="AC5" s="19">
        <f>SUM(Table35[[#This Row],[OFC]:[WEO]])</f>
        <v>556531.50798594463</v>
      </c>
      <c r="AD5" s="19">
        <f>Table35[[#This Row],[Demand]]-Table35[[#This Row],[Total_Modeled_Demand]]</f>
        <v>-25.507985944626853</v>
      </c>
    </row>
    <row r="6" spans="1:30" x14ac:dyDescent="0.3">
      <c r="B6" s="3" t="str">
        <f>Table3[[#This Row],[Fiscal_Year]]*100+Table3[[#This Row],[Fiscal_Week]] &amp; "-" &amp;Table3[[#This Row],[Brand]]</f>
        <v>201843-BR Factory Store</v>
      </c>
      <c r="C6" t="str">
        <f t="shared" si="0"/>
        <v>2018-BR Factory Store</v>
      </c>
      <c r="D6">
        <v>2018</v>
      </c>
      <c r="E6">
        <v>43</v>
      </c>
      <c r="F6" t="s">
        <v>17</v>
      </c>
      <c r="G6">
        <v>292560</v>
      </c>
      <c r="H6" s="3">
        <f>INDEX(Demand_Modeling!$A$13:$I$49,MATCH(Table3[[#This Row],[Key]],Demand_Modeling!$A$13:$A$49,0),MATCH(Table3[[#Headers],[OFC]],Demand_Modeling!$A$13:$I$13,0))</f>
        <v>1</v>
      </c>
      <c r="I6" s="3">
        <f>INDEX(Demand_Modeling!$A$13:$I$49,MATCH(Table3[[#This Row],[Key]],Demand_Modeling!$A$13:$A$49,0),MATCH(Table3[[#Headers],[TFC]],Demand_Modeling!$A$13:$I$13,0))</f>
        <v>0</v>
      </c>
      <c r="J6" s="3">
        <f>INDEX(Demand_Modeling!$A$13:$I$49,MATCH(Table3[[#This Row],[Key]],Demand_Modeling!$A$13:$A$49,0),MATCH(Table3[[#Headers],[WFC]],Demand_Modeling!$A$13:$I$13,0))</f>
        <v>0</v>
      </c>
      <c r="K6" s="3">
        <f>INDEX(Demand_Modeling!$A$13:$I$49,MATCH(Table3[[#This Row],[Key]],Demand_Modeling!$A$13:$A$49,0),MATCH(Table3[[#Headers],[EAO]],Demand_Modeling!$A$13:$I$13,0))</f>
        <v>0</v>
      </c>
      <c r="L6" s="3">
        <f>INDEX(Demand_Modeling!$A$13:$I$49,MATCH(Table3[[#This Row],[Key]],Demand_Modeling!$A$13:$A$49,0),MATCH(Table3[[#Headers],[OCC]],Demand_Modeling!$A$13:$I$13,0))</f>
        <v>0</v>
      </c>
      <c r="M6" s="3">
        <f>INDEX(Demand_Modeling!$A$13:$I$49,MATCH(Table3[[#This Row],[Key]],Demand_Modeling!$A$13:$A$49,0),MATCH(Table3[[#Headers],[WEO]],Demand_Modeling!$A$13:$I$13,0))</f>
        <v>0</v>
      </c>
      <c r="N6" s="19">
        <f>SUM(Table3[[#This Row],[OFC]:[WEO]])</f>
        <v>1</v>
      </c>
      <c r="O6" s="19"/>
      <c r="Q6" s="3" t="str">
        <f>Table35[[#This Row],[Fiscal_Year]]*100+Table35[[#This Row],[Fiscal_Week]] &amp; "-" &amp;Table35[[#This Row],[Brand]]</f>
        <v>201843-BR Factory Store</v>
      </c>
      <c r="R6" t="str">
        <f>Table3[[#This Row],[Key]]</f>
        <v>2018-BR Factory Store</v>
      </c>
      <c r="S6">
        <f>Table3[[#This Row],[Fiscal_Year]]</f>
        <v>2018</v>
      </c>
      <c r="T6">
        <f>Table3[[#This Row],[Fiscal_Week]]</f>
        <v>43</v>
      </c>
      <c r="U6" t="str">
        <f>Table3[[#This Row],[Brand]]</f>
        <v>BR Factory Store</v>
      </c>
      <c r="V6">
        <f>Table3[[#This Row],[Demand]]</f>
        <v>292560</v>
      </c>
      <c r="W6">
        <f>Table3[[#This Row],[OFC]]*Table3[[#This Row],[Demand]]</f>
        <v>292560</v>
      </c>
      <c r="X6">
        <f>Table3[[#This Row],[TFC]]*Table3[[#This Row],[Demand]]</f>
        <v>0</v>
      </c>
      <c r="Y6">
        <f>Table3[[#This Row],[WFC]]*Table3[[#This Row],[Demand]]</f>
        <v>0</v>
      </c>
      <c r="Z6">
        <f>Table3[[#This Row],[EAO]]*Table3[[#This Row],[Demand]]</f>
        <v>0</v>
      </c>
      <c r="AA6">
        <f>Table3[[#This Row],[OCC]]*Table3[[#This Row],[Demand]]</f>
        <v>0</v>
      </c>
      <c r="AB6">
        <f>Table3[[#This Row],[WEO]]*Table3[[#This Row],[Demand]]</f>
        <v>0</v>
      </c>
      <c r="AC6" s="19">
        <f>SUM(Table35[[#This Row],[OFC]:[WEO]])</f>
        <v>292560</v>
      </c>
      <c r="AD6" s="19">
        <f>Table35[[#This Row],[Demand]]-Table35[[#This Row],[Total_Modeled_Demand]]</f>
        <v>0</v>
      </c>
    </row>
    <row r="7" spans="1:30" x14ac:dyDescent="0.3">
      <c r="B7" s="3" t="str">
        <f>Table3[[#This Row],[Fiscal_Year]]*100+Table3[[#This Row],[Fiscal_Week]] &amp; "-" &amp;Table3[[#This Row],[Brand]]</f>
        <v>201843-Gap</v>
      </c>
      <c r="C7" t="str">
        <f t="shared" si="0"/>
        <v>2018-Gap</v>
      </c>
      <c r="D7">
        <v>2018</v>
      </c>
      <c r="E7">
        <v>43</v>
      </c>
      <c r="F7" t="s">
        <v>16</v>
      </c>
      <c r="G7">
        <v>3477966</v>
      </c>
      <c r="H7" s="3">
        <f>INDEX(Demand_Modeling!$A$13:$I$49,MATCH(Table3[[#This Row],[Key]],Demand_Modeling!$A$13:$A$49,0),MATCH(Table3[[#Headers],[OFC]],Demand_Modeling!$A$13:$I$13,0))</f>
        <v>0.25</v>
      </c>
      <c r="I7" s="3">
        <f>INDEX(Demand_Modeling!$A$13:$I$49,MATCH(Table3[[#This Row],[Key]],Demand_Modeling!$A$13:$A$49,0),MATCH(Table3[[#Headers],[TFC]],Demand_Modeling!$A$13:$I$13,0))</f>
        <v>0.2</v>
      </c>
      <c r="J7" s="3">
        <f>INDEX(Demand_Modeling!$A$13:$I$49,MATCH(Table3[[#This Row],[Key]],Demand_Modeling!$A$13:$A$49,0),MATCH(Table3[[#Headers],[WFC]],Demand_Modeling!$A$13:$I$13,0))</f>
        <v>0.15</v>
      </c>
      <c r="K7" s="3">
        <f>INDEX(Demand_Modeling!$A$13:$I$49,MATCH(Table3[[#This Row],[Key]],Demand_Modeling!$A$13:$A$49,0),MATCH(Table3[[#Headers],[EAO]],Demand_Modeling!$A$13:$I$13,0))</f>
        <v>0</v>
      </c>
      <c r="L7" s="3">
        <f>INDEX(Demand_Modeling!$A$13:$I$49,MATCH(Table3[[#This Row],[Key]],Demand_Modeling!$A$13:$A$49,0),MATCH(Table3[[#Headers],[OCC]],Demand_Modeling!$A$13:$I$13,0))</f>
        <v>0</v>
      </c>
      <c r="M7" s="3">
        <f>INDEX(Demand_Modeling!$A$13:$I$49,MATCH(Table3[[#This Row],[Key]],Demand_Modeling!$A$13:$A$49,0),MATCH(Table3[[#Headers],[WEO]],Demand_Modeling!$A$13:$I$13,0))</f>
        <v>0.4</v>
      </c>
      <c r="N7" s="19">
        <f>SUM(Table3[[#This Row],[OFC]:[WEO]])</f>
        <v>1</v>
      </c>
      <c r="O7" s="19"/>
      <c r="Q7" s="3" t="str">
        <f>Table35[[#This Row],[Fiscal_Year]]*100+Table35[[#This Row],[Fiscal_Week]] &amp; "-" &amp;Table35[[#This Row],[Brand]]</f>
        <v>201843-Gap</v>
      </c>
      <c r="R7" t="str">
        <f>Table3[[#This Row],[Key]]</f>
        <v>2018-Gap</v>
      </c>
      <c r="S7">
        <f>Table3[[#This Row],[Fiscal_Year]]</f>
        <v>2018</v>
      </c>
      <c r="T7">
        <f>Table3[[#This Row],[Fiscal_Week]]</f>
        <v>43</v>
      </c>
      <c r="U7" t="str">
        <f>Table3[[#This Row],[Brand]]</f>
        <v>Gap</v>
      </c>
      <c r="V7">
        <f>Table3[[#This Row],[Demand]]</f>
        <v>3477966</v>
      </c>
      <c r="W7">
        <f>Table3[[#This Row],[OFC]]*Table3[[#This Row],[Demand]]</f>
        <v>869491.5</v>
      </c>
      <c r="X7">
        <f>Table3[[#This Row],[TFC]]*Table3[[#This Row],[Demand]]</f>
        <v>695593.20000000007</v>
      </c>
      <c r="Y7">
        <f>Table3[[#This Row],[WFC]]*Table3[[#This Row],[Demand]]</f>
        <v>521694.89999999997</v>
      </c>
      <c r="Z7">
        <f>Table3[[#This Row],[EAO]]*Table3[[#This Row],[Demand]]</f>
        <v>0</v>
      </c>
      <c r="AA7">
        <f>Table3[[#This Row],[OCC]]*Table3[[#This Row],[Demand]]</f>
        <v>0</v>
      </c>
      <c r="AB7">
        <f>Table3[[#This Row],[WEO]]*Table3[[#This Row],[Demand]]</f>
        <v>1391186.4000000001</v>
      </c>
      <c r="AC7" s="19">
        <f>SUM(Table35[[#This Row],[OFC]:[WEO]])</f>
        <v>3477966</v>
      </c>
      <c r="AD7" s="19">
        <f>Table35[[#This Row],[Demand]]-Table35[[#This Row],[Total_Modeled_Demand]]</f>
        <v>0</v>
      </c>
    </row>
    <row r="8" spans="1:30" x14ac:dyDescent="0.3">
      <c r="B8" s="3" t="str">
        <f>Table3[[#This Row],[Fiscal_Year]]*100+Table3[[#This Row],[Fiscal_Week]] &amp; "-" &amp;Table3[[#This Row],[Brand]]</f>
        <v>201843-Gap Factory Store</v>
      </c>
      <c r="C8" t="str">
        <f t="shared" si="0"/>
        <v>2018-Gap Factory Store</v>
      </c>
      <c r="D8">
        <v>2018</v>
      </c>
      <c r="E8">
        <v>43</v>
      </c>
      <c r="F8" t="s">
        <v>22</v>
      </c>
      <c r="G8">
        <v>782855</v>
      </c>
      <c r="H8" s="3">
        <f>INDEX(Demand_Modeling!$A$13:$I$49,MATCH(Table3[[#This Row],[Key]],Demand_Modeling!$A$13:$A$49,0),MATCH(Table3[[#Headers],[OFC]],Demand_Modeling!$A$13:$I$13,0))</f>
        <v>1</v>
      </c>
      <c r="I8" s="3">
        <f>INDEX(Demand_Modeling!$A$13:$I$49,MATCH(Table3[[#This Row],[Key]],Demand_Modeling!$A$13:$A$49,0),MATCH(Table3[[#Headers],[TFC]],Demand_Modeling!$A$13:$I$13,0))</f>
        <v>0</v>
      </c>
      <c r="J8" s="3">
        <f>INDEX(Demand_Modeling!$A$13:$I$49,MATCH(Table3[[#This Row],[Key]],Demand_Modeling!$A$13:$A$49,0),MATCH(Table3[[#Headers],[WFC]],Demand_Modeling!$A$13:$I$13,0))</f>
        <v>0</v>
      </c>
      <c r="K8" s="3">
        <f>INDEX(Demand_Modeling!$A$13:$I$49,MATCH(Table3[[#This Row],[Key]],Demand_Modeling!$A$13:$A$49,0),MATCH(Table3[[#Headers],[EAO]],Demand_Modeling!$A$13:$I$13,0))</f>
        <v>0</v>
      </c>
      <c r="L8" s="3">
        <f>INDEX(Demand_Modeling!$A$13:$I$49,MATCH(Table3[[#This Row],[Key]],Demand_Modeling!$A$13:$A$49,0),MATCH(Table3[[#Headers],[OCC]],Demand_Modeling!$A$13:$I$13,0))</f>
        <v>0</v>
      </c>
      <c r="M8" s="3">
        <f>INDEX(Demand_Modeling!$A$13:$I$49,MATCH(Table3[[#This Row],[Key]],Demand_Modeling!$A$13:$A$49,0),MATCH(Table3[[#Headers],[WEO]],Demand_Modeling!$A$13:$I$13,0))</f>
        <v>0</v>
      </c>
      <c r="N8" s="19">
        <f>SUM(Table3[[#This Row],[OFC]:[WEO]])</f>
        <v>1</v>
      </c>
      <c r="O8" s="19"/>
      <c r="Q8" s="3" t="str">
        <f>Table35[[#This Row],[Fiscal_Year]]*100+Table35[[#This Row],[Fiscal_Week]] &amp; "-" &amp;Table35[[#This Row],[Brand]]</f>
        <v>201843-Gap Factory Store</v>
      </c>
      <c r="R8" t="str">
        <f>Table3[[#This Row],[Key]]</f>
        <v>2018-Gap Factory Store</v>
      </c>
      <c r="S8">
        <f>Table3[[#This Row],[Fiscal_Year]]</f>
        <v>2018</v>
      </c>
      <c r="T8">
        <f>Table3[[#This Row],[Fiscal_Week]]</f>
        <v>43</v>
      </c>
      <c r="U8" t="str">
        <f>Table3[[#This Row],[Brand]]</f>
        <v>Gap Factory Store</v>
      </c>
      <c r="V8">
        <f>Table3[[#This Row],[Demand]]</f>
        <v>782855</v>
      </c>
      <c r="W8">
        <f>Table3[[#This Row],[OFC]]*Table3[[#This Row],[Demand]]</f>
        <v>782855</v>
      </c>
      <c r="X8">
        <f>Table3[[#This Row],[TFC]]*Table3[[#This Row],[Demand]]</f>
        <v>0</v>
      </c>
      <c r="Y8">
        <f>Table3[[#This Row],[WFC]]*Table3[[#This Row],[Demand]]</f>
        <v>0</v>
      </c>
      <c r="Z8">
        <f>Table3[[#This Row],[EAO]]*Table3[[#This Row],[Demand]]</f>
        <v>0</v>
      </c>
      <c r="AA8">
        <f>Table3[[#This Row],[OCC]]*Table3[[#This Row],[Demand]]</f>
        <v>0</v>
      </c>
      <c r="AB8">
        <f>Table3[[#This Row],[WEO]]*Table3[[#This Row],[Demand]]</f>
        <v>0</v>
      </c>
      <c r="AC8" s="19">
        <f>SUM(Table35[[#This Row],[OFC]:[WEO]])</f>
        <v>782855</v>
      </c>
      <c r="AD8" s="19">
        <f>Table35[[#This Row],[Demand]]-Table35[[#This Row],[Total_Modeled_Demand]]</f>
        <v>0</v>
      </c>
    </row>
    <row r="9" spans="1:30" x14ac:dyDescent="0.3">
      <c r="B9" s="3" t="str">
        <f>Table3[[#This Row],[Fiscal_Year]]*100+Table3[[#This Row],[Fiscal_Week]] &amp; "-" &amp;Table3[[#This Row],[Brand]]</f>
        <v>201843-Old Navy</v>
      </c>
      <c r="C9" t="str">
        <f t="shared" si="0"/>
        <v>2018-Old Navy</v>
      </c>
      <c r="D9">
        <v>2018</v>
      </c>
      <c r="E9">
        <v>43</v>
      </c>
      <c r="F9" t="s">
        <v>20</v>
      </c>
      <c r="G9">
        <v>6758055</v>
      </c>
      <c r="H9" s="3">
        <f>INDEX(Demand_Modeling!$A$13:$I$49,MATCH(Table3[[#This Row],[Key]],Demand_Modeling!$A$13:$A$49,0),MATCH(Table3[[#Headers],[OFC]],Demand_Modeling!$A$13:$I$13,0))</f>
        <v>0.27</v>
      </c>
      <c r="I9" s="3">
        <f>INDEX(Demand_Modeling!$A$13:$I$49,MATCH(Table3[[#This Row],[Key]],Demand_Modeling!$A$13:$A$49,0),MATCH(Table3[[#Headers],[TFC]],Demand_Modeling!$A$13:$I$13,0))</f>
        <v>0.25</v>
      </c>
      <c r="J9" s="3">
        <f>INDEX(Demand_Modeling!$A$13:$I$49,MATCH(Table3[[#This Row],[Key]],Demand_Modeling!$A$13:$A$49,0),MATCH(Table3[[#Headers],[WFC]],Demand_Modeling!$A$13:$I$13,0))</f>
        <v>0.1</v>
      </c>
      <c r="K9" s="3">
        <f>INDEX(Demand_Modeling!$A$13:$I$49,MATCH(Table3[[#This Row],[Key]],Demand_Modeling!$A$13:$A$49,0),MATCH(Table3[[#Headers],[EAO]],Demand_Modeling!$A$13:$I$13,0))</f>
        <v>0.28000000000000003</v>
      </c>
      <c r="L9" s="3">
        <f>INDEX(Demand_Modeling!$A$13:$I$49,MATCH(Table3[[#This Row],[Key]],Demand_Modeling!$A$13:$A$49,0),MATCH(Table3[[#Headers],[OCC]],Demand_Modeling!$A$13:$I$13,0))</f>
        <v>0</v>
      </c>
      <c r="M9" s="3">
        <f>INDEX(Demand_Modeling!$A$13:$I$49,MATCH(Table3[[#This Row],[Key]],Demand_Modeling!$A$13:$A$49,0),MATCH(Table3[[#Headers],[WEO]],Demand_Modeling!$A$13:$I$13,0))</f>
        <v>0.1</v>
      </c>
      <c r="N9" s="19">
        <f>SUM(Table3[[#This Row],[OFC]:[WEO]])</f>
        <v>1</v>
      </c>
      <c r="O9" s="19"/>
      <c r="Q9" s="3" t="str">
        <f>Table35[[#This Row],[Fiscal_Year]]*100+Table35[[#This Row],[Fiscal_Week]] &amp; "-" &amp;Table35[[#This Row],[Brand]]</f>
        <v>201843-Old Navy</v>
      </c>
      <c r="R9" t="str">
        <f>Table3[[#This Row],[Key]]</f>
        <v>2018-Old Navy</v>
      </c>
      <c r="S9">
        <f>Table3[[#This Row],[Fiscal_Year]]</f>
        <v>2018</v>
      </c>
      <c r="T9">
        <f>Table3[[#This Row],[Fiscal_Week]]</f>
        <v>43</v>
      </c>
      <c r="U9" t="str">
        <f>Table3[[#This Row],[Brand]]</f>
        <v>Old Navy</v>
      </c>
      <c r="V9">
        <f>Table3[[#This Row],[Demand]]</f>
        <v>6758055</v>
      </c>
      <c r="W9">
        <f>Table3[[#This Row],[OFC]]*Table3[[#This Row],[Demand]]</f>
        <v>1824674.85</v>
      </c>
      <c r="X9">
        <f>Table3[[#This Row],[TFC]]*Table3[[#This Row],[Demand]]</f>
        <v>1689513.75</v>
      </c>
      <c r="Y9">
        <f>Table3[[#This Row],[WFC]]*Table3[[#This Row],[Demand]]</f>
        <v>675805.5</v>
      </c>
      <c r="Z9">
        <f>Table3[[#This Row],[EAO]]*Table3[[#This Row],[Demand]]</f>
        <v>1892255.4000000001</v>
      </c>
      <c r="AA9">
        <f>Table3[[#This Row],[OCC]]*Table3[[#This Row],[Demand]]</f>
        <v>0</v>
      </c>
      <c r="AB9">
        <f>Table3[[#This Row],[WEO]]*Table3[[#This Row],[Demand]]</f>
        <v>675805.5</v>
      </c>
      <c r="AC9" s="19">
        <f>SUM(Table35[[#This Row],[OFC]:[WEO]])</f>
        <v>6758055</v>
      </c>
      <c r="AD9" s="19">
        <f>Table35[[#This Row],[Demand]]-Table35[[#This Row],[Total_Modeled_Demand]]</f>
        <v>0</v>
      </c>
    </row>
    <row r="10" spans="1:30" x14ac:dyDescent="0.3">
      <c r="B10" s="3" t="str">
        <f>Table3[[#This Row],[Fiscal_Year]]*100+Table3[[#This Row],[Fiscal_Week]] &amp; "-" &amp;Table3[[#This Row],[Brand]]</f>
        <v>201844-Athleta</v>
      </c>
      <c r="C10" t="str">
        <f t="shared" si="0"/>
        <v>2018-Athleta</v>
      </c>
      <c r="D10">
        <v>2018</v>
      </c>
      <c r="E10">
        <v>44</v>
      </c>
      <c r="F10" t="s">
        <v>19</v>
      </c>
      <c r="G10">
        <v>232345</v>
      </c>
      <c r="H10" s="3">
        <f>INDEX(Demand_Modeling!$A$13:$I$49,MATCH(Table3[[#This Row],[Key]],Demand_Modeling!$A$13:$A$49,0),MATCH(Table3[[#Headers],[OFC]],Demand_Modeling!$A$13:$I$13,0))</f>
        <v>0</v>
      </c>
      <c r="I10" s="3">
        <f>INDEX(Demand_Modeling!$A$13:$I$49,MATCH(Table3[[#This Row],[Key]],Demand_Modeling!$A$13:$A$49,0),MATCH(Table3[[#Headers],[TFC]],Demand_Modeling!$A$13:$I$13,0))</f>
        <v>1</v>
      </c>
      <c r="J10" s="3">
        <f>INDEX(Demand_Modeling!$A$13:$I$49,MATCH(Table3[[#This Row],[Key]],Demand_Modeling!$A$13:$A$49,0),MATCH(Table3[[#Headers],[WFC]],Demand_Modeling!$A$13:$I$13,0))</f>
        <v>0</v>
      </c>
      <c r="K10" s="3">
        <f>INDEX(Demand_Modeling!$A$13:$I$49,MATCH(Table3[[#This Row],[Key]],Demand_Modeling!$A$13:$A$49,0),MATCH(Table3[[#Headers],[EAO]],Demand_Modeling!$A$13:$I$13,0))</f>
        <v>3.447122356821831E-5</v>
      </c>
      <c r="L10" s="3">
        <f>INDEX(Demand_Modeling!$A$13:$I$49,MATCH(Table3[[#This Row],[Key]],Demand_Modeling!$A$13:$A$49,0),MATCH(Table3[[#Headers],[OCC]],Demand_Modeling!$A$13:$I$13,0))</f>
        <v>0</v>
      </c>
      <c r="M10" s="3">
        <f>INDEX(Demand_Modeling!$A$13:$I$49,MATCH(Table3[[#This Row],[Key]],Demand_Modeling!$A$13:$A$49,0),MATCH(Table3[[#Headers],[WEO]],Demand_Modeling!$A$13:$I$13,0))</f>
        <v>0</v>
      </c>
      <c r="N10" s="19">
        <f>SUM(Table3[[#This Row],[OFC]:[WEO]])</f>
        <v>1.0000344712235683</v>
      </c>
      <c r="O10" s="19"/>
      <c r="Q10" s="3" t="str">
        <f>Table35[[#This Row],[Fiscal_Year]]*100+Table35[[#This Row],[Fiscal_Week]] &amp; "-" &amp;Table35[[#This Row],[Brand]]</f>
        <v>201844-Athleta</v>
      </c>
      <c r="R10" t="str">
        <f>Table3[[#This Row],[Key]]</f>
        <v>2018-Athleta</v>
      </c>
      <c r="S10">
        <f>Table3[[#This Row],[Fiscal_Year]]</f>
        <v>2018</v>
      </c>
      <c r="T10">
        <f>Table3[[#This Row],[Fiscal_Week]]</f>
        <v>44</v>
      </c>
      <c r="U10" t="str">
        <f>Table3[[#This Row],[Brand]]</f>
        <v>Athleta</v>
      </c>
      <c r="V10">
        <f>Table3[[#This Row],[Demand]]</f>
        <v>232345</v>
      </c>
      <c r="W10">
        <f>Table3[[#This Row],[OFC]]*Table3[[#This Row],[Demand]]</f>
        <v>0</v>
      </c>
      <c r="X10">
        <f>Table3[[#This Row],[TFC]]*Table3[[#This Row],[Demand]]</f>
        <v>232345</v>
      </c>
      <c r="Y10">
        <f>Table3[[#This Row],[WFC]]*Table3[[#This Row],[Demand]]</f>
        <v>0</v>
      </c>
      <c r="Z10">
        <f>Table3[[#This Row],[EAO]]*Table3[[#This Row],[Demand]]</f>
        <v>8.0092164399576831</v>
      </c>
      <c r="AA10">
        <f>Table3[[#This Row],[OCC]]*Table3[[#This Row],[Demand]]</f>
        <v>0</v>
      </c>
      <c r="AB10">
        <f>Table3[[#This Row],[WEO]]*Table3[[#This Row],[Demand]]</f>
        <v>0</v>
      </c>
      <c r="AC10" s="19">
        <f>SUM(Table35[[#This Row],[OFC]:[WEO]])</f>
        <v>232353.00921643997</v>
      </c>
      <c r="AD10" s="19">
        <f>Table35[[#This Row],[Demand]]-Table35[[#This Row],[Total_Modeled_Demand]]</f>
        <v>-8.0092164399684407</v>
      </c>
    </row>
    <row r="11" spans="1:30" x14ac:dyDescent="0.3">
      <c r="B11" s="3" t="str">
        <f>Table3[[#This Row],[Fiscal_Year]]*100+Table3[[#This Row],[Fiscal_Week]] &amp; "-" &amp;Table3[[#This Row],[Brand]]</f>
        <v>201844-Banana Republic</v>
      </c>
      <c r="C11" t="str">
        <f t="shared" si="0"/>
        <v>2018-Banana Republic</v>
      </c>
      <c r="D11">
        <v>2018</v>
      </c>
      <c r="E11">
        <v>44</v>
      </c>
      <c r="F11" t="s">
        <v>18</v>
      </c>
      <c r="G11">
        <v>435927</v>
      </c>
      <c r="H11" s="3">
        <f>INDEX(Demand_Modeling!$A$13:$I$49,MATCH(Table3[[#This Row],[Key]],Demand_Modeling!$A$13:$A$49,0),MATCH(Table3[[#Headers],[OFC]],Demand_Modeling!$A$13:$I$13,0))</f>
        <v>0</v>
      </c>
      <c r="I11" s="3">
        <f>INDEX(Demand_Modeling!$A$13:$I$49,MATCH(Table3[[#This Row],[Key]],Demand_Modeling!$A$13:$A$49,0),MATCH(Table3[[#Headers],[TFC]],Demand_Modeling!$A$13:$I$13,0))</f>
        <v>1</v>
      </c>
      <c r="J11" s="3">
        <f>INDEX(Demand_Modeling!$A$13:$I$49,MATCH(Table3[[#This Row],[Key]],Demand_Modeling!$A$13:$A$49,0),MATCH(Table3[[#Headers],[WFC]],Demand_Modeling!$A$13:$I$13,0))</f>
        <v>3.4959629396853166E-6</v>
      </c>
      <c r="K11" s="3">
        <f>INDEX(Demand_Modeling!$A$13:$I$49,MATCH(Table3[[#This Row],[Key]],Demand_Modeling!$A$13:$A$49,0),MATCH(Table3[[#Headers],[EAO]],Demand_Modeling!$A$13:$I$13,0))</f>
        <v>4.2339995602855504E-5</v>
      </c>
      <c r="L11" s="3">
        <f>INDEX(Demand_Modeling!$A$13:$I$49,MATCH(Table3[[#This Row],[Key]],Demand_Modeling!$A$13:$A$49,0),MATCH(Table3[[#Headers],[OCC]],Demand_Modeling!$A$13:$I$13,0))</f>
        <v>0</v>
      </c>
      <c r="M11" s="3">
        <f>INDEX(Demand_Modeling!$A$13:$I$49,MATCH(Table3[[#This Row],[Key]],Demand_Modeling!$A$13:$A$49,0),MATCH(Table3[[#Headers],[WEO]],Demand_Modeling!$A$13:$I$13,0))</f>
        <v>0</v>
      </c>
      <c r="N11" s="19">
        <f>SUM(Table3[[#This Row],[OFC]:[WEO]])</f>
        <v>1.0000458359585425</v>
      </c>
      <c r="O11" s="19"/>
      <c r="Q11" s="3" t="str">
        <f>Table35[[#This Row],[Fiscal_Year]]*100+Table35[[#This Row],[Fiscal_Week]] &amp; "-" &amp;Table35[[#This Row],[Brand]]</f>
        <v>201844-Banana Republic</v>
      </c>
      <c r="R11" t="str">
        <f>Table3[[#This Row],[Key]]</f>
        <v>2018-Banana Republic</v>
      </c>
      <c r="S11">
        <f>Table3[[#This Row],[Fiscal_Year]]</f>
        <v>2018</v>
      </c>
      <c r="T11">
        <f>Table3[[#This Row],[Fiscal_Week]]</f>
        <v>44</v>
      </c>
      <c r="U11" t="str">
        <f>Table3[[#This Row],[Brand]]</f>
        <v>Banana Republic</v>
      </c>
      <c r="V11">
        <f>Table3[[#This Row],[Demand]]</f>
        <v>435927</v>
      </c>
      <c r="W11">
        <f>Table3[[#This Row],[OFC]]*Table3[[#This Row],[Demand]]</f>
        <v>0</v>
      </c>
      <c r="X11">
        <f>Table3[[#This Row],[TFC]]*Table3[[#This Row],[Demand]]</f>
        <v>435927</v>
      </c>
      <c r="Y11">
        <f>Table3[[#This Row],[WFC]]*Table3[[#This Row],[Demand]]</f>
        <v>1.523984636408201</v>
      </c>
      <c r="Z11">
        <f>Table3[[#This Row],[EAO]]*Table3[[#This Row],[Demand]]</f>
        <v>18.457147263165993</v>
      </c>
      <c r="AA11">
        <f>Table3[[#This Row],[OCC]]*Table3[[#This Row],[Demand]]</f>
        <v>0</v>
      </c>
      <c r="AB11">
        <f>Table3[[#This Row],[WEO]]*Table3[[#This Row],[Demand]]</f>
        <v>0</v>
      </c>
      <c r="AC11" s="19">
        <f>SUM(Table35[[#This Row],[OFC]:[WEO]])</f>
        <v>435946.98113189958</v>
      </c>
      <c r="AD11" s="19">
        <f>Table35[[#This Row],[Demand]]-Table35[[#This Row],[Total_Modeled_Demand]]</f>
        <v>-19.981131899578031</v>
      </c>
    </row>
    <row r="12" spans="1:30" x14ac:dyDescent="0.3">
      <c r="B12" s="3" t="str">
        <f>Table3[[#This Row],[Fiscal_Year]]*100+Table3[[#This Row],[Fiscal_Week]] &amp; "-" &amp;Table3[[#This Row],[Brand]]</f>
        <v>201844-BR Factory Store</v>
      </c>
      <c r="C12" t="str">
        <f t="shared" si="0"/>
        <v>2018-BR Factory Store</v>
      </c>
      <c r="D12">
        <v>2018</v>
      </c>
      <c r="E12">
        <v>44</v>
      </c>
      <c r="F12" t="s">
        <v>17</v>
      </c>
      <c r="G12">
        <v>183985</v>
      </c>
      <c r="H12" s="3">
        <f>INDEX(Demand_Modeling!$A$13:$I$49,MATCH(Table3[[#This Row],[Key]],Demand_Modeling!$A$13:$A$49,0),MATCH(Table3[[#Headers],[OFC]],Demand_Modeling!$A$13:$I$13,0))</f>
        <v>1</v>
      </c>
      <c r="I12" s="3">
        <f>INDEX(Demand_Modeling!$A$13:$I$49,MATCH(Table3[[#This Row],[Key]],Demand_Modeling!$A$13:$A$49,0),MATCH(Table3[[#Headers],[TFC]],Demand_Modeling!$A$13:$I$13,0))</f>
        <v>0</v>
      </c>
      <c r="J12" s="3">
        <f>INDEX(Demand_Modeling!$A$13:$I$49,MATCH(Table3[[#This Row],[Key]],Demand_Modeling!$A$13:$A$49,0),MATCH(Table3[[#Headers],[WFC]],Demand_Modeling!$A$13:$I$13,0))</f>
        <v>0</v>
      </c>
      <c r="K12" s="3">
        <f>INDEX(Demand_Modeling!$A$13:$I$49,MATCH(Table3[[#This Row],[Key]],Demand_Modeling!$A$13:$A$49,0),MATCH(Table3[[#Headers],[EAO]],Demand_Modeling!$A$13:$I$13,0))</f>
        <v>0</v>
      </c>
      <c r="L12" s="3">
        <f>INDEX(Demand_Modeling!$A$13:$I$49,MATCH(Table3[[#This Row],[Key]],Demand_Modeling!$A$13:$A$49,0),MATCH(Table3[[#Headers],[OCC]],Demand_Modeling!$A$13:$I$13,0))</f>
        <v>0</v>
      </c>
      <c r="M12" s="3">
        <f>INDEX(Demand_Modeling!$A$13:$I$49,MATCH(Table3[[#This Row],[Key]],Demand_Modeling!$A$13:$A$49,0),MATCH(Table3[[#Headers],[WEO]],Demand_Modeling!$A$13:$I$13,0))</f>
        <v>0</v>
      </c>
      <c r="N12" s="19">
        <f>SUM(Table3[[#This Row],[OFC]:[WEO]])</f>
        <v>1</v>
      </c>
      <c r="O12" s="19"/>
      <c r="Q12" s="3" t="str">
        <f>Table35[[#This Row],[Fiscal_Year]]*100+Table35[[#This Row],[Fiscal_Week]] &amp; "-" &amp;Table35[[#This Row],[Brand]]</f>
        <v>201844-BR Factory Store</v>
      </c>
      <c r="R12" t="str">
        <f>Table3[[#This Row],[Key]]</f>
        <v>2018-BR Factory Store</v>
      </c>
      <c r="S12">
        <f>Table3[[#This Row],[Fiscal_Year]]</f>
        <v>2018</v>
      </c>
      <c r="T12">
        <f>Table3[[#This Row],[Fiscal_Week]]</f>
        <v>44</v>
      </c>
      <c r="U12" t="str">
        <f>Table3[[#This Row],[Brand]]</f>
        <v>BR Factory Store</v>
      </c>
      <c r="V12">
        <f>Table3[[#This Row],[Demand]]</f>
        <v>183985</v>
      </c>
      <c r="W12">
        <f>Table3[[#This Row],[OFC]]*Table3[[#This Row],[Demand]]</f>
        <v>183985</v>
      </c>
      <c r="X12">
        <f>Table3[[#This Row],[TFC]]*Table3[[#This Row],[Demand]]</f>
        <v>0</v>
      </c>
      <c r="Y12">
        <f>Table3[[#This Row],[WFC]]*Table3[[#This Row],[Demand]]</f>
        <v>0</v>
      </c>
      <c r="Z12">
        <f>Table3[[#This Row],[EAO]]*Table3[[#This Row],[Demand]]</f>
        <v>0</v>
      </c>
      <c r="AA12">
        <f>Table3[[#This Row],[OCC]]*Table3[[#This Row],[Demand]]</f>
        <v>0</v>
      </c>
      <c r="AB12">
        <f>Table3[[#This Row],[WEO]]*Table3[[#This Row],[Demand]]</f>
        <v>0</v>
      </c>
      <c r="AC12" s="19">
        <f>SUM(Table35[[#This Row],[OFC]:[WEO]])</f>
        <v>183985</v>
      </c>
      <c r="AD12" s="19">
        <f>Table35[[#This Row],[Demand]]-Table35[[#This Row],[Total_Modeled_Demand]]</f>
        <v>0</v>
      </c>
    </row>
    <row r="13" spans="1:30" x14ac:dyDescent="0.3">
      <c r="B13" s="3" t="str">
        <f>Table3[[#This Row],[Fiscal_Year]]*100+Table3[[#This Row],[Fiscal_Week]] &amp; "-" &amp;Table3[[#This Row],[Brand]]</f>
        <v>201844-Gap</v>
      </c>
      <c r="C13" t="str">
        <f t="shared" si="0"/>
        <v>2018-Gap</v>
      </c>
      <c r="D13">
        <v>2018</v>
      </c>
      <c r="E13">
        <v>44</v>
      </c>
      <c r="F13" t="s">
        <v>16</v>
      </c>
      <c r="G13">
        <v>2309156</v>
      </c>
      <c r="H13" s="3">
        <f>INDEX(Demand_Modeling!$A$13:$I$49,MATCH(Table3[[#This Row],[Key]],Demand_Modeling!$A$13:$A$49,0),MATCH(Table3[[#Headers],[OFC]],Demand_Modeling!$A$13:$I$13,0))</f>
        <v>0.25</v>
      </c>
      <c r="I13" s="3">
        <f>INDEX(Demand_Modeling!$A$13:$I$49,MATCH(Table3[[#This Row],[Key]],Demand_Modeling!$A$13:$A$49,0),MATCH(Table3[[#Headers],[TFC]],Demand_Modeling!$A$13:$I$13,0))</f>
        <v>0.2</v>
      </c>
      <c r="J13" s="3">
        <f>INDEX(Demand_Modeling!$A$13:$I$49,MATCH(Table3[[#This Row],[Key]],Demand_Modeling!$A$13:$A$49,0),MATCH(Table3[[#Headers],[WFC]],Demand_Modeling!$A$13:$I$13,0))</f>
        <v>0.15</v>
      </c>
      <c r="K13" s="3">
        <f>INDEX(Demand_Modeling!$A$13:$I$49,MATCH(Table3[[#This Row],[Key]],Demand_Modeling!$A$13:$A$49,0),MATCH(Table3[[#Headers],[EAO]],Demand_Modeling!$A$13:$I$13,0))</f>
        <v>0</v>
      </c>
      <c r="L13" s="3">
        <f>INDEX(Demand_Modeling!$A$13:$I$49,MATCH(Table3[[#This Row],[Key]],Demand_Modeling!$A$13:$A$49,0),MATCH(Table3[[#Headers],[OCC]],Demand_Modeling!$A$13:$I$13,0))</f>
        <v>0</v>
      </c>
      <c r="M13" s="3">
        <f>INDEX(Demand_Modeling!$A$13:$I$49,MATCH(Table3[[#This Row],[Key]],Demand_Modeling!$A$13:$A$49,0),MATCH(Table3[[#Headers],[WEO]],Demand_Modeling!$A$13:$I$13,0))</f>
        <v>0.4</v>
      </c>
      <c r="N13" s="19">
        <f>SUM(Table3[[#This Row],[OFC]:[WEO]])</f>
        <v>1</v>
      </c>
      <c r="O13" s="19"/>
      <c r="Q13" s="3" t="str">
        <f>Table35[[#This Row],[Fiscal_Year]]*100+Table35[[#This Row],[Fiscal_Week]] &amp; "-" &amp;Table35[[#This Row],[Brand]]</f>
        <v>201844-Gap</v>
      </c>
      <c r="R13" t="str">
        <f>Table3[[#This Row],[Key]]</f>
        <v>2018-Gap</v>
      </c>
      <c r="S13">
        <f>Table3[[#This Row],[Fiscal_Year]]</f>
        <v>2018</v>
      </c>
      <c r="T13">
        <f>Table3[[#This Row],[Fiscal_Week]]</f>
        <v>44</v>
      </c>
      <c r="U13" t="str">
        <f>Table3[[#This Row],[Brand]]</f>
        <v>Gap</v>
      </c>
      <c r="V13">
        <f>Table3[[#This Row],[Demand]]</f>
        <v>2309156</v>
      </c>
      <c r="W13">
        <f>Table3[[#This Row],[OFC]]*Table3[[#This Row],[Demand]]</f>
        <v>577289</v>
      </c>
      <c r="X13">
        <f>Table3[[#This Row],[TFC]]*Table3[[#This Row],[Demand]]</f>
        <v>461831.2</v>
      </c>
      <c r="Y13">
        <f>Table3[[#This Row],[WFC]]*Table3[[#This Row],[Demand]]</f>
        <v>346373.39999999997</v>
      </c>
      <c r="Z13">
        <f>Table3[[#This Row],[EAO]]*Table3[[#This Row],[Demand]]</f>
        <v>0</v>
      </c>
      <c r="AA13">
        <f>Table3[[#This Row],[OCC]]*Table3[[#This Row],[Demand]]</f>
        <v>0</v>
      </c>
      <c r="AB13">
        <f>Table3[[#This Row],[WEO]]*Table3[[#This Row],[Demand]]</f>
        <v>923662.4</v>
      </c>
      <c r="AC13" s="19">
        <f>SUM(Table35[[#This Row],[OFC]:[WEO]])</f>
        <v>2309156</v>
      </c>
      <c r="AD13" s="19">
        <f>Table35[[#This Row],[Demand]]-Table35[[#This Row],[Total_Modeled_Demand]]</f>
        <v>0</v>
      </c>
    </row>
    <row r="14" spans="1:30" x14ac:dyDescent="0.3">
      <c r="B14" s="3" t="str">
        <f>Table3[[#This Row],[Fiscal_Year]]*100+Table3[[#This Row],[Fiscal_Week]] &amp; "-" &amp;Table3[[#This Row],[Brand]]</f>
        <v>201844-Gap Factory Store</v>
      </c>
      <c r="C14" t="str">
        <f t="shared" si="0"/>
        <v>2018-Gap Factory Store</v>
      </c>
      <c r="D14">
        <v>2018</v>
      </c>
      <c r="E14">
        <v>44</v>
      </c>
      <c r="F14" t="s">
        <v>22</v>
      </c>
      <c r="G14">
        <v>559923</v>
      </c>
      <c r="H14" s="3">
        <f>INDEX(Demand_Modeling!$A$13:$I$49,MATCH(Table3[[#This Row],[Key]],Demand_Modeling!$A$13:$A$49,0),MATCH(Table3[[#Headers],[OFC]],Demand_Modeling!$A$13:$I$13,0))</f>
        <v>1</v>
      </c>
      <c r="I14" s="3">
        <f>INDEX(Demand_Modeling!$A$13:$I$49,MATCH(Table3[[#This Row],[Key]],Demand_Modeling!$A$13:$A$49,0),MATCH(Table3[[#Headers],[TFC]],Demand_Modeling!$A$13:$I$13,0))</f>
        <v>0</v>
      </c>
      <c r="J14" s="3">
        <f>INDEX(Demand_Modeling!$A$13:$I$49,MATCH(Table3[[#This Row],[Key]],Demand_Modeling!$A$13:$A$49,0),MATCH(Table3[[#Headers],[WFC]],Demand_Modeling!$A$13:$I$13,0))</f>
        <v>0</v>
      </c>
      <c r="K14" s="3">
        <f>INDEX(Demand_Modeling!$A$13:$I$49,MATCH(Table3[[#This Row],[Key]],Demand_Modeling!$A$13:$A$49,0),MATCH(Table3[[#Headers],[EAO]],Demand_Modeling!$A$13:$I$13,0))</f>
        <v>0</v>
      </c>
      <c r="L14" s="3">
        <f>INDEX(Demand_Modeling!$A$13:$I$49,MATCH(Table3[[#This Row],[Key]],Demand_Modeling!$A$13:$A$49,0),MATCH(Table3[[#Headers],[OCC]],Demand_Modeling!$A$13:$I$13,0))</f>
        <v>0</v>
      </c>
      <c r="M14" s="3">
        <f>INDEX(Demand_Modeling!$A$13:$I$49,MATCH(Table3[[#This Row],[Key]],Demand_Modeling!$A$13:$A$49,0),MATCH(Table3[[#Headers],[WEO]],Demand_Modeling!$A$13:$I$13,0))</f>
        <v>0</v>
      </c>
      <c r="N14" s="19">
        <f>SUM(Table3[[#This Row],[OFC]:[WEO]])</f>
        <v>1</v>
      </c>
      <c r="O14" s="19"/>
      <c r="Q14" s="3" t="str">
        <f>Table35[[#This Row],[Fiscal_Year]]*100+Table35[[#This Row],[Fiscal_Week]] &amp; "-" &amp;Table35[[#This Row],[Brand]]</f>
        <v>201844-Gap Factory Store</v>
      </c>
      <c r="R14" t="str">
        <f>Table3[[#This Row],[Key]]</f>
        <v>2018-Gap Factory Store</v>
      </c>
      <c r="S14">
        <f>Table3[[#This Row],[Fiscal_Year]]</f>
        <v>2018</v>
      </c>
      <c r="T14">
        <f>Table3[[#This Row],[Fiscal_Week]]</f>
        <v>44</v>
      </c>
      <c r="U14" t="str">
        <f>Table3[[#This Row],[Brand]]</f>
        <v>Gap Factory Store</v>
      </c>
      <c r="V14">
        <f>Table3[[#This Row],[Demand]]</f>
        <v>559923</v>
      </c>
      <c r="W14">
        <f>Table3[[#This Row],[OFC]]*Table3[[#This Row],[Demand]]</f>
        <v>559923</v>
      </c>
      <c r="X14">
        <f>Table3[[#This Row],[TFC]]*Table3[[#This Row],[Demand]]</f>
        <v>0</v>
      </c>
      <c r="Y14">
        <f>Table3[[#This Row],[WFC]]*Table3[[#This Row],[Demand]]</f>
        <v>0</v>
      </c>
      <c r="Z14">
        <f>Table3[[#This Row],[EAO]]*Table3[[#This Row],[Demand]]</f>
        <v>0</v>
      </c>
      <c r="AA14">
        <f>Table3[[#This Row],[OCC]]*Table3[[#This Row],[Demand]]</f>
        <v>0</v>
      </c>
      <c r="AB14">
        <f>Table3[[#This Row],[WEO]]*Table3[[#This Row],[Demand]]</f>
        <v>0</v>
      </c>
      <c r="AC14" s="19">
        <f>SUM(Table35[[#This Row],[OFC]:[WEO]])</f>
        <v>559923</v>
      </c>
      <c r="AD14" s="19">
        <f>Table35[[#This Row],[Demand]]-Table35[[#This Row],[Total_Modeled_Demand]]</f>
        <v>0</v>
      </c>
    </row>
    <row r="15" spans="1:30" x14ac:dyDescent="0.3">
      <c r="B15" s="3" t="str">
        <f>Table3[[#This Row],[Fiscal_Year]]*100+Table3[[#This Row],[Fiscal_Week]] &amp; "-" &amp;Table3[[#This Row],[Brand]]</f>
        <v>201844-Old Navy</v>
      </c>
      <c r="C15" t="str">
        <f t="shared" si="0"/>
        <v>2018-Old Navy</v>
      </c>
      <c r="D15">
        <v>2018</v>
      </c>
      <c r="E15">
        <v>44</v>
      </c>
      <c r="F15" t="s">
        <v>20</v>
      </c>
      <c r="G15">
        <v>5401137</v>
      </c>
      <c r="H15" s="3">
        <f>INDEX(Demand_Modeling!$A$13:$I$49,MATCH(Table3[[#This Row],[Key]],Demand_Modeling!$A$13:$A$49,0),MATCH(Table3[[#Headers],[OFC]],Demand_Modeling!$A$13:$I$13,0))</f>
        <v>0.27</v>
      </c>
      <c r="I15" s="3">
        <f>INDEX(Demand_Modeling!$A$13:$I$49,MATCH(Table3[[#This Row],[Key]],Demand_Modeling!$A$13:$A$49,0),MATCH(Table3[[#Headers],[TFC]],Demand_Modeling!$A$13:$I$13,0))</f>
        <v>0.25</v>
      </c>
      <c r="J15" s="3">
        <f>INDEX(Demand_Modeling!$A$13:$I$49,MATCH(Table3[[#This Row],[Key]],Demand_Modeling!$A$13:$A$49,0),MATCH(Table3[[#Headers],[WFC]],Demand_Modeling!$A$13:$I$13,0))</f>
        <v>0.1</v>
      </c>
      <c r="K15" s="3">
        <f>INDEX(Demand_Modeling!$A$13:$I$49,MATCH(Table3[[#This Row],[Key]],Demand_Modeling!$A$13:$A$49,0),MATCH(Table3[[#Headers],[EAO]],Demand_Modeling!$A$13:$I$13,0))</f>
        <v>0.28000000000000003</v>
      </c>
      <c r="L15" s="3">
        <f>INDEX(Demand_Modeling!$A$13:$I$49,MATCH(Table3[[#This Row],[Key]],Demand_Modeling!$A$13:$A$49,0),MATCH(Table3[[#Headers],[OCC]],Demand_Modeling!$A$13:$I$13,0))</f>
        <v>0</v>
      </c>
      <c r="M15" s="3">
        <f>INDEX(Demand_Modeling!$A$13:$I$49,MATCH(Table3[[#This Row],[Key]],Demand_Modeling!$A$13:$A$49,0),MATCH(Table3[[#Headers],[WEO]],Demand_Modeling!$A$13:$I$13,0))</f>
        <v>0.1</v>
      </c>
      <c r="N15" s="19">
        <f>SUM(Table3[[#This Row],[OFC]:[WEO]])</f>
        <v>1</v>
      </c>
      <c r="O15" s="19"/>
      <c r="Q15" s="3" t="str">
        <f>Table35[[#This Row],[Fiscal_Year]]*100+Table35[[#This Row],[Fiscal_Week]] &amp; "-" &amp;Table35[[#This Row],[Brand]]</f>
        <v>201844-Old Navy</v>
      </c>
      <c r="R15" t="str">
        <f>Table3[[#This Row],[Key]]</f>
        <v>2018-Old Navy</v>
      </c>
      <c r="S15">
        <f>Table3[[#This Row],[Fiscal_Year]]</f>
        <v>2018</v>
      </c>
      <c r="T15">
        <f>Table3[[#This Row],[Fiscal_Week]]</f>
        <v>44</v>
      </c>
      <c r="U15" t="str">
        <f>Table3[[#This Row],[Brand]]</f>
        <v>Old Navy</v>
      </c>
      <c r="V15">
        <f>Table3[[#This Row],[Demand]]</f>
        <v>5401137</v>
      </c>
      <c r="W15">
        <f>Table3[[#This Row],[OFC]]*Table3[[#This Row],[Demand]]</f>
        <v>1458306.99</v>
      </c>
      <c r="X15">
        <f>Table3[[#This Row],[TFC]]*Table3[[#This Row],[Demand]]</f>
        <v>1350284.25</v>
      </c>
      <c r="Y15">
        <f>Table3[[#This Row],[WFC]]*Table3[[#This Row],[Demand]]</f>
        <v>540113.70000000007</v>
      </c>
      <c r="Z15">
        <f>Table3[[#This Row],[EAO]]*Table3[[#This Row],[Demand]]</f>
        <v>1512318.36</v>
      </c>
      <c r="AA15">
        <f>Table3[[#This Row],[OCC]]*Table3[[#This Row],[Demand]]</f>
        <v>0</v>
      </c>
      <c r="AB15">
        <f>Table3[[#This Row],[WEO]]*Table3[[#This Row],[Demand]]</f>
        <v>540113.70000000007</v>
      </c>
      <c r="AC15" s="19">
        <f>SUM(Table35[[#This Row],[OFC]:[WEO]])</f>
        <v>5401137.0000000009</v>
      </c>
      <c r="AD15" s="19">
        <f>Table35[[#This Row],[Demand]]-Table35[[#This Row],[Total_Modeled_Demand]]</f>
        <v>0</v>
      </c>
    </row>
    <row r="16" spans="1:30" x14ac:dyDescent="0.3">
      <c r="B16" s="3" t="str">
        <f>Table3[[#This Row],[Fiscal_Year]]*100+Table3[[#This Row],[Fiscal_Week]] &amp; "-" &amp;Table3[[#This Row],[Brand]]</f>
        <v>201845-Athleta</v>
      </c>
      <c r="C16" t="str">
        <f t="shared" si="0"/>
        <v>2018-Athleta</v>
      </c>
      <c r="D16">
        <v>2018</v>
      </c>
      <c r="E16">
        <v>45</v>
      </c>
      <c r="F16" t="s">
        <v>19</v>
      </c>
      <c r="G16">
        <v>149265</v>
      </c>
      <c r="H16" s="3">
        <f>INDEX(Demand_Modeling!$A$13:$I$49,MATCH(Table3[[#This Row],[Key]],Demand_Modeling!$A$13:$A$49,0),MATCH(Table3[[#Headers],[OFC]],Demand_Modeling!$A$13:$I$13,0))</f>
        <v>0</v>
      </c>
      <c r="I16" s="3">
        <f>INDEX(Demand_Modeling!$A$13:$I$49,MATCH(Table3[[#This Row],[Key]],Demand_Modeling!$A$13:$A$49,0),MATCH(Table3[[#Headers],[TFC]],Demand_Modeling!$A$13:$I$13,0))</f>
        <v>1</v>
      </c>
      <c r="J16" s="3">
        <f>INDEX(Demand_Modeling!$A$13:$I$49,MATCH(Table3[[#This Row],[Key]],Demand_Modeling!$A$13:$A$49,0),MATCH(Table3[[#Headers],[WFC]],Demand_Modeling!$A$13:$I$13,0))</f>
        <v>0</v>
      </c>
      <c r="K16" s="3">
        <f>INDEX(Demand_Modeling!$A$13:$I$49,MATCH(Table3[[#This Row],[Key]],Demand_Modeling!$A$13:$A$49,0),MATCH(Table3[[#Headers],[EAO]],Demand_Modeling!$A$13:$I$13,0))</f>
        <v>3.447122356821831E-5</v>
      </c>
      <c r="L16" s="3">
        <f>INDEX(Demand_Modeling!$A$13:$I$49,MATCH(Table3[[#This Row],[Key]],Demand_Modeling!$A$13:$A$49,0),MATCH(Table3[[#Headers],[OCC]],Demand_Modeling!$A$13:$I$13,0))</f>
        <v>0</v>
      </c>
      <c r="M16" s="3">
        <f>INDEX(Demand_Modeling!$A$13:$I$49,MATCH(Table3[[#This Row],[Key]],Demand_Modeling!$A$13:$A$49,0),MATCH(Table3[[#Headers],[WEO]],Demand_Modeling!$A$13:$I$13,0))</f>
        <v>0</v>
      </c>
      <c r="N16" s="19">
        <f>SUM(Table3[[#This Row],[OFC]:[WEO]])</f>
        <v>1.0000344712235683</v>
      </c>
      <c r="O16" s="19"/>
      <c r="Q16" s="3" t="str">
        <f>Table35[[#This Row],[Fiscal_Year]]*100+Table35[[#This Row],[Fiscal_Week]] &amp; "-" &amp;Table35[[#This Row],[Brand]]</f>
        <v>201845-Athleta</v>
      </c>
      <c r="R16" t="str">
        <f>Table3[[#This Row],[Key]]</f>
        <v>2018-Athleta</v>
      </c>
      <c r="S16">
        <f>Table3[[#This Row],[Fiscal_Year]]</f>
        <v>2018</v>
      </c>
      <c r="T16">
        <f>Table3[[#This Row],[Fiscal_Week]]</f>
        <v>45</v>
      </c>
      <c r="U16" t="str">
        <f>Table3[[#This Row],[Brand]]</f>
        <v>Athleta</v>
      </c>
      <c r="V16">
        <f>Table3[[#This Row],[Demand]]</f>
        <v>149265</v>
      </c>
      <c r="W16">
        <f>Table3[[#This Row],[OFC]]*Table3[[#This Row],[Demand]]</f>
        <v>0</v>
      </c>
      <c r="X16">
        <f>Table3[[#This Row],[TFC]]*Table3[[#This Row],[Demand]]</f>
        <v>149265</v>
      </c>
      <c r="Y16">
        <f>Table3[[#This Row],[WFC]]*Table3[[#This Row],[Demand]]</f>
        <v>0</v>
      </c>
      <c r="Z16">
        <f>Table3[[#This Row],[EAO]]*Table3[[#This Row],[Demand]]</f>
        <v>5.1453471859101061</v>
      </c>
      <c r="AA16">
        <f>Table3[[#This Row],[OCC]]*Table3[[#This Row],[Demand]]</f>
        <v>0</v>
      </c>
      <c r="AB16">
        <f>Table3[[#This Row],[WEO]]*Table3[[#This Row],[Demand]]</f>
        <v>0</v>
      </c>
      <c r="AC16" s="19">
        <f>SUM(Table35[[#This Row],[OFC]:[WEO]])</f>
        <v>149270.1453471859</v>
      </c>
      <c r="AD16" s="19">
        <f>Table35[[#This Row],[Demand]]-Table35[[#This Row],[Total_Modeled_Demand]]</f>
        <v>-5.1453471858985722</v>
      </c>
    </row>
    <row r="17" spans="2:30" x14ac:dyDescent="0.3">
      <c r="B17" s="3" t="str">
        <f>Table3[[#This Row],[Fiscal_Year]]*100+Table3[[#This Row],[Fiscal_Week]] &amp; "-" &amp;Table3[[#This Row],[Brand]]</f>
        <v>201845-Banana Republic</v>
      </c>
      <c r="C17" t="str">
        <f t="shared" si="0"/>
        <v>2018-Banana Republic</v>
      </c>
      <c r="D17">
        <v>2018</v>
      </c>
      <c r="E17">
        <v>45</v>
      </c>
      <c r="F17" t="s">
        <v>18</v>
      </c>
      <c r="G17">
        <v>210058</v>
      </c>
      <c r="H17" s="3">
        <f>INDEX(Demand_Modeling!$A$13:$I$49,MATCH(Table3[[#This Row],[Key]],Demand_Modeling!$A$13:$A$49,0),MATCH(Table3[[#Headers],[OFC]],Demand_Modeling!$A$13:$I$13,0))</f>
        <v>0</v>
      </c>
      <c r="I17" s="3">
        <f>INDEX(Demand_Modeling!$A$13:$I$49,MATCH(Table3[[#This Row],[Key]],Demand_Modeling!$A$13:$A$49,0),MATCH(Table3[[#Headers],[TFC]],Demand_Modeling!$A$13:$I$13,0))</f>
        <v>1</v>
      </c>
      <c r="J17" s="3">
        <f>INDEX(Demand_Modeling!$A$13:$I$49,MATCH(Table3[[#This Row],[Key]],Demand_Modeling!$A$13:$A$49,0),MATCH(Table3[[#Headers],[WFC]],Demand_Modeling!$A$13:$I$13,0))</f>
        <v>3.4959629396853166E-6</v>
      </c>
      <c r="K17" s="3">
        <f>INDEX(Demand_Modeling!$A$13:$I$49,MATCH(Table3[[#This Row],[Key]],Demand_Modeling!$A$13:$A$49,0),MATCH(Table3[[#Headers],[EAO]],Demand_Modeling!$A$13:$I$13,0))</f>
        <v>4.2339995602855504E-5</v>
      </c>
      <c r="L17" s="3">
        <f>INDEX(Demand_Modeling!$A$13:$I$49,MATCH(Table3[[#This Row],[Key]],Demand_Modeling!$A$13:$A$49,0),MATCH(Table3[[#Headers],[OCC]],Demand_Modeling!$A$13:$I$13,0))</f>
        <v>0</v>
      </c>
      <c r="M17" s="3">
        <f>INDEX(Demand_Modeling!$A$13:$I$49,MATCH(Table3[[#This Row],[Key]],Demand_Modeling!$A$13:$A$49,0),MATCH(Table3[[#Headers],[WEO]],Demand_Modeling!$A$13:$I$13,0))</f>
        <v>0</v>
      </c>
      <c r="N17" s="19">
        <f>SUM(Table3[[#This Row],[OFC]:[WEO]])</f>
        <v>1.0000458359585425</v>
      </c>
      <c r="O17" s="19"/>
      <c r="Q17" s="3" t="str">
        <f>Table35[[#This Row],[Fiscal_Year]]*100+Table35[[#This Row],[Fiscal_Week]] &amp; "-" &amp;Table35[[#This Row],[Brand]]</f>
        <v>201845-Banana Republic</v>
      </c>
      <c r="R17" t="str">
        <f>Table3[[#This Row],[Key]]</f>
        <v>2018-Banana Republic</v>
      </c>
      <c r="S17">
        <f>Table3[[#This Row],[Fiscal_Year]]</f>
        <v>2018</v>
      </c>
      <c r="T17">
        <f>Table3[[#This Row],[Fiscal_Week]]</f>
        <v>45</v>
      </c>
      <c r="U17" t="str">
        <f>Table3[[#This Row],[Brand]]</f>
        <v>Banana Republic</v>
      </c>
      <c r="V17">
        <f>Table3[[#This Row],[Demand]]</f>
        <v>210058</v>
      </c>
      <c r="W17">
        <f>Table3[[#This Row],[OFC]]*Table3[[#This Row],[Demand]]</f>
        <v>0</v>
      </c>
      <c r="X17">
        <f>Table3[[#This Row],[TFC]]*Table3[[#This Row],[Demand]]</f>
        <v>210058</v>
      </c>
      <c r="Y17">
        <f>Table3[[#This Row],[WFC]]*Table3[[#This Row],[Demand]]</f>
        <v>0.73435498318441828</v>
      </c>
      <c r="Z17">
        <f>Table3[[#This Row],[EAO]]*Table3[[#This Row],[Demand]]</f>
        <v>8.8938547963446215</v>
      </c>
      <c r="AA17">
        <f>Table3[[#This Row],[OCC]]*Table3[[#This Row],[Demand]]</f>
        <v>0</v>
      </c>
      <c r="AB17">
        <f>Table3[[#This Row],[WEO]]*Table3[[#This Row],[Demand]]</f>
        <v>0</v>
      </c>
      <c r="AC17" s="19">
        <f>SUM(Table35[[#This Row],[OFC]:[WEO]])</f>
        <v>210067.6282097795</v>
      </c>
      <c r="AD17" s="19">
        <f>Table35[[#This Row],[Demand]]-Table35[[#This Row],[Total_Modeled_Demand]]</f>
        <v>-9.6282097795046866</v>
      </c>
    </row>
    <row r="18" spans="2:30" x14ac:dyDescent="0.3">
      <c r="B18" s="3" t="str">
        <f>Table3[[#This Row],[Fiscal_Year]]*100+Table3[[#This Row],[Fiscal_Week]] &amp; "-" &amp;Table3[[#This Row],[Brand]]</f>
        <v>201845-BR Factory Store</v>
      </c>
      <c r="C18" t="str">
        <f t="shared" si="0"/>
        <v>2018-BR Factory Store</v>
      </c>
      <c r="D18">
        <v>2018</v>
      </c>
      <c r="E18">
        <v>45</v>
      </c>
      <c r="F18" t="s">
        <v>17</v>
      </c>
      <c r="G18">
        <v>50728</v>
      </c>
      <c r="H18" s="3">
        <f>INDEX(Demand_Modeling!$A$13:$I$49,MATCH(Table3[[#This Row],[Key]],Demand_Modeling!$A$13:$A$49,0),MATCH(Table3[[#Headers],[OFC]],Demand_Modeling!$A$13:$I$13,0))</f>
        <v>1</v>
      </c>
      <c r="I18" s="3">
        <f>INDEX(Demand_Modeling!$A$13:$I$49,MATCH(Table3[[#This Row],[Key]],Demand_Modeling!$A$13:$A$49,0),MATCH(Table3[[#Headers],[TFC]],Demand_Modeling!$A$13:$I$13,0))</f>
        <v>0</v>
      </c>
      <c r="J18" s="3">
        <f>INDEX(Demand_Modeling!$A$13:$I$49,MATCH(Table3[[#This Row],[Key]],Demand_Modeling!$A$13:$A$49,0),MATCH(Table3[[#Headers],[WFC]],Demand_Modeling!$A$13:$I$13,0))</f>
        <v>0</v>
      </c>
      <c r="K18" s="3">
        <f>INDEX(Demand_Modeling!$A$13:$I$49,MATCH(Table3[[#This Row],[Key]],Demand_Modeling!$A$13:$A$49,0),MATCH(Table3[[#Headers],[EAO]],Demand_Modeling!$A$13:$I$13,0))</f>
        <v>0</v>
      </c>
      <c r="L18" s="3">
        <f>INDEX(Demand_Modeling!$A$13:$I$49,MATCH(Table3[[#This Row],[Key]],Demand_Modeling!$A$13:$A$49,0),MATCH(Table3[[#Headers],[OCC]],Demand_Modeling!$A$13:$I$13,0))</f>
        <v>0</v>
      </c>
      <c r="M18" s="3">
        <f>INDEX(Demand_Modeling!$A$13:$I$49,MATCH(Table3[[#This Row],[Key]],Demand_Modeling!$A$13:$A$49,0),MATCH(Table3[[#Headers],[WEO]],Demand_Modeling!$A$13:$I$13,0))</f>
        <v>0</v>
      </c>
      <c r="N18" s="19">
        <f>SUM(Table3[[#This Row],[OFC]:[WEO]])</f>
        <v>1</v>
      </c>
      <c r="O18" s="19"/>
      <c r="Q18" s="3" t="str">
        <f>Table35[[#This Row],[Fiscal_Year]]*100+Table35[[#This Row],[Fiscal_Week]] &amp; "-" &amp;Table35[[#This Row],[Brand]]</f>
        <v>201845-BR Factory Store</v>
      </c>
      <c r="R18" t="str">
        <f>Table3[[#This Row],[Key]]</f>
        <v>2018-BR Factory Store</v>
      </c>
      <c r="S18">
        <f>Table3[[#This Row],[Fiscal_Year]]</f>
        <v>2018</v>
      </c>
      <c r="T18">
        <f>Table3[[#This Row],[Fiscal_Week]]</f>
        <v>45</v>
      </c>
      <c r="U18" t="str">
        <f>Table3[[#This Row],[Brand]]</f>
        <v>BR Factory Store</v>
      </c>
      <c r="V18">
        <f>Table3[[#This Row],[Demand]]</f>
        <v>50728</v>
      </c>
      <c r="W18">
        <f>Table3[[#This Row],[OFC]]*Table3[[#This Row],[Demand]]</f>
        <v>50728</v>
      </c>
      <c r="X18">
        <f>Table3[[#This Row],[TFC]]*Table3[[#This Row],[Demand]]</f>
        <v>0</v>
      </c>
      <c r="Y18">
        <f>Table3[[#This Row],[WFC]]*Table3[[#This Row],[Demand]]</f>
        <v>0</v>
      </c>
      <c r="Z18">
        <f>Table3[[#This Row],[EAO]]*Table3[[#This Row],[Demand]]</f>
        <v>0</v>
      </c>
      <c r="AA18">
        <f>Table3[[#This Row],[OCC]]*Table3[[#This Row],[Demand]]</f>
        <v>0</v>
      </c>
      <c r="AB18">
        <f>Table3[[#This Row],[WEO]]*Table3[[#This Row],[Demand]]</f>
        <v>0</v>
      </c>
      <c r="AC18" s="19">
        <f>SUM(Table35[[#This Row],[OFC]:[WEO]])</f>
        <v>50728</v>
      </c>
      <c r="AD18" s="19">
        <f>Table35[[#This Row],[Demand]]-Table35[[#This Row],[Total_Modeled_Demand]]</f>
        <v>0</v>
      </c>
    </row>
    <row r="19" spans="2:30" x14ac:dyDescent="0.3">
      <c r="B19" s="3" t="str">
        <f>Table3[[#This Row],[Fiscal_Year]]*100+Table3[[#This Row],[Fiscal_Week]] &amp; "-" &amp;Table3[[#This Row],[Brand]]</f>
        <v>201845-Gap</v>
      </c>
      <c r="C19" t="str">
        <f t="shared" si="0"/>
        <v>2018-Gap</v>
      </c>
      <c r="D19">
        <v>2018</v>
      </c>
      <c r="E19">
        <v>45</v>
      </c>
      <c r="F19" t="s">
        <v>16</v>
      </c>
      <c r="G19">
        <v>923354</v>
      </c>
      <c r="H19" s="3">
        <f>INDEX(Demand_Modeling!$A$13:$I$49,MATCH(Table3[[#This Row],[Key]],Demand_Modeling!$A$13:$A$49,0),MATCH(Table3[[#Headers],[OFC]],Demand_Modeling!$A$13:$I$13,0))</f>
        <v>0.25</v>
      </c>
      <c r="I19" s="3">
        <f>INDEX(Demand_Modeling!$A$13:$I$49,MATCH(Table3[[#This Row],[Key]],Demand_Modeling!$A$13:$A$49,0),MATCH(Table3[[#Headers],[TFC]],Demand_Modeling!$A$13:$I$13,0))</f>
        <v>0.2</v>
      </c>
      <c r="J19" s="3">
        <f>INDEX(Demand_Modeling!$A$13:$I$49,MATCH(Table3[[#This Row],[Key]],Demand_Modeling!$A$13:$A$49,0),MATCH(Table3[[#Headers],[WFC]],Demand_Modeling!$A$13:$I$13,0))</f>
        <v>0.15</v>
      </c>
      <c r="K19" s="3">
        <f>INDEX(Demand_Modeling!$A$13:$I$49,MATCH(Table3[[#This Row],[Key]],Demand_Modeling!$A$13:$A$49,0),MATCH(Table3[[#Headers],[EAO]],Demand_Modeling!$A$13:$I$13,0))</f>
        <v>0</v>
      </c>
      <c r="L19" s="3">
        <f>INDEX(Demand_Modeling!$A$13:$I$49,MATCH(Table3[[#This Row],[Key]],Demand_Modeling!$A$13:$A$49,0),MATCH(Table3[[#Headers],[OCC]],Demand_Modeling!$A$13:$I$13,0))</f>
        <v>0</v>
      </c>
      <c r="M19" s="3">
        <f>INDEX(Demand_Modeling!$A$13:$I$49,MATCH(Table3[[#This Row],[Key]],Demand_Modeling!$A$13:$A$49,0),MATCH(Table3[[#Headers],[WEO]],Demand_Modeling!$A$13:$I$13,0))</f>
        <v>0.4</v>
      </c>
      <c r="N19" s="19">
        <f>SUM(Table3[[#This Row],[OFC]:[WEO]])</f>
        <v>1</v>
      </c>
      <c r="O19" s="19"/>
      <c r="Q19" s="3" t="str">
        <f>Table35[[#This Row],[Fiscal_Year]]*100+Table35[[#This Row],[Fiscal_Week]] &amp; "-" &amp;Table35[[#This Row],[Brand]]</f>
        <v>201845-Gap</v>
      </c>
      <c r="R19" t="str">
        <f>Table3[[#This Row],[Key]]</f>
        <v>2018-Gap</v>
      </c>
      <c r="S19">
        <f>Table3[[#This Row],[Fiscal_Year]]</f>
        <v>2018</v>
      </c>
      <c r="T19">
        <f>Table3[[#This Row],[Fiscal_Week]]</f>
        <v>45</v>
      </c>
      <c r="U19" t="str">
        <f>Table3[[#This Row],[Brand]]</f>
        <v>Gap</v>
      </c>
      <c r="V19">
        <f>Table3[[#This Row],[Demand]]</f>
        <v>923354</v>
      </c>
      <c r="W19">
        <f>Table3[[#This Row],[OFC]]*Table3[[#This Row],[Demand]]</f>
        <v>230838.5</v>
      </c>
      <c r="X19">
        <f>Table3[[#This Row],[TFC]]*Table3[[#This Row],[Demand]]</f>
        <v>184670.80000000002</v>
      </c>
      <c r="Y19">
        <f>Table3[[#This Row],[WFC]]*Table3[[#This Row],[Demand]]</f>
        <v>138503.1</v>
      </c>
      <c r="Z19">
        <f>Table3[[#This Row],[EAO]]*Table3[[#This Row],[Demand]]</f>
        <v>0</v>
      </c>
      <c r="AA19">
        <f>Table3[[#This Row],[OCC]]*Table3[[#This Row],[Demand]]</f>
        <v>0</v>
      </c>
      <c r="AB19">
        <f>Table3[[#This Row],[WEO]]*Table3[[#This Row],[Demand]]</f>
        <v>369341.60000000003</v>
      </c>
      <c r="AC19" s="19">
        <f>SUM(Table35[[#This Row],[OFC]:[WEO]])</f>
        <v>923354</v>
      </c>
      <c r="AD19" s="19">
        <f>Table35[[#This Row],[Demand]]-Table35[[#This Row],[Total_Modeled_Demand]]</f>
        <v>0</v>
      </c>
    </row>
    <row r="20" spans="2:30" x14ac:dyDescent="0.3">
      <c r="B20" s="3" t="str">
        <f>Table3[[#This Row],[Fiscal_Year]]*100+Table3[[#This Row],[Fiscal_Week]] &amp; "-" &amp;Table3[[#This Row],[Brand]]</f>
        <v>201845-Gap Factory Store</v>
      </c>
      <c r="C20" t="str">
        <f t="shared" si="0"/>
        <v>2018-Gap Factory Store</v>
      </c>
      <c r="D20">
        <v>2018</v>
      </c>
      <c r="E20">
        <v>45</v>
      </c>
      <c r="F20" t="s">
        <v>22</v>
      </c>
      <c r="G20">
        <v>199813</v>
      </c>
      <c r="H20" s="3">
        <f>INDEX(Demand_Modeling!$A$13:$I$49,MATCH(Table3[[#This Row],[Key]],Demand_Modeling!$A$13:$A$49,0),MATCH(Table3[[#Headers],[OFC]],Demand_Modeling!$A$13:$I$13,0))</f>
        <v>1</v>
      </c>
      <c r="I20" s="3">
        <f>INDEX(Demand_Modeling!$A$13:$I$49,MATCH(Table3[[#This Row],[Key]],Demand_Modeling!$A$13:$A$49,0),MATCH(Table3[[#Headers],[TFC]],Demand_Modeling!$A$13:$I$13,0))</f>
        <v>0</v>
      </c>
      <c r="J20" s="3">
        <f>INDEX(Demand_Modeling!$A$13:$I$49,MATCH(Table3[[#This Row],[Key]],Demand_Modeling!$A$13:$A$49,0),MATCH(Table3[[#Headers],[WFC]],Demand_Modeling!$A$13:$I$13,0))</f>
        <v>0</v>
      </c>
      <c r="K20" s="3">
        <f>INDEX(Demand_Modeling!$A$13:$I$49,MATCH(Table3[[#This Row],[Key]],Demand_Modeling!$A$13:$A$49,0),MATCH(Table3[[#Headers],[EAO]],Demand_Modeling!$A$13:$I$13,0))</f>
        <v>0</v>
      </c>
      <c r="L20" s="3">
        <f>INDEX(Demand_Modeling!$A$13:$I$49,MATCH(Table3[[#This Row],[Key]],Demand_Modeling!$A$13:$A$49,0),MATCH(Table3[[#Headers],[OCC]],Demand_Modeling!$A$13:$I$13,0))</f>
        <v>0</v>
      </c>
      <c r="M20" s="3">
        <f>INDEX(Demand_Modeling!$A$13:$I$49,MATCH(Table3[[#This Row],[Key]],Demand_Modeling!$A$13:$A$49,0),MATCH(Table3[[#Headers],[WEO]],Demand_Modeling!$A$13:$I$13,0))</f>
        <v>0</v>
      </c>
      <c r="N20" s="19">
        <f>SUM(Table3[[#This Row],[OFC]:[WEO]])</f>
        <v>1</v>
      </c>
      <c r="O20" s="19"/>
      <c r="Q20" s="3" t="str">
        <f>Table35[[#This Row],[Fiscal_Year]]*100+Table35[[#This Row],[Fiscal_Week]] &amp; "-" &amp;Table35[[#This Row],[Brand]]</f>
        <v>201845-Gap Factory Store</v>
      </c>
      <c r="R20" t="str">
        <f>Table3[[#This Row],[Key]]</f>
        <v>2018-Gap Factory Store</v>
      </c>
      <c r="S20">
        <f>Table3[[#This Row],[Fiscal_Year]]</f>
        <v>2018</v>
      </c>
      <c r="T20">
        <f>Table3[[#This Row],[Fiscal_Week]]</f>
        <v>45</v>
      </c>
      <c r="U20" t="str">
        <f>Table3[[#This Row],[Brand]]</f>
        <v>Gap Factory Store</v>
      </c>
      <c r="V20">
        <f>Table3[[#This Row],[Demand]]</f>
        <v>199813</v>
      </c>
      <c r="W20">
        <f>Table3[[#This Row],[OFC]]*Table3[[#This Row],[Demand]]</f>
        <v>199813</v>
      </c>
      <c r="X20">
        <f>Table3[[#This Row],[TFC]]*Table3[[#This Row],[Demand]]</f>
        <v>0</v>
      </c>
      <c r="Y20">
        <f>Table3[[#This Row],[WFC]]*Table3[[#This Row],[Demand]]</f>
        <v>0</v>
      </c>
      <c r="Z20">
        <f>Table3[[#This Row],[EAO]]*Table3[[#This Row],[Demand]]</f>
        <v>0</v>
      </c>
      <c r="AA20">
        <f>Table3[[#This Row],[OCC]]*Table3[[#This Row],[Demand]]</f>
        <v>0</v>
      </c>
      <c r="AB20">
        <f>Table3[[#This Row],[WEO]]*Table3[[#This Row],[Demand]]</f>
        <v>0</v>
      </c>
      <c r="AC20" s="19">
        <f>SUM(Table35[[#This Row],[OFC]:[WEO]])</f>
        <v>199813</v>
      </c>
      <c r="AD20" s="19">
        <f>Table35[[#This Row],[Demand]]-Table35[[#This Row],[Total_Modeled_Demand]]</f>
        <v>0</v>
      </c>
    </row>
    <row r="21" spans="2:30" x14ac:dyDescent="0.3">
      <c r="B21" s="3" t="str">
        <f>Table3[[#This Row],[Fiscal_Year]]*100+Table3[[#This Row],[Fiscal_Week]] &amp; "-" &amp;Table3[[#This Row],[Brand]]</f>
        <v>201845-Old Navy</v>
      </c>
      <c r="C21" t="str">
        <f t="shared" si="0"/>
        <v>2018-Old Navy</v>
      </c>
      <c r="D21">
        <v>2018</v>
      </c>
      <c r="E21">
        <v>45</v>
      </c>
      <c r="F21" t="s">
        <v>20</v>
      </c>
      <c r="G21">
        <v>2844889</v>
      </c>
      <c r="H21" s="3">
        <f>INDEX(Demand_Modeling!$A$13:$I$49,MATCH(Table3[[#This Row],[Key]],Demand_Modeling!$A$13:$A$49,0),MATCH(Table3[[#Headers],[OFC]],Demand_Modeling!$A$13:$I$13,0))</f>
        <v>0.27</v>
      </c>
      <c r="I21" s="3">
        <f>INDEX(Demand_Modeling!$A$13:$I$49,MATCH(Table3[[#This Row],[Key]],Demand_Modeling!$A$13:$A$49,0),MATCH(Table3[[#Headers],[TFC]],Demand_Modeling!$A$13:$I$13,0))</f>
        <v>0.25</v>
      </c>
      <c r="J21" s="3">
        <f>INDEX(Demand_Modeling!$A$13:$I$49,MATCH(Table3[[#This Row],[Key]],Demand_Modeling!$A$13:$A$49,0),MATCH(Table3[[#Headers],[WFC]],Demand_Modeling!$A$13:$I$13,0))</f>
        <v>0.1</v>
      </c>
      <c r="K21" s="3">
        <f>INDEX(Demand_Modeling!$A$13:$I$49,MATCH(Table3[[#This Row],[Key]],Demand_Modeling!$A$13:$A$49,0),MATCH(Table3[[#Headers],[EAO]],Demand_Modeling!$A$13:$I$13,0))</f>
        <v>0.28000000000000003</v>
      </c>
      <c r="L21" s="3">
        <f>INDEX(Demand_Modeling!$A$13:$I$49,MATCH(Table3[[#This Row],[Key]],Demand_Modeling!$A$13:$A$49,0),MATCH(Table3[[#Headers],[OCC]],Demand_Modeling!$A$13:$I$13,0))</f>
        <v>0</v>
      </c>
      <c r="M21" s="3">
        <f>INDEX(Demand_Modeling!$A$13:$I$49,MATCH(Table3[[#This Row],[Key]],Demand_Modeling!$A$13:$A$49,0),MATCH(Table3[[#Headers],[WEO]],Demand_Modeling!$A$13:$I$13,0))</f>
        <v>0.1</v>
      </c>
      <c r="N21" s="19">
        <f>SUM(Table3[[#This Row],[OFC]:[WEO]])</f>
        <v>1</v>
      </c>
      <c r="O21" s="19"/>
      <c r="Q21" s="3" t="str">
        <f>Table35[[#This Row],[Fiscal_Year]]*100+Table35[[#This Row],[Fiscal_Week]] &amp; "-" &amp;Table35[[#This Row],[Brand]]</f>
        <v>201845-Old Navy</v>
      </c>
      <c r="R21" t="str">
        <f>Table3[[#This Row],[Key]]</f>
        <v>2018-Old Navy</v>
      </c>
      <c r="S21">
        <f>Table3[[#This Row],[Fiscal_Year]]</f>
        <v>2018</v>
      </c>
      <c r="T21">
        <f>Table3[[#This Row],[Fiscal_Week]]</f>
        <v>45</v>
      </c>
      <c r="U21" t="str">
        <f>Table3[[#This Row],[Brand]]</f>
        <v>Old Navy</v>
      </c>
      <c r="V21">
        <f>Table3[[#This Row],[Demand]]</f>
        <v>2844889</v>
      </c>
      <c r="W21">
        <f>Table3[[#This Row],[OFC]]*Table3[[#This Row],[Demand]]</f>
        <v>768120.03</v>
      </c>
      <c r="X21">
        <f>Table3[[#This Row],[TFC]]*Table3[[#This Row],[Demand]]</f>
        <v>711222.25</v>
      </c>
      <c r="Y21">
        <f>Table3[[#This Row],[WFC]]*Table3[[#This Row],[Demand]]</f>
        <v>284488.90000000002</v>
      </c>
      <c r="Z21">
        <f>Table3[[#This Row],[EAO]]*Table3[[#This Row],[Demand]]</f>
        <v>796568.92</v>
      </c>
      <c r="AA21">
        <f>Table3[[#This Row],[OCC]]*Table3[[#This Row],[Demand]]</f>
        <v>0</v>
      </c>
      <c r="AB21">
        <f>Table3[[#This Row],[WEO]]*Table3[[#This Row],[Demand]]</f>
        <v>284488.90000000002</v>
      </c>
      <c r="AC21" s="19">
        <f>SUM(Table35[[#This Row],[OFC]:[WEO]])</f>
        <v>2844889</v>
      </c>
      <c r="AD21" s="19">
        <f>Table35[[#This Row],[Demand]]-Table35[[#This Row],[Total_Modeled_Demand]]</f>
        <v>0</v>
      </c>
    </row>
    <row r="22" spans="2:30" x14ac:dyDescent="0.3">
      <c r="B22" s="3" t="str">
        <f>Table3[[#This Row],[Fiscal_Year]]*100+Table3[[#This Row],[Fiscal_Week]] &amp; "-" &amp;Table3[[#This Row],[Brand]]</f>
        <v>201846-Athleta</v>
      </c>
      <c r="C22" t="str">
        <f t="shared" si="0"/>
        <v>2018-Athleta</v>
      </c>
      <c r="D22">
        <v>2018</v>
      </c>
      <c r="E22">
        <v>46</v>
      </c>
      <c r="F22" t="s">
        <v>19</v>
      </c>
      <c r="G22">
        <v>157910</v>
      </c>
      <c r="H22" s="3">
        <f>INDEX(Demand_Modeling!$A$13:$I$49,MATCH(Table3[[#This Row],[Key]],Demand_Modeling!$A$13:$A$49,0),MATCH(Table3[[#Headers],[OFC]],Demand_Modeling!$A$13:$I$13,0))</f>
        <v>0</v>
      </c>
      <c r="I22" s="3">
        <f>INDEX(Demand_Modeling!$A$13:$I$49,MATCH(Table3[[#This Row],[Key]],Demand_Modeling!$A$13:$A$49,0),MATCH(Table3[[#Headers],[TFC]],Demand_Modeling!$A$13:$I$13,0))</f>
        <v>1</v>
      </c>
      <c r="J22" s="3">
        <f>INDEX(Demand_Modeling!$A$13:$I$49,MATCH(Table3[[#This Row],[Key]],Demand_Modeling!$A$13:$A$49,0),MATCH(Table3[[#Headers],[WFC]],Demand_Modeling!$A$13:$I$13,0))</f>
        <v>0</v>
      </c>
      <c r="K22" s="3">
        <f>INDEX(Demand_Modeling!$A$13:$I$49,MATCH(Table3[[#This Row],[Key]],Demand_Modeling!$A$13:$A$49,0),MATCH(Table3[[#Headers],[EAO]],Demand_Modeling!$A$13:$I$13,0))</f>
        <v>3.447122356821831E-5</v>
      </c>
      <c r="L22" s="3">
        <f>INDEX(Demand_Modeling!$A$13:$I$49,MATCH(Table3[[#This Row],[Key]],Demand_Modeling!$A$13:$A$49,0),MATCH(Table3[[#Headers],[OCC]],Demand_Modeling!$A$13:$I$13,0))</f>
        <v>0</v>
      </c>
      <c r="M22" s="3">
        <f>INDEX(Demand_Modeling!$A$13:$I$49,MATCH(Table3[[#This Row],[Key]],Demand_Modeling!$A$13:$A$49,0),MATCH(Table3[[#Headers],[WEO]],Demand_Modeling!$A$13:$I$13,0))</f>
        <v>0</v>
      </c>
      <c r="N22" s="19">
        <f>SUM(Table3[[#This Row],[OFC]:[WEO]])</f>
        <v>1.0000344712235683</v>
      </c>
      <c r="O22" s="19"/>
      <c r="Q22" s="3" t="str">
        <f>Table35[[#This Row],[Fiscal_Year]]*100+Table35[[#This Row],[Fiscal_Week]] &amp; "-" &amp;Table35[[#This Row],[Brand]]</f>
        <v>201846-Athleta</v>
      </c>
      <c r="R22" t="str">
        <f>Table3[[#This Row],[Key]]</f>
        <v>2018-Athleta</v>
      </c>
      <c r="S22">
        <f>Table3[[#This Row],[Fiscal_Year]]</f>
        <v>2018</v>
      </c>
      <c r="T22">
        <f>Table3[[#This Row],[Fiscal_Week]]</f>
        <v>46</v>
      </c>
      <c r="U22" t="str">
        <f>Table3[[#This Row],[Brand]]</f>
        <v>Athleta</v>
      </c>
      <c r="V22">
        <f>Table3[[#This Row],[Demand]]</f>
        <v>157910</v>
      </c>
      <c r="W22">
        <f>Table3[[#This Row],[OFC]]*Table3[[#This Row],[Demand]]</f>
        <v>0</v>
      </c>
      <c r="X22">
        <f>Table3[[#This Row],[TFC]]*Table3[[#This Row],[Demand]]</f>
        <v>157910</v>
      </c>
      <c r="Y22">
        <f>Table3[[#This Row],[WFC]]*Table3[[#This Row],[Demand]]</f>
        <v>0</v>
      </c>
      <c r="Z22">
        <f>Table3[[#This Row],[EAO]]*Table3[[#This Row],[Demand]]</f>
        <v>5.443350913657353</v>
      </c>
      <c r="AA22">
        <f>Table3[[#This Row],[OCC]]*Table3[[#This Row],[Demand]]</f>
        <v>0</v>
      </c>
      <c r="AB22">
        <f>Table3[[#This Row],[WEO]]*Table3[[#This Row],[Demand]]</f>
        <v>0</v>
      </c>
      <c r="AC22" s="19">
        <f>SUM(Table35[[#This Row],[OFC]:[WEO]])</f>
        <v>157915.44335091364</v>
      </c>
      <c r="AD22" s="19">
        <f>Table35[[#This Row],[Demand]]-Table35[[#This Row],[Total_Modeled_Demand]]</f>
        <v>-5.4433509136433713</v>
      </c>
    </row>
    <row r="23" spans="2:30" x14ac:dyDescent="0.3">
      <c r="B23" s="3" t="str">
        <f>Table3[[#This Row],[Fiscal_Year]]*100+Table3[[#This Row],[Fiscal_Week]] &amp; "-" &amp;Table3[[#This Row],[Brand]]</f>
        <v>201846-Banana Republic</v>
      </c>
      <c r="C23" t="str">
        <f t="shared" si="0"/>
        <v>2018-Banana Republic</v>
      </c>
      <c r="D23">
        <v>2018</v>
      </c>
      <c r="E23">
        <v>46</v>
      </c>
      <c r="F23" t="s">
        <v>18</v>
      </c>
      <c r="G23">
        <v>190924</v>
      </c>
      <c r="H23" s="3">
        <f>INDEX(Demand_Modeling!$A$13:$I$49,MATCH(Table3[[#This Row],[Key]],Demand_Modeling!$A$13:$A$49,0),MATCH(Table3[[#Headers],[OFC]],Demand_Modeling!$A$13:$I$13,0))</f>
        <v>0</v>
      </c>
      <c r="I23" s="3">
        <f>INDEX(Demand_Modeling!$A$13:$I$49,MATCH(Table3[[#This Row],[Key]],Demand_Modeling!$A$13:$A$49,0),MATCH(Table3[[#Headers],[TFC]],Demand_Modeling!$A$13:$I$13,0))</f>
        <v>1</v>
      </c>
      <c r="J23" s="3">
        <f>INDEX(Demand_Modeling!$A$13:$I$49,MATCH(Table3[[#This Row],[Key]],Demand_Modeling!$A$13:$A$49,0),MATCH(Table3[[#Headers],[WFC]],Demand_Modeling!$A$13:$I$13,0))</f>
        <v>3.4959629396853166E-6</v>
      </c>
      <c r="K23" s="3">
        <f>INDEX(Demand_Modeling!$A$13:$I$49,MATCH(Table3[[#This Row],[Key]],Demand_Modeling!$A$13:$A$49,0),MATCH(Table3[[#Headers],[EAO]],Demand_Modeling!$A$13:$I$13,0))</f>
        <v>4.2339995602855504E-5</v>
      </c>
      <c r="L23" s="3">
        <f>INDEX(Demand_Modeling!$A$13:$I$49,MATCH(Table3[[#This Row],[Key]],Demand_Modeling!$A$13:$A$49,0),MATCH(Table3[[#Headers],[OCC]],Demand_Modeling!$A$13:$I$13,0))</f>
        <v>0</v>
      </c>
      <c r="M23" s="3">
        <f>INDEX(Demand_Modeling!$A$13:$I$49,MATCH(Table3[[#This Row],[Key]],Demand_Modeling!$A$13:$A$49,0),MATCH(Table3[[#Headers],[WEO]],Demand_Modeling!$A$13:$I$13,0))</f>
        <v>0</v>
      </c>
      <c r="N23" s="19">
        <f>SUM(Table3[[#This Row],[OFC]:[WEO]])</f>
        <v>1.0000458359585425</v>
      </c>
      <c r="O23" s="19"/>
      <c r="Q23" s="3" t="str">
        <f>Table35[[#This Row],[Fiscal_Year]]*100+Table35[[#This Row],[Fiscal_Week]] &amp; "-" &amp;Table35[[#This Row],[Brand]]</f>
        <v>201846-Banana Republic</v>
      </c>
      <c r="R23" t="str">
        <f>Table3[[#This Row],[Key]]</f>
        <v>2018-Banana Republic</v>
      </c>
      <c r="S23">
        <f>Table3[[#This Row],[Fiscal_Year]]</f>
        <v>2018</v>
      </c>
      <c r="T23">
        <f>Table3[[#This Row],[Fiscal_Week]]</f>
        <v>46</v>
      </c>
      <c r="U23" t="str">
        <f>Table3[[#This Row],[Brand]]</f>
        <v>Banana Republic</v>
      </c>
      <c r="V23">
        <f>Table3[[#This Row],[Demand]]</f>
        <v>190924</v>
      </c>
      <c r="W23">
        <f>Table3[[#This Row],[OFC]]*Table3[[#This Row],[Demand]]</f>
        <v>0</v>
      </c>
      <c r="X23">
        <f>Table3[[#This Row],[TFC]]*Table3[[#This Row],[Demand]]</f>
        <v>190924</v>
      </c>
      <c r="Y23">
        <f>Table3[[#This Row],[WFC]]*Table3[[#This Row],[Demand]]</f>
        <v>0.66746322829647942</v>
      </c>
      <c r="Z23">
        <f>Table3[[#This Row],[EAO]]*Table3[[#This Row],[Demand]]</f>
        <v>8.0837213204795848</v>
      </c>
      <c r="AA23">
        <f>Table3[[#This Row],[OCC]]*Table3[[#This Row],[Demand]]</f>
        <v>0</v>
      </c>
      <c r="AB23">
        <f>Table3[[#This Row],[WEO]]*Table3[[#This Row],[Demand]]</f>
        <v>0</v>
      </c>
      <c r="AC23" s="19">
        <f>SUM(Table35[[#This Row],[OFC]:[WEO]])</f>
        <v>190932.7511845488</v>
      </c>
      <c r="AD23" s="19">
        <f>Table35[[#This Row],[Demand]]-Table35[[#This Row],[Total_Modeled_Demand]]</f>
        <v>-8.7511845488043036</v>
      </c>
    </row>
    <row r="24" spans="2:30" x14ac:dyDescent="0.3">
      <c r="B24" s="3" t="str">
        <f>Table3[[#This Row],[Fiscal_Year]]*100+Table3[[#This Row],[Fiscal_Week]] &amp; "-" &amp;Table3[[#This Row],[Brand]]</f>
        <v>201846-BR Factory Store</v>
      </c>
      <c r="C24" t="str">
        <f t="shared" si="0"/>
        <v>2018-BR Factory Store</v>
      </c>
      <c r="D24">
        <v>2018</v>
      </c>
      <c r="E24">
        <v>46</v>
      </c>
      <c r="F24" t="s">
        <v>17</v>
      </c>
      <c r="G24">
        <v>71335</v>
      </c>
      <c r="H24" s="3">
        <f>INDEX(Demand_Modeling!$A$13:$I$49,MATCH(Table3[[#This Row],[Key]],Demand_Modeling!$A$13:$A$49,0),MATCH(Table3[[#Headers],[OFC]],Demand_Modeling!$A$13:$I$13,0))</f>
        <v>1</v>
      </c>
      <c r="I24" s="3">
        <f>INDEX(Demand_Modeling!$A$13:$I$49,MATCH(Table3[[#This Row],[Key]],Demand_Modeling!$A$13:$A$49,0),MATCH(Table3[[#Headers],[TFC]],Demand_Modeling!$A$13:$I$13,0))</f>
        <v>0</v>
      </c>
      <c r="J24" s="3">
        <f>INDEX(Demand_Modeling!$A$13:$I$49,MATCH(Table3[[#This Row],[Key]],Demand_Modeling!$A$13:$A$49,0),MATCH(Table3[[#Headers],[WFC]],Demand_Modeling!$A$13:$I$13,0))</f>
        <v>0</v>
      </c>
      <c r="K24" s="3">
        <f>INDEX(Demand_Modeling!$A$13:$I$49,MATCH(Table3[[#This Row],[Key]],Demand_Modeling!$A$13:$A$49,0),MATCH(Table3[[#Headers],[EAO]],Demand_Modeling!$A$13:$I$13,0))</f>
        <v>0</v>
      </c>
      <c r="L24" s="3">
        <f>INDEX(Demand_Modeling!$A$13:$I$49,MATCH(Table3[[#This Row],[Key]],Demand_Modeling!$A$13:$A$49,0),MATCH(Table3[[#Headers],[OCC]],Demand_Modeling!$A$13:$I$13,0))</f>
        <v>0</v>
      </c>
      <c r="M24" s="3">
        <f>INDEX(Demand_Modeling!$A$13:$I$49,MATCH(Table3[[#This Row],[Key]],Demand_Modeling!$A$13:$A$49,0),MATCH(Table3[[#Headers],[WEO]],Demand_Modeling!$A$13:$I$13,0))</f>
        <v>0</v>
      </c>
      <c r="N24" s="19">
        <f>SUM(Table3[[#This Row],[OFC]:[WEO]])</f>
        <v>1</v>
      </c>
      <c r="O24" s="19"/>
      <c r="Q24" s="3" t="str">
        <f>Table35[[#This Row],[Fiscal_Year]]*100+Table35[[#This Row],[Fiscal_Week]] &amp; "-" &amp;Table35[[#This Row],[Brand]]</f>
        <v>201846-BR Factory Store</v>
      </c>
      <c r="R24" t="str">
        <f>Table3[[#This Row],[Key]]</f>
        <v>2018-BR Factory Store</v>
      </c>
      <c r="S24">
        <f>Table3[[#This Row],[Fiscal_Year]]</f>
        <v>2018</v>
      </c>
      <c r="T24">
        <f>Table3[[#This Row],[Fiscal_Week]]</f>
        <v>46</v>
      </c>
      <c r="U24" t="str">
        <f>Table3[[#This Row],[Brand]]</f>
        <v>BR Factory Store</v>
      </c>
      <c r="V24">
        <f>Table3[[#This Row],[Demand]]</f>
        <v>71335</v>
      </c>
      <c r="W24">
        <f>Table3[[#This Row],[OFC]]*Table3[[#This Row],[Demand]]</f>
        <v>71335</v>
      </c>
      <c r="X24">
        <f>Table3[[#This Row],[TFC]]*Table3[[#This Row],[Demand]]</f>
        <v>0</v>
      </c>
      <c r="Y24">
        <f>Table3[[#This Row],[WFC]]*Table3[[#This Row],[Demand]]</f>
        <v>0</v>
      </c>
      <c r="Z24">
        <f>Table3[[#This Row],[EAO]]*Table3[[#This Row],[Demand]]</f>
        <v>0</v>
      </c>
      <c r="AA24">
        <f>Table3[[#This Row],[OCC]]*Table3[[#This Row],[Demand]]</f>
        <v>0</v>
      </c>
      <c r="AB24">
        <f>Table3[[#This Row],[WEO]]*Table3[[#This Row],[Demand]]</f>
        <v>0</v>
      </c>
      <c r="AC24" s="19">
        <f>SUM(Table35[[#This Row],[OFC]:[WEO]])</f>
        <v>71335</v>
      </c>
      <c r="AD24" s="19">
        <f>Table35[[#This Row],[Demand]]-Table35[[#This Row],[Total_Modeled_Demand]]</f>
        <v>0</v>
      </c>
    </row>
    <row r="25" spans="2:30" x14ac:dyDescent="0.3">
      <c r="B25" s="3" t="str">
        <f>Table3[[#This Row],[Fiscal_Year]]*100+Table3[[#This Row],[Fiscal_Week]] &amp; "-" &amp;Table3[[#This Row],[Brand]]</f>
        <v>201846-Gap</v>
      </c>
      <c r="C25" t="str">
        <f t="shared" si="0"/>
        <v>2018-Gap</v>
      </c>
      <c r="D25">
        <v>2018</v>
      </c>
      <c r="E25">
        <v>46</v>
      </c>
      <c r="F25" t="s">
        <v>16</v>
      </c>
      <c r="G25">
        <v>848623</v>
      </c>
      <c r="H25" s="3">
        <f>INDEX(Demand_Modeling!$A$13:$I$49,MATCH(Table3[[#This Row],[Key]],Demand_Modeling!$A$13:$A$49,0),MATCH(Table3[[#Headers],[OFC]],Demand_Modeling!$A$13:$I$13,0))</f>
        <v>0.25</v>
      </c>
      <c r="I25" s="3">
        <f>INDEX(Demand_Modeling!$A$13:$I$49,MATCH(Table3[[#This Row],[Key]],Demand_Modeling!$A$13:$A$49,0),MATCH(Table3[[#Headers],[TFC]],Demand_Modeling!$A$13:$I$13,0))</f>
        <v>0.2</v>
      </c>
      <c r="J25" s="3">
        <f>INDEX(Demand_Modeling!$A$13:$I$49,MATCH(Table3[[#This Row],[Key]],Demand_Modeling!$A$13:$A$49,0),MATCH(Table3[[#Headers],[WFC]],Demand_Modeling!$A$13:$I$13,0))</f>
        <v>0.15</v>
      </c>
      <c r="K25" s="3">
        <f>INDEX(Demand_Modeling!$A$13:$I$49,MATCH(Table3[[#This Row],[Key]],Demand_Modeling!$A$13:$A$49,0),MATCH(Table3[[#Headers],[EAO]],Demand_Modeling!$A$13:$I$13,0))</f>
        <v>0</v>
      </c>
      <c r="L25" s="3">
        <f>INDEX(Demand_Modeling!$A$13:$I$49,MATCH(Table3[[#This Row],[Key]],Demand_Modeling!$A$13:$A$49,0),MATCH(Table3[[#Headers],[OCC]],Demand_Modeling!$A$13:$I$13,0))</f>
        <v>0</v>
      </c>
      <c r="M25" s="3">
        <f>INDEX(Demand_Modeling!$A$13:$I$49,MATCH(Table3[[#This Row],[Key]],Demand_Modeling!$A$13:$A$49,0),MATCH(Table3[[#Headers],[WEO]],Demand_Modeling!$A$13:$I$13,0))</f>
        <v>0.4</v>
      </c>
      <c r="N25" s="19">
        <f>SUM(Table3[[#This Row],[OFC]:[WEO]])</f>
        <v>1</v>
      </c>
      <c r="O25" s="19"/>
      <c r="Q25" s="3" t="str">
        <f>Table35[[#This Row],[Fiscal_Year]]*100+Table35[[#This Row],[Fiscal_Week]] &amp; "-" &amp;Table35[[#This Row],[Brand]]</f>
        <v>201846-Gap</v>
      </c>
      <c r="R25" t="str">
        <f>Table3[[#This Row],[Key]]</f>
        <v>2018-Gap</v>
      </c>
      <c r="S25">
        <f>Table3[[#This Row],[Fiscal_Year]]</f>
        <v>2018</v>
      </c>
      <c r="T25">
        <f>Table3[[#This Row],[Fiscal_Week]]</f>
        <v>46</v>
      </c>
      <c r="U25" t="str">
        <f>Table3[[#This Row],[Brand]]</f>
        <v>Gap</v>
      </c>
      <c r="V25">
        <f>Table3[[#This Row],[Demand]]</f>
        <v>848623</v>
      </c>
      <c r="W25">
        <f>Table3[[#This Row],[OFC]]*Table3[[#This Row],[Demand]]</f>
        <v>212155.75</v>
      </c>
      <c r="X25">
        <f>Table3[[#This Row],[TFC]]*Table3[[#This Row],[Demand]]</f>
        <v>169724.6</v>
      </c>
      <c r="Y25">
        <f>Table3[[#This Row],[WFC]]*Table3[[#This Row],[Demand]]</f>
        <v>127293.45</v>
      </c>
      <c r="Z25">
        <f>Table3[[#This Row],[EAO]]*Table3[[#This Row],[Demand]]</f>
        <v>0</v>
      </c>
      <c r="AA25">
        <f>Table3[[#This Row],[OCC]]*Table3[[#This Row],[Demand]]</f>
        <v>0</v>
      </c>
      <c r="AB25">
        <f>Table3[[#This Row],[WEO]]*Table3[[#This Row],[Demand]]</f>
        <v>339449.2</v>
      </c>
      <c r="AC25" s="19">
        <f>SUM(Table35[[#This Row],[OFC]:[WEO]])</f>
        <v>848623</v>
      </c>
      <c r="AD25" s="19">
        <f>Table35[[#This Row],[Demand]]-Table35[[#This Row],[Total_Modeled_Demand]]</f>
        <v>0</v>
      </c>
    </row>
    <row r="26" spans="2:30" x14ac:dyDescent="0.3">
      <c r="B26" s="3" t="str">
        <f>Table3[[#This Row],[Fiscal_Year]]*100+Table3[[#This Row],[Fiscal_Week]] &amp; "-" &amp;Table3[[#This Row],[Brand]]</f>
        <v>201846-Gap Factory Store</v>
      </c>
      <c r="C26" t="str">
        <f t="shared" si="0"/>
        <v>2018-Gap Factory Store</v>
      </c>
      <c r="D26">
        <v>2018</v>
      </c>
      <c r="E26">
        <v>46</v>
      </c>
      <c r="F26" t="s">
        <v>22</v>
      </c>
      <c r="G26">
        <v>118879</v>
      </c>
      <c r="H26" s="3">
        <f>INDEX(Demand_Modeling!$A$13:$I$49,MATCH(Table3[[#This Row],[Key]],Demand_Modeling!$A$13:$A$49,0),MATCH(Table3[[#Headers],[OFC]],Demand_Modeling!$A$13:$I$13,0))</f>
        <v>1</v>
      </c>
      <c r="I26" s="3">
        <f>INDEX(Demand_Modeling!$A$13:$I$49,MATCH(Table3[[#This Row],[Key]],Demand_Modeling!$A$13:$A$49,0),MATCH(Table3[[#Headers],[TFC]],Demand_Modeling!$A$13:$I$13,0))</f>
        <v>0</v>
      </c>
      <c r="J26" s="3">
        <f>INDEX(Demand_Modeling!$A$13:$I$49,MATCH(Table3[[#This Row],[Key]],Demand_Modeling!$A$13:$A$49,0),MATCH(Table3[[#Headers],[WFC]],Demand_Modeling!$A$13:$I$13,0))</f>
        <v>0</v>
      </c>
      <c r="K26" s="3">
        <f>INDEX(Demand_Modeling!$A$13:$I$49,MATCH(Table3[[#This Row],[Key]],Demand_Modeling!$A$13:$A$49,0),MATCH(Table3[[#Headers],[EAO]],Demand_Modeling!$A$13:$I$13,0))</f>
        <v>0</v>
      </c>
      <c r="L26" s="3">
        <f>INDEX(Demand_Modeling!$A$13:$I$49,MATCH(Table3[[#This Row],[Key]],Demand_Modeling!$A$13:$A$49,0),MATCH(Table3[[#Headers],[OCC]],Demand_Modeling!$A$13:$I$13,0))</f>
        <v>0</v>
      </c>
      <c r="M26" s="3">
        <f>INDEX(Demand_Modeling!$A$13:$I$49,MATCH(Table3[[#This Row],[Key]],Demand_Modeling!$A$13:$A$49,0),MATCH(Table3[[#Headers],[WEO]],Demand_Modeling!$A$13:$I$13,0))</f>
        <v>0</v>
      </c>
      <c r="N26" s="19">
        <f>SUM(Table3[[#This Row],[OFC]:[WEO]])</f>
        <v>1</v>
      </c>
      <c r="O26" s="19"/>
      <c r="Q26" s="3" t="str">
        <f>Table35[[#This Row],[Fiscal_Year]]*100+Table35[[#This Row],[Fiscal_Week]] &amp; "-" &amp;Table35[[#This Row],[Brand]]</f>
        <v>201846-Gap Factory Store</v>
      </c>
      <c r="R26" t="str">
        <f>Table3[[#This Row],[Key]]</f>
        <v>2018-Gap Factory Store</v>
      </c>
      <c r="S26">
        <f>Table3[[#This Row],[Fiscal_Year]]</f>
        <v>2018</v>
      </c>
      <c r="T26">
        <f>Table3[[#This Row],[Fiscal_Week]]</f>
        <v>46</v>
      </c>
      <c r="U26" t="str">
        <f>Table3[[#This Row],[Brand]]</f>
        <v>Gap Factory Store</v>
      </c>
      <c r="V26">
        <f>Table3[[#This Row],[Demand]]</f>
        <v>118879</v>
      </c>
      <c r="W26">
        <f>Table3[[#This Row],[OFC]]*Table3[[#This Row],[Demand]]</f>
        <v>118879</v>
      </c>
      <c r="X26">
        <f>Table3[[#This Row],[TFC]]*Table3[[#This Row],[Demand]]</f>
        <v>0</v>
      </c>
      <c r="Y26">
        <f>Table3[[#This Row],[WFC]]*Table3[[#This Row],[Demand]]</f>
        <v>0</v>
      </c>
      <c r="Z26">
        <f>Table3[[#This Row],[EAO]]*Table3[[#This Row],[Demand]]</f>
        <v>0</v>
      </c>
      <c r="AA26">
        <f>Table3[[#This Row],[OCC]]*Table3[[#This Row],[Demand]]</f>
        <v>0</v>
      </c>
      <c r="AB26">
        <f>Table3[[#This Row],[WEO]]*Table3[[#This Row],[Demand]]</f>
        <v>0</v>
      </c>
      <c r="AC26" s="19">
        <f>SUM(Table35[[#This Row],[OFC]:[WEO]])</f>
        <v>118879</v>
      </c>
      <c r="AD26" s="19">
        <f>Table35[[#This Row],[Demand]]-Table35[[#This Row],[Total_Modeled_Demand]]</f>
        <v>0</v>
      </c>
    </row>
    <row r="27" spans="2:30" x14ac:dyDescent="0.3">
      <c r="B27" s="3" t="str">
        <f>Table3[[#This Row],[Fiscal_Year]]*100+Table3[[#This Row],[Fiscal_Week]] &amp; "-" &amp;Table3[[#This Row],[Brand]]</f>
        <v>201846-Old Navy</v>
      </c>
      <c r="C27" t="str">
        <f t="shared" si="0"/>
        <v>2018-Old Navy</v>
      </c>
      <c r="D27">
        <v>2018</v>
      </c>
      <c r="E27">
        <v>46</v>
      </c>
      <c r="F27" t="s">
        <v>20</v>
      </c>
      <c r="G27">
        <v>2373760</v>
      </c>
      <c r="H27" s="3">
        <f>INDEX(Demand_Modeling!$A$13:$I$49,MATCH(Table3[[#This Row],[Key]],Demand_Modeling!$A$13:$A$49,0),MATCH(Table3[[#Headers],[OFC]],Demand_Modeling!$A$13:$I$13,0))</f>
        <v>0.27</v>
      </c>
      <c r="I27" s="3">
        <f>INDEX(Demand_Modeling!$A$13:$I$49,MATCH(Table3[[#This Row],[Key]],Demand_Modeling!$A$13:$A$49,0),MATCH(Table3[[#Headers],[TFC]],Demand_Modeling!$A$13:$I$13,0))</f>
        <v>0.25</v>
      </c>
      <c r="J27" s="3">
        <f>INDEX(Demand_Modeling!$A$13:$I$49,MATCH(Table3[[#This Row],[Key]],Demand_Modeling!$A$13:$A$49,0),MATCH(Table3[[#Headers],[WFC]],Demand_Modeling!$A$13:$I$13,0))</f>
        <v>0.1</v>
      </c>
      <c r="K27" s="3">
        <f>INDEX(Demand_Modeling!$A$13:$I$49,MATCH(Table3[[#This Row],[Key]],Demand_Modeling!$A$13:$A$49,0),MATCH(Table3[[#Headers],[EAO]],Demand_Modeling!$A$13:$I$13,0))</f>
        <v>0.28000000000000003</v>
      </c>
      <c r="L27" s="3">
        <f>INDEX(Demand_Modeling!$A$13:$I$49,MATCH(Table3[[#This Row],[Key]],Demand_Modeling!$A$13:$A$49,0),MATCH(Table3[[#Headers],[OCC]],Demand_Modeling!$A$13:$I$13,0))</f>
        <v>0</v>
      </c>
      <c r="M27" s="3">
        <f>INDEX(Demand_Modeling!$A$13:$I$49,MATCH(Table3[[#This Row],[Key]],Demand_Modeling!$A$13:$A$49,0),MATCH(Table3[[#Headers],[WEO]],Demand_Modeling!$A$13:$I$13,0))</f>
        <v>0.1</v>
      </c>
      <c r="N27" s="19">
        <f>SUM(Table3[[#This Row],[OFC]:[WEO]])</f>
        <v>1</v>
      </c>
      <c r="O27" s="19"/>
      <c r="Q27" s="3" t="str">
        <f>Table35[[#This Row],[Fiscal_Year]]*100+Table35[[#This Row],[Fiscal_Week]] &amp; "-" &amp;Table35[[#This Row],[Brand]]</f>
        <v>201846-Old Navy</v>
      </c>
      <c r="R27" t="str">
        <f>Table3[[#This Row],[Key]]</f>
        <v>2018-Old Navy</v>
      </c>
      <c r="S27">
        <f>Table3[[#This Row],[Fiscal_Year]]</f>
        <v>2018</v>
      </c>
      <c r="T27">
        <f>Table3[[#This Row],[Fiscal_Week]]</f>
        <v>46</v>
      </c>
      <c r="U27" t="str">
        <f>Table3[[#This Row],[Brand]]</f>
        <v>Old Navy</v>
      </c>
      <c r="V27">
        <f>Table3[[#This Row],[Demand]]</f>
        <v>2373760</v>
      </c>
      <c r="W27">
        <f>Table3[[#This Row],[OFC]]*Table3[[#This Row],[Demand]]</f>
        <v>640915.20000000007</v>
      </c>
      <c r="X27">
        <f>Table3[[#This Row],[TFC]]*Table3[[#This Row],[Demand]]</f>
        <v>593440</v>
      </c>
      <c r="Y27">
        <f>Table3[[#This Row],[WFC]]*Table3[[#This Row],[Demand]]</f>
        <v>237376</v>
      </c>
      <c r="Z27">
        <f>Table3[[#This Row],[EAO]]*Table3[[#This Row],[Demand]]</f>
        <v>664652.80000000005</v>
      </c>
      <c r="AA27">
        <f>Table3[[#This Row],[OCC]]*Table3[[#This Row],[Demand]]</f>
        <v>0</v>
      </c>
      <c r="AB27">
        <f>Table3[[#This Row],[WEO]]*Table3[[#This Row],[Demand]]</f>
        <v>237376</v>
      </c>
      <c r="AC27" s="19">
        <f>SUM(Table35[[#This Row],[OFC]:[WEO]])</f>
        <v>2373760</v>
      </c>
      <c r="AD27" s="19">
        <f>Table35[[#This Row],[Demand]]-Table35[[#This Row],[Total_Modeled_Demand]]</f>
        <v>0</v>
      </c>
    </row>
    <row r="28" spans="2:30" x14ac:dyDescent="0.3">
      <c r="B28" s="3" t="str">
        <f>Table3[[#This Row],[Fiscal_Year]]*100+Table3[[#This Row],[Fiscal_Week]] &amp; "-" &amp;Table3[[#This Row],[Brand]]</f>
        <v>201847-Athleta</v>
      </c>
      <c r="C28" t="str">
        <f t="shared" si="0"/>
        <v>2018-Athleta</v>
      </c>
      <c r="D28">
        <v>2018</v>
      </c>
      <c r="E28">
        <v>47</v>
      </c>
      <c r="F28" t="s">
        <v>19</v>
      </c>
      <c r="G28">
        <v>185909</v>
      </c>
      <c r="H28" s="3">
        <f>INDEX(Demand_Modeling!$A$13:$I$49,MATCH(Table3[[#This Row],[Key]],Demand_Modeling!$A$13:$A$49,0),MATCH(Table3[[#Headers],[OFC]],Demand_Modeling!$A$13:$I$13,0))</f>
        <v>0</v>
      </c>
      <c r="I28" s="3">
        <f>INDEX(Demand_Modeling!$A$13:$I$49,MATCH(Table3[[#This Row],[Key]],Demand_Modeling!$A$13:$A$49,0),MATCH(Table3[[#Headers],[TFC]],Demand_Modeling!$A$13:$I$13,0))</f>
        <v>1</v>
      </c>
      <c r="J28" s="3">
        <f>INDEX(Demand_Modeling!$A$13:$I$49,MATCH(Table3[[#This Row],[Key]],Demand_Modeling!$A$13:$A$49,0),MATCH(Table3[[#Headers],[WFC]],Demand_Modeling!$A$13:$I$13,0))</f>
        <v>0</v>
      </c>
      <c r="K28" s="3">
        <f>INDEX(Demand_Modeling!$A$13:$I$49,MATCH(Table3[[#This Row],[Key]],Demand_Modeling!$A$13:$A$49,0),MATCH(Table3[[#Headers],[EAO]],Demand_Modeling!$A$13:$I$13,0))</f>
        <v>3.447122356821831E-5</v>
      </c>
      <c r="L28" s="3">
        <f>INDEX(Demand_Modeling!$A$13:$I$49,MATCH(Table3[[#This Row],[Key]],Demand_Modeling!$A$13:$A$49,0),MATCH(Table3[[#Headers],[OCC]],Demand_Modeling!$A$13:$I$13,0))</f>
        <v>0</v>
      </c>
      <c r="M28" s="3">
        <f>INDEX(Demand_Modeling!$A$13:$I$49,MATCH(Table3[[#This Row],[Key]],Demand_Modeling!$A$13:$A$49,0),MATCH(Table3[[#Headers],[WEO]],Demand_Modeling!$A$13:$I$13,0))</f>
        <v>0</v>
      </c>
      <c r="N28" s="19">
        <f>SUM(Table3[[#This Row],[OFC]:[WEO]])</f>
        <v>1.0000344712235683</v>
      </c>
      <c r="O28" s="19"/>
      <c r="Q28" s="3" t="str">
        <f>Table35[[#This Row],[Fiscal_Year]]*100+Table35[[#This Row],[Fiscal_Week]] &amp; "-" &amp;Table35[[#This Row],[Brand]]</f>
        <v>201847-Athleta</v>
      </c>
      <c r="R28" t="str">
        <f>Table3[[#This Row],[Key]]</f>
        <v>2018-Athleta</v>
      </c>
      <c r="S28">
        <f>Table3[[#This Row],[Fiscal_Year]]</f>
        <v>2018</v>
      </c>
      <c r="T28">
        <f>Table3[[#This Row],[Fiscal_Week]]</f>
        <v>47</v>
      </c>
      <c r="U28" t="str">
        <f>Table3[[#This Row],[Brand]]</f>
        <v>Athleta</v>
      </c>
      <c r="V28">
        <f>Table3[[#This Row],[Demand]]</f>
        <v>185909</v>
      </c>
      <c r="W28">
        <f>Table3[[#This Row],[OFC]]*Table3[[#This Row],[Demand]]</f>
        <v>0</v>
      </c>
      <c r="X28">
        <f>Table3[[#This Row],[TFC]]*Table3[[#This Row],[Demand]]</f>
        <v>185909</v>
      </c>
      <c r="Y28">
        <f>Table3[[#This Row],[WFC]]*Table3[[#This Row],[Demand]]</f>
        <v>0</v>
      </c>
      <c r="Z28">
        <f>Table3[[#This Row],[EAO]]*Table3[[#This Row],[Demand]]</f>
        <v>6.4085107023438974</v>
      </c>
      <c r="AA28">
        <f>Table3[[#This Row],[OCC]]*Table3[[#This Row],[Demand]]</f>
        <v>0</v>
      </c>
      <c r="AB28">
        <f>Table3[[#This Row],[WEO]]*Table3[[#This Row],[Demand]]</f>
        <v>0</v>
      </c>
      <c r="AC28" s="19">
        <f>SUM(Table35[[#This Row],[OFC]:[WEO]])</f>
        <v>185915.40851070234</v>
      </c>
      <c r="AD28" s="19">
        <f>Table35[[#This Row],[Demand]]-Table35[[#This Row],[Total_Modeled_Demand]]</f>
        <v>-6.4085107023420278</v>
      </c>
    </row>
    <row r="29" spans="2:30" x14ac:dyDescent="0.3">
      <c r="B29" s="3" t="str">
        <f>Table3[[#This Row],[Fiscal_Year]]*100+Table3[[#This Row],[Fiscal_Week]] &amp; "-" &amp;Table3[[#This Row],[Brand]]</f>
        <v>201847-Banana Republic</v>
      </c>
      <c r="C29" t="str">
        <f t="shared" si="0"/>
        <v>2018-Banana Republic</v>
      </c>
      <c r="D29">
        <v>2018</v>
      </c>
      <c r="E29">
        <v>47</v>
      </c>
      <c r="F29" t="s">
        <v>18</v>
      </c>
      <c r="G29">
        <v>211605</v>
      </c>
      <c r="H29" s="3">
        <f>INDEX(Demand_Modeling!$A$13:$I$49,MATCH(Table3[[#This Row],[Key]],Demand_Modeling!$A$13:$A$49,0),MATCH(Table3[[#Headers],[OFC]],Demand_Modeling!$A$13:$I$13,0))</f>
        <v>0</v>
      </c>
      <c r="I29" s="3">
        <f>INDEX(Demand_Modeling!$A$13:$I$49,MATCH(Table3[[#This Row],[Key]],Demand_Modeling!$A$13:$A$49,0),MATCH(Table3[[#Headers],[TFC]],Demand_Modeling!$A$13:$I$13,0))</f>
        <v>1</v>
      </c>
      <c r="J29" s="3">
        <f>INDEX(Demand_Modeling!$A$13:$I$49,MATCH(Table3[[#This Row],[Key]],Demand_Modeling!$A$13:$A$49,0),MATCH(Table3[[#Headers],[WFC]],Demand_Modeling!$A$13:$I$13,0))</f>
        <v>3.4959629396853166E-6</v>
      </c>
      <c r="K29" s="3">
        <f>INDEX(Demand_Modeling!$A$13:$I$49,MATCH(Table3[[#This Row],[Key]],Demand_Modeling!$A$13:$A$49,0),MATCH(Table3[[#Headers],[EAO]],Demand_Modeling!$A$13:$I$13,0))</f>
        <v>4.2339995602855504E-5</v>
      </c>
      <c r="L29" s="3">
        <f>INDEX(Demand_Modeling!$A$13:$I$49,MATCH(Table3[[#This Row],[Key]],Demand_Modeling!$A$13:$A$49,0),MATCH(Table3[[#Headers],[OCC]],Demand_Modeling!$A$13:$I$13,0))</f>
        <v>0</v>
      </c>
      <c r="M29" s="3">
        <f>INDEX(Demand_Modeling!$A$13:$I$49,MATCH(Table3[[#This Row],[Key]],Demand_Modeling!$A$13:$A$49,0),MATCH(Table3[[#Headers],[WEO]],Demand_Modeling!$A$13:$I$13,0))</f>
        <v>0</v>
      </c>
      <c r="N29" s="19">
        <f>SUM(Table3[[#This Row],[OFC]:[WEO]])</f>
        <v>1.0000458359585425</v>
      </c>
      <c r="O29" s="19"/>
      <c r="Q29" s="3" t="str">
        <f>Table35[[#This Row],[Fiscal_Year]]*100+Table35[[#This Row],[Fiscal_Week]] &amp; "-" &amp;Table35[[#This Row],[Brand]]</f>
        <v>201847-Banana Republic</v>
      </c>
      <c r="R29" t="str">
        <f>Table3[[#This Row],[Key]]</f>
        <v>2018-Banana Republic</v>
      </c>
      <c r="S29">
        <f>Table3[[#This Row],[Fiscal_Year]]</f>
        <v>2018</v>
      </c>
      <c r="T29">
        <f>Table3[[#This Row],[Fiscal_Week]]</f>
        <v>47</v>
      </c>
      <c r="U29" t="str">
        <f>Table3[[#This Row],[Brand]]</f>
        <v>Banana Republic</v>
      </c>
      <c r="V29">
        <f>Table3[[#This Row],[Demand]]</f>
        <v>211605</v>
      </c>
      <c r="W29">
        <f>Table3[[#This Row],[OFC]]*Table3[[#This Row],[Demand]]</f>
        <v>0</v>
      </c>
      <c r="X29">
        <f>Table3[[#This Row],[TFC]]*Table3[[#This Row],[Demand]]</f>
        <v>211605</v>
      </c>
      <c r="Y29">
        <f>Table3[[#This Row],[WFC]]*Table3[[#This Row],[Demand]]</f>
        <v>0.7397632378521114</v>
      </c>
      <c r="Z29">
        <f>Table3[[#This Row],[EAO]]*Table3[[#This Row],[Demand]]</f>
        <v>8.9593547695422391</v>
      </c>
      <c r="AA29">
        <f>Table3[[#This Row],[OCC]]*Table3[[#This Row],[Demand]]</f>
        <v>0</v>
      </c>
      <c r="AB29">
        <f>Table3[[#This Row],[WEO]]*Table3[[#This Row],[Demand]]</f>
        <v>0</v>
      </c>
      <c r="AC29" s="19">
        <f>SUM(Table35[[#This Row],[OFC]:[WEO]])</f>
        <v>211614.69911800741</v>
      </c>
      <c r="AD29" s="19">
        <f>Table35[[#This Row],[Demand]]-Table35[[#This Row],[Total_Modeled_Demand]]</f>
        <v>-9.6991180074110162</v>
      </c>
    </row>
    <row r="30" spans="2:30" x14ac:dyDescent="0.3">
      <c r="B30" s="3" t="str">
        <f>Table3[[#This Row],[Fiscal_Year]]*100+Table3[[#This Row],[Fiscal_Week]] &amp; "-" &amp;Table3[[#This Row],[Brand]]</f>
        <v>201847-BR Factory Store</v>
      </c>
      <c r="C30" t="str">
        <f t="shared" si="0"/>
        <v>2018-BR Factory Store</v>
      </c>
      <c r="D30">
        <v>2018</v>
      </c>
      <c r="E30">
        <v>47</v>
      </c>
      <c r="F30" t="s">
        <v>17</v>
      </c>
      <c r="G30">
        <v>62339</v>
      </c>
      <c r="H30" s="3">
        <f>INDEX(Demand_Modeling!$A$13:$I$49,MATCH(Table3[[#This Row],[Key]],Demand_Modeling!$A$13:$A$49,0),MATCH(Table3[[#Headers],[OFC]],Demand_Modeling!$A$13:$I$13,0))</f>
        <v>1</v>
      </c>
      <c r="I30" s="3">
        <f>INDEX(Demand_Modeling!$A$13:$I$49,MATCH(Table3[[#This Row],[Key]],Demand_Modeling!$A$13:$A$49,0),MATCH(Table3[[#Headers],[TFC]],Demand_Modeling!$A$13:$I$13,0))</f>
        <v>0</v>
      </c>
      <c r="J30" s="3">
        <f>INDEX(Demand_Modeling!$A$13:$I$49,MATCH(Table3[[#This Row],[Key]],Demand_Modeling!$A$13:$A$49,0),MATCH(Table3[[#Headers],[WFC]],Demand_Modeling!$A$13:$I$13,0))</f>
        <v>0</v>
      </c>
      <c r="K30" s="3">
        <f>INDEX(Demand_Modeling!$A$13:$I$49,MATCH(Table3[[#This Row],[Key]],Demand_Modeling!$A$13:$A$49,0),MATCH(Table3[[#Headers],[EAO]],Demand_Modeling!$A$13:$I$13,0))</f>
        <v>0</v>
      </c>
      <c r="L30" s="3">
        <f>INDEX(Demand_Modeling!$A$13:$I$49,MATCH(Table3[[#This Row],[Key]],Demand_Modeling!$A$13:$A$49,0),MATCH(Table3[[#Headers],[OCC]],Demand_Modeling!$A$13:$I$13,0))</f>
        <v>0</v>
      </c>
      <c r="M30" s="3">
        <f>INDEX(Demand_Modeling!$A$13:$I$49,MATCH(Table3[[#This Row],[Key]],Demand_Modeling!$A$13:$A$49,0),MATCH(Table3[[#Headers],[WEO]],Demand_Modeling!$A$13:$I$13,0))</f>
        <v>0</v>
      </c>
      <c r="N30" s="19">
        <f>SUM(Table3[[#This Row],[OFC]:[WEO]])</f>
        <v>1</v>
      </c>
      <c r="O30" s="19"/>
      <c r="Q30" s="3" t="str">
        <f>Table35[[#This Row],[Fiscal_Year]]*100+Table35[[#This Row],[Fiscal_Week]] &amp; "-" &amp;Table35[[#This Row],[Brand]]</f>
        <v>201847-BR Factory Store</v>
      </c>
      <c r="R30" t="str">
        <f>Table3[[#This Row],[Key]]</f>
        <v>2018-BR Factory Store</v>
      </c>
      <c r="S30">
        <f>Table3[[#This Row],[Fiscal_Year]]</f>
        <v>2018</v>
      </c>
      <c r="T30">
        <f>Table3[[#This Row],[Fiscal_Week]]</f>
        <v>47</v>
      </c>
      <c r="U30" t="str">
        <f>Table3[[#This Row],[Brand]]</f>
        <v>BR Factory Store</v>
      </c>
      <c r="V30">
        <f>Table3[[#This Row],[Demand]]</f>
        <v>62339</v>
      </c>
      <c r="W30">
        <f>Table3[[#This Row],[OFC]]*Table3[[#This Row],[Demand]]</f>
        <v>62339</v>
      </c>
      <c r="X30">
        <f>Table3[[#This Row],[TFC]]*Table3[[#This Row],[Demand]]</f>
        <v>0</v>
      </c>
      <c r="Y30">
        <f>Table3[[#This Row],[WFC]]*Table3[[#This Row],[Demand]]</f>
        <v>0</v>
      </c>
      <c r="Z30">
        <f>Table3[[#This Row],[EAO]]*Table3[[#This Row],[Demand]]</f>
        <v>0</v>
      </c>
      <c r="AA30">
        <f>Table3[[#This Row],[OCC]]*Table3[[#This Row],[Demand]]</f>
        <v>0</v>
      </c>
      <c r="AB30">
        <f>Table3[[#This Row],[WEO]]*Table3[[#This Row],[Demand]]</f>
        <v>0</v>
      </c>
      <c r="AC30" s="19">
        <f>SUM(Table35[[#This Row],[OFC]:[WEO]])</f>
        <v>62339</v>
      </c>
      <c r="AD30" s="19">
        <f>Table35[[#This Row],[Demand]]-Table35[[#This Row],[Total_Modeled_Demand]]</f>
        <v>0</v>
      </c>
    </row>
    <row r="31" spans="2:30" x14ac:dyDescent="0.3">
      <c r="B31" s="3" t="str">
        <f>Table3[[#This Row],[Fiscal_Year]]*100+Table3[[#This Row],[Fiscal_Week]] &amp; "-" &amp;Table3[[#This Row],[Brand]]</f>
        <v>201847-Gap</v>
      </c>
      <c r="C31" t="str">
        <f t="shared" si="0"/>
        <v>2018-Gap</v>
      </c>
      <c r="D31">
        <v>2018</v>
      </c>
      <c r="E31">
        <v>47</v>
      </c>
      <c r="F31" t="s">
        <v>16</v>
      </c>
      <c r="G31">
        <v>708736</v>
      </c>
      <c r="H31" s="3">
        <f>INDEX(Demand_Modeling!$A$13:$I$49,MATCH(Table3[[#This Row],[Key]],Demand_Modeling!$A$13:$A$49,0),MATCH(Table3[[#Headers],[OFC]],Demand_Modeling!$A$13:$I$13,0))</f>
        <v>0.25</v>
      </c>
      <c r="I31" s="3">
        <f>INDEX(Demand_Modeling!$A$13:$I$49,MATCH(Table3[[#This Row],[Key]],Demand_Modeling!$A$13:$A$49,0),MATCH(Table3[[#Headers],[TFC]],Demand_Modeling!$A$13:$I$13,0))</f>
        <v>0.2</v>
      </c>
      <c r="J31" s="3">
        <f>INDEX(Demand_Modeling!$A$13:$I$49,MATCH(Table3[[#This Row],[Key]],Demand_Modeling!$A$13:$A$49,0),MATCH(Table3[[#Headers],[WFC]],Demand_Modeling!$A$13:$I$13,0))</f>
        <v>0.15</v>
      </c>
      <c r="K31" s="3">
        <f>INDEX(Demand_Modeling!$A$13:$I$49,MATCH(Table3[[#This Row],[Key]],Demand_Modeling!$A$13:$A$49,0),MATCH(Table3[[#Headers],[EAO]],Demand_Modeling!$A$13:$I$13,0))</f>
        <v>0</v>
      </c>
      <c r="L31" s="3">
        <f>INDEX(Demand_Modeling!$A$13:$I$49,MATCH(Table3[[#This Row],[Key]],Demand_Modeling!$A$13:$A$49,0),MATCH(Table3[[#Headers],[OCC]],Demand_Modeling!$A$13:$I$13,0))</f>
        <v>0</v>
      </c>
      <c r="M31" s="3">
        <f>INDEX(Demand_Modeling!$A$13:$I$49,MATCH(Table3[[#This Row],[Key]],Demand_Modeling!$A$13:$A$49,0),MATCH(Table3[[#Headers],[WEO]],Demand_Modeling!$A$13:$I$13,0))</f>
        <v>0.4</v>
      </c>
      <c r="N31" s="19">
        <f>SUM(Table3[[#This Row],[OFC]:[WEO]])</f>
        <v>1</v>
      </c>
      <c r="O31" s="19"/>
      <c r="Q31" s="3" t="str">
        <f>Table35[[#This Row],[Fiscal_Year]]*100+Table35[[#This Row],[Fiscal_Week]] &amp; "-" &amp;Table35[[#This Row],[Brand]]</f>
        <v>201847-Gap</v>
      </c>
      <c r="R31" t="str">
        <f>Table3[[#This Row],[Key]]</f>
        <v>2018-Gap</v>
      </c>
      <c r="S31">
        <f>Table3[[#This Row],[Fiscal_Year]]</f>
        <v>2018</v>
      </c>
      <c r="T31">
        <f>Table3[[#This Row],[Fiscal_Week]]</f>
        <v>47</v>
      </c>
      <c r="U31" t="str">
        <f>Table3[[#This Row],[Brand]]</f>
        <v>Gap</v>
      </c>
      <c r="V31">
        <f>Table3[[#This Row],[Demand]]</f>
        <v>708736</v>
      </c>
      <c r="W31">
        <f>Table3[[#This Row],[OFC]]*Table3[[#This Row],[Demand]]</f>
        <v>177184</v>
      </c>
      <c r="X31">
        <f>Table3[[#This Row],[TFC]]*Table3[[#This Row],[Demand]]</f>
        <v>141747.20000000001</v>
      </c>
      <c r="Y31">
        <f>Table3[[#This Row],[WFC]]*Table3[[#This Row],[Demand]]</f>
        <v>106310.39999999999</v>
      </c>
      <c r="Z31">
        <f>Table3[[#This Row],[EAO]]*Table3[[#This Row],[Demand]]</f>
        <v>0</v>
      </c>
      <c r="AA31">
        <f>Table3[[#This Row],[OCC]]*Table3[[#This Row],[Demand]]</f>
        <v>0</v>
      </c>
      <c r="AB31">
        <f>Table3[[#This Row],[WEO]]*Table3[[#This Row],[Demand]]</f>
        <v>283494.40000000002</v>
      </c>
      <c r="AC31" s="19">
        <f>SUM(Table35[[#This Row],[OFC]:[WEO]])</f>
        <v>708736</v>
      </c>
      <c r="AD31" s="19">
        <f>Table35[[#This Row],[Demand]]-Table35[[#This Row],[Total_Modeled_Demand]]</f>
        <v>0</v>
      </c>
    </row>
    <row r="32" spans="2:30" x14ac:dyDescent="0.3">
      <c r="B32" s="3" t="str">
        <f>Table3[[#This Row],[Fiscal_Year]]*100+Table3[[#This Row],[Fiscal_Week]] &amp; "-" &amp;Table3[[#This Row],[Brand]]</f>
        <v>201847-Gap Factory Store</v>
      </c>
      <c r="C32" t="str">
        <f t="shared" si="0"/>
        <v>2018-Gap Factory Store</v>
      </c>
      <c r="D32">
        <v>2018</v>
      </c>
      <c r="E32">
        <v>47</v>
      </c>
      <c r="F32" t="s">
        <v>22</v>
      </c>
      <c r="G32">
        <v>138843</v>
      </c>
      <c r="H32" s="3">
        <f>INDEX(Demand_Modeling!$A$13:$I$49,MATCH(Table3[[#This Row],[Key]],Demand_Modeling!$A$13:$A$49,0),MATCH(Table3[[#Headers],[OFC]],Demand_Modeling!$A$13:$I$13,0))</f>
        <v>1</v>
      </c>
      <c r="I32" s="3">
        <f>INDEX(Demand_Modeling!$A$13:$I$49,MATCH(Table3[[#This Row],[Key]],Demand_Modeling!$A$13:$A$49,0),MATCH(Table3[[#Headers],[TFC]],Demand_Modeling!$A$13:$I$13,0))</f>
        <v>0</v>
      </c>
      <c r="J32" s="3">
        <f>INDEX(Demand_Modeling!$A$13:$I$49,MATCH(Table3[[#This Row],[Key]],Demand_Modeling!$A$13:$A$49,0),MATCH(Table3[[#Headers],[WFC]],Demand_Modeling!$A$13:$I$13,0))</f>
        <v>0</v>
      </c>
      <c r="K32" s="3">
        <f>INDEX(Demand_Modeling!$A$13:$I$49,MATCH(Table3[[#This Row],[Key]],Demand_Modeling!$A$13:$A$49,0),MATCH(Table3[[#Headers],[EAO]],Demand_Modeling!$A$13:$I$13,0))</f>
        <v>0</v>
      </c>
      <c r="L32" s="3">
        <f>INDEX(Demand_Modeling!$A$13:$I$49,MATCH(Table3[[#This Row],[Key]],Demand_Modeling!$A$13:$A$49,0),MATCH(Table3[[#Headers],[OCC]],Demand_Modeling!$A$13:$I$13,0))</f>
        <v>0</v>
      </c>
      <c r="M32" s="3">
        <f>INDEX(Demand_Modeling!$A$13:$I$49,MATCH(Table3[[#This Row],[Key]],Demand_Modeling!$A$13:$A$49,0),MATCH(Table3[[#Headers],[WEO]],Demand_Modeling!$A$13:$I$13,0))</f>
        <v>0</v>
      </c>
      <c r="N32" s="19">
        <f>SUM(Table3[[#This Row],[OFC]:[WEO]])</f>
        <v>1</v>
      </c>
      <c r="O32" s="19"/>
      <c r="Q32" s="3" t="str">
        <f>Table35[[#This Row],[Fiscal_Year]]*100+Table35[[#This Row],[Fiscal_Week]] &amp; "-" &amp;Table35[[#This Row],[Brand]]</f>
        <v>201847-Gap Factory Store</v>
      </c>
      <c r="R32" t="str">
        <f>Table3[[#This Row],[Key]]</f>
        <v>2018-Gap Factory Store</v>
      </c>
      <c r="S32">
        <f>Table3[[#This Row],[Fiscal_Year]]</f>
        <v>2018</v>
      </c>
      <c r="T32">
        <f>Table3[[#This Row],[Fiscal_Week]]</f>
        <v>47</v>
      </c>
      <c r="U32" t="str">
        <f>Table3[[#This Row],[Brand]]</f>
        <v>Gap Factory Store</v>
      </c>
      <c r="V32">
        <f>Table3[[#This Row],[Demand]]</f>
        <v>138843</v>
      </c>
      <c r="W32">
        <f>Table3[[#This Row],[OFC]]*Table3[[#This Row],[Demand]]</f>
        <v>138843</v>
      </c>
      <c r="X32">
        <f>Table3[[#This Row],[TFC]]*Table3[[#This Row],[Demand]]</f>
        <v>0</v>
      </c>
      <c r="Y32">
        <f>Table3[[#This Row],[WFC]]*Table3[[#This Row],[Demand]]</f>
        <v>0</v>
      </c>
      <c r="Z32">
        <f>Table3[[#This Row],[EAO]]*Table3[[#This Row],[Demand]]</f>
        <v>0</v>
      </c>
      <c r="AA32">
        <f>Table3[[#This Row],[OCC]]*Table3[[#This Row],[Demand]]</f>
        <v>0</v>
      </c>
      <c r="AB32">
        <f>Table3[[#This Row],[WEO]]*Table3[[#This Row],[Demand]]</f>
        <v>0</v>
      </c>
      <c r="AC32" s="19">
        <f>SUM(Table35[[#This Row],[OFC]:[WEO]])</f>
        <v>138843</v>
      </c>
      <c r="AD32" s="19">
        <f>Table35[[#This Row],[Demand]]-Table35[[#This Row],[Total_Modeled_Demand]]</f>
        <v>0</v>
      </c>
    </row>
    <row r="33" spans="2:30" x14ac:dyDescent="0.3">
      <c r="B33" s="3" t="str">
        <f>Table3[[#This Row],[Fiscal_Year]]*100+Table3[[#This Row],[Fiscal_Week]] &amp; "-" &amp;Table3[[#This Row],[Brand]]</f>
        <v>201847-Old Navy</v>
      </c>
      <c r="C33" t="str">
        <f t="shared" si="0"/>
        <v>2018-Old Navy</v>
      </c>
      <c r="D33">
        <v>2018</v>
      </c>
      <c r="E33">
        <v>47</v>
      </c>
      <c r="F33" t="s">
        <v>20</v>
      </c>
      <c r="G33">
        <v>1259664</v>
      </c>
      <c r="H33" s="3">
        <f>INDEX(Demand_Modeling!$A$13:$I$49,MATCH(Table3[[#This Row],[Key]],Demand_Modeling!$A$13:$A$49,0),MATCH(Table3[[#Headers],[OFC]],Demand_Modeling!$A$13:$I$13,0))</f>
        <v>0.27</v>
      </c>
      <c r="I33" s="3">
        <f>INDEX(Demand_Modeling!$A$13:$I$49,MATCH(Table3[[#This Row],[Key]],Demand_Modeling!$A$13:$A$49,0),MATCH(Table3[[#Headers],[TFC]],Demand_Modeling!$A$13:$I$13,0))</f>
        <v>0.25</v>
      </c>
      <c r="J33" s="3">
        <f>INDEX(Demand_Modeling!$A$13:$I$49,MATCH(Table3[[#This Row],[Key]],Demand_Modeling!$A$13:$A$49,0),MATCH(Table3[[#Headers],[WFC]],Demand_Modeling!$A$13:$I$13,0))</f>
        <v>0.1</v>
      </c>
      <c r="K33" s="3">
        <f>INDEX(Demand_Modeling!$A$13:$I$49,MATCH(Table3[[#This Row],[Key]],Demand_Modeling!$A$13:$A$49,0),MATCH(Table3[[#Headers],[EAO]],Demand_Modeling!$A$13:$I$13,0))</f>
        <v>0.28000000000000003</v>
      </c>
      <c r="L33" s="3">
        <f>INDEX(Demand_Modeling!$A$13:$I$49,MATCH(Table3[[#This Row],[Key]],Demand_Modeling!$A$13:$A$49,0),MATCH(Table3[[#Headers],[OCC]],Demand_Modeling!$A$13:$I$13,0))</f>
        <v>0</v>
      </c>
      <c r="M33" s="3">
        <f>INDEX(Demand_Modeling!$A$13:$I$49,MATCH(Table3[[#This Row],[Key]],Demand_Modeling!$A$13:$A$49,0),MATCH(Table3[[#Headers],[WEO]],Demand_Modeling!$A$13:$I$13,0))</f>
        <v>0.1</v>
      </c>
      <c r="N33" s="19">
        <f>SUM(Table3[[#This Row],[OFC]:[WEO]])</f>
        <v>1</v>
      </c>
      <c r="O33" s="19"/>
      <c r="Q33" s="3" t="str">
        <f>Table35[[#This Row],[Fiscal_Year]]*100+Table35[[#This Row],[Fiscal_Week]] &amp; "-" &amp;Table35[[#This Row],[Brand]]</f>
        <v>201847-Old Navy</v>
      </c>
      <c r="R33" t="str">
        <f>Table3[[#This Row],[Key]]</f>
        <v>2018-Old Navy</v>
      </c>
      <c r="S33">
        <f>Table3[[#This Row],[Fiscal_Year]]</f>
        <v>2018</v>
      </c>
      <c r="T33">
        <f>Table3[[#This Row],[Fiscal_Week]]</f>
        <v>47</v>
      </c>
      <c r="U33" t="str">
        <f>Table3[[#This Row],[Brand]]</f>
        <v>Old Navy</v>
      </c>
      <c r="V33">
        <f>Table3[[#This Row],[Demand]]</f>
        <v>1259664</v>
      </c>
      <c r="W33">
        <f>Table3[[#This Row],[OFC]]*Table3[[#This Row],[Demand]]</f>
        <v>340109.28</v>
      </c>
      <c r="X33">
        <f>Table3[[#This Row],[TFC]]*Table3[[#This Row],[Demand]]</f>
        <v>314916</v>
      </c>
      <c r="Y33">
        <f>Table3[[#This Row],[WFC]]*Table3[[#This Row],[Demand]]</f>
        <v>125966.40000000001</v>
      </c>
      <c r="Z33">
        <f>Table3[[#This Row],[EAO]]*Table3[[#This Row],[Demand]]</f>
        <v>352705.92000000004</v>
      </c>
      <c r="AA33">
        <f>Table3[[#This Row],[OCC]]*Table3[[#This Row],[Demand]]</f>
        <v>0</v>
      </c>
      <c r="AB33">
        <f>Table3[[#This Row],[WEO]]*Table3[[#This Row],[Demand]]</f>
        <v>125966.40000000001</v>
      </c>
      <c r="AC33" s="19">
        <f>SUM(Table35[[#This Row],[OFC]:[WEO]])</f>
        <v>1259664</v>
      </c>
      <c r="AD33" s="19">
        <f>Table35[[#This Row],[Demand]]-Table35[[#This Row],[Total_Modeled_Demand]]</f>
        <v>0</v>
      </c>
    </row>
    <row r="34" spans="2:30" x14ac:dyDescent="0.3">
      <c r="B34" s="3" t="str">
        <f>Table3[[#This Row],[Fiscal_Year]]*100+Table3[[#This Row],[Fiscal_Week]] &amp; "-" &amp;Table3[[#This Row],[Brand]]</f>
        <v>201943-Athleta</v>
      </c>
      <c r="C34" t="str">
        <f t="shared" si="0"/>
        <v>2019-Athleta</v>
      </c>
      <c r="D34">
        <v>2019</v>
      </c>
      <c r="E34">
        <v>43</v>
      </c>
      <c r="F34" t="s">
        <v>19</v>
      </c>
      <c r="G34">
        <v>361168</v>
      </c>
      <c r="H34" s="3">
        <f>INDEX(Demand_Modeling!$A$13:$I$49,MATCH(Table3[[#This Row],[Key]],Demand_Modeling!$A$13:$A$49,0),MATCH(Table3[[#Headers],[OFC]],Demand_Modeling!$A$13:$I$13,0))</f>
        <v>0</v>
      </c>
      <c r="I34" s="3">
        <f>INDEX(Demand_Modeling!$A$13:$I$49,MATCH(Table3[[#This Row],[Key]],Demand_Modeling!$A$13:$A$49,0),MATCH(Table3[[#Headers],[TFC]],Demand_Modeling!$A$13:$I$13,0))</f>
        <v>1</v>
      </c>
      <c r="J34" s="3">
        <f>INDEX(Demand_Modeling!$A$13:$I$49,MATCH(Table3[[#This Row],[Key]],Demand_Modeling!$A$13:$A$49,0),MATCH(Table3[[#Headers],[WFC]],Demand_Modeling!$A$13:$I$13,0))</f>
        <v>0</v>
      </c>
      <c r="K34" s="3">
        <f>INDEX(Demand_Modeling!$A$13:$I$49,MATCH(Table3[[#This Row],[Key]],Demand_Modeling!$A$13:$A$49,0),MATCH(Table3[[#Headers],[EAO]],Demand_Modeling!$A$13:$I$13,0))</f>
        <v>3.447122356821831E-5</v>
      </c>
      <c r="L34" s="3">
        <f>INDEX(Demand_Modeling!$A$13:$I$49,MATCH(Table3[[#This Row],[Key]],Demand_Modeling!$A$13:$A$49,0),MATCH(Table3[[#Headers],[OCC]],Demand_Modeling!$A$13:$I$13,0))</f>
        <v>0</v>
      </c>
      <c r="M34" s="3">
        <f>INDEX(Demand_Modeling!$A$13:$I$49,MATCH(Table3[[#This Row],[Key]],Demand_Modeling!$A$13:$A$49,0),MATCH(Table3[[#Headers],[WEO]],Demand_Modeling!$A$13:$I$13,0))</f>
        <v>0</v>
      </c>
      <c r="N34" s="19">
        <f>SUM(Table3[[#This Row],[OFC]:[WEO]])</f>
        <v>1.0000344712235683</v>
      </c>
      <c r="O34" s="19"/>
      <c r="Q34" s="3" t="str">
        <f>Table35[[#This Row],[Fiscal_Year]]*100+Table35[[#This Row],[Fiscal_Week]] &amp; "-" &amp;Table35[[#This Row],[Brand]]</f>
        <v>201943-Athleta</v>
      </c>
      <c r="R34" t="str">
        <f>Table3[[#This Row],[Key]]</f>
        <v>2019-Athleta</v>
      </c>
      <c r="S34">
        <f>Table3[[#This Row],[Fiscal_Year]]</f>
        <v>2019</v>
      </c>
      <c r="T34">
        <f>Table3[[#This Row],[Fiscal_Week]]</f>
        <v>43</v>
      </c>
      <c r="U34" t="str">
        <f>Table3[[#This Row],[Brand]]</f>
        <v>Athleta</v>
      </c>
      <c r="V34">
        <f>Table3[[#This Row],[Demand]]</f>
        <v>361168</v>
      </c>
      <c r="W34">
        <f>Table3[[#This Row],[OFC]]*Table3[[#This Row],[Demand]]</f>
        <v>0</v>
      </c>
      <c r="X34">
        <f>Table3[[#This Row],[TFC]]*Table3[[#This Row],[Demand]]</f>
        <v>361168</v>
      </c>
      <c r="Y34">
        <f>Table3[[#This Row],[WFC]]*Table3[[#This Row],[Demand]]</f>
        <v>0</v>
      </c>
      <c r="Z34">
        <f>Table3[[#This Row],[EAO]]*Table3[[#This Row],[Demand]]</f>
        <v>12.44990287368627</v>
      </c>
      <c r="AA34">
        <f>Table3[[#This Row],[OCC]]*Table3[[#This Row],[Demand]]</f>
        <v>0</v>
      </c>
      <c r="AB34">
        <f>Table3[[#This Row],[WEO]]*Table3[[#This Row],[Demand]]</f>
        <v>0</v>
      </c>
      <c r="AC34" s="19">
        <f>SUM(Table35[[#This Row],[OFC]:[WEO]])</f>
        <v>361180.44990287366</v>
      </c>
      <c r="AD34" s="19">
        <f>Table35[[#This Row],[Demand]]-Table35[[#This Row],[Total_Modeled_Demand]]</f>
        <v>-12.449902873660903</v>
      </c>
    </row>
    <row r="35" spans="2:30" x14ac:dyDescent="0.3">
      <c r="B35" s="3" t="str">
        <f>Table3[[#This Row],[Fiscal_Year]]*100+Table3[[#This Row],[Fiscal_Week]] &amp; "-" &amp;Table3[[#This Row],[Brand]]</f>
        <v>201943-Banana Republic</v>
      </c>
      <c r="C35" t="str">
        <f t="shared" si="0"/>
        <v>2019-Banana Republic</v>
      </c>
      <c r="D35">
        <v>2019</v>
      </c>
      <c r="E35">
        <v>43</v>
      </c>
      <c r="F35" t="s">
        <v>18</v>
      </c>
      <c r="G35">
        <v>575882</v>
      </c>
      <c r="H35" s="3">
        <f>INDEX(Demand_Modeling!$A$13:$I$49,MATCH(Table3[[#This Row],[Key]],Demand_Modeling!$A$13:$A$49,0),MATCH(Table3[[#Headers],[OFC]],Demand_Modeling!$A$13:$I$13,0))</f>
        <v>0</v>
      </c>
      <c r="I35" s="3">
        <f>INDEX(Demand_Modeling!$A$13:$I$49,MATCH(Table3[[#This Row],[Key]],Demand_Modeling!$A$13:$A$49,0),MATCH(Table3[[#Headers],[TFC]],Demand_Modeling!$A$13:$I$13,0))</f>
        <v>1</v>
      </c>
      <c r="J35" s="3">
        <f>INDEX(Demand_Modeling!$A$13:$I$49,MATCH(Table3[[#This Row],[Key]],Demand_Modeling!$A$13:$A$49,0),MATCH(Table3[[#Headers],[WFC]],Demand_Modeling!$A$13:$I$13,0))</f>
        <v>3.4959629396853166E-6</v>
      </c>
      <c r="K35" s="3">
        <f>INDEX(Demand_Modeling!$A$13:$I$49,MATCH(Table3[[#This Row],[Key]],Demand_Modeling!$A$13:$A$49,0),MATCH(Table3[[#Headers],[EAO]],Demand_Modeling!$A$13:$I$13,0))</f>
        <v>4.2339995602855504E-5</v>
      </c>
      <c r="L35" s="3">
        <f>INDEX(Demand_Modeling!$A$13:$I$49,MATCH(Table3[[#This Row],[Key]],Demand_Modeling!$A$13:$A$49,0),MATCH(Table3[[#Headers],[OCC]],Demand_Modeling!$A$13:$I$13,0))</f>
        <v>0</v>
      </c>
      <c r="M35" s="3">
        <f>INDEX(Demand_Modeling!$A$13:$I$49,MATCH(Table3[[#This Row],[Key]],Demand_Modeling!$A$13:$A$49,0),MATCH(Table3[[#Headers],[WEO]],Demand_Modeling!$A$13:$I$13,0))</f>
        <v>0</v>
      </c>
      <c r="N35" s="19">
        <f>SUM(Table3[[#This Row],[OFC]:[WEO]])</f>
        <v>1.0000458359585425</v>
      </c>
      <c r="O35" s="19"/>
      <c r="Q35" s="3" t="str">
        <f>Table35[[#This Row],[Fiscal_Year]]*100+Table35[[#This Row],[Fiscal_Week]] &amp; "-" &amp;Table35[[#This Row],[Brand]]</f>
        <v>201943-Banana Republic</v>
      </c>
      <c r="R35" t="str">
        <f>Table3[[#This Row],[Key]]</f>
        <v>2019-Banana Republic</v>
      </c>
      <c r="S35">
        <f>Table3[[#This Row],[Fiscal_Year]]</f>
        <v>2019</v>
      </c>
      <c r="T35">
        <f>Table3[[#This Row],[Fiscal_Week]]</f>
        <v>43</v>
      </c>
      <c r="U35" t="str">
        <f>Table3[[#This Row],[Brand]]</f>
        <v>Banana Republic</v>
      </c>
      <c r="V35">
        <f>Table3[[#This Row],[Demand]]</f>
        <v>575882</v>
      </c>
      <c r="W35">
        <f>Table3[[#This Row],[OFC]]*Table3[[#This Row],[Demand]]</f>
        <v>0</v>
      </c>
      <c r="X35">
        <f>Table3[[#This Row],[TFC]]*Table3[[#This Row],[Demand]]</f>
        <v>575882</v>
      </c>
      <c r="Y35">
        <f>Table3[[#This Row],[WFC]]*Table3[[#This Row],[Demand]]</f>
        <v>2.0132621296318596</v>
      </c>
      <c r="Z35">
        <f>Table3[[#This Row],[EAO]]*Table3[[#This Row],[Demand]]</f>
        <v>24.382841347763634</v>
      </c>
      <c r="AA35">
        <f>Table3[[#This Row],[OCC]]*Table3[[#This Row],[Demand]]</f>
        <v>0</v>
      </c>
      <c r="AB35">
        <f>Table3[[#This Row],[WEO]]*Table3[[#This Row],[Demand]]</f>
        <v>0</v>
      </c>
      <c r="AC35" s="19">
        <f>SUM(Table35[[#This Row],[OFC]:[WEO]])</f>
        <v>575908.39610347734</v>
      </c>
      <c r="AD35" s="19">
        <f>Table35[[#This Row],[Demand]]-Table35[[#This Row],[Total_Modeled_Demand]]</f>
        <v>-26.396103477338329</v>
      </c>
    </row>
    <row r="36" spans="2:30" x14ac:dyDescent="0.3">
      <c r="B36" s="3" t="str">
        <f>Table3[[#This Row],[Fiscal_Year]]*100+Table3[[#This Row],[Fiscal_Week]] &amp; "-" &amp;Table3[[#This Row],[Brand]]</f>
        <v>201943-BR Factory Store</v>
      </c>
      <c r="C36" t="str">
        <f t="shared" si="0"/>
        <v>2019-BR Factory Store</v>
      </c>
      <c r="D36">
        <v>2019</v>
      </c>
      <c r="E36">
        <v>43</v>
      </c>
      <c r="F36" t="s">
        <v>17</v>
      </c>
      <c r="G36">
        <v>410510</v>
      </c>
      <c r="H36" s="3">
        <f>INDEX(Demand_Modeling!$A$13:$I$49,MATCH(Table3[[#This Row],[Key]],Demand_Modeling!$A$13:$A$49,0),MATCH(Table3[[#Headers],[OFC]],Demand_Modeling!$A$13:$I$13,0))</f>
        <v>1</v>
      </c>
      <c r="I36" s="3">
        <f>INDEX(Demand_Modeling!$A$13:$I$49,MATCH(Table3[[#This Row],[Key]],Demand_Modeling!$A$13:$A$49,0),MATCH(Table3[[#Headers],[TFC]],Demand_Modeling!$A$13:$I$13,0))</f>
        <v>0</v>
      </c>
      <c r="J36" s="3">
        <f>INDEX(Demand_Modeling!$A$13:$I$49,MATCH(Table3[[#This Row],[Key]],Demand_Modeling!$A$13:$A$49,0),MATCH(Table3[[#Headers],[WFC]],Demand_Modeling!$A$13:$I$13,0))</f>
        <v>0</v>
      </c>
      <c r="K36" s="3">
        <f>INDEX(Demand_Modeling!$A$13:$I$49,MATCH(Table3[[#This Row],[Key]],Demand_Modeling!$A$13:$A$49,0),MATCH(Table3[[#Headers],[EAO]],Demand_Modeling!$A$13:$I$13,0))</f>
        <v>0</v>
      </c>
      <c r="L36" s="3">
        <f>INDEX(Demand_Modeling!$A$13:$I$49,MATCH(Table3[[#This Row],[Key]],Demand_Modeling!$A$13:$A$49,0),MATCH(Table3[[#Headers],[OCC]],Demand_Modeling!$A$13:$I$13,0))</f>
        <v>0</v>
      </c>
      <c r="M36" s="3">
        <f>INDEX(Demand_Modeling!$A$13:$I$49,MATCH(Table3[[#This Row],[Key]],Demand_Modeling!$A$13:$A$49,0),MATCH(Table3[[#Headers],[WEO]],Demand_Modeling!$A$13:$I$13,0))</f>
        <v>0</v>
      </c>
      <c r="N36" s="19">
        <f>SUM(Table3[[#This Row],[OFC]:[WEO]])</f>
        <v>1</v>
      </c>
      <c r="O36" s="19"/>
      <c r="Q36" s="3" t="str">
        <f>Table35[[#This Row],[Fiscal_Year]]*100+Table35[[#This Row],[Fiscal_Week]] &amp; "-" &amp;Table35[[#This Row],[Brand]]</f>
        <v>201943-BR Factory Store</v>
      </c>
      <c r="R36" t="str">
        <f>Table3[[#This Row],[Key]]</f>
        <v>2019-BR Factory Store</v>
      </c>
      <c r="S36">
        <f>Table3[[#This Row],[Fiscal_Year]]</f>
        <v>2019</v>
      </c>
      <c r="T36">
        <f>Table3[[#This Row],[Fiscal_Week]]</f>
        <v>43</v>
      </c>
      <c r="U36" t="str">
        <f>Table3[[#This Row],[Brand]]</f>
        <v>BR Factory Store</v>
      </c>
      <c r="V36">
        <f>Table3[[#This Row],[Demand]]</f>
        <v>410510</v>
      </c>
      <c r="W36">
        <f>Table3[[#This Row],[OFC]]*Table3[[#This Row],[Demand]]</f>
        <v>410510</v>
      </c>
      <c r="X36">
        <f>Table3[[#This Row],[TFC]]*Table3[[#This Row],[Demand]]</f>
        <v>0</v>
      </c>
      <c r="Y36">
        <f>Table3[[#This Row],[WFC]]*Table3[[#This Row],[Demand]]</f>
        <v>0</v>
      </c>
      <c r="Z36">
        <f>Table3[[#This Row],[EAO]]*Table3[[#This Row],[Demand]]</f>
        <v>0</v>
      </c>
      <c r="AA36">
        <f>Table3[[#This Row],[OCC]]*Table3[[#This Row],[Demand]]</f>
        <v>0</v>
      </c>
      <c r="AB36">
        <f>Table3[[#This Row],[WEO]]*Table3[[#This Row],[Demand]]</f>
        <v>0</v>
      </c>
      <c r="AC36" s="19">
        <f>SUM(Table35[[#This Row],[OFC]:[WEO]])</f>
        <v>410510</v>
      </c>
      <c r="AD36" s="19">
        <f>Table35[[#This Row],[Demand]]-Table35[[#This Row],[Total_Modeled_Demand]]</f>
        <v>0</v>
      </c>
    </row>
    <row r="37" spans="2:30" x14ac:dyDescent="0.3">
      <c r="B37" s="3" t="str">
        <f>Table3[[#This Row],[Fiscal_Year]]*100+Table3[[#This Row],[Fiscal_Week]] &amp; "-" &amp;Table3[[#This Row],[Brand]]</f>
        <v>201943-Gap</v>
      </c>
      <c r="C37" t="str">
        <f t="shared" si="0"/>
        <v>2019-Gap</v>
      </c>
      <c r="D37">
        <v>2019</v>
      </c>
      <c r="E37">
        <v>43</v>
      </c>
      <c r="F37" t="s">
        <v>16</v>
      </c>
      <c r="G37">
        <v>3918739</v>
      </c>
      <c r="H37" s="3">
        <f>INDEX(Demand_Modeling!$A$13:$I$49,MATCH(Table3[[#This Row],[Key]],Demand_Modeling!$A$13:$A$49,0),MATCH(Table3[[#Headers],[OFC]],Demand_Modeling!$A$13:$I$13,0))</f>
        <v>0.25</v>
      </c>
      <c r="I37" s="3">
        <f>INDEX(Demand_Modeling!$A$13:$I$49,MATCH(Table3[[#This Row],[Key]],Demand_Modeling!$A$13:$A$49,0),MATCH(Table3[[#Headers],[TFC]],Demand_Modeling!$A$13:$I$13,0))</f>
        <v>0.2</v>
      </c>
      <c r="J37" s="3">
        <f>INDEX(Demand_Modeling!$A$13:$I$49,MATCH(Table3[[#This Row],[Key]],Demand_Modeling!$A$13:$A$49,0),MATCH(Table3[[#Headers],[WFC]],Demand_Modeling!$A$13:$I$13,0))</f>
        <v>0.15</v>
      </c>
      <c r="K37" s="3">
        <f>INDEX(Demand_Modeling!$A$13:$I$49,MATCH(Table3[[#This Row],[Key]],Demand_Modeling!$A$13:$A$49,0),MATCH(Table3[[#Headers],[EAO]],Demand_Modeling!$A$13:$I$13,0))</f>
        <v>0</v>
      </c>
      <c r="L37" s="3">
        <f>INDEX(Demand_Modeling!$A$13:$I$49,MATCH(Table3[[#This Row],[Key]],Demand_Modeling!$A$13:$A$49,0),MATCH(Table3[[#Headers],[OCC]],Demand_Modeling!$A$13:$I$13,0))</f>
        <v>0</v>
      </c>
      <c r="M37" s="3">
        <f>INDEX(Demand_Modeling!$A$13:$I$49,MATCH(Table3[[#This Row],[Key]],Demand_Modeling!$A$13:$A$49,0),MATCH(Table3[[#Headers],[WEO]],Demand_Modeling!$A$13:$I$13,0))</f>
        <v>0.4</v>
      </c>
      <c r="N37" s="19">
        <f>SUM(Table3[[#This Row],[OFC]:[WEO]])</f>
        <v>1</v>
      </c>
      <c r="O37" s="19"/>
      <c r="Q37" s="3" t="str">
        <f>Table35[[#This Row],[Fiscal_Year]]*100+Table35[[#This Row],[Fiscal_Week]] &amp; "-" &amp;Table35[[#This Row],[Brand]]</f>
        <v>201943-Gap</v>
      </c>
      <c r="R37" t="str">
        <f>Table3[[#This Row],[Key]]</f>
        <v>2019-Gap</v>
      </c>
      <c r="S37">
        <f>Table3[[#This Row],[Fiscal_Year]]</f>
        <v>2019</v>
      </c>
      <c r="T37">
        <f>Table3[[#This Row],[Fiscal_Week]]</f>
        <v>43</v>
      </c>
      <c r="U37" t="str">
        <f>Table3[[#This Row],[Brand]]</f>
        <v>Gap</v>
      </c>
      <c r="V37">
        <f>Table3[[#This Row],[Demand]]</f>
        <v>3918739</v>
      </c>
      <c r="W37">
        <f>Table3[[#This Row],[OFC]]*Table3[[#This Row],[Demand]]</f>
        <v>979684.75</v>
      </c>
      <c r="X37">
        <f>Table3[[#This Row],[TFC]]*Table3[[#This Row],[Demand]]</f>
        <v>783747.8</v>
      </c>
      <c r="Y37">
        <f>Table3[[#This Row],[WFC]]*Table3[[#This Row],[Demand]]</f>
        <v>587810.85</v>
      </c>
      <c r="Z37">
        <f>Table3[[#This Row],[EAO]]*Table3[[#This Row],[Demand]]</f>
        <v>0</v>
      </c>
      <c r="AA37">
        <f>Table3[[#This Row],[OCC]]*Table3[[#This Row],[Demand]]</f>
        <v>0</v>
      </c>
      <c r="AB37">
        <f>Table3[[#This Row],[WEO]]*Table3[[#This Row],[Demand]]</f>
        <v>1567495.6</v>
      </c>
      <c r="AC37" s="19">
        <f>SUM(Table35[[#This Row],[OFC]:[WEO]])</f>
        <v>3918739</v>
      </c>
      <c r="AD37" s="19">
        <f>Table35[[#This Row],[Demand]]-Table35[[#This Row],[Total_Modeled_Demand]]</f>
        <v>0</v>
      </c>
    </row>
    <row r="38" spans="2:30" x14ac:dyDescent="0.3">
      <c r="B38" s="3" t="str">
        <f>Table3[[#This Row],[Fiscal_Year]]*100+Table3[[#This Row],[Fiscal_Week]] &amp; "-" &amp;Table3[[#This Row],[Brand]]</f>
        <v>201943-Gap Factory Store</v>
      </c>
      <c r="C38" t="str">
        <f t="shared" si="0"/>
        <v>2019-Gap Factory Store</v>
      </c>
      <c r="D38">
        <v>2019</v>
      </c>
      <c r="E38">
        <v>43</v>
      </c>
      <c r="F38" t="s">
        <v>22</v>
      </c>
      <c r="G38">
        <v>994226</v>
      </c>
      <c r="H38" s="3">
        <f>INDEX(Demand_Modeling!$A$13:$I$49,MATCH(Table3[[#This Row],[Key]],Demand_Modeling!$A$13:$A$49,0),MATCH(Table3[[#Headers],[OFC]],Demand_Modeling!$A$13:$I$13,0))</f>
        <v>1</v>
      </c>
      <c r="I38" s="3">
        <f>INDEX(Demand_Modeling!$A$13:$I$49,MATCH(Table3[[#This Row],[Key]],Demand_Modeling!$A$13:$A$49,0),MATCH(Table3[[#Headers],[TFC]],Demand_Modeling!$A$13:$I$13,0))</f>
        <v>0</v>
      </c>
      <c r="J38" s="3">
        <f>INDEX(Demand_Modeling!$A$13:$I$49,MATCH(Table3[[#This Row],[Key]],Demand_Modeling!$A$13:$A$49,0),MATCH(Table3[[#Headers],[WFC]],Demand_Modeling!$A$13:$I$13,0))</f>
        <v>0</v>
      </c>
      <c r="K38" s="3">
        <f>INDEX(Demand_Modeling!$A$13:$I$49,MATCH(Table3[[#This Row],[Key]],Demand_Modeling!$A$13:$A$49,0),MATCH(Table3[[#Headers],[EAO]],Demand_Modeling!$A$13:$I$13,0))</f>
        <v>0</v>
      </c>
      <c r="L38" s="3">
        <f>INDEX(Demand_Modeling!$A$13:$I$49,MATCH(Table3[[#This Row],[Key]],Demand_Modeling!$A$13:$A$49,0),MATCH(Table3[[#Headers],[OCC]],Demand_Modeling!$A$13:$I$13,0))</f>
        <v>0</v>
      </c>
      <c r="M38" s="3">
        <f>INDEX(Demand_Modeling!$A$13:$I$49,MATCH(Table3[[#This Row],[Key]],Demand_Modeling!$A$13:$A$49,0),MATCH(Table3[[#Headers],[WEO]],Demand_Modeling!$A$13:$I$13,0))</f>
        <v>0</v>
      </c>
      <c r="N38" s="19">
        <f>SUM(Table3[[#This Row],[OFC]:[WEO]])</f>
        <v>1</v>
      </c>
      <c r="O38" s="19"/>
      <c r="Q38" s="3" t="str">
        <f>Table35[[#This Row],[Fiscal_Year]]*100+Table35[[#This Row],[Fiscal_Week]] &amp; "-" &amp;Table35[[#This Row],[Brand]]</f>
        <v>201943-Gap Factory Store</v>
      </c>
      <c r="R38" t="str">
        <f>Table3[[#This Row],[Key]]</f>
        <v>2019-Gap Factory Store</v>
      </c>
      <c r="S38">
        <f>Table3[[#This Row],[Fiscal_Year]]</f>
        <v>2019</v>
      </c>
      <c r="T38">
        <f>Table3[[#This Row],[Fiscal_Week]]</f>
        <v>43</v>
      </c>
      <c r="U38" t="str">
        <f>Table3[[#This Row],[Brand]]</f>
        <v>Gap Factory Store</v>
      </c>
      <c r="V38">
        <f>Table3[[#This Row],[Demand]]</f>
        <v>994226</v>
      </c>
      <c r="W38">
        <f>Table3[[#This Row],[OFC]]*Table3[[#This Row],[Demand]]</f>
        <v>994226</v>
      </c>
      <c r="X38">
        <f>Table3[[#This Row],[TFC]]*Table3[[#This Row],[Demand]]</f>
        <v>0</v>
      </c>
      <c r="Y38">
        <f>Table3[[#This Row],[WFC]]*Table3[[#This Row],[Demand]]</f>
        <v>0</v>
      </c>
      <c r="Z38">
        <f>Table3[[#This Row],[EAO]]*Table3[[#This Row],[Demand]]</f>
        <v>0</v>
      </c>
      <c r="AA38">
        <f>Table3[[#This Row],[OCC]]*Table3[[#This Row],[Demand]]</f>
        <v>0</v>
      </c>
      <c r="AB38">
        <f>Table3[[#This Row],[WEO]]*Table3[[#This Row],[Demand]]</f>
        <v>0</v>
      </c>
      <c r="AC38" s="19">
        <f>SUM(Table35[[#This Row],[OFC]:[WEO]])</f>
        <v>994226</v>
      </c>
      <c r="AD38" s="19">
        <f>Table35[[#This Row],[Demand]]-Table35[[#This Row],[Total_Modeled_Demand]]</f>
        <v>0</v>
      </c>
    </row>
    <row r="39" spans="2:30" x14ac:dyDescent="0.3">
      <c r="B39" s="3" t="str">
        <f>Table3[[#This Row],[Fiscal_Year]]*100+Table3[[#This Row],[Fiscal_Week]] &amp; "-" &amp;Table3[[#This Row],[Brand]]</f>
        <v>201943-Old Navy</v>
      </c>
      <c r="C39" t="str">
        <f t="shared" si="0"/>
        <v>2019-Old Navy</v>
      </c>
      <c r="D39">
        <v>2019</v>
      </c>
      <c r="E39">
        <v>43</v>
      </c>
      <c r="F39" t="s">
        <v>20</v>
      </c>
      <c r="G39">
        <v>7289040</v>
      </c>
      <c r="H39" s="3">
        <f>INDEX(Demand_Modeling!$A$13:$I$49,MATCH(Table3[[#This Row],[Key]],Demand_Modeling!$A$13:$A$49,0),MATCH(Table3[[#Headers],[OFC]],Demand_Modeling!$A$13:$I$13,0))</f>
        <v>0.15</v>
      </c>
      <c r="I39" s="3">
        <f>INDEX(Demand_Modeling!$A$13:$I$49,MATCH(Table3[[#This Row],[Key]],Demand_Modeling!$A$13:$A$49,0),MATCH(Table3[[#Headers],[TFC]],Demand_Modeling!$A$13:$I$13,0))</f>
        <v>0.2</v>
      </c>
      <c r="J39" s="3">
        <f>INDEX(Demand_Modeling!$A$13:$I$49,MATCH(Table3[[#This Row],[Key]],Demand_Modeling!$A$13:$A$49,0),MATCH(Table3[[#Headers],[WFC]],Demand_Modeling!$A$13:$I$13,0))</f>
        <v>0.02</v>
      </c>
      <c r="K39" s="3">
        <f>INDEX(Demand_Modeling!$A$13:$I$49,MATCH(Table3[[#This Row],[Key]],Demand_Modeling!$A$13:$A$49,0),MATCH(Table3[[#Headers],[EAO]],Demand_Modeling!$A$13:$I$13,0))</f>
        <v>0.41</v>
      </c>
      <c r="L39" s="3">
        <f>INDEX(Demand_Modeling!$A$13:$I$49,MATCH(Table3[[#This Row],[Key]],Demand_Modeling!$A$13:$A$49,0),MATCH(Table3[[#Headers],[OCC]],Demand_Modeling!$A$13:$I$13,0))</f>
        <v>0</v>
      </c>
      <c r="M39" s="3">
        <f>INDEX(Demand_Modeling!$A$13:$I$49,MATCH(Table3[[#This Row],[Key]],Demand_Modeling!$A$13:$A$49,0),MATCH(Table3[[#Headers],[WEO]],Demand_Modeling!$A$13:$I$13,0))</f>
        <v>0.22</v>
      </c>
      <c r="N39" s="19">
        <f>SUM(Table3[[#This Row],[OFC]:[WEO]])</f>
        <v>1</v>
      </c>
      <c r="O39" s="19"/>
      <c r="Q39" s="3" t="str">
        <f>Table35[[#This Row],[Fiscal_Year]]*100+Table35[[#This Row],[Fiscal_Week]] &amp; "-" &amp;Table35[[#This Row],[Brand]]</f>
        <v>201943-Old Navy</v>
      </c>
      <c r="R39" t="str">
        <f>Table3[[#This Row],[Key]]</f>
        <v>2019-Old Navy</v>
      </c>
      <c r="S39">
        <f>Table3[[#This Row],[Fiscal_Year]]</f>
        <v>2019</v>
      </c>
      <c r="T39">
        <f>Table3[[#This Row],[Fiscal_Week]]</f>
        <v>43</v>
      </c>
      <c r="U39" t="str">
        <f>Table3[[#This Row],[Brand]]</f>
        <v>Old Navy</v>
      </c>
      <c r="V39">
        <f>Table3[[#This Row],[Demand]]</f>
        <v>7289040</v>
      </c>
      <c r="W39">
        <f>Table3[[#This Row],[OFC]]*Table3[[#This Row],[Demand]]</f>
        <v>1093356</v>
      </c>
      <c r="X39">
        <f>Table3[[#This Row],[TFC]]*Table3[[#This Row],[Demand]]</f>
        <v>1457808</v>
      </c>
      <c r="Y39">
        <f>Table3[[#This Row],[WFC]]*Table3[[#This Row],[Demand]]</f>
        <v>145780.80000000002</v>
      </c>
      <c r="Z39">
        <f>Table3[[#This Row],[EAO]]*Table3[[#This Row],[Demand]]</f>
        <v>2988506.4</v>
      </c>
      <c r="AA39">
        <f>Table3[[#This Row],[OCC]]*Table3[[#This Row],[Demand]]</f>
        <v>0</v>
      </c>
      <c r="AB39">
        <f>Table3[[#This Row],[WEO]]*Table3[[#This Row],[Demand]]</f>
        <v>1603588.8</v>
      </c>
      <c r="AC39" s="19">
        <f>SUM(Table35[[#This Row],[OFC]:[WEO]])</f>
        <v>7289039.9999999991</v>
      </c>
      <c r="AD39" s="19">
        <f>Table35[[#This Row],[Demand]]-Table35[[#This Row],[Total_Modeled_Demand]]</f>
        <v>0</v>
      </c>
    </row>
    <row r="40" spans="2:30" x14ac:dyDescent="0.3">
      <c r="B40" s="3" t="str">
        <f>Table3[[#This Row],[Fiscal_Year]]*100+Table3[[#This Row],[Fiscal_Week]] &amp; "-" &amp;Table3[[#This Row],[Brand]]</f>
        <v>201944-Athleta</v>
      </c>
      <c r="C40" t="str">
        <f t="shared" si="0"/>
        <v>2019-Athleta</v>
      </c>
      <c r="D40">
        <v>2019</v>
      </c>
      <c r="E40">
        <v>44</v>
      </c>
      <c r="F40" t="s">
        <v>19</v>
      </c>
      <c r="G40">
        <v>285204</v>
      </c>
      <c r="H40" s="3">
        <f>INDEX(Demand_Modeling!$A$13:$I$49,MATCH(Table3[[#This Row],[Key]],Demand_Modeling!$A$13:$A$49,0),MATCH(Table3[[#Headers],[OFC]],Demand_Modeling!$A$13:$I$13,0))</f>
        <v>0</v>
      </c>
      <c r="I40" s="3">
        <f>INDEX(Demand_Modeling!$A$13:$I$49,MATCH(Table3[[#This Row],[Key]],Demand_Modeling!$A$13:$A$49,0),MATCH(Table3[[#Headers],[TFC]],Demand_Modeling!$A$13:$I$13,0))</f>
        <v>1</v>
      </c>
      <c r="J40" s="3">
        <f>INDEX(Demand_Modeling!$A$13:$I$49,MATCH(Table3[[#This Row],[Key]],Demand_Modeling!$A$13:$A$49,0),MATCH(Table3[[#Headers],[WFC]],Demand_Modeling!$A$13:$I$13,0))</f>
        <v>0</v>
      </c>
      <c r="K40" s="3">
        <f>INDEX(Demand_Modeling!$A$13:$I$49,MATCH(Table3[[#This Row],[Key]],Demand_Modeling!$A$13:$A$49,0),MATCH(Table3[[#Headers],[EAO]],Demand_Modeling!$A$13:$I$13,0))</f>
        <v>3.447122356821831E-5</v>
      </c>
      <c r="L40" s="3">
        <f>INDEX(Demand_Modeling!$A$13:$I$49,MATCH(Table3[[#This Row],[Key]],Demand_Modeling!$A$13:$A$49,0),MATCH(Table3[[#Headers],[OCC]],Demand_Modeling!$A$13:$I$13,0))</f>
        <v>0</v>
      </c>
      <c r="M40" s="3">
        <f>INDEX(Demand_Modeling!$A$13:$I$49,MATCH(Table3[[#This Row],[Key]],Demand_Modeling!$A$13:$A$49,0),MATCH(Table3[[#Headers],[WEO]],Demand_Modeling!$A$13:$I$13,0))</f>
        <v>0</v>
      </c>
      <c r="N40" s="19">
        <f>SUM(Table3[[#This Row],[OFC]:[WEO]])</f>
        <v>1.0000344712235683</v>
      </c>
      <c r="O40" s="19"/>
      <c r="Q40" s="3" t="str">
        <f>Table35[[#This Row],[Fiscal_Year]]*100+Table35[[#This Row],[Fiscal_Week]] &amp; "-" &amp;Table35[[#This Row],[Brand]]</f>
        <v>201944-Athleta</v>
      </c>
      <c r="R40" t="str">
        <f>Table3[[#This Row],[Key]]</f>
        <v>2019-Athleta</v>
      </c>
      <c r="S40">
        <f>Table3[[#This Row],[Fiscal_Year]]</f>
        <v>2019</v>
      </c>
      <c r="T40">
        <f>Table3[[#This Row],[Fiscal_Week]]</f>
        <v>44</v>
      </c>
      <c r="U40" t="str">
        <f>Table3[[#This Row],[Brand]]</f>
        <v>Athleta</v>
      </c>
      <c r="V40">
        <f>Table3[[#This Row],[Demand]]</f>
        <v>285204</v>
      </c>
      <c r="W40">
        <f>Table3[[#This Row],[OFC]]*Table3[[#This Row],[Demand]]</f>
        <v>0</v>
      </c>
      <c r="X40">
        <f>Table3[[#This Row],[TFC]]*Table3[[#This Row],[Demand]]</f>
        <v>285204</v>
      </c>
      <c r="Y40">
        <f>Table3[[#This Row],[WFC]]*Table3[[#This Row],[Demand]]</f>
        <v>0</v>
      </c>
      <c r="Z40">
        <f>Table3[[#This Row],[EAO]]*Table3[[#This Row],[Demand]]</f>
        <v>9.8313308465501343</v>
      </c>
      <c r="AA40">
        <f>Table3[[#This Row],[OCC]]*Table3[[#This Row],[Demand]]</f>
        <v>0</v>
      </c>
      <c r="AB40">
        <f>Table3[[#This Row],[WEO]]*Table3[[#This Row],[Demand]]</f>
        <v>0</v>
      </c>
      <c r="AC40" s="19">
        <f>SUM(Table35[[#This Row],[OFC]:[WEO]])</f>
        <v>285213.83133084653</v>
      </c>
      <c r="AD40" s="19">
        <f>Table35[[#This Row],[Demand]]-Table35[[#This Row],[Total_Modeled_Demand]]</f>
        <v>-9.831330846529454</v>
      </c>
    </row>
    <row r="41" spans="2:30" x14ac:dyDescent="0.3">
      <c r="B41" s="3" t="str">
        <f>Table3[[#This Row],[Fiscal_Year]]*100+Table3[[#This Row],[Fiscal_Week]] &amp; "-" &amp;Table3[[#This Row],[Brand]]</f>
        <v>201944-Banana Republic</v>
      </c>
      <c r="C41" t="str">
        <f t="shared" si="0"/>
        <v>2019-Banana Republic</v>
      </c>
      <c r="D41">
        <v>2019</v>
      </c>
      <c r="E41">
        <v>44</v>
      </c>
      <c r="F41" t="s">
        <v>18</v>
      </c>
      <c r="G41">
        <v>451105</v>
      </c>
      <c r="H41" s="3">
        <f>INDEX(Demand_Modeling!$A$13:$I$49,MATCH(Table3[[#This Row],[Key]],Demand_Modeling!$A$13:$A$49,0),MATCH(Table3[[#Headers],[OFC]],Demand_Modeling!$A$13:$I$13,0))</f>
        <v>0</v>
      </c>
      <c r="I41" s="3">
        <f>INDEX(Demand_Modeling!$A$13:$I$49,MATCH(Table3[[#This Row],[Key]],Demand_Modeling!$A$13:$A$49,0),MATCH(Table3[[#Headers],[TFC]],Demand_Modeling!$A$13:$I$13,0))</f>
        <v>1</v>
      </c>
      <c r="J41" s="3">
        <f>INDEX(Demand_Modeling!$A$13:$I$49,MATCH(Table3[[#This Row],[Key]],Demand_Modeling!$A$13:$A$49,0),MATCH(Table3[[#Headers],[WFC]],Demand_Modeling!$A$13:$I$13,0))</f>
        <v>3.4959629396853166E-6</v>
      </c>
      <c r="K41" s="3">
        <f>INDEX(Demand_Modeling!$A$13:$I$49,MATCH(Table3[[#This Row],[Key]],Demand_Modeling!$A$13:$A$49,0),MATCH(Table3[[#Headers],[EAO]],Demand_Modeling!$A$13:$I$13,0))</f>
        <v>4.2339995602855504E-5</v>
      </c>
      <c r="L41" s="3">
        <f>INDEX(Demand_Modeling!$A$13:$I$49,MATCH(Table3[[#This Row],[Key]],Demand_Modeling!$A$13:$A$49,0),MATCH(Table3[[#Headers],[OCC]],Demand_Modeling!$A$13:$I$13,0))</f>
        <v>0</v>
      </c>
      <c r="M41" s="3">
        <f>INDEX(Demand_Modeling!$A$13:$I$49,MATCH(Table3[[#This Row],[Key]],Demand_Modeling!$A$13:$A$49,0),MATCH(Table3[[#Headers],[WEO]],Demand_Modeling!$A$13:$I$13,0))</f>
        <v>0</v>
      </c>
      <c r="N41" s="19">
        <f>SUM(Table3[[#This Row],[OFC]:[WEO]])</f>
        <v>1.0000458359585425</v>
      </c>
      <c r="O41" s="19"/>
      <c r="Q41" s="3" t="str">
        <f>Table35[[#This Row],[Fiscal_Year]]*100+Table35[[#This Row],[Fiscal_Week]] &amp; "-" &amp;Table35[[#This Row],[Brand]]</f>
        <v>201944-Banana Republic</v>
      </c>
      <c r="R41" t="str">
        <f>Table3[[#This Row],[Key]]</f>
        <v>2019-Banana Republic</v>
      </c>
      <c r="S41">
        <f>Table3[[#This Row],[Fiscal_Year]]</f>
        <v>2019</v>
      </c>
      <c r="T41">
        <f>Table3[[#This Row],[Fiscal_Week]]</f>
        <v>44</v>
      </c>
      <c r="U41" t="str">
        <f>Table3[[#This Row],[Brand]]</f>
        <v>Banana Republic</v>
      </c>
      <c r="V41">
        <f>Table3[[#This Row],[Demand]]</f>
        <v>451105</v>
      </c>
      <c r="W41">
        <f>Table3[[#This Row],[OFC]]*Table3[[#This Row],[Demand]]</f>
        <v>0</v>
      </c>
      <c r="X41">
        <f>Table3[[#This Row],[TFC]]*Table3[[#This Row],[Demand]]</f>
        <v>451105</v>
      </c>
      <c r="Y41">
        <f>Table3[[#This Row],[WFC]]*Table3[[#This Row],[Demand]]</f>
        <v>1.5770463619067447</v>
      </c>
      <c r="Z41">
        <f>Table3[[#This Row],[EAO]]*Table3[[#This Row],[Demand]]</f>
        <v>19.099783716426131</v>
      </c>
      <c r="AA41">
        <f>Table3[[#This Row],[OCC]]*Table3[[#This Row],[Demand]]</f>
        <v>0</v>
      </c>
      <c r="AB41">
        <f>Table3[[#This Row],[WEO]]*Table3[[#This Row],[Demand]]</f>
        <v>0</v>
      </c>
      <c r="AC41" s="19">
        <f>SUM(Table35[[#This Row],[OFC]:[WEO]])</f>
        <v>451125.67683007836</v>
      </c>
      <c r="AD41" s="19">
        <f>Table35[[#This Row],[Demand]]-Table35[[#This Row],[Total_Modeled_Demand]]</f>
        <v>-20.676830078358762</v>
      </c>
    </row>
    <row r="42" spans="2:30" x14ac:dyDescent="0.3">
      <c r="B42" s="3" t="str">
        <f>Table3[[#This Row],[Fiscal_Year]]*100+Table3[[#This Row],[Fiscal_Week]] &amp; "-" &amp;Table3[[#This Row],[Brand]]</f>
        <v>201944-BR Factory Store</v>
      </c>
      <c r="C42" t="str">
        <f t="shared" si="0"/>
        <v>2019-BR Factory Store</v>
      </c>
      <c r="D42">
        <v>2019</v>
      </c>
      <c r="E42">
        <v>44</v>
      </c>
      <c r="F42" t="s">
        <v>17</v>
      </c>
      <c r="G42">
        <v>258161</v>
      </c>
      <c r="H42" s="3">
        <f>INDEX(Demand_Modeling!$A$13:$I$49,MATCH(Table3[[#This Row],[Key]],Demand_Modeling!$A$13:$A$49,0),MATCH(Table3[[#Headers],[OFC]],Demand_Modeling!$A$13:$I$13,0))</f>
        <v>1</v>
      </c>
      <c r="I42" s="3">
        <f>INDEX(Demand_Modeling!$A$13:$I$49,MATCH(Table3[[#This Row],[Key]],Demand_Modeling!$A$13:$A$49,0),MATCH(Table3[[#Headers],[TFC]],Demand_Modeling!$A$13:$I$13,0))</f>
        <v>0</v>
      </c>
      <c r="J42" s="3">
        <f>INDEX(Demand_Modeling!$A$13:$I$49,MATCH(Table3[[#This Row],[Key]],Demand_Modeling!$A$13:$A$49,0),MATCH(Table3[[#Headers],[WFC]],Demand_Modeling!$A$13:$I$13,0))</f>
        <v>0</v>
      </c>
      <c r="K42" s="3">
        <f>INDEX(Demand_Modeling!$A$13:$I$49,MATCH(Table3[[#This Row],[Key]],Demand_Modeling!$A$13:$A$49,0),MATCH(Table3[[#Headers],[EAO]],Demand_Modeling!$A$13:$I$13,0))</f>
        <v>0</v>
      </c>
      <c r="L42" s="3">
        <f>INDEX(Demand_Modeling!$A$13:$I$49,MATCH(Table3[[#This Row],[Key]],Demand_Modeling!$A$13:$A$49,0),MATCH(Table3[[#Headers],[OCC]],Demand_Modeling!$A$13:$I$13,0))</f>
        <v>0</v>
      </c>
      <c r="M42" s="3">
        <f>INDEX(Demand_Modeling!$A$13:$I$49,MATCH(Table3[[#This Row],[Key]],Demand_Modeling!$A$13:$A$49,0),MATCH(Table3[[#Headers],[WEO]],Demand_Modeling!$A$13:$I$13,0))</f>
        <v>0</v>
      </c>
      <c r="N42" s="19">
        <f>SUM(Table3[[#This Row],[OFC]:[WEO]])</f>
        <v>1</v>
      </c>
      <c r="O42" s="19"/>
      <c r="Q42" s="3" t="str">
        <f>Table35[[#This Row],[Fiscal_Year]]*100+Table35[[#This Row],[Fiscal_Week]] &amp; "-" &amp;Table35[[#This Row],[Brand]]</f>
        <v>201944-BR Factory Store</v>
      </c>
      <c r="R42" t="str">
        <f>Table3[[#This Row],[Key]]</f>
        <v>2019-BR Factory Store</v>
      </c>
      <c r="S42">
        <f>Table3[[#This Row],[Fiscal_Year]]</f>
        <v>2019</v>
      </c>
      <c r="T42">
        <f>Table3[[#This Row],[Fiscal_Week]]</f>
        <v>44</v>
      </c>
      <c r="U42" t="str">
        <f>Table3[[#This Row],[Brand]]</f>
        <v>BR Factory Store</v>
      </c>
      <c r="V42">
        <f>Table3[[#This Row],[Demand]]</f>
        <v>258161</v>
      </c>
      <c r="W42">
        <f>Table3[[#This Row],[OFC]]*Table3[[#This Row],[Demand]]</f>
        <v>258161</v>
      </c>
      <c r="X42">
        <f>Table3[[#This Row],[TFC]]*Table3[[#This Row],[Demand]]</f>
        <v>0</v>
      </c>
      <c r="Y42">
        <f>Table3[[#This Row],[WFC]]*Table3[[#This Row],[Demand]]</f>
        <v>0</v>
      </c>
      <c r="Z42">
        <f>Table3[[#This Row],[EAO]]*Table3[[#This Row],[Demand]]</f>
        <v>0</v>
      </c>
      <c r="AA42">
        <f>Table3[[#This Row],[OCC]]*Table3[[#This Row],[Demand]]</f>
        <v>0</v>
      </c>
      <c r="AB42">
        <f>Table3[[#This Row],[WEO]]*Table3[[#This Row],[Demand]]</f>
        <v>0</v>
      </c>
      <c r="AC42" s="19">
        <f>SUM(Table35[[#This Row],[OFC]:[WEO]])</f>
        <v>258161</v>
      </c>
      <c r="AD42" s="19">
        <f>Table35[[#This Row],[Demand]]-Table35[[#This Row],[Total_Modeled_Demand]]</f>
        <v>0</v>
      </c>
    </row>
    <row r="43" spans="2:30" x14ac:dyDescent="0.3">
      <c r="B43" s="3" t="str">
        <f>Table3[[#This Row],[Fiscal_Year]]*100+Table3[[#This Row],[Fiscal_Week]] &amp; "-" &amp;Table3[[#This Row],[Brand]]</f>
        <v>201944-Gap</v>
      </c>
      <c r="C43" t="str">
        <f t="shared" si="0"/>
        <v>2019-Gap</v>
      </c>
      <c r="D43">
        <v>2019</v>
      </c>
      <c r="E43">
        <v>44</v>
      </c>
      <c r="F43" t="s">
        <v>16</v>
      </c>
      <c r="G43">
        <v>2601803</v>
      </c>
      <c r="H43" s="3">
        <f>INDEX(Demand_Modeling!$A$13:$I$49,MATCH(Table3[[#This Row],[Key]],Demand_Modeling!$A$13:$A$49,0),MATCH(Table3[[#Headers],[OFC]],Demand_Modeling!$A$13:$I$13,0))</f>
        <v>0.25</v>
      </c>
      <c r="I43" s="3">
        <f>INDEX(Demand_Modeling!$A$13:$I$49,MATCH(Table3[[#This Row],[Key]],Demand_Modeling!$A$13:$A$49,0),MATCH(Table3[[#Headers],[TFC]],Demand_Modeling!$A$13:$I$13,0))</f>
        <v>0.2</v>
      </c>
      <c r="J43" s="3">
        <f>INDEX(Demand_Modeling!$A$13:$I$49,MATCH(Table3[[#This Row],[Key]],Demand_Modeling!$A$13:$A$49,0),MATCH(Table3[[#Headers],[WFC]],Demand_Modeling!$A$13:$I$13,0))</f>
        <v>0.15</v>
      </c>
      <c r="K43" s="3">
        <f>INDEX(Demand_Modeling!$A$13:$I$49,MATCH(Table3[[#This Row],[Key]],Demand_Modeling!$A$13:$A$49,0),MATCH(Table3[[#Headers],[EAO]],Demand_Modeling!$A$13:$I$13,0))</f>
        <v>0</v>
      </c>
      <c r="L43" s="3">
        <f>INDEX(Demand_Modeling!$A$13:$I$49,MATCH(Table3[[#This Row],[Key]],Demand_Modeling!$A$13:$A$49,0),MATCH(Table3[[#Headers],[OCC]],Demand_Modeling!$A$13:$I$13,0))</f>
        <v>0</v>
      </c>
      <c r="M43" s="3">
        <f>INDEX(Demand_Modeling!$A$13:$I$49,MATCH(Table3[[#This Row],[Key]],Demand_Modeling!$A$13:$A$49,0),MATCH(Table3[[#Headers],[WEO]],Demand_Modeling!$A$13:$I$13,0))</f>
        <v>0.4</v>
      </c>
      <c r="N43" s="19">
        <f>SUM(Table3[[#This Row],[OFC]:[WEO]])</f>
        <v>1</v>
      </c>
      <c r="O43" s="19"/>
      <c r="Q43" s="3" t="str">
        <f>Table35[[#This Row],[Fiscal_Year]]*100+Table35[[#This Row],[Fiscal_Week]] &amp; "-" &amp;Table35[[#This Row],[Brand]]</f>
        <v>201944-Gap</v>
      </c>
      <c r="R43" t="str">
        <f>Table3[[#This Row],[Key]]</f>
        <v>2019-Gap</v>
      </c>
      <c r="S43">
        <f>Table3[[#This Row],[Fiscal_Year]]</f>
        <v>2019</v>
      </c>
      <c r="T43">
        <f>Table3[[#This Row],[Fiscal_Week]]</f>
        <v>44</v>
      </c>
      <c r="U43" t="str">
        <f>Table3[[#This Row],[Brand]]</f>
        <v>Gap</v>
      </c>
      <c r="V43">
        <f>Table3[[#This Row],[Demand]]</f>
        <v>2601803</v>
      </c>
      <c r="W43">
        <f>Table3[[#This Row],[OFC]]*Table3[[#This Row],[Demand]]</f>
        <v>650450.75</v>
      </c>
      <c r="X43">
        <f>Table3[[#This Row],[TFC]]*Table3[[#This Row],[Demand]]</f>
        <v>520360.60000000003</v>
      </c>
      <c r="Y43">
        <f>Table3[[#This Row],[WFC]]*Table3[[#This Row],[Demand]]</f>
        <v>390270.45</v>
      </c>
      <c r="Z43">
        <f>Table3[[#This Row],[EAO]]*Table3[[#This Row],[Demand]]</f>
        <v>0</v>
      </c>
      <c r="AA43">
        <f>Table3[[#This Row],[OCC]]*Table3[[#This Row],[Demand]]</f>
        <v>0</v>
      </c>
      <c r="AB43">
        <f>Table3[[#This Row],[WEO]]*Table3[[#This Row],[Demand]]</f>
        <v>1040721.2000000001</v>
      </c>
      <c r="AC43" s="19">
        <f>SUM(Table35[[#This Row],[OFC]:[WEO]])</f>
        <v>2601803</v>
      </c>
      <c r="AD43" s="19">
        <f>Table35[[#This Row],[Demand]]-Table35[[#This Row],[Total_Modeled_Demand]]</f>
        <v>0</v>
      </c>
    </row>
    <row r="44" spans="2:30" x14ac:dyDescent="0.3">
      <c r="B44" s="3" t="str">
        <f>Table3[[#This Row],[Fiscal_Year]]*100+Table3[[#This Row],[Fiscal_Week]] &amp; "-" &amp;Table3[[#This Row],[Brand]]</f>
        <v>201944-Gap Factory Store</v>
      </c>
      <c r="C44" t="str">
        <f t="shared" si="0"/>
        <v>2019-Gap Factory Store</v>
      </c>
      <c r="D44">
        <v>2019</v>
      </c>
      <c r="E44">
        <v>44</v>
      </c>
      <c r="F44" t="s">
        <v>22</v>
      </c>
      <c r="G44">
        <v>711103</v>
      </c>
      <c r="H44" s="3">
        <f>INDEX(Demand_Modeling!$A$13:$I$49,MATCH(Table3[[#This Row],[Key]],Demand_Modeling!$A$13:$A$49,0),MATCH(Table3[[#Headers],[OFC]],Demand_Modeling!$A$13:$I$13,0))</f>
        <v>1</v>
      </c>
      <c r="I44" s="3">
        <f>INDEX(Demand_Modeling!$A$13:$I$49,MATCH(Table3[[#This Row],[Key]],Demand_Modeling!$A$13:$A$49,0),MATCH(Table3[[#Headers],[TFC]],Demand_Modeling!$A$13:$I$13,0))</f>
        <v>0</v>
      </c>
      <c r="J44" s="3">
        <f>INDEX(Demand_Modeling!$A$13:$I$49,MATCH(Table3[[#This Row],[Key]],Demand_Modeling!$A$13:$A$49,0),MATCH(Table3[[#Headers],[WFC]],Demand_Modeling!$A$13:$I$13,0))</f>
        <v>0</v>
      </c>
      <c r="K44" s="3">
        <f>INDEX(Demand_Modeling!$A$13:$I$49,MATCH(Table3[[#This Row],[Key]],Demand_Modeling!$A$13:$A$49,0),MATCH(Table3[[#Headers],[EAO]],Demand_Modeling!$A$13:$I$13,0))</f>
        <v>0</v>
      </c>
      <c r="L44" s="3">
        <f>INDEX(Demand_Modeling!$A$13:$I$49,MATCH(Table3[[#This Row],[Key]],Demand_Modeling!$A$13:$A$49,0),MATCH(Table3[[#Headers],[OCC]],Demand_Modeling!$A$13:$I$13,0))</f>
        <v>0</v>
      </c>
      <c r="M44" s="3">
        <f>INDEX(Demand_Modeling!$A$13:$I$49,MATCH(Table3[[#This Row],[Key]],Demand_Modeling!$A$13:$A$49,0),MATCH(Table3[[#Headers],[WEO]],Demand_Modeling!$A$13:$I$13,0))</f>
        <v>0</v>
      </c>
      <c r="N44" s="19">
        <f>SUM(Table3[[#This Row],[OFC]:[WEO]])</f>
        <v>1</v>
      </c>
      <c r="O44" s="19"/>
      <c r="Q44" s="3" t="str">
        <f>Table35[[#This Row],[Fiscal_Year]]*100+Table35[[#This Row],[Fiscal_Week]] &amp; "-" &amp;Table35[[#This Row],[Brand]]</f>
        <v>201944-Gap Factory Store</v>
      </c>
      <c r="R44" t="str">
        <f>Table3[[#This Row],[Key]]</f>
        <v>2019-Gap Factory Store</v>
      </c>
      <c r="S44">
        <f>Table3[[#This Row],[Fiscal_Year]]</f>
        <v>2019</v>
      </c>
      <c r="T44">
        <f>Table3[[#This Row],[Fiscal_Week]]</f>
        <v>44</v>
      </c>
      <c r="U44" t="str">
        <f>Table3[[#This Row],[Brand]]</f>
        <v>Gap Factory Store</v>
      </c>
      <c r="V44">
        <f>Table3[[#This Row],[Demand]]</f>
        <v>711103</v>
      </c>
      <c r="W44">
        <f>Table3[[#This Row],[OFC]]*Table3[[#This Row],[Demand]]</f>
        <v>711103</v>
      </c>
      <c r="X44">
        <f>Table3[[#This Row],[TFC]]*Table3[[#This Row],[Demand]]</f>
        <v>0</v>
      </c>
      <c r="Y44">
        <f>Table3[[#This Row],[WFC]]*Table3[[#This Row],[Demand]]</f>
        <v>0</v>
      </c>
      <c r="Z44">
        <f>Table3[[#This Row],[EAO]]*Table3[[#This Row],[Demand]]</f>
        <v>0</v>
      </c>
      <c r="AA44">
        <f>Table3[[#This Row],[OCC]]*Table3[[#This Row],[Demand]]</f>
        <v>0</v>
      </c>
      <c r="AB44">
        <f>Table3[[#This Row],[WEO]]*Table3[[#This Row],[Demand]]</f>
        <v>0</v>
      </c>
      <c r="AC44" s="19">
        <f>SUM(Table35[[#This Row],[OFC]:[WEO]])</f>
        <v>711103</v>
      </c>
      <c r="AD44" s="19">
        <f>Table35[[#This Row],[Demand]]-Table35[[#This Row],[Total_Modeled_Demand]]</f>
        <v>0</v>
      </c>
    </row>
    <row r="45" spans="2:30" x14ac:dyDescent="0.3">
      <c r="B45" s="3" t="str">
        <f>Table3[[#This Row],[Fiscal_Year]]*100+Table3[[#This Row],[Fiscal_Week]] &amp; "-" &amp;Table3[[#This Row],[Brand]]</f>
        <v>201944-Old Navy</v>
      </c>
      <c r="C45" t="str">
        <f t="shared" si="0"/>
        <v>2019-Old Navy</v>
      </c>
      <c r="D45">
        <v>2019</v>
      </c>
      <c r="E45">
        <v>44</v>
      </c>
      <c r="F45" t="s">
        <v>20</v>
      </c>
      <c r="G45">
        <v>5825509</v>
      </c>
      <c r="H45" s="3">
        <f>INDEX(Demand_Modeling!$A$13:$I$49,MATCH(Table3[[#This Row],[Key]],Demand_Modeling!$A$13:$A$49,0),MATCH(Table3[[#Headers],[OFC]],Demand_Modeling!$A$13:$I$13,0))</f>
        <v>0.15</v>
      </c>
      <c r="I45" s="3">
        <f>INDEX(Demand_Modeling!$A$13:$I$49,MATCH(Table3[[#This Row],[Key]],Demand_Modeling!$A$13:$A$49,0),MATCH(Table3[[#Headers],[TFC]],Demand_Modeling!$A$13:$I$13,0))</f>
        <v>0.2</v>
      </c>
      <c r="J45" s="3">
        <f>INDEX(Demand_Modeling!$A$13:$I$49,MATCH(Table3[[#This Row],[Key]],Demand_Modeling!$A$13:$A$49,0),MATCH(Table3[[#Headers],[WFC]],Demand_Modeling!$A$13:$I$13,0))</f>
        <v>0.02</v>
      </c>
      <c r="K45" s="3">
        <f>INDEX(Demand_Modeling!$A$13:$I$49,MATCH(Table3[[#This Row],[Key]],Demand_Modeling!$A$13:$A$49,0),MATCH(Table3[[#Headers],[EAO]],Demand_Modeling!$A$13:$I$13,0))</f>
        <v>0.41</v>
      </c>
      <c r="L45" s="3">
        <f>INDEX(Demand_Modeling!$A$13:$I$49,MATCH(Table3[[#This Row],[Key]],Demand_Modeling!$A$13:$A$49,0),MATCH(Table3[[#Headers],[OCC]],Demand_Modeling!$A$13:$I$13,0))</f>
        <v>0</v>
      </c>
      <c r="M45" s="3">
        <f>INDEX(Demand_Modeling!$A$13:$I$49,MATCH(Table3[[#This Row],[Key]],Demand_Modeling!$A$13:$A$49,0),MATCH(Table3[[#Headers],[WEO]],Demand_Modeling!$A$13:$I$13,0))</f>
        <v>0.22</v>
      </c>
      <c r="N45" s="19">
        <f>SUM(Table3[[#This Row],[OFC]:[WEO]])</f>
        <v>1</v>
      </c>
      <c r="O45" s="19"/>
      <c r="Q45" s="3" t="str">
        <f>Table35[[#This Row],[Fiscal_Year]]*100+Table35[[#This Row],[Fiscal_Week]] &amp; "-" &amp;Table35[[#This Row],[Brand]]</f>
        <v>201944-Old Navy</v>
      </c>
      <c r="R45" t="str">
        <f>Table3[[#This Row],[Key]]</f>
        <v>2019-Old Navy</v>
      </c>
      <c r="S45">
        <f>Table3[[#This Row],[Fiscal_Year]]</f>
        <v>2019</v>
      </c>
      <c r="T45">
        <f>Table3[[#This Row],[Fiscal_Week]]</f>
        <v>44</v>
      </c>
      <c r="U45" t="str">
        <f>Table3[[#This Row],[Brand]]</f>
        <v>Old Navy</v>
      </c>
      <c r="V45">
        <f>Table3[[#This Row],[Demand]]</f>
        <v>5825509</v>
      </c>
      <c r="W45">
        <f>Table3[[#This Row],[OFC]]*Table3[[#This Row],[Demand]]</f>
        <v>873826.35</v>
      </c>
      <c r="X45">
        <f>Table3[[#This Row],[TFC]]*Table3[[#This Row],[Demand]]</f>
        <v>1165101.8</v>
      </c>
      <c r="Y45">
        <f>Table3[[#This Row],[WFC]]*Table3[[#This Row],[Demand]]</f>
        <v>116510.18000000001</v>
      </c>
      <c r="Z45">
        <f>Table3[[#This Row],[EAO]]*Table3[[#This Row],[Demand]]</f>
        <v>2388458.69</v>
      </c>
      <c r="AA45">
        <f>Table3[[#This Row],[OCC]]*Table3[[#This Row],[Demand]]</f>
        <v>0</v>
      </c>
      <c r="AB45">
        <f>Table3[[#This Row],[WEO]]*Table3[[#This Row],[Demand]]</f>
        <v>1281611.98</v>
      </c>
      <c r="AC45" s="19">
        <f>SUM(Table35[[#This Row],[OFC]:[WEO]])</f>
        <v>5825509</v>
      </c>
      <c r="AD45" s="19">
        <f>Table35[[#This Row],[Demand]]-Table35[[#This Row],[Total_Modeled_Demand]]</f>
        <v>0</v>
      </c>
    </row>
    <row r="46" spans="2:30" x14ac:dyDescent="0.3">
      <c r="B46" s="3" t="str">
        <f>Table3[[#This Row],[Fiscal_Year]]*100+Table3[[#This Row],[Fiscal_Week]] &amp; "-" &amp;Table3[[#This Row],[Brand]]</f>
        <v>201945-Athleta</v>
      </c>
      <c r="C46" t="str">
        <f t="shared" si="0"/>
        <v>2019-Athleta</v>
      </c>
      <c r="D46">
        <v>2019</v>
      </c>
      <c r="E46">
        <v>45</v>
      </c>
      <c r="F46" t="s">
        <v>19</v>
      </c>
      <c r="G46">
        <v>183224</v>
      </c>
      <c r="H46" s="3">
        <f>INDEX(Demand_Modeling!$A$13:$I$49,MATCH(Table3[[#This Row],[Key]],Demand_Modeling!$A$13:$A$49,0),MATCH(Table3[[#Headers],[OFC]],Demand_Modeling!$A$13:$I$13,0))</f>
        <v>0</v>
      </c>
      <c r="I46" s="3">
        <f>INDEX(Demand_Modeling!$A$13:$I$49,MATCH(Table3[[#This Row],[Key]],Demand_Modeling!$A$13:$A$49,0),MATCH(Table3[[#Headers],[TFC]],Demand_Modeling!$A$13:$I$13,0))</f>
        <v>1</v>
      </c>
      <c r="J46" s="3">
        <f>INDEX(Demand_Modeling!$A$13:$I$49,MATCH(Table3[[#This Row],[Key]],Demand_Modeling!$A$13:$A$49,0),MATCH(Table3[[#Headers],[WFC]],Demand_Modeling!$A$13:$I$13,0))</f>
        <v>0</v>
      </c>
      <c r="K46" s="3">
        <f>INDEX(Demand_Modeling!$A$13:$I$49,MATCH(Table3[[#This Row],[Key]],Demand_Modeling!$A$13:$A$49,0),MATCH(Table3[[#Headers],[EAO]],Demand_Modeling!$A$13:$I$13,0))</f>
        <v>3.447122356821831E-5</v>
      </c>
      <c r="L46" s="3">
        <f>INDEX(Demand_Modeling!$A$13:$I$49,MATCH(Table3[[#This Row],[Key]],Demand_Modeling!$A$13:$A$49,0),MATCH(Table3[[#Headers],[OCC]],Demand_Modeling!$A$13:$I$13,0))</f>
        <v>0</v>
      </c>
      <c r="M46" s="3">
        <f>INDEX(Demand_Modeling!$A$13:$I$49,MATCH(Table3[[#This Row],[Key]],Demand_Modeling!$A$13:$A$49,0),MATCH(Table3[[#Headers],[WEO]],Demand_Modeling!$A$13:$I$13,0))</f>
        <v>0</v>
      </c>
      <c r="N46" s="19">
        <f>SUM(Table3[[#This Row],[OFC]:[WEO]])</f>
        <v>1.0000344712235683</v>
      </c>
      <c r="O46" s="19"/>
      <c r="Q46" s="3" t="str">
        <f>Table35[[#This Row],[Fiscal_Year]]*100+Table35[[#This Row],[Fiscal_Week]] &amp; "-" &amp;Table35[[#This Row],[Brand]]</f>
        <v>201945-Athleta</v>
      </c>
      <c r="R46" t="str">
        <f>Table3[[#This Row],[Key]]</f>
        <v>2019-Athleta</v>
      </c>
      <c r="S46">
        <f>Table3[[#This Row],[Fiscal_Year]]</f>
        <v>2019</v>
      </c>
      <c r="T46">
        <f>Table3[[#This Row],[Fiscal_Week]]</f>
        <v>45</v>
      </c>
      <c r="U46" t="str">
        <f>Table3[[#This Row],[Brand]]</f>
        <v>Athleta</v>
      </c>
      <c r="V46">
        <f>Table3[[#This Row],[Demand]]</f>
        <v>183224</v>
      </c>
      <c r="W46">
        <f>Table3[[#This Row],[OFC]]*Table3[[#This Row],[Demand]]</f>
        <v>0</v>
      </c>
      <c r="X46">
        <f>Table3[[#This Row],[TFC]]*Table3[[#This Row],[Demand]]</f>
        <v>183224</v>
      </c>
      <c r="Y46">
        <f>Table3[[#This Row],[WFC]]*Table3[[#This Row],[Demand]]</f>
        <v>0</v>
      </c>
      <c r="Z46">
        <f>Table3[[#This Row],[EAO]]*Table3[[#This Row],[Demand]]</f>
        <v>6.3159554670632314</v>
      </c>
      <c r="AA46">
        <f>Table3[[#This Row],[OCC]]*Table3[[#This Row],[Demand]]</f>
        <v>0</v>
      </c>
      <c r="AB46">
        <f>Table3[[#This Row],[WEO]]*Table3[[#This Row],[Demand]]</f>
        <v>0</v>
      </c>
      <c r="AC46" s="19">
        <f>SUM(Table35[[#This Row],[OFC]:[WEO]])</f>
        <v>183230.31595546706</v>
      </c>
      <c r="AD46" s="19">
        <f>Table35[[#This Row],[Demand]]-Table35[[#This Row],[Total_Modeled_Demand]]</f>
        <v>-6.315955467056483</v>
      </c>
    </row>
    <row r="47" spans="2:30" x14ac:dyDescent="0.3">
      <c r="B47" s="3" t="str">
        <f>Table3[[#This Row],[Fiscal_Year]]*100+Table3[[#This Row],[Fiscal_Week]] &amp; "-" &amp;Table3[[#This Row],[Brand]]</f>
        <v>201945-Banana Republic</v>
      </c>
      <c r="C47" t="str">
        <f t="shared" si="0"/>
        <v>2019-Banana Republic</v>
      </c>
      <c r="D47">
        <v>2019</v>
      </c>
      <c r="E47">
        <v>45</v>
      </c>
      <c r="F47" t="s">
        <v>18</v>
      </c>
      <c r="G47">
        <v>217371</v>
      </c>
      <c r="H47" s="3">
        <f>INDEX(Demand_Modeling!$A$13:$I$49,MATCH(Table3[[#This Row],[Key]],Demand_Modeling!$A$13:$A$49,0),MATCH(Table3[[#Headers],[OFC]],Demand_Modeling!$A$13:$I$13,0))</f>
        <v>0</v>
      </c>
      <c r="I47" s="3">
        <f>INDEX(Demand_Modeling!$A$13:$I$49,MATCH(Table3[[#This Row],[Key]],Demand_Modeling!$A$13:$A$49,0),MATCH(Table3[[#Headers],[TFC]],Demand_Modeling!$A$13:$I$13,0))</f>
        <v>1</v>
      </c>
      <c r="J47" s="3">
        <f>INDEX(Demand_Modeling!$A$13:$I$49,MATCH(Table3[[#This Row],[Key]],Demand_Modeling!$A$13:$A$49,0),MATCH(Table3[[#Headers],[WFC]],Demand_Modeling!$A$13:$I$13,0))</f>
        <v>3.4959629396853166E-6</v>
      </c>
      <c r="K47" s="3">
        <f>INDEX(Demand_Modeling!$A$13:$I$49,MATCH(Table3[[#This Row],[Key]],Demand_Modeling!$A$13:$A$49,0),MATCH(Table3[[#Headers],[EAO]],Demand_Modeling!$A$13:$I$13,0))</f>
        <v>4.2339995602855504E-5</v>
      </c>
      <c r="L47" s="3">
        <f>INDEX(Demand_Modeling!$A$13:$I$49,MATCH(Table3[[#This Row],[Key]],Demand_Modeling!$A$13:$A$49,0),MATCH(Table3[[#Headers],[OCC]],Demand_Modeling!$A$13:$I$13,0))</f>
        <v>0</v>
      </c>
      <c r="M47" s="3">
        <f>INDEX(Demand_Modeling!$A$13:$I$49,MATCH(Table3[[#This Row],[Key]],Demand_Modeling!$A$13:$A$49,0),MATCH(Table3[[#Headers],[WEO]],Demand_Modeling!$A$13:$I$13,0))</f>
        <v>0</v>
      </c>
      <c r="N47" s="19">
        <f>SUM(Table3[[#This Row],[OFC]:[WEO]])</f>
        <v>1.0000458359585425</v>
      </c>
      <c r="O47" s="19"/>
      <c r="Q47" s="3" t="str">
        <f>Table35[[#This Row],[Fiscal_Year]]*100+Table35[[#This Row],[Fiscal_Week]] &amp; "-" &amp;Table35[[#This Row],[Brand]]</f>
        <v>201945-Banana Republic</v>
      </c>
      <c r="R47" t="str">
        <f>Table3[[#This Row],[Key]]</f>
        <v>2019-Banana Republic</v>
      </c>
      <c r="S47">
        <f>Table3[[#This Row],[Fiscal_Year]]</f>
        <v>2019</v>
      </c>
      <c r="T47">
        <f>Table3[[#This Row],[Fiscal_Week]]</f>
        <v>45</v>
      </c>
      <c r="U47" t="str">
        <f>Table3[[#This Row],[Brand]]</f>
        <v>Banana Republic</v>
      </c>
      <c r="V47">
        <f>Table3[[#This Row],[Demand]]</f>
        <v>217371</v>
      </c>
      <c r="W47">
        <f>Table3[[#This Row],[OFC]]*Table3[[#This Row],[Demand]]</f>
        <v>0</v>
      </c>
      <c r="X47">
        <f>Table3[[#This Row],[TFC]]*Table3[[#This Row],[Demand]]</f>
        <v>217371</v>
      </c>
      <c r="Y47">
        <f>Table3[[#This Row],[WFC]]*Table3[[#This Row],[Demand]]</f>
        <v>0.7599209601623369</v>
      </c>
      <c r="Z47">
        <f>Table3[[#This Row],[EAO]]*Table3[[#This Row],[Demand]]</f>
        <v>9.2034871841883046</v>
      </c>
      <c r="AA47">
        <f>Table3[[#This Row],[OCC]]*Table3[[#This Row],[Demand]]</f>
        <v>0</v>
      </c>
      <c r="AB47">
        <f>Table3[[#This Row],[WEO]]*Table3[[#This Row],[Demand]]</f>
        <v>0</v>
      </c>
      <c r="AC47" s="19">
        <f>SUM(Table35[[#This Row],[OFC]:[WEO]])</f>
        <v>217380.96340814437</v>
      </c>
      <c r="AD47" s="19">
        <f>Table35[[#This Row],[Demand]]-Table35[[#This Row],[Total_Modeled_Demand]]</f>
        <v>-9.9634081443655305</v>
      </c>
    </row>
    <row r="48" spans="2:30" x14ac:dyDescent="0.3">
      <c r="B48" s="3" t="str">
        <f>Table3[[#This Row],[Fiscal_Year]]*100+Table3[[#This Row],[Fiscal_Week]] &amp; "-" &amp;Table3[[#This Row],[Brand]]</f>
        <v>201945-BR Factory Store</v>
      </c>
      <c r="C48" t="str">
        <f t="shared" si="0"/>
        <v>2019-BR Factory Store</v>
      </c>
      <c r="D48">
        <v>2019</v>
      </c>
      <c r="E48">
        <v>45</v>
      </c>
      <c r="F48" t="s">
        <v>17</v>
      </c>
      <c r="G48">
        <v>71179</v>
      </c>
      <c r="H48" s="3">
        <f>INDEX(Demand_Modeling!$A$13:$I$49,MATCH(Table3[[#This Row],[Key]],Demand_Modeling!$A$13:$A$49,0),MATCH(Table3[[#Headers],[OFC]],Demand_Modeling!$A$13:$I$13,0))</f>
        <v>1</v>
      </c>
      <c r="I48" s="3">
        <f>INDEX(Demand_Modeling!$A$13:$I$49,MATCH(Table3[[#This Row],[Key]],Demand_Modeling!$A$13:$A$49,0),MATCH(Table3[[#Headers],[TFC]],Demand_Modeling!$A$13:$I$13,0))</f>
        <v>0</v>
      </c>
      <c r="J48" s="3">
        <f>INDEX(Demand_Modeling!$A$13:$I$49,MATCH(Table3[[#This Row],[Key]],Demand_Modeling!$A$13:$A$49,0),MATCH(Table3[[#Headers],[WFC]],Demand_Modeling!$A$13:$I$13,0))</f>
        <v>0</v>
      </c>
      <c r="K48" s="3">
        <f>INDEX(Demand_Modeling!$A$13:$I$49,MATCH(Table3[[#This Row],[Key]],Demand_Modeling!$A$13:$A$49,0),MATCH(Table3[[#Headers],[EAO]],Demand_Modeling!$A$13:$I$13,0))</f>
        <v>0</v>
      </c>
      <c r="L48" s="3">
        <f>INDEX(Demand_Modeling!$A$13:$I$49,MATCH(Table3[[#This Row],[Key]],Demand_Modeling!$A$13:$A$49,0),MATCH(Table3[[#Headers],[OCC]],Demand_Modeling!$A$13:$I$13,0))</f>
        <v>0</v>
      </c>
      <c r="M48" s="3">
        <f>INDEX(Demand_Modeling!$A$13:$I$49,MATCH(Table3[[#This Row],[Key]],Demand_Modeling!$A$13:$A$49,0),MATCH(Table3[[#Headers],[WEO]],Demand_Modeling!$A$13:$I$13,0))</f>
        <v>0</v>
      </c>
      <c r="N48" s="19">
        <f>SUM(Table3[[#This Row],[OFC]:[WEO]])</f>
        <v>1</v>
      </c>
      <c r="O48" s="19"/>
      <c r="Q48" s="3" t="str">
        <f>Table35[[#This Row],[Fiscal_Year]]*100+Table35[[#This Row],[Fiscal_Week]] &amp; "-" &amp;Table35[[#This Row],[Brand]]</f>
        <v>201945-BR Factory Store</v>
      </c>
      <c r="R48" t="str">
        <f>Table3[[#This Row],[Key]]</f>
        <v>2019-BR Factory Store</v>
      </c>
      <c r="S48">
        <f>Table3[[#This Row],[Fiscal_Year]]</f>
        <v>2019</v>
      </c>
      <c r="T48">
        <f>Table3[[#This Row],[Fiscal_Week]]</f>
        <v>45</v>
      </c>
      <c r="U48" t="str">
        <f>Table3[[#This Row],[Brand]]</f>
        <v>BR Factory Store</v>
      </c>
      <c r="V48">
        <f>Table3[[#This Row],[Demand]]</f>
        <v>71179</v>
      </c>
      <c r="W48">
        <f>Table3[[#This Row],[OFC]]*Table3[[#This Row],[Demand]]</f>
        <v>71179</v>
      </c>
      <c r="X48">
        <f>Table3[[#This Row],[TFC]]*Table3[[#This Row],[Demand]]</f>
        <v>0</v>
      </c>
      <c r="Y48">
        <f>Table3[[#This Row],[WFC]]*Table3[[#This Row],[Demand]]</f>
        <v>0</v>
      </c>
      <c r="Z48">
        <f>Table3[[#This Row],[EAO]]*Table3[[#This Row],[Demand]]</f>
        <v>0</v>
      </c>
      <c r="AA48">
        <f>Table3[[#This Row],[OCC]]*Table3[[#This Row],[Demand]]</f>
        <v>0</v>
      </c>
      <c r="AB48">
        <f>Table3[[#This Row],[WEO]]*Table3[[#This Row],[Demand]]</f>
        <v>0</v>
      </c>
      <c r="AC48" s="19">
        <f>SUM(Table35[[#This Row],[OFC]:[WEO]])</f>
        <v>71179</v>
      </c>
      <c r="AD48" s="19">
        <f>Table35[[#This Row],[Demand]]-Table35[[#This Row],[Total_Modeled_Demand]]</f>
        <v>0</v>
      </c>
    </row>
    <row r="49" spans="2:30" x14ac:dyDescent="0.3">
      <c r="B49" s="3" t="str">
        <f>Table3[[#This Row],[Fiscal_Year]]*100+Table3[[#This Row],[Fiscal_Week]] &amp; "-" &amp;Table3[[#This Row],[Brand]]</f>
        <v>201945-Gap</v>
      </c>
      <c r="C49" t="str">
        <f t="shared" si="0"/>
        <v>2019-Gap</v>
      </c>
      <c r="D49">
        <v>2019</v>
      </c>
      <c r="E49">
        <v>45</v>
      </c>
      <c r="F49" t="s">
        <v>16</v>
      </c>
      <c r="G49">
        <v>1040372</v>
      </c>
      <c r="H49" s="3">
        <f>INDEX(Demand_Modeling!$A$13:$I$49,MATCH(Table3[[#This Row],[Key]],Demand_Modeling!$A$13:$A$49,0),MATCH(Table3[[#Headers],[OFC]],Demand_Modeling!$A$13:$I$13,0))</f>
        <v>0.25</v>
      </c>
      <c r="I49" s="3">
        <f>INDEX(Demand_Modeling!$A$13:$I$49,MATCH(Table3[[#This Row],[Key]],Demand_Modeling!$A$13:$A$49,0),MATCH(Table3[[#Headers],[TFC]],Demand_Modeling!$A$13:$I$13,0))</f>
        <v>0.2</v>
      </c>
      <c r="J49" s="3">
        <f>INDEX(Demand_Modeling!$A$13:$I$49,MATCH(Table3[[#This Row],[Key]],Demand_Modeling!$A$13:$A$49,0),MATCH(Table3[[#Headers],[WFC]],Demand_Modeling!$A$13:$I$13,0))</f>
        <v>0.15</v>
      </c>
      <c r="K49" s="3">
        <f>INDEX(Demand_Modeling!$A$13:$I$49,MATCH(Table3[[#This Row],[Key]],Demand_Modeling!$A$13:$A$49,0),MATCH(Table3[[#Headers],[EAO]],Demand_Modeling!$A$13:$I$13,0))</f>
        <v>0</v>
      </c>
      <c r="L49" s="3">
        <f>INDEX(Demand_Modeling!$A$13:$I$49,MATCH(Table3[[#This Row],[Key]],Demand_Modeling!$A$13:$A$49,0),MATCH(Table3[[#Headers],[OCC]],Demand_Modeling!$A$13:$I$13,0))</f>
        <v>0</v>
      </c>
      <c r="M49" s="3">
        <f>INDEX(Demand_Modeling!$A$13:$I$49,MATCH(Table3[[#This Row],[Key]],Demand_Modeling!$A$13:$A$49,0),MATCH(Table3[[#Headers],[WEO]],Demand_Modeling!$A$13:$I$13,0))</f>
        <v>0.4</v>
      </c>
      <c r="N49" s="19">
        <f>SUM(Table3[[#This Row],[OFC]:[WEO]])</f>
        <v>1</v>
      </c>
      <c r="O49" s="19"/>
      <c r="Q49" s="3" t="str">
        <f>Table35[[#This Row],[Fiscal_Year]]*100+Table35[[#This Row],[Fiscal_Week]] &amp; "-" &amp;Table35[[#This Row],[Brand]]</f>
        <v>201945-Gap</v>
      </c>
      <c r="R49" t="str">
        <f>Table3[[#This Row],[Key]]</f>
        <v>2019-Gap</v>
      </c>
      <c r="S49">
        <f>Table3[[#This Row],[Fiscal_Year]]</f>
        <v>2019</v>
      </c>
      <c r="T49">
        <f>Table3[[#This Row],[Fiscal_Week]]</f>
        <v>45</v>
      </c>
      <c r="U49" t="str">
        <f>Table3[[#This Row],[Brand]]</f>
        <v>Gap</v>
      </c>
      <c r="V49">
        <f>Table3[[#This Row],[Demand]]</f>
        <v>1040372</v>
      </c>
      <c r="W49">
        <f>Table3[[#This Row],[OFC]]*Table3[[#This Row],[Demand]]</f>
        <v>260093</v>
      </c>
      <c r="X49">
        <f>Table3[[#This Row],[TFC]]*Table3[[#This Row],[Demand]]</f>
        <v>208074.40000000002</v>
      </c>
      <c r="Y49">
        <f>Table3[[#This Row],[WFC]]*Table3[[#This Row],[Demand]]</f>
        <v>156055.79999999999</v>
      </c>
      <c r="Z49">
        <f>Table3[[#This Row],[EAO]]*Table3[[#This Row],[Demand]]</f>
        <v>0</v>
      </c>
      <c r="AA49">
        <f>Table3[[#This Row],[OCC]]*Table3[[#This Row],[Demand]]</f>
        <v>0</v>
      </c>
      <c r="AB49">
        <f>Table3[[#This Row],[WEO]]*Table3[[#This Row],[Demand]]</f>
        <v>416148.80000000005</v>
      </c>
      <c r="AC49" s="19">
        <f>SUM(Table35[[#This Row],[OFC]:[WEO]])</f>
        <v>1040372</v>
      </c>
      <c r="AD49" s="19">
        <f>Table35[[#This Row],[Demand]]-Table35[[#This Row],[Total_Modeled_Demand]]</f>
        <v>0</v>
      </c>
    </row>
    <row r="50" spans="2:30" x14ac:dyDescent="0.3">
      <c r="B50" s="3" t="str">
        <f>Table3[[#This Row],[Fiscal_Year]]*100+Table3[[#This Row],[Fiscal_Week]] &amp; "-" &amp;Table3[[#This Row],[Brand]]</f>
        <v>201945-Gap Factory Store</v>
      </c>
      <c r="C50" t="str">
        <f t="shared" si="0"/>
        <v>2019-Gap Factory Store</v>
      </c>
      <c r="D50">
        <v>2019</v>
      </c>
      <c r="E50">
        <v>45</v>
      </c>
      <c r="F50" t="s">
        <v>22</v>
      </c>
      <c r="G50">
        <v>253763</v>
      </c>
      <c r="H50" s="3">
        <f>INDEX(Demand_Modeling!$A$13:$I$49,MATCH(Table3[[#This Row],[Key]],Demand_Modeling!$A$13:$A$49,0),MATCH(Table3[[#Headers],[OFC]],Demand_Modeling!$A$13:$I$13,0))</f>
        <v>1</v>
      </c>
      <c r="I50" s="3">
        <f>INDEX(Demand_Modeling!$A$13:$I$49,MATCH(Table3[[#This Row],[Key]],Demand_Modeling!$A$13:$A$49,0),MATCH(Table3[[#Headers],[TFC]],Demand_Modeling!$A$13:$I$13,0))</f>
        <v>0</v>
      </c>
      <c r="J50" s="3">
        <f>INDEX(Demand_Modeling!$A$13:$I$49,MATCH(Table3[[#This Row],[Key]],Demand_Modeling!$A$13:$A$49,0),MATCH(Table3[[#Headers],[WFC]],Demand_Modeling!$A$13:$I$13,0))</f>
        <v>0</v>
      </c>
      <c r="K50" s="3">
        <f>INDEX(Demand_Modeling!$A$13:$I$49,MATCH(Table3[[#This Row],[Key]],Demand_Modeling!$A$13:$A$49,0),MATCH(Table3[[#Headers],[EAO]],Demand_Modeling!$A$13:$I$13,0))</f>
        <v>0</v>
      </c>
      <c r="L50" s="3">
        <f>INDEX(Demand_Modeling!$A$13:$I$49,MATCH(Table3[[#This Row],[Key]],Demand_Modeling!$A$13:$A$49,0),MATCH(Table3[[#Headers],[OCC]],Demand_Modeling!$A$13:$I$13,0))</f>
        <v>0</v>
      </c>
      <c r="M50" s="3">
        <f>INDEX(Demand_Modeling!$A$13:$I$49,MATCH(Table3[[#This Row],[Key]],Demand_Modeling!$A$13:$A$49,0),MATCH(Table3[[#Headers],[WEO]],Demand_Modeling!$A$13:$I$13,0))</f>
        <v>0</v>
      </c>
      <c r="N50" s="19">
        <f>SUM(Table3[[#This Row],[OFC]:[WEO]])</f>
        <v>1</v>
      </c>
      <c r="O50" s="19"/>
      <c r="Q50" s="3" t="str">
        <f>Table35[[#This Row],[Fiscal_Year]]*100+Table35[[#This Row],[Fiscal_Week]] &amp; "-" &amp;Table35[[#This Row],[Brand]]</f>
        <v>201945-Gap Factory Store</v>
      </c>
      <c r="R50" t="str">
        <f>Table3[[#This Row],[Key]]</f>
        <v>2019-Gap Factory Store</v>
      </c>
      <c r="S50">
        <f>Table3[[#This Row],[Fiscal_Year]]</f>
        <v>2019</v>
      </c>
      <c r="T50">
        <f>Table3[[#This Row],[Fiscal_Week]]</f>
        <v>45</v>
      </c>
      <c r="U50" t="str">
        <f>Table3[[#This Row],[Brand]]</f>
        <v>Gap Factory Store</v>
      </c>
      <c r="V50">
        <f>Table3[[#This Row],[Demand]]</f>
        <v>253763</v>
      </c>
      <c r="W50">
        <f>Table3[[#This Row],[OFC]]*Table3[[#This Row],[Demand]]</f>
        <v>253763</v>
      </c>
      <c r="X50">
        <f>Table3[[#This Row],[TFC]]*Table3[[#This Row],[Demand]]</f>
        <v>0</v>
      </c>
      <c r="Y50">
        <f>Table3[[#This Row],[WFC]]*Table3[[#This Row],[Demand]]</f>
        <v>0</v>
      </c>
      <c r="Z50">
        <f>Table3[[#This Row],[EAO]]*Table3[[#This Row],[Demand]]</f>
        <v>0</v>
      </c>
      <c r="AA50">
        <f>Table3[[#This Row],[OCC]]*Table3[[#This Row],[Demand]]</f>
        <v>0</v>
      </c>
      <c r="AB50">
        <f>Table3[[#This Row],[WEO]]*Table3[[#This Row],[Demand]]</f>
        <v>0</v>
      </c>
      <c r="AC50" s="19">
        <f>SUM(Table35[[#This Row],[OFC]:[WEO]])</f>
        <v>253763</v>
      </c>
      <c r="AD50" s="19">
        <f>Table35[[#This Row],[Demand]]-Table35[[#This Row],[Total_Modeled_Demand]]</f>
        <v>0</v>
      </c>
    </row>
    <row r="51" spans="2:30" x14ac:dyDescent="0.3">
      <c r="B51" s="3" t="str">
        <f>Table3[[#This Row],[Fiscal_Year]]*100+Table3[[#This Row],[Fiscal_Week]] &amp; "-" &amp;Table3[[#This Row],[Brand]]</f>
        <v>201945-Old Navy</v>
      </c>
      <c r="C51" t="str">
        <f t="shared" si="0"/>
        <v>2019-Old Navy</v>
      </c>
      <c r="D51">
        <v>2019</v>
      </c>
      <c r="E51">
        <v>45</v>
      </c>
      <c r="F51" t="s">
        <v>20</v>
      </c>
      <c r="G51">
        <v>3068414</v>
      </c>
      <c r="H51" s="3">
        <f>INDEX(Demand_Modeling!$A$13:$I$49,MATCH(Table3[[#This Row],[Key]],Demand_Modeling!$A$13:$A$49,0),MATCH(Table3[[#Headers],[OFC]],Demand_Modeling!$A$13:$I$13,0))</f>
        <v>0.15</v>
      </c>
      <c r="I51" s="3">
        <f>INDEX(Demand_Modeling!$A$13:$I$49,MATCH(Table3[[#This Row],[Key]],Demand_Modeling!$A$13:$A$49,0),MATCH(Table3[[#Headers],[TFC]],Demand_Modeling!$A$13:$I$13,0))</f>
        <v>0.2</v>
      </c>
      <c r="J51" s="3">
        <f>INDEX(Demand_Modeling!$A$13:$I$49,MATCH(Table3[[#This Row],[Key]],Demand_Modeling!$A$13:$A$49,0),MATCH(Table3[[#Headers],[WFC]],Demand_Modeling!$A$13:$I$13,0))</f>
        <v>0.02</v>
      </c>
      <c r="K51" s="3">
        <f>INDEX(Demand_Modeling!$A$13:$I$49,MATCH(Table3[[#This Row],[Key]],Demand_Modeling!$A$13:$A$49,0),MATCH(Table3[[#Headers],[EAO]],Demand_Modeling!$A$13:$I$13,0))</f>
        <v>0.41</v>
      </c>
      <c r="L51" s="3">
        <f>INDEX(Demand_Modeling!$A$13:$I$49,MATCH(Table3[[#This Row],[Key]],Demand_Modeling!$A$13:$A$49,0),MATCH(Table3[[#Headers],[OCC]],Demand_Modeling!$A$13:$I$13,0))</f>
        <v>0</v>
      </c>
      <c r="M51" s="3">
        <f>INDEX(Demand_Modeling!$A$13:$I$49,MATCH(Table3[[#This Row],[Key]],Demand_Modeling!$A$13:$A$49,0),MATCH(Table3[[#Headers],[WEO]],Demand_Modeling!$A$13:$I$13,0))</f>
        <v>0.22</v>
      </c>
      <c r="N51" s="19">
        <f>SUM(Table3[[#This Row],[OFC]:[WEO]])</f>
        <v>1</v>
      </c>
      <c r="O51" s="19"/>
      <c r="Q51" s="3" t="str">
        <f>Table35[[#This Row],[Fiscal_Year]]*100+Table35[[#This Row],[Fiscal_Week]] &amp; "-" &amp;Table35[[#This Row],[Brand]]</f>
        <v>201945-Old Navy</v>
      </c>
      <c r="R51" t="str">
        <f>Table3[[#This Row],[Key]]</f>
        <v>2019-Old Navy</v>
      </c>
      <c r="S51">
        <f>Table3[[#This Row],[Fiscal_Year]]</f>
        <v>2019</v>
      </c>
      <c r="T51">
        <f>Table3[[#This Row],[Fiscal_Week]]</f>
        <v>45</v>
      </c>
      <c r="U51" t="str">
        <f>Table3[[#This Row],[Brand]]</f>
        <v>Old Navy</v>
      </c>
      <c r="V51">
        <f>Table3[[#This Row],[Demand]]</f>
        <v>3068414</v>
      </c>
      <c r="W51">
        <f>Table3[[#This Row],[OFC]]*Table3[[#This Row],[Demand]]</f>
        <v>460262.1</v>
      </c>
      <c r="X51">
        <f>Table3[[#This Row],[TFC]]*Table3[[#This Row],[Demand]]</f>
        <v>613682.80000000005</v>
      </c>
      <c r="Y51">
        <f>Table3[[#This Row],[WFC]]*Table3[[#This Row],[Demand]]</f>
        <v>61368.28</v>
      </c>
      <c r="Z51">
        <f>Table3[[#This Row],[EAO]]*Table3[[#This Row],[Demand]]</f>
        <v>1258049.74</v>
      </c>
      <c r="AA51">
        <f>Table3[[#This Row],[OCC]]*Table3[[#This Row],[Demand]]</f>
        <v>0</v>
      </c>
      <c r="AB51">
        <f>Table3[[#This Row],[WEO]]*Table3[[#This Row],[Demand]]</f>
        <v>675051.08</v>
      </c>
      <c r="AC51" s="19">
        <f>SUM(Table35[[#This Row],[OFC]:[WEO]])</f>
        <v>3068414</v>
      </c>
      <c r="AD51" s="19">
        <f>Table35[[#This Row],[Demand]]-Table35[[#This Row],[Total_Modeled_Demand]]</f>
        <v>0</v>
      </c>
    </row>
    <row r="52" spans="2:30" x14ac:dyDescent="0.3">
      <c r="B52" s="3" t="str">
        <f>Table3[[#This Row],[Fiscal_Year]]*100+Table3[[#This Row],[Fiscal_Week]] &amp; "-" &amp;Table3[[#This Row],[Brand]]</f>
        <v>201946-Athleta</v>
      </c>
      <c r="C52" t="str">
        <f t="shared" si="0"/>
        <v>2019-Athleta</v>
      </c>
      <c r="D52">
        <v>2019</v>
      </c>
      <c r="E52">
        <v>46</v>
      </c>
      <c r="F52" t="s">
        <v>19</v>
      </c>
      <c r="G52">
        <v>193835</v>
      </c>
      <c r="H52" s="3">
        <f>INDEX(Demand_Modeling!$A$13:$I$49,MATCH(Table3[[#This Row],[Key]],Demand_Modeling!$A$13:$A$49,0),MATCH(Table3[[#Headers],[OFC]],Demand_Modeling!$A$13:$I$13,0))</f>
        <v>0</v>
      </c>
      <c r="I52" s="3">
        <f>INDEX(Demand_Modeling!$A$13:$I$49,MATCH(Table3[[#This Row],[Key]],Demand_Modeling!$A$13:$A$49,0),MATCH(Table3[[#Headers],[TFC]],Demand_Modeling!$A$13:$I$13,0))</f>
        <v>1</v>
      </c>
      <c r="J52" s="3">
        <f>INDEX(Demand_Modeling!$A$13:$I$49,MATCH(Table3[[#This Row],[Key]],Demand_Modeling!$A$13:$A$49,0),MATCH(Table3[[#Headers],[WFC]],Demand_Modeling!$A$13:$I$13,0))</f>
        <v>0</v>
      </c>
      <c r="K52" s="3">
        <f>INDEX(Demand_Modeling!$A$13:$I$49,MATCH(Table3[[#This Row],[Key]],Demand_Modeling!$A$13:$A$49,0),MATCH(Table3[[#Headers],[EAO]],Demand_Modeling!$A$13:$I$13,0))</f>
        <v>3.447122356821831E-5</v>
      </c>
      <c r="L52" s="3">
        <f>INDEX(Demand_Modeling!$A$13:$I$49,MATCH(Table3[[#This Row],[Key]],Demand_Modeling!$A$13:$A$49,0),MATCH(Table3[[#Headers],[OCC]],Demand_Modeling!$A$13:$I$13,0))</f>
        <v>0</v>
      </c>
      <c r="M52" s="3">
        <f>INDEX(Demand_Modeling!$A$13:$I$49,MATCH(Table3[[#This Row],[Key]],Demand_Modeling!$A$13:$A$49,0),MATCH(Table3[[#Headers],[WEO]],Demand_Modeling!$A$13:$I$13,0))</f>
        <v>0</v>
      </c>
      <c r="N52" s="19">
        <f>SUM(Table3[[#This Row],[OFC]:[WEO]])</f>
        <v>1.0000344712235683</v>
      </c>
      <c r="O52" s="19"/>
      <c r="Q52" s="3" t="str">
        <f>Table35[[#This Row],[Fiscal_Year]]*100+Table35[[#This Row],[Fiscal_Week]] &amp; "-" &amp;Table35[[#This Row],[Brand]]</f>
        <v>201946-Athleta</v>
      </c>
      <c r="R52" t="str">
        <f>Table3[[#This Row],[Key]]</f>
        <v>2019-Athleta</v>
      </c>
      <c r="S52">
        <f>Table3[[#This Row],[Fiscal_Year]]</f>
        <v>2019</v>
      </c>
      <c r="T52">
        <f>Table3[[#This Row],[Fiscal_Week]]</f>
        <v>46</v>
      </c>
      <c r="U52" t="str">
        <f>Table3[[#This Row],[Brand]]</f>
        <v>Athleta</v>
      </c>
      <c r="V52">
        <f>Table3[[#This Row],[Demand]]</f>
        <v>193835</v>
      </c>
      <c r="W52">
        <f>Table3[[#This Row],[OFC]]*Table3[[#This Row],[Demand]]</f>
        <v>0</v>
      </c>
      <c r="X52">
        <f>Table3[[#This Row],[TFC]]*Table3[[#This Row],[Demand]]</f>
        <v>193835</v>
      </c>
      <c r="Y52">
        <f>Table3[[#This Row],[WFC]]*Table3[[#This Row],[Demand]]</f>
        <v>0</v>
      </c>
      <c r="Z52">
        <f>Table3[[#This Row],[EAO]]*Table3[[#This Row],[Demand]]</f>
        <v>6.681729620345596</v>
      </c>
      <c r="AA52">
        <f>Table3[[#This Row],[OCC]]*Table3[[#This Row],[Demand]]</f>
        <v>0</v>
      </c>
      <c r="AB52">
        <f>Table3[[#This Row],[WEO]]*Table3[[#This Row],[Demand]]</f>
        <v>0</v>
      </c>
      <c r="AC52" s="19">
        <f>SUM(Table35[[#This Row],[OFC]:[WEO]])</f>
        <v>193841.68172962035</v>
      </c>
      <c r="AD52" s="19">
        <f>Table35[[#This Row],[Demand]]-Table35[[#This Row],[Total_Modeled_Demand]]</f>
        <v>-6.6817296203516889</v>
      </c>
    </row>
    <row r="53" spans="2:30" x14ac:dyDescent="0.3">
      <c r="B53" s="3" t="str">
        <f>Table3[[#This Row],[Fiscal_Year]]*100+Table3[[#This Row],[Fiscal_Week]] &amp; "-" &amp;Table3[[#This Row],[Brand]]</f>
        <v>201946-Banana Republic</v>
      </c>
      <c r="C53" t="str">
        <f t="shared" si="0"/>
        <v>2019-Banana Republic</v>
      </c>
      <c r="D53">
        <v>2019</v>
      </c>
      <c r="E53">
        <v>46</v>
      </c>
      <c r="F53" t="s">
        <v>18</v>
      </c>
      <c r="G53">
        <v>197572</v>
      </c>
      <c r="H53" s="3">
        <f>INDEX(Demand_Modeling!$A$13:$I$49,MATCH(Table3[[#This Row],[Key]],Demand_Modeling!$A$13:$A$49,0),MATCH(Table3[[#Headers],[OFC]],Demand_Modeling!$A$13:$I$13,0))</f>
        <v>0</v>
      </c>
      <c r="I53" s="3">
        <f>INDEX(Demand_Modeling!$A$13:$I$49,MATCH(Table3[[#This Row],[Key]],Demand_Modeling!$A$13:$A$49,0),MATCH(Table3[[#Headers],[TFC]],Demand_Modeling!$A$13:$I$13,0))</f>
        <v>1</v>
      </c>
      <c r="J53" s="3">
        <f>INDEX(Demand_Modeling!$A$13:$I$49,MATCH(Table3[[#This Row],[Key]],Demand_Modeling!$A$13:$A$49,0),MATCH(Table3[[#Headers],[WFC]],Demand_Modeling!$A$13:$I$13,0))</f>
        <v>3.4959629396853166E-6</v>
      </c>
      <c r="K53" s="3">
        <f>INDEX(Demand_Modeling!$A$13:$I$49,MATCH(Table3[[#This Row],[Key]],Demand_Modeling!$A$13:$A$49,0),MATCH(Table3[[#Headers],[EAO]],Demand_Modeling!$A$13:$I$13,0))</f>
        <v>4.2339995602855504E-5</v>
      </c>
      <c r="L53" s="3">
        <f>INDEX(Demand_Modeling!$A$13:$I$49,MATCH(Table3[[#This Row],[Key]],Demand_Modeling!$A$13:$A$49,0),MATCH(Table3[[#Headers],[OCC]],Demand_Modeling!$A$13:$I$13,0))</f>
        <v>0</v>
      </c>
      <c r="M53" s="3">
        <f>INDEX(Demand_Modeling!$A$13:$I$49,MATCH(Table3[[#This Row],[Key]],Demand_Modeling!$A$13:$A$49,0),MATCH(Table3[[#Headers],[WEO]],Demand_Modeling!$A$13:$I$13,0))</f>
        <v>0</v>
      </c>
      <c r="N53" s="19">
        <f>SUM(Table3[[#This Row],[OFC]:[WEO]])</f>
        <v>1.0000458359585425</v>
      </c>
      <c r="O53" s="19"/>
      <c r="Q53" s="3" t="str">
        <f>Table35[[#This Row],[Fiscal_Year]]*100+Table35[[#This Row],[Fiscal_Week]] &amp; "-" &amp;Table35[[#This Row],[Brand]]</f>
        <v>201946-Banana Republic</v>
      </c>
      <c r="R53" t="str">
        <f>Table3[[#This Row],[Key]]</f>
        <v>2019-Banana Republic</v>
      </c>
      <c r="S53">
        <f>Table3[[#This Row],[Fiscal_Year]]</f>
        <v>2019</v>
      </c>
      <c r="T53">
        <f>Table3[[#This Row],[Fiscal_Week]]</f>
        <v>46</v>
      </c>
      <c r="U53" t="str">
        <f>Table3[[#This Row],[Brand]]</f>
        <v>Banana Republic</v>
      </c>
      <c r="V53">
        <f>Table3[[#This Row],[Demand]]</f>
        <v>197572</v>
      </c>
      <c r="W53">
        <f>Table3[[#This Row],[OFC]]*Table3[[#This Row],[Demand]]</f>
        <v>0</v>
      </c>
      <c r="X53">
        <f>Table3[[#This Row],[TFC]]*Table3[[#This Row],[Demand]]</f>
        <v>197572</v>
      </c>
      <c r="Y53">
        <f>Table3[[#This Row],[WFC]]*Table3[[#This Row],[Demand]]</f>
        <v>0.69070438991950733</v>
      </c>
      <c r="Z53">
        <f>Table3[[#This Row],[EAO]]*Table3[[#This Row],[Demand]]</f>
        <v>8.3651976112473676</v>
      </c>
      <c r="AA53">
        <f>Table3[[#This Row],[OCC]]*Table3[[#This Row],[Demand]]</f>
        <v>0</v>
      </c>
      <c r="AB53">
        <f>Table3[[#This Row],[WEO]]*Table3[[#This Row],[Demand]]</f>
        <v>0</v>
      </c>
      <c r="AC53" s="19">
        <f>SUM(Table35[[#This Row],[OFC]:[WEO]])</f>
        <v>197581.05590200116</v>
      </c>
      <c r="AD53" s="19">
        <f>Table35[[#This Row],[Demand]]-Table35[[#This Row],[Total_Modeled_Demand]]</f>
        <v>-9.0559020011569373</v>
      </c>
    </row>
    <row r="54" spans="2:30" x14ac:dyDescent="0.3">
      <c r="B54" s="3" t="str">
        <f>Table3[[#This Row],[Fiscal_Year]]*100+Table3[[#This Row],[Fiscal_Week]] &amp; "-" &amp;Table3[[#This Row],[Brand]]</f>
        <v>201946-BR Factory Store</v>
      </c>
      <c r="C54" t="str">
        <f t="shared" si="0"/>
        <v>2019-BR Factory Store</v>
      </c>
      <c r="D54">
        <v>2019</v>
      </c>
      <c r="E54">
        <v>46</v>
      </c>
      <c r="F54" t="s">
        <v>17</v>
      </c>
      <c r="G54">
        <v>100095</v>
      </c>
      <c r="H54" s="3">
        <f>INDEX(Demand_Modeling!$A$13:$I$49,MATCH(Table3[[#This Row],[Key]],Demand_Modeling!$A$13:$A$49,0),MATCH(Table3[[#Headers],[OFC]],Demand_Modeling!$A$13:$I$13,0))</f>
        <v>1</v>
      </c>
      <c r="I54" s="3">
        <f>INDEX(Demand_Modeling!$A$13:$I$49,MATCH(Table3[[#This Row],[Key]],Demand_Modeling!$A$13:$A$49,0),MATCH(Table3[[#Headers],[TFC]],Demand_Modeling!$A$13:$I$13,0))</f>
        <v>0</v>
      </c>
      <c r="J54" s="3">
        <f>INDEX(Demand_Modeling!$A$13:$I$49,MATCH(Table3[[#This Row],[Key]],Demand_Modeling!$A$13:$A$49,0),MATCH(Table3[[#Headers],[WFC]],Demand_Modeling!$A$13:$I$13,0))</f>
        <v>0</v>
      </c>
      <c r="K54" s="3">
        <f>INDEX(Demand_Modeling!$A$13:$I$49,MATCH(Table3[[#This Row],[Key]],Demand_Modeling!$A$13:$A$49,0),MATCH(Table3[[#Headers],[EAO]],Demand_Modeling!$A$13:$I$13,0))</f>
        <v>0</v>
      </c>
      <c r="L54" s="3">
        <f>INDEX(Demand_Modeling!$A$13:$I$49,MATCH(Table3[[#This Row],[Key]],Demand_Modeling!$A$13:$A$49,0),MATCH(Table3[[#Headers],[OCC]],Demand_Modeling!$A$13:$I$13,0))</f>
        <v>0</v>
      </c>
      <c r="M54" s="3">
        <f>INDEX(Demand_Modeling!$A$13:$I$49,MATCH(Table3[[#This Row],[Key]],Demand_Modeling!$A$13:$A$49,0),MATCH(Table3[[#Headers],[WEO]],Demand_Modeling!$A$13:$I$13,0))</f>
        <v>0</v>
      </c>
      <c r="N54" s="19">
        <f>SUM(Table3[[#This Row],[OFC]:[WEO]])</f>
        <v>1</v>
      </c>
      <c r="O54" s="19"/>
      <c r="Q54" s="3" t="str">
        <f>Table35[[#This Row],[Fiscal_Year]]*100+Table35[[#This Row],[Fiscal_Week]] &amp; "-" &amp;Table35[[#This Row],[Brand]]</f>
        <v>201946-BR Factory Store</v>
      </c>
      <c r="R54" t="str">
        <f>Table3[[#This Row],[Key]]</f>
        <v>2019-BR Factory Store</v>
      </c>
      <c r="S54">
        <f>Table3[[#This Row],[Fiscal_Year]]</f>
        <v>2019</v>
      </c>
      <c r="T54">
        <f>Table3[[#This Row],[Fiscal_Week]]</f>
        <v>46</v>
      </c>
      <c r="U54" t="str">
        <f>Table3[[#This Row],[Brand]]</f>
        <v>BR Factory Store</v>
      </c>
      <c r="V54">
        <f>Table3[[#This Row],[Demand]]</f>
        <v>100095</v>
      </c>
      <c r="W54">
        <f>Table3[[#This Row],[OFC]]*Table3[[#This Row],[Demand]]</f>
        <v>100095</v>
      </c>
      <c r="X54">
        <f>Table3[[#This Row],[TFC]]*Table3[[#This Row],[Demand]]</f>
        <v>0</v>
      </c>
      <c r="Y54">
        <f>Table3[[#This Row],[WFC]]*Table3[[#This Row],[Demand]]</f>
        <v>0</v>
      </c>
      <c r="Z54">
        <f>Table3[[#This Row],[EAO]]*Table3[[#This Row],[Demand]]</f>
        <v>0</v>
      </c>
      <c r="AA54">
        <f>Table3[[#This Row],[OCC]]*Table3[[#This Row],[Demand]]</f>
        <v>0</v>
      </c>
      <c r="AB54">
        <f>Table3[[#This Row],[WEO]]*Table3[[#This Row],[Demand]]</f>
        <v>0</v>
      </c>
      <c r="AC54" s="19">
        <f>SUM(Table35[[#This Row],[OFC]:[WEO]])</f>
        <v>100095</v>
      </c>
      <c r="AD54" s="19">
        <f>Table35[[#This Row],[Demand]]-Table35[[#This Row],[Total_Modeled_Demand]]</f>
        <v>0</v>
      </c>
    </row>
    <row r="55" spans="2:30" x14ac:dyDescent="0.3">
      <c r="B55" s="3" t="str">
        <f>Table3[[#This Row],[Fiscal_Year]]*100+Table3[[#This Row],[Fiscal_Week]] &amp; "-" &amp;Table3[[#This Row],[Brand]]</f>
        <v>201946-Gap</v>
      </c>
      <c r="C55" t="str">
        <f t="shared" si="0"/>
        <v>2019-Gap</v>
      </c>
      <c r="D55">
        <v>2019</v>
      </c>
      <c r="E55">
        <v>46</v>
      </c>
      <c r="F55" t="s">
        <v>16</v>
      </c>
      <c r="G55">
        <v>956172</v>
      </c>
      <c r="H55" s="3">
        <f>INDEX(Demand_Modeling!$A$13:$I$49,MATCH(Table3[[#This Row],[Key]],Demand_Modeling!$A$13:$A$49,0),MATCH(Table3[[#Headers],[OFC]],Demand_Modeling!$A$13:$I$13,0))</f>
        <v>0.25</v>
      </c>
      <c r="I55" s="3">
        <f>INDEX(Demand_Modeling!$A$13:$I$49,MATCH(Table3[[#This Row],[Key]],Demand_Modeling!$A$13:$A$49,0),MATCH(Table3[[#Headers],[TFC]],Demand_Modeling!$A$13:$I$13,0))</f>
        <v>0.2</v>
      </c>
      <c r="J55" s="3">
        <f>INDEX(Demand_Modeling!$A$13:$I$49,MATCH(Table3[[#This Row],[Key]],Demand_Modeling!$A$13:$A$49,0),MATCH(Table3[[#Headers],[WFC]],Demand_Modeling!$A$13:$I$13,0))</f>
        <v>0.15</v>
      </c>
      <c r="K55" s="3">
        <f>INDEX(Demand_Modeling!$A$13:$I$49,MATCH(Table3[[#This Row],[Key]],Demand_Modeling!$A$13:$A$49,0),MATCH(Table3[[#Headers],[EAO]],Demand_Modeling!$A$13:$I$13,0))</f>
        <v>0</v>
      </c>
      <c r="L55" s="3">
        <f>INDEX(Demand_Modeling!$A$13:$I$49,MATCH(Table3[[#This Row],[Key]],Demand_Modeling!$A$13:$A$49,0),MATCH(Table3[[#Headers],[OCC]],Demand_Modeling!$A$13:$I$13,0))</f>
        <v>0</v>
      </c>
      <c r="M55" s="3">
        <f>INDEX(Demand_Modeling!$A$13:$I$49,MATCH(Table3[[#This Row],[Key]],Demand_Modeling!$A$13:$A$49,0),MATCH(Table3[[#Headers],[WEO]],Demand_Modeling!$A$13:$I$13,0))</f>
        <v>0.4</v>
      </c>
      <c r="N55" s="19">
        <f>SUM(Table3[[#This Row],[OFC]:[WEO]])</f>
        <v>1</v>
      </c>
      <c r="O55" s="19"/>
      <c r="Q55" s="3" t="str">
        <f>Table35[[#This Row],[Fiscal_Year]]*100+Table35[[#This Row],[Fiscal_Week]] &amp; "-" &amp;Table35[[#This Row],[Brand]]</f>
        <v>201946-Gap</v>
      </c>
      <c r="R55" t="str">
        <f>Table3[[#This Row],[Key]]</f>
        <v>2019-Gap</v>
      </c>
      <c r="S55">
        <f>Table3[[#This Row],[Fiscal_Year]]</f>
        <v>2019</v>
      </c>
      <c r="T55">
        <f>Table3[[#This Row],[Fiscal_Week]]</f>
        <v>46</v>
      </c>
      <c r="U55" t="str">
        <f>Table3[[#This Row],[Brand]]</f>
        <v>Gap</v>
      </c>
      <c r="V55">
        <f>Table3[[#This Row],[Demand]]</f>
        <v>956172</v>
      </c>
      <c r="W55">
        <f>Table3[[#This Row],[OFC]]*Table3[[#This Row],[Demand]]</f>
        <v>239043</v>
      </c>
      <c r="X55">
        <f>Table3[[#This Row],[TFC]]*Table3[[#This Row],[Demand]]</f>
        <v>191234.40000000002</v>
      </c>
      <c r="Y55">
        <f>Table3[[#This Row],[WFC]]*Table3[[#This Row],[Demand]]</f>
        <v>143425.79999999999</v>
      </c>
      <c r="Z55">
        <f>Table3[[#This Row],[EAO]]*Table3[[#This Row],[Demand]]</f>
        <v>0</v>
      </c>
      <c r="AA55">
        <f>Table3[[#This Row],[OCC]]*Table3[[#This Row],[Demand]]</f>
        <v>0</v>
      </c>
      <c r="AB55">
        <f>Table3[[#This Row],[WEO]]*Table3[[#This Row],[Demand]]</f>
        <v>382468.80000000005</v>
      </c>
      <c r="AC55" s="19">
        <f>SUM(Table35[[#This Row],[OFC]:[WEO]])</f>
        <v>956172</v>
      </c>
      <c r="AD55" s="19">
        <f>Table35[[#This Row],[Demand]]-Table35[[#This Row],[Total_Modeled_Demand]]</f>
        <v>0</v>
      </c>
    </row>
    <row r="56" spans="2:30" x14ac:dyDescent="0.3">
      <c r="B56" s="3" t="str">
        <f>Table3[[#This Row],[Fiscal_Year]]*100+Table3[[#This Row],[Fiscal_Week]] &amp; "-" &amp;Table3[[#This Row],[Brand]]</f>
        <v>201946-Gap Factory Store</v>
      </c>
      <c r="C56" t="str">
        <f t="shared" si="0"/>
        <v>2019-Gap Factory Store</v>
      </c>
      <c r="D56">
        <v>2019</v>
      </c>
      <c r="E56">
        <v>46</v>
      </c>
      <c r="F56" t="s">
        <v>22</v>
      </c>
      <c r="G56">
        <v>150976</v>
      </c>
      <c r="H56" s="3">
        <f>INDEX(Demand_Modeling!$A$13:$I$49,MATCH(Table3[[#This Row],[Key]],Demand_Modeling!$A$13:$A$49,0),MATCH(Table3[[#Headers],[OFC]],Demand_Modeling!$A$13:$I$13,0))</f>
        <v>1</v>
      </c>
      <c r="I56" s="3">
        <f>INDEX(Demand_Modeling!$A$13:$I$49,MATCH(Table3[[#This Row],[Key]],Demand_Modeling!$A$13:$A$49,0),MATCH(Table3[[#Headers],[TFC]],Demand_Modeling!$A$13:$I$13,0))</f>
        <v>0</v>
      </c>
      <c r="J56" s="3">
        <f>INDEX(Demand_Modeling!$A$13:$I$49,MATCH(Table3[[#This Row],[Key]],Demand_Modeling!$A$13:$A$49,0),MATCH(Table3[[#Headers],[WFC]],Demand_Modeling!$A$13:$I$13,0))</f>
        <v>0</v>
      </c>
      <c r="K56" s="3">
        <f>INDEX(Demand_Modeling!$A$13:$I$49,MATCH(Table3[[#This Row],[Key]],Demand_Modeling!$A$13:$A$49,0),MATCH(Table3[[#Headers],[EAO]],Demand_Modeling!$A$13:$I$13,0))</f>
        <v>0</v>
      </c>
      <c r="L56" s="3">
        <f>INDEX(Demand_Modeling!$A$13:$I$49,MATCH(Table3[[#This Row],[Key]],Demand_Modeling!$A$13:$A$49,0),MATCH(Table3[[#Headers],[OCC]],Demand_Modeling!$A$13:$I$13,0))</f>
        <v>0</v>
      </c>
      <c r="M56" s="3">
        <f>INDEX(Demand_Modeling!$A$13:$I$49,MATCH(Table3[[#This Row],[Key]],Demand_Modeling!$A$13:$A$49,0),MATCH(Table3[[#Headers],[WEO]],Demand_Modeling!$A$13:$I$13,0))</f>
        <v>0</v>
      </c>
      <c r="N56" s="19">
        <f>SUM(Table3[[#This Row],[OFC]:[WEO]])</f>
        <v>1</v>
      </c>
      <c r="O56" s="19"/>
      <c r="Q56" s="3" t="str">
        <f>Table35[[#This Row],[Fiscal_Year]]*100+Table35[[#This Row],[Fiscal_Week]] &amp; "-" &amp;Table35[[#This Row],[Brand]]</f>
        <v>201946-Gap Factory Store</v>
      </c>
      <c r="R56" t="str">
        <f>Table3[[#This Row],[Key]]</f>
        <v>2019-Gap Factory Store</v>
      </c>
      <c r="S56">
        <f>Table3[[#This Row],[Fiscal_Year]]</f>
        <v>2019</v>
      </c>
      <c r="T56">
        <f>Table3[[#This Row],[Fiscal_Week]]</f>
        <v>46</v>
      </c>
      <c r="U56" t="str">
        <f>Table3[[#This Row],[Brand]]</f>
        <v>Gap Factory Store</v>
      </c>
      <c r="V56">
        <f>Table3[[#This Row],[Demand]]</f>
        <v>150976</v>
      </c>
      <c r="W56">
        <f>Table3[[#This Row],[OFC]]*Table3[[#This Row],[Demand]]</f>
        <v>150976</v>
      </c>
      <c r="X56">
        <f>Table3[[#This Row],[TFC]]*Table3[[#This Row],[Demand]]</f>
        <v>0</v>
      </c>
      <c r="Y56">
        <f>Table3[[#This Row],[WFC]]*Table3[[#This Row],[Demand]]</f>
        <v>0</v>
      </c>
      <c r="Z56">
        <f>Table3[[#This Row],[EAO]]*Table3[[#This Row],[Demand]]</f>
        <v>0</v>
      </c>
      <c r="AA56">
        <f>Table3[[#This Row],[OCC]]*Table3[[#This Row],[Demand]]</f>
        <v>0</v>
      </c>
      <c r="AB56">
        <f>Table3[[#This Row],[WEO]]*Table3[[#This Row],[Demand]]</f>
        <v>0</v>
      </c>
      <c r="AC56" s="19">
        <f>SUM(Table35[[#This Row],[OFC]:[WEO]])</f>
        <v>150976</v>
      </c>
      <c r="AD56" s="19">
        <f>Table35[[#This Row],[Demand]]-Table35[[#This Row],[Total_Modeled_Demand]]</f>
        <v>0</v>
      </c>
    </row>
    <row r="57" spans="2:30" x14ac:dyDescent="0.3">
      <c r="B57" s="3" t="str">
        <f>Table3[[#This Row],[Fiscal_Year]]*100+Table3[[#This Row],[Fiscal_Week]] &amp; "-" &amp;Table3[[#This Row],[Brand]]</f>
        <v>201946-Old Navy</v>
      </c>
      <c r="C57" t="str">
        <f t="shared" si="0"/>
        <v>2019-Old Navy</v>
      </c>
      <c r="D57">
        <v>2019</v>
      </c>
      <c r="E57">
        <v>46</v>
      </c>
      <c r="F57" t="s">
        <v>20</v>
      </c>
      <c r="G57">
        <v>2560268</v>
      </c>
      <c r="H57" s="3">
        <f>INDEX(Demand_Modeling!$A$13:$I$49,MATCH(Table3[[#This Row],[Key]],Demand_Modeling!$A$13:$A$49,0),MATCH(Table3[[#Headers],[OFC]],Demand_Modeling!$A$13:$I$13,0))</f>
        <v>0.15</v>
      </c>
      <c r="I57" s="3">
        <f>INDEX(Demand_Modeling!$A$13:$I$49,MATCH(Table3[[#This Row],[Key]],Demand_Modeling!$A$13:$A$49,0),MATCH(Table3[[#Headers],[TFC]],Demand_Modeling!$A$13:$I$13,0))</f>
        <v>0.2</v>
      </c>
      <c r="J57" s="3">
        <f>INDEX(Demand_Modeling!$A$13:$I$49,MATCH(Table3[[#This Row],[Key]],Demand_Modeling!$A$13:$A$49,0),MATCH(Table3[[#Headers],[WFC]],Demand_Modeling!$A$13:$I$13,0))</f>
        <v>0.02</v>
      </c>
      <c r="K57" s="3">
        <f>INDEX(Demand_Modeling!$A$13:$I$49,MATCH(Table3[[#This Row],[Key]],Demand_Modeling!$A$13:$A$49,0),MATCH(Table3[[#Headers],[EAO]],Demand_Modeling!$A$13:$I$13,0))</f>
        <v>0.41</v>
      </c>
      <c r="L57" s="3">
        <f>INDEX(Demand_Modeling!$A$13:$I$49,MATCH(Table3[[#This Row],[Key]],Demand_Modeling!$A$13:$A$49,0),MATCH(Table3[[#Headers],[OCC]],Demand_Modeling!$A$13:$I$13,0))</f>
        <v>0</v>
      </c>
      <c r="M57" s="3">
        <f>INDEX(Demand_Modeling!$A$13:$I$49,MATCH(Table3[[#This Row],[Key]],Demand_Modeling!$A$13:$A$49,0),MATCH(Table3[[#Headers],[WEO]],Demand_Modeling!$A$13:$I$13,0))</f>
        <v>0.22</v>
      </c>
      <c r="N57" s="19">
        <f>SUM(Table3[[#This Row],[OFC]:[WEO]])</f>
        <v>1</v>
      </c>
      <c r="O57" s="19"/>
      <c r="Q57" s="3" t="str">
        <f>Table35[[#This Row],[Fiscal_Year]]*100+Table35[[#This Row],[Fiscal_Week]] &amp; "-" &amp;Table35[[#This Row],[Brand]]</f>
        <v>201946-Old Navy</v>
      </c>
      <c r="R57" t="str">
        <f>Table3[[#This Row],[Key]]</f>
        <v>2019-Old Navy</v>
      </c>
      <c r="S57">
        <f>Table3[[#This Row],[Fiscal_Year]]</f>
        <v>2019</v>
      </c>
      <c r="T57">
        <f>Table3[[#This Row],[Fiscal_Week]]</f>
        <v>46</v>
      </c>
      <c r="U57" t="str">
        <f>Table3[[#This Row],[Brand]]</f>
        <v>Old Navy</v>
      </c>
      <c r="V57">
        <f>Table3[[#This Row],[Demand]]</f>
        <v>2560268</v>
      </c>
      <c r="W57">
        <f>Table3[[#This Row],[OFC]]*Table3[[#This Row],[Demand]]</f>
        <v>384040.2</v>
      </c>
      <c r="X57">
        <f>Table3[[#This Row],[TFC]]*Table3[[#This Row],[Demand]]</f>
        <v>512053.60000000003</v>
      </c>
      <c r="Y57">
        <f>Table3[[#This Row],[WFC]]*Table3[[#This Row],[Demand]]</f>
        <v>51205.36</v>
      </c>
      <c r="Z57">
        <f>Table3[[#This Row],[EAO]]*Table3[[#This Row],[Demand]]</f>
        <v>1049709.8799999999</v>
      </c>
      <c r="AA57">
        <f>Table3[[#This Row],[OCC]]*Table3[[#This Row],[Demand]]</f>
        <v>0</v>
      </c>
      <c r="AB57">
        <f>Table3[[#This Row],[WEO]]*Table3[[#This Row],[Demand]]</f>
        <v>563258.96</v>
      </c>
      <c r="AC57" s="19">
        <f>SUM(Table35[[#This Row],[OFC]:[WEO]])</f>
        <v>2560268</v>
      </c>
      <c r="AD57" s="19">
        <f>Table35[[#This Row],[Demand]]-Table35[[#This Row],[Total_Modeled_Demand]]</f>
        <v>0</v>
      </c>
    </row>
    <row r="58" spans="2:30" x14ac:dyDescent="0.3">
      <c r="B58" s="3" t="str">
        <f>Table3[[#This Row],[Fiscal_Year]]*100+Table3[[#This Row],[Fiscal_Week]] &amp; "-" &amp;Table3[[#This Row],[Brand]]</f>
        <v>201947-Athleta</v>
      </c>
      <c r="C58" t="str">
        <f t="shared" si="0"/>
        <v>2019-Athleta</v>
      </c>
      <c r="D58">
        <v>2019</v>
      </c>
      <c r="E58">
        <v>47</v>
      </c>
      <c r="F58" t="s">
        <v>19</v>
      </c>
      <c r="G58">
        <v>228204</v>
      </c>
      <c r="H58" s="3">
        <f>INDEX(Demand_Modeling!$A$13:$I$49,MATCH(Table3[[#This Row],[Key]],Demand_Modeling!$A$13:$A$49,0),MATCH(Table3[[#Headers],[OFC]],Demand_Modeling!$A$13:$I$13,0))</f>
        <v>0</v>
      </c>
      <c r="I58" s="3">
        <f>INDEX(Demand_Modeling!$A$13:$I$49,MATCH(Table3[[#This Row],[Key]],Demand_Modeling!$A$13:$A$49,0),MATCH(Table3[[#Headers],[TFC]],Demand_Modeling!$A$13:$I$13,0))</f>
        <v>1</v>
      </c>
      <c r="J58" s="3">
        <f>INDEX(Demand_Modeling!$A$13:$I$49,MATCH(Table3[[#This Row],[Key]],Demand_Modeling!$A$13:$A$49,0),MATCH(Table3[[#Headers],[WFC]],Demand_Modeling!$A$13:$I$13,0))</f>
        <v>0</v>
      </c>
      <c r="K58" s="3">
        <f>INDEX(Demand_Modeling!$A$13:$I$49,MATCH(Table3[[#This Row],[Key]],Demand_Modeling!$A$13:$A$49,0),MATCH(Table3[[#Headers],[EAO]],Demand_Modeling!$A$13:$I$13,0))</f>
        <v>3.447122356821831E-5</v>
      </c>
      <c r="L58" s="3">
        <f>INDEX(Demand_Modeling!$A$13:$I$49,MATCH(Table3[[#This Row],[Key]],Demand_Modeling!$A$13:$A$49,0),MATCH(Table3[[#Headers],[OCC]],Demand_Modeling!$A$13:$I$13,0))</f>
        <v>0</v>
      </c>
      <c r="M58" s="3">
        <f>INDEX(Demand_Modeling!$A$13:$I$49,MATCH(Table3[[#This Row],[Key]],Demand_Modeling!$A$13:$A$49,0),MATCH(Table3[[#Headers],[WEO]],Demand_Modeling!$A$13:$I$13,0))</f>
        <v>0</v>
      </c>
      <c r="N58" s="19">
        <f>SUM(Table3[[#This Row],[OFC]:[WEO]])</f>
        <v>1.0000344712235683</v>
      </c>
      <c r="O58" s="19"/>
      <c r="Q58" s="3" t="str">
        <f>Table35[[#This Row],[Fiscal_Year]]*100+Table35[[#This Row],[Fiscal_Week]] &amp; "-" &amp;Table35[[#This Row],[Brand]]</f>
        <v>201947-Athleta</v>
      </c>
      <c r="R58" t="str">
        <f>Table3[[#This Row],[Key]]</f>
        <v>2019-Athleta</v>
      </c>
      <c r="S58">
        <f>Table3[[#This Row],[Fiscal_Year]]</f>
        <v>2019</v>
      </c>
      <c r="T58">
        <f>Table3[[#This Row],[Fiscal_Week]]</f>
        <v>47</v>
      </c>
      <c r="U58" t="str">
        <f>Table3[[#This Row],[Brand]]</f>
        <v>Athleta</v>
      </c>
      <c r="V58">
        <f>Table3[[#This Row],[Demand]]</f>
        <v>228204</v>
      </c>
      <c r="W58">
        <f>Table3[[#This Row],[OFC]]*Table3[[#This Row],[Demand]]</f>
        <v>0</v>
      </c>
      <c r="X58">
        <f>Table3[[#This Row],[TFC]]*Table3[[#This Row],[Demand]]</f>
        <v>228204</v>
      </c>
      <c r="Y58">
        <f>Table3[[#This Row],[WFC]]*Table3[[#This Row],[Demand]]</f>
        <v>0</v>
      </c>
      <c r="Z58">
        <f>Table3[[#This Row],[EAO]]*Table3[[#This Row],[Demand]]</f>
        <v>7.8664711031616914</v>
      </c>
      <c r="AA58">
        <f>Table3[[#This Row],[OCC]]*Table3[[#This Row],[Demand]]</f>
        <v>0</v>
      </c>
      <c r="AB58">
        <f>Table3[[#This Row],[WEO]]*Table3[[#This Row],[Demand]]</f>
        <v>0</v>
      </c>
      <c r="AC58" s="19">
        <f>SUM(Table35[[#This Row],[OFC]:[WEO]])</f>
        <v>228211.86647110316</v>
      </c>
      <c r="AD58" s="19">
        <f>Table35[[#This Row],[Demand]]-Table35[[#This Row],[Total_Modeled_Demand]]</f>
        <v>-7.8664711031597108</v>
      </c>
    </row>
    <row r="59" spans="2:30" x14ac:dyDescent="0.3">
      <c r="B59" s="3" t="str">
        <f>Table3[[#This Row],[Fiscal_Year]]*100+Table3[[#This Row],[Fiscal_Week]] &amp; "-" &amp;Table3[[#This Row],[Brand]]</f>
        <v>201947-Banana Republic</v>
      </c>
      <c r="C59" t="str">
        <f t="shared" si="0"/>
        <v>2019-Banana Republic</v>
      </c>
      <c r="D59">
        <v>2019</v>
      </c>
      <c r="E59">
        <v>47</v>
      </c>
      <c r="F59" t="s">
        <v>18</v>
      </c>
      <c r="G59">
        <v>218972</v>
      </c>
      <c r="H59" s="3">
        <f>INDEX(Demand_Modeling!$A$13:$I$49,MATCH(Table3[[#This Row],[Key]],Demand_Modeling!$A$13:$A$49,0),MATCH(Table3[[#Headers],[OFC]],Demand_Modeling!$A$13:$I$13,0))</f>
        <v>0</v>
      </c>
      <c r="I59" s="3">
        <f>INDEX(Demand_Modeling!$A$13:$I$49,MATCH(Table3[[#This Row],[Key]],Demand_Modeling!$A$13:$A$49,0),MATCH(Table3[[#Headers],[TFC]],Demand_Modeling!$A$13:$I$13,0))</f>
        <v>1</v>
      </c>
      <c r="J59" s="3">
        <f>INDEX(Demand_Modeling!$A$13:$I$49,MATCH(Table3[[#This Row],[Key]],Demand_Modeling!$A$13:$A$49,0),MATCH(Table3[[#Headers],[WFC]],Demand_Modeling!$A$13:$I$13,0))</f>
        <v>3.4959629396853166E-6</v>
      </c>
      <c r="K59" s="3">
        <f>INDEX(Demand_Modeling!$A$13:$I$49,MATCH(Table3[[#This Row],[Key]],Demand_Modeling!$A$13:$A$49,0),MATCH(Table3[[#Headers],[EAO]],Demand_Modeling!$A$13:$I$13,0))</f>
        <v>4.2339995602855504E-5</v>
      </c>
      <c r="L59" s="3">
        <f>INDEX(Demand_Modeling!$A$13:$I$49,MATCH(Table3[[#This Row],[Key]],Demand_Modeling!$A$13:$A$49,0),MATCH(Table3[[#Headers],[OCC]],Demand_Modeling!$A$13:$I$13,0))</f>
        <v>0</v>
      </c>
      <c r="M59" s="3">
        <f>INDEX(Demand_Modeling!$A$13:$I$49,MATCH(Table3[[#This Row],[Key]],Demand_Modeling!$A$13:$A$49,0),MATCH(Table3[[#Headers],[WEO]],Demand_Modeling!$A$13:$I$13,0))</f>
        <v>0</v>
      </c>
      <c r="N59" s="19">
        <f>SUM(Table3[[#This Row],[OFC]:[WEO]])</f>
        <v>1.0000458359585425</v>
      </c>
      <c r="O59" s="19"/>
      <c r="Q59" s="3" t="str">
        <f>Table35[[#This Row],[Fiscal_Year]]*100+Table35[[#This Row],[Fiscal_Week]] &amp; "-" &amp;Table35[[#This Row],[Brand]]</f>
        <v>201947-Banana Republic</v>
      </c>
      <c r="R59" t="str">
        <f>Table3[[#This Row],[Key]]</f>
        <v>2019-Banana Republic</v>
      </c>
      <c r="S59">
        <f>Table3[[#This Row],[Fiscal_Year]]</f>
        <v>2019</v>
      </c>
      <c r="T59">
        <f>Table3[[#This Row],[Fiscal_Week]]</f>
        <v>47</v>
      </c>
      <c r="U59" t="str">
        <f>Table3[[#This Row],[Brand]]</f>
        <v>Banana Republic</v>
      </c>
      <c r="V59">
        <f>Table3[[#This Row],[Demand]]</f>
        <v>218972</v>
      </c>
      <c r="W59">
        <f>Table3[[#This Row],[OFC]]*Table3[[#This Row],[Demand]]</f>
        <v>0</v>
      </c>
      <c r="X59">
        <f>Table3[[#This Row],[TFC]]*Table3[[#This Row],[Demand]]</f>
        <v>218972</v>
      </c>
      <c r="Y59">
        <f>Table3[[#This Row],[WFC]]*Table3[[#This Row],[Demand]]</f>
        <v>0.76551799682877308</v>
      </c>
      <c r="Z59">
        <f>Table3[[#This Row],[EAO]]*Table3[[#This Row],[Demand]]</f>
        <v>9.2712735171484759</v>
      </c>
      <c r="AA59">
        <f>Table3[[#This Row],[OCC]]*Table3[[#This Row],[Demand]]</f>
        <v>0</v>
      </c>
      <c r="AB59">
        <f>Table3[[#This Row],[WEO]]*Table3[[#This Row],[Demand]]</f>
        <v>0</v>
      </c>
      <c r="AC59" s="19">
        <f>SUM(Table35[[#This Row],[OFC]:[WEO]])</f>
        <v>218982.03679151396</v>
      </c>
      <c r="AD59" s="19">
        <f>Table35[[#This Row],[Demand]]-Table35[[#This Row],[Total_Modeled_Demand]]</f>
        <v>-10.036791513964999</v>
      </c>
    </row>
    <row r="60" spans="2:30" x14ac:dyDescent="0.3">
      <c r="B60" s="3" t="str">
        <f>Table3[[#This Row],[Fiscal_Year]]*100+Table3[[#This Row],[Fiscal_Week]] &amp; "-" &amp;Table3[[#This Row],[Brand]]</f>
        <v>201947-BR Factory Store</v>
      </c>
      <c r="C60" t="str">
        <f t="shared" si="0"/>
        <v>2019-BR Factory Store</v>
      </c>
      <c r="D60">
        <v>2019</v>
      </c>
      <c r="E60">
        <v>47</v>
      </c>
      <c r="F60" t="s">
        <v>17</v>
      </c>
      <c r="G60">
        <v>87472</v>
      </c>
      <c r="H60" s="3">
        <f>INDEX(Demand_Modeling!$A$13:$I$49,MATCH(Table3[[#This Row],[Key]],Demand_Modeling!$A$13:$A$49,0),MATCH(Table3[[#Headers],[OFC]],Demand_Modeling!$A$13:$I$13,0))</f>
        <v>1</v>
      </c>
      <c r="I60" s="3">
        <f>INDEX(Demand_Modeling!$A$13:$I$49,MATCH(Table3[[#This Row],[Key]],Demand_Modeling!$A$13:$A$49,0),MATCH(Table3[[#Headers],[TFC]],Demand_Modeling!$A$13:$I$13,0))</f>
        <v>0</v>
      </c>
      <c r="J60" s="3">
        <f>INDEX(Demand_Modeling!$A$13:$I$49,MATCH(Table3[[#This Row],[Key]],Demand_Modeling!$A$13:$A$49,0),MATCH(Table3[[#Headers],[WFC]],Demand_Modeling!$A$13:$I$13,0))</f>
        <v>0</v>
      </c>
      <c r="K60" s="3">
        <f>INDEX(Demand_Modeling!$A$13:$I$49,MATCH(Table3[[#This Row],[Key]],Demand_Modeling!$A$13:$A$49,0),MATCH(Table3[[#Headers],[EAO]],Demand_Modeling!$A$13:$I$13,0))</f>
        <v>0</v>
      </c>
      <c r="L60" s="3">
        <f>INDEX(Demand_Modeling!$A$13:$I$49,MATCH(Table3[[#This Row],[Key]],Demand_Modeling!$A$13:$A$49,0),MATCH(Table3[[#Headers],[OCC]],Demand_Modeling!$A$13:$I$13,0))</f>
        <v>0</v>
      </c>
      <c r="M60" s="3">
        <f>INDEX(Demand_Modeling!$A$13:$I$49,MATCH(Table3[[#This Row],[Key]],Demand_Modeling!$A$13:$A$49,0),MATCH(Table3[[#Headers],[WEO]],Demand_Modeling!$A$13:$I$13,0))</f>
        <v>0</v>
      </c>
      <c r="N60" s="19">
        <f>SUM(Table3[[#This Row],[OFC]:[WEO]])</f>
        <v>1</v>
      </c>
      <c r="O60" s="19"/>
      <c r="Q60" s="3" t="str">
        <f>Table35[[#This Row],[Fiscal_Year]]*100+Table35[[#This Row],[Fiscal_Week]] &amp; "-" &amp;Table35[[#This Row],[Brand]]</f>
        <v>201947-BR Factory Store</v>
      </c>
      <c r="R60" t="str">
        <f>Table3[[#This Row],[Key]]</f>
        <v>2019-BR Factory Store</v>
      </c>
      <c r="S60">
        <f>Table3[[#This Row],[Fiscal_Year]]</f>
        <v>2019</v>
      </c>
      <c r="T60">
        <f>Table3[[#This Row],[Fiscal_Week]]</f>
        <v>47</v>
      </c>
      <c r="U60" t="str">
        <f>Table3[[#This Row],[Brand]]</f>
        <v>BR Factory Store</v>
      </c>
      <c r="V60">
        <f>Table3[[#This Row],[Demand]]</f>
        <v>87472</v>
      </c>
      <c r="W60">
        <f>Table3[[#This Row],[OFC]]*Table3[[#This Row],[Demand]]</f>
        <v>87472</v>
      </c>
      <c r="X60">
        <f>Table3[[#This Row],[TFC]]*Table3[[#This Row],[Demand]]</f>
        <v>0</v>
      </c>
      <c r="Y60">
        <f>Table3[[#This Row],[WFC]]*Table3[[#This Row],[Demand]]</f>
        <v>0</v>
      </c>
      <c r="Z60">
        <f>Table3[[#This Row],[EAO]]*Table3[[#This Row],[Demand]]</f>
        <v>0</v>
      </c>
      <c r="AA60">
        <f>Table3[[#This Row],[OCC]]*Table3[[#This Row],[Demand]]</f>
        <v>0</v>
      </c>
      <c r="AB60">
        <f>Table3[[#This Row],[WEO]]*Table3[[#This Row],[Demand]]</f>
        <v>0</v>
      </c>
      <c r="AC60" s="19">
        <f>SUM(Table35[[#This Row],[OFC]:[WEO]])</f>
        <v>87472</v>
      </c>
      <c r="AD60" s="19">
        <f>Table35[[#This Row],[Demand]]-Table35[[#This Row],[Total_Modeled_Demand]]</f>
        <v>0</v>
      </c>
    </row>
    <row r="61" spans="2:30" x14ac:dyDescent="0.3">
      <c r="B61" s="3" t="str">
        <f>Table3[[#This Row],[Fiscal_Year]]*100+Table3[[#This Row],[Fiscal_Week]] &amp; "-" &amp;Table3[[#This Row],[Brand]]</f>
        <v>201947-Gap</v>
      </c>
      <c r="C61" t="str">
        <f t="shared" si="0"/>
        <v>2019-Gap</v>
      </c>
      <c r="D61">
        <v>2019</v>
      </c>
      <c r="E61">
        <v>47</v>
      </c>
      <c r="F61" t="s">
        <v>16</v>
      </c>
      <c r="G61">
        <v>798555</v>
      </c>
      <c r="H61" s="3">
        <f>INDEX(Demand_Modeling!$A$13:$I$49,MATCH(Table3[[#This Row],[Key]],Demand_Modeling!$A$13:$A$49,0),MATCH(Table3[[#Headers],[OFC]],Demand_Modeling!$A$13:$I$13,0))</f>
        <v>0.25</v>
      </c>
      <c r="I61" s="3">
        <f>INDEX(Demand_Modeling!$A$13:$I$49,MATCH(Table3[[#This Row],[Key]],Demand_Modeling!$A$13:$A$49,0),MATCH(Table3[[#Headers],[TFC]],Demand_Modeling!$A$13:$I$13,0))</f>
        <v>0.2</v>
      </c>
      <c r="J61" s="3">
        <f>INDEX(Demand_Modeling!$A$13:$I$49,MATCH(Table3[[#This Row],[Key]],Demand_Modeling!$A$13:$A$49,0),MATCH(Table3[[#Headers],[WFC]],Demand_Modeling!$A$13:$I$13,0))</f>
        <v>0.15</v>
      </c>
      <c r="K61" s="3">
        <f>INDEX(Demand_Modeling!$A$13:$I$49,MATCH(Table3[[#This Row],[Key]],Demand_Modeling!$A$13:$A$49,0),MATCH(Table3[[#Headers],[EAO]],Demand_Modeling!$A$13:$I$13,0))</f>
        <v>0</v>
      </c>
      <c r="L61" s="3">
        <f>INDEX(Demand_Modeling!$A$13:$I$49,MATCH(Table3[[#This Row],[Key]],Demand_Modeling!$A$13:$A$49,0),MATCH(Table3[[#Headers],[OCC]],Demand_Modeling!$A$13:$I$13,0))</f>
        <v>0</v>
      </c>
      <c r="M61" s="3">
        <f>INDEX(Demand_Modeling!$A$13:$I$49,MATCH(Table3[[#This Row],[Key]],Demand_Modeling!$A$13:$A$49,0),MATCH(Table3[[#Headers],[WEO]],Demand_Modeling!$A$13:$I$13,0))</f>
        <v>0.4</v>
      </c>
      <c r="N61" s="19">
        <f>SUM(Table3[[#This Row],[OFC]:[WEO]])</f>
        <v>1</v>
      </c>
      <c r="O61" s="19"/>
      <c r="Q61" s="3" t="str">
        <f>Table35[[#This Row],[Fiscal_Year]]*100+Table35[[#This Row],[Fiscal_Week]] &amp; "-" &amp;Table35[[#This Row],[Brand]]</f>
        <v>201947-Gap</v>
      </c>
      <c r="R61" t="str">
        <f>Table3[[#This Row],[Key]]</f>
        <v>2019-Gap</v>
      </c>
      <c r="S61">
        <f>Table3[[#This Row],[Fiscal_Year]]</f>
        <v>2019</v>
      </c>
      <c r="T61">
        <f>Table3[[#This Row],[Fiscal_Week]]</f>
        <v>47</v>
      </c>
      <c r="U61" t="str">
        <f>Table3[[#This Row],[Brand]]</f>
        <v>Gap</v>
      </c>
      <c r="V61">
        <f>Table3[[#This Row],[Demand]]</f>
        <v>798555</v>
      </c>
      <c r="W61">
        <f>Table3[[#This Row],[OFC]]*Table3[[#This Row],[Demand]]</f>
        <v>199638.75</v>
      </c>
      <c r="X61">
        <f>Table3[[#This Row],[TFC]]*Table3[[#This Row],[Demand]]</f>
        <v>159711</v>
      </c>
      <c r="Y61">
        <f>Table3[[#This Row],[WFC]]*Table3[[#This Row],[Demand]]</f>
        <v>119783.25</v>
      </c>
      <c r="Z61">
        <f>Table3[[#This Row],[EAO]]*Table3[[#This Row],[Demand]]</f>
        <v>0</v>
      </c>
      <c r="AA61">
        <f>Table3[[#This Row],[OCC]]*Table3[[#This Row],[Demand]]</f>
        <v>0</v>
      </c>
      <c r="AB61">
        <f>Table3[[#This Row],[WEO]]*Table3[[#This Row],[Demand]]</f>
        <v>319422</v>
      </c>
      <c r="AC61" s="19">
        <f>SUM(Table35[[#This Row],[OFC]:[WEO]])</f>
        <v>798555</v>
      </c>
      <c r="AD61" s="19">
        <f>Table35[[#This Row],[Demand]]-Table35[[#This Row],[Total_Modeled_Demand]]</f>
        <v>0</v>
      </c>
    </row>
    <row r="62" spans="2:30" x14ac:dyDescent="0.3">
      <c r="B62" s="3" t="str">
        <f>Table3[[#This Row],[Fiscal_Year]]*100+Table3[[#This Row],[Fiscal_Week]] &amp; "-" &amp;Table3[[#This Row],[Brand]]</f>
        <v>201947-Gap Factory Store</v>
      </c>
      <c r="C62" t="str">
        <f t="shared" si="0"/>
        <v>2019-Gap Factory Store</v>
      </c>
      <c r="D62">
        <v>2019</v>
      </c>
      <c r="E62">
        <v>47</v>
      </c>
      <c r="F62" t="s">
        <v>22</v>
      </c>
      <c r="G62">
        <v>176330</v>
      </c>
      <c r="H62" s="3">
        <f>INDEX(Demand_Modeling!$A$13:$I$49,MATCH(Table3[[#This Row],[Key]],Demand_Modeling!$A$13:$A$49,0),MATCH(Table3[[#Headers],[OFC]],Demand_Modeling!$A$13:$I$13,0))</f>
        <v>1</v>
      </c>
      <c r="I62" s="3">
        <f>INDEX(Demand_Modeling!$A$13:$I$49,MATCH(Table3[[#This Row],[Key]],Demand_Modeling!$A$13:$A$49,0),MATCH(Table3[[#Headers],[TFC]],Demand_Modeling!$A$13:$I$13,0))</f>
        <v>0</v>
      </c>
      <c r="J62" s="3">
        <f>INDEX(Demand_Modeling!$A$13:$I$49,MATCH(Table3[[#This Row],[Key]],Demand_Modeling!$A$13:$A$49,0),MATCH(Table3[[#Headers],[WFC]],Demand_Modeling!$A$13:$I$13,0))</f>
        <v>0</v>
      </c>
      <c r="K62" s="3">
        <f>INDEX(Demand_Modeling!$A$13:$I$49,MATCH(Table3[[#This Row],[Key]],Demand_Modeling!$A$13:$A$49,0),MATCH(Table3[[#Headers],[EAO]],Demand_Modeling!$A$13:$I$13,0))</f>
        <v>0</v>
      </c>
      <c r="L62" s="3">
        <f>INDEX(Demand_Modeling!$A$13:$I$49,MATCH(Table3[[#This Row],[Key]],Demand_Modeling!$A$13:$A$49,0),MATCH(Table3[[#Headers],[OCC]],Demand_Modeling!$A$13:$I$13,0))</f>
        <v>0</v>
      </c>
      <c r="M62" s="3">
        <f>INDEX(Demand_Modeling!$A$13:$I$49,MATCH(Table3[[#This Row],[Key]],Demand_Modeling!$A$13:$A$49,0),MATCH(Table3[[#Headers],[WEO]],Demand_Modeling!$A$13:$I$13,0))</f>
        <v>0</v>
      </c>
      <c r="N62" s="19">
        <f>SUM(Table3[[#This Row],[OFC]:[WEO]])</f>
        <v>1</v>
      </c>
      <c r="O62" s="19"/>
      <c r="Q62" s="3" t="str">
        <f>Table35[[#This Row],[Fiscal_Year]]*100+Table35[[#This Row],[Fiscal_Week]] &amp; "-" &amp;Table35[[#This Row],[Brand]]</f>
        <v>201947-Gap Factory Store</v>
      </c>
      <c r="R62" t="str">
        <f>Table3[[#This Row],[Key]]</f>
        <v>2019-Gap Factory Store</v>
      </c>
      <c r="S62">
        <f>Table3[[#This Row],[Fiscal_Year]]</f>
        <v>2019</v>
      </c>
      <c r="T62">
        <f>Table3[[#This Row],[Fiscal_Week]]</f>
        <v>47</v>
      </c>
      <c r="U62" t="str">
        <f>Table3[[#This Row],[Brand]]</f>
        <v>Gap Factory Store</v>
      </c>
      <c r="V62">
        <f>Table3[[#This Row],[Demand]]</f>
        <v>176330</v>
      </c>
      <c r="W62">
        <f>Table3[[#This Row],[OFC]]*Table3[[#This Row],[Demand]]</f>
        <v>176330</v>
      </c>
      <c r="X62">
        <f>Table3[[#This Row],[TFC]]*Table3[[#This Row],[Demand]]</f>
        <v>0</v>
      </c>
      <c r="Y62">
        <f>Table3[[#This Row],[WFC]]*Table3[[#This Row],[Demand]]</f>
        <v>0</v>
      </c>
      <c r="Z62">
        <f>Table3[[#This Row],[EAO]]*Table3[[#This Row],[Demand]]</f>
        <v>0</v>
      </c>
      <c r="AA62">
        <f>Table3[[#This Row],[OCC]]*Table3[[#This Row],[Demand]]</f>
        <v>0</v>
      </c>
      <c r="AB62">
        <f>Table3[[#This Row],[WEO]]*Table3[[#This Row],[Demand]]</f>
        <v>0</v>
      </c>
      <c r="AC62" s="19">
        <f>SUM(Table35[[#This Row],[OFC]:[WEO]])</f>
        <v>176330</v>
      </c>
      <c r="AD62" s="19">
        <f>Table35[[#This Row],[Demand]]-Table35[[#This Row],[Total_Modeled_Demand]]</f>
        <v>0</v>
      </c>
    </row>
    <row r="63" spans="2:30" x14ac:dyDescent="0.3">
      <c r="B63" s="3" t="str">
        <f>Table3[[#This Row],[Fiscal_Year]]*100+Table3[[#This Row],[Fiscal_Week]] &amp; "-" &amp;Table3[[#This Row],[Brand]]</f>
        <v>201947-Old Navy</v>
      </c>
      <c r="C63" t="str">
        <f t="shared" si="0"/>
        <v>2019-Old Navy</v>
      </c>
      <c r="D63">
        <v>2019</v>
      </c>
      <c r="E63">
        <v>47</v>
      </c>
      <c r="F63" t="s">
        <v>20</v>
      </c>
      <c r="G63">
        <v>1358636</v>
      </c>
      <c r="H63" s="3">
        <f>INDEX(Demand_Modeling!$A$13:$I$49,MATCH(Table3[[#This Row],[Key]],Demand_Modeling!$A$13:$A$49,0),MATCH(Table3[[#Headers],[OFC]],Demand_Modeling!$A$13:$I$13,0))</f>
        <v>0.15</v>
      </c>
      <c r="I63" s="3">
        <f>INDEX(Demand_Modeling!$A$13:$I$49,MATCH(Table3[[#This Row],[Key]],Demand_Modeling!$A$13:$A$49,0),MATCH(Table3[[#Headers],[TFC]],Demand_Modeling!$A$13:$I$13,0))</f>
        <v>0.2</v>
      </c>
      <c r="J63" s="3">
        <f>INDEX(Demand_Modeling!$A$13:$I$49,MATCH(Table3[[#This Row],[Key]],Demand_Modeling!$A$13:$A$49,0),MATCH(Table3[[#Headers],[WFC]],Demand_Modeling!$A$13:$I$13,0))</f>
        <v>0.02</v>
      </c>
      <c r="K63" s="3">
        <f>INDEX(Demand_Modeling!$A$13:$I$49,MATCH(Table3[[#This Row],[Key]],Demand_Modeling!$A$13:$A$49,0),MATCH(Table3[[#Headers],[EAO]],Demand_Modeling!$A$13:$I$13,0))</f>
        <v>0.41</v>
      </c>
      <c r="L63" s="3">
        <f>INDEX(Demand_Modeling!$A$13:$I$49,MATCH(Table3[[#This Row],[Key]],Demand_Modeling!$A$13:$A$49,0),MATCH(Table3[[#Headers],[OCC]],Demand_Modeling!$A$13:$I$13,0))</f>
        <v>0</v>
      </c>
      <c r="M63" s="3">
        <f>INDEX(Demand_Modeling!$A$13:$I$49,MATCH(Table3[[#This Row],[Key]],Demand_Modeling!$A$13:$A$49,0),MATCH(Table3[[#Headers],[WEO]],Demand_Modeling!$A$13:$I$13,0))</f>
        <v>0.22</v>
      </c>
      <c r="N63" s="19">
        <f>SUM(Table3[[#This Row],[OFC]:[WEO]])</f>
        <v>1</v>
      </c>
      <c r="O63" s="19"/>
      <c r="Q63" s="3" t="str">
        <f>Table35[[#This Row],[Fiscal_Year]]*100+Table35[[#This Row],[Fiscal_Week]] &amp; "-" &amp;Table35[[#This Row],[Brand]]</f>
        <v>201947-Old Navy</v>
      </c>
      <c r="R63" t="str">
        <f>Table3[[#This Row],[Key]]</f>
        <v>2019-Old Navy</v>
      </c>
      <c r="S63">
        <f>Table3[[#This Row],[Fiscal_Year]]</f>
        <v>2019</v>
      </c>
      <c r="T63">
        <f>Table3[[#This Row],[Fiscal_Week]]</f>
        <v>47</v>
      </c>
      <c r="U63" t="str">
        <f>Table3[[#This Row],[Brand]]</f>
        <v>Old Navy</v>
      </c>
      <c r="V63">
        <f>Table3[[#This Row],[Demand]]</f>
        <v>1358636</v>
      </c>
      <c r="W63">
        <f>Table3[[#This Row],[OFC]]*Table3[[#This Row],[Demand]]</f>
        <v>203795.4</v>
      </c>
      <c r="X63">
        <f>Table3[[#This Row],[TFC]]*Table3[[#This Row],[Demand]]</f>
        <v>271727.2</v>
      </c>
      <c r="Y63">
        <f>Table3[[#This Row],[WFC]]*Table3[[#This Row],[Demand]]</f>
        <v>27172.720000000001</v>
      </c>
      <c r="Z63">
        <f>Table3[[#This Row],[EAO]]*Table3[[#This Row],[Demand]]</f>
        <v>557040.76</v>
      </c>
      <c r="AA63">
        <f>Table3[[#This Row],[OCC]]*Table3[[#This Row],[Demand]]</f>
        <v>0</v>
      </c>
      <c r="AB63">
        <f>Table3[[#This Row],[WEO]]*Table3[[#This Row],[Demand]]</f>
        <v>298899.92</v>
      </c>
      <c r="AC63" s="19">
        <f>SUM(Table35[[#This Row],[OFC]:[WEO]])</f>
        <v>1358636</v>
      </c>
      <c r="AD63" s="19">
        <f>Table35[[#This Row],[Demand]]-Table35[[#This Row],[Total_Modeled_Demand]]</f>
        <v>0</v>
      </c>
    </row>
    <row r="64" spans="2:30" x14ac:dyDescent="0.3">
      <c r="B64" s="3" t="str">
        <f>Table3[[#This Row],[Fiscal_Year]]*100+Table3[[#This Row],[Fiscal_Week]] &amp; "-" &amp;Table3[[#This Row],[Brand]]</f>
        <v>202043-Athleta</v>
      </c>
      <c r="C64" t="str">
        <f t="shared" si="0"/>
        <v>2020-Athleta</v>
      </c>
      <c r="D64">
        <v>2020</v>
      </c>
      <c r="E64">
        <v>43</v>
      </c>
      <c r="F64" t="s">
        <v>19</v>
      </c>
      <c r="G64">
        <v>491189</v>
      </c>
      <c r="H64" s="3">
        <f>INDEX(Demand_Modeling!$A$13:$I$49,MATCH(Table3[[#This Row],[Key]],Demand_Modeling!$A$13:$A$49,0),MATCH(Table3[[#Headers],[OFC]],Demand_Modeling!$A$13:$I$13,0))</f>
        <v>0</v>
      </c>
      <c r="I64" s="3">
        <f>INDEX(Demand_Modeling!$A$13:$I$49,MATCH(Table3[[#This Row],[Key]],Demand_Modeling!$A$13:$A$49,0),MATCH(Table3[[#Headers],[TFC]],Demand_Modeling!$A$13:$I$13,0))</f>
        <v>1</v>
      </c>
      <c r="J64" s="3">
        <f>INDEX(Demand_Modeling!$A$13:$I$49,MATCH(Table3[[#This Row],[Key]],Demand_Modeling!$A$13:$A$49,0),MATCH(Table3[[#Headers],[WFC]],Demand_Modeling!$A$13:$I$13,0))</f>
        <v>0</v>
      </c>
      <c r="K64" s="3">
        <f>INDEX(Demand_Modeling!$A$13:$I$49,MATCH(Table3[[#This Row],[Key]],Demand_Modeling!$A$13:$A$49,0),MATCH(Table3[[#Headers],[EAO]],Demand_Modeling!$A$13:$I$13,0))</f>
        <v>3.447122356821831E-5</v>
      </c>
      <c r="L64" s="3">
        <f>INDEX(Demand_Modeling!$A$13:$I$49,MATCH(Table3[[#This Row],[Key]],Demand_Modeling!$A$13:$A$49,0),MATCH(Table3[[#Headers],[OCC]],Demand_Modeling!$A$13:$I$13,0))</f>
        <v>0</v>
      </c>
      <c r="M64" s="3">
        <f>INDEX(Demand_Modeling!$A$13:$I$49,MATCH(Table3[[#This Row],[Key]],Demand_Modeling!$A$13:$A$49,0),MATCH(Table3[[#Headers],[WEO]],Demand_Modeling!$A$13:$I$13,0))</f>
        <v>0</v>
      </c>
      <c r="N64" s="19">
        <f>SUM(Table3[[#This Row],[OFC]:[WEO]])</f>
        <v>1.0000344712235683</v>
      </c>
      <c r="O64" s="19"/>
      <c r="Q64" s="3" t="str">
        <f>Table35[[#This Row],[Fiscal_Year]]*100+Table35[[#This Row],[Fiscal_Week]] &amp; "-" &amp;Table35[[#This Row],[Brand]]</f>
        <v>202043-Athleta</v>
      </c>
      <c r="R64" t="str">
        <f>Table3[[#This Row],[Key]]</f>
        <v>2020-Athleta</v>
      </c>
      <c r="S64">
        <f>Table3[[#This Row],[Fiscal_Year]]</f>
        <v>2020</v>
      </c>
      <c r="T64">
        <f>Table3[[#This Row],[Fiscal_Week]]</f>
        <v>43</v>
      </c>
      <c r="U64" t="str">
        <f>Table3[[#This Row],[Brand]]</f>
        <v>Athleta</v>
      </c>
      <c r="V64">
        <f>Table3[[#This Row],[Demand]]</f>
        <v>491189</v>
      </c>
      <c r="W64">
        <f>Table3[[#This Row],[OFC]]*Table3[[#This Row],[Demand]]</f>
        <v>0</v>
      </c>
      <c r="X64">
        <f>Table3[[#This Row],[TFC]]*Table3[[#This Row],[Demand]]</f>
        <v>491189</v>
      </c>
      <c r="Y64">
        <f>Table3[[#This Row],[WFC]]*Table3[[#This Row],[Demand]]</f>
        <v>0</v>
      </c>
      <c r="Z64">
        <f>Table3[[#This Row],[EAO]]*Table3[[#This Row],[Demand]]</f>
        <v>16.931885833249584</v>
      </c>
      <c r="AA64">
        <f>Table3[[#This Row],[OCC]]*Table3[[#This Row],[Demand]]</f>
        <v>0</v>
      </c>
      <c r="AB64">
        <f>Table3[[#This Row],[WEO]]*Table3[[#This Row],[Demand]]</f>
        <v>0</v>
      </c>
      <c r="AC64" s="19">
        <f>SUM(Table35[[#This Row],[OFC]:[WEO]])</f>
        <v>491205.93188583327</v>
      </c>
      <c r="AD64" s="19">
        <f>Table35[[#This Row],[Demand]]-Table35[[#This Row],[Total_Modeled_Demand]]</f>
        <v>-16.931885833269916</v>
      </c>
    </row>
    <row r="65" spans="2:30" x14ac:dyDescent="0.3">
      <c r="B65" s="3" t="str">
        <f>Table3[[#This Row],[Fiscal_Year]]*100+Table3[[#This Row],[Fiscal_Week]] &amp; "-" &amp;Table3[[#This Row],[Brand]]</f>
        <v>202043-Banana Republic</v>
      </c>
      <c r="C65" t="str">
        <f t="shared" si="0"/>
        <v>2020-Banana Republic</v>
      </c>
      <c r="D65">
        <v>2020</v>
      </c>
      <c r="E65">
        <v>43</v>
      </c>
      <c r="F65" t="s">
        <v>18</v>
      </c>
      <c r="G65">
        <v>719852</v>
      </c>
      <c r="H65" s="3">
        <f>INDEX(Demand_Modeling!$A$13:$I$49,MATCH(Table3[[#This Row],[Key]],Demand_Modeling!$A$13:$A$49,0),MATCH(Table3[[#Headers],[OFC]],Demand_Modeling!$A$13:$I$13,0))</f>
        <v>0</v>
      </c>
      <c r="I65" s="3">
        <f>INDEX(Demand_Modeling!$A$13:$I$49,MATCH(Table3[[#This Row],[Key]],Demand_Modeling!$A$13:$A$49,0),MATCH(Table3[[#Headers],[TFC]],Demand_Modeling!$A$13:$I$13,0))</f>
        <v>1</v>
      </c>
      <c r="J65" s="3">
        <f>INDEX(Demand_Modeling!$A$13:$I$49,MATCH(Table3[[#This Row],[Key]],Demand_Modeling!$A$13:$A$49,0),MATCH(Table3[[#Headers],[WFC]],Demand_Modeling!$A$13:$I$13,0))</f>
        <v>3.4959629396853166E-6</v>
      </c>
      <c r="K65" s="3">
        <f>INDEX(Demand_Modeling!$A$13:$I$49,MATCH(Table3[[#This Row],[Key]],Demand_Modeling!$A$13:$A$49,0),MATCH(Table3[[#Headers],[EAO]],Demand_Modeling!$A$13:$I$13,0))</f>
        <v>4.2339995602855504E-5</v>
      </c>
      <c r="L65" s="3">
        <f>INDEX(Demand_Modeling!$A$13:$I$49,MATCH(Table3[[#This Row],[Key]],Demand_Modeling!$A$13:$A$49,0),MATCH(Table3[[#Headers],[OCC]],Demand_Modeling!$A$13:$I$13,0))</f>
        <v>0</v>
      </c>
      <c r="M65" s="3">
        <f>INDEX(Demand_Modeling!$A$13:$I$49,MATCH(Table3[[#This Row],[Key]],Demand_Modeling!$A$13:$A$49,0),MATCH(Table3[[#Headers],[WEO]],Demand_Modeling!$A$13:$I$13,0))</f>
        <v>0</v>
      </c>
      <c r="N65" s="19">
        <f>SUM(Table3[[#This Row],[OFC]:[WEO]])</f>
        <v>1.0000458359585425</v>
      </c>
      <c r="O65" s="19"/>
      <c r="Q65" s="3" t="str">
        <f>Table35[[#This Row],[Fiscal_Year]]*100+Table35[[#This Row],[Fiscal_Week]] &amp; "-" &amp;Table35[[#This Row],[Brand]]</f>
        <v>202043-Banana Republic</v>
      </c>
      <c r="R65" t="str">
        <f>Table3[[#This Row],[Key]]</f>
        <v>2020-Banana Republic</v>
      </c>
      <c r="S65">
        <f>Table3[[#This Row],[Fiscal_Year]]</f>
        <v>2020</v>
      </c>
      <c r="T65">
        <f>Table3[[#This Row],[Fiscal_Week]]</f>
        <v>43</v>
      </c>
      <c r="U65" t="str">
        <f>Table3[[#This Row],[Brand]]</f>
        <v>Banana Republic</v>
      </c>
      <c r="V65">
        <f>Table3[[#This Row],[Demand]]</f>
        <v>719852</v>
      </c>
      <c r="W65">
        <f>Table3[[#This Row],[OFC]]*Table3[[#This Row],[Demand]]</f>
        <v>0</v>
      </c>
      <c r="X65">
        <f>Table3[[#This Row],[TFC]]*Table3[[#This Row],[Demand]]</f>
        <v>719852</v>
      </c>
      <c r="Y65">
        <f>Table3[[#This Row],[WFC]]*Table3[[#This Row],[Demand]]</f>
        <v>2.5165759140583543</v>
      </c>
      <c r="Z65">
        <f>Table3[[#This Row],[EAO]]*Table3[[#This Row],[Demand]]</f>
        <v>30.47853051470674</v>
      </c>
      <c r="AA65">
        <f>Table3[[#This Row],[OCC]]*Table3[[#This Row],[Demand]]</f>
        <v>0</v>
      </c>
      <c r="AB65">
        <f>Table3[[#This Row],[WEO]]*Table3[[#This Row],[Demand]]</f>
        <v>0</v>
      </c>
      <c r="AC65" s="19">
        <f>SUM(Table35[[#This Row],[OFC]:[WEO]])</f>
        <v>719884.99510642886</v>
      </c>
      <c r="AD65" s="19">
        <f>Table35[[#This Row],[Demand]]-Table35[[#This Row],[Total_Modeled_Demand]]</f>
        <v>-32.995106428861618</v>
      </c>
    </row>
    <row r="66" spans="2:30" x14ac:dyDescent="0.3">
      <c r="B66" s="3" t="str">
        <f>Table3[[#This Row],[Fiscal_Year]]*100+Table3[[#This Row],[Fiscal_Week]] &amp; "-" &amp;Table3[[#This Row],[Brand]]</f>
        <v>202043-BR Factory Store</v>
      </c>
      <c r="C66" t="str">
        <f t="shared" si="0"/>
        <v>2020-BR Factory Store</v>
      </c>
      <c r="D66">
        <v>2020</v>
      </c>
      <c r="E66">
        <v>43</v>
      </c>
      <c r="F66" t="s">
        <v>17</v>
      </c>
      <c r="G66">
        <v>615765</v>
      </c>
      <c r="H66" s="3">
        <f>INDEX(Demand_Modeling!$A$13:$I$49,MATCH(Table3[[#This Row],[Key]],Demand_Modeling!$A$13:$A$49,0),MATCH(Table3[[#Headers],[OFC]],Demand_Modeling!$A$13:$I$13,0))</f>
        <v>1</v>
      </c>
      <c r="I66" s="3">
        <f>INDEX(Demand_Modeling!$A$13:$I$49,MATCH(Table3[[#This Row],[Key]],Demand_Modeling!$A$13:$A$49,0),MATCH(Table3[[#Headers],[TFC]],Demand_Modeling!$A$13:$I$13,0))</f>
        <v>0</v>
      </c>
      <c r="J66" s="3">
        <f>INDEX(Demand_Modeling!$A$13:$I$49,MATCH(Table3[[#This Row],[Key]],Demand_Modeling!$A$13:$A$49,0),MATCH(Table3[[#Headers],[WFC]],Demand_Modeling!$A$13:$I$13,0))</f>
        <v>0</v>
      </c>
      <c r="K66" s="3">
        <f>INDEX(Demand_Modeling!$A$13:$I$49,MATCH(Table3[[#This Row],[Key]],Demand_Modeling!$A$13:$A$49,0),MATCH(Table3[[#Headers],[EAO]],Demand_Modeling!$A$13:$I$13,0))</f>
        <v>0</v>
      </c>
      <c r="L66" s="3">
        <f>INDEX(Demand_Modeling!$A$13:$I$49,MATCH(Table3[[#This Row],[Key]],Demand_Modeling!$A$13:$A$49,0),MATCH(Table3[[#Headers],[OCC]],Demand_Modeling!$A$13:$I$13,0))</f>
        <v>0</v>
      </c>
      <c r="M66" s="3">
        <f>INDEX(Demand_Modeling!$A$13:$I$49,MATCH(Table3[[#This Row],[Key]],Demand_Modeling!$A$13:$A$49,0),MATCH(Table3[[#Headers],[WEO]],Demand_Modeling!$A$13:$I$13,0))</f>
        <v>0</v>
      </c>
      <c r="N66" s="19">
        <f>SUM(Table3[[#This Row],[OFC]:[WEO]])</f>
        <v>1</v>
      </c>
      <c r="O66" s="19"/>
      <c r="Q66" s="3" t="str">
        <f>Table35[[#This Row],[Fiscal_Year]]*100+Table35[[#This Row],[Fiscal_Week]] &amp; "-" &amp;Table35[[#This Row],[Brand]]</f>
        <v>202043-BR Factory Store</v>
      </c>
      <c r="R66" t="str">
        <f>Table3[[#This Row],[Key]]</f>
        <v>2020-BR Factory Store</v>
      </c>
      <c r="S66">
        <f>Table3[[#This Row],[Fiscal_Year]]</f>
        <v>2020</v>
      </c>
      <c r="T66">
        <f>Table3[[#This Row],[Fiscal_Week]]</f>
        <v>43</v>
      </c>
      <c r="U66" t="str">
        <f>Table3[[#This Row],[Brand]]</f>
        <v>BR Factory Store</v>
      </c>
      <c r="V66">
        <f>Table3[[#This Row],[Demand]]</f>
        <v>615765</v>
      </c>
      <c r="W66">
        <f>Table3[[#This Row],[OFC]]*Table3[[#This Row],[Demand]]</f>
        <v>615765</v>
      </c>
      <c r="X66">
        <f>Table3[[#This Row],[TFC]]*Table3[[#This Row],[Demand]]</f>
        <v>0</v>
      </c>
      <c r="Y66">
        <f>Table3[[#This Row],[WFC]]*Table3[[#This Row],[Demand]]</f>
        <v>0</v>
      </c>
      <c r="Z66">
        <f>Table3[[#This Row],[EAO]]*Table3[[#This Row],[Demand]]</f>
        <v>0</v>
      </c>
      <c r="AA66">
        <f>Table3[[#This Row],[OCC]]*Table3[[#This Row],[Demand]]</f>
        <v>0</v>
      </c>
      <c r="AB66">
        <f>Table3[[#This Row],[WEO]]*Table3[[#This Row],[Demand]]</f>
        <v>0</v>
      </c>
      <c r="AC66" s="19">
        <f>SUM(Table35[[#This Row],[OFC]:[WEO]])</f>
        <v>615765</v>
      </c>
      <c r="AD66" s="19">
        <f>Table35[[#This Row],[Demand]]-Table35[[#This Row],[Total_Modeled_Demand]]</f>
        <v>0</v>
      </c>
    </row>
    <row r="67" spans="2:30" x14ac:dyDescent="0.3">
      <c r="B67" s="3" t="str">
        <f>Table3[[#This Row],[Fiscal_Year]]*100+Table3[[#This Row],[Fiscal_Week]] &amp; "-" &amp;Table3[[#This Row],[Brand]]</f>
        <v>202043-Gap</v>
      </c>
      <c r="C67" t="str">
        <f t="shared" si="0"/>
        <v>2020-Gap</v>
      </c>
      <c r="D67">
        <v>2020</v>
      </c>
      <c r="E67">
        <v>43</v>
      </c>
      <c r="F67" t="s">
        <v>16</v>
      </c>
      <c r="G67">
        <v>4937611</v>
      </c>
      <c r="H67" s="3">
        <f>INDEX(Demand_Modeling!$A$13:$I$49,MATCH(Table3[[#This Row],[Key]],Demand_Modeling!$A$13:$A$49,0),MATCH(Table3[[#Headers],[OFC]],Demand_Modeling!$A$13:$I$13,0))</f>
        <v>0.25</v>
      </c>
      <c r="I67" s="3">
        <f>INDEX(Demand_Modeling!$A$13:$I$49,MATCH(Table3[[#This Row],[Key]],Demand_Modeling!$A$13:$A$49,0),MATCH(Table3[[#Headers],[TFC]],Demand_Modeling!$A$13:$I$13,0))</f>
        <v>0.2</v>
      </c>
      <c r="J67" s="3">
        <f>INDEX(Demand_Modeling!$A$13:$I$49,MATCH(Table3[[#This Row],[Key]],Demand_Modeling!$A$13:$A$49,0),MATCH(Table3[[#Headers],[WFC]],Demand_Modeling!$A$13:$I$13,0))</f>
        <v>0.15</v>
      </c>
      <c r="K67" s="3">
        <f>INDEX(Demand_Modeling!$A$13:$I$49,MATCH(Table3[[#This Row],[Key]],Demand_Modeling!$A$13:$A$49,0),MATCH(Table3[[#Headers],[EAO]],Demand_Modeling!$A$13:$I$13,0))</f>
        <v>0</v>
      </c>
      <c r="L67" s="3">
        <f>INDEX(Demand_Modeling!$A$13:$I$49,MATCH(Table3[[#This Row],[Key]],Demand_Modeling!$A$13:$A$49,0),MATCH(Table3[[#Headers],[OCC]],Demand_Modeling!$A$13:$I$13,0))</f>
        <v>0</v>
      </c>
      <c r="M67" s="3">
        <f>INDEX(Demand_Modeling!$A$13:$I$49,MATCH(Table3[[#This Row],[Key]],Demand_Modeling!$A$13:$A$49,0),MATCH(Table3[[#Headers],[WEO]],Demand_Modeling!$A$13:$I$13,0))</f>
        <v>0.4</v>
      </c>
      <c r="N67" s="19">
        <f>SUM(Table3[[#This Row],[OFC]:[WEO]])</f>
        <v>1</v>
      </c>
      <c r="O67" s="19"/>
      <c r="Q67" s="3" t="str">
        <f>Table35[[#This Row],[Fiscal_Year]]*100+Table35[[#This Row],[Fiscal_Week]] &amp; "-" &amp;Table35[[#This Row],[Brand]]</f>
        <v>202043-Gap</v>
      </c>
      <c r="R67" t="str">
        <f>Table3[[#This Row],[Key]]</f>
        <v>2020-Gap</v>
      </c>
      <c r="S67">
        <f>Table3[[#This Row],[Fiscal_Year]]</f>
        <v>2020</v>
      </c>
      <c r="T67">
        <f>Table3[[#This Row],[Fiscal_Week]]</f>
        <v>43</v>
      </c>
      <c r="U67" t="str">
        <f>Table3[[#This Row],[Brand]]</f>
        <v>Gap</v>
      </c>
      <c r="V67">
        <f>Table3[[#This Row],[Demand]]</f>
        <v>4937611</v>
      </c>
      <c r="W67">
        <f>Table3[[#This Row],[OFC]]*Table3[[#This Row],[Demand]]</f>
        <v>1234402.75</v>
      </c>
      <c r="X67">
        <f>Table3[[#This Row],[TFC]]*Table3[[#This Row],[Demand]]</f>
        <v>987522.20000000007</v>
      </c>
      <c r="Y67">
        <f>Table3[[#This Row],[WFC]]*Table3[[#This Row],[Demand]]</f>
        <v>740641.65</v>
      </c>
      <c r="Z67">
        <f>Table3[[#This Row],[EAO]]*Table3[[#This Row],[Demand]]</f>
        <v>0</v>
      </c>
      <c r="AA67">
        <f>Table3[[#This Row],[OCC]]*Table3[[#This Row],[Demand]]</f>
        <v>0</v>
      </c>
      <c r="AB67">
        <f>Table3[[#This Row],[WEO]]*Table3[[#This Row],[Demand]]</f>
        <v>1975044.4000000001</v>
      </c>
      <c r="AC67" s="19">
        <f>SUM(Table35[[#This Row],[OFC]:[WEO]])</f>
        <v>4937611</v>
      </c>
      <c r="AD67" s="19">
        <f>Table35[[#This Row],[Demand]]-Table35[[#This Row],[Total_Modeled_Demand]]</f>
        <v>0</v>
      </c>
    </row>
    <row r="68" spans="2:30" x14ac:dyDescent="0.3">
      <c r="B68" s="3" t="str">
        <f>Table3[[#This Row],[Fiscal_Year]]*100+Table3[[#This Row],[Fiscal_Week]] &amp; "-" &amp;Table3[[#This Row],[Brand]]</f>
        <v>202043-Gap Factory Store</v>
      </c>
      <c r="C68" t="str">
        <f t="shared" si="0"/>
        <v>2020-Gap Factory Store</v>
      </c>
      <c r="D68">
        <v>2020</v>
      </c>
      <c r="E68">
        <v>43</v>
      </c>
      <c r="F68" t="s">
        <v>22</v>
      </c>
      <c r="G68">
        <v>1521166</v>
      </c>
      <c r="H68" s="3">
        <f>INDEX(Demand_Modeling!$A$13:$I$49,MATCH(Table3[[#This Row],[Key]],Demand_Modeling!$A$13:$A$49,0),MATCH(Table3[[#Headers],[OFC]],Demand_Modeling!$A$13:$I$13,0))</f>
        <v>1</v>
      </c>
      <c r="I68" s="3">
        <f>INDEX(Demand_Modeling!$A$13:$I$49,MATCH(Table3[[#This Row],[Key]],Demand_Modeling!$A$13:$A$49,0),MATCH(Table3[[#Headers],[TFC]],Demand_Modeling!$A$13:$I$13,0))</f>
        <v>0</v>
      </c>
      <c r="J68" s="3">
        <f>INDEX(Demand_Modeling!$A$13:$I$49,MATCH(Table3[[#This Row],[Key]],Demand_Modeling!$A$13:$A$49,0),MATCH(Table3[[#Headers],[WFC]],Demand_Modeling!$A$13:$I$13,0))</f>
        <v>0</v>
      </c>
      <c r="K68" s="3">
        <f>INDEX(Demand_Modeling!$A$13:$I$49,MATCH(Table3[[#This Row],[Key]],Demand_Modeling!$A$13:$A$49,0),MATCH(Table3[[#Headers],[EAO]],Demand_Modeling!$A$13:$I$13,0))</f>
        <v>0</v>
      </c>
      <c r="L68" s="3">
        <f>INDEX(Demand_Modeling!$A$13:$I$49,MATCH(Table3[[#This Row],[Key]],Demand_Modeling!$A$13:$A$49,0),MATCH(Table3[[#Headers],[OCC]],Demand_Modeling!$A$13:$I$13,0))</f>
        <v>0</v>
      </c>
      <c r="M68" s="3">
        <f>INDEX(Demand_Modeling!$A$13:$I$49,MATCH(Table3[[#This Row],[Key]],Demand_Modeling!$A$13:$A$49,0),MATCH(Table3[[#Headers],[WEO]],Demand_Modeling!$A$13:$I$13,0))</f>
        <v>0</v>
      </c>
      <c r="N68" s="19">
        <f>SUM(Table3[[#This Row],[OFC]:[WEO]])</f>
        <v>1</v>
      </c>
      <c r="O68" s="19"/>
      <c r="Q68" s="3" t="str">
        <f>Table35[[#This Row],[Fiscal_Year]]*100+Table35[[#This Row],[Fiscal_Week]] &amp; "-" &amp;Table35[[#This Row],[Brand]]</f>
        <v>202043-Gap Factory Store</v>
      </c>
      <c r="R68" t="str">
        <f>Table3[[#This Row],[Key]]</f>
        <v>2020-Gap Factory Store</v>
      </c>
      <c r="S68">
        <f>Table3[[#This Row],[Fiscal_Year]]</f>
        <v>2020</v>
      </c>
      <c r="T68">
        <f>Table3[[#This Row],[Fiscal_Week]]</f>
        <v>43</v>
      </c>
      <c r="U68" t="str">
        <f>Table3[[#This Row],[Brand]]</f>
        <v>Gap Factory Store</v>
      </c>
      <c r="V68">
        <f>Table3[[#This Row],[Demand]]</f>
        <v>1521166</v>
      </c>
      <c r="W68">
        <f>Table3[[#This Row],[OFC]]*Table3[[#This Row],[Demand]]</f>
        <v>1521166</v>
      </c>
      <c r="X68">
        <f>Table3[[#This Row],[TFC]]*Table3[[#This Row],[Demand]]</f>
        <v>0</v>
      </c>
      <c r="Y68">
        <f>Table3[[#This Row],[WFC]]*Table3[[#This Row],[Demand]]</f>
        <v>0</v>
      </c>
      <c r="Z68">
        <f>Table3[[#This Row],[EAO]]*Table3[[#This Row],[Demand]]</f>
        <v>0</v>
      </c>
      <c r="AA68">
        <f>Table3[[#This Row],[OCC]]*Table3[[#This Row],[Demand]]</f>
        <v>0</v>
      </c>
      <c r="AB68">
        <f>Table3[[#This Row],[WEO]]*Table3[[#This Row],[Demand]]</f>
        <v>0</v>
      </c>
      <c r="AC68" s="19">
        <f>SUM(Table35[[#This Row],[OFC]:[WEO]])</f>
        <v>1521166</v>
      </c>
      <c r="AD68" s="19">
        <f>Table35[[#This Row],[Demand]]-Table35[[#This Row],[Total_Modeled_Demand]]</f>
        <v>0</v>
      </c>
    </row>
    <row r="69" spans="2:30" x14ac:dyDescent="0.3">
      <c r="B69" s="3" t="str">
        <f>Table3[[#This Row],[Fiscal_Year]]*100+Table3[[#This Row],[Fiscal_Week]] &amp; "-" &amp;Table3[[#This Row],[Brand]]</f>
        <v>202043-Old Navy</v>
      </c>
      <c r="C69" t="str">
        <f t="shared" ref="C69:C132" si="1">D69&amp;"-"&amp;F69</f>
        <v>2020-Old Navy</v>
      </c>
      <c r="D69">
        <v>2020</v>
      </c>
      <c r="E69">
        <v>43</v>
      </c>
      <c r="F69" t="s">
        <v>20</v>
      </c>
      <c r="G69">
        <v>9038411</v>
      </c>
      <c r="H69" s="3">
        <f>INDEX(Demand_Modeling!$A$13:$I$49,MATCH(Table3[[#This Row],[Key]],Demand_Modeling!$A$13:$A$49,0),MATCH(Table3[[#Headers],[OFC]],Demand_Modeling!$A$13:$I$13,0))</f>
        <v>0.1</v>
      </c>
      <c r="I69" s="3">
        <f>INDEX(Demand_Modeling!$A$13:$I$49,MATCH(Table3[[#This Row],[Key]],Demand_Modeling!$A$13:$A$49,0),MATCH(Table3[[#Headers],[TFC]],Demand_Modeling!$A$13:$I$13,0))</f>
        <v>0.2</v>
      </c>
      <c r="J69" s="3">
        <f>INDEX(Demand_Modeling!$A$13:$I$49,MATCH(Table3[[#This Row],[Key]],Demand_Modeling!$A$13:$A$49,0),MATCH(Table3[[#Headers],[WFC]],Demand_Modeling!$A$13:$I$13,0))</f>
        <v>0.02</v>
      </c>
      <c r="K69" s="3">
        <f>INDEX(Demand_Modeling!$A$13:$I$49,MATCH(Table3[[#This Row],[Key]],Demand_Modeling!$A$13:$A$49,0),MATCH(Table3[[#Headers],[EAO]],Demand_Modeling!$A$13:$I$13,0))</f>
        <v>0.41</v>
      </c>
      <c r="L69" s="3">
        <f>INDEX(Demand_Modeling!$A$13:$I$49,MATCH(Table3[[#This Row],[Key]],Demand_Modeling!$A$13:$A$49,0),MATCH(Table3[[#Headers],[OCC]],Demand_Modeling!$A$13:$I$13,0))</f>
        <v>0</v>
      </c>
      <c r="M69" s="3">
        <f>INDEX(Demand_Modeling!$A$13:$I$49,MATCH(Table3[[#This Row],[Key]],Demand_Modeling!$A$13:$A$49,0),MATCH(Table3[[#Headers],[WEO]],Demand_Modeling!$A$13:$I$13,0))</f>
        <v>0.27</v>
      </c>
      <c r="N69" s="19">
        <f>SUM(Table3[[#This Row],[OFC]:[WEO]])</f>
        <v>1</v>
      </c>
      <c r="O69" s="19"/>
      <c r="Q69" s="3" t="str">
        <f>Table35[[#This Row],[Fiscal_Year]]*100+Table35[[#This Row],[Fiscal_Week]] &amp; "-" &amp;Table35[[#This Row],[Brand]]</f>
        <v>202043-Old Navy</v>
      </c>
      <c r="R69" t="str">
        <f>Table3[[#This Row],[Key]]</f>
        <v>2020-Old Navy</v>
      </c>
      <c r="S69">
        <f>Table3[[#This Row],[Fiscal_Year]]</f>
        <v>2020</v>
      </c>
      <c r="T69">
        <f>Table3[[#This Row],[Fiscal_Week]]</f>
        <v>43</v>
      </c>
      <c r="U69" t="str">
        <f>Table3[[#This Row],[Brand]]</f>
        <v>Old Navy</v>
      </c>
      <c r="V69">
        <f>Table3[[#This Row],[Demand]]</f>
        <v>9038411</v>
      </c>
      <c r="W69">
        <f>Table3[[#This Row],[OFC]]*Table3[[#This Row],[Demand]]</f>
        <v>903841.10000000009</v>
      </c>
      <c r="X69">
        <f>Table3[[#This Row],[TFC]]*Table3[[#This Row],[Demand]]</f>
        <v>1807682.2000000002</v>
      </c>
      <c r="Y69">
        <f>Table3[[#This Row],[WFC]]*Table3[[#This Row],[Demand]]</f>
        <v>180768.22</v>
      </c>
      <c r="Z69">
        <f>Table3[[#This Row],[EAO]]*Table3[[#This Row],[Demand]]</f>
        <v>3705748.51</v>
      </c>
      <c r="AA69">
        <f>Table3[[#This Row],[OCC]]*Table3[[#This Row],[Demand]]</f>
        <v>0</v>
      </c>
      <c r="AB69">
        <f>Table3[[#This Row],[WEO]]*Table3[[#This Row],[Demand]]</f>
        <v>2440370.9700000002</v>
      </c>
      <c r="AC69" s="19">
        <f>SUM(Table35[[#This Row],[OFC]:[WEO]])</f>
        <v>9038411</v>
      </c>
      <c r="AD69" s="19">
        <f>Table35[[#This Row],[Demand]]-Table35[[#This Row],[Total_Modeled_Demand]]</f>
        <v>0</v>
      </c>
    </row>
    <row r="70" spans="2:30" x14ac:dyDescent="0.3">
      <c r="B70" s="3" t="str">
        <f>Table3[[#This Row],[Fiscal_Year]]*100+Table3[[#This Row],[Fiscal_Week]] &amp; "-" &amp;Table3[[#This Row],[Brand]]</f>
        <v>202044-Athleta</v>
      </c>
      <c r="C70" t="str">
        <f t="shared" si="1"/>
        <v>2020-Athleta</v>
      </c>
      <c r="D70">
        <v>2020</v>
      </c>
      <c r="E70">
        <v>44</v>
      </c>
      <c r="F70" t="s">
        <v>19</v>
      </c>
      <c r="G70">
        <v>387879</v>
      </c>
      <c r="H70" s="3">
        <f>INDEX(Demand_Modeling!$A$13:$I$49,MATCH(Table3[[#This Row],[Key]],Demand_Modeling!$A$13:$A$49,0),MATCH(Table3[[#Headers],[OFC]],Demand_Modeling!$A$13:$I$13,0))</f>
        <v>0</v>
      </c>
      <c r="I70" s="3">
        <f>INDEX(Demand_Modeling!$A$13:$I$49,MATCH(Table3[[#This Row],[Key]],Demand_Modeling!$A$13:$A$49,0),MATCH(Table3[[#Headers],[TFC]],Demand_Modeling!$A$13:$I$13,0))</f>
        <v>1</v>
      </c>
      <c r="J70" s="3">
        <f>INDEX(Demand_Modeling!$A$13:$I$49,MATCH(Table3[[#This Row],[Key]],Demand_Modeling!$A$13:$A$49,0),MATCH(Table3[[#Headers],[WFC]],Demand_Modeling!$A$13:$I$13,0))</f>
        <v>0</v>
      </c>
      <c r="K70" s="3">
        <f>INDEX(Demand_Modeling!$A$13:$I$49,MATCH(Table3[[#This Row],[Key]],Demand_Modeling!$A$13:$A$49,0),MATCH(Table3[[#Headers],[EAO]],Demand_Modeling!$A$13:$I$13,0))</f>
        <v>3.447122356821831E-5</v>
      </c>
      <c r="L70" s="3">
        <f>INDEX(Demand_Modeling!$A$13:$I$49,MATCH(Table3[[#This Row],[Key]],Demand_Modeling!$A$13:$A$49,0),MATCH(Table3[[#Headers],[OCC]],Demand_Modeling!$A$13:$I$13,0))</f>
        <v>0</v>
      </c>
      <c r="M70" s="3">
        <f>INDEX(Demand_Modeling!$A$13:$I$49,MATCH(Table3[[#This Row],[Key]],Demand_Modeling!$A$13:$A$49,0),MATCH(Table3[[#Headers],[WEO]],Demand_Modeling!$A$13:$I$13,0))</f>
        <v>0</v>
      </c>
      <c r="N70" s="19">
        <f>SUM(Table3[[#This Row],[OFC]:[WEO]])</f>
        <v>1.0000344712235683</v>
      </c>
      <c r="O70" s="19"/>
      <c r="Q70" s="3" t="str">
        <f>Table35[[#This Row],[Fiscal_Year]]*100+Table35[[#This Row],[Fiscal_Week]] &amp; "-" &amp;Table35[[#This Row],[Brand]]</f>
        <v>202044-Athleta</v>
      </c>
      <c r="R70" t="str">
        <f>Table3[[#This Row],[Key]]</f>
        <v>2020-Athleta</v>
      </c>
      <c r="S70">
        <f>Table3[[#This Row],[Fiscal_Year]]</f>
        <v>2020</v>
      </c>
      <c r="T70">
        <f>Table3[[#This Row],[Fiscal_Week]]</f>
        <v>44</v>
      </c>
      <c r="U70" t="str">
        <f>Table3[[#This Row],[Brand]]</f>
        <v>Athleta</v>
      </c>
      <c r="V70">
        <f>Table3[[#This Row],[Demand]]</f>
        <v>387879</v>
      </c>
      <c r="W70">
        <f>Table3[[#This Row],[OFC]]*Table3[[#This Row],[Demand]]</f>
        <v>0</v>
      </c>
      <c r="X70">
        <f>Table3[[#This Row],[TFC]]*Table3[[#This Row],[Demand]]</f>
        <v>387879</v>
      </c>
      <c r="Y70">
        <f>Table3[[#This Row],[WFC]]*Table3[[#This Row],[Demand]]</f>
        <v>0</v>
      </c>
      <c r="Z70">
        <f>Table3[[#This Row],[EAO]]*Table3[[#This Row],[Demand]]</f>
        <v>13.37066372641695</v>
      </c>
      <c r="AA70">
        <f>Table3[[#This Row],[OCC]]*Table3[[#This Row],[Demand]]</f>
        <v>0</v>
      </c>
      <c r="AB70">
        <f>Table3[[#This Row],[WEO]]*Table3[[#This Row],[Demand]]</f>
        <v>0</v>
      </c>
      <c r="AC70" s="19">
        <f>SUM(Table35[[#This Row],[OFC]:[WEO]])</f>
        <v>387892.37066372641</v>
      </c>
      <c r="AD70" s="19">
        <f>Table35[[#This Row],[Demand]]-Table35[[#This Row],[Total_Modeled_Demand]]</f>
        <v>-13.370663726411294</v>
      </c>
    </row>
    <row r="71" spans="2:30" x14ac:dyDescent="0.3">
      <c r="B71" s="3" t="str">
        <f>Table3[[#This Row],[Fiscal_Year]]*100+Table3[[#This Row],[Fiscal_Week]] &amp; "-" &amp;Table3[[#This Row],[Brand]]</f>
        <v>202044-Banana Republic</v>
      </c>
      <c r="C71" t="str">
        <f t="shared" si="1"/>
        <v>2020-Banana Republic</v>
      </c>
      <c r="D71">
        <v>2020</v>
      </c>
      <c r="E71">
        <v>44</v>
      </c>
      <c r="F71" t="s">
        <v>18</v>
      </c>
      <c r="G71">
        <v>563880</v>
      </c>
      <c r="H71" s="3">
        <f>INDEX(Demand_Modeling!$A$13:$I$49,MATCH(Table3[[#This Row],[Key]],Demand_Modeling!$A$13:$A$49,0),MATCH(Table3[[#Headers],[OFC]],Demand_Modeling!$A$13:$I$13,0))</f>
        <v>0</v>
      </c>
      <c r="I71" s="3">
        <f>INDEX(Demand_Modeling!$A$13:$I$49,MATCH(Table3[[#This Row],[Key]],Demand_Modeling!$A$13:$A$49,0),MATCH(Table3[[#Headers],[TFC]],Demand_Modeling!$A$13:$I$13,0))</f>
        <v>1</v>
      </c>
      <c r="J71" s="3">
        <f>INDEX(Demand_Modeling!$A$13:$I$49,MATCH(Table3[[#This Row],[Key]],Demand_Modeling!$A$13:$A$49,0),MATCH(Table3[[#Headers],[WFC]],Demand_Modeling!$A$13:$I$13,0))</f>
        <v>3.4959629396853166E-6</v>
      </c>
      <c r="K71" s="3">
        <f>INDEX(Demand_Modeling!$A$13:$I$49,MATCH(Table3[[#This Row],[Key]],Demand_Modeling!$A$13:$A$49,0),MATCH(Table3[[#Headers],[EAO]],Demand_Modeling!$A$13:$I$13,0))</f>
        <v>4.2339995602855504E-5</v>
      </c>
      <c r="L71" s="3">
        <f>INDEX(Demand_Modeling!$A$13:$I$49,MATCH(Table3[[#This Row],[Key]],Demand_Modeling!$A$13:$A$49,0),MATCH(Table3[[#Headers],[OCC]],Demand_Modeling!$A$13:$I$13,0))</f>
        <v>0</v>
      </c>
      <c r="M71" s="3">
        <f>INDEX(Demand_Modeling!$A$13:$I$49,MATCH(Table3[[#This Row],[Key]],Demand_Modeling!$A$13:$A$49,0),MATCH(Table3[[#Headers],[WEO]],Demand_Modeling!$A$13:$I$13,0))</f>
        <v>0</v>
      </c>
      <c r="N71" s="19">
        <f>SUM(Table3[[#This Row],[OFC]:[WEO]])</f>
        <v>1.0000458359585425</v>
      </c>
      <c r="O71" s="19"/>
      <c r="Q71" s="3" t="str">
        <f>Table35[[#This Row],[Fiscal_Year]]*100+Table35[[#This Row],[Fiscal_Week]] &amp; "-" &amp;Table35[[#This Row],[Brand]]</f>
        <v>202044-Banana Republic</v>
      </c>
      <c r="R71" t="str">
        <f>Table3[[#This Row],[Key]]</f>
        <v>2020-Banana Republic</v>
      </c>
      <c r="S71">
        <f>Table3[[#This Row],[Fiscal_Year]]</f>
        <v>2020</v>
      </c>
      <c r="T71">
        <f>Table3[[#This Row],[Fiscal_Week]]</f>
        <v>44</v>
      </c>
      <c r="U71" t="str">
        <f>Table3[[#This Row],[Brand]]</f>
        <v>Banana Republic</v>
      </c>
      <c r="V71">
        <f>Table3[[#This Row],[Demand]]</f>
        <v>563880</v>
      </c>
      <c r="W71">
        <f>Table3[[#This Row],[OFC]]*Table3[[#This Row],[Demand]]</f>
        <v>0</v>
      </c>
      <c r="X71">
        <f>Table3[[#This Row],[TFC]]*Table3[[#This Row],[Demand]]</f>
        <v>563880</v>
      </c>
      <c r="Y71">
        <f>Table3[[#This Row],[WFC]]*Table3[[#This Row],[Demand]]</f>
        <v>1.9713035824297562</v>
      </c>
      <c r="Z71">
        <f>Table3[[#This Row],[EAO]]*Table3[[#This Row],[Demand]]</f>
        <v>23.874676720538162</v>
      </c>
      <c r="AA71">
        <f>Table3[[#This Row],[OCC]]*Table3[[#This Row],[Demand]]</f>
        <v>0</v>
      </c>
      <c r="AB71">
        <f>Table3[[#This Row],[WEO]]*Table3[[#This Row],[Demand]]</f>
        <v>0</v>
      </c>
      <c r="AC71" s="19">
        <f>SUM(Table35[[#This Row],[OFC]:[WEO]])</f>
        <v>563905.84598030301</v>
      </c>
      <c r="AD71" s="19">
        <f>Table35[[#This Row],[Demand]]-Table35[[#This Row],[Total_Modeled_Demand]]</f>
        <v>-25.845980303012766</v>
      </c>
    </row>
    <row r="72" spans="2:30" x14ac:dyDescent="0.3">
      <c r="B72" s="3" t="str">
        <f>Table3[[#This Row],[Fiscal_Year]]*100+Table3[[#This Row],[Fiscal_Week]] &amp; "-" &amp;Table3[[#This Row],[Brand]]</f>
        <v>202044-BR Factory Store</v>
      </c>
      <c r="C72" t="str">
        <f t="shared" si="1"/>
        <v>2020-BR Factory Store</v>
      </c>
      <c r="D72">
        <v>2020</v>
      </c>
      <c r="E72">
        <v>44</v>
      </c>
      <c r="F72" t="s">
        <v>17</v>
      </c>
      <c r="G72">
        <v>387241</v>
      </c>
      <c r="H72" s="3">
        <f>INDEX(Demand_Modeling!$A$13:$I$49,MATCH(Table3[[#This Row],[Key]],Demand_Modeling!$A$13:$A$49,0),MATCH(Table3[[#Headers],[OFC]],Demand_Modeling!$A$13:$I$13,0))</f>
        <v>1</v>
      </c>
      <c r="I72" s="3">
        <f>INDEX(Demand_Modeling!$A$13:$I$49,MATCH(Table3[[#This Row],[Key]],Demand_Modeling!$A$13:$A$49,0),MATCH(Table3[[#Headers],[TFC]],Demand_Modeling!$A$13:$I$13,0))</f>
        <v>0</v>
      </c>
      <c r="J72" s="3">
        <f>INDEX(Demand_Modeling!$A$13:$I$49,MATCH(Table3[[#This Row],[Key]],Demand_Modeling!$A$13:$A$49,0),MATCH(Table3[[#Headers],[WFC]],Demand_Modeling!$A$13:$I$13,0))</f>
        <v>0</v>
      </c>
      <c r="K72" s="3">
        <f>INDEX(Demand_Modeling!$A$13:$I$49,MATCH(Table3[[#This Row],[Key]],Demand_Modeling!$A$13:$A$49,0),MATCH(Table3[[#Headers],[EAO]],Demand_Modeling!$A$13:$I$13,0))</f>
        <v>0</v>
      </c>
      <c r="L72" s="3">
        <f>INDEX(Demand_Modeling!$A$13:$I$49,MATCH(Table3[[#This Row],[Key]],Demand_Modeling!$A$13:$A$49,0),MATCH(Table3[[#Headers],[OCC]],Demand_Modeling!$A$13:$I$13,0))</f>
        <v>0</v>
      </c>
      <c r="M72" s="3">
        <f>INDEX(Demand_Modeling!$A$13:$I$49,MATCH(Table3[[#This Row],[Key]],Demand_Modeling!$A$13:$A$49,0),MATCH(Table3[[#Headers],[WEO]],Demand_Modeling!$A$13:$I$13,0))</f>
        <v>0</v>
      </c>
      <c r="N72" s="19">
        <f>SUM(Table3[[#This Row],[OFC]:[WEO]])</f>
        <v>1</v>
      </c>
      <c r="O72" s="19"/>
      <c r="Q72" s="3" t="str">
        <f>Table35[[#This Row],[Fiscal_Year]]*100+Table35[[#This Row],[Fiscal_Week]] &amp; "-" &amp;Table35[[#This Row],[Brand]]</f>
        <v>202044-BR Factory Store</v>
      </c>
      <c r="R72" t="str">
        <f>Table3[[#This Row],[Key]]</f>
        <v>2020-BR Factory Store</v>
      </c>
      <c r="S72">
        <f>Table3[[#This Row],[Fiscal_Year]]</f>
        <v>2020</v>
      </c>
      <c r="T72">
        <f>Table3[[#This Row],[Fiscal_Week]]</f>
        <v>44</v>
      </c>
      <c r="U72" t="str">
        <f>Table3[[#This Row],[Brand]]</f>
        <v>BR Factory Store</v>
      </c>
      <c r="V72">
        <f>Table3[[#This Row],[Demand]]</f>
        <v>387241</v>
      </c>
      <c r="W72">
        <f>Table3[[#This Row],[OFC]]*Table3[[#This Row],[Demand]]</f>
        <v>387241</v>
      </c>
      <c r="X72">
        <f>Table3[[#This Row],[TFC]]*Table3[[#This Row],[Demand]]</f>
        <v>0</v>
      </c>
      <c r="Y72">
        <f>Table3[[#This Row],[WFC]]*Table3[[#This Row],[Demand]]</f>
        <v>0</v>
      </c>
      <c r="Z72">
        <f>Table3[[#This Row],[EAO]]*Table3[[#This Row],[Demand]]</f>
        <v>0</v>
      </c>
      <c r="AA72">
        <f>Table3[[#This Row],[OCC]]*Table3[[#This Row],[Demand]]</f>
        <v>0</v>
      </c>
      <c r="AB72">
        <f>Table3[[#This Row],[WEO]]*Table3[[#This Row],[Demand]]</f>
        <v>0</v>
      </c>
      <c r="AC72" s="19">
        <f>SUM(Table35[[#This Row],[OFC]:[WEO]])</f>
        <v>387241</v>
      </c>
      <c r="AD72" s="19">
        <f>Table35[[#This Row],[Demand]]-Table35[[#This Row],[Total_Modeled_Demand]]</f>
        <v>0</v>
      </c>
    </row>
    <row r="73" spans="2:30" x14ac:dyDescent="0.3">
      <c r="B73" s="3" t="str">
        <f>Table3[[#This Row],[Fiscal_Year]]*100+Table3[[#This Row],[Fiscal_Week]] &amp; "-" &amp;Table3[[#This Row],[Brand]]</f>
        <v>202044-Gap</v>
      </c>
      <c r="C73" t="str">
        <f t="shared" si="1"/>
        <v>2020-Gap</v>
      </c>
      <c r="D73">
        <v>2020</v>
      </c>
      <c r="E73">
        <v>44</v>
      </c>
      <c r="F73" t="s">
        <v>16</v>
      </c>
      <c r="G73">
        <v>3278270</v>
      </c>
      <c r="H73" s="3">
        <f>INDEX(Demand_Modeling!$A$13:$I$49,MATCH(Table3[[#This Row],[Key]],Demand_Modeling!$A$13:$A$49,0),MATCH(Table3[[#Headers],[OFC]],Demand_Modeling!$A$13:$I$13,0))</f>
        <v>0.25</v>
      </c>
      <c r="I73" s="3">
        <f>INDEX(Demand_Modeling!$A$13:$I$49,MATCH(Table3[[#This Row],[Key]],Demand_Modeling!$A$13:$A$49,0),MATCH(Table3[[#Headers],[TFC]],Demand_Modeling!$A$13:$I$13,0))</f>
        <v>0.2</v>
      </c>
      <c r="J73" s="3">
        <f>INDEX(Demand_Modeling!$A$13:$I$49,MATCH(Table3[[#This Row],[Key]],Demand_Modeling!$A$13:$A$49,0),MATCH(Table3[[#Headers],[WFC]],Demand_Modeling!$A$13:$I$13,0))</f>
        <v>0.15</v>
      </c>
      <c r="K73" s="3">
        <f>INDEX(Demand_Modeling!$A$13:$I$49,MATCH(Table3[[#This Row],[Key]],Demand_Modeling!$A$13:$A$49,0),MATCH(Table3[[#Headers],[EAO]],Demand_Modeling!$A$13:$I$13,0))</f>
        <v>0</v>
      </c>
      <c r="L73" s="3">
        <f>INDEX(Demand_Modeling!$A$13:$I$49,MATCH(Table3[[#This Row],[Key]],Demand_Modeling!$A$13:$A$49,0),MATCH(Table3[[#Headers],[OCC]],Demand_Modeling!$A$13:$I$13,0))</f>
        <v>0</v>
      </c>
      <c r="M73" s="3">
        <f>INDEX(Demand_Modeling!$A$13:$I$49,MATCH(Table3[[#This Row],[Key]],Demand_Modeling!$A$13:$A$49,0),MATCH(Table3[[#Headers],[WEO]],Demand_Modeling!$A$13:$I$13,0))</f>
        <v>0.4</v>
      </c>
      <c r="N73" s="19">
        <f>SUM(Table3[[#This Row],[OFC]:[WEO]])</f>
        <v>1</v>
      </c>
      <c r="O73" s="19"/>
      <c r="Q73" s="3" t="str">
        <f>Table35[[#This Row],[Fiscal_Year]]*100+Table35[[#This Row],[Fiscal_Week]] &amp; "-" &amp;Table35[[#This Row],[Brand]]</f>
        <v>202044-Gap</v>
      </c>
      <c r="R73" t="str">
        <f>Table3[[#This Row],[Key]]</f>
        <v>2020-Gap</v>
      </c>
      <c r="S73">
        <f>Table3[[#This Row],[Fiscal_Year]]</f>
        <v>2020</v>
      </c>
      <c r="T73">
        <f>Table3[[#This Row],[Fiscal_Week]]</f>
        <v>44</v>
      </c>
      <c r="U73" t="str">
        <f>Table3[[#This Row],[Brand]]</f>
        <v>Gap</v>
      </c>
      <c r="V73">
        <f>Table3[[#This Row],[Demand]]</f>
        <v>3278270</v>
      </c>
      <c r="W73">
        <f>Table3[[#This Row],[OFC]]*Table3[[#This Row],[Demand]]</f>
        <v>819567.5</v>
      </c>
      <c r="X73">
        <f>Table3[[#This Row],[TFC]]*Table3[[#This Row],[Demand]]</f>
        <v>655654</v>
      </c>
      <c r="Y73">
        <f>Table3[[#This Row],[WFC]]*Table3[[#This Row],[Demand]]</f>
        <v>491740.5</v>
      </c>
      <c r="Z73">
        <f>Table3[[#This Row],[EAO]]*Table3[[#This Row],[Demand]]</f>
        <v>0</v>
      </c>
      <c r="AA73">
        <f>Table3[[#This Row],[OCC]]*Table3[[#This Row],[Demand]]</f>
        <v>0</v>
      </c>
      <c r="AB73">
        <f>Table3[[#This Row],[WEO]]*Table3[[#This Row],[Demand]]</f>
        <v>1311308</v>
      </c>
      <c r="AC73" s="19">
        <f>SUM(Table35[[#This Row],[OFC]:[WEO]])</f>
        <v>3278270</v>
      </c>
      <c r="AD73" s="19">
        <f>Table35[[#This Row],[Demand]]-Table35[[#This Row],[Total_Modeled_Demand]]</f>
        <v>0</v>
      </c>
    </row>
    <row r="74" spans="2:30" x14ac:dyDescent="0.3">
      <c r="B74" s="3" t="str">
        <f>Table3[[#This Row],[Fiscal_Year]]*100+Table3[[#This Row],[Fiscal_Week]] &amp; "-" &amp;Table3[[#This Row],[Brand]]</f>
        <v>202044-Gap Factory Store</v>
      </c>
      <c r="C74" t="str">
        <f t="shared" si="1"/>
        <v>2020-Gap Factory Store</v>
      </c>
      <c r="D74">
        <v>2020</v>
      </c>
      <c r="E74">
        <v>44</v>
      </c>
      <c r="F74" t="s">
        <v>22</v>
      </c>
      <c r="G74">
        <v>1087987</v>
      </c>
      <c r="H74" s="3">
        <f>INDEX(Demand_Modeling!$A$13:$I$49,MATCH(Table3[[#This Row],[Key]],Demand_Modeling!$A$13:$A$49,0),MATCH(Table3[[#Headers],[OFC]],Demand_Modeling!$A$13:$I$13,0))</f>
        <v>1</v>
      </c>
      <c r="I74" s="3">
        <f>INDEX(Demand_Modeling!$A$13:$I$49,MATCH(Table3[[#This Row],[Key]],Demand_Modeling!$A$13:$A$49,0),MATCH(Table3[[#Headers],[TFC]],Demand_Modeling!$A$13:$I$13,0))</f>
        <v>0</v>
      </c>
      <c r="J74" s="3">
        <f>INDEX(Demand_Modeling!$A$13:$I$49,MATCH(Table3[[#This Row],[Key]],Demand_Modeling!$A$13:$A$49,0),MATCH(Table3[[#Headers],[WFC]],Demand_Modeling!$A$13:$I$13,0))</f>
        <v>0</v>
      </c>
      <c r="K74" s="3">
        <f>INDEX(Demand_Modeling!$A$13:$I$49,MATCH(Table3[[#This Row],[Key]],Demand_Modeling!$A$13:$A$49,0),MATCH(Table3[[#Headers],[EAO]],Demand_Modeling!$A$13:$I$13,0))</f>
        <v>0</v>
      </c>
      <c r="L74" s="3">
        <f>INDEX(Demand_Modeling!$A$13:$I$49,MATCH(Table3[[#This Row],[Key]],Demand_Modeling!$A$13:$A$49,0),MATCH(Table3[[#Headers],[OCC]],Demand_Modeling!$A$13:$I$13,0))</f>
        <v>0</v>
      </c>
      <c r="M74" s="3">
        <f>INDEX(Demand_Modeling!$A$13:$I$49,MATCH(Table3[[#This Row],[Key]],Demand_Modeling!$A$13:$A$49,0),MATCH(Table3[[#Headers],[WEO]],Demand_Modeling!$A$13:$I$13,0))</f>
        <v>0</v>
      </c>
      <c r="N74" s="19">
        <f>SUM(Table3[[#This Row],[OFC]:[WEO]])</f>
        <v>1</v>
      </c>
      <c r="O74" s="19"/>
      <c r="Q74" s="3" t="str">
        <f>Table35[[#This Row],[Fiscal_Year]]*100+Table35[[#This Row],[Fiscal_Week]] &amp; "-" &amp;Table35[[#This Row],[Brand]]</f>
        <v>202044-Gap Factory Store</v>
      </c>
      <c r="R74" t="str">
        <f>Table3[[#This Row],[Key]]</f>
        <v>2020-Gap Factory Store</v>
      </c>
      <c r="S74">
        <f>Table3[[#This Row],[Fiscal_Year]]</f>
        <v>2020</v>
      </c>
      <c r="T74">
        <f>Table3[[#This Row],[Fiscal_Week]]</f>
        <v>44</v>
      </c>
      <c r="U74" t="str">
        <f>Table3[[#This Row],[Brand]]</f>
        <v>Gap Factory Store</v>
      </c>
      <c r="V74">
        <f>Table3[[#This Row],[Demand]]</f>
        <v>1087987</v>
      </c>
      <c r="W74">
        <f>Table3[[#This Row],[OFC]]*Table3[[#This Row],[Demand]]</f>
        <v>1087987</v>
      </c>
      <c r="X74">
        <f>Table3[[#This Row],[TFC]]*Table3[[#This Row],[Demand]]</f>
        <v>0</v>
      </c>
      <c r="Y74">
        <f>Table3[[#This Row],[WFC]]*Table3[[#This Row],[Demand]]</f>
        <v>0</v>
      </c>
      <c r="Z74">
        <f>Table3[[#This Row],[EAO]]*Table3[[#This Row],[Demand]]</f>
        <v>0</v>
      </c>
      <c r="AA74">
        <f>Table3[[#This Row],[OCC]]*Table3[[#This Row],[Demand]]</f>
        <v>0</v>
      </c>
      <c r="AB74">
        <f>Table3[[#This Row],[WEO]]*Table3[[#This Row],[Demand]]</f>
        <v>0</v>
      </c>
      <c r="AC74" s="19">
        <f>SUM(Table35[[#This Row],[OFC]:[WEO]])</f>
        <v>1087987</v>
      </c>
      <c r="AD74" s="19">
        <f>Table35[[#This Row],[Demand]]-Table35[[#This Row],[Total_Modeled_Demand]]</f>
        <v>0</v>
      </c>
    </row>
    <row r="75" spans="2:30" x14ac:dyDescent="0.3">
      <c r="B75" s="3" t="str">
        <f>Table3[[#This Row],[Fiscal_Year]]*100+Table3[[#This Row],[Fiscal_Week]] &amp; "-" &amp;Table3[[#This Row],[Brand]]</f>
        <v>202044-Old Navy</v>
      </c>
      <c r="C75" t="str">
        <f t="shared" si="1"/>
        <v>2020-Old Navy</v>
      </c>
      <c r="D75">
        <v>2020</v>
      </c>
      <c r="E75">
        <v>44</v>
      </c>
      <c r="F75" t="s">
        <v>20</v>
      </c>
      <c r="G75">
        <v>7223631</v>
      </c>
      <c r="H75" s="3">
        <f>INDEX(Demand_Modeling!$A$13:$I$49,MATCH(Table3[[#This Row],[Key]],Demand_Modeling!$A$13:$A$49,0),MATCH(Table3[[#Headers],[OFC]],Demand_Modeling!$A$13:$I$13,0))</f>
        <v>0.1</v>
      </c>
      <c r="I75" s="3">
        <f>INDEX(Demand_Modeling!$A$13:$I$49,MATCH(Table3[[#This Row],[Key]],Demand_Modeling!$A$13:$A$49,0),MATCH(Table3[[#Headers],[TFC]],Demand_Modeling!$A$13:$I$13,0))</f>
        <v>0.2</v>
      </c>
      <c r="J75" s="3">
        <f>INDEX(Demand_Modeling!$A$13:$I$49,MATCH(Table3[[#This Row],[Key]],Demand_Modeling!$A$13:$A$49,0),MATCH(Table3[[#Headers],[WFC]],Demand_Modeling!$A$13:$I$13,0))</f>
        <v>0.02</v>
      </c>
      <c r="K75" s="3">
        <f>INDEX(Demand_Modeling!$A$13:$I$49,MATCH(Table3[[#This Row],[Key]],Demand_Modeling!$A$13:$A$49,0),MATCH(Table3[[#Headers],[EAO]],Demand_Modeling!$A$13:$I$13,0))</f>
        <v>0.41</v>
      </c>
      <c r="L75" s="3">
        <f>INDEX(Demand_Modeling!$A$13:$I$49,MATCH(Table3[[#This Row],[Key]],Demand_Modeling!$A$13:$A$49,0),MATCH(Table3[[#Headers],[OCC]],Demand_Modeling!$A$13:$I$13,0))</f>
        <v>0</v>
      </c>
      <c r="M75" s="3">
        <f>INDEX(Demand_Modeling!$A$13:$I$49,MATCH(Table3[[#This Row],[Key]],Demand_Modeling!$A$13:$A$49,0),MATCH(Table3[[#Headers],[WEO]],Demand_Modeling!$A$13:$I$13,0))</f>
        <v>0.27</v>
      </c>
      <c r="N75" s="19">
        <f>SUM(Table3[[#This Row],[OFC]:[WEO]])</f>
        <v>1</v>
      </c>
      <c r="O75" s="19"/>
      <c r="Q75" s="3" t="str">
        <f>Table35[[#This Row],[Fiscal_Year]]*100+Table35[[#This Row],[Fiscal_Week]] &amp; "-" &amp;Table35[[#This Row],[Brand]]</f>
        <v>202044-Old Navy</v>
      </c>
      <c r="R75" t="str">
        <f>Table3[[#This Row],[Key]]</f>
        <v>2020-Old Navy</v>
      </c>
      <c r="S75">
        <f>Table3[[#This Row],[Fiscal_Year]]</f>
        <v>2020</v>
      </c>
      <c r="T75">
        <f>Table3[[#This Row],[Fiscal_Week]]</f>
        <v>44</v>
      </c>
      <c r="U75" t="str">
        <f>Table3[[#This Row],[Brand]]</f>
        <v>Old Navy</v>
      </c>
      <c r="V75">
        <f>Table3[[#This Row],[Demand]]</f>
        <v>7223631</v>
      </c>
      <c r="W75">
        <f>Table3[[#This Row],[OFC]]*Table3[[#This Row],[Demand]]</f>
        <v>722363.10000000009</v>
      </c>
      <c r="X75">
        <f>Table3[[#This Row],[TFC]]*Table3[[#This Row],[Demand]]</f>
        <v>1444726.2000000002</v>
      </c>
      <c r="Y75">
        <f>Table3[[#This Row],[WFC]]*Table3[[#This Row],[Demand]]</f>
        <v>144472.62</v>
      </c>
      <c r="Z75">
        <f>Table3[[#This Row],[EAO]]*Table3[[#This Row],[Demand]]</f>
        <v>2961688.71</v>
      </c>
      <c r="AA75">
        <f>Table3[[#This Row],[OCC]]*Table3[[#This Row],[Demand]]</f>
        <v>0</v>
      </c>
      <c r="AB75">
        <f>Table3[[#This Row],[WEO]]*Table3[[#This Row],[Demand]]</f>
        <v>1950380.37</v>
      </c>
      <c r="AC75" s="19">
        <f>SUM(Table35[[#This Row],[OFC]:[WEO]])</f>
        <v>7223631.0000000009</v>
      </c>
      <c r="AD75" s="19">
        <f>Table35[[#This Row],[Demand]]-Table35[[#This Row],[Total_Modeled_Demand]]</f>
        <v>0</v>
      </c>
    </row>
    <row r="76" spans="2:30" x14ac:dyDescent="0.3">
      <c r="B76" s="3" t="str">
        <f>Table3[[#This Row],[Fiscal_Year]]*100+Table3[[#This Row],[Fiscal_Week]] &amp; "-" &amp;Table3[[#This Row],[Brand]]</f>
        <v>202045-Athleta</v>
      </c>
      <c r="C76" t="str">
        <f t="shared" si="1"/>
        <v>2020-Athleta</v>
      </c>
      <c r="D76">
        <v>2020</v>
      </c>
      <c r="E76">
        <v>45</v>
      </c>
      <c r="F76" t="s">
        <v>19</v>
      </c>
      <c r="G76">
        <v>249184</v>
      </c>
      <c r="H76" s="3">
        <f>INDEX(Demand_Modeling!$A$13:$I$49,MATCH(Table3[[#This Row],[Key]],Demand_Modeling!$A$13:$A$49,0),MATCH(Table3[[#Headers],[OFC]],Demand_Modeling!$A$13:$I$13,0))</f>
        <v>0</v>
      </c>
      <c r="I76" s="3">
        <f>INDEX(Demand_Modeling!$A$13:$I$49,MATCH(Table3[[#This Row],[Key]],Demand_Modeling!$A$13:$A$49,0),MATCH(Table3[[#Headers],[TFC]],Demand_Modeling!$A$13:$I$13,0))</f>
        <v>1</v>
      </c>
      <c r="J76" s="3">
        <f>INDEX(Demand_Modeling!$A$13:$I$49,MATCH(Table3[[#This Row],[Key]],Demand_Modeling!$A$13:$A$49,0),MATCH(Table3[[#Headers],[WFC]],Demand_Modeling!$A$13:$I$13,0))</f>
        <v>0</v>
      </c>
      <c r="K76" s="3">
        <f>INDEX(Demand_Modeling!$A$13:$I$49,MATCH(Table3[[#This Row],[Key]],Demand_Modeling!$A$13:$A$49,0),MATCH(Table3[[#Headers],[EAO]],Demand_Modeling!$A$13:$I$13,0))</f>
        <v>3.447122356821831E-5</v>
      </c>
      <c r="L76" s="3">
        <f>INDEX(Demand_Modeling!$A$13:$I$49,MATCH(Table3[[#This Row],[Key]],Demand_Modeling!$A$13:$A$49,0),MATCH(Table3[[#Headers],[OCC]],Demand_Modeling!$A$13:$I$13,0))</f>
        <v>0</v>
      </c>
      <c r="M76" s="3">
        <f>INDEX(Demand_Modeling!$A$13:$I$49,MATCH(Table3[[#This Row],[Key]],Demand_Modeling!$A$13:$A$49,0),MATCH(Table3[[#Headers],[WEO]],Demand_Modeling!$A$13:$I$13,0))</f>
        <v>0</v>
      </c>
      <c r="N76" s="19">
        <f>SUM(Table3[[#This Row],[OFC]:[WEO]])</f>
        <v>1.0000344712235683</v>
      </c>
      <c r="O76" s="19"/>
      <c r="Q76" s="3" t="str">
        <f>Table35[[#This Row],[Fiscal_Year]]*100+Table35[[#This Row],[Fiscal_Week]] &amp; "-" &amp;Table35[[#This Row],[Brand]]</f>
        <v>202045-Athleta</v>
      </c>
      <c r="R76" t="str">
        <f>Table3[[#This Row],[Key]]</f>
        <v>2020-Athleta</v>
      </c>
      <c r="S76">
        <f>Table3[[#This Row],[Fiscal_Year]]</f>
        <v>2020</v>
      </c>
      <c r="T76">
        <f>Table3[[#This Row],[Fiscal_Week]]</f>
        <v>45</v>
      </c>
      <c r="U76" t="str">
        <f>Table3[[#This Row],[Brand]]</f>
        <v>Athleta</v>
      </c>
      <c r="V76">
        <f>Table3[[#This Row],[Demand]]</f>
        <v>249184</v>
      </c>
      <c r="W76">
        <f>Table3[[#This Row],[OFC]]*Table3[[#This Row],[Demand]]</f>
        <v>0</v>
      </c>
      <c r="X76">
        <f>Table3[[#This Row],[TFC]]*Table3[[#This Row],[Demand]]</f>
        <v>249184</v>
      </c>
      <c r="Y76">
        <f>Table3[[#This Row],[WFC]]*Table3[[#This Row],[Demand]]</f>
        <v>0</v>
      </c>
      <c r="Z76">
        <f>Table3[[#This Row],[EAO]]*Table3[[#This Row],[Demand]]</f>
        <v>8.5896773736229104</v>
      </c>
      <c r="AA76">
        <f>Table3[[#This Row],[OCC]]*Table3[[#This Row],[Demand]]</f>
        <v>0</v>
      </c>
      <c r="AB76">
        <f>Table3[[#This Row],[WEO]]*Table3[[#This Row],[Demand]]</f>
        <v>0</v>
      </c>
      <c r="AC76" s="19">
        <f>SUM(Table35[[#This Row],[OFC]:[WEO]])</f>
        <v>249192.58967737362</v>
      </c>
      <c r="AD76" s="19">
        <f>Table35[[#This Row],[Demand]]-Table35[[#This Row],[Total_Modeled_Demand]]</f>
        <v>-8.5896773736167233</v>
      </c>
    </row>
    <row r="77" spans="2:30" x14ac:dyDescent="0.3">
      <c r="B77" s="3" t="str">
        <f>Table3[[#This Row],[Fiscal_Year]]*100+Table3[[#This Row],[Fiscal_Week]] &amp; "-" &amp;Table3[[#This Row],[Brand]]</f>
        <v>202045-Banana Republic</v>
      </c>
      <c r="C77" t="str">
        <f t="shared" si="1"/>
        <v>2020-Banana Republic</v>
      </c>
      <c r="D77">
        <v>2020</v>
      </c>
      <c r="E77">
        <v>45</v>
      </c>
      <c r="F77" t="s">
        <v>18</v>
      </c>
      <c r="G77">
        <v>271714</v>
      </c>
      <c r="H77" s="3">
        <f>INDEX(Demand_Modeling!$A$13:$I$49,MATCH(Table3[[#This Row],[Key]],Demand_Modeling!$A$13:$A$49,0),MATCH(Table3[[#Headers],[OFC]],Demand_Modeling!$A$13:$I$13,0))</f>
        <v>0</v>
      </c>
      <c r="I77" s="3">
        <f>INDEX(Demand_Modeling!$A$13:$I$49,MATCH(Table3[[#This Row],[Key]],Demand_Modeling!$A$13:$A$49,0),MATCH(Table3[[#Headers],[TFC]],Demand_Modeling!$A$13:$I$13,0))</f>
        <v>1</v>
      </c>
      <c r="J77" s="3">
        <f>INDEX(Demand_Modeling!$A$13:$I$49,MATCH(Table3[[#This Row],[Key]],Demand_Modeling!$A$13:$A$49,0),MATCH(Table3[[#Headers],[WFC]],Demand_Modeling!$A$13:$I$13,0))</f>
        <v>3.4959629396853166E-6</v>
      </c>
      <c r="K77" s="3">
        <f>INDEX(Demand_Modeling!$A$13:$I$49,MATCH(Table3[[#This Row],[Key]],Demand_Modeling!$A$13:$A$49,0),MATCH(Table3[[#Headers],[EAO]],Demand_Modeling!$A$13:$I$13,0))</f>
        <v>4.2339995602855504E-5</v>
      </c>
      <c r="L77" s="3">
        <f>INDEX(Demand_Modeling!$A$13:$I$49,MATCH(Table3[[#This Row],[Key]],Demand_Modeling!$A$13:$A$49,0),MATCH(Table3[[#Headers],[OCC]],Demand_Modeling!$A$13:$I$13,0))</f>
        <v>0</v>
      </c>
      <c r="M77" s="3">
        <f>INDEX(Demand_Modeling!$A$13:$I$49,MATCH(Table3[[#This Row],[Key]],Demand_Modeling!$A$13:$A$49,0),MATCH(Table3[[#Headers],[WEO]],Demand_Modeling!$A$13:$I$13,0))</f>
        <v>0</v>
      </c>
      <c r="N77" s="19">
        <f>SUM(Table3[[#This Row],[OFC]:[WEO]])</f>
        <v>1.0000458359585425</v>
      </c>
      <c r="O77" s="19"/>
      <c r="Q77" s="3" t="str">
        <f>Table35[[#This Row],[Fiscal_Year]]*100+Table35[[#This Row],[Fiscal_Week]] &amp; "-" &amp;Table35[[#This Row],[Brand]]</f>
        <v>202045-Banana Republic</v>
      </c>
      <c r="R77" t="str">
        <f>Table3[[#This Row],[Key]]</f>
        <v>2020-Banana Republic</v>
      </c>
      <c r="S77">
        <f>Table3[[#This Row],[Fiscal_Year]]</f>
        <v>2020</v>
      </c>
      <c r="T77">
        <f>Table3[[#This Row],[Fiscal_Week]]</f>
        <v>45</v>
      </c>
      <c r="U77" t="str">
        <f>Table3[[#This Row],[Brand]]</f>
        <v>Banana Republic</v>
      </c>
      <c r="V77">
        <f>Table3[[#This Row],[Demand]]</f>
        <v>271714</v>
      </c>
      <c r="W77">
        <f>Table3[[#This Row],[OFC]]*Table3[[#This Row],[Demand]]</f>
        <v>0</v>
      </c>
      <c r="X77">
        <f>Table3[[#This Row],[TFC]]*Table3[[#This Row],[Demand]]</f>
        <v>271714</v>
      </c>
      <c r="Y77">
        <f>Table3[[#This Row],[WFC]]*Table3[[#This Row],[Demand]]</f>
        <v>0.94990207419365613</v>
      </c>
      <c r="Z77">
        <f>Table3[[#This Row],[EAO]]*Table3[[#This Row],[Demand]]</f>
        <v>11.504369565234281</v>
      </c>
      <c r="AA77">
        <f>Table3[[#This Row],[OCC]]*Table3[[#This Row],[Demand]]</f>
        <v>0</v>
      </c>
      <c r="AB77">
        <f>Table3[[#This Row],[WEO]]*Table3[[#This Row],[Demand]]</f>
        <v>0</v>
      </c>
      <c r="AC77" s="19">
        <f>SUM(Table35[[#This Row],[OFC]:[WEO]])</f>
        <v>271726.45427163941</v>
      </c>
      <c r="AD77" s="19">
        <f>Table35[[#This Row],[Demand]]-Table35[[#This Row],[Total_Modeled_Demand]]</f>
        <v>-12.454271639406215</v>
      </c>
    </row>
    <row r="78" spans="2:30" x14ac:dyDescent="0.3">
      <c r="B78" s="3" t="str">
        <f>Table3[[#This Row],[Fiscal_Year]]*100+Table3[[#This Row],[Fiscal_Week]] &amp; "-" &amp;Table3[[#This Row],[Brand]]</f>
        <v>202045-BR Factory Store</v>
      </c>
      <c r="C78" t="str">
        <f t="shared" si="1"/>
        <v>2020-BR Factory Store</v>
      </c>
      <c r="D78">
        <v>2020</v>
      </c>
      <c r="E78">
        <v>45</v>
      </c>
      <c r="F78" t="s">
        <v>17</v>
      </c>
      <c r="G78">
        <v>106769</v>
      </c>
      <c r="H78" s="3">
        <f>INDEX(Demand_Modeling!$A$13:$I$49,MATCH(Table3[[#This Row],[Key]],Demand_Modeling!$A$13:$A$49,0),MATCH(Table3[[#Headers],[OFC]],Demand_Modeling!$A$13:$I$13,0))</f>
        <v>1</v>
      </c>
      <c r="I78" s="3">
        <f>INDEX(Demand_Modeling!$A$13:$I$49,MATCH(Table3[[#This Row],[Key]],Demand_Modeling!$A$13:$A$49,0),MATCH(Table3[[#Headers],[TFC]],Demand_Modeling!$A$13:$I$13,0))</f>
        <v>0</v>
      </c>
      <c r="J78" s="3">
        <f>INDEX(Demand_Modeling!$A$13:$I$49,MATCH(Table3[[#This Row],[Key]],Demand_Modeling!$A$13:$A$49,0),MATCH(Table3[[#Headers],[WFC]],Demand_Modeling!$A$13:$I$13,0))</f>
        <v>0</v>
      </c>
      <c r="K78" s="3">
        <f>INDEX(Demand_Modeling!$A$13:$I$49,MATCH(Table3[[#This Row],[Key]],Demand_Modeling!$A$13:$A$49,0),MATCH(Table3[[#Headers],[EAO]],Demand_Modeling!$A$13:$I$13,0))</f>
        <v>0</v>
      </c>
      <c r="L78" s="3">
        <f>INDEX(Demand_Modeling!$A$13:$I$49,MATCH(Table3[[#This Row],[Key]],Demand_Modeling!$A$13:$A$49,0),MATCH(Table3[[#Headers],[OCC]],Demand_Modeling!$A$13:$I$13,0))</f>
        <v>0</v>
      </c>
      <c r="M78" s="3">
        <f>INDEX(Demand_Modeling!$A$13:$I$49,MATCH(Table3[[#This Row],[Key]],Demand_Modeling!$A$13:$A$49,0),MATCH(Table3[[#Headers],[WEO]],Demand_Modeling!$A$13:$I$13,0))</f>
        <v>0</v>
      </c>
      <c r="N78" s="19">
        <f>SUM(Table3[[#This Row],[OFC]:[WEO]])</f>
        <v>1</v>
      </c>
      <c r="O78" s="19"/>
      <c r="Q78" s="3" t="str">
        <f>Table35[[#This Row],[Fiscal_Year]]*100+Table35[[#This Row],[Fiscal_Week]] &amp; "-" &amp;Table35[[#This Row],[Brand]]</f>
        <v>202045-BR Factory Store</v>
      </c>
      <c r="R78" t="str">
        <f>Table3[[#This Row],[Key]]</f>
        <v>2020-BR Factory Store</v>
      </c>
      <c r="S78">
        <f>Table3[[#This Row],[Fiscal_Year]]</f>
        <v>2020</v>
      </c>
      <c r="T78">
        <f>Table3[[#This Row],[Fiscal_Week]]</f>
        <v>45</v>
      </c>
      <c r="U78" t="str">
        <f>Table3[[#This Row],[Brand]]</f>
        <v>BR Factory Store</v>
      </c>
      <c r="V78">
        <f>Table3[[#This Row],[Demand]]</f>
        <v>106769</v>
      </c>
      <c r="W78">
        <f>Table3[[#This Row],[OFC]]*Table3[[#This Row],[Demand]]</f>
        <v>106769</v>
      </c>
      <c r="X78">
        <f>Table3[[#This Row],[TFC]]*Table3[[#This Row],[Demand]]</f>
        <v>0</v>
      </c>
      <c r="Y78">
        <f>Table3[[#This Row],[WFC]]*Table3[[#This Row],[Demand]]</f>
        <v>0</v>
      </c>
      <c r="Z78">
        <f>Table3[[#This Row],[EAO]]*Table3[[#This Row],[Demand]]</f>
        <v>0</v>
      </c>
      <c r="AA78">
        <f>Table3[[#This Row],[OCC]]*Table3[[#This Row],[Demand]]</f>
        <v>0</v>
      </c>
      <c r="AB78">
        <f>Table3[[#This Row],[WEO]]*Table3[[#This Row],[Demand]]</f>
        <v>0</v>
      </c>
      <c r="AC78" s="19">
        <f>SUM(Table35[[#This Row],[OFC]:[WEO]])</f>
        <v>106769</v>
      </c>
      <c r="AD78" s="19">
        <f>Table35[[#This Row],[Demand]]-Table35[[#This Row],[Total_Modeled_Demand]]</f>
        <v>0</v>
      </c>
    </row>
    <row r="79" spans="2:30" x14ac:dyDescent="0.3">
      <c r="B79" s="3" t="str">
        <f>Table3[[#This Row],[Fiscal_Year]]*100+Table3[[#This Row],[Fiscal_Week]] &amp; "-" &amp;Table3[[#This Row],[Brand]]</f>
        <v>202045-Gap</v>
      </c>
      <c r="C79" t="str">
        <f t="shared" si="1"/>
        <v>2020-Gap</v>
      </c>
      <c r="D79">
        <v>2020</v>
      </c>
      <c r="E79">
        <v>45</v>
      </c>
      <c r="F79" t="s">
        <v>16</v>
      </c>
      <c r="G79">
        <v>1310870</v>
      </c>
      <c r="H79" s="3">
        <f>INDEX(Demand_Modeling!$A$13:$I$49,MATCH(Table3[[#This Row],[Key]],Demand_Modeling!$A$13:$A$49,0),MATCH(Table3[[#Headers],[OFC]],Demand_Modeling!$A$13:$I$13,0))</f>
        <v>0.25</v>
      </c>
      <c r="I79" s="3">
        <f>INDEX(Demand_Modeling!$A$13:$I$49,MATCH(Table3[[#This Row],[Key]],Demand_Modeling!$A$13:$A$49,0),MATCH(Table3[[#Headers],[TFC]],Demand_Modeling!$A$13:$I$13,0))</f>
        <v>0.2</v>
      </c>
      <c r="J79" s="3">
        <f>INDEX(Demand_Modeling!$A$13:$I$49,MATCH(Table3[[#This Row],[Key]],Demand_Modeling!$A$13:$A$49,0),MATCH(Table3[[#Headers],[WFC]],Demand_Modeling!$A$13:$I$13,0))</f>
        <v>0.15</v>
      </c>
      <c r="K79" s="3">
        <f>INDEX(Demand_Modeling!$A$13:$I$49,MATCH(Table3[[#This Row],[Key]],Demand_Modeling!$A$13:$A$49,0),MATCH(Table3[[#Headers],[EAO]],Demand_Modeling!$A$13:$I$13,0))</f>
        <v>0</v>
      </c>
      <c r="L79" s="3">
        <f>INDEX(Demand_Modeling!$A$13:$I$49,MATCH(Table3[[#This Row],[Key]],Demand_Modeling!$A$13:$A$49,0),MATCH(Table3[[#Headers],[OCC]],Demand_Modeling!$A$13:$I$13,0))</f>
        <v>0</v>
      </c>
      <c r="M79" s="3">
        <f>INDEX(Demand_Modeling!$A$13:$I$49,MATCH(Table3[[#This Row],[Key]],Demand_Modeling!$A$13:$A$49,0),MATCH(Table3[[#Headers],[WEO]],Demand_Modeling!$A$13:$I$13,0))</f>
        <v>0.4</v>
      </c>
      <c r="N79" s="19">
        <f>SUM(Table3[[#This Row],[OFC]:[WEO]])</f>
        <v>1</v>
      </c>
      <c r="O79" s="19"/>
      <c r="Q79" s="3" t="str">
        <f>Table35[[#This Row],[Fiscal_Year]]*100+Table35[[#This Row],[Fiscal_Week]] &amp; "-" &amp;Table35[[#This Row],[Brand]]</f>
        <v>202045-Gap</v>
      </c>
      <c r="R79" t="str">
        <f>Table3[[#This Row],[Key]]</f>
        <v>2020-Gap</v>
      </c>
      <c r="S79">
        <f>Table3[[#This Row],[Fiscal_Year]]</f>
        <v>2020</v>
      </c>
      <c r="T79">
        <f>Table3[[#This Row],[Fiscal_Week]]</f>
        <v>45</v>
      </c>
      <c r="U79" t="str">
        <f>Table3[[#This Row],[Brand]]</f>
        <v>Gap</v>
      </c>
      <c r="V79">
        <f>Table3[[#This Row],[Demand]]</f>
        <v>1310870</v>
      </c>
      <c r="W79">
        <f>Table3[[#This Row],[OFC]]*Table3[[#This Row],[Demand]]</f>
        <v>327717.5</v>
      </c>
      <c r="X79">
        <f>Table3[[#This Row],[TFC]]*Table3[[#This Row],[Demand]]</f>
        <v>262174</v>
      </c>
      <c r="Y79">
        <f>Table3[[#This Row],[WFC]]*Table3[[#This Row],[Demand]]</f>
        <v>196630.5</v>
      </c>
      <c r="Z79">
        <f>Table3[[#This Row],[EAO]]*Table3[[#This Row],[Demand]]</f>
        <v>0</v>
      </c>
      <c r="AA79">
        <f>Table3[[#This Row],[OCC]]*Table3[[#This Row],[Demand]]</f>
        <v>0</v>
      </c>
      <c r="AB79">
        <f>Table3[[#This Row],[WEO]]*Table3[[#This Row],[Demand]]</f>
        <v>524348</v>
      </c>
      <c r="AC79" s="19">
        <f>SUM(Table35[[#This Row],[OFC]:[WEO]])</f>
        <v>1310870</v>
      </c>
      <c r="AD79" s="19">
        <f>Table35[[#This Row],[Demand]]-Table35[[#This Row],[Total_Modeled_Demand]]</f>
        <v>0</v>
      </c>
    </row>
    <row r="80" spans="2:30" x14ac:dyDescent="0.3">
      <c r="B80" s="3" t="str">
        <f>Table3[[#This Row],[Fiscal_Year]]*100+Table3[[#This Row],[Fiscal_Week]] &amp; "-" &amp;Table3[[#This Row],[Brand]]</f>
        <v>202045-Gap Factory Store</v>
      </c>
      <c r="C80" t="str">
        <f t="shared" si="1"/>
        <v>2020-Gap Factory Store</v>
      </c>
      <c r="D80">
        <v>2020</v>
      </c>
      <c r="E80">
        <v>45</v>
      </c>
      <c r="F80" t="s">
        <v>22</v>
      </c>
      <c r="G80">
        <v>388257</v>
      </c>
      <c r="H80" s="3">
        <f>INDEX(Demand_Modeling!$A$13:$I$49,MATCH(Table3[[#This Row],[Key]],Demand_Modeling!$A$13:$A$49,0),MATCH(Table3[[#Headers],[OFC]],Demand_Modeling!$A$13:$I$13,0))</f>
        <v>1</v>
      </c>
      <c r="I80" s="3">
        <f>INDEX(Demand_Modeling!$A$13:$I$49,MATCH(Table3[[#This Row],[Key]],Demand_Modeling!$A$13:$A$49,0),MATCH(Table3[[#Headers],[TFC]],Demand_Modeling!$A$13:$I$13,0))</f>
        <v>0</v>
      </c>
      <c r="J80" s="3">
        <f>INDEX(Demand_Modeling!$A$13:$I$49,MATCH(Table3[[#This Row],[Key]],Demand_Modeling!$A$13:$A$49,0),MATCH(Table3[[#Headers],[WFC]],Demand_Modeling!$A$13:$I$13,0))</f>
        <v>0</v>
      </c>
      <c r="K80" s="3">
        <f>INDEX(Demand_Modeling!$A$13:$I$49,MATCH(Table3[[#This Row],[Key]],Demand_Modeling!$A$13:$A$49,0),MATCH(Table3[[#Headers],[EAO]],Demand_Modeling!$A$13:$I$13,0))</f>
        <v>0</v>
      </c>
      <c r="L80" s="3">
        <f>INDEX(Demand_Modeling!$A$13:$I$49,MATCH(Table3[[#This Row],[Key]],Demand_Modeling!$A$13:$A$49,0),MATCH(Table3[[#Headers],[OCC]],Demand_Modeling!$A$13:$I$13,0))</f>
        <v>0</v>
      </c>
      <c r="M80" s="3">
        <f>INDEX(Demand_Modeling!$A$13:$I$49,MATCH(Table3[[#This Row],[Key]],Demand_Modeling!$A$13:$A$49,0),MATCH(Table3[[#Headers],[WEO]],Demand_Modeling!$A$13:$I$13,0))</f>
        <v>0</v>
      </c>
      <c r="N80" s="19">
        <f>SUM(Table3[[#This Row],[OFC]:[WEO]])</f>
        <v>1</v>
      </c>
      <c r="O80" s="19"/>
      <c r="Q80" s="3" t="str">
        <f>Table35[[#This Row],[Fiscal_Year]]*100+Table35[[#This Row],[Fiscal_Week]] &amp; "-" &amp;Table35[[#This Row],[Brand]]</f>
        <v>202045-Gap Factory Store</v>
      </c>
      <c r="R80" t="str">
        <f>Table3[[#This Row],[Key]]</f>
        <v>2020-Gap Factory Store</v>
      </c>
      <c r="S80">
        <f>Table3[[#This Row],[Fiscal_Year]]</f>
        <v>2020</v>
      </c>
      <c r="T80">
        <f>Table3[[#This Row],[Fiscal_Week]]</f>
        <v>45</v>
      </c>
      <c r="U80" t="str">
        <f>Table3[[#This Row],[Brand]]</f>
        <v>Gap Factory Store</v>
      </c>
      <c r="V80">
        <f>Table3[[#This Row],[Demand]]</f>
        <v>388257</v>
      </c>
      <c r="W80">
        <f>Table3[[#This Row],[OFC]]*Table3[[#This Row],[Demand]]</f>
        <v>388257</v>
      </c>
      <c r="X80">
        <f>Table3[[#This Row],[TFC]]*Table3[[#This Row],[Demand]]</f>
        <v>0</v>
      </c>
      <c r="Y80">
        <f>Table3[[#This Row],[WFC]]*Table3[[#This Row],[Demand]]</f>
        <v>0</v>
      </c>
      <c r="Z80">
        <f>Table3[[#This Row],[EAO]]*Table3[[#This Row],[Demand]]</f>
        <v>0</v>
      </c>
      <c r="AA80">
        <f>Table3[[#This Row],[OCC]]*Table3[[#This Row],[Demand]]</f>
        <v>0</v>
      </c>
      <c r="AB80">
        <f>Table3[[#This Row],[WEO]]*Table3[[#This Row],[Demand]]</f>
        <v>0</v>
      </c>
      <c r="AC80" s="19">
        <f>SUM(Table35[[#This Row],[OFC]:[WEO]])</f>
        <v>388257</v>
      </c>
      <c r="AD80" s="19">
        <f>Table35[[#This Row],[Demand]]-Table35[[#This Row],[Total_Modeled_Demand]]</f>
        <v>0</v>
      </c>
    </row>
    <row r="81" spans="2:30" x14ac:dyDescent="0.3">
      <c r="B81" s="3" t="str">
        <f>Table3[[#This Row],[Fiscal_Year]]*100+Table3[[#This Row],[Fiscal_Week]] &amp; "-" &amp;Table3[[#This Row],[Brand]]</f>
        <v>202045-Old Navy</v>
      </c>
      <c r="C81" t="str">
        <f t="shared" si="1"/>
        <v>2020-Old Navy</v>
      </c>
      <c r="D81">
        <v>2020</v>
      </c>
      <c r="E81">
        <v>45</v>
      </c>
      <c r="F81" t="s">
        <v>20</v>
      </c>
      <c r="G81">
        <v>3804834</v>
      </c>
      <c r="H81" s="3">
        <f>INDEX(Demand_Modeling!$A$13:$I$49,MATCH(Table3[[#This Row],[Key]],Demand_Modeling!$A$13:$A$49,0),MATCH(Table3[[#Headers],[OFC]],Demand_Modeling!$A$13:$I$13,0))</f>
        <v>0.1</v>
      </c>
      <c r="I81" s="3">
        <f>INDEX(Demand_Modeling!$A$13:$I$49,MATCH(Table3[[#This Row],[Key]],Demand_Modeling!$A$13:$A$49,0),MATCH(Table3[[#Headers],[TFC]],Demand_Modeling!$A$13:$I$13,0))</f>
        <v>0.2</v>
      </c>
      <c r="J81" s="3">
        <f>INDEX(Demand_Modeling!$A$13:$I$49,MATCH(Table3[[#This Row],[Key]],Demand_Modeling!$A$13:$A$49,0),MATCH(Table3[[#Headers],[WFC]],Demand_Modeling!$A$13:$I$13,0))</f>
        <v>0.02</v>
      </c>
      <c r="K81" s="3">
        <f>INDEX(Demand_Modeling!$A$13:$I$49,MATCH(Table3[[#This Row],[Key]],Demand_Modeling!$A$13:$A$49,0),MATCH(Table3[[#Headers],[EAO]],Demand_Modeling!$A$13:$I$13,0))</f>
        <v>0.41</v>
      </c>
      <c r="L81" s="3">
        <f>INDEX(Demand_Modeling!$A$13:$I$49,MATCH(Table3[[#This Row],[Key]],Demand_Modeling!$A$13:$A$49,0),MATCH(Table3[[#Headers],[OCC]],Demand_Modeling!$A$13:$I$13,0))</f>
        <v>0</v>
      </c>
      <c r="M81" s="3">
        <f>INDEX(Demand_Modeling!$A$13:$I$49,MATCH(Table3[[#This Row],[Key]],Demand_Modeling!$A$13:$A$49,0),MATCH(Table3[[#Headers],[WEO]],Demand_Modeling!$A$13:$I$13,0))</f>
        <v>0.27</v>
      </c>
      <c r="N81" s="19">
        <f>SUM(Table3[[#This Row],[OFC]:[WEO]])</f>
        <v>1</v>
      </c>
      <c r="O81" s="19"/>
      <c r="Q81" s="3" t="str">
        <f>Table35[[#This Row],[Fiscal_Year]]*100+Table35[[#This Row],[Fiscal_Week]] &amp; "-" &amp;Table35[[#This Row],[Brand]]</f>
        <v>202045-Old Navy</v>
      </c>
      <c r="R81" t="str">
        <f>Table3[[#This Row],[Key]]</f>
        <v>2020-Old Navy</v>
      </c>
      <c r="S81">
        <f>Table3[[#This Row],[Fiscal_Year]]</f>
        <v>2020</v>
      </c>
      <c r="T81">
        <f>Table3[[#This Row],[Fiscal_Week]]</f>
        <v>45</v>
      </c>
      <c r="U81" t="str">
        <f>Table3[[#This Row],[Brand]]</f>
        <v>Old Navy</v>
      </c>
      <c r="V81">
        <f>Table3[[#This Row],[Demand]]</f>
        <v>3804834</v>
      </c>
      <c r="W81">
        <f>Table3[[#This Row],[OFC]]*Table3[[#This Row],[Demand]]</f>
        <v>380483.4</v>
      </c>
      <c r="X81">
        <f>Table3[[#This Row],[TFC]]*Table3[[#This Row],[Demand]]</f>
        <v>760966.8</v>
      </c>
      <c r="Y81">
        <f>Table3[[#This Row],[WFC]]*Table3[[#This Row],[Demand]]</f>
        <v>76096.680000000008</v>
      </c>
      <c r="Z81">
        <f>Table3[[#This Row],[EAO]]*Table3[[#This Row],[Demand]]</f>
        <v>1559981.94</v>
      </c>
      <c r="AA81">
        <f>Table3[[#This Row],[OCC]]*Table3[[#This Row],[Demand]]</f>
        <v>0</v>
      </c>
      <c r="AB81">
        <f>Table3[[#This Row],[WEO]]*Table3[[#This Row],[Demand]]</f>
        <v>1027305.18</v>
      </c>
      <c r="AC81" s="19">
        <f>SUM(Table35[[#This Row],[OFC]:[WEO]])</f>
        <v>3804834.0000000005</v>
      </c>
      <c r="AD81" s="19">
        <f>Table35[[#This Row],[Demand]]-Table35[[#This Row],[Total_Modeled_Demand]]</f>
        <v>0</v>
      </c>
    </row>
    <row r="82" spans="2:30" x14ac:dyDescent="0.3">
      <c r="B82" s="3" t="str">
        <f>Table3[[#This Row],[Fiscal_Year]]*100+Table3[[#This Row],[Fiscal_Week]] &amp; "-" &amp;Table3[[#This Row],[Brand]]</f>
        <v>202046-Athleta</v>
      </c>
      <c r="C82" t="str">
        <f t="shared" si="1"/>
        <v>2020-Athleta</v>
      </c>
      <c r="D82">
        <v>2020</v>
      </c>
      <c r="E82">
        <v>46</v>
      </c>
      <c r="F82" t="s">
        <v>19</v>
      </c>
      <c r="G82">
        <v>263616</v>
      </c>
      <c r="H82" s="3">
        <f>INDEX(Demand_Modeling!$A$13:$I$49,MATCH(Table3[[#This Row],[Key]],Demand_Modeling!$A$13:$A$49,0),MATCH(Table3[[#Headers],[OFC]],Demand_Modeling!$A$13:$I$13,0))</f>
        <v>0</v>
      </c>
      <c r="I82" s="3">
        <f>INDEX(Demand_Modeling!$A$13:$I$49,MATCH(Table3[[#This Row],[Key]],Demand_Modeling!$A$13:$A$49,0),MATCH(Table3[[#Headers],[TFC]],Demand_Modeling!$A$13:$I$13,0))</f>
        <v>1</v>
      </c>
      <c r="J82" s="3">
        <f>INDEX(Demand_Modeling!$A$13:$I$49,MATCH(Table3[[#This Row],[Key]],Demand_Modeling!$A$13:$A$49,0),MATCH(Table3[[#Headers],[WFC]],Demand_Modeling!$A$13:$I$13,0))</f>
        <v>0</v>
      </c>
      <c r="K82" s="3">
        <f>INDEX(Demand_Modeling!$A$13:$I$49,MATCH(Table3[[#This Row],[Key]],Demand_Modeling!$A$13:$A$49,0),MATCH(Table3[[#Headers],[EAO]],Demand_Modeling!$A$13:$I$13,0))</f>
        <v>3.447122356821831E-5</v>
      </c>
      <c r="L82" s="3">
        <f>INDEX(Demand_Modeling!$A$13:$I$49,MATCH(Table3[[#This Row],[Key]],Demand_Modeling!$A$13:$A$49,0),MATCH(Table3[[#Headers],[OCC]],Demand_Modeling!$A$13:$I$13,0))</f>
        <v>0</v>
      </c>
      <c r="M82" s="3">
        <f>INDEX(Demand_Modeling!$A$13:$I$49,MATCH(Table3[[#This Row],[Key]],Demand_Modeling!$A$13:$A$49,0),MATCH(Table3[[#Headers],[WEO]],Demand_Modeling!$A$13:$I$13,0))</f>
        <v>0</v>
      </c>
      <c r="N82" s="19">
        <f>SUM(Table3[[#This Row],[OFC]:[WEO]])</f>
        <v>1.0000344712235683</v>
      </c>
      <c r="O82" s="19"/>
      <c r="Q82" s="3" t="str">
        <f>Table35[[#This Row],[Fiscal_Year]]*100+Table35[[#This Row],[Fiscal_Week]] &amp; "-" &amp;Table35[[#This Row],[Brand]]</f>
        <v>202046-Athleta</v>
      </c>
      <c r="R82" t="str">
        <f>Table3[[#This Row],[Key]]</f>
        <v>2020-Athleta</v>
      </c>
      <c r="S82">
        <f>Table3[[#This Row],[Fiscal_Year]]</f>
        <v>2020</v>
      </c>
      <c r="T82">
        <f>Table3[[#This Row],[Fiscal_Week]]</f>
        <v>46</v>
      </c>
      <c r="U82" t="str">
        <f>Table3[[#This Row],[Brand]]</f>
        <v>Athleta</v>
      </c>
      <c r="V82">
        <f>Table3[[#This Row],[Demand]]</f>
        <v>263616</v>
      </c>
      <c r="W82">
        <f>Table3[[#This Row],[OFC]]*Table3[[#This Row],[Demand]]</f>
        <v>0</v>
      </c>
      <c r="X82">
        <f>Table3[[#This Row],[TFC]]*Table3[[#This Row],[Demand]]</f>
        <v>263616</v>
      </c>
      <c r="Y82">
        <f>Table3[[#This Row],[WFC]]*Table3[[#This Row],[Demand]]</f>
        <v>0</v>
      </c>
      <c r="Z82">
        <f>Table3[[#This Row],[EAO]]*Table3[[#This Row],[Demand]]</f>
        <v>9.0871660721594374</v>
      </c>
      <c r="AA82">
        <f>Table3[[#This Row],[OCC]]*Table3[[#This Row],[Demand]]</f>
        <v>0</v>
      </c>
      <c r="AB82">
        <f>Table3[[#This Row],[WEO]]*Table3[[#This Row],[Demand]]</f>
        <v>0</v>
      </c>
      <c r="AC82" s="19">
        <f>SUM(Table35[[#This Row],[OFC]:[WEO]])</f>
        <v>263625.08716607216</v>
      </c>
      <c r="AD82" s="19">
        <f>Table35[[#This Row],[Demand]]-Table35[[#This Row],[Total_Modeled_Demand]]</f>
        <v>-9.0871660721604712</v>
      </c>
    </row>
    <row r="83" spans="2:30" x14ac:dyDescent="0.3">
      <c r="B83" s="3" t="str">
        <f>Table3[[#This Row],[Fiscal_Year]]*100+Table3[[#This Row],[Fiscal_Week]] &amp; "-" &amp;Table3[[#This Row],[Brand]]</f>
        <v>202046-Banana Republic</v>
      </c>
      <c r="C83" t="str">
        <f t="shared" si="1"/>
        <v>2020-Banana Republic</v>
      </c>
      <c r="D83">
        <v>2020</v>
      </c>
      <c r="E83">
        <v>46</v>
      </c>
      <c r="F83" t="s">
        <v>18</v>
      </c>
      <c r="G83">
        <v>246964</v>
      </c>
      <c r="H83" s="3">
        <f>INDEX(Demand_Modeling!$A$13:$I$49,MATCH(Table3[[#This Row],[Key]],Demand_Modeling!$A$13:$A$49,0),MATCH(Table3[[#Headers],[OFC]],Demand_Modeling!$A$13:$I$13,0))</f>
        <v>0</v>
      </c>
      <c r="I83" s="3">
        <f>INDEX(Demand_Modeling!$A$13:$I$49,MATCH(Table3[[#This Row],[Key]],Demand_Modeling!$A$13:$A$49,0),MATCH(Table3[[#Headers],[TFC]],Demand_Modeling!$A$13:$I$13,0))</f>
        <v>1</v>
      </c>
      <c r="J83" s="3">
        <f>INDEX(Demand_Modeling!$A$13:$I$49,MATCH(Table3[[#This Row],[Key]],Demand_Modeling!$A$13:$A$49,0),MATCH(Table3[[#Headers],[WFC]],Demand_Modeling!$A$13:$I$13,0))</f>
        <v>3.4959629396853166E-6</v>
      </c>
      <c r="K83" s="3">
        <f>INDEX(Demand_Modeling!$A$13:$I$49,MATCH(Table3[[#This Row],[Key]],Demand_Modeling!$A$13:$A$49,0),MATCH(Table3[[#Headers],[EAO]],Demand_Modeling!$A$13:$I$13,0))</f>
        <v>4.2339995602855504E-5</v>
      </c>
      <c r="L83" s="3">
        <f>INDEX(Demand_Modeling!$A$13:$I$49,MATCH(Table3[[#This Row],[Key]],Demand_Modeling!$A$13:$A$49,0),MATCH(Table3[[#Headers],[OCC]],Demand_Modeling!$A$13:$I$13,0))</f>
        <v>0</v>
      </c>
      <c r="M83" s="3">
        <f>INDEX(Demand_Modeling!$A$13:$I$49,MATCH(Table3[[#This Row],[Key]],Demand_Modeling!$A$13:$A$49,0),MATCH(Table3[[#Headers],[WEO]],Demand_Modeling!$A$13:$I$13,0))</f>
        <v>0</v>
      </c>
      <c r="N83" s="19">
        <f>SUM(Table3[[#This Row],[OFC]:[WEO]])</f>
        <v>1.0000458359585425</v>
      </c>
      <c r="O83" s="19"/>
      <c r="Q83" s="3" t="str">
        <f>Table35[[#This Row],[Fiscal_Year]]*100+Table35[[#This Row],[Fiscal_Week]] &amp; "-" &amp;Table35[[#This Row],[Brand]]</f>
        <v>202046-Banana Republic</v>
      </c>
      <c r="R83" t="str">
        <f>Table3[[#This Row],[Key]]</f>
        <v>2020-Banana Republic</v>
      </c>
      <c r="S83">
        <f>Table3[[#This Row],[Fiscal_Year]]</f>
        <v>2020</v>
      </c>
      <c r="T83">
        <f>Table3[[#This Row],[Fiscal_Week]]</f>
        <v>46</v>
      </c>
      <c r="U83" t="str">
        <f>Table3[[#This Row],[Brand]]</f>
        <v>Banana Republic</v>
      </c>
      <c r="V83">
        <f>Table3[[#This Row],[Demand]]</f>
        <v>246964</v>
      </c>
      <c r="W83">
        <f>Table3[[#This Row],[OFC]]*Table3[[#This Row],[Demand]]</f>
        <v>0</v>
      </c>
      <c r="X83">
        <f>Table3[[#This Row],[TFC]]*Table3[[#This Row],[Demand]]</f>
        <v>246964</v>
      </c>
      <c r="Y83">
        <f>Table3[[#This Row],[WFC]]*Table3[[#This Row],[Demand]]</f>
        <v>0.86337699143644453</v>
      </c>
      <c r="Z83">
        <f>Table3[[#This Row],[EAO]]*Table3[[#This Row],[Demand]]</f>
        <v>10.456454674063608</v>
      </c>
      <c r="AA83">
        <f>Table3[[#This Row],[OCC]]*Table3[[#This Row],[Demand]]</f>
        <v>0</v>
      </c>
      <c r="AB83">
        <f>Table3[[#This Row],[WEO]]*Table3[[#This Row],[Demand]]</f>
        <v>0</v>
      </c>
      <c r="AC83" s="19">
        <f>SUM(Table35[[#This Row],[OFC]:[WEO]])</f>
        <v>246975.31983166552</v>
      </c>
      <c r="AD83" s="19">
        <f>Table35[[#This Row],[Demand]]-Table35[[#This Row],[Total_Modeled_Demand]]</f>
        <v>-11.319831665517995</v>
      </c>
    </row>
    <row r="84" spans="2:30" x14ac:dyDescent="0.3">
      <c r="B84" s="3" t="str">
        <f>Table3[[#This Row],[Fiscal_Year]]*100+Table3[[#This Row],[Fiscal_Week]] &amp; "-" &amp;Table3[[#This Row],[Brand]]</f>
        <v>202046-BR Factory Store</v>
      </c>
      <c r="C84" t="str">
        <f t="shared" si="1"/>
        <v>2020-BR Factory Store</v>
      </c>
      <c r="D84">
        <v>2020</v>
      </c>
      <c r="E84">
        <v>46</v>
      </c>
      <c r="F84" t="s">
        <v>17</v>
      </c>
      <c r="G84">
        <v>150142</v>
      </c>
      <c r="H84" s="3">
        <f>INDEX(Demand_Modeling!$A$13:$I$49,MATCH(Table3[[#This Row],[Key]],Demand_Modeling!$A$13:$A$49,0),MATCH(Table3[[#Headers],[OFC]],Demand_Modeling!$A$13:$I$13,0))</f>
        <v>1</v>
      </c>
      <c r="I84" s="3">
        <f>INDEX(Demand_Modeling!$A$13:$I$49,MATCH(Table3[[#This Row],[Key]],Demand_Modeling!$A$13:$A$49,0),MATCH(Table3[[#Headers],[TFC]],Demand_Modeling!$A$13:$I$13,0))</f>
        <v>0</v>
      </c>
      <c r="J84" s="3">
        <f>INDEX(Demand_Modeling!$A$13:$I$49,MATCH(Table3[[#This Row],[Key]],Demand_Modeling!$A$13:$A$49,0),MATCH(Table3[[#Headers],[WFC]],Demand_Modeling!$A$13:$I$13,0))</f>
        <v>0</v>
      </c>
      <c r="K84" s="3">
        <f>INDEX(Demand_Modeling!$A$13:$I$49,MATCH(Table3[[#This Row],[Key]],Demand_Modeling!$A$13:$A$49,0),MATCH(Table3[[#Headers],[EAO]],Demand_Modeling!$A$13:$I$13,0))</f>
        <v>0</v>
      </c>
      <c r="L84" s="3">
        <f>INDEX(Demand_Modeling!$A$13:$I$49,MATCH(Table3[[#This Row],[Key]],Demand_Modeling!$A$13:$A$49,0),MATCH(Table3[[#Headers],[OCC]],Demand_Modeling!$A$13:$I$13,0))</f>
        <v>0</v>
      </c>
      <c r="M84" s="3">
        <f>INDEX(Demand_Modeling!$A$13:$I$49,MATCH(Table3[[#This Row],[Key]],Demand_Modeling!$A$13:$A$49,0),MATCH(Table3[[#Headers],[WEO]],Demand_Modeling!$A$13:$I$13,0))</f>
        <v>0</v>
      </c>
      <c r="N84" s="19">
        <f>SUM(Table3[[#This Row],[OFC]:[WEO]])</f>
        <v>1</v>
      </c>
      <c r="O84" s="19"/>
      <c r="Q84" s="3" t="str">
        <f>Table35[[#This Row],[Fiscal_Year]]*100+Table35[[#This Row],[Fiscal_Week]] &amp; "-" &amp;Table35[[#This Row],[Brand]]</f>
        <v>202046-BR Factory Store</v>
      </c>
      <c r="R84" t="str">
        <f>Table3[[#This Row],[Key]]</f>
        <v>2020-BR Factory Store</v>
      </c>
      <c r="S84">
        <f>Table3[[#This Row],[Fiscal_Year]]</f>
        <v>2020</v>
      </c>
      <c r="T84">
        <f>Table3[[#This Row],[Fiscal_Week]]</f>
        <v>46</v>
      </c>
      <c r="U84" t="str">
        <f>Table3[[#This Row],[Brand]]</f>
        <v>BR Factory Store</v>
      </c>
      <c r="V84">
        <f>Table3[[#This Row],[Demand]]</f>
        <v>150142</v>
      </c>
      <c r="W84">
        <f>Table3[[#This Row],[OFC]]*Table3[[#This Row],[Demand]]</f>
        <v>150142</v>
      </c>
      <c r="X84">
        <f>Table3[[#This Row],[TFC]]*Table3[[#This Row],[Demand]]</f>
        <v>0</v>
      </c>
      <c r="Y84">
        <f>Table3[[#This Row],[WFC]]*Table3[[#This Row],[Demand]]</f>
        <v>0</v>
      </c>
      <c r="Z84">
        <f>Table3[[#This Row],[EAO]]*Table3[[#This Row],[Demand]]</f>
        <v>0</v>
      </c>
      <c r="AA84">
        <f>Table3[[#This Row],[OCC]]*Table3[[#This Row],[Demand]]</f>
        <v>0</v>
      </c>
      <c r="AB84">
        <f>Table3[[#This Row],[WEO]]*Table3[[#This Row],[Demand]]</f>
        <v>0</v>
      </c>
      <c r="AC84" s="19">
        <f>SUM(Table35[[#This Row],[OFC]:[WEO]])</f>
        <v>150142</v>
      </c>
      <c r="AD84" s="19">
        <f>Table35[[#This Row],[Demand]]-Table35[[#This Row],[Total_Modeled_Demand]]</f>
        <v>0</v>
      </c>
    </row>
    <row r="85" spans="2:30" x14ac:dyDescent="0.3">
      <c r="B85" s="3" t="str">
        <f>Table3[[#This Row],[Fiscal_Year]]*100+Table3[[#This Row],[Fiscal_Week]] &amp; "-" &amp;Table3[[#This Row],[Brand]]</f>
        <v>202046-Gap</v>
      </c>
      <c r="C85" t="str">
        <f t="shared" si="1"/>
        <v>2020-Gap</v>
      </c>
      <c r="D85">
        <v>2020</v>
      </c>
      <c r="E85">
        <v>46</v>
      </c>
      <c r="F85" t="s">
        <v>16</v>
      </c>
      <c r="G85">
        <v>1204778</v>
      </c>
      <c r="H85" s="3">
        <f>INDEX(Demand_Modeling!$A$13:$I$49,MATCH(Table3[[#This Row],[Key]],Demand_Modeling!$A$13:$A$49,0),MATCH(Table3[[#Headers],[OFC]],Demand_Modeling!$A$13:$I$13,0))</f>
        <v>0.25</v>
      </c>
      <c r="I85" s="3">
        <f>INDEX(Demand_Modeling!$A$13:$I$49,MATCH(Table3[[#This Row],[Key]],Demand_Modeling!$A$13:$A$49,0),MATCH(Table3[[#Headers],[TFC]],Demand_Modeling!$A$13:$I$13,0))</f>
        <v>0.2</v>
      </c>
      <c r="J85" s="3">
        <f>INDEX(Demand_Modeling!$A$13:$I$49,MATCH(Table3[[#This Row],[Key]],Demand_Modeling!$A$13:$A$49,0),MATCH(Table3[[#Headers],[WFC]],Demand_Modeling!$A$13:$I$13,0))</f>
        <v>0.15</v>
      </c>
      <c r="K85" s="3">
        <f>INDEX(Demand_Modeling!$A$13:$I$49,MATCH(Table3[[#This Row],[Key]],Demand_Modeling!$A$13:$A$49,0),MATCH(Table3[[#Headers],[EAO]],Demand_Modeling!$A$13:$I$13,0))</f>
        <v>0</v>
      </c>
      <c r="L85" s="3">
        <f>INDEX(Demand_Modeling!$A$13:$I$49,MATCH(Table3[[#This Row],[Key]],Demand_Modeling!$A$13:$A$49,0),MATCH(Table3[[#Headers],[OCC]],Demand_Modeling!$A$13:$I$13,0))</f>
        <v>0</v>
      </c>
      <c r="M85" s="3">
        <f>INDEX(Demand_Modeling!$A$13:$I$49,MATCH(Table3[[#This Row],[Key]],Demand_Modeling!$A$13:$A$49,0),MATCH(Table3[[#Headers],[WEO]],Demand_Modeling!$A$13:$I$13,0))</f>
        <v>0.4</v>
      </c>
      <c r="N85" s="19">
        <f>SUM(Table3[[#This Row],[OFC]:[WEO]])</f>
        <v>1</v>
      </c>
      <c r="O85" s="19"/>
      <c r="Q85" s="3" t="str">
        <f>Table35[[#This Row],[Fiscal_Year]]*100+Table35[[#This Row],[Fiscal_Week]] &amp; "-" &amp;Table35[[#This Row],[Brand]]</f>
        <v>202046-Gap</v>
      </c>
      <c r="R85" t="str">
        <f>Table3[[#This Row],[Key]]</f>
        <v>2020-Gap</v>
      </c>
      <c r="S85">
        <f>Table3[[#This Row],[Fiscal_Year]]</f>
        <v>2020</v>
      </c>
      <c r="T85">
        <f>Table3[[#This Row],[Fiscal_Week]]</f>
        <v>46</v>
      </c>
      <c r="U85" t="str">
        <f>Table3[[#This Row],[Brand]]</f>
        <v>Gap</v>
      </c>
      <c r="V85">
        <f>Table3[[#This Row],[Demand]]</f>
        <v>1204778</v>
      </c>
      <c r="W85">
        <f>Table3[[#This Row],[OFC]]*Table3[[#This Row],[Demand]]</f>
        <v>301194.5</v>
      </c>
      <c r="X85">
        <f>Table3[[#This Row],[TFC]]*Table3[[#This Row],[Demand]]</f>
        <v>240955.6</v>
      </c>
      <c r="Y85">
        <f>Table3[[#This Row],[WFC]]*Table3[[#This Row],[Demand]]</f>
        <v>180716.69999999998</v>
      </c>
      <c r="Z85">
        <f>Table3[[#This Row],[EAO]]*Table3[[#This Row],[Demand]]</f>
        <v>0</v>
      </c>
      <c r="AA85">
        <f>Table3[[#This Row],[OCC]]*Table3[[#This Row],[Demand]]</f>
        <v>0</v>
      </c>
      <c r="AB85">
        <f>Table3[[#This Row],[WEO]]*Table3[[#This Row],[Demand]]</f>
        <v>481911.2</v>
      </c>
      <c r="AC85" s="19">
        <f>SUM(Table35[[#This Row],[OFC]:[WEO]])</f>
        <v>1204778</v>
      </c>
      <c r="AD85" s="19">
        <f>Table35[[#This Row],[Demand]]-Table35[[#This Row],[Total_Modeled_Demand]]</f>
        <v>0</v>
      </c>
    </row>
    <row r="86" spans="2:30" x14ac:dyDescent="0.3">
      <c r="B86" s="3" t="str">
        <f>Table3[[#This Row],[Fiscal_Year]]*100+Table3[[#This Row],[Fiscal_Week]] &amp; "-" &amp;Table3[[#This Row],[Brand]]</f>
        <v>202046-Gap Factory Store</v>
      </c>
      <c r="C86" t="str">
        <f t="shared" si="1"/>
        <v>2020-Gap Factory Store</v>
      </c>
      <c r="D86">
        <v>2020</v>
      </c>
      <c r="E86">
        <v>46</v>
      </c>
      <c r="F86" t="s">
        <v>22</v>
      </c>
      <c r="G86">
        <v>230994</v>
      </c>
      <c r="H86" s="3">
        <f>INDEX(Demand_Modeling!$A$13:$I$49,MATCH(Table3[[#This Row],[Key]],Demand_Modeling!$A$13:$A$49,0),MATCH(Table3[[#Headers],[OFC]],Demand_Modeling!$A$13:$I$13,0))</f>
        <v>1</v>
      </c>
      <c r="I86" s="3">
        <f>INDEX(Demand_Modeling!$A$13:$I$49,MATCH(Table3[[#This Row],[Key]],Demand_Modeling!$A$13:$A$49,0),MATCH(Table3[[#Headers],[TFC]],Demand_Modeling!$A$13:$I$13,0))</f>
        <v>0</v>
      </c>
      <c r="J86" s="3">
        <f>INDEX(Demand_Modeling!$A$13:$I$49,MATCH(Table3[[#This Row],[Key]],Demand_Modeling!$A$13:$A$49,0),MATCH(Table3[[#Headers],[WFC]],Demand_Modeling!$A$13:$I$13,0))</f>
        <v>0</v>
      </c>
      <c r="K86" s="3">
        <f>INDEX(Demand_Modeling!$A$13:$I$49,MATCH(Table3[[#This Row],[Key]],Demand_Modeling!$A$13:$A$49,0),MATCH(Table3[[#Headers],[EAO]],Demand_Modeling!$A$13:$I$13,0))</f>
        <v>0</v>
      </c>
      <c r="L86" s="3">
        <f>INDEX(Demand_Modeling!$A$13:$I$49,MATCH(Table3[[#This Row],[Key]],Demand_Modeling!$A$13:$A$49,0),MATCH(Table3[[#Headers],[OCC]],Demand_Modeling!$A$13:$I$13,0))</f>
        <v>0</v>
      </c>
      <c r="M86" s="3">
        <f>INDEX(Demand_Modeling!$A$13:$I$49,MATCH(Table3[[#This Row],[Key]],Demand_Modeling!$A$13:$A$49,0),MATCH(Table3[[#Headers],[WEO]],Demand_Modeling!$A$13:$I$13,0))</f>
        <v>0</v>
      </c>
      <c r="N86" s="19">
        <f>SUM(Table3[[#This Row],[OFC]:[WEO]])</f>
        <v>1</v>
      </c>
      <c r="O86" s="19"/>
      <c r="Q86" s="3" t="str">
        <f>Table35[[#This Row],[Fiscal_Year]]*100+Table35[[#This Row],[Fiscal_Week]] &amp; "-" &amp;Table35[[#This Row],[Brand]]</f>
        <v>202046-Gap Factory Store</v>
      </c>
      <c r="R86" t="str">
        <f>Table3[[#This Row],[Key]]</f>
        <v>2020-Gap Factory Store</v>
      </c>
      <c r="S86">
        <f>Table3[[#This Row],[Fiscal_Year]]</f>
        <v>2020</v>
      </c>
      <c r="T86">
        <f>Table3[[#This Row],[Fiscal_Week]]</f>
        <v>46</v>
      </c>
      <c r="U86" t="str">
        <f>Table3[[#This Row],[Brand]]</f>
        <v>Gap Factory Store</v>
      </c>
      <c r="V86">
        <f>Table3[[#This Row],[Demand]]</f>
        <v>230994</v>
      </c>
      <c r="W86">
        <f>Table3[[#This Row],[OFC]]*Table3[[#This Row],[Demand]]</f>
        <v>230994</v>
      </c>
      <c r="X86">
        <f>Table3[[#This Row],[TFC]]*Table3[[#This Row],[Demand]]</f>
        <v>0</v>
      </c>
      <c r="Y86">
        <f>Table3[[#This Row],[WFC]]*Table3[[#This Row],[Demand]]</f>
        <v>0</v>
      </c>
      <c r="Z86">
        <f>Table3[[#This Row],[EAO]]*Table3[[#This Row],[Demand]]</f>
        <v>0</v>
      </c>
      <c r="AA86">
        <f>Table3[[#This Row],[OCC]]*Table3[[#This Row],[Demand]]</f>
        <v>0</v>
      </c>
      <c r="AB86">
        <f>Table3[[#This Row],[WEO]]*Table3[[#This Row],[Demand]]</f>
        <v>0</v>
      </c>
      <c r="AC86" s="19">
        <f>SUM(Table35[[#This Row],[OFC]:[WEO]])</f>
        <v>230994</v>
      </c>
      <c r="AD86" s="19">
        <f>Table35[[#This Row],[Demand]]-Table35[[#This Row],[Total_Modeled_Demand]]</f>
        <v>0</v>
      </c>
    </row>
    <row r="87" spans="2:30" x14ac:dyDescent="0.3">
      <c r="B87" s="3" t="str">
        <f>Table3[[#This Row],[Fiscal_Year]]*100+Table3[[#This Row],[Fiscal_Week]] &amp; "-" &amp;Table3[[#This Row],[Brand]]</f>
        <v>202046-Old Navy</v>
      </c>
      <c r="C87" t="str">
        <f t="shared" si="1"/>
        <v>2020-Old Navy</v>
      </c>
      <c r="D87">
        <v>2020</v>
      </c>
      <c r="E87">
        <v>46</v>
      </c>
      <c r="F87" t="s">
        <v>20</v>
      </c>
      <c r="G87">
        <v>3174732</v>
      </c>
      <c r="H87" s="3">
        <f>INDEX(Demand_Modeling!$A$13:$I$49,MATCH(Table3[[#This Row],[Key]],Demand_Modeling!$A$13:$A$49,0),MATCH(Table3[[#Headers],[OFC]],Demand_Modeling!$A$13:$I$13,0))</f>
        <v>0.1</v>
      </c>
      <c r="I87" s="3">
        <f>INDEX(Demand_Modeling!$A$13:$I$49,MATCH(Table3[[#This Row],[Key]],Demand_Modeling!$A$13:$A$49,0),MATCH(Table3[[#Headers],[TFC]],Demand_Modeling!$A$13:$I$13,0))</f>
        <v>0.2</v>
      </c>
      <c r="J87" s="3">
        <f>INDEX(Demand_Modeling!$A$13:$I$49,MATCH(Table3[[#This Row],[Key]],Demand_Modeling!$A$13:$A$49,0),MATCH(Table3[[#Headers],[WFC]],Demand_Modeling!$A$13:$I$13,0))</f>
        <v>0.02</v>
      </c>
      <c r="K87" s="3">
        <f>INDEX(Demand_Modeling!$A$13:$I$49,MATCH(Table3[[#This Row],[Key]],Demand_Modeling!$A$13:$A$49,0),MATCH(Table3[[#Headers],[EAO]],Demand_Modeling!$A$13:$I$13,0))</f>
        <v>0.41</v>
      </c>
      <c r="L87" s="3">
        <f>INDEX(Demand_Modeling!$A$13:$I$49,MATCH(Table3[[#This Row],[Key]],Demand_Modeling!$A$13:$A$49,0),MATCH(Table3[[#Headers],[OCC]],Demand_Modeling!$A$13:$I$13,0))</f>
        <v>0</v>
      </c>
      <c r="M87" s="3">
        <f>INDEX(Demand_Modeling!$A$13:$I$49,MATCH(Table3[[#This Row],[Key]],Demand_Modeling!$A$13:$A$49,0),MATCH(Table3[[#Headers],[WEO]],Demand_Modeling!$A$13:$I$13,0))</f>
        <v>0.27</v>
      </c>
      <c r="N87" s="19">
        <f>SUM(Table3[[#This Row],[OFC]:[WEO]])</f>
        <v>1</v>
      </c>
      <c r="O87" s="19"/>
      <c r="Q87" s="3" t="str">
        <f>Table35[[#This Row],[Fiscal_Year]]*100+Table35[[#This Row],[Fiscal_Week]] &amp; "-" &amp;Table35[[#This Row],[Brand]]</f>
        <v>202046-Old Navy</v>
      </c>
      <c r="R87" t="str">
        <f>Table3[[#This Row],[Key]]</f>
        <v>2020-Old Navy</v>
      </c>
      <c r="S87">
        <f>Table3[[#This Row],[Fiscal_Year]]</f>
        <v>2020</v>
      </c>
      <c r="T87">
        <f>Table3[[#This Row],[Fiscal_Week]]</f>
        <v>46</v>
      </c>
      <c r="U87" t="str">
        <f>Table3[[#This Row],[Brand]]</f>
        <v>Old Navy</v>
      </c>
      <c r="V87">
        <f>Table3[[#This Row],[Demand]]</f>
        <v>3174732</v>
      </c>
      <c r="W87">
        <f>Table3[[#This Row],[OFC]]*Table3[[#This Row],[Demand]]</f>
        <v>317473.2</v>
      </c>
      <c r="X87">
        <f>Table3[[#This Row],[TFC]]*Table3[[#This Row],[Demand]]</f>
        <v>634946.4</v>
      </c>
      <c r="Y87">
        <f>Table3[[#This Row],[WFC]]*Table3[[#This Row],[Demand]]</f>
        <v>63494.64</v>
      </c>
      <c r="Z87">
        <f>Table3[[#This Row],[EAO]]*Table3[[#This Row],[Demand]]</f>
        <v>1301640.1199999999</v>
      </c>
      <c r="AA87">
        <f>Table3[[#This Row],[OCC]]*Table3[[#This Row],[Demand]]</f>
        <v>0</v>
      </c>
      <c r="AB87">
        <f>Table3[[#This Row],[WEO]]*Table3[[#This Row],[Demand]]</f>
        <v>857177.64</v>
      </c>
      <c r="AC87" s="19">
        <f>SUM(Table35[[#This Row],[OFC]:[WEO]])</f>
        <v>3174732</v>
      </c>
      <c r="AD87" s="19">
        <f>Table35[[#This Row],[Demand]]-Table35[[#This Row],[Total_Modeled_Demand]]</f>
        <v>0</v>
      </c>
    </row>
    <row r="88" spans="2:30" x14ac:dyDescent="0.3">
      <c r="B88" s="3" t="str">
        <f>Table3[[#This Row],[Fiscal_Year]]*100+Table3[[#This Row],[Fiscal_Week]] &amp; "-" &amp;Table3[[#This Row],[Brand]]</f>
        <v>202047-Athleta</v>
      </c>
      <c r="C88" t="str">
        <f t="shared" si="1"/>
        <v>2020-Athleta</v>
      </c>
      <c r="D88">
        <v>2020</v>
      </c>
      <c r="E88">
        <v>47</v>
      </c>
      <c r="F88" t="s">
        <v>19</v>
      </c>
      <c r="G88">
        <v>310358</v>
      </c>
      <c r="H88" s="3">
        <f>INDEX(Demand_Modeling!$A$13:$I$49,MATCH(Table3[[#This Row],[Key]],Demand_Modeling!$A$13:$A$49,0),MATCH(Table3[[#Headers],[OFC]],Demand_Modeling!$A$13:$I$13,0))</f>
        <v>0</v>
      </c>
      <c r="I88" s="3">
        <f>INDEX(Demand_Modeling!$A$13:$I$49,MATCH(Table3[[#This Row],[Key]],Demand_Modeling!$A$13:$A$49,0),MATCH(Table3[[#Headers],[TFC]],Demand_Modeling!$A$13:$I$13,0))</f>
        <v>1</v>
      </c>
      <c r="J88" s="3">
        <f>INDEX(Demand_Modeling!$A$13:$I$49,MATCH(Table3[[#This Row],[Key]],Demand_Modeling!$A$13:$A$49,0),MATCH(Table3[[#Headers],[WFC]],Demand_Modeling!$A$13:$I$13,0))</f>
        <v>0</v>
      </c>
      <c r="K88" s="3">
        <f>INDEX(Demand_Modeling!$A$13:$I$49,MATCH(Table3[[#This Row],[Key]],Demand_Modeling!$A$13:$A$49,0),MATCH(Table3[[#Headers],[EAO]],Demand_Modeling!$A$13:$I$13,0))</f>
        <v>3.447122356821831E-5</v>
      </c>
      <c r="L88" s="3">
        <f>INDEX(Demand_Modeling!$A$13:$I$49,MATCH(Table3[[#This Row],[Key]],Demand_Modeling!$A$13:$A$49,0),MATCH(Table3[[#Headers],[OCC]],Demand_Modeling!$A$13:$I$13,0))</f>
        <v>0</v>
      </c>
      <c r="M88" s="3">
        <f>INDEX(Demand_Modeling!$A$13:$I$49,MATCH(Table3[[#This Row],[Key]],Demand_Modeling!$A$13:$A$49,0),MATCH(Table3[[#Headers],[WEO]],Demand_Modeling!$A$13:$I$13,0))</f>
        <v>0</v>
      </c>
      <c r="N88" s="19">
        <f>SUM(Table3[[#This Row],[OFC]:[WEO]])</f>
        <v>1.0000344712235683</v>
      </c>
      <c r="O88" s="19"/>
      <c r="Q88" s="3" t="str">
        <f>Table35[[#This Row],[Fiscal_Year]]*100+Table35[[#This Row],[Fiscal_Week]] &amp; "-" &amp;Table35[[#This Row],[Brand]]</f>
        <v>202047-Athleta</v>
      </c>
      <c r="R88" t="str">
        <f>Table3[[#This Row],[Key]]</f>
        <v>2020-Athleta</v>
      </c>
      <c r="S88">
        <f>Table3[[#This Row],[Fiscal_Year]]</f>
        <v>2020</v>
      </c>
      <c r="T88">
        <f>Table3[[#This Row],[Fiscal_Week]]</f>
        <v>47</v>
      </c>
      <c r="U88" t="str">
        <f>Table3[[#This Row],[Brand]]</f>
        <v>Athleta</v>
      </c>
      <c r="V88">
        <f>Table3[[#This Row],[Demand]]</f>
        <v>310358</v>
      </c>
      <c r="W88">
        <f>Table3[[#This Row],[OFC]]*Table3[[#This Row],[Demand]]</f>
        <v>0</v>
      </c>
      <c r="X88">
        <f>Table3[[#This Row],[TFC]]*Table3[[#This Row],[Demand]]</f>
        <v>310358</v>
      </c>
      <c r="Y88">
        <f>Table3[[#This Row],[WFC]]*Table3[[#This Row],[Demand]]</f>
        <v>0</v>
      </c>
      <c r="Z88">
        <f>Table3[[#This Row],[EAO]]*Table3[[#This Row],[Demand]]</f>
        <v>10.698420004185099</v>
      </c>
      <c r="AA88">
        <f>Table3[[#This Row],[OCC]]*Table3[[#This Row],[Demand]]</f>
        <v>0</v>
      </c>
      <c r="AB88">
        <f>Table3[[#This Row],[WEO]]*Table3[[#This Row],[Demand]]</f>
        <v>0</v>
      </c>
      <c r="AC88" s="19">
        <f>SUM(Table35[[#This Row],[OFC]:[WEO]])</f>
        <v>310368.69842000416</v>
      </c>
      <c r="AD88" s="19">
        <f>Table35[[#This Row],[Demand]]-Table35[[#This Row],[Total_Modeled_Demand]]</f>
        <v>-10.698420004162472</v>
      </c>
    </row>
    <row r="89" spans="2:30" x14ac:dyDescent="0.3">
      <c r="B89" s="3" t="str">
        <f>Table3[[#This Row],[Fiscal_Year]]*100+Table3[[#This Row],[Fiscal_Week]] &amp; "-" &amp;Table3[[#This Row],[Brand]]</f>
        <v>202047-Banana Republic</v>
      </c>
      <c r="C89" t="str">
        <f t="shared" si="1"/>
        <v>2020-Banana Republic</v>
      </c>
      <c r="D89">
        <v>2020</v>
      </c>
      <c r="E89">
        <v>47</v>
      </c>
      <c r="F89" t="s">
        <v>18</v>
      </c>
      <c r="G89">
        <v>273714</v>
      </c>
      <c r="H89" s="3">
        <f>INDEX(Demand_Modeling!$A$13:$I$49,MATCH(Table3[[#This Row],[Key]],Demand_Modeling!$A$13:$A$49,0),MATCH(Table3[[#Headers],[OFC]],Demand_Modeling!$A$13:$I$13,0))</f>
        <v>0</v>
      </c>
      <c r="I89" s="3">
        <f>INDEX(Demand_Modeling!$A$13:$I$49,MATCH(Table3[[#This Row],[Key]],Demand_Modeling!$A$13:$A$49,0),MATCH(Table3[[#Headers],[TFC]],Demand_Modeling!$A$13:$I$13,0))</f>
        <v>1</v>
      </c>
      <c r="J89" s="3">
        <f>INDEX(Demand_Modeling!$A$13:$I$49,MATCH(Table3[[#This Row],[Key]],Demand_Modeling!$A$13:$A$49,0),MATCH(Table3[[#Headers],[WFC]],Demand_Modeling!$A$13:$I$13,0))</f>
        <v>3.4959629396853166E-6</v>
      </c>
      <c r="K89" s="3">
        <f>INDEX(Demand_Modeling!$A$13:$I$49,MATCH(Table3[[#This Row],[Key]],Demand_Modeling!$A$13:$A$49,0),MATCH(Table3[[#Headers],[EAO]],Demand_Modeling!$A$13:$I$13,0))</f>
        <v>4.2339995602855504E-5</v>
      </c>
      <c r="L89" s="3">
        <f>INDEX(Demand_Modeling!$A$13:$I$49,MATCH(Table3[[#This Row],[Key]],Demand_Modeling!$A$13:$A$49,0),MATCH(Table3[[#Headers],[OCC]],Demand_Modeling!$A$13:$I$13,0))</f>
        <v>0</v>
      </c>
      <c r="M89" s="3">
        <f>INDEX(Demand_Modeling!$A$13:$I$49,MATCH(Table3[[#This Row],[Key]],Demand_Modeling!$A$13:$A$49,0),MATCH(Table3[[#Headers],[WEO]],Demand_Modeling!$A$13:$I$13,0))</f>
        <v>0</v>
      </c>
      <c r="N89" s="19">
        <f>SUM(Table3[[#This Row],[OFC]:[WEO]])</f>
        <v>1.0000458359585425</v>
      </c>
      <c r="O89" s="19"/>
      <c r="Q89" s="3" t="str">
        <f>Table35[[#This Row],[Fiscal_Year]]*100+Table35[[#This Row],[Fiscal_Week]] &amp; "-" &amp;Table35[[#This Row],[Brand]]</f>
        <v>202047-Banana Republic</v>
      </c>
      <c r="R89" t="str">
        <f>Table3[[#This Row],[Key]]</f>
        <v>2020-Banana Republic</v>
      </c>
      <c r="S89">
        <f>Table3[[#This Row],[Fiscal_Year]]</f>
        <v>2020</v>
      </c>
      <c r="T89">
        <f>Table3[[#This Row],[Fiscal_Week]]</f>
        <v>47</v>
      </c>
      <c r="U89" t="str">
        <f>Table3[[#This Row],[Brand]]</f>
        <v>Banana Republic</v>
      </c>
      <c r="V89">
        <f>Table3[[#This Row],[Demand]]</f>
        <v>273714</v>
      </c>
      <c r="W89">
        <f>Table3[[#This Row],[OFC]]*Table3[[#This Row],[Demand]]</f>
        <v>0</v>
      </c>
      <c r="X89">
        <f>Table3[[#This Row],[TFC]]*Table3[[#This Row],[Demand]]</f>
        <v>273714</v>
      </c>
      <c r="Y89">
        <f>Table3[[#This Row],[WFC]]*Table3[[#This Row],[Demand]]</f>
        <v>0.95689400007302672</v>
      </c>
      <c r="Z89">
        <f>Table3[[#This Row],[EAO]]*Table3[[#This Row],[Demand]]</f>
        <v>11.589049556439992</v>
      </c>
      <c r="AA89">
        <f>Table3[[#This Row],[OCC]]*Table3[[#This Row],[Demand]]</f>
        <v>0</v>
      </c>
      <c r="AB89">
        <f>Table3[[#This Row],[WEO]]*Table3[[#This Row],[Demand]]</f>
        <v>0</v>
      </c>
      <c r="AC89" s="19">
        <f>SUM(Table35[[#This Row],[OFC]:[WEO]])</f>
        <v>273726.54594355653</v>
      </c>
      <c r="AD89" s="19">
        <f>Table35[[#This Row],[Demand]]-Table35[[#This Row],[Total_Modeled_Demand]]</f>
        <v>-12.545943556528073</v>
      </c>
    </row>
    <row r="90" spans="2:30" x14ac:dyDescent="0.3">
      <c r="B90" s="3" t="str">
        <f>Table3[[#This Row],[Fiscal_Year]]*100+Table3[[#This Row],[Fiscal_Week]] &amp; "-" &amp;Table3[[#This Row],[Brand]]</f>
        <v>202047-BR Factory Store</v>
      </c>
      <c r="C90" t="str">
        <f t="shared" si="1"/>
        <v>2020-BR Factory Store</v>
      </c>
      <c r="D90">
        <v>2020</v>
      </c>
      <c r="E90">
        <v>47</v>
      </c>
      <c r="F90" t="s">
        <v>17</v>
      </c>
      <c r="G90">
        <v>131208</v>
      </c>
      <c r="H90" s="3">
        <f>INDEX(Demand_Modeling!$A$13:$I$49,MATCH(Table3[[#This Row],[Key]],Demand_Modeling!$A$13:$A$49,0),MATCH(Table3[[#Headers],[OFC]],Demand_Modeling!$A$13:$I$13,0))</f>
        <v>1</v>
      </c>
      <c r="I90" s="3">
        <f>INDEX(Demand_Modeling!$A$13:$I$49,MATCH(Table3[[#This Row],[Key]],Demand_Modeling!$A$13:$A$49,0),MATCH(Table3[[#Headers],[TFC]],Demand_Modeling!$A$13:$I$13,0))</f>
        <v>0</v>
      </c>
      <c r="J90" s="3">
        <f>INDEX(Demand_Modeling!$A$13:$I$49,MATCH(Table3[[#This Row],[Key]],Demand_Modeling!$A$13:$A$49,0),MATCH(Table3[[#Headers],[WFC]],Demand_Modeling!$A$13:$I$13,0))</f>
        <v>0</v>
      </c>
      <c r="K90" s="3">
        <f>INDEX(Demand_Modeling!$A$13:$I$49,MATCH(Table3[[#This Row],[Key]],Demand_Modeling!$A$13:$A$49,0),MATCH(Table3[[#Headers],[EAO]],Demand_Modeling!$A$13:$I$13,0))</f>
        <v>0</v>
      </c>
      <c r="L90" s="3">
        <f>INDEX(Demand_Modeling!$A$13:$I$49,MATCH(Table3[[#This Row],[Key]],Demand_Modeling!$A$13:$A$49,0),MATCH(Table3[[#Headers],[OCC]],Demand_Modeling!$A$13:$I$13,0))</f>
        <v>0</v>
      </c>
      <c r="M90" s="3">
        <f>INDEX(Demand_Modeling!$A$13:$I$49,MATCH(Table3[[#This Row],[Key]],Demand_Modeling!$A$13:$A$49,0),MATCH(Table3[[#Headers],[WEO]],Demand_Modeling!$A$13:$I$13,0))</f>
        <v>0</v>
      </c>
      <c r="N90" s="19">
        <f>SUM(Table3[[#This Row],[OFC]:[WEO]])</f>
        <v>1</v>
      </c>
      <c r="O90" s="19"/>
      <c r="Q90" s="3" t="str">
        <f>Table35[[#This Row],[Fiscal_Year]]*100+Table35[[#This Row],[Fiscal_Week]] &amp; "-" &amp;Table35[[#This Row],[Brand]]</f>
        <v>202047-BR Factory Store</v>
      </c>
      <c r="R90" t="str">
        <f>Table3[[#This Row],[Key]]</f>
        <v>2020-BR Factory Store</v>
      </c>
      <c r="S90">
        <f>Table3[[#This Row],[Fiscal_Year]]</f>
        <v>2020</v>
      </c>
      <c r="T90">
        <f>Table3[[#This Row],[Fiscal_Week]]</f>
        <v>47</v>
      </c>
      <c r="U90" t="str">
        <f>Table3[[#This Row],[Brand]]</f>
        <v>BR Factory Store</v>
      </c>
      <c r="V90">
        <f>Table3[[#This Row],[Demand]]</f>
        <v>131208</v>
      </c>
      <c r="W90">
        <f>Table3[[#This Row],[OFC]]*Table3[[#This Row],[Demand]]</f>
        <v>131208</v>
      </c>
      <c r="X90">
        <f>Table3[[#This Row],[TFC]]*Table3[[#This Row],[Demand]]</f>
        <v>0</v>
      </c>
      <c r="Y90">
        <f>Table3[[#This Row],[WFC]]*Table3[[#This Row],[Demand]]</f>
        <v>0</v>
      </c>
      <c r="Z90">
        <f>Table3[[#This Row],[EAO]]*Table3[[#This Row],[Demand]]</f>
        <v>0</v>
      </c>
      <c r="AA90">
        <f>Table3[[#This Row],[OCC]]*Table3[[#This Row],[Demand]]</f>
        <v>0</v>
      </c>
      <c r="AB90">
        <f>Table3[[#This Row],[WEO]]*Table3[[#This Row],[Demand]]</f>
        <v>0</v>
      </c>
      <c r="AC90" s="19">
        <f>SUM(Table35[[#This Row],[OFC]:[WEO]])</f>
        <v>131208</v>
      </c>
      <c r="AD90" s="19">
        <f>Table35[[#This Row],[Demand]]-Table35[[#This Row],[Total_Modeled_Demand]]</f>
        <v>0</v>
      </c>
    </row>
    <row r="91" spans="2:30" x14ac:dyDescent="0.3">
      <c r="B91" s="3" t="str">
        <f>Table3[[#This Row],[Fiscal_Year]]*100+Table3[[#This Row],[Fiscal_Week]] &amp; "-" &amp;Table3[[#This Row],[Brand]]</f>
        <v>202047-Gap</v>
      </c>
      <c r="C91" t="str">
        <f t="shared" si="1"/>
        <v>2020-Gap</v>
      </c>
      <c r="D91">
        <v>2020</v>
      </c>
      <c r="E91">
        <v>47</v>
      </c>
      <c r="F91" t="s">
        <v>16</v>
      </c>
      <c r="G91">
        <v>1006179</v>
      </c>
      <c r="H91" s="3">
        <f>INDEX(Demand_Modeling!$A$13:$I$49,MATCH(Table3[[#This Row],[Key]],Demand_Modeling!$A$13:$A$49,0),MATCH(Table3[[#Headers],[OFC]],Demand_Modeling!$A$13:$I$13,0))</f>
        <v>0.25</v>
      </c>
      <c r="I91" s="3">
        <f>INDEX(Demand_Modeling!$A$13:$I$49,MATCH(Table3[[#This Row],[Key]],Demand_Modeling!$A$13:$A$49,0),MATCH(Table3[[#Headers],[TFC]],Demand_Modeling!$A$13:$I$13,0))</f>
        <v>0.2</v>
      </c>
      <c r="J91" s="3">
        <f>INDEX(Demand_Modeling!$A$13:$I$49,MATCH(Table3[[#This Row],[Key]],Demand_Modeling!$A$13:$A$49,0),MATCH(Table3[[#Headers],[WFC]],Demand_Modeling!$A$13:$I$13,0))</f>
        <v>0.15</v>
      </c>
      <c r="K91" s="3">
        <f>INDEX(Demand_Modeling!$A$13:$I$49,MATCH(Table3[[#This Row],[Key]],Demand_Modeling!$A$13:$A$49,0),MATCH(Table3[[#Headers],[EAO]],Demand_Modeling!$A$13:$I$13,0))</f>
        <v>0</v>
      </c>
      <c r="L91" s="3">
        <f>INDEX(Demand_Modeling!$A$13:$I$49,MATCH(Table3[[#This Row],[Key]],Demand_Modeling!$A$13:$A$49,0),MATCH(Table3[[#Headers],[OCC]],Demand_Modeling!$A$13:$I$13,0))</f>
        <v>0</v>
      </c>
      <c r="M91" s="3">
        <f>INDEX(Demand_Modeling!$A$13:$I$49,MATCH(Table3[[#This Row],[Key]],Demand_Modeling!$A$13:$A$49,0),MATCH(Table3[[#Headers],[WEO]],Demand_Modeling!$A$13:$I$13,0))</f>
        <v>0.4</v>
      </c>
      <c r="N91" s="19">
        <f>SUM(Table3[[#This Row],[OFC]:[WEO]])</f>
        <v>1</v>
      </c>
      <c r="O91" s="19"/>
      <c r="Q91" s="3" t="str">
        <f>Table35[[#This Row],[Fiscal_Year]]*100+Table35[[#This Row],[Fiscal_Week]] &amp; "-" &amp;Table35[[#This Row],[Brand]]</f>
        <v>202047-Gap</v>
      </c>
      <c r="R91" t="str">
        <f>Table3[[#This Row],[Key]]</f>
        <v>2020-Gap</v>
      </c>
      <c r="S91">
        <f>Table3[[#This Row],[Fiscal_Year]]</f>
        <v>2020</v>
      </c>
      <c r="T91">
        <f>Table3[[#This Row],[Fiscal_Week]]</f>
        <v>47</v>
      </c>
      <c r="U91" t="str">
        <f>Table3[[#This Row],[Brand]]</f>
        <v>Gap</v>
      </c>
      <c r="V91">
        <f>Table3[[#This Row],[Demand]]</f>
        <v>1006179</v>
      </c>
      <c r="W91">
        <f>Table3[[#This Row],[OFC]]*Table3[[#This Row],[Demand]]</f>
        <v>251544.75</v>
      </c>
      <c r="X91">
        <f>Table3[[#This Row],[TFC]]*Table3[[#This Row],[Demand]]</f>
        <v>201235.80000000002</v>
      </c>
      <c r="Y91">
        <f>Table3[[#This Row],[WFC]]*Table3[[#This Row],[Demand]]</f>
        <v>150926.85</v>
      </c>
      <c r="Z91">
        <f>Table3[[#This Row],[EAO]]*Table3[[#This Row],[Demand]]</f>
        <v>0</v>
      </c>
      <c r="AA91">
        <f>Table3[[#This Row],[OCC]]*Table3[[#This Row],[Demand]]</f>
        <v>0</v>
      </c>
      <c r="AB91">
        <f>Table3[[#This Row],[WEO]]*Table3[[#This Row],[Demand]]</f>
        <v>402471.60000000003</v>
      </c>
      <c r="AC91" s="19">
        <f>SUM(Table35[[#This Row],[OFC]:[WEO]])</f>
        <v>1006179</v>
      </c>
      <c r="AD91" s="19">
        <f>Table35[[#This Row],[Demand]]-Table35[[#This Row],[Total_Modeled_Demand]]</f>
        <v>0</v>
      </c>
    </row>
    <row r="92" spans="2:30" x14ac:dyDescent="0.3">
      <c r="B92" s="3" t="str">
        <f>Table3[[#This Row],[Fiscal_Year]]*100+Table3[[#This Row],[Fiscal_Week]] &amp; "-" &amp;Table3[[#This Row],[Brand]]</f>
        <v>202047-Gap Factory Store</v>
      </c>
      <c r="C92" t="str">
        <f t="shared" si="1"/>
        <v>2020-Gap Factory Store</v>
      </c>
      <c r="D92">
        <v>2020</v>
      </c>
      <c r="E92">
        <v>47</v>
      </c>
      <c r="F92" t="s">
        <v>22</v>
      </c>
      <c r="G92">
        <v>269785</v>
      </c>
      <c r="H92" s="3">
        <f>INDEX(Demand_Modeling!$A$13:$I$49,MATCH(Table3[[#This Row],[Key]],Demand_Modeling!$A$13:$A$49,0),MATCH(Table3[[#Headers],[OFC]],Demand_Modeling!$A$13:$I$13,0))</f>
        <v>1</v>
      </c>
      <c r="I92" s="3">
        <f>INDEX(Demand_Modeling!$A$13:$I$49,MATCH(Table3[[#This Row],[Key]],Demand_Modeling!$A$13:$A$49,0),MATCH(Table3[[#Headers],[TFC]],Demand_Modeling!$A$13:$I$13,0))</f>
        <v>0</v>
      </c>
      <c r="J92" s="3">
        <f>INDEX(Demand_Modeling!$A$13:$I$49,MATCH(Table3[[#This Row],[Key]],Demand_Modeling!$A$13:$A$49,0),MATCH(Table3[[#Headers],[WFC]],Demand_Modeling!$A$13:$I$13,0))</f>
        <v>0</v>
      </c>
      <c r="K92" s="3">
        <f>INDEX(Demand_Modeling!$A$13:$I$49,MATCH(Table3[[#This Row],[Key]],Demand_Modeling!$A$13:$A$49,0),MATCH(Table3[[#Headers],[EAO]],Demand_Modeling!$A$13:$I$13,0))</f>
        <v>0</v>
      </c>
      <c r="L92" s="3">
        <f>INDEX(Demand_Modeling!$A$13:$I$49,MATCH(Table3[[#This Row],[Key]],Demand_Modeling!$A$13:$A$49,0),MATCH(Table3[[#Headers],[OCC]],Demand_Modeling!$A$13:$I$13,0))</f>
        <v>0</v>
      </c>
      <c r="M92" s="3">
        <f>INDEX(Demand_Modeling!$A$13:$I$49,MATCH(Table3[[#This Row],[Key]],Demand_Modeling!$A$13:$A$49,0),MATCH(Table3[[#Headers],[WEO]],Demand_Modeling!$A$13:$I$13,0))</f>
        <v>0</v>
      </c>
      <c r="N92" s="19">
        <f>SUM(Table3[[#This Row],[OFC]:[WEO]])</f>
        <v>1</v>
      </c>
      <c r="O92" s="19"/>
      <c r="Q92" s="3" t="str">
        <f>Table35[[#This Row],[Fiscal_Year]]*100+Table35[[#This Row],[Fiscal_Week]] &amp; "-" &amp;Table35[[#This Row],[Brand]]</f>
        <v>202047-Gap Factory Store</v>
      </c>
      <c r="R92" t="str">
        <f>Table3[[#This Row],[Key]]</f>
        <v>2020-Gap Factory Store</v>
      </c>
      <c r="S92">
        <f>Table3[[#This Row],[Fiscal_Year]]</f>
        <v>2020</v>
      </c>
      <c r="T92">
        <f>Table3[[#This Row],[Fiscal_Week]]</f>
        <v>47</v>
      </c>
      <c r="U92" t="str">
        <f>Table3[[#This Row],[Brand]]</f>
        <v>Gap Factory Store</v>
      </c>
      <c r="V92">
        <f>Table3[[#This Row],[Demand]]</f>
        <v>269785</v>
      </c>
      <c r="W92">
        <f>Table3[[#This Row],[OFC]]*Table3[[#This Row],[Demand]]</f>
        <v>269785</v>
      </c>
      <c r="X92">
        <f>Table3[[#This Row],[TFC]]*Table3[[#This Row],[Demand]]</f>
        <v>0</v>
      </c>
      <c r="Y92">
        <f>Table3[[#This Row],[WFC]]*Table3[[#This Row],[Demand]]</f>
        <v>0</v>
      </c>
      <c r="Z92">
        <f>Table3[[#This Row],[EAO]]*Table3[[#This Row],[Demand]]</f>
        <v>0</v>
      </c>
      <c r="AA92">
        <f>Table3[[#This Row],[OCC]]*Table3[[#This Row],[Demand]]</f>
        <v>0</v>
      </c>
      <c r="AB92">
        <f>Table3[[#This Row],[WEO]]*Table3[[#This Row],[Demand]]</f>
        <v>0</v>
      </c>
      <c r="AC92" s="19">
        <f>SUM(Table35[[#This Row],[OFC]:[WEO]])</f>
        <v>269785</v>
      </c>
      <c r="AD92" s="19">
        <f>Table35[[#This Row],[Demand]]-Table35[[#This Row],[Total_Modeled_Demand]]</f>
        <v>0</v>
      </c>
    </row>
    <row r="93" spans="2:30" x14ac:dyDescent="0.3">
      <c r="B93" s="3" t="str">
        <f>Table3[[#This Row],[Fiscal_Year]]*100+Table3[[#This Row],[Fiscal_Week]] &amp; "-" &amp;Table3[[#This Row],[Brand]]</f>
        <v>202047-Old Navy</v>
      </c>
      <c r="C93" t="str">
        <f t="shared" si="1"/>
        <v>2020-Old Navy</v>
      </c>
      <c r="D93">
        <v>2020</v>
      </c>
      <c r="E93">
        <v>47</v>
      </c>
      <c r="F93" t="s">
        <v>20</v>
      </c>
      <c r="G93">
        <v>1684709</v>
      </c>
      <c r="H93" s="3">
        <f>INDEX(Demand_Modeling!$A$13:$I$49,MATCH(Table3[[#This Row],[Key]],Demand_Modeling!$A$13:$A$49,0),MATCH(Table3[[#Headers],[OFC]],Demand_Modeling!$A$13:$I$13,0))</f>
        <v>0.1</v>
      </c>
      <c r="I93" s="3">
        <f>INDEX(Demand_Modeling!$A$13:$I$49,MATCH(Table3[[#This Row],[Key]],Demand_Modeling!$A$13:$A$49,0),MATCH(Table3[[#Headers],[TFC]],Demand_Modeling!$A$13:$I$13,0))</f>
        <v>0.2</v>
      </c>
      <c r="J93" s="3">
        <f>INDEX(Demand_Modeling!$A$13:$I$49,MATCH(Table3[[#This Row],[Key]],Demand_Modeling!$A$13:$A$49,0),MATCH(Table3[[#Headers],[WFC]],Demand_Modeling!$A$13:$I$13,0))</f>
        <v>0.02</v>
      </c>
      <c r="K93" s="3">
        <f>INDEX(Demand_Modeling!$A$13:$I$49,MATCH(Table3[[#This Row],[Key]],Demand_Modeling!$A$13:$A$49,0),MATCH(Table3[[#Headers],[EAO]],Demand_Modeling!$A$13:$I$13,0))</f>
        <v>0.41</v>
      </c>
      <c r="L93" s="3">
        <f>INDEX(Demand_Modeling!$A$13:$I$49,MATCH(Table3[[#This Row],[Key]],Demand_Modeling!$A$13:$A$49,0),MATCH(Table3[[#Headers],[OCC]],Demand_Modeling!$A$13:$I$13,0))</f>
        <v>0</v>
      </c>
      <c r="M93" s="3">
        <f>INDEX(Demand_Modeling!$A$13:$I$49,MATCH(Table3[[#This Row],[Key]],Demand_Modeling!$A$13:$A$49,0),MATCH(Table3[[#Headers],[WEO]],Demand_Modeling!$A$13:$I$13,0))</f>
        <v>0.27</v>
      </c>
      <c r="N93" s="19">
        <f>SUM(Table3[[#This Row],[OFC]:[WEO]])</f>
        <v>1</v>
      </c>
      <c r="O93" s="19"/>
      <c r="Q93" s="3" t="str">
        <f>Table35[[#This Row],[Fiscal_Year]]*100+Table35[[#This Row],[Fiscal_Week]] &amp; "-" &amp;Table35[[#This Row],[Brand]]</f>
        <v>202047-Old Navy</v>
      </c>
      <c r="R93" t="str">
        <f>Table3[[#This Row],[Key]]</f>
        <v>2020-Old Navy</v>
      </c>
      <c r="S93">
        <f>Table3[[#This Row],[Fiscal_Year]]</f>
        <v>2020</v>
      </c>
      <c r="T93">
        <f>Table3[[#This Row],[Fiscal_Week]]</f>
        <v>47</v>
      </c>
      <c r="U93" t="str">
        <f>Table3[[#This Row],[Brand]]</f>
        <v>Old Navy</v>
      </c>
      <c r="V93">
        <f>Table3[[#This Row],[Demand]]</f>
        <v>1684709</v>
      </c>
      <c r="W93">
        <f>Table3[[#This Row],[OFC]]*Table3[[#This Row],[Demand]]</f>
        <v>168470.90000000002</v>
      </c>
      <c r="X93">
        <f>Table3[[#This Row],[TFC]]*Table3[[#This Row],[Demand]]</f>
        <v>336941.80000000005</v>
      </c>
      <c r="Y93">
        <f>Table3[[#This Row],[WFC]]*Table3[[#This Row],[Demand]]</f>
        <v>33694.18</v>
      </c>
      <c r="Z93">
        <f>Table3[[#This Row],[EAO]]*Table3[[#This Row],[Demand]]</f>
        <v>690730.69</v>
      </c>
      <c r="AA93">
        <f>Table3[[#This Row],[OCC]]*Table3[[#This Row],[Demand]]</f>
        <v>0</v>
      </c>
      <c r="AB93">
        <f>Table3[[#This Row],[WEO]]*Table3[[#This Row],[Demand]]</f>
        <v>454871.43000000005</v>
      </c>
      <c r="AC93" s="19">
        <f>SUM(Table35[[#This Row],[OFC]:[WEO]])</f>
        <v>1684709</v>
      </c>
      <c r="AD93" s="19">
        <f>Table35[[#This Row],[Demand]]-Table35[[#This Row],[Total_Modeled_Demand]]</f>
        <v>0</v>
      </c>
    </row>
    <row r="94" spans="2:30" x14ac:dyDescent="0.3">
      <c r="B94" s="3" t="str">
        <f>Table3[[#This Row],[Fiscal_Year]]*100+Table3[[#This Row],[Fiscal_Week]] &amp; "-" &amp;Table3[[#This Row],[Brand]]</f>
        <v>202143-Athleta</v>
      </c>
      <c r="C94" t="str">
        <f t="shared" si="1"/>
        <v>2021-Athleta</v>
      </c>
      <c r="D94">
        <v>2021</v>
      </c>
      <c r="E94">
        <v>43</v>
      </c>
      <c r="F94" t="s">
        <v>19</v>
      </c>
      <c r="G94">
        <v>594338</v>
      </c>
      <c r="H94" s="3">
        <f>INDEX(Demand_Modeling!$A$13:$I$49,MATCH(Table3[[#This Row],[Key]],Demand_Modeling!$A$13:$A$49,0),MATCH(Table3[[#Headers],[OFC]],Demand_Modeling!$A$13:$I$13,0))</f>
        <v>0</v>
      </c>
      <c r="I94" s="3">
        <f>INDEX(Demand_Modeling!$A$13:$I$49,MATCH(Table3[[#This Row],[Key]],Demand_Modeling!$A$13:$A$49,0),MATCH(Table3[[#Headers],[TFC]],Demand_Modeling!$A$13:$I$13,0))</f>
        <v>1</v>
      </c>
      <c r="J94" s="3">
        <f>INDEX(Demand_Modeling!$A$13:$I$49,MATCH(Table3[[#This Row],[Key]],Demand_Modeling!$A$13:$A$49,0),MATCH(Table3[[#Headers],[WFC]],Demand_Modeling!$A$13:$I$13,0))</f>
        <v>0</v>
      </c>
      <c r="K94" s="3">
        <f>INDEX(Demand_Modeling!$A$13:$I$49,MATCH(Table3[[#This Row],[Key]],Demand_Modeling!$A$13:$A$49,0),MATCH(Table3[[#Headers],[EAO]],Demand_Modeling!$A$13:$I$13,0))</f>
        <v>3.447122356821831E-5</v>
      </c>
      <c r="L94" s="3">
        <f>INDEX(Demand_Modeling!$A$13:$I$49,MATCH(Table3[[#This Row],[Key]],Demand_Modeling!$A$13:$A$49,0),MATCH(Table3[[#Headers],[OCC]],Demand_Modeling!$A$13:$I$13,0))</f>
        <v>0</v>
      </c>
      <c r="M94" s="3">
        <f>INDEX(Demand_Modeling!$A$13:$I$49,MATCH(Table3[[#This Row],[Key]],Demand_Modeling!$A$13:$A$49,0),MATCH(Table3[[#Headers],[WEO]],Demand_Modeling!$A$13:$I$13,0))</f>
        <v>0</v>
      </c>
      <c r="N94" s="19">
        <f>SUM(Table3[[#This Row],[OFC]:[WEO]])</f>
        <v>1.0000344712235683</v>
      </c>
      <c r="O94" s="19"/>
      <c r="Q94" s="3" t="str">
        <f>Table35[[#This Row],[Fiscal_Year]]*100+Table35[[#This Row],[Fiscal_Week]] &amp; "-" &amp;Table35[[#This Row],[Brand]]</f>
        <v>202143-Athleta</v>
      </c>
      <c r="R94" t="str">
        <f>Table3[[#This Row],[Key]]</f>
        <v>2021-Athleta</v>
      </c>
      <c r="S94">
        <f>Table3[[#This Row],[Fiscal_Year]]</f>
        <v>2021</v>
      </c>
      <c r="T94">
        <f>Table3[[#This Row],[Fiscal_Week]]</f>
        <v>43</v>
      </c>
      <c r="U94" t="str">
        <f>Table3[[#This Row],[Brand]]</f>
        <v>Athleta</v>
      </c>
      <c r="V94">
        <f>Table3[[#This Row],[Demand]]</f>
        <v>594338</v>
      </c>
      <c r="W94">
        <f>Table3[[#This Row],[OFC]]*Table3[[#This Row],[Demand]]</f>
        <v>0</v>
      </c>
      <c r="X94">
        <f>Table3[[#This Row],[TFC]]*Table3[[#This Row],[Demand]]</f>
        <v>594338</v>
      </c>
      <c r="Y94">
        <f>Table3[[#This Row],[WFC]]*Table3[[#This Row],[Demand]]</f>
        <v>0</v>
      </c>
      <c r="Z94">
        <f>Table3[[#This Row],[EAO]]*Table3[[#This Row],[Demand]]</f>
        <v>20.487558073087733</v>
      </c>
      <c r="AA94">
        <f>Table3[[#This Row],[OCC]]*Table3[[#This Row],[Demand]]</f>
        <v>0</v>
      </c>
      <c r="AB94">
        <f>Table3[[#This Row],[WEO]]*Table3[[#This Row],[Demand]]</f>
        <v>0</v>
      </c>
      <c r="AC94" s="19">
        <f>SUM(Table35[[#This Row],[OFC]:[WEO]])</f>
        <v>594358.48755807313</v>
      </c>
      <c r="AD94" s="19">
        <f>Table35[[#This Row],[Demand]]-Table35[[#This Row],[Total_Modeled_Demand]]</f>
        <v>-20.487558073131368</v>
      </c>
    </row>
    <row r="95" spans="2:30" x14ac:dyDescent="0.3">
      <c r="B95" s="3" t="str">
        <f>Table3[[#This Row],[Fiscal_Year]]*100+Table3[[#This Row],[Fiscal_Week]] &amp; "-" &amp;Table3[[#This Row],[Brand]]</f>
        <v>202143-Banana Republic</v>
      </c>
      <c r="C95" t="str">
        <f t="shared" si="1"/>
        <v>2021-Banana Republic</v>
      </c>
      <c r="D95">
        <v>2021</v>
      </c>
      <c r="E95">
        <v>43</v>
      </c>
      <c r="F95" t="s">
        <v>18</v>
      </c>
      <c r="G95">
        <v>892617</v>
      </c>
      <c r="H95" s="3">
        <f>INDEX(Demand_Modeling!$A$13:$I$49,MATCH(Table3[[#This Row],[Key]],Demand_Modeling!$A$13:$A$49,0),MATCH(Table3[[#Headers],[OFC]],Demand_Modeling!$A$13:$I$13,0))</f>
        <v>0</v>
      </c>
      <c r="I95" s="3">
        <f>INDEX(Demand_Modeling!$A$13:$I$49,MATCH(Table3[[#This Row],[Key]],Demand_Modeling!$A$13:$A$49,0),MATCH(Table3[[#Headers],[TFC]],Demand_Modeling!$A$13:$I$13,0))</f>
        <v>1</v>
      </c>
      <c r="J95" s="3">
        <f>INDEX(Demand_Modeling!$A$13:$I$49,MATCH(Table3[[#This Row],[Key]],Demand_Modeling!$A$13:$A$49,0),MATCH(Table3[[#Headers],[WFC]],Demand_Modeling!$A$13:$I$13,0))</f>
        <v>3.4959629396853166E-6</v>
      </c>
      <c r="K95" s="3">
        <f>INDEX(Demand_Modeling!$A$13:$I$49,MATCH(Table3[[#This Row],[Key]],Demand_Modeling!$A$13:$A$49,0),MATCH(Table3[[#Headers],[EAO]],Demand_Modeling!$A$13:$I$13,0))</f>
        <v>4.2339995602855504E-5</v>
      </c>
      <c r="L95" s="3">
        <f>INDEX(Demand_Modeling!$A$13:$I$49,MATCH(Table3[[#This Row],[Key]],Demand_Modeling!$A$13:$A$49,0),MATCH(Table3[[#Headers],[OCC]],Demand_Modeling!$A$13:$I$13,0))</f>
        <v>0</v>
      </c>
      <c r="M95" s="3">
        <f>INDEX(Demand_Modeling!$A$13:$I$49,MATCH(Table3[[#This Row],[Key]],Demand_Modeling!$A$13:$A$49,0),MATCH(Table3[[#Headers],[WEO]],Demand_Modeling!$A$13:$I$13,0))</f>
        <v>0</v>
      </c>
      <c r="N95" s="19">
        <f>SUM(Table3[[#This Row],[OFC]:[WEO]])</f>
        <v>1.0000458359585425</v>
      </c>
      <c r="O95" s="19"/>
      <c r="Q95" s="3" t="str">
        <f>Table35[[#This Row],[Fiscal_Year]]*100+Table35[[#This Row],[Fiscal_Week]] &amp; "-" &amp;Table35[[#This Row],[Brand]]</f>
        <v>202143-Banana Republic</v>
      </c>
      <c r="R95" t="str">
        <f>Table3[[#This Row],[Key]]</f>
        <v>2021-Banana Republic</v>
      </c>
      <c r="S95">
        <f>Table3[[#This Row],[Fiscal_Year]]</f>
        <v>2021</v>
      </c>
      <c r="T95">
        <f>Table3[[#This Row],[Fiscal_Week]]</f>
        <v>43</v>
      </c>
      <c r="U95" t="str">
        <f>Table3[[#This Row],[Brand]]</f>
        <v>Banana Republic</v>
      </c>
      <c r="V95">
        <f>Table3[[#This Row],[Demand]]</f>
        <v>892617</v>
      </c>
      <c r="W95">
        <f>Table3[[#This Row],[OFC]]*Table3[[#This Row],[Demand]]</f>
        <v>0</v>
      </c>
      <c r="X95">
        <f>Table3[[#This Row],[TFC]]*Table3[[#This Row],[Demand]]</f>
        <v>892617</v>
      </c>
      <c r="Y95">
        <f>Table3[[#This Row],[WFC]]*Table3[[#This Row],[Demand]]</f>
        <v>3.1205559513330883</v>
      </c>
      <c r="Z95">
        <f>Table3[[#This Row],[EAO]]*Table3[[#This Row],[Demand]]</f>
        <v>37.793399855034075</v>
      </c>
      <c r="AA95">
        <f>Table3[[#This Row],[OCC]]*Table3[[#This Row],[Demand]]</f>
        <v>0</v>
      </c>
      <c r="AB95">
        <f>Table3[[#This Row],[WEO]]*Table3[[#This Row],[Demand]]</f>
        <v>0</v>
      </c>
      <c r="AC95" s="19">
        <f>SUM(Table35[[#This Row],[OFC]:[WEO]])</f>
        <v>892657.91395580641</v>
      </c>
      <c r="AD95" s="19">
        <f>Table35[[#This Row],[Demand]]-Table35[[#This Row],[Total_Modeled_Demand]]</f>
        <v>-40.913955806405284</v>
      </c>
    </row>
    <row r="96" spans="2:30" x14ac:dyDescent="0.3">
      <c r="B96" s="3" t="str">
        <f>Table3[[#This Row],[Fiscal_Year]]*100+Table3[[#This Row],[Fiscal_Week]] &amp; "-" &amp;Table3[[#This Row],[Brand]]</f>
        <v>202143-BR Factory Store</v>
      </c>
      <c r="C96" t="str">
        <f t="shared" si="1"/>
        <v>2021-BR Factory Store</v>
      </c>
      <c r="D96">
        <v>2021</v>
      </c>
      <c r="E96">
        <v>43</v>
      </c>
      <c r="F96" t="s">
        <v>17</v>
      </c>
      <c r="G96">
        <v>788179</v>
      </c>
      <c r="H96" s="3">
        <f>INDEX(Demand_Modeling!$A$13:$I$49,MATCH(Table3[[#This Row],[Key]],Demand_Modeling!$A$13:$A$49,0),MATCH(Table3[[#Headers],[OFC]],Demand_Modeling!$A$13:$I$13,0))</f>
        <v>1</v>
      </c>
      <c r="I96" s="3">
        <f>INDEX(Demand_Modeling!$A$13:$I$49,MATCH(Table3[[#This Row],[Key]],Demand_Modeling!$A$13:$A$49,0),MATCH(Table3[[#Headers],[TFC]],Demand_Modeling!$A$13:$I$13,0))</f>
        <v>0</v>
      </c>
      <c r="J96" s="3">
        <f>INDEX(Demand_Modeling!$A$13:$I$49,MATCH(Table3[[#This Row],[Key]],Demand_Modeling!$A$13:$A$49,0),MATCH(Table3[[#Headers],[WFC]],Demand_Modeling!$A$13:$I$13,0))</f>
        <v>0</v>
      </c>
      <c r="K96" s="3">
        <f>INDEX(Demand_Modeling!$A$13:$I$49,MATCH(Table3[[#This Row],[Key]],Demand_Modeling!$A$13:$A$49,0),MATCH(Table3[[#Headers],[EAO]],Demand_Modeling!$A$13:$I$13,0))</f>
        <v>0</v>
      </c>
      <c r="L96" s="3">
        <f>INDEX(Demand_Modeling!$A$13:$I$49,MATCH(Table3[[#This Row],[Key]],Demand_Modeling!$A$13:$A$49,0),MATCH(Table3[[#Headers],[OCC]],Demand_Modeling!$A$13:$I$13,0))</f>
        <v>0</v>
      </c>
      <c r="M96" s="3">
        <f>INDEX(Demand_Modeling!$A$13:$I$49,MATCH(Table3[[#This Row],[Key]],Demand_Modeling!$A$13:$A$49,0),MATCH(Table3[[#Headers],[WEO]],Demand_Modeling!$A$13:$I$13,0))</f>
        <v>0</v>
      </c>
      <c r="N96" s="19">
        <f>SUM(Table3[[#This Row],[OFC]:[WEO]])</f>
        <v>1</v>
      </c>
      <c r="O96" s="19"/>
      <c r="Q96" s="3" t="str">
        <f>Table35[[#This Row],[Fiscal_Year]]*100+Table35[[#This Row],[Fiscal_Week]] &amp; "-" &amp;Table35[[#This Row],[Brand]]</f>
        <v>202143-BR Factory Store</v>
      </c>
      <c r="R96" t="str">
        <f>Table3[[#This Row],[Key]]</f>
        <v>2021-BR Factory Store</v>
      </c>
      <c r="S96">
        <f>Table3[[#This Row],[Fiscal_Year]]</f>
        <v>2021</v>
      </c>
      <c r="T96">
        <f>Table3[[#This Row],[Fiscal_Week]]</f>
        <v>43</v>
      </c>
      <c r="U96" t="str">
        <f>Table3[[#This Row],[Brand]]</f>
        <v>BR Factory Store</v>
      </c>
      <c r="V96">
        <f>Table3[[#This Row],[Demand]]</f>
        <v>788179</v>
      </c>
      <c r="W96">
        <f>Table3[[#This Row],[OFC]]*Table3[[#This Row],[Demand]]</f>
        <v>788179</v>
      </c>
      <c r="X96">
        <f>Table3[[#This Row],[TFC]]*Table3[[#This Row],[Demand]]</f>
        <v>0</v>
      </c>
      <c r="Y96">
        <f>Table3[[#This Row],[WFC]]*Table3[[#This Row],[Demand]]</f>
        <v>0</v>
      </c>
      <c r="Z96">
        <f>Table3[[#This Row],[EAO]]*Table3[[#This Row],[Demand]]</f>
        <v>0</v>
      </c>
      <c r="AA96">
        <f>Table3[[#This Row],[OCC]]*Table3[[#This Row],[Demand]]</f>
        <v>0</v>
      </c>
      <c r="AB96">
        <f>Table3[[#This Row],[WEO]]*Table3[[#This Row],[Demand]]</f>
        <v>0</v>
      </c>
      <c r="AC96" s="19">
        <f>SUM(Table35[[#This Row],[OFC]:[WEO]])</f>
        <v>788179</v>
      </c>
      <c r="AD96" s="19">
        <f>Table35[[#This Row],[Demand]]-Table35[[#This Row],[Total_Modeled_Demand]]</f>
        <v>0</v>
      </c>
    </row>
    <row r="97" spans="2:30" x14ac:dyDescent="0.3">
      <c r="B97" s="3" t="str">
        <f>Table3[[#This Row],[Fiscal_Year]]*100+Table3[[#This Row],[Fiscal_Week]] &amp; "-" &amp;Table3[[#This Row],[Brand]]</f>
        <v>202143-Gap</v>
      </c>
      <c r="C97" t="str">
        <f t="shared" si="1"/>
        <v>2021-Gap</v>
      </c>
      <c r="D97">
        <v>2021</v>
      </c>
      <c r="E97">
        <v>43</v>
      </c>
      <c r="F97" t="s">
        <v>16</v>
      </c>
      <c r="G97">
        <v>6023885</v>
      </c>
      <c r="H97" s="3">
        <f>INDEX(Demand_Modeling!$A$13:$I$49,MATCH(Table3[[#This Row],[Key]],Demand_Modeling!$A$13:$A$49,0),MATCH(Table3[[#Headers],[OFC]],Demand_Modeling!$A$13:$I$13,0))</f>
        <v>0</v>
      </c>
      <c r="I97" s="3">
        <f>INDEX(Demand_Modeling!$A$13:$I$49,MATCH(Table3[[#This Row],[Key]],Demand_Modeling!$A$13:$A$49,0),MATCH(Table3[[#Headers],[TFC]],Demand_Modeling!$A$13:$I$13,0))</f>
        <v>0.2</v>
      </c>
      <c r="J97" s="3">
        <f>INDEX(Demand_Modeling!$A$13:$I$49,MATCH(Table3[[#This Row],[Key]],Demand_Modeling!$A$13:$A$49,0),MATCH(Table3[[#Headers],[WFC]],Demand_Modeling!$A$13:$I$13,0))</f>
        <v>0.15</v>
      </c>
      <c r="K97" s="3">
        <f>INDEX(Demand_Modeling!$A$13:$I$49,MATCH(Table3[[#This Row],[Key]],Demand_Modeling!$A$13:$A$49,0),MATCH(Table3[[#Headers],[EAO]],Demand_Modeling!$A$13:$I$13,0))</f>
        <v>0</v>
      </c>
      <c r="L97" s="3">
        <f>INDEX(Demand_Modeling!$A$13:$I$49,MATCH(Table3[[#This Row],[Key]],Demand_Modeling!$A$13:$A$49,0),MATCH(Table3[[#Headers],[OCC]],Demand_Modeling!$A$13:$I$13,0))</f>
        <v>0.25</v>
      </c>
      <c r="M97" s="3">
        <f>INDEX(Demand_Modeling!$A$13:$I$49,MATCH(Table3[[#This Row],[Key]],Demand_Modeling!$A$13:$A$49,0),MATCH(Table3[[#Headers],[WEO]],Demand_Modeling!$A$13:$I$13,0))</f>
        <v>0.4</v>
      </c>
      <c r="N97" s="19">
        <f>SUM(Table3[[#This Row],[OFC]:[WEO]])</f>
        <v>1</v>
      </c>
      <c r="O97" s="19"/>
      <c r="Q97" s="3" t="str">
        <f>Table35[[#This Row],[Fiscal_Year]]*100+Table35[[#This Row],[Fiscal_Week]] &amp; "-" &amp;Table35[[#This Row],[Brand]]</f>
        <v>202143-Gap</v>
      </c>
      <c r="R97" t="str">
        <f>Table3[[#This Row],[Key]]</f>
        <v>2021-Gap</v>
      </c>
      <c r="S97">
        <f>Table3[[#This Row],[Fiscal_Year]]</f>
        <v>2021</v>
      </c>
      <c r="T97">
        <f>Table3[[#This Row],[Fiscal_Week]]</f>
        <v>43</v>
      </c>
      <c r="U97" t="str">
        <f>Table3[[#This Row],[Brand]]</f>
        <v>Gap</v>
      </c>
      <c r="V97">
        <f>Table3[[#This Row],[Demand]]</f>
        <v>6023885</v>
      </c>
      <c r="W97">
        <f>Table3[[#This Row],[OFC]]*Table3[[#This Row],[Demand]]</f>
        <v>0</v>
      </c>
      <c r="X97">
        <f>Table3[[#This Row],[TFC]]*Table3[[#This Row],[Demand]]</f>
        <v>1204777</v>
      </c>
      <c r="Y97">
        <f>Table3[[#This Row],[WFC]]*Table3[[#This Row],[Demand]]</f>
        <v>903582.75</v>
      </c>
      <c r="Z97">
        <f>Table3[[#This Row],[EAO]]*Table3[[#This Row],[Demand]]</f>
        <v>0</v>
      </c>
      <c r="AA97">
        <f>Table3[[#This Row],[OCC]]*Table3[[#This Row],[Demand]]</f>
        <v>1505971.25</v>
      </c>
      <c r="AB97">
        <f>Table3[[#This Row],[WEO]]*Table3[[#This Row],[Demand]]</f>
        <v>2409554</v>
      </c>
      <c r="AC97" s="19">
        <f>SUM(Table35[[#This Row],[OFC]:[WEO]])</f>
        <v>6023885</v>
      </c>
      <c r="AD97" s="19">
        <f>Table35[[#This Row],[Demand]]-Table35[[#This Row],[Total_Modeled_Demand]]</f>
        <v>0</v>
      </c>
    </row>
    <row r="98" spans="2:30" x14ac:dyDescent="0.3">
      <c r="B98" s="3" t="str">
        <f>Table3[[#This Row],[Fiscal_Year]]*100+Table3[[#This Row],[Fiscal_Week]] &amp; "-" &amp;Table3[[#This Row],[Brand]]</f>
        <v>202143-Gap Factory Store</v>
      </c>
      <c r="C98" t="str">
        <f t="shared" si="1"/>
        <v>2021-Gap Factory Store</v>
      </c>
      <c r="D98">
        <v>2021</v>
      </c>
      <c r="E98">
        <v>43</v>
      </c>
      <c r="F98" t="s">
        <v>22</v>
      </c>
      <c r="G98">
        <v>2114421</v>
      </c>
      <c r="H98" s="3">
        <f>INDEX(Demand_Modeling!$A$13:$I$49,MATCH(Table3[[#This Row],[Key]],Demand_Modeling!$A$13:$A$49,0),MATCH(Table3[[#Headers],[OFC]],Demand_Modeling!$A$13:$I$13,0))</f>
        <v>1</v>
      </c>
      <c r="I98" s="3">
        <f>INDEX(Demand_Modeling!$A$13:$I$49,MATCH(Table3[[#This Row],[Key]],Demand_Modeling!$A$13:$A$49,0),MATCH(Table3[[#Headers],[TFC]],Demand_Modeling!$A$13:$I$13,0))</f>
        <v>0</v>
      </c>
      <c r="J98" s="3">
        <f>INDEX(Demand_Modeling!$A$13:$I$49,MATCH(Table3[[#This Row],[Key]],Demand_Modeling!$A$13:$A$49,0),MATCH(Table3[[#Headers],[WFC]],Demand_Modeling!$A$13:$I$13,0))</f>
        <v>0</v>
      </c>
      <c r="K98" s="3">
        <f>INDEX(Demand_Modeling!$A$13:$I$49,MATCH(Table3[[#This Row],[Key]],Demand_Modeling!$A$13:$A$49,0),MATCH(Table3[[#Headers],[EAO]],Demand_Modeling!$A$13:$I$13,0))</f>
        <v>0</v>
      </c>
      <c r="L98" s="3">
        <f>INDEX(Demand_Modeling!$A$13:$I$49,MATCH(Table3[[#This Row],[Key]],Demand_Modeling!$A$13:$A$49,0),MATCH(Table3[[#Headers],[OCC]],Demand_Modeling!$A$13:$I$13,0))</f>
        <v>0</v>
      </c>
      <c r="M98" s="3">
        <f>INDEX(Demand_Modeling!$A$13:$I$49,MATCH(Table3[[#This Row],[Key]],Demand_Modeling!$A$13:$A$49,0),MATCH(Table3[[#Headers],[WEO]],Demand_Modeling!$A$13:$I$13,0))</f>
        <v>0</v>
      </c>
      <c r="N98" s="19">
        <f>SUM(Table3[[#This Row],[OFC]:[WEO]])</f>
        <v>1</v>
      </c>
      <c r="O98" s="19"/>
      <c r="Q98" s="3" t="str">
        <f>Table35[[#This Row],[Fiscal_Year]]*100+Table35[[#This Row],[Fiscal_Week]] &amp; "-" &amp;Table35[[#This Row],[Brand]]</f>
        <v>202143-Gap Factory Store</v>
      </c>
      <c r="R98" t="str">
        <f>Table3[[#This Row],[Key]]</f>
        <v>2021-Gap Factory Store</v>
      </c>
      <c r="S98">
        <f>Table3[[#This Row],[Fiscal_Year]]</f>
        <v>2021</v>
      </c>
      <c r="T98">
        <f>Table3[[#This Row],[Fiscal_Week]]</f>
        <v>43</v>
      </c>
      <c r="U98" t="str">
        <f>Table3[[#This Row],[Brand]]</f>
        <v>Gap Factory Store</v>
      </c>
      <c r="V98">
        <f>Table3[[#This Row],[Demand]]</f>
        <v>2114421</v>
      </c>
      <c r="W98">
        <f>Table3[[#This Row],[OFC]]*Table3[[#This Row],[Demand]]</f>
        <v>2114421</v>
      </c>
      <c r="X98">
        <f>Table3[[#This Row],[TFC]]*Table3[[#This Row],[Demand]]</f>
        <v>0</v>
      </c>
      <c r="Y98">
        <f>Table3[[#This Row],[WFC]]*Table3[[#This Row],[Demand]]</f>
        <v>0</v>
      </c>
      <c r="Z98">
        <f>Table3[[#This Row],[EAO]]*Table3[[#This Row],[Demand]]</f>
        <v>0</v>
      </c>
      <c r="AA98">
        <f>Table3[[#This Row],[OCC]]*Table3[[#This Row],[Demand]]</f>
        <v>0</v>
      </c>
      <c r="AB98">
        <f>Table3[[#This Row],[WEO]]*Table3[[#This Row],[Demand]]</f>
        <v>0</v>
      </c>
      <c r="AC98" s="19">
        <f>SUM(Table35[[#This Row],[OFC]:[WEO]])</f>
        <v>2114421</v>
      </c>
      <c r="AD98" s="19">
        <f>Table35[[#This Row],[Demand]]-Table35[[#This Row],[Total_Modeled_Demand]]</f>
        <v>0</v>
      </c>
    </row>
    <row r="99" spans="2:30" x14ac:dyDescent="0.3">
      <c r="B99" s="3" t="str">
        <f>Table3[[#This Row],[Fiscal_Year]]*100+Table3[[#This Row],[Fiscal_Week]] &amp; "-" &amp;Table3[[#This Row],[Brand]]</f>
        <v>202143-Old Navy</v>
      </c>
      <c r="C99" t="str">
        <f t="shared" si="1"/>
        <v>2021-Old Navy</v>
      </c>
      <c r="D99">
        <v>2021</v>
      </c>
      <c r="E99">
        <v>43</v>
      </c>
      <c r="F99" t="s">
        <v>20</v>
      </c>
      <c r="G99">
        <v>10936476</v>
      </c>
      <c r="H99" s="3">
        <f>INDEX(Demand_Modeling!$A$13:$I$49,MATCH(Table3[[#This Row],[Key]],Demand_Modeling!$A$13:$A$49,0),MATCH(Table3[[#Headers],[OFC]],Demand_Modeling!$A$13:$I$13,0))</f>
        <v>0.15</v>
      </c>
      <c r="I99" s="3">
        <f>INDEX(Demand_Modeling!$A$13:$I$49,MATCH(Table3[[#This Row],[Key]],Demand_Modeling!$A$13:$A$49,0),MATCH(Table3[[#Headers],[TFC]],Demand_Modeling!$A$13:$I$13,0))</f>
        <v>0.17760000000000001</v>
      </c>
      <c r="J99" s="3">
        <f>INDEX(Demand_Modeling!$A$13:$I$49,MATCH(Table3[[#This Row],[Key]],Demand_Modeling!$A$13:$A$49,0),MATCH(Table3[[#Headers],[WFC]],Demand_Modeling!$A$13:$I$13,0))</f>
        <v>0</v>
      </c>
      <c r="K99" s="3">
        <f>INDEX(Demand_Modeling!$A$13:$I$49,MATCH(Table3[[#This Row],[Key]],Demand_Modeling!$A$13:$A$49,0),MATCH(Table3[[#Headers],[EAO]],Demand_Modeling!$A$13:$I$13,0))</f>
        <v>0.27239514110365798</v>
      </c>
      <c r="L99" s="3">
        <f>INDEX(Demand_Modeling!$A$13:$I$49,MATCH(Table3[[#This Row],[Key]],Demand_Modeling!$A$13:$A$49,0),MATCH(Table3[[#Headers],[OCC]],Demand_Modeling!$A$13:$I$13,0))</f>
        <v>0.16</v>
      </c>
      <c r="M99" s="3">
        <f>INDEX(Demand_Modeling!$A$13:$I$49,MATCH(Table3[[#This Row],[Key]],Demand_Modeling!$A$13:$A$49,0),MATCH(Table3[[#Headers],[WEO]],Demand_Modeling!$A$13:$I$13,0))</f>
        <v>0.24</v>
      </c>
      <c r="N99" s="19">
        <f>SUM(Table3[[#This Row],[OFC]:[WEO]])</f>
        <v>0.99999514110365795</v>
      </c>
      <c r="O99" s="19"/>
      <c r="Q99" s="3" t="str">
        <f>Table35[[#This Row],[Fiscal_Year]]*100+Table35[[#This Row],[Fiscal_Week]] &amp; "-" &amp;Table35[[#This Row],[Brand]]</f>
        <v>202143-Old Navy</v>
      </c>
      <c r="R99" t="str">
        <f>Table3[[#This Row],[Key]]</f>
        <v>2021-Old Navy</v>
      </c>
      <c r="S99">
        <f>Table3[[#This Row],[Fiscal_Year]]</f>
        <v>2021</v>
      </c>
      <c r="T99">
        <f>Table3[[#This Row],[Fiscal_Week]]</f>
        <v>43</v>
      </c>
      <c r="U99" t="str">
        <f>Table3[[#This Row],[Brand]]</f>
        <v>Old Navy</v>
      </c>
      <c r="V99">
        <f>Table3[[#This Row],[Demand]]</f>
        <v>10936476</v>
      </c>
      <c r="W99">
        <f>Table3[[#This Row],[OFC]]*Table3[[#This Row],[Demand]]</f>
        <v>1640471.4</v>
      </c>
      <c r="X99">
        <f>Table3[[#This Row],[TFC]]*Table3[[#This Row],[Demand]]</f>
        <v>1942318.1376</v>
      </c>
      <c r="Y99">
        <f>Table3[[#This Row],[WFC]]*Table3[[#This Row],[Demand]]</f>
        <v>0</v>
      </c>
      <c r="Z99">
        <f>Table3[[#This Row],[EAO]]*Table3[[#This Row],[Demand]]</f>
        <v>2979042.9231967689</v>
      </c>
      <c r="AA99">
        <f>Table3[[#This Row],[OCC]]*Table3[[#This Row],[Demand]]</f>
        <v>1749836.1600000001</v>
      </c>
      <c r="AB99">
        <f>Table3[[#This Row],[WEO]]*Table3[[#This Row],[Demand]]</f>
        <v>2624754.2399999998</v>
      </c>
      <c r="AC99" s="19">
        <f>SUM(Table35[[#This Row],[OFC]:[WEO]])</f>
        <v>10936422.860796768</v>
      </c>
      <c r="AD99" s="19">
        <f>Table35[[#This Row],[Demand]]-Table35[[#This Row],[Total_Modeled_Demand]]</f>
        <v>53.139203231781721</v>
      </c>
    </row>
    <row r="100" spans="2:30" x14ac:dyDescent="0.3">
      <c r="B100" s="3" t="str">
        <f>Table3[[#This Row],[Fiscal_Year]]*100+Table3[[#This Row],[Fiscal_Week]] &amp; "-" &amp;Table3[[#This Row],[Brand]]</f>
        <v>202144-Athleta</v>
      </c>
      <c r="C100" t="str">
        <f t="shared" si="1"/>
        <v>2021-Athleta</v>
      </c>
      <c r="D100">
        <v>2021</v>
      </c>
      <c r="E100">
        <v>44</v>
      </c>
      <c r="F100" t="s">
        <v>19</v>
      </c>
      <c r="G100">
        <v>469332</v>
      </c>
      <c r="H100" s="3">
        <f>INDEX(Demand_Modeling!$A$13:$I$49,MATCH(Table3[[#This Row],[Key]],Demand_Modeling!$A$13:$A$49,0),MATCH(Table3[[#Headers],[OFC]],Demand_Modeling!$A$13:$I$13,0))</f>
        <v>0</v>
      </c>
      <c r="I100" s="3">
        <f>INDEX(Demand_Modeling!$A$13:$I$49,MATCH(Table3[[#This Row],[Key]],Demand_Modeling!$A$13:$A$49,0),MATCH(Table3[[#Headers],[TFC]],Demand_Modeling!$A$13:$I$13,0))</f>
        <v>1</v>
      </c>
      <c r="J100" s="3">
        <f>INDEX(Demand_Modeling!$A$13:$I$49,MATCH(Table3[[#This Row],[Key]],Demand_Modeling!$A$13:$A$49,0),MATCH(Table3[[#Headers],[WFC]],Demand_Modeling!$A$13:$I$13,0))</f>
        <v>0</v>
      </c>
      <c r="K100" s="3">
        <f>INDEX(Demand_Modeling!$A$13:$I$49,MATCH(Table3[[#This Row],[Key]],Demand_Modeling!$A$13:$A$49,0),MATCH(Table3[[#Headers],[EAO]],Demand_Modeling!$A$13:$I$13,0))</f>
        <v>3.447122356821831E-5</v>
      </c>
      <c r="L100" s="3">
        <f>INDEX(Demand_Modeling!$A$13:$I$49,MATCH(Table3[[#This Row],[Key]],Demand_Modeling!$A$13:$A$49,0),MATCH(Table3[[#Headers],[OCC]],Demand_Modeling!$A$13:$I$13,0))</f>
        <v>0</v>
      </c>
      <c r="M100" s="3">
        <f>INDEX(Demand_Modeling!$A$13:$I$49,MATCH(Table3[[#This Row],[Key]],Demand_Modeling!$A$13:$A$49,0),MATCH(Table3[[#Headers],[WEO]],Demand_Modeling!$A$13:$I$13,0))</f>
        <v>0</v>
      </c>
      <c r="N100" s="19">
        <f>SUM(Table3[[#This Row],[OFC]:[WEO]])</f>
        <v>1.0000344712235683</v>
      </c>
      <c r="O100" s="19"/>
      <c r="Q100" s="3" t="str">
        <f>Table35[[#This Row],[Fiscal_Year]]*100+Table35[[#This Row],[Fiscal_Week]] &amp; "-" &amp;Table35[[#This Row],[Brand]]</f>
        <v>202144-Athleta</v>
      </c>
      <c r="R100" t="str">
        <f>Table3[[#This Row],[Key]]</f>
        <v>2021-Athleta</v>
      </c>
      <c r="S100">
        <f>Table3[[#This Row],[Fiscal_Year]]</f>
        <v>2021</v>
      </c>
      <c r="T100">
        <f>Table3[[#This Row],[Fiscal_Week]]</f>
        <v>44</v>
      </c>
      <c r="U100" t="str">
        <f>Table3[[#This Row],[Brand]]</f>
        <v>Athleta</v>
      </c>
      <c r="V100">
        <f>Table3[[#This Row],[Demand]]</f>
        <v>469332</v>
      </c>
      <c r="W100">
        <f>Table3[[#This Row],[OFC]]*Table3[[#This Row],[Demand]]</f>
        <v>0</v>
      </c>
      <c r="X100">
        <f>Table3[[#This Row],[TFC]]*Table3[[#This Row],[Demand]]</f>
        <v>469332</v>
      </c>
      <c r="Y100">
        <f>Table3[[#This Row],[WFC]]*Table3[[#This Row],[Demand]]</f>
        <v>0</v>
      </c>
      <c r="Z100">
        <f>Table3[[#This Row],[EAO]]*Table3[[#This Row],[Demand]]</f>
        <v>16.178448299719037</v>
      </c>
      <c r="AA100">
        <f>Table3[[#This Row],[OCC]]*Table3[[#This Row],[Demand]]</f>
        <v>0</v>
      </c>
      <c r="AB100">
        <f>Table3[[#This Row],[WEO]]*Table3[[#This Row],[Demand]]</f>
        <v>0</v>
      </c>
      <c r="AC100" s="19">
        <f>SUM(Table35[[#This Row],[OFC]:[WEO]])</f>
        <v>469348.1784482997</v>
      </c>
      <c r="AD100" s="19">
        <f>Table35[[#This Row],[Demand]]-Table35[[#This Row],[Total_Modeled_Demand]]</f>
        <v>-16.178448299702723</v>
      </c>
    </row>
    <row r="101" spans="2:30" x14ac:dyDescent="0.3">
      <c r="B101" s="3" t="str">
        <f>Table3[[#This Row],[Fiscal_Year]]*100+Table3[[#This Row],[Fiscal_Week]] &amp; "-" &amp;Table3[[#This Row],[Brand]]</f>
        <v>202144-Banana Republic</v>
      </c>
      <c r="C101" t="str">
        <f t="shared" si="1"/>
        <v>2021-Banana Republic</v>
      </c>
      <c r="D101">
        <v>2021</v>
      </c>
      <c r="E101">
        <v>44</v>
      </c>
      <c r="F101" t="s">
        <v>18</v>
      </c>
      <c r="G101">
        <v>699212</v>
      </c>
      <c r="H101" s="3">
        <f>INDEX(Demand_Modeling!$A$13:$I$49,MATCH(Table3[[#This Row],[Key]],Demand_Modeling!$A$13:$A$49,0),MATCH(Table3[[#Headers],[OFC]],Demand_Modeling!$A$13:$I$13,0))</f>
        <v>0</v>
      </c>
      <c r="I101" s="3">
        <f>INDEX(Demand_Modeling!$A$13:$I$49,MATCH(Table3[[#This Row],[Key]],Demand_Modeling!$A$13:$A$49,0),MATCH(Table3[[#Headers],[TFC]],Demand_Modeling!$A$13:$I$13,0))</f>
        <v>1</v>
      </c>
      <c r="J101" s="3">
        <f>INDEX(Demand_Modeling!$A$13:$I$49,MATCH(Table3[[#This Row],[Key]],Demand_Modeling!$A$13:$A$49,0),MATCH(Table3[[#Headers],[WFC]],Demand_Modeling!$A$13:$I$13,0))</f>
        <v>3.4959629396853166E-6</v>
      </c>
      <c r="K101" s="3">
        <f>INDEX(Demand_Modeling!$A$13:$I$49,MATCH(Table3[[#This Row],[Key]],Demand_Modeling!$A$13:$A$49,0),MATCH(Table3[[#Headers],[EAO]],Demand_Modeling!$A$13:$I$13,0))</f>
        <v>4.2339995602855504E-5</v>
      </c>
      <c r="L101" s="3">
        <f>INDEX(Demand_Modeling!$A$13:$I$49,MATCH(Table3[[#This Row],[Key]],Demand_Modeling!$A$13:$A$49,0),MATCH(Table3[[#Headers],[OCC]],Demand_Modeling!$A$13:$I$13,0))</f>
        <v>0</v>
      </c>
      <c r="M101" s="3">
        <f>INDEX(Demand_Modeling!$A$13:$I$49,MATCH(Table3[[#This Row],[Key]],Demand_Modeling!$A$13:$A$49,0),MATCH(Table3[[#Headers],[WEO]],Demand_Modeling!$A$13:$I$13,0))</f>
        <v>0</v>
      </c>
      <c r="N101" s="19">
        <f>SUM(Table3[[#This Row],[OFC]:[WEO]])</f>
        <v>1.0000458359585425</v>
      </c>
      <c r="O101" s="19"/>
      <c r="Q101" s="3" t="str">
        <f>Table35[[#This Row],[Fiscal_Year]]*100+Table35[[#This Row],[Fiscal_Week]] &amp; "-" &amp;Table35[[#This Row],[Brand]]</f>
        <v>202144-Banana Republic</v>
      </c>
      <c r="R101" t="str">
        <f>Table3[[#This Row],[Key]]</f>
        <v>2021-Banana Republic</v>
      </c>
      <c r="S101">
        <f>Table3[[#This Row],[Fiscal_Year]]</f>
        <v>2021</v>
      </c>
      <c r="T101">
        <f>Table3[[#This Row],[Fiscal_Week]]</f>
        <v>44</v>
      </c>
      <c r="U101" t="str">
        <f>Table3[[#This Row],[Brand]]</f>
        <v>Banana Republic</v>
      </c>
      <c r="V101">
        <f>Table3[[#This Row],[Demand]]</f>
        <v>699212</v>
      </c>
      <c r="W101">
        <f>Table3[[#This Row],[OFC]]*Table3[[#This Row],[Demand]]</f>
        <v>0</v>
      </c>
      <c r="X101">
        <f>Table3[[#This Row],[TFC]]*Table3[[#This Row],[Demand]]</f>
        <v>699212</v>
      </c>
      <c r="Y101">
        <f>Table3[[#This Row],[WFC]]*Table3[[#This Row],[Demand]]</f>
        <v>2.4444192389832495</v>
      </c>
      <c r="Z101">
        <f>Table3[[#This Row],[EAO]]*Table3[[#This Row],[Demand]]</f>
        <v>29.604633005463803</v>
      </c>
      <c r="AA101">
        <f>Table3[[#This Row],[OCC]]*Table3[[#This Row],[Demand]]</f>
        <v>0</v>
      </c>
      <c r="AB101">
        <f>Table3[[#This Row],[WEO]]*Table3[[#This Row],[Demand]]</f>
        <v>0</v>
      </c>
      <c r="AC101" s="19">
        <f>SUM(Table35[[#This Row],[OFC]:[WEO]])</f>
        <v>699244.0490522444</v>
      </c>
      <c r="AD101" s="19">
        <f>Table35[[#This Row],[Demand]]-Table35[[#This Row],[Total_Modeled_Demand]]</f>
        <v>-32.049052244401537</v>
      </c>
    </row>
    <row r="102" spans="2:30" x14ac:dyDescent="0.3">
      <c r="B102" s="3" t="str">
        <f>Table3[[#This Row],[Fiscal_Year]]*100+Table3[[#This Row],[Fiscal_Week]] &amp; "-" &amp;Table3[[#This Row],[Brand]]</f>
        <v>202144-BR Factory Store</v>
      </c>
      <c r="C102" t="str">
        <f t="shared" si="1"/>
        <v>2021-BR Factory Store</v>
      </c>
      <c r="D102">
        <v>2021</v>
      </c>
      <c r="E102">
        <v>44</v>
      </c>
      <c r="F102" t="s">
        <v>17</v>
      </c>
      <c r="G102">
        <v>495669</v>
      </c>
      <c r="H102" s="3">
        <f>INDEX(Demand_Modeling!$A$13:$I$49,MATCH(Table3[[#This Row],[Key]],Demand_Modeling!$A$13:$A$49,0),MATCH(Table3[[#Headers],[OFC]],Demand_Modeling!$A$13:$I$13,0))</f>
        <v>1</v>
      </c>
      <c r="I102" s="3">
        <f>INDEX(Demand_Modeling!$A$13:$I$49,MATCH(Table3[[#This Row],[Key]],Demand_Modeling!$A$13:$A$49,0),MATCH(Table3[[#Headers],[TFC]],Demand_Modeling!$A$13:$I$13,0))</f>
        <v>0</v>
      </c>
      <c r="J102" s="3">
        <f>INDEX(Demand_Modeling!$A$13:$I$49,MATCH(Table3[[#This Row],[Key]],Demand_Modeling!$A$13:$A$49,0),MATCH(Table3[[#Headers],[WFC]],Demand_Modeling!$A$13:$I$13,0))</f>
        <v>0</v>
      </c>
      <c r="K102" s="3">
        <f>INDEX(Demand_Modeling!$A$13:$I$49,MATCH(Table3[[#This Row],[Key]],Demand_Modeling!$A$13:$A$49,0),MATCH(Table3[[#Headers],[EAO]],Demand_Modeling!$A$13:$I$13,0))</f>
        <v>0</v>
      </c>
      <c r="L102" s="3">
        <f>INDEX(Demand_Modeling!$A$13:$I$49,MATCH(Table3[[#This Row],[Key]],Demand_Modeling!$A$13:$A$49,0),MATCH(Table3[[#Headers],[OCC]],Demand_Modeling!$A$13:$I$13,0))</f>
        <v>0</v>
      </c>
      <c r="M102" s="3">
        <f>INDEX(Demand_Modeling!$A$13:$I$49,MATCH(Table3[[#This Row],[Key]],Demand_Modeling!$A$13:$A$49,0),MATCH(Table3[[#Headers],[WEO]],Demand_Modeling!$A$13:$I$13,0))</f>
        <v>0</v>
      </c>
      <c r="N102" s="19">
        <f>SUM(Table3[[#This Row],[OFC]:[WEO]])</f>
        <v>1</v>
      </c>
      <c r="O102" s="19"/>
      <c r="Q102" s="3" t="str">
        <f>Table35[[#This Row],[Fiscal_Year]]*100+Table35[[#This Row],[Fiscal_Week]] &amp; "-" &amp;Table35[[#This Row],[Brand]]</f>
        <v>202144-BR Factory Store</v>
      </c>
      <c r="R102" t="str">
        <f>Table3[[#This Row],[Key]]</f>
        <v>2021-BR Factory Store</v>
      </c>
      <c r="S102">
        <f>Table3[[#This Row],[Fiscal_Year]]</f>
        <v>2021</v>
      </c>
      <c r="T102">
        <f>Table3[[#This Row],[Fiscal_Week]]</f>
        <v>44</v>
      </c>
      <c r="U102" t="str">
        <f>Table3[[#This Row],[Brand]]</f>
        <v>BR Factory Store</v>
      </c>
      <c r="V102">
        <f>Table3[[#This Row],[Demand]]</f>
        <v>495669</v>
      </c>
      <c r="W102">
        <f>Table3[[#This Row],[OFC]]*Table3[[#This Row],[Demand]]</f>
        <v>495669</v>
      </c>
      <c r="X102">
        <f>Table3[[#This Row],[TFC]]*Table3[[#This Row],[Demand]]</f>
        <v>0</v>
      </c>
      <c r="Y102">
        <f>Table3[[#This Row],[WFC]]*Table3[[#This Row],[Demand]]</f>
        <v>0</v>
      </c>
      <c r="Z102">
        <f>Table3[[#This Row],[EAO]]*Table3[[#This Row],[Demand]]</f>
        <v>0</v>
      </c>
      <c r="AA102">
        <f>Table3[[#This Row],[OCC]]*Table3[[#This Row],[Demand]]</f>
        <v>0</v>
      </c>
      <c r="AB102">
        <f>Table3[[#This Row],[WEO]]*Table3[[#This Row],[Demand]]</f>
        <v>0</v>
      </c>
      <c r="AC102" s="19">
        <f>SUM(Table35[[#This Row],[OFC]:[WEO]])</f>
        <v>495669</v>
      </c>
      <c r="AD102" s="19">
        <f>Table35[[#This Row],[Demand]]-Table35[[#This Row],[Total_Modeled_Demand]]</f>
        <v>0</v>
      </c>
    </row>
    <row r="103" spans="2:30" x14ac:dyDescent="0.3">
      <c r="B103" s="3" t="str">
        <f>Table3[[#This Row],[Fiscal_Year]]*100+Table3[[#This Row],[Fiscal_Week]] &amp; "-" &amp;Table3[[#This Row],[Brand]]</f>
        <v>202144-Gap</v>
      </c>
      <c r="C103" t="str">
        <f t="shared" si="1"/>
        <v>2021-Gap</v>
      </c>
      <c r="D103">
        <v>2021</v>
      </c>
      <c r="E103">
        <v>44</v>
      </c>
      <c r="F103" t="s">
        <v>16</v>
      </c>
      <c r="G103">
        <v>3999489</v>
      </c>
      <c r="H103" s="3">
        <f>INDEX(Demand_Modeling!$A$13:$I$49,MATCH(Table3[[#This Row],[Key]],Demand_Modeling!$A$13:$A$49,0),MATCH(Table3[[#Headers],[OFC]],Demand_Modeling!$A$13:$I$13,0))</f>
        <v>0</v>
      </c>
      <c r="I103" s="3">
        <f>INDEX(Demand_Modeling!$A$13:$I$49,MATCH(Table3[[#This Row],[Key]],Demand_Modeling!$A$13:$A$49,0),MATCH(Table3[[#Headers],[TFC]],Demand_Modeling!$A$13:$I$13,0))</f>
        <v>0.2</v>
      </c>
      <c r="J103" s="3">
        <f>INDEX(Demand_Modeling!$A$13:$I$49,MATCH(Table3[[#This Row],[Key]],Demand_Modeling!$A$13:$A$49,0),MATCH(Table3[[#Headers],[WFC]],Demand_Modeling!$A$13:$I$13,0))</f>
        <v>0.15</v>
      </c>
      <c r="K103" s="3">
        <f>INDEX(Demand_Modeling!$A$13:$I$49,MATCH(Table3[[#This Row],[Key]],Demand_Modeling!$A$13:$A$49,0),MATCH(Table3[[#Headers],[EAO]],Demand_Modeling!$A$13:$I$13,0))</f>
        <v>0</v>
      </c>
      <c r="L103" s="3">
        <f>INDEX(Demand_Modeling!$A$13:$I$49,MATCH(Table3[[#This Row],[Key]],Demand_Modeling!$A$13:$A$49,0),MATCH(Table3[[#Headers],[OCC]],Demand_Modeling!$A$13:$I$13,0))</f>
        <v>0.25</v>
      </c>
      <c r="M103" s="3">
        <f>INDEX(Demand_Modeling!$A$13:$I$49,MATCH(Table3[[#This Row],[Key]],Demand_Modeling!$A$13:$A$49,0),MATCH(Table3[[#Headers],[WEO]],Demand_Modeling!$A$13:$I$13,0))</f>
        <v>0.4</v>
      </c>
      <c r="N103" s="19">
        <f>SUM(Table3[[#This Row],[OFC]:[WEO]])</f>
        <v>1</v>
      </c>
      <c r="O103" s="19"/>
      <c r="Q103" s="3" t="str">
        <f>Table35[[#This Row],[Fiscal_Year]]*100+Table35[[#This Row],[Fiscal_Week]] &amp; "-" &amp;Table35[[#This Row],[Brand]]</f>
        <v>202144-Gap</v>
      </c>
      <c r="R103" t="str">
        <f>Table3[[#This Row],[Key]]</f>
        <v>2021-Gap</v>
      </c>
      <c r="S103">
        <f>Table3[[#This Row],[Fiscal_Year]]</f>
        <v>2021</v>
      </c>
      <c r="T103">
        <f>Table3[[#This Row],[Fiscal_Week]]</f>
        <v>44</v>
      </c>
      <c r="U103" t="str">
        <f>Table3[[#This Row],[Brand]]</f>
        <v>Gap</v>
      </c>
      <c r="V103">
        <f>Table3[[#This Row],[Demand]]</f>
        <v>3999489</v>
      </c>
      <c r="W103">
        <f>Table3[[#This Row],[OFC]]*Table3[[#This Row],[Demand]]</f>
        <v>0</v>
      </c>
      <c r="X103">
        <f>Table3[[#This Row],[TFC]]*Table3[[#This Row],[Demand]]</f>
        <v>799897.8</v>
      </c>
      <c r="Y103">
        <f>Table3[[#This Row],[WFC]]*Table3[[#This Row],[Demand]]</f>
        <v>599923.35</v>
      </c>
      <c r="Z103">
        <f>Table3[[#This Row],[EAO]]*Table3[[#This Row],[Demand]]</f>
        <v>0</v>
      </c>
      <c r="AA103">
        <f>Table3[[#This Row],[OCC]]*Table3[[#This Row],[Demand]]</f>
        <v>999872.25</v>
      </c>
      <c r="AB103">
        <f>Table3[[#This Row],[WEO]]*Table3[[#This Row],[Demand]]</f>
        <v>1599795.6</v>
      </c>
      <c r="AC103" s="19">
        <f>SUM(Table35[[#This Row],[OFC]:[WEO]])</f>
        <v>3999489</v>
      </c>
      <c r="AD103" s="19">
        <f>Table35[[#This Row],[Demand]]-Table35[[#This Row],[Total_Modeled_Demand]]</f>
        <v>0</v>
      </c>
    </row>
    <row r="104" spans="2:30" x14ac:dyDescent="0.3">
      <c r="B104" s="3" t="str">
        <f>Table3[[#This Row],[Fiscal_Year]]*100+Table3[[#This Row],[Fiscal_Week]] &amp; "-" &amp;Table3[[#This Row],[Brand]]</f>
        <v>202144-Gap Factory Store</v>
      </c>
      <c r="C104" t="str">
        <f t="shared" si="1"/>
        <v>2021-Gap Factory Store</v>
      </c>
      <c r="D104">
        <v>2021</v>
      </c>
      <c r="E104">
        <v>44</v>
      </c>
      <c r="F104" t="s">
        <v>22</v>
      </c>
      <c r="G104">
        <v>1512302</v>
      </c>
      <c r="H104" s="3">
        <f>INDEX(Demand_Modeling!$A$13:$I$49,MATCH(Table3[[#This Row],[Key]],Demand_Modeling!$A$13:$A$49,0),MATCH(Table3[[#Headers],[OFC]],Demand_Modeling!$A$13:$I$13,0))</f>
        <v>1</v>
      </c>
      <c r="I104" s="3">
        <f>INDEX(Demand_Modeling!$A$13:$I$49,MATCH(Table3[[#This Row],[Key]],Demand_Modeling!$A$13:$A$49,0),MATCH(Table3[[#Headers],[TFC]],Demand_Modeling!$A$13:$I$13,0))</f>
        <v>0</v>
      </c>
      <c r="J104" s="3">
        <f>INDEX(Demand_Modeling!$A$13:$I$49,MATCH(Table3[[#This Row],[Key]],Demand_Modeling!$A$13:$A$49,0),MATCH(Table3[[#Headers],[WFC]],Demand_Modeling!$A$13:$I$13,0))</f>
        <v>0</v>
      </c>
      <c r="K104" s="3">
        <f>INDEX(Demand_Modeling!$A$13:$I$49,MATCH(Table3[[#This Row],[Key]],Demand_Modeling!$A$13:$A$49,0),MATCH(Table3[[#Headers],[EAO]],Demand_Modeling!$A$13:$I$13,0))</f>
        <v>0</v>
      </c>
      <c r="L104" s="3">
        <f>INDEX(Demand_Modeling!$A$13:$I$49,MATCH(Table3[[#This Row],[Key]],Demand_Modeling!$A$13:$A$49,0),MATCH(Table3[[#Headers],[OCC]],Demand_Modeling!$A$13:$I$13,0))</f>
        <v>0</v>
      </c>
      <c r="M104" s="3">
        <f>INDEX(Demand_Modeling!$A$13:$I$49,MATCH(Table3[[#This Row],[Key]],Demand_Modeling!$A$13:$A$49,0),MATCH(Table3[[#Headers],[WEO]],Demand_Modeling!$A$13:$I$13,0))</f>
        <v>0</v>
      </c>
      <c r="N104" s="19">
        <f>SUM(Table3[[#This Row],[OFC]:[WEO]])</f>
        <v>1</v>
      </c>
      <c r="O104" s="19"/>
      <c r="Q104" s="3" t="str">
        <f>Table35[[#This Row],[Fiscal_Year]]*100+Table35[[#This Row],[Fiscal_Week]] &amp; "-" &amp;Table35[[#This Row],[Brand]]</f>
        <v>202144-Gap Factory Store</v>
      </c>
      <c r="R104" t="str">
        <f>Table3[[#This Row],[Key]]</f>
        <v>2021-Gap Factory Store</v>
      </c>
      <c r="S104">
        <f>Table3[[#This Row],[Fiscal_Year]]</f>
        <v>2021</v>
      </c>
      <c r="T104">
        <f>Table3[[#This Row],[Fiscal_Week]]</f>
        <v>44</v>
      </c>
      <c r="U104" t="str">
        <f>Table3[[#This Row],[Brand]]</f>
        <v>Gap Factory Store</v>
      </c>
      <c r="V104">
        <f>Table3[[#This Row],[Demand]]</f>
        <v>1512302</v>
      </c>
      <c r="W104">
        <f>Table3[[#This Row],[OFC]]*Table3[[#This Row],[Demand]]</f>
        <v>1512302</v>
      </c>
      <c r="X104">
        <f>Table3[[#This Row],[TFC]]*Table3[[#This Row],[Demand]]</f>
        <v>0</v>
      </c>
      <c r="Y104">
        <f>Table3[[#This Row],[WFC]]*Table3[[#This Row],[Demand]]</f>
        <v>0</v>
      </c>
      <c r="Z104">
        <f>Table3[[#This Row],[EAO]]*Table3[[#This Row],[Demand]]</f>
        <v>0</v>
      </c>
      <c r="AA104">
        <f>Table3[[#This Row],[OCC]]*Table3[[#This Row],[Demand]]</f>
        <v>0</v>
      </c>
      <c r="AB104">
        <f>Table3[[#This Row],[WEO]]*Table3[[#This Row],[Demand]]</f>
        <v>0</v>
      </c>
      <c r="AC104" s="19">
        <f>SUM(Table35[[#This Row],[OFC]:[WEO]])</f>
        <v>1512302</v>
      </c>
      <c r="AD104" s="19">
        <f>Table35[[#This Row],[Demand]]-Table35[[#This Row],[Total_Modeled_Demand]]</f>
        <v>0</v>
      </c>
    </row>
    <row r="105" spans="2:30" x14ac:dyDescent="0.3">
      <c r="B105" s="3" t="str">
        <f>Table3[[#This Row],[Fiscal_Year]]*100+Table3[[#This Row],[Fiscal_Week]] &amp; "-" &amp;Table3[[#This Row],[Brand]]</f>
        <v>202144-Old Navy</v>
      </c>
      <c r="C105" t="str">
        <f t="shared" si="1"/>
        <v>2021-Old Navy</v>
      </c>
      <c r="D105">
        <v>2021</v>
      </c>
      <c r="E105">
        <v>44</v>
      </c>
      <c r="F105" t="s">
        <v>20</v>
      </c>
      <c r="G105">
        <v>8740593</v>
      </c>
      <c r="H105" s="3">
        <f>INDEX(Demand_Modeling!$A$13:$I$49,MATCH(Table3[[#This Row],[Key]],Demand_Modeling!$A$13:$A$49,0),MATCH(Table3[[#Headers],[OFC]],Demand_Modeling!$A$13:$I$13,0))</f>
        <v>0.15</v>
      </c>
      <c r="I105" s="3">
        <f>INDEX(Demand_Modeling!$A$13:$I$49,MATCH(Table3[[#This Row],[Key]],Demand_Modeling!$A$13:$A$49,0),MATCH(Table3[[#Headers],[TFC]],Demand_Modeling!$A$13:$I$13,0))</f>
        <v>0.17760000000000001</v>
      </c>
      <c r="J105" s="3">
        <f>INDEX(Demand_Modeling!$A$13:$I$49,MATCH(Table3[[#This Row],[Key]],Demand_Modeling!$A$13:$A$49,0),MATCH(Table3[[#Headers],[WFC]],Demand_Modeling!$A$13:$I$13,0))</f>
        <v>0</v>
      </c>
      <c r="K105" s="3">
        <f>INDEX(Demand_Modeling!$A$13:$I$49,MATCH(Table3[[#This Row],[Key]],Demand_Modeling!$A$13:$A$49,0),MATCH(Table3[[#Headers],[EAO]],Demand_Modeling!$A$13:$I$13,0))</f>
        <v>0.27239514110365798</v>
      </c>
      <c r="L105" s="3">
        <f>INDEX(Demand_Modeling!$A$13:$I$49,MATCH(Table3[[#This Row],[Key]],Demand_Modeling!$A$13:$A$49,0),MATCH(Table3[[#Headers],[OCC]],Demand_Modeling!$A$13:$I$13,0))</f>
        <v>0.16</v>
      </c>
      <c r="M105" s="3">
        <f>INDEX(Demand_Modeling!$A$13:$I$49,MATCH(Table3[[#This Row],[Key]],Demand_Modeling!$A$13:$A$49,0),MATCH(Table3[[#Headers],[WEO]],Demand_Modeling!$A$13:$I$13,0))</f>
        <v>0.24</v>
      </c>
      <c r="N105" s="19">
        <f>SUM(Table3[[#This Row],[OFC]:[WEO]])</f>
        <v>0.99999514110365795</v>
      </c>
      <c r="O105" s="19"/>
      <c r="Q105" s="3" t="str">
        <f>Table35[[#This Row],[Fiscal_Year]]*100+Table35[[#This Row],[Fiscal_Week]] &amp; "-" &amp;Table35[[#This Row],[Brand]]</f>
        <v>202144-Old Navy</v>
      </c>
      <c r="R105" t="str">
        <f>Table3[[#This Row],[Key]]</f>
        <v>2021-Old Navy</v>
      </c>
      <c r="S105">
        <f>Table3[[#This Row],[Fiscal_Year]]</f>
        <v>2021</v>
      </c>
      <c r="T105">
        <f>Table3[[#This Row],[Fiscal_Week]]</f>
        <v>44</v>
      </c>
      <c r="U105" t="str">
        <f>Table3[[#This Row],[Brand]]</f>
        <v>Old Navy</v>
      </c>
      <c r="V105">
        <f>Table3[[#This Row],[Demand]]</f>
        <v>8740593</v>
      </c>
      <c r="W105">
        <f>Table3[[#This Row],[OFC]]*Table3[[#This Row],[Demand]]</f>
        <v>1311088.95</v>
      </c>
      <c r="X105">
        <f>Table3[[#This Row],[TFC]]*Table3[[#This Row],[Demand]]</f>
        <v>1552329.3168000001</v>
      </c>
      <c r="Y105">
        <f>Table3[[#This Row],[WFC]]*Table3[[#This Row],[Demand]]</f>
        <v>0</v>
      </c>
      <c r="Z105">
        <f>Table3[[#This Row],[EAO]]*Table3[[#This Row],[Demand]]</f>
        <v>2380895.0635646451</v>
      </c>
      <c r="AA105">
        <f>Table3[[#This Row],[OCC]]*Table3[[#This Row],[Demand]]</f>
        <v>1398494.8800000001</v>
      </c>
      <c r="AB105">
        <f>Table3[[#This Row],[WEO]]*Table3[[#This Row],[Demand]]</f>
        <v>2097742.3199999998</v>
      </c>
      <c r="AC105" s="19">
        <f>SUM(Table35[[#This Row],[OFC]:[WEO]])</f>
        <v>8740550.5303646456</v>
      </c>
      <c r="AD105" s="19">
        <f>Table35[[#This Row],[Demand]]-Table35[[#This Row],[Total_Modeled_Demand]]</f>
        <v>42.469635354354978</v>
      </c>
    </row>
    <row r="106" spans="2:30" x14ac:dyDescent="0.3">
      <c r="B106" s="3" t="str">
        <f>Table3[[#This Row],[Fiscal_Year]]*100+Table3[[#This Row],[Fiscal_Week]] &amp; "-" &amp;Table3[[#This Row],[Brand]]</f>
        <v>202145-Athleta</v>
      </c>
      <c r="C106" t="str">
        <f t="shared" si="1"/>
        <v>2021-Athleta</v>
      </c>
      <c r="D106">
        <v>2021</v>
      </c>
      <c r="E106">
        <v>45</v>
      </c>
      <c r="F106" t="s">
        <v>19</v>
      </c>
      <c r="G106">
        <v>301512</v>
      </c>
      <c r="H106" s="3">
        <f>INDEX(Demand_Modeling!$A$13:$I$49,MATCH(Table3[[#This Row],[Key]],Demand_Modeling!$A$13:$A$49,0),MATCH(Table3[[#Headers],[OFC]],Demand_Modeling!$A$13:$I$13,0))</f>
        <v>0</v>
      </c>
      <c r="I106" s="3">
        <f>INDEX(Demand_Modeling!$A$13:$I$49,MATCH(Table3[[#This Row],[Key]],Demand_Modeling!$A$13:$A$49,0),MATCH(Table3[[#Headers],[TFC]],Demand_Modeling!$A$13:$I$13,0))</f>
        <v>1</v>
      </c>
      <c r="J106" s="3">
        <f>INDEX(Demand_Modeling!$A$13:$I$49,MATCH(Table3[[#This Row],[Key]],Demand_Modeling!$A$13:$A$49,0),MATCH(Table3[[#Headers],[WFC]],Demand_Modeling!$A$13:$I$13,0))</f>
        <v>0</v>
      </c>
      <c r="K106" s="3">
        <f>INDEX(Demand_Modeling!$A$13:$I$49,MATCH(Table3[[#This Row],[Key]],Demand_Modeling!$A$13:$A$49,0),MATCH(Table3[[#Headers],[EAO]],Demand_Modeling!$A$13:$I$13,0))</f>
        <v>3.447122356821831E-5</v>
      </c>
      <c r="L106" s="3">
        <f>INDEX(Demand_Modeling!$A$13:$I$49,MATCH(Table3[[#This Row],[Key]],Demand_Modeling!$A$13:$A$49,0),MATCH(Table3[[#Headers],[OCC]],Demand_Modeling!$A$13:$I$13,0))</f>
        <v>0</v>
      </c>
      <c r="M106" s="3">
        <f>INDEX(Demand_Modeling!$A$13:$I$49,MATCH(Table3[[#This Row],[Key]],Demand_Modeling!$A$13:$A$49,0),MATCH(Table3[[#Headers],[WEO]],Demand_Modeling!$A$13:$I$13,0))</f>
        <v>0</v>
      </c>
      <c r="N106" s="19">
        <f>SUM(Table3[[#This Row],[OFC]:[WEO]])</f>
        <v>1.0000344712235683</v>
      </c>
      <c r="O106" s="19"/>
      <c r="Q106" s="3" t="str">
        <f>Table35[[#This Row],[Fiscal_Year]]*100+Table35[[#This Row],[Fiscal_Week]] &amp; "-" &amp;Table35[[#This Row],[Brand]]</f>
        <v>202145-Athleta</v>
      </c>
      <c r="R106" t="str">
        <f>Table3[[#This Row],[Key]]</f>
        <v>2021-Athleta</v>
      </c>
      <c r="S106">
        <f>Table3[[#This Row],[Fiscal_Year]]</f>
        <v>2021</v>
      </c>
      <c r="T106">
        <f>Table3[[#This Row],[Fiscal_Week]]</f>
        <v>45</v>
      </c>
      <c r="U106" t="str">
        <f>Table3[[#This Row],[Brand]]</f>
        <v>Athleta</v>
      </c>
      <c r="V106">
        <f>Table3[[#This Row],[Demand]]</f>
        <v>301512</v>
      </c>
      <c r="W106">
        <f>Table3[[#This Row],[OFC]]*Table3[[#This Row],[Demand]]</f>
        <v>0</v>
      </c>
      <c r="X106">
        <f>Table3[[#This Row],[TFC]]*Table3[[#This Row],[Demand]]</f>
        <v>301512</v>
      </c>
      <c r="Y106">
        <f>Table3[[#This Row],[WFC]]*Table3[[#This Row],[Demand]]</f>
        <v>0</v>
      </c>
      <c r="Z106">
        <f>Table3[[#This Row],[EAO]]*Table3[[#This Row],[Demand]]</f>
        <v>10.393487560500638</v>
      </c>
      <c r="AA106">
        <f>Table3[[#This Row],[OCC]]*Table3[[#This Row],[Demand]]</f>
        <v>0</v>
      </c>
      <c r="AB106">
        <f>Table3[[#This Row],[WEO]]*Table3[[#This Row],[Demand]]</f>
        <v>0</v>
      </c>
      <c r="AC106" s="19">
        <f>SUM(Table35[[#This Row],[OFC]:[WEO]])</f>
        <v>301522.3934875605</v>
      </c>
      <c r="AD106" s="19">
        <f>Table35[[#This Row],[Demand]]-Table35[[#This Row],[Total_Modeled_Demand]]</f>
        <v>-10.393487560504582</v>
      </c>
    </row>
    <row r="107" spans="2:30" x14ac:dyDescent="0.3">
      <c r="B107" s="3" t="str">
        <f>Table3[[#This Row],[Fiscal_Year]]*100+Table3[[#This Row],[Fiscal_Week]] &amp; "-" &amp;Table3[[#This Row],[Brand]]</f>
        <v>202145-Banana Republic</v>
      </c>
      <c r="C107" t="str">
        <f t="shared" si="1"/>
        <v>2021-Banana Republic</v>
      </c>
      <c r="D107">
        <v>2021</v>
      </c>
      <c r="E107">
        <v>45</v>
      </c>
      <c r="F107" t="s">
        <v>18</v>
      </c>
      <c r="G107">
        <v>336925</v>
      </c>
      <c r="H107" s="3">
        <f>INDEX(Demand_Modeling!$A$13:$I$49,MATCH(Table3[[#This Row],[Key]],Demand_Modeling!$A$13:$A$49,0),MATCH(Table3[[#Headers],[OFC]],Demand_Modeling!$A$13:$I$13,0))</f>
        <v>0</v>
      </c>
      <c r="I107" s="3">
        <f>INDEX(Demand_Modeling!$A$13:$I$49,MATCH(Table3[[#This Row],[Key]],Demand_Modeling!$A$13:$A$49,0),MATCH(Table3[[#Headers],[TFC]],Demand_Modeling!$A$13:$I$13,0))</f>
        <v>1</v>
      </c>
      <c r="J107" s="3">
        <f>INDEX(Demand_Modeling!$A$13:$I$49,MATCH(Table3[[#This Row],[Key]],Demand_Modeling!$A$13:$A$49,0),MATCH(Table3[[#Headers],[WFC]],Demand_Modeling!$A$13:$I$13,0))</f>
        <v>3.4959629396853166E-6</v>
      </c>
      <c r="K107" s="3">
        <f>INDEX(Demand_Modeling!$A$13:$I$49,MATCH(Table3[[#This Row],[Key]],Demand_Modeling!$A$13:$A$49,0),MATCH(Table3[[#Headers],[EAO]],Demand_Modeling!$A$13:$I$13,0))</f>
        <v>4.2339995602855504E-5</v>
      </c>
      <c r="L107" s="3">
        <f>INDEX(Demand_Modeling!$A$13:$I$49,MATCH(Table3[[#This Row],[Key]],Demand_Modeling!$A$13:$A$49,0),MATCH(Table3[[#Headers],[OCC]],Demand_Modeling!$A$13:$I$13,0))</f>
        <v>0</v>
      </c>
      <c r="M107" s="3">
        <f>INDEX(Demand_Modeling!$A$13:$I$49,MATCH(Table3[[#This Row],[Key]],Demand_Modeling!$A$13:$A$49,0),MATCH(Table3[[#Headers],[WEO]],Demand_Modeling!$A$13:$I$13,0))</f>
        <v>0</v>
      </c>
      <c r="N107" s="19">
        <f>SUM(Table3[[#This Row],[OFC]:[WEO]])</f>
        <v>1.0000458359585425</v>
      </c>
      <c r="O107" s="19"/>
      <c r="Q107" s="3" t="str">
        <f>Table35[[#This Row],[Fiscal_Year]]*100+Table35[[#This Row],[Fiscal_Week]] &amp; "-" &amp;Table35[[#This Row],[Brand]]</f>
        <v>202145-Banana Republic</v>
      </c>
      <c r="R107" t="str">
        <f>Table3[[#This Row],[Key]]</f>
        <v>2021-Banana Republic</v>
      </c>
      <c r="S107">
        <f>Table3[[#This Row],[Fiscal_Year]]</f>
        <v>2021</v>
      </c>
      <c r="T107">
        <f>Table3[[#This Row],[Fiscal_Week]]</f>
        <v>45</v>
      </c>
      <c r="U107" t="str">
        <f>Table3[[#This Row],[Brand]]</f>
        <v>Banana Republic</v>
      </c>
      <c r="V107">
        <f>Table3[[#This Row],[Demand]]</f>
        <v>336925</v>
      </c>
      <c r="W107">
        <f>Table3[[#This Row],[OFC]]*Table3[[#This Row],[Demand]]</f>
        <v>0</v>
      </c>
      <c r="X107">
        <f>Table3[[#This Row],[TFC]]*Table3[[#This Row],[Demand]]</f>
        <v>336925</v>
      </c>
      <c r="Y107">
        <f>Table3[[#This Row],[WFC]]*Table3[[#This Row],[Demand]]</f>
        <v>1.1778773134534752</v>
      </c>
      <c r="Z107">
        <f>Table3[[#This Row],[EAO]]*Table3[[#This Row],[Demand]]</f>
        <v>14.265403018492091</v>
      </c>
      <c r="AA107">
        <f>Table3[[#This Row],[OCC]]*Table3[[#This Row],[Demand]]</f>
        <v>0</v>
      </c>
      <c r="AB107">
        <f>Table3[[#This Row],[WEO]]*Table3[[#This Row],[Demand]]</f>
        <v>0</v>
      </c>
      <c r="AC107" s="19">
        <f>SUM(Table35[[#This Row],[OFC]:[WEO]])</f>
        <v>336940.44328033197</v>
      </c>
      <c r="AD107" s="19">
        <f>Table35[[#This Row],[Demand]]-Table35[[#This Row],[Total_Modeled_Demand]]</f>
        <v>-15.44328033196507</v>
      </c>
    </row>
    <row r="108" spans="2:30" x14ac:dyDescent="0.3">
      <c r="B108" s="3" t="str">
        <f>Table3[[#This Row],[Fiscal_Year]]*100+Table3[[#This Row],[Fiscal_Week]] &amp; "-" &amp;Table3[[#This Row],[Brand]]</f>
        <v>202145-BR Factory Store</v>
      </c>
      <c r="C108" t="str">
        <f t="shared" si="1"/>
        <v>2021-BR Factory Store</v>
      </c>
      <c r="D108">
        <v>2021</v>
      </c>
      <c r="E108">
        <v>45</v>
      </c>
      <c r="F108" t="s">
        <v>17</v>
      </c>
      <c r="G108">
        <v>136664</v>
      </c>
      <c r="H108" s="3">
        <f>INDEX(Demand_Modeling!$A$13:$I$49,MATCH(Table3[[#This Row],[Key]],Demand_Modeling!$A$13:$A$49,0),MATCH(Table3[[#Headers],[OFC]],Demand_Modeling!$A$13:$I$13,0))</f>
        <v>1</v>
      </c>
      <c r="I108" s="3">
        <f>INDEX(Demand_Modeling!$A$13:$I$49,MATCH(Table3[[#This Row],[Key]],Demand_Modeling!$A$13:$A$49,0),MATCH(Table3[[#Headers],[TFC]],Demand_Modeling!$A$13:$I$13,0))</f>
        <v>0</v>
      </c>
      <c r="J108" s="3">
        <f>INDEX(Demand_Modeling!$A$13:$I$49,MATCH(Table3[[#This Row],[Key]],Demand_Modeling!$A$13:$A$49,0),MATCH(Table3[[#Headers],[WFC]],Demand_Modeling!$A$13:$I$13,0))</f>
        <v>0</v>
      </c>
      <c r="K108" s="3">
        <f>INDEX(Demand_Modeling!$A$13:$I$49,MATCH(Table3[[#This Row],[Key]],Demand_Modeling!$A$13:$A$49,0),MATCH(Table3[[#Headers],[EAO]],Demand_Modeling!$A$13:$I$13,0))</f>
        <v>0</v>
      </c>
      <c r="L108" s="3">
        <f>INDEX(Demand_Modeling!$A$13:$I$49,MATCH(Table3[[#This Row],[Key]],Demand_Modeling!$A$13:$A$49,0),MATCH(Table3[[#Headers],[OCC]],Demand_Modeling!$A$13:$I$13,0))</f>
        <v>0</v>
      </c>
      <c r="M108" s="3">
        <f>INDEX(Demand_Modeling!$A$13:$I$49,MATCH(Table3[[#This Row],[Key]],Demand_Modeling!$A$13:$A$49,0),MATCH(Table3[[#Headers],[WEO]],Demand_Modeling!$A$13:$I$13,0))</f>
        <v>0</v>
      </c>
      <c r="N108" s="19">
        <f>SUM(Table3[[#This Row],[OFC]:[WEO]])</f>
        <v>1</v>
      </c>
      <c r="O108" s="19"/>
      <c r="Q108" s="3" t="str">
        <f>Table35[[#This Row],[Fiscal_Year]]*100+Table35[[#This Row],[Fiscal_Week]] &amp; "-" &amp;Table35[[#This Row],[Brand]]</f>
        <v>202145-BR Factory Store</v>
      </c>
      <c r="R108" t="str">
        <f>Table3[[#This Row],[Key]]</f>
        <v>2021-BR Factory Store</v>
      </c>
      <c r="S108">
        <f>Table3[[#This Row],[Fiscal_Year]]</f>
        <v>2021</v>
      </c>
      <c r="T108">
        <f>Table3[[#This Row],[Fiscal_Week]]</f>
        <v>45</v>
      </c>
      <c r="U108" t="str">
        <f>Table3[[#This Row],[Brand]]</f>
        <v>BR Factory Store</v>
      </c>
      <c r="V108">
        <f>Table3[[#This Row],[Demand]]</f>
        <v>136664</v>
      </c>
      <c r="W108">
        <f>Table3[[#This Row],[OFC]]*Table3[[#This Row],[Demand]]</f>
        <v>136664</v>
      </c>
      <c r="X108">
        <f>Table3[[#This Row],[TFC]]*Table3[[#This Row],[Demand]]</f>
        <v>0</v>
      </c>
      <c r="Y108">
        <f>Table3[[#This Row],[WFC]]*Table3[[#This Row],[Demand]]</f>
        <v>0</v>
      </c>
      <c r="Z108">
        <f>Table3[[#This Row],[EAO]]*Table3[[#This Row],[Demand]]</f>
        <v>0</v>
      </c>
      <c r="AA108">
        <f>Table3[[#This Row],[OCC]]*Table3[[#This Row],[Demand]]</f>
        <v>0</v>
      </c>
      <c r="AB108">
        <f>Table3[[#This Row],[WEO]]*Table3[[#This Row],[Demand]]</f>
        <v>0</v>
      </c>
      <c r="AC108" s="19">
        <f>SUM(Table35[[#This Row],[OFC]:[WEO]])</f>
        <v>136664</v>
      </c>
      <c r="AD108" s="19">
        <f>Table35[[#This Row],[Demand]]-Table35[[#This Row],[Total_Modeled_Demand]]</f>
        <v>0</v>
      </c>
    </row>
    <row r="109" spans="2:30" x14ac:dyDescent="0.3">
      <c r="B109" s="3" t="str">
        <f>Table3[[#This Row],[Fiscal_Year]]*100+Table3[[#This Row],[Fiscal_Week]] &amp; "-" &amp;Table3[[#This Row],[Brand]]</f>
        <v>202145-Gap</v>
      </c>
      <c r="C109" t="str">
        <f t="shared" si="1"/>
        <v>2021-Gap</v>
      </c>
      <c r="D109">
        <v>2021</v>
      </c>
      <c r="E109">
        <v>45</v>
      </c>
      <c r="F109" t="s">
        <v>16</v>
      </c>
      <c r="G109">
        <v>1599261</v>
      </c>
      <c r="H109" s="3">
        <f>INDEX(Demand_Modeling!$A$13:$I$49,MATCH(Table3[[#This Row],[Key]],Demand_Modeling!$A$13:$A$49,0),MATCH(Table3[[#Headers],[OFC]],Demand_Modeling!$A$13:$I$13,0))</f>
        <v>0</v>
      </c>
      <c r="I109" s="3">
        <f>INDEX(Demand_Modeling!$A$13:$I$49,MATCH(Table3[[#This Row],[Key]],Demand_Modeling!$A$13:$A$49,0),MATCH(Table3[[#Headers],[TFC]],Demand_Modeling!$A$13:$I$13,0))</f>
        <v>0.2</v>
      </c>
      <c r="J109" s="3">
        <f>INDEX(Demand_Modeling!$A$13:$I$49,MATCH(Table3[[#This Row],[Key]],Demand_Modeling!$A$13:$A$49,0),MATCH(Table3[[#Headers],[WFC]],Demand_Modeling!$A$13:$I$13,0))</f>
        <v>0.15</v>
      </c>
      <c r="K109" s="3">
        <f>INDEX(Demand_Modeling!$A$13:$I$49,MATCH(Table3[[#This Row],[Key]],Demand_Modeling!$A$13:$A$49,0),MATCH(Table3[[#Headers],[EAO]],Demand_Modeling!$A$13:$I$13,0))</f>
        <v>0</v>
      </c>
      <c r="L109" s="3">
        <f>INDEX(Demand_Modeling!$A$13:$I$49,MATCH(Table3[[#This Row],[Key]],Demand_Modeling!$A$13:$A$49,0),MATCH(Table3[[#Headers],[OCC]],Demand_Modeling!$A$13:$I$13,0))</f>
        <v>0.25</v>
      </c>
      <c r="M109" s="3">
        <f>INDEX(Demand_Modeling!$A$13:$I$49,MATCH(Table3[[#This Row],[Key]],Demand_Modeling!$A$13:$A$49,0),MATCH(Table3[[#Headers],[WEO]],Demand_Modeling!$A$13:$I$13,0))</f>
        <v>0.4</v>
      </c>
      <c r="N109" s="19">
        <f>SUM(Table3[[#This Row],[OFC]:[WEO]])</f>
        <v>1</v>
      </c>
      <c r="O109" s="19"/>
      <c r="Q109" s="3" t="str">
        <f>Table35[[#This Row],[Fiscal_Year]]*100+Table35[[#This Row],[Fiscal_Week]] &amp; "-" &amp;Table35[[#This Row],[Brand]]</f>
        <v>202145-Gap</v>
      </c>
      <c r="R109" t="str">
        <f>Table3[[#This Row],[Key]]</f>
        <v>2021-Gap</v>
      </c>
      <c r="S109">
        <f>Table3[[#This Row],[Fiscal_Year]]</f>
        <v>2021</v>
      </c>
      <c r="T109">
        <f>Table3[[#This Row],[Fiscal_Week]]</f>
        <v>45</v>
      </c>
      <c r="U109" t="str">
        <f>Table3[[#This Row],[Brand]]</f>
        <v>Gap</v>
      </c>
      <c r="V109">
        <f>Table3[[#This Row],[Demand]]</f>
        <v>1599261</v>
      </c>
      <c r="W109">
        <f>Table3[[#This Row],[OFC]]*Table3[[#This Row],[Demand]]</f>
        <v>0</v>
      </c>
      <c r="X109">
        <f>Table3[[#This Row],[TFC]]*Table3[[#This Row],[Demand]]</f>
        <v>319852.2</v>
      </c>
      <c r="Y109">
        <f>Table3[[#This Row],[WFC]]*Table3[[#This Row],[Demand]]</f>
        <v>239889.15</v>
      </c>
      <c r="Z109">
        <f>Table3[[#This Row],[EAO]]*Table3[[#This Row],[Demand]]</f>
        <v>0</v>
      </c>
      <c r="AA109">
        <f>Table3[[#This Row],[OCC]]*Table3[[#This Row],[Demand]]</f>
        <v>399815.25</v>
      </c>
      <c r="AB109">
        <f>Table3[[#This Row],[WEO]]*Table3[[#This Row],[Demand]]</f>
        <v>639704.4</v>
      </c>
      <c r="AC109" s="19">
        <f>SUM(Table35[[#This Row],[OFC]:[WEO]])</f>
        <v>1599261</v>
      </c>
      <c r="AD109" s="19">
        <f>Table35[[#This Row],[Demand]]-Table35[[#This Row],[Total_Modeled_Demand]]</f>
        <v>0</v>
      </c>
    </row>
    <row r="110" spans="2:30" x14ac:dyDescent="0.3">
      <c r="B110" s="3" t="str">
        <f>Table3[[#This Row],[Fiscal_Year]]*100+Table3[[#This Row],[Fiscal_Week]] &amp; "-" &amp;Table3[[#This Row],[Brand]]</f>
        <v>202145-Gap Factory Store</v>
      </c>
      <c r="C110" t="str">
        <f t="shared" si="1"/>
        <v>2021-Gap Factory Store</v>
      </c>
      <c r="D110">
        <v>2021</v>
      </c>
      <c r="E110">
        <v>45</v>
      </c>
      <c r="F110" t="s">
        <v>22</v>
      </c>
      <c r="G110">
        <v>539677</v>
      </c>
      <c r="H110" s="3">
        <f>INDEX(Demand_Modeling!$A$13:$I$49,MATCH(Table3[[#This Row],[Key]],Demand_Modeling!$A$13:$A$49,0),MATCH(Table3[[#Headers],[OFC]],Demand_Modeling!$A$13:$I$13,0))</f>
        <v>1</v>
      </c>
      <c r="I110" s="3">
        <f>INDEX(Demand_Modeling!$A$13:$I$49,MATCH(Table3[[#This Row],[Key]],Demand_Modeling!$A$13:$A$49,0),MATCH(Table3[[#Headers],[TFC]],Demand_Modeling!$A$13:$I$13,0))</f>
        <v>0</v>
      </c>
      <c r="J110" s="3">
        <f>INDEX(Demand_Modeling!$A$13:$I$49,MATCH(Table3[[#This Row],[Key]],Demand_Modeling!$A$13:$A$49,0),MATCH(Table3[[#Headers],[WFC]],Demand_Modeling!$A$13:$I$13,0))</f>
        <v>0</v>
      </c>
      <c r="K110" s="3">
        <f>INDEX(Demand_Modeling!$A$13:$I$49,MATCH(Table3[[#This Row],[Key]],Demand_Modeling!$A$13:$A$49,0),MATCH(Table3[[#Headers],[EAO]],Demand_Modeling!$A$13:$I$13,0))</f>
        <v>0</v>
      </c>
      <c r="L110" s="3">
        <f>INDEX(Demand_Modeling!$A$13:$I$49,MATCH(Table3[[#This Row],[Key]],Demand_Modeling!$A$13:$A$49,0),MATCH(Table3[[#Headers],[OCC]],Demand_Modeling!$A$13:$I$13,0))</f>
        <v>0</v>
      </c>
      <c r="M110" s="3">
        <f>INDEX(Demand_Modeling!$A$13:$I$49,MATCH(Table3[[#This Row],[Key]],Demand_Modeling!$A$13:$A$49,0),MATCH(Table3[[#Headers],[WEO]],Demand_Modeling!$A$13:$I$13,0))</f>
        <v>0</v>
      </c>
      <c r="N110" s="19">
        <f>SUM(Table3[[#This Row],[OFC]:[WEO]])</f>
        <v>1</v>
      </c>
      <c r="O110" s="19"/>
      <c r="Q110" s="3" t="str">
        <f>Table35[[#This Row],[Fiscal_Year]]*100+Table35[[#This Row],[Fiscal_Week]] &amp; "-" &amp;Table35[[#This Row],[Brand]]</f>
        <v>202145-Gap Factory Store</v>
      </c>
      <c r="R110" t="str">
        <f>Table3[[#This Row],[Key]]</f>
        <v>2021-Gap Factory Store</v>
      </c>
      <c r="S110">
        <f>Table3[[#This Row],[Fiscal_Year]]</f>
        <v>2021</v>
      </c>
      <c r="T110">
        <f>Table3[[#This Row],[Fiscal_Week]]</f>
        <v>45</v>
      </c>
      <c r="U110" t="str">
        <f>Table3[[#This Row],[Brand]]</f>
        <v>Gap Factory Store</v>
      </c>
      <c r="V110">
        <f>Table3[[#This Row],[Demand]]</f>
        <v>539677</v>
      </c>
      <c r="W110">
        <f>Table3[[#This Row],[OFC]]*Table3[[#This Row],[Demand]]</f>
        <v>539677</v>
      </c>
      <c r="X110">
        <f>Table3[[#This Row],[TFC]]*Table3[[#This Row],[Demand]]</f>
        <v>0</v>
      </c>
      <c r="Y110">
        <f>Table3[[#This Row],[WFC]]*Table3[[#This Row],[Demand]]</f>
        <v>0</v>
      </c>
      <c r="Z110">
        <f>Table3[[#This Row],[EAO]]*Table3[[#This Row],[Demand]]</f>
        <v>0</v>
      </c>
      <c r="AA110">
        <f>Table3[[#This Row],[OCC]]*Table3[[#This Row],[Demand]]</f>
        <v>0</v>
      </c>
      <c r="AB110">
        <f>Table3[[#This Row],[WEO]]*Table3[[#This Row],[Demand]]</f>
        <v>0</v>
      </c>
      <c r="AC110" s="19">
        <f>SUM(Table35[[#This Row],[OFC]:[WEO]])</f>
        <v>539677</v>
      </c>
      <c r="AD110" s="19">
        <f>Table35[[#This Row],[Demand]]-Table35[[#This Row],[Total_Modeled_Demand]]</f>
        <v>0</v>
      </c>
    </row>
    <row r="111" spans="2:30" x14ac:dyDescent="0.3">
      <c r="B111" s="3" t="str">
        <f>Table3[[#This Row],[Fiscal_Year]]*100+Table3[[#This Row],[Fiscal_Week]] &amp; "-" &amp;Table3[[#This Row],[Brand]]</f>
        <v>202145-Old Navy</v>
      </c>
      <c r="C111" t="str">
        <f t="shared" si="1"/>
        <v>2021-Old Navy</v>
      </c>
      <c r="D111">
        <v>2021</v>
      </c>
      <c r="E111">
        <v>45</v>
      </c>
      <c r="F111" t="s">
        <v>20</v>
      </c>
      <c r="G111">
        <v>4603849</v>
      </c>
      <c r="H111" s="3">
        <f>INDEX(Demand_Modeling!$A$13:$I$49,MATCH(Table3[[#This Row],[Key]],Demand_Modeling!$A$13:$A$49,0),MATCH(Table3[[#Headers],[OFC]],Demand_Modeling!$A$13:$I$13,0))</f>
        <v>0.15</v>
      </c>
      <c r="I111" s="3">
        <f>INDEX(Demand_Modeling!$A$13:$I$49,MATCH(Table3[[#This Row],[Key]],Demand_Modeling!$A$13:$A$49,0),MATCH(Table3[[#Headers],[TFC]],Demand_Modeling!$A$13:$I$13,0))</f>
        <v>0.17760000000000001</v>
      </c>
      <c r="J111" s="3">
        <f>INDEX(Demand_Modeling!$A$13:$I$49,MATCH(Table3[[#This Row],[Key]],Demand_Modeling!$A$13:$A$49,0),MATCH(Table3[[#Headers],[WFC]],Demand_Modeling!$A$13:$I$13,0))</f>
        <v>0</v>
      </c>
      <c r="K111" s="3">
        <f>INDEX(Demand_Modeling!$A$13:$I$49,MATCH(Table3[[#This Row],[Key]],Demand_Modeling!$A$13:$A$49,0),MATCH(Table3[[#Headers],[EAO]],Demand_Modeling!$A$13:$I$13,0))</f>
        <v>0.27239514110365798</v>
      </c>
      <c r="L111" s="3">
        <f>INDEX(Demand_Modeling!$A$13:$I$49,MATCH(Table3[[#This Row],[Key]],Demand_Modeling!$A$13:$A$49,0),MATCH(Table3[[#Headers],[OCC]],Demand_Modeling!$A$13:$I$13,0))</f>
        <v>0.16</v>
      </c>
      <c r="M111" s="3">
        <f>INDEX(Demand_Modeling!$A$13:$I$49,MATCH(Table3[[#This Row],[Key]],Demand_Modeling!$A$13:$A$49,0),MATCH(Table3[[#Headers],[WEO]],Demand_Modeling!$A$13:$I$13,0))</f>
        <v>0.24</v>
      </c>
      <c r="N111" s="19">
        <f>SUM(Table3[[#This Row],[OFC]:[WEO]])</f>
        <v>0.99999514110365795</v>
      </c>
      <c r="O111" s="19"/>
      <c r="Q111" s="3" t="str">
        <f>Table35[[#This Row],[Fiscal_Year]]*100+Table35[[#This Row],[Fiscal_Week]] &amp; "-" &amp;Table35[[#This Row],[Brand]]</f>
        <v>202145-Old Navy</v>
      </c>
      <c r="R111" t="str">
        <f>Table3[[#This Row],[Key]]</f>
        <v>2021-Old Navy</v>
      </c>
      <c r="S111">
        <f>Table3[[#This Row],[Fiscal_Year]]</f>
        <v>2021</v>
      </c>
      <c r="T111">
        <f>Table3[[#This Row],[Fiscal_Week]]</f>
        <v>45</v>
      </c>
      <c r="U111" t="str">
        <f>Table3[[#This Row],[Brand]]</f>
        <v>Old Navy</v>
      </c>
      <c r="V111">
        <f>Table3[[#This Row],[Demand]]</f>
        <v>4603849</v>
      </c>
      <c r="W111">
        <f>Table3[[#This Row],[OFC]]*Table3[[#This Row],[Demand]]</f>
        <v>690577.35</v>
      </c>
      <c r="X111">
        <f>Table3[[#This Row],[TFC]]*Table3[[#This Row],[Demand]]</f>
        <v>817643.58240000007</v>
      </c>
      <c r="Y111">
        <f>Table3[[#This Row],[WFC]]*Table3[[#This Row],[Demand]]</f>
        <v>0</v>
      </c>
      <c r="Z111">
        <f>Table3[[#This Row],[EAO]]*Table3[[#This Row],[Demand]]</f>
        <v>1254066.0979749346</v>
      </c>
      <c r="AA111">
        <f>Table3[[#This Row],[OCC]]*Table3[[#This Row],[Demand]]</f>
        <v>736615.84</v>
      </c>
      <c r="AB111">
        <f>Table3[[#This Row],[WEO]]*Table3[[#This Row],[Demand]]</f>
        <v>1104923.76</v>
      </c>
      <c r="AC111" s="19">
        <f>SUM(Table35[[#This Row],[OFC]:[WEO]])</f>
        <v>4603826.6303749345</v>
      </c>
      <c r="AD111" s="19">
        <f>Table35[[#This Row],[Demand]]-Table35[[#This Row],[Total_Modeled_Demand]]</f>
        <v>22.369625065475702</v>
      </c>
    </row>
    <row r="112" spans="2:30" x14ac:dyDescent="0.3">
      <c r="B112" s="3" t="str">
        <f>Table3[[#This Row],[Fiscal_Year]]*100+Table3[[#This Row],[Fiscal_Week]] &amp; "-" &amp;Table3[[#This Row],[Brand]]</f>
        <v>202146-Athleta</v>
      </c>
      <c r="C112" t="str">
        <f t="shared" si="1"/>
        <v>2021-Athleta</v>
      </c>
      <c r="D112">
        <v>2021</v>
      </c>
      <c r="E112">
        <v>46</v>
      </c>
      <c r="F112" t="s">
        <v>19</v>
      </c>
      <c r="G112">
        <v>318975</v>
      </c>
      <c r="H112" s="3">
        <f>INDEX(Demand_Modeling!$A$13:$I$49,MATCH(Table3[[#This Row],[Key]],Demand_Modeling!$A$13:$A$49,0),MATCH(Table3[[#Headers],[OFC]],Demand_Modeling!$A$13:$I$13,0))</f>
        <v>0</v>
      </c>
      <c r="I112" s="3">
        <f>INDEX(Demand_Modeling!$A$13:$I$49,MATCH(Table3[[#This Row],[Key]],Demand_Modeling!$A$13:$A$49,0),MATCH(Table3[[#Headers],[TFC]],Demand_Modeling!$A$13:$I$13,0))</f>
        <v>1</v>
      </c>
      <c r="J112" s="3">
        <f>INDEX(Demand_Modeling!$A$13:$I$49,MATCH(Table3[[#This Row],[Key]],Demand_Modeling!$A$13:$A$49,0),MATCH(Table3[[#Headers],[WFC]],Demand_Modeling!$A$13:$I$13,0))</f>
        <v>0</v>
      </c>
      <c r="K112" s="3">
        <f>INDEX(Demand_Modeling!$A$13:$I$49,MATCH(Table3[[#This Row],[Key]],Demand_Modeling!$A$13:$A$49,0),MATCH(Table3[[#Headers],[EAO]],Demand_Modeling!$A$13:$I$13,0))</f>
        <v>3.447122356821831E-5</v>
      </c>
      <c r="L112" s="3">
        <f>INDEX(Demand_Modeling!$A$13:$I$49,MATCH(Table3[[#This Row],[Key]],Demand_Modeling!$A$13:$A$49,0),MATCH(Table3[[#Headers],[OCC]],Demand_Modeling!$A$13:$I$13,0))</f>
        <v>0</v>
      </c>
      <c r="M112" s="3">
        <f>INDEX(Demand_Modeling!$A$13:$I$49,MATCH(Table3[[#This Row],[Key]],Demand_Modeling!$A$13:$A$49,0),MATCH(Table3[[#Headers],[WEO]],Demand_Modeling!$A$13:$I$13,0))</f>
        <v>0</v>
      </c>
      <c r="N112" s="19">
        <f>SUM(Table3[[#This Row],[OFC]:[WEO]])</f>
        <v>1.0000344712235683</v>
      </c>
      <c r="O112" s="19"/>
      <c r="Q112" s="3" t="str">
        <f>Table35[[#This Row],[Fiscal_Year]]*100+Table35[[#This Row],[Fiscal_Week]] &amp; "-" &amp;Table35[[#This Row],[Brand]]</f>
        <v>202146-Athleta</v>
      </c>
      <c r="R112" t="str">
        <f>Table3[[#This Row],[Key]]</f>
        <v>2021-Athleta</v>
      </c>
      <c r="S112">
        <f>Table3[[#This Row],[Fiscal_Year]]</f>
        <v>2021</v>
      </c>
      <c r="T112">
        <f>Table3[[#This Row],[Fiscal_Week]]</f>
        <v>46</v>
      </c>
      <c r="U112" t="str">
        <f>Table3[[#This Row],[Brand]]</f>
        <v>Athleta</v>
      </c>
      <c r="V112">
        <f>Table3[[#This Row],[Demand]]</f>
        <v>318975</v>
      </c>
      <c r="W112">
        <f>Table3[[#This Row],[OFC]]*Table3[[#This Row],[Demand]]</f>
        <v>0</v>
      </c>
      <c r="X112">
        <f>Table3[[#This Row],[TFC]]*Table3[[#This Row],[Demand]]</f>
        <v>318975</v>
      </c>
      <c r="Y112">
        <f>Table3[[#This Row],[WFC]]*Table3[[#This Row],[Demand]]</f>
        <v>0</v>
      </c>
      <c r="Z112">
        <f>Table3[[#This Row],[EAO]]*Table3[[#This Row],[Demand]]</f>
        <v>10.995458537672436</v>
      </c>
      <c r="AA112">
        <f>Table3[[#This Row],[OCC]]*Table3[[#This Row],[Demand]]</f>
        <v>0</v>
      </c>
      <c r="AB112">
        <f>Table3[[#This Row],[WEO]]*Table3[[#This Row],[Demand]]</f>
        <v>0</v>
      </c>
      <c r="AC112" s="19">
        <f>SUM(Table35[[#This Row],[OFC]:[WEO]])</f>
        <v>318985.99545853765</v>
      </c>
      <c r="AD112" s="19">
        <f>Table35[[#This Row],[Demand]]-Table35[[#This Row],[Total_Modeled_Demand]]</f>
        <v>-10.995458537654486</v>
      </c>
    </row>
    <row r="113" spans="2:30" x14ac:dyDescent="0.3">
      <c r="B113" s="3" t="str">
        <f>Table3[[#This Row],[Fiscal_Year]]*100+Table3[[#This Row],[Fiscal_Week]] &amp; "-" &amp;Table3[[#This Row],[Brand]]</f>
        <v>202146-Banana Republic</v>
      </c>
      <c r="C113" t="str">
        <f t="shared" si="1"/>
        <v>2021-Banana Republic</v>
      </c>
      <c r="D113">
        <v>2021</v>
      </c>
      <c r="E113">
        <v>46</v>
      </c>
      <c r="F113" t="s">
        <v>18</v>
      </c>
      <c r="G113">
        <v>306237</v>
      </c>
      <c r="H113" s="3">
        <f>INDEX(Demand_Modeling!$A$13:$I$49,MATCH(Table3[[#This Row],[Key]],Demand_Modeling!$A$13:$A$49,0),MATCH(Table3[[#Headers],[OFC]],Demand_Modeling!$A$13:$I$13,0))</f>
        <v>0</v>
      </c>
      <c r="I113" s="3">
        <f>INDEX(Demand_Modeling!$A$13:$I$49,MATCH(Table3[[#This Row],[Key]],Demand_Modeling!$A$13:$A$49,0),MATCH(Table3[[#Headers],[TFC]],Demand_Modeling!$A$13:$I$13,0))</f>
        <v>1</v>
      </c>
      <c r="J113" s="3">
        <f>INDEX(Demand_Modeling!$A$13:$I$49,MATCH(Table3[[#This Row],[Key]],Demand_Modeling!$A$13:$A$49,0),MATCH(Table3[[#Headers],[WFC]],Demand_Modeling!$A$13:$I$13,0))</f>
        <v>3.4959629396853166E-6</v>
      </c>
      <c r="K113" s="3">
        <f>INDEX(Demand_Modeling!$A$13:$I$49,MATCH(Table3[[#This Row],[Key]],Demand_Modeling!$A$13:$A$49,0),MATCH(Table3[[#Headers],[EAO]],Demand_Modeling!$A$13:$I$13,0))</f>
        <v>4.2339995602855504E-5</v>
      </c>
      <c r="L113" s="3">
        <f>INDEX(Demand_Modeling!$A$13:$I$49,MATCH(Table3[[#This Row],[Key]],Demand_Modeling!$A$13:$A$49,0),MATCH(Table3[[#Headers],[OCC]],Demand_Modeling!$A$13:$I$13,0))</f>
        <v>0</v>
      </c>
      <c r="M113" s="3">
        <f>INDEX(Demand_Modeling!$A$13:$I$49,MATCH(Table3[[#This Row],[Key]],Demand_Modeling!$A$13:$A$49,0),MATCH(Table3[[#Headers],[WEO]],Demand_Modeling!$A$13:$I$13,0))</f>
        <v>0</v>
      </c>
      <c r="N113" s="19">
        <f>SUM(Table3[[#This Row],[OFC]:[WEO]])</f>
        <v>1.0000458359585425</v>
      </c>
      <c r="O113" s="19"/>
      <c r="Q113" s="3" t="str">
        <f>Table35[[#This Row],[Fiscal_Year]]*100+Table35[[#This Row],[Fiscal_Week]] &amp; "-" &amp;Table35[[#This Row],[Brand]]</f>
        <v>202146-Banana Republic</v>
      </c>
      <c r="R113" t="str">
        <f>Table3[[#This Row],[Key]]</f>
        <v>2021-Banana Republic</v>
      </c>
      <c r="S113">
        <f>Table3[[#This Row],[Fiscal_Year]]</f>
        <v>2021</v>
      </c>
      <c r="T113">
        <f>Table3[[#This Row],[Fiscal_Week]]</f>
        <v>46</v>
      </c>
      <c r="U113" t="str">
        <f>Table3[[#This Row],[Brand]]</f>
        <v>Banana Republic</v>
      </c>
      <c r="V113">
        <f>Table3[[#This Row],[Demand]]</f>
        <v>306237</v>
      </c>
      <c r="W113">
        <f>Table3[[#This Row],[OFC]]*Table3[[#This Row],[Demand]]</f>
        <v>0</v>
      </c>
      <c r="X113">
        <f>Table3[[#This Row],[TFC]]*Table3[[#This Row],[Demand]]</f>
        <v>306237</v>
      </c>
      <c r="Y113">
        <f>Table3[[#This Row],[WFC]]*Table3[[#This Row],[Demand]]</f>
        <v>1.0705932027604124</v>
      </c>
      <c r="Z113">
        <f>Table3[[#This Row],[EAO]]*Table3[[#This Row],[Demand]]</f>
        <v>12.966073233431661</v>
      </c>
      <c r="AA113">
        <f>Table3[[#This Row],[OCC]]*Table3[[#This Row],[Demand]]</f>
        <v>0</v>
      </c>
      <c r="AB113">
        <f>Table3[[#This Row],[WEO]]*Table3[[#This Row],[Demand]]</f>
        <v>0</v>
      </c>
      <c r="AC113" s="19">
        <f>SUM(Table35[[#This Row],[OFC]:[WEO]])</f>
        <v>306251.03666643624</v>
      </c>
      <c r="AD113" s="19">
        <f>Table35[[#This Row],[Demand]]-Table35[[#This Row],[Total_Modeled_Demand]]</f>
        <v>-14.036666436237283</v>
      </c>
    </row>
    <row r="114" spans="2:30" x14ac:dyDescent="0.3">
      <c r="B114" s="3" t="str">
        <f>Table3[[#This Row],[Fiscal_Year]]*100+Table3[[#This Row],[Fiscal_Week]] &amp; "-" &amp;Table3[[#This Row],[Brand]]</f>
        <v>202146-BR Factory Store</v>
      </c>
      <c r="C114" t="str">
        <f t="shared" si="1"/>
        <v>2021-BR Factory Store</v>
      </c>
      <c r="D114">
        <v>2021</v>
      </c>
      <c r="E114">
        <v>46</v>
      </c>
      <c r="F114" t="s">
        <v>17</v>
      </c>
      <c r="G114">
        <v>192182</v>
      </c>
      <c r="H114" s="3">
        <f>INDEX(Demand_Modeling!$A$13:$I$49,MATCH(Table3[[#This Row],[Key]],Demand_Modeling!$A$13:$A$49,0),MATCH(Table3[[#Headers],[OFC]],Demand_Modeling!$A$13:$I$13,0))</f>
        <v>1</v>
      </c>
      <c r="I114" s="3">
        <f>INDEX(Demand_Modeling!$A$13:$I$49,MATCH(Table3[[#This Row],[Key]],Demand_Modeling!$A$13:$A$49,0),MATCH(Table3[[#Headers],[TFC]],Demand_Modeling!$A$13:$I$13,0))</f>
        <v>0</v>
      </c>
      <c r="J114" s="3">
        <f>INDEX(Demand_Modeling!$A$13:$I$49,MATCH(Table3[[#This Row],[Key]],Demand_Modeling!$A$13:$A$49,0),MATCH(Table3[[#Headers],[WFC]],Demand_Modeling!$A$13:$I$13,0))</f>
        <v>0</v>
      </c>
      <c r="K114" s="3">
        <f>INDEX(Demand_Modeling!$A$13:$I$49,MATCH(Table3[[#This Row],[Key]],Demand_Modeling!$A$13:$A$49,0),MATCH(Table3[[#Headers],[EAO]],Demand_Modeling!$A$13:$I$13,0))</f>
        <v>0</v>
      </c>
      <c r="L114" s="3">
        <f>INDEX(Demand_Modeling!$A$13:$I$49,MATCH(Table3[[#This Row],[Key]],Demand_Modeling!$A$13:$A$49,0),MATCH(Table3[[#Headers],[OCC]],Demand_Modeling!$A$13:$I$13,0))</f>
        <v>0</v>
      </c>
      <c r="M114" s="3">
        <f>INDEX(Demand_Modeling!$A$13:$I$49,MATCH(Table3[[#This Row],[Key]],Demand_Modeling!$A$13:$A$49,0),MATCH(Table3[[#Headers],[WEO]],Demand_Modeling!$A$13:$I$13,0))</f>
        <v>0</v>
      </c>
      <c r="N114" s="19">
        <f>SUM(Table3[[#This Row],[OFC]:[WEO]])</f>
        <v>1</v>
      </c>
      <c r="O114" s="19"/>
      <c r="Q114" s="3" t="str">
        <f>Table35[[#This Row],[Fiscal_Year]]*100+Table35[[#This Row],[Fiscal_Week]] &amp; "-" &amp;Table35[[#This Row],[Brand]]</f>
        <v>202146-BR Factory Store</v>
      </c>
      <c r="R114" t="str">
        <f>Table3[[#This Row],[Key]]</f>
        <v>2021-BR Factory Store</v>
      </c>
      <c r="S114">
        <f>Table3[[#This Row],[Fiscal_Year]]</f>
        <v>2021</v>
      </c>
      <c r="T114">
        <f>Table3[[#This Row],[Fiscal_Week]]</f>
        <v>46</v>
      </c>
      <c r="U114" t="str">
        <f>Table3[[#This Row],[Brand]]</f>
        <v>BR Factory Store</v>
      </c>
      <c r="V114">
        <f>Table3[[#This Row],[Demand]]</f>
        <v>192182</v>
      </c>
      <c r="W114">
        <f>Table3[[#This Row],[OFC]]*Table3[[#This Row],[Demand]]</f>
        <v>192182</v>
      </c>
      <c r="X114">
        <f>Table3[[#This Row],[TFC]]*Table3[[#This Row],[Demand]]</f>
        <v>0</v>
      </c>
      <c r="Y114">
        <f>Table3[[#This Row],[WFC]]*Table3[[#This Row],[Demand]]</f>
        <v>0</v>
      </c>
      <c r="Z114">
        <f>Table3[[#This Row],[EAO]]*Table3[[#This Row],[Demand]]</f>
        <v>0</v>
      </c>
      <c r="AA114">
        <f>Table3[[#This Row],[OCC]]*Table3[[#This Row],[Demand]]</f>
        <v>0</v>
      </c>
      <c r="AB114">
        <f>Table3[[#This Row],[WEO]]*Table3[[#This Row],[Demand]]</f>
        <v>0</v>
      </c>
      <c r="AC114" s="19">
        <f>SUM(Table35[[#This Row],[OFC]:[WEO]])</f>
        <v>192182</v>
      </c>
      <c r="AD114" s="19">
        <f>Table35[[#This Row],[Demand]]-Table35[[#This Row],[Total_Modeled_Demand]]</f>
        <v>0</v>
      </c>
    </row>
    <row r="115" spans="2:30" x14ac:dyDescent="0.3">
      <c r="B115" s="3" t="str">
        <f>Table3[[#This Row],[Fiscal_Year]]*100+Table3[[#This Row],[Fiscal_Week]] &amp; "-" &amp;Table3[[#This Row],[Brand]]</f>
        <v>202146-Gap</v>
      </c>
      <c r="C115" t="str">
        <f t="shared" si="1"/>
        <v>2021-Gap</v>
      </c>
      <c r="D115">
        <v>2021</v>
      </c>
      <c r="E115">
        <v>46</v>
      </c>
      <c r="F115" t="s">
        <v>16</v>
      </c>
      <c r="G115">
        <v>1469828</v>
      </c>
      <c r="H115" s="3">
        <f>INDEX(Demand_Modeling!$A$13:$I$49,MATCH(Table3[[#This Row],[Key]],Demand_Modeling!$A$13:$A$49,0),MATCH(Table3[[#Headers],[OFC]],Demand_Modeling!$A$13:$I$13,0))</f>
        <v>0</v>
      </c>
      <c r="I115" s="3">
        <f>INDEX(Demand_Modeling!$A$13:$I$49,MATCH(Table3[[#This Row],[Key]],Demand_Modeling!$A$13:$A$49,0),MATCH(Table3[[#Headers],[TFC]],Demand_Modeling!$A$13:$I$13,0))</f>
        <v>0.2</v>
      </c>
      <c r="J115" s="3">
        <f>INDEX(Demand_Modeling!$A$13:$I$49,MATCH(Table3[[#This Row],[Key]],Demand_Modeling!$A$13:$A$49,0),MATCH(Table3[[#Headers],[WFC]],Demand_Modeling!$A$13:$I$13,0))</f>
        <v>0.15</v>
      </c>
      <c r="K115" s="3">
        <f>INDEX(Demand_Modeling!$A$13:$I$49,MATCH(Table3[[#This Row],[Key]],Demand_Modeling!$A$13:$A$49,0),MATCH(Table3[[#Headers],[EAO]],Demand_Modeling!$A$13:$I$13,0))</f>
        <v>0</v>
      </c>
      <c r="L115" s="3">
        <f>INDEX(Demand_Modeling!$A$13:$I$49,MATCH(Table3[[#This Row],[Key]],Demand_Modeling!$A$13:$A$49,0),MATCH(Table3[[#Headers],[OCC]],Demand_Modeling!$A$13:$I$13,0))</f>
        <v>0.25</v>
      </c>
      <c r="M115" s="3">
        <f>INDEX(Demand_Modeling!$A$13:$I$49,MATCH(Table3[[#This Row],[Key]],Demand_Modeling!$A$13:$A$49,0),MATCH(Table3[[#Headers],[WEO]],Demand_Modeling!$A$13:$I$13,0))</f>
        <v>0.4</v>
      </c>
      <c r="N115" s="19">
        <f>SUM(Table3[[#This Row],[OFC]:[WEO]])</f>
        <v>1</v>
      </c>
      <c r="O115" s="19"/>
      <c r="Q115" s="3" t="str">
        <f>Table35[[#This Row],[Fiscal_Year]]*100+Table35[[#This Row],[Fiscal_Week]] &amp; "-" &amp;Table35[[#This Row],[Brand]]</f>
        <v>202146-Gap</v>
      </c>
      <c r="R115" t="str">
        <f>Table3[[#This Row],[Key]]</f>
        <v>2021-Gap</v>
      </c>
      <c r="S115">
        <f>Table3[[#This Row],[Fiscal_Year]]</f>
        <v>2021</v>
      </c>
      <c r="T115">
        <f>Table3[[#This Row],[Fiscal_Week]]</f>
        <v>46</v>
      </c>
      <c r="U115" t="str">
        <f>Table3[[#This Row],[Brand]]</f>
        <v>Gap</v>
      </c>
      <c r="V115">
        <f>Table3[[#This Row],[Demand]]</f>
        <v>1469828</v>
      </c>
      <c r="W115">
        <f>Table3[[#This Row],[OFC]]*Table3[[#This Row],[Demand]]</f>
        <v>0</v>
      </c>
      <c r="X115">
        <f>Table3[[#This Row],[TFC]]*Table3[[#This Row],[Demand]]</f>
        <v>293965.60000000003</v>
      </c>
      <c r="Y115">
        <f>Table3[[#This Row],[WFC]]*Table3[[#This Row],[Demand]]</f>
        <v>220474.19999999998</v>
      </c>
      <c r="Z115">
        <f>Table3[[#This Row],[EAO]]*Table3[[#This Row],[Demand]]</f>
        <v>0</v>
      </c>
      <c r="AA115">
        <f>Table3[[#This Row],[OCC]]*Table3[[#This Row],[Demand]]</f>
        <v>367457</v>
      </c>
      <c r="AB115">
        <f>Table3[[#This Row],[WEO]]*Table3[[#This Row],[Demand]]</f>
        <v>587931.20000000007</v>
      </c>
      <c r="AC115" s="19">
        <f>SUM(Table35[[#This Row],[OFC]:[WEO]])</f>
        <v>1469828</v>
      </c>
      <c r="AD115" s="19">
        <f>Table35[[#This Row],[Demand]]-Table35[[#This Row],[Total_Modeled_Demand]]</f>
        <v>0</v>
      </c>
    </row>
    <row r="116" spans="2:30" x14ac:dyDescent="0.3">
      <c r="B116" s="3" t="str">
        <f>Table3[[#This Row],[Fiscal_Year]]*100+Table3[[#This Row],[Fiscal_Week]] &amp; "-" &amp;Table3[[#This Row],[Brand]]</f>
        <v>202146-Gap Factory Store</v>
      </c>
      <c r="C116" t="str">
        <f t="shared" si="1"/>
        <v>2021-Gap Factory Store</v>
      </c>
      <c r="D116">
        <v>2021</v>
      </c>
      <c r="E116">
        <v>46</v>
      </c>
      <c r="F116" t="s">
        <v>22</v>
      </c>
      <c r="G116">
        <v>321081</v>
      </c>
      <c r="H116" s="3">
        <f>INDEX(Demand_Modeling!$A$13:$I$49,MATCH(Table3[[#This Row],[Key]],Demand_Modeling!$A$13:$A$49,0),MATCH(Table3[[#Headers],[OFC]],Demand_Modeling!$A$13:$I$13,0))</f>
        <v>1</v>
      </c>
      <c r="I116" s="3">
        <f>INDEX(Demand_Modeling!$A$13:$I$49,MATCH(Table3[[#This Row],[Key]],Demand_Modeling!$A$13:$A$49,0),MATCH(Table3[[#Headers],[TFC]],Demand_Modeling!$A$13:$I$13,0))</f>
        <v>0</v>
      </c>
      <c r="J116" s="3">
        <f>INDEX(Demand_Modeling!$A$13:$I$49,MATCH(Table3[[#This Row],[Key]],Demand_Modeling!$A$13:$A$49,0),MATCH(Table3[[#Headers],[WFC]],Demand_Modeling!$A$13:$I$13,0))</f>
        <v>0</v>
      </c>
      <c r="K116" s="3">
        <f>INDEX(Demand_Modeling!$A$13:$I$49,MATCH(Table3[[#This Row],[Key]],Demand_Modeling!$A$13:$A$49,0),MATCH(Table3[[#Headers],[EAO]],Demand_Modeling!$A$13:$I$13,0))</f>
        <v>0</v>
      </c>
      <c r="L116" s="3">
        <f>INDEX(Demand_Modeling!$A$13:$I$49,MATCH(Table3[[#This Row],[Key]],Demand_Modeling!$A$13:$A$49,0),MATCH(Table3[[#Headers],[OCC]],Demand_Modeling!$A$13:$I$13,0))</f>
        <v>0</v>
      </c>
      <c r="M116" s="3">
        <f>INDEX(Demand_Modeling!$A$13:$I$49,MATCH(Table3[[#This Row],[Key]],Demand_Modeling!$A$13:$A$49,0),MATCH(Table3[[#Headers],[WEO]],Demand_Modeling!$A$13:$I$13,0))</f>
        <v>0</v>
      </c>
      <c r="N116" s="19">
        <f>SUM(Table3[[#This Row],[OFC]:[WEO]])</f>
        <v>1</v>
      </c>
      <c r="O116" s="19"/>
      <c r="Q116" s="3" t="str">
        <f>Table35[[#This Row],[Fiscal_Year]]*100+Table35[[#This Row],[Fiscal_Week]] &amp; "-" &amp;Table35[[#This Row],[Brand]]</f>
        <v>202146-Gap Factory Store</v>
      </c>
      <c r="R116" t="str">
        <f>Table3[[#This Row],[Key]]</f>
        <v>2021-Gap Factory Store</v>
      </c>
      <c r="S116">
        <f>Table3[[#This Row],[Fiscal_Year]]</f>
        <v>2021</v>
      </c>
      <c r="T116">
        <f>Table3[[#This Row],[Fiscal_Week]]</f>
        <v>46</v>
      </c>
      <c r="U116" t="str">
        <f>Table3[[#This Row],[Brand]]</f>
        <v>Gap Factory Store</v>
      </c>
      <c r="V116">
        <f>Table3[[#This Row],[Demand]]</f>
        <v>321081</v>
      </c>
      <c r="W116">
        <f>Table3[[#This Row],[OFC]]*Table3[[#This Row],[Demand]]</f>
        <v>321081</v>
      </c>
      <c r="X116">
        <f>Table3[[#This Row],[TFC]]*Table3[[#This Row],[Demand]]</f>
        <v>0</v>
      </c>
      <c r="Y116">
        <f>Table3[[#This Row],[WFC]]*Table3[[#This Row],[Demand]]</f>
        <v>0</v>
      </c>
      <c r="Z116">
        <f>Table3[[#This Row],[EAO]]*Table3[[#This Row],[Demand]]</f>
        <v>0</v>
      </c>
      <c r="AA116">
        <f>Table3[[#This Row],[OCC]]*Table3[[#This Row],[Demand]]</f>
        <v>0</v>
      </c>
      <c r="AB116">
        <f>Table3[[#This Row],[WEO]]*Table3[[#This Row],[Demand]]</f>
        <v>0</v>
      </c>
      <c r="AC116" s="19">
        <f>SUM(Table35[[#This Row],[OFC]:[WEO]])</f>
        <v>321081</v>
      </c>
      <c r="AD116" s="19">
        <f>Table35[[#This Row],[Demand]]-Table35[[#This Row],[Total_Modeled_Demand]]</f>
        <v>0</v>
      </c>
    </row>
    <row r="117" spans="2:30" x14ac:dyDescent="0.3">
      <c r="B117" s="3" t="str">
        <f>Table3[[#This Row],[Fiscal_Year]]*100+Table3[[#This Row],[Fiscal_Week]] &amp; "-" &amp;Table3[[#This Row],[Brand]]</f>
        <v>202146-Old Navy</v>
      </c>
      <c r="C117" t="str">
        <f t="shared" si="1"/>
        <v>2021-Old Navy</v>
      </c>
      <c r="D117">
        <v>2021</v>
      </c>
      <c r="E117">
        <v>46</v>
      </c>
      <c r="F117" t="s">
        <v>20</v>
      </c>
      <c r="G117">
        <v>3841424</v>
      </c>
      <c r="H117" s="3">
        <f>INDEX(Demand_Modeling!$A$13:$I$49,MATCH(Table3[[#This Row],[Key]],Demand_Modeling!$A$13:$A$49,0),MATCH(Table3[[#Headers],[OFC]],Demand_Modeling!$A$13:$I$13,0))</f>
        <v>0.15</v>
      </c>
      <c r="I117" s="3">
        <f>INDEX(Demand_Modeling!$A$13:$I$49,MATCH(Table3[[#This Row],[Key]],Demand_Modeling!$A$13:$A$49,0),MATCH(Table3[[#Headers],[TFC]],Demand_Modeling!$A$13:$I$13,0))</f>
        <v>0.17760000000000001</v>
      </c>
      <c r="J117" s="3">
        <f>INDEX(Demand_Modeling!$A$13:$I$49,MATCH(Table3[[#This Row],[Key]],Demand_Modeling!$A$13:$A$49,0),MATCH(Table3[[#Headers],[WFC]],Demand_Modeling!$A$13:$I$13,0))</f>
        <v>0</v>
      </c>
      <c r="K117" s="3">
        <f>INDEX(Demand_Modeling!$A$13:$I$49,MATCH(Table3[[#This Row],[Key]],Demand_Modeling!$A$13:$A$49,0),MATCH(Table3[[#Headers],[EAO]],Demand_Modeling!$A$13:$I$13,0))</f>
        <v>0.27239514110365798</v>
      </c>
      <c r="L117" s="3">
        <f>INDEX(Demand_Modeling!$A$13:$I$49,MATCH(Table3[[#This Row],[Key]],Demand_Modeling!$A$13:$A$49,0),MATCH(Table3[[#Headers],[OCC]],Demand_Modeling!$A$13:$I$13,0))</f>
        <v>0.16</v>
      </c>
      <c r="M117" s="3">
        <f>INDEX(Demand_Modeling!$A$13:$I$49,MATCH(Table3[[#This Row],[Key]],Demand_Modeling!$A$13:$A$49,0),MATCH(Table3[[#Headers],[WEO]],Demand_Modeling!$A$13:$I$13,0))</f>
        <v>0.24</v>
      </c>
      <c r="N117" s="19">
        <f>SUM(Table3[[#This Row],[OFC]:[WEO]])</f>
        <v>0.99999514110365795</v>
      </c>
      <c r="O117" s="19"/>
      <c r="Q117" s="3" t="str">
        <f>Table35[[#This Row],[Fiscal_Year]]*100+Table35[[#This Row],[Fiscal_Week]] &amp; "-" &amp;Table35[[#This Row],[Brand]]</f>
        <v>202146-Old Navy</v>
      </c>
      <c r="R117" t="str">
        <f>Table3[[#This Row],[Key]]</f>
        <v>2021-Old Navy</v>
      </c>
      <c r="S117">
        <f>Table3[[#This Row],[Fiscal_Year]]</f>
        <v>2021</v>
      </c>
      <c r="T117">
        <f>Table3[[#This Row],[Fiscal_Week]]</f>
        <v>46</v>
      </c>
      <c r="U117" t="str">
        <f>Table3[[#This Row],[Brand]]</f>
        <v>Old Navy</v>
      </c>
      <c r="V117">
        <f>Table3[[#This Row],[Demand]]</f>
        <v>3841424</v>
      </c>
      <c r="W117">
        <f>Table3[[#This Row],[OFC]]*Table3[[#This Row],[Demand]]</f>
        <v>576213.6</v>
      </c>
      <c r="X117">
        <f>Table3[[#This Row],[TFC]]*Table3[[#This Row],[Demand]]</f>
        <v>682236.90240000002</v>
      </c>
      <c r="Y117">
        <f>Table3[[#This Row],[WFC]]*Table3[[#This Row],[Demand]]</f>
        <v>0</v>
      </c>
      <c r="Z117">
        <f>Table3[[#This Row],[EAO]]*Table3[[#This Row],[Demand]]</f>
        <v>1046385.2325189783</v>
      </c>
      <c r="AA117">
        <f>Table3[[#This Row],[OCC]]*Table3[[#This Row],[Demand]]</f>
        <v>614627.83999999997</v>
      </c>
      <c r="AB117">
        <f>Table3[[#This Row],[WEO]]*Table3[[#This Row],[Demand]]</f>
        <v>921941.76</v>
      </c>
      <c r="AC117" s="19">
        <f>SUM(Table35[[#This Row],[OFC]:[WEO]])</f>
        <v>3841405.3349189786</v>
      </c>
      <c r="AD117" s="19">
        <f>Table35[[#This Row],[Demand]]-Table35[[#This Row],[Total_Modeled_Demand]]</f>
        <v>18.665081021375954</v>
      </c>
    </row>
    <row r="118" spans="2:30" x14ac:dyDescent="0.3">
      <c r="B118" s="3" t="str">
        <f>Table3[[#This Row],[Fiscal_Year]]*100+Table3[[#This Row],[Fiscal_Week]] &amp; "-" &amp;Table3[[#This Row],[Brand]]</f>
        <v>202147-Athleta</v>
      </c>
      <c r="C118" t="str">
        <f t="shared" si="1"/>
        <v>2021-Athleta</v>
      </c>
      <c r="D118">
        <v>2021</v>
      </c>
      <c r="E118">
        <v>47</v>
      </c>
      <c r="F118" t="s">
        <v>19</v>
      </c>
      <c r="G118">
        <v>375532</v>
      </c>
      <c r="H118" s="3">
        <f>INDEX(Demand_Modeling!$A$13:$I$49,MATCH(Table3[[#This Row],[Key]],Demand_Modeling!$A$13:$A$49,0),MATCH(Table3[[#Headers],[OFC]],Demand_Modeling!$A$13:$I$13,0))</f>
        <v>0</v>
      </c>
      <c r="I118" s="3">
        <f>INDEX(Demand_Modeling!$A$13:$I$49,MATCH(Table3[[#This Row],[Key]],Demand_Modeling!$A$13:$A$49,0),MATCH(Table3[[#Headers],[TFC]],Demand_Modeling!$A$13:$I$13,0))</f>
        <v>1</v>
      </c>
      <c r="J118" s="3">
        <f>INDEX(Demand_Modeling!$A$13:$I$49,MATCH(Table3[[#This Row],[Key]],Demand_Modeling!$A$13:$A$49,0),MATCH(Table3[[#Headers],[WFC]],Demand_Modeling!$A$13:$I$13,0))</f>
        <v>0</v>
      </c>
      <c r="K118" s="3">
        <f>INDEX(Demand_Modeling!$A$13:$I$49,MATCH(Table3[[#This Row],[Key]],Demand_Modeling!$A$13:$A$49,0),MATCH(Table3[[#Headers],[EAO]],Demand_Modeling!$A$13:$I$13,0))</f>
        <v>3.447122356821831E-5</v>
      </c>
      <c r="L118" s="3">
        <f>INDEX(Demand_Modeling!$A$13:$I$49,MATCH(Table3[[#This Row],[Key]],Demand_Modeling!$A$13:$A$49,0),MATCH(Table3[[#Headers],[OCC]],Demand_Modeling!$A$13:$I$13,0))</f>
        <v>0</v>
      </c>
      <c r="M118" s="3">
        <f>INDEX(Demand_Modeling!$A$13:$I$49,MATCH(Table3[[#This Row],[Key]],Demand_Modeling!$A$13:$A$49,0),MATCH(Table3[[#Headers],[WEO]],Demand_Modeling!$A$13:$I$13,0))</f>
        <v>0</v>
      </c>
      <c r="N118" s="19">
        <f>SUM(Table3[[#This Row],[OFC]:[WEO]])</f>
        <v>1.0000344712235683</v>
      </c>
      <c r="O118" s="19"/>
      <c r="Q118" s="3" t="str">
        <f>Table35[[#This Row],[Fiscal_Year]]*100+Table35[[#This Row],[Fiscal_Week]] &amp; "-" &amp;Table35[[#This Row],[Brand]]</f>
        <v>202147-Athleta</v>
      </c>
      <c r="R118" t="str">
        <f>Table3[[#This Row],[Key]]</f>
        <v>2021-Athleta</v>
      </c>
      <c r="S118">
        <f>Table3[[#This Row],[Fiscal_Year]]</f>
        <v>2021</v>
      </c>
      <c r="T118">
        <f>Table3[[#This Row],[Fiscal_Week]]</f>
        <v>47</v>
      </c>
      <c r="U118" t="str">
        <f>Table3[[#This Row],[Brand]]</f>
        <v>Athleta</v>
      </c>
      <c r="V118">
        <f>Table3[[#This Row],[Demand]]</f>
        <v>375532</v>
      </c>
      <c r="W118">
        <f>Table3[[#This Row],[OFC]]*Table3[[#This Row],[Demand]]</f>
        <v>0</v>
      </c>
      <c r="X118">
        <f>Table3[[#This Row],[TFC]]*Table3[[#This Row],[Demand]]</f>
        <v>375532</v>
      </c>
      <c r="Y118">
        <f>Table3[[#This Row],[WFC]]*Table3[[#This Row],[Demand]]</f>
        <v>0</v>
      </c>
      <c r="Z118">
        <f>Table3[[#This Row],[EAO]]*Table3[[#This Row],[Demand]]</f>
        <v>12.945047529020158</v>
      </c>
      <c r="AA118">
        <f>Table3[[#This Row],[OCC]]*Table3[[#This Row],[Demand]]</f>
        <v>0</v>
      </c>
      <c r="AB118">
        <f>Table3[[#This Row],[WEO]]*Table3[[#This Row],[Demand]]</f>
        <v>0</v>
      </c>
      <c r="AC118" s="19">
        <f>SUM(Table35[[#This Row],[OFC]:[WEO]])</f>
        <v>375544.94504752901</v>
      </c>
      <c r="AD118" s="19">
        <f>Table35[[#This Row],[Demand]]-Table35[[#This Row],[Total_Modeled_Demand]]</f>
        <v>-12.945047529006843</v>
      </c>
    </row>
    <row r="119" spans="2:30" x14ac:dyDescent="0.3">
      <c r="B119" s="3" t="str">
        <f>Table3[[#This Row],[Fiscal_Year]]*100+Table3[[#This Row],[Fiscal_Week]] &amp; "-" &amp;Table3[[#This Row],[Brand]]</f>
        <v>202147-Banana Republic</v>
      </c>
      <c r="C119" t="str">
        <f t="shared" si="1"/>
        <v>2021-Banana Republic</v>
      </c>
      <c r="D119">
        <v>2021</v>
      </c>
      <c r="E119">
        <v>47</v>
      </c>
      <c r="F119" t="s">
        <v>18</v>
      </c>
      <c r="G119">
        <v>339407</v>
      </c>
      <c r="H119" s="3">
        <f>INDEX(Demand_Modeling!$A$13:$I$49,MATCH(Table3[[#This Row],[Key]],Demand_Modeling!$A$13:$A$49,0),MATCH(Table3[[#Headers],[OFC]],Demand_Modeling!$A$13:$I$13,0))</f>
        <v>0</v>
      </c>
      <c r="I119" s="3">
        <f>INDEX(Demand_Modeling!$A$13:$I$49,MATCH(Table3[[#This Row],[Key]],Demand_Modeling!$A$13:$A$49,0),MATCH(Table3[[#Headers],[TFC]],Demand_Modeling!$A$13:$I$13,0))</f>
        <v>1</v>
      </c>
      <c r="J119" s="3">
        <f>INDEX(Demand_Modeling!$A$13:$I$49,MATCH(Table3[[#This Row],[Key]],Demand_Modeling!$A$13:$A$49,0),MATCH(Table3[[#Headers],[WFC]],Demand_Modeling!$A$13:$I$13,0))</f>
        <v>3.4959629396853166E-6</v>
      </c>
      <c r="K119" s="3">
        <f>INDEX(Demand_Modeling!$A$13:$I$49,MATCH(Table3[[#This Row],[Key]],Demand_Modeling!$A$13:$A$49,0),MATCH(Table3[[#Headers],[EAO]],Demand_Modeling!$A$13:$I$13,0))</f>
        <v>4.2339995602855504E-5</v>
      </c>
      <c r="L119" s="3">
        <f>INDEX(Demand_Modeling!$A$13:$I$49,MATCH(Table3[[#This Row],[Key]],Demand_Modeling!$A$13:$A$49,0),MATCH(Table3[[#Headers],[OCC]],Demand_Modeling!$A$13:$I$13,0))</f>
        <v>0</v>
      </c>
      <c r="M119" s="3">
        <f>INDEX(Demand_Modeling!$A$13:$I$49,MATCH(Table3[[#This Row],[Key]],Demand_Modeling!$A$13:$A$49,0),MATCH(Table3[[#Headers],[WEO]],Demand_Modeling!$A$13:$I$13,0))</f>
        <v>0</v>
      </c>
      <c r="N119" s="19">
        <f>SUM(Table3[[#This Row],[OFC]:[WEO]])</f>
        <v>1.0000458359585425</v>
      </c>
      <c r="O119" s="19"/>
      <c r="Q119" s="3" t="str">
        <f>Table35[[#This Row],[Fiscal_Year]]*100+Table35[[#This Row],[Fiscal_Week]] &amp; "-" &amp;Table35[[#This Row],[Brand]]</f>
        <v>202147-Banana Republic</v>
      </c>
      <c r="R119" t="str">
        <f>Table3[[#This Row],[Key]]</f>
        <v>2021-Banana Republic</v>
      </c>
      <c r="S119">
        <f>Table3[[#This Row],[Fiscal_Year]]</f>
        <v>2021</v>
      </c>
      <c r="T119">
        <f>Table3[[#This Row],[Fiscal_Week]]</f>
        <v>47</v>
      </c>
      <c r="U119" t="str">
        <f>Table3[[#This Row],[Brand]]</f>
        <v>Banana Republic</v>
      </c>
      <c r="V119">
        <f>Table3[[#This Row],[Demand]]</f>
        <v>339407</v>
      </c>
      <c r="W119">
        <f>Table3[[#This Row],[OFC]]*Table3[[#This Row],[Demand]]</f>
        <v>0</v>
      </c>
      <c r="X119">
        <f>Table3[[#This Row],[TFC]]*Table3[[#This Row],[Demand]]</f>
        <v>339407</v>
      </c>
      <c r="Y119">
        <f>Table3[[#This Row],[WFC]]*Table3[[#This Row],[Demand]]</f>
        <v>1.1865542934697741</v>
      </c>
      <c r="Z119">
        <f>Table3[[#This Row],[EAO]]*Table3[[#This Row],[Demand]]</f>
        <v>14.370490887578379</v>
      </c>
      <c r="AA119">
        <f>Table3[[#This Row],[OCC]]*Table3[[#This Row],[Demand]]</f>
        <v>0</v>
      </c>
      <c r="AB119">
        <f>Table3[[#This Row],[WEO]]*Table3[[#This Row],[Demand]]</f>
        <v>0</v>
      </c>
      <c r="AC119" s="19">
        <f>SUM(Table35[[#This Row],[OFC]:[WEO]])</f>
        <v>339422.55704518105</v>
      </c>
      <c r="AD119" s="19">
        <f>Table35[[#This Row],[Demand]]-Table35[[#This Row],[Total_Modeled_Demand]]</f>
        <v>-15.557045181049034</v>
      </c>
    </row>
    <row r="120" spans="2:30" x14ac:dyDescent="0.3">
      <c r="B120" s="3" t="str">
        <f>Table3[[#This Row],[Fiscal_Year]]*100+Table3[[#This Row],[Fiscal_Week]] &amp; "-" &amp;Table3[[#This Row],[Brand]]</f>
        <v>202147-BR Factory Store</v>
      </c>
      <c r="C120" t="str">
        <f t="shared" si="1"/>
        <v>2021-BR Factory Store</v>
      </c>
      <c r="D120">
        <v>2021</v>
      </c>
      <c r="E120">
        <v>47</v>
      </c>
      <c r="F120" t="s">
        <v>17</v>
      </c>
      <c r="G120">
        <v>167946</v>
      </c>
      <c r="H120" s="3">
        <f>INDEX(Demand_Modeling!$A$13:$I$49,MATCH(Table3[[#This Row],[Key]],Demand_Modeling!$A$13:$A$49,0),MATCH(Table3[[#Headers],[OFC]],Demand_Modeling!$A$13:$I$13,0))</f>
        <v>1</v>
      </c>
      <c r="I120" s="3">
        <f>INDEX(Demand_Modeling!$A$13:$I$49,MATCH(Table3[[#This Row],[Key]],Demand_Modeling!$A$13:$A$49,0),MATCH(Table3[[#Headers],[TFC]],Demand_Modeling!$A$13:$I$13,0))</f>
        <v>0</v>
      </c>
      <c r="J120" s="3">
        <f>INDEX(Demand_Modeling!$A$13:$I$49,MATCH(Table3[[#This Row],[Key]],Demand_Modeling!$A$13:$A$49,0),MATCH(Table3[[#Headers],[WFC]],Demand_Modeling!$A$13:$I$13,0))</f>
        <v>0</v>
      </c>
      <c r="K120" s="3">
        <f>INDEX(Demand_Modeling!$A$13:$I$49,MATCH(Table3[[#This Row],[Key]],Demand_Modeling!$A$13:$A$49,0),MATCH(Table3[[#Headers],[EAO]],Demand_Modeling!$A$13:$I$13,0))</f>
        <v>0</v>
      </c>
      <c r="L120" s="3">
        <f>INDEX(Demand_Modeling!$A$13:$I$49,MATCH(Table3[[#This Row],[Key]],Demand_Modeling!$A$13:$A$49,0),MATCH(Table3[[#Headers],[OCC]],Demand_Modeling!$A$13:$I$13,0))</f>
        <v>0</v>
      </c>
      <c r="M120" s="3">
        <f>INDEX(Demand_Modeling!$A$13:$I$49,MATCH(Table3[[#This Row],[Key]],Demand_Modeling!$A$13:$A$49,0),MATCH(Table3[[#Headers],[WEO]],Demand_Modeling!$A$13:$I$13,0))</f>
        <v>0</v>
      </c>
      <c r="N120" s="19">
        <f>SUM(Table3[[#This Row],[OFC]:[WEO]])</f>
        <v>1</v>
      </c>
      <c r="O120" s="19"/>
      <c r="Q120" s="3" t="str">
        <f>Table35[[#This Row],[Fiscal_Year]]*100+Table35[[#This Row],[Fiscal_Week]] &amp; "-" &amp;Table35[[#This Row],[Brand]]</f>
        <v>202147-BR Factory Store</v>
      </c>
      <c r="R120" t="str">
        <f>Table3[[#This Row],[Key]]</f>
        <v>2021-BR Factory Store</v>
      </c>
      <c r="S120">
        <f>Table3[[#This Row],[Fiscal_Year]]</f>
        <v>2021</v>
      </c>
      <c r="T120">
        <f>Table3[[#This Row],[Fiscal_Week]]</f>
        <v>47</v>
      </c>
      <c r="U120" t="str">
        <f>Table3[[#This Row],[Brand]]</f>
        <v>BR Factory Store</v>
      </c>
      <c r="V120">
        <f>Table3[[#This Row],[Demand]]</f>
        <v>167946</v>
      </c>
      <c r="W120">
        <f>Table3[[#This Row],[OFC]]*Table3[[#This Row],[Demand]]</f>
        <v>167946</v>
      </c>
      <c r="X120">
        <f>Table3[[#This Row],[TFC]]*Table3[[#This Row],[Demand]]</f>
        <v>0</v>
      </c>
      <c r="Y120">
        <f>Table3[[#This Row],[WFC]]*Table3[[#This Row],[Demand]]</f>
        <v>0</v>
      </c>
      <c r="Z120">
        <f>Table3[[#This Row],[EAO]]*Table3[[#This Row],[Demand]]</f>
        <v>0</v>
      </c>
      <c r="AA120">
        <f>Table3[[#This Row],[OCC]]*Table3[[#This Row],[Demand]]</f>
        <v>0</v>
      </c>
      <c r="AB120">
        <f>Table3[[#This Row],[WEO]]*Table3[[#This Row],[Demand]]</f>
        <v>0</v>
      </c>
      <c r="AC120" s="19">
        <f>SUM(Table35[[#This Row],[OFC]:[WEO]])</f>
        <v>167946</v>
      </c>
      <c r="AD120" s="19">
        <f>Table35[[#This Row],[Demand]]-Table35[[#This Row],[Total_Modeled_Demand]]</f>
        <v>0</v>
      </c>
    </row>
    <row r="121" spans="2:30" x14ac:dyDescent="0.3">
      <c r="B121" s="3" t="str">
        <f>Table3[[#This Row],[Fiscal_Year]]*100+Table3[[#This Row],[Fiscal_Week]] &amp; "-" &amp;Table3[[#This Row],[Brand]]</f>
        <v>202147-Gap</v>
      </c>
      <c r="C121" t="str">
        <f t="shared" si="1"/>
        <v>2021-Gap</v>
      </c>
      <c r="D121">
        <v>2021</v>
      </c>
      <c r="E121">
        <v>47</v>
      </c>
      <c r="F121" t="s">
        <v>16</v>
      </c>
      <c r="G121">
        <v>1227539</v>
      </c>
      <c r="H121" s="3">
        <f>INDEX(Demand_Modeling!$A$13:$I$49,MATCH(Table3[[#This Row],[Key]],Demand_Modeling!$A$13:$A$49,0),MATCH(Table3[[#Headers],[OFC]],Demand_Modeling!$A$13:$I$13,0))</f>
        <v>0</v>
      </c>
      <c r="I121" s="3">
        <f>INDEX(Demand_Modeling!$A$13:$I$49,MATCH(Table3[[#This Row],[Key]],Demand_Modeling!$A$13:$A$49,0),MATCH(Table3[[#Headers],[TFC]],Demand_Modeling!$A$13:$I$13,0))</f>
        <v>0.2</v>
      </c>
      <c r="J121" s="3">
        <f>INDEX(Demand_Modeling!$A$13:$I$49,MATCH(Table3[[#This Row],[Key]],Demand_Modeling!$A$13:$A$49,0),MATCH(Table3[[#Headers],[WFC]],Demand_Modeling!$A$13:$I$13,0))</f>
        <v>0.15</v>
      </c>
      <c r="K121" s="3">
        <f>INDEX(Demand_Modeling!$A$13:$I$49,MATCH(Table3[[#This Row],[Key]],Demand_Modeling!$A$13:$A$49,0),MATCH(Table3[[#Headers],[EAO]],Demand_Modeling!$A$13:$I$13,0))</f>
        <v>0</v>
      </c>
      <c r="L121" s="3">
        <f>INDEX(Demand_Modeling!$A$13:$I$49,MATCH(Table3[[#This Row],[Key]],Demand_Modeling!$A$13:$A$49,0),MATCH(Table3[[#Headers],[OCC]],Demand_Modeling!$A$13:$I$13,0))</f>
        <v>0.25</v>
      </c>
      <c r="M121" s="3">
        <f>INDEX(Demand_Modeling!$A$13:$I$49,MATCH(Table3[[#This Row],[Key]],Demand_Modeling!$A$13:$A$49,0),MATCH(Table3[[#Headers],[WEO]],Demand_Modeling!$A$13:$I$13,0))</f>
        <v>0.4</v>
      </c>
      <c r="N121" s="19">
        <f>SUM(Table3[[#This Row],[OFC]:[WEO]])</f>
        <v>1</v>
      </c>
      <c r="O121" s="19"/>
      <c r="Q121" s="3" t="str">
        <f>Table35[[#This Row],[Fiscal_Year]]*100+Table35[[#This Row],[Fiscal_Week]] &amp; "-" &amp;Table35[[#This Row],[Brand]]</f>
        <v>202147-Gap</v>
      </c>
      <c r="R121" t="str">
        <f>Table3[[#This Row],[Key]]</f>
        <v>2021-Gap</v>
      </c>
      <c r="S121">
        <f>Table3[[#This Row],[Fiscal_Year]]</f>
        <v>2021</v>
      </c>
      <c r="T121">
        <f>Table3[[#This Row],[Fiscal_Week]]</f>
        <v>47</v>
      </c>
      <c r="U121" t="str">
        <f>Table3[[#This Row],[Brand]]</f>
        <v>Gap</v>
      </c>
      <c r="V121">
        <f>Table3[[#This Row],[Demand]]</f>
        <v>1227539</v>
      </c>
      <c r="W121">
        <f>Table3[[#This Row],[OFC]]*Table3[[#This Row],[Demand]]</f>
        <v>0</v>
      </c>
      <c r="X121">
        <f>Table3[[#This Row],[TFC]]*Table3[[#This Row],[Demand]]</f>
        <v>245507.80000000002</v>
      </c>
      <c r="Y121">
        <f>Table3[[#This Row],[WFC]]*Table3[[#This Row],[Demand]]</f>
        <v>184130.85</v>
      </c>
      <c r="Z121">
        <f>Table3[[#This Row],[EAO]]*Table3[[#This Row],[Demand]]</f>
        <v>0</v>
      </c>
      <c r="AA121">
        <f>Table3[[#This Row],[OCC]]*Table3[[#This Row],[Demand]]</f>
        <v>306884.75</v>
      </c>
      <c r="AB121">
        <f>Table3[[#This Row],[WEO]]*Table3[[#This Row],[Demand]]</f>
        <v>491015.60000000003</v>
      </c>
      <c r="AC121" s="19">
        <f>SUM(Table35[[#This Row],[OFC]:[WEO]])</f>
        <v>1227539</v>
      </c>
      <c r="AD121" s="19">
        <f>Table35[[#This Row],[Demand]]-Table35[[#This Row],[Total_Modeled_Demand]]</f>
        <v>0</v>
      </c>
    </row>
    <row r="122" spans="2:30" x14ac:dyDescent="0.3">
      <c r="B122" s="3" t="str">
        <f>Table3[[#This Row],[Fiscal_Year]]*100+Table3[[#This Row],[Fiscal_Week]] &amp; "-" &amp;Table3[[#This Row],[Brand]]</f>
        <v>202147-Gap Factory Store</v>
      </c>
      <c r="C122" t="str">
        <f t="shared" si="1"/>
        <v>2021-Gap Factory Store</v>
      </c>
      <c r="D122">
        <v>2021</v>
      </c>
      <c r="E122">
        <v>47</v>
      </c>
      <c r="F122" t="s">
        <v>22</v>
      </c>
      <c r="G122">
        <v>375002</v>
      </c>
      <c r="H122" s="3">
        <f>INDEX(Demand_Modeling!$A$13:$I$49,MATCH(Table3[[#This Row],[Key]],Demand_Modeling!$A$13:$A$49,0),MATCH(Table3[[#Headers],[OFC]],Demand_Modeling!$A$13:$I$13,0))</f>
        <v>1</v>
      </c>
      <c r="I122" s="3">
        <f>INDEX(Demand_Modeling!$A$13:$I$49,MATCH(Table3[[#This Row],[Key]],Demand_Modeling!$A$13:$A$49,0),MATCH(Table3[[#Headers],[TFC]],Demand_Modeling!$A$13:$I$13,0))</f>
        <v>0</v>
      </c>
      <c r="J122" s="3">
        <f>INDEX(Demand_Modeling!$A$13:$I$49,MATCH(Table3[[#This Row],[Key]],Demand_Modeling!$A$13:$A$49,0),MATCH(Table3[[#Headers],[WFC]],Demand_Modeling!$A$13:$I$13,0))</f>
        <v>0</v>
      </c>
      <c r="K122" s="3">
        <f>INDEX(Demand_Modeling!$A$13:$I$49,MATCH(Table3[[#This Row],[Key]],Demand_Modeling!$A$13:$A$49,0),MATCH(Table3[[#Headers],[EAO]],Demand_Modeling!$A$13:$I$13,0))</f>
        <v>0</v>
      </c>
      <c r="L122" s="3">
        <f>INDEX(Demand_Modeling!$A$13:$I$49,MATCH(Table3[[#This Row],[Key]],Demand_Modeling!$A$13:$A$49,0),MATCH(Table3[[#Headers],[OCC]],Demand_Modeling!$A$13:$I$13,0))</f>
        <v>0</v>
      </c>
      <c r="M122" s="3">
        <f>INDEX(Demand_Modeling!$A$13:$I$49,MATCH(Table3[[#This Row],[Key]],Demand_Modeling!$A$13:$A$49,0),MATCH(Table3[[#Headers],[WEO]],Demand_Modeling!$A$13:$I$13,0))</f>
        <v>0</v>
      </c>
      <c r="N122" s="19">
        <f>SUM(Table3[[#This Row],[OFC]:[WEO]])</f>
        <v>1</v>
      </c>
      <c r="O122" s="19"/>
      <c r="Q122" s="3" t="str">
        <f>Table35[[#This Row],[Fiscal_Year]]*100+Table35[[#This Row],[Fiscal_Week]] &amp; "-" &amp;Table35[[#This Row],[Brand]]</f>
        <v>202147-Gap Factory Store</v>
      </c>
      <c r="R122" t="str">
        <f>Table3[[#This Row],[Key]]</f>
        <v>2021-Gap Factory Store</v>
      </c>
      <c r="S122">
        <f>Table3[[#This Row],[Fiscal_Year]]</f>
        <v>2021</v>
      </c>
      <c r="T122">
        <f>Table3[[#This Row],[Fiscal_Week]]</f>
        <v>47</v>
      </c>
      <c r="U122" t="str">
        <f>Table3[[#This Row],[Brand]]</f>
        <v>Gap Factory Store</v>
      </c>
      <c r="V122">
        <f>Table3[[#This Row],[Demand]]</f>
        <v>375002</v>
      </c>
      <c r="W122">
        <f>Table3[[#This Row],[OFC]]*Table3[[#This Row],[Demand]]</f>
        <v>375002</v>
      </c>
      <c r="X122">
        <f>Table3[[#This Row],[TFC]]*Table3[[#This Row],[Demand]]</f>
        <v>0</v>
      </c>
      <c r="Y122">
        <f>Table3[[#This Row],[WFC]]*Table3[[#This Row],[Demand]]</f>
        <v>0</v>
      </c>
      <c r="Z122">
        <f>Table3[[#This Row],[EAO]]*Table3[[#This Row],[Demand]]</f>
        <v>0</v>
      </c>
      <c r="AA122">
        <f>Table3[[#This Row],[OCC]]*Table3[[#This Row],[Demand]]</f>
        <v>0</v>
      </c>
      <c r="AB122">
        <f>Table3[[#This Row],[WEO]]*Table3[[#This Row],[Demand]]</f>
        <v>0</v>
      </c>
      <c r="AC122" s="19">
        <f>SUM(Table35[[#This Row],[OFC]:[WEO]])</f>
        <v>375002</v>
      </c>
      <c r="AD122" s="19">
        <f>Table35[[#This Row],[Demand]]-Table35[[#This Row],[Total_Modeled_Demand]]</f>
        <v>0</v>
      </c>
    </row>
    <row r="123" spans="2:30" x14ac:dyDescent="0.3">
      <c r="B123" s="3" t="str">
        <f>Table3[[#This Row],[Fiscal_Year]]*100+Table3[[#This Row],[Fiscal_Week]] &amp; "-" &amp;Table3[[#This Row],[Brand]]</f>
        <v>202147-Old Navy</v>
      </c>
      <c r="C123" t="str">
        <f t="shared" si="1"/>
        <v>2021-Old Navy</v>
      </c>
      <c r="D123">
        <v>2021</v>
      </c>
      <c r="E123">
        <v>47</v>
      </c>
      <c r="F123" t="s">
        <v>20</v>
      </c>
      <c r="G123">
        <v>2038499</v>
      </c>
      <c r="H123" s="3">
        <f>INDEX(Demand_Modeling!$A$13:$I$49,MATCH(Table3[[#This Row],[Key]],Demand_Modeling!$A$13:$A$49,0),MATCH(Table3[[#Headers],[OFC]],Demand_Modeling!$A$13:$I$13,0))</f>
        <v>0.15</v>
      </c>
      <c r="I123" s="3">
        <f>INDEX(Demand_Modeling!$A$13:$I$49,MATCH(Table3[[#This Row],[Key]],Demand_Modeling!$A$13:$A$49,0),MATCH(Table3[[#Headers],[TFC]],Demand_Modeling!$A$13:$I$13,0))</f>
        <v>0.17760000000000001</v>
      </c>
      <c r="J123" s="3">
        <f>INDEX(Demand_Modeling!$A$13:$I$49,MATCH(Table3[[#This Row],[Key]],Demand_Modeling!$A$13:$A$49,0),MATCH(Table3[[#Headers],[WFC]],Demand_Modeling!$A$13:$I$13,0))</f>
        <v>0</v>
      </c>
      <c r="K123" s="3">
        <f>INDEX(Demand_Modeling!$A$13:$I$49,MATCH(Table3[[#This Row],[Key]],Demand_Modeling!$A$13:$A$49,0),MATCH(Table3[[#Headers],[EAO]],Demand_Modeling!$A$13:$I$13,0))</f>
        <v>0.27239514110365798</v>
      </c>
      <c r="L123" s="3">
        <f>INDEX(Demand_Modeling!$A$13:$I$49,MATCH(Table3[[#This Row],[Key]],Demand_Modeling!$A$13:$A$49,0),MATCH(Table3[[#Headers],[OCC]],Demand_Modeling!$A$13:$I$13,0))</f>
        <v>0.16</v>
      </c>
      <c r="M123" s="3">
        <f>INDEX(Demand_Modeling!$A$13:$I$49,MATCH(Table3[[#This Row],[Key]],Demand_Modeling!$A$13:$A$49,0),MATCH(Table3[[#Headers],[WEO]],Demand_Modeling!$A$13:$I$13,0))</f>
        <v>0.24</v>
      </c>
      <c r="N123" s="19">
        <f>SUM(Table3[[#This Row],[OFC]:[WEO]])</f>
        <v>0.99999514110365795</v>
      </c>
      <c r="O123" s="19"/>
      <c r="Q123" s="3" t="str">
        <f>Table35[[#This Row],[Fiscal_Year]]*100+Table35[[#This Row],[Fiscal_Week]] &amp; "-" &amp;Table35[[#This Row],[Brand]]</f>
        <v>202147-Old Navy</v>
      </c>
      <c r="R123" t="str">
        <f>Table3[[#This Row],[Key]]</f>
        <v>2021-Old Navy</v>
      </c>
      <c r="S123">
        <f>Table3[[#This Row],[Fiscal_Year]]</f>
        <v>2021</v>
      </c>
      <c r="T123">
        <f>Table3[[#This Row],[Fiscal_Week]]</f>
        <v>47</v>
      </c>
      <c r="U123" t="str">
        <f>Table3[[#This Row],[Brand]]</f>
        <v>Old Navy</v>
      </c>
      <c r="V123">
        <f>Table3[[#This Row],[Demand]]</f>
        <v>2038499</v>
      </c>
      <c r="W123">
        <f>Table3[[#This Row],[OFC]]*Table3[[#This Row],[Demand]]</f>
        <v>305774.84999999998</v>
      </c>
      <c r="X123">
        <f>Table3[[#This Row],[TFC]]*Table3[[#This Row],[Demand]]</f>
        <v>362037.42240000004</v>
      </c>
      <c r="Y123">
        <f>Table3[[#This Row],[WFC]]*Table3[[#This Row],[Demand]]</f>
        <v>0</v>
      </c>
      <c r="Z123">
        <f>Table3[[#This Row],[EAO]]*Table3[[#This Row],[Demand]]</f>
        <v>555277.22274466569</v>
      </c>
      <c r="AA123">
        <f>Table3[[#This Row],[OCC]]*Table3[[#This Row],[Demand]]</f>
        <v>326159.84000000003</v>
      </c>
      <c r="AB123">
        <f>Table3[[#This Row],[WEO]]*Table3[[#This Row],[Demand]]</f>
        <v>489239.76</v>
      </c>
      <c r="AC123" s="19">
        <f>SUM(Table35[[#This Row],[OFC]:[WEO]])</f>
        <v>2038489.0951446658</v>
      </c>
      <c r="AD123" s="19">
        <f>Table35[[#This Row],[Demand]]-Table35[[#This Row],[Total_Modeled_Demand]]</f>
        <v>9.904855334199965</v>
      </c>
    </row>
    <row r="124" spans="2:30" x14ac:dyDescent="0.3">
      <c r="B124" s="3" t="str">
        <f>Table3[[#This Row],[Fiscal_Year]]*100+Table3[[#This Row],[Fiscal_Week]] &amp; "-" &amp;Table3[[#This Row],[Brand]]</f>
        <v>202243-Athleta</v>
      </c>
      <c r="C124" t="str">
        <f t="shared" si="1"/>
        <v>2022-Athleta</v>
      </c>
      <c r="D124">
        <v>2022</v>
      </c>
      <c r="E124">
        <v>43</v>
      </c>
      <c r="F124" t="s">
        <v>19</v>
      </c>
      <c r="G124">
        <v>719150</v>
      </c>
      <c r="H124" s="3">
        <f>INDEX(Demand_Modeling!$A$13:$I$49,MATCH(Table3[[#This Row],[Key]],Demand_Modeling!$A$13:$A$49,0),MATCH(Table3[[#Headers],[OFC]],Demand_Modeling!$A$13:$I$13,0))</f>
        <v>0</v>
      </c>
      <c r="I124" s="3">
        <f>INDEX(Demand_Modeling!$A$13:$I$49,MATCH(Table3[[#This Row],[Key]],Demand_Modeling!$A$13:$A$49,0),MATCH(Table3[[#Headers],[TFC]],Demand_Modeling!$A$13:$I$13,0))</f>
        <v>1</v>
      </c>
      <c r="J124" s="3">
        <f>INDEX(Demand_Modeling!$A$13:$I$49,MATCH(Table3[[#This Row],[Key]],Demand_Modeling!$A$13:$A$49,0),MATCH(Table3[[#Headers],[WFC]],Demand_Modeling!$A$13:$I$13,0))</f>
        <v>0</v>
      </c>
      <c r="K124" s="3">
        <f>INDEX(Demand_Modeling!$A$13:$I$49,MATCH(Table3[[#This Row],[Key]],Demand_Modeling!$A$13:$A$49,0),MATCH(Table3[[#Headers],[EAO]],Demand_Modeling!$A$13:$I$13,0))</f>
        <v>3.447122356821831E-5</v>
      </c>
      <c r="L124" s="3">
        <f>INDEX(Demand_Modeling!$A$13:$I$49,MATCH(Table3[[#This Row],[Key]],Demand_Modeling!$A$13:$A$49,0),MATCH(Table3[[#Headers],[OCC]],Demand_Modeling!$A$13:$I$13,0))</f>
        <v>0</v>
      </c>
      <c r="M124" s="3">
        <f>INDEX(Demand_Modeling!$A$13:$I$49,MATCH(Table3[[#This Row],[Key]],Demand_Modeling!$A$13:$A$49,0),MATCH(Table3[[#Headers],[WEO]],Demand_Modeling!$A$13:$I$13,0))</f>
        <v>0</v>
      </c>
      <c r="N124" s="19">
        <f>SUM(Table3[[#This Row],[OFC]:[WEO]])</f>
        <v>1.0000344712235683</v>
      </c>
      <c r="O124" s="19"/>
      <c r="Q124" s="3" t="str">
        <f>Table35[[#This Row],[Fiscal_Year]]*100+Table35[[#This Row],[Fiscal_Week]] &amp; "-" &amp;Table35[[#This Row],[Brand]]</f>
        <v>202243-Athleta</v>
      </c>
      <c r="R124" t="str">
        <f>Table3[[#This Row],[Key]]</f>
        <v>2022-Athleta</v>
      </c>
      <c r="S124">
        <f>Table3[[#This Row],[Fiscal_Year]]</f>
        <v>2022</v>
      </c>
      <c r="T124">
        <f>Table3[[#This Row],[Fiscal_Week]]</f>
        <v>43</v>
      </c>
      <c r="U124" t="str">
        <f>Table3[[#This Row],[Brand]]</f>
        <v>Athleta</v>
      </c>
      <c r="V124">
        <f>Table3[[#This Row],[Demand]]</f>
        <v>719150</v>
      </c>
      <c r="W124">
        <f>Table3[[#This Row],[OFC]]*Table3[[#This Row],[Demand]]</f>
        <v>0</v>
      </c>
      <c r="X124">
        <f>Table3[[#This Row],[TFC]]*Table3[[#This Row],[Demand]]</f>
        <v>719150</v>
      </c>
      <c r="Y124">
        <f>Table3[[#This Row],[WFC]]*Table3[[#This Row],[Demand]]</f>
        <v>0</v>
      </c>
      <c r="Z124">
        <f>Table3[[#This Row],[EAO]]*Table3[[#This Row],[Demand]]</f>
        <v>24.789980429084196</v>
      </c>
      <c r="AA124">
        <f>Table3[[#This Row],[OCC]]*Table3[[#This Row],[Demand]]</f>
        <v>0</v>
      </c>
      <c r="AB124">
        <f>Table3[[#This Row],[WEO]]*Table3[[#This Row],[Demand]]</f>
        <v>0</v>
      </c>
      <c r="AC124" s="19">
        <f>SUM(Table35[[#This Row],[OFC]:[WEO]])</f>
        <v>719174.78998042911</v>
      </c>
      <c r="AD124" s="19">
        <f>Table35[[#This Row],[Demand]]-Table35[[#This Row],[Total_Modeled_Demand]]</f>
        <v>-24.789980429108255</v>
      </c>
    </row>
    <row r="125" spans="2:30" x14ac:dyDescent="0.3">
      <c r="B125" s="3" t="str">
        <f>Table3[[#This Row],[Fiscal_Year]]*100+Table3[[#This Row],[Fiscal_Week]] &amp; "-" &amp;Table3[[#This Row],[Brand]]</f>
        <v>202243-Banana Republic</v>
      </c>
      <c r="C125" t="str">
        <f t="shared" si="1"/>
        <v>2022-Banana Republic</v>
      </c>
      <c r="D125">
        <v>2022</v>
      </c>
      <c r="E125">
        <v>43</v>
      </c>
      <c r="F125" t="s">
        <v>18</v>
      </c>
      <c r="G125">
        <v>1097919</v>
      </c>
      <c r="H125" s="3">
        <f>INDEX(Demand_Modeling!$A$13:$I$49,MATCH(Table3[[#This Row],[Key]],Demand_Modeling!$A$13:$A$49,0),MATCH(Table3[[#Headers],[OFC]],Demand_Modeling!$A$13:$I$13,0))</f>
        <v>0</v>
      </c>
      <c r="I125" s="3">
        <f>INDEX(Demand_Modeling!$A$13:$I$49,MATCH(Table3[[#This Row],[Key]],Demand_Modeling!$A$13:$A$49,0),MATCH(Table3[[#Headers],[TFC]],Demand_Modeling!$A$13:$I$13,0))</f>
        <v>1</v>
      </c>
      <c r="J125" s="3">
        <f>INDEX(Demand_Modeling!$A$13:$I$49,MATCH(Table3[[#This Row],[Key]],Demand_Modeling!$A$13:$A$49,0),MATCH(Table3[[#Headers],[WFC]],Demand_Modeling!$A$13:$I$13,0))</f>
        <v>3.4959629396853166E-6</v>
      </c>
      <c r="K125" s="3">
        <f>INDEX(Demand_Modeling!$A$13:$I$49,MATCH(Table3[[#This Row],[Key]],Demand_Modeling!$A$13:$A$49,0),MATCH(Table3[[#Headers],[EAO]],Demand_Modeling!$A$13:$I$13,0))</f>
        <v>4.2339995602855504E-5</v>
      </c>
      <c r="L125" s="3">
        <f>INDEX(Demand_Modeling!$A$13:$I$49,MATCH(Table3[[#This Row],[Key]],Demand_Modeling!$A$13:$A$49,0),MATCH(Table3[[#Headers],[OCC]],Demand_Modeling!$A$13:$I$13,0))</f>
        <v>0</v>
      </c>
      <c r="M125" s="3">
        <f>INDEX(Demand_Modeling!$A$13:$I$49,MATCH(Table3[[#This Row],[Key]],Demand_Modeling!$A$13:$A$49,0),MATCH(Table3[[#Headers],[WEO]],Demand_Modeling!$A$13:$I$13,0))</f>
        <v>0</v>
      </c>
      <c r="N125" s="19">
        <f>SUM(Table3[[#This Row],[OFC]:[WEO]])</f>
        <v>1.0000458359585425</v>
      </c>
      <c r="O125" s="19"/>
      <c r="Q125" s="3" t="str">
        <f>Table35[[#This Row],[Fiscal_Year]]*100+Table35[[#This Row],[Fiscal_Week]] &amp; "-" &amp;Table35[[#This Row],[Brand]]</f>
        <v>202243-Banana Republic</v>
      </c>
      <c r="R125" t="str">
        <f>Table3[[#This Row],[Key]]</f>
        <v>2022-Banana Republic</v>
      </c>
      <c r="S125">
        <f>Table3[[#This Row],[Fiscal_Year]]</f>
        <v>2022</v>
      </c>
      <c r="T125">
        <f>Table3[[#This Row],[Fiscal_Week]]</f>
        <v>43</v>
      </c>
      <c r="U125" t="str">
        <f>Table3[[#This Row],[Brand]]</f>
        <v>Banana Republic</v>
      </c>
      <c r="V125">
        <f>Table3[[#This Row],[Demand]]</f>
        <v>1097919</v>
      </c>
      <c r="W125">
        <f>Table3[[#This Row],[OFC]]*Table3[[#This Row],[Demand]]</f>
        <v>0</v>
      </c>
      <c r="X125">
        <f>Table3[[#This Row],[TFC]]*Table3[[#This Row],[Demand]]</f>
        <v>1097919</v>
      </c>
      <c r="Y125">
        <f>Table3[[#This Row],[WFC]]*Table3[[#This Row],[Demand]]</f>
        <v>3.8382841347763632</v>
      </c>
      <c r="Z125">
        <f>Table3[[#This Row],[EAO]]*Table3[[#This Row],[Demand]]</f>
        <v>46.485885632291513</v>
      </c>
      <c r="AA125">
        <f>Table3[[#This Row],[OCC]]*Table3[[#This Row],[Demand]]</f>
        <v>0</v>
      </c>
      <c r="AB125">
        <f>Table3[[#This Row],[WEO]]*Table3[[#This Row],[Demand]]</f>
        <v>0</v>
      </c>
      <c r="AC125" s="19">
        <f>SUM(Table35[[#This Row],[OFC]:[WEO]])</f>
        <v>1097969.3241697671</v>
      </c>
      <c r="AD125" s="19">
        <f>Table35[[#This Row],[Demand]]-Table35[[#This Row],[Total_Modeled_Demand]]</f>
        <v>-50.324169767089188</v>
      </c>
    </row>
    <row r="126" spans="2:30" x14ac:dyDescent="0.3">
      <c r="B126" s="3" t="str">
        <f>Table3[[#This Row],[Fiscal_Year]]*100+Table3[[#This Row],[Fiscal_Week]] &amp; "-" &amp;Table3[[#This Row],[Brand]]</f>
        <v>202243-BR Factory Store</v>
      </c>
      <c r="C126" t="str">
        <f t="shared" si="1"/>
        <v>2022-BR Factory Store</v>
      </c>
      <c r="D126">
        <v>2022</v>
      </c>
      <c r="E126">
        <v>43</v>
      </c>
      <c r="F126" t="s">
        <v>17</v>
      </c>
      <c r="G126">
        <v>1024632</v>
      </c>
      <c r="H126" s="3">
        <f>INDEX(Demand_Modeling!$A$13:$I$49,MATCH(Table3[[#This Row],[Key]],Demand_Modeling!$A$13:$A$49,0),MATCH(Table3[[#Headers],[OFC]],Demand_Modeling!$A$13:$I$13,0))</f>
        <v>1</v>
      </c>
      <c r="I126" s="3">
        <f>INDEX(Demand_Modeling!$A$13:$I$49,MATCH(Table3[[#This Row],[Key]],Demand_Modeling!$A$13:$A$49,0),MATCH(Table3[[#Headers],[TFC]],Demand_Modeling!$A$13:$I$13,0))</f>
        <v>0</v>
      </c>
      <c r="J126" s="3">
        <f>INDEX(Demand_Modeling!$A$13:$I$49,MATCH(Table3[[#This Row],[Key]],Demand_Modeling!$A$13:$A$49,0),MATCH(Table3[[#Headers],[WFC]],Demand_Modeling!$A$13:$I$13,0))</f>
        <v>0</v>
      </c>
      <c r="K126" s="3">
        <f>INDEX(Demand_Modeling!$A$13:$I$49,MATCH(Table3[[#This Row],[Key]],Demand_Modeling!$A$13:$A$49,0),MATCH(Table3[[#Headers],[EAO]],Demand_Modeling!$A$13:$I$13,0))</f>
        <v>0</v>
      </c>
      <c r="L126" s="3">
        <f>INDEX(Demand_Modeling!$A$13:$I$49,MATCH(Table3[[#This Row],[Key]],Demand_Modeling!$A$13:$A$49,0),MATCH(Table3[[#Headers],[OCC]],Demand_Modeling!$A$13:$I$13,0))</f>
        <v>0</v>
      </c>
      <c r="M126" s="3">
        <f>INDEX(Demand_Modeling!$A$13:$I$49,MATCH(Table3[[#This Row],[Key]],Demand_Modeling!$A$13:$A$49,0),MATCH(Table3[[#Headers],[WEO]],Demand_Modeling!$A$13:$I$13,0))</f>
        <v>0</v>
      </c>
      <c r="N126" s="19">
        <f>SUM(Table3[[#This Row],[OFC]:[WEO]])</f>
        <v>1</v>
      </c>
      <c r="O126" s="19"/>
      <c r="Q126" s="3" t="str">
        <f>Table35[[#This Row],[Fiscal_Year]]*100+Table35[[#This Row],[Fiscal_Week]] &amp; "-" &amp;Table35[[#This Row],[Brand]]</f>
        <v>202243-BR Factory Store</v>
      </c>
      <c r="R126" t="str">
        <f>Table3[[#This Row],[Key]]</f>
        <v>2022-BR Factory Store</v>
      </c>
      <c r="S126">
        <f>Table3[[#This Row],[Fiscal_Year]]</f>
        <v>2022</v>
      </c>
      <c r="T126">
        <f>Table3[[#This Row],[Fiscal_Week]]</f>
        <v>43</v>
      </c>
      <c r="U126" t="str">
        <f>Table3[[#This Row],[Brand]]</f>
        <v>BR Factory Store</v>
      </c>
      <c r="V126">
        <f>Table3[[#This Row],[Demand]]</f>
        <v>1024632</v>
      </c>
      <c r="W126">
        <f>Table3[[#This Row],[OFC]]*Table3[[#This Row],[Demand]]</f>
        <v>1024632</v>
      </c>
      <c r="X126">
        <f>Table3[[#This Row],[TFC]]*Table3[[#This Row],[Demand]]</f>
        <v>0</v>
      </c>
      <c r="Y126">
        <f>Table3[[#This Row],[WFC]]*Table3[[#This Row],[Demand]]</f>
        <v>0</v>
      </c>
      <c r="Z126">
        <f>Table3[[#This Row],[EAO]]*Table3[[#This Row],[Demand]]</f>
        <v>0</v>
      </c>
      <c r="AA126">
        <f>Table3[[#This Row],[OCC]]*Table3[[#This Row],[Demand]]</f>
        <v>0</v>
      </c>
      <c r="AB126">
        <f>Table3[[#This Row],[WEO]]*Table3[[#This Row],[Demand]]</f>
        <v>0</v>
      </c>
      <c r="AC126" s="19">
        <f>SUM(Table35[[#This Row],[OFC]:[WEO]])</f>
        <v>1024632</v>
      </c>
      <c r="AD126" s="19">
        <f>Table35[[#This Row],[Demand]]-Table35[[#This Row],[Total_Modeled_Demand]]</f>
        <v>0</v>
      </c>
    </row>
    <row r="127" spans="2:30" x14ac:dyDescent="0.3">
      <c r="B127" s="3" t="str">
        <f>Table3[[#This Row],[Fiscal_Year]]*100+Table3[[#This Row],[Fiscal_Week]] &amp; "-" &amp;Table3[[#This Row],[Brand]]</f>
        <v>202243-Gap</v>
      </c>
      <c r="C127" t="str">
        <f t="shared" si="1"/>
        <v>2022-Gap</v>
      </c>
      <c r="D127">
        <v>2022</v>
      </c>
      <c r="E127">
        <v>43</v>
      </c>
      <c r="F127" t="s">
        <v>16</v>
      </c>
      <c r="G127">
        <v>7288901</v>
      </c>
      <c r="H127" s="3">
        <f>INDEX(Demand_Modeling!$A$13:$I$49,MATCH(Table3[[#This Row],[Key]],Demand_Modeling!$A$13:$A$49,0),MATCH(Table3[[#Headers],[OFC]],Demand_Modeling!$A$13:$I$13,0))</f>
        <v>0</v>
      </c>
      <c r="I127" s="3">
        <f>INDEX(Demand_Modeling!$A$13:$I$49,MATCH(Table3[[#This Row],[Key]],Demand_Modeling!$A$13:$A$49,0),MATCH(Table3[[#Headers],[TFC]],Demand_Modeling!$A$13:$I$13,0))</f>
        <v>0.25</v>
      </c>
      <c r="J127" s="3">
        <f>INDEX(Demand_Modeling!$A$13:$I$49,MATCH(Table3[[#This Row],[Key]],Demand_Modeling!$A$13:$A$49,0),MATCH(Table3[[#Headers],[WFC]],Demand_Modeling!$A$13:$I$13,0))</f>
        <v>0</v>
      </c>
      <c r="K127" s="3">
        <f>INDEX(Demand_Modeling!$A$13:$I$49,MATCH(Table3[[#This Row],[Key]],Demand_Modeling!$A$13:$A$49,0),MATCH(Table3[[#Headers],[EAO]],Demand_Modeling!$A$13:$I$13,0))</f>
        <v>0</v>
      </c>
      <c r="L127" s="3">
        <f>INDEX(Demand_Modeling!$A$13:$I$49,MATCH(Table3[[#This Row],[Key]],Demand_Modeling!$A$13:$A$49,0),MATCH(Table3[[#Headers],[OCC]],Demand_Modeling!$A$13:$I$13,0))</f>
        <v>0.3</v>
      </c>
      <c r="M127" s="3">
        <f>INDEX(Demand_Modeling!$A$13:$I$49,MATCH(Table3[[#This Row],[Key]],Demand_Modeling!$A$13:$A$49,0),MATCH(Table3[[#Headers],[WEO]],Demand_Modeling!$A$13:$I$13,0))</f>
        <v>0.45</v>
      </c>
      <c r="N127" s="19">
        <f>SUM(Table3[[#This Row],[OFC]:[WEO]])</f>
        <v>1</v>
      </c>
      <c r="O127" s="19"/>
      <c r="Q127" s="3" t="str">
        <f>Table35[[#This Row],[Fiscal_Year]]*100+Table35[[#This Row],[Fiscal_Week]] &amp; "-" &amp;Table35[[#This Row],[Brand]]</f>
        <v>202243-Gap</v>
      </c>
      <c r="R127" t="str">
        <f>Table3[[#This Row],[Key]]</f>
        <v>2022-Gap</v>
      </c>
      <c r="S127">
        <f>Table3[[#This Row],[Fiscal_Year]]</f>
        <v>2022</v>
      </c>
      <c r="T127">
        <f>Table3[[#This Row],[Fiscal_Week]]</f>
        <v>43</v>
      </c>
      <c r="U127" t="str">
        <f>Table3[[#This Row],[Brand]]</f>
        <v>Gap</v>
      </c>
      <c r="V127">
        <f>Table3[[#This Row],[Demand]]</f>
        <v>7288901</v>
      </c>
      <c r="W127">
        <f>Table3[[#This Row],[OFC]]*Table3[[#This Row],[Demand]]</f>
        <v>0</v>
      </c>
      <c r="X127">
        <f>Table3[[#This Row],[TFC]]*Table3[[#This Row],[Demand]]</f>
        <v>1822225.25</v>
      </c>
      <c r="Y127">
        <f>Table3[[#This Row],[WFC]]*Table3[[#This Row],[Demand]]</f>
        <v>0</v>
      </c>
      <c r="Z127">
        <f>Table3[[#This Row],[EAO]]*Table3[[#This Row],[Demand]]</f>
        <v>0</v>
      </c>
      <c r="AA127">
        <f>Table3[[#This Row],[OCC]]*Table3[[#This Row],[Demand]]</f>
        <v>2186670.2999999998</v>
      </c>
      <c r="AB127">
        <f>Table3[[#This Row],[WEO]]*Table3[[#This Row],[Demand]]</f>
        <v>3280005.45</v>
      </c>
      <c r="AC127" s="19">
        <f>SUM(Table35[[#This Row],[OFC]:[WEO]])</f>
        <v>7288901</v>
      </c>
      <c r="AD127" s="19">
        <f>Table35[[#This Row],[Demand]]-Table35[[#This Row],[Total_Modeled_Demand]]</f>
        <v>0</v>
      </c>
    </row>
    <row r="128" spans="2:30" x14ac:dyDescent="0.3">
      <c r="B128" s="3" t="str">
        <f>Table3[[#This Row],[Fiscal_Year]]*100+Table3[[#This Row],[Fiscal_Week]] &amp; "-" &amp;Table3[[#This Row],[Brand]]</f>
        <v>202243-Gap Factory Store</v>
      </c>
      <c r="C128" t="str">
        <f t="shared" si="1"/>
        <v>2022-Gap Factory Store</v>
      </c>
      <c r="D128">
        <v>2022</v>
      </c>
      <c r="E128">
        <v>43</v>
      </c>
      <c r="F128" t="s">
        <v>22</v>
      </c>
      <c r="G128">
        <v>2917901</v>
      </c>
      <c r="H128" s="3">
        <f>INDEX(Demand_Modeling!$A$13:$I$49,MATCH(Table3[[#This Row],[Key]],Demand_Modeling!$A$13:$A$49,0),MATCH(Table3[[#Headers],[OFC]],Demand_Modeling!$A$13:$I$13,0))</f>
        <v>1</v>
      </c>
      <c r="I128" s="3">
        <f>INDEX(Demand_Modeling!$A$13:$I$49,MATCH(Table3[[#This Row],[Key]],Demand_Modeling!$A$13:$A$49,0),MATCH(Table3[[#Headers],[TFC]],Demand_Modeling!$A$13:$I$13,0))</f>
        <v>0</v>
      </c>
      <c r="J128" s="3">
        <f>INDEX(Demand_Modeling!$A$13:$I$49,MATCH(Table3[[#This Row],[Key]],Demand_Modeling!$A$13:$A$49,0),MATCH(Table3[[#Headers],[WFC]],Demand_Modeling!$A$13:$I$13,0))</f>
        <v>0</v>
      </c>
      <c r="K128" s="3">
        <f>INDEX(Demand_Modeling!$A$13:$I$49,MATCH(Table3[[#This Row],[Key]],Demand_Modeling!$A$13:$A$49,0),MATCH(Table3[[#Headers],[EAO]],Demand_Modeling!$A$13:$I$13,0))</f>
        <v>0</v>
      </c>
      <c r="L128" s="3">
        <f>INDEX(Demand_Modeling!$A$13:$I$49,MATCH(Table3[[#This Row],[Key]],Demand_Modeling!$A$13:$A$49,0),MATCH(Table3[[#Headers],[OCC]],Demand_Modeling!$A$13:$I$13,0))</f>
        <v>0</v>
      </c>
      <c r="M128" s="3">
        <f>INDEX(Demand_Modeling!$A$13:$I$49,MATCH(Table3[[#This Row],[Key]],Demand_Modeling!$A$13:$A$49,0),MATCH(Table3[[#Headers],[WEO]],Demand_Modeling!$A$13:$I$13,0))</f>
        <v>0</v>
      </c>
      <c r="N128" s="19">
        <f>SUM(Table3[[#This Row],[OFC]:[WEO]])</f>
        <v>1</v>
      </c>
      <c r="O128" s="19"/>
      <c r="Q128" s="3" t="str">
        <f>Table35[[#This Row],[Fiscal_Year]]*100+Table35[[#This Row],[Fiscal_Week]] &amp; "-" &amp;Table35[[#This Row],[Brand]]</f>
        <v>202243-Gap Factory Store</v>
      </c>
      <c r="R128" t="str">
        <f>Table3[[#This Row],[Key]]</f>
        <v>2022-Gap Factory Store</v>
      </c>
      <c r="S128">
        <f>Table3[[#This Row],[Fiscal_Year]]</f>
        <v>2022</v>
      </c>
      <c r="T128">
        <f>Table3[[#This Row],[Fiscal_Week]]</f>
        <v>43</v>
      </c>
      <c r="U128" t="str">
        <f>Table3[[#This Row],[Brand]]</f>
        <v>Gap Factory Store</v>
      </c>
      <c r="V128">
        <f>Table3[[#This Row],[Demand]]</f>
        <v>2917901</v>
      </c>
      <c r="W128">
        <f>Table3[[#This Row],[OFC]]*Table3[[#This Row],[Demand]]</f>
        <v>2917901</v>
      </c>
      <c r="X128">
        <f>Table3[[#This Row],[TFC]]*Table3[[#This Row],[Demand]]</f>
        <v>0</v>
      </c>
      <c r="Y128">
        <f>Table3[[#This Row],[WFC]]*Table3[[#This Row],[Demand]]</f>
        <v>0</v>
      </c>
      <c r="Z128">
        <f>Table3[[#This Row],[EAO]]*Table3[[#This Row],[Demand]]</f>
        <v>0</v>
      </c>
      <c r="AA128">
        <f>Table3[[#This Row],[OCC]]*Table3[[#This Row],[Demand]]</f>
        <v>0</v>
      </c>
      <c r="AB128">
        <f>Table3[[#This Row],[WEO]]*Table3[[#This Row],[Demand]]</f>
        <v>0</v>
      </c>
      <c r="AC128" s="19">
        <f>SUM(Table35[[#This Row],[OFC]:[WEO]])</f>
        <v>2917901</v>
      </c>
      <c r="AD128" s="19">
        <f>Table35[[#This Row],[Demand]]-Table35[[#This Row],[Total_Modeled_Demand]]</f>
        <v>0</v>
      </c>
    </row>
    <row r="129" spans="2:30" x14ac:dyDescent="0.3">
      <c r="B129" s="3" t="str">
        <f>Table3[[#This Row],[Fiscal_Year]]*100+Table3[[#This Row],[Fiscal_Week]] &amp; "-" &amp;Table3[[#This Row],[Brand]]</f>
        <v>202243-Old Navy</v>
      </c>
      <c r="C129" t="str">
        <f t="shared" si="1"/>
        <v>2022-Old Navy</v>
      </c>
      <c r="D129">
        <v>2022</v>
      </c>
      <c r="E129">
        <v>43</v>
      </c>
      <c r="F129" t="s">
        <v>20</v>
      </c>
      <c r="G129">
        <v>13233137</v>
      </c>
      <c r="H129" s="3">
        <f>INDEX(Demand_Modeling!$A$13:$I$49,MATCH(Table3[[#This Row],[Key]],Demand_Modeling!$A$13:$A$49,0),MATCH(Table3[[#Headers],[OFC]],Demand_Modeling!$A$13:$I$13,0))</f>
        <v>0.09</v>
      </c>
      <c r="I129" s="3">
        <f>INDEX(Demand_Modeling!$A$13:$I$49,MATCH(Table3[[#This Row],[Key]],Demand_Modeling!$A$13:$A$49,0),MATCH(Table3[[#Headers],[TFC]],Demand_Modeling!$A$13:$I$13,0))</f>
        <v>0.11</v>
      </c>
      <c r="J129" s="3">
        <f>INDEX(Demand_Modeling!$A$13:$I$49,MATCH(Table3[[#This Row],[Key]],Demand_Modeling!$A$13:$A$49,0),MATCH(Table3[[#Headers],[WFC]],Demand_Modeling!$A$13:$I$13,0))</f>
        <v>0</v>
      </c>
      <c r="K129" s="3">
        <f>INDEX(Demand_Modeling!$A$13:$I$49,MATCH(Table3[[#This Row],[Key]],Demand_Modeling!$A$13:$A$49,0),MATCH(Table3[[#Headers],[EAO]],Demand_Modeling!$A$13:$I$13,0))</f>
        <v>0.21</v>
      </c>
      <c r="L129" s="3">
        <f>INDEX(Demand_Modeling!$A$13:$I$49,MATCH(Table3[[#This Row],[Key]],Demand_Modeling!$A$13:$A$49,0),MATCH(Table3[[#Headers],[OCC]],Demand_Modeling!$A$13:$I$13,0))</f>
        <v>0.45</v>
      </c>
      <c r="M129" s="3">
        <f>INDEX(Demand_Modeling!$A$13:$I$49,MATCH(Table3[[#This Row],[Key]],Demand_Modeling!$A$13:$A$49,0),MATCH(Table3[[#Headers],[WEO]],Demand_Modeling!$A$13:$I$13,0))</f>
        <v>0.14000000000000001</v>
      </c>
      <c r="N129" s="19">
        <f>SUM(Table3[[#This Row],[OFC]:[WEO]])</f>
        <v>1</v>
      </c>
      <c r="O129" s="19"/>
      <c r="Q129" s="3" t="str">
        <f>Table35[[#This Row],[Fiscal_Year]]*100+Table35[[#This Row],[Fiscal_Week]] &amp; "-" &amp;Table35[[#This Row],[Brand]]</f>
        <v>202243-Old Navy</v>
      </c>
      <c r="R129" t="str">
        <f>Table3[[#This Row],[Key]]</f>
        <v>2022-Old Navy</v>
      </c>
      <c r="S129">
        <f>Table3[[#This Row],[Fiscal_Year]]</f>
        <v>2022</v>
      </c>
      <c r="T129">
        <f>Table3[[#This Row],[Fiscal_Week]]</f>
        <v>43</v>
      </c>
      <c r="U129" t="str">
        <f>Table3[[#This Row],[Brand]]</f>
        <v>Old Navy</v>
      </c>
      <c r="V129">
        <f>Table3[[#This Row],[Demand]]</f>
        <v>13233137</v>
      </c>
      <c r="W129">
        <f>Table3[[#This Row],[OFC]]*Table3[[#This Row],[Demand]]</f>
        <v>1190982.3299999998</v>
      </c>
      <c r="X129">
        <f>Table3[[#This Row],[TFC]]*Table3[[#This Row],[Demand]]</f>
        <v>1455645.07</v>
      </c>
      <c r="Y129">
        <f>Table3[[#This Row],[WFC]]*Table3[[#This Row],[Demand]]</f>
        <v>0</v>
      </c>
      <c r="Z129">
        <f>Table3[[#This Row],[EAO]]*Table3[[#This Row],[Demand]]</f>
        <v>2778958.77</v>
      </c>
      <c r="AA129">
        <f>Table3[[#This Row],[OCC]]*Table3[[#This Row],[Demand]]</f>
        <v>5954911.6500000004</v>
      </c>
      <c r="AB129">
        <f>Table3[[#This Row],[WEO]]*Table3[[#This Row],[Demand]]</f>
        <v>1852639.1800000002</v>
      </c>
      <c r="AC129" s="19">
        <f>SUM(Table35[[#This Row],[OFC]:[WEO]])</f>
        <v>13233137</v>
      </c>
      <c r="AD129" s="19">
        <f>Table35[[#This Row],[Demand]]-Table35[[#This Row],[Total_Modeled_Demand]]</f>
        <v>0</v>
      </c>
    </row>
    <row r="130" spans="2:30" x14ac:dyDescent="0.3">
      <c r="B130" s="3" t="str">
        <f>Table3[[#This Row],[Fiscal_Year]]*100+Table3[[#This Row],[Fiscal_Week]] &amp; "-" &amp;Table3[[#This Row],[Brand]]</f>
        <v>202244-Athleta</v>
      </c>
      <c r="C130" t="str">
        <f t="shared" si="1"/>
        <v>2022-Athleta</v>
      </c>
      <c r="D130">
        <v>2022</v>
      </c>
      <c r="E130">
        <v>44</v>
      </c>
      <c r="F130" t="s">
        <v>19</v>
      </c>
      <c r="G130">
        <v>567892</v>
      </c>
      <c r="H130" s="3">
        <f>INDEX(Demand_Modeling!$A$13:$I$49,MATCH(Table3[[#This Row],[Key]],Demand_Modeling!$A$13:$A$49,0),MATCH(Table3[[#Headers],[OFC]],Demand_Modeling!$A$13:$I$13,0))</f>
        <v>0</v>
      </c>
      <c r="I130" s="3">
        <f>INDEX(Demand_Modeling!$A$13:$I$49,MATCH(Table3[[#This Row],[Key]],Demand_Modeling!$A$13:$A$49,0),MATCH(Table3[[#Headers],[TFC]],Demand_Modeling!$A$13:$I$13,0))</f>
        <v>1</v>
      </c>
      <c r="J130" s="3">
        <f>INDEX(Demand_Modeling!$A$13:$I$49,MATCH(Table3[[#This Row],[Key]],Demand_Modeling!$A$13:$A$49,0),MATCH(Table3[[#Headers],[WFC]],Demand_Modeling!$A$13:$I$13,0))</f>
        <v>0</v>
      </c>
      <c r="K130" s="3">
        <f>INDEX(Demand_Modeling!$A$13:$I$49,MATCH(Table3[[#This Row],[Key]],Demand_Modeling!$A$13:$A$49,0),MATCH(Table3[[#Headers],[EAO]],Demand_Modeling!$A$13:$I$13,0))</f>
        <v>3.447122356821831E-5</v>
      </c>
      <c r="L130" s="3">
        <f>INDEX(Demand_Modeling!$A$13:$I$49,MATCH(Table3[[#This Row],[Key]],Demand_Modeling!$A$13:$A$49,0),MATCH(Table3[[#Headers],[OCC]],Demand_Modeling!$A$13:$I$13,0))</f>
        <v>0</v>
      </c>
      <c r="M130" s="3">
        <f>INDEX(Demand_Modeling!$A$13:$I$49,MATCH(Table3[[#This Row],[Key]],Demand_Modeling!$A$13:$A$49,0),MATCH(Table3[[#Headers],[WEO]],Demand_Modeling!$A$13:$I$13,0))</f>
        <v>0</v>
      </c>
      <c r="N130" s="19">
        <f>SUM(Table3[[#This Row],[OFC]:[WEO]])</f>
        <v>1.0000344712235683</v>
      </c>
      <c r="O130" s="19"/>
      <c r="Q130" s="3" t="str">
        <f>Table35[[#This Row],[Fiscal_Year]]*100+Table35[[#This Row],[Fiscal_Week]] &amp; "-" &amp;Table35[[#This Row],[Brand]]</f>
        <v>202244-Athleta</v>
      </c>
      <c r="R130" t="str">
        <f>Table3[[#This Row],[Key]]</f>
        <v>2022-Athleta</v>
      </c>
      <c r="S130">
        <f>Table3[[#This Row],[Fiscal_Year]]</f>
        <v>2022</v>
      </c>
      <c r="T130">
        <f>Table3[[#This Row],[Fiscal_Week]]</f>
        <v>44</v>
      </c>
      <c r="U130" t="str">
        <f>Table3[[#This Row],[Brand]]</f>
        <v>Athleta</v>
      </c>
      <c r="V130">
        <f>Table3[[#This Row],[Demand]]</f>
        <v>567892</v>
      </c>
      <c r="W130">
        <f>Table3[[#This Row],[OFC]]*Table3[[#This Row],[Demand]]</f>
        <v>0</v>
      </c>
      <c r="X130">
        <f>Table3[[#This Row],[TFC]]*Table3[[#This Row],[Demand]]</f>
        <v>567892</v>
      </c>
      <c r="Y130">
        <f>Table3[[#This Row],[WFC]]*Table3[[#This Row],[Demand]]</f>
        <v>0</v>
      </c>
      <c r="Z130">
        <f>Table3[[#This Row],[EAO]]*Table3[[#This Row],[Demand]]</f>
        <v>19.575932094602631</v>
      </c>
      <c r="AA130">
        <f>Table3[[#This Row],[OCC]]*Table3[[#This Row],[Demand]]</f>
        <v>0</v>
      </c>
      <c r="AB130">
        <f>Table3[[#This Row],[WEO]]*Table3[[#This Row],[Demand]]</f>
        <v>0</v>
      </c>
      <c r="AC130" s="19">
        <f>SUM(Table35[[#This Row],[OFC]:[WEO]])</f>
        <v>567911.57593209459</v>
      </c>
      <c r="AD130" s="19">
        <f>Table35[[#This Row],[Demand]]-Table35[[#This Row],[Total_Modeled_Demand]]</f>
        <v>-19.575932094594464</v>
      </c>
    </row>
    <row r="131" spans="2:30" x14ac:dyDescent="0.3">
      <c r="B131" s="3" t="str">
        <f>Table3[[#This Row],[Fiscal_Year]]*100+Table3[[#This Row],[Fiscal_Week]] &amp; "-" &amp;Table3[[#This Row],[Brand]]</f>
        <v>202244-Banana Republic</v>
      </c>
      <c r="C131" t="str">
        <f t="shared" si="1"/>
        <v>2022-Banana Republic</v>
      </c>
      <c r="D131">
        <v>2022</v>
      </c>
      <c r="E131">
        <v>44</v>
      </c>
      <c r="F131" t="s">
        <v>18</v>
      </c>
      <c r="G131">
        <v>860030</v>
      </c>
      <c r="H131" s="3">
        <f>INDEX(Demand_Modeling!$A$13:$I$49,MATCH(Table3[[#This Row],[Key]],Demand_Modeling!$A$13:$A$49,0),MATCH(Table3[[#Headers],[OFC]],Demand_Modeling!$A$13:$I$13,0))</f>
        <v>0</v>
      </c>
      <c r="I131" s="3">
        <f>INDEX(Demand_Modeling!$A$13:$I$49,MATCH(Table3[[#This Row],[Key]],Demand_Modeling!$A$13:$A$49,0),MATCH(Table3[[#Headers],[TFC]],Demand_Modeling!$A$13:$I$13,0))</f>
        <v>1</v>
      </c>
      <c r="J131" s="3">
        <f>INDEX(Demand_Modeling!$A$13:$I$49,MATCH(Table3[[#This Row],[Key]],Demand_Modeling!$A$13:$A$49,0),MATCH(Table3[[#Headers],[WFC]],Demand_Modeling!$A$13:$I$13,0))</f>
        <v>3.4959629396853166E-6</v>
      </c>
      <c r="K131" s="3">
        <f>INDEX(Demand_Modeling!$A$13:$I$49,MATCH(Table3[[#This Row],[Key]],Demand_Modeling!$A$13:$A$49,0),MATCH(Table3[[#Headers],[EAO]],Demand_Modeling!$A$13:$I$13,0))</f>
        <v>4.2339995602855504E-5</v>
      </c>
      <c r="L131" s="3">
        <f>INDEX(Demand_Modeling!$A$13:$I$49,MATCH(Table3[[#This Row],[Key]],Demand_Modeling!$A$13:$A$49,0),MATCH(Table3[[#Headers],[OCC]],Demand_Modeling!$A$13:$I$13,0))</f>
        <v>0</v>
      </c>
      <c r="M131" s="3">
        <f>INDEX(Demand_Modeling!$A$13:$I$49,MATCH(Table3[[#This Row],[Key]],Demand_Modeling!$A$13:$A$49,0),MATCH(Table3[[#Headers],[WEO]],Demand_Modeling!$A$13:$I$13,0))</f>
        <v>0</v>
      </c>
      <c r="N131" s="19">
        <f>SUM(Table3[[#This Row],[OFC]:[WEO]])</f>
        <v>1.0000458359585425</v>
      </c>
      <c r="O131" s="19"/>
      <c r="Q131" s="3" t="str">
        <f>Table35[[#This Row],[Fiscal_Year]]*100+Table35[[#This Row],[Fiscal_Week]] &amp; "-" &amp;Table35[[#This Row],[Brand]]</f>
        <v>202244-Banana Republic</v>
      </c>
      <c r="R131" t="str">
        <f>Table3[[#This Row],[Key]]</f>
        <v>2022-Banana Republic</v>
      </c>
      <c r="S131">
        <f>Table3[[#This Row],[Fiscal_Year]]</f>
        <v>2022</v>
      </c>
      <c r="T131">
        <f>Table3[[#This Row],[Fiscal_Week]]</f>
        <v>44</v>
      </c>
      <c r="U131" t="str">
        <f>Table3[[#This Row],[Brand]]</f>
        <v>Banana Republic</v>
      </c>
      <c r="V131">
        <f>Table3[[#This Row],[Demand]]</f>
        <v>860030</v>
      </c>
      <c r="W131">
        <f>Table3[[#This Row],[OFC]]*Table3[[#This Row],[Demand]]</f>
        <v>0</v>
      </c>
      <c r="X131">
        <f>Table3[[#This Row],[TFC]]*Table3[[#This Row],[Demand]]</f>
        <v>860030</v>
      </c>
      <c r="Y131">
        <f>Table3[[#This Row],[WFC]]*Table3[[#This Row],[Demand]]</f>
        <v>3.0066330070175629</v>
      </c>
      <c r="Z131">
        <f>Table3[[#This Row],[EAO]]*Table3[[#This Row],[Demand]]</f>
        <v>36.413666418323821</v>
      </c>
      <c r="AA131">
        <f>Table3[[#This Row],[OCC]]*Table3[[#This Row],[Demand]]</f>
        <v>0</v>
      </c>
      <c r="AB131">
        <f>Table3[[#This Row],[WEO]]*Table3[[#This Row],[Demand]]</f>
        <v>0</v>
      </c>
      <c r="AC131" s="19">
        <f>SUM(Table35[[#This Row],[OFC]:[WEO]])</f>
        <v>860069.42029942526</v>
      </c>
      <c r="AD131" s="19">
        <f>Table35[[#This Row],[Demand]]-Table35[[#This Row],[Total_Modeled_Demand]]</f>
        <v>-39.420299425255507</v>
      </c>
    </row>
    <row r="132" spans="2:30" x14ac:dyDescent="0.3">
      <c r="B132" s="3" t="str">
        <f>Table3[[#This Row],[Fiscal_Year]]*100+Table3[[#This Row],[Fiscal_Week]] &amp; "-" &amp;Table3[[#This Row],[Brand]]</f>
        <v>202244-BR Factory Store</v>
      </c>
      <c r="C132" t="str">
        <f t="shared" si="1"/>
        <v>2022-BR Factory Store</v>
      </c>
      <c r="D132">
        <v>2022</v>
      </c>
      <c r="E132">
        <v>44</v>
      </c>
      <c r="F132" t="s">
        <v>17</v>
      </c>
      <c r="G132">
        <v>644370</v>
      </c>
      <c r="H132" s="3">
        <f>INDEX(Demand_Modeling!$A$13:$I$49,MATCH(Table3[[#This Row],[Key]],Demand_Modeling!$A$13:$A$49,0),MATCH(Table3[[#Headers],[OFC]],Demand_Modeling!$A$13:$I$13,0))</f>
        <v>1</v>
      </c>
      <c r="I132" s="3">
        <f>INDEX(Demand_Modeling!$A$13:$I$49,MATCH(Table3[[#This Row],[Key]],Demand_Modeling!$A$13:$A$49,0),MATCH(Table3[[#Headers],[TFC]],Demand_Modeling!$A$13:$I$13,0))</f>
        <v>0</v>
      </c>
      <c r="J132" s="3">
        <f>INDEX(Demand_Modeling!$A$13:$I$49,MATCH(Table3[[#This Row],[Key]],Demand_Modeling!$A$13:$A$49,0),MATCH(Table3[[#Headers],[WFC]],Demand_Modeling!$A$13:$I$13,0))</f>
        <v>0</v>
      </c>
      <c r="K132" s="3">
        <f>INDEX(Demand_Modeling!$A$13:$I$49,MATCH(Table3[[#This Row],[Key]],Demand_Modeling!$A$13:$A$49,0),MATCH(Table3[[#Headers],[EAO]],Demand_Modeling!$A$13:$I$13,0))</f>
        <v>0</v>
      </c>
      <c r="L132" s="3">
        <f>INDEX(Demand_Modeling!$A$13:$I$49,MATCH(Table3[[#This Row],[Key]],Demand_Modeling!$A$13:$A$49,0),MATCH(Table3[[#Headers],[OCC]],Demand_Modeling!$A$13:$I$13,0))</f>
        <v>0</v>
      </c>
      <c r="M132" s="3">
        <f>INDEX(Demand_Modeling!$A$13:$I$49,MATCH(Table3[[#This Row],[Key]],Demand_Modeling!$A$13:$A$49,0),MATCH(Table3[[#Headers],[WEO]],Demand_Modeling!$A$13:$I$13,0))</f>
        <v>0</v>
      </c>
      <c r="N132" s="19">
        <f>SUM(Table3[[#This Row],[OFC]:[WEO]])</f>
        <v>1</v>
      </c>
      <c r="O132" s="19"/>
      <c r="Q132" s="3" t="str">
        <f>Table35[[#This Row],[Fiscal_Year]]*100+Table35[[#This Row],[Fiscal_Week]] &amp; "-" &amp;Table35[[#This Row],[Brand]]</f>
        <v>202244-BR Factory Store</v>
      </c>
      <c r="R132" t="str">
        <f>Table3[[#This Row],[Key]]</f>
        <v>2022-BR Factory Store</v>
      </c>
      <c r="S132">
        <f>Table3[[#This Row],[Fiscal_Year]]</f>
        <v>2022</v>
      </c>
      <c r="T132">
        <f>Table3[[#This Row],[Fiscal_Week]]</f>
        <v>44</v>
      </c>
      <c r="U132" t="str">
        <f>Table3[[#This Row],[Brand]]</f>
        <v>BR Factory Store</v>
      </c>
      <c r="V132">
        <f>Table3[[#This Row],[Demand]]</f>
        <v>644370</v>
      </c>
      <c r="W132">
        <f>Table3[[#This Row],[OFC]]*Table3[[#This Row],[Demand]]</f>
        <v>644370</v>
      </c>
      <c r="X132">
        <f>Table3[[#This Row],[TFC]]*Table3[[#This Row],[Demand]]</f>
        <v>0</v>
      </c>
      <c r="Y132">
        <f>Table3[[#This Row],[WFC]]*Table3[[#This Row],[Demand]]</f>
        <v>0</v>
      </c>
      <c r="Z132">
        <f>Table3[[#This Row],[EAO]]*Table3[[#This Row],[Demand]]</f>
        <v>0</v>
      </c>
      <c r="AA132">
        <f>Table3[[#This Row],[OCC]]*Table3[[#This Row],[Demand]]</f>
        <v>0</v>
      </c>
      <c r="AB132">
        <f>Table3[[#This Row],[WEO]]*Table3[[#This Row],[Demand]]</f>
        <v>0</v>
      </c>
      <c r="AC132" s="19">
        <f>SUM(Table35[[#This Row],[OFC]:[WEO]])</f>
        <v>644370</v>
      </c>
      <c r="AD132" s="19">
        <f>Table35[[#This Row],[Demand]]-Table35[[#This Row],[Total_Modeled_Demand]]</f>
        <v>0</v>
      </c>
    </row>
    <row r="133" spans="2:30" x14ac:dyDescent="0.3">
      <c r="B133" s="3" t="str">
        <f>Table3[[#This Row],[Fiscal_Year]]*100+Table3[[#This Row],[Fiscal_Week]] &amp; "-" &amp;Table3[[#This Row],[Brand]]</f>
        <v>202244-Gap</v>
      </c>
      <c r="C133" t="str">
        <f t="shared" ref="C133:C196" si="2">D133&amp;"-"&amp;F133</f>
        <v>2022-Gap</v>
      </c>
      <c r="D133">
        <v>2022</v>
      </c>
      <c r="E133">
        <v>44</v>
      </c>
      <c r="F133" t="s">
        <v>16</v>
      </c>
      <c r="G133">
        <v>4839383</v>
      </c>
      <c r="H133" s="3">
        <f>INDEX(Demand_Modeling!$A$13:$I$49,MATCH(Table3[[#This Row],[Key]],Demand_Modeling!$A$13:$A$49,0),MATCH(Table3[[#Headers],[OFC]],Demand_Modeling!$A$13:$I$13,0))</f>
        <v>0</v>
      </c>
      <c r="I133" s="3">
        <f>INDEX(Demand_Modeling!$A$13:$I$49,MATCH(Table3[[#This Row],[Key]],Demand_Modeling!$A$13:$A$49,0),MATCH(Table3[[#Headers],[TFC]],Demand_Modeling!$A$13:$I$13,0))</f>
        <v>0.25</v>
      </c>
      <c r="J133" s="3">
        <f>INDEX(Demand_Modeling!$A$13:$I$49,MATCH(Table3[[#This Row],[Key]],Demand_Modeling!$A$13:$A$49,0),MATCH(Table3[[#Headers],[WFC]],Demand_Modeling!$A$13:$I$13,0))</f>
        <v>0</v>
      </c>
      <c r="K133" s="3">
        <f>INDEX(Demand_Modeling!$A$13:$I$49,MATCH(Table3[[#This Row],[Key]],Demand_Modeling!$A$13:$A$49,0),MATCH(Table3[[#Headers],[EAO]],Demand_Modeling!$A$13:$I$13,0))</f>
        <v>0</v>
      </c>
      <c r="L133" s="3">
        <f>INDEX(Demand_Modeling!$A$13:$I$49,MATCH(Table3[[#This Row],[Key]],Demand_Modeling!$A$13:$A$49,0),MATCH(Table3[[#Headers],[OCC]],Demand_Modeling!$A$13:$I$13,0))</f>
        <v>0.3</v>
      </c>
      <c r="M133" s="3">
        <f>INDEX(Demand_Modeling!$A$13:$I$49,MATCH(Table3[[#This Row],[Key]],Demand_Modeling!$A$13:$A$49,0),MATCH(Table3[[#Headers],[WEO]],Demand_Modeling!$A$13:$I$13,0))</f>
        <v>0.45</v>
      </c>
      <c r="N133" s="19">
        <f>SUM(Table3[[#This Row],[OFC]:[WEO]])</f>
        <v>1</v>
      </c>
      <c r="O133" s="19"/>
      <c r="Q133" s="3" t="str">
        <f>Table35[[#This Row],[Fiscal_Year]]*100+Table35[[#This Row],[Fiscal_Week]] &amp; "-" &amp;Table35[[#This Row],[Brand]]</f>
        <v>202244-Gap</v>
      </c>
      <c r="R133" t="str">
        <f>Table3[[#This Row],[Key]]</f>
        <v>2022-Gap</v>
      </c>
      <c r="S133">
        <f>Table3[[#This Row],[Fiscal_Year]]</f>
        <v>2022</v>
      </c>
      <c r="T133">
        <f>Table3[[#This Row],[Fiscal_Week]]</f>
        <v>44</v>
      </c>
      <c r="U133" t="str">
        <f>Table3[[#This Row],[Brand]]</f>
        <v>Gap</v>
      </c>
      <c r="V133">
        <f>Table3[[#This Row],[Demand]]</f>
        <v>4839383</v>
      </c>
      <c r="W133">
        <f>Table3[[#This Row],[OFC]]*Table3[[#This Row],[Demand]]</f>
        <v>0</v>
      </c>
      <c r="X133">
        <f>Table3[[#This Row],[TFC]]*Table3[[#This Row],[Demand]]</f>
        <v>1209845.75</v>
      </c>
      <c r="Y133">
        <f>Table3[[#This Row],[WFC]]*Table3[[#This Row],[Demand]]</f>
        <v>0</v>
      </c>
      <c r="Z133">
        <f>Table3[[#This Row],[EAO]]*Table3[[#This Row],[Demand]]</f>
        <v>0</v>
      </c>
      <c r="AA133">
        <f>Table3[[#This Row],[OCC]]*Table3[[#This Row],[Demand]]</f>
        <v>1451814.9</v>
      </c>
      <c r="AB133">
        <f>Table3[[#This Row],[WEO]]*Table3[[#This Row],[Demand]]</f>
        <v>2177722.35</v>
      </c>
      <c r="AC133" s="19">
        <f>SUM(Table35[[#This Row],[OFC]:[WEO]])</f>
        <v>4839383</v>
      </c>
      <c r="AD133" s="19">
        <f>Table35[[#This Row],[Demand]]-Table35[[#This Row],[Total_Modeled_Demand]]</f>
        <v>0</v>
      </c>
    </row>
    <row r="134" spans="2:30" x14ac:dyDescent="0.3">
      <c r="B134" s="3" t="str">
        <f>Table3[[#This Row],[Fiscal_Year]]*100+Table3[[#This Row],[Fiscal_Week]] &amp; "-" &amp;Table3[[#This Row],[Brand]]</f>
        <v>202244-Gap Factory Store</v>
      </c>
      <c r="C134" t="str">
        <f t="shared" si="2"/>
        <v>2022-Gap Factory Store</v>
      </c>
      <c r="D134">
        <v>2022</v>
      </c>
      <c r="E134">
        <v>44</v>
      </c>
      <c r="F134" t="s">
        <v>22</v>
      </c>
      <c r="G134">
        <v>2086977</v>
      </c>
      <c r="H134" s="3">
        <f>INDEX(Demand_Modeling!$A$13:$I$49,MATCH(Table3[[#This Row],[Key]],Demand_Modeling!$A$13:$A$49,0),MATCH(Table3[[#Headers],[OFC]],Demand_Modeling!$A$13:$I$13,0))</f>
        <v>1</v>
      </c>
      <c r="I134" s="3">
        <f>INDEX(Demand_Modeling!$A$13:$I$49,MATCH(Table3[[#This Row],[Key]],Demand_Modeling!$A$13:$A$49,0),MATCH(Table3[[#Headers],[TFC]],Demand_Modeling!$A$13:$I$13,0))</f>
        <v>0</v>
      </c>
      <c r="J134" s="3">
        <f>INDEX(Demand_Modeling!$A$13:$I$49,MATCH(Table3[[#This Row],[Key]],Demand_Modeling!$A$13:$A$49,0),MATCH(Table3[[#Headers],[WFC]],Demand_Modeling!$A$13:$I$13,0))</f>
        <v>0</v>
      </c>
      <c r="K134" s="3">
        <f>INDEX(Demand_Modeling!$A$13:$I$49,MATCH(Table3[[#This Row],[Key]],Demand_Modeling!$A$13:$A$49,0),MATCH(Table3[[#Headers],[EAO]],Demand_Modeling!$A$13:$I$13,0))</f>
        <v>0</v>
      </c>
      <c r="L134" s="3">
        <f>INDEX(Demand_Modeling!$A$13:$I$49,MATCH(Table3[[#This Row],[Key]],Demand_Modeling!$A$13:$A$49,0),MATCH(Table3[[#Headers],[OCC]],Demand_Modeling!$A$13:$I$13,0))</f>
        <v>0</v>
      </c>
      <c r="M134" s="3">
        <f>INDEX(Demand_Modeling!$A$13:$I$49,MATCH(Table3[[#This Row],[Key]],Demand_Modeling!$A$13:$A$49,0),MATCH(Table3[[#Headers],[WEO]],Demand_Modeling!$A$13:$I$13,0))</f>
        <v>0</v>
      </c>
      <c r="N134" s="19">
        <f>SUM(Table3[[#This Row],[OFC]:[WEO]])</f>
        <v>1</v>
      </c>
      <c r="O134" s="19"/>
      <c r="Q134" s="3" t="str">
        <f>Table35[[#This Row],[Fiscal_Year]]*100+Table35[[#This Row],[Fiscal_Week]] &amp; "-" &amp;Table35[[#This Row],[Brand]]</f>
        <v>202244-Gap Factory Store</v>
      </c>
      <c r="R134" t="str">
        <f>Table3[[#This Row],[Key]]</f>
        <v>2022-Gap Factory Store</v>
      </c>
      <c r="S134">
        <f>Table3[[#This Row],[Fiscal_Year]]</f>
        <v>2022</v>
      </c>
      <c r="T134">
        <f>Table3[[#This Row],[Fiscal_Week]]</f>
        <v>44</v>
      </c>
      <c r="U134" t="str">
        <f>Table3[[#This Row],[Brand]]</f>
        <v>Gap Factory Store</v>
      </c>
      <c r="V134">
        <f>Table3[[#This Row],[Demand]]</f>
        <v>2086977</v>
      </c>
      <c r="W134">
        <f>Table3[[#This Row],[OFC]]*Table3[[#This Row],[Demand]]</f>
        <v>2086977</v>
      </c>
      <c r="X134">
        <f>Table3[[#This Row],[TFC]]*Table3[[#This Row],[Demand]]</f>
        <v>0</v>
      </c>
      <c r="Y134">
        <f>Table3[[#This Row],[WFC]]*Table3[[#This Row],[Demand]]</f>
        <v>0</v>
      </c>
      <c r="Z134">
        <f>Table3[[#This Row],[EAO]]*Table3[[#This Row],[Demand]]</f>
        <v>0</v>
      </c>
      <c r="AA134">
        <f>Table3[[#This Row],[OCC]]*Table3[[#This Row],[Demand]]</f>
        <v>0</v>
      </c>
      <c r="AB134">
        <f>Table3[[#This Row],[WEO]]*Table3[[#This Row],[Demand]]</f>
        <v>0</v>
      </c>
      <c r="AC134" s="19">
        <f>SUM(Table35[[#This Row],[OFC]:[WEO]])</f>
        <v>2086977</v>
      </c>
      <c r="AD134" s="19">
        <f>Table35[[#This Row],[Demand]]-Table35[[#This Row],[Total_Modeled_Demand]]</f>
        <v>0</v>
      </c>
    </row>
    <row r="135" spans="2:30" x14ac:dyDescent="0.3">
      <c r="B135" s="3" t="str">
        <f>Table3[[#This Row],[Fiscal_Year]]*100+Table3[[#This Row],[Fiscal_Week]] &amp; "-" &amp;Table3[[#This Row],[Brand]]</f>
        <v>202244-Old Navy</v>
      </c>
      <c r="C135" t="str">
        <f t="shared" si="2"/>
        <v>2022-Old Navy</v>
      </c>
      <c r="D135">
        <v>2022</v>
      </c>
      <c r="E135">
        <v>44</v>
      </c>
      <c r="F135" t="s">
        <v>20</v>
      </c>
      <c r="G135">
        <v>10576117</v>
      </c>
      <c r="H135" s="3">
        <f>INDEX(Demand_Modeling!$A$13:$I$49,MATCH(Table3[[#This Row],[Key]],Demand_Modeling!$A$13:$A$49,0),MATCH(Table3[[#Headers],[OFC]],Demand_Modeling!$A$13:$I$13,0))</f>
        <v>0.09</v>
      </c>
      <c r="I135" s="3">
        <f>INDEX(Demand_Modeling!$A$13:$I$49,MATCH(Table3[[#This Row],[Key]],Demand_Modeling!$A$13:$A$49,0),MATCH(Table3[[#Headers],[TFC]],Demand_Modeling!$A$13:$I$13,0))</f>
        <v>0.11</v>
      </c>
      <c r="J135" s="3">
        <f>INDEX(Demand_Modeling!$A$13:$I$49,MATCH(Table3[[#This Row],[Key]],Demand_Modeling!$A$13:$A$49,0),MATCH(Table3[[#Headers],[WFC]],Demand_Modeling!$A$13:$I$13,0))</f>
        <v>0</v>
      </c>
      <c r="K135" s="3">
        <f>INDEX(Demand_Modeling!$A$13:$I$49,MATCH(Table3[[#This Row],[Key]],Demand_Modeling!$A$13:$A$49,0),MATCH(Table3[[#Headers],[EAO]],Demand_Modeling!$A$13:$I$13,0))</f>
        <v>0.21</v>
      </c>
      <c r="L135" s="3">
        <f>INDEX(Demand_Modeling!$A$13:$I$49,MATCH(Table3[[#This Row],[Key]],Demand_Modeling!$A$13:$A$49,0),MATCH(Table3[[#Headers],[OCC]],Demand_Modeling!$A$13:$I$13,0))</f>
        <v>0.45</v>
      </c>
      <c r="M135" s="3">
        <f>INDEX(Demand_Modeling!$A$13:$I$49,MATCH(Table3[[#This Row],[Key]],Demand_Modeling!$A$13:$A$49,0),MATCH(Table3[[#Headers],[WEO]],Demand_Modeling!$A$13:$I$13,0))</f>
        <v>0.14000000000000001</v>
      </c>
      <c r="N135" s="19">
        <f>SUM(Table3[[#This Row],[OFC]:[WEO]])</f>
        <v>1</v>
      </c>
      <c r="O135" s="19"/>
      <c r="Q135" s="3" t="str">
        <f>Table35[[#This Row],[Fiscal_Year]]*100+Table35[[#This Row],[Fiscal_Week]] &amp; "-" &amp;Table35[[#This Row],[Brand]]</f>
        <v>202244-Old Navy</v>
      </c>
      <c r="R135" t="str">
        <f>Table3[[#This Row],[Key]]</f>
        <v>2022-Old Navy</v>
      </c>
      <c r="S135">
        <f>Table3[[#This Row],[Fiscal_Year]]</f>
        <v>2022</v>
      </c>
      <c r="T135">
        <f>Table3[[#This Row],[Fiscal_Week]]</f>
        <v>44</v>
      </c>
      <c r="U135" t="str">
        <f>Table3[[#This Row],[Brand]]</f>
        <v>Old Navy</v>
      </c>
      <c r="V135">
        <f>Table3[[#This Row],[Demand]]</f>
        <v>10576117</v>
      </c>
      <c r="W135">
        <f>Table3[[#This Row],[OFC]]*Table3[[#This Row],[Demand]]</f>
        <v>951850.52999999991</v>
      </c>
      <c r="X135">
        <f>Table3[[#This Row],[TFC]]*Table3[[#This Row],[Demand]]</f>
        <v>1163372.8700000001</v>
      </c>
      <c r="Y135">
        <f>Table3[[#This Row],[WFC]]*Table3[[#This Row],[Demand]]</f>
        <v>0</v>
      </c>
      <c r="Z135">
        <f>Table3[[#This Row],[EAO]]*Table3[[#This Row],[Demand]]</f>
        <v>2220984.5699999998</v>
      </c>
      <c r="AA135">
        <f>Table3[[#This Row],[OCC]]*Table3[[#This Row],[Demand]]</f>
        <v>4759252.6500000004</v>
      </c>
      <c r="AB135">
        <f>Table3[[#This Row],[WEO]]*Table3[[#This Row],[Demand]]</f>
        <v>1480656.3800000001</v>
      </c>
      <c r="AC135" s="19">
        <f>SUM(Table35[[#This Row],[OFC]:[WEO]])</f>
        <v>10576117.000000002</v>
      </c>
      <c r="AD135" s="19">
        <f>Table35[[#This Row],[Demand]]-Table35[[#This Row],[Total_Modeled_Demand]]</f>
        <v>0</v>
      </c>
    </row>
    <row r="136" spans="2:30" x14ac:dyDescent="0.3">
      <c r="B136" s="3" t="str">
        <f>Table3[[#This Row],[Fiscal_Year]]*100+Table3[[#This Row],[Fiscal_Week]] &amp; "-" &amp;Table3[[#This Row],[Brand]]</f>
        <v>202245-Athleta</v>
      </c>
      <c r="C136" t="str">
        <f t="shared" si="2"/>
        <v>2022-Athleta</v>
      </c>
      <c r="D136">
        <v>2022</v>
      </c>
      <c r="E136">
        <v>45</v>
      </c>
      <c r="F136" t="s">
        <v>19</v>
      </c>
      <c r="G136">
        <v>364830</v>
      </c>
      <c r="H136" s="3">
        <f>INDEX(Demand_Modeling!$A$13:$I$49,MATCH(Table3[[#This Row],[Key]],Demand_Modeling!$A$13:$A$49,0),MATCH(Table3[[#Headers],[OFC]],Demand_Modeling!$A$13:$I$13,0))</f>
        <v>0</v>
      </c>
      <c r="I136" s="3">
        <f>INDEX(Demand_Modeling!$A$13:$I$49,MATCH(Table3[[#This Row],[Key]],Demand_Modeling!$A$13:$A$49,0),MATCH(Table3[[#Headers],[TFC]],Demand_Modeling!$A$13:$I$13,0))</f>
        <v>1</v>
      </c>
      <c r="J136" s="3">
        <f>INDEX(Demand_Modeling!$A$13:$I$49,MATCH(Table3[[#This Row],[Key]],Demand_Modeling!$A$13:$A$49,0),MATCH(Table3[[#Headers],[WFC]],Demand_Modeling!$A$13:$I$13,0))</f>
        <v>0</v>
      </c>
      <c r="K136" s="3">
        <f>INDEX(Demand_Modeling!$A$13:$I$49,MATCH(Table3[[#This Row],[Key]],Demand_Modeling!$A$13:$A$49,0),MATCH(Table3[[#Headers],[EAO]],Demand_Modeling!$A$13:$I$13,0))</f>
        <v>3.447122356821831E-5</v>
      </c>
      <c r="L136" s="3">
        <f>INDEX(Demand_Modeling!$A$13:$I$49,MATCH(Table3[[#This Row],[Key]],Demand_Modeling!$A$13:$A$49,0),MATCH(Table3[[#Headers],[OCC]],Demand_Modeling!$A$13:$I$13,0))</f>
        <v>0</v>
      </c>
      <c r="M136" s="3">
        <f>INDEX(Demand_Modeling!$A$13:$I$49,MATCH(Table3[[#This Row],[Key]],Demand_Modeling!$A$13:$A$49,0),MATCH(Table3[[#Headers],[WEO]],Demand_Modeling!$A$13:$I$13,0))</f>
        <v>0</v>
      </c>
      <c r="N136" s="19">
        <f>SUM(Table3[[#This Row],[OFC]:[WEO]])</f>
        <v>1.0000344712235683</v>
      </c>
      <c r="O136" s="19"/>
      <c r="Q136" s="3" t="str">
        <f>Table35[[#This Row],[Fiscal_Year]]*100+Table35[[#This Row],[Fiscal_Week]] &amp; "-" &amp;Table35[[#This Row],[Brand]]</f>
        <v>202245-Athleta</v>
      </c>
      <c r="R136" t="str">
        <f>Table3[[#This Row],[Key]]</f>
        <v>2022-Athleta</v>
      </c>
      <c r="S136">
        <f>Table3[[#This Row],[Fiscal_Year]]</f>
        <v>2022</v>
      </c>
      <c r="T136">
        <f>Table3[[#This Row],[Fiscal_Week]]</f>
        <v>45</v>
      </c>
      <c r="U136" t="str">
        <f>Table3[[#This Row],[Brand]]</f>
        <v>Athleta</v>
      </c>
      <c r="V136">
        <f>Table3[[#This Row],[Demand]]</f>
        <v>364830</v>
      </c>
      <c r="W136">
        <f>Table3[[#This Row],[OFC]]*Table3[[#This Row],[Demand]]</f>
        <v>0</v>
      </c>
      <c r="X136">
        <f>Table3[[#This Row],[TFC]]*Table3[[#This Row],[Demand]]</f>
        <v>364830</v>
      </c>
      <c r="Y136">
        <f>Table3[[#This Row],[WFC]]*Table3[[#This Row],[Demand]]</f>
        <v>0</v>
      </c>
      <c r="Z136">
        <f>Table3[[#This Row],[EAO]]*Table3[[#This Row],[Demand]]</f>
        <v>12.576136494393086</v>
      </c>
      <c r="AA136">
        <f>Table3[[#This Row],[OCC]]*Table3[[#This Row],[Demand]]</f>
        <v>0</v>
      </c>
      <c r="AB136">
        <f>Table3[[#This Row],[WEO]]*Table3[[#This Row],[Demand]]</f>
        <v>0</v>
      </c>
      <c r="AC136" s="19">
        <f>SUM(Table35[[#This Row],[OFC]:[WEO]])</f>
        <v>364842.5761364944</v>
      </c>
      <c r="AD136" s="19">
        <f>Table35[[#This Row],[Demand]]-Table35[[#This Row],[Total_Modeled_Demand]]</f>
        <v>-12.576136494404636</v>
      </c>
    </row>
    <row r="137" spans="2:30" x14ac:dyDescent="0.3">
      <c r="B137" s="3" t="str">
        <f>Table3[[#This Row],[Fiscal_Year]]*100+Table3[[#This Row],[Fiscal_Week]] &amp; "-" &amp;Table3[[#This Row],[Brand]]</f>
        <v>202245-Banana Republic</v>
      </c>
      <c r="C137" t="str">
        <f t="shared" si="2"/>
        <v>2022-Banana Republic</v>
      </c>
      <c r="D137">
        <v>2022</v>
      </c>
      <c r="E137">
        <v>45</v>
      </c>
      <c r="F137" t="s">
        <v>18</v>
      </c>
      <c r="G137">
        <v>414419</v>
      </c>
      <c r="H137" s="3">
        <f>INDEX(Demand_Modeling!$A$13:$I$49,MATCH(Table3[[#This Row],[Key]],Demand_Modeling!$A$13:$A$49,0),MATCH(Table3[[#Headers],[OFC]],Demand_Modeling!$A$13:$I$13,0))</f>
        <v>0</v>
      </c>
      <c r="I137" s="3">
        <f>INDEX(Demand_Modeling!$A$13:$I$49,MATCH(Table3[[#This Row],[Key]],Demand_Modeling!$A$13:$A$49,0),MATCH(Table3[[#Headers],[TFC]],Demand_Modeling!$A$13:$I$13,0))</f>
        <v>1</v>
      </c>
      <c r="J137" s="3">
        <f>INDEX(Demand_Modeling!$A$13:$I$49,MATCH(Table3[[#This Row],[Key]],Demand_Modeling!$A$13:$A$49,0),MATCH(Table3[[#Headers],[WFC]],Demand_Modeling!$A$13:$I$13,0))</f>
        <v>3.4959629396853166E-6</v>
      </c>
      <c r="K137" s="3">
        <f>INDEX(Demand_Modeling!$A$13:$I$49,MATCH(Table3[[#This Row],[Key]],Demand_Modeling!$A$13:$A$49,0),MATCH(Table3[[#Headers],[EAO]],Demand_Modeling!$A$13:$I$13,0))</f>
        <v>4.2339995602855504E-5</v>
      </c>
      <c r="L137" s="3">
        <f>INDEX(Demand_Modeling!$A$13:$I$49,MATCH(Table3[[#This Row],[Key]],Demand_Modeling!$A$13:$A$49,0),MATCH(Table3[[#Headers],[OCC]],Demand_Modeling!$A$13:$I$13,0))</f>
        <v>0</v>
      </c>
      <c r="M137" s="3">
        <f>INDEX(Demand_Modeling!$A$13:$I$49,MATCH(Table3[[#This Row],[Key]],Demand_Modeling!$A$13:$A$49,0),MATCH(Table3[[#Headers],[WEO]],Demand_Modeling!$A$13:$I$13,0))</f>
        <v>0</v>
      </c>
      <c r="N137" s="19">
        <f>SUM(Table3[[#This Row],[OFC]:[WEO]])</f>
        <v>1.0000458359585425</v>
      </c>
      <c r="O137" s="19"/>
      <c r="Q137" s="3" t="str">
        <f>Table35[[#This Row],[Fiscal_Year]]*100+Table35[[#This Row],[Fiscal_Week]] &amp; "-" &amp;Table35[[#This Row],[Brand]]</f>
        <v>202245-Banana Republic</v>
      </c>
      <c r="R137" t="str">
        <f>Table3[[#This Row],[Key]]</f>
        <v>2022-Banana Republic</v>
      </c>
      <c r="S137">
        <f>Table3[[#This Row],[Fiscal_Year]]</f>
        <v>2022</v>
      </c>
      <c r="T137">
        <f>Table3[[#This Row],[Fiscal_Week]]</f>
        <v>45</v>
      </c>
      <c r="U137" t="str">
        <f>Table3[[#This Row],[Brand]]</f>
        <v>Banana Republic</v>
      </c>
      <c r="V137">
        <f>Table3[[#This Row],[Demand]]</f>
        <v>414419</v>
      </c>
      <c r="W137">
        <f>Table3[[#This Row],[OFC]]*Table3[[#This Row],[Demand]]</f>
        <v>0</v>
      </c>
      <c r="X137">
        <f>Table3[[#This Row],[TFC]]*Table3[[#This Row],[Demand]]</f>
        <v>414419</v>
      </c>
      <c r="Y137">
        <f>Table3[[#This Row],[WFC]]*Table3[[#This Row],[Demand]]</f>
        <v>1.4487934655014492</v>
      </c>
      <c r="Z137">
        <f>Table3[[#This Row],[EAO]]*Table3[[#This Row],[Demand]]</f>
        <v>17.546498637739774</v>
      </c>
      <c r="AA137">
        <f>Table3[[#This Row],[OCC]]*Table3[[#This Row],[Demand]]</f>
        <v>0</v>
      </c>
      <c r="AB137">
        <f>Table3[[#This Row],[WEO]]*Table3[[#This Row],[Demand]]</f>
        <v>0</v>
      </c>
      <c r="AC137" s="19">
        <f>SUM(Table35[[#This Row],[OFC]:[WEO]])</f>
        <v>414437.99529210327</v>
      </c>
      <c r="AD137" s="19">
        <f>Table35[[#This Row],[Demand]]-Table35[[#This Row],[Total_Modeled_Demand]]</f>
        <v>-18.995292103267275</v>
      </c>
    </row>
    <row r="138" spans="2:30" x14ac:dyDescent="0.3">
      <c r="B138" s="3" t="str">
        <f>Table3[[#This Row],[Fiscal_Year]]*100+Table3[[#This Row],[Fiscal_Week]] &amp; "-" &amp;Table3[[#This Row],[Brand]]</f>
        <v>202245-BR Factory Store</v>
      </c>
      <c r="C138" t="str">
        <f t="shared" si="2"/>
        <v>2022-BR Factory Store</v>
      </c>
      <c r="D138">
        <v>2022</v>
      </c>
      <c r="E138">
        <v>45</v>
      </c>
      <c r="F138" t="s">
        <v>17</v>
      </c>
      <c r="G138">
        <v>177663</v>
      </c>
      <c r="H138" s="3">
        <f>INDEX(Demand_Modeling!$A$13:$I$49,MATCH(Table3[[#This Row],[Key]],Demand_Modeling!$A$13:$A$49,0),MATCH(Table3[[#Headers],[OFC]],Demand_Modeling!$A$13:$I$13,0))</f>
        <v>1</v>
      </c>
      <c r="I138" s="3">
        <f>INDEX(Demand_Modeling!$A$13:$I$49,MATCH(Table3[[#This Row],[Key]],Demand_Modeling!$A$13:$A$49,0),MATCH(Table3[[#Headers],[TFC]],Demand_Modeling!$A$13:$I$13,0))</f>
        <v>0</v>
      </c>
      <c r="J138" s="3">
        <f>INDEX(Demand_Modeling!$A$13:$I$49,MATCH(Table3[[#This Row],[Key]],Demand_Modeling!$A$13:$A$49,0),MATCH(Table3[[#Headers],[WFC]],Demand_Modeling!$A$13:$I$13,0))</f>
        <v>0</v>
      </c>
      <c r="K138" s="3">
        <f>INDEX(Demand_Modeling!$A$13:$I$49,MATCH(Table3[[#This Row],[Key]],Demand_Modeling!$A$13:$A$49,0),MATCH(Table3[[#Headers],[EAO]],Demand_Modeling!$A$13:$I$13,0))</f>
        <v>0</v>
      </c>
      <c r="L138" s="3">
        <f>INDEX(Demand_Modeling!$A$13:$I$49,MATCH(Table3[[#This Row],[Key]],Demand_Modeling!$A$13:$A$49,0),MATCH(Table3[[#Headers],[OCC]],Demand_Modeling!$A$13:$I$13,0))</f>
        <v>0</v>
      </c>
      <c r="M138" s="3">
        <f>INDEX(Demand_Modeling!$A$13:$I$49,MATCH(Table3[[#This Row],[Key]],Demand_Modeling!$A$13:$A$49,0),MATCH(Table3[[#Headers],[WEO]],Demand_Modeling!$A$13:$I$13,0))</f>
        <v>0</v>
      </c>
      <c r="N138" s="19">
        <f>SUM(Table3[[#This Row],[OFC]:[WEO]])</f>
        <v>1</v>
      </c>
      <c r="O138" s="19"/>
      <c r="Q138" s="3" t="str">
        <f>Table35[[#This Row],[Fiscal_Year]]*100+Table35[[#This Row],[Fiscal_Week]] &amp; "-" &amp;Table35[[#This Row],[Brand]]</f>
        <v>202245-BR Factory Store</v>
      </c>
      <c r="R138" t="str">
        <f>Table3[[#This Row],[Key]]</f>
        <v>2022-BR Factory Store</v>
      </c>
      <c r="S138">
        <f>Table3[[#This Row],[Fiscal_Year]]</f>
        <v>2022</v>
      </c>
      <c r="T138">
        <f>Table3[[#This Row],[Fiscal_Week]]</f>
        <v>45</v>
      </c>
      <c r="U138" t="str">
        <f>Table3[[#This Row],[Brand]]</f>
        <v>BR Factory Store</v>
      </c>
      <c r="V138">
        <f>Table3[[#This Row],[Demand]]</f>
        <v>177663</v>
      </c>
      <c r="W138">
        <f>Table3[[#This Row],[OFC]]*Table3[[#This Row],[Demand]]</f>
        <v>177663</v>
      </c>
      <c r="X138">
        <f>Table3[[#This Row],[TFC]]*Table3[[#This Row],[Demand]]</f>
        <v>0</v>
      </c>
      <c r="Y138">
        <f>Table3[[#This Row],[WFC]]*Table3[[#This Row],[Demand]]</f>
        <v>0</v>
      </c>
      <c r="Z138">
        <f>Table3[[#This Row],[EAO]]*Table3[[#This Row],[Demand]]</f>
        <v>0</v>
      </c>
      <c r="AA138">
        <f>Table3[[#This Row],[OCC]]*Table3[[#This Row],[Demand]]</f>
        <v>0</v>
      </c>
      <c r="AB138">
        <f>Table3[[#This Row],[WEO]]*Table3[[#This Row],[Demand]]</f>
        <v>0</v>
      </c>
      <c r="AC138" s="19">
        <f>SUM(Table35[[#This Row],[OFC]:[WEO]])</f>
        <v>177663</v>
      </c>
      <c r="AD138" s="19">
        <f>Table35[[#This Row],[Demand]]-Table35[[#This Row],[Total_Modeled_Demand]]</f>
        <v>0</v>
      </c>
    </row>
    <row r="139" spans="2:30" x14ac:dyDescent="0.3">
      <c r="B139" s="3" t="str">
        <f>Table3[[#This Row],[Fiscal_Year]]*100+Table3[[#This Row],[Fiscal_Week]] &amp; "-" &amp;Table3[[#This Row],[Brand]]</f>
        <v>202245-Gap</v>
      </c>
      <c r="C139" t="str">
        <f t="shared" si="2"/>
        <v>2022-Gap</v>
      </c>
      <c r="D139">
        <v>2022</v>
      </c>
      <c r="E139">
        <v>45</v>
      </c>
      <c r="F139" t="s">
        <v>16</v>
      </c>
      <c r="G139">
        <v>1935105</v>
      </c>
      <c r="H139" s="3">
        <f>INDEX(Demand_Modeling!$A$13:$I$49,MATCH(Table3[[#This Row],[Key]],Demand_Modeling!$A$13:$A$49,0),MATCH(Table3[[#Headers],[OFC]],Demand_Modeling!$A$13:$I$13,0))</f>
        <v>0</v>
      </c>
      <c r="I139" s="3">
        <f>INDEX(Demand_Modeling!$A$13:$I$49,MATCH(Table3[[#This Row],[Key]],Demand_Modeling!$A$13:$A$49,0),MATCH(Table3[[#Headers],[TFC]],Demand_Modeling!$A$13:$I$13,0))</f>
        <v>0.25</v>
      </c>
      <c r="J139" s="3">
        <f>INDEX(Demand_Modeling!$A$13:$I$49,MATCH(Table3[[#This Row],[Key]],Demand_Modeling!$A$13:$A$49,0),MATCH(Table3[[#Headers],[WFC]],Demand_Modeling!$A$13:$I$13,0))</f>
        <v>0</v>
      </c>
      <c r="K139" s="3">
        <f>INDEX(Demand_Modeling!$A$13:$I$49,MATCH(Table3[[#This Row],[Key]],Demand_Modeling!$A$13:$A$49,0),MATCH(Table3[[#Headers],[EAO]],Demand_Modeling!$A$13:$I$13,0))</f>
        <v>0</v>
      </c>
      <c r="L139" s="3">
        <f>INDEX(Demand_Modeling!$A$13:$I$49,MATCH(Table3[[#This Row],[Key]],Demand_Modeling!$A$13:$A$49,0),MATCH(Table3[[#Headers],[OCC]],Demand_Modeling!$A$13:$I$13,0))</f>
        <v>0.3</v>
      </c>
      <c r="M139" s="3">
        <f>INDEX(Demand_Modeling!$A$13:$I$49,MATCH(Table3[[#This Row],[Key]],Demand_Modeling!$A$13:$A$49,0),MATCH(Table3[[#Headers],[WEO]],Demand_Modeling!$A$13:$I$13,0))</f>
        <v>0.45</v>
      </c>
      <c r="N139" s="19">
        <f>SUM(Table3[[#This Row],[OFC]:[WEO]])</f>
        <v>1</v>
      </c>
      <c r="O139" s="19"/>
      <c r="Q139" s="3" t="str">
        <f>Table35[[#This Row],[Fiscal_Year]]*100+Table35[[#This Row],[Fiscal_Week]] &amp; "-" &amp;Table35[[#This Row],[Brand]]</f>
        <v>202245-Gap</v>
      </c>
      <c r="R139" t="str">
        <f>Table3[[#This Row],[Key]]</f>
        <v>2022-Gap</v>
      </c>
      <c r="S139">
        <f>Table3[[#This Row],[Fiscal_Year]]</f>
        <v>2022</v>
      </c>
      <c r="T139">
        <f>Table3[[#This Row],[Fiscal_Week]]</f>
        <v>45</v>
      </c>
      <c r="U139" t="str">
        <f>Table3[[#This Row],[Brand]]</f>
        <v>Gap</v>
      </c>
      <c r="V139">
        <f>Table3[[#This Row],[Demand]]</f>
        <v>1935105</v>
      </c>
      <c r="W139">
        <f>Table3[[#This Row],[OFC]]*Table3[[#This Row],[Demand]]</f>
        <v>0</v>
      </c>
      <c r="X139">
        <f>Table3[[#This Row],[TFC]]*Table3[[#This Row],[Demand]]</f>
        <v>483776.25</v>
      </c>
      <c r="Y139">
        <f>Table3[[#This Row],[WFC]]*Table3[[#This Row],[Demand]]</f>
        <v>0</v>
      </c>
      <c r="Z139">
        <f>Table3[[#This Row],[EAO]]*Table3[[#This Row],[Demand]]</f>
        <v>0</v>
      </c>
      <c r="AA139">
        <f>Table3[[#This Row],[OCC]]*Table3[[#This Row],[Demand]]</f>
        <v>580531.5</v>
      </c>
      <c r="AB139">
        <f>Table3[[#This Row],[WEO]]*Table3[[#This Row],[Demand]]</f>
        <v>870797.25</v>
      </c>
      <c r="AC139" s="19">
        <f>SUM(Table35[[#This Row],[OFC]:[WEO]])</f>
        <v>1935105</v>
      </c>
      <c r="AD139" s="19">
        <f>Table35[[#This Row],[Demand]]-Table35[[#This Row],[Total_Modeled_Demand]]</f>
        <v>0</v>
      </c>
    </row>
    <row r="140" spans="2:30" x14ac:dyDescent="0.3">
      <c r="B140" s="3" t="str">
        <f>Table3[[#This Row],[Fiscal_Year]]*100+Table3[[#This Row],[Fiscal_Week]] &amp; "-" &amp;Table3[[#This Row],[Brand]]</f>
        <v>202245-Gap Factory Store</v>
      </c>
      <c r="C140" t="str">
        <f t="shared" si="2"/>
        <v>2022-Gap Factory Store</v>
      </c>
      <c r="D140">
        <v>2022</v>
      </c>
      <c r="E140">
        <v>45</v>
      </c>
      <c r="F140" t="s">
        <v>22</v>
      </c>
      <c r="G140">
        <v>744755</v>
      </c>
      <c r="H140" s="3">
        <f>INDEX(Demand_Modeling!$A$13:$I$49,MATCH(Table3[[#This Row],[Key]],Demand_Modeling!$A$13:$A$49,0),MATCH(Table3[[#Headers],[OFC]],Demand_Modeling!$A$13:$I$13,0))</f>
        <v>1</v>
      </c>
      <c r="I140" s="3">
        <f>INDEX(Demand_Modeling!$A$13:$I$49,MATCH(Table3[[#This Row],[Key]],Demand_Modeling!$A$13:$A$49,0),MATCH(Table3[[#Headers],[TFC]],Demand_Modeling!$A$13:$I$13,0))</f>
        <v>0</v>
      </c>
      <c r="J140" s="3">
        <f>INDEX(Demand_Modeling!$A$13:$I$49,MATCH(Table3[[#This Row],[Key]],Demand_Modeling!$A$13:$A$49,0),MATCH(Table3[[#Headers],[WFC]],Demand_Modeling!$A$13:$I$13,0))</f>
        <v>0</v>
      </c>
      <c r="K140" s="3">
        <f>INDEX(Demand_Modeling!$A$13:$I$49,MATCH(Table3[[#This Row],[Key]],Demand_Modeling!$A$13:$A$49,0),MATCH(Table3[[#Headers],[EAO]],Demand_Modeling!$A$13:$I$13,0))</f>
        <v>0</v>
      </c>
      <c r="L140" s="3">
        <f>INDEX(Demand_Modeling!$A$13:$I$49,MATCH(Table3[[#This Row],[Key]],Demand_Modeling!$A$13:$A$49,0),MATCH(Table3[[#Headers],[OCC]],Demand_Modeling!$A$13:$I$13,0))</f>
        <v>0</v>
      </c>
      <c r="M140" s="3">
        <f>INDEX(Demand_Modeling!$A$13:$I$49,MATCH(Table3[[#This Row],[Key]],Demand_Modeling!$A$13:$A$49,0),MATCH(Table3[[#Headers],[WEO]],Demand_Modeling!$A$13:$I$13,0))</f>
        <v>0</v>
      </c>
      <c r="N140" s="19">
        <f>SUM(Table3[[#This Row],[OFC]:[WEO]])</f>
        <v>1</v>
      </c>
      <c r="O140" s="19"/>
      <c r="Q140" s="3" t="str">
        <f>Table35[[#This Row],[Fiscal_Year]]*100+Table35[[#This Row],[Fiscal_Week]] &amp; "-" &amp;Table35[[#This Row],[Brand]]</f>
        <v>202245-Gap Factory Store</v>
      </c>
      <c r="R140" t="str">
        <f>Table3[[#This Row],[Key]]</f>
        <v>2022-Gap Factory Store</v>
      </c>
      <c r="S140">
        <f>Table3[[#This Row],[Fiscal_Year]]</f>
        <v>2022</v>
      </c>
      <c r="T140">
        <f>Table3[[#This Row],[Fiscal_Week]]</f>
        <v>45</v>
      </c>
      <c r="U140" t="str">
        <f>Table3[[#This Row],[Brand]]</f>
        <v>Gap Factory Store</v>
      </c>
      <c r="V140">
        <f>Table3[[#This Row],[Demand]]</f>
        <v>744755</v>
      </c>
      <c r="W140">
        <f>Table3[[#This Row],[OFC]]*Table3[[#This Row],[Demand]]</f>
        <v>744755</v>
      </c>
      <c r="X140">
        <f>Table3[[#This Row],[TFC]]*Table3[[#This Row],[Demand]]</f>
        <v>0</v>
      </c>
      <c r="Y140">
        <f>Table3[[#This Row],[WFC]]*Table3[[#This Row],[Demand]]</f>
        <v>0</v>
      </c>
      <c r="Z140">
        <f>Table3[[#This Row],[EAO]]*Table3[[#This Row],[Demand]]</f>
        <v>0</v>
      </c>
      <c r="AA140">
        <f>Table3[[#This Row],[OCC]]*Table3[[#This Row],[Demand]]</f>
        <v>0</v>
      </c>
      <c r="AB140">
        <f>Table3[[#This Row],[WEO]]*Table3[[#This Row],[Demand]]</f>
        <v>0</v>
      </c>
      <c r="AC140" s="19">
        <f>SUM(Table35[[#This Row],[OFC]:[WEO]])</f>
        <v>744755</v>
      </c>
      <c r="AD140" s="19">
        <f>Table35[[#This Row],[Demand]]-Table35[[#This Row],[Total_Modeled_Demand]]</f>
        <v>0</v>
      </c>
    </row>
    <row r="141" spans="2:30" x14ac:dyDescent="0.3">
      <c r="B141" s="3" t="str">
        <f>Table3[[#This Row],[Fiscal_Year]]*100+Table3[[#This Row],[Fiscal_Week]] &amp; "-" &amp;Table3[[#This Row],[Brand]]</f>
        <v>202245-Old Navy</v>
      </c>
      <c r="C141" t="str">
        <f t="shared" si="2"/>
        <v>2022-Old Navy</v>
      </c>
      <c r="D141">
        <v>2022</v>
      </c>
      <c r="E141">
        <v>45</v>
      </c>
      <c r="F141" t="s">
        <v>20</v>
      </c>
      <c r="G141">
        <v>5570656</v>
      </c>
      <c r="H141" s="3">
        <f>INDEX(Demand_Modeling!$A$13:$I$49,MATCH(Table3[[#This Row],[Key]],Demand_Modeling!$A$13:$A$49,0),MATCH(Table3[[#Headers],[OFC]],Demand_Modeling!$A$13:$I$13,0))</f>
        <v>0.09</v>
      </c>
      <c r="I141" s="3">
        <f>INDEX(Demand_Modeling!$A$13:$I$49,MATCH(Table3[[#This Row],[Key]],Demand_Modeling!$A$13:$A$49,0),MATCH(Table3[[#Headers],[TFC]],Demand_Modeling!$A$13:$I$13,0))</f>
        <v>0.11</v>
      </c>
      <c r="J141" s="3">
        <f>INDEX(Demand_Modeling!$A$13:$I$49,MATCH(Table3[[#This Row],[Key]],Demand_Modeling!$A$13:$A$49,0),MATCH(Table3[[#Headers],[WFC]],Demand_Modeling!$A$13:$I$13,0))</f>
        <v>0</v>
      </c>
      <c r="K141" s="3">
        <f>INDEX(Demand_Modeling!$A$13:$I$49,MATCH(Table3[[#This Row],[Key]],Demand_Modeling!$A$13:$A$49,0),MATCH(Table3[[#Headers],[EAO]],Demand_Modeling!$A$13:$I$13,0))</f>
        <v>0.21</v>
      </c>
      <c r="L141" s="3">
        <f>INDEX(Demand_Modeling!$A$13:$I$49,MATCH(Table3[[#This Row],[Key]],Demand_Modeling!$A$13:$A$49,0),MATCH(Table3[[#Headers],[OCC]],Demand_Modeling!$A$13:$I$13,0))</f>
        <v>0.45</v>
      </c>
      <c r="M141" s="3">
        <f>INDEX(Demand_Modeling!$A$13:$I$49,MATCH(Table3[[#This Row],[Key]],Demand_Modeling!$A$13:$A$49,0),MATCH(Table3[[#Headers],[WEO]],Demand_Modeling!$A$13:$I$13,0))</f>
        <v>0.14000000000000001</v>
      </c>
      <c r="N141" s="19">
        <f>SUM(Table3[[#This Row],[OFC]:[WEO]])</f>
        <v>1</v>
      </c>
      <c r="O141" s="19"/>
      <c r="Q141" s="3" t="str">
        <f>Table35[[#This Row],[Fiscal_Year]]*100+Table35[[#This Row],[Fiscal_Week]] &amp; "-" &amp;Table35[[#This Row],[Brand]]</f>
        <v>202245-Old Navy</v>
      </c>
      <c r="R141" t="str">
        <f>Table3[[#This Row],[Key]]</f>
        <v>2022-Old Navy</v>
      </c>
      <c r="S141">
        <f>Table3[[#This Row],[Fiscal_Year]]</f>
        <v>2022</v>
      </c>
      <c r="T141">
        <f>Table3[[#This Row],[Fiscal_Week]]</f>
        <v>45</v>
      </c>
      <c r="U141" t="str">
        <f>Table3[[#This Row],[Brand]]</f>
        <v>Old Navy</v>
      </c>
      <c r="V141">
        <f>Table3[[#This Row],[Demand]]</f>
        <v>5570656</v>
      </c>
      <c r="W141">
        <f>Table3[[#This Row],[OFC]]*Table3[[#This Row],[Demand]]</f>
        <v>501359.04</v>
      </c>
      <c r="X141">
        <f>Table3[[#This Row],[TFC]]*Table3[[#This Row],[Demand]]</f>
        <v>612772.16</v>
      </c>
      <c r="Y141">
        <f>Table3[[#This Row],[WFC]]*Table3[[#This Row],[Demand]]</f>
        <v>0</v>
      </c>
      <c r="Z141">
        <f>Table3[[#This Row],[EAO]]*Table3[[#This Row],[Demand]]</f>
        <v>1169837.76</v>
      </c>
      <c r="AA141">
        <f>Table3[[#This Row],[OCC]]*Table3[[#This Row],[Demand]]</f>
        <v>2506795.2000000002</v>
      </c>
      <c r="AB141">
        <f>Table3[[#This Row],[WEO]]*Table3[[#This Row],[Demand]]</f>
        <v>779891.84000000008</v>
      </c>
      <c r="AC141" s="19">
        <f>SUM(Table35[[#This Row],[OFC]:[WEO]])</f>
        <v>5570656</v>
      </c>
      <c r="AD141" s="19">
        <f>Table35[[#This Row],[Demand]]-Table35[[#This Row],[Total_Modeled_Demand]]</f>
        <v>0</v>
      </c>
    </row>
    <row r="142" spans="2:30" x14ac:dyDescent="0.3">
      <c r="B142" s="3" t="str">
        <f>Table3[[#This Row],[Fiscal_Year]]*100+Table3[[#This Row],[Fiscal_Week]] &amp; "-" &amp;Table3[[#This Row],[Brand]]</f>
        <v>202246-Athleta</v>
      </c>
      <c r="C142" t="str">
        <f t="shared" si="2"/>
        <v>2022-Athleta</v>
      </c>
      <c r="D142">
        <v>2022</v>
      </c>
      <c r="E142">
        <v>46</v>
      </c>
      <c r="F142" t="s">
        <v>19</v>
      </c>
      <c r="G142">
        <v>385961</v>
      </c>
      <c r="H142" s="3">
        <f>INDEX(Demand_Modeling!$A$13:$I$49,MATCH(Table3[[#This Row],[Key]],Demand_Modeling!$A$13:$A$49,0),MATCH(Table3[[#Headers],[OFC]],Demand_Modeling!$A$13:$I$13,0))</f>
        <v>0</v>
      </c>
      <c r="I142" s="3">
        <f>INDEX(Demand_Modeling!$A$13:$I$49,MATCH(Table3[[#This Row],[Key]],Demand_Modeling!$A$13:$A$49,0),MATCH(Table3[[#Headers],[TFC]],Demand_Modeling!$A$13:$I$13,0))</f>
        <v>1</v>
      </c>
      <c r="J142" s="3">
        <f>INDEX(Demand_Modeling!$A$13:$I$49,MATCH(Table3[[#This Row],[Key]],Demand_Modeling!$A$13:$A$49,0),MATCH(Table3[[#Headers],[WFC]],Demand_Modeling!$A$13:$I$13,0))</f>
        <v>0</v>
      </c>
      <c r="K142" s="3">
        <f>INDEX(Demand_Modeling!$A$13:$I$49,MATCH(Table3[[#This Row],[Key]],Demand_Modeling!$A$13:$A$49,0),MATCH(Table3[[#Headers],[EAO]],Demand_Modeling!$A$13:$I$13,0))</f>
        <v>3.447122356821831E-5</v>
      </c>
      <c r="L142" s="3">
        <f>INDEX(Demand_Modeling!$A$13:$I$49,MATCH(Table3[[#This Row],[Key]],Demand_Modeling!$A$13:$A$49,0),MATCH(Table3[[#Headers],[OCC]],Demand_Modeling!$A$13:$I$13,0))</f>
        <v>0</v>
      </c>
      <c r="M142" s="3">
        <f>INDEX(Demand_Modeling!$A$13:$I$49,MATCH(Table3[[#This Row],[Key]],Demand_Modeling!$A$13:$A$49,0),MATCH(Table3[[#Headers],[WEO]],Demand_Modeling!$A$13:$I$13,0))</f>
        <v>0</v>
      </c>
      <c r="N142" s="19">
        <f>SUM(Table3[[#This Row],[OFC]:[WEO]])</f>
        <v>1.0000344712235683</v>
      </c>
      <c r="O142" s="19"/>
      <c r="Q142" s="3" t="str">
        <f>Table35[[#This Row],[Fiscal_Year]]*100+Table35[[#This Row],[Fiscal_Week]] &amp; "-" &amp;Table35[[#This Row],[Brand]]</f>
        <v>202246-Athleta</v>
      </c>
      <c r="R142" t="str">
        <f>Table3[[#This Row],[Key]]</f>
        <v>2022-Athleta</v>
      </c>
      <c r="S142">
        <f>Table3[[#This Row],[Fiscal_Year]]</f>
        <v>2022</v>
      </c>
      <c r="T142">
        <f>Table3[[#This Row],[Fiscal_Week]]</f>
        <v>46</v>
      </c>
      <c r="U142" t="str">
        <f>Table3[[#This Row],[Brand]]</f>
        <v>Athleta</v>
      </c>
      <c r="V142">
        <f>Table3[[#This Row],[Demand]]</f>
        <v>385961</v>
      </c>
      <c r="W142">
        <f>Table3[[#This Row],[OFC]]*Table3[[#This Row],[Demand]]</f>
        <v>0</v>
      </c>
      <c r="X142">
        <f>Table3[[#This Row],[TFC]]*Table3[[#This Row],[Demand]]</f>
        <v>385961</v>
      </c>
      <c r="Y142">
        <f>Table3[[#This Row],[WFC]]*Table3[[#This Row],[Demand]]</f>
        <v>0</v>
      </c>
      <c r="Z142">
        <f>Table3[[#This Row],[EAO]]*Table3[[#This Row],[Demand]]</f>
        <v>13.304547919613107</v>
      </c>
      <c r="AA142">
        <f>Table3[[#This Row],[OCC]]*Table3[[#This Row],[Demand]]</f>
        <v>0</v>
      </c>
      <c r="AB142">
        <f>Table3[[#This Row],[WEO]]*Table3[[#This Row],[Demand]]</f>
        <v>0</v>
      </c>
      <c r="AC142" s="19">
        <f>SUM(Table35[[#This Row],[OFC]:[WEO]])</f>
        <v>385974.3045479196</v>
      </c>
      <c r="AD142" s="19">
        <f>Table35[[#This Row],[Demand]]-Table35[[#This Row],[Total_Modeled_Demand]]</f>
        <v>-13.304547919600736</v>
      </c>
    </row>
    <row r="143" spans="2:30" x14ac:dyDescent="0.3">
      <c r="B143" s="3" t="str">
        <f>Table3[[#This Row],[Fiscal_Year]]*100+Table3[[#This Row],[Fiscal_Week]] &amp; "-" &amp;Table3[[#This Row],[Brand]]</f>
        <v>202246-Banana Republic</v>
      </c>
      <c r="C143" t="str">
        <f t="shared" si="2"/>
        <v>2022-Banana Republic</v>
      </c>
      <c r="D143">
        <v>2022</v>
      </c>
      <c r="E143">
        <v>46</v>
      </c>
      <c r="F143" t="s">
        <v>18</v>
      </c>
      <c r="G143">
        <v>376671</v>
      </c>
      <c r="H143" s="3">
        <f>INDEX(Demand_Modeling!$A$13:$I$49,MATCH(Table3[[#This Row],[Key]],Demand_Modeling!$A$13:$A$49,0),MATCH(Table3[[#Headers],[OFC]],Demand_Modeling!$A$13:$I$13,0))</f>
        <v>0</v>
      </c>
      <c r="I143" s="3">
        <f>INDEX(Demand_Modeling!$A$13:$I$49,MATCH(Table3[[#This Row],[Key]],Demand_Modeling!$A$13:$A$49,0),MATCH(Table3[[#Headers],[TFC]],Demand_Modeling!$A$13:$I$13,0))</f>
        <v>1</v>
      </c>
      <c r="J143" s="3">
        <f>INDEX(Demand_Modeling!$A$13:$I$49,MATCH(Table3[[#This Row],[Key]],Demand_Modeling!$A$13:$A$49,0),MATCH(Table3[[#Headers],[WFC]],Demand_Modeling!$A$13:$I$13,0))</f>
        <v>3.4959629396853166E-6</v>
      </c>
      <c r="K143" s="3">
        <f>INDEX(Demand_Modeling!$A$13:$I$49,MATCH(Table3[[#This Row],[Key]],Demand_Modeling!$A$13:$A$49,0),MATCH(Table3[[#Headers],[EAO]],Demand_Modeling!$A$13:$I$13,0))</f>
        <v>4.2339995602855504E-5</v>
      </c>
      <c r="L143" s="3">
        <f>INDEX(Demand_Modeling!$A$13:$I$49,MATCH(Table3[[#This Row],[Key]],Demand_Modeling!$A$13:$A$49,0),MATCH(Table3[[#Headers],[OCC]],Demand_Modeling!$A$13:$I$13,0))</f>
        <v>0</v>
      </c>
      <c r="M143" s="3">
        <f>INDEX(Demand_Modeling!$A$13:$I$49,MATCH(Table3[[#This Row],[Key]],Demand_Modeling!$A$13:$A$49,0),MATCH(Table3[[#Headers],[WEO]],Demand_Modeling!$A$13:$I$13,0))</f>
        <v>0</v>
      </c>
      <c r="N143" s="19">
        <f>SUM(Table3[[#This Row],[OFC]:[WEO]])</f>
        <v>1.0000458359585425</v>
      </c>
      <c r="O143" s="19"/>
      <c r="Q143" s="3" t="str">
        <f>Table35[[#This Row],[Fiscal_Year]]*100+Table35[[#This Row],[Fiscal_Week]] &amp; "-" &amp;Table35[[#This Row],[Brand]]</f>
        <v>202246-Banana Republic</v>
      </c>
      <c r="R143" t="str">
        <f>Table3[[#This Row],[Key]]</f>
        <v>2022-Banana Republic</v>
      </c>
      <c r="S143">
        <f>Table3[[#This Row],[Fiscal_Year]]</f>
        <v>2022</v>
      </c>
      <c r="T143">
        <f>Table3[[#This Row],[Fiscal_Week]]</f>
        <v>46</v>
      </c>
      <c r="U143" t="str">
        <f>Table3[[#This Row],[Brand]]</f>
        <v>Banana Republic</v>
      </c>
      <c r="V143">
        <f>Table3[[#This Row],[Demand]]</f>
        <v>376671</v>
      </c>
      <c r="W143">
        <f>Table3[[#This Row],[OFC]]*Table3[[#This Row],[Demand]]</f>
        <v>0</v>
      </c>
      <c r="X143">
        <f>Table3[[#This Row],[TFC]]*Table3[[#This Row],[Demand]]</f>
        <v>376671</v>
      </c>
      <c r="Y143">
        <f>Table3[[#This Row],[WFC]]*Table3[[#This Row],[Demand]]</f>
        <v>1.316827856454208</v>
      </c>
      <c r="Z143">
        <f>Table3[[#This Row],[EAO]]*Table3[[#This Row],[Demand]]</f>
        <v>15.948248483723185</v>
      </c>
      <c r="AA143">
        <f>Table3[[#This Row],[OCC]]*Table3[[#This Row],[Demand]]</f>
        <v>0</v>
      </c>
      <c r="AB143">
        <f>Table3[[#This Row],[WEO]]*Table3[[#This Row],[Demand]]</f>
        <v>0</v>
      </c>
      <c r="AC143" s="19">
        <f>SUM(Table35[[#This Row],[OFC]:[WEO]])</f>
        <v>376688.26507634018</v>
      </c>
      <c r="AD143" s="19">
        <f>Table35[[#This Row],[Demand]]-Table35[[#This Row],[Total_Modeled_Demand]]</f>
        <v>-17.265076340176165</v>
      </c>
    </row>
    <row r="144" spans="2:30" x14ac:dyDescent="0.3">
      <c r="B144" s="3" t="str">
        <f>Table3[[#This Row],[Fiscal_Year]]*100+Table3[[#This Row],[Fiscal_Week]] &amp; "-" &amp;Table3[[#This Row],[Brand]]</f>
        <v>202246-BR Factory Store</v>
      </c>
      <c r="C144" t="str">
        <f t="shared" si="2"/>
        <v>2022-BR Factory Store</v>
      </c>
      <c r="D144">
        <v>2022</v>
      </c>
      <c r="E144">
        <v>46</v>
      </c>
      <c r="F144" t="s">
        <v>17</v>
      </c>
      <c r="G144">
        <v>249836</v>
      </c>
      <c r="H144" s="3">
        <f>INDEX(Demand_Modeling!$A$13:$I$49,MATCH(Table3[[#This Row],[Key]],Demand_Modeling!$A$13:$A$49,0),MATCH(Table3[[#Headers],[OFC]],Demand_Modeling!$A$13:$I$13,0))</f>
        <v>1</v>
      </c>
      <c r="I144" s="3">
        <f>INDEX(Demand_Modeling!$A$13:$I$49,MATCH(Table3[[#This Row],[Key]],Demand_Modeling!$A$13:$A$49,0),MATCH(Table3[[#Headers],[TFC]],Demand_Modeling!$A$13:$I$13,0))</f>
        <v>0</v>
      </c>
      <c r="J144" s="3">
        <f>INDEX(Demand_Modeling!$A$13:$I$49,MATCH(Table3[[#This Row],[Key]],Demand_Modeling!$A$13:$A$49,0),MATCH(Table3[[#Headers],[WFC]],Demand_Modeling!$A$13:$I$13,0))</f>
        <v>0</v>
      </c>
      <c r="K144" s="3">
        <f>INDEX(Demand_Modeling!$A$13:$I$49,MATCH(Table3[[#This Row],[Key]],Demand_Modeling!$A$13:$A$49,0),MATCH(Table3[[#Headers],[EAO]],Demand_Modeling!$A$13:$I$13,0))</f>
        <v>0</v>
      </c>
      <c r="L144" s="3">
        <f>INDEX(Demand_Modeling!$A$13:$I$49,MATCH(Table3[[#This Row],[Key]],Demand_Modeling!$A$13:$A$49,0),MATCH(Table3[[#Headers],[OCC]],Demand_Modeling!$A$13:$I$13,0))</f>
        <v>0</v>
      </c>
      <c r="M144" s="3">
        <f>INDEX(Demand_Modeling!$A$13:$I$49,MATCH(Table3[[#This Row],[Key]],Demand_Modeling!$A$13:$A$49,0),MATCH(Table3[[#Headers],[WEO]],Demand_Modeling!$A$13:$I$13,0))</f>
        <v>0</v>
      </c>
      <c r="N144" s="19">
        <f>SUM(Table3[[#This Row],[OFC]:[WEO]])</f>
        <v>1</v>
      </c>
      <c r="O144" s="19"/>
      <c r="Q144" s="3" t="str">
        <f>Table35[[#This Row],[Fiscal_Year]]*100+Table35[[#This Row],[Fiscal_Week]] &amp; "-" &amp;Table35[[#This Row],[Brand]]</f>
        <v>202246-BR Factory Store</v>
      </c>
      <c r="R144" t="str">
        <f>Table3[[#This Row],[Key]]</f>
        <v>2022-BR Factory Store</v>
      </c>
      <c r="S144">
        <f>Table3[[#This Row],[Fiscal_Year]]</f>
        <v>2022</v>
      </c>
      <c r="T144">
        <f>Table3[[#This Row],[Fiscal_Week]]</f>
        <v>46</v>
      </c>
      <c r="U144" t="str">
        <f>Table3[[#This Row],[Brand]]</f>
        <v>BR Factory Store</v>
      </c>
      <c r="V144">
        <f>Table3[[#This Row],[Demand]]</f>
        <v>249836</v>
      </c>
      <c r="W144">
        <f>Table3[[#This Row],[OFC]]*Table3[[#This Row],[Demand]]</f>
        <v>249836</v>
      </c>
      <c r="X144">
        <f>Table3[[#This Row],[TFC]]*Table3[[#This Row],[Demand]]</f>
        <v>0</v>
      </c>
      <c r="Y144">
        <f>Table3[[#This Row],[WFC]]*Table3[[#This Row],[Demand]]</f>
        <v>0</v>
      </c>
      <c r="Z144">
        <f>Table3[[#This Row],[EAO]]*Table3[[#This Row],[Demand]]</f>
        <v>0</v>
      </c>
      <c r="AA144">
        <f>Table3[[#This Row],[OCC]]*Table3[[#This Row],[Demand]]</f>
        <v>0</v>
      </c>
      <c r="AB144">
        <f>Table3[[#This Row],[WEO]]*Table3[[#This Row],[Demand]]</f>
        <v>0</v>
      </c>
      <c r="AC144" s="19">
        <f>SUM(Table35[[#This Row],[OFC]:[WEO]])</f>
        <v>249836</v>
      </c>
      <c r="AD144" s="19">
        <f>Table35[[#This Row],[Demand]]-Table35[[#This Row],[Total_Modeled_Demand]]</f>
        <v>0</v>
      </c>
    </row>
    <row r="145" spans="2:30" x14ac:dyDescent="0.3">
      <c r="B145" s="3" t="str">
        <f>Table3[[#This Row],[Fiscal_Year]]*100+Table3[[#This Row],[Fiscal_Week]] &amp; "-" &amp;Table3[[#This Row],[Brand]]</f>
        <v>202246-Gap</v>
      </c>
      <c r="C145" t="str">
        <f t="shared" si="2"/>
        <v>2022-Gap</v>
      </c>
      <c r="D145">
        <v>2022</v>
      </c>
      <c r="E145">
        <v>46</v>
      </c>
      <c r="F145" t="s">
        <v>16</v>
      </c>
      <c r="G145">
        <v>1778491</v>
      </c>
      <c r="H145" s="3">
        <f>INDEX(Demand_Modeling!$A$13:$I$49,MATCH(Table3[[#This Row],[Key]],Demand_Modeling!$A$13:$A$49,0),MATCH(Table3[[#Headers],[OFC]],Demand_Modeling!$A$13:$I$13,0))</f>
        <v>0</v>
      </c>
      <c r="I145" s="3">
        <f>INDEX(Demand_Modeling!$A$13:$I$49,MATCH(Table3[[#This Row],[Key]],Demand_Modeling!$A$13:$A$49,0),MATCH(Table3[[#Headers],[TFC]],Demand_Modeling!$A$13:$I$13,0))</f>
        <v>0.25</v>
      </c>
      <c r="J145" s="3">
        <f>INDEX(Demand_Modeling!$A$13:$I$49,MATCH(Table3[[#This Row],[Key]],Demand_Modeling!$A$13:$A$49,0),MATCH(Table3[[#Headers],[WFC]],Demand_Modeling!$A$13:$I$13,0))</f>
        <v>0</v>
      </c>
      <c r="K145" s="3">
        <f>INDEX(Demand_Modeling!$A$13:$I$49,MATCH(Table3[[#This Row],[Key]],Demand_Modeling!$A$13:$A$49,0),MATCH(Table3[[#Headers],[EAO]],Demand_Modeling!$A$13:$I$13,0))</f>
        <v>0</v>
      </c>
      <c r="L145" s="3">
        <f>INDEX(Demand_Modeling!$A$13:$I$49,MATCH(Table3[[#This Row],[Key]],Demand_Modeling!$A$13:$A$49,0),MATCH(Table3[[#Headers],[OCC]],Demand_Modeling!$A$13:$I$13,0))</f>
        <v>0.3</v>
      </c>
      <c r="M145" s="3">
        <f>INDEX(Demand_Modeling!$A$13:$I$49,MATCH(Table3[[#This Row],[Key]],Demand_Modeling!$A$13:$A$49,0),MATCH(Table3[[#Headers],[WEO]],Demand_Modeling!$A$13:$I$13,0))</f>
        <v>0.45</v>
      </c>
      <c r="N145" s="19">
        <f>SUM(Table3[[#This Row],[OFC]:[WEO]])</f>
        <v>1</v>
      </c>
      <c r="O145" s="19"/>
      <c r="Q145" s="3" t="str">
        <f>Table35[[#This Row],[Fiscal_Year]]*100+Table35[[#This Row],[Fiscal_Week]] &amp; "-" &amp;Table35[[#This Row],[Brand]]</f>
        <v>202246-Gap</v>
      </c>
      <c r="R145" t="str">
        <f>Table3[[#This Row],[Key]]</f>
        <v>2022-Gap</v>
      </c>
      <c r="S145">
        <f>Table3[[#This Row],[Fiscal_Year]]</f>
        <v>2022</v>
      </c>
      <c r="T145">
        <f>Table3[[#This Row],[Fiscal_Week]]</f>
        <v>46</v>
      </c>
      <c r="U145" t="str">
        <f>Table3[[#This Row],[Brand]]</f>
        <v>Gap</v>
      </c>
      <c r="V145">
        <f>Table3[[#This Row],[Demand]]</f>
        <v>1778491</v>
      </c>
      <c r="W145">
        <f>Table3[[#This Row],[OFC]]*Table3[[#This Row],[Demand]]</f>
        <v>0</v>
      </c>
      <c r="X145">
        <f>Table3[[#This Row],[TFC]]*Table3[[#This Row],[Demand]]</f>
        <v>444622.75</v>
      </c>
      <c r="Y145">
        <f>Table3[[#This Row],[WFC]]*Table3[[#This Row],[Demand]]</f>
        <v>0</v>
      </c>
      <c r="Z145">
        <f>Table3[[#This Row],[EAO]]*Table3[[#This Row],[Demand]]</f>
        <v>0</v>
      </c>
      <c r="AA145">
        <f>Table3[[#This Row],[OCC]]*Table3[[#This Row],[Demand]]</f>
        <v>533547.29999999993</v>
      </c>
      <c r="AB145">
        <f>Table3[[#This Row],[WEO]]*Table3[[#This Row],[Demand]]</f>
        <v>800320.95000000007</v>
      </c>
      <c r="AC145" s="19">
        <f>SUM(Table35[[#This Row],[OFC]:[WEO]])</f>
        <v>1778491</v>
      </c>
      <c r="AD145" s="19">
        <f>Table35[[#This Row],[Demand]]-Table35[[#This Row],[Total_Modeled_Demand]]</f>
        <v>0</v>
      </c>
    </row>
    <row r="146" spans="2:30" x14ac:dyDescent="0.3">
      <c r="B146" s="3" t="str">
        <f>Table3[[#This Row],[Fiscal_Year]]*100+Table3[[#This Row],[Fiscal_Week]] &amp; "-" &amp;Table3[[#This Row],[Brand]]</f>
        <v>202246-Gap Factory Store</v>
      </c>
      <c r="C146" t="str">
        <f t="shared" si="2"/>
        <v>2022-Gap Factory Store</v>
      </c>
      <c r="D146">
        <v>2022</v>
      </c>
      <c r="E146">
        <v>46</v>
      </c>
      <c r="F146" t="s">
        <v>22</v>
      </c>
      <c r="G146">
        <v>443092</v>
      </c>
      <c r="H146" s="3">
        <f>INDEX(Demand_Modeling!$A$13:$I$49,MATCH(Table3[[#This Row],[Key]],Demand_Modeling!$A$13:$A$49,0),MATCH(Table3[[#Headers],[OFC]],Demand_Modeling!$A$13:$I$13,0))</f>
        <v>1</v>
      </c>
      <c r="I146" s="3">
        <f>INDEX(Demand_Modeling!$A$13:$I$49,MATCH(Table3[[#This Row],[Key]],Demand_Modeling!$A$13:$A$49,0),MATCH(Table3[[#Headers],[TFC]],Demand_Modeling!$A$13:$I$13,0))</f>
        <v>0</v>
      </c>
      <c r="J146" s="3">
        <f>INDEX(Demand_Modeling!$A$13:$I$49,MATCH(Table3[[#This Row],[Key]],Demand_Modeling!$A$13:$A$49,0),MATCH(Table3[[#Headers],[WFC]],Demand_Modeling!$A$13:$I$13,0))</f>
        <v>0</v>
      </c>
      <c r="K146" s="3">
        <f>INDEX(Demand_Modeling!$A$13:$I$49,MATCH(Table3[[#This Row],[Key]],Demand_Modeling!$A$13:$A$49,0),MATCH(Table3[[#Headers],[EAO]],Demand_Modeling!$A$13:$I$13,0))</f>
        <v>0</v>
      </c>
      <c r="L146" s="3">
        <f>INDEX(Demand_Modeling!$A$13:$I$49,MATCH(Table3[[#This Row],[Key]],Demand_Modeling!$A$13:$A$49,0),MATCH(Table3[[#Headers],[OCC]],Demand_Modeling!$A$13:$I$13,0))</f>
        <v>0</v>
      </c>
      <c r="M146" s="3">
        <f>INDEX(Demand_Modeling!$A$13:$I$49,MATCH(Table3[[#This Row],[Key]],Demand_Modeling!$A$13:$A$49,0),MATCH(Table3[[#Headers],[WEO]],Demand_Modeling!$A$13:$I$13,0))</f>
        <v>0</v>
      </c>
      <c r="N146" s="19">
        <f>SUM(Table3[[#This Row],[OFC]:[WEO]])</f>
        <v>1</v>
      </c>
      <c r="O146" s="19"/>
      <c r="Q146" s="3" t="str">
        <f>Table35[[#This Row],[Fiscal_Year]]*100+Table35[[#This Row],[Fiscal_Week]] &amp; "-" &amp;Table35[[#This Row],[Brand]]</f>
        <v>202246-Gap Factory Store</v>
      </c>
      <c r="R146" t="str">
        <f>Table3[[#This Row],[Key]]</f>
        <v>2022-Gap Factory Store</v>
      </c>
      <c r="S146">
        <f>Table3[[#This Row],[Fiscal_Year]]</f>
        <v>2022</v>
      </c>
      <c r="T146">
        <f>Table3[[#This Row],[Fiscal_Week]]</f>
        <v>46</v>
      </c>
      <c r="U146" t="str">
        <f>Table3[[#This Row],[Brand]]</f>
        <v>Gap Factory Store</v>
      </c>
      <c r="V146">
        <f>Table3[[#This Row],[Demand]]</f>
        <v>443092</v>
      </c>
      <c r="W146">
        <f>Table3[[#This Row],[OFC]]*Table3[[#This Row],[Demand]]</f>
        <v>443092</v>
      </c>
      <c r="X146">
        <f>Table3[[#This Row],[TFC]]*Table3[[#This Row],[Demand]]</f>
        <v>0</v>
      </c>
      <c r="Y146">
        <f>Table3[[#This Row],[WFC]]*Table3[[#This Row],[Demand]]</f>
        <v>0</v>
      </c>
      <c r="Z146">
        <f>Table3[[#This Row],[EAO]]*Table3[[#This Row],[Demand]]</f>
        <v>0</v>
      </c>
      <c r="AA146">
        <f>Table3[[#This Row],[OCC]]*Table3[[#This Row],[Demand]]</f>
        <v>0</v>
      </c>
      <c r="AB146">
        <f>Table3[[#This Row],[WEO]]*Table3[[#This Row],[Demand]]</f>
        <v>0</v>
      </c>
      <c r="AC146" s="19">
        <f>SUM(Table35[[#This Row],[OFC]:[WEO]])</f>
        <v>443092</v>
      </c>
      <c r="AD146" s="19">
        <f>Table35[[#This Row],[Demand]]-Table35[[#This Row],[Total_Modeled_Demand]]</f>
        <v>0</v>
      </c>
    </row>
    <row r="147" spans="2:30" x14ac:dyDescent="0.3">
      <c r="B147" s="3" t="str">
        <f>Table3[[#This Row],[Fiscal_Year]]*100+Table3[[#This Row],[Fiscal_Week]] &amp; "-" &amp;Table3[[#This Row],[Brand]]</f>
        <v>202246-Old Navy</v>
      </c>
      <c r="C147" t="str">
        <f t="shared" si="2"/>
        <v>2022-Old Navy</v>
      </c>
      <c r="D147">
        <v>2022</v>
      </c>
      <c r="E147">
        <v>46</v>
      </c>
      <c r="F147" t="s">
        <v>20</v>
      </c>
      <c r="G147">
        <v>4648123</v>
      </c>
      <c r="H147" s="3">
        <f>INDEX(Demand_Modeling!$A$13:$I$49,MATCH(Table3[[#This Row],[Key]],Demand_Modeling!$A$13:$A$49,0),MATCH(Table3[[#Headers],[OFC]],Demand_Modeling!$A$13:$I$13,0))</f>
        <v>0.09</v>
      </c>
      <c r="I147" s="3">
        <f>INDEX(Demand_Modeling!$A$13:$I$49,MATCH(Table3[[#This Row],[Key]],Demand_Modeling!$A$13:$A$49,0),MATCH(Table3[[#Headers],[TFC]],Demand_Modeling!$A$13:$I$13,0))</f>
        <v>0.11</v>
      </c>
      <c r="J147" s="3">
        <f>INDEX(Demand_Modeling!$A$13:$I$49,MATCH(Table3[[#This Row],[Key]],Demand_Modeling!$A$13:$A$49,0),MATCH(Table3[[#Headers],[WFC]],Demand_Modeling!$A$13:$I$13,0))</f>
        <v>0</v>
      </c>
      <c r="K147" s="3">
        <f>INDEX(Demand_Modeling!$A$13:$I$49,MATCH(Table3[[#This Row],[Key]],Demand_Modeling!$A$13:$A$49,0),MATCH(Table3[[#Headers],[EAO]],Demand_Modeling!$A$13:$I$13,0))</f>
        <v>0.21</v>
      </c>
      <c r="L147" s="3">
        <f>INDEX(Demand_Modeling!$A$13:$I$49,MATCH(Table3[[#This Row],[Key]],Demand_Modeling!$A$13:$A$49,0),MATCH(Table3[[#Headers],[OCC]],Demand_Modeling!$A$13:$I$13,0))</f>
        <v>0.45</v>
      </c>
      <c r="M147" s="3">
        <f>INDEX(Demand_Modeling!$A$13:$I$49,MATCH(Table3[[#This Row],[Key]],Demand_Modeling!$A$13:$A$49,0),MATCH(Table3[[#Headers],[WEO]],Demand_Modeling!$A$13:$I$13,0))</f>
        <v>0.14000000000000001</v>
      </c>
      <c r="N147" s="19">
        <f>SUM(Table3[[#This Row],[OFC]:[WEO]])</f>
        <v>1</v>
      </c>
      <c r="O147" s="19"/>
      <c r="Q147" s="3" t="str">
        <f>Table35[[#This Row],[Fiscal_Year]]*100+Table35[[#This Row],[Fiscal_Week]] &amp; "-" &amp;Table35[[#This Row],[Brand]]</f>
        <v>202246-Old Navy</v>
      </c>
      <c r="R147" t="str">
        <f>Table3[[#This Row],[Key]]</f>
        <v>2022-Old Navy</v>
      </c>
      <c r="S147">
        <f>Table3[[#This Row],[Fiscal_Year]]</f>
        <v>2022</v>
      </c>
      <c r="T147">
        <f>Table3[[#This Row],[Fiscal_Week]]</f>
        <v>46</v>
      </c>
      <c r="U147" t="str">
        <f>Table3[[#This Row],[Brand]]</f>
        <v>Old Navy</v>
      </c>
      <c r="V147">
        <f>Table3[[#This Row],[Demand]]</f>
        <v>4648123</v>
      </c>
      <c r="W147">
        <f>Table3[[#This Row],[OFC]]*Table3[[#This Row],[Demand]]</f>
        <v>418331.07</v>
      </c>
      <c r="X147">
        <f>Table3[[#This Row],[TFC]]*Table3[[#This Row],[Demand]]</f>
        <v>511293.53</v>
      </c>
      <c r="Y147">
        <f>Table3[[#This Row],[WFC]]*Table3[[#This Row],[Demand]]</f>
        <v>0</v>
      </c>
      <c r="Z147">
        <f>Table3[[#This Row],[EAO]]*Table3[[#This Row],[Demand]]</f>
        <v>976105.83</v>
      </c>
      <c r="AA147">
        <f>Table3[[#This Row],[OCC]]*Table3[[#This Row],[Demand]]</f>
        <v>2091655.35</v>
      </c>
      <c r="AB147">
        <f>Table3[[#This Row],[WEO]]*Table3[[#This Row],[Demand]]</f>
        <v>650737.22000000009</v>
      </c>
      <c r="AC147" s="19">
        <f>SUM(Table35[[#This Row],[OFC]:[WEO]])</f>
        <v>4648123</v>
      </c>
      <c r="AD147" s="19">
        <f>Table35[[#This Row],[Demand]]-Table35[[#This Row],[Total_Modeled_Demand]]</f>
        <v>0</v>
      </c>
    </row>
    <row r="148" spans="2:30" x14ac:dyDescent="0.3">
      <c r="B148" s="3" t="str">
        <f>Table3[[#This Row],[Fiscal_Year]]*100+Table3[[#This Row],[Fiscal_Week]] &amp; "-" &amp;Table3[[#This Row],[Brand]]</f>
        <v>202247-Athleta</v>
      </c>
      <c r="C148" t="str">
        <f t="shared" si="2"/>
        <v>2022-Athleta</v>
      </c>
      <c r="D148">
        <v>2022</v>
      </c>
      <c r="E148">
        <v>47</v>
      </c>
      <c r="F148" t="s">
        <v>19</v>
      </c>
      <c r="G148">
        <v>454395</v>
      </c>
      <c r="H148" s="3">
        <f>INDEX(Demand_Modeling!$A$13:$I$49,MATCH(Table3[[#This Row],[Key]],Demand_Modeling!$A$13:$A$49,0),MATCH(Table3[[#Headers],[OFC]],Demand_Modeling!$A$13:$I$13,0))</f>
        <v>0</v>
      </c>
      <c r="I148" s="3">
        <f>INDEX(Demand_Modeling!$A$13:$I$49,MATCH(Table3[[#This Row],[Key]],Demand_Modeling!$A$13:$A$49,0),MATCH(Table3[[#Headers],[TFC]],Demand_Modeling!$A$13:$I$13,0))</f>
        <v>1</v>
      </c>
      <c r="J148" s="3">
        <f>INDEX(Demand_Modeling!$A$13:$I$49,MATCH(Table3[[#This Row],[Key]],Demand_Modeling!$A$13:$A$49,0),MATCH(Table3[[#Headers],[WFC]],Demand_Modeling!$A$13:$I$13,0))</f>
        <v>0</v>
      </c>
      <c r="K148" s="3">
        <f>INDEX(Demand_Modeling!$A$13:$I$49,MATCH(Table3[[#This Row],[Key]],Demand_Modeling!$A$13:$A$49,0),MATCH(Table3[[#Headers],[EAO]],Demand_Modeling!$A$13:$I$13,0))</f>
        <v>3.447122356821831E-5</v>
      </c>
      <c r="L148" s="3">
        <f>INDEX(Demand_Modeling!$A$13:$I$49,MATCH(Table3[[#This Row],[Key]],Demand_Modeling!$A$13:$A$49,0),MATCH(Table3[[#Headers],[OCC]],Demand_Modeling!$A$13:$I$13,0))</f>
        <v>0</v>
      </c>
      <c r="M148" s="3">
        <f>INDEX(Demand_Modeling!$A$13:$I$49,MATCH(Table3[[#This Row],[Key]],Demand_Modeling!$A$13:$A$49,0),MATCH(Table3[[#Headers],[WEO]],Demand_Modeling!$A$13:$I$13,0))</f>
        <v>0</v>
      </c>
      <c r="N148" s="19">
        <f>SUM(Table3[[#This Row],[OFC]:[WEO]])</f>
        <v>1.0000344712235683</v>
      </c>
      <c r="O148" s="19"/>
      <c r="Q148" s="3" t="str">
        <f>Table35[[#This Row],[Fiscal_Year]]*100+Table35[[#This Row],[Fiscal_Week]] &amp; "-" &amp;Table35[[#This Row],[Brand]]</f>
        <v>202247-Athleta</v>
      </c>
      <c r="R148" t="str">
        <f>Table3[[#This Row],[Key]]</f>
        <v>2022-Athleta</v>
      </c>
      <c r="S148">
        <f>Table3[[#This Row],[Fiscal_Year]]</f>
        <v>2022</v>
      </c>
      <c r="T148">
        <f>Table3[[#This Row],[Fiscal_Week]]</f>
        <v>47</v>
      </c>
      <c r="U148" t="str">
        <f>Table3[[#This Row],[Brand]]</f>
        <v>Athleta</v>
      </c>
      <c r="V148">
        <f>Table3[[#This Row],[Demand]]</f>
        <v>454395</v>
      </c>
      <c r="W148">
        <f>Table3[[#This Row],[OFC]]*Table3[[#This Row],[Demand]]</f>
        <v>0</v>
      </c>
      <c r="X148">
        <f>Table3[[#This Row],[TFC]]*Table3[[#This Row],[Demand]]</f>
        <v>454395</v>
      </c>
      <c r="Y148">
        <f>Table3[[#This Row],[WFC]]*Table3[[#This Row],[Demand]]</f>
        <v>0</v>
      </c>
      <c r="Z148">
        <f>Table3[[#This Row],[EAO]]*Table3[[#This Row],[Demand]]</f>
        <v>15.663551633280559</v>
      </c>
      <c r="AA148">
        <f>Table3[[#This Row],[OCC]]*Table3[[#This Row],[Demand]]</f>
        <v>0</v>
      </c>
      <c r="AB148">
        <f>Table3[[#This Row],[WEO]]*Table3[[#This Row],[Demand]]</f>
        <v>0</v>
      </c>
      <c r="AC148" s="19">
        <f>SUM(Table35[[#This Row],[OFC]:[WEO]])</f>
        <v>454410.6635516333</v>
      </c>
      <c r="AD148" s="19">
        <f>Table35[[#This Row],[Demand]]-Table35[[#This Row],[Total_Modeled_Demand]]</f>
        <v>-15.663551633304451</v>
      </c>
    </row>
    <row r="149" spans="2:30" x14ac:dyDescent="0.3">
      <c r="B149" s="3" t="str">
        <f>Table3[[#This Row],[Fiscal_Year]]*100+Table3[[#This Row],[Fiscal_Week]] &amp; "-" &amp;Table3[[#This Row],[Brand]]</f>
        <v>202247-Banana Republic</v>
      </c>
      <c r="C149" t="str">
        <f t="shared" si="2"/>
        <v>2022-Banana Republic</v>
      </c>
      <c r="D149">
        <v>2022</v>
      </c>
      <c r="E149">
        <v>47</v>
      </c>
      <c r="F149" t="s">
        <v>18</v>
      </c>
      <c r="G149">
        <v>417470</v>
      </c>
      <c r="H149" s="3">
        <f>INDEX(Demand_Modeling!$A$13:$I$49,MATCH(Table3[[#This Row],[Key]],Demand_Modeling!$A$13:$A$49,0),MATCH(Table3[[#Headers],[OFC]],Demand_Modeling!$A$13:$I$13,0))</f>
        <v>0</v>
      </c>
      <c r="I149" s="3">
        <f>INDEX(Demand_Modeling!$A$13:$I$49,MATCH(Table3[[#This Row],[Key]],Demand_Modeling!$A$13:$A$49,0),MATCH(Table3[[#Headers],[TFC]],Demand_Modeling!$A$13:$I$13,0))</f>
        <v>1</v>
      </c>
      <c r="J149" s="3">
        <f>INDEX(Demand_Modeling!$A$13:$I$49,MATCH(Table3[[#This Row],[Key]],Demand_Modeling!$A$13:$A$49,0),MATCH(Table3[[#Headers],[WFC]],Demand_Modeling!$A$13:$I$13,0))</f>
        <v>3.4959629396853166E-6</v>
      </c>
      <c r="K149" s="3">
        <f>INDEX(Demand_Modeling!$A$13:$I$49,MATCH(Table3[[#This Row],[Key]],Demand_Modeling!$A$13:$A$49,0),MATCH(Table3[[#Headers],[EAO]],Demand_Modeling!$A$13:$I$13,0))</f>
        <v>4.2339995602855504E-5</v>
      </c>
      <c r="L149" s="3">
        <f>INDEX(Demand_Modeling!$A$13:$I$49,MATCH(Table3[[#This Row],[Key]],Demand_Modeling!$A$13:$A$49,0),MATCH(Table3[[#Headers],[OCC]],Demand_Modeling!$A$13:$I$13,0))</f>
        <v>0</v>
      </c>
      <c r="M149" s="3">
        <f>INDEX(Demand_Modeling!$A$13:$I$49,MATCH(Table3[[#This Row],[Key]],Demand_Modeling!$A$13:$A$49,0),MATCH(Table3[[#Headers],[WEO]],Demand_Modeling!$A$13:$I$13,0))</f>
        <v>0</v>
      </c>
      <c r="N149" s="19">
        <f>SUM(Table3[[#This Row],[OFC]:[WEO]])</f>
        <v>1.0000458359585425</v>
      </c>
      <c r="O149" s="19"/>
      <c r="Q149" s="3" t="str">
        <f>Table35[[#This Row],[Fiscal_Year]]*100+Table35[[#This Row],[Fiscal_Week]] &amp; "-" &amp;Table35[[#This Row],[Brand]]</f>
        <v>202247-Banana Republic</v>
      </c>
      <c r="R149" t="str">
        <f>Table3[[#This Row],[Key]]</f>
        <v>2022-Banana Republic</v>
      </c>
      <c r="S149">
        <f>Table3[[#This Row],[Fiscal_Year]]</f>
        <v>2022</v>
      </c>
      <c r="T149">
        <f>Table3[[#This Row],[Fiscal_Week]]</f>
        <v>47</v>
      </c>
      <c r="U149" t="str">
        <f>Table3[[#This Row],[Brand]]</f>
        <v>Banana Republic</v>
      </c>
      <c r="V149">
        <f>Table3[[#This Row],[Demand]]</f>
        <v>417470</v>
      </c>
      <c r="W149">
        <f>Table3[[#This Row],[OFC]]*Table3[[#This Row],[Demand]]</f>
        <v>0</v>
      </c>
      <c r="X149">
        <f>Table3[[#This Row],[TFC]]*Table3[[#This Row],[Demand]]</f>
        <v>417470</v>
      </c>
      <c r="Y149">
        <f>Table3[[#This Row],[WFC]]*Table3[[#This Row],[Demand]]</f>
        <v>1.4594596484304292</v>
      </c>
      <c r="Z149">
        <f>Table3[[#This Row],[EAO]]*Table3[[#This Row],[Demand]]</f>
        <v>17.675677964324088</v>
      </c>
      <c r="AA149">
        <f>Table3[[#This Row],[OCC]]*Table3[[#This Row],[Demand]]</f>
        <v>0</v>
      </c>
      <c r="AB149">
        <f>Table3[[#This Row],[WEO]]*Table3[[#This Row],[Demand]]</f>
        <v>0</v>
      </c>
      <c r="AC149" s="19">
        <f>SUM(Table35[[#This Row],[OFC]:[WEO]])</f>
        <v>417489.13513761276</v>
      </c>
      <c r="AD149" s="19">
        <f>Table35[[#This Row],[Demand]]-Table35[[#This Row],[Total_Modeled_Demand]]</f>
        <v>-19.135137612756807</v>
      </c>
    </row>
    <row r="150" spans="2:30" x14ac:dyDescent="0.3">
      <c r="B150" s="3" t="str">
        <f>Table3[[#This Row],[Fiscal_Year]]*100+Table3[[#This Row],[Fiscal_Week]] &amp; "-" &amp;Table3[[#This Row],[Brand]]</f>
        <v>202247-BR Factory Store</v>
      </c>
      <c r="C150" t="str">
        <f t="shared" si="2"/>
        <v>2022-BR Factory Store</v>
      </c>
      <c r="D150">
        <v>2022</v>
      </c>
      <c r="E150">
        <v>47</v>
      </c>
      <c r="F150" t="s">
        <v>17</v>
      </c>
      <c r="G150">
        <v>218330</v>
      </c>
      <c r="H150" s="3">
        <f>INDEX(Demand_Modeling!$A$13:$I$49,MATCH(Table3[[#This Row],[Key]],Demand_Modeling!$A$13:$A$49,0),MATCH(Table3[[#Headers],[OFC]],Demand_Modeling!$A$13:$I$13,0))</f>
        <v>1</v>
      </c>
      <c r="I150" s="3">
        <f>INDEX(Demand_Modeling!$A$13:$I$49,MATCH(Table3[[#This Row],[Key]],Demand_Modeling!$A$13:$A$49,0),MATCH(Table3[[#Headers],[TFC]],Demand_Modeling!$A$13:$I$13,0))</f>
        <v>0</v>
      </c>
      <c r="J150" s="3">
        <f>INDEX(Demand_Modeling!$A$13:$I$49,MATCH(Table3[[#This Row],[Key]],Demand_Modeling!$A$13:$A$49,0),MATCH(Table3[[#Headers],[WFC]],Demand_Modeling!$A$13:$I$13,0))</f>
        <v>0</v>
      </c>
      <c r="K150" s="3">
        <f>INDEX(Demand_Modeling!$A$13:$I$49,MATCH(Table3[[#This Row],[Key]],Demand_Modeling!$A$13:$A$49,0),MATCH(Table3[[#Headers],[EAO]],Demand_Modeling!$A$13:$I$13,0))</f>
        <v>0</v>
      </c>
      <c r="L150" s="3">
        <f>INDEX(Demand_Modeling!$A$13:$I$49,MATCH(Table3[[#This Row],[Key]],Demand_Modeling!$A$13:$A$49,0),MATCH(Table3[[#Headers],[OCC]],Demand_Modeling!$A$13:$I$13,0))</f>
        <v>0</v>
      </c>
      <c r="M150" s="3">
        <f>INDEX(Demand_Modeling!$A$13:$I$49,MATCH(Table3[[#This Row],[Key]],Demand_Modeling!$A$13:$A$49,0),MATCH(Table3[[#Headers],[WEO]],Demand_Modeling!$A$13:$I$13,0))</f>
        <v>0</v>
      </c>
      <c r="N150" s="19">
        <f>SUM(Table3[[#This Row],[OFC]:[WEO]])</f>
        <v>1</v>
      </c>
      <c r="O150" s="19"/>
      <c r="Q150" s="3" t="str">
        <f>Table35[[#This Row],[Fiscal_Year]]*100+Table35[[#This Row],[Fiscal_Week]] &amp; "-" &amp;Table35[[#This Row],[Brand]]</f>
        <v>202247-BR Factory Store</v>
      </c>
      <c r="R150" t="str">
        <f>Table3[[#This Row],[Key]]</f>
        <v>2022-BR Factory Store</v>
      </c>
      <c r="S150">
        <f>Table3[[#This Row],[Fiscal_Year]]</f>
        <v>2022</v>
      </c>
      <c r="T150">
        <f>Table3[[#This Row],[Fiscal_Week]]</f>
        <v>47</v>
      </c>
      <c r="U150" t="str">
        <f>Table3[[#This Row],[Brand]]</f>
        <v>BR Factory Store</v>
      </c>
      <c r="V150">
        <f>Table3[[#This Row],[Demand]]</f>
        <v>218330</v>
      </c>
      <c r="W150">
        <f>Table3[[#This Row],[OFC]]*Table3[[#This Row],[Demand]]</f>
        <v>218330</v>
      </c>
      <c r="X150">
        <f>Table3[[#This Row],[TFC]]*Table3[[#This Row],[Demand]]</f>
        <v>0</v>
      </c>
      <c r="Y150">
        <f>Table3[[#This Row],[WFC]]*Table3[[#This Row],[Demand]]</f>
        <v>0</v>
      </c>
      <c r="Z150">
        <f>Table3[[#This Row],[EAO]]*Table3[[#This Row],[Demand]]</f>
        <v>0</v>
      </c>
      <c r="AA150">
        <f>Table3[[#This Row],[OCC]]*Table3[[#This Row],[Demand]]</f>
        <v>0</v>
      </c>
      <c r="AB150">
        <f>Table3[[#This Row],[WEO]]*Table3[[#This Row],[Demand]]</f>
        <v>0</v>
      </c>
      <c r="AC150" s="19">
        <f>SUM(Table35[[#This Row],[OFC]:[WEO]])</f>
        <v>218330</v>
      </c>
      <c r="AD150" s="19">
        <f>Table35[[#This Row],[Demand]]-Table35[[#This Row],[Total_Modeled_Demand]]</f>
        <v>0</v>
      </c>
    </row>
    <row r="151" spans="2:30" x14ac:dyDescent="0.3">
      <c r="B151" s="3" t="str">
        <f>Table3[[#This Row],[Fiscal_Year]]*100+Table3[[#This Row],[Fiscal_Week]] &amp; "-" &amp;Table3[[#This Row],[Brand]]</f>
        <v>202247-Gap</v>
      </c>
      <c r="C151" t="str">
        <f t="shared" si="2"/>
        <v>2022-Gap</v>
      </c>
      <c r="D151">
        <v>2022</v>
      </c>
      <c r="E151">
        <v>47</v>
      </c>
      <c r="F151" t="s">
        <v>16</v>
      </c>
      <c r="G151">
        <v>1485322</v>
      </c>
      <c r="H151" s="3">
        <f>INDEX(Demand_Modeling!$A$13:$I$49,MATCH(Table3[[#This Row],[Key]],Demand_Modeling!$A$13:$A$49,0),MATCH(Table3[[#Headers],[OFC]],Demand_Modeling!$A$13:$I$13,0))</f>
        <v>0</v>
      </c>
      <c r="I151" s="3">
        <f>INDEX(Demand_Modeling!$A$13:$I$49,MATCH(Table3[[#This Row],[Key]],Demand_Modeling!$A$13:$A$49,0),MATCH(Table3[[#Headers],[TFC]],Demand_Modeling!$A$13:$I$13,0))</f>
        <v>0.25</v>
      </c>
      <c r="J151" s="3">
        <f>INDEX(Demand_Modeling!$A$13:$I$49,MATCH(Table3[[#This Row],[Key]],Demand_Modeling!$A$13:$A$49,0),MATCH(Table3[[#Headers],[WFC]],Demand_Modeling!$A$13:$I$13,0))</f>
        <v>0</v>
      </c>
      <c r="K151" s="3">
        <f>INDEX(Demand_Modeling!$A$13:$I$49,MATCH(Table3[[#This Row],[Key]],Demand_Modeling!$A$13:$A$49,0),MATCH(Table3[[#Headers],[EAO]],Demand_Modeling!$A$13:$I$13,0))</f>
        <v>0</v>
      </c>
      <c r="L151" s="3">
        <f>INDEX(Demand_Modeling!$A$13:$I$49,MATCH(Table3[[#This Row],[Key]],Demand_Modeling!$A$13:$A$49,0),MATCH(Table3[[#Headers],[OCC]],Demand_Modeling!$A$13:$I$13,0))</f>
        <v>0.3</v>
      </c>
      <c r="M151" s="3">
        <f>INDEX(Demand_Modeling!$A$13:$I$49,MATCH(Table3[[#This Row],[Key]],Demand_Modeling!$A$13:$A$49,0),MATCH(Table3[[#Headers],[WEO]],Demand_Modeling!$A$13:$I$13,0))</f>
        <v>0.45</v>
      </c>
      <c r="N151" s="19">
        <f>SUM(Table3[[#This Row],[OFC]:[WEO]])</f>
        <v>1</v>
      </c>
      <c r="O151" s="19"/>
      <c r="Q151" s="3" t="str">
        <f>Table35[[#This Row],[Fiscal_Year]]*100+Table35[[#This Row],[Fiscal_Week]] &amp; "-" &amp;Table35[[#This Row],[Brand]]</f>
        <v>202247-Gap</v>
      </c>
      <c r="R151" t="str">
        <f>Table3[[#This Row],[Key]]</f>
        <v>2022-Gap</v>
      </c>
      <c r="S151">
        <f>Table3[[#This Row],[Fiscal_Year]]</f>
        <v>2022</v>
      </c>
      <c r="T151">
        <f>Table3[[#This Row],[Fiscal_Week]]</f>
        <v>47</v>
      </c>
      <c r="U151" t="str">
        <f>Table3[[#This Row],[Brand]]</f>
        <v>Gap</v>
      </c>
      <c r="V151">
        <f>Table3[[#This Row],[Demand]]</f>
        <v>1485322</v>
      </c>
      <c r="W151">
        <f>Table3[[#This Row],[OFC]]*Table3[[#This Row],[Demand]]</f>
        <v>0</v>
      </c>
      <c r="X151">
        <f>Table3[[#This Row],[TFC]]*Table3[[#This Row],[Demand]]</f>
        <v>371330.5</v>
      </c>
      <c r="Y151">
        <f>Table3[[#This Row],[WFC]]*Table3[[#This Row],[Demand]]</f>
        <v>0</v>
      </c>
      <c r="Z151">
        <f>Table3[[#This Row],[EAO]]*Table3[[#This Row],[Demand]]</f>
        <v>0</v>
      </c>
      <c r="AA151">
        <f>Table3[[#This Row],[OCC]]*Table3[[#This Row],[Demand]]</f>
        <v>445596.6</v>
      </c>
      <c r="AB151">
        <f>Table3[[#This Row],[WEO]]*Table3[[#This Row],[Demand]]</f>
        <v>668394.9</v>
      </c>
      <c r="AC151" s="19">
        <f>SUM(Table35[[#This Row],[OFC]:[WEO]])</f>
        <v>1485322</v>
      </c>
      <c r="AD151" s="19">
        <f>Table35[[#This Row],[Demand]]-Table35[[#This Row],[Total_Modeled_Demand]]</f>
        <v>0</v>
      </c>
    </row>
    <row r="152" spans="2:30" x14ac:dyDescent="0.3">
      <c r="B152" s="3" t="str">
        <f>Table3[[#This Row],[Fiscal_Year]]*100+Table3[[#This Row],[Fiscal_Week]] &amp; "-" &amp;Table3[[#This Row],[Brand]]</f>
        <v>202247-Gap Factory Store</v>
      </c>
      <c r="C152" t="str">
        <f t="shared" si="2"/>
        <v>2022-Gap Factory Store</v>
      </c>
      <c r="D152">
        <v>2022</v>
      </c>
      <c r="E152">
        <v>47</v>
      </c>
      <c r="F152" t="s">
        <v>22</v>
      </c>
      <c r="G152">
        <v>517502</v>
      </c>
      <c r="H152" s="3">
        <f>INDEX(Demand_Modeling!$A$13:$I$49,MATCH(Table3[[#This Row],[Key]],Demand_Modeling!$A$13:$A$49,0),MATCH(Table3[[#Headers],[OFC]],Demand_Modeling!$A$13:$I$13,0))</f>
        <v>1</v>
      </c>
      <c r="I152" s="3">
        <f>INDEX(Demand_Modeling!$A$13:$I$49,MATCH(Table3[[#This Row],[Key]],Demand_Modeling!$A$13:$A$49,0),MATCH(Table3[[#Headers],[TFC]],Demand_Modeling!$A$13:$I$13,0))</f>
        <v>0</v>
      </c>
      <c r="J152" s="3">
        <f>INDEX(Demand_Modeling!$A$13:$I$49,MATCH(Table3[[#This Row],[Key]],Demand_Modeling!$A$13:$A$49,0),MATCH(Table3[[#Headers],[WFC]],Demand_Modeling!$A$13:$I$13,0))</f>
        <v>0</v>
      </c>
      <c r="K152" s="3">
        <f>INDEX(Demand_Modeling!$A$13:$I$49,MATCH(Table3[[#This Row],[Key]],Demand_Modeling!$A$13:$A$49,0),MATCH(Table3[[#Headers],[EAO]],Demand_Modeling!$A$13:$I$13,0))</f>
        <v>0</v>
      </c>
      <c r="L152" s="3">
        <f>INDEX(Demand_Modeling!$A$13:$I$49,MATCH(Table3[[#This Row],[Key]],Demand_Modeling!$A$13:$A$49,0),MATCH(Table3[[#Headers],[OCC]],Demand_Modeling!$A$13:$I$13,0))</f>
        <v>0</v>
      </c>
      <c r="M152" s="3">
        <f>INDEX(Demand_Modeling!$A$13:$I$49,MATCH(Table3[[#This Row],[Key]],Demand_Modeling!$A$13:$A$49,0),MATCH(Table3[[#Headers],[WEO]],Demand_Modeling!$A$13:$I$13,0))</f>
        <v>0</v>
      </c>
      <c r="N152" s="19">
        <f>SUM(Table3[[#This Row],[OFC]:[WEO]])</f>
        <v>1</v>
      </c>
      <c r="O152" s="19"/>
      <c r="Q152" s="3" t="str">
        <f>Table35[[#This Row],[Fiscal_Year]]*100+Table35[[#This Row],[Fiscal_Week]] &amp; "-" &amp;Table35[[#This Row],[Brand]]</f>
        <v>202247-Gap Factory Store</v>
      </c>
      <c r="R152" t="str">
        <f>Table3[[#This Row],[Key]]</f>
        <v>2022-Gap Factory Store</v>
      </c>
      <c r="S152">
        <f>Table3[[#This Row],[Fiscal_Year]]</f>
        <v>2022</v>
      </c>
      <c r="T152">
        <f>Table3[[#This Row],[Fiscal_Week]]</f>
        <v>47</v>
      </c>
      <c r="U152" t="str">
        <f>Table3[[#This Row],[Brand]]</f>
        <v>Gap Factory Store</v>
      </c>
      <c r="V152">
        <f>Table3[[#This Row],[Demand]]</f>
        <v>517502</v>
      </c>
      <c r="W152">
        <f>Table3[[#This Row],[OFC]]*Table3[[#This Row],[Demand]]</f>
        <v>517502</v>
      </c>
      <c r="X152">
        <f>Table3[[#This Row],[TFC]]*Table3[[#This Row],[Demand]]</f>
        <v>0</v>
      </c>
      <c r="Y152">
        <f>Table3[[#This Row],[WFC]]*Table3[[#This Row],[Demand]]</f>
        <v>0</v>
      </c>
      <c r="Z152">
        <f>Table3[[#This Row],[EAO]]*Table3[[#This Row],[Demand]]</f>
        <v>0</v>
      </c>
      <c r="AA152">
        <f>Table3[[#This Row],[OCC]]*Table3[[#This Row],[Demand]]</f>
        <v>0</v>
      </c>
      <c r="AB152">
        <f>Table3[[#This Row],[WEO]]*Table3[[#This Row],[Demand]]</f>
        <v>0</v>
      </c>
      <c r="AC152" s="19">
        <f>SUM(Table35[[#This Row],[OFC]:[WEO]])</f>
        <v>517502</v>
      </c>
      <c r="AD152" s="19">
        <f>Table35[[#This Row],[Demand]]-Table35[[#This Row],[Total_Modeled_Demand]]</f>
        <v>0</v>
      </c>
    </row>
    <row r="153" spans="2:30" x14ac:dyDescent="0.3">
      <c r="B153" s="3" t="str">
        <f>Table3[[#This Row],[Fiscal_Year]]*100+Table3[[#This Row],[Fiscal_Week]] &amp; "-" &amp;Table3[[#This Row],[Brand]]</f>
        <v>202247-Old Navy</v>
      </c>
      <c r="C153" t="str">
        <f t="shared" si="2"/>
        <v>2022-Old Navy</v>
      </c>
      <c r="D153">
        <v>2022</v>
      </c>
      <c r="E153">
        <v>47</v>
      </c>
      <c r="F153" t="s">
        <v>20</v>
      </c>
      <c r="G153">
        <v>2466584</v>
      </c>
      <c r="H153" s="3">
        <f>INDEX(Demand_Modeling!$A$13:$I$49,MATCH(Table3[[#This Row],[Key]],Demand_Modeling!$A$13:$A$49,0),MATCH(Table3[[#Headers],[OFC]],Demand_Modeling!$A$13:$I$13,0))</f>
        <v>0.09</v>
      </c>
      <c r="I153" s="3">
        <f>INDEX(Demand_Modeling!$A$13:$I$49,MATCH(Table3[[#This Row],[Key]],Demand_Modeling!$A$13:$A$49,0),MATCH(Table3[[#Headers],[TFC]],Demand_Modeling!$A$13:$I$13,0))</f>
        <v>0.11</v>
      </c>
      <c r="J153" s="3">
        <f>INDEX(Demand_Modeling!$A$13:$I$49,MATCH(Table3[[#This Row],[Key]],Demand_Modeling!$A$13:$A$49,0),MATCH(Table3[[#Headers],[WFC]],Demand_Modeling!$A$13:$I$13,0))</f>
        <v>0</v>
      </c>
      <c r="K153" s="3">
        <f>INDEX(Demand_Modeling!$A$13:$I$49,MATCH(Table3[[#This Row],[Key]],Demand_Modeling!$A$13:$A$49,0),MATCH(Table3[[#Headers],[EAO]],Demand_Modeling!$A$13:$I$13,0))</f>
        <v>0.21</v>
      </c>
      <c r="L153" s="3">
        <f>INDEX(Demand_Modeling!$A$13:$I$49,MATCH(Table3[[#This Row],[Key]],Demand_Modeling!$A$13:$A$49,0),MATCH(Table3[[#Headers],[OCC]],Demand_Modeling!$A$13:$I$13,0))</f>
        <v>0.45</v>
      </c>
      <c r="M153" s="3">
        <f>INDEX(Demand_Modeling!$A$13:$I$49,MATCH(Table3[[#This Row],[Key]],Demand_Modeling!$A$13:$A$49,0),MATCH(Table3[[#Headers],[WEO]],Demand_Modeling!$A$13:$I$13,0))</f>
        <v>0.14000000000000001</v>
      </c>
      <c r="N153" s="19">
        <f>SUM(Table3[[#This Row],[OFC]:[WEO]])</f>
        <v>1</v>
      </c>
      <c r="O153" s="19"/>
      <c r="Q153" s="3" t="str">
        <f>Table35[[#This Row],[Fiscal_Year]]*100+Table35[[#This Row],[Fiscal_Week]] &amp; "-" &amp;Table35[[#This Row],[Brand]]</f>
        <v>202247-Old Navy</v>
      </c>
      <c r="R153" t="str">
        <f>Table3[[#This Row],[Key]]</f>
        <v>2022-Old Navy</v>
      </c>
      <c r="S153">
        <f>Table3[[#This Row],[Fiscal_Year]]</f>
        <v>2022</v>
      </c>
      <c r="T153">
        <f>Table3[[#This Row],[Fiscal_Week]]</f>
        <v>47</v>
      </c>
      <c r="U153" t="str">
        <f>Table3[[#This Row],[Brand]]</f>
        <v>Old Navy</v>
      </c>
      <c r="V153">
        <f>Table3[[#This Row],[Demand]]</f>
        <v>2466584</v>
      </c>
      <c r="W153">
        <f>Table3[[#This Row],[OFC]]*Table3[[#This Row],[Demand]]</f>
        <v>221992.56</v>
      </c>
      <c r="X153">
        <f>Table3[[#This Row],[TFC]]*Table3[[#This Row],[Demand]]</f>
        <v>271324.24</v>
      </c>
      <c r="Y153">
        <f>Table3[[#This Row],[WFC]]*Table3[[#This Row],[Demand]]</f>
        <v>0</v>
      </c>
      <c r="Z153">
        <f>Table3[[#This Row],[EAO]]*Table3[[#This Row],[Demand]]</f>
        <v>517982.63999999996</v>
      </c>
      <c r="AA153">
        <f>Table3[[#This Row],[OCC]]*Table3[[#This Row],[Demand]]</f>
        <v>1109962.8</v>
      </c>
      <c r="AB153">
        <f>Table3[[#This Row],[WEO]]*Table3[[#This Row],[Demand]]</f>
        <v>345321.76</v>
      </c>
      <c r="AC153" s="19">
        <f>SUM(Table35[[#This Row],[OFC]:[WEO]])</f>
        <v>2466584</v>
      </c>
      <c r="AD153" s="19">
        <f>Table35[[#This Row],[Demand]]-Table35[[#This Row],[Total_Modeled_Demand]]</f>
        <v>0</v>
      </c>
    </row>
    <row r="154" spans="2:30" x14ac:dyDescent="0.3">
      <c r="B154" s="3" t="str">
        <f>Table3[[#This Row],[Fiscal_Year]]*100+Table3[[#This Row],[Fiscal_Week]] &amp; "-" &amp;Table3[[#This Row],[Brand]]</f>
        <v>202343-Athleta</v>
      </c>
      <c r="C154" t="str">
        <f t="shared" si="2"/>
        <v>2023-Athleta</v>
      </c>
      <c r="D154">
        <v>2023</v>
      </c>
      <c r="E154">
        <v>43</v>
      </c>
      <c r="F154" t="s">
        <v>19</v>
      </c>
      <c r="G154">
        <v>870171</v>
      </c>
      <c r="H154" s="3">
        <f>INDEX(Demand_Modeling!$A$13:$I$49,MATCH(Table3[[#This Row],[Key]],Demand_Modeling!$A$13:$A$49,0),MATCH(Table3[[#Headers],[OFC]],Demand_Modeling!$A$13:$I$13,0))</f>
        <v>0</v>
      </c>
      <c r="I154" s="3">
        <f>INDEX(Demand_Modeling!$A$13:$I$49,MATCH(Table3[[#This Row],[Key]],Demand_Modeling!$A$13:$A$49,0),MATCH(Table3[[#Headers],[TFC]],Demand_Modeling!$A$13:$I$13,0))</f>
        <v>1</v>
      </c>
      <c r="J154" s="3">
        <f>INDEX(Demand_Modeling!$A$13:$I$49,MATCH(Table3[[#This Row],[Key]],Demand_Modeling!$A$13:$A$49,0),MATCH(Table3[[#Headers],[WFC]],Demand_Modeling!$A$13:$I$13,0))</f>
        <v>0</v>
      </c>
      <c r="K154" s="3">
        <f>INDEX(Demand_Modeling!$A$13:$I$49,MATCH(Table3[[#This Row],[Key]],Demand_Modeling!$A$13:$A$49,0),MATCH(Table3[[#Headers],[EAO]],Demand_Modeling!$A$13:$I$13,0))</f>
        <v>3.447122356821831E-5</v>
      </c>
      <c r="L154" s="3">
        <f>INDEX(Demand_Modeling!$A$13:$I$49,MATCH(Table3[[#This Row],[Key]],Demand_Modeling!$A$13:$A$49,0),MATCH(Table3[[#Headers],[OCC]],Demand_Modeling!$A$13:$I$13,0))</f>
        <v>0</v>
      </c>
      <c r="M154" s="3">
        <f>INDEX(Demand_Modeling!$A$13:$I$49,MATCH(Table3[[#This Row],[Key]],Demand_Modeling!$A$13:$A$49,0),MATCH(Table3[[#Headers],[WEO]],Demand_Modeling!$A$13:$I$13,0))</f>
        <v>0</v>
      </c>
      <c r="N154" s="19">
        <f>SUM(Table3[[#This Row],[OFC]:[WEO]])</f>
        <v>1.0000344712235683</v>
      </c>
      <c r="O154" s="19"/>
      <c r="Q154" s="3" t="str">
        <f>Table35[[#This Row],[Fiscal_Year]]*100+Table35[[#This Row],[Fiscal_Week]] &amp; "-" &amp;Table35[[#This Row],[Brand]]</f>
        <v>202343-Athleta</v>
      </c>
      <c r="R154" t="str">
        <f>Table3[[#This Row],[Key]]</f>
        <v>2023-Athleta</v>
      </c>
      <c r="S154">
        <f>Table3[[#This Row],[Fiscal_Year]]</f>
        <v>2023</v>
      </c>
      <c r="T154">
        <f>Table3[[#This Row],[Fiscal_Week]]</f>
        <v>43</v>
      </c>
      <c r="U154" t="str">
        <f>Table3[[#This Row],[Brand]]</f>
        <v>Athleta</v>
      </c>
      <c r="V154">
        <f>Table3[[#This Row],[Demand]]</f>
        <v>870171</v>
      </c>
      <c r="W154">
        <f>Table3[[#This Row],[OFC]]*Table3[[#This Row],[Demand]]</f>
        <v>0</v>
      </c>
      <c r="X154">
        <f>Table3[[#This Row],[TFC]]*Table3[[#This Row],[Demand]]</f>
        <v>870171</v>
      </c>
      <c r="Y154">
        <f>Table3[[#This Row],[WFC]]*Table3[[#This Row],[Demand]]</f>
        <v>0</v>
      </c>
      <c r="Z154">
        <f>Table3[[#This Row],[EAO]]*Table3[[#This Row],[Demand]]</f>
        <v>29.995859083580093</v>
      </c>
      <c r="AA154">
        <f>Table3[[#This Row],[OCC]]*Table3[[#This Row],[Demand]]</f>
        <v>0</v>
      </c>
      <c r="AB154">
        <f>Table3[[#This Row],[WEO]]*Table3[[#This Row],[Demand]]</f>
        <v>0</v>
      </c>
      <c r="AC154" s="19">
        <f>SUM(Table35[[#This Row],[OFC]:[WEO]])</f>
        <v>870200.9958590836</v>
      </c>
      <c r="AD154" s="19">
        <f>Table35[[#This Row],[Demand]]-Table35[[#This Row],[Total_Modeled_Demand]]</f>
        <v>-29.995859083603136</v>
      </c>
    </row>
    <row r="155" spans="2:30" x14ac:dyDescent="0.3">
      <c r="B155" s="3" t="str">
        <f>Table3[[#This Row],[Fiscal_Year]]*100+Table3[[#This Row],[Fiscal_Week]] &amp; "-" &amp;Table3[[#This Row],[Brand]]</f>
        <v>202343-Banana Republic</v>
      </c>
      <c r="C155" t="str">
        <f t="shared" si="2"/>
        <v>2023-Banana Republic</v>
      </c>
      <c r="D155">
        <v>2023</v>
      </c>
      <c r="E155">
        <v>43</v>
      </c>
      <c r="F155" t="s">
        <v>18</v>
      </c>
      <c r="G155">
        <v>1350439</v>
      </c>
      <c r="H155" s="3">
        <f>INDEX(Demand_Modeling!$A$13:$I$49,MATCH(Table3[[#This Row],[Key]],Demand_Modeling!$A$13:$A$49,0),MATCH(Table3[[#Headers],[OFC]],Demand_Modeling!$A$13:$I$13,0))</f>
        <v>0</v>
      </c>
      <c r="I155" s="3">
        <f>INDEX(Demand_Modeling!$A$13:$I$49,MATCH(Table3[[#This Row],[Key]],Demand_Modeling!$A$13:$A$49,0),MATCH(Table3[[#Headers],[TFC]],Demand_Modeling!$A$13:$I$13,0))</f>
        <v>1</v>
      </c>
      <c r="J155" s="3">
        <f>INDEX(Demand_Modeling!$A$13:$I$49,MATCH(Table3[[#This Row],[Key]],Demand_Modeling!$A$13:$A$49,0),MATCH(Table3[[#Headers],[WFC]],Demand_Modeling!$A$13:$I$13,0))</f>
        <v>3.4959629396853166E-6</v>
      </c>
      <c r="K155" s="3">
        <f>INDEX(Demand_Modeling!$A$13:$I$49,MATCH(Table3[[#This Row],[Key]],Demand_Modeling!$A$13:$A$49,0),MATCH(Table3[[#Headers],[EAO]],Demand_Modeling!$A$13:$I$13,0))</f>
        <v>4.2339995602855504E-5</v>
      </c>
      <c r="L155" s="3">
        <f>INDEX(Demand_Modeling!$A$13:$I$49,MATCH(Table3[[#This Row],[Key]],Demand_Modeling!$A$13:$A$49,0),MATCH(Table3[[#Headers],[OCC]],Demand_Modeling!$A$13:$I$13,0))</f>
        <v>0</v>
      </c>
      <c r="M155" s="3">
        <f>INDEX(Demand_Modeling!$A$13:$I$49,MATCH(Table3[[#This Row],[Key]],Demand_Modeling!$A$13:$A$49,0),MATCH(Table3[[#Headers],[WEO]],Demand_Modeling!$A$13:$I$13,0))</f>
        <v>0</v>
      </c>
      <c r="N155" s="19">
        <f>SUM(Table3[[#This Row],[OFC]:[WEO]])</f>
        <v>1.0000458359585425</v>
      </c>
      <c r="O155" s="19"/>
      <c r="Q155" s="3" t="str">
        <f>Table35[[#This Row],[Fiscal_Year]]*100+Table35[[#This Row],[Fiscal_Week]] &amp; "-" &amp;Table35[[#This Row],[Brand]]</f>
        <v>202343-Banana Republic</v>
      </c>
      <c r="R155" t="str">
        <f>Table3[[#This Row],[Key]]</f>
        <v>2023-Banana Republic</v>
      </c>
      <c r="S155">
        <f>Table3[[#This Row],[Fiscal_Year]]</f>
        <v>2023</v>
      </c>
      <c r="T155">
        <f>Table3[[#This Row],[Fiscal_Week]]</f>
        <v>43</v>
      </c>
      <c r="U155" t="str">
        <f>Table3[[#This Row],[Brand]]</f>
        <v>Banana Republic</v>
      </c>
      <c r="V155">
        <f>Table3[[#This Row],[Demand]]</f>
        <v>1350439</v>
      </c>
      <c r="W155">
        <f>Table3[[#This Row],[OFC]]*Table3[[#This Row],[Demand]]</f>
        <v>0</v>
      </c>
      <c r="X155">
        <f>Table3[[#This Row],[TFC]]*Table3[[#This Row],[Demand]]</f>
        <v>1350439</v>
      </c>
      <c r="Y155">
        <f>Table3[[#This Row],[WFC]]*Table3[[#This Row],[Demand]]</f>
        <v>4.7210846963056996</v>
      </c>
      <c r="Z155">
        <f>Table3[[#This Row],[EAO]]*Table3[[#This Row],[Demand]]</f>
        <v>57.177581321924585</v>
      </c>
      <c r="AA155">
        <f>Table3[[#This Row],[OCC]]*Table3[[#This Row],[Demand]]</f>
        <v>0</v>
      </c>
      <c r="AB155">
        <f>Table3[[#This Row],[WEO]]*Table3[[#This Row],[Demand]]</f>
        <v>0</v>
      </c>
      <c r="AC155" s="19">
        <f>SUM(Table35[[#This Row],[OFC]:[WEO]])</f>
        <v>1350500.8986660182</v>
      </c>
      <c r="AD155" s="19">
        <f>Table35[[#This Row],[Demand]]-Table35[[#This Row],[Total_Modeled_Demand]]</f>
        <v>-61.898666018154472</v>
      </c>
    </row>
    <row r="156" spans="2:30" x14ac:dyDescent="0.3">
      <c r="B156" s="3" t="str">
        <f>Table3[[#This Row],[Fiscal_Year]]*100+Table3[[#This Row],[Fiscal_Week]] &amp; "-" &amp;Table3[[#This Row],[Brand]]</f>
        <v>202343-BR Factory Store</v>
      </c>
      <c r="C156" t="str">
        <f t="shared" si="2"/>
        <v>2023-BR Factory Store</v>
      </c>
      <c r="D156">
        <v>2023</v>
      </c>
      <c r="E156">
        <v>43</v>
      </c>
      <c r="F156" t="s">
        <v>17</v>
      </c>
      <c r="G156">
        <v>1342268</v>
      </c>
      <c r="H156" s="3">
        <f>INDEX(Demand_Modeling!$A$13:$I$49,MATCH(Table3[[#This Row],[Key]],Demand_Modeling!$A$13:$A$49,0),MATCH(Table3[[#Headers],[OFC]],Demand_Modeling!$A$13:$I$13,0))</f>
        <v>1</v>
      </c>
      <c r="I156" s="3">
        <f>INDEX(Demand_Modeling!$A$13:$I$49,MATCH(Table3[[#This Row],[Key]],Demand_Modeling!$A$13:$A$49,0),MATCH(Table3[[#Headers],[TFC]],Demand_Modeling!$A$13:$I$13,0))</f>
        <v>0</v>
      </c>
      <c r="J156" s="3">
        <f>INDEX(Demand_Modeling!$A$13:$I$49,MATCH(Table3[[#This Row],[Key]],Demand_Modeling!$A$13:$A$49,0),MATCH(Table3[[#Headers],[WFC]],Demand_Modeling!$A$13:$I$13,0))</f>
        <v>0</v>
      </c>
      <c r="K156" s="3">
        <f>INDEX(Demand_Modeling!$A$13:$I$49,MATCH(Table3[[#This Row],[Key]],Demand_Modeling!$A$13:$A$49,0),MATCH(Table3[[#Headers],[EAO]],Demand_Modeling!$A$13:$I$13,0))</f>
        <v>0</v>
      </c>
      <c r="L156" s="3">
        <f>INDEX(Demand_Modeling!$A$13:$I$49,MATCH(Table3[[#This Row],[Key]],Demand_Modeling!$A$13:$A$49,0),MATCH(Table3[[#Headers],[OCC]],Demand_Modeling!$A$13:$I$13,0))</f>
        <v>0</v>
      </c>
      <c r="M156" s="3">
        <f>INDEX(Demand_Modeling!$A$13:$I$49,MATCH(Table3[[#This Row],[Key]],Demand_Modeling!$A$13:$A$49,0),MATCH(Table3[[#Headers],[WEO]],Demand_Modeling!$A$13:$I$13,0))</f>
        <v>0</v>
      </c>
      <c r="N156" s="19">
        <f>SUM(Table3[[#This Row],[OFC]:[WEO]])</f>
        <v>1</v>
      </c>
      <c r="O156" s="19"/>
      <c r="Q156" s="3" t="str">
        <f>Table35[[#This Row],[Fiscal_Year]]*100+Table35[[#This Row],[Fiscal_Week]] &amp; "-" &amp;Table35[[#This Row],[Brand]]</f>
        <v>202343-BR Factory Store</v>
      </c>
      <c r="R156" t="str">
        <f>Table3[[#This Row],[Key]]</f>
        <v>2023-BR Factory Store</v>
      </c>
      <c r="S156">
        <f>Table3[[#This Row],[Fiscal_Year]]</f>
        <v>2023</v>
      </c>
      <c r="T156">
        <f>Table3[[#This Row],[Fiscal_Week]]</f>
        <v>43</v>
      </c>
      <c r="U156" t="str">
        <f>Table3[[#This Row],[Brand]]</f>
        <v>BR Factory Store</v>
      </c>
      <c r="V156">
        <f>Table3[[#This Row],[Demand]]</f>
        <v>1342268</v>
      </c>
      <c r="W156">
        <f>Table3[[#This Row],[OFC]]*Table3[[#This Row],[Demand]]</f>
        <v>1342268</v>
      </c>
      <c r="X156">
        <f>Table3[[#This Row],[TFC]]*Table3[[#This Row],[Demand]]</f>
        <v>0</v>
      </c>
      <c r="Y156">
        <f>Table3[[#This Row],[WFC]]*Table3[[#This Row],[Demand]]</f>
        <v>0</v>
      </c>
      <c r="Z156">
        <f>Table3[[#This Row],[EAO]]*Table3[[#This Row],[Demand]]</f>
        <v>0</v>
      </c>
      <c r="AA156">
        <f>Table3[[#This Row],[OCC]]*Table3[[#This Row],[Demand]]</f>
        <v>0</v>
      </c>
      <c r="AB156">
        <f>Table3[[#This Row],[WEO]]*Table3[[#This Row],[Demand]]</f>
        <v>0</v>
      </c>
      <c r="AC156" s="19">
        <f>SUM(Table35[[#This Row],[OFC]:[WEO]])</f>
        <v>1342268</v>
      </c>
      <c r="AD156" s="19">
        <f>Table35[[#This Row],[Demand]]-Table35[[#This Row],[Total_Modeled_Demand]]</f>
        <v>0</v>
      </c>
    </row>
    <row r="157" spans="2:30" x14ac:dyDescent="0.3">
      <c r="B157" s="3" t="str">
        <f>Table3[[#This Row],[Fiscal_Year]]*100+Table3[[#This Row],[Fiscal_Week]] &amp; "-" &amp;Table3[[#This Row],[Brand]]</f>
        <v>202343-Gap</v>
      </c>
      <c r="C157" t="str">
        <f t="shared" si="2"/>
        <v>2023-Gap</v>
      </c>
      <c r="D157">
        <v>2023</v>
      </c>
      <c r="E157">
        <v>43</v>
      </c>
      <c r="F157" t="s">
        <v>16</v>
      </c>
      <c r="G157">
        <v>8819572</v>
      </c>
      <c r="H157" s="3">
        <f>INDEX(Demand_Modeling!$A$13:$I$49,MATCH(Table3[[#This Row],[Key]],Demand_Modeling!$A$13:$A$49,0),MATCH(Table3[[#Headers],[OFC]],Demand_Modeling!$A$13:$I$13,0))</f>
        <v>0</v>
      </c>
      <c r="I157" s="3">
        <f>INDEX(Demand_Modeling!$A$13:$I$49,MATCH(Table3[[#This Row],[Key]],Demand_Modeling!$A$13:$A$49,0),MATCH(Table3[[#Headers],[TFC]],Demand_Modeling!$A$13:$I$13,0))</f>
        <v>0.25</v>
      </c>
      <c r="J157" s="3">
        <f>INDEX(Demand_Modeling!$A$13:$I$49,MATCH(Table3[[#This Row],[Key]],Demand_Modeling!$A$13:$A$49,0),MATCH(Table3[[#Headers],[WFC]],Demand_Modeling!$A$13:$I$13,0))</f>
        <v>0</v>
      </c>
      <c r="K157" s="3">
        <f>INDEX(Demand_Modeling!$A$13:$I$49,MATCH(Table3[[#This Row],[Key]],Demand_Modeling!$A$13:$A$49,0),MATCH(Table3[[#Headers],[EAO]],Demand_Modeling!$A$13:$I$13,0))</f>
        <v>0</v>
      </c>
      <c r="L157" s="3">
        <f>INDEX(Demand_Modeling!$A$13:$I$49,MATCH(Table3[[#This Row],[Key]],Demand_Modeling!$A$13:$A$49,0),MATCH(Table3[[#Headers],[OCC]],Demand_Modeling!$A$13:$I$13,0))</f>
        <v>0.3</v>
      </c>
      <c r="M157" s="3">
        <f>INDEX(Demand_Modeling!$A$13:$I$49,MATCH(Table3[[#This Row],[Key]],Demand_Modeling!$A$13:$A$49,0),MATCH(Table3[[#Headers],[WEO]],Demand_Modeling!$A$13:$I$13,0))</f>
        <v>0.45</v>
      </c>
      <c r="N157" s="19">
        <f>SUM(Table3[[#This Row],[OFC]:[WEO]])</f>
        <v>1</v>
      </c>
      <c r="O157" s="19"/>
      <c r="Q157" s="3" t="str">
        <f>Table35[[#This Row],[Fiscal_Year]]*100+Table35[[#This Row],[Fiscal_Week]] &amp; "-" &amp;Table35[[#This Row],[Brand]]</f>
        <v>202343-Gap</v>
      </c>
      <c r="R157" t="str">
        <f>Table3[[#This Row],[Key]]</f>
        <v>2023-Gap</v>
      </c>
      <c r="S157">
        <f>Table3[[#This Row],[Fiscal_Year]]</f>
        <v>2023</v>
      </c>
      <c r="T157">
        <f>Table3[[#This Row],[Fiscal_Week]]</f>
        <v>43</v>
      </c>
      <c r="U157" t="str">
        <f>Table3[[#This Row],[Brand]]</f>
        <v>Gap</v>
      </c>
      <c r="V157">
        <f>Table3[[#This Row],[Demand]]</f>
        <v>8819572</v>
      </c>
      <c r="W157">
        <f>Table3[[#This Row],[OFC]]*Table3[[#This Row],[Demand]]</f>
        <v>0</v>
      </c>
      <c r="X157">
        <f>Table3[[#This Row],[TFC]]*Table3[[#This Row],[Demand]]</f>
        <v>2204893</v>
      </c>
      <c r="Y157">
        <f>Table3[[#This Row],[WFC]]*Table3[[#This Row],[Demand]]</f>
        <v>0</v>
      </c>
      <c r="Z157">
        <f>Table3[[#This Row],[EAO]]*Table3[[#This Row],[Demand]]</f>
        <v>0</v>
      </c>
      <c r="AA157">
        <f>Table3[[#This Row],[OCC]]*Table3[[#This Row],[Demand]]</f>
        <v>2645871.6</v>
      </c>
      <c r="AB157">
        <f>Table3[[#This Row],[WEO]]*Table3[[#This Row],[Demand]]</f>
        <v>3968807.4</v>
      </c>
      <c r="AC157" s="19">
        <f>SUM(Table35[[#This Row],[OFC]:[WEO]])</f>
        <v>8819572</v>
      </c>
      <c r="AD157" s="19">
        <f>Table35[[#This Row],[Demand]]-Table35[[#This Row],[Total_Modeled_Demand]]</f>
        <v>0</v>
      </c>
    </row>
    <row r="158" spans="2:30" x14ac:dyDescent="0.3">
      <c r="B158" s="3" t="str">
        <f>Table3[[#This Row],[Fiscal_Year]]*100+Table3[[#This Row],[Fiscal_Week]] &amp; "-" &amp;Table3[[#This Row],[Brand]]</f>
        <v>202343-Gap Factory Store</v>
      </c>
      <c r="C158" t="str">
        <f t="shared" si="2"/>
        <v>2023-Gap Factory Store</v>
      </c>
      <c r="D158">
        <v>2023</v>
      </c>
      <c r="E158">
        <v>43</v>
      </c>
      <c r="F158" t="s">
        <v>22</v>
      </c>
      <c r="G158">
        <v>4055883</v>
      </c>
      <c r="H158" s="3">
        <f>INDEX(Demand_Modeling!$A$13:$I$49,MATCH(Table3[[#This Row],[Key]],Demand_Modeling!$A$13:$A$49,0),MATCH(Table3[[#Headers],[OFC]],Demand_Modeling!$A$13:$I$13,0))</f>
        <v>1</v>
      </c>
      <c r="I158" s="3">
        <f>INDEX(Demand_Modeling!$A$13:$I$49,MATCH(Table3[[#This Row],[Key]],Demand_Modeling!$A$13:$A$49,0),MATCH(Table3[[#Headers],[TFC]],Demand_Modeling!$A$13:$I$13,0))</f>
        <v>0</v>
      </c>
      <c r="J158" s="3">
        <f>INDEX(Demand_Modeling!$A$13:$I$49,MATCH(Table3[[#This Row],[Key]],Demand_Modeling!$A$13:$A$49,0),MATCH(Table3[[#Headers],[WFC]],Demand_Modeling!$A$13:$I$13,0))</f>
        <v>0</v>
      </c>
      <c r="K158" s="3">
        <f>INDEX(Demand_Modeling!$A$13:$I$49,MATCH(Table3[[#This Row],[Key]],Demand_Modeling!$A$13:$A$49,0),MATCH(Table3[[#Headers],[EAO]],Demand_Modeling!$A$13:$I$13,0))</f>
        <v>0</v>
      </c>
      <c r="L158" s="3">
        <f>INDEX(Demand_Modeling!$A$13:$I$49,MATCH(Table3[[#This Row],[Key]],Demand_Modeling!$A$13:$A$49,0),MATCH(Table3[[#Headers],[OCC]],Demand_Modeling!$A$13:$I$13,0))</f>
        <v>0</v>
      </c>
      <c r="M158" s="3">
        <f>INDEX(Demand_Modeling!$A$13:$I$49,MATCH(Table3[[#This Row],[Key]],Demand_Modeling!$A$13:$A$49,0),MATCH(Table3[[#Headers],[WEO]],Demand_Modeling!$A$13:$I$13,0))</f>
        <v>0</v>
      </c>
      <c r="N158" s="19">
        <f>SUM(Table3[[#This Row],[OFC]:[WEO]])</f>
        <v>1</v>
      </c>
      <c r="O158" s="19"/>
      <c r="Q158" s="3" t="str">
        <f>Table35[[#This Row],[Fiscal_Year]]*100+Table35[[#This Row],[Fiscal_Week]] &amp; "-" &amp;Table35[[#This Row],[Brand]]</f>
        <v>202343-Gap Factory Store</v>
      </c>
      <c r="R158" t="str">
        <f>Table3[[#This Row],[Key]]</f>
        <v>2023-Gap Factory Store</v>
      </c>
      <c r="S158">
        <f>Table3[[#This Row],[Fiscal_Year]]</f>
        <v>2023</v>
      </c>
      <c r="T158">
        <f>Table3[[#This Row],[Fiscal_Week]]</f>
        <v>43</v>
      </c>
      <c r="U158" t="str">
        <f>Table3[[#This Row],[Brand]]</f>
        <v>Gap Factory Store</v>
      </c>
      <c r="V158">
        <f>Table3[[#This Row],[Demand]]</f>
        <v>4055883</v>
      </c>
      <c r="W158">
        <f>Table3[[#This Row],[OFC]]*Table3[[#This Row],[Demand]]</f>
        <v>4055883</v>
      </c>
      <c r="X158">
        <f>Table3[[#This Row],[TFC]]*Table3[[#This Row],[Demand]]</f>
        <v>0</v>
      </c>
      <c r="Y158">
        <f>Table3[[#This Row],[WFC]]*Table3[[#This Row],[Demand]]</f>
        <v>0</v>
      </c>
      <c r="Z158">
        <f>Table3[[#This Row],[EAO]]*Table3[[#This Row],[Demand]]</f>
        <v>0</v>
      </c>
      <c r="AA158">
        <f>Table3[[#This Row],[OCC]]*Table3[[#This Row],[Demand]]</f>
        <v>0</v>
      </c>
      <c r="AB158">
        <f>Table3[[#This Row],[WEO]]*Table3[[#This Row],[Demand]]</f>
        <v>0</v>
      </c>
      <c r="AC158" s="19">
        <f>SUM(Table35[[#This Row],[OFC]:[WEO]])</f>
        <v>4055883</v>
      </c>
      <c r="AD158" s="19">
        <f>Table35[[#This Row],[Demand]]-Table35[[#This Row],[Total_Modeled_Demand]]</f>
        <v>0</v>
      </c>
    </row>
    <row r="159" spans="2:30" x14ac:dyDescent="0.3">
      <c r="B159" s="3" t="str">
        <f>Table3[[#This Row],[Fiscal_Year]]*100+Table3[[#This Row],[Fiscal_Week]] &amp; "-" &amp;Table3[[#This Row],[Brand]]</f>
        <v>202343-Old Navy</v>
      </c>
      <c r="C159" t="str">
        <f t="shared" si="2"/>
        <v>2023-Old Navy</v>
      </c>
      <c r="D159">
        <v>2023</v>
      </c>
      <c r="E159">
        <v>43</v>
      </c>
      <c r="F159" t="s">
        <v>20</v>
      </c>
      <c r="G159">
        <v>16012096</v>
      </c>
      <c r="H159" s="3">
        <f>INDEX(Demand_Modeling!$A$13:$I$49,MATCH(Table3[[#This Row],[Key]],Demand_Modeling!$A$13:$A$49,0),MATCH(Table3[[#Headers],[OFC]],Demand_Modeling!$A$13:$I$13,0))</f>
        <v>0</v>
      </c>
      <c r="I159" s="3">
        <f>INDEX(Demand_Modeling!$A$13:$I$49,MATCH(Table3[[#This Row],[Key]],Demand_Modeling!$A$13:$A$49,0),MATCH(Table3[[#Headers],[TFC]],Demand_Modeling!$A$13:$I$13,0))</f>
        <v>0</v>
      </c>
      <c r="J159" s="3">
        <f>INDEX(Demand_Modeling!$A$13:$I$49,MATCH(Table3[[#This Row],[Key]],Demand_Modeling!$A$13:$A$49,0),MATCH(Table3[[#Headers],[WFC]],Demand_Modeling!$A$13:$I$13,0))</f>
        <v>0</v>
      </c>
      <c r="K159" s="3">
        <f>INDEX(Demand_Modeling!$A$13:$I$49,MATCH(Table3[[#This Row],[Key]],Demand_Modeling!$A$13:$A$49,0),MATCH(Table3[[#Headers],[EAO]],Demand_Modeling!$A$13:$I$13,0))</f>
        <v>0.21</v>
      </c>
      <c r="L159" s="3">
        <f>INDEX(Demand_Modeling!$A$13:$I$49,MATCH(Table3[[#This Row],[Key]],Demand_Modeling!$A$13:$A$49,0),MATCH(Table3[[#Headers],[OCC]],Demand_Modeling!$A$13:$I$13,0))</f>
        <v>0.71</v>
      </c>
      <c r="M159" s="3">
        <f>INDEX(Demand_Modeling!$A$13:$I$49,MATCH(Table3[[#This Row],[Key]],Demand_Modeling!$A$13:$A$49,0),MATCH(Table3[[#Headers],[WEO]],Demand_Modeling!$A$13:$I$13,0))</f>
        <v>0.08</v>
      </c>
      <c r="N159" s="19">
        <f>SUM(Table3[[#This Row],[OFC]:[WEO]])</f>
        <v>0.99999999999999989</v>
      </c>
      <c r="O159" s="19"/>
      <c r="Q159" s="3" t="str">
        <f>Table35[[#This Row],[Fiscal_Year]]*100+Table35[[#This Row],[Fiscal_Week]] &amp; "-" &amp;Table35[[#This Row],[Brand]]</f>
        <v>202343-Old Navy</v>
      </c>
      <c r="R159" t="str">
        <f>Table3[[#This Row],[Key]]</f>
        <v>2023-Old Navy</v>
      </c>
      <c r="S159">
        <f>Table3[[#This Row],[Fiscal_Year]]</f>
        <v>2023</v>
      </c>
      <c r="T159">
        <f>Table3[[#This Row],[Fiscal_Week]]</f>
        <v>43</v>
      </c>
      <c r="U159" t="str">
        <f>Table3[[#This Row],[Brand]]</f>
        <v>Old Navy</v>
      </c>
      <c r="V159">
        <f>Table3[[#This Row],[Demand]]</f>
        <v>16012096</v>
      </c>
      <c r="W159">
        <f>Table3[[#This Row],[OFC]]*Table3[[#This Row],[Demand]]</f>
        <v>0</v>
      </c>
      <c r="X159">
        <f>Table3[[#This Row],[TFC]]*Table3[[#This Row],[Demand]]</f>
        <v>0</v>
      </c>
      <c r="Y159">
        <f>Table3[[#This Row],[WFC]]*Table3[[#This Row],[Demand]]</f>
        <v>0</v>
      </c>
      <c r="Z159">
        <f>Table3[[#This Row],[EAO]]*Table3[[#This Row],[Demand]]</f>
        <v>3362540.1599999997</v>
      </c>
      <c r="AA159">
        <f>Table3[[#This Row],[OCC]]*Table3[[#This Row],[Demand]]</f>
        <v>11368588.16</v>
      </c>
      <c r="AB159">
        <f>Table3[[#This Row],[WEO]]*Table3[[#This Row],[Demand]]</f>
        <v>1280967.6799999999</v>
      </c>
      <c r="AC159" s="19">
        <f>SUM(Table35[[#This Row],[OFC]:[WEO]])</f>
        <v>16012096</v>
      </c>
      <c r="AD159" s="19">
        <f>Table35[[#This Row],[Demand]]-Table35[[#This Row],[Total_Modeled_Demand]]</f>
        <v>0</v>
      </c>
    </row>
    <row r="160" spans="2:30" x14ac:dyDescent="0.3">
      <c r="B160" s="3" t="str">
        <f>Table3[[#This Row],[Fiscal_Year]]*100+Table3[[#This Row],[Fiscal_Week]] &amp; "-" &amp;Table3[[#This Row],[Brand]]</f>
        <v>202344-Athleta</v>
      </c>
      <c r="C160" t="str">
        <f t="shared" si="2"/>
        <v>2023-Athleta</v>
      </c>
      <c r="D160">
        <v>2023</v>
      </c>
      <c r="E160">
        <v>44</v>
      </c>
      <c r="F160" t="s">
        <v>19</v>
      </c>
      <c r="G160">
        <v>687150</v>
      </c>
      <c r="H160" s="3">
        <f>INDEX(Demand_Modeling!$A$13:$I$49,MATCH(Table3[[#This Row],[Key]],Demand_Modeling!$A$13:$A$49,0),MATCH(Table3[[#Headers],[OFC]],Demand_Modeling!$A$13:$I$13,0))</f>
        <v>0</v>
      </c>
      <c r="I160" s="3">
        <f>INDEX(Demand_Modeling!$A$13:$I$49,MATCH(Table3[[#This Row],[Key]],Demand_Modeling!$A$13:$A$49,0),MATCH(Table3[[#Headers],[TFC]],Demand_Modeling!$A$13:$I$13,0))</f>
        <v>1</v>
      </c>
      <c r="J160" s="3">
        <f>INDEX(Demand_Modeling!$A$13:$I$49,MATCH(Table3[[#This Row],[Key]],Demand_Modeling!$A$13:$A$49,0),MATCH(Table3[[#Headers],[WFC]],Demand_Modeling!$A$13:$I$13,0))</f>
        <v>0</v>
      </c>
      <c r="K160" s="3">
        <f>INDEX(Demand_Modeling!$A$13:$I$49,MATCH(Table3[[#This Row],[Key]],Demand_Modeling!$A$13:$A$49,0),MATCH(Table3[[#Headers],[EAO]],Demand_Modeling!$A$13:$I$13,0))</f>
        <v>3.447122356821831E-5</v>
      </c>
      <c r="L160" s="3">
        <f>INDEX(Demand_Modeling!$A$13:$I$49,MATCH(Table3[[#This Row],[Key]],Demand_Modeling!$A$13:$A$49,0),MATCH(Table3[[#Headers],[OCC]],Demand_Modeling!$A$13:$I$13,0))</f>
        <v>0</v>
      </c>
      <c r="M160" s="3">
        <f>INDEX(Demand_Modeling!$A$13:$I$49,MATCH(Table3[[#This Row],[Key]],Demand_Modeling!$A$13:$A$49,0),MATCH(Table3[[#Headers],[WEO]],Demand_Modeling!$A$13:$I$13,0))</f>
        <v>0</v>
      </c>
      <c r="N160" s="19">
        <f>SUM(Table3[[#This Row],[OFC]:[WEO]])</f>
        <v>1.0000344712235683</v>
      </c>
      <c r="O160" s="19"/>
      <c r="Q160" s="3" t="str">
        <f>Table35[[#This Row],[Fiscal_Year]]*100+Table35[[#This Row],[Fiscal_Week]] &amp; "-" &amp;Table35[[#This Row],[Brand]]</f>
        <v>202344-Athleta</v>
      </c>
      <c r="R160" t="str">
        <f>Table3[[#This Row],[Key]]</f>
        <v>2023-Athleta</v>
      </c>
      <c r="S160">
        <f>Table3[[#This Row],[Fiscal_Year]]</f>
        <v>2023</v>
      </c>
      <c r="T160">
        <f>Table3[[#This Row],[Fiscal_Week]]</f>
        <v>44</v>
      </c>
      <c r="U160" t="str">
        <f>Table3[[#This Row],[Brand]]</f>
        <v>Athleta</v>
      </c>
      <c r="V160">
        <f>Table3[[#This Row],[Demand]]</f>
        <v>687150</v>
      </c>
      <c r="W160">
        <f>Table3[[#This Row],[OFC]]*Table3[[#This Row],[Demand]]</f>
        <v>0</v>
      </c>
      <c r="X160">
        <f>Table3[[#This Row],[TFC]]*Table3[[#This Row],[Demand]]</f>
        <v>687150</v>
      </c>
      <c r="Y160">
        <f>Table3[[#This Row],[WFC]]*Table3[[#This Row],[Demand]]</f>
        <v>0</v>
      </c>
      <c r="Z160">
        <f>Table3[[#This Row],[EAO]]*Table3[[#This Row],[Demand]]</f>
        <v>23.68690127490121</v>
      </c>
      <c r="AA160">
        <f>Table3[[#This Row],[OCC]]*Table3[[#This Row],[Demand]]</f>
        <v>0</v>
      </c>
      <c r="AB160">
        <f>Table3[[#This Row],[WEO]]*Table3[[#This Row],[Demand]]</f>
        <v>0</v>
      </c>
      <c r="AC160" s="19">
        <f>SUM(Table35[[#This Row],[OFC]:[WEO]])</f>
        <v>687173.68690127495</v>
      </c>
      <c r="AD160" s="19">
        <f>Table35[[#This Row],[Demand]]-Table35[[#This Row],[Total_Modeled_Demand]]</f>
        <v>-23.686901274952106</v>
      </c>
    </row>
    <row r="161" spans="2:30" x14ac:dyDescent="0.3">
      <c r="B161" s="3" t="str">
        <f>Table3[[#This Row],[Fiscal_Year]]*100+Table3[[#This Row],[Fiscal_Week]] &amp; "-" &amp;Table3[[#This Row],[Brand]]</f>
        <v>202344-Banana Republic</v>
      </c>
      <c r="C161" t="str">
        <f t="shared" si="2"/>
        <v>2023-Banana Republic</v>
      </c>
      <c r="D161">
        <v>2023</v>
      </c>
      <c r="E161">
        <v>44</v>
      </c>
      <c r="F161" t="s">
        <v>18</v>
      </c>
      <c r="G161">
        <v>1057838</v>
      </c>
      <c r="H161" s="3">
        <f>INDEX(Demand_Modeling!$A$13:$I$49,MATCH(Table3[[#This Row],[Key]],Demand_Modeling!$A$13:$A$49,0),MATCH(Table3[[#Headers],[OFC]],Demand_Modeling!$A$13:$I$13,0))</f>
        <v>0</v>
      </c>
      <c r="I161" s="3">
        <f>INDEX(Demand_Modeling!$A$13:$I$49,MATCH(Table3[[#This Row],[Key]],Demand_Modeling!$A$13:$A$49,0),MATCH(Table3[[#Headers],[TFC]],Demand_Modeling!$A$13:$I$13,0))</f>
        <v>1</v>
      </c>
      <c r="J161" s="3">
        <f>INDEX(Demand_Modeling!$A$13:$I$49,MATCH(Table3[[#This Row],[Key]],Demand_Modeling!$A$13:$A$49,0),MATCH(Table3[[#Headers],[WFC]],Demand_Modeling!$A$13:$I$13,0))</f>
        <v>3.4959629396853166E-6</v>
      </c>
      <c r="K161" s="3">
        <f>INDEX(Demand_Modeling!$A$13:$I$49,MATCH(Table3[[#This Row],[Key]],Demand_Modeling!$A$13:$A$49,0),MATCH(Table3[[#Headers],[EAO]],Demand_Modeling!$A$13:$I$13,0))</f>
        <v>4.2339995602855504E-5</v>
      </c>
      <c r="L161" s="3">
        <f>INDEX(Demand_Modeling!$A$13:$I$49,MATCH(Table3[[#This Row],[Key]],Demand_Modeling!$A$13:$A$49,0),MATCH(Table3[[#Headers],[OCC]],Demand_Modeling!$A$13:$I$13,0))</f>
        <v>0</v>
      </c>
      <c r="M161" s="3">
        <f>INDEX(Demand_Modeling!$A$13:$I$49,MATCH(Table3[[#This Row],[Key]],Demand_Modeling!$A$13:$A$49,0),MATCH(Table3[[#Headers],[WEO]],Demand_Modeling!$A$13:$I$13,0))</f>
        <v>0</v>
      </c>
      <c r="N161" s="19">
        <f>SUM(Table3[[#This Row],[OFC]:[WEO]])</f>
        <v>1.0000458359585425</v>
      </c>
      <c r="O161" s="19"/>
      <c r="Q161" s="3" t="str">
        <f>Table35[[#This Row],[Fiscal_Year]]*100+Table35[[#This Row],[Fiscal_Week]] &amp; "-" &amp;Table35[[#This Row],[Brand]]</f>
        <v>202344-Banana Republic</v>
      </c>
      <c r="R161" t="str">
        <f>Table3[[#This Row],[Key]]</f>
        <v>2023-Banana Republic</v>
      </c>
      <c r="S161">
        <f>Table3[[#This Row],[Fiscal_Year]]</f>
        <v>2023</v>
      </c>
      <c r="T161">
        <f>Table3[[#This Row],[Fiscal_Week]]</f>
        <v>44</v>
      </c>
      <c r="U161" t="str">
        <f>Table3[[#This Row],[Brand]]</f>
        <v>Banana Republic</v>
      </c>
      <c r="V161">
        <f>Table3[[#This Row],[Demand]]</f>
        <v>1057838</v>
      </c>
      <c r="W161">
        <f>Table3[[#This Row],[OFC]]*Table3[[#This Row],[Demand]]</f>
        <v>0</v>
      </c>
      <c r="X161">
        <f>Table3[[#This Row],[TFC]]*Table3[[#This Row],[Demand]]</f>
        <v>1057838</v>
      </c>
      <c r="Y161">
        <f>Table3[[#This Row],[WFC]]*Table3[[#This Row],[Demand]]</f>
        <v>3.6981624441908361</v>
      </c>
      <c r="Z161">
        <f>Table3[[#This Row],[EAO]]*Table3[[#This Row],[Demand]]</f>
        <v>44.788856268533458</v>
      </c>
      <c r="AA161">
        <f>Table3[[#This Row],[OCC]]*Table3[[#This Row],[Demand]]</f>
        <v>0</v>
      </c>
      <c r="AB161">
        <f>Table3[[#This Row],[WEO]]*Table3[[#This Row],[Demand]]</f>
        <v>0</v>
      </c>
      <c r="AC161" s="19">
        <f>SUM(Table35[[#This Row],[OFC]:[WEO]])</f>
        <v>1057886.4870187128</v>
      </c>
      <c r="AD161" s="19">
        <f>Table35[[#This Row],[Demand]]-Table35[[#This Row],[Total_Modeled_Demand]]</f>
        <v>-48.487018712796271</v>
      </c>
    </row>
    <row r="162" spans="2:30" x14ac:dyDescent="0.3">
      <c r="B162" s="3" t="str">
        <f>Table3[[#This Row],[Fiscal_Year]]*100+Table3[[#This Row],[Fiscal_Week]] &amp; "-" &amp;Table3[[#This Row],[Brand]]</f>
        <v>202344-BR Factory Store</v>
      </c>
      <c r="C162" t="str">
        <f t="shared" si="2"/>
        <v>2023-BR Factory Store</v>
      </c>
      <c r="D162">
        <v>2023</v>
      </c>
      <c r="E162">
        <v>44</v>
      </c>
      <c r="F162" t="s">
        <v>17</v>
      </c>
      <c r="G162">
        <v>844124</v>
      </c>
      <c r="H162" s="3">
        <f>INDEX(Demand_Modeling!$A$13:$I$49,MATCH(Table3[[#This Row],[Key]],Demand_Modeling!$A$13:$A$49,0),MATCH(Table3[[#Headers],[OFC]],Demand_Modeling!$A$13:$I$13,0))</f>
        <v>1</v>
      </c>
      <c r="I162" s="3">
        <f>INDEX(Demand_Modeling!$A$13:$I$49,MATCH(Table3[[#This Row],[Key]],Demand_Modeling!$A$13:$A$49,0),MATCH(Table3[[#Headers],[TFC]],Demand_Modeling!$A$13:$I$13,0))</f>
        <v>0</v>
      </c>
      <c r="J162" s="3">
        <f>INDEX(Demand_Modeling!$A$13:$I$49,MATCH(Table3[[#This Row],[Key]],Demand_Modeling!$A$13:$A$49,0),MATCH(Table3[[#Headers],[WFC]],Demand_Modeling!$A$13:$I$13,0))</f>
        <v>0</v>
      </c>
      <c r="K162" s="3">
        <f>INDEX(Demand_Modeling!$A$13:$I$49,MATCH(Table3[[#This Row],[Key]],Demand_Modeling!$A$13:$A$49,0),MATCH(Table3[[#Headers],[EAO]],Demand_Modeling!$A$13:$I$13,0))</f>
        <v>0</v>
      </c>
      <c r="L162" s="3">
        <f>INDEX(Demand_Modeling!$A$13:$I$49,MATCH(Table3[[#This Row],[Key]],Demand_Modeling!$A$13:$A$49,0),MATCH(Table3[[#Headers],[OCC]],Demand_Modeling!$A$13:$I$13,0))</f>
        <v>0</v>
      </c>
      <c r="M162" s="3">
        <f>INDEX(Demand_Modeling!$A$13:$I$49,MATCH(Table3[[#This Row],[Key]],Demand_Modeling!$A$13:$A$49,0),MATCH(Table3[[#Headers],[WEO]],Demand_Modeling!$A$13:$I$13,0))</f>
        <v>0</v>
      </c>
      <c r="N162" s="19">
        <f>SUM(Table3[[#This Row],[OFC]:[WEO]])</f>
        <v>1</v>
      </c>
      <c r="O162" s="19"/>
      <c r="Q162" s="3" t="str">
        <f>Table35[[#This Row],[Fiscal_Year]]*100+Table35[[#This Row],[Fiscal_Week]] &amp; "-" &amp;Table35[[#This Row],[Brand]]</f>
        <v>202344-BR Factory Store</v>
      </c>
      <c r="R162" t="str">
        <f>Table3[[#This Row],[Key]]</f>
        <v>2023-BR Factory Store</v>
      </c>
      <c r="S162">
        <f>Table3[[#This Row],[Fiscal_Year]]</f>
        <v>2023</v>
      </c>
      <c r="T162">
        <f>Table3[[#This Row],[Fiscal_Week]]</f>
        <v>44</v>
      </c>
      <c r="U162" t="str">
        <f>Table3[[#This Row],[Brand]]</f>
        <v>BR Factory Store</v>
      </c>
      <c r="V162">
        <f>Table3[[#This Row],[Demand]]</f>
        <v>844124</v>
      </c>
      <c r="W162">
        <f>Table3[[#This Row],[OFC]]*Table3[[#This Row],[Demand]]</f>
        <v>844124</v>
      </c>
      <c r="X162">
        <f>Table3[[#This Row],[TFC]]*Table3[[#This Row],[Demand]]</f>
        <v>0</v>
      </c>
      <c r="Y162">
        <f>Table3[[#This Row],[WFC]]*Table3[[#This Row],[Demand]]</f>
        <v>0</v>
      </c>
      <c r="Z162">
        <f>Table3[[#This Row],[EAO]]*Table3[[#This Row],[Demand]]</f>
        <v>0</v>
      </c>
      <c r="AA162">
        <f>Table3[[#This Row],[OCC]]*Table3[[#This Row],[Demand]]</f>
        <v>0</v>
      </c>
      <c r="AB162">
        <f>Table3[[#This Row],[WEO]]*Table3[[#This Row],[Demand]]</f>
        <v>0</v>
      </c>
      <c r="AC162" s="19">
        <f>SUM(Table35[[#This Row],[OFC]:[WEO]])</f>
        <v>844124</v>
      </c>
      <c r="AD162" s="19">
        <f>Table35[[#This Row],[Demand]]-Table35[[#This Row],[Total_Modeled_Demand]]</f>
        <v>0</v>
      </c>
    </row>
    <row r="163" spans="2:30" x14ac:dyDescent="0.3">
      <c r="B163" s="3" t="str">
        <f>Table3[[#This Row],[Fiscal_Year]]*100+Table3[[#This Row],[Fiscal_Week]] &amp; "-" &amp;Table3[[#This Row],[Brand]]</f>
        <v>202344-Gap</v>
      </c>
      <c r="C163" t="str">
        <f t="shared" si="2"/>
        <v>2023-Gap</v>
      </c>
      <c r="D163">
        <v>2023</v>
      </c>
      <c r="E163">
        <v>44</v>
      </c>
      <c r="F163" t="s">
        <v>16</v>
      </c>
      <c r="G163">
        <v>5855655</v>
      </c>
      <c r="H163" s="3">
        <f>INDEX(Demand_Modeling!$A$13:$I$49,MATCH(Table3[[#This Row],[Key]],Demand_Modeling!$A$13:$A$49,0),MATCH(Table3[[#Headers],[OFC]],Demand_Modeling!$A$13:$I$13,0))</f>
        <v>0</v>
      </c>
      <c r="I163" s="3">
        <f>INDEX(Demand_Modeling!$A$13:$I$49,MATCH(Table3[[#This Row],[Key]],Demand_Modeling!$A$13:$A$49,0),MATCH(Table3[[#Headers],[TFC]],Demand_Modeling!$A$13:$I$13,0))</f>
        <v>0.25</v>
      </c>
      <c r="J163" s="3">
        <f>INDEX(Demand_Modeling!$A$13:$I$49,MATCH(Table3[[#This Row],[Key]],Demand_Modeling!$A$13:$A$49,0),MATCH(Table3[[#Headers],[WFC]],Demand_Modeling!$A$13:$I$13,0))</f>
        <v>0</v>
      </c>
      <c r="K163" s="3">
        <f>INDEX(Demand_Modeling!$A$13:$I$49,MATCH(Table3[[#This Row],[Key]],Demand_Modeling!$A$13:$A$49,0),MATCH(Table3[[#Headers],[EAO]],Demand_Modeling!$A$13:$I$13,0))</f>
        <v>0</v>
      </c>
      <c r="L163" s="3">
        <f>INDEX(Demand_Modeling!$A$13:$I$49,MATCH(Table3[[#This Row],[Key]],Demand_Modeling!$A$13:$A$49,0),MATCH(Table3[[#Headers],[OCC]],Demand_Modeling!$A$13:$I$13,0))</f>
        <v>0.3</v>
      </c>
      <c r="M163" s="3">
        <f>INDEX(Demand_Modeling!$A$13:$I$49,MATCH(Table3[[#This Row],[Key]],Demand_Modeling!$A$13:$A$49,0),MATCH(Table3[[#Headers],[WEO]],Demand_Modeling!$A$13:$I$13,0))</f>
        <v>0.45</v>
      </c>
      <c r="N163" s="19">
        <f>SUM(Table3[[#This Row],[OFC]:[WEO]])</f>
        <v>1</v>
      </c>
      <c r="O163" s="19"/>
      <c r="Q163" s="3" t="str">
        <f>Table35[[#This Row],[Fiscal_Year]]*100+Table35[[#This Row],[Fiscal_Week]] &amp; "-" &amp;Table35[[#This Row],[Brand]]</f>
        <v>202344-Gap</v>
      </c>
      <c r="R163" t="str">
        <f>Table3[[#This Row],[Key]]</f>
        <v>2023-Gap</v>
      </c>
      <c r="S163">
        <f>Table3[[#This Row],[Fiscal_Year]]</f>
        <v>2023</v>
      </c>
      <c r="T163">
        <f>Table3[[#This Row],[Fiscal_Week]]</f>
        <v>44</v>
      </c>
      <c r="U163" t="str">
        <f>Table3[[#This Row],[Brand]]</f>
        <v>Gap</v>
      </c>
      <c r="V163">
        <f>Table3[[#This Row],[Demand]]</f>
        <v>5855655</v>
      </c>
      <c r="W163">
        <f>Table3[[#This Row],[OFC]]*Table3[[#This Row],[Demand]]</f>
        <v>0</v>
      </c>
      <c r="X163">
        <f>Table3[[#This Row],[TFC]]*Table3[[#This Row],[Demand]]</f>
        <v>1463913.75</v>
      </c>
      <c r="Y163">
        <f>Table3[[#This Row],[WFC]]*Table3[[#This Row],[Demand]]</f>
        <v>0</v>
      </c>
      <c r="Z163">
        <f>Table3[[#This Row],[EAO]]*Table3[[#This Row],[Demand]]</f>
        <v>0</v>
      </c>
      <c r="AA163">
        <f>Table3[[#This Row],[OCC]]*Table3[[#This Row],[Demand]]</f>
        <v>1756696.5</v>
      </c>
      <c r="AB163">
        <f>Table3[[#This Row],[WEO]]*Table3[[#This Row],[Demand]]</f>
        <v>2635044.75</v>
      </c>
      <c r="AC163" s="19">
        <f>SUM(Table35[[#This Row],[OFC]:[WEO]])</f>
        <v>5855655</v>
      </c>
      <c r="AD163" s="19">
        <f>Table35[[#This Row],[Demand]]-Table35[[#This Row],[Total_Modeled_Demand]]</f>
        <v>0</v>
      </c>
    </row>
    <row r="164" spans="2:30" x14ac:dyDescent="0.3">
      <c r="B164" s="3" t="str">
        <f>Table3[[#This Row],[Fiscal_Year]]*100+Table3[[#This Row],[Fiscal_Week]] &amp; "-" &amp;Table3[[#This Row],[Brand]]</f>
        <v>202344-Gap Factory Store</v>
      </c>
      <c r="C164" t="str">
        <f t="shared" si="2"/>
        <v>2023-Gap Factory Store</v>
      </c>
      <c r="D164">
        <v>2023</v>
      </c>
      <c r="E164">
        <v>44</v>
      </c>
      <c r="F164" t="s">
        <v>22</v>
      </c>
      <c r="G164">
        <v>2900898</v>
      </c>
      <c r="H164" s="3">
        <f>INDEX(Demand_Modeling!$A$13:$I$49,MATCH(Table3[[#This Row],[Key]],Demand_Modeling!$A$13:$A$49,0),MATCH(Table3[[#Headers],[OFC]],Demand_Modeling!$A$13:$I$13,0))</f>
        <v>1</v>
      </c>
      <c r="I164" s="3">
        <f>INDEX(Demand_Modeling!$A$13:$I$49,MATCH(Table3[[#This Row],[Key]],Demand_Modeling!$A$13:$A$49,0),MATCH(Table3[[#Headers],[TFC]],Demand_Modeling!$A$13:$I$13,0))</f>
        <v>0</v>
      </c>
      <c r="J164" s="3">
        <f>INDEX(Demand_Modeling!$A$13:$I$49,MATCH(Table3[[#This Row],[Key]],Demand_Modeling!$A$13:$A$49,0),MATCH(Table3[[#Headers],[WFC]],Demand_Modeling!$A$13:$I$13,0))</f>
        <v>0</v>
      </c>
      <c r="K164" s="3">
        <f>INDEX(Demand_Modeling!$A$13:$I$49,MATCH(Table3[[#This Row],[Key]],Demand_Modeling!$A$13:$A$49,0),MATCH(Table3[[#Headers],[EAO]],Demand_Modeling!$A$13:$I$13,0))</f>
        <v>0</v>
      </c>
      <c r="L164" s="3">
        <f>INDEX(Demand_Modeling!$A$13:$I$49,MATCH(Table3[[#This Row],[Key]],Demand_Modeling!$A$13:$A$49,0),MATCH(Table3[[#Headers],[OCC]],Demand_Modeling!$A$13:$I$13,0))</f>
        <v>0</v>
      </c>
      <c r="M164" s="3">
        <f>INDEX(Demand_Modeling!$A$13:$I$49,MATCH(Table3[[#This Row],[Key]],Demand_Modeling!$A$13:$A$49,0),MATCH(Table3[[#Headers],[WEO]],Demand_Modeling!$A$13:$I$13,0))</f>
        <v>0</v>
      </c>
      <c r="N164" s="19">
        <f>SUM(Table3[[#This Row],[OFC]:[WEO]])</f>
        <v>1</v>
      </c>
      <c r="O164" s="19"/>
      <c r="Q164" s="3" t="str">
        <f>Table35[[#This Row],[Fiscal_Year]]*100+Table35[[#This Row],[Fiscal_Week]] &amp; "-" &amp;Table35[[#This Row],[Brand]]</f>
        <v>202344-Gap Factory Store</v>
      </c>
      <c r="R164" t="str">
        <f>Table3[[#This Row],[Key]]</f>
        <v>2023-Gap Factory Store</v>
      </c>
      <c r="S164">
        <f>Table3[[#This Row],[Fiscal_Year]]</f>
        <v>2023</v>
      </c>
      <c r="T164">
        <f>Table3[[#This Row],[Fiscal_Week]]</f>
        <v>44</v>
      </c>
      <c r="U164" t="str">
        <f>Table3[[#This Row],[Brand]]</f>
        <v>Gap Factory Store</v>
      </c>
      <c r="V164">
        <f>Table3[[#This Row],[Demand]]</f>
        <v>2900898</v>
      </c>
      <c r="W164">
        <f>Table3[[#This Row],[OFC]]*Table3[[#This Row],[Demand]]</f>
        <v>2900898</v>
      </c>
      <c r="X164">
        <f>Table3[[#This Row],[TFC]]*Table3[[#This Row],[Demand]]</f>
        <v>0</v>
      </c>
      <c r="Y164">
        <f>Table3[[#This Row],[WFC]]*Table3[[#This Row],[Demand]]</f>
        <v>0</v>
      </c>
      <c r="Z164">
        <f>Table3[[#This Row],[EAO]]*Table3[[#This Row],[Demand]]</f>
        <v>0</v>
      </c>
      <c r="AA164">
        <f>Table3[[#This Row],[OCC]]*Table3[[#This Row],[Demand]]</f>
        <v>0</v>
      </c>
      <c r="AB164">
        <f>Table3[[#This Row],[WEO]]*Table3[[#This Row],[Demand]]</f>
        <v>0</v>
      </c>
      <c r="AC164" s="19">
        <f>SUM(Table35[[#This Row],[OFC]:[WEO]])</f>
        <v>2900898</v>
      </c>
      <c r="AD164" s="19">
        <f>Table35[[#This Row],[Demand]]-Table35[[#This Row],[Total_Modeled_Demand]]</f>
        <v>0</v>
      </c>
    </row>
    <row r="165" spans="2:30" x14ac:dyDescent="0.3">
      <c r="B165" s="3" t="str">
        <f>Table3[[#This Row],[Fiscal_Year]]*100+Table3[[#This Row],[Fiscal_Week]] &amp; "-" &amp;Table3[[#This Row],[Brand]]</f>
        <v>202344-Old Navy</v>
      </c>
      <c r="C165" t="str">
        <f t="shared" si="2"/>
        <v>2023-Old Navy</v>
      </c>
      <c r="D165">
        <v>2023</v>
      </c>
      <c r="E165">
        <v>44</v>
      </c>
      <c r="F165" t="s">
        <v>20</v>
      </c>
      <c r="G165">
        <v>12797102</v>
      </c>
      <c r="H165" s="3">
        <f>INDEX(Demand_Modeling!$A$13:$I$49,MATCH(Table3[[#This Row],[Key]],Demand_Modeling!$A$13:$A$49,0),MATCH(Table3[[#Headers],[OFC]],Demand_Modeling!$A$13:$I$13,0))</f>
        <v>0</v>
      </c>
      <c r="I165" s="3">
        <f>INDEX(Demand_Modeling!$A$13:$I$49,MATCH(Table3[[#This Row],[Key]],Demand_Modeling!$A$13:$A$49,0),MATCH(Table3[[#Headers],[TFC]],Demand_Modeling!$A$13:$I$13,0))</f>
        <v>0</v>
      </c>
      <c r="J165" s="3">
        <f>INDEX(Demand_Modeling!$A$13:$I$49,MATCH(Table3[[#This Row],[Key]],Demand_Modeling!$A$13:$A$49,0),MATCH(Table3[[#Headers],[WFC]],Demand_Modeling!$A$13:$I$13,0))</f>
        <v>0</v>
      </c>
      <c r="K165" s="3">
        <f>INDEX(Demand_Modeling!$A$13:$I$49,MATCH(Table3[[#This Row],[Key]],Demand_Modeling!$A$13:$A$49,0),MATCH(Table3[[#Headers],[EAO]],Demand_Modeling!$A$13:$I$13,0))</f>
        <v>0.21</v>
      </c>
      <c r="L165" s="3">
        <f>INDEX(Demand_Modeling!$A$13:$I$49,MATCH(Table3[[#This Row],[Key]],Demand_Modeling!$A$13:$A$49,0),MATCH(Table3[[#Headers],[OCC]],Demand_Modeling!$A$13:$I$13,0))</f>
        <v>0.71</v>
      </c>
      <c r="M165" s="3">
        <f>INDEX(Demand_Modeling!$A$13:$I$49,MATCH(Table3[[#This Row],[Key]],Demand_Modeling!$A$13:$A$49,0),MATCH(Table3[[#Headers],[WEO]],Demand_Modeling!$A$13:$I$13,0))</f>
        <v>0.08</v>
      </c>
      <c r="N165" s="19">
        <f>SUM(Table3[[#This Row],[OFC]:[WEO]])</f>
        <v>0.99999999999999989</v>
      </c>
      <c r="O165" s="19"/>
      <c r="Q165" s="3" t="str">
        <f>Table35[[#This Row],[Fiscal_Year]]*100+Table35[[#This Row],[Fiscal_Week]] &amp; "-" &amp;Table35[[#This Row],[Brand]]</f>
        <v>202344-Old Navy</v>
      </c>
      <c r="R165" t="str">
        <f>Table3[[#This Row],[Key]]</f>
        <v>2023-Old Navy</v>
      </c>
      <c r="S165">
        <f>Table3[[#This Row],[Fiscal_Year]]</f>
        <v>2023</v>
      </c>
      <c r="T165">
        <f>Table3[[#This Row],[Fiscal_Week]]</f>
        <v>44</v>
      </c>
      <c r="U165" t="str">
        <f>Table3[[#This Row],[Brand]]</f>
        <v>Old Navy</v>
      </c>
      <c r="V165">
        <f>Table3[[#This Row],[Demand]]</f>
        <v>12797102</v>
      </c>
      <c r="W165">
        <f>Table3[[#This Row],[OFC]]*Table3[[#This Row],[Demand]]</f>
        <v>0</v>
      </c>
      <c r="X165">
        <f>Table3[[#This Row],[TFC]]*Table3[[#This Row],[Demand]]</f>
        <v>0</v>
      </c>
      <c r="Y165">
        <f>Table3[[#This Row],[WFC]]*Table3[[#This Row],[Demand]]</f>
        <v>0</v>
      </c>
      <c r="Z165">
        <f>Table3[[#This Row],[EAO]]*Table3[[#This Row],[Demand]]</f>
        <v>2687391.42</v>
      </c>
      <c r="AA165">
        <f>Table3[[#This Row],[OCC]]*Table3[[#This Row],[Demand]]</f>
        <v>9085942.4199999999</v>
      </c>
      <c r="AB165">
        <f>Table3[[#This Row],[WEO]]*Table3[[#This Row],[Demand]]</f>
        <v>1023768.16</v>
      </c>
      <c r="AC165" s="19">
        <f>SUM(Table35[[#This Row],[OFC]:[WEO]])</f>
        <v>12797102</v>
      </c>
      <c r="AD165" s="19">
        <f>Table35[[#This Row],[Demand]]-Table35[[#This Row],[Total_Modeled_Demand]]</f>
        <v>0</v>
      </c>
    </row>
    <row r="166" spans="2:30" x14ac:dyDescent="0.3">
      <c r="B166" s="3" t="str">
        <f>Table3[[#This Row],[Fiscal_Year]]*100+Table3[[#This Row],[Fiscal_Week]] &amp; "-" &amp;Table3[[#This Row],[Brand]]</f>
        <v>202345-Athleta</v>
      </c>
      <c r="C166" t="str">
        <f t="shared" si="2"/>
        <v>2023-Athleta</v>
      </c>
      <c r="D166">
        <v>2023</v>
      </c>
      <c r="E166">
        <v>45</v>
      </c>
      <c r="F166" t="s">
        <v>19</v>
      </c>
      <c r="G166">
        <v>441444</v>
      </c>
      <c r="H166" s="3">
        <f>INDEX(Demand_Modeling!$A$13:$I$49,MATCH(Table3[[#This Row],[Key]],Demand_Modeling!$A$13:$A$49,0),MATCH(Table3[[#Headers],[OFC]],Demand_Modeling!$A$13:$I$13,0))</f>
        <v>0</v>
      </c>
      <c r="I166" s="3">
        <f>INDEX(Demand_Modeling!$A$13:$I$49,MATCH(Table3[[#This Row],[Key]],Demand_Modeling!$A$13:$A$49,0),MATCH(Table3[[#Headers],[TFC]],Demand_Modeling!$A$13:$I$13,0))</f>
        <v>1</v>
      </c>
      <c r="J166" s="3">
        <f>INDEX(Demand_Modeling!$A$13:$I$49,MATCH(Table3[[#This Row],[Key]],Demand_Modeling!$A$13:$A$49,0),MATCH(Table3[[#Headers],[WFC]],Demand_Modeling!$A$13:$I$13,0))</f>
        <v>0</v>
      </c>
      <c r="K166" s="3">
        <f>INDEX(Demand_Modeling!$A$13:$I$49,MATCH(Table3[[#This Row],[Key]],Demand_Modeling!$A$13:$A$49,0),MATCH(Table3[[#Headers],[EAO]],Demand_Modeling!$A$13:$I$13,0))</f>
        <v>3.447122356821831E-5</v>
      </c>
      <c r="L166" s="3">
        <f>INDEX(Demand_Modeling!$A$13:$I$49,MATCH(Table3[[#This Row],[Key]],Demand_Modeling!$A$13:$A$49,0),MATCH(Table3[[#Headers],[OCC]],Demand_Modeling!$A$13:$I$13,0))</f>
        <v>0</v>
      </c>
      <c r="M166" s="3">
        <f>INDEX(Demand_Modeling!$A$13:$I$49,MATCH(Table3[[#This Row],[Key]],Demand_Modeling!$A$13:$A$49,0),MATCH(Table3[[#Headers],[WEO]],Demand_Modeling!$A$13:$I$13,0))</f>
        <v>0</v>
      </c>
      <c r="N166" s="19">
        <f>SUM(Table3[[#This Row],[OFC]:[WEO]])</f>
        <v>1.0000344712235683</v>
      </c>
      <c r="O166" s="19"/>
      <c r="Q166" s="3" t="str">
        <f>Table35[[#This Row],[Fiscal_Year]]*100+Table35[[#This Row],[Fiscal_Week]] &amp; "-" &amp;Table35[[#This Row],[Brand]]</f>
        <v>202345-Athleta</v>
      </c>
      <c r="R166" t="str">
        <f>Table3[[#This Row],[Key]]</f>
        <v>2023-Athleta</v>
      </c>
      <c r="S166">
        <f>Table3[[#This Row],[Fiscal_Year]]</f>
        <v>2023</v>
      </c>
      <c r="T166">
        <f>Table3[[#This Row],[Fiscal_Week]]</f>
        <v>45</v>
      </c>
      <c r="U166" t="str">
        <f>Table3[[#This Row],[Brand]]</f>
        <v>Athleta</v>
      </c>
      <c r="V166">
        <f>Table3[[#This Row],[Demand]]</f>
        <v>441444</v>
      </c>
      <c r="W166">
        <f>Table3[[#This Row],[OFC]]*Table3[[#This Row],[Demand]]</f>
        <v>0</v>
      </c>
      <c r="X166">
        <f>Table3[[#This Row],[TFC]]*Table3[[#This Row],[Demand]]</f>
        <v>441444</v>
      </c>
      <c r="Y166">
        <f>Table3[[#This Row],[WFC]]*Table3[[#This Row],[Demand]]</f>
        <v>0</v>
      </c>
      <c r="Z166">
        <f>Table3[[#This Row],[EAO]]*Table3[[#This Row],[Demand]]</f>
        <v>15.217114816848563</v>
      </c>
      <c r="AA166">
        <f>Table3[[#This Row],[OCC]]*Table3[[#This Row],[Demand]]</f>
        <v>0</v>
      </c>
      <c r="AB166">
        <f>Table3[[#This Row],[WEO]]*Table3[[#This Row],[Demand]]</f>
        <v>0</v>
      </c>
      <c r="AC166" s="19">
        <f>SUM(Table35[[#This Row],[OFC]:[WEO]])</f>
        <v>441459.21711481683</v>
      </c>
      <c r="AD166" s="19">
        <f>Table35[[#This Row],[Demand]]-Table35[[#This Row],[Total_Modeled_Demand]]</f>
        <v>-15.217114816827234</v>
      </c>
    </row>
    <row r="167" spans="2:30" x14ac:dyDescent="0.3">
      <c r="B167" s="3" t="str">
        <f>Table3[[#This Row],[Fiscal_Year]]*100+Table3[[#This Row],[Fiscal_Week]] &amp; "-" &amp;Table3[[#This Row],[Brand]]</f>
        <v>202345-Banana Republic</v>
      </c>
      <c r="C167" t="str">
        <f t="shared" si="2"/>
        <v>2023-Banana Republic</v>
      </c>
      <c r="D167">
        <v>2023</v>
      </c>
      <c r="E167">
        <v>45</v>
      </c>
      <c r="F167" t="s">
        <v>18</v>
      </c>
      <c r="G167">
        <v>509735</v>
      </c>
      <c r="H167" s="3">
        <f>INDEX(Demand_Modeling!$A$13:$I$49,MATCH(Table3[[#This Row],[Key]],Demand_Modeling!$A$13:$A$49,0),MATCH(Table3[[#Headers],[OFC]],Demand_Modeling!$A$13:$I$13,0))</f>
        <v>0</v>
      </c>
      <c r="I167" s="3">
        <f>INDEX(Demand_Modeling!$A$13:$I$49,MATCH(Table3[[#This Row],[Key]],Demand_Modeling!$A$13:$A$49,0),MATCH(Table3[[#Headers],[TFC]],Demand_Modeling!$A$13:$I$13,0))</f>
        <v>1</v>
      </c>
      <c r="J167" s="3">
        <f>INDEX(Demand_Modeling!$A$13:$I$49,MATCH(Table3[[#This Row],[Key]],Demand_Modeling!$A$13:$A$49,0),MATCH(Table3[[#Headers],[WFC]],Demand_Modeling!$A$13:$I$13,0))</f>
        <v>3.4959629396853166E-6</v>
      </c>
      <c r="K167" s="3">
        <f>INDEX(Demand_Modeling!$A$13:$I$49,MATCH(Table3[[#This Row],[Key]],Demand_Modeling!$A$13:$A$49,0),MATCH(Table3[[#Headers],[EAO]],Demand_Modeling!$A$13:$I$13,0))</f>
        <v>4.2339995602855504E-5</v>
      </c>
      <c r="L167" s="3">
        <f>INDEX(Demand_Modeling!$A$13:$I$49,MATCH(Table3[[#This Row],[Key]],Demand_Modeling!$A$13:$A$49,0),MATCH(Table3[[#Headers],[OCC]],Demand_Modeling!$A$13:$I$13,0))</f>
        <v>0</v>
      </c>
      <c r="M167" s="3">
        <f>INDEX(Demand_Modeling!$A$13:$I$49,MATCH(Table3[[#This Row],[Key]],Demand_Modeling!$A$13:$A$49,0),MATCH(Table3[[#Headers],[WEO]],Demand_Modeling!$A$13:$I$13,0))</f>
        <v>0</v>
      </c>
      <c r="N167" s="19">
        <f>SUM(Table3[[#This Row],[OFC]:[WEO]])</f>
        <v>1.0000458359585425</v>
      </c>
      <c r="O167" s="19"/>
      <c r="Q167" s="3" t="str">
        <f>Table35[[#This Row],[Fiscal_Year]]*100+Table35[[#This Row],[Fiscal_Week]] &amp; "-" &amp;Table35[[#This Row],[Brand]]</f>
        <v>202345-Banana Republic</v>
      </c>
      <c r="R167" t="str">
        <f>Table3[[#This Row],[Key]]</f>
        <v>2023-Banana Republic</v>
      </c>
      <c r="S167">
        <f>Table3[[#This Row],[Fiscal_Year]]</f>
        <v>2023</v>
      </c>
      <c r="T167">
        <f>Table3[[#This Row],[Fiscal_Week]]</f>
        <v>45</v>
      </c>
      <c r="U167" t="str">
        <f>Table3[[#This Row],[Brand]]</f>
        <v>Banana Republic</v>
      </c>
      <c r="V167">
        <f>Table3[[#This Row],[Demand]]</f>
        <v>509735</v>
      </c>
      <c r="W167">
        <f>Table3[[#This Row],[OFC]]*Table3[[#This Row],[Demand]]</f>
        <v>0</v>
      </c>
      <c r="X167">
        <f>Table3[[#This Row],[TFC]]*Table3[[#This Row],[Demand]]</f>
        <v>509735</v>
      </c>
      <c r="Y167">
        <f>Table3[[#This Row],[WFC]]*Table3[[#This Row],[Demand]]</f>
        <v>1.7820146690604948</v>
      </c>
      <c r="Z167">
        <f>Table3[[#This Row],[EAO]]*Table3[[#This Row],[Demand]]</f>
        <v>21.58217765862155</v>
      </c>
      <c r="AA167">
        <f>Table3[[#This Row],[OCC]]*Table3[[#This Row],[Demand]]</f>
        <v>0</v>
      </c>
      <c r="AB167">
        <f>Table3[[#This Row],[WEO]]*Table3[[#This Row],[Demand]]</f>
        <v>0</v>
      </c>
      <c r="AC167" s="19">
        <f>SUM(Table35[[#This Row],[OFC]:[WEO]])</f>
        <v>509758.36419232766</v>
      </c>
      <c r="AD167" s="19">
        <f>Table35[[#This Row],[Demand]]-Table35[[#This Row],[Total_Modeled_Demand]]</f>
        <v>-23.364192327659111</v>
      </c>
    </row>
    <row r="168" spans="2:30" x14ac:dyDescent="0.3">
      <c r="B168" s="3" t="str">
        <f>Table3[[#This Row],[Fiscal_Year]]*100+Table3[[#This Row],[Fiscal_Week]] &amp; "-" &amp;Table3[[#This Row],[Brand]]</f>
        <v>202345-BR Factory Store</v>
      </c>
      <c r="C168" t="str">
        <f t="shared" si="2"/>
        <v>2023-BR Factory Store</v>
      </c>
      <c r="D168">
        <v>2023</v>
      </c>
      <c r="E168">
        <v>45</v>
      </c>
      <c r="F168" t="s">
        <v>17</v>
      </c>
      <c r="G168">
        <v>232738</v>
      </c>
      <c r="H168" s="3">
        <f>INDEX(Demand_Modeling!$A$13:$I$49,MATCH(Table3[[#This Row],[Key]],Demand_Modeling!$A$13:$A$49,0),MATCH(Table3[[#Headers],[OFC]],Demand_Modeling!$A$13:$I$13,0))</f>
        <v>1</v>
      </c>
      <c r="I168" s="3">
        <f>INDEX(Demand_Modeling!$A$13:$I$49,MATCH(Table3[[#This Row],[Key]],Demand_Modeling!$A$13:$A$49,0),MATCH(Table3[[#Headers],[TFC]],Demand_Modeling!$A$13:$I$13,0))</f>
        <v>0</v>
      </c>
      <c r="J168" s="3">
        <f>INDEX(Demand_Modeling!$A$13:$I$49,MATCH(Table3[[#This Row],[Key]],Demand_Modeling!$A$13:$A$49,0),MATCH(Table3[[#Headers],[WFC]],Demand_Modeling!$A$13:$I$13,0))</f>
        <v>0</v>
      </c>
      <c r="K168" s="3">
        <f>INDEX(Demand_Modeling!$A$13:$I$49,MATCH(Table3[[#This Row],[Key]],Demand_Modeling!$A$13:$A$49,0),MATCH(Table3[[#Headers],[EAO]],Demand_Modeling!$A$13:$I$13,0))</f>
        <v>0</v>
      </c>
      <c r="L168" s="3">
        <f>INDEX(Demand_Modeling!$A$13:$I$49,MATCH(Table3[[#This Row],[Key]],Demand_Modeling!$A$13:$A$49,0),MATCH(Table3[[#Headers],[OCC]],Demand_Modeling!$A$13:$I$13,0))</f>
        <v>0</v>
      </c>
      <c r="M168" s="3">
        <f>INDEX(Demand_Modeling!$A$13:$I$49,MATCH(Table3[[#This Row],[Key]],Demand_Modeling!$A$13:$A$49,0),MATCH(Table3[[#Headers],[WEO]],Demand_Modeling!$A$13:$I$13,0))</f>
        <v>0</v>
      </c>
      <c r="N168" s="19">
        <f>SUM(Table3[[#This Row],[OFC]:[WEO]])</f>
        <v>1</v>
      </c>
      <c r="O168" s="19"/>
      <c r="Q168" s="3" t="str">
        <f>Table35[[#This Row],[Fiscal_Year]]*100+Table35[[#This Row],[Fiscal_Week]] &amp; "-" &amp;Table35[[#This Row],[Brand]]</f>
        <v>202345-BR Factory Store</v>
      </c>
      <c r="R168" t="str">
        <f>Table3[[#This Row],[Key]]</f>
        <v>2023-BR Factory Store</v>
      </c>
      <c r="S168">
        <f>Table3[[#This Row],[Fiscal_Year]]</f>
        <v>2023</v>
      </c>
      <c r="T168">
        <f>Table3[[#This Row],[Fiscal_Week]]</f>
        <v>45</v>
      </c>
      <c r="U168" t="str">
        <f>Table3[[#This Row],[Brand]]</f>
        <v>BR Factory Store</v>
      </c>
      <c r="V168">
        <f>Table3[[#This Row],[Demand]]</f>
        <v>232738</v>
      </c>
      <c r="W168">
        <f>Table3[[#This Row],[OFC]]*Table3[[#This Row],[Demand]]</f>
        <v>232738</v>
      </c>
      <c r="X168">
        <f>Table3[[#This Row],[TFC]]*Table3[[#This Row],[Demand]]</f>
        <v>0</v>
      </c>
      <c r="Y168">
        <f>Table3[[#This Row],[WFC]]*Table3[[#This Row],[Demand]]</f>
        <v>0</v>
      </c>
      <c r="Z168">
        <f>Table3[[#This Row],[EAO]]*Table3[[#This Row],[Demand]]</f>
        <v>0</v>
      </c>
      <c r="AA168">
        <f>Table3[[#This Row],[OCC]]*Table3[[#This Row],[Demand]]</f>
        <v>0</v>
      </c>
      <c r="AB168">
        <f>Table3[[#This Row],[WEO]]*Table3[[#This Row],[Demand]]</f>
        <v>0</v>
      </c>
      <c r="AC168" s="19">
        <f>SUM(Table35[[#This Row],[OFC]:[WEO]])</f>
        <v>232738</v>
      </c>
      <c r="AD168" s="19">
        <f>Table35[[#This Row],[Demand]]-Table35[[#This Row],[Total_Modeled_Demand]]</f>
        <v>0</v>
      </c>
    </row>
    <row r="169" spans="2:30" x14ac:dyDescent="0.3">
      <c r="B169" s="3" t="str">
        <f>Table3[[#This Row],[Fiscal_Year]]*100+Table3[[#This Row],[Fiscal_Week]] &amp; "-" &amp;Table3[[#This Row],[Brand]]</f>
        <v>202345-Gap</v>
      </c>
      <c r="C169" t="str">
        <f t="shared" si="2"/>
        <v>2023-Gap</v>
      </c>
      <c r="D169">
        <v>2023</v>
      </c>
      <c r="E169">
        <v>45</v>
      </c>
      <c r="F169" t="s">
        <v>16</v>
      </c>
      <c r="G169">
        <v>2341477</v>
      </c>
      <c r="H169" s="3">
        <f>INDEX(Demand_Modeling!$A$13:$I$49,MATCH(Table3[[#This Row],[Key]],Demand_Modeling!$A$13:$A$49,0),MATCH(Table3[[#Headers],[OFC]],Demand_Modeling!$A$13:$I$13,0))</f>
        <v>0</v>
      </c>
      <c r="I169" s="3">
        <f>INDEX(Demand_Modeling!$A$13:$I$49,MATCH(Table3[[#This Row],[Key]],Demand_Modeling!$A$13:$A$49,0),MATCH(Table3[[#Headers],[TFC]],Demand_Modeling!$A$13:$I$13,0))</f>
        <v>0.25</v>
      </c>
      <c r="J169" s="3">
        <f>INDEX(Demand_Modeling!$A$13:$I$49,MATCH(Table3[[#This Row],[Key]],Demand_Modeling!$A$13:$A$49,0),MATCH(Table3[[#Headers],[WFC]],Demand_Modeling!$A$13:$I$13,0))</f>
        <v>0</v>
      </c>
      <c r="K169" s="3">
        <f>INDEX(Demand_Modeling!$A$13:$I$49,MATCH(Table3[[#This Row],[Key]],Demand_Modeling!$A$13:$A$49,0),MATCH(Table3[[#Headers],[EAO]],Demand_Modeling!$A$13:$I$13,0))</f>
        <v>0</v>
      </c>
      <c r="L169" s="3">
        <f>INDEX(Demand_Modeling!$A$13:$I$49,MATCH(Table3[[#This Row],[Key]],Demand_Modeling!$A$13:$A$49,0),MATCH(Table3[[#Headers],[OCC]],Demand_Modeling!$A$13:$I$13,0))</f>
        <v>0.3</v>
      </c>
      <c r="M169" s="3">
        <f>INDEX(Demand_Modeling!$A$13:$I$49,MATCH(Table3[[#This Row],[Key]],Demand_Modeling!$A$13:$A$49,0),MATCH(Table3[[#Headers],[WEO]],Demand_Modeling!$A$13:$I$13,0))</f>
        <v>0.45</v>
      </c>
      <c r="N169" s="19">
        <f>SUM(Table3[[#This Row],[OFC]:[WEO]])</f>
        <v>1</v>
      </c>
      <c r="O169" s="19"/>
      <c r="Q169" s="3" t="str">
        <f>Table35[[#This Row],[Fiscal_Year]]*100+Table35[[#This Row],[Fiscal_Week]] &amp; "-" &amp;Table35[[#This Row],[Brand]]</f>
        <v>202345-Gap</v>
      </c>
      <c r="R169" t="str">
        <f>Table3[[#This Row],[Key]]</f>
        <v>2023-Gap</v>
      </c>
      <c r="S169">
        <f>Table3[[#This Row],[Fiscal_Year]]</f>
        <v>2023</v>
      </c>
      <c r="T169">
        <f>Table3[[#This Row],[Fiscal_Week]]</f>
        <v>45</v>
      </c>
      <c r="U169" t="str">
        <f>Table3[[#This Row],[Brand]]</f>
        <v>Gap</v>
      </c>
      <c r="V169">
        <f>Table3[[#This Row],[Demand]]</f>
        <v>2341477</v>
      </c>
      <c r="W169">
        <f>Table3[[#This Row],[OFC]]*Table3[[#This Row],[Demand]]</f>
        <v>0</v>
      </c>
      <c r="X169">
        <f>Table3[[#This Row],[TFC]]*Table3[[#This Row],[Demand]]</f>
        <v>585369.25</v>
      </c>
      <c r="Y169">
        <f>Table3[[#This Row],[WFC]]*Table3[[#This Row],[Demand]]</f>
        <v>0</v>
      </c>
      <c r="Z169">
        <f>Table3[[#This Row],[EAO]]*Table3[[#This Row],[Demand]]</f>
        <v>0</v>
      </c>
      <c r="AA169">
        <f>Table3[[#This Row],[OCC]]*Table3[[#This Row],[Demand]]</f>
        <v>702443.1</v>
      </c>
      <c r="AB169">
        <f>Table3[[#This Row],[WEO]]*Table3[[#This Row],[Demand]]</f>
        <v>1053664.6500000001</v>
      </c>
      <c r="AC169" s="19">
        <f>SUM(Table35[[#This Row],[OFC]:[WEO]])</f>
        <v>2341477</v>
      </c>
      <c r="AD169" s="19">
        <f>Table35[[#This Row],[Demand]]-Table35[[#This Row],[Total_Modeled_Demand]]</f>
        <v>0</v>
      </c>
    </row>
    <row r="170" spans="2:30" x14ac:dyDescent="0.3">
      <c r="B170" s="3" t="str">
        <f>Table3[[#This Row],[Fiscal_Year]]*100+Table3[[#This Row],[Fiscal_Week]] &amp; "-" &amp;Table3[[#This Row],[Brand]]</f>
        <v>202345-Gap Factory Store</v>
      </c>
      <c r="C170" t="str">
        <f t="shared" si="2"/>
        <v>2023-Gap Factory Store</v>
      </c>
      <c r="D170">
        <v>2023</v>
      </c>
      <c r="E170">
        <v>45</v>
      </c>
      <c r="F170" t="s">
        <v>22</v>
      </c>
      <c r="G170">
        <v>1035209</v>
      </c>
      <c r="H170" s="3">
        <f>INDEX(Demand_Modeling!$A$13:$I$49,MATCH(Table3[[#This Row],[Key]],Demand_Modeling!$A$13:$A$49,0),MATCH(Table3[[#Headers],[OFC]],Demand_Modeling!$A$13:$I$13,0))</f>
        <v>1</v>
      </c>
      <c r="I170" s="3">
        <f>INDEX(Demand_Modeling!$A$13:$I$49,MATCH(Table3[[#This Row],[Key]],Demand_Modeling!$A$13:$A$49,0),MATCH(Table3[[#Headers],[TFC]],Demand_Modeling!$A$13:$I$13,0))</f>
        <v>0</v>
      </c>
      <c r="J170" s="3">
        <f>INDEX(Demand_Modeling!$A$13:$I$49,MATCH(Table3[[#This Row],[Key]],Demand_Modeling!$A$13:$A$49,0),MATCH(Table3[[#Headers],[WFC]],Demand_Modeling!$A$13:$I$13,0))</f>
        <v>0</v>
      </c>
      <c r="K170" s="3">
        <f>INDEX(Demand_Modeling!$A$13:$I$49,MATCH(Table3[[#This Row],[Key]],Demand_Modeling!$A$13:$A$49,0),MATCH(Table3[[#Headers],[EAO]],Demand_Modeling!$A$13:$I$13,0))</f>
        <v>0</v>
      </c>
      <c r="L170" s="3">
        <f>INDEX(Demand_Modeling!$A$13:$I$49,MATCH(Table3[[#This Row],[Key]],Demand_Modeling!$A$13:$A$49,0),MATCH(Table3[[#Headers],[OCC]],Demand_Modeling!$A$13:$I$13,0))</f>
        <v>0</v>
      </c>
      <c r="M170" s="3">
        <f>INDEX(Demand_Modeling!$A$13:$I$49,MATCH(Table3[[#This Row],[Key]],Demand_Modeling!$A$13:$A$49,0),MATCH(Table3[[#Headers],[WEO]],Demand_Modeling!$A$13:$I$13,0))</f>
        <v>0</v>
      </c>
      <c r="N170" s="19">
        <f>SUM(Table3[[#This Row],[OFC]:[WEO]])</f>
        <v>1</v>
      </c>
      <c r="O170" s="19"/>
      <c r="Q170" s="3" t="str">
        <f>Table35[[#This Row],[Fiscal_Year]]*100+Table35[[#This Row],[Fiscal_Week]] &amp; "-" &amp;Table35[[#This Row],[Brand]]</f>
        <v>202345-Gap Factory Store</v>
      </c>
      <c r="R170" t="str">
        <f>Table3[[#This Row],[Key]]</f>
        <v>2023-Gap Factory Store</v>
      </c>
      <c r="S170">
        <f>Table3[[#This Row],[Fiscal_Year]]</f>
        <v>2023</v>
      </c>
      <c r="T170">
        <f>Table3[[#This Row],[Fiscal_Week]]</f>
        <v>45</v>
      </c>
      <c r="U170" t="str">
        <f>Table3[[#This Row],[Brand]]</f>
        <v>Gap Factory Store</v>
      </c>
      <c r="V170">
        <f>Table3[[#This Row],[Demand]]</f>
        <v>1035209</v>
      </c>
      <c r="W170">
        <f>Table3[[#This Row],[OFC]]*Table3[[#This Row],[Demand]]</f>
        <v>1035209</v>
      </c>
      <c r="X170">
        <f>Table3[[#This Row],[TFC]]*Table3[[#This Row],[Demand]]</f>
        <v>0</v>
      </c>
      <c r="Y170">
        <f>Table3[[#This Row],[WFC]]*Table3[[#This Row],[Demand]]</f>
        <v>0</v>
      </c>
      <c r="Z170">
        <f>Table3[[#This Row],[EAO]]*Table3[[#This Row],[Demand]]</f>
        <v>0</v>
      </c>
      <c r="AA170">
        <f>Table3[[#This Row],[OCC]]*Table3[[#This Row],[Demand]]</f>
        <v>0</v>
      </c>
      <c r="AB170">
        <f>Table3[[#This Row],[WEO]]*Table3[[#This Row],[Demand]]</f>
        <v>0</v>
      </c>
      <c r="AC170" s="19">
        <f>SUM(Table35[[#This Row],[OFC]:[WEO]])</f>
        <v>1035209</v>
      </c>
      <c r="AD170" s="19">
        <f>Table35[[#This Row],[Demand]]-Table35[[#This Row],[Total_Modeled_Demand]]</f>
        <v>0</v>
      </c>
    </row>
    <row r="171" spans="2:30" x14ac:dyDescent="0.3">
      <c r="B171" s="3" t="str">
        <f>Table3[[#This Row],[Fiscal_Year]]*100+Table3[[#This Row],[Fiscal_Week]] &amp; "-" &amp;Table3[[#This Row],[Brand]]</f>
        <v>202345-Old Navy</v>
      </c>
      <c r="C171" t="str">
        <f t="shared" si="2"/>
        <v>2023-Old Navy</v>
      </c>
      <c r="D171">
        <v>2023</v>
      </c>
      <c r="E171">
        <v>45</v>
      </c>
      <c r="F171" t="s">
        <v>20</v>
      </c>
      <c r="G171">
        <v>6740495</v>
      </c>
      <c r="H171" s="3">
        <f>INDEX(Demand_Modeling!$A$13:$I$49,MATCH(Table3[[#This Row],[Key]],Demand_Modeling!$A$13:$A$49,0),MATCH(Table3[[#Headers],[OFC]],Demand_Modeling!$A$13:$I$13,0))</f>
        <v>0</v>
      </c>
      <c r="I171" s="3">
        <f>INDEX(Demand_Modeling!$A$13:$I$49,MATCH(Table3[[#This Row],[Key]],Demand_Modeling!$A$13:$A$49,0),MATCH(Table3[[#Headers],[TFC]],Demand_Modeling!$A$13:$I$13,0))</f>
        <v>0</v>
      </c>
      <c r="J171" s="3">
        <f>INDEX(Demand_Modeling!$A$13:$I$49,MATCH(Table3[[#This Row],[Key]],Demand_Modeling!$A$13:$A$49,0),MATCH(Table3[[#Headers],[WFC]],Demand_Modeling!$A$13:$I$13,0))</f>
        <v>0</v>
      </c>
      <c r="K171" s="3">
        <f>INDEX(Demand_Modeling!$A$13:$I$49,MATCH(Table3[[#This Row],[Key]],Demand_Modeling!$A$13:$A$49,0),MATCH(Table3[[#Headers],[EAO]],Demand_Modeling!$A$13:$I$13,0))</f>
        <v>0.21</v>
      </c>
      <c r="L171" s="3">
        <f>INDEX(Demand_Modeling!$A$13:$I$49,MATCH(Table3[[#This Row],[Key]],Demand_Modeling!$A$13:$A$49,0),MATCH(Table3[[#Headers],[OCC]],Demand_Modeling!$A$13:$I$13,0))</f>
        <v>0.71</v>
      </c>
      <c r="M171" s="3">
        <f>INDEX(Demand_Modeling!$A$13:$I$49,MATCH(Table3[[#This Row],[Key]],Demand_Modeling!$A$13:$A$49,0),MATCH(Table3[[#Headers],[WEO]],Demand_Modeling!$A$13:$I$13,0))</f>
        <v>0.08</v>
      </c>
      <c r="N171" s="19">
        <f>SUM(Table3[[#This Row],[OFC]:[WEO]])</f>
        <v>0.99999999999999989</v>
      </c>
      <c r="O171" s="19"/>
      <c r="Q171" s="3" t="str">
        <f>Table35[[#This Row],[Fiscal_Year]]*100+Table35[[#This Row],[Fiscal_Week]] &amp; "-" &amp;Table35[[#This Row],[Brand]]</f>
        <v>202345-Old Navy</v>
      </c>
      <c r="R171" t="str">
        <f>Table3[[#This Row],[Key]]</f>
        <v>2023-Old Navy</v>
      </c>
      <c r="S171">
        <f>Table3[[#This Row],[Fiscal_Year]]</f>
        <v>2023</v>
      </c>
      <c r="T171">
        <f>Table3[[#This Row],[Fiscal_Week]]</f>
        <v>45</v>
      </c>
      <c r="U171" t="str">
        <f>Table3[[#This Row],[Brand]]</f>
        <v>Old Navy</v>
      </c>
      <c r="V171">
        <f>Table3[[#This Row],[Demand]]</f>
        <v>6740495</v>
      </c>
      <c r="W171">
        <f>Table3[[#This Row],[OFC]]*Table3[[#This Row],[Demand]]</f>
        <v>0</v>
      </c>
      <c r="X171">
        <f>Table3[[#This Row],[TFC]]*Table3[[#This Row],[Demand]]</f>
        <v>0</v>
      </c>
      <c r="Y171">
        <f>Table3[[#This Row],[WFC]]*Table3[[#This Row],[Demand]]</f>
        <v>0</v>
      </c>
      <c r="Z171">
        <f>Table3[[#This Row],[EAO]]*Table3[[#This Row],[Demand]]</f>
        <v>1415503.95</v>
      </c>
      <c r="AA171">
        <f>Table3[[#This Row],[OCC]]*Table3[[#This Row],[Demand]]</f>
        <v>4785751.45</v>
      </c>
      <c r="AB171">
        <f>Table3[[#This Row],[WEO]]*Table3[[#This Row],[Demand]]</f>
        <v>539239.6</v>
      </c>
      <c r="AC171" s="19">
        <f>SUM(Table35[[#This Row],[OFC]:[WEO]])</f>
        <v>6740495</v>
      </c>
      <c r="AD171" s="19">
        <f>Table35[[#This Row],[Demand]]-Table35[[#This Row],[Total_Modeled_Demand]]</f>
        <v>0</v>
      </c>
    </row>
    <row r="172" spans="2:30" x14ac:dyDescent="0.3">
      <c r="B172" s="3" t="str">
        <f>Table3[[#This Row],[Fiscal_Year]]*100+Table3[[#This Row],[Fiscal_Week]] &amp; "-" &amp;Table3[[#This Row],[Brand]]</f>
        <v>202346-Athleta</v>
      </c>
      <c r="C172" t="str">
        <f t="shared" si="2"/>
        <v>2023-Athleta</v>
      </c>
      <c r="D172">
        <v>2023</v>
      </c>
      <c r="E172">
        <v>46</v>
      </c>
      <c r="F172" t="s">
        <v>19</v>
      </c>
      <c r="G172">
        <v>467012</v>
      </c>
      <c r="H172" s="3">
        <f>INDEX(Demand_Modeling!$A$13:$I$49,MATCH(Table3[[#This Row],[Key]],Demand_Modeling!$A$13:$A$49,0),MATCH(Table3[[#Headers],[OFC]],Demand_Modeling!$A$13:$I$13,0))</f>
        <v>0</v>
      </c>
      <c r="I172" s="3">
        <f>INDEX(Demand_Modeling!$A$13:$I$49,MATCH(Table3[[#This Row],[Key]],Demand_Modeling!$A$13:$A$49,0),MATCH(Table3[[#Headers],[TFC]],Demand_Modeling!$A$13:$I$13,0))</f>
        <v>1</v>
      </c>
      <c r="J172" s="3">
        <f>INDEX(Demand_Modeling!$A$13:$I$49,MATCH(Table3[[#This Row],[Key]],Demand_Modeling!$A$13:$A$49,0),MATCH(Table3[[#Headers],[WFC]],Demand_Modeling!$A$13:$I$13,0))</f>
        <v>0</v>
      </c>
      <c r="K172" s="3">
        <f>INDEX(Demand_Modeling!$A$13:$I$49,MATCH(Table3[[#This Row],[Key]],Demand_Modeling!$A$13:$A$49,0),MATCH(Table3[[#Headers],[EAO]],Demand_Modeling!$A$13:$I$13,0))</f>
        <v>3.447122356821831E-5</v>
      </c>
      <c r="L172" s="3">
        <f>INDEX(Demand_Modeling!$A$13:$I$49,MATCH(Table3[[#This Row],[Key]],Demand_Modeling!$A$13:$A$49,0),MATCH(Table3[[#Headers],[OCC]],Demand_Modeling!$A$13:$I$13,0))</f>
        <v>0</v>
      </c>
      <c r="M172" s="3">
        <f>INDEX(Demand_Modeling!$A$13:$I$49,MATCH(Table3[[#This Row],[Key]],Demand_Modeling!$A$13:$A$49,0),MATCH(Table3[[#Headers],[WEO]],Demand_Modeling!$A$13:$I$13,0))</f>
        <v>0</v>
      </c>
      <c r="N172" s="19">
        <f>SUM(Table3[[#This Row],[OFC]:[WEO]])</f>
        <v>1.0000344712235683</v>
      </c>
      <c r="O172" s="19"/>
      <c r="Q172" s="3" t="str">
        <f>Table35[[#This Row],[Fiscal_Year]]*100+Table35[[#This Row],[Fiscal_Week]] &amp; "-" &amp;Table35[[#This Row],[Brand]]</f>
        <v>202346-Athleta</v>
      </c>
      <c r="R172" t="str">
        <f>Table3[[#This Row],[Key]]</f>
        <v>2023-Athleta</v>
      </c>
      <c r="S172">
        <f>Table3[[#This Row],[Fiscal_Year]]</f>
        <v>2023</v>
      </c>
      <c r="T172">
        <f>Table3[[#This Row],[Fiscal_Week]]</f>
        <v>46</v>
      </c>
      <c r="U172" t="str">
        <f>Table3[[#This Row],[Brand]]</f>
        <v>Athleta</v>
      </c>
      <c r="V172">
        <f>Table3[[#This Row],[Demand]]</f>
        <v>467012</v>
      </c>
      <c r="W172">
        <f>Table3[[#This Row],[OFC]]*Table3[[#This Row],[Demand]]</f>
        <v>0</v>
      </c>
      <c r="X172">
        <f>Table3[[#This Row],[TFC]]*Table3[[#This Row],[Demand]]</f>
        <v>467012</v>
      </c>
      <c r="Y172">
        <f>Table3[[#This Row],[WFC]]*Table3[[#This Row],[Demand]]</f>
        <v>0</v>
      </c>
      <c r="Z172">
        <f>Table3[[#This Row],[EAO]]*Table3[[#This Row],[Demand]]</f>
        <v>16.098475061040769</v>
      </c>
      <c r="AA172">
        <f>Table3[[#This Row],[OCC]]*Table3[[#This Row],[Demand]]</f>
        <v>0</v>
      </c>
      <c r="AB172">
        <f>Table3[[#This Row],[WEO]]*Table3[[#This Row],[Demand]]</f>
        <v>0</v>
      </c>
      <c r="AC172" s="19">
        <f>SUM(Table35[[#This Row],[OFC]:[WEO]])</f>
        <v>467028.09847506107</v>
      </c>
      <c r="AD172" s="19">
        <f>Table35[[#This Row],[Demand]]-Table35[[#This Row],[Total_Modeled_Demand]]</f>
        <v>-16.098475061065983</v>
      </c>
    </row>
    <row r="173" spans="2:30" x14ac:dyDescent="0.3">
      <c r="B173" s="3" t="str">
        <f>Table3[[#This Row],[Fiscal_Year]]*100+Table3[[#This Row],[Fiscal_Week]] &amp; "-" &amp;Table3[[#This Row],[Brand]]</f>
        <v>202346-Banana Republic</v>
      </c>
      <c r="C173" t="str">
        <f t="shared" si="2"/>
        <v>2023-Banana Republic</v>
      </c>
      <c r="D173">
        <v>2023</v>
      </c>
      <c r="E173">
        <v>46</v>
      </c>
      <c r="F173" t="s">
        <v>18</v>
      </c>
      <c r="G173">
        <v>463304</v>
      </c>
      <c r="H173" s="3">
        <f>INDEX(Demand_Modeling!$A$13:$I$49,MATCH(Table3[[#This Row],[Key]],Demand_Modeling!$A$13:$A$49,0),MATCH(Table3[[#Headers],[OFC]],Demand_Modeling!$A$13:$I$13,0))</f>
        <v>0</v>
      </c>
      <c r="I173" s="3">
        <f>INDEX(Demand_Modeling!$A$13:$I$49,MATCH(Table3[[#This Row],[Key]],Demand_Modeling!$A$13:$A$49,0),MATCH(Table3[[#Headers],[TFC]],Demand_Modeling!$A$13:$I$13,0))</f>
        <v>1</v>
      </c>
      <c r="J173" s="3">
        <f>INDEX(Demand_Modeling!$A$13:$I$49,MATCH(Table3[[#This Row],[Key]],Demand_Modeling!$A$13:$A$49,0),MATCH(Table3[[#Headers],[WFC]],Demand_Modeling!$A$13:$I$13,0))</f>
        <v>3.4959629396853166E-6</v>
      </c>
      <c r="K173" s="3">
        <f>INDEX(Demand_Modeling!$A$13:$I$49,MATCH(Table3[[#This Row],[Key]],Demand_Modeling!$A$13:$A$49,0),MATCH(Table3[[#Headers],[EAO]],Demand_Modeling!$A$13:$I$13,0))</f>
        <v>4.2339995602855504E-5</v>
      </c>
      <c r="L173" s="3">
        <f>INDEX(Demand_Modeling!$A$13:$I$49,MATCH(Table3[[#This Row],[Key]],Demand_Modeling!$A$13:$A$49,0),MATCH(Table3[[#Headers],[OCC]],Demand_Modeling!$A$13:$I$13,0))</f>
        <v>0</v>
      </c>
      <c r="M173" s="3">
        <f>INDEX(Demand_Modeling!$A$13:$I$49,MATCH(Table3[[#This Row],[Key]],Demand_Modeling!$A$13:$A$49,0),MATCH(Table3[[#Headers],[WEO]],Demand_Modeling!$A$13:$I$13,0))</f>
        <v>0</v>
      </c>
      <c r="N173" s="19">
        <f>SUM(Table3[[#This Row],[OFC]:[WEO]])</f>
        <v>1.0000458359585425</v>
      </c>
      <c r="O173" s="19"/>
      <c r="Q173" s="3" t="str">
        <f>Table35[[#This Row],[Fiscal_Year]]*100+Table35[[#This Row],[Fiscal_Week]] &amp; "-" &amp;Table35[[#This Row],[Brand]]</f>
        <v>202346-Banana Republic</v>
      </c>
      <c r="R173" t="str">
        <f>Table3[[#This Row],[Key]]</f>
        <v>2023-Banana Republic</v>
      </c>
      <c r="S173">
        <f>Table3[[#This Row],[Fiscal_Year]]</f>
        <v>2023</v>
      </c>
      <c r="T173">
        <f>Table3[[#This Row],[Fiscal_Week]]</f>
        <v>46</v>
      </c>
      <c r="U173" t="str">
        <f>Table3[[#This Row],[Brand]]</f>
        <v>Banana Republic</v>
      </c>
      <c r="V173">
        <f>Table3[[#This Row],[Demand]]</f>
        <v>463304</v>
      </c>
      <c r="W173">
        <f>Table3[[#This Row],[OFC]]*Table3[[#This Row],[Demand]]</f>
        <v>0</v>
      </c>
      <c r="X173">
        <f>Table3[[#This Row],[TFC]]*Table3[[#This Row],[Demand]]</f>
        <v>463304</v>
      </c>
      <c r="Y173">
        <f>Table3[[#This Row],[WFC]]*Table3[[#This Row],[Demand]]</f>
        <v>1.6196936138079658</v>
      </c>
      <c r="Z173">
        <f>Table3[[#This Row],[EAO]]*Table3[[#This Row],[Demand]]</f>
        <v>19.616289322785367</v>
      </c>
      <c r="AA173">
        <f>Table3[[#This Row],[OCC]]*Table3[[#This Row],[Demand]]</f>
        <v>0</v>
      </c>
      <c r="AB173">
        <f>Table3[[#This Row],[WEO]]*Table3[[#This Row],[Demand]]</f>
        <v>0</v>
      </c>
      <c r="AC173" s="19">
        <f>SUM(Table35[[#This Row],[OFC]:[WEO]])</f>
        <v>463325.23598293657</v>
      </c>
      <c r="AD173" s="19">
        <f>Table35[[#This Row],[Demand]]-Table35[[#This Row],[Total_Modeled_Demand]]</f>
        <v>-21.235982936574146</v>
      </c>
    </row>
    <row r="174" spans="2:30" x14ac:dyDescent="0.3">
      <c r="B174" s="3" t="str">
        <f>Table3[[#This Row],[Fiscal_Year]]*100+Table3[[#This Row],[Fiscal_Week]] &amp; "-" &amp;Table3[[#This Row],[Brand]]</f>
        <v>202346-BR Factory Store</v>
      </c>
      <c r="C174" t="str">
        <f t="shared" si="2"/>
        <v>2023-BR Factory Store</v>
      </c>
      <c r="D174">
        <v>2023</v>
      </c>
      <c r="E174">
        <v>46</v>
      </c>
      <c r="F174" t="s">
        <v>17</v>
      </c>
      <c r="G174">
        <v>327286</v>
      </c>
      <c r="H174" s="3">
        <f>INDEX(Demand_Modeling!$A$13:$I$49,MATCH(Table3[[#This Row],[Key]],Demand_Modeling!$A$13:$A$49,0),MATCH(Table3[[#Headers],[OFC]],Demand_Modeling!$A$13:$I$13,0))</f>
        <v>1</v>
      </c>
      <c r="I174" s="3">
        <f>INDEX(Demand_Modeling!$A$13:$I$49,MATCH(Table3[[#This Row],[Key]],Demand_Modeling!$A$13:$A$49,0),MATCH(Table3[[#Headers],[TFC]],Demand_Modeling!$A$13:$I$13,0))</f>
        <v>0</v>
      </c>
      <c r="J174" s="3">
        <f>INDEX(Demand_Modeling!$A$13:$I$49,MATCH(Table3[[#This Row],[Key]],Demand_Modeling!$A$13:$A$49,0),MATCH(Table3[[#Headers],[WFC]],Demand_Modeling!$A$13:$I$13,0))</f>
        <v>0</v>
      </c>
      <c r="K174" s="3">
        <f>INDEX(Demand_Modeling!$A$13:$I$49,MATCH(Table3[[#This Row],[Key]],Demand_Modeling!$A$13:$A$49,0),MATCH(Table3[[#Headers],[EAO]],Demand_Modeling!$A$13:$I$13,0))</f>
        <v>0</v>
      </c>
      <c r="L174" s="3">
        <f>INDEX(Demand_Modeling!$A$13:$I$49,MATCH(Table3[[#This Row],[Key]],Demand_Modeling!$A$13:$A$49,0),MATCH(Table3[[#Headers],[OCC]],Demand_Modeling!$A$13:$I$13,0))</f>
        <v>0</v>
      </c>
      <c r="M174" s="3">
        <f>INDEX(Demand_Modeling!$A$13:$I$49,MATCH(Table3[[#This Row],[Key]],Demand_Modeling!$A$13:$A$49,0),MATCH(Table3[[#Headers],[WEO]],Demand_Modeling!$A$13:$I$13,0))</f>
        <v>0</v>
      </c>
      <c r="N174" s="19">
        <f>SUM(Table3[[#This Row],[OFC]:[WEO]])</f>
        <v>1</v>
      </c>
      <c r="O174" s="19"/>
      <c r="Q174" s="3" t="str">
        <f>Table35[[#This Row],[Fiscal_Year]]*100+Table35[[#This Row],[Fiscal_Week]] &amp; "-" &amp;Table35[[#This Row],[Brand]]</f>
        <v>202346-BR Factory Store</v>
      </c>
      <c r="R174" t="str">
        <f>Table3[[#This Row],[Key]]</f>
        <v>2023-BR Factory Store</v>
      </c>
      <c r="S174">
        <f>Table3[[#This Row],[Fiscal_Year]]</f>
        <v>2023</v>
      </c>
      <c r="T174">
        <f>Table3[[#This Row],[Fiscal_Week]]</f>
        <v>46</v>
      </c>
      <c r="U174" t="str">
        <f>Table3[[#This Row],[Brand]]</f>
        <v>BR Factory Store</v>
      </c>
      <c r="V174">
        <f>Table3[[#This Row],[Demand]]</f>
        <v>327286</v>
      </c>
      <c r="W174">
        <f>Table3[[#This Row],[OFC]]*Table3[[#This Row],[Demand]]</f>
        <v>327286</v>
      </c>
      <c r="X174">
        <f>Table3[[#This Row],[TFC]]*Table3[[#This Row],[Demand]]</f>
        <v>0</v>
      </c>
      <c r="Y174">
        <f>Table3[[#This Row],[WFC]]*Table3[[#This Row],[Demand]]</f>
        <v>0</v>
      </c>
      <c r="Z174">
        <f>Table3[[#This Row],[EAO]]*Table3[[#This Row],[Demand]]</f>
        <v>0</v>
      </c>
      <c r="AA174">
        <f>Table3[[#This Row],[OCC]]*Table3[[#This Row],[Demand]]</f>
        <v>0</v>
      </c>
      <c r="AB174">
        <f>Table3[[#This Row],[WEO]]*Table3[[#This Row],[Demand]]</f>
        <v>0</v>
      </c>
      <c r="AC174" s="19">
        <f>SUM(Table35[[#This Row],[OFC]:[WEO]])</f>
        <v>327286</v>
      </c>
      <c r="AD174" s="19">
        <f>Table35[[#This Row],[Demand]]-Table35[[#This Row],[Total_Modeled_Demand]]</f>
        <v>0</v>
      </c>
    </row>
    <row r="175" spans="2:30" x14ac:dyDescent="0.3">
      <c r="B175" s="3" t="str">
        <f>Table3[[#This Row],[Fiscal_Year]]*100+Table3[[#This Row],[Fiscal_Week]] &amp; "-" &amp;Table3[[#This Row],[Brand]]</f>
        <v>202346-Gap</v>
      </c>
      <c r="C175" t="str">
        <f t="shared" si="2"/>
        <v>2023-Gap</v>
      </c>
      <c r="D175">
        <v>2023</v>
      </c>
      <c r="E175">
        <v>46</v>
      </c>
      <c r="F175" t="s">
        <v>16</v>
      </c>
      <c r="G175">
        <v>2151975</v>
      </c>
      <c r="H175" s="3">
        <f>INDEX(Demand_Modeling!$A$13:$I$49,MATCH(Table3[[#This Row],[Key]],Demand_Modeling!$A$13:$A$49,0),MATCH(Table3[[#Headers],[OFC]],Demand_Modeling!$A$13:$I$13,0))</f>
        <v>0</v>
      </c>
      <c r="I175" s="3">
        <f>INDEX(Demand_Modeling!$A$13:$I$49,MATCH(Table3[[#This Row],[Key]],Demand_Modeling!$A$13:$A$49,0),MATCH(Table3[[#Headers],[TFC]],Demand_Modeling!$A$13:$I$13,0))</f>
        <v>0.25</v>
      </c>
      <c r="J175" s="3">
        <f>INDEX(Demand_Modeling!$A$13:$I$49,MATCH(Table3[[#This Row],[Key]],Demand_Modeling!$A$13:$A$49,0),MATCH(Table3[[#Headers],[WFC]],Demand_Modeling!$A$13:$I$13,0))</f>
        <v>0</v>
      </c>
      <c r="K175" s="3">
        <f>INDEX(Demand_Modeling!$A$13:$I$49,MATCH(Table3[[#This Row],[Key]],Demand_Modeling!$A$13:$A$49,0),MATCH(Table3[[#Headers],[EAO]],Demand_Modeling!$A$13:$I$13,0))</f>
        <v>0</v>
      </c>
      <c r="L175" s="3">
        <f>INDEX(Demand_Modeling!$A$13:$I$49,MATCH(Table3[[#This Row],[Key]],Demand_Modeling!$A$13:$A$49,0),MATCH(Table3[[#Headers],[OCC]],Demand_Modeling!$A$13:$I$13,0))</f>
        <v>0.3</v>
      </c>
      <c r="M175" s="3">
        <f>INDEX(Demand_Modeling!$A$13:$I$49,MATCH(Table3[[#This Row],[Key]],Demand_Modeling!$A$13:$A$49,0),MATCH(Table3[[#Headers],[WEO]],Demand_Modeling!$A$13:$I$13,0))</f>
        <v>0.45</v>
      </c>
      <c r="N175" s="19">
        <f>SUM(Table3[[#This Row],[OFC]:[WEO]])</f>
        <v>1</v>
      </c>
      <c r="O175" s="19"/>
      <c r="Q175" s="3" t="str">
        <f>Table35[[#This Row],[Fiscal_Year]]*100+Table35[[#This Row],[Fiscal_Week]] &amp; "-" &amp;Table35[[#This Row],[Brand]]</f>
        <v>202346-Gap</v>
      </c>
      <c r="R175" t="str">
        <f>Table3[[#This Row],[Key]]</f>
        <v>2023-Gap</v>
      </c>
      <c r="S175">
        <f>Table3[[#This Row],[Fiscal_Year]]</f>
        <v>2023</v>
      </c>
      <c r="T175">
        <f>Table3[[#This Row],[Fiscal_Week]]</f>
        <v>46</v>
      </c>
      <c r="U175" t="str">
        <f>Table3[[#This Row],[Brand]]</f>
        <v>Gap</v>
      </c>
      <c r="V175">
        <f>Table3[[#This Row],[Demand]]</f>
        <v>2151975</v>
      </c>
      <c r="W175">
        <f>Table3[[#This Row],[OFC]]*Table3[[#This Row],[Demand]]</f>
        <v>0</v>
      </c>
      <c r="X175">
        <f>Table3[[#This Row],[TFC]]*Table3[[#This Row],[Demand]]</f>
        <v>537993.75</v>
      </c>
      <c r="Y175">
        <f>Table3[[#This Row],[WFC]]*Table3[[#This Row],[Demand]]</f>
        <v>0</v>
      </c>
      <c r="Z175">
        <f>Table3[[#This Row],[EAO]]*Table3[[#This Row],[Demand]]</f>
        <v>0</v>
      </c>
      <c r="AA175">
        <f>Table3[[#This Row],[OCC]]*Table3[[#This Row],[Demand]]</f>
        <v>645592.5</v>
      </c>
      <c r="AB175">
        <f>Table3[[#This Row],[WEO]]*Table3[[#This Row],[Demand]]</f>
        <v>968388.75</v>
      </c>
      <c r="AC175" s="19">
        <f>SUM(Table35[[#This Row],[OFC]:[WEO]])</f>
        <v>2151975</v>
      </c>
      <c r="AD175" s="19">
        <f>Table35[[#This Row],[Demand]]-Table35[[#This Row],[Total_Modeled_Demand]]</f>
        <v>0</v>
      </c>
    </row>
    <row r="176" spans="2:30" x14ac:dyDescent="0.3">
      <c r="B176" s="3" t="str">
        <f>Table3[[#This Row],[Fiscal_Year]]*100+Table3[[#This Row],[Fiscal_Week]] &amp; "-" &amp;Table3[[#This Row],[Brand]]</f>
        <v>202346-Gap Factory Store</v>
      </c>
      <c r="C176" t="str">
        <f t="shared" si="2"/>
        <v>2023-Gap Factory Store</v>
      </c>
      <c r="D176">
        <v>2023</v>
      </c>
      <c r="E176">
        <v>46</v>
      </c>
      <c r="F176" t="s">
        <v>22</v>
      </c>
      <c r="G176">
        <v>615898</v>
      </c>
      <c r="H176" s="3">
        <f>INDEX(Demand_Modeling!$A$13:$I$49,MATCH(Table3[[#This Row],[Key]],Demand_Modeling!$A$13:$A$49,0),MATCH(Table3[[#Headers],[OFC]],Demand_Modeling!$A$13:$I$13,0))</f>
        <v>1</v>
      </c>
      <c r="I176" s="3">
        <f>INDEX(Demand_Modeling!$A$13:$I$49,MATCH(Table3[[#This Row],[Key]],Demand_Modeling!$A$13:$A$49,0),MATCH(Table3[[#Headers],[TFC]],Demand_Modeling!$A$13:$I$13,0))</f>
        <v>0</v>
      </c>
      <c r="J176" s="3">
        <f>INDEX(Demand_Modeling!$A$13:$I$49,MATCH(Table3[[#This Row],[Key]],Demand_Modeling!$A$13:$A$49,0),MATCH(Table3[[#Headers],[WFC]],Demand_Modeling!$A$13:$I$13,0))</f>
        <v>0</v>
      </c>
      <c r="K176" s="3">
        <f>INDEX(Demand_Modeling!$A$13:$I$49,MATCH(Table3[[#This Row],[Key]],Demand_Modeling!$A$13:$A$49,0),MATCH(Table3[[#Headers],[EAO]],Demand_Modeling!$A$13:$I$13,0))</f>
        <v>0</v>
      </c>
      <c r="L176" s="3">
        <f>INDEX(Demand_Modeling!$A$13:$I$49,MATCH(Table3[[#This Row],[Key]],Demand_Modeling!$A$13:$A$49,0),MATCH(Table3[[#Headers],[OCC]],Demand_Modeling!$A$13:$I$13,0))</f>
        <v>0</v>
      </c>
      <c r="M176" s="3">
        <f>INDEX(Demand_Modeling!$A$13:$I$49,MATCH(Table3[[#This Row],[Key]],Demand_Modeling!$A$13:$A$49,0),MATCH(Table3[[#Headers],[WEO]],Demand_Modeling!$A$13:$I$13,0))</f>
        <v>0</v>
      </c>
      <c r="N176" s="19">
        <f>SUM(Table3[[#This Row],[OFC]:[WEO]])</f>
        <v>1</v>
      </c>
      <c r="O176" s="19"/>
      <c r="Q176" s="3" t="str">
        <f>Table35[[#This Row],[Fiscal_Year]]*100+Table35[[#This Row],[Fiscal_Week]] &amp; "-" &amp;Table35[[#This Row],[Brand]]</f>
        <v>202346-Gap Factory Store</v>
      </c>
      <c r="R176" t="str">
        <f>Table3[[#This Row],[Key]]</f>
        <v>2023-Gap Factory Store</v>
      </c>
      <c r="S176">
        <f>Table3[[#This Row],[Fiscal_Year]]</f>
        <v>2023</v>
      </c>
      <c r="T176">
        <f>Table3[[#This Row],[Fiscal_Week]]</f>
        <v>46</v>
      </c>
      <c r="U176" t="str">
        <f>Table3[[#This Row],[Brand]]</f>
        <v>Gap Factory Store</v>
      </c>
      <c r="V176">
        <f>Table3[[#This Row],[Demand]]</f>
        <v>615898</v>
      </c>
      <c r="W176">
        <f>Table3[[#This Row],[OFC]]*Table3[[#This Row],[Demand]]</f>
        <v>615898</v>
      </c>
      <c r="X176">
        <f>Table3[[#This Row],[TFC]]*Table3[[#This Row],[Demand]]</f>
        <v>0</v>
      </c>
      <c r="Y176">
        <f>Table3[[#This Row],[WFC]]*Table3[[#This Row],[Demand]]</f>
        <v>0</v>
      </c>
      <c r="Z176">
        <f>Table3[[#This Row],[EAO]]*Table3[[#This Row],[Demand]]</f>
        <v>0</v>
      </c>
      <c r="AA176">
        <f>Table3[[#This Row],[OCC]]*Table3[[#This Row],[Demand]]</f>
        <v>0</v>
      </c>
      <c r="AB176">
        <f>Table3[[#This Row],[WEO]]*Table3[[#This Row],[Demand]]</f>
        <v>0</v>
      </c>
      <c r="AC176" s="19">
        <f>SUM(Table35[[#This Row],[OFC]:[WEO]])</f>
        <v>615898</v>
      </c>
      <c r="AD176" s="19">
        <f>Table35[[#This Row],[Demand]]-Table35[[#This Row],[Total_Modeled_Demand]]</f>
        <v>0</v>
      </c>
    </row>
    <row r="177" spans="2:30" x14ac:dyDescent="0.3">
      <c r="B177" s="3" t="str">
        <f>Table3[[#This Row],[Fiscal_Year]]*100+Table3[[#This Row],[Fiscal_Week]] &amp; "-" &amp;Table3[[#This Row],[Brand]]</f>
        <v>202346-Old Navy</v>
      </c>
      <c r="C177" t="str">
        <f t="shared" si="2"/>
        <v>2023-Old Navy</v>
      </c>
      <c r="D177">
        <v>2023</v>
      </c>
      <c r="E177">
        <v>46</v>
      </c>
      <c r="F177" t="s">
        <v>20</v>
      </c>
      <c r="G177">
        <v>5624230</v>
      </c>
      <c r="H177" s="3">
        <f>INDEX(Demand_Modeling!$A$13:$I$49,MATCH(Table3[[#This Row],[Key]],Demand_Modeling!$A$13:$A$49,0),MATCH(Table3[[#Headers],[OFC]],Demand_Modeling!$A$13:$I$13,0))</f>
        <v>0</v>
      </c>
      <c r="I177" s="3">
        <f>INDEX(Demand_Modeling!$A$13:$I$49,MATCH(Table3[[#This Row],[Key]],Demand_Modeling!$A$13:$A$49,0),MATCH(Table3[[#Headers],[TFC]],Demand_Modeling!$A$13:$I$13,0))</f>
        <v>0</v>
      </c>
      <c r="J177" s="3">
        <f>INDEX(Demand_Modeling!$A$13:$I$49,MATCH(Table3[[#This Row],[Key]],Demand_Modeling!$A$13:$A$49,0),MATCH(Table3[[#Headers],[WFC]],Demand_Modeling!$A$13:$I$13,0))</f>
        <v>0</v>
      </c>
      <c r="K177" s="3">
        <f>INDEX(Demand_Modeling!$A$13:$I$49,MATCH(Table3[[#This Row],[Key]],Demand_Modeling!$A$13:$A$49,0),MATCH(Table3[[#Headers],[EAO]],Demand_Modeling!$A$13:$I$13,0))</f>
        <v>0.21</v>
      </c>
      <c r="L177" s="3">
        <f>INDEX(Demand_Modeling!$A$13:$I$49,MATCH(Table3[[#This Row],[Key]],Demand_Modeling!$A$13:$A$49,0),MATCH(Table3[[#Headers],[OCC]],Demand_Modeling!$A$13:$I$13,0))</f>
        <v>0.71</v>
      </c>
      <c r="M177" s="3">
        <f>INDEX(Demand_Modeling!$A$13:$I$49,MATCH(Table3[[#This Row],[Key]],Demand_Modeling!$A$13:$A$49,0),MATCH(Table3[[#Headers],[WEO]],Demand_Modeling!$A$13:$I$13,0))</f>
        <v>0.08</v>
      </c>
      <c r="N177" s="19">
        <f>SUM(Table3[[#This Row],[OFC]:[WEO]])</f>
        <v>0.99999999999999989</v>
      </c>
      <c r="O177" s="19"/>
      <c r="Q177" s="3" t="str">
        <f>Table35[[#This Row],[Fiscal_Year]]*100+Table35[[#This Row],[Fiscal_Week]] &amp; "-" &amp;Table35[[#This Row],[Brand]]</f>
        <v>202346-Old Navy</v>
      </c>
      <c r="R177" t="str">
        <f>Table3[[#This Row],[Key]]</f>
        <v>2023-Old Navy</v>
      </c>
      <c r="S177">
        <f>Table3[[#This Row],[Fiscal_Year]]</f>
        <v>2023</v>
      </c>
      <c r="T177">
        <f>Table3[[#This Row],[Fiscal_Week]]</f>
        <v>46</v>
      </c>
      <c r="U177" t="str">
        <f>Table3[[#This Row],[Brand]]</f>
        <v>Old Navy</v>
      </c>
      <c r="V177">
        <f>Table3[[#This Row],[Demand]]</f>
        <v>5624230</v>
      </c>
      <c r="W177">
        <f>Table3[[#This Row],[OFC]]*Table3[[#This Row],[Demand]]</f>
        <v>0</v>
      </c>
      <c r="X177">
        <f>Table3[[#This Row],[TFC]]*Table3[[#This Row],[Demand]]</f>
        <v>0</v>
      </c>
      <c r="Y177">
        <f>Table3[[#This Row],[WFC]]*Table3[[#This Row],[Demand]]</f>
        <v>0</v>
      </c>
      <c r="Z177">
        <f>Table3[[#This Row],[EAO]]*Table3[[#This Row],[Demand]]</f>
        <v>1181088.3</v>
      </c>
      <c r="AA177">
        <f>Table3[[#This Row],[OCC]]*Table3[[#This Row],[Demand]]</f>
        <v>3993203.3</v>
      </c>
      <c r="AB177">
        <f>Table3[[#This Row],[WEO]]*Table3[[#This Row],[Demand]]</f>
        <v>449938.4</v>
      </c>
      <c r="AC177" s="19">
        <f>SUM(Table35[[#This Row],[OFC]:[WEO]])</f>
        <v>5624230</v>
      </c>
      <c r="AD177" s="19">
        <f>Table35[[#This Row],[Demand]]-Table35[[#This Row],[Total_Modeled_Demand]]</f>
        <v>0</v>
      </c>
    </row>
    <row r="178" spans="2:30" x14ac:dyDescent="0.3">
      <c r="B178" s="3" t="str">
        <f>Table3[[#This Row],[Fiscal_Year]]*100+Table3[[#This Row],[Fiscal_Week]] &amp; "-" &amp;Table3[[#This Row],[Brand]]</f>
        <v>202347-Athleta</v>
      </c>
      <c r="C178" t="str">
        <f t="shared" si="2"/>
        <v>2023-Athleta</v>
      </c>
      <c r="D178">
        <v>2023</v>
      </c>
      <c r="E178">
        <v>47</v>
      </c>
      <c r="F178" t="s">
        <v>19</v>
      </c>
      <c r="G178">
        <v>549818</v>
      </c>
      <c r="H178" s="3">
        <f>INDEX(Demand_Modeling!$A$13:$I$49,MATCH(Table3[[#This Row],[Key]],Demand_Modeling!$A$13:$A$49,0),MATCH(Table3[[#Headers],[OFC]],Demand_Modeling!$A$13:$I$13,0))</f>
        <v>0</v>
      </c>
      <c r="I178" s="3">
        <f>INDEX(Demand_Modeling!$A$13:$I$49,MATCH(Table3[[#This Row],[Key]],Demand_Modeling!$A$13:$A$49,0),MATCH(Table3[[#Headers],[TFC]],Demand_Modeling!$A$13:$I$13,0))</f>
        <v>1</v>
      </c>
      <c r="J178" s="3">
        <f>INDEX(Demand_Modeling!$A$13:$I$49,MATCH(Table3[[#This Row],[Key]],Demand_Modeling!$A$13:$A$49,0),MATCH(Table3[[#Headers],[WFC]],Demand_Modeling!$A$13:$I$13,0))</f>
        <v>0</v>
      </c>
      <c r="K178" s="3">
        <f>INDEX(Demand_Modeling!$A$13:$I$49,MATCH(Table3[[#This Row],[Key]],Demand_Modeling!$A$13:$A$49,0),MATCH(Table3[[#Headers],[EAO]],Demand_Modeling!$A$13:$I$13,0))</f>
        <v>3.447122356821831E-5</v>
      </c>
      <c r="L178" s="3">
        <f>INDEX(Demand_Modeling!$A$13:$I$49,MATCH(Table3[[#This Row],[Key]],Demand_Modeling!$A$13:$A$49,0),MATCH(Table3[[#Headers],[OCC]],Demand_Modeling!$A$13:$I$13,0))</f>
        <v>0</v>
      </c>
      <c r="M178" s="3">
        <f>INDEX(Demand_Modeling!$A$13:$I$49,MATCH(Table3[[#This Row],[Key]],Demand_Modeling!$A$13:$A$49,0),MATCH(Table3[[#Headers],[WEO]],Demand_Modeling!$A$13:$I$13,0))</f>
        <v>0</v>
      </c>
      <c r="N178" s="19">
        <f>SUM(Table3[[#This Row],[OFC]:[WEO]])</f>
        <v>1.0000344712235683</v>
      </c>
      <c r="O178" s="19"/>
      <c r="Q178" s="3" t="str">
        <f>Table35[[#This Row],[Fiscal_Year]]*100+Table35[[#This Row],[Fiscal_Week]] &amp; "-" &amp;Table35[[#This Row],[Brand]]</f>
        <v>202347-Athleta</v>
      </c>
      <c r="R178" t="str">
        <f>Table3[[#This Row],[Key]]</f>
        <v>2023-Athleta</v>
      </c>
      <c r="S178">
        <f>Table3[[#This Row],[Fiscal_Year]]</f>
        <v>2023</v>
      </c>
      <c r="T178">
        <f>Table3[[#This Row],[Fiscal_Week]]</f>
        <v>47</v>
      </c>
      <c r="U178" t="str">
        <f>Table3[[#This Row],[Brand]]</f>
        <v>Athleta</v>
      </c>
      <c r="V178">
        <f>Table3[[#This Row],[Demand]]</f>
        <v>549818</v>
      </c>
      <c r="W178">
        <f>Table3[[#This Row],[OFC]]*Table3[[#This Row],[Demand]]</f>
        <v>0</v>
      </c>
      <c r="X178">
        <f>Table3[[#This Row],[TFC]]*Table3[[#This Row],[Demand]]</f>
        <v>549818</v>
      </c>
      <c r="Y178">
        <f>Table3[[#This Row],[WFC]]*Table3[[#This Row],[Demand]]</f>
        <v>0</v>
      </c>
      <c r="Z178">
        <f>Table3[[#This Row],[EAO]]*Table3[[#This Row],[Demand]]</f>
        <v>18.952899199830654</v>
      </c>
      <c r="AA178">
        <f>Table3[[#This Row],[OCC]]*Table3[[#This Row],[Demand]]</f>
        <v>0</v>
      </c>
      <c r="AB178">
        <f>Table3[[#This Row],[WEO]]*Table3[[#This Row],[Demand]]</f>
        <v>0</v>
      </c>
      <c r="AC178" s="19">
        <f>SUM(Table35[[#This Row],[OFC]:[WEO]])</f>
        <v>549836.95289919979</v>
      </c>
      <c r="AD178" s="19">
        <f>Table35[[#This Row],[Demand]]-Table35[[#This Row],[Total_Modeled_Demand]]</f>
        <v>-18.952899199794047</v>
      </c>
    </row>
    <row r="179" spans="2:30" x14ac:dyDescent="0.3">
      <c r="B179" s="3" t="str">
        <f>Table3[[#This Row],[Fiscal_Year]]*100+Table3[[#This Row],[Fiscal_Week]] &amp; "-" &amp;Table3[[#This Row],[Brand]]</f>
        <v>202347-Banana Republic</v>
      </c>
      <c r="C179" t="str">
        <f t="shared" si="2"/>
        <v>2023-Banana Republic</v>
      </c>
      <c r="D179">
        <v>2023</v>
      </c>
      <c r="E179">
        <v>47</v>
      </c>
      <c r="F179" t="s">
        <v>18</v>
      </c>
      <c r="G179">
        <v>513487</v>
      </c>
      <c r="H179" s="3">
        <f>INDEX(Demand_Modeling!$A$13:$I$49,MATCH(Table3[[#This Row],[Key]],Demand_Modeling!$A$13:$A$49,0),MATCH(Table3[[#Headers],[OFC]],Demand_Modeling!$A$13:$I$13,0))</f>
        <v>0</v>
      </c>
      <c r="I179" s="3">
        <f>INDEX(Demand_Modeling!$A$13:$I$49,MATCH(Table3[[#This Row],[Key]],Demand_Modeling!$A$13:$A$49,0),MATCH(Table3[[#Headers],[TFC]],Demand_Modeling!$A$13:$I$13,0))</f>
        <v>1</v>
      </c>
      <c r="J179" s="3">
        <f>INDEX(Demand_Modeling!$A$13:$I$49,MATCH(Table3[[#This Row],[Key]],Demand_Modeling!$A$13:$A$49,0),MATCH(Table3[[#Headers],[WFC]],Demand_Modeling!$A$13:$I$13,0))</f>
        <v>3.4959629396853166E-6</v>
      </c>
      <c r="K179" s="3">
        <f>INDEX(Demand_Modeling!$A$13:$I$49,MATCH(Table3[[#This Row],[Key]],Demand_Modeling!$A$13:$A$49,0),MATCH(Table3[[#Headers],[EAO]],Demand_Modeling!$A$13:$I$13,0))</f>
        <v>4.2339995602855504E-5</v>
      </c>
      <c r="L179" s="3">
        <f>INDEX(Demand_Modeling!$A$13:$I$49,MATCH(Table3[[#This Row],[Key]],Demand_Modeling!$A$13:$A$49,0),MATCH(Table3[[#Headers],[OCC]],Demand_Modeling!$A$13:$I$13,0))</f>
        <v>0</v>
      </c>
      <c r="M179" s="3">
        <f>INDEX(Demand_Modeling!$A$13:$I$49,MATCH(Table3[[#This Row],[Key]],Demand_Modeling!$A$13:$A$49,0),MATCH(Table3[[#Headers],[WEO]],Demand_Modeling!$A$13:$I$13,0))</f>
        <v>0</v>
      </c>
      <c r="N179" s="19">
        <f>SUM(Table3[[#This Row],[OFC]:[WEO]])</f>
        <v>1.0000458359585425</v>
      </c>
      <c r="O179" s="19"/>
      <c r="Q179" s="3" t="str">
        <f>Table35[[#This Row],[Fiscal_Year]]*100+Table35[[#This Row],[Fiscal_Week]] &amp; "-" &amp;Table35[[#This Row],[Brand]]</f>
        <v>202347-Banana Republic</v>
      </c>
      <c r="R179" t="str">
        <f>Table3[[#This Row],[Key]]</f>
        <v>2023-Banana Republic</v>
      </c>
      <c r="S179">
        <f>Table3[[#This Row],[Fiscal_Year]]</f>
        <v>2023</v>
      </c>
      <c r="T179">
        <f>Table3[[#This Row],[Fiscal_Week]]</f>
        <v>47</v>
      </c>
      <c r="U179" t="str">
        <f>Table3[[#This Row],[Brand]]</f>
        <v>Banana Republic</v>
      </c>
      <c r="V179">
        <f>Table3[[#This Row],[Demand]]</f>
        <v>513487</v>
      </c>
      <c r="W179">
        <f>Table3[[#This Row],[OFC]]*Table3[[#This Row],[Demand]]</f>
        <v>0</v>
      </c>
      <c r="X179">
        <f>Table3[[#This Row],[TFC]]*Table3[[#This Row],[Demand]]</f>
        <v>513487</v>
      </c>
      <c r="Y179">
        <f>Table3[[#This Row],[WFC]]*Table3[[#This Row],[Demand]]</f>
        <v>1.7951315220101942</v>
      </c>
      <c r="Z179">
        <f>Table3[[#This Row],[EAO]]*Table3[[#This Row],[Demand]]</f>
        <v>21.741037322123464</v>
      </c>
      <c r="AA179">
        <f>Table3[[#This Row],[OCC]]*Table3[[#This Row],[Demand]]</f>
        <v>0</v>
      </c>
      <c r="AB179">
        <f>Table3[[#This Row],[WEO]]*Table3[[#This Row],[Demand]]</f>
        <v>0</v>
      </c>
      <c r="AC179" s="19">
        <f>SUM(Table35[[#This Row],[OFC]:[WEO]])</f>
        <v>513510.53616884415</v>
      </c>
      <c r="AD179" s="19">
        <f>Table35[[#This Row],[Demand]]-Table35[[#This Row],[Total_Modeled_Demand]]</f>
        <v>-23.536168844148051</v>
      </c>
    </row>
    <row r="180" spans="2:30" x14ac:dyDescent="0.3">
      <c r="B180" s="3" t="str">
        <f>Table3[[#This Row],[Fiscal_Year]]*100+Table3[[#This Row],[Fiscal_Week]] &amp; "-" &amp;Table3[[#This Row],[Brand]]</f>
        <v>202347-BR Factory Store</v>
      </c>
      <c r="C180" t="str">
        <f t="shared" si="2"/>
        <v>2023-BR Factory Store</v>
      </c>
      <c r="D180">
        <v>2023</v>
      </c>
      <c r="E180">
        <v>47</v>
      </c>
      <c r="F180" t="s">
        <v>17</v>
      </c>
      <c r="G180">
        <v>286013</v>
      </c>
      <c r="H180" s="3">
        <f>INDEX(Demand_Modeling!$A$13:$I$49,MATCH(Table3[[#This Row],[Key]],Demand_Modeling!$A$13:$A$49,0),MATCH(Table3[[#Headers],[OFC]],Demand_Modeling!$A$13:$I$13,0))</f>
        <v>1</v>
      </c>
      <c r="I180" s="3">
        <f>INDEX(Demand_Modeling!$A$13:$I$49,MATCH(Table3[[#This Row],[Key]],Demand_Modeling!$A$13:$A$49,0),MATCH(Table3[[#Headers],[TFC]],Demand_Modeling!$A$13:$I$13,0))</f>
        <v>0</v>
      </c>
      <c r="J180" s="3">
        <f>INDEX(Demand_Modeling!$A$13:$I$49,MATCH(Table3[[#This Row],[Key]],Demand_Modeling!$A$13:$A$49,0),MATCH(Table3[[#Headers],[WFC]],Demand_Modeling!$A$13:$I$13,0))</f>
        <v>0</v>
      </c>
      <c r="K180" s="3">
        <f>INDEX(Demand_Modeling!$A$13:$I$49,MATCH(Table3[[#This Row],[Key]],Demand_Modeling!$A$13:$A$49,0),MATCH(Table3[[#Headers],[EAO]],Demand_Modeling!$A$13:$I$13,0))</f>
        <v>0</v>
      </c>
      <c r="L180" s="3">
        <f>INDEX(Demand_Modeling!$A$13:$I$49,MATCH(Table3[[#This Row],[Key]],Demand_Modeling!$A$13:$A$49,0),MATCH(Table3[[#Headers],[OCC]],Demand_Modeling!$A$13:$I$13,0))</f>
        <v>0</v>
      </c>
      <c r="M180" s="3">
        <f>INDEX(Demand_Modeling!$A$13:$I$49,MATCH(Table3[[#This Row],[Key]],Demand_Modeling!$A$13:$A$49,0),MATCH(Table3[[#Headers],[WEO]],Demand_Modeling!$A$13:$I$13,0))</f>
        <v>0</v>
      </c>
      <c r="N180" s="19">
        <f>SUM(Table3[[#This Row],[OFC]:[WEO]])</f>
        <v>1</v>
      </c>
      <c r="O180" s="19"/>
      <c r="Q180" s="3" t="str">
        <f>Table35[[#This Row],[Fiscal_Year]]*100+Table35[[#This Row],[Fiscal_Week]] &amp; "-" &amp;Table35[[#This Row],[Brand]]</f>
        <v>202347-BR Factory Store</v>
      </c>
      <c r="R180" t="str">
        <f>Table3[[#This Row],[Key]]</f>
        <v>2023-BR Factory Store</v>
      </c>
      <c r="S180">
        <f>Table3[[#This Row],[Fiscal_Year]]</f>
        <v>2023</v>
      </c>
      <c r="T180">
        <f>Table3[[#This Row],[Fiscal_Week]]</f>
        <v>47</v>
      </c>
      <c r="U180" t="str">
        <f>Table3[[#This Row],[Brand]]</f>
        <v>BR Factory Store</v>
      </c>
      <c r="V180">
        <f>Table3[[#This Row],[Demand]]</f>
        <v>286013</v>
      </c>
      <c r="W180">
        <f>Table3[[#This Row],[OFC]]*Table3[[#This Row],[Demand]]</f>
        <v>286013</v>
      </c>
      <c r="X180">
        <f>Table3[[#This Row],[TFC]]*Table3[[#This Row],[Demand]]</f>
        <v>0</v>
      </c>
      <c r="Y180">
        <f>Table3[[#This Row],[WFC]]*Table3[[#This Row],[Demand]]</f>
        <v>0</v>
      </c>
      <c r="Z180">
        <f>Table3[[#This Row],[EAO]]*Table3[[#This Row],[Demand]]</f>
        <v>0</v>
      </c>
      <c r="AA180">
        <f>Table3[[#This Row],[OCC]]*Table3[[#This Row],[Demand]]</f>
        <v>0</v>
      </c>
      <c r="AB180">
        <f>Table3[[#This Row],[WEO]]*Table3[[#This Row],[Demand]]</f>
        <v>0</v>
      </c>
      <c r="AC180" s="19">
        <f>SUM(Table35[[#This Row],[OFC]:[WEO]])</f>
        <v>286013</v>
      </c>
      <c r="AD180" s="19">
        <f>Table35[[#This Row],[Demand]]-Table35[[#This Row],[Total_Modeled_Demand]]</f>
        <v>0</v>
      </c>
    </row>
    <row r="181" spans="2:30" x14ac:dyDescent="0.3">
      <c r="B181" s="3" t="str">
        <f>Table3[[#This Row],[Fiscal_Year]]*100+Table3[[#This Row],[Fiscal_Week]] &amp; "-" &amp;Table3[[#This Row],[Brand]]</f>
        <v>202347-Gap</v>
      </c>
      <c r="C181" t="str">
        <f t="shared" si="2"/>
        <v>2023-Gap</v>
      </c>
      <c r="D181">
        <v>2023</v>
      </c>
      <c r="E181">
        <v>47</v>
      </c>
      <c r="F181" t="s">
        <v>16</v>
      </c>
      <c r="G181">
        <v>1797240</v>
      </c>
      <c r="H181" s="3">
        <f>INDEX(Demand_Modeling!$A$13:$I$49,MATCH(Table3[[#This Row],[Key]],Demand_Modeling!$A$13:$A$49,0),MATCH(Table3[[#Headers],[OFC]],Demand_Modeling!$A$13:$I$13,0))</f>
        <v>0</v>
      </c>
      <c r="I181" s="3">
        <f>INDEX(Demand_Modeling!$A$13:$I$49,MATCH(Table3[[#This Row],[Key]],Demand_Modeling!$A$13:$A$49,0),MATCH(Table3[[#Headers],[TFC]],Demand_Modeling!$A$13:$I$13,0))</f>
        <v>0.25</v>
      </c>
      <c r="J181" s="3">
        <f>INDEX(Demand_Modeling!$A$13:$I$49,MATCH(Table3[[#This Row],[Key]],Demand_Modeling!$A$13:$A$49,0),MATCH(Table3[[#Headers],[WFC]],Demand_Modeling!$A$13:$I$13,0))</f>
        <v>0</v>
      </c>
      <c r="K181" s="3">
        <f>INDEX(Demand_Modeling!$A$13:$I$49,MATCH(Table3[[#This Row],[Key]],Demand_Modeling!$A$13:$A$49,0),MATCH(Table3[[#Headers],[EAO]],Demand_Modeling!$A$13:$I$13,0))</f>
        <v>0</v>
      </c>
      <c r="L181" s="3">
        <f>INDEX(Demand_Modeling!$A$13:$I$49,MATCH(Table3[[#This Row],[Key]],Demand_Modeling!$A$13:$A$49,0),MATCH(Table3[[#Headers],[OCC]],Demand_Modeling!$A$13:$I$13,0))</f>
        <v>0.3</v>
      </c>
      <c r="M181" s="3">
        <f>INDEX(Demand_Modeling!$A$13:$I$49,MATCH(Table3[[#This Row],[Key]],Demand_Modeling!$A$13:$A$49,0),MATCH(Table3[[#Headers],[WEO]],Demand_Modeling!$A$13:$I$13,0))</f>
        <v>0.45</v>
      </c>
      <c r="N181" s="19">
        <f>SUM(Table3[[#This Row],[OFC]:[WEO]])</f>
        <v>1</v>
      </c>
      <c r="O181" s="19"/>
      <c r="Q181" s="3" t="str">
        <f>Table35[[#This Row],[Fiscal_Year]]*100+Table35[[#This Row],[Fiscal_Week]] &amp; "-" &amp;Table35[[#This Row],[Brand]]</f>
        <v>202347-Gap</v>
      </c>
      <c r="R181" t="str">
        <f>Table3[[#This Row],[Key]]</f>
        <v>2023-Gap</v>
      </c>
      <c r="S181">
        <f>Table3[[#This Row],[Fiscal_Year]]</f>
        <v>2023</v>
      </c>
      <c r="T181">
        <f>Table3[[#This Row],[Fiscal_Week]]</f>
        <v>47</v>
      </c>
      <c r="U181" t="str">
        <f>Table3[[#This Row],[Brand]]</f>
        <v>Gap</v>
      </c>
      <c r="V181">
        <f>Table3[[#This Row],[Demand]]</f>
        <v>1797240</v>
      </c>
      <c r="W181">
        <f>Table3[[#This Row],[OFC]]*Table3[[#This Row],[Demand]]</f>
        <v>0</v>
      </c>
      <c r="X181">
        <f>Table3[[#This Row],[TFC]]*Table3[[#This Row],[Demand]]</f>
        <v>449310</v>
      </c>
      <c r="Y181">
        <f>Table3[[#This Row],[WFC]]*Table3[[#This Row],[Demand]]</f>
        <v>0</v>
      </c>
      <c r="Z181">
        <f>Table3[[#This Row],[EAO]]*Table3[[#This Row],[Demand]]</f>
        <v>0</v>
      </c>
      <c r="AA181">
        <f>Table3[[#This Row],[OCC]]*Table3[[#This Row],[Demand]]</f>
        <v>539172</v>
      </c>
      <c r="AB181">
        <f>Table3[[#This Row],[WEO]]*Table3[[#This Row],[Demand]]</f>
        <v>808758</v>
      </c>
      <c r="AC181" s="19">
        <f>SUM(Table35[[#This Row],[OFC]:[WEO]])</f>
        <v>1797240</v>
      </c>
      <c r="AD181" s="19">
        <f>Table35[[#This Row],[Demand]]-Table35[[#This Row],[Total_Modeled_Demand]]</f>
        <v>0</v>
      </c>
    </row>
    <row r="182" spans="2:30" x14ac:dyDescent="0.3">
      <c r="B182" s="3" t="str">
        <f>Table3[[#This Row],[Fiscal_Year]]*100+Table3[[#This Row],[Fiscal_Week]] &amp; "-" &amp;Table3[[#This Row],[Brand]]</f>
        <v>202347-Gap Factory Store</v>
      </c>
      <c r="C182" t="str">
        <f t="shared" si="2"/>
        <v>2023-Gap Factory Store</v>
      </c>
      <c r="D182">
        <v>2023</v>
      </c>
      <c r="E182">
        <v>47</v>
      </c>
      <c r="F182" t="s">
        <v>22</v>
      </c>
      <c r="G182">
        <v>719328</v>
      </c>
      <c r="H182" s="3">
        <f>INDEX(Demand_Modeling!$A$13:$I$49,MATCH(Table3[[#This Row],[Key]],Demand_Modeling!$A$13:$A$49,0),MATCH(Table3[[#Headers],[OFC]],Demand_Modeling!$A$13:$I$13,0))</f>
        <v>1</v>
      </c>
      <c r="I182" s="3">
        <f>INDEX(Demand_Modeling!$A$13:$I$49,MATCH(Table3[[#This Row],[Key]],Demand_Modeling!$A$13:$A$49,0),MATCH(Table3[[#Headers],[TFC]],Demand_Modeling!$A$13:$I$13,0))</f>
        <v>0</v>
      </c>
      <c r="J182" s="3">
        <f>INDEX(Demand_Modeling!$A$13:$I$49,MATCH(Table3[[#This Row],[Key]],Demand_Modeling!$A$13:$A$49,0),MATCH(Table3[[#Headers],[WFC]],Demand_Modeling!$A$13:$I$13,0))</f>
        <v>0</v>
      </c>
      <c r="K182" s="3">
        <f>INDEX(Demand_Modeling!$A$13:$I$49,MATCH(Table3[[#This Row],[Key]],Demand_Modeling!$A$13:$A$49,0),MATCH(Table3[[#Headers],[EAO]],Demand_Modeling!$A$13:$I$13,0))</f>
        <v>0</v>
      </c>
      <c r="L182" s="3">
        <f>INDEX(Demand_Modeling!$A$13:$I$49,MATCH(Table3[[#This Row],[Key]],Demand_Modeling!$A$13:$A$49,0),MATCH(Table3[[#Headers],[OCC]],Demand_Modeling!$A$13:$I$13,0))</f>
        <v>0</v>
      </c>
      <c r="M182" s="3">
        <f>INDEX(Demand_Modeling!$A$13:$I$49,MATCH(Table3[[#This Row],[Key]],Demand_Modeling!$A$13:$A$49,0),MATCH(Table3[[#Headers],[WEO]],Demand_Modeling!$A$13:$I$13,0))</f>
        <v>0</v>
      </c>
      <c r="N182" s="19">
        <f>SUM(Table3[[#This Row],[OFC]:[WEO]])</f>
        <v>1</v>
      </c>
      <c r="O182" s="19"/>
      <c r="Q182" s="3" t="str">
        <f>Table35[[#This Row],[Fiscal_Year]]*100+Table35[[#This Row],[Fiscal_Week]] &amp; "-" &amp;Table35[[#This Row],[Brand]]</f>
        <v>202347-Gap Factory Store</v>
      </c>
      <c r="R182" t="str">
        <f>Table3[[#This Row],[Key]]</f>
        <v>2023-Gap Factory Store</v>
      </c>
      <c r="S182">
        <f>Table3[[#This Row],[Fiscal_Year]]</f>
        <v>2023</v>
      </c>
      <c r="T182">
        <f>Table3[[#This Row],[Fiscal_Week]]</f>
        <v>47</v>
      </c>
      <c r="U182" t="str">
        <f>Table3[[#This Row],[Brand]]</f>
        <v>Gap Factory Store</v>
      </c>
      <c r="V182">
        <f>Table3[[#This Row],[Demand]]</f>
        <v>719328</v>
      </c>
      <c r="W182">
        <f>Table3[[#This Row],[OFC]]*Table3[[#This Row],[Demand]]</f>
        <v>719328</v>
      </c>
      <c r="X182">
        <f>Table3[[#This Row],[TFC]]*Table3[[#This Row],[Demand]]</f>
        <v>0</v>
      </c>
      <c r="Y182">
        <f>Table3[[#This Row],[WFC]]*Table3[[#This Row],[Demand]]</f>
        <v>0</v>
      </c>
      <c r="Z182">
        <f>Table3[[#This Row],[EAO]]*Table3[[#This Row],[Demand]]</f>
        <v>0</v>
      </c>
      <c r="AA182">
        <f>Table3[[#This Row],[OCC]]*Table3[[#This Row],[Demand]]</f>
        <v>0</v>
      </c>
      <c r="AB182">
        <f>Table3[[#This Row],[WEO]]*Table3[[#This Row],[Demand]]</f>
        <v>0</v>
      </c>
      <c r="AC182" s="19">
        <f>SUM(Table35[[#This Row],[OFC]:[WEO]])</f>
        <v>719328</v>
      </c>
      <c r="AD182" s="19">
        <f>Table35[[#This Row],[Demand]]-Table35[[#This Row],[Total_Modeled_Demand]]</f>
        <v>0</v>
      </c>
    </row>
    <row r="183" spans="2:30" x14ac:dyDescent="0.3">
      <c r="B183" s="3" t="str">
        <f>Table3[[#This Row],[Fiscal_Year]]*100+Table3[[#This Row],[Fiscal_Week]] &amp; "-" &amp;Table3[[#This Row],[Brand]]</f>
        <v>202347-Old Navy</v>
      </c>
      <c r="C183" t="str">
        <f t="shared" si="2"/>
        <v>2023-Old Navy</v>
      </c>
      <c r="D183">
        <v>2023</v>
      </c>
      <c r="E183">
        <v>47</v>
      </c>
      <c r="F183" t="s">
        <v>20</v>
      </c>
      <c r="G183">
        <v>2984564</v>
      </c>
      <c r="H183" s="3">
        <f>INDEX(Demand_Modeling!$A$13:$I$49,MATCH(Table3[[#This Row],[Key]],Demand_Modeling!$A$13:$A$49,0),MATCH(Table3[[#Headers],[OFC]],Demand_Modeling!$A$13:$I$13,0))</f>
        <v>0</v>
      </c>
      <c r="I183" s="3">
        <f>INDEX(Demand_Modeling!$A$13:$I$49,MATCH(Table3[[#This Row],[Key]],Demand_Modeling!$A$13:$A$49,0),MATCH(Table3[[#Headers],[TFC]],Demand_Modeling!$A$13:$I$13,0))</f>
        <v>0</v>
      </c>
      <c r="J183" s="3">
        <f>INDEX(Demand_Modeling!$A$13:$I$49,MATCH(Table3[[#This Row],[Key]],Demand_Modeling!$A$13:$A$49,0),MATCH(Table3[[#Headers],[WFC]],Demand_Modeling!$A$13:$I$13,0))</f>
        <v>0</v>
      </c>
      <c r="K183" s="3">
        <f>INDEX(Demand_Modeling!$A$13:$I$49,MATCH(Table3[[#This Row],[Key]],Demand_Modeling!$A$13:$A$49,0),MATCH(Table3[[#Headers],[EAO]],Demand_Modeling!$A$13:$I$13,0))</f>
        <v>0.21</v>
      </c>
      <c r="L183" s="3">
        <f>INDEX(Demand_Modeling!$A$13:$I$49,MATCH(Table3[[#This Row],[Key]],Demand_Modeling!$A$13:$A$49,0),MATCH(Table3[[#Headers],[OCC]],Demand_Modeling!$A$13:$I$13,0))</f>
        <v>0.71</v>
      </c>
      <c r="M183" s="3">
        <f>INDEX(Demand_Modeling!$A$13:$I$49,MATCH(Table3[[#This Row],[Key]],Demand_Modeling!$A$13:$A$49,0),MATCH(Table3[[#Headers],[WEO]],Demand_Modeling!$A$13:$I$13,0))</f>
        <v>0.08</v>
      </c>
      <c r="N183" s="19">
        <f>SUM(Table3[[#This Row],[OFC]:[WEO]])</f>
        <v>0.99999999999999989</v>
      </c>
      <c r="O183" s="19"/>
      <c r="Q183" s="3" t="str">
        <f>Table35[[#This Row],[Fiscal_Year]]*100+Table35[[#This Row],[Fiscal_Week]] &amp; "-" &amp;Table35[[#This Row],[Brand]]</f>
        <v>202347-Old Navy</v>
      </c>
      <c r="R183" t="str">
        <f>Table3[[#This Row],[Key]]</f>
        <v>2023-Old Navy</v>
      </c>
      <c r="S183">
        <f>Table3[[#This Row],[Fiscal_Year]]</f>
        <v>2023</v>
      </c>
      <c r="T183">
        <f>Table3[[#This Row],[Fiscal_Week]]</f>
        <v>47</v>
      </c>
      <c r="U183" t="str">
        <f>Table3[[#This Row],[Brand]]</f>
        <v>Old Navy</v>
      </c>
      <c r="V183">
        <f>Table3[[#This Row],[Demand]]</f>
        <v>2984564</v>
      </c>
      <c r="W183">
        <f>Table3[[#This Row],[OFC]]*Table3[[#This Row],[Demand]]</f>
        <v>0</v>
      </c>
      <c r="X183">
        <f>Table3[[#This Row],[TFC]]*Table3[[#This Row],[Demand]]</f>
        <v>0</v>
      </c>
      <c r="Y183">
        <f>Table3[[#This Row],[WFC]]*Table3[[#This Row],[Demand]]</f>
        <v>0</v>
      </c>
      <c r="Z183">
        <f>Table3[[#This Row],[EAO]]*Table3[[#This Row],[Demand]]</f>
        <v>626758.43999999994</v>
      </c>
      <c r="AA183">
        <f>Table3[[#This Row],[OCC]]*Table3[[#This Row],[Demand]]</f>
        <v>2119040.44</v>
      </c>
      <c r="AB183">
        <f>Table3[[#This Row],[WEO]]*Table3[[#This Row],[Demand]]</f>
        <v>238765.12</v>
      </c>
      <c r="AC183" s="19">
        <f>SUM(Table35[[#This Row],[OFC]:[WEO]])</f>
        <v>2984564</v>
      </c>
      <c r="AD183" s="19">
        <f>Table35[[#This Row],[Demand]]-Table35[[#This Row],[Total_Modeled_Demand]]</f>
        <v>0</v>
      </c>
    </row>
    <row r="184" spans="2:30" x14ac:dyDescent="0.3">
      <c r="B184" s="3" t="str">
        <f>Table3[[#This Row],[Fiscal_Year]]*100+Table3[[#This Row],[Fiscal_Week]] &amp; "-" &amp;Table3[[#This Row],[Brand]]</f>
        <v>202348-Athleta</v>
      </c>
      <c r="C184" t="str">
        <f t="shared" si="2"/>
        <v>2023-Athleta</v>
      </c>
      <c r="D184">
        <v>2023</v>
      </c>
      <c r="E184">
        <v>48</v>
      </c>
      <c r="F184" t="s">
        <v>19</v>
      </c>
      <c r="G184">
        <v>817417</v>
      </c>
      <c r="H184" s="3">
        <f>INDEX(Demand_Modeling!$A$13:$I$49,MATCH(Table3[[#This Row],[Key]],Demand_Modeling!$A$13:$A$49,0),MATCH(Table3[[#Headers],[OFC]],Demand_Modeling!$A$13:$I$13,0))</f>
        <v>0</v>
      </c>
      <c r="I184" s="3">
        <f>INDEX(Demand_Modeling!$A$13:$I$49,MATCH(Table3[[#This Row],[Key]],Demand_Modeling!$A$13:$A$49,0),MATCH(Table3[[#Headers],[TFC]],Demand_Modeling!$A$13:$I$13,0))</f>
        <v>1</v>
      </c>
      <c r="J184" s="3">
        <f>INDEX(Demand_Modeling!$A$13:$I$49,MATCH(Table3[[#This Row],[Key]],Demand_Modeling!$A$13:$A$49,0),MATCH(Table3[[#Headers],[WFC]],Demand_Modeling!$A$13:$I$13,0))</f>
        <v>0</v>
      </c>
      <c r="K184" s="3">
        <f>INDEX(Demand_Modeling!$A$13:$I$49,MATCH(Table3[[#This Row],[Key]],Demand_Modeling!$A$13:$A$49,0),MATCH(Table3[[#Headers],[EAO]],Demand_Modeling!$A$13:$I$13,0))</f>
        <v>3.447122356821831E-5</v>
      </c>
      <c r="L184" s="3">
        <f>INDEX(Demand_Modeling!$A$13:$I$49,MATCH(Table3[[#This Row],[Key]],Demand_Modeling!$A$13:$A$49,0),MATCH(Table3[[#Headers],[OCC]],Demand_Modeling!$A$13:$I$13,0))</f>
        <v>0</v>
      </c>
      <c r="M184" s="3">
        <f>INDEX(Demand_Modeling!$A$13:$I$49,MATCH(Table3[[#This Row],[Key]],Demand_Modeling!$A$13:$A$49,0),MATCH(Table3[[#Headers],[WEO]],Demand_Modeling!$A$13:$I$13,0))</f>
        <v>0</v>
      </c>
      <c r="N184" s="19">
        <f>SUM(Table3[[#This Row],[OFC]:[WEO]])</f>
        <v>1.0000344712235683</v>
      </c>
      <c r="O184" s="19"/>
      <c r="Q184" s="3" t="str">
        <f>Table35[[#This Row],[Fiscal_Year]]*100+Table35[[#This Row],[Fiscal_Week]] &amp; "-" &amp;Table35[[#This Row],[Brand]]</f>
        <v>202348-Athleta</v>
      </c>
      <c r="R184" t="str">
        <f>Table3[[#This Row],[Key]]</f>
        <v>2023-Athleta</v>
      </c>
      <c r="S184">
        <f>Table3[[#This Row],[Fiscal_Year]]</f>
        <v>2023</v>
      </c>
      <c r="T184">
        <f>Table3[[#This Row],[Fiscal_Week]]</f>
        <v>48</v>
      </c>
      <c r="U184" t="str">
        <f>Table3[[#This Row],[Brand]]</f>
        <v>Athleta</v>
      </c>
      <c r="V184">
        <f>Table3[[#This Row],[Demand]]</f>
        <v>817417</v>
      </c>
      <c r="W184">
        <f>Table3[[#This Row],[OFC]]*Table3[[#This Row],[Demand]]</f>
        <v>0</v>
      </c>
      <c r="X184">
        <f>Table3[[#This Row],[TFC]]*Table3[[#This Row],[Demand]]</f>
        <v>817417</v>
      </c>
      <c r="Y184">
        <f>Table3[[#This Row],[WFC]]*Table3[[#This Row],[Demand]]</f>
        <v>0</v>
      </c>
      <c r="Z184">
        <f>Table3[[#This Row],[EAO]]*Table3[[#This Row],[Demand]]</f>
        <v>28.177364155462307</v>
      </c>
      <c r="AA184">
        <f>Table3[[#This Row],[OCC]]*Table3[[#This Row],[Demand]]</f>
        <v>0</v>
      </c>
      <c r="AB184">
        <f>Table3[[#This Row],[WEO]]*Table3[[#This Row],[Demand]]</f>
        <v>0</v>
      </c>
      <c r="AC184" s="19">
        <f>SUM(Table35[[#This Row],[OFC]:[WEO]])</f>
        <v>817445.17736415542</v>
      </c>
      <c r="AD184" s="19">
        <f>Table35[[#This Row],[Demand]]-Table35[[#This Row],[Total_Modeled_Demand]]</f>
        <v>-28.177364155417308</v>
      </c>
    </row>
    <row r="185" spans="2:30" x14ac:dyDescent="0.3">
      <c r="B185" s="3" t="str">
        <f>Table3[[#This Row],[Fiscal_Year]]*100+Table3[[#This Row],[Fiscal_Week]] &amp; "-" &amp;Table3[[#This Row],[Brand]]</f>
        <v>202348-Banana Republic</v>
      </c>
      <c r="C185" t="str">
        <f t="shared" si="2"/>
        <v>2023-Banana Republic</v>
      </c>
      <c r="D185">
        <v>2023</v>
      </c>
      <c r="E185">
        <v>48</v>
      </c>
      <c r="F185" t="s">
        <v>18</v>
      </c>
      <c r="G185">
        <v>546286</v>
      </c>
      <c r="H185" s="3">
        <f>INDEX(Demand_Modeling!$A$13:$I$49,MATCH(Table3[[#This Row],[Key]],Demand_Modeling!$A$13:$A$49,0),MATCH(Table3[[#Headers],[OFC]],Demand_Modeling!$A$13:$I$13,0))</f>
        <v>0</v>
      </c>
      <c r="I185" s="3">
        <f>INDEX(Demand_Modeling!$A$13:$I$49,MATCH(Table3[[#This Row],[Key]],Demand_Modeling!$A$13:$A$49,0),MATCH(Table3[[#Headers],[TFC]],Demand_Modeling!$A$13:$I$13,0))</f>
        <v>1</v>
      </c>
      <c r="J185" s="3">
        <f>INDEX(Demand_Modeling!$A$13:$I$49,MATCH(Table3[[#This Row],[Key]],Demand_Modeling!$A$13:$A$49,0),MATCH(Table3[[#Headers],[WFC]],Demand_Modeling!$A$13:$I$13,0))</f>
        <v>3.4959629396853166E-6</v>
      </c>
      <c r="K185" s="3">
        <f>INDEX(Demand_Modeling!$A$13:$I$49,MATCH(Table3[[#This Row],[Key]],Demand_Modeling!$A$13:$A$49,0),MATCH(Table3[[#Headers],[EAO]],Demand_Modeling!$A$13:$I$13,0))</f>
        <v>4.2339995602855504E-5</v>
      </c>
      <c r="L185" s="3">
        <f>INDEX(Demand_Modeling!$A$13:$I$49,MATCH(Table3[[#This Row],[Key]],Demand_Modeling!$A$13:$A$49,0),MATCH(Table3[[#Headers],[OCC]],Demand_Modeling!$A$13:$I$13,0))</f>
        <v>0</v>
      </c>
      <c r="M185" s="3">
        <f>INDEX(Demand_Modeling!$A$13:$I$49,MATCH(Table3[[#This Row],[Key]],Demand_Modeling!$A$13:$A$49,0),MATCH(Table3[[#Headers],[WEO]],Demand_Modeling!$A$13:$I$13,0))</f>
        <v>0</v>
      </c>
      <c r="N185" s="19">
        <f>SUM(Table3[[#This Row],[OFC]:[WEO]])</f>
        <v>1.0000458359585425</v>
      </c>
      <c r="O185" s="19"/>
      <c r="Q185" s="3" t="str">
        <f>Table35[[#This Row],[Fiscal_Year]]*100+Table35[[#This Row],[Fiscal_Week]] &amp; "-" &amp;Table35[[#This Row],[Brand]]</f>
        <v>202348-Banana Republic</v>
      </c>
      <c r="R185" t="str">
        <f>Table3[[#This Row],[Key]]</f>
        <v>2023-Banana Republic</v>
      </c>
      <c r="S185">
        <f>Table3[[#This Row],[Fiscal_Year]]</f>
        <v>2023</v>
      </c>
      <c r="T185">
        <f>Table3[[#This Row],[Fiscal_Week]]</f>
        <v>48</v>
      </c>
      <c r="U185" t="str">
        <f>Table3[[#This Row],[Brand]]</f>
        <v>Banana Republic</v>
      </c>
      <c r="V185">
        <f>Table3[[#This Row],[Demand]]</f>
        <v>546286</v>
      </c>
      <c r="W185">
        <f>Table3[[#This Row],[OFC]]*Table3[[#This Row],[Demand]]</f>
        <v>0</v>
      </c>
      <c r="X185">
        <f>Table3[[#This Row],[TFC]]*Table3[[#This Row],[Demand]]</f>
        <v>546286</v>
      </c>
      <c r="Y185">
        <f>Table3[[#This Row],[WFC]]*Table3[[#This Row],[Demand]]</f>
        <v>1.9097956104689329</v>
      </c>
      <c r="Z185">
        <f>Table3[[#This Row],[EAO]]*Table3[[#This Row],[Demand]]</f>
        <v>23.129746837901521</v>
      </c>
      <c r="AA185">
        <f>Table3[[#This Row],[OCC]]*Table3[[#This Row],[Demand]]</f>
        <v>0</v>
      </c>
      <c r="AB185">
        <f>Table3[[#This Row],[WEO]]*Table3[[#This Row],[Demand]]</f>
        <v>0</v>
      </c>
      <c r="AC185" s="19">
        <f>SUM(Table35[[#This Row],[OFC]:[WEO]])</f>
        <v>546311.03954244836</v>
      </c>
      <c r="AD185" s="19">
        <f>Table35[[#This Row],[Demand]]-Table35[[#This Row],[Total_Modeled_Demand]]</f>
        <v>-25.039542448357679</v>
      </c>
    </row>
    <row r="186" spans="2:30" x14ac:dyDescent="0.3">
      <c r="B186" s="3" t="str">
        <f>Table3[[#This Row],[Fiscal_Year]]*100+Table3[[#This Row],[Fiscal_Week]] &amp; "-" &amp;Table3[[#This Row],[Brand]]</f>
        <v>202348-BR Factory Store</v>
      </c>
      <c r="C186" t="str">
        <f t="shared" si="2"/>
        <v>2023-BR Factory Store</v>
      </c>
      <c r="D186">
        <v>2023</v>
      </c>
      <c r="E186">
        <v>48</v>
      </c>
      <c r="F186" t="s">
        <v>17</v>
      </c>
      <c r="G186">
        <v>324280</v>
      </c>
      <c r="H186" s="3">
        <f>INDEX(Demand_Modeling!$A$13:$I$49,MATCH(Table3[[#This Row],[Key]],Demand_Modeling!$A$13:$A$49,0),MATCH(Table3[[#Headers],[OFC]],Demand_Modeling!$A$13:$I$13,0))</f>
        <v>1</v>
      </c>
      <c r="I186" s="3">
        <f>INDEX(Demand_Modeling!$A$13:$I$49,MATCH(Table3[[#This Row],[Key]],Demand_Modeling!$A$13:$A$49,0),MATCH(Table3[[#Headers],[TFC]],Demand_Modeling!$A$13:$I$13,0))</f>
        <v>0</v>
      </c>
      <c r="J186" s="3">
        <f>INDEX(Demand_Modeling!$A$13:$I$49,MATCH(Table3[[#This Row],[Key]],Demand_Modeling!$A$13:$A$49,0),MATCH(Table3[[#Headers],[WFC]],Demand_Modeling!$A$13:$I$13,0))</f>
        <v>0</v>
      </c>
      <c r="K186" s="3">
        <f>INDEX(Demand_Modeling!$A$13:$I$49,MATCH(Table3[[#This Row],[Key]],Demand_Modeling!$A$13:$A$49,0),MATCH(Table3[[#Headers],[EAO]],Demand_Modeling!$A$13:$I$13,0))</f>
        <v>0</v>
      </c>
      <c r="L186" s="3">
        <f>INDEX(Demand_Modeling!$A$13:$I$49,MATCH(Table3[[#This Row],[Key]],Demand_Modeling!$A$13:$A$49,0),MATCH(Table3[[#Headers],[OCC]],Demand_Modeling!$A$13:$I$13,0))</f>
        <v>0</v>
      </c>
      <c r="M186" s="3">
        <f>INDEX(Demand_Modeling!$A$13:$I$49,MATCH(Table3[[#This Row],[Key]],Demand_Modeling!$A$13:$A$49,0),MATCH(Table3[[#Headers],[WEO]],Demand_Modeling!$A$13:$I$13,0))</f>
        <v>0</v>
      </c>
      <c r="N186" s="19">
        <f>SUM(Table3[[#This Row],[OFC]:[WEO]])</f>
        <v>1</v>
      </c>
      <c r="O186" s="19"/>
      <c r="Q186" s="3" t="str">
        <f>Table35[[#This Row],[Fiscal_Year]]*100+Table35[[#This Row],[Fiscal_Week]] &amp; "-" &amp;Table35[[#This Row],[Brand]]</f>
        <v>202348-BR Factory Store</v>
      </c>
      <c r="R186" t="str">
        <f>Table3[[#This Row],[Key]]</f>
        <v>2023-BR Factory Store</v>
      </c>
      <c r="S186">
        <f>Table3[[#This Row],[Fiscal_Year]]</f>
        <v>2023</v>
      </c>
      <c r="T186">
        <f>Table3[[#This Row],[Fiscal_Week]]</f>
        <v>48</v>
      </c>
      <c r="U186" t="str">
        <f>Table3[[#This Row],[Brand]]</f>
        <v>BR Factory Store</v>
      </c>
      <c r="V186">
        <f>Table3[[#This Row],[Demand]]</f>
        <v>324280</v>
      </c>
      <c r="W186">
        <f>Table3[[#This Row],[OFC]]*Table3[[#This Row],[Demand]]</f>
        <v>324280</v>
      </c>
      <c r="X186">
        <f>Table3[[#This Row],[TFC]]*Table3[[#This Row],[Demand]]</f>
        <v>0</v>
      </c>
      <c r="Y186">
        <f>Table3[[#This Row],[WFC]]*Table3[[#This Row],[Demand]]</f>
        <v>0</v>
      </c>
      <c r="Z186">
        <f>Table3[[#This Row],[EAO]]*Table3[[#This Row],[Demand]]</f>
        <v>0</v>
      </c>
      <c r="AA186">
        <f>Table3[[#This Row],[OCC]]*Table3[[#This Row],[Demand]]</f>
        <v>0</v>
      </c>
      <c r="AB186">
        <f>Table3[[#This Row],[WEO]]*Table3[[#This Row],[Demand]]</f>
        <v>0</v>
      </c>
      <c r="AC186" s="19">
        <f>SUM(Table35[[#This Row],[OFC]:[WEO]])</f>
        <v>324280</v>
      </c>
      <c r="AD186" s="19">
        <f>Table35[[#This Row],[Demand]]-Table35[[#This Row],[Total_Modeled_Demand]]</f>
        <v>0</v>
      </c>
    </row>
    <row r="187" spans="2:30" x14ac:dyDescent="0.3">
      <c r="B187" s="3" t="str">
        <f>Table3[[#This Row],[Fiscal_Year]]*100+Table3[[#This Row],[Fiscal_Week]] &amp; "-" &amp;Table3[[#This Row],[Brand]]</f>
        <v>202348-Gap</v>
      </c>
      <c r="C187" t="str">
        <f t="shared" si="2"/>
        <v>2023-Gap</v>
      </c>
      <c r="D187">
        <v>2023</v>
      </c>
      <c r="E187">
        <v>48</v>
      </c>
      <c r="F187" t="s">
        <v>16</v>
      </c>
      <c r="G187">
        <v>1657139</v>
      </c>
      <c r="H187" s="3">
        <f>INDEX(Demand_Modeling!$A$13:$I$49,MATCH(Table3[[#This Row],[Key]],Demand_Modeling!$A$13:$A$49,0),MATCH(Table3[[#Headers],[OFC]],Demand_Modeling!$A$13:$I$13,0))</f>
        <v>0</v>
      </c>
      <c r="I187" s="3">
        <f>INDEX(Demand_Modeling!$A$13:$I$49,MATCH(Table3[[#This Row],[Key]],Demand_Modeling!$A$13:$A$49,0),MATCH(Table3[[#Headers],[TFC]],Demand_Modeling!$A$13:$I$13,0))</f>
        <v>0.25</v>
      </c>
      <c r="J187" s="3">
        <f>INDEX(Demand_Modeling!$A$13:$I$49,MATCH(Table3[[#This Row],[Key]],Demand_Modeling!$A$13:$A$49,0),MATCH(Table3[[#Headers],[WFC]],Demand_Modeling!$A$13:$I$13,0))</f>
        <v>0</v>
      </c>
      <c r="K187" s="3">
        <f>INDEX(Demand_Modeling!$A$13:$I$49,MATCH(Table3[[#This Row],[Key]],Demand_Modeling!$A$13:$A$49,0),MATCH(Table3[[#Headers],[EAO]],Demand_Modeling!$A$13:$I$13,0))</f>
        <v>0</v>
      </c>
      <c r="L187" s="3">
        <f>INDEX(Demand_Modeling!$A$13:$I$49,MATCH(Table3[[#This Row],[Key]],Demand_Modeling!$A$13:$A$49,0),MATCH(Table3[[#Headers],[OCC]],Demand_Modeling!$A$13:$I$13,0))</f>
        <v>0.3</v>
      </c>
      <c r="M187" s="3">
        <f>INDEX(Demand_Modeling!$A$13:$I$49,MATCH(Table3[[#This Row],[Key]],Demand_Modeling!$A$13:$A$49,0),MATCH(Table3[[#Headers],[WEO]],Demand_Modeling!$A$13:$I$13,0))</f>
        <v>0.45</v>
      </c>
      <c r="N187" s="19">
        <f>SUM(Table3[[#This Row],[OFC]:[WEO]])</f>
        <v>1</v>
      </c>
      <c r="O187" s="19"/>
      <c r="Q187" s="3" t="str">
        <f>Table35[[#This Row],[Fiscal_Year]]*100+Table35[[#This Row],[Fiscal_Week]] &amp; "-" &amp;Table35[[#This Row],[Brand]]</f>
        <v>202348-Gap</v>
      </c>
      <c r="R187" t="str">
        <f>Table3[[#This Row],[Key]]</f>
        <v>2023-Gap</v>
      </c>
      <c r="S187">
        <f>Table3[[#This Row],[Fiscal_Year]]</f>
        <v>2023</v>
      </c>
      <c r="T187">
        <f>Table3[[#This Row],[Fiscal_Week]]</f>
        <v>48</v>
      </c>
      <c r="U187" t="str">
        <f>Table3[[#This Row],[Brand]]</f>
        <v>Gap</v>
      </c>
      <c r="V187">
        <f>Table3[[#This Row],[Demand]]</f>
        <v>1657139</v>
      </c>
      <c r="W187">
        <f>Table3[[#This Row],[OFC]]*Table3[[#This Row],[Demand]]</f>
        <v>0</v>
      </c>
      <c r="X187">
        <f>Table3[[#This Row],[TFC]]*Table3[[#This Row],[Demand]]</f>
        <v>414284.75</v>
      </c>
      <c r="Y187">
        <f>Table3[[#This Row],[WFC]]*Table3[[#This Row],[Demand]]</f>
        <v>0</v>
      </c>
      <c r="Z187">
        <f>Table3[[#This Row],[EAO]]*Table3[[#This Row],[Demand]]</f>
        <v>0</v>
      </c>
      <c r="AA187">
        <f>Table3[[#This Row],[OCC]]*Table3[[#This Row],[Demand]]</f>
        <v>497141.69999999995</v>
      </c>
      <c r="AB187">
        <f>Table3[[#This Row],[WEO]]*Table3[[#This Row],[Demand]]</f>
        <v>745712.55</v>
      </c>
      <c r="AC187" s="19">
        <f>SUM(Table35[[#This Row],[OFC]:[WEO]])</f>
        <v>1657139</v>
      </c>
      <c r="AD187" s="19">
        <f>Table35[[#This Row],[Demand]]-Table35[[#This Row],[Total_Modeled_Demand]]</f>
        <v>0</v>
      </c>
    </row>
    <row r="188" spans="2:30" x14ac:dyDescent="0.3">
      <c r="B188" s="3" t="str">
        <f>Table3[[#This Row],[Fiscal_Year]]*100+Table3[[#This Row],[Fiscal_Week]] &amp; "-" &amp;Table3[[#This Row],[Brand]]</f>
        <v>202348-Gap Factory Store</v>
      </c>
      <c r="C188" t="str">
        <f t="shared" si="2"/>
        <v>2023-Gap Factory Store</v>
      </c>
      <c r="D188">
        <v>2023</v>
      </c>
      <c r="E188">
        <v>48</v>
      </c>
      <c r="F188" t="s">
        <v>22</v>
      </c>
      <c r="G188">
        <v>388478</v>
      </c>
      <c r="H188" s="3">
        <f>INDEX(Demand_Modeling!$A$13:$I$49,MATCH(Table3[[#This Row],[Key]],Demand_Modeling!$A$13:$A$49,0),MATCH(Table3[[#Headers],[OFC]],Demand_Modeling!$A$13:$I$13,0))</f>
        <v>1</v>
      </c>
      <c r="I188" s="3">
        <f>INDEX(Demand_Modeling!$A$13:$I$49,MATCH(Table3[[#This Row],[Key]],Demand_Modeling!$A$13:$A$49,0),MATCH(Table3[[#Headers],[TFC]],Demand_Modeling!$A$13:$I$13,0))</f>
        <v>0</v>
      </c>
      <c r="J188" s="3">
        <f>INDEX(Demand_Modeling!$A$13:$I$49,MATCH(Table3[[#This Row],[Key]],Demand_Modeling!$A$13:$A$49,0),MATCH(Table3[[#Headers],[WFC]],Demand_Modeling!$A$13:$I$13,0))</f>
        <v>0</v>
      </c>
      <c r="K188" s="3">
        <f>INDEX(Demand_Modeling!$A$13:$I$49,MATCH(Table3[[#This Row],[Key]],Demand_Modeling!$A$13:$A$49,0),MATCH(Table3[[#Headers],[EAO]],Demand_Modeling!$A$13:$I$13,0))</f>
        <v>0</v>
      </c>
      <c r="L188" s="3">
        <f>INDEX(Demand_Modeling!$A$13:$I$49,MATCH(Table3[[#This Row],[Key]],Demand_Modeling!$A$13:$A$49,0),MATCH(Table3[[#Headers],[OCC]],Demand_Modeling!$A$13:$I$13,0))</f>
        <v>0</v>
      </c>
      <c r="M188" s="3">
        <f>INDEX(Demand_Modeling!$A$13:$I$49,MATCH(Table3[[#This Row],[Key]],Demand_Modeling!$A$13:$A$49,0),MATCH(Table3[[#Headers],[WEO]],Demand_Modeling!$A$13:$I$13,0))</f>
        <v>0</v>
      </c>
      <c r="N188" s="19">
        <f>SUM(Table3[[#This Row],[OFC]:[WEO]])</f>
        <v>1</v>
      </c>
      <c r="O188" s="19"/>
      <c r="Q188" s="3" t="str">
        <f>Table35[[#This Row],[Fiscal_Year]]*100+Table35[[#This Row],[Fiscal_Week]] &amp; "-" &amp;Table35[[#This Row],[Brand]]</f>
        <v>202348-Gap Factory Store</v>
      </c>
      <c r="R188" t="str">
        <f>Table3[[#This Row],[Key]]</f>
        <v>2023-Gap Factory Store</v>
      </c>
      <c r="S188">
        <f>Table3[[#This Row],[Fiscal_Year]]</f>
        <v>2023</v>
      </c>
      <c r="T188">
        <f>Table3[[#This Row],[Fiscal_Week]]</f>
        <v>48</v>
      </c>
      <c r="U188" t="str">
        <f>Table3[[#This Row],[Brand]]</f>
        <v>Gap Factory Store</v>
      </c>
      <c r="V188">
        <f>Table3[[#This Row],[Demand]]</f>
        <v>388478</v>
      </c>
      <c r="W188">
        <f>Table3[[#This Row],[OFC]]*Table3[[#This Row],[Demand]]</f>
        <v>388478</v>
      </c>
      <c r="X188">
        <f>Table3[[#This Row],[TFC]]*Table3[[#This Row],[Demand]]</f>
        <v>0</v>
      </c>
      <c r="Y188">
        <f>Table3[[#This Row],[WFC]]*Table3[[#This Row],[Demand]]</f>
        <v>0</v>
      </c>
      <c r="Z188">
        <f>Table3[[#This Row],[EAO]]*Table3[[#This Row],[Demand]]</f>
        <v>0</v>
      </c>
      <c r="AA188">
        <f>Table3[[#This Row],[OCC]]*Table3[[#This Row],[Demand]]</f>
        <v>0</v>
      </c>
      <c r="AB188">
        <f>Table3[[#This Row],[WEO]]*Table3[[#This Row],[Demand]]</f>
        <v>0</v>
      </c>
      <c r="AC188" s="19">
        <f>SUM(Table35[[#This Row],[OFC]:[WEO]])</f>
        <v>388478</v>
      </c>
      <c r="AD188" s="19">
        <f>Table35[[#This Row],[Demand]]-Table35[[#This Row],[Total_Modeled_Demand]]</f>
        <v>0</v>
      </c>
    </row>
    <row r="189" spans="2:30" x14ac:dyDescent="0.3">
      <c r="B189" s="3" t="str">
        <f>Table3[[#This Row],[Fiscal_Year]]*100+Table3[[#This Row],[Fiscal_Week]] &amp; "-" &amp;Table3[[#This Row],[Brand]]</f>
        <v>202348-Old Navy</v>
      </c>
      <c r="C189" t="str">
        <f t="shared" si="2"/>
        <v>2023-Old Navy</v>
      </c>
      <c r="D189">
        <v>2023</v>
      </c>
      <c r="E189">
        <v>48</v>
      </c>
      <c r="F189" t="s">
        <v>20</v>
      </c>
      <c r="G189">
        <v>3347384</v>
      </c>
      <c r="H189" s="3">
        <f>INDEX(Demand_Modeling!$A$13:$I$49,MATCH(Table3[[#This Row],[Key]],Demand_Modeling!$A$13:$A$49,0),MATCH(Table3[[#Headers],[OFC]],Demand_Modeling!$A$13:$I$13,0))</f>
        <v>0</v>
      </c>
      <c r="I189" s="3">
        <f>INDEX(Demand_Modeling!$A$13:$I$49,MATCH(Table3[[#This Row],[Key]],Demand_Modeling!$A$13:$A$49,0),MATCH(Table3[[#Headers],[TFC]],Demand_Modeling!$A$13:$I$13,0))</f>
        <v>0</v>
      </c>
      <c r="J189" s="3">
        <f>INDEX(Demand_Modeling!$A$13:$I$49,MATCH(Table3[[#This Row],[Key]],Demand_Modeling!$A$13:$A$49,0),MATCH(Table3[[#Headers],[WFC]],Demand_Modeling!$A$13:$I$13,0))</f>
        <v>0</v>
      </c>
      <c r="K189" s="3">
        <f>INDEX(Demand_Modeling!$A$13:$I$49,MATCH(Table3[[#This Row],[Key]],Demand_Modeling!$A$13:$A$49,0),MATCH(Table3[[#Headers],[EAO]],Demand_Modeling!$A$13:$I$13,0))</f>
        <v>0.21</v>
      </c>
      <c r="L189" s="3">
        <f>INDEX(Demand_Modeling!$A$13:$I$49,MATCH(Table3[[#This Row],[Key]],Demand_Modeling!$A$13:$A$49,0),MATCH(Table3[[#Headers],[OCC]],Demand_Modeling!$A$13:$I$13,0))</f>
        <v>0.71</v>
      </c>
      <c r="M189" s="3">
        <f>INDEX(Demand_Modeling!$A$13:$I$49,MATCH(Table3[[#This Row],[Key]],Demand_Modeling!$A$13:$A$49,0),MATCH(Table3[[#Headers],[WEO]],Demand_Modeling!$A$13:$I$13,0))</f>
        <v>0.08</v>
      </c>
      <c r="N189" s="19">
        <f>SUM(Table3[[#This Row],[OFC]:[WEO]])</f>
        <v>0.99999999999999989</v>
      </c>
      <c r="O189" s="19"/>
      <c r="Q189" s="3" t="str">
        <f>Table35[[#This Row],[Fiscal_Year]]*100+Table35[[#This Row],[Fiscal_Week]] &amp; "-" &amp;Table35[[#This Row],[Brand]]</f>
        <v>202348-Old Navy</v>
      </c>
      <c r="R189" t="str">
        <f>Table3[[#This Row],[Key]]</f>
        <v>2023-Old Navy</v>
      </c>
      <c r="S189">
        <f>Table3[[#This Row],[Fiscal_Year]]</f>
        <v>2023</v>
      </c>
      <c r="T189">
        <f>Table3[[#This Row],[Fiscal_Week]]</f>
        <v>48</v>
      </c>
      <c r="U189" t="str">
        <f>Table3[[#This Row],[Brand]]</f>
        <v>Old Navy</v>
      </c>
      <c r="V189">
        <f>Table3[[#This Row],[Demand]]</f>
        <v>3347384</v>
      </c>
      <c r="W189">
        <f>Table3[[#This Row],[OFC]]*Table3[[#This Row],[Demand]]</f>
        <v>0</v>
      </c>
      <c r="X189">
        <f>Table3[[#This Row],[TFC]]*Table3[[#This Row],[Demand]]</f>
        <v>0</v>
      </c>
      <c r="Y189">
        <f>Table3[[#This Row],[WFC]]*Table3[[#This Row],[Demand]]</f>
        <v>0</v>
      </c>
      <c r="Z189">
        <f>Table3[[#This Row],[EAO]]*Table3[[#This Row],[Demand]]</f>
        <v>702950.64</v>
      </c>
      <c r="AA189">
        <f>Table3[[#This Row],[OCC]]*Table3[[#This Row],[Demand]]</f>
        <v>2376642.6399999997</v>
      </c>
      <c r="AB189">
        <f>Table3[[#This Row],[WEO]]*Table3[[#This Row],[Demand]]</f>
        <v>267790.72000000003</v>
      </c>
      <c r="AC189" s="19">
        <f>SUM(Table35[[#This Row],[OFC]:[WEO]])</f>
        <v>3347384</v>
      </c>
      <c r="AD189" s="19">
        <f>Table35[[#This Row],[Demand]]-Table35[[#This Row],[Total_Modeled_Demand]]</f>
        <v>0</v>
      </c>
    </row>
    <row r="190" spans="2:30" x14ac:dyDescent="0.3">
      <c r="B190" s="3" t="str">
        <f>Table3[[#This Row],[Fiscal_Year]]*100+Table3[[#This Row],[Fiscal_Week]] &amp; "-" &amp;Table3[[#This Row],[Brand]]</f>
        <v>0-</v>
      </c>
      <c r="C190" t="str">
        <f t="shared" si="2"/>
        <v>-</v>
      </c>
      <c r="H190" s="3" t="e">
        <f>INDEX(Demand_Modeling!$A$13:$I$49,MATCH(Table3[[#This Row],[Key]],Demand_Modeling!$A$13:$A$49,0),MATCH(Table3[[#Headers],[OFC]],Demand_Modeling!$A$13:$I$13,0))</f>
        <v>#N/A</v>
      </c>
      <c r="I190" s="3" t="e">
        <f>INDEX(Demand_Modeling!$A$13:$I$49,MATCH(Table3[[#This Row],[Key]],Demand_Modeling!$A$13:$A$49,0),MATCH(Table3[[#Headers],[TFC]],Demand_Modeling!$A$13:$I$13,0))</f>
        <v>#N/A</v>
      </c>
      <c r="J190" s="3" t="e">
        <f>INDEX(Demand_Modeling!$A$13:$I$49,MATCH(Table3[[#This Row],[Key]],Demand_Modeling!$A$13:$A$49,0),MATCH(Table3[[#Headers],[WFC]],Demand_Modeling!$A$13:$I$13,0))</f>
        <v>#N/A</v>
      </c>
      <c r="K190" s="3" t="e">
        <f>INDEX(Demand_Modeling!$A$13:$I$49,MATCH(Table3[[#This Row],[Key]],Demand_Modeling!$A$13:$A$49,0),MATCH(Table3[[#Headers],[EAO]],Demand_Modeling!$A$13:$I$13,0))</f>
        <v>#N/A</v>
      </c>
      <c r="L190" s="3" t="e">
        <f>INDEX(Demand_Modeling!$A$13:$I$49,MATCH(Table3[[#This Row],[Key]],Demand_Modeling!$A$13:$A$49,0),MATCH(Table3[[#Headers],[OCC]],Demand_Modeling!$A$13:$I$13,0))</f>
        <v>#N/A</v>
      </c>
      <c r="M190" s="3" t="e">
        <f>INDEX(Demand_Modeling!$A$13:$I$49,MATCH(Table3[[#This Row],[Key]],Demand_Modeling!$A$13:$A$49,0),MATCH(Table3[[#Headers],[WEO]],Demand_Modeling!$A$13:$I$13,0))</f>
        <v>#N/A</v>
      </c>
      <c r="N190" s="19" t="e">
        <f>SUM(Table3[[#This Row],[OFC]:[WEO]])</f>
        <v>#N/A</v>
      </c>
      <c r="O190" s="19"/>
      <c r="Q190" s="3" t="str">
        <f>Table35[[#This Row],[Fiscal_Year]]*100+Table35[[#This Row],[Fiscal_Week]] &amp; "-" &amp;Table35[[#This Row],[Brand]]</f>
        <v>0-0</v>
      </c>
      <c r="R190" t="str">
        <f>Table3[[#This Row],[Key]]</f>
        <v>-</v>
      </c>
      <c r="S190">
        <f>Table3[[#This Row],[Fiscal_Year]]</f>
        <v>0</v>
      </c>
      <c r="T190">
        <f>Table3[[#This Row],[Fiscal_Week]]</f>
        <v>0</v>
      </c>
      <c r="U190">
        <f>Table3[[#This Row],[Brand]]</f>
        <v>0</v>
      </c>
      <c r="V190">
        <f>Table3[[#This Row],[Demand]]</f>
        <v>0</v>
      </c>
      <c r="W190" t="e">
        <f>Table3[[#This Row],[OFC]]*Table3[[#This Row],[Demand]]</f>
        <v>#N/A</v>
      </c>
      <c r="X190" t="e">
        <f>Table3[[#This Row],[TFC]]*Table3[[#This Row],[Demand]]</f>
        <v>#N/A</v>
      </c>
      <c r="Y190" t="e">
        <f>Table3[[#This Row],[WFC]]*Table3[[#This Row],[Demand]]</f>
        <v>#N/A</v>
      </c>
      <c r="Z190" t="e">
        <f>Table3[[#This Row],[EAO]]*Table3[[#This Row],[Demand]]</f>
        <v>#N/A</v>
      </c>
      <c r="AA190" t="e">
        <f>Table3[[#This Row],[OCC]]*Table3[[#This Row],[Demand]]</f>
        <v>#N/A</v>
      </c>
      <c r="AB190" t="e">
        <f>Table3[[#This Row],[WEO]]*Table3[[#This Row],[Demand]]</f>
        <v>#N/A</v>
      </c>
      <c r="AC190" s="19" t="e">
        <f>SUM(Table35[[#This Row],[OFC]:[WEO]])</f>
        <v>#N/A</v>
      </c>
      <c r="AD190" s="19" t="e">
        <f>Table35[[#This Row],[Demand]]-Table35[[#This Row],[Total_Modeled_Demand]]</f>
        <v>#N/A</v>
      </c>
    </row>
    <row r="191" spans="2:30" x14ac:dyDescent="0.3">
      <c r="B191" s="3" t="str">
        <f>Table3[[#This Row],[Fiscal_Year]]*100+Table3[[#This Row],[Fiscal_Week]] &amp; "-" &amp;Table3[[#This Row],[Brand]]</f>
        <v>0-</v>
      </c>
      <c r="C191" t="str">
        <f t="shared" si="2"/>
        <v>-</v>
      </c>
      <c r="H191" s="3" t="e">
        <f>INDEX(Demand_Modeling!$A$13:$I$49,MATCH(Table3[[#This Row],[Key]],Demand_Modeling!$A$13:$A$49,0),MATCH(Table3[[#Headers],[OFC]],Demand_Modeling!$A$13:$I$13,0))</f>
        <v>#N/A</v>
      </c>
      <c r="I191" s="3" t="e">
        <f>INDEX(Demand_Modeling!$A$13:$I$49,MATCH(Table3[[#This Row],[Key]],Demand_Modeling!$A$13:$A$49,0),MATCH(Table3[[#Headers],[TFC]],Demand_Modeling!$A$13:$I$13,0))</f>
        <v>#N/A</v>
      </c>
      <c r="J191" s="3" t="e">
        <f>INDEX(Demand_Modeling!$A$13:$I$49,MATCH(Table3[[#This Row],[Key]],Demand_Modeling!$A$13:$A$49,0),MATCH(Table3[[#Headers],[WFC]],Demand_Modeling!$A$13:$I$13,0))</f>
        <v>#N/A</v>
      </c>
      <c r="K191" s="3" t="e">
        <f>INDEX(Demand_Modeling!$A$13:$I$49,MATCH(Table3[[#This Row],[Key]],Demand_Modeling!$A$13:$A$49,0),MATCH(Table3[[#Headers],[EAO]],Demand_Modeling!$A$13:$I$13,0))</f>
        <v>#N/A</v>
      </c>
      <c r="L191" s="3" t="e">
        <f>INDEX(Demand_Modeling!$A$13:$I$49,MATCH(Table3[[#This Row],[Key]],Demand_Modeling!$A$13:$A$49,0),MATCH(Table3[[#Headers],[OCC]],Demand_Modeling!$A$13:$I$13,0))</f>
        <v>#N/A</v>
      </c>
      <c r="M191" s="3" t="e">
        <f>INDEX(Demand_Modeling!$A$13:$I$49,MATCH(Table3[[#This Row],[Key]],Demand_Modeling!$A$13:$A$49,0),MATCH(Table3[[#Headers],[WEO]],Demand_Modeling!$A$13:$I$13,0))</f>
        <v>#N/A</v>
      </c>
      <c r="N191" s="19" t="e">
        <f>SUM(Table3[[#This Row],[OFC]:[WEO]])</f>
        <v>#N/A</v>
      </c>
      <c r="O191" s="19"/>
      <c r="Q191" s="3" t="str">
        <f>Table35[[#This Row],[Fiscal_Year]]*100+Table35[[#This Row],[Fiscal_Week]] &amp; "-" &amp;Table35[[#This Row],[Brand]]</f>
        <v>0-0</v>
      </c>
      <c r="R191" t="str">
        <f>Table3[[#This Row],[Key]]</f>
        <v>-</v>
      </c>
      <c r="S191">
        <f>Table3[[#This Row],[Fiscal_Year]]</f>
        <v>0</v>
      </c>
      <c r="T191">
        <f>Table3[[#This Row],[Fiscal_Week]]</f>
        <v>0</v>
      </c>
      <c r="U191">
        <f>Table3[[#This Row],[Brand]]</f>
        <v>0</v>
      </c>
      <c r="V191">
        <f>Table3[[#This Row],[Demand]]</f>
        <v>0</v>
      </c>
      <c r="W191" t="e">
        <f>Table3[[#This Row],[OFC]]*Table3[[#This Row],[Demand]]</f>
        <v>#N/A</v>
      </c>
      <c r="X191" t="e">
        <f>Table3[[#This Row],[TFC]]*Table3[[#This Row],[Demand]]</f>
        <v>#N/A</v>
      </c>
      <c r="Y191" t="e">
        <f>Table3[[#This Row],[WFC]]*Table3[[#This Row],[Demand]]</f>
        <v>#N/A</v>
      </c>
      <c r="Z191" t="e">
        <f>Table3[[#This Row],[EAO]]*Table3[[#This Row],[Demand]]</f>
        <v>#N/A</v>
      </c>
      <c r="AA191" t="e">
        <f>Table3[[#This Row],[OCC]]*Table3[[#This Row],[Demand]]</f>
        <v>#N/A</v>
      </c>
      <c r="AB191" t="e">
        <f>Table3[[#This Row],[WEO]]*Table3[[#This Row],[Demand]]</f>
        <v>#N/A</v>
      </c>
      <c r="AC191" s="19" t="e">
        <f>SUM(Table35[[#This Row],[OFC]:[WEO]])</f>
        <v>#N/A</v>
      </c>
      <c r="AD191" s="19" t="e">
        <f>Table35[[#This Row],[Demand]]-Table35[[#This Row],[Total_Modeled_Demand]]</f>
        <v>#N/A</v>
      </c>
    </row>
    <row r="192" spans="2:30" x14ac:dyDescent="0.3">
      <c r="B192" s="3" t="str">
        <f>Table3[[#This Row],[Fiscal_Year]]*100+Table3[[#This Row],[Fiscal_Week]] &amp; "-" &amp;Table3[[#This Row],[Brand]]</f>
        <v>0-</v>
      </c>
      <c r="C192" t="str">
        <f t="shared" si="2"/>
        <v>-</v>
      </c>
      <c r="H192" s="3" t="e">
        <f>INDEX(Demand_Modeling!$A$13:$I$49,MATCH(Table3[[#This Row],[Key]],Demand_Modeling!$A$13:$A$49,0),MATCH(Table3[[#Headers],[OFC]],Demand_Modeling!$A$13:$I$13,0))</f>
        <v>#N/A</v>
      </c>
      <c r="I192" s="3" t="e">
        <f>INDEX(Demand_Modeling!$A$13:$I$49,MATCH(Table3[[#This Row],[Key]],Demand_Modeling!$A$13:$A$49,0),MATCH(Table3[[#Headers],[TFC]],Demand_Modeling!$A$13:$I$13,0))</f>
        <v>#N/A</v>
      </c>
      <c r="J192" s="3" t="e">
        <f>INDEX(Demand_Modeling!$A$13:$I$49,MATCH(Table3[[#This Row],[Key]],Demand_Modeling!$A$13:$A$49,0),MATCH(Table3[[#Headers],[WFC]],Demand_Modeling!$A$13:$I$13,0))</f>
        <v>#N/A</v>
      </c>
      <c r="K192" s="3" t="e">
        <f>INDEX(Demand_Modeling!$A$13:$I$49,MATCH(Table3[[#This Row],[Key]],Demand_Modeling!$A$13:$A$49,0),MATCH(Table3[[#Headers],[EAO]],Demand_Modeling!$A$13:$I$13,0))</f>
        <v>#N/A</v>
      </c>
      <c r="L192" s="3" t="e">
        <f>INDEX(Demand_Modeling!$A$13:$I$49,MATCH(Table3[[#This Row],[Key]],Demand_Modeling!$A$13:$A$49,0),MATCH(Table3[[#Headers],[OCC]],Demand_Modeling!$A$13:$I$13,0))</f>
        <v>#N/A</v>
      </c>
      <c r="M192" s="3" t="e">
        <f>INDEX(Demand_Modeling!$A$13:$I$49,MATCH(Table3[[#This Row],[Key]],Demand_Modeling!$A$13:$A$49,0),MATCH(Table3[[#Headers],[WEO]],Demand_Modeling!$A$13:$I$13,0))</f>
        <v>#N/A</v>
      </c>
      <c r="N192" s="19" t="e">
        <f>SUM(Table3[[#This Row],[OFC]:[WEO]])</f>
        <v>#N/A</v>
      </c>
      <c r="O192" s="19"/>
      <c r="Q192" s="3" t="str">
        <f>Table35[[#This Row],[Fiscal_Year]]*100+Table35[[#This Row],[Fiscal_Week]] &amp; "-" &amp;Table35[[#This Row],[Brand]]</f>
        <v>0-0</v>
      </c>
      <c r="R192" t="str">
        <f>Table3[[#This Row],[Key]]</f>
        <v>-</v>
      </c>
      <c r="S192">
        <f>Table3[[#This Row],[Fiscal_Year]]</f>
        <v>0</v>
      </c>
      <c r="T192">
        <f>Table3[[#This Row],[Fiscal_Week]]</f>
        <v>0</v>
      </c>
      <c r="U192">
        <f>Table3[[#This Row],[Brand]]</f>
        <v>0</v>
      </c>
      <c r="V192">
        <f>Table3[[#This Row],[Demand]]</f>
        <v>0</v>
      </c>
      <c r="W192" t="e">
        <f>Table3[[#This Row],[OFC]]*Table3[[#This Row],[Demand]]</f>
        <v>#N/A</v>
      </c>
      <c r="X192" t="e">
        <f>Table3[[#This Row],[TFC]]*Table3[[#This Row],[Demand]]</f>
        <v>#N/A</v>
      </c>
      <c r="Y192" t="e">
        <f>Table3[[#This Row],[WFC]]*Table3[[#This Row],[Demand]]</f>
        <v>#N/A</v>
      </c>
      <c r="Z192" t="e">
        <f>Table3[[#This Row],[EAO]]*Table3[[#This Row],[Demand]]</f>
        <v>#N/A</v>
      </c>
      <c r="AA192" t="e">
        <f>Table3[[#This Row],[OCC]]*Table3[[#This Row],[Demand]]</f>
        <v>#N/A</v>
      </c>
      <c r="AB192" t="e">
        <f>Table3[[#This Row],[WEO]]*Table3[[#This Row],[Demand]]</f>
        <v>#N/A</v>
      </c>
      <c r="AC192" s="19" t="e">
        <f>SUM(Table35[[#This Row],[OFC]:[WEO]])</f>
        <v>#N/A</v>
      </c>
      <c r="AD192" s="19" t="e">
        <f>Table35[[#This Row],[Demand]]-Table35[[#This Row],[Total_Modeled_Demand]]</f>
        <v>#N/A</v>
      </c>
    </row>
    <row r="193" spans="2:30" x14ac:dyDescent="0.3">
      <c r="B193" s="3" t="str">
        <f>Table3[[#This Row],[Fiscal_Year]]*100+Table3[[#This Row],[Fiscal_Week]] &amp; "-" &amp;Table3[[#This Row],[Brand]]</f>
        <v>0-</v>
      </c>
      <c r="C193" t="str">
        <f t="shared" si="2"/>
        <v>-</v>
      </c>
      <c r="H193" s="3" t="e">
        <f>INDEX(Demand_Modeling!$A$13:$I$49,MATCH(Table3[[#This Row],[Key]],Demand_Modeling!$A$13:$A$49,0),MATCH(Table3[[#Headers],[OFC]],Demand_Modeling!$A$13:$I$13,0))</f>
        <v>#N/A</v>
      </c>
      <c r="I193" s="3" t="e">
        <f>INDEX(Demand_Modeling!$A$13:$I$49,MATCH(Table3[[#This Row],[Key]],Demand_Modeling!$A$13:$A$49,0),MATCH(Table3[[#Headers],[TFC]],Demand_Modeling!$A$13:$I$13,0))</f>
        <v>#N/A</v>
      </c>
      <c r="J193" s="3" t="e">
        <f>INDEX(Demand_Modeling!$A$13:$I$49,MATCH(Table3[[#This Row],[Key]],Demand_Modeling!$A$13:$A$49,0),MATCH(Table3[[#Headers],[WFC]],Demand_Modeling!$A$13:$I$13,0))</f>
        <v>#N/A</v>
      </c>
      <c r="K193" s="3" t="e">
        <f>INDEX(Demand_Modeling!$A$13:$I$49,MATCH(Table3[[#This Row],[Key]],Demand_Modeling!$A$13:$A$49,0),MATCH(Table3[[#Headers],[EAO]],Demand_Modeling!$A$13:$I$13,0))</f>
        <v>#N/A</v>
      </c>
      <c r="L193" s="3" t="e">
        <f>INDEX(Demand_Modeling!$A$13:$I$49,MATCH(Table3[[#This Row],[Key]],Demand_Modeling!$A$13:$A$49,0),MATCH(Table3[[#Headers],[OCC]],Demand_Modeling!$A$13:$I$13,0))</f>
        <v>#N/A</v>
      </c>
      <c r="M193" s="3" t="e">
        <f>INDEX(Demand_Modeling!$A$13:$I$49,MATCH(Table3[[#This Row],[Key]],Demand_Modeling!$A$13:$A$49,0),MATCH(Table3[[#Headers],[WEO]],Demand_Modeling!$A$13:$I$13,0))</f>
        <v>#N/A</v>
      </c>
      <c r="N193" s="19" t="e">
        <f>SUM(Table3[[#This Row],[OFC]:[WEO]])</f>
        <v>#N/A</v>
      </c>
      <c r="O193" s="19"/>
      <c r="Q193" s="3" t="str">
        <f>Table35[[#This Row],[Fiscal_Year]]*100+Table35[[#This Row],[Fiscal_Week]] &amp; "-" &amp;Table35[[#This Row],[Brand]]</f>
        <v>0-0</v>
      </c>
      <c r="R193" t="str">
        <f>Table3[[#This Row],[Key]]</f>
        <v>-</v>
      </c>
      <c r="S193">
        <f>Table3[[#This Row],[Fiscal_Year]]</f>
        <v>0</v>
      </c>
      <c r="T193">
        <f>Table3[[#This Row],[Fiscal_Week]]</f>
        <v>0</v>
      </c>
      <c r="U193">
        <f>Table3[[#This Row],[Brand]]</f>
        <v>0</v>
      </c>
      <c r="V193">
        <f>Table3[[#This Row],[Demand]]</f>
        <v>0</v>
      </c>
      <c r="W193" t="e">
        <f>Table3[[#This Row],[OFC]]*Table3[[#This Row],[Demand]]</f>
        <v>#N/A</v>
      </c>
      <c r="X193" t="e">
        <f>Table3[[#This Row],[TFC]]*Table3[[#This Row],[Demand]]</f>
        <v>#N/A</v>
      </c>
      <c r="Y193" t="e">
        <f>Table3[[#This Row],[WFC]]*Table3[[#This Row],[Demand]]</f>
        <v>#N/A</v>
      </c>
      <c r="Z193" t="e">
        <f>Table3[[#This Row],[EAO]]*Table3[[#This Row],[Demand]]</f>
        <v>#N/A</v>
      </c>
      <c r="AA193" t="e">
        <f>Table3[[#This Row],[OCC]]*Table3[[#This Row],[Demand]]</f>
        <v>#N/A</v>
      </c>
      <c r="AB193" t="e">
        <f>Table3[[#This Row],[WEO]]*Table3[[#This Row],[Demand]]</f>
        <v>#N/A</v>
      </c>
      <c r="AC193" s="19" t="e">
        <f>SUM(Table35[[#This Row],[OFC]:[WEO]])</f>
        <v>#N/A</v>
      </c>
      <c r="AD193" s="19" t="e">
        <f>Table35[[#This Row],[Demand]]-Table35[[#This Row],[Total_Modeled_Demand]]</f>
        <v>#N/A</v>
      </c>
    </row>
    <row r="194" spans="2:30" x14ac:dyDescent="0.3">
      <c r="B194" s="3" t="str">
        <f>Table3[[#This Row],[Fiscal_Year]]*100+Table3[[#This Row],[Fiscal_Week]] &amp; "-" &amp;Table3[[#This Row],[Brand]]</f>
        <v>0-</v>
      </c>
      <c r="C194" t="str">
        <f t="shared" si="2"/>
        <v>-</v>
      </c>
      <c r="H194" s="3" t="e">
        <f>INDEX(Demand_Modeling!$A$13:$I$49,MATCH(Table3[[#This Row],[Key]],Demand_Modeling!$A$13:$A$49,0),MATCH(Table3[[#Headers],[OFC]],Demand_Modeling!$A$13:$I$13,0))</f>
        <v>#N/A</v>
      </c>
      <c r="I194" s="3" t="e">
        <f>INDEX(Demand_Modeling!$A$13:$I$49,MATCH(Table3[[#This Row],[Key]],Demand_Modeling!$A$13:$A$49,0),MATCH(Table3[[#Headers],[TFC]],Demand_Modeling!$A$13:$I$13,0))</f>
        <v>#N/A</v>
      </c>
      <c r="J194" s="3" t="e">
        <f>INDEX(Demand_Modeling!$A$13:$I$49,MATCH(Table3[[#This Row],[Key]],Demand_Modeling!$A$13:$A$49,0),MATCH(Table3[[#Headers],[WFC]],Demand_Modeling!$A$13:$I$13,0))</f>
        <v>#N/A</v>
      </c>
      <c r="K194" s="3" t="e">
        <f>INDEX(Demand_Modeling!$A$13:$I$49,MATCH(Table3[[#This Row],[Key]],Demand_Modeling!$A$13:$A$49,0),MATCH(Table3[[#Headers],[EAO]],Demand_Modeling!$A$13:$I$13,0))</f>
        <v>#N/A</v>
      </c>
      <c r="L194" s="3" t="e">
        <f>INDEX(Demand_Modeling!$A$13:$I$49,MATCH(Table3[[#This Row],[Key]],Demand_Modeling!$A$13:$A$49,0),MATCH(Table3[[#Headers],[OCC]],Demand_Modeling!$A$13:$I$13,0))</f>
        <v>#N/A</v>
      </c>
      <c r="M194" s="3" t="e">
        <f>INDEX(Demand_Modeling!$A$13:$I$49,MATCH(Table3[[#This Row],[Key]],Demand_Modeling!$A$13:$A$49,0),MATCH(Table3[[#Headers],[WEO]],Demand_Modeling!$A$13:$I$13,0))</f>
        <v>#N/A</v>
      </c>
      <c r="N194" s="19" t="e">
        <f>SUM(Table3[[#This Row],[OFC]:[WEO]])</f>
        <v>#N/A</v>
      </c>
      <c r="O194" s="19"/>
      <c r="Q194" s="3" t="str">
        <f>Table35[[#This Row],[Fiscal_Year]]*100+Table35[[#This Row],[Fiscal_Week]] &amp; "-" &amp;Table35[[#This Row],[Brand]]</f>
        <v>0-0</v>
      </c>
      <c r="R194" t="str">
        <f>Table3[[#This Row],[Key]]</f>
        <v>-</v>
      </c>
      <c r="S194">
        <f>Table3[[#This Row],[Fiscal_Year]]</f>
        <v>0</v>
      </c>
      <c r="T194">
        <f>Table3[[#This Row],[Fiscal_Week]]</f>
        <v>0</v>
      </c>
      <c r="U194">
        <f>Table3[[#This Row],[Brand]]</f>
        <v>0</v>
      </c>
      <c r="V194">
        <f>Table3[[#This Row],[Demand]]</f>
        <v>0</v>
      </c>
      <c r="W194" t="e">
        <f>Table3[[#This Row],[OFC]]*Table3[[#This Row],[Demand]]</f>
        <v>#N/A</v>
      </c>
      <c r="X194" t="e">
        <f>Table3[[#This Row],[TFC]]*Table3[[#This Row],[Demand]]</f>
        <v>#N/A</v>
      </c>
      <c r="Y194" t="e">
        <f>Table3[[#This Row],[WFC]]*Table3[[#This Row],[Demand]]</f>
        <v>#N/A</v>
      </c>
      <c r="Z194" t="e">
        <f>Table3[[#This Row],[EAO]]*Table3[[#This Row],[Demand]]</f>
        <v>#N/A</v>
      </c>
      <c r="AA194" t="e">
        <f>Table3[[#This Row],[OCC]]*Table3[[#This Row],[Demand]]</f>
        <v>#N/A</v>
      </c>
      <c r="AB194" t="e">
        <f>Table3[[#This Row],[WEO]]*Table3[[#This Row],[Demand]]</f>
        <v>#N/A</v>
      </c>
      <c r="AC194" s="19" t="e">
        <f>SUM(Table35[[#This Row],[OFC]:[WEO]])</f>
        <v>#N/A</v>
      </c>
      <c r="AD194" s="19" t="e">
        <f>Table35[[#This Row],[Demand]]-Table35[[#This Row],[Total_Modeled_Demand]]</f>
        <v>#N/A</v>
      </c>
    </row>
    <row r="195" spans="2:30" x14ac:dyDescent="0.3">
      <c r="B195" s="3" t="str">
        <f>Table3[[#This Row],[Fiscal_Year]]*100+Table3[[#This Row],[Fiscal_Week]] &amp; "-" &amp;Table3[[#This Row],[Brand]]</f>
        <v>0-</v>
      </c>
      <c r="C195" t="str">
        <f t="shared" si="2"/>
        <v>-</v>
      </c>
      <c r="H195" s="3" t="e">
        <f>INDEX(Demand_Modeling!$A$13:$I$49,MATCH(Table3[[#This Row],[Key]],Demand_Modeling!$A$13:$A$49,0),MATCH(Table3[[#Headers],[OFC]],Demand_Modeling!$A$13:$I$13,0))</f>
        <v>#N/A</v>
      </c>
      <c r="I195" s="3" t="e">
        <f>INDEX(Demand_Modeling!$A$13:$I$49,MATCH(Table3[[#This Row],[Key]],Demand_Modeling!$A$13:$A$49,0),MATCH(Table3[[#Headers],[TFC]],Demand_Modeling!$A$13:$I$13,0))</f>
        <v>#N/A</v>
      </c>
      <c r="J195" s="3" t="e">
        <f>INDEX(Demand_Modeling!$A$13:$I$49,MATCH(Table3[[#This Row],[Key]],Demand_Modeling!$A$13:$A$49,0),MATCH(Table3[[#Headers],[WFC]],Demand_Modeling!$A$13:$I$13,0))</f>
        <v>#N/A</v>
      </c>
      <c r="K195" s="3" t="e">
        <f>INDEX(Demand_Modeling!$A$13:$I$49,MATCH(Table3[[#This Row],[Key]],Demand_Modeling!$A$13:$A$49,0),MATCH(Table3[[#Headers],[EAO]],Demand_Modeling!$A$13:$I$13,0))</f>
        <v>#N/A</v>
      </c>
      <c r="L195" s="3" t="e">
        <f>INDEX(Demand_Modeling!$A$13:$I$49,MATCH(Table3[[#This Row],[Key]],Demand_Modeling!$A$13:$A$49,0),MATCH(Table3[[#Headers],[OCC]],Demand_Modeling!$A$13:$I$13,0))</f>
        <v>#N/A</v>
      </c>
      <c r="M195" s="3" t="e">
        <f>INDEX(Demand_Modeling!$A$13:$I$49,MATCH(Table3[[#This Row],[Key]],Demand_Modeling!$A$13:$A$49,0),MATCH(Table3[[#Headers],[WEO]],Demand_Modeling!$A$13:$I$13,0))</f>
        <v>#N/A</v>
      </c>
      <c r="N195" s="19" t="e">
        <f>SUM(Table3[[#This Row],[OFC]:[WEO]])</f>
        <v>#N/A</v>
      </c>
      <c r="O195" s="19"/>
      <c r="Q195" s="3" t="str">
        <f>Table35[[#This Row],[Fiscal_Year]]*100+Table35[[#This Row],[Fiscal_Week]] &amp; "-" &amp;Table35[[#This Row],[Brand]]</f>
        <v>0-0</v>
      </c>
      <c r="R195" t="str">
        <f>Table3[[#This Row],[Key]]</f>
        <v>-</v>
      </c>
      <c r="S195">
        <f>Table3[[#This Row],[Fiscal_Year]]</f>
        <v>0</v>
      </c>
      <c r="T195">
        <f>Table3[[#This Row],[Fiscal_Week]]</f>
        <v>0</v>
      </c>
      <c r="U195">
        <f>Table3[[#This Row],[Brand]]</f>
        <v>0</v>
      </c>
      <c r="V195">
        <f>Table3[[#This Row],[Demand]]</f>
        <v>0</v>
      </c>
      <c r="W195" t="e">
        <f>Table3[[#This Row],[OFC]]*Table3[[#This Row],[Demand]]</f>
        <v>#N/A</v>
      </c>
      <c r="X195" t="e">
        <f>Table3[[#This Row],[TFC]]*Table3[[#This Row],[Demand]]</f>
        <v>#N/A</v>
      </c>
      <c r="Y195" t="e">
        <f>Table3[[#This Row],[WFC]]*Table3[[#This Row],[Demand]]</f>
        <v>#N/A</v>
      </c>
      <c r="Z195" t="e">
        <f>Table3[[#This Row],[EAO]]*Table3[[#This Row],[Demand]]</f>
        <v>#N/A</v>
      </c>
      <c r="AA195" t="e">
        <f>Table3[[#This Row],[OCC]]*Table3[[#This Row],[Demand]]</f>
        <v>#N/A</v>
      </c>
      <c r="AB195" t="e">
        <f>Table3[[#This Row],[WEO]]*Table3[[#This Row],[Demand]]</f>
        <v>#N/A</v>
      </c>
      <c r="AC195" s="19" t="e">
        <f>SUM(Table35[[#This Row],[OFC]:[WEO]])</f>
        <v>#N/A</v>
      </c>
      <c r="AD195" s="19" t="e">
        <f>Table35[[#This Row],[Demand]]-Table35[[#This Row],[Total_Modeled_Demand]]</f>
        <v>#N/A</v>
      </c>
    </row>
    <row r="196" spans="2:30" x14ac:dyDescent="0.3">
      <c r="B196" s="3" t="str">
        <f>Table3[[#This Row],[Fiscal_Year]]*100+Table3[[#This Row],[Fiscal_Week]] &amp; "-" &amp;Table3[[#This Row],[Brand]]</f>
        <v>0-</v>
      </c>
      <c r="C196" t="str">
        <f t="shared" si="2"/>
        <v>-</v>
      </c>
      <c r="H196" s="3" t="e">
        <f>INDEX(Demand_Modeling!$A$13:$I$49,MATCH(Table3[[#This Row],[Key]],Demand_Modeling!$A$13:$A$49,0),MATCH(Table3[[#Headers],[OFC]],Demand_Modeling!$A$13:$I$13,0))</f>
        <v>#N/A</v>
      </c>
      <c r="I196" s="3" t="e">
        <f>INDEX(Demand_Modeling!$A$13:$I$49,MATCH(Table3[[#This Row],[Key]],Demand_Modeling!$A$13:$A$49,0),MATCH(Table3[[#Headers],[TFC]],Demand_Modeling!$A$13:$I$13,0))</f>
        <v>#N/A</v>
      </c>
      <c r="J196" s="3" t="e">
        <f>INDEX(Demand_Modeling!$A$13:$I$49,MATCH(Table3[[#This Row],[Key]],Demand_Modeling!$A$13:$A$49,0),MATCH(Table3[[#Headers],[WFC]],Demand_Modeling!$A$13:$I$13,0))</f>
        <v>#N/A</v>
      </c>
      <c r="K196" s="3" t="e">
        <f>INDEX(Demand_Modeling!$A$13:$I$49,MATCH(Table3[[#This Row],[Key]],Demand_Modeling!$A$13:$A$49,0),MATCH(Table3[[#Headers],[EAO]],Demand_Modeling!$A$13:$I$13,0))</f>
        <v>#N/A</v>
      </c>
      <c r="L196" s="3" t="e">
        <f>INDEX(Demand_Modeling!$A$13:$I$49,MATCH(Table3[[#This Row],[Key]],Demand_Modeling!$A$13:$A$49,0),MATCH(Table3[[#Headers],[OCC]],Demand_Modeling!$A$13:$I$13,0))</f>
        <v>#N/A</v>
      </c>
      <c r="M196" s="3" t="e">
        <f>INDEX(Demand_Modeling!$A$13:$I$49,MATCH(Table3[[#This Row],[Key]],Demand_Modeling!$A$13:$A$49,0),MATCH(Table3[[#Headers],[WEO]],Demand_Modeling!$A$13:$I$13,0))</f>
        <v>#N/A</v>
      </c>
      <c r="N196" s="19" t="e">
        <f>SUM(Table3[[#This Row],[OFC]:[WEO]])</f>
        <v>#N/A</v>
      </c>
      <c r="O196" s="19"/>
      <c r="Q196" s="3" t="str">
        <f>Table35[[#This Row],[Fiscal_Year]]*100+Table35[[#This Row],[Fiscal_Week]] &amp; "-" &amp;Table35[[#This Row],[Brand]]</f>
        <v>0-0</v>
      </c>
      <c r="R196" t="str">
        <f>Table3[[#This Row],[Key]]</f>
        <v>-</v>
      </c>
      <c r="S196">
        <f>Table3[[#This Row],[Fiscal_Year]]</f>
        <v>0</v>
      </c>
      <c r="T196">
        <f>Table3[[#This Row],[Fiscal_Week]]</f>
        <v>0</v>
      </c>
      <c r="U196">
        <f>Table3[[#This Row],[Brand]]</f>
        <v>0</v>
      </c>
      <c r="V196">
        <f>Table3[[#This Row],[Demand]]</f>
        <v>0</v>
      </c>
      <c r="W196" t="e">
        <f>Table3[[#This Row],[OFC]]*Table3[[#This Row],[Demand]]</f>
        <v>#N/A</v>
      </c>
      <c r="X196" t="e">
        <f>Table3[[#This Row],[TFC]]*Table3[[#This Row],[Demand]]</f>
        <v>#N/A</v>
      </c>
      <c r="Y196" t="e">
        <f>Table3[[#This Row],[WFC]]*Table3[[#This Row],[Demand]]</f>
        <v>#N/A</v>
      </c>
      <c r="Z196" t="e">
        <f>Table3[[#This Row],[EAO]]*Table3[[#This Row],[Demand]]</f>
        <v>#N/A</v>
      </c>
      <c r="AA196" t="e">
        <f>Table3[[#This Row],[OCC]]*Table3[[#This Row],[Demand]]</f>
        <v>#N/A</v>
      </c>
      <c r="AB196" t="e">
        <f>Table3[[#This Row],[WEO]]*Table3[[#This Row],[Demand]]</f>
        <v>#N/A</v>
      </c>
      <c r="AC196" s="19" t="e">
        <f>SUM(Table35[[#This Row],[OFC]:[WEO]])</f>
        <v>#N/A</v>
      </c>
      <c r="AD196" s="19" t="e">
        <f>Table35[[#This Row],[Demand]]-Table35[[#This Row],[Total_Modeled_Demand]]</f>
        <v>#N/A</v>
      </c>
    </row>
    <row r="197" spans="2:30" x14ac:dyDescent="0.3">
      <c r="B197" s="3" t="str">
        <f>Table3[[#This Row],[Fiscal_Year]]*100+Table3[[#This Row],[Fiscal_Week]] &amp; "-" &amp;Table3[[#This Row],[Brand]]</f>
        <v>0-</v>
      </c>
      <c r="C197" t="str">
        <f t="shared" ref="C197:C260" si="3">D197&amp;"-"&amp;F197</f>
        <v>-</v>
      </c>
      <c r="H197" s="3" t="e">
        <f>INDEX(Demand_Modeling!$A$13:$I$49,MATCH(Table3[[#This Row],[Key]],Demand_Modeling!$A$13:$A$49,0),MATCH(Table3[[#Headers],[OFC]],Demand_Modeling!$A$13:$I$13,0))</f>
        <v>#N/A</v>
      </c>
      <c r="I197" s="3" t="e">
        <f>INDEX(Demand_Modeling!$A$13:$I$49,MATCH(Table3[[#This Row],[Key]],Demand_Modeling!$A$13:$A$49,0),MATCH(Table3[[#Headers],[TFC]],Demand_Modeling!$A$13:$I$13,0))</f>
        <v>#N/A</v>
      </c>
      <c r="J197" s="3" t="e">
        <f>INDEX(Demand_Modeling!$A$13:$I$49,MATCH(Table3[[#This Row],[Key]],Demand_Modeling!$A$13:$A$49,0),MATCH(Table3[[#Headers],[WFC]],Demand_Modeling!$A$13:$I$13,0))</f>
        <v>#N/A</v>
      </c>
      <c r="K197" s="3" t="e">
        <f>INDEX(Demand_Modeling!$A$13:$I$49,MATCH(Table3[[#This Row],[Key]],Demand_Modeling!$A$13:$A$49,0),MATCH(Table3[[#Headers],[EAO]],Demand_Modeling!$A$13:$I$13,0))</f>
        <v>#N/A</v>
      </c>
      <c r="L197" s="3" t="e">
        <f>INDEX(Demand_Modeling!$A$13:$I$49,MATCH(Table3[[#This Row],[Key]],Demand_Modeling!$A$13:$A$49,0),MATCH(Table3[[#Headers],[OCC]],Demand_Modeling!$A$13:$I$13,0))</f>
        <v>#N/A</v>
      </c>
      <c r="M197" s="3" t="e">
        <f>INDEX(Demand_Modeling!$A$13:$I$49,MATCH(Table3[[#This Row],[Key]],Demand_Modeling!$A$13:$A$49,0),MATCH(Table3[[#Headers],[WEO]],Demand_Modeling!$A$13:$I$13,0))</f>
        <v>#N/A</v>
      </c>
      <c r="N197" s="19" t="e">
        <f>SUM(Table3[[#This Row],[OFC]:[WEO]])</f>
        <v>#N/A</v>
      </c>
      <c r="O197" s="19"/>
      <c r="Q197" s="3" t="str">
        <f>Table35[[#This Row],[Fiscal_Year]]*100+Table35[[#This Row],[Fiscal_Week]] &amp; "-" &amp;Table35[[#This Row],[Brand]]</f>
        <v>0-0</v>
      </c>
      <c r="R197" t="str">
        <f>Table3[[#This Row],[Key]]</f>
        <v>-</v>
      </c>
      <c r="S197">
        <f>Table3[[#This Row],[Fiscal_Year]]</f>
        <v>0</v>
      </c>
      <c r="T197">
        <f>Table3[[#This Row],[Fiscal_Week]]</f>
        <v>0</v>
      </c>
      <c r="U197">
        <f>Table3[[#This Row],[Brand]]</f>
        <v>0</v>
      </c>
      <c r="V197">
        <f>Table3[[#This Row],[Demand]]</f>
        <v>0</v>
      </c>
      <c r="W197" t="e">
        <f>Table3[[#This Row],[OFC]]*Table3[[#This Row],[Demand]]</f>
        <v>#N/A</v>
      </c>
      <c r="X197" t="e">
        <f>Table3[[#This Row],[TFC]]*Table3[[#This Row],[Demand]]</f>
        <v>#N/A</v>
      </c>
      <c r="Y197" t="e">
        <f>Table3[[#This Row],[WFC]]*Table3[[#This Row],[Demand]]</f>
        <v>#N/A</v>
      </c>
      <c r="Z197" t="e">
        <f>Table3[[#This Row],[EAO]]*Table3[[#This Row],[Demand]]</f>
        <v>#N/A</v>
      </c>
      <c r="AA197" t="e">
        <f>Table3[[#This Row],[OCC]]*Table3[[#This Row],[Demand]]</f>
        <v>#N/A</v>
      </c>
      <c r="AB197" t="e">
        <f>Table3[[#This Row],[WEO]]*Table3[[#This Row],[Demand]]</f>
        <v>#N/A</v>
      </c>
      <c r="AC197" s="19" t="e">
        <f>SUM(Table35[[#This Row],[OFC]:[WEO]])</f>
        <v>#N/A</v>
      </c>
      <c r="AD197" s="19" t="e">
        <f>Table35[[#This Row],[Demand]]-Table35[[#This Row],[Total_Modeled_Demand]]</f>
        <v>#N/A</v>
      </c>
    </row>
    <row r="198" spans="2:30" x14ac:dyDescent="0.3">
      <c r="B198" s="3" t="str">
        <f>Table3[[#This Row],[Fiscal_Year]]*100+Table3[[#This Row],[Fiscal_Week]] &amp; "-" &amp;Table3[[#This Row],[Brand]]</f>
        <v>0-</v>
      </c>
      <c r="C198" t="str">
        <f t="shared" si="3"/>
        <v>-</v>
      </c>
      <c r="H198" s="3" t="e">
        <f>INDEX(Demand_Modeling!$A$13:$I$49,MATCH(Table3[[#This Row],[Key]],Demand_Modeling!$A$13:$A$49,0),MATCH(Table3[[#Headers],[OFC]],Demand_Modeling!$A$13:$I$13,0))</f>
        <v>#N/A</v>
      </c>
      <c r="I198" s="3" t="e">
        <f>INDEX(Demand_Modeling!$A$13:$I$49,MATCH(Table3[[#This Row],[Key]],Demand_Modeling!$A$13:$A$49,0),MATCH(Table3[[#Headers],[TFC]],Demand_Modeling!$A$13:$I$13,0))</f>
        <v>#N/A</v>
      </c>
      <c r="J198" s="3" t="e">
        <f>INDEX(Demand_Modeling!$A$13:$I$49,MATCH(Table3[[#This Row],[Key]],Demand_Modeling!$A$13:$A$49,0),MATCH(Table3[[#Headers],[WFC]],Demand_Modeling!$A$13:$I$13,0))</f>
        <v>#N/A</v>
      </c>
      <c r="K198" s="3" t="e">
        <f>INDEX(Demand_Modeling!$A$13:$I$49,MATCH(Table3[[#This Row],[Key]],Demand_Modeling!$A$13:$A$49,0),MATCH(Table3[[#Headers],[EAO]],Demand_Modeling!$A$13:$I$13,0))</f>
        <v>#N/A</v>
      </c>
      <c r="L198" s="3" t="e">
        <f>INDEX(Demand_Modeling!$A$13:$I$49,MATCH(Table3[[#This Row],[Key]],Demand_Modeling!$A$13:$A$49,0),MATCH(Table3[[#Headers],[OCC]],Demand_Modeling!$A$13:$I$13,0))</f>
        <v>#N/A</v>
      </c>
      <c r="M198" s="3" t="e">
        <f>INDEX(Demand_Modeling!$A$13:$I$49,MATCH(Table3[[#This Row],[Key]],Demand_Modeling!$A$13:$A$49,0),MATCH(Table3[[#Headers],[WEO]],Demand_Modeling!$A$13:$I$13,0))</f>
        <v>#N/A</v>
      </c>
      <c r="N198" s="19" t="e">
        <f>SUM(Table3[[#This Row],[OFC]:[WEO]])</f>
        <v>#N/A</v>
      </c>
      <c r="O198" s="19"/>
      <c r="Q198" s="3" t="str">
        <f>Table35[[#This Row],[Fiscal_Year]]*100+Table35[[#This Row],[Fiscal_Week]] &amp; "-" &amp;Table35[[#This Row],[Brand]]</f>
        <v>0-0</v>
      </c>
      <c r="R198" t="str">
        <f>Table3[[#This Row],[Key]]</f>
        <v>-</v>
      </c>
      <c r="S198">
        <f>Table3[[#This Row],[Fiscal_Year]]</f>
        <v>0</v>
      </c>
      <c r="T198">
        <f>Table3[[#This Row],[Fiscal_Week]]</f>
        <v>0</v>
      </c>
      <c r="U198">
        <f>Table3[[#This Row],[Brand]]</f>
        <v>0</v>
      </c>
      <c r="V198">
        <f>Table3[[#This Row],[Demand]]</f>
        <v>0</v>
      </c>
      <c r="W198" t="e">
        <f>Table3[[#This Row],[OFC]]*Table3[[#This Row],[Demand]]</f>
        <v>#N/A</v>
      </c>
      <c r="X198" t="e">
        <f>Table3[[#This Row],[TFC]]*Table3[[#This Row],[Demand]]</f>
        <v>#N/A</v>
      </c>
      <c r="Y198" t="e">
        <f>Table3[[#This Row],[WFC]]*Table3[[#This Row],[Demand]]</f>
        <v>#N/A</v>
      </c>
      <c r="Z198" t="e">
        <f>Table3[[#This Row],[EAO]]*Table3[[#This Row],[Demand]]</f>
        <v>#N/A</v>
      </c>
      <c r="AA198" t="e">
        <f>Table3[[#This Row],[OCC]]*Table3[[#This Row],[Demand]]</f>
        <v>#N/A</v>
      </c>
      <c r="AB198" t="e">
        <f>Table3[[#This Row],[WEO]]*Table3[[#This Row],[Demand]]</f>
        <v>#N/A</v>
      </c>
      <c r="AC198" s="19" t="e">
        <f>SUM(Table35[[#This Row],[OFC]:[WEO]])</f>
        <v>#N/A</v>
      </c>
      <c r="AD198" s="19" t="e">
        <f>Table35[[#This Row],[Demand]]-Table35[[#This Row],[Total_Modeled_Demand]]</f>
        <v>#N/A</v>
      </c>
    </row>
    <row r="199" spans="2:30" x14ac:dyDescent="0.3">
      <c r="B199" s="3" t="str">
        <f>Table3[[#This Row],[Fiscal_Year]]*100+Table3[[#This Row],[Fiscal_Week]] &amp; "-" &amp;Table3[[#This Row],[Brand]]</f>
        <v>0-</v>
      </c>
      <c r="C199" t="str">
        <f t="shared" si="3"/>
        <v>-</v>
      </c>
      <c r="H199" s="3" t="e">
        <f>INDEX(Demand_Modeling!$A$13:$I$49,MATCH(Table3[[#This Row],[Key]],Demand_Modeling!$A$13:$A$49,0),MATCH(Table3[[#Headers],[OFC]],Demand_Modeling!$A$13:$I$13,0))</f>
        <v>#N/A</v>
      </c>
      <c r="I199" s="3" t="e">
        <f>INDEX(Demand_Modeling!$A$13:$I$49,MATCH(Table3[[#This Row],[Key]],Demand_Modeling!$A$13:$A$49,0),MATCH(Table3[[#Headers],[TFC]],Demand_Modeling!$A$13:$I$13,0))</f>
        <v>#N/A</v>
      </c>
      <c r="J199" s="3" t="e">
        <f>INDEX(Demand_Modeling!$A$13:$I$49,MATCH(Table3[[#This Row],[Key]],Demand_Modeling!$A$13:$A$49,0),MATCH(Table3[[#Headers],[WFC]],Demand_Modeling!$A$13:$I$13,0))</f>
        <v>#N/A</v>
      </c>
      <c r="K199" s="3" t="e">
        <f>INDEX(Demand_Modeling!$A$13:$I$49,MATCH(Table3[[#This Row],[Key]],Demand_Modeling!$A$13:$A$49,0),MATCH(Table3[[#Headers],[EAO]],Demand_Modeling!$A$13:$I$13,0))</f>
        <v>#N/A</v>
      </c>
      <c r="L199" s="3" t="e">
        <f>INDEX(Demand_Modeling!$A$13:$I$49,MATCH(Table3[[#This Row],[Key]],Demand_Modeling!$A$13:$A$49,0),MATCH(Table3[[#Headers],[OCC]],Demand_Modeling!$A$13:$I$13,0))</f>
        <v>#N/A</v>
      </c>
      <c r="M199" s="3" t="e">
        <f>INDEX(Demand_Modeling!$A$13:$I$49,MATCH(Table3[[#This Row],[Key]],Demand_Modeling!$A$13:$A$49,0),MATCH(Table3[[#Headers],[WEO]],Demand_Modeling!$A$13:$I$13,0))</f>
        <v>#N/A</v>
      </c>
      <c r="N199" s="19" t="e">
        <f>SUM(Table3[[#This Row],[OFC]:[WEO]])</f>
        <v>#N/A</v>
      </c>
      <c r="O199" s="19"/>
      <c r="Q199" s="3" t="str">
        <f>Table35[[#This Row],[Fiscal_Year]]*100+Table35[[#This Row],[Fiscal_Week]] &amp; "-" &amp;Table35[[#This Row],[Brand]]</f>
        <v>0-0</v>
      </c>
      <c r="R199" t="str">
        <f>Table3[[#This Row],[Key]]</f>
        <v>-</v>
      </c>
      <c r="S199">
        <f>Table3[[#This Row],[Fiscal_Year]]</f>
        <v>0</v>
      </c>
      <c r="T199">
        <f>Table3[[#This Row],[Fiscal_Week]]</f>
        <v>0</v>
      </c>
      <c r="U199">
        <f>Table3[[#This Row],[Brand]]</f>
        <v>0</v>
      </c>
      <c r="V199">
        <f>Table3[[#This Row],[Demand]]</f>
        <v>0</v>
      </c>
      <c r="W199" t="e">
        <f>Table3[[#This Row],[OFC]]*Table3[[#This Row],[Demand]]</f>
        <v>#N/A</v>
      </c>
      <c r="X199" t="e">
        <f>Table3[[#This Row],[TFC]]*Table3[[#This Row],[Demand]]</f>
        <v>#N/A</v>
      </c>
      <c r="Y199" t="e">
        <f>Table3[[#This Row],[WFC]]*Table3[[#This Row],[Demand]]</f>
        <v>#N/A</v>
      </c>
      <c r="Z199" t="e">
        <f>Table3[[#This Row],[EAO]]*Table3[[#This Row],[Demand]]</f>
        <v>#N/A</v>
      </c>
      <c r="AA199" t="e">
        <f>Table3[[#This Row],[OCC]]*Table3[[#This Row],[Demand]]</f>
        <v>#N/A</v>
      </c>
      <c r="AB199" t="e">
        <f>Table3[[#This Row],[WEO]]*Table3[[#This Row],[Demand]]</f>
        <v>#N/A</v>
      </c>
      <c r="AC199" s="19" t="e">
        <f>SUM(Table35[[#This Row],[OFC]:[WEO]])</f>
        <v>#N/A</v>
      </c>
      <c r="AD199" s="19" t="e">
        <f>Table35[[#This Row],[Demand]]-Table35[[#This Row],[Total_Modeled_Demand]]</f>
        <v>#N/A</v>
      </c>
    </row>
    <row r="200" spans="2:30" x14ac:dyDescent="0.3">
      <c r="B200" s="3" t="str">
        <f>Table3[[#This Row],[Fiscal_Year]]*100+Table3[[#This Row],[Fiscal_Week]] &amp; "-" &amp;Table3[[#This Row],[Brand]]</f>
        <v>0-</v>
      </c>
      <c r="C200" t="str">
        <f t="shared" si="3"/>
        <v>-</v>
      </c>
      <c r="H200" s="3" t="e">
        <f>INDEX(Demand_Modeling!$A$13:$I$49,MATCH(Table3[[#This Row],[Key]],Demand_Modeling!$A$13:$A$49,0),MATCH(Table3[[#Headers],[OFC]],Demand_Modeling!$A$13:$I$13,0))</f>
        <v>#N/A</v>
      </c>
      <c r="I200" s="3" t="e">
        <f>INDEX(Demand_Modeling!$A$13:$I$49,MATCH(Table3[[#This Row],[Key]],Demand_Modeling!$A$13:$A$49,0),MATCH(Table3[[#Headers],[TFC]],Demand_Modeling!$A$13:$I$13,0))</f>
        <v>#N/A</v>
      </c>
      <c r="J200" s="3" t="e">
        <f>INDEX(Demand_Modeling!$A$13:$I$49,MATCH(Table3[[#This Row],[Key]],Demand_Modeling!$A$13:$A$49,0),MATCH(Table3[[#Headers],[WFC]],Demand_Modeling!$A$13:$I$13,0))</f>
        <v>#N/A</v>
      </c>
      <c r="K200" s="3" t="e">
        <f>INDEX(Demand_Modeling!$A$13:$I$49,MATCH(Table3[[#This Row],[Key]],Demand_Modeling!$A$13:$A$49,0),MATCH(Table3[[#Headers],[EAO]],Demand_Modeling!$A$13:$I$13,0))</f>
        <v>#N/A</v>
      </c>
      <c r="L200" s="3" t="e">
        <f>INDEX(Demand_Modeling!$A$13:$I$49,MATCH(Table3[[#This Row],[Key]],Demand_Modeling!$A$13:$A$49,0),MATCH(Table3[[#Headers],[OCC]],Demand_Modeling!$A$13:$I$13,0))</f>
        <v>#N/A</v>
      </c>
      <c r="M200" s="3" t="e">
        <f>INDEX(Demand_Modeling!$A$13:$I$49,MATCH(Table3[[#This Row],[Key]],Demand_Modeling!$A$13:$A$49,0),MATCH(Table3[[#Headers],[WEO]],Demand_Modeling!$A$13:$I$13,0))</f>
        <v>#N/A</v>
      </c>
      <c r="N200" s="19" t="e">
        <f>SUM(Table3[[#This Row],[OFC]:[WEO]])</f>
        <v>#N/A</v>
      </c>
      <c r="O200" s="19"/>
      <c r="Q200" s="3" t="str">
        <f>Table35[[#This Row],[Fiscal_Year]]*100+Table35[[#This Row],[Fiscal_Week]] &amp; "-" &amp;Table35[[#This Row],[Brand]]</f>
        <v>0-0</v>
      </c>
      <c r="R200" t="str">
        <f>Table3[[#This Row],[Key]]</f>
        <v>-</v>
      </c>
      <c r="S200">
        <f>Table3[[#This Row],[Fiscal_Year]]</f>
        <v>0</v>
      </c>
      <c r="T200">
        <f>Table3[[#This Row],[Fiscal_Week]]</f>
        <v>0</v>
      </c>
      <c r="U200">
        <f>Table3[[#This Row],[Brand]]</f>
        <v>0</v>
      </c>
      <c r="V200">
        <f>Table3[[#This Row],[Demand]]</f>
        <v>0</v>
      </c>
      <c r="W200" t="e">
        <f>Table3[[#This Row],[OFC]]*Table3[[#This Row],[Demand]]</f>
        <v>#N/A</v>
      </c>
      <c r="X200" t="e">
        <f>Table3[[#This Row],[TFC]]*Table3[[#This Row],[Demand]]</f>
        <v>#N/A</v>
      </c>
      <c r="Y200" t="e">
        <f>Table3[[#This Row],[WFC]]*Table3[[#This Row],[Demand]]</f>
        <v>#N/A</v>
      </c>
      <c r="Z200" t="e">
        <f>Table3[[#This Row],[EAO]]*Table3[[#This Row],[Demand]]</f>
        <v>#N/A</v>
      </c>
      <c r="AA200" t="e">
        <f>Table3[[#This Row],[OCC]]*Table3[[#This Row],[Demand]]</f>
        <v>#N/A</v>
      </c>
      <c r="AB200" t="e">
        <f>Table3[[#This Row],[WEO]]*Table3[[#This Row],[Demand]]</f>
        <v>#N/A</v>
      </c>
      <c r="AC200" s="19" t="e">
        <f>SUM(Table35[[#This Row],[OFC]:[WEO]])</f>
        <v>#N/A</v>
      </c>
      <c r="AD200" s="19" t="e">
        <f>Table35[[#This Row],[Demand]]-Table35[[#This Row],[Total_Modeled_Demand]]</f>
        <v>#N/A</v>
      </c>
    </row>
    <row r="201" spans="2:30" x14ac:dyDescent="0.3">
      <c r="B201" s="3" t="str">
        <f>Table3[[#This Row],[Fiscal_Year]]*100+Table3[[#This Row],[Fiscal_Week]] &amp; "-" &amp;Table3[[#This Row],[Brand]]</f>
        <v>0-</v>
      </c>
      <c r="C201" t="str">
        <f t="shared" si="3"/>
        <v>-</v>
      </c>
      <c r="H201" s="3" t="e">
        <f>INDEX(Demand_Modeling!$A$13:$I$49,MATCH(Table3[[#This Row],[Key]],Demand_Modeling!$A$13:$A$49,0),MATCH(Table3[[#Headers],[OFC]],Demand_Modeling!$A$13:$I$13,0))</f>
        <v>#N/A</v>
      </c>
      <c r="I201" s="3" t="e">
        <f>INDEX(Demand_Modeling!$A$13:$I$49,MATCH(Table3[[#This Row],[Key]],Demand_Modeling!$A$13:$A$49,0),MATCH(Table3[[#Headers],[TFC]],Demand_Modeling!$A$13:$I$13,0))</f>
        <v>#N/A</v>
      </c>
      <c r="J201" s="3" t="e">
        <f>INDEX(Demand_Modeling!$A$13:$I$49,MATCH(Table3[[#This Row],[Key]],Demand_Modeling!$A$13:$A$49,0),MATCH(Table3[[#Headers],[WFC]],Demand_Modeling!$A$13:$I$13,0))</f>
        <v>#N/A</v>
      </c>
      <c r="K201" s="3" t="e">
        <f>INDEX(Demand_Modeling!$A$13:$I$49,MATCH(Table3[[#This Row],[Key]],Demand_Modeling!$A$13:$A$49,0),MATCH(Table3[[#Headers],[EAO]],Demand_Modeling!$A$13:$I$13,0))</f>
        <v>#N/A</v>
      </c>
      <c r="L201" s="3" t="e">
        <f>INDEX(Demand_Modeling!$A$13:$I$49,MATCH(Table3[[#This Row],[Key]],Demand_Modeling!$A$13:$A$49,0),MATCH(Table3[[#Headers],[OCC]],Demand_Modeling!$A$13:$I$13,0))</f>
        <v>#N/A</v>
      </c>
      <c r="M201" s="3" t="e">
        <f>INDEX(Demand_Modeling!$A$13:$I$49,MATCH(Table3[[#This Row],[Key]],Demand_Modeling!$A$13:$A$49,0),MATCH(Table3[[#Headers],[WEO]],Demand_Modeling!$A$13:$I$13,0))</f>
        <v>#N/A</v>
      </c>
      <c r="N201" s="19" t="e">
        <f>SUM(Table3[[#This Row],[OFC]:[WEO]])</f>
        <v>#N/A</v>
      </c>
      <c r="O201" s="19"/>
      <c r="Q201" s="3" t="str">
        <f>Table35[[#This Row],[Fiscal_Year]]*100+Table35[[#This Row],[Fiscal_Week]] &amp; "-" &amp;Table35[[#This Row],[Brand]]</f>
        <v>0-0</v>
      </c>
      <c r="R201" t="str">
        <f>Table3[[#This Row],[Key]]</f>
        <v>-</v>
      </c>
      <c r="S201">
        <f>Table3[[#This Row],[Fiscal_Year]]</f>
        <v>0</v>
      </c>
      <c r="T201">
        <f>Table3[[#This Row],[Fiscal_Week]]</f>
        <v>0</v>
      </c>
      <c r="U201">
        <f>Table3[[#This Row],[Brand]]</f>
        <v>0</v>
      </c>
      <c r="V201">
        <f>Table3[[#This Row],[Demand]]</f>
        <v>0</v>
      </c>
      <c r="W201" t="e">
        <f>Table3[[#This Row],[OFC]]*Table3[[#This Row],[Demand]]</f>
        <v>#N/A</v>
      </c>
      <c r="X201" t="e">
        <f>Table3[[#This Row],[TFC]]*Table3[[#This Row],[Demand]]</f>
        <v>#N/A</v>
      </c>
      <c r="Y201" t="e">
        <f>Table3[[#This Row],[WFC]]*Table3[[#This Row],[Demand]]</f>
        <v>#N/A</v>
      </c>
      <c r="Z201" t="e">
        <f>Table3[[#This Row],[EAO]]*Table3[[#This Row],[Demand]]</f>
        <v>#N/A</v>
      </c>
      <c r="AA201" t="e">
        <f>Table3[[#This Row],[OCC]]*Table3[[#This Row],[Demand]]</f>
        <v>#N/A</v>
      </c>
      <c r="AB201" t="e">
        <f>Table3[[#This Row],[WEO]]*Table3[[#This Row],[Demand]]</f>
        <v>#N/A</v>
      </c>
      <c r="AC201" s="19" t="e">
        <f>SUM(Table35[[#This Row],[OFC]:[WEO]])</f>
        <v>#N/A</v>
      </c>
      <c r="AD201" s="19" t="e">
        <f>Table35[[#This Row],[Demand]]-Table35[[#This Row],[Total_Modeled_Demand]]</f>
        <v>#N/A</v>
      </c>
    </row>
    <row r="202" spans="2:30" x14ac:dyDescent="0.3">
      <c r="B202" s="3" t="str">
        <f>Table3[[#This Row],[Fiscal_Year]]*100+Table3[[#This Row],[Fiscal_Week]] &amp; "-" &amp;Table3[[#This Row],[Brand]]</f>
        <v>0-</v>
      </c>
      <c r="C202" t="str">
        <f t="shared" si="3"/>
        <v>-</v>
      </c>
      <c r="H202" s="3" t="e">
        <f>INDEX(Demand_Modeling!$A$13:$I$49,MATCH(Table3[[#This Row],[Key]],Demand_Modeling!$A$13:$A$49,0),MATCH(Table3[[#Headers],[OFC]],Demand_Modeling!$A$13:$I$13,0))</f>
        <v>#N/A</v>
      </c>
      <c r="I202" s="3" t="e">
        <f>INDEX(Demand_Modeling!$A$13:$I$49,MATCH(Table3[[#This Row],[Key]],Demand_Modeling!$A$13:$A$49,0),MATCH(Table3[[#Headers],[TFC]],Demand_Modeling!$A$13:$I$13,0))</f>
        <v>#N/A</v>
      </c>
      <c r="J202" s="3" t="e">
        <f>INDEX(Demand_Modeling!$A$13:$I$49,MATCH(Table3[[#This Row],[Key]],Demand_Modeling!$A$13:$A$49,0),MATCH(Table3[[#Headers],[WFC]],Demand_Modeling!$A$13:$I$13,0))</f>
        <v>#N/A</v>
      </c>
      <c r="K202" s="3" t="e">
        <f>INDEX(Demand_Modeling!$A$13:$I$49,MATCH(Table3[[#This Row],[Key]],Demand_Modeling!$A$13:$A$49,0),MATCH(Table3[[#Headers],[EAO]],Demand_Modeling!$A$13:$I$13,0))</f>
        <v>#N/A</v>
      </c>
      <c r="L202" s="3" t="e">
        <f>INDEX(Demand_Modeling!$A$13:$I$49,MATCH(Table3[[#This Row],[Key]],Demand_Modeling!$A$13:$A$49,0),MATCH(Table3[[#Headers],[OCC]],Demand_Modeling!$A$13:$I$13,0))</f>
        <v>#N/A</v>
      </c>
      <c r="M202" s="3" t="e">
        <f>INDEX(Demand_Modeling!$A$13:$I$49,MATCH(Table3[[#This Row],[Key]],Demand_Modeling!$A$13:$A$49,0),MATCH(Table3[[#Headers],[WEO]],Demand_Modeling!$A$13:$I$13,0))</f>
        <v>#N/A</v>
      </c>
      <c r="N202" s="19" t="e">
        <f>SUM(Table3[[#This Row],[OFC]:[WEO]])</f>
        <v>#N/A</v>
      </c>
      <c r="O202" s="19"/>
      <c r="Q202" s="3" t="str">
        <f>Table35[[#This Row],[Fiscal_Year]]*100+Table35[[#This Row],[Fiscal_Week]] &amp; "-" &amp;Table35[[#This Row],[Brand]]</f>
        <v>0-0</v>
      </c>
      <c r="R202" t="str">
        <f>Table3[[#This Row],[Key]]</f>
        <v>-</v>
      </c>
      <c r="S202">
        <f>Table3[[#This Row],[Fiscal_Year]]</f>
        <v>0</v>
      </c>
      <c r="T202">
        <f>Table3[[#This Row],[Fiscal_Week]]</f>
        <v>0</v>
      </c>
      <c r="U202">
        <f>Table3[[#This Row],[Brand]]</f>
        <v>0</v>
      </c>
      <c r="V202">
        <f>Table3[[#This Row],[Demand]]</f>
        <v>0</v>
      </c>
      <c r="W202" t="e">
        <f>Table3[[#This Row],[OFC]]*Table3[[#This Row],[Demand]]</f>
        <v>#N/A</v>
      </c>
      <c r="X202" t="e">
        <f>Table3[[#This Row],[TFC]]*Table3[[#This Row],[Demand]]</f>
        <v>#N/A</v>
      </c>
      <c r="Y202" t="e">
        <f>Table3[[#This Row],[WFC]]*Table3[[#This Row],[Demand]]</f>
        <v>#N/A</v>
      </c>
      <c r="Z202" t="e">
        <f>Table3[[#This Row],[EAO]]*Table3[[#This Row],[Demand]]</f>
        <v>#N/A</v>
      </c>
      <c r="AA202" t="e">
        <f>Table3[[#This Row],[OCC]]*Table3[[#This Row],[Demand]]</f>
        <v>#N/A</v>
      </c>
      <c r="AB202" t="e">
        <f>Table3[[#This Row],[WEO]]*Table3[[#This Row],[Demand]]</f>
        <v>#N/A</v>
      </c>
      <c r="AC202" s="19" t="e">
        <f>SUM(Table35[[#This Row],[OFC]:[WEO]])</f>
        <v>#N/A</v>
      </c>
      <c r="AD202" s="19" t="e">
        <f>Table35[[#This Row],[Demand]]-Table35[[#This Row],[Total_Modeled_Demand]]</f>
        <v>#N/A</v>
      </c>
    </row>
    <row r="203" spans="2:30" x14ac:dyDescent="0.3">
      <c r="B203" s="3" t="str">
        <f>Table3[[#This Row],[Fiscal_Year]]*100+Table3[[#This Row],[Fiscal_Week]] &amp; "-" &amp;Table3[[#This Row],[Brand]]</f>
        <v>0-</v>
      </c>
      <c r="C203" t="str">
        <f t="shared" si="3"/>
        <v>-</v>
      </c>
      <c r="H203" s="3" t="e">
        <f>INDEX(Demand_Modeling!$A$13:$I$49,MATCH(Table3[[#This Row],[Key]],Demand_Modeling!$A$13:$A$49,0),MATCH(Table3[[#Headers],[OFC]],Demand_Modeling!$A$13:$I$13,0))</f>
        <v>#N/A</v>
      </c>
      <c r="I203" s="3" t="e">
        <f>INDEX(Demand_Modeling!$A$13:$I$49,MATCH(Table3[[#This Row],[Key]],Demand_Modeling!$A$13:$A$49,0),MATCH(Table3[[#Headers],[TFC]],Demand_Modeling!$A$13:$I$13,0))</f>
        <v>#N/A</v>
      </c>
      <c r="J203" s="3" t="e">
        <f>INDEX(Demand_Modeling!$A$13:$I$49,MATCH(Table3[[#This Row],[Key]],Demand_Modeling!$A$13:$A$49,0),MATCH(Table3[[#Headers],[WFC]],Demand_Modeling!$A$13:$I$13,0))</f>
        <v>#N/A</v>
      </c>
      <c r="K203" s="3" t="e">
        <f>INDEX(Demand_Modeling!$A$13:$I$49,MATCH(Table3[[#This Row],[Key]],Demand_Modeling!$A$13:$A$49,0),MATCH(Table3[[#Headers],[EAO]],Demand_Modeling!$A$13:$I$13,0))</f>
        <v>#N/A</v>
      </c>
      <c r="L203" s="3" t="e">
        <f>INDEX(Demand_Modeling!$A$13:$I$49,MATCH(Table3[[#This Row],[Key]],Demand_Modeling!$A$13:$A$49,0),MATCH(Table3[[#Headers],[OCC]],Demand_Modeling!$A$13:$I$13,0))</f>
        <v>#N/A</v>
      </c>
      <c r="M203" s="3" t="e">
        <f>INDEX(Demand_Modeling!$A$13:$I$49,MATCH(Table3[[#This Row],[Key]],Demand_Modeling!$A$13:$A$49,0),MATCH(Table3[[#Headers],[WEO]],Demand_Modeling!$A$13:$I$13,0))</f>
        <v>#N/A</v>
      </c>
      <c r="N203" s="19" t="e">
        <f>SUM(Table3[[#This Row],[OFC]:[WEO]])</f>
        <v>#N/A</v>
      </c>
      <c r="O203" s="19"/>
      <c r="Q203" s="3" t="str">
        <f>Table35[[#This Row],[Fiscal_Year]]*100+Table35[[#This Row],[Fiscal_Week]] &amp; "-" &amp;Table35[[#This Row],[Brand]]</f>
        <v>0-0</v>
      </c>
      <c r="R203" t="str">
        <f>Table3[[#This Row],[Key]]</f>
        <v>-</v>
      </c>
      <c r="S203">
        <f>Table3[[#This Row],[Fiscal_Year]]</f>
        <v>0</v>
      </c>
      <c r="T203">
        <f>Table3[[#This Row],[Fiscal_Week]]</f>
        <v>0</v>
      </c>
      <c r="U203">
        <f>Table3[[#This Row],[Brand]]</f>
        <v>0</v>
      </c>
      <c r="V203">
        <f>Table3[[#This Row],[Demand]]</f>
        <v>0</v>
      </c>
      <c r="W203" t="e">
        <f>Table3[[#This Row],[OFC]]*Table3[[#This Row],[Demand]]</f>
        <v>#N/A</v>
      </c>
      <c r="X203" t="e">
        <f>Table3[[#This Row],[TFC]]*Table3[[#This Row],[Demand]]</f>
        <v>#N/A</v>
      </c>
      <c r="Y203" t="e">
        <f>Table3[[#This Row],[WFC]]*Table3[[#This Row],[Demand]]</f>
        <v>#N/A</v>
      </c>
      <c r="Z203" t="e">
        <f>Table3[[#This Row],[EAO]]*Table3[[#This Row],[Demand]]</f>
        <v>#N/A</v>
      </c>
      <c r="AA203" t="e">
        <f>Table3[[#This Row],[OCC]]*Table3[[#This Row],[Demand]]</f>
        <v>#N/A</v>
      </c>
      <c r="AB203" t="e">
        <f>Table3[[#This Row],[WEO]]*Table3[[#This Row],[Demand]]</f>
        <v>#N/A</v>
      </c>
      <c r="AC203" s="19" t="e">
        <f>SUM(Table35[[#This Row],[OFC]:[WEO]])</f>
        <v>#N/A</v>
      </c>
      <c r="AD203" s="19" t="e">
        <f>Table35[[#This Row],[Demand]]-Table35[[#This Row],[Total_Modeled_Demand]]</f>
        <v>#N/A</v>
      </c>
    </row>
    <row r="204" spans="2:30" x14ac:dyDescent="0.3">
      <c r="B204" s="3" t="str">
        <f>Table3[[#This Row],[Fiscal_Year]]*100+Table3[[#This Row],[Fiscal_Week]] &amp; "-" &amp;Table3[[#This Row],[Brand]]</f>
        <v>0-</v>
      </c>
      <c r="C204" t="str">
        <f t="shared" si="3"/>
        <v>-</v>
      </c>
      <c r="H204" s="3" t="e">
        <f>INDEX(Demand_Modeling!$A$13:$I$49,MATCH(Table3[[#This Row],[Key]],Demand_Modeling!$A$13:$A$49,0),MATCH(Table3[[#Headers],[OFC]],Demand_Modeling!$A$13:$I$13,0))</f>
        <v>#N/A</v>
      </c>
      <c r="I204" s="3" t="e">
        <f>INDEX(Demand_Modeling!$A$13:$I$49,MATCH(Table3[[#This Row],[Key]],Demand_Modeling!$A$13:$A$49,0),MATCH(Table3[[#Headers],[TFC]],Demand_Modeling!$A$13:$I$13,0))</f>
        <v>#N/A</v>
      </c>
      <c r="J204" s="3" t="e">
        <f>INDEX(Demand_Modeling!$A$13:$I$49,MATCH(Table3[[#This Row],[Key]],Demand_Modeling!$A$13:$A$49,0),MATCH(Table3[[#Headers],[WFC]],Demand_Modeling!$A$13:$I$13,0))</f>
        <v>#N/A</v>
      </c>
      <c r="K204" s="3" t="e">
        <f>INDEX(Demand_Modeling!$A$13:$I$49,MATCH(Table3[[#This Row],[Key]],Demand_Modeling!$A$13:$A$49,0),MATCH(Table3[[#Headers],[EAO]],Demand_Modeling!$A$13:$I$13,0))</f>
        <v>#N/A</v>
      </c>
      <c r="L204" s="3" t="e">
        <f>INDEX(Demand_Modeling!$A$13:$I$49,MATCH(Table3[[#This Row],[Key]],Demand_Modeling!$A$13:$A$49,0),MATCH(Table3[[#Headers],[OCC]],Demand_Modeling!$A$13:$I$13,0))</f>
        <v>#N/A</v>
      </c>
      <c r="M204" s="3" t="e">
        <f>INDEX(Demand_Modeling!$A$13:$I$49,MATCH(Table3[[#This Row],[Key]],Demand_Modeling!$A$13:$A$49,0),MATCH(Table3[[#Headers],[WEO]],Demand_Modeling!$A$13:$I$13,0))</f>
        <v>#N/A</v>
      </c>
      <c r="N204" s="19" t="e">
        <f>SUM(Table3[[#This Row],[OFC]:[WEO]])</f>
        <v>#N/A</v>
      </c>
      <c r="O204" s="19"/>
      <c r="Q204" s="3" t="str">
        <f>Table35[[#This Row],[Fiscal_Year]]*100+Table35[[#This Row],[Fiscal_Week]] &amp; "-" &amp;Table35[[#This Row],[Brand]]</f>
        <v>0-0</v>
      </c>
      <c r="R204" t="str">
        <f>Table3[[#This Row],[Key]]</f>
        <v>-</v>
      </c>
      <c r="S204">
        <f>Table3[[#This Row],[Fiscal_Year]]</f>
        <v>0</v>
      </c>
      <c r="T204">
        <f>Table3[[#This Row],[Fiscal_Week]]</f>
        <v>0</v>
      </c>
      <c r="U204">
        <f>Table3[[#This Row],[Brand]]</f>
        <v>0</v>
      </c>
      <c r="V204">
        <f>Table3[[#This Row],[Demand]]</f>
        <v>0</v>
      </c>
      <c r="W204" t="e">
        <f>Table3[[#This Row],[OFC]]*Table3[[#This Row],[Demand]]</f>
        <v>#N/A</v>
      </c>
      <c r="X204" t="e">
        <f>Table3[[#This Row],[TFC]]*Table3[[#This Row],[Demand]]</f>
        <v>#N/A</v>
      </c>
      <c r="Y204" t="e">
        <f>Table3[[#This Row],[WFC]]*Table3[[#This Row],[Demand]]</f>
        <v>#N/A</v>
      </c>
      <c r="Z204" t="e">
        <f>Table3[[#This Row],[EAO]]*Table3[[#This Row],[Demand]]</f>
        <v>#N/A</v>
      </c>
      <c r="AA204" t="e">
        <f>Table3[[#This Row],[OCC]]*Table3[[#This Row],[Demand]]</f>
        <v>#N/A</v>
      </c>
      <c r="AB204" t="e">
        <f>Table3[[#This Row],[WEO]]*Table3[[#This Row],[Demand]]</f>
        <v>#N/A</v>
      </c>
      <c r="AC204" s="19" t="e">
        <f>SUM(Table35[[#This Row],[OFC]:[WEO]])</f>
        <v>#N/A</v>
      </c>
      <c r="AD204" s="19" t="e">
        <f>Table35[[#This Row],[Demand]]-Table35[[#This Row],[Total_Modeled_Demand]]</f>
        <v>#N/A</v>
      </c>
    </row>
    <row r="205" spans="2:30" x14ac:dyDescent="0.3">
      <c r="B205" s="3" t="str">
        <f>Table3[[#This Row],[Fiscal_Year]]*100+Table3[[#This Row],[Fiscal_Week]] &amp; "-" &amp;Table3[[#This Row],[Brand]]</f>
        <v>0-</v>
      </c>
      <c r="C205" t="str">
        <f t="shared" si="3"/>
        <v>-</v>
      </c>
      <c r="H205" s="3" t="e">
        <f>INDEX(Demand_Modeling!$A$13:$I$49,MATCH(Table3[[#This Row],[Key]],Demand_Modeling!$A$13:$A$49,0),MATCH(Table3[[#Headers],[OFC]],Demand_Modeling!$A$13:$I$13,0))</f>
        <v>#N/A</v>
      </c>
      <c r="I205" s="3" t="e">
        <f>INDEX(Demand_Modeling!$A$13:$I$49,MATCH(Table3[[#This Row],[Key]],Demand_Modeling!$A$13:$A$49,0),MATCH(Table3[[#Headers],[TFC]],Demand_Modeling!$A$13:$I$13,0))</f>
        <v>#N/A</v>
      </c>
      <c r="J205" s="3" t="e">
        <f>INDEX(Demand_Modeling!$A$13:$I$49,MATCH(Table3[[#This Row],[Key]],Demand_Modeling!$A$13:$A$49,0),MATCH(Table3[[#Headers],[WFC]],Demand_Modeling!$A$13:$I$13,0))</f>
        <v>#N/A</v>
      </c>
      <c r="K205" s="3" t="e">
        <f>INDEX(Demand_Modeling!$A$13:$I$49,MATCH(Table3[[#This Row],[Key]],Demand_Modeling!$A$13:$A$49,0),MATCH(Table3[[#Headers],[EAO]],Demand_Modeling!$A$13:$I$13,0))</f>
        <v>#N/A</v>
      </c>
      <c r="L205" s="3" t="e">
        <f>INDEX(Demand_Modeling!$A$13:$I$49,MATCH(Table3[[#This Row],[Key]],Demand_Modeling!$A$13:$A$49,0),MATCH(Table3[[#Headers],[OCC]],Demand_Modeling!$A$13:$I$13,0))</f>
        <v>#N/A</v>
      </c>
      <c r="M205" s="3" t="e">
        <f>INDEX(Demand_Modeling!$A$13:$I$49,MATCH(Table3[[#This Row],[Key]],Demand_Modeling!$A$13:$A$49,0),MATCH(Table3[[#Headers],[WEO]],Demand_Modeling!$A$13:$I$13,0))</f>
        <v>#N/A</v>
      </c>
      <c r="N205" s="19" t="e">
        <f>SUM(Table3[[#This Row],[OFC]:[WEO]])</f>
        <v>#N/A</v>
      </c>
      <c r="O205" s="19"/>
      <c r="Q205" s="3" t="str">
        <f>Table35[[#This Row],[Fiscal_Year]]*100+Table35[[#This Row],[Fiscal_Week]] &amp; "-" &amp;Table35[[#This Row],[Brand]]</f>
        <v>0-0</v>
      </c>
      <c r="R205" t="str">
        <f>Table3[[#This Row],[Key]]</f>
        <v>-</v>
      </c>
      <c r="S205">
        <f>Table3[[#This Row],[Fiscal_Year]]</f>
        <v>0</v>
      </c>
      <c r="T205">
        <f>Table3[[#This Row],[Fiscal_Week]]</f>
        <v>0</v>
      </c>
      <c r="U205">
        <f>Table3[[#This Row],[Brand]]</f>
        <v>0</v>
      </c>
      <c r="V205">
        <f>Table3[[#This Row],[Demand]]</f>
        <v>0</v>
      </c>
      <c r="W205" t="e">
        <f>Table3[[#This Row],[OFC]]*Table3[[#This Row],[Demand]]</f>
        <v>#N/A</v>
      </c>
      <c r="X205" t="e">
        <f>Table3[[#This Row],[TFC]]*Table3[[#This Row],[Demand]]</f>
        <v>#N/A</v>
      </c>
      <c r="Y205" t="e">
        <f>Table3[[#This Row],[WFC]]*Table3[[#This Row],[Demand]]</f>
        <v>#N/A</v>
      </c>
      <c r="Z205" t="e">
        <f>Table3[[#This Row],[EAO]]*Table3[[#This Row],[Demand]]</f>
        <v>#N/A</v>
      </c>
      <c r="AA205" t="e">
        <f>Table3[[#This Row],[OCC]]*Table3[[#This Row],[Demand]]</f>
        <v>#N/A</v>
      </c>
      <c r="AB205" t="e">
        <f>Table3[[#This Row],[WEO]]*Table3[[#This Row],[Demand]]</f>
        <v>#N/A</v>
      </c>
      <c r="AC205" s="19" t="e">
        <f>SUM(Table35[[#This Row],[OFC]:[WEO]])</f>
        <v>#N/A</v>
      </c>
      <c r="AD205" s="19" t="e">
        <f>Table35[[#This Row],[Demand]]-Table35[[#This Row],[Total_Modeled_Demand]]</f>
        <v>#N/A</v>
      </c>
    </row>
    <row r="206" spans="2:30" x14ac:dyDescent="0.3">
      <c r="B206" s="3" t="str">
        <f>Table3[[#This Row],[Fiscal_Year]]*100+Table3[[#This Row],[Fiscal_Week]] &amp; "-" &amp;Table3[[#This Row],[Brand]]</f>
        <v>0-</v>
      </c>
      <c r="C206" t="str">
        <f t="shared" si="3"/>
        <v>-</v>
      </c>
      <c r="H206" s="3" t="e">
        <f>INDEX(Demand_Modeling!$A$13:$I$49,MATCH(Table3[[#This Row],[Key]],Demand_Modeling!$A$13:$A$49,0),MATCH(Table3[[#Headers],[OFC]],Demand_Modeling!$A$13:$I$13,0))</f>
        <v>#N/A</v>
      </c>
      <c r="I206" s="3" t="e">
        <f>INDEX(Demand_Modeling!$A$13:$I$49,MATCH(Table3[[#This Row],[Key]],Demand_Modeling!$A$13:$A$49,0),MATCH(Table3[[#Headers],[TFC]],Demand_Modeling!$A$13:$I$13,0))</f>
        <v>#N/A</v>
      </c>
      <c r="J206" s="3" t="e">
        <f>INDEX(Demand_Modeling!$A$13:$I$49,MATCH(Table3[[#This Row],[Key]],Demand_Modeling!$A$13:$A$49,0),MATCH(Table3[[#Headers],[WFC]],Demand_Modeling!$A$13:$I$13,0))</f>
        <v>#N/A</v>
      </c>
      <c r="K206" s="3" t="e">
        <f>INDEX(Demand_Modeling!$A$13:$I$49,MATCH(Table3[[#This Row],[Key]],Demand_Modeling!$A$13:$A$49,0),MATCH(Table3[[#Headers],[EAO]],Demand_Modeling!$A$13:$I$13,0))</f>
        <v>#N/A</v>
      </c>
      <c r="L206" s="3" t="e">
        <f>INDEX(Demand_Modeling!$A$13:$I$49,MATCH(Table3[[#This Row],[Key]],Demand_Modeling!$A$13:$A$49,0),MATCH(Table3[[#Headers],[OCC]],Demand_Modeling!$A$13:$I$13,0))</f>
        <v>#N/A</v>
      </c>
      <c r="M206" s="3" t="e">
        <f>INDEX(Demand_Modeling!$A$13:$I$49,MATCH(Table3[[#This Row],[Key]],Demand_Modeling!$A$13:$A$49,0),MATCH(Table3[[#Headers],[WEO]],Demand_Modeling!$A$13:$I$13,0))</f>
        <v>#N/A</v>
      </c>
      <c r="N206" s="19" t="e">
        <f>SUM(Table3[[#This Row],[OFC]:[WEO]])</f>
        <v>#N/A</v>
      </c>
      <c r="O206" s="19"/>
      <c r="Q206" s="3" t="str">
        <f>Table35[[#This Row],[Fiscal_Year]]*100+Table35[[#This Row],[Fiscal_Week]] &amp; "-" &amp;Table35[[#This Row],[Brand]]</f>
        <v>0-0</v>
      </c>
      <c r="R206" t="str">
        <f>Table3[[#This Row],[Key]]</f>
        <v>-</v>
      </c>
      <c r="S206">
        <f>Table3[[#This Row],[Fiscal_Year]]</f>
        <v>0</v>
      </c>
      <c r="T206">
        <f>Table3[[#This Row],[Fiscal_Week]]</f>
        <v>0</v>
      </c>
      <c r="U206">
        <f>Table3[[#This Row],[Brand]]</f>
        <v>0</v>
      </c>
      <c r="V206">
        <f>Table3[[#This Row],[Demand]]</f>
        <v>0</v>
      </c>
      <c r="W206" t="e">
        <f>Table3[[#This Row],[OFC]]*Table3[[#This Row],[Demand]]</f>
        <v>#N/A</v>
      </c>
      <c r="X206" t="e">
        <f>Table3[[#This Row],[TFC]]*Table3[[#This Row],[Demand]]</f>
        <v>#N/A</v>
      </c>
      <c r="Y206" t="e">
        <f>Table3[[#This Row],[WFC]]*Table3[[#This Row],[Demand]]</f>
        <v>#N/A</v>
      </c>
      <c r="Z206" t="e">
        <f>Table3[[#This Row],[EAO]]*Table3[[#This Row],[Demand]]</f>
        <v>#N/A</v>
      </c>
      <c r="AA206" t="e">
        <f>Table3[[#This Row],[OCC]]*Table3[[#This Row],[Demand]]</f>
        <v>#N/A</v>
      </c>
      <c r="AB206" t="e">
        <f>Table3[[#This Row],[WEO]]*Table3[[#This Row],[Demand]]</f>
        <v>#N/A</v>
      </c>
      <c r="AC206" s="19" t="e">
        <f>SUM(Table35[[#This Row],[OFC]:[WEO]])</f>
        <v>#N/A</v>
      </c>
      <c r="AD206" s="19" t="e">
        <f>Table35[[#This Row],[Demand]]-Table35[[#This Row],[Total_Modeled_Demand]]</f>
        <v>#N/A</v>
      </c>
    </row>
    <row r="207" spans="2:30" x14ac:dyDescent="0.3">
      <c r="B207" s="3" t="str">
        <f>Table3[[#This Row],[Fiscal_Year]]*100+Table3[[#This Row],[Fiscal_Week]] &amp; "-" &amp;Table3[[#This Row],[Brand]]</f>
        <v>0-</v>
      </c>
      <c r="C207" t="str">
        <f t="shared" si="3"/>
        <v>-</v>
      </c>
      <c r="H207" s="3" t="e">
        <f>INDEX(Demand_Modeling!$A$13:$I$49,MATCH(Table3[[#This Row],[Key]],Demand_Modeling!$A$13:$A$49,0),MATCH(Table3[[#Headers],[OFC]],Demand_Modeling!$A$13:$I$13,0))</f>
        <v>#N/A</v>
      </c>
      <c r="I207" s="3" t="e">
        <f>INDEX(Demand_Modeling!$A$13:$I$49,MATCH(Table3[[#This Row],[Key]],Demand_Modeling!$A$13:$A$49,0),MATCH(Table3[[#Headers],[TFC]],Demand_Modeling!$A$13:$I$13,0))</f>
        <v>#N/A</v>
      </c>
      <c r="J207" s="3" t="e">
        <f>INDEX(Demand_Modeling!$A$13:$I$49,MATCH(Table3[[#This Row],[Key]],Demand_Modeling!$A$13:$A$49,0),MATCH(Table3[[#Headers],[WFC]],Demand_Modeling!$A$13:$I$13,0))</f>
        <v>#N/A</v>
      </c>
      <c r="K207" s="3" t="e">
        <f>INDEX(Demand_Modeling!$A$13:$I$49,MATCH(Table3[[#This Row],[Key]],Demand_Modeling!$A$13:$A$49,0),MATCH(Table3[[#Headers],[EAO]],Demand_Modeling!$A$13:$I$13,0))</f>
        <v>#N/A</v>
      </c>
      <c r="L207" s="3" t="e">
        <f>INDEX(Demand_Modeling!$A$13:$I$49,MATCH(Table3[[#This Row],[Key]],Demand_Modeling!$A$13:$A$49,0),MATCH(Table3[[#Headers],[OCC]],Demand_Modeling!$A$13:$I$13,0))</f>
        <v>#N/A</v>
      </c>
      <c r="M207" s="3" t="e">
        <f>INDEX(Demand_Modeling!$A$13:$I$49,MATCH(Table3[[#This Row],[Key]],Demand_Modeling!$A$13:$A$49,0),MATCH(Table3[[#Headers],[WEO]],Demand_Modeling!$A$13:$I$13,0))</f>
        <v>#N/A</v>
      </c>
      <c r="N207" s="19" t="e">
        <f>SUM(Table3[[#This Row],[OFC]:[WEO]])</f>
        <v>#N/A</v>
      </c>
      <c r="O207" s="19"/>
      <c r="Q207" s="3" t="str">
        <f>Table35[[#This Row],[Fiscal_Year]]*100+Table35[[#This Row],[Fiscal_Week]] &amp; "-" &amp;Table35[[#This Row],[Brand]]</f>
        <v>0-0</v>
      </c>
      <c r="R207" t="str">
        <f>Table3[[#This Row],[Key]]</f>
        <v>-</v>
      </c>
      <c r="S207">
        <f>Table3[[#This Row],[Fiscal_Year]]</f>
        <v>0</v>
      </c>
      <c r="T207">
        <f>Table3[[#This Row],[Fiscal_Week]]</f>
        <v>0</v>
      </c>
      <c r="U207">
        <f>Table3[[#This Row],[Brand]]</f>
        <v>0</v>
      </c>
      <c r="V207">
        <f>Table3[[#This Row],[Demand]]</f>
        <v>0</v>
      </c>
      <c r="W207" t="e">
        <f>Table3[[#This Row],[OFC]]*Table3[[#This Row],[Demand]]</f>
        <v>#N/A</v>
      </c>
      <c r="X207" t="e">
        <f>Table3[[#This Row],[TFC]]*Table3[[#This Row],[Demand]]</f>
        <v>#N/A</v>
      </c>
      <c r="Y207" t="e">
        <f>Table3[[#This Row],[WFC]]*Table3[[#This Row],[Demand]]</f>
        <v>#N/A</v>
      </c>
      <c r="Z207" t="e">
        <f>Table3[[#This Row],[EAO]]*Table3[[#This Row],[Demand]]</f>
        <v>#N/A</v>
      </c>
      <c r="AA207" t="e">
        <f>Table3[[#This Row],[OCC]]*Table3[[#This Row],[Demand]]</f>
        <v>#N/A</v>
      </c>
      <c r="AB207" t="e">
        <f>Table3[[#This Row],[WEO]]*Table3[[#This Row],[Demand]]</f>
        <v>#N/A</v>
      </c>
      <c r="AC207" s="19" t="e">
        <f>SUM(Table35[[#This Row],[OFC]:[WEO]])</f>
        <v>#N/A</v>
      </c>
      <c r="AD207" s="19" t="e">
        <f>Table35[[#This Row],[Demand]]-Table35[[#This Row],[Total_Modeled_Demand]]</f>
        <v>#N/A</v>
      </c>
    </row>
    <row r="208" spans="2:30" x14ac:dyDescent="0.3">
      <c r="B208" s="3" t="str">
        <f>Table3[[#This Row],[Fiscal_Year]]*100+Table3[[#This Row],[Fiscal_Week]] &amp; "-" &amp;Table3[[#This Row],[Brand]]</f>
        <v>0-</v>
      </c>
      <c r="C208" t="str">
        <f t="shared" si="3"/>
        <v>-</v>
      </c>
      <c r="H208" s="3" t="e">
        <f>INDEX(Demand_Modeling!$A$13:$I$49,MATCH(Table3[[#This Row],[Key]],Demand_Modeling!$A$13:$A$49,0),MATCH(Table3[[#Headers],[OFC]],Demand_Modeling!$A$13:$I$13,0))</f>
        <v>#N/A</v>
      </c>
      <c r="I208" s="3" t="e">
        <f>INDEX(Demand_Modeling!$A$13:$I$49,MATCH(Table3[[#This Row],[Key]],Demand_Modeling!$A$13:$A$49,0),MATCH(Table3[[#Headers],[TFC]],Demand_Modeling!$A$13:$I$13,0))</f>
        <v>#N/A</v>
      </c>
      <c r="J208" s="3" t="e">
        <f>INDEX(Demand_Modeling!$A$13:$I$49,MATCH(Table3[[#This Row],[Key]],Demand_Modeling!$A$13:$A$49,0),MATCH(Table3[[#Headers],[WFC]],Demand_Modeling!$A$13:$I$13,0))</f>
        <v>#N/A</v>
      </c>
      <c r="K208" s="3" t="e">
        <f>INDEX(Demand_Modeling!$A$13:$I$49,MATCH(Table3[[#This Row],[Key]],Demand_Modeling!$A$13:$A$49,0),MATCH(Table3[[#Headers],[EAO]],Demand_Modeling!$A$13:$I$13,0))</f>
        <v>#N/A</v>
      </c>
      <c r="L208" s="3" t="e">
        <f>INDEX(Demand_Modeling!$A$13:$I$49,MATCH(Table3[[#This Row],[Key]],Demand_Modeling!$A$13:$A$49,0),MATCH(Table3[[#Headers],[OCC]],Demand_Modeling!$A$13:$I$13,0))</f>
        <v>#N/A</v>
      </c>
      <c r="M208" s="3" t="e">
        <f>INDEX(Demand_Modeling!$A$13:$I$49,MATCH(Table3[[#This Row],[Key]],Demand_Modeling!$A$13:$A$49,0),MATCH(Table3[[#Headers],[WEO]],Demand_Modeling!$A$13:$I$13,0))</f>
        <v>#N/A</v>
      </c>
      <c r="N208" s="19" t="e">
        <f>SUM(Table3[[#This Row],[OFC]:[WEO]])</f>
        <v>#N/A</v>
      </c>
      <c r="O208" s="19"/>
      <c r="Q208" s="3" t="str">
        <f>Table35[[#This Row],[Fiscal_Year]]*100+Table35[[#This Row],[Fiscal_Week]] &amp; "-" &amp;Table35[[#This Row],[Brand]]</f>
        <v>0-0</v>
      </c>
      <c r="R208" t="str">
        <f>Table3[[#This Row],[Key]]</f>
        <v>-</v>
      </c>
      <c r="S208">
        <f>Table3[[#This Row],[Fiscal_Year]]</f>
        <v>0</v>
      </c>
      <c r="T208">
        <f>Table3[[#This Row],[Fiscal_Week]]</f>
        <v>0</v>
      </c>
      <c r="U208">
        <f>Table3[[#This Row],[Brand]]</f>
        <v>0</v>
      </c>
      <c r="V208">
        <f>Table3[[#This Row],[Demand]]</f>
        <v>0</v>
      </c>
      <c r="W208" t="e">
        <f>Table3[[#This Row],[OFC]]*Table3[[#This Row],[Demand]]</f>
        <v>#N/A</v>
      </c>
      <c r="X208" t="e">
        <f>Table3[[#This Row],[TFC]]*Table3[[#This Row],[Demand]]</f>
        <v>#N/A</v>
      </c>
      <c r="Y208" t="e">
        <f>Table3[[#This Row],[WFC]]*Table3[[#This Row],[Demand]]</f>
        <v>#N/A</v>
      </c>
      <c r="Z208" t="e">
        <f>Table3[[#This Row],[EAO]]*Table3[[#This Row],[Demand]]</f>
        <v>#N/A</v>
      </c>
      <c r="AA208" t="e">
        <f>Table3[[#This Row],[OCC]]*Table3[[#This Row],[Demand]]</f>
        <v>#N/A</v>
      </c>
      <c r="AB208" t="e">
        <f>Table3[[#This Row],[WEO]]*Table3[[#This Row],[Demand]]</f>
        <v>#N/A</v>
      </c>
      <c r="AC208" s="19" t="e">
        <f>SUM(Table35[[#This Row],[OFC]:[WEO]])</f>
        <v>#N/A</v>
      </c>
      <c r="AD208" s="19" t="e">
        <f>Table35[[#This Row],[Demand]]-Table35[[#This Row],[Total_Modeled_Demand]]</f>
        <v>#N/A</v>
      </c>
    </row>
    <row r="209" spans="2:30" x14ac:dyDescent="0.3">
      <c r="B209" s="3" t="str">
        <f>Table3[[#This Row],[Fiscal_Year]]*100+Table3[[#This Row],[Fiscal_Week]] &amp; "-" &amp;Table3[[#This Row],[Brand]]</f>
        <v>0-</v>
      </c>
      <c r="C209" t="str">
        <f t="shared" si="3"/>
        <v>-</v>
      </c>
      <c r="H209" s="3" t="e">
        <f>INDEX(Demand_Modeling!$A$13:$I$49,MATCH(Table3[[#This Row],[Key]],Demand_Modeling!$A$13:$A$49,0),MATCH(Table3[[#Headers],[OFC]],Demand_Modeling!$A$13:$I$13,0))</f>
        <v>#N/A</v>
      </c>
      <c r="I209" s="3" t="e">
        <f>INDEX(Demand_Modeling!$A$13:$I$49,MATCH(Table3[[#This Row],[Key]],Demand_Modeling!$A$13:$A$49,0),MATCH(Table3[[#Headers],[TFC]],Demand_Modeling!$A$13:$I$13,0))</f>
        <v>#N/A</v>
      </c>
      <c r="J209" s="3" t="e">
        <f>INDEX(Demand_Modeling!$A$13:$I$49,MATCH(Table3[[#This Row],[Key]],Demand_Modeling!$A$13:$A$49,0),MATCH(Table3[[#Headers],[WFC]],Demand_Modeling!$A$13:$I$13,0))</f>
        <v>#N/A</v>
      </c>
      <c r="K209" s="3" t="e">
        <f>INDEX(Demand_Modeling!$A$13:$I$49,MATCH(Table3[[#This Row],[Key]],Demand_Modeling!$A$13:$A$49,0),MATCH(Table3[[#Headers],[EAO]],Demand_Modeling!$A$13:$I$13,0))</f>
        <v>#N/A</v>
      </c>
      <c r="L209" s="3" t="e">
        <f>INDEX(Demand_Modeling!$A$13:$I$49,MATCH(Table3[[#This Row],[Key]],Demand_Modeling!$A$13:$A$49,0),MATCH(Table3[[#Headers],[OCC]],Demand_Modeling!$A$13:$I$13,0))</f>
        <v>#N/A</v>
      </c>
      <c r="M209" s="3" t="e">
        <f>INDEX(Demand_Modeling!$A$13:$I$49,MATCH(Table3[[#This Row],[Key]],Demand_Modeling!$A$13:$A$49,0),MATCH(Table3[[#Headers],[WEO]],Demand_Modeling!$A$13:$I$13,0))</f>
        <v>#N/A</v>
      </c>
      <c r="N209" s="19" t="e">
        <f>SUM(Table3[[#This Row],[OFC]:[WEO]])</f>
        <v>#N/A</v>
      </c>
      <c r="O209" s="19"/>
      <c r="Q209" s="3" t="str">
        <f>Table35[[#This Row],[Fiscal_Year]]*100+Table35[[#This Row],[Fiscal_Week]] &amp; "-" &amp;Table35[[#This Row],[Brand]]</f>
        <v>0-0</v>
      </c>
      <c r="R209" t="str">
        <f>Table3[[#This Row],[Key]]</f>
        <v>-</v>
      </c>
      <c r="S209">
        <f>Table3[[#This Row],[Fiscal_Year]]</f>
        <v>0</v>
      </c>
      <c r="T209">
        <f>Table3[[#This Row],[Fiscal_Week]]</f>
        <v>0</v>
      </c>
      <c r="U209">
        <f>Table3[[#This Row],[Brand]]</f>
        <v>0</v>
      </c>
      <c r="V209">
        <f>Table3[[#This Row],[Demand]]</f>
        <v>0</v>
      </c>
      <c r="W209" t="e">
        <f>Table3[[#This Row],[OFC]]*Table3[[#This Row],[Demand]]</f>
        <v>#N/A</v>
      </c>
      <c r="X209" t="e">
        <f>Table3[[#This Row],[TFC]]*Table3[[#This Row],[Demand]]</f>
        <v>#N/A</v>
      </c>
      <c r="Y209" t="e">
        <f>Table3[[#This Row],[WFC]]*Table3[[#This Row],[Demand]]</f>
        <v>#N/A</v>
      </c>
      <c r="Z209" t="e">
        <f>Table3[[#This Row],[EAO]]*Table3[[#This Row],[Demand]]</f>
        <v>#N/A</v>
      </c>
      <c r="AA209" t="e">
        <f>Table3[[#This Row],[OCC]]*Table3[[#This Row],[Demand]]</f>
        <v>#N/A</v>
      </c>
      <c r="AB209" t="e">
        <f>Table3[[#This Row],[WEO]]*Table3[[#This Row],[Demand]]</f>
        <v>#N/A</v>
      </c>
      <c r="AC209" s="19" t="e">
        <f>SUM(Table35[[#This Row],[OFC]:[WEO]])</f>
        <v>#N/A</v>
      </c>
      <c r="AD209" s="19" t="e">
        <f>Table35[[#This Row],[Demand]]-Table35[[#This Row],[Total_Modeled_Demand]]</f>
        <v>#N/A</v>
      </c>
    </row>
    <row r="210" spans="2:30" x14ac:dyDescent="0.3">
      <c r="B210" s="3" t="str">
        <f>Table3[[#This Row],[Fiscal_Year]]*100+Table3[[#This Row],[Fiscal_Week]] &amp; "-" &amp;Table3[[#This Row],[Brand]]</f>
        <v>0-</v>
      </c>
      <c r="C210" t="str">
        <f t="shared" si="3"/>
        <v>-</v>
      </c>
      <c r="H210" s="3" t="e">
        <f>INDEX(Demand_Modeling!$A$13:$I$49,MATCH(Table3[[#This Row],[Key]],Demand_Modeling!$A$13:$A$49,0),MATCH(Table3[[#Headers],[OFC]],Demand_Modeling!$A$13:$I$13,0))</f>
        <v>#N/A</v>
      </c>
      <c r="I210" s="3" t="e">
        <f>INDEX(Demand_Modeling!$A$13:$I$49,MATCH(Table3[[#This Row],[Key]],Demand_Modeling!$A$13:$A$49,0),MATCH(Table3[[#Headers],[TFC]],Demand_Modeling!$A$13:$I$13,0))</f>
        <v>#N/A</v>
      </c>
      <c r="J210" s="3" t="e">
        <f>INDEX(Demand_Modeling!$A$13:$I$49,MATCH(Table3[[#This Row],[Key]],Demand_Modeling!$A$13:$A$49,0),MATCH(Table3[[#Headers],[WFC]],Demand_Modeling!$A$13:$I$13,0))</f>
        <v>#N/A</v>
      </c>
      <c r="K210" s="3" t="e">
        <f>INDEX(Demand_Modeling!$A$13:$I$49,MATCH(Table3[[#This Row],[Key]],Demand_Modeling!$A$13:$A$49,0),MATCH(Table3[[#Headers],[EAO]],Demand_Modeling!$A$13:$I$13,0))</f>
        <v>#N/A</v>
      </c>
      <c r="L210" s="3" t="e">
        <f>INDEX(Demand_Modeling!$A$13:$I$49,MATCH(Table3[[#This Row],[Key]],Demand_Modeling!$A$13:$A$49,0),MATCH(Table3[[#Headers],[OCC]],Demand_Modeling!$A$13:$I$13,0))</f>
        <v>#N/A</v>
      </c>
      <c r="M210" s="3" t="e">
        <f>INDEX(Demand_Modeling!$A$13:$I$49,MATCH(Table3[[#This Row],[Key]],Demand_Modeling!$A$13:$A$49,0),MATCH(Table3[[#Headers],[WEO]],Demand_Modeling!$A$13:$I$13,0))</f>
        <v>#N/A</v>
      </c>
      <c r="N210" s="19" t="e">
        <f>SUM(Table3[[#This Row],[OFC]:[WEO]])</f>
        <v>#N/A</v>
      </c>
      <c r="O210" s="19"/>
      <c r="Q210" s="3" t="str">
        <f>Table35[[#This Row],[Fiscal_Year]]*100+Table35[[#This Row],[Fiscal_Week]] &amp; "-" &amp;Table35[[#This Row],[Brand]]</f>
        <v>0-0</v>
      </c>
      <c r="R210" t="str">
        <f>Table3[[#This Row],[Key]]</f>
        <v>-</v>
      </c>
      <c r="S210">
        <f>Table3[[#This Row],[Fiscal_Year]]</f>
        <v>0</v>
      </c>
      <c r="T210">
        <f>Table3[[#This Row],[Fiscal_Week]]</f>
        <v>0</v>
      </c>
      <c r="U210">
        <f>Table3[[#This Row],[Brand]]</f>
        <v>0</v>
      </c>
      <c r="V210">
        <f>Table3[[#This Row],[Demand]]</f>
        <v>0</v>
      </c>
      <c r="W210" t="e">
        <f>Table3[[#This Row],[OFC]]*Table3[[#This Row],[Demand]]</f>
        <v>#N/A</v>
      </c>
      <c r="X210" t="e">
        <f>Table3[[#This Row],[TFC]]*Table3[[#This Row],[Demand]]</f>
        <v>#N/A</v>
      </c>
      <c r="Y210" t="e">
        <f>Table3[[#This Row],[WFC]]*Table3[[#This Row],[Demand]]</f>
        <v>#N/A</v>
      </c>
      <c r="Z210" t="e">
        <f>Table3[[#This Row],[EAO]]*Table3[[#This Row],[Demand]]</f>
        <v>#N/A</v>
      </c>
      <c r="AA210" t="e">
        <f>Table3[[#This Row],[OCC]]*Table3[[#This Row],[Demand]]</f>
        <v>#N/A</v>
      </c>
      <c r="AB210" t="e">
        <f>Table3[[#This Row],[WEO]]*Table3[[#This Row],[Demand]]</f>
        <v>#N/A</v>
      </c>
      <c r="AC210" s="19" t="e">
        <f>SUM(Table35[[#This Row],[OFC]:[WEO]])</f>
        <v>#N/A</v>
      </c>
      <c r="AD210" s="19" t="e">
        <f>Table35[[#This Row],[Demand]]-Table35[[#This Row],[Total_Modeled_Demand]]</f>
        <v>#N/A</v>
      </c>
    </row>
    <row r="211" spans="2:30" x14ac:dyDescent="0.3">
      <c r="B211" s="3" t="str">
        <f>Table3[[#This Row],[Fiscal_Year]]*100+Table3[[#This Row],[Fiscal_Week]] &amp; "-" &amp;Table3[[#This Row],[Brand]]</f>
        <v>0-</v>
      </c>
      <c r="C211" t="str">
        <f t="shared" si="3"/>
        <v>-</v>
      </c>
      <c r="H211" s="3" t="e">
        <f>INDEX(Demand_Modeling!$A$13:$I$49,MATCH(Table3[[#This Row],[Key]],Demand_Modeling!$A$13:$A$49,0),MATCH(Table3[[#Headers],[OFC]],Demand_Modeling!$A$13:$I$13,0))</f>
        <v>#N/A</v>
      </c>
      <c r="I211" s="3" t="e">
        <f>INDEX(Demand_Modeling!$A$13:$I$49,MATCH(Table3[[#This Row],[Key]],Demand_Modeling!$A$13:$A$49,0),MATCH(Table3[[#Headers],[TFC]],Demand_Modeling!$A$13:$I$13,0))</f>
        <v>#N/A</v>
      </c>
      <c r="J211" s="3" t="e">
        <f>INDEX(Demand_Modeling!$A$13:$I$49,MATCH(Table3[[#This Row],[Key]],Demand_Modeling!$A$13:$A$49,0),MATCH(Table3[[#Headers],[WFC]],Demand_Modeling!$A$13:$I$13,0))</f>
        <v>#N/A</v>
      </c>
      <c r="K211" s="3" t="e">
        <f>INDEX(Demand_Modeling!$A$13:$I$49,MATCH(Table3[[#This Row],[Key]],Demand_Modeling!$A$13:$A$49,0),MATCH(Table3[[#Headers],[EAO]],Demand_Modeling!$A$13:$I$13,0))</f>
        <v>#N/A</v>
      </c>
      <c r="L211" s="3" t="e">
        <f>INDEX(Demand_Modeling!$A$13:$I$49,MATCH(Table3[[#This Row],[Key]],Demand_Modeling!$A$13:$A$49,0),MATCH(Table3[[#Headers],[OCC]],Demand_Modeling!$A$13:$I$13,0))</f>
        <v>#N/A</v>
      </c>
      <c r="M211" s="3" t="e">
        <f>INDEX(Demand_Modeling!$A$13:$I$49,MATCH(Table3[[#This Row],[Key]],Demand_Modeling!$A$13:$A$49,0),MATCH(Table3[[#Headers],[WEO]],Demand_Modeling!$A$13:$I$13,0))</f>
        <v>#N/A</v>
      </c>
      <c r="N211" s="19" t="e">
        <f>SUM(Table3[[#This Row],[OFC]:[WEO]])</f>
        <v>#N/A</v>
      </c>
      <c r="O211" s="19"/>
      <c r="Q211" s="3" t="str">
        <f>Table35[[#This Row],[Fiscal_Year]]*100+Table35[[#This Row],[Fiscal_Week]] &amp; "-" &amp;Table35[[#This Row],[Brand]]</f>
        <v>0-0</v>
      </c>
      <c r="R211" t="str">
        <f>Table3[[#This Row],[Key]]</f>
        <v>-</v>
      </c>
      <c r="S211">
        <f>Table3[[#This Row],[Fiscal_Year]]</f>
        <v>0</v>
      </c>
      <c r="T211">
        <f>Table3[[#This Row],[Fiscal_Week]]</f>
        <v>0</v>
      </c>
      <c r="U211">
        <f>Table3[[#This Row],[Brand]]</f>
        <v>0</v>
      </c>
      <c r="V211">
        <f>Table3[[#This Row],[Demand]]</f>
        <v>0</v>
      </c>
      <c r="W211" t="e">
        <f>Table3[[#This Row],[OFC]]*Table3[[#This Row],[Demand]]</f>
        <v>#N/A</v>
      </c>
      <c r="X211" t="e">
        <f>Table3[[#This Row],[TFC]]*Table3[[#This Row],[Demand]]</f>
        <v>#N/A</v>
      </c>
      <c r="Y211" t="e">
        <f>Table3[[#This Row],[WFC]]*Table3[[#This Row],[Demand]]</f>
        <v>#N/A</v>
      </c>
      <c r="Z211" t="e">
        <f>Table3[[#This Row],[EAO]]*Table3[[#This Row],[Demand]]</f>
        <v>#N/A</v>
      </c>
      <c r="AA211" t="e">
        <f>Table3[[#This Row],[OCC]]*Table3[[#This Row],[Demand]]</f>
        <v>#N/A</v>
      </c>
      <c r="AB211" t="e">
        <f>Table3[[#This Row],[WEO]]*Table3[[#This Row],[Demand]]</f>
        <v>#N/A</v>
      </c>
      <c r="AC211" s="19" t="e">
        <f>SUM(Table35[[#This Row],[OFC]:[WEO]])</f>
        <v>#N/A</v>
      </c>
      <c r="AD211" s="19" t="e">
        <f>Table35[[#This Row],[Demand]]-Table35[[#This Row],[Total_Modeled_Demand]]</f>
        <v>#N/A</v>
      </c>
    </row>
    <row r="212" spans="2:30" x14ac:dyDescent="0.3">
      <c r="B212" s="3" t="str">
        <f>Table3[[#This Row],[Fiscal_Year]]*100+Table3[[#This Row],[Fiscal_Week]] &amp; "-" &amp;Table3[[#This Row],[Brand]]</f>
        <v>0-</v>
      </c>
      <c r="C212" t="str">
        <f t="shared" si="3"/>
        <v>-</v>
      </c>
      <c r="H212" s="3" t="e">
        <f>INDEX(Demand_Modeling!$A$13:$I$49,MATCH(Table3[[#This Row],[Key]],Demand_Modeling!$A$13:$A$49,0),MATCH(Table3[[#Headers],[OFC]],Demand_Modeling!$A$13:$I$13,0))</f>
        <v>#N/A</v>
      </c>
      <c r="I212" s="3" t="e">
        <f>INDEX(Demand_Modeling!$A$13:$I$49,MATCH(Table3[[#This Row],[Key]],Demand_Modeling!$A$13:$A$49,0),MATCH(Table3[[#Headers],[TFC]],Demand_Modeling!$A$13:$I$13,0))</f>
        <v>#N/A</v>
      </c>
      <c r="J212" s="3" t="e">
        <f>INDEX(Demand_Modeling!$A$13:$I$49,MATCH(Table3[[#This Row],[Key]],Demand_Modeling!$A$13:$A$49,0),MATCH(Table3[[#Headers],[WFC]],Demand_Modeling!$A$13:$I$13,0))</f>
        <v>#N/A</v>
      </c>
      <c r="K212" s="3" t="e">
        <f>INDEX(Demand_Modeling!$A$13:$I$49,MATCH(Table3[[#This Row],[Key]],Demand_Modeling!$A$13:$A$49,0),MATCH(Table3[[#Headers],[EAO]],Demand_Modeling!$A$13:$I$13,0))</f>
        <v>#N/A</v>
      </c>
      <c r="L212" s="3" t="e">
        <f>INDEX(Demand_Modeling!$A$13:$I$49,MATCH(Table3[[#This Row],[Key]],Demand_Modeling!$A$13:$A$49,0),MATCH(Table3[[#Headers],[OCC]],Demand_Modeling!$A$13:$I$13,0))</f>
        <v>#N/A</v>
      </c>
      <c r="M212" s="3" t="e">
        <f>INDEX(Demand_Modeling!$A$13:$I$49,MATCH(Table3[[#This Row],[Key]],Demand_Modeling!$A$13:$A$49,0),MATCH(Table3[[#Headers],[WEO]],Demand_Modeling!$A$13:$I$13,0))</f>
        <v>#N/A</v>
      </c>
      <c r="N212" s="19" t="e">
        <f>SUM(Table3[[#This Row],[OFC]:[WEO]])</f>
        <v>#N/A</v>
      </c>
      <c r="O212" s="19"/>
      <c r="Q212" s="3" t="str">
        <f>Table35[[#This Row],[Fiscal_Year]]*100+Table35[[#This Row],[Fiscal_Week]] &amp; "-" &amp;Table35[[#This Row],[Brand]]</f>
        <v>0-0</v>
      </c>
      <c r="R212" t="str">
        <f>Table3[[#This Row],[Key]]</f>
        <v>-</v>
      </c>
      <c r="S212">
        <f>Table3[[#This Row],[Fiscal_Year]]</f>
        <v>0</v>
      </c>
      <c r="T212">
        <f>Table3[[#This Row],[Fiscal_Week]]</f>
        <v>0</v>
      </c>
      <c r="U212">
        <f>Table3[[#This Row],[Brand]]</f>
        <v>0</v>
      </c>
      <c r="V212">
        <f>Table3[[#This Row],[Demand]]</f>
        <v>0</v>
      </c>
      <c r="W212" t="e">
        <f>Table3[[#This Row],[OFC]]*Table3[[#This Row],[Demand]]</f>
        <v>#N/A</v>
      </c>
      <c r="X212" t="e">
        <f>Table3[[#This Row],[TFC]]*Table3[[#This Row],[Demand]]</f>
        <v>#N/A</v>
      </c>
      <c r="Y212" t="e">
        <f>Table3[[#This Row],[WFC]]*Table3[[#This Row],[Demand]]</f>
        <v>#N/A</v>
      </c>
      <c r="Z212" t="e">
        <f>Table3[[#This Row],[EAO]]*Table3[[#This Row],[Demand]]</f>
        <v>#N/A</v>
      </c>
      <c r="AA212" t="e">
        <f>Table3[[#This Row],[OCC]]*Table3[[#This Row],[Demand]]</f>
        <v>#N/A</v>
      </c>
      <c r="AB212" t="e">
        <f>Table3[[#This Row],[WEO]]*Table3[[#This Row],[Demand]]</f>
        <v>#N/A</v>
      </c>
      <c r="AC212" s="19" t="e">
        <f>SUM(Table35[[#This Row],[OFC]:[WEO]])</f>
        <v>#N/A</v>
      </c>
      <c r="AD212" s="19" t="e">
        <f>Table35[[#This Row],[Demand]]-Table35[[#This Row],[Total_Modeled_Demand]]</f>
        <v>#N/A</v>
      </c>
    </row>
    <row r="213" spans="2:30" x14ac:dyDescent="0.3">
      <c r="B213" s="3" t="str">
        <f>Table3[[#This Row],[Fiscal_Year]]*100+Table3[[#This Row],[Fiscal_Week]] &amp; "-" &amp;Table3[[#This Row],[Brand]]</f>
        <v>0-</v>
      </c>
      <c r="C213" t="str">
        <f t="shared" si="3"/>
        <v>-</v>
      </c>
      <c r="H213" s="3" t="e">
        <f>INDEX(Demand_Modeling!$A$13:$I$49,MATCH(Table3[[#This Row],[Key]],Demand_Modeling!$A$13:$A$49,0),MATCH(Table3[[#Headers],[OFC]],Demand_Modeling!$A$13:$I$13,0))</f>
        <v>#N/A</v>
      </c>
      <c r="I213" s="3" t="e">
        <f>INDEX(Demand_Modeling!$A$13:$I$49,MATCH(Table3[[#This Row],[Key]],Demand_Modeling!$A$13:$A$49,0),MATCH(Table3[[#Headers],[TFC]],Demand_Modeling!$A$13:$I$13,0))</f>
        <v>#N/A</v>
      </c>
      <c r="J213" s="3" t="e">
        <f>INDEX(Demand_Modeling!$A$13:$I$49,MATCH(Table3[[#This Row],[Key]],Demand_Modeling!$A$13:$A$49,0),MATCH(Table3[[#Headers],[WFC]],Demand_Modeling!$A$13:$I$13,0))</f>
        <v>#N/A</v>
      </c>
      <c r="K213" s="3" t="e">
        <f>INDEX(Demand_Modeling!$A$13:$I$49,MATCH(Table3[[#This Row],[Key]],Demand_Modeling!$A$13:$A$49,0),MATCH(Table3[[#Headers],[EAO]],Demand_Modeling!$A$13:$I$13,0))</f>
        <v>#N/A</v>
      </c>
      <c r="L213" s="3" t="e">
        <f>INDEX(Demand_Modeling!$A$13:$I$49,MATCH(Table3[[#This Row],[Key]],Demand_Modeling!$A$13:$A$49,0),MATCH(Table3[[#Headers],[OCC]],Demand_Modeling!$A$13:$I$13,0))</f>
        <v>#N/A</v>
      </c>
      <c r="M213" s="3" t="e">
        <f>INDEX(Demand_Modeling!$A$13:$I$49,MATCH(Table3[[#This Row],[Key]],Demand_Modeling!$A$13:$A$49,0),MATCH(Table3[[#Headers],[WEO]],Demand_Modeling!$A$13:$I$13,0))</f>
        <v>#N/A</v>
      </c>
      <c r="N213" s="19" t="e">
        <f>SUM(Table3[[#This Row],[OFC]:[WEO]])</f>
        <v>#N/A</v>
      </c>
      <c r="O213" s="19"/>
      <c r="Q213" s="3" t="str">
        <f>Table35[[#This Row],[Fiscal_Year]]*100+Table35[[#This Row],[Fiscal_Week]] &amp; "-" &amp;Table35[[#This Row],[Brand]]</f>
        <v>0-0</v>
      </c>
      <c r="R213" t="str">
        <f>Table3[[#This Row],[Key]]</f>
        <v>-</v>
      </c>
      <c r="S213">
        <f>Table3[[#This Row],[Fiscal_Year]]</f>
        <v>0</v>
      </c>
      <c r="T213">
        <f>Table3[[#This Row],[Fiscal_Week]]</f>
        <v>0</v>
      </c>
      <c r="U213">
        <f>Table3[[#This Row],[Brand]]</f>
        <v>0</v>
      </c>
      <c r="V213">
        <f>Table3[[#This Row],[Demand]]</f>
        <v>0</v>
      </c>
      <c r="W213" t="e">
        <f>Table3[[#This Row],[OFC]]*Table3[[#This Row],[Demand]]</f>
        <v>#N/A</v>
      </c>
      <c r="X213" t="e">
        <f>Table3[[#This Row],[TFC]]*Table3[[#This Row],[Demand]]</f>
        <v>#N/A</v>
      </c>
      <c r="Y213" t="e">
        <f>Table3[[#This Row],[WFC]]*Table3[[#This Row],[Demand]]</f>
        <v>#N/A</v>
      </c>
      <c r="Z213" t="e">
        <f>Table3[[#This Row],[EAO]]*Table3[[#This Row],[Demand]]</f>
        <v>#N/A</v>
      </c>
      <c r="AA213" t="e">
        <f>Table3[[#This Row],[OCC]]*Table3[[#This Row],[Demand]]</f>
        <v>#N/A</v>
      </c>
      <c r="AB213" t="e">
        <f>Table3[[#This Row],[WEO]]*Table3[[#This Row],[Demand]]</f>
        <v>#N/A</v>
      </c>
      <c r="AC213" s="19" t="e">
        <f>SUM(Table35[[#This Row],[OFC]:[WEO]])</f>
        <v>#N/A</v>
      </c>
      <c r="AD213" s="19" t="e">
        <f>Table35[[#This Row],[Demand]]-Table35[[#This Row],[Total_Modeled_Demand]]</f>
        <v>#N/A</v>
      </c>
    </row>
    <row r="214" spans="2:30" x14ac:dyDescent="0.3">
      <c r="B214" s="3" t="str">
        <f>Table3[[#This Row],[Fiscal_Year]]*100+Table3[[#This Row],[Fiscal_Week]] &amp; "-" &amp;Table3[[#This Row],[Brand]]</f>
        <v>0-</v>
      </c>
      <c r="C214" t="str">
        <f t="shared" si="3"/>
        <v>-</v>
      </c>
      <c r="H214" s="3" t="e">
        <f>INDEX(Demand_Modeling!$A$13:$I$49,MATCH(Table3[[#This Row],[Key]],Demand_Modeling!$A$13:$A$49,0),MATCH(Table3[[#Headers],[OFC]],Demand_Modeling!$A$13:$I$13,0))</f>
        <v>#N/A</v>
      </c>
      <c r="I214" s="3" t="e">
        <f>INDEX(Demand_Modeling!$A$13:$I$49,MATCH(Table3[[#This Row],[Key]],Demand_Modeling!$A$13:$A$49,0),MATCH(Table3[[#Headers],[TFC]],Demand_Modeling!$A$13:$I$13,0))</f>
        <v>#N/A</v>
      </c>
      <c r="J214" s="3" t="e">
        <f>INDEX(Demand_Modeling!$A$13:$I$49,MATCH(Table3[[#This Row],[Key]],Demand_Modeling!$A$13:$A$49,0),MATCH(Table3[[#Headers],[WFC]],Demand_Modeling!$A$13:$I$13,0))</f>
        <v>#N/A</v>
      </c>
      <c r="K214" s="3" t="e">
        <f>INDEX(Demand_Modeling!$A$13:$I$49,MATCH(Table3[[#This Row],[Key]],Demand_Modeling!$A$13:$A$49,0),MATCH(Table3[[#Headers],[EAO]],Demand_Modeling!$A$13:$I$13,0))</f>
        <v>#N/A</v>
      </c>
      <c r="L214" s="3" t="e">
        <f>INDEX(Demand_Modeling!$A$13:$I$49,MATCH(Table3[[#This Row],[Key]],Demand_Modeling!$A$13:$A$49,0),MATCH(Table3[[#Headers],[OCC]],Demand_Modeling!$A$13:$I$13,0))</f>
        <v>#N/A</v>
      </c>
      <c r="M214" s="3" t="e">
        <f>INDEX(Demand_Modeling!$A$13:$I$49,MATCH(Table3[[#This Row],[Key]],Demand_Modeling!$A$13:$A$49,0),MATCH(Table3[[#Headers],[WEO]],Demand_Modeling!$A$13:$I$13,0))</f>
        <v>#N/A</v>
      </c>
      <c r="N214" s="19" t="e">
        <f>SUM(Table3[[#This Row],[OFC]:[WEO]])</f>
        <v>#N/A</v>
      </c>
      <c r="O214" s="19"/>
      <c r="Q214" s="3" t="str">
        <f>Table35[[#This Row],[Fiscal_Year]]*100+Table35[[#This Row],[Fiscal_Week]] &amp; "-" &amp;Table35[[#This Row],[Brand]]</f>
        <v>0-0</v>
      </c>
      <c r="R214" t="str">
        <f>Table3[[#This Row],[Key]]</f>
        <v>-</v>
      </c>
      <c r="S214">
        <f>Table3[[#This Row],[Fiscal_Year]]</f>
        <v>0</v>
      </c>
      <c r="T214">
        <f>Table3[[#This Row],[Fiscal_Week]]</f>
        <v>0</v>
      </c>
      <c r="U214">
        <f>Table3[[#This Row],[Brand]]</f>
        <v>0</v>
      </c>
      <c r="V214">
        <f>Table3[[#This Row],[Demand]]</f>
        <v>0</v>
      </c>
      <c r="W214" t="e">
        <f>Table3[[#This Row],[OFC]]*Table3[[#This Row],[Demand]]</f>
        <v>#N/A</v>
      </c>
      <c r="X214" t="e">
        <f>Table3[[#This Row],[TFC]]*Table3[[#This Row],[Demand]]</f>
        <v>#N/A</v>
      </c>
      <c r="Y214" t="e">
        <f>Table3[[#This Row],[WFC]]*Table3[[#This Row],[Demand]]</f>
        <v>#N/A</v>
      </c>
      <c r="Z214" t="e">
        <f>Table3[[#This Row],[EAO]]*Table3[[#This Row],[Demand]]</f>
        <v>#N/A</v>
      </c>
      <c r="AA214" t="e">
        <f>Table3[[#This Row],[OCC]]*Table3[[#This Row],[Demand]]</f>
        <v>#N/A</v>
      </c>
      <c r="AB214" t="e">
        <f>Table3[[#This Row],[WEO]]*Table3[[#This Row],[Demand]]</f>
        <v>#N/A</v>
      </c>
      <c r="AC214" s="19" t="e">
        <f>SUM(Table35[[#This Row],[OFC]:[WEO]])</f>
        <v>#N/A</v>
      </c>
      <c r="AD214" s="19" t="e">
        <f>Table35[[#This Row],[Demand]]-Table35[[#This Row],[Total_Modeled_Demand]]</f>
        <v>#N/A</v>
      </c>
    </row>
    <row r="215" spans="2:30" x14ac:dyDescent="0.3">
      <c r="B215" s="3" t="str">
        <f>Table3[[#This Row],[Fiscal_Year]]*100+Table3[[#This Row],[Fiscal_Week]] &amp; "-" &amp;Table3[[#This Row],[Brand]]</f>
        <v>0-</v>
      </c>
      <c r="C215" t="str">
        <f t="shared" si="3"/>
        <v>-</v>
      </c>
      <c r="H215" s="3" t="e">
        <f>INDEX(Demand_Modeling!$A$13:$I$49,MATCH(Table3[[#This Row],[Key]],Demand_Modeling!$A$13:$A$49,0),MATCH(Table3[[#Headers],[OFC]],Demand_Modeling!$A$13:$I$13,0))</f>
        <v>#N/A</v>
      </c>
      <c r="I215" s="3" t="e">
        <f>INDEX(Demand_Modeling!$A$13:$I$49,MATCH(Table3[[#This Row],[Key]],Demand_Modeling!$A$13:$A$49,0),MATCH(Table3[[#Headers],[TFC]],Demand_Modeling!$A$13:$I$13,0))</f>
        <v>#N/A</v>
      </c>
      <c r="J215" s="3" t="e">
        <f>INDEX(Demand_Modeling!$A$13:$I$49,MATCH(Table3[[#This Row],[Key]],Demand_Modeling!$A$13:$A$49,0),MATCH(Table3[[#Headers],[WFC]],Demand_Modeling!$A$13:$I$13,0))</f>
        <v>#N/A</v>
      </c>
      <c r="K215" s="3" t="e">
        <f>INDEX(Demand_Modeling!$A$13:$I$49,MATCH(Table3[[#This Row],[Key]],Demand_Modeling!$A$13:$A$49,0),MATCH(Table3[[#Headers],[EAO]],Demand_Modeling!$A$13:$I$13,0))</f>
        <v>#N/A</v>
      </c>
      <c r="L215" s="3" t="e">
        <f>INDEX(Demand_Modeling!$A$13:$I$49,MATCH(Table3[[#This Row],[Key]],Demand_Modeling!$A$13:$A$49,0),MATCH(Table3[[#Headers],[OCC]],Demand_Modeling!$A$13:$I$13,0))</f>
        <v>#N/A</v>
      </c>
      <c r="M215" s="3" t="e">
        <f>INDEX(Demand_Modeling!$A$13:$I$49,MATCH(Table3[[#This Row],[Key]],Demand_Modeling!$A$13:$A$49,0),MATCH(Table3[[#Headers],[WEO]],Demand_Modeling!$A$13:$I$13,0))</f>
        <v>#N/A</v>
      </c>
      <c r="N215" s="19" t="e">
        <f>SUM(Table3[[#This Row],[OFC]:[WEO]])</f>
        <v>#N/A</v>
      </c>
      <c r="O215" s="19"/>
      <c r="Q215" s="3" t="str">
        <f>Table35[[#This Row],[Fiscal_Year]]*100+Table35[[#This Row],[Fiscal_Week]] &amp; "-" &amp;Table35[[#This Row],[Brand]]</f>
        <v>0-0</v>
      </c>
      <c r="R215" t="str">
        <f>Table3[[#This Row],[Key]]</f>
        <v>-</v>
      </c>
      <c r="S215">
        <f>Table3[[#This Row],[Fiscal_Year]]</f>
        <v>0</v>
      </c>
      <c r="T215">
        <f>Table3[[#This Row],[Fiscal_Week]]</f>
        <v>0</v>
      </c>
      <c r="U215">
        <f>Table3[[#This Row],[Brand]]</f>
        <v>0</v>
      </c>
      <c r="V215">
        <f>Table3[[#This Row],[Demand]]</f>
        <v>0</v>
      </c>
      <c r="W215" t="e">
        <f>Table3[[#This Row],[OFC]]*Table3[[#This Row],[Demand]]</f>
        <v>#N/A</v>
      </c>
      <c r="X215" t="e">
        <f>Table3[[#This Row],[TFC]]*Table3[[#This Row],[Demand]]</f>
        <v>#N/A</v>
      </c>
      <c r="Y215" t="e">
        <f>Table3[[#This Row],[WFC]]*Table3[[#This Row],[Demand]]</f>
        <v>#N/A</v>
      </c>
      <c r="Z215" t="e">
        <f>Table3[[#This Row],[EAO]]*Table3[[#This Row],[Demand]]</f>
        <v>#N/A</v>
      </c>
      <c r="AA215" t="e">
        <f>Table3[[#This Row],[OCC]]*Table3[[#This Row],[Demand]]</f>
        <v>#N/A</v>
      </c>
      <c r="AB215" t="e">
        <f>Table3[[#This Row],[WEO]]*Table3[[#This Row],[Demand]]</f>
        <v>#N/A</v>
      </c>
      <c r="AC215" s="19" t="e">
        <f>SUM(Table35[[#This Row],[OFC]:[WEO]])</f>
        <v>#N/A</v>
      </c>
      <c r="AD215" s="19" t="e">
        <f>Table35[[#This Row],[Demand]]-Table35[[#This Row],[Total_Modeled_Demand]]</f>
        <v>#N/A</v>
      </c>
    </row>
    <row r="216" spans="2:30" x14ac:dyDescent="0.3">
      <c r="B216" s="3" t="str">
        <f>Table3[[#This Row],[Fiscal_Year]]*100+Table3[[#This Row],[Fiscal_Week]] &amp; "-" &amp;Table3[[#This Row],[Brand]]</f>
        <v>0-</v>
      </c>
      <c r="C216" t="str">
        <f t="shared" si="3"/>
        <v>-</v>
      </c>
      <c r="H216" s="3" t="e">
        <f>INDEX(Demand_Modeling!$A$13:$I$49,MATCH(Table3[[#This Row],[Key]],Demand_Modeling!$A$13:$A$49,0),MATCH(Table3[[#Headers],[OFC]],Demand_Modeling!$A$13:$I$13,0))</f>
        <v>#N/A</v>
      </c>
      <c r="I216" s="3" t="e">
        <f>INDEX(Demand_Modeling!$A$13:$I$49,MATCH(Table3[[#This Row],[Key]],Demand_Modeling!$A$13:$A$49,0),MATCH(Table3[[#Headers],[TFC]],Demand_Modeling!$A$13:$I$13,0))</f>
        <v>#N/A</v>
      </c>
      <c r="J216" s="3" t="e">
        <f>INDEX(Demand_Modeling!$A$13:$I$49,MATCH(Table3[[#This Row],[Key]],Demand_Modeling!$A$13:$A$49,0),MATCH(Table3[[#Headers],[WFC]],Demand_Modeling!$A$13:$I$13,0))</f>
        <v>#N/A</v>
      </c>
      <c r="K216" s="3" t="e">
        <f>INDEX(Demand_Modeling!$A$13:$I$49,MATCH(Table3[[#This Row],[Key]],Demand_Modeling!$A$13:$A$49,0),MATCH(Table3[[#Headers],[EAO]],Demand_Modeling!$A$13:$I$13,0))</f>
        <v>#N/A</v>
      </c>
      <c r="L216" s="3" t="e">
        <f>INDEX(Demand_Modeling!$A$13:$I$49,MATCH(Table3[[#This Row],[Key]],Demand_Modeling!$A$13:$A$49,0),MATCH(Table3[[#Headers],[OCC]],Demand_Modeling!$A$13:$I$13,0))</f>
        <v>#N/A</v>
      </c>
      <c r="M216" s="3" t="e">
        <f>INDEX(Demand_Modeling!$A$13:$I$49,MATCH(Table3[[#This Row],[Key]],Demand_Modeling!$A$13:$A$49,0),MATCH(Table3[[#Headers],[WEO]],Demand_Modeling!$A$13:$I$13,0))</f>
        <v>#N/A</v>
      </c>
      <c r="N216" s="19" t="e">
        <f>SUM(Table3[[#This Row],[OFC]:[WEO]])</f>
        <v>#N/A</v>
      </c>
      <c r="O216" s="19"/>
      <c r="Q216" s="3" t="str">
        <f>Table35[[#This Row],[Fiscal_Year]]*100+Table35[[#This Row],[Fiscal_Week]] &amp; "-" &amp;Table35[[#This Row],[Brand]]</f>
        <v>0-0</v>
      </c>
      <c r="R216" t="str">
        <f>Table3[[#This Row],[Key]]</f>
        <v>-</v>
      </c>
      <c r="S216">
        <f>Table3[[#This Row],[Fiscal_Year]]</f>
        <v>0</v>
      </c>
      <c r="T216">
        <f>Table3[[#This Row],[Fiscal_Week]]</f>
        <v>0</v>
      </c>
      <c r="U216">
        <f>Table3[[#This Row],[Brand]]</f>
        <v>0</v>
      </c>
      <c r="V216">
        <f>Table3[[#This Row],[Demand]]</f>
        <v>0</v>
      </c>
      <c r="W216" t="e">
        <f>Table3[[#This Row],[OFC]]*Table3[[#This Row],[Demand]]</f>
        <v>#N/A</v>
      </c>
      <c r="X216" t="e">
        <f>Table3[[#This Row],[TFC]]*Table3[[#This Row],[Demand]]</f>
        <v>#N/A</v>
      </c>
      <c r="Y216" t="e">
        <f>Table3[[#This Row],[WFC]]*Table3[[#This Row],[Demand]]</f>
        <v>#N/A</v>
      </c>
      <c r="Z216" t="e">
        <f>Table3[[#This Row],[EAO]]*Table3[[#This Row],[Demand]]</f>
        <v>#N/A</v>
      </c>
      <c r="AA216" t="e">
        <f>Table3[[#This Row],[OCC]]*Table3[[#This Row],[Demand]]</f>
        <v>#N/A</v>
      </c>
      <c r="AB216" t="e">
        <f>Table3[[#This Row],[WEO]]*Table3[[#This Row],[Demand]]</f>
        <v>#N/A</v>
      </c>
      <c r="AC216" s="19" t="e">
        <f>SUM(Table35[[#This Row],[OFC]:[WEO]])</f>
        <v>#N/A</v>
      </c>
      <c r="AD216" s="19" t="e">
        <f>Table35[[#This Row],[Demand]]-Table35[[#This Row],[Total_Modeled_Demand]]</f>
        <v>#N/A</v>
      </c>
    </row>
    <row r="217" spans="2:30" x14ac:dyDescent="0.3">
      <c r="B217" s="3" t="str">
        <f>Table3[[#This Row],[Fiscal_Year]]*100+Table3[[#This Row],[Fiscal_Week]] &amp; "-" &amp;Table3[[#This Row],[Brand]]</f>
        <v>0-</v>
      </c>
      <c r="C217" t="str">
        <f t="shared" si="3"/>
        <v>-</v>
      </c>
      <c r="H217" s="3" t="e">
        <f>INDEX(Demand_Modeling!$A$13:$I$49,MATCH(Table3[[#This Row],[Key]],Demand_Modeling!$A$13:$A$49,0),MATCH(Table3[[#Headers],[OFC]],Demand_Modeling!$A$13:$I$13,0))</f>
        <v>#N/A</v>
      </c>
      <c r="I217" s="3" t="e">
        <f>INDEX(Demand_Modeling!$A$13:$I$49,MATCH(Table3[[#This Row],[Key]],Demand_Modeling!$A$13:$A$49,0),MATCH(Table3[[#Headers],[TFC]],Demand_Modeling!$A$13:$I$13,0))</f>
        <v>#N/A</v>
      </c>
      <c r="J217" s="3" t="e">
        <f>INDEX(Demand_Modeling!$A$13:$I$49,MATCH(Table3[[#This Row],[Key]],Demand_Modeling!$A$13:$A$49,0),MATCH(Table3[[#Headers],[WFC]],Demand_Modeling!$A$13:$I$13,0))</f>
        <v>#N/A</v>
      </c>
      <c r="K217" s="3" t="e">
        <f>INDEX(Demand_Modeling!$A$13:$I$49,MATCH(Table3[[#This Row],[Key]],Demand_Modeling!$A$13:$A$49,0),MATCH(Table3[[#Headers],[EAO]],Demand_Modeling!$A$13:$I$13,0))</f>
        <v>#N/A</v>
      </c>
      <c r="L217" s="3" t="e">
        <f>INDEX(Demand_Modeling!$A$13:$I$49,MATCH(Table3[[#This Row],[Key]],Demand_Modeling!$A$13:$A$49,0),MATCH(Table3[[#Headers],[OCC]],Demand_Modeling!$A$13:$I$13,0))</f>
        <v>#N/A</v>
      </c>
      <c r="M217" s="3" t="e">
        <f>INDEX(Demand_Modeling!$A$13:$I$49,MATCH(Table3[[#This Row],[Key]],Demand_Modeling!$A$13:$A$49,0),MATCH(Table3[[#Headers],[WEO]],Demand_Modeling!$A$13:$I$13,0))</f>
        <v>#N/A</v>
      </c>
      <c r="N217" s="19" t="e">
        <f>SUM(Table3[[#This Row],[OFC]:[WEO]])</f>
        <v>#N/A</v>
      </c>
      <c r="O217" s="19"/>
      <c r="Q217" s="3" t="str">
        <f>Table35[[#This Row],[Fiscal_Year]]*100+Table35[[#This Row],[Fiscal_Week]] &amp; "-" &amp;Table35[[#This Row],[Brand]]</f>
        <v>0-0</v>
      </c>
      <c r="R217" t="str">
        <f>Table3[[#This Row],[Key]]</f>
        <v>-</v>
      </c>
      <c r="S217">
        <f>Table3[[#This Row],[Fiscal_Year]]</f>
        <v>0</v>
      </c>
      <c r="T217">
        <f>Table3[[#This Row],[Fiscal_Week]]</f>
        <v>0</v>
      </c>
      <c r="U217">
        <f>Table3[[#This Row],[Brand]]</f>
        <v>0</v>
      </c>
      <c r="V217">
        <f>Table3[[#This Row],[Demand]]</f>
        <v>0</v>
      </c>
      <c r="W217" t="e">
        <f>Table3[[#This Row],[OFC]]*Table3[[#This Row],[Demand]]</f>
        <v>#N/A</v>
      </c>
      <c r="X217" t="e">
        <f>Table3[[#This Row],[TFC]]*Table3[[#This Row],[Demand]]</f>
        <v>#N/A</v>
      </c>
      <c r="Y217" t="e">
        <f>Table3[[#This Row],[WFC]]*Table3[[#This Row],[Demand]]</f>
        <v>#N/A</v>
      </c>
      <c r="Z217" t="e">
        <f>Table3[[#This Row],[EAO]]*Table3[[#This Row],[Demand]]</f>
        <v>#N/A</v>
      </c>
      <c r="AA217" t="e">
        <f>Table3[[#This Row],[OCC]]*Table3[[#This Row],[Demand]]</f>
        <v>#N/A</v>
      </c>
      <c r="AB217" t="e">
        <f>Table3[[#This Row],[WEO]]*Table3[[#This Row],[Demand]]</f>
        <v>#N/A</v>
      </c>
      <c r="AC217" s="19" t="e">
        <f>SUM(Table35[[#This Row],[OFC]:[WEO]])</f>
        <v>#N/A</v>
      </c>
      <c r="AD217" s="19" t="e">
        <f>Table35[[#This Row],[Demand]]-Table35[[#This Row],[Total_Modeled_Demand]]</f>
        <v>#N/A</v>
      </c>
    </row>
    <row r="218" spans="2:30" x14ac:dyDescent="0.3">
      <c r="B218" s="3" t="str">
        <f>Table3[[#This Row],[Fiscal_Year]]*100+Table3[[#This Row],[Fiscal_Week]] &amp; "-" &amp;Table3[[#This Row],[Brand]]</f>
        <v>0-</v>
      </c>
      <c r="C218" t="str">
        <f t="shared" si="3"/>
        <v>-</v>
      </c>
      <c r="H218" s="3" t="e">
        <f>INDEX(Demand_Modeling!$A$13:$I$49,MATCH(Table3[[#This Row],[Key]],Demand_Modeling!$A$13:$A$49,0),MATCH(Table3[[#Headers],[OFC]],Demand_Modeling!$A$13:$I$13,0))</f>
        <v>#N/A</v>
      </c>
      <c r="I218" s="3" t="e">
        <f>INDEX(Demand_Modeling!$A$13:$I$49,MATCH(Table3[[#This Row],[Key]],Demand_Modeling!$A$13:$A$49,0),MATCH(Table3[[#Headers],[TFC]],Demand_Modeling!$A$13:$I$13,0))</f>
        <v>#N/A</v>
      </c>
      <c r="J218" s="3" t="e">
        <f>INDEX(Demand_Modeling!$A$13:$I$49,MATCH(Table3[[#This Row],[Key]],Demand_Modeling!$A$13:$A$49,0),MATCH(Table3[[#Headers],[WFC]],Demand_Modeling!$A$13:$I$13,0))</f>
        <v>#N/A</v>
      </c>
      <c r="K218" s="3" t="e">
        <f>INDEX(Demand_Modeling!$A$13:$I$49,MATCH(Table3[[#This Row],[Key]],Demand_Modeling!$A$13:$A$49,0),MATCH(Table3[[#Headers],[EAO]],Demand_Modeling!$A$13:$I$13,0))</f>
        <v>#N/A</v>
      </c>
      <c r="L218" s="3" t="e">
        <f>INDEX(Demand_Modeling!$A$13:$I$49,MATCH(Table3[[#This Row],[Key]],Demand_Modeling!$A$13:$A$49,0),MATCH(Table3[[#Headers],[OCC]],Demand_Modeling!$A$13:$I$13,0))</f>
        <v>#N/A</v>
      </c>
      <c r="M218" s="3" t="e">
        <f>INDEX(Demand_Modeling!$A$13:$I$49,MATCH(Table3[[#This Row],[Key]],Demand_Modeling!$A$13:$A$49,0),MATCH(Table3[[#Headers],[WEO]],Demand_Modeling!$A$13:$I$13,0))</f>
        <v>#N/A</v>
      </c>
      <c r="N218" s="19" t="e">
        <f>SUM(Table3[[#This Row],[OFC]:[WEO]])</f>
        <v>#N/A</v>
      </c>
      <c r="O218" s="19"/>
      <c r="Q218" s="3" t="str">
        <f>Table35[[#This Row],[Fiscal_Year]]*100+Table35[[#This Row],[Fiscal_Week]] &amp; "-" &amp;Table35[[#This Row],[Brand]]</f>
        <v>0-0</v>
      </c>
      <c r="R218" t="str">
        <f>Table3[[#This Row],[Key]]</f>
        <v>-</v>
      </c>
      <c r="S218">
        <f>Table3[[#This Row],[Fiscal_Year]]</f>
        <v>0</v>
      </c>
      <c r="T218">
        <f>Table3[[#This Row],[Fiscal_Week]]</f>
        <v>0</v>
      </c>
      <c r="U218">
        <f>Table3[[#This Row],[Brand]]</f>
        <v>0</v>
      </c>
      <c r="V218">
        <f>Table3[[#This Row],[Demand]]</f>
        <v>0</v>
      </c>
      <c r="W218" t="e">
        <f>Table3[[#This Row],[OFC]]*Table3[[#This Row],[Demand]]</f>
        <v>#N/A</v>
      </c>
      <c r="X218" t="e">
        <f>Table3[[#This Row],[TFC]]*Table3[[#This Row],[Demand]]</f>
        <v>#N/A</v>
      </c>
      <c r="Y218" t="e">
        <f>Table3[[#This Row],[WFC]]*Table3[[#This Row],[Demand]]</f>
        <v>#N/A</v>
      </c>
      <c r="Z218" t="e">
        <f>Table3[[#This Row],[EAO]]*Table3[[#This Row],[Demand]]</f>
        <v>#N/A</v>
      </c>
      <c r="AA218" t="e">
        <f>Table3[[#This Row],[OCC]]*Table3[[#This Row],[Demand]]</f>
        <v>#N/A</v>
      </c>
      <c r="AB218" t="e">
        <f>Table3[[#This Row],[WEO]]*Table3[[#This Row],[Demand]]</f>
        <v>#N/A</v>
      </c>
      <c r="AC218" s="19" t="e">
        <f>SUM(Table35[[#This Row],[OFC]:[WEO]])</f>
        <v>#N/A</v>
      </c>
      <c r="AD218" s="19" t="e">
        <f>Table35[[#This Row],[Demand]]-Table35[[#This Row],[Total_Modeled_Demand]]</f>
        <v>#N/A</v>
      </c>
    </row>
    <row r="219" spans="2:30" x14ac:dyDescent="0.3">
      <c r="B219" s="3" t="str">
        <f>Table3[[#This Row],[Fiscal_Year]]*100+Table3[[#This Row],[Fiscal_Week]] &amp; "-" &amp;Table3[[#This Row],[Brand]]</f>
        <v>0-</v>
      </c>
      <c r="C219" t="str">
        <f t="shared" si="3"/>
        <v>-</v>
      </c>
      <c r="H219" s="3" t="e">
        <f>INDEX(Demand_Modeling!$A$13:$I$49,MATCH(Table3[[#This Row],[Key]],Demand_Modeling!$A$13:$A$49,0),MATCH(Table3[[#Headers],[OFC]],Demand_Modeling!$A$13:$I$13,0))</f>
        <v>#N/A</v>
      </c>
      <c r="I219" s="3" t="e">
        <f>INDEX(Demand_Modeling!$A$13:$I$49,MATCH(Table3[[#This Row],[Key]],Demand_Modeling!$A$13:$A$49,0),MATCH(Table3[[#Headers],[TFC]],Demand_Modeling!$A$13:$I$13,0))</f>
        <v>#N/A</v>
      </c>
      <c r="J219" s="3" t="e">
        <f>INDEX(Demand_Modeling!$A$13:$I$49,MATCH(Table3[[#This Row],[Key]],Demand_Modeling!$A$13:$A$49,0),MATCH(Table3[[#Headers],[WFC]],Demand_Modeling!$A$13:$I$13,0))</f>
        <v>#N/A</v>
      </c>
      <c r="K219" s="3" t="e">
        <f>INDEX(Demand_Modeling!$A$13:$I$49,MATCH(Table3[[#This Row],[Key]],Demand_Modeling!$A$13:$A$49,0),MATCH(Table3[[#Headers],[EAO]],Demand_Modeling!$A$13:$I$13,0))</f>
        <v>#N/A</v>
      </c>
      <c r="L219" s="3" t="e">
        <f>INDEX(Demand_Modeling!$A$13:$I$49,MATCH(Table3[[#This Row],[Key]],Demand_Modeling!$A$13:$A$49,0),MATCH(Table3[[#Headers],[OCC]],Demand_Modeling!$A$13:$I$13,0))</f>
        <v>#N/A</v>
      </c>
      <c r="M219" s="3" t="e">
        <f>INDEX(Demand_Modeling!$A$13:$I$49,MATCH(Table3[[#This Row],[Key]],Demand_Modeling!$A$13:$A$49,0),MATCH(Table3[[#Headers],[WEO]],Demand_Modeling!$A$13:$I$13,0))</f>
        <v>#N/A</v>
      </c>
      <c r="N219" s="19" t="e">
        <f>SUM(Table3[[#This Row],[OFC]:[WEO]])</f>
        <v>#N/A</v>
      </c>
      <c r="O219" s="19"/>
      <c r="Q219" s="3" t="str">
        <f>Table35[[#This Row],[Fiscal_Year]]*100+Table35[[#This Row],[Fiscal_Week]] &amp; "-" &amp;Table35[[#This Row],[Brand]]</f>
        <v>0-0</v>
      </c>
      <c r="R219" t="str">
        <f>Table3[[#This Row],[Key]]</f>
        <v>-</v>
      </c>
      <c r="S219">
        <f>Table3[[#This Row],[Fiscal_Year]]</f>
        <v>0</v>
      </c>
      <c r="T219">
        <f>Table3[[#This Row],[Fiscal_Week]]</f>
        <v>0</v>
      </c>
      <c r="U219">
        <f>Table3[[#This Row],[Brand]]</f>
        <v>0</v>
      </c>
      <c r="V219">
        <f>Table3[[#This Row],[Demand]]</f>
        <v>0</v>
      </c>
      <c r="W219" t="e">
        <f>Table3[[#This Row],[OFC]]*Table3[[#This Row],[Demand]]</f>
        <v>#N/A</v>
      </c>
      <c r="X219" t="e">
        <f>Table3[[#This Row],[TFC]]*Table3[[#This Row],[Demand]]</f>
        <v>#N/A</v>
      </c>
      <c r="Y219" t="e">
        <f>Table3[[#This Row],[WFC]]*Table3[[#This Row],[Demand]]</f>
        <v>#N/A</v>
      </c>
      <c r="Z219" t="e">
        <f>Table3[[#This Row],[EAO]]*Table3[[#This Row],[Demand]]</f>
        <v>#N/A</v>
      </c>
      <c r="AA219" t="e">
        <f>Table3[[#This Row],[OCC]]*Table3[[#This Row],[Demand]]</f>
        <v>#N/A</v>
      </c>
      <c r="AB219" t="e">
        <f>Table3[[#This Row],[WEO]]*Table3[[#This Row],[Demand]]</f>
        <v>#N/A</v>
      </c>
      <c r="AC219" s="19" t="e">
        <f>SUM(Table35[[#This Row],[OFC]:[WEO]])</f>
        <v>#N/A</v>
      </c>
      <c r="AD219" s="19" t="e">
        <f>Table35[[#This Row],[Demand]]-Table35[[#This Row],[Total_Modeled_Demand]]</f>
        <v>#N/A</v>
      </c>
    </row>
    <row r="220" spans="2:30" x14ac:dyDescent="0.3">
      <c r="B220" s="3" t="str">
        <f>Table3[[#This Row],[Fiscal_Year]]*100+Table3[[#This Row],[Fiscal_Week]] &amp; "-" &amp;Table3[[#This Row],[Brand]]</f>
        <v>0-</v>
      </c>
      <c r="C220" t="str">
        <f t="shared" si="3"/>
        <v>-</v>
      </c>
      <c r="H220" s="3" t="e">
        <f>INDEX(Demand_Modeling!$A$13:$I$49,MATCH(Table3[[#This Row],[Key]],Demand_Modeling!$A$13:$A$49,0),MATCH(Table3[[#Headers],[OFC]],Demand_Modeling!$A$13:$I$13,0))</f>
        <v>#N/A</v>
      </c>
      <c r="I220" s="3" t="e">
        <f>INDEX(Demand_Modeling!$A$13:$I$49,MATCH(Table3[[#This Row],[Key]],Demand_Modeling!$A$13:$A$49,0),MATCH(Table3[[#Headers],[TFC]],Demand_Modeling!$A$13:$I$13,0))</f>
        <v>#N/A</v>
      </c>
      <c r="J220" s="3" t="e">
        <f>INDEX(Demand_Modeling!$A$13:$I$49,MATCH(Table3[[#This Row],[Key]],Demand_Modeling!$A$13:$A$49,0),MATCH(Table3[[#Headers],[WFC]],Demand_Modeling!$A$13:$I$13,0))</f>
        <v>#N/A</v>
      </c>
      <c r="K220" s="3" t="e">
        <f>INDEX(Demand_Modeling!$A$13:$I$49,MATCH(Table3[[#This Row],[Key]],Demand_Modeling!$A$13:$A$49,0),MATCH(Table3[[#Headers],[EAO]],Demand_Modeling!$A$13:$I$13,0))</f>
        <v>#N/A</v>
      </c>
      <c r="L220" s="3" t="e">
        <f>INDEX(Demand_Modeling!$A$13:$I$49,MATCH(Table3[[#This Row],[Key]],Demand_Modeling!$A$13:$A$49,0),MATCH(Table3[[#Headers],[OCC]],Demand_Modeling!$A$13:$I$13,0))</f>
        <v>#N/A</v>
      </c>
      <c r="M220" s="3" t="e">
        <f>INDEX(Demand_Modeling!$A$13:$I$49,MATCH(Table3[[#This Row],[Key]],Demand_Modeling!$A$13:$A$49,0),MATCH(Table3[[#Headers],[WEO]],Demand_Modeling!$A$13:$I$13,0))</f>
        <v>#N/A</v>
      </c>
      <c r="N220" s="19" t="e">
        <f>SUM(Table3[[#This Row],[OFC]:[WEO]])</f>
        <v>#N/A</v>
      </c>
      <c r="O220" s="19"/>
      <c r="Q220" s="3" t="str">
        <f>Table35[[#This Row],[Fiscal_Year]]*100+Table35[[#This Row],[Fiscal_Week]] &amp; "-" &amp;Table35[[#This Row],[Brand]]</f>
        <v>0-0</v>
      </c>
      <c r="R220" t="str">
        <f>Table3[[#This Row],[Key]]</f>
        <v>-</v>
      </c>
      <c r="S220">
        <f>Table3[[#This Row],[Fiscal_Year]]</f>
        <v>0</v>
      </c>
      <c r="T220">
        <f>Table3[[#This Row],[Fiscal_Week]]</f>
        <v>0</v>
      </c>
      <c r="U220">
        <f>Table3[[#This Row],[Brand]]</f>
        <v>0</v>
      </c>
      <c r="V220">
        <f>Table3[[#This Row],[Demand]]</f>
        <v>0</v>
      </c>
      <c r="W220" t="e">
        <f>Table3[[#This Row],[OFC]]*Table3[[#This Row],[Demand]]</f>
        <v>#N/A</v>
      </c>
      <c r="X220" t="e">
        <f>Table3[[#This Row],[TFC]]*Table3[[#This Row],[Demand]]</f>
        <v>#N/A</v>
      </c>
      <c r="Y220" t="e">
        <f>Table3[[#This Row],[WFC]]*Table3[[#This Row],[Demand]]</f>
        <v>#N/A</v>
      </c>
      <c r="Z220" t="e">
        <f>Table3[[#This Row],[EAO]]*Table3[[#This Row],[Demand]]</f>
        <v>#N/A</v>
      </c>
      <c r="AA220" t="e">
        <f>Table3[[#This Row],[OCC]]*Table3[[#This Row],[Demand]]</f>
        <v>#N/A</v>
      </c>
      <c r="AB220" t="e">
        <f>Table3[[#This Row],[WEO]]*Table3[[#This Row],[Demand]]</f>
        <v>#N/A</v>
      </c>
      <c r="AC220" s="19" t="e">
        <f>SUM(Table35[[#This Row],[OFC]:[WEO]])</f>
        <v>#N/A</v>
      </c>
      <c r="AD220" s="19" t="e">
        <f>Table35[[#This Row],[Demand]]-Table35[[#This Row],[Total_Modeled_Demand]]</f>
        <v>#N/A</v>
      </c>
    </row>
    <row r="221" spans="2:30" x14ac:dyDescent="0.3">
      <c r="B221" s="3" t="str">
        <f>Table3[[#This Row],[Fiscal_Year]]*100+Table3[[#This Row],[Fiscal_Week]] &amp; "-" &amp;Table3[[#This Row],[Brand]]</f>
        <v>0-</v>
      </c>
      <c r="C221" t="str">
        <f t="shared" si="3"/>
        <v>-</v>
      </c>
      <c r="H221" s="3" t="e">
        <f>INDEX(Demand_Modeling!$A$13:$I$49,MATCH(Table3[[#This Row],[Key]],Demand_Modeling!$A$13:$A$49,0),MATCH(Table3[[#Headers],[OFC]],Demand_Modeling!$A$13:$I$13,0))</f>
        <v>#N/A</v>
      </c>
      <c r="I221" s="3" t="e">
        <f>INDEX(Demand_Modeling!$A$13:$I$49,MATCH(Table3[[#This Row],[Key]],Demand_Modeling!$A$13:$A$49,0),MATCH(Table3[[#Headers],[TFC]],Demand_Modeling!$A$13:$I$13,0))</f>
        <v>#N/A</v>
      </c>
      <c r="J221" s="3" t="e">
        <f>INDEX(Demand_Modeling!$A$13:$I$49,MATCH(Table3[[#This Row],[Key]],Demand_Modeling!$A$13:$A$49,0),MATCH(Table3[[#Headers],[WFC]],Demand_Modeling!$A$13:$I$13,0))</f>
        <v>#N/A</v>
      </c>
      <c r="K221" s="3" t="e">
        <f>INDEX(Demand_Modeling!$A$13:$I$49,MATCH(Table3[[#This Row],[Key]],Demand_Modeling!$A$13:$A$49,0),MATCH(Table3[[#Headers],[EAO]],Demand_Modeling!$A$13:$I$13,0))</f>
        <v>#N/A</v>
      </c>
      <c r="L221" s="3" t="e">
        <f>INDEX(Demand_Modeling!$A$13:$I$49,MATCH(Table3[[#This Row],[Key]],Demand_Modeling!$A$13:$A$49,0),MATCH(Table3[[#Headers],[OCC]],Demand_Modeling!$A$13:$I$13,0))</f>
        <v>#N/A</v>
      </c>
      <c r="M221" s="3" t="e">
        <f>INDEX(Demand_Modeling!$A$13:$I$49,MATCH(Table3[[#This Row],[Key]],Demand_Modeling!$A$13:$A$49,0),MATCH(Table3[[#Headers],[WEO]],Demand_Modeling!$A$13:$I$13,0))</f>
        <v>#N/A</v>
      </c>
      <c r="N221" s="19" t="e">
        <f>SUM(Table3[[#This Row],[OFC]:[WEO]])</f>
        <v>#N/A</v>
      </c>
      <c r="O221" s="19"/>
      <c r="Q221" s="3" t="str">
        <f>Table35[[#This Row],[Fiscal_Year]]*100+Table35[[#This Row],[Fiscal_Week]] &amp; "-" &amp;Table35[[#This Row],[Brand]]</f>
        <v>0-0</v>
      </c>
      <c r="R221" t="str">
        <f>Table3[[#This Row],[Key]]</f>
        <v>-</v>
      </c>
      <c r="S221">
        <f>Table3[[#This Row],[Fiscal_Year]]</f>
        <v>0</v>
      </c>
      <c r="T221">
        <f>Table3[[#This Row],[Fiscal_Week]]</f>
        <v>0</v>
      </c>
      <c r="U221">
        <f>Table3[[#This Row],[Brand]]</f>
        <v>0</v>
      </c>
      <c r="V221">
        <f>Table3[[#This Row],[Demand]]</f>
        <v>0</v>
      </c>
      <c r="W221" t="e">
        <f>Table3[[#This Row],[OFC]]*Table3[[#This Row],[Demand]]</f>
        <v>#N/A</v>
      </c>
      <c r="X221" t="e">
        <f>Table3[[#This Row],[TFC]]*Table3[[#This Row],[Demand]]</f>
        <v>#N/A</v>
      </c>
      <c r="Y221" t="e">
        <f>Table3[[#This Row],[WFC]]*Table3[[#This Row],[Demand]]</f>
        <v>#N/A</v>
      </c>
      <c r="Z221" t="e">
        <f>Table3[[#This Row],[EAO]]*Table3[[#This Row],[Demand]]</f>
        <v>#N/A</v>
      </c>
      <c r="AA221" t="e">
        <f>Table3[[#This Row],[OCC]]*Table3[[#This Row],[Demand]]</f>
        <v>#N/A</v>
      </c>
      <c r="AB221" t="e">
        <f>Table3[[#This Row],[WEO]]*Table3[[#This Row],[Demand]]</f>
        <v>#N/A</v>
      </c>
      <c r="AC221" s="19" t="e">
        <f>SUM(Table35[[#This Row],[OFC]:[WEO]])</f>
        <v>#N/A</v>
      </c>
      <c r="AD221" s="19" t="e">
        <f>Table35[[#This Row],[Demand]]-Table35[[#This Row],[Total_Modeled_Demand]]</f>
        <v>#N/A</v>
      </c>
    </row>
    <row r="222" spans="2:30" x14ac:dyDescent="0.3">
      <c r="B222" s="3" t="str">
        <f>Table3[[#This Row],[Fiscal_Year]]*100+Table3[[#This Row],[Fiscal_Week]] &amp; "-" &amp;Table3[[#This Row],[Brand]]</f>
        <v>0-</v>
      </c>
      <c r="C222" t="str">
        <f t="shared" si="3"/>
        <v>-</v>
      </c>
      <c r="H222" s="3" t="e">
        <f>INDEX(Demand_Modeling!$A$13:$I$49,MATCH(Table3[[#This Row],[Key]],Demand_Modeling!$A$13:$A$49,0),MATCH(Table3[[#Headers],[OFC]],Demand_Modeling!$A$13:$I$13,0))</f>
        <v>#N/A</v>
      </c>
      <c r="I222" s="3" t="e">
        <f>INDEX(Demand_Modeling!$A$13:$I$49,MATCH(Table3[[#This Row],[Key]],Demand_Modeling!$A$13:$A$49,0),MATCH(Table3[[#Headers],[TFC]],Demand_Modeling!$A$13:$I$13,0))</f>
        <v>#N/A</v>
      </c>
      <c r="J222" s="3" t="e">
        <f>INDEX(Demand_Modeling!$A$13:$I$49,MATCH(Table3[[#This Row],[Key]],Demand_Modeling!$A$13:$A$49,0),MATCH(Table3[[#Headers],[WFC]],Demand_Modeling!$A$13:$I$13,0))</f>
        <v>#N/A</v>
      </c>
      <c r="K222" s="3" t="e">
        <f>INDEX(Demand_Modeling!$A$13:$I$49,MATCH(Table3[[#This Row],[Key]],Demand_Modeling!$A$13:$A$49,0),MATCH(Table3[[#Headers],[EAO]],Demand_Modeling!$A$13:$I$13,0))</f>
        <v>#N/A</v>
      </c>
      <c r="L222" s="3" t="e">
        <f>INDEX(Demand_Modeling!$A$13:$I$49,MATCH(Table3[[#This Row],[Key]],Demand_Modeling!$A$13:$A$49,0),MATCH(Table3[[#Headers],[OCC]],Demand_Modeling!$A$13:$I$13,0))</f>
        <v>#N/A</v>
      </c>
      <c r="M222" s="3" t="e">
        <f>INDEX(Demand_Modeling!$A$13:$I$49,MATCH(Table3[[#This Row],[Key]],Demand_Modeling!$A$13:$A$49,0),MATCH(Table3[[#Headers],[WEO]],Demand_Modeling!$A$13:$I$13,0))</f>
        <v>#N/A</v>
      </c>
      <c r="N222" s="19" t="e">
        <f>SUM(Table3[[#This Row],[OFC]:[WEO]])</f>
        <v>#N/A</v>
      </c>
      <c r="O222" s="19"/>
      <c r="Q222" s="3" t="str">
        <f>Table35[[#This Row],[Fiscal_Year]]*100+Table35[[#This Row],[Fiscal_Week]] &amp; "-" &amp;Table35[[#This Row],[Brand]]</f>
        <v>0-0</v>
      </c>
      <c r="R222" t="str">
        <f>Table3[[#This Row],[Key]]</f>
        <v>-</v>
      </c>
      <c r="S222">
        <f>Table3[[#This Row],[Fiscal_Year]]</f>
        <v>0</v>
      </c>
      <c r="T222">
        <f>Table3[[#This Row],[Fiscal_Week]]</f>
        <v>0</v>
      </c>
      <c r="U222">
        <f>Table3[[#This Row],[Brand]]</f>
        <v>0</v>
      </c>
      <c r="V222">
        <f>Table3[[#This Row],[Demand]]</f>
        <v>0</v>
      </c>
      <c r="W222" t="e">
        <f>Table3[[#This Row],[OFC]]*Table3[[#This Row],[Demand]]</f>
        <v>#N/A</v>
      </c>
      <c r="X222" t="e">
        <f>Table3[[#This Row],[TFC]]*Table3[[#This Row],[Demand]]</f>
        <v>#N/A</v>
      </c>
      <c r="Y222" t="e">
        <f>Table3[[#This Row],[WFC]]*Table3[[#This Row],[Demand]]</f>
        <v>#N/A</v>
      </c>
      <c r="Z222" t="e">
        <f>Table3[[#This Row],[EAO]]*Table3[[#This Row],[Demand]]</f>
        <v>#N/A</v>
      </c>
      <c r="AA222" t="e">
        <f>Table3[[#This Row],[OCC]]*Table3[[#This Row],[Demand]]</f>
        <v>#N/A</v>
      </c>
      <c r="AB222" t="e">
        <f>Table3[[#This Row],[WEO]]*Table3[[#This Row],[Demand]]</f>
        <v>#N/A</v>
      </c>
      <c r="AC222" s="19" t="e">
        <f>SUM(Table35[[#This Row],[OFC]:[WEO]])</f>
        <v>#N/A</v>
      </c>
      <c r="AD222" s="19" t="e">
        <f>Table35[[#This Row],[Demand]]-Table35[[#This Row],[Total_Modeled_Demand]]</f>
        <v>#N/A</v>
      </c>
    </row>
    <row r="223" spans="2:30" x14ac:dyDescent="0.3">
      <c r="B223" s="3" t="str">
        <f>Table3[[#This Row],[Fiscal_Year]]*100+Table3[[#This Row],[Fiscal_Week]] &amp; "-" &amp;Table3[[#This Row],[Brand]]</f>
        <v>0-</v>
      </c>
      <c r="C223" t="str">
        <f t="shared" si="3"/>
        <v>-</v>
      </c>
      <c r="H223" s="3" t="e">
        <f>INDEX(Demand_Modeling!$A$13:$I$49,MATCH(Table3[[#This Row],[Key]],Demand_Modeling!$A$13:$A$49,0),MATCH(Table3[[#Headers],[OFC]],Demand_Modeling!$A$13:$I$13,0))</f>
        <v>#N/A</v>
      </c>
      <c r="I223" s="3" t="e">
        <f>INDEX(Demand_Modeling!$A$13:$I$49,MATCH(Table3[[#This Row],[Key]],Demand_Modeling!$A$13:$A$49,0),MATCH(Table3[[#Headers],[TFC]],Demand_Modeling!$A$13:$I$13,0))</f>
        <v>#N/A</v>
      </c>
      <c r="J223" s="3" t="e">
        <f>INDEX(Demand_Modeling!$A$13:$I$49,MATCH(Table3[[#This Row],[Key]],Demand_Modeling!$A$13:$A$49,0),MATCH(Table3[[#Headers],[WFC]],Demand_Modeling!$A$13:$I$13,0))</f>
        <v>#N/A</v>
      </c>
      <c r="K223" s="3" t="e">
        <f>INDEX(Demand_Modeling!$A$13:$I$49,MATCH(Table3[[#This Row],[Key]],Demand_Modeling!$A$13:$A$49,0),MATCH(Table3[[#Headers],[EAO]],Demand_Modeling!$A$13:$I$13,0))</f>
        <v>#N/A</v>
      </c>
      <c r="L223" s="3" t="e">
        <f>INDEX(Demand_Modeling!$A$13:$I$49,MATCH(Table3[[#This Row],[Key]],Demand_Modeling!$A$13:$A$49,0),MATCH(Table3[[#Headers],[OCC]],Demand_Modeling!$A$13:$I$13,0))</f>
        <v>#N/A</v>
      </c>
      <c r="M223" s="3" t="e">
        <f>INDEX(Demand_Modeling!$A$13:$I$49,MATCH(Table3[[#This Row],[Key]],Demand_Modeling!$A$13:$A$49,0),MATCH(Table3[[#Headers],[WEO]],Demand_Modeling!$A$13:$I$13,0))</f>
        <v>#N/A</v>
      </c>
      <c r="N223" s="19" t="e">
        <f>SUM(Table3[[#This Row],[OFC]:[WEO]])</f>
        <v>#N/A</v>
      </c>
      <c r="O223" s="19"/>
      <c r="Q223" s="3" t="str">
        <f>Table35[[#This Row],[Fiscal_Year]]*100+Table35[[#This Row],[Fiscal_Week]] &amp; "-" &amp;Table35[[#This Row],[Brand]]</f>
        <v>0-0</v>
      </c>
      <c r="R223" t="str">
        <f>Table3[[#This Row],[Key]]</f>
        <v>-</v>
      </c>
      <c r="S223">
        <f>Table3[[#This Row],[Fiscal_Year]]</f>
        <v>0</v>
      </c>
      <c r="T223">
        <f>Table3[[#This Row],[Fiscal_Week]]</f>
        <v>0</v>
      </c>
      <c r="U223">
        <f>Table3[[#This Row],[Brand]]</f>
        <v>0</v>
      </c>
      <c r="V223">
        <f>Table3[[#This Row],[Demand]]</f>
        <v>0</v>
      </c>
      <c r="W223" t="e">
        <f>Table3[[#This Row],[OFC]]*Table3[[#This Row],[Demand]]</f>
        <v>#N/A</v>
      </c>
      <c r="X223" t="e">
        <f>Table3[[#This Row],[TFC]]*Table3[[#This Row],[Demand]]</f>
        <v>#N/A</v>
      </c>
      <c r="Y223" t="e">
        <f>Table3[[#This Row],[WFC]]*Table3[[#This Row],[Demand]]</f>
        <v>#N/A</v>
      </c>
      <c r="Z223" t="e">
        <f>Table3[[#This Row],[EAO]]*Table3[[#This Row],[Demand]]</f>
        <v>#N/A</v>
      </c>
      <c r="AA223" t="e">
        <f>Table3[[#This Row],[OCC]]*Table3[[#This Row],[Demand]]</f>
        <v>#N/A</v>
      </c>
      <c r="AB223" t="e">
        <f>Table3[[#This Row],[WEO]]*Table3[[#This Row],[Demand]]</f>
        <v>#N/A</v>
      </c>
      <c r="AC223" s="19" t="e">
        <f>SUM(Table35[[#This Row],[OFC]:[WEO]])</f>
        <v>#N/A</v>
      </c>
      <c r="AD223" s="19" t="e">
        <f>Table35[[#This Row],[Demand]]-Table35[[#This Row],[Total_Modeled_Demand]]</f>
        <v>#N/A</v>
      </c>
    </row>
    <row r="224" spans="2:30" x14ac:dyDescent="0.3">
      <c r="B224" s="3" t="str">
        <f>Table3[[#This Row],[Fiscal_Year]]*100+Table3[[#This Row],[Fiscal_Week]] &amp; "-" &amp;Table3[[#This Row],[Brand]]</f>
        <v>0-</v>
      </c>
      <c r="C224" t="str">
        <f t="shared" si="3"/>
        <v>-</v>
      </c>
      <c r="H224" s="3" t="e">
        <f>INDEX(Demand_Modeling!$A$13:$I$49,MATCH(Table3[[#This Row],[Key]],Demand_Modeling!$A$13:$A$49,0),MATCH(Table3[[#Headers],[OFC]],Demand_Modeling!$A$13:$I$13,0))</f>
        <v>#N/A</v>
      </c>
      <c r="I224" s="3" t="e">
        <f>INDEX(Demand_Modeling!$A$13:$I$49,MATCH(Table3[[#This Row],[Key]],Demand_Modeling!$A$13:$A$49,0),MATCH(Table3[[#Headers],[TFC]],Demand_Modeling!$A$13:$I$13,0))</f>
        <v>#N/A</v>
      </c>
      <c r="J224" s="3" t="e">
        <f>INDEX(Demand_Modeling!$A$13:$I$49,MATCH(Table3[[#This Row],[Key]],Demand_Modeling!$A$13:$A$49,0),MATCH(Table3[[#Headers],[WFC]],Demand_Modeling!$A$13:$I$13,0))</f>
        <v>#N/A</v>
      </c>
      <c r="K224" s="3" t="e">
        <f>INDEX(Demand_Modeling!$A$13:$I$49,MATCH(Table3[[#This Row],[Key]],Demand_Modeling!$A$13:$A$49,0),MATCH(Table3[[#Headers],[EAO]],Demand_Modeling!$A$13:$I$13,0))</f>
        <v>#N/A</v>
      </c>
      <c r="L224" s="3" t="e">
        <f>INDEX(Demand_Modeling!$A$13:$I$49,MATCH(Table3[[#This Row],[Key]],Demand_Modeling!$A$13:$A$49,0),MATCH(Table3[[#Headers],[OCC]],Demand_Modeling!$A$13:$I$13,0))</f>
        <v>#N/A</v>
      </c>
      <c r="M224" s="3" t="e">
        <f>INDEX(Demand_Modeling!$A$13:$I$49,MATCH(Table3[[#This Row],[Key]],Demand_Modeling!$A$13:$A$49,0),MATCH(Table3[[#Headers],[WEO]],Demand_Modeling!$A$13:$I$13,0))</f>
        <v>#N/A</v>
      </c>
      <c r="N224" s="19" t="e">
        <f>SUM(Table3[[#This Row],[OFC]:[WEO]])</f>
        <v>#N/A</v>
      </c>
      <c r="O224" s="19"/>
      <c r="Q224" s="3" t="str">
        <f>Table35[[#This Row],[Fiscal_Year]]*100+Table35[[#This Row],[Fiscal_Week]] &amp; "-" &amp;Table35[[#This Row],[Brand]]</f>
        <v>0-0</v>
      </c>
      <c r="R224" t="str">
        <f>Table3[[#This Row],[Key]]</f>
        <v>-</v>
      </c>
      <c r="S224">
        <f>Table3[[#This Row],[Fiscal_Year]]</f>
        <v>0</v>
      </c>
      <c r="T224">
        <f>Table3[[#This Row],[Fiscal_Week]]</f>
        <v>0</v>
      </c>
      <c r="U224">
        <f>Table3[[#This Row],[Brand]]</f>
        <v>0</v>
      </c>
      <c r="V224">
        <f>Table3[[#This Row],[Demand]]</f>
        <v>0</v>
      </c>
      <c r="W224" t="e">
        <f>Table3[[#This Row],[OFC]]*Table3[[#This Row],[Demand]]</f>
        <v>#N/A</v>
      </c>
      <c r="X224" t="e">
        <f>Table3[[#This Row],[TFC]]*Table3[[#This Row],[Demand]]</f>
        <v>#N/A</v>
      </c>
      <c r="Y224" t="e">
        <f>Table3[[#This Row],[WFC]]*Table3[[#This Row],[Demand]]</f>
        <v>#N/A</v>
      </c>
      <c r="Z224" t="e">
        <f>Table3[[#This Row],[EAO]]*Table3[[#This Row],[Demand]]</f>
        <v>#N/A</v>
      </c>
      <c r="AA224" t="e">
        <f>Table3[[#This Row],[OCC]]*Table3[[#This Row],[Demand]]</f>
        <v>#N/A</v>
      </c>
      <c r="AB224" t="e">
        <f>Table3[[#This Row],[WEO]]*Table3[[#This Row],[Demand]]</f>
        <v>#N/A</v>
      </c>
      <c r="AC224" s="19" t="e">
        <f>SUM(Table35[[#This Row],[OFC]:[WEO]])</f>
        <v>#N/A</v>
      </c>
      <c r="AD224" s="19" t="e">
        <f>Table35[[#This Row],[Demand]]-Table35[[#This Row],[Total_Modeled_Demand]]</f>
        <v>#N/A</v>
      </c>
    </row>
    <row r="225" spans="2:30" x14ac:dyDescent="0.3">
      <c r="B225" s="3" t="str">
        <f>Table3[[#This Row],[Fiscal_Year]]*100+Table3[[#This Row],[Fiscal_Week]] &amp; "-" &amp;Table3[[#This Row],[Brand]]</f>
        <v>0-</v>
      </c>
      <c r="C225" t="str">
        <f t="shared" si="3"/>
        <v>-</v>
      </c>
      <c r="H225" s="3" t="e">
        <f>INDEX(Demand_Modeling!$A$13:$I$49,MATCH(Table3[[#This Row],[Key]],Demand_Modeling!$A$13:$A$49,0),MATCH(Table3[[#Headers],[OFC]],Demand_Modeling!$A$13:$I$13,0))</f>
        <v>#N/A</v>
      </c>
      <c r="I225" s="3" t="e">
        <f>INDEX(Demand_Modeling!$A$13:$I$49,MATCH(Table3[[#This Row],[Key]],Demand_Modeling!$A$13:$A$49,0),MATCH(Table3[[#Headers],[TFC]],Demand_Modeling!$A$13:$I$13,0))</f>
        <v>#N/A</v>
      </c>
      <c r="J225" s="3" t="e">
        <f>INDEX(Demand_Modeling!$A$13:$I$49,MATCH(Table3[[#This Row],[Key]],Demand_Modeling!$A$13:$A$49,0),MATCH(Table3[[#Headers],[WFC]],Demand_Modeling!$A$13:$I$13,0))</f>
        <v>#N/A</v>
      </c>
      <c r="K225" s="3" t="e">
        <f>INDEX(Demand_Modeling!$A$13:$I$49,MATCH(Table3[[#This Row],[Key]],Demand_Modeling!$A$13:$A$49,0),MATCH(Table3[[#Headers],[EAO]],Demand_Modeling!$A$13:$I$13,0))</f>
        <v>#N/A</v>
      </c>
      <c r="L225" s="3" t="e">
        <f>INDEX(Demand_Modeling!$A$13:$I$49,MATCH(Table3[[#This Row],[Key]],Demand_Modeling!$A$13:$A$49,0),MATCH(Table3[[#Headers],[OCC]],Demand_Modeling!$A$13:$I$13,0))</f>
        <v>#N/A</v>
      </c>
      <c r="M225" s="3" t="e">
        <f>INDEX(Demand_Modeling!$A$13:$I$49,MATCH(Table3[[#This Row],[Key]],Demand_Modeling!$A$13:$A$49,0),MATCH(Table3[[#Headers],[WEO]],Demand_Modeling!$A$13:$I$13,0))</f>
        <v>#N/A</v>
      </c>
      <c r="N225" s="19" t="e">
        <f>SUM(Table3[[#This Row],[OFC]:[WEO]])</f>
        <v>#N/A</v>
      </c>
      <c r="O225" s="19"/>
      <c r="Q225" s="3" t="str">
        <f>Table35[[#This Row],[Fiscal_Year]]*100+Table35[[#This Row],[Fiscal_Week]] &amp; "-" &amp;Table35[[#This Row],[Brand]]</f>
        <v>0-0</v>
      </c>
      <c r="R225" t="str">
        <f>Table3[[#This Row],[Key]]</f>
        <v>-</v>
      </c>
      <c r="S225">
        <f>Table3[[#This Row],[Fiscal_Year]]</f>
        <v>0</v>
      </c>
      <c r="T225">
        <f>Table3[[#This Row],[Fiscal_Week]]</f>
        <v>0</v>
      </c>
      <c r="U225">
        <f>Table3[[#This Row],[Brand]]</f>
        <v>0</v>
      </c>
      <c r="V225">
        <f>Table3[[#This Row],[Demand]]</f>
        <v>0</v>
      </c>
      <c r="W225" t="e">
        <f>Table3[[#This Row],[OFC]]*Table3[[#This Row],[Demand]]</f>
        <v>#N/A</v>
      </c>
      <c r="X225" t="e">
        <f>Table3[[#This Row],[TFC]]*Table3[[#This Row],[Demand]]</f>
        <v>#N/A</v>
      </c>
      <c r="Y225" t="e">
        <f>Table3[[#This Row],[WFC]]*Table3[[#This Row],[Demand]]</f>
        <v>#N/A</v>
      </c>
      <c r="Z225" t="e">
        <f>Table3[[#This Row],[EAO]]*Table3[[#This Row],[Demand]]</f>
        <v>#N/A</v>
      </c>
      <c r="AA225" t="e">
        <f>Table3[[#This Row],[OCC]]*Table3[[#This Row],[Demand]]</f>
        <v>#N/A</v>
      </c>
      <c r="AB225" t="e">
        <f>Table3[[#This Row],[WEO]]*Table3[[#This Row],[Demand]]</f>
        <v>#N/A</v>
      </c>
      <c r="AC225" s="19" t="e">
        <f>SUM(Table35[[#This Row],[OFC]:[WEO]])</f>
        <v>#N/A</v>
      </c>
      <c r="AD225" s="19" t="e">
        <f>Table35[[#This Row],[Demand]]-Table35[[#This Row],[Total_Modeled_Demand]]</f>
        <v>#N/A</v>
      </c>
    </row>
    <row r="226" spans="2:30" x14ac:dyDescent="0.3">
      <c r="B226" s="3" t="str">
        <f>Table3[[#This Row],[Fiscal_Year]]*100+Table3[[#This Row],[Fiscal_Week]] &amp; "-" &amp;Table3[[#This Row],[Brand]]</f>
        <v>0-</v>
      </c>
      <c r="C226" t="str">
        <f t="shared" si="3"/>
        <v>-</v>
      </c>
      <c r="H226" s="3" t="e">
        <f>INDEX(Demand_Modeling!$A$13:$I$49,MATCH(Table3[[#This Row],[Key]],Demand_Modeling!$A$13:$A$49,0),MATCH(Table3[[#Headers],[OFC]],Demand_Modeling!$A$13:$I$13,0))</f>
        <v>#N/A</v>
      </c>
      <c r="I226" s="3" t="e">
        <f>INDEX(Demand_Modeling!$A$13:$I$49,MATCH(Table3[[#This Row],[Key]],Demand_Modeling!$A$13:$A$49,0),MATCH(Table3[[#Headers],[TFC]],Demand_Modeling!$A$13:$I$13,0))</f>
        <v>#N/A</v>
      </c>
      <c r="J226" s="3" t="e">
        <f>INDEX(Demand_Modeling!$A$13:$I$49,MATCH(Table3[[#This Row],[Key]],Demand_Modeling!$A$13:$A$49,0),MATCH(Table3[[#Headers],[WFC]],Demand_Modeling!$A$13:$I$13,0))</f>
        <v>#N/A</v>
      </c>
      <c r="K226" s="3" t="e">
        <f>INDEX(Demand_Modeling!$A$13:$I$49,MATCH(Table3[[#This Row],[Key]],Demand_Modeling!$A$13:$A$49,0),MATCH(Table3[[#Headers],[EAO]],Demand_Modeling!$A$13:$I$13,0))</f>
        <v>#N/A</v>
      </c>
      <c r="L226" s="3" t="e">
        <f>INDEX(Demand_Modeling!$A$13:$I$49,MATCH(Table3[[#This Row],[Key]],Demand_Modeling!$A$13:$A$49,0),MATCH(Table3[[#Headers],[OCC]],Demand_Modeling!$A$13:$I$13,0))</f>
        <v>#N/A</v>
      </c>
      <c r="M226" s="3" t="e">
        <f>INDEX(Demand_Modeling!$A$13:$I$49,MATCH(Table3[[#This Row],[Key]],Demand_Modeling!$A$13:$A$49,0),MATCH(Table3[[#Headers],[WEO]],Demand_Modeling!$A$13:$I$13,0))</f>
        <v>#N/A</v>
      </c>
      <c r="N226" s="19" t="e">
        <f>SUM(Table3[[#This Row],[OFC]:[WEO]])</f>
        <v>#N/A</v>
      </c>
      <c r="O226" s="19"/>
      <c r="Q226" s="3" t="str">
        <f>Table35[[#This Row],[Fiscal_Year]]*100+Table35[[#This Row],[Fiscal_Week]] &amp; "-" &amp;Table35[[#This Row],[Brand]]</f>
        <v>0-0</v>
      </c>
      <c r="R226" t="str">
        <f>Table3[[#This Row],[Key]]</f>
        <v>-</v>
      </c>
      <c r="S226">
        <f>Table3[[#This Row],[Fiscal_Year]]</f>
        <v>0</v>
      </c>
      <c r="T226">
        <f>Table3[[#This Row],[Fiscal_Week]]</f>
        <v>0</v>
      </c>
      <c r="U226">
        <f>Table3[[#This Row],[Brand]]</f>
        <v>0</v>
      </c>
      <c r="V226">
        <f>Table3[[#This Row],[Demand]]</f>
        <v>0</v>
      </c>
      <c r="W226" t="e">
        <f>Table3[[#This Row],[OFC]]*Table3[[#This Row],[Demand]]</f>
        <v>#N/A</v>
      </c>
      <c r="X226" t="e">
        <f>Table3[[#This Row],[TFC]]*Table3[[#This Row],[Demand]]</f>
        <v>#N/A</v>
      </c>
      <c r="Y226" t="e">
        <f>Table3[[#This Row],[WFC]]*Table3[[#This Row],[Demand]]</f>
        <v>#N/A</v>
      </c>
      <c r="Z226" t="e">
        <f>Table3[[#This Row],[EAO]]*Table3[[#This Row],[Demand]]</f>
        <v>#N/A</v>
      </c>
      <c r="AA226" t="e">
        <f>Table3[[#This Row],[OCC]]*Table3[[#This Row],[Demand]]</f>
        <v>#N/A</v>
      </c>
      <c r="AB226" t="e">
        <f>Table3[[#This Row],[WEO]]*Table3[[#This Row],[Demand]]</f>
        <v>#N/A</v>
      </c>
      <c r="AC226" s="19" t="e">
        <f>SUM(Table35[[#This Row],[OFC]:[WEO]])</f>
        <v>#N/A</v>
      </c>
      <c r="AD226" s="19" t="e">
        <f>Table35[[#This Row],[Demand]]-Table35[[#This Row],[Total_Modeled_Demand]]</f>
        <v>#N/A</v>
      </c>
    </row>
    <row r="227" spans="2:30" x14ac:dyDescent="0.3">
      <c r="B227" s="3" t="str">
        <f>Table3[[#This Row],[Fiscal_Year]]*100+Table3[[#This Row],[Fiscal_Week]] &amp; "-" &amp;Table3[[#This Row],[Brand]]</f>
        <v>0-</v>
      </c>
      <c r="C227" t="str">
        <f t="shared" si="3"/>
        <v>-</v>
      </c>
      <c r="H227" s="3" t="e">
        <f>INDEX(Demand_Modeling!$A$13:$I$49,MATCH(Table3[[#This Row],[Key]],Demand_Modeling!$A$13:$A$49,0),MATCH(Table3[[#Headers],[OFC]],Demand_Modeling!$A$13:$I$13,0))</f>
        <v>#N/A</v>
      </c>
      <c r="I227" s="3" t="e">
        <f>INDEX(Demand_Modeling!$A$13:$I$49,MATCH(Table3[[#This Row],[Key]],Demand_Modeling!$A$13:$A$49,0),MATCH(Table3[[#Headers],[TFC]],Demand_Modeling!$A$13:$I$13,0))</f>
        <v>#N/A</v>
      </c>
      <c r="J227" s="3" t="e">
        <f>INDEX(Demand_Modeling!$A$13:$I$49,MATCH(Table3[[#This Row],[Key]],Demand_Modeling!$A$13:$A$49,0),MATCH(Table3[[#Headers],[WFC]],Demand_Modeling!$A$13:$I$13,0))</f>
        <v>#N/A</v>
      </c>
      <c r="K227" s="3" t="e">
        <f>INDEX(Demand_Modeling!$A$13:$I$49,MATCH(Table3[[#This Row],[Key]],Demand_Modeling!$A$13:$A$49,0),MATCH(Table3[[#Headers],[EAO]],Demand_Modeling!$A$13:$I$13,0))</f>
        <v>#N/A</v>
      </c>
      <c r="L227" s="3" t="e">
        <f>INDEX(Demand_Modeling!$A$13:$I$49,MATCH(Table3[[#This Row],[Key]],Demand_Modeling!$A$13:$A$49,0),MATCH(Table3[[#Headers],[OCC]],Demand_Modeling!$A$13:$I$13,0))</f>
        <v>#N/A</v>
      </c>
      <c r="M227" s="3" t="e">
        <f>INDEX(Demand_Modeling!$A$13:$I$49,MATCH(Table3[[#This Row],[Key]],Demand_Modeling!$A$13:$A$49,0),MATCH(Table3[[#Headers],[WEO]],Demand_Modeling!$A$13:$I$13,0))</f>
        <v>#N/A</v>
      </c>
      <c r="N227" s="19" t="e">
        <f>SUM(Table3[[#This Row],[OFC]:[WEO]])</f>
        <v>#N/A</v>
      </c>
      <c r="O227" s="19"/>
      <c r="Q227" s="3" t="str">
        <f>Table35[[#This Row],[Fiscal_Year]]*100+Table35[[#This Row],[Fiscal_Week]] &amp; "-" &amp;Table35[[#This Row],[Brand]]</f>
        <v>0-0</v>
      </c>
      <c r="R227" t="str">
        <f>Table3[[#This Row],[Key]]</f>
        <v>-</v>
      </c>
      <c r="S227">
        <f>Table3[[#This Row],[Fiscal_Year]]</f>
        <v>0</v>
      </c>
      <c r="T227">
        <f>Table3[[#This Row],[Fiscal_Week]]</f>
        <v>0</v>
      </c>
      <c r="U227">
        <f>Table3[[#This Row],[Brand]]</f>
        <v>0</v>
      </c>
      <c r="V227">
        <f>Table3[[#This Row],[Demand]]</f>
        <v>0</v>
      </c>
      <c r="W227" t="e">
        <f>Table3[[#This Row],[OFC]]*Table3[[#This Row],[Demand]]</f>
        <v>#N/A</v>
      </c>
      <c r="X227" t="e">
        <f>Table3[[#This Row],[TFC]]*Table3[[#This Row],[Demand]]</f>
        <v>#N/A</v>
      </c>
      <c r="Y227" t="e">
        <f>Table3[[#This Row],[WFC]]*Table3[[#This Row],[Demand]]</f>
        <v>#N/A</v>
      </c>
      <c r="Z227" t="e">
        <f>Table3[[#This Row],[EAO]]*Table3[[#This Row],[Demand]]</f>
        <v>#N/A</v>
      </c>
      <c r="AA227" t="e">
        <f>Table3[[#This Row],[OCC]]*Table3[[#This Row],[Demand]]</f>
        <v>#N/A</v>
      </c>
      <c r="AB227" t="e">
        <f>Table3[[#This Row],[WEO]]*Table3[[#This Row],[Demand]]</f>
        <v>#N/A</v>
      </c>
      <c r="AC227" s="19" t="e">
        <f>SUM(Table35[[#This Row],[OFC]:[WEO]])</f>
        <v>#N/A</v>
      </c>
      <c r="AD227" s="19" t="e">
        <f>Table35[[#This Row],[Demand]]-Table35[[#This Row],[Total_Modeled_Demand]]</f>
        <v>#N/A</v>
      </c>
    </row>
    <row r="228" spans="2:30" x14ac:dyDescent="0.3">
      <c r="B228" s="3" t="str">
        <f>Table3[[#This Row],[Fiscal_Year]]*100+Table3[[#This Row],[Fiscal_Week]] &amp; "-" &amp;Table3[[#This Row],[Brand]]</f>
        <v>0-</v>
      </c>
      <c r="C228" t="str">
        <f t="shared" si="3"/>
        <v>-</v>
      </c>
      <c r="H228" s="3" t="e">
        <f>INDEX(Demand_Modeling!$A$13:$I$49,MATCH(Table3[[#This Row],[Key]],Demand_Modeling!$A$13:$A$49,0),MATCH(Table3[[#Headers],[OFC]],Demand_Modeling!$A$13:$I$13,0))</f>
        <v>#N/A</v>
      </c>
      <c r="I228" s="3" t="e">
        <f>INDEX(Demand_Modeling!$A$13:$I$49,MATCH(Table3[[#This Row],[Key]],Demand_Modeling!$A$13:$A$49,0),MATCH(Table3[[#Headers],[TFC]],Demand_Modeling!$A$13:$I$13,0))</f>
        <v>#N/A</v>
      </c>
      <c r="J228" s="3" t="e">
        <f>INDEX(Demand_Modeling!$A$13:$I$49,MATCH(Table3[[#This Row],[Key]],Demand_Modeling!$A$13:$A$49,0),MATCH(Table3[[#Headers],[WFC]],Demand_Modeling!$A$13:$I$13,0))</f>
        <v>#N/A</v>
      </c>
      <c r="K228" s="3" t="e">
        <f>INDEX(Demand_Modeling!$A$13:$I$49,MATCH(Table3[[#This Row],[Key]],Demand_Modeling!$A$13:$A$49,0),MATCH(Table3[[#Headers],[EAO]],Demand_Modeling!$A$13:$I$13,0))</f>
        <v>#N/A</v>
      </c>
      <c r="L228" s="3" t="e">
        <f>INDEX(Demand_Modeling!$A$13:$I$49,MATCH(Table3[[#This Row],[Key]],Demand_Modeling!$A$13:$A$49,0),MATCH(Table3[[#Headers],[OCC]],Demand_Modeling!$A$13:$I$13,0))</f>
        <v>#N/A</v>
      </c>
      <c r="M228" s="3" t="e">
        <f>INDEX(Demand_Modeling!$A$13:$I$49,MATCH(Table3[[#This Row],[Key]],Demand_Modeling!$A$13:$A$49,0),MATCH(Table3[[#Headers],[WEO]],Demand_Modeling!$A$13:$I$13,0))</f>
        <v>#N/A</v>
      </c>
      <c r="N228" s="19" t="e">
        <f>SUM(Table3[[#This Row],[OFC]:[WEO]])</f>
        <v>#N/A</v>
      </c>
      <c r="O228" s="19"/>
      <c r="Q228" s="3" t="str">
        <f>Table35[[#This Row],[Fiscal_Year]]*100+Table35[[#This Row],[Fiscal_Week]] &amp; "-" &amp;Table35[[#This Row],[Brand]]</f>
        <v>0-0</v>
      </c>
      <c r="R228" t="str">
        <f>Table3[[#This Row],[Key]]</f>
        <v>-</v>
      </c>
      <c r="S228">
        <f>Table3[[#This Row],[Fiscal_Year]]</f>
        <v>0</v>
      </c>
      <c r="T228">
        <f>Table3[[#This Row],[Fiscal_Week]]</f>
        <v>0</v>
      </c>
      <c r="U228">
        <f>Table3[[#This Row],[Brand]]</f>
        <v>0</v>
      </c>
      <c r="V228">
        <f>Table3[[#This Row],[Demand]]</f>
        <v>0</v>
      </c>
      <c r="W228" t="e">
        <f>Table3[[#This Row],[OFC]]*Table3[[#This Row],[Demand]]</f>
        <v>#N/A</v>
      </c>
      <c r="X228" t="e">
        <f>Table3[[#This Row],[TFC]]*Table3[[#This Row],[Demand]]</f>
        <v>#N/A</v>
      </c>
      <c r="Y228" t="e">
        <f>Table3[[#This Row],[WFC]]*Table3[[#This Row],[Demand]]</f>
        <v>#N/A</v>
      </c>
      <c r="Z228" t="e">
        <f>Table3[[#This Row],[EAO]]*Table3[[#This Row],[Demand]]</f>
        <v>#N/A</v>
      </c>
      <c r="AA228" t="e">
        <f>Table3[[#This Row],[OCC]]*Table3[[#This Row],[Demand]]</f>
        <v>#N/A</v>
      </c>
      <c r="AB228" t="e">
        <f>Table3[[#This Row],[WEO]]*Table3[[#This Row],[Demand]]</f>
        <v>#N/A</v>
      </c>
      <c r="AC228" s="19" t="e">
        <f>SUM(Table35[[#This Row],[OFC]:[WEO]])</f>
        <v>#N/A</v>
      </c>
      <c r="AD228" s="19" t="e">
        <f>Table35[[#This Row],[Demand]]-Table35[[#This Row],[Total_Modeled_Demand]]</f>
        <v>#N/A</v>
      </c>
    </row>
    <row r="229" spans="2:30" x14ac:dyDescent="0.3">
      <c r="B229" s="3" t="str">
        <f>Table3[[#This Row],[Fiscal_Year]]*100+Table3[[#This Row],[Fiscal_Week]] &amp; "-" &amp;Table3[[#This Row],[Brand]]</f>
        <v>0-</v>
      </c>
      <c r="C229" t="str">
        <f t="shared" si="3"/>
        <v>-</v>
      </c>
      <c r="H229" s="3" t="e">
        <f>INDEX(Demand_Modeling!$A$13:$I$49,MATCH(Table3[[#This Row],[Key]],Demand_Modeling!$A$13:$A$49,0),MATCH(Table3[[#Headers],[OFC]],Demand_Modeling!$A$13:$I$13,0))</f>
        <v>#N/A</v>
      </c>
      <c r="I229" s="3" t="e">
        <f>INDEX(Demand_Modeling!$A$13:$I$49,MATCH(Table3[[#This Row],[Key]],Demand_Modeling!$A$13:$A$49,0),MATCH(Table3[[#Headers],[TFC]],Demand_Modeling!$A$13:$I$13,0))</f>
        <v>#N/A</v>
      </c>
      <c r="J229" s="3" t="e">
        <f>INDEX(Demand_Modeling!$A$13:$I$49,MATCH(Table3[[#This Row],[Key]],Demand_Modeling!$A$13:$A$49,0),MATCH(Table3[[#Headers],[WFC]],Demand_Modeling!$A$13:$I$13,0))</f>
        <v>#N/A</v>
      </c>
      <c r="K229" s="3" t="e">
        <f>INDEX(Demand_Modeling!$A$13:$I$49,MATCH(Table3[[#This Row],[Key]],Demand_Modeling!$A$13:$A$49,0),MATCH(Table3[[#Headers],[EAO]],Demand_Modeling!$A$13:$I$13,0))</f>
        <v>#N/A</v>
      </c>
      <c r="L229" s="3" t="e">
        <f>INDEX(Demand_Modeling!$A$13:$I$49,MATCH(Table3[[#This Row],[Key]],Demand_Modeling!$A$13:$A$49,0),MATCH(Table3[[#Headers],[OCC]],Demand_Modeling!$A$13:$I$13,0))</f>
        <v>#N/A</v>
      </c>
      <c r="M229" s="3" t="e">
        <f>INDEX(Demand_Modeling!$A$13:$I$49,MATCH(Table3[[#This Row],[Key]],Demand_Modeling!$A$13:$A$49,0),MATCH(Table3[[#Headers],[WEO]],Demand_Modeling!$A$13:$I$13,0))</f>
        <v>#N/A</v>
      </c>
      <c r="N229" s="19" t="e">
        <f>SUM(Table3[[#This Row],[OFC]:[WEO]])</f>
        <v>#N/A</v>
      </c>
      <c r="O229" s="19"/>
      <c r="Q229" s="3" t="str">
        <f>Table35[[#This Row],[Fiscal_Year]]*100+Table35[[#This Row],[Fiscal_Week]] &amp; "-" &amp;Table35[[#This Row],[Brand]]</f>
        <v>0-0</v>
      </c>
      <c r="R229" t="str">
        <f>Table3[[#This Row],[Key]]</f>
        <v>-</v>
      </c>
      <c r="S229">
        <f>Table3[[#This Row],[Fiscal_Year]]</f>
        <v>0</v>
      </c>
      <c r="T229">
        <f>Table3[[#This Row],[Fiscal_Week]]</f>
        <v>0</v>
      </c>
      <c r="U229">
        <f>Table3[[#This Row],[Brand]]</f>
        <v>0</v>
      </c>
      <c r="V229">
        <f>Table3[[#This Row],[Demand]]</f>
        <v>0</v>
      </c>
      <c r="W229" t="e">
        <f>Table3[[#This Row],[OFC]]*Table3[[#This Row],[Demand]]</f>
        <v>#N/A</v>
      </c>
      <c r="X229" t="e">
        <f>Table3[[#This Row],[TFC]]*Table3[[#This Row],[Demand]]</f>
        <v>#N/A</v>
      </c>
      <c r="Y229" t="e">
        <f>Table3[[#This Row],[WFC]]*Table3[[#This Row],[Demand]]</f>
        <v>#N/A</v>
      </c>
      <c r="Z229" t="e">
        <f>Table3[[#This Row],[EAO]]*Table3[[#This Row],[Demand]]</f>
        <v>#N/A</v>
      </c>
      <c r="AA229" t="e">
        <f>Table3[[#This Row],[OCC]]*Table3[[#This Row],[Demand]]</f>
        <v>#N/A</v>
      </c>
      <c r="AB229" t="e">
        <f>Table3[[#This Row],[WEO]]*Table3[[#This Row],[Demand]]</f>
        <v>#N/A</v>
      </c>
      <c r="AC229" s="19" t="e">
        <f>SUM(Table35[[#This Row],[OFC]:[WEO]])</f>
        <v>#N/A</v>
      </c>
      <c r="AD229" s="19" t="e">
        <f>Table35[[#This Row],[Demand]]-Table35[[#This Row],[Total_Modeled_Demand]]</f>
        <v>#N/A</v>
      </c>
    </row>
    <row r="230" spans="2:30" x14ac:dyDescent="0.3">
      <c r="B230" s="3" t="str">
        <f>Table3[[#This Row],[Fiscal_Year]]*100+Table3[[#This Row],[Fiscal_Week]] &amp; "-" &amp;Table3[[#This Row],[Brand]]</f>
        <v>0-</v>
      </c>
      <c r="C230" t="str">
        <f t="shared" si="3"/>
        <v>-</v>
      </c>
      <c r="H230" s="3" t="e">
        <f>INDEX(Demand_Modeling!$A$13:$I$49,MATCH(Table3[[#This Row],[Key]],Demand_Modeling!$A$13:$A$49,0),MATCH(Table3[[#Headers],[OFC]],Demand_Modeling!$A$13:$I$13,0))</f>
        <v>#N/A</v>
      </c>
      <c r="I230" s="3" t="e">
        <f>INDEX(Demand_Modeling!$A$13:$I$49,MATCH(Table3[[#This Row],[Key]],Demand_Modeling!$A$13:$A$49,0),MATCH(Table3[[#Headers],[TFC]],Demand_Modeling!$A$13:$I$13,0))</f>
        <v>#N/A</v>
      </c>
      <c r="J230" s="3" t="e">
        <f>INDEX(Demand_Modeling!$A$13:$I$49,MATCH(Table3[[#This Row],[Key]],Demand_Modeling!$A$13:$A$49,0),MATCH(Table3[[#Headers],[WFC]],Demand_Modeling!$A$13:$I$13,0))</f>
        <v>#N/A</v>
      </c>
      <c r="K230" s="3" t="e">
        <f>INDEX(Demand_Modeling!$A$13:$I$49,MATCH(Table3[[#This Row],[Key]],Demand_Modeling!$A$13:$A$49,0),MATCH(Table3[[#Headers],[EAO]],Demand_Modeling!$A$13:$I$13,0))</f>
        <v>#N/A</v>
      </c>
      <c r="L230" s="3" t="e">
        <f>INDEX(Demand_Modeling!$A$13:$I$49,MATCH(Table3[[#This Row],[Key]],Demand_Modeling!$A$13:$A$49,0),MATCH(Table3[[#Headers],[OCC]],Demand_Modeling!$A$13:$I$13,0))</f>
        <v>#N/A</v>
      </c>
      <c r="M230" s="3" t="e">
        <f>INDEX(Demand_Modeling!$A$13:$I$49,MATCH(Table3[[#This Row],[Key]],Demand_Modeling!$A$13:$A$49,0),MATCH(Table3[[#Headers],[WEO]],Demand_Modeling!$A$13:$I$13,0))</f>
        <v>#N/A</v>
      </c>
      <c r="N230" s="19" t="e">
        <f>SUM(Table3[[#This Row],[OFC]:[WEO]])</f>
        <v>#N/A</v>
      </c>
      <c r="O230" s="19"/>
      <c r="Q230" s="3" t="str">
        <f>Table35[[#This Row],[Fiscal_Year]]*100+Table35[[#This Row],[Fiscal_Week]] &amp; "-" &amp;Table35[[#This Row],[Brand]]</f>
        <v>0-0</v>
      </c>
      <c r="R230" t="str">
        <f>Table3[[#This Row],[Key]]</f>
        <v>-</v>
      </c>
      <c r="S230">
        <f>Table3[[#This Row],[Fiscal_Year]]</f>
        <v>0</v>
      </c>
      <c r="T230">
        <f>Table3[[#This Row],[Fiscal_Week]]</f>
        <v>0</v>
      </c>
      <c r="U230">
        <f>Table3[[#This Row],[Brand]]</f>
        <v>0</v>
      </c>
      <c r="V230">
        <f>Table3[[#This Row],[Demand]]</f>
        <v>0</v>
      </c>
      <c r="W230" t="e">
        <f>Table3[[#This Row],[OFC]]*Table3[[#This Row],[Demand]]</f>
        <v>#N/A</v>
      </c>
      <c r="X230" t="e">
        <f>Table3[[#This Row],[TFC]]*Table3[[#This Row],[Demand]]</f>
        <v>#N/A</v>
      </c>
      <c r="Y230" t="e">
        <f>Table3[[#This Row],[WFC]]*Table3[[#This Row],[Demand]]</f>
        <v>#N/A</v>
      </c>
      <c r="Z230" t="e">
        <f>Table3[[#This Row],[EAO]]*Table3[[#This Row],[Demand]]</f>
        <v>#N/A</v>
      </c>
      <c r="AA230" t="e">
        <f>Table3[[#This Row],[OCC]]*Table3[[#This Row],[Demand]]</f>
        <v>#N/A</v>
      </c>
      <c r="AB230" t="e">
        <f>Table3[[#This Row],[WEO]]*Table3[[#This Row],[Demand]]</f>
        <v>#N/A</v>
      </c>
      <c r="AC230" s="19" t="e">
        <f>SUM(Table35[[#This Row],[OFC]:[WEO]])</f>
        <v>#N/A</v>
      </c>
      <c r="AD230" s="19" t="e">
        <f>Table35[[#This Row],[Demand]]-Table35[[#This Row],[Total_Modeled_Demand]]</f>
        <v>#N/A</v>
      </c>
    </row>
    <row r="231" spans="2:30" x14ac:dyDescent="0.3">
      <c r="B231" s="3" t="str">
        <f>Table3[[#This Row],[Fiscal_Year]]*100+Table3[[#This Row],[Fiscal_Week]] &amp; "-" &amp;Table3[[#This Row],[Brand]]</f>
        <v>0-</v>
      </c>
      <c r="C231" t="str">
        <f t="shared" si="3"/>
        <v>-</v>
      </c>
      <c r="H231" s="3" t="e">
        <f>INDEX(Demand_Modeling!$A$13:$I$49,MATCH(Table3[[#This Row],[Key]],Demand_Modeling!$A$13:$A$49,0),MATCH(Table3[[#Headers],[OFC]],Demand_Modeling!$A$13:$I$13,0))</f>
        <v>#N/A</v>
      </c>
      <c r="I231" s="3" t="e">
        <f>INDEX(Demand_Modeling!$A$13:$I$49,MATCH(Table3[[#This Row],[Key]],Demand_Modeling!$A$13:$A$49,0),MATCH(Table3[[#Headers],[TFC]],Demand_Modeling!$A$13:$I$13,0))</f>
        <v>#N/A</v>
      </c>
      <c r="J231" s="3" t="e">
        <f>INDEX(Demand_Modeling!$A$13:$I$49,MATCH(Table3[[#This Row],[Key]],Demand_Modeling!$A$13:$A$49,0),MATCH(Table3[[#Headers],[WFC]],Demand_Modeling!$A$13:$I$13,0))</f>
        <v>#N/A</v>
      </c>
      <c r="K231" s="3" t="e">
        <f>INDEX(Demand_Modeling!$A$13:$I$49,MATCH(Table3[[#This Row],[Key]],Demand_Modeling!$A$13:$A$49,0),MATCH(Table3[[#Headers],[EAO]],Demand_Modeling!$A$13:$I$13,0))</f>
        <v>#N/A</v>
      </c>
      <c r="L231" s="3" t="e">
        <f>INDEX(Demand_Modeling!$A$13:$I$49,MATCH(Table3[[#This Row],[Key]],Demand_Modeling!$A$13:$A$49,0),MATCH(Table3[[#Headers],[OCC]],Demand_Modeling!$A$13:$I$13,0))</f>
        <v>#N/A</v>
      </c>
      <c r="M231" s="3" t="e">
        <f>INDEX(Demand_Modeling!$A$13:$I$49,MATCH(Table3[[#This Row],[Key]],Demand_Modeling!$A$13:$A$49,0),MATCH(Table3[[#Headers],[WEO]],Demand_Modeling!$A$13:$I$13,0))</f>
        <v>#N/A</v>
      </c>
      <c r="N231" s="19" t="e">
        <f>SUM(Table3[[#This Row],[OFC]:[WEO]])</f>
        <v>#N/A</v>
      </c>
      <c r="O231" s="19"/>
      <c r="Q231" s="3" t="str">
        <f>Table35[[#This Row],[Fiscal_Year]]*100+Table35[[#This Row],[Fiscal_Week]] &amp; "-" &amp;Table35[[#This Row],[Brand]]</f>
        <v>0-0</v>
      </c>
      <c r="R231" t="str">
        <f>Table3[[#This Row],[Key]]</f>
        <v>-</v>
      </c>
      <c r="S231">
        <f>Table3[[#This Row],[Fiscal_Year]]</f>
        <v>0</v>
      </c>
      <c r="T231">
        <f>Table3[[#This Row],[Fiscal_Week]]</f>
        <v>0</v>
      </c>
      <c r="U231">
        <f>Table3[[#This Row],[Brand]]</f>
        <v>0</v>
      </c>
      <c r="V231">
        <f>Table3[[#This Row],[Demand]]</f>
        <v>0</v>
      </c>
      <c r="W231" t="e">
        <f>Table3[[#This Row],[OFC]]*Table3[[#This Row],[Demand]]</f>
        <v>#N/A</v>
      </c>
      <c r="X231" t="e">
        <f>Table3[[#This Row],[TFC]]*Table3[[#This Row],[Demand]]</f>
        <v>#N/A</v>
      </c>
      <c r="Y231" t="e">
        <f>Table3[[#This Row],[WFC]]*Table3[[#This Row],[Demand]]</f>
        <v>#N/A</v>
      </c>
      <c r="Z231" t="e">
        <f>Table3[[#This Row],[EAO]]*Table3[[#This Row],[Demand]]</f>
        <v>#N/A</v>
      </c>
      <c r="AA231" t="e">
        <f>Table3[[#This Row],[OCC]]*Table3[[#This Row],[Demand]]</f>
        <v>#N/A</v>
      </c>
      <c r="AB231" t="e">
        <f>Table3[[#This Row],[WEO]]*Table3[[#This Row],[Demand]]</f>
        <v>#N/A</v>
      </c>
      <c r="AC231" s="19" t="e">
        <f>SUM(Table35[[#This Row],[OFC]:[WEO]])</f>
        <v>#N/A</v>
      </c>
      <c r="AD231" s="19" t="e">
        <f>Table35[[#This Row],[Demand]]-Table35[[#This Row],[Total_Modeled_Demand]]</f>
        <v>#N/A</v>
      </c>
    </row>
    <row r="232" spans="2:30" x14ac:dyDescent="0.3">
      <c r="B232" s="3" t="str">
        <f>Table3[[#This Row],[Fiscal_Year]]*100+Table3[[#This Row],[Fiscal_Week]] &amp; "-" &amp;Table3[[#This Row],[Brand]]</f>
        <v>0-</v>
      </c>
      <c r="C232" t="str">
        <f t="shared" si="3"/>
        <v>-</v>
      </c>
      <c r="H232" s="3" t="e">
        <f>INDEX(Demand_Modeling!$A$13:$I$49,MATCH(Table3[[#This Row],[Key]],Demand_Modeling!$A$13:$A$49,0),MATCH(Table3[[#Headers],[OFC]],Demand_Modeling!$A$13:$I$13,0))</f>
        <v>#N/A</v>
      </c>
      <c r="I232" s="3" t="e">
        <f>INDEX(Demand_Modeling!$A$13:$I$49,MATCH(Table3[[#This Row],[Key]],Demand_Modeling!$A$13:$A$49,0),MATCH(Table3[[#Headers],[TFC]],Demand_Modeling!$A$13:$I$13,0))</f>
        <v>#N/A</v>
      </c>
      <c r="J232" s="3" t="e">
        <f>INDEX(Demand_Modeling!$A$13:$I$49,MATCH(Table3[[#This Row],[Key]],Demand_Modeling!$A$13:$A$49,0),MATCH(Table3[[#Headers],[WFC]],Demand_Modeling!$A$13:$I$13,0))</f>
        <v>#N/A</v>
      </c>
      <c r="K232" s="3" t="e">
        <f>INDEX(Demand_Modeling!$A$13:$I$49,MATCH(Table3[[#This Row],[Key]],Demand_Modeling!$A$13:$A$49,0),MATCH(Table3[[#Headers],[EAO]],Demand_Modeling!$A$13:$I$13,0))</f>
        <v>#N/A</v>
      </c>
      <c r="L232" s="3" t="e">
        <f>INDEX(Demand_Modeling!$A$13:$I$49,MATCH(Table3[[#This Row],[Key]],Demand_Modeling!$A$13:$A$49,0),MATCH(Table3[[#Headers],[OCC]],Demand_Modeling!$A$13:$I$13,0))</f>
        <v>#N/A</v>
      </c>
      <c r="M232" s="3" t="e">
        <f>INDEX(Demand_Modeling!$A$13:$I$49,MATCH(Table3[[#This Row],[Key]],Demand_Modeling!$A$13:$A$49,0),MATCH(Table3[[#Headers],[WEO]],Demand_Modeling!$A$13:$I$13,0))</f>
        <v>#N/A</v>
      </c>
      <c r="N232" s="19" t="e">
        <f>SUM(Table3[[#This Row],[OFC]:[WEO]])</f>
        <v>#N/A</v>
      </c>
      <c r="O232" s="19"/>
      <c r="Q232" s="3" t="str">
        <f>Table35[[#This Row],[Fiscal_Year]]*100+Table35[[#This Row],[Fiscal_Week]] &amp; "-" &amp;Table35[[#This Row],[Brand]]</f>
        <v>0-0</v>
      </c>
      <c r="R232" t="str">
        <f>Table3[[#This Row],[Key]]</f>
        <v>-</v>
      </c>
      <c r="S232">
        <f>Table3[[#This Row],[Fiscal_Year]]</f>
        <v>0</v>
      </c>
      <c r="T232">
        <f>Table3[[#This Row],[Fiscal_Week]]</f>
        <v>0</v>
      </c>
      <c r="U232">
        <f>Table3[[#This Row],[Brand]]</f>
        <v>0</v>
      </c>
      <c r="V232">
        <f>Table3[[#This Row],[Demand]]</f>
        <v>0</v>
      </c>
      <c r="W232" t="e">
        <f>Table3[[#This Row],[OFC]]*Table3[[#This Row],[Demand]]</f>
        <v>#N/A</v>
      </c>
      <c r="X232" t="e">
        <f>Table3[[#This Row],[TFC]]*Table3[[#This Row],[Demand]]</f>
        <v>#N/A</v>
      </c>
      <c r="Y232" t="e">
        <f>Table3[[#This Row],[WFC]]*Table3[[#This Row],[Demand]]</f>
        <v>#N/A</v>
      </c>
      <c r="Z232" t="e">
        <f>Table3[[#This Row],[EAO]]*Table3[[#This Row],[Demand]]</f>
        <v>#N/A</v>
      </c>
      <c r="AA232" t="e">
        <f>Table3[[#This Row],[OCC]]*Table3[[#This Row],[Demand]]</f>
        <v>#N/A</v>
      </c>
      <c r="AB232" t="e">
        <f>Table3[[#This Row],[WEO]]*Table3[[#This Row],[Demand]]</f>
        <v>#N/A</v>
      </c>
      <c r="AC232" s="19" t="e">
        <f>SUM(Table35[[#This Row],[OFC]:[WEO]])</f>
        <v>#N/A</v>
      </c>
      <c r="AD232" s="19" t="e">
        <f>Table35[[#This Row],[Demand]]-Table35[[#This Row],[Total_Modeled_Demand]]</f>
        <v>#N/A</v>
      </c>
    </row>
    <row r="233" spans="2:30" x14ac:dyDescent="0.3">
      <c r="B233" s="3" t="str">
        <f>Table3[[#This Row],[Fiscal_Year]]*100+Table3[[#This Row],[Fiscal_Week]] &amp; "-" &amp;Table3[[#This Row],[Brand]]</f>
        <v>0-</v>
      </c>
      <c r="C233" t="str">
        <f t="shared" si="3"/>
        <v>-</v>
      </c>
      <c r="H233" s="3" t="e">
        <f>INDEX(Demand_Modeling!$A$13:$I$49,MATCH(Table3[[#This Row],[Key]],Demand_Modeling!$A$13:$A$49,0),MATCH(Table3[[#Headers],[OFC]],Demand_Modeling!$A$13:$I$13,0))</f>
        <v>#N/A</v>
      </c>
      <c r="I233" s="3" t="e">
        <f>INDEX(Demand_Modeling!$A$13:$I$49,MATCH(Table3[[#This Row],[Key]],Demand_Modeling!$A$13:$A$49,0),MATCH(Table3[[#Headers],[TFC]],Demand_Modeling!$A$13:$I$13,0))</f>
        <v>#N/A</v>
      </c>
      <c r="J233" s="3" t="e">
        <f>INDEX(Demand_Modeling!$A$13:$I$49,MATCH(Table3[[#This Row],[Key]],Demand_Modeling!$A$13:$A$49,0),MATCH(Table3[[#Headers],[WFC]],Demand_Modeling!$A$13:$I$13,0))</f>
        <v>#N/A</v>
      </c>
      <c r="K233" s="3" t="e">
        <f>INDEX(Demand_Modeling!$A$13:$I$49,MATCH(Table3[[#This Row],[Key]],Demand_Modeling!$A$13:$A$49,0),MATCH(Table3[[#Headers],[EAO]],Demand_Modeling!$A$13:$I$13,0))</f>
        <v>#N/A</v>
      </c>
      <c r="L233" s="3" t="e">
        <f>INDEX(Demand_Modeling!$A$13:$I$49,MATCH(Table3[[#This Row],[Key]],Demand_Modeling!$A$13:$A$49,0),MATCH(Table3[[#Headers],[OCC]],Demand_Modeling!$A$13:$I$13,0))</f>
        <v>#N/A</v>
      </c>
      <c r="M233" s="3" t="e">
        <f>INDEX(Demand_Modeling!$A$13:$I$49,MATCH(Table3[[#This Row],[Key]],Demand_Modeling!$A$13:$A$49,0),MATCH(Table3[[#Headers],[WEO]],Demand_Modeling!$A$13:$I$13,0))</f>
        <v>#N/A</v>
      </c>
      <c r="N233" s="19" t="e">
        <f>SUM(Table3[[#This Row],[OFC]:[WEO]])</f>
        <v>#N/A</v>
      </c>
      <c r="O233" s="19"/>
      <c r="Q233" s="3" t="str">
        <f>Table35[[#This Row],[Fiscal_Year]]*100+Table35[[#This Row],[Fiscal_Week]] &amp; "-" &amp;Table35[[#This Row],[Brand]]</f>
        <v>0-0</v>
      </c>
      <c r="R233" t="str">
        <f>Table3[[#This Row],[Key]]</f>
        <v>-</v>
      </c>
      <c r="S233">
        <f>Table3[[#This Row],[Fiscal_Year]]</f>
        <v>0</v>
      </c>
      <c r="T233">
        <f>Table3[[#This Row],[Fiscal_Week]]</f>
        <v>0</v>
      </c>
      <c r="U233">
        <f>Table3[[#This Row],[Brand]]</f>
        <v>0</v>
      </c>
      <c r="V233">
        <f>Table3[[#This Row],[Demand]]</f>
        <v>0</v>
      </c>
      <c r="W233" t="e">
        <f>Table3[[#This Row],[OFC]]*Table3[[#This Row],[Demand]]</f>
        <v>#N/A</v>
      </c>
      <c r="X233" t="e">
        <f>Table3[[#This Row],[TFC]]*Table3[[#This Row],[Demand]]</f>
        <v>#N/A</v>
      </c>
      <c r="Y233" t="e">
        <f>Table3[[#This Row],[WFC]]*Table3[[#This Row],[Demand]]</f>
        <v>#N/A</v>
      </c>
      <c r="Z233" t="e">
        <f>Table3[[#This Row],[EAO]]*Table3[[#This Row],[Demand]]</f>
        <v>#N/A</v>
      </c>
      <c r="AA233" t="e">
        <f>Table3[[#This Row],[OCC]]*Table3[[#This Row],[Demand]]</f>
        <v>#N/A</v>
      </c>
      <c r="AB233" t="e">
        <f>Table3[[#This Row],[WEO]]*Table3[[#This Row],[Demand]]</f>
        <v>#N/A</v>
      </c>
      <c r="AC233" s="19" t="e">
        <f>SUM(Table35[[#This Row],[OFC]:[WEO]])</f>
        <v>#N/A</v>
      </c>
      <c r="AD233" s="19" t="e">
        <f>Table35[[#This Row],[Demand]]-Table35[[#This Row],[Total_Modeled_Demand]]</f>
        <v>#N/A</v>
      </c>
    </row>
    <row r="234" spans="2:30" x14ac:dyDescent="0.3">
      <c r="B234" s="3" t="str">
        <f>Table3[[#This Row],[Fiscal_Year]]*100+Table3[[#This Row],[Fiscal_Week]] &amp; "-" &amp;Table3[[#This Row],[Brand]]</f>
        <v>0-</v>
      </c>
      <c r="C234" t="str">
        <f t="shared" si="3"/>
        <v>-</v>
      </c>
      <c r="H234" s="3" t="e">
        <f>INDEX(Demand_Modeling!$A$13:$I$49,MATCH(Table3[[#This Row],[Key]],Demand_Modeling!$A$13:$A$49,0),MATCH(Table3[[#Headers],[OFC]],Demand_Modeling!$A$13:$I$13,0))</f>
        <v>#N/A</v>
      </c>
      <c r="I234" s="3" t="e">
        <f>INDEX(Demand_Modeling!$A$13:$I$49,MATCH(Table3[[#This Row],[Key]],Demand_Modeling!$A$13:$A$49,0),MATCH(Table3[[#Headers],[TFC]],Demand_Modeling!$A$13:$I$13,0))</f>
        <v>#N/A</v>
      </c>
      <c r="J234" s="3" t="e">
        <f>INDEX(Demand_Modeling!$A$13:$I$49,MATCH(Table3[[#This Row],[Key]],Demand_Modeling!$A$13:$A$49,0),MATCH(Table3[[#Headers],[WFC]],Demand_Modeling!$A$13:$I$13,0))</f>
        <v>#N/A</v>
      </c>
      <c r="K234" s="3" t="e">
        <f>INDEX(Demand_Modeling!$A$13:$I$49,MATCH(Table3[[#This Row],[Key]],Demand_Modeling!$A$13:$A$49,0),MATCH(Table3[[#Headers],[EAO]],Demand_Modeling!$A$13:$I$13,0))</f>
        <v>#N/A</v>
      </c>
      <c r="L234" s="3" t="e">
        <f>INDEX(Demand_Modeling!$A$13:$I$49,MATCH(Table3[[#This Row],[Key]],Demand_Modeling!$A$13:$A$49,0),MATCH(Table3[[#Headers],[OCC]],Demand_Modeling!$A$13:$I$13,0))</f>
        <v>#N/A</v>
      </c>
      <c r="M234" s="3" t="e">
        <f>INDEX(Demand_Modeling!$A$13:$I$49,MATCH(Table3[[#This Row],[Key]],Demand_Modeling!$A$13:$A$49,0),MATCH(Table3[[#Headers],[WEO]],Demand_Modeling!$A$13:$I$13,0))</f>
        <v>#N/A</v>
      </c>
      <c r="N234" s="19" t="e">
        <f>SUM(Table3[[#This Row],[OFC]:[WEO]])</f>
        <v>#N/A</v>
      </c>
      <c r="O234" s="19"/>
      <c r="Q234" s="3" t="str">
        <f>Table35[[#This Row],[Fiscal_Year]]*100+Table35[[#This Row],[Fiscal_Week]] &amp; "-" &amp;Table35[[#This Row],[Brand]]</f>
        <v>0-0</v>
      </c>
      <c r="R234" t="str">
        <f>Table3[[#This Row],[Key]]</f>
        <v>-</v>
      </c>
      <c r="S234">
        <f>Table3[[#This Row],[Fiscal_Year]]</f>
        <v>0</v>
      </c>
      <c r="T234">
        <f>Table3[[#This Row],[Fiscal_Week]]</f>
        <v>0</v>
      </c>
      <c r="U234">
        <f>Table3[[#This Row],[Brand]]</f>
        <v>0</v>
      </c>
      <c r="V234">
        <f>Table3[[#This Row],[Demand]]</f>
        <v>0</v>
      </c>
      <c r="W234" t="e">
        <f>Table3[[#This Row],[OFC]]*Table3[[#This Row],[Demand]]</f>
        <v>#N/A</v>
      </c>
      <c r="X234" t="e">
        <f>Table3[[#This Row],[TFC]]*Table3[[#This Row],[Demand]]</f>
        <v>#N/A</v>
      </c>
      <c r="Y234" t="e">
        <f>Table3[[#This Row],[WFC]]*Table3[[#This Row],[Demand]]</f>
        <v>#N/A</v>
      </c>
      <c r="Z234" t="e">
        <f>Table3[[#This Row],[EAO]]*Table3[[#This Row],[Demand]]</f>
        <v>#N/A</v>
      </c>
      <c r="AA234" t="e">
        <f>Table3[[#This Row],[OCC]]*Table3[[#This Row],[Demand]]</f>
        <v>#N/A</v>
      </c>
      <c r="AB234" t="e">
        <f>Table3[[#This Row],[WEO]]*Table3[[#This Row],[Demand]]</f>
        <v>#N/A</v>
      </c>
      <c r="AC234" s="19" t="e">
        <f>SUM(Table35[[#This Row],[OFC]:[WEO]])</f>
        <v>#N/A</v>
      </c>
      <c r="AD234" s="19" t="e">
        <f>Table35[[#This Row],[Demand]]-Table35[[#This Row],[Total_Modeled_Demand]]</f>
        <v>#N/A</v>
      </c>
    </row>
    <row r="235" spans="2:30" x14ac:dyDescent="0.3">
      <c r="B235" s="3" t="str">
        <f>Table3[[#This Row],[Fiscal_Year]]*100+Table3[[#This Row],[Fiscal_Week]] &amp; "-" &amp;Table3[[#This Row],[Brand]]</f>
        <v>0-</v>
      </c>
      <c r="C235" t="str">
        <f t="shared" si="3"/>
        <v>-</v>
      </c>
      <c r="H235" s="3" t="e">
        <f>INDEX(Demand_Modeling!$A$13:$I$49,MATCH(Table3[[#This Row],[Key]],Demand_Modeling!$A$13:$A$49,0),MATCH(Table3[[#Headers],[OFC]],Demand_Modeling!$A$13:$I$13,0))</f>
        <v>#N/A</v>
      </c>
      <c r="I235" s="3" t="e">
        <f>INDEX(Demand_Modeling!$A$13:$I$49,MATCH(Table3[[#This Row],[Key]],Demand_Modeling!$A$13:$A$49,0),MATCH(Table3[[#Headers],[TFC]],Demand_Modeling!$A$13:$I$13,0))</f>
        <v>#N/A</v>
      </c>
      <c r="J235" s="3" t="e">
        <f>INDEX(Demand_Modeling!$A$13:$I$49,MATCH(Table3[[#This Row],[Key]],Demand_Modeling!$A$13:$A$49,0),MATCH(Table3[[#Headers],[WFC]],Demand_Modeling!$A$13:$I$13,0))</f>
        <v>#N/A</v>
      </c>
      <c r="K235" s="3" t="e">
        <f>INDEX(Demand_Modeling!$A$13:$I$49,MATCH(Table3[[#This Row],[Key]],Demand_Modeling!$A$13:$A$49,0),MATCH(Table3[[#Headers],[EAO]],Demand_Modeling!$A$13:$I$13,0))</f>
        <v>#N/A</v>
      </c>
      <c r="L235" s="3" t="e">
        <f>INDEX(Demand_Modeling!$A$13:$I$49,MATCH(Table3[[#This Row],[Key]],Demand_Modeling!$A$13:$A$49,0),MATCH(Table3[[#Headers],[OCC]],Demand_Modeling!$A$13:$I$13,0))</f>
        <v>#N/A</v>
      </c>
      <c r="M235" s="3" t="e">
        <f>INDEX(Demand_Modeling!$A$13:$I$49,MATCH(Table3[[#This Row],[Key]],Demand_Modeling!$A$13:$A$49,0),MATCH(Table3[[#Headers],[WEO]],Demand_Modeling!$A$13:$I$13,0))</f>
        <v>#N/A</v>
      </c>
      <c r="N235" s="19" t="e">
        <f>SUM(Table3[[#This Row],[OFC]:[WEO]])</f>
        <v>#N/A</v>
      </c>
      <c r="O235" s="19"/>
      <c r="Q235" s="3" t="str">
        <f>Table35[[#This Row],[Fiscal_Year]]*100+Table35[[#This Row],[Fiscal_Week]] &amp; "-" &amp;Table35[[#This Row],[Brand]]</f>
        <v>0-0</v>
      </c>
      <c r="R235" t="str">
        <f>Table3[[#This Row],[Key]]</f>
        <v>-</v>
      </c>
      <c r="S235">
        <f>Table3[[#This Row],[Fiscal_Year]]</f>
        <v>0</v>
      </c>
      <c r="T235">
        <f>Table3[[#This Row],[Fiscal_Week]]</f>
        <v>0</v>
      </c>
      <c r="U235">
        <f>Table3[[#This Row],[Brand]]</f>
        <v>0</v>
      </c>
      <c r="V235">
        <f>Table3[[#This Row],[Demand]]</f>
        <v>0</v>
      </c>
      <c r="W235" t="e">
        <f>Table3[[#This Row],[OFC]]*Table3[[#This Row],[Demand]]</f>
        <v>#N/A</v>
      </c>
      <c r="X235" t="e">
        <f>Table3[[#This Row],[TFC]]*Table3[[#This Row],[Demand]]</f>
        <v>#N/A</v>
      </c>
      <c r="Y235" t="e">
        <f>Table3[[#This Row],[WFC]]*Table3[[#This Row],[Demand]]</f>
        <v>#N/A</v>
      </c>
      <c r="Z235" t="e">
        <f>Table3[[#This Row],[EAO]]*Table3[[#This Row],[Demand]]</f>
        <v>#N/A</v>
      </c>
      <c r="AA235" t="e">
        <f>Table3[[#This Row],[OCC]]*Table3[[#This Row],[Demand]]</f>
        <v>#N/A</v>
      </c>
      <c r="AB235" t="e">
        <f>Table3[[#This Row],[WEO]]*Table3[[#This Row],[Demand]]</f>
        <v>#N/A</v>
      </c>
      <c r="AC235" s="19" t="e">
        <f>SUM(Table35[[#This Row],[OFC]:[WEO]])</f>
        <v>#N/A</v>
      </c>
      <c r="AD235" s="19" t="e">
        <f>Table35[[#This Row],[Demand]]-Table35[[#This Row],[Total_Modeled_Demand]]</f>
        <v>#N/A</v>
      </c>
    </row>
    <row r="236" spans="2:30" x14ac:dyDescent="0.3">
      <c r="B236" s="3" t="str">
        <f>Table3[[#This Row],[Fiscal_Year]]*100+Table3[[#This Row],[Fiscal_Week]] &amp; "-" &amp;Table3[[#This Row],[Brand]]</f>
        <v>0-</v>
      </c>
      <c r="C236" t="str">
        <f t="shared" si="3"/>
        <v>-</v>
      </c>
      <c r="H236" s="3" t="e">
        <f>INDEX(Demand_Modeling!$A$13:$I$49,MATCH(Table3[[#This Row],[Key]],Demand_Modeling!$A$13:$A$49,0),MATCH(Table3[[#Headers],[OFC]],Demand_Modeling!$A$13:$I$13,0))</f>
        <v>#N/A</v>
      </c>
      <c r="I236" s="3" t="e">
        <f>INDEX(Demand_Modeling!$A$13:$I$49,MATCH(Table3[[#This Row],[Key]],Demand_Modeling!$A$13:$A$49,0),MATCH(Table3[[#Headers],[TFC]],Demand_Modeling!$A$13:$I$13,0))</f>
        <v>#N/A</v>
      </c>
      <c r="J236" s="3" t="e">
        <f>INDEX(Demand_Modeling!$A$13:$I$49,MATCH(Table3[[#This Row],[Key]],Demand_Modeling!$A$13:$A$49,0),MATCH(Table3[[#Headers],[WFC]],Demand_Modeling!$A$13:$I$13,0))</f>
        <v>#N/A</v>
      </c>
      <c r="K236" s="3" t="e">
        <f>INDEX(Demand_Modeling!$A$13:$I$49,MATCH(Table3[[#This Row],[Key]],Demand_Modeling!$A$13:$A$49,0),MATCH(Table3[[#Headers],[EAO]],Demand_Modeling!$A$13:$I$13,0))</f>
        <v>#N/A</v>
      </c>
      <c r="L236" s="3" t="e">
        <f>INDEX(Demand_Modeling!$A$13:$I$49,MATCH(Table3[[#This Row],[Key]],Demand_Modeling!$A$13:$A$49,0),MATCH(Table3[[#Headers],[OCC]],Demand_Modeling!$A$13:$I$13,0))</f>
        <v>#N/A</v>
      </c>
      <c r="M236" s="3" t="e">
        <f>INDEX(Demand_Modeling!$A$13:$I$49,MATCH(Table3[[#This Row],[Key]],Demand_Modeling!$A$13:$A$49,0),MATCH(Table3[[#Headers],[WEO]],Demand_Modeling!$A$13:$I$13,0))</f>
        <v>#N/A</v>
      </c>
      <c r="N236" s="19" t="e">
        <f>SUM(Table3[[#This Row],[OFC]:[WEO]])</f>
        <v>#N/A</v>
      </c>
      <c r="O236" s="19"/>
      <c r="Q236" s="3" t="str">
        <f>Table35[[#This Row],[Fiscal_Year]]*100+Table35[[#This Row],[Fiscal_Week]] &amp; "-" &amp;Table35[[#This Row],[Brand]]</f>
        <v>0-0</v>
      </c>
      <c r="R236" t="str">
        <f>Table3[[#This Row],[Key]]</f>
        <v>-</v>
      </c>
      <c r="S236">
        <f>Table3[[#This Row],[Fiscal_Year]]</f>
        <v>0</v>
      </c>
      <c r="T236">
        <f>Table3[[#This Row],[Fiscal_Week]]</f>
        <v>0</v>
      </c>
      <c r="U236">
        <f>Table3[[#This Row],[Brand]]</f>
        <v>0</v>
      </c>
      <c r="V236">
        <f>Table3[[#This Row],[Demand]]</f>
        <v>0</v>
      </c>
      <c r="W236" t="e">
        <f>Table3[[#This Row],[OFC]]*Table3[[#This Row],[Demand]]</f>
        <v>#N/A</v>
      </c>
      <c r="X236" t="e">
        <f>Table3[[#This Row],[TFC]]*Table3[[#This Row],[Demand]]</f>
        <v>#N/A</v>
      </c>
      <c r="Y236" t="e">
        <f>Table3[[#This Row],[WFC]]*Table3[[#This Row],[Demand]]</f>
        <v>#N/A</v>
      </c>
      <c r="Z236" t="e">
        <f>Table3[[#This Row],[EAO]]*Table3[[#This Row],[Demand]]</f>
        <v>#N/A</v>
      </c>
      <c r="AA236" t="e">
        <f>Table3[[#This Row],[OCC]]*Table3[[#This Row],[Demand]]</f>
        <v>#N/A</v>
      </c>
      <c r="AB236" t="e">
        <f>Table3[[#This Row],[WEO]]*Table3[[#This Row],[Demand]]</f>
        <v>#N/A</v>
      </c>
      <c r="AC236" s="19" t="e">
        <f>SUM(Table35[[#This Row],[OFC]:[WEO]])</f>
        <v>#N/A</v>
      </c>
      <c r="AD236" s="19" t="e">
        <f>Table35[[#This Row],[Demand]]-Table35[[#This Row],[Total_Modeled_Demand]]</f>
        <v>#N/A</v>
      </c>
    </row>
    <row r="237" spans="2:30" x14ac:dyDescent="0.3">
      <c r="B237" s="3" t="str">
        <f>Table3[[#This Row],[Fiscal_Year]]*100+Table3[[#This Row],[Fiscal_Week]] &amp; "-" &amp;Table3[[#This Row],[Brand]]</f>
        <v>0-</v>
      </c>
      <c r="C237" t="str">
        <f t="shared" si="3"/>
        <v>-</v>
      </c>
      <c r="H237" s="3" t="e">
        <f>INDEX(Demand_Modeling!$A$13:$I$49,MATCH(Table3[[#This Row],[Key]],Demand_Modeling!$A$13:$A$49,0),MATCH(Table3[[#Headers],[OFC]],Demand_Modeling!$A$13:$I$13,0))</f>
        <v>#N/A</v>
      </c>
      <c r="I237" s="3" t="e">
        <f>INDEX(Demand_Modeling!$A$13:$I$49,MATCH(Table3[[#This Row],[Key]],Demand_Modeling!$A$13:$A$49,0),MATCH(Table3[[#Headers],[TFC]],Demand_Modeling!$A$13:$I$13,0))</f>
        <v>#N/A</v>
      </c>
      <c r="J237" s="3" t="e">
        <f>INDEX(Demand_Modeling!$A$13:$I$49,MATCH(Table3[[#This Row],[Key]],Demand_Modeling!$A$13:$A$49,0),MATCH(Table3[[#Headers],[WFC]],Demand_Modeling!$A$13:$I$13,0))</f>
        <v>#N/A</v>
      </c>
      <c r="K237" s="3" t="e">
        <f>INDEX(Demand_Modeling!$A$13:$I$49,MATCH(Table3[[#This Row],[Key]],Demand_Modeling!$A$13:$A$49,0),MATCH(Table3[[#Headers],[EAO]],Demand_Modeling!$A$13:$I$13,0))</f>
        <v>#N/A</v>
      </c>
      <c r="L237" s="3" t="e">
        <f>INDEX(Demand_Modeling!$A$13:$I$49,MATCH(Table3[[#This Row],[Key]],Demand_Modeling!$A$13:$A$49,0),MATCH(Table3[[#Headers],[OCC]],Demand_Modeling!$A$13:$I$13,0))</f>
        <v>#N/A</v>
      </c>
      <c r="M237" s="3" t="e">
        <f>INDEX(Demand_Modeling!$A$13:$I$49,MATCH(Table3[[#This Row],[Key]],Demand_Modeling!$A$13:$A$49,0),MATCH(Table3[[#Headers],[WEO]],Demand_Modeling!$A$13:$I$13,0))</f>
        <v>#N/A</v>
      </c>
      <c r="N237" s="19" t="e">
        <f>SUM(Table3[[#This Row],[OFC]:[WEO]])</f>
        <v>#N/A</v>
      </c>
      <c r="O237" s="19"/>
      <c r="Q237" s="3" t="str">
        <f>Table35[[#This Row],[Fiscal_Year]]*100+Table35[[#This Row],[Fiscal_Week]] &amp; "-" &amp;Table35[[#This Row],[Brand]]</f>
        <v>0-0</v>
      </c>
      <c r="R237" t="str">
        <f>Table3[[#This Row],[Key]]</f>
        <v>-</v>
      </c>
      <c r="S237">
        <f>Table3[[#This Row],[Fiscal_Year]]</f>
        <v>0</v>
      </c>
      <c r="T237">
        <f>Table3[[#This Row],[Fiscal_Week]]</f>
        <v>0</v>
      </c>
      <c r="U237">
        <f>Table3[[#This Row],[Brand]]</f>
        <v>0</v>
      </c>
      <c r="V237">
        <f>Table3[[#This Row],[Demand]]</f>
        <v>0</v>
      </c>
      <c r="W237" t="e">
        <f>Table3[[#This Row],[OFC]]*Table3[[#This Row],[Demand]]</f>
        <v>#N/A</v>
      </c>
      <c r="X237" t="e">
        <f>Table3[[#This Row],[TFC]]*Table3[[#This Row],[Demand]]</f>
        <v>#N/A</v>
      </c>
      <c r="Y237" t="e">
        <f>Table3[[#This Row],[WFC]]*Table3[[#This Row],[Demand]]</f>
        <v>#N/A</v>
      </c>
      <c r="Z237" t="e">
        <f>Table3[[#This Row],[EAO]]*Table3[[#This Row],[Demand]]</f>
        <v>#N/A</v>
      </c>
      <c r="AA237" t="e">
        <f>Table3[[#This Row],[OCC]]*Table3[[#This Row],[Demand]]</f>
        <v>#N/A</v>
      </c>
      <c r="AB237" t="e">
        <f>Table3[[#This Row],[WEO]]*Table3[[#This Row],[Demand]]</f>
        <v>#N/A</v>
      </c>
      <c r="AC237" s="19" t="e">
        <f>SUM(Table35[[#This Row],[OFC]:[WEO]])</f>
        <v>#N/A</v>
      </c>
      <c r="AD237" s="19" t="e">
        <f>Table35[[#This Row],[Demand]]-Table35[[#This Row],[Total_Modeled_Demand]]</f>
        <v>#N/A</v>
      </c>
    </row>
    <row r="238" spans="2:30" x14ac:dyDescent="0.3">
      <c r="B238" s="3" t="str">
        <f>Table3[[#This Row],[Fiscal_Year]]*100+Table3[[#This Row],[Fiscal_Week]] &amp; "-" &amp;Table3[[#This Row],[Brand]]</f>
        <v>0-</v>
      </c>
      <c r="C238" t="str">
        <f t="shared" si="3"/>
        <v>-</v>
      </c>
      <c r="H238" s="3" t="e">
        <f>INDEX(Demand_Modeling!$A$13:$I$49,MATCH(Table3[[#This Row],[Key]],Demand_Modeling!$A$13:$A$49,0),MATCH(Table3[[#Headers],[OFC]],Demand_Modeling!$A$13:$I$13,0))</f>
        <v>#N/A</v>
      </c>
      <c r="I238" s="3" t="e">
        <f>INDEX(Demand_Modeling!$A$13:$I$49,MATCH(Table3[[#This Row],[Key]],Demand_Modeling!$A$13:$A$49,0),MATCH(Table3[[#Headers],[TFC]],Demand_Modeling!$A$13:$I$13,0))</f>
        <v>#N/A</v>
      </c>
      <c r="J238" s="3" t="e">
        <f>INDEX(Demand_Modeling!$A$13:$I$49,MATCH(Table3[[#This Row],[Key]],Demand_Modeling!$A$13:$A$49,0),MATCH(Table3[[#Headers],[WFC]],Demand_Modeling!$A$13:$I$13,0))</f>
        <v>#N/A</v>
      </c>
      <c r="K238" s="3" t="e">
        <f>INDEX(Demand_Modeling!$A$13:$I$49,MATCH(Table3[[#This Row],[Key]],Demand_Modeling!$A$13:$A$49,0),MATCH(Table3[[#Headers],[EAO]],Demand_Modeling!$A$13:$I$13,0))</f>
        <v>#N/A</v>
      </c>
      <c r="L238" s="3" t="e">
        <f>INDEX(Demand_Modeling!$A$13:$I$49,MATCH(Table3[[#This Row],[Key]],Demand_Modeling!$A$13:$A$49,0),MATCH(Table3[[#Headers],[OCC]],Demand_Modeling!$A$13:$I$13,0))</f>
        <v>#N/A</v>
      </c>
      <c r="M238" s="3" t="e">
        <f>INDEX(Demand_Modeling!$A$13:$I$49,MATCH(Table3[[#This Row],[Key]],Demand_Modeling!$A$13:$A$49,0),MATCH(Table3[[#Headers],[WEO]],Demand_Modeling!$A$13:$I$13,0))</f>
        <v>#N/A</v>
      </c>
      <c r="N238" s="19" t="e">
        <f>SUM(Table3[[#This Row],[OFC]:[WEO]])</f>
        <v>#N/A</v>
      </c>
      <c r="O238" s="19"/>
      <c r="Q238" s="3" t="str">
        <f>Table35[[#This Row],[Fiscal_Year]]*100+Table35[[#This Row],[Fiscal_Week]] &amp; "-" &amp;Table35[[#This Row],[Brand]]</f>
        <v>0-0</v>
      </c>
      <c r="R238" t="str">
        <f>Table3[[#This Row],[Key]]</f>
        <v>-</v>
      </c>
      <c r="S238">
        <f>Table3[[#This Row],[Fiscal_Year]]</f>
        <v>0</v>
      </c>
      <c r="T238">
        <f>Table3[[#This Row],[Fiscal_Week]]</f>
        <v>0</v>
      </c>
      <c r="U238">
        <f>Table3[[#This Row],[Brand]]</f>
        <v>0</v>
      </c>
      <c r="V238">
        <f>Table3[[#This Row],[Demand]]</f>
        <v>0</v>
      </c>
      <c r="W238" t="e">
        <f>Table3[[#This Row],[OFC]]*Table3[[#This Row],[Demand]]</f>
        <v>#N/A</v>
      </c>
      <c r="X238" t="e">
        <f>Table3[[#This Row],[TFC]]*Table3[[#This Row],[Demand]]</f>
        <v>#N/A</v>
      </c>
      <c r="Y238" t="e">
        <f>Table3[[#This Row],[WFC]]*Table3[[#This Row],[Demand]]</f>
        <v>#N/A</v>
      </c>
      <c r="Z238" t="e">
        <f>Table3[[#This Row],[EAO]]*Table3[[#This Row],[Demand]]</f>
        <v>#N/A</v>
      </c>
      <c r="AA238" t="e">
        <f>Table3[[#This Row],[OCC]]*Table3[[#This Row],[Demand]]</f>
        <v>#N/A</v>
      </c>
      <c r="AB238" t="e">
        <f>Table3[[#This Row],[WEO]]*Table3[[#This Row],[Demand]]</f>
        <v>#N/A</v>
      </c>
      <c r="AC238" s="19" t="e">
        <f>SUM(Table35[[#This Row],[OFC]:[WEO]])</f>
        <v>#N/A</v>
      </c>
      <c r="AD238" s="19" t="e">
        <f>Table35[[#This Row],[Demand]]-Table35[[#This Row],[Total_Modeled_Demand]]</f>
        <v>#N/A</v>
      </c>
    </row>
    <row r="239" spans="2:30" x14ac:dyDescent="0.3">
      <c r="B239" s="3" t="str">
        <f>Table3[[#This Row],[Fiscal_Year]]*100+Table3[[#This Row],[Fiscal_Week]] &amp; "-" &amp;Table3[[#This Row],[Brand]]</f>
        <v>0-</v>
      </c>
      <c r="C239" t="str">
        <f t="shared" si="3"/>
        <v>-</v>
      </c>
      <c r="H239" s="3" t="e">
        <f>INDEX(Demand_Modeling!$A$13:$I$49,MATCH(Table3[[#This Row],[Key]],Demand_Modeling!$A$13:$A$49,0),MATCH(Table3[[#Headers],[OFC]],Demand_Modeling!$A$13:$I$13,0))</f>
        <v>#N/A</v>
      </c>
      <c r="I239" s="3" t="e">
        <f>INDEX(Demand_Modeling!$A$13:$I$49,MATCH(Table3[[#This Row],[Key]],Demand_Modeling!$A$13:$A$49,0),MATCH(Table3[[#Headers],[TFC]],Demand_Modeling!$A$13:$I$13,0))</f>
        <v>#N/A</v>
      </c>
      <c r="J239" s="3" t="e">
        <f>INDEX(Demand_Modeling!$A$13:$I$49,MATCH(Table3[[#This Row],[Key]],Demand_Modeling!$A$13:$A$49,0),MATCH(Table3[[#Headers],[WFC]],Demand_Modeling!$A$13:$I$13,0))</f>
        <v>#N/A</v>
      </c>
      <c r="K239" s="3" t="e">
        <f>INDEX(Demand_Modeling!$A$13:$I$49,MATCH(Table3[[#This Row],[Key]],Demand_Modeling!$A$13:$A$49,0),MATCH(Table3[[#Headers],[EAO]],Demand_Modeling!$A$13:$I$13,0))</f>
        <v>#N/A</v>
      </c>
      <c r="L239" s="3" t="e">
        <f>INDEX(Demand_Modeling!$A$13:$I$49,MATCH(Table3[[#This Row],[Key]],Demand_Modeling!$A$13:$A$49,0),MATCH(Table3[[#Headers],[OCC]],Demand_Modeling!$A$13:$I$13,0))</f>
        <v>#N/A</v>
      </c>
      <c r="M239" s="3" t="e">
        <f>INDEX(Demand_Modeling!$A$13:$I$49,MATCH(Table3[[#This Row],[Key]],Demand_Modeling!$A$13:$A$49,0),MATCH(Table3[[#Headers],[WEO]],Demand_Modeling!$A$13:$I$13,0))</f>
        <v>#N/A</v>
      </c>
      <c r="N239" s="19" t="e">
        <f>SUM(Table3[[#This Row],[OFC]:[WEO]])</f>
        <v>#N/A</v>
      </c>
      <c r="O239" s="19"/>
      <c r="Q239" s="3" t="str">
        <f>Table35[[#This Row],[Fiscal_Year]]*100+Table35[[#This Row],[Fiscal_Week]] &amp; "-" &amp;Table35[[#This Row],[Brand]]</f>
        <v>0-0</v>
      </c>
      <c r="R239" t="str">
        <f>Table3[[#This Row],[Key]]</f>
        <v>-</v>
      </c>
      <c r="S239">
        <f>Table3[[#This Row],[Fiscal_Year]]</f>
        <v>0</v>
      </c>
      <c r="T239">
        <f>Table3[[#This Row],[Fiscal_Week]]</f>
        <v>0</v>
      </c>
      <c r="U239">
        <f>Table3[[#This Row],[Brand]]</f>
        <v>0</v>
      </c>
      <c r="V239">
        <f>Table3[[#This Row],[Demand]]</f>
        <v>0</v>
      </c>
      <c r="W239" t="e">
        <f>Table3[[#This Row],[OFC]]*Table3[[#This Row],[Demand]]</f>
        <v>#N/A</v>
      </c>
      <c r="X239" t="e">
        <f>Table3[[#This Row],[TFC]]*Table3[[#This Row],[Demand]]</f>
        <v>#N/A</v>
      </c>
      <c r="Y239" t="e">
        <f>Table3[[#This Row],[WFC]]*Table3[[#This Row],[Demand]]</f>
        <v>#N/A</v>
      </c>
      <c r="Z239" t="e">
        <f>Table3[[#This Row],[EAO]]*Table3[[#This Row],[Demand]]</f>
        <v>#N/A</v>
      </c>
      <c r="AA239" t="e">
        <f>Table3[[#This Row],[OCC]]*Table3[[#This Row],[Demand]]</f>
        <v>#N/A</v>
      </c>
      <c r="AB239" t="e">
        <f>Table3[[#This Row],[WEO]]*Table3[[#This Row],[Demand]]</f>
        <v>#N/A</v>
      </c>
      <c r="AC239" s="19" t="e">
        <f>SUM(Table35[[#This Row],[OFC]:[WEO]])</f>
        <v>#N/A</v>
      </c>
      <c r="AD239" s="19" t="e">
        <f>Table35[[#This Row],[Demand]]-Table35[[#This Row],[Total_Modeled_Demand]]</f>
        <v>#N/A</v>
      </c>
    </row>
    <row r="240" spans="2:30" x14ac:dyDescent="0.3">
      <c r="B240" s="3" t="str">
        <f>Table3[[#This Row],[Fiscal_Year]]*100+Table3[[#This Row],[Fiscal_Week]] &amp; "-" &amp;Table3[[#This Row],[Brand]]</f>
        <v>0-</v>
      </c>
      <c r="C240" t="str">
        <f t="shared" si="3"/>
        <v>-</v>
      </c>
      <c r="H240" s="3" t="e">
        <f>INDEX(Demand_Modeling!$A$13:$I$49,MATCH(Table3[[#This Row],[Key]],Demand_Modeling!$A$13:$A$49,0),MATCH(Table3[[#Headers],[OFC]],Demand_Modeling!$A$13:$I$13,0))</f>
        <v>#N/A</v>
      </c>
      <c r="I240" s="3" t="e">
        <f>INDEX(Demand_Modeling!$A$13:$I$49,MATCH(Table3[[#This Row],[Key]],Demand_Modeling!$A$13:$A$49,0),MATCH(Table3[[#Headers],[TFC]],Demand_Modeling!$A$13:$I$13,0))</f>
        <v>#N/A</v>
      </c>
      <c r="J240" s="3" t="e">
        <f>INDEX(Demand_Modeling!$A$13:$I$49,MATCH(Table3[[#This Row],[Key]],Demand_Modeling!$A$13:$A$49,0),MATCH(Table3[[#Headers],[WFC]],Demand_Modeling!$A$13:$I$13,0))</f>
        <v>#N/A</v>
      </c>
      <c r="K240" s="3" t="e">
        <f>INDEX(Demand_Modeling!$A$13:$I$49,MATCH(Table3[[#This Row],[Key]],Demand_Modeling!$A$13:$A$49,0),MATCH(Table3[[#Headers],[EAO]],Demand_Modeling!$A$13:$I$13,0))</f>
        <v>#N/A</v>
      </c>
      <c r="L240" s="3" t="e">
        <f>INDEX(Demand_Modeling!$A$13:$I$49,MATCH(Table3[[#This Row],[Key]],Demand_Modeling!$A$13:$A$49,0),MATCH(Table3[[#Headers],[OCC]],Demand_Modeling!$A$13:$I$13,0))</f>
        <v>#N/A</v>
      </c>
      <c r="M240" s="3" t="e">
        <f>INDEX(Demand_Modeling!$A$13:$I$49,MATCH(Table3[[#This Row],[Key]],Demand_Modeling!$A$13:$A$49,0),MATCH(Table3[[#Headers],[WEO]],Demand_Modeling!$A$13:$I$13,0))</f>
        <v>#N/A</v>
      </c>
      <c r="N240" s="19" t="e">
        <f>SUM(Table3[[#This Row],[OFC]:[WEO]])</f>
        <v>#N/A</v>
      </c>
      <c r="O240" s="19"/>
      <c r="Q240" s="3" t="str">
        <f>Table35[[#This Row],[Fiscal_Year]]*100+Table35[[#This Row],[Fiscal_Week]] &amp; "-" &amp;Table35[[#This Row],[Brand]]</f>
        <v>0-0</v>
      </c>
      <c r="R240" t="str">
        <f>Table3[[#This Row],[Key]]</f>
        <v>-</v>
      </c>
      <c r="S240">
        <f>Table3[[#This Row],[Fiscal_Year]]</f>
        <v>0</v>
      </c>
      <c r="T240">
        <f>Table3[[#This Row],[Fiscal_Week]]</f>
        <v>0</v>
      </c>
      <c r="U240">
        <f>Table3[[#This Row],[Brand]]</f>
        <v>0</v>
      </c>
      <c r="V240">
        <f>Table3[[#This Row],[Demand]]</f>
        <v>0</v>
      </c>
      <c r="W240" t="e">
        <f>Table3[[#This Row],[OFC]]*Table3[[#This Row],[Demand]]</f>
        <v>#N/A</v>
      </c>
      <c r="X240" t="e">
        <f>Table3[[#This Row],[TFC]]*Table3[[#This Row],[Demand]]</f>
        <v>#N/A</v>
      </c>
      <c r="Y240" t="e">
        <f>Table3[[#This Row],[WFC]]*Table3[[#This Row],[Demand]]</f>
        <v>#N/A</v>
      </c>
      <c r="Z240" t="e">
        <f>Table3[[#This Row],[EAO]]*Table3[[#This Row],[Demand]]</f>
        <v>#N/A</v>
      </c>
      <c r="AA240" t="e">
        <f>Table3[[#This Row],[OCC]]*Table3[[#This Row],[Demand]]</f>
        <v>#N/A</v>
      </c>
      <c r="AB240" t="e">
        <f>Table3[[#This Row],[WEO]]*Table3[[#This Row],[Demand]]</f>
        <v>#N/A</v>
      </c>
      <c r="AC240" s="19" t="e">
        <f>SUM(Table35[[#This Row],[OFC]:[WEO]])</f>
        <v>#N/A</v>
      </c>
      <c r="AD240" s="19" t="e">
        <f>Table35[[#This Row],[Demand]]-Table35[[#This Row],[Total_Modeled_Demand]]</f>
        <v>#N/A</v>
      </c>
    </row>
    <row r="241" spans="2:30" x14ac:dyDescent="0.3">
      <c r="B241" s="3" t="str">
        <f>Table3[[#This Row],[Fiscal_Year]]*100+Table3[[#This Row],[Fiscal_Week]] &amp; "-" &amp;Table3[[#This Row],[Brand]]</f>
        <v>0-</v>
      </c>
      <c r="C241" t="str">
        <f t="shared" si="3"/>
        <v>-</v>
      </c>
      <c r="H241" s="3" t="e">
        <f>INDEX(Demand_Modeling!$A$13:$I$49,MATCH(Table3[[#This Row],[Key]],Demand_Modeling!$A$13:$A$49,0),MATCH(Table3[[#Headers],[OFC]],Demand_Modeling!$A$13:$I$13,0))</f>
        <v>#N/A</v>
      </c>
      <c r="I241" s="3" t="e">
        <f>INDEX(Demand_Modeling!$A$13:$I$49,MATCH(Table3[[#This Row],[Key]],Demand_Modeling!$A$13:$A$49,0),MATCH(Table3[[#Headers],[TFC]],Demand_Modeling!$A$13:$I$13,0))</f>
        <v>#N/A</v>
      </c>
      <c r="J241" s="3" t="e">
        <f>INDEX(Demand_Modeling!$A$13:$I$49,MATCH(Table3[[#This Row],[Key]],Demand_Modeling!$A$13:$A$49,0),MATCH(Table3[[#Headers],[WFC]],Demand_Modeling!$A$13:$I$13,0))</f>
        <v>#N/A</v>
      </c>
      <c r="K241" s="3" t="e">
        <f>INDEX(Demand_Modeling!$A$13:$I$49,MATCH(Table3[[#This Row],[Key]],Demand_Modeling!$A$13:$A$49,0),MATCH(Table3[[#Headers],[EAO]],Demand_Modeling!$A$13:$I$13,0))</f>
        <v>#N/A</v>
      </c>
      <c r="L241" s="3" t="e">
        <f>INDEX(Demand_Modeling!$A$13:$I$49,MATCH(Table3[[#This Row],[Key]],Demand_Modeling!$A$13:$A$49,0),MATCH(Table3[[#Headers],[OCC]],Demand_Modeling!$A$13:$I$13,0))</f>
        <v>#N/A</v>
      </c>
      <c r="M241" s="3" t="e">
        <f>INDEX(Demand_Modeling!$A$13:$I$49,MATCH(Table3[[#This Row],[Key]],Demand_Modeling!$A$13:$A$49,0),MATCH(Table3[[#Headers],[WEO]],Demand_Modeling!$A$13:$I$13,0))</f>
        <v>#N/A</v>
      </c>
      <c r="N241" s="19" t="e">
        <f>SUM(Table3[[#This Row],[OFC]:[WEO]])</f>
        <v>#N/A</v>
      </c>
      <c r="O241" s="19"/>
      <c r="Q241" s="3" t="str">
        <f>Table35[[#This Row],[Fiscal_Year]]*100+Table35[[#This Row],[Fiscal_Week]] &amp; "-" &amp;Table35[[#This Row],[Brand]]</f>
        <v>0-0</v>
      </c>
      <c r="R241" t="str">
        <f>Table3[[#This Row],[Key]]</f>
        <v>-</v>
      </c>
      <c r="S241">
        <f>Table3[[#This Row],[Fiscal_Year]]</f>
        <v>0</v>
      </c>
      <c r="T241">
        <f>Table3[[#This Row],[Fiscal_Week]]</f>
        <v>0</v>
      </c>
      <c r="U241">
        <f>Table3[[#This Row],[Brand]]</f>
        <v>0</v>
      </c>
      <c r="V241">
        <f>Table3[[#This Row],[Demand]]</f>
        <v>0</v>
      </c>
      <c r="W241" t="e">
        <f>Table3[[#This Row],[OFC]]*Table3[[#This Row],[Demand]]</f>
        <v>#N/A</v>
      </c>
      <c r="X241" t="e">
        <f>Table3[[#This Row],[TFC]]*Table3[[#This Row],[Demand]]</f>
        <v>#N/A</v>
      </c>
      <c r="Y241" t="e">
        <f>Table3[[#This Row],[WFC]]*Table3[[#This Row],[Demand]]</f>
        <v>#N/A</v>
      </c>
      <c r="Z241" t="e">
        <f>Table3[[#This Row],[EAO]]*Table3[[#This Row],[Demand]]</f>
        <v>#N/A</v>
      </c>
      <c r="AA241" t="e">
        <f>Table3[[#This Row],[OCC]]*Table3[[#This Row],[Demand]]</f>
        <v>#N/A</v>
      </c>
      <c r="AB241" t="e">
        <f>Table3[[#This Row],[WEO]]*Table3[[#This Row],[Demand]]</f>
        <v>#N/A</v>
      </c>
      <c r="AC241" s="19" t="e">
        <f>SUM(Table35[[#This Row],[OFC]:[WEO]])</f>
        <v>#N/A</v>
      </c>
      <c r="AD241" s="19" t="e">
        <f>Table35[[#This Row],[Demand]]-Table35[[#This Row],[Total_Modeled_Demand]]</f>
        <v>#N/A</v>
      </c>
    </row>
    <row r="242" spans="2:30" x14ac:dyDescent="0.3">
      <c r="B242" s="3" t="str">
        <f>Table3[[#This Row],[Fiscal_Year]]*100+Table3[[#This Row],[Fiscal_Week]] &amp; "-" &amp;Table3[[#This Row],[Brand]]</f>
        <v>0-</v>
      </c>
      <c r="C242" t="str">
        <f t="shared" si="3"/>
        <v>-</v>
      </c>
      <c r="H242" s="3" t="e">
        <f>INDEX(Demand_Modeling!$A$13:$I$49,MATCH(Table3[[#This Row],[Key]],Demand_Modeling!$A$13:$A$49,0),MATCH(Table3[[#Headers],[OFC]],Demand_Modeling!$A$13:$I$13,0))</f>
        <v>#N/A</v>
      </c>
      <c r="I242" s="3" t="e">
        <f>INDEX(Demand_Modeling!$A$13:$I$49,MATCH(Table3[[#This Row],[Key]],Demand_Modeling!$A$13:$A$49,0),MATCH(Table3[[#Headers],[TFC]],Demand_Modeling!$A$13:$I$13,0))</f>
        <v>#N/A</v>
      </c>
      <c r="J242" s="3" t="e">
        <f>INDEX(Demand_Modeling!$A$13:$I$49,MATCH(Table3[[#This Row],[Key]],Demand_Modeling!$A$13:$A$49,0),MATCH(Table3[[#Headers],[WFC]],Demand_Modeling!$A$13:$I$13,0))</f>
        <v>#N/A</v>
      </c>
      <c r="K242" s="3" t="e">
        <f>INDEX(Demand_Modeling!$A$13:$I$49,MATCH(Table3[[#This Row],[Key]],Demand_Modeling!$A$13:$A$49,0),MATCH(Table3[[#Headers],[EAO]],Demand_Modeling!$A$13:$I$13,0))</f>
        <v>#N/A</v>
      </c>
      <c r="L242" s="3" t="e">
        <f>INDEX(Demand_Modeling!$A$13:$I$49,MATCH(Table3[[#This Row],[Key]],Demand_Modeling!$A$13:$A$49,0),MATCH(Table3[[#Headers],[OCC]],Demand_Modeling!$A$13:$I$13,0))</f>
        <v>#N/A</v>
      </c>
      <c r="M242" s="3" t="e">
        <f>INDEX(Demand_Modeling!$A$13:$I$49,MATCH(Table3[[#This Row],[Key]],Demand_Modeling!$A$13:$A$49,0),MATCH(Table3[[#Headers],[WEO]],Demand_Modeling!$A$13:$I$13,0))</f>
        <v>#N/A</v>
      </c>
      <c r="N242" s="19" t="e">
        <f>SUM(Table3[[#This Row],[OFC]:[WEO]])</f>
        <v>#N/A</v>
      </c>
      <c r="O242" s="19"/>
      <c r="Q242" s="3" t="str">
        <f>Table35[[#This Row],[Fiscal_Year]]*100+Table35[[#This Row],[Fiscal_Week]] &amp; "-" &amp;Table35[[#This Row],[Brand]]</f>
        <v>0-0</v>
      </c>
      <c r="R242" t="str">
        <f>Table3[[#This Row],[Key]]</f>
        <v>-</v>
      </c>
      <c r="S242">
        <f>Table3[[#This Row],[Fiscal_Year]]</f>
        <v>0</v>
      </c>
      <c r="T242">
        <f>Table3[[#This Row],[Fiscal_Week]]</f>
        <v>0</v>
      </c>
      <c r="U242">
        <f>Table3[[#This Row],[Brand]]</f>
        <v>0</v>
      </c>
      <c r="V242">
        <f>Table3[[#This Row],[Demand]]</f>
        <v>0</v>
      </c>
      <c r="W242" t="e">
        <f>Table3[[#This Row],[OFC]]*Table3[[#This Row],[Demand]]</f>
        <v>#N/A</v>
      </c>
      <c r="X242" t="e">
        <f>Table3[[#This Row],[TFC]]*Table3[[#This Row],[Demand]]</f>
        <v>#N/A</v>
      </c>
      <c r="Y242" t="e">
        <f>Table3[[#This Row],[WFC]]*Table3[[#This Row],[Demand]]</f>
        <v>#N/A</v>
      </c>
      <c r="Z242" t="e">
        <f>Table3[[#This Row],[EAO]]*Table3[[#This Row],[Demand]]</f>
        <v>#N/A</v>
      </c>
      <c r="AA242" t="e">
        <f>Table3[[#This Row],[OCC]]*Table3[[#This Row],[Demand]]</f>
        <v>#N/A</v>
      </c>
      <c r="AB242" t="e">
        <f>Table3[[#This Row],[WEO]]*Table3[[#This Row],[Demand]]</f>
        <v>#N/A</v>
      </c>
      <c r="AC242" s="19" t="e">
        <f>SUM(Table35[[#This Row],[OFC]:[WEO]])</f>
        <v>#N/A</v>
      </c>
      <c r="AD242" s="19" t="e">
        <f>Table35[[#This Row],[Demand]]-Table35[[#This Row],[Total_Modeled_Demand]]</f>
        <v>#N/A</v>
      </c>
    </row>
    <row r="243" spans="2:30" x14ac:dyDescent="0.3">
      <c r="B243" s="3" t="str">
        <f>Table3[[#This Row],[Fiscal_Year]]*100+Table3[[#This Row],[Fiscal_Week]] &amp; "-" &amp;Table3[[#This Row],[Brand]]</f>
        <v>0-</v>
      </c>
      <c r="C243" t="str">
        <f t="shared" si="3"/>
        <v>-</v>
      </c>
      <c r="H243" s="3" t="e">
        <f>INDEX(Demand_Modeling!$A$13:$I$49,MATCH(Table3[[#This Row],[Key]],Demand_Modeling!$A$13:$A$49,0),MATCH(Table3[[#Headers],[OFC]],Demand_Modeling!$A$13:$I$13,0))</f>
        <v>#N/A</v>
      </c>
      <c r="I243" s="3" t="e">
        <f>INDEX(Demand_Modeling!$A$13:$I$49,MATCH(Table3[[#This Row],[Key]],Demand_Modeling!$A$13:$A$49,0),MATCH(Table3[[#Headers],[TFC]],Demand_Modeling!$A$13:$I$13,0))</f>
        <v>#N/A</v>
      </c>
      <c r="J243" s="3" t="e">
        <f>INDEX(Demand_Modeling!$A$13:$I$49,MATCH(Table3[[#This Row],[Key]],Demand_Modeling!$A$13:$A$49,0),MATCH(Table3[[#Headers],[WFC]],Demand_Modeling!$A$13:$I$13,0))</f>
        <v>#N/A</v>
      </c>
      <c r="K243" s="3" t="e">
        <f>INDEX(Demand_Modeling!$A$13:$I$49,MATCH(Table3[[#This Row],[Key]],Demand_Modeling!$A$13:$A$49,0),MATCH(Table3[[#Headers],[EAO]],Demand_Modeling!$A$13:$I$13,0))</f>
        <v>#N/A</v>
      </c>
      <c r="L243" s="3" t="e">
        <f>INDEX(Demand_Modeling!$A$13:$I$49,MATCH(Table3[[#This Row],[Key]],Demand_Modeling!$A$13:$A$49,0),MATCH(Table3[[#Headers],[OCC]],Demand_Modeling!$A$13:$I$13,0))</f>
        <v>#N/A</v>
      </c>
      <c r="M243" s="3" t="e">
        <f>INDEX(Demand_Modeling!$A$13:$I$49,MATCH(Table3[[#This Row],[Key]],Demand_Modeling!$A$13:$A$49,0),MATCH(Table3[[#Headers],[WEO]],Demand_Modeling!$A$13:$I$13,0))</f>
        <v>#N/A</v>
      </c>
      <c r="N243" s="19" t="e">
        <f>SUM(Table3[[#This Row],[OFC]:[WEO]])</f>
        <v>#N/A</v>
      </c>
      <c r="O243" s="19"/>
      <c r="Q243" s="3" t="str">
        <f>Table35[[#This Row],[Fiscal_Year]]*100+Table35[[#This Row],[Fiscal_Week]] &amp; "-" &amp;Table35[[#This Row],[Brand]]</f>
        <v>0-0</v>
      </c>
      <c r="R243" t="str">
        <f>Table3[[#This Row],[Key]]</f>
        <v>-</v>
      </c>
      <c r="S243">
        <f>Table3[[#This Row],[Fiscal_Year]]</f>
        <v>0</v>
      </c>
      <c r="T243">
        <f>Table3[[#This Row],[Fiscal_Week]]</f>
        <v>0</v>
      </c>
      <c r="U243">
        <f>Table3[[#This Row],[Brand]]</f>
        <v>0</v>
      </c>
      <c r="V243">
        <f>Table3[[#This Row],[Demand]]</f>
        <v>0</v>
      </c>
      <c r="W243" t="e">
        <f>Table3[[#This Row],[OFC]]*Table3[[#This Row],[Demand]]</f>
        <v>#N/A</v>
      </c>
      <c r="X243" t="e">
        <f>Table3[[#This Row],[TFC]]*Table3[[#This Row],[Demand]]</f>
        <v>#N/A</v>
      </c>
      <c r="Y243" t="e">
        <f>Table3[[#This Row],[WFC]]*Table3[[#This Row],[Demand]]</f>
        <v>#N/A</v>
      </c>
      <c r="Z243" t="e">
        <f>Table3[[#This Row],[EAO]]*Table3[[#This Row],[Demand]]</f>
        <v>#N/A</v>
      </c>
      <c r="AA243" t="e">
        <f>Table3[[#This Row],[OCC]]*Table3[[#This Row],[Demand]]</f>
        <v>#N/A</v>
      </c>
      <c r="AB243" t="e">
        <f>Table3[[#This Row],[WEO]]*Table3[[#This Row],[Demand]]</f>
        <v>#N/A</v>
      </c>
      <c r="AC243" s="19" t="e">
        <f>SUM(Table35[[#This Row],[OFC]:[WEO]])</f>
        <v>#N/A</v>
      </c>
      <c r="AD243" s="19" t="e">
        <f>Table35[[#This Row],[Demand]]-Table35[[#This Row],[Total_Modeled_Demand]]</f>
        <v>#N/A</v>
      </c>
    </row>
    <row r="244" spans="2:30" x14ac:dyDescent="0.3">
      <c r="B244" s="3" t="str">
        <f>Table3[[#This Row],[Fiscal_Year]]*100+Table3[[#This Row],[Fiscal_Week]] &amp; "-" &amp;Table3[[#This Row],[Brand]]</f>
        <v>0-</v>
      </c>
      <c r="C244" t="str">
        <f t="shared" si="3"/>
        <v>-</v>
      </c>
      <c r="H244" s="3" t="e">
        <f>INDEX(Demand_Modeling!$A$13:$I$49,MATCH(Table3[[#This Row],[Key]],Demand_Modeling!$A$13:$A$49,0),MATCH(Table3[[#Headers],[OFC]],Demand_Modeling!$A$13:$I$13,0))</f>
        <v>#N/A</v>
      </c>
      <c r="I244" s="3" t="e">
        <f>INDEX(Demand_Modeling!$A$13:$I$49,MATCH(Table3[[#This Row],[Key]],Demand_Modeling!$A$13:$A$49,0),MATCH(Table3[[#Headers],[TFC]],Demand_Modeling!$A$13:$I$13,0))</f>
        <v>#N/A</v>
      </c>
      <c r="J244" s="3" t="e">
        <f>INDEX(Demand_Modeling!$A$13:$I$49,MATCH(Table3[[#This Row],[Key]],Demand_Modeling!$A$13:$A$49,0),MATCH(Table3[[#Headers],[WFC]],Demand_Modeling!$A$13:$I$13,0))</f>
        <v>#N/A</v>
      </c>
      <c r="K244" s="3" t="e">
        <f>INDEX(Demand_Modeling!$A$13:$I$49,MATCH(Table3[[#This Row],[Key]],Demand_Modeling!$A$13:$A$49,0),MATCH(Table3[[#Headers],[EAO]],Demand_Modeling!$A$13:$I$13,0))</f>
        <v>#N/A</v>
      </c>
      <c r="L244" s="3" t="e">
        <f>INDEX(Demand_Modeling!$A$13:$I$49,MATCH(Table3[[#This Row],[Key]],Demand_Modeling!$A$13:$A$49,0),MATCH(Table3[[#Headers],[OCC]],Demand_Modeling!$A$13:$I$13,0))</f>
        <v>#N/A</v>
      </c>
      <c r="M244" s="3" t="e">
        <f>INDEX(Demand_Modeling!$A$13:$I$49,MATCH(Table3[[#This Row],[Key]],Demand_Modeling!$A$13:$A$49,0),MATCH(Table3[[#Headers],[WEO]],Demand_Modeling!$A$13:$I$13,0))</f>
        <v>#N/A</v>
      </c>
      <c r="N244" s="19" t="e">
        <f>SUM(Table3[[#This Row],[OFC]:[WEO]])</f>
        <v>#N/A</v>
      </c>
      <c r="O244" s="19"/>
      <c r="Q244" s="3" t="str">
        <f>Table35[[#This Row],[Fiscal_Year]]*100+Table35[[#This Row],[Fiscal_Week]] &amp; "-" &amp;Table35[[#This Row],[Brand]]</f>
        <v>0-0</v>
      </c>
      <c r="R244" t="str">
        <f>Table3[[#This Row],[Key]]</f>
        <v>-</v>
      </c>
      <c r="S244">
        <f>Table3[[#This Row],[Fiscal_Year]]</f>
        <v>0</v>
      </c>
      <c r="T244">
        <f>Table3[[#This Row],[Fiscal_Week]]</f>
        <v>0</v>
      </c>
      <c r="U244">
        <f>Table3[[#This Row],[Brand]]</f>
        <v>0</v>
      </c>
      <c r="V244">
        <f>Table3[[#This Row],[Demand]]</f>
        <v>0</v>
      </c>
      <c r="W244" t="e">
        <f>Table3[[#This Row],[OFC]]*Table3[[#This Row],[Demand]]</f>
        <v>#N/A</v>
      </c>
      <c r="X244" t="e">
        <f>Table3[[#This Row],[TFC]]*Table3[[#This Row],[Demand]]</f>
        <v>#N/A</v>
      </c>
      <c r="Y244" t="e">
        <f>Table3[[#This Row],[WFC]]*Table3[[#This Row],[Demand]]</f>
        <v>#N/A</v>
      </c>
      <c r="Z244" t="e">
        <f>Table3[[#This Row],[EAO]]*Table3[[#This Row],[Demand]]</f>
        <v>#N/A</v>
      </c>
      <c r="AA244" t="e">
        <f>Table3[[#This Row],[OCC]]*Table3[[#This Row],[Demand]]</f>
        <v>#N/A</v>
      </c>
      <c r="AB244" t="e">
        <f>Table3[[#This Row],[WEO]]*Table3[[#This Row],[Demand]]</f>
        <v>#N/A</v>
      </c>
      <c r="AC244" s="19" t="e">
        <f>SUM(Table35[[#This Row],[OFC]:[WEO]])</f>
        <v>#N/A</v>
      </c>
      <c r="AD244" s="19" t="e">
        <f>Table35[[#This Row],[Demand]]-Table35[[#This Row],[Total_Modeled_Demand]]</f>
        <v>#N/A</v>
      </c>
    </row>
    <row r="245" spans="2:30" x14ac:dyDescent="0.3">
      <c r="B245" s="3" t="str">
        <f>Table3[[#This Row],[Fiscal_Year]]*100+Table3[[#This Row],[Fiscal_Week]] &amp; "-" &amp;Table3[[#This Row],[Brand]]</f>
        <v>0-</v>
      </c>
      <c r="C245" t="str">
        <f t="shared" si="3"/>
        <v>-</v>
      </c>
      <c r="H245" s="3" t="e">
        <f>INDEX(Demand_Modeling!$A$13:$I$49,MATCH(Table3[[#This Row],[Key]],Demand_Modeling!$A$13:$A$49,0),MATCH(Table3[[#Headers],[OFC]],Demand_Modeling!$A$13:$I$13,0))</f>
        <v>#N/A</v>
      </c>
      <c r="I245" s="3" t="e">
        <f>INDEX(Demand_Modeling!$A$13:$I$49,MATCH(Table3[[#This Row],[Key]],Demand_Modeling!$A$13:$A$49,0),MATCH(Table3[[#Headers],[TFC]],Demand_Modeling!$A$13:$I$13,0))</f>
        <v>#N/A</v>
      </c>
      <c r="J245" s="3" t="e">
        <f>INDEX(Demand_Modeling!$A$13:$I$49,MATCH(Table3[[#This Row],[Key]],Demand_Modeling!$A$13:$A$49,0),MATCH(Table3[[#Headers],[WFC]],Demand_Modeling!$A$13:$I$13,0))</f>
        <v>#N/A</v>
      </c>
      <c r="K245" s="3" t="e">
        <f>INDEX(Demand_Modeling!$A$13:$I$49,MATCH(Table3[[#This Row],[Key]],Demand_Modeling!$A$13:$A$49,0),MATCH(Table3[[#Headers],[EAO]],Demand_Modeling!$A$13:$I$13,0))</f>
        <v>#N/A</v>
      </c>
      <c r="L245" s="3" t="e">
        <f>INDEX(Demand_Modeling!$A$13:$I$49,MATCH(Table3[[#This Row],[Key]],Demand_Modeling!$A$13:$A$49,0),MATCH(Table3[[#Headers],[OCC]],Demand_Modeling!$A$13:$I$13,0))</f>
        <v>#N/A</v>
      </c>
      <c r="M245" s="3" t="e">
        <f>INDEX(Demand_Modeling!$A$13:$I$49,MATCH(Table3[[#This Row],[Key]],Demand_Modeling!$A$13:$A$49,0),MATCH(Table3[[#Headers],[WEO]],Demand_Modeling!$A$13:$I$13,0))</f>
        <v>#N/A</v>
      </c>
      <c r="N245" s="19" t="e">
        <f>SUM(Table3[[#This Row],[OFC]:[WEO]])</f>
        <v>#N/A</v>
      </c>
      <c r="O245" s="19"/>
      <c r="Q245" s="3" t="str">
        <f>Table35[[#This Row],[Fiscal_Year]]*100+Table35[[#This Row],[Fiscal_Week]] &amp; "-" &amp;Table35[[#This Row],[Brand]]</f>
        <v>0-0</v>
      </c>
      <c r="R245" t="str">
        <f>Table3[[#This Row],[Key]]</f>
        <v>-</v>
      </c>
      <c r="S245">
        <f>Table3[[#This Row],[Fiscal_Year]]</f>
        <v>0</v>
      </c>
      <c r="T245">
        <f>Table3[[#This Row],[Fiscal_Week]]</f>
        <v>0</v>
      </c>
      <c r="U245">
        <f>Table3[[#This Row],[Brand]]</f>
        <v>0</v>
      </c>
      <c r="V245">
        <f>Table3[[#This Row],[Demand]]</f>
        <v>0</v>
      </c>
      <c r="W245" t="e">
        <f>Table3[[#This Row],[OFC]]*Table3[[#This Row],[Demand]]</f>
        <v>#N/A</v>
      </c>
      <c r="X245" t="e">
        <f>Table3[[#This Row],[TFC]]*Table3[[#This Row],[Demand]]</f>
        <v>#N/A</v>
      </c>
      <c r="Y245" t="e">
        <f>Table3[[#This Row],[WFC]]*Table3[[#This Row],[Demand]]</f>
        <v>#N/A</v>
      </c>
      <c r="Z245" t="e">
        <f>Table3[[#This Row],[EAO]]*Table3[[#This Row],[Demand]]</f>
        <v>#N/A</v>
      </c>
      <c r="AA245" t="e">
        <f>Table3[[#This Row],[OCC]]*Table3[[#This Row],[Demand]]</f>
        <v>#N/A</v>
      </c>
      <c r="AB245" t="e">
        <f>Table3[[#This Row],[WEO]]*Table3[[#This Row],[Demand]]</f>
        <v>#N/A</v>
      </c>
      <c r="AC245" s="19" t="e">
        <f>SUM(Table35[[#This Row],[OFC]:[WEO]])</f>
        <v>#N/A</v>
      </c>
      <c r="AD245" s="19" t="e">
        <f>Table35[[#This Row],[Demand]]-Table35[[#This Row],[Total_Modeled_Demand]]</f>
        <v>#N/A</v>
      </c>
    </row>
    <row r="246" spans="2:30" x14ac:dyDescent="0.3">
      <c r="B246" s="3" t="str">
        <f>Table3[[#This Row],[Fiscal_Year]]*100+Table3[[#This Row],[Fiscal_Week]] &amp; "-" &amp;Table3[[#This Row],[Brand]]</f>
        <v>0-</v>
      </c>
      <c r="C246" t="str">
        <f t="shared" si="3"/>
        <v>-</v>
      </c>
      <c r="H246" s="3" t="e">
        <f>INDEX(Demand_Modeling!$A$13:$I$49,MATCH(Table3[[#This Row],[Key]],Demand_Modeling!$A$13:$A$49,0),MATCH(Table3[[#Headers],[OFC]],Demand_Modeling!$A$13:$I$13,0))</f>
        <v>#N/A</v>
      </c>
      <c r="I246" s="3" t="e">
        <f>INDEX(Demand_Modeling!$A$13:$I$49,MATCH(Table3[[#This Row],[Key]],Demand_Modeling!$A$13:$A$49,0),MATCH(Table3[[#Headers],[TFC]],Demand_Modeling!$A$13:$I$13,0))</f>
        <v>#N/A</v>
      </c>
      <c r="J246" s="3" t="e">
        <f>INDEX(Demand_Modeling!$A$13:$I$49,MATCH(Table3[[#This Row],[Key]],Demand_Modeling!$A$13:$A$49,0),MATCH(Table3[[#Headers],[WFC]],Demand_Modeling!$A$13:$I$13,0))</f>
        <v>#N/A</v>
      </c>
      <c r="K246" s="3" t="e">
        <f>INDEX(Demand_Modeling!$A$13:$I$49,MATCH(Table3[[#This Row],[Key]],Demand_Modeling!$A$13:$A$49,0),MATCH(Table3[[#Headers],[EAO]],Demand_Modeling!$A$13:$I$13,0))</f>
        <v>#N/A</v>
      </c>
      <c r="L246" s="3" t="e">
        <f>INDEX(Demand_Modeling!$A$13:$I$49,MATCH(Table3[[#This Row],[Key]],Demand_Modeling!$A$13:$A$49,0),MATCH(Table3[[#Headers],[OCC]],Demand_Modeling!$A$13:$I$13,0))</f>
        <v>#N/A</v>
      </c>
      <c r="M246" s="3" t="e">
        <f>INDEX(Demand_Modeling!$A$13:$I$49,MATCH(Table3[[#This Row],[Key]],Demand_Modeling!$A$13:$A$49,0),MATCH(Table3[[#Headers],[WEO]],Demand_Modeling!$A$13:$I$13,0))</f>
        <v>#N/A</v>
      </c>
      <c r="N246" s="19" t="e">
        <f>SUM(Table3[[#This Row],[OFC]:[WEO]])</f>
        <v>#N/A</v>
      </c>
      <c r="O246" s="19"/>
      <c r="Q246" s="3" t="str">
        <f>Table35[[#This Row],[Fiscal_Year]]*100+Table35[[#This Row],[Fiscal_Week]] &amp; "-" &amp;Table35[[#This Row],[Brand]]</f>
        <v>0-0</v>
      </c>
      <c r="R246" t="str">
        <f>Table3[[#This Row],[Key]]</f>
        <v>-</v>
      </c>
      <c r="S246">
        <f>Table3[[#This Row],[Fiscal_Year]]</f>
        <v>0</v>
      </c>
      <c r="T246">
        <f>Table3[[#This Row],[Fiscal_Week]]</f>
        <v>0</v>
      </c>
      <c r="U246">
        <f>Table3[[#This Row],[Brand]]</f>
        <v>0</v>
      </c>
      <c r="V246">
        <f>Table3[[#This Row],[Demand]]</f>
        <v>0</v>
      </c>
      <c r="W246" t="e">
        <f>Table3[[#This Row],[OFC]]*Table3[[#This Row],[Demand]]</f>
        <v>#N/A</v>
      </c>
      <c r="X246" t="e">
        <f>Table3[[#This Row],[TFC]]*Table3[[#This Row],[Demand]]</f>
        <v>#N/A</v>
      </c>
      <c r="Y246" t="e">
        <f>Table3[[#This Row],[WFC]]*Table3[[#This Row],[Demand]]</f>
        <v>#N/A</v>
      </c>
      <c r="Z246" t="e">
        <f>Table3[[#This Row],[EAO]]*Table3[[#This Row],[Demand]]</f>
        <v>#N/A</v>
      </c>
      <c r="AA246" t="e">
        <f>Table3[[#This Row],[OCC]]*Table3[[#This Row],[Demand]]</f>
        <v>#N/A</v>
      </c>
      <c r="AB246" t="e">
        <f>Table3[[#This Row],[WEO]]*Table3[[#This Row],[Demand]]</f>
        <v>#N/A</v>
      </c>
      <c r="AC246" s="19" t="e">
        <f>SUM(Table35[[#This Row],[OFC]:[WEO]])</f>
        <v>#N/A</v>
      </c>
      <c r="AD246" s="19" t="e">
        <f>Table35[[#This Row],[Demand]]-Table35[[#This Row],[Total_Modeled_Demand]]</f>
        <v>#N/A</v>
      </c>
    </row>
    <row r="247" spans="2:30" x14ac:dyDescent="0.3">
      <c r="B247" s="3" t="str">
        <f>Table3[[#This Row],[Fiscal_Year]]*100+Table3[[#This Row],[Fiscal_Week]] &amp; "-" &amp;Table3[[#This Row],[Brand]]</f>
        <v>0-</v>
      </c>
      <c r="C247" t="str">
        <f t="shared" si="3"/>
        <v>-</v>
      </c>
      <c r="H247" s="3" t="e">
        <f>INDEX(Demand_Modeling!$A$13:$I$49,MATCH(Table3[[#This Row],[Key]],Demand_Modeling!$A$13:$A$49,0),MATCH(Table3[[#Headers],[OFC]],Demand_Modeling!$A$13:$I$13,0))</f>
        <v>#N/A</v>
      </c>
      <c r="I247" s="3" t="e">
        <f>INDEX(Demand_Modeling!$A$13:$I$49,MATCH(Table3[[#This Row],[Key]],Demand_Modeling!$A$13:$A$49,0),MATCH(Table3[[#Headers],[TFC]],Demand_Modeling!$A$13:$I$13,0))</f>
        <v>#N/A</v>
      </c>
      <c r="J247" s="3" t="e">
        <f>INDEX(Demand_Modeling!$A$13:$I$49,MATCH(Table3[[#This Row],[Key]],Demand_Modeling!$A$13:$A$49,0),MATCH(Table3[[#Headers],[WFC]],Demand_Modeling!$A$13:$I$13,0))</f>
        <v>#N/A</v>
      </c>
      <c r="K247" s="3" t="e">
        <f>INDEX(Demand_Modeling!$A$13:$I$49,MATCH(Table3[[#This Row],[Key]],Demand_Modeling!$A$13:$A$49,0),MATCH(Table3[[#Headers],[EAO]],Demand_Modeling!$A$13:$I$13,0))</f>
        <v>#N/A</v>
      </c>
      <c r="L247" s="3" t="e">
        <f>INDEX(Demand_Modeling!$A$13:$I$49,MATCH(Table3[[#This Row],[Key]],Demand_Modeling!$A$13:$A$49,0),MATCH(Table3[[#Headers],[OCC]],Demand_Modeling!$A$13:$I$13,0))</f>
        <v>#N/A</v>
      </c>
      <c r="M247" s="3" t="e">
        <f>INDEX(Demand_Modeling!$A$13:$I$49,MATCH(Table3[[#This Row],[Key]],Demand_Modeling!$A$13:$A$49,0),MATCH(Table3[[#Headers],[WEO]],Demand_Modeling!$A$13:$I$13,0))</f>
        <v>#N/A</v>
      </c>
      <c r="N247" s="19" t="e">
        <f>SUM(Table3[[#This Row],[OFC]:[WEO]])</f>
        <v>#N/A</v>
      </c>
      <c r="O247" s="19"/>
      <c r="Q247" s="3" t="str">
        <f>Table35[[#This Row],[Fiscal_Year]]*100+Table35[[#This Row],[Fiscal_Week]] &amp; "-" &amp;Table35[[#This Row],[Brand]]</f>
        <v>0-0</v>
      </c>
      <c r="R247" t="str">
        <f>Table3[[#This Row],[Key]]</f>
        <v>-</v>
      </c>
      <c r="S247">
        <f>Table3[[#This Row],[Fiscal_Year]]</f>
        <v>0</v>
      </c>
      <c r="T247">
        <f>Table3[[#This Row],[Fiscal_Week]]</f>
        <v>0</v>
      </c>
      <c r="U247">
        <f>Table3[[#This Row],[Brand]]</f>
        <v>0</v>
      </c>
      <c r="V247">
        <f>Table3[[#This Row],[Demand]]</f>
        <v>0</v>
      </c>
      <c r="W247" t="e">
        <f>Table3[[#This Row],[OFC]]*Table3[[#This Row],[Demand]]</f>
        <v>#N/A</v>
      </c>
      <c r="X247" t="e">
        <f>Table3[[#This Row],[TFC]]*Table3[[#This Row],[Demand]]</f>
        <v>#N/A</v>
      </c>
      <c r="Y247" t="e">
        <f>Table3[[#This Row],[WFC]]*Table3[[#This Row],[Demand]]</f>
        <v>#N/A</v>
      </c>
      <c r="Z247" t="e">
        <f>Table3[[#This Row],[EAO]]*Table3[[#This Row],[Demand]]</f>
        <v>#N/A</v>
      </c>
      <c r="AA247" t="e">
        <f>Table3[[#This Row],[OCC]]*Table3[[#This Row],[Demand]]</f>
        <v>#N/A</v>
      </c>
      <c r="AB247" t="e">
        <f>Table3[[#This Row],[WEO]]*Table3[[#This Row],[Demand]]</f>
        <v>#N/A</v>
      </c>
      <c r="AC247" s="19" t="e">
        <f>SUM(Table35[[#This Row],[OFC]:[WEO]])</f>
        <v>#N/A</v>
      </c>
      <c r="AD247" s="19" t="e">
        <f>Table35[[#This Row],[Demand]]-Table35[[#This Row],[Total_Modeled_Demand]]</f>
        <v>#N/A</v>
      </c>
    </row>
    <row r="248" spans="2:30" x14ac:dyDescent="0.3">
      <c r="B248" s="3" t="str">
        <f>Table3[[#This Row],[Fiscal_Year]]*100+Table3[[#This Row],[Fiscal_Week]] &amp; "-" &amp;Table3[[#This Row],[Brand]]</f>
        <v>0-</v>
      </c>
      <c r="C248" t="str">
        <f t="shared" si="3"/>
        <v>-</v>
      </c>
      <c r="H248" s="3" t="e">
        <f>INDEX(Demand_Modeling!$A$13:$I$49,MATCH(Table3[[#This Row],[Key]],Demand_Modeling!$A$13:$A$49,0),MATCH(Table3[[#Headers],[OFC]],Demand_Modeling!$A$13:$I$13,0))</f>
        <v>#N/A</v>
      </c>
      <c r="I248" s="3" t="e">
        <f>INDEX(Demand_Modeling!$A$13:$I$49,MATCH(Table3[[#This Row],[Key]],Demand_Modeling!$A$13:$A$49,0),MATCH(Table3[[#Headers],[TFC]],Demand_Modeling!$A$13:$I$13,0))</f>
        <v>#N/A</v>
      </c>
      <c r="J248" s="3" t="e">
        <f>INDEX(Demand_Modeling!$A$13:$I$49,MATCH(Table3[[#This Row],[Key]],Demand_Modeling!$A$13:$A$49,0),MATCH(Table3[[#Headers],[WFC]],Demand_Modeling!$A$13:$I$13,0))</f>
        <v>#N/A</v>
      </c>
      <c r="K248" s="3" t="e">
        <f>INDEX(Demand_Modeling!$A$13:$I$49,MATCH(Table3[[#This Row],[Key]],Demand_Modeling!$A$13:$A$49,0),MATCH(Table3[[#Headers],[EAO]],Demand_Modeling!$A$13:$I$13,0))</f>
        <v>#N/A</v>
      </c>
      <c r="L248" s="3" t="e">
        <f>INDEX(Demand_Modeling!$A$13:$I$49,MATCH(Table3[[#This Row],[Key]],Demand_Modeling!$A$13:$A$49,0),MATCH(Table3[[#Headers],[OCC]],Demand_Modeling!$A$13:$I$13,0))</f>
        <v>#N/A</v>
      </c>
      <c r="M248" s="3" t="e">
        <f>INDEX(Demand_Modeling!$A$13:$I$49,MATCH(Table3[[#This Row],[Key]],Demand_Modeling!$A$13:$A$49,0),MATCH(Table3[[#Headers],[WEO]],Demand_Modeling!$A$13:$I$13,0))</f>
        <v>#N/A</v>
      </c>
      <c r="N248" s="19" t="e">
        <f>SUM(Table3[[#This Row],[OFC]:[WEO]])</f>
        <v>#N/A</v>
      </c>
      <c r="O248" s="19"/>
      <c r="Q248" s="3" t="str">
        <f>Table35[[#This Row],[Fiscal_Year]]*100+Table35[[#This Row],[Fiscal_Week]] &amp; "-" &amp;Table35[[#This Row],[Brand]]</f>
        <v>0-0</v>
      </c>
      <c r="R248" t="str">
        <f>Table3[[#This Row],[Key]]</f>
        <v>-</v>
      </c>
      <c r="S248">
        <f>Table3[[#This Row],[Fiscal_Year]]</f>
        <v>0</v>
      </c>
      <c r="T248">
        <f>Table3[[#This Row],[Fiscal_Week]]</f>
        <v>0</v>
      </c>
      <c r="U248">
        <f>Table3[[#This Row],[Brand]]</f>
        <v>0</v>
      </c>
      <c r="V248">
        <f>Table3[[#This Row],[Demand]]</f>
        <v>0</v>
      </c>
      <c r="W248" t="e">
        <f>Table3[[#This Row],[OFC]]*Table3[[#This Row],[Demand]]</f>
        <v>#N/A</v>
      </c>
      <c r="X248" t="e">
        <f>Table3[[#This Row],[TFC]]*Table3[[#This Row],[Demand]]</f>
        <v>#N/A</v>
      </c>
      <c r="Y248" t="e">
        <f>Table3[[#This Row],[WFC]]*Table3[[#This Row],[Demand]]</f>
        <v>#N/A</v>
      </c>
      <c r="Z248" t="e">
        <f>Table3[[#This Row],[EAO]]*Table3[[#This Row],[Demand]]</f>
        <v>#N/A</v>
      </c>
      <c r="AA248" t="e">
        <f>Table3[[#This Row],[OCC]]*Table3[[#This Row],[Demand]]</f>
        <v>#N/A</v>
      </c>
      <c r="AB248" t="e">
        <f>Table3[[#This Row],[WEO]]*Table3[[#This Row],[Demand]]</f>
        <v>#N/A</v>
      </c>
      <c r="AC248" s="19" t="e">
        <f>SUM(Table35[[#This Row],[OFC]:[WEO]])</f>
        <v>#N/A</v>
      </c>
      <c r="AD248" s="19" t="e">
        <f>Table35[[#This Row],[Demand]]-Table35[[#This Row],[Total_Modeled_Demand]]</f>
        <v>#N/A</v>
      </c>
    </row>
    <row r="249" spans="2:30" x14ac:dyDescent="0.3">
      <c r="B249" s="3" t="str">
        <f>Table3[[#This Row],[Fiscal_Year]]*100+Table3[[#This Row],[Fiscal_Week]] &amp; "-" &amp;Table3[[#This Row],[Brand]]</f>
        <v>0-</v>
      </c>
      <c r="C249" t="str">
        <f t="shared" si="3"/>
        <v>-</v>
      </c>
      <c r="H249" s="3" t="e">
        <f>INDEX(Demand_Modeling!$A$13:$I$49,MATCH(Table3[[#This Row],[Key]],Demand_Modeling!$A$13:$A$49,0),MATCH(Table3[[#Headers],[OFC]],Demand_Modeling!$A$13:$I$13,0))</f>
        <v>#N/A</v>
      </c>
      <c r="I249" s="3" t="e">
        <f>INDEX(Demand_Modeling!$A$13:$I$49,MATCH(Table3[[#This Row],[Key]],Demand_Modeling!$A$13:$A$49,0),MATCH(Table3[[#Headers],[TFC]],Demand_Modeling!$A$13:$I$13,0))</f>
        <v>#N/A</v>
      </c>
      <c r="J249" s="3" t="e">
        <f>INDEX(Demand_Modeling!$A$13:$I$49,MATCH(Table3[[#This Row],[Key]],Demand_Modeling!$A$13:$A$49,0),MATCH(Table3[[#Headers],[WFC]],Demand_Modeling!$A$13:$I$13,0))</f>
        <v>#N/A</v>
      </c>
      <c r="K249" s="3" t="e">
        <f>INDEX(Demand_Modeling!$A$13:$I$49,MATCH(Table3[[#This Row],[Key]],Demand_Modeling!$A$13:$A$49,0),MATCH(Table3[[#Headers],[EAO]],Demand_Modeling!$A$13:$I$13,0))</f>
        <v>#N/A</v>
      </c>
      <c r="L249" s="3" t="e">
        <f>INDEX(Demand_Modeling!$A$13:$I$49,MATCH(Table3[[#This Row],[Key]],Demand_Modeling!$A$13:$A$49,0),MATCH(Table3[[#Headers],[OCC]],Demand_Modeling!$A$13:$I$13,0))</f>
        <v>#N/A</v>
      </c>
      <c r="M249" s="3" t="e">
        <f>INDEX(Demand_Modeling!$A$13:$I$49,MATCH(Table3[[#This Row],[Key]],Demand_Modeling!$A$13:$A$49,0),MATCH(Table3[[#Headers],[WEO]],Demand_Modeling!$A$13:$I$13,0))</f>
        <v>#N/A</v>
      </c>
      <c r="N249" s="19" t="e">
        <f>SUM(Table3[[#This Row],[OFC]:[WEO]])</f>
        <v>#N/A</v>
      </c>
      <c r="O249" s="19"/>
      <c r="Q249" s="3" t="str">
        <f>Table35[[#This Row],[Fiscal_Year]]*100+Table35[[#This Row],[Fiscal_Week]] &amp; "-" &amp;Table35[[#This Row],[Brand]]</f>
        <v>0-0</v>
      </c>
      <c r="R249" t="str">
        <f>Table3[[#This Row],[Key]]</f>
        <v>-</v>
      </c>
      <c r="S249">
        <f>Table3[[#This Row],[Fiscal_Year]]</f>
        <v>0</v>
      </c>
      <c r="T249">
        <f>Table3[[#This Row],[Fiscal_Week]]</f>
        <v>0</v>
      </c>
      <c r="U249">
        <f>Table3[[#This Row],[Brand]]</f>
        <v>0</v>
      </c>
      <c r="V249">
        <f>Table3[[#This Row],[Demand]]</f>
        <v>0</v>
      </c>
      <c r="W249" t="e">
        <f>Table3[[#This Row],[OFC]]*Table3[[#This Row],[Demand]]</f>
        <v>#N/A</v>
      </c>
      <c r="X249" t="e">
        <f>Table3[[#This Row],[TFC]]*Table3[[#This Row],[Demand]]</f>
        <v>#N/A</v>
      </c>
      <c r="Y249" t="e">
        <f>Table3[[#This Row],[WFC]]*Table3[[#This Row],[Demand]]</f>
        <v>#N/A</v>
      </c>
      <c r="Z249" t="e">
        <f>Table3[[#This Row],[EAO]]*Table3[[#This Row],[Demand]]</f>
        <v>#N/A</v>
      </c>
      <c r="AA249" t="e">
        <f>Table3[[#This Row],[OCC]]*Table3[[#This Row],[Demand]]</f>
        <v>#N/A</v>
      </c>
      <c r="AB249" t="e">
        <f>Table3[[#This Row],[WEO]]*Table3[[#This Row],[Demand]]</f>
        <v>#N/A</v>
      </c>
      <c r="AC249" s="19" t="e">
        <f>SUM(Table35[[#This Row],[OFC]:[WEO]])</f>
        <v>#N/A</v>
      </c>
      <c r="AD249" s="19" t="e">
        <f>Table35[[#This Row],[Demand]]-Table35[[#This Row],[Total_Modeled_Demand]]</f>
        <v>#N/A</v>
      </c>
    </row>
    <row r="250" spans="2:30" x14ac:dyDescent="0.3">
      <c r="B250" s="3" t="str">
        <f>Table3[[#This Row],[Fiscal_Year]]*100+Table3[[#This Row],[Fiscal_Week]] &amp; "-" &amp;Table3[[#This Row],[Brand]]</f>
        <v>0-</v>
      </c>
      <c r="C250" t="str">
        <f t="shared" si="3"/>
        <v>-</v>
      </c>
      <c r="H250" s="3" t="e">
        <f>INDEX(Demand_Modeling!$A$13:$I$49,MATCH(Table3[[#This Row],[Key]],Demand_Modeling!$A$13:$A$49,0),MATCH(Table3[[#Headers],[OFC]],Demand_Modeling!$A$13:$I$13,0))</f>
        <v>#N/A</v>
      </c>
      <c r="I250" s="3" t="e">
        <f>INDEX(Demand_Modeling!$A$13:$I$49,MATCH(Table3[[#This Row],[Key]],Demand_Modeling!$A$13:$A$49,0),MATCH(Table3[[#Headers],[TFC]],Demand_Modeling!$A$13:$I$13,0))</f>
        <v>#N/A</v>
      </c>
      <c r="J250" s="3" t="e">
        <f>INDEX(Demand_Modeling!$A$13:$I$49,MATCH(Table3[[#This Row],[Key]],Demand_Modeling!$A$13:$A$49,0),MATCH(Table3[[#Headers],[WFC]],Demand_Modeling!$A$13:$I$13,0))</f>
        <v>#N/A</v>
      </c>
      <c r="K250" s="3" t="e">
        <f>INDEX(Demand_Modeling!$A$13:$I$49,MATCH(Table3[[#This Row],[Key]],Demand_Modeling!$A$13:$A$49,0),MATCH(Table3[[#Headers],[EAO]],Demand_Modeling!$A$13:$I$13,0))</f>
        <v>#N/A</v>
      </c>
      <c r="L250" s="3" t="e">
        <f>INDEX(Demand_Modeling!$A$13:$I$49,MATCH(Table3[[#This Row],[Key]],Demand_Modeling!$A$13:$A$49,0),MATCH(Table3[[#Headers],[OCC]],Demand_Modeling!$A$13:$I$13,0))</f>
        <v>#N/A</v>
      </c>
      <c r="M250" s="3" t="e">
        <f>INDEX(Demand_Modeling!$A$13:$I$49,MATCH(Table3[[#This Row],[Key]],Demand_Modeling!$A$13:$A$49,0),MATCH(Table3[[#Headers],[WEO]],Demand_Modeling!$A$13:$I$13,0))</f>
        <v>#N/A</v>
      </c>
      <c r="N250" s="19" t="e">
        <f>SUM(Table3[[#This Row],[OFC]:[WEO]])</f>
        <v>#N/A</v>
      </c>
      <c r="O250" s="19"/>
      <c r="Q250" s="3" t="str">
        <f>Table35[[#This Row],[Fiscal_Year]]*100+Table35[[#This Row],[Fiscal_Week]] &amp; "-" &amp;Table35[[#This Row],[Brand]]</f>
        <v>0-0</v>
      </c>
      <c r="R250" t="str">
        <f>Table3[[#This Row],[Key]]</f>
        <v>-</v>
      </c>
      <c r="S250">
        <f>Table3[[#This Row],[Fiscal_Year]]</f>
        <v>0</v>
      </c>
      <c r="T250">
        <f>Table3[[#This Row],[Fiscal_Week]]</f>
        <v>0</v>
      </c>
      <c r="U250">
        <f>Table3[[#This Row],[Brand]]</f>
        <v>0</v>
      </c>
      <c r="V250">
        <f>Table3[[#This Row],[Demand]]</f>
        <v>0</v>
      </c>
      <c r="W250" t="e">
        <f>Table3[[#This Row],[OFC]]*Table3[[#This Row],[Demand]]</f>
        <v>#N/A</v>
      </c>
      <c r="X250" t="e">
        <f>Table3[[#This Row],[TFC]]*Table3[[#This Row],[Demand]]</f>
        <v>#N/A</v>
      </c>
      <c r="Y250" t="e">
        <f>Table3[[#This Row],[WFC]]*Table3[[#This Row],[Demand]]</f>
        <v>#N/A</v>
      </c>
      <c r="Z250" t="e">
        <f>Table3[[#This Row],[EAO]]*Table3[[#This Row],[Demand]]</f>
        <v>#N/A</v>
      </c>
      <c r="AA250" t="e">
        <f>Table3[[#This Row],[OCC]]*Table3[[#This Row],[Demand]]</f>
        <v>#N/A</v>
      </c>
      <c r="AB250" t="e">
        <f>Table3[[#This Row],[WEO]]*Table3[[#This Row],[Demand]]</f>
        <v>#N/A</v>
      </c>
      <c r="AC250" s="19" t="e">
        <f>SUM(Table35[[#This Row],[OFC]:[WEO]])</f>
        <v>#N/A</v>
      </c>
      <c r="AD250" s="19" t="e">
        <f>Table35[[#This Row],[Demand]]-Table35[[#This Row],[Total_Modeled_Demand]]</f>
        <v>#N/A</v>
      </c>
    </row>
    <row r="251" spans="2:30" x14ac:dyDescent="0.3">
      <c r="B251" s="3" t="str">
        <f>Table3[[#This Row],[Fiscal_Year]]*100+Table3[[#This Row],[Fiscal_Week]] &amp; "-" &amp;Table3[[#This Row],[Brand]]</f>
        <v>0-</v>
      </c>
      <c r="C251" t="str">
        <f t="shared" si="3"/>
        <v>-</v>
      </c>
      <c r="H251" s="3" t="e">
        <f>INDEX(Demand_Modeling!$A$13:$I$49,MATCH(Table3[[#This Row],[Key]],Demand_Modeling!$A$13:$A$49,0),MATCH(Table3[[#Headers],[OFC]],Demand_Modeling!$A$13:$I$13,0))</f>
        <v>#N/A</v>
      </c>
      <c r="I251" s="3" t="e">
        <f>INDEX(Demand_Modeling!$A$13:$I$49,MATCH(Table3[[#This Row],[Key]],Demand_Modeling!$A$13:$A$49,0),MATCH(Table3[[#Headers],[TFC]],Demand_Modeling!$A$13:$I$13,0))</f>
        <v>#N/A</v>
      </c>
      <c r="J251" s="3" t="e">
        <f>INDEX(Demand_Modeling!$A$13:$I$49,MATCH(Table3[[#This Row],[Key]],Demand_Modeling!$A$13:$A$49,0),MATCH(Table3[[#Headers],[WFC]],Demand_Modeling!$A$13:$I$13,0))</f>
        <v>#N/A</v>
      </c>
      <c r="K251" s="3" t="e">
        <f>INDEX(Demand_Modeling!$A$13:$I$49,MATCH(Table3[[#This Row],[Key]],Demand_Modeling!$A$13:$A$49,0),MATCH(Table3[[#Headers],[EAO]],Demand_Modeling!$A$13:$I$13,0))</f>
        <v>#N/A</v>
      </c>
      <c r="L251" s="3" t="e">
        <f>INDEX(Demand_Modeling!$A$13:$I$49,MATCH(Table3[[#This Row],[Key]],Demand_Modeling!$A$13:$A$49,0),MATCH(Table3[[#Headers],[OCC]],Demand_Modeling!$A$13:$I$13,0))</f>
        <v>#N/A</v>
      </c>
      <c r="M251" s="3" t="e">
        <f>INDEX(Demand_Modeling!$A$13:$I$49,MATCH(Table3[[#This Row],[Key]],Demand_Modeling!$A$13:$A$49,0),MATCH(Table3[[#Headers],[WEO]],Demand_Modeling!$A$13:$I$13,0))</f>
        <v>#N/A</v>
      </c>
      <c r="N251" s="19" t="e">
        <f>SUM(Table3[[#This Row],[OFC]:[WEO]])</f>
        <v>#N/A</v>
      </c>
      <c r="O251" s="19"/>
      <c r="Q251" s="3" t="str">
        <f>Table35[[#This Row],[Fiscal_Year]]*100+Table35[[#This Row],[Fiscal_Week]] &amp; "-" &amp;Table35[[#This Row],[Brand]]</f>
        <v>0-0</v>
      </c>
      <c r="R251" t="str">
        <f>Table3[[#This Row],[Key]]</f>
        <v>-</v>
      </c>
      <c r="S251">
        <f>Table3[[#This Row],[Fiscal_Year]]</f>
        <v>0</v>
      </c>
      <c r="T251">
        <f>Table3[[#This Row],[Fiscal_Week]]</f>
        <v>0</v>
      </c>
      <c r="U251">
        <f>Table3[[#This Row],[Brand]]</f>
        <v>0</v>
      </c>
      <c r="V251">
        <f>Table3[[#This Row],[Demand]]</f>
        <v>0</v>
      </c>
      <c r="W251" t="e">
        <f>Table3[[#This Row],[OFC]]*Table3[[#This Row],[Demand]]</f>
        <v>#N/A</v>
      </c>
      <c r="X251" t="e">
        <f>Table3[[#This Row],[TFC]]*Table3[[#This Row],[Demand]]</f>
        <v>#N/A</v>
      </c>
      <c r="Y251" t="e">
        <f>Table3[[#This Row],[WFC]]*Table3[[#This Row],[Demand]]</f>
        <v>#N/A</v>
      </c>
      <c r="Z251" t="e">
        <f>Table3[[#This Row],[EAO]]*Table3[[#This Row],[Demand]]</f>
        <v>#N/A</v>
      </c>
      <c r="AA251" t="e">
        <f>Table3[[#This Row],[OCC]]*Table3[[#This Row],[Demand]]</f>
        <v>#N/A</v>
      </c>
      <c r="AB251" t="e">
        <f>Table3[[#This Row],[WEO]]*Table3[[#This Row],[Demand]]</f>
        <v>#N/A</v>
      </c>
      <c r="AC251" s="19" t="e">
        <f>SUM(Table35[[#This Row],[OFC]:[WEO]])</f>
        <v>#N/A</v>
      </c>
      <c r="AD251" s="19" t="e">
        <f>Table35[[#This Row],[Demand]]-Table35[[#This Row],[Total_Modeled_Demand]]</f>
        <v>#N/A</v>
      </c>
    </row>
    <row r="252" spans="2:30" x14ac:dyDescent="0.3">
      <c r="B252" s="3" t="str">
        <f>Table3[[#This Row],[Fiscal_Year]]*100+Table3[[#This Row],[Fiscal_Week]] &amp; "-" &amp;Table3[[#This Row],[Brand]]</f>
        <v>0-</v>
      </c>
      <c r="C252" t="str">
        <f t="shared" si="3"/>
        <v>-</v>
      </c>
      <c r="H252" s="3" t="e">
        <f>INDEX(Demand_Modeling!$A$13:$I$49,MATCH(Table3[[#This Row],[Key]],Demand_Modeling!$A$13:$A$49,0),MATCH(Table3[[#Headers],[OFC]],Demand_Modeling!$A$13:$I$13,0))</f>
        <v>#N/A</v>
      </c>
      <c r="I252" s="3" t="e">
        <f>INDEX(Demand_Modeling!$A$13:$I$49,MATCH(Table3[[#This Row],[Key]],Demand_Modeling!$A$13:$A$49,0),MATCH(Table3[[#Headers],[TFC]],Demand_Modeling!$A$13:$I$13,0))</f>
        <v>#N/A</v>
      </c>
      <c r="J252" s="3" t="e">
        <f>INDEX(Demand_Modeling!$A$13:$I$49,MATCH(Table3[[#This Row],[Key]],Demand_Modeling!$A$13:$A$49,0),MATCH(Table3[[#Headers],[WFC]],Demand_Modeling!$A$13:$I$13,0))</f>
        <v>#N/A</v>
      </c>
      <c r="K252" s="3" t="e">
        <f>INDEX(Demand_Modeling!$A$13:$I$49,MATCH(Table3[[#This Row],[Key]],Demand_Modeling!$A$13:$A$49,0),MATCH(Table3[[#Headers],[EAO]],Demand_Modeling!$A$13:$I$13,0))</f>
        <v>#N/A</v>
      </c>
      <c r="L252" s="3" t="e">
        <f>INDEX(Demand_Modeling!$A$13:$I$49,MATCH(Table3[[#This Row],[Key]],Demand_Modeling!$A$13:$A$49,0),MATCH(Table3[[#Headers],[OCC]],Demand_Modeling!$A$13:$I$13,0))</f>
        <v>#N/A</v>
      </c>
      <c r="M252" s="3" t="e">
        <f>INDEX(Demand_Modeling!$A$13:$I$49,MATCH(Table3[[#This Row],[Key]],Demand_Modeling!$A$13:$A$49,0),MATCH(Table3[[#Headers],[WEO]],Demand_Modeling!$A$13:$I$13,0))</f>
        <v>#N/A</v>
      </c>
      <c r="N252" s="19" t="e">
        <f>SUM(Table3[[#This Row],[OFC]:[WEO]])</f>
        <v>#N/A</v>
      </c>
      <c r="O252" s="19"/>
      <c r="Q252" s="3" t="str">
        <f>Table35[[#This Row],[Fiscal_Year]]*100+Table35[[#This Row],[Fiscal_Week]] &amp; "-" &amp;Table35[[#This Row],[Brand]]</f>
        <v>0-0</v>
      </c>
      <c r="R252" t="str">
        <f>Table3[[#This Row],[Key]]</f>
        <v>-</v>
      </c>
      <c r="S252">
        <f>Table3[[#This Row],[Fiscal_Year]]</f>
        <v>0</v>
      </c>
      <c r="T252">
        <f>Table3[[#This Row],[Fiscal_Week]]</f>
        <v>0</v>
      </c>
      <c r="U252">
        <f>Table3[[#This Row],[Brand]]</f>
        <v>0</v>
      </c>
      <c r="V252">
        <f>Table3[[#This Row],[Demand]]</f>
        <v>0</v>
      </c>
      <c r="W252" t="e">
        <f>Table3[[#This Row],[OFC]]*Table3[[#This Row],[Demand]]</f>
        <v>#N/A</v>
      </c>
      <c r="X252" t="e">
        <f>Table3[[#This Row],[TFC]]*Table3[[#This Row],[Demand]]</f>
        <v>#N/A</v>
      </c>
      <c r="Y252" t="e">
        <f>Table3[[#This Row],[WFC]]*Table3[[#This Row],[Demand]]</f>
        <v>#N/A</v>
      </c>
      <c r="Z252" t="e">
        <f>Table3[[#This Row],[EAO]]*Table3[[#This Row],[Demand]]</f>
        <v>#N/A</v>
      </c>
      <c r="AA252" t="e">
        <f>Table3[[#This Row],[OCC]]*Table3[[#This Row],[Demand]]</f>
        <v>#N/A</v>
      </c>
      <c r="AB252" t="e">
        <f>Table3[[#This Row],[WEO]]*Table3[[#This Row],[Demand]]</f>
        <v>#N/A</v>
      </c>
      <c r="AC252" s="19" t="e">
        <f>SUM(Table35[[#This Row],[OFC]:[WEO]])</f>
        <v>#N/A</v>
      </c>
      <c r="AD252" s="19" t="e">
        <f>Table35[[#This Row],[Demand]]-Table35[[#This Row],[Total_Modeled_Demand]]</f>
        <v>#N/A</v>
      </c>
    </row>
    <row r="253" spans="2:30" x14ac:dyDescent="0.3">
      <c r="B253" s="3" t="str">
        <f>Table3[[#This Row],[Fiscal_Year]]*100+Table3[[#This Row],[Fiscal_Week]] &amp; "-" &amp;Table3[[#This Row],[Brand]]</f>
        <v>0-</v>
      </c>
      <c r="C253" t="str">
        <f t="shared" si="3"/>
        <v>-</v>
      </c>
      <c r="H253" s="3" t="e">
        <f>INDEX(Demand_Modeling!$A$13:$I$49,MATCH(Table3[[#This Row],[Key]],Demand_Modeling!$A$13:$A$49,0),MATCH(Table3[[#Headers],[OFC]],Demand_Modeling!$A$13:$I$13,0))</f>
        <v>#N/A</v>
      </c>
      <c r="I253" s="3" t="e">
        <f>INDEX(Demand_Modeling!$A$13:$I$49,MATCH(Table3[[#This Row],[Key]],Demand_Modeling!$A$13:$A$49,0),MATCH(Table3[[#Headers],[TFC]],Demand_Modeling!$A$13:$I$13,0))</f>
        <v>#N/A</v>
      </c>
      <c r="J253" s="3" t="e">
        <f>INDEX(Demand_Modeling!$A$13:$I$49,MATCH(Table3[[#This Row],[Key]],Demand_Modeling!$A$13:$A$49,0),MATCH(Table3[[#Headers],[WFC]],Demand_Modeling!$A$13:$I$13,0))</f>
        <v>#N/A</v>
      </c>
      <c r="K253" s="3" t="e">
        <f>INDEX(Demand_Modeling!$A$13:$I$49,MATCH(Table3[[#This Row],[Key]],Demand_Modeling!$A$13:$A$49,0),MATCH(Table3[[#Headers],[EAO]],Demand_Modeling!$A$13:$I$13,0))</f>
        <v>#N/A</v>
      </c>
      <c r="L253" s="3" t="e">
        <f>INDEX(Demand_Modeling!$A$13:$I$49,MATCH(Table3[[#This Row],[Key]],Demand_Modeling!$A$13:$A$49,0),MATCH(Table3[[#Headers],[OCC]],Demand_Modeling!$A$13:$I$13,0))</f>
        <v>#N/A</v>
      </c>
      <c r="M253" s="3" t="e">
        <f>INDEX(Demand_Modeling!$A$13:$I$49,MATCH(Table3[[#This Row],[Key]],Demand_Modeling!$A$13:$A$49,0),MATCH(Table3[[#Headers],[WEO]],Demand_Modeling!$A$13:$I$13,0))</f>
        <v>#N/A</v>
      </c>
      <c r="N253" s="19" t="e">
        <f>SUM(Table3[[#This Row],[OFC]:[WEO]])</f>
        <v>#N/A</v>
      </c>
      <c r="O253" s="19"/>
      <c r="Q253" s="3" t="str">
        <f>Table35[[#This Row],[Fiscal_Year]]*100+Table35[[#This Row],[Fiscal_Week]] &amp; "-" &amp;Table35[[#This Row],[Brand]]</f>
        <v>0-0</v>
      </c>
      <c r="R253" t="str">
        <f>Table3[[#This Row],[Key]]</f>
        <v>-</v>
      </c>
      <c r="S253">
        <f>Table3[[#This Row],[Fiscal_Year]]</f>
        <v>0</v>
      </c>
      <c r="T253">
        <f>Table3[[#This Row],[Fiscal_Week]]</f>
        <v>0</v>
      </c>
      <c r="U253">
        <f>Table3[[#This Row],[Brand]]</f>
        <v>0</v>
      </c>
      <c r="V253">
        <f>Table3[[#This Row],[Demand]]</f>
        <v>0</v>
      </c>
      <c r="W253" t="e">
        <f>Table3[[#This Row],[OFC]]*Table3[[#This Row],[Demand]]</f>
        <v>#N/A</v>
      </c>
      <c r="X253" t="e">
        <f>Table3[[#This Row],[TFC]]*Table3[[#This Row],[Demand]]</f>
        <v>#N/A</v>
      </c>
      <c r="Y253" t="e">
        <f>Table3[[#This Row],[WFC]]*Table3[[#This Row],[Demand]]</f>
        <v>#N/A</v>
      </c>
      <c r="Z253" t="e">
        <f>Table3[[#This Row],[EAO]]*Table3[[#This Row],[Demand]]</f>
        <v>#N/A</v>
      </c>
      <c r="AA253" t="e">
        <f>Table3[[#This Row],[OCC]]*Table3[[#This Row],[Demand]]</f>
        <v>#N/A</v>
      </c>
      <c r="AB253" t="e">
        <f>Table3[[#This Row],[WEO]]*Table3[[#This Row],[Demand]]</f>
        <v>#N/A</v>
      </c>
      <c r="AC253" s="19" t="e">
        <f>SUM(Table35[[#This Row],[OFC]:[WEO]])</f>
        <v>#N/A</v>
      </c>
      <c r="AD253" s="19" t="e">
        <f>Table35[[#This Row],[Demand]]-Table35[[#This Row],[Total_Modeled_Demand]]</f>
        <v>#N/A</v>
      </c>
    </row>
    <row r="254" spans="2:30" x14ac:dyDescent="0.3">
      <c r="B254" s="3" t="str">
        <f>Table3[[#This Row],[Fiscal_Year]]*100+Table3[[#This Row],[Fiscal_Week]] &amp; "-" &amp;Table3[[#This Row],[Brand]]</f>
        <v>0-</v>
      </c>
      <c r="C254" t="str">
        <f t="shared" si="3"/>
        <v>-</v>
      </c>
      <c r="H254" s="3" t="e">
        <f>INDEX(Demand_Modeling!$A$13:$I$49,MATCH(Table3[[#This Row],[Key]],Demand_Modeling!$A$13:$A$49,0),MATCH(Table3[[#Headers],[OFC]],Demand_Modeling!$A$13:$I$13,0))</f>
        <v>#N/A</v>
      </c>
      <c r="I254" s="3" t="e">
        <f>INDEX(Demand_Modeling!$A$13:$I$49,MATCH(Table3[[#This Row],[Key]],Demand_Modeling!$A$13:$A$49,0),MATCH(Table3[[#Headers],[TFC]],Demand_Modeling!$A$13:$I$13,0))</f>
        <v>#N/A</v>
      </c>
      <c r="J254" s="3" t="e">
        <f>INDEX(Demand_Modeling!$A$13:$I$49,MATCH(Table3[[#This Row],[Key]],Demand_Modeling!$A$13:$A$49,0),MATCH(Table3[[#Headers],[WFC]],Demand_Modeling!$A$13:$I$13,0))</f>
        <v>#N/A</v>
      </c>
      <c r="K254" s="3" t="e">
        <f>INDEX(Demand_Modeling!$A$13:$I$49,MATCH(Table3[[#This Row],[Key]],Demand_Modeling!$A$13:$A$49,0),MATCH(Table3[[#Headers],[EAO]],Demand_Modeling!$A$13:$I$13,0))</f>
        <v>#N/A</v>
      </c>
      <c r="L254" s="3" t="e">
        <f>INDEX(Demand_Modeling!$A$13:$I$49,MATCH(Table3[[#This Row],[Key]],Demand_Modeling!$A$13:$A$49,0),MATCH(Table3[[#Headers],[OCC]],Demand_Modeling!$A$13:$I$13,0))</f>
        <v>#N/A</v>
      </c>
      <c r="M254" s="3" t="e">
        <f>INDEX(Demand_Modeling!$A$13:$I$49,MATCH(Table3[[#This Row],[Key]],Demand_Modeling!$A$13:$A$49,0),MATCH(Table3[[#Headers],[WEO]],Demand_Modeling!$A$13:$I$13,0))</f>
        <v>#N/A</v>
      </c>
      <c r="N254" s="19" t="e">
        <f>SUM(Table3[[#This Row],[OFC]:[WEO]])</f>
        <v>#N/A</v>
      </c>
      <c r="O254" s="19"/>
      <c r="Q254" s="3" t="str">
        <f>Table35[[#This Row],[Fiscal_Year]]*100+Table35[[#This Row],[Fiscal_Week]] &amp; "-" &amp;Table35[[#This Row],[Brand]]</f>
        <v>0-0</v>
      </c>
      <c r="R254" t="str">
        <f>Table3[[#This Row],[Key]]</f>
        <v>-</v>
      </c>
      <c r="S254">
        <f>Table3[[#This Row],[Fiscal_Year]]</f>
        <v>0</v>
      </c>
      <c r="T254">
        <f>Table3[[#This Row],[Fiscal_Week]]</f>
        <v>0</v>
      </c>
      <c r="U254">
        <f>Table3[[#This Row],[Brand]]</f>
        <v>0</v>
      </c>
      <c r="V254">
        <f>Table3[[#This Row],[Demand]]</f>
        <v>0</v>
      </c>
      <c r="W254" t="e">
        <f>Table3[[#This Row],[OFC]]*Table3[[#This Row],[Demand]]</f>
        <v>#N/A</v>
      </c>
      <c r="X254" t="e">
        <f>Table3[[#This Row],[TFC]]*Table3[[#This Row],[Demand]]</f>
        <v>#N/A</v>
      </c>
      <c r="Y254" t="e">
        <f>Table3[[#This Row],[WFC]]*Table3[[#This Row],[Demand]]</f>
        <v>#N/A</v>
      </c>
      <c r="Z254" t="e">
        <f>Table3[[#This Row],[EAO]]*Table3[[#This Row],[Demand]]</f>
        <v>#N/A</v>
      </c>
      <c r="AA254" t="e">
        <f>Table3[[#This Row],[OCC]]*Table3[[#This Row],[Demand]]</f>
        <v>#N/A</v>
      </c>
      <c r="AB254" t="e">
        <f>Table3[[#This Row],[WEO]]*Table3[[#This Row],[Demand]]</f>
        <v>#N/A</v>
      </c>
      <c r="AC254" s="19" t="e">
        <f>SUM(Table35[[#This Row],[OFC]:[WEO]])</f>
        <v>#N/A</v>
      </c>
      <c r="AD254" s="19" t="e">
        <f>Table35[[#This Row],[Demand]]-Table35[[#This Row],[Total_Modeled_Demand]]</f>
        <v>#N/A</v>
      </c>
    </row>
    <row r="255" spans="2:30" x14ac:dyDescent="0.3">
      <c r="B255" s="3" t="str">
        <f>Table3[[#This Row],[Fiscal_Year]]*100+Table3[[#This Row],[Fiscal_Week]] &amp; "-" &amp;Table3[[#This Row],[Brand]]</f>
        <v>0-</v>
      </c>
      <c r="C255" t="str">
        <f t="shared" si="3"/>
        <v>-</v>
      </c>
      <c r="H255" s="3" t="e">
        <f>INDEX(Demand_Modeling!$A$13:$I$49,MATCH(Table3[[#This Row],[Key]],Demand_Modeling!$A$13:$A$49,0),MATCH(Table3[[#Headers],[OFC]],Demand_Modeling!$A$13:$I$13,0))</f>
        <v>#N/A</v>
      </c>
      <c r="I255" s="3" t="e">
        <f>INDEX(Demand_Modeling!$A$13:$I$49,MATCH(Table3[[#This Row],[Key]],Demand_Modeling!$A$13:$A$49,0),MATCH(Table3[[#Headers],[TFC]],Demand_Modeling!$A$13:$I$13,0))</f>
        <v>#N/A</v>
      </c>
      <c r="J255" s="3" t="e">
        <f>INDEX(Demand_Modeling!$A$13:$I$49,MATCH(Table3[[#This Row],[Key]],Demand_Modeling!$A$13:$A$49,0),MATCH(Table3[[#Headers],[WFC]],Demand_Modeling!$A$13:$I$13,0))</f>
        <v>#N/A</v>
      </c>
      <c r="K255" s="3" t="e">
        <f>INDEX(Demand_Modeling!$A$13:$I$49,MATCH(Table3[[#This Row],[Key]],Demand_Modeling!$A$13:$A$49,0),MATCH(Table3[[#Headers],[EAO]],Demand_Modeling!$A$13:$I$13,0))</f>
        <v>#N/A</v>
      </c>
      <c r="L255" s="3" t="e">
        <f>INDEX(Demand_Modeling!$A$13:$I$49,MATCH(Table3[[#This Row],[Key]],Demand_Modeling!$A$13:$A$49,0),MATCH(Table3[[#Headers],[OCC]],Demand_Modeling!$A$13:$I$13,0))</f>
        <v>#N/A</v>
      </c>
      <c r="M255" s="3" t="e">
        <f>INDEX(Demand_Modeling!$A$13:$I$49,MATCH(Table3[[#This Row],[Key]],Demand_Modeling!$A$13:$A$49,0),MATCH(Table3[[#Headers],[WEO]],Demand_Modeling!$A$13:$I$13,0))</f>
        <v>#N/A</v>
      </c>
      <c r="N255" s="19" t="e">
        <f>SUM(Table3[[#This Row],[OFC]:[WEO]])</f>
        <v>#N/A</v>
      </c>
      <c r="O255" s="19"/>
      <c r="Q255" s="3" t="str">
        <f>Table35[[#This Row],[Fiscal_Year]]*100+Table35[[#This Row],[Fiscal_Week]] &amp; "-" &amp;Table35[[#This Row],[Brand]]</f>
        <v>0-0</v>
      </c>
      <c r="R255" t="str">
        <f>Table3[[#This Row],[Key]]</f>
        <v>-</v>
      </c>
      <c r="S255">
        <f>Table3[[#This Row],[Fiscal_Year]]</f>
        <v>0</v>
      </c>
      <c r="T255">
        <f>Table3[[#This Row],[Fiscal_Week]]</f>
        <v>0</v>
      </c>
      <c r="U255">
        <f>Table3[[#This Row],[Brand]]</f>
        <v>0</v>
      </c>
      <c r="V255">
        <f>Table3[[#This Row],[Demand]]</f>
        <v>0</v>
      </c>
      <c r="W255" t="e">
        <f>Table3[[#This Row],[OFC]]*Table3[[#This Row],[Demand]]</f>
        <v>#N/A</v>
      </c>
      <c r="X255" t="e">
        <f>Table3[[#This Row],[TFC]]*Table3[[#This Row],[Demand]]</f>
        <v>#N/A</v>
      </c>
      <c r="Y255" t="e">
        <f>Table3[[#This Row],[WFC]]*Table3[[#This Row],[Demand]]</f>
        <v>#N/A</v>
      </c>
      <c r="Z255" t="e">
        <f>Table3[[#This Row],[EAO]]*Table3[[#This Row],[Demand]]</f>
        <v>#N/A</v>
      </c>
      <c r="AA255" t="e">
        <f>Table3[[#This Row],[OCC]]*Table3[[#This Row],[Demand]]</f>
        <v>#N/A</v>
      </c>
      <c r="AB255" t="e">
        <f>Table3[[#This Row],[WEO]]*Table3[[#This Row],[Demand]]</f>
        <v>#N/A</v>
      </c>
      <c r="AC255" s="19" t="e">
        <f>SUM(Table35[[#This Row],[OFC]:[WEO]])</f>
        <v>#N/A</v>
      </c>
      <c r="AD255" s="19" t="e">
        <f>Table35[[#This Row],[Demand]]-Table35[[#This Row],[Total_Modeled_Demand]]</f>
        <v>#N/A</v>
      </c>
    </row>
    <row r="256" spans="2:30" x14ac:dyDescent="0.3">
      <c r="B256" s="3" t="str">
        <f>Table3[[#This Row],[Fiscal_Year]]*100+Table3[[#This Row],[Fiscal_Week]] &amp; "-" &amp;Table3[[#This Row],[Brand]]</f>
        <v>0-</v>
      </c>
      <c r="C256" t="str">
        <f t="shared" si="3"/>
        <v>-</v>
      </c>
      <c r="H256" s="3" t="e">
        <f>INDEX(Demand_Modeling!$A$13:$I$49,MATCH(Table3[[#This Row],[Key]],Demand_Modeling!$A$13:$A$49,0),MATCH(Table3[[#Headers],[OFC]],Demand_Modeling!$A$13:$I$13,0))</f>
        <v>#N/A</v>
      </c>
      <c r="I256" s="3" t="e">
        <f>INDEX(Demand_Modeling!$A$13:$I$49,MATCH(Table3[[#This Row],[Key]],Demand_Modeling!$A$13:$A$49,0),MATCH(Table3[[#Headers],[TFC]],Demand_Modeling!$A$13:$I$13,0))</f>
        <v>#N/A</v>
      </c>
      <c r="J256" s="3" t="e">
        <f>INDEX(Demand_Modeling!$A$13:$I$49,MATCH(Table3[[#This Row],[Key]],Demand_Modeling!$A$13:$A$49,0),MATCH(Table3[[#Headers],[WFC]],Demand_Modeling!$A$13:$I$13,0))</f>
        <v>#N/A</v>
      </c>
      <c r="K256" s="3" t="e">
        <f>INDEX(Demand_Modeling!$A$13:$I$49,MATCH(Table3[[#This Row],[Key]],Demand_Modeling!$A$13:$A$49,0),MATCH(Table3[[#Headers],[EAO]],Demand_Modeling!$A$13:$I$13,0))</f>
        <v>#N/A</v>
      </c>
      <c r="L256" s="3" t="e">
        <f>INDEX(Demand_Modeling!$A$13:$I$49,MATCH(Table3[[#This Row],[Key]],Demand_Modeling!$A$13:$A$49,0),MATCH(Table3[[#Headers],[OCC]],Demand_Modeling!$A$13:$I$13,0))</f>
        <v>#N/A</v>
      </c>
      <c r="M256" s="3" t="e">
        <f>INDEX(Demand_Modeling!$A$13:$I$49,MATCH(Table3[[#This Row],[Key]],Demand_Modeling!$A$13:$A$49,0),MATCH(Table3[[#Headers],[WEO]],Demand_Modeling!$A$13:$I$13,0))</f>
        <v>#N/A</v>
      </c>
      <c r="N256" s="19" t="e">
        <f>SUM(Table3[[#This Row],[OFC]:[WEO]])</f>
        <v>#N/A</v>
      </c>
      <c r="O256" s="19"/>
      <c r="Q256" s="3" t="str">
        <f>Table35[[#This Row],[Fiscal_Year]]*100+Table35[[#This Row],[Fiscal_Week]] &amp; "-" &amp;Table35[[#This Row],[Brand]]</f>
        <v>0-0</v>
      </c>
      <c r="R256" t="str">
        <f>Table3[[#This Row],[Key]]</f>
        <v>-</v>
      </c>
      <c r="S256">
        <f>Table3[[#This Row],[Fiscal_Year]]</f>
        <v>0</v>
      </c>
      <c r="T256">
        <f>Table3[[#This Row],[Fiscal_Week]]</f>
        <v>0</v>
      </c>
      <c r="U256">
        <f>Table3[[#This Row],[Brand]]</f>
        <v>0</v>
      </c>
      <c r="V256">
        <f>Table3[[#This Row],[Demand]]</f>
        <v>0</v>
      </c>
      <c r="W256" t="e">
        <f>Table3[[#This Row],[OFC]]*Table3[[#This Row],[Demand]]</f>
        <v>#N/A</v>
      </c>
      <c r="X256" t="e">
        <f>Table3[[#This Row],[TFC]]*Table3[[#This Row],[Demand]]</f>
        <v>#N/A</v>
      </c>
      <c r="Y256" t="e">
        <f>Table3[[#This Row],[WFC]]*Table3[[#This Row],[Demand]]</f>
        <v>#N/A</v>
      </c>
      <c r="Z256" t="e">
        <f>Table3[[#This Row],[EAO]]*Table3[[#This Row],[Demand]]</f>
        <v>#N/A</v>
      </c>
      <c r="AA256" t="e">
        <f>Table3[[#This Row],[OCC]]*Table3[[#This Row],[Demand]]</f>
        <v>#N/A</v>
      </c>
      <c r="AB256" t="e">
        <f>Table3[[#This Row],[WEO]]*Table3[[#This Row],[Demand]]</f>
        <v>#N/A</v>
      </c>
      <c r="AC256" s="19" t="e">
        <f>SUM(Table35[[#This Row],[OFC]:[WEO]])</f>
        <v>#N/A</v>
      </c>
      <c r="AD256" s="19" t="e">
        <f>Table35[[#This Row],[Demand]]-Table35[[#This Row],[Total_Modeled_Demand]]</f>
        <v>#N/A</v>
      </c>
    </row>
    <row r="257" spans="2:30" x14ac:dyDescent="0.3">
      <c r="B257" s="3" t="str">
        <f>Table3[[#This Row],[Fiscal_Year]]*100+Table3[[#This Row],[Fiscal_Week]] &amp; "-" &amp;Table3[[#This Row],[Brand]]</f>
        <v>0-</v>
      </c>
      <c r="C257" t="str">
        <f t="shared" si="3"/>
        <v>-</v>
      </c>
      <c r="H257" s="3" t="e">
        <f>INDEX(Demand_Modeling!$A$13:$I$49,MATCH(Table3[[#This Row],[Key]],Demand_Modeling!$A$13:$A$49,0),MATCH(Table3[[#Headers],[OFC]],Demand_Modeling!$A$13:$I$13,0))</f>
        <v>#N/A</v>
      </c>
      <c r="I257" s="3" t="e">
        <f>INDEX(Demand_Modeling!$A$13:$I$49,MATCH(Table3[[#This Row],[Key]],Demand_Modeling!$A$13:$A$49,0),MATCH(Table3[[#Headers],[TFC]],Demand_Modeling!$A$13:$I$13,0))</f>
        <v>#N/A</v>
      </c>
      <c r="J257" s="3" t="e">
        <f>INDEX(Demand_Modeling!$A$13:$I$49,MATCH(Table3[[#This Row],[Key]],Demand_Modeling!$A$13:$A$49,0),MATCH(Table3[[#Headers],[WFC]],Demand_Modeling!$A$13:$I$13,0))</f>
        <v>#N/A</v>
      </c>
      <c r="K257" s="3" t="e">
        <f>INDEX(Demand_Modeling!$A$13:$I$49,MATCH(Table3[[#This Row],[Key]],Demand_Modeling!$A$13:$A$49,0),MATCH(Table3[[#Headers],[EAO]],Demand_Modeling!$A$13:$I$13,0))</f>
        <v>#N/A</v>
      </c>
      <c r="L257" s="3" t="e">
        <f>INDEX(Demand_Modeling!$A$13:$I$49,MATCH(Table3[[#This Row],[Key]],Demand_Modeling!$A$13:$A$49,0),MATCH(Table3[[#Headers],[OCC]],Demand_Modeling!$A$13:$I$13,0))</f>
        <v>#N/A</v>
      </c>
      <c r="M257" s="3" t="e">
        <f>INDEX(Demand_Modeling!$A$13:$I$49,MATCH(Table3[[#This Row],[Key]],Demand_Modeling!$A$13:$A$49,0),MATCH(Table3[[#Headers],[WEO]],Demand_Modeling!$A$13:$I$13,0))</f>
        <v>#N/A</v>
      </c>
      <c r="N257" s="19" t="e">
        <f>SUM(Table3[[#This Row],[OFC]:[WEO]])</f>
        <v>#N/A</v>
      </c>
      <c r="O257" s="19"/>
      <c r="Q257" s="3" t="str">
        <f>Table35[[#This Row],[Fiscal_Year]]*100+Table35[[#This Row],[Fiscal_Week]] &amp; "-" &amp;Table35[[#This Row],[Brand]]</f>
        <v>0-0</v>
      </c>
      <c r="R257" t="str">
        <f>Table3[[#This Row],[Key]]</f>
        <v>-</v>
      </c>
      <c r="S257">
        <f>Table3[[#This Row],[Fiscal_Year]]</f>
        <v>0</v>
      </c>
      <c r="T257">
        <f>Table3[[#This Row],[Fiscal_Week]]</f>
        <v>0</v>
      </c>
      <c r="U257">
        <f>Table3[[#This Row],[Brand]]</f>
        <v>0</v>
      </c>
      <c r="V257">
        <f>Table3[[#This Row],[Demand]]</f>
        <v>0</v>
      </c>
      <c r="W257" t="e">
        <f>Table3[[#This Row],[OFC]]*Table3[[#This Row],[Demand]]</f>
        <v>#N/A</v>
      </c>
      <c r="X257" t="e">
        <f>Table3[[#This Row],[TFC]]*Table3[[#This Row],[Demand]]</f>
        <v>#N/A</v>
      </c>
      <c r="Y257" t="e">
        <f>Table3[[#This Row],[WFC]]*Table3[[#This Row],[Demand]]</f>
        <v>#N/A</v>
      </c>
      <c r="Z257" t="e">
        <f>Table3[[#This Row],[EAO]]*Table3[[#This Row],[Demand]]</f>
        <v>#N/A</v>
      </c>
      <c r="AA257" t="e">
        <f>Table3[[#This Row],[OCC]]*Table3[[#This Row],[Demand]]</f>
        <v>#N/A</v>
      </c>
      <c r="AB257" t="e">
        <f>Table3[[#This Row],[WEO]]*Table3[[#This Row],[Demand]]</f>
        <v>#N/A</v>
      </c>
      <c r="AC257" s="19" t="e">
        <f>SUM(Table35[[#This Row],[OFC]:[WEO]])</f>
        <v>#N/A</v>
      </c>
      <c r="AD257" s="19" t="e">
        <f>Table35[[#This Row],[Demand]]-Table35[[#This Row],[Total_Modeled_Demand]]</f>
        <v>#N/A</v>
      </c>
    </row>
    <row r="258" spans="2:30" x14ac:dyDescent="0.3">
      <c r="B258" s="3" t="str">
        <f>Table3[[#This Row],[Fiscal_Year]]*100+Table3[[#This Row],[Fiscal_Week]] &amp; "-" &amp;Table3[[#This Row],[Brand]]</f>
        <v>0-</v>
      </c>
      <c r="C258" t="str">
        <f t="shared" si="3"/>
        <v>-</v>
      </c>
      <c r="H258" s="3" t="e">
        <f>INDEX(Demand_Modeling!$A$13:$I$49,MATCH(Table3[[#This Row],[Key]],Demand_Modeling!$A$13:$A$49,0),MATCH(Table3[[#Headers],[OFC]],Demand_Modeling!$A$13:$I$13,0))</f>
        <v>#N/A</v>
      </c>
      <c r="I258" s="3" t="e">
        <f>INDEX(Demand_Modeling!$A$13:$I$49,MATCH(Table3[[#This Row],[Key]],Demand_Modeling!$A$13:$A$49,0),MATCH(Table3[[#Headers],[TFC]],Demand_Modeling!$A$13:$I$13,0))</f>
        <v>#N/A</v>
      </c>
      <c r="J258" s="3" t="e">
        <f>INDEX(Demand_Modeling!$A$13:$I$49,MATCH(Table3[[#This Row],[Key]],Demand_Modeling!$A$13:$A$49,0),MATCH(Table3[[#Headers],[WFC]],Demand_Modeling!$A$13:$I$13,0))</f>
        <v>#N/A</v>
      </c>
      <c r="K258" s="3" t="e">
        <f>INDEX(Demand_Modeling!$A$13:$I$49,MATCH(Table3[[#This Row],[Key]],Demand_Modeling!$A$13:$A$49,0),MATCH(Table3[[#Headers],[EAO]],Demand_Modeling!$A$13:$I$13,0))</f>
        <v>#N/A</v>
      </c>
      <c r="L258" s="3" t="e">
        <f>INDEX(Demand_Modeling!$A$13:$I$49,MATCH(Table3[[#This Row],[Key]],Demand_Modeling!$A$13:$A$49,0),MATCH(Table3[[#Headers],[OCC]],Demand_Modeling!$A$13:$I$13,0))</f>
        <v>#N/A</v>
      </c>
      <c r="M258" s="3" t="e">
        <f>INDEX(Demand_Modeling!$A$13:$I$49,MATCH(Table3[[#This Row],[Key]],Demand_Modeling!$A$13:$A$49,0),MATCH(Table3[[#Headers],[WEO]],Demand_Modeling!$A$13:$I$13,0))</f>
        <v>#N/A</v>
      </c>
      <c r="N258" s="19" t="e">
        <f>SUM(Table3[[#This Row],[OFC]:[WEO]])</f>
        <v>#N/A</v>
      </c>
      <c r="O258" s="19"/>
      <c r="Q258" s="3" t="str">
        <f>Table35[[#This Row],[Fiscal_Year]]*100+Table35[[#This Row],[Fiscal_Week]] &amp; "-" &amp;Table35[[#This Row],[Brand]]</f>
        <v>0-0</v>
      </c>
      <c r="R258" t="str">
        <f>Table3[[#This Row],[Key]]</f>
        <v>-</v>
      </c>
      <c r="S258">
        <f>Table3[[#This Row],[Fiscal_Year]]</f>
        <v>0</v>
      </c>
      <c r="T258">
        <f>Table3[[#This Row],[Fiscal_Week]]</f>
        <v>0</v>
      </c>
      <c r="U258">
        <f>Table3[[#This Row],[Brand]]</f>
        <v>0</v>
      </c>
      <c r="V258">
        <f>Table3[[#This Row],[Demand]]</f>
        <v>0</v>
      </c>
      <c r="W258" t="e">
        <f>Table3[[#This Row],[OFC]]*Table3[[#This Row],[Demand]]</f>
        <v>#N/A</v>
      </c>
      <c r="X258" t="e">
        <f>Table3[[#This Row],[TFC]]*Table3[[#This Row],[Demand]]</f>
        <v>#N/A</v>
      </c>
      <c r="Y258" t="e">
        <f>Table3[[#This Row],[WFC]]*Table3[[#This Row],[Demand]]</f>
        <v>#N/A</v>
      </c>
      <c r="Z258" t="e">
        <f>Table3[[#This Row],[EAO]]*Table3[[#This Row],[Demand]]</f>
        <v>#N/A</v>
      </c>
      <c r="AA258" t="e">
        <f>Table3[[#This Row],[OCC]]*Table3[[#This Row],[Demand]]</f>
        <v>#N/A</v>
      </c>
      <c r="AB258" t="e">
        <f>Table3[[#This Row],[WEO]]*Table3[[#This Row],[Demand]]</f>
        <v>#N/A</v>
      </c>
      <c r="AC258" s="19" t="e">
        <f>SUM(Table35[[#This Row],[OFC]:[WEO]])</f>
        <v>#N/A</v>
      </c>
      <c r="AD258" s="19" t="e">
        <f>Table35[[#This Row],[Demand]]-Table35[[#This Row],[Total_Modeled_Demand]]</f>
        <v>#N/A</v>
      </c>
    </row>
    <row r="259" spans="2:30" x14ac:dyDescent="0.3">
      <c r="B259" s="3" t="str">
        <f>Table3[[#This Row],[Fiscal_Year]]*100+Table3[[#This Row],[Fiscal_Week]] &amp; "-" &amp;Table3[[#This Row],[Brand]]</f>
        <v>0-</v>
      </c>
      <c r="C259" t="str">
        <f t="shared" si="3"/>
        <v>-</v>
      </c>
      <c r="H259" s="3" t="e">
        <f>INDEX(Demand_Modeling!$A$13:$I$49,MATCH(Table3[[#This Row],[Key]],Demand_Modeling!$A$13:$A$49,0),MATCH(Table3[[#Headers],[OFC]],Demand_Modeling!$A$13:$I$13,0))</f>
        <v>#N/A</v>
      </c>
      <c r="I259" s="3" t="e">
        <f>INDEX(Demand_Modeling!$A$13:$I$49,MATCH(Table3[[#This Row],[Key]],Demand_Modeling!$A$13:$A$49,0),MATCH(Table3[[#Headers],[TFC]],Demand_Modeling!$A$13:$I$13,0))</f>
        <v>#N/A</v>
      </c>
      <c r="J259" s="3" t="e">
        <f>INDEX(Demand_Modeling!$A$13:$I$49,MATCH(Table3[[#This Row],[Key]],Demand_Modeling!$A$13:$A$49,0),MATCH(Table3[[#Headers],[WFC]],Demand_Modeling!$A$13:$I$13,0))</f>
        <v>#N/A</v>
      </c>
      <c r="K259" s="3" t="e">
        <f>INDEX(Demand_Modeling!$A$13:$I$49,MATCH(Table3[[#This Row],[Key]],Demand_Modeling!$A$13:$A$49,0),MATCH(Table3[[#Headers],[EAO]],Demand_Modeling!$A$13:$I$13,0))</f>
        <v>#N/A</v>
      </c>
      <c r="L259" s="3" t="e">
        <f>INDEX(Demand_Modeling!$A$13:$I$49,MATCH(Table3[[#This Row],[Key]],Demand_Modeling!$A$13:$A$49,0),MATCH(Table3[[#Headers],[OCC]],Demand_Modeling!$A$13:$I$13,0))</f>
        <v>#N/A</v>
      </c>
      <c r="M259" s="3" t="e">
        <f>INDEX(Demand_Modeling!$A$13:$I$49,MATCH(Table3[[#This Row],[Key]],Demand_Modeling!$A$13:$A$49,0),MATCH(Table3[[#Headers],[WEO]],Demand_Modeling!$A$13:$I$13,0))</f>
        <v>#N/A</v>
      </c>
      <c r="N259" s="19" t="e">
        <f>SUM(Table3[[#This Row],[OFC]:[WEO]])</f>
        <v>#N/A</v>
      </c>
      <c r="O259" s="19"/>
      <c r="Q259" s="3" t="str">
        <f>Table35[[#This Row],[Fiscal_Year]]*100+Table35[[#This Row],[Fiscal_Week]] &amp; "-" &amp;Table35[[#This Row],[Brand]]</f>
        <v>0-0</v>
      </c>
      <c r="R259" t="str">
        <f>Table3[[#This Row],[Key]]</f>
        <v>-</v>
      </c>
      <c r="S259">
        <f>Table3[[#This Row],[Fiscal_Year]]</f>
        <v>0</v>
      </c>
      <c r="T259">
        <f>Table3[[#This Row],[Fiscal_Week]]</f>
        <v>0</v>
      </c>
      <c r="U259">
        <f>Table3[[#This Row],[Brand]]</f>
        <v>0</v>
      </c>
      <c r="V259">
        <f>Table3[[#This Row],[Demand]]</f>
        <v>0</v>
      </c>
      <c r="W259" t="e">
        <f>Table3[[#This Row],[OFC]]*Table3[[#This Row],[Demand]]</f>
        <v>#N/A</v>
      </c>
      <c r="X259" t="e">
        <f>Table3[[#This Row],[TFC]]*Table3[[#This Row],[Demand]]</f>
        <v>#N/A</v>
      </c>
      <c r="Y259" t="e">
        <f>Table3[[#This Row],[WFC]]*Table3[[#This Row],[Demand]]</f>
        <v>#N/A</v>
      </c>
      <c r="Z259" t="e">
        <f>Table3[[#This Row],[EAO]]*Table3[[#This Row],[Demand]]</f>
        <v>#N/A</v>
      </c>
      <c r="AA259" t="e">
        <f>Table3[[#This Row],[OCC]]*Table3[[#This Row],[Demand]]</f>
        <v>#N/A</v>
      </c>
      <c r="AB259" t="e">
        <f>Table3[[#This Row],[WEO]]*Table3[[#This Row],[Demand]]</f>
        <v>#N/A</v>
      </c>
      <c r="AC259" s="19" t="e">
        <f>SUM(Table35[[#This Row],[OFC]:[WEO]])</f>
        <v>#N/A</v>
      </c>
      <c r="AD259" s="19" t="e">
        <f>Table35[[#This Row],[Demand]]-Table35[[#This Row],[Total_Modeled_Demand]]</f>
        <v>#N/A</v>
      </c>
    </row>
    <row r="260" spans="2:30" x14ac:dyDescent="0.3">
      <c r="B260" s="3" t="str">
        <f>Table3[[#This Row],[Fiscal_Year]]*100+Table3[[#This Row],[Fiscal_Week]] &amp; "-" &amp;Table3[[#This Row],[Brand]]</f>
        <v>0-</v>
      </c>
      <c r="C260" t="str">
        <f t="shared" si="3"/>
        <v>-</v>
      </c>
      <c r="H260" s="3" t="e">
        <f>INDEX(Demand_Modeling!$A$13:$I$49,MATCH(Table3[[#This Row],[Key]],Demand_Modeling!$A$13:$A$49,0),MATCH(Table3[[#Headers],[OFC]],Demand_Modeling!$A$13:$I$13,0))</f>
        <v>#N/A</v>
      </c>
      <c r="I260" s="3" t="e">
        <f>INDEX(Demand_Modeling!$A$13:$I$49,MATCH(Table3[[#This Row],[Key]],Demand_Modeling!$A$13:$A$49,0),MATCH(Table3[[#Headers],[TFC]],Demand_Modeling!$A$13:$I$13,0))</f>
        <v>#N/A</v>
      </c>
      <c r="J260" s="3" t="e">
        <f>INDEX(Demand_Modeling!$A$13:$I$49,MATCH(Table3[[#This Row],[Key]],Demand_Modeling!$A$13:$A$49,0),MATCH(Table3[[#Headers],[WFC]],Demand_Modeling!$A$13:$I$13,0))</f>
        <v>#N/A</v>
      </c>
      <c r="K260" s="3" t="e">
        <f>INDEX(Demand_Modeling!$A$13:$I$49,MATCH(Table3[[#This Row],[Key]],Demand_Modeling!$A$13:$A$49,0),MATCH(Table3[[#Headers],[EAO]],Demand_Modeling!$A$13:$I$13,0))</f>
        <v>#N/A</v>
      </c>
      <c r="L260" s="3" t="e">
        <f>INDEX(Demand_Modeling!$A$13:$I$49,MATCH(Table3[[#This Row],[Key]],Demand_Modeling!$A$13:$A$49,0),MATCH(Table3[[#Headers],[OCC]],Demand_Modeling!$A$13:$I$13,0))</f>
        <v>#N/A</v>
      </c>
      <c r="M260" s="3" t="e">
        <f>INDEX(Demand_Modeling!$A$13:$I$49,MATCH(Table3[[#This Row],[Key]],Demand_Modeling!$A$13:$A$49,0),MATCH(Table3[[#Headers],[WEO]],Demand_Modeling!$A$13:$I$13,0))</f>
        <v>#N/A</v>
      </c>
      <c r="N260" s="19" t="e">
        <f>SUM(Table3[[#This Row],[OFC]:[WEO]])</f>
        <v>#N/A</v>
      </c>
      <c r="O260" s="19"/>
      <c r="Q260" s="3" t="str">
        <f>Table35[[#This Row],[Fiscal_Year]]*100+Table35[[#This Row],[Fiscal_Week]] &amp; "-" &amp;Table35[[#This Row],[Brand]]</f>
        <v>0-0</v>
      </c>
      <c r="R260" t="str">
        <f>Table3[[#This Row],[Key]]</f>
        <v>-</v>
      </c>
      <c r="S260">
        <f>Table3[[#This Row],[Fiscal_Year]]</f>
        <v>0</v>
      </c>
      <c r="T260">
        <f>Table3[[#This Row],[Fiscal_Week]]</f>
        <v>0</v>
      </c>
      <c r="U260">
        <f>Table3[[#This Row],[Brand]]</f>
        <v>0</v>
      </c>
      <c r="V260">
        <f>Table3[[#This Row],[Demand]]</f>
        <v>0</v>
      </c>
      <c r="W260" t="e">
        <f>Table3[[#This Row],[OFC]]*Table3[[#This Row],[Demand]]</f>
        <v>#N/A</v>
      </c>
      <c r="X260" t="e">
        <f>Table3[[#This Row],[TFC]]*Table3[[#This Row],[Demand]]</f>
        <v>#N/A</v>
      </c>
      <c r="Y260" t="e">
        <f>Table3[[#This Row],[WFC]]*Table3[[#This Row],[Demand]]</f>
        <v>#N/A</v>
      </c>
      <c r="Z260" t="e">
        <f>Table3[[#This Row],[EAO]]*Table3[[#This Row],[Demand]]</f>
        <v>#N/A</v>
      </c>
      <c r="AA260" t="e">
        <f>Table3[[#This Row],[OCC]]*Table3[[#This Row],[Demand]]</f>
        <v>#N/A</v>
      </c>
      <c r="AB260" t="e">
        <f>Table3[[#This Row],[WEO]]*Table3[[#This Row],[Demand]]</f>
        <v>#N/A</v>
      </c>
      <c r="AC260" s="19" t="e">
        <f>SUM(Table35[[#This Row],[OFC]:[WEO]])</f>
        <v>#N/A</v>
      </c>
      <c r="AD260" s="19" t="e">
        <f>Table35[[#This Row],[Demand]]-Table35[[#This Row],[Total_Modeled_Demand]]</f>
        <v>#N/A</v>
      </c>
    </row>
    <row r="261" spans="2:30" x14ac:dyDescent="0.3">
      <c r="B261" s="3" t="str">
        <f>Table3[[#This Row],[Fiscal_Year]]*100+Table3[[#This Row],[Fiscal_Week]] &amp; "-" &amp;Table3[[#This Row],[Brand]]</f>
        <v>0-</v>
      </c>
      <c r="C261" t="str">
        <f t="shared" ref="C261:C324" si="4">D261&amp;"-"&amp;F261</f>
        <v>-</v>
      </c>
      <c r="H261" s="3" t="e">
        <f>INDEX(Demand_Modeling!$A$13:$I$49,MATCH(Table3[[#This Row],[Key]],Demand_Modeling!$A$13:$A$49,0),MATCH(Table3[[#Headers],[OFC]],Demand_Modeling!$A$13:$I$13,0))</f>
        <v>#N/A</v>
      </c>
      <c r="I261" s="3" t="e">
        <f>INDEX(Demand_Modeling!$A$13:$I$49,MATCH(Table3[[#This Row],[Key]],Demand_Modeling!$A$13:$A$49,0),MATCH(Table3[[#Headers],[TFC]],Demand_Modeling!$A$13:$I$13,0))</f>
        <v>#N/A</v>
      </c>
      <c r="J261" s="3" t="e">
        <f>INDEX(Demand_Modeling!$A$13:$I$49,MATCH(Table3[[#This Row],[Key]],Demand_Modeling!$A$13:$A$49,0),MATCH(Table3[[#Headers],[WFC]],Demand_Modeling!$A$13:$I$13,0))</f>
        <v>#N/A</v>
      </c>
      <c r="K261" s="3" t="e">
        <f>INDEX(Demand_Modeling!$A$13:$I$49,MATCH(Table3[[#This Row],[Key]],Demand_Modeling!$A$13:$A$49,0),MATCH(Table3[[#Headers],[EAO]],Demand_Modeling!$A$13:$I$13,0))</f>
        <v>#N/A</v>
      </c>
      <c r="L261" s="3" t="e">
        <f>INDEX(Demand_Modeling!$A$13:$I$49,MATCH(Table3[[#This Row],[Key]],Demand_Modeling!$A$13:$A$49,0),MATCH(Table3[[#Headers],[OCC]],Demand_Modeling!$A$13:$I$13,0))</f>
        <v>#N/A</v>
      </c>
      <c r="M261" s="3" t="e">
        <f>INDEX(Demand_Modeling!$A$13:$I$49,MATCH(Table3[[#This Row],[Key]],Demand_Modeling!$A$13:$A$49,0),MATCH(Table3[[#Headers],[WEO]],Demand_Modeling!$A$13:$I$13,0))</f>
        <v>#N/A</v>
      </c>
      <c r="N261" s="19" t="e">
        <f>SUM(Table3[[#This Row],[OFC]:[WEO]])</f>
        <v>#N/A</v>
      </c>
      <c r="O261" s="19"/>
      <c r="Q261" s="3" t="str">
        <f>Table35[[#This Row],[Fiscal_Year]]*100+Table35[[#This Row],[Fiscal_Week]] &amp; "-" &amp;Table35[[#This Row],[Brand]]</f>
        <v>0-0</v>
      </c>
      <c r="R261" t="str">
        <f>Table3[[#This Row],[Key]]</f>
        <v>-</v>
      </c>
      <c r="S261">
        <f>Table3[[#This Row],[Fiscal_Year]]</f>
        <v>0</v>
      </c>
      <c r="T261">
        <f>Table3[[#This Row],[Fiscal_Week]]</f>
        <v>0</v>
      </c>
      <c r="U261">
        <f>Table3[[#This Row],[Brand]]</f>
        <v>0</v>
      </c>
      <c r="V261">
        <f>Table3[[#This Row],[Demand]]</f>
        <v>0</v>
      </c>
      <c r="W261" t="e">
        <f>Table3[[#This Row],[OFC]]*Table3[[#This Row],[Demand]]</f>
        <v>#N/A</v>
      </c>
      <c r="X261" t="e">
        <f>Table3[[#This Row],[TFC]]*Table3[[#This Row],[Demand]]</f>
        <v>#N/A</v>
      </c>
      <c r="Y261" t="e">
        <f>Table3[[#This Row],[WFC]]*Table3[[#This Row],[Demand]]</f>
        <v>#N/A</v>
      </c>
      <c r="Z261" t="e">
        <f>Table3[[#This Row],[EAO]]*Table3[[#This Row],[Demand]]</f>
        <v>#N/A</v>
      </c>
      <c r="AA261" t="e">
        <f>Table3[[#This Row],[OCC]]*Table3[[#This Row],[Demand]]</f>
        <v>#N/A</v>
      </c>
      <c r="AB261" t="e">
        <f>Table3[[#This Row],[WEO]]*Table3[[#This Row],[Demand]]</f>
        <v>#N/A</v>
      </c>
      <c r="AC261" s="19" t="e">
        <f>SUM(Table35[[#This Row],[OFC]:[WEO]])</f>
        <v>#N/A</v>
      </c>
      <c r="AD261" s="19" t="e">
        <f>Table35[[#This Row],[Demand]]-Table35[[#This Row],[Total_Modeled_Demand]]</f>
        <v>#N/A</v>
      </c>
    </row>
    <row r="262" spans="2:30" x14ac:dyDescent="0.3">
      <c r="B262" s="3" t="str">
        <f>Table3[[#This Row],[Fiscal_Year]]*100+Table3[[#This Row],[Fiscal_Week]] &amp; "-" &amp;Table3[[#This Row],[Brand]]</f>
        <v>0-</v>
      </c>
      <c r="C262" t="str">
        <f t="shared" si="4"/>
        <v>-</v>
      </c>
      <c r="H262" s="3" t="e">
        <f>INDEX(Demand_Modeling!$A$13:$I$49,MATCH(Table3[[#This Row],[Key]],Demand_Modeling!$A$13:$A$49,0),MATCH(Table3[[#Headers],[OFC]],Demand_Modeling!$A$13:$I$13,0))</f>
        <v>#N/A</v>
      </c>
      <c r="I262" s="3" t="e">
        <f>INDEX(Demand_Modeling!$A$13:$I$49,MATCH(Table3[[#This Row],[Key]],Demand_Modeling!$A$13:$A$49,0),MATCH(Table3[[#Headers],[TFC]],Demand_Modeling!$A$13:$I$13,0))</f>
        <v>#N/A</v>
      </c>
      <c r="J262" s="3" t="e">
        <f>INDEX(Demand_Modeling!$A$13:$I$49,MATCH(Table3[[#This Row],[Key]],Demand_Modeling!$A$13:$A$49,0),MATCH(Table3[[#Headers],[WFC]],Demand_Modeling!$A$13:$I$13,0))</f>
        <v>#N/A</v>
      </c>
      <c r="K262" s="3" t="e">
        <f>INDEX(Demand_Modeling!$A$13:$I$49,MATCH(Table3[[#This Row],[Key]],Demand_Modeling!$A$13:$A$49,0),MATCH(Table3[[#Headers],[EAO]],Demand_Modeling!$A$13:$I$13,0))</f>
        <v>#N/A</v>
      </c>
      <c r="L262" s="3" t="e">
        <f>INDEX(Demand_Modeling!$A$13:$I$49,MATCH(Table3[[#This Row],[Key]],Demand_Modeling!$A$13:$A$49,0),MATCH(Table3[[#Headers],[OCC]],Demand_Modeling!$A$13:$I$13,0))</f>
        <v>#N/A</v>
      </c>
      <c r="M262" s="3" t="e">
        <f>INDEX(Demand_Modeling!$A$13:$I$49,MATCH(Table3[[#This Row],[Key]],Demand_Modeling!$A$13:$A$49,0),MATCH(Table3[[#Headers],[WEO]],Demand_Modeling!$A$13:$I$13,0))</f>
        <v>#N/A</v>
      </c>
      <c r="N262" s="19" t="e">
        <f>SUM(Table3[[#This Row],[OFC]:[WEO]])</f>
        <v>#N/A</v>
      </c>
      <c r="O262" s="19"/>
      <c r="Q262" s="3" t="str">
        <f>Table35[[#This Row],[Fiscal_Year]]*100+Table35[[#This Row],[Fiscal_Week]] &amp; "-" &amp;Table35[[#This Row],[Brand]]</f>
        <v>0-0</v>
      </c>
      <c r="R262" t="str">
        <f>Table3[[#This Row],[Key]]</f>
        <v>-</v>
      </c>
      <c r="S262">
        <f>Table3[[#This Row],[Fiscal_Year]]</f>
        <v>0</v>
      </c>
      <c r="T262">
        <f>Table3[[#This Row],[Fiscal_Week]]</f>
        <v>0</v>
      </c>
      <c r="U262">
        <f>Table3[[#This Row],[Brand]]</f>
        <v>0</v>
      </c>
      <c r="V262">
        <f>Table3[[#This Row],[Demand]]</f>
        <v>0</v>
      </c>
      <c r="W262" t="e">
        <f>Table3[[#This Row],[OFC]]*Table3[[#This Row],[Demand]]</f>
        <v>#N/A</v>
      </c>
      <c r="X262" t="e">
        <f>Table3[[#This Row],[TFC]]*Table3[[#This Row],[Demand]]</f>
        <v>#N/A</v>
      </c>
      <c r="Y262" t="e">
        <f>Table3[[#This Row],[WFC]]*Table3[[#This Row],[Demand]]</f>
        <v>#N/A</v>
      </c>
      <c r="Z262" t="e">
        <f>Table3[[#This Row],[EAO]]*Table3[[#This Row],[Demand]]</f>
        <v>#N/A</v>
      </c>
      <c r="AA262" t="e">
        <f>Table3[[#This Row],[OCC]]*Table3[[#This Row],[Demand]]</f>
        <v>#N/A</v>
      </c>
      <c r="AB262" t="e">
        <f>Table3[[#This Row],[WEO]]*Table3[[#This Row],[Demand]]</f>
        <v>#N/A</v>
      </c>
      <c r="AC262" s="19" t="e">
        <f>SUM(Table35[[#This Row],[OFC]:[WEO]])</f>
        <v>#N/A</v>
      </c>
      <c r="AD262" s="19" t="e">
        <f>Table35[[#This Row],[Demand]]-Table35[[#This Row],[Total_Modeled_Demand]]</f>
        <v>#N/A</v>
      </c>
    </row>
    <row r="263" spans="2:30" x14ac:dyDescent="0.3">
      <c r="B263" s="3" t="str">
        <f>Table3[[#This Row],[Fiscal_Year]]*100+Table3[[#This Row],[Fiscal_Week]] &amp; "-" &amp;Table3[[#This Row],[Brand]]</f>
        <v>0-</v>
      </c>
      <c r="C263" t="str">
        <f t="shared" si="4"/>
        <v>-</v>
      </c>
      <c r="H263" s="3" t="e">
        <f>INDEX(Demand_Modeling!$A$13:$I$49,MATCH(Table3[[#This Row],[Key]],Demand_Modeling!$A$13:$A$49,0),MATCH(Table3[[#Headers],[OFC]],Demand_Modeling!$A$13:$I$13,0))</f>
        <v>#N/A</v>
      </c>
      <c r="I263" s="3" t="e">
        <f>INDEX(Demand_Modeling!$A$13:$I$49,MATCH(Table3[[#This Row],[Key]],Demand_Modeling!$A$13:$A$49,0),MATCH(Table3[[#Headers],[TFC]],Demand_Modeling!$A$13:$I$13,0))</f>
        <v>#N/A</v>
      </c>
      <c r="J263" s="3" t="e">
        <f>INDEX(Demand_Modeling!$A$13:$I$49,MATCH(Table3[[#This Row],[Key]],Demand_Modeling!$A$13:$A$49,0),MATCH(Table3[[#Headers],[WFC]],Demand_Modeling!$A$13:$I$13,0))</f>
        <v>#N/A</v>
      </c>
      <c r="K263" s="3" t="e">
        <f>INDEX(Demand_Modeling!$A$13:$I$49,MATCH(Table3[[#This Row],[Key]],Demand_Modeling!$A$13:$A$49,0),MATCH(Table3[[#Headers],[EAO]],Demand_Modeling!$A$13:$I$13,0))</f>
        <v>#N/A</v>
      </c>
      <c r="L263" s="3" t="e">
        <f>INDEX(Demand_Modeling!$A$13:$I$49,MATCH(Table3[[#This Row],[Key]],Demand_Modeling!$A$13:$A$49,0),MATCH(Table3[[#Headers],[OCC]],Demand_Modeling!$A$13:$I$13,0))</f>
        <v>#N/A</v>
      </c>
      <c r="M263" s="3" t="e">
        <f>INDEX(Demand_Modeling!$A$13:$I$49,MATCH(Table3[[#This Row],[Key]],Demand_Modeling!$A$13:$A$49,0),MATCH(Table3[[#Headers],[WEO]],Demand_Modeling!$A$13:$I$13,0))</f>
        <v>#N/A</v>
      </c>
      <c r="N263" s="19" t="e">
        <f>SUM(Table3[[#This Row],[OFC]:[WEO]])</f>
        <v>#N/A</v>
      </c>
      <c r="O263" s="19"/>
      <c r="Q263" s="3" t="str">
        <f>Table35[[#This Row],[Fiscal_Year]]*100+Table35[[#This Row],[Fiscal_Week]] &amp; "-" &amp;Table35[[#This Row],[Brand]]</f>
        <v>0-0</v>
      </c>
      <c r="R263" t="str">
        <f>Table3[[#This Row],[Key]]</f>
        <v>-</v>
      </c>
      <c r="S263">
        <f>Table3[[#This Row],[Fiscal_Year]]</f>
        <v>0</v>
      </c>
      <c r="T263">
        <f>Table3[[#This Row],[Fiscal_Week]]</f>
        <v>0</v>
      </c>
      <c r="U263">
        <f>Table3[[#This Row],[Brand]]</f>
        <v>0</v>
      </c>
      <c r="V263">
        <f>Table3[[#This Row],[Demand]]</f>
        <v>0</v>
      </c>
      <c r="W263" t="e">
        <f>Table3[[#This Row],[OFC]]*Table3[[#This Row],[Demand]]</f>
        <v>#N/A</v>
      </c>
      <c r="X263" t="e">
        <f>Table3[[#This Row],[TFC]]*Table3[[#This Row],[Demand]]</f>
        <v>#N/A</v>
      </c>
      <c r="Y263" t="e">
        <f>Table3[[#This Row],[WFC]]*Table3[[#This Row],[Demand]]</f>
        <v>#N/A</v>
      </c>
      <c r="Z263" t="e">
        <f>Table3[[#This Row],[EAO]]*Table3[[#This Row],[Demand]]</f>
        <v>#N/A</v>
      </c>
      <c r="AA263" t="e">
        <f>Table3[[#This Row],[OCC]]*Table3[[#This Row],[Demand]]</f>
        <v>#N/A</v>
      </c>
      <c r="AB263" t="e">
        <f>Table3[[#This Row],[WEO]]*Table3[[#This Row],[Demand]]</f>
        <v>#N/A</v>
      </c>
      <c r="AC263" s="19" t="e">
        <f>SUM(Table35[[#This Row],[OFC]:[WEO]])</f>
        <v>#N/A</v>
      </c>
      <c r="AD263" s="19" t="e">
        <f>Table35[[#This Row],[Demand]]-Table35[[#This Row],[Total_Modeled_Demand]]</f>
        <v>#N/A</v>
      </c>
    </row>
    <row r="264" spans="2:30" x14ac:dyDescent="0.3">
      <c r="B264" s="3" t="str">
        <f>Table3[[#This Row],[Fiscal_Year]]*100+Table3[[#This Row],[Fiscal_Week]] &amp; "-" &amp;Table3[[#This Row],[Brand]]</f>
        <v>0-</v>
      </c>
      <c r="C264" t="str">
        <f t="shared" si="4"/>
        <v>-</v>
      </c>
      <c r="H264" s="3" t="e">
        <f>INDEX(Demand_Modeling!$A$13:$I$49,MATCH(Table3[[#This Row],[Key]],Demand_Modeling!$A$13:$A$49,0),MATCH(Table3[[#Headers],[OFC]],Demand_Modeling!$A$13:$I$13,0))</f>
        <v>#N/A</v>
      </c>
      <c r="I264" s="3" t="e">
        <f>INDEX(Demand_Modeling!$A$13:$I$49,MATCH(Table3[[#This Row],[Key]],Demand_Modeling!$A$13:$A$49,0),MATCH(Table3[[#Headers],[TFC]],Demand_Modeling!$A$13:$I$13,0))</f>
        <v>#N/A</v>
      </c>
      <c r="J264" s="3" t="e">
        <f>INDEX(Demand_Modeling!$A$13:$I$49,MATCH(Table3[[#This Row],[Key]],Demand_Modeling!$A$13:$A$49,0),MATCH(Table3[[#Headers],[WFC]],Demand_Modeling!$A$13:$I$13,0))</f>
        <v>#N/A</v>
      </c>
      <c r="K264" s="3" t="e">
        <f>INDEX(Demand_Modeling!$A$13:$I$49,MATCH(Table3[[#This Row],[Key]],Demand_Modeling!$A$13:$A$49,0),MATCH(Table3[[#Headers],[EAO]],Demand_Modeling!$A$13:$I$13,0))</f>
        <v>#N/A</v>
      </c>
      <c r="L264" s="3" t="e">
        <f>INDEX(Demand_Modeling!$A$13:$I$49,MATCH(Table3[[#This Row],[Key]],Demand_Modeling!$A$13:$A$49,0),MATCH(Table3[[#Headers],[OCC]],Demand_Modeling!$A$13:$I$13,0))</f>
        <v>#N/A</v>
      </c>
      <c r="M264" s="3" t="e">
        <f>INDEX(Demand_Modeling!$A$13:$I$49,MATCH(Table3[[#This Row],[Key]],Demand_Modeling!$A$13:$A$49,0),MATCH(Table3[[#Headers],[WEO]],Demand_Modeling!$A$13:$I$13,0))</f>
        <v>#N/A</v>
      </c>
      <c r="N264" s="19" t="e">
        <f>SUM(Table3[[#This Row],[OFC]:[WEO]])</f>
        <v>#N/A</v>
      </c>
      <c r="O264" s="19"/>
      <c r="Q264" s="3" t="str">
        <f>Table35[[#This Row],[Fiscal_Year]]*100+Table35[[#This Row],[Fiscal_Week]] &amp; "-" &amp;Table35[[#This Row],[Brand]]</f>
        <v>0-0</v>
      </c>
      <c r="R264" t="str">
        <f>Table3[[#This Row],[Key]]</f>
        <v>-</v>
      </c>
      <c r="S264">
        <f>Table3[[#This Row],[Fiscal_Year]]</f>
        <v>0</v>
      </c>
      <c r="T264">
        <f>Table3[[#This Row],[Fiscal_Week]]</f>
        <v>0</v>
      </c>
      <c r="U264">
        <f>Table3[[#This Row],[Brand]]</f>
        <v>0</v>
      </c>
      <c r="V264">
        <f>Table3[[#This Row],[Demand]]</f>
        <v>0</v>
      </c>
      <c r="W264" t="e">
        <f>Table3[[#This Row],[OFC]]*Table3[[#This Row],[Demand]]</f>
        <v>#N/A</v>
      </c>
      <c r="X264" t="e">
        <f>Table3[[#This Row],[TFC]]*Table3[[#This Row],[Demand]]</f>
        <v>#N/A</v>
      </c>
      <c r="Y264" t="e">
        <f>Table3[[#This Row],[WFC]]*Table3[[#This Row],[Demand]]</f>
        <v>#N/A</v>
      </c>
      <c r="Z264" t="e">
        <f>Table3[[#This Row],[EAO]]*Table3[[#This Row],[Demand]]</f>
        <v>#N/A</v>
      </c>
      <c r="AA264" t="e">
        <f>Table3[[#This Row],[OCC]]*Table3[[#This Row],[Demand]]</f>
        <v>#N/A</v>
      </c>
      <c r="AB264" t="e">
        <f>Table3[[#This Row],[WEO]]*Table3[[#This Row],[Demand]]</f>
        <v>#N/A</v>
      </c>
      <c r="AC264" s="19" t="e">
        <f>SUM(Table35[[#This Row],[OFC]:[WEO]])</f>
        <v>#N/A</v>
      </c>
      <c r="AD264" s="19" t="e">
        <f>Table35[[#This Row],[Demand]]-Table35[[#This Row],[Total_Modeled_Demand]]</f>
        <v>#N/A</v>
      </c>
    </row>
    <row r="265" spans="2:30" x14ac:dyDescent="0.3">
      <c r="B265" s="3" t="str">
        <f>Table3[[#This Row],[Fiscal_Year]]*100+Table3[[#This Row],[Fiscal_Week]] &amp; "-" &amp;Table3[[#This Row],[Brand]]</f>
        <v>0-</v>
      </c>
      <c r="C265" t="str">
        <f t="shared" si="4"/>
        <v>-</v>
      </c>
      <c r="H265" s="3" t="e">
        <f>INDEX(Demand_Modeling!$A$13:$I$49,MATCH(Table3[[#This Row],[Key]],Demand_Modeling!$A$13:$A$49,0),MATCH(Table3[[#Headers],[OFC]],Demand_Modeling!$A$13:$I$13,0))</f>
        <v>#N/A</v>
      </c>
      <c r="I265" s="3" t="e">
        <f>INDEX(Demand_Modeling!$A$13:$I$49,MATCH(Table3[[#This Row],[Key]],Demand_Modeling!$A$13:$A$49,0),MATCH(Table3[[#Headers],[TFC]],Demand_Modeling!$A$13:$I$13,0))</f>
        <v>#N/A</v>
      </c>
      <c r="J265" s="3" t="e">
        <f>INDEX(Demand_Modeling!$A$13:$I$49,MATCH(Table3[[#This Row],[Key]],Demand_Modeling!$A$13:$A$49,0),MATCH(Table3[[#Headers],[WFC]],Demand_Modeling!$A$13:$I$13,0))</f>
        <v>#N/A</v>
      </c>
      <c r="K265" s="3" t="e">
        <f>INDEX(Demand_Modeling!$A$13:$I$49,MATCH(Table3[[#This Row],[Key]],Demand_Modeling!$A$13:$A$49,0),MATCH(Table3[[#Headers],[EAO]],Demand_Modeling!$A$13:$I$13,0))</f>
        <v>#N/A</v>
      </c>
      <c r="L265" s="3" t="e">
        <f>INDEX(Demand_Modeling!$A$13:$I$49,MATCH(Table3[[#This Row],[Key]],Demand_Modeling!$A$13:$A$49,0),MATCH(Table3[[#Headers],[OCC]],Demand_Modeling!$A$13:$I$13,0))</f>
        <v>#N/A</v>
      </c>
      <c r="M265" s="3" t="e">
        <f>INDEX(Demand_Modeling!$A$13:$I$49,MATCH(Table3[[#This Row],[Key]],Demand_Modeling!$A$13:$A$49,0),MATCH(Table3[[#Headers],[WEO]],Demand_Modeling!$A$13:$I$13,0))</f>
        <v>#N/A</v>
      </c>
      <c r="N265" s="19" t="e">
        <f>SUM(Table3[[#This Row],[OFC]:[WEO]])</f>
        <v>#N/A</v>
      </c>
      <c r="O265" s="19"/>
      <c r="Q265" s="3" t="str">
        <f>Table35[[#This Row],[Fiscal_Year]]*100+Table35[[#This Row],[Fiscal_Week]] &amp; "-" &amp;Table35[[#This Row],[Brand]]</f>
        <v>0-0</v>
      </c>
      <c r="R265" t="str">
        <f>Table3[[#This Row],[Key]]</f>
        <v>-</v>
      </c>
      <c r="S265">
        <f>Table3[[#This Row],[Fiscal_Year]]</f>
        <v>0</v>
      </c>
      <c r="T265">
        <f>Table3[[#This Row],[Fiscal_Week]]</f>
        <v>0</v>
      </c>
      <c r="U265">
        <f>Table3[[#This Row],[Brand]]</f>
        <v>0</v>
      </c>
      <c r="V265">
        <f>Table3[[#This Row],[Demand]]</f>
        <v>0</v>
      </c>
      <c r="W265" t="e">
        <f>Table3[[#This Row],[OFC]]*Table3[[#This Row],[Demand]]</f>
        <v>#N/A</v>
      </c>
      <c r="X265" t="e">
        <f>Table3[[#This Row],[TFC]]*Table3[[#This Row],[Demand]]</f>
        <v>#N/A</v>
      </c>
      <c r="Y265" t="e">
        <f>Table3[[#This Row],[WFC]]*Table3[[#This Row],[Demand]]</f>
        <v>#N/A</v>
      </c>
      <c r="Z265" t="e">
        <f>Table3[[#This Row],[EAO]]*Table3[[#This Row],[Demand]]</f>
        <v>#N/A</v>
      </c>
      <c r="AA265" t="e">
        <f>Table3[[#This Row],[OCC]]*Table3[[#This Row],[Demand]]</f>
        <v>#N/A</v>
      </c>
      <c r="AB265" t="e">
        <f>Table3[[#This Row],[WEO]]*Table3[[#This Row],[Demand]]</f>
        <v>#N/A</v>
      </c>
      <c r="AC265" s="19" t="e">
        <f>SUM(Table35[[#This Row],[OFC]:[WEO]])</f>
        <v>#N/A</v>
      </c>
      <c r="AD265" s="19" t="e">
        <f>Table35[[#This Row],[Demand]]-Table35[[#This Row],[Total_Modeled_Demand]]</f>
        <v>#N/A</v>
      </c>
    </row>
    <row r="266" spans="2:30" x14ac:dyDescent="0.3">
      <c r="B266" s="3" t="str">
        <f>Table3[[#This Row],[Fiscal_Year]]*100+Table3[[#This Row],[Fiscal_Week]] &amp; "-" &amp;Table3[[#This Row],[Brand]]</f>
        <v>0-</v>
      </c>
      <c r="C266" t="str">
        <f t="shared" si="4"/>
        <v>-</v>
      </c>
      <c r="H266" s="3" t="e">
        <f>INDEX(Demand_Modeling!$A$13:$I$49,MATCH(Table3[[#This Row],[Key]],Demand_Modeling!$A$13:$A$49,0),MATCH(Table3[[#Headers],[OFC]],Demand_Modeling!$A$13:$I$13,0))</f>
        <v>#N/A</v>
      </c>
      <c r="I266" s="3" t="e">
        <f>INDEX(Demand_Modeling!$A$13:$I$49,MATCH(Table3[[#This Row],[Key]],Demand_Modeling!$A$13:$A$49,0),MATCH(Table3[[#Headers],[TFC]],Demand_Modeling!$A$13:$I$13,0))</f>
        <v>#N/A</v>
      </c>
      <c r="J266" s="3" t="e">
        <f>INDEX(Demand_Modeling!$A$13:$I$49,MATCH(Table3[[#This Row],[Key]],Demand_Modeling!$A$13:$A$49,0),MATCH(Table3[[#Headers],[WFC]],Demand_Modeling!$A$13:$I$13,0))</f>
        <v>#N/A</v>
      </c>
      <c r="K266" s="3" t="e">
        <f>INDEX(Demand_Modeling!$A$13:$I$49,MATCH(Table3[[#This Row],[Key]],Demand_Modeling!$A$13:$A$49,0),MATCH(Table3[[#Headers],[EAO]],Demand_Modeling!$A$13:$I$13,0))</f>
        <v>#N/A</v>
      </c>
      <c r="L266" s="3" t="e">
        <f>INDEX(Demand_Modeling!$A$13:$I$49,MATCH(Table3[[#This Row],[Key]],Demand_Modeling!$A$13:$A$49,0),MATCH(Table3[[#Headers],[OCC]],Demand_Modeling!$A$13:$I$13,0))</f>
        <v>#N/A</v>
      </c>
      <c r="M266" s="3" t="e">
        <f>INDEX(Demand_Modeling!$A$13:$I$49,MATCH(Table3[[#This Row],[Key]],Demand_Modeling!$A$13:$A$49,0),MATCH(Table3[[#Headers],[WEO]],Demand_Modeling!$A$13:$I$13,0))</f>
        <v>#N/A</v>
      </c>
      <c r="N266" s="19" t="e">
        <f>SUM(Table3[[#This Row],[OFC]:[WEO]])</f>
        <v>#N/A</v>
      </c>
      <c r="O266" s="19"/>
      <c r="Q266" s="3" t="str">
        <f>Table35[[#This Row],[Fiscal_Year]]*100+Table35[[#This Row],[Fiscal_Week]] &amp; "-" &amp;Table35[[#This Row],[Brand]]</f>
        <v>0-0</v>
      </c>
      <c r="R266" t="str">
        <f>Table3[[#This Row],[Key]]</f>
        <v>-</v>
      </c>
      <c r="S266">
        <f>Table3[[#This Row],[Fiscal_Year]]</f>
        <v>0</v>
      </c>
      <c r="T266">
        <f>Table3[[#This Row],[Fiscal_Week]]</f>
        <v>0</v>
      </c>
      <c r="U266">
        <f>Table3[[#This Row],[Brand]]</f>
        <v>0</v>
      </c>
      <c r="V266">
        <f>Table3[[#This Row],[Demand]]</f>
        <v>0</v>
      </c>
      <c r="W266" t="e">
        <f>Table3[[#This Row],[OFC]]*Table3[[#This Row],[Demand]]</f>
        <v>#N/A</v>
      </c>
      <c r="X266" t="e">
        <f>Table3[[#This Row],[TFC]]*Table3[[#This Row],[Demand]]</f>
        <v>#N/A</v>
      </c>
      <c r="Y266" t="e">
        <f>Table3[[#This Row],[WFC]]*Table3[[#This Row],[Demand]]</f>
        <v>#N/A</v>
      </c>
      <c r="Z266" t="e">
        <f>Table3[[#This Row],[EAO]]*Table3[[#This Row],[Demand]]</f>
        <v>#N/A</v>
      </c>
      <c r="AA266" t="e">
        <f>Table3[[#This Row],[OCC]]*Table3[[#This Row],[Demand]]</f>
        <v>#N/A</v>
      </c>
      <c r="AB266" t="e">
        <f>Table3[[#This Row],[WEO]]*Table3[[#This Row],[Demand]]</f>
        <v>#N/A</v>
      </c>
      <c r="AC266" s="19" t="e">
        <f>SUM(Table35[[#This Row],[OFC]:[WEO]])</f>
        <v>#N/A</v>
      </c>
      <c r="AD266" s="19" t="e">
        <f>Table35[[#This Row],[Demand]]-Table35[[#This Row],[Total_Modeled_Demand]]</f>
        <v>#N/A</v>
      </c>
    </row>
    <row r="267" spans="2:30" x14ac:dyDescent="0.3">
      <c r="B267" s="3" t="str">
        <f>Table3[[#This Row],[Fiscal_Year]]*100+Table3[[#This Row],[Fiscal_Week]] &amp; "-" &amp;Table3[[#This Row],[Brand]]</f>
        <v>0-</v>
      </c>
      <c r="C267" t="str">
        <f t="shared" si="4"/>
        <v>-</v>
      </c>
      <c r="H267" s="3" t="e">
        <f>INDEX(Demand_Modeling!$A$13:$I$49,MATCH(Table3[[#This Row],[Key]],Demand_Modeling!$A$13:$A$49,0),MATCH(Table3[[#Headers],[OFC]],Demand_Modeling!$A$13:$I$13,0))</f>
        <v>#N/A</v>
      </c>
      <c r="I267" s="3" t="e">
        <f>INDEX(Demand_Modeling!$A$13:$I$49,MATCH(Table3[[#This Row],[Key]],Demand_Modeling!$A$13:$A$49,0),MATCH(Table3[[#Headers],[TFC]],Demand_Modeling!$A$13:$I$13,0))</f>
        <v>#N/A</v>
      </c>
      <c r="J267" s="3" t="e">
        <f>INDEX(Demand_Modeling!$A$13:$I$49,MATCH(Table3[[#This Row],[Key]],Demand_Modeling!$A$13:$A$49,0),MATCH(Table3[[#Headers],[WFC]],Demand_Modeling!$A$13:$I$13,0))</f>
        <v>#N/A</v>
      </c>
      <c r="K267" s="3" t="e">
        <f>INDEX(Demand_Modeling!$A$13:$I$49,MATCH(Table3[[#This Row],[Key]],Demand_Modeling!$A$13:$A$49,0),MATCH(Table3[[#Headers],[EAO]],Demand_Modeling!$A$13:$I$13,0))</f>
        <v>#N/A</v>
      </c>
      <c r="L267" s="3" t="e">
        <f>INDEX(Demand_Modeling!$A$13:$I$49,MATCH(Table3[[#This Row],[Key]],Demand_Modeling!$A$13:$A$49,0),MATCH(Table3[[#Headers],[OCC]],Demand_Modeling!$A$13:$I$13,0))</f>
        <v>#N/A</v>
      </c>
      <c r="M267" s="3" t="e">
        <f>INDEX(Demand_Modeling!$A$13:$I$49,MATCH(Table3[[#This Row],[Key]],Demand_Modeling!$A$13:$A$49,0),MATCH(Table3[[#Headers],[WEO]],Demand_Modeling!$A$13:$I$13,0))</f>
        <v>#N/A</v>
      </c>
      <c r="N267" s="19" t="e">
        <f>SUM(Table3[[#This Row],[OFC]:[WEO]])</f>
        <v>#N/A</v>
      </c>
      <c r="O267" s="19"/>
      <c r="Q267" s="3" t="str">
        <f>Table35[[#This Row],[Fiscal_Year]]*100+Table35[[#This Row],[Fiscal_Week]] &amp; "-" &amp;Table35[[#This Row],[Brand]]</f>
        <v>0-0</v>
      </c>
      <c r="R267" t="str">
        <f>Table3[[#This Row],[Key]]</f>
        <v>-</v>
      </c>
      <c r="S267">
        <f>Table3[[#This Row],[Fiscal_Year]]</f>
        <v>0</v>
      </c>
      <c r="T267">
        <f>Table3[[#This Row],[Fiscal_Week]]</f>
        <v>0</v>
      </c>
      <c r="U267">
        <f>Table3[[#This Row],[Brand]]</f>
        <v>0</v>
      </c>
      <c r="V267">
        <f>Table3[[#This Row],[Demand]]</f>
        <v>0</v>
      </c>
      <c r="W267" t="e">
        <f>Table3[[#This Row],[OFC]]*Table3[[#This Row],[Demand]]</f>
        <v>#N/A</v>
      </c>
      <c r="X267" t="e">
        <f>Table3[[#This Row],[TFC]]*Table3[[#This Row],[Demand]]</f>
        <v>#N/A</v>
      </c>
      <c r="Y267" t="e">
        <f>Table3[[#This Row],[WFC]]*Table3[[#This Row],[Demand]]</f>
        <v>#N/A</v>
      </c>
      <c r="Z267" t="e">
        <f>Table3[[#This Row],[EAO]]*Table3[[#This Row],[Demand]]</f>
        <v>#N/A</v>
      </c>
      <c r="AA267" t="e">
        <f>Table3[[#This Row],[OCC]]*Table3[[#This Row],[Demand]]</f>
        <v>#N/A</v>
      </c>
      <c r="AB267" t="e">
        <f>Table3[[#This Row],[WEO]]*Table3[[#This Row],[Demand]]</f>
        <v>#N/A</v>
      </c>
      <c r="AC267" s="19" t="e">
        <f>SUM(Table35[[#This Row],[OFC]:[WEO]])</f>
        <v>#N/A</v>
      </c>
      <c r="AD267" s="19" t="e">
        <f>Table35[[#This Row],[Demand]]-Table35[[#This Row],[Total_Modeled_Demand]]</f>
        <v>#N/A</v>
      </c>
    </row>
    <row r="268" spans="2:30" x14ac:dyDescent="0.3">
      <c r="B268" s="3" t="str">
        <f>Table3[[#This Row],[Fiscal_Year]]*100+Table3[[#This Row],[Fiscal_Week]] &amp; "-" &amp;Table3[[#This Row],[Brand]]</f>
        <v>0-</v>
      </c>
      <c r="C268" t="str">
        <f t="shared" si="4"/>
        <v>-</v>
      </c>
      <c r="H268" s="3" t="e">
        <f>INDEX(Demand_Modeling!$A$13:$I$49,MATCH(Table3[[#This Row],[Key]],Demand_Modeling!$A$13:$A$49,0),MATCH(Table3[[#Headers],[OFC]],Demand_Modeling!$A$13:$I$13,0))</f>
        <v>#N/A</v>
      </c>
      <c r="I268" s="3" t="e">
        <f>INDEX(Demand_Modeling!$A$13:$I$49,MATCH(Table3[[#This Row],[Key]],Demand_Modeling!$A$13:$A$49,0),MATCH(Table3[[#Headers],[TFC]],Demand_Modeling!$A$13:$I$13,0))</f>
        <v>#N/A</v>
      </c>
      <c r="J268" s="3" t="e">
        <f>INDEX(Demand_Modeling!$A$13:$I$49,MATCH(Table3[[#This Row],[Key]],Demand_Modeling!$A$13:$A$49,0),MATCH(Table3[[#Headers],[WFC]],Demand_Modeling!$A$13:$I$13,0))</f>
        <v>#N/A</v>
      </c>
      <c r="K268" s="3" t="e">
        <f>INDEX(Demand_Modeling!$A$13:$I$49,MATCH(Table3[[#This Row],[Key]],Demand_Modeling!$A$13:$A$49,0),MATCH(Table3[[#Headers],[EAO]],Demand_Modeling!$A$13:$I$13,0))</f>
        <v>#N/A</v>
      </c>
      <c r="L268" s="3" t="e">
        <f>INDEX(Demand_Modeling!$A$13:$I$49,MATCH(Table3[[#This Row],[Key]],Demand_Modeling!$A$13:$A$49,0),MATCH(Table3[[#Headers],[OCC]],Demand_Modeling!$A$13:$I$13,0))</f>
        <v>#N/A</v>
      </c>
      <c r="M268" s="3" t="e">
        <f>INDEX(Demand_Modeling!$A$13:$I$49,MATCH(Table3[[#This Row],[Key]],Demand_Modeling!$A$13:$A$49,0),MATCH(Table3[[#Headers],[WEO]],Demand_Modeling!$A$13:$I$13,0))</f>
        <v>#N/A</v>
      </c>
      <c r="N268" s="19" t="e">
        <f>SUM(Table3[[#This Row],[OFC]:[WEO]])</f>
        <v>#N/A</v>
      </c>
      <c r="O268" s="19"/>
      <c r="Q268" s="3" t="str">
        <f>Table35[[#This Row],[Fiscal_Year]]*100+Table35[[#This Row],[Fiscal_Week]] &amp; "-" &amp;Table35[[#This Row],[Brand]]</f>
        <v>0-0</v>
      </c>
      <c r="R268" t="str">
        <f>Table3[[#This Row],[Key]]</f>
        <v>-</v>
      </c>
      <c r="S268">
        <f>Table3[[#This Row],[Fiscal_Year]]</f>
        <v>0</v>
      </c>
      <c r="T268">
        <f>Table3[[#This Row],[Fiscal_Week]]</f>
        <v>0</v>
      </c>
      <c r="U268">
        <f>Table3[[#This Row],[Brand]]</f>
        <v>0</v>
      </c>
      <c r="V268">
        <f>Table3[[#This Row],[Demand]]</f>
        <v>0</v>
      </c>
      <c r="W268" t="e">
        <f>Table3[[#This Row],[OFC]]*Table3[[#This Row],[Demand]]</f>
        <v>#N/A</v>
      </c>
      <c r="X268" t="e">
        <f>Table3[[#This Row],[TFC]]*Table3[[#This Row],[Demand]]</f>
        <v>#N/A</v>
      </c>
      <c r="Y268" t="e">
        <f>Table3[[#This Row],[WFC]]*Table3[[#This Row],[Demand]]</f>
        <v>#N/A</v>
      </c>
      <c r="Z268" t="e">
        <f>Table3[[#This Row],[EAO]]*Table3[[#This Row],[Demand]]</f>
        <v>#N/A</v>
      </c>
      <c r="AA268" t="e">
        <f>Table3[[#This Row],[OCC]]*Table3[[#This Row],[Demand]]</f>
        <v>#N/A</v>
      </c>
      <c r="AB268" t="e">
        <f>Table3[[#This Row],[WEO]]*Table3[[#This Row],[Demand]]</f>
        <v>#N/A</v>
      </c>
      <c r="AC268" s="19" t="e">
        <f>SUM(Table35[[#This Row],[OFC]:[WEO]])</f>
        <v>#N/A</v>
      </c>
      <c r="AD268" s="19" t="e">
        <f>Table35[[#This Row],[Demand]]-Table35[[#This Row],[Total_Modeled_Demand]]</f>
        <v>#N/A</v>
      </c>
    </row>
    <row r="269" spans="2:30" x14ac:dyDescent="0.3">
      <c r="B269" s="3" t="str">
        <f>Table3[[#This Row],[Fiscal_Year]]*100+Table3[[#This Row],[Fiscal_Week]] &amp; "-" &amp;Table3[[#This Row],[Brand]]</f>
        <v>0-</v>
      </c>
      <c r="C269" t="str">
        <f t="shared" si="4"/>
        <v>-</v>
      </c>
      <c r="H269" s="3" t="e">
        <f>INDEX(Demand_Modeling!$A$13:$I$49,MATCH(Table3[[#This Row],[Key]],Demand_Modeling!$A$13:$A$49,0),MATCH(Table3[[#Headers],[OFC]],Demand_Modeling!$A$13:$I$13,0))</f>
        <v>#N/A</v>
      </c>
      <c r="I269" s="3" t="e">
        <f>INDEX(Demand_Modeling!$A$13:$I$49,MATCH(Table3[[#This Row],[Key]],Demand_Modeling!$A$13:$A$49,0),MATCH(Table3[[#Headers],[TFC]],Demand_Modeling!$A$13:$I$13,0))</f>
        <v>#N/A</v>
      </c>
      <c r="J269" s="3" t="e">
        <f>INDEX(Demand_Modeling!$A$13:$I$49,MATCH(Table3[[#This Row],[Key]],Demand_Modeling!$A$13:$A$49,0),MATCH(Table3[[#Headers],[WFC]],Demand_Modeling!$A$13:$I$13,0))</f>
        <v>#N/A</v>
      </c>
      <c r="K269" s="3" t="e">
        <f>INDEX(Demand_Modeling!$A$13:$I$49,MATCH(Table3[[#This Row],[Key]],Demand_Modeling!$A$13:$A$49,0),MATCH(Table3[[#Headers],[EAO]],Demand_Modeling!$A$13:$I$13,0))</f>
        <v>#N/A</v>
      </c>
      <c r="L269" s="3" t="e">
        <f>INDEX(Demand_Modeling!$A$13:$I$49,MATCH(Table3[[#This Row],[Key]],Demand_Modeling!$A$13:$A$49,0),MATCH(Table3[[#Headers],[OCC]],Demand_Modeling!$A$13:$I$13,0))</f>
        <v>#N/A</v>
      </c>
      <c r="M269" s="3" t="e">
        <f>INDEX(Demand_Modeling!$A$13:$I$49,MATCH(Table3[[#This Row],[Key]],Demand_Modeling!$A$13:$A$49,0),MATCH(Table3[[#Headers],[WEO]],Demand_Modeling!$A$13:$I$13,0))</f>
        <v>#N/A</v>
      </c>
      <c r="N269" s="19" t="e">
        <f>SUM(Table3[[#This Row],[OFC]:[WEO]])</f>
        <v>#N/A</v>
      </c>
      <c r="O269" s="19"/>
      <c r="Q269" s="3" t="str">
        <f>Table35[[#This Row],[Fiscal_Year]]*100+Table35[[#This Row],[Fiscal_Week]] &amp; "-" &amp;Table35[[#This Row],[Brand]]</f>
        <v>0-0</v>
      </c>
      <c r="R269" t="str">
        <f>Table3[[#This Row],[Key]]</f>
        <v>-</v>
      </c>
      <c r="S269">
        <f>Table3[[#This Row],[Fiscal_Year]]</f>
        <v>0</v>
      </c>
      <c r="T269">
        <f>Table3[[#This Row],[Fiscal_Week]]</f>
        <v>0</v>
      </c>
      <c r="U269">
        <f>Table3[[#This Row],[Brand]]</f>
        <v>0</v>
      </c>
      <c r="V269">
        <f>Table3[[#This Row],[Demand]]</f>
        <v>0</v>
      </c>
      <c r="W269" t="e">
        <f>Table3[[#This Row],[OFC]]*Table3[[#This Row],[Demand]]</f>
        <v>#N/A</v>
      </c>
      <c r="X269" t="e">
        <f>Table3[[#This Row],[TFC]]*Table3[[#This Row],[Demand]]</f>
        <v>#N/A</v>
      </c>
      <c r="Y269" t="e">
        <f>Table3[[#This Row],[WFC]]*Table3[[#This Row],[Demand]]</f>
        <v>#N/A</v>
      </c>
      <c r="Z269" t="e">
        <f>Table3[[#This Row],[EAO]]*Table3[[#This Row],[Demand]]</f>
        <v>#N/A</v>
      </c>
      <c r="AA269" t="e">
        <f>Table3[[#This Row],[OCC]]*Table3[[#This Row],[Demand]]</f>
        <v>#N/A</v>
      </c>
      <c r="AB269" t="e">
        <f>Table3[[#This Row],[WEO]]*Table3[[#This Row],[Demand]]</f>
        <v>#N/A</v>
      </c>
      <c r="AC269" s="19" t="e">
        <f>SUM(Table35[[#This Row],[OFC]:[WEO]])</f>
        <v>#N/A</v>
      </c>
      <c r="AD269" s="19" t="e">
        <f>Table35[[#This Row],[Demand]]-Table35[[#This Row],[Total_Modeled_Demand]]</f>
        <v>#N/A</v>
      </c>
    </row>
    <row r="270" spans="2:30" x14ac:dyDescent="0.3">
      <c r="B270" s="3" t="str">
        <f>Table3[[#This Row],[Fiscal_Year]]*100+Table3[[#This Row],[Fiscal_Week]] &amp; "-" &amp;Table3[[#This Row],[Brand]]</f>
        <v>0-</v>
      </c>
      <c r="C270" t="str">
        <f t="shared" si="4"/>
        <v>-</v>
      </c>
      <c r="H270" s="3" t="e">
        <f>INDEX(Demand_Modeling!$A$13:$I$49,MATCH(Table3[[#This Row],[Key]],Demand_Modeling!$A$13:$A$49,0),MATCH(Table3[[#Headers],[OFC]],Demand_Modeling!$A$13:$I$13,0))</f>
        <v>#N/A</v>
      </c>
      <c r="I270" s="3" t="e">
        <f>INDEX(Demand_Modeling!$A$13:$I$49,MATCH(Table3[[#This Row],[Key]],Demand_Modeling!$A$13:$A$49,0),MATCH(Table3[[#Headers],[TFC]],Demand_Modeling!$A$13:$I$13,0))</f>
        <v>#N/A</v>
      </c>
      <c r="J270" s="3" t="e">
        <f>INDEX(Demand_Modeling!$A$13:$I$49,MATCH(Table3[[#This Row],[Key]],Demand_Modeling!$A$13:$A$49,0),MATCH(Table3[[#Headers],[WFC]],Demand_Modeling!$A$13:$I$13,0))</f>
        <v>#N/A</v>
      </c>
      <c r="K270" s="3" t="e">
        <f>INDEX(Demand_Modeling!$A$13:$I$49,MATCH(Table3[[#This Row],[Key]],Demand_Modeling!$A$13:$A$49,0),MATCH(Table3[[#Headers],[EAO]],Demand_Modeling!$A$13:$I$13,0))</f>
        <v>#N/A</v>
      </c>
      <c r="L270" s="3" t="e">
        <f>INDEX(Demand_Modeling!$A$13:$I$49,MATCH(Table3[[#This Row],[Key]],Demand_Modeling!$A$13:$A$49,0),MATCH(Table3[[#Headers],[OCC]],Demand_Modeling!$A$13:$I$13,0))</f>
        <v>#N/A</v>
      </c>
      <c r="M270" s="3" t="e">
        <f>INDEX(Demand_Modeling!$A$13:$I$49,MATCH(Table3[[#This Row],[Key]],Demand_Modeling!$A$13:$A$49,0),MATCH(Table3[[#Headers],[WEO]],Demand_Modeling!$A$13:$I$13,0))</f>
        <v>#N/A</v>
      </c>
      <c r="N270" s="19" t="e">
        <f>SUM(Table3[[#This Row],[OFC]:[WEO]])</f>
        <v>#N/A</v>
      </c>
      <c r="O270" s="19"/>
      <c r="Q270" s="3" t="str">
        <f>Table35[[#This Row],[Fiscal_Year]]*100+Table35[[#This Row],[Fiscal_Week]] &amp; "-" &amp;Table35[[#This Row],[Brand]]</f>
        <v>0-0</v>
      </c>
      <c r="R270" t="str">
        <f>Table3[[#This Row],[Key]]</f>
        <v>-</v>
      </c>
      <c r="S270">
        <f>Table3[[#This Row],[Fiscal_Year]]</f>
        <v>0</v>
      </c>
      <c r="T270">
        <f>Table3[[#This Row],[Fiscal_Week]]</f>
        <v>0</v>
      </c>
      <c r="U270">
        <f>Table3[[#This Row],[Brand]]</f>
        <v>0</v>
      </c>
      <c r="V270">
        <f>Table3[[#This Row],[Demand]]</f>
        <v>0</v>
      </c>
      <c r="W270" t="e">
        <f>Table3[[#This Row],[OFC]]*Table3[[#This Row],[Demand]]</f>
        <v>#N/A</v>
      </c>
      <c r="X270" t="e">
        <f>Table3[[#This Row],[TFC]]*Table3[[#This Row],[Demand]]</f>
        <v>#N/A</v>
      </c>
      <c r="Y270" t="e">
        <f>Table3[[#This Row],[WFC]]*Table3[[#This Row],[Demand]]</f>
        <v>#N/A</v>
      </c>
      <c r="Z270" t="e">
        <f>Table3[[#This Row],[EAO]]*Table3[[#This Row],[Demand]]</f>
        <v>#N/A</v>
      </c>
      <c r="AA270" t="e">
        <f>Table3[[#This Row],[OCC]]*Table3[[#This Row],[Demand]]</f>
        <v>#N/A</v>
      </c>
      <c r="AB270" t="e">
        <f>Table3[[#This Row],[WEO]]*Table3[[#This Row],[Demand]]</f>
        <v>#N/A</v>
      </c>
      <c r="AC270" s="19" t="e">
        <f>SUM(Table35[[#This Row],[OFC]:[WEO]])</f>
        <v>#N/A</v>
      </c>
      <c r="AD270" s="19" t="e">
        <f>Table35[[#This Row],[Demand]]-Table35[[#This Row],[Total_Modeled_Demand]]</f>
        <v>#N/A</v>
      </c>
    </row>
    <row r="271" spans="2:30" x14ac:dyDescent="0.3">
      <c r="B271" s="3" t="str">
        <f>Table3[[#This Row],[Fiscal_Year]]*100+Table3[[#This Row],[Fiscal_Week]] &amp; "-" &amp;Table3[[#This Row],[Brand]]</f>
        <v>0-</v>
      </c>
      <c r="C271" t="str">
        <f t="shared" si="4"/>
        <v>-</v>
      </c>
      <c r="H271" s="3" t="e">
        <f>INDEX(Demand_Modeling!$A$13:$I$49,MATCH(Table3[[#This Row],[Key]],Demand_Modeling!$A$13:$A$49,0),MATCH(Table3[[#Headers],[OFC]],Demand_Modeling!$A$13:$I$13,0))</f>
        <v>#N/A</v>
      </c>
      <c r="I271" s="3" t="e">
        <f>INDEX(Demand_Modeling!$A$13:$I$49,MATCH(Table3[[#This Row],[Key]],Demand_Modeling!$A$13:$A$49,0),MATCH(Table3[[#Headers],[TFC]],Demand_Modeling!$A$13:$I$13,0))</f>
        <v>#N/A</v>
      </c>
      <c r="J271" s="3" t="e">
        <f>INDEX(Demand_Modeling!$A$13:$I$49,MATCH(Table3[[#This Row],[Key]],Demand_Modeling!$A$13:$A$49,0),MATCH(Table3[[#Headers],[WFC]],Demand_Modeling!$A$13:$I$13,0))</f>
        <v>#N/A</v>
      </c>
      <c r="K271" s="3" t="e">
        <f>INDEX(Demand_Modeling!$A$13:$I$49,MATCH(Table3[[#This Row],[Key]],Demand_Modeling!$A$13:$A$49,0),MATCH(Table3[[#Headers],[EAO]],Demand_Modeling!$A$13:$I$13,0))</f>
        <v>#N/A</v>
      </c>
      <c r="L271" s="3" t="e">
        <f>INDEX(Demand_Modeling!$A$13:$I$49,MATCH(Table3[[#This Row],[Key]],Demand_Modeling!$A$13:$A$49,0),MATCH(Table3[[#Headers],[OCC]],Demand_Modeling!$A$13:$I$13,0))</f>
        <v>#N/A</v>
      </c>
      <c r="M271" s="3" t="e">
        <f>INDEX(Demand_Modeling!$A$13:$I$49,MATCH(Table3[[#This Row],[Key]],Demand_Modeling!$A$13:$A$49,0),MATCH(Table3[[#Headers],[WEO]],Demand_Modeling!$A$13:$I$13,0))</f>
        <v>#N/A</v>
      </c>
      <c r="N271" s="19" t="e">
        <f>SUM(Table3[[#This Row],[OFC]:[WEO]])</f>
        <v>#N/A</v>
      </c>
      <c r="O271" s="19"/>
      <c r="Q271" s="3" t="str">
        <f>Table35[[#This Row],[Fiscal_Year]]*100+Table35[[#This Row],[Fiscal_Week]] &amp; "-" &amp;Table35[[#This Row],[Brand]]</f>
        <v>0-0</v>
      </c>
      <c r="R271" t="str">
        <f>Table3[[#This Row],[Key]]</f>
        <v>-</v>
      </c>
      <c r="S271">
        <f>Table3[[#This Row],[Fiscal_Year]]</f>
        <v>0</v>
      </c>
      <c r="T271">
        <f>Table3[[#This Row],[Fiscal_Week]]</f>
        <v>0</v>
      </c>
      <c r="U271">
        <f>Table3[[#This Row],[Brand]]</f>
        <v>0</v>
      </c>
      <c r="V271">
        <f>Table3[[#This Row],[Demand]]</f>
        <v>0</v>
      </c>
      <c r="W271" t="e">
        <f>Table3[[#This Row],[OFC]]*Table3[[#This Row],[Demand]]</f>
        <v>#N/A</v>
      </c>
      <c r="X271" t="e">
        <f>Table3[[#This Row],[TFC]]*Table3[[#This Row],[Demand]]</f>
        <v>#N/A</v>
      </c>
      <c r="Y271" t="e">
        <f>Table3[[#This Row],[WFC]]*Table3[[#This Row],[Demand]]</f>
        <v>#N/A</v>
      </c>
      <c r="Z271" t="e">
        <f>Table3[[#This Row],[EAO]]*Table3[[#This Row],[Demand]]</f>
        <v>#N/A</v>
      </c>
      <c r="AA271" t="e">
        <f>Table3[[#This Row],[OCC]]*Table3[[#This Row],[Demand]]</f>
        <v>#N/A</v>
      </c>
      <c r="AB271" t="e">
        <f>Table3[[#This Row],[WEO]]*Table3[[#This Row],[Demand]]</f>
        <v>#N/A</v>
      </c>
      <c r="AC271" s="19" t="e">
        <f>SUM(Table35[[#This Row],[OFC]:[WEO]])</f>
        <v>#N/A</v>
      </c>
      <c r="AD271" s="19" t="e">
        <f>Table35[[#This Row],[Demand]]-Table35[[#This Row],[Total_Modeled_Demand]]</f>
        <v>#N/A</v>
      </c>
    </row>
    <row r="272" spans="2:30" x14ac:dyDescent="0.3">
      <c r="B272" s="3" t="str">
        <f>Table3[[#This Row],[Fiscal_Year]]*100+Table3[[#This Row],[Fiscal_Week]] &amp; "-" &amp;Table3[[#This Row],[Brand]]</f>
        <v>0-</v>
      </c>
      <c r="C272" t="str">
        <f t="shared" si="4"/>
        <v>-</v>
      </c>
      <c r="H272" s="3" t="e">
        <f>INDEX(Demand_Modeling!$A$13:$I$49,MATCH(Table3[[#This Row],[Key]],Demand_Modeling!$A$13:$A$49,0),MATCH(Table3[[#Headers],[OFC]],Demand_Modeling!$A$13:$I$13,0))</f>
        <v>#N/A</v>
      </c>
      <c r="I272" s="3" t="e">
        <f>INDEX(Demand_Modeling!$A$13:$I$49,MATCH(Table3[[#This Row],[Key]],Demand_Modeling!$A$13:$A$49,0),MATCH(Table3[[#Headers],[TFC]],Demand_Modeling!$A$13:$I$13,0))</f>
        <v>#N/A</v>
      </c>
      <c r="J272" s="3" t="e">
        <f>INDEX(Demand_Modeling!$A$13:$I$49,MATCH(Table3[[#This Row],[Key]],Demand_Modeling!$A$13:$A$49,0),MATCH(Table3[[#Headers],[WFC]],Demand_Modeling!$A$13:$I$13,0))</f>
        <v>#N/A</v>
      </c>
      <c r="K272" s="3" t="e">
        <f>INDEX(Demand_Modeling!$A$13:$I$49,MATCH(Table3[[#This Row],[Key]],Demand_Modeling!$A$13:$A$49,0),MATCH(Table3[[#Headers],[EAO]],Demand_Modeling!$A$13:$I$13,0))</f>
        <v>#N/A</v>
      </c>
      <c r="L272" s="3" t="e">
        <f>INDEX(Demand_Modeling!$A$13:$I$49,MATCH(Table3[[#This Row],[Key]],Demand_Modeling!$A$13:$A$49,0),MATCH(Table3[[#Headers],[OCC]],Demand_Modeling!$A$13:$I$13,0))</f>
        <v>#N/A</v>
      </c>
      <c r="M272" s="3" t="e">
        <f>INDEX(Demand_Modeling!$A$13:$I$49,MATCH(Table3[[#This Row],[Key]],Demand_Modeling!$A$13:$A$49,0),MATCH(Table3[[#Headers],[WEO]],Demand_Modeling!$A$13:$I$13,0))</f>
        <v>#N/A</v>
      </c>
      <c r="N272" s="19" t="e">
        <f>SUM(Table3[[#This Row],[OFC]:[WEO]])</f>
        <v>#N/A</v>
      </c>
      <c r="O272" s="19"/>
      <c r="Q272" s="3" t="str">
        <f>Table35[[#This Row],[Fiscal_Year]]*100+Table35[[#This Row],[Fiscal_Week]] &amp; "-" &amp;Table35[[#This Row],[Brand]]</f>
        <v>0-0</v>
      </c>
      <c r="R272" t="str">
        <f>Table3[[#This Row],[Key]]</f>
        <v>-</v>
      </c>
      <c r="S272">
        <f>Table3[[#This Row],[Fiscal_Year]]</f>
        <v>0</v>
      </c>
      <c r="T272">
        <f>Table3[[#This Row],[Fiscal_Week]]</f>
        <v>0</v>
      </c>
      <c r="U272">
        <f>Table3[[#This Row],[Brand]]</f>
        <v>0</v>
      </c>
      <c r="V272">
        <f>Table3[[#This Row],[Demand]]</f>
        <v>0</v>
      </c>
      <c r="W272" t="e">
        <f>Table3[[#This Row],[OFC]]*Table3[[#This Row],[Demand]]</f>
        <v>#N/A</v>
      </c>
      <c r="X272" t="e">
        <f>Table3[[#This Row],[TFC]]*Table3[[#This Row],[Demand]]</f>
        <v>#N/A</v>
      </c>
      <c r="Y272" t="e">
        <f>Table3[[#This Row],[WFC]]*Table3[[#This Row],[Demand]]</f>
        <v>#N/A</v>
      </c>
      <c r="Z272" t="e">
        <f>Table3[[#This Row],[EAO]]*Table3[[#This Row],[Demand]]</f>
        <v>#N/A</v>
      </c>
      <c r="AA272" t="e">
        <f>Table3[[#This Row],[OCC]]*Table3[[#This Row],[Demand]]</f>
        <v>#N/A</v>
      </c>
      <c r="AB272" t="e">
        <f>Table3[[#This Row],[WEO]]*Table3[[#This Row],[Demand]]</f>
        <v>#N/A</v>
      </c>
      <c r="AC272" s="19" t="e">
        <f>SUM(Table35[[#This Row],[OFC]:[WEO]])</f>
        <v>#N/A</v>
      </c>
      <c r="AD272" s="19" t="e">
        <f>Table35[[#This Row],[Demand]]-Table35[[#This Row],[Total_Modeled_Demand]]</f>
        <v>#N/A</v>
      </c>
    </row>
    <row r="273" spans="2:30" x14ac:dyDescent="0.3">
      <c r="B273" s="3" t="str">
        <f>Table3[[#This Row],[Fiscal_Year]]*100+Table3[[#This Row],[Fiscal_Week]] &amp; "-" &amp;Table3[[#This Row],[Brand]]</f>
        <v>0-</v>
      </c>
      <c r="C273" t="str">
        <f t="shared" si="4"/>
        <v>-</v>
      </c>
      <c r="H273" s="3" t="e">
        <f>INDEX(Demand_Modeling!$A$13:$I$49,MATCH(Table3[[#This Row],[Key]],Demand_Modeling!$A$13:$A$49,0),MATCH(Table3[[#Headers],[OFC]],Demand_Modeling!$A$13:$I$13,0))</f>
        <v>#N/A</v>
      </c>
      <c r="I273" s="3" t="e">
        <f>INDEX(Demand_Modeling!$A$13:$I$49,MATCH(Table3[[#This Row],[Key]],Demand_Modeling!$A$13:$A$49,0),MATCH(Table3[[#Headers],[TFC]],Demand_Modeling!$A$13:$I$13,0))</f>
        <v>#N/A</v>
      </c>
      <c r="J273" s="3" t="e">
        <f>INDEX(Demand_Modeling!$A$13:$I$49,MATCH(Table3[[#This Row],[Key]],Demand_Modeling!$A$13:$A$49,0),MATCH(Table3[[#Headers],[WFC]],Demand_Modeling!$A$13:$I$13,0))</f>
        <v>#N/A</v>
      </c>
      <c r="K273" s="3" t="e">
        <f>INDEX(Demand_Modeling!$A$13:$I$49,MATCH(Table3[[#This Row],[Key]],Demand_Modeling!$A$13:$A$49,0),MATCH(Table3[[#Headers],[EAO]],Demand_Modeling!$A$13:$I$13,0))</f>
        <v>#N/A</v>
      </c>
      <c r="L273" s="3" t="e">
        <f>INDEX(Demand_Modeling!$A$13:$I$49,MATCH(Table3[[#This Row],[Key]],Demand_Modeling!$A$13:$A$49,0),MATCH(Table3[[#Headers],[OCC]],Demand_Modeling!$A$13:$I$13,0))</f>
        <v>#N/A</v>
      </c>
      <c r="M273" s="3" t="e">
        <f>INDEX(Demand_Modeling!$A$13:$I$49,MATCH(Table3[[#This Row],[Key]],Demand_Modeling!$A$13:$A$49,0),MATCH(Table3[[#Headers],[WEO]],Demand_Modeling!$A$13:$I$13,0))</f>
        <v>#N/A</v>
      </c>
      <c r="N273" s="19" t="e">
        <f>SUM(Table3[[#This Row],[OFC]:[WEO]])</f>
        <v>#N/A</v>
      </c>
      <c r="O273" s="19"/>
      <c r="Q273" s="3" t="str">
        <f>Table35[[#This Row],[Fiscal_Year]]*100+Table35[[#This Row],[Fiscal_Week]] &amp; "-" &amp;Table35[[#This Row],[Brand]]</f>
        <v>0-0</v>
      </c>
      <c r="R273" t="str">
        <f>Table3[[#This Row],[Key]]</f>
        <v>-</v>
      </c>
      <c r="S273">
        <f>Table3[[#This Row],[Fiscal_Year]]</f>
        <v>0</v>
      </c>
      <c r="T273">
        <f>Table3[[#This Row],[Fiscal_Week]]</f>
        <v>0</v>
      </c>
      <c r="U273">
        <f>Table3[[#This Row],[Brand]]</f>
        <v>0</v>
      </c>
      <c r="V273">
        <f>Table3[[#This Row],[Demand]]</f>
        <v>0</v>
      </c>
      <c r="W273" t="e">
        <f>Table3[[#This Row],[OFC]]*Table3[[#This Row],[Demand]]</f>
        <v>#N/A</v>
      </c>
      <c r="X273" t="e">
        <f>Table3[[#This Row],[TFC]]*Table3[[#This Row],[Demand]]</f>
        <v>#N/A</v>
      </c>
      <c r="Y273" t="e">
        <f>Table3[[#This Row],[WFC]]*Table3[[#This Row],[Demand]]</f>
        <v>#N/A</v>
      </c>
      <c r="Z273" t="e">
        <f>Table3[[#This Row],[EAO]]*Table3[[#This Row],[Demand]]</f>
        <v>#N/A</v>
      </c>
      <c r="AA273" t="e">
        <f>Table3[[#This Row],[OCC]]*Table3[[#This Row],[Demand]]</f>
        <v>#N/A</v>
      </c>
      <c r="AB273" t="e">
        <f>Table3[[#This Row],[WEO]]*Table3[[#This Row],[Demand]]</f>
        <v>#N/A</v>
      </c>
      <c r="AC273" s="19" t="e">
        <f>SUM(Table35[[#This Row],[OFC]:[WEO]])</f>
        <v>#N/A</v>
      </c>
      <c r="AD273" s="19" t="e">
        <f>Table35[[#This Row],[Demand]]-Table35[[#This Row],[Total_Modeled_Demand]]</f>
        <v>#N/A</v>
      </c>
    </row>
    <row r="274" spans="2:30" x14ac:dyDescent="0.3">
      <c r="B274" s="3" t="str">
        <f>Table3[[#This Row],[Fiscal_Year]]*100+Table3[[#This Row],[Fiscal_Week]] &amp; "-" &amp;Table3[[#This Row],[Brand]]</f>
        <v>0-</v>
      </c>
      <c r="C274" t="str">
        <f t="shared" si="4"/>
        <v>-</v>
      </c>
      <c r="H274" s="3" t="e">
        <f>INDEX(Demand_Modeling!$A$13:$I$49,MATCH(Table3[[#This Row],[Key]],Demand_Modeling!$A$13:$A$49,0),MATCH(Table3[[#Headers],[OFC]],Demand_Modeling!$A$13:$I$13,0))</f>
        <v>#N/A</v>
      </c>
      <c r="I274" s="3" t="e">
        <f>INDEX(Demand_Modeling!$A$13:$I$49,MATCH(Table3[[#This Row],[Key]],Demand_Modeling!$A$13:$A$49,0),MATCH(Table3[[#Headers],[TFC]],Demand_Modeling!$A$13:$I$13,0))</f>
        <v>#N/A</v>
      </c>
      <c r="J274" s="3" t="e">
        <f>INDEX(Demand_Modeling!$A$13:$I$49,MATCH(Table3[[#This Row],[Key]],Demand_Modeling!$A$13:$A$49,0),MATCH(Table3[[#Headers],[WFC]],Demand_Modeling!$A$13:$I$13,0))</f>
        <v>#N/A</v>
      </c>
      <c r="K274" s="3" t="e">
        <f>INDEX(Demand_Modeling!$A$13:$I$49,MATCH(Table3[[#This Row],[Key]],Demand_Modeling!$A$13:$A$49,0),MATCH(Table3[[#Headers],[EAO]],Demand_Modeling!$A$13:$I$13,0))</f>
        <v>#N/A</v>
      </c>
      <c r="L274" s="3" t="e">
        <f>INDEX(Demand_Modeling!$A$13:$I$49,MATCH(Table3[[#This Row],[Key]],Demand_Modeling!$A$13:$A$49,0),MATCH(Table3[[#Headers],[OCC]],Demand_Modeling!$A$13:$I$13,0))</f>
        <v>#N/A</v>
      </c>
      <c r="M274" s="3" t="e">
        <f>INDEX(Demand_Modeling!$A$13:$I$49,MATCH(Table3[[#This Row],[Key]],Demand_Modeling!$A$13:$A$49,0),MATCH(Table3[[#Headers],[WEO]],Demand_Modeling!$A$13:$I$13,0))</f>
        <v>#N/A</v>
      </c>
      <c r="N274" s="19" t="e">
        <f>SUM(Table3[[#This Row],[OFC]:[WEO]])</f>
        <v>#N/A</v>
      </c>
      <c r="O274" s="19"/>
      <c r="Q274" s="3" t="str">
        <f>Table35[[#This Row],[Fiscal_Year]]*100+Table35[[#This Row],[Fiscal_Week]] &amp; "-" &amp;Table35[[#This Row],[Brand]]</f>
        <v>0-0</v>
      </c>
      <c r="R274" t="str">
        <f>Table3[[#This Row],[Key]]</f>
        <v>-</v>
      </c>
      <c r="S274">
        <f>Table3[[#This Row],[Fiscal_Year]]</f>
        <v>0</v>
      </c>
      <c r="T274">
        <f>Table3[[#This Row],[Fiscal_Week]]</f>
        <v>0</v>
      </c>
      <c r="U274">
        <f>Table3[[#This Row],[Brand]]</f>
        <v>0</v>
      </c>
      <c r="V274">
        <f>Table3[[#This Row],[Demand]]</f>
        <v>0</v>
      </c>
      <c r="W274" t="e">
        <f>Table3[[#This Row],[OFC]]*Table3[[#This Row],[Demand]]</f>
        <v>#N/A</v>
      </c>
      <c r="X274" t="e">
        <f>Table3[[#This Row],[TFC]]*Table3[[#This Row],[Demand]]</f>
        <v>#N/A</v>
      </c>
      <c r="Y274" t="e">
        <f>Table3[[#This Row],[WFC]]*Table3[[#This Row],[Demand]]</f>
        <v>#N/A</v>
      </c>
      <c r="Z274" t="e">
        <f>Table3[[#This Row],[EAO]]*Table3[[#This Row],[Demand]]</f>
        <v>#N/A</v>
      </c>
      <c r="AA274" t="e">
        <f>Table3[[#This Row],[OCC]]*Table3[[#This Row],[Demand]]</f>
        <v>#N/A</v>
      </c>
      <c r="AB274" t="e">
        <f>Table3[[#This Row],[WEO]]*Table3[[#This Row],[Demand]]</f>
        <v>#N/A</v>
      </c>
      <c r="AC274" s="19" t="e">
        <f>SUM(Table35[[#This Row],[OFC]:[WEO]])</f>
        <v>#N/A</v>
      </c>
      <c r="AD274" s="19" t="e">
        <f>Table35[[#This Row],[Demand]]-Table35[[#This Row],[Total_Modeled_Demand]]</f>
        <v>#N/A</v>
      </c>
    </row>
    <row r="275" spans="2:30" x14ac:dyDescent="0.3">
      <c r="B275" s="3" t="str">
        <f>Table3[[#This Row],[Fiscal_Year]]*100+Table3[[#This Row],[Fiscal_Week]] &amp; "-" &amp;Table3[[#This Row],[Brand]]</f>
        <v>0-</v>
      </c>
      <c r="C275" t="str">
        <f t="shared" si="4"/>
        <v>-</v>
      </c>
      <c r="H275" s="3" t="e">
        <f>INDEX(Demand_Modeling!$A$13:$I$49,MATCH(Table3[[#This Row],[Key]],Demand_Modeling!$A$13:$A$49,0),MATCH(Table3[[#Headers],[OFC]],Demand_Modeling!$A$13:$I$13,0))</f>
        <v>#N/A</v>
      </c>
      <c r="I275" s="3" t="e">
        <f>INDEX(Demand_Modeling!$A$13:$I$49,MATCH(Table3[[#This Row],[Key]],Demand_Modeling!$A$13:$A$49,0),MATCH(Table3[[#Headers],[TFC]],Demand_Modeling!$A$13:$I$13,0))</f>
        <v>#N/A</v>
      </c>
      <c r="J275" s="3" t="e">
        <f>INDEX(Demand_Modeling!$A$13:$I$49,MATCH(Table3[[#This Row],[Key]],Demand_Modeling!$A$13:$A$49,0),MATCH(Table3[[#Headers],[WFC]],Demand_Modeling!$A$13:$I$13,0))</f>
        <v>#N/A</v>
      </c>
      <c r="K275" s="3" t="e">
        <f>INDEX(Demand_Modeling!$A$13:$I$49,MATCH(Table3[[#This Row],[Key]],Demand_Modeling!$A$13:$A$49,0),MATCH(Table3[[#Headers],[EAO]],Demand_Modeling!$A$13:$I$13,0))</f>
        <v>#N/A</v>
      </c>
      <c r="L275" s="3" t="e">
        <f>INDEX(Demand_Modeling!$A$13:$I$49,MATCH(Table3[[#This Row],[Key]],Demand_Modeling!$A$13:$A$49,0),MATCH(Table3[[#Headers],[OCC]],Demand_Modeling!$A$13:$I$13,0))</f>
        <v>#N/A</v>
      </c>
      <c r="M275" s="3" t="e">
        <f>INDEX(Demand_Modeling!$A$13:$I$49,MATCH(Table3[[#This Row],[Key]],Demand_Modeling!$A$13:$A$49,0),MATCH(Table3[[#Headers],[WEO]],Demand_Modeling!$A$13:$I$13,0))</f>
        <v>#N/A</v>
      </c>
      <c r="N275" s="19" t="e">
        <f>SUM(Table3[[#This Row],[OFC]:[WEO]])</f>
        <v>#N/A</v>
      </c>
      <c r="O275" s="19"/>
      <c r="Q275" s="3" t="str">
        <f>Table35[[#This Row],[Fiscal_Year]]*100+Table35[[#This Row],[Fiscal_Week]] &amp; "-" &amp;Table35[[#This Row],[Brand]]</f>
        <v>0-0</v>
      </c>
      <c r="R275" t="str">
        <f>Table3[[#This Row],[Key]]</f>
        <v>-</v>
      </c>
      <c r="S275">
        <f>Table3[[#This Row],[Fiscal_Year]]</f>
        <v>0</v>
      </c>
      <c r="T275">
        <f>Table3[[#This Row],[Fiscal_Week]]</f>
        <v>0</v>
      </c>
      <c r="U275">
        <f>Table3[[#This Row],[Brand]]</f>
        <v>0</v>
      </c>
      <c r="V275">
        <f>Table3[[#This Row],[Demand]]</f>
        <v>0</v>
      </c>
      <c r="W275" t="e">
        <f>Table3[[#This Row],[OFC]]*Table3[[#This Row],[Demand]]</f>
        <v>#N/A</v>
      </c>
      <c r="X275" t="e">
        <f>Table3[[#This Row],[TFC]]*Table3[[#This Row],[Demand]]</f>
        <v>#N/A</v>
      </c>
      <c r="Y275" t="e">
        <f>Table3[[#This Row],[WFC]]*Table3[[#This Row],[Demand]]</f>
        <v>#N/A</v>
      </c>
      <c r="Z275" t="e">
        <f>Table3[[#This Row],[EAO]]*Table3[[#This Row],[Demand]]</f>
        <v>#N/A</v>
      </c>
      <c r="AA275" t="e">
        <f>Table3[[#This Row],[OCC]]*Table3[[#This Row],[Demand]]</f>
        <v>#N/A</v>
      </c>
      <c r="AB275" t="e">
        <f>Table3[[#This Row],[WEO]]*Table3[[#This Row],[Demand]]</f>
        <v>#N/A</v>
      </c>
      <c r="AC275" s="19" t="e">
        <f>SUM(Table35[[#This Row],[OFC]:[WEO]])</f>
        <v>#N/A</v>
      </c>
      <c r="AD275" s="19" t="e">
        <f>Table35[[#This Row],[Demand]]-Table35[[#This Row],[Total_Modeled_Demand]]</f>
        <v>#N/A</v>
      </c>
    </row>
    <row r="276" spans="2:30" x14ac:dyDescent="0.3">
      <c r="B276" s="3" t="str">
        <f>Table3[[#This Row],[Fiscal_Year]]*100+Table3[[#This Row],[Fiscal_Week]] &amp; "-" &amp;Table3[[#This Row],[Brand]]</f>
        <v>0-</v>
      </c>
      <c r="C276" t="str">
        <f t="shared" si="4"/>
        <v>-</v>
      </c>
      <c r="H276" s="3" t="e">
        <f>INDEX(Demand_Modeling!$A$13:$I$49,MATCH(Table3[[#This Row],[Key]],Demand_Modeling!$A$13:$A$49,0),MATCH(Table3[[#Headers],[OFC]],Demand_Modeling!$A$13:$I$13,0))</f>
        <v>#N/A</v>
      </c>
      <c r="I276" s="3" t="e">
        <f>INDEX(Demand_Modeling!$A$13:$I$49,MATCH(Table3[[#This Row],[Key]],Demand_Modeling!$A$13:$A$49,0),MATCH(Table3[[#Headers],[TFC]],Demand_Modeling!$A$13:$I$13,0))</f>
        <v>#N/A</v>
      </c>
      <c r="J276" s="3" t="e">
        <f>INDEX(Demand_Modeling!$A$13:$I$49,MATCH(Table3[[#This Row],[Key]],Demand_Modeling!$A$13:$A$49,0),MATCH(Table3[[#Headers],[WFC]],Demand_Modeling!$A$13:$I$13,0))</f>
        <v>#N/A</v>
      </c>
      <c r="K276" s="3" t="e">
        <f>INDEX(Demand_Modeling!$A$13:$I$49,MATCH(Table3[[#This Row],[Key]],Demand_Modeling!$A$13:$A$49,0),MATCH(Table3[[#Headers],[EAO]],Demand_Modeling!$A$13:$I$13,0))</f>
        <v>#N/A</v>
      </c>
      <c r="L276" s="3" t="e">
        <f>INDEX(Demand_Modeling!$A$13:$I$49,MATCH(Table3[[#This Row],[Key]],Demand_Modeling!$A$13:$A$49,0),MATCH(Table3[[#Headers],[OCC]],Demand_Modeling!$A$13:$I$13,0))</f>
        <v>#N/A</v>
      </c>
      <c r="M276" s="3" t="e">
        <f>INDEX(Demand_Modeling!$A$13:$I$49,MATCH(Table3[[#This Row],[Key]],Demand_Modeling!$A$13:$A$49,0),MATCH(Table3[[#Headers],[WEO]],Demand_Modeling!$A$13:$I$13,0))</f>
        <v>#N/A</v>
      </c>
      <c r="N276" s="19" t="e">
        <f>SUM(Table3[[#This Row],[OFC]:[WEO]])</f>
        <v>#N/A</v>
      </c>
      <c r="O276" s="19"/>
      <c r="Q276" s="3" t="str">
        <f>Table35[[#This Row],[Fiscal_Year]]*100+Table35[[#This Row],[Fiscal_Week]] &amp; "-" &amp;Table35[[#This Row],[Brand]]</f>
        <v>0-0</v>
      </c>
      <c r="R276" t="str">
        <f>Table3[[#This Row],[Key]]</f>
        <v>-</v>
      </c>
      <c r="S276">
        <f>Table3[[#This Row],[Fiscal_Year]]</f>
        <v>0</v>
      </c>
      <c r="T276">
        <f>Table3[[#This Row],[Fiscal_Week]]</f>
        <v>0</v>
      </c>
      <c r="U276">
        <f>Table3[[#This Row],[Brand]]</f>
        <v>0</v>
      </c>
      <c r="V276">
        <f>Table3[[#This Row],[Demand]]</f>
        <v>0</v>
      </c>
      <c r="W276" t="e">
        <f>Table3[[#This Row],[OFC]]*Table3[[#This Row],[Demand]]</f>
        <v>#N/A</v>
      </c>
      <c r="X276" t="e">
        <f>Table3[[#This Row],[TFC]]*Table3[[#This Row],[Demand]]</f>
        <v>#N/A</v>
      </c>
      <c r="Y276" t="e">
        <f>Table3[[#This Row],[WFC]]*Table3[[#This Row],[Demand]]</f>
        <v>#N/A</v>
      </c>
      <c r="Z276" t="e">
        <f>Table3[[#This Row],[EAO]]*Table3[[#This Row],[Demand]]</f>
        <v>#N/A</v>
      </c>
      <c r="AA276" t="e">
        <f>Table3[[#This Row],[OCC]]*Table3[[#This Row],[Demand]]</f>
        <v>#N/A</v>
      </c>
      <c r="AB276" t="e">
        <f>Table3[[#This Row],[WEO]]*Table3[[#This Row],[Demand]]</f>
        <v>#N/A</v>
      </c>
      <c r="AC276" s="19" t="e">
        <f>SUM(Table35[[#This Row],[OFC]:[WEO]])</f>
        <v>#N/A</v>
      </c>
      <c r="AD276" s="19" t="e">
        <f>Table35[[#This Row],[Demand]]-Table35[[#This Row],[Total_Modeled_Demand]]</f>
        <v>#N/A</v>
      </c>
    </row>
    <row r="277" spans="2:30" x14ac:dyDescent="0.3">
      <c r="B277" s="3" t="str">
        <f>Table3[[#This Row],[Fiscal_Year]]*100+Table3[[#This Row],[Fiscal_Week]] &amp; "-" &amp;Table3[[#This Row],[Brand]]</f>
        <v>0-</v>
      </c>
      <c r="C277" t="str">
        <f t="shared" si="4"/>
        <v>-</v>
      </c>
      <c r="H277" s="3" t="e">
        <f>INDEX(Demand_Modeling!$A$13:$I$49,MATCH(Table3[[#This Row],[Key]],Demand_Modeling!$A$13:$A$49,0),MATCH(Table3[[#Headers],[OFC]],Demand_Modeling!$A$13:$I$13,0))</f>
        <v>#N/A</v>
      </c>
      <c r="I277" s="3" t="e">
        <f>INDEX(Demand_Modeling!$A$13:$I$49,MATCH(Table3[[#This Row],[Key]],Demand_Modeling!$A$13:$A$49,0),MATCH(Table3[[#Headers],[TFC]],Demand_Modeling!$A$13:$I$13,0))</f>
        <v>#N/A</v>
      </c>
      <c r="J277" s="3" t="e">
        <f>INDEX(Demand_Modeling!$A$13:$I$49,MATCH(Table3[[#This Row],[Key]],Demand_Modeling!$A$13:$A$49,0),MATCH(Table3[[#Headers],[WFC]],Demand_Modeling!$A$13:$I$13,0))</f>
        <v>#N/A</v>
      </c>
      <c r="K277" s="3" t="e">
        <f>INDEX(Demand_Modeling!$A$13:$I$49,MATCH(Table3[[#This Row],[Key]],Demand_Modeling!$A$13:$A$49,0),MATCH(Table3[[#Headers],[EAO]],Demand_Modeling!$A$13:$I$13,0))</f>
        <v>#N/A</v>
      </c>
      <c r="L277" s="3" t="e">
        <f>INDEX(Demand_Modeling!$A$13:$I$49,MATCH(Table3[[#This Row],[Key]],Demand_Modeling!$A$13:$A$49,0),MATCH(Table3[[#Headers],[OCC]],Demand_Modeling!$A$13:$I$13,0))</f>
        <v>#N/A</v>
      </c>
      <c r="M277" s="3" t="e">
        <f>INDEX(Demand_Modeling!$A$13:$I$49,MATCH(Table3[[#This Row],[Key]],Demand_Modeling!$A$13:$A$49,0),MATCH(Table3[[#Headers],[WEO]],Demand_Modeling!$A$13:$I$13,0))</f>
        <v>#N/A</v>
      </c>
      <c r="N277" s="19" t="e">
        <f>SUM(Table3[[#This Row],[OFC]:[WEO]])</f>
        <v>#N/A</v>
      </c>
      <c r="O277" s="19"/>
      <c r="Q277" s="3" t="str">
        <f>Table35[[#This Row],[Fiscal_Year]]*100+Table35[[#This Row],[Fiscal_Week]] &amp; "-" &amp;Table35[[#This Row],[Brand]]</f>
        <v>0-0</v>
      </c>
      <c r="R277" t="str">
        <f>Table3[[#This Row],[Key]]</f>
        <v>-</v>
      </c>
      <c r="S277">
        <f>Table3[[#This Row],[Fiscal_Year]]</f>
        <v>0</v>
      </c>
      <c r="T277">
        <f>Table3[[#This Row],[Fiscal_Week]]</f>
        <v>0</v>
      </c>
      <c r="U277">
        <f>Table3[[#This Row],[Brand]]</f>
        <v>0</v>
      </c>
      <c r="V277">
        <f>Table3[[#This Row],[Demand]]</f>
        <v>0</v>
      </c>
      <c r="W277" t="e">
        <f>Table3[[#This Row],[OFC]]*Table3[[#This Row],[Demand]]</f>
        <v>#N/A</v>
      </c>
      <c r="X277" t="e">
        <f>Table3[[#This Row],[TFC]]*Table3[[#This Row],[Demand]]</f>
        <v>#N/A</v>
      </c>
      <c r="Y277" t="e">
        <f>Table3[[#This Row],[WFC]]*Table3[[#This Row],[Demand]]</f>
        <v>#N/A</v>
      </c>
      <c r="Z277" t="e">
        <f>Table3[[#This Row],[EAO]]*Table3[[#This Row],[Demand]]</f>
        <v>#N/A</v>
      </c>
      <c r="AA277" t="e">
        <f>Table3[[#This Row],[OCC]]*Table3[[#This Row],[Demand]]</f>
        <v>#N/A</v>
      </c>
      <c r="AB277" t="e">
        <f>Table3[[#This Row],[WEO]]*Table3[[#This Row],[Demand]]</f>
        <v>#N/A</v>
      </c>
      <c r="AC277" s="19" t="e">
        <f>SUM(Table35[[#This Row],[OFC]:[WEO]])</f>
        <v>#N/A</v>
      </c>
      <c r="AD277" s="19" t="e">
        <f>Table35[[#This Row],[Demand]]-Table35[[#This Row],[Total_Modeled_Demand]]</f>
        <v>#N/A</v>
      </c>
    </row>
    <row r="278" spans="2:30" x14ac:dyDescent="0.3">
      <c r="B278" s="3" t="str">
        <f>Table3[[#This Row],[Fiscal_Year]]*100+Table3[[#This Row],[Fiscal_Week]] &amp; "-" &amp;Table3[[#This Row],[Brand]]</f>
        <v>0-</v>
      </c>
      <c r="C278" t="str">
        <f t="shared" si="4"/>
        <v>-</v>
      </c>
      <c r="H278" s="3" t="e">
        <f>INDEX(Demand_Modeling!$A$13:$I$49,MATCH(Table3[[#This Row],[Key]],Demand_Modeling!$A$13:$A$49,0),MATCH(Table3[[#Headers],[OFC]],Demand_Modeling!$A$13:$I$13,0))</f>
        <v>#N/A</v>
      </c>
      <c r="I278" s="3" t="e">
        <f>INDEX(Demand_Modeling!$A$13:$I$49,MATCH(Table3[[#This Row],[Key]],Demand_Modeling!$A$13:$A$49,0),MATCH(Table3[[#Headers],[TFC]],Demand_Modeling!$A$13:$I$13,0))</f>
        <v>#N/A</v>
      </c>
      <c r="J278" s="3" t="e">
        <f>INDEX(Demand_Modeling!$A$13:$I$49,MATCH(Table3[[#This Row],[Key]],Demand_Modeling!$A$13:$A$49,0),MATCH(Table3[[#Headers],[WFC]],Demand_Modeling!$A$13:$I$13,0))</f>
        <v>#N/A</v>
      </c>
      <c r="K278" s="3" t="e">
        <f>INDEX(Demand_Modeling!$A$13:$I$49,MATCH(Table3[[#This Row],[Key]],Demand_Modeling!$A$13:$A$49,0),MATCH(Table3[[#Headers],[EAO]],Demand_Modeling!$A$13:$I$13,0))</f>
        <v>#N/A</v>
      </c>
      <c r="L278" s="3" t="e">
        <f>INDEX(Demand_Modeling!$A$13:$I$49,MATCH(Table3[[#This Row],[Key]],Demand_Modeling!$A$13:$A$49,0),MATCH(Table3[[#Headers],[OCC]],Demand_Modeling!$A$13:$I$13,0))</f>
        <v>#N/A</v>
      </c>
      <c r="M278" s="3" t="e">
        <f>INDEX(Demand_Modeling!$A$13:$I$49,MATCH(Table3[[#This Row],[Key]],Demand_Modeling!$A$13:$A$49,0),MATCH(Table3[[#Headers],[WEO]],Demand_Modeling!$A$13:$I$13,0))</f>
        <v>#N/A</v>
      </c>
      <c r="N278" s="19" t="e">
        <f>SUM(Table3[[#This Row],[OFC]:[WEO]])</f>
        <v>#N/A</v>
      </c>
      <c r="O278" s="19"/>
      <c r="Q278" s="3" t="str">
        <f>Table35[[#This Row],[Fiscal_Year]]*100+Table35[[#This Row],[Fiscal_Week]] &amp; "-" &amp;Table35[[#This Row],[Brand]]</f>
        <v>0-0</v>
      </c>
      <c r="R278" t="str">
        <f>Table3[[#This Row],[Key]]</f>
        <v>-</v>
      </c>
      <c r="S278">
        <f>Table3[[#This Row],[Fiscal_Year]]</f>
        <v>0</v>
      </c>
      <c r="T278">
        <f>Table3[[#This Row],[Fiscal_Week]]</f>
        <v>0</v>
      </c>
      <c r="U278">
        <f>Table3[[#This Row],[Brand]]</f>
        <v>0</v>
      </c>
      <c r="V278">
        <f>Table3[[#This Row],[Demand]]</f>
        <v>0</v>
      </c>
      <c r="W278" t="e">
        <f>Table3[[#This Row],[OFC]]*Table3[[#This Row],[Demand]]</f>
        <v>#N/A</v>
      </c>
      <c r="X278" t="e">
        <f>Table3[[#This Row],[TFC]]*Table3[[#This Row],[Demand]]</f>
        <v>#N/A</v>
      </c>
      <c r="Y278" t="e">
        <f>Table3[[#This Row],[WFC]]*Table3[[#This Row],[Demand]]</f>
        <v>#N/A</v>
      </c>
      <c r="Z278" t="e">
        <f>Table3[[#This Row],[EAO]]*Table3[[#This Row],[Demand]]</f>
        <v>#N/A</v>
      </c>
      <c r="AA278" t="e">
        <f>Table3[[#This Row],[OCC]]*Table3[[#This Row],[Demand]]</f>
        <v>#N/A</v>
      </c>
      <c r="AB278" t="e">
        <f>Table3[[#This Row],[WEO]]*Table3[[#This Row],[Demand]]</f>
        <v>#N/A</v>
      </c>
      <c r="AC278" s="19" t="e">
        <f>SUM(Table35[[#This Row],[OFC]:[WEO]])</f>
        <v>#N/A</v>
      </c>
      <c r="AD278" s="19" t="e">
        <f>Table35[[#This Row],[Demand]]-Table35[[#This Row],[Total_Modeled_Demand]]</f>
        <v>#N/A</v>
      </c>
    </row>
    <row r="279" spans="2:30" x14ac:dyDescent="0.3">
      <c r="B279" s="3" t="str">
        <f>Table3[[#This Row],[Fiscal_Year]]*100+Table3[[#This Row],[Fiscal_Week]] &amp; "-" &amp;Table3[[#This Row],[Brand]]</f>
        <v>0-</v>
      </c>
      <c r="C279" t="str">
        <f t="shared" si="4"/>
        <v>-</v>
      </c>
      <c r="H279" s="3" t="e">
        <f>INDEX(Demand_Modeling!$A$13:$I$49,MATCH(Table3[[#This Row],[Key]],Demand_Modeling!$A$13:$A$49,0),MATCH(Table3[[#Headers],[OFC]],Demand_Modeling!$A$13:$I$13,0))</f>
        <v>#N/A</v>
      </c>
      <c r="I279" s="3" t="e">
        <f>INDEX(Demand_Modeling!$A$13:$I$49,MATCH(Table3[[#This Row],[Key]],Demand_Modeling!$A$13:$A$49,0),MATCH(Table3[[#Headers],[TFC]],Demand_Modeling!$A$13:$I$13,0))</f>
        <v>#N/A</v>
      </c>
      <c r="J279" s="3" t="e">
        <f>INDEX(Demand_Modeling!$A$13:$I$49,MATCH(Table3[[#This Row],[Key]],Demand_Modeling!$A$13:$A$49,0),MATCH(Table3[[#Headers],[WFC]],Demand_Modeling!$A$13:$I$13,0))</f>
        <v>#N/A</v>
      </c>
      <c r="K279" s="3" t="e">
        <f>INDEX(Demand_Modeling!$A$13:$I$49,MATCH(Table3[[#This Row],[Key]],Demand_Modeling!$A$13:$A$49,0),MATCH(Table3[[#Headers],[EAO]],Demand_Modeling!$A$13:$I$13,0))</f>
        <v>#N/A</v>
      </c>
      <c r="L279" s="3" t="e">
        <f>INDEX(Demand_Modeling!$A$13:$I$49,MATCH(Table3[[#This Row],[Key]],Demand_Modeling!$A$13:$A$49,0),MATCH(Table3[[#Headers],[OCC]],Demand_Modeling!$A$13:$I$13,0))</f>
        <v>#N/A</v>
      </c>
      <c r="M279" s="3" t="e">
        <f>INDEX(Demand_Modeling!$A$13:$I$49,MATCH(Table3[[#This Row],[Key]],Demand_Modeling!$A$13:$A$49,0),MATCH(Table3[[#Headers],[WEO]],Demand_Modeling!$A$13:$I$13,0))</f>
        <v>#N/A</v>
      </c>
      <c r="N279" s="19" t="e">
        <f>SUM(Table3[[#This Row],[OFC]:[WEO]])</f>
        <v>#N/A</v>
      </c>
      <c r="O279" s="19"/>
      <c r="Q279" s="3" t="str">
        <f>Table35[[#This Row],[Fiscal_Year]]*100+Table35[[#This Row],[Fiscal_Week]] &amp; "-" &amp;Table35[[#This Row],[Brand]]</f>
        <v>0-0</v>
      </c>
      <c r="R279" t="str">
        <f>Table3[[#This Row],[Key]]</f>
        <v>-</v>
      </c>
      <c r="S279">
        <f>Table3[[#This Row],[Fiscal_Year]]</f>
        <v>0</v>
      </c>
      <c r="T279">
        <f>Table3[[#This Row],[Fiscal_Week]]</f>
        <v>0</v>
      </c>
      <c r="U279">
        <f>Table3[[#This Row],[Brand]]</f>
        <v>0</v>
      </c>
      <c r="V279">
        <f>Table3[[#This Row],[Demand]]</f>
        <v>0</v>
      </c>
      <c r="W279" t="e">
        <f>Table3[[#This Row],[OFC]]*Table3[[#This Row],[Demand]]</f>
        <v>#N/A</v>
      </c>
      <c r="X279" t="e">
        <f>Table3[[#This Row],[TFC]]*Table3[[#This Row],[Demand]]</f>
        <v>#N/A</v>
      </c>
      <c r="Y279" t="e">
        <f>Table3[[#This Row],[WFC]]*Table3[[#This Row],[Demand]]</f>
        <v>#N/A</v>
      </c>
      <c r="Z279" t="e">
        <f>Table3[[#This Row],[EAO]]*Table3[[#This Row],[Demand]]</f>
        <v>#N/A</v>
      </c>
      <c r="AA279" t="e">
        <f>Table3[[#This Row],[OCC]]*Table3[[#This Row],[Demand]]</f>
        <v>#N/A</v>
      </c>
      <c r="AB279" t="e">
        <f>Table3[[#This Row],[WEO]]*Table3[[#This Row],[Demand]]</f>
        <v>#N/A</v>
      </c>
      <c r="AC279" s="19" t="e">
        <f>SUM(Table35[[#This Row],[OFC]:[WEO]])</f>
        <v>#N/A</v>
      </c>
      <c r="AD279" s="19" t="e">
        <f>Table35[[#This Row],[Demand]]-Table35[[#This Row],[Total_Modeled_Demand]]</f>
        <v>#N/A</v>
      </c>
    </row>
    <row r="280" spans="2:30" x14ac:dyDescent="0.3">
      <c r="B280" s="3" t="str">
        <f>Table3[[#This Row],[Fiscal_Year]]*100+Table3[[#This Row],[Fiscal_Week]] &amp; "-" &amp;Table3[[#This Row],[Brand]]</f>
        <v>0-</v>
      </c>
      <c r="C280" t="str">
        <f t="shared" si="4"/>
        <v>-</v>
      </c>
      <c r="H280" s="3" t="e">
        <f>INDEX(Demand_Modeling!$A$13:$I$49,MATCH(Table3[[#This Row],[Key]],Demand_Modeling!$A$13:$A$49,0),MATCH(Table3[[#Headers],[OFC]],Demand_Modeling!$A$13:$I$13,0))</f>
        <v>#N/A</v>
      </c>
      <c r="I280" s="3" t="e">
        <f>INDEX(Demand_Modeling!$A$13:$I$49,MATCH(Table3[[#This Row],[Key]],Demand_Modeling!$A$13:$A$49,0),MATCH(Table3[[#Headers],[TFC]],Demand_Modeling!$A$13:$I$13,0))</f>
        <v>#N/A</v>
      </c>
      <c r="J280" s="3" t="e">
        <f>INDEX(Demand_Modeling!$A$13:$I$49,MATCH(Table3[[#This Row],[Key]],Demand_Modeling!$A$13:$A$49,0),MATCH(Table3[[#Headers],[WFC]],Demand_Modeling!$A$13:$I$13,0))</f>
        <v>#N/A</v>
      </c>
      <c r="K280" s="3" t="e">
        <f>INDEX(Demand_Modeling!$A$13:$I$49,MATCH(Table3[[#This Row],[Key]],Demand_Modeling!$A$13:$A$49,0),MATCH(Table3[[#Headers],[EAO]],Demand_Modeling!$A$13:$I$13,0))</f>
        <v>#N/A</v>
      </c>
      <c r="L280" s="3" t="e">
        <f>INDEX(Demand_Modeling!$A$13:$I$49,MATCH(Table3[[#This Row],[Key]],Demand_Modeling!$A$13:$A$49,0),MATCH(Table3[[#Headers],[OCC]],Demand_Modeling!$A$13:$I$13,0))</f>
        <v>#N/A</v>
      </c>
      <c r="M280" s="3" t="e">
        <f>INDEX(Demand_Modeling!$A$13:$I$49,MATCH(Table3[[#This Row],[Key]],Demand_Modeling!$A$13:$A$49,0),MATCH(Table3[[#Headers],[WEO]],Demand_Modeling!$A$13:$I$13,0))</f>
        <v>#N/A</v>
      </c>
      <c r="N280" s="19" t="e">
        <f>SUM(Table3[[#This Row],[OFC]:[WEO]])</f>
        <v>#N/A</v>
      </c>
      <c r="O280" s="19"/>
      <c r="Q280" s="3" t="str">
        <f>Table35[[#This Row],[Fiscal_Year]]*100+Table35[[#This Row],[Fiscal_Week]] &amp; "-" &amp;Table35[[#This Row],[Brand]]</f>
        <v>0-0</v>
      </c>
      <c r="R280" t="str">
        <f>Table3[[#This Row],[Key]]</f>
        <v>-</v>
      </c>
      <c r="S280">
        <f>Table3[[#This Row],[Fiscal_Year]]</f>
        <v>0</v>
      </c>
      <c r="T280">
        <f>Table3[[#This Row],[Fiscal_Week]]</f>
        <v>0</v>
      </c>
      <c r="U280">
        <f>Table3[[#This Row],[Brand]]</f>
        <v>0</v>
      </c>
      <c r="V280">
        <f>Table3[[#This Row],[Demand]]</f>
        <v>0</v>
      </c>
      <c r="W280" t="e">
        <f>Table3[[#This Row],[OFC]]*Table3[[#This Row],[Demand]]</f>
        <v>#N/A</v>
      </c>
      <c r="X280" t="e">
        <f>Table3[[#This Row],[TFC]]*Table3[[#This Row],[Demand]]</f>
        <v>#N/A</v>
      </c>
      <c r="Y280" t="e">
        <f>Table3[[#This Row],[WFC]]*Table3[[#This Row],[Demand]]</f>
        <v>#N/A</v>
      </c>
      <c r="Z280" t="e">
        <f>Table3[[#This Row],[EAO]]*Table3[[#This Row],[Demand]]</f>
        <v>#N/A</v>
      </c>
      <c r="AA280" t="e">
        <f>Table3[[#This Row],[OCC]]*Table3[[#This Row],[Demand]]</f>
        <v>#N/A</v>
      </c>
      <c r="AB280" t="e">
        <f>Table3[[#This Row],[WEO]]*Table3[[#This Row],[Demand]]</f>
        <v>#N/A</v>
      </c>
      <c r="AC280" s="19" t="e">
        <f>SUM(Table35[[#This Row],[OFC]:[WEO]])</f>
        <v>#N/A</v>
      </c>
      <c r="AD280" s="19" t="e">
        <f>Table35[[#This Row],[Demand]]-Table35[[#This Row],[Total_Modeled_Demand]]</f>
        <v>#N/A</v>
      </c>
    </row>
    <row r="281" spans="2:30" x14ac:dyDescent="0.3">
      <c r="B281" s="3" t="str">
        <f>Table3[[#This Row],[Fiscal_Year]]*100+Table3[[#This Row],[Fiscal_Week]] &amp; "-" &amp;Table3[[#This Row],[Brand]]</f>
        <v>0-</v>
      </c>
      <c r="C281" t="str">
        <f t="shared" si="4"/>
        <v>-</v>
      </c>
      <c r="H281" s="3" t="e">
        <f>INDEX(Demand_Modeling!$A$13:$I$49,MATCH(Table3[[#This Row],[Key]],Demand_Modeling!$A$13:$A$49,0),MATCH(Table3[[#Headers],[OFC]],Demand_Modeling!$A$13:$I$13,0))</f>
        <v>#N/A</v>
      </c>
      <c r="I281" s="3" t="e">
        <f>INDEX(Demand_Modeling!$A$13:$I$49,MATCH(Table3[[#This Row],[Key]],Demand_Modeling!$A$13:$A$49,0),MATCH(Table3[[#Headers],[TFC]],Demand_Modeling!$A$13:$I$13,0))</f>
        <v>#N/A</v>
      </c>
      <c r="J281" s="3" t="e">
        <f>INDEX(Demand_Modeling!$A$13:$I$49,MATCH(Table3[[#This Row],[Key]],Demand_Modeling!$A$13:$A$49,0),MATCH(Table3[[#Headers],[WFC]],Demand_Modeling!$A$13:$I$13,0))</f>
        <v>#N/A</v>
      </c>
      <c r="K281" s="3" t="e">
        <f>INDEX(Demand_Modeling!$A$13:$I$49,MATCH(Table3[[#This Row],[Key]],Demand_Modeling!$A$13:$A$49,0),MATCH(Table3[[#Headers],[EAO]],Demand_Modeling!$A$13:$I$13,0))</f>
        <v>#N/A</v>
      </c>
      <c r="L281" s="3" t="e">
        <f>INDEX(Demand_Modeling!$A$13:$I$49,MATCH(Table3[[#This Row],[Key]],Demand_Modeling!$A$13:$A$49,0),MATCH(Table3[[#Headers],[OCC]],Demand_Modeling!$A$13:$I$13,0))</f>
        <v>#N/A</v>
      </c>
      <c r="M281" s="3" t="e">
        <f>INDEX(Demand_Modeling!$A$13:$I$49,MATCH(Table3[[#This Row],[Key]],Demand_Modeling!$A$13:$A$49,0),MATCH(Table3[[#Headers],[WEO]],Demand_Modeling!$A$13:$I$13,0))</f>
        <v>#N/A</v>
      </c>
      <c r="N281" s="19" t="e">
        <f>SUM(Table3[[#This Row],[OFC]:[WEO]])</f>
        <v>#N/A</v>
      </c>
      <c r="O281" s="19"/>
      <c r="Q281" s="3" t="str">
        <f>Table35[[#This Row],[Fiscal_Year]]*100+Table35[[#This Row],[Fiscal_Week]] &amp; "-" &amp;Table35[[#This Row],[Brand]]</f>
        <v>0-0</v>
      </c>
      <c r="R281" t="str">
        <f>Table3[[#This Row],[Key]]</f>
        <v>-</v>
      </c>
      <c r="S281">
        <f>Table3[[#This Row],[Fiscal_Year]]</f>
        <v>0</v>
      </c>
      <c r="T281">
        <f>Table3[[#This Row],[Fiscal_Week]]</f>
        <v>0</v>
      </c>
      <c r="U281">
        <f>Table3[[#This Row],[Brand]]</f>
        <v>0</v>
      </c>
      <c r="V281">
        <f>Table3[[#This Row],[Demand]]</f>
        <v>0</v>
      </c>
      <c r="W281" t="e">
        <f>Table3[[#This Row],[OFC]]*Table3[[#This Row],[Demand]]</f>
        <v>#N/A</v>
      </c>
      <c r="X281" t="e">
        <f>Table3[[#This Row],[TFC]]*Table3[[#This Row],[Demand]]</f>
        <v>#N/A</v>
      </c>
      <c r="Y281" t="e">
        <f>Table3[[#This Row],[WFC]]*Table3[[#This Row],[Demand]]</f>
        <v>#N/A</v>
      </c>
      <c r="Z281" t="e">
        <f>Table3[[#This Row],[EAO]]*Table3[[#This Row],[Demand]]</f>
        <v>#N/A</v>
      </c>
      <c r="AA281" t="e">
        <f>Table3[[#This Row],[OCC]]*Table3[[#This Row],[Demand]]</f>
        <v>#N/A</v>
      </c>
      <c r="AB281" t="e">
        <f>Table3[[#This Row],[WEO]]*Table3[[#This Row],[Demand]]</f>
        <v>#N/A</v>
      </c>
      <c r="AC281" s="19" t="e">
        <f>SUM(Table35[[#This Row],[OFC]:[WEO]])</f>
        <v>#N/A</v>
      </c>
      <c r="AD281" s="19" t="e">
        <f>Table35[[#This Row],[Demand]]-Table35[[#This Row],[Total_Modeled_Demand]]</f>
        <v>#N/A</v>
      </c>
    </row>
    <row r="282" spans="2:30" x14ac:dyDescent="0.3">
      <c r="B282" s="3" t="str">
        <f>Table3[[#This Row],[Fiscal_Year]]*100+Table3[[#This Row],[Fiscal_Week]] &amp; "-" &amp;Table3[[#This Row],[Brand]]</f>
        <v>0-</v>
      </c>
      <c r="C282" t="str">
        <f t="shared" si="4"/>
        <v>-</v>
      </c>
      <c r="H282" s="3" t="e">
        <f>INDEX(Demand_Modeling!$A$13:$I$49,MATCH(Table3[[#This Row],[Key]],Demand_Modeling!$A$13:$A$49,0),MATCH(Table3[[#Headers],[OFC]],Demand_Modeling!$A$13:$I$13,0))</f>
        <v>#N/A</v>
      </c>
      <c r="I282" s="3" t="e">
        <f>INDEX(Demand_Modeling!$A$13:$I$49,MATCH(Table3[[#This Row],[Key]],Demand_Modeling!$A$13:$A$49,0),MATCH(Table3[[#Headers],[TFC]],Demand_Modeling!$A$13:$I$13,0))</f>
        <v>#N/A</v>
      </c>
      <c r="J282" s="3" t="e">
        <f>INDEX(Demand_Modeling!$A$13:$I$49,MATCH(Table3[[#This Row],[Key]],Demand_Modeling!$A$13:$A$49,0),MATCH(Table3[[#Headers],[WFC]],Demand_Modeling!$A$13:$I$13,0))</f>
        <v>#N/A</v>
      </c>
      <c r="K282" s="3" t="e">
        <f>INDEX(Demand_Modeling!$A$13:$I$49,MATCH(Table3[[#This Row],[Key]],Demand_Modeling!$A$13:$A$49,0),MATCH(Table3[[#Headers],[EAO]],Demand_Modeling!$A$13:$I$13,0))</f>
        <v>#N/A</v>
      </c>
      <c r="L282" s="3" t="e">
        <f>INDEX(Demand_Modeling!$A$13:$I$49,MATCH(Table3[[#This Row],[Key]],Demand_Modeling!$A$13:$A$49,0),MATCH(Table3[[#Headers],[OCC]],Demand_Modeling!$A$13:$I$13,0))</f>
        <v>#N/A</v>
      </c>
      <c r="M282" s="3" t="e">
        <f>INDEX(Demand_Modeling!$A$13:$I$49,MATCH(Table3[[#This Row],[Key]],Demand_Modeling!$A$13:$A$49,0),MATCH(Table3[[#Headers],[WEO]],Demand_Modeling!$A$13:$I$13,0))</f>
        <v>#N/A</v>
      </c>
      <c r="N282" s="19" t="e">
        <f>SUM(Table3[[#This Row],[OFC]:[WEO]])</f>
        <v>#N/A</v>
      </c>
      <c r="O282" s="19"/>
      <c r="Q282" s="3" t="str">
        <f>Table35[[#This Row],[Fiscal_Year]]*100+Table35[[#This Row],[Fiscal_Week]] &amp; "-" &amp;Table35[[#This Row],[Brand]]</f>
        <v>0-0</v>
      </c>
      <c r="R282" t="str">
        <f>Table3[[#This Row],[Key]]</f>
        <v>-</v>
      </c>
      <c r="S282">
        <f>Table3[[#This Row],[Fiscal_Year]]</f>
        <v>0</v>
      </c>
      <c r="T282">
        <f>Table3[[#This Row],[Fiscal_Week]]</f>
        <v>0</v>
      </c>
      <c r="U282">
        <f>Table3[[#This Row],[Brand]]</f>
        <v>0</v>
      </c>
      <c r="V282">
        <f>Table3[[#This Row],[Demand]]</f>
        <v>0</v>
      </c>
      <c r="W282" t="e">
        <f>Table3[[#This Row],[OFC]]*Table3[[#This Row],[Demand]]</f>
        <v>#N/A</v>
      </c>
      <c r="X282" t="e">
        <f>Table3[[#This Row],[TFC]]*Table3[[#This Row],[Demand]]</f>
        <v>#N/A</v>
      </c>
      <c r="Y282" t="e">
        <f>Table3[[#This Row],[WFC]]*Table3[[#This Row],[Demand]]</f>
        <v>#N/A</v>
      </c>
      <c r="Z282" t="e">
        <f>Table3[[#This Row],[EAO]]*Table3[[#This Row],[Demand]]</f>
        <v>#N/A</v>
      </c>
      <c r="AA282" t="e">
        <f>Table3[[#This Row],[OCC]]*Table3[[#This Row],[Demand]]</f>
        <v>#N/A</v>
      </c>
      <c r="AB282" t="e">
        <f>Table3[[#This Row],[WEO]]*Table3[[#This Row],[Demand]]</f>
        <v>#N/A</v>
      </c>
      <c r="AC282" s="19" t="e">
        <f>SUM(Table35[[#This Row],[OFC]:[WEO]])</f>
        <v>#N/A</v>
      </c>
      <c r="AD282" s="19" t="e">
        <f>Table35[[#This Row],[Demand]]-Table35[[#This Row],[Total_Modeled_Demand]]</f>
        <v>#N/A</v>
      </c>
    </row>
    <row r="283" spans="2:30" x14ac:dyDescent="0.3">
      <c r="B283" s="3" t="str">
        <f>Table3[[#This Row],[Fiscal_Year]]*100+Table3[[#This Row],[Fiscal_Week]] &amp; "-" &amp;Table3[[#This Row],[Brand]]</f>
        <v>0-</v>
      </c>
      <c r="C283" t="str">
        <f t="shared" si="4"/>
        <v>-</v>
      </c>
      <c r="H283" s="3" t="e">
        <f>INDEX(Demand_Modeling!$A$13:$I$49,MATCH(Table3[[#This Row],[Key]],Demand_Modeling!$A$13:$A$49,0),MATCH(Table3[[#Headers],[OFC]],Demand_Modeling!$A$13:$I$13,0))</f>
        <v>#N/A</v>
      </c>
      <c r="I283" s="3" t="e">
        <f>INDEX(Demand_Modeling!$A$13:$I$49,MATCH(Table3[[#This Row],[Key]],Demand_Modeling!$A$13:$A$49,0),MATCH(Table3[[#Headers],[TFC]],Demand_Modeling!$A$13:$I$13,0))</f>
        <v>#N/A</v>
      </c>
      <c r="J283" s="3" t="e">
        <f>INDEX(Demand_Modeling!$A$13:$I$49,MATCH(Table3[[#This Row],[Key]],Demand_Modeling!$A$13:$A$49,0),MATCH(Table3[[#Headers],[WFC]],Demand_Modeling!$A$13:$I$13,0))</f>
        <v>#N/A</v>
      </c>
      <c r="K283" s="3" t="e">
        <f>INDEX(Demand_Modeling!$A$13:$I$49,MATCH(Table3[[#This Row],[Key]],Demand_Modeling!$A$13:$A$49,0),MATCH(Table3[[#Headers],[EAO]],Demand_Modeling!$A$13:$I$13,0))</f>
        <v>#N/A</v>
      </c>
      <c r="L283" s="3" t="e">
        <f>INDEX(Demand_Modeling!$A$13:$I$49,MATCH(Table3[[#This Row],[Key]],Demand_Modeling!$A$13:$A$49,0),MATCH(Table3[[#Headers],[OCC]],Demand_Modeling!$A$13:$I$13,0))</f>
        <v>#N/A</v>
      </c>
      <c r="M283" s="3" t="e">
        <f>INDEX(Demand_Modeling!$A$13:$I$49,MATCH(Table3[[#This Row],[Key]],Demand_Modeling!$A$13:$A$49,0),MATCH(Table3[[#Headers],[WEO]],Demand_Modeling!$A$13:$I$13,0))</f>
        <v>#N/A</v>
      </c>
      <c r="N283" s="19" t="e">
        <f>SUM(Table3[[#This Row],[OFC]:[WEO]])</f>
        <v>#N/A</v>
      </c>
      <c r="O283" s="19"/>
      <c r="Q283" s="3" t="str">
        <f>Table35[[#This Row],[Fiscal_Year]]*100+Table35[[#This Row],[Fiscal_Week]] &amp; "-" &amp;Table35[[#This Row],[Brand]]</f>
        <v>0-0</v>
      </c>
      <c r="R283" t="str">
        <f>Table3[[#This Row],[Key]]</f>
        <v>-</v>
      </c>
      <c r="S283">
        <f>Table3[[#This Row],[Fiscal_Year]]</f>
        <v>0</v>
      </c>
      <c r="T283">
        <f>Table3[[#This Row],[Fiscal_Week]]</f>
        <v>0</v>
      </c>
      <c r="U283">
        <f>Table3[[#This Row],[Brand]]</f>
        <v>0</v>
      </c>
      <c r="V283">
        <f>Table3[[#This Row],[Demand]]</f>
        <v>0</v>
      </c>
      <c r="W283" t="e">
        <f>Table3[[#This Row],[OFC]]*Table3[[#This Row],[Demand]]</f>
        <v>#N/A</v>
      </c>
      <c r="X283" t="e">
        <f>Table3[[#This Row],[TFC]]*Table3[[#This Row],[Demand]]</f>
        <v>#N/A</v>
      </c>
      <c r="Y283" t="e">
        <f>Table3[[#This Row],[WFC]]*Table3[[#This Row],[Demand]]</f>
        <v>#N/A</v>
      </c>
      <c r="Z283" t="e">
        <f>Table3[[#This Row],[EAO]]*Table3[[#This Row],[Demand]]</f>
        <v>#N/A</v>
      </c>
      <c r="AA283" t="e">
        <f>Table3[[#This Row],[OCC]]*Table3[[#This Row],[Demand]]</f>
        <v>#N/A</v>
      </c>
      <c r="AB283" t="e">
        <f>Table3[[#This Row],[WEO]]*Table3[[#This Row],[Demand]]</f>
        <v>#N/A</v>
      </c>
      <c r="AC283" s="19" t="e">
        <f>SUM(Table35[[#This Row],[OFC]:[WEO]])</f>
        <v>#N/A</v>
      </c>
      <c r="AD283" s="19" t="e">
        <f>Table35[[#This Row],[Demand]]-Table35[[#This Row],[Total_Modeled_Demand]]</f>
        <v>#N/A</v>
      </c>
    </row>
    <row r="284" spans="2:30" x14ac:dyDescent="0.3">
      <c r="B284" s="3" t="str">
        <f>Table3[[#This Row],[Fiscal_Year]]*100+Table3[[#This Row],[Fiscal_Week]] &amp; "-" &amp;Table3[[#This Row],[Brand]]</f>
        <v>0-</v>
      </c>
      <c r="C284" t="str">
        <f t="shared" si="4"/>
        <v>-</v>
      </c>
      <c r="H284" s="3" t="e">
        <f>INDEX(Demand_Modeling!$A$13:$I$49,MATCH(Table3[[#This Row],[Key]],Demand_Modeling!$A$13:$A$49,0),MATCH(Table3[[#Headers],[OFC]],Demand_Modeling!$A$13:$I$13,0))</f>
        <v>#N/A</v>
      </c>
      <c r="I284" s="3" t="e">
        <f>INDEX(Demand_Modeling!$A$13:$I$49,MATCH(Table3[[#This Row],[Key]],Demand_Modeling!$A$13:$A$49,0),MATCH(Table3[[#Headers],[TFC]],Demand_Modeling!$A$13:$I$13,0))</f>
        <v>#N/A</v>
      </c>
      <c r="J284" s="3" t="e">
        <f>INDEX(Demand_Modeling!$A$13:$I$49,MATCH(Table3[[#This Row],[Key]],Demand_Modeling!$A$13:$A$49,0),MATCH(Table3[[#Headers],[WFC]],Demand_Modeling!$A$13:$I$13,0))</f>
        <v>#N/A</v>
      </c>
      <c r="K284" s="3" t="e">
        <f>INDEX(Demand_Modeling!$A$13:$I$49,MATCH(Table3[[#This Row],[Key]],Demand_Modeling!$A$13:$A$49,0),MATCH(Table3[[#Headers],[EAO]],Demand_Modeling!$A$13:$I$13,0))</f>
        <v>#N/A</v>
      </c>
      <c r="L284" s="3" t="e">
        <f>INDEX(Demand_Modeling!$A$13:$I$49,MATCH(Table3[[#This Row],[Key]],Demand_Modeling!$A$13:$A$49,0),MATCH(Table3[[#Headers],[OCC]],Demand_Modeling!$A$13:$I$13,0))</f>
        <v>#N/A</v>
      </c>
      <c r="M284" s="3" t="e">
        <f>INDEX(Demand_Modeling!$A$13:$I$49,MATCH(Table3[[#This Row],[Key]],Demand_Modeling!$A$13:$A$49,0),MATCH(Table3[[#Headers],[WEO]],Demand_Modeling!$A$13:$I$13,0))</f>
        <v>#N/A</v>
      </c>
      <c r="N284" s="19" t="e">
        <f>SUM(Table3[[#This Row],[OFC]:[WEO]])</f>
        <v>#N/A</v>
      </c>
      <c r="O284" s="19"/>
      <c r="Q284" s="3" t="str">
        <f>Table35[[#This Row],[Fiscal_Year]]*100+Table35[[#This Row],[Fiscal_Week]] &amp; "-" &amp;Table35[[#This Row],[Brand]]</f>
        <v>0-0</v>
      </c>
      <c r="R284" t="str">
        <f>Table3[[#This Row],[Key]]</f>
        <v>-</v>
      </c>
      <c r="S284">
        <f>Table3[[#This Row],[Fiscal_Year]]</f>
        <v>0</v>
      </c>
      <c r="T284">
        <f>Table3[[#This Row],[Fiscal_Week]]</f>
        <v>0</v>
      </c>
      <c r="U284">
        <f>Table3[[#This Row],[Brand]]</f>
        <v>0</v>
      </c>
      <c r="V284">
        <f>Table3[[#This Row],[Demand]]</f>
        <v>0</v>
      </c>
      <c r="W284" t="e">
        <f>Table3[[#This Row],[OFC]]*Table3[[#This Row],[Demand]]</f>
        <v>#N/A</v>
      </c>
      <c r="X284" t="e">
        <f>Table3[[#This Row],[TFC]]*Table3[[#This Row],[Demand]]</f>
        <v>#N/A</v>
      </c>
      <c r="Y284" t="e">
        <f>Table3[[#This Row],[WFC]]*Table3[[#This Row],[Demand]]</f>
        <v>#N/A</v>
      </c>
      <c r="Z284" t="e">
        <f>Table3[[#This Row],[EAO]]*Table3[[#This Row],[Demand]]</f>
        <v>#N/A</v>
      </c>
      <c r="AA284" t="e">
        <f>Table3[[#This Row],[OCC]]*Table3[[#This Row],[Demand]]</f>
        <v>#N/A</v>
      </c>
      <c r="AB284" t="e">
        <f>Table3[[#This Row],[WEO]]*Table3[[#This Row],[Demand]]</f>
        <v>#N/A</v>
      </c>
      <c r="AC284" s="19" t="e">
        <f>SUM(Table35[[#This Row],[OFC]:[WEO]])</f>
        <v>#N/A</v>
      </c>
      <c r="AD284" s="19" t="e">
        <f>Table35[[#This Row],[Demand]]-Table35[[#This Row],[Total_Modeled_Demand]]</f>
        <v>#N/A</v>
      </c>
    </row>
    <row r="285" spans="2:30" x14ac:dyDescent="0.3">
      <c r="B285" s="3" t="str">
        <f>Table3[[#This Row],[Fiscal_Year]]*100+Table3[[#This Row],[Fiscal_Week]] &amp; "-" &amp;Table3[[#This Row],[Brand]]</f>
        <v>0-</v>
      </c>
      <c r="C285" t="str">
        <f t="shared" si="4"/>
        <v>-</v>
      </c>
      <c r="H285" s="3" t="e">
        <f>INDEX(Demand_Modeling!$A$13:$I$49,MATCH(Table3[[#This Row],[Key]],Demand_Modeling!$A$13:$A$49,0),MATCH(Table3[[#Headers],[OFC]],Demand_Modeling!$A$13:$I$13,0))</f>
        <v>#N/A</v>
      </c>
      <c r="I285" s="3" t="e">
        <f>INDEX(Demand_Modeling!$A$13:$I$49,MATCH(Table3[[#This Row],[Key]],Demand_Modeling!$A$13:$A$49,0),MATCH(Table3[[#Headers],[TFC]],Demand_Modeling!$A$13:$I$13,0))</f>
        <v>#N/A</v>
      </c>
      <c r="J285" s="3" t="e">
        <f>INDEX(Demand_Modeling!$A$13:$I$49,MATCH(Table3[[#This Row],[Key]],Demand_Modeling!$A$13:$A$49,0),MATCH(Table3[[#Headers],[WFC]],Demand_Modeling!$A$13:$I$13,0))</f>
        <v>#N/A</v>
      </c>
      <c r="K285" s="3" t="e">
        <f>INDEX(Demand_Modeling!$A$13:$I$49,MATCH(Table3[[#This Row],[Key]],Demand_Modeling!$A$13:$A$49,0),MATCH(Table3[[#Headers],[EAO]],Demand_Modeling!$A$13:$I$13,0))</f>
        <v>#N/A</v>
      </c>
      <c r="L285" s="3" t="e">
        <f>INDEX(Demand_Modeling!$A$13:$I$49,MATCH(Table3[[#This Row],[Key]],Demand_Modeling!$A$13:$A$49,0),MATCH(Table3[[#Headers],[OCC]],Demand_Modeling!$A$13:$I$13,0))</f>
        <v>#N/A</v>
      </c>
      <c r="M285" s="3" t="e">
        <f>INDEX(Demand_Modeling!$A$13:$I$49,MATCH(Table3[[#This Row],[Key]],Demand_Modeling!$A$13:$A$49,0),MATCH(Table3[[#Headers],[WEO]],Demand_Modeling!$A$13:$I$13,0))</f>
        <v>#N/A</v>
      </c>
      <c r="N285" s="19" t="e">
        <f>SUM(Table3[[#This Row],[OFC]:[WEO]])</f>
        <v>#N/A</v>
      </c>
      <c r="O285" s="19"/>
      <c r="Q285" s="3" t="str">
        <f>Table35[[#This Row],[Fiscal_Year]]*100+Table35[[#This Row],[Fiscal_Week]] &amp; "-" &amp;Table35[[#This Row],[Brand]]</f>
        <v>0-0</v>
      </c>
      <c r="R285" t="str">
        <f>Table3[[#This Row],[Key]]</f>
        <v>-</v>
      </c>
      <c r="S285">
        <f>Table3[[#This Row],[Fiscal_Year]]</f>
        <v>0</v>
      </c>
      <c r="T285">
        <f>Table3[[#This Row],[Fiscal_Week]]</f>
        <v>0</v>
      </c>
      <c r="U285">
        <f>Table3[[#This Row],[Brand]]</f>
        <v>0</v>
      </c>
      <c r="V285">
        <f>Table3[[#This Row],[Demand]]</f>
        <v>0</v>
      </c>
      <c r="W285" t="e">
        <f>Table3[[#This Row],[OFC]]*Table3[[#This Row],[Demand]]</f>
        <v>#N/A</v>
      </c>
      <c r="X285" t="e">
        <f>Table3[[#This Row],[TFC]]*Table3[[#This Row],[Demand]]</f>
        <v>#N/A</v>
      </c>
      <c r="Y285" t="e">
        <f>Table3[[#This Row],[WFC]]*Table3[[#This Row],[Demand]]</f>
        <v>#N/A</v>
      </c>
      <c r="Z285" t="e">
        <f>Table3[[#This Row],[EAO]]*Table3[[#This Row],[Demand]]</f>
        <v>#N/A</v>
      </c>
      <c r="AA285" t="e">
        <f>Table3[[#This Row],[OCC]]*Table3[[#This Row],[Demand]]</f>
        <v>#N/A</v>
      </c>
      <c r="AB285" t="e">
        <f>Table3[[#This Row],[WEO]]*Table3[[#This Row],[Demand]]</f>
        <v>#N/A</v>
      </c>
      <c r="AC285" s="19" t="e">
        <f>SUM(Table35[[#This Row],[OFC]:[WEO]])</f>
        <v>#N/A</v>
      </c>
      <c r="AD285" s="19" t="e">
        <f>Table35[[#This Row],[Demand]]-Table35[[#This Row],[Total_Modeled_Demand]]</f>
        <v>#N/A</v>
      </c>
    </row>
    <row r="286" spans="2:30" x14ac:dyDescent="0.3">
      <c r="B286" s="3" t="str">
        <f>Table3[[#This Row],[Fiscal_Year]]*100+Table3[[#This Row],[Fiscal_Week]] &amp; "-" &amp;Table3[[#This Row],[Brand]]</f>
        <v>0-</v>
      </c>
      <c r="C286" t="str">
        <f t="shared" si="4"/>
        <v>-</v>
      </c>
      <c r="H286" s="3" t="e">
        <f>INDEX(Demand_Modeling!$A$13:$I$49,MATCH(Table3[[#This Row],[Key]],Demand_Modeling!$A$13:$A$49,0),MATCH(Table3[[#Headers],[OFC]],Demand_Modeling!$A$13:$I$13,0))</f>
        <v>#N/A</v>
      </c>
      <c r="I286" s="3" t="e">
        <f>INDEX(Demand_Modeling!$A$13:$I$49,MATCH(Table3[[#This Row],[Key]],Demand_Modeling!$A$13:$A$49,0),MATCH(Table3[[#Headers],[TFC]],Demand_Modeling!$A$13:$I$13,0))</f>
        <v>#N/A</v>
      </c>
      <c r="J286" s="3" t="e">
        <f>INDEX(Demand_Modeling!$A$13:$I$49,MATCH(Table3[[#This Row],[Key]],Demand_Modeling!$A$13:$A$49,0),MATCH(Table3[[#Headers],[WFC]],Demand_Modeling!$A$13:$I$13,0))</f>
        <v>#N/A</v>
      </c>
      <c r="K286" s="3" t="e">
        <f>INDEX(Demand_Modeling!$A$13:$I$49,MATCH(Table3[[#This Row],[Key]],Demand_Modeling!$A$13:$A$49,0),MATCH(Table3[[#Headers],[EAO]],Demand_Modeling!$A$13:$I$13,0))</f>
        <v>#N/A</v>
      </c>
      <c r="L286" s="3" t="e">
        <f>INDEX(Demand_Modeling!$A$13:$I$49,MATCH(Table3[[#This Row],[Key]],Demand_Modeling!$A$13:$A$49,0),MATCH(Table3[[#Headers],[OCC]],Demand_Modeling!$A$13:$I$13,0))</f>
        <v>#N/A</v>
      </c>
      <c r="M286" s="3" t="e">
        <f>INDEX(Demand_Modeling!$A$13:$I$49,MATCH(Table3[[#This Row],[Key]],Demand_Modeling!$A$13:$A$49,0),MATCH(Table3[[#Headers],[WEO]],Demand_Modeling!$A$13:$I$13,0))</f>
        <v>#N/A</v>
      </c>
      <c r="N286" s="19" t="e">
        <f>SUM(Table3[[#This Row],[OFC]:[WEO]])</f>
        <v>#N/A</v>
      </c>
      <c r="O286" s="19"/>
      <c r="Q286" s="3" t="str">
        <f>Table35[[#This Row],[Fiscal_Year]]*100+Table35[[#This Row],[Fiscal_Week]] &amp; "-" &amp;Table35[[#This Row],[Brand]]</f>
        <v>0-0</v>
      </c>
      <c r="R286" t="str">
        <f>Table3[[#This Row],[Key]]</f>
        <v>-</v>
      </c>
      <c r="S286">
        <f>Table3[[#This Row],[Fiscal_Year]]</f>
        <v>0</v>
      </c>
      <c r="T286">
        <f>Table3[[#This Row],[Fiscal_Week]]</f>
        <v>0</v>
      </c>
      <c r="U286">
        <f>Table3[[#This Row],[Brand]]</f>
        <v>0</v>
      </c>
      <c r="V286">
        <f>Table3[[#This Row],[Demand]]</f>
        <v>0</v>
      </c>
      <c r="W286" t="e">
        <f>Table3[[#This Row],[OFC]]*Table3[[#This Row],[Demand]]</f>
        <v>#N/A</v>
      </c>
      <c r="X286" t="e">
        <f>Table3[[#This Row],[TFC]]*Table3[[#This Row],[Demand]]</f>
        <v>#N/A</v>
      </c>
      <c r="Y286" t="e">
        <f>Table3[[#This Row],[WFC]]*Table3[[#This Row],[Demand]]</f>
        <v>#N/A</v>
      </c>
      <c r="Z286" t="e">
        <f>Table3[[#This Row],[EAO]]*Table3[[#This Row],[Demand]]</f>
        <v>#N/A</v>
      </c>
      <c r="AA286" t="e">
        <f>Table3[[#This Row],[OCC]]*Table3[[#This Row],[Demand]]</f>
        <v>#N/A</v>
      </c>
      <c r="AB286" t="e">
        <f>Table3[[#This Row],[WEO]]*Table3[[#This Row],[Demand]]</f>
        <v>#N/A</v>
      </c>
      <c r="AC286" s="19" t="e">
        <f>SUM(Table35[[#This Row],[OFC]:[WEO]])</f>
        <v>#N/A</v>
      </c>
      <c r="AD286" s="19" t="e">
        <f>Table35[[#This Row],[Demand]]-Table35[[#This Row],[Total_Modeled_Demand]]</f>
        <v>#N/A</v>
      </c>
    </row>
    <row r="287" spans="2:30" x14ac:dyDescent="0.3">
      <c r="B287" s="3" t="str">
        <f>Table3[[#This Row],[Fiscal_Year]]*100+Table3[[#This Row],[Fiscal_Week]] &amp; "-" &amp;Table3[[#This Row],[Brand]]</f>
        <v>0-</v>
      </c>
      <c r="C287" t="str">
        <f t="shared" si="4"/>
        <v>-</v>
      </c>
      <c r="H287" s="3" t="e">
        <f>INDEX(Demand_Modeling!$A$13:$I$49,MATCH(Table3[[#This Row],[Key]],Demand_Modeling!$A$13:$A$49,0),MATCH(Table3[[#Headers],[OFC]],Demand_Modeling!$A$13:$I$13,0))</f>
        <v>#N/A</v>
      </c>
      <c r="I287" s="3" t="e">
        <f>INDEX(Demand_Modeling!$A$13:$I$49,MATCH(Table3[[#This Row],[Key]],Demand_Modeling!$A$13:$A$49,0),MATCH(Table3[[#Headers],[TFC]],Demand_Modeling!$A$13:$I$13,0))</f>
        <v>#N/A</v>
      </c>
      <c r="J287" s="3" t="e">
        <f>INDEX(Demand_Modeling!$A$13:$I$49,MATCH(Table3[[#This Row],[Key]],Demand_Modeling!$A$13:$A$49,0),MATCH(Table3[[#Headers],[WFC]],Demand_Modeling!$A$13:$I$13,0))</f>
        <v>#N/A</v>
      </c>
      <c r="K287" s="3" t="e">
        <f>INDEX(Demand_Modeling!$A$13:$I$49,MATCH(Table3[[#This Row],[Key]],Demand_Modeling!$A$13:$A$49,0),MATCH(Table3[[#Headers],[EAO]],Demand_Modeling!$A$13:$I$13,0))</f>
        <v>#N/A</v>
      </c>
      <c r="L287" s="3" t="e">
        <f>INDEX(Demand_Modeling!$A$13:$I$49,MATCH(Table3[[#This Row],[Key]],Demand_Modeling!$A$13:$A$49,0),MATCH(Table3[[#Headers],[OCC]],Demand_Modeling!$A$13:$I$13,0))</f>
        <v>#N/A</v>
      </c>
      <c r="M287" s="3" t="e">
        <f>INDEX(Demand_Modeling!$A$13:$I$49,MATCH(Table3[[#This Row],[Key]],Demand_Modeling!$A$13:$A$49,0),MATCH(Table3[[#Headers],[WEO]],Demand_Modeling!$A$13:$I$13,0))</f>
        <v>#N/A</v>
      </c>
      <c r="N287" s="19" t="e">
        <f>SUM(Table3[[#This Row],[OFC]:[WEO]])</f>
        <v>#N/A</v>
      </c>
      <c r="O287" s="19"/>
      <c r="Q287" s="3" t="str">
        <f>Table35[[#This Row],[Fiscal_Year]]*100+Table35[[#This Row],[Fiscal_Week]] &amp; "-" &amp;Table35[[#This Row],[Brand]]</f>
        <v>0-0</v>
      </c>
      <c r="R287" t="str">
        <f>Table3[[#This Row],[Key]]</f>
        <v>-</v>
      </c>
      <c r="S287">
        <f>Table3[[#This Row],[Fiscal_Year]]</f>
        <v>0</v>
      </c>
      <c r="T287">
        <f>Table3[[#This Row],[Fiscal_Week]]</f>
        <v>0</v>
      </c>
      <c r="U287">
        <f>Table3[[#This Row],[Brand]]</f>
        <v>0</v>
      </c>
      <c r="V287">
        <f>Table3[[#This Row],[Demand]]</f>
        <v>0</v>
      </c>
      <c r="W287" t="e">
        <f>Table3[[#This Row],[OFC]]*Table3[[#This Row],[Demand]]</f>
        <v>#N/A</v>
      </c>
      <c r="X287" t="e">
        <f>Table3[[#This Row],[TFC]]*Table3[[#This Row],[Demand]]</f>
        <v>#N/A</v>
      </c>
      <c r="Y287" t="e">
        <f>Table3[[#This Row],[WFC]]*Table3[[#This Row],[Demand]]</f>
        <v>#N/A</v>
      </c>
      <c r="Z287" t="e">
        <f>Table3[[#This Row],[EAO]]*Table3[[#This Row],[Demand]]</f>
        <v>#N/A</v>
      </c>
      <c r="AA287" t="e">
        <f>Table3[[#This Row],[OCC]]*Table3[[#This Row],[Demand]]</f>
        <v>#N/A</v>
      </c>
      <c r="AB287" t="e">
        <f>Table3[[#This Row],[WEO]]*Table3[[#This Row],[Demand]]</f>
        <v>#N/A</v>
      </c>
      <c r="AC287" s="19" t="e">
        <f>SUM(Table35[[#This Row],[OFC]:[WEO]])</f>
        <v>#N/A</v>
      </c>
      <c r="AD287" s="19" t="e">
        <f>Table35[[#This Row],[Demand]]-Table35[[#This Row],[Total_Modeled_Demand]]</f>
        <v>#N/A</v>
      </c>
    </row>
    <row r="288" spans="2:30" x14ac:dyDescent="0.3">
      <c r="B288" s="3" t="str">
        <f>Table3[[#This Row],[Fiscal_Year]]*100+Table3[[#This Row],[Fiscal_Week]] &amp; "-" &amp;Table3[[#This Row],[Brand]]</f>
        <v>0-</v>
      </c>
      <c r="C288" t="str">
        <f t="shared" si="4"/>
        <v>-</v>
      </c>
      <c r="H288" s="3" t="e">
        <f>INDEX(Demand_Modeling!$A$13:$I$49,MATCH(Table3[[#This Row],[Key]],Demand_Modeling!$A$13:$A$49,0),MATCH(Table3[[#Headers],[OFC]],Demand_Modeling!$A$13:$I$13,0))</f>
        <v>#N/A</v>
      </c>
      <c r="I288" s="3" t="e">
        <f>INDEX(Demand_Modeling!$A$13:$I$49,MATCH(Table3[[#This Row],[Key]],Demand_Modeling!$A$13:$A$49,0),MATCH(Table3[[#Headers],[TFC]],Demand_Modeling!$A$13:$I$13,0))</f>
        <v>#N/A</v>
      </c>
      <c r="J288" s="3" t="e">
        <f>INDEX(Demand_Modeling!$A$13:$I$49,MATCH(Table3[[#This Row],[Key]],Demand_Modeling!$A$13:$A$49,0),MATCH(Table3[[#Headers],[WFC]],Demand_Modeling!$A$13:$I$13,0))</f>
        <v>#N/A</v>
      </c>
      <c r="K288" s="3" t="e">
        <f>INDEX(Demand_Modeling!$A$13:$I$49,MATCH(Table3[[#This Row],[Key]],Demand_Modeling!$A$13:$A$49,0),MATCH(Table3[[#Headers],[EAO]],Demand_Modeling!$A$13:$I$13,0))</f>
        <v>#N/A</v>
      </c>
      <c r="L288" s="3" t="e">
        <f>INDEX(Demand_Modeling!$A$13:$I$49,MATCH(Table3[[#This Row],[Key]],Demand_Modeling!$A$13:$A$49,0),MATCH(Table3[[#Headers],[OCC]],Demand_Modeling!$A$13:$I$13,0))</f>
        <v>#N/A</v>
      </c>
      <c r="M288" s="3" t="e">
        <f>INDEX(Demand_Modeling!$A$13:$I$49,MATCH(Table3[[#This Row],[Key]],Demand_Modeling!$A$13:$A$49,0),MATCH(Table3[[#Headers],[WEO]],Demand_Modeling!$A$13:$I$13,0))</f>
        <v>#N/A</v>
      </c>
      <c r="N288" s="19" t="e">
        <f>SUM(Table3[[#This Row],[OFC]:[WEO]])</f>
        <v>#N/A</v>
      </c>
      <c r="O288" s="19"/>
      <c r="Q288" s="3" t="str">
        <f>Table35[[#This Row],[Fiscal_Year]]*100+Table35[[#This Row],[Fiscal_Week]] &amp; "-" &amp;Table35[[#This Row],[Brand]]</f>
        <v>0-0</v>
      </c>
      <c r="R288" t="str">
        <f>Table3[[#This Row],[Key]]</f>
        <v>-</v>
      </c>
      <c r="S288">
        <f>Table3[[#This Row],[Fiscal_Year]]</f>
        <v>0</v>
      </c>
      <c r="T288">
        <f>Table3[[#This Row],[Fiscal_Week]]</f>
        <v>0</v>
      </c>
      <c r="U288">
        <f>Table3[[#This Row],[Brand]]</f>
        <v>0</v>
      </c>
      <c r="V288">
        <f>Table3[[#This Row],[Demand]]</f>
        <v>0</v>
      </c>
      <c r="W288" t="e">
        <f>Table3[[#This Row],[OFC]]*Table3[[#This Row],[Demand]]</f>
        <v>#N/A</v>
      </c>
      <c r="X288" t="e">
        <f>Table3[[#This Row],[TFC]]*Table3[[#This Row],[Demand]]</f>
        <v>#N/A</v>
      </c>
      <c r="Y288" t="e">
        <f>Table3[[#This Row],[WFC]]*Table3[[#This Row],[Demand]]</f>
        <v>#N/A</v>
      </c>
      <c r="Z288" t="e">
        <f>Table3[[#This Row],[EAO]]*Table3[[#This Row],[Demand]]</f>
        <v>#N/A</v>
      </c>
      <c r="AA288" t="e">
        <f>Table3[[#This Row],[OCC]]*Table3[[#This Row],[Demand]]</f>
        <v>#N/A</v>
      </c>
      <c r="AB288" t="e">
        <f>Table3[[#This Row],[WEO]]*Table3[[#This Row],[Demand]]</f>
        <v>#N/A</v>
      </c>
      <c r="AC288" s="19" t="e">
        <f>SUM(Table35[[#This Row],[OFC]:[WEO]])</f>
        <v>#N/A</v>
      </c>
      <c r="AD288" s="19" t="e">
        <f>Table35[[#This Row],[Demand]]-Table35[[#This Row],[Total_Modeled_Demand]]</f>
        <v>#N/A</v>
      </c>
    </row>
    <row r="289" spans="2:30" x14ac:dyDescent="0.3">
      <c r="B289" s="3" t="str">
        <f>Table3[[#This Row],[Fiscal_Year]]*100+Table3[[#This Row],[Fiscal_Week]] &amp; "-" &amp;Table3[[#This Row],[Brand]]</f>
        <v>0-</v>
      </c>
      <c r="C289" t="str">
        <f t="shared" si="4"/>
        <v>-</v>
      </c>
      <c r="H289" s="3" t="e">
        <f>INDEX(Demand_Modeling!$A$13:$I$49,MATCH(Table3[[#This Row],[Key]],Demand_Modeling!$A$13:$A$49,0),MATCH(Table3[[#Headers],[OFC]],Demand_Modeling!$A$13:$I$13,0))</f>
        <v>#N/A</v>
      </c>
      <c r="I289" s="3" t="e">
        <f>INDEX(Demand_Modeling!$A$13:$I$49,MATCH(Table3[[#This Row],[Key]],Demand_Modeling!$A$13:$A$49,0),MATCH(Table3[[#Headers],[TFC]],Demand_Modeling!$A$13:$I$13,0))</f>
        <v>#N/A</v>
      </c>
      <c r="J289" s="3" t="e">
        <f>INDEX(Demand_Modeling!$A$13:$I$49,MATCH(Table3[[#This Row],[Key]],Demand_Modeling!$A$13:$A$49,0),MATCH(Table3[[#Headers],[WFC]],Demand_Modeling!$A$13:$I$13,0))</f>
        <v>#N/A</v>
      </c>
      <c r="K289" s="3" t="e">
        <f>INDEX(Demand_Modeling!$A$13:$I$49,MATCH(Table3[[#This Row],[Key]],Demand_Modeling!$A$13:$A$49,0),MATCH(Table3[[#Headers],[EAO]],Demand_Modeling!$A$13:$I$13,0))</f>
        <v>#N/A</v>
      </c>
      <c r="L289" s="3" t="e">
        <f>INDEX(Demand_Modeling!$A$13:$I$49,MATCH(Table3[[#This Row],[Key]],Demand_Modeling!$A$13:$A$49,0),MATCH(Table3[[#Headers],[OCC]],Demand_Modeling!$A$13:$I$13,0))</f>
        <v>#N/A</v>
      </c>
      <c r="M289" s="3" t="e">
        <f>INDEX(Demand_Modeling!$A$13:$I$49,MATCH(Table3[[#This Row],[Key]],Demand_Modeling!$A$13:$A$49,0),MATCH(Table3[[#Headers],[WEO]],Demand_Modeling!$A$13:$I$13,0))</f>
        <v>#N/A</v>
      </c>
      <c r="N289" s="19" t="e">
        <f>SUM(Table3[[#This Row],[OFC]:[WEO]])</f>
        <v>#N/A</v>
      </c>
      <c r="O289" s="19"/>
      <c r="Q289" s="3" t="str">
        <f>Table35[[#This Row],[Fiscal_Year]]*100+Table35[[#This Row],[Fiscal_Week]] &amp; "-" &amp;Table35[[#This Row],[Brand]]</f>
        <v>0-0</v>
      </c>
      <c r="R289" t="str">
        <f>Table3[[#This Row],[Key]]</f>
        <v>-</v>
      </c>
      <c r="S289">
        <f>Table3[[#This Row],[Fiscal_Year]]</f>
        <v>0</v>
      </c>
      <c r="T289">
        <f>Table3[[#This Row],[Fiscal_Week]]</f>
        <v>0</v>
      </c>
      <c r="U289">
        <f>Table3[[#This Row],[Brand]]</f>
        <v>0</v>
      </c>
      <c r="V289">
        <f>Table3[[#This Row],[Demand]]</f>
        <v>0</v>
      </c>
      <c r="W289" t="e">
        <f>Table3[[#This Row],[OFC]]*Table3[[#This Row],[Demand]]</f>
        <v>#N/A</v>
      </c>
      <c r="X289" t="e">
        <f>Table3[[#This Row],[TFC]]*Table3[[#This Row],[Demand]]</f>
        <v>#N/A</v>
      </c>
      <c r="Y289" t="e">
        <f>Table3[[#This Row],[WFC]]*Table3[[#This Row],[Demand]]</f>
        <v>#N/A</v>
      </c>
      <c r="Z289" t="e">
        <f>Table3[[#This Row],[EAO]]*Table3[[#This Row],[Demand]]</f>
        <v>#N/A</v>
      </c>
      <c r="AA289" t="e">
        <f>Table3[[#This Row],[OCC]]*Table3[[#This Row],[Demand]]</f>
        <v>#N/A</v>
      </c>
      <c r="AB289" t="e">
        <f>Table3[[#This Row],[WEO]]*Table3[[#This Row],[Demand]]</f>
        <v>#N/A</v>
      </c>
      <c r="AC289" s="19" t="e">
        <f>SUM(Table35[[#This Row],[OFC]:[WEO]])</f>
        <v>#N/A</v>
      </c>
      <c r="AD289" s="19" t="e">
        <f>Table35[[#This Row],[Demand]]-Table35[[#This Row],[Total_Modeled_Demand]]</f>
        <v>#N/A</v>
      </c>
    </row>
    <row r="290" spans="2:30" x14ac:dyDescent="0.3">
      <c r="B290" s="3" t="str">
        <f>Table3[[#This Row],[Fiscal_Year]]*100+Table3[[#This Row],[Fiscal_Week]] &amp; "-" &amp;Table3[[#This Row],[Brand]]</f>
        <v>0-</v>
      </c>
      <c r="C290" t="str">
        <f t="shared" si="4"/>
        <v>-</v>
      </c>
      <c r="H290" s="3" t="e">
        <f>INDEX(Demand_Modeling!$A$13:$I$49,MATCH(Table3[[#This Row],[Key]],Demand_Modeling!$A$13:$A$49,0),MATCH(Table3[[#Headers],[OFC]],Demand_Modeling!$A$13:$I$13,0))</f>
        <v>#N/A</v>
      </c>
      <c r="I290" s="3" t="e">
        <f>INDEX(Demand_Modeling!$A$13:$I$49,MATCH(Table3[[#This Row],[Key]],Demand_Modeling!$A$13:$A$49,0),MATCH(Table3[[#Headers],[TFC]],Demand_Modeling!$A$13:$I$13,0))</f>
        <v>#N/A</v>
      </c>
      <c r="J290" s="3" t="e">
        <f>INDEX(Demand_Modeling!$A$13:$I$49,MATCH(Table3[[#This Row],[Key]],Demand_Modeling!$A$13:$A$49,0),MATCH(Table3[[#Headers],[WFC]],Demand_Modeling!$A$13:$I$13,0))</f>
        <v>#N/A</v>
      </c>
      <c r="K290" s="3" t="e">
        <f>INDEX(Demand_Modeling!$A$13:$I$49,MATCH(Table3[[#This Row],[Key]],Demand_Modeling!$A$13:$A$49,0),MATCH(Table3[[#Headers],[EAO]],Demand_Modeling!$A$13:$I$13,0))</f>
        <v>#N/A</v>
      </c>
      <c r="L290" s="3" t="e">
        <f>INDEX(Demand_Modeling!$A$13:$I$49,MATCH(Table3[[#This Row],[Key]],Demand_Modeling!$A$13:$A$49,0),MATCH(Table3[[#Headers],[OCC]],Demand_Modeling!$A$13:$I$13,0))</f>
        <v>#N/A</v>
      </c>
      <c r="M290" s="3" t="e">
        <f>INDEX(Demand_Modeling!$A$13:$I$49,MATCH(Table3[[#This Row],[Key]],Demand_Modeling!$A$13:$A$49,0),MATCH(Table3[[#Headers],[WEO]],Demand_Modeling!$A$13:$I$13,0))</f>
        <v>#N/A</v>
      </c>
      <c r="N290" s="19" t="e">
        <f>SUM(Table3[[#This Row],[OFC]:[WEO]])</f>
        <v>#N/A</v>
      </c>
      <c r="O290" s="19"/>
      <c r="Q290" s="3" t="str">
        <f>Table35[[#This Row],[Fiscal_Year]]*100+Table35[[#This Row],[Fiscal_Week]] &amp; "-" &amp;Table35[[#This Row],[Brand]]</f>
        <v>0-0</v>
      </c>
      <c r="R290" t="str">
        <f>Table3[[#This Row],[Key]]</f>
        <v>-</v>
      </c>
      <c r="S290">
        <f>Table3[[#This Row],[Fiscal_Year]]</f>
        <v>0</v>
      </c>
      <c r="T290">
        <f>Table3[[#This Row],[Fiscal_Week]]</f>
        <v>0</v>
      </c>
      <c r="U290">
        <f>Table3[[#This Row],[Brand]]</f>
        <v>0</v>
      </c>
      <c r="V290">
        <f>Table3[[#This Row],[Demand]]</f>
        <v>0</v>
      </c>
      <c r="W290" t="e">
        <f>Table3[[#This Row],[OFC]]*Table3[[#This Row],[Demand]]</f>
        <v>#N/A</v>
      </c>
      <c r="X290" t="e">
        <f>Table3[[#This Row],[TFC]]*Table3[[#This Row],[Demand]]</f>
        <v>#N/A</v>
      </c>
      <c r="Y290" t="e">
        <f>Table3[[#This Row],[WFC]]*Table3[[#This Row],[Demand]]</f>
        <v>#N/A</v>
      </c>
      <c r="Z290" t="e">
        <f>Table3[[#This Row],[EAO]]*Table3[[#This Row],[Demand]]</f>
        <v>#N/A</v>
      </c>
      <c r="AA290" t="e">
        <f>Table3[[#This Row],[OCC]]*Table3[[#This Row],[Demand]]</f>
        <v>#N/A</v>
      </c>
      <c r="AB290" t="e">
        <f>Table3[[#This Row],[WEO]]*Table3[[#This Row],[Demand]]</f>
        <v>#N/A</v>
      </c>
      <c r="AC290" s="19" t="e">
        <f>SUM(Table35[[#This Row],[OFC]:[WEO]])</f>
        <v>#N/A</v>
      </c>
      <c r="AD290" s="19" t="e">
        <f>Table35[[#This Row],[Demand]]-Table35[[#This Row],[Total_Modeled_Demand]]</f>
        <v>#N/A</v>
      </c>
    </row>
    <row r="291" spans="2:30" x14ac:dyDescent="0.3">
      <c r="B291" s="3" t="str">
        <f>Table3[[#This Row],[Fiscal_Year]]*100+Table3[[#This Row],[Fiscal_Week]] &amp; "-" &amp;Table3[[#This Row],[Brand]]</f>
        <v>0-</v>
      </c>
      <c r="C291" t="str">
        <f t="shared" si="4"/>
        <v>-</v>
      </c>
      <c r="H291" s="3" t="e">
        <f>INDEX(Demand_Modeling!$A$13:$I$49,MATCH(Table3[[#This Row],[Key]],Demand_Modeling!$A$13:$A$49,0),MATCH(Table3[[#Headers],[OFC]],Demand_Modeling!$A$13:$I$13,0))</f>
        <v>#N/A</v>
      </c>
      <c r="I291" s="3" t="e">
        <f>INDEX(Demand_Modeling!$A$13:$I$49,MATCH(Table3[[#This Row],[Key]],Demand_Modeling!$A$13:$A$49,0),MATCH(Table3[[#Headers],[TFC]],Demand_Modeling!$A$13:$I$13,0))</f>
        <v>#N/A</v>
      </c>
      <c r="J291" s="3" t="e">
        <f>INDEX(Demand_Modeling!$A$13:$I$49,MATCH(Table3[[#This Row],[Key]],Demand_Modeling!$A$13:$A$49,0),MATCH(Table3[[#Headers],[WFC]],Demand_Modeling!$A$13:$I$13,0))</f>
        <v>#N/A</v>
      </c>
      <c r="K291" s="3" t="e">
        <f>INDEX(Demand_Modeling!$A$13:$I$49,MATCH(Table3[[#This Row],[Key]],Demand_Modeling!$A$13:$A$49,0),MATCH(Table3[[#Headers],[EAO]],Demand_Modeling!$A$13:$I$13,0))</f>
        <v>#N/A</v>
      </c>
      <c r="L291" s="3" t="e">
        <f>INDEX(Demand_Modeling!$A$13:$I$49,MATCH(Table3[[#This Row],[Key]],Demand_Modeling!$A$13:$A$49,0),MATCH(Table3[[#Headers],[OCC]],Demand_Modeling!$A$13:$I$13,0))</f>
        <v>#N/A</v>
      </c>
      <c r="M291" s="3" t="e">
        <f>INDEX(Demand_Modeling!$A$13:$I$49,MATCH(Table3[[#This Row],[Key]],Demand_Modeling!$A$13:$A$49,0),MATCH(Table3[[#Headers],[WEO]],Demand_Modeling!$A$13:$I$13,0))</f>
        <v>#N/A</v>
      </c>
      <c r="N291" s="19" t="e">
        <f>SUM(Table3[[#This Row],[OFC]:[WEO]])</f>
        <v>#N/A</v>
      </c>
      <c r="O291" s="19"/>
      <c r="Q291" s="3" t="str">
        <f>Table35[[#This Row],[Fiscal_Year]]*100+Table35[[#This Row],[Fiscal_Week]] &amp; "-" &amp;Table35[[#This Row],[Brand]]</f>
        <v>0-0</v>
      </c>
      <c r="R291" t="str">
        <f>Table3[[#This Row],[Key]]</f>
        <v>-</v>
      </c>
      <c r="S291">
        <f>Table3[[#This Row],[Fiscal_Year]]</f>
        <v>0</v>
      </c>
      <c r="T291">
        <f>Table3[[#This Row],[Fiscal_Week]]</f>
        <v>0</v>
      </c>
      <c r="U291">
        <f>Table3[[#This Row],[Brand]]</f>
        <v>0</v>
      </c>
      <c r="V291">
        <f>Table3[[#This Row],[Demand]]</f>
        <v>0</v>
      </c>
      <c r="W291" t="e">
        <f>Table3[[#This Row],[OFC]]*Table3[[#This Row],[Demand]]</f>
        <v>#N/A</v>
      </c>
      <c r="X291" t="e">
        <f>Table3[[#This Row],[TFC]]*Table3[[#This Row],[Demand]]</f>
        <v>#N/A</v>
      </c>
      <c r="Y291" t="e">
        <f>Table3[[#This Row],[WFC]]*Table3[[#This Row],[Demand]]</f>
        <v>#N/A</v>
      </c>
      <c r="Z291" t="e">
        <f>Table3[[#This Row],[EAO]]*Table3[[#This Row],[Demand]]</f>
        <v>#N/A</v>
      </c>
      <c r="AA291" t="e">
        <f>Table3[[#This Row],[OCC]]*Table3[[#This Row],[Demand]]</f>
        <v>#N/A</v>
      </c>
      <c r="AB291" t="e">
        <f>Table3[[#This Row],[WEO]]*Table3[[#This Row],[Demand]]</f>
        <v>#N/A</v>
      </c>
      <c r="AC291" s="19" t="e">
        <f>SUM(Table35[[#This Row],[OFC]:[WEO]])</f>
        <v>#N/A</v>
      </c>
      <c r="AD291" s="19" t="e">
        <f>Table35[[#This Row],[Demand]]-Table35[[#This Row],[Total_Modeled_Demand]]</f>
        <v>#N/A</v>
      </c>
    </row>
    <row r="292" spans="2:30" x14ac:dyDescent="0.3">
      <c r="B292" s="3" t="str">
        <f>Table3[[#This Row],[Fiscal_Year]]*100+Table3[[#This Row],[Fiscal_Week]] &amp; "-" &amp;Table3[[#This Row],[Brand]]</f>
        <v>0-</v>
      </c>
      <c r="C292" t="str">
        <f t="shared" si="4"/>
        <v>-</v>
      </c>
      <c r="H292" s="3" t="e">
        <f>INDEX(Demand_Modeling!$A$13:$I$49,MATCH(Table3[[#This Row],[Key]],Demand_Modeling!$A$13:$A$49,0),MATCH(Table3[[#Headers],[OFC]],Demand_Modeling!$A$13:$I$13,0))</f>
        <v>#N/A</v>
      </c>
      <c r="I292" s="3" t="e">
        <f>INDEX(Demand_Modeling!$A$13:$I$49,MATCH(Table3[[#This Row],[Key]],Demand_Modeling!$A$13:$A$49,0),MATCH(Table3[[#Headers],[TFC]],Demand_Modeling!$A$13:$I$13,0))</f>
        <v>#N/A</v>
      </c>
      <c r="J292" s="3" t="e">
        <f>INDEX(Demand_Modeling!$A$13:$I$49,MATCH(Table3[[#This Row],[Key]],Demand_Modeling!$A$13:$A$49,0),MATCH(Table3[[#Headers],[WFC]],Demand_Modeling!$A$13:$I$13,0))</f>
        <v>#N/A</v>
      </c>
      <c r="K292" s="3" t="e">
        <f>INDEX(Demand_Modeling!$A$13:$I$49,MATCH(Table3[[#This Row],[Key]],Demand_Modeling!$A$13:$A$49,0),MATCH(Table3[[#Headers],[EAO]],Demand_Modeling!$A$13:$I$13,0))</f>
        <v>#N/A</v>
      </c>
      <c r="L292" s="3" t="e">
        <f>INDEX(Demand_Modeling!$A$13:$I$49,MATCH(Table3[[#This Row],[Key]],Demand_Modeling!$A$13:$A$49,0),MATCH(Table3[[#Headers],[OCC]],Demand_Modeling!$A$13:$I$13,0))</f>
        <v>#N/A</v>
      </c>
      <c r="M292" s="3" t="e">
        <f>INDEX(Demand_Modeling!$A$13:$I$49,MATCH(Table3[[#This Row],[Key]],Demand_Modeling!$A$13:$A$49,0),MATCH(Table3[[#Headers],[WEO]],Demand_Modeling!$A$13:$I$13,0))</f>
        <v>#N/A</v>
      </c>
      <c r="N292" s="19" t="e">
        <f>SUM(Table3[[#This Row],[OFC]:[WEO]])</f>
        <v>#N/A</v>
      </c>
      <c r="O292" s="19"/>
      <c r="Q292" s="3" t="str">
        <f>Table35[[#This Row],[Fiscal_Year]]*100+Table35[[#This Row],[Fiscal_Week]] &amp; "-" &amp;Table35[[#This Row],[Brand]]</f>
        <v>0-0</v>
      </c>
      <c r="R292" t="str">
        <f>Table3[[#This Row],[Key]]</f>
        <v>-</v>
      </c>
      <c r="S292">
        <f>Table3[[#This Row],[Fiscal_Year]]</f>
        <v>0</v>
      </c>
      <c r="T292">
        <f>Table3[[#This Row],[Fiscal_Week]]</f>
        <v>0</v>
      </c>
      <c r="U292">
        <f>Table3[[#This Row],[Brand]]</f>
        <v>0</v>
      </c>
      <c r="V292">
        <f>Table3[[#This Row],[Demand]]</f>
        <v>0</v>
      </c>
      <c r="W292" t="e">
        <f>Table3[[#This Row],[OFC]]*Table3[[#This Row],[Demand]]</f>
        <v>#N/A</v>
      </c>
      <c r="X292" t="e">
        <f>Table3[[#This Row],[TFC]]*Table3[[#This Row],[Demand]]</f>
        <v>#N/A</v>
      </c>
      <c r="Y292" t="e">
        <f>Table3[[#This Row],[WFC]]*Table3[[#This Row],[Demand]]</f>
        <v>#N/A</v>
      </c>
      <c r="Z292" t="e">
        <f>Table3[[#This Row],[EAO]]*Table3[[#This Row],[Demand]]</f>
        <v>#N/A</v>
      </c>
      <c r="AA292" t="e">
        <f>Table3[[#This Row],[OCC]]*Table3[[#This Row],[Demand]]</f>
        <v>#N/A</v>
      </c>
      <c r="AB292" t="e">
        <f>Table3[[#This Row],[WEO]]*Table3[[#This Row],[Demand]]</f>
        <v>#N/A</v>
      </c>
      <c r="AC292" s="19" t="e">
        <f>SUM(Table35[[#This Row],[OFC]:[WEO]])</f>
        <v>#N/A</v>
      </c>
      <c r="AD292" s="19" t="e">
        <f>Table35[[#This Row],[Demand]]-Table35[[#This Row],[Total_Modeled_Demand]]</f>
        <v>#N/A</v>
      </c>
    </row>
    <row r="293" spans="2:30" x14ac:dyDescent="0.3">
      <c r="B293" s="3" t="str">
        <f>Table3[[#This Row],[Fiscal_Year]]*100+Table3[[#This Row],[Fiscal_Week]] &amp; "-" &amp;Table3[[#This Row],[Brand]]</f>
        <v>0-</v>
      </c>
      <c r="C293" t="str">
        <f t="shared" si="4"/>
        <v>-</v>
      </c>
      <c r="H293" s="3" t="e">
        <f>INDEX(Demand_Modeling!$A$13:$I$49,MATCH(Table3[[#This Row],[Key]],Demand_Modeling!$A$13:$A$49,0),MATCH(Table3[[#Headers],[OFC]],Demand_Modeling!$A$13:$I$13,0))</f>
        <v>#N/A</v>
      </c>
      <c r="I293" s="3" t="e">
        <f>INDEX(Demand_Modeling!$A$13:$I$49,MATCH(Table3[[#This Row],[Key]],Demand_Modeling!$A$13:$A$49,0),MATCH(Table3[[#Headers],[TFC]],Demand_Modeling!$A$13:$I$13,0))</f>
        <v>#N/A</v>
      </c>
      <c r="J293" s="3" t="e">
        <f>INDEX(Demand_Modeling!$A$13:$I$49,MATCH(Table3[[#This Row],[Key]],Demand_Modeling!$A$13:$A$49,0),MATCH(Table3[[#Headers],[WFC]],Demand_Modeling!$A$13:$I$13,0))</f>
        <v>#N/A</v>
      </c>
      <c r="K293" s="3" t="e">
        <f>INDEX(Demand_Modeling!$A$13:$I$49,MATCH(Table3[[#This Row],[Key]],Demand_Modeling!$A$13:$A$49,0),MATCH(Table3[[#Headers],[EAO]],Demand_Modeling!$A$13:$I$13,0))</f>
        <v>#N/A</v>
      </c>
      <c r="L293" s="3" t="e">
        <f>INDEX(Demand_Modeling!$A$13:$I$49,MATCH(Table3[[#This Row],[Key]],Demand_Modeling!$A$13:$A$49,0),MATCH(Table3[[#Headers],[OCC]],Demand_Modeling!$A$13:$I$13,0))</f>
        <v>#N/A</v>
      </c>
      <c r="M293" s="3" t="e">
        <f>INDEX(Demand_Modeling!$A$13:$I$49,MATCH(Table3[[#This Row],[Key]],Demand_Modeling!$A$13:$A$49,0),MATCH(Table3[[#Headers],[WEO]],Demand_Modeling!$A$13:$I$13,0))</f>
        <v>#N/A</v>
      </c>
      <c r="N293" s="19" t="e">
        <f>SUM(Table3[[#This Row],[OFC]:[WEO]])</f>
        <v>#N/A</v>
      </c>
      <c r="O293" s="19"/>
      <c r="Q293" s="3" t="str">
        <f>Table35[[#This Row],[Fiscal_Year]]*100+Table35[[#This Row],[Fiscal_Week]] &amp; "-" &amp;Table35[[#This Row],[Brand]]</f>
        <v>0-0</v>
      </c>
      <c r="R293" t="str">
        <f>Table3[[#This Row],[Key]]</f>
        <v>-</v>
      </c>
      <c r="S293">
        <f>Table3[[#This Row],[Fiscal_Year]]</f>
        <v>0</v>
      </c>
      <c r="T293">
        <f>Table3[[#This Row],[Fiscal_Week]]</f>
        <v>0</v>
      </c>
      <c r="U293">
        <f>Table3[[#This Row],[Brand]]</f>
        <v>0</v>
      </c>
      <c r="V293">
        <f>Table3[[#This Row],[Demand]]</f>
        <v>0</v>
      </c>
      <c r="W293" t="e">
        <f>Table3[[#This Row],[OFC]]*Table3[[#This Row],[Demand]]</f>
        <v>#N/A</v>
      </c>
      <c r="X293" t="e">
        <f>Table3[[#This Row],[TFC]]*Table3[[#This Row],[Demand]]</f>
        <v>#N/A</v>
      </c>
      <c r="Y293" t="e">
        <f>Table3[[#This Row],[WFC]]*Table3[[#This Row],[Demand]]</f>
        <v>#N/A</v>
      </c>
      <c r="Z293" t="e">
        <f>Table3[[#This Row],[EAO]]*Table3[[#This Row],[Demand]]</f>
        <v>#N/A</v>
      </c>
      <c r="AA293" t="e">
        <f>Table3[[#This Row],[OCC]]*Table3[[#This Row],[Demand]]</f>
        <v>#N/A</v>
      </c>
      <c r="AB293" t="e">
        <f>Table3[[#This Row],[WEO]]*Table3[[#This Row],[Demand]]</f>
        <v>#N/A</v>
      </c>
      <c r="AC293" s="19" t="e">
        <f>SUM(Table35[[#This Row],[OFC]:[WEO]])</f>
        <v>#N/A</v>
      </c>
      <c r="AD293" s="19" t="e">
        <f>Table35[[#This Row],[Demand]]-Table35[[#This Row],[Total_Modeled_Demand]]</f>
        <v>#N/A</v>
      </c>
    </row>
    <row r="294" spans="2:30" x14ac:dyDescent="0.3">
      <c r="B294" s="3" t="str">
        <f>Table3[[#This Row],[Fiscal_Year]]*100+Table3[[#This Row],[Fiscal_Week]] &amp; "-" &amp;Table3[[#This Row],[Brand]]</f>
        <v>0-</v>
      </c>
      <c r="C294" t="str">
        <f t="shared" si="4"/>
        <v>-</v>
      </c>
      <c r="H294" s="3" t="e">
        <f>INDEX(Demand_Modeling!$A$13:$I$49,MATCH(Table3[[#This Row],[Key]],Demand_Modeling!$A$13:$A$49,0),MATCH(Table3[[#Headers],[OFC]],Demand_Modeling!$A$13:$I$13,0))</f>
        <v>#N/A</v>
      </c>
      <c r="I294" s="3" t="e">
        <f>INDEX(Demand_Modeling!$A$13:$I$49,MATCH(Table3[[#This Row],[Key]],Demand_Modeling!$A$13:$A$49,0),MATCH(Table3[[#Headers],[TFC]],Demand_Modeling!$A$13:$I$13,0))</f>
        <v>#N/A</v>
      </c>
      <c r="J294" s="3" t="e">
        <f>INDEX(Demand_Modeling!$A$13:$I$49,MATCH(Table3[[#This Row],[Key]],Demand_Modeling!$A$13:$A$49,0),MATCH(Table3[[#Headers],[WFC]],Demand_Modeling!$A$13:$I$13,0))</f>
        <v>#N/A</v>
      </c>
      <c r="K294" s="3" t="e">
        <f>INDEX(Demand_Modeling!$A$13:$I$49,MATCH(Table3[[#This Row],[Key]],Demand_Modeling!$A$13:$A$49,0),MATCH(Table3[[#Headers],[EAO]],Demand_Modeling!$A$13:$I$13,0))</f>
        <v>#N/A</v>
      </c>
      <c r="L294" s="3" t="e">
        <f>INDEX(Demand_Modeling!$A$13:$I$49,MATCH(Table3[[#This Row],[Key]],Demand_Modeling!$A$13:$A$49,0),MATCH(Table3[[#Headers],[OCC]],Demand_Modeling!$A$13:$I$13,0))</f>
        <v>#N/A</v>
      </c>
      <c r="M294" s="3" t="e">
        <f>INDEX(Demand_Modeling!$A$13:$I$49,MATCH(Table3[[#This Row],[Key]],Demand_Modeling!$A$13:$A$49,0),MATCH(Table3[[#Headers],[WEO]],Demand_Modeling!$A$13:$I$13,0))</f>
        <v>#N/A</v>
      </c>
      <c r="N294" s="19" t="e">
        <f>SUM(Table3[[#This Row],[OFC]:[WEO]])</f>
        <v>#N/A</v>
      </c>
      <c r="O294" s="19"/>
      <c r="Q294" s="3" t="str">
        <f>Table35[[#This Row],[Fiscal_Year]]*100+Table35[[#This Row],[Fiscal_Week]] &amp; "-" &amp;Table35[[#This Row],[Brand]]</f>
        <v>0-0</v>
      </c>
      <c r="R294" t="str">
        <f>Table3[[#This Row],[Key]]</f>
        <v>-</v>
      </c>
      <c r="S294">
        <f>Table3[[#This Row],[Fiscal_Year]]</f>
        <v>0</v>
      </c>
      <c r="T294">
        <f>Table3[[#This Row],[Fiscal_Week]]</f>
        <v>0</v>
      </c>
      <c r="U294">
        <f>Table3[[#This Row],[Brand]]</f>
        <v>0</v>
      </c>
      <c r="V294">
        <f>Table3[[#This Row],[Demand]]</f>
        <v>0</v>
      </c>
      <c r="W294" t="e">
        <f>Table3[[#This Row],[OFC]]*Table3[[#This Row],[Demand]]</f>
        <v>#N/A</v>
      </c>
      <c r="X294" t="e">
        <f>Table3[[#This Row],[TFC]]*Table3[[#This Row],[Demand]]</f>
        <v>#N/A</v>
      </c>
      <c r="Y294" t="e">
        <f>Table3[[#This Row],[WFC]]*Table3[[#This Row],[Demand]]</f>
        <v>#N/A</v>
      </c>
      <c r="Z294" t="e">
        <f>Table3[[#This Row],[EAO]]*Table3[[#This Row],[Demand]]</f>
        <v>#N/A</v>
      </c>
      <c r="AA294" t="e">
        <f>Table3[[#This Row],[OCC]]*Table3[[#This Row],[Demand]]</f>
        <v>#N/A</v>
      </c>
      <c r="AB294" t="e">
        <f>Table3[[#This Row],[WEO]]*Table3[[#This Row],[Demand]]</f>
        <v>#N/A</v>
      </c>
      <c r="AC294" s="19" t="e">
        <f>SUM(Table35[[#This Row],[OFC]:[WEO]])</f>
        <v>#N/A</v>
      </c>
      <c r="AD294" s="19" t="e">
        <f>Table35[[#This Row],[Demand]]-Table35[[#This Row],[Total_Modeled_Demand]]</f>
        <v>#N/A</v>
      </c>
    </row>
    <row r="295" spans="2:30" x14ac:dyDescent="0.3">
      <c r="B295" s="3" t="str">
        <f>Table3[[#This Row],[Fiscal_Year]]*100+Table3[[#This Row],[Fiscal_Week]] &amp; "-" &amp;Table3[[#This Row],[Brand]]</f>
        <v>0-</v>
      </c>
      <c r="C295" t="str">
        <f t="shared" si="4"/>
        <v>-</v>
      </c>
      <c r="H295" s="3" t="e">
        <f>INDEX(Demand_Modeling!$A$13:$I$49,MATCH(Table3[[#This Row],[Key]],Demand_Modeling!$A$13:$A$49,0),MATCH(Table3[[#Headers],[OFC]],Demand_Modeling!$A$13:$I$13,0))</f>
        <v>#N/A</v>
      </c>
      <c r="I295" s="3" t="e">
        <f>INDEX(Demand_Modeling!$A$13:$I$49,MATCH(Table3[[#This Row],[Key]],Demand_Modeling!$A$13:$A$49,0),MATCH(Table3[[#Headers],[TFC]],Demand_Modeling!$A$13:$I$13,0))</f>
        <v>#N/A</v>
      </c>
      <c r="J295" s="3" t="e">
        <f>INDEX(Demand_Modeling!$A$13:$I$49,MATCH(Table3[[#This Row],[Key]],Demand_Modeling!$A$13:$A$49,0),MATCH(Table3[[#Headers],[WFC]],Demand_Modeling!$A$13:$I$13,0))</f>
        <v>#N/A</v>
      </c>
      <c r="K295" s="3" t="e">
        <f>INDEX(Demand_Modeling!$A$13:$I$49,MATCH(Table3[[#This Row],[Key]],Demand_Modeling!$A$13:$A$49,0),MATCH(Table3[[#Headers],[EAO]],Demand_Modeling!$A$13:$I$13,0))</f>
        <v>#N/A</v>
      </c>
      <c r="L295" s="3" t="e">
        <f>INDEX(Demand_Modeling!$A$13:$I$49,MATCH(Table3[[#This Row],[Key]],Demand_Modeling!$A$13:$A$49,0),MATCH(Table3[[#Headers],[OCC]],Demand_Modeling!$A$13:$I$13,0))</f>
        <v>#N/A</v>
      </c>
      <c r="M295" s="3" t="e">
        <f>INDEX(Demand_Modeling!$A$13:$I$49,MATCH(Table3[[#This Row],[Key]],Demand_Modeling!$A$13:$A$49,0),MATCH(Table3[[#Headers],[WEO]],Demand_Modeling!$A$13:$I$13,0))</f>
        <v>#N/A</v>
      </c>
      <c r="N295" s="19" t="e">
        <f>SUM(Table3[[#This Row],[OFC]:[WEO]])</f>
        <v>#N/A</v>
      </c>
      <c r="O295" s="19"/>
      <c r="Q295" s="3" t="str">
        <f>Table35[[#This Row],[Fiscal_Year]]*100+Table35[[#This Row],[Fiscal_Week]] &amp; "-" &amp;Table35[[#This Row],[Brand]]</f>
        <v>0-0</v>
      </c>
      <c r="R295" t="str">
        <f>Table3[[#This Row],[Key]]</f>
        <v>-</v>
      </c>
      <c r="S295">
        <f>Table3[[#This Row],[Fiscal_Year]]</f>
        <v>0</v>
      </c>
      <c r="T295">
        <f>Table3[[#This Row],[Fiscal_Week]]</f>
        <v>0</v>
      </c>
      <c r="U295">
        <f>Table3[[#This Row],[Brand]]</f>
        <v>0</v>
      </c>
      <c r="V295">
        <f>Table3[[#This Row],[Demand]]</f>
        <v>0</v>
      </c>
      <c r="W295" t="e">
        <f>Table3[[#This Row],[OFC]]*Table3[[#This Row],[Demand]]</f>
        <v>#N/A</v>
      </c>
      <c r="X295" t="e">
        <f>Table3[[#This Row],[TFC]]*Table3[[#This Row],[Demand]]</f>
        <v>#N/A</v>
      </c>
      <c r="Y295" t="e">
        <f>Table3[[#This Row],[WFC]]*Table3[[#This Row],[Demand]]</f>
        <v>#N/A</v>
      </c>
      <c r="Z295" t="e">
        <f>Table3[[#This Row],[EAO]]*Table3[[#This Row],[Demand]]</f>
        <v>#N/A</v>
      </c>
      <c r="AA295" t="e">
        <f>Table3[[#This Row],[OCC]]*Table3[[#This Row],[Demand]]</f>
        <v>#N/A</v>
      </c>
      <c r="AB295" t="e">
        <f>Table3[[#This Row],[WEO]]*Table3[[#This Row],[Demand]]</f>
        <v>#N/A</v>
      </c>
      <c r="AC295" s="19" t="e">
        <f>SUM(Table35[[#This Row],[OFC]:[WEO]])</f>
        <v>#N/A</v>
      </c>
      <c r="AD295" s="19" t="e">
        <f>Table35[[#This Row],[Demand]]-Table35[[#This Row],[Total_Modeled_Demand]]</f>
        <v>#N/A</v>
      </c>
    </row>
    <row r="296" spans="2:30" x14ac:dyDescent="0.3">
      <c r="B296" s="3" t="str">
        <f>Table3[[#This Row],[Fiscal_Year]]*100+Table3[[#This Row],[Fiscal_Week]] &amp; "-" &amp;Table3[[#This Row],[Brand]]</f>
        <v>0-</v>
      </c>
      <c r="C296" t="str">
        <f t="shared" si="4"/>
        <v>-</v>
      </c>
      <c r="H296" s="3" t="e">
        <f>INDEX(Demand_Modeling!$A$13:$I$49,MATCH(Table3[[#This Row],[Key]],Demand_Modeling!$A$13:$A$49,0),MATCH(Table3[[#Headers],[OFC]],Demand_Modeling!$A$13:$I$13,0))</f>
        <v>#N/A</v>
      </c>
      <c r="I296" s="3" t="e">
        <f>INDEX(Demand_Modeling!$A$13:$I$49,MATCH(Table3[[#This Row],[Key]],Demand_Modeling!$A$13:$A$49,0),MATCH(Table3[[#Headers],[TFC]],Demand_Modeling!$A$13:$I$13,0))</f>
        <v>#N/A</v>
      </c>
      <c r="J296" s="3" t="e">
        <f>INDEX(Demand_Modeling!$A$13:$I$49,MATCH(Table3[[#This Row],[Key]],Demand_Modeling!$A$13:$A$49,0),MATCH(Table3[[#Headers],[WFC]],Demand_Modeling!$A$13:$I$13,0))</f>
        <v>#N/A</v>
      </c>
      <c r="K296" s="3" t="e">
        <f>INDEX(Demand_Modeling!$A$13:$I$49,MATCH(Table3[[#This Row],[Key]],Demand_Modeling!$A$13:$A$49,0),MATCH(Table3[[#Headers],[EAO]],Demand_Modeling!$A$13:$I$13,0))</f>
        <v>#N/A</v>
      </c>
      <c r="L296" s="3" t="e">
        <f>INDEX(Demand_Modeling!$A$13:$I$49,MATCH(Table3[[#This Row],[Key]],Demand_Modeling!$A$13:$A$49,0),MATCH(Table3[[#Headers],[OCC]],Demand_Modeling!$A$13:$I$13,0))</f>
        <v>#N/A</v>
      </c>
      <c r="M296" s="3" t="e">
        <f>INDEX(Demand_Modeling!$A$13:$I$49,MATCH(Table3[[#This Row],[Key]],Demand_Modeling!$A$13:$A$49,0),MATCH(Table3[[#Headers],[WEO]],Demand_Modeling!$A$13:$I$13,0))</f>
        <v>#N/A</v>
      </c>
      <c r="N296" s="19" t="e">
        <f>SUM(Table3[[#This Row],[OFC]:[WEO]])</f>
        <v>#N/A</v>
      </c>
      <c r="O296" s="19"/>
      <c r="Q296" s="3" t="str">
        <f>Table35[[#This Row],[Fiscal_Year]]*100+Table35[[#This Row],[Fiscal_Week]] &amp; "-" &amp;Table35[[#This Row],[Brand]]</f>
        <v>0-0</v>
      </c>
      <c r="R296" t="str">
        <f>Table3[[#This Row],[Key]]</f>
        <v>-</v>
      </c>
      <c r="S296">
        <f>Table3[[#This Row],[Fiscal_Year]]</f>
        <v>0</v>
      </c>
      <c r="T296">
        <f>Table3[[#This Row],[Fiscal_Week]]</f>
        <v>0</v>
      </c>
      <c r="U296">
        <f>Table3[[#This Row],[Brand]]</f>
        <v>0</v>
      </c>
      <c r="V296">
        <f>Table3[[#This Row],[Demand]]</f>
        <v>0</v>
      </c>
      <c r="W296" t="e">
        <f>Table3[[#This Row],[OFC]]*Table3[[#This Row],[Demand]]</f>
        <v>#N/A</v>
      </c>
      <c r="X296" t="e">
        <f>Table3[[#This Row],[TFC]]*Table3[[#This Row],[Demand]]</f>
        <v>#N/A</v>
      </c>
      <c r="Y296" t="e">
        <f>Table3[[#This Row],[WFC]]*Table3[[#This Row],[Demand]]</f>
        <v>#N/A</v>
      </c>
      <c r="Z296" t="e">
        <f>Table3[[#This Row],[EAO]]*Table3[[#This Row],[Demand]]</f>
        <v>#N/A</v>
      </c>
      <c r="AA296" t="e">
        <f>Table3[[#This Row],[OCC]]*Table3[[#This Row],[Demand]]</f>
        <v>#N/A</v>
      </c>
      <c r="AB296" t="e">
        <f>Table3[[#This Row],[WEO]]*Table3[[#This Row],[Demand]]</f>
        <v>#N/A</v>
      </c>
      <c r="AC296" s="19" t="e">
        <f>SUM(Table35[[#This Row],[OFC]:[WEO]])</f>
        <v>#N/A</v>
      </c>
      <c r="AD296" s="19" t="e">
        <f>Table35[[#This Row],[Demand]]-Table35[[#This Row],[Total_Modeled_Demand]]</f>
        <v>#N/A</v>
      </c>
    </row>
    <row r="297" spans="2:30" x14ac:dyDescent="0.3">
      <c r="B297" s="3" t="str">
        <f>Table3[[#This Row],[Fiscal_Year]]*100+Table3[[#This Row],[Fiscal_Week]] &amp; "-" &amp;Table3[[#This Row],[Brand]]</f>
        <v>0-</v>
      </c>
      <c r="C297" t="str">
        <f t="shared" si="4"/>
        <v>-</v>
      </c>
      <c r="H297" s="3" t="e">
        <f>INDEX(Demand_Modeling!$A$13:$I$49,MATCH(Table3[[#This Row],[Key]],Demand_Modeling!$A$13:$A$49,0),MATCH(Table3[[#Headers],[OFC]],Demand_Modeling!$A$13:$I$13,0))</f>
        <v>#N/A</v>
      </c>
      <c r="I297" s="3" t="e">
        <f>INDEX(Demand_Modeling!$A$13:$I$49,MATCH(Table3[[#This Row],[Key]],Demand_Modeling!$A$13:$A$49,0),MATCH(Table3[[#Headers],[TFC]],Demand_Modeling!$A$13:$I$13,0))</f>
        <v>#N/A</v>
      </c>
      <c r="J297" s="3" t="e">
        <f>INDEX(Demand_Modeling!$A$13:$I$49,MATCH(Table3[[#This Row],[Key]],Demand_Modeling!$A$13:$A$49,0),MATCH(Table3[[#Headers],[WFC]],Demand_Modeling!$A$13:$I$13,0))</f>
        <v>#N/A</v>
      </c>
      <c r="K297" s="3" t="e">
        <f>INDEX(Demand_Modeling!$A$13:$I$49,MATCH(Table3[[#This Row],[Key]],Demand_Modeling!$A$13:$A$49,0),MATCH(Table3[[#Headers],[EAO]],Demand_Modeling!$A$13:$I$13,0))</f>
        <v>#N/A</v>
      </c>
      <c r="L297" s="3" t="e">
        <f>INDEX(Demand_Modeling!$A$13:$I$49,MATCH(Table3[[#This Row],[Key]],Demand_Modeling!$A$13:$A$49,0),MATCH(Table3[[#Headers],[OCC]],Demand_Modeling!$A$13:$I$13,0))</f>
        <v>#N/A</v>
      </c>
      <c r="M297" s="3" t="e">
        <f>INDEX(Demand_Modeling!$A$13:$I$49,MATCH(Table3[[#This Row],[Key]],Demand_Modeling!$A$13:$A$49,0),MATCH(Table3[[#Headers],[WEO]],Demand_Modeling!$A$13:$I$13,0))</f>
        <v>#N/A</v>
      </c>
      <c r="N297" s="19" t="e">
        <f>SUM(Table3[[#This Row],[OFC]:[WEO]])</f>
        <v>#N/A</v>
      </c>
      <c r="O297" s="19"/>
      <c r="Q297" s="3" t="str">
        <f>Table35[[#This Row],[Fiscal_Year]]*100+Table35[[#This Row],[Fiscal_Week]] &amp; "-" &amp;Table35[[#This Row],[Brand]]</f>
        <v>0-0</v>
      </c>
      <c r="R297" t="str">
        <f>Table3[[#This Row],[Key]]</f>
        <v>-</v>
      </c>
      <c r="S297">
        <f>Table3[[#This Row],[Fiscal_Year]]</f>
        <v>0</v>
      </c>
      <c r="T297">
        <f>Table3[[#This Row],[Fiscal_Week]]</f>
        <v>0</v>
      </c>
      <c r="U297">
        <f>Table3[[#This Row],[Brand]]</f>
        <v>0</v>
      </c>
      <c r="V297">
        <f>Table3[[#This Row],[Demand]]</f>
        <v>0</v>
      </c>
      <c r="W297" t="e">
        <f>Table3[[#This Row],[OFC]]*Table3[[#This Row],[Demand]]</f>
        <v>#N/A</v>
      </c>
      <c r="X297" t="e">
        <f>Table3[[#This Row],[TFC]]*Table3[[#This Row],[Demand]]</f>
        <v>#N/A</v>
      </c>
      <c r="Y297" t="e">
        <f>Table3[[#This Row],[WFC]]*Table3[[#This Row],[Demand]]</f>
        <v>#N/A</v>
      </c>
      <c r="Z297" t="e">
        <f>Table3[[#This Row],[EAO]]*Table3[[#This Row],[Demand]]</f>
        <v>#N/A</v>
      </c>
      <c r="AA297" t="e">
        <f>Table3[[#This Row],[OCC]]*Table3[[#This Row],[Demand]]</f>
        <v>#N/A</v>
      </c>
      <c r="AB297" t="e">
        <f>Table3[[#This Row],[WEO]]*Table3[[#This Row],[Demand]]</f>
        <v>#N/A</v>
      </c>
      <c r="AC297" s="19" t="e">
        <f>SUM(Table35[[#This Row],[OFC]:[WEO]])</f>
        <v>#N/A</v>
      </c>
      <c r="AD297" s="19" t="e">
        <f>Table35[[#This Row],[Demand]]-Table35[[#This Row],[Total_Modeled_Demand]]</f>
        <v>#N/A</v>
      </c>
    </row>
    <row r="298" spans="2:30" x14ac:dyDescent="0.3">
      <c r="B298" s="3" t="str">
        <f>Table3[[#This Row],[Fiscal_Year]]*100+Table3[[#This Row],[Fiscal_Week]] &amp; "-" &amp;Table3[[#This Row],[Brand]]</f>
        <v>0-</v>
      </c>
      <c r="C298" t="str">
        <f t="shared" si="4"/>
        <v>-</v>
      </c>
      <c r="H298" s="3" t="e">
        <f>INDEX(Demand_Modeling!$A$13:$I$49,MATCH(Table3[[#This Row],[Key]],Demand_Modeling!$A$13:$A$49,0),MATCH(Table3[[#Headers],[OFC]],Demand_Modeling!$A$13:$I$13,0))</f>
        <v>#N/A</v>
      </c>
      <c r="I298" s="3" t="e">
        <f>INDEX(Demand_Modeling!$A$13:$I$49,MATCH(Table3[[#This Row],[Key]],Demand_Modeling!$A$13:$A$49,0),MATCH(Table3[[#Headers],[TFC]],Demand_Modeling!$A$13:$I$13,0))</f>
        <v>#N/A</v>
      </c>
      <c r="J298" s="3" t="e">
        <f>INDEX(Demand_Modeling!$A$13:$I$49,MATCH(Table3[[#This Row],[Key]],Demand_Modeling!$A$13:$A$49,0),MATCH(Table3[[#Headers],[WFC]],Demand_Modeling!$A$13:$I$13,0))</f>
        <v>#N/A</v>
      </c>
      <c r="K298" s="3" t="e">
        <f>INDEX(Demand_Modeling!$A$13:$I$49,MATCH(Table3[[#This Row],[Key]],Demand_Modeling!$A$13:$A$49,0),MATCH(Table3[[#Headers],[EAO]],Demand_Modeling!$A$13:$I$13,0))</f>
        <v>#N/A</v>
      </c>
      <c r="L298" s="3" t="e">
        <f>INDEX(Demand_Modeling!$A$13:$I$49,MATCH(Table3[[#This Row],[Key]],Demand_Modeling!$A$13:$A$49,0),MATCH(Table3[[#Headers],[OCC]],Demand_Modeling!$A$13:$I$13,0))</f>
        <v>#N/A</v>
      </c>
      <c r="M298" s="3" t="e">
        <f>INDEX(Demand_Modeling!$A$13:$I$49,MATCH(Table3[[#This Row],[Key]],Demand_Modeling!$A$13:$A$49,0),MATCH(Table3[[#Headers],[WEO]],Demand_Modeling!$A$13:$I$13,0))</f>
        <v>#N/A</v>
      </c>
      <c r="N298" s="19" t="e">
        <f>SUM(Table3[[#This Row],[OFC]:[WEO]])</f>
        <v>#N/A</v>
      </c>
      <c r="O298" s="19"/>
      <c r="Q298" s="3" t="str">
        <f>Table35[[#This Row],[Fiscal_Year]]*100+Table35[[#This Row],[Fiscal_Week]] &amp; "-" &amp;Table35[[#This Row],[Brand]]</f>
        <v>0-0</v>
      </c>
      <c r="R298" t="str">
        <f>Table3[[#This Row],[Key]]</f>
        <v>-</v>
      </c>
      <c r="S298">
        <f>Table3[[#This Row],[Fiscal_Year]]</f>
        <v>0</v>
      </c>
      <c r="T298">
        <f>Table3[[#This Row],[Fiscal_Week]]</f>
        <v>0</v>
      </c>
      <c r="U298">
        <f>Table3[[#This Row],[Brand]]</f>
        <v>0</v>
      </c>
      <c r="V298">
        <f>Table3[[#This Row],[Demand]]</f>
        <v>0</v>
      </c>
      <c r="W298" t="e">
        <f>Table3[[#This Row],[OFC]]*Table3[[#This Row],[Demand]]</f>
        <v>#N/A</v>
      </c>
      <c r="X298" t="e">
        <f>Table3[[#This Row],[TFC]]*Table3[[#This Row],[Demand]]</f>
        <v>#N/A</v>
      </c>
      <c r="Y298" t="e">
        <f>Table3[[#This Row],[WFC]]*Table3[[#This Row],[Demand]]</f>
        <v>#N/A</v>
      </c>
      <c r="Z298" t="e">
        <f>Table3[[#This Row],[EAO]]*Table3[[#This Row],[Demand]]</f>
        <v>#N/A</v>
      </c>
      <c r="AA298" t="e">
        <f>Table3[[#This Row],[OCC]]*Table3[[#This Row],[Demand]]</f>
        <v>#N/A</v>
      </c>
      <c r="AB298" t="e">
        <f>Table3[[#This Row],[WEO]]*Table3[[#This Row],[Demand]]</f>
        <v>#N/A</v>
      </c>
      <c r="AC298" s="19" t="e">
        <f>SUM(Table35[[#This Row],[OFC]:[WEO]])</f>
        <v>#N/A</v>
      </c>
      <c r="AD298" s="19" t="e">
        <f>Table35[[#This Row],[Demand]]-Table35[[#This Row],[Total_Modeled_Demand]]</f>
        <v>#N/A</v>
      </c>
    </row>
    <row r="299" spans="2:30" x14ac:dyDescent="0.3">
      <c r="B299" s="3" t="str">
        <f>Table3[[#This Row],[Fiscal_Year]]*100+Table3[[#This Row],[Fiscal_Week]] &amp; "-" &amp;Table3[[#This Row],[Brand]]</f>
        <v>0-</v>
      </c>
      <c r="C299" t="str">
        <f t="shared" si="4"/>
        <v>-</v>
      </c>
      <c r="H299" s="3" t="e">
        <f>INDEX(Demand_Modeling!$A$13:$I$49,MATCH(Table3[[#This Row],[Key]],Demand_Modeling!$A$13:$A$49,0),MATCH(Table3[[#Headers],[OFC]],Demand_Modeling!$A$13:$I$13,0))</f>
        <v>#N/A</v>
      </c>
      <c r="I299" s="3" t="e">
        <f>INDEX(Demand_Modeling!$A$13:$I$49,MATCH(Table3[[#This Row],[Key]],Demand_Modeling!$A$13:$A$49,0),MATCH(Table3[[#Headers],[TFC]],Demand_Modeling!$A$13:$I$13,0))</f>
        <v>#N/A</v>
      </c>
      <c r="J299" s="3" t="e">
        <f>INDEX(Demand_Modeling!$A$13:$I$49,MATCH(Table3[[#This Row],[Key]],Demand_Modeling!$A$13:$A$49,0),MATCH(Table3[[#Headers],[WFC]],Demand_Modeling!$A$13:$I$13,0))</f>
        <v>#N/A</v>
      </c>
      <c r="K299" s="3" t="e">
        <f>INDEX(Demand_Modeling!$A$13:$I$49,MATCH(Table3[[#This Row],[Key]],Demand_Modeling!$A$13:$A$49,0),MATCH(Table3[[#Headers],[EAO]],Demand_Modeling!$A$13:$I$13,0))</f>
        <v>#N/A</v>
      </c>
      <c r="L299" s="3" t="e">
        <f>INDEX(Demand_Modeling!$A$13:$I$49,MATCH(Table3[[#This Row],[Key]],Demand_Modeling!$A$13:$A$49,0),MATCH(Table3[[#Headers],[OCC]],Demand_Modeling!$A$13:$I$13,0))</f>
        <v>#N/A</v>
      </c>
      <c r="M299" s="3" t="e">
        <f>INDEX(Demand_Modeling!$A$13:$I$49,MATCH(Table3[[#This Row],[Key]],Demand_Modeling!$A$13:$A$49,0),MATCH(Table3[[#Headers],[WEO]],Demand_Modeling!$A$13:$I$13,0))</f>
        <v>#N/A</v>
      </c>
      <c r="N299" s="19" t="e">
        <f>SUM(Table3[[#This Row],[OFC]:[WEO]])</f>
        <v>#N/A</v>
      </c>
      <c r="O299" s="19"/>
      <c r="Q299" s="3" t="str">
        <f>Table35[[#This Row],[Fiscal_Year]]*100+Table35[[#This Row],[Fiscal_Week]] &amp; "-" &amp;Table35[[#This Row],[Brand]]</f>
        <v>0-0</v>
      </c>
      <c r="R299" t="str">
        <f>Table3[[#This Row],[Key]]</f>
        <v>-</v>
      </c>
      <c r="S299">
        <f>Table3[[#This Row],[Fiscal_Year]]</f>
        <v>0</v>
      </c>
      <c r="T299">
        <f>Table3[[#This Row],[Fiscal_Week]]</f>
        <v>0</v>
      </c>
      <c r="U299">
        <f>Table3[[#This Row],[Brand]]</f>
        <v>0</v>
      </c>
      <c r="V299">
        <f>Table3[[#This Row],[Demand]]</f>
        <v>0</v>
      </c>
      <c r="W299" t="e">
        <f>Table3[[#This Row],[OFC]]*Table3[[#This Row],[Demand]]</f>
        <v>#N/A</v>
      </c>
      <c r="X299" t="e">
        <f>Table3[[#This Row],[TFC]]*Table3[[#This Row],[Demand]]</f>
        <v>#N/A</v>
      </c>
      <c r="Y299" t="e">
        <f>Table3[[#This Row],[WFC]]*Table3[[#This Row],[Demand]]</f>
        <v>#N/A</v>
      </c>
      <c r="Z299" t="e">
        <f>Table3[[#This Row],[EAO]]*Table3[[#This Row],[Demand]]</f>
        <v>#N/A</v>
      </c>
      <c r="AA299" t="e">
        <f>Table3[[#This Row],[OCC]]*Table3[[#This Row],[Demand]]</f>
        <v>#N/A</v>
      </c>
      <c r="AB299" t="e">
        <f>Table3[[#This Row],[WEO]]*Table3[[#This Row],[Demand]]</f>
        <v>#N/A</v>
      </c>
      <c r="AC299" s="19" t="e">
        <f>SUM(Table35[[#This Row],[OFC]:[WEO]])</f>
        <v>#N/A</v>
      </c>
      <c r="AD299" s="19" t="e">
        <f>Table35[[#This Row],[Demand]]-Table35[[#This Row],[Total_Modeled_Demand]]</f>
        <v>#N/A</v>
      </c>
    </row>
    <row r="300" spans="2:30" x14ac:dyDescent="0.3">
      <c r="B300" s="3" t="str">
        <f>Table3[[#This Row],[Fiscal_Year]]*100+Table3[[#This Row],[Fiscal_Week]] &amp; "-" &amp;Table3[[#This Row],[Brand]]</f>
        <v>0-</v>
      </c>
      <c r="C300" t="str">
        <f t="shared" si="4"/>
        <v>-</v>
      </c>
      <c r="H300" s="3" t="e">
        <f>INDEX(Demand_Modeling!$A$13:$I$49,MATCH(Table3[[#This Row],[Key]],Demand_Modeling!$A$13:$A$49,0),MATCH(Table3[[#Headers],[OFC]],Demand_Modeling!$A$13:$I$13,0))</f>
        <v>#N/A</v>
      </c>
      <c r="I300" s="3" t="e">
        <f>INDEX(Demand_Modeling!$A$13:$I$49,MATCH(Table3[[#This Row],[Key]],Demand_Modeling!$A$13:$A$49,0),MATCH(Table3[[#Headers],[TFC]],Demand_Modeling!$A$13:$I$13,0))</f>
        <v>#N/A</v>
      </c>
      <c r="J300" s="3" t="e">
        <f>INDEX(Demand_Modeling!$A$13:$I$49,MATCH(Table3[[#This Row],[Key]],Demand_Modeling!$A$13:$A$49,0),MATCH(Table3[[#Headers],[WFC]],Demand_Modeling!$A$13:$I$13,0))</f>
        <v>#N/A</v>
      </c>
      <c r="K300" s="3" t="e">
        <f>INDEX(Demand_Modeling!$A$13:$I$49,MATCH(Table3[[#This Row],[Key]],Demand_Modeling!$A$13:$A$49,0),MATCH(Table3[[#Headers],[EAO]],Demand_Modeling!$A$13:$I$13,0))</f>
        <v>#N/A</v>
      </c>
      <c r="L300" s="3" t="e">
        <f>INDEX(Demand_Modeling!$A$13:$I$49,MATCH(Table3[[#This Row],[Key]],Demand_Modeling!$A$13:$A$49,0),MATCH(Table3[[#Headers],[OCC]],Demand_Modeling!$A$13:$I$13,0))</f>
        <v>#N/A</v>
      </c>
      <c r="M300" s="3" t="e">
        <f>INDEX(Demand_Modeling!$A$13:$I$49,MATCH(Table3[[#This Row],[Key]],Demand_Modeling!$A$13:$A$49,0),MATCH(Table3[[#Headers],[WEO]],Demand_Modeling!$A$13:$I$13,0))</f>
        <v>#N/A</v>
      </c>
      <c r="N300" s="19" t="e">
        <f>SUM(Table3[[#This Row],[OFC]:[WEO]])</f>
        <v>#N/A</v>
      </c>
      <c r="O300" s="19"/>
      <c r="Q300" s="3" t="str">
        <f>Table35[[#This Row],[Fiscal_Year]]*100+Table35[[#This Row],[Fiscal_Week]] &amp; "-" &amp;Table35[[#This Row],[Brand]]</f>
        <v>0-0</v>
      </c>
      <c r="R300" t="str">
        <f>Table3[[#This Row],[Key]]</f>
        <v>-</v>
      </c>
      <c r="S300">
        <f>Table3[[#This Row],[Fiscal_Year]]</f>
        <v>0</v>
      </c>
      <c r="T300">
        <f>Table3[[#This Row],[Fiscal_Week]]</f>
        <v>0</v>
      </c>
      <c r="U300">
        <f>Table3[[#This Row],[Brand]]</f>
        <v>0</v>
      </c>
      <c r="V300">
        <f>Table3[[#This Row],[Demand]]</f>
        <v>0</v>
      </c>
      <c r="W300" t="e">
        <f>Table3[[#This Row],[OFC]]*Table3[[#This Row],[Demand]]</f>
        <v>#N/A</v>
      </c>
      <c r="X300" t="e">
        <f>Table3[[#This Row],[TFC]]*Table3[[#This Row],[Demand]]</f>
        <v>#N/A</v>
      </c>
      <c r="Y300" t="e">
        <f>Table3[[#This Row],[WFC]]*Table3[[#This Row],[Demand]]</f>
        <v>#N/A</v>
      </c>
      <c r="Z300" t="e">
        <f>Table3[[#This Row],[EAO]]*Table3[[#This Row],[Demand]]</f>
        <v>#N/A</v>
      </c>
      <c r="AA300" t="e">
        <f>Table3[[#This Row],[OCC]]*Table3[[#This Row],[Demand]]</f>
        <v>#N/A</v>
      </c>
      <c r="AB300" t="e">
        <f>Table3[[#This Row],[WEO]]*Table3[[#This Row],[Demand]]</f>
        <v>#N/A</v>
      </c>
      <c r="AC300" s="19" t="e">
        <f>SUM(Table35[[#This Row],[OFC]:[WEO]])</f>
        <v>#N/A</v>
      </c>
      <c r="AD300" s="19" t="e">
        <f>Table35[[#This Row],[Demand]]-Table35[[#This Row],[Total_Modeled_Demand]]</f>
        <v>#N/A</v>
      </c>
    </row>
    <row r="301" spans="2:30" x14ac:dyDescent="0.3">
      <c r="B301" s="3" t="str">
        <f>Table3[[#This Row],[Fiscal_Year]]*100+Table3[[#This Row],[Fiscal_Week]] &amp; "-" &amp;Table3[[#This Row],[Brand]]</f>
        <v>0-</v>
      </c>
      <c r="C301" t="str">
        <f t="shared" si="4"/>
        <v>-</v>
      </c>
      <c r="H301" s="3" t="e">
        <f>INDEX(Demand_Modeling!$A$13:$I$49,MATCH(Table3[[#This Row],[Key]],Demand_Modeling!$A$13:$A$49,0),MATCH(Table3[[#Headers],[OFC]],Demand_Modeling!$A$13:$I$13,0))</f>
        <v>#N/A</v>
      </c>
      <c r="I301" s="3" t="e">
        <f>INDEX(Demand_Modeling!$A$13:$I$49,MATCH(Table3[[#This Row],[Key]],Demand_Modeling!$A$13:$A$49,0),MATCH(Table3[[#Headers],[TFC]],Demand_Modeling!$A$13:$I$13,0))</f>
        <v>#N/A</v>
      </c>
      <c r="J301" s="3" t="e">
        <f>INDEX(Demand_Modeling!$A$13:$I$49,MATCH(Table3[[#This Row],[Key]],Demand_Modeling!$A$13:$A$49,0),MATCH(Table3[[#Headers],[WFC]],Demand_Modeling!$A$13:$I$13,0))</f>
        <v>#N/A</v>
      </c>
      <c r="K301" s="3" t="e">
        <f>INDEX(Demand_Modeling!$A$13:$I$49,MATCH(Table3[[#This Row],[Key]],Demand_Modeling!$A$13:$A$49,0),MATCH(Table3[[#Headers],[EAO]],Demand_Modeling!$A$13:$I$13,0))</f>
        <v>#N/A</v>
      </c>
      <c r="L301" s="3" t="e">
        <f>INDEX(Demand_Modeling!$A$13:$I$49,MATCH(Table3[[#This Row],[Key]],Demand_Modeling!$A$13:$A$49,0),MATCH(Table3[[#Headers],[OCC]],Demand_Modeling!$A$13:$I$13,0))</f>
        <v>#N/A</v>
      </c>
      <c r="M301" s="3" t="e">
        <f>INDEX(Demand_Modeling!$A$13:$I$49,MATCH(Table3[[#This Row],[Key]],Demand_Modeling!$A$13:$A$49,0),MATCH(Table3[[#Headers],[WEO]],Demand_Modeling!$A$13:$I$13,0))</f>
        <v>#N/A</v>
      </c>
      <c r="N301" s="19" t="e">
        <f>SUM(Table3[[#This Row],[OFC]:[WEO]])</f>
        <v>#N/A</v>
      </c>
      <c r="O301" s="19"/>
      <c r="Q301" s="3" t="str">
        <f>Table35[[#This Row],[Fiscal_Year]]*100+Table35[[#This Row],[Fiscal_Week]] &amp; "-" &amp;Table35[[#This Row],[Brand]]</f>
        <v>0-0</v>
      </c>
      <c r="R301" t="str">
        <f>Table3[[#This Row],[Key]]</f>
        <v>-</v>
      </c>
      <c r="S301">
        <f>Table3[[#This Row],[Fiscal_Year]]</f>
        <v>0</v>
      </c>
      <c r="T301">
        <f>Table3[[#This Row],[Fiscal_Week]]</f>
        <v>0</v>
      </c>
      <c r="U301">
        <f>Table3[[#This Row],[Brand]]</f>
        <v>0</v>
      </c>
      <c r="V301">
        <f>Table3[[#This Row],[Demand]]</f>
        <v>0</v>
      </c>
      <c r="W301" t="e">
        <f>Table3[[#This Row],[OFC]]*Table3[[#This Row],[Demand]]</f>
        <v>#N/A</v>
      </c>
      <c r="X301" t="e">
        <f>Table3[[#This Row],[TFC]]*Table3[[#This Row],[Demand]]</f>
        <v>#N/A</v>
      </c>
      <c r="Y301" t="e">
        <f>Table3[[#This Row],[WFC]]*Table3[[#This Row],[Demand]]</f>
        <v>#N/A</v>
      </c>
      <c r="Z301" t="e">
        <f>Table3[[#This Row],[EAO]]*Table3[[#This Row],[Demand]]</f>
        <v>#N/A</v>
      </c>
      <c r="AA301" t="e">
        <f>Table3[[#This Row],[OCC]]*Table3[[#This Row],[Demand]]</f>
        <v>#N/A</v>
      </c>
      <c r="AB301" t="e">
        <f>Table3[[#This Row],[WEO]]*Table3[[#This Row],[Demand]]</f>
        <v>#N/A</v>
      </c>
      <c r="AC301" s="19" t="e">
        <f>SUM(Table35[[#This Row],[OFC]:[WEO]])</f>
        <v>#N/A</v>
      </c>
      <c r="AD301" s="19" t="e">
        <f>Table35[[#This Row],[Demand]]-Table35[[#This Row],[Total_Modeled_Demand]]</f>
        <v>#N/A</v>
      </c>
    </row>
    <row r="302" spans="2:30" x14ac:dyDescent="0.3">
      <c r="B302" s="3" t="str">
        <f>Table3[[#This Row],[Fiscal_Year]]*100+Table3[[#This Row],[Fiscal_Week]] &amp; "-" &amp;Table3[[#This Row],[Brand]]</f>
        <v>0-</v>
      </c>
      <c r="C302" t="str">
        <f t="shared" si="4"/>
        <v>-</v>
      </c>
      <c r="H302" s="3" t="e">
        <f>INDEX(Demand_Modeling!$A$13:$I$49,MATCH(Table3[[#This Row],[Key]],Demand_Modeling!$A$13:$A$49,0),MATCH(Table3[[#Headers],[OFC]],Demand_Modeling!$A$13:$I$13,0))</f>
        <v>#N/A</v>
      </c>
      <c r="I302" s="3" t="e">
        <f>INDEX(Demand_Modeling!$A$13:$I$49,MATCH(Table3[[#This Row],[Key]],Demand_Modeling!$A$13:$A$49,0),MATCH(Table3[[#Headers],[TFC]],Demand_Modeling!$A$13:$I$13,0))</f>
        <v>#N/A</v>
      </c>
      <c r="J302" s="3" t="e">
        <f>INDEX(Demand_Modeling!$A$13:$I$49,MATCH(Table3[[#This Row],[Key]],Demand_Modeling!$A$13:$A$49,0),MATCH(Table3[[#Headers],[WFC]],Demand_Modeling!$A$13:$I$13,0))</f>
        <v>#N/A</v>
      </c>
      <c r="K302" s="3" t="e">
        <f>INDEX(Demand_Modeling!$A$13:$I$49,MATCH(Table3[[#This Row],[Key]],Demand_Modeling!$A$13:$A$49,0),MATCH(Table3[[#Headers],[EAO]],Demand_Modeling!$A$13:$I$13,0))</f>
        <v>#N/A</v>
      </c>
      <c r="L302" s="3" t="e">
        <f>INDEX(Demand_Modeling!$A$13:$I$49,MATCH(Table3[[#This Row],[Key]],Demand_Modeling!$A$13:$A$49,0),MATCH(Table3[[#Headers],[OCC]],Demand_Modeling!$A$13:$I$13,0))</f>
        <v>#N/A</v>
      </c>
      <c r="M302" s="3" t="e">
        <f>INDEX(Demand_Modeling!$A$13:$I$49,MATCH(Table3[[#This Row],[Key]],Demand_Modeling!$A$13:$A$49,0),MATCH(Table3[[#Headers],[WEO]],Demand_Modeling!$A$13:$I$13,0))</f>
        <v>#N/A</v>
      </c>
      <c r="N302" s="19" t="e">
        <f>SUM(Table3[[#This Row],[OFC]:[WEO]])</f>
        <v>#N/A</v>
      </c>
      <c r="O302" s="19"/>
      <c r="Q302" s="3" t="str">
        <f>Table35[[#This Row],[Fiscal_Year]]*100+Table35[[#This Row],[Fiscal_Week]] &amp; "-" &amp;Table35[[#This Row],[Brand]]</f>
        <v>0-0</v>
      </c>
      <c r="R302" t="str">
        <f>Table3[[#This Row],[Key]]</f>
        <v>-</v>
      </c>
      <c r="S302">
        <f>Table3[[#This Row],[Fiscal_Year]]</f>
        <v>0</v>
      </c>
      <c r="T302">
        <f>Table3[[#This Row],[Fiscal_Week]]</f>
        <v>0</v>
      </c>
      <c r="U302">
        <f>Table3[[#This Row],[Brand]]</f>
        <v>0</v>
      </c>
      <c r="V302">
        <f>Table3[[#This Row],[Demand]]</f>
        <v>0</v>
      </c>
      <c r="W302" t="e">
        <f>Table3[[#This Row],[OFC]]*Table3[[#This Row],[Demand]]</f>
        <v>#N/A</v>
      </c>
      <c r="X302" t="e">
        <f>Table3[[#This Row],[TFC]]*Table3[[#This Row],[Demand]]</f>
        <v>#N/A</v>
      </c>
      <c r="Y302" t="e">
        <f>Table3[[#This Row],[WFC]]*Table3[[#This Row],[Demand]]</f>
        <v>#N/A</v>
      </c>
      <c r="Z302" t="e">
        <f>Table3[[#This Row],[EAO]]*Table3[[#This Row],[Demand]]</f>
        <v>#N/A</v>
      </c>
      <c r="AA302" t="e">
        <f>Table3[[#This Row],[OCC]]*Table3[[#This Row],[Demand]]</f>
        <v>#N/A</v>
      </c>
      <c r="AB302" t="e">
        <f>Table3[[#This Row],[WEO]]*Table3[[#This Row],[Demand]]</f>
        <v>#N/A</v>
      </c>
      <c r="AC302" s="19" t="e">
        <f>SUM(Table35[[#This Row],[OFC]:[WEO]])</f>
        <v>#N/A</v>
      </c>
      <c r="AD302" s="19" t="e">
        <f>Table35[[#This Row],[Demand]]-Table35[[#This Row],[Total_Modeled_Demand]]</f>
        <v>#N/A</v>
      </c>
    </row>
    <row r="303" spans="2:30" x14ac:dyDescent="0.3">
      <c r="B303" s="3" t="str">
        <f>Table3[[#This Row],[Fiscal_Year]]*100+Table3[[#This Row],[Fiscal_Week]] &amp; "-" &amp;Table3[[#This Row],[Brand]]</f>
        <v>0-</v>
      </c>
      <c r="C303" t="str">
        <f t="shared" si="4"/>
        <v>-</v>
      </c>
      <c r="H303" s="3" t="e">
        <f>INDEX(Demand_Modeling!$A$13:$I$49,MATCH(Table3[[#This Row],[Key]],Demand_Modeling!$A$13:$A$49,0),MATCH(Table3[[#Headers],[OFC]],Demand_Modeling!$A$13:$I$13,0))</f>
        <v>#N/A</v>
      </c>
      <c r="I303" s="3" t="e">
        <f>INDEX(Demand_Modeling!$A$13:$I$49,MATCH(Table3[[#This Row],[Key]],Demand_Modeling!$A$13:$A$49,0),MATCH(Table3[[#Headers],[TFC]],Demand_Modeling!$A$13:$I$13,0))</f>
        <v>#N/A</v>
      </c>
      <c r="J303" s="3" t="e">
        <f>INDEX(Demand_Modeling!$A$13:$I$49,MATCH(Table3[[#This Row],[Key]],Demand_Modeling!$A$13:$A$49,0),MATCH(Table3[[#Headers],[WFC]],Demand_Modeling!$A$13:$I$13,0))</f>
        <v>#N/A</v>
      </c>
      <c r="K303" s="3" t="e">
        <f>INDEX(Demand_Modeling!$A$13:$I$49,MATCH(Table3[[#This Row],[Key]],Demand_Modeling!$A$13:$A$49,0),MATCH(Table3[[#Headers],[EAO]],Demand_Modeling!$A$13:$I$13,0))</f>
        <v>#N/A</v>
      </c>
      <c r="L303" s="3" t="e">
        <f>INDEX(Demand_Modeling!$A$13:$I$49,MATCH(Table3[[#This Row],[Key]],Demand_Modeling!$A$13:$A$49,0),MATCH(Table3[[#Headers],[OCC]],Demand_Modeling!$A$13:$I$13,0))</f>
        <v>#N/A</v>
      </c>
      <c r="M303" s="3" t="e">
        <f>INDEX(Demand_Modeling!$A$13:$I$49,MATCH(Table3[[#This Row],[Key]],Demand_Modeling!$A$13:$A$49,0),MATCH(Table3[[#Headers],[WEO]],Demand_Modeling!$A$13:$I$13,0))</f>
        <v>#N/A</v>
      </c>
      <c r="N303" s="19" t="e">
        <f>SUM(Table3[[#This Row],[OFC]:[WEO]])</f>
        <v>#N/A</v>
      </c>
      <c r="O303" s="19"/>
      <c r="Q303" s="3" t="str">
        <f>Table35[[#This Row],[Fiscal_Year]]*100+Table35[[#This Row],[Fiscal_Week]] &amp; "-" &amp;Table35[[#This Row],[Brand]]</f>
        <v>0-0</v>
      </c>
      <c r="R303" t="str">
        <f>Table3[[#This Row],[Key]]</f>
        <v>-</v>
      </c>
      <c r="S303">
        <f>Table3[[#This Row],[Fiscal_Year]]</f>
        <v>0</v>
      </c>
      <c r="T303">
        <f>Table3[[#This Row],[Fiscal_Week]]</f>
        <v>0</v>
      </c>
      <c r="U303">
        <f>Table3[[#This Row],[Brand]]</f>
        <v>0</v>
      </c>
      <c r="V303">
        <f>Table3[[#This Row],[Demand]]</f>
        <v>0</v>
      </c>
      <c r="W303" t="e">
        <f>Table3[[#This Row],[OFC]]*Table3[[#This Row],[Demand]]</f>
        <v>#N/A</v>
      </c>
      <c r="X303" t="e">
        <f>Table3[[#This Row],[TFC]]*Table3[[#This Row],[Demand]]</f>
        <v>#N/A</v>
      </c>
      <c r="Y303" t="e">
        <f>Table3[[#This Row],[WFC]]*Table3[[#This Row],[Demand]]</f>
        <v>#N/A</v>
      </c>
      <c r="Z303" t="e">
        <f>Table3[[#This Row],[EAO]]*Table3[[#This Row],[Demand]]</f>
        <v>#N/A</v>
      </c>
      <c r="AA303" t="e">
        <f>Table3[[#This Row],[OCC]]*Table3[[#This Row],[Demand]]</f>
        <v>#N/A</v>
      </c>
      <c r="AB303" t="e">
        <f>Table3[[#This Row],[WEO]]*Table3[[#This Row],[Demand]]</f>
        <v>#N/A</v>
      </c>
      <c r="AC303" s="19" t="e">
        <f>SUM(Table35[[#This Row],[OFC]:[WEO]])</f>
        <v>#N/A</v>
      </c>
      <c r="AD303" s="19" t="e">
        <f>Table35[[#This Row],[Demand]]-Table35[[#This Row],[Total_Modeled_Demand]]</f>
        <v>#N/A</v>
      </c>
    </row>
    <row r="304" spans="2:30" x14ac:dyDescent="0.3">
      <c r="B304" s="3" t="str">
        <f>Table3[[#This Row],[Fiscal_Year]]*100+Table3[[#This Row],[Fiscal_Week]] &amp; "-" &amp;Table3[[#This Row],[Brand]]</f>
        <v>0-</v>
      </c>
      <c r="C304" t="str">
        <f t="shared" si="4"/>
        <v>-</v>
      </c>
      <c r="H304" s="3" t="e">
        <f>INDEX(Demand_Modeling!$A$13:$I$49,MATCH(Table3[[#This Row],[Key]],Demand_Modeling!$A$13:$A$49,0),MATCH(Table3[[#Headers],[OFC]],Demand_Modeling!$A$13:$I$13,0))</f>
        <v>#N/A</v>
      </c>
      <c r="I304" s="3" t="e">
        <f>INDEX(Demand_Modeling!$A$13:$I$49,MATCH(Table3[[#This Row],[Key]],Demand_Modeling!$A$13:$A$49,0),MATCH(Table3[[#Headers],[TFC]],Demand_Modeling!$A$13:$I$13,0))</f>
        <v>#N/A</v>
      </c>
      <c r="J304" s="3" t="e">
        <f>INDEX(Demand_Modeling!$A$13:$I$49,MATCH(Table3[[#This Row],[Key]],Demand_Modeling!$A$13:$A$49,0),MATCH(Table3[[#Headers],[WFC]],Demand_Modeling!$A$13:$I$13,0))</f>
        <v>#N/A</v>
      </c>
      <c r="K304" s="3" t="e">
        <f>INDEX(Demand_Modeling!$A$13:$I$49,MATCH(Table3[[#This Row],[Key]],Demand_Modeling!$A$13:$A$49,0),MATCH(Table3[[#Headers],[EAO]],Demand_Modeling!$A$13:$I$13,0))</f>
        <v>#N/A</v>
      </c>
      <c r="L304" s="3" t="e">
        <f>INDEX(Demand_Modeling!$A$13:$I$49,MATCH(Table3[[#This Row],[Key]],Demand_Modeling!$A$13:$A$49,0),MATCH(Table3[[#Headers],[OCC]],Demand_Modeling!$A$13:$I$13,0))</f>
        <v>#N/A</v>
      </c>
      <c r="M304" s="3" t="e">
        <f>INDEX(Demand_Modeling!$A$13:$I$49,MATCH(Table3[[#This Row],[Key]],Demand_Modeling!$A$13:$A$49,0),MATCH(Table3[[#Headers],[WEO]],Demand_Modeling!$A$13:$I$13,0))</f>
        <v>#N/A</v>
      </c>
      <c r="N304" s="19" t="e">
        <f>SUM(Table3[[#This Row],[OFC]:[WEO]])</f>
        <v>#N/A</v>
      </c>
      <c r="O304" s="19"/>
      <c r="Q304" s="3" t="str">
        <f>Table35[[#This Row],[Fiscal_Year]]*100+Table35[[#This Row],[Fiscal_Week]] &amp; "-" &amp;Table35[[#This Row],[Brand]]</f>
        <v>0-0</v>
      </c>
      <c r="R304" t="str">
        <f>Table3[[#This Row],[Key]]</f>
        <v>-</v>
      </c>
      <c r="S304">
        <f>Table3[[#This Row],[Fiscal_Year]]</f>
        <v>0</v>
      </c>
      <c r="T304">
        <f>Table3[[#This Row],[Fiscal_Week]]</f>
        <v>0</v>
      </c>
      <c r="U304">
        <f>Table3[[#This Row],[Brand]]</f>
        <v>0</v>
      </c>
      <c r="V304">
        <f>Table3[[#This Row],[Demand]]</f>
        <v>0</v>
      </c>
      <c r="W304" t="e">
        <f>Table3[[#This Row],[OFC]]*Table3[[#This Row],[Demand]]</f>
        <v>#N/A</v>
      </c>
      <c r="X304" t="e">
        <f>Table3[[#This Row],[TFC]]*Table3[[#This Row],[Demand]]</f>
        <v>#N/A</v>
      </c>
      <c r="Y304" t="e">
        <f>Table3[[#This Row],[WFC]]*Table3[[#This Row],[Demand]]</f>
        <v>#N/A</v>
      </c>
      <c r="Z304" t="e">
        <f>Table3[[#This Row],[EAO]]*Table3[[#This Row],[Demand]]</f>
        <v>#N/A</v>
      </c>
      <c r="AA304" t="e">
        <f>Table3[[#This Row],[OCC]]*Table3[[#This Row],[Demand]]</f>
        <v>#N/A</v>
      </c>
      <c r="AB304" t="e">
        <f>Table3[[#This Row],[WEO]]*Table3[[#This Row],[Demand]]</f>
        <v>#N/A</v>
      </c>
      <c r="AC304" s="19" t="e">
        <f>SUM(Table35[[#This Row],[OFC]:[WEO]])</f>
        <v>#N/A</v>
      </c>
      <c r="AD304" s="19" t="e">
        <f>Table35[[#This Row],[Demand]]-Table35[[#This Row],[Total_Modeled_Demand]]</f>
        <v>#N/A</v>
      </c>
    </row>
    <row r="305" spans="2:30" x14ac:dyDescent="0.3">
      <c r="B305" s="3" t="str">
        <f>Table3[[#This Row],[Fiscal_Year]]*100+Table3[[#This Row],[Fiscal_Week]] &amp; "-" &amp;Table3[[#This Row],[Brand]]</f>
        <v>0-</v>
      </c>
      <c r="C305" t="str">
        <f t="shared" si="4"/>
        <v>-</v>
      </c>
      <c r="H305" s="3" t="e">
        <f>INDEX(Demand_Modeling!$A$13:$I$49,MATCH(Table3[[#This Row],[Key]],Demand_Modeling!$A$13:$A$49,0),MATCH(Table3[[#Headers],[OFC]],Demand_Modeling!$A$13:$I$13,0))</f>
        <v>#N/A</v>
      </c>
      <c r="I305" s="3" t="e">
        <f>INDEX(Demand_Modeling!$A$13:$I$49,MATCH(Table3[[#This Row],[Key]],Demand_Modeling!$A$13:$A$49,0),MATCH(Table3[[#Headers],[TFC]],Demand_Modeling!$A$13:$I$13,0))</f>
        <v>#N/A</v>
      </c>
      <c r="J305" s="3" t="e">
        <f>INDEX(Demand_Modeling!$A$13:$I$49,MATCH(Table3[[#This Row],[Key]],Demand_Modeling!$A$13:$A$49,0),MATCH(Table3[[#Headers],[WFC]],Demand_Modeling!$A$13:$I$13,0))</f>
        <v>#N/A</v>
      </c>
      <c r="K305" s="3" t="e">
        <f>INDEX(Demand_Modeling!$A$13:$I$49,MATCH(Table3[[#This Row],[Key]],Demand_Modeling!$A$13:$A$49,0),MATCH(Table3[[#Headers],[EAO]],Demand_Modeling!$A$13:$I$13,0))</f>
        <v>#N/A</v>
      </c>
      <c r="L305" s="3" t="e">
        <f>INDEX(Demand_Modeling!$A$13:$I$49,MATCH(Table3[[#This Row],[Key]],Demand_Modeling!$A$13:$A$49,0),MATCH(Table3[[#Headers],[OCC]],Demand_Modeling!$A$13:$I$13,0))</f>
        <v>#N/A</v>
      </c>
      <c r="M305" s="3" t="e">
        <f>INDEX(Demand_Modeling!$A$13:$I$49,MATCH(Table3[[#This Row],[Key]],Demand_Modeling!$A$13:$A$49,0),MATCH(Table3[[#Headers],[WEO]],Demand_Modeling!$A$13:$I$13,0))</f>
        <v>#N/A</v>
      </c>
      <c r="N305" s="19" t="e">
        <f>SUM(Table3[[#This Row],[OFC]:[WEO]])</f>
        <v>#N/A</v>
      </c>
      <c r="O305" s="19"/>
      <c r="Q305" s="3" t="str">
        <f>Table35[[#This Row],[Fiscal_Year]]*100+Table35[[#This Row],[Fiscal_Week]] &amp; "-" &amp;Table35[[#This Row],[Brand]]</f>
        <v>0-0</v>
      </c>
      <c r="R305" t="str">
        <f>Table3[[#This Row],[Key]]</f>
        <v>-</v>
      </c>
      <c r="S305">
        <f>Table3[[#This Row],[Fiscal_Year]]</f>
        <v>0</v>
      </c>
      <c r="T305">
        <f>Table3[[#This Row],[Fiscal_Week]]</f>
        <v>0</v>
      </c>
      <c r="U305">
        <f>Table3[[#This Row],[Brand]]</f>
        <v>0</v>
      </c>
      <c r="V305">
        <f>Table3[[#This Row],[Demand]]</f>
        <v>0</v>
      </c>
      <c r="W305" t="e">
        <f>Table3[[#This Row],[OFC]]*Table3[[#This Row],[Demand]]</f>
        <v>#N/A</v>
      </c>
      <c r="X305" t="e">
        <f>Table3[[#This Row],[TFC]]*Table3[[#This Row],[Demand]]</f>
        <v>#N/A</v>
      </c>
      <c r="Y305" t="e">
        <f>Table3[[#This Row],[WFC]]*Table3[[#This Row],[Demand]]</f>
        <v>#N/A</v>
      </c>
      <c r="Z305" t="e">
        <f>Table3[[#This Row],[EAO]]*Table3[[#This Row],[Demand]]</f>
        <v>#N/A</v>
      </c>
      <c r="AA305" t="e">
        <f>Table3[[#This Row],[OCC]]*Table3[[#This Row],[Demand]]</f>
        <v>#N/A</v>
      </c>
      <c r="AB305" t="e">
        <f>Table3[[#This Row],[WEO]]*Table3[[#This Row],[Demand]]</f>
        <v>#N/A</v>
      </c>
      <c r="AC305" s="19" t="e">
        <f>SUM(Table35[[#This Row],[OFC]:[WEO]])</f>
        <v>#N/A</v>
      </c>
      <c r="AD305" s="19" t="e">
        <f>Table35[[#This Row],[Demand]]-Table35[[#This Row],[Total_Modeled_Demand]]</f>
        <v>#N/A</v>
      </c>
    </row>
    <row r="306" spans="2:30" x14ac:dyDescent="0.3">
      <c r="B306" s="3" t="str">
        <f>Table3[[#This Row],[Fiscal_Year]]*100+Table3[[#This Row],[Fiscal_Week]] &amp; "-" &amp;Table3[[#This Row],[Brand]]</f>
        <v>0-</v>
      </c>
      <c r="C306" t="str">
        <f t="shared" si="4"/>
        <v>-</v>
      </c>
      <c r="H306" s="3" t="e">
        <f>INDEX(Demand_Modeling!$A$13:$I$49,MATCH(Table3[[#This Row],[Key]],Demand_Modeling!$A$13:$A$49,0),MATCH(Table3[[#Headers],[OFC]],Demand_Modeling!$A$13:$I$13,0))</f>
        <v>#N/A</v>
      </c>
      <c r="I306" s="3" t="e">
        <f>INDEX(Demand_Modeling!$A$13:$I$49,MATCH(Table3[[#This Row],[Key]],Demand_Modeling!$A$13:$A$49,0),MATCH(Table3[[#Headers],[TFC]],Demand_Modeling!$A$13:$I$13,0))</f>
        <v>#N/A</v>
      </c>
      <c r="J306" s="3" t="e">
        <f>INDEX(Demand_Modeling!$A$13:$I$49,MATCH(Table3[[#This Row],[Key]],Demand_Modeling!$A$13:$A$49,0),MATCH(Table3[[#Headers],[WFC]],Demand_Modeling!$A$13:$I$13,0))</f>
        <v>#N/A</v>
      </c>
      <c r="K306" s="3" t="e">
        <f>INDEX(Demand_Modeling!$A$13:$I$49,MATCH(Table3[[#This Row],[Key]],Demand_Modeling!$A$13:$A$49,0),MATCH(Table3[[#Headers],[EAO]],Demand_Modeling!$A$13:$I$13,0))</f>
        <v>#N/A</v>
      </c>
      <c r="L306" s="3" t="e">
        <f>INDEX(Demand_Modeling!$A$13:$I$49,MATCH(Table3[[#This Row],[Key]],Demand_Modeling!$A$13:$A$49,0),MATCH(Table3[[#Headers],[OCC]],Demand_Modeling!$A$13:$I$13,0))</f>
        <v>#N/A</v>
      </c>
      <c r="M306" s="3" t="e">
        <f>INDEX(Demand_Modeling!$A$13:$I$49,MATCH(Table3[[#This Row],[Key]],Demand_Modeling!$A$13:$A$49,0),MATCH(Table3[[#Headers],[WEO]],Demand_Modeling!$A$13:$I$13,0))</f>
        <v>#N/A</v>
      </c>
      <c r="N306" s="19" t="e">
        <f>SUM(Table3[[#This Row],[OFC]:[WEO]])</f>
        <v>#N/A</v>
      </c>
      <c r="O306" s="19"/>
      <c r="Q306" s="3" t="str">
        <f>Table35[[#This Row],[Fiscal_Year]]*100+Table35[[#This Row],[Fiscal_Week]] &amp; "-" &amp;Table35[[#This Row],[Brand]]</f>
        <v>0-0</v>
      </c>
      <c r="R306" t="str">
        <f>Table3[[#This Row],[Key]]</f>
        <v>-</v>
      </c>
      <c r="S306">
        <f>Table3[[#This Row],[Fiscal_Year]]</f>
        <v>0</v>
      </c>
      <c r="T306">
        <f>Table3[[#This Row],[Fiscal_Week]]</f>
        <v>0</v>
      </c>
      <c r="U306">
        <f>Table3[[#This Row],[Brand]]</f>
        <v>0</v>
      </c>
      <c r="V306">
        <f>Table3[[#This Row],[Demand]]</f>
        <v>0</v>
      </c>
      <c r="W306" t="e">
        <f>Table3[[#This Row],[OFC]]*Table3[[#This Row],[Demand]]</f>
        <v>#N/A</v>
      </c>
      <c r="X306" t="e">
        <f>Table3[[#This Row],[TFC]]*Table3[[#This Row],[Demand]]</f>
        <v>#N/A</v>
      </c>
      <c r="Y306" t="e">
        <f>Table3[[#This Row],[WFC]]*Table3[[#This Row],[Demand]]</f>
        <v>#N/A</v>
      </c>
      <c r="Z306" t="e">
        <f>Table3[[#This Row],[EAO]]*Table3[[#This Row],[Demand]]</f>
        <v>#N/A</v>
      </c>
      <c r="AA306" t="e">
        <f>Table3[[#This Row],[OCC]]*Table3[[#This Row],[Demand]]</f>
        <v>#N/A</v>
      </c>
      <c r="AB306" t="e">
        <f>Table3[[#This Row],[WEO]]*Table3[[#This Row],[Demand]]</f>
        <v>#N/A</v>
      </c>
      <c r="AC306" s="19" t="e">
        <f>SUM(Table35[[#This Row],[OFC]:[WEO]])</f>
        <v>#N/A</v>
      </c>
      <c r="AD306" s="19" t="e">
        <f>Table35[[#This Row],[Demand]]-Table35[[#This Row],[Total_Modeled_Demand]]</f>
        <v>#N/A</v>
      </c>
    </row>
    <row r="307" spans="2:30" x14ac:dyDescent="0.3">
      <c r="B307" s="3" t="str">
        <f>Table3[[#This Row],[Fiscal_Year]]*100+Table3[[#This Row],[Fiscal_Week]] &amp; "-" &amp;Table3[[#This Row],[Brand]]</f>
        <v>0-</v>
      </c>
      <c r="C307" t="str">
        <f t="shared" si="4"/>
        <v>-</v>
      </c>
      <c r="H307" s="3" t="e">
        <f>INDEX(Demand_Modeling!$A$13:$I$49,MATCH(Table3[[#This Row],[Key]],Demand_Modeling!$A$13:$A$49,0),MATCH(Table3[[#Headers],[OFC]],Demand_Modeling!$A$13:$I$13,0))</f>
        <v>#N/A</v>
      </c>
      <c r="I307" s="3" t="e">
        <f>INDEX(Demand_Modeling!$A$13:$I$49,MATCH(Table3[[#This Row],[Key]],Demand_Modeling!$A$13:$A$49,0),MATCH(Table3[[#Headers],[TFC]],Demand_Modeling!$A$13:$I$13,0))</f>
        <v>#N/A</v>
      </c>
      <c r="J307" s="3" t="e">
        <f>INDEX(Demand_Modeling!$A$13:$I$49,MATCH(Table3[[#This Row],[Key]],Demand_Modeling!$A$13:$A$49,0),MATCH(Table3[[#Headers],[WFC]],Demand_Modeling!$A$13:$I$13,0))</f>
        <v>#N/A</v>
      </c>
      <c r="K307" s="3" t="e">
        <f>INDEX(Demand_Modeling!$A$13:$I$49,MATCH(Table3[[#This Row],[Key]],Demand_Modeling!$A$13:$A$49,0),MATCH(Table3[[#Headers],[EAO]],Demand_Modeling!$A$13:$I$13,0))</f>
        <v>#N/A</v>
      </c>
      <c r="L307" s="3" t="e">
        <f>INDEX(Demand_Modeling!$A$13:$I$49,MATCH(Table3[[#This Row],[Key]],Demand_Modeling!$A$13:$A$49,0),MATCH(Table3[[#Headers],[OCC]],Demand_Modeling!$A$13:$I$13,0))</f>
        <v>#N/A</v>
      </c>
      <c r="M307" s="3" t="e">
        <f>INDEX(Demand_Modeling!$A$13:$I$49,MATCH(Table3[[#This Row],[Key]],Demand_Modeling!$A$13:$A$49,0),MATCH(Table3[[#Headers],[WEO]],Demand_Modeling!$A$13:$I$13,0))</f>
        <v>#N/A</v>
      </c>
      <c r="N307" s="19" t="e">
        <f>SUM(Table3[[#This Row],[OFC]:[WEO]])</f>
        <v>#N/A</v>
      </c>
      <c r="O307" s="19"/>
      <c r="Q307" s="3" t="str">
        <f>Table35[[#This Row],[Fiscal_Year]]*100+Table35[[#This Row],[Fiscal_Week]] &amp; "-" &amp;Table35[[#This Row],[Brand]]</f>
        <v>0-0</v>
      </c>
      <c r="R307" t="str">
        <f>Table3[[#This Row],[Key]]</f>
        <v>-</v>
      </c>
      <c r="S307">
        <f>Table3[[#This Row],[Fiscal_Year]]</f>
        <v>0</v>
      </c>
      <c r="T307">
        <f>Table3[[#This Row],[Fiscal_Week]]</f>
        <v>0</v>
      </c>
      <c r="U307">
        <f>Table3[[#This Row],[Brand]]</f>
        <v>0</v>
      </c>
      <c r="V307">
        <f>Table3[[#This Row],[Demand]]</f>
        <v>0</v>
      </c>
      <c r="W307" t="e">
        <f>Table3[[#This Row],[OFC]]*Table3[[#This Row],[Demand]]</f>
        <v>#N/A</v>
      </c>
      <c r="X307" t="e">
        <f>Table3[[#This Row],[TFC]]*Table3[[#This Row],[Demand]]</f>
        <v>#N/A</v>
      </c>
      <c r="Y307" t="e">
        <f>Table3[[#This Row],[WFC]]*Table3[[#This Row],[Demand]]</f>
        <v>#N/A</v>
      </c>
      <c r="Z307" t="e">
        <f>Table3[[#This Row],[EAO]]*Table3[[#This Row],[Demand]]</f>
        <v>#N/A</v>
      </c>
      <c r="AA307" t="e">
        <f>Table3[[#This Row],[OCC]]*Table3[[#This Row],[Demand]]</f>
        <v>#N/A</v>
      </c>
      <c r="AB307" t="e">
        <f>Table3[[#This Row],[WEO]]*Table3[[#This Row],[Demand]]</f>
        <v>#N/A</v>
      </c>
      <c r="AC307" s="19" t="e">
        <f>SUM(Table35[[#This Row],[OFC]:[WEO]])</f>
        <v>#N/A</v>
      </c>
      <c r="AD307" s="19" t="e">
        <f>Table35[[#This Row],[Demand]]-Table35[[#This Row],[Total_Modeled_Demand]]</f>
        <v>#N/A</v>
      </c>
    </row>
    <row r="308" spans="2:30" x14ac:dyDescent="0.3">
      <c r="B308" s="3" t="str">
        <f>Table3[[#This Row],[Fiscal_Year]]*100+Table3[[#This Row],[Fiscal_Week]] &amp; "-" &amp;Table3[[#This Row],[Brand]]</f>
        <v>0-</v>
      </c>
      <c r="C308" t="str">
        <f t="shared" si="4"/>
        <v>-</v>
      </c>
      <c r="H308" s="3" t="e">
        <f>INDEX(Demand_Modeling!$A$13:$I$49,MATCH(Table3[[#This Row],[Key]],Demand_Modeling!$A$13:$A$49,0),MATCH(Table3[[#Headers],[OFC]],Demand_Modeling!$A$13:$I$13,0))</f>
        <v>#N/A</v>
      </c>
      <c r="I308" s="3" t="e">
        <f>INDEX(Demand_Modeling!$A$13:$I$49,MATCH(Table3[[#This Row],[Key]],Demand_Modeling!$A$13:$A$49,0),MATCH(Table3[[#Headers],[TFC]],Demand_Modeling!$A$13:$I$13,0))</f>
        <v>#N/A</v>
      </c>
      <c r="J308" s="3" t="e">
        <f>INDEX(Demand_Modeling!$A$13:$I$49,MATCH(Table3[[#This Row],[Key]],Demand_Modeling!$A$13:$A$49,0),MATCH(Table3[[#Headers],[WFC]],Demand_Modeling!$A$13:$I$13,0))</f>
        <v>#N/A</v>
      </c>
      <c r="K308" s="3" t="e">
        <f>INDEX(Demand_Modeling!$A$13:$I$49,MATCH(Table3[[#This Row],[Key]],Demand_Modeling!$A$13:$A$49,0),MATCH(Table3[[#Headers],[EAO]],Demand_Modeling!$A$13:$I$13,0))</f>
        <v>#N/A</v>
      </c>
      <c r="L308" s="3" t="e">
        <f>INDEX(Demand_Modeling!$A$13:$I$49,MATCH(Table3[[#This Row],[Key]],Demand_Modeling!$A$13:$A$49,0),MATCH(Table3[[#Headers],[OCC]],Demand_Modeling!$A$13:$I$13,0))</f>
        <v>#N/A</v>
      </c>
      <c r="M308" s="3" t="e">
        <f>INDEX(Demand_Modeling!$A$13:$I$49,MATCH(Table3[[#This Row],[Key]],Demand_Modeling!$A$13:$A$49,0),MATCH(Table3[[#Headers],[WEO]],Demand_Modeling!$A$13:$I$13,0))</f>
        <v>#N/A</v>
      </c>
      <c r="N308" s="19" t="e">
        <f>SUM(Table3[[#This Row],[OFC]:[WEO]])</f>
        <v>#N/A</v>
      </c>
      <c r="O308" s="19"/>
      <c r="Q308" s="3" t="str">
        <f>Table35[[#This Row],[Fiscal_Year]]*100+Table35[[#This Row],[Fiscal_Week]] &amp; "-" &amp;Table35[[#This Row],[Brand]]</f>
        <v>0-0</v>
      </c>
      <c r="R308" t="str">
        <f>Table3[[#This Row],[Key]]</f>
        <v>-</v>
      </c>
      <c r="S308">
        <f>Table3[[#This Row],[Fiscal_Year]]</f>
        <v>0</v>
      </c>
      <c r="T308">
        <f>Table3[[#This Row],[Fiscal_Week]]</f>
        <v>0</v>
      </c>
      <c r="U308">
        <f>Table3[[#This Row],[Brand]]</f>
        <v>0</v>
      </c>
      <c r="V308">
        <f>Table3[[#This Row],[Demand]]</f>
        <v>0</v>
      </c>
      <c r="W308" t="e">
        <f>Table3[[#This Row],[OFC]]*Table3[[#This Row],[Demand]]</f>
        <v>#N/A</v>
      </c>
      <c r="X308" t="e">
        <f>Table3[[#This Row],[TFC]]*Table3[[#This Row],[Demand]]</f>
        <v>#N/A</v>
      </c>
      <c r="Y308" t="e">
        <f>Table3[[#This Row],[WFC]]*Table3[[#This Row],[Demand]]</f>
        <v>#N/A</v>
      </c>
      <c r="Z308" t="e">
        <f>Table3[[#This Row],[EAO]]*Table3[[#This Row],[Demand]]</f>
        <v>#N/A</v>
      </c>
      <c r="AA308" t="e">
        <f>Table3[[#This Row],[OCC]]*Table3[[#This Row],[Demand]]</f>
        <v>#N/A</v>
      </c>
      <c r="AB308" t="e">
        <f>Table3[[#This Row],[WEO]]*Table3[[#This Row],[Demand]]</f>
        <v>#N/A</v>
      </c>
      <c r="AC308" s="19" t="e">
        <f>SUM(Table35[[#This Row],[OFC]:[WEO]])</f>
        <v>#N/A</v>
      </c>
      <c r="AD308" s="19" t="e">
        <f>Table35[[#This Row],[Demand]]-Table35[[#This Row],[Total_Modeled_Demand]]</f>
        <v>#N/A</v>
      </c>
    </row>
    <row r="309" spans="2:30" x14ac:dyDescent="0.3">
      <c r="B309" s="3" t="str">
        <f>Table3[[#This Row],[Fiscal_Year]]*100+Table3[[#This Row],[Fiscal_Week]] &amp; "-" &amp;Table3[[#This Row],[Brand]]</f>
        <v>0-</v>
      </c>
      <c r="C309" t="str">
        <f t="shared" si="4"/>
        <v>-</v>
      </c>
      <c r="H309" s="3" t="e">
        <f>INDEX(Demand_Modeling!$A$13:$I$49,MATCH(Table3[[#This Row],[Key]],Demand_Modeling!$A$13:$A$49,0),MATCH(Table3[[#Headers],[OFC]],Demand_Modeling!$A$13:$I$13,0))</f>
        <v>#N/A</v>
      </c>
      <c r="I309" s="3" t="e">
        <f>INDEX(Demand_Modeling!$A$13:$I$49,MATCH(Table3[[#This Row],[Key]],Demand_Modeling!$A$13:$A$49,0),MATCH(Table3[[#Headers],[TFC]],Demand_Modeling!$A$13:$I$13,0))</f>
        <v>#N/A</v>
      </c>
      <c r="J309" s="3" t="e">
        <f>INDEX(Demand_Modeling!$A$13:$I$49,MATCH(Table3[[#This Row],[Key]],Demand_Modeling!$A$13:$A$49,0),MATCH(Table3[[#Headers],[WFC]],Demand_Modeling!$A$13:$I$13,0))</f>
        <v>#N/A</v>
      </c>
      <c r="K309" s="3" t="e">
        <f>INDEX(Demand_Modeling!$A$13:$I$49,MATCH(Table3[[#This Row],[Key]],Demand_Modeling!$A$13:$A$49,0),MATCH(Table3[[#Headers],[EAO]],Demand_Modeling!$A$13:$I$13,0))</f>
        <v>#N/A</v>
      </c>
      <c r="L309" s="3" t="e">
        <f>INDEX(Demand_Modeling!$A$13:$I$49,MATCH(Table3[[#This Row],[Key]],Demand_Modeling!$A$13:$A$49,0),MATCH(Table3[[#Headers],[OCC]],Demand_Modeling!$A$13:$I$13,0))</f>
        <v>#N/A</v>
      </c>
      <c r="M309" s="3" t="e">
        <f>INDEX(Demand_Modeling!$A$13:$I$49,MATCH(Table3[[#This Row],[Key]],Demand_Modeling!$A$13:$A$49,0),MATCH(Table3[[#Headers],[WEO]],Demand_Modeling!$A$13:$I$13,0))</f>
        <v>#N/A</v>
      </c>
      <c r="N309" s="19" t="e">
        <f>SUM(Table3[[#This Row],[OFC]:[WEO]])</f>
        <v>#N/A</v>
      </c>
      <c r="O309" s="19"/>
      <c r="Q309" s="3" t="str">
        <f>Table35[[#This Row],[Fiscal_Year]]*100+Table35[[#This Row],[Fiscal_Week]] &amp; "-" &amp;Table35[[#This Row],[Brand]]</f>
        <v>0-0</v>
      </c>
      <c r="R309" t="str">
        <f>Table3[[#This Row],[Key]]</f>
        <v>-</v>
      </c>
      <c r="S309">
        <f>Table3[[#This Row],[Fiscal_Year]]</f>
        <v>0</v>
      </c>
      <c r="T309">
        <f>Table3[[#This Row],[Fiscal_Week]]</f>
        <v>0</v>
      </c>
      <c r="U309">
        <f>Table3[[#This Row],[Brand]]</f>
        <v>0</v>
      </c>
      <c r="V309">
        <f>Table3[[#This Row],[Demand]]</f>
        <v>0</v>
      </c>
      <c r="W309" t="e">
        <f>Table3[[#This Row],[OFC]]*Table3[[#This Row],[Demand]]</f>
        <v>#N/A</v>
      </c>
      <c r="X309" t="e">
        <f>Table3[[#This Row],[TFC]]*Table3[[#This Row],[Demand]]</f>
        <v>#N/A</v>
      </c>
      <c r="Y309" t="e">
        <f>Table3[[#This Row],[WFC]]*Table3[[#This Row],[Demand]]</f>
        <v>#N/A</v>
      </c>
      <c r="Z309" t="e">
        <f>Table3[[#This Row],[EAO]]*Table3[[#This Row],[Demand]]</f>
        <v>#N/A</v>
      </c>
      <c r="AA309" t="e">
        <f>Table3[[#This Row],[OCC]]*Table3[[#This Row],[Demand]]</f>
        <v>#N/A</v>
      </c>
      <c r="AB309" t="e">
        <f>Table3[[#This Row],[WEO]]*Table3[[#This Row],[Demand]]</f>
        <v>#N/A</v>
      </c>
      <c r="AC309" s="19" t="e">
        <f>SUM(Table35[[#This Row],[OFC]:[WEO]])</f>
        <v>#N/A</v>
      </c>
      <c r="AD309" s="19" t="e">
        <f>Table35[[#This Row],[Demand]]-Table35[[#This Row],[Total_Modeled_Demand]]</f>
        <v>#N/A</v>
      </c>
    </row>
    <row r="310" spans="2:30" x14ac:dyDescent="0.3">
      <c r="B310" s="3" t="str">
        <f>Table3[[#This Row],[Fiscal_Year]]*100+Table3[[#This Row],[Fiscal_Week]] &amp; "-" &amp;Table3[[#This Row],[Brand]]</f>
        <v>0-</v>
      </c>
      <c r="C310" t="str">
        <f t="shared" si="4"/>
        <v>-</v>
      </c>
      <c r="H310" s="3" t="e">
        <f>INDEX(Demand_Modeling!$A$13:$I$49,MATCH(Table3[[#This Row],[Key]],Demand_Modeling!$A$13:$A$49,0),MATCH(Table3[[#Headers],[OFC]],Demand_Modeling!$A$13:$I$13,0))</f>
        <v>#N/A</v>
      </c>
      <c r="I310" s="3" t="e">
        <f>INDEX(Demand_Modeling!$A$13:$I$49,MATCH(Table3[[#This Row],[Key]],Demand_Modeling!$A$13:$A$49,0),MATCH(Table3[[#Headers],[TFC]],Demand_Modeling!$A$13:$I$13,0))</f>
        <v>#N/A</v>
      </c>
      <c r="J310" s="3" t="e">
        <f>INDEX(Demand_Modeling!$A$13:$I$49,MATCH(Table3[[#This Row],[Key]],Demand_Modeling!$A$13:$A$49,0),MATCH(Table3[[#Headers],[WFC]],Demand_Modeling!$A$13:$I$13,0))</f>
        <v>#N/A</v>
      </c>
      <c r="K310" s="3" t="e">
        <f>INDEX(Demand_Modeling!$A$13:$I$49,MATCH(Table3[[#This Row],[Key]],Demand_Modeling!$A$13:$A$49,0),MATCH(Table3[[#Headers],[EAO]],Demand_Modeling!$A$13:$I$13,0))</f>
        <v>#N/A</v>
      </c>
      <c r="L310" s="3" t="e">
        <f>INDEX(Demand_Modeling!$A$13:$I$49,MATCH(Table3[[#This Row],[Key]],Demand_Modeling!$A$13:$A$49,0),MATCH(Table3[[#Headers],[OCC]],Demand_Modeling!$A$13:$I$13,0))</f>
        <v>#N/A</v>
      </c>
      <c r="M310" s="3" t="e">
        <f>INDEX(Demand_Modeling!$A$13:$I$49,MATCH(Table3[[#This Row],[Key]],Demand_Modeling!$A$13:$A$49,0),MATCH(Table3[[#Headers],[WEO]],Demand_Modeling!$A$13:$I$13,0))</f>
        <v>#N/A</v>
      </c>
      <c r="N310" s="19" t="e">
        <f>SUM(Table3[[#This Row],[OFC]:[WEO]])</f>
        <v>#N/A</v>
      </c>
      <c r="O310" s="19"/>
      <c r="Q310" s="3" t="str">
        <f>Table35[[#This Row],[Fiscal_Year]]*100+Table35[[#This Row],[Fiscal_Week]] &amp; "-" &amp;Table35[[#This Row],[Brand]]</f>
        <v>0-0</v>
      </c>
      <c r="R310" t="str">
        <f>Table3[[#This Row],[Key]]</f>
        <v>-</v>
      </c>
      <c r="S310">
        <f>Table3[[#This Row],[Fiscal_Year]]</f>
        <v>0</v>
      </c>
      <c r="T310">
        <f>Table3[[#This Row],[Fiscal_Week]]</f>
        <v>0</v>
      </c>
      <c r="U310">
        <f>Table3[[#This Row],[Brand]]</f>
        <v>0</v>
      </c>
      <c r="V310">
        <f>Table3[[#This Row],[Demand]]</f>
        <v>0</v>
      </c>
      <c r="W310" t="e">
        <f>Table3[[#This Row],[OFC]]*Table3[[#This Row],[Demand]]</f>
        <v>#N/A</v>
      </c>
      <c r="X310" t="e">
        <f>Table3[[#This Row],[TFC]]*Table3[[#This Row],[Demand]]</f>
        <v>#N/A</v>
      </c>
      <c r="Y310" t="e">
        <f>Table3[[#This Row],[WFC]]*Table3[[#This Row],[Demand]]</f>
        <v>#N/A</v>
      </c>
      <c r="Z310" t="e">
        <f>Table3[[#This Row],[EAO]]*Table3[[#This Row],[Demand]]</f>
        <v>#N/A</v>
      </c>
      <c r="AA310" t="e">
        <f>Table3[[#This Row],[OCC]]*Table3[[#This Row],[Demand]]</f>
        <v>#N/A</v>
      </c>
      <c r="AB310" t="e">
        <f>Table3[[#This Row],[WEO]]*Table3[[#This Row],[Demand]]</f>
        <v>#N/A</v>
      </c>
      <c r="AC310" s="19" t="e">
        <f>SUM(Table35[[#This Row],[OFC]:[WEO]])</f>
        <v>#N/A</v>
      </c>
      <c r="AD310" s="19" t="e">
        <f>Table35[[#This Row],[Demand]]-Table35[[#This Row],[Total_Modeled_Demand]]</f>
        <v>#N/A</v>
      </c>
    </row>
    <row r="311" spans="2:30" x14ac:dyDescent="0.3">
      <c r="B311" s="3" t="str">
        <f>Table3[[#This Row],[Fiscal_Year]]*100+Table3[[#This Row],[Fiscal_Week]] &amp; "-" &amp;Table3[[#This Row],[Brand]]</f>
        <v>0-</v>
      </c>
      <c r="C311" t="str">
        <f t="shared" si="4"/>
        <v>-</v>
      </c>
      <c r="H311" s="3" t="e">
        <f>INDEX(Demand_Modeling!$A$13:$I$49,MATCH(Table3[[#This Row],[Key]],Demand_Modeling!$A$13:$A$49,0),MATCH(Table3[[#Headers],[OFC]],Demand_Modeling!$A$13:$I$13,0))</f>
        <v>#N/A</v>
      </c>
      <c r="I311" s="3" t="e">
        <f>INDEX(Demand_Modeling!$A$13:$I$49,MATCH(Table3[[#This Row],[Key]],Demand_Modeling!$A$13:$A$49,0),MATCH(Table3[[#Headers],[TFC]],Demand_Modeling!$A$13:$I$13,0))</f>
        <v>#N/A</v>
      </c>
      <c r="J311" s="3" t="e">
        <f>INDEX(Demand_Modeling!$A$13:$I$49,MATCH(Table3[[#This Row],[Key]],Demand_Modeling!$A$13:$A$49,0),MATCH(Table3[[#Headers],[WFC]],Demand_Modeling!$A$13:$I$13,0))</f>
        <v>#N/A</v>
      </c>
      <c r="K311" s="3" t="e">
        <f>INDEX(Demand_Modeling!$A$13:$I$49,MATCH(Table3[[#This Row],[Key]],Demand_Modeling!$A$13:$A$49,0),MATCH(Table3[[#Headers],[EAO]],Demand_Modeling!$A$13:$I$13,0))</f>
        <v>#N/A</v>
      </c>
      <c r="L311" s="3" t="e">
        <f>INDEX(Demand_Modeling!$A$13:$I$49,MATCH(Table3[[#This Row],[Key]],Demand_Modeling!$A$13:$A$49,0),MATCH(Table3[[#Headers],[OCC]],Demand_Modeling!$A$13:$I$13,0))</f>
        <v>#N/A</v>
      </c>
      <c r="M311" s="3" t="e">
        <f>INDEX(Demand_Modeling!$A$13:$I$49,MATCH(Table3[[#This Row],[Key]],Demand_Modeling!$A$13:$A$49,0),MATCH(Table3[[#Headers],[WEO]],Demand_Modeling!$A$13:$I$13,0))</f>
        <v>#N/A</v>
      </c>
      <c r="N311" s="19" t="e">
        <f>SUM(Table3[[#This Row],[OFC]:[WEO]])</f>
        <v>#N/A</v>
      </c>
      <c r="O311" s="19"/>
      <c r="Q311" s="3" t="str">
        <f>Table35[[#This Row],[Fiscal_Year]]*100+Table35[[#This Row],[Fiscal_Week]] &amp; "-" &amp;Table35[[#This Row],[Brand]]</f>
        <v>0-0</v>
      </c>
      <c r="R311" t="str">
        <f>Table3[[#This Row],[Key]]</f>
        <v>-</v>
      </c>
      <c r="S311">
        <f>Table3[[#This Row],[Fiscal_Year]]</f>
        <v>0</v>
      </c>
      <c r="T311">
        <f>Table3[[#This Row],[Fiscal_Week]]</f>
        <v>0</v>
      </c>
      <c r="U311">
        <f>Table3[[#This Row],[Brand]]</f>
        <v>0</v>
      </c>
      <c r="V311">
        <f>Table3[[#This Row],[Demand]]</f>
        <v>0</v>
      </c>
      <c r="W311" t="e">
        <f>Table3[[#This Row],[OFC]]*Table3[[#This Row],[Demand]]</f>
        <v>#N/A</v>
      </c>
      <c r="X311" t="e">
        <f>Table3[[#This Row],[TFC]]*Table3[[#This Row],[Demand]]</f>
        <v>#N/A</v>
      </c>
      <c r="Y311" t="e">
        <f>Table3[[#This Row],[WFC]]*Table3[[#This Row],[Demand]]</f>
        <v>#N/A</v>
      </c>
      <c r="Z311" t="e">
        <f>Table3[[#This Row],[EAO]]*Table3[[#This Row],[Demand]]</f>
        <v>#N/A</v>
      </c>
      <c r="AA311" t="e">
        <f>Table3[[#This Row],[OCC]]*Table3[[#This Row],[Demand]]</f>
        <v>#N/A</v>
      </c>
      <c r="AB311" t="e">
        <f>Table3[[#This Row],[WEO]]*Table3[[#This Row],[Demand]]</f>
        <v>#N/A</v>
      </c>
      <c r="AC311" s="19" t="e">
        <f>SUM(Table35[[#This Row],[OFC]:[WEO]])</f>
        <v>#N/A</v>
      </c>
      <c r="AD311" s="19" t="e">
        <f>Table35[[#This Row],[Demand]]-Table35[[#This Row],[Total_Modeled_Demand]]</f>
        <v>#N/A</v>
      </c>
    </row>
    <row r="312" spans="2:30" x14ac:dyDescent="0.3">
      <c r="B312" s="3" t="str">
        <f>Table3[[#This Row],[Fiscal_Year]]*100+Table3[[#This Row],[Fiscal_Week]] &amp; "-" &amp;Table3[[#This Row],[Brand]]</f>
        <v>0-</v>
      </c>
      <c r="C312" t="str">
        <f t="shared" si="4"/>
        <v>-</v>
      </c>
      <c r="H312" s="3" t="e">
        <f>INDEX(Demand_Modeling!$A$13:$I$49,MATCH(Table3[[#This Row],[Key]],Demand_Modeling!$A$13:$A$49,0),MATCH(Table3[[#Headers],[OFC]],Demand_Modeling!$A$13:$I$13,0))</f>
        <v>#N/A</v>
      </c>
      <c r="I312" s="3" t="e">
        <f>INDEX(Demand_Modeling!$A$13:$I$49,MATCH(Table3[[#This Row],[Key]],Demand_Modeling!$A$13:$A$49,0),MATCH(Table3[[#Headers],[TFC]],Demand_Modeling!$A$13:$I$13,0))</f>
        <v>#N/A</v>
      </c>
      <c r="J312" s="3" t="e">
        <f>INDEX(Demand_Modeling!$A$13:$I$49,MATCH(Table3[[#This Row],[Key]],Demand_Modeling!$A$13:$A$49,0),MATCH(Table3[[#Headers],[WFC]],Demand_Modeling!$A$13:$I$13,0))</f>
        <v>#N/A</v>
      </c>
      <c r="K312" s="3" t="e">
        <f>INDEX(Demand_Modeling!$A$13:$I$49,MATCH(Table3[[#This Row],[Key]],Demand_Modeling!$A$13:$A$49,0),MATCH(Table3[[#Headers],[EAO]],Demand_Modeling!$A$13:$I$13,0))</f>
        <v>#N/A</v>
      </c>
      <c r="L312" s="3" t="e">
        <f>INDEX(Demand_Modeling!$A$13:$I$49,MATCH(Table3[[#This Row],[Key]],Demand_Modeling!$A$13:$A$49,0),MATCH(Table3[[#Headers],[OCC]],Demand_Modeling!$A$13:$I$13,0))</f>
        <v>#N/A</v>
      </c>
      <c r="M312" s="3" t="e">
        <f>INDEX(Demand_Modeling!$A$13:$I$49,MATCH(Table3[[#This Row],[Key]],Demand_Modeling!$A$13:$A$49,0),MATCH(Table3[[#Headers],[WEO]],Demand_Modeling!$A$13:$I$13,0))</f>
        <v>#N/A</v>
      </c>
      <c r="N312" s="19" t="e">
        <f>SUM(Table3[[#This Row],[OFC]:[WEO]])</f>
        <v>#N/A</v>
      </c>
      <c r="O312" s="19"/>
      <c r="Q312" s="3" t="str">
        <f>Table35[[#This Row],[Fiscal_Year]]*100+Table35[[#This Row],[Fiscal_Week]] &amp; "-" &amp;Table35[[#This Row],[Brand]]</f>
        <v>0-0</v>
      </c>
      <c r="R312" t="str">
        <f>Table3[[#This Row],[Key]]</f>
        <v>-</v>
      </c>
      <c r="S312">
        <f>Table3[[#This Row],[Fiscal_Year]]</f>
        <v>0</v>
      </c>
      <c r="T312">
        <f>Table3[[#This Row],[Fiscal_Week]]</f>
        <v>0</v>
      </c>
      <c r="U312">
        <f>Table3[[#This Row],[Brand]]</f>
        <v>0</v>
      </c>
      <c r="V312">
        <f>Table3[[#This Row],[Demand]]</f>
        <v>0</v>
      </c>
      <c r="W312" t="e">
        <f>Table3[[#This Row],[OFC]]*Table3[[#This Row],[Demand]]</f>
        <v>#N/A</v>
      </c>
      <c r="X312" t="e">
        <f>Table3[[#This Row],[TFC]]*Table3[[#This Row],[Demand]]</f>
        <v>#N/A</v>
      </c>
      <c r="Y312" t="e">
        <f>Table3[[#This Row],[WFC]]*Table3[[#This Row],[Demand]]</f>
        <v>#N/A</v>
      </c>
      <c r="Z312" t="e">
        <f>Table3[[#This Row],[EAO]]*Table3[[#This Row],[Demand]]</f>
        <v>#N/A</v>
      </c>
      <c r="AA312" t="e">
        <f>Table3[[#This Row],[OCC]]*Table3[[#This Row],[Demand]]</f>
        <v>#N/A</v>
      </c>
      <c r="AB312" t="e">
        <f>Table3[[#This Row],[WEO]]*Table3[[#This Row],[Demand]]</f>
        <v>#N/A</v>
      </c>
      <c r="AC312" s="19" t="e">
        <f>SUM(Table35[[#This Row],[OFC]:[WEO]])</f>
        <v>#N/A</v>
      </c>
      <c r="AD312" s="19" t="e">
        <f>Table35[[#This Row],[Demand]]-Table35[[#This Row],[Total_Modeled_Demand]]</f>
        <v>#N/A</v>
      </c>
    </row>
    <row r="313" spans="2:30" x14ac:dyDescent="0.3">
      <c r="B313" s="3" t="str">
        <f>Table3[[#This Row],[Fiscal_Year]]*100+Table3[[#This Row],[Fiscal_Week]] &amp; "-" &amp;Table3[[#This Row],[Brand]]</f>
        <v>0-</v>
      </c>
      <c r="C313" t="str">
        <f t="shared" si="4"/>
        <v>-</v>
      </c>
      <c r="H313" s="3" t="e">
        <f>INDEX(Demand_Modeling!$A$13:$I$49,MATCH(Table3[[#This Row],[Key]],Demand_Modeling!$A$13:$A$49,0),MATCH(Table3[[#Headers],[OFC]],Demand_Modeling!$A$13:$I$13,0))</f>
        <v>#N/A</v>
      </c>
      <c r="I313" s="3" t="e">
        <f>INDEX(Demand_Modeling!$A$13:$I$49,MATCH(Table3[[#This Row],[Key]],Demand_Modeling!$A$13:$A$49,0),MATCH(Table3[[#Headers],[TFC]],Demand_Modeling!$A$13:$I$13,0))</f>
        <v>#N/A</v>
      </c>
      <c r="J313" s="3" t="e">
        <f>INDEX(Demand_Modeling!$A$13:$I$49,MATCH(Table3[[#This Row],[Key]],Demand_Modeling!$A$13:$A$49,0),MATCH(Table3[[#Headers],[WFC]],Demand_Modeling!$A$13:$I$13,0))</f>
        <v>#N/A</v>
      </c>
      <c r="K313" s="3" t="e">
        <f>INDEX(Demand_Modeling!$A$13:$I$49,MATCH(Table3[[#This Row],[Key]],Demand_Modeling!$A$13:$A$49,0),MATCH(Table3[[#Headers],[EAO]],Demand_Modeling!$A$13:$I$13,0))</f>
        <v>#N/A</v>
      </c>
      <c r="L313" s="3" t="e">
        <f>INDEX(Demand_Modeling!$A$13:$I$49,MATCH(Table3[[#This Row],[Key]],Demand_Modeling!$A$13:$A$49,0),MATCH(Table3[[#Headers],[OCC]],Demand_Modeling!$A$13:$I$13,0))</f>
        <v>#N/A</v>
      </c>
      <c r="M313" s="3" t="e">
        <f>INDEX(Demand_Modeling!$A$13:$I$49,MATCH(Table3[[#This Row],[Key]],Demand_Modeling!$A$13:$A$49,0),MATCH(Table3[[#Headers],[WEO]],Demand_Modeling!$A$13:$I$13,0))</f>
        <v>#N/A</v>
      </c>
      <c r="N313" s="19" t="e">
        <f>SUM(Table3[[#This Row],[OFC]:[WEO]])</f>
        <v>#N/A</v>
      </c>
      <c r="O313" s="19"/>
      <c r="Q313" s="3" t="str">
        <f>Table35[[#This Row],[Fiscal_Year]]*100+Table35[[#This Row],[Fiscal_Week]] &amp; "-" &amp;Table35[[#This Row],[Brand]]</f>
        <v>0-0</v>
      </c>
      <c r="R313" t="str">
        <f>Table3[[#This Row],[Key]]</f>
        <v>-</v>
      </c>
      <c r="S313">
        <f>Table3[[#This Row],[Fiscal_Year]]</f>
        <v>0</v>
      </c>
      <c r="T313">
        <f>Table3[[#This Row],[Fiscal_Week]]</f>
        <v>0</v>
      </c>
      <c r="U313">
        <f>Table3[[#This Row],[Brand]]</f>
        <v>0</v>
      </c>
      <c r="V313">
        <f>Table3[[#This Row],[Demand]]</f>
        <v>0</v>
      </c>
      <c r="W313" t="e">
        <f>Table3[[#This Row],[OFC]]*Table3[[#This Row],[Demand]]</f>
        <v>#N/A</v>
      </c>
      <c r="X313" t="e">
        <f>Table3[[#This Row],[TFC]]*Table3[[#This Row],[Demand]]</f>
        <v>#N/A</v>
      </c>
      <c r="Y313" t="e">
        <f>Table3[[#This Row],[WFC]]*Table3[[#This Row],[Demand]]</f>
        <v>#N/A</v>
      </c>
      <c r="Z313" t="e">
        <f>Table3[[#This Row],[EAO]]*Table3[[#This Row],[Demand]]</f>
        <v>#N/A</v>
      </c>
      <c r="AA313" t="e">
        <f>Table3[[#This Row],[OCC]]*Table3[[#This Row],[Demand]]</f>
        <v>#N/A</v>
      </c>
      <c r="AB313" t="e">
        <f>Table3[[#This Row],[WEO]]*Table3[[#This Row],[Demand]]</f>
        <v>#N/A</v>
      </c>
      <c r="AC313" s="19" t="e">
        <f>SUM(Table35[[#This Row],[OFC]:[WEO]])</f>
        <v>#N/A</v>
      </c>
      <c r="AD313" s="19" t="e">
        <f>Table35[[#This Row],[Demand]]-Table35[[#This Row],[Total_Modeled_Demand]]</f>
        <v>#N/A</v>
      </c>
    </row>
    <row r="314" spans="2:30" x14ac:dyDescent="0.3">
      <c r="B314" s="3" t="str">
        <f>Table3[[#This Row],[Fiscal_Year]]*100+Table3[[#This Row],[Fiscal_Week]] &amp; "-" &amp;Table3[[#This Row],[Brand]]</f>
        <v>0-</v>
      </c>
      <c r="C314" t="str">
        <f t="shared" si="4"/>
        <v>-</v>
      </c>
      <c r="H314" s="3" t="e">
        <f>INDEX(Demand_Modeling!$A$13:$I$49,MATCH(Table3[[#This Row],[Key]],Demand_Modeling!$A$13:$A$49,0),MATCH(Table3[[#Headers],[OFC]],Demand_Modeling!$A$13:$I$13,0))</f>
        <v>#N/A</v>
      </c>
      <c r="I314" s="3" t="e">
        <f>INDEX(Demand_Modeling!$A$13:$I$49,MATCH(Table3[[#This Row],[Key]],Demand_Modeling!$A$13:$A$49,0),MATCH(Table3[[#Headers],[TFC]],Demand_Modeling!$A$13:$I$13,0))</f>
        <v>#N/A</v>
      </c>
      <c r="J314" s="3" t="e">
        <f>INDEX(Demand_Modeling!$A$13:$I$49,MATCH(Table3[[#This Row],[Key]],Demand_Modeling!$A$13:$A$49,0),MATCH(Table3[[#Headers],[WFC]],Demand_Modeling!$A$13:$I$13,0))</f>
        <v>#N/A</v>
      </c>
      <c r="K314" s="3" t="e">
        <f>INDEX(Demand_Modeling!$A$13:$I$49,MATCH(Table3[[#This Row],[Key]],Demand_Modeling!$A$13:$A$49,0),MATCH(Table3[[#Headers],[EAO]],Demand_Modeling!$A$13:$I$13,0))</f>
        <v>#N/A</v>
      </c>
      <c r="L314" s="3" t="e">
        <f>INDEX(Demand_Modeling!$A$13:$I$49,MATCH(Table3[[#This Row],[Key]],Demand_Modeling!$A$13:$A$49,0),MATCH(Table3[[#Headers],[OCC]],Demand_Modeling!$A$13:$I$13,0))</f>
        <v>#N/A</v>
      </c>
      <c r="M314" s="3" t="e">
        <f>INDEX(Demand_Modeling!$A$13:$I$49,MATCH(Table3[[#This Row],[Key]],Demand_Modeling!$A$13:$A$49,0),MATCH(Table3[[#Headers],[WEO]],Demand_Modeling!$A$13:$I$13,0))</f>
        <v>#N/A</v>
      </c>
      <c r="N314" s="19" t="e">
        <f>SUM(Table3[[#This Row],[OFC]:[WEO]])</f>
        <v>#N/A</v>
      </c>
      <c r="O314" s="19"/>
      <c r="Q314" s="3" t="str">
        <f>Table35[[#This Row],[Fiscal_Year]]*100+Table35[[#This Row],[Fiscal_Week]] &amp; "-" &amp;Table35[[#This Row],[Brand]]</f>
        <v>0-0</v>
      </c>
      <c r="R314" t="str">
        <f>Table3[[#This Row],[Key]]</f>
        <v>-</v>
      </c>
      <c r="S314">
        <f>Table3[[#This Row],[Fiscal_Year]]</f>
        <v>0</v>
      </c>
      <c r="T314">
        <f>Table3[[#This Row],[Fiscal_Week]]</f>
        <v>0</v>
      </c>
      <c r="U314">
        <f>Table3[[#This Row],[Brand]]</f>
        <v>0</v>
      </c>
      <c r="V314">
        <f>Table3[[#This Row],[Demand]]</f>
        <v>0</v>
      </c>
      <c r="W314" t="e">
        <f>Table3[[#This Row],[OFC]]*Table3[[#This Row],[Demand]]</f>
        <v>#N/A</v>
      </c>
      <c r="X314" t="e">
        <f>Table3[[#This Row],[TFC]]*Table3[[#This Row],[Demand]]</f>
        <v>#N/A</v>
      </c>
      <c r="Y314" t="e">
        <f>Table3[[#This Row],[WFC]]*Table3[[#This Row],[Demand]]</f>
        <v>#N/A</v>
      </c>
      <c r="Z314" t="e">
        <f>Table3[[#This Row],[EAO]]*Table3[[#This Row],[Demand]]</f>
        <v>#N/A</v>
      </c>
      <c r="AA314" t="e">
        <f>Table3[[#This Row],[OCC]]*Table3[[#This Row],[Demand]]</f>
        <v>#N/A</v>
      </c>
      <c r="AB314" t="e">
        <f>Table3[[#This Row],[WEO]]*Table3[[#This Row],[Demand]]</f>
        <v>#N/A</v>
      </c>
      <c r="AC314" s="19" t="e">
        <f>SUM(Table35[[#This Row],[OFC]:[WEO]])</f>
        <v>#N/A</v>
      </c>
      <c r="AD314" s="19" t="e">
        <f>Table35[[#This Row],[Demand]]-Table35[[#This Row],[Total_Modeled_Demand]]</f>
        <v>#N/A</v>
      </c>
    </row>
    <row r="315" spans="2:30" x14ac:dyDescent="0.3">
      <c r="B315" s="3" t="str">
        <f>Table3[[#This Row],[Fiscal_Year]]*100+Table3[[#This Row],[Fiscal_Week]] &amp; "-" &amp;Table3[[#This Row],[Brand]]</f>
        <v>0-</v>
      </c>
      <c r="C315" t="str">
        <f t="shared" si="4"/>
        <v>-</v>
      </c>
      <c r="H315" s="3" t="e">
        <f>INDEX(Demand_Modeling!$A$13:$I$49,MATCH(Table3[[#This Row],[Key]],Demand_Modeling!$A$13:$A$49,0),MATCH(Table3[[#Headers],[OFC]],Demand_Modeling!$A$13:$I$13,0))</f>
        <v>#N/A</v>
      </c>
      <c r="I315" s="3" t="e">
        <f>INDEX(Demand_Modeling!$A$13:$I$49,MATCH(Table3[[#This Row],[Key]],Demand_Modeling!$A$13:$A$49,0),MATCH(Table3[[#Headers],[TFC]],Demand_Modeling!$A$13:$I$13,0))</f>
        <v>#N/A</v>
      </c>
      <c r="J315" s="3" t="e">
        <f>INDEX(Demand_Modeling!$A$13:$I$49,MATCH(Table3[[#This Row],[Key]],Demand_Modeling!$A$13:$A$49,0),MATCH(Table3[[#Headers],[WFC]],Demand_Modeling!$A$13:$I$13,0))</f>
        <v>#N/A</v>
      </c>
      <c r="K315" s="3" t="e">
        <f>INDEX(Demand_Modeling!$A$13:$I$49,MATCH(Table3[[#This Row],[Key]],Demand_Modeling!$A$13:$A$49,0),MATCH(Table3[[#Headers],[EAO]],Demand_Modeling!$A$13:$I$13,0))</f>
        <v>#N/A</v>
      </c>
      <c r="L315" s="3" t="e">
        <f>INDEX(Demand_Modeling!$A$13:$I$49,MATCH(Table3[[#This Row],[Key]],Demand_Modeling!$A$13:$A$49,0),MATCH(Table3[[#Headers],[OCC]],Demand_Modeling!$A$13:$I$13,0))</f>
        <v>#N/A</v>
      </c>
      <c r="M315" s="3" t="e">
        <f>INDEX(Demand_Modeling!$A$13:$I$49,MATCH(Table3[[#This Row],[Key]],Demand_Modeling!$A$13:$A$49,0),MATCH(Table3[[#Headers],[WEO]],Demand_Modeling!$A$13:$I$13,0))</f>
        <v>#N/A</v>
      </c>
      <c r="N315" s="19" t="e">
        <f>SUM(Table3[[#This Row],[OFC]:[WEO]])</f>
        <v>#N/A</v>
      </c>
      <c r="O315" s="19"/>
      <c r="Q315" s="3" t="str">
        <f>Table35[[#This Row],[Fiscal_Year]]*100+Table35[[#This Row],[Fiscal_Week]] &amp; "-" &amp;Table35[[#This Row],[Brand]]</f>
        <v>0-0</v>
      </c>
      <c r="R315" t="str">
        <f>Table3[[#This Row],[Key]]</f>
        <v>-</v>
      </c>
      <c r="S315">
        <f>Table3[[#This Row],[Fiscal_Year]]</f>
        <v>0</v>
      </c>
      <c r="T315">
        <f>Table3[[#This Row],[Fiscal_Week]]</f>
        <v>0</v>
      </c>
      <c r="U315">
        <f>Table3[[#This Row],[Brand]]</f>
        <v>0</v>
      </c>
      <c r="V315">
        <f>Table3[[#This Row],[Demand]]</f>
        <v>0</v>
      </c>
      <c r="W315" t="e">
        <f>Table3[[#This Row],[OFC]]*Table3[[#This Row],[Demand]]</f>
        <v>#N/A</v>
      </c>
      <c r="X315" t="e">
        <f>Table3[[#This Row],[TFC]]*Table3[[#This Row],[Demand]]</f>
        <v>#N/A</v>
      </c>
      <c r="Y315" t="e">
        <f>Table3[[#This Row],[WFC]]*Table3[[#This Row],[Demand]]</f>
        <v>#N/A</v>
      </c>
      <c r="Z315" t="e">
        <f>Table3[[#This Row],[EAO]]*Table3[[#This Row],[Demand]]</f>
        <v>#N/A</v>
      </c>
      <c r="AA315" t="e">
        <f>Table3[[#This Row],[OCC]]*Table3[[#This Row],[Demand]]</f>
        <v>#N/A</v>
      </c>
      <c r="AB315" t="e">
        <f>Table3[[#This Row],[WEO]]*Table3[[#This Row],[Demand]]</f>
        <v>#N/A</v>
      </c>
      <c r="AC315" s="19" t="e">
        <f>SUM(Table35[[#This Row],[OFC]:[WEO]])</f>
        <v>#N/A</v>
      </c>
      <c r="AD315" s="19" t="e">
        <f>Table35[[#This Row],[Demand]]-Table35[[#This Row],[Total_Modeled_Demand]]</f>
        <v>#N/A</v>
      </c>
    </row>
    <row r="316" spans="2:30" x14ac:dyDescent="0.3">
      <c r="B316" s="3" t="str">
        <f>Table3[[#This Row],[Fiscal_Year]]*100+Table3[[#This Row],[Fiscal_Week]] &amp; "-" &amp;Table3[[#This Row],[Brand]]</f>
        <v>0-</v>
      </c>
      <c r="C316" t="str">
        <f t="shared" si="4"/>
        <v>-</v>
      </c>
      <c r="H316" s="3" t="e">
        <f>INDEX(Demand_Modeling!$A$13:$I$49,MATCH(Table3[[#This Row],[Key]],Demand_Modeling!$A$13:$A$49,0),MATCH(Table3[[#Headers],[OFC]],Demand_Modeling!$A$13:$I$13,0))</f>
        <v>#N/A</v>
      </c>
      <c r="I316" s="3" t="e">
        <f>INDEX(Demand_Modeling!$A$13:$I$49,MATCH(Table3[[#This Row],[Key]],Demand_Modeling!$A$13:$A$49,0),MATCH(Table3[[#Headers],[TFC]],Demand_Modeling!$A$13:$I$13,0))</f>
        <v>#N/A</v>
      </c>
      <c r="J316" s="3" t="e">
        <f>INDEX(Demand_Modeling!$A$13:$I$49,MATCH(Table3[[#This Row],[Key]],Demand_Modeling!$A$13:$A$49,0),MATCH(Table3[[#Headers],[WFC]],Demand_Modeling!$A$13:$I$13,0))</f>
        <v>#N/A</v>
      </c>
      <c r="K316" s="3" t="e">
        <f>INDEX(Demand_Modeling!$A$13:$I$49,MATCH(Table3[[#This Row],[Key]],Demand_Modeling!$A$13:$A$49,0),MATCH(Table3[[#Headers],[EAO]],Demand_Modeling!$A$13:$I$13,0))</f>
        <v>#N/A</v>
      </c>
      <c r="L316" s="3" t="e">
        <f>INDEX(Demand_Modeling!$A$13:$I$49,MATCH(Table3[[#This Row],[Key]],Demand_Modeling!$A$13:$A$49,0),MATCH(Table3[[#Headers],[OCC]],Demand_Modeling!$A$13:$I$13,0))</f>
        <v>#N/A</v>
      </c>
      <c r="M316" s="3" t="e">
        <f>INDEX(Demand_Modeling!$A$13:$I$49,MATCH(Table3[[#This Row],[Key]],Demand_Modeling!$A$13:$A$49,0),MATCH(Table3[[#Headers],[WEO]],Demand_Modeling!$A$13:$I$13,0))</f>
        <v>#N/A</v>
      </c>
      <c r="N316" s="19" t="e">
        <f>SUM(Table3[[#This Row],[OFC]:[WEO]])</f>
        <v>#N/A</v>
      </c>
      <c r="O316" s="19"/>
      <c r="Q316" s="3" t="str">
        <f>Table35[[#This Row],[Fiscal_Year]]*100+Table35[[#This Row],[Fiscal_Week]] &amp; "-" &amp;Table35[[#This Row],[Brand]]</f>
        <v>0-0</v>
      </c>
      <c r="R316" t="str">
        <f>Table3[[#This Row],[Key]]</f>
        <v>-</v>
      </c>
      <c r="S316">
        <f>Table3[[#This Row],[Fiscal_Year]]</f>
        <v>0</v>
      </c>
      <c r="T316">
        <f>Table3[[#This Row],[Fiscal_Week]]</f>
        <v>0</v>
      </c>
      <c r="U316">
        <f>Table3[[#This Row],[Brand]]</f>
        <v>0</v>
      </c>
      <c r="V316">
        <f>Table3[[#This Row],[Demand]]</f>
        <v>0</v>
      </c>
      <c r="W316" t="e">
        <f>Table3[[#This Row],[OFC]]*Table3[[#This Row],[Demand]]</f>
        <v>#N/A</v>
      </c>
      <c r="X316" t="e">
        <f>Table3[[#This Row],[TFC]]*Table3[[#This Row],[Demand]]</f>
        <v>#N/A</v>
      </c>
      <c r="Y316" t="e">
        <f>Table3[[#This Row],[WFC]]*Table3[[#This Row],[Demand]]</f>
        <v>#N/A</v>
      </c>
      <c r="Z316" t="e">
        <f>Table3[[#This Row],[EAO]]*Table3[[#This Row],[Demand]]</f>
        <v>#N/A</v>
      </c>
      <c r="AA316" t="e">
        <f>Table3[[#This Row],[OCC]]*Table3[[#This Row],[Demand]]</f>
        <v>#N/A</v>
      </c>
      <c r="AB316" t="e">
        <f>Table3[[#This Row],[WEO]]*Table3[[#This Row],[Demand]]</f>
        <v>#N/A</v>
      </c>
      <c r="AC316" s="19" t="e">
        <f>SUM(Table35[[#This Row],[OFC]:[WEO]])</f>
        <v>#N/A</v>
      </c>
      <c r="AD316" s="19" t="e">
        <f>Table35[[#This Row],[Demand]]-Table35[[#This Row],[Total_Modeled_Demand]]</f>
        <v>#N/A</v>
      </c>
    </row>
    <row r="317" spans="2:30" x14ac:dyDescent="0.3">
      <c r="B317" s="3" t="str">
        <f>Table3[[#This Row],[Fiscal_Year]]*100+Table3[[#This Row],[Fiscal_Week]] &amp; "-" &amp;Table3[[#This Row],[Brand]]</f>
        <v>0-</v>
      </c>
      <c r="C317" t="str">
        <f t="shared" si="4"/>
        <v>-</v>
      </c>
      <c r="H317" s="3" t="e">
        <f>INDEX(Demand_Modeling!$A$13:$I$49,MATCH(Table3[[#This Row],[Key]],Demand_Modeling!$A$13:$A$49,0),MATCH(Table3[[#Headers],[OFC]],Demand_Modeling!$A$13:$I$13,0))</f>
        <v>#N/A</v>
      </c>
      <c r="I317" s="3" t="e">
        <f>INDEX(Demand_Modeling!$A$13:$I$49,MATCH(Table3[[#This Row],[Key]],Demand_Modeling!$A$13:$A$49,0),MATCH(Table3[[#Headers],[TFC]],Demand_Modeling!$A$13:$I$13,0))</f>
        <v>#N/A</v>
      </c>
      <c r="J317" s="3" t="e">
        <f>INDEX(Demand_Modeling!$A$13:$I$49,MATCH(Table3[[#This Row],[Key]],Demand_Modeling!$A$13:$A$49,0),MATCH(Table3[[#Headers],[WFC]],Demand_Modeling!$A$13:$I$13,0))</f>
        <v>#N/A</v>
      </c>
      <c r="K317" s="3" t="e">
        <f>INDEX(Demand_Modeling!$A$13:$I$49,MATCH(Table3[[#This Row],[Key]],Demand_Modeling!$A$13:$A$49,0),MATCH(Table3[[#Headers],[EAO]],Demand_Modeling!$A$13:$I$13,0))</f>
        <v>#N/A</v>
      </c>
      <c r="L317" s="3" t="e">
        <f>INDEX(Demand_Modeling!$A$13:$I$49,MATCH(Table3[[#This Row],[Key]],Demand_Modeling!$A$13:$A$49,0),MATCH(Table3[[#Headers],[OCC]],Demand_Modeling!$A$13:$I$13,0))</f>
        <v>#N/A</v>
      </c>
      <c r="M317" s="3" t="e">
        <f>INDEX(Demand_Modeling!$A$13:$I$49,MATCH(Table3[[#This Row],[Key]],Demand_Modeling!$A$13:$A$49,0),MATCH(Table3[[#Headers],[WEO]],Demand_Modeling!$A$13:$I$13,0))</f>
        <v>#N/A</v>
      </c>
      <c r="N317" s="19" t="e">
        <f>SUM(Table3[[#This Row],[OFC]:[WEO]])</f>
        <v>#N/A</v>
      </c>
      <c r="O317" s="19"/>
      <c r="Q317" s="3" t="str">
        <f>Table35[[#This Row],[Fiscal_Year]]*100+Table35[[#This Row],[Fiscal_Week]] &amp; "-" &amp;Table35[[#This Row],[Brand]]</f>
        <v>0-0</v>
      </c>
      <c r="R317" t="str">
        <f>Table3[[#This Row],[Key]]</f>
        <v>-</v>
      </c>
      <c r="S317">
        <f>Table3[[#This Row],[Fiscal_Year]]</f>
        <v>0</v>
      </c>
      <c r="T317">
        <f>Table3[[#This Row],[Fiscal_Week]]</f>
        <v>0</v>
      </c>
      <c r="U317">
        <f>Table3[[#This Row],[Brand]]</f>
        <v>0</v>
      </c>
      <c r="V317">
        <f>Table3[[#This Row],[Demand]]</f>
        <v>0</v>
      </c>
      <c r="W317" t="e">
        <f>Table3[[#This Row],[OFC]]*Table3[[#This Row],[Demand]]</f>
        <v>#N/A</v>
      </c>
      <c r="X317" t="e">
        <f>Table3[[#This Row],[TFC]]*Table3[[#This Row],[Demand]]</f>
        <v>#N/A</v>
      </c>
      <c r="Y317" t="e">
        <f>Table3[[#This Row],[WFC]]*Table3[[#This Row],[Demand]]</f>
        <v>#N/A</v>
      </c>
      <c r="Z317" t="e">
        <f>Table3[[#This Row],[EAO]]*Table3[[#This Row],[Demand]]</f>
        <v>#N/A</v>
      </c>
      <c r="AA317" t="e">
        <f>Table3[[#This Row],[OCC]]*Table3[[#This Row],[Demand]]</f>
        <v>#N/A</v>
      </c>
      <c r="AB317" t="e">
        <f>Table3[[#This Row],[WEO]]*Table3[[#This Row],[Demand]]</f>
        <v>#N/A</v>
      </c>
      <c r="AC317" s="19" t="e">
        <f>SUM(Table35[[#This Row],[OFC]:[WEO]])</f>
        <v>#N/A</v>
      </c>
      <c r="AD317" s="19" t="e">
        <f>Table35[[#This Row],[Demand]]-Table35[[#This Row],[Total_Modeled_Demand]]</f>
        <v>#N/A</v>
      </c>
    </row>
    <row r="318" spans="2:30" x14ac:dyDescent="0.3">
      <c r="B318" s="3" t="str">
        <f>Table3[[#This Row],[Fiscal_Year]]*100+Table3[[#This Row],[Fiscal_Week]] &amp; "-" &amp;Table3[[#This Row],[Brand]]</f>
        <v>0-</v>
      </c>
      <c r="C318" t="str">
        <f t="shared" si="4"/>
        <v>-</v>
      </c>
      <c r="H318" s="3" t="e">
        <f>INDEX(Demand_Modeling!$A$13:$I$49,MATCH(Table3[[#This Row],[Key]],Demand_Modeling!$A$13:$A$49,0),MATCH(Table3[[#Headers],[OFC]],Demand_Modeling!$A$13:$I$13,0))</f>
        <v>#N/A</v>
      </c>
      <c r="I318" s="3" t="e">
        <f>INDEX(Demand_Modeling!$A$13:$I$49,MATCH(Table3[[#This Row],[Key]],Demand_Modeling!$A$13:$A$49,0),MATCH(Table3[[#Headers],[TFC]],Demand_Modeling!$A$13:$I$13,0))</f>
        <v>#N/A</v>
      </c>
      <c r="J318" s="3" t="e">
        <f>INDEX(Demand_Modeling!$A$13:$I$49,MATCH(Table3[[#This Row],[Key]],Demand_Modeling!$A$13:$A$49,0),MATCH(Table3[[#Headers],[WFC]],Demand_Modeling!$A$13:$I$13,0))</f>
        <v>#N/A</v>
      </c>
      <c r="K318" s="3" t="e">
        <f>INDEX(Demand_Modeling!$A$13:$I$49,MATCH(Table3[[#This Row],[Key]],Demand_Modeling!$A$13:$A$49,0),MATCH(Table3[[#Headers],[EAO]],Demand_Modeling!$A$13:$I$13,0))</f>
        <v>#N/A</v>
      </c>
      <c r="L318" s="3" t="e">
        <f>INDEX(Demand_Modeling!$A$13:$I$49,MATCH(Table3[[#This Row],[Key]],Demand_Modeling!$A$13:$A$49,0),MATCH(Table3[[#Headers],[OCC]],Demand_Modeling!$A$13:$I$13,0))</f>
        <v>#N/A</v>
      </c>
      <c r="M318" s="3" t="e">
        <f>INDEX(Demand_Modeling!$A$13:$I$49,MATCH(Table3[[#This Row],[Key]],Demand_Modeling!$A$13:$A$49,0),MATCH(Table3[[#Headers],[WEO]],Demand_Modeling!$A$13:$I$13,0))</f>
        <v>#N/A</v>
      </c>
      <c r="N318" s="19" t="e">
        <f>SUM(Table3[[#This Row],[OFC]:[WEO]])</f>
        <v>#N/A</v>
      </c>
      <c r="O318" s="19"/>
      <c r="Q318" s="3" t="str">
        <f>Table35[[#This Row],[Fiscal_Year]]*100+Table35[[#This Row],[Fiscal_Week]] &amp; "-" &amp;Table35[[#This Row],[Brand]]</f>
        <v>0-0</v>
      </c>
      <c r="R318" t="str">
        <f>Table3[[#This Row],[Key]]</f>
        <v>-</v>
      </c>
      <c r="S318">
        <f>Table3[[#This Row],[Fiscal_Year]]</f>
        <v>0</v>
      </c>
      <c r="T318">
        <f>Table3[[#This Row],[Fiscal_Week]]</f>
        <v>0</v>
      </c>
      <c r="U318">
        <f>Table3[[#This Row],[Brand]]</f>
        <v>0</v>
      </c>
      <c r="V318">
        <f>Table3[[#This Row],[Demand]]</f>
        <v>0</v>
      </c>
      <c r="W318" t="e">
        <f>Table3[[#This Row],[OFC]]*Table3[[#This Row],[Demand]]</f>
        <v>#N/A</v>
      </c>
      <c r="X318" t="e">
        <f>Table3[[#This Row],[TFC]]*Table3[[#This Row],[Demand]]</f>
        <v>#N/A</v>
      </c>
      <c r="Y318" t="e">
        <f>Table3[[#This Row],[WFC]]*Table3[[#This Row],[Demand]]</f>
        <v>#N/A</v>
      </c>
      <c r="Z318" t="e">
        <f>Table3[[#This Row],[EAO]]*Table3[[#This Row],[Demand]]</f>
        <v>#N/A</v>
      </c>
      <c r="AA318" t="e">
        <f>Table3[[#This Row],[OCC]]*Table3[[#This Row],[Demand]]</f>
        <v>#N/A</v>
      </c>
      <c r="AB318" t="e">
        <f>Table3[[#This Row],[WEO]]*Table3[[#This Row],[Demand]]</f>
        <v>#N/A</v>
      </c>
      <c r="AC318" s="19" t="e">
        <f>SUM(Table35[[#This Row],[OFC]:[WEO]])</f>
        <v>#N/A</v>
      </c>
      <c r="AD318" s="19" t="e">
        <f>Table35[[#This Row],[Demand]]-Table35[[#This Row],[Total_Modeled_Demand]]</f>
        <v>#N/A</v>
      </c>
    </row>
    <row r="319" spans="2:30" x14ac:dyDescent="0.3">
      <c r="B319" s="3" t="str">
        <f>Table3[[#This Row],[Fiscal_Year]]*100+Table3[[#This Row],[Fiscal_Week]] &amp; "-" &amp;Table3[[#This Row],[Brand]]</f>
        <v>0-</v>
      </c>
      <c r="C319" t="str">
        <f t="shared" si="4"/>
        <v>-</v>
      </c>
      <c r="H319" s="3" t="e">
        <f>INDEX(Demand_Modeling!$A$13:$I$49,MATCH(Table3[[#This Row],[Key]],Demand_Modeling!$A$13:$A$49,0),MATCH(Table3[[#Headers],[OFC]],Demand_Modeling!$A$13:$I$13,0))</f>
        <v>#N/A</v>
      </c>
      <c r="I319" s="3" t="e">
        <f>INDEX(Demand_Modeling!$A$13:$I$49,MATCH(Table3[[#This Row],[Key]],Demand_Modeling!$A$13:$A$49,0),MATCH(Table3[[#Headers],[TFC]],Demand_Modeling!$A$13:$I$13,0))</f>
        <v>#N/A</v>
      </c>
      <c r="J319" s="3" t="e">
        <f>INDEX(Demand_Modeling!$A$13:$I$49,MATCH(Table3[[#This Row],[Key]],Demand_Modeling!$A$13:$A$49,0),MATCH(Table3[[#Headers],[WFC]],Demand_Modeling!$A$13:$I$13,0))</f>
        <v>#N/A</v>
      </c>
      <c r="K319" s="3" t="e">
        <f>INDEX(Demand_Modeling!$A$13:$I$49,MATCH(Table3[[#This Row],[Key]],Demand_Modeling!$A$13:$A$49,0),MATCH(Table3[[#Headers],[EAO]],Demand_Modeling!$A$13:$I$13,0))</f>
        <v>#N/A</v>
      </c>
      <c r="L319" s="3" t="e">
        <f>INDEX(Demand_Modeling!$A$13:$I$49,MATCH(Table3[[#This Row],[Key]],Demand_Modeling!$A$13:$A$49,0),MATCH(Table3[[#Headers],[OCC]],Demand_Modeling!$A$13:$I$13,0))</f>
        <v>#N/A</v>
      </c>
      <c r="M319" s="3" t="e">
        <f>INDEX(Demand_Modeling!$A$13:$I$49,MATCH(Table3[[#This Row],[Key]],Demand_Modeling!$A$13:$A$49,0),MATCH(Table3[[#Headers],[WEO]],Demand_Modeling!$A$13:$I$13,0))</f>
        <v>#N/A</v>
      </c>
      <c r="N319" s="19" t="e">
        <f>SUM(Table3[[#This Row],[OFC]:[WEO]])</f>
        <v>#N/A</v>
      </c>
      <c r="O319" s="19"/>
      <c r="Q319" s="3" t="str">
        <f>Table35[[#This Row],[Fiscal_Year]]*100+Table35[[#This Row],[Fiscal_Week]] &amp; "-" &amp;Table35[[#This Row],[Brand]]</f>
        <v>0-0</v>
      </c>
      <c r="R319" t="str">
        <f>Table3[[#This Row],[Key]]</f>
        <v>-</v>
      </c>
      <c r="S319">
        <f>Table3[[#This Row],[Fiscal_Year]]</f>
        <v>0</v>
      </c>
      <c r="T319">
        <f>Table3[[#This Row],[Fiscal_Week]]</f>
        <v>0</v>
      </c>
      <c r="U319">
        <f>Table3[[#This Row],[Brand]]</f>
        <v>0</v>
      </c>
      <c r="V319">
        <f>Table3[[#This Row],[Demand]]</f>
        <v>0</v>
      </c>
      <c r="W319" t="e">
        <f>Table3[[#This Row],[OFC]]*Table3[[#This Row],[Demand]]</f>
        <v>#N/A</v>
      </c>
      <c r="X319" t="e">
        <f>Table3[[#This Row],[TFC]]*Table3[[#This Row],[Demand]]</f>
        <v>#N/A</v>
      </c>
      <c r="Y319" t="e">
        <f>Table3[[#This Row],[WFC]]*Table3[[#This Row],[Demand]]</f>
        <v>#N/A</v>
      </c>
      <c r="Z319" t="e">
        <f>Table3[[#This Row],[EAO]]*Table3[[#This Row],[Demand]]</f>
        <v>#N/A</v>
      </c>
      <c r="AA319" t="e">
        <f>Table3[[#This Row],[OCC]]*Table3[[#This Row],[Demand]]</f>
        <v>#N/A</v>
      </c>
      <c r="AB319" t="e">
        <f>Table3[[#This Row],[WEO]]*Table3[[#This Row],[Demand]]</f>
        <v>#N/A</v>
      </c>
      <c r="AC319" s="19" t="e">
        <f>SUM(Table35[[#This Row],[OFC]:[WEO]])</f>
        <v>#N/A</v>
      </c>
      <c r="AD319" s="19" t="e">
        <f>Table35[[#This Row],[Demand]]-Table35[[#This Row],[Total_Modeled_Demand]]</f>
        <v>#N/A</v>
      </c>
    </row>
    <row r="320" spans="2:30" x14ac:dyDescent="0.3">
      <c r="B320" s="3" t="str">
        <f>Table3[[#This Row],[Fiscal_Year]]*100+Table3[[#This Row],[Fiscal_Week]] &amp; "-" &amp;Table3[[#This Row],[Brand]]</f>
        <v>0-</v>
      </c>
      <c r="C320" t="str">
        <f t="shared" si="4"/>
        <v>-</v>
      </c>
      <c r="H320" s="3" t="e">
        <f>INDEX(Demand_Modeling!$A$13:$I$49,MATCH(Table3[[#This Row],[Key]],Demand_Modeling!$A$13:$A$49,0),MATCH(Table3[[#Headers],[OFC]],Demand_Modeling!$A$13:$I$13,0))</f>
        <v>#N/A</v>
      </c>
      <c r="I320" s="3" t="e">
        <f>INDEX(Demand_Modeling!$A$13:$I$49,MATCH(Table3[[#This Row],[Key]],Demand_Modeling!$A$13:$A$49,0),MATCH(Table3[[#Headers],[TFC]],Demand_Modeling!$A$13:$I$13,0))</f>
        <v>#N/A</v>
      </c>
      <c r="J320" s="3" t="e">
        <f>INDEX(Demand_Modeling!$A$13:$I$49,MATCH(Table3[[#This Row],[Key]],Demand_Modeling!$A$13:$A$49,0),MATCH(Table3[[#Headers],[WFC]],Demand_Modeling!$A$13:$I$13,0))</f>
        <v>#N/A</v>
      </c>
      <c r="K320" s="3" t="e">
        <f>INDEX(Demand_Modeling!$A$13:$I$49,MATCH(Table3[[#This Row],[Key]],Demand_Modeling!$A$13:$A$49,0),MATCH(Table3[[#Headers],[EAO]],Demand_Modeling!$A$13:$I$13,0))</f>
        <v>#N/A</v>
      </c>
      <c r="L320" s="3" t="e">
        <f>INDEX(Demand_Modeling!$A$13:$I$49,MATCH(Table3[[#This Row],[Key]],Demand_Modeling!$A$13:$A$49,0),MATCH(Table3[[#Headers],[OCC]],Demand_Modeling!$A$13:$I$13,0))</f>
        <v>#N/A</v>
      </c>
      <c r="M320" s="3" t="e">
        <f>INDEX(Demand_Modeling!$A$13:$I$49,MATCH(Table3[[#This Row],[Key]],Demand_Modeling!$A$13:$A$49,0),MATCH(Table3[[#Headers],[WEO]],Demand_Modeling!$A$13:$I$13,0))</f>
        <v>#N/A</v>
      </c>
      <c r="N320" s="19" t="e">
        <f>SUM(Table3[[#This Row],[OFC]:[WEO]])</f>
        <v>#N/A</v>
      </c>
      <c r="O320" s="19"/>
      <c r="Q320" s="3" t="str">
        <f>Table35[[#This Row],[Fiscal_Year]]*100+Table35[[#This Row],[Fiscal_Week]] &amp; "-" &amp;Table35[[#This Row],[Brand]]</f>
        <v>0-0</v>
      </c>
      <c r="R320" t="str">
        <f>Table3[[#This Row],[Key]]</f>
        <v>-</v>
      </c>
      <c r="S320">
        <f>Table3[[#This Row],[Fiscal_Year]]</f>
        <v>0</v>
      </c>
      <c r="T320">
        <f>Table3[[#This Row],[Fiscal_Week]]</f>
        <v>0</v>
      </c>
      <c r="U320">
        <f>Table3[[#This Row],[Brand]]</f>
        <v>0</v>
      </c>
      <c r="V320">
        <f>Table3[[#This Row],[Demand]]</f>
        <v>0</v>
      </c>
      <c r="W320" t="e">
        <f>Table3[[#This Row],[OFC]]*Table3[[#This Row],[Demand]]</f>
        <v>#N/A</v>
      </c>
      <c r="X320" t="e">
        <f>Table3[[#This Row],[TFC]]*Table3[[#This Row],[Demand]]</f>
        <v>#N/A</v>
      </c>
      <c r="Y320" t="e">
        <f>Table3[[#This Row],[WFC]]*Table3[[#This Row],[Demand]]</f>
        <v>#N/A</v>
      </c>
      <c r="Z320" t="e">
        <f>Table3[[#This Row],[EAO]]*Table3[[#This Row],[Demand]]</f>
        <v>#N/A</v>
      </c>
      <c r="AA320" t="e">
        <f>Table3[[#This Row],[OCC]]*Table3[[#This Row],[Demand]]</f>
        <v>#N/A</v>
      </c>
      <c r="AB320" t="e">
        <f>Table3[[#This Row],[WEO]]*Table3[[#This Row],[Demand]]</f>
        <v>#N/A</v>
      </c>
      <c r="AC320" s="19" t="e">
        <f>SUM(Table35[[#This Row],[OFC]:[WEO]])</f>
        <v>#N/A</v>
      </c>
      <c r="AD320" s="19" t="e">
        <f>Table35[[#This Row],[Demand]]-Table35[[#This Row],[Total_Modeled_Demand]]</f>
        <v>#N/A</v>
      </c>
    </row>
    <row r="321" spans="2:30" x14ac:dyDescent="0.3">
      <c r="B321" s="3" t="str">
        <f>Table3[[#This Row],[Fiscal_Year]]*100+Table3[[#This Row],[Fiscal_Week]] &amp; "-" &amp;Table3[[#This Row],[Brand]]</f>
        <v>0-</v>
      </c>
      <c r="C321" t="str">
        <f t="shared" si="4"/>
        <v>-</v>
      </c>
      <c r="H321" s="3" t="e">
        <f>INDEX(Demand_Modeling!$A$13:$I$49,MATCH(Table3[[#This Row],[Key]],Demand_Modeling!$A$13:$A$49,0),MATCH(Table3[[#Headers],[OFC]],Demand_Modeling!$A$13:$I$13,0))</f>
        <v>#N/A</v>
      </c>
      <c r="I321" s="3" t="e">
        <f>INDEX(Demand_Modeling!$A$13:$I$49,MATCH(Table3[[#This Row],[Key]],Demand_Modeling!$A$13:$A$49,0),MATCH(Table3[[#Headers],[TFC]],Demand_Modeling!$A$13:$I$13,0))</f>
        <v>#N/A</v>
      </c>
      <c r="J321" s="3" t="e">
        <f>INDEX(Demand_Modeling!$A$13:$I$49,MATCH(Table3[[#This Row],[Key]],Demand_Modeling!$A$13:$A$49,0),MATCH(Table3[[#Headers],[WFC]],Demand_Modeling!$A$13:$I$13,0))</f>
        <v>#N/A</v>
      </c>
      <c r="K321" s="3" t="e">
        <f>INDEX(Demand_Modeling!$A$13:$I$49,MATCH(Table3[[#This Row],[Key]],Demand_Modeling!$A$13:$A$49,0),MATCH(Table3[[#Headers],[EAO]],Demand_Modeling!$A$13:$I$13,0))</f>
        <v>#N/A</v>
      </c>
      <c r="L321" s="3" t="e">
        <f>INDEX(Demand_Modeling!$A$13:$I$49,MATCH(Table3[[#This Row],[Key]],Demand_Modeling!$A$13:$A$49,0),MATCH(Table3[[#Headers],[OCC]],Demand_Modeling!$A$13:$I$13,0))</f>
        <v>#N/A</v>
      </c>
      <c r="M321" s="3" t="e">
        <f>INDEX(Demand_Modeling!$A$13:$I$49,MATCH(Table3[[#This Row],[Key]],Demand_Modeling!$A$13:$A$49,0),MATCH(Table3[[#Headers],[WEO]],Demand_Modeling!$A$13:$I$13,0))</f>
        <v>#N/A</v>
      </c>
      <c r="N321" s="19" t="e">
        <f>SUM(Table3[[#This Row],[OFC]:[WEO]])</f>
        <v>#N/A</v>
      </c>
      <c r="O321" s="19"/>
      <c r="Q321" s="3" t="str">
        <f>Table35[[#This Row],[Fiscal_Year]]*100+Table35[[#This Row],[Fiscal_Week]] &amp; "-" &amp;Table35[[#This Row],[Brand]]</f>
        <v>0-0</v>
      </c>
      <c r="R321" t="str">
        <f>Table3[[#This Row],[Key]]</f>
        <v>-</v>
      </c>
      <c r="S321">
        <f>Table3[[#This Row],[Fiscal_Year]]</f>
        <v>0</v>
      </c>
      <c r="T321">
        <f>Table3[[#This Row],[Fiscal_Week]]</f>
        <v>0</v>
      </c>
      <c r="U321">
        <f>Table3[[#This Row],[Brand]]</f>
        <v>0</v>
      </c>
      <c r="V321">
        <f>Table3[[#This Row],[Demand]]</f>
        <v>0</v>
      </c>
      <c r="W321" t="e">
        <f>Table3[[#This Row],[OFC]]*Table3[[#This Row],[Demand]]</f>
        <v>#N/A</v>
      </c>
      <c r="X321" t="e">
        <f>Table3[[#This Row],[TFC]]*Table3[[#This Row],[Demand]]</f>
        <v>#N/A</v>
      </c>
      <c r="Y321" t="e">
        <f>Table3[[#This Row],[WFC]]*Table3[[#This Row],[Demand]]</f>
        <v>#N/A</v>
      </c>
      <c r="Z321" t="e">
        <f>Table3[[#This Row],[EAO]]*Table3[[#This Row],[Demand]]</f>
        <v>#N/A</v>
      </c>
      <c r="AA321" t="e">
        <f>Table3[[#This Row],[OCC]]*Table3[[#This Row],[Demand]]</f>
        <v>#N/A</v>
      </c>
      <c r="AB321" t="e">
        <f>Table3[[#This Row],[WEO]]*Table3[[#This Row],[Demand]]</f>
        <v>#N/A</v>
      </c>
      <c r="AC321" s="19" t="e">
        <f>SUM(Table35[[#This Row],[OFC]:[WEO]])</f>
        <v>#N/A</v>
      </c>
      <c r="AD321" s="19" t="e">
        <f>Table35[[#This Row],[Demand]]-Table35[[#This Row],[Total_Modeled_Demand]]</f>
        <v>#N/A</v>
      </c>
    </row>
    <row r="322" spans="2:30" x14ac:dyDescent="0.3">
      <c r="B322" s="3" t="str">
        <f>Table3[[#This Row],[Fiscal_Year]]*100+Table3[[#This Row],[Fiscal_Week]] &amp; "-" &amp;Table3[[#This Row],[Brand]]</f>
        <v>0-</v>
      </c>
      <c r="C322" t="str">
        <f t="shared" si="4"/>
        <v>-</v>
      </c>
      <c r="H322" s="3" t="e">
        <f>INDEX(Demand_Modeling!$A$13:$I$49,MATCH(Table3[[#This Row],[Key]],Demand_Modeling!$A$13:$A$49,0),MATCH(Table3[[#Headers],[OFC]],Demand_Modeling!$A$13:$I$13,0))</f>
        <v>#N/A</v>
      </c>
      <c r="I322" s="3" t="e">
        <f>INDEX(Demand_Modeling!$A$13:$I$49,MATCH(Table3[[#This Row],[Key]],Demand_Modeling!$A$13:$A$49,0),MATCH(Table3[[#Headers],[TFC]],Demand_Modeling!$A$13:$I$13,0))</f>
        <v>#N/A</v>
      </c>
      <c r="J322" s="3" t="e">
        <f>INDEX(Demand_Modeling!$A$13:$I$49,MATCH(Table3[[#This Row],[Key]],Demand_Modeling!$A$13:$A$49,0),MATCH(Table3[[#Headers],[WFC]],Demand_Modeling!$A$13:$I$13,0))</f>
        <v>#N/A</v>
      </c>
      <c r="K322" s="3" t="e">
        <f>INDEX(Demand_Modeling!$A$13:$I$49,MATCH(Table3[[#This Row],[Key]],Demand_Modeling!$A$13:$A$49,0),MATCH(Table3[[#Headers],[EAO]],Demand_Modeling!$A$13:$I$13,0))</f>
        <v>#N/A</v>
      </c>
      <c r="L322" s="3" t="e">
        <f>INDEX(Demand_Modeling!$A$13:$I$49,MATCH(Table3[[#This Row],[Key]],Demand_Modeling!$A$13:$A$49,0),MATCH(Table3[[#Headers],[OCC]],Demand_Modeling!$A$13:$I$13,0))</f>
        <v>#N/A</v>
      </c>
      <c r="M322" s="3" t="e">
        <f>INDEX(Demand_Modeling!$A$13:$I$49,MATCH(Table3[[#This Row],[Key]],Demand_Modeling!$A$13:$A$49,0),MATCH(Table3[[#Headers],[WEO]],Demand_Modeling!$A$13:$I$13,0))</f>
        <v>#N/A</v>
      </c>
      <c r="N322" s="19" t="e">
        <f>SUM(Table3[[#This Row],[OFC]:[WEO]])</f>
        <v>#N/A</v>
      </c>
      <c r="O322" s="19"/>
      <c r="Q322" s="3" t="str">
        <f>Table35[[#This Row],[Fiscal_Year]]*100+Table35[[#This Row],[Fiscal_Week]] &amp; "-" &amp;Table35[[#This Row],[Brand]]</f>
        <v>0-0</v>
      </c>
      <c r="R322" t="str">
        <f>Table3[[#This Row],[Key]]</f>
        <v>-</v>
      </c>
      <c r="S322">
        <f>Table3[[#This Row],[Fiscal_Year]]</f>
        <v>0</v>
      </c>
      <c r="T322">
        <f>Table3[[#This Row],[Fiscal_Week]]</f>
        <v>0</v>
      </c>
      <c r="U322">
        <f>Table3[[#This Row],[Brand]]</f>
        <v>0</v>
      </c>
      <c r="V322">
        <f>Table3[[#This Row],[Demand]]</f>
        <v>0</v>
      </c>
      <c r="W322" t="e">
        <f>Table3[[#This Row],[OFC]]*Table3[[#This Row],[Demand]]</f>
        <v>#N/A</v>
      </c>
      <c r="X322" t="e">
        <f>Table3[[#This Row],[TFC]]*Table3[[#This Row],[Demand]]</f>
        <v>#N/A</v>
      </c>
      <c r="Y322" t="e">
        <f>Table3[[#This Row],[WFC]]*Table3[[#This Row],[Demand]]</f>
        <v>#N/A</v>
      </c>
      <c r="Z322" t="e">
        <f>Table3[[#This Row],[EAO]]*Table3[[#This Row],[Demand]]</f>
        <v>#N/A</v>
      </c>
      <c r="AA322" t="e">
        <f>Table3[[#This Row],[OCC]]*Table3[[#This Row],[Demand]]</f>
        <v>#N/A</v>
      </c>
      <c r="AB322" t="e">
        <f>Table3[[#This Row],[WEO]]*Table3[[#This Row],[Demand]]</f>
        <v>#N/A</v>
      </c>
      <c r="AC322" s="19" t="e">
        <f>SUM(Table35[[#This Row],[OFC]:[WEO]])</f>
        <v>#N/A</v>
      </c>
      <c r="AD322" s="19" t="e">
        <f>Table35[[#This Row],[Demand]]-Table35[[#This Row],[Total_Modeled_Demand]]</f>
        <v>#N/A</v>
      </c>
    </row>
    <row r="323" spans="2:30" x14ac:dyDescent="0.3">
      <c r="B323" s="3" t="str">
        <f>Table3[[#This Row],[Fiscal_Year]]*100+Table3[[#This Row],[Fiscal_Week]] &amp; "-" &amp;Table3[[#This Row],[Brand]]</f>
        <v>0-</v>
      </c>
      <c r="C323" t="str">
        <f t="shared" si="4"/>
        <v>-</v>
      </c>
      <c r="H323" s="3" t="e">
        <f>INDEX(Demand_Modeling!$A$13:$I$49,MATCH(Table3[[#This Row],[Key]],Demand_Modeling!$A$13:$A$49,0),MATCH(Table3[[#Headers],[OFC]],Demand_Modeling!$A$13:$I$13,0))</f>
        <v>#N/A</v>
      </c>
      <c r="I323" s="3" t="e">
        <f>INDEX(Demand_Modeling!$A$13:$I$49,MATCH(Table3[[#This Row],[Key]],Demand_Modeling!$A$13:$A$49,0),MATCH(Table3[[#Headers],[TFC]],Demand_Modeling!$A$13:$I$13,0))</f>
        <v>#N/A</v>
      </c>
      <c r="J323" s="3" t="e">
        <f>INDEX(Demand_Modeling!$A$13:$I$49,MATCH(Table3[[#This Row],[Key]],Demand_Modeling!$A$13:$A$49,0),MATCH(Table3[[#Headers],[WFC]],Demand_Modeling!$A$13:$I$13,0))</f>
        <v>#N/A</v>
      </c>
      <c r="K323" s="3" t="e">
        <f>INDEX(Demand_Modeling!$A$13:$I$49,MATCH(Table3[[#This Row],[Key]],Demand_Modeling!$A$13:$A$49,0),MATCH(Table3[[#Headers],[EAO]],Demand_Modeling!$A$13:$I$13,0))</f>
        <v>#N/A</v>
      </c>
      <c r="L323" s="3" t="e">
        <f>INDEX(Demand_Modeling!$A$13:$I$49,MATCH(Table3[[#This Row],[Key]],Demand_Modeling!$A$13:$A$49,0),MATCH(Table3[[#Headers],[OCC]],Demand_Modeling!$A$13:$I$13,0))</f>
        <v>#N/A</v>
      </c>
      <c r="M323" s="3" t="e">
        <f>INDEX(Demand_Modeling!$A$13:$I$49,MATCH(Table3[[#This Row],[Key]],Demand_Modeling!$A$13:$A$49,0),MATCH(Table3[[#Headers],[WEO]],Demand_Modeling!$A$13:$I$13,0))</f>
        <v>#N/A</v>
      </c>
      <c r="N323" s="19" t="e">
        <f>SUM(Table3[[#This Row],[OFC]:[WEO]])</f>
        <v>#N/A</v>
      </c>
      <c r="O323" s="19"/>
      <c r="Q323" s="3" t="str">
        <f>Table35[[#This Row],[Fiscal_Year]]*100+Table35[[#This Row],[Fiscal_Week]] &amp; "-" &amp;Table35[[#This Row],[Brand]]</f>
        <v>0-0</v>
      </c>
      <c r="R323" t="str">
        <f>Table3[[#This Row],[Key]]</f>
        <v>-</v>
      </c>
      <c r="S323">
        <f>Table3[[#This Row],[Fiscal_Year]]</f>
        <v>0</v>
      </c>
      <c r="T323">
        <f>Table3[[#This Row],[Fiscal_Week]]</f>
        <v>0</v>
      </c>
      <c r="U323">
        <f>Table3[[#This Row],[Brand]]</f>
        <v>0</v>
      </c>
      <c r="V323">
        <f>Table3[[#This Row],[Demand]]</f>
        <v>0</v>
      </c>
      <c r="W323" t="e">
        <f>Table3[[#This Row],[OFC]]*Table3[[#This Row],[Demand]]</f>
        <v>#N/A</v>
      </c>
      <c r="X323" t="e">
        <f>Table3[[#This Row],[TFC]]*Table3[[#This Row],[Demand]]</f>
        <v>#N/A</v>
      </c>
      <c r="Y323" t="e">
        <f>Table3[[#This Row],[WFC]]*Table3[[#This Row],[Demand]]</f>
        <v>#N/A</v>
      </c>
      <c r="Z323" t="e">
        <f>Table3[[#This Row],[EAO]]*Table3[[#This Row],[Demand]]</f>
        <v>#N/A</v>
      </c>
      <c r="AA323" t="e">
        <f>Table3[[#This Row],[OCC]]*Table3[[#This Row],[Demand]]</f>
        <v>#N/A</v>
      </c>
      <c r="AB323" t="e">
        <f>Table3[[#This Row],[WEO]]*Table3[[#This Row],[Demand]]</f>
        <v>#N/A</v>
      </c>
      <c r="AC323" s="19" t="e">
        <f>SUM(Table35[[#This Row],[OFC]:[WEO]])</f>
        <v>#N/A</v>
      </c>
      <c r="AD323" s="19" t="e">
        <f>Table35[[#This Row],[Demand]]-Table35[[#This Row],[Total_Modeled_Demand]]</f>
        <v>#N/A</v>
      </c>
    </row>
    <row r="324" spans="2:30" x14ac:dyDescent="0.3">
      <c r="B324" s="3" t="str">
        <f>Table3[[#This Row],[Fiscal_Year]]*100+Table3[[#This Row],[Fiscal_Week]] &amp; "-" &amp;Table3[[#This Row],[Brand]]</f>
        <v>0-</v>
      </c>
      <c r="C324" t="str">
        <f t="shared" si="4"/>
        <v>-</v>
      </c>
      <c r="H324" s="3" t="e">
        <f>INDEX(Demand_Modeling!$A$13:$I$49,MATCH(Table3[[#This Row],[Key]],Demand_Modeling!$A$13:$A$49,0),MATCH(Table3[[#Headers],[OFC]],Demand_Modeling!$A$13:$I$13,0))</f>
        <v>#N/A</v>
      </c>
      <c r="I324" s="3" t="e">
        <f>INDEX(Demand_Modeling!$A$13:$I$49,MATCH(Table3[[#This Row],[Key]],Demand_Modeling!$A$13:$A$49,0),MATCH(Table3[[#Headers],[TFC]],Demand_Modeling!$A$13:$I$13,0))</f>
        <v>#N/A</v>
      </c>
      <c r="J324" s="3" t="e">
        <f>INDEX(Demand_Modeling!$A$13:$I$49,MATCH(Table3[[#This Row],[Key]],Demand_Modeling!$A$13:$A$49,0),MATCH(Table3[[#Headers],[WFC]],Demand_Modeling!$A$13:$I$13,0))</f>
        <v>#N/A</v>
      </c>
      <c r="K324" s="3" t="e">
        <f>INDEX(Demand_Modeling!$A$13:$I$49,MATCH(Table3[[#This Row],[Key]],Demand_Modeling!$A$13:$A$49,0),MATCH(Table3[[#Headers],[EAO]],Demand_Modeling!$A$13:$I$13,0))</f>
        <v>#N/A</v>
      </c>
      <c r="L324" s="3" t="e">
        <f>INDEX(Demand_Modeling!$A$13:$I$49,MATCH(Table3[[#This Row],[Key]],Demand_Modeling!$A$13:$A$49,0),MATCH(Table3[[#Headers],[OCC]],Demand_Modeling!$A$13:$I$13,0))</f>
        <v>#N/A</v>
      </c>
      <c r="M324" s="3" t="e">
        <f>INDEX(Demand_Modeling!$A$13:$I$49,MATCH(Table3[[#This Row],[Key]],Demand_Modeling!$A$13:$A$49,0),MATCH(Table3[[#Headers],[WEO]],Demand_Modeling!$A$13:$I$13,0))</f>
        <v>#N/A</v>
      </c>
      <c r="N324" s="19" t="e">
        <f>SUM(Table3[[#This Row],[OFC]:[WEO]])</f>
        <v>#N/A</v>
      </c>
      <c r="O324" s="19"/>
      <c r="Q324" s="3" t="str">
        <f>Table35[[#This Row],[Fiscal_Year]]*100+Table35[[#This Row],[Fiscal_Week]] &amp; "-" &amp;Table35[[#This Row],[Brand]]</f>
        <v>0-0</v>
      </c>
      <c r="R324" t="str">
        <f>Table3[[#This Row],[Key]]</f>
        <v>-</v>
      </c>
      <c r="S324">
        <f>Table3[[#This Row],[Fiscal_Year]]</f>
        <v>0</v>
      </c>
      <c r="T324">
        <f>Table3[[#This Row],[Fiscal_Week]]</f>
        <v>0</v>
      </c>
      <c r="U324">
        <f>Table3[[#This Row],[Brand]]</f>
        <v>0</v>
      </c>
      <c r="V324">
        <f>Table3[[#This Row],[Demand]]</f>
        <v>0</v>
      </c>
      <c r="W324" t="e">
        <f>Table3[[#This Row],[OFC]]*Table3[[#This Row],[Demand]]</f>
        <v>#N/A</v>
      </c>
      <c r="X324" t="e">
        <f>Table3[[#This Row],[TFC]]*Table3[[#This Row],[Demand]]</f>
        <v>#N/A</v>
      </c>
      <c r="Y324" t="e">
        <f>Table3[[#This Row],[WFC]]*Table3[[#This Row],[Demand]]</f>
        <v>#N/A</v>
      </c>
      <c r="Z324" t="e">
        <f>Table3[[#This Row],[EAO]]*Table3[[#This Row],[Demand]]</f>
        <v>#N/A</v>
      </c>
      <c r="AA324" t="e">
        <f>Table3[[#This Row],[OCC]]*Table3[[#This Row],[Demand]]</f>
        <v>#N/A</v>
      </c>
      <c r="AB324" t="e">
        <f>Table3[[#This Row],[WEO]]*Table3[[#This Row],[Demand]]</f>
        <v>#N/A</v>
      </c>
      <c r="AC324" s="19" t="e">
        <f>SUM(Table35[[#This Row],[OFC]:[WEO]])</f>
        <v>#N/A</v>
      </c>
      <c r="AD324" s="19" t="e">
        <f>Table35[[#This Row],[Demand]]-Table35[[#This Row],[Total_Modeled_Demand]]</f>
        <v>#N/A</v>
      </c>
    </row>
    <row r="325" spans="2:30" x14ac:dyDescent="0.3">
      <c r="B325" s="3" t="str">
        <f>Table3[[#This Row],[Fiscal_Year]]*100+Table3[[#This Row],[Fiscal_Week]] &amp; "-" &amp;Table3[[#This Row],[Brand]]</f>
        <v>0-</v>
      </c>
      <c r="C325" t="str">
        <f t="shared" ref="C325:C388" si="5">D325&amp;"-"&amp;F325</f>
        <v>-</v>
      </c>
      <c r="H325" s="3" t="e">
        <f>INDEX(Demand_Modeling!$A$13:$I$49,MATCH(Table3[[#This Row],[Key]],Demand_Modeling!$A$13:$A$49,0),MATCH(Table3[[#Headers],[OFC]],Demand_Modeling!$A$13:$I$13,0))</f>
        <v>#N/A</v>
      </c>
      <c r="I325" s="3" t="e">
        <f>INDEX(Demand_Modeling!$A$13:$I$49,MATCH(Table3[[#This Row],[Key]],Demand_Modeling!$A$13:$A$49,0),MATCH(Table3[[#Headers],[TFC]],Demand_Modeling!$A$13:$I$13,0))</f>
        <v>#N/A</v>
      </c>
      <c r="J325" s="3" t="e">
        <f>INDEX(Demand_Modeling!$A$13:$I$49,MATCH(Table3[[#This Row],[Key]],Demand_Modeling!$A$13:$A$49,0),MATCH(Table3[[#Headers],[WFC]],Demand_Modeling!$A$13:$I$13,0))</f>
        <v>#N/A</v>
      </c>
      <c r="K325" s="3" t="e">
        <f>INDEX(Demand_Modeling!$A$13:$I$49,MATCH(Table3[[#This Row],[Key]],Demand_Modeling!$A$13:$A$49,0),MATCH(Table3[[#Headers],[EAO]],Demand_Modeling!$A$13:$I$13,0))</f>
        <v>#N/A</v>
      </c>
      <c r="L325" s="3" t="e">
        <f>INDEX(Demand_Modeling!$A$13:$I$49,MATCH(Table3[[#This Row],[Key]],Demand_Modeling!$A$13:$A$49,0),MATCH(Table3[[#Headers],[OCC]],Demand_Modeling!$A$13:$I$13,0))</f>
        <v>#N/A</v>
      </c>
      <c r="M325" s="3" t="e">
        <f>INDEX(Demand_Modeling!$A$13:$I$49,MATCH(Table3[[#This Row],[Key]],Demand_Modeling!$A$13:$A$49,0),MATCH(Table3[[#Headers],[WEO]],Demand_Modeling!$A$13:$I$13,0))</f>
        <v>#N/A</v>
      </c>
      <c r="N325" s="19" t="e">
        <f>SUM(Table3[[#This Row],[OFC]:[WEO]])</f>
        <v>#N/A</v>
      </c>
      <c r="O325" s="19"/>
      <c r="Q325" s="3" t="str">
        <f>Table35[[#This Row],[Fiscal_Year]]*100+Table35[[#This Row],[Fiscal_Week]] &amp; "-" &amp;Table35[[#This Row],[Brand]]</f>
        <v>0-0</v>
      </c>
      <c r="R325" t="str">
        <f>Table3[[#This Row],[Key]]</f>
        <v>-</v>
      </c>
      <c r="S325">
        <f>Table3[[#This Row],[Fiscal_Year]]</f>
        <v>0</v>
      </c>
      <c r="T325">
        <f>Table3[[#This Row],[Fiscal_Week]]</f>
        <v>0</v>
      </c>
      <c r="U325">
        <f>Table3[[#This Row],[Brand]]</f>
        <v>0</v>
      </c>
      <c r="V325">
        <f>Table3[[#This Row],[Demand]]</f>
        <v>0</v>
      </c>
      <c r="W325" t="e">
        <f>Table3[[#This Row],[OFC]]*Table3[[#This Row],[Demand]]</f>
        <v>#N/A</v>
      </c>
      <c r="X325" t="e">
        <f>Table3[[#This Row],[TFC]]*Table3[[#This Row],[Demand]]</f>
        <v>#N/A</v>
      </c>
      <c r="Y325" t="e">
        <f>Table3[[#This Row],[WFC]]*Table3[[#This Row],[Demand]]</f>
        <v>#N/A</v>
      </c>
      <c r="Z325" t="e">
        <f>Table3[[#This Row],[EAO]]*Table3[[#This Row],[Demand]]</f>
        <v>#N/A</v>
      </c>
      <c r="AA325" t="e">
        <f>Table3[[#This Row],[OCC]]*Table3[[#This Row],[Demand]]</f>
        <v>#N/A</v>
      </c>
      <c r="AB325" t="e">
        <f>Table3[[#This Row],[WEO]]*Table3[[#This Row],[Demand]]</f>
        <v>#N/A</v>
      </c>
      <c r="AC325" s="19" t="e">
        <f>SUM(Table35[[#This Row],[OFC]:[WEO]])</f>
        <v>#N/A</v>
      </c>
      <c r="AD325" s="19" t="e">
        <f>Table35[[#This Row],[Demand]]-Table35[[#This Row],[Total_Modeled_Demand]]</f>
        <v>#N/A</v>
      </c>
    </row>
    <row r="326" spans="2:30" x14ac:dyDescent="0.3">
      <c r="B326" s="3" t="str">
        <f>Table3[[#This Row],[Fiscal_Year]]*100+Table3[[#This Row],[Fiscal_Week]] &amp; "-" &amp;Table3[[#This Row],[Brand]]</f>
        <v>0-</v>
      </c>
      <c r="C326" t="str">
        <f t="shared" si="5"/>
        <v>-</v>
      </c>
      <c r="H326" s="3" t="e">
        <f>INDEX(Demand_Modeling!$A$13:$I$49,MATCH(Table3[[#This Row],[Key]],Demand_Modeling!$A$13:$A$49,0),MATCH(Table3[[#Headers],[OFC]],Demand_Modeling!$A$13:$I$13,0))</f>
        <v>#N/A</v>
      </c>
      <c r="I326" s="3" t="e">
        <f>INDEX(Demand_Modeling!$A$13:$I$49,MATCH(Table3[[#This Row],[Key]],Demand_Modeling!$A$13:$A$49,0),MATCH(Table3[[#Headers],[TFC]],Demand_Modeling!$A$13:$I$13,0))</f>
        <v>#N/A</v>
      </c>
      <c r="J326" s="3" t="e">
        <f>INDEX(Demand_Modeling!$A$13:$I$49,MATCH(Table3[[#This Row],[Key]],Demand_Modeling!$A$13:$A$49,0),MATCH(Table3[[#Headers],[WFC]],Demand_Modeling!$A$13:$I$13,0))</f>
        <v>#N/A</v>
      </c>
      <c r="K326" s="3" t="e">
        <f>INDEX(Demand_Modeling!$A$13:$I$49,MATCH(Table3[[#This Row],[Key]],Demand_Modeling!$A$13:$A$49,0),MATCH(Table3[[#Headers],[EAO]],Demand_Modeling!$A$13:$I$13,0))</f>
        <v>#N/A</v>
      </c>
      <c r="L326" s="3" t="e">
        <f>INDEX(Demand_Modeling!$A$13:$I$49,MATCH(Table3[[#This Row],[Key]],Demand_Modeling!$A$13:$A$49,0),MATCH(Table3[[#Headers],[OCC]],Demand_Modeling!$A$13:$I$13,0))</f>
        <v>#N/A</v>
      </c>
      <c r="M326" s="3" t="e">
        <f>INDEX(Demand_Modeling!$A$13:$I$49,MATCH(Table3[[#This Row],[Key]],Demand_Modeling!$A$13:$A$49,0),MATCH(Table3[[#Headers],[WEO]],Demand_Modeling!$A$13:$I$13,0))</f>
        <v>#N/A</v>
      </c>
      <c r="N326" s="19" t="e">
        <f>SUM(Table3[[#This Row],[OFC]:[WEO]])</f>
        <v>#N/A</v>
      </c>
      <c r="O326" s="19"/>
      <c r="Q326" s="3" t="str">
        <f>Table35[[#This Row],[Fiscal_Year]]*100+Table35[[#This Row],[Fiscal_Week]] &amp; "-" &amp;Table35[[#This Row],[Brand]]</f>
        <v>0-0</v>
      </c>
      <c r="R326" t="str">
        <f>Table3[[#This Row],[Key]]</f>
        <v>-</v>
      </c>
      <c r="S326">
        <f>Table3[[#This Row],[Fiscal_Year]]</f>
        <v>0</v>
      </c>
      <c r="T326">
        <f>Table3[[#This Row],[Fiscal_Week]]</f>
        <v>0</v>
      </c>
      <c r="U326">
        <f>Table3[[#This Row],[Brand]]</f>
        <v>0</v>
      </c>
      <c r="V326">
        <f>Table3[[#This Row],[Demand]]</f>
        <v>0</v>
      </c>
      <c r="W326" t="e">
        <f>Table3[[#This Row],[OFC]]*Table3[[#This Row],[Demand]]</f>
        <v>#N/A</v>
      </c>
      <c r="X326" t="e">
        <f>Table3[[#This Row],[TFC]]*Table3[[#This Row],[Demand]]</f>
        <v>#N/A</v>
      </c>
      <c r="Y326" t="e">
        <f>Table3[[#This Row],[WFC]]*Table3[[#This Row],[Demand]]</f>
        <v>#N/A</v>
      </c>
      <c r="Z326" t="e">
        <f>Table3[[#This Row],[EAO]]*Table3[[#This Row],[Demand]]</f>
        <v>#N/A</v>
      </c>
      <c r="AA326" t="e">
        <f>Table3[[#This Row],[OCC]]*Table3[[#This Row],[Demand]]</f>
        <v>#N/A</v>
      </c>
      <c r="AB326" t="e">
        <f>Table3[[#This Row],[WEO]]*Table3[[#This Row],[Demand]]</f>
        <v>#N/A</v>
      </c>
      <c r="AC326" s="19" t="e">
        <f>SUM(Table35[[#This Row],[OFC]:[WEO]])</f>
        <v>#N/A</v>
      </c>
      <c r="AD326" s="19" t="e">
        <f>Table35[[#This Row],[Demand]]-Table35[[#This Row],[Total_Modeled_Demand]]</f>
        <v>#N/A</v>
      </c>
    </row>
    <row r="327" spans="2:30" x14ac:dyDescent="0.3">
      <c r="B327" s="3" t="str">
        <f>Table3[[#This Row],[Fiscal_Year]]*100+Table3[[#This Row],[Fiscal_Week]] &amp; "-" &amp;Table3[[#This Row],[Brand]]</f>
        <v>0-</v>
      </c>
      <c r="C327" t="str">
        <f t="shared" si="5"/>
        <v>-</v>
      </c>
      <c r="H327" s="3" t="e">
        <f>INDEX(Demand_Modeling!$A$13:$I$49,MATCH(Table3[[#This Row],[Key]],Demand_Modeling!$A$13:$A$49,0),MATCH(Table3[[#Headers],[OFC]],Demand_Modeling!$A$13:$I$13,0))</f>
        <v>#N/A</v>
      </c>
      <c r="I327" s="3" t="e">
        <f>INDEX(Demand_Modeling!$A$13:$I$49,MATCH(Table3[[#This Row],[Key]],Demand_Modeling!$A$13:$A$49,0),MATCH(Table3[[#Headers],[TFC]],Demand_Modeling!$A$13:$I$13,0))</f>
        <v>#N/A</v>
      </c>
      <c r="J327" s="3" t="e">
        <f>INDEX(Demand_Modeling!$A$13:$I$49,MATCH(Table3[[#This Row],[Key]],Demand_Modeling!$A$13:$A$49,0),MATCH(Table3[[#Headers],[WFC]],Demand_Modeling!$A$13:$I$13,0))</f>
        <v>#N/A</v>
      </c>
      <c r="K327" s="3" t="e">
        <f>INDEX(Demand_Modeling!$A$13:$I$49,MATCH(Table3[[#This Row],[Key]],Demand_Modeling!$A$13:$A$49,0),MATCH(Table3[[#Headers],[EAO]],Demand_Modeling!$A$13:$I$13,0))</f>
        <v>#N/A</v>
      </c>
      <c r="L327" s="3" t="e">
        <f>INDEX(Demand_Modeling!$A$13:$I$49,MATCH(Table3[[#This Row],[Key]],Demand_Modeling!$A$13:$A$49,0),MATCH(Table3[[#Headers],[OCC]],Demand_Modeling!$A$13:$I$13,0))</f>
        <v>#N/A</v>
      </c>
      <c r="M327" s="3" t="e">
        <f>INDEX(Demand_Modeling!$A$13:$I$49,MATCH(Table3[[#This Row],[Key]],Demand_Modeling!$A$13:$A$49,0),MATCH(Table3[[#Headers],[WEO]],Demand_Modeling!$A$13:$I$13,0))</f>
        <v>#N/A</v>
      </c>
      <c r="N327" s="19" t="e">
        <f>SUM(Table3[[#This Row],[OFC]:[WEO]])</f>
        <v>#N/A</v>
      </c>
      <c r="O327" s="19"/>
      <c r="Q327" s="3" t="str">
        <f>Table35[[#This Row],[Fiscal_Year]]*100+Table35[[#This Row],[Fiscal_Week]] &amp; "-" &amp;Table35[[#This Row],[Brand]]</f>
        <v>0-0</v>
      </c>
      <c r="R327" t="str">
        <f>Table3[[#This Row],[Key]]</f>
        <v>-</v>
      </c>
      <c r="S327">
        <f>Table3[[#This Row],[Fiscal_Year]]</f>
        <v>0</v>
      </c>
      <c r="T327">
        <f>Table3[[#This Row],[Fiscal_Week]]</f>
        <v>0</v>
      </c>
      <c r="U327">
        <f>Table3[[#This Row],[Brand]]</f>
        <v>0</v>
      </c>
      <c r="V327">
        <f>Table3[[#This Row],[Demand]]</f>
        <v>0</v>
      </c>
      <c r="W327" t="e">
        <f>Table3[[#This Row],[OFC]]*Table3[[#This Row],[Demand]]</f>
        <v>#N/A</v>
      </c>
      <c r="X327" t="e">
        <f>Table3[[#This Row],[TFC]]*Table3[[#This Row],[Demand]]</f>
        <v>#N/A</v>
      </c>
      <c r="Y327" t="e">
        <f>Table3[[#This Row],[WFC]]*Table3[[#This Row],[Demand]]</f>
        <v>#N/A</v>
      </c>
      <c r="Z327" t="e">
        <f>Table3[[#This Row],[EAO]]*Table3[[#This Row],[Demand]]</f>
        <v>#N/A</v>
      </c>
      <c r="AA327" t="e">
        <f>Table3[[#This Row],[OCC]]*Table3[[#This Row],[Demand]]</f>
        <v>#N/A</v>
      </c>
      <c r="AB327" t="e">
        <f>Table3[[#This Row],[WEO]]*Table3[[#This Row],[Demand]]</f>
        <v>#N/A</v>
      </c>
      <c r="AC327" s="19" t="e">
        <f>SUM(Table35[[#This Row],[OFC]:[WEO]])</f>
        <v>#N/A</v>
      </c>
      <c r="AD327" s="19" t="e">
        <f>Table35[[#This Row],[Demand]]-Table35[[#This Row],[Total_Modeled_Demand]]</f>
        <v>#N/A</v>
      </c>
    </row>
    <row r="328" spans="2:30" x14ac:dyDescent="0.3">
      <c r="B328" s="3" t="str">
        <f>Table3[[#This Row],[Fiscal_Year]]*100+Table3[[#This Row],[Fiscal_Week]] &amp; "-" &amp;Table3[[#This Row],[Brand]]</f>
        <v>0-</v>
      </c>
      <c r="C328" t="str">
        <f t="shared" si="5"/>
        <v>-</v>
      </c>
      <c r="H328" s="3" t="e">
        <f>INDEX(Demand_Modeling!$A$13:$I$49,MATCH(Table3[[#This Row],[Key]],Demand_Modeling!$A$13:$A$49,0),MATCH(Table3[[#Headers],[OFC]],Demand_Modeling!$A$13:$I$13,0))</f>
        <v>#N/A</v>
      </c>
      <c r="I328" s="3" t="e">
        <f>INDEX(Demand_Modeling!$A$13:$I$49,MATCH(Table3[[#This Row],[Key]],Demand_Modeling!$A$13:$A$49,0),MATCH(Table3[[#Headers],[TFC]],Demand_Modeling!$A$13:$I$13,0))</f>
        <v>#N/A</v>
      </c>
      <c r="J328" s="3" t="e">
        <f>INDEX(Demand_Modeling!$A$13:$I$49,MATCH(Table3[[#This Row],[Key]],Demand_Modeling!$A$13:$A$49,0),MATCH(Table3[[#Headers],[WFC]],Demand_Modeling!$A$13:$I$13,0))</f>
        <v>#N/A</v>
      </c>
      <c r="K328" s="3" t="e">
        <f>INDEX(Demand_Modeling!$A$13:$I$49,MATCH(Table3[[#This Row],[Key]],Demand_Modeling!$A$13:$A$49,0),MATCH(Table3[[#Headers],[EAO]],Demand_Modeling!$A$13:$I$13,0))</f>
        <v>#N/A</v>
      </c>
      <c r="L328" s="3" t="e">
        <f>INDEX(Demand_Modeling!$A$13:$I$49,MATCH(Table3[[#This Row],[Key]],Demand_Modeling!$A$13:$A$49,0),MATCH(Table3[[#Headers],[OCC]],Demand_Modeling!$A$13:$I$13,0))</f>
        <v>#N/A</v>
      </c>
      <c r="M328" s="3" t="e">
        <f>INDEX(Demand_Modeling!$A$13:$I$49,MATCH(Table3[[#This Row],[Key]],Demand_Modeling!$A$13:$A$49,0),MATCH(Table3[[#Headers],[WEO]],Demand_Modeling!$A$13:$I$13,0))</f>
        <v>#N/A</v>
      </c>
      <c r="N328" s="19" t="e">
        <f>SUM(Table3[[#This Row],[OFC]:[WEO]])</f>
        <v>#N/A</v>
      </c>
      <c r="O328" s="19"/>
      <c r="Q328" s="3" t="str">
        <f>Table35[[#This Row],[Fiscal_Year]]*100+Table35[[#This Row],[Fiscal_Week]] &amp; "-" &amp;Table35[[#This Row],[Brand]]</f>
        <v>0-0</v>
      </c>
      <c r="R328" t="str">
        <f>Table3[[#This Row],[Key]]</f>
        <v>-</v>
      </c>
      <c r="S328">
        <f>Table3[[#This Row],[Fiscal_Year]]</f>
        <v>0</v>
      </c>
      <c r="T328">
        <f>Table3[[#This Row],[Fiscal_Week]]</f>
        <v>0</v>
      </c>
      <c r="U328">
        <f>Table3[[#This Row],[Brand]]</f>
        <v>0</v>
      </c>
      <c r="V328">
        <f>Table3[[#This Row],[Demand]]</f>
        <v>0</v>
      </c>
      <c r="W328" t="e">
        <f>Table3[[#This Row],[OFC]]*Table3[[#This Row],[Demand]]</f>
        <v>#N/A</v>
      </c>
      <c r="X328" t="e">
        <f>Table3[[#This Row],[TFC]]*Table3[[#This Row],[Demand]]</f>
        <v>#N/A</v>
      </c>
      <c r="Y328" t="e">
        <f>Table3[[#This Row],[WFC]]*Table3[[#This Row],[Demand]]</f>
        <v>#N/A</v>
      </c>
      <c r="Z328" t="e">
        <f>Table3[[#This Row],[EAO]]*Table3[[#This Row],[Demand]]</f>
        <v>#N/A</v>
      </c>
      <c r="AA328" t="e">
        <f>Table3[[#This Row],[OCC]]*Table3[[#This Row],[Demand]]</f>
        <v>#N/A</v>
      </c>
      <c r="AB328" t="e">
        <f>Table3[[#This Row],[WEO]]*Table3[[#This Row],[Demand]]</f>
        <v>#N/A</v>
      </c>
      <c r="AC328" s="19" t="e">
        <f>SUM(Table35[[#This Row],[OFC]:[WEO]])</f>
        <v>#N/A</v>
      </c>
      <c r="AD328" s="19" t="e">
        <f>Table35[[#This Row],[Demand]]-Table35[[#This Row],[Total_Modeled_Demand]]</f>
        <v>#N/A</v>
      </c>
    </row>
    <row r="329" spans="2:30" x14ac:dyDescent="0.3">
      <c r="B329" s="3" t="str">
        <f>Table3[[#This Row],[Fiscal_Year]]*100+Table3[[#This Row],[Fiscal_Week]] &amp; "-" &amp;Table3[[#This Row],[Brand]]</f>
        <v>0-</v>
      </c>
      <c r="C329" t="str">
        <f t="shared" si="5"/>
        <v>-</v>
      </c>
      <c r="H329" s="3" t="e">
        <f>INDEX(Demand_Modeling!$A$13:$I$49,MATCH(Table3[[#This Row],[Key]],Demand_Modeling!$A$13:$A$49,0),MATCH(Table3[[#Headers],[OFC]],Demand_Modeling!$A$13:$I$13,0))</f>
        <v>#N/A</v>
      </c>
      <c r="I329" s="3" t="e">
        <f>INDEX(Demand_Modeling!$A$13:$I$49,MATCH(Table3[[#This Row],[Key]],Demand_Modeling!$A$13:$A$49,0),MATCH(Table3[[#Headers],[TFC]],Demand_Modeling!$A$13:$I$13,0))</f>
        <v>#N/A</v>
      </c>
      <c r="J329" s="3" t="e">
        <f>INDEX(Demand_Modeling!$A$13:$I$49,MATCH(Table3[[#This Row],[Key]],Demand_Modeling!$A$13:$A$49,0),MATCH(Table3[[#Headers],[WFC]],Demand_Modeling!$A$13:$I$13,0))</f>
        <v>#N/A</v>
      </c>
      <c r="K329" s="3" t="e">
        <f>INDEX(Demand_Modeling!$A$13:$I$49,MATCH(Table3[[#This Row],[Key]],Demand_Modeling!$A$13:$A$49,0),MATCH(Table3[[#Headers],[EAO]],Demand_Modeling!$A$13:$I$13,0))</f>
        <v>#N/A</v>
      </c>
      <c r="L329" s="3" t="e">
        <f>INDEX(Demand_Modeling!$A$13:$I$49,MATCH(Table3[[#This Row],[Key]],Demand_Modeling!$A$13:$A$49,0),MATCH(Table3[[#Headers],[OCC]],Demand_Modeling!$A$13:$I$13,0))</f>
        <v>#N/A</v>
      </c>
      <c r="M329" s="3" t="e">
        <f>INDEX(Demand_Modeling!$A$13:$I$49,MATCH(Table3[[#This Row],[Key]],Demand_Modeling!$A$13:$A$49,0),MATCH(Table3[[#Headers],[WEO]],Demand_Modeling!$A$13:$I$13,0))</f>
        <v>#N/A</v>
      </c>
      <c r="N329" s="19" t="e">
        <f>SUM(Table3[[#This Row],[OFC]:[WEO]])</f>
        <v>#N/A</v>
      </c>
      <c r="O329" s="19"/>
      <c r="Q329" s="3" t="str">
        <f>Table35[[#This Row],[Fiscal_Year]]*100+Table35[[#This Row],[Fiscal_Week]] &amp; "-" &amp;Table35[[#This Row],[Brand]]</f>
        <v>0-0</v>
      </c>
      <c r="R329" t="str">
        <f>Table3[[#This Row],[Key]]</f>
        <v>-</v>
      </c>
      <c r="S329">
        <f>Table3[[#This Row],[Fiscal_Year]]</f>
        <v>0</v>
      </c>
      <c r="T329">
        <f>Table3[[#This Row],[Fiscal_Week]]</f>
        <v>0</v>
      </c>
      <c r="U329">
        <f>Table3[[#This Row],[Brand]]</f>
        <v>0</v>
      </c>
      <c r="V329">
        <f>Table3[[#This Row],[Demand]]</f>
        <v>0</v>
      </c>
      <c r="W329" t="e">
        <f>Table3[[#This Row],[OFC]]*Table3[[#This Row],[Demand]]</f>
        <v>#N/A</v>
      </c>
      <c r="X329" t="e">
        <f>Table3[[#This Row],[TFC]]*Table3[[#This Row],[Demand]]</f>
        <v>#N/A</v>
      </c>
      <c r="Y329" t="e">
        <f>Table3[[#This Row],[WFC]]*Table3[[#This Row],[Demand]]</f>
        <v>#N/A</v>
      </c>
      <c r="Z329" t="e">
        <f>Table3[[#This Row],[EAO]]*Table3[[#This Row],[Demand]]</f>
        <v>#N/A</v>
      </c>
      <c r="AA329" t="e">
        <f>Table3[[#This Row],[OCC]]*Table3[[#This Row],[Demand]]</f>
        <v>#N/A</v>
      </c>
      <c r="AB329" t="e">
        <f>Table3[[#This Row],[WEO]]*Table3[[#This Row],[Demand]]</f>
        <v>#N/A</v>
      </c>
      <c r="AC329" s="19" t="e">
        <f>SUM(Table35[[#This Row],[OFC]:[WEO]])</f>
        <v>#N/A</v>
      </c>
      <c r="AD329" s="19" t="e">
        <f>Table35[[#This Row],[Demand]]-Table35[[#This Row],[Total_Modeled_Demand]]</f>
        <v>#N/A</v>
      </c>
    </row>
    <row r="330" spans="2:30" x14ac:dyDescent="0.3">
      <c r="B330" s="3" t="str">
        <f>Table3[[#This Row],[Fiscal_Year]]*100+Table3[[#This Row],[Fiscal_Week]] &amp; "-" &amp;Table3[[#This Row],[Brand]]</f>
        <v>0-</v>
      </c>
      <c r="C330" t="str">
        <f t="shared" si="5"/>
        <v>-</v>
      </c>
      <c r="H330" s="3" t="e">
        <f>INDEX(Demand_Modeling!$A$13:$I$49,MATCH(Table3[[#This Row],[Key]],Demand_Modeling!$A$13:$A$49,0),MATCH(Table3[[#Headers],[OFC]],Demand_Modeling!$A$13:$I$13,0))</f>
        <v>#N/A</v>
      </c>
      <c r="I330" s="3" t="e">
        <f>INDEX(Demand_Modeling!$A$13:$I$49,MATCH(Table3[[#This Row],[Key]],Demand_Modeling!$A$13:$A$49,0),MATCH(Table3[[#Headers],[TFC]],Demand_Modeling!$A$13:$I$13,0))</f>
        <v>#N/A</v>
      </c>
      <c r="J330" s="3" t="e">
        <f>INDEX(Demand_Modeling!$A$13:$I$49,MATCH(Table3[[#This Row],[Key]],Demand_Modeling!$A$13:$A$49,0),MATCH(Table3[[#Headers],[WFC]],Demand_Modeling!$A$13:$I$13,0))</f>
        <v>#N/A</v>
      </c>
      <c r="K330" s="3" t="e">
        <f>INDEX(Demand_Modeling!$A$13:$I$49,MATCH(Table3[[#This Row],[Key]],Demand_Modeling!$A$13:$A$49,0),MATCH(Table3[[#Headers],[EAO]],Demand_Modeling!$A$13:$I$13,0))</f>
        <v>#N/A</v>
      </c>
      <c r="L330" s="3" t="e">
        <f>INDEX(Demand_Modeling!$A$13:$I$49,MATCH(Table3[[#This Row],[Key]],Demand_Modeling!$A$13:$A$49,0),MATCH(Table3[[#Headers],[OCC]],Demand_Modeling!$A$13:$I$13,0))</f>
        <v>#N/A</v>
      </c>
      <c r="M330" s="3" t="e">
        <f>INDEX(Demand_Modeling!$A$13:$I$49,MATCH(Table3[[#This Row],[Key]],Demand_Modeling!$A$13:$A$49,0),MATCH(Table3[[#Headers],[WEO]],Demand_Modeling!$A$13:$I$13,0))</f>
        <v>#N/A</v>
      </c>
      <c r="N330" s="19" t="e">
        <f>SUM(Table3[[#This Row],[OFC]:[WEO]])</f>
        <v>#N/A</v>
      </c>
      <c r="O330" s="19"/>
      <c r="Q330" s="3" t="str">
        <f>Table35[[#This Row],[Fiscal_Year]]*100+Table35[[#This Row],[Fiscal_Week]] &amp; "-" &amp;Table35[[#This Row],[Brand]]</f>
        <v>0-0</v>
      </c>
      <c r="R330" t="str">
        <f>Table3[[#This Row],[Key]]</f>
        <v>-</v>
      </c>
      <c r="S330">
        <f>Table3[[#This Row],[Fiscal_Year]]</f>
        <v>0</v>
      </c>
      <c r="T330">
        <f>Table3[[#This Row],[Fiscal_Week]]</f>
        <v>0</v>
      </c>
      <c r="U330">
        <f>Table3[[#This Row],[Brand]]</f>
        <v>0</v>
      </c>
      <c r="V330">
        <f>Table3[[#This Row],[Demand]]</f>
        <v>0</v>
      </c>
      <c r="W330" t="e">
        <f>Table3[[#This Row],[OFC]]*Table3[[#This Row],[Demand]]</f>
        <v>#N/A</v>
      </c>
      <c r="X330" t="e">
        <f>Table3[[#This Row],[TFC]]*Table3[[#This Row],[Demand]]</f>
        <v>#N/A</v>
      </c>
      <c r="Y330" t="e">
        <f>Table3[[#This Row],[WFC]]*Table3[[#This Row],[Demand]]</f>
        <v>#N/A</v>
      </c>
      <c r="Z330" t="e">
        <f>Table3[[#This Row],[EAO]]*Table3[[#This Row],[Demand]]</f>
        <v>#N/A</v>
      </c>
      <c r="AA330" t="e">
        <f>Table3[[#This Row],[OCC]]*Table3[[#This Row],[Demand]]</f>
        <v>#N/A</v>
      </c>
      <c r="AB330" t="e">
        <f>Table3[[#This Row],[WEO]]*Table3[[#This Row],[Demand]]</f>
        <v>#N/A</v>
      </c>
      <c r="AC330" s="19" t="e">
        <f>SUM(Table35[[#This Row],[OFC]:[WEO]])</f>
        <v>#N/A</v>
      </c>
      <c r="AD330" s="19" t="e">
        <f>Table35[[#This Row],[Demand]]-Table35[[#This Row],[Total_Modeled_Demand]]</f>
        <v>#N/A</v>
      </c>
    </row>
    <row r="331" spans="2:30" x14ac:dyDescent="0.3">
      <c r="B331" s="3" t="str">
        <f>Table3[[#This Row],[Fiscal_Year]]*100+Table3[[#This Row],[Fiscal_Week]] &amp; "-" &amp;Table3[[#This Row],[Brand]]</f>
        <v>0-</v>
      </c>
      <c r="C331" t="str">
        <f t="shared" si="5"/>
        <v>-</v>
      </c>
      <c r="H331" s="3" t="e">
        <f>INDEX(Demand_Modeling!$A$13:$I$49,MATCH(Table3[[#This Row],[Key]],Demand_Modeling!$A$13:$A$49,0),MATCH(Table3[[#Headers],[OFC]],Demand_Modeling!$A$13:$I$13,0))</f>
        <v>#N/A</v>
      </c>
      <c r="I331" s="3" t="e">
        <f>INDEX(Demand_Modeling!$A$13:$I$49,MATCH(Table3[[#This Row],[Key]],Demand_Modeling!$A$13:$A$49,0),MATCH(Table3[[#Headers],[TFC]],Demand_Modeling!$A$13:$I$13,0))</f>
        <v>#N/A</v>
      </c>
      <c r="J331" s="3" t="e">
        <f>INDEX(Demand_Modeling!$A$13:$I$49,MATCH(Table3[[#This Row],[Key]],Demand_Modeling!$A$13:$A$49,0),MATCH(Table3[[#Headers],[WFC]],Demand_Modeling!$A$13:$I$13,0))</f>
        <v>#N/A</v>
      </c>
      <c r="K331" s="3" t="e">
        <f>INDEX(Demand_Modeling!$A$13:$I$49,MATCH(Table3[[#This Row],[Key]],Demand_Modeling!$A$13:$A$49,0),MATCH(Table3[[#Headers],[EAO]],Demand_Modeling!$A$13:$I$13,0))</f>
        <v>#N/A</v>
      </c>
      <c r="L331" s="3" t="e">
        <f>INDEX(Demand_Modeling!$A$13:$I$49,MATCH(Table3[[#This Row],[Key]],Demand_Modeling!$A$13:$A$49,0),MATCH(Table3[[#Headers],[OCC]],Demand_Modeling!$A$13:$I$13,0))</f>
        <v>#N/A</v>
      </c>
      <c r="M331" s="3" t="e">
        <f>INDEX(Demand_Modeling!$A$13:$I$49,MATCH(Table3[[#This Row],[Key]],Demand_Modeling!$A$13:$A$49,0),MATCH(Table3[[#Headers],[WEO]],Demand_Modeling!$A$13:$I$13,0))</f>
        <v>#N/A</v>
      </c>
      <c r="N331" s="19" t="e">
        <f>SUM(Table3[[#This Row],[OFC]:[WEO]])</f>
        <v>#N/A</v>
      </c>
      <c r="O331" s="19"/>
      <c r="Q331" s="3" t="str">
        <f>Table35[[#This Row],[Fiscal_Year]]*100+Table35[[#This Row],[Fiscal_Week]] &amp; "-" &amp;Table35[[#This Row],[Brand]]</f>
        <v>0-0</v>
      </c>
      <c r="R331" t="str">
        <f>Table3[[#This Row],[Key]]</f>
        <v>-</v>
      </c>
      <c r="S331">
        <f>Table3[[#This Row],[Fiscal_Year]]</f>
        <v>0</v>
      </c>
      <c r="T331">
        <f>Table3[[#This Row],[Fiscal_Week]]</f>
        <v>0</v>
      </c>
      <c r="U331">
        <f>Table3[[#This Row],[Brand]]</f>
        <v>0</v>
      </c>
      <c r="V331">
        <f>Table3[[#This Row],[Demand]]</f>
        <v>0</v>
      </c>
      <c r="W331" t="e">
        <f>Table3[[#This Row],[OFC]]*Table3[[#This Row],[Demand]]</f>
        <v>#N/A</v>
      </c>
      <c r="X331" t="e">
        <f>Table3[[#This Row],[TFC]]*Table3[[#This Row],[Demand]]</f>
        <v>#N/A</v>
      </c>
      <c r="Y331" t="e">
        <f>Table3[[#This Row],[WFC]]*Table3[[#This Row],[Demand]]</f>
        <v>#N/A</v>
      </c>
      <c r="Z331" t="e">
        <f>Table3[[#This Row],[EAO]]*Table3[[#This Row],[Demand]]</f>
        <v>#N/A</v>
      </c>
      <c r="AA331" t="e">
        <f>Table3[[#This Row],[OCC]]*Table3[[#This Row],[Demand]]</f>
        <v>#N/A</v>
      </c>
      <c r="AB331" t="e">
        <f>Table3[[#This Row],[WEO]]*Table3[[#This Row],[Demand]]</f>
        <v>#N/A</v>
      </c>
      <c r="AC331" s="19" t="e">
        <f>SUM(Table35[[#This Row],[OFC]:[WEO]])</f>
        <v>#N/A</v>
      </c>
      <c r="AD331" s="19" t="e">
        <f>Table35[[#This Row],[Demand]]-Table35[[#This Row],[Total_Modeled_Demand]]</f>
        <v>#N/A</v>
      </c>
    </row>
    <row r="332" spans="2:30" x14ac:dyDescent="0.3">
      <c r="B332" s="3" t="str">
        <f>Table3[[#This Row],[Fiscal_Year]]*100+Table3[[#This Row],[Fiscal_Week]] &amp; "-" &amp;Table3[[#This Row],[Brand]]</f>
        <v>0-</v>
      </c>
      <c r="C332" t="str">
        <f t="shared" si="5"/>
        <v>-</v>
      </c>
      <c r="H332" s="3" t="e">
        <f>INDEX(Demand_Modeling!$A$13:$I$49,MATCH(Table3[[#This Row],[Key]],Demand_Modeling!$A$13:$A$49,0),MATCH(Table3[[#Headers],[OFC]],Demand_Modeling!$A$13:$I$13,0))</f>
        <v>#N/A</v>
      </c>
      <c r="I332" s="3" t="e">
        <f>INDEX(Demand_Modeling!$A$13:$I$49,MATCH(Table3[[#This Row],[Key]],Demand_Modeling!$A$13:$A$49,0),MATCH(Table3[[#Headers],[TFC]],Demand_Modeling!$A$13:$I$13,0))</f>
        <v>#N/A</v>
      </c>
      <c r="J332" s="3" t="e">
        <f>INDEX(Demand_Modeling!$A$13:$I$49,MATCH(Table3[[#This Row],[Key]],Demand_Modeling!$A$13:$A$49,0),MATCH(Table3[[#Headers],[WFC]],Demand_Modeling!$A$13:$I$13,0))</f>
        <v>#N/A</v>
      </c>
      <c r="K332" s="3" t="e">
        <f>INDEX(Demand_Modeling!$A$13:$I$49,MATCH(Table3[[#This Row],[Key]],Demand_Modeling!$A$13:$A$49,0),MATCH(Table3[[#Headers],[EAO]],Demand_Modeling!$A$13:$I$13,0))</f>
        <v>#N/A</v>
      </c>
      <c r="L332" s="3" t="e">
        <f>INDEX(Demand_Modeling!$A$13:$I$49,MATCH(Table3[[#This Row],[Key]],Demand_Modeling!$A$13:$A$49,0),MATCH(Table3[[#Headers],[OCC]],Demand_Modeling!$A$13:$I$13,0))</f>
        <v>#N/A</v>
      </c>
      <c r="M332" s="3" t="e">
        <f>INDEX(Demand_Modeling!$A$13:$I$49,MATCH(Table3[[#This Row],[Key]],Demand_Modeling!$A$13:$A$49,0),MATCH(Table3[[#Headers],[WEO]],Demand_Modeling!$A$13:$I$13,0))</f>
        <v>#N/A</v>
      </c>
      <c r="N332" s="19" t="e">
        <f>SUM(Table3[[#This Row],[OFC]:[WEO]])</f>
        <v>#N/A</v>
      </c>
      <c r="O332" s="19"/>
      <c r="Q332" s="3" t="str">
        <f>Table35[[#This Row],[Fiscal_Year]]*100+Table35[[#This Row],[Fiscal_Week]] &amp; "-" &amp;Table35[[#This Row],[Brand]]</f>
        <v>0-0</v>
      </c>
      <c r="R332" t="str">
        <f>Table3[[#This Row],[Key]]</f>
        <v>-</v>
      </c>
      <c r="S332">
        <f>Table3[[#This Row],[Fiscal_Year]]</f>
        <v>0</v>
      </c>
      <c r="T332">
        <f>Table3[[#This Row],[Fiscal_Week]]</f>
        <v>0</v>
      </c>
      <c r="U332">
        <f>Table3[[#This Row],[Brand]]</f>
        <v>0</v>
      </c>
      <c r="V332">
        <f>Table3[[#This Row],[Demand]]</f>
        <v>0</v>
      </c>
      <c r="W332" t="e">
        <f>Table3[[#This Row],[OFC]]*Table3[[#This Row],[Demand]]</f>
        <v>#N/A</v>
      </c>
      <c r="X332" t="e">
        <f>Table3[[#This Row],[TFC]]*Table3[[#This Row],[Demand]]</f>
        <v>#N/A</v>
      </c>
      <c r="Y332" t="e">
        <f>Table3[[#This Row],[WFC]]*Table3[[#This Row],[Demand]]</f>
        <v>#N/A</v>
      </c>
      <c r="Z332" t="e">
        <f>Table3[[#This Row],[EAO]]*Table3[[#This Row],[Demand]]</f>
        <v>#N/A</v>
      </c>
      <c r="AA332" t="e">
        <f>Table3[[#This Row],[OCC]]*Table3[[#This Row],[Demand]]</f>
        <v>#N/A</v>
      </c>
      <c r="AB332" t="e">
        <f>Table3[[#This Row],[WEO]]*Table3[[#This Row],[Demand]]</f>
        <v>#N/A</v>
      </c>
      <c r="AC332" s="19" t="e">
        <f>SUM(Table35[[#This Row],[OFC]:[WEO]])</f>
        <v>#N/A</v>
      </c>
      <c r="AD332" s="19" t="e">
        <f>Table35[[#This Row],[Demand]]-Table35[[#This Row],[Total_Modeled_Demand]]</f>
        <v>#N/A</v>
      </c>
    </row>
    <row r="333" spans="2:30" x14ac:dyDescent="0.3">
      <c r="B333" s="3" t="str">
        <f>Table3[[#This Row],[Fiscal_Year]]*100+Table3[[#This Row],[Fiscal_Week]] &amp; "-" &amp;Table3[[#This Row],[Brand]]</f>
        <v>0-</v>
      </c>
      <c r="C333" t="str">
        <f t="shared" si="5"/>
        <v>-</v>
      </c>
      <c r="H333" s="3" t="e">
        <f>INDEX(Demand_Modeling!$A$13:$I$49,MATCH(Table3[[#This Row],[Key]],Demand_Modeling!$A$13:$A$49,0),MATCH(Table3[[#Headers],[OFC]],Demand_Modeling!$A$13:$I$13,0))</f>
        <v>#N/A</v>
      </c>
      <c r="I333" s="3" t="e">
        <f>INDEX(Demand_Modeling!$A$13:$I$49,MATCH(Table3[[#This Row],[Key]],Demand_Modeling!$A$13:$A$49,0),MATCH(Table3[[#Headers],[TFC]],Demand_Modeling!$A$13:$I$13,0))</f>
        <v>#N/A</v>
      </c>
      <c r="J333" s="3" t="e">
        <f>INDEX(Demand_Modeling!$A$13:$I$49,MATCH(Table3[[#This Row],[Key]],Demand_Modeling!$A$13:$A$49,0),MATCH(Table3[[#Headers],[WFC]],Demand_Modeling!$A$13:$I$13,0))</f>
        <v>#N/A</v>
      </c>
      <c r="K333" s="3" t="e">
        <f>INDEX(Demand_Modeling!$A$13:$I$49,MATCH(Table3[[#This Row],[Key]],Demand_Modeling!$A$13:$A$49,0),MATCH(Table3[[#Headers],[EAO]],Demand_Modeling!$A$13:$I$13,0))</f>
        <v>#N/A</v>
      </c>
      <c r="L333" s="3" t="e">
        <f>INDEX(Demand_Modeling!$A$13:$I$49,MATCH(Table3[[#This Row],[Key]],Demand_Modeling!$A$13:$A$49,0),MATCH(Table3[[#Headers],[OCC]],Demand_Modeling!$A$13:$I$13,0))</f>
        <v>#N/A</v>
      </c>
      <c r="M333" s="3" t="e">
        <f>INDEX(Demand_Modeling!$A$13:$I$49,MATCH(Table3[[#This Row],[Key]],Demand_Modeling!$A$13:$A$49,0),MATCH(Table3[[#Headers],[WEO]],Demand_Modeling!$A$13:$I$13,0))</f>
        <v>#N/A</v>
      </c>
      <c r="N333" s="19" t="e">
        <f>SUM(Table3[[#This Row],[OFC]:[WEO]])</f>
        <v>#N/A</v>
      </c>
      <c r="O333" s="19"/>
      <c r="Q333" s="3" t="str">
        <f>Table35[[#This Row],[Fiscal_Year]]*100+Table35[[#This Row],[Fiscal_Week]] &amp; "-" &amp;Table35[[#This Row],[Brand]]</f>
        <v>0-0</v>
      </c>
      <c r="R333" t="str">
        <f>Table3[[#This Row],[Key]]</f>
        <v>-</v>
      </c>
      <c r="S333">
        <f>Table3[[#This Row],[Fiscal_Year]]</f>
        <v>0</v>
      </c>
      <c r="T333">
        <f>Table3[[#This Row],[Fiscal_Week]]</f>
        <v>0</v>
      </c>
      <c r="U333">
        <f>Table3[[#This Row],[Brand]]</f>
        <v>0</v>
      </c>
      <c r="V333">
        <f>Table3[[#This Row],[Demand]]</f>
        <v>0</v>
      </c>
      <c r="W333" t="e">
        <f>Table3[[#This Row],[OFC]]*Table3[[#This Row],[Demand]]</f>
        <v>#N/A</v>
      </c>
      <c r="X333" t="e">
        <f>Table3[[#This Row],[TFC]]*Table3[[#This Row],[Demand]]</f>
        <v>#N/A</v>
      </c>
      <c r="Y333" t="e">
        <f>Table3[[#This Row],[WFC]]*Table3[[#This Row],[Demand]]</f>
        <v>#N/A</v>
      </c>
      <c r="Z333" t="e">
        <f>Table3[[#This Row],[EAO]]*Table3[[#This Row],[Demand]]</f>
        <v>#N/A</v>
      </c>
      <c r="AA333" t="e">
        <f>Table3[[#This Row],[OCC]]*Table3[[#This Row],[Demand]]</f>
        <v>#N/A</v>
      </c>
      <c r="AB333" t="e">
        <f>Table3[[#This Row],[WEO]]*Table3[[#This Row],[Demand]]</f>
        <v>#N/A</v>
      </c>
      <c r="AC333" s="19" t="e">
        <f>SUM(Table35[[#This Row],[OFC]:[WEO]])</f>
        <v>#N/A</v>
      </c>
      <c r="AD333" s="19" t="e">
        <f>Table35[[#This Row],[Demand]]-Table35[[#This Row],[Total_Modeled_Demand]]</f>
        <v>#N/A</v>
      </c>
    </row>
    <row r="334" spans="2:30" x14ac:dyDescent="0.3">
      <c r="B334" s="3" t="str">
        <f>Table3[[#This Row],[Fiscal_Year]]*100+Table3[[#This Row],[Fiscal_Week]] &amp; "-" &amp;Table3[[#This Row],[Brand]]</f>
        <v>0-</v>
      </c>
      <c r="C334" t="str">
        <f t="shared" si="5"/>
        <v>-</v>
      </c>
      <c r="H334" s="3" t="e">
        <f>INDEX(Demand_Modeling!$A$13:$I$49,MATCH(Table3[[#This Row],[Key]],Demand_Modeling!$A$13:$A$49,0),MATCH(Table3[[#Headers],[OFC]],Demand_Modeling!$A$13:$I$13,0))</f>
        <v>#N/A</v>
      </c>
      <c r="I334" s="3" t="e">
        <f>INDEX(Demand_Modeling!$A$13:$I$49,MATCH(Table3[[#This Row],[Key]],Demand_Modeling!$A$13:$A$49,0),MATCH(Table3[[#Headers],[TFC]],Demand_Modeling!$A$13:$I$13,0))</f>
        <v>#N/A</v>
      </c>
      <c r="J334" s="3" t="e">
        <f>INDEX(Demand_Modeling!$A$13:$I$49,MATCH(Table3[[#This Row],[Key]],Demand_Modeling!$A$13:$A$49,0),MATCH(Table3[[#Headers],[WFC]],Demand_Modeling!$A$13:$I$13,0))</f>
        <v>#N/A</v>
      </c>
      <c r="K334" s="3" t="e">
        <f>INDEX(Demand_Modeling!$A$13:$I$49,MATCH(Table3[[#This Row],[Key]],Demand_Modeling!$A$13:$A$49,0),MATCH(Table3[[#Headers],[EAO]],Demand_Modeling!$A$13:$I$13,0))</f>
        <v>#N/A</v>
      </c>
      <c r="L334" s="3" t="e">
        <f>INDEX(Demand_Modeling!$A$13:$I$49,MATCH(Table3[[#This Row],[Key]],Demand_Modeling!$A$13:$A$49,0),MATCH(Table3[[#Headers],[OCC]],Demand_Modeling!$A$13:$I$13,0))</f>
        <v>#N/A</v>
      </c>
      <c r="M334" s="3" t="e">
        <f>INDEX(Demand_Modeling!$A$13:$I$49,MATCH(Table3[[#This Row],[Key]],Demand_Modeling!$A$13:$A$49,0),MATCH(Table3[[#Headers],[WEO]],Demand_Modeling!$A$13:$I$13,0))</f>
        <v>#N/A</v>
      </c>
      <c r="N334" s="19" t="e">
        <f>SUM(Table3[[#This Row],[OFC]:[WEO]])</f>
        <v>#N/A</v>
      </c>
      <c r="O334" s="19"/>
      <c r="Q334" s="3" t="str">
        <f>Table35[[#This Row],[Fiscal_Year]]*100+Table35[[#This Row],[Fiscal_Week]] &amp; "-" &amp;Table35[[#This Row],[Brand]]</f>
        <v>0-0</v>
      </c>
      <c r="R334" t="str">
        <f>Table3[[#This Row],[Key]]</f>
        <v>-</v>
      </c>
      <c r="S334">
        <f>Table3[[#This Row],[Fiscal_Year]]</f>
        <v>0</v>
      </c>
      <c r="T334">
        <f>Table3[[#This Row],[Fiscal_Week]]</f>
        <v>0</v>
      </c>
      <c r="U334">
        <f>Table3[[#This Row],[Brand]]</f>
        <v>0</v>
      </c>
      <c r="V334">
        <f>Table3[[#This Row],[Demand]]</f>
        <v>0</v>
      </c>
      <c r="W334" t="e">
        <f>Table3[[#This Row],[OFC]]*Table3[[#This Row],[Demand]]</f>
        <v>#N/A</v>
      </c>
      <c r="X334" t="e">
        <f>Table3[[#This Row],[TFC]]*Table3[[#This Row],[Demand]]</f>
        <v>#N/A</v>
      </c>
      <c r="Y334" t="e">
        <f>Table3[[#This Row],[WFC]]*Table3[[#This Row],[Demand]]</f>
        <v>#N/A</v>
      </c>
      <c r="Z334" t="e">
        <f>Table3[[#This Row],[EAO]]*Table3[[#This Row],[Demand]]</f>
        <v>#N/A</v>
      </c>
      <c r="AA334" t="e">
        <f>Table3[[#This Row],[OCC]]*Table3[[#This Row],[Demand]]</f>
        <v>#N/A</v>
      </c>
      <c r="AB334" t="e">
        <f>Table3[[#This Row],[WEO]]*Table3[[#This Row],[Demand]]</f>
        <v>#N/A</v>
      </c>
      <c r="AC334" s="19" t="e">
        <f>SUM(Table35[[#This Row],[OFC]:[WEO]])</f>
        <v>#N/A</v>
      </c>
      <c r="AD334" s="19" t="e">
        <f>Table35[[#This Row],[Demand]]-Table35[[#This Row],[Total_Modeled_Demand]]</f>
        <v>#N/A</v>
      </c>
    </row>
    <row r="335" spans="2:30" x14ac:dyDescent="0.3">
      <c r="B335" s="3" t="str">
        <f>Table3[[#This Row],[Fiscal_Year]]*100+Table3[[#This Row],[Fiscal_Week]] &amp; "-" &amp;Table3[[#This Row],[Brand]]</f>
        <v>0-</v>
      </c>
      <c r="C335" t="str">
        <f t="shared" si="5"/>
        <v>-</v>
      </c>
      <c r="H335" s="3" t="e">
        <f>INDEX(Demand_Modeling!$A$13:$I$49,MATCH(Table3[[#This Row],[Key]],Demand_Modeling!$A$13:$A$49,0),MATCH(Table3[[#Headers],[OFC]],Demand_Modeling!$A$13:$I$13,0))</f>
        <v>#N/A</v>
      </c>
      <c r="I335" s="3" t="e">
        <f>INDEX(Demand_Modeling!$A$13:$I$49,MATCH(Table3[[#This Row],[Key]],Demand_Modeling!$A$13:$A$49,0),MATCH(Table3[[#Headers],[TFC]],Demand_Modeling!$A$13:$I$13,0))</f>
        <v>#N/A</v>
      </c>
      <c r="J335" s="3" t="e">
        <f>INDEX(Demand_Modeling!$A$13:$I$49,MATCH(Table3[[#This Row],[Key]],Demand_Modeling!$A$13:$A$49,0),MATCH(Table3[[#Headers],[WFC]],Demand_Modeling!$A$13:$I$13,0))</f>
        <v>#N/A</v>
      </c>
      <c r="K335" s="3" t="e">
        <f>INDEX(Demand_Modeling!$A$13:$I$49,MATCH(Table3[[#This Row],[Key]],Demand_Modeling!$A$13:$A$49,0),MATCH(Table3[[#Headers],[EAO]],Demand_Modeling!$A$13:$I$13,0))</f>
        <v>#N/A</v>
      </c>
      <c r="L335" s="3" t="e">
        <f>INDEX(Demand_Modeling!$A$13:$I$49,MATCH(Table3[[#This Row],[Key]],Demand_Modeling!$A$13:$A$49,0),MATCH(Table3[[#Headers],[OCC]],Demand_Modeling!$A$13:$I$13,0))</f>
        <v>#N/A</v>
      </c>
      <c r="M335" s="3" t="e">
        <f>INDEX(Demand_Modeling!$A$13:$I$49,MATCH(Table3[[#This Row],[Key]],Demand_Modeling!$A$13:$A$49,0),MATCH(Table3[[#Headers],[WEO]],Demand_Modeling!$A$13:$I$13,0))</f>
        <v>#N/A</v>
      </c>
      <c r="N335" s="19" t="e">
        <f>SUM(Table3[[#This Row],[OFC]:[WEO]])</f>
        <v>#N/A</v>
      </c>
      <c r="O335" s="19"/>
      <c r="Q335" s="3" t="str">
        <f>Table35[[#This Row],[Fiscal_Year]]*100+Table35[[#This Row],[Fiscal_Week]] &amp; "-" &amp;Table35[[#This Row],[Brand]]</f>
        <v>0-0</v>
      </c>
      <c r="R335" t="str">
        <f>Table3[[#This Row],[Key]]</f>
        <v>-</v>
      </c>
      <c r="S335">
        <f>Table3[[#This Row],[Fiscal_Year]]</f>
        <v>0</v>
      </c>
      <c r="T335">
        <f>Table3[[#This Row],[Fiscal_Week]]</f>
        <v>0</v>
      </c>
      <c r="U335">
        <f>Table3[[#This Row],[Brand]]</f>
        <v>0</v>
      </c>
      <c r="V335">
        <f>Table3[[#This Row],[Demand]]</f>
        <v>0</v>
      </c>
      <c r="W335" t="e">
        <f>Table3[[#This Row],[OFC]]*Table3[[#This Row],[Demand]]</f>
        <v>#N/A</v>
      </c>
      <c r="X335" t="e">
        <f>Table3[[#This Row],[TFC]]*Table3[[#This Row],[Demand]]</f>
        <v>#N/A</v>
      </c>
      <c r="Y335" t="e">
        <f>Table3[[#This Row],[WFC]]*Table3[[#This Row],[Demand]]</f>
        <v>#N/A</v>
      </c>
      <c r="Z335" t="e">
        <f>Table3[[#This Row],[EAO]]*Table3[[#This Row],[Demand]]</f>
        <v>#N/A</v>
      </c>
      <c r="AA335" t="e">
        <f>Table3[[#This Row],[OCC]]*Table3[[#This Row],[Demand]]</f>
        <v>#N/A</v>
      </c>
      <c r="AB335" t="e">
        <f>Table3[[#This Row],[WEO]]*Table3[[#This Row],[Demand]]</f>
        <v>#N/A</v>
      </c>
      <c r="AC335" s="19" t="e">
        <f>SUM(Table35[[#This Row],[OFC]:[WEO]])</f>
        <v>#N/A</v>
      </c>
      <c r="AD335" s="19" t="e">
        <f>Table35[[#This Row],[Demand]]-Table35[[#This Row],[Total_Modeled_Demand]]</f>
        <v>#N/A</v>
      </c>
    </row>
    <row r="336" spans="2:30" x14ac:dyDescent="0.3">
      <c r="B336" s="3" t="str">
        <f>Table3[[#This Row],[Fiscal_Year]]*100+Table3[[#This Row],[Fiscal_Week]] &amp; "-" &amp;Table3[[#This Row],[Brand]]</f>
        <v>0-</v>
      </c>
      <c r="C336" t="str">
        <f t="shared" si="5"/>
        <v>-</v>
      </c>
      <c r="H336" s="3" t="e">
        <f>INDEX(Demand_Modeling!$A$13:$I$49,MATCH(Table3[[#This Row],[Key]],Demand_Modeling!$A$13:$A$49,0),MATCH(Table3[[#Headers],[OFC]],Demand_Modeling!$A$13:$I$13,0))</f>
        <v>#N/A</v>
      </c>
      <c r="I336" s="3" t="e">
        <f>INDEX(Demand_Modeling!$A$13:$I$49,MATCH(Table3[[#This Row],[Key]],Demand_Modeling!$A$13:$A$49,0),MATCH(Table3[[#Headers],[TFC]],Demand_Modeling!$A$13:$I$13,0))</f>
        <v>#N/A</v>
      </c>
      <c r="J336" s="3" t="e">
        <f>INDEX(Demand_Modeling!$A$13:$I$49,MATCH(Table3[[#This Row],[Key]],Demand_Modeling!$A$13:$A$49,0),MATCH(Table3[[#Headers],[WFC]],Demand_Modeling!$A$13:$I$13,0))</f>
        <v>#N/A</v>
      </c>
      <c r="K336" s="3" t="e">
        <f>INDEX(Demand_Modeling!$A$13:$I$49,MATCH(Table3[[#This Row],[Key]],Demand_Modeling!$A$13:$A$49,0),MATCH(Table3[[#Headers],[EAO]],Demand_Modeling!$A$13:$I$13,0))</f>
        <v>#N/A</v>
      </c>
      <c r="L336" s="3" t="e">
        <f>INDEX(Demand_Modeling!$A$13:$I$49,MATCH(Table3[[#This Row],[Key]],Demand_Modeling!$A$13:$A$49,0),MATCH(Table3[[#Headers],[OCC]],Demand_Modeling!$A$13:$I$13,0))</f>
        <v>#N/A</v>
      </c>
      <c r="M336" s="3" t="e">
        <f>INDEX(Demand_Modeling!$A$13:$I$49,MATCH(Table3[[#This Row],[Key]],Demand_Modeling!$A$13:$A$49,0),MATCH(Table3[[#Headers],[WEO]],Demand_Modeling!$A$13:$I$13,0))</f>
        <v>#N/A</v>
      </c>
      <c r="N336" s="19" t="e">
        <f>SUM(Table3[[#This Row],[OFC]:[WEO]])</f>
        <v>#N/A</v>
      </c>
      <c r="O336" s="19"/>
      <c r="Q336" s="3" t="str">
        <f>Table35[[#This Row],[Fiscal_Year]]*100+Table35[[#This Row],[Fiscal_Week]] &amp; "-" &amp;Table35[[#This Row],[Brand]]</f>
        <v>0-0</v>
      </c>
      <c r="R336" t="str">
        <f>Table3[[#This Row],[Key]]</f>
        <v>-</v>
      </c>
      <c r="S336">
        <f>Table3[[#This Row],[Fiscal_Year]]</f>
        <v>0</v>
      </c>
      <c r="T336">
        <f>Table3[[#This Row],[Fiscal_Week]]</f>
        <v>0</v>
      </c>
      <c r="U336">
        <f>Table3[[#This Row],[Brand]]</f>
        <v>0</v>
      </c>
      <c r="V336">
        <f>Table3[[#This Row],[Demand]]</f>
        <v>0</v>
      </c>
      <c r="W336" t="e">
        <f>Table3[[#This Row],[OFC]]*Table3[[#This Row],[Demand]]</f>
        <v>#N/A</v>
      </c>
      <c r="X336" t="e">
        <f>Table3[[#This Row],[TFC]]*Table3[[#This Row],[Demand]]</f>
        <v>#N/A</v>
      </c>
      <c r="Y336" t="e">
        <f>Table3[[#This Row],[WFC]]*Table3[[#This Row],[Demand]]</f>
        <v>#N/A</v>
      </c>
      <c r="Z336" t="e">
        <f>Table3[[#This Row],[EAO]]*Table3[[#This Row],[Demand]]</f>
        <v>#N/A</v>
      </c>
      <c r="AA336" t="e">
        <f>Table3[[#This Row],[OCC]]*Table3[[#This Row],[Demand]]</f>
        <v>#N/A</v>
      </c>
      <c r="AB336" t="e">
        <f>Table3[[#This Row],[WEO]]*Table3[[#This Row],[Demand]]</f>
        <v>#N/A</v>
      </c>
      <c r="AC336" s="19" t="e">
        <f>SUM(Table35[[#This Row],[OFC]:[WEO]])</f>
        <v>#N/A</v>
      </c>
      <c r="AD336" s="19" t="e">
        <f>Table35[[#This Row],[Demand]]-Table35[[#This Row],[Total_Modeled_Demand]]</f>
        <v>#N/A</v>
      </c>
    </row>
    <row r="337" spans="2:30" x14ac:dyDescent="0.3">
      <c r="B337" s="3" t="str">
        <f>Table3[[#This Row],[Fiscal_Year]]*100+Table3[[#This Row],[Fiscal_Week]] &amp; "-" &amp;Table3[[#This Row],[Brand]]</f>
        <v>0-</v>
      </c>
      <c r="C337" t="str">
        <f t="shared" si="5"/>
        <v>-</v>
      </c>
      <c r="H337" s="3" t="e">
        <f>INDEX(Demand_Modeling!$A$13:$I$49,MATCH(Table3[[#This Row],[Key]],Demand_Modeling!$A$13:$A$49,0),MATCH(Table3[[#Headers],[OFC]],Demand_Modeling!$A$13:$I$13,0))</f>
        <v>#N/A</v>
      </c>
      <c r="I337" s="3" t="e">
        <f>INDEX(Demand_Modeling!$A$13:$I$49,MATCH(Table3[[#This Row],[Key]],Demand_Modeling!$A$13:$A$49,0),MATCH(Table3[[#Headers],[TFC]],Demand_Modeling!$A$13:$I$13,0))</f>
        <v>#N/A</v>
      </c>
      <c r="J337" s="3" t="e">
        <f>INDEX(Demand_Modeling!$A$13:$I$49,MATCH(Table3[[#This Row],[Key]],Demand_Modeling!$A$13:$A$49,0),MATCH(Table3[[#Headers],[WFC]],Demand_Modeling!$A$13:$I$13,0))</f>
        <v>#N/A</v>
      </c>
      <c r="K337" s="3" t="e">
        <f>INDEX(Demand_Modeling!$A$13:$I$49,MATCH(Table3[[#This Row],[Key]],Demand_Modeling!$A$13:$A$49,0),MATCH(Table3[[#Headers],[EAO]],Demand_Modeling!$A$13:$I$13,0))</f>
        <v>#N/A</v>
      </c>
      <c r="L337" s="3" t="e">
        <f>INDEX(Demand_Modeling!$A$13:$I$49,MATCH(Table3[[#This Row],[Key]],Demand_Modeling!$A$13:$A$49,0),MATCH(Table3[[#Headers],[OCC]],Demand_Modeling!$A$13:$I$13,0))</f>
        <v>#N/A</v>
      </c>
      <c r="M337" s="3" t="e">
        <f>INDEX(Demand_Modeling!$A$13:$I$49,MATCH(Table3[[#This Row],[Key]],Demand_Modeling!$A$13:$A$49,0),MATCH(Table3[[#Headers],[WEO]],Demand_Modeling!$A$13:$I$13,0))</f>
        <v>#N/A</v>
      </c>
      <c r="N337" s="19" t="e">
        <f>SUM(Table3[[#This Row],[OFC]:[WEO]])</f>
        <v>#N/A</v>
      </c>
      <c r="O337" s="19"/>
      <c r="Q337" s="3" t="str">
        <f>Table35[[#This Row],[Fiscal_Year]]*100+Table35[[#This Row],[Fiscal_Week]] &amp; "-" &amp;Table35[[#This Row],[Brand]]</f>
        <v>0-0</v>
      </c>
      <c r="R337" t="str">
        <f>Table3[[#This Row],[Key]]</f>
        <v>-</v>
      </c>
      <c r="S337">
        <f>Table3[[#This Row],[Fiscal_Year]]</f>
        <v>0</v>
      </c>
      <c r="T337">
        <f>Table3[[#This Row],[Fiscal_Week]]</f>
        <v>0</v>
      </c>
      <c r="U337">
        <f>Table3[[#This Row],[Brand]]</f>
        <v>0</v>
      </c>
      <c r="V337">
        <f>Table3[[#This Row],[Demand]]</f>
        <v>0</v>
      </c>
      <c r="W337" t="e">
        <f>Table3[[#This Row],[OFC]]*Table3[[#This Row],[Demand]]</f>
        <v>#N/A</v>
      </c>
      <c r="X337" t="e">
        <f>Table3[[#This Row],[TFC]]*Table3[[#This Row],[Demand]]</f>
        <v>#N/A</v>
      </c>
      <c r="Y337" t="e">
        <f>Table3[[#This Row],[WFC]]*Table3[[#This Row],[Demand]]</f>
        <v>#N/A</v>
      </c>
      <c r="Z337" t="e">
        <f>Table3[[#This Row],[EAO]]*Table3[[#This Row],[Demand]]</f>
        <v>#N/A</v>
      </c>
      <c r="AA337" t="e">
        <f>Table3[[#This Row],[OCC]]*Table3[[#This Row],[Demand]]</f>
        <v>#N/A</v>
      </c>
      <c r="AB337" t="e">
        <f>Table3[[#This Row],[WEO]]*Table3[[#This Row],[Demand]]</f>
        <v>#N/A</v>
      </c>
      <c r="AC337" s="19" t="e">
        <f>SUM(Table35[[#This Row],[OFC]:[WEO]])</f>
        <v>#N/A</v>
      </c>
      <c r="AD337" s="19" t="e">
        <f>Table35[[#This Row],[Demand]]-Table35[[#This Row],[Total_Modeled_Demand]]</f>
        <v>#N/A</v>
      </c>
    </row>
    <row r="338" spans="2:30" x14ac:dyDescent="0.3">
      <c r="B338" s="3" t="str">
        <f>Table3[[#This Row],[Fiscal_Year]]*100+Table3[[#This Row],[Fiscal_Week]] &amp; "-" &amp;Table3[[#This Row],[Brand]]</f>
        <v>0-</v>
      </c>
      <c r="C338" t="str">
        <f t="shared" si="5"/>
        <v>-</v>
      </c>
      <c r="H338" s="3" t="e">
        <f>INDEX(Demand_Modeling!$A$13:$I$49,MATCH(Table3[[#This Row],[Key]],Demand_Modeling!$A$13:$A$49,0),MATCH(Table3[[#Headers],[OFC]],Demand_Modeling!$A$13:$I$13,0))</f>
        <v>#N/A</v>
      </c>
      <c r="I338" s="3" t="e">
        <f>INDEX(Demand_Modeling!$A$13:$I$49,MATCH(Table3[[#This Row],[Key]],Demand_Modeling!$A$13:$A$49,0),MATCH(Table3[[#Headers],[TFC]],Demand_Modeling!$A$13:$I$13,0))</f>
        <v>#N/A</v>
      </c>
      <c r="J338" s="3" t="e">
        <f>INDEX(Demand_Modeling!$A$13:$I$49,MATCH(Table3[[#This Row],[Key]],Demand_Modeling!$A$13:$A$49,0),MATCH(Table3[[#Headers],[WFC]],Demand_Modeling!$A$13:$I$13,0))</f>
        <v>#N/A</v>
      </c>
      <c r="K338" s="3" t="e">
        <f>INDEX(Demand_Modeling!$A$13:$I$49,MATCH(Table3[[#This Row],[Key]],Demand_Modeling!$A$13:$A$49,0),MATCH(Table3[[#Headers],[EAO]],Demand_Modeling!$A$13:$I$13,0))</f>
        <v>#N/A</v>
      </c>
      <c r="L338" s="3" t="e">
        <f>INDEX(Demand_Modeling!$A$13:$I$49,MATCH(Table3[[#This Row],[Key]],Demand_Modeling!$A$13:$A$49,0),MATCH(Table3[[#Headers],[OCC]],Demand_Modeling!$A$13:$I$13,0))</f>
        <v>#N/A</v>
      </c>
      <c r="M338" s="3" t="e">
        <f>INDEX(Demand_Modeling!$A$13:$I$49,MATCH(Table3[[#This Row],[Key]],Demand_Modeling!$A$13:$A$49,0),MATCH(Table3[[#Headers],[WEO]],Demand_Modeling!$A$13:$I$13,0))</f>
        <v>#N/A</v>
      </c>
      <c r="N338" s="19" t="e">
        <f>SUM(Table3[[#This Row],[OFC]:[WEO]])</f>
        <v>#N/A</v>
      </c>
      <c r="O338" s="19"/>
      <c r="Q338" s="3" t="str">
        <f>Table35[[#This Row],[Fiscal_Year]]*100+Table35[[#This Row],[Fiscal_Week]] &amp; "-" &amp;Table35[[#This Row],[Brand]]</f>
        <v>0-0</v>
      </c>
      <c r="R338" t="str">
        <f>Table3[[#This Row],[Key]]</f>
        <v>-</v>
      </c>
      <c r="S338">
        <f>Table3[[#This Row],[Fiscal_Year]]</f>
        <v>0</v>
      </c>
      <c r="T338">
        <f>Table3[[#This Row],[Fiscal_Week]]</f>
        <v>0</v>
      </c>
      <c r="U338">
        <f>Table3[[#This Row],[Brand]]</f>
        <v>0</v>
      </c>
      <c r="V338">
        <f>Table3[[#This Row],[Demand]]</f>
        <v>0</v>
      </c>
      <c r="W338" t="e">
        <f>Table3[[#This Row],[OFC]]*Table3[[#This Row],[Demand]]</f>
        <v>#N/A</v>
      </c>
      <c r="X338" t="e">
        <f>Table3[[#This Row],[TFC]]*Table3[[#This Row],[Demand]]</f>
        <v>#N/A</v>
      </c>
      <c r="Y338" t="e">
        <f>Table3[[#This Row],[WFC]]*Table3[[#This Row],[Demand]]</f>
        <v>#N/A</v>
      </c>
      <c r="Z338" t="e">
        <f>Table3[[#This Row],[EAO]]*Table3[[#This Row],[Demand]]</f>
        <v>#N/A</v>
      </c>
      <c r="AA338" t="e">
        <f>Table3[[#This Row],[OCC]]*Table3[[#This Row],[Demand]]</f>
        <v>#N/A</v>
      </c>
      <c r="AB338" t="e">
        <f>Table3[[#This Row],[WEO]]*Table3[[#This Row],[Demand]]</f>
        <v>#N/A</v>
      </c>
      <c r="AC338" s="19" t="e">
        <f>SUM(Table35[[#This Row],[OFC]:[WEO]])</f>
        <v>#N/A</v>
      </c>
      <c r="AD338" s="19" t="e">
        <f>Table35[[#This Row],[Demand]]-Table35[[#This Row],[Total_Modeled_Demand]]</f>
        <v>#N/A</v>
      </c>
    </row>
    <row r="339" spans="2:30" x14ac:dyDescent="0.3">
      <c r="B339" s="3" t="str">
        <f>Table3[[#This Row],[Fiscal_Year]]*100+Table3[[#This Row],[Fiscal_Week]] &amp; "-" &amp;Table3[[#This Row],[Brand]]</f>
        <v>0-</v>
      </c>
      <c r="C339" t="str">
        <f t="shared" si="5"/>
        <v>-</v>
      </c>
      <c r="H339" s="3" t="e">
        <f>INDEX(Demand_Modeling!$A$13:$I$49,MATCH(Table3[[#This Row],[Key]],Demand_Modeling!$A$13:$A$49,0),MATCH(Table3[[#Headers],[OFC]],Demand_Modeling!$A$13:$I$13,0))</f>
        <v>#N/A</v>
      </c>
      <c r="I339" s="3" t="e">
        <f>INDEX(Demand_Modeling!$A$13:$I$49,MATCH(Table3[[#This Row],[Key]],Demand_Modeling!$A$13:$A$49,0),MATCH(Table3[[#Headers],[TFC]],Demand_Modeling!$A$13:$I$13,0))</f>
        <v>#N/A</v>
      </c>
      <c r="J339" s="3" t="e">
        <f>INDEX(Demand_Modeling!$A$13:$I$49,MATCH(Table3[[#This Row],[Key]],Demand_Modeling!$A$13:$A$49,0),MATCH(Table3[[#Headers],[WFC]],Demand_Modeling!$A$13:$I$13,0))</f>
        <v>#N/A</v>
      </c>
      <c r="K339" s="3" t="e">
        <f>INDEX(Demand_Modeling!$A$13:$I$49,MATCH(Table3[[#This Row],[Key]],Demand_Modeling!$A$13:$A$49,0),MATCH(Table3[[#Headers],[EAO]],Demand_Modeling!$A$13:$I$13,0))</f>
        <v>#N/A</v>
      </c>
      <c r="L339" s="3" t="e">
        <f>INDEX(Demand_Modeling!$A$13:$I$49,MATCH(Table3[[#This Row],[Key]],Demand_Modeling!$A$13:$A$49,0),MATCH(Table3[[#Headers],[OCC]],Demand_Modeling!$A$13:$I$13,0))</f>
        <v>#N/A</v>
      </c>
      <c r="M339" s="3" t="e">
        <f>INDEX(Demand_Modeling!$A$13:$I$49,MATCH(Table3[[#This Row],[Key]],Demand_Modeling!$A$13:$A$49,0),MATCH(Table3[[#Headers],[WEO]],Demand_Modeling!$A$13:$I$13,0))</f>
        <v>#N/A</v>
      </c>
      <c r="N339" s="19" t="e">
        <f>SUM(Table3[[#This Row],[OFC]:[WEO]])</f>
        <v>#N/A</v>
      </c>
      <c r="O339" s="19"/>
      <c r="Q339" s="3" t="str">
        <f>Table35[[#This Row],[Fiscal_Year]]*100+Table35[[#This Row],[Fiscal_Week]] &amp; "-" &amp;Table35[[#This Row],[Brand]]</f>
        <v>0-0</v>
      </c>
      <c r="R339" t="str">
        <f>Table3[[#This Row],[Key]]</f>
        <v>-</v>
      </c>
      <c r="S339">
        <f>Table3[[#This Row],[Fiscal_Year]]</f>
        <v>0</v>
      </c>
      <c r="T339">
        <f>Table3[[#This Row],[Fiscal_Week]]</f>
        <v>0</v>
      </c>
      <c r="U339">
        <f>Table3[[#This Row],[Brand]]</f>
        <v>0</v>
      </c>
      <c r="V339">
        <f>Table3[[#This Row],[Demand]]</f>
        <v>0</v>
      </c>
      <c r="W339" t="e">
        <f>Table3[[#This Row],[OFC]]*Table3[[#This Row],[Demand]]</f>
        <v>#N/A</v>
      </c>
      <c r="X339" t="e">
        <f>Table3[[#This Row],[TFC]]*Table3[[#This Row],[Demand]]</f>
        <v>#N/A</v>
      </c>
      <c r="Y339" t="e">
        <f>Table3[[#This Row],[WFC]]*Table3[[#This Row],[Demand]]</f>
        <v>#N/A</v>
      </c>
      <c r="Z339" t="e">
        <f>Table3[[#This Row],[EAO]]*Table3[[#This Row],[Demand]]</f>
        <v>#N/A</v>
      </c>
      <c r="AA339" t="e">
        <f>Table3[[#This Row],[OCC]]*Table3[[#This Row],[Demand]]</f>
        <v>#N/A</v>
      </c>
      <c r="AB339" t="e">
        <f>Table3[[#This Row],[WEO]]*Table3[[#This Row],[Demand]]</f>
        <v>#N/A</v>
      </c>
      <c r="AC339" s="19" t="e">
        <f>SUM(Table35[[#This Row],[OFC]:[WEO]])</f>
        <v>#N/A</v>
      </c>
      <c r="AD339" s="19" t="e">
        <f>Table35[[#This Row],[Demand]]-Table35[[#This Row],[Total_Modeled_Demand]]</f>
        <v>#N/A</v>
      </c>
    </row>
    <row r="340" spans="2:30" x14ac:dyDescent="0.3">
      <c r="B340" s="3" t="str">
        <f>Table3[[#This Row],[Fiscal_Year]]*100+Table3[[#This Row],[Fiscal_Week]] &amp; "-" &amp;Table3[[#This Row],[Brand]]</f>
        <v>0-</v>
      </c>
      <c r="C340" t="str">
        <f t="shared" si="5"/>
        <v>-</v>
      </c>
      <c r="H340" s="3" t="e">
        <f>INDEX(Demand_Modeling!$A$13:$I$49,MATCH(Table3[[#This Row],[Key]],Demand_Modeling!$A$13:$A$49,0),MATCH(Table3[[#Headers],[OFC]],Demand_Modeling!$A$13:$I$13,0))</f>
        <v>#N/A</v>
      </c>
      <c r="I340" s="3" t="e">
        <f>INDEX(Demand_Modeling!$A$13:$I$49,MATCH(Table3[[#This Row],[Key]],Demand_Modeling!$A$13:$A$49,0),MATCH(Table3[[#Headers],[TFC]],Demand_Modeling!$A$13:$I$13,0))</f>
        <v>#N/A</v>
      </c>
      <c r="J340" s="3" t="e">
        <f>INDEX(Demand_Modeling!$A$13:$I$49,MATCH(Table3[[#This Row],[Key]],Demand_Modeling!$A$13:$A$49,0),MATCH(Table3[[#Headers],[WFC]],Demand_Modeling!$A$13:$I$13,0))</f>
        <v>#N/A</v>
      </c>
      <c r="K340" s="3" t="e">
        <f>INDEX(Demand_Modeling!$A$13:$I$49,MATCH(Table3[[#This Row],[Key]],Demand_Modeling!$A$13:$A$49,0),MATCH(Table3[[#Headers],[EAO]],Demand_Modeling!$A$13:$I$13,0))</f>
        <v>#N/A</v>
      </c>
      <c r="L340" s="3" t="e">
        <f>INDEX(Demand_Modeling!$A$13:$I$49,MATCH(Table3[[#This Row],[Key]],Demand_Modeling!$A$13:$A$49,0),MATCH(Table3[[#Headers],[OCC]],Demand_Modeling!$A$13:$I$13,0))</f>
        <v>#N/A</v>
      </c>
      <c r="M340" s="3" t="e">
        <f>INDEX(Demand_Modeling!$A$13:$I$49,MATCH(Table3[[#This Row],[Key]],Demand_Modeling!$A$13:$A$49,0),MATCH(Table3[[#Headers],[WEO]],Demand_Modeling!$A$13:$I$13,0))</f>
        <v>#N/A</v>
      </c>
      <c r="N340" s="19" t="e">
        <f>SUM(Table3[[#This Row],[OFC]:[WEO]])</f>
        <v>#N/A</v>
      </c>
      <c r="O340" s="19"/>
      <c r="Q340" s="3" t="str">
        <f>Table35[[#This Row],[Fiscal_Year]]*100+Table35[[#This Row],[Fiscal_Week]] &amp; "-" &amp;Table35[[#This Row],[Brand]]</f>
        <v>0-0</v>
      </c>
      <c r="R340" t="str">
        <f>Table3[[#This Row],[Key]]</f>
        <v>-</v>
      </c>
      <c r="S340">
        <f>Table3[[#This Row],[Fiscal_Year]]</f>
        <v>0</v>
      </c>
      <c r="T340">
        <f>Table3[[#This Row],[Fiscal_Week]]</f>
        <v>0</v>
      </c>
      <c r="U340">
        <f>Table3[[#This Row],[Brand]]</f>
        <v>0</v>
      </c>
      <c r="V340">
        <f>Table3[[#This Row],[Demand]]</f>
        <v>0</v>
      </c>
      <c r="W340" t="e">
        <f>Table3[[#This Row],[OFC]]*Table3[[#This Row],[Demand]]</f>
        <v>#N/A</v>
      </c>
      <c r="X340" t="e">
        <f>Table3[[#This Row],[TFC]]*Table3[[#This Row],[Demand]]</f>
        <v>#N/A</v>
      </c>
      <c r="Y340" t="e">
        <f>Table3[[#This Row],[WFC]]*Table3[[#This Row],[Demand]]</f>
        <v>#N/A</v>
      </c>
      <c r="Z340" t="e">
        <f>Table3[[#This Row],[EAO]]*Table3[[#This Row],[Demand]]</f>
        <v>#N/A</v>
      </c>
      <c r="AA340" t="e">
        <f>Table3[[#This Row],[OCC]]*Table3[[#This Row],[Demand]]</f>
        <v>#N/A</v>
      </c>
      <c r="AB340" t="e">
        <f>Table3[[#This Row],[WEO]]*Table3[[#This Row],[Demand]]</f>
        <v>#N/A</v>
      </c>
      <c r="AC340" s="19" t="e">
        <f>SUM(Table35[[#This Row],[OFC]:[WEO]])</f>
        <v>#N/A</v>
      </c>
      <c r="AD340" s="19" t="e">
        <f>Table35[[#This Row],[Demand]]-Table35[[#This Row],[Total_Modeled_Demand]]</f>
        <v>#N/A</v>
      </c>
    </row>
    <row r="341" spans="2:30" x14ac:dyDescent="0.3">
      <c r="B341" s="3" t="str">
        <f>Table3[[#This Row],[Fiscal_Year]]*100+Table3[[#This Row],[Fiscal_Week]] &amp; "-" &amp;Table3[[#This Row],[Brand]]</f>
        <v>0-</v>
      </c>
      <c r="C341" t="str">
        <f t="shared" si="5"/>
        <v>-</v>
      </c>
      <c r="H341" s="3" t="e">
        <f>INDEX(Demand_Modeling!$A$13:$I$49,MATCH(Table3[[#This Row],[Key]],Demand_Modeling!$A$13:$A$49,0),MATCH(Table3[[#Headers],[OFC]],Demand_Modeling!$A$13:$I$13,0))</f>
        <v>#N/A</v>
      </c>
      <c r="I341" s="3" t="e">
        <f>INDEX(Demand_Modeling!$A$13:$I$49,MATCH(Table3[[#This Row],[Key]],Demand_Modeling!$A$13:$A$49,0),MATCH(Table3[[#Headers],[TFC]],Demand_Modeling!$A$13:$I$13,0))</f>
        <v>#N/A</v>
      </c>
      <c r="J341" s="3" t="e">
        <f>INDEX(Demand_Modeling!$A$13:$I$49,MATCH(Table3[[#This Row],[Key]],Demand_Modeling!$A$13:$A$49,0),MATCH(Table3[[#Headers],[WFC]],Demand_Modeling!$A$13:$I$13,0))</f>
        <v>#N/A</v>
      </c>
      <c r="K341" s="3" t="e">
        <f>INDEX(Demand_Modeling!$A$13:$I$49,MATCH(Table3[[#This Row],[Key]],Demand_Modeling!$A$13:$A$49,0),MATCH(Table3[[#Headers],[EAO]],Demand_Modeling!$A$13:$I$13,0))</f>
        <v>#N/A</v>
      </c>
      <c r="L341" s="3" t="e">
        <f>INDEX(Demand_Modeling!$A$13:$I$49,MATCH(Table3[[#This Row],[Key]],Demand_Modeling!$A$13:$A$49,0),MATCH(Table3[[#Headers],[OCC]],Demand_Modeling!$A$13:$I$13,0))</f>
        <v>#N/A</v>
      </c>
      <c r="M341" s="3" t="e">
        <f>INDEX(Demand_Modeling!$A$13:$I$49,MATCH(Table3[[#This Row],[Key]],Demand_Modeling!$A$13:$A$49,0),MATCH(Table3[[#Headers],[WEO]],Demand_Modeling!$A$13:$I$13,0))</f>
        <v>#N/A</v>
      </c>
      <c r="N341" s="19" t="e">
        <f>SUM(Table3[[#This Row],[OFC]:[WEO]])</f>
        <v>#N/A</v>
      </c>
      <c r="O341" s="19"/>
      <c r="Q341" s="3" t="str">
        <f>Table35[[#This Row],[Fiscal_Year]]*100+Table35[[#This Row],[Fiscal_Week]] &amp; "-" &amp;Table35[[#This Row],[Brand]]</f>
        <v>0-0</v>
      </c>
      <c r="R341" t="str">
        <f>Table3[[#This Row],[Key]]</f>
        <v>-</v>
      </c>
      <c r="S341">
        <f>Table3[[#This Row],[Fiscal_Year]]</f>
        <v>0</v>
      </c>
      <c r="T341">
        <f>Table3[[#This Row],[Fiscal_Week]]</f>
        <v>0</v>
      </c>
      <c r="U341">
        <f>Table3[[#This Row],[Brand]]</f>
        <v>0</v>
      </c>
      <c r="V341">
        <f>Table3[[#This Row],[Demand]]</f>
        <v>0</v>
      </c>
      <c r="W341" t="e">
        <f>Table3[[#This Row],[OFC]]*Table3[[#This Row],[Demand]]</f>
        <v>#N/A</v>
      </c>
      <c r="X341" t="e">
        <f>Table3[[#This Row],[TFC]]*Table3[[#This Row],[Demand]]</f>
        <v>#N/A</v>
      </c>
      <c r="Y341" t="e">
        <f>Table3[[#This Row],[WFC]]*Table3[[#This Row],[Demand]]</f>
        <v>#N/A</v>
      </c>
      <c r="Z341" t="e">
        <f>Table3[[#This Row],[EAO]]*Table3[[#This Row],[Demand]]</f>
        <v>#N/A</v>
      </c>
      <c r="AA341" t="e">
        <f>Table3[[#This Row],[OCC]]*Table3[[#This Row],[Demand]]</f>
        <v>#N/A</v>
      </c>
      <c r="AB341" t="e">
        <f>Table3[[#This Row],[WEO]]*Table3[[#This Row],[Demand]]</f>
        <v>#N/A</v>
      </c>
      <c r="AC341" s="19" t="e">
        <f>SUM(Table35[[#This Row],[OFC]:[WEO]])</f>
        <v>#N/A</v>
      </c>
      <c r="AD341" s="19" t="e">
        <f>Table35[[#This Row],[Demand]]-Table35[[#This Row],[Total_Modeled_Demand]]</f>
        <v>#N/A</v>
      </c>
    </row>
    <row r="342" spans="2:30" x14ac:dyDescent="0.3">
      <c r="B342" s="3" t="str">
        <f>Table3[[#This Row],[Fiscal_Year]]*100+Table3[[#This Row],[Fiscal_Week]] &amp; "-" &amp;Table3[[#This Row],[Brand]]</f>
        <v>0-</v>
      </c>
      <c r="C342" t="str">
        <f t="shared" si="5"/>
        <v>-</v>
      </c>
      <c r="H342" s="3" t="e">
        <f>INDEX(Demand_Modeling!$A$13:$I$49,MATCH(Table3[[#This Row],[Key]],Demand_Modeling!$A$13:$A$49,0),MATCH(Table3[[#Headers],[OFC]],Demand_Modeling!$A$13:$I$13,0))</f>
        <v>#N/A</v>
      </c>
      <c r="I342" s="3" t="e">
        <f>INDEX(Demand_Modeling!$A$13:$I$49,MATCH(Table3[[#This Row],[Key]],Demand_Modeling!$A$13:$A$49,0),MATCH(Table3[[#Headers],[TFC]],Demand_Modeling!$A$13:$I$13,0))</f>
        <v>#N/A</v>
      </c>
      <c r="J342" s="3" t="e">
        <f>INDEX(Demand_Modeling!$A$13:$I$49,MATCH(Table3[[#This Row],[Key]],Demand_Modeling!$A$13:$A$49,0),MATCH(Table3[[#Headers],[WFC]],Demand_Modeling!$A$13:$I$13,0))</f>
        <v>#N/A</v>
      </c>
      <c r="K342" s="3" t="e">
        <f>INDEX(Demand_Modeling!$A$13:$I$49,MATCH(Table3[[#This Row],[Key]],Demand_Modeling!$A$13:$A$49,0),MATCH(Table3[[#Headers],[EAO]],Demand_Modeling!$A$13:$I$13,0))</f>
        <v>#N/A</v>
      </c>
      <c r="L342" s="3" t="e">
        <f>INDEX(Demand_Modeling!$A$13:$I$49,MATCH(Table3[[#This Row],[Key]],Demand_Modeling!$A$13:$A$49,0),MATCH(Table3[[#Headers],[OCC]],Demand_Modeling!$A$13:$I$13,0))</f>
        <v>#N/A</v>
      </c>
      <c r="M342" s="3" t="e">
        <f>INDEX(Demand_Modeling!$A$13:$I$49,MATCH(Table3[[#This Row],[Key]],Demand_Modeling!$A$13:$A$49,0),MATCH(Table3[[#Headers],[WEO]],Demand_Modeling!$A$13:$I$13,0))</f>
        <v>#N/A</v>
      </c>
      <c r="N342" s="19" t="e">
        <f>SUM(Table3[[#This Row],[OFC]:[WEO]])</f>
        <v>#N/A</v>
      </c>
      <c r="O342" s="19"/>
      <c r="Q342" s="3" t="str">
        <f>Table35[[#This Row],[Fiscal_Year]]*100+Table35[[#This Row],[Fiscal_Week]] &amp; "-" &amp;Table35[[#This Row],[Brand]]</f>
        <v>0-0</v>
      </c>
      <c r="R342" t="str">
        <f>Table3[[#This Row],[Key]]</f>
        <v>-</v>
      </c>
      <c r="S342">
        <f>Table3[[#This Row],[Fiscal_Year]]</f>
        <v>0</v>
      </c>
      <c r="T342">
        <f>Table3[[#This Row],[Fiscal_Week]]</f>
        <v>0</v>
      </c>
      <c r="U342">
        <f>Table3[[#This Row],[Brand]]</f>
        <v>0</v>
      </c>
      <c r="V342">
        <f>Table3[[#This Row],[Demand]]</f>
        <v>0</v>
      </c>
      <c r="W342" t="e">
        <f>Table3[[#This Row],[OFC]]*Table3[[#This Row],[Demand]]</f>
        <v>#N/A</v>
      </c>
      <c r="X342" t="e">
        <f>Table3[[#This Row],[TFC]]*Table3[[#This Row],[Demand]]</f>
        <v>#N/A</v>
      </c>
      <c r="Y342" t="e">
        <f>Table3[[#This Row],[WFC]]*Table3[[#This Row],[Demand]]</f>
        <v>#N/A</v>
      </c>
      <c r="Z342" t="e">
        <f>Table3[[#This Row],[EAO]]*Table3[[#This Row],[Demand]]</f>
        <v>#N/A</v>
      </c>
      <c r="AA342" t="e">
        <f>Table3[[#This Row],[OCC]]*Table3[[#This Row],[Demand]]</f>
        <v>#N/A</v>
      </c>
      <c r="AB342" t="e">
        <f>Table3[[#This Row],[WEO]]*Table3[[#This Row],[Demand]]</f>
        <v>#N/A</v>
      </c>
      <c r="AC342" s="19" t="e">
        <f>SUM(Table35[[#This Row],[OFC]:[WEO]])</f>
        <v>#N/A</v>
      </c>
      <c r="AD342" s="19" t="e">
        <f>Table35[[#This Row],[Demand]]-Table35[[#This Row],[Total_Modeled_Demand]]</f>
        <v>#N/A</v>
      </c>
    </row>
    <row r="343" spans="2:30" x14ac:dyDescent="0.3">
      <c r="B343" s="3" t="str">
        <f>Table3[[#This Row],[Fiscal_Year]]*100+Table3[[#This Row],[Fiscal_Week]] &amp; "-" &amp;Table3[[#This Row],[Brand]]</f>
        <v>0-</v>
      </c>
      <c r="C343" t="str">
        <f t="shared" si="5"/>
        <v>-</v>
      </c>
      <c r="H343" s="3" t="e">
        <f>INDEX(Demand_Modeling!$A$13:$I$49,MATCH(Table3[[#This Row],[Key]],Demand_Modeling!$A$13:$A$49,0),MATCH(Table3[[#Headers],[OFC]],Demand_Modeling!$A$13:$I$13,0))</f>
        <v>#N/A</v>
      </c>
      <c r="I343" s="3" t="e">
        <f>INDEX(Demand_Modeling!$A$13:$I$49,MATCH(Table3[[#This Row],[Key]],Demand_Modeling!$A$13:$A$49,0),MATCH(Table3[[#Headers],[TFC]],Demand_Modeling!$A$13:$I$13,0))</f>
        <v>#N/A</v>
      </c>
      <c r="J343" s="3" t="e">
        <f>INDEX(Demand_Modeling!$A$13:$I$49,MATCH(Table3[[#This Row],[Key]],Demand_Modeling!$A$13:$A$49,0),MATCH(Table3[[#Headers],[WFC]],Demand_Modeling!$A$13:$I$13,0))</f>
        <v>#N/A</v>
      </c>
      <c r="K343" s="3" t="e">
        <f>INDEX(Demand_Modeling!$A$13:$I$49,MATCH(Table3[[#This Row],[Key]],Demand_Modeling!$A$13:$A$49,0),MATCH(Table3[[#Headers],[EAO]],Demand_Modeling!$A$13:$I$13,0))</f>
        <v>#N/A</v>
      </c>
      <c r="L343" s="3" t="e">
        <f>INDEX(Demand_Modeling!$A$13:$I$49,MATCH(Table3[[#This Row],[Key]],Demand_Modeling!$A$13:$A$49,0),MATCH(Table3[[#Headers],[OCC]],Demand_Modeling!$A$13:$I$13,0))</f>
        <v>#N/A</v>
      </c>
      <c r="M343" s="3" t="e">
        <f>INDEX(Demand_Modeling!$A$13:$I$49,MATCH(Table3[[#This Row],[Key]],Demand_Modeling!$A$13:$A$49,0),MATCH(Table3[[#Headers],[WEO]],Demand_Modeling!$A$13:$I$13,0))</f>
        <v>#N/A</v>
      </c>
      <c r="N343" s="19" t="e">
        <f>SUM(Table3[[#This Row],[OFC]:[WEO]])</f>
        <v>#N/A</v>
      </c>
      <c r="O343" s="19"/>
      <c r="Q343" s="3" t="str">
        <f>Table35[[#This Row],[Fiscal_Year]]*100+Table35[[#This Row],[Fiscal_Week]] &amp; "-" &amp;Table35[[#This Row],[Brand]]</f>
        <v>0-0</v>
      </c>
      <c r="R343" t="str">
        <f>Table3[[#This Row],[Key]]</f>
        <v>-</v>
      </c>
      <c r="S343">
        <f>Table3[[#This Row],[Fiscal_Year]]</f>
        <v>0</v>
      </c>
      <c r="T343">
        <f>Table3[[#This Row],[Fiscal_Week]]</f>
        <v>0</v>
      </c>
      <c r="U343">
        <f>Table3[[#This Row],[Brand]]</f>
        <v>0</v>
      </c>
      <c r="V343">
        <f>Table3[[#This Row],[Demand]]</f>
        <v>0</v>
      </c>
      <c r="W343" t="e">
        <f>Table3[[#This Row],[OFC]]*Table3[[#This Row],[Demand]]</f>
        <v>#N/A</v>
      </c>
      <c r="X343" t="e">
        <f>Table3[[#This Row],[TFC]]*Table3[[#This Row],[Demand]]</f>
        <v>#N/A</v>
      </c>
      <c r="Y343" t="e">
        <f>Table3[[#This Row],[WFC]]*Table3[[#This Row],[Demand]]</f>
        <v>#N/A</v>
      </c>
      <c r="Z343" t="e">
        <f>Table3[[#This Row],[EAO]]*Table3[[#This Row],[Demand]]</f>
        <v>#N/A</v>
      </c>
      <c r="AA343" t="e">
        <f>Table3[[#This Row],[OCC]]*Table3[[#This Row],[Demand]]</f>
        <v>#N/A</v>
      </c>
      <c r="AB343" t="e">
        <f>Table3[[#This Row],[WEO]]*Table3[[#This Row],[Demand]]</f>
        <v>#N/A</v>
      </c>
      <c r="AC343" s="19" t="e">
        <f>SUM(Table35[[#This Row],[OFC]:[WEO]])</f>
        <v>#N/A</v>
      </c>
      <c r="AD343" s="19" t="e">
        <f>Table35[[#This Row],[Demand]]-Table35[[#This Row],[Total_Modeled_Demand]]</f>
        <v>#N/A</v>
      </c>
    </row>
    <row r="344" spans="2:30" x14ac:dyDescent="0.3">
      <c r="B344" s="3" t="str">
        <f>Table3[[#This Row],[Fiscal_Year]]*100+Table3[[#This Row],[Fiscal_Week]] &amp; "-" &amp;Table3[[#This Row],[Brand]]</f>
        <v>0-</v>
      </c>
      <c r="C344" t="str">
        <f t="shared" si="5"/>
        <v>-</v>
      </c>
      <c r="H344" s="3" t="e">
        <f>INDEX(Demand_Modeling!$A$13:$I$49,MATCH(Table3[[#This Row],[Key]],Demand_Modeling!$A$13:$A$49,0),MATCH(Table3[[#Headers],[OFC]],Demand_Modeling!$A$13:$I$13,0))</f>
        <v>#N/A</v>
      </c>
      <c r="I344" s="3" t="e">
        <f>INDEX(Demand_Modeling!$A$13:$I$49,MATCH(Table3[[#This Row],[Key]],Demand_Modeling!$A$13:$A$49,0),MATCH(Table3[[#Headers],[TFC]],Demand_Modeling!$A$13:$I$13,0))</f>
        <v>#N/A</v>
      </c>
      <c r="J344" s="3" t="e">
        <f>INDEX(Demand_Modeling!$A$13:$I$49,MATCH(Table3[[#This Row],[Key]],Demand_Modeling!$A$13:$A$49,0),MATCH(Table3[[#Headers],[WFC]],Demand_Modeling!$A$13:$I$13,0))</f>
        <v>#N/A</v>
      </c>
      <c r="K344" s="3" t="e">
        <f>INDEX(Demand_Modeling!$A$13:$I$49,MATCH(Table3[[#This Row],[Key]],Demand_Modeling!$A$13:$A$49,0),MATCH(Table3[[#Headers],[EAO]],Demand_Modeling!$A$13:$I$13,0))</f>
        <v>#N/A</v>
      </c>
      <c r="L344" s="3" t="e">
        <f>INDEX(Demand_Modeling!$A$13:$I$49,MATCH(Table3[[#This Row],[Key]],Demand_Modeling!$A$13:$A$49,0),MATCH(Table3[[#Headers],[OCC]],Demand_Modeling!$A$13:$I$13,0))</f>
        <v>#N/A</v>
      </c>
      <c r="M344" s="3" t="e">
        <f>INDEX(Demand_Modeling!$A$13:$I$49,MATCH(Table3[[#This Row],[Key]],Demand_Modeling!$A$13:$A$49,0),MATCH(Table3[[#Headers],[WEO]],Demand_Modeling!$A$13:$I$13,0))</f>
        <v>#N/A</v>
      </c>
      <c r="N344" s="19" t="e">
        <f>SUM(Table3[[#This Row],[OFC]:[WEO]])</f>
        <v>#N/A</v>
      </c>
      <c r="O344" s="19"/>
      <c r="Q344" s="3" t="str">
        <f>Table35[[#This Row],[Fiscal_Year]]*100+Table35[[#This Row],[Fiscal_Week]] &amp; "-" &amp;Table35[[#This Row],[Brand]]</f>
        <v>0-0</v>
      </c>
      <c r="R344" t="str">
        <f>Table3[[#This Row],[Key]]</f>
        <v>-</v>
      </c>
      <c r="S344">
        <f>Table3[[#This Row],[Fiscal_Year]]</f>
        <v>0</v>
      </c>
      <c r="T344">
        <f>Table3[[#This Row],[Fiscal_Week]]</f>
        <v>0</v>
      </c>
      <c r="U344">
        <f>Table3[[#This Row],[Brand]]</f>
        <v>0</v>
      </c>
      <c r="V344">
        <f>Table3[[#This Row],[Demand]]</f>
        <v>0</v>
      </c>
      <c r="W344" t="e">
        <f>Table3[[#This Row],[OFC]]*Table3[[#This Row],[Demand]]</f>
        <v>#N/A</v>
      </c>
      <c r="X344" t="e">
        <f>Table3[[#This Row],[TFC]]*Table3[[#This Row],[Demand]]</f>
        <v>#N/A</v>
      </c>
      <c r="Y344" t="e">
        <f>Table3[[#This Row],[WFC]]*Table3[[#This Row],[Demand]]</f>
        <v>#N/A</v>
      </c>
      <c r="Z344" t="e">
        <f>Table3[[#This Row],[EAO]]*Table3[[#This Row],[Demand]]</f>
        <v>#N/A</v>
      </c>
      <c r="AA344" t="e">
        <f>Table3[[#This Row],[OCC]]*Table3[[#This Row],[Demand]]</f>
        <v>#N/A</v>
      </c>
      <c r="AB344" t="e">
        <f>Table3[[#This Row],[WEO]]*Table3[[#This Row],[Demand]]</f>
        <v>#N/A</v>
      </c>
      <c r="AC344" s="19" t="e">
        <f>SUM(Table35[[#This Row],[OFC]:[WEO]])</f>
        <v>#N/A</v>
      </c>
      <c r="AD344" s="19" t="e">
        <f>Table35[[#This Row],[Demand]]-Table35[[#This Row],[Total_Modeled_Demand]]</f>
        <v>#N/A</v>
      </c>
    </row>
    <row r="345" spans="2:30" x14ac:dyDescent="0.3">
      <c r="B345" s="3" t="str">
        <f>Table3[[#This Row],[Fiscal_Year]]*100+Table3[[#This Row],[Fiscal_Week]] &amp; "-" &amp;Table3[[#This Row],[Brand]]</f>
        <v>0-</v>
      </c>
      <c r="C345" t="str">
        <f t="shared" si="5"/>
        <v>-</v>
      </c>
      <c r="H345" s="3" t="e">
        <f>INDEX(Demand_Modeling!$A$13:$I$49,MATCH(Table3[[#This Row],[Key]],Demand_Modeling!$A$13:$A$49,0),MATCH(Table3[[#Headers],[OFC]],Demand_Modeling!$A$13:$I$13,0))</f>
        <v>#N/A</v>
      </c>
      <c r="I345" s="3" t="e">
        <f>INDEX(Demand_Modeling!$A$13:$I$49,MATCH(Table3[[#This Row],[Key]],Demand_Modeling!$A$13:$A$49,0),MATCH(Table3[[#Headers],[TFC]],Demand_Modeling!$A$13:$I$13,0))</f>
        <v>#N/A</v>
      </c>
      <c r="J345" s="3" t="e">
        <f>INDEX(Demand_Modeling!$A$13:$I$49,MATCH(Table3[[#This Row],[Key]],Demand_Modeling!$A$13:$A$49,0),MATCH(Table3[[#Headers],[WFC]],Demand_Modeling!$A$13:$I$13,0))</f>
        <v>#N/A</v>
      </c>
      <c r="K345" s="3" t="e">
        <f>INDEX(Demand_Modeling!$A$13:$I$49,MATCH(Table3[[#This Row],[Key]],Demand_Modeling!$A$13:$A$49,0),MATCH(Table3[[#Headers],[EAO]],Demand_Modeling!$A$13:$I$13,0))</f>
        <v>#N/A</v>
      </c>
      <c r="L345" s="3" t="e">
        <f>INDEX(Demand_Modeling!$A$13:$I$49,MATCH(Table3[[#This Row],[Key]],Demand_Modeling!$A$13:$A$49,0),MATCH(Table3[[#Headers],[OCC]],Demand_Modeling!$A$13:$I$13,0))</f>
        <v>#N/A</v>
      </c>
      <c r="M345" s="3" t="e">
        <f>INDEX(Demand_Modeling!$A$13:$I$49,MATCH(Table3[[#This Row],[Key]],Demand_Modeling!$A$13:$A$49,0),MATCH(Table3[[#Headers],[WEO]],Demand_Modeling!$A$13:$I$13,0))</f>
        <v>#N/A</v>
      </c>
      <c r="N345" s="19" t="e">
        <f>SUM(Table3[[#This Row],[OFC]:[WEO]])</f>
        <v>#N/A</v>
      </c>
      <c r="O345" s="19"/>
      <c r="Q345" s="3" t="str">
        <f>Table35[[#This Row],[Fiscal_Year]]*100+Table35[[#This Row],[Fiscal_Week]] &amp; "-" &amp;Table35[[#This Row],[Brand]]</f>
        <v>0-0</v>
      </c>
      <c r="R345" t="str">
        <f>Table3[[#This Row],[Key]]</f>
        <v>-</v>
      </c>
      <c r="S345">
        <f>Table3[[#This Row],[Fiscal_Year]]</f>
        <v>0</v>
      </c>
      <c r="T345">
        <f>Table3[[#This Row],[Fiscal_Week]]</f>
        <v>0</v>
      </c>
      <c r="U345">
        <f>Table3[[#This Row],[Brand]]</f>
        <v>0</v>
      </c>
      <c r="V345">
        <f>Table3[[#This Row],[Demand]]</f>
        <v>0</v>
      </c>
      <c r="W345" t="e">
        <f>Table3[[#This Row],[OFC]]*Table3[[#This Row],[Demand]]</f>
        <v>#N/A</v>
      </c>
      <c r="X345" t="e">
        <f>Table3[[#This Row],[TFC]]*Table3[[#This Row],[Demand]]</f>
        <v>#N/A</v>
      </c>
      <c r="Y345" t="e">
        <f>Table3[[#This Row],[WFC]]*Table3[[#This Row],[Demand]]</f>
        <v>#N/A</v>
      </c>
      <c r="Z345" t="e">
        <f>Table3[[#This Row],[EAO]]*Table3[[#This Row],[Demand]]</f>
        <v>#N/A</v>
      </c>
      <c r="AA345" t="e">
        <f>Table3[[#This Row],[OCC]]*Table3[[#This Row],[Demand]]</f>
        <v>#N/A</v>
      </c>
      <c r="AB345" t="e">
        <f>Table3[[#This Row],[WEO]]*Table3[[#This Row],[Demand]]</f>
        <v>#N/A</v>
      </c>
      <c r="AC345" s="19" t="e">
        <f>SUM(Table35[[#This Row],[OFC]:[WEO]])</f>
        <v>#N/A</v>
      </c>
      <c r="AD345" s="19" t="e">
        <f>Table35[[#This Row],[Demand]]-Table35[[#This Row],[Total_Modeled_Demand]]</f>
        <v>#N/A</v>
      </c>
    </row>
    <row r="346" spans="2:30" x14ac:dyDescent="0.3">
      <c r="B346" s="3" t="str">
        <f>Table3[[#This Row],[Fiscal_Year]]*100+Table3[[#This Row],[Fiscal_Week]] &amp; "-" &amp;Table3[[#This Row],[Brand]]</f>
        <v>0-</v>
      </c>
      <c r="C346" t="str">
        <f t="shared" si="5"/>
        <v>-</v>
      </c>
      <c r="H346" s="3" t="e">
        <f>INDEX(Demand_Modeling!$A$13:$I$49,MATCH(Table3[[#This Row],[Key]],Demand_Modeling!$A$13:$A$49,0),MATCH(Table3[[#Headers],[OFC]],Demand_Modeling!$A$13:$I$13,0))</f>
        <v>#N/A</v>
      </c>
      <c r="I346" s="3" t="e">
        <f>INDEX(Demand_Modeling!$A$13:$I$49,MATCH(Table3[[#This Row],[Key]],Demand_Modeling!$A$13:$A$49,0),MATCH(Table3[[#Headers],[TFC]],Demand_Modeling!$A$13:$I$13,0))</f>
        <v>#N/A</v>
      </c>
      <c r="J346" s="3" t="e">
        <f>INDEX(Demand_Modeling!$A$13:$I$49,MATCH(Table3[[#This Row],[Key]],Demand_Modeling!$A$13:$A$49,0),MATCH(Table3[[#Headers],[WFC]],Demand_Modeling!$A$13:$I$13,0))</f>
        <v>#N/A</v>
      </c>
      <c r="K346" s="3" t="e">
        <f>INDEX(Demand_Modeling!$A$13:$I$49,MATCH(Table3[[#This Row],[Key]],Demand_Modeling!$A$13:$A$49,0),MATCH(Table3[[#Headers],[EAO]],Demand_Modeling!$A$13:$I$13,0))</f>
        <v>#N/A</v>
      </c>
      <c r="L346" s="3" t="e">
        <f>INDEX(Demand_Modeling!$A$13:$I$49,MATCH(Table3[[#This Row],[Key]],Demand_Modeling!$A$13:$A$49,0),MATCH(Table3[[#Headers],[OCC]],Demand_Modeling!$A$13:$I$13,0))</f>
        <v>#N/A</v>
      </c>
      <c r="M346" s="3" t="e">
        <f>INDEX(Demand_Modeling!$A$13:$I$49,MATCH(Table3[[#This Row],[Key]],Demand_Modeling!$A$13:$A$49,0),MATCH(Table3[[#Headers],[WEO]],Demand_Modeling!$A$13:$I$13,0))</f>
        <v>#N/A</v>
      </c>
      <c r="N346" s="19" t="e">
        <f>SUM(Table3[[#This Row],[OFC]:[WEO]])</f>
        <v>#N/A</v>
      </c>
      <c r="O346" s="19"/>
      <c r="Q346" s="3" t="str">
        <f>Table35[[#This Row],[Fiscal_Year]]*100+Table35[[#This Row],[Fiscal_Week]] &amp; "-" &amp;Table35[[#This Row],[Brand]]</f>
        <v>0-0</v>
      </c>
      <c r="R346" t="str">
        <f>Table3[[#This Row],[Key]]</f>
        <v>-</v>
      </c>
      <c r="S346">
        <f>Table3[[#This Row],[Fiscal_Year]]</f>
        <v>0</v>
      </c>
      <c r="T346">
        <f>Table3[[#This Row],[Fiscal_Week]]</f>
        <v>0</v>
      </c>
      <c r="U346">
        <f>Table3[[#This Row],[Brand]]</f>
        <v>0</v>
      </c>
      <c r="V346">
        <f>Table3[[#This Row],[Demand]]</f>
        <v>0</v>
      </c>
      <c r="W346" t="e">
        <f>Table3[[#This Row],[OFC]]*Table3[[#This Row],[Demand]]</f>
        <v>#N/A</v>
      </c>
      <c r="X346" t="e">
        <f>Table3[[#This Row],[TFC]]*Table3[[#This Row],[Demand]]</f>
        <v>#N/A</v>
      </c>
      <c r="Y346" t="e">
        <f>Table3[[#This Row],[WFC]]*Table3[[#This Row],[Demand]]</f>
        <v>#N/A</v>
      </c>
      <c r="Z346" t="e">
        <f>Table3[[#This Row],[EAO]]*Table3[[#This Row],[Demand]]</f>
        <v>#N/A</v>
      </c>
      <c r="AA346" t="e">
        <f>Table3[[#This Row],[OCC]]*Table3[[#This Row],[Demand]]</f>
        <v>#N/A</v>
      </c>
      <c r="AB346" t="e">
        <f>Table3[[#This Row],[WEO]]*Table3[[#This Row],[Demand]]</f>
        <v>#N/A</v>
      </c>
      <c r="AC346" s="19" t="e">
        <f>SUM(Table35[[#This Row],[OFC]:[WEO]])</f>
        <v>#N/A</v>
      </c>
      <c r="AD346" s="19" t="e">
        <f>Table35[[#This Row],[Demand]]-Table35[[#This Row],[Total_Modeled_Demand]]</f>
        <v>#N/A</v>
      </c>
    </row>
    <row r="347" spans="2:30" x14ac:dyDescent="0.3">
      <c r="B347" s="3" t="str">
        <f>Table3[[#This Row],[Fiscal_Year]]*100+Table3[[#This Row],[Fiscal_Week]] &amp; "-" &amp;Table3[[#This Row],[Brand]]</f>
        <v>0-</v>
      </c>
      <c r="C347" t="str">
        <f t="shared" si="5"/>
        <v>-</v>
      </c>
      <c r="H347" s="3" t="e">
        <f>INDEX(Demand_Modeling!$A$13:$I$49,MATCH(Table3[[#This Row],[Key]],Demand_Modeling!$A$13:$A$49,0),MATCH(Table3[[#Headers],[OFC]],Demand_Modeling!$A$13:$I$13,0))</f>
        <v>#N/A</v>
      </c>
      <c r="I347" s="3" t="e">
        <f>INDEX(Demand_Modeling!$A$13:$I$49,MATCH(Table3[[#This Row],[Key]],Demand_Modeling!$A$13:$A$49,0),MATCH(Table3[[#Headers],[TFC]],Demand_Modeling!$A$13:$I$13,0))</f>
        <v>#N/A</v>
      </c>
      <c r="J347" s="3" t="e">
        <f>INDEX(Demand_Modeling!$A$13:$I$49,MATCH(Table3[[#This Row],[Key]],Demand_Modeling!$A$13:$A$49,0),MATCH(Table3[[#Headers],[WFC]],Demand_Modeling!$A$13:$I$13,0))</f>
        <v>#N/A</v>
      </c>
      <c r="K347" s="3" t="e">
        <f>INDEX(Demand_Modeling!$A$13:$I$49,MATCH(Table3[[#This Row],[Key]],Demand_Modeling!$A$13:$A$49,0),MATCH(Table3[[#Headers],[EAO]],Demand_Modeling!$A$13:$I$13,0))</f>
        <v>#N/A</v>
      </c>
      <c r="L347" s="3" t="e">
        <f>INDEX(Demand_Modeling!$A$13:$I$49,MATCH(Table3[[#This Row],[Key]],Demand_Modeling!$A$13:$A$49,0),MATCH(Table3[[#Headers],[OCC]],Demand_Modeling!$A$13:$I$13,0))</f>
        <v>#N/A</v>
      </c>
      <c r="M347" s="3" t="e">
        <f>INDEX(Demand_Modeling!$A$13:$I$49,MATCH(Table3[[#This Row],[Key]],Demand_Modeling!$A$13:$A$49,0),MATCH(Table3[[#Headers],[WEO]],Demand_Modeling!$A$13:$I$13,0))</f>
        <v>#N/A</v>
      </c>
      <c r="N347" s="19" t="e">
        <f>SUM(Table3[[#This Row],[OFC]:[WEO]])</f>
        <v>#N/A</v>
      </c>
      <c r="O347" s="19"/>
      <c r="Q347" s="3" t="str">
        <f>Table35[[#This Row],[Fiscal_Year]]*100+Table35[[#This Row],[Fiscal_Week]] &amp; "-" &amp;Table35[[#This Row],[Brand]]</f>
        <v>0-0</v>
      </c>
      <c r="R347" t="str">
        <f>Table3[[#This Row],[Key]]</f>
        <v>-</v>
      </c>
      <c r="S347">
        <f>Table3[[#This Row],[Fiscal_Year]]</f>
        <v>0</v>
      </c>
      <c r="T347">
        <f>Table3[[#This Row],[Fiscal_Week]]</f>
        <v>0</v>
      </c>
      <c r="U347">
        <f>Table3[[#This Row],[Brand]]</f>
        <v>0</v>
      </c>
      <c r="V347">
        <f>Table3[[#This Row],[Demand]]</f>
        <v>0</v>
      </c>
      <c r="W347" t="e">
        <f>Table3[[#This Row],[OFC]]*Table3[[#This Row],[Demand]]</f>
        <v>#N/A</v>
      </c>
      <c r="X347" t="e">
        <f>Table3[[#This Row],[TFC]]*Table3[[#This Row],[Demand]]</f>
        <v>#N/A</v>
      </c>
      <c r="Y347" t="e">
        <f>Table3[[#This Row],[WFC]]*Table3[[#This Row],[Demand]]</f>
        <v>#N/A</v>
      </c>
      <c r="Z347" t="e">
        <f>Table3[[#This Row],[EAO]]*Table3[[#This Row],[Demand]]</f>
        <v>#N/A</v>
      </c>
      <c r="AA347" t="e">
        <f>Table3[[#This Row],[OCC]]*Table3[[#This Row],[Demand]]</f>
        <v>#N/A</v>
      </c>
      <c r="AB347" t="e">
        <f>Table3[[#This Row],[WEO]]*Table3[[#This Row],[Demand]]</f>
        <v>#N/A</v>
      </c>
      <c r="AC347" s="19" t="e">
        <f>SUM(Table35[[#This Row],[OFC]:[WEO]])</f>
        <v>#N/A</v>
      </c>
      <c r="AD347" s="19" t="e">
        <f>Table35[[#This Row],[Demand]]-Table35[[#This Row],[Total_Modeled_Demand]]</f>
        <v>#N/A</v>
      </c>
    </row>
    <row r="348" spans="2:30" x14ac:dyDescent="0.3">
      <c r="B348" s="3" t="str">
        <f>Table3[[#This Row],[Fiscal_Year]]*100+Table3[[#This Row],[Fiscal_Week]] &amp; "-" &amp;Table3[[#This Row],[Brand]]</f>
        <v>0-</v>
      </c>
      <c r="C348" t="str">
        <f t="shared" si="5"/>
        <v>-</v>
      </c>
      <c r="H348" s="3" t="e">
        <f>INDEX(Demand_Modeling!$A$13:$I$49,MATCH(Table3[[#This Row],[Key]],Demand_Modeling!$A$13:$A$49,0),MATCH(Table3[[#Headers],[OFC]],Demand_Modeling!$A$13:$I$13,0))</f>
        <v>#N/A</v>
      </c>
      <c r="I348" s="3" t="e">
        <f>INDEX(Demand_Modeling!$A$13:$I$49,MATCH(Table3[[#This Row],[Key]],Demand_Modeling!$A$13:$A$49,0),MATCH(Table3[[#Headers],[TFC]],Demand_Modeling!$A$13:$I$13,0))</f>
        <v>#N/A</v>
      </c>
      <c r="J348" s="3" t="e">
        <f>INDEX(Demand_Modeling!$A$13:$I$49,MATCH(Table3[[#This Row],[Key]],Demand_Modeling!$A$13:$A$49,0),MATCH(Table3[[#Headers],[WFC]],Demand_Modeling!$A$13:$I$13,0))</f>
        <v>#N/A</v>
      </c>
      <c r="K348" s="3" t="e">
        <f>INDEX(Demand_Modeling!$A$13:$I$49,MATCH(Table3[[#This Row],[Key]],Demand_Modeling!$A$13:$A$49,0),MATCH(Table3[[#Headers],[EAO]],Demand_Modeling!$A$13:$I$13,0))</f>
        <v>#N/A</v>
      </c>
      <c r="L348" s="3" t="e">
        <f>INDEX(Demand_Modeling!$A$13:$I$49,MATCH(Table3[[#This Row],[Key]],Demand_Modeling!$A$13:$A$49,0),MATCH(Table3[[#Headers],[OCC]],Demand_Modeling!$A$13:$I$13,0))</f>
        <v>#N/A</v>
      </c>
      <c r="M348" s="3" t="e">
        <f>INDEX(Demand_Modeling!$A$13:$I$49,MATCH(Table3[[#This Row],[Key]],Demand_Modeling!$A$13:$A$49,0),MATCH(Table3[[#Headers],[WEO]],Demand_Modeling!$A$13:$I$13,0))</f>
        <v>#N/A</v>
      </c>
      <c r="N348" s="19" t="e">
        <f>SUM(Table3[[#This Row],[OFC]:[WEO]])</f>
        <v>#N/A</v>
      </c>
      <c r="O348" s="19"/>
      <c r="Q348" s="3" t="str">
        <f>Table35[[#This Row],[Fiscal_Year]]*100+Table35[[#This Row],[Fiscal_Week]] &amp; "-" &amp;Table35[[#This Row],[Brand]]</f>
        <v>0-0</v>
      </c>
      <c r="R348" t="str">
        <f>Table3[[#This Row],[Key]]</f>
        <v>-</v>
      </c>
      <c r="S348">
        <f>Table3[[#This Row],[Fiscal_Year]]</f>
        <v>0</v>
      </c>
      <c r="T348">
        <f>Table3[[#This Row],[Fiscal_Week]]</f>
        <v>0</v>
      </c>
      <c r="U348">
        <f>Table3[[#This Row],[Brand]]</f>
        <v>0</v>
      </c>
      <c r="V348">
        <f>Table3[[#This Row],[Demand]]</f>
        <v>0</v>
      </c>
      <c r="W348" t="e">
        <f>Table3[[#This Row],[OFC]]*Table3[[#This Row],[Demand]]</f>
        <v>#N/A</v>
      </c>
      <c r="X348" t="e">
        <f>Table3[[#This Row],[TFC]]*Table3[[#This Row],[Demand]]</f>
        <v>#N/A</v>
      </c>
      <c r="Y348" t="e">
        <f>Table3[[#This Row],[WFC]]*Table3[[#This Row],[Demand]]</f>
        <v>#N/A</v>
      </c>
      <c r="Z348" t="e">
        <f>Table3[[#This Row],[EAO]]*Table3[[#This Row],[Demand]]</f>
        <v>#N/A</v>
      </c>
      <c r="AA348" t="e">
        <f>Table3[[#This Row],[OCC]]*Table3[[#This Row],[Demand]]</f>
        <v>#N/A</v>
      </c>
      <c r="AB348" t="e">
        <f>Table3[[#This Row],[WEO]]*Table3[[#This Row],[Demand]]</f>
        <v>#N/A</v>
      </c>
      <c r="AC348" s="19" t="e">
        <f>SUM(Table35[[#This Row],[OFC]:[WEO]])</f>
        <v>#N/A</v>
      </c>
      <c r="AD348" s="19" t="e">
        <f>Table35[[#This Row],[Demand]]-Table35[[#This Row],[Total_Modeled_Demand]]</f>
        <v>#N/A</v>
      </c>
    </row>
    <row r="349" spans="2:30" x14ac:dyDescent="0.3">
      <c r="B349" s="3" t="str">
        <f>Table3[[#This Row],[Fiscal_Year]]*100+Table3[[#This Row],[Fiscal_Week]] &amp; "-" &amp;Table3[[#This Row],[Brand]]</f>
        <v>0-</v>
      </c>
      <c r="C349" t="str">
        <f t="shared" si="5"/>
        <v>-</v>
      </c>
      <c r="H349" s="3" t="e">
        <f>INDEX(Demand_Modeling!$A$13:$I$49,MATCH(Table3[[#This Row],[Key]],Demand_Modeling!$A$13:$A$49,0),MATCH(Table3[[#Headers],[OFC]],Demand_Modeling!$A$13:$I$13,0))</f>
        <v>#N/A</v>
      </c>
      <c r="I349" s="3" t="e">
        <f>INDEX(Demand_Modeling!$A$13:$I$49,MATCH(Table3[[#This Row],[Key]],Demand_Modeling!$A$13:$A$49,0),MATCH(Table3[[#Headers],[TFC]],Demand_Modeling!$A$13:$I$13,0))</f>
        <v>#N/A</v>
      </c>
      <c r="J349" s="3" t="e">
        <f>INDEX(Demand_Modeling!$A$13:$I$49,MATCH(Table3[[#This Row],[Key]],Demand_Modeling!$A$13:$A$49,0),MATCH(Table3[[#Headers],[WFC]],Demand_Modeling!$A$13:$I$13,0))</f>
        <v>#N/A</v>
      </c>
      <c r="K349" s="3" t="e">
        <f>INDEX(Demand_Modeling!$A$13:$I$49,MATCH(Table3[[#This Row],[Key]],Demand_Modeling!$A$13:$A$49,0),MATCH(Table3[[#Headers],[EAO]],Demand_Modeling!$A$13:$I$13,0))</f>
        <v>#N/A</v>
      </c>
      <c r="L349" s="3" t="e">
        <f>INDEX(Demand_Modeling!$A$13:$I$49,MATCH(Table3[[#This Row],[Key]],Demand_Modeling!$A$13:$A$49,0),MATCH(Table3[[#Headers],[OCC]],Demand_Modeling!$A$13:$I$13,0))</f>
        <v>#N/A</v>
      </c>
      <c r="M349" s="3" t="e">
        <f>INDEX(Demand_Modeling!$A$13:$I$49,MATCH(Table3[[#This Row],[Key]],Demand_Modeling!$A$13:$A$49,0),MATCH(Table3[[#Headers],[WEO]],Demand_Modeling!$A$13:$I$13,0))</f>
        <v>#N/A</v>
      </c>
      <c r="N349" s="19" t="e">
        <f>SUM(Table3[[#This Row],[OFC]:[WEO]])</f>
        <v>#N/A</v>
      </c>
      <c r="O349" s="19"/>
      <c r="Q349" s="3" t="str">
        <f>Table35[[#This Row],[Fiscal_Year]]*100+Table35[[#This Row],[Fiscal_Week]] &amp; "-" &amp;Table35[[#This Row],[Brand]]</f>
        <v>0-0</v>
      </c>
      <c r="R349" t="str">
        <f>Table3[[#This Row],[Key]]</f>
        <v>-</v>
      </c>
      <c r="S349">
        <f>Table3[[#This Row],[Fiscal_Year]]</f>
        <v>0</v>
      </c>
      <c r="T349">
        <f>Table3[[#This Row],[Fiscal_Week]]</f>
        <v>0</v>
      </c>
      <c r="U349">
        <f>Table3[[#This Row],[Brand]]</f>
        <v>0</v>
      </c>
      <c r="V349">
        <f>Table3[[#This Row],[Demand]]</f>
        <v>0</v>
      </c>
      <c r="W349" t="e">
        <f>Table3[[#This Row],[OFC]]*Table3[[#This Row],[Demand]]</f>
        <v>#N/A</v>
      </c>
      <c r="X349" t="e">
        <f>Table3[[#This Row],[TFC]]*Table3[[#This Row],[Demand]]</f>
        <v>#N/A</v>
      </c>
      <c r="Y349" t="e">
        <f>Table3[[#This Row],[WFC]]*Table3[[#This Row],[Demand]]</f>
        <v>#N/A</v>
      </c>
      <c r="Z349" t="e">
        <f>Table3[[#This Row],[EAO]]*Table3[[#This Row],[Demand]]</f>
        <v>#N/A</v>
      </c>
      <c r="AA349" t="e">
        <f>Table3[[#This Row],[OCC]]*Table3[[#This Row],[Demand]]</f>
        <v>#N/A</v>
      </c>
      <c r="AB349" t="e">
        <f>Table3[[#This Row],[WEO]]*Table3[[#This Row],[Demand]]</f>
        <v>#N/A</v>
      </c>
      <c r="AC349" s="19" t="e">
        <f>SUM(Table35[[#This Row],[OFC]:[WEO]])</f>
        <v>#N/A</v>
      </c>
      <c r="AD349" s="19" t="e">
        <f>Table35[[#This Row],[Demand]]-Table35[[#This Row],[Total_Modeled_Demand]]</f>
        <v>#N/A</v>
      </c>
    </row>
    <row r="350" spans="2:30" x14ac:dyDescent="0.3">
      <c r="B350" s="3" t="str">
        <f>Table3[[#This Row],[Fiscal_Year]]*100+Table3[[#This Row],[Fiscal_Week]] &amp; "-" &amp;Table3[[#This Row],[Brand]]</f>
        <v>0-</v>
      </c>
      <c r="C350" t="str">
        <f t="shared" si="5"/>
        <v>-</v>
      </c>
      <c r="H350" s="3" t="e">
        <f>INDEX(Demand_Modeling!$A$13:$I$49,MATCH(Table3[[#This Row],[Key]],Demand_Modeling!$A$13:$A$49,0),MATCH(Table3[[#Headers],[OFC]],Demand_Modeling!$A$13:$I$13,0))</f>
        <v>#N/A</v>
      </c>
      <c r="I350" s="3" t="e">
        <f>INDEX(Demand_Modeling!$A$13:$I$49,MATCH(Table3[[#This Row],[Key]],Demand_Modeling!$A$13:$A$49,0),MATCH(Table3[[#Headers],[TFC]],Demand_Modeling!$A$13:$I$13,0))</f>
        <v>#N/A</v>
      </c>
      <c r="J350" s="3" t="e">
        <f>INDEX(Demand_Modeling!$A$13:$I$49,MATCH(Table3[[#This Row],[Key]],Demand_Modeling!$A$13:$A$49,0),MATCH(Table3[[#Headers],[WFC]],Demand_Modeling!$A$13:$I$13,0))</f>
        <v>#N/A</v>
      </c>
      <c r="K350" s="3" t="e">
        <f>INDEX(Demand_Modeling!$A$13:$I$49,MATCH(Table3[[#This Row],[Key]],Demand_Modeling!$A$13:$A$49,0),MATCH(Table3[[#Headers],[EAO]],Demand_Modeling!$A$13:$I$13,0))</f>
        <v>#N/A</v>
      </c>
      <c r="L350" s="3" t="e">
        <f>INDEX(Demand_Modeling!$A$13:$I$49,MATCH(Table3[[#This Row],[Key]],Demand_Modeling!$A$13:$A$49,0),MATCH(Table3[[#Headers],[OCC]],Demand_Modeling!$A$13:$I$13,0))</f>
        <v>#N/A</v>
      </c>
      <c r="M350" s="3" t="e">
        <f>INDEX(Demand_Modeling!$A$13:$I$49,MATCH(Table3[[#This Row],[Key]],Demand_Modeling!$A$13:$A$49,0),MATCH(Table3[[#Headers],[WEO]],Demand_Modeling!$A$13:$I$13,0))</f>
        <v>#N/A</v>
      </c>
      <c r="N350" s="19" t="e">
        <f>SUM(Table3[[#This Row],[OFC]:[WEO]])</f>
        <v>#N/A</v>
      </c>
      <c r="O350" s="19"/>
      <c r="Q350" s="3" t="str">
        <f>Table35[[#This Row],[Fiscal_Year]]*100+Table35[[#This Row],[Fiscal_Week]] &amp; "-" &amp;Table35[[#This Row],[Brand]]</f>
        <v>0-0</v>
      </c>
      <c r="R350" t="str">
        <f>Table3[[#This Row],[Key]]</f>
        <v>-</v>
      </c>
      <c r="S350">
        <f>Table3[[#This Row],[Fiscal_Year]]</f>
        <v>0</v>
      </c>
      <c r="T350">
        <f>Table3[[#This Row],[Fiscal_Week]]</f>
        <v>0</v>
      </c>
      <c r="U350">
        <f>Table3[[#This Row],[Brand]]</f>
        <v>0</v>
      </c>
      <c r="V350">
        <f>Table3[[#This Row],[Demand]]</f>
        <v>0</v>
      </c>
      <c r="W350" t="e">
        <f>Table3[[#This Row],[OFC]]*Table3[[#This Row],[Demand]]</f>
        <v>#N/A</v>
      </c>
      <c r="X350" t="e">
        <f>Table3[[#This Row],[TFC]]*Table3[[#This Row],[Demand]]</f>
        <v>#N/A</v>
      </c>
      <c r="Y350" t="e">
        <f>Table3[[#This Row],[WFC]]*Table3[[#This Row],[Demand]]</f>
        <v>#N/A</v>
      </c>
      <c r="Z350" t="e">
        <f>Table3[[#This Row],[EAO]]*Table3[[#This Row],[Demand]]</f>
        <v>#N/A</v>
      </c>
      <c r="AA350" t="e">
        <f>Table3[[#This Row],[OCC]]*Table3[[#This Row],[Demand]]</f>
        <v>#N/A</v>
      </c>
      <c r="AB350" t="e">
        <f>Table3[[#This Row],[WEO]]*Table3[[#This Row],[Demand]]</f>
        <v>#N/A</v>
      </c>
      <c r="AC350" s="19" t="e">
        <f>SUM(Table35[[#This Row],[OFC]:[WEO]])</f>
        <v>#N/A</v>
      </c>
      <c r="AD350" s="19" t="e">
        <f>Table35[[#This Row],[Demand]]-Table35[[#This Row],[Total_Modeled_Demand]]</f>
        <v>#N/A</v>
      </c>
    </row>
    <row r="351" spans="2:30" x14ac:dyDescent="0.3">
      <c r="B351" s="3" t="str">
        <f>Table3[[#This Row],[Fiscal_Year]]*100+Table3[[#This Row],[Fiscal_Week]] &amp; "-" &amp;Table3[[#This Row],[Brand]]</f>
        <v>0-</v>
      </c>
      <c r="C351" t="str">
        <f t="shared" si="5"/>
        <v>-</v>
      </c>
      <c r="H351" s="3" t="e">
        <f>INDEX(Demand_Modeling!$A$13:$I$49,MATCH(Table3[[#This Row],[Key]],Demand_Modeling!$A$13:$A$49,0),MATCH(Table3[[#Headers],[OFC]],Demand_Modeling!$A$13:$I$13,0))</f>
        <v>#N/A</v>
      </c>
      <c r="I351" s="3" t="e">
        <f>INDEX(Demand_Modeling!$A$13:$I$49,MATCH(Table3[[#This Row],[Key]],Demand_Modeling!$A$13:$A$49,0),MATCH(Table3[[#Headers],[TFC]],Demand_Modeling!$A$13:$I$13,0))</f>
        <v>#N/A</v>
      </c>
      <c r="J351" s="3" t="e">
        <f>INDEX(Demand_Modeling!$A$13:$I$49,MATCH(Table3[[#This Row],[Key]],Demand_Modeling!$A$13:$A$49,0),MATCH(Table3[[#Headers],[WFC]],Demand_Modeling!$A$13:$I$13,0))</f>
        <v>#N/A</v>
      </c>
      <c r="K351" s="3" t="e">
        <f>INDEX(Demand_Modeling!$A$13:$I$49,MATCH(Table3[[#This Row],[Key]],Demand_Modeling!$A$13:$A$49,0),MATCH(Table3[[#Headers],[EAO]],Demand_Modeling!$A$13:$I$13,0))</f>
        <v>#N/A</v>
      </c>
      <c r="L351" s="3" t="e">
        <f>INDEX(Demand_Modeling!$A$13:$I$49,MATCH(Table3[[#This Row],[Key]],Demand_Modeling!$A$13:$A$49,0),MATCH(Table3[[#Headers],[OCC]],Demand_Modeling!$A$13:$I$13,0))</f>
        <v>#N/A</v>
      </c>
      <c r="M351" s="3" t="e">
        <f>INDEX(Demand_Modeling!$A$13:$I$49,MATCH(Table3[[#This Row],[Key]],Demand_Modeling!$A$13:$A$49,0),MATCH(Table3[[#Headers],[WEO]],Demand_Modeling!$A$13:$I$13,0))</f>
        <v>#N/A</v>
      </c>
      <c r="N351" s="19" t="e">
        <f>SUM(Table3[[#This Row],[OFC]:[WEO]])</f>
        <v>#N/A</v>
      </c>
      <c r="O351" s="19"/>
      <c r="Q351" s="3" t="str">
        <f>Table35[[#This Row],[Fiscal_Year]]*100+Table35[[#This Row],[Fiscal_Week]] &amp; "-" &amp;Table35[[#This Row],[Brand]]</f>
        <v>0-0</v>
      </c>
      <c r="R351" t="str">
        <f>Table3[[#This Row],[Key]]</f>
        <v>-</v>
      </c>
      <c r="S351">
        <f>Table3[[#This Row],[Fiscal_Year]]</f>
        <v>0</v>
      </c>
      <c r="T351">
        <f>Table3[[#This Row],[Fiscal_Week]]</f>
        <v>0</v>
      </c>
      <c r="U351">
        <f>Table3[[#This Row],[Brand]]</f>
        <v>0</v>
      </c>
      <c r="V351">
        <f>Table3[[#This Row],[Demand]]</f>
        <v>0</v>
      </c>
      <c r="W351" t="e">
        <f>Table3[[#This Row],[OFC]]*Table3[[#This Row],[Demand]]</f>
        <v>#N/A</v>
      </c>
      <c r="X351" t="e">
        <f>Table3[[#This Row],[TFC]]*Table3[[#This Row],[Demand]]</f>
        <v>#N/A</v>
      </c>
      <c r="Y351" t="e">
        <f>Table3[[#This Row],[WFC]]*Table3[[#This Row],[Demand]]</f>
        <v>#N/A</v>
      </c>
      <c r="Z351" t="e">
        <f>Table3[[#This Row],[EAO]]*Table3[[#This Row],[Demand]]</f>
        <v>#N/A</v>
      </c>
      <c r="AA351" t="e">
        <f>Table3[[#This Row],[OCC]]*Table3[[#This Row],[Demand]]</f>
        <v>#N/A</v>
      </c>
      <c r="AB351" t="e">
        <f>Table3[[#This Row],[WEO]]*Table3[[#This Row],[Demand]]</f>
        <v>#N/A</v>
      </c>
      <c r="AC351" s="19" t="e">
        <f>SUM(Table35[[#This Row],[OFC]:[WEO]])</f>
        <v>#N/A</v>
      </c>
      <c r="AD351" s="19" t="e">
        <f>Table35[[#This Row],[Demand]]-Table35[[#This Row],[Total_Modeled_Demand]]</f>
        <v>#N/A</v>
      </c>
    </row>
    <row r="352" spans="2:30" x14ac:dyDescent="0.3">
      <c r="B352" s="3" t="str">
        <f>Table3[[#This Row],[Fiscal_Year]]*100+Table3[[#This Row],[Fiscal_Week]] &amp; "-" &amp;Table3[[#This Row],[Brand]]</f>
        <v>0-</v>
      </c>
      <c r="C352" t="str">
        <f t="shared" si="5"/>
        <v>-</v>
      </c>
      <c r="H352" s="3" t="e">
        <f>INDEX(Demand_Modeling!$A$13:$I$49,MATCH(Table3[[#This Row],[Key]],Demand_Modeling!$A$13:$A$49,0),MATCH(Table3[[#Headers],[OFC]],Demand_Modeling!$A$13:$I$13,0))</f>
        <v>#N/A</v>
      </c>
      <c r="I352" s="3" t="e">
        <f>INDEX(Demand_Modeling!$A$13:$I$49,MATCH(Table3[[#This Row],[Key]],Demand_Modeling!$A$13:$A$49,0),MATCH(Table3[[#Headers],[TFC]],Demand_Modeling!$A$13:$I$13,0))</f>
        <v>#N/A</v>
      </c>
      <c r="J352" s="3" t="e">
        <f>INDEX(Demand_Modeling!$A$13:$I$49,MATCH(Table3[[#This Row],[Key]],Demand_Modeling!$A$13:$A$49,0),MATCH(Table3[[#Headers],[WFC]],Demand_Modeling!$A$13:$I$13,0))</f>
        <v>#N/A</v>
      </c>
      <c r="K352" s="3" t="e">
        <f>INDEX(Demand_Modeling!$A$13:$I$49,MATCH(Table3[[#This Row],[Key]],Demand_Modeling!$A$13:$A$49,0),MATCH(Table3[[#Headers],[EAO]],Demand_Modeling!$A$13:$I$13,0))</f>
        <v>#N/A</v>
      </c>
      <c r="L352" s="3" t="e">
        <f>INDEX(Demand_Modeling!$A$13:$I$49,MATCH(Table3[[#This Row],[Key]],Demand_Modeling!$A$13:$A$49,0),MATCH(Table3[[#Headers],[OCC]],Demand_Modeling!$A$13:$I$13,0))</f>
        <v>#N/A</v>
      </c>
      <c r="M352" s="3" t="e">
        <f>INDEX(Demand_Modeling!$A$13:$I$49,MATCH(Table3[[#This Row],[Key]],Demand_Modeling!$A$13:$A$49,0),MATCH(Table3[[#Headers],[WEO]],Demand_Modeling!$A$13:$I$13,0))</f>
        <v>#N/A</v>
      </c>
      <c r="N352" s="19" t="e">
        <f>SUM(Table3[[#This Row],[OFC]:[WEO]])</f>
        <v>#N/A</v>
      </c>
      <c r="O352" s="19"/>
      <c r="Q352" s="3" t="str">
        <f>Table35[[#This Row],[Fiscal_Year]]*100+Table35[[#This Row],[Fiscal_Week]] &amp; "-" &amp;Table35[[#This Row],[Brand]]</f>
        <v>0-0</v>
      </c>
      <c r="R352" t="str">
        <f>Table3[[#This Row],[Key]]</f>
        <v>-</v>
      </c>
      <c r="S352">
        <f>Table3[[#This Row],[Fiscal_Year]]</f>
        <v>0</v>
      </c>
      <c r="T352">
        <f>Table3[[#This Row],[Fiscal_Week]]</f>
        <v>0</v>
      </c>
      <c r="U352">
        <f>Table3[[#This Row],[Brand]]</f>
        <v>0</v>
      </c>
      <c r="V352">
        <f>Table3[[#This Row],[Demand]]</f>
        <v>0</v>
      </c>
      <c r="W352" t="e">
        <f>Table3[[#This Row],[OFC]]*Table3[[#This Row],[Demand]]</f>
        <v>#N/A</v>
      </c>
      <c r="X352" t="e">
        <f>Table3[[#This Row],[TFC]]*Table3[[#This Row],[Demand]]</f>
        <v>#N/A</v>
      </c>
      <c r="Y352" t="e">
        <f>Table3[[#This Row],[WFC]]*Table3[[#This Row],[Demand]]</f>
        <v>#N/A</v>
      </c>
      <c r="Z352" t="e">
        <f>Table3[[#This Row],[EAO]]*Table3[[#This Row],[Demand]]</f>
        <v>#N/A</v>
      </c>
      <c r="AA352" t="e">
        <f>Table3[[#This Row],[OCC]]*Table3[[#This Row],[Demand]]</f>
        <v>#N/A</v>
      </c>
      <c r="AB352" t="e">
        <f>Table3[[#This Row],[WEO]]*Table3[[#This Row],[Demand]]</f>
        <v>#N/A</v>
      </c>
      <c r="AC352" s="19" t="e">
        <f>SUM(Table35[[#This Row],[OFC]:[WEO]])</f>
        <v>#N/A</v>
      </c>
      <c r="AD352" s="19" t="e">
        <f>Table35[[#This Row],[Demand]]-Table35[[#This Row],[Total_Modeled_Demand]]</f>
        <v>#N/A</v>
      </c>
    </row>
    <row r="353" spans="2:30" x14ac:dyDescent="0.3">
      <c r="B353" s="3" t="str">
        <f>Table3[[#This Row],[Fiscal_Year]]*100+Table3[[#This Row],[Fiscal_Week]] &amp; "-" &amp;Table3[[#This Row],[Brand]]</f>
        <v>0-</v>
      </c>
      <c r="C353" t="str">
        <f t="shared" si="5"/>
        <v>-</v>
      </c>
      <c r="H353" s="3" t="e">
        <f>INDEX(Demand_Modeling!$A$13:$I$49,MATCH(Table3[[#This Row],[Key]],Demand_Modeling!$A$13:$A$49,0),MATCH(Table3[[#Headers],[OFC]],Demand_Modeling!$A$13:$I$13,0))</f>
        <v>#N/A</v>
      </c>
      <c r="I353" s="3" t="e">
        <f>INDEX(Demand_Modeling!$A$13:$I$49,MATCH(Table3[[#This Row],[Key]],Demand_Modeling!$A$13:$A$49,0),MATCH(Table3[[#Headers],[TFC]],Demand_Modeling!$A$13:$I$13,0))</f>
        <v>#N/A</v>
      </c>
      <c r="J353" s="3" t="e">
        <f>INDEX(Demand_Modeling!$A$13:$I$49,MATCH(Table3[[#This Row],[Key]],Demand_Modeling!$A$13:$A$49,0),MATCH(Table3[[#Headers],[WFC]],Demand_Modeling!$A$13:$I$13,0))</f>
        <v>#N/A</v>
      </c>
      <c r="K353" s="3" t="e">
        <f>INDEX(Demand_Modeling!$A$13:$I$49,MATCH(Table3[[#This Row],[Key]],Demand_Modeling!$A$13:$A$49,0),MATCH(Table3[[#Headers],[EAO]],Demand_Modeling!$A$13:$I$13,0))</f>
        <v>#N/A</v>
      </c>
      <c r="L353" s="3" t="e">
        <f>INDEX(Demand_Modeling!$A$13:$I$49,MATCH(Table3[[#This Row],[Key]],Demand_Modeling!$A$13:$A$49,0),MATCH(Table3[[#Headers],[OCC]],Demand_Modeling!$A$13:$I$13,0))</f>
        <v>#N/A</v>
      </c>
      <c r="M353" s="3" t="e">
        <f>INDEX(Demand_Modeling!$A$13:$I$49,MATCH(Table3[[#This Row],[Key]],Demand_Modeling!$A$13:$A$49,0),MATCH(Table3[[#Headers],[WEO]],Demand_Modeling!$A$13:$I$13,0))</f>
        <v>#N/A</v>
      </c>
      <c r="N353" s="19" t="e">
        <f>SUM(Table3[[#This Row],[OFC]:[WEO]])</f>
        <v>#N/A</v>
      </c>
      <c r="O353" s="19"/>
      <c r="Q353" s="3" t="str">
        <f>Table35[[#This Row],[Fiscal_Year]]*100+Table35[[#This Row],[Fiscal_Week]] &amp; "-" &amp;Table35[[#This Row],[Brand]]</f>
        <v>0-0</v>
      </c>
      <c r="R353" t="str">
        <f>Table3[[#This Row],[Key]]</f>
        <v>-</v>
      </c>
      <c r="S353">
        <f>Table3[[#This Row],[Fiscal_Year]]</f>
        <v>0</v>
      </c>
      <c r="T353">
        <f>Table3[[#This Row],[Fiscal_Week]]</f>
        <v>0</v>
      </c>
      <c r="U353">
        <f>Table3[[#This Row],[Brand]]</f>
        <v>0</v>
      </c>
      <c r="V353">
        <f>Table3[[#This Row],[Demand]]</f>
        <v>0</v>
      </c>
      <c r="W353" t="e">
        <f>Table3[[#This Row],[OFC]]*Table3[[#This Row],[Demand]]</f>
        <v>#N/A</v>
      </c>
      <c r="X353" t="e">
        <f>Table3[[#This Row],[TFC]]*Table3[[#This Row],[Demand]]</f>
        <v>#N/A</v>
      </c>
      <c r="Y353" t="e">
        <f>Table3[[#This Row],[WFC]]*Table3[[#This Row],[Demand]]</f>
        <v>#N/A</v>
      </c>
      <c r="Z353" t="e">
        <f>Table3[[#This Row],[EAO]]*Table3[[#This Row],[Demand]]</f>
        <v>#N/A</v>
      </c>
      <c r="AA353" t="e">
        <f>Table3[[#This Row],[OCC]]*Table3[[#This Row],[Demand]]</f>
        <v>#N/A</v>
      </c>
      <c r="AB353" t="e">
        <f>Table3[[#This Row],[WEO]]*Table3[[#This Row],[Demand]]</f>
        <v>#N/A</v>
      </c>
      <c r="AC353" s="19" t="e">
        <f>SUM(Table35[[#This Row],[OFC]:[WEO]])</f>
        <v>#N/A</v>
      </c>
      <c r="AD353" s="19" t="e">
        <f>Table35[[#This Row],[Demand]]-Table35[[#This Row],[Total_Modeled_Demand]]</f>
        <v>#N/A</v>
      </c>
    </row>
    <row r="354" spans="2:30" x14ac:dyDescent="0.3">
      <c r="B354" s="3" t="str">
        <f>Table3[[#This Row],[Fiscal_Year]]*100+Table3[[#This Row],[Fiscal_Week]] &amp; "-" &amp;Table3[[#This Row],[Brand]]</f>
        <v>0-</v>
      </c>
      <c r="C354" t="str">
        <f t="shared" si="5"/>
        <v>-</v>
      </c>
      <c r="H354" s="3" t="e">
        <f>INDEX(Demand_Modeling!$A$13:$I$49,MATCH(Table3[[#This Row],[Key]],Demand_Modeling!$A$13:$A$49,0),MATCH(Table3[[#Headers],[OFC]],Demand_Modeling!$A$13:$I$13,0))</f>
        <v>#N/A</v>
      </c>
      <c r="I354" s="3" t="e">
        <f>INDEX(Demand_Modeling!$A$13:$I$49,MATCH(Table3[[#This Row],[Key]],Demand_Modeling!$A$13:$A$49,0),MATCH(Table3[[#Headers],[TFC]],Demand_Modeling!$A$13:$I$13,0))</f>
        <v>#N/A</v>
      </c>
      <c r="J354" s="3" t="e">
        <f>INDEX(Demand_Modeling!$A$13:$I$49,MATCH(Table3[[#This Row],[Key]],Demand_Modeling!$A$13:$A$49,0),MATCH(Table3[[#Headers],[WFC]],Demand_Modeling!$A$13:$I$13,0))</f>
        <v>#N/A</v>
      </c>
      <c r="K354" s="3" t="e">
        <f>INDEX(Demand_Modeling!$A$13:$I$49,MATCH(Table3[[#This Row],[Key]],Demand_Modeling!$A$13:$A$49,0),MATCH(Table3[[#Headers],[EAO]],Demand_Modeling!$A$13:$I$13,0))</f>
        <v>#N/A</v>
      </c>
      <c r="L354" s="3" t="e">
        <f>INDEX(Demand_Modeling!$A$13:$I$49,MATCH(Table3[[#This Row],[Key]],Demand_Modeling!$A$13:$A$49,0),MATCH(Table3[[#Headers],[OCC]],Demand_Modeling!$A$13:$I$13,0))</f>
        <v>#N/A</v>
      </c>
      <c r="M354" s="3" t="e">
        <f>INDEX(Demand_Modeling!$A$13:$I$49,MATCH(Table3[[#This Row],[Key]],Demand_Modeling!$A$13:$A$49,0),MATCH(Table3[[#Headers],[WEO]],Demand_Modeling!$A$13:$I$13,0))</f>
        <v>#N/A</v>
      </c>
      <c r="N354" s="19" t="e">
        <f>SUM(Table3[[#This Row],[OFC]:[WEO]])</f>
        <v>#N/A</v>
      </c>
      <c r="O354" s="19"/>
      <c r="Q354" s="3" t="str">
        <f>Table35[[#This Row],[Fiscal_Year]]*100+Table35[[#This Row],[Fiscal_Week]] &amp; "-" &amp;Table35[[#This Row],[Brand]]</f>
        <v>0-0</v>
      </c>
      <c r="R354" t="str">
        <f>Table3[[#This Row],[Key]]</f>
        <v>-</v>
      </c>
      <c r="S354">
        <f>Table3[[#This Row],[Fiscal_Year]]</f>
        <v>0</v>
      </c>
      <c r="T354">
        <f>Table3[[#This Row],[Fiscal_Week]]</f>
        <v>0</v>
      </c>
      <c r="U354">
        <f>Table3[[#This Row],[Brand]]</f>
        <v>0</v>
      </c>
      <c r="V354">
        <f>Table3[[#This Row],[Demand]]</f>
        <v>0</v>
      </c>
      <c r="W354" t="e">
        <f>Table3[[#This Row],[OFC]]*Table3[[#This Row],[Demand]]</f>
        <v>#N/A</v>
      </c>
      <c r="X354" t="e">
        <f>Table3[[#This Row],[TFC]]*Table3[[#This Row],[Demand]]</f>
        <v>#N/A</v>
      </c>
      <c r="Y354" t="e">
        <f>Table3[[#This Row],[WFC]]*Table3[[#This Row],[Demand]]</f>
        <v>#N/A</v>
      </c>
      <c r="Z354" t="e">
        <f>Table3[[#This Row],[EAO]]*Table3[[#This Row],[Demand]]</f>
        <v>#N/A</v>
      </c>
      <c r="AA354" t="e">
        <f>Table3[[#This Row],[OCC]]*Table3[[#This Row],[Demand]]</f>
        <v>#N/A</v>
      </c>
      <c r="AB354" t="e">
        <f>Table3[[#This Row],[WEO]]*Table3[[#This Row],[Demand]]</f>
        <v>#N/A</v>
      </c>
      <c r="AC354" s="19" t="e">
        <f>SUM(Table35[[#This Row],[OFC]:[WEO]])</f>
        <v>#N/A</v>
      </c>
      <c r="AD354" s="19" t="e">
        <f>Table35[[#This Row],[Demand]]-Table35[[#This Row],[Total_Modeled_Demand]]</f>
        <v>#N/A</v>
      </c>
    </row>
    <row r="355" spans="2:30" x14ac:dyDescent="0.3">
      <c r="B355" s="3" t="str">
        <f>Table3[[#This Row],[Fiscal_Year]]*100+Table3[[#This Row],[Fiscal_Week]] &amp; "-" &amp;Table3[[#This Row],[Brand]]</f>
        <v>0-</v>
      </c>
      <c r="C355" t="str">
        <f t="shared" si="5"/>
        <v>-</v>
      </c>
      <c r="H355" s="3" t="e">
        <f>INDEX(Demand_Modeling!$A$13:$I$49,MATCH(Table3[[#This Row],[Key]],Demand_Modeling!$A$13:$A$49,0),MATCH(Table3[[#Headers],[OFC]],Demand_Modeling!$A$13:$I$13,0))</f>
        <v>#N/A</v>
      </c>
      <c r="I355" s="3" t="e">
        <f>INDEX(Demand_Modeling!$A$13:$I$49,MATCH(Table3[[#This Row],[Key]],Demand_Modeling!$A$13:$A$49,0),MATCH(Table3[[#Headers],[TFC]],Demand_Modeling!$A$13:$I$13,0))</f>
        <v>#N/A</v>
      </c>
      <c r="J355" s="3" t="e">
        <f>INDEX(Demand_Modeling!$A$13:$I$49,MATCH(Table3[[#This Row],[Key]],Demand_Modeling!$A$13:$A$49,0),MATCH(Table3[[#Headers],[WFC]],Demand_Modeling!$A$13:$I$13,0))</f>
        <v>#N/A</v>
      </c>
      <c r="K355" s="3" t="e">
        <f>INDEX(Demand_Modeling!$A$13:$I$49,MATCH(Table3[[#This Row],[Key]],Demand_Modeling!$A$13:$A$49,0),MATCH(Table3[[#Headers],[EAO]],Demand_Modeling!$A$13:$I$13,0))</f>
        <v>#N/A</v>
      </c>
      <c r="L355" s="3" t="e">
        <f>INDEX(Demand_Modeling!$A$13:$I$49,MATCH(Table3[[#This Row],[Key]],Demand_Modeling!$A$13:$A$49,0),MATCH(Table3[[#Headers],[OCC]],Demand_Modeling!$A$13:$I$13,0))</f>
        <v>#N/A</v>
      </c>
      <c r="M355" s="3" t="e">
        <f>INDEX(Demand_Modeling!$A$13:$I$49,MATCH(Table3[[#This Row],[Key]],Demand_Modeling!$A$13:$A$49,0),MATCH(Table3[[#Headers],[WEO]],Demand_Modeling!$A$13:$I$13,0))</f>
        <v>#N/A</v>
      </c>
      <c r="N355" s="19" t="e">
        <f>SUM(Table3[[#This Row],[OFC]:[WEO]])</f>
        <v>#N/A</v>
      </c>
      <c r="O355" s="19"/>
      <c r="Q355" s="3" t="str">
        <f>Table35[[#This Row],[Fiscal_Year]]*100+Table35[[#This Row],[Fiscal_Week]] &amp; "-" &amp;Table35[[#This Row],[Brand]]</f>
        <v>0-0</v>
      </c>
      <c r="R355" t="str">
        <f>Table3[[#This Row],[Key]]</f>
        <v>-</v>
      </c>
      <c r="S355">
        <f>Table3[[#This Row],[Fiscal_Year]]</f>
        <v>0</v>
      </c>
      <c r="T355">
        <f>Table3[[#This Row],[Fiscal_Week]]</f>
        <v>0</v>
      </c>
      <c r="U355">
        <f>Table3[[#This Row],[Brand]]</f>
        <v>0</v>
      </c>
      <c r="V355">
        <f>Table3[[#This Row],[Demand]]</f>
        <v>0</v>
      </c>
      <c r="W355" t="e">
        <f>Table3[[#This Row],[OFC]]*Table3[[#This Row],[Demand]]</f>
        <v>#N/A</v>
      </c>
      <c r="X355" t="e">
        <f>Table3[[#This Row],[TFC]]*Table3[[#This Row],[Demand]]</f>
        <v>#N/A</v>
      </c>
      <c r="Y355" t="e">
        <f>Table3[[#This Row],[WFC]]*Table3[[#This Row],[Demand]]</f>
        <v>#N/A</v>
      </c>
      <c r="Z355" t="e">
        <f>Table3[[#This Row],[EAO]]*Table3[[#This Row],[Demand]]</f>
        <v>#N/A</v>
      </c>
      <c r="AA355" t="e">
        <f>Table3[[#This Row],[OCC]]*Table3[[#This Row],[Demand]]</f>
        <v>#N/A</v>
      </c>
      <c r="AB355" t="e">
        <f>Table3[[#This Row],[WEO]]*Table3[[#This Row],[Demand]]</f>
        <v>#N/A</v>
      </c>
      <c r="AC355" s="19" t="e">
        <f>SUM(Table35[[#This Row],[OFC]:[WEO]])</f>
        <v>#N/A</v>
      </c>
      <c r="AD355" s="19" t="e">
        <f>Table35[[#This Row],[Demand]]-Table35[[#This Row],[Total_Modeled_Demand]]</f>
        <v>#N/A</v>
      </c>
    </row>
    <row r="356" spans="2:30" x14ac:dyDescent="0.3">
      <c r="B356" s="3" t="str">
        <f>Table3[[#This Row],[Fiscal_Year]]*100+Table3[[#This Row],[Fiscal_Week]] &amp; "-" &amp;Table3[[#This Row],[Brand]]</f>
        <v>0-</v>
      </c>
      <c r="C356" t="str">
        <f t="shared" si="5"/>
        <v>-</v>
      </c>
      <c r="H356" s="3" t="e">
        <f>INDEX(Demand_Modeling!$A$13:$I$49,MATCH(Table3[[#This Row],[Key]],Demand_Modeling!$A$13:$A$49,0),MATCH(Table3[[#Headers],[OFC]],Demand_Modeling!$A$13:$I$13,0))</f>
        <v>#N/A</v>
      </c>
      <c r="I356" s="3" t="e">
        <f>INDEX(Demand_Modeling!$A$13:$I$49,MATCH(Table3[[#This Row],[Key]],Demand_Modeling!$A$13:$A$49,0),MATCH(Table3[[#Headers],[TFC]],Demand_Modeling!$A$13:$I$13,0))</f>
        <v>#N/A</v>
      </c>
      <c r="J356" s="3" t="e">
        <f>INDEX(Demand_Modeling!$A$13:$I$49,MATCH(Table3[[#This Row],[Key]],Demand_Modeling!$A$13:$A$49,0),MATCH(Table3[[#Headers],[WFC]],Demand_Modeling!$A$13:$I$13,0))</f>
        <v>#N/A</v>
      </c>
      <c r="K356" s="3" t="e">
        <f>INDEX(Demand_Modeling!$A$13:$I$49,MATCH(Table3[[#This Row],[Key]],Demand_Modeling!$A$13:$A$49,0),MATCH(Table3[[#Headers],[EAO]],Demand_Modeling!$A$13:$I$13,0))</f>
        <v>#N/A</v>
      </c>
      <c r="L356" s="3" t="e">
        <f>INDEX(Demand_Modeling!$A$13:$I$49,MATCH(Table3[[#This Row],[Key]],Demand_Modeling!$A$13:$A$49,0),MATCH(Table3[[#Headers],[OCC]],Demand_Modeling!$A$13:$I$13,0))</f>
        <v>#N/A</v>
      </c>
      <c r="M356" s="3" t="e">
        <f>INDEX(Demand_Modeling!$A$13:$I$49,MATCH(Table3[[#This Row],[Key]],Demand_Modeling!$A$13:$A$49,0),MATCH(Table3[[#Headers],[WEO]],Demand_Modeling!$A$13:$I$13,0))</f>
        <v>#N/A</v>
      </c>
      <c r="N356" s="19" t="e">
        <f>SUM(Table3[[#This Row],[OFC]:[WEO]])</f>
        <v>#N/A</v>
      </c>
      <c r="O356" s="19"/>
      <c r="Q356" s="3" t="str">
        <f>Table35[[#This Row],[Fiscal_Year]]*100+Table35[[#This Row],[Fiscal_Week]] &amp; "-" &amp;Table35[[#This Row],[Brand]]</f>
        <v>0-0</v>
      </c>
      <c r="R356" t="str">
        <f>Table3[[#This Row],[Key]]</f>
        <v>-</v>
      </c>
      <c r="S356">
        <f>Table3[[#This Row],[Fiscal_Year]]</f>
        <v>0</v>
      </c>
      <c r="T356">
        <f>Table3[[#This Row],[Fiscal_Week]]</f>
        <v>0</v>
      </c>
      <c r="U356">
        <f>Table3[[#This Row],[Brand]]</f>
        <v>0</v>
      </c>
      <c r="V356">
        <f>Table3[[#This Row],[Demand]]</f>
        <v>0</v>
      </c>
      <c r="W356" t="e">
        <f>Table3[[#This Row],[OFC]]*Table3[[#This Row],[Demand]]</f>
        <v>#N/A</v>
      </c>
      <c r="X356" t="e">
        <f>Table3[[#This Row],[TFC]]*Table3[[#This Row],[Demand]]</f>
        <v>#N/A</v>
      </c>
      <c r="Y356" t="e">
        <f>Table3[[#This Row],[WFC]]*Table3[[#This Row],[Demand]]</f>
        <v>#N/A</v>
      </c>
      <c r="Z356" t="e">
        <f>Table3[[#This Row],[EAO]]*Table3[[#This Row],[Demand]]</f>
        <v>#N/A</v>
      </c>
      <c r="AA356" t="e">
        <f>Table3[[#This Row],[OCC]]*Table3[[#This Row],[Demand]]</f>
        <v>#N/A</v>
      </c>
      <c r="AB356" t="e">
        <f>Table3[[#This Row],[WEO]]*Table3[[#This Row],[Demand]]</f>
        <v>#N/A</v>
      </c>
      <c r="AC356" s="19" t="e">
        <f>SUM(Table35[[#This Row],[OFC]:[WEO]])</f>
        <v>#N/A</v>
      </c>
      <c r="AD356" s="19" t="e">
        <f>Table35[[#This Row],[Demand]]-Table35[[#This Row],[Total_Modeled_Demand]]</f>
        <v>#N/A</v>
      </c>
    </row>
    <row r="357" spans="2:30" x14ac:dyDescent="0.3">
      <c r="B357" s="3" t="str">
        <f>Table3[[#This Row],[Fiscal_Year]]*100+Table3[[#This Row],[Fiscal_Week]] &amp; "-" &amp;Table3[[#This Row],[Brand]]</f>
        <v>0-</v>
      </c>
      <c r="C357" t="str">
        <f t="shared" si="5"/>
        <v>-</v>
      </c>
      <c r="H357" s="3" t="e">
        <f>INDEX(Demand_Modeling!$A$13:$I$49,MATCH(Table3[[#This Row],[Key]],Demand_Modeling!$A$13:$A$49,0),MATCH(Table3[[#Headers],[OFC]],Demand_Modeling!$A$13:$I$13,0))</f>
        <v>#N/A</v>
      </c>
      <c r="I357" s="3" t="e">
        <f>INDEX(Demand_Modeling!$A$13:$I$49,MATCH(Table3[[#This Row],[Key]],Demand_Modeling!$A$13:$A$49,0),MATCH(Table3[[#Headers],[TFC]],Demand_Modeling!$A$13:$I$13,0))</f>
        <v>#N/A</v>
      </c>
      <c r="J357" s="3" t="e">
        <f>INDEX(Demand_Modeling!$A$13:$I$49,MATCH(Table3[[#This Row],[Key]],Demand_Modeling!$A$13:$A$49,0),MATCH(Table3[[#Headers],[WFC]],Demand_Modeling!$A$13:$I$13,0))</f>
        <v>#N/A</v>
      </c>
      <c r="K357" s="3" t="e">
        <f>INDEX(Demand_Modeling!$A$13:$I$49,MATCH(Table3[[#This Row],[Key]],Demand_Modeling!$A$13:$A$49,0),MATCH(Table3[[#Headers],[EAO]],Demand_Modeling!$A$13:$I$13,0))</f>
        <v>#N/A</v>
      </c>
      <c r="L357" s="3" t="e">
        <f>INDEX(Demand_Modeling!$A$13:$I$49,MATCH(Table3[[#This Row],[Key]],Demand_Modeling!$A$13:$A$49,0),MATCH(Table3[[#Headers],[OCC]],Demand_Modeling!$A$13:$I$13,0))</f>
        <v>#N/A</v>
      </c>
      <c r="M357" s="3" t="e">
        <f>INDEX(Demand_Modeling!$A$13:$I$49,MATCH(Table3[[#This Row],[Key]],Demand_Modeling!$A$13:$A$49,0),MATCH(Table3[[#Headers],[WEO]],Demand_Modeling!$A$13:$I$13,0))</f>
        <v>#N/A</v>
      </c>
      <c r="N357" s="19" t="e">
        <f>SUM(Table3[[#This Row],[OFC]:[WEO]])</f>
        <v>#N/A</v>
      </c>
      <c r="O357" s="19"/>
      <c r="Q357" s="3" t="str">
        <f>Table35[[#This Row],[Fiscal_Year]]*100+Table35[[#This Row],[Fiscal_Week]] &amp; "-" &amp;Table35[[#This Row],[Brand]]</f>
        <v>0-0</v>
      </c>
      <c r="R357" t="str">
        <f>Table3[[#This Row],[Key]]</f>
        <v>-</v>
      </c>
      <c r="S357">
        <f>Table3[[#This Row],[Fiscal_Year]]</f>
        <v>0</v>
      </c>
      <c r="T357">
        <f>Table3[[#This Row],[Fiscal_Week]]</f>
        <v>0</v>
      </c>
      <c r="U357">
        <f>Table3[[#This Row],[Brand]]</f>
        <v>0</v>
      </c>
      <c r="V357">
        <f>Table3[[#This Row],[Demand]]</f>
        <v>0</v>
      </c>
      <c r="W357" t="e">
        <f>Table3[[#This Row],[OFC]]*Table3[[#This Row],[Demand]]</f>
        <v>#N/A</v>
      </c>
      <c r="X357" t="e">
        <f>Table3[[#This Row],[TFC]]*Table3[[#This Row],[Demand]]</f>
        <v>#N/A</v>
      </c>
      <c r="Y357" t="e">
        <f>Table3[[#This Row],[WFC]]*Table3[[#This Row],[Demand]]</f>
        <v>#N/A</v>
      </c>
      <c r="Z357" t="e">
        <f>Table3[[#This Row],[EAO]]*Table3[[#This Row],[Demand]]</f>
        <v>#N/A</v>
      </c>
      <c r="AA357" t="e">
        <f>Table3[[#This Row],[OCC]]*Table3[[#This Row],[Demand]]</f>
        <v>#N/A</v>
      </c>
      <c r="AB357" t="e">
        <f>Table3[[#This Row],[WEO]]*Table3[[#This Row],[Demand]]</f>
        <v>#N/A</v>
      </c>
      <c r="AC357" s="19" t="e">
        <f>SUM(Table35[[#This Row],[OFC]:[WEO]])</f>
        <v>#N/A</v>
      </c>
      <c r="AD357" s="19" t="e">
        <f>Table35[[#This Row],[Demand]]-Table35[[#This Row],[Total_Modeled_Demand]]</f>
        <v>#N/A</v>
      </c>
    </row>
    <row r="358" spans="2:30" x14ac:dyDescent="0.3">
      <c r="B358" s="3" t="str">
        <f>Table3[[#This Row],[Fiscal_Year]]*100+Table3[[#This Row],[Fiscal_Week]] &amp; "-" &amp;Table3[[#This Row],[Brand]]</f>
        <v>0-</v>
      </c>
      <c r="C358" t="str">
        <f t="shared" si="5"/>
        <v>-</v>
      </c>
      <c r="H358" s="3" t="e">
        <f>INDEX(Demand_Modeling!$A$13:$I$49,MATCH(Table3[[#This Row],[Key]],Demand_Modeling!$A$13:$A$49,0),MATCH(Table3[[#Headers],[OFC]],Demand_Modeling!$A$13:$I$13,0))</f>
        <v>#N/A</v>
      </c>
      <c r="I358" s="3" t="e">
        <f>INDEX(Demand_Modeling!$A$13:$I$49,MATCH(Table3[[#This Row],[Key]],Demand_Modeling!$A$13:$A$49,0),MATCH(Table3[[#Headers],[TFC]],Demand_Modeling!$A$13:$I$13,0))</f>
        <v>#N/A</v>
      </c>
      <c r="J358" s="3" t="e">
        <f>INDEX(Demand_Modeling!$A$13:$I$49,MATCH(Table3[[#This Row],[Key]],Demand_Modeling!$A$13:$A$49,0),MATCH(Table3[[#Headers],[WFC]],Demand_Modeling!$A$13:$I$13,0))</f>
        <v>#N/A</v>
      </c>
      <c r="K358" s="3" t="e">
        <f>INDEX(Demand_Modeling!$A$13:$I$49,MATCH(Table3[[#This Row],[Key]],Demand_Modeling!$A$13:$A$49,0),MATCH(Table3[[#Headers],[EAO]],Demand_Modeling!$A$13:$I$13,0))</f>
        <v>#N/A</v>
      </c>
      <c r="L358" s="3" t="e">
        <f>INDEX(Demand_Modeling!$A$13:$I$49,MATCH(Table3[[#This Row],[Key]],Demand_Modeling!$A$13:$A$49,0),MATCH(Table3[[#Headers],[OCC]],Demand_Modeling!$A$13:$I$13,0))</f>
        <v>#N/A</v>
      </c>
      <c r="M358" s="3" t="e">
        <f>INDEX(Demand_Modeling!$A$13:$I$49,MATCH(Table3[[#This Row],[Key]],Demand_Modeling!$A$13:$A$49,0),MATCH(Table3[[#Headers],[WEO]],Demand_Modeling!$A$13:$I$13,0))</f>
        <v>#N/A</v>
      </c>
      <c r="N358" s="19" t="e">
        <f>SUM(Table3[[#This Row],[OFC]:[WEO]])</f>
        <v>#N/A</v>
      </c>
      <c r="O358" s="19"/>
      <c r="Q358" s="3" t="str">
        <f>Table35[[#This Row],[Fiscal_Year]]*100+Table35[[#This Row],[Fiscal_Week]] &amp; "-" &amp;Table35[[#This Row],[Brand]]</f>
        <v>0-0</v>
      </c>
      <c r="R358" t="str">
        <f>Table3[[#This Row],[Key]]</f>
        <v>-</v>
      </c>
      <c r="S358">
        <f>Table3[[#This Row],[Fiscal_Year]]</f>
        <v>0</v>
      </c>
      <c r="T358">
        <f>Table3[[#This Row],[Fiscal_Week]]</f>
        <v>0</v>
      </c>
      <c r="U358">
        <f>Table3[[#This Row],[Brand]]</f>
        <v>0</v>
      </c>
      <c r="V358">
        <f>Table3[[#This Row],[Demand]]</f>
        <v>0</v>
      </c>
      <c r="W358" t="e">
        <f>Table3[[#This Row],[OFC]]*Table3[[#This Row],[Demand]]</f>
        <v>#N/A</v>
      </c>
      <c r="X358" t="e">
        <f>Table3[[#This Row],[TFC]]*Table3[[#This Row],[Demand]]</f>
        <v>#N/A</v>
      </c>
      <c r="Y358" t="e">
        <f>Table3[[#This Row],[WFC]]*Table3[[#This Row],[Demand]]</f>
        <v>#N/A</v>
      </c>
      <c r="Z358" t="e">
        <f>Table3[[#This Row],[EAO]]*Table3[[#This Row],[Demand]]</f>
        <v>#N/A</v>
      </c>
      <c r="AA358" t="e">
        <f>Table3[[#This Row],[OCC]]*Table3[[#This Row],[Demand]]</f>
        <v>#N/A</v>
      </c>
      <c r="AB358" t="e">
        <f>Table3[[#This Row],[WEO]]*Table3[[#This Row],[Demand]]</f>
        <v>#N/A</v>
      </c>
      <c r="AC358" s="19" t="e">
        <f>SUM(Table35[[#This Row],[OFC]:[WEO]])</f>
        <v>#N/A</v>
      </c>
      <c r="AD358" s="19" t="e">
        <f>Table35[[#This Row],[Demand]]-Table35[[#This Row],[Total_Modeled_Demand]]</f>
        <v>#N/A</v>
      </c>
    </row>
    <row r="359" spans="2:30" x14ac:dyDescent="0.3">
      <c r="B359" s="3" t="str">
        <f>Table3[[#This Row],[Fiscal_Year]]*100+Table3[[#This Row],[Fiscal_Week]] &amp; "-" &amp;Table3[[#This Row],[Brand]]</f>
        <v>0-</v>
      </c>
      <c r="C359" t="str">
        <f t="shared" si="5"/>
        <v>-</v>
      </c>
      <c r="H359" s="3" t="e">
        <f>INDEX(Demand_Modeling!$A$13:$I$49,MATCH(Table3[[#This Row],[Key]],Demand_Modeling!$A$13:$A$49,0),MATCH(Table3[[#Headers],[OFC]],Demand_Modeling!$A$13:$I$13,0))</f>
        <v>#N/A</v>
      </c>
      <c r="I359" s="3" t="e">
        <f>INDEX(Demand_Modeling!$A$13:$I$49,MATCH(Table3[[#This Row],[Key]],Demand_Modeling!$A$13:$A$49,0),MATCH(Table3[[#Headers],[TFC]],Demand_Modeling!$A$13:$I$13,0))</f>
        <v>#N/A</v>
      </c>
      <c r="J359" s="3" t="e">
        <f>INDEX(Demand_Modeling!$A$13:$I$49,MATCH(Table3[[#This Row],[Key]],Demand_Modeling!$A$13:$A$49,0),MATCH(Table3[[#Headers],[WFC]],Demand_Modeling!$A$13:$I$13,0))</f>
        <v>#N/A</v>
      </c>
      <c r="K359" s="3" t="e">
        <f>INDEX(Demand_Modeling!$A$13:$I$49,MATCH(Table3[[#This Row],[Key]],Demand_Modeling!$A$13:$A$49,0),MATCH(Table3[[#Headers],[EAO]],Demand_Modeling!$A$13:$I$13,0))</f>
        <v>#N/A</v>
      </c>
      <c r="L359" s="3" t="e">
        <f>INDEX(Demand_Modeling!$A$13:$I$49,MATCH(Table3[[#This Row],[Key]],Demand_Modeling!$A$13:$A$49,0),MATCH(Table3[[#Headers],[OCC]],Demand_Modeling!$A$13:$I$13,0))</f>
        <v>#N/A</v>
      </c>
      <c r="M359" s="3" t="e">
        <f>INDEX(Demand_Modeling!$A$13:$I$49,MATCH(Table3[[#This Row],[Key]],Demand_Modeling!$A$13:$A$49,0),MATCH(Table3[[#Headers],[WEO]],Demand_Modeling!$A$13:$I$13,0))</f>
        <v>#N/A</v>
      </c>
      <c r="N359" s="19" t="e">
        <f>SUM(Table3[[#This Row],[OFC]:[WEO]])</f>
        <v>#N/A</v>
      </c>
      <c r="O359" s="19"/>
      <c r="Q359" s="3" t="str">
        <f>Table35[[#This Row],[Fiscal_Year]]*100+Table35[[#This Row],[Fiscal_Week]] &amp; "-" &amp;Table35[[#This Row],[Brand]]</f>
        <v>0-0</v>
      </c>
      <c r="R359" t="str">
        <f>Table3[[#This Row],[Key]]</f>
        <v>-</v>
      </c>
      <c r="S359">
        <f>Table3[[#This Row],[Fiscal_Year]]</f>
        <v>0</v>
      </c>
      <c r="T359">
        <f>Table3[[#This Row],[Fiscal_Week]]</f>
        <v>0</v>
      </c>
      <c r="U359">
        <f>Table3[[#This Row],[Brand]]</f>
        <v>0</v>
      </c>
      <c r="V359">
        <f>Table3[[#This Row],[Demand]]</f>
        <v>0</v>
      </c>
      <c r="W359" t="e">
        <f>Table3[[#This Row],[OFC]]*Table3[[#This Row],[Demand]]</f>
        <v>#N/A</v>
      </c>
      <c r="X359" t="e">
        <f>Table3[[#This Row],[TFC]]*Table3[[#This Row],[Demand]]</f>
        <v>#N/A</v>
      </c>
      <c r="Y359" t="e">
        <f>Table3[[#This Row],[WFC]]*Table3[[#This Row],[Demand]]</f>
        <v>#N/A</v>
      </c>
      <c r="Z359" t="e">
        <f>Table3[[#This Row],[EAO]]*Table3[[#This Row],[Demand]]</f>
        <v>#N/A</v>
      </c>
      <c r="AA359" t="e">
        <f>Table3[[#This Row],[OCC]]*Table3[[#This Row],[Demand]]</f>
        <v>#N/A</v>
      </c>
      <c r="AB359" t="e">
        <f>Table3[[#This Row],[WEO]]*Table3[[#This Row],[Demand]]</f>
        <v>#N/A</v>
      </c>
      <c r="AC359" s="19" t="e">
        <f>SUM(Table35[[#This Row],[OFC]:[WEO]])</f>
        <v>#N/A</v>
      </c>
      <c r="AD359" s="19" t="e">
        <f>Table35[[#This Row],[Demand]]-Table35[[#This Row],[Total_Modeled_Demand]]</f>
        <v>#N/A</v>
      </c>
    </row>
    <row r="360" spans="2:30" x14ac:dyDescent="0.3">
      <c r="B360" s="3" t="str">
        <f>Table3[[#This Row],[Fiscal_Year]]*100+Table3[[#This Row],[Fiscal_Week]] &amp; "-" &amp;Table3[[#This Row],[Brand]]</f>
        <v>0-</v>
      </c>
      <c r="C360" t="str">
        <f t="shared" si="5"/>
        <v>-</v>
      </c>
      <c r="H360" s="3" t="e">
        <f>INDEX(Demand_Modeling!$A$13:$I$49,MATCH(Table3[[#This Row],[Key]],Demand_Modeling!$A$13:$A$49,0),MATCH(Table3[[#Headers],[OFC]],Demand_Modeling!$A$13:$I$13,0))</f>
        <v>#N/A</v>
      </c>
      <c r="I360" s="3" t="e">
        <f>INDEX(Demand_Modeling!$A$13:$I$49,MATCH(Table3[[#This Row],[Key]],Demand_Modeling!$A$13:$A$49,0),MATCH(Table3[[#Headers],[TFC]],Demand_Modeling!$A$13:$I$13,0))</f>
        <v>#N/A</v>
      </c>
      <c r="J360" s="3" t="e">
        <f>INDEX(Demand_Modeling!$A$13:$I$49,MATCH(Table3[[#This Row],[Key]],Demand_Modeling!$A$13:$A$49,0),MATCH(Table3[[#Headers],[WFC]],Demand_Modeling!$A$13:$I$13,0))</f>
        <v>#N/A</v>
      </c>
      <c r="K360" s="3" t="e">
        <f>INDEX(Demand_Modeling!$A$13:$I$49,MATCH(Table3[[#This Row],[Key]],Demand_Modeling!$A$13:$A$49,0),MATCH(Table3[[#Headers],[EAO]],Demand_Modeling!$A$13:$I$13,0))</f>
        <v>#N/A</v>
      </c>
      <c r="L360" s="3" t="e">
        <f>INDEX(Demand_Modeling!$A$13:$I$49,MATCH(Table3[[#This Row],[Key]],Demand_Modeling!$A$13:$A$49,0),MATCH(Table3[[#Headers],[OCC]],Demand_Modeling!$A$13:$I$13,0))</f>
        <v>#N/A</v>
      </c>
      <c r="M360" s="3" t="e">
        <f>INDEX(Demand_Modeling!$A$13:$I$49,MATCH(Table3[[#This Row],[Key]],Demand_Modeling!$A$13:$A$49,0),MATCH(Table3[[#Headers],[WEO]],Demand_Modeling!$A$13:$I$13,0))</f>
        <v>#N/A</v>
      </c>
      <c r="N360" s="19" t="e">
        <f>SUM(Table3[[#This Row],[OFC]:[WEO]])</f>
        <v>#N/A</v>
      </c>
      <c r="O360" s="19"/>
      <c r="Q360" s="3" t="str">
        <f>Table35[[#This Row],[Fiscal_Year]]*100+Table35[[#This Row],[Fiscal_Week]] &amp; "-" &amp;Table35[[#This Row],[Brand]]</f>
        <v>0-0</v>
      </c>
      <c r="R360" t="str">
        <f>Table3[[#This Row],[Key]]</f>
        <v>-</v>
      </c>
      <c r="S360">
        <f>Table3[[#This Row],[Fiscal_Year]]</f>
        <v>0</v>
      </c>
      <c r="T360">
        <f>Table3[[#This Row],[Fiscal_Week]]</f>
        <v>0</v>
      </c>
      <c r="U360">
        <f>Table3[[#This Row],[Brand]]</f>
        <v>0</v>
      </c>
      <c r="V360">
        <f>Table3[[#This Row],[Demand]]</f>
        <v>0</v>
      </c>
      <c r="W360" t="e">
        <f>Table3[[#This Row],[OFC]]*Table3[[#This Row],[Demand]]</f>
        <v>#N/A</v>
      </c>
      <c r="X360" t="e">
        <f>Table3[[#This Row],[TFC]]*Table3[[#This Row],[Demand]]</f>
        <v>#N/A</v>
      </c>
      <c r="Y360" t="e">
        <f>Table3[[#This Row],[WFC]]*Table3[[#This Row],[Demand]]</f>
        <v>#N/A</v>
      </c>
      <c r="Z360" t="e">
        <f>Table3[[#This Row],[EAO]]*Table3[[#This Row],[Demand]]</f>
        <v>#N/A</v>
      </c>
      <c r="AA360" t="e">
        <f>Table3[[#This Row],[OCC]]*Table3[[#This Row],[Demand]]</f>
        <v>#N/A</v>
      </c>
      <c r="AB360" t="e">
        <f>Table3[[#This Row],[WEO]]*Table3[[#This Row],[Demand]]</f>
        <v>#N/A</v>
      </c>
      <c r="AC360" s="19" t="e">
        <f>SUM(Table35[[#This Row],[OFC]:[WEO]])</f>
        <v>#N/A</v>
      </c>
      <c r="AD360" s="19" t="e">
        <f>Table35[[#This Row],[Demand]]-Table35[[#This Row],[Total_Modeled_Demand]]</f>
        <v>#N/A</v>
      </c>
    </row>
    <row r="361" spans="2:30" x14ac:dyDescent="0.3">
      <c r="B361" s="3" t="str">
        <f>Table3[[#This Row],[Fiscal_Year]]*100+Table3[[#This Row],[Fiscal_Week]] &amp; "-" &amp;Table3[[#This Row],[Brand]]</f>
        <v>0-</v>
      </c>
      <c r="C361" t="str">
        <f t="shared" si="5"/>
        <v>-</v>
      </c>
      <c r="H361" s="3" t="e">
        <f>INDEX(Demand_Modeling!$A$13:$I$49,MATCH(Table3[[#This Row],[Key]],Demand_Modeling!$A$13:$A$49,0),MATCH(Table3[[#Headers],[OFC]],Demand_Modeling!$A$13:$I$13,0))</f>
        <v>#N/A</v>
      </c>
      <c r="I361" s="3" t="e">
        <f>INDEX(Demand_Modeling!$A$13:$I$49,MATCH(Table3[[#This Row],[Key]],Demand_Modeling!$A$13:$A$49,0),MATCH(Table3[[#Headers],[TFC]],Demand_Modeling!$A$13:$I$13,0))</f>
        <v>#N/A</v>
      </c>
      <c r="J361" s="3" t="e">
        <f>INDEX(Demand_Modeling!$A$13:$I$49,MATCH(Table3[[#This Row],[Key]],Demand_Modeling!$A$13:$A$49,0),MATCH(Table3[[#Headers],[WFC]],Demand_Modeling!$A$13:$I$13,0))</f>
        <v>#N/A</v>
      </c>
      <c r="K361" s="3" t="e">
        <f>INDEX(Demand_Modeling!$A$13:$I$49,MATCH(Table3[[#This Row],[Key]],Demand_Modeling!$A$13:$A$49,0),MATCH(Table3[[#Headers],[EAO]],Demand_Modeling!$A$13:$I$13,0))</f>
        <v>#N/A</v>
      </c>
      <c r="L361" s="3" t="e">
        <f>INDEX(Demand_Modeling!$A$13:$I$49,MATCH(Table3[[#This Row],[Key]],Demand_Modeling!$A$13:$A$49,0),MATCH(Table3[[#Headers],[OCC]],Demand_Modeling!$A$13:$I$13,0))</f>
        <v>#N/A</v>
      </c>
      <c r="M361" s="3" t="e">
        <f>INDEX(Demand_Modeling!$A$13:$I$49,MATCH(Table3[[#This Row],[Key]],Demand_Modeling!$A$13:$A$49,0),MATCH(Table3[[#Headers],[WEO]],Demand_Modeling!$A$13:$I$13,0))</f>
        <v>#N/A</v>
      </c>
      <c r="N361" s="19" t="e">
        <f>SUM(Table3[[#This Row],[OFC]:[WEO]])</f>
        <v>#N/A</v>
      </c>
      <c r="O361" s="19"/>
      <c r="Q361" s="3" t="str">
        <f>Table35[[#This Row],[Fiscal_Year]]*100+Table35[[#This Row],[Fiscal_Week]] &amp; "-" &amp;Table35[[#This Row],[Brand]]</f>
        <v>0-0</v>
      </c>
      <c r="R361" t="str">
        <f>Table3[[#This Row],[Key]]</f>
        <v>-</v>
      </c>
      <c r="S361">
        <f>Table3[[#This Row],[Fiscal_Year]]</f>
        <v>0</v>
      </c>
      <c r="T361">
        <f>Table3[[#This Row],[Fiscal_Week]]</f>
        <v>0</v>
      </c>
      <c r="U361">
        <f>Table3[[#This Row],[Brand]]</f>
        <v>0</v>
      </c>
      <c r="V361">
        <f>Table3[[#This Row],[Demand]]</f>
        <v>0</v>
      </c>
      <c r="W361" t="e">
        <f>Table3[[#This Row],[OFC]]*Table3[[#This Row],[Demand]]</f>
        <v>#N/A</v>
      </c>
      <c r="X361" t="e">
        <f>Table3[[#This Row],[TFC]]*Table3[[#This Row],[Demand]]</f>
        <v>#N/A</v>
      </c>
      <c r="Y361" t="e">
        <f>Table3[[#This Row],[WFC]]*Table3[[#This Row],[Demand]]</f>
        <v>#N/A</v>
      </c>
      <c r="Z361" t="e">
        <f>Table3[[#This Row],[EAO]]*Table3[[#This Row],[Demand]]</f>
        <v>#N/A</v>
      </c>
      <c r="AA361" t="e">
        <f>Table3[[#This Row],[OCC]]*Table3[[#This Row],[Demand]]</f>
        <v>#N/A</v>
      </c>
      <c r="AB361" t="e">
        <f>Table3[[#This Row],[WEO]]*Table3[[#This Row],[Demand]]</f>
        <v>#N/A</v>
      </c>
      <c r="AC361" s="19" t="e">
        <f>SUM(Table35[[#This Row],[OFC]:[WEO]])</f>
        <v>#N/A</v>
      </c>
      <c r="AD361" s="19" t="e">
        <f>Table35[[#This Row],[Demand]]-Table35[[#This Row],[Total_Modeled_Demand]]</f>
        <v>#N/A</v>
      </c>
    </row>
    <row r="362" spans="2:30" x14ac:dyDescent="0.3">
      <c r="B362" s="3" t="str">
        <f>Table3[[#This Row],[Fiscal_Year]]*100+Table3[[#This Row],[Fiscal_Week]] &amp; "-" &amp;Table3[[#This Row],[Brand]]</f>
        <v>0-</v>
      </c>
      <c r="C362" t="str">
        <f t="shared" si="5"/>
        <v>-</v>
      </c>
      <c r="H362" s="3" t="e">
        <f>INDEX(Demand_Modeling!$A$13:$I$49,MATCH(Table3[[#This Row],[Key]],Demand_Modeling!$A$13:$A$49,0),MATCH(Table3[[#Headers],[OFC]],Demand_Modeling!$A$13:$I$13,0))</f>
        <v>#N/A</v>
      </c>
      <c r="I362" s="3" t="e">
        <f>INDEX(Demand_Modeling!$A$13:$I$49,MATCH(Table3[[#This Row],[Key]],Demand_Modeling!$A$13:$A$49,0),MATCH(Table3[[#Headers],[TFC]],Demand_Modeling!$A$13:$I$13,0))</f>
        <v>#N/A</v>
      </c>
      <c r="J362" s="3" t="e">
        <f>INDEX(Demand_Modeling!$A$13:$I$49,MATCH(Table3[[#This Row],[Key]],Demand_Modeling!$A$13:$A$49,0),MATCH(Table3[[#Headers],[WFC]],Demand_Modeling!$A$13:$I$13,0))</f>
        <v>#N/A</v>
      </c>
      <c r="K362" s="3" t="e">
        <f>INDEX(Demand_Modeling!$A$13:$I$49,MATCH(Table3[[#This Row],[Key]],Demand_Modeling!$A$13:$A$49,0),MATCH(Table3[[#Headers],[EAO]],Demand_Modeling!$A$13:$I$13,0))</f>
        <v>#N/A</v>
      </c>
      <c r="L362" s="3" t="e">
        <f>INDEX(Demand_Modeling!$A$13:$I$49,MATCH(Table3[[#This Row],[Key]],Demand_Modeling!$A$13:$A$49,0),MATCH(Table3[[#Headers],[OCC]],Demand_Modeling!$A$13:$I$13,0))</f>
        <v>#N/A</v>
      </c>
      <c r="M362" s="3" t="e">
        <f>INDEX(Demand_Modeling!$A$13:$I$49,MATCH(Table3[[#This Row],[Key]],Demand_Modeling!$A$13:$A$49,0),MATCH(Table3[[#Headers],[WEO]],Demand_Modeling!$A$13:$I$13,0))</f>
        <v>#N/A</v>
      </c>
      <c r="N362" s="19" t="e">
        <f>SUM(Table3[[#This Row],[OFC]:[WEO]])</f>
        <v>#N/A</v>
      </c>
      <c r="O362" s="19"/>
      <c r="Q362" s="3" t="str">
        <f>Table35[[#This Row],[Fiscal_Year]]*100+Table35[[#This Row],[Fiscal_Week]] &amp; "-" &amp;Table35[[#This Row],[Brand]]</f>
        <v>0-0</v>
      </c>
      <c r="R362" t="str">
        <f>Table3[[#This Row],[Key]]</f>
        <v>-</v>
      </c>
      <c r="S362">
        <f>Table3[[#This Row],[Fiscal_Year]]</f>
        <v>0</v>
      </c>
      <c r="T362">
        <f>Table3[[#This Row],[Fiscal_Week]]</f>
        <v>0</v>
      </c>
      <c r="U362">
        <f>Table3[[#This Row],[Brand]]</f>
        <v>0</v>
      </c>
      <c r="V362">
        <f>Table3[[#This Row],[Demand]]</f>
        <v>0</v>
      </c>
      <c r="W362" t="e">
        <f>Table3[[#This Row],[OFC]]*Table3[[#This Row],[Demand]]</f>
        <v>#N/A</v>
      </c>
      <c r="X362" t="e">
        <f>Table3[[#This Row],[TFC]]*Table3[[#This Row],[Demand]]</f>
        <v>#N/A</v>
      </c>
      <c r="Y362" t="e">
        <f>Table3[[#This Row],[WFC]]*Table3[[#This Row],[Demand]]</f>
        <v>#N/A</v>
      </c>
      <c r="Z362" t="e">
        <f>Table3[[#This Row],[EAO]]*Table3[[#This Row],[Demand]]</f>
        <v>#N/A</v>
      </c>
      <c r="AA362" t="e">
        <f>Table3[[#This Row],[OCC]]*Table3[[#This Row],[Demand]]</f>
        <v>#N/A</v>
      </c>
      <c r="AB362" t="e">
        <f>Table3[[#This Row],[WEO]]*Table3[[#This Row],[Demand]]</f>
        <v>#N/A</v>
      </c>
      <c r="AC362" s="19" t="e">
        <f>SUM(Table35[[#This Row],[OFC]:[WEO]])</f>
        <v>#N/A</v>
      </c>
      <c r="AD362" s="19" t="e">
        <f>Table35[[#This Row],[Demand]]-Table35[[#This Row],[Total_Modeled_Demand]]</f>
        <v>#N/A</v>
      </c>
    </row>
    <row r="363" spans="2:30" x14ac:dyDescent="0.3">
      <c r="B363" s="3" t="str">
        <f>Table3[[#This Row],[Fiscal_Year]]*100+Table3[[#This Row],[Fiscal_Week]] &amp; "-" &amp;Table3[[#This Row],[Brand]]</f>
        <v>0-</v>
      </c>
      <c r="C363" t="str">
        <f t="shared" si="5"/>
        <v>-</v>
      </c>
      <c r="H363" s="3" t="e">
        <f>INDEX(Demand_Modeling!$A$13:$I$49,MATCH(Table3[[#This Row],[Key]],Demand_Modeling!$A$13:$A$49,0),MATCH(Table3[[#Headers],[OFC]],Demand_Modeling!$A$13:$I$13,0))</f>
        <v>#N/A</v>
      </c>
      <c r="I363" s="3" t="e">
        <f>INDEX(Demand_Modeling!$A$13:$I$49,MATCH(Table3[[#This Row],[Key]],Demand_Modeling!$A$13:$A$49,0),MATCH(Table3[[#Headers],[TFC]],Demand_Modeling!$A$13:$I$13,0))</f>
        <v>#N/A</v>
      </c>
      <c r="J363" s="3" t="e">
        <f>INDEX(Demand_Modeling!$A$13:$I$49,MATCH(Table3[[#This Row],[Key]],Demand_Modeling!$A$13:$A$49,0),MATCH(Table3[[#Headers],[WFC]],Demand_Modeling!$A$13:$I$13,0))</f>
        <v>#N/A</v>
      </c>
      <c r="K363" s="3" t="e">
        <f>INDEX(Demand_Modeling!$A$13:$I$49,MATCH(Table3[[#This Row],[Key]],Demand_Modeling!$A$13:$A$49,0),MATCH(Table3[[#Headers],[EAO]],Demand_Modeling!$A$13:$I$13,0))</f>
        <v>#N/A</v>
      </c>
      <c r="L363" s="3" t="e">
        <f>INDEX(Demand_Modeling!$A$13:$I$49,MATCH(Table3[[#This Row],[Key]],Demand_Modeling!$A$13:$A$49,0),MATCH(Table3[[#Headers],[OCC]],Demand_Modeling!$A$13:$I$13,0))</f>
        <v>#N/A</v>
      </c>
      <c r="M363" s="3" t="e">
        <f>INDEX(Demand_Modeling!$A$13:$I$49,MATCH(Table3[[#This Row],[Key]],Demand_Modeling!$A$13:$A$49,0),MATCH(Table3[[#Headers],[WEO]],Demand_Modeling!$A$13:$I$13,0))</f>
        <v>#N/A</v>
      </c>
      <c r="N363" s="19" t="e">
        <f>SUM(Table3[[#This Row],[OFC]:[WEO]])</f>
        <v>#N/A</v>
      </c>
      <c r="O363" s="19"/>
      <c r="Q363" s="3" t="str">
        <f>Table35[[#This Row],[Fiscal_Year]]*100+Table35[[#This Row],[Fiscal_Week]] &amp; "-" &amp;Table35[[#This Row],[Brand]]</f>
        <v>0-0</v>
      </c>
      <c r="R363" t="str">
        <f>Table3[[#This Row],[Key]]</f>
        <v>-</v>
      </c>
      <c r="S363">
        <f>Table3[[#This Row],[Fiscal_Year]]</f>
        <v>0</v>
      </c>
      <c r="T363">
        <f>Table3[[#This Row],[Fiscal_Week]]</f>
        <v>0</v>
      </c>
      <c r="U363">
        <f>Table3[[#This Row],[Brand]]</f>
        <v>0</v>
      </c>
      <c r="V363">
        <f>Table3[[#This Row],[Demand]]</f>
        <v>0</v>
      </c>
      <c r="W363" t="e">
        <f>Table3[[#This Row],[OFC]]*Table3[[#This Row],[Demand]]</f>
        <v>#N/A</v>
      </c>
      <c r="X363" t="e">
        <f>Table3[[#This Row],[TFC]]*Table3[[#This Row],[Demand]]</f>
        <v>#N/A</v>
      </c>
      <c r="Y363" t="e">
        <f>Table3[[#This Row],[WFC]]*Table3[[#This Row],[Demand]]</f>
        <v>#N/A</v>
      </c>
      <c r="Z363" t="e">
        <f>Table3[[#This Row],[EAO]]*Table3[[#This Row],[Demand]]</f>
        <v>#N/A</v>
      </c>
      <c r="AA363" t="e">
        <f>Table3[[#This Row],[OCC]]*Table3[[#This Row],[Demand]]</f>
        <v>#N/A</v>
      </c>
      <c r="AB363" t="e">
        <f>Table3[[#This Row],[WEO]]*Table3[[#This Row],[Demand]]</f>
        <v>#N/A</v>
      </c>
      <c r="AC363" s="19" t="e">
        <f>SUM(Table35[[#This Row],[OFC]:[WEO]])</f>
        <v>#N/A</v>
      </c>
      <c r="AD363" s="19" t="e">
        <f>Table35[[#This Row],[Demand]]-Table35[[#This Row],[Total_Modeled_Demand]]</f>
        <v>#N/A</v>
      </c>
    </row>
    <row r="364" spans="2:30" x14ac:dyDescent="0.3">
      <c r="B364" s="3" t="str">
        <f>Table3[[#This Row],[Fiscal_Year]]*100+Table3[[#This Row],[Fiscal_Week]] &amp; "-" &amp;Table3[[#This Row],[Brand]]</f>
        <v>0-</v>
      </c>
      <c r="C364" t="str">
        <f t="shared" si="5"/>
        <v>-</v>
      </c>
      <c r="H364" s="3" t="e">
        <f>INDEX(Demand_Modeling!$A$13:$I$49,MATCH(Table3[[#This Row],[Key]],Demand_Modeling!$A$13:$A$49,0),MATCH(Table3[[#Headers],[OFC]],Demand_Modeling!$A$13:$I$13,0))</f>
        <v>#N/A</v>
      </c>
      <c r="I364" s="3" t="e">
        <f>INDEX(Demand_Modeling!$A$13:$I$49,MATCH(Table3[[#This Row],[Key]],Demand_Modeling!$A$13:$A$49,0),MATCH(Table3[[#Headers],[TFC]],Demand_Modeling!$A$13:$I$13,0))</f>
        <v>#N/A</v>
      </c>
      <c r="J364" s="3" t="e">
        <f>INDEX(Demand_Modeling!$A$13:$I$49,MATCH(Table3[[#This Row],[Key]],Demand_Modeling!$A$13:$A$49,0),MATCH(Table3[[#Headers],[WFC]],Demand_Modeling!$A$13:$I$13,0))</f>
        <v>#N/A</v>
      </c>
      <c r="K364" s="3" t="e">
        <f>INDEX(Demand_Modeling!$A$13:$I$49,MATCH(Table3[[#This Row],[Key]],Demand_Modeling!$A$13:$A$49,0),MATCH(Table3[[#Headers],[EAO]],Demand_Modeling!$A$13:$I$13,0))</f>
        <v>#N/A</v>
      </c>
      <c r="L364" s="3" t="e">
        <f>INDEX(Demand_Modeling!$A$13:$I$49,MATCH(Table3[[#This Row],[Key]],Demand_Modeling!$A$13:$A$49,0),MATCH(Table3[[#Headers],[OCC]],Demand_Modeling!$A$13:$I$13,0))</f>
        <v>#N/A</v>
      </c>
      <c r="M364" s="3" t="e">
        <f>INDEX(Demand_Modeling!$A$13:$I$49,MATCH(Table3[[#This Row],[Key]],Demand_Modeling!$A$13:$A$49,0),MATCH(Table3[[#Headers],[WEO]],Demand_Modeling!$A$13:$I$13,0))</f>
        <v>#N/A</v>
      </c>
      <c r="N364" s="19" t="e">
        <f>SUM(Table3[[#This Row],[OFC]:[WEO]])</f>
        <v>#N/A</v>
      </c>
      <c r="O364" s="19"/>
      <c r="Q364" s="3" t="str">
        <f>Table35[[#This Row],[Fiscal_Year]]*100+Table35[[#This Row],[Fiscal_Week]] &amp; "-" &amp;Table35[[#This Row],[Brand]]</f>
        <v>0-0</v>
      </c>
      <c r="R364" t="str">
        <f>Table3[[#This Row],[Key]]</f>
        <v>-</v>
      </c>
      <c r="S364">
        <f>Table3[[#This Row],[Fiscal_Year]]</f>
        <v>0</v>
      </c>
      <c r="T364">
        <f>Table3[[#This Row],[Fiscal_Week]]</f>
        <v>0</v>
      </c>
      <c r="U364">
        <f>Table3[[#This Row],[Brand]]</f>
        <v>0</v>
      </c>
      <c r="V364">
        <f>Table3[[#This Row],[Demand]]</f>
        <v>0</v>
      </c>
      <c r="W364" t="e">
        <f>Table3[[#This Row],[OFC]]*Table3[[#This Row],[Demand]]</f>
        <v>#N/A</v>
      </c>
      <c r="X364" t="e">
        <f>Table3[[#This Row],[TFC]]*Table3[[#This Row],[Demand]]</f>
        <v>#N/A</v>
      </c>
      <c r="Y364" t="e">
        <f>Table3[[#This Row],[WFC]]*Table3[[#This Row],[Demand]]</f>
        <v>#N/A</v>
      </c>
      <c r="Z364" t="e">
        <f>Table3[[#This Row],[EAO]]*Table3[[#This Row],[Demand]]</f>
        <v>#N/A</v>
      </c>
      <c r="AA364" t="e">
        <f>Table3[[#This Row],[OCC]]*Table3[[#This Row],[Demand]]</f>
        <v>#N/A</v>
      </c>
      <c r="AB364" t="e">
        <f>Table3[[#This Row],[WEO]]*Table3[[#This Row],[Demand]]</f>
        <v>#N/A</v>
      </c>
      <c r="AC364" s="19" t="e">
        <f>SUM(Table35[[#This Row],[OFC]:[WEO]])</f>
        <v>#N/A</v>
      </c>
      <c r="AD364" s="19" t="e">
        <f>Table35[[#This Row],[Demand]]-Table35[[#This Row],[Total_Modeled_Demand]]</f>
        <v>#N/A</v>
      </c>
    </row>
    <row r="365" spans="2:30" x14ac:dyDescent="0.3">
      <c r="B365" s="3" t="str">
        <f>Table3[[#This Row],[Fiscal_Year]]*100+Table3[[#This Row],[Fiscal_Week]] &amp; "-" &amp;Table3[[#This Row],[Brand]]</f>
        <v>0-</v>
      </c>
      <c r="C365" t="str">
        <f t="shared" si="5"/>
        <v>-</v>
      </c>
      <c r="H365" s="3" t="e">
        <f>INDEX(Demand_Modeling!$A$13:$I$49,MATCH(Table3[[#This Row],[Key]],Demand_Modeling!$A$13:$A$49,0),MATCH(Table3[[#Headers],[OFC]],Demand_Modeling!$A$13:$I$13,0))</f>
        <v>#N/A</v>
      </c>
      <c r="I365" s="3" t="e">
        <f>INDEX(Demand_Modeling!$A$13:$I$49,MATCH(Table3[[#This Row],[Key]],Demand_Modeling!$A$13:$A$49,0),MATCH(Table3[[#Headers],[TFC]],Demand_Modeling!$A$13:$I$13,0))</f>
        <v>#N/A</v>
      </c>
      <c r="J365" s="3" t="e">
        <f>INDEX(Demand_Modeling!$A$13:$I$49,MATCH(Table3[[#This Row],[Key]],Demand_Modeling!$A$13:$A$49,0),MATCH(Table3[[#Headers],[WFC]],Demand_Modeling!$A$13:$I$13,0))</f>
        <v>#N/A</v>
      </c>
      <c r="K365" s="3" t="e">
        <f>INDEX(Demand_Modeling!$A$13:$I$49,MATCH(Table3[[#This Row],[Key]],Demand_Modeling!$A$13:$A$49,0),MATCH(Table3[[#Headers],[EAO]],Demand_Modeling!$A$13:$I$13,0))</f>
        <v>#N/A</v>
      </c>
      <c r="L365" s="3" t="e">
        <f>INDEX(Demand_Modeling!$A$13:$I$49,MATCH(Table3[[#This Row],[Key]],Demand_Modeling!$A$13:$A$49,0),MATCH(Table3[[#Headers],[OCC]],Demand_Modeling!$A$13:$I$13,0))</f>
        <v>#N/A</v>
      </c>
      <c r="M365" s="3" t="e">
        <f>INDEX(Demand_Modeling!$A$13:$I$49,MATCH(Table3[[#This Row],[Key]],Demand_Modeling!$A$13:$A$49,0),MATCH(Table3[[#Headers],[WEO]],Demand_Modeling!$A$13:$I$13,0))</f>
        <v>#N/A</v>
      </c>
      <c r="N365" s="19" t="e">
        <f>SUM(Table3[[#This Row],[OFC]:[WEO]])</f>
        <v>#N/A</v>
      </c>
      <c r="O365" s="19"/>
      <c r="Q365" s="3" t="str">
        <f>Table35[[#This Row],[Fiscal_Year]]*100+Table35[[#This Row],[Fiscal_Week]] &amp; "-" &amp;Table35[[#This Row],[Brand]]</f>
        <v>0-0</v>
      </c>
      <c r="R365" t="str">
        <f>Table3[[#This Row],[Key]]</f>
        <v>-</v>
      </c>
      <c r="S365">
        <f>Table3[[#This Row],[Fiscal_Year]]</f>
        <v>0</v>
      </c>
      <c r="T365">
        <f>Table3[[#This Row],[Fiscal_Week]]</f>
        <v>0</v>
      </c>
      <c r="U365">
        <f>Table3[[#This Row],[Brand]]</f>
        <v>0</v>
      </c>
      <c r="V365">
        <f>Table3[[#This Row],[Demand]]</f>
        <v>0</v>
      </c>
      <c r="W365" t="e">
        <f>Table3[[#This Row],[OFC]]*Table3[[#This Row],[Demand]]</f>
        <v>#N/A</v>
      </c>
      <c r="X365" t="e">
        <f>Table3[[#This Row],[TFC]]*Table3[[#This Row],[Demand]]</f>
        <v>#N/A</v>
      </c>
      <c r="Y365" t="e">
        <f>Table3[[#This Row],[WFC]]*Table3[[#This Row],[Demand]]</f>
        <v>#N/A</v>
      </c>
      <c r="Z365" t="e">
        <f>Table3[[#This Row],[EAO]]*Table3[[#This Row],[Demand]]</f>
        <v>#N/A</v>
      </c>
      <c r="AA365" t="e">
        <f>Table3[[#This Row],[OCC]]*Table3[[#This Row],[Demand]]</f>
        <v>#N/A</v>
      </c>
      <c r="AB365" t="e">
        <f>Table3[[#This Row],[WEO]]*Table3[[#This Row],[Demand]]</f>
        <v>#N/A</v>
      </c>
      <c r="AC365" s="19" t="e">
        <f>SUM(Table35[[#This Row],[OFC]:[WEO]])</f>
        <v>#N/A</v>
      </c>
      <c r="AD365" s="19" t="e">
        <f>Table35[[#This Row],[Demand]]-Table35[[#This Row],[Total_Modeled_Demand]]</f>
        <v>#N/A</v>
      </c>
    </row>
    <row r="366" spans="2:30" x14ac:dyDescent="0.3">
      <c r="B366" s="3" t="str">
        <f>Table3[[#This Row],[Fiscal_Year]]*100+Table3[[#This Row],[Fiscal_Week]] &amp; "-" &amp;Table3[[#This Row],[Brand]]</f>
        <v>0-</v>
      </c>
      <c r="C366" t="str">
        <f t="shared" si="5"/>
        <v>-</v>
      </c>
      <c r="H366" s="3" t="e">
        <f>INDEX(Demand_Modeling!$A$13:$I$49,MATCH(Table3[[#This Row],[Key]],Demand_Modeling!$A$13:$A$49,0),MATCH(Table3[[#Headers],[OFC]],Demand_Modeling!$A$13:$I$13,0))</f>
        <v>#N/A</v>
      </c>
      <c r="I366" s="3" t="e">
        <f>INDEX(Demand_Modeling!$A$13:$I$49,MATCH(Table3[[#This Row],[Key]],Demand_Modeling!$A$13:$A$49,0),MATCH(Table3[[#Headers],[TFC]],Demand_Modeling!$A$13:$I$13,0))</f>
        <v>#N/A</v>
      </c>
      <c r="J366" s="3" t="e">
        <f>INDEX(Demand_Modeling!$A$13:$I$49,MATCH(Table3[[#This Row],[Key]],Demand_Modeling!$A$13:$A$49,0),MATCH(Table3[[#Headers],[WFC]],Demand_Modeling!$A$13:$I$13,0))</f>
        <v>#N/A</v>
      </c>
      <c r="K366" s="3" t="e">
        <f>INDEX(Demand_Modeling!$A$13:$I$49,MATCH(Table3[[#This Row],[Key]],Demand_Modeling!$A$13:$A$49,0),MATCH(Table3[[#Headers],[EAO]],Demand_Modeling!$A$13:$I$13,0))</f>
        <v>#N/A</v>
      </c>
      <c r="L366" s="3" t="e">
        <f>INDEX(Demand_Modeling!$A$13:$I$49,MATCH(Table3[[#This Row],[Key]],Demand_Modeling!$A$13:$A$49,0),MATCH(Table3[[#Headers],[OCC]],Demand_Modeling!$A$13:$I$13,0))</f>
        <v>#N/A</v>
      </c>
      <c r="M366" s="3" t="e">
        <f>INDEX(Demand_Modeling!$A$13:$I$49,MATCH(Table3[[#This Row],[Key]],Demand_Modeling!$A$13:$A$49,0),MATCH(Table3[[#Headers],[WEO]],Demand_Modeling!$A$13:$I$13,0))</f>
        <v>#N/A</v>
      </c>
      <c r="N366" s="19" t="e">
        <f>SUM(Table3[[#This Row],[OFC]:[WEO]])</f>
        <v>#N/A</v>
      </c>
      <c r="O366" s="19"/>
      <c r="Q366" s="3" t="str">
        <f>Table35[[#This Row],[Fiscal_Year]]*100+Table35[[#This Row],[Fiscal_Week]] &amp; "-" &amp;Table35[[#This Row],[Brand]]</f>
        <v>0-0</v>
      </c>
      <c r="R366" t="str">
        <f>Table3[[#This Row],[Key]]</f>
        <v>-</v>
      </c>
      <c r="S366">
        <f>Table3[[#This Row],[Fiscal_Year]]</f>
        <v>0</v>
      </c>
      <c r="T366">
        <f>Table3[[#This Row],[Fiscal_Week]]</f>
        <v>0</v>
      </c>
      <c r="U366">
        <f>Table3[[#This Row],[Brand]]</f>
        <v>0</v>
      </c>
      <c r="V366">
        <f>Table3[[#This Row],[Demand]]</f>
        <v>0</v>
      </c>
      <c r="W366" t="e">
        <f>Table3[[#This Row],[OFC]]*Table3[[#This Row],[Demand]]</f>
        <v>#N/A</v>
      </c>
      <c r="X366" t="e">
        <f>Table3[[#This Row],[TFC]]*Table3[[#This Row],[Demand]]</f>
        <v>#N/A</v>
      </c>
      <c r="Y366" t="e">
        <f>Table3[[#This Row],[WFC]]*Table3[[#This Row],[Demand]]</f>
        <v>#N/A</v>
      </c>
      <c r="Z366" t="e">
        <f>Table3[[#This Row],[EAO]]*Table3[[#This Row],[Demand]]</f>
        <v>#N/A</v>
      </c>
      <c r="AA366" t="e">
        <f>Table3[[#This Row],[OCC]]*Table3[[#This Row],[Demand]]</f>
        <v>#N/A</v>
      </c>
      <c r="AB366" t="e">
        <f>Table3[[#This Row],[WEO]]*Table3[[#This Row],[Demand]]</f>
        <v>#N/A</v>
      </c>
      <c r="AC366" s="19" t="e">
        <f>SUM(Table35[[#This Row],[OFC]:[WEO]])</f>
        <v>#N/A</v>
      </c>
      <c r="AD366" s="19" t="e">
        <f>Table35[[#This Row],[Demand]]-Table35[[#This Row],[Total_Modeled_Demand]]</f>
        <v>#N/A</v>
      </c>
    </row>
    <row r="367" spans="2:30" x14ac:dyDescent="0.3">
      <c r="B367" s="3" t="str">
        <f>Table3[[#This Row],[Fiscal_Year]]*100+Table3[[#This Row],[Fiscal_Week]] &amp; "-" &amp;Table3[[#This Row],[Brand]]</f>
        <v>0-</v>
      </c>
      <c r="C367" t="str">
        <f t="shared" si="5"/>
        <v>-</v>
      </c>
      <c r="H367" s="3" t="e">
        <f>INDEX(Demand_Modeling!$A$13:$I$49,MATCH(Table3[[#This Row],[Key]],Demand_Modeling!$A$13:$A$49,0),MATCH(Table3[[#Headers],[OFC]],Demand_Modeling!$A$13:$I$13,0))</f>
        <v>#N/A</v>
      </c>
      <c r="I367" s="3" t="e">
        <f>INDEX(Demand_Modeling!$A$13:$I$49,MATCH(Table3[[#This Row],[Key]],Demand_Modeling!$A$13:$A$49,0),MATCH(Table3[[#Headers],[TFC]],Demand_Modeling!$A$13:$I$13,0))</f>
        <v>#N/A</v>
      </c>
      <c r="J367" s="3" t="e">
        <f>INDEX(Demand_Modeling!$A$13:$I$49,MATCH(Table3[[#This Row],[Key]],Demand_Modeling!$A$13:$A$49,0),MATCH(Table3[[#Headers],[WFC]],Demand_Modeling!$A$13:$I$13,0))</f>
        <v>#N/A</v>
      </c>
      <c r="K367" s="3" t="e">
        <f>INDEX(Demand_Modeling!$A$13:$I$49,MATCH(Table3[[#This Row],[Key]],Demand_Modeling!$A$13:$A$49,0),MATCH(Table3[[#Headers],[EAO]],Demand_Modeling!$A$13:$I$13,0))</f>
        <v>#N/A</v>
      </c>
      <c r="L367" s="3" t="e">
        <f>INDEX(Demand_Modeling!$A$13:$I$49,MATCH(Table3[[#This Row],[Key]],Demand_Modeling!$A$13:$A$49,0),MATCH(Table3[[#Headers],[OCC]],Demand_Modeling!$A$13:$I$13,0))</f>
        <v>#N/A</v>
      </c>
      <c r="M367" s="3" t="e">
        <f>INDEX(Demand_Modeling!$A$13:$I$49,MATCH(Table3[[#This Row],[Key]],Demand_Modeling!$A$13:$A$49,0),MATCH(Table3[[#Headers],[WEO]],Demand_Modeling!$A$13:$I$13,0))</f>
        <v>#N/A</v>
      </c>
      <c r="N367" s="19" t="e">
        <f>SUM(Table3[[#This Row],[OFC]:[WEO]])</f>
        <v>#N/A</v>
      </c>
      <c r="O367" s="19"/>
      <c r="Q367" s="3" t="str">
        <f>Table35[[#This Row],[Fiscal_Year]]*100+Table35[[#This Row],[Fiscal_Week]] &amp; "-" &amp;Table35[[#This Row],[Brand]]</f>
        <v>0-0</v>
      </c>
      <c r="R367" t="str">
        <f>Table3[[#This Row],[Key]]</f>
        <v>-</v>
      </c>
      <c r="S367">
        <f>Table3[[#This Row],[Fiscal_Year]]</f>
        <v>0</v>
      </c>
      <c r="T367">
        <f>Table3[[#This Row],[Fiscal_Week]]</f>
        <v>0</v>
      </c>
      <c r="U367">
        <f>Table3[[#This Row],[Brand]]</f>
        <v>0</v>
      </c>
      <c r="V367">
        <f>Table3[[#This Row],[Demand]]</f>
        <v>0</v>
      </c>
      <c r="W367" t="e">
        <f>Table3[[#This Row],[OFC]]*Table3[[#This Row],[Demand]]</f>
        <v>#N/A</v>
      </c>
      <c r="X367" t="e">
        <f>Table3[[#This Row],[TFC]]*Table3[[#This Row],[Demand]]</f>
        <v>#N/A</v>
      </c>
      <c r="Y367" t="e">
        <f>Table3[[#This Row],[WFC]]*Table3[[#This Row],[Demand]]</f>
        <v>#N/A</v>
      </c>
      <c r="Z367" t="e">
        <f>Table3[[#This Row],[EAO]]*Table3[[#This Row],[Demand]]</f>
        <v>#N/A</v>
      </c>
      <c r="AA367" t="e">
        <f>Table3[[#This Row],[OCC]]*Table3[[#This Row],[Demand]]</f>
        <v>#N/A</v>
      </c>
      <c r="AB367" t="e">
        <f>Table3[[#This Row],[WEO]]*Table3[[#This Row],[Demand]]</f>
        <v>#N/A</v>
      </c>
      <c r="AC367" s="19" t="e">
        <f>SUM(Table35[[#This Row],[OFC]:[WEO]])</f>
        <v>#N/A</v>
      </c>
      <c r="AD367" s="19" t="e">
        <f>Table35[[#This Row],[Demand]]-Table35[[#This Row],[Total_Modeled_Demand]]</f>
        <v>#N/A</v>
      </c>
    </row>
    <row r="368" spans="2:30" x14ac:dyDescent="0.3">
      <c r="B368" s="3" t="str">
        <f>Table3[[#This Row],[Fiscal_Year]]*100+Table3[[#This Row],[Fiscal_Week]] &amp; "-" &amp;Table3[[#This Row],[Brand]]</f>
        <v>0-</v>
      </c>
      <c r="C368" t="str">
        <f t="shared" si="5"/>
        <v>-</v>
      </c>
      <c r="H368" s="3" t="e">
        <f>INDEX(Demand_Modeling!$A$13:$I$49,MATCH(Table3[[#This Row],[Key]],Demand_Modeling!$A$13:$A$49,0),MATCH(Table3[[#Headers],[OFC]],Demand_Modeling!$A$13:$I$13,0))</f>
        <v>#N/A</v>
      </c>
      <c r="I368" s="3" t="e">
        <f>INDEX(Demand_Modeling!$A$13:$I$49,MATCH(Table3[[#This Row],[Key]],Demand_Modeling!$A$13:$A$49,0),MATCH(Table3[[#Headers],[TFC]],Demand_Modeling!$A$13:$I$13,0))</f>
        <v>#N/A</v>
      </c>
      <c r="J368" s="3" t="e">
        <f>INDEX(Demand_Modeling!$A$13:$I$49,MATCH(Table3[[#This Row],[Key]],Demand_Modeling!$A$13:$A$49,0),MATCH(Table3[[#Headers],[WFC]],Demand_Modeling!$A$13:$I$13,0))</f>
        <v>#N/A</v>
      </c>
      <c r="K368" s="3" t="e">
        <f>INDEX(Demand_Modeling!$A$13:$I$49,MATCH(Table3[[#This Row],[Key]],Demand_Modeling!$A$13:$A$49,0),MATCH(Table3[[#Headers],[EAO]],Demand_Modeling!$A$13:$I$13,0))</f>
        <v>#N/A</v>
      </c>
      <c r="L368" s="3" t="e">
        <f>INDEX(Demand_Modeling!$A$13:$I$49,MATCH(Table3[[#This Row],[Key]],Demand_Modeling!$A$13:$A$49,0),MATCH(Table3[[#Headers],[OCC]],Demand_Modeling!$A$13:$I$13,0))</f>
        <v>#N/A</v>
      </c>
      <c r="M368" s="3" t="e">
        <f>INDEX(Demand_Modeling!$A$13:$I$49,MATCH(Table3[[#This Row],[Key]],Demand_Modeling!$A$13:$A$49,0),MATCH(Table3[[#Headers],[WEO]],Demand_Modeling!$A$13:$I$13,0))</f>
        <v>#N/A</v>
      </c>
      <c r="N368" s="19" t="e">
        <f>SUM(Table3[[#This Row],[OFC]:[WEO]])</f>
        <v>#N/A</v>
      </c>
      <c r="O368" s="19"/>
      <c r="Q368" s="3" t="str">
        <f>Table35[[#This Row],[Fiscal_Year]]*100+Table35[[#This Row],[Fiscal_Week]] &amp; "-" &amp;Table35[[#This Row],[Brand]]</f>
        <v>0-0</v>
      </c>
      <c r="R368" t="str">
        <f>Table3[[#This Row],[Key]]</f>
        <v>-</v>
      </c>
      <c r="S368">
        <f>Table3[[#This Row],[Fiscal_Year]]</f>
        <v>0</v>
      </c>
      <c r="T368">
        <f>Table3[[#This Row],[Fiscal_Week]]</f>
        <v>0</v>
      </c>
      <c r="U368">
        <f>Table3[[#This Row],[Brand]]</f>
        <v>0</v>
      </c>
      <c r="V368">
        <f>Table3[[#This Row],[Demand]]</f>
        <v>0</v>
      </c>
      <c r="W368" t="e">
        <f>Table3[[#This Row],[OFC]]*Table3[[#This Row],[Demand]]</f>
        <v>#N/A</v>
      </c>
      <c r="X368" t="e">
        <f>Table3[[#This Row],[TFC]]*Table3[[#This Row],[Demand]]</f>
        <v>#N/A</v>
      </c>
      <c r="Y368" t="e">
        <f>Table3[[#This Row],[WFC]]*Table3[[#This Row],[Demand]]</f>
        <v>#N/A</v>
      </c>
      <c r="Z368" t="e">
        <f>Table3[[#This Row],[EAO]]*Table3[[#This Row],[Demand]]</f>
        <v>#N/A</v>
      </c>
      <c r="AA368" t="e">
        <f>Table3[[#This Row],[OCC]]*Table3[[#This Row],[Demand]]</f>
        <v>#N/A</v>
      </c>
      <c r="AB368" t="e">
        <f>Table3[[#This Row],[WEO]]*Table3[[#This Row],[Demand]]</f>
        <v>#N/A</v>
      </c>
      <c r="AC368" s="19" t="e">
        <f>SUM(Table35[[#This Row],[OFC]:[WEO]])</f>
        <v>#N/A</v>
      </c>
      <c r="AD368" s="19" t="e">
        <f>Table35[[#This Row],[Demand]]-Table35[[#This Row],[Total_Modeled_Demand]]</f>
        <v>#N/A</v>
      </c>
    </row>
    <row r="369" spans="2:30" x14ac:dyDescent="0.3">
      <c r="B369" s="3" t="str">
        <f>Table3[[#This Row],[Fiscal_Year]]*100+Table3[[#This Row],[Fiscal_Week]] &amp; "-" &amp;Table3[[#This Row],[Brand]]</f>
        <v>0-</v>
      </c>
      <c r="C369" t="str">
        <f t="shared" si="5"/>
        <v>-</v>
      </c>
      <c r="H369" s="3" t="e">
        <f>INDEX(Demand_Modeling!$A$13:$I$49,MATCH(Table3[[#This Row],[Key]],Demand_Modeling!$A$13:$A$49,0),MATCH(Table3[[#Headers],[OFC]],Demand_Modeling!$A$13:$I$13,0))</f>
        <v>#N/A</v>
      </c>
      <c r="I369" s="3" t="e">
        <f>INDEX(Demand_Modeling!$A$13:$I$49,MATCH(Table3[[#This Row],[Key]],Demand_Modeling!$A$13:$A$49,0),MATCH(Table3[[#Headers],[TFC]],Demand_Modeling!$A$13:$I$13,0))</f>
        <v>#N/A</v>
      </c>
      <c r="J369" s="3" t="e">
        <f>INDEX(Demand_Modeling!$A$13:$I$49,MATCH(Table3[[#This Row],[Key]],Demand_Modeling!$A$13:$A$49,0),MATCH(Table3[[#Headers],[WFC]],Demand_Modeling!$A$13:$I$13,0))</f>
        <v>#N/A</v>
      </c>
      <c r="K369" s="3" t="e">
        <f>INDEX(Demand_Modeling!$A$13:$I$49,MATCH(Table3[[#This Row],[Key]],Demand_Modeling!$A$13:$A$49,0),MATCH(Table3[[#Headers],[EAO]],Demand_Modeling!$A$13:$I$13,0))</f>
        <v>#N/A</v>
      </c>
      <c r="L369" s="3" t="e">
        <f>INDEX(Demand_Modeling!$A$13:$I$49,MATCH(Table3[[#This Row],[Key]],Demand_Modeling!$A$13:$A$49,0),MATCH(Table3[[#Headers],[OCC]],Demand_Modeling!$A$13:$I$13,0))</f>
        <v>#N/A</v>
      </c>
      <c r="M369" s="3" t="e">
        <f>INDEX(Demand_Modeling!$A$13:$I$49,MATCH(Table3[[#This Row],[Key]],Demand_Modeling!$A$13:$A$49,0),MATCH(Table3[[#Headers],[WEO]],Demand_Modeling!$A$13:$I$13,0))</f>
        <v>#N/A</v>
      </c>
      <c r="N369" s="19" t="e">
        <f>SUM(Table3[[#This Row],[OFC]:[WEO]])</f>
        <v>#N/A</v>
      </c>
      <c r="O369" s="19"/>
      <c r="Q369" s="3" t="str">
        <f>Table35[[#This Row],[Fiscal_Year]]*100+Table35[[#This Row],[Fiscal_Week]] &amp; "-" &amp;Table35[[#This Row],[Brand]]</f>
        <v>0-0</v>
      </c>
      <c r="R369" t="str">
        <f>Table3[[#This Row],[Key]]</f>
        <v>-</v>
      </c>
      <c r="S369">
        <f>Table3[[#This Row],[Fiscal_Year]]</f>
        <v>0</v>
      </c>
      <c r="T369">
        <f>Table3[[#This Row],[Fiscal_Week]]</f>
        <v>0</v>
      </c>
      <c r="U369">
        <f>Table3[[#This Row],[Brand]]</f>
        <v>0</v>
      </c>
      <c r="V369">
        <f>Table3[[#This Row],[Demand]]</f>
        <v>0</v>
      </c>
      <c r="W369" t="e">
        <f>Table3[[#This Row],[OFC]]*Table3[[#This Row],[Demand]]</f>
        <v>#N/A</v>
      </c>
      <c r="X369" t="e">
        <f>Table3[[#This Row],[TFC]]*Table3[[#This Row],[Demand]]</f>
        <v>#N/A</v>
      </c>
      <c r="Y369" t="e">
        <f>Table3[[#This Row],[WFC]]*Table3[[#This Row],[Demand]]</f>
        <v>#N/A</v>
      </c>
      <c r="Z369" t="e">
        <f>Table3[[#This Row],[EAO]]*Table3[[#This Row],[Demand]]</f>
        <v>#N/A</v>
      </c>
      <c r="AA369" t="e">
        <f>Table3[[#This Row],[OCC]]*Table3[[#This Row],[Demand]]</f>
        <v>#N/A</v>
      </c>
      <c r="AB369" t="e">
        <f>Table3[[#This Row],[WEO]]*Table3[[#This Row],[Demand]]</f>
        <v>#N/A</v>
      </c>
      <c r="AC369" s="19" t="e">
        <f>SUM(Table35[[#This Row],[OFC]:[WEO]])</f>
        <v>#N/A</v>
      </c>
      <c r="AD369" s="19" t="e">
        <f>Table35[[#This Row],[Demand]]-Table35[[#This Row],[Total_Modeled_Demand]]</f>
        <v>#N/A</v>
      </c>
    </row>
    <row r="370" spans="2:30" x14ac:dyDescent="0.3">
      <c r="B370" s="3" t="str">
        <f>Table3[[#This Row],[Fiscal_Year]]*100+Table3[[#This Row],[Fiscal_Week]] &amp; "-" &amp;Table3[[#This Row],[Brand]]</f>
        <v>0-</v>
      </c>
      <c r="C370" t="str">
        <f t="shared" si="5"/>
        <v>-</v>
      </c>
      <c r="H370" s="3" t="e">
        <f>INDEX(Demand_Modeling!$A$13:$I$49,MATCH(Table3[[#This Row],[Key]],Demand_Modeling!$A$13:$A$49,0),MATCH(Table3[[#Headers],[OFC]],Demand_Modeling!$A$13:$I$13,0))</f>
        <v>#N/A</v>
      </c>
      <c r="I370" s="3" t="e">
        <f>INDEX(Demand_Modeling!$A$13:$I$49,MATCH(Table3[[#This Row],[Key]],Demand_Modeling!$A$13:$A$49,0),MATCH(Table3[[#Headers],[TFC]],Demand_Modeling!$A$13:$I$13,0))</f>
        <v>#N/A</v>
      </c>
      <c r="J370" s="3" t="e">
        <f>INDEX(Demand_Modeling!$A$13:$I$49,MATCH(Table3[[#This Row],[Key]],Demand_Modeling!$A$13:$A$49,0),MATCH(Table3[[#Headers],[WFC]],Demand_Modeling!$A$13:$I$13,0))</f>
        <v>#N/A</v>
      </c>
      <c r="K370" s="3" t="e">
        <f>INDEX(Demand_Modeling!$A$13:$I$49,MATCH(Table3[[#This Row],[Key]],Demand_Modeling!$A$13:$A$49,0),MATCH(Table3[[#Headers],[EAO]],Demand_Modeling!$A$13:$I$13,0))</f>
        <v>#N/A</v>
      </c>
      <c r="L370" s="3" t="e">
        <f>INDEX(Demand_Modeling!$A$13:$I$49,MATCH(Table3[[#This Row],[Key]],Demand_Modeling!$A$13:$A$49,0),MATCH(Table3[[#Headers],[OCC]],Demand_Modeling!$A$13:$I$13,0))</f>
        <v>#N/A</v>
      </c>
      <c r="M370" s="3" t="e">
        <f>INDEX(Demand_Modeling!$A$13:$I$49,MATCH(Table3[[#This Row],[Key]],Demand_Modeling!$A$13:$A$49,0),MATCH(Table3[[#Headers],[WEO]],Demand_Modeling!$A$13:$I$13,0))</f>
        <v>#N/A</v>
      </c>
      <c r="N370" s="19" t="e">
        <f>SUM(Table3[[#This Row],[OFC]:[WEO]])</f>
        <v>#N/A</v>
      </c>
      <c r="O370" s="19"/>
      <c r="Q370" s="3" t="str">
        <f>Table35[[#This Row],[Fiscal_Year]]*100+Table35[[#This Row],[Fiscal_Week]] &amp; "-" &amp;Table35[[#This Row],[Brand]]</f>
        <v>0-0</v>
      </c>
      <c r="R370" t="str">
        <f>Table3[[#This Row],[Key]]</f>
        <v>-</v>
      </c>
      <c r="S370">
        <f>Table3[[#This Row],[Fiscal_Year]]</f>
        <v>0</v>
      </c>
      <c r="T370">
        <f>Table3[[#This Row],[Fiscal_Week]]</f>
        <v>0</v>
      </c>
      <c r="U370">
        <f>Table3[[#This Row],[Brand]]</f>
        <v>0</v>
      </c>
      <c r="V370">
        <f>Table3[[#This Row],[Demand]]</f>
        <v>0</v>
      </c>
      <c r="W370" t="e">
        <f>Table3[[#This Row],[OFC]]*Table3[[#This Row],[Demand]]</f>
        <v>#N/A</v>
      </c>
      <c r="X370" t="e">
        <f>Table3[[#This Row],[TFC]]*Table3[[#This Row],[Demand]]</f>
        <v>#N/A</v>
      </c>
      <c r="Y370" t="e">
        <f>Table3[[#This Row],[WFC]]*Table3[[#This Row],[Demand]]</f>
        <v>#N/A</v>
      </c>
      <c r="Z370" t="e">
        <f>Table3[[#This Row],[EAO]]*Table3[[#This Row],[Demand]]</f>
        <v>#N/A</v>
      </c>
      <c r="AA370" t="e">
        <f>Table3[[#This Row],[OCC]]*Table3[[#This Row],[Demand]]</f>
        <v>#N/A</v>
      </c>
      <c r="AB370" t="e">
        <f>Table3[[#This Row],[WEO]]*Table3[[#This Row],[Demand]]</f>
        <v>#N/A</v>
      </c>
      <c r="AC370" s="19" t="e">
        <f>SUM(Table35[[#This Row],[OFC]:[WEO]])</f>
        <v>#N/A</v>
      </c>
      <c r="AD370" s="19" t="e">
        <f>Table35[[#This Row],[Demand]]-Table35[[#This Row],[Total_Modeled_Demand]]</f>
        <v>#N/A</v>
      </c>
    </row>
    <row r="371" spans="2:30" x14ac:dyDescent="0.3">
      <c r="B371" s="3" t="str">
        <f>Table3[[#This Row],[Fiscal_Year]]*100+Table3[[#This Row],[Fiscal_Week]] &amp; "-" &amp;Table3[[#This Row],[Brand]]</f>
        <v>0-</v>
      </c>
      <c r="C371" t="str">
        <f t="shared" si="5"/>
        <v>-</v>
      </c>
      <c r="H371" s="3" t="e">
        <f>INDEX(Demand_Modeling!$A$13:$I$49,MATCH(Table3[[#This Row],[Key]],Demand_Modeling!$A$13:$A$49,0),MATCH(Table3[[#Headers],[OFC]],Demand_Modeling!$A$13:$I$13,0))</f>
        <v>#N/A</v>
      </c>
      <c r="I371" s="3" t="e">
        <f>INDEX(Demand_Modeling!$A$13:$I$49,MATCH(Table3[[#This Row],[Key]],Demand_Modeling!$A$13:$A$49,0),MATCH(Table3[[#Headers],[TFC]],Demand_Modeling!$A$13:$I$13,0))</f>
        <v>#N/A</v>
      </c>
      <c r="J371" s="3" t="e">
        <f>INDEX(Demand_Modeling!$A$13:$I$49,MATCH(Table3[[#This Row],[Key]],Demand_Modeling!$A$13:$A$49,0),MATCH(Table3[[#Headers],[WFC]],Demand_Modeling!$A$13:$I$13,0))</f>
        <v>#N/A</v>
      </c>
      <c r="K371" s="3" t="e">
        <f>INDEX(Demand_Modeling!$A$13:$I$49,MATCH(Table3[[#This Row],[Key]],Demand_Modeling!$A$13:$A$49,0),MATCH(Table3[[#Headers],[EAO]],Demand_Modeling!$A$13:$I$13,0))</f>
        <v>#N/A</v>
      </c>
      <c r="L371" s="3" t="e">
        <f>INDEX(Demand_Modeling!$A$13:$I$49,MATCH(Table3[[#This Row],[Key]],Demand_Modeling!$A$13:$A$49,0),MATCH(Table3[[#Headers],[OCC]],Demand_Modeling!$A$13:$I$13,0))</f>
        <v>#N/A</v>
      </c>
      <c r="M371" s="3" t="e">
        <f>INDEX(Demand_Modeling!$A$13:$I$49,MATCH(Table3[[#This Row],[Key]],Demand_Modeling!$A$13:$A$49,0),MATCH(Table3[[#Headers],[WEO]],Demand_Modeling!$A$13:$I$13,0))</f>
        <v>#N/A</v>
      </c>
      <c r="N371" s="19" t="e">
        <f>SUM(Table3[[#This Row],[OFC]:[WEO]])</f>
        <v>#N/A</v>
      </c>
      <c r="O371" s="19"/>
      <c r="Q371" s="3" t="str">
        <f>Table35[[#This Row],[Fiscal_Year]]*100+Table35[[#This Row],[Fiscal_Week]] &amp; "-" &amp;Table35[[#This Row],[Brand]]</f>
        <v>0-0</v>
      </c>
      <c r="R371" t="str">
        <f>Table3[[#This Row],[Key]]</f>
        <v>-</v>
      </c>
      <c r="S371">
        <f>Table3[[#This Row],[Fiscal_Year]]</f>
        <v>0</v>
      </c>
      <c r="T371">
        <f>Table3[[#This Row],[Fiscal_Week]]</f>
        <v>0</v>
      </c>
      <c r="U371">
        <f>Table3[[#This Row],[Brand]]</f>
        <v>0</v>
      </c>
      <c r="V371">
        <f>Table3[[#This Row],[Demand]]</f>
        <v>0</v>
      </c>
      <c r="W371" t="e">
        <f>Table3[[#This Row],[OFC]]*Table3[[#This Row],[Demand]]</f>
        <v>#N/A</v>
      </c>
      <c r="X371" t="e">
        <f>Table3[[#This Row],[TFC]]*Table3[[#This Row],[Demand]]</f>
        <v>#N/A</v>
      </c>
      <c r="Y371" t="e">
        <f>Table3[[#This Row],[WFC]]*Table3[[#This Row],[Demand]]</f>
        <v>#N/A</v>
      </c>
      <c r="Z371" t="e">
        <f>Table3[[#This Row],[EAO]]*Table3[[#This Row],[Demand]]</f>
        <v>#N/A</v>
      </c>
      <c r="AA371" t="e">
        <f>Table3[[#This Row],[OCC]]*Table3[[#This Row],[Demand]]</f>
        <v>#N/A</v>
      </c>
      <c r="AB371" t="e">
        <f>Table3[[#This Row],[WEO]]*Table3[[#This Row],[Demand]]</f>
        <v>#N/A</v>
      </c>
      <c r="AC371" s="19" t="e">
        <f>SUM(Table35[[#This Row],[OFC]:[WEO]])</f>
        <v>#N/A</v>
      </c>
      <c r="AD371" s="19" t="e">
        <f>Table35[[#This Row],[Demand]]-Table35[[#This Row],[Total_Modeled_Demand]]</f>
        <v>#N/A</v>
      </c>
    </row>
    <row r="372" spans="2:30" x14ac:dyDescent="0.3">
      <c r="B372" s="3" t="str">
        <f>Table3[[#This Row],[Fiscal_Year]]*100+Table3[[#This Row],[Fiscal_Week]] &amp; "-" &amp;Table3[[#This Row],[Brand]]</f>
        <v>0-</v>
      </c>
      <c r="C372" t="str">
        <f t="shared" si="5"/>
        <v>-</v>
      </c>
      <c r="H372" s="3" t="e">
        <f>INDEX(Demand_Modeling!$A$13:$I$49,MATCH(Table3[[#This Row],[Key]],Demand_Modeling!$A$13:$A$49,0),MATCH(Table3[[#Headers],[OFC]],Demand_Modeling!$A$13:$I$13,0))</f>
        <v>#N/A</v>
      </c>
      <c r="I372" s="3" t="e">
        <f>INDEX(Demand_Modeling!$A$13:$I$49,MATCH(Table3[[#This Row],[Key]],Demand_Modeling!$A$13:$A$49,0),MATCH(Table3[[#Headers],[TFC]],Demand_Modeling!$A$13:$I$13,0))</f>
        <v>#N/A</v>
      </c>
      <c r="J372" s="3" t="e">
        <f>INDEX(Demand_Modeling!$A$13:$I$49,MATCH(Table3[[#This Row],[Key]],Demand_Modeling!$A$13:$A$49,0),MATCH(Table3[[#Headers],[WFC]],Demand_Modeling!$A$13:$I$13,0))</f>
        <v>#N/A</v>
      </c>
      <c r="K372" s="3" t="e">
        <f>INDEX(Demand_Modeling!$A$13:$I$49,MATCH(Table3[[#This Row],[Key]],Demand_Modeling!$A$13:$A$49,0),MATCH(Table3[[#Headers],[EAO]],Demand_Modeling!$A$13:$I$13,0))</f>
        <v>#N/A</v>
      </c>
      <c r="L372" s="3" t="e">
        <f>INDEX(Demand_Modeling!$A$13:$I$49,MATCH(Table3[[#This Row],[Key]],Demand_Modeling!$A$13:$A$49,0),MATCH(Table3[[#Headers],[OCC]],Demand_Modeling!$A$13:$I$13,0))</f>
        <v>#N/A</v>
      </c>
      <c r="M372" s="3" t="e">
        <f>INDEX(Demand_Modeling!$A$13:$I$49,MATCH(Table3[[#This Row],[Key]],Demand_Modeling!$A$13:$A$49,0),MATCH(Table3[[#Headers],[WEO]],Demand_Modeling!$A$13:$I$13,0))</f>
        <v>#N/A</v>
      </c>
      <c r="N372" s="19" t="e">
        <f>SUM(Table3[[#This Row],[OFC]:[WEO]])</f>
        <v>#N/A</v>
      </c>
      <c r="O372" s="19"/>
      <c r="Q372" s="3" t="str">
        <f>Table35[[#This Row],[Fiscal_Year]]*100+Table35[[#This Row],[Fiscal_Week]] &amp; "-" &amp;Table35[[#This Row],[Brand]]</f>
        <v>0-0</v>
      </c>
      <c r="R372" t="str">
        <f>Table3[[#This Row],[Key]]</f>
        <v>-</v>
      </c>
      <c r="S372">
        <f>Table3[[#This Row],[Fiscal_Year]]</f>
        <v>0</v>
      </c>
      <c r="T372">
        <f>Table3[[#This Row],[Fiscal_Week]]</f>
        <v>0</v>
      </c>
      <c r="U372">
        <f>Table3[[#This Row],[Brand]]</f>
        <v>0</v>
      </c>
      <c r="V372">
        <f>Table3[[#This Row],[Demand]]</f>
        <v>0</v>
      </c>
      <c r="W372" t="e">
        <f>Table3[[#This Row],[OFC]]*Table3[[#This Row],[Demand]]</f>
        <v>#N/A</v>
      </c>
      <c r="X372" t="e">
        <f>Table3[[#This Row],[TFC]]*Table3[[#This Row],[Demand]]</f>
        <v>#N/A</v>
      </c>
      <c r="Y372" t="e">
        <f>Table3[[#This Row],[WFC]]*Table3[[#This Row],[Demand]]</f>
        <v>#N/A</v>
      </c>
      <c r="Z372" t="e">
        <f>Table3[[#This Row],[EAO]]*Table3[[#This Row],[Demand]]</f>
        <v>#N/A</v>
      </c>
      <c r="AA372" t="e">
        <f>Table3[[#This Row],[OCC]]*Table3[[#This Row],[Demand]]</f>
        <v>#N/A</v>
      </c>
      <c r="AB372" t="e">
        <f>Table3[[#This Row],[WEO]]*Table3[[#This Row],[Demand]]</f>
        <v>#N/A</v>
      </c>
      <c r="AC372" s="19" t="e">
        <f>SUM(Table35[[#This Row],[OFC]:[WEO]])</f>
        <v>#N/A</v>
      </c>
      <c r="AD372" s="19" t="e">
        <f>Table35[[#This Row],[Demand]]-Table35[[#This Row],[Total_Modeled_Demand]]</f>
        <v>#N/A</v>
      </c>
    </row>
    <row r="373" spans="2:30" x14ac:dyDescent="0.3">
      <c r="B373" s="3" t="str">
        <f>Table3[[#This Row],[Fiscal_Year]]*100+Table3[[#This Row],[Fiscal_Week]] &amp; "-" &amp;Table3[[#This Row],[Brand]]</f>
        <v>0-</v>
      </c>
      <c r="C373" t="str">
        <f t="shared" si="5"/>
        <v>-</v>
      </c>
      <c r="H373" s="3" t="e">
        <f>INDEX(Demand_Modeling!$A$13:$I$49,MATCH(Table3[[#This Row],[Key]],Demand_Modeling!$A$13:$A$49,0),MATCH(Table3[[#Headers],[OFC]],Demand_Modeling!$A$13:$I$13,0))</f>
        <v>#N/A</v>
      </c>
      <c r="I373" s="3" t="e">
        <f>INDEX(Demand_Modeling!$A$13:$I$49,MATCH(Table3[[#This Row],[Key]],Demand_Modeling!$A$13:$A$49,0),MATCH(Table3[[#Headers],[TFC]],Demand_Modeling!$A$13:$I$13,0))</f>
        <v>#N/A</v>
      </c>
      <c r="J373" s="3" t="e">
        <f>INDEX(Demand_Modeling!$A$13:$I$49,MATCH(Table3[[#This Row],[Key]],Demand_Modeling!$A$13:$A$49,0),MATCH(Table3[[#Headers],[WFC]],Demand_Modeling!$A$13:$I$13,0))</f>
        <v>#N/A</v>
      </c>
      <c r="K373" s="3" t="e">
        <f>INDEX(Demand_Modeling!$A$13:$I$49,MATCH(Table3[[#This Row],[Key]],Demand_Modeling!$A$13:$A$49,0),MATCH(Table3[[#Headers],[EAO]],Demand_Modeling!$A$13:$I$13,0))</f>
        <v>#N/A</v>
      </c>
      <c r="L373" s="3" t="e">
        <f>INDEX(Demand_Modeling!$A$13:$I$49,MATCH(Table3[[#This Row],[Key]],Demand_Modeling!$A$13:$A$49,0),MATCH(Table3[[#Headers],[OCC]],Demand_Modeling!$A$13:$I$13,0))</f>
        <v>#N/A</v>
      </c>
      <c r="M373" s="3" t="e">
        <f>INDEX(Demand_Modeling!$A$13:$I$49,MATCH(Table3[[#This Row],[Key]],Demand_Modeling!$A$13:$A$49,0),MATCH(Table3[[#Headers],[WEO]],Demand_Modeling!$A$13:$I$13,0))</f>
        <v>#N/A</v>
      </c>
      <c r="N373" s="19" t="e">
        <f>SUM(Table3[[#This Row],[OFC]:[WEO]])</f>
        <v>#N/A</v>
      </c>
      <c r="O373" s="19"/>
      <c r="Q373" s="3" t="str">
        <f>Table35[[#This Row],[Fiscal_Year]]*100+Table35[[#This Row],[Fiscal_Week]] &amp; "-" &amp;Table35[[#This Row],[Brand]]</f>
        <v>0-0</v>
      </c>
      <c r="R373" t="str">
        <f>Table3[[#This Row],[Key]]</f>
        <v>-</v>
      </c>
      <c r="S373">
        <f>Table3[[#This Row],[Fiscal_Year]]</f>
        <v>0</v>
      </c>
      <c r="T373">
        <f>Table3[[#This Row],[Fiscal_Week]]</f>
        <v>0</v>
      </c>
      <c r="U373">
        <f>Table3[[#This Row],[Brand]]</f>
        <v>0</v>
      </c>
      <c r="V373">
        <f>Table3[[#This Row],[Demand]]</f>
        <v>0</v>
      </c>
      <c r="W373" t="e">
        <f>Table3[[#This Row],[OFC]]*Table3[[#This Row],[Demand]]</f>
        <v>#N/A</v>
      </c>
      <c r="X373" t="e">
        <f>Table3[[#This Row],[TFC]]*Table3[[#This Row],[Demand]]</f>
        <v>#N/A</v>
      </c>
      <c r="Y373" t="e">
        <f>Table3[[#This Row],[WFC]]*Table3[[#This Row],[Demand]]</f>
        <v>#N/A</v>
      </c>
      <c r="Z373" t="e">
        <f>Table3[[#This Row],[EAO]]*Table3[[#This Row],[Demand]]</f>
        <v>#N/A</v>
      </c>
      <c r="AA373" t="e">
        <f>Table3[[#This Row],[OCC]]*Table3[[#This Row],[Demand]]</f>
        <v>#N/A</v>
      </c>
      <c r="AB373" t="e">
        <f>Table3[[#This Row],[WEO]]*Table3[[#This Row],[Demand]]</f>
        <v>#N/A</v>
      </c>
      <c r="AC373" s="19" t="e">
        <f>SUM(Table35[[#This Row],[OFC]:[WEO]])</f>
        <v>#N/A</v>
      </c>
      <c r="AD373" s="19" t="e">
        <f>Table35[[#This Row],[Demand]]-Table35[[#This Row],[Total_Modeled_Demand]]</f>
        <v>#N/A</v>
      </c>
    </row>
    <row r="374" spans="2:30" x14ac:dyDescent="0.3">
      <c r="B374" s="3" t="str">
        <f>Table3[[#This Row],[Fiscal_Year]]*100+Table3[[#This Row],[Fiscal_Week]] &amp; "-" &amp;Table3[[#This Row],[Brand]]</f>
        <v>0-</v>
      </c>
      <c r="C374" t="str">
        <f t="shared" si="5"/>
        <v>-</v>
      </c>
      <c r="H374" s="3" t="e">
        <f>INDEX(Demand_Modeling!$A$13:$I$49,MATCH(Table3[[#This Row],[Key]],Demand_Modeling!$A$13:$A$49,0),MATCH(Table3[[#Headers],[OFC]],Demand_Modeling!$A$13:$I$13,0))</f>
        <v>#N/A</v>
      </c>
      <c r="I374" s="3" t="e">
        <f>INDEX(Demand_Modeling!$A$13:$I$49,MATCH(Table3[[#This Row],[Key]],Demand_Modeling!$A$13:$A$49,0),MATCH(Table3[[#Headers],[TFC]],Demand_Modeling!$A$13:$I$13,0))</f>
        <v>#N/A</v>
      </c>
      <c r="J374" s="3" t="e">
        <f>INDEX(Demand_Modeling!$A$13:$I$49,MATCH(Table3[[#This Row],[Key]],Demand_Modeling!$A$13:$A$49,0),MATCH(Table3[[#Headers],[WFC]],Demand_Modeling!$A$13:$I$13,0))</f>
        <v>#N/A</v>
      </c>
      <c r="K374" s="3" t="e">
        <f>INDEX(Demand_Modeling!$A$13:$I$49,MATCH(Table3[[#This Row],[Key]],Demand_Modeling!$A$13:$A$49,0),MATCH(Table3[[#Headers],[EAO]],Demand_Modeling!$A$13:$I$13,0))</f>
        <v>#N/A</v>
      </c>
      <c r="L374" s="3" t="e">
        <f>INDEX(Demand_Modeling!$A$13:$I$49,MATCH(Table3[[#This Row],[Key]],Demand_Modeling!$A$13:$A$49,0),MATCH(Table3[[#Headers],[OCC]],Demand_Modeling!$A$13:$I$13,0))</f>
        <v>#N/A</v>
      </c>
      <c r="M374" s="3" t="e">
        <f>INDEX(Demand_Modeling!$A$13:$I$49,MATCH(Table3[[#This Row],[Key]],Demand_Modeling!$A$13:$A$49,0),MATCH(Table3[[#Headers],[WEO]],Demand_Modeling!$A$13:$I$13,0))</f>
        <v>#N/A</v>
      </c>
      <c r="N374" s="19" t="e">
        <f>SUM(Table3[[#This Row],[OFC]:[WEO]])</f>
        <v>#N/A</v>
      </c>
      <c r="O374" s="19"/>
      <c r="Q374" s="3" t="str">
        <f>Table35[[#This Row],[Fiscal_Year]]*100+Table35[[#This Row],[Fiscal_Week]] &amp; "-" &amp;Table35[[#This Row],[Brand]]</f>
        <v>0-0</v>
      </c>
      <c r="R374" t="str">
        <f>Table3[[#This Row],[Key]]</f>
        <v>-</v>
      </c>
      <c r="S374">
        <f>Table3[[#This Row],[Fiscal_Year]]</f>
        <v>0</v>
      </c>
      <c r="T374">
        <f>Table3[[#This Row],[Fiscal_Week]]</f>
        <v>0</v>
      </c>
      <c r="U374">
        <f>Table3[[#This Row],[Brand]]</f>
        <v>0</v>
      </c>
      <c r="V374">
        <f>Table3[[#This Row],[Demand]]</f>
        <v>0</v>
      </c>
      <c r="W374" t="e">
        <f>Table3[[#This Row],[OFC]]*Table3[[#This Row],[Demand]]</f>
        <v>#N/A</v>
      </c>
      <c r="X374" t="e">
        <f>Table3[[#This Row],[TFC]]*Table3[[#This Row],[Demand]]</f>
        <v>#N/A</v>
      </c>
      <c r="Y374" t="e">
        <f>Table3[[#This Row],[WFC]]*Table3[[#This Row],[Demand]]</f>
        <v>#N/A</v>
      </c>
      <c r="Z374" t="e">
        <f>Table3[[#This Row],[EAO]]*Table3[[#This Row],[Demand]]</f>
        <v>#N/A</v>
      </c>
      <c r="AA374" t="e">
        <f>Table3[[#This Row],[OCC]]*Table3[[#This Row],[Demand]]</f>
        <v>#N/A</v>
      </c>
      <c r="AB374" t="e">
        <f>Table3[[#This Row],[WEO]]*Table3[[#This Row],[Demand]]</f>
        <v>#N/A</v>
      </c>
      <c r="AC374" s="19" t="e">
        <f>SUM(Table35[[#This Row],[OFC]:[WEO]])</f>
        <v>#N/A</v>
      </c>
      <c r="AD374" s="19" t="e">
        <f>Table35[[#This Row],[Demand]]-Table35[[#This Row],[Total_Modeled_Demand]]</f>
        <v>#N/A</v>
      </c>
    </row>
    <row r="375" spans="2:30" x14ac:dyDescent="0.3">
      <c r="B375" s="3" t="str">
        <f>Table3[[#This Row],[Fiscal_Year]]*100+Table3[[#This Row],[Fiscal_Week]] &amp; "-" &amp;Table3[[#This Row],[Brand]]</f>
        <v>0-</v>
      </c>
      <c r="C375" t="str">
        <f t="shared" si="5"/>
        <v>-</v>
      </c>
      <c r="H375" s="3" t="e">
        <f>INDEX(Demand_Modeling!$A$13:$I$49,MATCH(Table3[[#This Row],[Key]],Demand_Modeling!$A$13:$A$49,0),MATCH(Table3[[#Headers],[OFC]],Demand_Modeling!$A$13:$I$13,0))</f>
        <v>#N/A</v>
      </c>
      <c r="I375" s="3" t="e">
        <f>INDEX(Demand_Modeling!$A$13:$I$49,MATCH(Table3[[#This Row],[Key]],Demand_Modeling!$A$13:$A$49,0),MATCH(Table3[[#Headers],[TFC]],Demand_Modeling!$A$13:$I$13,0))</f>
        <v>#N/A</v>
      </c>
      <c r="J375" s="3" t="e">
        <f>INDEX(Demand_Modeling!$A$13:$I$49,MATCH(Table3[[#This Row],[Key]],Demand_Modeling!$A$13:$A$49,0),MATCH(Table3[[#Headers],[WFC]],Demand_Modeling!$A$13:$I$13,0))</f>
        <v>#N/A</v>
      </c>
      <c r="K375" s="3" t="e">
        <f>INDEX(Demand_Modeling!$A$13:$I$49,MATCH(Table3[[#This Row],[Key]],Demand_Modeling!$A$13:$A$49,0),MATCH(Table3[[#Headers],[EAO]],Demand_Modeling!$A$13:$I$13,0))</f>
        <v>#N/A</v>
      </c>
      <c r="L375" s="3" t="e">
        <f>INDEX(Demand_Modeling!$A$13:$I$49,MATCH(Table3[[#This Row],[Key]],Demand_Modeling!$A$13:$A$49,0),MATCH(Table3[[#Headers],[OCC]],Demand_Modeling!$A$13:$I$13,0))</f>
        <v>#N/A</v>
      </c>
      <c r="M375" s="3" t="e">
        <f>INDEX(Demand_Modeling!$A$13:$I$49,MATCH(Table3[[#This Row],[Key]],Demand_Modeling!$A$13:$A$49,0),MATCH(Table3[[#Headers],[WEO]],Demand_Modeling!$A$13:$I$13,0))</f>
        <v>#N/A</v>
      </c>
      <c r="N375" s="19" t="e">
        <f>SUM(Table3[[#This Row],[OFC]:[WEO]])</f>
        <v>#N/A</v>
      </c>
      <c r="O375" s="19"/>
      <c r="Q375" s="3" t="str">
        <f>Table35[[#This Row],[Fiscal_Year]]*100+Table35[[#This Row],[Fiscal_Week]] &amp; "-" &amp;Table35[[#This Row],[Brand]]</f>
        <v>0-0</v>
      </c>
      <c r="R375" t="str">
        <f>Table3[[#This Row],[Key]]</f>
        <v>-</v>
      </c>
      <c r="S375">
        <f>Table3[[#This Row],[Fiscal_Year]]</f>
        <v>0</v>
      </c>
      <c r="T375">
        <f>Table3[[#This Row],[Fiscal_Week]]</f>
        <v>0</v>
      </c>
      <c r="U375">
        <f>Table3[[#This Row],[Brand]]</f>
        <v>0</v>
      </c>
      <c r="V375">
        <f>Table3[[#This Row],[Demand]]</f>
        <v>0</v>
      </c>
      <c r="W375" t="e">
        <f>Table3[[#This Row],[OFC]]*Table3[[#This Row],[Demand]]</f>
        <v>#N/A</v>
      </c>
      <c r="X375" t="e">
        <f>Table3[[#This Row],[TFC]]*Table3[[#This Row],[Demand]]</f>
        <v>#N/A</v>
      </c>
      <c r="Y375" t="e">
        <f>Table3[[#This Row],[WFC]]*Table3[[#This Row],[Demand]]</f>
        <v>#N/A</v>
      </c>
      <c r="Z375" t="e">
        <f>Table3[[#This Row],[EAO]]*Table3[[#This Row],[Demand]]</f>
        <v>#N/A</v>
      </c>
      <c r="AA375" t="e">
        <f>Table3[[#This Row],[OCC]]*Table3[[#This Row],[Demand]]</f>
        <v>#N/A</v>
      </c>
      <c r="AB375" t="e">
        <f>Table3[[#This Row],[WEO]]*Table3[[#This Row],[Demand]]</f>
        <v>#N/A</v>
      </c>
      <c r="AC375" s="19" t="e">
        <f>SUM(Table35[[#This Row],[OFC]:[WEO]])</f>
        <v>#N/A</v>
      </c>
      <c r="AD375" s="19" t="e">
        <f>Table35[[#This Row],[Demand]]-Table35[[#This Row],[Total_Modeled_Demand]]</f>
        <v>#N/A</v>
      </c>
    </row>
    <row r="376" spans="2:30" x14ac:dyDescent="0.3">
      <c r="B376" s="3" t="str">
        <f>Table3[[#This Row],[Fiscal_Year]]*100+Table3[[#This Row],[Fiscal_Week]] &amp; "-" &amp;Table3[[#This Row],[Brand]]</f>
        <v>0-</v>
      </c>
      <c r="C376" t="str">
        <f t="shared" si="5"/>
        <v>-</v>
      </c>
      <c r="H376" s="3" t="e">
        <f>INDEX(Demand_Modeling!$A$13:$I$49,MATCH(Table3[[#This Row],[Key]],Demand_Modeling!$A$13:$A$49,0),MATCH(Table3[[#Headers],[OFC]],Demand_Modeling!$A$13:$I$13,0))</f>
        <v>#N/A</v>
      </c>
      <c r="I376" s="3" t="e">
        <f>INDEX(Demand_Modeling!$A$13:$I$49,MATCH(Table3[[#This Row],[Key]],Demand_Modeling!$A$13:$A$49,0),MATCH(Table3[[#Headers],[TFC]],Demand_Modeling!$A$13:$I$13,0))</f>
        <v>#N/A</v>
      </c>
      <c r="J376" s="3" t="e">
        <f>INDEX(Demand_Modeling!$A$13:$I$49,MATCH(Table3[[#This Row],[Key]],Demand_Modeling!$A$13:$A$49,0),MATCH(Table3[[#Headers],[WFC]],Demand_Modeling!$A$13:$I$13,0))</f>
        <v>#N/A</v>
      </c>
      <c r="K376" s="3" t="e">
        <f>INDEX(Demand_Modeling!$A$13:$I$49,MATCH(Table3[[#This Row],[Key]],Demand_Modeling!$A$13:$A$49,0),MATCH(Table3[[#Headers],[EAO]],Demand_Modeling!$A$13:$I$13,0))</f>
        <v>#N/A</v>
      </c>
      <c r="L376" s="3" t="e">
        <f>INDEX(Demand_Modeling!$A$13:$I$49,MATCH(Table3[[#This Row],[Key]],Demand_Modeling!$A$13:$A$49,0),MATCH(Table3[[#Headers],[OCC]],Demand_Modeling!$A$13:$I$13,0))</f>
        <v>#N/A</v>
      </c>
      <c r="M376" s="3" t="e">
        <f>INDEX(Demand_Modeling!$A$13:$I$49,MATCH(Table3[[#This Row],[Key]],Demand_Modeling!$A$13:$A$49,0),MATCH(Table3[[#Headers],[WEO]],Demand_Modeling!$A$13:$I$13,0))</f>
        <v>#N/A</v>
      </c>
      <c r="N376" s="19" t="e">
        <f>SUM(Table3[[#This Row],[OFC]:[WEO]])</f>
        <v>#N/A</v>
      </c>
      <c r="O376" s="19"/>
      <c r="Q376" s="3" t="str">
        <f>Table35[[#This Row],[Fiscal_Year]]*100+Table35[[#This Row],[Fiscal_Week]] &amp; "-" &amp;Table35[[#This Row],[Brand]]</f>
        <v>0-0</v>
      </c>
      <c r="R376" t="str">
        <f>Table3[[#This Row],[Key]]</f>
        <v>-</v>
      </c>
      <c r="S376">
        <f>Table3[[#This Row],[Fiscal_Year]]</f>
        <v>0</v>
      </c>
      <c r="T376">
        <f>Table3[[#This Row],[Fiscal_Week]]</f>
        <v>0</v>
      </c>
      <c r="U376">
        <f>Table3[[#This Row],[Brand]]</f>
        <v>0</v>
      </c>
      <c r="V376">
        <f>Table3[[#This Row],[Demand]]</f>
        <v>0</v>
      </c>
      <c r="W376" t="e">
        <f>Table3[[#This Row],[OFC]]*Table3[[#This Row],[Demand]]</f>
        <v>#N/A</v>
      </c>
      <c r="X376" t="e">
        <f>Table3[[#This Row],[TFC]]*Table3[[#This Row],[Demand]]</f>
        <v>#N/A</v>
      </c>
      <c r="Y376" t="e">
        <f>Table3[[#This Row],[WFC]]*Table3[[#This Row],[Demand]]</f>
        <v>#N/A</v>
      </c>
      <c r="Z376" t="e">
        <f>Table3[[#This Row],[EAO]]*Table3[[#This Row],[Demand]]</f>
        <v>#N/A</v>
      </c>
      <c r="AA376" t="e">
        <f>Table3[[#This Row],[OCC]]*Table3[[#This Row],[Demand]]</f>
        <v>#N/A</v>
      </c>
      <c r="AB376" t="e">
        <f>Table3[[#This Row],[WEO]]*Table3[[#This Row],[Demand]]</f>
        <v>#N/A</v>
      </c>
      <c r="AC376" s="19" t="e">
        <f>SUM(Table35[[#This Row],[OFC]:[WEO]])</f>
        <v>#N/A</v>
      </c>
      <c r="AD376" s="19" t="e">
        <f>Table35[[#This Row],[Demand]]-Table35[[#This Row],[Total_Modeled_Demand]]</f>
        <v>#N/A</v>
      </c>
    </row>
    <row r="377" spans="2:30" x14ac:dyDescent="0.3">
      <c r="B377" s="3" t="str">
        <f>Table3[[#This Row],[Fiscal_Year]]*100+Table3[[#This Row],[Fiscal_Week]] &amp; "-" &amp;Table3[[#This Row],[Brand]]</f>
        <v>0-</v>
      </c>
      <c r="C377" t="str">
        <f t="shared" si="5"/>
        <v>-</v>
      </c>
      <c r="H377" s="3" t="e">
        <f>INDEX(Demand_Modeling!$A$13:$I$49,MATCH(Table3[[#This Row],[Key]],Demand_Modeling!$A$13:$A$49,0),MATCH(Table3[[#Headers],[OFC]],Demand_Modeling!$A$13:$I$13,0))</f>
        <v>#N/A</v>
      </c>
      <c r="I377" s="3" t="e">
        <f>INDEX(Demand_Modeling!$A$13:$I$49,MATCH(Table3[[#This Row],[Key]],Demand_Modeling!$A$13:$A$49,0),MATCH(Table3[[#Headers],[TFC]],Demand_Modeling!$A$13:$I$13,0))</f>
        <v>#N/A</v>
      </c>
      <c r="J377" s="3" t="e">
        <f>INDEX(Demand_Modeling!$A$13:$I$49,MATCH(Table3[[#This Row],[Key]],Demand_Modeling!$A$13:$A$49,0),MATCH(Table3[[#Headers],[WFC]],Demand_Modeling!$A$13:$I$13,0))</f>
        <v>#N/A</v>
      </c>
      <c r="K377" s="3" t="e">
        <f>INDEX(Demand_Modeling!$A$13:$I$49,MATCH(Table3[[#This Row],[Key]],Demand_Modeling!$A$13:$A$49,0),MATCH(Table3[[#Headers],[EAO]],Demand_Modeling!$A$13:$I$13,0))</f>
        <v>#N/A</v>
      </c>
      <c r="L377" s="3" t="e">
        <f>INDEX(Demand_Modeling!$A$13:$I$49,MATCH(Table3[[#This Row],[Key]],Demand_Modeling!$A$13:$A$49,0),MATCH(Table3[[#Headers],[OCC]],Demand_Modeling!$A$13:$I$13,0))</f>
        <v>#N/A</v>
      </c>
      <c r="M377" s="3" t="e">
        <f>INDEX(Demand_Modeling!$A$13:$I$49,MATCH(Table3[[#This Row],[Key]],Demand_Modeling!$A$13:$A$49,0),MATCH(Table3[[#Headers],[WEO]],Demand_Modeling!$A$13:$I$13,0))</f>
        <v>#N/A</v>
      </c>
      <c r="N377" s="19" t="e">
        <f>SUM(Table3[[#This Row],[OFC]:[WEO]])</f>
        <v>#N/A</v>
      </c>
      <c r="O377" s="19"/>
      <c r="Q377" s="3" t="str">
        <f>Table35[[#This Row],[Fiscal_Year]]*100+Table35[[#This Row],[Fiscal_Week]] &amp; "-" &amp;Table35[[#This Row],[Brand]]</f>
        <v>0-0</v>
      </c>
      <c r="R377" t="str">
        <f>Table3[[#This Row],[Key]]</f>
        <v>-</v>
      </c>
      <c r="S377">
        <f>Table3[[#This Row],[Fiscal_Year]]</f>
        <v>0</v>
      </c>
      <c r="T377">
        <f>Table3[[#This Row],[Fiscal_Week]]</f>
        <v>0</v>
      </c>
      <c r="U377">
        <f>Table3[[#This Row],[Brand]]</f>
        <v>0</v>
      </c>
      <c r="V377">
        <f>Table3[[#This Row],[Demand]]</f>
        <v>0</v>
      </c>
      <c r="W377" t="e">
        <f>Table3[[#This Row],[OFC]]*Table3[[#This Row],[Demand]]</f>
        <v>#N/A</v>
      </c>
      <c r="X377" t="e">
        <f>Table3[[#This Row],[TFC]]*Table3[[#This Row],[Demand]]</f>
        <v>#N/A</v>
      </c>
      <c r="Y377" t="e">
        <f>Table3[[#This Row],[WFC]]*Table3[[#This Row],[Demand]]</f>
        <v>#N/A</v>
      </c>
      <c r="Z377" t="e">
        <f>Table3[[#This Row],[EAO]]*Table3[[#This Row],[Demand]]</f>
        <v>#N/A</v>
      </c>
      <c r="AA377" t="e">
        <f>Table3[[#This Row],[OCC]]*Table3[[#This Row],[Demand]]</f>
        <v>#N/A</v>
      </c>
      <c r="AB377" t="e">
        <f>Table3[[#This Row],[WEO]]*Table3[[#This Row],[Demand]]</f>
        <v>#N/A</v>
      </c>
      <c r="AC377" s="19" t="e">
        <f>SUM(Table35[[#This Row],[OFC]:[WEO]])</f>
        <v>#N/A</v>
      </c>
      <c r="AD377" s="19" t="e">
        <f>Table35[[#This Row],[Demand]]-Table35[[#This Row],[Total_Modeled_Demand]]</f>
        <v>#N/A</v>
      </c>
    </row>
    <row r="378" spans="2:30" x14ac:dyDescent="0.3">
      <c r="B378" s="3" t="str">
        <f>Table3[[#This Row],[Fiscal_Year]]*100+Table3[[#This Row],[Fiscal_Week]] &amp; "-" &amp;Table3[[#This Row],[Brand]]</f>
        <v>0-</v>
      </c>
      <c r="C378" t="str">
        <f t="shared" si="5"/>
        <v>-</v>
      </c>
      <c r="H378" s="3" t="e">
        <f>INDEX(Demand_Modeling!$A$13:$I$49,MATCH(Table3[[#This Row],[Key]],Demand_Modeling!$A$13:$A$49,0),MATCH(Table3[[#Headers],[OFC]],Demand_Modeling!$A$13:$I$13,0))</f>
        <v>#N/A</v>
      </c>
      <c r="I378" s="3" t="e">
        <f>INDEX(Demand_Modeling!$A$13:$I$49,MATCH(Table3[[#This Row],[Key]],Demand_Modeling!$A$13:$A$49,0),MATCH(Table3[[#Headers],[TFC]],Demand_Modeling!$A$13:$I$13,0))</f>
        <v>#N/A</v>
      </c>
      <c r="J378" s="3" t="e">
        <f>INDEX(Demand_Modeling!$A$13:$I$49,MATCH(Table3[[#This Row],[Key]],Demand_Modeling!$A$13:$A$49,0),MATCH(Table3[[#Headers],[WFC]],Demand_Modeling!$A$13:$I$13,0))</f>
        <v>#N/A</v>
      </c>
      <c r="K378" s="3" t="e">
        <f>INDEX(Demand_Modeling!$A$13:$I$49,MATCH(Table3[[#This Row],[Key]],Demand_Modeling!$A$13:$A$49,0),MATCH(Table3[[#Headers],[EAO]],Demand_Modeling!$A$13:$I$13,0))</f>
        <v>#N/A</v>
      </c>
      <c r="L378" s="3" t="e">
        <f>INDEX(Demand_Modeling!$A$13:$I$49,MATCH(Table3[[#This Row],[Key]],Demand_Modeling!$A$13:$A$49,0),MATCH(Table3[[#Headers],[OCC]],Demand_Modeling!$A$13:$I$13,0))</f>
        <v>#N/A</v>
      </c>
      <c r="M378" s="3" t="e">
        <f>INDEX(Demand_Modeling!$A$13:$I$49,MATCH(Table3[[#This Row],[Key]],Demand_Modeling!$A$13:$A$49,0),MATCH(Table3[[#Headers],[WEO]],Demand_Modeling!$A$13:$I$13,0))</f>
        <v>#N/A</v>
      </c>
      <c r="N378" s="19" t="e">
        <f>SUM(Table3[[#This Row],[OFC]:[WEO]])</f>
        <v>#N/A</v>
      </c>
      <c r="O378" s="19"/>
      <c r="Q378" s="3" t="str">
        <f>Table35[[#This Row],[Fiscal_Year]]*100+Table35[[#This Row],[Fiscal_Week]] &amp; "-" &amp;Table35[[#This Row],[Brand]]</f>
        <v>0-0</v>
      </c>
      <c r="R378" t="str">
        <f>Table3[[#This Row],[Key]]</f>
        <v>-</v>
      </c>
      <c r="S378">
        <f>Table3[[#This Row],[Fiscal_Year]]</f>
        <v>0</v>
      </c>
      <c r="T378">
        <f>Table3[[#This Row],[Fiscal_Week]]</f>
        <v>0</v>
      </c>
      <c r="U378">
        <f>Table3[[#This Row],[Brand]]</f>
        <v>0</v>
      </c>
      <c r="V378">
        <f>Table3[[#This Row],[Demand]]</f>
        <v>0</v>
      </c>
      <c r="W378" t="e">
        <f>Table3[[#This Row],[OFC]]*Table3[[#This Row],[Demand]]</f>
        <v>#N/A</v>
      </c>
      <c r="X378" t="e">
        <f>Table3[[#This Row],[TFC]]*Table3[[#This Row],[Demand]]</f>
        <v>#N/A</v>
      </c>
      <c r="Y378" t="e">
        <f>Table3[[#This Row],[WFC]]*Table3[[#This Row],[Demand]]</f>
        <v>#N/A</v>
      </c>
      <c r="Z378" t="e">
        <f>Table3[[#This Row],[EAO]]*Table3[[#This Row],[Demand]]</f>
        <v>#N/A</v>
      </c>
      <c r="AA378" t="e">
        <f>Table3[[#This Row],[OCC]]*Table3[[#This Row],[Demand]]</f>
        <v>#N/A</v>
      </c>
      <c r="AB378" t="e">
        <f>Table3[[#This Row],[WEO]]*Table3[[#This Row],[Demand]]</f>
        <v>#N/A</v>
      </c>
      <c r="AC378" s="19" t="e">
        <f>SUM(Table35[[#This Row],[OFC]:[WEO]])</f>
        <v>#N/A</v>
      </c>
      <c r="AD378" s="19" t="e">
        <f>Table35[[#This Row],[Demand]]-Table35[[#This Row],[Total_Modeled_Demand]]</f>
        <v>#N/A</v>
      </c>
    </row>
    <row r="379" spans="2:30" x14ac:dyDescent="0.3">
      <c r="B379" s="3" t="str">
        <f>Table3[[#This Row],[Fiscal_Year]]*100+Table3[[#This Row],[Fiscal_Week]] &amp; "-" &amp;Table3[[#This Row],[Brand]]</f>
        <v>0-</v>
      </c>
      <c r="C379" t="str">
        <f t="shared" si="5"/>
        <v>-</v>
      </c>
      <c r="H379" s="3" t="e">
        <f>INDEX(Demand_Modeling!$A$13:$I$49,MATCH(Table3[[#This Row],[Key]],Demand_Modeling!$A$13:$A$49,0),MATCH(Table3[[#Headers],[OFC]],Demand_Modeling!$A$13:$I$13,0))</f>
        <v>#N/A</v>
      </c>
      <c r="I379" s="3" t="e">
        <f>INDEX(Demand_Modeling!$A$13:$I$49,MATCH(Table3[[#This Row],[Key]],Demand_Modeling!$A$13:$A$49,0),MATCH(Table3[[#Headers],[TFC]],Demand_Modeling!$A$13:$I$13,0))</f>
        <v>#N/A</v>
      </c>
      <c r="J379" s="3" t="e">
        <f>INDEX(Demand_Modeling!$A$13:$I$49,MATCH(Table3[[#This Row],[Key]],Demand_Modeling!$A$13:$A$49,0),MATCH(Table3[[#Headers],[WFC]],Demand_Modeling!$A$13:$I$13,0))</f>
        <v>#N/A</v>
      </c>
      <c r="K379" s="3" t="e">
        <f>INDEX(Demand_Modeling!$A$13:$I$49,MATCH(Table3[[#This Row],[Key]],Demand_Modeling!$A$13:$A$49,0),MATCH(Table3[[#Headers],[EAO]],Demand_Modeling!$A$13:$I$13,0))</f>
        <v>#N/A</v>
      </c>
      <c r="L379" s="3" t="e">
        <f>INDEX(Demand_Modeling!$A$13:$I$49,MATCH(Table3[[#This Row],[Key]],Demand_Modeling!$A$13:$A$49,0),MATCH(Table3[[#Headers],[OCC]],Demand_Modeling!$A$13:$I$13,0))</f>
        <v>#N/A</v>
      </c>
      <c r="M379" s="3" t="e">
        <f>INDEX(Demand_Modeling!$A$13:$I$49,MATCH(Table3[[#This Row],[Key]],Demand_Modeling!$A$13:$A$49,0),MATCH(Table3[[#Headers],[WEO]],Demand_Modeling!$A$13:$I$13,0))</f>
        <v>#N/A</v>
      </c>
      <c r="N379" s="19" t="e">
        <f>SUM(Table3[[#This Row],[OFC]:[WEO]])</f>
        <v>#N/A</v>
      </c>
      <c r="O379" s="19"/>
      <c r="Q379" s="3" t="str">
        <f>Table35[[#This Row],[Fiscal_Year]]*100+Table35[[#This Row],[Fiscal_Week]] &amp; "-" &amp;Table35[[#This Row],[Brand]]</f>
        <v>0-0</v>
      </c>
      <c r="R379" t="str">
        <f>Table3[[#This Row],[Key]]</f>
        <v>-</v>
      </c>
      <c r="S379">
        <f>Table3[[#This Row],[Fiscal_Year]]</f>
        <v>0</v>
      </c>
      <c r="T379">
        <f>Table3[[#This Row],[Fiscal_Week]]</f>
        <v>0</v>
      </c>
      <c r="U379">
        <f>Table3[[#This Row],[Brand]]</f>
        <v>0</v>
      </c>
      <c r="V379">
        <f>Table3[[#This Row],[Demand]]</f>
        <v>0</v>
      </c>
      <c r="W379" t="e">
        <f>Table3[[#This Row],[OFC]]*Table3[[#This Row],[Demand]]</f>
        <v>#N/A</v>
      </c>
      <c r="X379" t="e">
        <f>Table3[[#This Row],[TFC]]*Table3[[#This Row],[Demand]]</f>
        <v>#N/A</v>
      </c>
      <c r="Y379" t="e">
        <f>Table3[[#This Row],[WFC]]*Table3[[#This Row],[Demand]]</f>
        <v>#N/A</v>
      </c>
      <c r="Z379" t="e">
        <f>Table3[[#This Row],[EAO]]*Table3[[#This Row],[Demand]]</f>
        <v>#N/A</v>
      </c>
      <c r="AA379" t="e">
        <f>Table3[[#This Row],[OCC]]*Table3[[#This Row],[Demand]]</f>
        <v>#N/A</v>
      </c>
      <c r="AB379" t="e">
        <f>Table3[[#This Row],[WEO]]*Table3[[#This Row],[Demand]]</f>
        <v>#N/A</v>
      </c>
      <c r="AC379" s="19" t="e">
        <f>SUM(Table35[[#This Row],[OFC]:[WEO]])</f>
        <v>#N/A</v>
      </c>
      <c r="AD379" s="19" t="e">
        <f>Table35[[#This Row],[Demand]]-Table35[[#This Row],[Total_Modeled_Demand]]</f>
        <v>#N/A</v>
      </c>
    </row>
    <row r="380" spans="2:30" x14ac:dyDescent="0.3">
      <c r="B380" s="3" t="str">
        <f>Table3[[#This Row],[Fiscal_Year]]*100+Table3[[#This Row],[Fiscal_Week]] &amp; "-" &amp;Table3[[#This Row],[Brand]]</f>
        <v>0-</v>
      </c>
      <c r="C380" t="str">
        <f t="shared" si="5"/>
        <v>-</v>
      </c>
      <c r="H380" s="3" t="e">
        <f>INDEX(Demand_Modeling!$A$13:$I$49,MATCH(Table3[[#This Row],[Key]],Demand_Modeling!$A$13:$A$49,0),MATCH(Table3[[#Headers],[OFC]],Demand_Modeling!$A$13:$I$13,0))</f>
        <v>#N/A</v>
      </c>
      <c r="I380" s="3" t="e">
        <f>INDEX(Demand_Modeling!$A$13:$I$49,MATCH(Table3[[#This Row],[Key]],Demand_Modeling!$A$13:$A$49,0),MATCH(Table3[[#Headers],[TFC]],Demand_Modeling!$A$13:$I$13,0))</f>
        <v>#N/A</v>
      </c>
      <c r="J380" s="3" t="e">
        <f>INDEX(Demand_Modeling!$A$13:$I$49,MATCH(Table3[[#This Row],[Key]],Demand_Modeling!$A$13:$A$49,0),MATCH(Table3[[#Headers],[WFC]],Demand_Modeling!$A$13:$I$13,0))</f>
        <v>#N/A</v>
      </c>
      <c r="K380" s="3" t="e">
        <f>INDEX(Demand_Modeling!$A$13:$I$49,MATCH(Table3[[#This Row],[Key]],Demand_Modeling!$A$13:$A$49,0),MATCH(Table3[[#Headers],[EAO]],Demand_Modeling!$A$13:$I$13,0))</f>
        <v>#N/A</v>
      </c>
      <c r="L380" s="3" t="e">
        <f>INDEX(Demand_Modeling!$A$13:$I$49,MATCH(Table3[[#This Row],[Key]],Demand_Modeling!$A$13:$A$49,0),MATCH(Table3[[#Headers],[OCC]],Demand_Modeling!$A$13:$I$13,0))</f>
        <v>#N/A</v>
      </c>
      <c r="M380" s="3" t="e">
        <f>INDEX(Demand_Modeling!$A$13:$I$49,MATCH(Table3[[#This Row],[Key]],Demand_Modeling!$A$13:$A$49,0),MATCH(Table3[[#Headers],[WEO]],Demand_Modeling!$A$13:$I$13,0))</f>
        <v>#N/A</v>
      </c>
      <c r="N380" s="19" t="e">
        <f>SUM(Table3[[#This Row],[OFC]:[WEO]])</f>
        <v>#N/A</v>
      </c>
      <c r="O380" s="19"/>
      <c r="Q380" s="3" t="str">
        <f>Table35[[#This Row],[Fiscal_Year]]*100+Table35[[#This Row],[Fiscal_Week]] &amp; "-" &amp;Table35[[#This Row],[Brand]]</f>
        <v>0-0</v>
      </c>
      <c r="R380" t="str">
        <f>Table3[[#This Row],[Key]]</f>
        <v>-</v>
      </c>
      <c r="S380">
        <f>Table3[[#This Row],[Fiscal_Year]]</f>
        <v>0</v>
      </c>
      <c r="T380">
        <f>Table3[[#This Row],[Fiscal_Week]]</f>
        <v>0</v>
      </c>
      <c r="U380">
        <f>Table3[[#This Row],[Brand]]</f>
        <v>0</v>
      </c>
      <c r="V380">
        <f>Table3[[#This Row],[Demand]]</f>
        <v>0</v>
      </c>
      <c r="W380" t="e">
        <f>Table3[[#This Row],[OFC]]*Table3[[#This Row],[Demand]]</f>
        <v>#N/A</v>
      </c>
      <c r="X380" t="e">
        <f>Table3[[#This Row],[TFC]]*Table3[[#This Row],[Demand]]</f>
        <v>#N/A</v>
      </c>
      <c r="Y380" t="e">
        <f>Table3[[#This Row],[WFC]]*Table3[[#This Row],[Demand]]</f>
        <v>#N/A</v>
      </c>
      <c r="Z380" t="e">
        <f>Table3[[#This Row],[EAO]]*Table3[[#This Row],[Demand]]</f>
        <v>#N/A</v>
      </c>
      <c r="AA380" t="e">
        <f>Table3[[#This Row],[OCC]]*Table3[[#This Row],[Demand]]</f>
        <v>#N/A</v>
      </c>
      <c r="AB380" t="e">
        <f>Table3[[#This Row],[WEO]]*Table3[[#This Row],[Demand]]</f>
        <v>#N/A</v>
      </c>
      <c r="AC380" s="19" t="e">
        <f>SUM(Table35[[#This Row],[OFC]:[WEO]])</f>
        <v>#N/A</v>
      </c>
      <c r="AD380" s="19" t="e">
        <f>Table35[[#This Row],[Demand]]-Table35[[#This Row],[Total_Modeled_Demand]]</f>
        <v>#N/A</v>
      </c>
    </row>
    <row r="381" spans="2:30" x14ac:dyDescent="0.3">
      <c r="B381" s="3" t="str">
        <f>Table3[[#This Row],[Fiscal_Year]]*100+Table3[[#This Row],[Fiscal_Week]] &amp; "-" &amp;Table3[[#This Row],[Brand]]</f>
        <v>0-</v>
      </c>
      <c r="C381" t="str">
        <f t="shared" si="5"/>
        <v>-</v>
      </c>
      <c r="H381" s="3" t="e">
        <f>INDEX(Demand_Modeling!$A$13:$I$49,MATCH(Table3[[#This Row],[Key]],Demand_Modeling!$A$13:$A$49,0),MATCH(Table3[[#Headers],[OFC]],Demand_Modeling!$A$13:$I$13,0))</f>
        <v>#N/A</v>
      </c>
      <c r="I381" s="3" t="e">
        <f>INDEX(Demand_Modeling!$A$13:$I$49,MATCH(Table3[[#This Row],[Key]],Demand_Modeling!$A$13:$A$49,0),MATCH(Table3[[#Headers],[TFC]],Demand_Modeling!$A$13:$I$13,0))</f>
        <v>#N/A</v>
      </c>
      <c r="J381" s="3" t="e">
        <f>INDEX(Demand_Modeling!$A$13:$I$49,MATCH(Table3[[#This Row],[Key]],Demand_Modeling!$A$13:$A$49,0),MATCH(Table3[[#Headers],[WFC]],Demand_Modeling!$A$13:$I$13,0))</f>
        <v>#N/A</v>
      </c>
      <c r="K381" s="3" t="e">
        <f>INDEX(Demand_Modeling!$A$13:$I$49,MATCH(Table3[[#This Row],[Key]],Demand_Modeling!$A$13:$A$49,0),MATCH(Table3[[#Headers],[EAO]],Demand_Modeling!$A$13:$I$13,0))</f>
        <v>#N/A</v>
      </c>
      <c r="L381" s="3" t="e">
        <f>INDEX(Demand_Modeling!$A$13:$I$49,MATCH(Table3[[#This Row],[Key]],Demand_Modeling!$A$13:$A$49,0),MATCH(Table3[[#Headers],[OCC]],Demand_Modeling!$A$13:$I$13,0))</f>
        <v>#N/A</v>
      </c>
      <c r="M381" s="3" t="e">
        <f>INDEX(Demand_Modeling!$A$13:$I$49,MATCH(Table3[[#This Row],[Key]],Demand_Modeling!$A$13:$A$49,0),MATCH(Table3[[#Headers],[WEO]],Demand_Modeling!$A$13:$I$13,0))</f>
        <v>#N/A</v>
      </c>
      <c r="N381" s="19" t="e">
        <f>SUM(Table3[[#This Row],[OFC]:[WEO]])</f>
        <v>#N/A</v>
      </c>
      <c r="O381" s="19"/>
      <c r="Q381" s="3" t="str">
        <f>Table35[[#This Row],[Fiscal_Year]]*100+Table35[[#This Row],[Fiscal_Week]] &amp; "-" &amp;Table35[[#This Row],[Brand]]</f>
        <v>0-0</v>
      </c>
      <c r="R381" t="str">
        <f>Table3[[#This Row],[Key]]</f>
        <v>-</v>
      </c>
      <c r="S381">
        <f>Table3[[#This Row],[Fiscal_Year]]</f>
        <v>0</v>
      </c>
      <c r="T381">
        <f>Table3[[#This Row],[Fiscal_Week]]</f>
        <v>0</v>
      </c>
      <c r="U381">
        <f>Table3[[#This Row],[Brand]]</f>
        <v>0</v>
      </c>
      <c r="V381">
        <f>Table3[[#This Row],[Demand]]</f>
        <v>0</v>
      </c>
      <c r="W381" t="e">
        <f>Table3[[#This Row],[OFC]]*Table3[[#This Row],[Demand]]</f>
        <v>#N/A</v>
      </c>
      <c r="X381" t="e">
        <f>Table3[[#This Row],[TFC]]*Table3[[#This Row],[Demand]]</f>
        <v>#N/A</v>
      </c>
      <c r="Y381" t="e">
        <f>Table3[[#This Row],[WFC]]*Table3[[#This Row],[Demand]]</f>
        <v>#N/A</v>
      </c>
      <c r="Z381" t="e">
        <f>Table3[[#This Row],[EAO]]*Table3[[#This Row],[Demand]]</f>
        <v>#N/A</v>
      </c>
      <c r="AA381" t="e">
        <f>Table3[[#This Row],[OCC]]*Table3[[#This Row],[Demand]]</f>
        <v>#N/A</v>
      </c>
      <c r="AB381" t="e">
        <f>Table3[[#This Row],[WEO]]*Table3[[#This Row],[Demand]]</f>
        <v>#N/A</v>
      </c>
      <c r="AC381" s="19" t="e">
        <f>SUM(Table35[[#This Row],[OFC]:[WEO]])</f>
        <v>#N/A</v>
      </c>
      <c r="AD381" s="19" t="e">
        <f>Table35[[#This Row],[Demand]]-Table35[[#This Row],[Total_Modeled_Demand]]</f>
        <v>#N/A</v>
      </c>
    </row>
    <row r="382" spans="2:30" x14ac:dyDescent="0.3">
      <c r="B382" s="3" t="str">
        <f>Table3[[#This Row],[Fiscal_Year]]*100+Table3[[#This Row],[Fiscal_Week]] &amp; "-" &amp;Table3[[#This Row],[Brand]]</f>
        <v>0-</v>
      </c>
      <c r="C382" t="str">
        <f t="shared" si="5"/>
        <v>-</v>
      </c>
      <c r="H382" s="3" t="e">
        <f>INDEX(Demand_Modeling!$A$13:$I$49,MATCH(Table3[[#This Row],[Key]],Demand_Modeling!$A$13:$A$49,0),MATCH(Table3[[#Headers],[OFC]],Demand_Modeling!$A$13:$I$13,0))</f>
        <v>#N/A</v>
      </c>
      <c r="I382" s="3" t="e">
        <f>INDEX(Demand_Modeling!$A$13:$I$49,MATCH(Table3[[#This Row],[Key]],Demand_Modeling!$A$13:$A$49,0),MATCH(Table3[[#Headers],[TFC]],Demand_Modeling!$A$13:$I$13,0))</f>
        <v>#N/A</v>
      </c>
      <c r="J382" s="3" t="e">
        <f>INDEX(Demand_Modeling!$A$13:$I$49,MATCH(Table3[[#This Row],[Key]],Demand_Modeling!$A$13:$A$49,0),MATCH(Table3[[#Headers],[WFC]],Demand_Modeling!$A$13:$I$13,0))</f>
        <v>#N/A</v>
      </c>
      <c r="K382" s="3" t="e">
        <f>INDEX(Demand_Modeling!$A$13:$I$49,MATCH(Table3[[#This Row],[Key]],Demand_Modeling!$A$13:$A$49,0),MATCH(Table3[[#Headers],[EAO]],Demand_Modeling!$A$13:$I$13,0))</f>
        <v>#N/A</v>
      </c>
      <c r="L382" s="3" t="e">
        <f>INDEX(Demand_Modeling!$A$13:$I$49,MATCH(Table3[[#This Row],[Key]],Demand_Modeling!$A$13:$A$49,0),MATCH(Table3[[#Headers],[OCC]],Demand_Modeling!$A$13:$I$13,0))</f>
        <v>#N/A</v>
      </c>
      <c r="M382" s="3" t="e">
        <f>INDEX(Demand_Modeling!$A$13:$I$49,MATCH(Table3[[#This Row],[Key]],Demand_Modeling!$A$13:$A$49,0),MATCH(Table3[[#Headers],[WEO]],Demand_Modeling!$A$13:$I$13,0))</f>
        <v>#N/A</v>
      </c>
      <c r="N382" s="19" t="e">
        <f>SUM(Table3[[#This Row],[OFC]:[WEO]])</f>
        <v>#N/A</v>
      </c>
      <c r="O382" s="19"/>
      <c r="Q382" s="3" t="str">
        <f>Table35[[#This Row],[Fiscal_Year]]*100+Table35[[#This Row],[Fiscal_Week]] &amp; "-" &amp;Table35[[#This Row],[Brand]]</f>
        <v>0-0</v>
      </c>
      <c r="R382" t="str">
        <f>Table3[[#This Row],[Key]]</f>
        <v>-</v>
      </c>
      <c r="S382">
        <f>Table3[[#This Row],[Fiscal_Year]]</f>
        <v>0</v>
      </c>
      <c r="T382">
        <f>Table3[[#This Row],[Fiscal_Week]]</f>
        <v>0</v>
      </c>
      <c r="U382">
        <f>Table3[[#This Row],[Brand]]</f>
        <v>0</v>
      </c>
      <c r="V382">
        <f>Table3[[#This Row],[Demand]]</f>
        <v>0</v>
      </c>
      <c r="W382" t="e">
        <f>Table3[[#This Row],[OFC]]*Table3[[#This Row],[Demand]]</f>
        <v>#N/A</v>
      </c>
      <c r="X382" t="e">
        <f>Table3[[#This Row],[TFC]]*Table3[[#This Row],[Demand]]</f>
        <v>#N/A</v>
      </c>
      <c r="Y382" t="e">
        <f>Table3[[#This Row],[WFC]]*Table3[[#This Row],[Demand]]</f>
        <v>#N/A</v>
      </c>
      <c r="Z382" t="e">
        <f>Table3[[#This Row],[EAO]]*Table3[[#This Row],[Demand]]</f>
        <v>#N/A</v>
      </c>
      <c r="AA382" t="e">
        <f>Table3[[#This Row],[OCC]]*Table3[[#This Row],[Demand]]</f>
        <v>#N/A</v>
      </c>
      <c r="AB382" t="e">
        <f>Table3[[#This Row],[WEO]]*Table3[[#This Row],[Demand]]</f>
        <v>#N/A</v>
      </c>
      <c r="AC382" s="19" t="e">
        <f>SUM(Table35[[#This Row],[OFC]:[WEO]])</f>
        <v>#N/A</v>
      </c>
      <c r="AD382" s="19" t="e">
        <f>Table35[[#This Row],[Demand]]-Table35[[#This Row],[Total_Modeled_Demand]]</f>
        <v>#N/A</v>
      </c>
    </row>
    <row r="383" spans="2:30" x14ac:dyDescent="0.3">
      <c r="B383" s="3" t="str">
        <f>Table3[[#This Row],[Fiscal_Year]]*100+Table3[[#This Row],[Fiscal_Week]] &amp; "-" &amp;Table3[[#This Row],[Brand]]</f>
        <v>0-</v>
      </c>
      <c r="C383" t="str">
        <f t="shared" si="5"/>
        <v>-</v>
      </c>
      <c r="H383" s="3" t="e">
        <f>INDEX(Demand_Modeling!$A$13:$I$49,MATCH(Table3[[#This Row],[Key]],Demand_Modeling!$A$13:$A$49,0),MATCH(Table3[[#Headers],[OFC]],Demand_Modeling!$A$13:$I$13,0))</f>
        <v>#N/A</v>
      </c>
      <c r="I383" s="3" t="e">
        <f>INDEX(Demand_Modeling!$A$13:$I$49,MATCH(Table3[[#This Row],[Key]],Demand_Modeling!$A$13:$A$49,0),MATCH(Table3[[#Headers],[TFC]],Demand_Modeling!$A$13:$I$13,0))</f>
        <v>#N/A</v>
      </c>
      <c r="J383" s="3" t="e">
        <f>INDEX(Demand_Modeling!$A$13:$I$49,MATCH(Table3[[#This Row],[Key]],Demand_Modeling!$A$13:$A$49,0),MATCH(Table3[[#Headers],[WFC]],Demand_Modeling!$A$13:$I$13,0))</f>
        <v>#N/A</v>
      </c>
      <c r="K383" s="3" t="e">
        <f>INDEX(Demand_Modeling!$A$13:$I$49,MATCH(Table3[[#This Row],[Key]],Demand_Modeling!$A$13:$A$49,0),MATCH(Table3[[#Headers],[EAO]],Demand_Modeling!$A$13:$I$13,0))</f>
        <v>#N/A</v>
      </c>
      <c r="L383" s="3" t="e">
        <f>INDEX(Demand_Modeling!$A$13:$I$49,MATCH(Table3[[#This Row],[Key]],Demand_Modeling!$A$13:$A$49,0),MATCH(Table3[[#Headers],[OCC]],Demand_Modeling!$A$13:$I$13,0))</f>
        <v>#N/A</v>
      </c>
      <c r="M383" s="3" t="e">
        <f>INDEX(Demand_Modeling!$A$13:$I$49,MATCH(Table3[[#This Row],[Key]],Demand_Modeling!$A$13:$A$49,0),MATCH(Table3[[#Headers],[WEO]],Demand_Modeling!$A$13:$I$13,0))</f>
        <v>#N/A</v>
      </c>
      <c r="N383" s="19" t="e">
        <f>SUM(Table3[[#This Row],[OFC]:[WEO]])</f>
        <v>#N/A</v>
      </c>
      <c r="O383" s="19"/>
      <c r="Q383" s="3" t="str">
        <f>Table35[[#This Row],[Fiscal_Year]]*100+Table35[[#This Row],[Fiscal_Week]] &amp; "-" &amp;Table35[[#This Row],[Brand]]</f>
        <v>0-0</v>
      </c>
      <c r="R383" t="str">
        <f>Table3[[#This Row],[Key]]</f>
        <v>-</v>
      </c>
      <c r="S383">
        <f>Table3[[#This Row],[Fiscal_Year]]</f>
        <v>0</v>
      </c>
      <c r="T383">
        <f>Table3[[#This Row],[Fiscal_Week]]</f>
        <v>0</v>
      </c>
      <c r="U383">
        <f>Table3[[#This Row],[Brand]]</f>
        <v>0</v>
      </c>
      <c r="V383">
        <f>Table3[[#This Row],[Demand]]</f>
        <v>0</v>
      </c>
      <c r="W383" t="e">
        <f>Table3[[#This Row],[OFC]]*Table3[[#This Row],[Demand]]</f>
        <v>#N/A</v>
      </c>
      <c r="X383" t="e">
        <f>Table3[[#This Row],[TFC]]*Table3[[#This Row],[Demand]]</f>
        <v>#N/A</v>
      </c>
      <c r="Y383" t="e">
        <f>Table3[[#This Row],[WFC]]*Table3[[#This Row],[Demand]]</f>
        <v>#N/A</v>
      </c>
      <c r="Z383" t="e">
        <f>Table3[[#This Row],[EAO]]*Table3[[#This Row],[Demand]]</f>
        <v>#N/A</v>
      </c>
      <c r="AA383" t="e">
        <f>Table3[[#This Row],[OCC]]*Table3[[#This Row],[Demand]]</f>
        <v>#N/A</v>
      </c>
      <c r="AB383" t="e">
        <f>Table3[[#This Row],[WEO]]*Table3[[#This Row],[Demand]]</f>
        <v>#N/A</v>
      </c>
      <c r="AC383" s="19" t="e">
        <f>SUM(Table35[[#This Row],[OFC]:[WEO]])</f>
        <v>#N/A</v>
      </c>
      <c r="AD383" s="19" t="e">
        <f>Table35[[#This Row],[Demand]]-Table35[[#This Row],[Total_Modeled_Demand]]</f>
        <v>#N/A</v>
      </c>
    </row>
    <row r="384" spans="2:30" x14ac:dyDescent="0.3">
      <c r="B384" s="3" t="str">
        <f>Table3[[#This Row],[Fiscal_Year]]*100+Table3[[#This Row],[Fiscal_Week]] &amp; "-" &amp;Table3[[#This Row],[Brand]]</f>
        <v>0-</v>
      </c>
      <c r="C384" t="str">
        <f t="shared" si="5"/>
        <v>-</v>
      </c>
      <c r="H384" s="3" t="e">
        <f>INDEX(Demand_Modeling!$A$13:$I$49,MATCH(Table3[[#This Row],[Key]],Demand_Modeling!$A$13:$A$49,0),MATCH(Table3[[#Headers],[OFC]],Demand_Modeling!$A$13:$I$13,0))</f>
        <v>#N/A</v>
      </c>
      <c r="I384" s="3" t="e">
        <f>INDEX(Demand_Modeling!$A$13:$I$49,MATCH(Table3[[#This Row],[Key]],Demand_Modeling!$A$13:$A$49,0),MATCH(Table3[[#Headers],[TFC]],Demand_Modeling!$A$13:$I$13,0))</f>
        <v>#N/A</v>
      </c>
      <c r="J384" s="3" t="e">
        <f>INDEX(Demand_Modeling!$A$13:$I$49,MATCH(Table3[[#This Row],[Key]],Demand_Modeling!$A$13:$A$49,0),MATCH(Table3[[#Headers],[WFC]],Demand_Modeling!$A$13:$I$13,0))</f>
        <v>#N/A</v>
      </c>
      <c r="K384" s="3" t="e">
        <f>INDEX(Demand_Modeling!$A$13:$I$49,MATCH(Table3[[#This Row],[Key]],Demand_Modeling!$A$13:$A$49,0),MATCH(Table3[[#Headers],[EAO]],Demand_Modeling!$A$13:$I$13,0))</f>
        <v>#N/A</v>
      </c>
      <c r="L384" s="3" t="e">
        <f>INDEX(Demand_Modeling!$A$13:$I$49,MATCH(Table3[[#This Row],[Key]],Demand_Modeling!$A$13:$A$49,0),MATCH(Table3[[#Headers],[OCC]],Demand_Modeling!$A$13:$I$13,0))</f>
        <v>#N/A</v>
      </c>
      <c r="M384" s="3" t="e">
        <f>INDEX(Demand_Modeling!$A$13:$I$49,MATCH(Table3[[#This Row],[Key]],Demand_Modeling!$A$13:$A$49,0),MATCH(Table3[[#Headers],[WEO]],Demand_Modeling!$A$13:$I$13,0))</f>
        <v>#N/A</v>
      </c>
      <c r="N384" s="19" t="e">
        <f>SUM(Table3[[#This Row],[OFC]:[WEO]])</f>
        <v>#N/A</v>
      </c>
      <c r="O384" s="19"/>
      <c r="Q384" s="3" t="str">
        <f>Table35[[#This Row],[Fiscal_Year]]*100+Table35[[#This Row],[Fiscal_Week]] &amp; "-" &amp;Table35[[#This Row],[Brand]]</f>
        <v>0-0</v>
      </c>
      <c r="R384" t="str">
        <f>Table3[[#This Row],[Key]]</f>
        <v>-</v>
      </c>
      <c r="S384">
        <f>Table3[[#This Row],[Fiscal_Year]]</f>
        <v>0</v>
      </c>
      <c r="T384">
        <f>Table3[[#This Row],[Fiscal_Week]]</f>
        <v>0</v>
      </c>
      <c r="U384">
        <f>Table3[[#This Row],[Brand]]</f>
        <v>0</v>
      </c>
      <c r="V384">
        <f>Table3[[#This Row],[Demand]]</f>
        <v>0</v>
      </c>
      <c r="W384" t="e">
        <f>Table3[[#This Row],[OFC]]*Table3[[#This Row],[Demand]]</f>
        <v>#N/A</v>
      </c>
      <c r="X384" t="e">
        <f>Table3[[#This Row],[TFC]]*Table3[[#This Row],[Demand]]</f>
        <v>#N/A</v>
      </c>
      <c r="Y384" t="e">
        <f>Table3[[#This Row],[WFC]]*Table3[[#This Row],[Demand]]</f>
        <v>#N/A</v>
      </c>
      <c r="Z384" t="e">
        <f>Table3[[#This Row],[EAO]]*Table3[[#This Row],[Demand]]</f>
        <v>#N/A</v>
      </c>
      <c r="AA384" t="e">
        <f>Table3[[#This Row],[OCC]]*Table3[[#This Row],[Demand]]</f>
        <v>#N/A</v>
      </c>
      <c r="AB384" t="e">
        <f>Table3[[#This Row],[WEO]]*Table3[[#This Row],[Demand]]</f>
        <v>#N/A</v>
      </c>
      <c r="AC384" s="19" t="e">
        <f>SUM(Table35[[#This Row],[OFC]:[WEO]])</f>
        <v>#N/A</v>
      </c>
      <c r="AD384" s="19" t="e">
        <f>Table35[[#This Row],[Demand]]-Table35[[#This Row],[Total_Modeled_Demand]]</f>
        <v>#N/A</v>
      </c>
    </row>
    <row r="385" spans="2:30" x14ac:dyDescent="0.3">
      <c r="B385" s="3" t="str">
        <f>Table3[[#This Row],[Fiscal_Year]]*100+Table3[[#This Row],[Fiscal_Week]] &amp; "-" &amp;Table3[[#This Row],[Brand]]</f>
        <v>0-</v>
      </c>
      <c r="C385" t="str">
        <f t="shared" si="5"/>
        <v>-</v>
      </c>
      <c r="H385" s="3" t="e">
        <f>INDEX(Demand_Modeling!$A$13:$I$49,MATCH(Table3[[#This Row],[Key]],Demand_Modeling!$A$13:$A$49,0),MATCH(Table3[[#Headers],[OFC]],Demand_Modeling!$A$13:$I$13,0))</f>
        <v>#N/A</v>
      </c>
      <c r="I385" s="3" t="e">
        <f>INDEX(Demand_Modeling!$A$13:$I$49,MATCH(Table3[[#This Row],[Key]],Demand_Modeling!$A$13:$A$49,0),MATCH(Table3[[#Headers],[TFC]],Demand_Modeling!$A$13:$I$13,0))</f>
        <v>#N/A</v>
      </c>
      <c r="J385" s="3" t="e">
        <f>INDEX(Demand_Modeling!$A$13:$I$49,MATCH(Table3[[#This Row],[Key]],Demand_Modeling!$A$13:$A$49,0),MATCH(Table3[[#Headers],[WFC]],Demand_Modeling!$A$13:$I$13,0))</f>
        <v>#N/A</v>
      </c>
      <c r="K385" s="3" t="e">
        <f>INDEX(Demand_Modeling!$A$13:$I$49,MATCH(Table3[[#This Row],[Key]],Demand_Modeling!$A$13:$A$49,0),MATCH(Table3[[#Headers],[EAO]],Demand_Modeling!$A$13:$I$13,0))</f>
        <v>#N/A</v>
      </c>
      <c r="L385" s="3" t="e">
        <f>INDEX(Demand_Modeling!$A$13:$I$49,MATCH(Table3[[#This Row],[Key]],Demand_Modeling!$A$13:$A$49,0),MATCH(Table3[[#Headers],[OCC]],Demand_Modeling!$A$13:$I$13,0))</f>
        <v>#N/A</v>
      </c>
      <c r="M385" s="3" t="e">
        <f>INDEX(Demand_Modeling!$A$13:$I$49,MATCH(Table3[[#This Row],[Key]],Demand_Modeling!$A$13:$A$49,0),MATCH(Table3[[#Headers],[WEO]],Demand_Modeling!$A$13:$I$13,0))</f>
        <v>#N/A</v>
      </c>
      <c r="N385" s="19" t="e">
        <f>SUM(Table3[[#This Row],[OFC]:[WEO]])</f>
        <v>#N/A</v>
      </c>
      <c r="O385" s="19"/>
      <c r="Q385" s="3" t="str">
        <f>Table35[[#This Row],[Fiscal_Year]]*100+Table35[[#This Row],[Fiscal_Week]] &amp; "-" &amp;Table35[[#This Row],[Brand]]</f>
        <v>0-0</v>
      </c>
      <c r="R385" t="str">
        <f>Table3[[#This Row],[Key]]</f>
        <v>-</v>
      </c>
      <c r="S385">
        <f>Table3[[#This Row],[Fiscal_Year]]</f>
        <v>0</v>
      </c>
      <c r="T385">
        <f>Table3[[#This Row],[Fiscal_Week]]</f>
        <v>0</v>
      </c>
      <c r="U385">
        <f>Table3[[#This Row],[Brand]]</f>
        <v>0</v>
      </c>
      <c r="V385">
        <f>Table3[[#This Row],[Demand]]</f>
        <v>0</v>
      </c>
      <c r="W385" t="e">
        <f>Table3[[#This Row],[OFC]]*Table3[[#This Row],[Demand]]</f>
        <v>#N/A</v>
      </c>
      <c r="X385" t="e">
        <f>Table3[[#This Row],[TFC]]*Table3[[#This Row],[Demand]]</f>
        <v>#N/A</v>
      </c>
      <c r="Y385" t="e">
        <f>Table3[[#This Row],[WFC]]*Table3[[#This Row],[Demand]]</f>
        <v>#N/A</v>
      </c>
      <c r="Z385" t="e">
        <f>Table3[[#This Row],[EAO]]*Table3[[#This Row],[Demand]]</f>
        <v>#N/A</v>
      </c>
      <c r="AA385" t="e">
        <f>Table3[[#This Row],[OCC]]*Table3[[#This Row],[Demand]]</f>
        <v>#N/A</v>
      </c>
      <c r="AB385" t="e">
        <f>Table3[[#This Row],[WEO]]*Table3[[#This Row],[Demand]]</f>
        <v>#N/A</v>
      </c>
      <c r="AC385" s="19" t="e">
        <f>SUM(Table35[[#This Row],[OFC]:[WEO]])</f>
        <v>#N/A</v>
      </c>
      <c r="AD385" s="19" t="e">
        <f>Table35[[#This Row],[Demand]]-Table35[[#This Row],[Total_Modeled_Demand]]</f>
        <v>#N/A</v>
      </c>
    </row>
    <row r="386" spans="2:30" x14ac:dyDescent="0.3">
      <c r="B386" s="3" t="str">
        <f>Table3[[#This Row],[Fiscal_Year]]*100+Table3[[#This Row],[Fiscal_Week]] &amp; "-" &amp;Table3[[#This Row],[Brand]]</f>
        <v>0-</v>
      </c>
      <c r="C386" t="str">
        <f t="shared" si="5"/>
        <v>-</v>
      </c>
      <c r="H386" s="3" t="e">
        <f>INDEX(Demand_Modeling!$A$13:$I$49,MATCH(Table3[[#This Row],[Key]],Demand_Modeling!$A$13:$A$49,0),MATCH(Table3[[#Headers],[OFC]],Demand_Modeling!$A$13:$I$13,0))</f>
        <v>#N/A</v>
      </c>
      <c r="I386" s="3" t="e">
        <f>INDEX(Demand_Modeling!$A$13:$I$49,MATCH(Table3[[#This Row],[Key]],Demand_Modeling!$A$13:$A$49,0),MATCH(Table3[[#Headers],[TFC]],Demand_Modeling!$A$13:$I$13,0))</f>
        <v>#N/A</v>
      </c>
      <c r="J386" s="3" t="e">
        <f>INDEX(Demand_Modeling!$A$13:$I$49,MATCH(Table3[[#This Row],[Key]],Demand_Modeling!$A$13:$A$49,0),MATCH(Table3[[#Headers],[WFC]],Demand_Modeling!$A$13:$I$13,0))</f>
        <v>#N/A</v>
      </c>
      <c r="K386" s="3" t="e">
        <f>INDEX(Demand_Modeling!$A$13:$I$49,MATCH(Table3[[#This Row],[Key]],Demand_Modeling!$A$13:$A$49,0),MATCH(Table3[[#Headers],[EAO]],Demand_Modeling!$A$13:$I$13,0))</f>
        <v>#N/A</v>
      </c>
      <c r="L386" s="3" t="e">
        <f>INDEX(Demand_Modeling!$A$13:$I$49,MATCH(Table3[[#This Row],[Key]],Demand_Modeling!$A$13:$A$49,0),MATCH(Table3[[#Headers],[OCC]],Demand_Modeling!$A$13:$I$13,0))</f>
        <v>#N/A</v>
      </c>
      <c r="M386" s="3" t="e">
        <f>INDEX(Demand_Modeling!$A$13:$I$49,MATCH(Table3[[#This Row],[Key]],Demand_Modeling!$A$13:$A$49,0),MATCH(Table3[[#Headers],[WEO]],Demand_Modeling!$A$13:$I$13,0))</f>
        <v>#N/A</v>
      </c>
      <c r="N386" s="19" t="e">
        <f>SUM(Table3[[#This Row],[OFC]:[WEO]])</f>
        <v>#N/A</v>
      </c>
      <c r="O386" s="19"/>
      <c r="Q386" s="3" t="str">
        <f>Table35[[#This Row],[Fiscal_Year]]*100+Table35[[#This Row],[Fiscal_Week]] &amp; "-" &amp;Table35[[#This Row],[Brand]]</f>
        <v>0-0</v>
      </c>
      <c r="R386" t="str">
        <f>Table3[[#This Row],[Key]]</f>
        <v>-</v>
      </c>
      <c r="S386">
        <f>Table3[[#This Row],[Fiscal_Year]]</f>
        <v>0</v>
      </c>
      <c r="T386">
        <f>Table3[[#This Row],[Fiscal_Week]]</f>
        <v>0</v>
      </c>
      <c r="U386">
        <f>Table3[[#This Row],[Brand]]</f>
        <v>0</v>
      </c>
      <c r="V386">
        <f>Table3[[#This Row],[Demand]]</f>
        <v>0</v>
      </c>
      <c r="W386" t="e">
        <f>Table3[[#This Row],[OFC]]*Table3[[#This Row],[Demand]]</f>
        <v>#N/A</v>
      </c>
      <c r="X386" t="e">
        <f>Table3[[#This Row],[TFC]]*Table3[[#This Row],[Demand]]</f>
        <v>#N/A</v>
      </c>
      <c r="Y386" t="e">
        <f>Table3[[#This Row],[WFC]]*Table3[[#This Row],[Demand]]</f>
        <v>#N/A</v>
      </c>
      <c r="Z386" t="e">
        <f>Table3[[#This Row],[EAO]]*Table3[[#This Row],[Demand]]</f>
        <v>#N/A</v>
      </c>
      <c r="AA386" t="e">
        <f>Table3[[#This Row],[OCC]]*Table3[[#This Row],[Demand]]</f>
        <v>#N/A</v>
      </c>
      <c r="AB386" t="e">
        <f>Table3[[#This Row],[WEO]]*Table3[[#This Row],[Demand]]</f>
        <v>#N/A</v>
      </c>
      <c r="AC386" s="19" t="e">
        <f>SUM(Table35[[#This Row],[OFC]:[WEO]])</f>
        <v>#N/A</v>
      </c>
      <c r="AD386" s="19" t="e">
        <f>Table35[[#This Row],[Demand]]-Table35[[#This Row],[Total_Modeled_Demand]]</f>
        <v>#N/A</v>
      </c>
    </row>
    <row r="387" spans="2:30" x14ac:dyDescent="0.3">
      <c r="B387" s="3" t="str">
        <f>Table3[[#This Row],[Fiscal_Year]]*100+Table3[[#This Row],[Fiscal_Week]] &amp; "-" &amp;Table3[[#This Row],[Brand]]</f>
        <v>0-</v>
      </c>
      <c r="C387" t="str">
        <f t="shared" si="5"/>
        <v>-</v>
      </c>
      <c r="H387" s="3" t="e">
        <f>INDEX(Demand_Modeling!$A$13:$I$49,MATCH(Table3[[#This Row],[Key]],Demand_Modeling!$A$13:$A$49,0),MATCH(Table3[[#Headers],[OFC]],Demand_Modeling!$A$13:$I$13,0))</f>
        <v>#N/A</v>
      </c>
      <c r="I387" s="3" t="e">
        <f>INDEX(Demand_Modeling!$A$13:$I$49,MATCH(Table3[[#This Row],[Key]],Demand_Modeling!$A$13:$A$49,0),MATCH(Table3[[#Headers],[TFC]],Demand_Modeling!$A$13:$I$13,0))</f>
        <v>#N/A</v>
      </c>
      <c r="J387" s="3" t="e">
        <f>INDEX(Demand_Modeling!$A$13:$I$49,MATCH(Table3[[#This Row],[Key]],Demand_Modeling!$A$13:$A$49,0),MATCH(Table3[[#Headers],[WFC]],Demand_Modeling!$A$13:$I$13,0))</f>
        <v>#N/A</v>
      </c>
      <c r="K387" s="3" t="e">
        <f>INDEX(Demand_Modeling!$A$13:$I$49,MATCH(Table3[[#This Row],[Key]],Demand_Modeling!$A$13:$A$49,0),MATCH(Table3[[#Headers],[EAO]],Demand_Modeling!$A$13:$I$13,0))</f>
        <v>#N/A</v>
      </c>
      <c r="L387" s="3" t="e">
        <f>INDEX(Demand_Modeling!$A$13:$I$49,MATCH(Table3[[#This Row],[Key]],Demand_Modeling!$A$13:$A$49,0),MATCH(Table3[[#Headers],[OCC]],Demand_Modeling!$A$13:$I$13,0))</f>
        <v>#N/A</v>
      </c>
      <c r="M387" s="3" t="e">
        <f>INDEX(Demand_Modeling!$A$13:$I$49,MATCH(Table3[[#This Row],[Key]],Demand_Modeling!$A$13:$A$49,0),MATCH(Table3[[#Headers],[WEO]],Demand_Modeling!$A$13:$I$13,0))</f>
        <v>#N/A</v>
      </c>
      <c r="N387" s="19" t="e">
        <f>SUM(Table3[[#This Row],[OFC]:[WEO]])</f>
        <v>#N/A</v>
      </c>
      <c r="O387" s="19"/>
      <c r="Q387" s="3" t="str">
        <f>Table35[[#This Row],[Fiscal_Year]]*100+Table35[[#This Row],[Fiscal_Week]] &amp; "-" &amp;Table35[[#This Row],[Brand]]</f>
        <v>0-0</v>
      </c>
      <c r="R387" t="str">
        <f>Table3[[#This Row],[Key]]</f>
        <v>-</v>
      </c>
      <c r="S387">
        <f>Table3[[#This Row],[Fiscal_Year]]</f>
        <v>0</v>
      </c>
      <c r="T387">
        <f>Table3[[#This Row],[Fiscal_Week]]</f>
        <v>0</v>
      </c>
      <c r="U387">
        <f>Table3[[#This Row],[Brand]]</f>
        <v>0</v>
      </c>
      <c r="V387">
        <f>Table3[[#This Row],[Demand]]</f>
        <v>0</v>
      </c>
      <c r="W387" t="e">
        <f>Table3[[#This Row],[OFC]]*Table3[[#This Row],[Demand]]</f>
        <v>#N/A</v>
      </c>
      <c r="X387" t="e">
        <f>Table3[[#This Row],[TFC]]*Table3[[#This Row],[Demand]]</f>
        <v>#N/A</v>
      </c>
      <c r="Y387" t="e">
        <f>Table3[[#This Row],[WFC]]*Table3[[#This Row],[Demand]]</f>
        <v>#N/A</v>
      </c>
      <c r="Z387" t="e">
        <f>Table3[[#This Row],[EAO]]*Table3[[#This Row],[Demand]]</f>
        <v>#N/A</v>
      </c>
      <c r="AA387" t="e">
        <f>Table3[[#This Row],[OCC]]*Table3[[#This Row],[Demand]]</f>
        <v>#N/A</v>
      </c>
      <c r="AB387" t="e">
        <f>Table3[[#This Row],[WEO]]*Table3[[#This Row],[Demand]]</f>
        <v>#N/A</v>
      </c>
      <c r="AC387" s="19" t="e">
        <f>SUM(Table35[[#This Row],[OFC]:[WEO]])</f>
        <v>#N/A</v>
      </c>
      <c r="AD387" s="19" t="e">
        <f>Table35[[#This Row],[Demand]]-Table35[[#This Row],[Total_Modeled_Demand]]</f>
        <v>#N/A</v>
      </c>
    </row>
    <row r="388" spans="2:30" x14ac:dyDescent="0.3">
      <c r="B388" s="3" t="str">
        <f>Table3[[#This Row],[Fiscal_Year]]*100+Table3[[#This Row],[Fiscal_Week]] &amp; "-" &amp;Table3[[#This Row],[Brand]]</f>
        <v>0-</v>
      </c>
      <c r="C388" t="str">
        <f t="shared" si="5"/>
        <v>-</v>
      </c>
      <c r="H388" s="3" t="e">
        <f>INDEX(Demand_Modeling!$A$13:$I$49,MATCH(Table3[[#This Row],[Key]],Demand_Modeling!$A$13:$A$49,0),MATCH(Table3[[#Headers],[OFC]],Demand_Modeling!$A$13:$I$13,0))</f>
        <v>#N/A</v>
      </c>
      <c r="I388" s="3" t="e">
        <f>INDEX(Demand_Modeling!$A$13:$I$49,MATCH(Table3[[#This Row],[Key]],Demand_Modeling!$A$13:$A$49,0),MATCH(Table3[[#Headers],[TFC]],Demand_Modeling!$A$13:$I$13,0))</f>
        <v>#N/A</v>
      </c>
      <c r="J388" s="3" t="e">
        <f>INDEX(Demand_Modeling!$A$13:$I$49,MATCH(Table3[[#This Row],[Key]],Demand_Modeling!$A$13:$A$49,0),MATCH(Table3[[#Headers],[WFC]],Demand_Modeling!$A$13:$I$13,0))</f>
        <v>#N/A</v>
      </c>
      <c r="K388" s="3" t="e">
        <f>INDEX(Demand_Modeling!$A$13:$I$49,MATCH(Table3[[#This Row],[Key]],Demand_Modeling!$A$13:$A$49,0),MATCH(Table3[[#Headers],[EAO]],Demand_Modeling!$A$13:$I$13,0))</f>
        <v>#N/A</v>
      </c>
      <c r="L388" s="3" t="e">
        <f>INDEX(Demand_Modeling!$A$13:$I$49,MATCH(Table3[[#This Row],[Key]],Demand_Modeling!$A$13:$A$49,0),MATCH(Table3[[#Headers],[OCC]],Demand_Modeling!$A$13:$I$13,0))</f>
        <v>#N/A</v>
      </c>
      <c r="M388" s="3" t="e">
        <f>INDEX(Demand_Modeling!$A$13:$I$49,MATCH(Table3[[#This Row],[Key]],Demand_Modeling!$A$13:$A$49,0),MATCH(Table3[[#Headers],[WEO]],Demand_Modeling!$A$13:$I$13,0))</f>
        <v>#N/A</v>
      </c>
      <c r="N388" s="19" t="e">
        <f>SUM(Table3[[#This Row],[OFC]:[WEO]])</f>
        <v>#N/A</v>
      </c>
      <c r="O388" s="19"/>
      <c r="Q388" s="3" t="str">
        <f>Table35[[#This Row],[Fiscal_Year]]*100+Table35[[#This Row],[Fiscal_Week]] &amp; "-" &amp;Table35[[#This Row],[Brand]]</f>
        <v>0-0</v>
      </c>
      <c r="R388" t="str">
        <f>Table3[[#This Row],[Key]]</f>
        <v>-</v>
      </c>
      <c r="S388">
        <f>Table3[[#This Row],[Fiscal_Year]]</f>
        <v>0</v>
      </c>
      <c r="T388">
        <f>Table3[[#This Row],[Fiscal_Week]]</f>
        <v>0</v>
      </c>
      <c r="U388">
        <f>Table3[[#This Row],[Brand]]</f>
        <v>0</v>
      </c>
      <c r="V388">
        <f>Table3[[#This Row],[Demand]]</f>
        <v>0</v>
      </c>
      <c r="W388" t="e">
        <f>Table3[[#This Row],[OFC]]*Table3[[#This Row],[Demand]]</f>
        <v>#N/A</v>
      </c>
      <c r="X388" t="e">
        <f>Table3[[#This Row],[TFC]]*Table3[[#This Row],[Demand]]</f>
        <v>#N/A</v>
      </c>
      <c r="Y388" t="e">
        <f>Table3[[#This Row],[WFC]]*Table3[[#This Row],[Demand]]</f>
        <v>#N/A</v>
      </c>
      <c r="Z388" t="e">
        <f>Table3[[#This Row],[EAO]]*Table3[[#This Row],[Demand]]</f>
        <v>#N/A</v>
      </c>
      <c r="AA388" t="e">
        <f>Table3[[#This Row],[OCC]]*Table3[[#This Row],[Demand]]</f>
        <v>#N/A</v>
      </c>
      <c r="AB388" t="e">
        <f>Table3[[#This Row],[WEO]]*Table3[[#This Row],[Demand]]</f>
        <v>#N/A</v>
      </c>
      <c r="AC388" s="19" t="e">
        <f>SUM(Table35[[#This Row],[OFC]:[WEO]])</f>
        <v>#N/A</v>
      </c>
      <c r="AD388" s="19" t="e">
        <f>Table35[[#This Row],[Demand]]-Table35[[#This Row],[Total_Modeled_Demand]]</f>
        <v>#N/A</v>
      </c>
    </row>
    <row r="389" spans="2:30" x14ac:dyDescent="0.3">
      <c r="B389" s="3" t="str">
        <f>Table3[[#This Row],[Fiscal_Year]]*100+Table3[[#This Row],[Fiscal_Week]] &amp; "-" &amp;Table3[[#This Row],[Brand]]</f>
        <v>0-</v>
      </c>
      <c r="C389" t="str">
        <f t="shared" ref="C389:C435" si="6">D389&amp;"-"&amp;F389</f>
        <v>-</v>
      </c>
      <c r="H389" s="3" t="e">
        <f>INDEX(Demand_Modeling!$A$13:$I$49,MATCH(Table3[[#This Row],[Key]],Demand_Modeling!$A$13:$A$49,0),MATCH(Table3[[#Headers],[OFC]],Demand_Modeling!$A$13:$I$13,0))</f>
        <v>#N/A</v>
      </c>
      <c r="I389" s="3" t="e">
        <f>INDEX(Demand_Modeling!$A$13:$I$49,MATCH(Table3[[#This Row],[Key]],Demand_Modeling!$A$13:$A$49,0),MATCH(Table3[[#Headers],[TFC]],Demand_Modeling!$A$13:$I$13,0))</f>
        <v>#N/A</v>
      </c>
      <c r="J389" s="3" t="e">
        <f>INDEX(Demand_Modeling!$A$13:$I$49,MATCH(Table3[[#This Row],[Key]],Demand_Modeling!$A$13:$A$49,0),MATCH(Table3[[#Headers],[WFC]],Demand_Modeling!$A$13:$I$13,0))</f>
        <v>#N/A</v>
      </c>
      <c r="K389" s="3" t="e">
        <f>INDEX(Demand_Modeling!$A$13:$I$49,MATCH(Table3[[#This Row],[Key]],Demand_Modeling!$A$13:$A$49,0),MATCH(Table3[[#Headers],[EAO]],Demand_Modeling!$A$13:$I$13,0))</f>
        <v>#N/A</v>
      </c>
      <c r="L389" s="3" t="e">
        <f>INDEX(Demand_Modeling!$A$13:$I$49,MATCH(Table3[[#This Row],[Key]],Demand_Modeling!$A$13:$A$49,0),MATCH(Table3[[#Headers],[OCC]],Demand_Modeling!$A$13:$I$13,0))</f>
        <v>#N/A</v>
      </c>
      <c r="M389" s="3" t="e">
        <f>INDEX(Demand_Modeling!$A$13:$I$49,MATCH(Table3[[#This Row],[Key]],Demand_Modeling!$A$13:$A$49,0),MATCH(Table3[[#Headers],[WEO]],Demand_Modeling!$A$13:$I$13,0))</f>
        <v>#N/A</v>
      </c>
      <c r="N389" s="19" t="e">
        <f>SUM(Table3[[#This Row],[OFC]:[WEO]])</f>
        <v>#N/A</v>
      </c>
      <c r="O389" s="19"/>
      <c r="Q389" s="3" t="str">
        <f>Table35[[#This Row],[Fiscal_Year]]*100+Table35[[#This Row],[Fiscal_Week]] &amp; "-" &amp;Table35[[#This Row],[Brand]]</f>
        <v>0-0</v>
      </c>
      <c r="R389" t="str">
        <f>Table3[[#This Row],[Key]]</f>
        <v>-</v>
      </c>
      <c r="S389">
        <f>Table3[[#This Row],[Fiscal_Year]]</f>
        <v>0</v>
      </c>
      <c r="T389">
        <f>Table3[[#This Row],[Fiscal_Week]]</f>
        <v>0</v>
      </c>
      <c r="U389">
        <f>Table3[[#This Row],[Brand]]</f>
        <v>0</v>
      </c>
      <c r="V389">
        <f>Table3[[#This Row],[Demand]]</f>
        <v>0</v>
      </c>
      <c r="W389" t="e">
        <f>Table3[[#This Row],[OFC]]*Table3[[#This Row],[Demand]]</f>
        <v>#N/A</v>
      </c>
      <c r="X389" t="e">
        <f>Table3[[#This Row],[TFC]]*Table3[[#This Row],[Demand]]</f>
        <v>#N/A</v>
      </c>
      <c r="Y389" t="e">
        <f>Table3[[#This Row],[WFC]]*Table3[[#This Row],[Demand]]</f>
        <v>#N/A</v>
      </c>
      <c r="Z389" t="e">
        <f>Table3[[#This Row],[EAO]]*Table3[[#This Row],[Demand]]</f>
        <v>#N/A</v>
      </c>
      <c r="AA389" t="e">
        <f>Table3[[#This Row],[OCC]]*Table3[[#This Row],[Demand]]</f>
        <v>#N/A</v>
      </c>
      <c r="AB389" t="e">
        <f>Table3[[#This Row],[WEO]]*Table3[[#This Row],[Demand]]</f>
        <v>#N/A</v>
      </c>
      <c r="AC389" s="19" t="e">
        <f>SUM(Table35[[#This Row],[OFC]:[WEO]])</f>
        <v>#N/A</v>
      </c>
      <c r="AD389" s="19" t="e">
        <f>Table35[[#This Row],[Demand]]-Table35[[#This Row],[Total_Modeled_Demand]]</f>
        <v>#N/A</v>
      </c>
    </row>
    <row r="390" spans="2:30" x14ac:dyDescent="0.3">
      <c r="B390" s="3" t="str">
        <f>Table3[[#This Row],[Fiscal_Year]]*100+Table3[[#This Row],[Fiscal_Week]] &amp; "-" &amp;Table3[[#This Row],[Brand]]</f>
        <v>0-</v>
      </c>
      <c r="C390" t="str">
        <f t="shared" si="6"/>
        <v>-</v>
      </c>
      <c r="H390" s="3" t="e">
        <f>INDEX(Demand_Modeling!$A$13:$I$49,MATCH(Table3[[#This Row],[Key]],Demand_Modeling!$A$13:$A$49,0),MATCH(Table3[[#Headers],[OFC]],Demand_Modeling!$A$13:$I$13,0))</f>
        <v>#N/A</v>
      </c>
      <c r="I390" s="3" t="e">
        <f>INDEX(Demand_Modeling!$A$13:$I$49,MATCH(Table3[[#This Row],[Key]],Demand_Modeling!$A$13:$A$49,0),MATCH(Table3[[#Headers],[TFC]],Demand_Modeling!$A$13:$I$13,0))</f>
        <v>#N/A</v>
      </c>
      <c r="J390" s="3" t="e">
        <f>INDEX(Demand_Modeling!$A$13:$I$49,MATCH(Table3[[#This Row],[Key]],Demand_Modeling!$A$13:$A$49,0),MATCH(Table3[[#Headers],[WFC]],Demand_Modeling!$A$13:$I$13,0))</f>
        <v>#N/A</v>
      </c>
      <c r="K390" s="3" t="e">
        <f>INDEX(Demand_Modeling!$A$13:$I$49,MATCH(Table3[[#This Row],[Key]],Demand_Modeling!$A$13:$A$49,0),MATCH(Table3[[#Headers],[EAO]],Demand_Modeling!$A$13:$I$13,0))</f>
        <v>#N/A</v>
      </c>
      <c r="L390" s="3" t="e">
        <f>INDEX(Demand_Modeling!$A$13:$I$49,MATCH(Table3[[#This Row],[Key]],Demand_Modeling!$A$13:$A$49,0),MATCH(Table3[[#Headers],[OCC]],Demand_Modeling!$A$13:$I$13,0))</f>
        <v>#N/A</v>
      </c>
      <c r="M390" s="3" t="e">
        <f>INDEX(Demand_Modeling!$A$13:$I$49,MATCH(Table3[[#This Row],[Key]],Demand_Modeling!$A$13:$A$49,0),MATCH(Table3[[#Headers],[WEO]],Demand_Modeling!$A$13:$I$13,0))</f>
        <v>#N/A</v>
      </c>
      <c r="N390" s="19" t="e">
        <f>SUM(Table3[[#This Row],[OFC]:[WEO]])</f>
        <v>#N/A</v>
      </c>
      <c r="O390" s="19"/>
      <c r="Q390" s="3" t="str">
        <f>Table35[[#This Row],[Fiscal_Year]]*100+Table35[[#This Row],[Fiscal_Week]] &amp; "-" &amp;Table35[[#This Row],[Brand]]</f>
        <v>0-0</v>
      </c>
      <c r="R390" t="str">
        <f>Table3[[#This Row],[Key]]</f>
        <v>-</v>
      </c>
      <c r="S390">
        <f>Table3[[#This Row],[Fiscal_Year]]</f>
        <v>0</v>
      </c>
      <c r="T390">
        <f>Table3[[#This Row],[Fiscal_Week]]</f>
        <v>0</v>
      </c>
      <c r="U390">
        <f>Table3[[#This Row],[Brand]]</f>
        <v>0</v>
      </c>
      <c r="V390">
        <f>Table3[[#This Row],[Demand]]</f>
        <v>0</v>
      </c>
      <c r="W390" t="e">
        <f>Table3[[#This Row],[OFC]]*Table3[[#This Row],[Demand]]</f>
        <v>#N/A</v>
      </c>
      <c r="X390" t="e">
        <f>Table3[[#This Row],[TFC]]*Table3[[#This Row],[Demand]]</f>
        <v>#N/A</v>
      </c>
      <c r="Y390" t="e">
        <f>Table3[[#This Row],[WFC]]*Table3[[#This Row],[Demand]]</f>
        <v>#N/A</v>
      </c>
      <c r="Z390" t="e">
        <f>Table3[[#This Row],[EAO]]*Table3[[#This Row],[Demand]]</f>
        <v>#N/A</v>
      </c>
      <c r="AA390" t="e">
        <f>Table3[[#This Row],[OCC]]*Table3[[#This Row],[Demand]]</f>
        <v>#N/A</v>
      </c>
      <c r="AB390" t="e">
        <f>Table3[[#This Row],[WEO]]*Table3[[#This Row],[Demand]]</f>
        <v>#N/A</v>
      </c>
      <c r="AC390" s="19" t="e">
        <f>SUM(Table35[[#This Row],[OFC]:[WEO]])</f>
        <v>#N/A</v>
      </c>
      <c r="AD390" s="19" t="e">
        <f>Table35[[#This Row],[Demand]]-Table35[[#This Row],[Total_Modeled_Demand]]</f>
        <v>#N/A</v>
      </c>
    </row>
    <row r="391" spans="2:30" x14ac:dyDescent="0.3">
      <c r="B391" s="3" t="str">
        <f>Table3[[#This Row],[Fiscal_Year]]*100+Table3[[#This Row],[Fiscal_Week]] &amp; "-" &amp;Table3[[#This Row],[Brand]]</f>
        <v>0-</v>
      </c>
      <c r="C391" t="str">
        <f t="shared" si="6"/>
        <v>-</v>
      </c>
      <c r="H391" s="3" t="e">
        <f>INDEX(Demand_Modeling!$A$13:$I$49,MATCH(Table3[[#This Row],[Key]],Demand_Modeling!$A$13:$A$49,0),MATCH(Table3[[#Headers],[OFC]],Demand_Modeling!$A$13:$I$13,0))</f>
        <v>#N/A</v>
      </c>
      <c r="I391" s="3" t="e">
        <f>INDEX(Demand_Modeling!$A$13:$I$49,MATCH(Table3[[#This Row],[Key]],Demand_Modeling!$A$13:$A$49,0),MATCH(Table3[[#Headers],[TFC]],Demand_Modeling!$A$13:$I$13,0))</f>
        <v>#N/A</v>
      </c>
      <c r="J391" s="3" t="e">
        <f>INDEX(Demand_Modeling!$A$13:$I$49,MATCH(Table3[[#This Row],[Key]],Demand_Modeling!$A$13:$A$49,0),MATCH(Table3[[#Headers],[WFC]],Demand_Modeling!$A$13:$I$13,0))</f>
        <v>#N/A</v>
      </c>
      <c r="K391" s="3" t="e">
        <f>INDEX(Demand_Modeling!$A$13:$I$49,MATCH(Table3[[#This Row],[Key]],Demand_Modeling!$A$13:$A$49,0),MATCH(Table3[[#Headers],[EAO]],Demand_Modeling!$A$13:$I$13,0))</f>
        <v>#N/A</v>
      </c>
      <c r="L391" s="3" t="e">
        <f>INDEX(Demand_Modeling!$A$13:$I$49,MATCH(Table3[[#This Row],[Key]],Demand_Modeling!$A$13:$A$49,0),MATCH(Table3[[#Headers],[OCC]],Demand_Modeling!$A$13:$I$13,0))</f>
        <v>#N/A</v>
      </c>
      <c r="M391" s="3" t="e">
        <f>INDEX(Demand_Modeling!$A$13:$I$49,MATCH(Table3[[#This Row],[Key]],Demand_Modeling!$A$13:$A$49,0),MATCH(Table3[[#Headers],[WEO]],Demand_Modeling!$A$13:$I$13,0))</f>
        <v>#N/A</v>
      </c>
      <c r="N391" s="19" t="e">
        <f>SUM(Table3[[#This Row],[OFC]:[WEO]])</f>
        <v>#N/A</v>
      </c>
      <c r="O391" s="19"/>
      <c r="Q391" s="3" t="str">
        <f>Table35[[#This Row],[Fiscal_Year]]*100+Table35[[#This Row],[Fiscal_Week]] &amp; "-" &amp;Table35[[#This Row],[Brand]]</f>
        <v>0-0</v>
      </c>
      <c r="R391" t="str">
        <f>Table3[[#This Row],[Key]]</f>
        <v>-</v>
      </c>
      <c r="S391">
        <f>Table3[[#This Row],[Fiscal_Year]]</f>
        <v>0</v>
      </c>
      <c r="T391">
        <f>Table3[[#This Row],[Fiscal_Week]]</f>
        <v>0</v>
      </c>
      <c r="U391">
        <f>Table3[[#This Row],[Brand]]</f>
        <v>0</v>
      </c>
      <c r="V391">
        <f>Table3[[#This Row],[Demand]]</f>
        <v>0</v>
      </c>
      <c r="W391" t="e">
        <f>Table3[[#This Row],[OFC]]*Table3[[#This Row],[Demand]]</f>
        <v>#N/A</v>
      </c>
      <c r="X391" t="e">
        <f>Table3[[#This Row],[TFC]]*Table3[[#This Row],[Demand]]</f>
        <v>#N/A</v>
      </c>
      <c r="Y391" t="e">
        <f>Table3[[#This Row],[WFC]]*Table3[[#This Row],[Demand]]</f>
        <v>#N/A</v>
      </c>
      <c r="Z391" t="e">
        <f>Table3[[#This Row],[EAO]]*Table3[[#This Row],[Demand]]</f>
        <v>#N/A</v>
      </c>
      <c r="AA391" t="e">
        <f>Table3[[#This Row],[OCC]]*Table3[[#This Row],[Demand]]</f>
        <v>#N/A</v>
      </c>
      <c r="AB391" t="e">
        <f>Table3[[#This Row],[WEO]]*Table3[[#This Row],[Demand]]</f>
        <v>#N/A</v>
      </c>
      <c r="AC391" s="19" t="e">
        <f>SUM(Table35[[#This Row],[OFC]:[WEO]])</f>
        <v>#N/A</v>
      </c>
      <c r="AD391" s="19" t="e">
        <f>Table35[[#This Row],[Demand]]-Table35[[#This Row],[Total_Modeled_Demand]]</f>
        <v>#N/A</v>
      </c>
    </row>
    <row r="392" spans="2:30" x14ac:dyDescent="0.3">
      <c r="B392" s="3" t="str">
        <f>Table3[[#This Row],[Fiscal_Year]]*100+Table3[[#This Row],[Fiscal_Week]] &amp; "-" &amp;Table3[[#This Row],[Brand]]</f>
        <v>0-</v>
      </c>
      <c r="C392" t="str">
        <f t="shared" si="6"/>
        <v>-</v>
      </c>
      <c r="H392" s="3" t="e">
        <f>INDEX(Demand_Modeling!$A$13:$I$49,MATCH(Table3[[#This Row],[Key]],Demand_Modeling!$A$13:$A$49,0),MATCH(Table3[[#Headers],[OFC]],Demand_Modeling!$A$13:$I$13,0))</f>
        <v>#N/A</v>
      </c>
      <c r="I392" s="3" t="e">
        <f>INDEX(Demand_Modeling!$A$13:$I$49,MATCH(Table3[[#This Row],[Key]],Demand_Modeling!$A$13:$A$49,0),MATCH(Table3[[#Headers],[TFC]],Demand_Modeling!$A$13:$I$13,0))</f>
        <v>#N/A</v>
      </c>
      <c r="J392" s="3" t="e">
        <f>INDEX(Demand_Modeling!$A$13:$I$49,MATCH(Table3[[#This Row],[Key]],Demand_Modeling!$A$13:$A$49,0),MATCH(Table3[[#Headers],[WFC]],Demand_Modeling!$A$13:$I$13,0))</f>
        <v>#N/A</v>
      </c>
      <c r="K392" s="3" t="e">
        <f>INDEX(Demand_Modeling!$A$13:$I$49,MATCH(Table3[[#This Row],[Key]],Demand_Modeling!$A$13:$A$49,0),MATCH(Table3[[#Headers],[EAO]],Demand_Modeling!$A$13:$I$13,0))</f>
        <v>#N/A</v>
      </c>
      <c r="L392" s="3" t="e">
        <f>INDEX(Demand_Modeling!$A$13:$I$49,MATCH(Table3[[#This Row],[Key]],Demand_Modeling!$A$13:$A$49,0),MATCH(Table3[[#Headers],[OCC]],Demand_Modeling!$A$13:$I$13,0))</f>
        <v>#N/A</v>
      </c>
      <c r="M392" s="3" t="e">
        <f>INDEX(Demand_Modeling!$A$13:$I$49,MATCH(Table3[[#This Row],[Key]],Demand_Modeling!$A$13:$A$49,0),MATCH(Table3[[#Headers],[WEO]],Demand_Modeling!$A$13:$I$13,0))</f>
        <v>#N/A</v>
      </c>
      <c r="N392" s="19" t="e">
        <f>SUM(Table3[[#This Row],[OFC]:[WEO]])</f>
        <v>#N/A</v>
      </c>
      <c r="O392" s="19"/>
      <c r="Q392" s="3" t="str">
        <f>Table35[[#This Row],[Fiscal_Year]]*100+Table35[[#This Row],[Fiscal_Week]] &amp; "-" &amp;Table35[[#This Row],[Brand]]</f>
        <v>0-0</v>
      </c>
      <c r="R392" t="str">
        <f>Table3[[#This Row],[Key]]</f>
        <v>-</v>
      </c>
      <c r="S392">
        <f>Table3[[#This Row],[Fiscal_Year]]</f>
        <v>0</v>
      </c>
      <c r="T392">
        <f>Table3[[#This Row],[Fiscal_Week]]</f>
        <v>0</v>
      </c>
      <c r="U392">
        <f>Table3[[#This Row],[Brand]]</f>
        <v>0</v>
      </c>
      <c r="V392">
        <f>Table3[[#This Row],[Demand]]</f>
        <v>0</v>
      </c>
      <c r="W392" t="e">
        <f>Table3[[#This Row],[OFC]]*Table3[[#This Row],[Demand]]</f>
        <v>#N/A</v>
      </c>
      <c r="X392" t="e">
        <f>Table3[[#This Row],[TFC]]*Table3[[#This Row],[Demand]]</f>
        <v>#N/A</v>
      </c>
      <c r="Y392" t="e">
        <f>Table3[[#This Row],[WFC]]*Table3[[#This Row],[Demand]]</f>
        <v>#N/A</v>
      </c>
      <c r="Z392" t="e">
        <f>Table3[[#This Row],[EAO]]*Table3[[#This Row],[Demand]]</f>
        <v>#N/A</v>
      </c>
      <c r="AA392" t="e">
        <f>Table3[[#This Row],[OCC]]*Table3[[#This Row],[Demand]]</f>
        <v>#N/A</v>
      </c>
      <c r="AB392" t="e">
        <f>Table3[[#This Row],[WEO]]*Table3[[#This Row],[Demand]]</f>
        <v>#N/A</v>
      </c>
      <c r="AC392" s="19" t="e">
        <f>SUM(Table35[[#This Row],[OFC]:[WEO]])</f>
        <v>#N/A</v>
      </c>
      <c r="AD392" s="19" t="e">
        <f>Table35[[#This Row],[Demand]]-Table35[[#This Row],[Total_Modeled_Demand]]</f>
        <v>#N/A</v>
      </c>
    </row>
    <row r="393" spans="2:30" x14ac:dyDescent="0.3">
      <c r="B393" s="3" t="str">
        <f>Table3[[#This Row],[Fiscal_Year]]*100+Table3[[#This Row],[Fiscal_Week]] &amp; "-" &amp;Table3[[#This Row],[Brand]]</f>
        <v>0-</v>
      </c>
      <c r="C393" t="str">
        <f t="shared" si="6"/>
        <v>-</v>
      </c>
      <c r="H393" s="3" t="e">
        <f>INDEX(Demand_Modeling!$A$13:$I$49,MATCH(Table3[[#This Row],[Key]],Demand_Modeling!$A$13:$A$49,0),MATCH(Table3[[#Headers],[OFC]],Demand_Modeling!$A$13:$I$13,0))</f>
        <v>#N/A</v>
      </c>
      <c r="I393" s="3" t="e">
        <f>INDEX(Demand_Modeling!$A$13:$I$49,MATCH(Table3[[#This Row],[Key]],Demand_Modeling!$A$13:$A$49,0),MATCH(Table3[[#Headers],[TFC]],Demand_Modeling!$A$13:$I$13,0))</f>
        <v>#N/A</v>
      </c>
      <c r="J393" s="3" t="e">
        <f>INDEX(Demand_Modeling!$A$13:$I$49,MATCH(Table3[[#This Row],[Key]],Demand_Modeling!$A$13:$A$49,0),MATCH(Table3[[#Headers],[WFC]],Demand_Modeling!$A$13:$I$13,0))</f>
        <v>#N/A</v>
      </c>
      <c r="K393" s="3" t="e">
        <f>INDEX(Demand_Modeling!$A$13:$I$49,MATCH(Table3[[#This Row],[Key]],Demand_Modeling!$A$13:$A$49,0),MATCH(Table3[[#Headers],[EAO]],Demand_Modeling!$A$13:$I$13,0))</f>
        <v>#N/A</v>
      </c>
      <c r="L393" s="3" t="e">
        <f>INDEX(Demand_Modeling!$A$13:$I$49,MATCH(Table3[[#This Row],[Key]],Demand_Modeling!$A$13:$A$49,0),MATCH(Table3[[#Headers],[OCC]],Demand_Modeling!$A$13:$I$13,0))</f>
        <v>#N/A</v>
      </c>
      <c r="M393" s="3" t="e">
        <f>INDEX(Demand_Modeling!$A$13:$I$49,MATCH(Table3[[#This Row],[Key]],Demand_Modeling!$A$13:$A$49,0),MATCH(Table3[[#Headers],[WEO]],Demand_Modeling!$A$13:$I$13,0))</f>
        <v>#N/A</v>
      </c>
      <c r="N393" s="19" t="e">
        <f>SUM(Table3[[#This Row],[OFC]:[WEO]])</f>
        <v>#N/A</v>
      </c>
      <c r="O393" s="19"/>
      <c r="Q393" s="3" t="str">
        <f>Table35[[#This Row],[Fiscal_Year]]*100+Table35[[#This Row],[Fiscal_Week]] &amp; "-" &amp;Table35[[#This Row],[Brand]]</f>
        <v>0-0</v>
      </c>
      <c r="R393" t="str">
        <f>Table3[[#This Row],[Key]]</f>
        <v>-</v>
      </c>
      <c r="S393">
        <f>Table3[[#This Row],[Fiscal_Year]]</f>
        <v>0</v>
      </c>
      <c r="T393">
        <f>Table3[[#This Row],[Fiscal_Week]]</f>
        <v>0</v>
      </c>
      <c r="U393">
        <f>Table3[[#This Row],[Brand]]</f>
        <v>0</v>
      </c>
      <c r="V393">
        <f>Table3[[#This Row],[Demand]]</f>
        <v>0</v>
      </c>
      <c r="W393" t="e">
        <f>Table3[[#This Row],[OFC]]*Table3[[#This Row],[Demand]]</f>
        <v>#N/A</v>
      </c>
      <c r="X393" t="e">
        <f>Table3[[#This Row],[TFC]]*Table3[[#This Row],[Demand]]</f>
        <v>#N/A</v>
      </c>
      <c r="Y393" t="e">
        <f>Table3[[#This Row],[WFC]]*Table3[[#This Row],[Demand]]</f>
        <v>#N/A</v>
      </c>
      <c r="Z393" t="e">
        <f>Table3[[#This Row],[EAO]]*Table3[[#This Row],[Demand]]</f>
        <v>#N/A</v>
      </c>
      <c r="AA393" t="e">
        <f>Table3[[#This Row],[OCC]]*Table3[[#This Row],[Demand]]</f>
        <v>#N/A</v>
      </c>
      <c r="AB393" t="e">
        <f>Table3[[#This Row],[WEO]]*Table3[[#This Row],[Demand]]</f>
        <v>#N/A</v>
      </c>
      <c r="AC393" s="19" t="e">
        <f>SUM(Table35[[#This Row],[OFC]:[WEO]])</f>
        <v>#N/A</v>
      </c>
      <c r="AD393" s="19" t="e">
        <f>Table35[[#This Row],[Demand]]-Table35[[#This Row],[Total_Modeled_Demand]]</f>
        <v>#N/A</v>
      </c>
    </row>
    <row r="394" spans="2:30" x14ac:dyDescent="0.3">
      <c r="B394" s="3" t="str">
        <f>Table3[[#This Row],[Fiscal_Year]]*100+Table3[[#This Row],[Fiscal_Week]] &amp; "-" &amp;Table3[[#This Row],[Brand]]</f>
        <v>0-</v>
      </c>
      <c r="C394" t="str">
        <f t="shared" si="6"/>
        <v>-</v>
      </c>
      <c r="H394" s="3" t="e">
        <f>INDEX(Demand_Modeling!$A$13:$I$49,MATCH(Table3[[#This Row],[Key]],Demand_Modeling!$A$13:$A$49,0),MATCH(Table3[[#Headers],[OFC]],Demand_Modeling!$A$13:$I$13,0))</f>
        <v>#N/A</v>
      </c>
      <c r="I394" s="3" t="e">
        <f>INDEX(Demand_Modeling!$A$13:$I$49,MATCH(Table3[[#This Row],[Key]],Demand_Modeling!$A$13:$A$49,0),MATCH(Table3[[#Headers],[TFC]],Demand_Modeling!$A$13:$I$13,0))</f>
        <v>#N/A</v>
      </c>
      <c r="J394" s="3" t="e">
        <f>INDEX(Demand_Modeling!$A$13:$I$49,MATCH(Table3[[#This Row],[Key]],Demand_Modeling!$A$13:$A$49,0),MATCH(Table3[[#Headers],[WFC]],Demand_Modeling!$A$13:$I$13,0))</f>
        <v>#N/A</v>
      </c>
      <c r="K394" s="3" t="e">
        <f>INDEX(Demand_Modeling!$A$13:$I$49,MATCH(Table3[[#This Row],[Key]],Demand_Modeling!$A$13:$A$49,0),MATCH(Table3[[#Headers],[EAO]],Demand_Modeling!$A$13:$I$13,0))</f>
        <v>#N/A</v>
      </c>
      <c r="L394" s="3" t="e">
        <f>INDEX(Demand_Modeling!$A$13:$I$49,MATCH(Table3[[#This Row],[Key]],Demand_Modeling!$A$13:$A$49,0),MATCH(Table3[[#Headers],[OCC]],Demand_Modeling!$A$13:$I$13,0))</f>
        <v>#N/A</v>
      </c>
      <c r="M394" s="3" t="e">
        <f>INDEX(Demand_Modeling!$A$13:$I$49,MATCH(Table3[[#This Row],[Key]],Demand_Modeling!$A$13:$A$49,0),MATCH(Table3[[#Headers],[WEO]],Demand_Modeling!$A$13:$I$13,0))</f>
        <v>#N/A</v>
      </c>
      <c r="N394" s="19" t="e">
        <f>SUM(Table3[[#This Row],[OFC]:[WEO]])</f>
        <v>#N/A</v>
      </c>
      <c r="O394" s="19"/>
      <c r="Q394" s="3" t="str">
        <f>Table35[[#This Row],[Fiscal_Year]]*100+Table35[[#This Row],[Fiscal_Week]] &amp; "-" &amp;Table35[[#This Row],[Brand]]</f>
        <v>0-0</v>
      </c>
      <c r="R394" t="str">
        <f>Table3[[#This Row],[Key]]</f>
        <v>-</v>
      </c>
      <c r="S394">
        <f>Table3[[#This Row],[Fiscal_Year]]</f>
        <v>0</v>
      </c>
      <c r="T394">
        <f>Table3[[#This Row],[Fiscal_Week]]</f>
        <v>0</v>
      </c>
      <c r="U394">
        <f>Table3[[#This Row],[Brand]]</f>
        <v>0</v>
      </c>
      <c r="V394">
        <f>Table3[[#This Row],[Demand]]</f>
        <v>0</v>
      </c>
      <c r="W394" t="e">
        <f>Table3[[#This Row],[OFC]]*Table3[[#This Row],[Demand]]</f>
        <v>#N/A</v>
      </c>
      <c r="X394" t="e">
        <f>Table3[[#This Row],[TFC]]*Table3[[#This Row],[Demand]]</f>
        <v>#N/A</v>
      </c>
      <c r="Y394" t="e">
        <f>Table3[[#This Row],[WFC]]*Table3[[#This Row],[Demand]]</f>
        <v>#N/A</v>
      </c>
      <c r="Z394" t="e">
        <f>Table3[[#This Row],[EAO]]*Table3[[#This Row],[Demand]]</f>
        <v>#N/A</v>
      </c>
      <c r="AA394" t="e">
        <f>Table3[[#This Row],[OCC]]*Table3[[#This Row],[Demand]]</f>
        <v>#N/A</v>
      </c>
      <c r="AB394" t="e">
        <f>Table3[[#This Row],[WEO]]*Table3[[#This Row],[Demand]]</f>
        <v>#N/A</v>
      </c>
      <c r="AC394" s="19" t="e">
        <f>SUM(Table35[[#This Row],[OFC]:[WEO]])</f>
        <v>#N/A</v>
      </c>
      <c r="AD394" s="19" t="e">
        <f>Table35[[#This Row],[Demand]]-Table35[[#This Row],[Total_Modeled_Demand]]</f>
        <v>#N/A</v>
      </c>
    </row>
    <row r="395" spans="2:30" x14ac:dyDescent="0.3">
      <c r="B395" s="3" t="str">
        <f>Table3[[#This Row],[Fiscal_Year]]*100+Table3[[#This Row],[Fiscal_Week]] &amp; "-" &amp;Table3[[#This Row],[Brand]]</f>
        <v>0-</v>
      </c>
      <c r="C395" t="str">
        <f t="shared" si="6"/>
        <v>-</v>
      </c>
      <c r="H395" s="3" t="e">
        <f>INDEX(Demand_Modeling!$A$13:$I$49,MATCH(Table3[[#This Row],[Key]],Demand_Modeling!$A$13:$A$49,0),MATCH(Table3[[#Headers],[OFC]],Demand_Modeling!$A$13:$I$13,0))</f>
        <v>#N/A</v>
      </c>
      <c r="I395" s="3" t="e">
        <f>INDEX(Demand_Modeling!$A$13:$I$49,MATCH(Table3[[#This Row],[Key]],Demand_Modeling!$A$13:$A$49,0),MATCH(Table3[[#Headers],[TFC]],Demand_Modeling!$A$13:$I$13,0))</f>
        <v>#N/A</v>
      </c>
      <c r="J395" s="3" t="e">
        <f>INDEX(Demand_Modeling!$A$13:$I$49,MATCH(Table3[[#This Row],[Key]],Demand_Modeling!$A$13:$A$49,0),MATCH(Table3[[#Headers],[WFC]],Demand_Modeling!$A$13:$I$13,0))</f>
        <v>#N/A</v>
      </c>
      <c r="K395" s="3" t="e">
        <f>INDEX(Demand_Modeling!$A$13:$I$49,MATCH(Table3[[#This Row],[Key]],Demand_Modeling!$A$13:$A$49,0),MATCH(Table3[[#Headers],[EAO]],Demand_Modeling!$A$13:$I$13,0))</f>
        <v>#N/A</v>
      </c>
      <c r="L395" s="3" t="e">
        <f>INDEX(Demand_Modeling!$A$13:$I$49,MATCH(Table3[[#This Row],[Key]],Demand_Modeling!$A$13:$A$49,0),MATCH(Table3[[#Headers],[OCC]],Demand_Modeling!$A$13:$I$13,0))</f>
        <v>#N/A</v>
      </c>
      <c r="M395" s="3" t="e">
        <f>INDEX(Demand_Modeling!$A$13:$I$49,MATCH(Table3[[#This Row],[Key]],Demand_Modeling!$A$13:$A$49,0),MATCH(Table3[[#Headers],[WEO]],Demand_Modeling!$A$13:$I$13,0))</f>
        <v>#N/A</v>
      </c>
      <c r="N395" s="19" t="e">
        <f>SUM(Table3[[#This Row],[OFC]:[WEO]])</f>
        <v>#N/A</v>
      </c>
      <c r="O395" s="19"/>
      <c r="Q395" s="3" t="str">
        <f>Table35[[#This Row],[Fiscal_Year]]*100+Table35[[#This Row],[Fiscal_Week]] &amp; "-" &amp;Table35[[#This Row],[Brand]]</f>
        <v>0-0</v>
      </c>
      <c r="R395" t="str">
        <f>Table3[[#This Row],[Key]]</f>
        <v>-</v>
      </c>
      <c r="S395">
        <f>Table3[[#This Row],[Fiscal_Year]]</f>
        <v>0</v>
      </c>
      <c r="T395">
        <f>Table3[[#This Row],[Fiscal_Week]]</f>
        <v>0</v>
      </c>
      <c r="U395">
        <f>Table3[[#This Row],[Brand]]</f>
        <v>0</v>
      </c>
      <c r="V395">
        <f>Table3[[#This Row],[Demand]]</f>
        <v>0</v>
      </c>
      <c r="W395" t="e">
        <f>Table3[[#This Row],[OFC]]*Table3[[#This Row],[Demand]]</f>
        <v>#N/A</v>
      </c>
      <c r="X395" t="e">
        <f>Table3[[#This Row],[TFC]]*Table3[[#This Row],[Demand]]</f>
        <v>#N/A</v>
      </c>
      <c r="Y395" t="e">
        <f>Table3[[#This Row],[WFC]]*Table3[[#This Row],[Demand]]</f>
        <v>#N/A</v>
      </c>
      <c r="Z395" t="e">
        <f>Table3[[#This Row],[EAO]]*Table3[[#This Row],[Demand]]</f>
        <v>#N/A</v>
      </c>
      <c r="AA395" t="e">
        <f>Table3[[#This Row],[OCC]]*Table3[[#This Row],[Demand]]</f>
        <v>#N/A</v>
      </c>
      <c r="AB395" t="e">
        <f>Table3[[#This Row],[WEO]]*Table3[[#This Row],[Demand]]</f>
        <v>#N/A</v>
      </c>
      <c r="AC395" s="19" t="e">
        <f>SUM(Table35[[#This Row],[OFC]:[WEO]])</f>
        <v>#N/A</v>
      </c>
      <c r="AD395" s="19" t="e">
        <f>Table35[[#This Row],[Demand]]-Table35[[#This Row],[Total_Modeled_Demand]]</f>
        <v>#N/A</v>
      </c>
    </row>
    <row r="396" spans="2:30" x14ac:dyDescent="0.3">
      <c r="B396" s="3" t="str">
        <f>Table3[[#This Row],[Fiscal_Year]]*100+Table3[[#This Row],[Fiscal_Week]] &amp; "-" &amp;Table3[[#This Row],[Brand]]</f>
        <v>0-</v>
      </c>
      <c r="C396" t="str">
        <f t="shared" si="6"/>
        <v>-</v>
      </c>
      <c r="H396" s="3" t="e">
        <f>INDEX(Demand_Modeling!$A$13:$I$49,MATCH(Table3[[#This Row],[Key]],Demand_Modeling!$A$13:$A$49,0),MATCH(Table3[[#Headers],[OFC]],Demand_Modeling!$A$13:$I$13,0))</f>
        <v>#N/A</v>
      </c>
      <c r="I396" s="3" t="e">
        <f>INDEX(Demand_Modeling!$A$13:$I$49,MATCH(Table3[[#This Row],[Key]],Demand_Modeling!$A$13:$A$49,0),MATCH(Table3[[#Headers],[TFC]],Demand_Modeling!$A$13:$I$13,0))</f>
        <v>#N/A</v>
      </c>
      <c r="J396" s="3" t="e">
        <f>INDEX(Demand_Modeling!$A$13:$I$49,MATCH(Table3[[#This Row],[Key]],Demand_Modeling!$A$13:$A$49,0),MATCH(Table3[[#Headers],[WFC]],Demand_Modeling!$A$13:$I$13,0))</f>
        <v>#N/A</v>
      </c>
      <c r="K396" s="3" t="e">
        <f>INDEX(Demand_Modeling!$A$13:$I$49,MATCH(Table3[[#This Row],[Key]],Demand_Modeling!$A$13:$A$49,0),MATCH(Table3[[#Headers],[EAO]],Demand_Modeling!$A$13:$I$13,0))</f>
        <v>#N/A</v>
      </c>
      <c r="L396" s="3" t="e">
        <f>INDEX(Demand_Modeling!$A$13:$I$49,MATCH(Table3[[#This Row],[Key]],Demand_Modeling!$A$13:$A$49,0),MATCH(Table3[[#Headers],[OCC]],Demand_Modeling!$A$13:$I$13,0))</f>
        <v>#N/A</v>
      </c>
      <c r="M396" s="3" t="e">
        <f>INDEX(Demand_Modeling!$A$13:$I$49,MATCH(Table3[[#This Row],[Key]],Demand_Modeling!$A$13:$A$49,0),MATCH(Table3[[#Headers],[WEO]],Demand_Modeling!$A$13:$I$13,0))</f>
        <v>#N/A</v>
      </c>
      <c r="N396" s="19" t="e">
        <f>SUM(Table3[[#This Row],[OFC]:[WEO]])</f>
        <v>#N/A</v>
      </c>
      <c r="O396" s="19"/>
      <c r="Q396" s="3" t="str">
        <f>Table35[[#This Row],[Fiscal_Year]]*100+Table35[[#This Row],[Fiscal_Week]] &amp; "-" &amp;Table35[[#This Row],[Brand]]</f>
        <v>0-0</v>
      </c>
      <c r="R396" t="str">
        <f>Table3[[#This Row],[Key]]</f>
        <v>-</v>
      </c>
      <c r="S396">
        <f>Table3[[#This Row],[Fiscal_Year]]</f>
        <v>0</v>
      </c>
      <c r="T396">
        <f>Table3[[#This Row],[Fiscal_Week]]</f>
        <v>0</v>
      </c>
      <c r="U396">
        <f>Table3[[#This Row],[Brand]]</f>
        <v>0</v>
      </c>
      <c r="V396">
        <f>Table3[[#This Row],[Demand]]</f>
        <v>0</v>
      </c>
      <c r="W396" t="e">
        <f>Table3[[#This Row],[OFC]]*Table3[[#This Row],[Demand]]</f>
        <v>#N/A</v>
      </c>
      <c r="X396" t="e">
        <f>Table3[[#This Row],[TFC]]*Table3[[#This Row],[Demand]]</f>
        <v>#N/A</v>
      </c>
      <c r="Y396" t="e">
        <f>Table3[[#This Row],[WFC]]*Table3[[#This Row],[Demand]]</f>
        <v>#N/A</v>
      </c>
      <c r="Z396" t="e">
        <f>Table3[[#This Row],[EAO]]*Table3[[#This Row],[Demand]]</f>
        <v>#N/A</v>
      </c>
      <c r="AA396" t="e">
        <f>Table3[[#This Row],[OCC]]*Table3[[#This Row],[Demand]]</f>
        <v>#N/A</v>
      </c>
      <c r="AB396" t="e">
        <f>Table3[[#This Row],[WEO]]*Table3[[#This Row],[Demand]]</f>
        <v>#N/A</v>
      </c>
      <c r="AC396" s="19" t="e">
        <f>SUM(Table35[[#This Row],[OFC]:[WEO]])</f>
        <v>#N/A</v>
      </c>
      <c r="AD396" s="19" t="e">
        <f>Table35[[#This Row],[Demand]]-Table35[[#This Row],[Total_Modeled_Demand]]</f>
        <v>#N/A</v>
      </c>
    </row>
    <row r="397" spans="2:30" x14ac:dyDescent="0.3">
      <c r="B397" s="3" t="str">
        <f>Table3[[#This Row],[Fiscal_Year]]*100+Table3[[#This Row],[Fiscal_Week]] &amp; "-" &amp;Table3[[#This Row],[Brand]]</f>
        <v>0-</v>
      </c>
      <c r="C397" t="str">
        <f t="shared" si="6"/>
        <v>-</v>
      </c>
      <c r="H397" s="3" t="e">
        <f>INDEX(Demand_Modeling!$A$13:$I$49,MATCH(Table3[[#This Row],[Key]],Demand_Modeling!$A$13:$A$49,0),MATCH(Table3[[#Headers],[OFC]],Demand_Modeling!$A$13:$I$13,0))</f>
        <v>#N/A</v>
      </c>
      <c r="I397" s="3" t="e">
        <f>INDEX(Demand_Modeling!$A$13:$I$49,MATCH(Table3[[#This Row],[Key]],Demand_Modeling!$A$13:$A$49,0),MATCH(Table3[[#Headers],[TFC]],Demand_Modeling!$A$13:$I$13,0))</f>
        <v>#N/A</v>
      </c>
      <c r="J397" s="3" t="e">
        <f>INDEX(Demand_Modeling!$A$13:$I$49,MATCH(Table3[[#This Row],[Key]],Demand_Modeling!$A$13:$A$49,0),MATCH(Table3[[#Headers],[WFC]],Demand_Modeling!$A$13:$I$13,0))</f>
        <v>#N/A</v>
      </c>
      <c r="K397" s="3" t="e">
        <f>INDEX(Demand_Modeling!$A$13:$I$49,MATCH(Table3[[#This Row],[Key]],Demand_Modeling!$A$13:$A$49,0),MATCH(Table3[[#Headers],[EAO]],Demand_Modeling!$A$13:$I$13,0))</f>
        <v>#N/A</v>
      </c>
      <c r="L397" s="3" t="e">
        <f>INDEX(Demand_Modeling!$A$13:$I$49,MATCH(Table3[[#This Row],[Key]],Demand_Modeling!$A$13:$A$49,0),MATCH(Table3[[#Headers],[OCC]],Demand_Modeling!$A$13:$I$13,0))</f>
        <v>#N/A</v>
      </c>
      <c r="M397" s="3" t="e">
        <f>INDEX(Demand_Modeling!$A$13:$I$49,MATCH(Table3[[#This Row],[Key]],Demand_Modeling!$A$13:$A$49,0),MATCH(Table3[[#Headers],[WEO]],Demand_Modeling!$A$13:$I$13,0))</f>
        <v>#N/A</v>
      </c>
      <c r="N397" s="19" t="e">
        <f>SUM(Table3[[#This Row],[OFC]:[WEO]])</f>
        <v>#N/A</v>
      </c>
      <c r="O397" s="19"/>
      <c r="Q397" s="3" t="str">
        <f>Table35[[#This Row],[Fiscal_Year]]*100+Table35[[#This Row],[Fiscal_Week]] &amp; "-" &amp;Table35[[#This Row],[Brand]]</f>
        <v>0-0</v>
      </c>
      <c r="R397" t="str">
        <f>Table3[[#This Row],[Key]]</f>
        <v>-</v>
      </c>
      <c r="S397">
        <f>Table3[[#This Row],[Fiscal_Year]]</f>
        <v>0</v>
      </c>
      <c r="T397">
        <f>Table3[[#This Row],[Fiscal_Week]]</f>
        <v>0</v>
      </c>
      <c r="U397">
        <f>Table3[[#This Row],[Brand]]</f>
        <v>0</v>
      </c>
      <c r="V397">
        <f>Table3[[#This Row],[Demand]]</f>
        <v>0</v>
      </c>
      <c r="W397" t="e">
        <f>Table3[[#This Row],[OFC]]*Table3[[#This Row],[Demand]]</f>
        <v>#N/A</v>
      </c>
      <c r="X397" t="e">
        <f>Table3[[#This Row],[TFC]]*Table3[[#This Row],[Demand]]</f>
        <v>#N/A</v>
      </c>
      <c r="Y397" t="e">
        <f>Table3[[#This Row],[WFC]]*Table3[[#This Row],[Demand]]</f>
        <v>#N/A</v>
      </c>
      <c r="Z397" t="e">
        <f>Table3[[#This Row],[EAO]]*Table3[[#This Row],[Demand]]</f>
        <v>#N/A</v>
      </c>
      <c r="AA397" t="e">
        <f>Table3[[#This Row],[OCC]]*Table3[[#This Row],[Demand]]</f>
        <v>#N/A</v>
      </c>
      <c r="AB397" t="e">
        <f>Table3[[#This Row],[WEO]]*Table3[[#This Row],[Demand]]</f>
        <v>#N/A</v>
      </c>
      <c r="AC397" s="19" t="e">
        <f>SUM(Table35[[#This Row],[OFC]:[WEO]])</f>
        <v>#N/A</v>
      </c>
      <c r="AD397" s="19" t="e">
        <f>Table35[[#This Row],[Demand]]-Table35[[#This Row],[Total_Modeled_Demand]]</f>
        <v>#N/A</v>
      </c>
    </row>
    <row r="398" spans="2:30" x14ac:dyDescent="0.3">
      <c r="B398" s="3" t="str">
        <f>Table3[[#This Row],[Fiscal_Year]]*100+Table3[[#This Row],[Fiscal_Week]] &amp; "-" &amp;Table3[[#This Row],[Brand]]</f>
        <v>0-</v>
      </c>
      <c r="C398" t="str">
        <f t="shared" si="6"/>
        <v>-</v>
      </c>
      <c r="H398" s="3" t="e">
        <f>INDEX(Demand_Modeling!$A$13:$I$49,MATCH(Table3[[#This Row],[Key]],Demand_Modeling!$A$13:$A$49,0),MATCH(Table3[[#Headers],[OFC]],Demand_Modeling!$A$13:$I$13,0))</f>
        <v>#N/A</v>
      </c>
      <c r="I398" s="3" t="e">
        <f>INDEX(Demand_Modeling!$A$13:$I$49,MATCH(Table3[[#This Row],[Key]],Demand_Modeling!$A$13:$A$49,0),MATCH(Table3[[#Headers],[TFC]],Demand_Modeling!$A$13:$I$13,0))</f>
        <v>#N/A</v>
      </c>
      <c r="J398" s="3" t="e">
        <f>INDEX(Demand_Modeling!$A$13:$I$49,MATCH(Table3[[#This Row],[Key]],Demand_Modeling!$A$13:$A$49,0),MATCH(Table3[[#Headers],[WFC]],Demand_Modeling!$A$13:$I$13,0))</f>
        <v>#N/A</v>
      </c>
      <c r="K398" s="3" t="e">
        <f>INDEX(Demand_Modeling!$A$13:$I$49,MATCH(Table3[[#This Row],[Key]],Demand_Modeling!$A$13:$A$49,0),MATCH(Table3[[#Headers],[EAO]],Demand_Modeling!$A$13:$I$13,0))</f>
        <v>#N/A</v>
      </c>
      <c r="L398" s="3" t="e">
        <f>INDEX(Demand_Modeling!$A$13:$I$49,MATCH(Table3[[#This Row],[Key]],Demand_Modeling!$A$13:$A$49,0),MATCH(Table3[[#Headers],[OCC]],Demand_Modeling!$A$13:$I$13,0))</f>
        <v>#N/A</v>
      </c>
      <c r="M398" s="3" t="e">
        <f>INDEX(Demand_Modeling!$A$13:$I$49,MATCH(Table3[[#This Row],[Key]],Demand_Modeling!$A$13:$A$49,0),MATCH(Table3[[#Headers],[WEO]],Demand_Modeling!$A$13:$I$13,0))</f>
        <v>#N/A</v>
      </c>
      <c r="N398" s="19" t="e">
        <f>SUM(Table3[[#This Row],[OFC]:[WEO]])</f>
        <v>#N/A</v>
      </c>
      <c r="O398" s="19"/>
      <c r="Q398" s="3" t="str">
        <f>Table35[[#This Row],[Fiscal_Year]]*100+Table35[[#This Row],[Fiscal_Week]] &amp; "-" &amp;Table35[[#This Row],[Brand]]</f>
        <v>0-0</v>
      </c>
      <c r="R398" t="str">
        <f>Table3[[#This Row],[Key]]</f>
        <v>-</v>
      </c>
      <c r="S398">
        <f>Table3[[#This Row],[Fiscal_Year]]</f>
        <v>0</v>
      </c>
      <c r="T398">
        <f>Table3[[#This Row],[Fiscal_Week]]</f>
        <v>0</v>
      </c>
      <c r="U398">
        <f>Table3[[#This Row],[Brand]]</f>
        <v>0</v>
      </c>
      <c r="V398">
        <f>Table3[[#This Row],[Demand]]</f>
        <v>0</v>
      </c>
      <c r="W398" t="e">
        <f>Table3[[#This Row],[OFC]]*Table3[[#This Row],[Demand]]</f>
        <v>#N/A</v>
      </c>
      <c r="X398" t="e">
        <f>Table3[[#This Row],[TFC]]*Table3[[#This Row],[Demand]]</f>
        <v>#N/A</v>
      </c>
      <c r="Y398" t="e">
        <f>Table3[[#This Row],[WFC]]*Table3[[#This Row],[Demand]]</f>
        <v>#N/A</v>
      </c>
      <c r="Z398" t="e">
        <f>Table3[[#This Row],[EAO]]*Table3[[#This Row],[Demand]]</f>
        <v>#N/A</v>
      </c>
      <c r="AA398" t="e">
        <f>Table3[[#This Row],[OCC]]*Table3[[#This Row],[Demand]]</f>
        <v>#N/A</v>
      </c>
      <c r="AB398" t="e">
        <f>Table3[[#This Row],[WEO]]*Table3[[#This Row],[Demand]]</f>
        <v>#N/A</v>
      </c>
      <c r="AC398" s="19" t="e">
        <f>SUM(Table35[[#This Row],[OFC]:[WEO]])</f>
        <v>#N/A</v>
      </c>
      <c r="AD398" s="19" t="e">
        <f>Table35[[#This Row],[Demand]]-Table35[[#This Row],[Total_Modeled_Demand]]</f>
        <v>#N/A</v>
      </c>
    </row>
    <row r="399" spans="2:30" x14ac:dyDescent="0.3">
      <c r="B399" s="3" t="str">
        <f>Table3[[#This Row],[Fiscal_Year]]*100+Table3[[#This Row],[Fiscal_Week]] &amp; "-" &amp;Table3[[#This Row],[Brand]]</f>
        <v>0-</v>
      </c>
      <c r="C399" t="str">
        <f t="shared" si="6"/>
        <v>-</v>
      </c>
      <c r="H399" s="3" t="e">
        <f>INDEX(Demand_Modeling!$A$13:$I$49,MATCH(Table3[[#This Row],[Key]],Demand_Modeling!$A$13:$A$49,0),MATCH(Table3[[#Headers],[OFC]],Demand_Modeling!$A$13:$I$13,0))</f>
        <v>#N/A</v>
      </c>
      <c r="I399" s="3" t="e">
        <f>INDEX(Demand_Modeling!$A$13:$I$49,MATCH(Table3[[#This Row],[Key]],Demand_Modeling!$A$13:$A$49,0),MATCH(Table3[[#Headers],[TFC]],Demand_Modeling!$A$13:$I$13,0))</f>
        <v>#N/A</v>
      </c>
      <c r="J399" s="3" t="e">
        <f>INDEX(Demand_Modeling!$A$13:$I$49,MATCH(Table3[[#This Row],[Key]],Demand_Modeling!$A$13:$A$49,0),MATCH(Table3[[#Headers],[WFC]],Demand_Modeling!$A$13:$I$13,0))</f>
        <v>#N/A</v>
      </c>
      <c r="K399" s="3" t="e">
        <f>INDEX(Demand_Modeling!$A$13:$I$49,MATCH(Table3[[#This Row],[Key]],Demand_Modeling!$A$13:$A$49,0),MATCH(Table3[[#Headers],[EAO]],Demand_Modeling!$A$13:$I$13,0))</f>
        <v>#N/A</v>
      </c>
      <c r="L399" s="3" t="e">
        <f>INDEX(Demand_Modeling!$A$13:$I$49,MATCH(Table3[[#This Row],[Key]],Demand_Modeling!$A$13:$A$49,0),MATCH(Table3[[#Headers],[OCC]],Demand_Modeling!$A$13:$I$13,0))</f>
        <v>#N/A</v>
      </c>
      <c r="M399" s="3" t="e">
        <f>INDEX(Demand_Modeling!$A$13:$I$49,MATCH(Table3[[#This Row],[Key]],Demand_Modeling!$A$13:$A$49,0),MATCH(Table3[[#Headers],[WEO]],Demand_Modeling!$A$13:$I$13,0))</f>
        <v>#N/A</v>
      </c>
      <c r="N399" s="19" t="e">
        <f>SUM(Table3[[#This Row],[OFC]:[WEO]])</f>
        <v>#N/A</v>
      </c>
      <c r="O399" s="19"/>
      <c r="Q399" s="3" t="str">
        <f>Table35[[#This Row],[Fiscal_Year]]*100+Table35[[#This Row],[Fiscal_Week]] &amp; "-" &amp;Table35[[#This Row],[Brand]]</f>
        <v>0-0</v>
      </c>
      <c r="R399" t="str">
        <f>Table3[[#This Row],[Key]]</f>
        <v>-</v>
      </c>
      <c r="S399">
        <f>Table3[[#This Row],[Fiscal_Year]]</f>
        <v>0</v>
      </c>
      <c r="T399">
        <f>Table3[[#This Row],[Fiscal_Week]]</f>
        <v>0</v>
      </c>
      <c r="U399">
        <f>Table3[[#This Row],[Brand]]</f>
        <v>0</v>
      </c>
      <c r="V399">
        <f>Table3[[#This Row],[Demand]]</f>
        <v>0</v>
      </c>
      <c r="W399" t="e">
        <f>Table3[[#This Row],[OFC]]*Table3[[#This Row],[Demand]]</f>
        <v>#N/A</v>
      </c>
      <c r="X399" t="e">
        <f>Table3[[#This Row],[TFC]]*Table3[[#This Row],[Demand]]</f>
        <v>#N/A</v>
      </c>
      <c r="Y399" t="e">
        <f>Table3[[#This Row],[WFC]]*Table3[[#This Row],[Demand]]</f>
        <v>#N/A</v>
      </c>
      <c r="Z399" t="e">
        <f>Table3[[#This Row],[EAO]]*Table3[[#This Row],[Demand]]</f>
        <v>#N/A</v>
      </c>
      <c r="AA399" t="e">
        <f>Table3[[#This Row],[OCC]]*Table3[[#This Row],[Demand]]</f>
        <v>#N/A</v>
      </c>
      <c r="AB399" t="e">
        <f>Table3[[#This Row],[WEO]]*Table3[[#This Row],[Demand]]</f>
        <v>#N/A</v>
      </c>
      <c r="AC399" s="19" t="e">
        <f>SUM(Table35[[#This Row],[OFC]:[WEO]])</f>
        <v>#N/A</v>
      </c>
      <c r="AD399" s="19" t="e">
        <f>Table35[[#This Row],[Demand]]-Table35[[#This Row],[Total_Modeled_Demand]]</f>
        <v>#N/A</v>
      </c>
    </row>
    <row r="400" spans="2:30" x14ac:dyDescent="0.3">
      <c r="B400" s="3" t="str">
        <f>Table3[[#This Row],[Fiscal_Year]]*100+Table3[[#This Row],[Fiscal_Week]] &amp; "-" &amp;Table3[[#This Row],[Brand]]</f>
        <v>0-</v>
      </c>
      <c r="C400" t="str">
        <f t="shared" si="6"/>
        <v>-</v>
      </c>
      <c r="H400" s="3" t="e">
        <f>INDEX(Demand_Modeling!$A$13:$I$49,MATCH(Table3[[#This Row],[Key]],Demand_Modeling!$A$13:$A$49,0),MATCH(Table3[[#Headers],[OFC]],Demand_Modeling!$A$13:$I$13,0))</f>
        <v>#N/A</v>
      </c>
      <c r="I400" s="3" t="e">
        <f>INDEX(Demand_Modeling!$A$13:$I$49,MATCH(Table3[[#This Row],[Key]],Demand_Modeling!$A$13:$A$49,0),MATCH(Table3[[#Headers],[TFC]],Demand_Modeling!$A$13:$I$13,0))</f>
        <v>#N/A</v>
      </c>
      <c r="J400" s="3" t="e">
        <f>INDEX(Demand_Modeling!$A$13:$I$49,MATCH(Table3[[#This Row],[Key]],Demand_Modeling!$A$13:$A$49,0),MATCH(Table3[[#Headers],[WFC]],Demand_Modeling!$A$13:$I$13,0))</f>
        <v>#N/A</v>
      </c>
      <c r="K400" s="3" t="e">
        <f>INDEX(Demand_Modeling!$A$13:$I$49,MATCH(Table3[[#This Row],[Key]],Demand_Modeling!$A$13:$A$49,0),MATCH(Table3[[#Headers],[EAO]],Demand_Modeling!$A$13:$I$13,0))</f>
        <v>#N/A</v>
      </c>
      <c r="L400" s="3" t="e">
        <f>INDEX(Demand_Modeling!$A$13:$I$49,MATCH(Table3[[#This Row],[Key]],Demand_Modeling!$A$13:$A$49,0),MATCH(Table3[[#Headers],[OCC]],Demand_Modeling!$A$13:$I$13,0))</f>
        <v>#N/A</v>
      </c>
      <c r="M400" s="3" t="e">
        <f>INDEX(Demand_Modeling!$A$13:$I$49,MATCH(Table3[[#This Row],[Key]],Demand_Modeling!$A$13:$A$49,0),MATCH(Table3[[#Headers],[WEO]],Demand_Modeling!$A$13:$I$13,0))</f>
        <v>#N/A</v>
      </c>
      <c r="N400" s="19" t="e">
        <f>SUM(Table3[[#This Row],[OFC]:[WEO]])</f>
        <v>#N/A</v>
      </c>
      <c r="O400" s="19"/>
      <c r="Q400" s="3" t="str">
        <f>Table35[[#This Row],[Fiscal_Year]]*100+Table35[[#This Row],[Fiscal_Week]] &amp; "-" &amp;Table35[[#This Row],[Brand]]</f>
        <v>0-0</v>
      </c>
      <c r="R400" t="str">
        <f>Table3[[#This Row],[Key]]</f>
        <v>-</v>
      </c>
      <c r="S400">
        <f>Table3[[#This Row],[Fiscal_Year]]</f>
        <v>0</v>
      </c>
      <c r="T400">
        <f>Table3[[#This Row],[Fiscal_Week]]</f>
        <v>0</v>
      </c>
      <c r="U400">
        <f>Table3[[#This Row],[Brand]]</f>
        <v>0</v>
      </c>
      <c r="V400">
        <f>Table3[[#This Row],[Demand]]</f>
        <v>0</v>
      </c>
      <c r="W400" t="e">
        <f>Table3[[#This Row],[OFC]]*Table3[[#This Row],[Demand]]</f>
        <v>#N/A</v>
      </c>
      <c r="X400" t="e">
        <f>Table3[[#This Row],[TFC]]*Table3[[#This Row],[Demand]]</f>
        <v>#N/A</v>
      </c>
      <c r="Y400" t="e">
        <f>Table3[[#This Row],[WFC]]*Table3[[#This Row],[Demand]]</f>
        <v>#N/A</v>
      </c>
      <c r="Z400" t="e">
        <f>Table3[[#This Row],[EAO]]*Table3[[#This Row],[Demand]]</f>
        <v>#N/A</v>
      </c>
      <c r="AA400" t="e">
        <f>Table3[[#This Row],[OCC]]*Table3[[#This Row],[Demand]]</f>
        <v>#N/A</v>
      </c>
      <c r="AB400" t="e">
        <f>Table3[[#This Row],[WEO]]*Table3[[#This Row],[Demand]]</f>
        <v>#N/A</v>
      </c>
      <c r="AC400" s="19" t="e">
        <f>SUM(Table35[[#This Row],[OFC]:[WEO]])</f>
        <v>#N/A</v>
      </c>
      <c r="AD400" s="19" t="e">
        <f>Table35[[#This Row],[Demand]]-Table35[[#This Row],[Total_Modeled_Demand]]</f>
        <v>#N/A</v>
      </c>
    </row>
    <row r="401" spans="2:30" x14ac:dyDescent="0.3">
      <c r="B401" s="3" t="str">
        <f>Table3[[#This Row],[Fiscal_Year]]*100+Table3[[#This Row],[Fiscal_Week]] &amp; "-" &amp;Table3[[#This Row],[Brand]]</f>
        <v>0-</v>
      </c>
      <c r="C401" t="str">
        <f t="shared" si="6"/>
        <v>-</v>
      </c>
      <c r="H401" s="3" t="e">
        <f>INDEX(Demand_Modeling!$A$13:$I$49,MATCH(Table3[[#This Row],[Key]],Demand_Modeling!$A$13:$A$49,0),MATCH(Table3[[#Headers],[OFC]],Demand_Modeling!$A$13:$I$13,0))</f>
        <v>#N/A</v>
      </c>
      <c r="I401" s="3" t="e">
        <f>INDEX(Demand_Modeling!$A$13:$I$49,MATCH(Table3[[#This Row],[Key]],Demand_Modeling!$A$13:$A$49,0),MATCH(Table3[[#Headers],[TFC]],Demand_Modeling!$A$13:$I$13,0))</f>
        <v>#N/A</v>
      </c>
      <c r="J401" s="3" t="e">
        <f>INDEX(Demand_Modeling!$A$13:$I$49,MATCH(Table3[[#This Row],[Key]],Demand_Modeling!$A$13:$A$49,0),MATCH(Table3[[#Headers],[WFC]],Demand_Modeling!$A$13:$I$13,0))</f>
        <v>#N/A</v>
      </c>
      <c r="K401" s="3" t="e">
        <f>INDEX(Demand_Modeling!$A$13:$I$49,MATCH(Table3[[#This Row],[Key]],Demand_Modeling!$A$13:$A$49,0),MATCH(Table3[[#Headers],[EAO]],Demand_Modeling!$A$13:$I$13,0))</f>
        <v>#N/A</v>
      </c>
      <c r="L401" s="3" t="e">
        <f>INDEX(Demand_Modeling!$A$13:$I$49,MATCH(Table3[[#This Row],[Key]],Demand_Modeling!$A$13:$A$49,0),MATCH(Table3[[#Headers],[OCC]],Demand_Modeling!$A$13:$I$13,0))</f>
        <v>#N/A</v>
      </c>
      <c r="M401" s="3" t="e">
        <f>INDEX(Demand_Modeling!$A$13:$I$49,MATCH(Table3[[#This Row],[Key]],Demand_Modeling!$A$13:$A$49,0),MATCH(Table3[[#Headers],[WEO]],Demand_Modeling!$A$13:$I$13,0))</f>
        <v>#N/A</v>
      </c>
      <c r="N401" s="19" t="e">
        <f>SUM(Table3[[#This Row],[OFC]:[WEO]])</f>
        <v>#N/A</v>
      </c>
      <c r="O401" s="19"/>
      <c r="Q401" s="3" t="str">
        <f>Table35[[#This Row],[Fiscal_Year]]*100+Table35[[#This Row],[Fiscal_Week]] &amp; "-" &amp;Table35[[#This Row],[Brand]]</f>
        <v>0-0</v>
      </c>
      <c r="R401" t="str">
        <f>Table3[[#This Row],[Key]]</f>
        <v>-</v>
      </c>
      <c r="S401">
        <f>Table3[[#This Row],[Fiscal_Year]]</f>
        <v>0</v>
      </c>
      <c r="T401">
        <f>Table3[[#This Row],[Fiscal_Week]]</f>
        <v>0</v>
      </c>
      <c r="U401">
        <f>Table3[[#This Row],[Brand]]</f>
        <v>0</v>
      </c>
      <c r="V401">
        <f>Table3[[#This Row],[Demand]]</f>
        <v>0</v>
      </c>
      <c r="W401" t="e">
        <f>Table3[[#This Row],[OFC]]*Table3[[#This Row],[Demand]]</f>
        <v>#N/A</v>
      </c>
      <c r="X401" t="e">
        <f>Table3[[#This Row],[TFC]]*Table3[[#This Row],[Demand]]</f>
        <v>#N/A</v>
      </c>
      <c r="Y401" t="e">
        <f>Table3[[#This Row],[WFC]]*Table3[[#This Row],[Demand]]</f>
        <v>#N/A</v>
      </c>
      <c r="Z401" t="e">
        <f>Table3[[#This Row],[EAO]]*Table3[[#This Row],[Demand]]</f>
        <v>#N/A</v>
      </c>
      <c r="AA401" t="e">
        <f>Table3[[#This Row],[OCC]]*Table3[[#This Row],[Demand]]</f>
        <v>#N/A</v>
      </c>
      <c r="AB401" t="e">
        <f>Table3[[#This Row],[WEO]]*Table3[[#This Row],[Demand]]</f>
        <v>#N/A</v>
      </c>
      <c r="AC401" s="19" t="e">
        <f>SUM(Table35[[#This Row],[OFC]:[WEO]])</f>
        <v>#N/A</v>
      </c>
      <c r="AD401" s="19" t="e">
        <f>Table35[[#This Row],[Demand]]-Table35[[#This Row],[Total_Modeled_Demand]]</f>
        <v>#N/A</v>
      </c>
    </row>
    <row r="402" spans="2:30" x14ac:dyDescent="0.3">
      <c r="B402" s="3" t="str">
        <f>Table3[[#This Row],[Fiscal_Year]]*100+Table3[[#This Row],[Fiscal_Week]] &amp; "-" &amp;Table3[[#This Row],[Brand]]</f>
        <v>0-</v>
      </c>
      <c r="C402" t="str">
        <f t="shared" si="6"/>
        <v>-</v>
      </c>
      <c r="H402" s="3" t="e">
        <f>INDEX(Demand_Modeling!$A$13:$I$49,MATCH(Table3[[#This Row],[Key]],Demand_Modeling!$A$13:$A$49,0),MATCH(Table3[[#Headers],[OFC]],Demand_Modeling!$A$13:$I$13,0))</f>
        <v>#N/A</v>
      </c>
      <c r="I402" s="3" t="e">
        <f>INDEX(Demand_Modeling!$A$13:$I$49,MATCH(Table3[[#This Row],[Key]],Demand_Modeling!$A$13:$A$49,0),MATCH(Table3[[#Headers],[TFC]],Demand_Modeling!$A$13:$I$13,0))</f>
        <v>#N/A</v>
      </c>
      <c r="J402" s="3" t="e">
        <f>INDEX(Demand_Modeling!$A$13:$I$49,MATCH(Table3[[#This Row],[Key]],Demand_Modeling!$A$13:$A$49,0),MATCH(Table3[[#Headers],[WFC]],Demand_Modeling!$A$13:$I$13,0))</f>
        <v>#N/A</v>
      </c>
      <c r="K402" s="3" t="e">
        <f>INDEX(Demand_Modeling!$A$13:$I$49,MATCH(Table3[[#This Row],[Key]],Demand_Modeling!$A$13:$A$49,0),MATCH(Table3[[#Headers],[EAO]],Demand_Modeling!$A$13:$I$13,0))</f>
        <v>#N/A</v>
      </c>
      <c r="L402" s="3" t="e">
        <f>INDEX(Demand_Modeling!$A$13:$I$49,MATCH(Table3[[#This Row],[Key]],Demand_Modeling!$A$13:$A$49,0),MATCH(Table3[[#Headers],[OCC]],Demand_Modeling!$A$13:$I$13,0))</f>
        <v>#N/A</v>
      </c>
      <c r="M402" s="3" t="e">
        <f>INDEX(Demand_Modeling!$A$13:$I$49,MATCH(Table3[[#This Row],[Key]],Demand_Modeling!$A$13:$A$49,0),MATCH(Table3[[#Headers],[WEO]],Demand_Modeling!$A$13:$I$13,0))</f>
        <v>#N/A</v>
      </c>
      <c r="N402" s="19" t="e">
        <f>SUM(Table3[[#This Row],[OFC]:[WEO]])</f>
        <v>#N/A</v>
      </c>
      <c r="O402" s="19"/>
      <c r="Q402" s="3" t="str">
        <f>Table35[[#This Row],[Fiscal_Year]]*100+Table35[[#This Row],[Fiscal_Week]] &amp; "-" &amp;Table35[[#This Row],[Brand]]</f>
        <v>0-0</v>
      </c>
      <c r="R402" t="str">
        <f>Table3[[#This Row],[Key]]</f>
        <v>-</v>
      </c>
      <c r="S402">
        <f>Table3[[#This Row],[Fiscal_Year]]</f>
        <v>0</v>
      </c>
      <c r="T402">
        <f>Table3[[#This Row],[Fiscal_Week]]</f>
        <v>0</v>
      </c>
      <c r="U402">
        <f>Table3[[#This Row],[Brand]]</f>
        <v>0</v>
      </c>
      <c r="V402">
        <f>Table3[[#This Row],[Demand]]</f>
        <v>0</v>
      </c>
      <c r="W402" t="e">
        <f>Table3[[#This Row],[OFC]]*Table3[[#This Row],[Demand]]</f>
        <v>#N/A</v>
      </c>
      <c r="X402" t="e">
        <f>Table3[[#This Row],[TFC]]*Table3[[#This Row],[Demand]]</f>
        <v>#N/A</v>
      </c>
      <c r="Y402" t="e">
        <f>Table3[[#This Row],[WFC]]*Table3[[#This Row],[Demand]]</f>
        <v>#N/A</v>
      </c>
      <c r="Z402" t="e">
        <f>Table3[[#This Row],[EAO]]*Table3[[#This Row],[Demand]]</f>
        <v>#N/A</v>
      </c>
      <c r="AA402" t="e">
        <f>Table3[[#This Row],[OCC]]*Table3[[#This Row],[Demand]]</f>
        <v>#N/A</v>
      </c>
      <c r="AB402" t="e">
        <f>Table3[[#This Row],[WEO]]*Table3[[#This Row],[Demand]]</f>
        <v>#N/A</v>
      </c>
      <c r="AC402" s="19" t="e">
        <f>SUM(Table35[[#This Row],[OFC]:[WEO]])</f>
        <v>#N/A</v>
      </c>
      <c r="AD402" s="19" t="e">
        <f>Table35[[#This Row],[Demand]]-Table35[[#This Row],[Total_Modeled_Demand]]</f>
        <v>#N/A</v>
      </c>
    </row>
    <row r="403" spans="2:30" x14ac:dyDescent="0.3">
      <c r="B403" s="3" t="str">
        <f>Table3[[#This Row],[Fiscal_Year]]*100+Table3[[#This Row],[Fiscal_Week]] &amp; "-" &amp;Table3[[#This Row],[Brand]]</f>
        <v>0-</v>
      </c>
      <c r="C403" t="str">
        <f t="shared" si="6"/>
        <v>-</v>
      </c>
      <c r="H403" s="3" t="e">
        <f>INDEX(Demand_Modeling!$A$13:$I$49,MATCH(Table3[[#This Row],[Key]],Demand_Modeling!$A$13:$A$49,0),MATCH(Table3[[#Headers],[OFC]],Demand_Modeling!$A$13:$I$13,0))</f>
        <v>#N/A</v>
      </c>
      <c r="I403" s="3" t="e">
        <f>INDEX(Demand_Modeling!$A$13:$I$49,MATCH(Table3[[#This Row],[Key]],Demand_Modeling!$A$13:$A$49,0),MATCH(Table3[[#Headers],[TFC]],Demand_Modeling!$A$13:$I$13,0))</f>
        <v>#N/A</v>
      </c>
      <c r="J403" s="3" t="e">
        <f>INDEX(Demand_Modeling!$A$13:$I$49,MATCH(Table3[[#This Row],[Key]],Demand_Modeling!$A$13:$A$49,0),MATCH(Table3[[#Headers],[WFC]],Demand_Modeling!$A$13:$I$13,0))</f>
        <v>#N/A</v>
      </c>
      <c r="K403" s="3" t="e">
        <f>INDEX(Demand_Modeling!$A$13:$I$49,MATCH(Table3[[#This Row],[Key]],Demand_Modeling!$A$13:$A$49,0),MATCH(Table3[[#Headers],[EAO]],Demand_Modeling!$A$13:$I$13,0))</f>
        <v>#N/A</v>
      </c>
      <c r="L403" s="3" t="e">
        <f>INDEX(Demand_Modeling!$A$13:$I$49,MATCH(Table3[[#This Row],[Key]],Demand_Modeling!$A$13:$A$49,0),MATCH(Table3[[#Headers],[OCC]],Demand_Modeling!$A$13:$I$13,0))</f>
        <v>#N/A</v>
      </c>
      <c r="M403" s="3" t="e">
        <f>INDEX(Demand_Modeling!$A$13:$I$49,MATCH(Table3[[#This Row],[Key]],Demand_Modeling!$A$13:$A$49,0),MATCH(Table3[[#Headers],[WEO]],Demand_Modeling!$A$13:$I$13,0))</f>
        <v>#N/A</v>
      </c>
      <c r="N403" s="19" t="e">
        <f>SUM(Table3[[#This Row],[OFC]:[WEO]])</f>
        <v>#N/A</v>
      </c>
      <c r="O403" s="19"/>
      <c r="Q403" s="3" t="str">
        <f>Table35[[#This Row],[Fiscal_Year]]*100+Table35[[#This Row],[Fiscal_Week]] &amp; "-" &amp;Table35[[#This Row],[Brand]]</f>
        <v>0-0</v>
      </c>
      <c r="R403" t="str">
        <f>Table3[[#This Row],[Key]]</f>
        <v>-</v>
      </c>
      <c r="S403">
        <f>Table3[[#This Row],[Fiscal_Year]]</f>
        <v>0</v>
      </c>
      <c r="T403">
        <f>Table3[[#This Row],[Fiscal_Week]]</f>
        <v>0</v>
      </c>
      <c r="U403">
        <f>Table3[[#This Row],[Brand]]</f>
        <v>0</v>
      </c>
      <c r="V403">
        <f>Table3[[#This Row],[Demand]]</f>
        <v>0</v>
      </c>
      <c r="W403" t="e">
        <f>Table3[[#This Row],[OFC]]*Table3[[#This Row],[Demand]]</f>
        <v>#N/A</v>
      </c>
      <c r="X403" t="e">
        <f>Table3[[#This Row],[TFC]]*Table3[[#This Row],[Demand]]</f>
        <v>#N/A</v>
      </c>
      <c r="Y403" t="e">
        <f>Table3[[#This Row],[WFC]]*Table3[[#This Row],[Demand]]</f>
        <v>#N/A</v>
      </c>
      <c r="Z403" t="e">
        <f>Table3[[#This Row],[EAO]]*Table3[[#This Row],[Demand]]</f>
        <v>#N/A</v>
      </c>
      <c r="AA403" t="e">
        <f>Table3[[#This Row],[OCC]]*Table3[[#This Row],[Demand]]</f>
        <v>#N/A</v>
      </c>
      <c r="AB403" t="e">
        <f>Table3[[#This Row],[WEO]]*Table3[[#This Row],[Demand]]</f>
        <v>#N/A</v>
      </c>
      <c r="AC403" s="19" t="e">
        <f>SUM(Table35[[#This Row],[OFC]:[WEO]])</f>
        <v>#N/A</v>
      </c>
      <c r="AD403" s="19" t="e">
        <f>Table35[[#This Row],[Demand]]-Table35[[#This Row],[Total_Modeled_Demand]]</f>
        <v>#N/A</v>
      </c>
    </row>
    <row r="404" spans="2:30" x14ac:dyDescent="0.3">
      <c r="B404" s="3" t="str">
        <f>Table3[[#This Row],[Fiscal_Year]]*100+Table3[[#This Row],[Fiscal_Week]] &amp; "-" &amp;Table3[[#This Row],[Brand]]</f>
        <v>0-</v>
      </c>
      <c r="C404" t="str">
        <f t="shared" si="6"/>
        <v>-</v>
      </c>
      <c r="H404" s="3" t="e">
        <f>INDEX(Demand_Modeling!$A$13:$I$49,MATCH(Table3[[#This Row],[Key]],Demand_Modeling!$A$13:$A$49,0),MATCH(Table3[[#Headers],[OFC]],Demand_Modeling!$A$13:$I$13,0))</f>
        <v>#N/A</v>
      </c>
      <c r="I404" s="3" t="e">
        <f>INDEX(Demand_Modeling!$A$13:$I$49,MATCH(Table3[[#This Row],[Key]],Demand_Modeling!$A$13:$A$49,0),MATCH(Table3[[#Headers],[TFC]],Demand_Modeling!$A$13:$I$13,0))</f>
        <v>#N/A</v>
      </c>
      <c r="J404" s="3" t="e">
        <f>INDEX(Demand_Modeling!$A$13:$I$49,MATCH(Table3[[#This Row],[Key]],Demand_Modeling!$A$13:$A$49,0),MATCH(Table3[[#Headers],[WFC]],Demand_Modeling!$A$13:$I$13,0))</f>
        <v>#N/A</v>
      </c>
      <c r="K404" s="3" t="e">
        <f>INDEX(Demand_Modeling!$A$13:$I$49,MATCH(Table3[[#This Row],[Key]],Demand_Modeling!$A$13:$A$49,0),MATCH(Table3[[#Headers],[EAO]],Demand_Modeling!$A$13:$I$13,0))</f>
        <v>#N/A</v>
      </c>
      <c r="L404" s="3" t="e">
        <f>INDEX(Demand_Modeling!$A$13:$I$49,MATCH(Table3[[#This Row],[Key]],Demand_Modeling!$A$13:$A$49,0),MATCH(Table3[[#Headers],[OCC]],Demand_Modeling!$A$13:$I$13,0))</f>
        <v>#N/A</v>
      </c>
      <c r="M404" s="3" t="e">
        <f>INDEX(Demand_Modeling!$A$13:$I$49,MATCH(Table3[[#This Row],[Key]],Demand_Modeling!$A$13:$A$49,0),MATCH(Table3[[#Headers],[WEO]],Demand_Modeling!$A$13:$I$13,0))</f>
        <v>#N/A</v>
      </c>
      <c r="N404" s="19" t="e">
        <f>SUM(Table3[[#This Row],[OFC]:[WEO]])</f>
        <v>#N/A</v>
      </c>
      <c r="O404" s="19"/>
      <c r="Q404" s="3" t="str">
        <f>Table35[[#This Row],[Fiscal_Year]]*100+Table35[[#This Row],[Fiscal_Week]] &amp; "-" &amp;Table35[[#This Row],[Brand]]</f>
        <v>0-0</v>
      </c>
      <c r="R404" t="str">
        <f>Table3[[#This Row],[Key]]</f>
        <v>-</v>
      </c>
      <c r="S404">
        <f>Table3[[#This Row],[Fiscal_Year]]</f>
        <v>0</v>
      </c>
      <c r="T404">
        <f>Table3[[#This Row],[Fiscal_Week]]</f>
        <v>0</v>
      </c>
      <c r="U404">
        <f>Table3[[#This Row],[Brand]]</f>
        <v>0</v>
      </c>
      <c r="V404">
        <f>Table3[[#This Row],[Demand]]</f>
        <v>0</v>
      </c>
      <c r="W404" t="e">
        <f>Table3[[#This Row],[OFC]]*Table3[[#This Row],[Demand]]</f>
        <v>#N/A</v>
      </c>
      <c r="X404" t="e">
        <f>Table3[[#This Row],[TFC]]*Table3[[#This Row],[Demand]]</f>
        <v>#N/A</v>
      </c>
      <c r="Y404" t="e">
        <f>Table3[[#This Row],[WFC]]*Table3[[#This Row],[Demand]]</f>
        <v>#N/A</v>
      </c>
      <c r="Z404" t="e">
        <f>Table3[[#This Row],[EAO]]*Table3[[#This Row],[Demand]]</f>
        <v>#N/A</v>
      </c>
      <c r="AA404" t="e">
        <f>Table3[[#This Row],[OCC]]*Table3[[#This Row],[Demand]]</f>
        <v>#N/A</v>
      </c>
      <c r="AB404" t="e">
        <f>Table3[[#This Row],[WEO]]*Table3[[#This Row],[Demand]]</f>
        <v>#N/A</v>
      </c>
      <c r="AC404" s="19" t="e">
        <f>SUM(Table35[[#This Row],[OFC]:[WEO]])</f>
        <v>#N/A</v>
      </c>
      <c r="AD404" s="19" t="e">
        <f>Table35[[#This Row],[Demand]]-Table35[[#This Row],[Total_Modeled_Demand]]</f>
        <v>#N/A</v>
      </c>
    </row>
    <row r="405" spans="2:30" x14ac:dyDescent="0.3">
      <c r="B405" s="3" t="str">
        <f>Table3[[#This Row],[Fiscal_Year]]*100+Table3[[#This Row],[Fiscal_Week]] &amp; "-" &amp;Table3[[#This Row],[Brand]]</f>
        <v>0-</v>
      </c>
      <c r="C405" t="str">
        <f t="shared" si="6"/>
        <v>-</v>
      </c>
      <c r="H405" s="3" t="e">
        <f>INDEX(Demand_Modeling!$A$13:$I$49,MATCH(Table3[[#This Row],[Key]],Demand_Modeling!$A$13:$A$49,0),MATCH(Table3[[#Headers],[OFC]],Demand_Modeling!$A$13:$I$13,0))</f>
        <v>#N/A</v>
      </c>
      <c r="I405" s="3" t="e">
        <f>INDEX(Demand_Modeling!$A$13:$I$49,MATCH(Table3[[#This Row],[Key]],Demand_Modeling!$A$13:$A$49,0),MATCH(Table3[[#Headers],[TFC]],Demand_Modeling!$A$13:$I$13,0))</f>
        <v>#N/A</v>
      </c>
      <c r="J405" s="3" t="e">
        <f>INDEX(Demand_Modeling!$A$13:$I$49,MATCH(Table3[[#This Row],[Key]],Demand_Modeling!$A$13:$A$49,0),MATCH(Table3[[#Headers],[WFC]],Demand_Modeling!$A$13:$I$13,0))</f>
        <v>#N/A</v>
      </c>
      <c r="K405" s="3" t="e">
        <f>INDEX(Demand_Modeling!$A$13:$I$49,MATCH(Table3[[#This Row],[Key]],Demand_Modeling!$A$13:$A$49,0),MATCH(Table3[[#Headers],[EAO]],Demand_Modeling!$A$13:$I$13,0))</f>
        <v>#N/A</v>
      </c>
      <c r="L405" s="3" t="e">
        <f>INDEX(Demand_Modeling!$A$13:$I$49,MATCH(Table3[[#This Row],[Key]],Demand_Modeling!$A$13:$A$49,0),MATCH(Table3[[#Headers],[OCC]],Demand_Modeling!$A$13:$I$13,0))</f>
        <v>#N/A</v>
      </c>
      <c r="M405" s="3" t="e">
        <f>INDEX(Demand_Modeling!$A$13:$I$49,MATCH(Table3[[#This Row],[Key]],Demand_Modeling!$A$13:$A$49,0),MATCH(Table3[[#Headers],[WEO]],Demand_Modeling!$A$13:$I$13,0))</f>
        <v>#N/A</v>
      </c>
      <c r="N405" s="19" t="e">
        <f>SUM(Table3[[#This Row],[OFC]:[WEO]])</f>
        <v>#N/A</v>
      </c>
      <c r="O405" s="19"/>
      <c r="Q405" s="3" t="str">
        <f>Table35[[#This Row],[Fiscal_Year]]*100+Table35[[#This Row],[Fiscal_Week]] &amp; "-" &amp;Table35[[#This Row],[Brand]]</f>
        <v>0-0</v>
      </c>
      <c r="R405" t="str">
        <f>Table3[[#This Row],[Key]]</f>
        <v>-</v>
      </c>
      <c r="S405">
        <f>Table3[[#This Row],[Fiscal_Year]]</f>
        <v>0</v>
      </c>
      <c r="T405">
        <f>Table3[[#This Row],[Fiscal_Week]]</f>
        <v>0</v>
      </c>
      <c r="U405">
        <f>Table3[[#This Row],[Brand]]</f>
        <v>0</v>
      </c>
      <c r="V405">
        <f>Table3[[#This Row],[Demand]]</f>
        <v>0</v>
      </c>
      <c r="W405" t="e">
        <f>Table3[[#This Row],[OFC]]*Table3[[#This Row],[Demand]]</f>
        <v>#N/A</v>
      </c>
      <c r="X405" t="e">
        <f>Table3[[#This Row],[TFC]]*Table3[[#This Row],[Demand]]</f>
        <v>#N/A</v>
      </c>
      <c r="Y405" t="e">
        <f>Table3[[#This Row],[WFC]]*Table3[[#This Row],[Demand]]</f>
        <v>#N/A</v>
      </c>
      <c r="Z405" t="e">
        <f>Table3[[#This Row],[EAO]]*Table3[[#This Row],[Demand]]</f>
        <v>#N/A</v>
      </c>
      <c r="AA405" t="e">
        <f>Table3[[#This Row],[OCC]]*Table3[[#This Row],[Demand]]</f>
        <v>#N/A</v>
      </c>
      <c r="AB405" t="e">
        <f>Table3[[#This Row],[WEO]]*Table3[[#This Row],[Demand]]</f>
        <v>#N/A</v>
      </c>
      <c r="AC405" s="19" t="e">
        <f>SUM(Table35[[#This Row],[OFC]:[WEO]])</f>
        <v>#N/A</v>
      </c>
      <c r="AD405" s="19" t="e">
        <f>Table35[[#This Row],[Demand]]-Table35[[#This Row],[Total_Modeled_Demand]]</f>
        <v>#N/A</v>
      </c>
    </row>
    <row r="406" spans="2:30" x14ac:dyDescent="0.3">
      <c r="B406" s="3" t="str">
        <f>Table3[[#This Row],[Fiscal_Year]]*100+Table3[[#This Row],[Fiscal_Week]] &amp; "-" &amp;Table3[[#This Row],[Brand]]</f>
        <v>0-</v>
      </c>
      <c r="C406" t="str">
        <f t="shared" si="6"/>
        <v>-</v>
      </c>
      <c r="H406" s="3" t="e">
        <f>INDEX(Demand_Modeling!$A$13:$I$49,MATCH(Table3[[#This Row],[Key]],Demand_Modeling!$A$13:$A$49,0),MATCH(Table3[[#Headers],[OFC]],Demand_Modeling!$A$13:$I$13,0))</f>
        <v>#N/A</v>
      </c>
      <c r="I406" s="3" t="e">
        <f>INDEX(Demand_Modeling!$A$13:$I$49,MATCH(Table3[[#This Row],[Key]],Demand_Modeling!$A$13:$A$49,0),MATCH(Table3[[#Headers],[TFC]],Demand_Modeling!$A$13:$I$13,0))</f>
        <v>#N/A</v>
      </c>
      <c r="J406" s="3" t="e">
        <f>INDEX(Demand_Modeling!$A$13:$I$49,MATCH(Table3[[#This Row],[Key]],Demand_Modeling!$A$13:$A$49,0),MATCH(Table3[[#Headers],[WFC]],Demand_Modeling!$A$13:$I$13,0))</f>
        <v>#N/A</v>
      </c>
      <c r="K406" s="3" t="e">
        <f>INDEX(Demand_Modeling!$A$13:$I$49,MATCH(Table3[[#This Row],[Key]],Demand_Modeling!$A$13:$A$49,0),MATCH(Table3[[#Headers],[EAO]],Demand_Modeling!$A$13:$I$13,0))</f>
        <v>#N/A</v>
      </c>
      <c r="L406" s="3" t="e">
        <f>INDEX(Demand_Modeling!$A$13:$I$49,MATCH(Table3[[#This Row],[Key]],Demand_Modeling!$A$13:$A$49,0),MATCH(Table3[[#Headers],[OCC]],Demand_Modeling!$A$13:$I$13,0))</f>
        <v>#N/A</v>
      </c>
      <c r="M406" s="3" t="e">
        <f>INDEX(Demand_Modeling!$A$13:$I$49,MATCH(Table3[[#This Row],[Key]],Demand_Modeling!$A$13:$A$49,0),MATCH(Table3[[#Headers],[WEO]],Demand_Modeling!$A$13:$I$13,0))</f>
        <v>#N/A</v>
      </c>
      <c r="N406" s="19" t="e">
        <f>SUM(Table3[[#This Row],[OFC]:[WEO]])</f>
        <v>#N/A</v>
      </c>
      <c r="O406" s="19"/>
      <c r="Q406" s="3" t="str">
        <f>Table35[[#This Row],[Fiscal_Year]]*100+Table35[[#This Row],[Fiscal_Week]] &amp; "-" &amp;Table35[[#This Row],[Brand]]</f>
        <v>0-0</v>
      </c>
      <c r="R406" t="str">
        <f>Table3[[#This Row],[Key]]</f>
        <v>-</v>
      </c>
      <c r="S406">
        <f>Table3[[#This Row],[Fiscal_Year]]</f>
        <v>0</v>
      </c>
      <c r="T406">
        <f>Table3[[#This Row],[Fiscal_Week]]</f>
        <v>0</v>
      </c>
      <c r="U406">
        <f>Table3[[#This Row],[Brand]]</f>
        <v>0</v>
      </c>
      <c r="V406">
        <f>Table3[[#This Row],[Demand]]</f>
        <v>0</v>
      </c>
      <c r="W406" t="e">
        <f>Table3[[#This Row],[OFC]]*Table3[[#This Row],[Demand]]</f>
        <v>#N/A</v>
      </c>
      <c r="X406" t="e">
        <f>Table3[[#This Row],[TFC]]*Table3[[#This Row],[Demand]]</f>
        <v>#N/A</v>
      </c>
      <c r="Y406" t="e">
        <f>Table3[[#This Row],[WFC]]*Table3[[#This Row],[Demand]]</f>
        <v>#N/A</v>
      </c>
      <c r="Z406" t="e">
        <f>Table3[[#This Row],[EAO]]*Table3[[#This Row],[Demand]]</f>
        <v>#N/A</v>
      </c>
      <c r="AA406" t="e">
        <f>Table3[[#This Row],[OCC]]*Table3[[#This Row],[Demand]]</f>
        <v>#N/A</v>
      </c>
      <c r="AB406" t="e">
        <f>Table3[[#This Row],[WEO]]*Table3[[#This Row],[Demand]]</f>
        <v>#N/A</v>
      </c>
      <c r="AC406" s="19" t="e">
        <f>SUM(Table35[[#This Row],[OFC]:[WEO]])</f>
        <v>#N/A</v>
      </c>
      <c r="AD406" s="19" t="e">
        <f>Table35[[#This Row],[Demand]]-Table35[[#This Row],[Total_Modeled_Demand]]</f>
        <v>#N/A</v>
      </c>
    </row>
    <row r="407" spans="2:30" x14ac:dyDescent="0.3">
      <c r="B407" s="3" t="str">
        <f>Table3[[#This Row],[Fiscal_Year]]*100+Table3[[#This Row],[Fiscal_Week]] &amp; "-" &amp;Table3[[#This Row],[Brand]]</f>
        <v>0-</v>
      </c>
      <c r="C407" t="str">
        <f t="shared" si="6"/>
        <v>-</v>
      </c>
      <c r="H407" s="3" t="e">
        <f>INDEX(Demand_Modeling!$A$13:$I$49,MATCH(Table3[[#This Row],[Key]],Demand_Modeling!$A$13:$A$49,0),MATCH(Table3[[#Headers],[OFC]],Demand_Modeling!$A$13:$I$13,0))</f>
        <v>#N/A</v>
      </c>
      <c r="I407" s="3" t="e">
        <f>INDEX(Demand_Modeling!$A$13:$I$49,MATCH(Table3[[#This Row],[Key]],Demand_Modeling!$A$13:$A$49,0),MATCH(Table3[[#Headers],[TFC]],Demand_Modeling!$A$13:$I$13,0))</f>
        <v>#N/A</v>
      </c>
      <c r="J407" s="3" t="e">
        <f>INDEX(Demand_Modeling!$A$13:$I$49,MATCH(Table3[[#This Row],[Key]],Demand_Modeling!$A$13:$A$49,0),MATCH(Table3[[#Headers],[WFC]],Demand_Modeling!$A$13:$I$13,0))</f>
        <v>#N/A</v>
      </c>
      <c r="K407" s="3" t="e">
        <f>INDEX(Demand_Modeling!$A$13:$I$49,MATCH(Table3[[#This Row],[Key]],Demand_Modeling!$A$13:$A$49,0),MATCH(Table3[[#Headers],[EAO]],Demand_Modeling!$A$13:$I$13,0))</f>
        <v>#N/A</v>
      </c>
      <c r="L407" s="3" t="e">
        <f>INDEX(Demand_Modeling!$A$13:$I$49,MATCH(Table3[[#This Row],[Key]],Demand_Modeling!$A$13:$A$49,0),MATCH(Table3[[#Headers],[OCC]],Demand_Modeling!$A$13:$I$13,0))</f>
        <v>#N/A</v>
      </c>
      <c r="M407" s="3" t="e">
        <f>INDEX(Demand_Modeling!$A$13:$I$49,MATCH(Table3[[#This Row],[Key]],Demand_Modeling!$A$13:$A$49,0),MATCH(Table3[[#Headers],[WEO]],Demand_Modeling!$A$13:$I$13,0))</f>
        <v>#N/A</v>
      </c>
      <c r="N407" s="19" t="e">
        <f>SUM(Table3[[#This Row],[OFC]:[WEO]])</f>
        <v>#N/A</v>
      </c>
      <c r="O407" s="19"/>
      <c r="Q407" s="3" t="str">
        <f>Table35[[#This Row],[Fiscal_Year]]*100+Table35[[#This Row],[Fiscal_Week]] &amp; "-" &amp;Table35[[#This Row],[Brand]]</f>
        <v>0-0</v>
      </c>
      <c r="R407" t="str">
        <f>Table3[[#This Row],[Key]]</f>
        <v>-</v>
      </c>
      <c r="S407">
        <f>Table3[[#This Row],[Fiscal_Year]]</f>
        <v>0</v>
      </c>
      <c r="T407">
        <f>Table3[[#This Row],[Fiscal_Week]]</f>
        <v>0</v>
      </c>
      <c r="U407">
        <f>Table3[[#This Row],[Brand]]</f>
        <v>0</v>
      </c>
      <c r="V407">
        <f>Table3[[#This Row],[Demand]]</f>
        <v>0</v>
      </c>
      <c r="W407" t="e">
        <f>Table3[[#This Row],[OFC]]*Table3[[#This Row],[Demand]]</f>
        <v>#N/A</v>
      </c>
      <c r="X407" t="e">
        <f>Table3[[#This Row],[TFC]]*Table3[[#This Row],[Demand]]</f>
        <v>#N/A</v>
      </c>
      <c r="Y407" t="e">
        <f>Table3[[#This Row],[WFC]]*Table3[[#This Row],[Demand]]</f>
        <v>#N/A</v>
      </c>
      <c r="Z407" t="e">
        <f>Table3[[#This Row],[EAO]]*Table3[[#This Row],[Demand]]</f>
        <v>#N/A</v>
      </c>
      <c r="AA407" t="e">
        <f>Table3[[#This Row],[OCC]]*Table3[[#This Row],[Demand]]</f>
        <v>#N/A</v>
      </c>
      <c r="AB407" t="e">
        <f>Table3[[#This Row],[WEO]]*Table3[[#This Row],[Demand]]</f>
        <v>#N/A</v>
      </c>
      <c r="AC407" s="19" t="e">
        <f>SUM(Table35[[#This Row],[OFC]:[WEO]])</f>
        <v>#N/A</v>
      </c>
      <c r="AD407" s="19" t="e">
        <f>Table35[[#This Row],[Demand]]-Table35[[#This Row],[Total_Modeled_Demand]]</f>
        <v>#N/A</v>
      </c>
    </row>
    <row r="408" spans="2:30" x14ac:dyDescent="0.3">
      <c r="B408" s="3" t="str">
        <f>Table3[[#This Row],[Fiscal_Year]]*100+Table3[[#This Row],[Fiscal_Week]] &amp; "-" &amp;Table3[[#This Row],[Brand]]</f>
        <v>0-</v>
      </c>
      <c r="C408" t="str">
        <f t="shared" si="6"/>
        <v>-</v>
      </c>
      <c r="H408" s="3" t="e">
        <f>INDEX(Demand_Modeling!$A$13:$I$49,MATCH(Table3[[#This Row],[Key]],Demand_Modeling!$A$13:$A$49,0),MATCH(Table3[[#Headers],[OFC]],Demand_Modeling!$A$13:$I$13,0))</f>
        <v>#N/A</v>
      </c>
      <c r="I408" s="3" t="e">
        <f>INDEX(Demand_Modeling!$A$13:$I$49,MATCH(Table3[[#This Row],[Key]],Demand_Modeling!$A$13:$A$49,0),MATCH(Table3[[#Headers],[TFC]],Demand_Modeling!$A$13:$I$13,0))</f>
        <v>#N/A</v>
      </c>
      <c r="J408" s="3" t="e">
        <f>INDEX(Demand_Modeling!$A$13:$I$49,MATCH(Table3[[#This Row],[Key]],Demand_Modeling!$A$13:$A$49,0),MATCH(Table3[[#Headers],[WFC]],Demand_Modeling!$A$13:$I$13,0))</f>
        <v>#N/A</v>
      </c>
      <c r="K408" s="3" t="e">
        <f>INDEX(Demand_Modeling!$A$13:$I$49,MATCH(Table3[[#This Row],[Key]],Demand_Modeling!$A$13:$A$49,0),MATCH(Table3[[#Headers],[EAO]],Demand_Modeling!$A$13:$I$13,0))</f>
        <v>#N/A</v>
      </c>
      <c r="L408" s="3" t="e">
        <f>INDEX(Demand_Modeling!$A$13:$I$49,MATCH(Table3[[#This Row],[Key]],Demand_Modeling!$A$13:$A$49,0),MATCH(Table3[[#Headers],[OCC]],Demand_Modeling!$A$13:$I$13,0))</f>
        <v>#N/A</v>
      </c>
      <c r="M408" s="3" t="e">
        <f>INDEX(Demand_Modeling!$A$13:$I$49,MATCH(Table3[[#This Row],[Key]],Demand_Modeling!$A$13:$A$49,0),MATCH(Table3[[#Headers],[WEO]],Demand_Modeling!$A$13:$I$13,0))</f>
        <v>#N/A</v>
      </c>
      <c r="N408" s="19" t="e">
        <f>SUM(Table3[[#This Row],[OFC]:[WEO]])</f>
        <v>#N/A</v>
      </c>
      <c r="O408" s="19"/>
      <c r="Q408" s="3" t="str">
        <f>Table35[[#This Row],[Fiscal_Year]]*100+Table35[[#This Row],[Fiscal_Week]] &amp; "-" &amp;Table35[[#This Row],[Brand]]</f>
        <v>0-0</v>
      </c>
      <c r="R408" t="str">
        <f>Table3[[#This Row],[Key]]</f>
        <v>-</v>
      </c>
      <c r="S408">
        <f>Table3[[#This Row],[Fiscal_Year]]</f>
        <v>0</v>
      </c>
      <c r="T408">
        <f>Table3[[#This Row],[Fiscal_Week]]</f>
        <v>0</v>
      </c>
      <c r="U408">
        <f>Table3[[#This Row],[Brand]]</f>
        <v>0</v>
      </c>
      <c r="V408">
        <f>Table3[[#This Row],[Demand]]</f>
        <v>0</v>
      </c>
      <c r="W408" t="e">
        <f>Table3[[#This Row],[OFC]]*Table3[[#This Row],[Demand]]</f>
        <v>#N/A</v>
      </c>
      <c r="X408" t="e">
        <f>Table3[[#This Row],[TFC]]*Table3[[#This Row],[Demand]]</f>
        <v>#N/A</v>
      </c>
      <c r="Y408" t="e">
        <f>Table3[[#This Row],[WFC]]*Table3[[#This Row],[Demand]]</f>
        <v>#N/A</v>
      </c>
      <c r="Z408" t="e">
        <f>Table3[[#This Row],[EAO]]*Table3[[#This Row],[Demand]]</f>
        <v>#N/A</v>
      </c>
      <c r="AA408" t="e">
        <f>Table3[[#This Row],[OCC]]*Table3[[#This Row],[Demand]]</f>
        <v>#N/A</v>
      </c>
      <c r="AB408" t="e">
        <f>Table3[[#This Row],[WEO]]*Table3[[#This Row],[Demand]]</f>
        <v>#N/A</v>
      </c>
      <c r="AC408" s="19" t="e">
        <f>SUM(Table35[[#This Row],[OFC]:[WEO]])</f>
        <v>#N/A</v>
      </c>
      <c r="AD408" s="19" t="e">
        <f>Table35[[#This Row],[Demand]]-Table35[[#This Row],[Total_Modeled_Demand]]</f>
        <v>#N/A</v>
      </c>
    </row>
    <row r="409" spans="2:30" x14ac:dyDescent="0.3">
      <c r="B409" s="3" t="str">
        <f>Table3[[#This Row],[Fiscal_Year]]*100+Table3[[#This Row],[Fiscal_Week]] &amp; "-" &amp;Table3[[#This Row],[Brand]]</f>
        <v>0-</v>
      </c>
      <c r="C409" t="str">
        <f t="shared" si="6"/>
        <v>-</v>
      </c>
      <c r="H409" s="3" t="e">
        <f>INDEX(Demand_Modeling!$A$13:$I$49,MATCH(Table3[[#This Row],[Key]],Demand_Modeling!$A$13:$A$49,0),MATCH(Table3[[#Headers],[OFC]],Demand_Modeling!$A$13:$I$13,0))</f>
        <v>#N/A</v>
      </c>
      <c r="I409" s="3" t="e">
        <f>INDEX(Demand_Modeling!$A$13:$I$49,MATCH(Table3[[#This Row],[Key]],Demand_Modeling!$A$13:$A$49,0),MATCH(Table3[[#Headers],[TFC]],Demand_Modeling!$A$13:$I$13,0))</f>
        <v>#N/A</v>
      </c>
      <c r="J409" s="3" t="e">
        <f>INDEX(Demand_Modeling!$A$13:$I$49,MATCH(Table3[[#This Row],[Key]],Demand_Modeling!$A$13:$A$49,0),MATCH(Table3[[#Headers],[WFC]],Demand_Modeling!$A$13:$I$13,0))</f>
        <v>#N/A</v>
      </c>
      <c r="K409" s="3" t="e">
        <f>INDEX(Demand_Modeling!$A$13:$I$49,MATCH(Table3[[#This Row],[Key]],Demand_Modeling!$A$13:$A$49,0),MATCH(Table3[[#Headers],[EAO]],Demand_Modeling!$A$13:$I$13,0))</f>
        <v>#N/A</v>
      </c>
      <c r="L409" s="3" t="e">
        <f>INDEX(Demand_Modeling!$A$13:$I$49,MATCH(Table3[[#This Row],[Key]],Demand_Modeling!$A$13:$A$49,0),MATCH(Table3[[#Headers],[OCC]],Demand_Modeling!$A$13:$I$13,0))</f>
        <v>#N/A</v>
      </c>
      <c r="M409" s="3" t="e">
        <f>INDEX(Demand_Modeling!$A$13:$I$49,MATCH(Table3[[#This Row],[Key]],Demand_Modeling!$A$13:$A$49,0),MATCH(Table3[[#Headers],[WEO]],Demand_Modeling!$A$13:$I$13,0))</f>
        <v>#N/A</v>
      </c>
      <c r="N409" s="19" t="e">
        <f>SUM(Table3[[#This Row],[OFC]:[WEO]])</f>
        <v>#N/A</v>
      </c>
      <c r="O409" s="19"/>
      <c r="Q409" s="3" t="str">
        <f>Table35[[#This Row],[Fiscal_Year]]*100+Table35[[#This Row],[Fiscal_Week]] &amp; "-" &amp;Table35[[#This Row],[Brand]]</f>
        <v>0-0</v>
      </c>
      <c r="R409" t="str">
        <f>Table3[[#This Row],[Key]]</f>
        <v>-</v>
      </c>
      <c r="S409">
        <f>Table3[[#This Row],[Fiscal_Year]]</f>
        <v>0</v>
      </c>
      <c r="T409">
        <f>Table3[[#This Row],[Fiscal_Week]]</f>
        <v>0</v>
      </c>
      <c r="U409">
        <f>Table3[[#This Row],[Brand]]</f>
        <v>0</v>
      </c>
      <c r="V409">
        <f>Table3[[#This Row],[Demand]]</f>
        <v>0</v>
      </c>
      <c r="W409" t="e">
        <f>Table3[[#This Row],[OFC]]*Table3[[#This Row],[Demand]]</f>
        <v>#N/A</v>
      </c>
      <c r="X409" t="e">
        <f>Table3[[#This Row],[TFC]]*Table3[[#This Row],[Demand]]</f>
        <v>#N/A</v>
      </c>
      <c r="Y409" t="e">
        <f>Table3[[#This Row],[WFC]]*Table3[[#This Row],[Demand]]</f>
        <v>#N/A</v>
      </c>
      <c r="Z409" t="e">
        <f>Table3[[#This Row],[EAO]]*Table3[[#This Row],[Demand]]</f>
        <v>#N/A</v>
      </c>
      <c r="AA409" t="e">
        <f>Table3[[#This Row],[OCC]]*Table3[[#This Row],[Demand]]</f>
        <v>#N/A</v>
      </c>
      <c r="AB409" t="e">
        <f>Table3[[#This Row],[WEO]]*Table3[[#This Row],[Demand]]</f>
        <v>#N/A</v>
      </c>
      <c r="AC409" s="19" t="e">
        <f>SUM(Table35[[#This Row],[OFC]:[WEO]])</f>
        <v>#N/A</v>
      </c>
      <c r="AD409" s="19" t="e">
        <f>Table35[[#This Row],[Demand]]-Table35[[#This Row],[Total_Modeled_Demand]]</f>
        <v>#N/A</v>
      </c>
    </row>
    <row r="410" spans="2:30" x14ac:dyDescent="0.3">
      <c r="B410" s="3" t="str">
        <f>Table3[[#This Row],[Fiscal_Year]]*100+Table3[[#This Row],[Fiscal_Week]] &amp; "-" &amp;Table3[[#This Row],[Brand]]</f>
        <v>0-</v>
      </c>
      <c r="C410" t="str">
        <f t="shared" si="6"/>
        <v>-</v>
      </c>
      <c r="H410" s="3" t="e">
        <f>INDEX(Demand_Modeling!$A$13:$I$49,MATCH(Table3[[#This Row],[Key]],Demand_Modeling!$A$13:$A$49,0),MATCH(Table3[[#Headers],[OFC]],Demand_Modeling!$A$13:$I$13,0))</f>
        <v>#N/A</v>
      </c>
      <c r="I410" s="3" t="e">
        <f>INDEX(Demand_Modeling!$A$13:$I$49,MATCH(Table3[[#This Row],[Key]],Demand_Modeling!$A$13:$A$49,0),MATCH(Table3[[#Headers],[TFC]],Demand_Modeling!$A$13:$I$13,0))</f>
        <v>#N/A</v>
      </c>
      <c r="J410" s="3" t="e">
        <f>INDEX(Demand_Modeling!$A$13:$I$49,MATCH(Table3[[#This Row],[Key]],Demand_Modeling!$A$13:$A$49,0),MATCH(Table3[[#Headers],[WFC]],Demand_Modeling!$A$13:$I$13,0))</f>
        <v>#N/A</v>
      </c>
      <c r="K410" s="3" t="e">
        <f>INDEX(Demand_Modeling!$A$13:$I$49,MATCH(Table3[[#This Row],[Key]],Demand_Modeling!$A$13:$A$49,0),MATCH(Table3[[#Headers],[EAO]],Demand_Modeling!$A$13:$I$13,0))</f>
        <v>#N/A</v>
      </c>
      <c r="L410" s="3" t="e">
        <f>INDEX(Demand_Modeling!$A$13:$I$49,MATCH(Table3[[#This Row],[Key]],Demand_Modeling!$A$13:$A$49,0),MATCH(Table3[[#Headers],[OCC]],Demand_Modeling!$A$13:$I$13,0))</f>
        <v>#N/A</v>
      </c>
      <c r="M410" s="3" t="e">
        <f>INDEX(Demand_Modeling!$A$13:$I$49,MATCH(Table3[[#This Row],[Key]],Demand_Modeling!$A$13:$A$49,0),MATCH(Table3[[#Headers],[WEO]],Demand_Modeling!$A$13:$I$13,0))</f>
        <v>#N/A</v>
      </c>
      <c r="N410" s="19" t="e">
        <f>SUM(Table3[[#This Row],[OFC]:[WEO]])</f>
        <v>#N/A</v>
      </c>
      <c r="O410" s="19"/>
      <c r="Q410" s="3" t="str">
        <f>Table35[[#This Row],[Fiscal_Year]]*100+Table35[[#This Row],[Fiscal_Week]] &amp; "-" &amp;Table35[[#This Row],[Brand]]</f>
        <v>0-0</v>
      </c>
      <c r="R410" t="str">
        <f>Table3[[#This Row],[Key]]</f>
        <v>-</v>
      </c>
      <c r="S410">
        <f>Table3[[#This Row],[Fiscal_Year]]</f>
        <v>0</v>
      </c>
      <c r="T410">
        <f>Table3[[#This Row],[Fiscal_Week]]</f>
        <v>0</v>
      </c>
      <c r="U410">
        <f>Table3[[#This Row],[Brand]]</f>
        <v>0</v>
      </c>
      <c r="V410">
        <f>Table3[[#This Row],[Demand]]</f>
        <v>0</v>
      </c>
      <c r="W410" t="e">
        <f>Table3[[#This Row],[OFC]]*Table3[[#This Row],[Demand]]</f>
        <v>#N/A</v>
      </c>
      <c r="X410" t="e">
        <f>Table3[[#This Row],[TFC]]*Table3[[#This Row],[Demand]]</f>
        <v>#N/A</v>
      </c>
      <c r="Y410" t="e">
        <f>Table3[[#This Row],[WFC]]*Table3[[#This Row],[Demand]]</f>
        <v>#N/A</v>
      </c>
      <c r="Z410" t="e">
        <f>Table3[[#This Row],[EAO]]*Table3[[#This Row],[Demand]]</f>
        <v>#N/A</v>
      </c>
      <c r="AA410" t="e">
        <f>Table3[[#This Row],[OCC]]*Table3[[#This Row],[Demand]]</f>
        <v>#N/A</v>
      </c>
      <c r="AB410" t="e">
        <f>Table3[[#This Row],[WEO]]*Table3[[#This Row],[Demand]]</f>
        <v>#N/A</v>
      </c>
      <c r="AC410" s="19" t="e">
        <f>SUM(Table35[[#This Row],[OFC]:[WEO]])</f>
        <v>#N/A</v>
      </c>
      <c r="AD410" s="19" t="e">
        <f>Table35[[#This Row],[Demand]]-Table35[[#This Row],[Total_Modeled_Demand]]</f>
        <v>#N/A</v>
      </c>
    </row>
    <row r="411" spans="2:30" x14ac:dyDescent="0.3">
      <c r="B411" s="3" t="str">
        <f>Table3[[#This Row],[Fiscal_Year]]*100+Table3[[#This Row],[Fiscal_Week]] &amp; "-" &amp;Table3[[#This Row],[Brand]]</f>
        <v>0-</v>
      </c>
      <c r="C411" t="str">
        <f t="shared" si="6"/>
        <v>-</v>
      </c>
      <c r="H411" s="3" t="e">
        <f>INDEX(Demand_Modeling!$A$13:$I$49,MATCH(Table3[[#This Row],[Key]],Demand_Modeling!$A$13:$A$49,0),MATCH(Table3[[#Headers],[OFC]],Demand_Modeling!$A$13:$I$13,0))</f>
        <v>#N/A</v>
      </c>
      <c r="I411" s="3" t="e">
        <f>INDEX(Demand_Modeling!$A$13:$I$49,MATCH(Table3[[#This Row],[Key]],Demand_Modeling!$A$13:$A$49,0),MATCH(Table3[[#Headers],[TFC]],Demand_Modeling!$A$13:$I$13,0))</f>
        <v>#N/A</v>
      </c>
      <c r="J411" s="3" t="e">
        <f>INDEX(Demand_Modeling!$A$13:$I$49,MATCH(Table3[[#This Row],[Key]],Demand_Modeling!$A$13:$A$49,0),MATCH(Table3[[#Headers],[WFC]],Demand_Modeling!$A$13:$I$13,0))</f>
        <v>#N/A</v>
      </c>
      <c r="K411" s="3" t="e">
        <f>INDEX(Demand_Modeling!$A$13:$I$49,MATCH(Table3[[#This Row],[Key]],Demand_Modeling!$A$13:$A$49,0),MATCH(Table3[[#Headers],[EAO]],Demand_Modeling!$A$13:$I$13,0))</f>
        <v>#N/A</v>
      </c>
      <c r="L411" s="3" t="e">
        <f>INDEX(Demand_Modeling!$A$13:$I$49,MATCH(Table3[[#This Row],[Key]],Demand_Modeling!$A$13:$A$49,0),MATCH(Table3[[#Headers],[OCC]],Demand_Modeling!$A$13:$I$13,0))</f>
        <v>#N/A</v>
      </c>
      <c r="M411" s="3" t="e">
        <f>INDEX(Demand_Modeling!$A$13:$I$49,MATCH(Table3[[#This Row],[Key]],Demand_Modeling!$A$13:$A$49,0),MATCH(Table3[[#Headers],[WEO]],Demand_Modeling!$A$13:$I$13,0))</f>
        <v>#N/A</v>
      </c>
      <c r="N411" s="19" t="e">
        <f>SUM(Table3[[#This Row],[OFC]:[WEO]])</f>
        <v>#N/A</v>
      </c>
      <c r="O411" s="19"/>
      <c r="Q411" s="3" t="str">
        <f>Table35[[#This Row],[Fiscal_Year]]*100+Table35[[#This Row],[Fiscal_Week]] &amp; "-" &amp;Table35[[#This Row],[Brand]]</f>
        <v>0-0</v>
      </c>
      <c r="R411" t="str">
        <f>Table3[[#This Row],[Key]]</f>
        <v>-</v>
      </c>
      <c r="S411">
        <f>Table3[[#This Row],[Fiscal_Year]]</f>
        <v>0</v>
      </c>
      <c r="T411">
        <f>Table3[[#This Row],[Fiscal_Week]]</f>
        <v>0</v>
      </c>
      <c r="U411">
        <f>Table3[[#This Row],[Brand]]</f>
        <v>0</v>
      </c>
      <c r="V411">
        <f>Table3[[#This Row],[Demand]]</f>
        <v>0</v>
      </c>
      <c r="W411" t="e">
        <f>Table3[[#This Row],[OFC]]*Table3[[#This Row],[Demand]]</f>
        <v>#N/A</v>
      </c>
      <c r="X411" t="e">
        <f>Table3[[#This Row],[TFC]]*Table3[[#This Row],[Demand]]</f>
        <v>#N/A</v>
      </c>
      <c r="Y411" t="e">
        <f>Table3[[#This Row],[WFC]]*Table3[[#This Row],[Demand]]</f>
        <v>#N/A</v>
      </c>
      <c r="Z411" t="e">
        <f>Table3[[#This Row],[EAO]]*Table3[[#This Row],[Demand]]</f>
        <v>#N/A</v>
      </c>
      <c r="AA411" t="e">
        <f>Table3[[#This Row],[OCC]]*Table3[[#This Row],[Demand]]</f>
        <v>#N/A</v>
      </c>
      <c r="AB411" t="e">
        <f>Table3[[#This Row],[WEO]]*Table3[[#This Row],[Demand]]</f>
        <v>#N/A</v>
      </c>
      <c r="AC411" s="19" t="e">
        <f>SUM(Table35[[#This Row],[OFC]:[WEO]])</f>
        <v>#N/A</v>
      </c>
      <c r="AD411" s="19" t="e">
        <f>Table35[[#This Row],[Demand]]-Table35[[#This Row],[Total_Modeled_Demand]]</f>
        <v>#N/A</v>
      </c>
    </row>
    <row r="412" spans="2:30" x14ac:dyDescent="0.3">
      <c r="B412" s="3" t="str">
        <f>Table3[[#This Row],[Fiscal_Year]]*100+Table3[[#This Row],[Fiscal_Week]] &amp; "-" &amp;Table3[[#This Row],[Brand]]</f>
        <v>0-</v>
      </c>
      <c r="C412" t="str">
        <f t="shared" si="6"/>
        <v>-</v>
      </c>
      <c r="H412" s="3" t="e">
        <f>INDEX(Demand_Modeling!$A$13:$I$49,MATCH(Table3[[#This Row],[Key]],Demand_Modeling!$A$13:$A$49,0),MATCH(Table3[[#Headers],[OFC]],Demand_Modeling!$A$13:$I$13,0))</f>
        <v>#N/A</v>
      </c>
      <c r="I412" s="3" t="e">
        <f>INDEX(Demand_Modeling!$A$13:$I$49,MATCH(Table3[[#This Row],[Key]],Demand_Modeling!$A$13:$A$49,0),MATCH(Table3[[#Headers],[TFC]],Demand_Modeling!$A$13:$I$13,0))</f>
        <v>#N/A</v>
      </c>
      <c r="J412" s="3" t="e">
        <f>INDEX(Demand_Modeling!$A$13:$I$49,MATCH(Table3[[#This Row],[Key]],Demand_Modeling!$A$13:$A$49,0),MATCH(Table3[[#Headers],[WFC]],Demand_Modeling!$A$13:$I$13,0))</f>
        <v>#N/A</v>
      </c>
      <c r="K412" s="3" t="e">
        <f>INDEX(Demand_Modeling!$A$13:$I$49,MATCH(Table3[[#This Row],[Key]],Demand_Modeling!$A$13:$A$49,0),MATCH(Table3[[#Headers],[EAO]],Demand_Modeling!$A$13:$I$13,0))</f>
        <v>#N/A</v>
      </c>
      <c r="L412" s="3" t="e">
        <f>INDEX(Demand_Modeling!$A$13:$I$49,MATCH(Table3[[#This Row],[Key]],Demand_Modeling!$A$13:$A$49,0),MATCH(Table3[[#Headers],[OCC]],Demand_Modeling!$A$13:$I$13,0))</f>
        <v>#N/A</v>
      </c>
      <c r="M412" s="3" t="e">
        <f>INDEX(Demand_Modeling!$A$13:$I$49,MATCH(Table3[[#This Row],[Key]],Demand_Modeling!$A$13:$A$49,0),MATCH(Table3[[#Headers],[WEO]],Demand_Modeling!$A$13:$I$13,0))</f>
        <v>#N/A</v>
      </c>
      <c r="N412" s="19" t="e">
        <f>SUM(Table3[[#This Row],[OFC]:[WEO]])</f>
        <v>#N/A</v>
      </c>
      <c r="O412" s="19"/>
      <c r="Q412" s="3" t="str">
        <f>Table35[[#This Row],[Fiscal_Year]]*100+Table35[[#This Row],[Fiscal_Week]] &amp; "-" &amp;Table35[[#This Row],[Brand]]</f>
        <v>0-0</v>
      </c>
      <c r="R412" t="str">
        <f>Table3[[#This Row],[Key]]</f>
        <v>-</v>
      </c>
      <c r="S412">
        <f>Table3[[#This Row],[Fiscal_Year]]</f>
        <v>0</v>
      </c>
      <c r="T412">
        <f>Table3[[#This Row],[Fiscal_Week]]</f>
        <v>0</v>
      </c>
      <c r="U412">
        <f>Table3[[#This Row],[Brand]]</f>
        <v>0</v>
      </c>
      <c r="V412">
        <f>Table3[[#This Row],[Demand]]</f>
        <v>0</v>
      </c>
      <c r="W412" t="e">
        <f>Table3[[#This Row],[OFC]]*Table3[[#This Row],[Demand]]</f>
        <v>#N/A</v>
      </c>
      <c r="X412" t="e">
        <f>Table3[[#This Row],[TFC]]*Table3[[#This Row],[Demand]]</f>
        <v>#N/A</v>
      </c>
      <c r="Y412" t="e">
        <f>Table3[[#This Row],[WFC]]*Table3[[#This Row],[Demand]]</f>
        <v>#N/A</v>
      </c>
      <c r="Z412" t="e">
        <f>Table3[[#This Row],[EAO]]*Table3[[#This Row],[Demand]]</f>
        <v>#N/A</v>
      </c>
      <c r="AA412" t="e">
        <f>Table3[[#This Row],[OCC]]*Table3[[#This Row],[Demand]]</f>
        <v>#N/A</v>
      </c>
      <c r="AB412" t="e">
        <f>Table3[[#This Row],[WEO]]*Table3[[#This Row],[Demand]]</f>
        <v>#N/A</v>
      </c>
      <c r="AC412" s="19" t="e">
        <f>SUM(Table35[[#This Row],[OFC]:[WEO]])</f>
        <v>#N/A</v>
      </c>
      <c r="AD412" s="19" t="e">
        <f>Table35[[#This Row],[Demand]]-Table35[[#This Row],[Total_Modeled_Demand]]</f>
        <v>#N/A</v>
      </c>
    </row>
    <row r="413" spans="2:30" x14ac:dyDescent="0.3">
      <c r="B413" s="3" t="str">
        <f>Table3[[#This Row],[Fiscal_Year]]*100+Table3[[#This Row],[Fiscal_Week]] &amp; "-" &amp;Table3[[#This Row],[Brand]]</f>
        <v>0-</v>
      </c>
      <c r="C413" t="str">
        <f t="shared" si="6"/>
        <v>-</v>
      </c>
      <c r="H413" s="3" t="e">
        <f>INDEX(Demand_Modeling!$A$13:$I$49,MATCH(Table3[[#This Row],[Key]],Demand_Modeling!$A$13:$A$49,0),MATCH(Table3[[#Headers],[OFC]],Demand_Modeling!$A$13:$I$13,0))</f>
        <v>#N/A</v>
      </c>
      <c r="I413" s="3" t="e">
        <f>INDEX(Demand_Modeling!$A$13:$I$49,MATCH(Table3[[#This Row],[Key]],Demand_Modeling!$A$13:$A$49,0),MATCH(Table3[[#Headers],[TFC]],Demand_Modeling!$A$13:$I$13,0))</f>
        <v>#N/A</v>
      </c>
      <c r="J413" s="3" t="e">
        <f>INDEX(Demand_Modeling!$A$13:$I$49,MATCH(Table3[[#This Row],[Key]],Demand_Modeling!$A$13:$A$49,0),MATCH(Table3[[#Headers],[WFC]],Demand_Modeling!$A$13:$I$13,0))</f>
        <v>#N/A</v>
      </c>
      <c r="K413" s="3" t="e">
        <f>INDEX(Demand_Modeling!$A$13:$I$49,MATCH(Table3[[#This Row],[Key]],Demand_Modeling!$A$13:$A$49,0),MATCH(Table3[[#Headers],[EAO]],Demand_Modeling!$A$13:$I$13,0))</f>
        <v>#N/A</v>
      </c>
      <c r="L413" s="3" t="e">
        <f>INDEX(Demand_Modeling!$A$13:$I$49,MATCH(Table3[[#This Row],[Key]],Demand_Modeling!$A$13:$A$49,0),MATCH(Table3[[#Headers],[OCC]],Demand_Modeling!$A$13:$I$13,0))</f>
        <v>#N/A</v>
      </c>
      <c r="M413" s="3" t="e">
        <f>INDEX(Demand_Modeling!$A$13:$I$49,MATCH(Table3[[#This Row],[Key]],Demand_Modeling!$A$13:$A$49,0),MATCH(Table3[[#Headers],[WEO]],Demand_Modeling!$A$13:$I$13,0))</f>
        <v>#N/A</v>
      </c>
      <c r="N413" s="19" t="e">
        <f>SUM(Table3[[#This Row],[OFC]:[WEO]])</f>
        <v>#N/A</v>
      </c>
      <c r="O413" s="19"/>
      <c r="Q413" s="3" t="str">
        <f>Table35[[#This Row],[Fiscal_Year]]*100+Table35[[#This Row],[Fiscal_Week]] &amp; "-" &amp;Table35[[#This Row],[Brand]]</f>
        <v>0-0</v>
      </c>
      <c r="R413" t="str">
        <f>Table3[[#This Row],[Key]]</f>
        <v>-</v>
      </c>
      <c r="S413">
        <f>Table3[[#This Row],[Fiscal_Year]]</f>
        <v>0</v>
      </c>
      <c r="T413">
        <f>Table3[[#This Row],[Fiscal_Week]]</f>
        <v>0</v>
      </c>
      <c r="U413">
        <f>Table3[[#This Row],[Brand]]</f>
        <v>0</v>
      </c>
      <c r="V413">
        <f>Table3[[#This Row],[Demand]]</f>
        <v>0</v>
      </c>
      <c r="W413" t="e">
        <f>Table3[[#This Row],[OFC]]*Table3[[#This Row],[Demand]]</f>
        <v>#N/A</v>
      </c>
      <c r="X413" t="e">
        <f>Table3[[#This Row],[TFC]]*Table3[[#This Row],[Demand]]</f>
        <v>#N/A</v>
      </c>
      <c r="Y413" t="e">
        <f>Table3[[#This Row],[WFC]]*Table3[[#This Row],[Demand]]</f>
        <v>#N/A</v>
      </c>
      <c r="Z413" t="e">
        <f>Table3[[#This Row],[EAO]]*Table3[[#This Row],[Demand]]</f>
        <v>#N/A</v>
      </c>
      <c r="AA413" t="e">
        <f>Table3[[#This Row],[OCC]]*Table3[[#This Row],[Demand]]</f>
        <v>#N/A</v>
      </c>
      <c r="AB413" t="e">
        <f>Table3[[#This Row],[WEO]]*Table3[[#This Row],[Demand]]</f>
        <v>#N/A</v>
      </c>
      <c r="AC413" s="19" t="e">
        <f>SUM(Table35[[#This Row],[OFC]:[WEO]])</f>
        <v>#N/A</v>
      </c>
      <c r="AD413" s="19" t="e">
        <f>Table35[[#This Row],[Demand]]-Table35[[#This Row],[Total_Modeled_Demand]]</f>
        <v>#N/A</v>
      </c>
    </row>
    <row r="414" spans="2:30" x14ac:dyDescent="0.3">
      <c r="B414" s="3" t="str">
        <f>Table3[[#This Row],[Fiscal_Year]]*100+Table3[[#This Row],[Fiscal_Week]] &amp; "-" &amp;Table3[[#This Row],[Brand]]</f>
        <v>0-</v>
      </c>
      <c r="C414" t="str">
        <f t="shared" si="6"/>
        <v>-</v>
      </c>
      <c r="H414" s="3" t="e">
        <f>INDEX(Demand_Modeling!$A$13:$I$49,MATCH(Table3[[#This Row],[Key]],Demand_Modeling!$A$13:$A$49,0),MATCH(Table3[[#Headers],[OFC]],Demand_Modeling!$A$13:$I$13,0))</f>
        <v>#N/A</v>
      </c>
      <c r="I414" s="3" t="e">
        <f>INDEX(Demand_Modeling!$A$13:$I$49,MATCH(Table3[[#This Row],[Key]],Demand_Modeling!$A$13:$A$49,0),MATCH(Table3[[#Headers],[TFC]],Demand_Modeling!$A$13:$I$13,0))</f>
        <v>#N/A</v>
      </c>
      <c r="J414" s="3" t="e">
        <f>INDEX(Demand_Modeling!$A$13:$I$49,MATCH(Table3[[#This Row],[Key]],Demand_Modeling!$A$13:$A$49,0),MATCH(Table3[[#Headers],[WFC]],Demand_Modeling!$A$13:$I$13,0))</f>
        <v>#N/A</v>
      </c>
      <c r="K414" s="3" t="e">
        <f>INDEX(Demand_Modeling!$A$13:$I$49,MATCH(Table3[[#This Row],[Key]],Demand_Modeling!$A$13:$A$49,0),MATCH(Table3[[#Headers],[EAO]],Demand_Modeling!$A$13:$I$13,0))</f>
        <v>#N/A</v>
      </c>
      <c r="L414" s="3" t="e">
        <f>INDEX(Demand_Modeling!$A$13:$I$49,MATCH(Table3[[#This Row],[Key]],Demand_Modeling!$A$13:$A$49,0),MATCH(Table3[[#Headers],[OCC]],Demand_Modeling!$A$13:$I$13,0))</f>
        <v>#N/A</v>
      </c>
      <c r="M414" s="3" t="e">
        <f>INDEX(Demand_Modeling!$A$13:$I$49,MATCH(Table3[[#This Row],[Key]],Demand_Modeling!$A$13:$A$49,0),MATCH(Table3[[#Headers],[WEO]],Demand_Modeling!$A$13:$I$13,0))</f>
        <v>#N/A</v>
      </c>
      <c r="N414" s="19" t="e">
        <f>SUM(Table3[[#This Row],[OFC]:[WEO]])</f>
        <v>#N/A</v>
      </c>
      <c r="O414" s="19"/>
      <c r="Q414" s="3" t="str">
        <f>Table35[[#This Row],[Fiscal_Year]]*100+Table35[[#This Row],[Fiscal_Week]] &amp; "-" &amp;Table35[[#This Row],[Brand]]</f>
        <v>0-0</v>
      </c>
      <c r="R414" t="str">
        <f>Table3[[#This Row],[Key]]</f>
        <v>-</v>
      </c>
      <c r="S414">
        <f>Table3[[#This Row],[Fiscal_Year]]</f>
        <v>0</v>
      </c>
      <c r="T414">
        <f>Table3[[#This Row],[Fiscal_Week]]</f>
        <v>0</v>
      </c>
      <c r="U414">
        <f>Table3[[#This Row],[Brand]]</f>
        <v>0</v>
      </c>
      <c r="V414">
        <f>Table3[[#This Row],[Demand]]</f>
        <v>0</v>
      </c>
      <c r="W414" t="e">
        <f>Table3[[#This Row],[OFC]]*Table3[[#This Row],[Demand]]</f>
        <v>#N/A</v>
      </c>
      <c r="X414" t="e">
        <f>Table3[[#This Row],[TFC]]*Table3[[#This Row],[Demand]]</f>
        <v>#N/A</v>
      </c>
      <c r="Y414" t="e">
        <f>Table3[[#This Row],[WFC]]*Table3[[#This Row],[Demand]]</f>
        <v>#N/A</v>
      </c>
      <c r="Z414" t="e">
        <f>Table3[[#This Row],[EAO]]*Table3[[#This Row],[Demand]]</f>
        <v>#N/A</v>
      </c>
      <c r="AA414" t="e">
        <f>Table3[[#This Row],[OCC]]*Table3[[#This Row],[Demand]]</f>
        <v>#N/A</v>
      </c>
      <c r="AB414" t="e">
        <f>Table3[[#This Row],[WEO]]*Table3[[#This Row],[Demand]]</f>
        <v>#N/A</v>
      </c>
      <c r="AC414" s="19" t="e">
        <f>SUM(Table35[[#This Row],[OFC]:[WEO]])</f>
        <v>#N/A</v>
      </c>
      <c r="AD414" s="19" t="e">
        <f>Table35[[#This Row],[Demand]]-Table35[[#This Row],[Total_Modeled_Demand]]</f>
        <v>#N/A</v>
      </c>
    </row>
    <row r="415" spans="2:30" x14ac:dyDescent="0.3">
      <c r="B415" s="3" t="str">
        <f>Table3[[#This Row],[Fiscal_Year]]*100+Table3[[#This Row],[Fiscal_Week]] &amp; "-" &amp;Table3[[#This Row],[Brand]]</f>
        <v>0-</v>
      </c>
      <c r="C415" t="str">
        <f t="shared" si="6"/>
        <v>-</v>
      </c>
      <c r="H415" s="3" t="e">
        <f>INDEX(Demand_Modeling!$A$13:$I$49,MATCH(Table3[[#This Row],[Key]],Demand_Modeling!$A$13:$A$49,0),MATCH(Table3[[#Headers],[OFC]],Demand_Modeling!$A$13:$I$13,0))</f>
        <v>#N/A</v>
      </c>
      <c r="I415" s="3" t="e">
        <f>INDEX(Demand_Modeling!$A$13:$I$49,MATCH(Table3[[#This Row],[Key]],Demand_Modeling!$A$13:$A$49,0),MATCH(Table3[[#Headers],[TFC]],Demand_Modeling!$A$13:$I$13,0))</f>
        <v>#N/A</v>
      </c>
      <c r="J415" s="3" t="e">
        <f>INDEX(Demand_Modeling!$A$13:$I$49,MATCH(Table3[[#This Row],[Key]],Demand_Modeling!$A$13:$A$49,0),MATCH(Table3[[#Headers],[WFC]],Demand_Modeling!$A$13:$I$13,0))</f>
        <v>#N/A</v>
      </c>
      <c r="K415" s="3" t="e">
        <f>INDEX(Demand_Modeling!$A$13:$I$49,MATCH(Table3[[#This Row],[Key]],Demand_Modeling!$A$13:$A$49,0),MATCH(Table3[[#Headers],[EAO]],Demand_Modeling!$A$13:$I$13,0))</f>
        <v>#N/A</v>
      </c>
      <c r="L415" s="3" t="e">
        <f>INDEX(Demand_Modeling!$A$13:$I$49,MATCH(Table3[[#This Row],[Key]],Demand_Modeling!$A$13:$A$49,0),MATCH(Table3[[#Headers],[OCC]],Demand_Modeling!$A$13:$I$13,0))</f>
        <v>#N/A</v>
      </c>
      <c r="M415" s="3" t="e">
        <f>INDEX(Demand_Modeling!$A$13:$I$49,MATCH(Table3[[#This Row],[Key]],Demand_Modeling!$A$13:$A$49,0),MATCH(Table3[[#Headers],[WEO]],Demand_Modeling!$A$13:$I$13,0))</f>
        <v>#N/A</v>
      </c>
      <c r="N415" s="19" t="e">
        <f>SUM(Table3[[#This Row],[OFC]:[WEO]])</f>
        <v>#N/A</v>
      </c>
      <c r="O415" s="19"/>
      <c r="Q415" s="3" t="str">
        <f>Table35[[#This Row],[Fiscal_Year]]*100+Table35[[#This Row],[Fiscal_Week]] &amp; "-" &amp;Table35[[#This Row],[Brand]]</f>
        <v>0-0</v>
      </c>
      <c r="R415" t="str">
        <f>Table3[[#This Row],[Key]]</f>
        <v>-</v>
      </c>
      <c r="S415">
        <f>Table3[[#This Row],[Fiscal_Year]]</f>
        <v>0</v>
      </c>
      <c r="T415">
        <f>Table3[[#This Row],[Fiscal_Week]]</f>
        <v>0</v>
      </c>
      <c r="U415">
        <f>Table3[[#This Row],[Brand]]</f>
        <v>0</v>
      </c>
      <c r="V415">
        <f>Table3[[#This Row],[Demand]]</f>
        <v>0</v>
      </c>
      <c r="W415" t="e">
        <f>Table3[[#This Row],[OFC]]*Table3[[#This Row],[Demand]]</f>
        <v>#N/A</v>
      </c>
      <c r="X415" t="e">
        <f>Table3[[#This Row],[TFC]]*Table3[[#This Row],[Demand]]</f>
        <v>#N/A</v>
      </c>
      <c r="Y415" t="e">
        <f>Table3[[#This Row],[WFC]]*Table3[[#This Row],[Demand]]</f>
        <v>#N/A</v>
      </c>
      <c r="Z415" t="e">
        <f>Table3[[#This Row],[EAO]]*Table3[[#This Row],[Demand]]</f>
        <v>#N/A</v>
      </c>
      <c r="AA415" t="e">
        <f>Table3[[#This Row],[OCC]]*Table3[[#This Row],[Demand]]</f>
        <v>#N/A</v>
      </c>
      <c r="AB415" t="e">
        <f>Table3[[#This Row],[WEO]]*Table3[[#This Row],[Demand]]</f>
        <v>#N/A</v>
      </c>
      <c r="AC415" s="19" t="e">
        <f>SUM(Table35[[#This Row],[OFC]:[WEO]])</f>
        <v>#N/A</v>
      </c>
      <c r="AD415" s="19" t="e">
        <f>Table35[[#This Row],[Demand]]-Table35[[#This Row],[Total_Modeled_Demand]]</f>
        <v>#N/A</v>
      </c>
    </row>
    <row r="416" spans="2:30" x14ac:dyDescent="0.3">
      <c r="B416" s="3" t="str">
        <f>Table3[[#This Row],[Fiscal_Year]]*100+Table3[[#This Row],[Fiscal_Week]] &amp; "-" &amp;Table3[[#This Row],[Brand]]</f>
        <v>0-</v>
      </c>
      <c r="C416" t="str">
        <f t="shared" si="6"/>
        <v>-</v>
      </c>
      <c r="H416" s="3" t="e">
        <f>INDEX(Demand_Modeling!$A$13:$I$49,MATCH(Table3[[#This Row],[Key]],Demand_Modeling!$A$13:$A$49,0),MATCH(Table3[[#Headers],[OFC]],Demand_Modeling!$A$13:$I$13,0))</f>
        <v>#N/A</v>
      </c>
      <c r="I416" s="3" t="e">
        <f>INDEX(Demand_Modeling!$A$13:$I$49,MATCH(Table3[[#This Row],[Key]],Demand_Modeling!$A$13:$A$49,0),MATCH(Table3[[#Headers],[TFC]],Demand_Modeling!$A$13:$I$13,0))</f>
        <v>#N/A</v>
      </c>
      <c r="J416" s="3" t="e">
        <f>INDEX(Demand_Modeling!$A$13:$I$49,MATCH(Table3[[#This Row],[Key]],Demand_Modeling!$A$13:$A$49,0),MATCH(Table3[[#Headers],[WFC]],Demand_Modeling!$A$13:$I$13,0))</f>
        <v>#N/A</v>
      </c>
      <c r="K416" s="3" t="e">
        <f>INDEX(Demand_Modeling!$A$13:$I$49,MATCH(Table3[[#This Row],[Key]],Demand_Modeling!$A$13:$A$49,0),MATCH(Table3[[#Headers],[EAO]],Demand_Modeling!$A$13:$I$13,0))</f>
        <v>#N/A</v>
      </c>
      <c r="L416" s="3" t="e">
        <f>INDEX(Demand_Modeling!$A$13:$I$49,MATCH(Table3[[#This Row],[Key]],Demand_Modeling!$A$13:$A$49,0),MATCH(Table3[[#Headers],[OCC]],Demand_Modeling!$A$13:$I$13,0))</f>
        <v>#N/A</v>
      </c>
      <c r="M416" s="3" t="e">
        <f>INDEX(Demand_Modeling!$A$13:$I$49,MATCH(Table3[[#This Row],[Key]],Demand_Modeling!$A$13:$A$49,0),MATCH(Table3[[#Headers],[WEO]],Demand_Modeling!$A$13:$I$13,0))</f>
        <v>#N/A</v>
      </c>
      <c r="N416" s="19" t="e">
        <f>SUM(Table3[[#This Row],[OFC]:[WEO]])</f>
        <v>#N/A</v>
      </c>
      <c r="O416" s="19"/>
      <c r="Q416" s="3" t="str">
        <f>Table35[[#This Row],[Fiscal_Year]]*100+Table35[[#This Row],[Fiscal_Week]] &amp; "-" &amp;Table35[[#This Row],[Brand]]</f>
        <v>0-0</v>
      </c>
      <c r="R416" t="str">
        <f>Table3[[#This Row],[Key]]</f>
        <v>-</v>
      </c>
      <c r="S416">
        <f>Table3[[#This Row],[Fiscal_Year]]</f>
        <v>0</v>
      </c>
      <c r="T416">
        <f>Table3[[#This Row],[Fiscal_Week]]</f>
        <v>0</v>
      </c>
      <c r="U416">
        <f>Table3[[#This Row],[Brand]]</f>
        <v>0</v>
      </c>
      <c r="V416">
        <f>Table3[[#This Row],[Demand]]</f>
        <v>0</v>
      </c>
      <c r="W416" t="e">
        <f>Table3[[#This Row],[OFC]]*Table3[[#This Row],[Demand]]</f>
        <v>#N/A</v>
      </c>
      <c r="X416" t="e">
        <f>Table3[[#This Row],[TFC]]*Table3[[#This Row],[Demand]]</f>
        <v>#N/A</v>
      </c>
      <c r="Y416" t="e">
        <f>Table3[[#This Row],[WFC]]*Table3[[#This Row],[Demand]]</f>
        <v>#N/A</v>
      </c>
      <c r="Z416" t="e">
        <f>Table3[[#This Row],[EAO]]*Table3[[#This Row],[Demand]]</f>
        <v>#N/A</v>
      </c>
      <c r="AA416" t="e">
        <f>Table3[[#This Row],[OCC]]*Table3[[#This Row],[Demand]]</f>
        <v>#N/A</v>
      </c>
      <c r="AB416" t="e">
        <f>Table3[[#This Row],[WEO]]*Table3[[#This Row],[Demand]]</f>
        <v>#N/A</v>
      </c>
      <c r="AC416" s="19" t="e">
        <f>SUM(Table35[[#This Row],[OFC]:[WEO]])</f>
        <v>#N/A</v>
      </c>
      <c r="AD416" s="19" t="e">
        <f>Table35[[#This Row],[Demand]]-Table35[[#This Row],[Total_Modeled_Demand]]</f>
        <v>#N/A</v>
      </c>
    </row>
    <row r="417" spans="2:30" x14ac:dyDescent="0.3">
      <c r="B417" s="3" t="str">
        <f>Table3[[#This Row],[Fiscal_Year]]*100+Table3[[#This Row],[Fiscal_Week]] &amp; "-" &amp;Table3[[#This Row],[Brand]]</f>
        <v>0-</v>
      </c>
      <c r="C417" t="str">
        <f t="shared" si="6"/>
        <v>-</v>
      </c>
      <c r="H417" s="3" t="e">
        <f>INDEX(Demand_Modeling!$A$13:$I$49,MATCH(Table3[[#This Row],[Key]],Demand_Modeling!$A$13:$A$49,0),MATCH(Table3[[#Headers],[OFC]],Demand_Modeling!$A$13:$I$13,0))</f>
        <v>#N/A</v>
      </c>
      <c r="I417" s="3" t="e">
        <f>INDEX(Demand_Modeling!$A$13:$I$49,MATCH(Table3[[#This Row],[Key]],Demand_Modeling!$A$13:$A$49,0),MATCH(Table3[[#Headers],[TFC]],Demand_Modeling!$A$13:$I$13,0))</f>
        <v>#N/A</v>
      </c>
      <c r="J417" s="3" t="e">
        <f>INDEX(Demand_Modeling!$A$13:$I$49,MATCH(Table3[[#This Row],[Key]],Demand_Modeling!$A$13:$A$49,0),MATCH(Table3[[#Headers],[WFC]],Demand_Modeling!$A$13:$I$13,0))</f>
        <v>#N/A</v>
      </c>
      <c r="K417" s="3" t="e">
        <f>INDEX(Demand_Modeling!$A$13:$I$49,MATCH(Table3[[#This Row],[Key]],Demand_Modeling!$A$13:$A$49,0),MATCH(Table3[[#Headers],[EAO]],Demand_Modeling!$A$13:$I$13,0))</f>
        <v>#N/A</v>
      </c>
      <c r="L417" s="3" t="e">
        <f>INDEX(Demand_Modeling!$A$13:$I$49,MATCH(Table3[[#This Row],[Key]],Demand_Modeling!$A$13:$A$49,0),MATCH(Table3[[#Headers],[OCC]],Demand_Modeling!$A$13:$I$13,0))</f>
        <v>#N/A</v>
      </c>
      <c r="M417" s="3" t="e">
        <f>INDEX(Demand_Modeling!$A$13:$I$49,MATCH(Table3[[#This Row],[Key]],Demand_Modeling!$A$13:$A$49,0),MATCH(Table3[[#Headers],[WEO]],Demand_Modeling!$A$13:$I$13,0))</f>
        <v>#N/A</v>
      </c>
      <c r="N417" s="19" t="e">
        <f>SUM(Table3[[#This Row],[OFC]:[WEO]])</f>
        <v>#N/A</v>
      </c>
      <c r="O417" s="19"/>
      <c r="Q417" s="3" t="str">
        <f>Table35[[#This Row],[Fiscal_Year]]*100+Table35[[#This Row],[Fiscal_Week]] &amp; "-" &amp;Table35[[#This Row],[Brand]]</f>
        <v>0-0</v>
      </c>
      <c r="R417" t="str">
        <f>Table3[[#This Row],[Key]]</f>
        <v>-</v>
      </c>
      <c r="S417">
        <f>Table3[[#This Row],[Fiscal_Year]]</f>
        <v>0</v>
      </c>
      <c r="T417">
        <f>Table3[[#This Row],[Fiscal_Week]]</f>
        <v>0</v>
      </c>
      <c r="U417">
        <f>Table3[[#This Row],[Brand]]</f>
        <v>0</v>
      </c>
      <c r="V417">
        <f>Table3[[#This Row],[Demand]]</f>
        <v>0</v>
      </c>
      <c r="W417" t="e">
        <f>Table3[[#This Row],[OFC]]*Table3[[#This Row],[Demand]]</f>
        <v>#N/A</v>
      </c>
      <c r="X417" t="e">
        <f>Table3[[#This Row],[TFC]]*Table3[[#This Row],[Demand]]</f>
        <v>#N/A</v>
      </c>
      <c r="Y417" t="e">
        <f>Table3[[#This Row],[WFC]]*Table3[[#This Row],[Demand]]</f>
        <v>#N/A</v>
      </c>
      <c r="Z417" t="e">
        <f>Table3[[#This Row],[EAO]]*Table3[[#This Row],[Demand]]</f>
        <v>#N/A</v>
      </c>
      <c r="AA417" t="e">
        <f>Table3[[#This Row],[OCC]]*Table3[[#This Row],[Demand]]</f>
        <v>#N/A</v>
      </c>
      <c r="AB417" t="e">
        <f>Table3[[#This Row],[WEO]]*Table3[[#This Row],[Demand]]</f>
        <v>#N/A</v>
      </c>
      <c r="AC417" s="19" t="e">
        <f>SUM(Table35[[#This Row],[OFC]:[WEO]])</f>
        <v>#N/A</v>
      </c>
      <c r="AD417" s="19" t="e">
        <f>Table35[[#This Row],[Demand]]-Table35[[#This Row],[Total_Modeled_Demand]]</f>
        <v>#N/A</v>
      </c>
    </row>
    <row r="418" spans="2:30" x14ac:dyDescent="0.3">
      <c r="B418" s="3" t="str">
        <f>Table3[[#This Row],[Fiscal_Year]]*100+Table3[[#This Row],[Fiscal_Week]] &amp; "-" &amp;Table3[[#This Row],[Brand]]</f>
        <v>0-</v>
      </c>
      <c r="C418" t="str">
        <f t="shared" si="6"/>
        <v>-</v>
      </c>
      <c r="H418" s="3" t="e">
        <f>INDEX(Demand_Modeling!$A$13:$I$49,MATCH(Table3[[#This Row],[Key]],Demand_Modeling!$A$13:$A$49,0),MATCH(Table3[[#Headers],[OFC]],Demand_Modeling!$A$13:$I$13,0))</f>
        <v>#N/A</v>
      </c>
      <c r="I418" s="3" t="e">
        <f>INDEX(Demand_Modeling!$A$13:$I$49,MATCH(Table3[[#This Row],[Key]],Demand_Modeling!$A$13:$A$49,0),MATCH(Table3[[#Headers],[TFC]],Demand_Modeling!$A$13:$I$13,0))</f>
        <v>#N/A</v>
      </c>
      <c r="J418" s="3" t="e">
        <f>INDEX(Demand_Modeling!$A$13:$I$49,MATCH(Table3[[#This Row],[Key]],Demand_Modeling!$A$13:$A$49,0),MATCH(Table3[[#Headers],[WFC]],Demand_Modeling!$A$13:$I$13,0))</f>
        <v>#N/A</v>
      </c>
      <c r="K418" s="3" t="e">
        <f>INDEX(Demand_Modeling!$A$13:$I$49,MATCH(Table3[[#This Row],[Key]],Demand_Modeling!$A$13:$A$49,0),MATCH(Table3[[#Headers],[EAO]],Demand_Modeling!$A$13:$I$13,0))</f>
        <v>#N/A</v>
      </c>
      <c r="L418" s="3" t="e">
        <f>INDEX(Demand_Modeling!$A$13:$I$49,MATCH(Table3[[#This Row],[Key]],Demand_Modeling!$A$13:$A$49,0),MATCH(Table3[[#Headers],[OCC]],Demand_Modeling!$A$13:$I$13,0))</f>
        <v>#N/A</v>
      </c>
      <c r="M418" s="3" t="e">
        <f>INDEX(Demand_Modeling!$A$13:$I$49,MATCH(Table3[[#This Row],[Key]],Demand_Modeling!$A$13:$A$49,0),MATCH(Table3[[#Headers],[WEO]],Demand_Modeling!$A$13:$I$13,0))</f>
        <v>#N/A</v>
      </c>
      <c r="N418" s="19" t="e">
        <f>SUM(Table3[[#This Row],[OFC]:[WEO]])</f>
        <v>#N/A</v>
      </c>
      <c r="O418" s="19"/>
      <c r="Q418" s="3" t="str">
        <f>Table35[[#This Row],[Fiscal_Year]]*100+Table35[[#This Row],[Fiscal_Week]] &amp; "-" &amp;Table35[[#This Row],[Brand]]</f>
        <v>0-0</v>
      </c>
      <c r="R418" t="str">
        <f>Table3[[#This Row],[Key]]</f>
        <v>-</v>
      </c>
      <c r="S418">
        <f>Table3[[#This Row],[Fiscal_Year]]</f>
        <v>0</v>
      </c>
      <c r="T418">
        <f>Table3[[#This Row],[Fiscal_Week]]</f>
        <v>0</v>
      </c>
      <c r="U418">
        <f>Table3[[#This Row],[Brand]]</f>
        <v>0</v>
      </c>
      <c r="V418">
        <f>Table3[[#This Row],[Demand]]</f>
        <v>0</v>
      </c>
      <c r="W418" t="e">
        <f>Table3[[#This Row],[OFC]]*Table3[[#This Row],[Demand]]</f>
        <v>#N/A</v>
      </c>
      <c r="X418" t="e">
        <f>Table3[[#This Row],[TFC]]*Table3[[#This Row],[Demand]]</f>
        <v>#N/A</v>
      </c>
      <c r="Y418" t="e">
        <f>Table3[[#This Row],[WFC]]*Table3[[#This Row],[Demand]]</f>
        <v>#N/A</v>
      </c>
      <c r="Z418" t="e">
        <f>Table3[[#This Row],[EAO]]*Table3[[#This Row],[Demand]]</f>
        <v>#N/A</v>
      </c>
      <c r="AA418" t="e">
        <f>Table3[[#This Row],[OCC]]*Table3[[#This Row],[Demand]]</f>
        <v>#N/A</v>
      </c>
      <c r="AB418" t="e">
        <f>Table3[[#This Row],[WEO]]*Table3[[#This Row],[Demand]]</f>
        <v>#N/A</v>
      </c>
      <c r="AC418" s="19" t="e">
        <f>SUM(Table35[[#This Row],[OFC]:[WEO]])</f>
        <v>#N/A</v>
      </c>
      <c r="AD418" s="19" t="e">
        <f>Table35[[#This Row],[Demand]]-Table35[[#This Row],[Total_Modeled_Demand]]</f>
        <v>#N/A</v>
      </c>
    </row>
    <row r="419" spans="2:30" x14ac:dyDescent="0.3">
      <c r="B419" s="3" t="str">
        <f>Table3[[#This Row],[Fiscal_Year]]*100+Table3[[#This Row],[Fiscal_Week]] &amp; "-" &amp;Table3[[#This Row],[Brand]]</f>
        <v>0-</v>
      </c>
      <c r="C419" t="str">
        <f t="shared" si="6"/>
        <v>-</v>
      </c>
      <c r="H419" s="3" t="e">
        <f>INDEX(Demand_Modeling!$A$13:$I$49,MATCH(Table3[[#This Row],[Key]],Demand_Modeling!$A$13:$A$49,0),MATCH(Table3[[#Headers],[OFC]],Demand_Modeling!$A$13:$I$13,0))</f>
        <v>#N/A</v>
      </c>
      <c r="I419" s="3" t="e">
        <f>INDEX(Demand_Modeling!$A$13:$I$49,MATCH(Table3[[#This Row],[Key]],Demand_Modeling!$A$13:$A$49,0),MATCH(Table3[[#Headers],[TFC]],Demand_Modeling!$A$13:$I$13,0))</f>
        <v>#N/A</v>
      </c>
      <c r="J419" s="3" t="e">
        <f>INDEX(Demand_Modeling!$A$13:$I$49,MATCH(Table3[[#This Row],[Key]],Demand_Modeling!$A$13:$A$49,0),MATCH(Table3[[#Headers],[WFC]],Demand_Modeling!$A$13:$I$13,0))</f>
        <v>#N/A</v>
      </c>
      <c r="K419" s="3" t="e">
        <f>INDEX(Demand_Modeling!$A$13:$I$49,MATCH(Table3[[#This Row],[Key]],Demand_Modeling!$A$13:$A$49,0),MATCH(Table3[[#Headers],[EAO]],Demand_Modeling!$A$13:$I$13,0))</f>
        <v>#N/A</v>
      </c>
      <c r="L419" s="3" t="e">
        <f>INDEX(Demand_Modeling!$A$13:$I$49,MATCH(Table3[[#This Row],[Key]],Demand_Modeling!$A$13:$A$49,0),MATCH(Table3[[#Headers],[OCC]],Demand_Modeling!$A$13:$I$13,0))</f>
        <v>#N/A</v>
      </c>
      <c r="M419" s="3" t="e">
        <f>INDEX(Demand_Modeling!$A$13:$I$49,MATCH(Table3[[#This Row],[Key]],Demand_Modeling!$A$13:$A$49,0),MATCH(Table3[[#Headers],[WEO]],Demand_Modeling!$A$13:$I$13,0))</f>
        <v>#N/A</v>
      </c>
      <c r="N419" s="19" t="e">
        <f>SUM(Table3[[#This Row],[OFC]:[WEO]])</f>
        <v>#N/A</v>
      </c>
      <c r="O419" s="19"/>
      <c r="Q419" s="3" t="str">
        <f>Table35[[#This Row],[Fiscal_Year]]*100+Table35[[#This Row],[Fiscal_Week]] &amp; "-" &amp;Table35[[#This Row],[Brand]]</f>
        <v>0-0</v>
      </c>
      <c r="R419" t="str">
        <f>Table3[[#This Row],[Key]]</f>
        <v>-</v>
      </c>
      <c r="S419">
        <f>Table3[[#This Row],[Fiscal_Year]]</f>
        <v>0</v>
      </c>
      <c r="T419">
        <f>Table3[[#This Row],[Fiscal_Week]]</f>
        <v>0</v>
      </c>
      <c r="U419">
        <f>Table3[[#This Row],[Brand]]</f>
        <v>0</v>
      </c>
      <c r="V419">
        <f>Table3[[#This Row],[Demand]]</f>
        <v>0</v>
      </c>
      <c r="W419" t="e">
        <f>Table3[[#This Row],[OFC]]*Table3[[#This Row],[Demand]]</f>
        <v>#N/A</v>
      </c>
      <c r="X419" t="e">
        <f>Table3[[#This Row],[TFC]]*Table3[[#This Row],[Demand]]</f>
        <v>#N/A</v>
      </c>
      <c r="Y419" t="e">
        <f>Table3[[#This Row],[WFC]]*Table3[[#This Row],[Demand]]</f>
        <v>#N/A</v>
      </c>
      <c r="Z419" t="e">
        <f>Table3[[#This Row],[EAO]]*Table3[[#This Row],[Demand]]</f>
        <v>#N/A</v>
      </c>
      <c r="AA419" t="e">
        <f>Table3[[#This Row],[OCC]]*Table3[[#This Row],[Demand]]</f>
        <v>#N/A</v>
      </c>
      <c r="AB419" t="e">
        <f>Table3[[#This Row],[WEO]]*Table3[[#This Row],[Demand]]</f>
        <v>#N/A</v>
      </c>
      <c r="AC419" s="19" t="e">
        <f>SUM(Table35[[#This Row],[OFC]:[WEO]])</f>
        <v>#N/A</v>
      </c>
      <c r="AD419" s="19" t="e">
        <f>Table35[[#This Row],[Demand]]-Table35[[#This Row],[Total_Modeled_Demand]]</f>
        <v>#N/A</v>
      </c>
    </row>
    <row r="420" spans="2:30" x14ac:dyDescent="0.3">
      <c r="B420" s="3" t="str">
        <f>Table3[[#This Row],[Fiscal_Year]]*100+Table3[[#This Row],[Fiscal_Week]] &amp; "-" &amp;Table3[[#This Row],[Brand]]</f>
        <v>0-</v>
      </c>
      <c r="C420" t="str">
        <f t="shared" si="6"/>
        <v>-</v>
      </c>
      <c r="H420" s="3" t="e">
        <f>INDEX(Demand_Modeling!$A$13:$I$49,MATCH(Table3[[#This Row],[Key]],Demand_Modeling!$A$13:$A$49,0),MATCH(Table3[[#Headers],[OFC]],Demand_Modeling!$A$13:$I$13,0))</f>
        <v>#N/A</v>
      </c>
      <c r="I420" s="3" t="e">
        <f>INDEX(Demand_Modeling!$A$13:$I$49,MATCH(Table3[[#This Row],[Key]],Demand_Modeling!$A$13:$A$49,0),MATCH(Table3[[#Headers],[TFC]],Demand_Modeling!$A$13:$I$13,0))</f>
        <v>#N/A</v>
      </c>
      <c r="J420" s="3" t="e">
        <f>INDEX(Demand_Modeling!$A$13:$I$49,MATCH(Table3[[#This Row],[Key]],Demand_Modeling!$A$13:$A$49,0),MATCH(Table3[[#Headers],[WFC]],Demand_Modeling!$A$13:$I$13,0))</f>
        <v>#N/A</v>
      </c>
      <c r="K420" s="3" t="e">
        <f>INDEX(Demand_Modeling!$A$13:$I$49,MATCH(Table3[[#This Row],[Key]],Demand_Modeling!$A$13:$A$49,0),MATCH(Table3[[#Headers],[EAO]],Demand_Modeling!$A$13:$I$13,0))</f>
        <v>#N/A</v>
      </c>
      <c r="L420" s="3" t="e">
        <f>INDEX(Demand_Modeling!$A$13:$I$49,MATCH(Table3[[#This Row],[Key]],Demand_Modeling!$A$13:$A$49,0),MATCH(Table3[[#Headers],[OCC]],Demand_Modeling!$A$13:$I$13,0))</f>
        <v>#N/A</v>
      </c>
      <c r="M420" s="3" t="e">
        <f>INDEX(Demand_Modeling!$A$13:$I$49,MATCH(Table3[[#This Row],[Key]],Demand_Modeling!$A$13:$A$49,0),MATCH(Table3[[#Headers],[WEO]],Demand_Modeling!$A$13:$I$13,0))</f>
        <v>#N/A</v>
      </c>
      <c r="N420" s="19" t="e">
        <f>SUM(Table3[[#This Row],[OFC]:[WEO]])</f>
        <v>#N/A</v>
      </c>
      <c r="O420" s="19"/>
      <c r="Q420" s="3" t="str">
        <f>Table35[[#This Row],[Fiscal_Year]]*100+Table35[[#This Row],[Fiscal_Week]] &amp; "-" &amp;Table35[[#This Row],[Brand]]</f>
        <v>0-0</v>
      </c>
      <c r="R420" t="str">
        <f>Table3[[#This Row],[Key]]</f>
        <v>-</v>
      </c>
      <c r="S420">
        <f>Table3[[#This Row],[Fiscal_Year]]</f>
        <v>0</v>
      </c>
      <c r="T420">
        <f>Table3[[#This Row],[Fiscal_Week]]</f>
        <v>0</v>
      </c>
      <c r="U420">
        <f>Table3[[#This Row],[Brand]]</f>
        <v>0</v>
      </c>
      <c r="V420">
        <f>Table3[[#This Row],[Demand]]</f>
        <v>0</v>
      </c>
      <c r="W420" t="e">
        <f>Table3[[#This Row],[OFC]]*Table3[[#This Row],[Demand]]</f>
        <v>#N/A</v>
      </c>
      <c r="X420" t="e">
        <f>Table3[[#This Row],[TFC]]*Table3[[#This Row],[Demand]]</f>
        <v>#N/A</v>
      </c>
      <c r="Y420" t="e">
        <f>Table3[[#This Row],[WFC]]*Table3[[#This Row],[Demand]]</f>
        <v>#N/A</v>
      </c>
      <c r="Z420" t="e">
        <f>Table3[[#This Row],[EAO]]*Table3[[#This Row],[Demand]]</f>
        <v>#N/A</v>
      </c>
      <c r="AA420" t="e">
        <f>Table3[[#This Row],[OCC]]*Table3[[#This Row],[Demand]]</f>
        <v>#N/A</v>
      </c>
      <c r="AB420" t="e">
        <f>Table3[[#This Row],[WEO]]*Table3[[#This Row],[Demand]]</f>
        <v>#N/A</v>
      </c>
      <c r="AC420" s="19" t="e">
        <f>SUM(Table35[[#This Row],[OFC]:[WEO]])</f>
        <v>#N/A</v>
      </c>
      <c r="AD420" s="19" t="e">
        <f>Table35[[#This Row],[Demand]]-Table35[[#This Row],[Total_Modeled_Demand]]</f>
        <v>#N/A</v>
      </c>
    </row>
    <row r="421" spans="2:30" x14ac:dyDescent="0.3">
      <c r="B421" s="3" t="str">
        <f>Table3[[#This Row],[Fiscal_Year]]*100+Table3[[#This Row],[Fiscal_Week]] &amp; "-" &amp;Table3[[#This Row],[Brand]]</f>
        <v>0-</v>
      </c>
      <c r="C421" t="str">
        <f t="shared" si="6"/>
        <v>-</v>
      </c>
      <c r="H421" s="3" t="e">
        <f>INDEX(Demand_Modeling!$A$13:$I$49,MATCH(Table3[[#This Row],[Key]],Demand_Modeling!$A$13:$A$49,0),MATCH(Table3[[#Headers],[OFC]],Demand_Modeling!$A$13:$I$13,0))</f>
        <v>#N/A</v>
      </c>
      <c r="I421" s="3" t="e">
        <f>INDEX(Demand_Modeling!$A$13:$I$49,MATCH(Table3[[#This Row],[Key]],Demand_Modeling!$A$13:$A$49,0),MATCH(Table3[[#Headers],[TFC]],Demand_Modeling!$A$13:$I$13,0))</f>
        <v>#N/A</v>
      </c>
      <c r="J421" s="3" t="e">
        <f>INDEX(Demand_Modeling!$A$13:$I$49,MATCH(Table3[[#This Row],[Key]],Demand_Modeling!$A$13:$A$49,0),MATCH(Table3[[#Headers],[WFC]],Demand_Modeling!$A$13:$I$13,0))</f>
        <v>#N/A</v>
      </c>
      <c r="K421" s="3" t="e">
        <f>INDEX(Demand_Modeling!$A$13:$I$49,MATCH(Table3[[#This Row],[Key]],Demand_Modeling!$A$13:$A$49,0),MATCH(Table3[[#Headers],[EAO]],Demand_Modeling!$A$13:$I$13,0))</f>
        <v>#N/A</v>
      </c>
      <c r="L421" s="3" t="e">
        <f>INDEX(Demand_Modeling!$A$13:$I$49,MATCH(Table3[[#This Row],[Key]],Demand_Modeling!$A$13:$A$49,0),MATCH(Table3[[#Headers],[OCC]],Demand_Modeling!$A$13:$I$13,0))</f>
        <v>#N/A</v>
      </c>
      <c r="M421" s="3" t="e">
        <f>INDEX(Demand_Modeling!$A$13:$I$49,MATCH(Table3[[#This Row],[Key]],Demand_Modeling!$A$13:$A$49,0),MATCH(Table3[[#Headers],[WEO]],Demand_Modeling!$A$13:$I$13,0))</f>
        <v>#N/A</v>
      </c>
      <c r="N421" s="19" t="e">
        <f>SUM(Table3[[#This Row],[OFC]:[WEO]])</f>
        <v>#N/A</v>
      </c>
      <c r="O421" s="19"/>
      <c r="Q421" s="3" t="str">
        <f>Table35[[#This Row],[Fiscal_Year]]*100+Table35[[#This Row],[Fiscal_Week]] &amp; "-" &amp;Table35[[#This Row],[Brand]]</f>
        <v>0-0</v>
      </c>
      <c r="R421" t="str">
        <f>Table3[[#This Row],[Key]]</f>
        <v>-</v>
      </c>
      <c r="S421">
        <f>Table3[[#This Row],[Fiscal_Year]]</f>
        <v>0</v>
      </c>
      <c r="T421">
        <f>Table3[[#This Row],[Fiscal_Week]]</f>
        <v>0</v>
      </c>
      <c r="U421">
        <f>Table3[[#This Row],[Brand]]</f>
        <v>0</v>
      </c>
      <c r="V421">
        <f>Table3[[#This Row],[Demand]]</f>
        <v>0</v>
      </c>
      <c r="W421" t="e">
        <f>Table3[[#This Row],[OFC]]*Table3[[#This Row],[Demand]]</f>
        <v>#N/A</v>
      </c>
      <c r="X421" t="e">
        <f>Table3[[#This Row],[TFC]]*Table3[[#This Row],[Demand]]</f>
        <v>#N/A</v>
      </c>
      <c r="Y421" t="e">
        <f>Table3[[#This Row],[WFC]]*Table3[[#This Row],[Demand]]</f>
        <v>#N/A</v>
      </c>
      <c r="Z421" t="e">
        <f>Table3[[#This Row],[EAO]]*Table3[[#This Row],[Demand]]</f>
        <v>#N/A</v>
      </c>
      <c r="AA421" t="e">
        <f>Table3[[#This Row],[OCC]]*Table3[[#This Row],[Demand]]</f>
        <v>#N/A</v>
      </c>
      <c r="AB421" t="e">
        <f>Table3[[#This Row],[WEO]]*Table3[[#This Row],[Demand]]</f>
        <v>#N/A</v>
      </c>
      <c r="AC421" s="19" t="e">
        <f>SUM(Table35[[#This Row],[OFC]:[WEO]])</f>
        <v>#N/A</v>
      </c>
      <c r="AD421" s="19" t="e">
        <f>Table35[[#This Row],[Demand]]-Table35[[#This Row],[Total_Modeled_Demand]]</f>
        <v>#N/A</v>
      </c>
    </row>
    <row r="422" spans="2:30" x14ac:dyDescent="0.3">
      <c r="B422" s="3" t="str">
        <f>Table3[[#This Row],[Fiscal_Year]]*100+Table3[[#This Row],[Fiscal_Week]] &amp; "-" &amp;Table3[[#This Row],[Brand]]</f>
        <v>0-</v>
      </c>
      <c r="C422" t="str">
        <f t="shared" si="6"/>
        <v>-</v>
      </c>
      <c r="H422" s="3" t="e">
        <f>INDEX(Demand_Modeling!$A$13:$I$49,MATCH(Table3[[#This Row],[Key]],Demand_Modeling!$A$13:$A$49,0),MATCH(Table3[[#Headers],[OFC]],Demand_Modeling!$A$13:$I$13,0))</f>
        <v>#N/A</v>
      </c>
      <c r="I422" s="3" t="e">
        <f>INDEX(Demand_Modeling!$A$13:$I$49,MATCH(Table3[[#This Row],[Key]],Demand_Modeling!$A$13:$A$49,0),MATCH(Table3[[#Headers],[TFC]],Demand_Modeling!$A$13:$I$13,0))</f>
        <v>#N/A</v>
      </c>
      <c r="J422" s="3" t="e">
        <f>INDEX(Demand_Modeling!$A$13:$I$49,MATCH(Table3[[#This Row],[Key]],Demand_Modeling!$A$13:$A$49,0),MATCH(Table3[[#Headers],[WFC]],Demand_Modeling!$A$13:$I$13,0))</f>
        <v>#N/A</v>
      </c>
      <c r="K422" s="3" t="e">
        <f>INDEX(Demand_Modeling!$A$13:$I$49,MATCH(Table3[[#This Row],[Key]],Demand_Modeling!$A$13:$A$49,0),MATCH(Table3[[#Headers],[EAO]],Demand_Modeling!$A$13:$I$13,0))</f>
        <v>#N/A</v>
      </c>
      <c r="L422" s="3" t="e">
        <f>INDEX(Demand_Modeling!$A$13:$I$49,MATCH(Table3[[#This Row],[Key]],Demand_Modeling!$A$13:$A$49,0),MATCH(Table3[[#Headers],[OCC]],Demand_Modeling!$A$13:$I$13,0))</f>
        <v>#N/A</v>
      </c>
      <c r="M422" s="3" t="e">
        <f>INDEX(Demand_Modeling!$A$13:$I$49,MATCH(Table3[[#This Row],[Key]],Demand_Modeling!$A$13:$A$49,0),MATCH(Table3[[#Headers],[WEO]],Demand_Modeling!$A$13:$I$13,0))</f>
        <v>#N/A</v>
      </c>
      <c r="N422" s="19" t="e">
        <f>SUM(Table3[[#This Row],[OFC]:[WEO]])</f>
        <v>#N/A</v>
      </c>
      <c r="O422" s="19"/>
      <c r="Q422" s="3" t="str">
        <f>Table35[[#This Row],[Fiscal_Year]]*100+Table35[[#This Row],[Fiscal_Week]] &amp; "-" &amp;Table35[[#This Row],[Brand]]</f>
        <v>0-0</v>
      </c>
      <c r="R422" t="str">
        <f>Table3[[#This Row],[Key]]</f>
        <v>-</v>
      </c>
      <c r="S422">
        <f>Table3[[#This Row],[Fiscal_Year]]</f>
        <v>0</v>
      </c>
      <c r="T422">
        <f>Table3[[#This Row],[Fiscal_Week]]</f>
        <v>0</v>
      </c>
      <c r="U422">
        <f>Table3[[#This Row],[Brand]]</f>
        <v>0</v>
      </c>
      <c r="V422">
        <f>Table3[[#This Row],[Demand]]</f>
        <v>0</v>
      </c>
      <c r="W422" t="e">
        <f>Table3[[#This Row],[OFC]]*Table3[[#This Row],[Demand]]</f>
        <v>#N/A</v>
      </c>
      <c r="X422" t="e">
        <f>Table3[[#This Row],[TFC]]*Table3[[#This Row],[Demand]]</f>
        <v>#N/A</v>
      </c>
      <c r="Y422" t="e">
        <f>Table3[[#This Row],[WFC]]*Table3[[#This Row],[Demand]]</f>
        <v>#N/A</v>
      </c>
      <c r="Z422" t="e">
        <f>Table3[[#This Row],[EAO]]*Table3[[#This Row],[Demand]]</f>
        <v>#N/A</v>
      </c>
      <c r="AA422" t="e">
        <f>Table3[[#This Row],[OCC]]*Table3[[#This Row],[Demand]]</f>
        <v>#N/A</v>
      </c>
      <c r="AB422" t="e">
        <f>Table3[[#This Row],[WEO]]*Table3[[#This Row],[Demand]]</f>
        <v>#N/A</v>
      </c>
      <c r="AC422" s="19" t="e">
        <f>SUM(Table35[[#This Row],[OFC]:[WEO]])</f>
        <v>#N/A</v>
      </c>
      <c r="AD422" s="19" t="e">
        <f>Table35[[#This Row],[Demand]]-Table35[[#This Row],[Total_Modeled_Demand]]</f>
        <v>#N/A</v>
      </c>
    </row>
    <row r="423" spans="2:30" x14ac:dyDescent="0.3">
      <c r="B423" s="3" t="str">
        <f>Table3[[#This Row],[Fiscal_Year]]*100+Table3[[#This Row],[Fiscal_Week]] &amp; "-" &amp;Table3[[#This Row],[Brand]]</f>
        <v>0-</v>
      </c>
      <c r="C423" t="str">
        <f t="shared" si="6"/>
        <v>-</v>
      </c>
      <c r="H423" s="3" t="e">
        <f>INDEX(Demand_Modeling!$A$13:$I$49,MATCH(Table3[[#This Row],[Key]],Demand_Modeling!$A$13:$A$49,0),MATCH(Table3[[#Headers],[OFC]],Demand_Modeling!$A$13:$I$13,0))</f>
        <v>#N/A</v>
      </c>
      <c r="I423" s="3" t="e">
        <f>INDEX(Demand_Modeling!$A$13:$I$49,MATCH(Table3[[#This Row],[Key]],Demand_Modeling!$A$13:$A$49,0),MATCH(Table3[[#Headers],[TFC]],Demand_Modeling!$A$13:$I$13,0))</f>
        <v>#N/A</v>
      </c>
      <c r="J423" s="3" t="e">
        <f>INDEX(Demand_Modeling!$A$13:$I$49,MATCH(Table3[[#This Row],[Key]],Demand_Modeling!$A$13:$A$49,0),MATCH(Table3[[#Headers],[WFC]],Demand_Modeling!$A$13:$I$13,0))</f>
        <v>#N/A</v>
      </c>
      <c r="K423" s="3" t="e">
        <f>INDEX(Demand_Modeling!$A$13:$I$49,MATCH(Table3[[#This Row],[Key]],Demand_Modeling!$A$13:$A$49,0),MATCH(Table3[[#Headers],[EAO]],Demand_Modeling!$A$13:$I$13,0))</f>
        <v>#N/A</v>
      </c>
      <c r="L423" s="3" t="e">
        <f>INDEX(Demand_Modeling!$A$13:$I$49,MATCH(Table3[[#This Row],[Key]],Demand_Modeling!$A$13:$A$49,0),MATCH(Table3[[#Headers],[OCC]],Demand_Modeling!$A$13:$I$13,0))</f>
        <v>#N/A</v>
      </c>
      <c r="M423" s="3" t="e">
        <f>INDEX(Demand_Modeling!$A$13:$I$49,MATCH(Table3[[#This Row],[Key]],Demand_Modeling!$A$13:$A$49,0),MATCH(Table3[[#Headers],[WEO]],Demand_Modeling!$A$13:$I$13,0))</f>
        <v>#N/A</v>
      </c>
      <c r="N423" s="19" t="e">
        <f>SUM(Table3[[#This Row],[OFC]:[WEO]])</f>
        <v>#N/A</v>
      </c>
      <c r="O423" s="19"/>
      <c r="Q423" s="3" t="str">
        <f>Table35[[#This Row],[Fiscal_Year]]*100+Table35[[#This Row],[Fiscal_Week]] &amp; "-" &amp;Table35[[#This Row],[Brand]]</f>
        <v>0-0</v>
      </c>
      <c r="R423" t="str">
        <f>Table3[[#This Row],[Key]]</f>
        <v>-</v>
      </c>
      <c r="S423">
        <f>Table3[[#This Row],[Fiscal_Year]]</f>
        <v>0</v>
      </c>
      <c r="T423">
        <f>Table3[[#This Row],[Fiscal_Week]]</f>
        <v>0</v>
      </c>
      <c r="U423">
        <f>Table3[[#This Row],[Brand]]</f>
        <v>0</v>
      </c>
      <c r="V423">
        <f>Table3[[#This Row],[Demand]]</f>
        <v>0</v>
      </c>
      <c r="W423" t="e">
        <f>Table3[[#This Row],[OFC]]*Table3[[#This Row],[Demand]]</f>
        <v>#N/A</v>
      </c>
      <c r="X423" t="e">
        <f>Table3[[#This Row],[TFC]]*Table3[[#This Row],[Demand]]</f>
        <v>#N/A</v>
      </c>
      <c r="Y423" t="e">
        <f>Table3[[#This Row],[WFC]]*Table3[[#This Row],[Demand]]</f>
        <v>#N/A</v>
      </c>
      <c r="Z423" t="e">
        <f>Table3[[#This Row],[EAO]]*Table3[[#This Row],[Demand]]</f>
        <v>#N/A</v>
      </c>
      <c r="AA423" t="e">
        <f>Table3[[#This Row],[OCC]]*Table3[[#This Row],[Demand]]</f>
        <v>#N/A</v>
      </c>
      <c r="AB423" t="e">
        <f>Table3[[#This Row],[WEO]]*Table3[[#This Row],[Demand]]</f>
        <v>#N/A</v>
      </c>
      <c r="AC423" s="19" t="e">
        <f>SUM(Table35[[#This Row],[OFC]:[WEO]])</f>
        <v>#N/A</v>
      </c>
      <c r="AD423" s="19" t="e">
        <f>Table35[[#This Row],[Demand]]-Table35[[#This Row],[Total_Modeled_Demand]]</f>
        <v>#N/A</v>
      </c>
    </row>
    <row r="424" spans="2:30" x14ac:dyDescent="0.3">
      <c r="B424" s="3" t="str">
        <f>Table3[[#This Row],[Fiscal_Year]]*100+Table3[[#This Row],[Fiscal_Week]] &amp; "-" &amp;Table3[[#This Row],[Brand]]</f>
        <v>0-</v>
      </c>
      <c r="C424" t="str">
        <f t="shared" si="6"/>
        <v>-</v>
      </c>
      <c r="H424" s="3" t="e">
        <f>INDEX(Demand_Modeling!$A$13:$I$49,MATCH(Table3[[#This Row],[Key]],Demand_Modeling!$A$13:$A$49,0),MATCH(Table3[[#Headers],[OFC]],Demand_Modeling!$A$13:$I$13,0))</f>
        <v>#N/A</v>
      </c>
      <c r="I424" s="3" t="e">
        <f>INDEX(Demand_Modeling!$A$13:$I$49,MATCH(Table3[[#This Row],[Key]],Demand_Modeling!$A$13:$A$49,0),MATCH(Table3[[#Headers],[TFC]],Demand_Modeling!$A$13:$I$13,0))</f>
        <v>#N/A</v>
      </c>
      <c r="J424" s="3" t="e">
        <f>INDEX(Demand_Modeling!$A$13:$I$49,MATCH(Table3[[#This Row],[Key]],Demand_Modeling!$A$13:$A$49,0),MATCH(Table3[[#Headers],[WFC]],Demand_Modeling!$A$13:$I$13,0))</f>
        <v>#N/A</v>
      </c>
      <c r="K424" s="3" t="e">
        <f>INDEX(Demand_Modeling!$A$13:$I$49,MATCH(Table3[[#This Row],[Key]],Demand_Modeling!$A$13:$A$49,0),MATCH(Table3[[#Headers],[EAO]],Demand_Modeling!$A$13:$I$13,0))</f>
        <v>#N/A</v>
      </c>
      <c r="L424" s="3" t="e">
        <f>INDEX(Demand_Modeling!$A$13:$I$49,MATCH(Table3[[#This Row],[Key]],Demand_Modeling!$A$13:$A$49,0),MATCH(Table3[[#Headers],[OCC]],Demand_Modeling!$A$13:$I$13,0))</f>
        <v>#N/A</v>
      </c>
      <c r="M424" s="3" t="e">
        <f>INDEX(Demand_Modeling!$A$13:$I$49,MATCH(Table3[[#This Row],[Key]],Demand_Modeling!$A$13:$A$49,0),MATCH(Table3[[#Headers],[WEO]],Demand_Modeling!$A$13:$I$13,0))</f>
        <v>#N/A</v>
      </c>
      <c r="N424" s="19" t="e">
        <f>SUM(Table3[[#This Row],[OFC]:[WEO]])</f>
        <v>#N/A</v>
      </c>
      <c r="O424" s="19"/>
      <c r="Q424" s="3" t="str">
        <f>Table35[[#This Row],[Fiscal_Year]]*100+Table35[[#This Row],[Fiscal_Week]] &amp; "-" &amp;Table35[[#This Row],[Brand]]</f>
        <v>0-0</v>
      </c>
      <c r="R424" t="str">
        <f>Table3[[#This Row],[Key]]</f>
        <v>-</v>
      </c>
      <c r="S424">
        <f>Table3[[#This Row],[Fiscal_Year]]</f>
        <v>0</v>
      </c>
      <c r="T424">
        <f>Table3[[#This Row],[Fiscal_Week]]</f>
        <v>0</v>
      </c>
      <c r="U424">
        <f>Table3[[#This Row],[Brand]]</f>
        <v>0</v>
      </c>
      <c r="V424">
        <f>Table3[[#This Row],[Demand]]</f>
        <v>0</v>
      </c>
      <c r="W424" t="e">
        <f>Table3[[#This Row],[OFC]]*Table3[[#This Row],[Demand]]</f>
        <v>#N/A</v>
      </c>
      <c r="X424" t="e">
        <f>Table3[[#This Row],[TFC]]*Table3[[#This Row],[Demand]]</f>
        <v>#N/A</v>
      </c>
      <c r="Y424" t="e">
        <f>Table3[[#This Row],[WFC]]*Table3[[#This Row],[Demand]]</f>
        <v>#N/A</v>
      </c>
      <c r="Z424" t="e">
        <f>Table3[[#This Row],[EAO]]*Table3[[#This Row],[Demand]]</f>
        <v>#N/A</v>
      </c>
      <c r="AA424" t="e">
        <f>Table3[[#This Row],[OCC]]*Table3[[#This Row],[Demand]]</f>
        <v>#N/A</v>
      </c>
      <c r="AB424" t="e">
        <f>Table3[[#This Row],[WEO]]*Table3[[#This Row],[Demand]]</f>
        <v>#N/A</v>
      </c>
      <c r="AC424" s="19" t="e">
        <f>SUM(Table35[[#This Row],[OFC]:[WEO]])</f>
        <v>#N/A</v>
      </c>
      <c r="AD424" s="19" t="e">
        <f>Table35[[#This Row],[Demand]]-Table35[[#This Row],[Total_Modeled_Demand]]</f>
        <v>#N/A</v>
      </c>
    </row>
    <row r="425" spans="2:30" x14ac:dyDescent="0.3">
      <c r="B425" s="3" t="str">
        <f>Table3[[#This Row],[Fiscal_Year]]*100+Table3[[#This Row],[Fiscal_Week]] &amp; "-" &amp;Table3[[#This Row],[Brand]]</f>
        <v>0-</v>
      </c>
      <c r="C425" t="str">
        <f t="shared" si="6"/>
        <v>-</v>
      </c>
      <c r="H425" s="3" t="e">
        <f>INDEX(Demand_Modeling!$A$13:$I$49,MATCH(Table3[[#This Row],[Key]],Demand_Modeling!$A$13:$A$49,0),MATCH(Table3[[#Headers],[OFC]],Demand_Modeling!$A$13:$I$13,0))</f>
        <v>#N/A</v>
      </c>
      <c r="I425" s="3" t="e">
        <f>INDEX(Demand_Modeling!$A$13:$I$49,MATCH(Table3[[#This Row],[Key]],Demand_Modeling!$A$13:$A$49,0),MATCH(Table3[[#Headers],[TFC]],Demand_Modeling!$A$13:$I$13,0))</f>
        <v>#N/A</v>
      </c>
      <c r="J425" s="3" t="e">
        <f>INDEX(Demand_Modeling!$A$13:$I$49,MATCH(Table3[[#This Row],[Key]],Demand_Modeling!$A$13:$A$49,0),MATCH(Table3[[#Headers],[WFC]],Demand_Modeling!$A$13:$I$13,0))</f>
        <v>#N/A</v>
      </c>
      <c r="K425" s="3" t="e">
        <f>INDEX(Demand_Modeling!$A$13:$I$49,MATCH(Table3[[#This Row],[Key]],Demand_Modeling!$A$13:$A$49,0),MATCH(Table3[[#Headers],[EAO]],Demand_Modeling!$A$13:$I$13,0))</f>
        <v>#N/A</v>
      </c>
      <c r="L425" s="3" t="e">
        <f>INDEX(Demand_Modeling!$A$13:$I$49,MATCH(Table3[[#This Row],[Key]],Demand_Modeling!$A$13:$A$49,0),MATCH(Table3[[#Headers],[OCC]],Demand_Modeling!$A$13:$I$13,0))</f>
        <v>#N/A</v>
      </c>
      <c r="M425" s="3" t="e">
        <f>INDEX(Demand_Modeling!$A$13:$I$49,MATCH(Table3[[#This Row],[Key]],Demand_Modeling!$A$13:$A$49,0),MATCH(Table3[[#Headers],[WEO]],Demand_Modeling!$A$13:$I$13,0))</f>
        <v>#N/A</v>
      </c>
      <c r="N425" s="19" t="e">
        <f>SUM(Table3[[#This Row],[OFC]:[WEO]])</f>
        <v>#N/A</v>
      </c>
      <c r="O425" s="19"/>
      <c r="Q425" s="3" t="str">
        <f>Table35[[#This Row],[Fiscal_Year]]*100+Table35[[#This Row],[Fiscal_Week]] &amp; "-" &amp;Table35[[#This Row],[Brand]]</f>
        <v>0-0</v>
      </c>
      <c r="R425" t="str">
        <f>Table3[[#This Row],[Key]]</f>
        <v>-</v>
      </c>
      <c r="S425">
        <f>Table3[[#This Row],[Fiscal_Year]]</f>
        <v>0</v>
      </c>
      <c r="T425">
        <f>Table3[[#This Row],[Fiscal_Week]]</f>
        <v>0</v>
      </c>
      <c r="U425">
        <f>Table3[[#This Row],[Brand]]</f>
        <v>0</v>
      </c>
      <c r="V425">
        <f>Table3[[#This Row],[Demand]]</f>
        <v>0</v>
      </c>
      <c r="W425" t="e">
        <f>Table3[[#This Row],[OFC]]*Table3[[#This Row],[Demand]]</f>
        <v>#N/A</v>
      </c>
      <c r="X425" t="e">
        <f>Table3[[#This Row],[TFC]]*Table3[[#This Row],[Demand]]</f>
        <v>#N/A</v>
      </c>
      <c r="Y425" t="e">
        <f>Table3[[#This Row],[WFC]]*Table3[[#This Row],[Demand]]</f>
        <v>#N/A</v>
      </c>
      <c r="Z425" t="e">
        <f>Table3[[#This Row],[EAO]]*Table3[[#This Row],[Demand]]</f>
        <v>#N/A</v>
      </c>
      <c r="AA425" t="e">
        <f>Table3[[#This Row],[OCC]]*Table3[[#This Row],[Demand]]</f>
        <v>#N/A</v>
      </c>
      <c r="AB425" t="e">
        <f>Table3[[#This Row],[WEO]]*Table3[[#This Row],[Demand]]</f>
        <v>#N/A</v>
      </c>
      <c r="AC425" s="19" t="e">
        <f>SUM(Table35[[#This Row],[OFC]:[WEO]])</f>
        <v>#N/A</v>
      </c>
      <c r="AD425" s="19" t="e">
        <f>Table35[[#This Row],[Demand]]-Table35[[#This Row],[Total_Modeled_Demand]]</f>
        <v>#N/A</v>
      </c>
    </row>
    <row r="426" spans="2:30" x14ac:dyDescent="0.3">
      <c r="B426" s="3" t="str">
        <f>Table3[[#This Row],[Fiscal_Year]]*100+Table3[[#This Row],[Fiscal_Week]] &amp; "-" &amp;Table3[[#This Row],[Brand]]</f>
        <v>0-</v>
      </c>
      <c r="C426" t="str">
        <f t="shared" si="6"/>
        <v>-</v>
      </c>
      <c r="H426" s="3" t="e">
        <f>INDEX(Demand_Modeling!$A$13:$I$49,MATCH(Table3[[#This Row],[Key]],Demand_Modeling!$A$13:$A$49,0),MATCH(Table3[[#Headers],[OFC]],Demand_Modeling!$A$13:$I$13,0))</f>
        <v>#N/A</v>
      </c>
      <c r="I426" s="3" t="e">
        <f>INDEX(Demand_Modeling!$A$13:$I$49,MATCH(Table3[[#This Row],[Key]],Demand_Modeling!$A$13:$A$49,0),MATCH(Table3[[#Headers],[TFC]],Demand_Modeling!$A$13:$I$13,0))</f>
        <v>#N/A</v>
      </c>
      <c r="J426" s="3" t="e">
        <f>INDEX(Demand_Modeling!$A$13:$I$49,MATCH(Table3[[#This Row],[Key]],Demand_Modeling!$A$13:$A$49,0),MATCH(Table3[[#Headers],[WFC]],Demand_Modeling!$A$13:$I$13,0))</f>
        <v>#N/A</v>
      </c>
      <c r="K426" s="3" t="e">
        <f>INDEX(Demand_Modeling!$A$13:$I$49,MATCH(Table3[[#This Row],[Key]],Demand_Modeling!$A$13:$A$49,0),MATCH(Table3[[#Headers],[EAO]],Demand_Modeling!$A$13:$I$13,0))</f>
        <v>#N/A</v>
      </c>
      <c r="L426" s="3" t="e">
        <f>INDEX(Demand_Modeling!$A$13:$I$49,MATCH(Table3[[#This Row],[Key]],Demand_Modeling!$A$13:$A$49,0),MATCH(Table3[[#Headers],[OCC]],Demand_Modeling!$A$13:$I$13,0))</f>
        <v>#N/A</v>
      </c>
      <c r="M426" s="3" t="e">
        <f>INDEX(Demand_Modeling!$A$13:$I$49,MATCH(Table3[[#This Row],[Key]],Demand_Modeling!$A$13:$A$49,0),MATCH(Table3[[#Headers],[WEO]],Demand_Modeling!$A$13:$I$13,0))</f>
        <v>#N/A</v>
      </c>
      <c r="N426" s="19" t="e">
        <f>SUM(Table3[[#This Row],[OFC]:[WEO]])</f>
        <v>#N/A</v>
      </c>
      <c r="O426" s="19"/>
      <c r="Q426" s="3" t="str">
        <f>Table35[[#This Row],[Fiscal_Year]]*100+Table35[[#This Row],[Fiscal_Week]] &amp; "-" &amp;Table35[[#This Row],[Brand]]</f>
        <v>0-0</v>
      </c>
      <c r="R426" t="str">
        <f>Table3[[#This Row],[Key]]</f>
        <v>-</v>
      </c>
      <c r="S426">
        <f>Table3[[#This Row],[Fiscal_Year]]</f>
        <v>0</v>
      </c>
      <c r="T426">
        <f>Table3[[#This Row],[Fiscal_Week]]</f>
        <v>0</v>
      </c>
      <c r="U426">
        <f>Table3[[#This Row],[Brand]]</f>
        <v>0</v>
      </c>
      <c r="V426">
        <f>Table3[[#This Row],[Demand]]</f>
        <v>0</v>
      </c>
      <c r="W426" t="e">
        <f>Table3[[#This Row],[OFC]]*Table3[[#This Row],[Demand]]</f>
        <v>#N/A</v>
      </c>
      <c r="X426" t="e">
        <f>Table3[[#This Row],[TFC]]*Table3[[#This Row],[Demand]]</f>
        <v>#N/A</v>
      </c>
      <c r="Y426" t="e">
        <f>Table3[[#This Row],[WFC]]*Table3[[#This Row],[Demand]]</f>
        <v>#N/A</v>
      </c>
      <c r="Z426" t="e">
        <f>Table3[[#This Row],[EAO]]*Table3[[#This Row],[Demand]]</f>
        <v>#N/A</v>
      </c>
      <c r="AA426" t="e">
        <f>Table3[[#This Row],[OCC]]*Table3[[#This Row],[Demand]]</f>
        <v>#N/A</v>
      </c>
      <c r="AB426" t="e">
        <f>Table3[[#This Row],[WEO]]*Table3[[#This Row],[Demand]]</f>
        <v>#N/A</v>
      </c>
      <c r="AC426" s="19" t="e">
        <f>SUM(Table35[[#This Row],[OFC]:[WEO]])</f>
        <v>#N/A</v>
      </c>
      <c r="AD426" s="19" t="e">
        <f>Table35[[#This Row],[Demand]]-Table35[[#This Row],[Total_Modeled_Demand]]</f>
        <v>#N/A</v>
      </c>
    </row>
    <row r="427" spans="2:30" x14ac:dyDescent="0.3">
      <c r="B427" s="3" t="str">
        <f>Table3[[#This Row],[Fiscal_Year]]*100+Table3[[#This Row],[Fiscal_Week]] &amp; "-" &amp;Table3[[#This Row],[Brand]]</f>
        <v>0-</v>
      </c>
      <c r="C427" t="str">
        <f t="shared" si="6"/>
        <v>-</v>
      </c>
      <c r="H427" s="3" t="e">
        <f>INDEX(Demand_Modeling!$A$13:$I$49,MATCH(Table3[[#This Row],[Key]],Demand_Modeling!$A$13:$A$49,0),MATCH(Table3[[#Headers],[OFC]],Demand_Modeling!$A$13:$I$13,0))</f>
        <v>#N/A</v>
      </c>
      <c r="I427" s="3" t="e">
        <f>INDEX(Demand_Modeling!$A$13:$I$49,MATCH(Table3[[#This Row],[Key]],Demand_Modeling!$A$13:$A$49,0),MATCH(Table3[[#Headers],[TFC]],Demand_Modeling!$A$13:$I$13,0))</f>
        <v>#N/A</v>
      </c>
      <c r="J427" s="3" t="e">
        <f>INDEX(Demand_Modeling!$A$13:$I$49,MATCH(Table3[[#This Row],[Key]],Demand_Modeling!$A$13:$A$49,0),MATCH(Table3[[#Headers],[WFC]],Demand_Modeling!$A$13:$I$13,0))</f>
        <v>#N/A</v>
      </c>
      <c r="K427" s="3" t="e">
        <f>INDEX(Demand_Modeling!$A$13:$I$49,MATCH(Table3[[#This Row],[Key]],Demand_Modeling!$A$13:$A$49,0),MATCH(Table3[[#Headers],[EAO]],Demand_Modeling!$A$13:$I$13,0))</f>
        <v>#N/A</v>
      </c>
      <c r="L427" s="3" t="e">
        <f>INDEX(Demand_Modeling!$A$13:$I$49,MATCH(Table3[[#This Row],[Key]],Demand_Modeling!$A$13:$A$49,0),MATCH(Table3[[#Headers],[OCC]],Demand_Modeling!$A$13:$I$13,0))</f>
        <v>#N/A</v>
      </c>
      <c r="M427" s="3" t="e">
        <f>INDEX(Demand_Modeling!$A$13:$I$49,MATCH(Table3[[#This Row],[Key]],Demand_Modeling!$A$13:$A$49,0),MATCH(Table3[[#Headers],[WEO]],Demand_Modeling!$A$13:$I$13,0))</f>
        <v>#N/A</v>
      </c>
      <c r="N427" s="19" t="e">
        <f>SUM(Table3[[#This Row],[OFC]:[WEO]])</f>
        <v>#N/A</v>
      </c>
      <c r="O427" s="19"/>
      <c r="Q427" s="3" t="str">
        <f>Table35[[#This Row],[Fiscal_Year]]*100+Table35[[#This Row],[Fiscal_Week]] &amp; "-" &amp;Table35[[#This Row],[Brand]]</f>
        <v>0-0</v>
      </c>
      <c r="R427" t="str">
        <f>Table3[[#This Row],[Key]]</f>
        <v>-</v>
      </c>
      <c r="S427">
        <f>Table3[[#This Row],[Fiscal_Year]]</f>
        <v>0</v>
      </c>
      <c r="T427">
        <f>Table3[[#This Row],[Fiscal_Week]]</f>
        <v>0</v>
      </c>
      <c r="U427">
        <f>Table3[[#This Row],[Brand]]</f>
        <v>0</v>
      </c>
      <c r="V427">
        <f>Table3[[#This Row],[Demand]]</f>
        <v>0</v>
      </c>
      <c r="W427" t="e">
        <f>Table3[[#This Row],[OFC]]*Table3[[#This Row],[Demand]]</f>
        <v>#N/A</v>
      </c>
      <c r="X427" t="e">
        <f>Table3[[#This Row],[TFC]]*Table3[[#This Row],[Demand]]</f>
        <v>#N/A</v>
      </c>
      <c r="Y427" t="e">
        <f>Table3[[#This Row],[WFC]]*Table3[[#This Row],[Demand]]</f>
        <v>#N/A</v>
      </c>
      <c r="Z427" t="e">
        <f>Table3[[#This Row],[EAO]]*Table3[[#This Row],[Demand]]</f>
        <v>#N/A</v>
      </c>
      <c r="AA427" t="e">
        <f>Table3[[#This Row],[OCC]]*Table3[[#This Row],[Demand]]</f>
        <v>#N/A</v>
      </c>
      <c r="AB427" t="e">
        <f>Table3[[#This Row],[WEO]]*Table3[[#This Row],[Demand]]</f>
        <v>#N/A</v>
      </c>
      <c r="AC427" s="19" t="e">
        <f>SUM(Table35[[#This Row],[OFC]:[WEO]])</f>
        <v>#N/A</v>
      </c>
      <c r="AD427" s="19" t="e">
        <f>Table35[[#This Row],[Demand]]-Table35[[#This Row],[Total_Modeled_Demand]]</f>
        <v>#N/A</v>
      </c>
    </row>
    <row r="428" spans="2:30" x14ac:dyDescent="0.3">
      <c r="B428" s="3" t="str">
        <f>Table3[[#This Row],[Fiscal_Year]]*100+Table3[[#This Row],[Fiscal_Week]] &amp; "-" &amp;Table3[[#This Row],[Brand]]</f>
        <v>0-</v>
      </c>
      <c r="C428" t="str">
        <f t="shared" si="6"/>
        <v>-</v>
      </c>
      <c r="H428" s="3" t="e">
        <f>INDEX(Demand_Modeling!$A$13:$I$49,MATCH(Table3[[#This Row],[Key]],Demand_Modeling!$A$13:$A$49,0),MATCH(Table3[[#Headers],[OFC]],Demand_Modeling!$A$13:$I$13,0))</f>
        <v>#N/A</v>
      </c>
      <c r="I428" s="3" t="e">
        <f>INDEX(Demand_Modeling!$A$13:$I$49,MATCH(Table3[[#This Row],[Key]],Demand_Modeling!$A$13:$A$49,0),MATCH(Table3[[#Headers],[TFC]],Demand_Modeling!$A$13:$I$13,0))</f>
        <v>#N/A</v>
      </c>
      <c r="J428" s="3" t="e">
        <f>INDEX(Demand_Modeling!$A$13:$I$49,MATCH(Table3[[#This Row],[Key]],Demand_Modeling!$A$13:$A$49,0),MATCH(Table3[[#Headers],[WFC]],Demand_Modeling!$A$13:$I$13,0))</f>
        <v>#N/A</v>
      </c>
      <c r="K428" s="3" t="e">
        <f>INDEX(Demand_Modeling!$A$13:$I$49,MATCH(Table3[[#This Row],[Key]],Demand_Modeling!$A$13:$A$49,0),MATCH(Table3[[#Headers],[EAO]],Demand_Modeling!$A$13:$I$13,0))</f>
        <v>#N/A</v>
      </c>
      <c r="L428" s="3" t="e">
        <f>INDEX(Demand_Modeling!$A$13:$I$49,MATCH(Table3[[#This Row],[Key]],Demand_Modeling!$A$13:$A$49,0),MATCH(Table3[[#Headers],[OCC]],Demand_Modeling!$A$13:$I$13,0))</f>
        <v>#N/A</v>
      </c>
      <c r="M428" s="3" t="e">
        <f>INDEX(Demand_Modeling!$A$13:$I$49,MATCH(Table3[[#This Row],[Key]],Demand_Modeling!$A$13:$A$49,0),MATCH(Table3[[#Headers],[WEO]],Demand_Modeling!$A$13:$I$13,0))</f>
        <v>#N/A</v>
      </c>
      <c r="N428" s="19" t="e">
        <f>SUM(Table3[[#This Row],[OFC]:[WEO]])</f>
        <v>#N/A</v>
      </c>
      <c r="O428" s="19"/>
      <c r="Q428" s="3" t="str">
        <f>Table35[[#This Row],[Fiscal_Year]]*100+Table35[[#This Row],[Fiscal_Week]] &amp; "-" &amp;Table35[[#This Row],[Brand]]</f>
        <v>0-0</v>
      </c>
      <c r="R428" t="str">
        <f>Table3[[#This Row],[Key]]</f>
        <v>-</v>
      </c>
      <c r="S428">
        <f>Table3[[#This Row],[Fiscal_Year]]</f>
        <v>0</v>
      </c>
      <c r="T428">
        <f>Table3[[#This Row],[Fiscal_Week]]</f>
        <v>0</v>
      </c>
      <c r="U428">
        <f>Table3[[#This Row],[Brand]]</f>
        <v>0</v>
      </c>
      <c r="V428">
        <f>Table3[[#This Row],[Demand]]</f>
        <v>0</v>
      </c>
      <c r="W428" t="e">
        <f>Table3[[#This Row],[OFC]]*Table3[[#This Row],[Demand]]</f>
        <v>#N/A</v>
      </c>
      <c r="X428" t="e">
        <f>Table3[[#This Row],[TFC]]*Table3[[#This Row],[Demand]]</f>
        <v>#N/A</v>
      </c>
      <c r="Y428" t="e">
        <f>Table3[[#This Row],[WFC]]*Table3[[#This Row],[Demand]]</f>
        <v>#N/A</v>
      </c>
      <c r="Z428" t="e">
        <f>Table3[[#This Row],[EAO]]*Table3[[#This Row],[Demand]]</f>
        <v>#N/A</v>
      </c>
      <c r="AA428" t="e">
        <f>Table3[[#This Row],[OCC]]*Table3[[#This Row],[Demand]]</f>
        <v>#N/A</v>
      </c>
      <c r="AB428" t="e">
        <f>Table3[[#This Row],[WEO]]*Table3[[#This Row],[Demand]]</f>
        <v>#N/A</v>
      </c>
      <c r="AC428" s="19" t="e">
        <f>SUM(Table35[[#This Row],[OFC]:[WEO]])</f>
        <v>#N/A</v>
      </c>
      <c r="AD428" s="19" t="e">
        <f>Table35[[#This Row],[Demand]]-Table35[[#This Row],[Total_Modeled_Demand]]</f>
        <v>#N/A</v>
      </c>
    </row>
    <row r="429" spans="2:30" x14ac:dyDescent="0.3">
      <c r="B429" s="3" t="str">
        <f>Table3[[#This Row],[Fiscal_Year]]*100+Table3[[#This Row],[Fiscal_Week]] &amp; "-" &amp;Table3[[#This Row],[Brand]]</f>
        <v>0-</v>
      </c>
      <c r="C429" t="str">
        <f t="shared" si="6"/>
        <v>-</v>
      </c>
      <c r="H429" s="3" t="e">
        <f>INDEX(Demand_Modeling!$A$13:$I$49,MATCH(Table3[[#This Row],[Key]],Demand_Modeling!$A$13:$A$49,0),MATCH(Table3[[#Headers],[OFC]],Demand_Modeling!$A$13:$I$13,0))</f>
        <v>#N/A</v>
      </c>
      <c r="I429" s="3" t="e">
        <f>INDEX(Demand_Modeling!$A$13:$I$49,MATCH(Table3[[#This Row],[Key]],Demand_Modeling!$A$13:$A$49,0),MATCH(Table3[[#Headers],[TFC]],Demand_Modeling!$A$13:$I$13,0))</f>
        <v>#N/A</v>
      </c>
      <c r="J429" s="3" t="e">
        <f>INDEX(Demand_Modeling!$A$13:$I$49,MATCH(Table3[[#This Row],[Key]],Demand_Modeling!$A$13:$A$49,0),MATCH(Table3[[#Headers],[WFC]],Demand_Modeling!$A$13:$I$13,0))</f>
        <v>#N/A</v>
      </c>
      <c r="K429" s="3" t="e">
        <f>INDEX(Demand_Modeling!$A$13:$I$49,MATCH(Table3[[#This Row],[Key]],Demand_Modeling!$A$13:$A$49,0),MATCH(Table3[[#Headers],[EAO]],Demand_Modeling!$A$13:$I$13,0))</f>
        <v>#N/A</v>
      </c>
      <c r="L429" s="3" t="e">
        <f>INDEX(Demand_Modeling!$A$13:$I$49,MATCH(Table3[[#This Row],[Key]],Demand_Modeling!$A$13:$A$49,0),MATCH(Table3[[#Headers],[OCC]],Demand_Modeling!$A$13:$I$13,0))</f>
        <v>#N/A</v>
      </c>
      <c r="M429" s="3" t="e">
        <f>INDEX(Demand_Modeling!$A$13:$I$49,MATCH(Table3[[#This Row],[Key]],Demand_Modeling!$A$13:$A$49,0),MATCH(Table3[[#Headers],[WEO]],Demand_Modeling!$A$13:$I$13,0))</f>
        <v>#N/A</v>
      </c>
      <c r="N429" s="19" t="e">
        <f>SUM(Table3[[#This Row],[OFC]:[WEO]])</f>
        <v>#N/A</v>
      </c>
      <c r="O429" s="19"/>
      <c r="Q429" s="3" t="str">
        <f>Table35[[#This Row],[Fiscal_Year]]*100+Table35[[#This Row],[Fiscal_Week]] &amp; "-" &amp;Table35[[#This Row],[Brand]]</f>
        <v>0-0</v>
      </c>
      <c r="R429" t="str">
        <f>Table3[[#This Row],[Key]]</f>
        <v>-</v>
      </c>
      <c r="S429">
        <f>Table3[[#This Row],[Fiscal_Year]]</f>
        <v>0</v>
      </c>
      <c r="T429">
        <f>Table3[[#This Row],[Fiscal_Week]]</f>
        <v>0</v>
      </c>
      <c r="U429">
        <f>Table3[[#This Row],[Brand]]</f>
        <v>0</v>
      </c>
      <c r="V429">
        <f>Table3[[#This Row],[Demand]]</f>
        <v>0</v>
      </c>
      <c r="W429" t="e">
        <f>Table3[[#This Row],[OFC]]*Table3[[#This Row],[Demand]]</f>
        <v>#N/A</v>
      </c>
      <c r="X429" t="e">
        <f>Table3[[#This Row],[TFC]]*Table3[[#This Row],[Demand]]</f>
        <v>#N/A</v>
      </c>
      <c r="Y429" t="e">
        <f>Table3[[#This Row],[WFC]]*Table3[[#This Row],[Demand]]</f>
        <v>#N/A</v>
      </c>
      <c r="Z429" t="e">
        <f>Table3[[#This Row],[EAO]]*Table3[[#This Row],[Demand]]</f>
        <v>#N/A</v>
      </c>
      <c r="AA429" t="e">
        <f>Table3[[#This Row],[OCC]]*Table3[[#This Row],[Demand]]</f>
        <v>#N/A</v>
      </c>
      <c r="AB429" t="e">
        <f>Table3[[#This Row],[WEO]]*Table3[[#This Row],[Demand]]</f>
        <v>#N/A</v>
      </c>
      <c r="AC429" s="19" t="e">
        <f>SUM(Table35[[#This Row],[OFC]:[WEO]])</f>
        <v>#N/A</v>
      </c>
      <c r="AD429" s="19" t="e">
        <f>Table35[[#This Row],[Demand]]-Table35[[#This Row],[Total_Modeled_Demand]]</f>
        <v>#N/A</v>
      </c>
    </row>
    <row r="430" spans="2:30" x14ac:dyDescent="0.3">
      <c r="B430" s="3" t="str">
        <f>Table3[[#This Row],[Fiscal_Year]]*100+Table3[[#This Row],[Fiscal_Week]] &amp; "-" &amp;Table3[[#This Row],[Brand]]</f>
        <v>0-</v>
      </c>
      <c r="C430" t="str">
        <f t="shared" si="6"/>
        <v>-</v>
      </c>
      <c r="H430" s="3" t="e">
        <f>INDEX(Demand_Modeling!$A$13:$I$49,MATCH(Table3[[#This Row],[Key]],Demand_Modeling!$A$13:$A$49,0),MATCH(Table3[[#Headers],[OFC]],Demand_Modeling!$A$13:$I$13,0))</f>
        <v>#N/A</v>
      </c>
      <c r="I430" s="3" t="e">
        <f>INDEX(Demand_Modeling!$A$13:$I$49,MATCH(Table3[[#This Row],[Key]],Demand_Modeling!$A$13:$A$49,0),MATCH(Table3[[#Headers],[TFC]],Demand_Modeling!$A$13:$I$13,0))</f>
        <v>#N/A</v>
      </c>
      <c r="J430" s="3" t="e">
        <f>INDEX(Demand_Modeling!$A$13:$I$49,MATCH(Table3[[#This Row],[Key]],Demand_Modeling!$A$13:$A$49,0),MATCH(Table3[[#Headers],[WFC]],Demand_Modeling!$A$13:$I$13,0))</f>
        <v>#N/A</v>
      </c>
      <c r="K430" s="3" t="e">
        <f>INDEX(Demand_Modeling!$A$13:$I$49,MATCH(Table3[[#This Row],[Key]],Demand_Modeling!$A$13:$A$49,0),MATCH(Table3[[#Headers],[EAO]],Demand_Modeling!$A$13:$I$13,0))</f>
        <v>#N/A</v>
      </c>
      <c r="L430" s="3" t="e">
        <f>INDEX(Demand_Modeling!$A$13:$I$49,MATCH(Table3[[#This Row],[Key]],Demand_Modeling!$A$13:$A$49,0),MATCH(Table3[[#Headers],[OCC]],Demand_Modeling!$A$13:$I$13,0))</f>
        <v>#N/A</v>
      </c>
      <c r="M430" s="3" t="e">
        <f>INDEX(Demand_Modeling!$A$13:$I$49,MATCH(Table3[[#This Row],[Key]],Demand_Modeling!$A$13:$A$49,0),MATCH(Table3[[#Headers],[WEO]],Demand_Modeling!$A$13:$I$13,0))</f>
        <v>#N/A</v>
      </c>
      <c r="N430" s="19" t="e">
        <f>SUM(Table3[[#This Row],[OFC]:[WEO]])</f>
        <v>#N/A</v>
      </c>
      <c r="O430" s="19"/>
      <c r="Q430" s="3" t="str">
        <f>Table35[[#This Row],[Fiscal_Year]]*100+Table35[[#This Row],[Fiscal_Week]] &amp; "-" &amp;Table35[[#This Row],[Brand]]</f>
        <v>0-0</v>
      </c>
      <c r="R430" t="str">
        <f>Table3[[#This Row],[Key]]</f>
        <v>-</v>
      </c>
      <c r="S430">
        <f>Table3[[#This Row],[Fiscal_Year]]</f>
        <v>0</v>
      </c>
      <c r="T430">
        <f>Table3[[#This Row],[Fiscal_Week]]</f>
        <v>0</v>
      </c>
      <c r="U430">
        <f>Table3[[#This Row],[Brand]]</f>
        <v>0</v>
      </c>
      <c r="V430">
        <f>Table3[[#This Row],[Demand]]</f>
        <v>0</v>
      </c>
      <c r="W430" t="e">
        <f>Table3[[#This Row],[OFC]]*Table3[[#This Row],[Demand]]</f>
        <v>#N/A</v>
      </c>
      <c r="X430" t="e">
        <f>Table3[[#This Row],[TFC]]*Table3[[#This Row],[Demand]]</f>
        <v>#N/A</v>
      </c>
      <c r="Y430" t="e">
        <f>Table3[[#This Row],[WFC]]*Table3[[#This Row],[Demand]]</f>
        <v>#N/A</v>
      </c>
      <c r="Z430" t="e">
        <f>Table3[[#This Row],[EAO]]*Table3[[#This Row],[Demand]]</f>
        <v>#N/A</v>
      </c>
      <c r="AA430" t="e">
        <f>Table3[[#This Row],[OCC]]*Table3[[#This Row],[Demand]]</f>
        <v>#N/A</v>
      </c>
      <c r="AB430" t="e">
        <f>Table3[[#This Row],[WEO]]*Table3[[#This Row],[Demand]]</f>
        <v>#N/A</v>
      </c>
      <c r="AC430" s="19" t="e">
        <f>SUM(Table35[[#This Row],[OFC]:[WEO]])</f>
        <v>#N/A</v>
      </c>
      <c r="AD430" s="19" t="e">
        <f>Table35[[#This Row],[Demand]]-Table35[[#This Row],[Total_Modeled_Demand]]</f>
        <v>#N/A</v>
      </c>
    </row>
    <row r="431" spans="2:30" x14ac:dyDescent="0.3">
      <c r="B431" s="3" t="str">
        <f>Table3[[#This Row],[Fiscal_Year]]*100+Table3[[#This Row],[Fiscal_Week]] &amp; "-" &amp;Table3[[#This Row],[Brand]]</f>
        <v>0-</v>
      </c>
      <c r="C431" t="str">
        <f t="shared" si="6"/>
        <v>-</v>
      </c>
      <c r="H431" s="3" t="e">
        <f>INDEX(Demand_Modeling!$A$13:$I$49,MATCH(Table3[[#This Row],[Key]],Demand_Modeling!$A$13:$A$49,0),MATCH(Table3[[#Headers],[OFC]],Demand_Modeling!$A$13:$I$13,0))</f>
        <v>#N/A</v>
      </c>
      <c r="I431" s="3" t="e">
        <f>INDEX(Demand_Modeling!$A$13:$I$49,MATCH(Table3[[#This Row],[Key]],Demand_Modeling!$A$13:$A$49,0),MATCH(Table3[[#Headers],[TFC]],Demand_Modeling!$A$13:$I$13,0))</f>
        <v>#N/A</v>
      </c>
      <c r="J431" s="3" t="e">
        <f>INDEX(Demand_Modeling!$A$13:$I$49,MATCH(Table3[[#This Row],[Key]],Demand_Modeling!$A$13:$A$49,0),MATCH(Table3[[#Headers],[WFC]],Demand_Modeling!$A$13:$I$13,0))</f>
        <v>#N/A</v>
      </c>
      <c r="K431" s="3" t="e">
        <f>INDEX(Demand_Modeling!$A$13:$I$49,MATCH(Table3[[#This Row],[Key]],Demand_Modeling!$A$13:$A$49,0),MATCH(Table3[[#Headers],[EAO]],Demand_Modeling!$A$13:$I$13,0))</f>
        <v>#N/A</v>
      </c>
      <c r="L431" s="3" t="e">
        <f>INDEX(Demand_Modeling!$A$13:$I$49,MATCH(Table3[[#This Row],[Key]],Demand_Modeling!$A$13:$A$49,0),MATCH(Table3[[#Headers],[OCC]],Demand_Modeling!$A$13:$I$13,0))</f>
        <v>#N/A</v>
      </c>
      <c r="M431" s="3" t="e">
        <f>INDEX(Demand_Modeling!$A$13:$I$49,MATCH(Table3[[#This Row],[Key]],Demand_Modeling!$A$13:$A$49,0),MATCH(Table3[[#Headers],[WEO]],Demand_Modeling!$A$13:$I$13,0))</f>
        <v>#N/A</v>
      </c>
      <c r="N431" s="19" t="e">
        <f>SUM(Table3[[#This Row],[OFC]:[WEO]])</f>
        <v>#N/A</v>
      </c>
      <c r="O431" s="19"/>
      <c r="Q431" s="3" t="str">
        <f>Table35[[#This Row],[Fiscal_Year]]*100+Table35[[#This Row],[Fiscal_Week]] &amp; "-" &amp;Table35[[#This Row],[Brand]]</f>
        <v>0-0</v>
      </c>
      <c r="R431" t="str">
        <f>Table3[[#This Row],[Key]]</f>
        <v>-</v>
      </c>
      <c r="S431">
        <f>Table3[[#This Row],[Fiscal_Year]]</f>
        <v>0</v>
      </c>
      <c r="T431">
        <f>Table3[[#This Row],[Fiscal_Week]]</f>
        <v>0</v>
      </c>
      <c r="U431">
        <f>Table3[[#This Row],[Brand]]</f>
        <v>0</v>
      </c>
      <c r="V431">
        <f>Table3[[#This Row],[Demand]]</f>
        <v>0</v>
      </c>
      <c r="W431" t="e">
        <f>Table3[[#This Row],[OFC]]*Table3[[#This Row],[Demand]]</f>
        <v>#N/A</v>
      </c>
      <c r="X431" t="e">
        <f>Table3[[#This Row],[TFC]]*Table3[[#This Row],[Demand]]</f>
        <v>#N/A</v>
      </c>
      <c r="Y431" t="e">
        <f>Table3[[#This Row],[WFC]]*Table3[[#This Row],[Demand]]</f>
        <v>#N/A</v>
      </c>
      <c r="Z431" t="e">
        <f>Table3[[#This Row],[EAO]]*Table3[[#This Row],[Demand]]</f>
        <v>#N/A</v>
      </c>
      <c r="AA431" t="e">
        <f>Table3[[#This Row],[OCC]]*Table3[[#This Row],[Demand]]</f>
        <v>#N/A</v>
      </c>
      <c r="AB431" t="e">
        <f>Table3[[#This Row],[WEO]]*Table3[[#This Row],[Demand]]</f>
        <v>#N/A</v>
      </c>
      <c r="AC431" s="19" t="e">
        <f>SUM(Table35[[#This Row],[OFC]:[WEO]])</f>
        <v>#N/A</v>
      </c>
      <c r="AD431" s="19" t="e">
        <f>Table35[[#This Row],[Demand]]-Table35[[#This Row],[Total_Modeled_Demand]]</f>
        <v>#N/A</v>
      </c>
    </row>
    <row r="432" spans="2:30" x14ac:dyDescent="0.3">
      <c r="B432" s="3" t="str">
        <f>Table3[[#This Row],[Fiscal_Year]]*100+Table3[[#This Row],[Fiscal_Week]] &amp; "-" &amp;Table3[[#This Row],[Brand]]</f>
        <v>0-</v>
      </c>
      <c r="C432" t="str">
        <f t="shared" si="6"/>
        <v>-</v>
      </c>
      <c r="H432" s="3" t="e">
        <f>INDEX(Demand_Modeling!$A$13:$I$49,MATCH(Table3[[#This Row],[Key]],Demand_Modeling!$A$13:$A$49,0),MATCH(Table3[[#Headers],[OFC]],Demand_Modeling!$A$13:$I$13,0))</f>
        <v>#N/A</v>
      </c>
      <c r="I432" s="3" t="e">
        <f>INDEX(Demand_Modeling!$A$13:$I$49,MATCH(Table3[[#This Row],[Key]],Demand_Modeling!$A$13:$A$49,0),MATCH(Table3[[#Headers],[TFC]],Demand_Modeling!$A$13:$I$13,0))</f>
        <v>#N/A</v>
      </c>
      <c r="J432" s="3" t="e">
        <f>INDEX(Demand_Modeling!$A$13:$I$49,MATCH(Table3[[#This Row],[Key]],Demand_Modeling!$A$13:$A$49,0),MATCH(Table3[[#Headers],[WFC]],Demand_Modeling!$A$13:$I$13,0))</f>
        <v>#N/A</v>
      </c>
      <c r="K432" s="3" t="e">
        <f>INDEX(Demand_Modeling!$A$13:$I$49,MATCH(Table3[[#This Row],[Key]],Demand_Modeling!$A$13:$A$49,0),MATCH(Table3[[#Headers],[EAO]],Demand_Modeling!$A$13:$I$13,0))</f>
        <v>#N/A</v>
      </c>
      <c r="L432" s="3" t="e">
        <f>INDEX(Demand_Modeling!$A$13:$I$49,MATCH(Table3[[#This Row],[Key]],Demand_Modeling!$A$13:$A$49,0),MATCH(Table3[[#Headers],[OCC]],Demand_Modeling!$A$13:$I$13,0))</f>
        <v>#N/A</v>
      </c>
      <c r="M432" s="3" t="e">
        <f>INDEX(Demand_Modeling!$A$13:$I$49,MATCH(Table3[[#This Row],[Key]],Demand_Modeling!$A$13:$A$49,0),MATCH(Table3[[#Headers],[WEO]],Demand_Modeling!$A$13:$I$13,0))</f>
        <v>#N/A</v>
      </c>
      <c r="N432" s="19" t="e">
        <f>SUM(Table3[[#This Row],[OFC]:[WEO]])</f>
        <v>#N/A</v>
      </c>
      <c r="O432" s="19"/>
      <c r="Q432" s="3" t="str">
        <f>Table35[[#This Row],[Fiscal_Year]]*100+Table35[[#This Row],[Fiscal_Week]] &amp; "-" &amp;Table35[[#This Row],[Brand]]</f>
        <v>0-0</v>
      </c>
      <c r="R432" t="str">
        <f>Table3[[#This Row],[Key]]</f>
        <v>-</v>
      </c>
      <c r="S432">
        <f>Table3[[#This Row],[Fiscal_Year]]</f>
        <v>0</v>
      </c>
      <c r="T432">
        <f>Table3[[#This Row],[Fiscal_Week]]</f>
        <v>0</v>
      </c>
      <c r="U432">
        <f>Table3[[#This Row],[Brand]]</f>
        <v>0</v>
      </c>
      <c r="V432">
        <f>Table3[[#This Row],[Demand]]</f>
        <v>0</v>
      </c>
      <c r="W432" t="e">
        <f>Table3[[#This Row],[OFC]]*Table3[[#This Row],[Demand]]</f>
        <v>#N/A</v>
      </c>
      <c r="X432" t="e">
        <f>Table3[[#This Row],[TFC]]*Table3[[#This Row],[Demand]]</f>
        <v>#N/A</v>
      </c>
      <c r="Y432" t="e">
        <f>Table3[[#This Row],[WFC]]*Table3[[#This Row],[Demand]]</f>
        <v>#N/A</v>
      </c>
      <c r="Z432" t="e">
        <f>Table3[[#This Row],[EAO]]*Table3[[#This Row],[Demand]]</f>
        <v>#N/A</v>
      </c>
      <c r="AA432" t="e">
        <f>Table3[[#This Row],[OCC]]*Table3[[#This Row],[Demand]]</f>
        <v>#N/A</v>
      </c>
      <c r="AB432" t="e">
        <f>Table3[[#This Row],[WEO]]*Table3[[#This Row],[Demand]]</f>
        <v>#N/A</v>
      </c>
      <c r="AC432" s="19" t="e">
        <f>SUM(Table35[[#This Row],[OFC]:[WEO]])</f>
        <v>#N/A</v>
      </c>
      <c r="AD432" s="19" t="e">
        <f>Table35[[#This Row],[Demand]]-Table35[[#This Row],[Total_Modeled_Demand]]</f>
        <v>#N/A</v>
      </c>
    </row>
    <row r="433" spans="2:30" x14ac:dyDescent="0.3">
      <c r="B433" s="3" t="str">
        <f>Table3[[#This Row],[Fiscal_Year]]*100+Table3[[#This Row],[Fiscal_Week]] &amp; "-" &amp;Table3[[#This Row],[Brand]]</f>
        <v>0-</v>
      </c>
      <c r="C433" t="str">
        <f t="shared" si="6"/>
        <v>-</v>
      </c>
      <c r="H433" s="3" t="e">
        <f>INDEX(Demand_Modeling!$A$13:$I$49,MATCH(Table3[[#This Row],[Key]],Demand_Modeling!$A$13:$A$49,0),MATCH(Table3[[#Headers],[OFC]],Demand_Modeling!$A$13:$I$13,0))</f>
        <v>#N/A</v>
      </c>
      <c r="I433" s="3" t="e">
        <f>INDEX(Demand_Modeling!$A$13:$I$49,MATCH(Table3[[#This Row],[Key]],Demand_Modeling!$A$13:$A$49,0),MATCH(Table3[[#Headers],[TFC]],Demand_Modeling!$A$13:$I$13,0))</f>
        <v>#N/A</v>
      </c>
      <c r="J433" s="3" t="e">
        <f>INDEX(Demand_Modeling!$A$13:$I$49,MATCH(Table3[[#This Row],[Key]],Demand_Modeling!$A$13:$A$49,0),MATCH(Table3[[#Headers],[WFC]],Demand_Modeling!$A$13:$I$13,0))</f>
        <v>#N/A</v>
      </c>
      <c r="K433" s="3" t="e">
        <f>INDEX(Demand_Modeling!$A$13:$I$49,MATCH(Table3[[#This Row],[Key]],Demand_Modeling!$A$13:$A$49,0),MATCH(Table3[[#Headers],[EAO]],Demand_Modeling!$A$13:$I$13,0))</f>
        <v>#N/A</v>
      </c>
      <c r="L433" s="3" t="e">
        <f>INDEX(Demand_Modeling!$A$13:$I$49,MATCH(Table3[[#This Row],[Key]],Demand_Modeling!$A$13:$A$49,0),MATCH(Table3[[#Headers],[OCC]],Demand_Modeling!$A$13:$I$13,0))</f>
        <v>#N/A</v>
      </c>
      <c r="M433" s="3" t="e">
        <f>INDEX(Demand_Modeling!$A$13:$I$49,MATCH(Table3[[#This Row],[Key]],Demand_Modeling!$A$13:$A$49,0),MATCH(Table3[[#Headers],[WEO]],Demand_Modeling!$A$13:$I$13,0))</f>
        <v>#N/A</v>
      </c>
      <c r="N433" s="19" t="e">
        <f>SUM(Table3[[#This Row],[OFC]:[WEO]])</f>
        <v>#N/A</v>
      </c>
      <c r="O433" s="19"/>
      <c r="Q433" s="3" t="str">
        <f>Table35[[#This Row],[Fiscal_Year]]*100+Table35[[#This Row],[Fiscal_Week]] &amp; "-" &amp;Table35[[#This Row],[Brand]]</f>
        <v>0-0</v>
      </c>
      <c r="R433" t="str">
        <f>Table3[[#This Row],[Key]]</f>
        <v>-</v>
      </c>
      <c r="S433">
        <f>Table3[[#This Row],[Fiscal_Year]]</f>
        <v>0</v>
      </c>
      <c r="T433">
        <f>Table3[[#This Row],[Fiscal_Week]]</f>
        <v>0</v>
      </c>
      <c r="U433">
        <f>Table3[[#This Row],[Brand]]</f>
        <v>0</v>
      </c>
      <c r="V433">
        <f>Table3[[#This Row],[Demand]]</f>
        <v>0</v>
      </c>
      <c r="W433" t="e">
        <f>Table3[[#This Row],[OFC]]*Table3[[#This Row],[Demand]]</f>
        <v>#N/A</v>
      </c>
      <c r="X433" t="e">
        <f>Table3[[#This Row],[TFC]]*Table3[[#This Row],[Demand]]</f>
        <v>#N/A</v>
      </c>
      <c r="Y433" t="e">
        <f>Table3[[#This Row],[WFC]]*Table3[[#This Row],[Demand]]</f>
        <v>#N/A</v>
      </c>
      <c r="Z433" t="e">
        <f>Table3[[#This Row],[EAO]]*Table3[[#This Row],[Demand]]</f>
        <v>#N/A</v>
      </c>
      <c r="AA433" t="e">
        <f>Table3[[#This Row],[OCC]]*Table3[[#This Row],[Demand]]</f>
        <v>#N/A</v>
      </c>
      <c r="AB433" t="e">
        <f>Table3[[#This Row],[WEO]]*Table3[[#This Row],[Demand]]</f>
        <v>#N/A</v>
      </c>
      <c r="AC433" s="19" t="e">
        <f>SUM(Table35[[#This Row],[OFC]:[WEO]])</f>
        <v>#N/A</v>
      </c>
      <c r="AD433" s="19" t="e">
        <f>Table35[[#This Row],[Demand]]-Table35[[#This Row],[Total_Modeled_Demand]]</f>
        <v>#N/A</v>
      </c>
    </row>
    <row r="434" spans="2:30" x14ac:dyDescent="0.3">
      <c r="B434" s="3" t="str">
        <f>Table3[[#This Row],[Fiscal_Year]]*100+Table3[[#This Row],[Fiscal_Week]] &amp; "-" &amp;Table3[[#This Row],[Brand]]</f>
        <v>0-</v>
      </c>
      <c r="C434" t="str">
        <f t="shared" si="6"/>
        <v>-</v>
      </c>
      <c r="H434" s="3" t="e">
        <f>INDEX(Demand_Modeling!$A$13:$I$49,MATCH(Table3[[#This Row],[Key]],Demand_Modeling!$A$13:$A$49,0),MATCH(Table3[[#Headers],[OFC]],Demand_Modeling!$A$13:$I$13,0))</f>
        <v>#N/A</v>
      </c>
      <c r="I434" s="3" t="e">
        <f>INDEX(Demand_Modeling!$A$13:$I$49,MATCH(Table3[[#This Row],[Key]],Demand_Modeling!$A$13:$A$49,0),MATCH(Table3[[#Headers],[TFC]],Demand_Modeling!$A$13:$I$13,0))</f>
        <v>#N/A</v>
      </c>
      <c r="J434" s="3" t="e">
        <f>INDEX(Demand_Modeling!$A$13:$I$49,MATCH(Table3[[#This Row],[Key]],Demand_Modeling!$A$13:$A$49,0),MATCH(Table3[[#Headers],[WFC]],Demand_Modeling!$A$13:$I$13,0))</f>
        <v>#N/A</v>
      </c>
      <c r="K434" s="3" t="e">
        <f>INDEX(Demand_Modeling!$A$13:$I$49,MATCH(Table3[[#This Row],[Key]],Demand_Modeling!$A$13:$A$49,0),MATCH(Table3[[#Headers],[EAO]],Demand_Modeling!$A$13:$I$13,0))</f>
        <v>#N/A</v>
      </c>
      <c r="L434" s="3" t="e">
        <f>INDEX(Demand_Modeling!$A$13:$I$49,MATCH(Table3[[#This Row],[Key]],Demand_Modeling!$A$13:$A$49,0),MATCH(Table3[[#Headers],[OCC]],Demand_Modeling!$A$13:$I$13,0))</f>
        <v>#N/A</v>
      </c>
      <c r="M434" s="3" t="e">
        <f>INDEX(Demand_Modeling!$A$13:$I$49,MATCH(Table3[[#This Row],[Key]],Demand_Modeling!$A$13:$A$49,0),MATCH(Table3[[#Headers],[WEO]],Demand_Modeling!$A$13:$I$13,0))</f>
        <v>#N/A</v>
      </c>
      <c r="N434" s="19" t="e">
        <f>SUM(Table3[[#This Row],[OFC]:[WEO]])</f>
        <v>#N/A</v>
      </c>
      <c r="O434" s="19"/>
      <c r="Q434" s="3" t="str">
        <f>Table35[[#This Row],[Fiscal_Year]]*100+Table35[[#This Row],[Fiscal_Week]] &amp; "-" &amp;Table35[[#This Row],[Brand]]</f>
        <v>0-0</v>
      </c>
      <c r="R434" t="str">
        <f>Table3[[#This Row],[Key]]</f>
        <v>-</v>
      </c>
      <c r="S434">
        <f>Table3[[#This Row],[Fiscal_Year]]</f>
        <v>0</v>
      </c>
      <c r="T434">
        <f>Table3[[#This Row],[Fiscal_Week]]</f>
        <v>0</v>
      </c>
      <c r="U434">
        <f>Table3[[#This Row],[Brand]]</f>
        <v>0</v>
      </c>
      <c r="V434">
        <f>Table3[[#This Row],[Demand]]</f>
        <v>0</v>
      </c>
      <c r="W434" t="e">
        <f>Table3[[#This Row],[OFC]]*Table3[[#This Row],[Demand]]</f>
        <v>#N/A</v>
      </c>
      <c r="X434" t="e">
        <f>Table3[[#This Row],[TFC]]*Table3[[#This Row],[Demand]]</f>
        <v>#N/A</v>
      </c>
      <c r="Y434" t="e">
        <f>Table3[[#This Row],[WFC]]*Table3[[#This Row],[Demand]]</f>
        <v>#N/A</v>
      </c>
      <c r="Z434" t="e">
        <f>Table3[[#This Row],[EAO]]*Table3[[#This Row],[Demand]]</f>
        <v>#N/A</v>
      </c>
      <c r="AA434" t="e">
        <f>Table3[[#This Row],[OCC]]*Table3[[#This Row],[Demand]]</f>
        <v>#N/A</v>
      </c>
      <c r="AB434" t="e">
        <f>Table3[[#This Row],[WEO]]*Table3[[#This Row],[Demand]]</f>
        <v>#N/A</v>
      </c>
      <c r="AC434" s="19" t="e">
        <f>SUM(Table35[[#This Row],[OFC]:[WEO]])</f>
        <v>#N/A</v>
      </c>
      <c r="AD434" s="19" t="e">
        <f>Table35[[#This Row],[Demand]]-Table35[[#This Row],[Total_Modeled_Demand]]</f>
        <v>#N/A</v>
      </c>
    </row>
    <row r="435" spans="2:30" x14ac:dyDescent="0.3">
      <c r="B435" s="3" t="str">
        <f>Table3[[#This Row],[Fiscal_Year]]*100+Table3[[#This Row],[Fiscal_Week]] &amp; "-" &amp;Table3[[#This Row],[Brand]]</f>
        <v>0-</v>
      </c>
      <c r="C435" t="str">
        <f t="shared" si="6"/>
        <v>-</v>
      </c>
      <c r="H435" s="3" t="e">
        <f>INDEX(Demand_Modeling!$A$13:$I$49,MATCH(Table3[[#This Row],[Key]],Demand_Modeling!$A$13:$A$49,0),MATCH(Table3[[#Headers],[OFC]],Demand_Modeling!$A$13:$I$13,0))</f>
        <v>#N/A</v>
      </c>
      <c r="I435" s="3" t="e">
        <f>INDEX(Demand_Modeling!$A$13:$I$49,MATCH(Table3[[#This Row],[Key]],Demand_Modeling!$A$13:$A$49,0),MATCH(Table3[[#Headers],[TFC]],Demand_Modeling!$A$13:$I$13,0))</f>
        <v>#N/A</v>
      </c>
      <c r="J435" s="3" t="e">
        <f>INDEX(Demand_Modeling!$A$13:$I$49,MATCH(Table3[[#This Row],[Key]],Demand_Modeling!$A$13:$A$49,0),MATCH(Table3[[#Headers],[WFC]],Demand_Modeling!$A$13:$I$13,0))</f>
        <v>#N/A</v>
      </c>
      <c r="K435" s="3" t="e">
        <f>INDEX(Demand_Modeling!$A$13:$I$49,MATCH(Table3[[#This Row],[Key]],Demand_Modeling!$A$13:$A$49,0),MATCH(Table3[[#Headers],[EAO]],Demand_Modeling!$A$13:$I$13,0))</f>
        <v>#N/A</v>
      </c>
      <c r="L435" s="3" t="e">
        <f>INDEX(Demand_Modeling!$A$13:$I$49,MATCH(Table3[[#This Row],[Key]],Demand_Modeling!$A$13:$A$49,0),MATCH(Table3[[#Headers],[OCC]],Demand_Modeling!$A$13:$I$13,0))</f>
        <v>#N/A</v>
      </c>
      <c r="M435" s="3" t="e">
        <f>INDEX(Demand_Modeling!$A$13:$I$49,MATCH(Table3[[#This Row],[Key]],Demand_Modeling!$A$13:$A$49,0),MATCH(Table3[[#Headers],[WEO]],Demand_Modeling!$A$13:$I$13,0))</f>
        <v>#N/A</v>
      </c>
      <c r="N435" s="19" t="e">
        <f>SUM(Table3[[#This Row],[OFC]:[WEO]])</f>
        <v>#N/A</v>
      </c>
      <c r="O435" s="19"/>
      <c r="Q435" s="3" t="str">
        <f>Table35[[#This Row],[Fiscal_Year]]*100+Table35[[#This Row],[Fiscal_Week]] &amp; "-" &amp;Table35[[#This Row],[Brand]]</f>
        <v>0-0</v>
      </c>
      <c r="R435" t="str">
        <f>Table3[[#This Row],[Key]]</f>
        <v>-</v>
      </c>
      <c r="S435">
        <f>Table3[[#This Row],[Fiscal_Year]]</f>
        <v>0</v>
      </c>
      <c r="T435">
        <f>Table3[[#This Row],[Fiscal_Week]]</f>
        <v>0</v>
      </c>
      <c r="U435">
        <f>Table3[[#This Row],[Brand]]</f>
        <v>0</v>
      </c>
      <c r="V435">
        <f>Table3[[#This Row],[Demand]]</f>
        <v>0</v>
      </c>
      <c r="W435" t="e">
        <f>Table3[[#This Row],[OFC]]*Table3[[#This Row],[Demand]]</f>
        <v>#N/A</v>
      </c>
      <c r="X435" t="e">
        <f>Table3[[#This Row],[TFC]]*Table3[[#This Row],[Demand]]</f>
        <v>#N/A</v>
      </c>
      <c r="Y435" t="e">
        <f>Table3[[#This Row],[WFC]]*Table3[[#This Row],[Demand]]</f>
        <v>#N/A</v>
      </c>
      <c r="Z435" t="e">
        <f>Table3[[#This Row],[EAO]]*Table3[[#This Row],[Demand]]</f>
        <v>#N/A</v>
      </c>
      <c r="AA435" t="e">
        <f>Table3[[#This Row],[OCC]]*Table3[[#This Row],[Demand]]</f>
        <v>#N/A</v>
      </c>
      <c r="AB435" t="e">
        <f>Table3[[#This Row],[WEO]]*Table3[[#This Row],[Demand]]</f>
        <v>#N/A</v>
      </c>
      <c r="AC435" s="19" t="e">
        <f>SUM(Table35[[#This Row],[OFC]:[WEO]])</f>
        <v>#N/A</v>
      </c>
      <c r="AD435" s="19" t="e">
        <f>Table35[[#This Row],[Demand]]-Table35[[#This Row],[Total_Modeled_Demand]]</f>
        <v>#N/A</v>
      </c>
    </row>
  </sheetData>
  <mergeCells count="1">
    <mergeCell ref="G2:L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Demand_Modeling</vt:lpstr>
      <vt:lpstr>Validation</vt:lpstr>
      <vt:lpstr>Demand_Modeling_Week_level</vt:lpstr>
      <vt:lpstr>Capacity</vt:lpstr>
      <vt:lpstr>DC_Xref</vt:lpstr>
      <vt:lpstr>Demand</vt:lpstr>
      <vt:lpstr>Demand_Brand_Level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Utkarsh Mittal</dc:creator>
  <cp:lastModifiedBy>Utkarsh Mittal</cp:lastModifiedBy>
  <dcterms:created xsi:type="dcterms:W3CDTF">2018-08-22T21:02:05Z</dcterms:created>
  <dcterms:modified xsi:type="dcterms:W3CDTF">2018-10-19T01:10:49Z</dcterms:modified>
</cp:coreProperties>
</file>